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cenario_info" sheetId="1" r:id="rId4"/>
    <sheet state="visible" name="参照_武将" sheetId="2" r:id="rId5"/>
    <sheet state="visible" name="参照_姫" sheetId="3" r:id="rId6"/>
    <sheet state="visible" name="参照_勢力" sheetId="4" r:id="rId7"/>
    <sheet state="visible" name="参照_官位" sheetId="5" r:id="rId8"/>
    <sheet state="visible" name="参照_拠点" sheetId="6" r:id="rId9"/>
    <sheet state="visible" name="castles_state" sheetId="7" r:id="rId10"/>
    <sheet state="visible" name="warriors_state" sheetId="8" r:id="rId11"/>
    <sheet state="visible" name="princess_state" sheetId="9" r:id="rId12"/>
    <sheet state="visible" name="clans_state" sheetId="10" r:id="rId13"/>
    <sheet state="visible" name="diplomacy" sheetId="11" r:id="rId14"/>
    <sheet state="visible" name="kunishuClan" sheetId="12" r:id="rId15"/>
    <sheet state="visible" name="legions" sheetId="13" r:id="rId16"/>
    <sheet state="visible" name="README" sheetId="14" r:id="rId17"/>
  </sheets>
  <definedNames>
    <definedName hidden="1" localSheetId="1" name="_xlnm._FilterDatabase">'参照_武将'!$A$1:$B$4043</definedName>
    <definedName hidden="1" localSheetId="6" name="_xlnm._FilterDatabase">castles_state!$A$1:$AB$1000</definedName>
    <definedName hidden="1" localSheetId="7" name="_xlnm._FilterDatabase">warriors_state!$A$1:$Q$4043</definedName>
    <definedName hidden="1" localSheetId="8" name="_xlnm._FilterDatabase">princess_state!$A$1:$G$30</definedName>
    <definedName hidden="1" localSheetId="9" name="_xlnm._FilterDatabase">clans_state!$A$1:$I$122</definedName>
    <definedName hidden="1" localSheetId="10" name="_xlnm._FilterDatabase">diplomacy!$A$1:$F$319</definedName>
    <definedName hidden="1" localSheetId="11" name="_xlnm._FilterDatabase">kunishuClan!$A$1:$W$93</definedName>
    <definedName hidden="1" localSheetId="12" name="_xlnm._FilterDatabase">legions!$A$1:$H$91</definedName>
  </definedNames>
  <calcPr calcId="0" calcMode="auto" fullCalcOnLoad="1" forceFullCalc="1"/>
  <extLst>
    <ext uri="GoogleSheetsCustomDataVersion2">
      <go:sheetsCustomData xmlns:go="http://customooxmlschemas.google.com/" r:id="rId18" roundtripDataChecksum="1e6Z576ySPI3EZJqjCwURIklHdfz4jDsBdKNw65RzPM="/>
    </ext>
  </extLst>
</workbook>
</file>

<file path=xl/sharedStrings.xml><?xml version="1.0" encoding="utf-8"?>
<sst xmlns="http://schemas.openxmlformats.org/spreadsheetml/2006/main" count="10922" uniqueCount="6063">
  <si>
    <t>key</t>
  </si>
  <si>
    <t>id</t>
  </si>
  <si>
    <t>value</t>
  </si>
  <si>
    <t>備考</t>
  </si>
  <si>
    <t>folder</t>
  </si>
  <si>
    <t>名前</t>
  </si>
  <si>
    <t>1560_okehazama</t>
  </si>
  <si>
    <t>シナリオ識別子</t>
  </si>
  <si>
    <t>name</t>
  </si>
  <si>
    <t>1560年 桶狭間の戦い</t>
  </si>
  <si>
    <t>現行 data_manager.js の定義</t>
  </si>
  <si>
    <t>startYear</t>
  </si>
  <si>
    <t>長尾景恒</t>
  </si>
  <si>
    <t>開始年</t>
  </si>
  <si>
    <t>長尾長景</t>
  </si>
  <si>
    <t>startMonth</t>
  </si>
  <si>
    <t>開始月</t>
  </si>
  <si>
    <t>長尾房長</t>
  </si>
  <si>
    <t>desc</t>
  </si>
  <si>
    <t>長尾政景</t>
  </si>
  <si>
    <t>永禄三年、畿内では三好氏が権勢を誇っていた。東国では武田・北条・長尾が覇を競い、中国地方では毛利氏が雄飛し、諸大名の争いの火は絶えない。そのような折、海道一の弓取り・今川義元が大軍を率いて尾張へ侵攻を開始した。これを迎え撃つは織田信長。彼はいまだ、尾張一国すら纏め上げられていない。</t>
  </si>
  <si>
    <t>シナリオ選択画面の説明</t>
  </si>
  <si>
    <t>長尾顕景</t>
  </si>
  <si>
    <t>initialMapCenterPC</t>
  </si>
  <si>
    <t>現行 ui_map.js</t>
  </si>
  <si>
    <t>上杉定勝</t>
  </si>
  <si>
    <t>initialMapCenterMobile</t>
  </si>
  <si>
    <t>長尾景晴</t>
  </si>
  <si>
    <t>長尾房景</t>
  </si>
  <si>
    <t>長尾景信</t>
  </si>
  <si>
    <t>長尾高景</t>
  </si>
  <si>
    <t>長尾景房</t>
  </si>
  <si>
    <t>長尾能景</t>
  </si>
  <si>
    <t>長尾為景</t>
  </si>
  <si>
    <t>長尾晴景</t>
  </si>
  <si>
    <t>長尾景虎</t>
  </si>
  <si>
    <t>甘粕景持</t>
  </si>
  <si>
    <t>甘粕景継</t>
  </si>
  <si>
    <t>斑鳩信好</t>
  </si>
  <si>
    <t>色部勝長</t>
  </si>
  <si>
    <t>色部顕長</t>
  </si>
  <si>
    <t>色部長実</t>
  </si>
  <si>
    <t>岩井信能</t>
  </si>
  <si>
    <t>宇佐美定満</t>
  </si>
  <si>
    <t>宇佐美勝行</t>
  </si>
  <si>
    <t>大石綱元</t>
  </si>
  <si>
    <t>柿崎景家</t>
  </si>
  <si>
    <t>柿崎晴家</t>
  </si>
  <si>
    <t>胡蝶</t>
  </si>
  <si>
    <t>柿崎憲家</t>
  </si>
  <si>
    <t>加藤段蔵</t>
  </si>
  <si>
    <t>市</t>
  </si>
  <si>
    <t>河田長親</t>
  </si>
  <si>
    <t>五徳</t>
  </si>
  <si>
    <t>北条高広</t>
  </si>
  <si>
    <t>北条景広</t>
  </si>
  <si>
    <t>菊</t>
  </si>
  <si>
    <t>黒川清実</t>
  </si>
  <si>
    <t>梅</t>
  </si>
  <si>
    <t>傑山雲勝</t>
  </si>
  <si>
    <t>光</t>
  </si>
  <si>
    <t>小島貞興</t>
  </si>
  <si>
    <t>綾</t>
  </si>
  <si>
    <t>斎藤定信</t>
  </si>
  <si>
    <t>斎藤朝信</t>
  </si>
  <si>
    <t>春</t>
  </si>
  <si>
    <t>斎藤景信</t>
  </si>
  <si>
    <t>山本寺定長</t>
  </si>
  <si>
    <t>松</t>
  </si>
  <si>
    <t>椎名順胤</t>
  </si>
  <si>
    <t>嶺</t>
  </si>
  <si>
    <t>椎名慶胤</t>
  </si>
  <si>
    <t>瀬名</t>
  </si>
  <si>
    <t>椎名長常</t>
  </si>
  <si>
    <t>浄</t>
  </si>
  <si>
    <t>椎名康胤</t>
  </si>
  <si>
    <t>大</t>
  </si>
  <si>
    <t>椎名景胤</t>
  </si>
  <si>
    <t>町</t>
  </si>
  <si>
    <t>小間常光</t>
  </si>
  <si>
    <t>志駄義秀</t>
  </si>
  <si>
    <t>智</t>
  </si>
  <si>
    <t>旭</t>
  </si>
  <si>
    <t>新発田綱貞</t>
  </si>
  <si>
    <t>新発田長敦</t>
  </si>
  <si>
    <t>寧々</t>
  </si>
  <si>
    <t>新発田重家</t>
  </si>
  <si>
    <t>妙精</t>
  </si>
  <si>
    <t>島津忠直</t>
  </si>
  <si>
    <t>小少将</t>
  </si>
  <si>
    <t>水原親憲</t>
  </si>
  <si>
    <t>湖衣</t>
  </si>
  <si>
    <t>須田満親</t>
  </si>
  <si>
    <t>筒井順興室</t>
  </si>
  <si>
    <t>須田長義</t>
  </si>
  <si>
    <t>color</t>
  </si>
  <si>
    <t>妙玖</t>
  </si>
  <si>
    <t>高梨政頼</t>
  </si>
  <si>
    <t>織田家</t>
  </si>
  <si>
    <t>藤</t>
  </si>
  <si>
    <t>高梨頼親</t>
  </si>
  <si>
    <t>#e3071c</t>
  </si>
  <si>
    <t>恵</t>
  </si>
  <si>
    <t>竹俣慶綱</t>
  </si>
  <si>
    <t>長尾家</t>
  </si>
  <si>
    <t>#19b0e3</t>
  </si>
  <si>
    <t>風</t>
  </si>
  <si>
    <t>千坂景親</t>
  </si>
  <si>
    <t>武田家</t>
  </si>
  <si>
    <t>茶々</t>
  </si>
  <si>
    <t>#a83911</t>
  </si>
  <si>
    <t>直江景綱</t>
  </si>
  <si>
    <t>千</t>
  </si>
  <si>
    <t>北条家</t>
  </si>
  <si>
    <t>長尾景忠</t>
  </si>
  <si>
    <t>#1ae002</t>
  </si>
  <si>
    <t>今川家</t>
  </si>
  <si>
    <t>鎌倉景直</t>
  </si>
  <si>
    <t>#eb6ea5</t>
  </si>
  <si>
    <t>鎌倉景英</t>
  </si>
  <si>
    <t>一色家</t>
  </si>
  <si>
    <t>#6a61cf</t>
  </si>
  <si>
    <t>鎌倉房景</t>
  </si>
  <si>
    <t>朝倉家</t>
  </si>
  <si>
    <t>掛田御前</t>
  </si>
  <si>
    <t>#997a8d</t>
  </si>
  <si>
    <t>長尾実景</t>
  </si>
  <si>
    <t>疋田景範室</t>
  </si>
  <si>
    <t>畠山家</t>
  </si>
  <si>
    <t>長尾景人</t>
  </si>
  <si>
    <t>#6d8f7b</t>
  </si>
  <si>
    <t>長尾景長</t>
  </si>
  <si>
    <t>筒井家</t>
  </si>
  <si>
    <t>#907864</t>
  </si>
  <si>
    <t>長尾憲長</t>
  </si>
  <si>
    <t>三木家</t>
  </si>
  <si>
    <t>#e0a65c</t>
  </si>
  <si>
    <t>長尾当長</t>
  </si>
  <si>
    <t>神保家</t>
  </si>
  <si>
    <t>#854563</t>
  </si>
  <si>
    <t>長尾景行</t>
  </si>
  <si>
    <t>遠山家</t>
  </si>
  <si>
    <t>長尾清景</t>
  </si>
  <si>
    <t>#9e9478</t>
  </si>
  <si>
    <t>長尾景仲</t>
  </si>
  <si>
    <t>#56667b</t>
  </si>
  <si>
    <t>長尾昌賢</t>
  </si>
  <si>
    <t>波多野家</t>
  </si>
  <si>
    <t>#e66b58</t>
  </si>
  <si>
    <t>長尾景春</t>
  </si>
  <si>
    <t>浅井家</t>
  </si>
  <si>
    <t>#52ac3f</t>
  </si>
  <si>
    <t>別所家</t>
  </si>
  <si>
    <t>#6f825a</t>
  </si>
  <si>
    <t>足利家</t>
  </si>
  <si>
    <t>#f8b500</t>
  </si>
  <si>
    <t>六角家</t>
  </si>
  <si>
    <t>#82491e</t>
  </si>
  <si>
    <t>本願寺家</t>
  </si>
  <si>
    <t>#b5495b</t>
  </si>
  <si>
    <t>三好家</t>
  </si>
  <si>
    <t>#9119e0</t>
  </si>
  <si>
    <t>鈴木家</t>
  </si>
  <si>
    <t>#de970d</t>
  </si>
  <si>
    <t>江馬家</t>
  </si>
  <si>
    <t>#54008e</t>
  </si>
  <si>
    <t>内ヶ島家</t>
  </si>
  <si>
    <t>#aa5b40</t>
  </si>
  <si>
    <t>北畠家</t>
  </si>
  <si>
    <t>#6c84b5</t>
  </si>
  <si>
    <t>毛利家</t>
  </si>
  <si>
    <t>#06e267</t>
  </si>
  <si>
    <t>島津家</t>
  </si>
  <si>
    <t>#1b0763</t>
  </si>
  <si>
    <t>長尾景盛</t>
  </si>
  <si>
    <t>里見家</t>
  </si>
  <si>
    <t>長尾憲景</t>
  </si>
  <si>
    <t>#824059</t>
  </si>
  <si>
    <t>長尾景広</t>
  </si>
  <si>
    <t>宇都宮家</t>
  </si>
  <si>
    <t>#d0826c</t>
  </si>
  <si>
    <t>沼田顕泰</t>
  </si>
  <si>
    <t>結城家</t>
  </si>
  <si>
    <t>#81e198</t>
  </si>
  <si>
    <t>沼田祐光</t>
  </si>
  <si>
    <t>成田家</t>
  </si>
  <si>
    <t>#254e6b</t>
  </si>
  <si>
    <t>沼田景義</t>
  </si>
  <si>
    <t>長野家</t>
  </si>
  <si>
    <t>樋口兼豊</t>
  </si>
  <si>
    <t>#e0c38c</t>
  </si>
  <si>
    <t>樋口兼続</t>
  </si>
  <si>
    <t>佐竹家</t>
  </si>
  <si>
    <t>大国実頼</t>
  </si>
  <si>
    <t>#054f59</t>
  </si>
  <si>
    <t>樋口秀兼</t>
  </si>
  <si>
    <t>蘆名家</t>
  </si>
  <si>
    <t>#8844b2</t>
  </si>
  <si>
    <t>本庄房長</t>
  </si>
  <si>
    <t>那須家</t>
  </si>
  <si>
    <t>#b4b451</t>
  </si>
  <si>
    <t>本庄繁長</t>
  </si>
  <si>
    <t>小田家</t>
  </si>
  <si>
    <t>#3c3ea0</t>
  </si>
  <si>
    <t>本庄顕長</t>
  </si>
  <si>
    <t>佐野家</t>
  </si>
  <si>
    <t>大宝寺義勝</t>
  </si>
  <si>
    <t>#6e2f66</t>
  </si>
  <si>
    <t>本間泰高</t>
  </si>
  <si>
    <t>太田家</t>
  </si>
  <si>
    <t>#8e78a1</t>
  </si>
  <si>
    <t>本間憲泰</t>
  </si>
  <si>
    <t>#005caf</t>
  </si>
  <si>
    <t>桃井義孝</t>
  </si>
  <si>
    <t>山名家</t>
  </si>
  <si>
    <t>#d7c447</t>
  </si>
  <si>
    <t>安田景元</t>
  </si>
  <si>
    <t>赤松家</t>
  </si>
  <si>
    <t>#a63c45</t>
  </si>
  <si>
    <t>安田顕元</t>
  </si>
  <si>
    <t>安田長秀</t>
  </si>
  <si>
    <t>#45b3b3</t>
  </si>
  <si>
    <t>山吉政久</t>
  </si>
  <si>
    <t>長宗我部家</t>
  </si>
  <si>
    <t>#de1096</t>
  </si>
  <si>
    <t>山吉豊守</t>
  </si>
  <si>
    <t>尼子家</t>
  </si>
  <si>
    <t>#d37841</t>
  </si>
  <si>
    <t>山吉景長</t>
  </si>
  <si>
    <t>浦上家</t>
  </si>
  <si>
    <t>#407a9b</t>
  </si>
  <si>
    <t>吉江宗信</t>
  </si>
  <si>
    <t>三村家</t>
  </si>
  <si>
    <t>武田信虎</t>
  </si>
  <si>
    <t>#7a6553</t>
  </si>
  <si>
    <t>武田晴信</t>
  </si>
  <si>
    <t>三浦家</t>
  </si>
  <si>
    <t>#b1b46e</t>
  </si>
  <si>
    <t>武田義信</t>
  </si>
  <si>
    <t>安芸家</t>
  </si>
  <si>
    <t>#997f2b</t>
  </si>
  <si>
    <t>守随信義</t>
  </si>
  <si>
    <t>本山家</t>
  </si>
  <si>
    <t>海野信親</t>
  </si>
  <si>
    <t>#5a4b46</t>
  </si>
  <si>
    <t>武田信道</t>
  </si>
  <si>
    <t>河野家</t>
  </si>
  <si>
    <t>#4749D9</t>
  </si>
  <si>
    <t>諏訪勝頼</t>
  </si>
  <si>
    <t>一条家</t>
  </si>
  <si>
    <t>#1a4718</t>
  </si>
  <si>
    <t>武田信勝</t>
  </si>
  <si>
    <t>西園寺家</t>
  </si>
  <si>
    <t>仁科盛信</t>
  </si>
  <si>
    <t>#873d49</t>
  </si>
  <si>
    <t>武田信清</t>
  </si>
  <si>
    <t>rankName2</t>
  </si>
  <si>
    <t>#5a568f</t>
  </si>
  <si>
    <t>武田勝信</t>
  </si>
  <si>
    <t>大友家</t>
  </si>
  <si>
    <t>武田信貞</t>
  </si>
  <si>
    <t>#d04f4c</t>
  </si>
  <si>
    <t>征夷大将軍</t>
  </si>
  <si>
    <t>武田信繁</t>
  </si>
  <si>
    <t>龍造寺家</t>
  </si>
  <si>
    <t>#a710de</t>
  </si>
  <si>
    <t>関白</t>
  </si>
  <si>
    <t>武田信豊</t>
  </si>
  <si>
    <t>秋月家</t>
  </si>
  <si>
    <t>#71a2e3</t>
  </si>
  <si>
    <t>武田信廉</t>
  </si>
  <si>
    <t>太政大臣</t>
  </si>
  <si>
    <t>松浦家</t>
  </si>
  <si>
    <t>#d9a62e</t>
  </si>
  <si>
    <t>一条信龍</t>
  </si>
  <si>
    <t>左大臣</t>
  </si>
  <si>
    <t>有馬家</t>
  </si>
  <si>
    <t>#305a8a</t>
  </si>
  <si>
    <t>右大臣</t>
  </si>
  <si>
    <t>秋山虎繁</t>
  </si>
  <si>
    <t>阿蘇家</t>
  </si>
  <si>
    <t>#0601b1</t>
  </si>
  <si>
    <t>蘆田信守</t>
  </si>
  <si>
    <t>内大臣</t>
  </si>
  <si>
    <t>相良家</t>
  </si>
  <si>
    <t>依田信蕃</t>
  </si>
  <si>
    <t>大納言</t>
  </si>
  <si>
    <t>#a5a944</t>
  </si>
  <si>
    <t>跡部勝資</t>
  </si>
  <si>
    <t>跡部昌業</t>
  </si>
  <si>
    <t>権大納言</t>
  </si>
  <si>
    <t>穴山信友</t>
  </si>
  <si>
    <t>穴山信君</t>
  </si>
  <si>
    <t>穴山信治</t>
  </si>
  <si>
    <t>伊東家</t>
  </si>
  <si>
    <t>甘利虎泰</t>
  </si>
  <si>
    <t>#a8d8b9</t>
  </si>
  <si>
    <t>中納言</t>
  </si>
  <si>
    <t>板垣信方</t>
  </si>
  <si>
    <t>肝付家</t>
  </si>
  <si>
    <t>#1d708a</t>
  </si>
  <si>
    <t>大久保長安</t>
  </si>
  <si>
    <t>宗家</t>
  </si>
  <si>
    <t>大熊朝秀</t>
  </si>
  <si>
    <t>権中納言</t>
  </si>
  <si>
    <t>#685773</t>
  </si>
  <si>
    <t>小幡憲重</t>
  </si>
  <si>
    <t>香川家</t>
  </si>
  <si>
    <t>#cfb182</t>
  </si>
  <si>
    <t>小幡信真</t>
  </si>
  <si>
    <t>大西家</t>
  </si>
  <si>
    <t>小畠虎盛</t>
  </si>
  <si>
    <t>#69a65b</t>
  </si>
  <si>
    <t>堀内家</t>
  </si>
  <si>
    <t>弾正尹</t>
  </si>
  <si>
    <t>#4f1c38</t>
  </si>
  <si>
    <t>左近衛大将</t>
  </si>
  <si>
    <t>荻野家</t>
  </si>
  <si>
    <t>#381252</t>
  </si>
  <si>
    <t>右近衛大将</t>
  </si>
  <si>
    <t>小幡昌盛</t>
  </si>
  <si>
    <t>蠣崎家</t>
  </si>
  <si>
    <t>#05ab5f</t>
  </si>
  <si>
    <t>小幡景憲</t>
  </si>
  <si>
    <t>大宰帥</t>
  </si>
  <si>
    <t>南部家</t>
  </si>
  <si>
    <t>#c42a7e</t>
  </si>
  <si>
    <t>飯富道悦</t>
  </si>
  <si>
    <t>中務卿</t>
  </si>
  <si>
    <t>浪岡家</t>
  </si>
  <si>
    <t>飯富虎昌</t>
  </si>
  <si>
    <t>#2e1a59</t>
  </si>
  <si>
    <t>参議</t>
  </si>
  <si>
    <t>飯富昌景</t>
  </si>
  <si>
    <t>葛西家</t>
  </si>
  <si>
    <t>#bfdd00</t>
  </si>
  <si>
    <t>飯富昌満</t>
  </si>
  <si>
    <t>斯波家</t>
  </si>
  <si>
    <t>#066c1d</t>
  </si>
  <si>
    <t>小山田信有</t>
  </si>
  <si>
    <t>稗貫家</t>
  </si>
  <si>
    <t>#c57474</t>
  </si>
  <si>
    <t>小山田信茂</t>
  </si>
  <si>
    <t>安東家</t>
  </si>
  <si>
    <t>式部卿</t>
  </si>
  <si>
    <t>小山田茂誠</t>
  </si>
  <si>
    <t>#0ce3be</t>
  </si>
  <si>
    <t>伊達家</t>
  </si>
  <si>
    <t>治部卿</t>
  </si>
  <si>
    <t>春日虎綱</t>
  </si>
  <si>
    <t>#1503e3</t>
  </si>
  <si>
    <t>黒川家</t>
  </si>
  <si>
    <t>香坂昌澄</t>
  </si>
  <si>
    <t>民部卿</t>
  </si>
  <si>
    <t>#170f2b</t>
  </si>
  <si>
    <t>春日信達</t>
  </si>
  <si>
    <t>大崎家</t>
  </si>
  <si>
    <t>兵部卿</t>
  </si>
  <si>
    <t>#9d3bc4</t>
  </si>
  <si>
    <t>春日元忠</t>
  </si>
  <si>
    <t>刑部卿</t>
  </si>
  <si>
    <t>相馬家</t>
  </si>
  <si>
    <t>木曾義在</t>
  </si>
  <si>
    <t>#6ec401</t>
  </si>
  <si>
    <t>大蔵卿</t>
  </si>
  <si>
    <t>白河家</t>
  </si>
  <si>
    <t>木曾義康</t>
  </si>
  <si>
    <t>#bfb18a</t>
  </si>
  <si>
    <t>宮内卿</t>
  </si>
  <si>
    <t>木曾義昌</t>
  </si>
  <si>
    <t>二階堂家</t>
  </si>
  <si>
    <t>#453924</t>
  </si>
  <si>
    <t>左京大夫</t>
  </si>
  <si>
    <t>木曾義利</t>
  </si>
  <si>
    <t>岩城家</t>
  </si>
  <si>
    <t>#a95da3</t>
  </si>
  <si>
    <t>provinceName</t>
  </si>
  <si>
    <t>工藤昌秀</t>
  </si>
  <si>
    <t>田村家</t>
  </si>
  <si>
    <t>#00a3af</t>
  </si>
  <si>
    <t>castlesColorCode</t>
  </si>
  <si>
    <t>駒井高白斎</t>
  </si>
  <si>
    <t>二本松家</t>
  </si>
  <si>
    <t>#6e0303</t>
  </si>
  <si>
    <t>adjacentCastle</t>
  </si>
  <si>
    <t>戸沢家</t>
  </si>
  <si>
    <t>#851763</t>
  </si>
  <si>
    <t>浅利家</t>
  </si>
  <si>
    <t>#7f6107</t>
  </si>
  <si>
    <t>蝦夷国</t>
  </si>
  <si>
    <t>三枝昌貞</t>
  </si>
  <si>
    <t>赤尾津家</t>
  </si>
  <si>
    <t>#00dcff</t>
  </si>
  <si>
    <t>#26118f</t>
  </si>
  <si>
    <t>188s|191s|219s</t>
  </si>
  <si>
    <t>右京大夫</t>
  </si>
  <si>
    <t>多田昌澄</t>
  </si>
  <si>
    <t>小野寺家</t>
  </si>
  <si>
    <t>陸奥国</t>
  </si>
  <si>
    <t>#bfe687</t>
  </si>
  <si>
    <t>#00d0ff</t>
  </si>
  <si>
    <t>188|189|217</t>
  </si>
  <si>
    <t>大宝寺家</t>
  </si>
  <si>
    <t>#9d0b8d</t>
  </si>
  <si>
    <t>#00d8ff</t>
  </si>
  <si>
    <t>天童家</t>
  </si>
  <si>
    <t>187s|189|190|191s</t>
  </si>
  <si>
    <t>#5d7d09</t>
  </si>
  <si>
    <t>#00cbff</t>
  </si>
  <si>
    <t>最上家</t>
  </si>
  <si>
    <t>187s|188s|189s|192</t>
  </si>
  <si>
    <t>#e36703</t>
  </si>
  <si>
    <t>弾正大弼</t>
  </si>
  <si>
    <t>#00d4ff</t>
  </si>
  <si>
    <t>左近衛中将</t>
  </si>
  <si>
    <t>#cd83d4</t>
  </si>
  <si>
    <t>188|190|191s|192|196</t>
  </si>
  <si>
    <t>千葉家</t>
  </si>
  <si>
    <t>#00bbff</t>
  </si>
  <si>
    <t>#6a0b80</t>
  </si>
  <si>
    <t>193|194|196|197</t>
  </si>
  <si>
    <t>左近衛権中将</t>
  </si>
  <si>
    <t>千村良重</t>
  </si>
  <si>
    <t>#F89498</t>
  </si>
  <si>
    <t>#00bfff</t>
  </si>
  <si>
    <t>土屋昌恒</t>
  </si>
  <si>
    <t>192|193|195|196</t>
  </si>
  <si>
    <t>明智家</t>
  </si>
  <si>
    <t>右近衛中将</t>
  </si>
  <si>
    <t>長坂虎房</t>
  </si>
  <si>
    <t>#00c7ff</t>
  </si>
  <si>
    <t>松永家</t>
  </si>
  <si>
    <t>189|191|193|194</t>
  </si>
  <si>
    <t>禰津元直</t>
  </si>
  <si>
    <t>荒木家</t>
  </si>
  <si>
    <t>初鹿野忠次</t>
  </si>
  <si>
    <t>右近衛権中将</t>
  </si>
  <si>
    <t>#00c3ff</t>
  </si>
  <si>
    <t>192|194|195</t>
  </si>
  <si>
    <t>立花家</t>
  </si>
  <si>
    <t>初鹿野昌次</t>
  </si>
  <si>
    <t>細川家</t>
  </si>
  <si>
    <t>#00aeff</t>
  </si>
  <si>
    <t>馬場信房</t>
  </si>
  <si>
    <t>左衛門督</t>
  </si>
  <si>
    <t>198|200|202</t>
  </si>
  <si>
    <t>諏訪家</t>
  </si>
  <si>
    <t>馬場昌房</t>
  </si>
  <si>
    <t>#00b6ff</t>
  </si>
  <si>
    <t>原虎胤</t>
  </si>
  <si>
    <t>195|196|198|220</t>
  </si>
  <si>
    <t>高遠家</t>
  </si>
  <si>
    <t>右衛門督</t>
  </si>
  <si>
    <t>原昌胤</t>
  </si>
  <si>
    <t>#00b2ff</t>
  </si>
  <si>
    <t>平林正恒</t>
  </si>
  <si>
    <t>小笠原家</t>
  </si>
  <si>
    <t>197|199</t>
  </si>
  <si>
    <t>左兵衛督</t>
  </si>
  <si>
    <t>二木重高</t>
  </si>
  <si>
    <t>真田家</t>
  </si>
  <si>
    <t>#00aaff</t>
  </si>
  <si>
    <t>二木重吉</t>
  </si>
  <si>
    <t>右兵衛督</t>
  </si>
  <si>
    <t>189|194|195|197|217</t>
  </si>
  <si>
    <t>宇喜多家</t>
  </si>
  <si>
    <t>保科正俊</t>
  </si>
  <si>
    <t>大宰大弐</t>
  </si>
  <si>
    <t>村上家</t>
  </si>
  <si>
    <t>#00a1ff</t>
  </si>
  <si>
    <t>200|204|205</t>
  </si>
  <si>
    <t>保科正直</t>
  </si>
  <si>
    <t>勘解由長官</t>
  </si>
  <si>
    <t>瀬戸内水軍</t>
  </si>
  <si>
    <t>保科正光</t>
  </si>
  <si>
    <t>左兵衛佐</t>
  </si>
  <si>
    <t>#0061ff</t>
  </si>
  <si>
    <t>陶家</t>
  </si>
  <si>
    <t>201|204|206|207</t>
  </si>
  <si>
    <t>北条氏重</t>
  </si>
  <si>
    <t>右兵衛佐</t>
  </si>
  <si>
    <t>山内上杉家</t>
  </si>
  <si>
    <t>工藤昌月</t>
  </si>
  <si>
    <t>#0094ff</t>
  </si>
  <si>
    <t>中務大輔</t>
  </si>
  <si>
    <t>201|203|205|224</t>
  </si>
  <si>
    <t>御宿政友</t>
  </si>
  <si>
    <t>壬生家</t>
  </si>
  <si>
    <t>大膳大夫</t>
  </si>
  <si>
    <t>室賀正武</t>
  </si>
  <si>
    <t>大内家</t>
  </si>
  <si>
    <t>#00a5ff</t>
  </si>
  <si>
    <t>屋代正国</t>
  </si>
  <si>
    <t>199|201</t>
  </si>
  <si>
    <t>屋代秀正</t>
  </si>
  <si>
    <t>#0098ff</t>
  </si>
  <si>
    <t>少弐家</t>
  </si>
  <si>
    <t>202|204</t>
  </si>
  <si>
    <t>修理大夫</t>
  </si>
  <si>
    <t>千葉九州家</t>
  </si>
  <si>
    <t>山村良候</t>
  </si>
  <si>
    <t>#009dff</t>
  </si>
  <si>
    <t>199|203|221</t>
  </si>
  <si>
    <t>土岐家</t>
  </si>
  <si>
    <t>山村良勝</t>
  </si>
  <si>
    <t>安芸武田家</t>
  </si>
  <si>
    <t>#0083ff</t>
  </si>
  <si>
    <t>山本晴幸</t>
  </si>
  <si>
    <t>208|210|211</t>
  </si>
  <si>
    <t>山本幸房</t>
  </si>
  <si>
    <t>#0072ff</t>
  </si>
  <si>
    <t>59|62|210|212|231</t>
  </si>
  <si>
    <t>大宰少弐</t>
  </si>
  <si>
    <t>横田高松</t>
  </si>
  <si>
    <t>伊勢盛時</t>
  </si>
  <si>
    <t>式部大輔</t>
  </si>
  <si>
    <t>#0090ff</t>
  </si>
  <si>
    <t>長野工藤家</t>
  </si>
  <si>
    <t>北条氏綱</t>
  </si>
  <si>
    <t>205|207|208|214|226</t>
  </si>
  <si>
    <t>治部大輔</t>
  </si>
  <si>
    <t>北条氏康</t>
  </si>
  <si>
    <t>津軽家</t>
  </si>
  <si>
    <t>#0077ff</t>
  </si>
  <si>
    <t>民部大輔</t>
  </si>
  <si>
    <t>北条氏政</t>
  </si>
  <si>
    <t>62|210|211|213</t>
  </si>
  <si>
    <t>尾張斯波家</t>
  </si>
  <si>
    <t>兵部大輔</t>
  </si>
  <si>
    <t>北条氏直</t>
  </si>
  <si>
    <t>#007fff</t>
  </si>
  <si>
    <t>真里谷家</t>
  </si>
  <si>
    <t>59|209|212|213</t>
  </si>
  <si>
    <t>北条氏房</t>
  </si>
  <si>
    <t>刑部大輔</t>
  </si>
  <si>
    <t>因幡武田家</t>
  </si>
  <si>
    <t>#0087ff</t>
  </si>
  <si>
    <t>大蔵大輔</t>
  </si>
  <si>
    <t>北条氏邦</t>
  </si>
  <si>
    <t>206|207|209</t>
  </si>
  <si>
    <t>徳川家</t>
  </si>
  <si>
    <t>北条氏照</t>
  </si>
  <si>
    <t>宮内大輔</t>
  </si>
  <si>
    <t>#007bff</t>
  </si>
  <si>
    <t>大給松平家</t>
  </si>
  <si>
    <t>209|212|215|216</t>
  </si>
  <si>
    <t>北条氏規</t>
  </si>
  <si>
    <t>弾正少弼</t>
  </si>
  <si>
    <t>羽柴家</t>
  </si>
  <si>
    <t>北条氏盛</t>
  </si>
  <si>
    <t>#008cff</t>
  </si>
  <si>
    <t>205|206|208</t>
  </si>
  <si>
    <t>左近衛少将</t>
  </si>
  <si>
    <t>北条氏信</t>
  </si>
  <si>
    <t>#0066ff</t>
  </si>
  <si>
    <t>61|62|211|214|215|228</t>
  </si>
  <si>
    <t>北条氏宗</t>
  </si>
  <si>
    <t>上杉景虎</t>
  </si>
  <si>
    <t>左近衛権少将</t>
  </si>
  <si>
    <t>#faff00</t>
  </si>
  <si>
    <t>15|62|216|228</t>
  </si>
  <si>
    <t>北条為昌</t>
  </si>
  <si>
    <t>#f6ff00</t>
  </si>
  <si>
    <t>北条氏尭</t>
  </si>
  <si>
    <t>右近衛少将</t>
  </si>
  <si>
    <t>61|213|216|212|231</t>
  </si>
  <si>
    <t>北条綱高</t>
  </si>
  <si>
    <t>#006eff</t>
  </si>
  <si>
    <t>右近衛権少将</t>
  </si>
  <si>
    <t>北条長綱</t>
  </si>
  <si>
    <t>206|215|216|228</t>
  </si>
  <si>
    <t>北条綱重</t>
  </si>
  <si>
    <t>#006aff</t>
  </si>
  <si>
    <t>211|214|216</t>
  </si>
  <si>
    <t>中務少輔</t>
  </si>
  <si>
    <t>福島正成</t>
  </si>
  <si>
    <t>出羽国</t>
  </si>
  <si>
    <t>北条綱成</t>
  </si>
  <si>
    <t>図書頭</t>
  </si>
  <si>
    <t>#0050ff</t>
  </si>
  <si>
    <t>197|218|219|221</t>
  </si>
  <si>
    <t>北条康成</t>
  </si>
  <si>
    <t>内匠頭</t>
  </si>
  <si>
    <t>#005dff</t>
  </si>
  <si>
    <t>北条氏勝</t>
  </si>
  <si>
    <t>雅楽頭</t>
  </si>
  <si>
    <t>190|196|218</t>
  </si>
  <si>
    <t>北条氏秀</t>
  </si>
  <si>
    <t>玄蕃頭</t>
  </si>
  <si>
    <t>北条綱房</t>
  </si>
  <si>
    <t>#0059ff</t>
  </si>
  <si>
    <t>217|219|220</t>
  </si>
  <si>
    <t>主計頭</t>
  </si>
  <si>
    <t>福島成賢</t>
  </si>
  <si>
    <t>#0054ff</t>
  </si>
  <si>
    <t>秋元長朝</t>
  </si>
  <si>
    <t>木工頭</t>
  </si>
  <si>
    <t>187s|218|220|243</t>
  </si>
  <si>
    <t>安藤良整</t>
  </si>
  <si>
    <t>左馬頭</t>
  </si>
  <si>
    <t>石巻康敬</t>
  </si>
  <si>
    <t>板部岡江雪斎</t>
  </si>
  <si>
    <t>右馬頭</t>
  </si>
  <si>
    <t>猪俣邦憲</t>
  </si>
  <si>
    <t>上田朝直</t>
  </si>
  <si>
    <t>兵庫頭</t>
  </si>
  <si>
    <t>上田憲定</t>
  </si>
  <si>
    <t>左衛門佐</t>
  </si>
  <si>
    <t>牛込勝行</t>
  </si>
  <si>
    <t>大石定久</t>
  </si>
  <si>
    <t>右衛門佐</t>
  </si>
  <si>
    <t>太田泰昌</t>
  </si>
  <si>
    <t>大和守</t>
  </si>
  <si>
    <t>笠原信為</t>
  </si>
  <si>
    <t>河内守</t>
  </si>
  <si>
    <t>笠原康勝</t>
  </si>
  <si>
    <t>伊勢守</t>
  </si>
  <si>
    <t>笠原綱信</t>
  </si>
  <si>
    <t>武蔵守</t>
  </si>
  <si>
    <t>梶原景宗</t>
  </si>
  <si>
    <t>下総守</t>
  </si>
  <si>
    <t>狩野泰光</t>
  </si>
  <si>
    <t>近藤綱秀</t>
  </si>
  <si>
    <t>清水康英</t>
  </si>
  <si>
    <t>近江守</t>
  </si>
  <si>
    <t>清水政勝</t>
  </si>
  <si>
    <t>陸奥守</t>
  </si>
  <si>
    <t>諏訪部定勝</t>
  </si>
  <si>
    <t>越前守</t>
  </si>
  <si>
    <t>大藤信基</t>
  </si>
  <si>
    <t>播磨守</t>
  </si>
  <si>
    <t>大藤秀信</t>
  </si>
  <si>
    <t>肥後守</t>
  </si>
  <si>
    <t>大藤信興</t>
  </si>
  <si>
    <t>大道寺盛昌</t>
  </si>
  <si>
    <t>侍従</t>
  </si>
  <si>
    <t>大道寺周勝</t>
  </si>
  <si>
    <t>大道寺資親</t>
  </si>
  <si>
    <t>大道寺政繁</t>
  </si>
  <si>
    <t>大道寺直次</t>
  </si>
  <si>
    <t>大道寺直英</t>
  </si>
  <si>
    <t>多目元忠</t>
  </si>
  <si>
    <t>遠山綱景</t>
  </si>
  <si>
    <t>式部少輔</t>
  </si>
  <si>
    <t>遠山政景</t>
  </si>
  <si>
    <t>治部少輔</t>
  </si>
  <si>
    <t>富永康景</t>
  </si>
  <si>
    <t>民部少輔</t>
  </si>
  <si>
    <t>中条景信</t>
  </si>
  <si>
    <t>兵部少輔</t>
  </si>
  <si>
    <t>中山家範</t>
  </si>
  <si>
    <t>刑部少輔</t>
  </si>
  <si>
    <t>中山照守</t>
  </si>
  <si>
    <t>大蔵少輔</t>
  </si>
  <si>
    <t>南条昌治</t>
  </si>
  <si>
    <t>南条重長</t>
  </si>
  <si>
    <t>宮内少輔</t>
  </si>
  <si>
    <t>垪和氏続</t>
  </si>
  <si>
    <t>左京亮</t>
  </si>
  <si>
    <t>垪和康忠</t>
  </si>
  <si>
    <t>右京亮</t>
  </si>
  <si>
    <t>藤田康邦</t>
  </si>
  <si>
    <t>大膳亮</t>
  </si>
  <si>
    <t>藤田信吉</t>
  </si>
  <si>
    <t>松田憲秀</t>
  </si>
  <si>
    <t>修理亮</t>
  </si>
  <si>
    <t>笠原政晴</t>
  </si>
  <si>
    <t>内蔵頭</t>
  </si>
  <si>
    <t>松田直秀</t>
  </si>
  <si>
    <t>縫殿頭</t>
  </si>
  <si>
    <t>松田康定</t>
  </si>
  <si>
    <t>大炊頭</t>
  </si>
  <si>
    <t>松田康長</t>
  </si>
  <si>
    <t>主殿頭</t>
  </si>
  <si>
    <t>松田康郷</t>
  </si>
  <si>
    <t>間宮康俊</t>
  </si>
  <si>
    <t>掃部頭</t>
  </si>
  <si>
    <t>勘解由次官</t>
  </si>
  <si>
    <t>山角定勝</t>
  </si>
  <si>
    <t>今川国氏</t>
  </si>
  <si>
    <t>山城守</t>
  </si>
  <si>
    <t>今川基氏</t>
  </si>
  <si>
    <t>摂津守</t>
  </si>
  <si>
    <t>今川範国</t>
  </si>
  <si>
    <t>尾張守</t>
  </si>
  <si>
    <t>今川範氏</t>
  </si>
  <si>
    <t>三河守</t>
  </si>
  <si>
    <t>今川義忠</t>
  </si>
  <si>
    <t>今川氏親</t>
  </si>
  <si>
    <t>遠江守</t>
  </si>
  <si>
    <t>今川氏輝</t>
  </si>
  <si>
    <t>駿河守</t>
  </si>
  <si>
    <t>玄広恵探</t>
  </si>
  <si>
    <t>甲斐守</t>
  </si>
  <si>
    <t>今川義元</t>
  </si>
  <si>
    <t>相模守</t>
  </si>
  <si>
    <t>今川氏真</t>
  </si>
  <si>
    <t>美濃守</t>
  </si>
  <si>
    <t>今川範以</t>
  </si>
  <si>
    <t>信濃守</t>
  </si>
  <si>
    <t>今川直房</t>
  </si>
  <si>
    <t>下野守</t>
  </si>
  <si>
    <t>品川高久</t>
  </si>
  <si>
    <t>今川貞世</t>
  </si>
  <si>
    <t>出羽守</t>
  </si>
  <si>
    <t>瀬名一秀</t>
  </si>
  <si>
    <t>加賀守</t>
  </si>
  <si>
    <t>瀬名氏貞</t>
  </si>
  <si>
    <t>越中守</t>
  </si>
  <si>
    <t>瀬名氏俊</t>
  </si>
  <si>
    <t>越後守</t>
  </si>
  <si>
    <t>瀬名氏詮</t>
  </si>
  <si>
    <t>丹波守</t>
  </si>
  <si>
    <t>瀬名政勝</t>
  </si>
  <si>
    <t>但馬守</t>
  </si>
  <si>
    <t>瀬名清貞</t>
  </si>
  <si>
    <t>関口氏純</t>
  </si>
  <si>
    <t>因幡守</t>
  </si>
  <si>
    <t>今川経国</t>
  </si>
  <si>
    <t>伯耆守</t>
  </si>
  <si>
    <t>関口政興</t>
  </si>
  <si>
    <t>出雲守</t>
  </si>
  <si>
    <t>関口氏縁</t>
  </si>
  <si>
    <t>美作守</t>
  </si>
  <si>
    <t>関口氏経</t>
  </si>
  <si>
    <t>井伊直虎</t>
  </si>
  <si>
    <t>備前守</t>
  </si>
  <si>
    <t>青木一重</t>
  </si>
  <si>
    <t>備中守</t>
  </si>
  <si>
    <t>朝比奈泰煕</t>
  </si>
  <si>
    <t>備後守</t>
  </si>
  <si>
    <t>朝比奈泰能</t>
  </si>
  <si>
    <t>安芸守</t>
  </si>
  <si>
    <t>朝比奈泰朝</t>
  </si>
  <si>
    <t>周防守</t>
  </si>
  <si>
    <t>朝比奈泰基</t>
  </si>
  <si>
    <t>紀伊守</t>
  </si>
  <si>
    <t>朝比奈俊永</t>
  </si>
  <si>
    <t>阿波守</t>
  </si>
  <si>
    <t>朝比奈親徳</t>
  </si>
  <si>
    <t>朝比奈信置</t>
  </si>
  <si>
    <t>讃岐守</t>
  </si>
  <si>
    <t>朝比奈信良</t>
  </si>
  <si>
    <t>伊予守</t>
  </si>
  <si>
    <t>朝比奈元永</t>
  </si>
  <si>
    <t>筑前守</t>
  </si>
  <si>
    <t>朝比奈宗利</t>
  </si>
  <si>
    <t>筑後守</t>
  </si>
  <si>
    <t>天野藤秀</t>
  </si>
  <si>
    <t>肥前守</t>
  </si>
  <si>
    <t>安部元真</t>
  </si>
  <si>
    <t>豊前守</t>
  </si>
  <si>
    <t>伊丹康直</t>
  </si>
  <si>
    <t>飯尾乗連</t>
  </si>
  <si>
    <t>豊後守</t>
  </si>
  <si>
    <t>飯尾連龍</t>
  </si>
  <si>
    <t>中務大丞</t>
  </si>
  <si>
    <t>鵜殿長持</t>
  </si>
  <si>
    <t>内膳正</t>
  </si>
  <si>
    <t>鵜殿長照</t>
  </si>
  <si>
    <t>東市正</t>
  </si>
  <si>
    <t>鵜殿氏長</t>
  </si>
  <si>
    <t>西市正</t>
  </si>
  <si>
    <t>小笠原春義</t>
  </si>
  <si>
    <t>弾正大忠</t>
  </si>
  <si>
    <t>小笠原氏興</t>
  </si>
  <si>
    <t>左近将監</t>
  </si>
  <si>
    <t>小笠原氏助</t>
  </si>
  <si>
    <t>岡部親綱</t>
  </si>
  <si>
    <t>岡部久綱</t>
  </si>
  <si>
    <t>岡部正綱</t>
  </si>
  <si>
    <t>右近将監</t>
  </si>
  <si>
    <t>岡部長盛</t>
  </si>
  <si>
    <t>岡部元信</t>
  </si>
  <si>
    <t>式部大丞</t>
  </si>
  <si>
    <t>小原鎮実</t>
  </si>
  <si>
    <t>治部大丞</t>
  </si>
  <si>
    <t>葛山氏元</t>
  </si>
  <si>
    <t>民部大丞</t>
  </si>
  <si>
    <t>sortNo</t>
  </si>
  <si>
    <t>九英承菊</t>
  </si>
  <si>
    <t>兵部大丞</t>
  </si>
  <si>
    <t>久野宗能</t>
  </si>
  <si>
    <t>刑部大丞</t>
  </si>
  <si>
    <t>菅沼定盈</t>
  </si>
  <si>
    <t>大蔵大丞</t>
  </si>
  <si>
    <t>菅沼定芳</t>
  </si>
  <si>
    <t>孕石元泰</t>
  </si>
  <si>
    <t>宮内大丞</t>
  </si>
  <si>
    <t>孕石元成</t>
  </si>
  <si>
    <t>図書助</t>
  </si>
  <si>
    <t>松井宗信</t>
  </si>
  <si>
    <t>内匠助</t>
  </si>
  <si>
    <t>松下之綱</t>
  </si>
  <si>
    <t>雅楽助</t>
  </si>
  <si>
    <t>三浦元政</t>
  </si>
  <si>
    <t>玄蕃助</t>
  </si>
  <si>
    <t>由比正信</t>
  </si>
  <si>
    <t>由比正純</t>
  </si>
  <si>
    <t>主計助</t>
  </si>
  <si>
    <t>長井利隆</t>
  </si>
  <si>
    <t>木工助</t>
  </si>
  <si>
    <t>長井規秀</t>
  </si>
  <si>
    <t>左馬助</t>
  </si>
  <si>
    <t>斎藤利尚</t>
  </si>
  <si>
    <t>右馬助</t>
  </si>
  <si>
    <t>enabled</t>
  </si>
  <si>
    <t>斎藤龍興</t>
  </si>
  <si>
    <t>兵庫助</t>
  </si>
  <si>
    <t>斎藤利治</t>
  </si>
  <si>
    <t>隼人正</t>
  </si>
  <si>
    <t>斎藤義興</t>
  </si>
  <si>
    <t>長井道利</t>
  </si>
  <si>
    <t>織部正</t>
  </si>
  <si>
    <t>yomi</t>
  </si>
  <si>
    <t>長井道勝</t>
  </si>
  <si>
    <t>釆女正</t>
  </si>
  <si>
    <t>安藤守就</t>
  </si>
  <si>
    <t>弾正少忠</t>
  </si>
  <si>
    <t>安藤定治</t>
  </si>
  <si>
    <t>上総介</t>
  </si>
  <si>
    <t>稲葉良通</t>
  </si>
  <si>
    <t>常陸介</t>
  </si>
  <si>
    <t>稲葉重通</t>
  </si>
  <si>
    <t>上野介</t>
  </si>
  <si>
    <t>国確認用</t>
  </si>
  <si>
    <t>安房守</t>
  </si>
  <si>
    <t>稲葉道通</t>
  </si>
  <si>
    <t>若狭守</t>
  </si>
  <si>
    <t>城主名確認用</t>
  </si>
  <si>
    <t>能登守</t>
  </si>
  <si>
    <t>佐渡守</t>
  </si>
  <si>
    <t>大名確認用</t>
  </si>
  <si>
    <t>稲葉正成</t>
  </si>
  <si>
    <t>丹後守</t>
  </si>
  <si>
    <t>ownerClan</t>
  </si>
  <si>
    <t>石見守</t>
  </si>
  <si>
    <t>稲葉貞通</t>
  </si>
  <si>
    <t>legionId</t>
  </si>
  <si>
    <t>稲葉典通</t>
  </si>
  <si>
    <t>長門守</t>
  </si>
  <si>
    <t>猪子高就</t>
  </si>
  <si>
    <t>castellanId</t>
  </si>
  <si>
    <t>土佐守</t>
  </si>
  <si>
    <t>桑原直元</t>
  </si>
  <si>
    <t>日向守</t>
  </si>
  <si>
    <t>soldiers</t>
  </si>
  <si>
    <t>氏家直昌</t>
  </si>
  <si>
    <t>大隅守</t>
  </si>
  <si>
    <t>training</t>
  </si>
  <si>
    <t>氏家行広</t>
  </si>
  <si>
    <t>薩摩守</t>
  </si>
  <si>
    <t>遠藤胤好</t>
  </si>
  <si>
    <t>morale</t>
  </si>
  <si>
    <t>中務少丞</t>
  </si>
  <si>
    <t>遠藤胤縁</t>
  </si>
  <si>
    <t>式部少丞</t>
  </si>
  <si>
    <t>gold</t>
  </si>
  <si>
    <t>遠藤盛数</t>
  </si>
  <si>
    <t>治部少丞</t>
  </si>
  <si>
    <t>rice</t>
  </si>
  <si>
    <t>遠藤慶隆</t>
  </si>
  <si>
    <t>民部少丞</t>
  </si>
  <si>
    <t>ammo</t>
  </si>
  <si>
    <t>遠藤胤俊</t>
  </si>
  <si>
    <t>兵部少丞</t>
  </si>
  <si>
    <t>horses</t>
  </si>
  <si>
    <t>遠藤胤基</t>
  </si>
  <si>
    <t>刑部少丞</t>
  </si>
  <si>
    <t>大沢正秀</t>
  </si>
  <si>
    <t>guns</t>
  </si>
  <si>
    <t>大蔵少丞</t>
  </si>
  <si>
    <t>加藤光泰</t>
  </si>
  <si>
    <t>kokudaka</t>
  </si>
  <si>
    <t>加藤貞泰</t>
  </si>
  <si>
    <t>宮内少丞</t>
  </si>
  <si>
    <t>maxKokudaka</t>
  </si>
  <si>
    <t>岸信周</t>
  </si>
  <si>
    <t>内蔵助</t>
  </si>
  <si>
    <t>commerce</t>
  </si>
  <si>
    <t>小牧道家</t>
  </si>
  <si>
    <t>縫殿助</t>
  </si>
  <si>
    <t>maxCommerce</t>
  </si>
  <si>
    <t>斎藤利良</t>
  </si>
  <si>
    <t>大炊助</t>
  </si>
  <si>
    <t>defense</t>
  </si>
  <si>
    <t>斎藤利茂</t>
  </si>
  <si>
    <t>主殿助</t>
  </si>
  <si>
    <t>maxDefense</t>
  </si>
  <si>
    <t>原長頼</t>
  </si>
  <si>
    <t>掃部助</t>
  </si>
  <si>
    <t>peoplesLoyalty</t>
  </si>
  <si>
    <t>population</t>
  </si>
  <si>
    <t>主水正</t>
  </si>
  <si>
    <t>日根野弘就</t>
  </si>
  <si>
    <t>主膳正</t>
  </si>
  <si>
    <t>日根野高吉</t>
  </si>
  <si>
    <t>日根野吉明</t>
  </si>
  <si>
    <t>左衛門大尉</t>
  </si>
  <si>
    <t>不破光治</t>
  </si>
  <si>
    <t>松野一忠</t>
  </si>
  <si>
    <t>松野重元</t>
  </si>
  <si>
    <t>横山長隆</t>
  </si>
  <si>
    <t>横山長知</t>
  </si>
  <si>
    <t>右衛門大尉</t>
  </si>
  <si>
    <t>織田久長</t>
  </si>
  <si>
    <t>織田敏定</t>
  </si>
  <si>
    <t>織田信定</t>
  </si>
  <si>
    <t>織田信秀</t>
  </si>
  <si>
    <t>徳山館</t>
  </si>
  <si>
    <t>織田信広</t>
  </si>
  <si>
    <t>とくやまやかた</t>
  </si>
  <si>
    <t>左兵衛大尉</t>
  </si>
  <si>
    <t>織田信長</t>
  </si>
  <si>
    <t>織田信忠</t>
  </si>
  <si>
    <t>織田秀信</t>
  </si>
  <si>
    <t>織田信雄</t>
  </si>
  <si>
    <t>右兵衛大尉</t>
  </si>
  <si>
    <t>織田秀雄</t>
  </si>
  <si>
    <t>織田高長</t>
  </si>
  <si>
    <t>織田信孝</t>
  </si>
  <si>
    <t>秋田城介</t>
  </si>
  <si>
    <t>織田勝長</t>
  </si>
  <si>
    <t>左京大進</t>
  </si>
  <si>
    <t>津田勝良</t>
  </si>
  <si>
    <t>右京大進</t>
  </si>
  <si>
    <t>織田信勝</t>
  </si>
  <si>
    <t>主馬首</t>
  </si>
  <si>
    <t>織田信澄</t>
  </si>
  <si>
    <t>織田昌澄</t>
  </si>
  <si>
    <t>勘解由判官</t>
  </si>
  <si>
    <t>織田信包</t>
  </si>
  <si>
    <t>和泉守</t>
  </si>
  <si>
    <t>織田信則</t>
  </si>
  <si>
    <t>伊賀守</t>
  </si>
  <si>
    <t>織田長益</t>
  </si>
  <si>
    <t>志摩守</t>
  </si>
  <si>
    <t>織田頼長</t>
  </si>
  <si>
    <t>伊豆守</t>
  </si>
  <si>
    <t>織田信康</t>
  </si>
  <si>
    <t>織田信清</t>
  </si>
  <si>
    <t>飛騨守</t>
  </si>
  <si>
    <t>津田信益</t>
  </si>
  <si>
    <t>隠岐守</t>
  </si>
  <si>
    <t>織田広良</t>
  </si>
  <si>
    <t>淡路守</t>
  </si>
  <si>
    <t>織田信光</t>
  </si>
  <si>
    <t>壱岐守</t>
  </si>
  <si>
    <t>織田寛定</t>
  </si>
  <si>
    <t>対馬守</t>
  </si>
  <si>
    <t>織田達勝</t>
  </si>
  <si>
    <t>左衛門少尉</t>
  </si>
  <si>
    <t>織田信友</t>
  </si>
  <si>
    <t>織田敏信</t>
  </si>
  <si>
    <t>織田信安</t>
  </si>
  <si>
    <t>赤座吉家</t>
  </si>
  <si>
    <t>永原孝治</t>
  </si>
  <si>
    <t>右衛門少尉</t>
  </si>
  <si>
    <t>池田恒興</t>
  </si>
  <si>
    <t>池田輝政</t>
  </si>
  <si>
    <t>池田利隆</t>
  </si>
  <si>
    <t>池田光政</t>
  </si>
  <si>
    <t>池田忠雄</t>
  </si>
  <si>
    <t>左兵衛少尉</t>
  </si>
  <si>
    <t>池田輝澄</t>
  </si>
  <si>
    <t>池田政綱</t>
  </si>
  <si>
    <t>池田長吉</t>
  </si>
  <si>
    <t>池田長幸</t>
  </si>
  <si>
    <t>飯尾定宗</t>
  </si>
  <si>
    <t>江口正吉</t>
  </si>
  <si>
    <t>右兵衛少尉</t>
  </si>
  <si>
    <t>太田一吉</t>
  </si>
  <si>
    <t>太田信定</t>
  </si>
  <si>
    <t>岡本良勝</t>
  </si>
  <si>
    <t>奥田直政</t>
  </si>
  <si>
    <t>奥田直寄</t>
  </si>
  <si>
    <t>典膳</t>
  </si>
  <si>
    <t>奥村永福</t>
  </si>
  <si>
    <t>東市佑</t>
  </si>
  <si>
    <t>金森可近</t>
  </si>
  <si>
    <t>西市佑</t>
  </si>
  <si>
    <t>金森可重</t>
  </si>
  <si>
    <t>隼人佑</t>
  </si>
  <si>
    <t>金森重頼</t>
  </si>
  <si>
    <t>可児吉長</t>
  </si>
  <si>
    <t>織部佑</t>
  </si>
  <si>
    <t>兼松正吉</t>
  </si>
  <si>
    <t>釆女佑</t>
  </si>
  <si>
    <t>河尻秀隆</t>
  </si>
  <si>
    <t>主水佑</t>
  </si>
  <si>
    <t>河尻秀長</t>
  </si>
  <si>
    <t>主膳佑</t>
  </si>
  <si>
    <t>桑山重晴</t>
  </si>
  <si>
    <t>桑山元晴</t>
  </si>
  <si>
    <t>桑山一重</t>
  </si>
  <si>
    <t>桑山一晴</t>
  </si>
  <si>
    <t>桑山一直</t>
  </si>
  <si>
    <t>坂井成政</t>
  </si>
  <si>
    <t>坂井政尚</t>
  </si>
  <si>
    <t>佐久間盛通</t>
  </si>
  <si>
    <t>佐久間盛経</t>
  </si>
  <si>
    <t>佐久間盛重</t>
  </si>
  <si>
    <t>佐久間信晴</t>
  </si>
  <si>
    <t>佐久間信盛</t>
  </si>
  <si>
    <t>佐久間信栄</t>
  </si>
  <si>
    <t>佐久間盛重久六</t>
  </si>
  <si>
    <t>佐久間盛次</t>
  </si>
  <si>
    <t>佐久間盛政</t>
  </si>
  <si>
    <t>佐久間安政</t>
  </si>
  <si>
    <t>柴田勝政</t>
  </si>
  <si>
    <t>佐久間勝之</t>
  </si>
  <si>
    <t>佐々成政</t>
  </si>
  <si>
    <t>柴田勝家</t>
  </si>
  <si>
    <t>柴田勝豊</t>
  </si>
  <si>
    <t>菅屋長頼</t>
  </si>
  <si>
    <t>仙石秀久</t>
  </si>
  <si>
    <t>仙石秀範</t>
  </si>
  <si>
    <t>仙石忠政</t>
  </si>
  <si>
    <t>高木清秀</t>
  </si>
  <si>
    <t>滝川貞勝</t>
  </si>
  <si>
    <t>滝川一勝</t>
  </si>
  <si>
    <t>滝川一益</t>
  </si>
  <si>
    <t>滝川一忠</t>
  </si>
  <si>
    <t>滝川一積</t>
  </si>
  <si>
    <t>滝川一時</t>
  </si>
  <si>
    <t>滝川一乗</t>
  </si>
  <si>
    <t>滝川辰政</t>
  </si>
  <si>
    <t>津田秀政</t>
  </si>
  <si>
    <t>滝川某</t>
  </si>
  <si>
    <t>滝川益重</t>
  </si>
  <si>
    <t>前田利益</t>
  </si>
  <si>
    <t>田中吉政</t>
  </si>
  <si>
    <t>田中吉次</t>
  </si>
  <si>
    <t>田中吉興</t>
  </si>
  <si>
    <t>田中忠政</t>
  </si>
  <si>
    <t>妻木広忠</t>
  </si>
  <si>
    <t>妻木貞徳</t>
  </si>
  <si>
    <t>妻木頼忠</t>
  </si>
  <si>
    <t>徳永寿昌</t>
  </si>
  <si>
    <t>徳永昌重</t>
  </si>
  <si>
    <t>戸田勝隆</t>
  </si>
  <si>
    <t>戸田勝成</t>
  </si>
  <si>
    <t>村上義明</t>
  </si>
  <si>
    <t>百々綱家</t>
  </si>
  <si>
    <t>中川重政</t>
  </si>
  <si>
    <t>中川光重</t>
  </si>
  <si>
    <t>長崎元家</t>
  </si>
  <si>
    <t>中島氏勝</t>
  </si>
  <si>
    <t>永原松雲</t>
  </si>
  <si>
    <t>中村一氏</t>
  </si>
  <si>
    <t>南部光顕</t>
  </si>
  <si>
    <t>丹羽長秀</t>
  </si>
  <si>
    <t>丹羽長重</t>
  </si>
  <si>
    <t>丹羽光重</t>
  </si>
  <si>
    <t>藤堂一高</t>
  </si>
  <si>
    <t>拝郷家嘉</t>
  </si>
  <si>
    <t>蜂屋頼隆</t>
  </si>
  <si>
    <t>林通安</t>
  </si>
  <si>
    <t>林秀貞</t>
  </si>
  <si>
    <t>林通政</t>
  </si>
  <si>
    <t>林一吉</t>
  </si>
  <si>
    <t>林通具</t>
  </si>
  <si>
    <t>塙正勝</t>
  </si>
  <si>
    <t>塙安友</t>
  </si>
  <si>
    <t>土方雄久</t>
  </si>
  <si>
    <t>土方雄氏</t>
  </si>
  <si>
    <t>土方雄重</t>
  </si>
  <si>
    <t>平手政秀</t>
  </si>
  <si>
    <t>平手久秀</t>
  </si>
  <si>
    <t>平手汎秀</t>
  </si>
  <si>
    <t>古田重然</t>
  </si>
  <si>
    <t>古田重則</t>
  </si>
  <si>
    <t>古田重勝</t>
  </si>
  <si>
    <t>古田重治</t>
  </si>
  <si>
    <t>堀田正吉</t>
  </si>
  <si>
    <t>堀秀重</t>
  </si>
  <si>
    <t>堀秀政</t>
  </si>
  <si>
    <t>堀秀治</t>
  </si>
  <si>
    <t>堀親良</t>
  </si>
  <si>
    <t>近藤政成</t>
  </si>
  <si>
    <t>多賀秀種</t>
  </si>
  <si>
    <t>堀利重</t>
  </si>
  <si>
    <t>多賀貞能</t>
  </si>
  <si>
    <t>本多利久</t>
  </si>
  <si>
    <t>本多俊政</t>
  </si>
  <si>
    <t>本多政武</t>
  </si>
  <si>
    <t>前田玄以</t>
  </si>
  <si>
    <t>前田利春</t>
  </si>
  <si>
    <t>前田利久</t>
  </si>
  <si>
    <t>前田利家</t>
  </si>
  <si>
    <t>前田利長</t>
  </si>
  <si>
    <t>前田利政</t>
  </si>
  <si>
    <t>前田利常</t>
  </si>
  <si>
    <t>増田長盛</t>
  </si>
  <si>
    <t>増田盛次</t>
  </si>
  <si>
    <t>溝口秀勝</t>
  </si>
  <si>
    <t>溝口宣勝</t>
  </si>
  <si>
    <t>溝口善勝</t>
  </si>
  <si>
    <t>村井貞勝</t>
  </si>
  <si>
    <t>村井長頼</t>
  </si>
  <si>
    <t>村上頼勝</t>
  </si>
  <si>
    <t>毛受勝照</t>
  </si>
  <si>
    <t>毛利高政</t>
  </si>
  <si>
    <t>分類用</t>
  </si>
  <si>
    <t>clan</t>
  </si>
  <si>
    <t>毛利良勝</t>
  </si>
  <si>
    <t>森可行</t>
  </si>
  <si>
    <t>所属確認用</t>
  </si>
  <si>
    <t>森可成</t>
  </si>
  <si>
    <t>belongKunishuId</t>
  </si>
  <si>
    <t>森長可</t>
  </si>
  <si>
    <t>castleId</t>
  </si>
  <si>
    <t>森成利</t>
  </si>
  <si>
    <t>城確認用</t>
  </si>
  <si>
    <t>森忠政</t>
  </si>
  <si>
    <t>wife</t>
  </si>
  <si>
    <t>森可政</t>
  </si>
  <si>
    <t>配偶者</t>
  </si>
  <si>
    <t>森可春</t>
  </si>
  <si>
    <t>loyalty</t>
  </si>
  <si>
    <t>簗田広正</t>
  </si>
  <si>
    <t>achievementTotal</t>
  </si>
  <si>
    <t>簗田正次</t>
  </si>
  <si>
    <t>isGunshi</t>
  </si>
  <si>
    <t>山内盛豊</t>
  </si>
  <si>
    <t>isRetired</t>
  </si>
  <si>
    <t>山内一豊</t>
  </si>
  <si>
    <t>courtRank</t>
  </si>
  <si>
    <t>山内康豊</t>
  </si>
  <si>
    <t>山内忠義</t>
  </si>
  <si>
    <t>官位チェック</t>
  </si>
  <si>
    <t>城主チェック</t>
  </si>
  <si>
    <t>山口重政</t>
  </si>
  <si>
    <t>山口宗永</t>
  </si>
  <si>
    <t>山口弘定</t>
  </si>
  <si>
    <t>和田定利</t>
  </si>
  <si>
    <t>渡辺了</t>
  </si>
  <si>
    <t>朝倉為景</t>
  </si>
  <si>
    <t>朝倉教景</t>
  </si>
  <si>
    <t>朝倉家景</t>
  </si>
  <si>
    <t>朝倉英林</t>
  </si>
  <si>
    <t>朝倉氏景</t>
  </si>
  <si>
    <t>朝倉貞景</t>
  </si>
  <si>
    <t>朝倉宗淳</t>
  </si>
  <si>
    <t>朝倉延景</t>
  </si>
  <si>
    <t>朝倉栄景</t>
  </si>
  <si>
    <t>朝倉信景</t>
  </si>
  <si>
    <t>朝倉景高</t>
  </si>
  <si>
    <t>朝倉景鏡</t>
  </si>
  <si>
    <t>朝倉在重</t>
  </si>
  <si>
    <t>朝倉宣正</t>
  </si>
  <si>
    <t>朝倉景宗</t>
  </si>
  <si>
    <t>朝倉景連</t>
  </si>
  <si>
    <t>朝倉景紀</t>
  </si>
  <si>
    <t>朝倉景垙</t>
  </si>
  <si>
    <t>朝倉景冬</t>
  </si>
  <si>
    <t>朝倉景豊</t>
  </si>
  <si>
    <t>朝倉春蘭軒</t>
  </si>
  <si>
    <t>朝倉景嘉</t>
  </si>
  <si>
    <t>朝倉経景</t>
  </si>
  <si>
    <t>朝倉景職</t>
  </si>
  <si>
    <t>朝倉景隆</t>
  </si>
  <si>
    <t>朝倉景健</t>
  </si>
  <si>
    <t>朝倉将景</t>
  </si>
  <si>
    <t>朝倉景正</t>
  </si>
  <si>
    <t>朝倉景忠</t>
  </si>
  <si>
    <t>鳥羽景富</t>
  </si>
  <si>
    <t>鳥羽景忠</t>
  </si>
  <si>
    <t>朝倉頼景</t>
  </si>
  <si>
    <t>朝倉景種</t>
  </si>
  <si>
    <t>朝倉景頼</t>
  </si>
  <si>
    <t>朝倉景継</t>
  </si>
  <si>
    <t>北庄景範</t>
  </si>
  <si>
    <t>北庄景行</t>
  </si>
  <si>
    <t>魚住景固</t>
  </si>
  <si>
    <t>印牧美満</t>
  </si>
  <si>
    <t>河合吉統</t>
  </si>
  <si>
    <t>富田景政</t>
  </si>
  <si>
    <t>富田重政</t>
  </si>
  <si>
    <t>富田長繁</t>
  </si>
  <si>
    <t>鳥居景近</t>
  </si>
  <si>
    <t>萩原宗俊</t>
  </si>
  <si>
    <t>堀江景忠</t>
  </si>
  <si>
    <t>前波吉継</t>
  </si>
  <si>
    <t>真柄家正</t>
  </si>
  <si>
    <t>真柄直隆</t>
  </si>
  <si>
    <t>真柄直澄</t>
  </si>
  <si>
    <t>溝江長逸</t>
  </si>
  <si>
    <t>山崎長吉</t>
  </si>
  <si>
    <t>山崎吉家</t>
  </si>
  <si>
    <t>山崎吉延</t>
  </si>
  <si>
    <t>山崎長徳</t>
  </si>
  <si>
    <t>畠山満慶</t>
  </si>
  <si>
    <t>畠山義元</t>
  </si>
  <si>
    <t>畠山義総</t>
  </si>
  <si>
    <t>畠山義続</t>
  </si>
  <si>
    <t>畠山義綱</t>
  </si>
  <si>
    <t>畠山義慶</t>
  </si>
  <si>
    <t>畠山義隆</t>
  </si>
  <si>
    <t>畠山義春</t>
  </si>
  <si>
    <t>畠山義明</t>
  </si>
  <si>
    <t>畠山義真</t>
  </si>
  <si>
    <t>松波義龍</t>
  </si>
  <si>
    <t>松波義親</t>
  </si>
  <si>
    <t>松波連親</t>
  </si>
  <si>
    <t>松波義直</t>
  </si>
  <si>
    <t>松波義行</t>
  </si>
  <si>
    <t>飯川光誠</t>
  </si>
  <si>
    <t>伊丹続堅</t>
  </si>
  <si>
    <t>笠松新介</t>
  </si>
  <si>
    <t>府中長尾家</t>
  </si>
  <si>
    <t>佐脇秀隆</t>
  </si>
  <si>
    <t>佐脇綱盛</t>
  </si>
  <si>
    <t>神保氏張</t>
  </si>
  <si>
    <t>長続連</t>
  </si>
  <si>
    <t>飯川義実</t>
  </si>
  <si>
    <t>飯川義清</t>
  </si>
  <si>
    <t>長連龍</t>
  </si>
  <si>
    <t>長好連</t>
  </si>
  <si>
    <t>長連頼</t>
  </si>
  <si>
    <t>三宅総堅</t>
  </si>
  <si>
    <t>三善一守</t>
  </si>
  <si>
    <t>遊佐秀頼</t>
  </si>
  <si>
    <t>遊佐続光</t>
  </si>
  <si>
    <t>遊佐盛光</t>
  </si>
  <si>
    <t>筒井順興</t>
  </si>
  <si>
    <t>筒井順昭</t>
  </si>
  <si>
    <t>筒井順慶</t>
  </si>
  <si>
    <t>筒井順政</t>
  </si>
  <si>
    <t>慈明寺順国</t>
  </si>
  <si>
    <t>筒井定次</t>
  </si>
  <si>
    <t>筒井順定</t>
  </si>
  <si>
    <t>福住順弘</t>
  </si>
  <si>
    <t>筒井定慶</t>
  </si>
  <si>
    <t>山田某</t>
  </si>
  <si>
    <t>山田順貞</t>
  </si>
  <si>
    <t>山田順清</t>
  </si>
  <si>
    <t>飯田頼直</t>
  </si>
  <si>
    <t>井戸良弘</t>
  </si>
  <si>
    <t>岸田忠氏</t>
  </si>
  <si>
    <t>島清国</t>
  </si>
  <si>
    <t>島清興</t>
  </si>
  <si>
    <t>島清勝</t>
  </si>
  <si>
    <t>石川城</t>
  </si>
  <si>
    <t>十市遠忠</t>
  </si>
  <si>
    <t>いしかわじょう</t>
  </si>
  <si>
    <t>十市遠勝</t>
  </si>
  <si>
    <t>中坊秀祐</t>
  </si>
  <si>
    <t>中坊秀政</t>
  </si>
  <si>
    <t>箸尾高春</t>
  </si>
  <si>
    <t>松倉重信</t>
  </si>
  <si>
    <t>松倉重政</t>
  </si>
  <si>
    <t>松倉勝家</t>
  </si>
  <si>
    <t>森好之</t>
  </si>
  <si>
    <t>森好高</t>
  </si>
  <si>
    <t>三木直頼</t>
  </si>
  <si>
    <t>三木良頼</t>
  </si>
  <si>
    <t>三木光頼</t>
  </si>
  <si>
    <t>鍋山顕綱</t>
  </si>
  <si>
    <t>姉小路信綱</t>
  </si>
  <si>
    <t>姉小路秀綱</t>
  </si>
  <si>
    <t>鍋山季綱</t>
  </si>
  <si>
    <t>三木直綱</t>
  </si>
  <si>
    <t>小島基頼</t>
  </si>
  <si>
    <t>三木近綱</t>
  </si>
  <si>
    <t>一宮長綱</t>
  </si>
  <si>
    <t>三木国綱</t>
  </si>
  <si>
    <t>姉小路済継</t>
  </si>
  <si>
    <t>姉小路高綱</t>
  </si>
  <si>
    <t>田向重継</t>
  </si>
  <si>
    <t>向宣政</t>
  </si>
  <si>
    <t>小島時光</t>
  </si>
  <si>
    <t>後藤重元</t>
  </si>
  <si>
    <t>田向重治</t>
  </si>
  <si>
    <t>広瀬宗域</t>
  </si>
  <si>
    <t>広瀬宗直</t>
  </si>
  <si>
    <t>明叔慶浚</t>
  </si>
  <si>
    <t>神保長職</t>
  </si>
  <si>
    <t>神保長住</t>
  </si>
  <si>
    <t>神保長城</t>
  </si>
  <si>
    <t>神保長国</t>
  </si>
  <si>
    <t>飯田某</t>
  </si>
  <si>
    <t>飯田利忠</t>
  </si>
  <si>
    <t>飯田利行</t>
  </si>
  <si>
    <t>飯田利常</t>
  </si>
  <si>
    <t>飯田利憲</t>
  </si>
  <si>
    <t>狩野良政</t>
  </si>
  <si>
    <t>狩野宣久</t>
  </si>
  <si>
    <t>狩野秀基</t>
  </si>
  <si>
    <t>狩野秀治</t>
  </si>
  <si>
    <t>水越勝重</t>
  </si>
  <si>
    <t>水越職勝</t>
  </si>
  <si>
    <t>西野宗慶</t>
  </si>
  <si>
    <t>小島職鎮</t>
  </si>
  <si>
    <t>小島胤興</t>
  </si>
  <si>
    <t>寺島盛徳</t>
  </si>
  <si>
    <t>小島国綱</t>
  </si>
  <si>
    <t>寺島職定</t>
  </si>
  <si>
    <t>二宮長恒</t>
  </si>
  <si>
    <t>二宮秀定</t>
  </si>
  <si>
    <t>遠山景朝</t>
  </si>
  <si>
    <t>遠山景員</t>
  </si>
  <si>
    <t>遠山景明</t>
  </si>
  <si>
    <t>遠山景秀</t>
  </si>
  <si>
    <t>遠山景友</t>
  </si>
  <si>
    <t>遠山景前</t>
  </si>
  <si>
    <t>遠山景任</t>
  </si>
  <si>
    <t>遠山直廉</t>
  </si>
  <si>
    <t>遠山景義</t>
  </si>
  <si>
    <t>遠山友勝</t>
  </si>
  <si>
    <t>遠山友忠</t>
  </si>
  <si>
    <t>遠山友信</t>
  </si>
  <si>
    <t>遠山友政</t>
  </si>
  <si>
    <t>遠山秀友</t>
  </si>
  <si>
    <t>遠山景重</t>
  </si>
  <si>
    <t>遠山直景</t>
  </si>
  <si>
    <t>遠山景行</t>
  </si>
  <si>
    <t>遠山友治</t>
  </si>
  <si>
    <t>遠山利景</t>
  </si>
  <si>
    <t>遠山方景</t>
  </si>
  <si>
    <t>土岐信友</t>
  </si>
  <si>
    <t>延友信光</t>
  </si>
  <si>
    <t>一色義直</t>
  </si>
  <si>
    <t>一色義秀</t>
  </si>
  <si>
    <t>一色義有</t>
  </si>
  <si>
    <t>一色義清</t>
  </si>
  <si>
    <t>一色義員</t>
  </si>
  <si>
    <t>一色義俊</t>
  </si>
  <si>
    <t>一色重之</t>
  </si>
  <si>
    <t>一色重直</t>
  </si>
  <si>
    <t>石川秀門</t>
  </si>
  <si>
    <t>石川秀澄</t>
  </si>
  <si>
    <t>石川五郎</t>
  </si>
  <si>
    <t>石川秀廉</t>
  </si>
  <si>
    <t>稲富祐秀</t>
  </si>
  <si>
    <t>稲富直秀</t>
  </si>
  <si>
    <t>稲富祐直</t>
  </si>
  <si>
    <t>高屋良閑</t>
  </si>
  <si>
    <t>吉原西雲</t>
  </si>
  <si>
    <t>波多野元清</t>
  </si>
  <si>
    <t>波多野秀忠</t>
  </si>
  <si>
    <t>波多野元秀</t>
  </si>
  <si>
    <t>波多野秀治</t>
  </si>
  <si>
    <t>波多野定吉</t>
  </si>
  <si>
    <t>波多野秀尚</t>
  </si>
  <si>
    <t>波多野秀親</t>
  </si>
  <si>
    <t>荒木氏修</t>
  </si>
  <si>
    <t>荒木氏綱</t>
  </si>
  <si>
    <t>荒木氏清</t>
  </si>
  <si>
    <t>荒木高兼</t>
  </si>
  <si>
    <t>小野木重勝</t>
  </si>
  <si>
    <t>小野木吉澄</t>
  </si>
  <si>
    <t>江田行範</t>
  </si>
  <si>
    <t>酒井政親</t>
  </si>
  <si>
    <t>酒井孝信</t>
  </si>
  <si>
    <t>酒井貞信</t>
  </si>
  <si>
    <t>大開城</t>
  </si>
  <si>
    <t>酒井益氏</t>
  </si>
  <si>
    <t>おおびらきじょう</t>
  </si>
  <si>
    <t>酒井氏盛</t>
  </si>
  <si>
    <t>酒井貞氏</t>
  </si>
  <si>
    <t>酒井秀氏</t>
  </si>
  <si>
    <t>酒井氏吉</t>
  </si>
  <si>
    <t>酒井氏治</t>
  </si>
  <si>
    <t>酒井弥九郎</t>
  </si>
  <si>
    <t>酒井与太夫</t>
  </si>
  <si>
    <t>酒井豊数</t>
  </si>
  <si>
    <t>酒井氏武</t>
  </si>
  <si>
    <t>酒井信綱</t>
  </si>
  <si>
    <t>酒井信教</t>
  </si>
  <si>
    <t>酒井頼重</t>
  </si>
  <si>
    <t>酒井信政</t>
  </si>
  <si>
    <t>酒井依信</t>
  </si>
  <si>
    <t>酒井政重</t>
  </si>
  <si>
    <t>酒井幸貞</t>
  </si>
  <si>
    <t>酒井秀正</t>
  </si>
  <si>
    <t>二階堂秀香</t>
  </si>
  <si>
    <t>能勢義純</t>
  </si>
  <si>
    <t>籾井綱利</t>
  </si>
  <si>
    <t>浅井忠政</t>
  </si>
  <si>
    <t>浅井直政</t>
  </si>
  <si>
    <t>浅井亮政</t>
  </si>
  <si>
    <t>浅井久政</t>
  </si>
  <si>
    <t>浅井賢政</t>
  </si>
  <si>
    <t>浅井輝政</t>
  </si>
  <si>
    <t>浅井井頼</t>
  </si>
  <si>
    <t>浅井政元</t>
  </si>
  <si>
    <t>浅井清政</t>
  </si>
  <si>
    <t>浅井秀信</t>
  </si>
  <si>
    <t>浅井亮親</t>
  </si>
  <si>
    <t>浅井貞政</t>
  </si>
  <si>
    <t>浅井盛政</t>
  </si>
  <si>
    <t>浅井吉政</t>
  </si>
  <si>
    <t>浅井惟安</t>
  </si>
  <si>
    <t>赤尾清綱</t>
  </si>
  <si>
    <t>赤尾清冬</t>
  </si>
  <si>
    <t>阿閉貞征</t>
  </si>
  <si>
    <t>阿閉貞大</t>
  </si>
  <si>
    <t>雨森良広</t>
  </si>
  <si>
    <t>雨森良里</t>
  </si>
  <si>
    <t>雨森清定</t>
  </si>
  <si>
    <t>雨森良定</t>
  </si>
  <si>
    <t>雨森清良</t>
  </si>
  <si>
    <t>雨森清次</t>
  </si>
  <si>
    <t>雨森清広</t>
  </si>
  <si>
    <t>安養寺氏種</t>
  </si>
  <si>
    <t>磯野員昌</t>
  </si>
  <si>
    <t>磯野行信</t>
  </si>
  <si>
    <t>小堀正次</t>
  </si>
  <si>
    <t>小堀政一</t>
  </si>
  <si>
    <t>遠藤直経</t>
  </si>
  <si>
    <t>上田長尾家</t>
  </si>
  <si>
    <t>小川祐忠</t>
  </si>
  <si>
    <t>海北綱親</t>
  </si>
  <si>
    <t>垣見一直</t>
  </si>
  <si>
    <t>朽木稙綱</t>
  </si>
  <si>
    <t>朽木晴綱</t>
  </si>
  <si>
    <t>朽木元綱</t>
  </si>
  <si>
    <t>朽木宣綱</t>
  </si>
  <si>
    <t>毛屋武久</t>
  </si>
  <si>
    <t>新庄直昌</t>
  </si>
  <si>
    <t>新庄直頼</t>
  </si>
  <si>
    <t>新庄直定</t>
  </si>
  <si>
    <t>堀秀信</t>
  </si>
  <si>
    <t>新庄直忠</t>
  </si>
  <si>
    <t>藤堂忠高</t>
  </si>
  <si>
    <t>藤堂虎高</t>
  </si>
  <si>
    <t>藤堂高虎</t>
  </si>
  <si>
    <t>藤堂高次</t>
  </si>
  <si>
    <t>藤堂高刑</t>
  </si>
  <si>
    <t>野村直隆</t>
  </si>
  <si>
    <t>樋口直房</t>
  </si>
  <si>
    <t>堀秀基</t>
  </si>
  <si>
    <t>堀秀村</t>
  </si>
  <si>
    <t>三田村国定</t>
  </si>
  <si>
    <t>宮部継潤</t>
  </si>
  <si>
    <t>宮部長房</t>
  </si>
  <si>
    <t>別所祐則</t>
  </si>
  <si>
    <t>別所光則</t>
  </si>
  <si>
    <t>別所治光</t>
  </si>
  <si>
    <t>別所治定(利神)</t>
  </si>
  <si>
    <t>別所静治</t>
  </si>
  <si>
    <t>別所林治</t>
  </si>
  <si>
    <t>別所則治</t>
  </si>
  <si>
    <t>別所則定</t>
  </si>
  <si>
    <t>別所就治</t>
  </si>
  <si>
    <t>別所安治</t>
  </si>
  <si>
    <t>別所長治</t>
  </si>
  <si>
    <t>別所友之</t>
  </si>
  <si>
    <t>別所治定</t>
  </si>
  <si>
    <t>別所吉親</t>
  </si>
  <si>
    <t>別所重宗</t>
  </si>
  <si>
    <t>別所吉治</t>
  </si>
  <si>
    <t>石野氏満</t>
  </si>
  <si>
    <t>淡河定範</t>
  </si>
  <si>
    <t>神吉頼氏</t>
  </si>
  <si>
    <t>神吉頼定</t>
  </si>
  <si>
    <t>衣笠範景</t>
  </si>
  <si>
    <t>久米忠勝</t>
  </si>
  <si>
    <t>後藤基国</t>
  </si>
  <si>
    <t>後藤基次</t>
  </si>
  <si>
    <t>志水直近</t>
  </si>
  <si>
    <t>中村忠滋</t>
  </si>
  <si>
    <t>足利義澄</t>
  </si>
  <si>
    <t>足利義晴</t>
  </si>
  <si>
    <t>足利義藤</t>
  </si>
  <si>
    <t>一乗院覚慶</t>
  </si>
  <si>
    <t>足利義維</t>
  </si>
  <si>
    <t>足利義栄</t>
  </si>
  <si>
    <t>一色昭孝</t>
  </si>
  <si>
    <t>一色藤長</t>
  </si>
  <si>
    <t>大館義実</t>
  </si>
  <si>
    <t>京極高清</t>
  </si>
  <si>
    <t>京極高延</t>
  </si>
  <si>
    <t>京極高吉</t>
  </si>
  <si>
    <t>京極高次</t>
  </si>
  <si>
    <t>京極忠高</t>
  </si>
  <si>
    <t>京極高知</t>
  </si>
  <si>
    <t>小西隆佐</t>
  </si>
  <si>
    <t>小西行長</t>
  </si>
  <si>
    <t>小西行景</t>
  </si>
  <si>
    <t>津田重久</t>
  </si>
  <si>
    <t>仁木義治</t>
  </si>
  <si>
    <t>蜷川親長</t>
  </si>
  <si>
    <t>真木島昭光</t>
  </si>
  <si>
    <t>松井正之</t>
  </si>
  <si>
    <t>松井康之</t>
  </si>
  <si>
    <t>松井興長</t>
  </si>
  <si>
    <t>三淵晴員</t>
  </si>
  <si>
    <t>三淵藤英</t>
  </si>
  <si>
    <t>三淵光行</t>
  </si>
  <si>
    <t>細川藤孝</t>
  </si>
  <si>
    <t>細川忠興</t>
  </si>
  <si>
    <t>細川興秋</t>
  </si>
  <si>
    <t>長岡忠利</t>
  </si>
  <si>
    <t>細川興元</t>
  </si>
  <si>
    <t>柳沢元政</t>
  </si>
  <si>
    <t>和田惟政</t>
  </si>
  <si>
    <t>和田惟長</t>
  </si>
  <si>
    <t>六角高頼</t>
  </si>
  <si>
    <t>六角定頼</t>
  </si>
  <si>
    <t>六角義賢</t>
  </si>
  <si>
    <t>六角義弼</t>
  </si>
  <si>
    <t>六角義定</t>
  </si>
  <si>
    <t>六角高賢</t>
  </si>
  <si>
    <t>六角定治</t>
  </si>
  <si>
    <t>蠣崎城</t>
  </si>
  <si>
    <t>梅戸高実</t>
  </si>
  <si>
    <t>かきざきじょう</t>
  </si>
  <si>
    <t>梅戸実秀</t>
  </si>
  <si>
    <t>岡定俊</t>
  </si>
  <si>
    <t>蒲生定秀</t>
  </si>
  <si>
    <t>青地茂綱</t>
  </si>
  <si>
    <t>蒲生元珍</t>
  </si>
  <si>
    <t>蒲生賢秀</t>
  </si>
  <si>
    <t>蒲生賦秀</t>
  </si>
  <si>
    <t>蒲生秀行</t>
  </si>
  <si>
    <t>蒲生忠郷</t>
  </si>
  <si>
    <t>蒲生忠知</t>
  </si>
  <si>
    <t>後藤賢豊</t>
  </si>
  <si>
    <t>後藤高治</t>
  </si>
  <si>
    <t>駒井重勝</t>
  </si>
  <si>
    <t>進藤貞治</t>
  </si>
  <si>
    <t>進藤賢盛</t>
  </si>
  <si>
    <t>関盛雄</t>
  </si>
  <si>
    <t>関盛信</t>
  </si>
  <si>
    <t>関一政</t>
  </si>
  <si>
    <t>関盛吉</t>
  </si>
  <si>
    <t>永原重隆</t>
  </si>
  <si>
    <t>永原重興</t>
  </si>
  <si>
    <t>永原重虎</t>
  </si>
  <si>
    <t>平井定武</t>
  </si>
  <si>
    <t>布施公雄</t>
  </si>
  <si>
    <t>布施公保</t>
  </si>
  <si>
    <t>三雲定持</t>
  </si>
  <si>
    <t>三雲賢持</t>
  </si>
  <si>
    <t>三雲賢春</t>
  </si>
  <si>
    <t>三雲成持</t>
  </si>
  <si>
    <t>山岡景之</t>
  </si>
  <si>
    <t>山岡景隆</t>
  </si>
  <si>
    <t>山岡景宗</t>
  </si>
  <si>
    <t>山岡景以</t>
  </si>
  <si>
    <t>山岡景佐</t>
  </si>
  <si>
    <t>山岡景友</t>
  </si>
  <si>
    <t>山崎片家</t>
  </si>
  <si>
    <t>山崎家盛</t>
  </si>
  <si>
    <t>山崎家治</t>
  </si>
  <si>
    <t>山中俊好</t>
  </si>
  <si>
    <t>山中長俊</t>
  </si>
  <si>
    <t>横山真令</t>
  </si>
  <si>
    <t>吉田重賢</t>
  </si>
  <si>
    <t>吉田重政</t>
  </si>
  <si>
    <t>本願寺蓮如</t>
  </si>
  <si>
    <t>本願寺実如</t>
  </si>
  <si>
    <t>本願寺円如</t>
  </si>
  <si>
    <t>本願寺証如</t>
  </si>
  <si>
    <t>本願寺顕如</t>
  </si>
  <si>
    <t>本願寺教如</t>
  </si>
  <si>
    <t>本願寺宣如</t>
  </si>
  <si>
    <t>興正寺顕尊</t>
  </si>
  <si>
    <t>興正寺准尊</t>
  </si>
  <si>
    <t>本願寺准如</t>
  </si>
  <si>
    <t>本願寺良如</t>
  </si>
  <si>
    <t>願証寺蓮淳</t>
  </si>
  <si>
    <t>願証寺実恵</t>
  </si>
  <si>
    <t>願証寺証恵</t>
  </si>
  <si>
    <t>願証寺証意</t>
  </si>
  <si>
    <t>本泉寺蓮悟</t>
  </si>
  <si>
    <t>粟津元隅</t>
  </si>
  <si>
    <t>川那部秀政</t>
  </si>
  <si>
    <t>興正寺蓮秀</t>
  </si>
  <si>
    <t>興正寺証秀</t>
  </si>
  <si>
    <t>七里頼周</t>
  </si>
  <si>
    <t>芝山宗綱</t>
  </si>
  <si>
    <t>下間玄英</t>
  </si>
  <si>
    <t>下間頼善</t>
  </si>
  <si>
    <t>下間頼慶</t>
  </si>
  <si>
    <t>下間光頼</t>
  </si>
  <si>
    <t>下間頼総</t>
  </si>
  <si>
    <t>浪岡城</t>
  </si>
  <si>
    <t>下間頼芸</t>
  </si>
  <si>
    <t>なみおかじょう</t>
  </si>
  <si>
    <t>下間頼旦</t>
  </si>
  <si>
    <t>下間真頼</t>
  </si>
  <si>
    <t>下間頼竜</t>
  </si>
  <si>
    <t>下間頼広</t>
  </si>
  <si>
    <t>下間融慶</t>
  </si>
  <si>
    <t>下間頼資</t>
  </si>
  <si>
    <t>下間頼純</t>
  </si>
  <si>
    <t>下間頼永</t>
  </si>
  <si>
    <t>下間頼包</t>
  </si>
  <si>
    <t>下間頼康</t>
  </si>
  <si>
    <t>下間頼廉</t>
  </si>
  <si>
    <t>下間頼亮</t>
  </si>
  <si>
    <t>下間仲玄</t>
  </si>
  <si>
    <t>下間光宗</t>
  </si>
  <si>
    <t>下間頼清</t>
  </si>
  <si>
    <t>下間頼照</t>
  </si>
  <si>
    <t>下間仲孝</t>
  </si>
  <si>
    <t>杉浦玄任</t>
  </si>
  <si>
    <t>鈴木重泰</t>
  </si>
  <si>
    <t>富樫晴貞</t>
  </si>
  <si>
    <t>三好長之</t>
  </si>
  <si>
    <t>三好之長</t>
  </si>
  <si>
    <t>三好長秀</t>
  </si>
  <si>
    <t>三好元長</t>
  </si>
  <si>
    <t>三好長慶</t>
  </si>
  <si>
    <t>三好義興</t>
  </si>
  <si>
    <t>三好之虎</t>
  </si>
  <si>
    <t>三好長治</t>
  </si>
  <si>
    <t>十河存保</t>
  </si>
  <si>
    <t>安宅冬康</t>
  </si>
  <si>
    <t>安宅信康</t>
  </si>
  <si>
    <t>十河一存</t>
  </si>
  <si>
    <t>十河重存</t>
  </si>
  <si>
    <t>十河存之</t>
  </si>
  <si>
    <t>野口冬長</t>
  </si>
  <si>
    <t>三好康長</t>
  </si>
  <si>
    <t>三好康俊</t>
  </si>
  <si>
    <t>三好長則</t>
  </si>
  <si>
    <t>三好長尚</t>
  </si>
  <si>
    <t>三好長逸</t>
  </si>
  <si>
    <t>三好長虎</t>
  </si>
  <si>
    <t>三好政長</t>
  </si>
  <si>
    <t>三好政勝</t>
  </si>
  <si>
    <t>三好政康</t>
  </si>
  <si>
    <t>三好可正</t>
  </si>
  <si>
    <t>伊勢貞助</t>
  </si>
  <si>
    <t>一宮成相</t>
  </si>
  <si>
    <t>石成友通</t>
  </si>
  <si>
    <t>海部友光</t>
  </si>
  <si>
    <t>加地久勝</t>
  </si>
  <si>
    <t>川島惟忠</t>
  </si>
  <si>
    <t>寒川元隣</t>
  </si>
  <si>
    <t>七条兼仲</t>
  </si>
  <si>
    <t>篠原長政</t>
  </si>
  <si>
    <t>篠原長房</t>
  </si>
  <si>
    <t>篠原長重</t>
  </si>
  <si>
    <t>篠原実長</t>
  </si>
  <si>
    <t>篠原長秀</t>
  </si>
  <si>
    <t>新開実綱</t>
  </si>
  <si>
    <t>十河存春</t>
  </si>
  <si>
    <t>鳥養貞長</t>
  </si>
  <si>
    <t>松山重治</t>
  </si>
  <si>
    <t>藤沢頼親</t>
  </si>
  <si>
    <t>森元村</t>
  </si>
  <si>
    <t>森村春</t>
  </si>
  <si>
    <t>安富盛方</t>
  </si>
  <si>
    <t>和久宗是</t>
  </si>
  <si>
    <t>雑賀助大夫</t>
  </si>
  <si>
    <t>鈴木重意</t>
  </si>
  <si>
    <t>釈順勝</t>
  </si>
  <si>
    <t>鈴木重秀</t>
  </si>
  <si>
    <t>鈴木重朝</t>
  </si>
  <si>
    <t>鈴木重次</t>
  </si>
  <si>
    <t>平井義兼</t>
  </si>
  <si>
    <t>#1000ff</t>
  </si>
  <si>
    <t>219|221|244</t>
  </si>
  <si>
    <t>#004cff</t>
  </si>
  <si>
    <t>202|220|222|243</t>
  </si>
  <si>
    <t>鈴木重宗</t>
  </si>
  <si>
    <t>太田宗正</t>
  </si>
  <si>
    <t>#0043ff</t>
  </si>
  <si>
    <t>20|222|244|253</t>
  </si>
  <si>
    <t>岡了順</t>
  </si>
  <si>
    <t>#0033ff</t>
  </si>
  <si>
    <t>岡吉正</t>
  </si>
  <si>
    <t>20|226|228</t>
  </si>
  <si>
    <t>狐島吉次</t>
  </si>
  <si>
    <t>#0048ff</t>
  </si>
  <si>
    <t>221|223|224|244|253</t>
  </si>
  <si>
    <t>佐武義昌</t>
  </si>
  <si>
    <t>#003bff</t>
  </si>
  <si>
    <t>土橋胤継</t>
  </si>
  <si>
    <t>224|226|253</t>
  </si>
  <si>
    <t>土橋春継</t>
  </si>
  <si>
    <t>松江定久</t>
  </si>
  <si>
    <t>#1500ff</t>
  </si>
  <si>
    <t>222|223|243</t>
  </si>
  <si>
    <t>的場昌長</t>
  </si>
  <si>
    <t>湊高秀</t>
  </si>
  <si>
    <t>#3b00ff</t>
  </si>
  <si>
    <t>222|223|224|225|226</t>
  </si>
  <si>
    <t>江馬時経</t>
  </si>
  <si>
    <t>江馬時盛</t>
  </si>
  <si>
    <t>#003fff</t>
  </si>
  <si>
    <t>204|222|225|253</t>
  </si>
  <si>
    <t>江馬輝盛</t>
  </si>
  <si>
    <t>江馬時政</t>
  </si>
  <si>
    <t>#0037ff</t>
  </si>
  <si>
    <t>206|225|227|228|253</t>
  </si>
  <si>
    <t>江馬貞盛</t>
  </si>
  <si>
    <t>江馬信盛</t>
  </si>
  <si>
    <t>#002eff</t>
  </si>
  <si>
    <t>61|214|216|226|227</t>
  </si>
  <si>
    <t>麻生野直盛</t>
  </si>
  <si>
    <t>佐渡国</t>
  </si>
  <si>
    <t>麻生野慶盛</t>
  </si>
  <si>
    <t>#72ff00</t>
  </si>
  <si>
    <t>2s|15s|20s|95s</t>
  </si>
  <si>
    <t>麻生野家頼</t>
  </si>
  <si>
    <t>麻生野養慶</t>
  </si>
  <si>
    <t>越後国</t>
  </si>
  <si>
    <t>河上某</t>
  </si>
  <si>
    <t>#ff1500</t>
  </si>
  <si>
    <t>1|17s|68|70|72s|94s|95</t>
  </si>
  <si>
    <t>河上定次</t>
  </si>
  <si>
    <t>#ddff00</t>
  </si>
  <si>
    <t>河上富春</t>
  </si>
  <si>
    <t>2|15|89|95</t>
  </si>
  <si>
    <t>河上富信</t>
  </si>
  <si>
    <t>#ff4400</t>
  </si>
  <si>
    <t>20|61|68|94s|95</t>
  </si>
  <si>
    <t>吉村政元</t>
  </si>
  <si>
    <t>吉村政延</t>
  </si>
  <si>
    <t>#ff5900</t>
  </si>
  <si>
    <t>15|94s|223|227</t>
  </si>
  <si>
    <t>内ヶ島為氏</t>
  </si>
  <si>
    <t>内ヶ島雅氏</t>
  </si>
  <si>
    <t>#6eff00</t>
  </si>
  <si>
    <t>内ヶ島氏利</t>
  </si>
  <si>
    <t>2|15|68|94s</t>
  </si>
  <si>
    <t>内ヶ島氏理</t>
  </si>
  <si>
    <t>越中国</t>
  </si>
  <si>
    <t>#ff1100</t>
  </si>
  <si>
    <t>内ヶ島氏行</t>
  </si>
  <si>
    <t>2|17s|24|72s|91</t>
  </si>
  <si>
    <t>九戸城</t>
  </si>
  <si>
    <t>内ヶ島氏則</t>
  </si>
  <si>
    <t>くのへじょう</t>
  </si>
  <si>
    <t>#ff6a00</t>
  </si>
  <si>
    <t>内ヶ島氏房</t>
  </si>
  <si>
    <t>1|91|242</t>
  </si>
  <si>
    <t>内ヶ島氏方</t>
  </si>
  <si>
    <t>#0c00ff</t>
  </si>
  <si>
    <t>17|24|74|91</t>
  </si>
  <si>
    <t>内ヶ島氏親</t>
  </si>
  <si>
    <t>越前国</t>
  </si>
  <si>
    <t>#ff4800</t>
  </si>
  <si>
    <t>18|75|76</t>
  </si>
  <si>
    <t>尾神氏綱</t>
  </si>
  <si>
    <t>#c3ff00</t>
  </si>
  <si>
    <t>16|19|74|76</t>
  </si>
  <si>
    <t>川尻氏信</t>
  </si>
  <si>
    <t>川尻勘平</t>
  </si>
  <si>
    <t>#ff5000</t>
  </si>
  <si>
    <t>16|21s|23|76|79|177</t>
  </si>
  <si>
    <t>東常慶</t>
  </si>
  <si>
    <t>#bfff00</t>
  </si>
  <si>
    <t>16|18|19|75</t>
  </si>
  <si>
    <t>東常尭</t>
  </si>
  <si>
    <t>加賀国</t>
  </si>
  <si>
    <t>#c7ff00</t>
  </si>
  <si>
    <t>17|19|75|92|242</t>
  </si>
  <si>
    <t>山下時慶</t>
  </si>
  <si>
    <t>#ff5500</t>
  </si>
  <si>
    <t>74|75|76</t>
  </si>
  <si>
    <t>山下氏勝</t>
  </si>
  <si>
    <t>能登国</t>
  </si>
  <si>
    <t>#ff4c00</t>
  </si>
  <si>
    <t>1s|2s|72|74|242</t>
  </si>
  <si>
    <t>山下氏政</t>
  </si>
  <si>
    <t>#cbff00</t>
  </si>
  <si>
    <t>北畠政郷</t>
  </si>
  <si>
    <t>1s|2s|17</t>
  </si>
  <si>
    <t>若狭国</t>
  </si>
  <si>
    <t>北畠材親</t>
  </si>
  <si>
    <t>#0800ff</t>
  </si>
  <si>
    <t>79|81|177</t>
  </si>
  <si>
    <t>北畠晴具</t>
  </si>
  <si>
    <t>#b2ff00</t>
  </si>
  <si>
    <t>18|177|241</t>
  </si>
  <si>
    <t>甲斐国</t>
  </si>
  <si>
    <t>北畠具教</t>
  </si>
  <si>
    <t>#ffee00</t>
  </si>
  <si>
    <t>9|14|97</t>
  </si>
  <si>
    <t>北畠具房</t>
  </si>
  <si>
    <t>#1900ff</t>
  </si>
  <si>
    <t>9|13</t>
  </si>
  <si>
    <t>長野具藤</t>
  </si>
  <si>
    <t>#ff2e00</t>
  </si>
  <si>
    <t>8|55|88|229|245</t>
  </si>
  <si>
    <t>木造具政</t>
  </si>
  <si>
    <t>信濃国</t>
  </si>
  <si>
    <t>#ff2a00</t>
  </si>
  <si>
    <t>滝川雄利</t>
  </si>
  <si>
    <t>4|9|45|52|54</t>
  </si>
  <si>
    <t>#d4ff00</t>
  </si>
  <si>
    <t>2|5</t>
  </si>
  <si>
    <t>木造長正</t>
  </si>
  <si>
    <t>#ff2200</t>
  </si>
  <si>
    <t>北畠具親</t>
  </si>
  <si>
    <t>30|70|89|96</t>
  </si>
  <si>
    <t>#0000ff</t>
  </si>
  <si>
    <t>北畠政能</t>
  </si>
  <si>
    <t>9|30|31|88</t>
  </si>
  <si>
    <t>#8cff00</t>
  </si>
  <si>
    <t>北畠政成</t>
  </si>
  <si>
    <t>9|30|52|229</t>
  </si>
  <si>
    <t>家城之清</t>
  </si>
  <si>
    <t>#ff8300</t>
  </si>
  <si>
    <t>5|31|88|89|96|229</t>
  </si>
  <si>
    <t>大宮景連</t>
  </si>
  <si>
    <t>#65ff00</t>
  </si>
  <si>
    <t>5|29|30|52|91</t>
  </si>
  <si>
    <t>小浜景隆</t>
  </si>
  <si>
    <t>#ffe100</t>
  </si>
  <si>
    <t>4|8|29|88|96</t>
  </si>
  <si>
    <t>小浜光隆</t>
  </si>
  <si>
    <t>上野国</t>
  </si>
  <si>
    <t>鹿伏兎定長</t>
  </si>
  <si>
    <t>#87ff00</t>
  </si>
  <si>
    <t>5|6|30|31|66|68</t>
  </si>
  <si>
    <t>鹿伏兎定秀</t>
  </si>
  <si>
    <t>#ff2600</t>
  </si>
  <si>
    <t>31|41|66|89|93</t>
  </si>
  <si>
    <t>神戸長盛</t>
  </si>
  <si>
    <t>#ff8800</t>
  </si>
  <si>
    <t>6|30|89|93|229</t>
  </si>
  <si>
    <t>神戸利盛</t>
  </si>
  <si>
    <t>下野国</t>
  </si>
  <si>
    <t>#ff8c00</t>
  </si>
  <si>
    <t>59|63|231|232|237|248|249</t>
  </si>
  <si>
    <t>神戸具盛(7代目)</t>
  </si>
  <si>
    <t>#0026ff</t>
  </si>
  <si>
    <t>楠木正具</t>
  </si>
  <si>
    <t>32|62|63|213|248</t>
  </si>
  <si>
    <t>#2600ff</t>
  </si>
  <si>
    <t>木造俊茂</t>
  </si>
  <si>
    <t>32|66|231|249</t>
  </si>
  <si>
    <t>木造具康</t>
  </si>
  <si>
    <t>#e5ff00</t>
  </si>
  <si>
    <t>6|37|41|89|232|235|248|249</t>
  </si>
  <si>
    <t>#f2ff00</t>
  </si>
  <si>
    <t>国府盛種</t>
  </si>
  <si>
    <t>32|59|231</t>
  </si>
  <si>
    <t>#0022ff</t>
  </si>
  <si>
    <t>田原重綱</t>
  </si>
  <si>
    <t>32|37|66|249</t>
  </si>
  <si>
    <t>#2a00ff</t>
  </si>
  <si>
    <t>鳥羽成忠</t>
  </si>
  <si>
    <t>32|66|232|248</t>
  </si>
  <si>
    <t>鳥羽宗忠</t>
  </si>
  <si>
    <t>上総国</t>
  </si>
  <si>
    <t>#ffc700</t>
  </si>
  <si>
    <t>65|67s|99|252</t>
  </si>
  <si>
    <t>田丸直昌</t>
  </si>
  <si>
    <t>#3700ff</t>
  </si>
  <si>
    <t>46|58|65|67|233</t>
  </si>
  <si>
    <t>鳥屋尾満栄</t>
  </si>
  <si>
    <t>#e9ff00</t>
  </si>
  <si>
    <t>46|99|252</t>
  </si>
  <si>
    <t>藤方朝成</t>
  </si>
  <si>
    <t>下総国</t>
  </si>
  <si>
    <t>#001dff</t>
  </si>
  <si>
    <t>10|37|41|66|234</t>
  </si>
  <si>
    <t>藤方安正</t>
  </si>
  <si>
    <t>#fff600</t>
  </si>
  <si>
    <t>64|67|69|233|234|252</t>
  </si>
  <si>
    <t>森本具俊</t>
  </si>
  <si>
    <t>#0015ff</t>
  </si>
  <si>
    <t>10|37|58|64|69|235</t>
  </si>
  <si>
    <t>山路正幽</t>
  </si>
  <si>
    <t>#0019ff</t>
  </si>
  <si>
    <t>58|60|64|252</t>
  </si>
  <si>
    <t>山路正国</t>
  </si>
  <si>
    <t>#ffa100</t>
  </si>
  <si>
    <t>長尾一勝</t>
  </si>
  <si>
    <t>64|66|234|232|235|237</t>
  </si>
  <si>
    <t>常陸国</t>
  </si>
  <si>
    <t>#000cff</t>
  </si>
  <si>
    <t>星合教賢</t>
  </si>
  <si>
    <t>32|37|59|60|64|247</t>
  </si>
  <si>
    <t>#edff00</t>
  </si>
  <si>
    <t>37|58|60|233|234|237</t>
  </si>
  <si>
    <t>星合具泰</t>
  </si>
  <si>
    <t>#ffff00</t>
  </si>
  <si>
    <t>64|233|237|247</t>
  </si>
  <si>
    <t>本田親康</t>
  </si>
  <si>
    <t>#fffa00</t>
  </si>
  <si>
    <t>32|63|210|213|237|247</t>
  </si>
  <si>
    <t>毛利弘元</t>
  </si>
  <si>
    <t>#2100ff</t>
  </si>
  <si>
    <t>59|60|237</t>
  </si>
  <si>
    <t>毛利元就</t>
  </si>
  <si>
    <t>安房国</t>
  </si>
  <si>
    <t>毛利隆元</t>
  </si>
  <si>
    <t>#59ff00</t>
  </si>
  <si>
    <t>14s|46|65|98s|236s</t>
  </si>
  <si>
    <t>毛利輝元</t>
  </si>
  <si>
    <t>武蔵国</t>
  </si>
  <si>
    <t>D8ff00</t>
  </si>
  <si>
    <t>毛利秀就</t>
  </si>
  <si>
    <t>10|58|67|234</t>
  </si>
  <si>
    <t>毛利元春</t>
  </si>
  <si>
    <t>吉川元長</t>
  </si>
  <si>
    <t>#e1ff00</t>
  </si>
  <si>
    <t>10|14|46s|58|69|97|236|252</t>
  </si>
  <si>
    <t>毛利元氏</t>
  </si>
  <si>
    <t>#ffb200</t>
  </si>
  <si>
    <t>吉川広家</t>
  </si>
  <si>
    <t>6|10|66|93|235</t>
  </si>
  <si>
    <t>吉川広正</t>
  </si>
  <si>
    <t>#ff3300</t>
  </si>
  <si>
    <t>小早川隆景</t>
  </si>
  <si>
    <t>41|67|69|93|97|234|235</t>
  </si>
  <si>
    <t>穂井田元清</t>
  </si>
  <si>
    <t>#61ff00</t>
  </si>
  <si>
    <t>毛利秀元</t>
  </si>
  <si>
    <t>10|14|55|67|93</t>
  </si>
  <si>
    <t>毛利元康</t>
  </si>
  <si>
    <t>#77ff00</t>
  </si>
  <si>
    <t>小早川秀包</t>
  </si>
  <si>
    <t>6|10|31|41|97</t>
  </si>
  <si>
    <t>毛利元鎮</t>
  </si>
  <si>
    <t>相模国</t>
  </si>
  <si>
    <t>#ff3f00</t>
  </si>
  <si>
    <t>吉川経光</t>
  </si>
  <si>
    <t>55|67|97|98|99s|101|236</t>
  </si>
  <si>
    <t>吉川経高</t>
  </si>
  <si>
    <t>#0010ff</t>
  </si>
  <si>
    <t>吉川国経</t>
  </si>
  <si>
    <t>14|67|99s</t>
  </si>
  <si>
    <t>吉川元経</t>
  </si>
  <si>
    <t>伊豆国</t>
  </si>
  <si>
    <t>#5dff00</t>
  </si>
  <si>
    <t>吉川興経</t>
  </si>
  <si>
    <t>14|99s|101</t>
  </si>
  <si>
    <t>吉川経世</t>
  </si>
  <si>
    <t>駿河国</t>
  </si>
  <si>
    <t>#50ff00</t>
  </si>
  <si>
    <t>市川経好</t>
  </si>
  <si>
    <t>13|14|98</t>
  </si>
  <si>
    <t>市川元教</t>
  </si>
  <si>
    <t>#ff3b00</t>
  </si>
  <si>
    <t>54|71|100s|101|245</t>
  </si>
  <si>
    <t>吉川経茂</t>
  </si>
  <si>
    <t>吉川経典</t>
  </si>
  <si>
    <t>遠江国</t>
  </si>
  <si>
    <t>#ffe900</t>
  </si>
  <si>
    <t>吉川経安</t>
  </si>
  <si>
    <t>8|12|13|45|71</t>
  </si>
  <si>
    <t>吉川経家</t>
  </si>
  <si>
    <t>熊谷信直</t>
  </si>
  <si>
    <t>#d0ff00</t>
  </si>
  <si>
    <t>12|13|54</t>
  </si>
  <si>
    <t>熊谷高直</t>
  </si>
  <si>
    <t>熊谷元直</t>
  </si>
  <si>
    <t>#ff3700</t>
  </si>
  <si>
    <t>45|54|71|100</t>
  </si>
  <si>
    <t>手島興信</t>
  </si>
  <si>
    <t>三河国</t>
  </si>
  <si>
    <t>森脇祐有</t>
  </si>
  <si>
    <t>#ffd000</t>
  </si>
  <si>
    <t>45|57|100</t>
  </si>
  <si>
    <t>小早川茂平</t>
  </si>
  <si>
    <t>小早川雅平</t>
  </si>
  <si>
    <t>#ffc300</t>
  </si>
  <si>
    <t>8|12|48|54|100</t>
  </si>
  <si>
    <t>小早川興平</t>
  </si>
  <si>
    <t>小早川正平</t>
  </si>
  <si>
    <t>#55ff00</t>
  </si>
  <si>
    <t>12|13s|45|48|78s</t>
  </si>
  <si>
    <t>小早川繁平</t>
  </si>
  <si>
    <t>尾張国</t>
  </si>
  <si>
    <t>小早川政景</t>
  </si>
  <si>
    <t>#ff0400</t>
  </si>
  <si>
    <t>三戸城</t>
  </si>
  <si>
    <t>3|4|7|180</t>
  </si>
  <si>
    <t>小早川弘景</t>
  </si>
  <si>
    <t>さんのへじょう</t>
  </si>
  <si>
    <t>小早川弘平</t>
  </si>
  <si>
    <t>#ff0000</t>
  </si>
  <si>
    <t>11|44|73|180</t>
  </si>
  <si>
    <t>小早川興景</t>
  </si>
  <si>
    <t>田坂全慶</t>
  </si>
  <si>
    <t>#ff0800</t>
  </si>
  <si>
    <t>7|44|57</t>
  </si>
  <si>
    <t>乃美隆興</t>
  </si>
  <si>
    <t>#ff0c00</t>
  </si>
  <si>
    <t>11|48</t>
  </si>
  <si>
    <t>乃美景興</t>
  </si>
  <si>
    <t>#00faff</t>
  </si>
  <si>
    <t>3|7|36|73|183</t>
  </si>
  <si>
    <t>乃美賢勝</t>
  </si>
  <si>
    <t>伊勢国</t>
  </si>
  <si>
    <t>#3200ff</t>
  </si>
  <si>
    <t>47|49|77|78</t>
  </si>
  <si>
    <t>乃美宗勝</t>
  </si>
  <si>
    <t>#bbff00</t>
  </si>
  <si>
    <t>椋梨盛平</t>
  </si>
  <si>
    <t>36|40|43|44|49|251</t>
  </si>
  <si>
    <t>椋梨弘平</t>
  </si>
  <si>
    <t>#ffcc00</t>
  </si>
  <si>
    <t>39|49|78|178|251</t>
  </si>
  <si>
    <t>赤川元保</t>
  </si>
  <si>
    <t>#ffbf00</t>
  </si>
  <si>
    <t>7|11|36|77|78s</t>
  </si>
  <si>
    <t>天野隆重</t>
  </si>
  <si>
    <t>#ffd400</t>
  </si>
  <si>
    <t>43|47|77|80|251</t>
  </si>
  <si>
    <t>志摩国</t>
  </si>
  <si>
    <t>粟屋元親</t>
  </si>
  <si>
    <t>#b6ff00</t>
  </si>
  <si>
    <t>44s|47|100s|178s|251</t>
  </si>
  <si>
    <t>井上元兼</t>
  </si>
  <si>
    <t>伊賀国</t>
  </si>
  <si>
    <t>#aeff00</t>
  </si>
  <si>
    <t>堅田元慶</t>
  </si>
  <si>
    <t>39|43|49|53</t>
  </si>
  <si>
    <t>桂広澄</t>
  </si>
  <si>
    <t>#ffbb00</t>
  </si>
  <si>
    <t>桂元澄</t>
  </si>
  <si>
    <t>40|49|77|80|90</t>
  </si>
  <si>
    <t>美濃国</t>
  </si>
  <si>
    <t>桂元延</t>
  </si>
  <si>
    <t>#ff1900</t>
  </si>
  <si>
    <t>4|50|73|180|182|183</t>
  </si>
  <si>
    <t>桂景信</t>
  </si>
  <si>
    <t>#ff1d00</t>
  </si>
  <si>
    <t>桂元忠</t>
  </si>
  <si>
    <t>3|8|50|52|73</t>
  </si>
  <si>
    <t>川村重吉</t>
  </si>
  <si>
    <t>#ff9d00</t>
  </si>
  <si>
    <t>国司元相</t>
  </si>
  <si>
    <t>28|44|77|180|183</t>
  </si>
  <si>
    <t>児玉元実</t>
  </si>
  <si>
    <t>#00eeff</t>
  </si>
  <si>
    <t>児玉就忠</t>
  </si>
  <si>
    <t>3|36|180|182|186</t>
  </si>
  <si>
    <t>児玉就方</t>
  </si>
  <si>
    <t>#ffd800</t>
  </si>
  <si>
    <t>佐波隆秀</t>
  </si>
  <si>
    <t>3|4|29</t>
  </si>
  <si>
    <t>宍戸隆家</t>
  </si>
  <si>
    <t>#00f2ff</t>
  </si>
  <si>
    <t>3|183</t>
  </si>
  <si>
    <t>宍戸元秀</t>
  </si>
  <si>
    <t>宍戸元続</t>
  </si>
  <si>
    <t>飛騨国</t>
  </si>
  <si>
    <t>#7bff00</t>
  </si>
  <si>
    <t>74|29|91</t>
  </si>
  <si>
    <t>内藤元盛</t>
  </si>
  <si>
    <t>志道広良</t>
  </si>
  <si>
    <t>#7fff00</t>
  </si>
  <si>
    <t>志道某</t>
  </si>
  <si>
    <t>1|24|29|92|96|242</t>
  </si>
  <si>
    <t>志道元保</t>
  </si>
  <si>
    <t>口羽通良</t>
  </si>
  <si>
    <t>#ff7f00</t>
  </si>
  <si>
    <t>口羽広通</t>
  </si>
  <si>
    <t>50|52|91|92|96</t>
  </si>
  <si>
    <t>口羽春良</t>
  </si>
  <si>
    <t>近江国</t>
  </si>
  <si>
    <t>杉原理興</t>
  </si>
  <si>
    <t>#00e1ff</t>
  </si>
  <si>
    <t>23|28|35s|183</t>
  </si>
  <si>
    <t>杉原盛重</t>
  </si>
  <si>
    <t>多賀山通続</t>
  </si>
  <si>
    <t>#ff6600</t>
  </si>
  <si>
    <t>18|177|186</t>
  </si>
  <si>
    <t>内藤隆春</t>
  </si>
  <si>
    <t>#ff9900</t>
  </si>
  <si>
    <t>南条元清</t>
  </si>
  <si>
    <t>27s|28|40|177s|186s|246</t>
  </si>
  <si>
    <t>南条元続</t>
  </si>
  <si>
    <t>#00fff6</t>
  </si>
  <si>
    <t>18|23|26|27|35s|79|241</t>
  </si>
  <si>
    <t>南条元忠</t>
  </si>
  <si>
    <t>#ff7b00</t>
  </si>
  <si>
    <t>二宮春久</t>
  </si>
  <si>
    <t>35|36|40|186</t>
  </si>
  <si>
    <t>仁保隆慰</t>
  </si>
  <si>
    <t>#1d00ff</t>
  </si>
  <si>
    <t>27|35|40|90</t>
  </si>
  <si>
    <t>平賀広相</t>
  </si>
  <si>
    <t>平賀元相</t>
  </si>
  <si>
    <t>#ff7700</t>
  </si>
  <si>
    <t>福井元信</t>
  </si>
  <si>
    <t>26|35s|90|177|246</t>
  </si>
  <si>
    <t>福井就信</t>
  </si>
  <si>
    <t>#ffae00</t>
  </si>
  <si>
    <t>28|35|43|77|246</t>
  </si>
  <si>
    <t>福原貞俊</t>
  </si>
  <si>
    <t>山城国</t>
  </si>
  <si>
    <t>#ff7200</t>
  </si>
  <si>
    <t>福原元俊</t>
  </si>
  <si>
    <t>27|82|90|177|179|181</t>
  </si>
  <si>
    <t>福原広俊</t>
  </si>
  <si>
    <t>#83ff00</t>
  </si>
  <si>
    <t>26|27|34|43|53|246</t>
  </si>
  <si>
    <t>三浦元忠</t>
  </si>
  <si>
    <t>大和国</t>
  </si>
  <si>
    <t>#ffaa00</t>
  </si>
  <si>
    <t>南方就正</t>
  </si>
  <si>
    <t>47|53|56|80</t>
  </si>
  <si>
    <t>三吉隆亮</t>
  </si>
  <si>
    <t>#ffe500</t>
  </si>
  <si>
    <t>34|39|56|80|90</t>
  </si>
  <si>
    <t>三吉広高</t>
  </si>
  <si>
    <t>山田重直</t>
  </si>
  <si>
    <t>河内国</t>
  </si>
  <si>
    <t>#ff9400</t>
  </si>
  <si>
    <t>山内隆通</t>
  </si>
  <si>
    <t>33|51|53|56|90|181</t>
  </si>
  <si>
    <t>吉見正頼</t>
  </si>
  <si>
    <t>吉見広頼</t>
  </si>
  <si>
    <t>#fff200</t>
  </si>
  <si>
    <t>33|34|38|39|53|102</t>
  </si>
  <si>
    <t>吉見広長</t>
  </si>
  <si>
    <t>和泉国</t>
  </si>
  <si>
    <t>渡辺通</t>
  </si>
  <si>
    <t>#ffa500</t>
  </si>
  <si>
    <t>33|42|51s|56|87s|102</t>
  </si>
  <si>
    <t>和智誠春</t>
  </si>
  <si>
    <t>摂津国</t>
  </si>
  <si>
    <t>島津久豊</t>
  </si>
  <si>
    <t>#00f6ff</t>
  </si>
  <si>
    <t>26|34|51</t>
  </si>
  <si>
    <t>島津忠国</t>
  </si>
  <si>
    <t>島津立久</t>
  </si>
  <si>
    <t>#ff9000</t>
  </si>
  <si>
    <t>島津忠昌</t>
  </si>
  <si>
    <t>34|38|42s|51|56|175s</t>
  </si>
  <si>
    <t>島津勝久</t>
  </si>
  <si>
    <t>#ffdd00</t>
  </si>
  <si>
    <t>島津季久</t>
  </si>
  <si>
    <t>22|25|33|34|38s|82|181</t>
  </si>
  <si>
    <t>島津忠廉</t>
  </si>
  <si>
    <t>紀伊国</t>
  </si>
  <si>
    <t>#ffb600</t>
  </si>
  <si>
    <t>島津忠朝</t>
  </si>
  <si>
    <t>33s|38|87s|102</t>
  </si>
  <si>
    <t>島津忠広</t>
  </si>
  <si>
    <t>島津忠良</t>
  </si>
  <si>
    <t>島津貴久</t>
  </si>
  <si>
    <t>島津義久</t>
  </si>
  <si>
    <t>#00fffa</t>
  </si>
  <si>
    <t>47|78s|102</t>
  </si>
  <si>
    <t>島津義弘</t>
  </si>
  <si>
    <t>島津忠恒</t>
  </si>
  <si>
    <t>#4cff00</t>
  </si>
  <si>
    <t>38|42|56|87s|130s|178</t>
  </si>
  <si>
    <t>島津歳久</t>
  </si>
  <si>
    <t>淡路国</t>
  </si>
  <si>
    <t>#90ff00</t>
  </si>
  <si>
    <t>25s|38s|42s|102s|104s|127s|129s|130s|175s</t>
  </si>
  <si>
    <t>野辺地城</t>
  </si>
  <si>
    <t>島津家久</t>
  </si>
  <si>
    <t>丹波国</t>
  </si>
  <si>
    <t>のへじじょう</t>
  </si>
  <si>
    <t>#00ffff</t>
  </si>
  <si>
    <t>22|26|82</t>
  </si>
  <si>
    <t>島津豊久</t>
  </si>
  <si>
    <t>#a1ff00</t>
  </si>
  <si>
    <t>22|25|81|85</t>
  </si>
  <si>
    <t>島津忠将</t>
  </si>
  <si>
    <t>#a5ff00</t>
  </si>
  <si>
    <t>22|26|51|179</t>
  </si>
  <si>
    <t>島津以久</t>
  </si>
  <si>
    <t>#ff6100</t>
  </si>
  <si>
    <t>51|81|82|83|179</t>
  </si>
  <si>
    <t>丹後国</t>
  </si>
  <si>
    <t>#a9ff00</t>
  </si>
  <si>
    <t>21|22|83|85|241</t>
  </si>
  <si>
    <t>島津彰久</t>
  </si>
  <si>
    <t>#ff5d00</t>
  </si>
  <si>
    <t>18s|81|85|238</t>
  </si>
  <si>
    <t>入来院重時</t>
  </si>
  <si>
    <t>但馬国</t>
  </si>
  <si>
    <t>島津忠興</t>
  </si>
  <si>
    <t>#0008ff</t>
  </si>
  <si>
    <t>21|84|85</t>
  </si>
  <si>
    <t>島津用久</t>
  </si>
  <si>
    <t>島津忠興(薩州家)</t>
  </si>
  <si>
    <t>#99ff00</t>
  </si>
  <si>
    <t>21|81|83|84|86|238|239</t>
  </si>
  <si>
    <t>島津実久</t>
  </si>
  <si>
    <t>播磨国</t>
  </si>
  <si>
    <t>島津義虎</t>
  </si>
  <si>
    <t>#43ff00</t>
  </si>
  <si>
    <t>86|87s|114|127s|175s|239</t>
  </si>
  <si>
    <t>島津忠辰</t>
  </si>
  <si>
    <t>#48ff00</t>
  </si>
  <si>
    <t>25|86</t>
  </si>
  <si>
    <t>島津尚久</t>
  </si>
  <si>
    <t>島津忠長</t>
  </si>
  <si>
    <t>#94ff00</t>
  </si>
  <si>
    <t>島津久元</t>
  </si>
  <si>
    <t>85|103|104|239</t>
  </si>
  <si>
    <t>北郷忠相</t>
  </si>
  <si>
    <t>北郷忠親</t>
  </si>
  <si>
    <t>#0004ff</t>
  </si>
  <si>
    <t>84|85|86|104|112</t>
  </si>
  <si>
    <t>北郷時久</t>
  </si>
  <si>
    <t>#ff6e00</t>
  </si>
  <si>
    <t>北郷三久</t>
  </si>
  <si>
    <t>51|83|87s|103</t>
  </si>
  <si>
    <t>島津朝久</t>
  </si>
  <si>
    <t>因幡国</t>
  </si>
  <si>
    <t>#3fff00</t>
  </si>
  <si>
    <t>島津久賀</t>
  </si>
  <si>
    <t>84|106|107|112</t>
  </si>
  <si>
    <t>有川貞真</t>
  </si>
  <si>
    <t>#9dff00</t>
  </si>
  <si>
    <t>85|105|238|239</t>
  </si>
  <si>
    <t>伊勢貞昌</t>
  </si>
  <si>
    <t>伊集院忠朗</t>
  </si>
  <si>
    <t>伯耆国</t>
  </si>
  <si>
    <t>#3bff00</t>
  </si>
  <si>
    <t>伊集院忠倉</t>
  </si>
  <si>
    <t>105|107|113|112</t>
  </si>
  <si>
    <t>伊集院忠棟</t>
  </si>
  <si>
    <t>#0400ff</t>
  </si>
  <si>
    <t>107|108|109|113</t>
  </si>
  <si>
    <t>伊集院忠真</t>
  </si>
  <si>
    <t>肝付兼三</t>
  </si>
  <si>
    <t>#37ff00</t>
  </si>
  <si>
    <t>上井覚兼</t>
  </si>
  <si>
    <t>105|106|108|113|240</t>
  </si>
  <si>
    <t>頴娃兼堅</t>
  </si>
  <si>
    <t>出雲国</t>
  </si>
  <si>
    <t>頴娃兼有</t>
  </si>
  <si>
    <t>#33ff00</t>
  </si>
  <si>
    <t>107|109|240</t>
  </si>
  <si>
    <t>頴娃兼次</t>
  </si>
  <si>
    <t>#2eff00</t>
  </si>
  <si>
    <t>頴娃慶兼</t>
  </si>
  <si>
    <t>108|110|119|240</t>
  </si>
  <si>
    <t>頴娃久音</t>
  </si>
  <si>
    <t>石見国</t>
  </si>
  <si>
    <t>頴娃兼豊</t>
  </si>
  <si>
    <t>#21ff00</t>
  </si>
  <si>
    <t>110|122|123|124|125|250</t>
  </si>
  <si>
    <t>樺山善久</t>
  </si>
  <si>
    <t>樺山忠助</t>
  </si>
  <si>
    <t>#26ff00</t>
  </si>
  <si>
    <t>109|111|119|250</t>
  </si>
  <si>
    <t>樺山久高</t>
  </si>
  <si>
    <t>美作国</t>
  </si>
  <si>
    <t>#19ff00</t>
  </si>
  <si>
    <t>鎌田政年</t>
  </si>
  <si>
    <t>106|107|112|115|117|240</t>
  </si>
  <si>
    <t>鎌田政広</t>
  </si>
  <si>
    <t>#1dff00</t>
  </si>
  <si>
    <t>川上忠克</t>
  </si>
  <si>
    <t>105|106|113|114|115|239</t>
  </si>
  <si>
    <t>川上久朗</t>
  </si>
  <si>
    <t>備前国</t>
  </si>
  <si>
    <t>#11ff00</t>
  </si>
  <si>
    <t>川上忠実</t>
  </si>
  <si>
    <t>112|113|114|116|117|127s</t>
  </si>
  <si>
    <t>佐多忠増</t>
  </si>
  <si>
    <t>#15ff00</t>
  </si>
  <si>
    <t>猿渡信光</t>
  </si>
  <si>
    <t>104|112|115</t>
  </si>
  <si>
    <t>園田実明</t>
  </si>
  <si>
    <t>備中国</t>
  </si>
  <si>
    <t>#0cff00</t>
  </si>
  <si>
    <t>115|117|118</t>
  </si>
  <si>
    <t>竹内玄芳</t>
  </si>
  <si>
    <t>種子島恵時</t>
  </si>
  <si>
    <t>#08ff00</t>
  </si>
  <si>
    <t>113|115|116|118|119</t>
  </si>
  <si>
    <t>種子島時尭</t>
  </si>
  <si>
    <t>種子島久時</t>
  </si>
  <si>
    <t>備後国</t>
  </si>
  <si>
    <t>#04ff00</t>
  </si>
  <si>
    <t>中馬重方</t>
  </si>
  <si>
    <t>116|117|119|121|128s|175s</t>
  </si>
  <si>
    <t>長寿院盛淳</t>
  </si>
  <si>
    <t>#00ff00</t>
  </si>
  <si>
    <t>109|110|117|118|120|121</t>
  </si>
  <si>
    <t>津曲俊宗</t>
  </si>
  <si>
    <t>安芸国</t>
  </si>
  <si>
    <t>#00ff08</t>
  </si>
  <si>
    <t>118|119|120|122|175s</t>
  </si>
  <si>
    <t>新納忠元</t>
  </si>
  <si>
    <t>#00ff0c</t>
  </si>
  <si>
    <t>111|120|121|123|250</t>
  </si>
  <si>
    <t>新納忠尭</t>
  </si>
  <si>
    <t>#2e00ff</t>
  </si>
  <si>
    <t>110|111|120|122</t>
  </si>
  <si>
    <t>新納忠増</t>
  </si>
  <si>
    <t>#00ff04</t>
  </si>
  <si>
    <t>119|121|122|250</t>
  </si>
  <si>
    <t>平田宗秀</t>
  </si>
  <si>
    <t>周防国</t>
  </si>
  <si>
    <t>#00ff15</t>
  </si>
  <si>
    <t>111|123|125|126</t>
  </si>
  <si>
    <t>平田宗茂</t>
  </si>
  <si>
    <t>#00ff10</t>
  </si>
  <si>
    <t>111|122|124|125</t>
  </si>
  <si>
    <t>平田光宗</t>
  </si>
  <si>
    <t>長門国</t>
  </si>
  <si>
    <t>#00ff1d</t>
  </si>
  <si>
    <t>124|125|143s|155s|174s</t>
  </si>
  <si>
    <t>山田有信</t>
  </si>
  <si>
    <t>#00ff19</t>
  </si>
  <si>
    <t>111|123|124|126</t>
  </si>
  <si>
    <t>山田有栄</t>
  </si>
  <si>
    <t>讃岐国</t>
  </si>
  <si>
    <t>#00ff26</t>
  </si>
  <si>
    <t>118s|127|131|175s</t>
  </si>
  <si>
    <t>里見義尭</t>
  </si>
  <si>
    <t>#00ff22</t>
  </si>
  <si>
    <t>87s|104s|115s|128|129|131</t>
  </si>
  <si>
    <t>里見義舜</t>
  </si>
  <si>
    <t>阿波国</t>
  </si>
  <si>
    <t>#00ff2e</t>
  </si>
  <si>
    <t>87s|102s|129|131|132</t>
  </si>
  <si>
    <t>里見義重</t>
  </si>
  <si>
    <t>#00ff2a</t>
  </si>
  <si>
    <t>87s|127|130|131</t>
  </si>
  <si>
    <t>薦野頼俊</t>
  </si>
  <si>
    <t>#00ff33</t>
  </si>
  <si>
    <t>127|128|129|130|132|133|134|138</t>
  </si>
  <si>
    <t>里見義頼</t>
  </si>
  <si>
    <t>土佐国</t>
  </si>
  <si>
    <t>#00ff37</t>
  </si>
  <si>
    <t>130|131|133</t>
  </si>
  <si>
    <t>里見義康</t>
  </si>
  <si>
    <t>#00ff3f</t>
  </si>
  <si>
    <t>131|133|135</t>
  </si>
  <si>
    <t>里見忠義</t>
  </si>
  <si>
    <t>#00ff3b</t>
  </si>
  <si>
    <t>131|132|134|135</t>
  </si>
  <si>
    <t>秋元義久</t>
  </si>
  <si>
    <t>#00ff4c</t>
  </si>
  <si>
    <t>136|141|142|146s</t>
  </si>
  <si>
    <t>安西実元</t>
  </si>
  <si>
    <t>#00ff48</t>
  </si>
  <si>
    <t>135|137|142</t>
  </si>
  <si>
    <t>安西勝貞</t>
  </si>
  <si>
    <t>#00ff43</t>
  </si>
  <si>
    <t>133|134|136|138|142</t>
  </si>
  <si>
    <t>安西清勝</t>
  </si>
  <si>
    <t>伊予国</t>
  </si>
  <si>
    <t>#00ff59</t>
  </si>
  <si>
    <t>板倉昌察</t>
  </si>
  <si>
    <t>139|141|142|145s|146s</t>
  </si>
  <si>
    <t>岡本随縁斎</t>
  </si>
  <si>
    <t>#00ff61</t>
  </si>
  <si>
    <t>岡本頼元</t>
  </si>
  <si>
    <t>135|136|137|139|140|141</t>
  </si>
  <si>
    <t>加藤信景</t>
  </si>
  <si>
    <t>#00ff50</t>
  </si>
  <si>
    <t>131|135|139|175s</t>
  </si>
  <si>
    <t>加藤弘景</t>
  </si>
  <si>
    <t>#00ff5d</t>
  </si>
  <si>
    <t>137|140|142|145s|146s</t>
  </si>
  <si>
    <t>土岐為頼</t>
  </si>
  <si>
    <t>#00ffee</t>
  </si>
  <si>
    <t>33s|87s|104s|118s|121s|128s|138s|143s|145s</t>
  </si>
  <si>
    <t>土岐頼春</t>
  </si>
  <si>
    <t>#00ff54</t>
  </si>
  <si>
    <t>138|140|142|145s</t>
  </si>
  <si>
    <t>堀江頼忠</t>
  </si>
  <si>
    <t>豊前国</t>
  </si>
  <si>
    <t>#00ff6a</t>
  </si>
  <si>
    <t>143|145|147|148|149|176</t>
  </si>
  <si>
    <t>正木時綱</t>
  </si>
  <si>
    <t>八戸城</t>
  </si>
  <si>
    <t>#00ff66</t>
  </si>
  <si>
    <t>126s|144|148|149|174s|175s</t>
  </si>
  <si>
    <t>はちのへじょう</t>
  </si>
  <si>
    <t>正木時茂</t>
  </si>
  <si>
    <t>豊後国</t>
  </si>
  <si>
    <t>#00ff72</t>
  </si>
  <si>
    <t>137s|140s|141s|147|162</t>
  </si>
  <si>
    <t>正木信茂</t>
  </si>
  <si>
    <t>#00ff77</t>
  </si>
  <si>
    <t>144|145|146|158|159|176</t>
  </si>
  <si>
    <t>正木時忠</t>
  </si>
  <si>
    <t>#00ff6e</t>
  </si>
  <si>
    <t>139s|140s|141s|144|147|175s</t>
  </si>
  <si>
    <t>#00fff2</t>
  </si>
  <si>
    <t>正木時通</t>
  </si>
  <si>
    <t>144|147|149|150</t>
  </si>
  <si>
    <t>筑前国</t>
  </si>
  <si>
    <t>#00ff7f</t>
  </si>
  <si>
    <t>正木頼忠</t>
  </si>
  <si>
    <t>143|144|148|150|151|176</t>
  </si>
  <si>
    <t>正木為春</t>
  </si>
  <si>
    <t>#00ff7b</t>
  </si>
  <si>
    <t>143|144|149|151|153|155s|174s|184s</t>
  </si>
  <si>
    <t>正木弘季</t>
  </si>
  <si>
    <t>筑後国</t>
  </si>
  <si>
    <t>#00ff83</t>
  </si>
  <si>
    <t>149|151|152|154s|158|176</t>
  </si>
  <si>
    <t>正木憲時</t>
  </si>
  <si>
    <t>肥前国</t>
  </si>
  <si>
    <t>#00ff9d</t>
  </si>
  <si>
    <t>154|155|157</t>
  </si>
  <si>
    <t>神子上吉明</t>
  </si>
  <si>
    <t>#00ff87</t>
  </si>
  <si>
    <t>150|151|153|154</t>
  </si>
  <si>
    <t>小野忠常</t>
  </si>
  <si>
    <t>#00ff8c</t>
  </si>
  <si>
    <t>宇都宮正綱</t>
  </si>
  <si>
    <t>148|151|152|154|155</t>
  </si>
  <si>
    <t>宇都宮成綱</t>
  </si>
  <si>
    <t>#00ff94</t>
  </si>
  <si>
    <t>150s|152|153|155|156|157</t>
  </si>
  <si>
    <t>落合業親</t>
  </si>
  <si>
    <t>#00ff90</t>
  </si>
  <si>
    <t>148|149|150|152|153</t>
  </si>
  <si>
    <t>#00ffa1</t>
  </si>
  <si>
    <t>154|156|158s|161s</t>
  </si>
  <si>
    <t>#00ff98</t>
  </si>
  <si>
    <t>126s|148s|153|154|156|174s|184s</t>
  </si>
  <si>
    <t>肥後国</t>
  </si>
  <si>
    <t>#00ffaa</t>
  </si>
  <si>
    <t>147|158|162</t>
  </si>
  <si>
    <t>#00ffa5</t>
  </si>
  <si>
    <t>147|150|157s|159|161</t>
  </si>
  <si>
    <t>#00ffae</t>
  </si>
  <si>
    <t>161|164|167</t>
  </si>
  <si>
    <t>#00ffb2</t>
  </si>
  <si>
    <t>157s|158|160|167</t>
  </si>
  <si>
    <t>落合政親</t>
  </si>
  <si>
    <t>日向国</t>
  </si>
  <si>
    <t>#00ffb6</t>
  </si>
  <si>
    <t>146|159|163</t>
  </si>
  <si>
    <t>宇都宮興綱</t>
  </si>
  <si>
    <t>宇都宮尚綱</t>
  </si>
  <si>
    <t>#00ffc3</t>
  </si>
  <si>
    <t>163|164|166|172</t>
  </si>
  <si>
    <t>宇都宮広綱</t>
  </si>
  <si>
    <t>#00ffcb</t>
  </si>
  <si>
    <t>宇都宮国綱</t>
  </si>
  <si>
    <t>160|161|164|166|168|171</t>
  </si>
  <si>
    <t>芳賀高武</t>
  </si>
  <si>
    <t>#00ffbb</t>
  </si>
  <si>
    <t>今泉高光</t>
  </si>
  <si>
    <t>162|164|165</t>
  </si>
  <si>
    <t>岡本正親</t>
  </si>
  <si>
    <t>#00ffbf</t>
  </si>
  <si>
    <t>小宅高良</t>
  </si>
  <si>
    <t>160|163|165|166|167</t>
  </si>
  <si>
    <t>小宅高信</t>
  </si>
  <si>
    <t>#00ffc7</t>
  </si>
  <si>
    <t>小宅尚時</t>
  </si>
  <si>
    <t>164|165|167|171|172|173</t>
  </si>
  <si>
    <t>君島高胤</t>
  </si>
  <si>
    <t>薩摩国</t>
  </si>
  <si>
    <t>#00ffd4</t>
  </si>
  <si>
    <t>168|170|171|172s</t>
  </si>
  <si>
    <t>塩谷孝綱</t>
  </si>
  <si>
    <t>塩谷義孝</t>
  </si>
  <si>
    <t>#00ffd8</t>
  </si>
  <si>
    <t>169|173s|185s</t>
  </si>
  <si>
    <t>塩谷孝信</t>
  </si>
  <si>
    <t>須田盛久</t>
  </si>
  <si>
    <t>#00ffd0</t>
  </si>
  <si>
    <t>167|169|171</t>
  </si>
  <si>
    <t>多功長朝</t>
  </si>
  <si>
    <t>大隅国</t>
  </si>
  <si>
    <t>多功房朝</t>
  </si>
  <si>
    <t>#00e5ff</t>
  </si>
  <si>
    <t>170s|173s</t>
  </si>
  <si>
    <t>多功秀朝</t>
  </si>
  <si>
    <t>#00ffdc</t>
  </si>
  <si>
    <t>166|167|168|169|172</t>
  </si>
  <si>
    <t>多功綱朝</t>
  </si>
  <si>
    <t>多功綱賀</t>
  </si>
  <si>
    <t>#00ffe5</t>
  </si>
  <si>
    <t>166|170s|172|185s</t>
  </si>
  <si>
    <t>多功綱秀</t>
  </si>
  <si>
    <t>#00ffe1</t>
  </si>
  <si>
    <t>芳賀高経</t>
  </si>
  <si>
    <t>165|166|169s|171|173</t>
  </si>
  <si>
    <t>芳賀高継</t>
  </si>
  <si>
    <t>壱岐国</t>
  </si>
  <si>
    <t>#00e9ff</t>
  </si>
  <si>
    <t>148s|155s|174s</t>
  </si>
  <si>
    <t>益子某</t>
  </si>
  <si>
    <t>対馬国</t>
  </si>
  <si>
    <t>益子勝清</t>
  </si>
  <si>
    <t>#00ffe9</t>
  </si>
  <si>
    <t>126s|143s|148s|155s|184s</t>
  </si>
  <si>
    <t>益子勝宗</t>
  </si>
  <si>
    <t>芳賀高定</t>
  </si>
  <si>
    <t>芳賀高景</t>
  </si>
  <si>
    <t>皆川俊宗</t>
  </si>
  <si>
    <t>皆川広照</t>
  </si>
  <si>
    <t>結城朝広</t>
  </si>
  <si>
    <t>小山泰朝</t>
  </si>
  <si>
    <t>結城氏朝</t>
  </si>
  <si>
    <t>結城長朝</t>
  </si>
  <si>
    <t>結城氏広</t>
  </si>
  <si>
    <t>結城政朝</t>
  </si>
  <si>
    <t>結城政勝</t>
  </si>
  <si>
    <t>小山高朝</t>
  </si>
  <si>
    <t>小山秀綱</t>
  </si>
  <si>
    <t>結城晴朝</t>
  </si>
  <si>
    <t>小山政長</t>
  </si>
  <si>
    <t>山川直貞</t>
  </si>
  <si>
    <t>山川氏重</t>
  </si>
  <si>
    <t>山川朝信</t>
  </si>
  <si>
    <t>山川朝貞</t>
  </si>
  <si>
    <t>山川晴重</t>
  </si>
  <si>
    <t>岩上朝堅</t>
  </si>
  <si>
    <t>岩上持家</t>
  </si>
  <si>
    <t>片見晴信</t>
  </si>
  <si>
    <t>多賀谷家稙</t>
  </si>
  <si>
    <t>多賀谷家重</t>
  </si>
  <si>
    <t>多賀谷重政</t>
  </si>
  <si>
    <t>多賀谷政経</t>
  </si>
  <si>
    <t>多賀谷重経</t>
  </si>
  <si>
    <t>大林城</t>
  </si>
  <si>
    <t>おおばやしじょう</t>
  </si>
  <si>
    <t>多賀谷三経</t>
  </si>
  <si>
    <t>多賀谷為広</t>
  </si>
  <si>
    <t>多賀谷政広</t>
  </si>
  <si>
    <t>玉岡政清</t>
  </si>
  <si>
    <t>玉岡政広</t>
  </si>
  <si>
    <t>長田持重</t>
  </si>
  <si>
    <t>水谷治持</t>
  </si>
  <si>
    <t>水谷正村</t>
  </si>
  <si>
    <t>水谷勝俊</t>
  </si>
  <si>
    <t>水谷勝隆</t>
  </si>
  <si>
    <t>成田親泰</t>
  </si>
  <si>
    <t>成田長泰</t>
  </si>
  <si>
    <t>成田氏長</t>
  </si>
  <si>
    <t>成田泰親</t>
  </si>
  <si>
    <t>成田重長</t>
  </si>
  <si>
    <t>成田泰之</t>
  </si>
  <si>
    <t>成田泰直</t>
  </si>
  <si>
    <t>成田泰蔵</t>
  </si>
  <si>
    <t>小田朝興</t>
  </si>
  <si>
    <t>成田泰季</t>
  </si>
  <si>
    <t>成田長親</t>
  </si>
  <si>
    <t>成田泰徳</t>
  </si>
  <si>
    <t>善照寺向用斎</t>
  </si>
  <si>
    <t>小田顕家</t>
  </si>
  <si>
    <t>酒巻詮稠</t>
  </si>
  <si>
    <t>柴崎敦英</t>
  </si>
  <si>
    <t>手島高吉</t>
  </si>
  <si>
    <t>豊島長朝</t>
  </si>
  <si>
    <t>別府長清</t>
  </si>
  <si>
    <t>別府顕清</t>
  </si>
  <si>
    <t>別府清勝</t>
  </si>
  <si>
    <t>本庄泰展</t>
  </si>
  <si>
    <t>正木利英</t>
  </si>
  <si>
    <t>長野尚業</t>
  </si>
  <si>
    <t>長野信業</t>
  </si>
  <si>
    <t>長野業正</t>
  </si>
  <si>
    <t>長野吉業</t>
  </si>
  <si>
    <t>長野業盛</t>
  </si>
  <si>
    <t>極楽院鎮良</t>
  </si>
  <si>
    <t>長野直業</t>
  </si>
  <si>
    <t>長野業親</t>
  </si>
  <si>
    <t>長野業実</t>
  </si>
  <si>
    <t>長野業氏</t>
  </si>
  <si>
    <t>長野業通</t>
  </si>
  <si>
    <t>青柳昌信</t>
  </si>
  <si>
    <t>青柳忠家</t>
  </si>
  <si>
    <t>青柳満忠</t>
  </si>
  <si>
    <t>安中重繁</t>
  </si>
  <si>
    <t>安中景繁</t>
  </si>
  <si>
    <t>大胡秀継</t>
  </si>
  <si>
    <t>上泉秀綱</t>
  </si>
  <si>
    <t>上泉秀胤</t>
  </si>
  <si>
    <t>上泉泰綱</t>
  </si>
  <si>
    <t>倉賀野尚行</t>
  </si>
  <si>
    <t>下田正勝</t>
  </si>
  <si>
    <t>白川満勝</t>
  </si>
  <si>
    <t>神後宗治</t>
  </si>
  <si>
    <t>疋田景範</t>
  </si>
  <si>
    <t>疋田景兼</t>
  </si>
  <si>
    <t>藤井友忠</t>
  </si>
  <si>
    <t>佐竹義治</t>
  </si>
  <si>
    <t>古志長尾家</t>
  </si>
  <si>
    <t>佐竹義舜</t>
  </si>
  <si>
    <t>佐竹義篤</t>
  </si>
  <si>
    <t>佐竹義昭</t>
  </si>
  <si>
    <t>佐竹義重</t>
  </si>
  <si>
    <t>佐竹義宣</t>
  </si>
  <si>
    <t>佐竹義尚</t>
  </si>
  <si>
    <t>佐竹義種</t>
  </si>
  <si>
    <t>佐竹義継</t>
  </si>
  <si>
    <t>佐竹義里</t>
  </si>
  <si>
    <t>佐竹義信</t>
  </si>
  <si>
    <t>佐竹義廉</t>
  </si>
  <si>
    <t>佐竹義斯</t>
  </si>
  <si>
    <t>佐竹義憲</t>
  </si>
  <si>
    <t>佐竹政義</t>
  </si>
  <si>
    <t>佐竹義堅</t>
  </si>
  <si>
    <t>佐竹義喬</t>
  </si>
  <si>
    <t>佐竹義久</t>
  </si>
  <si>
    <t>佐竹義賢</t>
  </si>
  <si>
    <t>姫名</t>
  </si>
  <si>
    <t>梅津道金</t>
  </si>
  <si>
    <t>currentClanId</t>
  </si>
  <si>
    <t>梅津憲忠</t>
  </si>
  <si>
    <t>嫁先勢力</t>
  </si>
  <si>
    <t>梅津政景</t>
  </si>
  <si>
    <t>江戸忠通</t>
  </si>
  <si>
    <t>husbandId</t>
  </si>
  <si>
    <t>江戸通政</t>
  </si>
  <si>
    <t>江戸重通</t>
  </si>
  <si>
    <t>status</t>
  </si>
  <si>
    <t>岡本禅哲</t>
  </si>
  <si>
    <t>岡本顕逸</t>
  </si>
  <si>
    <t>岡本宣綱</t>
  </si>
  <si>
    <t>小田野義正</t>
  </si>
  <si>
    <t>小貫頼久</t>
  </si>
  <si>
    <t>小野崎従通</t>
  </si>
  <si>
    <t>小野崎昭通</t>
  </si>
  <si>
    <t>神生通朝</t>
  </si>
  <si>
    <t>車斯忠</t>
  </si>
  <si>
    <t>雫石城</t>
  </si>
  <si>
    <t>しずくいしじょう</t>
  </si>
  <si>
    <t>渋江政光</t>
  </si>
  <si>
    <t>大掾貞国</t>
  </si>
  <si>
    <t>戸村義広</t>
  </si>
  <si>
    <t>戸村義和</t>
  </si>
  <si>
    <t>戸村義国</t>
  </si>
  <si>
    <t>長倉義重</t>
  </si>
  <si>
    <t>根本里行</t>
  </si>
  <si>
    <t>馬場篤親</t>
  </si>
  <si>
    <t>馬場政直</t>
  </si>
  <si>
    <t>人見藤道</t>
  </si>
  <si>
    <t>真壁久幹</t>
  </si>
  <si>
    <t>真壁氏幹</t>
  </si>
  <si>
    <t>真壁義幹</t>
  </si>
  <si>
    <t>茂木治良</t>
  </si>
  <si>
    <t>和田昭為</t>
  </si>
  <si>
    <t>蘆名盛高</t>
  </si>
  <si>
    <t>蘆名盛滋</t>
  </si>
  <si>
    <t>針生盛幸</t>
  </si>
  <si>
    <t>針生盛秋</t>
  </si>
  <si>
    <t>針生盛信</t>
  </si>
  <si>
    <t>針生盛直</t>
  </si>
  <si>
    <t>針生重信</t>
  </si>
  <si>
    <t>蘆名盛舜</t>
  </si>
  <si>
    <t>蘆名氏方</t>
  </si>
  <si>
    <t>蘆名盛氏</t>
  </si>
  <si>
    <t>蘆名盛興</t>
  </si>
  <si>
    <t>二階堂盛隆</t>
  </si>
  <si>
    <t>佐竹義広</t>
  </si>
  <si>
    <t>穴沢信徳</t>
  </si>
  <si>
    <t>穴沢信堅</t>
  </si>
  <si>
    <t>猪苗代盛国</t>
  </si>
  <si>
    <t>猪苗代盛胤</t>
  </si>
  <si>
    <t>猪苗代宗国</t>
  </si>
  <si>
    <t>鵜浦入道</t>
  </si>
  <si>
    <t>金上盛備</t>
  </si>
  <si>
    <t>佐瀬氏胤</t>
  </si>
  <si>
    <t>佐瀬種常</t>
  </si>
  <si>
    <t>富田氏実</t>
  </si>
  <si>
    <t>富田隆実</t>
  </si>
  <si>
    <t>佐瀬常雄</t>
  </si>
  <si>
    <t>新国頼基</t>
  </si>
  <si>
    <t>沼沢実通</t>
  </si>
  <si>
    <t>沼沢重通</t>
  </si>
  <si>
    <t>沼沢長政</t>
  </si>
  <si>
    <t>平田舜範</t>
  </si>
  <si>
    <t>慶徳範重</t>
  </si>
  <si>
    <t>清野長範</t>
  </si>
  <si>
    <t>松本氏輔</t>
  </si>
  <si>
    <t>松本行輔</t>
  </si>
  <si>
    <t>那須資房</t>
  </si>
  <si>
    <t>那須政資</t>
  </si>
  <si>
    <t>那須高資</t>
  </si>
  <si>
    <t>那須資胤</t>
  </si>
  <si>
    <t>那須資晴</t>
  </si>
  <si>
    <t>那須資景</t>
  </si>
  <si>
    <t>福原資郡</t>
  </si>
  <si>
    <t>蘆野道珊</t>
  </si>
  <si>
    <t>蘆野盛泰</t>
  </si>
  <si>
    <t>蘆野資泰</t>
  </si>
  <si>
    <t>伊王野資宗</t>
  </si>
  <si>
    <t>伊王野資信</t>
  </si>
  <si>
    <t>伊王野資友</t>
  </si>
  <si>
    <t>大関宗増</t>
  </si>
  <si>
    <t>大関増次</t>
  </si>
  <si>
    <t>大田原資清</t>
  </si>
  <si>
    <t>大関高増</t>
  </si>
  <si>
    <t>大関資増</t>
  </si>
  <si>
    <t>福原資孝</t>
  </si>
  <si>
    <t>福原資保</t>
  </si>
  <si>
    <t>大田原綱清</t>
  </si>
  <si>
    <t>大田原晴清</t>
  </si>
  <si>
    <t>佐久山義隆</t>
  </si>
  <si>
    <t>千本資俊</t>
  </si>
  <si>
    <t>千本資政</t>
  </si>
  <si>
    <t>小田治久</t>
  </si>
  <si>
    <t>小田孝朝</t>
  </si>
  <si>
    <t>小田成治</t>
  </si>
  <si>
    <t>小田治孝</t>
  </si>
  <si>
    <t>岡見某</t>
  </si>
  <si>
    <t>岡見治資</t>
  </si>
  <si>
    <t>岡見治広</t>
  </si>
  <si>
    <t>岡見義治</t>
  </si>
  <si>
    <t>小田政治</t>
  </si>
  <si>
    <t>小田氏治</t>
  </si>
  <si>
    <t>八田友治</t>
  </si>
  <si>
    <t>鳥谷ヶ崎城</t>
  </si>
  <si>
    <t>とやがさきじょう</t>
  </si>
  <si>
    <t>八田義治</t>
  </si>
  <si>
    <t>八田友重</t>
  </si>
  <si>
    <t>小田守治</t>
  </si>
  <si>
    <t>小田重治</t>
  </si>
  <si>
    <t>岡見邦知</t>
  </si>
  <si>
    <t>岡見頼久</t>
  </si>
  <si>
    <t>married</t>
  </si>
  <si>
    <t>岡見治親</t>
  </si>
  <si>
    <t>岡見頼忠</t>
  </si>
  <si>
    <t>岡見宗治</t>
  </si>
  <si>
    <t>岡見頼勝</t>
  </si>
  <si>
    <t>赤松凝淵斎</t>
  </si>
  <si>
    <t>天羽源鉄斎</t>
  </si>
  <si>
    <t>飯塚重光</t>
  </si>
  <si>
    <t>信太家範</t>
  </si>
  <si>
    <t>信太輔範</t>
  </si>
  <si>
    <t>菅谷晴範</t>
  </si>
  <si>
    <t>菅谷勝貞</t>
  </si>
  <si>
    <t>菅谷政貞</t>
  </si>
  <si>
    <t>菅谷範政</t>
  </si>
  <si>
    <t>菅谷政頼</t>
  </si>
  <si>
    <t>信太頼範</t>
  </si>
  <si>
    <t>信太範宗</t>
  </si>
  <si>
    <t>信太治房</t>
  </si>
  <si>
    <t>信太範貞</t>
  </si>
  <si>
    <t>只越全久</t>
  </si>
  <si>
    <t>月岡広秀</t>
  </si>
  <si>
    <t>佐野秀綱</t>
  </si>
  <si>
    <t>佐野泰綱</t>
  </si>
  <si>
    <t>佐野豊綱</t>
  </si>
  <si>
    <t>佐野昌綱</t>
  </si>
  <si>
    <t>佐野宗綱</t>
  </si>
  <si>
    <t>桐生親綱</t>
  </si>
  <si>
    <t>佐野氏忠</t>
  </si>
  <si>
    <t>佐野房綱</t>
  </si>
  <si>
    <t>佐野信吉</t>
  </si>
  <si>
    <t>神馬忠春</t>
  </si>
  <si>
    <t>赤見綱重</t>
  </si>
  <si>
    <t>赤見綱高</t>
  </si>
  <si>
    <t>大貫某</t>
  </si>
  <si>
    <t>大貫武重</t>
  </si>
  <si>
    <t>大貫武基</t>
  </si>
  <si>
    <t>大貫定行</t>
  </si>
  <si>
    <t>桐生助綱</t>
  </si>
  <si>
    <t>高瀬武正</t>
  </si>
  <si>
    <t>高瀬武元</t>
  </si>
  <si>
    <t>竹沢定冬</t>
  </si>
  <si>
    <t>津布久昌成</t>
  </si>
  <si>
    <t>福地寧久</t>
  </si>
  <si>
    <t>福地智之</t>
  </si>
  <si>
    <t>茂呂久重</t>
  </si>
  <si>
    <t>山上道及</t>
  </si>
  <si>
    <t>太田資清</t>
  </si>
  <si>
    <t>太田資長</t>
  </si>
  <si>
    <t>太田資康</t>
  </si>
  <si>
    <t>太田資高</t>
  </si>
  <si>
    <t>太田康資</t>
  </si>
  <si>
    <t>太田重正</t>
  </si>
  <si>
    <t>太田資宗</t>
  </si>
  <si>
    <t>太田輝資</t>
  </si>
  <si>
    <t>太田資忠</t>
  </si>
  <si>
    <t>太田資家</t>
  </si>
  <si>
    <t>太田資頼</t>
  </si>
  <si>
    <t>太田資顕</t>
  </si>
  <si>
    <t>太田資正</t>
  </si>
  <si>
    <t>unmarried</t>
  </si>
  <si>
    <t>太田氏資</t>
  </si>
  <si>
    <t>梶原政景</t>
  </si>
  <si>
    <t>潮田資忠</t>
  </si>
  <si>
    <t>潮田資勝</t>
  </si>
  <si>
    <t>潮田資政</t>
  </si>
  <si>
    <t>太田資武</t>
  </si>
  <si>
    <t>佐枝信宗</t>
  </si>
  <si>
    <t>宮城政業</t>
  </si>
  <si>
    <t>武田元信</t>
  </si>
  <si>
    <t>武田元光</t>
  </si>
  <si>
    <t>武田元栄</t>
  </si>
  <si>
    <t>武田元明</t>
  </si>
  <si>
    <t>武田信方</t>
  </si>
  <si>
    <t>花輪館</t>
  </si>
  <si>
    <t>はなわたて</t>
  </si>
  <si>
    <t>武田信重(若狭)</t>
  </si>
  <si>
    <t>武田信実</t>
  </si>
  <si>
    <t>武田元度</t>
  </si>
  <si>
    <t>武田信孝</t>
  </si>
  <si>
    <t>粟屋元隆</t>
  </si>
  <si>
    <t>粟屋勝久</t>
  </si>
  <si>
    <t>粟屋勝家</t>
  </si>
  <si>
    <t>粟屋光若</t>
  </si>
  <si>
    <t>逸見信経</t>
  </si>
  <si>
    <t>逸見昌経</t>
  </si>
  <si>
    <t>逸見虎清</t>
  </si>
  <si>
    <t>逸見経久</t>
  </si>
  <si>
    <t>逸見昌久</t>
  </si>
  <si>
    <t>武藤友益</t>
  </si>
  <si>
    <t>山名時氏</t>
  </si>
  <si>
    <t>山名氏冬</t>
  </si>
  <si>
    <t>山名豊時</t>
  </si>
  <si>
    <t>山名豊頼</t>
  </si>
  <si>
    <t>山名誠通</t>
  </si>
  <si>
    <t>山名豊通</t>
  </si>
  <si>
    <t>山名豊次</t>
  </si>
  <si>
    <t>山名時義</t>
  </si>
  <si>
    <t>山名致豊</t>
  </si>
  <si>
    <t>山名祐豊</t>
  </si>
  <si>
    <t>山名氏政</t>
  </si>
  <si>
    <t>山名豊定</t>
  </si>
  <si>
    <t>山名豊数</t>
  </si>
  <si>
    <t>山名豊国</t>
  </si>
  <si>
    <t>山名豊弘</t>
  </si>
  <si>
    <t>太田垣宗寿</t>
  </si>
  <si>
    <t>太田垣朝延</t>
  </si>
  <si>
    <t>太田垣輝延</t>
  </si>
  <si>
    <t>垣屋続成</t>
  </si>
  <si>
    <t>垣屋光成</t>
  </si>
  <si>
    <t>垣屋恒総</t>
  </si>
  <si>
    <t>田結庄是義</t>
  </si>
  <si>
    <t>中村某</t>
  </si>
  <si>
    <t>中村政重</t>
  </si>
  <si>
    <t>中村豊重</t>
  </si>
  <si>
    <t>中村国重</t>
  </si>
  <si>
    <t>中村春続</t>
  </si>
  <si>
    <t>橋本正頼</t>
  </si>
  <si>
    <t>橋本正恒</t>
  </si>
  <si>
    <t>橋本宗継</t>
  </si>
  <si>
    <t>橋本宗信</t>
  </si>
  <si>
    <t>橋本長信</t>
  </si>
  <si>
    <t>森下通与</t>
  </si>
  <si>
    <t>八木豊信</t>
  </si>
  <si>
    <t>吉岡定勝</t>
  </si>
  <si>
    <t>赤松村秀</t>
  </si>
  <si>
    <t>赤松晴政</t>
  </si>
  <si>
    <t>赤松義祐</t>
  </si>
  <si>
    <t>赤松則房</t>
  </si>
  <si>
    <t>赤松則英</t>
  </si>
  <si>
    <t>赤松政秀</t>
  </si>
  <si>
    <t>斎村政広</t>
  </si>
  <si>
    <t>宇野政頼</t>
  </si>
  <si>
    <t>梶原景秀</t>
  </si>
  <si>
    <t>得平定阿弥</t>
  </si>
  <si>
    <t>鳥居職種</t>
  </si>
  <si>
    <t>福原長尭</t>
  </si>
  <si>
    <t>難波泰興</t>
  </si>
  <si>
    <t>小寺則職</t>
  </si>
  <si>
    <t>小寺政職</t>
  </si>
  <si>
    <t>小寺氏職</t>
  </si>
  <si>
    <t>黒田重隆</t>
  </si>
  <si>
    <t>黒田満隆</t>
  </si>
  <si>
    <t>小寺孝高</t>
  </si>
  <si>
    <t>黒田長政</t>
  </si>
  <si>
    <t>黒田忠之</t>
  </si>
  <si>
    <t>黒田一成</t>
  </si>
  <si>
    <t>黒田利則</t>
  </si>
  <si>
    <t>井上之房</t>
  </si>
  <si>
    <t>菅正利</t>
  </si>
  <si>
    <t>栗山利安</t>
  </si>
  <si>
    <t>栗山利章</t>
  </si>
  <si>
    <t>村田吉次</t>
  </si>
  <si>
    <t>母里友信</t>
  </si>
  <si>
    <t>畠山基国</t>
  </si>
  <si>
    <t>畠山満家</t>
  </si>
  <si>
    <t>畠山持国</t>
  </si>
  <si>
    <t>畠山義尭</t>
  </si>
  <si>
    <t>畠山在氏</t>
  </si>
  <si>
    <t>畠山尚誠</t>
  </si>
  <si>
    <t>畠山持富</t>
  </si>
  <si>
    <t>畠山政長</t>
  </si>
  <si>
    <t>畠山尚順</t>
  </si>
  <si>
    <t>畠山稙長</t>
  </si>
  <si>
    <t>畠山政国</t>
  </si>
  <si>
    <t>畠山高政</t>
  </si>
  <si>
    <t>畠山政尚</t>
  </si>
  <si>
    <t>畠山貞政</t>
  </si>
  <si>
    <t>畠山政信</t>
  </si>
  <si>
    <t>畠山秋高</t>
  </si>
  <si>
    <t>稲沢順貞</t>
  </si>
  <si>
    <t>稲沢貞胤</t>
  </si>
  <si>
    <t>稲沢貞康</t>
  </si>
  <si>
    <t>稲沢貞昌</t>
  </si>
  <si>
    <t>木沢長政</t>
  </si>
  <si>
    <t>木沢相政</t>
  </si>
  <si>
    <t>三宝院快敏</t>
  </si>
  <si>
    <t>神保春茂</t>
  </si>
  <si>
    <t>石巻城</t>
  </si>
  <si>
    <t>神保相茂</t>
  </si>
  <si>
    <t>いしのまきじょう</t>
  </si>
  <si>
    <t>平盛知</t>
  </si>
  <si>
    <t>平盛長</t>
  </si>
  <si>
    <t>丹下盛賢</t>
  </si>
  <si>
    <t>鷹山弘頼</t>
  </si>
  <si>
    <t>鷹山藤政</t>
  </si>
  <si>
    <t>走井盛秀</t>
  </si>
  <si>
    <t>走井慶秀</t>
  </si>
  <si>
    <t>保田知宗</t>
  </si>
  <si>
    <t>安見信国</t>
  </si>
  <si>
    <t>安見勝之</t>
  </si>
  <si>
    <t>安見元勝</t>
  </si>
  <si>
    <t>安見宗房</t>
  </si>
  <si>
    <t>野尻宗泰</t>
  </si>
  <si>
    <t>湯川直光</t>
  </si>
  <si>
    <t>湯川直春</t>
  </si>
  <si>
    <t>湯川勝春</t>
  </si>
  <si>
    <t>遊佐長教</t>
  </si>
  <si>
    <t>遊佐信教</t>
  </si>
  <si>
    <t>遊佐高教</t>
  </si>
  <si>
    <t>長宗我部兼序</t>
  </si>
  <si>
    <t>長宗我部国親</t>
  </si>
  <si>
    <t>長宗我部元親</t>
  </si>
  <si>
    <t>長宗我部信親</t>
  </si>
  <si>
    <t>香川親和</t>
  </si>
  <si>
    <t>津野親忠</t>
  </si>
  <si>
    <t>長宗我部盛親</t>
  </si>
  <si>
    <t>長宗我部盛恒</t>
  </si>
  <si>
    <t>長宗我部康豊</t>
  </si>
  <si>
    <t>吉良親貞</t>
  </si>
  <si>
    <t>吉良親実</t>
  </si>
  <si>
    <t>香宗我部親泰</t>
  </si>
  <si>
    <t>香宗我部貞親</t>
  </si>
  <si>
    <t>島親益</t>
  </si>
  <si>
    <t>島某</t>
  </si>
  <si>
    <t>島親典</t>
  </si>
  <si>
    <t>長宗我部国康</t>
  </si>
  <si>
    <t>戸波親武</t>
  </si>
  <si>
    <t>戸波親清</t>
  </si>
  <si>
    <t>比江山親興</t>
  </si>
  <si>
    <t>中島親吉</t>
  </si>
  <si>
    <t>中島重房</t>
  </si>
  <si>
    <t>伊沢綱俊</t>
  </si>
  <si>
    <t>公文重忠</t>
  </si>
  <si>
    <t>桑名重定</t>
  </si>
  <si>
    <t>桑名親光</t>
  </si>
  <si>
    <t>香宗我部通長</t>
  </si>
  <si>
    <t>香宗我部親秀</t>
  </si>
  <si>
    <t>香宗我部秀通</t>
  </si>
  <si>
    <t>秦泉寺泰惟</t>
  </si>
  <si>
    <t>高島正重</t>
  </si>
  <si>
    <t>谷某</t>
  </si>
  <si>
    <t>谷忠澄</t>
  </si>
  <si>
    <t>滝本寺非有</t>
  </si>
  <si>
    <t>立石正賀</t>
  </si>
  <si>
    <t>豊永勝元</t>
  </si>
  <si>
    <t>久武親定</t>
  </si>
  <si>
    <t>久武親信</t>
  </si>
  <si>
    <t>久武親直</t>
  </si>
  <si>
    <t>福留親政</t>
  </si>
  <si>
    <t>福留儀重</t>
  </si>
  <si>
    <t>細川定輔</t>
  </si>
  <si>
    <t>横山道範</t>
  </si>
  <si>
    <t>横山友隆</t>
  </si>
  <si>
    <t>吉田則弘</t>
  </si>
  <si>
    <t>吉田孝頼</t>
  </si>
  <si>
    <t>吉田貞重</t>
  </si>
  <si>
    <t>吉田重俊</t>
  </si>
  <si>
    <t>吉田重康</t>
  </si>
  <si>
    <t>吉田孝俊</t>
  </si>
  <si>
    <t>吉田康俊</t>
  </si>
  <si>
    <t>吉田俊政</t>
  </si>
  <si>
    <t>吉田政重</t>
  </si>
  <si>
    <t>江村親家</t>
  </si>
  <si>
    <t>江村親俊</t>
  </si>
  <si>
    <t>尼子持久</t>
  </si>
  <si>
    <t>尼子経久</t>
  </si>
  <si>
    <t>尼子政久</t>
  </si>
  <si>
    <t>尼子晴久</t>
  </si>
  <si>
    <t>尼子義久</t>
  </si>
  <si>
    <t>尼子倫久</t>
  </si>
  <si>
    <t>尼子元知</t>
  </si>
  <si>
    <t>北目城</t>
  </si>
  <si>
    <t>尼子秀久</t>
  </si>
  <si>
    <t>きためじょう</t>
  </si>
  <si>
    <t>尼子国久</t>
  </si>
  <si>
    <t>尼子誠久</t>
  </si>
  <si>
    <t>尼子勝久</t>
  </si>
  <si>
    <t>塩冶興久</t>
  </si>
  <si>
    <t>尼子清久</t>
  </si>
  <si>
    <t>尼子清定</t>
  </si>
  <si>
    <t>尼子久幸</t>
  </si>
  <si>
    <t>三沢為幸</t>
  </si>
  <si>
    <t>三沢為清</t>
  </si>
  <si>
    <t>三沢為虎</t>
  </si>
  <si>
    <t>赤穴久清</t>
  </si>
  <si>
    <t>赤穴光清</t>
  </si>
  <si>
    <t>赤穴盛清</t>
  </si>
  <si>
    <t>秋上宗信</t>
  </si>
  <si>
    <t>牛尾幸清</t>
  </si>
  <si>
    <t>牛尾久信</t>
  </si>
  <si>
    <t>宇山久兼</t>
  </si>
  <si>
    <t>江見久盛</t>
  </si>
  <si>
    <t>小笠原長雄</t>
  </si>
  <si>
    <t>小笠原長旌</t>
  </si>
  <si>
    <t>小笠原元枝</t>
  </si>
  <si>
    <t>小笠原長親</t>
  </si>
  <si>
    <t>亀井秀綱</t>
  </si>
  <si>
    <t>湯惟宗</t>
  </si>
  <si>
    <t>湯永綱</t>
  </si>
  <si>
    <t>亀井茲矩</t>
  </si>
  <si>
    <t>亀井政矩</t>
  </si>
  <si>
    <t>川副久盛</t>
  </si>
  <si>
    <t>佐世清宗</t>
  </si>
  <si>
    <t>佐世元嘉</t>
  </si>
  <si>
    <t>多胡辰敬</t>
  </si>
  <si>
    <t>立原久綱</t>
  </si>
  <si>
    <t>新見国経</t>
  </si>
  <si>
    <t>新見貞経</t>
  </si>
  <si>
    <t>本城常光</t>
  </si>
  <si>
    <t>本城隆光</t>
  </si>
  <si>
    <t>本城春政</t>
  </si>
  <si>
    <t>本城家房</t>
  </si>
  <si>
    <t>本田家吉</t>
  </si>
  <si>
    <t>三刀屋久扶</t>
  </si>
  <si>
    <t>森脇久仍</t>
  </si>
  <si>
    <t>山中満幸</t>
  </si>
  <si>
    <t>山中幸高</t>
  </si>
  <si>
    <t>山中幸盛</t>
  </si>
  <si>
    <t>山中幸元</t>
  </si>
  <si>
    <t>米原綱寛</t>
  </si>
  <si>
    <t>羽倉元蔭</t>
  </si>
  <si>
    <t>浦上村宗</t>
  </si>
  <si>
    <t>浦上政宗</t>
  </si>
  <si>
    <t>浦上清宗</t>
  </si>
  <si>
    <t>浦上誠宗</t>
  </si>
  <si>
    <t>浦上宗景</t>
  </si>
  <si>
    <t>浦上宗辰</t>
  </si>
  <si>
    <t>浦上成宗</t>
  </si>
  <si>
    <t>浮田国定</t>
  </si>
  <si>
    <t>岡本氏秀</t>
  </si>
  <si>
    <t>後藤勝国</t>
  </si>
  <si>
    <t>後藤勝基</t>
  </si>
  <si>
    <t>笹部貞利</t>
  </si>
  <si>
    <t>島村盛実</t>
  </si>
  <si>
    <t>中山信正</t>
  </si>
  <si>
    <t>日笠頼房</t>
  </si>
  <si>
    <t>星賀光重</t>
  </si>
  <si>
    <t>三村宗親</t>
  </si>
  <si>
    <t>三村家親</t>
  </si>
  <si>
    <t>穂井田元資</t>
  </si>
  <si>
    <t>三村元親</t>
  </si>
  <si>
    <t>三村親成</t>
  </si>
  <si>
    <t>三村親宣</t>
  </si>
  <si>
    <t>三村政親</t>
  </si>
  <si>
    <t>三村元範</t>
  </si>
  <si>
    <t>上田実親</t>
  </si>
  <si>
    <t>石川久智</t>
  </si>
  <si>
    <t>石川久式</t>
  </si>
  <si>
    <t>上野隆徳</t>
  </si>
  <si>
    <t>清水宗則</t>
  </si>
  <si>
    <t>清水宗知</t>
  </si>
  <si>
    <t>清水宗治</t>
  </si>
  <si>
    <t>清水宗之</t>
  </si>
  <si>
    <t>清水景治</t>
  </si>
  <si>
    <t>荘為資</t>
  </si>
  <si>
    <t>荘高資</t>
  </si>
  <si>
    <t>鶴楯城</t>
  </si>
  <si>
    <t>つるたてじょう</t>
  </si>
  <si>
    <t>竹井直定</t>
  </si>
  <si>
    <t>田中直重</t>
  </si>
  <si>
    <t>日幡景教</t>
  </si>
  <si>
    <t>日幡景親</t>
  </si>
  <si>
    <t>三浦貞国</t>
  </si>
  <si>
    <t>三浦貞久</t>
  </si>
  <si>
    <t>三浦貞勝</t>
  </si>
  <si>
    <t>三浦定勝</t>
  </si>
  <si>
    <t>三浦貞広</t>
  </si>
  <si>
    <t>大河原貞尚</t>
  </si>
  <si>
    <t>三浦貞盛</t>
  </si>
  <si>
    <t>金田弘久</t>
  </si>
  <si>
    <t>牧尚春</t>
  </si>
  <si>
    <t>牧菅兵衛</t>
  </si>
  <si>
    <t>牧清冬</t>
  </si>
  <si>
    <t>牧良長</t>
  </si>
  <si>
    <t>牧左馬助</t>
  </si>
  <si>
    <t>牧国信</t>
  </si>
  <si>
    <t>安芸元泰</t>
  </si>
  <si>
    <t>安芸国虎</t>
  </si>
  <si>
    <t>安芸弘恒</t>
  </si>
  <si>
    <t>安芸家友</t>
  </si>
  <si>
    <t>有沢重親</t>
  </si>
  <si>
    <t>馬路長正</t>
  </si>
  <si>
    <t>馬路隆正</t>
  </si>
  <si>
    <t>大野家貞義</t>
  </si>
  <si>
    <t>寺池城</t>
  </si>
  <si>
    <t>黒岩種直</t>
  </si>
  <si>
    <t>畑山元氏</t>
  </si>
  <si>
    <t>矢野満俊</t>
  </si>
  <si>
    <t>矢野藤平</t>
  </si>
  <si>
    <t>北川道清</t>
  </si>
  <si>
    <t>安田親信</t>
  </si>
  <si>
    <t>安田鑑信</t>
  </si>
  <si>
    <t>てらいけじょう</t>
  </si>
  <si>
    <t>安田泰綱</t>
  </si>
  <si>
    <t>安岡重賢</t>
  </si>
  <si>
    <t>安岡道清</t>
  </si>
  <si>
    <t>安岡重義</t>
  </si>
  <si>
    <t>安岡重盛</t>
  </si>
  <si>
    <t>本山実茂</t>
  </si>
  <si>
    <t>本山茂宗</t>
  </si>
  <si>
    <t>本山茂辰</t>
  </si>
  <si>
    <t>本山貞茂</t>
  </si>
  <si>
    <t>本山茂房</t>
  </si>
  <si>
    <t>本山茂安</t>
  </si>
  <si>
    <t>本山茂慶</t>
  </si>
  <si>
    <t>本山茂直</t>
  </si>
  <si>
    <t>本山茂定</t>
  </si>
  <si>
    <t>本山政貞</t>
  </si>
  <si>
    <t>吉松光久</t>
  </si>
  <si>
    <t>吉松光勝</t>
  </si>
  <si>
    <t>河野通直(弾正少弼)</t>
  </si>
  <si>
    <t>河野通政</t>
  </si>
  <si>
    <t>河野通宣</t>
  </si>
  <si>
    <t>河野通直(伊予守)</t>
  </si>
  <si>
    <t>河野通軌</t>
  </si>
  <si>
    <t>石川通清</t>
  </si>
  <si>
    <t>大野利直</t>
  </si>
  <si>
    <t>大野直昌</t>
  </si>
  <si>
    <t>大野直之</t>
  </si>
  <si>
    <t>戒能通運</t>
  </si>
  <si>
    <t>戒能通森</t>
  </si>
  <si>
    <t>金子元成</t>
  </si>
  <si>
    <t>金子元宅</t>
  </si>
  <si>
    <t>金子宅明</t>
  </si>
  <si>
    <t>忽那通乗</t>
  </si>
  <si>
    <t>忽那通著</t>
  </si>
  <si>
    <t>重見通昭</t>
  </si>
  <si>
    <t>重見通種</t>
  </si>
  <si>
    <t>重見通遠</t>
  </si>
  <si>
    <t>重見通次</t>
  </si>
  <si>
    <t>重見通晴</t>
  </si>
  <si>
    <t>垣生盛周</t>
  </si>
  <si>
    <t>平岡房実</t>
  </si>
  <si>
    <t>平岡直房</t>
  </si>
  <si>
    <t>二神通範</t>
  </si>
  <si>
    <t>壬生川通国</t>
  </si>
  <si>
    <t>壬生川泰国</t>
  </si>
  <si>
    <t>和田通興</t>
  </si>
  <si>
    <t>一条房通</t>
  </si>
  <si>
    <t>一条房家</t>
  </si>
  <si>
    <t>一条房冬</t>
  </si>
  <si>
    <t>一条房基</t>
  </si>
  <si>
    <t>一条兼定</t>
  </si>
  <si>
    <t>一条内政</t>
  </si>
  <si>
    <t>一条政親</t>
  </si>
  <si>
    <t>土居家忠</t>
  </si>
  <si>
    <t>土居家通</t>
  </si>
  <si>
    <t>飛鳥井雅量</t>
  </si>
  <si>
    <t>飛鳥井某</t>
  </si>
  <si>
    <t>鹿持雅春</t>
  </si>
  <si>
    <t>安並直敏</t>
  </si>
  <si>
    <t>安並有次</t>
  </si>
  <si>
    <t>小島政章</t>
  </si>
  <si>
    <t>小島政倶</t>
  </si>
  <si>
    <t>加久見宗清</t>
  </si>
  <si>
    <t>窪川俊光</t>
  </si>
  <si>
    <t>佐竹義之</t>
  </si>
  <si>
    <t>佐竹義直</t>
  </si>
  <si>
    <t>佐竹親辰</t>
  </si>
  <si>
    <t>佐竹義秀</t>
  </si>
  <si>
    <t>佐竹親直</t>
  </si>
  <si>
    <t>佐竹朝親</t>
  </si>
  <si>
    <t>敷地藤安</t>
  </si>
  <si>
    <t>持明院基孝</t>
  </si>
  <si>
    <t>津野基高</t>
  </si>
  <si>
    <t>安宗実刻</t>
  </si>
  <si>
    <t>羽生道成</t>
  </si>
  <si>
    <t>源康政</t>
  </si>
  <si>
    <t>西園寺公家</t>
  </si>
  <si>
    <t>西園寺実充</t>
  </si>
  <si>
    <t>西園寺公高</t>
  </si>
  <si>
    <t>西園寺公宣</t>
  </si>
  <si>
    <t>西園寺公広</t>
  </si>
  <si>
    <t>西園寺宣久</t>
  </si>
  <si>
    <t>西園寺信久</t>
  </si>
  <si>
    <t>今城能親</t>
  </si>
  <si>
    <t>今城能信</t>
  </si>
  <si>
    <t>越智通繁</t>
  </si>
  <si>
    <t>観修寺基詮</t>
  </si>
  <si>
    <t>北之川通安</t>
  </si>
  <si>
    <t>北之川親安</t>
  </si>
  <si>
    <t>北之川正親</t>
  </si>
  <si>
    <t>竹林院真清</t>
  </si>
  <si>
    <t>土居清宗</t>
  </si>
  <si>
    <t>土居清晴</t>
  </si>
  <si>
    <t>土居清良</t>
  </si>
  <si>
    <t>中野通宗</t>
  </si>
  <si>
    <t>中野通賢</t>
  </si>
  <si>
    <t>中野兼通</t>
  </si>
  <si>
    <t>法華津前延</t>
  </si>
  <si>
    <t>渡辺政忠</t>
  </si>
  <si>
    <t>渡辺教忠</t>
  </si>
  <si>
    <t>宇都宮清綱</t>
  </si>
  <si>
    <t>宇都宮豊綱</t>
  </si>
  <si>
    <t>宇都宮豊治</t>
  </si>
  <si>
    <t>萩森房綱</t>
  </si>
  <si>
    <t>笠間正綱</t>
  </si>
  <si>
    <t>井上重房</t>
  </si>
  <si>
    <t>祖母井之重</t>
  </si>
  <si>
    <t>祖母井之照</t>
  </si>
  <si>
    <t>曾根高昌</t>
  </si>
  <si>
    <t>曾根宣高</t>
  </si>
  <si>
    <t>大友義長</t>
  </si>
  <si>
    <t>大友義鑑</t>
  </si>
  <si>
    <t>大友義鎮</t>
  </si>
  <si>
    <t>大友義統</t>
  </si>
  <si>
    <t>大友親家</t>
  </si>
  <si>
    <t>大友親盛</t>
  </si>
  <si>
    <t>大内義長</t>
  </si>
  <si>
    <t>菊池義武</t>
  </si>
  <si>
    <t>麻生鎮里</t>
  </si>
  <si>
    <t>麻生元重</t>
  </si>
  <si>
    <t>一萬田親泰</t>
  </si>
  <si>
    <t>一萬田鑑相</t>
  </si>
  <si>
    <t>一萬田鑑実</t>
  </si>
  <si>
    <t>一萬田鎮実</t>
  </si>
  <si>
    <t>高橋鑑種</t>
  </si>
  <si>
    <t>臼杵長景</t>
  </si>
  <si>
    <t>臼杵鑑続</t>
  </si>
  <si>
    <t>臼杵鑑速</t>
  </si>
  <si>
    <t>大木統光</t>
  </si>
  <si>
    <t>加来統直</t>
  </si>
  <si>
    <t>鹿子木親員</t>
  </si>
  <si>
    <t>蒲池鑑久</t>
  </si>
  <si>
    <t>蒲池鑑盛</t>
  </si>
  <si>
    <t>城井正房</t>
  </si>
  <si>
    <t>城井長房</t>
  </si>
  <si>
    <t>城井鎮房</t>
  </si>
  <si>
    <t>木付鎮直</t>
  </si>
  <si>
    <t>斎藤鎮実</t>
  </si>
  <si>
    <t>佐伯惟教</t>
  </si>
  <si>
    <t>佐伯惟真</t>
  </si>
  <si>
    <t>佐伯惟定</t>
  </si>
  <si>
    <t>佐田隆居</t>
  </si>
  <si>
    <t>佐田鎮綱</t>
  </si>
  <si>
    <t>志賀親守</t>
  </si>
  <si>
    <t>志賀親度</t>
  </si>
  <si>
    <t>志賀親次</t>
  </si>
  <si>
    <t>城親冬</t>
  </si>
  <si>
    <t>城親賢</t>
  </si>
  <si>
    <t>城親基</t>
  </si>
  <si>
    <t>高橋長種</t>
  </si>
  <si>
    <t>田北親員</t>
  </si>
  <si>
    <t>田北鑑重</t>
  </si>
  <si>
    <t>田北鎮周</t>
  </si>
  <si>
    <t>田尻鑑種</t>
  </si>
  <si>
    <t>田原親宏</t>
  </si>
  <si>
    <t>田原親賢</t>
  </si>
  <si>
    <t>土持親佐</t>
  </si>
  <si>
    <t>土持親成</t>
  </si>
  <si>
    <t>角隈石宗</t>
  </si>
  <si>
    <t>入田親誠</t>
  </si>
  <si>
    <t>入田義実</t>
  </si>
  <si>
    <t>野中鎮兼</t>
  </si>
  <si>
    <t>原種良</t>
  </si>
  <si>
    <t>原野恵俊</t>
  </si>
  <si>
    <t>本荘右述</t>
  </si>
  <si>
    <t>問註所統景</t>
  </si>
  <si>
    <t>吉岡長増</t>
  </si>
  <si>
    <t>吉岡鑑興</t>
  </si>
  <si>
    <t>若林鎮興</t>
  </si>
  <si>
    <t>若林統昌</t>
  </si>
  <si>
    <t>龍造寺康家</t>
  </si>
  <si>
    <t>龍造寺家和</t>
  </si>
  <si>
    <t>龍造寺胤和</t>
  </si>
  <si>
    <t>龍造寺胤久</t>
  </si>
  <si>
    <t>龍造寺胤栄</t>
  </si>
  <si>
    <t>龍造寺家就</t>
  </si>
  <si>
    <t>龍造寺家兼</t>
  </si>
  <si>
    <t>龍造寺家純</t>
  </si>
  <si>
    <t>龍造寺周家</t>
  </si>
  <si>
    <t>龍造寺隆信</t>
  </si>
  <si>
    <t>龍造寺政家</t>
  </si>
  <si>
    <t>龍造寺高房</t>
  </si>
  <si>
    <t>江上家種</t>
  </si>
  <si>
    <t>後藤家信</t>
  </si>
  <si>
    <t>龍造寺信周</t>
  </si>
  <si>
    <t>龍造寺長信</t>
  </si>
  <si>
    <t>龍造寺家門</t>
  </si>
  <si>
    <t>名生城</t>
  </si>
  <si>
    <t>龍造寺鑑兼</t>
  </si>
  <si>
    <t>みょううじょう</t>
  </si>
  <si>
    <t>龍造寺家晴</t>
  </si>
  <si>
    <t>龍造寺直孝</t>
  </si>
  <si>
    <t>石井忠義</t>
  </si>
  <si>
    <t>石井忠清</t>
  </si>
  <si>
    <t>石井常延</t>
  </si>
  <si>
    <t>石井常忠</t>
  </si>
  <si>
    <t>石井信易</t>
  </si>
  <si>
    <t>石井信忠</t>
  </si>
  <si>
    <t>石井賢次</t>
  </si>
  <si>
    <t>石井茂成</t>
  </si>
  <si>
    <t>石井忠信</t>
  </si>
  <si>
    <t>石井忠時</t>
  </si>
  <si>
    <t>石井忠繁</t>
  </si>
  <si>
    <t>石井忠次</t>
  </si>
  <si>
    <t>石井信忠(安芸守)</t>
  </si>
  <si>
    <t>鍋島茂里</t>
  </si>
  <si>
    <t>深堀茂賢</t>
  </si>
  <si>
    <t>上瀧信重</t>
  </si>
  <si>
    <t>江里口信常</t>
  </si>
  <si>
    <t>円城寺信胤</t>
  </si>
  <si>
    <t>小河信安</t>
  </si>
  <si>
    <t>成松信勝</t>
  </si>
  <si>
    <t>納富栄房</t>
  </si>
  <si>
    <t>納富信景</t>
  </si>
  <si>
    <t>納富信純</t>
  </si>
  <si>
    <t>納富家理</t>
  </si>
  <si>
    <t>百武賢兼</t>
  </si>
  <si>
    <t>八戸宗暘</t>
  </si>
  <si>
    <t>鍋島清久</t>
  </si>
  <si>
    <t>鍋島清房</t>
  </si>
  <si>
    <t>鍋島信房</t>
  </si>
  <si>
    <t>鍋島直茂</t>
  </si>
  <si>
    <t>鍋島勝茂</t>
  </si>
  <si>
    <t>鍋島忠茂</t>
  </si>
  <si>
    <t>小河信俊</t>
  </si>
  <si>
    <t>神代家良</t>
  </si>
  <si>
    <t>木下昌直</t>
  </si>
  <si>
    <t>成富信種</t>
  </si>
  <si>
    <t>成富茂安</t>
  </si>
  <si>
    <t>秋月文種</t>
  </si>
  <si>
    <t>秋月晴種</t>
  </si>
  <si>
    <t>秋月種実</t>
  </si>
  <si>
    <t>秋月種長</t>
  </si>
  <si>
    <t>秋月元種</t>
  </si>
  <si>
    <t>秋月種冬</t>
  </si>
  <si>
    <t>長野鑑良</t>
  </si>
  <si>
    <t>秋月種貞</t>
  </si>
  <si>
    <t>秋月種春</t>
  </si>
  <si>
    <t>秋月種信</t>
  </si>
  <si>
    <t>井田親之</t>
  </si>
  <si>
    <t>井田親氏</t>
  </si>
  <si>
    <t>板並忠成</t>
  </si>
  <si>
    <t>板並長常</t>
  </si>
  <si>
    <t>内田実久</t>
  </si>
  <si>
    <t>内田実頼</t>
  </si>
  <si>
    <t>内田実元</t>
  </si>
  <si>
    <t>恵利暢尭</t>
  </si>
  <si>
    <t>河津隆家</t>
  </si>
  <si>
    <t>河津氏澄</t>
  </si>
  <si>
    <t>熊井久重</t>
  </si>
  <si>
    <t>白井種盛</t>
  </si>
  <si>
    <t>白井種重</t>
  </si>
  <si>
    <t>福武道恩</t>
  </si>
  <si>
    <t>宗像氏貞</t>
  </si>
  <si>
    <t>松浦興信</t>
  </si>
  <si>
    <t>松浦隆信</t>
  </si>
  <si>
    <t>松浦鎮信</t>
  </si>
  <si>
    <t>松浦久信</t>
  </si>
  <si>
    <t>松浦隆信(28代)</t>
  </si>
  <si>
    <t>松浦重信</t>
  </si>
  <si>
    <t>後藤惟明</t>
  </si>
  <si>
    <t>松浦親</t>
  </si>
  <si>
    <t>松浦定</t>
  </si>
  <si>
    <t>籠手田安昌</t>
  </si>
  <si>
    <t>籠手田安経</t>
  </si>
  <si>
    <t>佐川信利</t>
  </si>
  <si>
    <t>鶴田伝</t>
  </si>
  <si>
    <t>鶴田前</t>
  </si>
  <si>
    <t>鶴田賢</t>
  </si>
  <si>
    <t>鶴田勝</t>
  </si>
  <si>
    <t>波多興</t>
  </si>
  <si>
    <t>波多盛</t>
  </si>
  <si>
    <t>波多某</t>
  </si>
  <si>
    <t>波多政</t>
  </si>
  <si>
    <t>日高資</t>
  </si>
  <si>
    <t>日高喜</t>
  </si>
  <si>
    <t>有馬晴純</t>
  </si>
  <si>
    <t>有馬義貞</t>
  </si>
  <si>
    <t>有馬義純</t>
  </si>
  <si>
    <t>有馬晴信</t>
  </si>
  <si>
    <t>波多親</t>
  </si>
  <si>
    <t>波多薀</t>
  </si>
  <si>
    <t>大村純忠</t>
  </si>
  <si>
    <t>大村喜前</t>
  </si>
  <si>
    <t>大村純頼</t>
  </si>
  <si>
    <t>大村純伊</t>
  </si>
  <si>
    <t>大村純前</t>
  </si>
  <si>
    <t>後藤貴明</t>
  </si>
  <si>
    <t>後藤晴明</t>
  </si>
  <si>
    <t>後藤純明</t>
  </si>
  <si>
    <t>西郷純久</t>
  </si>
  <si>
    <t>西郷純尭</t>
  </si>
  <si>
    <t>西郷純尚</t>
  </si>
  <si>
    <t>深堀純賢</t>
  </si>
  <si>
    <t>千々石紀員</t>
  </si>
  <si>
    <t>朝長純利</t>
  </si>
  <si>
    <t>朝長前安</t>
  </si>
  <si>
    <t>長崎純景</t>
  </si>
  <si>
    <t>平井経治</t>
  </si>
  <si>
    <t>福田兼親</t>
  </si>
  <si>
    <t>安富純治</t>
  </si>
  <si>
    <t>安富純泰</t>
  </si>
  <si>
    <t>阿蘇惟憲</t>
  </si>
  <si>
    <t>阿蘇惟豊</t>
  </si>
  <si>
    <t>阿蘇惟将</t>
  </si>
  <si>
    <t>阿蘇惟種</t>
  </si>
  <si>
    <t>阿蘇惟光</t>
  </si>
  <si>
    <t>阿蘇惟長</t>
  </si>
  <si>
    <t>甲斐親宣</t>
  </si>
  <si>
    <t>甲斐親直</t>
  </si>
  <si>
    <t>甲斐親英</t>
  </si>
  <si>
    <t>北里政義</t>
  </si>
  <si>
    <t>坂梨紹元</t>
  </si>
  <si>
    <t>高森惟直</t>
  </si>
  <si>
    <t>田代快尊</t>
  </si>
  <si>
    <t>田代宗傳</t>
  </si>
  <si>
    <t>相良長続</t>
  </si>
  <si>
    <t>相良為続</t>
  </si>
  <si>
    <t>相良長毎</t>
  </si>
  <si>
    <t>相良義滋</t>
  </si>
  <si>
    <t>上村頼廉</t>
  </si>
  <si>
    <t>上村頼興</t>
  </si>
  <si>
    <t>相良晴広</t>
  </si>
  <si>
    <t>湯山城</t>
  </si>
  <si>
    <t>相良義陽</t>
  </si>
  <si>
    <t>ゆやまじょう</t>
  </si>
  <si>
    <t>相良頼房</t>
  </si>
  <si>
    <t>相良頼貞</t>
  </si>
  <si>
    <t>稲留長蔵</t>
  </si>
  <si>
    <t>上村頼孝</t>
  </si>
  <si>
    <t>上村長陸</t>
  </si>
  <si>
    <t>上村頼堅</t>
  </si>
  <si>
    <t>上村長種</t>
  </si>
  <si>
    <t>相良頼泰(権五郎)</t>
  </si>
  <si>
    <t>相良長弘</t>
  </si>
  <si>
    <t>相良治頼</t>
  </si>
  <si>
    <t>松平元信</t>
  </si>
  <si>
    <t>上村高頼</t>
  </si>
  <si>
    <t>上村直頼</t>
  </si>
  <si>
    <t>上村長国</t>
  </si>
  <si>
    <t>岡本頼春</t>
  </si>
  <si>
    <t>東頼兼</t>
  </si>
  <si>
    <t>赤池長任</t>
  </si>
  <si>
    <t>犬童頼安</t>
  </si>
  <si>
    <t>犬童頼兄</t>
  </si>
  <si>
    <t>岡本頼氏</t>
  </si>
  <si>
    <t>北原兼親</t>
  </si>
  <si>
    <t>後醍院宗重</t>
  </si>
  <si>
    <t>東長兄</t>
  </si>
  <si>
    <t>深水長智</t>
  </si>
  <si>
    <t>深水頼蔵</t>
  </si>
  <si>
    <t>丸目長恵</t>
  </si>
  <si>
    <t>丸目頼美</t>
  </si>
  <si>
    <t>伊東祐国</t>
  </si>
  <si>
    <t>伊東尹祐</t>
  </si>
  <si>
    <t>伊東義祐</t>
  </si>
  <si>
    <t>伊東祐松</t>
  </si>
  <si>
    <t>伊東義益</t>
  </si>
  <si>
    <t>伊東義賢</t>
  </si>
  <si>
    <t>伊東祐兵</t>
  </si>
  <si>
    <t>伊東祐慶</t>
  </si>
  <si>
    <t>伊東祐武</t>
  </si>
  <si>
    <t>伊東祐安</t>
  </si>
  <si>
    <t>伊東祐青</t>
  </si>
  <si>
    <t>伊東祐益</t>
  </si>
  <si>
    <t>荒武宗幸</t>
  </si>
  <si>
    <t>稲津重政</t>
  </si>
  <si>
    <t>落合兼朝</t>
  </si>
  <si>
    <t>川崎祐長</t>
  </si>
  <si>
    <t>木脇祐守</t>
  </si>
  <si>
    <t>長倉祐有</t>
  </si>
  <si>
    <t>長倉祐政</t>
  </si>
  <si>
    <t>福永祐友</t>
  </si>
  <si>
    <t>米良重方</t>
  </si>
  <si>
    <t>米良矩重</t>
  </si>
  <si>
    <t>米良祐次</t>
  </si>
  <si>
    <t>山田宗昌</t>
  </si>
  <si>
    <t>肝付兼忠</t>
  </si>
  <si>
    <t>肝付兼連</t>
  </si>
  <si>
    <t>肝付兼久</t>
  </si>
  <si>
    <t>肝付兼興</t>
  </si>
  <si>
    <t>肝付兼続</t>
  </si>
  <si>
    <t>肝付良兼</t>
  </si>
  <si>
    <t>肝付兼亮</t>
  </si>
  <si>
    <t>肝付兼護</t>
  </si>
  <si>
    <t>肝付兼幸</t>
  </si>
  <si>
    <t>肝付兼光</t>
  </si>
  <si>
    <t>肝付兼固</t>
  </si>
  <si>
    <t>肝付兼演</t>
  </si>
  <si>
    <t>肝付兼盛</t>
  </si>
  <si>
    <t>肝付兼寛</t>
  </si>
  <si>
    <t>肝付兼篤</t>
  </si>
  <si>
    <t>肝付兼武</t>
  </si>
  <si>
    <t>安楽兼寛</t>
  </si>
  <si>
    <t>安楽兼之</t>
  </si>
  <si>
    <t>安楽兼朗</t>
  </si>
  <si>
    <t>伊地知重興</t>
  </si>
  <si>
    <t>伊地知重政</t>
  </si>
  <si>
    <t>検見崎兼書</t>
  </si>
  <si>
    <t>検見崎兼泰</t>
  </si>
  <si>
    <t>禰寝清年</t>
  </si>
  <si>
    <t>禰寝重長</t>
  </si>
  <si>
    <t>禰寝重張</t>
  </si>
  <si>
    <t>薬丸兼将</t>
  </si>
  <si>
    <t>薬丸兼持</t>
  </si>
  <si>
    <t>薬丸兼成</t>
  </si>
  <si>
    <t>宗頼茂</t>
  </si>
  <si>
    <t>宗貞国</t>
  </si>
  <si>
    <t>宗材盛</t>
  </si>
  <si>
    <t>宗義盛</t>
  </si>
  <si>
    <t>宗盛家</t>
  </si>
  <si>
    <t>宗盛長</t>
  </si>
  <si>
    <t>宗盛俊</t>
  </si>
  <si>
    <t>宗盛弘</t>
  </si>
  <si>
    <t>山本康範</t>
  </si>
  <si>
    <t>津奈調親</t>
  </si>
  <si>
    <t>足利義氏</t>
  </si>
  <si>
    <t>宗将盛</t>
  </si>
  <si>
    <t>宗茂尚</t>
  </si>
  <si>
    <t>宗義純</t>
  </si>
  <si>
    <t>宗智順</t>
  </si>
  <si>
    <t>宗義智</t>
  </si>
  <si>
    <t>宗義成</t>
  </si>
  <si>
    <t>宗貞泰</t>
  </si>
  <si>
    <t>宗義調</t>
  </si>
  <si>
    <t>仁位某</t>
  </si>
  <si>
    <t>仁位盛家</t>
  </si>
  <si>
    <t>仁位智信</t>
  </si>
  <si>
    <t>小田盛長</t>
  </si>
  <si>
    <t>大石智久</t>
  </si>
  <si>
    <t>佐須盛廉</t>
  </si>
  <si>
    <t>佐須盛円</t>
  </si>
  <si>
    <t>佐須景満</t>
  </si>
  <si>
    <t>杉村広幸</t>
  </si>
  <si>
    <t>杉村調長</t>
  </si>
  <si>
    <t>杉村智清</t>
  </si>
  <si>
    <t>平田成幸</t>
  </si>
  <si>
    <t>古川智次</t>
  </si>
  <si>
    <t>柳川調信</t>
  </si>
  <si>
    <t>柳川智永</t>
  </si>
  <si>
    <t>柳川調興</t>
  </si>
  <si>
    <t>柚谷康広</t>
  </si>
  <si>
    <t>小高城</t>
  </si>
  <si>
    <t>おだかじょう</t>
  </si>
  <si>
    <t>柚谷智広</t>
  </si>
  <si>
    <t>香川景房</t>
  </si>
  <si>
    <t>香川頼景</t>
  </si>
  <si>
    <t>香川元綱</t>
  </si>
  <si>
    <t>香川和景</t>
  </si>
  <si>
    <t>香川満景</t>
  </si>
  <si>
    <t>香川元景</t>
  </si>
  <si>
    <t>香川之景</t>
  </si>
  <si>
    <t>香川景全</t>
  </si>
  <si>
    <t>香川景仲</t>
  </si>
  <si>
    <t>香川朝安</t>
  </si>
  <si>
    <t>香川景宗</t>
  </si>
  <si>
    <t>香川景秀</t>
  </si>
  <si>
    <t>香川景安</t>
  </si>
  <si>
    <t>川田景良</t>
  </si>
  <si>
    <t>川田景正</t>
  </si>
  <si>
    <t>川田景兼</t>
  </si>
  <si>
    <t>川田景信</t>
  </si>
  <si>
    <t>川田景次</t>
  </si>
  <si>
    <t>川田景盛</t>
  </si>
  <si>
    <t>秋山良泰</t>
  </si>
  <si>
    <t>秋山一忠</t>
  </si>
  <si>
    <t>秋山光忠</t>
  </si>
  <si>
    <t>大平国雅</t>
  </si>
  <si>
    <t>大平国祐</t>
  </si>
  <si>
    <t>大平国常</t>
  </si>
  <si>
    <t>細川氏政</t>
  </si>
  <si>
    <t>細川頼弘</t>
  </si>
  <si>
    <t>三野栄久</t>
  </si>
  <si>
    <t>三野栄政</t>
  </si>
  <si>
    <t>吉田兼近</t>
  </si>
  <si>
    <t>吉田宗久</t>
  </si>
  <si>
    <t>大西元高</t>
  </si>
  <si>
    <t>大西頼武</t>
  </si>
  <si>
    <t>大西輝武</t>
  </si>
  <si>
    <t>大西信武</t>
  </si>
  <si>
    <t>大西頼晴</t>
  </si>
  <si>
    <t>大西頼信</t>
  </si>
  <si>
    <t>大西元武</t>
  </si>
  <si>
    <t>大西武氏</t>
  </si>
  <si>
    <t>大西貞武</t>
  </si>
  <si>
    <t>寺野武次</t>
  </si>
  <si>
    <t>有瀬成貞</t>
  </si>
  <si>
    <t>有瀬某</t>
  </si>
  <si>
    <t>有瀬成清</t>
  </si>
  <si>
    <t>真鍋通周</t>
  </si>
  <si>
    <t>堀内氏虎</t>
  </si>
  <si>
    <t>堀内氏高</t>
  </si>
  <si>
    <t>有馬忠勝</t>
  </si>
  <si>
    <t>堀内氏久</t>
  </si>
  <si>
    <t>新宮行朝</t>
  </si>
  <si>
    <t>有馬氏時</t>
  </si>
  <si>
    <t>榎本具行</t>
  </si>
  <si>
    <t>榎本光義</t>
  </si>
  <si>
    <t>榎本秀範</t>
  </si>
  <si>
    <t>泰地頼虎</t>
  </si>
  <si>
    <t>泰地頼興</t>
  </si>
  <si>
    <t>泰地頼成</t>
  </si>
  <si>
    <t>長田正政</t>
  </si>
  <si>
    <t>濱田国広</t>
  </si>
  <si>
    <t>濱田国次</t>
  </si>
  <si>
    <t>赤井時家</t>
  </si>
  <si>
    <t>赤井家清</t>
  </si>
  <si>
    <t>赤井忠家</t>
  </si>
  <si>
    <t>荻野直正</t>
  </si>
  <si>
    <t>荻野直信</t>
  </si>
  <si>
    <t>荻野直義</t>
  </si>
  <si>
    <t>赤井幸家</t>
  </si>
  <si>
    <t>赤井幸長</t>
  </si>
  <si>
    <t>赤井時勝</t>
  </si>
  <si>
    <t>荻野秋清</t>
  </si>
  <si>
    <t>芦田為家</t>
  </si>
  <si>
    <t>芦田国澄</t>
  </si>
  <si>
    <t>足立基晴</t>
  </si>
  <si>
    <t>足立基助</t>
  </si>
  <si>
    <t>足立基依</t>
  </si>
  <si>
    <t>足立基時</t>
  </si>
  <si>
    <t>足立基徳</t>
  </si>
  <si>
    <t>足立光永</t>
  </si>
  <si>
    <t>久下重治</t>
  </si>
  <si>
    <t>長沢義遠</t>
  </si>
  <si>
    <t>蠣崎光広</t>
  </si>
  <si>
    <t>蠣崎義広</t>
  </si>
  <si>
    <t>蠣崎季広</t>
  </si>
  <si>
    <t>蠣崎舜広</t>
  </si>
  <si>
    <t>明石元広</t>
  </si>
  <si>
    <t>松前慶広</t>
  </si>
  <si>
    <t>松前盛広</t>
  </si>
  <si>
    <t>松前公広</t>
  </si>
  <si>
    <t>松前景広</t>
  </si>
  <si>
    <t>蠣崎吉広</t>
  </si>
  <si>
    <t>蠣崎守広</t>
  </si>
  <si>
    <t>蠣崎高広</t>
  </si>
  <si>
    <t>蠣崎基広</t>
  </si>
  <si>
    <t>明石季衡</t>
  </si>
  <si>
    <t>厚谷重形</t>
  </si>
  <si>
    <t>厚谷季政</t>
  </si>
  <si>
    <t>久松俊勝</t>
  </si>
  <si>
    <t>厚谷季貞</t>
  </si>
  <si>
    <t>厚谷貞政</t>
  </si>
  <si>
    <t>小平季遠</t>
  </si>
  <si>
    <t>小林良道</t>
  </si>
  <si>
    <t>近藤義武</t>
  </si>
  <si>
    <t>酒井広種</t>
  </si>
  <si>
    <t>富田広定</t>
  </si>
  <si>
    <t>長門広益</t>
  </si>
  <si>
    <t>南条広継</t>
  </si>
  <si>
    <t>南条宗継</t>
  </si>
  <si>
    <t>南部光行</t>
  </si>
  <si>
    <t>南部実光</t>
  </si>
  <si>
    <t>南部守行</t>
  </si>
  <si>
    <t>南部義政</t>
  </si>
  <si>
    <t>東政重</t>
  </si>
  <si>
    <t>東政勝</t>
  </si>
  <si>
    <t>東重康</t>
  </si>
  <si>
    <t>南部助政</t>
  </si>
  <si>
    <t>南部信時</t>
  </si>
  <si>
    <t>南部政康</t>
  </si>
  <si>
    <t>南部安信</t>
  </si>
  <si>
    <t>南部晴政</t>
  </si>
  <si>
    <t>南長義</t>
  </si>
  <si>
    <t>南康義</t>
  </si>
  <si>
    <t>白河小峰城</t>
  </si>
  <si>
    <t>しらかわこみねじょう</t>
  </si>
  <si>
    <t>南盛義</t>
  </si>
  <si>
    <t>南直義</t>
  </si>
  <si>
    <t>石川高信</t>
  </si>
  <si>
    <t>南部信直</t>
  </si>
  <si>
    <t>南部利直</t>
  </si>
  <si>
    <t>南部政直</t>
  </si>
  <si>
    <t>南部重直</t>
  </si>
  <si>
    <t>石川政信</t>
  </si>
  <si>
    <t>石亀信房</t>
  </si>
  <si>
    <t>石亀政頼</t>
  </si>
  <si>
    <t>毛馬内秀範</t>
  </si>
  <si>
    <t>毛馬内政次</t>
  </si>
  <si>
    <t>南部信義</t>
  </si>
  <si>
    <t>北致愛</t>
  </si>
  <si>
    <t>北信愛</t>
  </si>
  <si>
    <t>北愛一</t>
  </si>
  <si>
    <t>北秀愛</t>
  </si>
  <si>
    <t>南部実長</t>
  </si>
  <si>
    <t>新田清継</t>
  </si>
  <si>
    <t>新田盛政</t>
  </si>
  <si>
    <t>新田行政</t>
  </si>
  <si>
    <t>新田政盛</t>
  </si>
  <si>
    <t>新田政広</t>
  </si>
  <si>
    <t>八戸政栄</t>
  </si>
  <si>
    <t>八戸直栄</t>
  </si>
  <si>
    <t>八戸直政</t>
  </si>
  <si>
    <t>七戸朝清</t>
  </si>
  <si>
    <t>七戸直国</t>
  </si>
  <si>
    <t>七戸家国</t>
  </si>
  <si>
    <t>南部行連</t>
  </si>
  <si>
    <t>九戸信実</t>
  </si>
  <si>
    <t>九戸信仲</t>
  </si>
  <si>
    <t>九戸政実</t>
  </si>
  <si>
    <t>九戸実親</t>
  </si>
  <si>
    <t>中野康実</t>
  </si>
  <si>
    <t>中野康仲</t>
  </si>
  <si>
    <t>石亀政明</t>
  </si>
  <si>
    <t>泉山古康</t>
  </si>
  <si>
    <t>泉山政義</t>
  </si>
  <si>
    <t>今渕政明</t>
  </si>
  <si>
    <t>今渕政慶</t>
  </si>
  <si>
    <t>櫛引弥六郎</t>
  </si>
  <si>
    <t>櫛引清長</t>
  </si>
  <si>
    <t>櫛引興繁</t>
  </si>
  <si>
    <t>櫛引清政</t>
  </si>
  <si>
    <t>櫛引清次</t>
  </si>
  <si>
    <t>櫛引政次</t>
  </si>
  <si>
    <t>桜庭光康</t>
  </si>
  <si>
    <t>桜庭直綱</t>
  </si>
  <si>
    <t>北信景</t>
  </si>
  <si>
    <t>千徳某</t>
  </si>
  <si>
    <t>千徳政朝</t>
  </si>
  <si>
    <t>千徳政武</t>
  </si>
  <si>
    <t>中館義成</t>
  </si>
  <si>
    <t>中館政常</t>
  </si>
  <si>
    <t>北畠親房</t>
  </si>
  <si>
    <t>北畠顕家</t>
  </si>
  <si>
    <t>北畠顕能</t>
  </si>
  <si>
    <t>浪岡顕具</t>
  </si>
  <si>
    <t>浪岡具永</t>
  </si>
  <si>
    <t>北畠具信</t>
  </si>
  <si>
    <t>北畠顕重</t>
  </si>
  <si>
    <t>水木利顕</t>
  </si>
  <si>
    <t>浪岡具統</t>
  </si>
  <si>
    <t>浪岡具運</t>
  </si>
  <si>
    <t>浪岡顕村</t>
  </si>
  <si>
    <t>浪岡顕佐</t>
  </si>
  <si>
    <t>浪岡顕範</t>
  </si>
  <si>
    <t>浪岡顕忠</t>
  </si>
  <si>
    <t>浪岡顕則</t>
  </si>
  <si>
    <t>浪岡慶好</t>
  </si>
  <si>
    <t>強清水恵林</t>
  </si>
  <si>
    <t>土岐則基</t>
  </si>
  <si>
    <t>土岐則重</t>
  </si>
  <si>
    <t>土岐則里</t>
  </si>
  <si>
    <t>土岐則忠</t>
  </si>
  <si>
    <t>土岐則吉</t>
  </si>
  <si>
    <t>葛西清重</t>
  </si>
  <si>
    <t>葛西満重</t>
  </si>
  <si>
    <t>葛西宗清</t>
  </si>
  <si>
    <t>葛西政信</t>
  </si>
  <si>
    <t>葛西晴重</t>
  </si>
  <si>
    <t>葛西晴胤</t>
  </si>
  <si>
    <t>葛西親信</t>
  </si>
  <si>
    <t>葛西晴信</t>
  </si>
  <si>
    <t>葛西義重</t>
  </si>
  <si>
    <t>鬼死骸胤綱</t>
  </si>
  <si>
    <t>葛西胤重</t>
  </si>
  <si>
    <t>葛西重俊</t>
  </si>
  <si>
    <t>葛西俊信</t>
  </si>
  <si>
    <t>及川頼家</t>
  </si>
  <si>
    <t>長坂胤盛</t>
  </si>
  <si>
    <t>長坂広胤</t>
  </si>
  <si>
    <t>鬼死骸胤朝</t>
  </si>
  <si>
    <t>鬼死骸胤成</t>
  </si>
  <si>
    <t>鬼死骸胤親</t>
  </si>
  <si>
    <t>鬼死骸胤基</t>
  </si>
  <si>
    <t>柏山明吉</t>
  </si>
  <si>
    <t>柏山明宗</t>
  </si>
  <si>
    <t>柏山明助</t>
  </si>
  <si>
    <t>小山明長</t>
  </si>
  <si>
    <t>折居明久</t>
  </si>
  <si>
    <t>金沢冬胤</t>
  </si>
  <si>
    <t>金沢胤正</t>
  </si>
  <si>
    <t>金沢信胤</t>
  </si>
  <si>
    <t>寺崎良次</t>
  </si>
  <si>
    <t>寺崎正次</t>
  </si>
  <si>
    <t>寺崎貞次</t>
  </si>
  <si>
    <t>寺崎時胤</t>
  </si>
  <si>
    <t>寺崎清時</t>
  </si>
  <si>
    <t>寺崎茂継</t>
  </si>
  <si>
    <t>佐藤某</t>
  </si>
  <si>
    <t>佐藤信貞</t>
  </si>
  <si>
    <t>佐藤信時</t>
  </si>
  <si>
    <t>下河原恒忠</t>
  </si>
  <si>
    <t>下河原恒長</t>
  </si>
  <si>
    <t>白石城</t>
  </si>
  <si>
    <t>深堀武虎</t>
  </si>
  <si>
    <t>しろいしじょう</t>
  </si>
  <si>
    <t>米谷常秀</t>
  </si>
  <si>
    <t>武鑓重信</t>
  </si>
  <si>
    <t>矢作重常</t>
  </si>
  <si>
    <t>斯波詮高</t>
  </si>
  <si>
    <t>斯波経詮</t>
  </si>
  <si>
    <t>斯波詮真</t>
  </si>
  <si>
    <t>斯波詮直</t>
  </si>
  <si>
    <t>斯波詮森</t>
  </si>
  <si>
    <t>斯波詮国</t>
  </si>
  <si>
    <t>三輪吉房</t>
  </si>
  <si>
    <t>雫石詮貞</t>
  </si>
  <si>
    <t>雫石詮貴</t>
  </si>
  <si>
    <t>雫石久資</t>
  </si>
  <si>
    <t>猪去詮義</t>
  </si>
  <si>
    <t>猪去義方</t>
  </si>
  <si>
    <t>猪去久道</t>
  </si>
  <si>
    <t>岩清水某</t>
  </si>
  <si>
    <t>岩清水義長</t>
  </si>
  <si>
    <t>岩清水義教</t>
  </si>
  <si>
    <t>大萱生秀定</t>
  </si>
  <si>
    <t>大萱生秀重</t>
  </si>
  <si>
    <t>工藤茂道</t>
  </si>
  <si>
    <t>工藤茂正</t>
  </si>
  <si>
    <t>十日市光久</t>
  </si>
  <si>
    <t>豊間根秀国</t>
  </si>
  <si>
    <t>中村秀峰</t>
  </si>
  <si>
    <t>簗田詮泰</t>
  </si>
  <si>
    <t>簗田勝泰</t>
  </si>
  <si>
    <t>稗貫晴家</t>
  </si>
  <si>
    <t>稗貫輝時</t>
  </si>
  <si>
    <t>和賀義勝</t>
  </si>
  <si>
    <t>和賀義次</t>
  </si>
  <si>
    <t>稗貫広忠</t>
  </si>
  <si>
    <t>和賀義忠</t>
  </si>
  <si>
    <t>和賀忠親</t>
  </si>
  <si>
    <t>江釣子吉資</t>
  </si>
  <si>
    <t>江釣子吉久</t>
  </si>
  <si>
    <t>小田嶋親知</t>
  </si>
  <si>
    <t>小田嶋親好</t>
  </si>
  <si>
    <t>小田嶋親光</t>
  </si>
  <si>
    <t>小田嶋親邦</t>
  </si>
  <si>
    <t>鬼柳義幹</t>
  </si>
  <si>
    <t>鬼柳某</t>
  </si>
  <si>
    <t>鬼柳義邑</t>
  </si>
  <si>
    <t>鬼柳義敦</t>
  </si>
  <si>
    <t>小原忠秀</t>
  </si>
  <si>
    <t>亀ヶ森光広</t>
  </si>
  <si>
    <t>亀ヶ森家衡</t>
  </si>
  <si>
    <t>亀ヶ森喜明</t>
  </si>
  <si>
    <t>八重畑房重</t>
  </si>
  <si>
    <t>安東法季</t>
  </si>
  <si>
    <t>安藤盛季</t>
  </si>
  <si>
    <t>安藤義季</t>
  </si>
  <si>
    <t>安藤鹿季</t>
  </si>
  <si>
    <t>安東宣季</t>
  </si>
  <si>
    <t>安東尭季</t>
  </si>
  <si>
    <t>潮潟道貞</t>
  </si>
  <si>
    <t>安東重季</t>
  </si>
  <si>
    <t>安東政季</t>
  </si>
  <si>
    <t>安東忠季</t>
  </si>
  <si>
    <t>安東尋季</t>
  </si>
  <si>
    <t>安東舜季</t>
  </si>
  <si>
    <t>安東愛季</t>
  </si>
  <si>
    <t>安東業季</t>
  </si>
  <si>
    <t>秋田実季</t>
  </si>
  <si>
    <t>秋田俊季</t>
  </si>
  <si>
    <t>秋田盛季</t>
  </si>
  <si>
    <t>安東茂季</t>
  </si>
  <si>
    <t>安東通季</t>
  </si>
  <si>
    <t>安東季隆</t>
  </si>
  <si>
    <t>涌本脩季</t>
  </si>
  <si>
    <t>安東氏季</t>
  </si>
  <si>
    <t>安東種季</t>
  </si>
  <si>
    <t>安東家政</t>
  </si>
  <si>
    <t>下国某</t>
  </si>
  <si>
    <t>下国師季</t>
  </si>
  <si>
    <t>下国重季</t>
  </si>
  <si>
    <t>一部勝景</t>
  </si>
  <si>
    <t>一部景家</t>
  </si>
  <si>
    <t>一部景国</t>
  </si>
  <si>
    <t>五十目秀盛</t>
  </si>
  <si>
    <t>大浦智忠</t>
  </si>
  <si>
    <t>大高光忠</t>
  </si>
  <si>
    <t>大高康澄</t>
  </si>
  <si>
    <t>川尻重之</t>
  </si>
  <si>
    <t>嘉成康清</t>
  </si>
  <si>
    <t>嘉成資清</t>
  </si>
  <si>
    <t>嘉成貞清</t>
  </si>
  <si>
    <t>嘉成重盛</t>
  </si>
  <si>
    <t>豊島重村</t>
  </si>
  <si>
    <t>豊島重氏</t>
  </si>
  <si>
    <t>永井広治</t>
  </si>
  <si>
    <t>南部季賢</t>
  </si>
  <si>
    <t>花輪親行</t>
  </si>
  <si>
    <t>円子延親</t>
  </si>
  <si>
    <t>三浦盛永</t>
  </si>
  <si>
    <t>三浦盛季</t>
  </si>
  <si>
    <t>伊達成宗</t>
  </si>
  <si>
    <t>伊達尚宗</t>
  </si>
  <si>
    <t>伊達稙宗</t>
  </si>
  <si>
    <t>伊達晴宗</t>
  </si>
  <si>
    <t>大崎義宣</t>
  </si>
  <si>
    <t>伊達実元</t>
  </si>
  <si>
    <t>伊達成実</t>
  </si>
  <si>
    <t>伊達輝宗</t>
  </si>
  <si>
    <t>伊達政宗</t>
  </si>
  <si>
    <t>伊達秀宗</t>
  </si>
  <si>
    <t>伊達忠宗</t>
  </si>
  <si>
    <t>伊達政道</t>
  </si>
  <si>
    <t>伊達政景</t>
  </si>
  <si>
    <t>伊達政重</t>
  </si>
  <si>
    <t>伊達宗澄</t>
  </si>
  <si>
    <t>留守景宗</t>
  </si>
  <si>
    <t>粟野長国</t>
  </si>
  <si>
    <t>粟野宗国</t>
  </si>
  <si>
    <t>粟野盛国</t>
  </si>
  <si>
    <t>粟野国治</t>
  </si>
  <si>
    <t>石母田景頼</t>
  </si>
  <si>
    <t>岩淵又五郎</t>
  </si>
  <si>
    <t>遠藤基信</t>
  </si>
  <si>
    <t>大条実頼</t>
  </si>
  <si>
    <t>鬼庭良直</t>
  </si>
  <si>
    <t>木下秀吉</t>
  </si>
  <si>
    <t>鬼庭綱元</t>
  </si>
  <si>
    <t>片倉景重</t>
  </si>
  <si>
    <t>片倉景綱</t>
  </si>
  <si>
    <t>片倉重綱</t>
  </si>
  <si>
    <t>萱場元時</t>
  </si>
  <si>
    <t>桑折貞長</t>
  </si>
  <si>
    <t>桑折宗長</t>
  </si>
  <si>
    <t>須賀川城</t>
  </si>
  <si>
    <t>国分盛氏</t>
  </si>
  <si>
    <t>すかがわじょう</t>
  </si>
  <si>
    <t>国分盛顕</t>
  </si>
  <si>
    <t>後藤信康</t>
  </si>
  <si>
    <t>小梁川盛宗(初代)</t>
  </si>
  <si>
    <t>小梁川親朝</t>
  </si>
  <si>
    <t>小梁川親宗</t>
  </si>
  <si>
    <t>小梁川盛宗(二代目)</t>
  </si>
  <si>
    <t>小梁川宗重</t>
  </si>
  <si>
    <t>小梁川宗朝</t>
  </si>
  <si>
    <t>小梁川宗秀</t>
  </si>
  <si>
    <t>桜田資親</t>
  </si>
  <si>
    <t>桜田元親</t>
  </si>
  <si>
    <t>白石宗綱</t>
  </si>
  <si>
    <t>白石宗利</t>
  </si>
  <si>
    <t>白石宗実</t>
  </si>
  <si>
    <t>白石宗直</t>
  </si>
  <si>
    <t>白石綱辰</t>
  </si>
  <si>
    <t>白石綱与</t>
  </si>
  <si>
    <t>鈴木元信</t>
  </si>
  <si>
    <t>中野宗時</t>
  </si>
  <si>
    <t>中野親時</t>
  </si>
  <si>
    <t>牧野久仲</t>
  </si>
  <si>
    <t>支倉常長</t>
  </si>
  <si>
    <t>原田宗時</t>
  </si>
  <si>
    <t>屋代景頼</t>
  </si>
  <si>
    <t>山岡重長</t>
  </si>
  <si>
    <t>湯目景康</t>
  </si>
  <si>
    <t>世瀬蔵人</t>
  </si>
  <si>
    <t>留守顕宗</t>
  </si>
  <si>
    <t>亘理宗隆</t>
  </si>
  <si>
    <t>亘理元宗</t>
  </si>
  <si>
    <t>亘理重宗</t>
  </si>
  <si>
    <t>亘理定宗</t>
  </si>
  <si>
    <t>粟野重次</t>
  </si>
  <si>
    <t>黒川景氏</t>
  </si>
  <si>
    <t>黒川稙国</t>
  </si>
  <si>
    <t>黒川稙家</t>
  </si>
  <si>
    <t>黒川晴氏</t>
  </si>
  <si>
    <t>黒川義康</t>
  </si>
  <si>
    <t>八谷氏則</t>
  </si>
  <si>
    <t>飯坂氏定</t>
  </si>
  <si>
    <t>大衡宗氏</t>
  </si>
  <si>
    <t>大衡氏胤</t>
  </si>
  <si>
    <t>細川重定</t>
  </si>
  <si>
    <t>八森定直</t>
  </si>
  <si>
    <t>飯坂宗康</t>
  </si>
  <si>
    <t>郷右近可斎</t>
  </si>
  <si>
    <t>佐藤忠冬</t>
  </si>
  <si>
    <t>松坂定頼</t>
  </si>
  <si>
    <t>大崎教兼</t>
  </si>
  <si>
    <t>大崎政兼</t>
  </si>
  <si>
    <t>大崎義兼</t>
  </si>
  <si>
    <t>大崎義直</t>
  </si>
  <si>
    <t>大崎義隆</t>
  </si>
  <si>
    <t>高清水直堅</t>
  </si>
  <si>
    <t>高清水高景</t>
  </si>
  <si>
    <t>百々直孝</t>
  </si>
  <si>
    <t>百々隆元</t>
  </si>
  <si>
    <t>高清水定家</t>
  </si>
  <si>
    <t>磯田兼継</t>
  </si>
  <si>
    <t>一栗放牛</t>
  </si>
  <si>
    <t>一栗某</t>
  </si>
  <si>
    <t>一栗高春</t>
  </si>
  <si>
    <t>一迫隆真</t>
  </si>
  <si>
    <t>氏家隆継</t>
  </si>
  <si>
    <t>氏家吉継</t>
  </si>
  <si>
    <t>笠原隆治</t>
  </si>
  <si>
    <t>入江盛重</t>
  </si>
  <si>
    <t>笠原隆親</t>
  </si>
  <si>
    <t>里見義成</t>
  </si>
  <si>
    <t>里見隆成</t>
  </si>
  <si>
    <t>里見隆元</t>
  </si>
  <si>
    <t>渋谷隆秀</t>
  </si>
  <si>
    <t>渋谷隆時</t>
  </si>
  <si>
    <t>新井田隆景</t>
  </si>
  <si>
    <t>仁木高家</t>
  </si>
  <si>
    <t>仁木隆家</t>
  </si>
  <si>
    <t>四釜隆秀</t>
  </si>
  <si>
    <t>中目長政</t>
  </si>
  <si>
    <t>中目隆政</t>
  </si>
  <si>
    <t>南条隆信</t>
  </si>
  <si>
    <t>相馬盛胤(13代)</t>
  </si>
  <si>
    <t>相馬顕胤</t>
  </si>
  <si>
    <t>相馬盛胤(15代)</t>
  </si>
  <si>
    <t>相馬義胤(16代)</t>
  </si>
  <si>
    <t>相馬利胤</t>
  </si>
  <si>
    <t>相馬義胤(中村藩主)</t>
  </si>
  <si>
    <t>相馬隆胤</t>
  </si>
  <si>
    <t>田中郷胤</t>
  </si>
  <si>
    <t>堀内近胤</t>
  </si>
  <si>
    <t>堀内俊胤</t>
  </si>
  <si>
    <t>相馬胤乗</t>
  </si>
  <si>
    <t>懸田義宗</t>
  </si>
  <si>
    <t>懸田俊宗</t>
  </si>
  <si>
    <t>黒木晴親</t>
  </si>
  <si>
    <t>黒木宗俊</t>
  </si>
  <si>
    <t>堀内晴胤</t>
  </si>
  <si>
    <t>堀内義氏</t>
  </si>
  <si>
    <t>泉田顕清</t>
  </si>
  <si>
    <t>泉田胤雪</t>
  </si>
  <si>
    <t>泉田胤清</t>
  </si>
  <si>
    <t>堀内胤政</t>
  </si>
  <si>
    <t>堀内胤泰</t>
  </si>
  <si>
    <t>青田顕治</t>
  </si>
  <si>
    <t>江井胤治</t>
  </si>
  <si>
    <t>飯野平城</t>
  </si>
  <si>
    <t>岡田茂胤</t>
  </si>
  <si>
    <t>いいのたいらじょう</t>
  </si>
  <si>
    <t>岡田直胤</t>
  </si>
  <si>
    <t>草野直清</t>
  </si>
  <si>
    <t>木幡政清</t>
  </si>
  <si>
    <t>木幡経清</t>
  </si>
  <si>
    <t>佐藤好信</t>
  </si>
  <si>
    <t>佐藤為信</t>
  </si>
  <si>
    <t>佐藤勝信</t>
  </si>
  <si>
    <t>水谷某</t>
  </si>
  <si>
    <t>水谷胤氏</t>
  </si>
  <si>
    <t>水谷胤重</t>
  </si>
  <si>
    <t>水谷胤清</t>
  </si>
  <si>
    <t>白河政朝</t>
  </si>
  <si>
    <t>白河顕頼</t>
  </si>
  <si>
    <t>白河義綱</t>
  </si>
  <si>
    <t>白河晴綱</t>
  </si>
  <si>
    <t>中畠晴常</t>
  </si>
  <si>
    <t>中畠晴辰</t>
  </si>
  <si>
    <t>中畠晴時</t>
  </si>
  <si>
    <t>中畠晴倶</t>
  </si>
  <si>
    <t>白河義顕</t>
  </si>
  <si>
    <t>白河朝綱</t>
  </si>
  <si>
    <t>小針頼広</t>
  </si>
  <si>
    <t>小峰義親</t>
  </si>
  <si>
    <t>小峰義名</t>
  </si>
  <si>
    <t>大塚綱久</t>
  </si>
  <si>
    <t>大塚国久</t>
  </si>
  <si>
    <t>大塚為久</t>
  </si>
  <si>
    <t>河東田重治</t>
  </si>
  <si>
    <t>河東田清重</t>
  </si>
  <si>
    <t>河東田親顕</t>
  </si>
  <si>
    <t>佐藤忠秀</t>
  </si>
  <si>
    <t>佐藤忠経</t>
  </si>
  <si>
    <t>新小萱篤綱</t>
  </si>
  <si>
    <t>斑目某</t>
  </si>
  <si>
    <t>斑目広綱</t>
  </si>
  <si>
    <t>斑目広基</t>
  </si>
  <si>
    <t>和知直頼</t>
  </si>
  <si>
    <t>二階堂晴行</t>
  </si>
  <si>
    <t>二階堂輝行</t>
  </si>
  <si>
    <t>二階堂盛義</t>
  </si>
  <si>
    <t>二階堂行親</t>
  </si>
  <si>
    <t>徳善院法印</t>
  </si>
  <si>
    <t>二階堂義信</t>
  </si>
  <si>
    <t>遠藤盛胤</t>
  </si>
  <si>
    <t>須田盛秀</t>
  </si>
  <si>
    <t>浜尾行泰</t>
  </si>
  <si>
    <t>浜尾盛泰</t>
  </si>
  <si>
    <t>川島宗泰</t>
  </si>
  <si>
    <t>保土原行藤</t>
  </si>
  <si>
    <t>矢田野義正</t>
  </si>
  <si>
    <t>六郷道行</t>
  </si>
  <si>
    <t>六郷政乗</t>
  </si>
  <si>
    <t>岩城常隆(11代)</t>
  </si>
  <si>
    <t>岩城由隆</t>
  </si>
  <si>
    <t>岩城成隆</t>
  </si>
  <si>
    <t>白土隆通</t>
  </si>
  <si>
    <t>白土隆良</t>
  </si>
  <si>
    <t>白土重隆</t>
  </si>
  <si>
    <t>岩城親隆</t>
  </si>
  <si>
    <t>岩城常隆(17代)</t>
  </si>
  <si>
    <t>岩城貞隆</t>
  </si>
  <si>
    <t>岩城吉隆</t>
  </si>
  <si>
    <t>船尾隆相</t>
  </si>
  <si>
    <t>船尾隆直</t>
  </si>
  <si>
    <t>船尾昭直</t>
  </si>
  <si>
    <t>船尾義綱</t>
  </si>
  <si>
    <t>菊田隆道</t>
  </si>
  <si>
    <t>富岡隆時</t>
  </si>
  <si>
    <t>富岡隆宗</t>
  </si>
  <si>
    <t>飯野隆至</t>
  </si>
  <si>
    <t>大塚政成</t>
  </si>
  <si>
    <t>大塚隆成</t>
  </si>
  <si>
    <t>大塚親成</t>
  </si>
  <si>
    <t>小川隆勝</t>
  </si>
  <si>
    <t>志賀武治</t>
  </si>
  <si>
    <t>竹貫隆光</t>
  </si>
  <si>
    <t>竹貫広光</t>
  </si>
  <si>
    <t>竹貫重光</t>
  </si>
  <si>
    <t>田村盛顕</t>
  </si>
  <si>
    <t>田村義顕</t>
  </si>
  <si>
    <t>田村隆顕</t>
  </si>
  <si>
    <t>田村清顕</t>
  </si>
  <si>
    <t>田村氏顕</t>
  </si>
  <si>
    <t>田村宗顕</t>
  </si>
  <si>
    <t>田村顕盛</t>
  </si>
  <si>
    <t>田村顕頼</t>
  </si>
  <si>
    <t>田村顕基</t>
  </si>
  <si>
    <t>田村顕長</t>
  </si>
  <si>
    <t>郡司敏良</t>
  </si>
  <si>
    <t>郡司敏貞</t>
  </si>
  <si>
    <t>常盤光貞</t>
  </si>
  <si>
    <t>常盤清重</t>
  </si>
  <si>
    <t>新田信政</t>
  </si>
  <si>
    <t>橋本顕徳</t>
  </si>
  <si>
    <t>二本松政国</t>
  </si>
  <si>
    <t>二本松村国</t>
  </si>
  <si>
    <t>二本松家泰</t>
  </si>
  <si>
    <t>二本松義氏</t>
  </si>
  <si>
    <t>高玉常頼</t>
  </si>
  <si>
    <t>新城村尚</t>
  </si>
  <si>
    <t>二本松義国</t>
  </si>
  <si>
    <t>二本松義継</t>
  </si>
  <si>
    <t>二本松義綱</t>
  </si>
  <si>
    <t>二本松義孝</t>
  </si>
  <si>
    <t>新城直継</t>
  </si>
  <si>
    <t>新城盛継</t>
  </si>
  <si>
    <t>安子島祐高</t>
  </si>
  <si>
    <t>荒井政頼</t>
  </si>
  <si>
    <t>小国義操</t>
  </si>
  <si>
    <t>小田辺勝成</t>
  </si>
  <si>
    <t>高玉村継</t>
  </si>
  <si>
    <t>高玉頼継</t>
  </si>
  <si>
    <t>本宮宗頼</t>
  </si>
  <si>
    <t>本宮直頼</t>
  </si>
  <si>
    <t>遊佐重定</t>
  </si>
  <si>
    <t>遊佐重勝</t>
  </si>
  <si>
    <t>遊佐常高</t>
  </si>
  <si>
    <t>戸沢征盛</t>
  </si>
  <si>
    <t>戸沢秀盛</t>
  </si>
  <si>
    <t>戸沢道盛</t>
  </si>
  <si>
    <t>門屋盛重</t>
  </si>
  <si>
    <t>戸沢盛安</t>
  </si>
  <si>
    <t>戸沢政盛</t>
  </si>
  <si>
    <t>戸沢光盛</t>
  </si>
  <si>
    <t>戸沢忠盛</t>
  </si>
  <si>
    <t>戸沢盛門</t>
  </si>
  <si>
    <t>戸沢政重</t>
  </si>
  <si>
    <t>門屋宗盛</t>
  </si>
  <si>
    <t>黒川光武</t>
  </si>
  <si>
    <t>黒川光宗</t>
  </si>
  <si>
    <t>白岩盛重</t>
  </si>
  <si>
    <t>白岩盛直</t>
  </si>
  <si>
    <t>富樫忠之</t>
  </si>
  <si>
    <t>富樫勝家</t>
  </si>
  <si>
    <t>戸沢政房</t>
  </si>
  <si>
    <t>戸蒔信安</t>
  </si>
  <si>
    <t>戸蒔義広</t>
  </si>
  <si>
    <t>戸蒔義昌</t>
  </si>
  <si>
    <t>楢岡清長</t>
  </si>
  <si>
    <t>楢岡光兼</t>
  </si>
  <si>
    <t>楢岡光清</t>
  </si>
  <si>
    <t>浅利朝頼</t>
  </si>
  <si>
    <t>浅利則頼</t>
  </si>
  <si>
    <t>浅利則祐</t>
  </si>
  <si>
    <t>黒木城</t>
  </si>
  <si>
    <t>くろきじょう</t>
  </si>
  <si>
    <t>浅利勝頼</t>
  </si>
  <si>
    <t>浅利頼平</t>
  </si>
  <si>
    <t>浅利頼広</t>
  </si>
  <si>
    <t>浅利頼治</t>
  </si>
  <si>
    <t>浅利頼重</t>
  </si>
  <si>
    <t>浅利正頼</t>
  </si>
  <si>
    <t>浅利定頼</t>
  </si>
  <si>
    <t>片山大膳</t>
  </si>
  <si>
    <t>片山弥伝</t>
  </si>
  <si>
    <t>門脇政吉</t>
  </si>
  <si>
    <t>門脇盛吉</t>
  </si>
  <si>
    <t>杉沢喜助</t>
  </si>
  <si>
    <t>大藤新助</t>
  </si>
  <si>
    <t>新田大学</t>
  </si>
  <si>
    <t>赤尾津家保</t>
  </si>
  <si>
    <t>赤尾津光政</t>
  </si>
  <si>
    <t>赤尾津道俊</t>
  </si>
  <si>
    <t>赤尾津長保</t>
  </si>
  <si>
    <t>仁賀保光誠</t>
  </si>
  <si>
    <t>仁賀保誠政</t>
  </si>
  <si>
    <t>滝沢政家</t>
  </si>
  <si>
    <t>滝沢政忠</t>
  </si>
  <si>
    <t>滝沢政道</t>
  </si>
  <si>
    <t>仁賀保挙久</t>
  </si>
  <si>
    <t>仁賀保挙長</t>
  </si>
  <si>
    <t>仁賀保重挙</t>
  </si>
  <si>
    <t>仁賀保挙晴</t>
  </si>
  <si>
    <t>小野寺泰道</t>
  </si>
  <si>
    <t>小野寺稙道</t>
  </si>
  <si>
    <t>大築地秀道</t>
  </si>
  <si>
    <t>小野寺輝道</t>
  </si>
  <si>
    <t>小野寺光道</t>
  </si>
  <si>
    <t>小野寺義道</t>
  </si>
  <si>
    <t>西馬音内茂道</t>
  </si>
  <si>
    <t>小野寺康道</t>
  </si>
  <si>
    <t>岩崎道高</t>
  </si>
  <si>
    <t>岩崎義高</t>
  </si>
  <si>
    <t>横手光盛</t>
  </si>
  <si>
    <t>黒沢道家</t>
  </si>
  <si>
    <t>佐々木貞綱</t>
  </si>
  <si>
    <t>鮭延秀綱</t>
  </si>
  <si>
    <t>鍋倉道周</t>
  </si>
  <si>
    <t>鍋倉道能</t>
  </si>
  <si>
    <t>鍋倉道長</t>
  </si>
  <si>
    <t>西野道房</t>
  </si>
  <si>
    <t>西野道俊</t>
  </si>
  <si>
    <t>八柏道為</t>
  </si>
  <si>
    <t>大宝寺政氏</t>
  </si>
  <si>
    <t>大宝寺澄氏</t>
  </si>
  <si>
    <t>大宝寺氏説</t>
  </si>
  <si>
    <t>大宝寺晴時</t>
  </si>
  <si>
    <t>大宝寺九郎</t>
  </si>
  <si>
    <t>大宝寺義増</t>
  </si>
  <si>
    <t>大宝寺義氏</t>
  </si>
  <si>
    <t>大宝寺義興</t>
  </si>
  <si>
    <t>阿部良輝</t>
  </si>
  <si>
    <t>阿部貞嗣</t>
  </si>
  <si>
    <t>池田盛国</t>
  </si>
  <si>
    <t>池田盛周</t>
  </si>
  <si>
    <t>池田盛邦</t>
  </si>
  <si>
    <t>板垣兼富</t>
  </si>
  <si>
    <t>来次時秀</t>
  </si>
  <si>
    <t>来次氏秀</t>
  </si>
  <si>
    <t>砂越氏維</t>
  </si>
  <si>
    <t>菅原政次</t>
  </si>
  <si>
    <t>菅原政広</t>
  </si>
  <si>
    <t>東禅寺義長</t>
  </si>
  <si>
    <t>東禅寺勝正</t>
  </si>
  <si>
    <t>土佐林禅棟</t>
  </si>
  <si>
    <t>土佐林氏頼</t>
  </si>
  <si>
    <t>原頼秀</t>
  </si>
  <si>
    <t>天童義宗</t>
  </si>
  <si>
    <t>天童頼尚</t>
  </si>
  <si>
    <t>天童頼道</t>
  </si>
  <si>
    <t>天童頼長</t>
  </si>
  <si>
    <t>天童頼貞</t>
  </si>
  <si>
    <t>天童頼澄</t>
  </si>
  <si>
    <t>東根頼景</t>
  </si>
  <si>
    <t>倉津守俊</t>
  </si>
  <si>
    <t>小国光基</t>
  </si>
  <si>
    <t>糟谷延元</t>
  </si>
  <si>
    <t>白鳥義久</t>
  </si>
  <si>
    <t>白鳥長久</t>
  </si>
  <si>
    <t>楯岡満英</t>
  </si>
  <si>
    <t>楯岡満茂</t>
  </si>
  <si>
    <t>寺津秀清</t>
  </si>
  <si>
    <t>延沢満重</t>
  </si>
  <si>
    <t>延沢満延</t>
  </si>
  <si>
    <t>延沢光昌</t>
  </si>
  <si>
    <t>東根頼息</t>
  </si>
  <si>
    <t>東根景佐</t>
  </si>
  <si>
    <t>東根親宜</t>
  </si>
  <si>
    <t>最上満直</t>
  </si>
  <si>
    <t>最上満家</t>
  </si>
  <si>
    <t>最上義春</t>
  </si>
  <si>
    <t>成沢義総</t>
  </si>
  <si>
    <t>中野満基</t>
  </si>
  <si>
    <t>最上満氏</t>
  </si>
  <si>
    <t>最上義淳</t>
  </si>
  <si>
    <t>最上義定</t>
  </si>
  <si>
    <t>中野義建</t>
  </si>
  <si>
    <t>中野義清</t>
  </si>
  <si>
    <t>最上義守</t>
  </si>
  <si>
    <t>最上義光</t>
  </si>
  <si>
    <t>最上義康</t>
  </si>
  <si>
    <t>最上義親</t>
  </si>
  <si>
    <t>最上義俊</t>
  </si>
  <si>
    <t>最上義智</t>
  </si>
  <si>
    <t>清水義親</t>
  </si>
  <si>
    <t>最上義忠</t>
  </si>
  <si>
    <t>長瀞義保</t>
  </si>
  <si>
    <t>長瀞光忠</t>
  </si>
  <si>
    <t>松根光広</t>
  </si>
  <si>
    <t>最上光直</t>
  </si>
  <si>
    <t>中野義政</t>
  </si>
  <si>
    <t>中野満兼</t>
  </si>
  <si>
    <t>氏家定直</t>
  </si>
  <si>
    <t>成沢義佑</t>
  </si>
  <si>
    <t>成沢義清</t>
  </si>
  <si>
    <t>成沢道忠</t>
  </si>
  <si>
    <t>氏家光棟</t>
  </si>
  <si>
    <t>氏家光氏</t>
  </si>
  <si>
    <t>氏家守棟</t>
  </si>
  <si>
    <t>江口光清</t>
  </si>
  <si>
    <t>江口時直</t>
  </si>
  <si>
    <t>北楯利長</t>
  </si>
  <si>
    <t>1611以降相馬中村城</t>
  </si>
  <si>
    <t>里見義近</t>
  </si>
  <si>
    <t>里見義正</t>
  </si>
  <si>
    <t>里見正光</t>
  </si>
  <si>
    <t>三春城</t>
  </si>
  <si>
    <t>みはるじょう</t>
  </si>
  <si>
    <t>清水義高</t>
  </si>
  <si>
    <t>清水義氏</t>
  </si>
  <si>
    <t>志村光清</t>
  </si>
  <si>
    <t>志村光安</t>
  </si>
  <si>
    <t>志村光惟</t>
  </si>
  <si>
    <t>新関久正</t>
  </si>
  <si>
    <t>谷柏直家</t>
  </si>
  <si>
    <t>足利成氏</t>
  </si>
  <si>
    <t>足利政氏</t>
  </si>
  <si>
    <t>足利高基</t>
  </si>
  <si>
    <t>足利晴氏</t>
  </si>
  <si>
    <t>足利藤氏</t>
  </si>
  <si>
    <t>足利徳</t>
  </si>
  <si>
    <t>足利藤政</t>
  </si>
  <si>
    <t>足利家国</t>
  </si>
  <si>
    <t>足利輝氏</t>
  </si>
  <si>
    <t>上杉憲寛</t>
  </si>
  <si>
    <t>小弓義明</t>
  </si>
  <si>
    <t>小弓頼純</t>
  </si>
  <si>
    <t>喜連川頼氏</t>
  </si>
  <si>
    <t>喜連川義親</t>
  </si>
  <si>
    <t>喜連川尊信</t>
  </si>
  <si>
    <t>小弓国朝</t>
  </si>
  <si>
    <t>上杉顕実</t>
  </si>
  <si>
    <t>一色氏久</t>
  </si>
  <si>
    <t>幸手直朝</t>
  </si>
  <si>
    <t>幸手義直</t>
  </si>
  <si>
    <t>野田政朝</t>
  </si>
  <si>
    <t>野田政保</t>
  </si>
  <si>
    <t>野田弘朝</t>
  </si>
  <si>
    <t>野田景範</t>
  </si>
  <si>
    <t>簗田高助</t>
  </si>
  <si>
    <t>簗田晴助</t>
  </si>
  <si>
    <t>簗田持助</t>
  </si>
  <si>
    <t>簗田貞助</t>
  </si>
  <si>
    <t>佐野弘綱</t>
  </si>
  <si>
    <t>千葉昌胤</t>
  </si>
  <si>
    <t>千葉利胤</t>
  </si>
  <si>
    <t>千葉親胤</t>
  </si>
  <si>
    <t>千葉胤富</t>
  </si>
  <si>
    <t>千葉良胤</t>
  </si>
  <si>
    <t>千葉邦胤</t>
  </si>
  <si>
    <t>千葉直重</t>
  </si>
  <si>
    <t>千葉重胤</t>
  </si>
  <si>
    <t>井田友胤</t>
  </si>
  <si>
    <t>井田胤徳</t>
  </si>
  <si>
    <t>井田輝胤</t>
  </si>
  <si>
    <t>大須賀政常</t>
  </si>
  <si>
    <t>大須賀政朝</t>
  </si>
  <si>
    <t>白井胤治</t>
  </si>
  <si>
    <t>白井宗幹</t>
  </si>
  <si>
    <t>白井幹時</t>
  </si>
  <si>
    <t>白井胤隆</t>
  </si>
  <si>
    <t>白井胤邑</t>
  </si>
  <si>
    <t>原某</t>
  </si>
  <si>
    <t>原胤房</t>
  </si>
  <si>
    <t>原胤隆</t>
  </si>
  <si>
    <t>原胤清</t>
  </si>
  <si>
    <t>原胤貞</t>
  </si>
  <si>
    <t>原胤栄</t>
  </si>
  <si>
    <t>原胤義</t>
  </si>
  <si>
    <t>原胤信</t>
  </si>
  <si>
    <t>原胤親</t>
  </si>
  <si>
    <t>原胤家</t>
  </si>
  <si>
    <t>原親幹</t>
  </si>
  <si>
    <t>原邦房</t>
  </si>
  <si>
    <t>高城胤吉</t>
  </si>
  <si>
    <t>高城胤辰</t>
  </si>
  <si>
    <t>高城胤則</t>
  </si>
  <si>
    <t>村上綱清</t>
  </si>
  <si>
    <t>村上胤遠</t>
  </si>
  <si>
    <t>明智光継</t>
  </si>
  <si>
    <t>明智光綱</t>
  </si>
  <si>
    <t>明智光秀</t>
  </si>
  <si>
    <t>明智光慶</t>
  </si>
  <si>
    <t>明智光安</t>
  </si>
  <si>
    <t>明智秀満</t>
  </si>
  <si>
    <t>三宅重利</t>
  </si>
  <si>
    <t>明智光久</t>
  </si>
  <si>
    <t>明智光忠</t>
  </si>
  <si>
    <t>明智光近</t>
  </si>
  <si>
    <t>石谷頼辰</t>
  </si>
  <si>
    <t>斎藤利三</t>
  </si>
  <si>
    <t>斎藤利宗</t>
  </si>
  <si>
    <t>伊勢貞興</t>
  </si>
  <si>
    <t>恩田直経</t>
  </si>
  <si>
    <t>木村吉清</t>
  </si>
  <si>
    <t>木村清久</t>
  </si>
  <si>
    <t>藤田行政</t>
  </si>
  <si>
    <t>藤田秀行</t>
  </si>
  <si>
    <t>本城有介</t>
  </si>
  <si>
    <t>溝尾茂朝</t>
  </si>
  <si>
    <t>溝尾秀朝</t>
  </si>
  <si>
    <t>箕浦忠光</t>
  </si>
  <si>
    <t>箕浦忠重</t>
  </si>
  <si>
    <t>安田国継</t>
  </si>
  <si>
    <t>松永某</t>
  </si>
  <si>
    <t>松永久松</t>
  </si>
  <si>
    <t>松永久信</t>
  </si>
  <si>
    <t>松永久秀</t>
  </si>
  <si>
    <t>松永久通</t>
  </si>
  <si>
    <t>松永長頼</t>
  </si>
  <si>
    <t>亘理城</t>
  </si>
  <si>
    <t>内藤貞弘</t>
  </si>
  <si>
    <t>わたりじょう</t>
  </si>
  <si>
    <t>入江政重</t>
  </si>
  <si>
    <t>松永永種</t>
  </si>
  <si>
    <t>松永勝熊</t>
  </si>
  <si>
    <t>海老名勝正</t>
  </si>
  <si>
    <t>岡国高</t>
  </si>
  <si>
    <t>奥田忠高</t>
  </si>
  <si>
    <t>楠木正虎</t>
  </si>
  <si>
    <t>高山友照</t>
  </si>
  <si>
    <t>高山重友</t>
  </si>
  <si>
    <t>竹内秀勝</t>
  </si>
  <si>
    <t>多羅尾綱知</t>
  </si>
  <si>
    <t>三好生勝</t>
  </si>
  <si>
    <t>多羅尾光信</t>
  </si>
  <si>
    <t>野間長久</t>
  </si>
  <si>
    <t>野間康久</t>
  </si>
  <si>
    <t>森秀満</t>
  </si>
  <si>
    <t>山口秀勝</t>
  </si>
  <si>
    <t>結城忠正</t>
  </si>
  <si>
    <t>池田信正</t>
  </si>
  <si>
    <t>池田長正</t>
  </si>
  <si>
    <t>池田勝正</t>
  </si>
  <si>
    <t>池田知正</t>
  </si>
  <si>
    <t>荒木某</t>
  </si>
  <si>
    <t>荒木村重</t>
  </si>
  <si>
    <t>荒木村次</t>
  </si>
  <si>
    <t>荒木元清</t>
  </si>
  <si>
    <t>池田教正</t>
  </si>
  <si>
    <t>木下重堅</t>
  </si>
  <si>
    <t>郡宗保</t>
  </si>
  <si>
    <t>庄林一心</t>
  </si>
  <si>
    <t>中川清秀</t>
  </si>
  <si>
    <t>中川秀政</t>
  </si>
  <si>
    <t>中川秀成</t>
  </si>
  <si>
    <t>中川久盛</t>
  </si>
  <si>
    <t>立花鑑光</t>
  </si>
  <si>
    <t>日田親賢</t>
  </si>
  <si>
    <t>立花鑑載</t>
  </si>
  <si>
    <t>立花親善</t>
  </si>
  <si>
    <t>戸次鑑連</t>
  </si>
  <si>
    <t>戸次誾千代</t>
  </si>
  <si>
    <t>吉弘鑑理</t>
  </si>
  <si>
    <t>吉弘鎮信</t>
  </si>
  <si>
    <t>吉弘統幸</t>
  </si>
  <si>
    <t>吉弘政宣</t>
  </si>
  <si>
    <t>吉弘鎮理</t>
  </si>
  <si>
    <t>高橋統虎</t>
  </si>
  <si>
    <t>高橋統増</t>
  </si>
  <si>
    <t>小野鎮幸</t>
  </si>
  <si>
    <t>十時連貞</t>
  </si>
  <si>
    <t>由布惟信</t>
  </si>
  <si>
    <t>細川政元</t>
  </si>
  <si>
    <t>細川義春</t>
  </si>
  <si>
    <t>細川之持</t>
  </si>
  <si>
    <t>細川氏之</t>
  </si>
  <si>
    <t>細川真之</t>
  </si>
  <si>
    <t>細川澄元</t>
  </si>
  <si>
    <t>細川晴元</t>
  </si>
  <si>
    <t>細川六郎</t>
  </si>
  <si>
    <t>細川元勝</t>
  </si>
  <si>
    <t>細川政春</t>
  </si>
  <si>
    <t>細川高国</t>
  </si>
  <si>
    <t>細川通政</t>
  </si>
  <si>
    <t>細川尹賢</t>
  </si>
  <si>
    <t>細川氏綱</t>
  </si>
  <si>
    <t>細川藤賢</t>
  </si>
  <si>
    <t>細川元常</t>
  </si>
  <si>
    <t>細川元春</t>
  </si>
  <si>
    <t>細川常元</t>
  </si>
  <si>
    <t>細川政勝</t>
  </si>
  <si>
    <t>細川晴貞</t>
  </si>
  <si>
    <t>茨木長隆</t>
  </si>
  <si>
    <t>内藤国貞</t>
  </si>
  <si>
    <t>諏訪頼満</t>
  </si>
  <si>
    <t>諏訪頼隆</t>
  </si>
  <si>
    <t>諏訪頼重</t>
  </si>
  <si>
    <t>諏訪満隣</t>
  </si>
  <si>
    <t>諏訪頼忠</t>
  </si>
  <si>
    <t>諏訪頼水</t>
  </si>
  <si>
    <t>諏訪忠恒</t>
  </si>
  <si>
    <t>高遠頼継</t>
  </si>
  <si>
    <t>小笠原長棟</t>
  </si>
  <si>
    <t>小笠原長時</t>
  </si>
  <si>
    <t>小笠原貞慶</t>
  </si>
  <si>
    <t>小笠原秀政</t>
  </si>
  <si>
    <t>小笠原忠真</t>
  </si>
  <si>
    <t>小笠原信定</t>
  </si>
  <si>
    <t>小笠原貞種</t>
  </si>
  <si>
    <t>犬甘政徳</t>
  </si>
  <si>
    <t>犬甘久知</t>
  </si>
  <si>
    <t>大井貞隆</t>
  </si>
  <si>
    <t>大井貞清</t>
  </si>
  <si>
    <t>知久頼元</t>
  </si>
  <si>
    <t>溝口長友</t>
  </si>
  <si>
    <t>溝口長勝</t>
  </si>
  <si>
    <t>溝口貞泰</t>
  </si>
  <si>
    <t>真田頼昌</t>
  </si>
  <si>
    <t>真田幸綱</t>
  </si>
  <si>
    <t>真田信綱</t>
  </si>
  <si>
    <t>真田昌輝</t>
  </si>
  <si>
    <t>武藤喜兵衛</t>
  </si>
  <si>
    <t>真田信幸</t>
  </si>
  <si>
    <t>真田信吉</t>
  </si>
  <si>
    <t>真田信政</t>
  </si>
  <si>
    <t>真田信繁</t>
  </si>
  <si>
    <t>真田幸昌</t>
  </si>
  <si>
    <t>真田信勝</t>
  </si>
  <si>
    <t>真田信尹</t>
  </si>
  <si>
    <t>矢沢頼綱</t>
  </si>
  <si>
    <t>矢沢頼康</t>
  </si>
  <si>
    <t>常田隆永</t>
  </si>
  <si>
    <t>石合道重</t>
  </si>
  <si>
    <t>石合道相</t>
  </si>
  <si>
    <t>石合道定</t>
  </si>
  <si>
    <t>河原綱家</t>
  </si>
  <si>
    <t>出浦昌相</t>
  </si>
  <si>
    <t>鈴木重則</t>
  </si>
  <si>
    <t>鈴木忠重</t>
  </si>
  <si>
    <t>高梨内記</t>
  </si>
  <si>
    <t>堀田興重</t>
  </si>
  <si>
    <t>宇喜多能家</t>
  </si>
  <si>
    <t>宇喜多興家</t>
  </si>
  <si>
    <t>宇喜多直家</t>
  </si>
  <si>
    <t>宇喜多秀家</t>
  </si>
  <si>
    <t>宇喜多秀高</t>
  </si>
  <si>
    <t>宇喜多忠家</t>
  </si>
  <si>
    <t>宇喜多基家</t>
  </si>
  <si>
    <t>宇喜多詮家</t>
  </si>
  <si>
    <t>明石行雄</t>
  </si>
  <si>
    <t>明石全登</t>
  </si>
  <si>
    <t>伊賀久隆</t>
  </si>
  <si>
    <t>遠藤余市左衛門</t>
  </si>
  <si>
    <t>遠藤俊通</t>
  </si>
  <si>
    <t>遠藤秀清</t>
  </si>
  <si>
    <t>大田原長時</t>
  </si>
  <si>
    <t>岡家利</t>
  </si>
  <si>
    <t>岡家俊</t>
  </si>
  <si>
    <t>猪苗代城</t>
  </si>
  <si>
    <t>長船貞親</t>
  </si>
  <si>
    <t>いなわしろじょう</t>
  </si>
  <si>
    <t>長船綱直</t>
  </si>
  <si>
    <t>長船定行</t>
  </si>
  <si>
    <t>菅納家晴</t>
  </si>
  <si>
    <t>富川秀安</t>
  </si>
  <si>
    <t>戸川達安</t>
  </si>
  <si>
    <t>沼本房家</t>
  </si>
  <si>
    <t>延原景能</t>
  </si>
  <si>
    <t>花房職忠</t>
  </si>
  <si>
    <t>花房職治</t>
  </si>
  <si>
    <t>花房職勝</t>
  </si>
  <si>
    <t>花房職秀</t>
  </si>
  <si>
    <t>花房正定</t>
  </si>
  <si>
    <t>花房正幸</t>
  </si>
  <si>
    <t>花房正成</t>
  </si>
  <si>
    <t>村上義清</t>
  </si>
  <si>
    <t>村上国清</t>
  </si>
  <si>
    <t>楽巌寺雅方</t>
  </si>
  <si>
    <t>清野清秀</t>
  </si>
  <si>
    <t>村上義胤</t>
  </si>
  <si>
    <t>村上義顕</t>
  </si>
  <si>
    <t>村上雅房</t>
  </si>
  <si>
    <t>村上隆勝</t>
  </si>
  <si>
    <t>村上義忠</t>
  </si>
  <si>
    <t>村上武吉</t>
  </si>
  <si>
    <t>村上元吉</t>
  </si>
  <si>
    <t>村上元武</t>
  </si>
  <si>
    <t>村上景親</t>
  </si>
  <si>
    <t>村上隆重</t>
  </si>
  <si>
    <t>上杉憲房</t>
  </si>
  <si>
    <t>上杉憲政</t>
  </si>
  <si>
    <t>海野棟綱</t>
  </si>
  <si>
    <t>海野幸義</t>
  </si>
  <si>
    <t>沼田泰輝</t>
  </si>
  <si>
    <t>上杉清方</t>
  </si>
  <si>
    <t>上杉房定</t>
  </si>
  <si>
    <t>上杉顕定</t>
  </si>
  <si>
    <t>上杉房実</t>
  </si>
  <si>
    <t>上杉定実</t>
  </si>
  <si>
    <t>上条政繁</t>
  </si>
  <si>
    <t>上条定憲</t>
  </si>
  <si>
    <t>黒田秀忠</t>
  </si>
  <si>
    <t>中条藤資</t>
  </si>
  <si>
    <t>上杉朝興</t>
  </si>
  <si>
    <t>上杉朝定</t>
  </si>
  <si>
    <t>上杉憲勝</t>
  </si>
  <si>
    <t>難波田憲重</t>
  </si>
  <si>
    <t>壬生綱重</t>
  </si>
  <si>
    <t>壬生綱房</t>
  </si>
  <si>
    <t>壬生綱雄</t>
  </si>
  <si>
    <t>壬生綱長</t>
  </si>
  <si>
    <t>壬生義雄</t>
  </si>
  <si>
    <t>神山綱勝</t>
  </si>
  <si>
    <t>座禅院昌膳</t>
  </si>
  <si>
    <t>座禅院昌歆</t>
  </si>
  <si>
    <t>座禅院昌広</t>
  </si>
  <si>
    <t>座禅院昌淳</t>
  </si>
  <si>
    <t>大門資長</t>
  </si>
  <si>
    <t>大門資忠</t>
  </si>
  <si>
    <t>神山治持</t>
  </si>
  <si>
    <t>黒川房朝</t>
  </si>
  <si>
    <t>黒川正勝</t>
  </si>
  <si>
    <t>黒川勝重</t>
  </si>
  <si>
    <t>藤倉勘斎</t>
  </si>
  <si>
    <t>大内政弘</t>
  </si>
  <si>
    <t>大内義興</t>
  </si>
  <si>
    <t>大内義隆</t>
  </si>
  <si>
    <t>大内高弘</t>
  </si>
  <si>
    <t>大内輝弘</t>
  </si>
  <si>
    <t>青景隆著</t>
  </si>
  <si>
    <t>麻生隆守</t>
  </si>
  <si>
    <t>天野興定</t>
  </si>
  <si>
    <t>天野隆綱</t>
  </si>
  <si>
    <t>飯田興秀</t>
  </si>
  <si>
    <t>相良武任</t>
  </si>
  <si>
    <t>杉興運</t>
  </si>
  <si>
    <t>杉重矩</t>
  </si>
  <si>
    <t>杉重輔</t>
  </si>
  <si>
    <t>杉重良</t>
  </si>
  <si>
    <t>問田隆盛</t>
  </si>
  <si>
    <t>内藤興盛</t>
  </si>
  <si>
    <t>平賀隆宗</t>
  </si>
  <si>
    <t>弘中隆兼</t>
  </si>
  <si>
    <t>宗像正氏</t>
  </si>
  <si>
    <t>冷泉隆豊</t>
  </si>
  <si>
    <t>冷泉元豊</t>
  </si>
  <si>
    <t>冷泉元満</t>
  </si>
  <si>
    <t>陶興房</t>
  </si>
  <si>
    <t>陶隆房</t>
  </si>
  <si>
    <t>江良房栄</t>
  </si>
  <si>
    <t>少弐資元</t>
  </si>
  <si>
    <t>少弐冬尚</t>
  </si>
  <si>
    <t>少弐冬敬</t>
  </si>
  <si>
    <t>千葉胤頼</t>
  </si>
  <si>
    <t>千葉胤誠</t>
  </si>
  <si>
    <t>少弐政興</t>
  </si>
  <si>
    <t>少弐元盛</t>
  </si>
  <si>
    <t>少弐資宗</t>
  </si>
  <si>
    <t>千葉興常</t>
  </si>
  <si>
    <t>千葉喜胤</t>
  </si>
  <si>
    <t>犬塚鎮家</t>
  </si>
  <si>
    <t>江上武種</t>
  </si>
  <si>
    <t>小田政光</t>
  </si>
  <si>
    <t>黒川城</t>
  </si>
  <si>
    <t>神代勝利</t>
  </si>
  <si>
    <t>くろかわじょう</t>
  </si>
  <si>
    <t>神代長良</t>
  </si>
  <si>
    <t>執行種兼</t>
  </si>
  <si>
    <t>高木鑑房</t>
  </si>
  <si>
    <t>馬場頼周</t>
  </si>
  <si>
    <t>馬場政員</t>
  </si>
  <si>
    <t>馬場鑑周</t>
  </si>
  <si>
    <t>土岐政房</t>
  </si>
  <si>
    <t>土岐頼武</t>
  </si>
  <si>
    <t>土岐頼芸</t>
  </si>
  <si>
    <t>土岐頼栄</t>
  </si>
  <si>
    <t>土岐頼次</t>
  </si>
  <si>
    <t>土岐頼勝</t>
  </si>
  <si>
    <t>土岐頼元</t>
  </si>
  <si>
    <t>揖斐光親</t>
  </si>
  <si>
    <t>関成重</t>
  </si>
  <si>
    <t>関成政</t>
  </si>
  <si>
    <t>武田元繁</t>
  </si>
  <si>
    <t>武田光和</t>
  </si>
  <si>
    <t>武田宗慶</t>
  </si>
  <si>
    <t>武田繁清</t>
  </si>
  <si>
    <t>武田信重(安芸)</t>
  </si>
  <si>
    <t>瑶甫恵瓊</t>
  </si>
  <si>
    <t>香川元景(安芸)</t>
  </si>
  <si>
    <t>香川光景</t>
  </si>
  <si>
    <t>香川広景</t>
  </si>
  <si>
    <t>香川春継</t>
  </si>
  <si>
    <t>香川勝雄</t>
  </si>
  <si>
    <t>己斐直之</t>
  </si>
  <si>
    <t>己斐隆常</t>
  </si>
  <si>
    <t>長野稙藤</t>
  </si>
  <si>
    <t>細野藤光</t>
  </si>
  <si>
    <t>細野藤敦</t>
  </si>
  <si>
    <t>分部光嘉</t>
  </si>
  <si>
    <t>分部光勝</t>
  </si>
  <si>
    <t>分部光信</t>
  </si>
  <si>
    <t>川北藤元</t>
  </si>
  <si>
    <t>長野藤定</t>
  </si>
  <si>
    <t>雲林院祐基</t>
  </si>
  <si>
    <t>雲林院祐光</t>
  </si>
  <si>
    <t>乙部政直</t>
  </si>
  <si>
    <t>進藤政次</t>
  </si>
  <si>
    <t>分部光高</t>
  </si>
  <si>
    <t>長谷川藤直</t>
  </si>
  <si>
    <t>長谷川藤広</t>
  </si>
  <si>
    <t>大浦光信</t>
  </si>
  <si>
    <t>大浦政信</t>
  </si>
  <si>
    <t>大浦為則</t>
  </si>
  <si>
    <t>大浦守信</t>
  </si>
  <si>
    <t>大浦為信</t>
  </si>
  <si>
    <t>大浦信建</t>
  </si>
  <si>
    <t>大浦信枚</t>
  </si>
  <si>
    <t>大浦建広</t>
  </si>
  <si>
    <t>大浦盛信</t>
  </si>
  <si>
    <t>板垣将兼</t>
  </si>
  <si>
    <t>小笠原信浄</t>
  </si>
  <si>
    <t>兼平綱則</t>
  </si>
  <si>
    <t>北畠昌教</t>
  </si>
  <si>
    <t>千徳政吉</t>
  </si>
  <si>
    <t>千徳政氏</t>
  </si>
  <si>
    <t>千徳政康</t>
  </si>
  <si>
    <t>乳井建清</t>
  </si>
  <si>
    <t>服部康成</t>
  </si>
  <si>
    <t>森岡信元</t>
  </si>
  <si>
    <t>斯波義統</t>
  </si>
  <si>
    <t>斯波義銀</t>
  </si>
  <si>
    <t>毛利長秀</t>
  </si>
  <si>
    <t>毛利秀秋</t>
  </si>
  <si>
    <t>津川義冬</t>
  </si>
  <si>
    <t>真里谷信勝</t>
  </si>
  <si>
    <t>真里谷信清</t>
  </si>
  <si>
    <t>真里谷信隆</t>
  </si>
  <si>
    <t>真里谷信政</t>
  </si>
  <si>
    <t>真里谷信応</t>
  </si>
  <si>
    <t>真里谷信高</t>
  </si>
  <si>
    <t>真里谷信経</t>
  </si>
  <si>
    <t>真里谷信保</t>
  </si>
  <si>
    <t>武田国信</t>
  </si>
  <si>
    <t>武田高信</t>
  </si>
  <si>
    <t>武田助信</t>
  </si>
  <si>
    <t>中島正義</t>
  </si>
  <si>
    <t>中島正時</t>
  </si>
  <si>
    <t>広岡国宣</t>
  </si>
  <si>
    <t>福田光信</t>
  </si>
  <si>
    <t>三上豊範</t>
  </si>
  <si>
    <t>矢田幸佐</t>
  </si>
  <si>
    <t>松平長親</t>
  </si>
  <si>
    <t>松平信忠</t>
  </si>
  <si>
    <t>松平清康</t>
  </si>
  <si>
    <t>松平広忠</t>
  </si>
  <si>
    <t>松平忠政</t>
  </si>
  <si>
    <t>松平信康</t>
  </si>
  <si>
    <t>松平秀康</t>
  </si>
  <si>
    <t>松平忠直</t>
  </si>
  <si>
    <t>松平忠昌</t>
  </si>
  <si>
    <t>松平直政</t>
  </si>
  <si>
    <t>徳川秀忠</t>
  </si>
  <si>
    <t>徳川家光</t>
  </si>
  <si>
    <t>徳川家綱</t>
  </si>
  <si>
    <t>徳川綱吉</t>
  </si>
  <si>
    <t>保科正之</t>
  </si>
  <si>
    <t>松平忠吉</t>
  </si>
  <si>
    <t>松平忠輝</t>
  </si>
  <si>
    <t>徳川義直</t>
  </si>
  <si>
    <t>徳川頼宣</t>
  </si>
  <si>
    <t>松平頼房</t>
  </si>
  <si>
    <t>徳川光圀</t>
  </si>
  <si>
    <t>内藤信成</t>
  </si>
  <si>
    <t>内藤信正</t>
  </si>
  <si>
    <t>松平康元</t>
  </si>
  <si>
    <t>松平忠良</t>
  </si>
  <si>
    <t>松平定勝</t>
  </si>
  <si>
    <t>松平定行</t>
  </si>
  <si>
    <t>青山忠成</t>
  </si>
  <si>
    <t>塩生城</t>
  </si>
  <si>
    <t>青山忠俊</t>
  </si>
  <si>
    <t>阿部定吉</t>
  </si>
  <si>
    <t>阿部正豊</t>
  </si>
  <si>
    <t>阿部正勝</t>
  </si>
  <si>
    <t>阿部正次</t>
  </si>
  <si>
    <t>しおぶじょう</t>
  </si>
  <si>
    <t>安藤直次</t>
  </si>
  <si>
    <t>井伊直平</t>
  </si>
  <si>
    <t>井伊直満</t>
  </si>
  <si>
    <t>井伊直盛</t>
  </si>
  <si>
    <t>井伊直政</t>
  </si>
  <si>
    <t>井伊直勝</t>
  </si>
  <si>
    <t>井伊直孝</t>
  </si>
  <si>
    <t>石川清兼</t>
  </si>
  <si>
    <t>石川康正</t>
  </si>
  <si>
    <t>石川数正</t>
  </si>
  <si>
    <t>石川康長</t>
  </si>
  <si>
    <t>石川康勝</t>
  </si>
  <si>
    <t>石川家成</t>
  </si>
  <si>
    <t>以心崇伝</t>
  </si>
  <si>
    <t>板倉勝重</t>
  </si>
  <si>
    <t>伊奈忠次</t>
  </si>
  <si>
    <t>伊奈忠政</t>
  </si>
  <si>
    <t>稲垣重綱</t>
  </si>
  <si>
    <t>宇津忠茂</t>
  </si>
  <si>
    <t>大久保忠俊</t>
  </si>
  <si>
    <t>大久保忠員</t>
  </si>
  <si>
    <t>大久保忠世</t>
  </si>
  <si>
    <t>大久保忠隣</t>
  </si>
  <si>
    <t>石川忠総</t>
  </si>
  <si>
    <t>大久保忠佐</t>
  </si>
  <si>
    <t>大久保忠教</t>
  </si>
  <si>
    <t>大須賀康高</t>
  </si>
  <si>
    <t>小笠原信嶺</t>
  </si>
  <si>
    <t>奥平貞勝</t>
  </si>
  <si>
    <t>奥平定能</t>
  </si>
  <si>
    <t>奥平信昌</t>
  </si>
  <si>
    <t>奥平家昌</t>
  </si>
  <si>
    <t>奥平忠昌</t>
  </si>
  <si>
    <t>奥平忠政</t>
  </si>
  <si>
    <t>奥平忠隆</t>
  </si>
  <si>
    <t>松平忠明</t>
  </si>
  <si>
    <t>奥平貞治</t>
  </si>
  <si>
    <t>高力清長</t>
  </si>
  <si>
    <t>高力正長</t>
  </si>
  <si>
    <t>高力忠房</t>
  </si>
  <si>
    <t>近藤康用</t>
  </si>
  <si>
    <t>酒井忠次</t>
  </si>
  <si>
    <t>酒井家次</t>
  </si>
  <si>
    <t>酒井小五郎</t>
  </si>
  <si>
    <t>酒井忠当</t>
  </si>
  <si>
    <t>本多康俊</t>
  </si>
  <si>
    <t>小笠原信之</t>
  </si>
  <si>
    <t>小笠原政信</t>
  </si>
  <si>
    <t>酒井正親</t>
  </si>
  <si>
    <t>酒井重忠</t>
  </si>
  <si>
    <t>酒井忠世</t>
  </si>
  <si>
    <t>西尾忠永</t>
  </si>
  <si>
    <t>酒井忠利</t>
  </si>
  <si>
    <t>酒井忠勝</t>
  </si>
  <si>
    <t>榊原康政</t>
  </si>
  <si>
    <t>大須賀忠政</t>
  </si>
  <si>
    <t>榊原忠次</t>
  </si>
  <si>
    <t>榊原康勝</t>
  </si>
  <si>
    <t>鈴木重好</t>
  </si>
  <si>
    <t>竹腰正信</t>
  </si>
  <si>
    <t>戸田氏鉄</t>
  </si>
  <si>
    <t>戸田氏信</t>
  </si>
  <si>
    <t>戸田忠次</t>
  </si>
  <si>
    <t>戸田尊次</t>
  </si>
  <si>
    <t>戸田忠能</t>
  </si>
  <si>
    <t>戸田康長</t>
  </si>
  <si>
    <t>鳥居忠吉</t>
  </si>
  <si>
    <t>鳥居元忠</t>
  </si>
  <si>
    <t>鳥居成次</t>
  </si>
  <si>
    <t>内藤清長</t>
  </si>
  <si>
    <t>内藤家長</t>
  </si>
  <si>
    <t>内藤政長</t>
  </si>
  <si>
    <t>内藤忠興</t>
  </si>
  <si>
    <t>内藤清成</t>
  </si>
  <si>
    <t>永井直勝</t>
  </si>
  <si>
    <t>長坂信政</t>
  </si>
  <si>
    <t>成瀬正成</t>
  </si>
  <si>
    <t>南光坊天海</t>
  </si>
  <si>
    <t>服部保長</t>
  </si>
  <si>
    <t>服部正成</t>
  </si>
  <si>
    <t>服部正就</t>
  </si>
  <si>
    <t>林羅山</t>
  </si>
  <si>
    <t>平岩親吉</t>
  </si>
  <si>
    <t>本多助政</t>
  </si>
  <si>
    <t>本多定通</t>
  </si>
  <si>
    <t>本多定助</t>
  </si>
  <si>
    <t>本多助時</t>
  </si>
  <si>
    <t>本多忠豊</t>
  </si>
  <si>
    <t>本多忠高</t>
  </si>
  <si>
    <t>本多忠勝</t>
  </si>
  <si>
    <t>本多忠政</t>
  </si>
  <si>
    <t>本多政朝</t>
  </si>
  <si>
    <t>本多忠朝</t>
  </si>
  <si>
    <t>本多正時</t>
  </si>
  <si>
    <t>本多重正</t>
  </si>
  <si>
    <t>本多重次</t>
  </si>
  <si>
    <t>本多定政</t>
  </si>
  <si>
    <t>本多俊正</t>
  </si>
  <si>
    <t>本多正信</t>
  </si>
  <si>
    <t>本多正純</t>
  </si>
  <si>
    <t>本多政重</t>
  </si>
  <si>
    <t>本多忠純</t>
  </si>
  <si>
    <t>本多康重</t>
  </si>
  <si>
    <t>本多康紀</t>
  </si>
  <si>
    <t>牧野康成</t>
  </si>
  <si>
    <t>牧野忠成</t>
  </si>
  <si>
    <t>三宅康信</t>
  </si>
  <si>
    <t>渡辺守綱</t>
  </si>
  <si>
    <t>大給親忠</t>
  </si>
  <si>
    <t>大給乗元</t>
  </si>
  <si>
    <t>大給乗正</t>
  </si>
  <si>
    <t>杉目城</t>
  </si>
  <si>
    <t>すぎのめじょう</t>
  </si>
  <si>
    <t>大給乗勝</t>
  </si>
  <si>
    <t>大給親乗</t>
  </si>
  <si>
    <t>大給真乗</t>
  </si>
  <si>
    <t>大給家乗</t>
  </si>
  <si>
    <t>大給乗次</t>
  </si>
  <si>
    <t>大給元次</t>
  </si>
  <si>
    <t>大給貞次</t>
  </si>
  <si>
    <t>宮石宗次</t>
  </si>
  <si>
    <t>宮石康次</t>
  </si>
  <si>
    <t>宮石正次</t>
  </si>
  <si>
    <t>大河内信貞</t>
  </si>
  <si>
    <t>大河内秀綱</t>
  </si>
  <si>
    <t>大河内久綱</t>
  </si>
  <si>
    <t>長沢正綱</t>
  </si>
  <si>
    <t>長沢信綱</t>
  </si>
  <si>
    <t>木下弥右衛門</t>
  </si>
  <si>
    <t>豊臣秀頼</t>
  </si>
  <si>
    <t>木下長秀</t>
  </si>
  <si>
    <t>杉原定利</t>
  </si>
  <si>
    <t>木下家定</t>
  </si>
  <si>
    <t>木下勝俊</t>
  </si>
  <si>
    <t>木下延俊</t>
  </si>
  <si>
    <t>小早川秀秋</t>
  </si>
  <si>
    <t>浅野長勝</t>
  </si>
  <si>
    <t>浅野長政</t>
  </si>
  <si>
    <t>浅野長晟</t>
  </si>
  <si>
    <t>浅野長重</t>
  </si>
  <si>
    <t>浅野幸長</t>
  </si>
  <si>
    <t>杉原長房</t>
  </si>
  <si>
    <t>木下秀次</t>
  </si>
  <si>
    <t>足立重信</t>
  </si>
  <si>
    <t>飯田直景</t>
  </si>
  <si>
    <t>生駒豊政</t>
  </si>
  <si>
    <t>生駒家宗</t>
  </si>
  <si>
    <t>生駒家長</t>
  </si>
  <si>
    <t>生駒利豊</t>
  </si>
  <si>
    <t>生駒親重</t>
  </si>
  <si>
    <t>生駒親正</t>
  </si>
  <si>
    <t>生駒一正</t>
  </si>
  <si>
    <t>生駒正俊</t>
  </si>
  <si>
    <t>石川貞清</t>
  </si>
  <si>
    <t>石川貞政</t>
  </si>
  <si>
    <t>石田正継</t>
  </si>
  <si>
    <t>石田正澄</t>
  </si>
  <si>
    <t>石田三成</t>
  </si>
  <si>
    <t>石田重家</t>
  </si>
  <si>
    <t>石田重成</t>
  </si>
  <si>
    <t>市橋長勝</t>
  </si>
  <si>
    <t>伊東長実</t>
  </si>
  <si>
    <t>伊藤盛正</t>
  </si>
  <si>
    <t>上田重安</t>
  </si>
  <si>
    <t>大谷吉房</t>
  </si>
  <si>
    <t>大谷吉継</t>
  </si>
  <si>
    <t>大谷吉治</t>
  </si>
  <si>
    <t>大野定長</t>
  </si>
  <si>
    <t>大野治長</t>
  </si>
  <si>
    <t>大野治胤</t>
  </si>
  <si>
    <t>大野治房</t>
  </si>
  <si>
    <t>小坂雄長</t>
  </si>
  <si>
    <t>小野木重次</t>
  </si>
  <si>
    <t>糟屋武則</t>
  </si>
  <si>
    <t>片桐直貞</t>
  </si>
  <si>
    <t>片桐且元</t>
  </si>
  <si>
    <t>片桐貞隆</t>
  </si>
  <si>
    <t>加藤清正</t>
  </si>
  <si>
    <t>加藤忠広</t>
  </si>
  <si>
    <t>加藤嘉明</t>
  </si>
  <si>
    <t>加藤明成</t>
  </si>
  <si>
    <t>亀田高綱</t>
  </si>
  <si>
    <t>木村重茲</t>
  </si>
  <si>
    <t>木村重成</t>
  </si>
  <si>
    <t>木村正勝</t>
  </si>
  <si>
    <t>小出秀政</t>
  </si>
  <si>
    <t>小出吉政</t>
  </si>
  <si>
    <t>小出吉英</t>
  </si>
  <si>
    <t>小出吉親</t>
  </si>
  <si>
    <t>小出三尹</t>
  </si>
  <si>
    <t>五藤為重</t>
  </si>
  <si>
    <t>薄田兼相</t>
  </si>
  <si>
    <t>高田吉次</t>
  </si>
  <si>
    <t>竹中重氏</t>
  </si>
  <si>
    <t>竹中重元</t>
  </si>
  <si>
    <t>竹中重治</t>
  </si>
  <si>
    <t>竹中重門</t>
  </si>
  <si>
    <t>竹中重光</t>
  </si>
  <si>
    <t>竹中重利</t>
  </si>
  <si>
    <t>竹中重義</t>
  </si>
  <si>
    <t>二本松城</t>
  </si>
  <si>
    <t>谷衛友</t>
  </si>
  <si>
    <t>にほんまつじょう</t>
  </si>
  <si>
    <t>佃十成</t>
  </si>
  <si>
    <t>寺沢広高</t>
  </si>
  <si>
    <t>富田一白</t>
  </si>
  <si>
    <t>富田信高</t>
  </si>
  <si>
    <t>長束正家</t>
  </si>
  <si>
    <t>野々村幸成</t>
  </si>
  <si>
    <t>早川長政</t>
  </si>
  <si>
    <t>速水守久</t>
  </si>
  <si>
    <t>塙直之</t>
  </si>
  <si>
    <t>一柳直盛</t>
  </si>
  <si>
    <t>平岡頼勝</t>
  </si>
  <si>
    <t>平塚為広</t>
  </si>
  <si>
    <t>平野長泰</t>
  </si>
  <si>
    <t>福島正信</t>
  </si>
  <si>
    <t>福島正則</t>
  </si>
  <si>
    <t>福島忠勝</t>
  </si>
  <si>
    <t>福島高晴</t>
  </si>
  <si>
    <t>堀尾泰晴</t>
  </si>
  <si>
    <t>堀尾吉晴</t>
  </si>
  <si>
    <t>堀尾忠氏</t>
  </si>
  <si>
    <t>堀尾忠晴</t>
  </si>
  <si>
    <t>蒔田広定</t>
  </si>
  <si>
    <t>森友重</t>
  </si>
  <si>
    <t>森吉成</t>
  </si>
  <si>
    <t>森吉政</t>
  </si>
  <si>
    <t>湯浅隆貞</t>
  </si>
  <si>
    <t>脇坂安治</t>
  </si>
  <si>
    <t>脇坂安元</t>
  </si>
  <si>
    <t>新免一真</t>
  </si>
  <si>
    <t>新免玄信</t>
  </si>
  <si>
    <t>塚原高幹</t>
  </si>
  <si>
    <t>成安道頓</t>
  </si>
  <si>
    <t>天草四郎</t>
  </si>
  <si>
    <t>仁木某</t>
  </si>
  <si>
    <t>仁木長政</t>
  </si>
  <si>
    <t>勢力名</t>
  </si>
  <si>
    <t>仁木義視</t>
  </si>
  <si>
    <t>百地正永</t>
  </si>
  <si>
    <t>百地正西</t>
  </si>
  <si>
    <t>leaderId</t>
  </si>
  <si>
    <t>津田算長</t>
  </si>
  <si>
    <t>代表者確認用</t>
  </si>
  <si>
    <t>津田算正</t>
  </si>
  <si>
    <t>daimyoPrestige</t>
  </si>
  <si>
    <t>徳田重清</t>
  </si>
  <si>
    <t>imperialCourtCredibility</t>
  </si>
  <si>
    <t>水野忠政</t>
  </si>
  <si>
    <t>princess</t>
  </si>
  <si>
    <t>水野信元</t>
  </si>
  <si>
    <t>difficulty</t>
  </si>
  <si>
    <t>土井利勝</t>
  </si>
  <si>
    <t>水野忠分</t>
  </si>
  <si>
    <t>水野分長</t>
  </si>
  <si>
    <t>水野重央</t>
  </si>
  <si>
    <t>水野忠重</t>
  </si>
  <si>
    <t>水野勝成</t>
  </si>
  <si>
    <t>川口宗勝</t>
  </si>
  <si>
    <t>多羅尾光俊</t>
  </si>
  <si>
    <t>多羅尾光太</t>
  </si>
  <si>
    <t>鵜飼孫六</t>
  </si>
  <si>
    <t>杉谷善住坊</t>
  </si>
  <si>
    <t>愛洲久忠</t>
  </si>
  <si>
    <t>愛洲宗通</t>
  </si>
  <si>
    <t>窪田経忠</t>
  </si>
  <si>
    <t>服部友貞</t>
  </si>
  <si>
    <t>伊賀崎道順</t>
  </si>
  <si>
    <t>植田光次</t>
  </si>
  <si>
    <t>藤林保豊</t>
  </si>
  <si>
    <t>風摩(初代)</t>
  </si>
  <si>
    <t>風摩(2代目)</t>
  </si>
  <si>
    <t>羽茂高信</t>
  </si>
  <si>
    <t>羽茂高季</t>
  </si>
  <si>
    <t>羽茂高貞</t>
  </si>
  <si>
    <t>羽茂高頼</t>
  </si>
  <si>
    <t>葉梨秀敏</t>
  </si>
  <si>
    <t>葉梨秀高</t>
  </si>
  <si>
    <t>葉梨秀光</t>
  </si>
  <si>
    <t>徳山則秀</t>
  </si>
  <si>
    <t>九鬼泰隆</t>
  </si>
  <si>
    <t>九鬼定隆</t>
  </si>
  <si>
    <t>九鬼浄隆</t>
  </si>
  <si>
    <t>九鬼澄隆</t>
  </si>
  <si>
    <t>九鬼嘉隆</t>
  </si>
  <si>
    <t>九鬼守隆</t>
  </si>
  <si>
    <t>有馬重則</t>
  </si>
  <si>
    <t>有馬則頼</t>
  </si>
  <si>
    <t>有馬豊氏</t>
  </si>
  <si>
    <t>稲次重知</t>
  </si>
  <si>
    <t>塩屋秋貞</t>
  </si>
  <si>
    <t>土肥政繁</t>
  </si>
  <si>
    <t>蜂須賀利政</t>
  </si>
  <si>
    <t>蜂須賀家政</t>
  </si>
  <si>
    <t>蜂須賀至鎮</t>
  </si>
  <si>
    <t>前野長康</t>
  </si>
  <si>
    <t>前野忠康</t>
  </si>
  <si>
    <t>赤木忠国</t>
  </si>
  <si>
    <t>赤木忠房</t>
  </si>
  <si>
    <t>赤木忠直</t>
  </si>
  <si>
    <t>高梨秀政</t>
  </si>
  <si>
    <t>岩松氏純</t>
  </si>
  <si>
    <t>岩松守純</t>
  </si>
  <si>
    <t>横瀬泰繁</t>
  </si>
  <si>
    <t>由良成繁</t>
  </si>
  <si>
    <t>由良国繁</t>
  </si>
  <si>
    <t>渡瀬繁詮</t>
  </si>
  <si>
    <t>長尾顕長</t>
  </si>
  <si>
    <t>赤井重秀</t>
  </si>
  <si>
    <t>赤井輝</t>
  </si>
  <si>
    <t>柳生家厳</t>
  </si>
  <si>
    <t>柳生宗厳</t>
  </si>
  <si>
    <t>柳生宗章</t>
  </si>
  <si>
    <t>柳生宗矩</t>
  </si>
  <si>
    <t>柳生三厳</t>
  </si>
  <si>
    <t>望月吉棟</t>
  </si>
  <si>
    <t>森田浄雲</t>
  </si>
  <si>
    <t>越智家増</t>
  </si>
  <si>
    <t>太田定久</t>
  </si>
  <si>
    <t>野長瀬盛秀</t>
  </si>
  <si>
    <t>原田忠長</t>
  </si>
  <si>
    <t>原田貞佐</t>
  </si>
  <si>
    <t>角館城</t>
  </si>
  <si>
    <t>原田忠佐</t>
  </si>
  <si>
    <t>かくのだてじょう</t>
  </si>
  <si>
    <t>竹内久盛</t>
  </si>
  <si>
    <t>菅重勝</t>
  </si>
  <si>
    <t>菅達長</t>
  </si>
  <si>
    <t>中島輝行</t>
  </si>
  <si>
    <t>中島元行</t>
  </si>
  <si>
    <t>植木秀長</t>
  </si>
  <si>
    <t>植木秀資</t>
  </si>
  <si>
    <t>益田尹兼</t>
  </si>
  <si>
    <t>益田藤兼</t>
  </si>
  <si>
    <t>益田元祥</t>
  </si>
  <si>
    <t>益田景祥</t>
  </si>
  <si>
    <t>阿曽沼広秀</t>
  </si>
  <si>
    <t>羽床資載</t>
  </si>
  <si>
    <t>高原次利</t>
  </si>
  <si>
    <t>筑紫惟門</t>
  </si>
  <si>
    <t>筑紫広門</t>
  </si>
  <si>
    <t>入来院重朝</t>
  </si>
  <si>
    <t>入来院重嗣</t>
  </si>
  <si>
    <t>入来院重豊</t>
  </si>
  <si>
    <t>祁答院良重</t>
  </si>
  <si>
    <t>北原兼孝</t>
  </si>
  <si>
    <t>2|3</t>
  </si>
  <si>
    <t>三田井親武</t>
  </si>
  <si>
    <t>隈部親永</t>
  </si>
  <si>
    <t>福住宗職</t>
  </si>
  <si>
    <t>宝蔵院胤栄</t>
  </si>
  <si>
    <t>宝蔵院胤舜</t>
  </si>
  <si>
    <t>吉岡直賢</t>
  </si>
  <si>
    <t>吉岡直綱</t>
  </si>
  <si>
    <t>吉岡直重</t>
  </si>
  <si>
    <t>鐘捲自斎</t>
  </si>
  <si>
    <t>伊東景久</t>
  </si>
  <si>
    <t>岩流</t>
  </si>
  <si>
    <t>羽川義稙</t>
  </si>
  <si>
    <t>矢島満安</t>
  </si>
  <si>
    <t>寒河江広種</t>
  </si>
  <si>
    <t>寒河江兼広</t>
  </si>
  <si>
    <t>吉川元綱</t>
  </si>
  <si>
    <t>寒河江高基</t>
  </si>
  <si>
    <t>吉川隆広</t>
  </si>
  <si>
    <t>柴橋頼綱</t>
  </si>
  <si>
    <t>中山朝政</t>
  </si>
  <si>
    <t>中山朝正</t>
  </si>
  <si>
    <t>和田業繁</t>
  </si>
  <si>
    <t>和田信業</t>
  </si>
  <si>
    <t>山内氏勝</t>
  </si>
  <si>
    <t>畠山晴俊</t>
  </si>
  <si>
    <t>平尭知</t>
  </si>
  <si>
    <t>温井総貞</t>
  </si>
  <si>
    <t>温井続宗</t>
  </si>
  <si>
    <t>温井景隆</t>
  </si>
  <si>
    <t>三宅長盛</t>
  </si>
  <si>
    <t>三宅総広</t>
  </si>
  <si>
    <t>赤星親隆</t>
  </si>
  <si>
    <t>赤星統家</t>
  </si>
  <si>
    <t>赤星親武</t>
  </si>
  <si>
    <t>赤星道重</t>
  </si>
  <si>
    <t>原田隆種</t>
  </si>
  <si>
    <t>原田信種</t>
  </si>
  <si>
    <t>原田嘉種</t>
  </si>
  <si>
    <t>村上顕忠</t>
  </si>
  <si>
    <t>村上吉元</t>
  </si>
  <si>
    <t>村上康吉</t>
  </si>
  <si>
    <t>村上通康</t>
  </si>
  <si>
    <t>得居通幸</t>
  </si>
  <si>
    <t>来島通総</t>
  </si>
  <si>
    <t>来島長親</t>
  </si>
  <si>
    <t>久留島通春</t>
  </si>
  <si>
    <t>村上通清</t>
  </si>
  <si>
    <t>村上顕長</t>
  </si>
  <si>
    <t>村上吉資</t>
  </si>
  <si>
    <t>村上吉充(新蔵人)</t>
  </si>
  <si>
    <t>村上吉直</t>
  </si>
  <si>
    <t>村上尚吉</t>
  </si>
  <si>
    <t>村上吉充</t>
  </si>
  <si>
    <t>村上亮康</t>
  </si>
  <si>
    <t>滝野貞清</t>
  </si>
  <si>
    <t>滝野吉政</t>
  </si>
  <si>
    <t>寺崎行重</t>
  </si>
  <si>
    <t>寺崎盛永</t>
  </si>
  <si>
    <t>寺崎喜六</t>
  </si>
  <si>
    <t>酒井定隆</t>
  </si>
  <si>
    <t>酒井定治</t>
  </si>
  <si>
    <t>酒井玄治</t>
  </si>
  <si>
    <t>酒井胤治</t>
  </si>
  <si>
    <t>酒井康治</t>
  </si>
  <si>
    <t>酒井隆敏</t>
  </si>
  <si>
    <t>酒井敏治</t>
  </si>
  <si>
    <t>酒井敏房</t>
  </si>
  <si>
    <t>酒井政辰</t>
  </si>
  <si>
    <t>山川国秀</t>
  </si>
  <si>
    <t>山川国武</t>
  </si>
  <si>
    <t>吉良義尭</t>
  </si>
  <si>
    <t>吉良義安</t>
  </si>
  <si>
    <t>吉良義定</t>
  </si>
  <si>
    <t>吉良義昭</t>
  </si>
  <si>
    <t>富永忠安</t>
  </si>
  <si>
    <t>小畠国明</t>
  </si>
  <si>
    <t>小畠永明</t>
  </si>
  <si>
    <t>四王天政孝</t>
  </si>
  <si>
    <t>四王天政実</t>
  </si>
  <si>
    <t>並河某</t>
  </si>
  <si>
    <t>並河宗隆</t>
  </si>
  <si>
    <t>並河易家</t>
  </si>
  <si>
    <t>十狐城</t>
  </si>
  <si>
    <t>とっこじょう</t>
  </si>
  <si>
    <t>並河宗為</t>
  </si>
  <si>
    <t>松田政近</t>
  </si>
  <si>
    <t>茶屋四郎次郎</t>
  </si>
  <si>
    <t>茶屋又四郎</t>
  </si>
  <si>
    <t>角倉了以</t>
  </si>
  <si>
    <t>角倉素庵</t>
  </si>
  <si>
    <t>今井宗久</t>
  </si>
  <si>
    <t>千利休</t>
  </si>
  <si>
    <t>津田宗及</t>
  </si>
  <si>
    <t>淀屋常安</t>
  </si>
  <si>
    <t>島井宗室</t>
  </si>
  <si>
    <t>大賀宗九</t>
  </si>
  <si>
    <t>神屋宗湛</t>
  </si>
  <si>
    <t>篠原一計</t>
  </si>
  <si>
    <t>三条公頼</t>
  </si>
  <si>
    <t>岡本牧西</t>
  </si>
  <si>
    <t>sourceClanId</t>
  </si>
  <si>
    <t>勢力</t>
  </si>
  <si>
    <t>targetClanId</t>
  </si>
  <si>
    <t>相手勢力</t>
  </si>
  <si>
    <t>relationType</t>
  </si>
  <si>
    <t>檜山城</t>
  </si>
  <si>
    <t>ひやまじょう</t>
  </si>
  <si>
    <t>敵対</t>
  </si>
  <si>
    <t>湊城</t>
  </si>
  <si>
    <t>みなとじょう</t>
  </si>
  <si>
    <t>支配</t>
  </si>
  <si>
    <t>普通</t>
  </si>
  <si>
    <t>山根城</t>
  </si>
  <si>
    <t>やまねじょう</t>
  </si>
  <si>
    <t>友好</t>
  </si>
  <si>
    <t>横手城</t>
  </si>
  <si>
    <t>よこてじょう</t>
  </si>
  <si>
    <t>同盟</t>
  </si>
  <si>
    <t>尾浦城</t>
  </si>
  <si>
    <t>おうらじょう</t>
  </si>
  <si>
    <t>true</t>
  </si>
  <si>
    <t>小国城</t>
  </si>
  <si>
    <t>おぐにじょう</t>
  </si>
  <si>
    <t>鮭延城</t>
  </si>
  <si>
    <t>さけのべじょう</t>
  </si>
  <si>
    <t>天童城</t>
  </si>
  <si>
    <t>てんどうじょう</t>
  </si>
  <si>
    <t>東禅寺城</t>
  </si>
  <si>
    <t>とうぜんじじょう</t>
  </si>
  <si>
    <t>中野城</t>
  </si>
  <si>
    <t>なかのじょう</t>
  </si>
  <si>
    <t>婚姻</t>
  </si>
  <si>
    <t>延沢城</t>
  </si>
  <si>
    <t>のべさわじょう</t>
  </si>
  <si>
    <t>山形城</t>
  </si>
  <si>
    <t>やまがたじょう</t>
  </si>
  <si>
    <t>米沢城</t>
  </si>
  <si>
    <t>よねざわじょう</t>
  </si>
  <si>
    <t>雑太城</t>
  </si>
  <si>
    <t>さわだじょう</t>
  </si>
  <si>
    <t>春日山城</t>
  </si>
  <si>
    <t>かすがやまじょう</t>
  </si>
  <si>
    <t>坂戸城</t>
  </si>
  <si>
    <t>さかどじょう</t>
  </si>
  <si>
    <t>新発田城</t>
  </si>
  <si>
    <t>しばたじょう</t>
  </si>
  <si>
    <t>本庄城</t>
  </si>
  <si>
    <t>ほんじょうじょう</t>
  </si>
  <si>
    <t>与板城</t>
  </si>
  <si>
    <t>よいたじょう</t>
  </si>
  <si>
    <t>魚津城</t>
  </si>
  <si>
    <t>うおづじょう</t>
  </si>
  <si>
    <t>富山城</t>
  </si>
  <si>
    <t>とやまじょう</t>
  </si>
  <si>
    <t>増山城</t>
  </si>
  <si>
    <t>ますやまじょう</t>
  </si>
  <si>
    <t>一乗谷城</t>
  </si>
  <si>
    <t>いちじょうだにじょう</t>
  </si>
  <si>
    <t>亥山城</t>
  </si>
  <si>
    <t>いやまじょう</t>
  </si>
  <si>
    <t>金ヶ崎城</t>
  </si>
  <si>
    <t>かながさきじょう</t>
  </si>
  <si>
    <t>椎名家</t>
  </si>
  <si>
    <t>北庄城</t>
  </si>
  <si>
    <t>きたのしょうじょう</t>
  </si>
  <si>
    <t>従属</t>
  </si>
  <si>
    <t>尾山御坊</t>
  </si>
  <si>
    <t>おやまごぼう</t>
  </si>
  <si>
    <t>大聖寺城</t>
  </si>
  <si>
    <t>だいしょうじじょう</t>
  </si>
  <si>
    <t>七尾城</t>
  </si>
  <si>
    <t>ななおじょう</t>
  </si>
  <si>
    <t>松波城</t>
  </si>
  <si>
    <t>まつなみじょう</t>
  </si>
  <si>
    <t>砕導山城</t>
  </si>
  <si>
    <t>さいちやまじょう</t>
  </si>
  <si>
    <t>後瀬山城</t>
  </si>
  <si>
    <t>のちせやまじょう</t>
  </si>
  <si>
    <t>岩殿山城</t>
  </si>
  <si>
    <t>いわどのやまじょう</t>
  </si>
  <si>
    <t>下山城</t>
  </si>
  <si>
    <t>しもやまじょう</t>
  </si>
  <si>
    <t>躑躅ヶ崎館</t>
  </si>
  <si>
    <t>つつじがさきやかた</t>
  </si>
  <si>
    <t>飯田城</t>
  </si>
  <si>
    <t>いいだじょう</t>
  </si>
  <si>
    <t>飯山城</t>
  </si>
  <si>
    <t>いいやまじょう</t>
  </si>
  <si>
    <t>海津城</t>
  </si>
  <si>
    <t>かいづじょう</t>
  </si>
  <si>
    <t>小諸城</t>
  </si>
  <si>
    <t>こもろじょう</t>
  </si>
  <si>
    <t>高遠城</t>
  </si>
  <si>
    <t>たかとおじょう</t>
  </si>
  <si>
    <t>戸石城</t>
  </si>
  <si>
    <t>といしじょう</t>
  </si>
  <si>
    <t>深志城</t>
  </si>
  <si>
    <t>ふかしじょう</t>
  </si>
  <si>
    <t>福島城</t>
  </si>
  <si>
    <t>ふくしまじょう</t>
  </si>
  <si>
    <t>沼田城</t>
  </si>
  <si>
    <t>ぬまたじょう</t>
  </si>
  <si>
    <t>厩橋城</t>
  </si>
  <si>
    <t>まやばしじょう</t>
  </si>
  <si>
    <t>箕輪城</t>
  </si>
  <si>
    <t>みのわじょう</t>
  </si>
  <si>
    <t>宇都宮城</t>
  </si>
  <si>
    <t>うつのみやじょう</t>
  </si>
  <si>
    <t>大田原城</t>
  </si>
  <si>
    <t>おおたわらじょう</t>
  </si>
  <si>
    <t>鹿沼城</t>
  </si>
  <si>
    <t>かぬまじょう</t>
  </si>
  <si>
    <t>唐沢山城</t>
  </si>
  <si>
    <t>からさわやまじょう</t>
  </si>
  <si>
    <t>烏山城</t>
  </si>
  <si>
    <t>からすやまじょう</t>
  </si>
  <si>
    <t>祇園城</t>
  </si>
  <si>
    <t>ぎおんじょう</t>
  </si>
  <si>
    <t>壬生城</t>
  </si>
  <si>
    <t>みぶじょう</t>
  </si>
  <si>
    <t>久留里城</t>
  </si>
  <si>
    <t>くるりじょう</t>
  </si>
  <si>
    <t>小西城</t>
  </si>
  <si>
    <t>こにしじょう</t>
  </si>
  <si>
    <t>頭領確認用</t>
  </si>
  <si>
    <t>万喜城</t>
  </si>
  <si>
    <t>まんぎじょう</t>
  </si>
  <si>
    <t>城名確認用</t>
  </si>
  <si>
    <t>maxSoldiers</t>
  </si>
  <si>
    <t>defaultTraining</t>
  </si>
  <si>
    <t>defaultMorale</t>
  </si>
  <si>
    <t>maxHorses</t>
  </si>
  <si>
    <t>maxGuns</t>
  </si>
  <si>
    <t>ideology</t>
  </si>
  <si>
    <t>networkTag</t>
  </si>
  <si>
    <t>daimyoRelations</t>
  </si>
  <si>
    <t>仁木家</t>
  </si>
  <si>
    <t>にっきけ</t>
  </si>
  <si>
    <t>地縁</t>
  </si>
  <si>
    <t>古河城</t>
  </si>
  <si>
    <t>18:友好:100|24:敵対:0</t>
  </si>
  <si>
    <t>こがじょう</t>
  </si>
  <si>
    <t>百地家</t>
  </si>
  <si>
    <t>ももちけ</t>
  </si>
  <si>
    <t>18:敵対:0|24:友好:100</t>
  </si>
  <si>
    <t>根来衆</t>
  </si>
  <si>
    <t>ねごろしゅう</t>
  </si>
  <si>
    <t>佐倉城</t>
  </si>
  <si>
    <t>さくらじょう</t>
  </si>
  <si>
    <t>鎌倉長尾家</t>
  </si>
  <si>
    <t>傭兵</t>
  </si>
  <si>
    <t>19:友好:100|21:友好:100|41:友好:90</t>
  </si>
  <si>
    <t>願証寺</t>
  </si>
  <si>
    <t>がんしょうじ</t>
  </si>
  <si>
    <t>宗教</t>
  </si>
  <si>
    <t>ikko</t>
  </si>
  <si>
    <t>19:友好:100|21:友好:100</t>
  </si>
  <si>
    <t>徳田家</t>
  </si>
  <si>
    <t>とくだけ</t>
  </si>
  <si>
    <t>2:敵対:0|7:敵対:0|19:友好:100|21:友好:100</t>
  </si>
  <si>
    <t>水野家</t>
  </si>
  <si>
    <t>みずのけ</t>
  </si>
  <si>
    <t>関宿城</t>
  </si>
  <si>
    <t>せきやどじょう</t>
  </si>
  <si>
    <t>1:友好:100|5:敵対:0</t>
  </si>
  <si>
    <t>さがらけ</t>
  </si>
  <si>
    <t>59:敵対:0</t>
  </si>
  <si>
    <t>甲賀衆</t>
  </si>
  <si>
    <t>こうがしゅう</t>
  </si>
  <si>
    <t>18:友好:90</t>
  </si>
  <si>
    <t>愛洲衆</t>
  </si>
  <si>
    <t>あいすしゅう</t>
  </si>
  <si>
    <t>森山城</t>
  </si>
  <si>
    <t>もりやまじょう</t>
  </si>
  <si>
    <t>32:友好:100</t>
  </si>
  <si>
    <t>窪田家</t>
  </si>
  <si>
    <t>くぼたけ</t>
  </si>
  <si>
    <t>服部家</t>
  </si>
  <si>
    <t>はっとりけ</t>
  </si>
  <si>
    <t>結城城</t>
  </si>
  <si>
    <t>ゆうきじょう</t>
  </si>
  <si>
    <t>伊賀衆</t>
  </si>
  <si>
    <t>いがしゅう</t>
  </si>
  <si>
    <t>風摩党</t>
  </si>
  <si>
    <t>ふうまとう</t>
  </si>
  <si>
    <t>4:友好:100</t>
  </si>
  <si>
    <t>羽茂家</t>
  </si>
  <si>
    <t>はもちけ</t>
  </si>
  <si>
    <t>小栗城</t>
  </si>
  <si>
    <t>おぐりじょう</t>
  </si>
  <si>
    <t>2:友好:90</t>
  </si>
  <si>
    <t>潟上家</t>
  </si>
  <si>
    <t>かたがみけ</t>
  </si>
  <si>
    <t>小田城</t>
  </si>
  <si>
    <t>おだじょう</t>
  </si>
  <si>
    <t>徳山家</t>
  </si>
  <si>
    <t>とくやまけ</t>
  </si>
  <si>
    <t>6:友好:70</t>
  </si>
  <si>
    <t>おがさわらけ</t>
  </si>
  <si>
    <t>土浦城</t>
  </si>
  <si>
    <t>つちうらじょう</t>
  </si>
  <si>
    <t>17:友好:100|20:友好:100</t>
  </si>
  <si>
    <t>志摩衆</t>
  </si>
  <si>
    <t>しましゅう</t>
  </si>
  <si>
    <t>舞鶴城</t>
  </si>
  <si>
    <t>まいづるじょう</t>
  </si>
  <si>
    <t>24:敵対:0</t>
  </si>
  <si>
    <t>摂津有馬家</t>
  </si>
  <si>
    <t>せっつありまけ</t>
  </si>
  <si>
    <t>水戸城</t>
  </si>
  <si>
    <t>みとじょう</t>
  </si>
  <si>
    <t>16:友好:90|20:友好:90</t>
  </si>
  <si>
    <t>塩屋家</t>
  </si>
  <si>
    <t>しおやけ</t>
  </si>
  <si>
    <t>2:友好:80|10:友好:90</t>
  </si>
  <si>
    <t>土肥家</t>
  </si>
  <si>
    <t>どいけ</t>
  </si>
  <si>
    <t>岡本城</t>
  </si>
  <si>
    <t>おかもとじょう</t>
  </si>
  <si>
    <t>2:友好:100</t>
  </si>
  <si>
    <t>川並衆</t>
  </si>
  <si>
    <t>かわなみしゅう</t>
  </si>
  <si>
    <t>1:友好:90</t>
  </si>
  <si>
    <t>赤木家</t>
  </si>
  <si>
    <t>あかぎけ</t>
  </si>
  <si>
    <t>岩槻城</t>
  </si>
  <si>
    <t>いわつきじょう</t>
  </si>
  <si>
    <t>高梨家</t>
  </si>
  <si>
    <t>たかなしけ</t>
  </si>
  <si>
    <t>2:友好:90|3:敵対:0</t>
  </si>
  <si>
    <t>由良家</t>
  </si>
  <si>
    <t>ゆらけ</t>
  </si>
  <si>
    <t>江戸城</t>
  </si>
  <si>
    <t>えどじょう</t>
  </si>
  <si>
    <t>4:友好:90|3:友好:90|4:友好:90</t>
  </si>
  <si>
    <t>岩松家→1548由良家</t>
  </si>
  <si>
    <t>大熊家</t>
  </si>
  <si>
    <t>おおくまけ</t>
  </si>
  <si>
    <t>柳生家</t>
  </si>
  <si>
    <t>やぎゅうけ</t>
  </si>
  <si>
    <t>9:友好:100</t>
  </si>
  <si>
    <t>望月家</t>
  </si>
  <si>
    <t>もちづきけ</t>
  </si>
  <si>
    <t>忍城</t>
  </si>
  <si>
    <t>おしじょう</t>
  </si>
  <si>
    <t>森田家</t>
  </si>
  <si>
    <t>もりたけ</t>
  </si>
  <si>
    <t>越智家</t>
  </si>
  <si>
    <t>おちけ</t>
  </si>
  <si>
    <t>河越城</t>
  </si>
  <si>
    <t>かわごえじょう</t>
  </si>
  <si>
    <t>9:友好:90</t>
  </si>
  <si>
    <t>宮郷衆</t>
  </si>
  <si>
    <t>みやごうしゅう</t>
  </si>
  <si>
    <t>八王子城</t>
  </si>
  <si>
    <t>20:敵対:30|41:友好:90</t>
  </si>
  <si>
    <t>はちおうじじょう</t>
  </si>
  <si>
    <t>野長瀬家</t>
  </si>
  <si>
    <t>のながせけ</t>
  </si>
  <si>
    <t>美作原田家</t>
  </si>
  <si>
    <t>みまさかはらだけ</t>
  </si>
  <si>
    <t>鉢形城</t>
  </si>
  <si>
    <t>はちがたじょう</t>
  </si>
  <si>
    <t>44:友好:90</t>
  </si>
  <si>
    <t>竹内家</t>
  </si>
  <si>
    <t>たけうちけ</t>
  </si>
  <si>
    <t>志知衆</t>
  </si>
  <si>
    <t>しちしゅう</t>
  </si>
  <si>
    <t>小田原城</t>
  </si>
  <si>
    <t>おだわらじょう</t>
  </si>
  <si>
    <t>白井長尾家</t>
  </si>
  <si>
    <t>中島家</t>
  </si>
  <si>
    <t>なかじまけ</t>
  </si>
  <si>
    <t>玉縄城</t>
  </si>
  <si>
    <t>たまわなじょう</t>
  </si>
  <si>
    <t>45:友好:90</t>
  </si>
  <si>
    <t>植木家</t>
  </si>
  <si>
    <t>うえきけ</t>
  </si>
  <si>
    <t>益田家</t>
  </si>
  <si>
    <t>ますだけ</t>
  </si>
  <si>
    <t>韮山城</t>
  </si>
  <si>
    <t>にらやまじょう</t>
  </si>
  <si>
    <t>25:友好:100</t>
  </si>
  <si>
    <t>阿曽沼家</t>
  </si>
  <si>
    <t>あそぬまけ</t>
  </si>
  <si>
    <t>興国寺城</t>
  </si>
  <si>
    <t>こうこくじじょう</t>
  </si>
  <si>
    <t>羽床家</t>
  </si>
  <si>
    <t>はゆかけ</t>
  </si>
  <si>
    <t>63:友好:90</t>
  </si>
  <si>
    <t>高原家</t>
  </si>
  <si>
    <t>たかはらけ</t>
  </si>
  <si>
    <t>駿府城</t>
  </si>
  <si>
    <t>すんぷじょう</t>
  </si>
  <si>
    <t>筑紫家</t>
  </si>
  <si>
    <t>つくしけ</t>
  </si>
  <si>
    <t>53:敵対:0|55:友好:100</t>
  </si>
  <si>
    <t>入来院家</t>
  </si>
  <si>
    <t>いりきいんけ</t>
  </si>
  <si>
    <t>犬居城</t>
  </si>
  <si>
    <t>いぬいじょう</t>
  </si>
  <si>
    <t>26:敵対:0</t>
  </si>
  <si>
    <t>北原家</t>
  </si>
  <si>
    <t>きたはらけ</t>
  </si>
  <si>
    <t>高天神城</t>
  </si>
  <si>
    <t>たかてんじんじょう</t>
  </si>
  <si>
    <t>26:友好:80|59:友好:80|60:敵対:0</t>
  </si>
  <si>
    <t>三田井家</t>
  </si>
  <si>
    <t>みたいけ</t>
  </si>
  <si>
    <t>曳馬城</t>
  </si>
  <si>
    <t>ひくまじょう</t>
  </si>
  <si>
    <t>26:敵対:30|53:友好:70|60:友好:100</t>
  </si>
  <si>
    <t>隈部家</t>
  </si>
  <si>
    <t>くまべけ</t>
  </si>
  <si>
    <t>岡崎城</t>
  </si>
  <si>
    <t>おかざきじょう</t>
  </si>
  <si>
    <t>53:敵対:10|54:友好:100</t>
  </si>
  <si>
    <t>興福寺</t>
  </si>
  <si>
    <t>こうふくじ</t>
  </si>
  <si>
    <t>長篠城</t>
  </si>
  <si>
    <t>ながしのじょう</t>
  </si>
  <si>
    <t>9:友好:100|20:敵対:30</t>
  </si>
  <si>
    <t>阿波足利家</t>
  </si>
  <si>
    <t>あしかがけ</t>
  </si>
  <si>
    <t>吉田城</t>
  </si>
  <si>
    <t>よしだじょう</t>
  </si>
  <si>
    <t>17:友好:100|20:友好:70</t>
  </si>
  <si>
    <t>後藤家</t>
  </si>
  <si>
    <t>ごとうけ</t>
  </si>
  <si>
    <t>犬山城</t>
  </si>
  <si>
    <t>いぬやまじょう</t>
  </si>
  <si>
    <t>54:友好:100|56:友好:70|57:敵対:0</t>
  </si>
  <si>
    <t>吉岡家</t>
  </si>
  <si>
    <t>よしおかけ</t>
  </si>
  <si>
    <t>清洲城</t>
  </si>
  <si>
    <t>きよすじょう</t>
  </si>
  <si>
    <t>17:友好:70</t>
  </si>
  <si>
    <t>鐘捲衆</t>
  </si>
  <si>
    <t>かねまきしゅう</t>
  </si>
  <si>
    <t>名古屋城</t>
  </si>
  <si>
    <t>なごやじょう</t>
  </si>
  <si>
    <t>7:友好:70</t>
  </si>
  <si>
    <t>羽川家</t>
  </si>
  <si>
    <t>はねかわけ</t>
  </si>
  <si>
    <t>鳴海城</t>
  </si>
  <si>
    <t>なるみじょう</t>
  </si>
  <si>
    <t>矢島家</t>
  </si>
  <si>
    <t>やじまけ</t>
  </si>
  <si>
    <t>86:友好:100</t>
  </si>
  <si>
    <t>吉藤城</t>
  </si>
  <si>
    <t>よしふじじょう</t>
  </si>
  <si>
    <t>寒河江家</t>
  </si>
  <si>
    <t>さがえけ</t>
  </si>
  <si>
    <t>89:敵対:30</t>
  </si>
  <si>
    <t>和田家</t>
  </si>
  <si>
    <t>安濃津城</t>
  </si>
  <si>
    <t>わだけ</t>
  </si>
  <si>
    <t>あのつじょう</t>
  </si>
  <si>
    <t>亀山城</t>
  </si>
  <si>
    <t>かめやまじょう</t>
  </si>
  <si>
    <t>31:友好:100</t>
  </si>
  <si>
    <t>山内家</t>
  </si>
  <si>
    <t>やまのうちけ</t>
  </si>
  <si>
    <t>霧山城</t>
  </si>
  <si>
    <t>きりやまじょう</t>
  </si>
  <si>
    <t>33:友好:100</t>
  </si>
  <si>
    <t>温井家</t>
  </si>
  <si>
    <t>ぬくいけ</t>
  </si>
  <si>
    <t>8:敵対:0|19:友好:100|21:友好:100</t>
  </si>
  <si>
    <t>赤星家</t>
  </si>
  <si>
    <t>あかほしけ</t>
  </si>
  <si>
    <t>長島城</t>
  </si>
  <si>
    <t>ながしまじょう</t>
  </si>
  <si>
    <t>筑前原田家</t>
  </si>
  <si>
    <t>ちくぜんはらだけ</t>
  </si>
  <si>
    <t>長野城</t>
  </si>
  <si>
    <t>ながのじょう</t>
  </si>
  <si>
    <t>来島衆</t>
  </si>
  <si>
    <t>くるしましゅう</t>
  </si>
  <si>
    <t>25:友好:85|49:友好:100</t>
  </si>
  <si>
    <t>因島衆</t>
  </si>
  <si>
    <t>いんのしましゅう</t>
  </si>
  <si>
    <t>波切城</t>
  </si>
  <si>
    <t>なきりじょう</t>
  </si>
  <si>
    <t>25:友好:100|49:友好:85</t>
  </si>
  <si>
    <t>滝野家</t>
  </si>
  <si>
    <t>たきのけ</t>
  </si>
  <si>
    <t>柏原城</t>
  </si>
  <si>
    <t>かしはらじょう</t>
  </si>
  <si>
    <t>寺崎家</t>
  </si>
  <si>
    <t>てらさきけ</t>
  </si>
  <si>
    <t>喰代城</t>
  </si>
  <si>
    <t>ほおじろじょう</t>
  </si>
  <si>
    <t>2:敵対:30|11:友好|85</t>
  </si>
  <si>
    <t>土気酒井家</t>
  </si>
  <si>
    <t>とけさかいけ</t>
  </si>
  <si>
    <t>東金酒井家</t>
  </si>
  <si>
    <t>とうがねさかいけ</t>
  </si>
  <si>
    <t>稲葉山城</t>
  </si>
  <si>
    <t>いなばやまじょう</t>
  </si>
  <si>
    <t>山川家</t>
  </si>
  <si>
    <t>やまかわけ</t>
  </si>
  <si>
    <t>岩村城</t>
  </si>
  <si>
    <t>いわむらじょう</t>
  </si>
  <si>
    <t>64:友好:100</t>
  </si>
  <si>
    <t>吉良家</t>
  </si>
  <si>
    <t>きらけ</t>
  </si>
  <si>
    <t>大垣城</t>
  </si>
  <si>
    <t>おおがきじょう</t>
  </si>
  <si>
    <t>5:友好:100</t>
  </si>
  <si>
    <t>大給家</t>
  </si>
  <si>
    <t>おぎゅうけ</t>
  </si>
  <si>
    <t>北方城</t>
  </si>
  <si>
    <t>きたかたじょう</t>
  </si>
  <si>
    <t>小畠家</t>
  </si>
  <si>
    <t>こばたけけ</t>
  </si>
  <si>
    <t>四王天家</t>
  </si>
  <si>
    <t>しおうてんけ</t>
  </si>
  <si>
    <t>郡上八幡城</t>
  </si>
  <si>
    <t>ぐじょうはちまんじょう</t>
  </si>
  <si>
    <t>曽根城</t>
  </si>
  <si>
    <t>そねじょう</t>
  </si>
  <si>
    <t>並河家</t>
  </si>
  <si>
    <t>なみかわけ</t>
  </si>
  <si>
    <t>帰雲城</t>
  </si>
  <si>
    <t>京町衆</t>
  </si>
  <si>
    <t>かえりくもじょう</t>
  </si>
  <si>
    <t>きょうまちしゅう</t>
  </si>
  <si>
    <t>商人</t>
  </si>
  <si>
    <t>堺町衆</t>
  </si>
  <si>
    <t>さかいまちしゅう</t>
  </si>
  <si>
    <t>高原諏訪城</t>
  </si>
  <si>
    <t>たかはらすわじょう</t>
  </si>
  <si>
    <t>博多町衆</t>
  </si>
  <si>
    <t>はかたまちしゅう</t>
  </si>
  <si>
    <t>松倉城</t>
  </si>
  <si>
    <t>まつくらじょう</t>
  </si>
  <si>
    <t>一向一揆</t>
  </si>
  <si>
    <t>いっこういっき</t>
  </si>
  <si>
    <t>今浜城</t>
  </si>
  <si>
    <t>いまはまじょう</t>
  </si>
  <si>
    <t>小谷城</t>
  </si>
  <si>
    <t>おだにじょう</t>
  </si>
  <si>
    <t>観音寺城</t>
  </si>
  <si>
    <t>かんのんじじょう</t>
  </si>
  <si>
    <t>朽木城</t>
  </si>
  <si>
    <t>くつきじょう</t>
  </si>
  <si>
    <t>佐和山城</t>
  </si>
  <si>
    <t>さわやまじょう</t>
  </si>
  <si>
    <t>多喜山城</t>
  </si>
  <si>
    <t>たきやまじょう</t>
  </si>
  <si>
    <t>壺笠山城</t>
  </si>
  <si>
    <t>つぼかさやまじょう</t>
  </si>
  <si>
    <t>日野城</t>
  </si>
  <si>
    <t>ひのじょう</t>
  </si>
  <si>
    <t>二条城</t>
  </si>
  <si>
    <t>にじょうじょう</t>
  </si>
  <si>
    <t>槇島城</t>
  </si>
  <si>
    <t>まきしまじょう</t>
  </si>
  <si>
    <t>信貴山城</t>
  </si>
  <si>
    <t>しぎさんじょう</t>
  </si>
  <si>
    <t>筒井城</t>
  </si>
  <si>
    <t>つついじょう</t>
  </si>
  <si>
    <t>飯盛山城</t>
  </si>
  <si>
    <t>いいもりやまじょう</t>
  </si>
  <si>
    <t>高屋城</t>
  </si>
  <si>
    <t>たかやじょう</t>
  </si>
  <si>
    <t>岸和田城</t>
  </si>
  <si>
    <t>きしわだじょう</t>
  </si>
  <si>
    <t>2:敵対:0|7:敵対:0|11:友好:90|19:友好:100|21:友好:100</t>
  </si>
  <si>
    <t>芥川山城</t>
  </si>
  <si>
    <t>あくたがわやまじょう</t>
  </si>
  <si>
    <t>石山御坊</t>
  </si>
  <si>
    <t>いしやまごぼう</t>
  </si>
  <si>
    <t>伊丹城</t>
  </si>
  <si>
    <t>いたみじょう</t>
  </si>
  <si>
    <t>雑賀城</t>
  </si>
  <si>
    <t>さいかじょう</t>
  </si>
  <si>
    <t>新宮城</t>
  </si>
  <si>
    <t>しんぐうじょう</t>
  </si>
  <si>
    <t>手取城</t>
  </si>
  <si>
    <t>てどりじょう</t>
  </si>
  <si>
    <t>clanId</t>
  </si>
  <si>
    <t>大名家名</t>
  </si>
  <si>
    <t>legionNo</t>
  </si>
  <si>
    <t>軍団</t>
  </si>
  <si>
    <t>commanderId</t>
  </si>
  <si>
    <t>軍団長名</t>
  </si>
  <si>
    <t>軍団長チェック</t>
  </si>
  <si>
    <t>洲本城</t>
  </si>
  <si>
    <t>すもとじょう</t>
  </si>
  <si>
    <t>荒木城</t>
  </si>
  <si>
    <t>あらきじょう</t>
  </si>
  <si>
    <t>シート</t>
  </si>
  <si>
    <t>区分</t>
  </si>
  <si>
    <t>説明</t>
  </si>
  <si>
    <t>scenario_info</t>
  </si>
  <si>
    <t>1560固有</t>
  </si>
  <si>
    <t>開始年月・開始カメラ等</t>
  </si>
  <si>
    <t>warriors_state</t>
  </si>
  <si>
    <t>所属・国衆所属・所在・忠誠・功績・軍師/隠居・官位・配偶者。名前/確認列は別シート参照</t>
  </si>
  <si>
    <t>princess_state</t>
  </si>
  <si>
    <t>嫁先・夫・status</t>
  </si>
  <si>
    <t>clans_state</t>
  </si>
  <si>
    <t>共通登録済み勢力の有効/無効・当主・威信等</t>
  </si>
  <si>
    <t>castles_state</t>
  </si>
  <si>
    <t>名称・読み・所属・城主・軍団・兵力/内政/物資など。共通側は地図スロット情報のみ</t>
  </si>
  <si>
    <t>diplomacy</t>
  </si>
  <si>
    <t>旧 initDiplomacy を1関係1行に展開。向きは元データどおり保持</t>
  </si>
  <si>
    <t>kunishuClan</t>
  </si>
  <si>
    <t>共通化しない。頭領名/城名の確認式は維持</t>
  </si>
  <si>
    <t>legions</t>
  </si>
  <si>
    <t>共通化しない。大名家名/軍団長名/チェック式は維持</t>
  </si>
  <si>
    <t>参照_*</t>
  </si>
  <si>
    <t>参照専用</t>
  </si>
  <si>
    <t>共通正本の編集用ミラー。ここは正本ではない。将来の分離/同期ツールで共通ファイルから更新する想定</t>
  </si>
  <si>
    <t>確認用列</t>
  </si>
  <si>
    <t>編集補助</t>
  </si>
  <si>
    <t>名前・所属・城名・配偶者・官位・代表者などは、各シートを参照する配列数式で自動表示。ID側を編集すると確認表示が追随する。</t>
  </si>
  <si>
    <t>黒井城</t>
  </si>
  <si>
    <t>くろいじょう</t>
  </si>
  <si>
    <t>籾井城</t>
  </si>
  <si>
    <t>もみいじょう</t>
  </si>
  <si>
    <t>八上城</t>
  </si>
  <si>
    <t>やがみじょう</t>
  </si>
  <si>
    <t>建部山城</t>
  </si>
  <si>
    <t>たけべやまじょう</t>
  </si>
  <si>
    <t>弓木城</t>
  </si>
  <si>
    <t>ゆみのきじょう</t>
  </si>
  <si>
    <t>芦屋城</t>
  </si>
  <si>
    <t>あしやじょう</t>
  </si>
  <si>
    <t>竹田城</t>
  </si>
  <si>
    <t>たけだじょう</t>
  </si>
  <si>
    <t>置塩城</t>
  </si>
  <si>
    <t>おしおじょう</t>
  </si>
  <si>
    <t>6|20</t>
  </si>
  <si>
    <t>神吉城</t>
  </si>
  <si>
    <t>かんきじょう</t>
  </si>
  <si>
    <t>御着城</t>
  </si>
  <si>
    <t>ごちゃくじょう</t>
  </si>
  <si>
    <t>長水山城</t>
  </si>
  <si>
    <t>ちょうずいさんじょう</t>
  </si>
  <si>
    <t>三木城</t>
  </si>
  <si>
    <t>みきじょう</t>
  </si>
  <si>
    <t>鹿野城</t>
  </si>
  <si>
    <t>しかのじょう</t>
  </si>
  <si>
    <t>鳥取城</t>
  </si>
  <si>
    <t>とっとりじょう</t>
  </si>
  <si>
    <t>羽衣石城</t>
  </si>
  <si>
    <t>うえしじょう</t>
  </si>
  <si>
    <t>亀尾山城</t>
  </si>
  <si>
    <t>かめおやまじょう</t>
  </si>
  <si>
    <t>八橋城</t>
  </si>
  <si>
    <t>やばせじょう</t>
  </si>
  <si>
    <t>月山富田城</t>
  </si>
  <si>
    <t>がっさんとだじょう</t>
  </si>
  <si>
    <t>三刀屋城</t>
  </si>
  <si>
    <t>みとやじょう</t>
  </si>
  <si>
    <t>高津城</t>
  </si>
  <si>
    <t>たかつじょう</t>
  </si>
  <si>
    <t>山吹城</t>
  </si>
  <si>
    <t>やまぶきじょう</t>
  </si>
  <si>
    <t>高田城</t>
  </si>
  <si>
    <t>たかだじょう</t>
  </si>
  <si>
    <t>三星城</t>
  </si>
  <si>
    <t>みつぼしじょう</t>
  </si>
  <si>
    <t>岡山城</t>
  </si>
  <si>
    <t>おかやまじょう</t>
  </si>
  <si>
    <t>天神山城</t>
  </si>
  <si>
    <t>てんじんやまじょう</t>
  </si>
  <si>
    <t>高松城</t>
  </si>
  <si>
    <t>たかまつじょう</t>
  </si>
  <si>
    <t>松山城</t>
  </si>
  <si>
    <t>まつやまじょう</t>
  </si>
  <si>
    <t>神辺城</t>
  </si>
  <si>
    <t>かんなべじょう</t>
  </si>
  <si>
    <t>比叡尾山城</t>
  </si>
  <si>
    <t>ひえびやまじょう</t>
  </si>
  <si>
    <t>鏡山城</t>
  </si>
  <si>
    <t>かがみやまじょう</t>
  </si>
  <si>
    <t>佐東銀山城</t>
  </si>
  <si>
    <t>さとうかなやまじょう</t>
  </si>
  <si>
    <t>日野山城</t>
  </si>
  <si>
    <t>ひのやまじょう</t>
  </si>
  <si>
    <t>吉田郡山城</t>
  </si>
  <si>
    <t>よしだこおりやまじょう</t>
  </si>
  <si>
    <t>高嶺城</t>
  </si>
  <si>
    <t>こうのみねじょう</t>
  </si>
  <si>
    <t>高森城</t>
  </si>
  <si>
    <t>たかもりじょう</t>
  </si>
  <si>
    <t>櫛崎城</t>
  </si>
  <si>
    <t>くしざきじょう</t>
  </si>
  <si>
    <t>城ノ腰山城</t>
  </si>
  <si>
    <t>じょうのこしやまじょう</t>
  </si>
  <si>
    <t>天霧城</t>
  </si>
  <si>
    <t>あまぎりじょう</t>
  </si>
  <si>
    <t>十河城</t>
  </si>
  <si>
    <t>そごうじょう</t>
  </si>
  <si>
    <t>牛岐城</t>
  </si>
  <si>
    <t>うしきじょう</t>
  </si>
  <si>
    <t>勝瑞城</t>
  </si>
  <si>
    <t>しょうずいじょう</t>
  </si>
  <si>
    <t>白地城</t>
  </si>
  <si>
    <t>はくちじょう</t>
  </si>
  <si>
    <t>安芸城</t>
  </si>
  <si>
    <t>あきじょう</t>
  </si>
  <si>
    <t>岡豊城</t>
  </si>
  <si>
    <t>おこうじょう</t>
  </si>
  <si>
    <t>香宗城</t>
  </si>
  <si>
    <t>こうそうじょう</t>
  </si>
  <si>
    <t>宿毛城</t>
  </si>
  <si>
    <t>すくもじょう</t>
  </si>
  <si>
    <t>中村御所</t>
  </si>
  <si>
    <t>なかむらごしょ</t>
  </si>
  <si>
    <t>本山城</t>
  </si>
  <si>
    <t>もとやまじょう</t>
  </si>
  <si>
    <t>大洲城</t>
  </si>
  <si>
    <t>おおずじょう</t>
  </si>
  <si>
    <t>大森城</t>
  </si>
  <si>
    <t>おおもりじょう</t>
  </si>
  <si>
    <t>大除城</t>
  </si>
  <si>
    <t>おおよけじょう</t>
  </si>
  <si>
    <t>黒瀬城</t>
  </si>
  <si>
    <t>くろせじょう</t>
  </si>
  <si>
    <t>能島城</t>
  </si>
  <si>
    <t>のしまじょう</t>
  </si>
  <si>
    <t>湯築城</t>
  </si>
  <si>
    <t>ゆづきじょう</t>
  </si>
  <si>
    <t>城井谷城</t>
  </si>
  <si>
    <t>きいだにじょう</t>
  </si>
  <si>
    <t>小倉城</t>
  </si>
  <si>
    <t>こくらじょう</t>
  </si>
  <si>
    <t>臼杵城</t>
  </si>
  <si>
    <t>うすきじょう</t>
  </si>
  <si>
    <t>岡城</t>
  </si>
  <si>
    <t>おかじょう</t>
  </si>
  <si>
    <t>杵築城</t>
  </si>
  <si>
    <t>きつきじょう</t>
  </si>
  <si>
    <t>角牟礼城</t>
  </si>
  <si>
    <t>つのむれじょう</t>
  </si>
  <si>
    <t>古処山城</t>
  </si>
  <si>
    <t>こしょさんじょう</t>
  </si>
  <si>
    <t>立花山城</t>
  </si>
  <si>
    <t>たちばなやまじょう</t>
  </si>
  <si>
    <t>柳川城</t>
  </si>
  <si>
    <t>やながわじょう</t>
  </si>
  <si>
    <t>諸：大熊家</t>
  </si>
  <si>
    <t>玖島城</t>
  </si>
  <si>
    <t>くしまじょう</t>
  </si>
  <si>
    <t>佐嘉城</t>
  </si>
  <si>
    <t>さがじょう</t>
  </si>
  <si>
    <t>獅子ヶ城</t>
  </si>
  <si>
    <t>ししがじょう</t>
  </si>
  <si>
    <t>須古城</t>
  </si>
  <si>
    <t>すこじょう</t>
  </si>
  <si>
    <t>勢福寺城</t>
  </si>
  <si>
    <t>せいふくじじょう</t>
  </si>
  <si>
    <t>日野江城</t>
  </si>
  <si>
    <t>ひのえじょう</t>
  </si>
  <si>
    <t>平戸城</t>
  </si>
  <si>
    <t>ひらどじょう</t>
  </si>
  <si>
    <t>岩尾城</t>
  </si>
  <si>
    <t>いわおじょう</t>
  </si>
  <si>
    <t>隈本城</t>
  </si>
  <si>
    <t>くまもとじょう</t>
  </si>
  <si>
    <t>人吉城</t>
  </si>
  <si>
    <t>ひとよしじょう</t>
  </si>
  <si>
    <t>古麓城</t>
  </si>
  <si>
    <t>ふるふもとじょう</t>
  </si>
  <si>
    <t>縣城</t>
  </si>
  <si>
    <t>あがたじょう</t>
  </si>
  <si>
    <t>飫肥城</t>
  </si>
  <si>
    <t>おびじょう</t>
  </si>
  <si>
    <t>加久藤城</t>
  </si>
  <si>
    <t>かくとうじょう</t>
  </si>
  <si>
    <t>高城</t>
  </si>
  <si>
    <t>たかじょう</t>
  </si>
  <si>
    <t>都於郡城</t>
  </si>
  <si>
    <t>とのこおりじょう</t>
  </si>
  <si>
    <t>都之城</t>
  </si>
  <si>
    <t>みやこのじょう</t>
  </si>
  <si>
    <t>内城</t>
  </si>
  <si>
    <t>うちじょう</t>
  </si>
  <si>
    <t>土矢倉城</t>
  </si>
  <si>
    <t>つちやぐらじょう</t>
  </si>
  <si>
    <t>平佐城</t>
  </si>
  <si>
    <t>ひらさじょう</t>
  </si>
  <si>
    <t>赤尾木城</t>
  </si>
  <si>
    <t>あかおぎじょう</t>
  </si>
  <si>
    <t>加治木城</t>
  </si>
  <si>
    <t>かじきじょう</t>
  </si>
  <si>
    <t>高山城</t>
  </si>
  <si>
    <t>こうやまじょう</t>
  </si>
  <si>
    <t>垂水城</t>
  </si>
  <si>
    <t>たるみずじょう</t>
  </si>
  <si>
    <t>亀丘城</t>
  </si>
  <si>
    <t>かめのおじょう</t>
  </si>
  <si>
    <t>厳原城</t>
  </si>
  <si>
    <t>いずはらじょう</t>
  </si>
  <si>
    <t>斎藤家</t>
  </si>
  <si>
    <t>能登畠山家</t>
  </si>
  <si>
    <t>諸：興福寺</t>
  </si>
  <si>
    <t>岩村遠山家</t>
  </si>
  <si>
    <t>飯羽間遠山家</t>
  </si>
  <si>
    <t>苗木遠山家</t>
  </si>
  <si>
    <t>明知遠山家</t>
  </si>
  <si>
    <t>丹後一色家</t>
  </si>
  <si>
    <t>酒井家</t>
  </si>
  <si>
    <t>矢代酒井家</t>
  </si>
  <si>
    <t>初田酒井家</t>
  </si>
  <si>
    <t>栗栖野酒井家</t>
  </si>
  <si>
    <t>由井酒井家</t>
  </si>
  <si>
    <t>利神別所家</t>
  </si>
  <si>
    <t>1|25</t>
  </si>
  <si>
    <t>足利家興福寺</t>
  </si>
  <si>
    <t>足利家阿波</t>
  </si>
  <si>
    <t>蒲生党</t>
  </si>
  <si>
    <t>諸：東家</t>
  </si>
  <si>
    <t>安芸吉川家</t>
  </si>
  <si>
    <t>安芸吉川</t>
  </si>
  <si>
    <t>竹原小早川家</t>
  </si>
  <si>
    <t>小早川家</t>
  </si>
  <si>
    <t>石見吉川家</t>
  </si>
  <si>
    <t>吉川家</t>
  </si>
  <si>
    <t>沼田小早川家</t>
  </si>
  <si>
    <t>豊洲家</t>
  </si>
  <si>
    <t>相州家</t>
  </si>
  <si>
    <t>垂水家</t>
  </si>
  <si>
    <t>佐土原家</t>
  </si>
  <si>
    <t>薩州家</t>
  </si>
  <si>
    <t>本郷家</t>
  </si>
  <si>
    <t>下野宇都宮家</t>
  </si>
  <si>
    <t>佐竹南家</t>
  </si>
  <si>
    <t>佐竹北家</t>
  </si>
  <si>
    <t>佐竹東家</t>
  </si>
  <si>
    <t>若狭武田家</t>
  </si>
  <si>
    <t>因幡山名家</t>
  </si>
  <si>
    <t>但馬山名家</t>
  </si>
  <si>
    <t>黒田家</t>
  </si>
  <si>
    <t>畠山金吾家</t>
  </si>
  <si>
    <t>総州畠山家</t>
  </si>
  <si>
    <t>尾州畠山家</t>
  </si>
  <si>
    <t>伊予宇都宮家</t>
  </si>
  <si>
    <t>諸：後藤家</t>
  </si>
  <si>
    <t>石井家</t>
  </si>
  <si>
    <t>石井長男家</t>
  </si>
  <si>
    <t>石井次男家</t>
  </si>
  <si>
    <t>鍋島家</t>
  </si>
  <si>
    <t>波多家</t>
  </si>
  <si>
    <t>諸：相良家</t>
  </si>
  <si>
    <t>八戸家</t>
  </si>
  <si>
    <t>七戸家</t>
  </si>
  <si>
    <t>九戸家</t>
  </si>
  <si>
    <t>高水寺斯波家</t>
  </si>
  <si>
    <t>千徳家</t>
  </si>
  <si>
    <t>南部千徳家</t>
  </si>
  <si>
    <t>安東宗家</t>
  </si>
  <si>
    <t>湊安東家</t>
  </si>
  <si>
    <t>下国家</t>
  </si>
  <si>
    <t>安東家庶流</t>
  </si>
  <si>
    <t>白河結城家</t>
  </si>
  <si>
    <t>大塚宗家</t>
  </si>
  <si>
    <t>大塚庶流</t>
  </si>
  <si>
    <t>古河家</t>
  </si>
  <si>
    <t>小弓足利家</t>
  </si>
  <si>
    <t>上条上杉家</t>
  </si>
  <si>
    <t>細川京兆家</t>
  </si>
  <si>
    <t>細川讃州家</t>
  </si>
  <si>
    <t>細川典厩家</t>
  </si>
  <si>
    <t>細川和泉家</t>
  </si>
  <si>
    <t>能島村上家</t>
  </si>
  <si>
    <t>扇谷上杉家</t>
  </si>
  <si>
    <t>津軽千徳家</t>
  </si>
  <si>
    <t>久松松平家</t>
  </si>
  <si>
    <t>雅楽頭酒井家</t>
  </si>
  <si>
    <t>本多宗家</t>
  </si>
  <si>
    <t>本多重次家</t>
  </si>
  <si>
    <t>本多正信家</t>
  </si>
  <si>
    <t>本多豊後守家</t>
  </si>
  <si>
    <t>宮石松平家</t>
  </si>
  <si>
    <t>長沢松平家</t>
  </si>
  <si>
    <t>浪人</t>
  </si>
  <si>
    <t>諸：仁木家</t>
  </si>
  <si>
    <t>諸：百地家</t>
  </si>
  <si>
    <t>諸：根来衆</t>
  </si>
  <si>
    <t>諸：徳田家</t>
  </si>
  <si>
    <t>諸：水野家</t>
  </si>
  <si>
    <t>諸：甲賀衆</t>
  </si>
  <si>
    <t>諸：愛洲衆</t>
  </si>
  <si>
    <t>諸：窪田家</t>
  </si>
  <si>
    <t>諸：服部家</t>
  </si>
  <si>
    <t>諸：伊賀衆</t>
  </si>
  <si>
    <t>諸：風摩党</t>
  </si>
  <si>
    <t>諸：羽茂家</t>
  </si>
  <si>
    <t>諸：潟上家</t>
  </si>
  <si>
    <t>諸：徳山家</t>
  </si>
  <si>
    <t>諸：志摩衆</t>
  </si>
  <si>
    <t>諸：播磨国</t>
  </si>
  <si>
    <t>諸：播磨有馬家</t>
  </si>
  <si>
    <t>諸：塩屋家</t>
  </si>
  <si>
    <t>諸：土肥家</t>
  </si>
  <si>
    <t>諸：川並衆</t>
  </si>
  <si>
    <t>諸：赤木家</t>
  </si>
  <si>
    <t>諸：高梨家</t>
  </si>
  <si>
    <t>諸：岩松家</t>
  </si>
  <si>
    <t>諸：由良家</t>
  </si>
  <si>
    <t>諸：柳生家</t>
  </si>
  <si>
    <t>諸：望月家</t>
  </si>
  <si>
    <t>諸：森田家</t>
  </si>
  <si>
    <t>諸：越智家</t>
  </si>
  <si>
    <t>諸：宮郷衆</t>
  </si>
  <si>
    <t>諸：野長瀬家</t>
  </si>
  <si>
    <t>諸：原田美作家</t>
  </si>
  <si>
    <t>諸：竹内家</t>
  </si>
  <si>
    <t>諸：志知衆</t>
  </si>
  <si>
    <t>諸：中島家</t>
  </si>
  <si>
    <t>諸：植木家</t>
  </si>
  <si>
    <t>諸：益田家</t>
  </si>
  <si>
    <t>諸：阿曽沼家</t>
  </si>
  <si>
    <t>諸：羽床家</t>
  </si>
  <si>
    <t>諸：高原家</t>
  </si>
  <si>
    <t>諸：筑紫家</t>
  </si>
  <si>
    <t>諸：入来院家</t>
  </si>
  <si>
    <t>諸：北原家</t>
  </si>
  <si>
    <t>諸：三田井家</t>
  </si>
  <si>
    <t>諸：隈部家</t>
  </si>
  <si>
    <t>諸：吉岡家</t>
  </si>
  <si>
    <t>諸：鐘捲衆</t>
  </si>
  <si>
    <t>諸：羽川家</t>
  </si>
  <si>
    <t>諸：矢島家</t>
  </si>
  <si>
    <t>諸：寒河江家</t>
  </si>
  <si>
    <t>諸：和田家</t>
  </si>
  <si>
    <t>諸：山内家</t>
  </si>
  <si>
    <t>加賀畠山家</t>
  </si>
  <si>
    <t>諸：赤星家</t>
  </si>
  <si>
    <t>諸：原田筑前家</t>
  </si>
  <si>
    <t>来島村上家</t>
  </si>
  <si>
    <t>因島村上家</t>
  </si>
  <si>
    <t>諸：滝野家</t>
  </si>
  <si>
    <t>諸：寺崎家</t>
  </si>
  <si>
    <t>諸：酒井家</t>
  </si>
  <si>
    <t>諸：土気酒井家</t>
  </si>
  <si>
    <t>諸：東金酒井家</t>
  </si>
  <si>
    <t>諸：山川家</t>
  </si>
  <si>
    <t>諸：吉良家</t>
  </si>
  <si>
    <t>諸：小畠家</t>
  </si>
  <si>
    <t>諸：四王天家</t>
  </si>
  <si>
    <t>諸：並河家</t>
  </si>
  <si>
    <t>諸：京町衆</t>
  </si>
  <si>
    <t>諸：堺町衆</t>
  </si>
  <si>
    <t>諸：博多町衆</t>
  </si>
  <si>
    <t>親武将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</si>
</sst>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b/>
      <sz val="11.0"/>
      <color rgb="FFFFFFFF"/>
      <name val="Carlito"/>
    </font>
    <font>
      <color theme="1"/>
      <name val="Carlito"/>
    </font>
    <font>
      <sz val="11.0"/>
      <color theme="1"/>
      <name val="Carlito"/>
    </font>
    <font>
      <sz val="11.0"/>
      <color rgb="FFFFFFFF"/>
      <name val="Carlito"/>
    </font>
    <font>
      <color theme="1"/>
      <name val="Carlito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</border>
  </borders>
  <cellStyleXfs count="1">
    <xf borderId="0" fillId="0" fontId="0" numFmtId="0" applyAlignment="1" applyFont="1"/>
  </cellStyleXfs>
  <cellXfs count="2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center" shrinkToFit="0" vertical="center" wrapText="1"/>
    </xf>
    <xf borderId="0" fillId="0" fontId="2" numFmtId="0" xfId="0" applyFont="1"/>
    <xf borderId="1" fillId="0" fontId="2" numFmtId="0" xfId="0" applyBorder="1" applyFont="1"/>
    <xf borderId="1" fillId="2" fontId="1" numFmtId="0" xfId="0" applyAlignment="1" applyBorder="1" applyFill="1" applyFont="1">
      <alignment horizontal="center" readingOrder="0" shrinkToFit="0" vertical="center" wrapText="1"/>
    </xf>
    <xf borderId="2" fillId="2" fontId="1" numFmtId="0" xfId="0" applyAlignment="1" applyBorder="1" applyFill="1" applyFont="1">
      <alignment horizontal="center" shrinkToFit="0" vertical="center" wrapText="1"/>
    </xf>
    <xf borderId="3" fillId="2" fontId="1" numFmtId="0" xfId="0" applyAlignment="1" applyBorder="1" applyFill="1" applyFont="1">
      <alignment horizontal="center" shrinkToFit="0" vertical="center" wrapText="1"/>
    </xf>
    <xf borderId="1" fillId="0" fontId="3" numFmtId="0" xfId="0" applyAlignment="1" applyBorder="1" applyFont="1">
      <alignment readingOrder="0"/>
    </xf>
    <xf borderId="1" fillId="0" fontId="3" numFmtId="0" xfId="0" applyBorder="1" applyFont="1"/>
    <xf borderId="2" fillId="0" fontId="2" numFmtId="0" xfId="0" applyBorder="1" applyFont="1"/>
    <xf borderId="3" fillId="3" fontId="3" numFmtId="0" xfId="0" applyBorder="1" applyFill="1" applyFont="1"/>
    <xf borderId="1" fillId="3" fontId="3" numFmtId="0" xfId="0" applyBorder="1" applyFill="1" applyFont="1"/>
    <xf borderId="1" fillId="2" fontId="4" numFmtId="0" xfId="0" applyAlignment="1" applyBorder="1" applyFill="1" applyFont="1">
      <alignment horizontal="center" shrinkToFit="0" vertical="center" wrapText="1"/>
    </xf>
    <xf borderId="2" fillId="3" fontId="3" numFmtId="0" xfId="0" applyBorder="1" applyFill="1" applyFont="1"/>
    <xf borderId="3" fillId="0" fontId="2" numFmtId="0" xfId="0" applyBorder="1" applyFont="1"/>
    <xf borderId="3" fillId="4" fontId="2" numFmtId="0" xfId="0" applyBorder="1" applyFill="1" applyFont="1"/>
    <xf borderId="2" fillId="4" fontId="2" numFmtId="0" xfId="0" applyBorder="1" applyFill="1" applyFont="1"/>
    <xf borderId="3" fillId="5" fontId="2" numFmtId="0" xfId="0" applyBorder="1" applyFill="1" applyFont="1"/>
    <xf borderId="2" fillId="5" fontId="2" numFmtId="0" xfId="0" applyBorder="1" applyFill="1" applyFont="1"/>
    <xf borderId="0" fillId="0" fontId="2" numFmtId="0" xfId="0" applyAlignment="1" applyFont="1">
      <alignment horizontal="center"/>
    </xf>
    <xf borderId="1" fillId="0" fontId="2" numFmtId="0" xfId="0" applyAlignment="1" applyBorder="1" applyFont="1">
      <alignment horizontal="left"/>
    </xf>
    <xf borderId="0" fillId="0" fontId="2" numFmtId="0" xfId="0" applyAlignment="1" applyFont="1">
      <alignment horizontal="left"/>
    </xf>
    <xf borderId="1" fillId="0" fontId="2" numFmtId="0" xfId="0" applyAlignment="1" applyBorder="1" applyFont="1">
      <alignment readingOrder="0"/>
    </xf>
    <xf borderId="2" fillId="0" fontId="2" numFmtId="0" xfId="0" applyAlignment="1" applyBorder="1" applyFont="1">
      <alignment readingOrder="0"/>
    </xf>
    <xf borderId="0" fillId="2" fontId="1" numFmtId="0" xfId="0" applyAlignment="1" applyFill="1" applyFont="1">
      <alignment shrinkToFit="0" wrapText="1"/>
    </xf>
    <xf borderId="0" fillId="0" fontId="3" numFmtId="0" xfId="0" applyAlignment="1" applyFont="1">
      <alignment shrinkToFit="0" wrapText="1"/>
    </xf>
    <xf borderId="4" fillId="0" fontId="5" numFmtId="0" xfId="0" applyBorder="1" applyFont="1"/>
  </cellXfs>
  <cellStyles count="1">
    <cellStyle xfId="0" name="Normal" builtinId="0"/>
  </cellStyles>
  <dxfs count="1">
    <dxf>
      <font/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18" Type="http://customschemas.google.com/relationships/workbookmetadata" Target="metadata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8.0"/>
    <col customWidth="1" min="3" max="3" width="34.0"/>
    <col customWidth="1" min="4" max="26" width="8.63"/>
  </cols>
  <sheetData>
    <row r="1">
      <c r="A1" s="1" t="s">
        <v>0</v>
      </c>
      <c r="B1" s="1" t="s">
        <v>2</v>
      </c>
      <c r="C1" s="1" t="s">
        <v>3</v>
      </c>
    </row>
    <row r="2">
      <c r="A2" s="3" t="s">
        <v>4</v>
      </c>
      <c r="B2" s="3" t="inlineStr">
        <is>
          <t>1570_anegawa</t>
        </is>
      </c>
      <c r="C2" s="3" t="s">
        <v>7</v>
      </c>
    </row>
    <row r="3">
      <c r="A3" s="3" t="s">
        <v>8</v>
      </c>
      <c r="B3" s="3" t="inlineStr">
        <is>
          <t>1570年 姉川の戦い</t>
        </is>
      </c>
      <c r="C3" s="3" t="s">
        <v>10</v>
      </c>
    </row>
    <row r="4">
      <c r="A4" s="3" t="s">
        <v>11</v>
      </c>
      <c r="B4" s="3">
        <v>1570</v>
      </c>
      <c r="C4" s="3" t="s">
        <v>13</v>
      </c>
    </row>
    <row r="5">
      <c r="A5" s="3" t="s">
        <v>15</v>
      </c>
      <c r="B5" s="3">
        <v>5</v>
      </c>
      <c r="C5" s="3" t="s">
        <v>16</v>
      </c>
    </row>
    <row r="6">
      <c r="A6" s="3" t="s">
        <v>18</v>
      </c>
      <c r="B6" s="3" t="inlineStr">
        <is>
          <t>元亀元年五月。金ヶ崎から撤退した織田信長に対し、浅井長政は朝倉義景と結び抗戦の構えを固めた。畿内では足利義昭を奉じる織田方と三好勢力がせめぎ合い、東海では今川氏が没落して徳川・武田が版図を広げる。姉川決戦を目前に、各地の勢力図は大きく動き始めている。</t>
        </is>
      </c>
      <c r="C6" s="3" t="s">
        <v>21</v>
      </c>
    </row>
    <row r="7">
      <c r="A7" s="3" t="s">
        <v>23</v>
      </c>
      <c r="B7" s="3">
        <v>28</v>
      </c>
      <c r="C7" s="3" t="s">
        <v>24</v>
      </c>
    </row>
    <row r="8">
      <c r="A8" s="3" t="s">
        <v>26</v>
      </c>
      <c r="B8" s="3">
        <v>28</v>
      </c>
      <c r="C8" s="3" t="s">
        <v>24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8.0"/>
    <col customWidth="1" min="3" max="26" width="8.63"/>
  </cols>
  <sheetData>
    <row r="1">
      <c r="A1" s="2" t="s">
        <v>1</v>
      </c>
      <c r="B1" s="2" t="s">
        <v>5</v>
      </c>
    </row>
    <row r="2">
      <c r="A2" s="4">
        <v>1001001.0</v>
      </c>
      <c r="B2" s="4" t="s">
        <v>12</v>
      </c>
    </row>
    <row r="3">
      <c r="A3" s="4">
        <v>1001002.0</v>
      </c>
      <c r="B3" s="4" t="s">
        <v>14</v>
      </c>
    </row>
    <row r="4">
      <c r="A4" s="4">
        <v>1001003.0</v>
      </c>
      <c r="B4" s="4" t="s">
        <v>17</v>
      </c>
    </row>
    <row r="5">
      <c r="A5" s="4">
        <v>1001004.0</v>
      </c>
      <c r="B5" s="4" t="s">
        <v>19</v>
      </c>
    </row>
    <row r="6">
      <c r="A6" s="4">
        <v>1001005.0</v>
      </c>
      <c r="B6" s="4" t="s">
        <v>22</v>
      </c>
    </row>
    <row r="7">
      <c r="A7" s="4">
        <v>1001006.0</v>
      </c>
      <c r="B7" s="4" t="s">
        <v>25</v>
      </c>
    </row>
    <row r="8">
      <c r="A8" s="4">
        <v>1001007.0</v>
      </c>
      <c r="B8" s="4" t="s">
        <v>27</v>
      </c>
    </row>
    <row r="9">
      <c r="A9" s="4">
        <v>1001008.0</v>
      </c>
      <c r="B9" s="4" t="s">
        <v>28</v>
      </c>
    </row>
    <row r="10">
      <c r="A10" s="4">
        <v>1001009.0</v>
      </c>
      <c r="B10" s="4" t="s">
        <v>29</v>
      </c>
    </row>
    <row r="11">
      <c r="A11" s="4">
        <v>1001010.0</v>
      </c>
      <c r="B11" s="4" t="s">
        <v>30</v>
      </c>
    </row>
    <row r="12">
      <c r="A12" s="4">
        <v>1001011.0</v>
      </c>
      <c r="B12" s="4" t="s">
        <v>31</v>
      </c>
    </row>
    <row r="13">
      <c r="A13" s="4">
        <v>1001012.0</v>
      </c>
      <c r="B13" s="4" t="s">
        <v>32</v>
      </c>
    </row>
    <row r="14">
      <c r="A14" s="4">
        <v>1001013.0</v>
      </c>
      <c r="B14" s="4" t="s">
        <v>33</v>
      </c>
    </row>
    <row r="15">
      <c r="A15" s="4">
        <v>1001014.0</v>
      </c>
      <c r="B15" s="4" t="s">
        <v>34</v>
      </c>
    </row>
    <row r="16">
      <c r="A16" s="4">
        <v>1001015.0</v>
      </c>
      <c r="B16" s="4" t="s">
        <v>35</v>
      </c>
    </row>
    <row r="17">
      <c r="A17" s="4">
        <v>1001016.0</v>
      </c>
      <c r="B17" s="4" t="s">
        <v>36</v>
      </c>
    </row>
    <row r="18">
      <c r="A18" s="4">
        <v>1001017.0</v>
      </c>
      <c r="B18" s="4" t="s">
        <v>37</v>
      </c>
    </row>
    <row r="19">
      <c r="A19" s="4">
        <v>1001018.0</v>
      </c>
      <c r="B19" s="4" t="s">
        <v>38</v>
      </c>
    </row>
    <row r="20">
      <c r="A20" s="4">
        <v>1001019.0</v>
      </c>
      <c r="B20" s="4" t="s">
        <v>39</v>
      </c>
    </row>
    <row r="21" ht="15.75" customHeight="1">
      <c r="A21" s="4">
        <v>1001020.0</v>
      </c>
      <c r="B21" s="4" t="s">
        <v>40</v>
      </c>
    </row>
    <row r="22" ht="15.75" customHeight="1">
      <c r="A22" s="4">
        <v>1001021.0</v>
      </c>
      <c r="B22" s="4" t="s">
        <v>41</v>
      </c>
    </row>
    <row r="23" ht="15.75" customHeight="1">
      <c r="A23" s="4">
        <v>1001022.0</v>
      </c>
      <c r="B23" s="4" t="s">
        <v>42</v>
      </c>
    </row>
    <row r="24" ht="15.75" customHeight="1">
      <c r="A24" s="4">
        <v>1001023.0</v>
      </c>
      <c r="B24" s="4" t="s">
        <v>43</v>
      </c>
    </row>
    <row r="25" ht="15.75" customHeight="1">
      <c r="A25" s="4">
        <v>1001024.0</v>
      </c>
      <c r="B25" s="4" t="s">
        <v>44</v>
      </c>
    </row>
    <row r="26" ht="15.75" customHeight="1">
      <c r="A26" s="4">
        <v>1001025.0</v>
      </c>
      <c r="B26" s="4" t="s">
        <v>45</v>
      </c>
    </row>
    <row r="27" ht="15.75" customHeight="1">
      <c r="A27" s="4">
        <v>1001026.0</v>
      </c>
      <c r="B27" s="4" t="s">
        <v>46</v>
      </c>
    </row>
    <row r="28" ht="15.75" customHeight="1">
      <c r="A28" s="4">
        <v>1001027.0</v>
      </c>
      <c r="B28" s="4" t="s">
        <v>47</v>
      </c>
    </row>
    <row r="29" ht="15.75" customHeight="1">
      <c r="A29" s="4">
        <v>1001028.0</v>
      </c>
      <c r="B29" s="4" t="s">
        <v>49</v>
      </c>
    </row>
    <row r="30" ht="15.75" customHeight="1">
      <c r="A30" s="4">
        <v>1001029.0</v>
      </c>
      <c r="B30" s="4" t="s">
        <v>50</v>
      </c>
    </row>
    <row r="31" ht="15.75" customHeight="1">
      <c r="A31" s="4">
        <v>1001030.0</v>
      </c>
      <c r="B31" s="4" t="s">
        <v>52</v>
      </c>
    </row>
    <row r="32" ht="15.75" customHeight="1">
      <c r="A32" s="4">
        <v>1001031.0</v>
      </c>
      <c r="B32" s="4" t="s">
        <v>54</v>
      </c>
    </row>
    <row r="33" ht="15.75" customHeight="1">
      <c r="A33" s="4">
        <v>1001032.0</v>
      </c>
      <c r="B33" s="4" t="s">
        <v>55</v>
      </c>
    </row>
    <row r="34" ht="15.75" customHeight="1">
      <c r="A34" s="4">
        <v>1001033.0</v>
      </c>
      <c r="B34" s="4" t="s">
        <v>57</v>
      </c>
    </row>
    <row r="35" ht="15.75" customHeight="1">
      <c r="A35" s="4">
        <v>1001034.0</v>
      </c>
      <c r="B35" s="4" t="s">
        <v>59</v>
      </c>
    </row>
    <row r="36" ht="15.75" customHeight="1">
      <c r="A36" s="4">
        <v>1001035.0</v>
      </c>
      <c r="B36" s="4" t="s">
        <v>61</v>
      </c>
    </row>
    <row r="37" ht="15.75" customHeight="1">
      <c r="A37" s="4">
        <v>1001036.0</v>
      </c>
      <c r="B37" s="4" t="s">
        <v>63</v>
      </c>
    </row>
    <row r="38" ht="15.75" customHeight="1">
      <c r="A38" s="4">
        <v>1001037.0</v>
      </c>
      <c r="B38" s="4" t="s">
        <v>64</v>
      </c>
    </row>
    <row r="39" ht="15.75" customHeight="1">
      <c r="A39" s="4">
        <v>1001038.0</v>
      </c>
      <c r="B39" s="4" t="s">
        <v>66</v>
      </c>
    </row>
    <row r="40" ht="15.75" customHeight="1">
      <c r="A40" s="4">
        <v>1001039.0</v>
      </c>
      <c r="B40" s="4" t="s">
        <v>67</v>
      </c>
    </row>
    <row r="41" ht="15.75" customHeight="1">
      <c r="A41" s="4">
        <v>1001040.0</v>
      </c>
      <c r="B41" s="4" t="s">
        <v>69</v>
      </c>
    </row>
    <row r="42" ht="15.75" customHeight="1">
      <c r="A42" s="4">
        <v>1001041.0</v>
      </c>
      <c r="B42" s="4" t="s">
        <v>71</v>
      </c>
    </row>
    <row r="43" ht="15.75" customHeight="1">
      <c r="A43" s="4">
        <v>1001042.0</v>
      </c>
      <c r="B43" s="4" t="s">
        <v>73</v>
      </c>
    </row>
    <row r="44" ht="15.75" customHeight="1">
      <c r="A44" s="4">
        <v>1001043.0</v>
      </c>
      <c r="B44" s="4" t="s">
        <v>75</v>
      </c>
    </row>
    <row r="45" ht="15.75" customHeight="1">
      <c r="A45" s="4">
        <v>1001044.0</v>
      </c>
      <c r="B45" s="4" t="s">
        <v>77</v>
      </c>
    </row>
    <row r="46" ht="15.75" customHeight="1">
      <c r="A46" s="4">
        <v>1001045.0</v>
      </c>
      <c r="B46" s="4" t="s">
        <v>79</v>
      </c>
    </row>
    <row r="47" ht="15.75" customHeight="1">
      <c r="A47" s="4">
        <v>1001046.0</v>
      </c>
      <c r="B47" s="4" t="s">
        <v>80</v>
      </c>
    </row>
    <row r="48" ht="15.75" customHeight="1">
      <c r="A48" s="4">
        <v>1001047.0</v>
      </c>
      <c r="B48" s="4" t="s">
        <v>83</v>
      </c>
    </row>
    <row r="49" ht="15.75" customHeight="1">
      <c r="A49" s="4">
        <v>1001048.0</v>
      </c>
      <c r="B49" s="4" t="s">
        <v>84</v>
      </c>
    </row>
    <row r="50" ht="15.75" customHeight="1">
      <c r="A50" s="4">
        <v>1001049.0</v>
      </c>
      <c r="B50" s="4" t="s">
        <v>86</v>
      </c>
    </row>
    <row r="51" ht="15.75" customHeight="1">
      <c r="A51" s="4">
        <v>1001050.0</v>
      </c>
      <c r="B51" s="4" t="s">
        <v>88</v>
      </c>
    </row>
    <row r="52" ht="15.75" customHeight="1">
      <c r="A52" s="4">
        <v>1001051.0</v>
      </c>
      <c r="B52" s="4" t="s">
        <v>90</v>
      </c>
    </row>
    <row r="53" ht="15.75" customHeight="1">
      <c r="A53" s="4">
        <v>1001052.0</v>
      </c>
      <c r="B53" s="4" t="s">
        <v>92</v>
      </c>
    </row>
    <row r="54" ht="15.75" customHeight="1">
      <c r="A54" s="4">
        <v>1001053.0</v>
      </c>
      <c r="B54" s="4" t="s">
        <v>94</v>
      </c>
    </row>
    <row r="55" ht="15.75" customHeight="1">
      <c r="A55" s="4">
        <v>1001054.0</v>
      </c>
      <c r="B55" s="4" t="s">
        <v>97</v>
      </c>
    </row>
    <row r="56" ht="15.75" customHeight="1">
      <c r="A56" s="4">
        <v>1001055.0</v>
      </c>
      <c r="B56" s="4" t="s">
        <v>100</v>
      </c>
    </row>
    <row r="57" ht="15.75" customHeight="1">
      <c r="A57" s="4">
        <v>1001056.0</v>
      </c>
      <c r="B57" s="4" t="s">
        <v>103</v>
      </c>
    </row>
    <row r="58" ht="15.75" customHeight="1">
      <c r="A58" s="4">
        <v>1001057.0</v>
      </c>
      <c r="B58" s="4" t="s">
        <v>107</v>
      </c>
    </row>
    <row r="59" ht="15.75" customHeight="1">
      <c r="A59" s="4">
        <v>1001058.0</v>
      </c>
      <c r="B59" s="4" t="s">
        <v>111</v>
      </c>
    </row>
    <row r="60" ht="15.75" customHeight="1">
      <c r="A60" s="4">
        <v>1001059.0</v>
      </c>
      <c r="B60" s="4" t="s">
        <v>114</v>
      </c>
    </row>
    <row r="61" ht="15.75" customHeight="1">
      <c r="A61" s="4">
        <v>1001060.0</v>
      </c>
      <c r="B61" s="4" t="s">
        <v>117</v>
      </c>
    </row>
    <row r="62" ht="15.75" customHeight="1">
      <c r="A62" s="4">
        <v>1001061.0</v>
      </c>
      <c r="B62" s="4" t="s">
        <v>119</v>
      </c>
    </row>
    <row r="63" ht="15.75" customHeight="1">
      <c r="A63" s="4">
        <v>1001062.0</v>
      </c>
      <c r="B63" s="4" t="s">
        <v>122</v>
      </c>
    </row>
    <row r="64" ht="15.75" customHeight="1">
      <c r="A64" s="4">
        <v>1001063.0</v>
      </c>
      <c r="B64" s="4" t="s">
        <v>126</v>
      </c>
    </row>
    <row r="65" ht="15.75" customHeight="1">
      <c r="A65" s="4">
        <v>1001064.0</v>
      </c>
      <c r="B65" s="4" t="s">
        <v>129</v>
      </c>
    </row>
    <row r="66" ht="15.75" customHeight="1">
      <c r="A66" s="4">
        <v>1001065.0</v>
      </c>
      <c r="B66" s="4" t="s">
        <v>131</v>
      </c>
    </row>
    <row r="67" ht="15.75" customHeight="1">
      <c r="A67" s="4">
        <v>1001066.0</v>
      </c>
      <c r="B67" s="4" t="s">
        <v>134</v>
      </c>
    </row>
    <row r="68" ht="15.75" customHeight="1">
      <c r="A68" s="4">
        <v>1001067.0</v>
      </c>
      <c r="B68" s="4" t="s">
        <v>137</v>
      </c>
    </row>
    <row r="69" ht="15.75" customHeight="1">
      <c r="A69" s="4">
        <v>1001068.0</v>
      </c>
      <c r="B69" s="4" t="s">
        <v>140</v>
      </c>
    </row>
    <row r="70" ht="15.75" customHeight="1">
      <c r="A70" s="4">
        <v>1001069.0</v>
      </c>
      <c r="B70" s="4" t="s">
        <v>142</v>
      </c>
    </row>
    <row r="71" ht="15.75" customHeight="1">
      <c r="A71" s="4">
        <v>1001070.0</v>
      </c>
      <c r="B71" s="4" t="s">
        <v>144</v>
      </c>
    </row>
    <row r="72" ht="15.75" customHeight="1">
      <c r="A72" s="4">
        <v>1001071.0</v>
      </c>
      <c r="B72" s="4" t="s">
        <v>146</v>
      </c>
    </row>
    <row r="73" ht="15.75" customHeight="1">
      <c r="A73" s="4">
        <v>1001072.0</v>
      </c>
      <c r="B73" s="4" t="s">
        <v>149</v>
      </c>
    </row>
    <row r="74" ht="15.75" customHeight="1">
      <c r="A74" s="4">
        <v>1001073.0</v>
      </c>
      <c r="B74" s="4" t="s">
        <v>174</v>
      </c>
    </row>
    <row r="75" ht="15.75" customHeight="1">
      <c r="A75" s="4">
        <v>1001074.0</v>
      </c>
      <c r="B75" s="4" t="s">
        <v>176</v>
      </c>
    </row>
    <row r="76" ht="15.75" customHeight="1">
      <c r="A76" s="4">
        <v>1001075.0</v>
      </c>
      <c r="B76" s="4" t="s">
        <v>178</v>
      </c>
    </row>
    <row r="77" ht="15.75" customHeight="1">
      <c r="A77" s="4">
        <v>1001076.0</v>
      </c>
      <c r="B77" s="4" t="s">
        <v>181</v>
      </c>
    </row>
    <row r="78" ht="15.75" customHeight="1">
      <c r="A78" s="4">
        <v>1001077.0</v>
      </c>
      <c r="B78" s="4" t="s">
        <v>184</v>
      </c>
    </row>
    <row r="79" ht="15.75" customHeight="1">
      <c r="A79" s="4">
        <v>1001078.0</v>
      </c>
      <c r="B79" s="4" t="s">
        <v>187</v>
      </c>
    </row>
    <row r="80" ht="15.75" customHeight="1">
      <c r="A80" s="4">
        <v>1001079.0</v>
      </c>
      <c r="B80" s="4" t="s">
        <v>189</v>
      </c>
    </row>
    <row r="81" ht="15.75" customHeight="1">
      <c r="A81" s="4">
        <v>1001080.0</v>
      </c>
      <c r="B81" s="4" t="s">
        <v>191</v>
      </c>
    </row>
    <row r="82" ht="15.75" customHeight="1">
      <c r="A82" s="4">
        <v>1001081.0</v>
      </c>
      <c r="B82" s="4" t="s">
        <v>193</v>
      </c>
    </row>
    <row r="83" ht="15.75" customHeight="1">
      <c r="A83" s="4">
        <v>1001082.0</v>
      </c>
      <c r="B83" s="4" t="s">
        <v>195</v>
      </c>
    </row>
    <row r="84" ht="15.75" customHeight="1">
      <c r="A84" s="4">
        <v>1001083.0</v>
      </c>
      <c r="B84" s="4" t="s">
        <v>198</v>
      </c>
    </row>
    <row r="85" ht="15.75" customHeight="1">
      <c r="A85" s="4">
        <v>1001084.0</v>
      </c>
      <c r="B85" s="4" t="s">
        <v>201</v>
      </c>
    </row>
    <row r="86" ht="15.75" customHeight="1">
      <c r="A86" s="4">
        <v>1001085.0</v>
      </c>
      <c r="B86" s="4" t="s">
        <v>204</v>
      </c>
    </row>
    <row r="87" ht="15.75" customHeight="1">
      <c r="A87" s="4">
        <v>1001086.0</v>
      </c>
      <c r="B87" s="4" t="s">
        <v>206</v>
      </c>
    </row>
    <row r="88" ht="15.75" customHeight="1">
      <c r="A88" s="4">
        <v>1001087.0</v>
      </c>
      <c r="B88" s="4" t="s">
        <v>208</v>
      </c>
    </row>
    <row r="89" ht="15.75" customHeight="1">
      <c r="A89" s="4">
        <v>1001088.0</v>
      </c>
      <c r="B89" s="4" t="s">
        <v>211</v>
      </c>
    </row>
    <row r="90" ht="15.75" customHeight="1">
      <c r="A90" s="4">
        <v>1001089.0</v>
      </c>
      <c r="B90" s="4" t="s">
        <v>213</v>
      </c>
    </row>
    <row r="91" ht="15.75" customHeight="1">
      <c r="A91" s="4">
        <v>1001090.0</v>
      </c>
      <c r="B91" s="4" t="s">
        <v>216</v>
      </c>
    </row>
    <row r="92" ht="15.75" customHeight="1">
      <c r="A92" s="4">
        <v>1001091.0</v>
      </c>
      <c r="B92" s="4" t="s">
        <v>219</v>
      </c>
    </row>
    <row r="93" ht="15.75" customHeight="1">
      <c r="A93" s="4">
        <v>1001092.0</v>
      </c>
      <c r="B93" s="4" t="s">
        <v>220</v>
      </c>
    </row>
    <row r="94" ht="15.75" customHeight="1">
      <c r="A94" s="4">
        <v>1001093.0</v>
      </c>
      <c r="B94" s="4" t="s">
        <v>222</v>
      </c>
    </row>
    <row r="95" ht="15.75" customHeight="1">
      <c r="A95" s="4">
        <v>1001094.0</v>
      </c>
      <c r="B95" s="4" t="s">
        <v>225</v>
      </c>
    </row>
    <row r="96" ht="15.75" customHeight="1">
      <c r="A96" s="4">
        <v>1001095.0</v>
      </c>
      <c r="B96" s="4" t="s">
        <v>228</v>
      </c>
    </row>
    <row r="97" ht="15.75" customHeight="1">
      <c r="A97" s="4">
        <v>1001096.0</v>
      </c>
      <c r="B97" s="4" t="s">
        <v>231</v>
      </c>
    </row>
    <row r="98" ht="15.75" customHeight="1">
      <c r="A98" s="4">
        <v>1002001.0</v>
      </c>
      <c r="B98" s="4" t="s">
        <v>233</v>
      </c>
    </row>
    <row r="99" ht="15.75" customHeight="1">
      <c r="A99" s="4">
        <v>1002002.0</v>
      </c>
      <c r="B99" s="4" t="s">
        <v>235</v>
      </c>
    </row>
    <row r="100" ht="15.75" customHeight="1">
      <c r="A100" s="4">
        <v>1002003.0</v>
      </c>
      <c r="B100" s="4" t="s">
        <v>238</v>
      </c>
    </row>
    <row r="101" ht="15.75" customHeight="1">
      <c r="A101" s="4">
        <v>1002004.0</v>
      </c>
      <c r="B101" s="4" t="s">
        <v>241</v>
      </c>
    </row>
    <row r="102" ht="15.75" customHeight="1">
      <c r="A102" s="4">
        <v>1002005.0</v>
      </c>
      <c r="B102" s="4" t="s">
        <v>243</v>
      </c>
    </row>
    <row r="103" ht="15.75" customHeight="1">
      <c r="A103" s="4">
        <v>1002006.0</v>
      </c>
      <c r="B103" s="4" t="s">
        <v>245</v>
      </c>
    </row>
    <row r="104" ht="15.75" customHeight="1">
      <c r="A104" s="4">
        <v>1002007.0</v>
      </c>
      <c r="B104" s="4" t="s">
        <v>248</v>
      </c>
    </row>
    <row r="105" ht="15.75" customHeight="1">
      <c r="A105" s="4">
        <v>1002008.0</v>
      </c>
      <c r="B105" s="4" t="s">
        <v>251</v>
      </c>
    </row>
    <row r="106" ht="15.75" customHeight="1">
      <c r="A106" s="4">
        <v>1002009.0</v>
      </c>
      <c r="B106" s="4" t="s">
        <v>253</v>
      </c>
    </row>
    <row r="107" ht="15.75" customHeight="1">
      <c r="A107" s="4">
        <v>1002010.0</v>
      </c>
      <c r="B107" s="4" t="s">
        <v>255</v>
      </c>
    </row>
    <row r="108" ht="15.75" customHeight="1">
      <c r="A108" s="4">
        <v>1002011.0</v>
      </c>
      <c r="B108" s="4" t="s">
        <v>258</v>
      </c>
    </row>
    <row r="109" ht="15.75" customHeight="1">
      <c r="A109" s="4">
        <v>1002012.0</v>
      </c>
      <c r="B109" s="4" t="s">
        <v>260</v>
      </c>
    </row>
    <row r="110" ht="15.75" customHeight="1">
      <c r="A110" s="4">
        <v>1002013.0</v>
      </c>
      <c r="B110" s="4" t="s">
        <v>263</v>
      </c>
    </row>
    <row r="111" ht="15.75" customHeight="1">
      <c r="A111" s="4">
        <v>1002014.0</v>
      </c>
      <c r="B111" s="4" t="s">
        <v>267</v>
      </c>
    </row>
    <row r="112" ht="15.75" customHeight="1">
      <c r="A112" s="4">
        <v>1002015.0</v>
      </c>
      <c r="B112" s="4" t="s">
        <v>270</v>
      </c>
    </row>
    <row r="113" ht="15.75" customHeight="1">
      <c r="A113" s="4">
        <v>1002016.0</v>
      </c>
      <c r="B113" s="4" t="s">
        <v>274</v>
      </c>
    </row>
    <row r="114" ht="15.75" customHeight="1">
      <c r="A114" s="4">
        <v>1002017.0</v>
      </c>
      <c r="B114" s="4" t="s">
        <v>279</v>
      </c>
    </row>
    <row r="115" ht="15.75" customHeight="1">
      <c r="A115" s="4">
        <v>1002018.0</v>
      </c>
      <c r="B115" s="4" t="s">
        <v>282</v>
      </c>
    </row>
    <row r="116" ht="15.75" customHeight="1">
      <c r="A116" s="4">
        <v>1002019.0</v>
      </c>
      <c r="B116" s="4" t="s">
        <v>285</v>
      </c>
    </row>
    <row r="117" ht="15.75" customHeight="1">
      <c r="A117" s="4">
        <v>1002020.0</v>
      </c>
      <c r="B117" s="4" t="s">
        <v>288</v>
      </c>
    </row>
    <row r="118" ht="15.75" customHeight="1">
      <c r="A118" s="4">
        <v>1002021.0</v>
      </c>
      <c r="B118" s="4" t="s">
        <v>289</v>
      </c>
    </row>
    <row r="119" ht="15.75" customHeight="1">
      <c r="A119" s="4">
        <v>1002022.0</v>
      </c>
      <c r="B119" s="4" t="s">
        <v>291</v>
      </c>
    </row>
    <row r="120" ht="15.75" customHeight="1">
      <c r="A120" s="4">
        <v>1002023.0</v>
      </c>
      <c r="B120" s="4" t="s">
        <v>292</v>
      </c>
    </row>
    <row r="121" ht="15.75" customHeight="1">
      <c r="A121" s="4">
        <v>1002024.0</v>
      </c>
      <c r="B121" s="4" t="s">
        <v>293</v>
      </c>
    </row>
    <row r="122" ht="15.75" customHeight="1">
      <c r="A122" s="4">
        <v>1002025.0</v>
      </c>
      <c r="B122" s="4" t="s">
        <v>295</v>
      </c>
    </row>
    <row r="123" ht="15.75" customHeight="1">
      <c r="A123" s="4">
        <v>1002026.0</v>
      </c>
      <c r="B123" s="4" t="s">
        <v>298</v>
      </c>
    </row>
    <row r="124" ht="15.75" customHeight="1">
      <c r="A124" s="4">
        <v>1002027.0</v>
      </c>
      <c r="B124" s="4" t="s">
        <v>301</v>
      </c>
    </row>
    <row r="125" ht="15.75" customHeight="1">
      <c r="A125" s="4">
        <v>1002028.0</v>
      </c>
      <c r="B125" s="4" t="s">
        <v>303</v>
      </c>
    </row>
    <row r="126" ht="15.75" customHeight="1">
      <c r="A126" s="4">
        <v>1002029.0</v>
      </c>
      <c r="B126" s="4" t="s">
        <v>306</v>
      </c>
    </row>
    <row r="127" ht="15.75" customHeight="1">
      <c r="A127" s="4">
        <v>1002030.0</v>
      </c>
      <c r="B127" s="4" t="s">
        <v>309</v>
      </c>
    </row>
    <row r="128" ht="15.75" customHeight="1">
      <c r="A128" s="4">
        <v>1002031.0</v>
      </c>
      <c r="B128" s="4" t="s">
        <v>311</v>
      </c>
    </row>
    <row r="129" ht="15.75" customHeight="1">
      <c r="A129" s="4">
        <v>1002032.0</v>
      </c>
      <c r="B129" s="4" t="s">
        <v>320</v>
      </c>
    </row>
    <row r="130" ht="15.75" customHeight="1">
      <c r="A130" s="4">
        <v>1002033.0</v>
      </c>
      <c r="B130" s="4" t="s">
        <v>323</v>
      </c>
    </row>
    <row r="131" ht="15.75" customHeight="1">
      <c r="A131" s="4">
        <v>1002034.0</v>
      </c>
      <c r="B131" s="4" t="s">
        <v>327</v>
      </c>
    </row>
    <row r="132" ht="15.75" customHeight="1">
      <c r="A132" s="4">
        <v>1002035.0</v>
      </c>
      <c r="B132" s="4" t="s">
        <v>330</v>
      </c>
    </row>
    <row r="133" ht="15.75" customHeight="1">
      <c r="A133" s="4">
        <v>1002036.0</v>
      </c>
      <c r="B133" s="4" t="s">
        <v>333</v>
      </c>
    </row>
    <row r="134" ht="15.75" customHeight="1">
      <c r="A134" s="4">
        <v>1002037.0</v>
      </c>
      <c r="B134" s="4" t="s">
        <v>336</v>
      </c>
    </row>
    <row r="135" ht="15.75" customHeight="1">
      <c r="A135" s="4">
        <v>1002038.0</v>
      </c>
      <c r="B135" s="4" t="s">
        <v>339</v>
      </c>
    </row>
    <row r="136" ht="15.75" customHeight="1">
      <c r="A136" s="4">
        <v>1002039.0</v>
      </c>
      <c r="B136" s="4" t="s">
        <v>342</v>
      </c>
    </row>
    <row r="137" ht="15.75" customHeight="1">
      <c r="A137" s="4">
        <v>1002040.0</v>
      </c>
      <c r="B137" s="4" t="s">
        <v>345</v>
      </c>
    </row>
    <row r="138" ht="15.75" customHeight="1">
      <c r="A138" s="4">
        <v>1002041.0</v>
      </c>
      <c r="B138" s="4" t="s">
        <v>349</v>
      </c>
    </row>
    <row r="139" ht="15.75" customHeight="1">
      <c r="A139" s="4">
        <v>1002042.0</v>
      </c>
      <c r="B139" s="4" t="s">
        <v>352</v>
      </c>
    </row>
    <row r="140" ht="15.75" customHeight="1">
      <c r="A140" s="4">
        <v>1002043.0</v>
      </c>
      <c r="B140" s="4" t="s">
        <v>355</v>
      </c>
    </row>
    <row r="141" ht="15.75" customHeight="1">
      <c r="A141" s="4">
        <v>1002044.0</v>
      </c>
      <c r="B141" s="4" t="s">
        <v>359</v>
      </c>
    </row>
    <row r="142" ht="15.75" customHeight="1">
      <c r="A142" s="4">
        <v>1002045.0</v>
      </c>
      <c r="B142" s="4" t="s">
        <v>362</v>
      </c>
    </row>
    <row r="143" ht="15.75" customHeight="1">
      <c r="A143" s="4">
        <v>1002046.0</v>
      </c>
      <c r="B143" s="4" t="s">
        <v>366</v>
      </c>
    </row>
    <row r="144" ht="15.75" customHeight="1">
      <c r="A144" s="4">
        <v>1002047.0</v>
      </c>
      <c r="B144" s="4" t="s">
        <v>369</v>
      </c>
    </row>
    <row r="145" ht="15.75" customHeight="1">
      <c r="A145" s="4">
        <v>1002048.0</v>
      </c>
      <c r="B145" s="4" t="s">
        <v>373</v>
      </c>
    </row>
    <row r="146" ht="15.75" customHeight="1">
      <c r="A146" s="4">
        <v>1002049.0</v>
      </c>
      <c r="B146" s="4" t="s">
        <v>377</v>
      </c>
    </row>
    <row r="147" ht="15.75" customHeight="1">
      <c r="A147" s="4">
        <v>1002050.0</v>
      </c>
      <c r="B147" s="4" t="s">
        <v>381</v>
      </c>
    </row>
    <row r="148" ht="15.75" customHeight="1">
      <c r="A148" s="4">
        <v>1002051.0</v>
      </c>
      <c r="B148" s="4" t="s">
        <v>390</v>
      </c>
    </row>
    <row r="149" ht="15.75" customHeight="1">
      <c r="A149" s="4">
        <v>1002052.0</v>
      </c>
      <c r="B149" s="4" t="s">
        <v>396</v>
      </c>
    </row>
    <row r="150" ht="15.75" customHeight="1">
      <c r="A150" s="4">
        <v>1002053.0</v>
      </c>
      <c r="B150" s="4" t="s">
        <v>422</v>
      </c>
    </row>
    <row r="151" ht="15.75" customHeight="1">
      <c r="A151" s="4">
        <v>1002054.0</v>
      </c>
      <c r="B151" s="4" t="s">
        <v>425</v>
      </c>
    </row>
    <row r="152" ht="15.75" customHeight="1">
      <c r="A152" s="4">
        <v>1002055.0</v>
      </c>
      <c r="B152" s="4" t="s">
        <v>429</v>
      </c>
    </row>
    <row r="153" ht="15.75" customHeight="1">
      <c r="A153" s="4">
        <v>1002056.0</v>
      </c>
      <c r="B153" s="4" t="s">
        <v>433</v>
      </c>
    </row>
    <row r="154" ht="15.75" customHeight="1">
      <c r="A154" s="4">
        <v>1002057.0</v>
      </c>
      <c r="B154" s="4" t="s">
        <v>435</v>
      </c>
    </row>
    <row r="155" ht="15.75" customHeight="1">
      <c r="A155" s="4">
        <v>1002058.0</v>
      </c>
      <c r="B155" s="4" t="s">
        <v>440</v>
      </c>
    </row>
    <row r="156" ht="15.75" customHeight="1">
      <c r="A156" s="4">
        <v>1002059.0</v>
      </c>
      <c r="B156" s="4" t="s">
        <v>443</v>
      </c>
    </row>
    <row r="157" ht="15.75" customHeight="1">
      <c r="A157" s="4">
        <v>1002060.0</v>
      </c>
      <c r="B157" s="4" t="s">
        <v>447</v>
      </c>
    </row>
    <row r="158" ht="15.75" customHeight="1">
      <c r="A158" s="4">
        <v>1002061.0</v>
      </c>
      <c r="B158" s="4" t="s">
        <v>449</v>
      </c>
    </row>
    <row r="159" ht="15.75" customHeight="1">
      <c r="A159" s="4">
        <v>1002062.0</v>
      </c>
      <c r="B159" s="4" t="s">
        <v>453</v>
      </c>
    </row>
    <row r="160" ht="15.75" customHeight="1">
      <c r="A160" s="4">
        <v>1002063.0</v>
      </c>
      <c r="B160" s="4" t="s">
        <v>455</v>
      </c>
    </row>
    <row r="161" ht="15.75" customHeight="1">
      <c r="A161" s="4">
        <v>1002064.0</v>
      </c>
      <c r="B161" s="4" t="s">
        <v>459</v>
      </c>
    </row>
    <row r="162" ht="15.75" customHeight="1">
      <c r="A162" s="4">
        <v>1002065.0</v>
      </c>
      <c r="B162" s="4" t="s">
        <v>462</v>
      </c>
    </row>
    <row r="163" ht="15.75" customHeight="1">
      <c r="A163" s="4">
        <v>1002066.0</v>
      </c>
      <c r="B163" s="4" t="s">
        <v>466</v>
      </c>
    </row>
    <row r="164" ht="15.75" customHeight="1">
      <c r="A164" s="4">
        <v>1002067.0</v>
      </c>
      <c r="B164" s="4" t="s">
        <v>471</v>
      </c>
    </row>
    <row r="165" ht="15.75" customHeight="1">
      <c r="A165" s="4">
        <v>1002068.0</v>
      </c>
      <c r="B165" s="4" t="s">
        <v>474</v>
      </c>
    </row>
    <row r="166" ht="15.75" customHeight="1">
      <c r="A166" s="4">
        <v>1002069.0</v>
      </c>
      <c r="B166" s="4" t="s">
        <v>479</v>
      </c>
    </row>
    <row r="167" ht="15.75" customHeight="1">
      <c r="A167" s="4">
        <v>1002070.0</v>
      </c>
      <c r="B167" s="4" t="s">
        <v>482</v>
      </c>
    </row>
    <row r="168" ht="15.75" customHeight="1">
      <c r="A168" s="4">
        <v>1002071.0</v>
      </c>
      <c r="B168" s="4" t="s">
        <v>486</v>
      </c>
    </row>
    <row r="169" ht="15.75" customHeight="1">
      <c r="A169" s="4">
        <v>1002072.0</v>
      </c>
      <c r="B169" s="4" t="s">
        <v>489</v>
      </c>
    </row>
    <row r="170" ht="15.75" customHeight="1">
      <c r="A170" s="4">
        <v>1002073.0</v>
      </c>
      <c r="B170" s="4" t="s">
        <v>492</v>
      </c>
    </row>
    <row r="171" ht="15.75" customHeight="1">
      <c r="A171" s="4">
        <v>1002074.0</v>
      </c>
      <c r="B171" s="4" t="s">
        <v>494</v>
      </c>
    </row>
    <row r="172" ht="15.75" customHeight="1">
      <c r="A172" s="4">
        <v>1002075.0</v>
      </c>
      <c r="B172" s="4" t="s">
        <v>500</v>
      </c>
    </row>
    <row r="173" ht="15.75" customHeight="1">
      <c r="A173" s="4">
        <v>1002076.0</v>
      </c>
      <c r="B173" s="4" t="s">
        <v>504</v>
      </c>
    </row>
    <row r="174" ht="15.75" customHeight="1">
      <c r="A174" s="4">
        <v>1002077.0</v>
      </c>
      <c r="B174" s="4" t="s">
        <v>507</v>
      </c>
    </row>
    <row r="175" ht="15.75" customHeight="1">
      <c r="A175" s="4">
        <v>1002078.0</v>
      </c>
      <c r="B175" s="4" t="s">
        <v>509</v>
      </c>
    </row>
    <row r="176" ht="15.75" customHeight="1">
      <c r="A176" s="4">
        <v>1002079.0</v>
      </c>
      <c r="B176" s="4" t="s">
        <v>513</v>
      </c>
    </row>
    <row r="177" ht="15.75" customHeight="1">
      <c r="A177" s="4">
        <v>1003001.0</v>
      </c>
      <c r="B177" s="4" t="s">
        <v>514</v>
      </c>
    </row>
    <row r="178" ht="15.75" customHeight="1">
      <c r="A178" s="4">
        <v>1003002.0</v>
      </c>
      <c r="B178" s="4" t="s">
        <v>518</v>
      </c>
    </row>
    <row r="179" ht="15.75" customHeight="1">
      <c r="A179" s="4">
        <v>1003003.0</v>
      </c>
      <c r="B179" s="4" t="s">
        <v>521</v>
      </c>
    </row>
    <row r="180" ht="15.75" customHeight="1">
      <c r="A180" s="4">
        <v>1003004.0</v>
      </c>
      <c r="B180" s="4" t="s">
        <v>525</v>
      </c>
    </row>
    <row r="181" ht="15.75" customHeight="1">
      <c r="A181" s="4">
        <v>1003005.0</v>
      </c>
      <c r="B181" s="4" t="s">
        <v>529</v>
      </c>
    </row>
    <row r="182" ht="15.75" customHeight="1">
      <c r="A182" s="4">
        <v>1003006.0</v>
      </c>
      <c r="B182" s="4" t="s">
        <v>533</v>
      </c>
    </row>
    <row r="183" ht="15.75" customHeight="1">
      <c r="A183" s="4">
        <v>1003007.0</v>
      </c>
      <c r="B183" s="4" t="s">
        <v>538</v>
      </c>
    </row>
    <row r="184" ht="15.75" customHeight="1">
      <c r="A184" s="4">
        <v>1003008.0</v>
      </c>
      <c r="B184" s="4" t="s">
        <v>541</v>
      </c>
    </row>
    <row r="185" ht="15.75" customHeight="1">
      <c r="A185" s="4">
        <v>1003009.0</v>
      </c>
      <c r="B185" s="4" t="s">
        <v>546</v>
      </c>
    </row>
    <row r="186" ht="15.75" customHeight="1">
      <c r="A186" s="4">
        <v>1003010.0</v>
      </c>
      <c r="B186" s="4" t="s">
        <v>549</v>
      </c>
    </row>
    <row r="187" ht="15.75" customHeight="1">
      <c r="A187" s="4">
        <v>1003011.0</v>
      </c>
      <c r="B187" s="4" t="s">
        <v>553</v>
      </c>
    </row>
    <row r="188" ht="15.75" customHeight="1">
      <c r="A188" s="4">
        <v>1003012.0</v>
      </c>
      <c r="B188" s="4" t="s">
        <v>556</v>
      </c>
    </row>
    <row r="189" ht="15.75" customHeight="1">
      <c r="A189" s="4">
        <v>1003013.0</v>
      </c>
      <c r="B189" s="4" t="s">
        <v>557</v>
      </c>
    </row>
    <row r="190" ht="15.75" customHeight="1">
      <c r="A190" s="4">
        <v>1003014.0</v>
      </c>
      <c r="B190" s="4" t="s">
        <v>561</v>
      </c>
    </row>
    <row r="191" ht="15.75" customHeight="1">
      <c r="A191" s="4">
        <v>1003015.0</v>
      </c>
      <c r="B191" s="4" t="s">
        <v>563</v>
      </c>
    </row>
    <row r="192" ht="15.75" customHeight="1">
      <c r="A192" s="4">
        <v>1003016.0</v>
      </c>
      <c r="B192" s="4" t="s">
        <v>566</v>
      </c>
    </row>
    <row r="193" ht="15.75" customHeight="1">
      <c r="A193" s="4">
        <v>1003017.0</v>
      </c>
      <c r="B193" s="4" t="s">
        <v>569</v>
      </c>
    </row>
    <row r="194" ht="15.75" customHeight="1">
      <c r="A194" s="4">
        <v>1003018.0</v>
      </c>
      <c r="B194" s="4" t="s">
        <v>571</v>
      </c>
    </row>
    <row r="195" ht="15.75" customHeight="1">
      <c r="A195" s="4">
        <v>1003019.0</v>
      </c>
      <c r="B195" s="4" t="s">
        <v>575</v>
      </c>
    </row>
    <row r="196" ht="15.75" customHeight="1">
      <c r="A196" s="4">
        <v>1003020.0</v>
      </c>
      <c r="B196" s="4" t="s">
        <v>577</v>
      </c>
    </row>
    <row r="197" ht="15.75" customHeight="1">
      <c r="A197" s="4">
        <v>1003021.0</v>
      </c>
      <c r="B197" s="4" t="s">
        <v>581</v>
      </c>
    </row>
    <row r="198" ht="15.75" customHeight="1">
      <c r="A198" s="4">
        <v>1003022.0</v>
      </c>
      <c r="B198" s="4" t="s">
        <v>584</v>
      </c>
    </row>
    <row r="199" ht="15.75" customHeight="1">
      <c r="A199" s="4">
        <v>1003023.0</v>
      </c>
      <c r="B199" s="4" t="s">
        <v>587</v>
      </c>
    </row>
    <row r="200" ht="15.75" customHeight="1">
      <c r="A200" s="4">
        <v>1003024.0</v>
      </c>
      <c r="B200" s="4" t="s">
        <v>589</v>
      </c>
    </row>
    <row r="201" ht="15.75" customHeight="1">
      <c r="A201" s="4">
        <v>1003025.0</v>
      </c>
      <c r="B201" s="4" t="s">
        <v>593</v>
      </c>
    </row>
    <row r="202" ht="15.75" customHeight="1">
      <c r="A202" s="4">
        <v>1003026.0</v>
      </c>
      <c r="B202" s="4" t="s">
        <v>595</v>
      </c>
    </row>
    <row r="203" ht="15.75" customHeight="1">
      <c r="A203" s="4">
        <v>1003027.0</v>
      </c>
      <c r="B203" s="4" t="s">
        <v>598</v>
      </c>
    </row>
    <row r="204" ht="15.75" customHeight="1">
      <c r="A204" s="4">
        <v>1003028.0</v>
      </c>
      <c r="B204" s="4" t="s">
        <v>600</v>
      </c>
    </row>
    <row r="205" ht="15.75" customHeight="1">
      <c r="A205" s="4">
        <v>1003029.0</v>
      </c>
      <c r="B205" s="4" t="s">
        <v>601</v>
      </c>
    </row>
    <row r="206" ht="15.75" customHeight="1">
      <c r="A206" s="4">
        <v>1003030.0</v>
      </c>
      <c r="B206" s="4" t="s">
        <v>603</v>
      </c>
    </row>
    <row r="207" ht="15.75" customHeight="1">
      <c r="A207" s="4">
        <v>1003031.0</v>
      </c>
      <c r="B207" s="4" t="s">
        <v>604</v>
      </c>
    </row>
    <row r="208" ht="15.75" customHeight="1">
      <c r="A208" s="4">
        <v>1003032.0</v>
      </c>
      <c r="B208" s="4" t="s">
        <v>606</v>
      </c>
    </row>
    <row r="209" ht="15.75" customHeight="1">
      <c r="A209" s="4">
        <v>1003033.0</v>
      </c>
      <c r="B209" s="4" t="s">
        <v>608</v>
      </c>
    </row>
    <row r="210" ht="15.75" customHeight="1">
      <c r="A210" s="4">
        <v>1003034.0</v>
      </c>
      <c r="B210" s="4" t="s">
        <v>609</v>
      </c>
    </row>
    <row r="211" ht="15.75" customHeight="1">
      <c r="A211" s="4">
        <v>1003035.0</v>
      </c>
      <c r="B211" s="4" t="s">
        <v>611</v>
      </c>
    </row>
    <row r="212" ht="15.75" customHeight="1">
      <c r="A212" s="4">
        <v>1003036.0</v>
      </c>
      <c r="B212" s="4" t="s">
        <v>613</v>
      </c>
    </row>
    <row r="213" ht="15.75" customHeight="1">
      <c r="A213" s="4">
        <v>1003037.0</v>
      </c>
      <c r="B213" s="4" t="s">
        <v>615</v>
      </c>
    </row>
    <row r="214" ht="15.75" customHeight="1">
      <c r="A214" s="4">
        <v>1003038.0</v>
      </c>
      <c r="B214" s="4" t="s">
        <v>617</v>
      </c>
    </row>
    <row r="215" ht="15.75" customHeight="1">
      <c r="A215" s="4">
        <v>1003039.0</v>
      </c>
      <c r="B215" s="4" t="s">
        <v>619</v>
      </c>
    </row>
    <row r="216" ht="15.75" customHeight="1">
      <c r="A216" s="4">
        <v>1003040.0</v>
      </c>
      <c r="B216" s="4" t="s">
        <v>621</v>
      </c>
    </row>
    <row r="217" ht="15.75" customHeight="1">
      <c r="A217" s="4">
        <v>1003041.0</v>
      </c>
      <c r="B217" s="4" t="s">
        <v>622</v>
      </c>
    </row>
    <row r="218" ht="15.75" customHeight="1">
      <c r="A218" s="4">
        <v>1003042.0</v>
      </c>
      <c r="B218" s="4" t="s">
        <v>623</v>
      </c>
    </row>
    <row r="219" ht="15.75" customHeight="1">
      <c r="A219" s="4">
        <v>1003043.0</v>
      </c>
      <c r="B219" s="4" t="s">
        <v>625</v>
      </c>
    </row>
    <row r="220" ht="15.75" customHeight="1">
      <c r="A220" s="4">
        <v>1003044.0</v>
      </c>
      <c r="B220" s="4" t="s">
        <v>627</v>
      </c>
    </row>
    <row r="221" ht="15.75" customHeight="1">
      <c r="A221" s="4">
        <v>1003045.0</v>
      </c>
      <c r="B221" s="4" t="s">
        <v>629</v>
      </c>
    </row>
    <row r="222" ht="15.75" customHeight="1">
      <c r="A222" s="4">
        <v>1003046.0</v>
      </c>
      <c r="B222" s="4" t="s">
        <v>631</v>
      </c>
    </row>
    <row r="223" ht="15.75" customHeight="1">
      <c r="A223" s="4">
        <v>1003047.0</v>
      </c>
      <c r="B223" s="4" t="s">
        <v>633</v>
      </c>
    </row>
    <row r="224" ht="15.75" customHeight="1">
      <c r="A224" s="4">
        <v>1003048.0</v>
      </c>
      <c r="B224" s="4" t="s">
        <v>634</v>
      </c>
    </row>
    <row r="225" ht="15.75" customHeight="1">
      <c r="A225" s="4">
        <v>1003049.0</v>
      </c>
      <c r="B225" s="4" t="s">
        <v>636</v>
      </c>
    </row>
    <row r="226" ht="15.75" customHeight="1">
      <c r="A226" s="4">
        <v>1003050.0</v>
      </c>
      <c r="B226" s="4" t="s">
        <v>637</v>
      </c>
    </row>
    <row r="227" ht="15.75" customHeight="1">
      <c r="A227" s="4">
        <v>1003051.0</v>
      </c>
      <c r="B227" s="4" t="s">
        <v>638</v>
      </c>
    </row>
    <row r="228" ht="15.75" customHeight="1">
      <c r="A228" s="4">
        <v>1003052.0</v>
      </c>
      <c r="B228" s="4" t="s">
        <v>639</v>
      </c>
    </row>
    <row r="229" ht="15.75" customHeight="1">
      <c r="A229" s="4">
        <v>1003053.0</v>
      </c>
      <c r="B229" s="4" t="s">
        <v>640</v>
      </c>
    </row>
    <row r="230" ht="15.75" customHeight="1">
      <c r="A230" s="4">
        <v>1003054.0</v>
      </c>
      <c r="B230" s="4" t="s">
        <v>641</v>
      </c>
    </row>
    <row r="231" ht="15.75" customHeight="1">
      <c r="A231" s="4">
        <v>1003055.0</v>
      </c>
      <c r="B231" s="4" t="s">
        <v>642</v>
      </c>
    </row>
    <row r="232" ht="15.75" customHeight="1">
      <c r="A232" s="4">
        <v>1003056.0</v>
      </c>
      <c r="B232" s="4" t="s">
        <v>644</v>
      </c>
    </row>
    <row r="233" ht="15.75" customHeight="1">
      <c r="A233" s="4">
        <v>1003057.0</v>
      </c>
      <c r="B233" s="4" t="s">
        <v>646</v>
      </c>
    </row>
    <row r="234" ht="15.75" customHeight="1">
      <c r="A234" s="4">
        <v>1003058.0</v>
      </c>
      <c r="B234" s="4" t="s">
        <v>648</v>
      </c>
    </row>
    <row r="235" ht="15.75" customHeight="1">
      <c r="A235" s="4">
        <v>1003059.0</v>
      </c>
      <c r="B235" s="4" t="s">
        <v>650</v>
      </c>
    </row>
    <row r="236" ht="15.75" customHeight="1">
      <c r="A236" s="4">
        <v>1003060.0</v>
      </c>
      <c r="B236" s="4" t="s">
        <v>652</v>
      </c>
    </row>
    <row r="237" ht="15.75" customHeight="1">
      <c r="A237" s="4">
        <v>1003061.0</v>
      </c>
      <c r="B237" s="4" t="s">
        <v>654</v>
      </c>
    </row>
    <row r="238" ht="15.75" customHeight="1">
      <c r="A238" s="4">
        <v>1003062.0</v>
      </c>
      <c r="B238" s="4" t="s">
        <v>655</v>
      </c>
    </row>
    <row r="239" ht="15.75" customHeight="1">
      <c r="A239" s="4">
        <v>1003063.0</v>
      </c>
      <c r="B239" s="4" t="s">
        <v>657</v>
      </c>
    </row>
    <row r="240" ht="15.75" customHeight="1">
      <c r="A240" s="4">
        <v>1003064.0</v>
      </c>
      <c r="B240" s="4" t="s">
        <v>659</v>
      </c>
    </row>
    <row r="241" ht="15.75" customHeight="1">
      <c r="A241" s="4">
        <v>1003065.0</v>
      </c>
      <c r="B241" s="4" t="s">
        <v>661</v>
      </c>
    </row>
    <row r="242" ht="15.75" customHeight="1">
      <c r="A242" s="4">
        <v>1003066.0</v>
      </c>
      <c r="B242" s="4" t="s">
        <v>663</v>
      </c>
    </row>
    <row r="243" ht="15.75" customHeight="1">
      <c r="A243" s="4">
        <v>1003067.0</v>
      </c>
      <c r="B243" s="4" t="s">
        <v>664</v>
      </c>
    </row>
    <row r="244" ht="15.75" customHeight="1">
      <c r="A244" s="4">
        <v>1003068.0</v>
      </c>
      <c r="B244" s="4" t="s">
        <v>666</v>
      </c>
    </row>
    <row r="245" ht="15.75" customHeight="1">
      <c r="A245" s="4">
        <v>1003069.0</v>
      </c>
      <c r="B245" s="4" t="s">
        <v>668</v>
      </c>
    </row>
    <row r="246" ht="15.75" customHeight="1">
      <c r="A246" s="4">
        <v>1003070.0</v>
      </c>
      <c r="B246" s="4" t="s">
        <v>670</v>
      </c>
    </row>
    <row r="247" ht="15.75" customHeight="1">
      <c r="A247" s="4">
        <v>1003071.0</v>
      </c>
      <c r="B247" s="4" t="s">
        <v>672</v>
      </c>
    </row>
    <row r="248" ht="15.75" customHeight="1">
      <c r="A248" s="4">
        <v>1003072.0</v>
      </c>
      <c r="B248" s="4" t="s">
        <v>674</v>
      </c>
    </row>
    <row r="249" ht="15.75" customHeight="1">
      <c r="A249" s="4">
        <v>1003073.0</v>
      </c>
      <c r="B249" s="4" t="s">
        <v>675</v>
      </c>
    </row>
    <row r="250" ht="15.75" customHeight="1">
      <c r="A250" s="4">
        <v>1003074.0</v>
      </c>
      <c r="B250" s="4" t="s">
        <v>678</v>
      </c>
    </row>
    <row r="251" ht="15.75" customHeight="1">
      <c r="A251" s="4">
        <v>1004001.0</v>
      </c>
      <c r="B251" s="4" t="s">
        <v>679</v>
      </c>
    </row>
    <row r="252" ht="15.75" customHeight="1">
      <c r="A252" s="4">
        <v>1004002.0</v>
      </c>
      <c r="B252" s="4" t="s">
        <v>681</v>
      </c>
    </row>
    <row r="253" ht="15.75" customHeight="1">
      <c r="A253" s="4">
        <v>1004003.0</v>
      </c>
      <c r="B253" s="4" t="s">
        <v>683</v>
      </c>
    </row>
    <row r="254" ht="15.75" customHeight="1">
      <c r="A254" s="4">
        <v>1004004.0</v>
      </c>
      <c r="B254" s="4" t="s">
        <v>685</v>
      </c>
    </row>
    <row r="255" ht="15.75" customHeight="1">
      <c r="A255" s="4">
        <v>1004005.0</v>
      </c>
      <c r="B255" s="4" t="s">
        <v>687</v>
      </c>
    </row>
    <row r="256" ht="15.75" customHeight="1">
      <c r="A256" s="4">
        <v>1004006.0</v>
      </c>
      <c r="B256" s="4" t="s">
        <v>688</v>
      </c>
    </row>
    <row r="257" ht="15.75" customHeight="1">
      <c r="A257" s="4">
        <v>1004007.0</v>
      </c>
      <c r="B257" s="4" t="s">
        <v>690</v>
      </c>
    </row>
    <row r="258" ht="15.75" customHeight="1">
      <c r="A258" s="4">
        <v>1004008.0</v>
      </c>
      <c r="B258" s="4" t="s">
        <v>692</v>
      </c>
    </row>
    <row r="259" ht="15.75" customHeight="1">
      <c r="A259" s="4">
        <v>1004009.0</v>
      </c>
      <c r="B259" s="4" t="s">
        <v>694</v>
      </c>
    </row>
    <row r="260" ht="15.75" customHeight="1">
      <c r="A260" s="4">
        <v>1004010.0</v>
      </c>
      <c r="B260" s="4" t="s">
        <v>696</v>
      </c>
    </row>
    <row r="261" ht="15.75" customHeight="1">
      <c r="A261" s="4">
        <v>1004011.0</v>
      </c>
      <c r="B261" s="4" t="s">
        <v>698</v>
      </c>
    </row>
    <row r="262" ht="15.75" customHeight="1">
      <c r="A262" s="4">
        <v>1004012.0</v>
      </c>
      <c r="B262" s="4" t="s">
        <v>700</v>
      </c>
    </row>
    <row r="263" ht="15.75" customHeight="1">
      <c r="A263" s="4">
        <v>1004013.0</v>
      </c>
      <c r="B263" s="4" t="s">
        <v>702</v>
      </c>
    </row>
    <row r="264" ht="15.75" customHeight="1">
      <c r="A264" s="4">
        <v>1004014.0</v>
      </c>
      <c r="B264" s="4" t="s">
        <v>703</v>
      </c>
    </row>
    <row r="265" ht="15.75" customHeight="1">
      <c r="A265" s="4">
        <v>1004015.0</v>
      </c>
      <c r="B265" s="4" t="s">
        <v>705</v>
      </c>
    </row>
    <row r="266" ht="15.75" customHeight="1">
      <c r="A266" s="4">
        <v>1004016.0</v>
      </c>
      <c r="B266" s="4" t="s">
        <v>707</v>
      </c>
    </row>
    <row r="267" ht="15.75" customHeight="1">
      <c r="A267" s="4">
        <v>1004017.0</v>
      </c>
      <c r="B267" s="4" t="s">
        <v>709</v>
      </c>
    </row>
    <row r="268" ht="15.75" customHeight="1">
      <c r="A268" s="4">
        <v>1004018.0</v>
      </c>
      <c r="B268" s="4" t="s">
        <v>711</v>
      </c>
    </row>
    <row r="269" ht="15.75" customHeight="1">
      <c r="A269" s="4">
        <v>1004019.0</v>
      </c>
      <c r="B269" s="4" t="s">
        <v>713</v>
      </c>
    </row>
    <row r="270" ht="15.75" customHeight="1">
      <c r="A270" s="4">
        <v>1004020.0</v>
      </c>
      <c r="B270" s="4" t="s">
        <v>715</v>
      </c>
    </row>
    <row r="271" ht="15.75" customHeight="1">
      <c r="A271" s="4">
        <v>1004021.0</v>
      </c>
      <c r="B271" s="4" t="s">
        <v>716</v>
      </c>
    </row>
    <row r="272" ht="15.75" customHeight="1">
      <c r="A272" s="4">
        <v>1004022.0</v>
      </c>
      <c r="B272" s="4" t="s">
        <v>718</v>
      </c>
    </row>
    <row r="273" ht="15.75" customHeight="1">
      <c r="A273" s="4">
        <v>1004023.0</v>
      </c>
      <c r="B273" s="4" t="s">
        <v>720</v>
      </c>
    </row>
    <row r="274" ht="15.75" customHeight="1">
      <c r="A274" s="4">
        <v>1004024.0</v>
      </c>
      <c r="B274" s="4" t="s">
        <v>722</v>
      </c>
    </row>
    <row r="275" ht="15.75" customHeight="1">
      <c r="A275" s="4">
        <v>1004025.0</v>
      </c>
      <c r="B275" s="4" t="s">
        <v>724</v>
      </c>
    </row>
    <row r="276" ht="15.75" customHeight="1">
      <c r="A276" s="4">
        <v>1004026.0</v>
      </c>
      <c r="B276" s="4" t="s">
        <v>725</v>
      </c>
    </row>
    <row r="277" ht="15.75" customHeight="1">
      <c r="A277" s="4">
        <v>1004027.0</v>
      </c>
      <c r="B277" s="4" t="s">
        <v>727</v>
      </c>
    </row>
    <row r="278" ht="15.75" customHeight="1">
      <c r="A278" s="4">
        <v>1004028.0</v>
      </c>
      <c r="B278" s="4" t="s">
        <v>729</v>
      </c>
    </row>
    <row r="279" ht="15.75" customHeight="1">
      <c r="A279" s="4">
        <v>1004029.0</v>
      </c>
      <c r="B279" s="4" t="s">
        <v>731</v>
      </c>
    </row>
    <row r="280" ht="15.75" customHeight="1">
      <c r="A280" s="4">
        <v>1004030.0</v>
      </c>
      <c r="B280" s="4" t="s">
        <v>733</v>
      </c>
    </row>
    <row r="281" ht="15.75" customHeight="1">
      <c r="A281" s="4">
        <v>1004031.0</v>
      </c>
      <c r="B281" s="4" t="s">
        <v>735</v>
      </c>
    </row>
    <row r="282" ht="15.75" customHeight="1">
      <c r="A282" s="4">
        <v>1004032.0</v>
      </c>
      <c r="B282" s="4" t="s">
        <v>737</v>
      </c>
    </row>
    <row r="283" ht="15.75" customHeight="1">
      <c r="A283" s="4">
        <v>1004033.0</v>
      </c>
      <c r="B283" s="4" t="s">
        <v>739</v>
      </c>
    </row>
    <row r="284" ht="15.75" customHeight="1">
      <c r="A284" s="4">
        <v>1004034.0</v>
      </c>
      <c r="B284" s="4" t="s">
        <v>740</v>
      </c>
    </row>
    <row r="285" ht="15.75" customHeight="1">
      <c r="A285" s="4">
        <v>1004035.0</v>
      </c>
      <c r="B285" s="4" t="s">
        <v>742</v>
      </c>
    </row>
    <row r="286" ht="15.75" customHeight="1">
      <c r="A286" s="4">
        <v>1004036.0</v>
      </c>
      <c r="B286" s="4" t="s">
        <v>744</v>
      </c>
    </row>
    <row r="287" ht="15.75" customHeight="1">
      <c r="A287" s="4">
        <v>1004037.0</v>
      </c>
      <c r="B287" s="4" t="s">
        <v>746</v>
      </c>
    </row>
    <row r="288" ht="15.75" customHeight="1">
      <c r="A288" s="4">
        <v>1004038.0</v>
      </c>
      <c r="B288" s="4" t="s">
        <v>748</v>
      </c>
    </row>
    <row r="289" ht="15.75" customHeight="1">
      <c r="A289" s="4">
        <v>1004039.0</v>
      </c>
      <c r="B289" s="4" t="s">
        <v>750</v>
      </c>
    </row>
    <row r="290" ht="15.75" customHeight="1">
      <c r="A290" s="4">
        <v>1004040.0</v>
      </c>
      <c r="B290" s="4" t="s">
        <v>752</v>
      </c>
    </row>
    <row r="291" ht="15.75" customHeight="1">
      <c r="A291" s="4">
        <v>1004041.0</v>
      </c>
      <c r="B291" s="4" t="s">
        <v>753</v>
      </c>
    </row>
    <row r="292" ht="15.75" customHeight="1">
      <c r="A292" s="4">
        <v>1004042.0</v>
      </c>
      <c r="B292" s="4" t="s">
        <v>755</v>
      </c>
    </row>
    <row r="293" ht="15.75" customHeight="1">
      <c r="A293" s="4">
        <v>1004043.0</v>
      </c>
      <c r="B293" s="4" t="s">
        <v>757</v>
      </c>
    </row>
    <row r="294" ht="15.75" customHeight="1">
      <c r="A294" s="4">
        <v>1004044.0</v>
      </c>
      <c r="B294" s="4" t="s">
        <v>759</v>
      </c>
    </row>
    <row r="295" ht="15.75" customHeight="1">
      <c r="A295" s="4">
        <v>1004045.0</v>
      </c>
      <c r="B295" s="4" t="s">
        <v>761</v>
      </c>
    </row>
    <row r="296" ht="15.75" customHeight="1">
      <c r="A296" s="4">
        <v>1004046.0</v>
      </c>
      <c r="B296" s="4" t="s">
        <v>763</v>
      </c>
    </row>
    <row r="297" ht="15.75" customHeight="1">
      <c r="A297" s="4">
        <v>1004047.0</v>
      </c>
      <c r="B297" s="4" t="s">
        <v>765</v>
      </c>
    </row>
    <row r="298" ht="15.75" customHeight="1">
      <c r="A298" s="4">
        <v>1004048.0</v>
      </c>
      <c r="B298" s="4" t="s">
        <v>767</v>
      </c>
    </row>
    <row r="299" ht="15.75" customHeight="1">
      <c r="A299" s="4">
        <v>1004049.0</v>
      </c>
      <c r="B299" s="4" t="s">
        <v>768</v>
      </c>
    </row>
    <row r="300" ht="15.75" customHeight="1">
      <c r="A300" s="4">
        <v>1004050.0</v>
      </c>
      <c r="B300" s="4" t="s">
        <v>769</v>
      </c>
    </row>
    <row r="301" ht="15.75" customHeight="1">
      <c r="A301" s="4">
        <v>1004051.0</v>
      </c>
      <c r="B301" s="4" t="s">
        <v>770</v>
      </c>
    </row>
    <row r="302" ht="15.75" customHeight="1">
      <c r="A302" s="4">
        <v>1004052.0</v>
      </c>
      <c r="B302" s="4" t="s">
        <v>772</v>
      </c>
    </row>
    <row r="303" ht="15.75" customHeight="1">
      <c r="A303" s="4">
        <v>1004053.0</v>
      </c>
      <c r="B303" s="4" t="s">
        <v>773</v>
      </c>
    </row>
    <row r="304" ht="15.75" customHeight="1">
      <c r="A304" s="4">
        <v>1004054.0</v>
      </c>
      <c r="B304" s="4" t="s">
        <v>775</v>
      </c>
    </row>
    <row r="305" ht="15.75" customHeight="1">
      <c r="A305" s="4">
        <v>1004055.0</v>
      </c>
      <c r="B305" s="4" t="s">
        <v>777</v>
      </c>
    </row>
    <row r="306" ht="15.75" customHeight="1">
      <c r="A306" s="4">
        <v>1004056.0</v>
      </c>
      <c r="B306" s="4" t="s">
        <v>780</v>
      </c>
    </row>
    <row r="307" ht="15.75" customHeight="1">
      <c r="A307" s="4">
        <v>1004057.0</v>
      </c>
      <c r="B307" s="4" t="s">
        <v>782</v>
      </c>
    </row>
    <row r="308" ht="15.75" customHeight="1">
      <c r="A308" s="4">
        <v>1004058.0</v>
      </c>
      <c r="B308" s="4" t="s">
        <v>784</v>
      </c>
    </row>
    <row r="309" ht="15.75" customHeight="1">
      <c r="A309" s="4">
        <v>1004059.0</v>
      </c>
      <c r="B309" s="4" t="s">
        <v>786</v>
      </c>
    </row>
    <row r="310" ht="15.75" customHeight="1">
      <c r="A310" s="4">
        <v>1004060.0</v>
      </c>
      <c r="B310" s="4" t="s">
        <v>787</v>
      </c>
    </row>
    <row r="311" ht="15.75" customHeight="1">
      <c r="A311" s="4">
        <v>1004061.0</v>
      </c>
      <c r="B311" s="4" t="s">
        <v>789</v>
      </c>
    </row>
    <row r="312" ht="15.75" customHeight="1">
      <c r="A312" s="4">
        <v>1004062.0</v>
      </c>
      <c r="B312" s="4" t="s">
        <v>791</v>
      </c>
    </row>
    <row r="313" ht="15.75" customHeight="1">
      <c r="A313" s="4">
        <v>1004063.0</v>
      </c>
      <c r="B313" s="4" t="s">
        <v>793</v>
      </c>
    </row>
    <row r="314" ht="15.75" customHeight="1">
      <c r="A314" s="4">
        <v>1004064.0</v>
      </c>
      <c r="B314" s="4" t="s">
        <v>795</v>
      </c>
    </row>
    <row r="315" ht="15.75" customHeight="1">
      <c r="A315" s="4">
        <v>1004065.0</v>
      </c>
      <c r="B315" s="4" t="s">
        <v>797</v>
      </c>
    </row>
    <row r="316" ht="15.75" customHeight="1">
      <c r="A316" s="4">
        <v>1004066.0</v>
      </c>
      <c r="B316" s="4" t="s">
        <v>798</v>
      </c>
    </row>
    <row r="317" ht="15.75" customHeight="1">
      <c r="A317" s="4">
        <v>1005001.0</v>
      </c>
      <c r="B317" s="4" t="s">
        <v>800</v>
      </c>
    </row>
    <row r="318" ht="15.75" customHeight="1">
      <c r="A318" s="4">
        <v>1005002.0</v>
      </c>
      <c r="B318" s="4" t="s">
        <v>802</v>
      </c>
    </row>
    <row r="319" ht="15.75" customHeight="1">
      <c r="A319" s="4">
        <v>1005003.0</v>
      </c>
      <c r="B319" s="4" t="s">
        <v>804</v>
      </c>
    </row>
    <row r="320" ht="15.75" customHeight="1">
      <c r="A320" s="4">
        <v>1005004.0</v>
      </c>
      <c r="B320" s="4" t="s">
        <v>807</v>
      </c>
    </row>
    <row r="321" ht="15.75" customHeight="1">
      <c r="A321" s="4">
        <v>1005005.0</v>
      </c>
      <c r="B321" s="4" t="s">
        <v>809</v>
      </c>
    </row>
    <row r="322" ht="15.75" customHeight="1">
      <c r="A322" s="4">
        <v>1005006.0</v>
      </c>
      <c r="B322" s="4" t="s">
        <v>811</v>
      </c>
    </row>
    <row r="323" ht="15.75" customHeight="1">
      <c r="A323" s="4">
        <v>1005007.0</v>
      </c>
      <c r="B323" s="4" t="s">
        <v>812</v>
      </c>
    </row>
    <row r="324" ht="15.75" customHeight="1">
      <c r="A324" s="4">
        <v>1005008.0</v>
      </c>
      <c r="B324" s="4" t="s">
        <v>815</v>
      </c>
    </row>
    <row r="325" ht="15.75" customHeight="1">
      <c r="A325" s="4">
        <v>1005009.0</v>
      </c>
      <c r="B325" s="4" t="s">
        <v>817</v>
      </c>
    </row>
    <row r="326" ht="15.75" customHeight="1">
      <c r="A326" s="4">
        <v>1005010.0</v>
      </c>
      <c r="B326" s="4" t="s">
        <v>819</v>
      </c>
    </row>
    <row r="327" ht="15.75" customHeight="1">
      <c r="A327" s="4">
        <v>1005011.0</v>
      </c>
      <c r="B327" s="4" t="s">
        <v>821</v>
      </c>
    </row>
    <row r="328" ht="15.75" customHeight="1">
      <c r="A328" s="4">
        <v>1005012.0</v>
      </c>
      <c r="B328" s="4" t="s">
        <v>823</v>
      </c>
    </row>
    <row r="329" ht="15.75" customHeight="1">
      <c r="A329" s="4">
        <v>1005013.0</v>
      </c>
      <c r="B329" s="4" t="s">
        <v>827</v>
      </c>
    </row>
    <row r="330" ht="15.75" customHeight="1">
      <c r="A330" s="4">
        <v>1005014.0</v>
      </c>
      <c r="B330" s="4" t="s">
        <v>833</v>
      </c>
    </row>
    <row r="331" ht="15.75" customHeight="1">
      <c r="A331" s="4">
        <v>1005015.0</v>
      </c>
      <c r="B331" s="4" t="s">
        <v>837</v>
      </c>
    </row>
    <row r="332" ht="15.75" customHeight="1">
      <c r="A332" s="4">
        <v>1005016.0</v>
      </c>
      <c r="B332" s="4" t="s">
        <v>839</v>
      </c>
    </row>
    <row r="333" ht="15.75" customHeight="1">
      <c r="A333" s="4">
        <v>1005017.0</v>
      </c>
      <c r="B333" s="4" t="s">
        <v>841</v>
      </c>
    </row>
    <row r="334" ht="15.75" customHeight="1">
      <c r="A334" s="4">
        <v>1005018.0</v>
      </c>
      <c r="B334" s="4" t="s">
        <v>844</v>
      </c>
    </row>
    <row r="335" ht="15.75" customHeight="1">
      <c r="A335" s="4">
        <v>1005019.0</v>
      </c>
      <c r="B335" s="4" t="s">
        <v>847</v>
      </c>
    </row>
    <row r="336" ht="15.75" customHeight="1">
      <c r="A336" s="4">
        <v>1005020.0</v>
      </c>
      <c r="B336" s="4" t="s">
        <v>850</v>
      </c>
    </row>
    <row r="337" ht="15.75" customHeight="1">
      <c r="A337" s="4">
        <v>1005021.0</v>
      </c>
      <c r="B337" s="4" t="s">
        <v>852</v>
      </c>
    </row>
    <row r="338" ht="15.75" customHeight="1">
      <c r="A338" s="4">
        <v>1005022.0</v>
      </c>
      <c r="B338" s="4" t="s">
        <v>855</v>
      </c>
    </row>
    <row r="339" ht="15.75" customHeight="1">
      <c r="A339" s="4">
        <v>1005023.0</v>
      </c>
      <c r="B339" s="4" t="s">
        <v>858</v>
      </c>
    </row>
    <row r="340" ht="15.75" customHeight="1">
      <c r="A340" s="4">
        <v>1005024.0</v>
      </c>
      <c r="B340" s="4" t="s">
        <v>861</v>
      </c>
    </row>
    <row r="341" ht="15.75" customHeight="1">
      <c r="A341" s="4">
        <v>1005025.0</v>
      </c>
      <c r="B341" s="4" t="s">
        <v>864</v>
      </c>
    </row>
    <row r="342" ht="15.75" customHeight="1">
      <c r="A342" s="4">
        <v>1005026.0</v>
      </c>
      <c r="B342" s="4" t="s">
        <v>867</v>
      </c>
    </row>
    <row r="343" ht="15.75" customHeight="1">
      <c r="A343" s="4">
        <v>1005027.0</v>
      </c>
      <c r="B343" s="4" t="s">
        <v>869</v>
      </c>
    </row>
    <row r="344" ht="15.75" customHeight="1">
      <c r="A344" s="4">
        <v>1005028.0</v>
      </c>
      <c r="B344" s="4" t="s">
        <v>872</v>
      </c>
    </row>
    <row r="345" ht="15.75" customHeight="1">
      <c r="A345" s="4">
        <v>1005029.0</v>
      </c>
      <c r="B345" s="4" t="s">
        <v>874</v>
      </c>
    </row>
    <row r="346" ht="15.75" customHeight="1">
      <c r="A346" s="4">
        <v>1005030.0</v>
      </c>
      <c r="B346" s="4" t="s">
        <v>877</v>
      </c>
    </row>
    <row r="347" ht="15.75" customHeight="1">
      <c r="A347" s="4">
        <v>1005031.0</v>
      </c>
      <c r="B347" s="4" t="s">
        <v>880</v>
      </c>
    </row>
    <row r="348" ht="15.75" customHeight="1">
      <c r="A348" s="4">
        <v>1005032.0</v>
      </c>
      <c r="B348" s="4" t="s">
        <v>883</v>
      </c>
    </row>
    <row r="349" ht="15.75" customHeight="1">
      <c r="A349" s="4">
        <v>1005033.0</v>
      </c>
      <c r="B349" s="4" t="s">
        <v>886</v>
      </c>
    </row>
    <row r="350" ht="15.75" customHeight="1">
      <c r="A350" s="4">
        <v>1005034.0</v>
      </c>
      <c r="B350" s="4" t="s">
        <v>889</v>
      </c>
    </row>
    <row r="351" ht="15.75" customHeight="1">
      <c r="A351" s="4">
        <v>1005035.0</v>
      </c>
      <c r="B351" s="4" t="s">
        <v>894</v>
      </c>
    </row>
    <row r="352" ht="15.75" customHeight="1">
      <c r="A352" s="4">
        <v>1005036.0</v>
      </c>
      <c r="B352" s="4" t="s">
        <v>896</v>
      </c>
    </row>
    <row r="353" ht="15.75" customHeight="1">
      <c r="A353" s="4">
        <v>1005037.0</v>
      </c>
      <c r="B353" s="4" t="s">
        <v>897</v>
      </c>
    </row>
    <row r="354" ht="15.75" customHeight="1">
      <c r="A354" s="4">
        <v>1005038.0</v>
      </c>
      <c r="B354" s="4" t="s">
        <v>899</v>
      </c>
    </row>
    <row r="355" ht="15.75" customHeight="1">
      <c r="A355" s="4">
        <v>1005039.0</v>
      </c>
      <c r="B355" s="4" t="s">
        <v>900</v>
      </c>
    </row>
    <row r="356" ht="15.75" customHeight="1">
      <c r="A356" s="4">
        <v>1005040.0</v>
      </c>
      <c r="B356" s="4" t="s">
        <v>901</v>
      </c>
    </row>
    <row r="357" ht="15.75" customHeight="1">
      <c r="A357" s="4">
        <v>1005041.0</v>
      </c>
      <c r="B357" s="4" t="s">
        <v>902</v>
      </c>
    </row>
    <row r="358" ht="15.75" customHeight="1">
      <c r="A358" s="4">
        <v>1005042.0</v>
      </c>
      <c r="B358" s="4" t="s">
        <v>903</v>
      </c>
    </row>
    <row r="359" ht="15.75" customHeight="1">
      <c r="A359" s="4">
        <v>1006001.0</v>
      </c>
      <c r="B359" s="4" t="s">
        <v>905</v>
      </c>
    </row>
    <row r="360" ht="15.75" customHeight="1">
      <c r="A360" s="4">
        <v>1006002.0</v>
      </c>
      <c r="B360" s="4" t="s">
        <v>906</v>
      </c>
    </row>
    <row r="361" ht="15.75" customHeight="1">
      <c r="A361" s="4">
        <v>1006003.0</v>
      </c>
      <c r="B361" s="4" t="s">
        <v>907</v>
      </c>
    </row>
    <row r="362" ht="15.75" customHeight="1">
      <c r="A362" s="4">
        <v>1006004.0</v>
      </c>
      <c r="B362" s="4" t="s">
        <v>908</v>
      </c>
    </row>
    <row r="363" ht="15.75" customHeight="1">
      <c r="A363" s="4">
        <v>1006005.0</v>
      </c>
      <c r="B363" s="4" t="s">
        <v>910</v>
      </c>
    </row>
    <row r="364" ht="15.75" customHeight="1">
      <c r="A364" s="4">
        <v>1006006.0</v>
      </c>
      <c r="B364" s="4" t="s">
        <v>913</v>
      </c>
    </row>
    <row r="365" ht="15.75" customHeight="1">
      <c r="A365" s="4">
        <v>1006007.0</v>
      </c>
      <c r="B365" s="4" t="s">
        <v>914</v>
      </c>
    </row>
    <row r="366" ht="15.75" customHeight="1">
      <c r="A366" s="4">
        <v>1006008.0</v>
      </c>
      <c r="B366" s="4" t="s">
        <v>915</v>
      </c>
    </row>
    <row r="367" ht="15.75" customHeight="1">
      <c r="A367" s="4">
        <v>1006009.0</v>
      </c>
      <c r="B367" s="4" t="s">
        <v>916</v>
      </c>
    </row>
    <row r="368" ht="15.75" customHeight="1">
      <c r="A368" s="4">
        <v>1006010.0</v>
      </c>
      <c r="B368" s="4" t="s">
        <v>918</v>
      </c>
    </row>
    <row r="369" ht="15.75" customHeight="1">
      <c r="A369" s="4">
        <v>1006011.0</v>
      </c>
      <c r="B369" s="4" t="s">
        <v>919</v>
      </c>
    </row>
    <row r="370" ht="15.75" customHeight="1">
      <c r="A370" s="4">
        <v>1006012.0</v>
      </c>
      <c r="B370" s="4" t="s">
        <v>920</v>
      </c>
    </row>
    <row r="371" ht="15.75" customHeight="1">
      <c r="A371" s="4">
        <v>1006013.0</v>
      </c>
      <c r="B371" s="4" t="s">
        <v>922</v>
      </c>
    </row>
    <row r="372" ht="15.75" customHeight="1">
      <c r="A372" s="4">
        <v>1006014.0</v>
      </c>
      <c r="B372" s="4" t="s">
        <v>924</v>
      </c>
    </row>
    <row r="373" ht="15.75" customHeight="1">
      <c r="A373" s="4">
        <v>1006015.0</v>
      </c>
      <c r="B373" s="4" t="s">
        <v>926</v>
      </c>
    </row>
    <row r="374" ht="15.75" customHeight="1">
      <c r="A374" s="4">
        <v>1006016.0</v>
      </c>
      <c r="B374" s="4" t="s">
        <v>928</v>
      </c>
    </row>
    <row r="375" ht="15.75" customHeight="1">
      <c r="A375" s="4">
        <v>1006017.0</v>
      </c>
      <c r="B375" s="4" t="s">
        <v>929</v>
      </c>
    </row>
    <row r="376" ht="15.75" customHeight="1">
      <c r="A376" s="4">
        <v>1006018.0</v>
      </c>
      <c r="B376" s="4" t="s">
        <v>931</v>
      </c>
    </row>
    <row r="377" ht="15.75" customHeight="1">
      <c r="A377" s="4">
        <v>1006019.0</v>
      </c>
      <c r="B377" s="4" t="s">
        <v>933</v>
      </c>
    </row>
    <row r="378" ht="15.75" customHeight="1">
      <c r="A378" s="4">
        <v>1006020.0</v>
      </c>
      <c r="B378" s="4" t="s">
        <v>935</v>
      </c>
    </row>
    <row r="379" ht="15.75" customHeight="1">
      <c r="A379" s="4">
        <v>1006021.0</v>
      </c>
      <c r="B379" s="4" t="s">
        <v>937</v>
      </c>
    </row>
    <row r="380" ht="15.75" customHeight="1">
      <c r="A380" s="4">
        <v>1006022.0</v>
      </c>
      <c r="B380" s="4" t="s">
        <v>939</v>
      </c>
    </row>
    <row r="381" ht="15.75" customHeight="1">
      <c r="A381" s="4">
        <v>1006023.0</v>
      </c>
      <c r="B381" s="4" t="s">
        <v>940</v>
      </c>
    </row>
    <row r="382" ht="15.75" customHeight="1">
      <c r="A382" s="4">
        <v>1006024.0</v>
      </c>
      <c r="B382" s="4" t="s">
        <v>942</v>
      </c>
    </row>
    <row r="383" ht="15.75" customHeight="1">
      <c r="A383" s="4">
        <v>1006025.0</v>
      </c>
      <c r="B383" s="4" t="s">
        <v>944</v>
      </c>
    </row>
    <row r="384" ht="15.75" customHeight="1">
      <c r="A384" s="4">
        <v>1006026.0</v>
      </c>
      <c r="B384" s="4" t="s">
        <v>946</v>
      </c>
    </row>
    <row r="385" ht="15.75" customHeight="1">
      <c r="A385" s="4">
        <v>1006027.0</v>
      </c>
      <c r="B385" s="4" t="s">
        <v>948</v>
      </c>
    </row>
    <row r="386" ht="15.75" customHeight="1">
      <c r="A386" s="4">
        <v>1006028.0</v>
      </c>
      <c r="B386" s="4" t="s">
        <v>950</v>
      </c>
    </row>
    <row r="387" ht="15.75" customHeight="1">
      <c r="A387" s="4">
        <v>1006029.0</v>
      </c>
      <c r="B387" s="4" t="s">
        <v>952</v>
      </c>
    </row>
    <row r="388" ht="15.75" customHeight="1">
      <c r="A388" s="4">
        <v>1006030.0</v>
      </c>
      <c r="B388" s="4" t="s">
        <v>953</v>
      </c>
    </row>
    <row r="389" ht="15.75" customHeight="1">
      <c r="A389" s="4">
        <v>1006031.0</v>
      </c>
      <c r="B389" s="4" t="s">
        <v>954</v>
      </c>
    </row>
    <row r="390" ht="15.75" customHeight="1">
      <c r="A390" s="4">
        <v>1006032.0</v>
      </c>
      <c r="B390" s="4" t="s">
        <v>955</v>
      </c>
    </row>
    <row r="391" ht="15.75" customHeight="1">
      <c r="A391" s="4">
        <v>1006033.0</v>
      </c>
      <c r="B391" s="4" t="s">
        <v>956</v>
      </c>
    </row>
    <row r="392" ht="15.75" customHeight="1">
      <c r="A392" s="4">
        <v>1006034.0</v>
      </c>
      <c r="B392" s="4" t="s">
        <v>958</v>
      </c>
    </row>
    <row r="393" ht="15.75" customHeight="1">
      <c r="A393" s="4">
        <v>1006035.0</v>
      </c>
      <c r="B393" s="4" t="s">
        <v>959</v>
      </c>
    </row>
    <row r="394" ht="15.75" customHeight="1">
      <c r="A394" s="4">
        <v>1006036.0</v>
      </c>
      <c r="B394" s="4" t="s">
        <v>960</v>
      </c>
    </row>
    <row r="395" ht="15.75" customHeight="1">
      <c r="A395" s="4">
        <v>1006037.0</v>
      </c>
      <c r="B395" s="4" t="s">
        <v>961</v>
      </c>
    </row>
    <row r="396" ht="15.75" customHeight="1">
      <c r="A396" s="4">
        <v>1006038.0</v>
      </c>
      <c r="B396" s="4" t="s">
        <v>962</v>
      </c>
    </row>
    <row r="397" ht="15.75" customHeight="1">
      <c r="A397" s="4">
        <v>1006039.0</v>
      </c>
      <c r="B397" s="4" t="s">
        <v>964</v>
      </c>
    </row>
    <row r="398" ht="15.75" customHeight="1">
      <c r="A398" s="4">
        <v>1006040.0</v>
      </c>
      <c r="B398" s="4" t="s">
        <v>965</v>
      </c>
    </row>
    <row r="399" ht="15.75" customHeight="1">
      <c r="A399" s="4">
        <v>1006041.0</v>
      </c>
      <c r="B399" s="4" t="s">
        <v>966</v>
      </c>
    </row>
    <row r="400" ht="15.75" customHeight="1">
      <c r="A400" s="4">
        <v>1006042.0</v>
      </c>
      <c r="B400" s="4" t="s">
        <v>967</v>
      </c>
    </row>
    <row r="401" ht="15.75" customHeight="1">
      <c r="A401" s="4">
        <v>1006043.0</v>
      </c>
      <c r="B401" s="4" t="s">
        <v>968</v>
      </c>
    </row>
    <row r="402" ht="15.75" customHeight="1">
      <c r="A402" s="4">
        <v>1006044.0</v>
      </c>
      <c r="B402" s="4" t="s">
        <v>969</v>
      </c>
    </row>
    <row r="403" ht="15.75" customHeight="1">
      <c r="A403" s="4">
        <v>1006045.0</v>
      </c>
      <c r="B403" s="4" t="s">
        <v>971</v>
      </c>
    </row>
    <row r="404" ht="15.75" customHeight="1">
      <c r="A404" s="4">
        <v>1006046.0</v>
      </c>
      <c r="B404" s="4" t="s">
        <v>972</v>
      </c>
    </row>
    <row r="405" ht="15.75" customHeight="1">
      <c r="A405" s="4">
        <v>1006047.0</v>
      </c>
      <c r="B405" s="4" t="s">
        <v>973</v>
      </c>
    </row>
    <row r="406" ht="15.75" customHeight="1">
      <c r="A406" s="4">
        <v>1006048.0</v>
      </c>
      <c r="B406" s="4" t="s">
        <v>974</v>
      </c>
    </row>
    <row r="407" ht="15.75" customHeight="1">
      <c r="A407" s="4">
        <v>1006049.0</v>
      </c>
      <c r="B407" s="4" t="s">
        <v>975</v>
      </c>
    </row>
    <row r="408" ht="15.75" customHeight="1">
      <c r="A408" s="4">
        <v>1006050.0</v>
      </c>
      <c r="B408" s="4" t="s">
        <v>977</v>
      </c>
    </row>
    <row r="409" ht="15.75" customHeight="1">
      <c r="A409" s="4">
        <v>1006051.0</v>
      </c>
      <c r="B409" s="4" t="s">
        <v>979</v>
      </c>
    </row>
    <row r="410" ht="15.75" customHeight="1">
      <c r="A410" s="4">
        <v>1006052.0</v>
      </c>
      <c r="B410" s="4" t="s">
        <v>981</v>
      </c>
    </row>
    <row r="411" ht="15.75" customHeight="1">
      <c r="A411" s="4">
        <v>1006053.0</v>
      </c>
      <c r="B411" s="4" t="s">
        <v>983</v>
      </c>
    </row>
    <row r="412" ht="15.75" customHeight="1">
      <c r="A412" s="4">
        <v>1006054.0</v>
      </c>
      <c r="B412" s="4" t="s">
        <v>984</v>
      </c>
    </row>
    <row r="413" ht="15.75" customHeight="1">
      <c r="A413" s="4">
        <v>1006055.0</v>
      </c>
      <c r="B413" s="4" t="s">
        <v>986</v>
      </c>
    </row>
    <row r="414" ht="15.75" customHeight="1">
      <c r="A414" s="4">
        <v>1006056.0</v>
      </c>
      <c r="B414" s="4" t="s">
        <v>988</v>
      </c>
    </row>
    <row r="415" ht="15.75" customHeight="1">
      <c r="A415" s="4">
        <v>1006057.0</v>
      </c>
      <c r="B415" s="4" t="s">
        <v>990</v>
      </c>
    </row>
    <row r="416" ht="15.75" customHeight="1">
      <c r="A416" s="4">
        <v>1006058.0</v>
      </c>
      <c r="B416" s="4" t="s">
        <v>992</v>
      </c>
    </row>
    <row r="417" ht="15.75" customHeight="1">
      <c r="A417" s="4">
        <v>1006059.0</v>
      </c>
      <c r="B417" s="4" t="s">
        <v>993</v>
      </c>
    </row>
    <row r="418" ht="15.75" customHeight="1">
      <c r="A418" s="4">
        <v>1006060.0</v>
      </c>
      <c r="B418" s="4" t="s">
        <v>994</v>
      </c>
    </row>
    <row r="419" ht="15.75" customHeight="1">
      <c r="A419" s="4">
        <v>1006061.0</v>
      </c>
      <c r="B419" s="4" t="s">
        <v>995</v>
      </c>
    </row>
    <row r="420" ht="15.75" customHeight="1">
      <c r="A420" s="4">
        <v>1006062.0</v>
      </c>
      <c r="B420" s="4" t="s">
        <v>996</v>
      </c>
    </row>
    <row r="421" ht="15.75" customHeight="1">
      <c r="A421" s="4">
        <v>1006063.0</v>
      </c>
      <c r="B421" s="4" t="s">
        <v>997</v>
      </c>
    </row>
    <row r="422" ht="15.75" customHeight="1">
      <c r="A422" s="4">
        <v>1006064.0</v>
      </c>
      <c r="B422" s="4" t="s">
        <v>998</v>
      </c>
    </row>
    <row r="423" ht="15.75" customHeight="1">
      <c r="A423" s="4">
        <v>1006065.0</v>
      </c>
      <c r="B423" s="4" t="s">
        <v>999</v>
      </c>
    </row>
    <row r="424" ht="15.75" customHeight="1">
      <c r="A424" s="4">
        <v>1006066.0</v>
      </c>
      <c r="B424" s="4" t="s">
        <v>1000</v>
      </c>
    </row>
    <row r="425" ht="15.75" customHeight="1">
      <c r="A425" s="4">
        <v>1006067.0</v>
      </c>
      <c r="B425" s="4" t="s">
        <v>1001</v>
      </c>
    </row>
    <row r="426" ht="15.75" customHeight="1">
      <c r="A426" s="4">
        <v>1006068.0</v>
      </c>
      <c r="B426" s="4" t="s">
        <v>1002</v>
      </c>
    </row>
    <row r="427" ht="15.75" customHeight="1">
      <c r="A427" s="4">
        <v>1006069.0</v>
      </c>
      <c r="B427" s="4" t="s">
        <v>1003</v>
      </c>
    </row>
    <row r="428" ht="15.75" customHeight="1">
      <c r="A428" s="4">
        <v>1006070.0</v>
      </c>
      <c r="B428" s="4" t="s">
        <v>1004</v>
      </c>
    </row>
    <row r="429" ht="15.75" customHeight="1">
      <c r="A429" s="4">
        <v>1006071.0</v>
      </c>
      <c r="B429" s="4" t="s">
        <v>1005</v>
      </c>
    </row>
    <row r="430" ht="15.75" customHeight="1">
      <c r="A430" s="4">
        <v>1006072.0</v>
      </c>
      <c r="B430" s="4" t="s">
        <v>1006</v>
      </c>
    </row>
    <row r="431" ht="15.75" customHeight="1">
      <c r="A431" s="4">
        <v>1006073.0</v>
      </c>
      <c r="B431" s="4" t="s">
        <v>1007</v>
      </c>
    </row>
    <row r="432" ht="15.75" customHeight="1">
      <c r="A432" s="4">
        <v>1006074.0</v>
      </c>
      <c r="B432" s="4" t="s">
        <v>1008</v>
      </c>
    </row>
    <row r="433" ht="15.75" customHeight="1">
      <c r="A433" s="4">
        <v>1006075.0</v>
      </c>
      <c r="B433" s="4" t="s">
        <v>1009</v>
      </c>
    </row>
    <row r="434" ht="15.75" customHeight="1">
      <c r="A434" s="4">
        <v>1006076.0</v>
      </c>
      <c r="B434" s="4" t="s">
        <v>1010</v>
      </c>
    </row>
    <row r="435" ht="15.75" customHeight="1">
      <c r="A435" s="4">
        <v>1006077.0</v>
      </c>
      <c r="B435" s="4" t="s">
        <v>1011</v>
      </c>
    </row>
    <row r="436" ht="15.75" customHeight="1">
      <c r="A436" s="4">
        <v>1006078.0</v>
      </c>
      <c r="B436" s="4" t="s">
        <v>1012</v>
      </c>
    </row>
    <row r="437" ht="15.75" customHeight="1">
      <c r="A437" s="4">
        <v>1006079.0</v>
      </c>
      <c r="B437" s="4" t="s">
        <v>1013</v>
      </c>
    </row>
    <row r="438" ht="15.75" customHeight="1">
      <c r="A438" s="4">
        <v>1006080.0</v>
      </c>
      <c r="B438" s="4" t="s">
        <v>1014</v>
      </c>
    </row>
    <row r="439" ht="15.75" customHeight="1">
      <c r="A439" s="4">
        <v>1006081.0</v>
      </c>
      <c r="B439" s="4" t="s">
        <v>1015</v>
      </c>
    </row>
    <row r="440" ht="15.75" customHeight="1">
      <c r="A440" s="4">
        <v>1006082.0</v>
      </c>
      <c r="B440" s="4" t="s">
        <v>1016</v>
      </c>
    </row>
    <row r="441" ht="15.75" customHeight="1">
      <c r="A441" s="4">
        <v>1006083.0</v>
      </c>
      <c r="B441" s="4" t="s">
        <v>1017</v>
      </c>
    </row>
    <row r="442" ht="15.75" customHeight="1">
      <c r="A442" s="4">
        <v>1006084.0</v>
      </c>
      <c r="B442" s="4" t="s">
        <v>1018</v>
      </c>
    </row>
    <row r="443" ht="15.75" customHeight="1">
      <c r="A443" s="4">
        <v>1006085.0</v>
      </c>
      <c r="B443" s="4" t="s">
        <v>1019</v>
      </c>
    </row>
    <row r="444" ht="15.75" customHeight="1">
      <c r="A444" s="4">
        <v>1006086.0</v>
      </c>
      <c r="B444" s="4" t="s">
        <v>1020</v>
      </c>
    </row>
    <row r="445" ht="15.75" customHeight="1">
      <c r="A445" s="4">
        <v>1006087.0</v>
      </c>
      <c r="B445" s="4" t="s">
        <v>1021</v>
      </c>
    </row>
    <row r="446" ht="15.75" customHeight="1">
      <c r="A446" s="4">
        <v>1006088.0</v>
      </c>
      <c r="B446" s="4" t="s">
        <v>1022</v>
      </c>
    </row>
    <row r="447" ht="15.75" customHeight="1">
      <c r="A447" s="4">
        <v>1006089.0</v>
      </c>
      <c r="B447" s="4" t="s">
        <v>1023</v>
      </c>
    </row>
    <row r="448" ht="15.75" customHeight="1">
      <c r="A448" s="4">
        <v>1006090.0</v>
      </c>
      <c r="B448" s="4" t="s">
        <v>1024</v>
      </c>
    </row>
    <row r="449" ht="15.75" customHeight="1">
      <c r="A449" s="4">
        <v>1006091.0</v>
      </c>
      <c r="B449" s="4" t="s">
        <v>1025</v>
      </c>
    </row>
    <row r="450" ht="15.75" customHeight="1">
      <c r="A450" s="4">
        <v>1006092.0</v>
      </c>
      <c r="B450" s="4" t="s">
        <v>1026</v>
      </c>
    </row>
    <row r="451" ht="15.75" customHeight="1">
      <c r="A451" s="4">
        <v>1006093.0</v>
      </c>
      <c r="B451" s="4" t="s">
        <v>1027</v>
      </c>
    </row>
    <row r="452" ht="15.75" customHeight="1">
      <c r="A452" s="4">
        <v>1006094.0</v>
      </c>
      <c r="B452" s="4" t="s">
        <v>1028</v>
      </c>
    </row>
    <row r="453" ht="15.75" customHeight="1">
      <c r="A453" s="4">
        <v>1006095.0</v>
      </c>
      <c r="B453" s="4" t="s">
        <v>1029</v>
      </c>
    </row>
    <row r="454" ht="15.75" customHeight="1">
      <c r="A454" s="4">
        <v>1006096.0</v>
      </c>
      <c r="B454" s="4" t="s">
        <v>1030</v>
      </c>
    </row>
    <row r="455" ht="15.75" customHeight="1">
      <c r="A455" s="4">
        <v>1006097.0</v>
      </c>
      <c r="B455" s="4" t="s">
        <v>1031</v>
      </c>
    </row>
    <row r="456" ht="15.75" customHeight="1">
      <c r="A456" s="4">
        <v>1006098.0</v>
      </c>
      <c r="B456" s="4" t="s">
        <v>1032</v>
      </c>
    </row>
    <row r="457" ht="15.75" customHeight="1">
      <c r="A457" s="4">
        <v>1006099.0</v>
      </c>
      <c r="B457" s="4" t="s">
        <v>1033</v>
      </c>
    </row>
    <row r="458" ht="15.75" customHeight="1">
      <c r="A458" s="4">
        <v>1006100.0</v>
      </c>
      <c r="B458" s="4" t="s">
        <v>1034</v>
      </c>
    </row>
    <row r="459" ht="15.75" customHeight="1">
      <c r="A459" s="4">
        <v>1006101.0</v>
      </c>
      <c r="B459" s="4" t="s">
        <v>1035</v>
      </c>
    </row>
    <row r="460" ht="15.75" customHeight="1">
      <c r="A460" s="4">
        <v>1006102.0</v>
      </c>
      <c r="B460" s="4" t="s">
        <v>1036</v>
      </c>
    </row>
    <row r="461" ht="15.75" customHeight="1">
      <c r="A461" s="4">
        <v>1006103.0</v>
      </c>
      <c r="B461" s="4" t="s">
        <v>1037</v>
      </c>
    </row>
    <row r="462" ht="15.75" customHeight="1">
      <c r="A462" s="4">
        <v>1006104.0</v>
      </c>
      <c r="B462" s="4" t="s">
        <v>1038</v>
      </c>
    </row>
    <row r="463" ht="15.75" customHeight="1">
      <c r="A463" s="4">
        <v>1006105.0</v>
      </c>
      <c r="B463" s="4" t="s">
        <v>1039</v>
      </c>
    </row>
    <row r="464" ht="15.75" customHeight="1">
      <c r="A464" s="4">
        <v>1006106.0</v>
      </c>
      <c r="B464" s="4" t="s">
        <v>1040</v>
      </c>
    </row>
    <row r="465" ht="15.75" customHeight="1">
      <c r="A465" s="4">
        <v>1006107.0</v>
      </c>
      <c r="B465" s="4" t="s">
        <v>1041</v>
      </c>
    </row>
    <row r="466" ht="15.75" customHeight="1">
      <c r="A466" s="4">
        <v>1006108.0</v>
      </c>
      <c r="B466" s="4" t="s">
        <v>1042</v>
      </c>
    </row>
    <row r="467" ht="15.75" customHeight="1">
      <c r="A467" s="4">
        <v>1006109.0</v>
      </c>
      <c r="B467" s="4" t="s">
        <v>1043</v>
      </c>
    </row>
    <row r="468" ht="15.75" customHeight="1">
      <c r="A468" s="4">
        <v>1006110.0</v>
      </c>
      <c r="B468" s="4" t="s">
        <v>1044</v>
      </c>
    </row>
    <row r="469" ht="15.75" customHeight="1">
      <c r="A469" s="4">
        <v>1006111.0</v>
      </c>
      <c r="B469" s="4" t="s">
        <v>1045</v>
      </c>
    </row>
    <row r="470" ht="15.75" customHeight="1">
      <c r="A470" s="4">
        <v>1006112.0</v>
      </c>
      <c r="B470" s="4" t="s">
        <v>1046</v>
      </c>
    </row>
    <row r="471" ht="15.75" customHeight="1">
      <c r="A471" s="4">
        <v>1006113.0</v>
      </c>
      <c r="B471" s="4" t="s">
        <v>1047</v>
      </c>
    </row>
    <row r="472" ht="15.75" customHeight="1">
      <c r="A472" s="4">
        <v>1006114.0</v>
      </c>
      <c r="B472" s="4" t="s">
        <v>1048</v>
      </c>
    </row>
    <row r="473" ht="15.75" customHeight="1">
      <c r="A473" s="4">
        <v>1006115.0</v>
      </c>
      <c r="B473" s="4" t="s">
        <v>1049</v>
      </c>
    </row>
    <row r="474" ht="15.75" customHeight="1">
      <c r="A474" s="4">
        <v>1006116.0</v>
      </c>
      <c r="B474" s="4" t="s">
        <v>1050</v>
      </c>
    </row>
    <row r="475" ht="15.75" customHeight="1">
      <c r="A475" s="4">
        <v>1006117.0</v>
      </c>
      <c r="B475" s="4" t="s">
        <v>1051</v>
      </c>
    </row>
    <row r="476" ht="15.75" customHeight="1">
      <c r="A476" s="4">
        <v>1006118.0</v>
      </c>
      <c r="B476" s="4" t="s">
        <v>1052</v>
      </c>
    </row>
    <row r="477" ht="15.75" customHeight="1">
      <c r="A477" s="4">
        <v>1006119.0</v>
      </c>
      <c r="B477" s="4" t="s">
        <v>1053</v>
      </c>
    </row>
    <row r="478" ht="15.75" customHeight="1">
      <c r="A478" s="4">
        <v>1006120.0</v>
      </c>
      <c r="B478" s="4" t="s">
        <v>1054</v>
      </c>
    </row>
    <row r="479" ht="15.75" customHeight="1">
      <c r="A479" s="4">
        <v>1006121.0</v>
      </c>
      <c r="B479" s="4" t="s">
        <v>1055</v>
      </c>
    </row>
    <row r="480" ht="15.75" customHeight="1">
      <c r="A480" s="4">
        <v>1006122.0</v>
      </c>
      <c r="B480" s="4" t="s">
        <v>1056</v>
      </c>
    </row>
    <row r="481" ht="15.75" customHeight="1">
      <c r="A481" s="4">
        <v>1006123.0</v>
      </c>
      <c r="B481" s="4" t="s">
        <v>1057</v>
      </c>
    </row>
    <row r="482" ht="15.75" customHeight="1">
      <c r="A482" s="4">
        <v>1006124.0</v>
      </c>
      <c r="B482" s="4" t="s">
        <v>1058</v>
      </c>
    </row>
    <row r="483" ht="15.75" customHeight="1">
      <c r="A483" s="4">
        <v>1006125.0</v>
      </c>
      <c r="B483" s="4" t="s">
        <v>1059</v>
      </c>
    </row>
    <row r="484" ht="15.75" customHeight="1">
      <c r="A484" s="4">
        <v>1006126.0</v>
      </c>
      <c r="B484" s="4" t="s">
        <v>1060</v>
      </c>
    </row>
    <row r="485" ht="15.75" customHeight="1">
      <c r="A485" s="4">
        <v>1006127.0</v>
      </c>
      <c r="B485" s="4" t="s">
        <v>1061</v>
      </c>
    </row>
    <row r="486" ht="15.75" customHeight="1">
      <c r="A486" s="4">
        <v>1006128.0</v>
      </c>
      <c r="B486" s="4" t="s">
        <v>1062</v>
      </c>
    </row>
    <row r="487" ht="15.75" customHeight="1">
      <c r="A487" s="4">
        <v>1006129.0</v>
      </c>
      <c r="B487" s="4" t="s">
        <v>1063</v>
      </c>
    </row>
    <row r="488" ht="15.75" customHeight="1">
      <c r="A488" s="4">
        <v>1006130.0</v>
      </c>
      <c r="B488" s="4" t="s">
        <v>1064</v>
      </c>
    </row>
    <row r="489" ht="15.75" customHeight="1">
      <c r="A489" s="4">
        <v>1006131.0</v>
      </c>
      <c r="B489" s="4" t="s">
        <v>1065</v>
      </c>
    </row>
    <row r="490" ht="15.75" customHeight="1">
      <c r="A490" s="4">
        <v>1006132.0</v>
      </c>
      <c r="B490" s="4" t="s">
        <v>1066</v>
      </c>
    </row>
    <row r="491" ht="15.75" customHeight="1">
      <c r="A491" s="4">
        <v>1006133.0</v>
      </c>
      <c r="B491" s="4" t="s">
        <v>1067</v>
      </c>
    </row>
    <row r="492" ht="15.75" customHeight="1">
      <c r="A492" s="4">
        <v>1006134.0</v>
      </c>
      <c r="B492" s="4" t="s">
        <v>1068</v>
      </c>
    </row>
    <row r="493" ht="15.75" customHeight="1">
      <c r="A493" s="4">
        <v>1006135.0</v>
      </c>
      <c r="B493" s="4" t="s">
        <v>1069</v>
      </c>
    </row>
    <row r="494" ht="15.75" customHeight="1">
      <c r="A494" s="4">
        <v>1006136.0</v>
      </c>
      <c r="B494" s="4" t="s">
        <v>1070</v>
      </c>
    </row>
    <row r="495" ht="15.75" customHeight="1">
      <c r="A495" s="4">
        <v>1006137.0</v>
      </c>
      <c r="B495" s="4" t="s">
        <v>1071</v>
      </c>
    </row>
    <row r="496" ht="15.75" customHeight="1">
      <c r="A496" s="4">
        <v>1006138.0</v>
      </c>
      <c r="B496" s="4" t="s">
        <v>1072</v>
      </c>
    </row>
    <row r="497" ht="15.75" customHeight="1">
      <c r="A497" s="4">
        <v>1006139.0</v>
      </c>
      <c r="B497" s="4" t="s">
        <v>1073</v>
      </c>
    </row>
    <row r="498" ht="15.75" customHeight="1">
      <c r="A498" s="4">
        <v>1006140.0</v>
      </c>
      <c r="B498" s="4" t="s">
        <v>1074</v>
      </c>
    </row>
    <row r="499" ht="15.75" customHeight="1">
      <c r="A499" s="4">
        <v>1006141.0</v>
      </c>
      <c r="B499" s="4" t="s">
        <v>1075</v>
      </c>
    </row>
    <row r="500" ht="15.75" customHeight="1">
      <c r="A500" s="4">
        <v>1006142.0</v>
      </c>
      <c r="B500" s="4" t="s">
        <v>1076</v>
      </c>
    </row>
    <row r="501" ht="15.75" customHeight="1">
      <c r="A501" s="4">
        <v>1006143.0</v>
      </c>
      <c r="B501" s="4" t="s">
        <v>1077</v>
      </c>
    </row>
    <row r="502" ht="15.75" customHeight="1">
      <c r="A502" s="4">
        <v>1006144.0</v>
      </c>
      <c r="B502" s="4" t="s">
        <v>1078</v>
      </c>
    </row>
    <row r="503" ht="15.75" customHeight="1">
      <c r="A503" s="4">
        <v>1006145.0</v>
      </c>
      <c r="B503" s="4" t="s">
        <v>1079</v>
      </c>
    </row>
    <row r="504" ht="15.75" customHeight="1">
      <c r="A504" s="4">
        <v>1006146.0</v>
      </c>
      <c r="B504" s="4" t="s">
        <v>1080</v>
      </c>
    </row>
    <row r="505" ht="15.75" customHeight="1">
      <c r="A505" s="4">
        <v>1006147.0</v>
      </c>
      <c r="B505" s="4" t="s">
        <v>1081</v>
      </c>
    </row>
    <row r="506" ht="15.75" customHeight="1">
      <c r="A506" s="4">
        <v>1006148.0</v>
      </c>
      <c r="B506" s="4" t="s">
        <v>1082</v>
      </c>
    </row>
    <row r="507" ht="15.75" customHeight="1">
      <c r="A507" s="4">
        <v>1006149.0</v>
      </c>
      <c r="B507" s="4" t="s">
        <v>1083</v>
      </c>
    </row>
    <row r="508" ht="15.75" customHeight="1">
      <c r="A508" s="4">
        <v>1006150.0</v>
      </c>
      <c r="B508" s="4" t="s">
        <v>1084</v>
      </c>
    </row>
    <row r="509" ht="15.75" customHeight="1">
      <c r="A509" s="4">
        <v>1006151.0</v>
      </c>
      <c r="B509" s="4" t="s">
        <v>1085</v>
      </c>
    </row>
    <row r="510" ht="15.75" customHeight="1">
      <c r="A510" s="4">
        <v>1006152.0</v>
      </c>
      <c r="B510" s="4" t="s">
        <v>1086</v>
      </c>
    </row>
    <row r="511" ht="15.75" customHeight="1">
      <c r="A511" s="4">
        <v>1006153.0</v>
      </c>
      <c r="B511" s="4" t="s">
        <v>1087</v>
      </c>
    </row>
    <row r="512" ht="15.75" customHeight="1">
      <c r="A512" s="4">
        <v>1006154.0</v>
      </c>
      <c r="B512" s="4" t="s">
        <v>1088</v>
      </c>
    </row>
    <row r="513" ht="15.75" customHeight="1">
      <c r="A513" s="4">
        <v>1006155.0</v>
      </c>
      <c r="B513" s="4" t="s">
        <v>1089</v>
      </c>
    </row>
    <row r="514" ht="15.75" customHeight="1">
      <c r="A514" s="4">
        <v>1006156.0</v>
      </c>
      <c r="B514" s="4" t="s">
        <v>1090</v>
      </c>
    </row>
    <row r="515" ht="15.75" customHeight="1">
      <c r="A515" s="4">
        <v>1006157.0</v>
      </c>
      <c r="B515" s="4" t="s">
        <v>1091</v>
      </c>
    </row>
    <row r="516" ht="15.75" customHeight="1">
      <c r="A516" s="4">
        <v>1006158.0</v>
      </c>
      <c r="B516" s="4" t="s">
        <v>1092</v>
      </c>
    </row>
    <row r="517" ht="15.75" customHeight="1">
      <c r="A517" s="4">
        <v>1006159.0</v>
      </c>
      <c r="B517" s="4" t="s">
        <v>1093</v>
      </c>
    </row>
    <row r="518" ht="15.75" customHeight="1">
      <c r="A518" s="4">
        <v>1006160.0</v>
      </c>
      <c r="B518" s="4" t="s">
        <v>1094</v>
      </c>
    </row>
    <row r="519" ht="15.75" customHeight="1">
      <c r="A519" s="4">
        <v>1006161.0</v>
      </c>
      <c r="B519" s="4" t="s">
        <v>1095</v>
      </c>
    </row>
    <row r="520" ht="15.75" customHeight="1">
      <c r="A520" s="4">
        <v>1006162.0</v>
      </c>
      <c r="B520" s="4" t="s">
        <v>1096</v>
      </c>
    </row>
    <row r="521" ht="15.75" customHeight="1">
      <c r="A521" s="4">
        <v>1006163.0</v>
      </c>
      <c r="B521" s="4" t="s">
        <v>1097</v>
      </c>
    </row>
    <row r="522" ht="15.75" customHeight="1">
      <c r="A522" s="4">
        <v>1006164.0</v>
      </c>
      <c r="B522" s="4" t="s">
        <v>1098</v>
      </c>
    </row>
    <row r="523" ht="15.75" customHeight="1">
      <c r="A523" s="4">
        <v>1006165.0</v>
      </c>
      <c r="B523" s="4" t="s">
        <v>1099</v>
      </c>
    </row>
    <row r="524" ht="15.75" customHeight="1">
      <c r="A524" s="4">
        <v>1006166.0</v>
      </c>
      <c r="B524" s="4" t="s">
        <v>1100</v>
      </c>
    </row>
    <row r="525" ht="15.75" customHeight="1">
      <c r="A525" s="4">
        <v>1006167.0</v>
      </c>
      <c r="B525" s="4" t="s">
        <v>1101</v>
      </c>
    </row>
    <row r="526" ht="15.75" customHeight="1">
      <c r="A526" s="4">
        <v>1006168.0</v>
      </c>
      <c r="B526" s="4" t="s">
        <v>1102</v>
      </c>
    </row>
    <row r="527" ht="15.75" customHeight="1">
      <c r="A527" s="4">
        <v>1006169.0</v>
      </c>
      <c r="B527" s="4" t="s">
        <v>1105</v>
      </c>
    </row>
    <row r="528" ht="15.75" customHeight="1">
      <c r="A528" s="4">
        <v>1006170.0</v>
      </c>
      <c r="B528" s="4" t="s">
        <v>1106</v>
      </c>
    </row>
    <row r="529" ht="15.75" customHeight="1">
      <c r="A529" s="4">
        <v>1006171.0</v>
      </c>
      <c r="B529" s="4" t="s">
        <v>1108</v>
      </c>
    </row>
    <row r="530" ht="15.75" customHeight="1">
      <c r="A530" s="4">
        <v>1006172.0</v>
      </c>
      <c r="B530" s="4" t="s">
        <v>1110</v>
      </c>
    </row>
    <row r="531" ht="15.75" customHeight="1">
      <c r="A531" s="4">
        <v>1006173.0</v>
      </c>
      <c r="B531" s="4" t="s">
        <v>1112</v>
      </c>
    </row>
    <row r="532" ht="15.75" customHeight="1">
      <c r="A532" s="4">
        <v>1006174.0</v>
      </c>
      <c r="B532" s="4" t="s">
        <v>1114</v>
      </c>
    </row>
    <row r="533" ht="15.75" customHeight="1">
      <c r="A533" s="4">
        <v>1006175.0</v>
      </c>
      <c r="B533" s="4" t="s">
        <v>1116</v>
      </c>
    </row>
    <row r="534" ht="15.75" customHeight="1">
      <c r="A534" s="4">
        <v>1006176.0</v>
      </c>
      <c r="B534" s="4" t="s">
        <v>1118</v>
      </c>
    </row>
    <row r="535" ht="15.75" customHeight="1">
      <c r="A535" s="4">
        <v>1006177.0</v>
      </c>
      <c r="B535" s="4" t="s">
        <v>1120</v>
      </c>
    </row>
    <row r="536" ht="15.75" customHeight="1">
      <c r="A536" s="4">
        <v>1006178.0</v>
      </c>
      <c r="B536" s="4" t="s">
        <v>1122</v>
      </c>
    </row>
    <row r="537" ht="15.75" customHeight="1">
      <c r="A537" s="4">
        <v>1006179.0</v>
      </c>
      <c r="B537" s="4" t="s">
        <v>1124</v>
      </c>
    </row>
    <row r="538" ht="15.75" customHeight="1">
      <c r="A538" s="4">
        <v>1006180.0</v>
      </c>
      <c r="B538" s="4" t="s">
        <v>1126</v>
      </c>
    </row>
    <row r="539" ht="15.75" customHeight="1">
      <c r="A539" s="4">
        <v>1006181.0</v>
      </c>
      <c r="B539" s="4" t="s">
        <v>1128</v>
      </c>
    </row>
    <row r="540" ht="15.75" customHeight="1">
      <c r="A540" s="4">
        <v>1006182.0</v>
      </c>
      <c r="B540" s="4" t="s">
        <v>1129</v>
      </c>
    </row>
    <row r="541" ht="15.75" customHeight="1">
      <c r="A541" s="4">
        <v>1006183.0</v>
      </c>
      <c r="B541" s="4" t="s">
        <v>1132</v>
      </c>
    </row>
    <row r="542" ht="15.75" customHeight="1">
      <c r="A542" s="4">
        <v>1006184.0</v>
      </c>
      <c r="B542" s="4" t="s">
        <v>1133</v>
      </c>
    </row>
    <row r="543" ht="15.75" customHeight="1">
      <c r="A543" s="4">
        <v>1006185.0</v>
      </c>
      <c r="B543" s="4" t="s">
        <v>1134</v>
      </c>
    </row>
    <row r="544" ht="15.75" customHeight="1">
      <c r="A544" s="4">
        <v>1006186.0</v>
      </c>
      <c r="B544" s="4" t="s">
        <v>1135</v>
      </c>
    </row>
    <row r="545" ht="15.75" customHeight="1">
      <c r="A545" s="4">
        <v>1006187.0</v>
      </c>
      <c r="B545" s="4" t="s">
        <v>1136</v>
      </c>
    </row>
    <row r="546" ht="15.75" customHeight="1">
      <c r="A546" s="4">
        <v>1007001.0</v>
      </c>
      <c r="B546" s="4" t="s">
        <v>1137</v>
      </c>
    </row>
    <row r="547" ht="15.75" customHeight="1">
      <c r="A547" s="4">
        <v>1007002.0</v>
      </c>
      <c r="B547" s="4" t="s">
        <v>1138</v>
      </c>
    </row>
    <row r="548" ht="15.75" customHeight="1">
      <c r="A548" s="4">
        <v>1007003.0</v>
      </c>
      <c r="B548" s="4" t="s">
        <v>1139</v>
      </c>
    </row>
    <row r="549" ht="15.75" customHeight="1">
      <c r="A549" s="4">
        <v>1007004.0</v>
      </c>
      <c r="B549" s="4" t="s">
        <v>1140</v>
      </c>
    </row>
    <row r="550" ht="15.75" customHeight="1">
      <c r="A550" s="4">
        <v>1007005.0</v>
      </c>
      <c r="B550" s="4" t="s">
        <v>1141</v>
      </c>
    </row>
    <row r="551" ht="15.75" customHeight="1">
      <c r="A551" s="4">
        <v>1007006.0</v>
      </c>
      <c r="B551" s="4" t="s">
        <v>1142</v>
      </c>
    </row>
    <row r="552" ht="15.75" customHeight="1">
      <c r="A552" s="4">
        <v>1007007.0</v>
      </c>
      <c r="B552" s="4" t="s">
        <v>1143</v>
      </c>
    </row>
    <row r="553" ht="15.75" customHeight="1">
      <c r="A553" s="4">
        <v>1007008.0</v>
      </c>
      <c r="B553" s="4" t="s">
        <v>1144</v>
      </c>
    </row>
    <row r="554" ht="15.75" customHeight="1">
      <c r="A554" s="4">
        <v>1007009.0</v>
      </c>
      <c r="B554" s="4" t="s">
        <v>1145</v>
      </c>
    </row>
    <row r="555" ht="15.75" customHeight="1">
      <c r="A555" s="4">
        <v>1007010.0</v>
      </c>
      <c r="B555" s="4" t="s">
        <v>1146</v>
      </c>
    </row>
    <row r="556" ht="15.75" customHeight="1">
      <c r="A556" s="4">
        <v>1007011.0</v>
      </c>
      <c r="B556" s="4" t="s">
        <v>1147</v>
      </c>
    </row>
    <row r="557" ht="15.75" customHeight="1">
      <c r="A557" s="4">
        <v>1007012.0</v>
      </c>
      <c r="B557" s="4" t="s">
        <v>1148</v>
      </c>
    </row>
    <row r="558" ht="15.75" customHeight="1">
      <c r="A558" s="4">
        <v>1007013.0</v>
      </c>
      <c r="B558" s="4" t="s">
        <v>1149</v>
      </c>
    </row>
    <row r="559" ht="15.75" customHeight="1">
      <c r="A559" s="4">
        <v>1007014.0</v>
      </c>
      <c r="B559" s="4" t="s">
        <v>1150</v>
      </c>
    </row>
    <row r="560" ht="15.75" customHeight="1">
      <c r="A560" s="4">
        <v>1007015.0</v>
      </c>
      <c r="B560" s="4" t="s">
        <v>1151</v>
      </c>
    </row>
    <row r="561" ht="15.75" customHeight="1">
      <c r="A561" s="4">
        <v>1007016.0</v>
      </c>
      <c r="B561" s="4" t="s">
        <v>1152</v>
      </c>
    </row>
    <row r="562" ht="15.75" customHeight="1">
      <c r="A562" s="4">
        <v>1007017.0</v>
      </c>
      <c r="B562" s="4" t="s">
        <v>1138</v>
      </c>
    </row>
    <row r="563" ht="15.75" customHeight="1">
      <c r="A563" s="4">
        <v>1007018.0</v>
      </c>
      <c r="B563" s="4" t="s">
        <v>1153</v>
      </c>
    </row>
    <row r="564" ht="15.75" customHeight="1">
      <c r="A564" s="4">
        <v>1007019.0</v>
      </c>
      <c r="B564" s="4" t="s">
        <v>1154</v>
      </c>
    </row>
    <row r="565" ht="15.75" customHeight="1">
      <c r="A565" s="4">
        <v>1007020.0</v>
      </c>
      <c r="B565" s="4" t="s">
        <v>1155</v>
      </c>
    </row>
    <row r="566" ht="15.75" customHeight="1">
      <c r="A566" s="4">
        <v>1007021.0</v>
      </c>
      <c r="B566" s="4" t="s">
        <v>1156</v>
      </c>
    </row>
    <row r="567" ht="15.75" customHeight="1">
      <c r="A567" s="4">
        <v>1007022.0</v>
      </c>
      <c r="B567" s="4" t="s">
        <v>1157</v>
      </c>
    </row>
    <row r="568" ht="15.75" customHeight="1">
      <c r="A568" s="4">
        <v>1007023.0</v>
      </c>
      <c r="B568" s="4" t="s">
        <v>1158</v>
      </c>
    </row>
    <row r="569" ht="15.75" customHeight="1">
      <c r="A569" s="4">
        <v>1007024.0</v>
      </c>
      <c r="B569" s="4" t="s">
        <v>1159</v>
      </c>
    </row>
    <row r="570" ht="15.75" customHeight="1">
      <c r="A570" s="4">
        <v>1007025.0</v>
      </c>
      <c r="B570" s="4" t="s">
        <v>1160</v>
      </c>
    </row>
    <row r="571" ht="15.75" customHeight="1">
      <c r="A571" s="4">
        <v>1007026.0</v>
      </c>
      <c r="B571" s="4" t="s">
        <v>1161</v>
      </c>
    </row>
    <row r="572" ht="15.75" customHeight="1">
      <c r="A572" s="4">
        <v>1007027.0</v>
      </c>
      <c r="B572" s="4" t="s">
        <v>1162</v>
      </c>
    </row>
    <row r="573" ht="15.75" customHeight="1">
      <c r="A573" s="4">
        <v>1007028.0</v>
      </c>
      <c r="B573" s="4" t="s">
        <v>1163</v>
      </c>
    </row>
    <row r="574" ht="15.75" customHeight="1">
      <c r="A574" s="4">
        <v>1007029.0</v>
      </c>
      <c r="B574" s="4" t="s">
        <v>1164</v>
      </c>
    </row>
    <row r="575" ht="15.75" customHeight="1">
      <c r="A575" s="4">
        <v>1007030.0</v>
      </c>
      <c r="B575" s="4" t="s">
        <v>1165</v>
      </c>
    </row>
    <row r="576" ht="15.75" customHeight="1">
      <c r="A576" s="4">
        <v>1007031.0</v>
      </c>
      <c r="B576" s="4" t="s">
        <v>1166</v>
      </c>
    </row>
    <row r="577" ht="15.75" customHeight="1">
      <c r="A577" s="4">
        <v>1007032.0</v>
      </c>
      <c r="B577" s="4" t="s">
        <v>1167</v>
      </c>
    </row>
    <row r="578" ht="15.75" customHeight="1">
      <c r="A578" s="4">
        <v>1007033.0</v>
      </c>
      <c r="B578" s="4" t="s">
        <v>1168</v>
      </c>
    </row>
    <row r="579" ht="15.75" customHeight="1">
      <c r="A579" s="4">
        <v>1007034.0</v>
      </c>
      <c r="B579" s="4" t="s">
        <v>1169</v>
      </c>
    </row>
    <row r="580" ht="15.75" customHeight="1">
      <c r="A580" s="4">
        <v>1007035.0</v>
      </c>
      <c r="B580" s="4" t="s">
        <v>1170</v>
      </c>
    </row>
    <row r="581" ht="15.75" customHeight="1">
      <c r="A581" s="4">
        <v>1007036.0</v>
      </c>
      <c r="B581" s="4" t="s">
        <v>1171</v>
      </c>
    </row>
    <row r="582" ht="15.75" customHeight="1">
      <c r="A582" s="4">
        <v>1007037.0</v>
      </c>
      <c r="B582" s="4" t="s">
        <v>1172</v>
      </c>
    </row>
    <row r="583" ht="15.75" customHeight="1">
      <c r="A583" s="4">
        <v>1007038.0</v>
      </c>
      <c r="B583" s="4" t="s">
        <v>1173</v>
      </c>
    </row>
    <row r="584" ht="15.75" customHeight="1">
      <c r="A584" s="4">
        <v>1007039.0</v>
      </c>
      <c r="B584" s="4" t="s">
        <v>1174</v>
      </c>
    </row>
    <row r="585" ht="15.75" customHeight="1">
      <c r="A585" s="4">
        <v>1007040.0</v>
      </c>
      <c r="B585" s="4" t="s">
        <v>1175</v>
      </c>
    </row>
    <row r="586" ht="15.75" customHeight="1">
      <c r="A586" s="4">
        <v>1007041.0</v>
      </c>
      <c r="B586" s="4" t="s">
        <v>1176</v>
      </c>
    </row>
    <row r="587" ht="15.75" customHeight="1">
      <c r="A587" s="4">
        <v>1007042.0</v>
      </c>
      <c r="B587" s="4" t="s">
        <v>1177</v>
      </c>
    </row>
    <row r="588" ht="15.75" customHeight="1">
      <c r="A588" s="4">
        <v>1007043.0</v>
      </c>
      <c r="B588" s="4" t="s">
        <v>1178</v>
      </c>
    </row>
    <row r="589" ht="15.75" customHeight="1">
      <c r="A589" s="4">
        <v>1007044.0</v>
      </c>
      <c r="B589" s="4" t="s">
        <v>1179</v>
      </c>
    </row>
    <row r="590" ht="15.75" customHeight="1">
      <c r="A590" s="4">
        <v>1007045.0</v>
      </c>
      <c r="B590" s="4" t="s">
        <v>1180</v>
      </c>
    </row>
    <row r="591" ht="15.75" customHeight="1">
      <c r="A591" s="4">
        <v>1007046.0</v>
      </c>
      <c r="B591" s="4" t="s">
        <v>1181</v>
      </c>
    </row>
    <row r="592" ht="15.75" customHeight="1">
      <c r="A592" s="4">
        <v>1007047.0</v>
      </c>
      <c r="B592" s="4" t="s">
        <v>1182</v>
      </c>
    </row>
    <row r="593" ht="15.75" customHeight="1">
      <c r="A593" s="4">
        <v>1007048.0</v>
      </c>
      <c r="B593" s="4" t="s">
        <v>1183</v>
      </c>
    </row>
    <row r="594" ht="15.75" customHeight="1">
      <c r="A594" s="4">
        <v>1007049.0</v>
      </c>
      <c r="B594" s="4" t="s">
        <v>1184</v>
      </c>
    </row>
    <row r="595" ht="15.75" customHeight="1">
      <c r="A595" s="4">
        <v>1007050.0</v>
      </c>
      <c r="B595" s="4" t="s">
        <v>1185</v>
      </c>
    </row>
    <row r="596" ht="15.75" customHeight="1">
      <c r="A596" s="4">
        <v>1007051.0</v>
      </c>
      <c r="B596" s="4" t="s">
        <v>1186</v>
      </c>
    </row>
    <row r="597" ht="15.75" customHeight="1">
      <c r="A597" s="4">
        <v>1007052.0</v>
      </c>
      <c r="B597" s="4" t="s">
        <v>1187</v>
      </c>
    </row>
    <row r="598" ht="15.75" customHeight="1">
      <c r="A598" s="4">
        <v>1007053.0</v>
      </c>
      <c r="B598" s="4" t="s">
        <v>1188</v>
      </c>
    </row>
    <row r="599" ht="15.75" customHeight="1">
      <c r="A599" s="4">
        <v>1007054.0</v>
      </c>
      <c r="B599" s="4" t="s">
        <v>1189</v>
      </c>
    </row>
    <row r="600" ht="15.75" customHeight="1">
      <c r="A600" s="4">
        <v>1007055.0</v>
      </c>
      <c r="B600" s="4" t="s">
        <v>1190</v>
      </c>
    </row>
    <row r="601" ht="15.75" customHeight="1">
      <c r="A601" s="4">
        <v>1007056.0</v>
      </c>
      <c r="B601" s="4" t="s">
        <v>1191</v>
      </c>
    </row>
    <row r="602" ht="15.75" customHeight="1">
      <c r="A602" s="4">
        <v>1008001.0</v>
      </c>
      <c r="B602" s="4" t="s">
        <v>1192</v>
      </c>
    </row>
    <row r="603" ht="15.75" customHeight="1">
      <c r="A603" s="4">
        <v>1008002.0</v>
      </c>
      <c r="B603" s="4" t="s">
        <v>1193</v>
      </c>
    </row>
    <row r="604" ht="15.75" customHeight="1">
      <c r="A604" s="4">
        <v>1008003.0</v>
      </c>
      <c r="B604" s="4" t="s">
        <v>1194</v>
      </c>
    </row>
    <row r="605" ht="15.75" customHeight="1">
      <c r="A605" s="4">
        <v>1008004.0</v>
      </c>
      <c r="B605" s="4" t="s">
        <v>1195</v>
      </c>
    </row>
    <row r="606" ht="15.75" customHeight="1">
      <c r="A606" s="4">
        <v>1008005.0</v>
      </c>
      <c r="B606" s="4" t="s">
        <v>1196</v>
      </c>
    </row>
    <row r="607" ht="15.75" customHeight="1">
      <c r="A607" s="4">
        <v>1008006.0</v>
      </c>
      <c r="B607" s="4" t="s">
        <v>1197</v>
      </c>
    </row>
    <row r="608" ht="15.75" customHeight="1">
      <c r="A608" s="4">
        <v>1008007.0</v>
      </c>
      <c r="B608" s="4" t="s">
        <v>1198</v>
      </c>
    </row>
    <row r="609" ht="15.75" customHeight="1">
      <c r="A609" s="4">
        <v>1008008.0</v>
      </c>
      <c r="B609" s="4" t="s">
        <v>1199</v>
      </c>
    </row>
    <row r="610" ht="15.75" customHeight="1">
      <c r="A610" s="4">
        <v>1008009.0</v>
      </c>
      <c r="B610" s="4" t="s">
        <v>1200</v>
      </c>
    </row>
    <row r="611" ht="15.75" customHeight="1">
      <c r="A611" s="4">
        <v>1008010.0</v>
      </c>
      <c r="B611" s="4" t="s">
        <v>1201</v>
      </c>
    </row>
    <row r="612" ht="15.75" customHeight="1">
      <c r="A612" s="4">
        <v>1008011.0</v>
      </c>
      <c r="B612" s="4" t="s">
        <v>1202</v>
      </c>
    </row>
    <row r="613" ht="15.75" customHeight="1">
      <c r="A613" s="4">
        <v>1008012.0</v>
      </c>
      <c r="B613" s="4" t="s">
        <v>1203</v>
      </c>
    </row>
    <row r="614" ht="15.75" customHeight="1">
      <c r="A614" s="4">
        <v>1008013.0</v>
      </c>
      <c r="B614" s="4" t="s">
        <v>1204</v>
      </c>
    </row>
    <row r="615" ht="15.75" customHeight="1">
      <c r="A615" s="4">
        <v>1008014.0</v>
      </c>
      <c r="B615" s="4" t="s">
        <v>1205</v>
      </c>
    </row>
    <row r="616" ht="15.75" customHeight="1">
      <c r="A616" s="4">
        <v>1008015.0</v>
      </c>
      <c r="B616" s="4" t="s">
        <v>1206</v>
      </c>
    </row>
    <row r="617" ht="15.75" customHeight="1">
      <c r="A617" s="4">
        <v>1008016.0</v>
      </c>
      <c r="B617" s="4" t="s">
        <v>1207</v>
      </c>
    </row>
    <row r="618" ht="15.75" customHeight="1">
      <c r="A618" s="4">
        <v>1008017.0</v>
      </c>
      <c r="B618" s="4" t="s">
        <v>1208</v>
      </c>
    </row>
    <row r="619" ht="15.75" customHeight="1">
      <c r="A619" s="4">
        <v>1008018.0</v>
      </c>
      <c r="B619" s="4" t="s">
        <v>1209</v>
      </c>
    </row>
    <row r="620" ht="15.75" customHeight="1">
      <c r="A620" s="4">
        <v>1008019.0</v>
      </c>
      <c r="B620" s="4" t="s">
        <v>1211</v>
      </c>
    </row>
    <row r="621" ht="15.75" customHeight="1">
      <c r="A621" s="4">
        <v>1008020.0</v>
      </c>
      <c r="B621" s="4" t="s">
        <v>1212</v>
      </c>
    </row>
    <row r="622" ht="15.75" customHeight="1">
      <c r="A622" s="4">
        <v>1008021.0</v>
      </c>
      <c r="B622" s="4" t="s">
        <v>1213</v>
      </c>
    </row>
    <row r="623" ht="15.75" customHeight="1">
      <c r="A623" s="4">
        <v>1008022.0</v>
      </c>
      <c r="B623" s="4" t="s">
        <v>1214</v>
      </c>
    </row>
    <row r="624" ht="15.75" customHeight="1">
      <c r="A624" s="4">
        <v>1008023.0</v>
      </c>
      <c r="B624" s="4" t="s">
        <v>1215</v>
      </c>
    </row>
    <row r="625" ht="15.75" customHeight="1">
      <c r="A625" s="4">
        <v>1008024.0</v>
      </c>
      <c r="B625" s="4" t="s">
        <v>1216</v>
      </c>
    </row>
    <row r="626" ht="15.75" customHeight="1">
      <c r="A626" s="4">
        <v>1008025.0</v>
      </c>
      <c r="B626" s="4" t="s">
        <v>1217</v>
      </c>
    </row>
    <row r="627" ht="15.75" customHeight="1">
      <c r="A627" s="4">
        <v>1008026.0</v>
      </c>
      <c r="B627" s="4" t="s">
        <v>1218</v>
      </c>
    </row>
    <row r="628" ht="15.75" customHeight="1">
      <c r="A628" s="4">
        <v>1008027.0</v>
      </c>
      <c r="B628" s="4" t="s">
        <v>1219</v>
      </c>
    </row>
    <row r="629" ht="15.75" customHeight="1">
      <c r="A629" s="4">
        <v>1008028.0</v>
      </c>
      <c r="B629" s="4" t="s">
        <v>1220</v>
      </c>
    </row>
    <row r="630" ht="15.75" customHeight="1">
      <c r="A630" s="4">
        <v>1008029.0</v>
      </c>
      <c r="B630" s="4" t="s">
        <v>1221</v>
      </c>
    </row>
    <row r="631" ht="15.75" customHeight="1">
      <c r="A631" s="4">
        <v>1008030.0</v>
      </c>
      <c r="B631" s="4" t="s">
        <v>1222</v>
      </c>
    </row>
    <row r="632" ht="15.75" customHeight="1">
      <c r="A632" s="4">
        <v>1008031.0</v>
      </c>
      <c r="B632" s="4" t="s">
        <v>1223</v>
      </c>
    </row>
    <row r="633" ht="15.75" customHeight="1">
      <c r="A633" s="4">
        <v>1008032.0</v>
      </c>
      <c r="B633" s="4" t="s">
        <v>1224</v>
      </c>
    </row>
    <row r="634" ht="15.75" customHeight="1">
      <c r="A634" s="4">
        <v>1009001.0</v>
      </c>
      <c r="B634" s="4" t="s">
        <v>1225</v>
      </c>
    </row>
    <row r="635" ht="15.75" customHeight="1">
      <c r="A635" s="4">
        <v>1009002.0</v>
      </c>
      <c r="B635" s="4" t="s">
        <v>1226</v>
      </c>
    </row>
    <row r="636" ht="15.75" customHeight="1">
      <c r="A636" s="4">
        <v>1009003.0</v>
      </c>
      <c r="B636" s="4" t="s">
        <v>1227</v>
      </c>
    </row>
    <row r="637" ht="15.75" customHeight="1">
      <c r="A637" s="4">
        <v>1009004.0</v>
      </c>
      <c r="B637" s="4" t="s">
        <v>1228</v>
      </c>
    </row>
    <row r="638" ht="15.75" customHeight="1">
      <c r="A638" s="4">
        <v>1009005.0</v>
      </c>
      <c r="B638" s="4" t="s">
        <v>1229</v>
      </c>
    </row>
    <row r="639" ht="15.75" customHeight="1">
      <c r="A639" s="4">
        <v>1009006.0</v>
      </c>
      <c r="B639" s="4" t="s">
        <v>1230</v>
      </c>
    </row>
    <row r="640" ht="15.75" customHeight="1">
      <c r="A640" s="4">
        <v>1009007.0</v>
      </c>
      <c r="B640" s="4" t="s">
        <v>1231</v>
      </c>
    </row>
    <row r="641" ht="15.75" customHeight="1">
      <c r="A641" s="4">
        <v>1009008.0</v>
      </c>
      <c r="B641" s="4" t="s">
        <v>1232</v>
      </c>
    </row>
    <row r="642" ht="15.75" customHeight="1">
      <c r="A642" s="4">
        <v>1009009.0</v>
      </c>
      <c r="B642" s="4" t="s">
        <v>1233</v>
      </c>
    </row>
    <row r="643" ht="15.75" customHeight="1">
      <c r="A643" s="4">
        <v>1009010.0</v>
      </c>
      <c r="B643" s="4" t="s">
        <v>1234</v>
      </c>
    </row>
    <row r="644" ht="15.75" customHeight="1">
      <c r="A644" s="4">
        <v>1009011.0</v>
      </c>
      <c r="B644" s="4" t="s">
        <v>1235</v>
      </c>
    </row>
    <row r="645" ht="15.75" customHeight="1">
      <c r="A645" s="4">
        <v>1009012.0</v>
      </c>
      <c r="B645" s="4" t="s">
        <v>1236</v>
      </c>
    </row>
    <row r="646" ht="15.75" customHeight="1">
      <c r="A646" s="4">
        <v>1009013.0</v>
      </c>
      <c r="B646" s="4" t="s">
        <v>1237</v>
      </c>
    </row>
    <row r="647" ht="15.75" customHeight="1">
      <c r="A647" s="4">
        <v>1009014.0</v>
      </c>
      <c r="B647" s="4" t="s">
        <v>1238</v>
      </c>
    </row>
    <row r="648" ht="15.75" customHeight="1">
      <c r="A648" s="4">
        <v>1009015.0</v>
      </c>
      <c r="B648" s="4" t="s">
        <v>1239</v>
      </c>
    </row>
    <row r="649" ht="15.75" customHeight="1">
      <c r="A649" s="4">
        <v>1009016.0</v>
      </c>
      <c r="B649" s="4" t="s">
        <v>1240</v>
      </c>
    </row>
    <row r="650" ht="15.75" customHeight="1">
      <c r="A650" s="4">
        <v>1009017.0</v>
      </c>
      <c r="B650" s="4" t="s">
        <v>1241</v>
      </c>
    </row>
    <row r="651" ht="15.75" customHeight="1">
      <c r="A651" s="4">
        <v>1009018.0</v>
      </c>
      <c r="B651" s="4" t="s">
        <v>1242</v>
      </c>
    </row>
    <row r="652" ht="15.75" customHeight="1">
      <c r="A652" s="4">
        <v>1009019.0</v>
      </c>
      <c r="B652" s="4" t="s">
        <v>1244</v>
      </c>
    </row>
    <row r="653" ht="15.75" customHeight="1">
      <c r="A653" s="4">
        <v>1009020.0</v>
      </c>
      <c r="B653" s="4" t="s">
        <v>1246</v>
      </c>
    </row>
    <row r="654" ht="15.75" customHeight="1">
      <c r="A654" s="4">
        <v>1009021.0</v>
      </c>
      <c r="B654" s="4" t="s">
        <v>1247</v>
      </c>
    </row>
    <row r="655" ht="15.75" customHeight="1">
      <c r="A655" s="4">
        <v>1009022.0</v>
      </c>
      <c r="B655" s="4" t="s">
        <v>1248</v>
      </c>
    </row>
    <row r="656" ht="15.75" customHeight="1">
      <c r="A656" s="4">
        <v>1009023.0</v>
      </c>
      <c r="B656" s="4" t="s">
        <v>1249</v>
      </c>
    </row>
    <row r="657" ht="15.75" customHeight="1">
      <c r="A657" s="4">
        <v>1009024.0</v>
      </c>
      <c r="B657" s="4" t="s">
        <v>1250</v>
      </c>
    </row>
    <row r="658" ht="15.75" customHeight="1">
      <c r="A658" s="4">
        <v>1009025.0</v>
      </c>
      <c r="B658" s="4" t="s">
        <v>1251</v>
      </c>
    </row>
    <row r="659" ht="15.75" customHeight="1">
      <c r="A659" s="4">
        <v>1009026.0</v>
      </c>
      <c r="B659" s="4" t="s">
        <v>1252</v>
      </c>
    </row>
    <row r="660" ht="15.75" customHeight="1">
      <c r="A660" s="4">
        <v>1009027.0</v>
      </c>
      <c r="B660" s="4" t="s">
        <v>1253</v>
      </c>
    </row>
    <row r="661" ht="15.75" customHeight="1">
      <c r="A661" s="4">
        <v>1009028.0</v>
      </c>
      <c r="B661" s="4" t="s">
        <v>1254</v>
      </c>
    </row>
    <row r="662" ht="15.75" customHeight="1">
      <c r="A662" s="4">
        <v>1010001.0</v>
      </c>
      <c r="B662" s="4" t="s">
        <v>1255</v>
      </c>
    </row>
    <row r="663" ht="15.75" customHeight="1">
      <c r="A663" s="4">
        <v>1010002.0</v>
      </c>
      <c r="B663" s="4" t="s">
        <v>1256</v>
      </c>
    </row>
    <row r="664" ht="15.75" customHeight="1">
      <c r="A664" s="4">
        <v>1010003.0</v>
      </c>
      <c r="B664" s="4" t="s">
        <v>1257</v>
      </c>
    </row>
    <row r="665" ht="15.75" customHeight="1">
      <c r="A665" s="4">
        <v>1010004.0</v>
      </c>
      <c r="B665" s="4" t="s">
        <v>1258</v>
      </c>
    </row>
    <row r="666" ht="15.75" customHeight="1">
      <c r="A666" s="4">
        <v>1010005.0</v>
      </c>
      <c r="B666" s="4" t="s">
        <v>1259</v>
      </c>
    </row>
    <row r="667" ht="15.75" customHeight="1">
      <c r="A667" s="4">
        <v>1010006.0</v>
      </c>
      <c r="B667" s="4" t="s">
        <v>1260</v>
      </c>
    </row>
    <row r="668" ht="15.75" customHeight="1">
      <c r="A668" s="4">
        <v>1010007.0</v>
      </c>
      <c r="B668" s="4" t="s">
        <v>1261</v>
      </c>
    </row>
    <row r="669" ht="15.75" customHeight="1">
      <c r="A669" s="4">
        <v>1010008.0</v>
      </c>
      <c r="B669" s="4" t="s">
        <v>1262</v>
      </c>
    </row>
    <row r="670" ht="15.75" customHeight="1">
      <c r="A670" s="4">
        <v>1010009.0</v>
      </c>
      <c r="B670" s="4" t="s">
        <v>1263</v>
      </c>
    </row>
    <row r="671" ht="15.75" customHeight="1">
      <c r="A671" s="4">
        <v>1010010.0</v>
      </c>
      <c r="B671" s="4" t="s">
        <v>1264</v>
      </c>
    </row>
    <row r="672" ht="15.75" customHeight="1">
      <c r="A672" s="4">
        <v>1010011.0</v>
      </c>
      <c r="B672" s="4" t="s">
        <v>1265</v>
      </c>
    </row>
    <row r="673" ht="15.75" customHeight="1">
      <c r="A673" s="4">
        <v>1010012.0</v>
      </c>
      <c r="B673" s="4" t="s">
        <v>1266</v>
      </c>
    </row>
    <row r="674" ht="15.75" customHeight="1">
      <c r="A674" s="4">
        <v>1010013.0</v>
      </c>
      <c r="B674" s="4" t="s">
        <v>1267</v>
      </c>
    </row>
    <row r="675" ht="15.75" customHeight="1">
      <c r="A675" s="4">
        <v>1010014.0</v>
      </c>
      <c r="B675" s="4" t="s">
        <v>1268</v>
      </c>
    </row>
    <row r="676" ht="15.75" customHeight="1">
      <c r="A676" s="4">
        <v>1010015.0</v>
      </c>
      <c r="B676" s="4" t="s">
        <v>1269</v>
      </c>
    </row>
    <row r="677" ht="15.75" customHeight="1">
      <c r="A677" s="4">
        <v>1010016.0</v>
      </c>
      <c r="B677" s="4" t="s">
        <v>1270</v>
      </c>
    </row>
    <row r="678" ht="15.75" customHeight="1">
      <c r="A678" s="4">
        <v>1010017.0</v>
      </c>
      <c r="B678" s="4" t="s">
        <v>1271</v>
      </c>
    </row>
    <row r="679" ht="15.75" customHeight="1">
      <c r="A679" s="4">
        <v>1010018.0</v>
      </c>
      <c r="B679" s="4" t="s">
        <v>1272</v>
      </c>
    </row>
    <row r="680" ht="15.75" customHeight="1">
      <c r="A680" s="4">
        <v>1010019.0</v>
      </c>
      <c r="B680" s="4" t="s">
        <v>1273</v>
      </c>
    </row>
    <row r="681" ht="15.75" customHeight="1">
      <c r="A681" s="4">
        <v>1010020.0</v>
      </c>
      <c r="B681" s="4" t="s">
        <v>1274</v>
      </c>
    </row>
    <row r="682" ht="15.75" customHeight="1">
      <c r="A682" s="4">
        <v>1010021.0</v>
      </c>
      <c r="B682" s="4" t="s">
        <v>1275</v>
      </c>
    </row>
    <row r="683" ht="15.75" customHeight="1">
      <c r="A683" s="4">
        <v>1010022.0</v>
      </c>
      <c r="B683" s="4" t="s">
        <v>1276</v>
      </c>
    </row>
    <row r="684" ht="15.75" customHeight="1">
      <c r="A684" s="4">
        <v>1011001.0</v>
      </c>
      <c r="B684" s="4" t="s">
        <v>1277</v>
      </c>
    </row>
    <row r="685" ht="15.75" customHeight="1">
      <c r="A685" s="4">
        <v>1011002.0</v>
      </c>
      <c r="B685" s="4" t="s">
        <v>1278</v>
      </c>
    </row>
    <row r="686" ht="15.75" customHeight="1">
      <c r="A686" s="4">
        <v>1011003.0</v>
      </c>
      <c r="B686" s="4" t="s">
        <v>1279</v>
      </c>
    </row>
    <row r="687" ht="15.75" customHeight="1">
      <c r="A687" s="4">
        <v>1011004.0</v>
      </c>
      <c r="B687" s="4" t="s">
        <v>1280</v>
      </c>
    </row>
    <row r="688" ht="15.75" customHeight="1">
      <c r="A688" s="4">
        <v>1011005.0</v>
      </c>
      <c r="B688" s="4" t="s">
        <v>1281</v>
      </c>
    </row>
    <row r="689" ht="15.75" customHeight="1">
      <c r="A689" s="4">
        <v>1011006.0</v>
      </c>
      <c r="B689" s="4" t="s">
        <v>1282</v>
      </c>
    </row>
    <row r="690" ht="15.75" customHeight="1">
      <c r="A690" s="4">
        <v>1011007.0</v>
      </c>
      <c r="B690" s="4" t="s">
        <v>1283</v>
      </c>
    </row>
    <row r="691" ht="15.75" customHeight="1">
      <c r="A691" s="4">
        <v>1011008.0</v>
      </c>
      <c r="B691" s="4" t="s">
        <v>1284</v>
      </c>
    </row>
    <row r="692" ht="15.75" customHeight="1">
      <c r="A692" s="4">
        <v>1011009.0</v>
      </c>
      <c r="B692" s="4" t="s">
        <v>1285</v>
      </c>
    </row>
    <row r="693" ht="15.75" customHeight="1">
      <c r="A693" s="4">
        <v>1011010.0</v>
      </c>
      <c r="B693" s="4" t="s">
        <v>1286</v>
      </c>
    </row>
    <row r="694" ht="15.75" customHeight="1">
      <c r="A694" s="4">
        <v>1011011.0</v>
      </c>
      <c r="B694" s="4" t="s">
        <v>1287</v>
      </c>
    </row>
    <row r="695" ht="15.75" customHeight="1">
      <c r="A695" s="4">
        <v>1011012.0</v>
      </c>
      <c r="B695" s="4" t="s">
        <v>1288</v>
      </c>
    </row>
    <row r="696" ht="15.75" customHeight="1">
      <c r="A696" s="4">
        <v>1011013.0</v>
      </c>
      <c r="B696" s="4" t="s">
        <v>1289</v>
      </c>
    </row>
    <row r="697" ht="15.75" customHeight="1">
      <c r="A697" s="4">
        <v>1011014.0</v>
      </c>
      <c r="B697" s="4" t="s">
        <v>1290</v>
      </c>
    </row>
    <row r="698" ht="15.75" customHeight="1">
      <c r="A698" s="4">
        <v>1011015.0</v>
      </c>
      <c r="B698" s="4" t="s">
        <v>1291</v>
      </c>
    </row>
    <row r="699" ht="15.75" customHeight="1">
      <c r="A699" s="4">
        <v>1011016.0</v>
      </c>
      <c r="B699" s="4" t="s">
        <v>1292</v>
      </c>
    </row>
    <row r="700" ht="15.75" customHeight="1">
      <c r="A700" s="4">
        <v>1011017.0</v>
      </c>
      <c r="B700" s="4" t="s">
        <v>1293</v>
      </c>
    </row>
    <row r="701" ht="15.75" customHeight="1">
      <c r="A701" s="4">
        <v>1011018.0</v>
      </c>
      <c r="B701" s="4" t="s">
        <v>1294</v>
      </c>
    </row>
    <row r="702" ht="15.75" customHeight="1">
      <c r="A702" s="4">
        <v>1011019.0</v>
      </c>
      <c r="B702" s="4" t="s">
        <v>1295</v>
      </c>
    </row>
    <row r="703" ht="15.75" customHeight="1">
      <c r="A703" s="4">
        <v>1011020.0</v>
      </c>
      <c r="B703" s="4" t="s">
        <v>1296</v>
      </c>
    </row>
    <row r="704" ht="15.75" customHeight="1">
      <c r="A704" s="4">
        <v>1011021.0</v>
      </c>
      <c r="B704" s="4" t="s">
        <v>1297</v>
      </c>
    </row>
    <row r="705" ht="15.75" customHeight="1">
      <c r="A705" s="4">
        <v>1011022.0</v>
      </c>
      <c r="B705" s="4" t="s">
        <v>1298</v>
      </c>
    </row>
    <row r="706" ht="15.75" customHeight="1">
      <c r="A706" s="4">
        <v>1011023.0</v>
      </c>
      <c r="B706" s="4" t="s">
        <v>1299</v>
      </c>
    </row>
    <row r="707" ht="15.75" customHeight="1">
      <c r="A707" s="4">
        <v>1012001.0</v>
      </c>
      <c r="B707" s="4" t="s">
        <v>1300</v>
      </c>
    </row>
    <row r="708" ht="15.75" customHeight="1">
      <c r="A708" s="4">
        <v>1012002.0</v>
      </c>
      <c r="B708" s="4" t="s">
        <v>1301</v>
      </c>
    </row>
    <row r="709" ht="15.75" customHeight="1">
      <c r="A709" s="4">
        <v>1012003.0</v>
      </c>
      <c r="B709" s="4" t="s">
        <v>1302</v>
      </c>
    </row>
    <row r="710" ht="15.75" customHeight="1">
      <c r="A710" s="4">
        <v>1012004.0</v>
      </c>
      <c r="B710" s="4" t="s">
        <v>1303</v>
      </c>
    </row>
    <row r="711" ht="15.75" customHeight="1">
      <c r="A711" s="4">
        <v>1012005.0</v>
      </c>
      <c r="B711" s="4" t="s">
        <v>1304</v>
      </c>
    </row>
    <row r="712" ht="15.75" customHeight="1">
      <c r="A712" s="4">
        <v>1012006.0</v>
      </c>
      <c r="B712" s="4" t="s">
        <v>1305</v>
      </c>
    </row>
    <row r="713" ht="15.75" customHeight="1">
      <c r="A713" s="4">
        <v>1012007.0</v>
      </c>
      <c r="B713" s="4" t="s">
        <v>1306</v>
      </c>
    </row>
    <row r="714" ht="15.75" customHeight="1">
      <c r="A714" s="4">
        <v>1012008.0</v>
      </c>
      <c r="B714" s="4" t="s">
        <v>1307</v>
      </c>
    </row>
    <row r="715" ht="15.75" customHeight="1">
      <c r="A715" s="4">
        <v>1012009.0</v>
      </c>
      <c r="B715" s="4" t="s">
        <v>1308</v>
      </c>
    </row>
    <row r="716" ht="15.75" customHeight="1">
      <c r="A716" s="4">
        <v>1012010.0</v>
      </c>
      <c r="B716" s="4" t="s">
        <v>1309</v>
      </c>
    </row>
    <row r="717" ht="15.75" customHeight="1">
      <c r="A717" s="4">
        <v>1012011.0</v>
      </c>
      <c r="B717" s="4" t="s">
        <v>1310</v>
      </c>
    </row>
    <row r="718" ht="15.75" customHeight="1">
      <c r="A718" s="4">
        <v>1012012.0</v>
      </c>
      <c r="B718" s="4" t="s">
        <v>1311</v>
      </c>
    </row>
    <row r="719" ht="15.75" customHeight="1">
      <c r="A719" s="4">
        <v>1012013.0</v>
      </c>
      <c r="B719" s="4" t="s">
        <v>1312</v>
      </c>
    </row>
    <row r="720" ht="15.75" customHeight="1">
      <c r="A720" s="4">
        <v>1012014.0</v>
      </c>
      <c r="B720" s="4" t="s">
        <v>1313</v>
      </c>
    </row>
    <row r="721" ht="15.75" customHeight="1">
      <c r="A721" s="4">
        <v>1012015.0</v>
      </c>
      <c r="B721" s="4" t="s">
        <v>1314</v>
      </c>
    </row>
    <row r="722" ht="15.75" customHeight="1">
      <c r="A722" s="4">
        <v>1012016.0</v>
      </c>
      <c r="B722" s="4" t="s">
        <v>1315</v>
      </c>
    </row>
    <row r="723" ht="15.75" customHeight="1">
      <c r="A723" s="4">
        <v>1012017.0</v>
      </c>
      <c r="B723" s="4" t="s">
        <v>1316</v>
      </c>
    </row>
    <row r="724" ht="15.75" customHeight="1">
      <c r="A724" s="4">
        <v>1012018.0</v>
      </c>
      <c r="B724" s="4" t="s">
        <v>1317</v>
      </c>
    </row>
    <row r="725" ht="15.75" customHeight="1">
      <c r="A725" s="4">
        <v>1012019.0</v>
      </c>
      <c r="B725" s="4" t="s">
        <v>1318</v>
      </c>
    </row>
    <row r="726" ht="15.75" customHeight="1">
      <c r="A726" s="4">
        <v>1012020.0</v>
      </c>
      <c r="B726" s="4" t="s">
        <v>1319</v>
      </c>
    </row>
    <row r="727" ht="15.75" customHeight="1">
      <c r="A727" s="4">
        <v>1012021.0</v>
      </c>
      <c r="B727" s="4" t="s">
        <v>1320</v>
      </c>
    </row>
    <row r="728" ht="15.75" customHeight="1">
      <c r="A728" s="4">
        <v>1012022.0</v>
      </c>
      <c r="B728" s="4" t="s">
        <v>1321</v>
      </c>
    </row>
    <row r="729" ht="15.75" customHeight="1">
      <c r="A729" s="4">
        <v>1013001.0</v>
      </c>
      <c r="B729" s="4" t="s">
        <v>1322</v>
      </c>
    </row>
    <row r="730" ht="15.75" customHeight="1">
      <c r="A730" s="4">
        <v>1013002.0</v>
      </c>
      <c r="B730" s="4" t="s">
        <v>1323</v>
      </c>
    </row>
    <row r="731" ht="15.75" customHeight="1">
      <c r="A731" s="4">
        <v>1013003.0</v>
      </c>
      <c r="B731" s="4" t="s">
        <v>1324</v>
      </c>
    </row>
    <row r="732" ht="15.75" customHeight="1">
      <c r="A732" s="4">
        <v>1013004.0</v>
      </c>
      <c r="B732" s="4" t="s">
        <v>1325</v>
      </c>
    </row>
    <row r="733" ht="15.75" customHeight="1">
      <c r="A733" s="4">
        <v>1013005.0</v>
      </c>
      <c r="B733" s="4" t="s">
        <v>1326</v>
      </c>
    </row>
    <row r="734" ht="15.75" customHeight="1">
      <c r="A734" s="4">
        <v>1013006.0</v>
      </c>
      <c r="B734" s="4" t="s">
        <v>1327</v>
      </c>
    </row>
    <row r="735" ht="15.75" customHeight="1">
      <c r="A735" s="4">
        <v>1013007.0</v>
      </c>
      <c r="B735" s="4" t="s">
        <v>1328</v>
      </c>
    </row>
    <row r="736" ht="15.75" customHeight="1">
      <c r="A736" s="4">
        <v>1013008.0</v>
      </c>
      <c r="B736" s="4" t="s">
        <v>1329</v>
      </c>
    </row>
    <row r="737" ht="15.75" customHeight="1">
      <c r="A737" s="4">
        <v>1013009.0</v>
      </c>
      <c r="B737" s="4" t="s">
        <v>1330</v>
      </c>
    </row>
    <row r="738" ht="15.75" customHeight="1">
      <c r="A738" s="4">
        <v>1013010.0</v>
      </c>
      <c r="B738" s="4" t="s">
        <v>1331</v>
      </c>
    </row>
    <row r="739" ht="15.75" customHeight="1">
      <c r="A739" s="4">
        <v>1013011.0</v>
      </c>
      <c r="B739" s="4" t="s">
        <v>1332</v>
      </c>
    </row>
    <row r="740" ht="15.75" customHeight="1">
      <c r="A740" s="4">
        <v>1013012.0</v>
      </c>
      <c r="B740" s="4" t="s">
        <v>1333</v>
      </c>
    </row>
    <row r="741" ht="15.75" customHeight="1">
      <c r="A741" s="4">
        <v>1013013.0</v>
      </c>
      <c r="B741" s="4" t="s">
        <v>1334</v>
      </c>
    </row>
    <row r="742" ht="15.75" customHeight="1">
      <c r="A742" s="4">
        <v>1013014.0</v>
      </c>
      <c r="B742" s="4" t="s">
        <v>1335</v>
      </c>
    </row>
    <row r="743" ht="15.75" customHeight="1">
      <c r="A743" s="4">
        <v>1013015.0</v>
      </c>
      <c r="B743" s="4" t="s">
        <v>1336</v>
      </c>
    </row>
    <row r="744" ht="15.75" customHeight="1">
      <c r="A744" s="4">
        <v>1013016.0</v>
      </c>
      <c r="B744" s="4" t="s">
        <v>1337</v>
      </c>
    </row>
    <row r="745" ht="15.75" customHeight="1">
      <c r="A745" s="4">
        <v>1013017.0</v>
      </c>
      <c r="B745" s="4" t="s">
        <v>1338</v>
      </c>
    </row>
    <row r="746" ht="15.75" customHeight="1">
      <c r="A746" s="4">
        <v>1014001.0</v>
      </c>
      <c r="B746" s="4" t="s">
        <v>1339</v>
      </c>
    </row>
    <row r="747" ht="15.75" customHeight="1">
      <c r="A747" s="4">
        <v>1014002.0</v>
      </c>
      <c r="B747" s="4" t="s">
        <v>1340</v>
      </c>
    </row>
    <row r="748" ht="15.75" customHeight="1">
      <c r="A748" s="4">
        <v>1014003.0</v>
      </c>
      <c r="B748" s="4" t="s">
        <v>1341</v>
      </c>
    </row>
    <row r="749" ht="15.75" customHeight="1">
      <c r="A749" s="4">
        <v>1014004.0</v>
      </c>
      <c r="B749" s="4" t="s">
        <v>1342</v>
      </c>
    </row>
    <row r="750" ht="15.75" customHeight="1">
      <c r="A750" s="4">
        <v>1014005.0</v>
      </c>
      <c r="B750" s="4" t="s">
        <v>1343</v>
      </c>
    </row>
    <row r="751" ht="15.75" customHeight="1">
      <c r="A751" s="4">
        <v>1014006.0</v>
      </c>
      <c r="B751" s="4" t="s">
        <v>1344</v>
      </c>
    </row>
    <row r="752" ht="15.75" customHeight="1">
      <c r="A752" s="4">
        <v>1014007.0</v>
      </c>
      <c r="B752" s="4" t="s">
        <v>1345</v>
      </c>
    </row>
    <row r="753" ht="15.75" customHeight="1">
      <c r="A753" s="4">
        <v>1014008.0</v>
      </c>
      <c r="B753" s="4" t="s">
        <v>1346</v>
      </c>
    </row>
    <row r="754" ht="15.75" customHeight="1">
      <c r="A754" s="4">
        <v>1014009.0</v>
      </c>
      <c r="B754" s="4" t="s">
        <v>1347</v>
      </c>
    </row>
    <row r="755" ht="15.75" customHeight="1">
      <c r="A755" s="4">
        <v>1014010.0</v>
      </c>
      <c r="B755" s="4" t="s">
        <v>1348</v>
      </c>
    </row>
    <row r="756" ht="15.75" customHeight="1">
      <c r="A756" s="4">
        <v>1014011.0</v>
      </c>
      <c r="B756" s="4" t="s">
        <v>1349</v>
      </c>
    </row>
    <row r="757" ht="15.75" customHeight="1">
      <c r="A757" s="4">
        <v>1014012.0</v>
      </c>
      <c r="B757" s="4" t="s">
        <v>1350</v>
      </c>
    </row>
    <row r="758" ht="15.75" customHeight="1">
      <c r="A758" s="4">
        <v>1014013.0</v>
      </c>
      <c r="B758" s="4" t="s">
        <v>1351</v>
      </c>
    </row>
    <row r="759" ht="15.75" customHeight="1">
      <c r="A759" s="4">
        <v>1014014.0</v>
      </c>
      <c r="B759" s="4" t="s">
        <v>1352</v>
      </c>
    </row>
    <row r="760" ht="15.75" customHeight="1">
      <c r="A760" s="4">
        <v>1014015.0</v>
      </c>
      <c r="B760" s="4" t="s">
        <v>1353</v>
      </c>
    </row>
    <row r="761" ht="15.75" customHeight="1">
      <c r="A761" s="4">
        <v>1014016.0</v>
      </c>
      <c r="B761" s="4" t="s">
        <v>1354</v>
      </c>
    </row>
    <row r="762" ht="15.75" customHeight="1">
      <c r="A762" s="4">
        <v>1014017.0</v>
      </c>
      <c r="B762" s="4" t="s">
        <v>1355</v>
      </c>
    </row>
    <row r="763" ht="15.75" customHeight="1">
      <c r="A763" s="4">
        <v>1014018.0</v>
      </c>
      <c r="B763" s="4" t="s">
        <v>1357</v>
      </c>
    </row>
    <row r="764" ht="15.75" customHeight="1">
      <c r="A764" s="4">
        <v>1014019.0</v>
      </c>
      <c r="B764" s="4" t="s">
        <v>1359</v>
      </c>
    </row>
    <row r="765" ht="15.75" customHeight="1">
      <c r="A765" s="4">
        <v>1014020.0</v>
      </c>
      <c r="B765" s="4" t="s">
        <v>1360</v>
      </c>
    </row>
    <row r="766" ht="15.75" customHeight="1">
      <c r="A766" s="4">
        <v>1014021.0</v>
      </c>
      <c r="B766" s="4" t="s">
        <v>1361</v>
      </c>
    </row>
    <row r="767" ht="15.75" customHeight="1">
      <c r="A767" s="4">
        <v>1014022.0</v>
      </c>
      <c r="B767" s="4" t="s">
        <v>1362</v>
      </c>
    </row>
    <row r="768" ht="15.75" customHeight="1">
      <c r="A768" s="4">
        <v>1014023.0</v>
      </c>
      <c r="B768" s="4" t="s">
        <v>1363</v>
      </c>
    </row>
    <row r="769" ht="15.75" customHeight="1">
      <c r="A769" s="4">
        <v>1014024.0</v>
      </c>
      <c r="B769" s="4" t="s">
        <v>1364</v>
      </c>
    </row>
    <row r="770" ht="15.75" customHeight="1">
      <c r="A770" s="4">
        <v>1014025.0</v>
      </c>
      <c r="B770" s="4" t="s">
        <v>1365</v>
      </c>
    </row>
    <row r="771" ht="15.75" customHeight="1">
      <c r="A771" s="4">
        <v>1014026.0</v>
      </c>
      <c r="B771" s="4" t="s">
        <v>1366</v>
      </c>
    </row>
    <row r="772" ht="15.75" customHeight="1">
      <c r="A772" s="4">
        <v>1014027.0</v>
      </c>
      <c r="B772" s="4" t="s">
        <v>1367</v>
      </c>
    </row>
    <row r="773" ht="15.75" customHeight="1">
      <c r="A773" s="4">
        <v>1014028.0</v>
      </c>
      <c r="B773" s="4" t="s">
        <v>1368</v>
      </c>
    </row>
    <row r="774" ht="15.75" customHeight="1">
      <c r="A774" s="4">
        <v>1014029.0</v>
      </c>
      <c r="B774" s="4" t="s">
        <v>1369</v>
      </c>
    </row>
    <row r="775" ht="15.75" customHeight="1">
      <c r="A775" s="4">
        <v>1014030.0</v>
      </c>
      <c r="B775" s="4" t="s">
        <v>1370</v>
      </c>
    </row>
    <row r="776" ht="15.75" customHeight="1">
      <c r="A776" s="4">
        <v>1014031.0</v>
      </c>
      <c r="B776" s="4" t="s">
        <v>1371</v>
      </c>
    </row>
    <row r="777" ht="15.75" customHeight="1">
      <c r="A777" s="4">
        <v>1014032.0</v>
      </c>
      <c r="B777" s="4" t="s">
        <v>1372</v>
      </c>
    </row>
    <row r="778" ht="15.75" customHeight="1">
      <c r="A778" s="4">
        <v>1014033.0</v>
      </c>
      <c r="B778" s="4" t="s">
        <v>1373</v>
      </c>
    </row>
    <row r="779" ht="15.75" customHeight="1">
      <c r="A779" s="4">
        <v>1014034.0</v>
      </c>
      <c r="B779" s="4" t="s">
        <v>1374</v>
      </c>
    </row>
    <row r="780" ht="15.75" customHeight="1">
      <c r="A780" s="4">
        <v>1014035.0</v>
      </c>
      <c r="B780" s="4" t="s">
        <v>1375</v>
      </c>
    </row>
    <row r="781" ht="15.75" customHeight="1">
      <c r="A781" s="4">
        <v>1014036.0</v>
      </c>
      <c r="B781" s="4" t="s">
        <v>1376</v>
      </c>
    </row>
    <row r="782" ht="15.75" customHeight="1">
      <c r="A782" s="4">
        <v>1014037.0</v>
      </c>
      <c r="B782" s="4" t="s">
        <v>1377</v>
      </c>
    </row>
    <row r="783" ht="15.75" customHeight="1">
      <c r="A783" s="4">
        <v>1014038.0</v>
      </c>
      <c r="B783" s="4" t="s">
        <v>1378</v>
      </c>
    </row>
    <row r="784" ht="15.75" customHeight="1">
      <c r="A784" s="4">
        <v>1015001.0</v>
      </c>
      <c r="B784" s="4" t="s">
        <v>1379</v>
      </c>
    </row>
    <row r="785" ht="15.75" customHeight="1">
      <c r="A785" s="4">
        <v>1015002.0</v>
      </c>
      <c r="B785" s="4" t="s">
        <v>1380</v>
      </c>
    </row>
    <row r="786" ht="15.75" customHeight="1">
      <c r="A786" s="4">
        <v>1015003.0</v>
      </c>
      <c r="B786" s="4" t="s">
        <v>1381</v>
      </c>
    </row>
    <row r="787" ht="15.75" customHeight="1">
      <c r="A787" s="4">
        <v>1015004.0</v>
      </c>
      <c r="B787" s="4" t="s">
        <v>1382</v>
      </c>
    </row>
    <row r="788" ht="15.75" customHeight="1">
      <c r="A788" s="4">
        <v>1015005.0</v>
      </c>
      <c r="B788" s="4" t="s">
        <v>1383</v>
      </c>
    </row>
    <row r="789" ht="15.75" customHeight="1">
      <c r="A789" s="4">
        <v>1015006.0</v>
      </c>
      <c r="B789" s="4" t="s">
        <v>1384</v>
      </c>
    </row>
    <row r="790" ht="15.75" customHeight="1">
      <c r="A790" s="4">
        <v>1015007.0</v>
      </c>
      <c r="B790" s="4" t="s">
        <v>1385</v>
      </c>
    </row>
    <row r="791" ht="15.75" customHeight="1">
      <c r="A791" s="4">
        <v>1015008.0</v>
      </c>
      <c r="B791" s="4" t="s">
        <v>1386</v>
      </c>
    </row>
    <row r="792" ht="15.75" customHeight="1">
      <c r="A792" s="4">
        <v>1015009.0</v>
      </c>
      <c r="B792" s="4" t="s">
        <v>1387</v>
      </c>
    </row>
    <row r="793" ht="15.75" customHeight="1">
      <c r="A793" s="4">
        <v>1015010.0</v>
      </c>
      <c r="B793" s="4" t="s">
        <v>1388</v>
      </c>
    </row>
    <row r="794" ht="15.75" customHeight="1">
      <c r="A794" s="4">
        <v>1015011.0</v>
      </c>
      <c r="B794" s="4" t="s">
        <v>1389</v>
      </c>
    </row>
    <row r="795" ht="15.75" customHeight="1">
      <c r="A795" s="4">
        <v>1015012.0</v>
      </c>
      <c r="B795" s="4" t="s">
        <v>1390</v>
      </c>
    </row>
    <row r="796" ht="15.75" customHeight="1">
      <c r="A796" s="4">
        <v>1015013.0</v>
      </c>
      <c r="B796" s="4" t="s">
        <v>1391</v>
      </c>
    </row>
    <row r="797" ht="15.75" customHeight="1">
      <c r="A797" s="4">
        <v>1015014.0</v>
      </c>
      <c r="B797" s="4" t="s">
        <v>1392</v>
      </c>
    </row>
    <row r="798" ht="15.75" customHeight="1">
      <c r="A798" s="4">
        <v>1015015.0</v>
      </c>
      <c r="B798" s="4" t="s">
        <v>1393</v>
      </c>
    </row>
    <row r="799" ht="15.75" customHeight="1">
      <c r="A799" s="4">
        <v>1015016.0</v>
      </c>
      <c r="B799" s="4" t="s">
        <v>1394</v>
      </c>
    </row>
    <row r="800" ht="15.75" customHeight="1">
      <c r="A800" s="4">
        <v>1015017.0</v>
      </c>
      <c r="B800" s="4" t="s">
        <v>1395</v>
      </c>
    </row>
    <row r="801" ht="15.75" customHeight="1">
      <c r="A801" s="4">
        <v>1015018.0</v>
      </c>
      <c r="B801" s="4" t="s">
        <v>1396</v>
      </c>
    </row>
    <row r="802" ht="15.75" customHeight="1">
      <c r="A802" s="4">
        <v>1015019.0</v>
      </c>
      <c r="B802" s="4" t="s">
        <v>1397</v>
      </c>
    </row>
    <row r="803" ht="15.75" customHeight="1">
      <c r="A803" s="4">
        <v>1015020.0</v>
      </c>
      <c r="B803" s="4" t="s">
        <v>1398</v>
      </c>
    </row>
    <row r="804" ht="15.75" customHeight="1">
      <c r="A804" s="4">
        <v>1015021.0</v>
      </c>
      <c r="B804" s="4" t="s">
        <v>1399</v>
      </c>
    </row>
    <row r="805" ht="15.75" customHeight="1">
      <c r="A805" s="4">
        <v>1015022.0</v>
      </c>
      <c r="B805" s="4" t="s">
        <v>1400</v>
      </c>
    </row>
    <row r="806" ht="15.75" customHeight="1">
      <c r="A806" s="4">
        <v>1015023.0</v>
      </c>
      <c r="B806" s="4" t="s">
        <v>1401</v>
      </c>
    </row>
    <row r="807" ht="15.75" customHeight="1">
      <c r="A807" s="4">
        <v>1015024.0</v>
      </c>
      <c r="B807" s="4" t="s">
        <v>1402</v>
      </c>
    </row>
    <row r="808" ht="15.75" customHeight="1">
      <c r="A808" s="4">
        <v>1015025.0</v>
      </c>
      <c r="B808" s="4" t="s">
        <v>1403</v>
      </c>
    </row>
    <row r="809" ht="15.75" customHeight="1">
      <c r="A809" s="4">
        <v>1015026.0</v>
      </c>
      <c r="B809" s="4" t="s">
        <v>1404</v>
      </c>
    </row>
    <row r="810" ht="15.75" customHeight="1">
      <c r="A810" s="4">
        <v>1015027.0</v>
      </c>
      <c r="B810" s="4" t="s">
        <v>1405</v>
      </c>
    </row>
    <row r="811" ht="15.75" customHeight="1">
      <c r="A811" s="4">
        <v>1015028.0</v>
      </c>
      <c r="B811" s="4" t="s">
        <v>1406</v>
      </c>
    </row>
    <row r="812" ht="15.75" customHeight="1">
      <c r="A812" s="4">
        <v>1015029.0</v>
      </c>
      <c r="B812" s="4" t="s">
        <v>1407</v>
      </c>
    </row>
    <row r="813" ht="15.75" customHeight="1">
      <c r="A813" s="4">
        <v>1015030.0</v>
      </c>
      <c r="B813" s="4" t="s">
        <v>1408</v>
      </c>
    </row>
    <row r="814" ht="15.75" customHeight="1">
      <c r="A814" s="4">
        <v>1015031.0</v>
      </c>
      <c r="B814" s="4" t="s">
        <v>1409</v>
      </c>
    </row>
    <row r="815" ht="15.75" customHeight="1">
      <c r="A815" s="4">
        <v>1015032.0</v>
      </c>
      <c r="B815" s="4" t="s">
        <v>1410</v>
      </c>
    </row>
    <row r="816" ht="15.75" customHeight="1">
      <c r="A816" s="4">
        <v>1015033.0</v>
      </c>
      <c r="B816" s="4" t="s">
        <v>1412</v>
      </c>
    </row>
    <row r="817" ht="15.75" customHeight="1">
      <c r="A817" s="4">
        <v>1015034.0</v>
      </c>
      <c r="B817" s="4" t="s">
        <v>1413</v>
      </c>
    </row>
    <row r="818" ht="15.75" customHeight="1">
      <c r="A818" s="4">
        <v>1015035.0</v>
      </c>
      <c r="B818" s="4" t="s">
        <v>1414</v>
      </c>
    </row>
    <row r="819" ht="15.75" customHeight="1">
      <c r="A819" s="4">
        <v>1015036.0</v>
      </c>
      <c r="B819" s="4" t="s">
        <v>1415</v>
      </c>
    </row>
    <row r="820" ht="15.75" customHeight="1">
      <c r="A820" s="4">
        <v>1015037.0</v>
      </c>
      <c r="B820" s="4" t="s">
        <v>1416</v>
      </c>
    </row>
    <row r="821" ht="15.75" customHeight="1">
      <c r="A821" s="4">
        <v>1015038.0</v>
      </c>
      <c r="B821" s="4" t="s">
        <v>1417</v>
      </c>
    </row>
    <row r="822" ht="15.75" customHeight="1">
      <c r="A822" s="4">
        <v>1015039.0</v>
      </c>
      <c r="B822" s="4" t="s">
        <v>1418</v>
      </c>
    </row>
    <row r="823" ht="15.75" customHeight="1">
      <c r="A823" s="4">
        <v>1015040.0</v>
      </c>
      <c r="B823" s="4" t="s">
        <v>1419</v>
      </c>
    </row>
    <row r="824" ht="15.75" customHeight="1">
      <c r="A824" s="4">
        <v>1015041.0</v>
      </c>
      <c r="B824" s="4" t="s">
        <v>1420</v>
      </c>
    </row>
    <row r="825" ht="15.75" customHeight="1">
      <c r="A825" s="4">
        <v>1015042.0</v>
      </c>
      <c r="B825" s="4" t="s">
        <v>1421</v>
      </c>
    </row>
    <row r="826" ht="15.75" customHeight="1">
      <c r="A826" s="4">
        <v>1015043.0</v>
      </c>
      <c r="B826" s="4" t="s">
        <v>1422</v>
      </c>
    </row>
    <row r="827" ht="15.75" customHeight="1">
      <c r="A827" s="4">
        <v>1015044.0</v>
      </c>
      <c r="B827" s="4" t="s">
        <v>1423</v>
      </c>
    </row>
    <row r="828" ht="15.75" customHeight="1">
      <c r="A828" s="4">
        <v>1015045.0</v>
      </c>
      <c r="B828" s="4" t="s">
        <v>1424</v>
      </c>
    </row>
    <row r="829" ht="15.75" customHeight="1">
      <c r="A829" s="4">
        <v>1015046.0</v>
      </c>
      <c r="B829" s="4" t="s">
        <v>1425</v>
      </c>
    </row>
    <row r="830" ht="15.75" customHeight="1">
      <c r="A830" s="4">
        <v>1015047.0</v>
      </c>
      <c r="B830" s="4" t="s">
        <v>1426</v>
      </c>
    </row>
    <row r="831" ht="15.75" customHeight="1">
      <c r="A831" s="4">
        <v>1015048.0</v>
      </c>
      <c r="B831" s="4" t="s">
        <v>1427</v>
      </c>
    </row>
    <row r="832" ht="15.75" customHeight="1">
      <c r="A832" s="4">
        <v>1015049.0</v>
      </c>
      <c r="B832" s="4" t="s">
        <v>1428</v>
      </c>
    </row>
    <row r="833" ht="15.75" customHeight="1">
      <c r="A833" s="4">
        <v>1015050.0</v>
      </c>
      <c r="B833" s="4" t="s">
        <v>1429</v>
      </c>
    </row>
    <row r="834" ht="15.75" customHeight="1">
      <c r="A834" s="4">
        <v>1015051.0</v>
      </c>
      <c r="B834" s="4" t="s">
        <v>1430</v>
      </c>
    </row>
    <row r="835" ht="15.75" customHeight="1">
      <c r="A835" s="4">
        <v>1015052.0</v>
      </c>
      <c r="B835" s="4" t="s">
        <v>1431</v>
      </c>
    </row>
    <row r="836" ht="15.75" customHeight="1">
      <c r="A836" s="4">
        <v>1015053.0</v>
      </c>
      <c r="B836" s="4" t="s">
        <v>1432</v>
      </c>
    </row>
    <row r="837" ht="15.75" customHeight="1">
      <c r="A837" s="4">
        <v>1015054.0</v>
      </c>
      <c r="B837" s="4" t="s">
        <v>1433</v>
      </c>
    </row>
    <row r="838" ht="15.75" customHeight="1">
      <c r="A838" s="4">
        <v>1015055.0</v>
      </c>
      <c r="B838" s="4" t="s">
        <v>1434</v>
      </c>
    </row>
    <row r="839" ht="15.75" customHeight="1">
      <c r="A839" s="4">
        <v>1015056.0</v>
      </c>
      <c r="B839" s="4" t="s">
        <v>1435</v>
      </c>
    </row>
    <row r="840" ht="15.75" customHeight="1">
      <c r="A840" s="4">
        <v>1015057.0</v>
      </c>
      <c r="B840" s="4" t="s">
        <v>1436</v>
      </c>
    </row>
    <row r="841" ht="15.75" customHeight="1">
      <c r="A841" s="4">
        <v>1016001.0</v>
      </c>
      <c r="B841" s="4" t="s">
        <v>1437</v>
      </c>
    </row>
    <row r="842" ht="15.75" customHeight="1">
      <c r="A842" s="4">
        <v>1016002.0</v>
      </c>
      <c r="B842" s="4" t="s">
        <v>1438</v>
      </c>
    </row>
    <row r="843" ht="15.75" customHeight="1">
      <c r="A843" s="4">
        <v>1016003.0</v>
      </c>
      <c r="B843" s="4" t="s">
        <v>1439</v>
      </c>
    </row>
    <row r="844" ht="15.75" customHeight="1">
      <c r="A844" s="4">
        <v>1016004.0</v>
      </c>
      <c r="B844" s="4" t="s">
        <v>1440</v>
      </c>
    </row>
    <row r="845" ht="15.75" customHeight="1">
      <c r="A845" s="4">
        <v>1016005.0</v>
      </c>
      <c r="B845" s="4" t="s">
        <v>1441</v>
      </c>
    </row>
    <row r="846" ht="15.75" customHeight="1">
      <c r="A846" s="4">
        <v>1016006.0</v>
      </c>
      <c r="B846" s="4" t="s">
        <v>1442</v>
      </c>
    </row>
    <row r="847" ht="15.75" customHeight="1">
      <c r="A847" s="4">
        <v>1016007.0</v>
      </c>
      <c r="B847" s="4" t="s">
        <v>1443</v>
      </c>
    </row>
    <row r="848" ht="15.75" customHeight="1">
      <c r="A848" s="4">
        <v>1016008.0</v>
      </c>
      <c r="B848" s="4" t="s">
        <v>1444</v>
      </c>
    </row>
    <row r="849" ht="15.75" customHeight="1">
      <c r="A849" s="4">
        <v>1016009.0</v>
      </c>
      <c r="B849" s="4" t="s">
        <v>1445</v>
      </c>
    </row>
    <row r="850" ht="15.75" customHeight="1">
      <c r="A850" s="4">
        <v>1016010.0</v>
      </c>
      <c r="B850" s="4" t="s">
        <v>1446</v>
      </c>
    </row>
    <row r="851" ht="15.75" customHeight="1">
      <c r="A851" s="4">
        <v>1016011.0</v>
      </c>
      <c r="B851" s="4" t="s">
        <v>1447</v>
      </c>
    </row>
    <row r="852" ht="15.75" customHeight="1">
      <c r="A852" s="4">
        <v>1016012.0</v>
      </c>
      <c r="B852" s="4" t="s">
        <v>1448</v>
      </c>
    </row>
    <row r="853" ht="15.75" customHeight="1">
      <c r="A853" s="4">
        <v>1016013.0</v>
      </c>
      <c r="B853" s="4" t="s">
        <v>1449</v>
      </c>
    </row>
    <row r="854" ht="15.75" customHeight="1">
      <c r="A854" s="4">
        <v>1016014.0</v>
      </c>
      <c r="B854" s="4" t="s">
        <v>1450</v>
      </c>
    </row>
    <row r="855" ht="15.75" customHeight="1">
      <c r="A855" s="4">
        <v>1016015.0</v>
      </c>
      <c r="B855" s="4" t="s">
        <v>1451</v>
      </c>
    </row>
    <row r="856" ht="15.75" customHeight="1">
      <c r="A856" s="4">
        <v>1016016.0</v>
      </c>
      <c r="B856" s="4" t="s">
        <v>1452</v>
      </c>
    </row>
    <row r="857" ht="15.75" customHeight="1">
      <c r="A857" s="4">
        <v>1016017.0</v>
      </c>
      <c r="B857" s="4" t="s">
        <v>1453</v>
      </c>
    </row>
    <row r="858" ht="15.75" customHeight="1">
      <c r="A858" s="4">
        <v>1016018.0</v>
      </c>
      <c r="B858" s="4" t="s">
        <v>1454</v>
      </c>
    </row>
    <row r="859" ht="15.75" customHeight="1">
      <c r="A859" s="4">
        <v>1016019.0</v>
      </c>
      <c r="B859" s="4" t="s">
        <v>1455</v>
      </c>
    </row>
    <row r="860" ht="15.75" customHeight="1">
      <c r="A860" s="4">
        <v>1016020.0</v>
      </c>
      <c r="B860" s="4" t="s">
        <v>1456</v>
      </c>
    </row>
    <row r="861" ht="15.75" customHeight="1">
      <c r="A861" s="4">
        <v>1016021.0</v>
      </c>
      <c r="B861" s="4" t="s">
        <v>1457</v>
      </c>
    </row>
    <row r="862" ht="15.75" customHeight="1">
      <c r="A862" s="4">
        <v>1016022.0</v>
      </c>
      <c r="B862" s="4" t="s">
        <v>1458</v>
      </c>
    </row>
    <row r="863" ht="15.75" customHeight="1">
      <c r="A863" s="4">
        <v>1016023.0</v>
      </c>
      <c r="B863" s="4" t="s">
        <v>1459</v>
      </c>
    </row>
    <row r="864" ht="15.75" customHeight="1">
      <c r="A864" s="4">
        <v>1016024.0</v>
      </c>
      <c r="B864" s="4" t="s">
        <v>1460</v>
      </c>
    </row>
    <row r="865" ht="15.75" customHeight="1">
      <c r="A865" s="4">
        <v>1016025.0</v>
      </c>
      <c r="B865" s="4" t="s">
        <v>1461</v>
      </c>
    </row>
    <row r="866" ht="15.75" customHeight="1">
      <c r="A866" s="4">
        <v>1016026.0</v>
      </c>
      <c r="B866" s="4" t="s">
        <v>1462</v>
      </c>
    </row>
    <row r="867" ht="15.75" customHeight="1">
      <c r="A867" s="4">
        <v>1017001.0</v>
      </c>
      <c r="B867" s="4" t="s">
        <v>1463</v>
      </c>
    </row>
    <row r="868" ht="15.75" customHeight="1">
      <c r="A868" s="4">
        <v>1017002.0</v>
      </c>
      <c r="B868" s="4" t="s">
        <v>1464</v>
      </c>
    </row>
    <row r="869" ht="15.75" customHeight="1">
      <c r="A869" s="4">
        <v>1017003.0</v>
      </c>
      <c r="B869" s="4" t="s">
        <v>1465</v>
      </c>
    </row>
    <row r="870" ht="15.75" customHeight="1">
      <c r="A870" s="4">
        <v>1017004.0</v>
      </c>
      <c r="B870" s="4" t="s">
        <v>1466</v>
      </c>
    </row>
    <row r="871" ht="15.75" customHeight="1">
      <c r="A871" s="4">
        <v>1017005.0</v>
      </c>
      <c r="B871" s="4" t="s">
        <v>1467</v>
      </c>
    </row>
    <row r="872" ht="15.75" customHeight="1">
      <c r="A872" s="4">
        <v>1017006.0</v>
      </c>
      <c r="B872" s="4" t="s">
        <v>1468</v>
      </c>
    </row>
    <row r="873" ht="15.75" customHeight="1">
      <c r="A873" s="4">
        <v>1017007.0</v>
      </c>
      <c r="B873" s="4" t="s">
        <v>1469</v>
      </c>
    </row>
    <row r="874" ht="15.75" customHeight="1">
      <c r="A874" s="4">
        <v>1017008.0</v>
      </c>
      <c r="B874" s="4" t="s">
        <v>1470</v>
      </c>
    </row>
    <row r="875" ht="15.75" customHeight="1">
      <c r="A875" s="4">
        <v>1017009.0</v>
      </c>
      <c r="B875" s="4" t="s">
        <v>1471</v>
      </c>
    </row>
    <row r="876" ht="15.75" customHeight="1">
      <c r="A876" s="4">
        <v>1017010.0</v>
      </c>
      <c r="B876" s="4" t="s">
        <v>1472</v>
      </c>
    </row>
    <row r="877" ht="15.75" customHeight="1">
      <c r="A877" s="4">
        <v>1017011.0</v>
      </c>
      <c r="B877" s="4" t="s">
        <v>1473</v>
      </c>
    </row>
    <row r="878" ht="15.75" customHeight="1">
      <c r="A878" s="4">
        <v>1017012.0</v>
      </c>
      <c r="B878" s="4" t="s">
        <v>1474</v>
      </c>
    </row>
    <row r="879" ht="15.75" customHeight="1">
      <c r="A879" s="4">
        <v>1017013.0</v>
      </c>
      <c r="B879" s="4" t="s">
        <v>1475</v>
      </c>
    </row>
    <row r="880" ht="15.75" customHeight="1">
      <c r="A880" s="4">
        <v>1017014.0</v>
      </c>
      <c r="B880" s="4" t="s">
        <v>1476</v>
      </c>
    </row>
    <row r="881" ht="15.75" customHeight="1">
      <c r="A881" s="4">
        <v>1017015.0</v>
      </c>
      <c r="B881" s="4" t="s">
        <v>1477</v>
      </c>
    </row>
    <row r="882" ht="15.75" customHeight="1">
      <c r="A882" s="4">
        <v>1017016.0</v>
      </c>
      <c r="B882" s="4" t="s">
        <v>1478</v>
      </c>
    </row>
    <row r="883" ht="15.75" customHeight="1">
      <c r="A883" s="4">
        <v>1017017.0</v>
      </c>
      <c r="B883" s="4" t="s">
        <v>1479</v>
      </c>
    </row>
    <row r="884" ht="15.75" customHeight="1">
      <c r="A884" s="4">
        <v>1017018.0</v>
      </c>
      <c r="B884" s="4" t="s">
        <v>1480</v>
      </c>
    </row>
    <row r="885" ht="15.75" customHeight="1">
      <c r="A885" s="4">
        <v>1017019.0</v>
      </c>
      <c r="B885" s="4" t="s">
        <v>1481</v>
      </c>
    </row>
    <row r="886" ht="15.75" customHeight="1">
      <c r="A886" s="4">
        <v>1017020.0</v>
      </c>
      <c r="B886" s="4" t="s">
        <v>1482</v>
      </c>
    </row>
    <row r="887" ht="15.75" customHeight="1">
      <c r="A887" s="4">
        <v>1017021.0</v>
      </c>
      <c r="B887" s="4" t="s">
        <v>1483</v>
      </c>
    </row>
    <row r="888" ht="15.75" customHeight="1">
      <c r="A888" s="4">
        <v>1017022.0</v>
      </c>
      <c r="B888" s="4" t="s">
        <v>1484</v>
      </c>
    </row>
    <row r="889" ht="15.75" customHeight="1">
      <c r="A889" s="4">
        <v>1017023.0</v>
      </c>
      <c r="B889" s="4" t="s">
        <v>1485</v>
      </c>
    </row>
    <row r="890" ht="15.75" customHeight="1">
      <c r="A890" s="4">
        <v>1017024.0</v>
      </c>
      <c r="B890" s="4" t="s">
        <v>1486</v>
      </c>
    </row>
    <row r="891" ht="15.75" customHeight="1">
      <c r="A891" s="4">
        <v>1017025.0</v>
      </c>
      <c r="B891" s="4" t="s">
        <v>1487</v>
      </c>
    </row>
    <row r="892" ht="15.75" customHeight="1">
      <c r="A892" s="4">
        <v>1017026.0</v>
      </c>
      <c r="B892" s="4" t="s">
        <v>1488</v>
      </c>
    </row>
    <row r="893" ht="15.75" customHeight="1">
      <c r="A893" s="4">
        <v>1017027.0</v>
      </c>
      <c r="B893" s="4" t="s">
        <v>1489</v>
      </c>
    </row>
    <row r="894" ht="15.75" customHeight="1">
      <c r="A894" s="4">
        <v>1017028.0</v>
      </c>
      <c r="B894" s="4" t="s">
        <v>1490</v>
      </c>
    </row>
    <row r="895" ht="15.75" customHeight="1">
      <c r="A895" s="4">
        <v>1017029.0</v>
      </c>
      <c r="B895" s="4" t="s">
        <v>1491</v>
      </c>
    </row>
    <row r="896" ht="15.75" customHeight="1">
      <c r="A896" s="4">
        <v>1017030.0</v>
      </c>
      <c r="B896" s="4" t="s">
        <v>1492</v>
      </c>
    </row>
    <row r="897" ht="15.75" customHeight="1">
      <c r="A897" s="4">
        <v>1017031.0</v>
      </c>
      <c r="B897" s="4" t="s">
        <v>1493</v>
      </c>
    </row>
    <row r="898" ht="15.75" customHeight="1">
      <c r="A898" s="4">
        <v>1017032.0</v>
      </c>
      <c r="B898" s="4" t="s">
        <v>1494</v>
      </c>
    </row>
    <row r="899" ht="15.75" customHeight="1">
      <c r="A899" s="4">
        <v>1017033.0</v>
      </c>
      <c r="B899" s="4" t="s">
        <v>1495</v>
      </c>
    </row>
    <row r="900" ht="15.75" customHeight="1">
      <c r="A900" s="4">
        <v>1017034.0</v>
      </c>
      <c r="B900" s="4" t="s">
        <v>1496</v>
      </c>
    </row>
    <row r="901" ht="15.75" customHeight="1">
      <c r="A901" s="4">
        <v>1017035.0</v>
      </c>
      <c r="B901" s="4" t="s">
        <v>1497</v>
      </c>
    </row>
    <row r="902" ht="15.75" customHeight="1">
      <c r="A902" s="4">
        <v>1017036.0</v>
      </c>
      <c r="B902" s="4" t="s">
        <v>1498</v>
      </c>
    </row>
    <row r="903" ht="15.75" customHeight="1">
      <c r="A903" s="4">
        <v>1018001.0</v>
      </c>
      <c r="B903" s="4" t="s">
        <v>1499</v>
      </c>
    </row>
    <row r="904" ht="15.75" customHeight="1">
      <c r="A904" s="4">
        <v>1018002.0</v>
      </c>
      <c r="B904" s="4" t="s">
        <v>1500</v>
      </c>
    </row>
    <row r="905" ht="15.75" customHeight="1">
      <c r="A905" s="4">
        <v>1018003.0</v>
      </c>
      <c r="B905" s="4" t="s">
        <v>1501</v>
      </c>
    </row>
    <row r="906" ht="15.75" customHeight="1">
      <c r="A906" s="4">
        <v>1018004.0</v>
      </c>
      <c r="B906" s="4" t="s">
        <v>1502</v>
      </c>
    </row>
    <row r="907" ht="15.75" customHeight="1">
      <c r="A907" s="4">
        <v>1018005.0</v>
      </c>
      <c r="B907" s="4" t="s">
        <v>1503</v>
      </c>
    </row>
    <row r="908" ht="15.75" customHeight="1">
      <c r="A908" s="4">
        <v>1018006.0</v>
      </c>
      <c r="B908" s="4" t="s">
        <v>1504</v>
      </c>
    </row>
    <row r="909" ht="15.75" customHeight="1">
      <c r="A909" s="4">
        <v>1018007.0</v>
      </c>
      <c r="B909" s="4" t="s">
        <v>1505</v>
      </c>
    </row>
    <row r="910" ht="15.75" customHeight="1">
      <c r="A910" s="4">
        <v>1018008.0</v>
      </c>
      <c r="B910" s="4" t="s">
        <v>1507</v>
      </c>
    </row>
    <row r="911" ht="15.75" customHeight="1">
      <c r="A911" s="4">
        <v>1018009.0</v>
      </c>
      <c r="B911" s="4" t="s">
        <v>1509</v>
      </c>
    </row>
    <row r="912" ht="15.75" customHeight="1">
      <c r="A912" s="4">
        <v>1018010.0</v>
      </c>
      <c r="B912" s="4" t="s">
        <v>1510</v>
      </c>
    </row>
    <row r="913" ht="15.75" customHeight="1">
      <c r="A913" s="4">
        <v>1018011.0</v>
      </c>
      <c r="B913" s="4" t="s">
        <v>1511</v>
      </c>
    </row>
    <row r="914" ht="15.75" customHeight="1">
      <c r="A914" s="4">
        <v>1018012.0</v>
      </c>
      <c r="B914" s="4" t="s">
        <v>1512</v>
      </c>
    </row>
    <row r="915" ht="15.75" customHeight="1">
      <c r="A915" s="4">
        <v>1018013.0</v>
      </c>
      <c r="B915" s="4" t="s">
        <v>1513</v>
      </c>
    </row>
    <row r="916" ht="15.75" customHeight="1">
      <c r="A916" s="4">
        <v>1018014.0</v>
      </c>
      <c r="B916" s="4" t="s">
        <v>1514</v>
      </c>
    </row>
    <row r="917" ht="15.75" customHeight="1">
      <c r="A917" s="4">
        <v>1018015.0</v>
      </c>
      <c r="B917" s="4" t="s">
        <v>1515</v>
      </c>
    </row>
    <row r="918" ht="15.75" customHeight="1">
      <c r="A918" s="4">
        <v>1018016.0</v>
      </c>
      <c r="B918" s="4" t="s">
        <v>1516</v>
      </c>
    </row>
    <row r="919" ht="15.75" customHeight="1">
      <c r="A919" s="4">
        <v>1018017.0</v>
      </c>
      <c r="B919" s="4" t="s">
        <v>1517</v>
      </c>
    </row>
    <row r="920" ht="15.75" customHeight="1">
      <c r="A920" s="4">
        <v>1018018.0</v>
      </c>
      <c r="B920" s="4" t="s">
        <v>1518</v>
      </c>
    </row>
    <row r="921" ht="15.75" customHeight="1">
      <c r="A921" s="4">
        <v>1018019.0</v>
      </c>
      <c r="B921" s="4" t="s">
        <v>1519</v>
      </c>
    </row>
    <row r="922" ht="15.75" customHeight="1">
      <c r="A922" s="4">
        <v>1018020.0</v>
      </c>
      <c r="B922" s="4" t="s">
        <v>1520</v>
      </c>
    </row>
    <row r="923" ht="15.75" customHeight="1">
      <c r="A923" s="4">
        <v>1018021.0</v>
      </c>
      <c r="B923" s="4" t="s">
        <v>1521</v>
      </c>
    </row>
    <row r="924" ht="15.75" customHeight="1">
      <c r="A924" s="4">
        <v>1018022.0</v>
      </c>
      <c r="B924" s="4" t="s">
        <v>1522</v>
      </c>
    </row>
    <row r="925" ht="15.75" customHeight="1">
      <c r="A925" s="4">
        <v>1018023.0</v>
      </c>
      <c r="B925" s="4" t="s">
        <v>1523</v>
      </c>
    </row>
    <row r="926" ht="15.75" customHeight="1">
      <c r="A926" s="4">
        <v>1018024.0</v>
      </c>
      <c r="B926" s="4" t="s">
        <v>1524</v>
      </c>
    </row>
    <row r="927" ht="15.75" customHeight="1">
      <c r="A927" s="4">
        <v>1018025.0</v>
      </c>
      <c r="B927" s="4" t="s">
        <v>1525</v>
      </c>
    </row>
    <row r="928" ht="15.75" customHeight="1">
      <c r="A928" s="4">
        <v>1018026.0</v>
      </c>
      <c r="B928" s="4" t="s">
        <v>1526</v>
      </c>
    </row>
    <row r="929" ht="15.75" customHeight="1">
      <c r="A929" s="4">
        <v>1018027.0</v>
      </c>
      <c r="B929" s="4" t="s">
        <v>1527</v>
      </c>
    </row>
    <row r="930" ht="15.75" customHeight="1">
      <c r="A930" s="4">
        <v>1018028.0</v>
      </c>
      <c r="B930" s="4" t="s">
        <v>1528</v>
      </c>
    </row>
    <row r="931" ht="15.75" customHeight="1">
      <c r="A931" s="4">
        <v>1018029.0</v>
      </c>
      <c r="B931" s="4" t="s">
        <v>1529</v>
      </c>
    </row>
    <row r="932" ht="15.75" customHeight="1">
      <c r="A932" s="4">
        <v>1018030.0</v>
      </c>
      <c r="B932" s="4" t="s">
        <v>1530</v>
      </c>
    </row>
    <row r="933" ht="15.75" customHeight="1">
      <c r="A933" s="4">
        <v>1018031.0</v>
      </c>
      <c r="B933" s="4" t="s">
        <v>1531</v>
      </c>
    </row>
    <row r="934" ht="15.75" customHeight="1">
      <c r="A934" s="4">
        <v>1018032.0</v>
      </c>
      <c r="B934" s="4" t="s">
        <v>1532</v>
      </c>
    </row>
    <row r="935" ht="15.75" customHeight="1">
      <c r="A935" s="4">
        <v>1018033.0</v>
      </c>
      <c r="B935" s="4" t="s">
        <v>1533</v>
      </c>
    </row>
    <row r="936" ht="15.75" customHeight="1">
      <c r="A936" s="4">
        <v>1018034.0</v>
      </c>
      <c r="B936" s="4" t="s">
        <v>1534</v>
      </c>
    </row>
    <row r="937" ht="15.75" customHeight="1">
      <c r="A937" s="4">
        <v>1018035.0</v>
      </c>
      <c r="B937" s="4" t="s">
        <v>1535</v>
      </c>
    </row>
    <row r="938" ht="15.75" customHeight="1">
      <c r="A938" s="4">
        <v>1018036.0</v>
      </c>
      <c r="B938" s="4" t="s">
        <v>1536</v>
      </c>
    </row>
    <row r="939" ht="15.75" customHeight="1">
      <c r="A939" s="4">
        <v>1018037.0</v>
      </c>
      <c r="B939" s="4" t="s">
        <v>1537</v>
      </c>
    </row>
    <row r="940" ht="15.75" customHeight="1">
      <c r="A940" s="4">
        <v>1018038.0</v>
      </c>
      <c r="B940" s="4" t="s">
        <v>1538</v>
      </c>
    </row>
    <row r="941" ht="15.75" customHeight="1">
      <c r="A941" s="4">
        <v>1018039.0</v>
      </c>
      <c r="B941" s="4" t="s">
        <v>1539</v>
      </c>
    </row>
    <row r="942" ht="15.75" customHeight="1">
      <c r="A942" s="4">
        <v>1018040.0</v>
      </c>
      <c r="B942" s="4" t="s">
        <v>1540</v>
      </c>
    </row>
    <row r="943" ht="15.75" customHeight="1">
      <c r="A943" s="4">
        <v>1018041.0</v>
      </c>
      <c r="B943" s="4" t="s">
        <v>1541</v>
      </c>
    </row>
    <row r="944" ht="15.75" customHeight="1">
      <c r="A944" s="4">
        <v>1018042.0</v>
      </c>
      <c r="B944" s="4" t="s">
        <v>1542</v>
      </c>
    </row>
    <row r="945" ht="15.75" customHeight="1">
      <c r="A945" s="4">
        <v>1018043.0</v>
      </c>
      <c r="B945" s="4" t="s">
        <v>1543</v>
      </c>
    </row>
    <row r="946" ht="15.75" customHeight="1">
      <c r="A946" s="4">
        <v>1018044.0</v>
      </c>
      <c r="B946" s="4" t="s">
        <v>1544</v>
      </c>
    </row>
    <row r="947" ht="15.75" customHeight="1">
      <c r="A947" s="4">
        <v>1018045.0</v>
      </c>
      <c r="B947" s="4" t="s">
        <v>1545</v>
      </c>
    </row>
    <row r="948" ht="15.75" customHeight="1">
      <c r="A948" s="4">
        <v>1018046.0</v>
      </c>
      <c r="B948" s="4" t="s">
        <v>1546</v>
      </c>
    </row>
    <row r="949" ht="15.75" customHeight="1">
      <c r="A949" s="4">
        <v>1018047.0</v>
      </c>
      <c r="B949" s="4" t="s">
        <v>1547</v>
      </c>
    </row>
    <row r="950" ht="15.75" customHeight="1">
      <c r="A950" s="4">
        <v>1018048.0</v>
      </c>
      <c r="B950" s="4" t="s">
        <v>1548</v>
      </c>
    </row>
    <row r="951" ht="15.75" customHeight="1">
      <c r="A951" s="4">
        <v>1018049.0</v>
      </c>
      <c r="B951" s="4" t="s">
        <v>1549</v>
      </c>
    </row>
    <row r="952" ht="15.75" customHeight="1">
      <c r="A952" s="4">
        <v>1018050.0</v>
      </c>
      <c r="B952" s="4" t="s">
        <v>1550</v>
      </c>
    </row>
    <row r="953" ht="15.75" customHeight="1">
      <c r="A953" s="4">
        <v>1018051.0</v>
      </c>
      <c r="B953" s="4" t="s">
        <v>1551</v>
      </c>
    </row>
    <row r="954" ht="15.75" customHeight="1">
      <c r="A954" s="4">
        <v>1019001.0</v>
      </c>
      <c r="B954" s="4" t="s">
        <v>1552</v>
      </c>
    </row>
    <row r="955" ht="15.75" customHeight="1">
      <c r="A955" s="4">
        <v>1019002.0</v>
      </c>
      <c r="B955" s="4" t="s">
        <v>1553</v>
      </c>
    </row>
    <row r="956" ht="15.75" customHeight="1">
      <c r="A956" s="4">
        <v>1019003.0</v>
      </c>
      <c r="B956" s="4" t="s">
        <v>1554</v>
      </c>
    </row>
    <row r="957" ht="15.75" customHeight="1">
      <c r="A957" s="4">
        <v>1019004.0</v>
      </c>
      <c r="B957" s="4" t="s">
        <v>1555</v>
      </c>
    </row>
    <row r="958" ht="15.75" customHeight="1">
      <c r="A958" s="4">
        <v>1019005.0</v>
      </c>
      <c r="B958" s="4" t="s">
        <v>1556</v>
      </c>
    </row>
    <row r="959" ht="15.75" customHeight="1">
      <c r="A959" s="4">
        <v>1019006.0</v>
      </c>
      <c r="B959" s="4" t="s">
        <v>1557</v>
      </c>
    </row>
    <row r="960" ht="15.75" customHeight="1">
      <c r="A960" s="4">
        <v>1019007.0</v>
      </c>
      <c r="B960" s="4" t="s">
        <v>1558</v>
      </c>
    </row>
    <row r="961" ht="15.75" customHeight="1">
      <c r="A961" s="4">
        <v>1019008.0</v>
      </c>
      <c r="B961" s="4" t="s">
        <v>1559</v>
      </c>
    </row>
    <row r="962" ht="15.75" customHeight="1">
      <c r="A962" s="4">
        <v>1019009.0</v>
      </c>
      <c r="B962" s="4" t="s">
        <v>1560</v>
      </c>
    </row>
    <row r="963" ht="15.75" customHeight="1">
      <c r="A963" s="4">
        <v>1019010.0</v>
      </c>
      <c r="B963" s="4" t="s">
        <v>1561</v>
      </c>
    </row>
    <row r="964" ht="15.75" customHeight="1">
      <c r="A964" s="4">
        <v>1019011.0</v>
      </c>
      <c r="B964" s="4" t="s">
        <v>1562</v>
      </c>
    </row>
    <row r="965" ht="15.75" customHeight="1">
      <c r="A965" s="4">
        <v>1019012.0</v>
      </c>
      <c r="B965" s="4" t="s">
        <v>1563</v>
      </c>
    </row>
    <row r="966" ht="15.75" customHeight="1">
      <c r="A966" s="4">
        <v>1019013.0</v>
      </c>
      <c r="B966" s="4" t="s">
        <v>1564</v>
      </c>
    </row>
    <row r="967" ht="15.75" customHeight="1">
      <c r="A967" s="4">
        <v>1019014.0</v>
      </c>
      <c r="B967" s="4" t="s">
        <v>1565</v>
      </c>
    </row>
    <row r="968" ht="15.75" customHeight="1">
      <c r="A968" s="4">
        <v>1019015.0</v>
      </c>
      <c r="B968" s="4" t="s">
        <v>1566</v>
      </c>
    </row>
    <row r="969" ht="15.75" customHeight="1">
      <c r="A969" s="4">
        <v>1019016.0</v>
      </c>
      <c r="B969" s="4" t="s">
        <v>1567</v>
      </c>
    </row>
    <row r="970" ht="15.75" customHeight="1">
      <c r="A970" s="4">
        <v>1019017.0</v>
      </c>
      <c r="B970" s="4" t="s">
        <v>1568</v>
      </c>
    </row>
    <row r="971" ht="15.75" customHeight="1">
      <c r="A971" s="4">
        <v>1019018.0</v>
      </c>
      <c r="B971" s="4" t="s">
        <v>1569</v>
      </c>
    </row>
    <row r="972" ht="15.75" customHeight="1">
      <c r="A972" s="4">
        <v>1019019.0</v>
      </c>
      <c r="B972" s="4" t="s">
        <v>1570</v>
      </c>
    </row>
    <row r="973" ht="15.75" customHeight="1">
      <c r="A973" s="4">
        <v>1019020.0</v>
      </c>
      <c r="B973" s="4" t="s">
        <v>1571</v>
      </c>
    </row>
    <row r="974" ht="15.75" customHeight="1">
      <c r="A974" s="4">
        <v>1019021.0</v>
      </c>
      <c r="B974" s="4" t="s">
        <v>1572</v>
      </c>
    </row>
    <row r="975" ht="15.75" customHeight="1">
      <c r="A975" s="4">
        <v>1019022.0</v>
      </c>
      <c r="B975" s="4" t="s">
        <v>1573</v>
      </c>
    </row>
    <row r="976" ht="15.75" customHeight="1">
      <c r="A976" s="4">
        <v>1019023.0</v>
      </c>
      <c r="B976" s="4" t="s">
        <v>1574</v>
      </c>
    </row>
    <row r="977" ht="15.75" customHeight="1">
      <c r="A977" s="4">
        <v>1019024.0</v>
      </c>
      <c r="B977" s="4" t="s">
        <v>1575</v>
      </c>
    </row>
    <row r="978" ht="15.75" customHeight="1">
      <c r="A978" s="4">
        <v>1019025.0</v>
      </c>
      <c r="B978" s="4" t="s">
        <v>1576</v>
      </c>
    </row>
    <row r="979" ht="15.75" customHeight="1">
      <c r="A979" s="4">
        <v>1019026.0</v>
      </c>
      <c r="B979" s="4" t="s">
        <v>1577</v>
      </c>
    </row>
    <row r="980" ht="15.75" customHeight="1">
      <c r="A980" s="4">
        <v>1019027.0</v>
      </c>
      <c r="B980" s="4" t="s">
        <v>1578</v>
      </c>
    </row>
    <row r="981" ht="15.75" customHeight="1">
      <c r="A981" s="4">
        <v>1019028.0</v>
      </c>
      <c r="B981" s="4" t="s">
        <v>1580</v>
      </c>
    </row>
    <row r="982" ht="15.75" customHeight="1">
      <c r="A982" s="4">
        <v>1019029.0</v>
      </c>
      <c r="B982" s="4" t="s">
        <v>1582</v>
      </c>
    </row>
    <row r="983" ht="15.75" customHeight="1">
      <c r="A983" s="4">
        <v>1019030.0</v>
      </c>
      <c r="B983" s="4" t="s">
        <v>1583</v>
      </c>
    </row>
    <row r="984" ht="15.75" customHeight="1">
      <c r="A984" s="4">
        <v>1019031.0</v>
      </c>
      <c r="B984" s="4" t="s">
        <v>1584</v>
      </c>
    </row>
    <row r="985" ht="15.75" customHeight="1">
      <c r="A985" s="4">
        <v>1019032.0</v>
      </c>
      <c r="B985" s="4" t="s">
        <v>1585</v>
      </c>
    </row>
    <row r="986" ht="15.75" customHeight="1">
      <c r="A986" s="4">
        <v>1019033.0</v>
      </c>
      <c r="B986" s="4" t="s">
        <v>1586</v>
      </c>
    </row>
    <row r="987" ht="15.75" customHeight="1">
      <c r="A987" s="4">
        <v>1019034.0</v>
      </c>
      <c r="B987" s="4" t="s">
        <v>1587</v>
      </c>
    </row>
    <row r="988" ht="15.75" customHeight="1">
      <c r="A988" s="4">
        <v>1019035.0</v>
      </c>
      <c r="B988" s="4" t="s">
        <v>1588</v>
      </c>
    </row>
    <row r="989" ht="15.75" customHeight="1">
      <c r="A989" s="4">
        <v>1019036.0</v>
      </c>
      <c r="B989" s="4" t="s">
        <v>1589</v>
      </c>
    </row>
    <row r="990" ht="15.75" customHeight="1">
      <c r="A990" s="4">
        <v>1019037.0</v>
      </c>
      <c r="B990" s="4" t="s">
        <v>1590</v>
      </c>
    </row>
    <row r="991" ht="15.75" customHeight="1">
      <c r="A991" s="4">
        <v>1019038.0</v>
      </c>
      <c r="B991" s="4" t="s">
        <v>1591</v>
      </c>
    </row>
    <row r="992" ht="15.75" customHeight="1">
      <c r="A992" s="4">
        <v>1019039.0</v>
      </c>
      <c r="B992" s="4" t="s">
        <v>1592</v>
      </c>
    </row>
    <row r="993" ht="15.75" customHeight="1">
      <c r="A993" s="4">
        <v>1019040.0</v>
      </c>
      <c r="B993" s="4" t="s">
        <v>1593</v>
      </c>
    </row>
    <row r="994" ht="15.75" customHeight="1">
      <c r="A994" s="4">
        <v>1019041.0</v>
      </c>
      <c r="B994" s="4" t="s">
        <v>1594</v>
      </c>
    </row>
    <row r="995" ht="15.75" customHeight="1">
      <c r="A995" s="4">
        <v>1019042.0</v>
      </c>
      <c r="B995" s="4" t="s">
        <v>1595</v>
      </c>
    </row>
    <row r="996" ht="15.75" customHeight="1">
      <c r="A996" s="4">
        <v>1019043.0</v>
      </c>
      <c r="B996" s="4" t="s">
        <v>1596</v>
      </c>
    </row>
    <row r="997" ht="15.75" customHeight="1">
      <c r="A997" s="4">
        <v>1019044.0</v>
      </c>
      <c r="B997" s="4" t="s">
        <v>1597</v>
      </c>
    </row>
    <row r="998" ht="15.75" customHeight="1">
      <c r="A998" s="4">
        <v>1019045.0</v>
      </c>
      <c r="B998" s="4" t="s">
        <v>1598</v>
      </c>
    </row>
    <row r="999" ht="15.75" customHeight="1">
      <c r="A999" s="4">
        <v>1019046.0</v>
      </c>
      <c r="B999" s="4" t="s">
        <v>1599</v>
      </c>
    </row>
    <row r="1000" ht="15.75" customHeight="1">
      <c r="A1000" s="4">
        <v>1019047.0</v>
      </c>
      <c r="B1000" s="4" t="s">
        <v>1600</v>
      </c>
    </row>
    <row r="1001" ht="15.75" customHeight="1">
      <c r="A1001" s="4">
        <v>1019048.0</v>
      </c>
      <c r="B1001" s="4" t="s">
        <v>1601</v>
      </c>
    </row>
    <row r="1002" ht="15.75" customHeight="1">
      <c r="A1002" s="4">
        <v>1020001.0</v>
      </c>
      <c r="B1002" s="4" t="s">
        <v>1602</v>
      </c>
    </row>
    <row r="1003" ht="15.75" customHeight="1">
      <c r="A1003" s="4">
        <v>1020002.0</v>
      </c>
      <c r="B1003" s="4" t="s">
        <v>1603</v>
      </c>
    </row>
    <row r="1004" ht="15.75" customHeight="1">
      <c r="A1004" s="4">
        <v>1020003.0</v>
      </c>
      <c r="B1004" s="4" t="s">
        <v>1604</v>
      </c>
    </row>
    <row r="1005" ht="15.75" customHeight="1">
      <c r="A1005" s="4">
        <v>1020004.0</v>
      </c>
      <c r="B1005" s="4" t="s">
        <v>1605</v>
      </c>
    </row>
    <row r="1006" ht="15.75" customHeight="1">
      <c r="A1006" s="4">
        <v>1020005.0</v>
      </c>
      <c r="B1006" s="4" t="s">
        <v>1606</v>
      </c>
    </row>
    <row r="1007" ht="15.75" customHeight="1">
      <c r="A1007" s="4">
        <v>1020006.0</v>
      </c>
      <c r="B1007" s="4" t="s">
        <v>1607</v>
      </c>
    </row>
    <row r="1008" ht="15.75" customHeight="1">
      <c r="A1008" s="4">
        <v>1020008.0</v>
      </c>
      <c r="B1008" s="4" t="s">
        <v>1608</v>
      </c>
    </row>
    <row r="1009" ht="15.75" customHeight="1">
      <c r="A1009" s="4">
        <v>1020009.0</v>
      </c>
      <c r="B1009" s="4" t="s">
        <v>1609</v>
      </c>
    </row>
    <row r="1010" ht="15.75" customHeight="1">
      <c r="A1010" s="4">
        <v>1020010.0</v>
      </c>
      <c r="B1010" s="4" t="s">
        <v>1610</v>
      </c>
    </row>
    <row r="1011" ht="15.75" customHeight="1">
      <c r="A1011" s="4">
        <v>1020011.0</v>
      </c>
      <c r="B1011" s="4" t="s">
        <v>1611</v>
      </c>
    </row>
    <row r="1012" ht="15.75" customHeight="1">
      <c r="A1012" s="4">
        <v>1020012.0</v>
      </c>
      <c r="B1012" s="4" t="s">
        <v>1612</v>
      </c>
    </row>
    <row r="1013" ht="15.75" customHeight="1">
      <c r="A1013" s="4">
        <v>1020013.0</v>
      </c>
      <c r="B1013" s="4" t="s">
        <v>1613</v>
      </c>
    </row>
    <row r="1014" ht="15.75" customHeight="1">
      <c r="A1014" s="4">
        <v>1020014.0</v>
      </c>
      <c r="B1014" s="4" t="s">
        <v>1614</v>
      </c>
    </row>
    <row r="1015" ht="15.75" customHeight="1">
      <c r="A1015" s="4">
        <v>1020015.0</v>
      </c>
      <c r="B1015" s="4" t="s">
        <v>1615</v>
      </c>
    </row>
    <row r="1016" ht="15.75" customHeight="1">
      <c r="A1016" s="4">
        <v>1020016.0</v>
      </c>
      <c r="B1016" s="4" t="s">
        <v>1616</v>
      </c>
    </row>
    <row r="1017" ht="15.75" customHeight="1">
      <c r="A1017" s="4">
        <v>1020017.0</v>
      </c>
      <c r="B1017" s="4" t="s">
        <v>1617</v>
      </c>
    </row>
    <row r="1018" ht="15.75" customHeight="1">
      <c r="A1018" s="4">
        <v>1020018.0</v>
      </c>
      <c r="B1018" s="4" t="s">
        <v>1618</v>
      </c>
    </row>
    <row r="1019" ht="15.75" customHeight="1">
      <c r="A1019" s="4">
        <v>1020019.0</v>
      </c>
      <c r="B1019" s="4" t="s">
        <v>1619</v>
      </c>
    </row>
    <row r="1020" ht="15.75" customHeight="1">
      <c r="A1020" s="4">
        <v>1020020.0</v>
      </c>
      <c r="B1020" s="4" t="s">
        <v>1620</v>
      </c>
    </row>
    <row r="1021" ht="15.75" customHeight="1">
      <c r="A1021" s="4">
        <v>1020021.0</v>
      </c>
      <c r="B1021" s="4" t="s">
        <v>1621</v>
      </c>
    </row>
    <row r="1022" ht="15.75" customHeight="1">
      <c r="A1022" s="4">
        <v>1020022.0</v>
      </c>
      <c r="B1022" s="4" t="s">
        <v>1622</v>
      </c>
    </row>
    <row r="1023" ht="15.75" customHeight="1">
      <c r="A1023" s="4">
        <v>1020023.0</v>
      </c>
      <c r="B1023" s="4" t="s">
        <v>1623</v>
      </c>
    </row>
    <row r="1024" ht="15.75" customHeight="1">
      <c r="A1024" s="4">
        <v>1020024.0</v>
      </c>
      <c r="B1024" s="4" t="s">
        <v>1624</v>
      </c>
    </row>
    <row r="1025" ht="15.75" customHeight="1">
      <c r="A1025" s="4">
        <v>1020025.0</v>
      </c>
      <c r="B1025" s="4" t="s">
        <v>1625</v>
      </c>
    </row>
    <row r="1026" ht="15.75" customHeight="1">
      <c r="A1026" s="4">
        <v>1020026.0</v>
      </c>
      <c r="B1026" s="4" t="s">
        <v>1626</v>
      </c>
    </row>
    <row r="1027" ht="15.75" customHeight="1">
      <c r="A1027" s="4">
        <v>1020027.0</v>
      </c>
      <c r="B1027" s="4" t="s">
        <v>1627</v>
      </c>
    </row>
    <row r="1028" ht="15.75" customHeight="1">
      <c r="A1028" s="4">
        <v>1020028.0</v>
      </c>
      <c r="B1028" s="4" t="s">
        <v>1628</v>
      </c>
    </row>
    <row r="1029" ht="15.75" customHeight="1">
      <c r="A1029" s="4">
        <v>1020029.0</v>
      </c>
      <c r="B1029" s="4" t="s">
        <v>1629</v>
      </c>
    </row>
    <row r="1030" ht="15.75" customHeight="1">
      <c r="A1030" s="4">
        <v>1020030.0</v>
      </c>
      <c r="B1030" s="4" t="s">
        <v>1630</v>
      </c>
    </row>
    <row r="1031" ht="15.75" customHeight="1">
      <c r="A1031" s="4">
        <v>1020031.0</v>
      </c>
      <c r="B1031" s="4" t="s">
        <v>1631</v>
      </c>
    </row>
    <row r="1032" ht="15.75" customHeight="1">
      <c r="A1032" s="4">
        <v>1020032.0</v>
      </c>
      <c r="B1032" s="4" t="s">
        <v>1632</v>
      </c>
    </row>
    <row r="1033" ht="15.75" customHeight="1">
      <c r="A1033" s="4">
        <v>1020033.0</v>
      </c>
      <c r="B1033" s="4" t="s">
        <v>1633</v>
      </c>
    </row>
    <row r="1034" ht="15.75" customHeight="1">
      <c r="A1034" s="4">
        <v>1020034.0</v>
      </c>
      <c r="B1034" s="4" t="s">
        <v>1634</v>
      </c>
    </row>
    <row r="1035" ht="15.75" customHeight="1">
      <c r="A1035" s="4">
        <v>1020035.0</v>
      </c>
      <c r="B1035" s="4" t="s">
        <v>1635</v>
      </c>
    </row>
    <row r="1036" ht="15.75" customHeight="1">
      <c r="A1036" s="4">
        <v>1020036.0</v>
      </c>
      <c r="B1036" s="4" t="s">
        <v>1636</v>
      </c>
    </row>
    <row r="1037" ht="15.75" customHeight="1">
      <c r="A1037" s="4">
        <v>1020037.0</v>
      </c>
      <c r="B1037" s="4" t="s">
        <v>1637</v>
      </c>
    </row>
    <row r="1038" ht="15.75" customHeight="1">
      <c r="A1038" s="4">
        <v>1020038.0</v>
      </c>
      <c r="B1038" s="4" t="s">
        <v>1638</v>
      </c>
    </row>
    <row r="1039" ht="15.75" customHeight="1">
      <c r="A1039" s="4">
        <v>1020039.0</v>
      </c>
      <c r="B1039" s="4" t="s">
        <v>1639</v>
      </c>
    </row>
    <row r="1040" ht="15.75" customHeight="1">
      <c r="A1040" s="4">
        <v>1020040.0</v>
      </c>
      <c r="B1040" s="4" t="s">
        <v>1640</v>
      </c>
    </row>
    <row r="1041" ht="15.75" customHeight="1">
      <c r="A1041" s="4">
        <v>1020041.0</v>
      </c>
      <c r="B1041" s="4" t="s">
        <v>1641</v>
      </c>
    </row>
    <row r="1042" ht="15.75" customHeight="1">
      <c r="A1042" s="4">
        <v>1020042.0</v>
      </c>
      <c r="B1042" s="4" t="s">
        <v>1642</v>
      </c>
    </row>
    <row r="1043" ht="15.75" customHeight="1">
      <c r="A1043" s="4">
        <v>1020043.0</v>
      </c>
      <c r="B1043" s="4" t="s">
        <v>1643</v>
      </c>
    </row>
    <row r="1044" ht="15.75" customHeight="1">
      <c r="A1044" s="4">
        <v>1020044.0</v>
      </c>
      <c r="B1044" s="4" t="s">
        <v>1644</v>
      </c>
    </row>
    <row r="1045" ht="15.75" customHeight="1">
      <c r="A1045" s="4">
        <v>1020045.0</v>
      </c>
      <c r="B1045" s="4" t="s">
        <v>1645</v>
      </c>
    </row>
    <row r="1046" ht="15.75" customHeight="1">
      <c r="A1046" s="4">
        <v>1020046.0</v>
      </c>
      <c r="B1046" s="4" t="s">
        <v>1646</v>
      </c>
    </row>
    <row r="1047" ht="15.75" customHeight="1">
      <c r="A1047" s="4">
        <v>1020047.0</v>
      </c>
      <c r="B1047" s="4" t="s">
        <v>1647</v>
      </c>
    </row>
    <row r="1048" ht="15.75" customHeight="1">
      <c r="A1048" s="4">
        <v>1020048.0</v>
      </c>
      <c r="B1048" s="4" t="s">
        <v>1648</v>
      </c>
    </row>
    <row r="1049" ht="15.75" customHeight="1">
      <c r="A1049" s="4">
        <v>1021001.0</v>
      </c>
      <c r="B1049" s="4" t="s">
        <v>1649</v>
      </c>
    </row>
    <row r="1050" ht="15.75" customHeight="1">
      <c r="A1050" s="4">
        <v>1021002.0</v>
      </c>
      <c r="B1050" s="4" t="s">
        <v>1650</v>
      </c>
    </row>
    <row r="1051" ht="15.75" customHeight="1">
      <c r="A1051" s="4">
        <v>1021003.0</v>
      </c>
      <c r="B1051" s="4" t="s">
        <v>1651</v>
      </c>
    </row>
    <row r="1052" ht="15.75" customHeight="1">
      <c r="A1052" s="4">
        <v>1021004.0</v>
      </c>
      <c r="B1052" s="4" t="s">
        <v>1652</v>
      </c>
    </row>
    <row r="1053" ht="15.75" customHeight="1">
      <c r="A1053" s="4">
        <v>1021005.0</v>
      </c>
      <c r="B1053" s="4" t="s">
        <v>1653</v>
      </c>
    </row>
    <row r="1054" ht="15.75" customHeight="1">
      <c r="A1054" s="4">
        <v>1021006.0</v>
      </c>
      <c r="B1054" s="4" t="s">
        <v>1654</v>
      </c>
    </row>
    <row r="1055" ht="15.75" customHeight="1">
      <c r="A1055" s="4">
        <v>1021007.0</v>
      </c>
      <c r="B1055" s="4" t="s">
        <v>1655</v>
      </c>
    </row>
    <row r="1056" ht="15.75" customHeight="1">
      <c r="A1056" s="4">
        <v>1021008.0</v>
      </c>
      <c r="B1056" s="4" t="s">
        <v>1660</v>
      </c>
    </row>
    <row r="1057" ht="15.75" customHeight="1">
      <c r="A1057" s="4">
        <v>1021009.0</v>
      </c>
      <c r="B1057" s="4" t="s">
        <v>1661</v>
      </c>
    </row>
    <row r="1058" ht="15.75" customHeight="1">
      <c r="A1058" s="4">
        <v>1021010.0</v>
      </c>
      <c r="B1058" s="4" t="s">
        <v>1664</v>
      </c>
    </row>
    <row r="1059" ht="15.75" customHeight="1">
      <c r="A1059" s="4">
        <v>1021011.0</v>
      </c>
      <c r="B1059" s="4" t="s">
        <v>1666</v>
      </c>
    </row>
    <row r="1060" ht="15.75" customHeight="1">
      <c r="A1060" s="4">
        <v>1021012.0</v>
      </c>
      <c r="B1060" s="4" t="s">
        <v>1668</v>
      </c>
    </row>
    <row r="1061" ht="15.75" customHeight="1">
      <c r="A1061" s="4">
        <v>1021013.0</v>
      </c>
      <c r="B1061" s="4" t="s">
        <v>1671</v>
      </c>
    </row>
    <row r="1062" ht="15.75" customHeight="1">
      <c r="A1062" s="4">
        <v>1021014.0</v>
      </c>
      <c r="B1062" s="4" t="s">
        <v>1673</v>
      </c>
    </row>
    <row r="1063" ht="15.75" customHeight="1">
      <c r="A1063" s="4">
        <v>1021015.0</v>
      </c>
      <c r="B1063" s="4" t="s">
        <v>1675</v>
      </c>
    </row>
    <row r="1064" ht="15.75" customHeight="1">
      <c r="A1064" s="4">
        <v>1021016.0</v>
      </c>
      <c r="B1064" s="4" t="s">
        <v>1676</v>
      </c>
    </row>
    <row r="1065" ht="15.75" customHeight="1">
      <c r="A1065" s="4">
        <v>1021017.0</v>
      </c>
      <c r="B1065" s="4" t="s">
        <v>1679</v>
      </c>
    </row>
    <row r="1066" ht="15.75" customHeight="1">
      <c r="A1066" s="4">
        <v>1021018.0</v>
      </c>
      <c r="B1066" s="4" t="s">
        <v>1680</v>
      </c>
    </row>
    <row r="1067" ht="15.75" customHeight="1">
      <c r="A1067" s="4">
        <v>1022001.0</v>
      </c>
      <c r="B1067" s="4" t="s">
        <v>1683</v>
      </c>
    </row>
    <row r="1068" ht="15.75" customHeight="1">
      <c r="A1068" s="4">
        <v>1022002.0</v>
      </c>
      <c r="B1068" s="4" t="s">
        <v>1684</v>
      </c>
    </row>
    <row r="1069" ht="15.75" customHeight="1">
      <c r="A1069" s="4">
        <v>1022003.0</v>
      </c>
      <c r="B1069" s="4" t="s">
        <v>1687</v>
      </c>
    </row>
    <row r="1070" ht="15.75" customHeight="1">
      <c r="A1070" s="4">
        <v>1022004.0</v>
      </c>
      <c r="B1070" s="4" t="s">
        <v>1688</v>
      </c>
    </row>
    <row r="1071" ht="15.75" customHeight="1">
      <c r="A1071" s="4">
        <v>1022005.0</v>
      </c>
      <c r="B1071" s="4" t="s">
        <v>1691</v>
      </c>
    </row>
    <row r="1072" ht="15.75" customHeight="1">
      <c r="A1072" s="4">
        <v>1022006.0</v>
      </c>
      <c r="B1072" s="4" t="s">
        <v>1692</v>
      </c>
    </row>
    <row r="1073" ht="15.75" customHeight="1">
      <c r="A1073" s="4">
        <v>1022007.0</v>
      </c>
      <c r="B1073" s="4" t="s">
        <v>1695</v>
      </c>
    </row>
    <row r="1074" ht="15.75" customHeight="1">
      <c r="A1074" s="4">
        <v>1022008.0</v>
      </c>
      <c r="B1074" s="4" t="s">
        <v>1697</v>
      </c>
    </row>
    <row r="1075" ht="15.75" customHeight="1">
      <c r="A1075" s="4">
        <v>1022009.0</v>
      </c>
      <c r="B1075" s="4" t="s">
        <v>1700</v>
      </c>
    </row>
    <row r="1076" ht="15.75" customHeight="1">
      <c r="A1076" s="4">
        <v>1022010.0</v>
      </c>
      <c r="B1076" s="4" t="s">
        <v>1701</v>
      </c>
    </row>
    <row r="1077" ht="15.75" customHeight="1">
      <c r="A1077" s="4">
        <v>1022011.0</v>
      </c>
      <c r="B1077" s="4" t="s">
        <v>1703</v>
      </c>
    </row>
    <row r="1078" ht="15.75" customHeight="1">
      <c r="A1078" s="4">
        <v>1022012.0</v>
      </c>
      <c r="B1078" s="4" t="s">
        <v>1706</v>
      </c>
    </row>
    <row r="1079" ht="15.75" customHeight="1">
      <c r="A1079" s="4">
        <v>1022013.0</v>
      </c>
      <c r="B1079" s="4" t="s">
        <v>1708</v>
      </c>
    </row>
    <row r="1080" ht="15.75" customHeight="1">
      <c r="A1080" s="4">
        <v>1022014.0</v>
      </c>
      <c r="B1080" s="4" t="s">
        <v>1710</v>
      </c>
    </row>
    <row r="1081" ht="15.75" customHeight="1">
      <c r="A1081" s="4">
        <v>1022015.0</v>
      </c>
      <c r="B1081" s="4" t="s">
        <v>1713</v>
      </c>
    </row>
    <row r="1082" ht="15.75" customHeight="1">
      <c r="A1082" s="4">
        <v>1022016.0</v>
      </c>
      <c r="B1082" s="4" t="s">
        <v>1714</v>
      </c>
    </row>
    <row r="1083" ht="15.75" customHeight="1">
      <c r="A1083" s="4">
        <v>1023001.0</v>
      </c>
      <c r="B1083" s="4" t="s">
        <v>1717</v>
      </c>
    </row>
    <row r="1084" ht="15.75" customHeight="1">
      <c r="A1084" s="4">
        <v>1023002.0</v>
      </c>
      <c r="B1084" s="4" t="s">
        <v>1718</v>
      </c>
    </row>
    <row r="1085" ht="15.75" customHeight="1">
      <c r="A1085" s="4">
        <v>1023003.0</v>
      </c>
      <c r="B1085" s="4" t="s">
        <v>1720</v>
      </c>
    </row>
    <row r="1086" ht="15.75" customHeight="1">
      <c r="A1086" s="4">
        <v>1023004.0</v>
      </c>
      <c r="B1086" s="4" t="s">
        <v>1722</v>
      </c>
    </row>
    <row r="1087" ht="15.75" customHeight="1">
      <c r="A1087" s="4">
        <v>1023005.0</v>
      </c>
      <c r="B1087" s="4" t="s">
        <v>1725</v>
      </c>
    </row>
    <row r="1088" ht="15.75" customHeight="1">
      <c r="A1088" s="4">
        <v>1023006.0</v>
      </c>
      <c r="B1088" s="4" t="s">
        <v>1728</v>
      </c>
    </row>
    <row r="1089" ht="15.75" customHeight="1">
      <c r="A1089" s="4">
        <v>1023007.0</v>
      </c>
      <c r="B1089" s="4" t="s">
        <v>1731</v>
      </c>
    </row>
    <row r="1090" ht="15.75" customHeight="1">
      <c r="A1090" s="4">
        <v>1023008.0</v>
      </c>
      <c r="B1090" s="4" t="s">
        <v>1733</v>
      </c>
    </row>
    <row r="1091" ht="15.75" customHeight="1">
      <c r="A1091" s="4">
        <v>1023009.0</v>
      </c>
      <c r="B1091" s="4" t="s">
        <v>1736</v>
      </c>
    </row>
    <row r="1092" ht="15.75" customHeight="1">
      <c r="A1092" s="4">
        <v>1023010.0</v>
      </c>
      <c r="B1092" s="4" t="s">
        <v>1740</v>
      </c>
    </row>
    <row r="1093" ht="15.75" customHeight="1">
      <c r="A1093" s="4">
        <v>1023011.0</v>
      </c>
      <c r="B1093" s="4" t="s">
        <v>1743</v>
      </c>
    </row>
    <row r="1094" ht="15.75" customHeight="1">
      <c r="A1094" s="4">
        <v>1023012.0</v>
      </c>
      <c r="B1094" s="4" t="s">
        <v>1744</v>
      </c>
    </row>
    <row r="1095" ht="15.75" customHeight="1">
      <c r="A1095" s="4">
        <v>1023013.0</v>
      </c>
      <c r="B1095" s="4" t="s">
        <v>1747</v>
      </c>
    </row>
    <row r="1096" ht="15.75" customHeight="1">
      <c r="A1096" s="4">
        <v>1023014.0</v>
      </c>
      <c r="B1096" s="4" t="s">
        <v>1750</v>
      </c>
    </row>
    <row r="1097" ht="15.75" customHeight="1">
      <c r="A1097" s="4">
        <v>1023015.0</v>
      </c>
      <c r="B1097" s="4" t="s">
        <v>1754</v>
      </c>
    </row>
    <row r="1098" ht="15.75" customHeight="1">
      <c r="A1098" s="4">
        <v>1023016.0</v>
      </c>
      <c r="B1098" s="4" t="s">
        <v>1757</v>
      </c>
    </row>
    <row r="1099" ht="15.75" customHeight="1">
      <c r="A1099" s="4">
        <v>1023017.0</v>
      </c>
      <c r="B1099" s="4" t="s">
        <v>1761</v>
      </c>
    </row>
    <row r="1100" ht="15.75" customHeight="1">
      <c r="A1100" s="4">
        <v>1024001.0</v>
      </c>
      <c r="B1100" s="4" t="s">
        <v>1763</v>
      </c>
    </row>
    <row r="1101" ht="15.75" customHeight="1">
      <c r="A1101" s="4">
        <v>1024002.0</v>
      </c>
      <c r="B1101" s="4" t="s">
        <v>1766</v>
      </c>
    </row>
    <row r="1102" ht="15.75" customHeight="1">
      <c r="A1102" s="4">
        <v>1024003.0</v>
      </c>
      <c r="B1102" s="4" t="s">
        <v>1769</v>
      </c>
    </row>
    <row r="1103" ht="15.75" customHeight="1">
      <c r="A1103" s="4">
        <v>1024004.0</v>
      </c>
      <c r="B1103" s="4" t="s">
        <v>1773</v>
      </c>
    </row>
    <row r="1104" ht="15.75" customHeight="1">
      <c r="A1104" s="4">
        <v>1024005.0</v>
      </c>
      <c r="B1104" s="4" t="s">
        <v>1776</v>
      </c>
    </row>
    <row r="1105" ht="15.75" customHeight="1">
      <c r="A1105" s="4">
        <v>1024006.0</v>
      </c>
      <c r="B1105" s="4" t="s">
        <v>1779</v>
      </c>
    </row>
    <row r="1106" ht="15.75" customHeight="1">
      <c r="A1106" s="4">
        <v>1024007.0</v>
      </c>
      <c r="B1106" s="4" t="s">
        <v>1782</v>
      </c>
    </row>
    <row r="1107" ht="15.75" customHeight="1">
      <c r="A1107" s="4">
        <v>1024008.0</v>
      </c>
      <c r="B1107" s="4" t="s">
        <v>1785</v>
      </c>
    </row>
    <row r="1108" ht="15.75" customHeight="1">
      <c r="A1108" s="4">
        <v>1024009.0</v>
      </c>
      <c r="B1108" s="4" t="s">
        <v>1789</v>
      </c>
    </row>
    <row r="1109" ht="15.75" customHeight="1">
      <c r="A1109" s="4">
        <v>1024010.0</v>
      </c>
      <c r="B1109" s="4" t="s">
        <v>1791</v>
      </c>
    </row>
    <row r="1110" ht="15.75" customHeight="1">
      <c r="A1110" s="4">
        <v>1024011.0</v>
      </c>
      <c r="B1110" s="4" t="s">
        <v>1794</v>
      </c>
    </row>
    <row r="1111" ht="15.75" customHeight="1">
      <c r="A1111" s="4">
        <v>1024012.0</v>
      </c>
      <c r="B1111" s="4" t="s">
        <v>1797</v>
      </c>
    </row>
    <row r="1112" ht="15.75" customHeight="1">
      <c r="A1112" s="4">
        <v>1024013.0</v>
      </c>
      <c r="B1112" s="4" t="s">
        <v>1799</v>
      </c>
    </row>
    <row r="1113" ht="15.75" customHeight="1">
      <c r="A1113" s="4">
        <v>1024014.0</v>
      </c>
      <c r="B1113" s="4" t="s">
        <v>1802</v>
      </c>
    </row>
    <row r="1114" ht="15.75" customHeight="1">
      <c r="A1114" s="4">
        <v>1024015.0</v>
      </c>
      <c r="B1114" s="4" t="s">
        <v>1805</v>
      </c>
    </row>
    <row r="1115" ht="15.75" customHeight="1">
      <c r="A1115" s="4">
        <v>1024016.0</v>
      </c>
      <c r="B1115" s="4" t="s">
        <v>1808</v>
      </c>
    </row>
    <row r="1116" ht="15.75" customHeight="1">
      <c r="A1116" s="4">
        <v>1024017.0</v>
      </c>
      <c r="B1116" s="4" t="s">
        <v>1810</v>
      </c>
    </row>
    <row r="1117" ht="15.75" customHeight="1">
      <c r="A1117" s="4">
        <v>1024018.0</v>
      </c>
      <c r="B1117" s="4" t="s">
        <v>1813</v>
      </c>
    </row>
    <row r="1118" ht="15.75" customHeight="1">
      <c r="A1118" s="4">
        <v>1024019.0</v>
      </c>
      <c r="B1118" s="4" t="s">
        <v>1816</v>
      </c>
    </row>
    <row r="1119" ht="15.75" customHeight="1">
      <c r="A1119" s="4">
        <v>1024020.0</v>
      </c>
      <c r="B1119" s="4" t="s">
        <v>1819</v>
      </c>
    </row>
    <row r="1120" ht="15.75" customHeight="1">
      <c r="A1120" s="4">
        <v>1024021.0</v>
      </c>
      <c r="B1120" s="4" t="s">
        <v>1823</v>
      </c>
    </row>
    <row r="1121" ht="15.75" customHeight="1">
      <c r="A1121" s="4">
        <v>1024022.0</v>
      </c>
      <c r="B1121" s="4" t="s">
        <v>1825</v>
      </c>
    </row>
    <row r="1122" ht="15.75" customHeight="1">
      <c r="A1122" s="4">
        <v>1024023.0</v>
      </c>
      <c r="B1122" s="4" t="s">
        <v>1828</v>
      </c>
    </row>
    <row r="1123" ht="15.75" customHeight="1">
      <c r="A1123" s="4">
        <v>1024024.0</v>
      </c>
      <c r="B1123" s="4" t="s">
        <v>1830</v>
      </c>
    </row>
    <row r="1124" ht="15.75" customHeight="1">
      <c r="A1124" s="4">
        <v>1024025.0</v>
      </c>
      <c r="B1124" s="4" t="s">
        <v>1834</v>
      </c>
    </row>
    <row r="1125" ht="15.75" customHeight="1">
      <c r="A1125" s="4">
        <v>1024026.0</v>
      </c>
      <c r="B1125" s="4" t="s">
        <v>1837</v>
      </c>
    </row>
    <row r="1126" ht="15.75" customHeight="1">
      <c r="A1126" s="4">
        <v>1024027.0</v>
      </c>
      <c r="B1126" s="4" t="s">
        <v>1840</v>
      </c>
    </row>
    <row r="1127" ht="15.75" customHeight="1">
      <c r="A1127" s="4">
        <v>1024028.0</v>
      </c>
      <c r="B1127" s="4" t="s">
        <v>1842</v>
      </c>
    </row>
    <row r="1128" ht="15.75" customHeight="1">
      <c r="A1128" s="4">
        <v>1024029.0</v>
      </c>
      <c r="B1128" s="4" t="s">
        <v>1846</v>
      </c>
    </row>
    <row r="1129" ht="15.75" customHeight="1">
      <c r="A1129" s="4">
        <v>1024030.0</v>
      </c>
      <c r="B1129" s="4" t="s">
        <v>1849</v>
      </c>
    </row>
    <row r="1130" ht="15.75" customHeight="1">
      <c r="A1130" s="4">
        <v>1024031.0</v>
      </c>
      <c r="B1130" s="4" t="s">
        <v>1852</v>
      </c>
    </row>
    <row r="1131" ht="15.75" customHeight="1">
      <c r="A1131" s="4">
        <v>1024032.0</v>
      </c>
      <c r="B1131" s="4" t="s">
        <v>1856</v>
      </c>
    </row>
    <row r="1132" ht="15.75" customHeight="1">
      <c r="A1132" s="4">
        <v>1024033.0</v>
      </c>
      <c r="B1132" s="4" t="s">
        <v>1859</v>
      </c>
    </row>
    <row r="1133" ht="15.75" customHeight="1">
      <c r="A1133" s="4">
        <v>1024034.0</v>
      </c>
      <c r="B1133" s="4" t="s">
        <v>1862</v>
      </c>
    </row>
    <row r="1134" ht="15.75" customHeight="1">
      <c r="A1134" s="4">
        <v>1024035.0</v>
      </c>
      <c r="B1134" s="4" t="s">
        <v>1865</v>
      </c>
    </row>
    <row r="1135" ht="15.75" customHeight="1">
      <c r="A1135" s="4">
        <v>1024036.0</v>
      </c>
      <c r="B1135" s="4" t="s">
        <v>1867</v>
      </c>
    </row>
    <row r="1136" ht="15.75" customHeight="1">
      <c r="A1136" s="4">
        <v>1024037.0</v>
      </c>
      <c r="B1136" s="4" t="s">
        <v>1871</v>
      </c>
    </row>
    <row r="1137" ht="15.75" customHeight="1">
      <c r="A1137" s="4">
        <v>1024038.0</v>
      </c>
      <c r="B1137" s="4" t="s">
        <v>1875</v>
      </c>
    </row>
    <row r="1138" ht="15.75" customHeight="1">
      <c r="A1138" s="4">
        <v>1024039.0</v>
      </c>
      <c r="B1138" s="4" t="s">
        <v>1878</v>
      </c>
    </row>
    <row r="1139" ht="15.75" customHeight="1">
      <c r="A1139" s="4">
        <v>1025001.0</v>
      </c>
      <c r="B1139" s="4" t="s">
        <v>1881</v>
      </c>
    </row>
    <row r="1140" ht="15.75" customHeight="1">
      <c r="A1140" s="4">
        <v>1025002.0</v>
      </c>
      <c r="B1140" s="4" t="s">
        <v>1884</v>
      </c>
    </row>
    <row r="1141" ht="15.75" customHeight="1">
      <c r="A1141" s="4">
        <v>1025003.0</v>
      </c>
      <c r="B1141" s="4" t="s">
        <v>1886</v>
      </c>
    </row>
    <row r="1142" ht="15.75" customHeight="1">
      <c r="A1142" s="4">
        <v>1025004.0</v>
      </c>
      <c r="B1142" s="4" t="s">
        <v>1889</v>
      </c>
    </row>
    <row r="1143" ht="15.75" customHeight="1">
      <c r="A1143" s="4">
        <v>1025005.0</v>
      </c>
      <c r="B1143" s="4" t="s">
        <v>1892</v>
      </c>
    </row>
    <row r="1144" ht="15.75" customHeight="1">
      <c r="A1144" s="4">
        <v>1025006.0</v>
      </c>
      <c r="B1144" s="4" t="s">
        <v>1894</v>
      </c>
    </row>
    <row r="1145" ht="15.75" customHeight="1">
      <c r="A1145" s="4">
        <v>1025007.0</v>
      </c>
      <c r="B1145" s="4" t="s">
        <v>1895</v>
      </c>
    </row>
    <row r="1146" ht="15.75" customHeight="1">
      <c r="A1146" s="4">
        <v>1025008.0</v>
      </c>
      <c r="B1146" s="4" t="s">
        <v>1898</v>
      </c>
    </row>
    <row r="1147" ht="15.75" customHeight="1">
      <c r="A1147" s="4">
        <v>1025009.0</v>
      </c>
      <c r="B1147" s="4" t="s">
        <v>1900</v>
      </c>
    </row>
    <row r="1148" ht="15.75" customHeight="1">
      <c r="A1148" s="4">
        <v>1025010.0</v>
      </c>
      <c r="B1148" s="4" t="s">
        <v>1902</v>
      </c>
    </row>
    <row r="1149" ht="15.75" customHeight="1">
      <c r="A1149" s="4">
        <v>1025011.0</v>
      </c>
      <c r="B1149" s="4" t="s">
        <v>1904</v>
      </c>
    </row>
    <row r="1150" ht="15.75" customHeight="1">
      <c r="A1150" s="4">
        <v>1025012.0</v>
      </c>
      <c r="B1150" s="4" t="s">
        <v>1906</v>
      </c>
    </row>
    <row r="1151" ht="15.75" customHeight="1">
      <c r="A1151" s="4">
        <v>1025013.0</v>
      </c>
      <c r="B1151" s="4" t="s">
        <v>1908</v>
      </c>
    </row>
    <row r="1152" ht="15.75" customHeight="1">
      <c r="A1152" s="4">
        <v>1025014.0</v>
      </c>
      <c r="B1152" s="4" t="s">
        <v>1910</v>
      </c>
    </row>
    <row r="1153" ht="15.75" customHeight="1">
      <c r="A1153" s="4">
        <v>1025015.0</v>
      </c>
      <c r="B1153" s="4" t="s">
        <v>1912</v>
      </c>
    </row>
    <row r="1154" ht="15.75" customHeight="1">
      <c r="A1154" s="4">
        <v>1025016.0</v>
      </c>
      <c r="B1154" s="4" t="s">
        <v>1914</v>
      </c>
    </row>
    <row r="1155" ht="15.75" customHeight="1">
      <c r="A1155" s="4">
        <v>1025017.0</v>
      </c>
      <c r="B1155" s="4" t="s">
        <v>1917</v>
      </c>
    </row>
    <row r="1156" ht="15.75" customHeight="1">
      <c r="A1156" s="4">
        <v>1025018.0</v>
      </c>
      <c r="B1156" s="4" t="s">
        <v>1919</v>
      </c>
    </row>
    <row r="1157" ht="15.75" customHeight="1">
      <c r="A1157" s="4">
        <v>1025019.0</v>
      </c>
      <c r="B1157" s="4" t="s">
        <v>1921</v>
      </c>
    </row>
    <row r="1158" ht="15.75" customHeight="1">
      <c r="A1158" s="4">
        <v>1025020.0</v>
      </c>
      <c r="B1158" s="4" t="s">
        <v>1923</v>
      </c>
    </row>
    <row r="1159" ht="15.75" customHeight="1">
      <c r="A1159" s="4">
        <v>1025021.0</v>
      </c>
      <c r="B1159" s="4" t="s">
        <v>1926</v>
      </c>
    </row>
    <row r="1160" ht="15.75" customHeight="1">
      <c r="A1160" s="4">
        <v>1025022.0</v>
      </c>
      <c r="B1160" s="4" t="s">
        <v>1928</v>
      </c>
    </row>
    <row r="1161" ht="15.75" customHeight="1">
      <c r="A1161" s="4">
        <v>1025023.0</v>
      </c>
      <c r="B1161" s="4" t="s">
        <v>1931</v>
      </c>
    </row>
    <row r="1162" ht="15.75" customHeight="1">
      <c r="A1162" s="4">
        <v>1025024.0</v>
      </c>
      <c r="B1162" s="4" t="s">
        <v>1933</v>
      </c>
    </row>
    <row r="1163" ht="15.75" customHeight="1">
      <c r="A1163" s="4">
        <v>1025025.0</v>
      </c>
      <c r="B1163" s="4" t="s">
        <v>1936</v>
      </c>
    </row>
    <row r="1164" ht="15.75" customHeight="1">
      <c r="A1164" s="4">
        <v>1025026.0</v>
      </c>
      <c r="B1164" s="4" t="s">
        <v>1937</v>
      </c>
    </row>
    <row r="1165" ht="15.75" customHeight="1">
      <c r="A1165" s="4">
        <v>1025027.0</v>
      </c>
      <c r="B1165" s="4" t="s">
        <v>1940</v>
      </c>
    </row>
    <row r="1166" ht="15.75" customHeight="1">
      <c r="A1166" s="4">
        <v>1025028.0</v>
      </c>
      <c r="B1166" s="4" t="s">
        <v>1942</v>
      </c>
    </row>
    <row r="1167" ht="15.75" customHeight="1">
      <c r="A1167" s="4">
        <v>1025029.0</v>
      </c>
      <c r="B1167" s="4" t="s">
        <v>1943</v>
      </c>
    </row>
    <row r="1168" ht="15.75" customHeight="1">
      <c r="A1168" s="4">
        <v>1025030.0</v>
      </c>
      <c r="B1168" s="4" t="s">
        <v>1946</v>
      </c>
    </row>
    <row r="1169" ht="15.75" customHeight="1">
      <c r="A1169" s="4">
        <v>1025031.0</v>
      </c>
      <c r="B1169" s="4" t="s">
        <v>1947</v>
      </c>
    </row>
    <row r="1170" ht="15.75" customHeight="1">
      <c r="A1170" s="4">
        <v>1025032.0</v>
      </c>
      <c r="B1170" s="4" t="s">
        <v>1950</v>
      </c>
    </row>
    <row r="1171" ht="15.75" customHeight="1">
      <c r="A1171" s="4">
        <v>1025033.0</v>
      </c>
      <c r="B1171" s="4" t="s">
        <v>1952</v>
      </c>
    </row>
    <row r="1172" ht="15.75" customHeight="1">
      <c r="A1172" s="4">
        <v>1025034.0</v>
      </c>
      <c r="B1172" s="4" t="s">
        <v>1955</v>
      </c>
    </row>
    <row r="1173" ht="15.75" customHeight="1">
      <c r="A1173" s="4">
        <v>1025035.0</v>
      </c>
      <c r="B1173" s="4" t="s">
        <v>1956</v>
      </c>
    </row>
    <row r="1174" ht="15.75" customHeight="1">
      <c r="A1174" s="4">
        <v>1025036.0</v>
      </c>
      <c r="B1174" s="4" t="s">
        <v>1959</v>
      </c>
    </row>
    <row r="1175" ht="15.75" customHeight="1">
      <c r="A1175" s="4">
        <v>1025037.0</v>
      </c>
      <c r="B1175" s="4" t="s">
        <v>1960</v>
      </c>
    </row>
    <row r="1176" ht="15.75" customHeight="1">
      <c r="A1176" s="4">
        <v>1025038.0</v>
      </c>
      <c r="B1176" s="4" t="s">
        <v>1963</v>
      </c>
    </row>
    <row r="1177" ht="15.75" customHeight="1">
      <c r="A1177" s="4">
        <v>1025039.0</v>
      </c>
      <c r="B1177" s="4" t="s">
        <v>1965</v>
      </c>
    </row>
    <row r="1178" ht="15.75" customHeight="1">
      <c r="A1178" s="4">
        <v>1025040.0</v>
      </c>
      <c r="B1178" s="4" t="s">
        <v>1969</v>
      </c>
    </row>
    <row r="1179" ht="15.75" customHeight="1">
      <c r="A1179" s="4">
        <v>1025041.0</v>
      </c>
      <c r="B1179" s="4" t="s">
        <v>1971</v>
      </c>
    </row>
    <row r="1180" ht="15.75" customHeight="1">
      <c r="A1180" s="4">
        <v>1025042.0</v>
      </c>
      <c r="B1180" s="4" t="s">
        <v>1974</v>
      </c>
    </row>
    <row r="1181" ht="15.75" customHeight="1">
      <c r="A1181" s="4">
        <v>1025043.0</v>
      </c>
      <c r="B1181" s="4" t="s">
        <v>1975</v>
      </c>
    </row>
    <row r="1182" ht="15.75" customHeight="1">
      <c r="A1182" s="4">
        <v>1025044.0</v>
      </c>
      <c r="B1182" s="4" t="s">
        <v>1978</v>
      </c>
    </row>
    <row r="1183" ht="15.75" customHeight="1">
      <c r="A1183" s="4">
        <v>1025045.0</v>
      </c>
      <c r="B1183" s="4" t="s">
        <v>1981</v>
      </c>
    </row>
    <row r="1184" ht="15.75" customHeight="1">
      <c r="A1184" s="4">
        <v>1025046.0</v>
      </c>
      <c r="B1184" s="4" t="s">
        <v>1984</v>
      </c>
    </row>
    <row r="1185" ht="15.75" customHeight="1">
      <c r="A1185" s="4">
        <v>1025047.0</v>
      </c>
      <c r="B1185" s="4" t="s">
        <v>1988</v>
      </c>
    </row>
    <row r="1186" ht="15.75" customHeight="1">
      <c r="A1186" s="4">
        <v>1025048.0</v>
      </c>
      <c r="B1186" s="4" t="s">
        <v>1990</v>
      </c>
    </row>
    <row r="1187" ht="15.75" customHeight="1">
      <c r="A1187" s="4">
        <v>1025049.0</v>
      </c>
      <c r="B1187" s="4" t="s">
        <v>1992</v>
      </c>
    </row>
    <row r="1188" ht="15.75" customHeight="1">
      <c r="A1188" s="4">
        <v>1025050.0</v>
      </c>
      <c r="B1188" s="4" t="s">
        <v>1995</v>
      </c>
    </row>
    <row r="1189" ht="15.75" customHeight="1">
      <c r="A1189" s="4">
        <v>1025051.0</v>
      </c>
      <c r="B1189" s="4" t="s">
        <v>1998</v>
      </c>
    </row>
    <row r="1190" ht="15.75" customHeight="1">
      <c r="A1190" s="4">
        <v>1025052.0</v>
      </c>
      <c r="B1190" s="4" t="s">
        <v>2002</v>
      </c>
    </row>
    <row r="1191" ht="15.75" customHeight="1">
      <c r="A1191" s="4">
        <v>1025053.0</v>
      </c>
      <c r="B1191" s="4" t="s">
        <v>2005</v>
      </c>
    </row>
    <row r="1192" ht="15.75" customHeight="1">
      <c r="A1192" s="4">
        <v>1025054.0</v>
      </c>
      <c r="B1192" s="4" t="s">
        <v>2008</v>
      </c>
    </row>
    <row r="1193" ht="15.75" customHeight="1">
      <c r="A1193" s="4">
        <v>1025055.0</v>
      </c>
      <c r="B1193" s="4" t="s">
        <v>2010</v>
      </c>
    </row>
    <row r="1194" ht="15.75" customHeight="1">
      <c r="A1194" s="4">
        <v>1025056.0</v>
      </c>
      <c r="B1194" s="4" t="s">
        <v>2012</v>
      </c>
    </row>
    <row r="1195" ht="15.75" customHeight="1">
      <c r="A1195" s="4">
        <v>1025057.0</v>
      </c>
      <c r="B1195" s="4" t="s">
        <v>2015</v>
      </c>
    </row>
    <row r="1196" ht="15.75" customHeight="1">
      <c r="A1196" s="4">
        <v>1025058.0</v>
      </c>
      <c r="B1196" s="4" t="s">
        <v>2018</v>
      </c>
    </row>
    <row r="1197" ht="15.75" customHeight="1">
      <c r="A1197" s="4">
        <v>1025059.0</v>
      </c>
      <c r="B1197" s="4" t="s">
        <v>2020</v>
      </c>
    </row>
    <row r="1198" ht="15.75" customHeight="1">
      <c r="A1198" s="4">
        <v>1025060.0</v>
      </c>
      <c r="B1198" s="4" t="s">
        <v>2022</v>
      </c>
    </row>
    <row r="1199" ht="15.75" customHeight="1">
      <c r="A1199" s="4">
        <v>1025061.0</v>
      </c>
      <c r="B1199" s="4" t="s">
        <v>2024</v>
      </c>
    </row>
    <row r="1200" ht="15.75" customHeight="1">
      <c r="A1200" s="4">
        <v>1025062.0</v>
      </c>
      <c r="B1200" s="4" t="s">
        <v>2026</v>
      </c>
    </row>
    <row r="1201" ht="15.75" customHeight="1">
      <c r="A1201" s="4">
        <v>1025063.0</v>
      </c>
      <c r="B1201" s="4" t="s">
        <v>2028</v>
      </c>
    </row>
    <row r="1202" ht="15.75" customHeight="1">
      <c r="A1202" s="4">
        <v>1025064.0</v>
      </c>
      <c r="B1202" s="4" t="s">
        <v>2030</v>
      </c>
    </row>
    <row r="1203" ht="15.75" customHeight="1">
      <c r="A1203" s="4">
        <v>1025065.0</v>
      </c>
      <c r="B1203" s="4" t="s">
        <v>2032</v>
      </c>
    </row>
    <row r="1204" ht="15.75" customHeight="1">
      <c r="A1204" s="4">
        <v>1025066.0</v>
      </c>
      <c r="B1204" s="4" t="s">
        <v>2034</v>
      </c>
    </row>
    <row r="1205" ht="15.75" customHeight="1">
      <c r="A1205" s="4">
        <v>1025067.0</v>
      </c>
      <c r="B1205" s="4" t="s">
        <v>2037</v>
      </c>
    </row>
    <row r="1206" ht="15.75" customHeight="1">
      <c r="A1206" s="4">
        <v>1025068.0</v>
      </c>
      <c r="B1206" s="4" t="s">
        <v>2038</v>
      </c>
    </row>
    <row r="1207" ht="15.75" customHeight="1">
      <c r="A1207" s="4">
        <v>1025069.0</v>
      </c>
      <c r="B1207" s="4" t="s">
        <v>2042</v>
      </c>
    </row>
    <row r="1208" ht="15.75" customHeight="1">
      <c r="A1208" s="4">
        <v>1025070.0</v>
      </c>
      <c r="B1208" s="4" t="s">
        <v>2043</v>
      </c>
    </row>
    <row r="1209" ht="15.75" customHeight="1">
      <c r="A1209" s="4">
        <v>1025071.0</v>
      </c>
      <c r="B1209" s="4" t="s">
        <v>2045</v>
      </c>
    </row>
    <row r="1210" ht="15.75" customHeight="1">
      <c r="A1210" s="4">
        <v>1025072.0</v>
      </c>
      <c r="B1210" s="4" t="s">
        <v>2047</v>
      </c>
    </row>
    <row r="1211" ht="15.75" customHeight="1">
      <c r="A1211" s="4">
        <v>1025073.0</v>
      </c>
      <c r="B1211" s="4" t="s">
        <v>2048</v>
      </c>
    </row>
    <row r="1212" ht="15.75" customHeight="1">
      <c r="A1212" s="4">
        <v>1025074.0</v>
      </c>
      <c r="B1212" s="4" t="s">
        <v>2050</v>
      </c>
    </row>
    <row r="1213" ht="15.75" customHeight="1">
      <c r="A1213" s="4">
        <v>1025075.0</v>
      </c>
      <c r="B1213" s="4" t="s">
        <v>2052</v>
      </c>
    </row>
    <row r="1214" ht="15.75" customHeight="1">
      <c r="A1214" s="4">
        <v>1025076.0</v>
      </c>
      <c r="B1214" s="4" t="s">
        <v>2054</v>
      </c>
    </row>
    <row r="1215" ht="15.75" customHeight="1">
      <c r="A1215" s="4">
        <v>1025077.0</v>
      </c>
      <c r="B1215" s="4" t="s">
        <v>2057</v>
      </c>
    </row>
    <row r="1216" ht="15.75" customHeight="1">
      <c r="A1216" s="4">
        <v>1025078.0</v>
      </c>
      <c r="B1216" s="4" t="s">
        <v>2058</v>
      </c>
    </row>
    <row r="1217" ht="15.75" customHeight="1">
      <c r="A1217" s="4">
        <v>1025079.0</v>
      </c>
      <c r="B1217" s="4" t="s">
        <v>2061</v>
      </c>
    </row>
    <row r="1218" ht="15.75" customHeight="1">
      <c r="A1218" s="4">
        <v>1025080.0</v>
      </c>
      <c r="B1218" s="4" t="s">
        <v>2063</v>
      </c>
    </row>
    <row r="1219" ht="15.75" customHeight="1">
      <c r="A1219" s="4">
        <v>1025081.0</v>
      </c>
      <c r="B1219" s="4" t="s">
        <v>2065</v>
      </c>
    </row>
    <row r="1220" ht="15.75" customHeight="1">
      <c r="A1220" s="4">
        <v>1025082.0</v>
      </c>
      <c r="B1220" s="4" t="s">
        <v>2068</v>
      </c>
    </row>
    <row r="1221" ht="15.75" customHeight="1">
      <c r="A1221" s="4">
        <v>1025083.0</v>
      </c>
      <c r="B1221" s="4" t="s">
        <v>2070</v>
      </c>
    </row>
    <row r="1222" ht="15.75" customHeight="1">
      <c r="A1222" s="4">
        <v>1025084.0</v>
      </c>
      <c r="B1222" s="4" t="s">
        <v>2072</v>
      </c>
    </row>
    <row r="1223" ht="15.75" customHeight="1">
      <c r="A1223" s="4">
        <v>1025085.0</v>
      </c>
      <c r="B1223" s="4" t="s">
        <v>2075</v>
      </c>
    </row>
    <row r="1224" ht="15.75" customHeight="1">
      <c r="A1224" s="4">
        <v>1025086.0</v>
      </c>
      <c r="B1224" s="4" t="s">
        <v>2076</v>
      </c>
    </row>
    <row r="1225" ht="15.75" customHeight="1">
      <c r="A1225" s="4">
        <v>1025087.0</v>
      </c>
      <c r="B1225" s="4" t="s">
        <v>2078</v>
      </c>
    </row>
    <row r="1226" ht="15.75" customHeight="1">
      <c r="A1226" s="4">
        <v>1025088.0</v>
      </c>
      <c r="B1226" s="4" t="s">
        <v>2080</v>
      </c>
    </row>
    <row r="1227" ht="15.75" customHeight="1">
      <c r="A1227" s="4">
        <v>1025089.0</v>
      </c>
      <c r="B1227" s="4" t="s">
        <v>2083</v>
      </c>
    </row>
    <row r="1228" ht="15.75" customHeight="1">
      <c r="A1228" s="4">
        <v>1025090.0</v>
      </c>
      <c r="B1228" s="4" t="s">
        <v>2086</v>
      </c>
    </row>
    <row r="1229" ht="15.75" customHeight="1">
      <c r="A1229" s="4">
        <v>1025091.0</v>
      </c>
      <c r="B1229" s="4" t="s">
        <v>2088</v>
      </c>
    </row>
    <row r="1230" ht="15.75" customHeight="1">
      <c r="A1230" s="4">
        <v>1025092.0</v>
      </c>
      <c r="B1230" s="4" t="s">
        <v>2091</v>
      </c>
    </row>
    <row r="1231" ht="15.75" customHeight="1">
      <c r="A1231" s="4">
        <v>1025093.0</v>
      </c>
      <c r="B1231" s="4" t="s">
        <v>2094</v>
      </c>
    </row>
    <row r="1232" ht="15.75" customHeight="1">
      <c r="A1232" s="4">
        <v>1025094.0</v>
      </c>
      <c r="B1232" s="4" t="s">
        <v>2096</v>
      </c>
    </row>
    <row r="1233" ht="15.75" customHeight="1">
      <c r="A1233" s="4">
        <v>1025095.0</v>
      </c>
      <c r="B1233" s="4" t="s">
        <v>2099</v>
      </c>
    </row>
    <row r="1234" ht="15.75" customHeight="1">
      <c r="A1234" s="4">
        <v>1025096.0</v>
      </c>
      <c r="B1234" s="4" t="s">
        <v>2100</v>
      </c>
    </row>
    <row r="1235" ht="15.75" customHeight="1">
      <c r="A1235" s="4">
        <v>1025097.0</v>
      </c>
      <c r="B1235" s="4" t="s">
        <v>2103</v>
      </c>
    </row>
    <row r="1236" ht="15.75" customHeight="1">
      <c r="A1236" s="4">
        <v>1025098.0</v>
      </c>
      <c r="B1236" s="4" t="s">
        <v>2105</v>
      </c>
    </row>
    <row r="1237" ht="15.75" customHeight="1">
      <c r="A1237" s="4">
        <v>1025099.0</v>
      </c>
      <c r="B1237" s="4" t="s">
        <v>2106</v>
      </c>
    </row>
    <row r="1238" ht="15.75" customHeight="1">
      <c r="A1238" s="4">
        <v>1025100.0</v>
      </c>
      <c r="B1238" s="4" t="s">
        <v>2109</v>
      </c>
    </row>
    <row r="1239" ht="15.75" customHeight="1">
      <c r="A1239" s="4">
        <v>1025101.0</v>
      </c>
      <c r="B1239" s="4" t="s">
        <v>2111</v>
      </c>
    </row>
    <row r="1240" ht="15.75" customHeight="1">
      <c r="A1240" s="4">
        <v>1025102.0</v>
      </c>
      <c r="B1240" s="4" t="s">
        <v>2114</v>
      </c>
    </row>
    <row r="1241" ht="15.75" customHeight="1">
      <c r="A1241" s="4">
        <v>1026001.0</v>
      </c>
      <c r="B1241" s="4" t="s">
        <v>2116</v>
      </c>
    </row>
    <row r="1242" ht="15.75" customHeight="1">
      <c r="A1242" s="4">
        <v>1026002.0</v>
      </c>
      <c r="B1242" s="4" t="s">
        <v>2119</v>
      </c>
    </row>
    <row r="1243" ht="15.75" customHeight="1">
      <c r="A1243" s="4">
        <v>1026003.0</v>
      </c>
      <c r="B1243" s="4" t="s">
        <v>2120</v>
      </c>
    </row>
    <row r="1244" ht="15.75" customHeight="1">
      <c r="A1244" s="4">
        <v>1026004.0</v>
      </c>
      <c r="B1244" s="4" t="s">
        <v>2122</v>
      </c>
    </row>
    <row r="1245" ht="15.75" customHeight="1">
      <c r="A1245" s="4">
        <v>1026005.0</v>
      </c>
      <c r="B1245" s="4" t="s">
        <v>2124</v>
      </c>
    </row>
    <row r="1246" ht="15.75" customHeight="1">
      <c r="A1246" s="4">
        <v>1026006.0</v>
      </c>
      <c r="B1246" s="4" t="s">
        <v>2126</v>
      </c>
    </row>
    <row r="1247" ht="15.75" customHeight="1">
      <c r="A1247" s="4">
        <v>1026007.0</v>
      </c>
      <c r="B1247" s="4" t="s">
        <v>2128</v>
      </c>
    </row>
    <row r="1248" ht="15.75" customHeight="1">
      <c r="A1248" s="4">
        <v>1026008.0</v>
      </c>
      <c r="B1248" s="4" t="s">
        <v>2131</v>
      </c>
    </row>
    <row r="1249" ht="15.75" customHeight="1">
      <c r="A1249" s="4">
        <v>1026009.0</v>
      </c>
      <c r="B1249" s="4" t="s">
        <v>2133</v>
      </c>
    </row>
    <row r="1250" ht="15.75" customHeight="1">
      <c r="A1250" s="4">
        <v>1026010.0</v>
      </c>
      <c r="B1250" s="4" t="s">
        <v>2134</v>
      </c>
    </row>
    <row r="1251" ht="15.75" customHeight="1">
      <c r="A1251" s="4">
        <v>1026011.0</v>
      </c>
      <c r="B1251" s="4" t="s">
        <v>2135</v>
      </c>
    </row>
    <row r="1252" ht="15.75" customHeight="1">
      <c r="A1252" s="4">
        <v>1026012.0</v>
      </c>
      <c r="B1252" s="4" t="s">
        <v>2136</v>
      </c>
    </row>
    <row r="1253" ht="15.75" customHeight="1">
      <c r="A1253" s="4">
        <v>1026013.0</v>
      </c>
      <c r="B1253" s="4" t="s">
        <v>2139</v>
      </c>
    </row>
    <row r="1254" ht="15.75" customHeight="1">
      <c r="A1254" s="4">
        <v>1026014.0</v>
      </c>
      <c r="B1254" s="4" t="s">
        <v>2140</v>
      </c>
    </row>
    <row r="1255" ht="15.75" customHeight="1">
      <c r="A1255" s="4">
        <v>1026015.0</v>
      </c>
      <c r="B1255" s="4" t="s">
        <v>2143</v>
      </c>
    </row>
    <row r="1256" ht="15.75" customHeight="1">
      <c r="A1256" s="4">
        <v>1026016.0</v>
      </c>
      <c r="B1256" s="4" t="s">
        <v>2148</v>
      </c>
    </row>
    <row r="1257" ht="15.75" customHeight="1">
      <c r="A1257" s="4">
        <v>1026017.0</v>
      </c>
      <c r="B1257" s="4" t="s">
        <v>2153</v>
      </c>
    </row>
    <row r="1258" ht="15.75" customHeight="1">
      <c r="A1258" s="4">
        <v>1026018.0</v>
      </c>
      <c r="B1258" s="4" t="s">
        <v>2156</v>
      </c>
    </row>
    <row r="1259" ht="15.75" customHeight="1">
      <c r="A1259" s="4">
        <v>1026019.0</v>
      </c>
      <c r="B1259" s="4" t="s">
        <v>2159</v>
      </c>
    </row>
    <row r="1260" ht="15.75" customHeight="1">
      <c r="A1260" s="4">
        <v>1026020.0</v>
      </c>
      <c r="B1260" s="4" t="s">
        <v>2165</v>
      </c>
    </row>
    <row r="1261" ht="15.75" customHeight="1">
      <c r="A1261" s="4">
        <v>1026021.0</v>
      </c>
      <c r="B1261" s="4" t="s">
        <v>2168</v>
      </c>
    </row>
    <row r="1262" ht="15.75" customHeight="1">
      <c r="A1262" s="4">
        <v>1026022.0</v>
      </c>
      <c r="B1262" s="4" t="s">
        <v>2170</v>
      </c>
    </row>
    <row r="1263" ht="15.75" customHeight="1">
      <c r="A1263" s="4">
        <v>1026023.0</v>
      </c>
      <c r="B1263" s="4" t="s">
        <v>2173</v>
      </c>
    </row>
    <row r="1264" ht="15.75" customHeight="1">
      <c r="A1264" s="4">
        <v>1026024.0</v>
      </c>
      <c r="B1264" s="4" t="s">
        <v>2174</v>
      </c>
    </row>
    <row r="1265" ht="15.75" customHeight="1">
      <c r="A1265" s="4">
        <v>1026025.0</v>
      </c>
      <c r="B1265" s="4" t="s">
        <v>2177</v>
      </c>
    </row>
    <row r="1266" ht="15.75" customHeight="1">
      <c r="A1266" s="4">
        <v>1026026.0</v>
      </c>
      <c r="B1266" s="4" t="s">
        <v>2179</v>
      </c>
    </row>
    <row r="1267" ht="15.75" customHeight="1">
      <c r="A1267" s="4">
        <v>1026027.0</v>
      </c>
      <c r="B1267" s="4" t="s">
        <v>2182</v>
      </c>
    </row>
    <row r="1268" ht="15.75" customHeight="1">
      <c r="A1268" s="4">
        <v>1026028.0</v>
      </c>
      <c r="B1268" s="4" t="s">
        <v>2185</v>
      </c>
    </row>
    <row r="1269" ht="15.75" customHeight="1">
      <c r="A1269" s="4">
        <v>1026029.0</v>
      </c>
      <c r="B1269" s="4" t="s">
        <v>2186</v>
      </c>
    </row>
    <row r="1270" ht="15.75" customHeight="1">
      <c r="A1270" s="4">
        <v>1026030.0</v>
      </c>
      <c r="B1270" s="4" t="s">
        <v>2188</v>
      </c>
    </row>
    <row r="1271" ht="15.75" customHeight="1">
      <c r="A1271" s="4">
        <v>1026031.0</v>
      </c>
      <c r="B1271" s="4" t="s">
        <v>2190</v>
      </c>
    </row>
    <row r="1272" ht="15.75" customHeight="1">
      <c r="A1272" s="4">
        <v>1026032.0</v>
      </c>
      <c r="B1272" s="4" t="s">
        <v>2191</v>
      </c>
    </row>
    <row r="1273" ht="15.75" customHeight="1">
      <c r="A1273" s="4">
        <v>1026033.0</v>
      </c>
      <c r="B1273" s="4" t="s">
        <v>2194</v>
      </c>
    </row>
    <row r="1274" ht="15.75" customHeight="1">
      <c r="A1274" s="4">
        <v>1026034.0</v>
      </c>
      <c r="B1274" s="4" t="s">
        <v>2196</v>
      </c>
    </row>
    <row r="1275" ht="15.75" customHeight="1">
      <c r="A1275" s="4">
        <v>1026035.0</v>
      </c>
      <c r="B1275" s="4" t="s">
        <v>2198</v>
      </c>
    </row>
    <row r="1276" ht="15.75" customHeight="1">
      <c r="A1276" s="4">
        <v>1026036.0</v>
      </c>
      <c r="B1276" s="4" t="s">
        <v>2201</v>
      </c>
    </row>
    <row r="1277" ht="15.75" customHeight="1">
      <c r="A1277" s="4">
        <v>1026037.0</v>
      </c>
      <c r="B1277" s="4" t="s">
        <v>2203</v>
      </c>
    </row>
    <row r="1278" ht="15.75" customHeight="1">
      <c r="A1278" s="4">
        <v>1026038.0</v>
      </c>
      <c r="B1278" s="4" t="s">
        <v>2206</v>
      </c>
    </row>
    <row r="1279" ht="15.75" customHeight="1">
      <c r="A1279" s="4">
        <v>1026039.0</v>
      </c>
      <c r="B1279" s="4" t="s">
        <v>2207</v>
      </c>
    </row>
    <row r="1280" ht="15.75" customHeight="1">
      <c r="A1280" s="4">
        <v>1026040.0</v>
      </c>
      <c r="B1280" s="4" t="s">
        <v>2210</v>
      </c>
    </row>
    <row r="1281" ht="15.75" customHeight="1">
      <c r="A1281" s="4">
        <v>1026041.0</v>
      </c>
      <c r="B1281" s="4" t="s">
        <v>2212</v>
      </c>
    </row>
    <row r="1282" ht="15.75" customHeight="1">
      <c r="A1282" s="4">
        <v>1026042.0</v>
      </c>
      <c r="B1282" s="4" t="s">
        <v>2215</v>
      </c>
    </row>
    <row r="1283" ht="15.75" customHeight="1">
      <c r="A1283" s="4">
        <v>1026043.0</v>
      </c>
      <c r="B1283" s="4" t="s">
        <v>2216</v>
      </c>
    </row>
    <row r="1284" ht="15.75" customHeight="1">
      <c r="A1284" s="4">
        <v>1026044.0</v>
      </c>
      <c r="B1284" s="4" t="s">
        <v>2218</v>
      </c>
    </row>
    <row r="1285" ht="15.75" customHeight="1">
      <c r="A1285" s="4">
        <v>1026045.0</v>
      </c>
      <c r="B1285" s="4" t="s">
        <v>2220</v>
      </c>
    </row>
    <row r="1286" ht="15.75" customHeight="1">
      <c r="A1286" s="4">
        <v>1026046.0</v>
      </c>
      <c r="B1286" s="4" t="s">
        <v>2222</v>
      </c>
    </row>
    <row r="1287" ht="15.75" customHeight="1">
      <c r="A1287" s="4">
        <v>1026047.0</v>
      </c>
      <c r="B1287" s="4" t="s">
        <v>2225</v>
      </c>
    </row>
    <row r="1288" ht="15.75" customHeight="1">
      <c r="A1288" s="4">
        <v>1026048.0</v>
      </c>
      <c r="B1288" s="4" t="s">
        <v>2227</v>
      </c>
    </row>
    <row r="1289" ht="15.75" customHeight="1">
      <c r="A1289" s="4">
        <v>1026049.0</v>
      </c>
      <c r="B1289" s="4" t="s">
        <v>2229</v>
      </c>
    </row>
    <row r="1290" ht="15.75" customHeight="1">
      <c r="A1290" s="4">
        <v>1026050.0</v>
      </c>
      <c r="B1290" s="4" t="s">
        <v>2231</v>
      </c>
    </row>
    <row r="1291" ht="15.75" customHeight="1">
      <c r="A1291" s="4">
        <v>1026051.0</v>
      </c>
      <c r="B1291" s="4" t="s">
        <v>2234</v>
      </c>
    </row>
    <row r="1292" ht="15.75" customHeight="1">
      <c r="A1292" s="4">
        <v>1026052.0</v>
      </c>
      <c r="B1292" s="4" t="s">
        <v>2235</v>
      </c>
    </row>
    <row r="1293" ht="15.75" customHeight="1">
      <c r="A1293" s="4">
        <v>1026053.0</v>
      </c>
      <c r="B1293" s="4" t="s">
        <v>2238</v>
      </c>
    </row>
    <row r="1294" ht="15.75" customHeight="1">
      <c r="A1294" s="4">
        <v>1026054.0</v>
      </c>
      <c r="B1294" s="4" t="s">
        <v>2241</v>
      </c>
    </row>
    <row r="1295" ht="15.75" customHeight="1">
      <c r="A1295" s="4">
        <v>1026055.0</v>
      </c>
      <c r="B1295" s="4" t="s">
        <v>2243</v>
      </c>
    </row>
    <row r="1296" ht="15.75" customHeight="1">
      <c r="A1296" s="4">
        <v>1026056.0</v>
      </c>
      <c r="B1296" s="4" t="s">
        <v>2245</v>
      </c>
    </row>
    <row r="1297" ht="15.75" customHeight="1">
      <c r="A1297" s="4">
        <v>1026057.0</v>
      </c>
      <c r="B1297" s="4" t="s">
        <v>2247</v>
      </c>
    </row>
    <row r="1298" ht="15.75" customHeight="1">
      <c r="A1298" s="4">
        <v>1026058.0</v>
      </c>
      <c r="B1298" s="4" t="s">
        <v>2250</v>
      </c>
    </row>
    <row r="1299" ht="15.75" customHeight="1">
      <c r="A1299" s="4">
        <v>1026059.0</v>
      </c>
      <c r="B1299" s="4" t="s">
        <v>2252</v>
      </c>
    </row>
    <row r="1300" ht="15.75" customHeight="1">
      <c r="A1300" s="4">
        <v>1026060.0</v>
      </c>
      <c r="B1300" s="4" t="s">
        <v>2254</v>
      </c>
    </row>
    <row r="1301" ht="15.75" customHeight="1">
      <c r="A1301" s="4">
        <v>1026061.0</v>
      </c>
      <c r="B1301" s="4" t="s">
        <v>2256</v>
      </c>
    </row>
    <row r="1302" ht="15.75" customHeight="1">
      <c r="A1302" s="4">
        <v>1026062.0</v>
      </c>
      <c r="B1302" s="4" t="s">
        <v>2260</v>
      </c>
    </row>
    <row r="1303" ht="15.75" customHeight="1">
      <c r="A1303" s="4">
        <v>1026063.0</v>
      </c>
      <c r="B1303" s="4" t="s">
        <v>2261</v>
      </c>
    </row>
    <row r="1304" ht="15.75" customHeight="1">
      <c r="A1304" s="4">
        <v>1026064.0</v>
      </c>
      <c r="B1304" s="4" t="s">
        <v>2264</v>
      </c>
    </row>
    <row r="1305" ht="15.75" customHeight="1">
      <c r="A1305" s="4">
        <v>1026065.0</v>
      </c>
      <c r="B1305" s="4" t="s">
        <v>2265</v>
      </c>
    </row>
    <row r="1306" ht="15.75" customHeight="1">
      <c r="A1306" s="4">
        <v>1026066.0</v>
      </c>
      <c r="B1306" s="4" t="s">
        <v>2268</v>
      </c>
    </row>
    <row r="1307" ht="15.75" customHeight="1">
      <c r="A1307" s="4">
        <v>1026067.0</v>
      </c>
      <c r="B1307" s="4" t="s">
        <v>2270</v>
      </c>
    </row>
    <row r="1308" ht="15.75" customHeight="1">
      <c r="A1308" s="4">
        <v>1026068.0</v>
      </c>
      <c r="B1308" s="4" t="s">
        <v>2273</v>
      </c>
    </row>
    <row r="1309" ht="15.75" customHeight="1">
      <c r="A1309" s="4">
        <v>1026069.0</v>
      </c>
      <c r="B1309" s="4" t="s">
        <v>2277</v>
      </c>
    </row>
    <row r="1310" ht="15.75" customHeight="1">
      <c r="A1310" s="4">
        <v>1026070.0</v>
      </c>
      <c r="B1310" s="4" t="s">
        <v>2280</v>
      </c>
    </row>
    <row r="1311" ht="15.75" customHeight="1">
      <c r="A1311" s="4">
        <v>1026071.0</v>
      </c>
      <c r="B1311" s="4" t="s">
        <v>2283</v>
      </c>
    </row>
    <row r="1312" ht="15.75" customHeight="1">
      <c r="A1312" s="4">
        <v>1026072.0</v>
      </c>
      <c r="B1312" s="4" t="s">
        <v>2286</v>
      </c>
    </row>
    <row r="1313" ht="15.75" customHeight="1">
      <c r="A1313" s="4">
        <v>1026073.0</v>
      </c>
      <c r="B1313" s="4" t="s">
        <v>2290</v>
      </c>
    </row>
    <row r="1314" ht="15.75" customHeight="1">
      <c r="A1314" s="4">
        <v>1026074.0</v>
      </c>
      <c r="B1314" s="4" t="s">
        <v>2293</v>
      </c>
    </row>
    <row r="1315" ht="15.75" customHeight="1">
      <c r="A1315" s="4">
        <v>1026075.0</v>
      </c>
      <c r="B1315" s="4" t="s">
        <v>2297</v>
      </c>
    </row>
    <row r="1316" ht="15.75" customHeight="1">
      <c r="A1316" s="4">
        <v>1026076.0</v>
      </c>
      <c r="B1316" s="4" t="s">
        <v>2300</v>
      </c>
    </row>
    <row r="1317" ht="15.75" customHeight="1">
      <c r="A1317" s="4">
        <v>1027001.0</v>
      </c>
      <c r="B1317" s="4" t="s">
        <v>2304</v>
      </c>
    </row>
    <row r="1318" ht="15.75" customHeight="1">
      <c r="A1318" s="4">
        <v>1027002.0</v>
      </c>
      <c r="B1318" s="4" t="s">
        <v>2307</v>
      </c>
    </row>
    <row r="1319" ht="15.75" customHeight="1">
      <c r="A1319" s="4">
        <v>1027003.0</v>
      </c>
      <c r="B1319" s="4" t="s">
        <v>2311</v>
      </c>
    </row>
    <row r="1320" ht="15.75" customHeight="1">
      <c r="A1320" s="4">
        <v>1027004.0</v>
      </c>
      <c r="B1320" s="4" t="s">
        <v>2314</v>
      </c>
    </row>
    <row r="1321" ht="15.75" customHeight="1">
      <c r="A1321" s="4">
        <v>1027005.0</v>
      </c>
      <c r="B1321" s="4" t="s">
        <v>2317</v>
      </c>
    </row>
    <row r="1322" ht="15.75" customHeight="1">
      <c r="A1322" s="4">
        <v>1027006.0</v>
      </c>
      <c r="B1322" s="4" t="s">
        <v>2321</v>
      </c>
    </row>
    <row r="1323" ht="15.75" customHeight="1">
      <c r="A1323" s="4">
        <v>1027007.0</v>
      </c>
      <c r="B1323" s="4" t="s">
        <v>2324</v>
      </c>
    </row>
    <row r="1324" ht="15.75" customHeight="1">
      <c r="A1324" s="4">
        <v>1027008.0</v>
      </c>
      <c r="B1324" s="4" t="s">
        <v>2327</v>
      </c>
    </row>
    <row r="1325" ht="15.75" customHeight="1">
      <c r="A1325" s="4">
        <v>1027009.0</v>
      </c>
      <c r="B1325" s="4" t="s">
        <v>2330</v>
      </c>
    </row>
    <row r="1326" ht="15.75" customHeight="1">
      <c r="A1326" s="4">
        <v>1027010.0</v>
      </c>
      <c r="B1326" s="4" t="s">
        <v>2333</v>
      </c>
    </row>
    <row r="1327" ht="15.75" customHeight="1">
      <c r="A1327" s="4">
        <v>1027011.0</v>
      </c>
      <c r="B1327" s="4" t="s">
        <v>2336</v>
      </c>
    </row>
    <row r="1328" ht="15.75" customHeight="1">
      <c r="A1328" s="4">
        <v>1027012.0</v>
      </c>
      <c r="B1328" s="4" t="s">
        <v>2339</v>
      </c>
    </row>
    <row r="1329" ht="15.75" customHeight="1">
      <c r="A1329" s="4">
        <v>1027013.0</v>
      </c>
      <c r="B1329" s="4" t="s">
        <v>2341</v>
      </c>
    </row>
    <row r="1330" ht="15.75" customHeight="1">
      <c r="A1330" s="4">
        <v>1027014.0</v>
      </c>
      <c r="B1330" s="4" t="s">
        <v>2343</v>
      </c>
    </row>
    <row r="1331" ht="15.75" customHeight="1">
      <c r="A1331" s="4">
        <v>1027015.0</v>
      </c>
      <c r="B1331" s="4" t="s">
        <v>2345</v>
      </c>
    </row>
    <row r="1332" ht="15.75" customHeight="1">
      <c r="A1332" s="4">
        <v>1027016.0</v>
      </c>
      <c r="B1332" s="4" t="s">
        <v>2348</v>
      </c>
    </row>
    <row r="1333" ht="15.75" customHeight="1">
      <c r="A1333" s="4">
        <v>1027017.0</v>
      </c>
      <c r="B1333" s="4" t="s">
        <v>2351</v>
      </c>
    </row>
    <row r="1334" ht="15.75" customHeight="1">
      <c r="A1334" s="4">
        <v>1027018.0</v>
      </c>
      <c r="B1334" s="4" t="s">
        <v>2354</v>
      </c>
    </row>
    <row r="1335" ht="15.75" customHeight="1">
      <c r="A1335" s="4">
        <v>1027019.0</v>
      </c>
      <c r="B1335" s="4" t="s">
        <v>2357</v>
      </c>
    </row>
    <row r="1336" ht="15.75" customHeight="1">
      <c r="A1336" s="4">
        <v>1027020.0</v>
      </c>
      <c r="B1336" s="4" t="s">
        <v>2361</v>
      </c>
    </row>
    <row r="1337" ht="15.75" customHeight="1">
      <c r="A1337" s="4">
        <v>1027021.0</v>
      </c>
      <c r="B1337" s="4" t="s">
        <v>2366</v>
      </c>
    </row>
    <row r="1338" ht="15.75" customHeight="1">
      <c r="A1338" s="4">
        <v>1027022.0</v>
      </c>
      <c r="B1338" s="4" t="s">
        <v>2370</v>
      </c>
    </row>
    <row r="1339" ht="15.75" customHeight="1">
      <c r="A1339" s="4">
        <v>1027023.0</v>
      </c>
      <c r="B1339" s="4" t="s">
        <v>2373</v>
      </c>
    </row>
    <row r="1340" ht="15.75" customHeight="1">
      <c r="A1340" s="4">
        <v>1027024.0</v>
      </c>
      <c r="B1340" s="4" t="s">
        <v>2377</v>
      </c>
    </row>
    <row r="1341" ht="15.75" customHeight="1">
      <c r="A1341" s="4">
        <v>1027025.0</v>
      </c>
      <c r="B1341" s="4" t="s">
        <v>2381</v>
      </c>
    </row>
    <row r="1342" ht="15.75" customHeight="1">
      <c r="A1342" s="4">
        <v>1027026.0</v>
      </c>
      <c r="B1342" s="4" t="s">
        <v>2383</v>
      </c>
    </row>
    <row r="1343" ht="15.75" customHeight="1">
      <c r="A1343" s="4">
        <v>1027027.0</v>
      </c>
      <c r="B1343" s="4" t="s">
        <v>2386</v>
      </c>
    </row>
    <row r="1344" ht="15.75" customHeight="1">
      <c r="A1344" s="4">
        <v>1027028.0</v>
      </c>
      <c r="B1344" s="4" t="s">
        <v>2390</v>
      </c>
    </row>
    <row r="1345" ht="15.75" customHeight="1">
      <c r="A1345" s="4">
        <v>1027029.0</v>
      </c>
      <c r="B1345" s="4" t="s">
        <v>2394</v>
      </c>
    </row>
    <row r="1346" ht="15.75" customHeight="1">
      <c r="A1346" s="4">
        <v>1027030.0</v>
      </c>
      <c r="B1346" s="4" t="s">
        <v>2397</v>
      </c>
    </row>
    <row r="1347" ht="15.75" customHeight="1">
      <c r="A1347" s="4">
        <v>1028001.0</v>
      </c>
      <c r="B1347" s="4" t="s">
        <v>2399</v>
      </c>
    </row>
    <row r="1348" ht="15.75" customHeight="1">
      <c r="A1348" s="4">
        <v>1028002.0</v>
      </c>
      <c r="B1348" s="4" t="s">
        <v>2401</v>
      </c>
    </row>
    <row r="1349" ht="15.75" customHeight="1">
      <c r="A1349" s="4">
        <v>1028003.0</v>
      </c>
      <c r="B1349" s="4" t="s">
        <v>2404</v>
      </c>
    </row>
    <row r="1350" ht="15.75" customHeight="1">
      <c r="A1350" s="4">
        <v>1028004.0</v>
      </c>
      <c r="B1350" s="4" t="s">
        <v>2420</v>
      </c>
    </row>
    <row r="1351" ht="15.75" customHeight="1">
      <c r="A1351" s="4">
        <v>1028005.0</v>
      </c>
      <c r="B1351" s="4" t="s">
        <v>2424</v>
      </c>
    </row>
    <row r="1352" ht="15.75" customHeight="1">
      <c r="A1352" s="4">
        <v>1028006.0</v>
      </c>
      <c r="B1352" s="4" t="s">
        <v>2425</v>
      </c>
    </row>
    <row r="1353" ht="15.75" customHeight="1">
      <c r="A1353" s="4">
        <v>1028007.0</v>
      </c>
      <c r="B1353" s="4" t="s">
        <v>2428</v>
      </c>
    </row>
    <row r="1354" ht="15.75" customHeight="1">
      <c r="A1354" s="4">
        <v>1028008.0</v>
      </c>
      <c r="B1354" s="4" t="s">
        <v>2430</v>
      </c>
    </row>
    <row r="1355" ht="15.75" customHeight="1">
      <c r="A1355" s="4">
        <v>1028009.0</v>
      </c>
      <c r="B1355" s="4" t="s">
        <v>2432</v>
      </c>
    </row>
    <row r="1356" ht="15.75" customHeight="1">
      <c r="A1356" s="4">
        <v>1028010.0</v>
      </c>
      <c r="B1356" s="4" t="s">
        <v>2434</v>
      </c>
    </row>
    <row r="1357" ht="15.75" customHeight="1">
      <c r="A1357" s="4">
        <v>1028011.0</v>
      </c>
      <c r="B1357" s="4" t="s">
        <v>2436</v>
      </c>
    </row>
    <row r="1358" ht="15.75" customHeight="1">
      <c r="A1358" s="4">
        <v>1028012.0</v>
      </c>
      <c r="B1358" s="4" t="s">
        <v>2438</v>
      </c>
    </row>
    <row r="1359" ht="15.75" customHeight="1">
      <c r="A1359" s="4">
        <v>1028013.0</v>
      </c>
      <c r="B1359" s="4" t="s">
        <v>2440</v>
      </c>
    </row>
    <row r="1360" ht="15.75" customHeight="1">
      <c r="A1360" s="4">
        <v>1028014.0</v>
      </c>
      <c r="B1360" s="4" t="s">
        <v>2442</v>
      </c>
    </row>
    <row r="1361" ht="15.75" customHeight="1">
      <c r="A1361" s="4">
        <v>1028015.0</v>
      </c>
      <c r="B1361" s="4" t="s">
        <v>2444</v>
      </c>
    </row>
    <row r="1362" ht="15.75" customHeight="1">
      <c r="A1362" s="4">
        <v>1028016.0</v>
      </c>
      <c r="B1362" s="4" t="s">
        <v>2448</v>
      </c>
    </row>
    <row r="1363" ht="15.75" customHeight="1">
      <c r="A1363" s="4">
        <v>1028017.0</v>
      </c>
      <c r="B1363" s="4" t="s">
        <v>2449</v>
      </c>
    </row>
    <row r="1364" ht="15.75" customHeight="1">
      <c r="A1364" s="4">
        <v>1028018.0</v>
      </c>
      <c r="B1364" s="4" t="s">
        <v>2452</v>
      </c>
    </row>
    <row r="1365" ht="15.75" customHeight="1">
      <c r="A1365" s="4">
        <v>1028019.0</v>
      </c>
      <c r="B1365" s="4" t="s">
        <v>2453</v>
      </c>
    </row>
    <row r="1366" ht="15.75" customHeight="1">
      <c r="A1366" s="4">
        <v>1028020.0</v>
      </c>
      <c r="B1366" s="4" t="s">
        <v>2456</v>
      </c>
    </row>
    <row r="1367" ht="15.75" customHeight="1">
      <c r="A1367" s="4">
        <v>1028021.0</v>
      </c>
      <c r="B1367" s="4" t="s">
        <v>2458</v>
      </c>
    </row>
    <row r="1368" ht="15.75" customHeight="1">
      <c r="A1368" s="4">
        <v>1028022.0</v>
      </c>
      <c r="B1368" s="4" t="s">
        <v>2461</v>
      </c>
    </row>
    <row r="1369" ht="15.75" customHeight="1">
      <c r="A1369" s="4">
        <v>1028023.0</v>
      </c>
      <c r="B1369" s="4" t="s">
        <v>2464</v>
      </c>
    </row>
    <row r="1370" ht="15.75" customHeight="1">
      <c r="A1370" s="4">
        <v>1028024.0</v>
      </c>
      <c r="B1370" s="4" t="s">
        <v>2465</v>
      </c>
    </row>
    <row r="1371" ht="15.75" customHeight="1">
      <c r="A1371" s="4">
        <v>1028025.0</v>
      </c>
      <c r="B1371" s="4" t="s">
        <v>2468</v>
      </c>
    </row>
    <row r="1372" ht="15.75" customHeight="1">
      <c r="A1372" s="4">
        <v>1028026.0</v>
      </c>
      <c r="B1372" s="4" t="s">
        <v>2470</v>
      </c>
    </row>
    <row r="1373" ht="15.75" customHeight="1">
      <c r="A1373" s="4">
        <v>1028027.0</v>
      </c>
      <c r="B1373" s="4" t="s">
        <v>2472</v>
      </c>
    </row>
    <row r="1374" ht="15.75" customHeight="1">
      <c r="A1374" s="4">
        <v>1028028.0</v>
      </c>
      <c r="B1374" s="4" t="s">
        <v>2476</v>
      </c>
    </row>
    <row r="1375" ht="15.75" customHeight="1">
      <c r="A1375" s="4">
        <v>1028029.0</v>
      </c>
      <c r="B1375" s="4" t="s">
        <v>2478</v>
      </c>
    </row>
    <row r="1376" ht="15.75" customHeight="1">
      <c r="A1376" s="4">
        <v>1028030.0</v>
      </c>
      <c r="B1376" s="4" t="s">
        <v>2481</v>
      </c>
    </row>
    <row r="1377" ht="15.75" customHeight="1">
      <c r="A1377" s="4">
        <v>1028031.0</v>
      </c>
      <c r="B1377" s="4" t="s">
        <v>2482</v>
      </c>
    </row>
    <row r="1378" ht="15.75" customHeight="1">
      <c r="A1378" s="4">
        <v>1028032.0</v>
      </c>
      <c r="B1378" s="4" t="s">
        <v>2483</v>
      </c>
    </row>
    <row r="1379" ht="15.75" customHeight="1">
      <c r="A1379" s="4">
        <v>1028033.0</v>
      </c>
      <c r="B1379" s="4" t="s">
        <v>2484</v>
      </c>
    </row>
    <row r="1380" ht="15.75" customHeight="1">
      <c r="A1380" s="4">
        <v>1028034.0</v>
      </c>
      <c r="B1380" s="4" t="s">
        <v>2485</v>
      </c>
    </row>
    <row r="1381" ht="15.75" customHeight="1">
      <c r="A1381" s="4">
        <v>1029001.0</v>
      </c>
      <c r="B1381" s="4" t="s">
        <v>2486</v>
      </c>
    </row>
    <row r="1382" ht="15.75" customHeight="1">
      <c r="A1382" s="4">
        <v>1029002.0</v>
      </c>
      <c r="B1382" s="4" t="s">
        <v>2487</v>
      </c>
    </row>
    <row r="1383" ht="15.75" customHeight="1">
      <c r="A1383" s="4">
        <v>1029003.0</v>
      </c>
      <c r="B1383" s="4" t="s">
        <v>2488</v>
      </c>
    </row>
    <row r="1384" ht="15.75" customHeight="1">
      <c r="A1384" s="4">
        <v>1029004.0</v>
      </c>
      <c r="B1384" s="4" t="s">
        <v>2489</v>
      </c>
    </row>
    <row r="1385" ht="15.75" customHeight="1">
      <c r="A1385" s="4">
        <v>1029005.0</v>
      </c>
      <c r="B1385" s="4" t="s">
        <v>2490</v>
      </c>
    </row>
    <row r="1386" ht="15.75" customHeight="1">
      <c r="A1386" s="4">
        <v>1029006.0</v>
      </c>
      <c r="B1386" s="4" t="s">
        <v>2491</v>
      </c>
    </row>
    <row r="1387" ht="15.75" customHeight="1">
      <c r="A1387" s="4">
        <v>1029007.0</v>
      </c>
      <c r="B1387" s="4" t="s">
        <v>2492</v>
      </c>
    </row>
    <row r="1388" ht="15.75" customHeight="1">
      <c r="A1388" s="4">
        <v>1029008.0</v>
      </c>
      <c r="B1388" s="4" t="s">
        <v>2493</v>
      </c>
    </row>
    <row r="1389" ht="15.75" customHeight="1">
      <c r="A1389" s="4">
        <v>1029009.0</v>
      </c>
      <c r="B1389" s="4" t="s">
        <v>2494</v>
      </c>
    </row>
    <row r="1390" ht="15.75" customHeight="1">
      <c r="A1390" s="4">
        <v>1029010.0</v>
      </c>
      <c r="B1390" s="4" t="s">
        <v>2495</v>
      </c>
    </row>
    <row r="1391" ht="15.75" customHeight="1">
      <c r="A1391" s="4">
        <v>1029011.0</v>
      </c>
      <c r="B1391" s="4" t="s">
        <v>2496</v>
      </c>
    </row>
    <row r="1392" ht="15.75" customHeight="1">
      <c r="A1392" s="4">
        <v>1029012.0</v>
      </c>
      <c r="B1392" s="4" t="s">
        <v>2497</v>
      </c>
    </row>
    <row r="1393" ht="15.75" customHeight="1">
      <c r="A1393" s="4">
        <v>1029013.0</v>
      </c>
      <c r="B1393" s="4" t="s">
        <v>2498</v>
      </c>
    </row>
    <row r="1394" ht="15.75" customHeight="1">
      <c r="A1394" s="4">
        <v>1029014.0</v>
      </c>
      <c r="B1394" s="4" t="s">
        <v>2499</v>
      </c>
    </row>
    <row r="1395" ht="15.75" customHeight="1">
      <c r="A1395" s="4">
        <v>1029015.0</v>
      </c>
      <c r="B1395" s="4" t="s">
        <v>2500</v>
      </c>
    </row>
    <row r="1396" ht="15.75" customHeight="1">
      <c r="A1396" s="4">
        <v>1029016.0</v>
      </c>
      <c r="B1396" s="4" t="s">
        <v>2501</v>
      </c>
    </row>
    <row r="1397" ht="15.75" customHeight="1">
      <c r="A1397" s="4">
        <v>1029017.0</v>
      </c>
      <c r="B1397" s="4" t="s">
        <v>2502</v>
      </c>
    </row>
    <row r="1398" ht="15.75" customHeight="1">
      <c r="A1398" s="4">
        <v>1029018.0</v>
      </c>
      <c r="B1398" s="4" t="s">
        <v>2503</v>
      </c>
    </row>
    <row r="1399" ht="15.75" customHeight="1">
      <c r="A1399" s="4">
        <v>1029019.0</v>
      </c>
      <c r="B1399" s="4" t="s">
        <v>2504</v>
      </c>
    </row>
    <row r="1400" ht="15.75" customHeight="1">
      <c r="A1400" s="4">
        <v>1029020.0</v>
      </c>
      <c r="B1400" s="4" t="s">
        <v>2505</v>
      </c>
    </row>
    <row r="1401" ht="15.75" customHeight="1">
      <c r="A1401" s="4">
        <v>1029021.0</v>
      </c>
      <c r="B1401" s="4" t="s">
        <v>2506</v>
      </c>
    </row>
    <row r="1402" ht="15.75" customHeight="1">
      <c r="A1402" s="4">
        <v>1029022.0</v>
      </c>
      <c r="B1402" s="4" t="s">
        <v>2507</v>
      </c>
    </row>
    <row r="1403" ht="15.75" customHeight="1">
      <c r="A1403" s="4">
        <v>1029023.0</v>
      </c>
      <c r="B1403" s="4" t="s">
        <v>2508</v>
      </c>
    </row>
    <row r="1404" ht="15.75" customHeight="1">
      <c r="A1404" s="4">
        <v>1029024.0</v>
      </c>
      <c r="B1404" s="4" t="s">
        <v>2509</v>
      </c>
    </row>
    <row r="1405" ht="15.75" customHeight="1">
      <c r="A1405" s="4">
        <v>1029025.0</v>
      </c>
      <c r="B1405" s="4" t="s">
        <v>2512</v>
      </c>
    </row>
    <row r="1406" ht="15.75" customHeight="1">
      <c r="A1406" s="4">
        <v>1029026.0</v>
      </c>
      <c r="B1406" s="4" t="s">
        <v>2513</v>
      </c>
    </row>
    <row r="1407" ht="15.75" customHeight="1">
      <c r="A1407" s="4">
        <v>1029027.0</v>
      </c>
      <c r="B1407" s="4" t="s">
        <v>2514</v>
      </c>
    </row>
    <row r="1408" ht="15.75" customHeight="1">
      <c r="A1408" s="4">
        <v>1029028.0</v>
      </c>
      <c r="B1408" s="4" t="s">
        <v>2515</v>
      </c>
    </row>
    <row r="1409" ht="15.75" customHeight="1">
      <c r="A1409" s="4">
        <v>1029029.0</v>
      </c>
      <c r="B1409" s="4" t="s">
        <v>2516</v>
      </c>
    </row>
    <row r="1410" ht="15.75" customHeight="1">
      <c r="A1410" s="4">
        <v>1029030.0</v>
      </c>
      <c r="B1410" s="4" t="s">
        <v>2517</v>
      </c>
    </row>
    <row r="1411" ht="15.75" customHeight="1">
      <c r="A1411" s="4">
        <v>1029031.0</v>
      </c>
      <c r="B1411" s="4" t="s">
        <v>2518</v>
      </c>
    </row>
    <row r="1412" ht="15.75" customHeight="1">
      <c r="A1412" s="4">
        <v>1029032.0</v>
      </c>
      <c r="B1412" s="4" t="s">
        <v>2519</v>
      </c>
    </row>
    <row r="1413" ht="15.75" customHeight="1">
      <c r="A1413" s="4">
        <v>1029033.0</v>
      </c>
      <c r="B1413" s="4" t="s">
        <v>2520</v>
      </c>
    </row>
    <row r="1414" ht="15.75" customHeight="1">
      <c r="A1414" s="4">
        <v>1029034.0</v>
      </c>
      <c r="B1414" s="4" t="s">
        <v>2521</v>
      </c>
    </row>
    <row r="1415" ht="15.75" customHeight="1">
      <c r="A1415" s="4">
        <v>1030001.0</v>
      </c>
      <c r="B1415" s="4" t="s">
        <v>2522</v>
      </c>
    </row>
    <row r="1416" ht="15.75" customHeight="1">
      <c r="A1416" s="4">
        <v>1030002.0</v>
      </c>
      <c r="B1416" s="4" t="s">
        <v>2523</v>
      </c>
    </row>
    <row r="1417" ht="15.75" customHeight="1">
      <c r="A1417" s="4">
        <v>1030003.0</v>
      </c>
      <c r="B1417" s="4" t="s">
        <v>2524</v>
      </c>
    </row>
    <row r="1418" ht="15.75" customHeight="1">
      <c r="A1418" s="4">
        <v>1030004.0</v>
      </c>
      <c r="B1418" s="4" t="s">
        <v>2525</v>
      </c>
    </row>
    <row r="1419" ht="15.75" customHeight="1">
      <c r="A1419" s="4">
        <v>1030005.0</v>
      </c>
      <c r="B1419" s="4" t="s">
        <v>2526</v>
      </c>
    </row>
    <row r="1420" ht="15.75" customHeight="1">
      <c r="A1420" s="4">
        <v>1030006.0</v>
      </c>
      <c r="B1420" s="4" t="s">
        <v>2527</v>
      </c>
    </row>
    <row r="1421" ht="15.75" customHeight="1">
      <c r="A1421" s="4">
        <v>1030007.0</v>
      </c>
      <c r="B1421" s="4" t="s">
        <v>2528</v>
      </c>
    </row>
    <row r="1422" ht="15.75" customHeight="1">
      <c r="A1422" s="4">
        <v>1030008.0</v>
      </c>
      <c r="B1422" s="4" t="s">
        <v>2529</v>
      </c>
    </row>
    <row r="1423" ht="15.75" customHeight="1">
      <c r="A1423" s="4">
        <v>1030009.0</v>
      </c>
      <c r="B1423" s="4" t="s">
        <v>2530</v>
      </c>
    </row>
    <row r="1424" ht="15.75" customHeight="1">
      <c r="A1424" s="4">
        <v>1030010.0</v>
      </c>
      <c r="B1424" s="4" t="s">
        <v>2531</v>
      </c>
    </row>
    <row r="1425" ht="15.75" customHeight="1">
      <c r="A1425" s="4">
        <v>1030011.0</v>
      </c>
      <c r="B1425" s="4" t="s">
        <v>2532</v>
      </c>
    </row>
    <row r="1426" ht="15.75" customHeight="1">
      <c r="A1426" s="4">
        <v>1030012.0</v>
      </c>
      <c r="B1426" s="4" t="s">
        <v>2533</v>
      </c>
    </row>
    <row r="1427" ht="15.75" customHeight="1">
      <c r="A1427" s="4">
        <v>1030013.0</v>
      </c>
      <c r="B1427" s="4" t="s">
        <v>2534</v>
      </c>
    </row>
    <row r="1428" ht="15.75" customHeight="1">
      <c r="A1428" s="4">
        <v>1030014.0</v>
      </c>
      <c r="B1428" s="4" t="s">
        <v>2535</v>
      </c>
    </row>
    <row r="1429" ht="15.75" customHeight="1">
      <c r="A1429" s="4">
        <v>1030015.0</v>
      </c>
      <c r="B1429" s="4" t="s">
        <v>2536</v>
      </c>
    </row>
    <row r="1430" ht="15.75" customHeight="1">
      <c r="A1430" s="4">
        <v>1030016.0</v>
      </c>
      <c r="B1430" s="4" t="s">
        <v>2537</v>
      </c>
    </row>
    <row r="1431" ht="15.75" customHeight="1">
      <c r="A1431" s="4">
        <v>1030017.0</v>
      </c>
      <c r="B1431" s="4" t="s">
        <v>2538</v>
      </c>
    </row>
    <row r="1432" ht="15.75" customHeight="1">
      <c r="A1432" s="4">
        <v>1030018.0</v>
      </c>
      <c r="B1432" s="4" t="s">
        <v>2539</v>
      </c>
    </row>
    <row r="1433" ht="15.75" customHeight="1">
      <c r="A1433" s="4">
        <v>1030019.0</v>
      </c>
      <c r="B1433" s="4" t="s">
        <v>2540</v>
      </c>
    </row>
    <row r="1434" ht="15.75" customHeight="1">
      <c r="A1434" s="4">
        <v>1030020.0</v>
      </c>
      <c r="B1434" s="4" t="s">
        <v>2541</v>
      </c>
    </row>
    <row r="1435" ht="15.75" customHeight="1">
      <c r="A1435" s="4">
        <v>1030021.0</v>
      </c>
      <c r="B1435" s="4" t="s">
        <v>2542</v>
      </c>
    </row>
    <row r="1436" ht="15.75" customHeight="1">
      <c r="A1436" s="4">
        <v>1030022.0</v>
      </c>
      <c r="B1436" s="4" t="s">
        <v>2543</v>
      </c>
    </row>
    <row r="1437" ht="15.75" customHeight="1">
      <c r="A1437" s="4">
        <v>1030023.0</v>
      </c>
      <c r="B1437" s="4" t="s">
        <v>2544</v>
      </c>
    </row>
    <row r="1438" ht="15.75" customHeight="1">
      <c r="A1438" s="4">
        <v>1031001.0</v>
      </c>
      <c r="B1438" s="4" t="s">
        <v>2545</v>
      </c>
    </row>
    <row r="1439" ht="15.75" customHeight="1">
      <c r="A1439" s="4">
        <v>1031002.0</v>
      </c>
      <c r="B1439" s="4" t="s">
        <v>2546</v>
      </c>
    </row>
    <row r="1440" ht="15.75" customHeight="1">
      <c r="A1440" s="4">
        <v>1031003.0</v>
      </c>
      <c r="B1440" s="4" t="s">
        <v>2547</v>
      </c>
    </row>
    <row r="1441" ht="15.75" customHeight="1">
      <c r="A1441" s="4">
        <v>1031004.0</v>
      </c>
      <c r="B1441" s="4" t="s">
        <v>2548</v>
      </c>
    </row>
    <row r="1442" ht="15.75" customHeight="1">
      <c r="A1442" s="4">
        <v>1031005.0</v>
      </c>
      <c r="B1442" s="4" t="s">
        <v>2549</v>
      </c>
    </row>
    <row r="1443" ht="15.75" customHeight="1">
      <c r="A1443" s="4">
        <v>1031006.0</v>
      </c>
      <c r="B1443" s="4" t="s">
        <v>2550</v>
      </c>
    </row>
    <row r="1444" ht="15.75" customHeight="1">
      <c r="A1444" s="4">
        <v>1031007.0</v>
      </c>
      <c r="B1444" s="4" t="s">
        <v>2551</v>
      </c>
    </row>
    <row r="1445" ht="15.75" customHeight="1">
      <c r="A1445" s="4">
        <v>1031008.0</v>
      </c>
      <c r="B1445" s="4" t="s">
        <v>2552</v>
      </c>
    </row>
    <row r="1446" ht="15.75" customHeight="1">
      <c r="A1446" s="4">
        <v>1031009.0</v>
      </c>
      <c r="B1446" s="4" t="s">
        <v>2553</v>
      </c>
    </row>
    <row r="1447" ht="15.75" customHeight="1">
      <c r="A1447" s="4">
        <v>1031010.0</v>
      </c>
      <c r="B1447" s="4" t="s">
        <v>2554</v>
      </c>
    </row>
    <row r="1448" ht="15.75" customHeight="1">
      <c r="A1448" s="4">
        <v>1031011.0</v>
      </c>
      <c r="B1448" s="4" t="s">
        <v>2555</v>
      </c>
    </row>
    <row r="1449" ht="15.75" customHeight="1">
      <c r="A1449" s="4">
        <v>1031012.0</v>
      </c>
      <c r="B1449" s="4" t="s">
        <v>2556</v>
      </c>
    </row>
    <row r="1450" ht="15.75" customHeight="1">
      <c r="A1450" s="4">
        <v>1031013.0</v>
      </c>
      <c r="B1450" s="4" t="s">
        <v>2557</v>
      </c>
    </row>
    <row r="1451" ht="15.75" customHeight="1">
      <c r="A1451" s="4">
        <v>1031014.0</v>
      </c>
      <c r="B1451" s="4" t="s">
        <v>2558</v>
      </c>
    </row>
    <row r="1452" ht="15.75" customHeight="1">
      <c r="A1452" s="4">
        <v>1031015.0</v>
      </c>
      <c r="B1452" s="4" t="s">
        <v>2559</v>
      </c>
    </row>
    <row r="1453" ht="15.75" customHeight="1">
      <c r="A1453" s="4">
        <v>1031016.0</v>
      </c>
      <c r="B1453" s="4" t="s">
        <v>2560</v>
      </c>
    </row>
    <row r="1454" ht="15.75" customHeight="1">
      <c r="A1454" s="4">
        <v>1031017.0</v>
      </c>
      <c r="B1454" s="4" t="s">
        <v>2561</v>
      </c>
    </row>
    <row r="1455" ht="15.75" customHeight="1">
      <c r="A1455" s="4">
        <v>1031018.0</v>
      </c>
      <c r="B1455" s="4" t="s">
        <v>2562</v>
      </c>
    </row>
    <row r="1456" ht="15.75" customHeight="1">
      <c r="A1456" s="4">
        <v>1031019.0</v>
      </c>
      <c r="B1456" s="4" t="s">
        <v>2563</v>
      </c>
    </row>
    <row r="1457" ht="15.75" customHeight="1">
      <c r="A1457" s="4">
        <v>1031020.0</v>
      </c>
      <c r="B1457" s="4" t="s">
        <v>2564</v>
      </c>
    </row>
    <row r="1458" ht="15.75" customHeight="1">
      <c r="A1458" s="4">
        <v>1031021.0</v>
      </c>
      <c r="B1458" s="4" t="s">
        <v>2565</v>
      </c>
    </row>
    <row r="1459" ht="15.75" customHeight="1">
      <c r="A1459" s="4">
        <v>1031022.0</v>
      </c>
      <c r="B1459" s="4" t="s">
        <v>2566</v>
      </c>
    </row>
    <row r="1460" ht="15.75" customHeight="1">
      <c r="A1460" s="4">
        <v>1031023.0</v>
      </c>
      <c r="B1460" s="4" t="s">
        <v>2567</v>
      </c>
    </row>
    <row r="1461" ht="15.75" customHeight="1">
      <c r="A1461" s="4">
        <v>1031024.0</v>
      </c>
      <c r="B1461" s="4" t="s">
        <v>2568</v>
      </c>
    </row>
    <row r="1462" ht="15.75" customHeight="1">
      <c r="A1462" s="4">
        <v>1031025.0</v>
      </c>
      <c r="B1462" s="4" t="s">
        <v>2569</v>
      </c>
    </row>
    <row r="1463" ht="15.75" customHeight="1">
      <c r="A1463" s="4">
        <v>1031026.0</v>
      </c>
      <c r="B1463" s="4" t="s">
        <v>2570</v>
      </c>
    </row>
    <row r="1464" ht="15.75" customHeight="1">
      <c r="A1464" s="4">
        <v>1031027.0</v>
      </c>
      <c r="B1464" s="4" t="s">
        <v>2571</v>
      </c>
    </row>
    <row r="1465" ht="15.75" customHeight="1">
      <c r="A1465" s="4">
        <v>1032001.0</v>
      </c>
      <c r="B1465" s="4" t="s">
        <v>2572</v>
      </c>
    </row>
    <row r="1466" ht="15.75" customHeight="1">
      <c r="A1466" s="4">
        <v>1032002.0</v>
      </c>
      <c r="B1466" s="4" t="s">
        <v>2574</v>
      </c>
    </row>
    <row r="1467" ht="15.75" customHeight="1">
      <c r="A1467" s="4">
        <v>1032003.0</v>
      </c>
      <c r="B1467" s="4" t="s">
        <v>2575</v>
      </c>
    </row>
    <row r="1468" ht="15.75" customHeight="1">
      <c r="A1468" s="4">
        <v>1032004.0</v>
      </c>
      <c r="B1468" s="4" t="s">
        <v>2576</v>
      </c>
    </row>
    <row r="1469" ht="15.75" customHeight="1">
      <c r="A1469" s="4">
        <v>1032005.0</v>
      </c>
      <c r="B1469" s="4" t="s">
        <v>2577</v>
      </c>
    </row>
    <row r="1470" ht="15.75" customHeight="1">
      <c r="A1470" s="4">
        <v>1032006.0</v>
      </c>
      <c r="B1470" s="4" t="s">
        <v>2578</v>
      </c>
    </row>
    <row r="1471" ht="15.75" customHeight="1">
      <c r="A1471" s="4">
        <v>1032007.0</v>
      </c>
      <c r="B1471" s="4" t="s">
        <v>2579</v>
      </c>
    </row>
    <row r="1472" ht="15.75" customHeight="1">
      <c r="A1472" s="4">
        <v>1032008.0</v>
      </c>
      <c r="B1472" s="4" t="s">
        <v>2580</v>
      </c>
    </row>
    <row r="1473" ht="15.75" customHeight="1">
      <c r="A1473" s="4">
        <v>1032009.0</v>
      </c>
      <c r="B1473" s="4" t="s">
        <v>2581</v>
      </c>
    </row>
    <row r="1474" ht="15.75" customHeight="1">
      <c r="A1474" s="4">
        <v>1032010.0</v>
      </c>
      <c r="B1474" s="4" t="s">
        <v>2582</v>
      </c>
    </row>
    <row r="1475" ht="15.75" customHeight="1">
      <c r="A1475" s="4">
        <v>1032011.0</v>
      </c>
      <c r="B1475" s="4" t="s">
        <v>2583</v>
      </c>
    </row>
    <row r="1476" ht="15.75" customHeight="1">
      <c r="A1476" s="4">
        <v>1032012.0</v>
      </c>
      <c r="B1476" s="4" t="s">
        <v>2584</v>
      </c>
    </row>
    <row r="1477" ht="15.75" customHeight="1">
      <c r="A1477" s="4">
        <v>1032013.0</v>
      </c>
      <c r="B1477" s="4" t="s">
        <v>2585</v>
      </c>
    </row>
    <row r="1478" ht="15.75" customHeight="1">
      <c r="A1478" s="4">
        <v>1032014.0</v>
      </c>
      <c r="B1478" s="4" t="s">
        <v>2586</v>
      </c>
    </row>
    <row r="1479" ht="15.75" customHeight="1">
      <c r="A1479" s="4">
        <v>1032015.0</v>
      </c>
      <c r="B1479" s="4" t="s">
        <v>2584</v>
      </c>
    </row>
    <row r="1480" ht="15.75" customHeight="1">
      <c r="A1480" s="4">
        <v>1032016.0</v>
      </c>
      <c r="B1480" s="4" t="s">
        <v>2587</v>
      </c>
    </row>
    <row r="1481" ht="15.75" customHeight="1">
      <c r="A1481" s="4">
        <v>1032017.0</v>
      </c>
      <c r="B1481" s="4" t="s">
        <v>2588</v>
      </c>
    </row>
    <row r="1482" ht="15.75" customHeight="1">
      <c r="A1482" s="4">
        <v>1032018.0</v>
      </c>
      <c r="B1482" s="4" t="s">
        <v>2589</v>
      </c>
    </row>
    <row r="1483" ht="15.75" customHeight="1">
      <c r="A1483" s="4">
        <v>1032019.0</v>
      </c>
      <c r="B1483" s="4" t="s">
        <v>2590</v>
      </c>
    </row>
    <row r="1484" ht="15.75" customHeight="1">
      <c r="A1484" s="4">
        <v>1032020.0</v>
      </c>
      <c r="B1484" s="4" t="s">
        <v>2591</v>
      </c>
    </row>
    <row r="1485" ht="15.75" customHeight="1">
      <c r="A1485" s="4">
        <v>1032021.0</v>
      </c>
      <c r="B1485" s="4" t="s">
        <v>2593</v>
      </c>
    </row>
    <row r="1486" ht="15.75" customHeight="1">
      <c r="A1486" s="4">
        <v>1032022.0</v>
      </c>
      <c r="B1486" s="4" t="s">
        <v>2595</v>
      </c>
    </row>
    <row r="1487" ht="15.75" customHeight="1">
      <c r="A1487" s="4">
        <v>1032023.0</v>
      </c>
      <c r="B1487" s="4" t="s">
        <v>2597</v>
      </c>
    </row>
    <row r="1488" ht="15.75" customHeight="1">
      <c r="A1488" s="4">
        <v>1032024.0</v>
      </c>
      <c r="B1488" s="4" t="s">
        <v>2598</v>
      </c>
    </row>
    <row r="1489" ht="15.75" customHeight="1">
      <c r="A1489" s="4">
        <v>1032025.0</v>
      </c>
      <c r="B1489" s="4" t="s">
        <v>2600</v>
      </c>
    </row>
    <row r="1490" ht="15.75" customHeight="1">
      <c r="A1490" s="4">
        <v>1032026.0</v>
      </c>
      <c r="B1490" s="4" t="s">
        <v>2601</v>
      </c>
    </row>
    <row r="1491" ht="15.75" customHeight="1">
      <c r="A1491" s="4">
        <v>1032027.0</v>
      </c>
      <c r="B1491" s="4" t="s">
        <v>2603</v>
      </c>
    </row>
    <row r="1492" ht="15.75" customHeight="1">
      <c r="A1492" s="4">
        <v>1032028.0</v>
      </c>
      <c r="B1492" s="4" t="s">
        <v>2604</v>
      </c>
    </row>
    <row r="1493" ht="15.75" customHeight="1">
      <c r="A1493" s="4">
        <v>1032029.0</v>
      </c>
      <c r="B1493" s="4" t="s">
        <v>2605</v>
      </c>
    </row>
    <row r="1494" ht="15.75" customHeight="1">
      <c r="A1494" s="4">
        <v>1032030.0</v>
      </c>
      <c r="B1494" s="4" t="s">
        <v>2606</v>
      </c>
    </row>
    <row r="1495" ht="15.75" customHeight="1">
      <c r="A1495" s="4">
        <v>1032031.0</v>
      </c>
      <c r="B1495" s="4" t="s">
        <v>2607</v>
      </c>
    </row>
    <row r="1496" ht="15.75" customHeight="1">
      <c r="A1496" s="4">
        <v>1032032.0</v>
      </c>
      <c r="B1496" s="4" t="s">
        <v>2608</v>
      </c>
    </row>
    <row r="1497" ht="15.75" customHeight="1">
      <c r="A1497" s="4">
        <v>1032033.0</v>
      </c>
      <c r="B1497" s="4" t="s">
        <v>2609</v>
      </c>
    </row>
    <row r="1498" ht="15.75" customHeight="1">
      <c r="A1498" s="4">
        <v>1032034.0</v>
      </c>
      <c r="B1498" s="4" t="s">
        <v>2610</v>
      </c>
    </row>
    <row r="1499" ht="15.75" customHeight="1">
      <c r="A1499" s="4">
        <v>1032035.0</v>
      </c>
      <c r="B1499" s="4" t="s">
        <v>2611</v>
      </c>
    </row>
    <row r="1500" ht="15.75" customHeight="1">
      <c r="A1500" s="4">
        <v>1032036.0</v>
      </c>
      <c r="B1500" s="4" t="s">
        <v>2614</v>
      </c>
    </row>
    <row r="1501" ht="15.75" customHeight="1">
      <c r="A1501" s="4">
        <v>1032037.0</v>
      </c>
      <c r="B1501" s="4" t="s">
        <v>2615</v>
      </c>
    </row>
    <row r="1502" ht="15.75" customHeight="1">
      <c r="A1502" s="4">
        <v>1032038.0</v>
      </c>
      <c r="B1502" s="4" t="s">
        <v>2616</v>
      </c>
    </row>
    <row r="1503" ht="15.75" customHeight="1">
      <c r="A1503" s="4">
        <v>1032039.0</v>
      </c>
      <c r="B1503" s="4" t="s">
        <v>2617</v>
      </c>
    </row>
    <row r="1504" ht="15.75" customHeight="1">
      <c r="A1504" s="4">
        <v>1032040.0</v>
      </c>
      <c r="B1504" s="4" t="s">
        <v>2618</v>
      </c>
    </row>
    <row r="1505" ht="15.75" customHeight="1">
      <c r="A1505" s="4">
        <v>1032041.0</v>
      </c>
      <c r="B1505" s="4" t="s">
        <v>2619</v>
      </c>
    </row>
    <row r="1506" ht="15.75" customHeight="1">
      <c r="A1506" s="4">
        <v>1032042.0</v>
      </c>
      <c r="B1506" s="4" t="s">
        <v>2620</v>
      </c>
    </row>
    <row r="1507" ht="15.75" customHeight="1">
      <c r="A1507" s="4">
        <v>1032043.0</v>
      </c>
      <c r="B1507" s="4" t="s">
        <v>2621</v>
      </c>
    </row>
    <row r="1508" ht="15.75" customHeight="1">
      <c r="A1508" s="4">
        <v>1032044.0</v>
      </c>
      <c r="B1508" s="4" t="s">
        <v>2622</v>
      </c>
    </row>
    <row r="1509" ht="15.75" customHeight="1">
      <c r="A1509" s="4">
        <v>1032045.0</v>
      </c>
      <c r="B1509" s="4" t="s">
        <v>2623</v>
      </c>
    </row>
    <row r="1510" ht="15.75" customHeight="1">
      <c r="A1510" s="4">
        <v>1032046.0</v>
      </c>
      <c r="B1510" s="4" t="s">
        <v>2624</v>
      </c>
    </row>
    <row r="1511" ht="15.75" customHeight="1">
      <c r="A1511" s="4">
        <v>1032047.0</v>
      </c>
      <c r="B1511" s="4" t="s">
        <v>2625</v>
      </c>
    </row>
    <row r="1512" ht="15.75" customHeight="1">
      <c r="A1512" s="4">
        <v>1032048.0</v>
      </c>
      <c r="B1512" s="4" t="s">
        <v>2626</v>
      </c>
    </row>
    <row r="1513" ht="15.75" customHeight="1">
      <c r="A1513" s="4">
        <v>1032049.0</v>
      </c>
      <c r="B1513" s="4" t="s">
        <v>2627</v>
      </c>
    </row>
    <row r="1514" ht="15.75" customHeight="1">
      <c r="A1514" s="4">
        <v>1032050.0</v>
      </c>
      <c r="B1514" s="4" t="s">
        <v>2628</v>
      </c>
    </row>
    <row r="1515" ht="15.75" customHeight="1">
      <c r="A1515" s="4">
        <v>1033001.0</v>
      </c>
      <c r="B1515" s="4" t="s">
        <v>2629</v>
      </c>
    </row>
    <row r="1516" ht="15.75" customHeight="1">
      <c r="A1516" s="4">
        <v>1033002.0</v>
      </c>
      <c r="B1516" s="4" t="s">
        <v>2630</v>
      </c>
    </row>
    <row r="1517" ht="15.75" customHeight="1">
      <c r="A1517" s="4">
        <v>1033003.0</v>
      </c>
      <c r="B1517" s="4" t="s">
        <v>2631</v>
      </c>
    </row>
    <row r="1518" ht="15.75" customHeight="1">
      <c r="A1518" s="4">
        <v>1033004.0</v>
      </c>
      <c r="B1518" s="4" t="s">
        <v>2632</v>
      </c>
    </row>
    <row r="1519" ht="15.75" customHeight="1">
      <c r="A1519" s="4">
        <v>1033005.0</v>
      </c>
      <c r="B1519" s="4" t="s">
        <v>2633</v>
      </c>
    </row>
    <row r="1520" ht="15.75" customHeight="1">
      <c r="A1520" s="4">
        <v>1033006.0</v>
      </c>
      <c r="B1520" s="4" t="s">
        <v>2634</v>
      </c>
    </row>
    <row r="1521" ht="15.75" customHeight="1">
      <c r="A1521" s="4">
        <v>1033007.0</v>
      </c>
      <c r="B1521" s="4" t="s">
        <v>2635</v>
      </c>
    </row>
    <row r="1522" ht="15.75" customHeight="1">
      <c r="A1522" s="4">
        <v>1033008.0</v>
      </c>
      <c r="B1522" s="4" t="s">
        <v>2636</v>
      </c>
    </row>
    <row r="1523" ht="15.75" customHeight="1">
      <c r="A1523" s="4">
        <v>1033009.0</v>
      </c>
      <c r="B1523" s="4" t="s">
        <v>2637</v>
      </c>
    </row>
    <row r="1524" ht="15.75" customHeight="1">
      <c r="A1524" s="4">
        <v>1033010.0</v>
      </c>
      <c r="B1524" s="4" t="s">
        <v>2638</v>
      </c>
    </row>
    <row r="1525" ht="15.75" customHeight="1">
      <c r="A1525" s="4">
        <v>1033011.0</v>
      </c>
      <c r="B1525" s="4" t="s">
        <v>2639</v>
      </c>
    </row>
    <row r="1526" ht="15.75" customHeight="1">
      <c r="A1526" s="4">
        <v>1033012.0</v>
      </c>
      <c r="B1526" s="4" t="s">
        <v>2640</v>
      </c>
    </row>
    <row r="1527" ht="15.75" customHeight="1">
      <c r="A1527" s="4">
        <v>1033013.0</v>
      </c>
      <c r="B1527" s="4" t="s">
        <v>2641</v>
      </c>
    </row>
    <row r="1528" ht="15.75" customHeight="1">
      <c r="A1528" s="4">
        <v>1033014.0</v>
      </c>
      <c r="B1528" s="4" t="s">
        <v>2642</v>
      </c>
    </row>
    <row r="1529" ht="15.75" customHeight="1">
      <c r="A1529" s="4">
        <v>1033015.0</v>
      </c>
      <c r="B1529" s="4" t="s">
        <v>2643</v>
      </c>
    </row>
    <row r="1530" ht="15.75" customHeight="1">
      <c r="A1530" s="4">
        <v>1033016.0</v>
      </c>
      <c r="B1530" s="4" t="s">
        <v>2644</v>
      </c>
    </row>
    <row r="1531" ht="15.75" customHeight="1">
      <c r="A1531" s="4">
        <v>1033017.0</v>
      </c>
      <c r="B1531" s="4" t="s">
        <v>2645</v>
      </c>
    </row>
    <row r="1532" ht="15.75" customHeight="1">
      <c r="A1532" s="4">
        <v>1033018.0</v>
      </c>
      <c r="B1532" s="4" t="s">
        <v>2646</v>
      </c>
    </row>
    <row r="1533" ht="15.75" customHeight="1">
      <c r="A1533" s="4">
        <v>1033019.0</v>
      </c>
      <c r="B1533" s="4" t="s">
        <v>2647</v>
      </c>
    </row>
    <row r="1534" ht="15.75" customHeight="1">
      <c r="A1534" s="4">
        <v>1033020.0</v>
      </c>
      <c r="B1534" s="4" t="s">
        <v>2648</v>
      </c>
    </row>
    <row r="1535" ht="15.75" customHeight="1">
      <c r="A1535" s="4">
        <v>1033021.0</v>
      </c>
      <c r="B1535" s="4" t="s">
        <v>2649</v>
      </c>
    </row>
    <row r="1536" ht="15.75" customHeight="1">
      <c r="A1536" s="4">
        <v>1033022.0</v>
      </c>
      <c r="B1536" s="4" t="s">
        <v>2650</v>
      </c>
    </row>
    <row r="1537" ht="15.75" customHeight="1">
      <c r="A1537" s="4">
        <v>1033023.0</v>
      </c>
      <c r="B1537" s="4" t="s">
        <v>2651</v>
      </c>
    </row>
    <row r="1538" ht="15.75" customHeight="1">
      <c r="A1538" s="4">
        <v>1033024.0</v>
      </c>
      <c r="B1538" s="4" t="s">
        <v>2652</v>
      </c>
    </row>
    <row r="1539" ht="15.75" customHeight="1">
      <c r="A1539" s="4">
        <v>1033025.0</v>
      </c>
      <c r="B1539" s="4" t="s">
        <v>2653</v>
      </c>
    </row>
    <row r="1540" ht="15.75" customHeight="1">
      <c r="A1540" s="4">
        <v>1033026.0</v>
      </c>
      <c r="B1540" s="4" t="s">
        <v>2654</v>
      </c>
    </row>
    <row r="1541" ht="15.75" customHeight="1">
      <c r="A1541" s="4">
        <v>1033027.0</v>
      </c>
      <c r="B1541" s="4" t="s">
        <v>2655</v>
      </c>
    </row>
    <row r="1542" ht="15.75" customHeight="1">
      <c r="A1542" s="4">
        <v>1033028.0</v>
      </c>
      <c r="B1542" s="4" t="s">
        <v>2656</v>
      </c>
    </row>
    <row r="1543" ht="15.75" customHeight="1">
      <c r="A1543" s="4">
        <v>1033029.0</v>
      </c>
      <c r="B1543" s="4" t="s">
        <v>2657</v>
      </c>
    </row>
    <row r="1544" ht="15.75" customHeight="1">
      <c r="A1544" s="4">
        <v>1033030.0</v>
      </c>
      <c r="B1544" s="4" t="s">
        <v>2658</v>
      </c>
    </row>
    <row r="1545" ht="15.75" customHeight="1">
      <c r="A1545" s="4">
        <v>1033031.0</v>
      </c>
      <c r="B1545" s="4" t="s">
        <v>2659</v>
      </c>
    </row>
    <row r="1546" ht="15.75" customHeight="1">
      <c r="A1546" s="4">
        <v>1033032.0</v>
      </c>
      <c r="B1546" s="4" t="s">
        <v>2660</v>
      </c>
    </row>
    <row r="1547" ht="15.75" customHeight="1">
      <c r="A1547" s="4">
        <v>1033033.0</v>
      </c>
      <c r="B1547" s="4" t="s">
        <v>2661</v>
      </c>
    </row>
    <row r="1548" ht="15.75" customHeight="1">
      <c r="A1548" s="4">
        <v>1033034.0</v>
      </c>
      <c r="B1548" s="4" t="s">
        <v>2662</v>
      </c>
    </row>
    <row r="1549" ht="15.75" customHeight="1">
      <c r="A1549" s="4">
        <v>1034001.0</v>
      </c>
      <c r="B1549" s="4" t="s">
        <v>2663</v>
      </c>
    </row>
    <row r="1550" ht="15.75" customHeight="1">
      <c r="A1550" s="4">
        <v>1034002.0</v>
      </c>
      <c r="B1550" s="4" t="s">
        <v>2664</v>
      </c>
    </row>
    <row r="1551" ht="15.75" customHeight="1">
      <c r="A1551" s="4">
        <v>1034003.0</v>
      </c>
      <c r="B1551" s="4" t="s">
        <v>2665</v>
      </c>
    </row>
    <row r="1552" ht="15.75" customHeight="1">
      <c r="A1552" s="4">
        <v>1034004.0</v>
      </c>
      <c r="B1552" s="4" t="s">
        <v>2666</v>
      </c>
    </row>
    <row r="1553" ht="15.75" customHeight="1">
      <c r="A1553" s="4">
        <v>1034005.0</v>
      </c>
      <c r="B1553" s="4" t="s">
        <v>2667</v>
      </c>
    </row>
    <row r="1554" ht="15.75" customHeight="1">
      <c r="A1554" s="4">
        <v>1034006.0</v>
      </c>
      <c r="B1554" s="4" t="s">
        <v>2668</v>
      </c>
    </row>
    <row r="1555" ht="15.75" customHeight="1">
      <c r="A1555" s="4">
        <v>1034007.0</v>
      </c>
      <c r="B1555" s="4" t="s">
        <v>2669</v>
      </c>
    </row>
    <row r="1556" ht="15.75" customHeight="1">
      <c r="A1556" s="4">
        <v>1034008.0</v>
      </c>
      <c r="B1556" s="4" t="s">
        <v>2670</v>
      </c>
    </row>
    <row r="1557" ht="15.75" customHeight="1">
      <c r="A1557" s="4">
        <v>1034009.0</v>
      </c>
      <c r="B1557" s="4" t="s">
        <v>2671</v>
      </c>
    </row>
    <row r="1558" ht="15.75" customHeight="1">
      <c r="A1558" s="4">
        <v>1034010.0</v>
      </c>
      <c r="B1558" s="4" t="s">
        <v>2672</v>
      </c>
    </row>
    <row r="1559" ht="15.75" customHeight="1">
      <c r="A1559" s="4">
        <v>1034011.0</v>
      </c>
      <c r="B1559" s="4" t="s">
        <v>2673</v>
      </c>
    </row>
    <row r="1560" ht="15.75" customHeight="1">
      <c r="A1560" s="4">
        <v>1034012.0</v>
      </c>
      <c r="B1560" s="4" t="s">
        <v>2674</v>
      </c>
    </row>
    <row r="1561" ht="15.75" customHeight="1">
      <c r="A1561" s="4">
        <v>1034013.0</v>
      </c>
      <c r="B1561" s="4" t="s">
        <v>2675</v>
      </c>
    </row>
    <row r="1562" ht="15.75" customHeight="1">
      <c r="A1562" s="4">
        <v>1034014.0</v>
      </c>
      <c r="B1562" s="4" t="s">
        <v>2676</v>
      </c>
    </row>
    <row r="1563" ht="15.75" customHeight="1">
      <c r="A1563" s="4">
        <v>1034015.0</v>
      </c>
      <c r="B1563" s="4" t="s">
        <v>2677</v>
      </c>
    </row>
    <row r="1564" ht="15.75" customHeight="1">
      <c r="A1564" s="4">
        <v>1034016.0</v>
      </c>
      <c r="B1564" s="4" t="s">
        <v>2678</v>
      </c>
    </row>
    <row r="1565" ht="15.75" customHeight="1">
      <c r="A1565" s="4">
        <v>1034017.0</v>
      </c>
      <c r="B1565" s="4" t="s">
        <v>2679</v>
      </c>
    </row>
    <row r="1566" ht="15.75" customHeight="1">
      <c r="A1566" s="4">
        <v>1034018.0</v>
      </c>
      <c r="B1566" s="4" t="s">
        <v>2680</v>
      </c>
    </row>
    <row r="1567" ht="15.75" customHeight="1">
      <c r="A1567" s="4">
        <v>1034019.0</v>
      </c>
      <c r="B1567" s="4" t="s">
        <v>2681</v>
      </c>
    </row>
    <row r="1568" ht="15.75" customHeight="1">
      <c r="A1568" s="4">
        <v>1034020.0</v>
      </c>
      <c r="B1568" s="4" t="s">
        <v>2682</v>
      </c>
    </row>
    <row r="1569" ht="15.75" customHeight="1">
      <c r="A1569" s="4">
        <v>1034021.0</v>
      </c>
      <c r="B1569" s="4" t="s">
        <v>2683</v>
      </c>
    </row>
    <row r="1570" ht="15.75" customHeight="1">
      <c r="A1570" s="4">
        <v>1034022.0</v>
      </c>
      <c r="B1570" s="4" t="s">
        <v>2684</v>
      </c>
    </row>
    <row r="1571" ht="15.75" customHeight="1">
      <c r="A1571" s="4">
        <v>1034023.0</v>
      </c>
      <c r="B1571" s="4" t="s">
        <v>2685</v>
      </c>
    </row>
    <row r="1572" ht="15.75" customHeight="1">
      <c r="A1572" s="4">
        <v>1034024.0</v>
      </c>
      <c r="B1572" s="4" t="s">
        <v>2686</v>
      </c>
    </row>
    <row r="1573" ht="15.75" customHeight="1">
      <c r="A1573" s="4">
        <v>1034025.0</v>
      </c>
      <c r="B1573" s="4" t="s">
        <v>2687</v>
      </c>
    </row>
    <row r="1574" ht="15.75" customHeight="1">
      <c r="A1574" s="4">
        <v>1035001.0</v>
      </c>
      <c r="B1574" s="4" t="s">
        <v>2688</v>
      </c>
    </row>
    <row r="1575" ht="15.75" customHeight="1">
      <c r="A1575" s="4">
        <v>1035002.0</v>
      </c>
      <c r="B1575" s="4" t="s">
        <v>2689</v>
      </c>
    </row>
    <row r="1576" ht="15.75" customHeight="1">
      <c r="A1576" s="4">
        <v>1035003.0</v>
      </c>
      <c r="B1576" s="4" t="s">
        <v>2690</v>
      </c>
    </row>
    <row r="1577" ht="15.75" customHeight="1">
      <c r="A1577" s="4">
        <v>1035004.0</v>
      </c>
      <c r="B1577" s="4" t="s">
        <v>2691</v>
      </c>
    </row>
    <row r="1578" ht="15.75" customHeight="1">
      <c r="A1578" s="4">
        <v>1035005.0</v>
      </c>
      <c r="B1578" s="4" t="s">
        <v>2692</v>
      </c>
    </row>
    <row r="1579" ht="15.75" customHeight="1">
      <c r="A1579" s="4">
        <v>1035006.0</v>
      </c>
      <c r="B1579" s="4" t="s">
        <v>2693</v>
      </c>
    </row>
    <row r="1580" ht="15.75" customHeight="1">
      <c r="A1580" s="4">
        <v>1035007.0</v>
      </c>
      <c r="B1580" s="4" t="s">
        <v>2694</v>
      </c>
    </row>
    <row r="1581" ht="15.75" customHeight="1">
      <c r="A1581" s="4">
        <v>1035008.0</v>
      </c>
      <c r="B1581" s="4" t="s">
        <v>2695</v>
      </c>
    </row>
    <row r="1582" ht="15.75" customHeight="1">
      <c r="A1582" s="4">
        <v>1035009.0</v>
      </c>
      <c r="B1582" s="4" t="s">
        <v>2696</v>
      </c>
    </row>
    <row r="1583" ht="15.75" customHeight="1">
      <c r="A1583" s="4">
        <v>1035010.0</v>
      </c>
      <c r="B1583" s="4" t="s">
        <v>2697</v>
      </c>
    </row>
    <row r="1584" ht="15.75" customHeight="1">
      <c r="A1584" s="4">
        <v>1035011.0</v>
      </c>
      <c r="B1584" s="4" t="s">
        <v>2698</v>
      </c>
    </row>
    <row r="1585" ht="15.75" customHeight="1">
      <c r="A1585" s="4">
        <v>1035012.0</v>
      </c>
      <c r="B1585" s="4" t="s">
        <v>2701</v>
      </c>
    </row>
    <row r="1586" ht="15.75" customHeight="1">
      <c r="A1586" s="4">
        <v>1035013.0</v>
      </c>
      <c r="B1586" s="4" t="s">
        <v>2702</v>
      </c>
    </row>
    <row r="1587" ht="15.75" customHeight="1">
      <c r="A1587" s="4">
        <v>1035014.0</v>
      </c>
      <c r="B1587" s="4" t="s">
        <v>2703</v>
      </c>
    </row>
    <row r="1588" ht="15.75" customHeight="1">
      <c r="A1588" s="4">
        <v>1035015.0</v>
      </c>
      <c r="B1588" s="4" t="s">
        <v>2704</v>
      </c>
    </row>
    <row r="1589" ht="15.75" customHeight="1">
      <c r="A1589" s="4">
        <v>1035016.0</v>
      </c>
      <c r="B1589" s="4" t="s">
        <v>2705</v>
      </c>
    </row>
    <row r="1590" ht="15.75" customHeight="1">
      <c r="A1590" s="4">
        <v>1035017.0</v>
      </c>
      <c r="B1590" s="4" t="s">
        <v>2706</v>
      </c>
    </row>
    <row r="1591" ht="15.75" customHeight="1">
      <c r="A1591" s="4">
        <v>1035018.0</v>
      </c>
      <c r="B1591" s="4" t="s">
        <v>2708</v>
      </c>
    </row>
    <row r="1592" ht="15.75" customHeight="1">
      <c r="A1592" s="4">
        <v>1035019.0</v>
      </c>
      <c r="B1592" s="4" t="s">
        <v>2709</v>
      </c>
    </row>
    <row r="1593" ht="15.75" customHeight="1">
      <c r="A1593" s="4">
        <v>1035020.0</v>
      </c>
      <c r="B1593" s="4" t="s">
        <v>2710</v>
      </c>
    </row>
    <row r="1594" ht="15.75" customHeight="1">
      <c r="A1594" s="4">
        <v>1035021.0</v>
      </c>
      <c r="B1594" s="4" t="s">
        <v>2711</v>
      </c>
    </row>
    <row r="1595" ht="15.75" customHeight="1">
      <c r="A1595" s="4">
        <v>1035022.0</v>
      </c>
      <c r="B1595" s="4" t="s">
        <v>2712</v>
      </c>
    </row>
    <row r="1596" ht="15.75" customHeight="1">
      <c r="A1596" s="4">
        <v>1035023.0</v>
      </c>
      <c r="B1596" s="4" t="s">
        <v>2713</v>
      </c>
    </row>
    <row r="1597" ht="15.75" customHeight="1">
      <c r="A1597" s="4">
        <v>1035024.0</v>
      </c>
      <c r="B1597" s="4" t="s">
        <v>2714</v>
      </c>
    </row>
    <row r="1598" ht="15.75" customHeight="1">
      <c r="A1598" s="4">
        <v>1035025.0</v>
      </c>
      <c r="B1598" s="4" t="s">
        <v>2715</v>
      </c>
    </row>
    <row r="1599" ht="15.75" customHeight="1">
      <c r="A1599" s="4">
        <v>1035026.0</v>
      </c>
      <c r="B1599" s="4" t="s">
        <v>2716</v>
      </c>
    </row>
    <row r="1600" ht="15.75" customHeight="1">
      <c r="A1600" s="4">
        <v>1035027.0</v>
      </c>
      <c r="B1600" s="4" t="s">
        <v>2717</v>
      </c>
    </row>
    <row r="1601" ht="15.75" customHeight="1">
      <c r="A1601" s="4">
        <v>1035028.0</v>
      </c>
      <c r="B1601" s="4" t="s">
        <v>2718</v>
      </c>
    </row>
    <row r="1602" ht="15.75" customHeight="1">
      <c r="A1602" s="4">
        <v>1035029.0</v>
      </c>
      <c r="B1602" s="4" t="s">
        <v>2719</v>
      </c>
    </row>
    <row r="1603" ht="15.75" customHeight="1">
      <c r="A1603" s="4">
        <v>1035030.0</v>
      </c>
      <c r="B1603" s="4" t="s">
        <v>2720</v>
      </c>
    </row>
    <row r="1604" ht="15.75" customHeight="1">
      <c r="A1604" s="4">
        <v>1035031.0</v>
      </c>
      <c r="B1604" s="4" t="s">
        <v>2721</v>
      </c>
    </row>
    <row r="1605" ht="15.75" customHeight="1">
      <c r="A1605" s="4">
        <v>1035032.0</v>
      </c>
      <c r="B1605" s="4" t="s">
        <v>2722</v>
      </c>
    </row>
    <row r="1606" ht="15.75" customHeight="1">
      <c r="A1606" s="4">
        <v>1035033.0</v>
      </c>
      <c r="B1606" s="4" t="s">
        <v>2723</v>
      </c>
    </row>
    <row r="1607" ht="15.75" customHeight="1">
      <c r="A1607" s="4">
        <v>1035034.0</v>
      </c>
      <c r="B1607" s="4" t="s">
        <v>2724</v>
      </c>
    </row>
    <row r="1608" ht="15.75" customHeight="1">
      <c r="A1608" s="4">
        <v>1035035.0</v>
      </c>
      <c r="B1608" s="4" t="s">
        <v>2725</v>
      </c>
    </row>
    <row r="1609" ht="15.75" customHeight="1">
      <c r="A1609" s="4">
        <v>1035036.0</v>
      </c>
      <c r="B1609" s="4" t="s">
        <v>2726</v>
      </c>
    </row>
    <row r="1610" ht="15.75" customHeight="1">
      <c r="A1610" s="4">
        <v>1035037.0</v>
      </c>
      <c r="B1610" s="4" t="s">
        <v>2727</v>
      </c>
    </row>
    <row r="1611" ht="15.75" customHeight="1">
      <c r="A1611" s="4">
        <v>1036001.0</v>
      </c>
      <c r="B1611" s="4" t="s">
        <v>2728</v>
      </c>
    </row>
    <row r="1612" ht="15.75" customHeight="1">
      <c r="A1612" s="4">
        <v>1036002.0</v>
      </c>
      <c r="B1612" s="4" t="s">
        <v>2729</v>
      </c>
    </row>
    <row r="1613" ht="15.75" customHeight="1">
      <c r="A1613" s="4">
        <v>1036003.0</v>
      </c>
      <c r="B1613" s="4" t="s">
        <v>2730</v>
      </c>
    </row>
    <row r="1614" ht="15.75" customHeight="1">
      <c r="A1614" s="4">
        <v>1036004.0</v>
      </c>
      <c r="B1614" s="4" t="s">
        <v>2731</v>
      </c>
    </row>
    <row r="1615" ht="15.75" customHeight="1">
      <c r="A1615" s="4">
        <v>1036005.0</v>
      </c>
      <c r="B1615" s="4" t="s">
        <v>2732</v>
      </c>
    </row>
    <row r="1616" ht="15.75" customHeight="1">
      <c r="A1616" s="4">
        <v>1036006.0</v>
      </c>
      <c r="B1616" s="4" t="s">
        <v>2733</v>
      </c>
    </row>
    <row r="1617" ht="15.75" customHeight="1">
      <c r="A1617" s="4">
        <v>1036007.0</v>
      </c>
      <c r="B1617" s="4" t="s">
        <v>2734</v>
      </c>
    </row>
    <row r="1618" ht="15.75" customHeight="1">
      <c r="A1618" s="4">
        <v>1036008.0</v>
      </c>
      <c r="B1618" s="4" t="s">
        <v>2735</v>
      </c>
    </row>
    <row r="1619" ht="15.75" customHeight="1">
      <c r="A1619" s="4">
        <v>1036009.0</v>
      </c>
      <c r="B1619" s="4" t="s">
        <v>2736</v>
      </c>
    </row>
    <row r="1620" ht="15.75" customHeight="1">
      <c r="A1620" s="4">
        <v>1036010.0</v>
      </c>
      <c r="B1620" s="4" t="s">
        <v>2737</v>
      </c>
    </row>
    <row r="1621" ht="15.75" customHeight="1">
      <c r="A1621" s="4">
        <v>1036011.0</v>
      </c>
      <c r="B1621" s="4" t="s">
        <v>2738</v>
      </c>
    </row>
    <row r="1622" ht="15.75" customHeight="1">
      <c r="A1622" s="4">
        <v>1036012.0</v>
      </c>
      <c r="B1622" s="4" t="s">
        <v>2739</v>
      </c>
    </row>
    <row r="1623" ht="15.75" customHeight="1">
      <c r="A1623" s="4">
        <v>1036013.0</v>
      </c>
      <c r="B1623" s="4" t="s">
        <v>2740</v>
      </c>
    </row>
    <row r="1624" ht="15.75" customHeight="1">
      <c r="A1624" s="4">
        <v>1036014.0</v>
      </c>
      <c r="B1624" s="4" t="s">
        <v>2741</v>
      </c>
    </row>
    <row r="1625" ht="15.75" customHeight="1">
      <c r="A1625" s="4">
        <v>1036015.0</v>
      </c>
      <c r="B1625" s="4" t="s">
        <v>2742</v>
      </c>
    </row>
    <row r="1626" ht="15.75" customHeight="1">
      <c r="A1626" s="4">
        <v>1036016.0</v>
      </c>
      <c r="B1626" s="4" t="s">
        <v>2743</v>
      </c>
    </row>
    <row r="1627" ht="15.75" customHeight="1">
      <c r="A1627" s="4">
        <v>1036017.0</v>
      </c>
      <c r="B1627" s="4" t="s">
        <v>2744</v>
      </c>
    </row>
    <row r="1628" ht="15.75" customHeight="1">
      <c r="A1628" s="4">
        <v>1036018.0</v>
      </c>
      <c r="B1628" s="4" t="s">
        <v>2745</v>
      </c>
    </row>
    <row r="1629" ht="15.75" customHeight="1">
      <c r="A1629" s="4">
        <v>1036019.0</v>
      </c>
      <c r="B1629" s="4" t="s">
        <v>2746</v>
      </c>
    </row>
    <row r="1630" ht="15.75" customHeight="1">
      <c r="A1630" s="4">
        <v>1036020.0</v>
      </c>
      <c r="B1630" s="4" t="s">
        <v>2747</v>
      </c>
    </row>
    <row r="1631" ht="15.75" customHeight="1">
      <c r="A1631" s="4">
        <v>1036021.0</v>
      </c>
      <c r="B1631" s="4" t="s">
        <v>2748</v>
      </c>
    </row>
    <row r="1632" ht="15.75" customHeight="1">
      <c r="A1632" s="4">
        <v>1036022.0</v>
      </c>
      <c r="B1632" s="4" t="s">
        <v>2749</v>
      </c>
    </row>
    <row r="1633" ht="15.75" customHeight="1">
      <c r="A1633" s="4">
        <v>1036023.0</v>
      </c>
      <c r="B1633" s="4" t="s">
        <v>2750</v>
      </c>
    </row>
    <row r="1634" ht="15.75" customHeight="1">
      <c r="A1634" s="4">
        <v>1036024.0</v>
      </c>
      <c r="B1634" s="4" t="s">
        <v>2751</v>
      </c>
    </row>
    <row r="1635" ht="15.75" customHeight="1">
      <c r="A1635" s="4">
        <v>1036025.0</v>
      </c>
      <c r="B1635" s="4" t="s">
        <v>2752</v>
      </c>
    </row>
    <row r="1636" ht="15.75" customHeight="1">
      <c r="A1636" s="4">
        <v>1037001.0</v>
      </c>
      <c r="B1636" s="4" t="s">
        <v>2753</v>
      </c>
    </row>
    <row r="1637" ht="15.75" customHeight="1">
      <c r="A1637" s="4">
        <v>1037002.0</v>
      </c>
      <c r="B1637" s="4" t="s">
        <v>2754</v>
      </c>
    </row>
    <row r="1638" ht="15.75" customHeight="1">
      <c r="A1638" s="4">
        <v>1037003.0</v>
      </c>
      <c r="B1638" s="4" t="s">
        <v>2755</v>
      </c>
    </row>
    <row r="1639" ht="15.75" customHeight="1">
      <c r="A1639" s="4">
        <v>1037004.0</v>
      </c>
      <c r="B1639" s="4" t="s">
        <v>2756</v>
      </c>
    </row>
    <row r="1640" ht="15.75" customHeight="1">
      <c r="A1640" s="4">
        <v>1037005.0</v>
      </c>
      <c r="B1640" s="4" t="s">
        <v>2757</v>
      </c>
    </row>
    <row r="1641" ht="15.75" customHeight="1">
      <c r="A1641" s="4">
        <v>1037006.0</v>
      </c>
      <c r="B1641" s="4" t="s">
        <v>2758</v>
      </c>
    </row>
    <row r="1642" ht="15.75" customHeight="1">
      <c r="A1642" s="4">
        <v>1037007.0</v>
      </c>
      <c r="B1642" s="4" t="s">
        <v>2759</v>
      </c>
    </row>
    <row r="1643" ht="15.75" customHeight="1">
      <c r="A1643" s="4">
        <v>1037008.0</v>
      </c>
      <c r="B1643" s="4" t="s">
        <v>2760</v>
      </c>
    </row>
    <row r="1644" ht="15.75" customHeight="1">
      <c r="A1644" s="4">
        <v>1037009.0</v>
      </c>
      <c r="B1644" s="4" t="s">
        <v>2761</v>
      </c>
    </row>
    <row r="1645" ht="15.75" customHeight="1">
      <c r="A1645" s="4">
        <v>1037010.0</v>
      </c>
      <c r="B1645" s="4" t="s">
        <v>2762</v>
      </c>
    </row>
    <row r="1646" ht="15.75" customHeight="1">
      <c r="A1646" s="4">
        <v>1037011.0</v>
      </c>
      <c r="B1646" s="4" t="s">
        <v>2763</v>
      </c>
    </row>
    <row r="1647" ht="15.75" customHeight="1">
      <c r="A1647" s="4">
        <v>1037012.0</v>
      </c>
      <c r="B1647" s="4" t="s">
        <v>2764</v>
      </c>
    </row>
    <row r="1648" ht="15.75" customHeight="1">
      <c r="A1648" s="4">
        <v>1037013.0</v>
      </c>
      <c r="B1648" s="4" t="s">
        <v>2765</v>
      </c>
    </row>
    <row r="1649" ht="15.75" customHeight="1">
      <c r="A1649" s="4">
        <v>1037014.0</v>
      </c>
      <c r="B1649" s="4" t="s">
        <v>2767</v>
      </c>
    </row>
    <row r="1650" ht="15.75" customHeight="1">
      <c r="A1650" s="4">
        <v>1037015.0</v>
      </c>
      <c r="B1650" s="4" t="s">
        <v>2768</v>
      </c>
    </row>
    <row r="1651" ht="15.75" customHeight="1">
      <c r="A1651" s="4">
        <v>1037016.0</v>
      </c>
      <c r="B1651" s="4" t="s">
        <v>2769</v>
      </c>
    </row>
    <row r="1652" ht="15.75" customHeight="1">
      <c r="A1652" s="4">
        <v>1037017.0</v>
      </c>
      <c r="B1652" s="4" t="s">
        <v>2770</v>
      </c>
    </row>
    <row r="1653" ht="15.75" customHeight="1">
      <c r="A1653" s="4">
        <v>1037018.0</v>
      </c>
      <c r="B1653" s="4" t="s">
        <v>2771</v>
      </c>
    </row>
    <row r="1654" ht="15.75" customHeight="1">
      <c r="A1654" s="4">
        <v>1037019.0</v>
      </c>
      <c r="B1654" s="4" t="s">
        <v>2772</v>
      </c>
    </row>
    <row r="1655" ht="15.75" customHeight="1">
      <c r="A1655" s="4">
        <v>1037020.0</v>
      </c>
      <c r="B1655" s="4" t="s">
        <v>2773</v>
      </c>
    </row>
    <row r="1656" ht="15.75" customHeight="1">
      <c r="A1656" s="4">
        <v>1037021.0</v>
      </c>
      <c r="B1656" s="4" t="s">
        <v>2774</v>
      </c>
    </row>
    <row r="1657" ht="15.75" customHeight="1">
      <c r="A1657" s="4">
        <v>1038001.0</v>
      </c>
      <c r="B1657" s="4" t="s">
        <v>2775</v>
      </c>
    </row>
    <row r="1658" ht="15.75" customHeight="1">
      <c r="A1658" s="4">
        <v>1038002.0</v>
      </c>
      <c r="B1658" s="4" t="s">
        <v>2776</v>
      </c>
    </row>
    <row r="1659" ht="15.75" customHeight="1">
      <c r="A1659" s="4">
        <v>1038003.0</v>
      </c>
      <c r="B1659" s="4" t="s">
        <v>267</v>
      </c>
    </row>
    <row r="1660" ht="15.75" customHeight="1">
      <c r="A1660" s="4">
        <v>1038004.0</v>
      </c>
      <c r="B1660" s="4" t="s">
        <v>2777</v>
      </c>
    </row>
    <row r="1661" ht="15.75" customHeight="1">
      <c r="A1661" s="4">
        <v>1038005.0</v>
      </c>
      <c r="B1661" s="4" t="s">
        <v>2778</v>
      </c>
    </row>
    <row r="1662" ht="15.75" customHeight="1">
      <c r="A1662" s="4">
        <v>1038006.0</v>
      </c>
      <c r="B1662" s="4" t="s">
        <v>2779</v>
      </c>
    </row>
    <row r="1663" ht="15.75" customHeight="1">
      <c r="A1663" s="4">
        <v>1038007.0</v>
      </c>
      <c r="B1663" s="4" t="s">
        <v>2782</v>
      </c>
    </row>
    <row r="1664" ht="15.75" customHeight="1">
      <c r="A1664" s="4">
        <v>1038008.0</v>
      </c>
      <c r="B1664" s="4" t="s">
        <v>2783</v>
      </c>
    </row>
    <row r="1665" ht="15.75" customHeight="1">
      <c r="A1665" s="4">
        <v>1038009.0</v>
      </c>
      <c r="B1665" s="4" t="s">
        <v>2784</v>
      </c>
    </row>
    <row r="1666" ht="15.75" customHeight="1">
      <c r="A1666" s="4">
        <v>1038010.0</v>
      </c>
      <c r="B1666" s="4" t="s">
        <v>2785</v>
      </c>
    </row>
    <row r="1667" ht="15.75" customHeight="1">
      <c r="A1667" s="4">
        <v>1038011.0</v>
      </c>
      <c r="B1667" s="4" t="s">
        <v>2786</v>
      </c>
    </row>
    <row r="1668" ht="15.75" customHeight="1">
      <c r="A1668" s="4">
        <v>1038012.0</v>
      </c>
      <c r="B1668" s="4" t="s">
        <v>2787</v>
      </c>
    </row>
    <row r="1669" ht="15.75" customHeight="1">
      <c r="A1669" s="4">
        <v>1038013.0</v>
      </c>
      <c r="B1669" s="4" t="s">
        <v>2788</v>
      </c>
    </row>
    <row r="1670" ht="15.75" customHeight="1">
      <c r="A1670" s="4">
        <v>1038014.0</v>
      </c>
      <c r="B1670" s="4" t="s">
        <v>2789</v>
      </c>
    </row>
    <row r="1671" ht="15.75" customHeight="1">
      <c r="A1671" s="4">
        <v>1038015.0</v>
      </c>
      <c r="B1671" s="4" t="s">
        <v>2790</v>
      </c>
    </row>
    <row r="1672" ht="15.75" customHeight="1">
      <c r="A1672" s="4">
        <v>1038016.0</v>
      </c>
      <c r="B1672" s="4" t="s">
        <v>2791</v>
      </c>
    </row>
    <row r="1673" ht="15.75" customHeight="1">
      <c r="A1673" s="4">
        <v>1038017.0</v>
      </c>
      <c r="B1673" s="4" t="s">
        <v>2792</v>
      </c>
    </row>
    <row r="1674" ht="15.75" customHeight="1">
      <c r="A1674" s="4">
        <v>1038018.0</v>
      </c>
      <c r="B1674" s="4" t="s">
        <v>2793</v>
      </c>
    </row>
    <row r="1675" ht="15.75" customHeight="1">
      <c r="A1675" s="4">
        <v>1038019.0</v>
      </c>
      <c r="B1675" s="4" t="s">
        <v>2794</v>
      </c>
    </row>
    <row r="1676" ht="15.75" customHeight="1">
      <c r="A1676" s="4">
        <v>1038020.0</v>
      </c>
      <c r="B1676" s="4" t="s">
        <v>2795</v>
      </c>
    </row>
    <row r="1677" ht="15.75" customHeight="1">
      <c r="A1677" s="4">
        <v>1039001.0</v>
      </c>
      <c r="B1677" s="4" t="s">
        <v>2796</v>
      </c>
    </row>
    <row r="1678" ht="15.75" customHeight="1">
      <c r="A1678" s="4">
        <v>1039002.0</v>
      </c>
      <c r="B1678" s="4" t="s">
        <v>2797</v>
      </c>
    </row>
    <row r="1679" ht="15.75" customHeight="1">
      <c r="A1679" s="4">
        <v>1039003.0</v>
      </c>
      <c r="B1679" s="4" t="s">
        <v>2798</v>
      </c>
    </row>
    <row r="1680" ht="15.75" customHeight="1">
      <c r="A1680" s="4">
        <v>1039004.0</v>
      </c>
      <c r="B1680" s="4" t="s">
        <v>2799</v>
      </c>
    </row>
    <row r="1681" ht="15.75" customHeight="1">
      <c r="A1681" s="4">
        <v>1039005.0</v>
      </c>
      <c r="B1681" s="4" t="s">
        <v>2800</v>
      </c>
    </row>
    <row r="1682" ht="15.75" customHeight="1">
      <c r="A1682" s="4">
        <v>1039006.0</v>
      </c>
      <c r="B1682" s="4" t="s">
        <v>2801</v>
      </c>
    </row>
    <row r="1683" ht="15.75" customHeight="1">
      <c r="A1683" s="4">
        <v>1039007.0</v>
      </c>
      <c r="B1683" s="4" t="s">
        <v>2802</v>
      </c>
    </row>
    <row r="1684" ht="15.75" customHeight="1">
      <c r="A1684" s="4">
        <v>1039008.0</v>
      </c>
      <c r="B1684" s="4" t="s">
        <v>2803</v>
      </c>
    </row>
    <row r="1685" ht="15.75" customHeight="1">
      <c r="A1685" s="4">
        <v>1039009.0</v>
      </c>
      <c r="B1685" s="4" t="s">
        <v>2804</v>
      </c>
    </row>
    <row r="1686" ht="15.75" customHeight="1">
      <c r="A1686" s="4">
        <v>1039010.0</v>
      </c>
      <c r="B1686" s="4" t="s">
        <v>2805</v>
      </c>
    </row>
    <row r="1687" ht="15.75" customHeight="1">
      <c r="A1687" s="4">
        <v>1039011.0</v>
      </c>
      <c r="B1687" s="4" t="s">
        <v>2806</v>
      </c>
    </row>
    <row r="1688" ht="15.75" customHeight="1">
      <c r="A1688" s="4">
        <v>1039012.0</v>
      </c>
      <c r="B1688" s="4" t="s">
        <v>2807</v>
      </c>
    </row>
    <row r="1689" ht="15.75" customHeight="1">
      <c r="A1689" s="4">
        <v>1039013.0</v>
      </c>
      <c r="B1689" s="4" t="s">
        <v>2808</v>
      </c>
    </row>
    <row r="1690" ht="15.75" customHeight="1">
      <c r="A1690" s="4">
        <v>1039014.0</v>
      </c>
      <c r="B1690" s="4" t="s">
        <v>2809</v>
      </c>
    </row>
    <row r="1691" ht="15.75" customHeight="1">
      <c r="A1691" s="4">
        <v>1039015.0</v>
      </c>
      <c r="B1691" s="4" t="s">
        <v>2810</v>
      </c>
    </row>
    <row r="1692" ht="15.75" customHeight="1">
      <c r="A1692" s="4">
        <v>1039016.0</v>
      </c>
      <c r="B1692" s="4" t="s">
        <v>2811</v>
      </c>
    </row>
    <row r="1693" ht="15.75" customHeight="1">
      <c r="A1693" s="4">
        <v>1039017.0</v>
      </c>
      <c r="B1693" s="4" t="s">
        <v>2812</v>
      </c>
    </row>
    <row r="1694" ht="15.75" customHeight="1">
      <c r="A1694" s="4">
        <v>1039018.0</v>
      </c>
      <c r="B1694" s="4" t="s">
        <v>2813</v>
      </c>
    </row>
    <row r="1695" ht="15.75" customHeight="1">
      <c r="A1695" s="4">
        <v>1039019.0</v>
      </c>
      <c r="B1695" s="4" t="s">
        <v>2814</v>
      </c>
    </row>
    <row r="1696" ht="15.75" customHeight="1">
      <c r="A1696" s="4">
        <v>1039020.0</v>
      </c>
      <c r="B1696" s="4" t="s">
        <v>2815</v>
      </c>
    </row>
    <row r="1697" ht="15.75" customHeight="1">
      <c r="A1697" s="4">
        <v>1039021.0</v>
      </c>
      <c r="B1697" s="4" t="s">
        <v>2816</v>
      </c>
    </row>
    <row r="1698" ht="15.75" customHeight="1">
      <c r="A1698" s="4">
        <v>1039022.0</v>
      </c>
      <c r="B1698" s="4" t="s">
        <v>2817</v>
      </c>
    </row>
    <row r="1699" ht="15.75" customHeight="1">
      <c r="A1699" s="4">
        <v>1039023.0</v>
      </c>
      <c r="B1699" s="4" t="s">
        <v>2818</v>
      </c>
    </row>
    <row r="1700" ht="15.75" customHeight="1">
      <c r="A1700" s="4">
        <v>1039024.0</v>
      </c>
      <c r="B1700" s="4" t="s">
        <v>2819</v>
      </c>
    </row>
    <row r="1701" ht="15.75" customHeight="1">
      <c r="A1701" s="4">
        <v>1039025.0</v>
      </c>
      <c r="B1701" s="4" t="s">
        <v>2820</v>
      </c>
    </row>
    <row r="1702" ht="15.75" customHeight="1">
      <c r="A1702" s="4">
        <v>1039026.0</v>
      </c>
      <c r="B1702" s="4" t="s">
        <v>2821</v>
      </c>
    </row>
    <row r="1703" ht="15.75" customHeight="1">
      <c r="A1703" s="4">
        <v>1039027.0</v>
      </c>
      <c r="B1703" s="4" t="s">
        <v>2822</v>
      </c>
    </row>
    <row r="1704" ht="15.75" customHeight="1">
      <c r="A1704" s="4">
        <v>1039028.0</v>
      </c>
      <c r="B1704" s="4" t="s">
        <v>2823</v>
      </c>
    </row>
    <row r="1705" ht="15.75" customHeight="1">
      <c r="A1705" s="4">
        <v>1039029.0</v>
      </c>
      <c r="B1705" s="4" t="s">
        <v>2824</v>
      </c>
    </row>
    <row r="1706" ht="15.75" customHeight="1">
      <c r="A1706" s="4">
        <v>1039030.0</v>
      </c>
      <c r="B1706" s="4" t="s">
        <v>2825</v>
      </c>
    </row>
    <row r="1707" ht="15.75" customHeight="1">
      <c r="A1707" s="4">
        <v>1039031.0</v>
      </c>
      <c r="B1707" s="4" t="s">
        <v>2826</v>
      </c>
    </row>
    <row r="1708" ht="15.75" customHeight="1">
      <c r="A1708" s="4">
        <v>1039032.0</v>
      </c>
      <c r="B1708" s="4" t="s">
        <v>2827</v>
      </c>
    </row>
    <row r="1709" ht="15.75" customHeight="1">
      <c r="A1709" s="4">
        <v>1039033.0</v>
      </c>
      <c r="B1709" s="4" t="s">
        <v>2828</v>
      </c>
    </row>
    <row r="1710" ht="15.75" customHeight="1">
      <c r="A1710" s="4">
        <v>1039034.0</v>
      </c>
      <c r="B1710" s="4" t="s">
        <v>2829</v>
      </c>
    </row>
    <row r="1711" ht="15.75" customHeight="1">
      <c r="A1711" s="4">
        <v>1039035.0</v>
      </c>
      <c r="B1711" s="4" t="s">
        <v>2830</v>
      </c>
    </row>
    <row r="1712" ht="15.75" customHeight="1">
      <c r="A1712" s="4">
        <v>1040001.0</v>
      </c>
      <c r="B1712" s="4" t="s">
        <v>2831</v>
      </c>
    </row>
    <row r="1713" ht="15.75" customHeight="1">
      <c r="A1713" s="4">
        <v>1040002.0</v>
      </c>
      <c r="B1713" s="4" t="s">
        <v>2832</v>
      </c>
    </row>
    <row r="1714" ht="15.75" customHeight="1">
      <c r="A1714" s="4">
        <v>1040003.0</v>
      </c>
      <c r="B1714" s="4" t="s">
        <v>2833</v>
      </c>
    </row>
    <row r="1715" ht="15.75" customHeight="1">
      <c r="A1715" s="4">
        <v>1040004.0</v>
      </c>
      <c r="B1715" s="4" t="s">
        <v>2834</v>
      </c>
    </row>
    <row r="1716" ht="15.75" customHeight="1">
      <c r="A1716" s="4">
        <v>1040005.0</v>
      </c>
      <c r="B1716" s="4" t="s">
        <v>2835</v>
      </c>
    </row>
    <row r="1717" ht="15.75" customHeight="1">
      <c r="A1717" s="4">
        <v>1040006.0</v>
      </c>
      <c r="B1717" s="4" t="s">
        <v>2836</v>
      </c>
    </row>
    <row r="1718" ht="15.75" customHeight="1">
      <c r="A1718" s="4">
        <v>1040007.0</v>
      </c>
      <c r="B1718" s="4" t="s">
        <v>2837</v>
      </c>
    </row>
    <row r="1719" ht="15.75" customHeight="1">
      <c r="A1719" s="4">
        <v>1040008.0</v>
      </c>
      <c r="B1719" s="4" t="s">
        <v>2838</v>
      </c>
    </row>
    <row r="1720" ht="15.75" customHeight="1">
      <c r="A1720" s="4">
        <v>1040009.0</v>
      </c>
      <c r="B1720" s="4" t="s">
        <v>2839</v>
      </c>
    </row>
    <row r="1721" ht="15.75" customHeight="1">
      <c r="A1721" s="4">
        <v>1040010.0</v>
      </c>
      <c r="B1721" s="4" t="s">
        <v>2840</v>
      </c>
    </row>
    <row r="1722" ht="15.75" customHeight="1">
      <c r="A1722" s="4">
        <v>1040011.0</v>
      </c>
      <c r="B1722" s="4" t="s">
        <v>2841</v>
      </c>
    </row>
    <row r="1723" ht="15.75" customHeight="1">
      <c r="A1723" s="4">
        <v>1040012.0</v>
      </c>
      <c r="B1723" s="4" t="s">
        <v>2842</v>
      </c>
    </row>
    <row r="1724" ht="15.75" customHeight="1">
      <c r="A1724" s="4">
        <v>1040013.0</v>
      </c>
      <c r="B1724" s="4" t="s">
        <v>2843</v>
      </c>
    </row>
    <row r="1725" ht="15.75" customHeight="1">
      <c r="A1725" s="4">
        <v>1040501.0</v>
      </c>
      <c r="B1725" s="4" t="s">
        <v>2844</v>
      </c>
    </row>
    <row r="1726" ht="15.75" customHeight="1">
      <c r="A1726" s="4">
        <v>1040502.0</v>
      </c>
      <c r="B1726" s="4" t="s">
        <v>2845</v>
      </c>
    </row>
    <row r="1727" ht="15.75" customHeight="1">
      <c r="A1727" s="4">
        <v>1040503.0</v>
      </c>
      <c r="B1727" s="4" t="s">
        <v>2846</v>
      </c>
    </row>
    <row r="1728" ht="15.75" customHeight="1">
      <c r="A1728" s="4">
        <v>1040504.0</v>
      </c>
      <c r="B1728" s="4" t="s">
        <v>2847</v>
      </c>
    </row>
    <row r="1729" ht="15.75" customHeight="1">
      <c r="A1729" s="4">
        <v>1040505.0</v>
      </c>
      <c r="B1729" s="4" t="s">
        <v>2848</v>
      </c>
    </row>
    <row r="1730" ht="15.75" customHeight="1">
      <c r="A1730" s="4">
        <v>1040506.0</v>
      </c>
      <c r="B1730" s="4" t="s">
        <v>2849</v>
      </c>
    </row>
    <row r="1731" ht="15.75" customHeight="1">
      <c r="A1731" s="4">
        <v>1040507.0</v>
      </c>
      <c r="B1731" s="4" t="s">
        <v>2850</v>
      </c>
    </row>
    <row r="1732" ht="15.75" customHeight="1">
      <c r="A1732" s="4">
        <v>1040508.0</v>
      </c>
      <c r="B1732" s="4" t="s">
        <v>2851</v>
      </c>
    </row>
    <row r="1733" ht="15.75" customHeight="1">
      <c r="A1733" s="4">
        <v>1040509.0</v>
      </c>
      <c r="B1733" s="4" t="s">
        <v>2852</v>
      </c>
    </row>
    <row r="1734" ht="15.75" customHeight="1">
      <c r="A1734" s="4">
        <v>1040510.0</v>
      </c>
      <c r="B1734" s="4" t="s">
        <v>2853</v>
      </c>
    </row>
    <row r="1735" ht="15.75" customHeight="1">
      <c r="A1735" s="4">
        <v>1040511.0</v>
      </c>
      <c r="B1735" s="4" t="s">
        <v>2854</v>
      </c>
    </row>
    <row r="1736" ht="15.75" customHeight="1">
      <c r="A1736" s="4">
        <v>1040512.0</v>
      </c>
      <c r="B1736" s="4" t="s">
        <v>2855</v>
      </c>
    </row>
    <row r="1737" ht="15.75" customHeight="1">
      <c r="A1737" s="4">
        <v>1040513.0</v>
      </c>
      <c r="B1737" s="4" t="s">
        <v>2856</v>
      </c>
    </row>
    <row r="1738" ht="15.75" customHeight="1">
      <c r="A1738" s="4">
        <v>1040514.0</v>
      </c>
      <c r="B1738" s="4" t="s">
        <v>2857</v>
      </c>
    </row>
    <row r="1739" ht="15.75" customHeight="1">
      <c r="A1739" s="4">
        <v>1040515.0</v>
      </c>
      <c r="B1739" s="4" t="s">
        <v>2858</v>
      </c>
    </row>
    <row r="1740" ht="15.75" customHeight="1">
      <c r="A1740" s="4">
        <v>1040516.0</v>
      </c>
      <c r="B1740" s="4" t="s">
        <v>2859</v>
      </c>
    </row>
    <row r="1741" ht="15.75" customHeight="1">
      <c r="A1741" s="4">
        <v>1041001.0</v>
      </c>
      <c r="B1741" s="4" t="s">
        <v>2860</v>
      </c>
    </row>
    <row r="1742" ht="15.75" customHeight="1">
      <c r="A1742" s="4">
        <v>1041002.0</v>
      </c>
      <c r="B1742" s="4" t="s">
        <v>2861</v>
      </c>
    </row>
    <row r="1743" ht="15.75" customHeight="1">
      <c r="A1743" s="4">
        <v>1041003.0</v>
      </c>
      <c r="B1743" s="4" t="s">
        <v>2862</v>
      </c>
    </row>
    <row r="1744" ht="15.75" customHeight="1">
      <c r="A1744" s="4">
        <v>1041004.0</v>
      </c>
      <c r="B1744" s="4" t="s">
        <v>2863</v>
      </c>
    </row>
    <row r="1745" ht="15.75" customHeight="1">
      <c r="A1745" s="4">
        <v>1041005.0</v>
      </c>
      <c r="B1745" s="4" t="s">
        <v>2864</v>
      </c>
    </row>
    <row r="1746" ht="15.75" customHeight="1">
      <c r="A1746" s="4">
        <v>1041006.0</v>
      </c>
      <c r="B1746" s="4" t="s">
        <v>2865</v>
      </c>
    </row>
    <row r="1747" ht="15.75" customHeight="1">
      <c r="A1747" s="4">
        <v>1041007.0</v>
      </c>
      <c r="B1747" s="4" t="s">
        <v>2866</v>
      </c>
    </row>
    <row r="1748" ht="15.75" customHeight="1">
      <c r="A1748" s="4">
        <v>1041008.0</v>
      </c>
      <c r="B1748" s="4" t="s">
        <v>2867</v>
      </c>
    </row>
    <row r="1749" ht="15.75" customHeight="1">
      <c r="A1749" s="4">
        <v>1041009.0</v>
      </c>
      <c r="B1749" s="4" t="s">
        <v>2868</v>
      </c>
    </row>
    <row r="1750" ht="15.75" customHeight="1">
      <c r="A1750" s="4">
        <v>1041010.0</v>
      </c>
      <c r="B1750" s="4" t="s">
        <v>2869</v>
      </c>
    </row>
    <row r="1751" ht="15.75" customHeight="1">
      <c r="A1751" s="4">
        <v>1041011.0</v>
      </c>
      <c r="B1751" s="4" t="s">
        <v>2870</v>
      </c>
    </row>
    <row r="1752" ht="15.75" customHeight="1">
      <c r="A1752" s="4">
        <v>1041012.0</v>
      </c>
      <c r="B1752" s="4" t="s">
        <v>2871</v>
      </c>
    </row>
    <row r="1753" ht="15.75" customHeight="1">
      <c r="A1753" s="4">
        <v>1041013.0</v>
      </c>
      <c r="B1753" s="4" t="s">
        <v>2872</v>
      </c>
    </row>
    <row r="1754" ht="15.75" customHeight="1">
      <c r="A1754" s="4">
        <v>1041014.0</v>
      </c>
      <c r="B1754" s="4" t="s">
        <v>2873</v>
      </c>
    </row>
    <row r="1755" ht="15.75" customHeight="1">
      <c r="A1755" s="4">
        <v>1041015.0</v>
      </c>
      <c r="B1755" s="4" t="s">
        <v>2874</v>
      </c>
    </row>
    <row r="1756" ht="15.75" customHeight="1">
      <c r="A1756" s="4">
        <v>1041016.0</v>
      </c>
      <c r="B1756" s="4" t="s">
        <v>2875</v>
      </c>
    </row>
    <row r="1757" ht="15.75" customHeight="1">
      <c r="A1757" s="4">
        <v>1041017.0</v>
      </c>
      <c r="B1757" s="4" t="s">
        <v>2876</v>
      </c>
    </row>
    <row r="1758" ht="15.75" customHeight="1">
      <c r="A1758" s="4">
        <v>1041018.0</v>
      </c>
      <c r="B1758" s="4" t="s">
        <v>2877</v>
      </c>
    </row>
    <row r="1759" ht="15.75" customHeight="1">
      <c r="A1759" s="4">
        <v>1041019.0</v>
      </c>
      <c r="B1759" s="4" t="s">
        <v>2878</v>
      </c>
    </row>
    <row r="1760" ht="15.75" customHeight="1">
      <c r="A1760" s="4">
        <v>1041020.0</v>
      </c>
      <c r="B1760" s="4" t="s">
        <v>2879</v>
      </c>
    </row>
    <row r="1761" ht="15.75" customHeight="1">
      <c r="A1761" s="4">
        <v>1041021.0</v>
      </c>
      <c r="B1761" s="4" t="s">
        <v>2880</v>
      </c>
    </row>
    <row r="1762" ht="15.75" customHeight="1">
      <c r="A1762" s="4">
        <v>1041022.0</v>
      </c>
      <c r="B1762" s="4" t="s">
        <v>2881</v>
      </c>
    </row>
    <row r="1763" ht="15.75" customHeight="1">
      <c r="A1763" s="4">
        <v>1041023.0</v>
      </c>
      <c r="B1763" s="4" t="s">
        <v>2882</v>
      </c>
    </row>
    <row r="1764" ht="15.75" customHeight="1">
      <c r="A1764" s="4">
        <v>1041024.0</v>
      </c>
      <c r="B1764" s="4" t="s">
        <v>2883</v>
      </c>
    </row>
    <row r="1765" ht="15.75" customHeight="1">
      <c r="A1765" s="4">
        <v>1041025.0</v>
      </c>
      <c r="B1765" s="4" t="s">
        <v>2885</v>
      </c>
    </row>
    <row r="1766" ht="15.75" customHeight="1">
      <c r="A1766" s="4">
        <v>1041026.0</v>
      </c>
      <c r="B1766" s="4" t="s">
        <v>2887</v>
      </c>
    </row>
    <row r="1767" ht="15.75" customHeight="1">
      <c r="A1767" s="4">
        <v>1041027.0</v>
      </c>
      <c r="B1767" s="4" t="s">
        <v>2888</v>
      </c>
    </row>
    <row r="1768" ht="15.75" customHeight="1">
      <c r="A1768" s="4">
        <v>1041028.0</v>
      </c>
      <c r="B1768" s="4" t="s">
        <v>2889</v>
      </c>
    </row>
    <row r="1769" ht="15.75" customHeight="1">
      <c r="A1769" s="4">
        <v>1041029.0</v>
      </c>
      <c r="B1769" s="4" t="s">
        <v>2890</v>
      </c>
    </row>
    <row r="1770" ht="15.75" customHeight="1">
      <c r="A1770" s="4">
        <v>1041030.0</v>
      </c>
      <c r="B1770" s="4" t="s">
        <v>2891</v>
      </c>
    </row>
    <row r="1771" ht="15.75" customHeight="1">
      <c r="A1771" s="4">
        <v>1041031.0</v>
      </c>
      <c r="B1771" s="4" t="s">
        <v>2892</v>
      </c>
    </row>
    <row r="1772" ht="15.75" customHeight="1">
      <c r="A1772" s="4">
        <v>1041032.0</v>
      </c>
      <c r="B1772" s="4" t="s">
        <v>2893</v>
      </c>
    </row>
    <row r="1773" ht="15.75" customHeight="1">
      <c r="A1773" s="4">
        <v>1041033.0</v>
      </c>
      <c r="B1773" s="4" t="s">
        <v>2894</v>
      </c>
    </row>
    <row r="1774" ht="15.75" customHeight="1">
      <c r="A1774" s="4">
        <v>1041034.0</v>
      </c>
      <c r="B1774" s="4" t="s">
        <v>2895</v>
      </c>
    </row>
    <row r="1775" ht="15.75" customHeight="1">
      <c r="A1775" s="4">
        <v>1041035.0</v>
      </c>
      <c r="B1775" s="4" t="s">
        <v>2896</v>
      </c>
    </row>
    <row r="1776" ht="15.75" customHeight="1">
      <c r="A1776" s="4">
        <v>1041036.0</v>
      </c>
      <c r="B1776" s="4" t="s">
        <v>2897</v>
      </c>
    </row>
    <row r="1777" ht="15.75" customHeight="1">
      <c r="A1777" s="4">
        <v>1041037.0</v>
      </c>
      <c r="B1777" s="4" t="s">
        <v>2898</v>
      </c>
    </row>
    <row r="1778" ht="15.75" customHeight="1">
      <c r="A1778" s="4">
        <v>1041038.0</v>
      </c>
      <c r="B1778" s="4" t="s">
        <v>2899</v>
      </c>
    </row>
    <row r="1779" ht="15.75" customHeight="1">
      <c r="A1779" s="4">
        <v>1041039.0</v>
      </c>
      <c r="B1779" s="4" t="s">
        <v>2900</v>
      </c>
    </row>
    <row r="1780" ht="15.75" customHeight="1">
      <c r="A1780" s="4">
        <v>1041040.0</v>
      </c>
      <c r="B1780" s="4" t="s">
        <v>2901</v>
      </c>
    </row>
    <row r="1781" ht="15.75" customHeight="1">
      <c r="A1781" s="4">
        <v>1041041.0</v>
      </c>
      <c r="B1781" s="4" t="s">
        <v>2902</v>
      </c>
    </row>
    <row r="1782" ht="15.75" customHeight="1">
      <c r="A1782" s="4">
        <v>1041042.0</v>
      </c>
      <c r="B1782" s="4" t="s">
        <v>2903</v>
      </c>
    </row>
    <row r="1783" ht="15.75" customHeight="1">
      <c r="A1783" s="4">
        <v>1041043.0</v>
      </c>
      <c r="B1783" s="4" t="s">
        <v>2904</v>
      </c>
    </row>
    <row r="1784" ht="15.75" customHeight="1">
      <c r="A1784" s="4">
        <v>1041044.0</v>
      </c>
      <c r="B1784" s="4" t="s">
        <v>2905</v>
      </c>
    </row>
    <row r="1785" ht="15.75" customHeight="1">
      <c r="A1785" s="4">
        <v>1042001.0</v>
      </c>
      <c r="B1785" s="4" t="s">
        <v>2906</v>
      </c>
    </row>
    <row r="1786" ht="15.75" customHeight="1">
      <c r="A1786" s="4">
        <v>1042002.0</v>
      </c>
      <c r="B1786" s="4" t="s">
        <v>2907</v>
      </c>
    </row>
    <row r="1787" ht="15.75" customHeight="1">
      <c r="A1787" s="4">
        <v>1042003.0</v>
      </c>
      <c r="B1787" s="4" t="s">
        <v>2908</v>
      </c>
    </row>
    <row r="1788" ht="15.75" customHeight="1">
      <c r="A1788" s="4">
        <v>1042004.0</v>
      </c>
      <c r="B1788" s="4" t="s">
        <v>2909</v>
      </c>
    </row>
    <row r="1789" ht="15.75" customHeight="1">
      <c r="A1789" s="4">
        <v>1042005.0</v>
      </c>
      <c r="B1789" s="4" t="s">
        <v>2910</v>
      </c>
    </row>
    <row r="1790" ht="15.75" customHeight="1">
      <c r="A1790" s="4">
        <v>1042006.0</v>
      </c>
      <c r="B1790" s="4" t="s">
        <v>2911</v>
      </c>
    </row>
    <row r="1791" ht="15.75" customHeight="1">
      <c r="A1791" s="4">
        <v>1042007.0</v>
      </c>
      <c r="B1791" s="4" t="s">
        <v>2912</v>
      </c>
    </row>
    <row r="1792" ht="15.75" customHeight="1">
      <c r="A1792" s="4">
        <v>1042008.0</v>
      </c>
      <c r="B1792" s="4" t="s">
        <v>2913</v>
      </c>
    </row>
    <row r="1793" ht="15.75" customHeight="1">
      <c r="A1793" s="4">
        <v>1042009.0</v>
      </c>
      <c r="B1793" s="4" t="s">
        <v>2914</v>
      </c>
    </row>
    <row r="1794" ht="15.75" customHeight="1">
      <c r="A1794" s="4">
        <v>1042010.0</v>
      </c>
      <c r="B1794" s="4" t="s">
        <v>2915</v>
      </c>
    </row>
    <row r="1795" ht="15.75" customHeight="1">
      <c r="A1795" s="4">
        <v>1042011.0</v>
      </c>
      <c r="B1795" s="4" t="s">
        <v>2916</v>
      </c>
    </row>
    <row r="1796" ht="15.75" customHeight="1">
      <c r="A1796" s="4">
        <v>1042012.0</v>
      </c>
      <c r="B1796" s="4" t="s">
        <v>2917</v>
      </c>
    </row>
    <row r="1797" ht="15.75" customHeight="1">
      <c r="A1797" s="4">
        <v>1042013.0</v>
      </c>
      <c r="B1797" s="4" t="s">
        <v>2918</v>
      </c>
    </row>
    <row r="1798" ht="15.75" customHeight="1">
      <c r="A1798" s="4">
        <v>1042014.0</v>
      </c>
      <c r="B1798" s="4" t="s">
        <v>2919</v>
      </c>
    </row>
    <row r="1799" ht="15.75" customHeight="1">
      <c r="A1799" s="4">
        <v>1042015.0</v>
      </c>
      <c r="B1799" s="4" t="s">
        <v>2920</v>
      </c>
    </row>
    <row r="1800" ht="15.75" customHeight="1">
      <c r="A1800" s="4">
        <v>1042016.0</v>
      </c>
      <c r="B1800" s="4" t="s">
        <v>2921</v>
      </c>
    </row>
    <row r="1801" ht="15.75" customHeight="1">
      <c r="A1801" s="4">
        <v>1042017.0</v>
      </c>
      <c r="B1801" s="4" t="s">
        <v>2922</v>
      </c>
    </row>
    <row r="1802" ht="15.75" customHeight="1">
      <c r="A1802" s="4">
        <v>1042018.0</v>
      </c>
      <c r="B1802" s="4" t="s">
        <v>2923</v>
      </c>
    </row>
    <row r="1803" ht="15.75" customHeight="1">
      <c r="A1803" s="4">
        <v>1042019.0</v>
      </c>
      <c r="B1803" s="4" t="s">
        <v>2924</v>
      </c>
    </row>
    <row r="1804" ht="15.75" customHeight="1">
      <c r="A1804" s="4">
        <v>1042020.0</v>
      </c>
      <c r="B1804" s="4" t="s">
        <v>2925</v>
      </c>
    </row>
    <row r="1805" ht="15.75" customHeight="1">
      <c r="A1805" s="4">
        <v>1042021.0</v>
      </c>
      <c r="B1805" s="4" t="s">
        <v>2926</v>
      </c>
    </row>
    <row r="1806" ht="15.75" customHeight="1">
      <c r="A1806" s="4">
        <v>1042022.0</v>
      </c>
      <c r="B1806" s="4" t="s">
        <v>2927</v>
      </c>
    </row>
    <row r="1807" ht="15.75" customHeight="1">
      <c r="A1807" s="4">
        <v>1042023.0</v>
      </c>
      <c r="B1807" s="4" t="s">
        <v>2928</v>
      </c>
    </row>
    <row r="1808" ht="15.75" customHeight="1">
      <c r="A1808" s="4">
        <v>1042024.0</v>
      </c>
      <c r="B1808" s="4" t="s">
        <v>2929</v>
      </c>
    </row>
    <row r="1809" ht="15.75" customHeight="1">
      <c r="A1809" s="4">
        <v>1042025.0</v>
      </c>
      <c r="B1809" s="4" t="s">
        <v>2930</v>
      </c>
    </row>
    <row r="1810" ht="15.75" customHeight="1">
      <c r="A1810" s="4">
        <v>1042026.0</v>
      </c>
      <c r="B1810" s="4" t="s">
        <v>2931</v>
      </c>
    </row>
    <row r="1811" ht="15.75" customHeight="1">
      <c r="A1811" s="4">
        <v>1042027.0</v>
      </c>
      <c r="B1811" s="4" t="s">
        <v>2932</v>
      </c>
    </row>
    <row r="1812" ht="15.75" customHeight="1">
      <c r="A1812" s="4">
        <v>1042028.0</v>
      </c>
      <c r="B1812" s="4" t="s">
        <v>2933</v>
      </c>
    </row>
    <row r="1813" ht="15.75" customHeight="1">
      <c r="A1813" s="4">
        <v>1042029.0</v>
      </c>
      <c r="B1813" s="4" t="s">
        <v>2934</v>
      </c>
    </row>
    <row r="1814" ht="15.75" customHeight="1">
      <c r="A1814" s="4">
        <v>1042030.0</v>
      </c>
      <c r="B1814" s="4" t="s">
        <v>2935</v>
      </c>
    </row>
    <row r="1815" ht="15.75" customHeight="1">
      <c r="A1815" s="4">
        <v>1042031.0</v>
      </c>
      <c r="B1815" s="4" t="s">
        <v>2936</v>
      </c>
    </row>
    <row r="1816" ht="15.75" customHeight="1">
      <c r="A1816" s="4">
        <v>1042032.0</v>
      </c>
      <c r="B1816" s="4" t="s">
        <v>2937</v>
      </c>
    </row>
    <row r="1817" ht="15.75" customHeight="1">
      <c r="A1817" s="4">
        <v>1042033.0</v>
      </c>
      <c r="B1817" s="4" t="s">
        <v>2938</v>
      </c>
    </row>
    <row r="1818" ht="15.75" customHeight="1">
      <c r="A1818" s="4">
        <v>1042034.0</v>
      </c>
      <c r="B1818" s="4" t="s">
        <v>2939</v>
      </c>
    </row>
    <row r="1819" ht="15.75" customHeight="1">
      <c r="A1819" s="4">
        <v>1042035.0</v>
      </c>
      <c r="B1819" s="4" t="s">
        <v>2940</v>
      </c>
    </row>
    <row r="1820" ht="15.75" customHeight="1">
      <c r="A1820" s="4">
        <v>1042036.0</v>
      </c>
      <c r="B1820" s="4" t="s">
        <v>2941</v>
      </c>
    </row>
    <row r="1821" ht="15.75" customHeight="1">
      <c r="A1821" s="4">
        <v>1042037.0</v>
      </c>
      <c r="B1821" s="4" t="s">
        <v>2942</v>
      </c>
    </row>
    <row r="1822" ht="15.75" customHeight="1">
      <c r="A1822" s="4">
        <v>1042038.0</v>
      </c>
      <c r="B1822" s="4" t="s">
        <v>2943</v>
      </c>
    </row>
    <row r="1823" ht="15.75" customHeight="1">
      <c r="A1823" s="4">
        <v>1042039.0</v>
      </c>
      <c r="B1823" s="4" t="s">
        <v>2944</v>
      </c>
    </row>
    <row r="1824" ht="15.75" customHeight="1">
      <c r="A1824" s="4">
        <v>1042040.0</v>
      </c>
      <c r="B1824" s="4" t="s">
        <v>2945</v>
      </c>
    </row>
    <row r="1825" ht="15.75" customHeight="1">
      <c r="A1825" s="4">
        <v>1042041.0</v>
      </c>
      <c r="B1825" s="4" t="s">
        <v>2946</v>
      </c>
    </row>
    <row r="1826" ht="15.75" customHeight="1">
      <c r="A1826" s="4">
        <v>1042042.0</v>
      </c>
      <c r="B1826" s="4" t="s">
        <v>2947</v>
      </c>
    </row>
    <row r="1827" ht="15.75" customHeight="1">
      <c r="A1827" s="4">
        <v>1042043.0</v>
      </c>
      <c r="B1827" s="4" t="s">
        <v>2948</v>
      </c>
    </row>
    <row r="1828" ht="15.75" customHeight="1">
      <c r="A1828" s="4">
        <v>1042044.0</v>
      </c>
      <c r="B1828" s="4" t="s">
        <v>2949</v>
      </c>
    </row>
    <row r="1829" ht="15.75" customHeight="1">
      <c r="A1829" s="4">
        <v>1042045.0</v>
      </c>
      <c r="B1829" s="4" t="s">
        <v>2950</v>
      </c>
    </row>
    <row r="1830" ht="15.75" customHeight="1">
      <c r="A1830" s="4">
        <v>1042046.0</v>
      </c>
      <c r="B1830" s="4" t="s">
        <v>2951</v>
      </c>
    </row>
    <row r="1831" ht="15.75" customHeight="1">
      <c r="A1831" s="4">
        <v>1042047.0</v>
      </c>
      <c r="B1831" s="4" t="s">
        <v>2952</v>
      </c>
    </row>
    <row r="1832" ht="15.75" customHeight="1">
      <c r="A1832" s="4">
        <v>1042048.0</v>
      </c>
      <c r="B1832" s="4" t="s">
        <v>2953</v>
      </c>
    </row>
    <row r="1833" ht="15.75" customHeight="1">
      <c r="A1833" s="4">
        <v>1042049.0</v>
      </c>
      <c r="B1833" s="4" t="s">
        <v>2954</v>
      </c>
    </row>
    <row r="1834" ht="15.75" customHeight="1">
      <c r="A1834" s="4">
        <v>1042050.0</v>
      </c>
      <c r="B1834" s="4" t="s">
        <v>2955</v>
      </c>
    </row>
    <row r="1835" ht="15.75" customHeight="1">
      <c r="A1835" s="4">
        <v>1042051.0</v>
      </c>
      <c r="B1835" s="4" t="s">
        <v>2956</v>
      </c>
    </row>
    <row r="1836" ht="15.75" customHeight="1">
      <c r="A1836" s="4">
        <v>1042052.0</v>
      </c>
      <c r="B1836" s="4" t="s">
        <v>2957</v>
      </c>
    </row>
    <row r="1837" ht="15.75" customHeight="1">
      <c r="A1837" s="4">
        <v>1042053.0</v>
      </c>
      <c r="B1837" s="4" t="s">
        <v>2958</v>
      </c>
    </row>
    <row r="1838" ht="15.75" customHeight="1">
      <c r="A1838" s="4">
        <v>1042054.0</v>
      </c>
      <c r="B1838" s="4" t="s">
        <v>2959</v>
      </c>
    </row>
    <row r="1839" ht="15.75" customHeight="1">
      <c r="A1839" s="4">
        <v>1042055.0</v>
      </c>
      <c r="B1839" s="4" t="s">
        <v>2960</v>
      </c>
    </row>
    <row r="1840" ht="15.75" customHeight="1">
      <c r="A1840" s="4">
        <v>1043001.0</v>
      </c>
      <c r="B1840" s="4" t="s">
        <v>2961</v>
      </c>
    </row>
    <row r="1841" ht="15.75" customHeight="1">
      <c r="A1841" s="4">
        <v>1043002.0</v>
      </c>
      <c r="B1841" s="4" t="s">
        <v>2962</v>
      </c>
    </row>
    <row r="1842" ht="15.75" customHeight="1">
      <c r="A1842" s="4">
        <v>1043003.0</v>
      </c>
      <c r="B1842" s="4" t="s">
        <v>2963</v>
      </c>
    </row>
    <row r="1843" ht="15.75" customHeight="1">
      <c r="A1843" s="4">
        <v>1043004.0</v>
      </c>
      <c r="B1843" s="4" t="s">
        <v>2964</v>
      </c>
    </row>
    <row r="1844" ht="15.75" customHeight="1">
      <c r="A1844" s="4">
        <v>1043005.0</v>
      </c>
      <c r="B1844" s="4" t="s">
        <v>2965</v>
      </c>
    </row>
    <row r="1845" ht="15.75" customHeight="1">
      <c r="A1845" s="4">
        <v>1043006.0</v>
      </c>
      <c r="B1845" s="4" t="s">
        <v>2966</v>
      </c>
    </row>
    <row r="1846" ht="15.75" customHeight="1">
      <c r="A1846" s="4">
        <v>1043007.0</v>
      </c>
      <c r="B1846" s="4" t="s">
        <v>2967</v>
      </c>
    </row>
    <row r="1847" ht="15.75" customHeight="1">
      <c r="A1847" s="4">
        <v>1043008.0</v>
      </c>
      <c r="B1847" s="4" t="s">
        <v>2969</v>
      </c>
    </row>
    <row r="1848" ht="15.75" customHeight="1">
      <c r="A1848" s="4">
        <v>1043009.0</v>
      </c>
      <c r="B1848" s="4" t="s">
        <v>2971</v>
      </c>
    </row>
    <row r="1849" ht="15.75" customHeight="1">
      <c r="A1849" s="4">
        <v>1043010.0</v>
      </c>
      <c r="B1849" s="4" t="s">
        <v>2972</v>
      </c>
    </row>
    <row r="1850" ht="15.75" customHeight="1">
      <c r="A1850" s="4">
        <v>1043011.0</v>
      </c>
      <c r="B1850" s="4" t="s">
        <v>2973</v>
      </c>
    </row>
    <row r="1851" ht="15.75" customHeight="1">
      <c r="A1851" s="4">
        <v>1043012.0</v>
      </c>
      <c r="B1851" s="4" t="s">
        <v>2974</v>
      </c>
    </row>
    <row r="1852" ht="15.75" customHeight="1">
      <c r="A1852" s="4">
        <v>1043013.0</v>
      </c>
      <c r="B1852" s="4" t="s">
        <v>2975</v>
      </c>
    </row>
    <row r="1853" ht="15.75" customHeight="1">
      <c r="A1853" s="4">
        <v>1043014.0</v>
      </c>
      <c r="B1853" s="4" t="s">
        <v>2976</v>
      </c>
    </row>
    <row r="1854" ht="15.75" customHeight="1">
      <c r="A1854" s="4">
        <v>1043015.0</v>
      </c>
      <c r="B1854" s="4" t="s">
        <v>2977</v>
      </c>
    </row>
    <row r="1855" ht="15.75" customHeight="1">
      <c r="A1855" s="4">
        <v>1043016.0</v>
      </c>
      <c r="B1855" s="4" t="s">
        <v>2978</v>
      </c>
    </row>
    <row r="1856" ht="15.75" customHeight="1">
      <c r="A1856" s="4">
        <v>1043017.0</v>
      </c>
      <c r="B1856" s="4" t="s">
        <v>2979</v>
      </c>
    </row>
    <row r="1857" ht="15.75" customHeight="1">
      <c r="A1857" s="4">
        <v>1043018.0</v>
      </c>
      <c r="B1857" s="4" t="s">
        <v>2980</v>
      </c>
    </row>
    <row r="1858" ht="15.75" customHeight="1">
      <c r="A1858" s="4">
        <v>1043019.0</v>
      </c>
      <c r="B1858" s="4" t="s">
        <v>2981</v>
      </c>
    </row>
    <row r="1859" ht="15.75" customHeight="1">
      <c r="A1859" s="4">
        <v>1043020.0</v>
      </c>
      <c r="B1859" s="4" t="s">
        <v>2982</v>
      </c>
    </row>
    <row r="1860" ht="15.75" customHeight="1">
      <c r="A1860" s="4">
        <v>1043021.0</v>
      </c>
      <c r="B1860" s="4" t="s">
        <v>2983</v>
      </c>
    </row>
    <row r="1861" ht="15.75" customHeight="1">
      <c r="A1861" s="4">
        <v>1043022.0</v>
      </c>
      <c r="B1861" s="4" t="s">
        <v>2984</v>
      </c>
    </row>
    <row r="1862" ht="15.75" customHeight="1">
      <c r="A1862" s="4">
        <v>1043023.0</v>
      </c>
      <c r="B1862" s="4" t="s">
        <v>2985</v>
      </c>
    </row>
    <row r="1863" ht="15.75" customHeight="1">
      <c r="A1863" s="4">
        <v>1043024.0</v>
      </c>
      <c r="B1863" s="4" t="s">
        <v>2986</v>
      </c>
    </row>
    <row r="1864" ht="15.75" customHeight="1">
      <c r="A1864" s="4">
        <v>1043025.0</v>
      </c>
      <c r="B1864" s="4" t="s">
        <v>2987</v>
      </c>
    </row>
    <row r="1865" ht="15.75" customHeight="1">
      <c r="A1865" s="4">
        <v>1043026.0</v>
      </c>
      <c r="B1865" s="4" t="s">
        <v>2988</v>
      </c>
    </row>
    <row r="1866" ht="15.75" customHeight="1">
      <c r="A1866" s="4">
        <v>1043027.0</v>
      </c>
      <c r="B1866" s="4" t="s">
        <v>2989</v>
      </c>
    </row>
    <row r="1867" ht="15.75" customHeight="1">
      <c r="A1867" s="4">
        <v>1043028.0</v>
      </c>
      <c r="B1867" s="4" t="s">
        <v>2990</v>
      </c>
    </row>
    <row r="1868" ht="15.75" customHeight="1">
      <c r="A1868" s="4">
        <v>1043029.0</v>
      </c>
      <c r="B1868" s="4" t="s">
        <v>2991</v>
      </c>
    </row>
    <row r="1869" ht="15.75" customHeight="1">
      <c r="A1869" s="4">
        <v>1043030.0</v>
      </c>
      <c r="B1869" s="4" t="s">
        <v>2992</v>
      </c>
    </row>
    <row r="1870" ht="15.75" customHeight="1">
      <c r="A1870" s="4">
        <v>1043031.0</v>
      </c>
      <c r="B1870" s="4" t="s">
        <v>2993</v>
      </c>
    </row>
    <row r="1871" ht="15.75" customHeight="1">
      <c r="A1871" s="4">
        <v>1043032.0</v>
      </c>
      <c r="B1871" s="4" t="s">
        <v>2994</v>
      </c>
    </row>
    <row r="1872" ht="15.75" customHeight="1">
      <c r="A1872" s="4">
        <v>1043033.0</v>
      </c>
      <c r="B1872" s="4" t="s">
        <v>2995</v>
      </c>
    </row>
    <row r="1873" ht="15.75" customHeight="1">
      <c r="A1873" s="4">
        <v>1043034.0</v>
      </c>
      <c r="B1873" s="4" t="s">
        <v>2996</v>
      </c>
    </row>
    <row r="1874" ht="15.75" customHeight="1">
      <c r="A1874" s="4">
        <v>1043035.0</v>
      </c>
      <c r="B1874" s="4" t="s">
        <v>2997</v>
      </c>
    </row>
    <row r="1875" ht="15.75" customHeight="1">
      <c r="A1875" s="4">
        <v>1043036.0</v>
      </c>
      <c r="B1875" s="4" t="s">
        <v>2998</v>
      </c>
    </row>
    <row r="1876" ht="15.75" customHeight="1">
      <c r="A1876" s="4">
        <v>1043037.0</v>
      </c>
      <c r="B1876" s="4" t="s">
        <v>2999</v>
      </c>
    </row>
    <row r="1877" ht="15.75" customHeight="1">
      <c r="A1877" s="4">
        <v>1043038.0</v>
      </c>
      <c r="B1877" s="4" t="s">
        <v>3000</v>
      </c>
    </row>
    <row r="1878" ht="15.75" customHeight="1">
      <c r="A1878" s="4">
        <v>1043039.0</v>
      </c>
      <c r="B1878" s="4" t="s">
        <v>3001</v>
      </c>
    </row>
    <row r="1879" ht="15.75" customHeight="1">
      <c r="A1879" s="4">
        <v>1043040.0</v>
      </c>
      <c r="B1879" s="4" t="s">
        <v>3002</v>
      </c>
    </row>
    <row r="1880" ht="15.75" customHeight="1">
      <c r="A1880" s="4">
        <v>1043041.0</v>
      </c>
      <c r="B1880" s="4" t="s">
        <v>3003</v>
      </c>
    </row>
    <row r="1881" ht="15.75" customHeight="1">
      <c r="A1881" s="4">
        <v>1043042.0</v>
      </c>
      <c r="B1881" s="4" t="s">
        <v>3004</v>
      </c>
    </row>
    <row r="1882" ht="15.75" customHeight="1">
      <c r="A1882" s="4">
        <v>1043043.0</v>
      </c>
      <c r="B1882" s="4" t="s">
        <v>3005</v>
      </c>
    </row>
    <row r="1883" ht="15.75" customHeight="1">
      <c r="A1883" s="4">
        <v>1043044.0</v>
      </c>
      <c r="B1883" s="4" t="s">
        <v>3006</v>
      </c>
    </row>
    <row r="1884" ht="15.75" customHeight="1">
      <c r="A1884" s="4">
        <v>1043045.0</v>
      </c>
      <c r="B1884" s="4" t="s">
        <v>3007</v>
      </c>
    </row>
    <row r="1885" ht="15.75" customHeight="1">
      <c r="A1885" s="4">
        <v>1043046.0</v>
      </c>
      <c r="B1885" s="4" t="s">
        <v>3008</v>
      </c>
    </row>
    <row r="1886" ht="15.75" customHeight="1">
      <c r="A1886" s="4">
        <v>1043047.0</v>
      </c>
      <c r="B1886" s="4" t="s">
        <v>3009</v>
      </c>
    </row>
    <row r="1887" ht="15.75" customHeight="1">
      <c r="A1887" s="4">
        <v>1043048.0</v>
      </c>
      <c r="B1887" s="4" t="s">
        <v>3010</v>
      </c>
    </row>
    <row r="1888" ht="15.75" customHeight="1">
      <c r="A1888" s="4">
        <v>1043049.0</v>
      </c>
      <c r="B1888" s="4" t="s">
        <v>3011</v>
      </c>
    </row>
    <row r="1889" ht="15.75" customHeight="1">
      <c r="A1889" s="4">
        <v>1043050.0</v>
      </c>
      <c r="B1889" s="4" t="s">
        <v>3012</v>
      </c>
    </row>
    <row r="1890" ht="15.75" customHeight="1">
      <c r="A1890" s="4">
        <v>1043051.0</v>
      </c>
      <c r="B1890" s="4" t="s">
        <v>3013</v>
      </c>
    </row>
    <row r="1891" ht="15.75" customHeight="1">
      <c r="A1891" s="4">
        <v>1043052.0</v>
      </c>
      <c r="B1891" s="4" t="s">
        <v>3014</v>
      </c>
    </row>
    <row r="1892" ht="15.75" customHeight="1">
      <c r="A1892" s="4">
        <v>1043053.0</v>
      </c>
      <c r="B1892" s="4" t="s">
        <v>3015</v>
      </c>
    </row>
    <row r="1893" ht="15.75" customHeight="1">
      <c r="A1893" s="4">
        <v>1043054.0</v>
      </c>
      <c r="B1893" s="4" t="s">
        <v>3016</v>
      </c>
    </row>
    <row r="1894" ht="15.75" customHeight="1">
      <c r="A1894" s="4">
        <v>1043055.0</v>
      </c>
      <c r="B1894" s="4" t="s">
        <v>3017</v>
      </c>
    </row>
    <row r="1895" ht="15.75" customHeight="1">
      <c r="A1895" s="4">
        <v>1044001.0</v>
      </c>
      <c r="B1895" s="4" t="s">
        <v>3018</v>
      </c>
    </row>
    <row r="1896" ht="15.75" customHeight="1">
      <c r="A1896" s="4">
        <v>1044002.0</v>
      </c>
      <c r="B1896" s="4" t="s">
        <v>3019</v>
      </c>
    </row>
    <row r="1897" ht="15.75" customHeight="1">
      <c r="A1897" s="4">
        <v>1044003.0</v>
      </c>
      <c r="B1897" s="4" t="s">
        <v>3020</v>
      </c>
    </row>
    <row r="1898" ht="15.75" customHeight="1">
      <c r="A1898" s="4">
        <v>1044004.0</v>
      </c>
      <c r="B1898" s="4" t="s">
        <v>3021</v>
      </c>
    </row>
    <row r="1899" ht="15.75" customHeight="1">
      <c r="A1899" s="4">
        <v>1044005.0</v>
      </c>
      <c r="B1899" s="4" t="s">
        <v>3022</v>
      </c>
    </row>
    <row r="1900" ht="15.75" customHeight="1">
      <c r="A1900" s="4">
        <v>1044006.0</v>
      </c>
      <c r="B1900" s="4" t="s">
        <v>3023</v>
      </c>
    </row>
    <row r="1901" ht="15.75" customHeight="1">
      <c r="A1901" s="4">
        <v>1044007.0</v>
      </c>
      <c r="B1901" s="4" t="s">
        <v>3024</v>
      </c>
    </row>
    <row r="1902" ht="15.75" customHeight="1">
      <c r="A1902" s="4">
        <v>1044008.0</v>
      </c>
      <c r="B1902" s="4" t="s">
        <v>3025</v>
      </c>
    </row>
    <row r="1903" ht="15.75" customHeight="1">
      <c r="A1903" s="4">
        <v>1044009.0</v>
      </c>
      <c r="B1903" s="4" t="s">
        <v>3026</v>
      </c>
    </row>
    <row r="1904" ht="15.75" customHeight="1">
      <c r="A1904" s="4">
        <v>1044010.0</v>
      </c>
      <c r="B1904" s="4" t="s">
        <v>3027</v>
      </c>
    </row>
    <row r="1905" ht="15.75" customHeight="1">
      <c r="A1905" s="4">
        <v>1044011.0</v>
      </c>
      <c r="B1905" s="4" t="s">
        <v>3028</v>
      </c>
    </row>
    <row r="1906" ht="15.75" customHeight="1">
      <c r="A1906" s="4">
        <v>1044012.0</v>
      </c>
      <c r="B1906" s="4" t="s">
        <v>3029</v>
      </c>
    </row>
    <row r="1907" ht="15.75" customHeight="1">
      <c r="A1907" s="4">
        <v>1044013.0</v>
      </c>
      <c r="B1907" s="4" t="s">
        <v>3030</v>
      </c>
    </row>
    <row r="1908" ht="15.75" customHeight="1">
      <c r="A1908" s="4">
        <v>1044014.0</v>
      </c>
      <c r="B1908" s="4" t="s">
        <v>3031</v>
      </c>
    </row>
    <row r="1909" ht="15.75" customHeight="1">
      <c r="A1909" s="4">
        <v>1044015.0</v>
      </c>
      <c r="B1909" s="4" t="s">
        <v>3032</v>
      </c>
    </row>
    <row r="1910" ht="15.75" customHeight="1">
      <c r="A1910" s="4">
        <v>1044016.0</v>
      </c>
      <c r="B1910" s="4" t="s">
        <v>3033</v>
      </c>
    </row>
    <row r="1911" ht="15.75" customHeight="1">
      <c r="A1911" s="4">
        <v>1045001.0</v>
      </c>
      <c r="B1911" s="4" t="s">
        <v>3034</v>
      </c>
    </row>
    <row r="1912" ht="15.75" customHeight="1">
      <c r="A1912" s="4">
        <v>1045002.0</v>
      </c>
      <c r="B1912" s="4" t="s">
        <v>3035</v>
      </c>
    </row>
    <row r="1913" ht="15.75" customHeight="1">
      <c r="A1913" s="4">
        <v>1045003.0</v>
      </c>
      <c r="B1913" s="4" t="s">
        <v>3036</v>
      </c>
    </row>
    <row r="1914" ht="15.75" customHeight="1">
      <c r="A1914" s="4">
        <v>1045004.0</v>
      </c>
      <c r="B1914" s="4" t="s">
        <v>3037</v>
      </c>
    </row>
    <row r="1915" ht="15.75" customHeight="1">
      <c r="A1915" s="4">
        <v>1045005.0</v>
      </c>
      <c r="B1915" s="4" t="s">
        <v>3038</v>
      </c>
    </row>
    <row r="1916" ht="15.75" customHeight="1">
      <c r="A1916" s="4">
        <v>1045006.0</v>
      </c>
      <c r="B1916" s="4" t="s">
        <v>3039</v>
      </c>
    </row>
    <row r="1917" ht="15.75" customHeight="1">
      <c r="A1917" s="4">
        <v>1045007.0</v>
      </c>
      <c r="B1917" s="4" t="s">
        <v>3040</v>
      </c>
    </row>
    <row r="1918" ht="15.75" customHeight="1">
      <c r="A1918" s="4">
        <v>1045008.0</v>
      </c>
      <c r="B1918" s="4" t="s">
        <v>3041</v>
      </c>
    </row>
    <row r="1919" ht="15.75" customHeight="1">
      <c r="A1919" s="4">
        <v>1045009.0</v>
      </c>
      <c r="B1919" s="4" t="s">
        <v>3042</v>
      </c>
    </row>
    <row r="1920" ht="15.75" customHeight="1">
      <c r="A1920" s="4">
        <v>1045010.0</v>
      </c>
      <c r="B1920" s="4" t="s">
        <v>3043</v>
      </c>
    </row>
    <row r="1921" ht="15.75" customHeight="1">
      <c r="A1921" s="4">
        <v>1045011.0</v>
      </c>
      <c r="B1921" s="4" t="s">
        <v>3044</v>
      </c>
    </row>
    <row r="1922" ht="15.75" customHeight="1">
      <c r="A1922" s="4">
        <v>1045012.0</v>
      </c>
      <c r="B1922" s="4" t="s">
        <v>3045</v>
      </c>
    </row>
    <row r="1923" ht="15.75" customHeight="1">
      <c r="A1923" s="4">
        <v>1045013.0</v>
      </c>
      <c r="B1923" s="4" t="s">
        <v>3046</v>
      </c>
    </row>
    <row r="1924" ht="15.75" customHeight="1">
      <c r="A1924" s="4">
        <v>1045014.0</v>
      </c>
      <c r="B1924" s="4" t="s">
        <v>3047</v>
      </c>
    </row>
    <row r="1925" ht="15.75" customHeight="1">
      <c r="A1925" s="4">
        <v>1045015.0</v>
      </c>
      <c r="B1925" s="4" t="s">
        <v>3048</v>
      </c>
    </row>
    <row r="1926" ht="15.75" customHeight="1">
      <c r="A1926" s="4">
        <v>1045016.0</v>
      </c>
      <c r="B1926" s="4" t="s">
        <v>3049</v>
      </c>
    </row>
    <row r="1927" ht="15.75" customHeight="1">
      <c r="A1927" s="4">
        <v>1045017.0</v>
      </c>
      <c r="B1927" s="4" t="s">
        <v>3050</v>
      </c>
    </row>
    <row r="1928" ht="15.75" customHeight="1">
      <c r="A1928" s="4">
        <v>1045018.0</v>
      </c>
      <c r="B1928" s="4" t="s">
        <v>3051</v>
      </c>
    </row>
    <row r="1929" ht="15.75" customHeight="1">
      <c r="A1929" s="4">
        <v>1045019.0</v>
      </c>
      <c r="B1929" s="4" t="s">
        <v>3052</v>
      </c>
    </row>
    <row r="1930" ht="15.75" customHeight="1">
      <c r="A1930" s="4">
        <v>1045020.0</v>
      </c>
      <c r="B1930" s="4" t="s">
        <v>3055</v>
      </c>
    </row>
    <row r="1931" ht="15.75" customHeight="1">
      <c r="A1931" s="4">
        <v>1045021.0</v>
      </c>
      <c r="B1931" s="4" t="s">
        <v>3056</v>
      </c>
    </row>
    <row r="1932" ht="15.75" customHeight="1">
      <c r="A1932" s="4">
        <v>1045022.0</v>
      </c>
      <c r="B1932" s="4" t="s">
        <v>3057</v>
      </c>
    </row>
    <row r="1933" ht="15.75" customHeight="1">
      <c r="A1933" s="4">
        <v>1045023.0</v>
      </c>
      <c r="B1933" s="4" t="s">
        <v>3058</v>
      </c>
    </row>
    <row r="1934" ht="15.75" customHeight="1">
      <c r="A1934" s="4">
        <v>1046001.0</v>
      </c>
      <c r="B1934" s="4" t="s">
        <v>3059</v>
      </c>
    </row>
    <row r="1935" ht="15.75" customHeight="1">
      <c r="A1935" s="4">
        <v>1046002.0</v>
      </c>
      <c r="B1935" s="4" t="s">
        <v>3060</v>
      </c>
    </row>
    <row r="1936" ht="15.75" customHeight="1">
      <c r="A1936" s="4">
        <v>1046003.0</v>
      </c>
      <c r="B1936" s="4" t="s">
        <v>3061</v>
      </c>
    </row>
    <row r="1937" ht="15.75" customHeight="1">
      <c r="A1937" s="4">
        <v>1046004.0</v>
      </c>
      <c r="B1937" s="4" t="s">
        <v>3062</v>
      </c>
    </row>
    <row r="1938" ht="15.75" customHeight="1">
      <c r="A1938" s="4">
        <v>1046005.0</v>
      </c>
      <c r="B1938" s="4" t="s">
        <v>3063</v>
      </c>
    </row>
    <row r="1939" ht="15.75" customHeight="1">
      <c r="A1939" s="4">
        <v>1046006.0</v>
      </c>
      <c r="B1939" s="4" t="s">
        <v>3064</v>
      </c>
    </row>
    <row r="1940" ht="15.75" customHeight="1">
      <c r="A1940" s="4">
        <v>1046007.0</v>
      </c>
      <c r="B1940" s="4" t="s">
        <v>3065</v>
      </c>
    </row>
    <row r="1941" ht="15.75" customHeight="1">
      <c r="A1941" s="4">
        <v>1046008.0</v>
      </c>
      <c r="B1941" s="4" t="s">
        <v>3066</v>
      </c>
    </row>
    <row r="1942" ht="15.75" customHeight="1">
      <c r="A1942" s="4">
        <v>1046009.0</v>
      </c>
      <c r="B1942" s="4" t="s">
        <v>3067</v>
      </c>
    </row>
    <row r="1943" ht="15.75" customHeight="1">
      <c r="A1943" s="4">
        <v>1046010.0</v>
      </c>
      <c r="B1943" s="4" t="s">
        <v>3068</v>
      </c>
    </row>
    <row r="1944" ht="15.75" customHeight="1">
      <c r="A1944" s="4">
        <v>1046011.0</v>
      </c>
      <c r="B1944" s="4" t="s">
        <v>3069</v>
      </c>
    </row>
    <row r="1945" ht="15.75" customHeight="1">
      <c r="A1945" s="4">
        <v>1046012.0</v>
      </c>
      <c r="B1945" s="4" t="s">
        <v>3070</v>
      </c>
    </row>
    <row r="1946" ht="15.75" customHeight="1">
      <c r="A1946" s="4">
        <v>1046013.0</v>
      </c>
      <c r="B1946" s="4" t="s">
        <v>3071</v>
      </c>
    </row>
    <row r="1947" ht="15.75" customHeight="1">
      <c r="A1947" s="4">
        <v>1046014.0</v>
      </c>
      <c r="B1947" s="4" t="s">
        <v>3072</v>
      </c>
    </row>
    <row r="1948" ht="15.75" customHeight="1">
      <c r="A1948" s="4">
        <v>1047001.0</v>
      </c>
      <c r="B1948" s="4" t="s">
        <v>3073</v>
      </c>
    </row>
    <row r="1949" ht="15.75" customHeight="1">
      <c r="A1949" s="4">
        <v>1047002.0</v>
      </c>
      <c r="B1949" s="4" t="s">
        <v>3074</v>
      </c>
    </row>
    <row r="1950" ht="15.75" customHeight="1">
      <c r="A1950" s="4">
        <v>1047003.0</v>
      </c>
      <c r="B1950" s="4" t="s">
        <v>3075</v>
      </c>
    </row>
    <row r="1951" ht="15.75" customHeight="1">
      <c r="A1951" s="4">
        <v>1047004.0</v>
      </c>
      <c r="B1951" s="4" t="s">
        <v>3076</v>
      </c>
    </row>
    <row r="1952" ht="15.75" customHeight="1">
      <c r="A1952" s="4">
        <v>1047005.0</v>
      </c>
      <c r="B1952" s="4" t="s">
        <v>3077</v>
      </c>
    </row>
    <row r="1953" ht="15.75" customHeight="1">
      <c r="A1953" s="4">
        <v>1047006.0</v>
      </c>
      <c r="B1953" s="4" t="s">
        <v>3078</v>
      </c>
    </row>
    <row r="1954" ht="15.75" customHeight="1">
      <c r="A1954" s="4">
        <v>1047007.0</v>
      </c>
      <c r="B1954" s="4" t="s">
        <v>3079</v>
      </c>
    </row>
    <row r="1955" ht="15.75" customHeight="1">
      <c r="A1955" s="4">
        <v>1047008.0</v>
      </c>
      <c r="B1955" s="4" t="s">
        <v>3080</v>
      </c>
    </row>
    <row r="1956" ht="15.75" customHeight="1">
      <c r="A1956" s="4">
        <v>1047009.0</v>
      </c>
      <c r="B1956" s="4" t="s">
        <v>3082</v>
      </c>
    </row>
    <row r="1957" ht="15.75" customHeight="1">
      <c r="A1957" s="4">
        <v>1047010.0</v>
      </c>
      <c r="B1957" s="4" t="s">
        <v>3083</v>
      </c>
    </row>
    <row r="1958" ht="15.75" customHeight="1">
      <c r="A1958" s="4">
        <v>1047011.0</v>
      </c>
      <c r="B1958" s="4" t="s">
        <v>3084</v>
      </c>
    </row>
    <row r="1959" ht="15.75" customHeight="1">
      <c r="A1959" s="4">
        <v>1047012.0</v>
      </c>
      <c r="B1959" s="4" t="s">
        <v>3085</v>
      </c>
    </row>
    <row r="1960" ht="15.75" customHeight="1">
      <c r="A1960" s="4">
        <v>1047013.0</v>
      </c>
      <c r="B1960" s="4" t="s">
        <v>3086</v>
      </c>
    </row>
    <row r="1961" ht="15.75" customHeight="1">
      <c r="A1961" s="4">
        <v>1047014.0</v>
      </c>
      <c r="B1961" s="4" t="s">
        <v>3087</v>
      </c>
    </row>
    <row r="1962" ht="15.75" customHeight="1">
      <c r="A1962" s="4">
        <v>1047015.0</v>
      </c>
      <c r="B1962" s="4" t="s">
        <v>3088</v>
      </c>
    </row>
    <row r="1963" ht="15.75" customHeight="1">
      <c r="A1963" s="4">
        <v>1047016.0</v>
      </c>
      <c r="B1963" s="4" t="s">
        <v>3090</v>
      </c>
    </row>
    <row r="1964" ht="15.75" customHeight="1">
      <c r="A1964" s="4">
        <v>1047017.0</v>
      </c>
      <c r="B1964" s="4" t="s">
        <v>3091</v>
      </c>
    </row>
    <row r="1965" ht="15.75" customHeight="1">
      <c r="A1965" s="4">
        <v>1047018.0</v>
      </c>
      <c r="B1965" s="4" t="s">
        <v>3092</v>
      </c>
    </row>
    <row r="1966" ht="15.75" customHeight="1">
      <c r="A1966" s="4">
        <v>1047019.0</v>
      </c>
      <c r="B1966" s="4" t="s">
        <v>3093</v>
      </c>
    </row>
    <row r="1967" ht="15.75" customHeight="1">
      <c r="A1967" s="4">
        <v>1047020.0</v>
      </c>
      <c r="B1967" s="4" t="s">
        <v>3094</v>
      </c>
    </row>
    <row r="1968" ht="15.75" customHeight="1">
      <c r="A1968" s="4">
        <v>1048001.0</v>
      </c>
      <c r="B1968" s="4" t="s">
        <v>3095</v>
      </c>
    </row>
    <row r="1969" ht="15.75" customHeight="1">
      <c r="A1969" s="4">
        <v>1048002.0</v>
      </c>
      <c r="B1969" s="4" t="s">
        <v>3096</v>
      </c>
    </row>
    <row r="1970" ht="15.75" customHeight="1">
      <c r="A1970" s="4">
        <v>1048003.0</v>
      </c>
      <c r="B1970" s="4" t="s">
        <v>3097</v>
      </c>
    </row>
    <row r="1971" ht="15.75" customHeight="1">
      <c r="A1971" s="4">
        <v>1048004.0</v>
      </c>
      <c r="B1971" s="4" t="s">
        <v>3098</v>
      </c>
    </row>
    <row r="1972" ht="15.75" customHeight="1">
      <c r="A1972" s="4">
        <v>1048005.0</v>
      </c>
      <c r="B1972" s="4" t="s">
        <v>3099</v>
      </c>
    </row>
    <row r="1973" ht="15.75" customHeight="1">
      <c r="A1973" s="4">
        <v>1048006.0</v>
      </c>
      <c r="B1973" s="4" t="s">
        <v>3100</v>
      </c>
    </row>
    <row r="1974" ht="15.75" customHeight="1">
      <c r="A1974" s="4">
        <v>1048007.0</v>
      </c>
      <c r="B1974" s="4" t="s">
        <v>3101</v>
      </c>
    </row>
    <row r="1975" ht="15.75" customHeight="1">
      <c r="A1975" s="4">
        <v>1048008.0</v>
      </c>
      <c r="B1975" s="4" t="s">
        <v>3102</v>
      </c>
    </row>
    <row r="1976" ht="15.75" customHeight="1">
      <c r="A1976" s="4">
        <v>1048009.0</v>
      </c>
      <c r="B1976" s="4" t="s">
        <v>3103</v>
      </c>
    </row>
    <row r="1977" ht="15.75" customHeight="1">
      <c r="A1977" s="4">
        <v>1048010.0</v>
      </c>
      <c r="B1977" s="4" t="s">
        <v>3104</v>
      </c>
    </row>
    <row r="1978" ht="15.75" customHeight="1">
      <c r="A1978" s="4">
        <v>1048011.0</v>
      </c>
      <c r="B1978" s="4" t="s">
        <v>3105</v>
      </c>
    </row>
    <row r="1979" ht="15.75" customHeight="1">
      <c r="A1979" s="4">
        <v>1048012.0</v>
      </c>
      <c r="B1979" s="4" t="s">
        <v>3106</v>
      </c>
    </row>
    <row r="1980" ht="15.75" customHeight="1">
      <c r="A1980" s="4">
        <v>1049001.0</v>
      </c>
      <c r="B1980" s="4" t="s">
        <v>3107</v>
      </c>
    </row>
    <row r="1981" ht="15.75" customHeight="1">
      <c r="A1981" s="4">
        <v>1049002.0</v>
      </c>
      <c r="B1981" s="4" t="s">
        <v>3108</v>
      </c>
    </row>
    <row r="1982" ht="15.75" customHeight="1">
      <c r="A1982" s="4">
        <v>1049003.0</v>
      </c>
      <c r="B1982" s="4" t="s">
        <v>3109</v>
      </c>
    </row>
    <row r="1983" ht="15.75" customHeight="1">
      <c r="A1983" s="4">
        <v>1049004.0</v>
      </c>
      <c r="B1983" s="4" t="s">
        <v>3110</v>
      </c>
    </row>
    <row r="1984" ht="15.75" customHeight="1">
      <c r="A1984" s="4">
        <v>1049005.0</v>
      </c>
      <c r="B1984" s="4" t="s">
        <v>3111</v>
      </c>
    </row>
    <row r="1985" ht="15.75" customHeight="1">
      <c r="A1985" s="4">
        <v>1049006.0</v>
      </c>
      <c r="B1985" s="4" t="s">
        <v>3112</v>
      </c>
    </row>
    <row r="1986" ht="15.75" customHeight="1">
      <c r="A1986" s="4">
        <v>1049007.0</v>
      </c>
      <c r="B1986" s="4" t="s">
        <v>3113</v>
      </c>
    </row>
    <row r="1987" ht="15.75" customHeight="1">
      <c r="A1987" s="4">
        <v>1049008.0</v>
      </c>
      <c r="B1987" s="4" t="s">
        <v>3114</v>
      </c>
    </row>
    <row r="1988" ht="15.75" customHeight="1">
      <c r="A1988" s="4">
        <v>1049009.0</v>
      </c>
      <c r="B1988" s="4" t="s">
        <v>3115</v>
      </c>
    </row>
    <row r="1989" ht="15.75" customHeight="1">
      <c r="A1989" s="4">
        <v>1049010.0</v>
      </c>
      <c r="B1989" s="4" t="s">
        <v>3116</v>
      </c>
    </row>
    <row r="1990" ht="15.75" customHeight="1">
      <c r="A1990" s="4">
        <v>1049011.0</v>
      </c>
      <c r="B1990" s="4" t="s">
        <v>3117</v>
      </c>
    </row>
    <row r="1991" ht="15.75" customHeight="1">
      <c r="A1991" s="4">
        <v>1049012.0</v>
      </c>
      <c r="B1991" s="4" t="s">
        <v>3118</v>
      </c>
    </row>
    <row r="1992" ht="15.75" customHeight="1">
      <c r="A1992" s="4">
        <v>1049013.0</v>
      </c>
      <c r="B1992" s="4" t="s">
        <v>3119</v>
      </c>
    </row>
    <row r="1993" ht="15.75" customHeight="1">
      <c r="A1993" s="4">
        <v>1049014.0</v>
      </c>
      <c r="B1993" s="4" t="s">
        <v>3120</v>
      </c>
    </row>
    <row r="1994" ht="15.75" customHeight="1">
      <c r="A1994" s="4">
        <v>1049015.0</v>
      </c>
      <c r="B1994" s="4" t="s">
        <v>3121</v>
      </c>
    </row>
    <row r="1995" ht="15.75" customHeight="1">
      <c r="A1995" s="4">
        <v>1049016.0</v>
      </c>
      <c r="B1995" s="4" t="s">
        <v>3122</v>
      </c>
    </row>
    <row r="1996" ht="15.75" customHeight="1">
      <c r="A1996" s="4">
        <v>1049017.0</v>
      </c>
      <c r="B1996" s="4" t="s">
        <v>3123</v>
      </c>
    </row>
    <row r="1997" ht="15.75" customHeight="1">
      <c r="A1997" s="4">
        <v>1049018.0</v>
      </c>
      <c r="B1997" s="4" t="s">
        <v>3124</v>
      </c>
    </row>
    <row r="1998" ht="15.75" customHeight="1">
      <c r="A1998" s="4">
        <v>1049019.0</v>
      </c>
      <c r="B1998" s="4" t="s">
        <v>3125</v>
      </c>
    </row>
    <row r="1999" ht="15.75" customHeight="1">
      <c r="A1999" s="4">
        <v>1049020.0</v>
      </c>
      <c r="B1999" s="4" t="s">
        <v>3126</v>
      </c>
    </row>
    <row r="2000" ht="15.75" customHeight="1">
      <c r="A2000" s="4">
        <v>1049021.0</v>
      </c>
      <c r="B2000" s="4" t="s">
        <v>3127</v>
      </c>
    </row>
    <row r="2001" ht="15.75" customHeight="1">
      <c r="A2001" s="4">
        <v>1049022.0</v>
      </c>
      <c r="B2001" s="4" t="s">
        <v>3128</v>
      </c>
    </row>
    <row r="2002" ht="15.75" customHeight="1">
      <c r="A2002" s="4">
        <v>1049023.0</v>
      </c>
      <c r="B2002" s="4" t="s">
        <v>3129</v>
      </c>
    </row>
    <row r="2003" ht="15.75" customHeight="1">
      <c r="A2003" s="4">
        <v>1049024.0</v>
      </c>
      <c r="B2003" s="4" t="s">
        <v>3130</v>
      </c>
    </row>
    <row r="2004" ht="15.75" customHeight="1">
      <c r="A2004" s="4">
        <v>1049025.0</v>
      </c>
      <c r="B2004" s="4" t="s">
        <v>3131</v>
      </c>
    </row>
    <row r="2005" ht="15.75" customHeight="1">
      <c r="A2005" s="4">
        <v>1049026.0</v>
      </c>
      <c r="B2005" s="4" t="s">
        <v>3132</v>
      </c>
    </row>
    <row r="2006" ht="15.75" customHeight="1">
      <c r="A2006" s="4">
        <v>1049027.0</v>
      </c>
      <c r="B2006" s="4" t="s">
        <v>3133</v>
      </c>
    </row>
    <row r="2007" ht="15.75" customHeight="1">
      <c r="A2007" s="4">
        <v>1049028.0</v>
      </c>
      <c r="B2007" s="4" t="s">
        <v>3134</v>
      </c>
    </row>
    <row r="2008" ht="15.75" customHeight="1">
      <c r="A2008" s="4">
        <v>1050001.0</v>
      </c>
      <c r="B2008" s="4" t="s">
        <v>3135</v>
      </c>
    </row>
    <row r="2009" ht="15.75" customHeight="1">
      <c r="A2009" s="4">
        <v>1050002.0</v>
      </c>
      <c r="B2009" s="4" t="s">
        <v>3136</v>
      </c>
    </row>
    <row r="2010" ht="15.75" customHeight="1">
      <c r="A2010" s="4">
        <v>1050003.0</v>
      </c>
      <c r="B2010" s="4" t="s">
        <v>3137</v>
      </c>
    </row>
    <row r="2011" ht="15.75" customHeight="1">
      <c r="A2011" s="4">
        <v>1050004.0</v>
      </c>
      <c r="B2011" s="4" t="s">
        <v>3138</v>
      </c>
    </row>
    <row r="2012" ht="15.75" customHeight="1">
      <c r="A2012" s="4">
        <v>1050005.0</v>
      </c>
      <c r="B2012" s="4" t="s">
        <v>3139</v>
      </c>
    </row>
    <row r="2013" ht="15.75" customHeight="1">
      <c r="A2013" s="4">
        <v>1050006.0</v>
      </c>
      <c r="B2013" s="4" t="s">
        <v>3140</v>
      </c>
    </row>
    <row r="2014" ht="15.75" customHeight="1">
      <c r="A2014" s="4">
        <v>1050007.0</v>
      </c>
      <c r="B2014" s="4" t="s">
        <v>3141</v>
      </c>
    </row>
    <row r="2015" ht="15.75" customHeight="1">
      <c r="A2015" s="4">
        <v>1050008.0</v>
      </c>
      <c r="B2015" s="4" t="s">
        <v>3142</v>
      </c>
    </row>
    <row r="2016" ht="15.75" customHeight="1">
      <c r="A2016" s="4">
        <v>1050009.0</v>
      </c>
      <c r="B2016" s="4" t="s">
        <v>3143</v>
      </c>
    </row>
    <row r="2017" ht="15.75" customHeight="1">
      <c r="A2017" s="4">
        <v>1050010.0</v>
      </c>
      <c r="B2017" s="4" t="s">
        <v>3144</v>
      </c>
    </row>
    <row r="2018" ht="15.75" customHeight="1">
      <c r="A2018" s="4">
        <v>1050011.0</v>
      </c>
      <c r="B2018" s="4" t="s">
        <v>3145</v>
      </c>
    </row>
    <row r="2019" ht="15.75" customHeight="1">
      <c r="A2019" s="4">
        <v>1050012.0</v>
      </c>
      <c r="B2019" s="4" t="s">
        <v>3146</v>
      </c>
    </row>
    <row r="2020" ht="15.75" customHeight="1">
      <c r="A2020" s="4">
        <v>1050013.0</v>
      </c>
      <c r="B2020" s="4" t="s">
        <v>3147</v>
      </c>
    </row>
    <row r="2021" ht="15.75" customHeight="1">
      <c r="A2021" s="4">
        <v>1050014.0</v>
      </c>
      <c r="B2021" s="4" t="s">
        <v>3148</v>
      </c>
    </row>
    <row r="2022" ht="15.75" customHeight="1">
      <c r="A2022" s="4">
        <v>1050015.0</v>
      </c>
      <c r="B2022" s="4" t="s">
        <v>3149</v>
      </c>
    </row>
    <row r="2023" ht="15.75" customHeight="1">
      <c r="A2023" s="4">
        <v>1050016.0</v>
      </c>
      <c r="B2023" s="4" t="s">
        <v>3150</v>
      </c>
    </row>
    <row r="2024" ht="15.75" customHeight="1">
      <c r="A2024" s="4">
        <v>1050017.0</v>
      </c>
      <c r="B2024" s="4" t="s">
        <v>3151</v>
      </c>
    </row>
    <row r="2025" ht="15.75" customHeight="1">
      <c r="A2025" s="4">
        <v>1050018.0</v>
      </c>
      <c r="B2025" s="4" t="s">
        <v>3152</v>
      </c>
    </row>
    <row r="2026" ht="15.75" customHeight="1">
      <c r="A2026" s="4">
        <v>1050019.0</v>
      </c>
      <c r="B2026" s="4" t="s">
        <v>3153</v>
      </c>
    </row>
    <row r="2027" ht="15.75" customHeight="1">
      <c r="A2027" s="4">
        <v>1050020.0</v>
      </c>
      <c r="B2027" s="4" t="s">
        <v>3154</v>
      </c>
    </row>
    <row r="2028" ht="15.75" customHeight="1">
      <c r="A2028" s="4">
        <v>1050021.0</v>
      </c>
      <c r="B2028" s="4" t="s">
        <v>3155</v>
      </c>
    </row>
    <row r="2029" ht="15.75" customHeight="1">
      <c r="A2029" s="4">
        <v>1050022.0</v>
      </c>
      <c r="B2029" s="4" t="s">
        <v>3156</v>
      </c>
    </row>
    <row r="2030" ht="15.75" customHeight="1">
      <c r="A2030" s="4">
        <v>1050023.0</v>
      </c>
      <c r="B2030" s="4" t="s">
        <v>3157</v>
      </c>
    </row>
    <row r="2031" ht="15.75" customHeight="1">
      <c r="A2031" s="4">
        <v>1050024.0</v>
      </c>
      <c r="B2031" s="4" t="s">
        <v>3158</v>
      </c>
    </row>
    <row r="2032" ht="15.75" customHeight="1">
      <c r="A2032" s="4">
        <v>1050025.0</v>
      </c>
      <c r="B2032" s="4" t="s">
        <v>3159</v>
      </c>
    </row>
    <row r="2033" ht="15.75" customHeight="1">
      <c r="A2033" s="4">
        <v>1050026.0</v>
      </c>
      <c r="B2033" s="4" t="s">
        <v>3160</v>
      </c>
    </row>
    <row r="2034" ht="15.75" customHeight="1">
      <c r="A2034" s="4">
        <v>1050027.0</v>
      </c>
      <c r="B2034" s="4" t="s">
        <v>3161</v>
      </c>
    </row>
    <row r="2035" ht="15.75" customHeight="1">
      <c r="A2035" s="4">
        <v>1050028.0</v>
      </c>
      <c r="B2035" s="4" t="s">
        <v>3162</v>
      </c>
    </row>
    <row r="2036" ht="15.75" customHeight="1">
      <c r="A2036" s="4">
        <v>1050029.0</v>
      </c>
      <c r="B2036" s="4" t="s">
        <v>3163</v>
      </c>
    </row>
    <row r="2037" ht="15.75" customHeight="1">
      <c r="A2037" s="4">
        <v>1050030.0</v>
      </c>
      <c r="B2037" s="4" t="s">
        <v>3164</v>
      </c>
    </row>
    <row r="2038" ht="15.75" customHeight="1">
      <c r="A2038" s="4">
        <v>1051001.0</v>
      </c>
      <c r="B2038" s="4" t="s">
        <v>3165</v>
      </c>
    </row>
    <row r="2039" ht="15.75" customHeight="1">
      <c r="A2039" s="4">
        <v>1051002.0</v>
      </c>
      <c r="B2039" s="4" t="s">
        <v>3166</v>
      </c>
    </row>
    <row r="2040" ht="15.75" customHeight="1">
      <c r="A2040" s="4">
        <v>1051003.0</v>
      </c>
      <c r="B2040" s="4" t="s">
        <v>3167</v>
      </c>
    </row>
    <row r="2041" ht="15.75" customHeight="1">
      <c r="A2041" s="4">
        <v>1051004.0</v>
      </c>
      <c r="B2041" s="4" t="s">
        <v>3168</v>
      </c>
    </row>
    <row r="2042" ht="15.75" customHeight="1">
      <c r="A2042" s="4">
        <v>1051005.0</v>
      </c>
      <c r="B2042" s="4" t="s">
        <v>3169</v>
      </c>
    </row>
    <row r="2043" ht="15.75" customHeight="1">
      <c r="A2043" s="4">
        <v>1051006.0</v>
      </c>
      <c r="B2043" s="4" t="s">
        <v>3170</v>
      </c>
    </row>
    <row r="2044" ht="15.75" customHeight="1">
      <c r="A2044" s="4">
        <v>1051007.0</v>
      </c>
      <c r="B2044" s="4" t="s">
        <v>3171</v>
      </c>
    </row>
    <row r="2045" ht="15.75" customHeight="1">
      <c r="A2045" s="4">
        <v>1051008.0</v>
      </c>
      <c r="B2045" s="4" t="s">
        <v>3172</v>
      </c>
    </row>
    <row r="2046" ht="15.75" customHeight="1">
      <c r="A2046" s="4">
        <v>1051009.0</v>
      </c>
      <c r="B2046" s="4" t="s">
        <v>3173</v>
      </c>
    </row>
    <row r="2047" ht="15.75" customHeight="1">
      <c r="A2047" s="4">
        <v>1051010.0</v>
      </c>
      <c r="B2047" s="4" t="s">
        <v>3174</v>
      </c>
    </row>
    <row r="2048" ht="15.75" customHeight="1">
      <c r="A2048" s="4">
        <v>1051011.0</v>
      </c>
      <c r="B2048" s="4" t="s">
        <v>3175</v>
      </c>
    </row>
    <row r="2049" ht="15.75" customHeight="1">
      <c r="A2049" s="4">
        <v>1051012.0</v>
      </c>
      <c r="B2049" s="4" t="s">
        <v>3176</v>
      </c>
    </row>
    <row r="2050" ht="15.75" customHeight="1">
      <c r="A2050" s="4">
        <v>1051013.0</v>
      </c>
      <c r="B2050" s="4" t="s">
        <v>3177</v>
      </c>
    </row>
    <row r="2051" ht="15.75" customHeight="1">
      <c r="A2051" s="4">
        <v>1051014.0</v>
      </c>
      <c r="B2051" s="4" t="s">
        <v>3178</v>
      </c>
    </row>
    <row r="2052" ht="15.75" customHeight="1">
      <c r="A2052" s="4">
        <v>1051015.0</v>
      </c>
      <c r="B2052" s="4" t="s">
        <v>3179</v>
      </c>
    </row>
    <row r="2053" ht="15.75" customHeight="1">
      <c r="A2053" s="4">
        <v>1051016.0</v>
      </c>
      <c r="B2053" s="4" t="s">
        <v>3180</v>
      </c>
    </row>
    <row r="2054" ht="15.75" customHeight="1">
      <c r="A2054" s="4">
        <v>1051017.0</v>
      </c>
      <c r="B2054" s="4" t="s">
        <v>3181</v>
      </c>
    </row>
    <row r="2055" ht="15.75" customHeight="1">
      <c r="A2055" s="4">
        <v>1051018.0</v>
      </c>
      <c r="B2055" s="4" t="s">
        <v>3182</v>
      </c>
    </row>
    <row r="2056" ht="15.75" customHeight="1">
      <c r="A2056" s="4">
        <v>1051019.0</v>
      </c>
      <c r="B2056" s="4" t="s">
        <v>3183</v>
      </c>
    </row>
    <row r="2057" ht="15.75" customHeight="1">
      <c r="A2057" s="4">
        <v>1051020.0</v>
      </c>
      <c r="B2057" s="4" t="s">
        <v>3184</v>
      </c>
    </row>
    <row r="2058" ht="15.75" customHeight="1">
      <c r="A2058" s="4">
        <v>1051021.0</v>
      </c>
      <c r="B2058" s="4" t="s">
        <v>3185</v>
      </c>
    </row>
    <row r="2059" ht="15.75" customHeight="1">
      <c r="A2059" s="4">
        <v>1051022.0</v>
      </c>
      <c r="B2059" s="4" t="s">
        <v>3186</v>
      </c>
    </row>
    <row r="2060" ht="15.75" customHeight="1">
      <c r="A2060" s="4">
        <v>1051023.0</v>
      </c>
      <c r="B2060" s="4" t="s">
        <v>3187</v>
      </c>
    </row>
    <row r="2061" ht="15.75" customHeight="1">
      <c r="A2061" s="4">
        <v>1051024.0</v>
      </c>
      <c r="B2061" s="4" t="s">
        <v>3188</v>
      </c>
    </row>
    <row r="2062" ht="15.75" customHeight="1">
      <c r="A2062" s="4">
        <v>1052001.0</v>
      </c>
      <c r="B2062" s="4" t="s">
        <v>3189</v>
      </c>
    </row>
    <row r="2063" ht="15.75" customHeight="1">
      <c r="A2063" s="4">
        <v>1052002.0</v>
      </c>
      <c r="B2063" s="4" t="s">
        <v>3190</v>
      </c>
    </row>
    <row r="2064" ht="15.75" customHeight="1">
      <c r="A2064" s="4">
        <v>1052003.0</v>
      </c>
      <c r="B2064" s="4" t="s">
        <v>3191</v>
      </c>
    </row>
    <row r="2065" ht="15.75" customHeight="1">
      <c r="A2065" s="4">
        <v>1052004.0</v>
      </c>
      <c r="B2065" s="4" t="s">
        <v>3192</v>
      </c>
    </row>
    <row r="2066" ht="15.75" customHeight="1">
      <c r="A2066" s="4">
        <v>1052005.0</v>
      </c>
      <c r="B2066" s="4" t="s">
        <v>3193</v>
      </c>
    </row>
    <row r="2067" ht="15.75" customHeight="1">
      <c r="A2067" s="4">
        <v>1052006.0</v>
      </c>
      <c r="B2067" s="4" t="s">
        <v>3194</v>
      </c>
    </row>
    <row r="2068" ht="15.75" customHeight="1">
      <c r="A2068" s="4">
        <v>1052007.0</v>
      </c>
      <c r="B2068" s="4" t="s">
        <v>3195</v>
      </c>
    </row>
    <row r="2069" ht="15.75" customHeight="1">
      <c r="A2069" s="4">
        <v>1052008.0</v>
      </c>
      <c r="B2069" s="4" t="s">
        <v>3196</v>
      </c>
    </row>
    <row r="2070" ht="15.75" customHeight="1">
      <c r="A2070" s="4">
        <v>1052009.0</v>
      </c>
      <c r="B2070" s="4" t="s">
        <v>3197</v>
      </c>
    </row>
    <row r="2071" ht="15.75" customHeight="1">
      <c r="A2071" s="4">
        <v>1052010.0</v>
      </c>
      <c r="B2071" s="4" t="s">
        <v>3198</v>
      </c>
    </row>
    <row r="2072" ht="15.75" customHeight="1">
      <c r="A2072" s="4">
        <v>1053001.0</v>
      </c>
      <c r="B2072" s="4" t="s">
        <v>3199</v>
      </c>
    </row>
    <row r="2073" ht="15.75" customHeight="1">
      <c r="A2073" s="4">
        <v>1053002.0</v>
      </c>
      <c r="B2073" s="4" t="s">
        <v>3200</v>
      </c>
    </row>
    <row r="2074" ht="15.75" customHeight="1">
      <c r="A2074" s="4">
        <v>1053003.0</v>
      </c>
      <c r="B2074" s="4" t="s">
        <v>3201</v>
      </c>
    </row>
    <row r="2075" ht="15.75" customHeight="1">
      <c r="A2075" s="4">
        <v>1053004.0</v>
      </c>
      <c r="B2075" s="4" t="s">
        <v>3202</v>
      </c>
    </row>
    <row r="2076" ht="15.75" customHeight="1">
      <c r="A2076" s="4">
        <v>1053005.0</v>
      </c>
      <c r="B2076" s="4" t="s">
        <v>3203</v>
      </c>
    </row>
    <row r="2077" ht="15.75" customHeight="1">
      <c r="A2077" s="4">
        <v>1053006.0</v>
      </c>
      <c r="B2077" s="4" t="s">
        <v>3204</v>
      </c>
    </row>
    <row r="2078" ht="15.75" customHeight="1">
      <c r="A2078" s="4">
        <v>1053007.0</v>
      </c>
      <c r="B2078" s="4" t="s">
        <v>3205</v>
      </c>
    </row>
    <row r="2079" ht="15.75" customHeight="1">
      <c r="A2079" s="4">
        <v>1053008.0</v>
      </c>
      <c r="B2079" s="4" t="s">
        <v>3206</v>
      </c>
    </row>
    <row r="2080" ht="15.75" customHeight="1">
      <c r="A2080" s="4">
        <v>1053009.0</v>
      </c>
      <c r="B2080" s="4" t="s">
        <v>3207</v>
      </c>
    </row>
    <row r="2081" ht="15.75" customHeight="1">
      <c r="A2081" s="4">
        <v>1053010.0</v>
      </c>
      <c r="B2081" s="4" t="s">
        <v>3208</v>
      </c>
    </row>
    <row r="2082" ht="15.75" customHeight="1">
      <c r="A2082" s="4">
        <v>1053011.0</v>
      </c>
      <c r="B2082" s="4" t="s">
        <v>3209</v>
      </c>
    </row>
    <row r="2083" ht="15.75" customHeight="1">
      <c r="A2083" s="4">
        <v>1053012.0</v>
      </c>
      <c r="B2083" s="4" t="s">
        <v>3210</v>
      </c>
    </row>
    <row r="2084" ht="15.75" customHeight="1">
      <c r="A2084" s="4">
        <v>1053013.0</v>
      </c>
      <c r="B2084" s="4" t="s">
        <v>3211</v>
      </c>
    </row>
    <row r="2085" ht="15.75" customHeight="1">
      <c r="A2085" s="4">
        <v>1053014.0</v>
      </c>
      <c r="B2085" s="4" t="s">
        <v>3212</v>
      </c>
    </row>
    <row r="2086" ht="15.75" customHeight="1">
      <c r="A2086" s="4">
        <v>1053015.0</v>
      </c>
      <c r="B2086" s="4" t="s">
        <v>3213</v>
      </c>
    </row>
    <row r="2087" ht="15.75" customHeight="1">
      <c r="A2087" s="4">
        <v>1053016.0</v>
      </c>
      <c r="B2087" s="4" t="s">
        <v>3214</v>
      </c>
    </row>
    <row r="2088" ht="15.75" customHeight="1">
      <c r="A2088" s="4">
        <v>1053017.0</v>
      </c>
      <c r="B2088" s="4" t="s">
        <v>3215</v>
      </c>
    </row>
    <row r="2089" ht="15.75" customHeight="1">
      <c r="A2089" s="4">
        <v>1053018.0</v>
      </c>
      <c r="B2089" s="4" t="s">
        <v>3216</v>
      </c>
    </row>
    <row r="2090" ht="15.75" customHeight="1">
      <c r="A2090" s="4">
        <v>1053019.0</v>
      </c>
      <c r="B2090" s="4" t="s">
        <v>3217</v>
      </c>
    </row>
    <row r="2091" ht="15.75" customHeight="1">
      <c r="A2091" s="4">
        <v>1053020.0</v>
      </c>
      <c r="B2091" s="4" t="s">
        <v>3218</v>
      </c>
    </row>
    <row r="2092" ht="15.75" customHeight="1">
      <c r="A2092" s="4">
        <v>1053021.0</v>
      </c>
      <c r="B2092" s="4" t="s">
        <v>3219</v>
      </c>
    </row>
    <row r="2093" ht="15.75" customHeight="1">
      <c r="A2093" s="4">
        <v>1053022.0</v>
      </c>
      <c r="B2093" s="4" t="s">
        <v>3220</v>
      </c>
    </row>
    <row r="2094" ht="15.75" customHeight="1">
      <c r="A2094" s="4">
        <v>1053023.0</v>
      </c>
      <c r="B2094" s="4" t="s">
        <v>3221</v>
      </c>
    </row>
    <row r="2095" ht="15.75" customHeight="1">
      <c r="A2095" s="4">
        <v>1053024.0</v>
      </c>
      <c r="B2095" s="4" t="s">
        <v>3222</v>
      </c>
    </row>
    <row r="2096" ht="15.75" customHeight="1">
      <c r="A2096" s="4">
        <v>1053025.0</v>
      </c>
      <c r="B2096" s="4" t="s">
        <v>3223</v>
      </c>
    </row>
    <row r="2097" ht="15.75" customHeight="1">
      <c r="A2097" s="4">
        <v>1053026.0</v>
      </c>
      <c r="B2097" s="4" t="s">
        <v>3224</v>
      </c>
    </row>
    <row r="2098" ht="15.75" customHeight="1">
      <c r="A2098" s="4">
        <v>1053027.0</v>
      </c>
      <c r="B2098" s="4" t="s">
        <v>3225</v>
      </c>
    </row>
    <row r="2099" ht="15.75" customHeight="1">
      <c r="A2099" s="4">
        <v>1053028.0</v>
      </c>
      <c r="B2099" s="4" t="s">
        <v>3226</v>
      </c>
    </row>
    <row r="2100" ht="15.75" customHeight="1">
      <c r="A2100" s="4">
        <v>1053029.0</v>
      </c>
      <c r="B2100" s="4" t="s">
        <v>3227</v>
      </c>
    </row>
    <row r="2101" ht="15.75" customHeight="1">
      <c r="A2101" s="4">
        <v>1053030.0</v>
      </c>
      <c r="B2101" s="4" t="s">
        <v>3228</v>
      </c>
    </row>
    <row r="2102" ht="15.75" customHeight="1">
      <c r="A2102" s="4">
        <v>1053031.0</v>
      </c>
      <c r="B2102" s="4" t="s">
        <v>3229</v>
      </c>
    </row>
    <row r="2103" ht="15.75" customHeight="1">
      <c r="A2103" s="4">
        <v>1053032.0</v>
      </c>
      <c r="B2103" s="4" t="s">
        <v>3230</v>
      </c>
    </row>
    <row r="2104" ht="15.75" customHeight="1">
      <c r="A2104" s="4">
        <v>1053033.0</v>
      </c>
      <c r="B2104" s="4" t="s">
        <v>3231</v>
      </c>
    </row>
    <row r="2105" ht="15.75" customHeight="1">
      <c r="A2105" s="4">
        <v>1053034.0</v>
      </c>
      <c r="B2105" s="4" t="s">
        <v>3232</v>
      </c>
    </row>
    <row r="2106" ht="15.75" customHeight="1">
      <c r="A2106" s="4">
        <v>1053035.0</v>
      </c>
      <c r="B2106" s="4" t="s">
        <v>3233</v>
      </c>
    </row>
    <row r="2107" ht="15.75" customHeight="1">
      <c r="A2107" s="4">
        <v>1053036.0</v>
      </c>
      <c r="B2107" s="4" t="s">
        <v>3234</v>
      </c>
    </row>
    <row r="2108" ht="15.75" customHeight="1">
      <c r="A2108" s="4">
        <v>1053037.0</v>
      </c>
      <c r="B2108" s="4" t="s">
        <v>3235</v>
      </c>
    </row>
    <row r="2109" ht="15.75" customHeight="1">
      <c r="A2109" s="4">
        <v>1053038.0</v>
      </c>
      <c r="B2109" s="4" t="s">
        <v>3236</v>
      </c>
    </row>
    <row r="2110" ht="15.75" customHeight="1">
      <c r="A2110" s="4">
        <v>1053039.0</v>
      </c>
      <c r="B2110" s="4" t="s">
        <v>3237</v>
      </c>
    </row>
    <row r="2111" ht="15.75" customHeight="1">
      <c r="A2111" s="4">
        <v>1053040.0</v>
      </c>
      <c r="B2111" s="4" t="s">
        <v>3238</v>
      </c>
    </row>
    <row r="2112" ht="15.75" customHeight="1">
      <c r="A2112" s="4">
        <v>1053041.0</v>
      </c>
      <c r="B2112" s="4" t="s">
        <v>3239</v>
      </c>
    </row>
    <row r="2113" ht="15.75" customHeight="1">
      <c r="A2113" s="4">
        <v>1053042.0</v>
      </c>
      <c r="B2113" s="4" t="s">
        <v>3240</v>
      </c>
    </row>
    <row r="2114" ht="15.75" customHeight="1">
      <c r="A2114" s="4">
        <v>1053043.0</v>
      </c>
      <c r="B2114" s="4" t="s">
        <v>3241</v>
      </c>
    </row>
    <row r="2115" ht="15.75" customHeight="1">
      <c r="A2115" s="4">
        <v>1053044.0</v>
      </c>
      <c r="B2115" s="4" t="s">
        <v>3242</v>
      </c>
    </row>
    <row r="2116" ht="15.75" customHeight="1">
      <c r="A2116" s="4">
        <v>1053045.0</v>
      </c>
      <c r="B2116" s="4" t="s">
        <v>3243</v>
      </c>
    </row>
    <row r="2117" ht="15.75" customHeight="1">
      <c r="A2117" s="4">
        <v>1053046.0</v>
      </c>
      <c r="B2117" s="4" t="s">
        <v>3244</v>
      </c>
    </row>
    <row r="2118" ht="15.75" customHeight="1">
      <c r="A2118" s="4">
        <v>1053047.0</v>
      </c>
      <c r="B2118" s="4" t="s">
        <v>3245</v>
      </c>
    </row>
    <row r="2119" ht="15.75" customHeight="1">
      <c r="A2119" s="4">
        <v>1053048.0</v>
      </c>
      <c r="B2119" s="4" t="s">
        <v>3246</v>
      </c>
    </row>
    <row r="2120" ht="15.75" customHeight="1">
      <c r="A2120" s="4">
        <v>1053049.0</v>
      </c>
      <c r="B2120" s="4" t="s">
        <v>3247</v>
      </c>
    </row>
    <row r="2121" ht="15.75" customHeight="1">
      <c r="A2121" s="4">
        <v>1053050.0</v>
      </c>
      <c r="B2121" s="4" t="s">
        <v>3248</v>
      </c>
    </row>
    <row r="2122" ht="15.75" customHeight="1">
      <c r="A2122" s="4">
        <v>1053051.0</v>
      </c>
      <c r="B2122" s="4" t="s">
        <v>3249</v>
      </c>
    </row>
    <row r="2123" ht="15.75" customHeight="1">
      <c r="A2123" s="4">
        <v>1053052.0</v>
      </c>
      <c r="B2123" s="4" t="s">
        <v>3250</v>
      </c>
    </row>
    <row r="2124" ht="15.75" customHeight="1">
      <c r="A2124" s="4">
        <v>1053053.0</v>
      </c>
      <c r="B2124" s="4" t="s">
        <v>3251</v>
      </c>
    </row>
    <row r="2125" ht="15.75" customHeight="1">
      <c r="A2125" s="4">
        <v>1053054.0</v>
      </c>
      <c r="B2125" s="4" t="s">
        <v>3252</v>
      </c>
    </row>
    <row r="2126" ht="15.75" customHeight="1">
      <c r="A2126" s="4">
        <v>1053055.0</v>
      </c>
      <c r="B2126" s="4" t="s">
        <v>3253</v>
      </c>
    </row>
    <row r="2127" ht="15.75" customHeight="1">
      <c r="A2127" s="4">
        <v>1053056.0</v>
      </c>
      <c r="B2127" s="4" t="s">
        <v>3254</v>
      </c>
    </row>
    <row r="2128" ht="15.75" customHeight="1">
      <c r="A2128" s="4">
        <v>1053057.0</v>
      </c>
      <c r="B2128" s="4" t="s">
        <v>3255</v>
      </c>
    </row>
    <row r="2129" ht="15.75" customHeight="1">
      <c r="A2129" s="4">
        <v>1053058.0</v>
      </c>
      <c r="B2129" s="4" t="s">
        <v>3256</v>
      </c>
    </row>
    <row r="2130" ht="15.75" customHeight="1">
      <c r="A2130" s="4">
        <v>1053059.0</v>
      </c>
      <c r="B2130" s="4" t="s">
        <v>3257</v>
      </c>
    </row>
    <row r="2131" ht="15.75" customHeight="1">
      <c r="A2131" s="4">
        <v>1053060.0</v>
      </c>
      <c r="B2131" s="4" t="s">
        <v>3258</v>
      </c>
    </row>
    <row r="2132" ht="15.75" customHeight="1">
      <c r="A2132" s="4">
        <v>1054001.0</v>
      </c>
      <c r="B2132" s="4" t="s">
        <v>3259</v>
      </c>
    </row>
    <row r="2133" ht="15.75" customHeight="1">
      <c r="A2133" s="4">
        <v>1054002.0</v>
      </c>
      <c r="B2133" s="4" t="s">
        <v>3260</v>
      </c>
    </row>
    <row r="2134" ht="15.75" customHeight="1">
      <c r="A2134" s="4">
        <v>1054003.0</v>
      </c>
      <c r="B2134" s="4" t="s">
        <v>3261</v>
      </c>
    </row>
    <row r="2135" ht="15.75" customHeight="1">
      <c r="A2135" s="4">
        <v>1054004.0</v>
      </c>
      <c r="B2135" s="4" t="s">
        <v>3262</v>
      </c>
    </row>
    <row r="2136" ht="15.75" customHeight="1">
      <c r="A2136" s="4">
        <v>1054005.0</v>
      </c>
      <c r="B2136" s="4" t="s">
        <v>3263</v>
      </c>
    </row>
    <row r="2137" ht="15.75" customHeight="1">
      <c r="A2137" s="4">
        <v>1054006.0</v>
      </c>
      <c r="B2137" s="4" t="s">
        <v>3264</v>
      </c>
    </row>
    <row r="2138" ht="15.75" customHeight="1">
      <c r="A2138" s="4">
        <v>1054007.0</v>
      </c>
      <c r="B2138" s="4" t="s">
        <v>3265</v>
      </c>
    </row>
    <row r="2139" ht="15.75" customHeight="1">
      <c r="A2139" s="4">
        <v>1054008.0</v>
      </c>
      <c r="B2139" s="4" t="s">
        <v>3266</v>
      </c>
    </row>
    <row r="2140" ht="15.75" customHeight="1">
      <c r="A2140" s="4">
        <v>1054009.0</v>
      </c>
      <c r="B2140" s="4" t="s">
        <v>3267</v>
      </c>
    </row>
    <row r="2141" ht="15.75" customHeight="1">
      <c r="A2141" s="4">
        <v>1054010.0</v>
      </c>
      <c r="B2141" s="4" t="s">
        <v>3268</v>
      </c>
    </row>
    <row r="2142" ht="15.75" customHeight="1">
      <c r="A2142" s="4">
        <v>1054011.0</v>
      </c>
      <c r="B2142" s="4" t="s">
        <v>3269</v>
      </c>
    </row>
    <row r="2143" ht="15.75" customHeight="1">
      <c r="A2143" s="4">
        <v>1054012.0</v>
      </c>
      <c r="B2143" s="4" t="s">
        <v>3270</v>
      </c>
    </row>
    <row r="2144" ht="15.75" customHeight="1">
      <c r="A2144" s="4">
        <v>1054013.0</v>
      </c>
      <c r="B2144" s="4" t="s">
        <v>3271</v>
      </c>
    </row>
    <row r="2145" ht="15.75" customHeight="1">
      <c r="A2145" s="4">
        <v>1054014.0</v>
      </c>
      <c r="B2145" s="4" t="s">
        <v>3272</v>
      </c>
    </row>
    <row r="2146" ht="15.75" customHeight="1">
      <c r="A2146" s="4">
        <v>1054015.0</v>
      </c>
      <c r="B2146" s="4" t="s">
        <v>3273</v>
      </c>
    </row>
    <row r="2147" ht="15.75" customHeight="1">
      <c r="A2147" s="4">
        <v>1054016.0</v>
      </c>
      <c r="B2147" s="4" t="s">
        <v>3274</v>
      </c>
    </row>
    <row r="2148" ht="15.75" customHeight="1">
      <c r="A2148" s="4">
        <v>1054017.0</v>
      </c>
      <c r="B2148" s="4" t="s">
        <v>3275</v>
      </c>
    </row>
    <row r="2149" ht="15.75" customHeight="1">
      <c r="A2149" s="4">
        <v>1054018.0</v>
      </c>
      <c r="B2149" s="4" t="s">
        <v>3277</v>
      </c>
    </row>
    <row r="2150" ht="15.75" customHeight="1">
      <c r="A2150" s="4">
        <v>1054019.0</v>
      </c>
      <c r="B2150" s="4" t="s">
        <v>3279</v>
      </c>
    </row>
    <row r="2151" ht="15.75" customHeight="1">
      <c r="A2151" s="4">
        <v>1054020.0</v>
      </c>
      <c r="B2151" s="4" t="s">
        <v>3280</v>
      </c>
    </row>
    <row r="2152" ht="15.75" customHeight="1">
      <c r="A2152" s="4">
        <v>1054021.0</v>
      </c>
      <c r="B2152" s="4" t="s">
        <v>3281</v>
      </c>
    </row>
    <row r="2153" ht="15.75" customHeight="1">
      <c r="A2153" s="4">
        <v>1054022.0</v>
      </c>
      <c r="B2153" s="4" t="s">
        <v>3282</v>
      </c>
    </row>
    <row r="2154" ht="15.75" customHeight="1">
      <c r="A2154" s="4">
        <v>1054023.0</v>
      </c>
      <c r="B2154" s="4" t="s">
        <v>3283</v>
      </c>
    </row>
    <row r="2155" ht="15.75" customHeight="1">
      <c r="A2155" s="4">
        <v>1054024.0</v>
      </c>
      <c r="B2155" s="4" t="s">
        <v>3284</v>
      </c>
    </row>
    <row r="2156" ht="15.75" customHeight="1">
      <c r="A2156" s="4">
        <v>1054025.0</v>
      </c>
      <c r="B2156" s="4" t="s">
        <v>3285</v>
      </c>
    </row>
    <row r="2157" ht="15.75" customHeight="1">
      <c r="A2157" s="4">
        <v>1054026.0</v>
      </c>
      <c r="B2157" s="4" t="s">
        <v>3286</v>
      </c>
    </row>
    <row r="2158" ht="15.75" customHeight="1">
      <c r="A2158" s="4">
        <v>1054027.0</v>
      </c>
      <c r="B2158" s="4" t="s">
        <v>3287</v>
      </c>
    </row>
    <row r="2159" ht="15.75" customHeight="1">
      <c r="A2159" s="4">
        <v>1054028.0</v>
      </c>
      <c r="B2159" s="4" t="s">
        <v>3288</v>
      </c>
    </row>
    <row r="2160" ht="15.75" customHeight="1">
      <c r="A2160" s="4">
        <v>1054029.0</v>
      </c>
      <c r="B2160" s="4" t="s">
        <v>3289</v>
      </c>
    </row>
    <row r="2161" ht="15.75" customHeight="1">
      <c r="A2161" s="4">
        <v>1054030.0</v>
      </c>
      <c r="B2161" s="4" t="s">
        <v>3290</v>
      </c>
    </row>
    <row r="2162" ht="15.75" customHeight="1">
      <c r="A2162" s="4">
        <v>1054031.0</v>
      </c>
      <c r="B2162" s="4" t="s">
        <v>3291</v>
      </c>
    </row>
    <row r="2163" ht="15.75" customHeight="1">
      <c r="A2163" s="4">
        <v>1054032.0</v>
      </c>
      <c r="B2163" s="4" t="s">
        <v>3292</v>
      </c>
    </row>
    <row r="2164" ht="15.75" customHeight="1">
      <c r="A2164" s="4">
        <v>1054033.0</v>
      </c>
      <c r="B2164" s="4" t="s">
        <v>3293</v>
      </c>
    </row>
    <row r="2165" ht="15.75" customHeight="1">
      <c r="A2165" s="4">
        <v>1054034.0</v>
      </c>
      <c r="B2165" s="4" t="s">
        <v>3294</v>
      </c>
    </row>
    <row r="2166" ht="15.75" customHeight="1">
      <c r="A2166" s="4">
        <v>1054035.0</v>
      </c>
      <c r="B2166" s="4" t="s">
        <v>3295</v>
      </c>
    </row>
    <row r="2167" ht="15.75" customHeight="1">
      <c r="A2167" s="4">
        <v>1054036.0</v>
      </c>
      <c r="B2167" s="4" t="s">
        <v>3296</v>
      </c>
    </row>
    <row r="2168" ht="15.75" customHeight="1">
      <c r="A2168" s="4">
        <v>1054037.0</v>
      </c>
      <c r="B2168" s="4" t="s">
        <v>3297</v>
      </c>
    </row>
    <row r="2169" ht="15.75" customHeight="1">
      <c r="A2169" s="4">
        <v>1054038.0</v>
      </c>
      <c r="B2169" s="4" t="s">
        <v>3298</v>
      </c>
    </row>
    <row r="2170" ht="15.75" customHeight="1">
      <c r="A2170" s="4">
        <v>1054039.0</v>
      </c>
      <c r="B2170" s="4" t="s">
        <v>3299</v>
      </c>
    </row>
    <row r="2171" ht="15.75" customHeight="1">
      <c r="A2171" s="4">
        <v>1054040.0</v>
      </c>
      <c r="B2171" s="4" t="s">
        <v>3300</v>
      </c>
    </row>
    <row r="2172" ht="15.75" customHeight="1">
      <c r="A2172" s="4">
        <v>1054041.0</v>
      </c>
      <c r="B2172" s="4" t="s">
        <v>3301</v>
      </c>
    </row>
    <row r="2173" ht="15.75" customHeight="1">
      <c r="A2173" s="4">
        <v>1054042.0</v>
      </c>
      <c r="B2173" s="4" t="s">
        <v>3302</v>
      </c>
    </row>
    <row r="2174" ht="15.75" customHeight="1">
      <c r="A2174" s="4">
        <v>1054043.0</v>
      </c>
      <c r="B2174" s="4" t="s">
        <v>3303</v>
      </c>
    </row>
    <row r="2175" ht="15.75" customHeight="1">
      <c r="A2175" s="4">
        <v>1054044.0</v>
      </c>
      <c r="B2175" s="4" t="s">
        <v>3304</v>
      </c>
    </row>
    <row r="2176" ht="15.75" customHeight="1">
      <c r="A2176" s="4">
        <v>1054045.0</v>
      </c>
      <c r="B2176" s="4" t="s">
        <v>3305</v>
      </c>
    </row>
    <row r="2177" ht="15.75" customHeight="1">
      <c r="A2177" s="4">
        <v>1054046.0</v>
      </c>
      <c r="B2177" s="4" t="s">
        <v>3306</v>
      </c>
    </row>
    <row r="2178" ht="15.75" customHeight="1">
      <c r="A2178" s="4">
        <v>1054501.0</v>
      </c>
      <c r="B2178" s="4" t="s">
        <v>3307</v>
      </c>
    </row>
    <row r="2179" ht="15.75" customHeight="1">
      <c r="A2179" s="4">
        <v>1054502.0</v>
      </c>
      <c r="B2179" s="4" t="s">
        <v>3308</v>
      </c>
    </row>
    <row r="2180" ht="15.75" customHeight="1">
      <c r="A2180" s="4">
        <v>1054503.0</v>
      </c>
      <c r="B2180" s="4" t="s">
        <v>3309</v>
      </c>
    </row>
    <row r="2181" ht="15.75" customHeight="1">
      <c r="A2181" s="4">
        <v>1054504.0</v>
      </c>
      <c r="B2181" s="4" t="s">
        <v>3310</v>
      </c>
    </row>
    <row r="2182" ht="15.75" customHeight="1">
      <c r="A2182" s="4">
        <v>1054505.0</v>
      </c>
      <c r="B2182" s="4" t="s">
        <v>3311</v>
      </c>
    </row>
    <row r="2183" ht="15.75" customHeight="1">
      <c r="A2183" s="4">
        <v>1054506.0</v>
      </c>
      <c r="B2183" s="4" t="s">
        <v>3312</v>
      </c>
    </row>
    <row r="2184" ht="15.75" customHeight="1">
      <c r="A2184" s="4">
        <v>1054507.0</v>
      </c>
      <c r="B2184" s="4" t="s">
        <v>3313</v>
      </c>
    </row>
    <row r="2185" ht="15.75" customHeight="1">
      <c r="A2185" s="4">
        <v>1054508.0</v>
      </c>
      <c r="B2185" s="4" t="s">
        <v>3314</v>
      </c>
    </row>
    <row r="2186" ht="15.75" customHeight="1">
      <c r="A2186" s="4">
        <v>1054513.0</v>
      </c>
      <c r="B2186" s="4" t="s">
        <v>3315</v>
      </c>
    </row>
    <row r="2187" ht="15.75" customHeight="1">
      <c r="A2187" s="4">
        <v>1054514.0</v>
      </c>
      <c r="B2187" s="4" t="s">
        <v>3316</v>
      </c>
    </row>
    <row r="2188" ht="15.75" customHeight="1">
      <c r="A2188" s="4">
        <v>1054515.0</v>
      </c>
      <c r="B2188" s="4" t="s">
        <v>3317</v>
      </c>
    </row>
    <row r="2189" ht="15.75" customHeight="1">
      <c r="A2189" s="4">
        <v>1055001.0</v>
      </c>
      <c r="B2189" s="4" t="s">
        <v>3318</v>
      </c>
    </row>
    <row r="2190" ht="15.75" customHeight="1">
      <c r="A2190" s="4">
        <v>1055002.0</v>
      </c>
      <c r="B2190" s="4" t="s">
        <v>3319</v>
      </c>
    </row>
    <row r="2191" ht="15.75" customHeight="1">
      <c r="A2191" s="4">
        <v>1055003.0</v>
      </c>
      <c r="B2191" s="4" t="s">
        <v>3320</v>
      </c>
    </row>
    <row r="2192" ht="15.75" customHeight="1">
      <c r="A2192" s="4">
        <v>1055004.0</v>
      </c>
      <c r="B2192" s="4" t="s">
        <v>3321</v>
      </c>
    </row>
    <row r="2193" ht="15.75" customHeight="1">
      <c r="A2193" s="4">
        <v>1055005.0</v>
      </c>
      <c r="B2193" s="4" t="s">
        <v>3322</v>
      </c>
    </row>
    <row r="2194" ht="15.75" customHeight="1">
      <c r="A2194" s="4">
        <v>1055006.0</v>
      </c>
      <c r="B2194" s="4" t="s">
        <v>3323</v>
      </c>
    </row>
    <row r="2195" ht="15.75" customHeight="1">
      <c r="A2195" s="4">
        <v>1055007.0</v>
      </c>
      <c r="B2195" s="4" t="s">
        <v>3324</v>
      </c>
    </row>
    <row r="2196" ht="15.75" customHeight="1">
      <c r="A2196" s="4">
        <v>1055008.0</v>
      </c>
      <c r="B2196" s="4" t="s">
        <v>3325</v>
      </c>
    </row>
    <row r="2197" ht="15.75" customHeight="1">
      <c r="A2197" s="4">
        <v>1055009.0</v>
      </c>
      <c r="B2197" s="4" t="s">
        <v>3326</v>
      </c>
    </row>
    <row r="2198" ht="15.75" customHeight="1">
      <c r="A2198" s="4">
        <v>1055010.0</v>
      </c>
      <c r="B2198" s="4" t="s">
        <v>3327</v>
      </c>
    </row>
    <row r="2199" ht="15.75" customHeight="1">
      <c r="A2199" s="4">
        <v>1055011.0</v>
      </c>
      <c r="B2199" s="4" t="s">
        <v>3328</v>
      </c>
    </row>
    <row r="2200" ht="15.75" customHeight="1">
      <c r="A2200" s="4">
        <v>1055012.0</v>
      </c>
      <c r="B2200" s="4" t="s">
        <v>3329</v>
      </c>
    </row>
    <row r="2201" ht="15.75" customHeight="1">
      <c r="A2201" s="4">
        <v>1055013.0</v>
      </c>
      <c r="B2201" s="4" t="s">
        <v>3330</v>
      </c>
    </row>
    <row r="2202" ht="15.75" customHeight="1">
      <c r="A2202" s="4">
        <v>1055014.0</v>
      </c>
      <c r="B2202" s="4" t="s">
        <v>3331</v>
      </c>
    </row>
    <row r="2203" ht="15.75" customHeight="1">
      <c r="A2203" s="4">
        <v>1055015.0</v>
      </c>
      <c r="B2203" s="4" t="s">
        <v>3332</v>
      </c>
    </row>
    <row r="2204" ht="15.75" customHeight="1">
      <c r="A2204" s="4">
        <v>1055016.0</v>
      </c>
      <c r="B2204" s="4" t="s">
        <v>3333</v>
      </c>
    </row>
    <row r="2205" ht="15.75" customHeight="1">
      <c r="A2205" s="4">
        <v>1055017.0</v>
      </c>
      <c r="B2205" s="4" t="s">
        <v>3334</v>
      </c>
    </row>
    <row r="2206" ht="15.75" customHeight="1">
      <c r="A2206" s="4">
        <v>1055018.0</v>
      </c>
      <c r="B2206" s="4" t="s">
        <v>3335</v>
      </c>
    </row>
    <row r="2207" ht="15.75" customHeight="1">
      <c r="A2207" s="4">
        <v>1055019.0</v>
      </c>
      <c r="B2207" s="4" t="s">
        <v>3336</v>
      </c>
    </row>
    <row r="2208" ht="15.75" customHeight="1">
      <c r="A2208" s="4">
        <v>1055020.0</v>
      </c>
      <c r="B2208" s="4" t="s">
        <v>3337</v>
      </c>
    </row>
    <row r="2209" ht="15.75" customHeight="1">
      <c r="A2209" s="4">
        <v>1055021.0</v>
      </c>
      <c r="B2209" s="4" t="s">
        <v>3338</v>
      </c>
    </row>
    <row r="2210" ht="15.75" customHeight="1">
      <c r="A2210" s="4">
        <v>1055022.0</v>
      </c>
      <c r="B2210" s="4" t="s">
        <v>3339</v>
      </c>
    </row>
    <row r="2211" ht="15.75" customHeight="1">
      <c r="A2211" s="4">
        <v>1055023.0</v>
      </c>
      <c r="B2211" s="4" t="s">
        <v>3340</v>
      </c>
    </row>
    <row r="2212" ht="15.75" customHeight="1">
      <c r="A2212" s="4">
        <v>1055024.0</v>
      </c>
      <c r="B2212" s="4" t="s">
        <v>3341</v>
      </c>
    </row>
    <row r="2213" ht="15.75" customHeight="1">
      <c r="A2213" s="4">
        <v>1055025.0</v>
      </c>
      <c r="B2213" s="4" t="s">
        <v>3342</v>
      </c>
    </row>
    <row r="2214" ht="15.75" customHeight="1">
      <c r="A2214" s="4">
        <v>1056001.0</v>
      </c>
      <c r="B2214" s="4" t="s">
        <v>3343</v>
      </c>
    </row>
    <row r="2215" ht="15.75" customHeight="1">
      <c r="A2215" s="4">
        <v>1056002.0</v>
      </c>
      <c r="B2215" s="4" t="s">
        <v>3344</v>
      </c>
    </row>
    <row r="2216" ht="15.75" customHeight="1">
      <c r="A2216" s="4">
        <v>1056003.0</v>
      </c>
      <c r="B2216" s="4" t="s">
        <v>3345</v>
      </c>
    </row>
    <row r="2217" ht="15.75" customHeight="1">
      <c r="A2217" s="4">
        <v>1056004.0</v>
      </c>
      <c r="B2217" s="4" t="s">
        <v>3346</v>
      </c>
    </row>
    <row r="2218" ht="15.75" customHeight="1">
      <c r="A2218" s="4">
        <v>1056005.0</v>
      </c>
      <c r="B2218" s="4" t="s">
        <v>3347</v>
      </c>
    </row>
    <row r="2219" ht="15.75" customHeight="1">
      <c r="A2219" s="4">
        <v>1056006.0</v>
      </c>
      <c r="B2219" s="4" t="s">
        <v>3348</v>
      </c>
    </row>
    <row r="2220" ht="15.75" customHeight="1">
      <c r="A2220" s="4">
        <v>1056007.0</v>
      </c>
      <c r="B2220" s="4" t="s">
        <v>3349</v>
      </c>
    </row>
    <row r="2221" ht="15.75" customHeight="1">
      <c r="A2221" s="4">
        <v>1056008.0</v>
      </c>
      <c r="B2221" s="4" t="s">
        <v>3350</v>
      </c>
    </row>
    <row r="2222" ht="15.75" customHeight="1">
      <c r="A2222" s="4">
        <v>1056009.0</v>
      </c>
      <c r="B2222" s="4" t="s">
        <v>3351</v>
      </c>
    </row>
    <row r="2223" ht="15.75" customHeight="1">
      <c r="A2223" s="4">
        <v>1056010.0</v>
      </c>
      <c r="B2223" s="4" t="s">
        <v>3352</v>
      </c>
    </row>
    <row r="2224" ht="15.75" customHeight="1">
      <c r="A2224" s="4">
        <v>1056011.0</v>
      </c>
      <c r="B2224" s="4" t="s">
        <v>3353</v>
      </c>
    </row>
    <row r="2225" ht="15.75" customHeight="1">
      <c r="A2225" s="4">
        <v>1056012.0</v>
      </c>
      <c r="B2225" s="4" t="s">
        <v>3354</v>
      </c>
    </row>
    <row r="2226" ht="15.75" customHeight="1">
      <c r="A2226" s="4">
        <v>1056013.0</v>
      </c>
      <c r="B2226" s="4" t="s">
        <v>3355</v>
      </c>
    </row>
    <row r="2227" ht="15.75" customHeight="1">
      <c r="A2227" s="4">
        <v>1056014.0</v>
      </c>
      <c r="B2227" s="4" t="s">
        <v>3356</v>
      </c>
    </row>
    <row r="2228" ht="15.75" customHeight="1">
      <c r="A2228" s="4">
        <v>1056015.0</v>
      </c>
      <c r="B2228" s="4" t="s">
        <v>3357</v>
      </c>
    </row>
    <row r="2229" ht="15.75" customHeight="1">
      <c r="A2229" s="4">
        <v>1056016.0</v>
      </c>
      <c r="B2229" s="4" t="s">
        <v>3358</v>
      </c>
    </row>
    <row r="2230" ht="15.75" customHeight="1">
      <c r="A2230" s="4">
        <v>1056017.0</v>
      </c>
      <c r="B2230" s="4" t="s">
        <v>3350</v>
      </c>
    </row>
    <row r="2231" ht="15.75" customHeight="1">
      <c r="A2231" s="4">
        <v>1056201.0</v>
      </c>
      <c r="B2231" s="4" t="s">
        <v>3359</v>
      </c>
    </row>
    <row r="2232" ht="15.75" customHeight="1">
      <c r="A2232" s="4">
        <v>1056202.0</v>
      </c>
      <c r="B2232" s="4" t="s">
        <v>3360</v>
      </c>
    </row>
    <row r="2233" ht="15.75" customHeight="1">
      <c r="A2233" s="4">
        <v>1056203.0</v>
      </c>
      <c r="B2233" s="4" t="s">
        <v>3361</v>
      </c>
    </row>
    <row r="2234" ht="15.75" customHeight="1">
      <c r="A2234" s="4">
        <v>1056204.0</v>
      </c>
      <c r="B2234" s="4" t="s">
        <v>3362</v>
      </c>
    </row>
    <row r="2235" ht="15.75" customHeight="1">
      <c r="A2235" s="4">
        <v>1056205.0</v>
      </c>
      <c r="B2235" s="4" t="s">
        <v>3363</v>
      </c>
    </row>
    <row r="2236" ht="15.75" customHeight="1">
      <c r="A2236" s="4">
        <v>1056206.0</v>
      </c>
      <c r="B2236" s="4" t="s">
        <v>3364</v>
      </c>
    </row>
    <row r="2237" ht="15.75" customHeight="1">
      <c r="A2237" s="4">
        <v>1057001.0</v>
      </c>
      <c r="B2237" s="4" t="s">
        <v>3365</v>
      </c>
    </row>
    <row r="2238" ht="15.75" customHeight="1">
      <c r="A2238" s="4">
        <v>1057002.0</v>
      </c>
      <c r="B2238" s="4" t="s">
        <v>3366</v>
      </c>
    </row>
    <row r="2239" ht="15.75" customHeight="1">
      <c r="A2239" s="4">
        <v>1057003.0</v>
      </c>
      <c r="B2239" s="4" t="s">
        <v>3367</v>
      </c>
    </row>
    <row r="2240" ht="15.75" customHeight="1">
      <c r="A2240" s="4">
        <v>1057004.0</v>
      </c>
      <c r="B2240" s="4" t="s">
        <v>3368</v>
      </c>
    </row>
    <row r="2241" ht="15.75" customHeight="1">
      <c r="A2241" s="4">
        <v>1057005.0</v>
      </c>
      <c r="B2241" s="4" t="s">
        <v>3369</v>
      </c>
    </row>
    <row r="2242" ht="15.75" customHeight="1">
      <c r="A2242" s="4">
        <v>1057006.0</v>
      </c>
      <c r="B2242" s="4" t="s">
        <v>3370</v>
      </c>
    </row>
    <row r="2243" ht="15.75" customHeight="1">
      <c r="A2243" s="4">
        <v>1057007.0</v>
      </c>
      <c r="B2243" s="4" t="s">
        <v>3371</v>
      </c>
    </row>
    <row r="2244" ht="15.75" customHeight="1">
      <c r="A2244" s="4">
        <v>1057008.0</v>
      </c>
      <c r="B2244" s="4" t="s">
        <v>3372</v>
      </c>
    </row>
    <row r="2245" ht="15.75" customHeight="1">
      <c r="A2245" s="4">
        <v>1057009.0</v>
      </c>
      <c r="B2245" s="4" t="s">
        <v>3373</v>
      </c>
    </row>
    <row r="2246" ht="15.75" customHeight="1">
      <c r="A2246" s="4">
        <v>1057010.0</v>
      </c>
      <c r="B2246" s="4" t="s">
        <v>3374</v>
      </c>
    </row>
    <row r="2247" ht="15.75" customHeight="1">
      <c r="A2247" s="4">
        <v>1057011.0</v>
      </c>
      <c r="B2247" s="4" t="s">
        <v>3375</v>
      </c>
    </row>
    <row r="2248" ht="15.75" customHeight="1">
      <c r="A2248" s="4">
        <v>1057012.0</v>
      </c>
      <c r="B2248" s="4" t="s">
        <v>3376</v>
      </c>
    </row>
    <row r="2249" ht="15.75" customHeight="1">
      <c r="A2249" s="4">
        <v>1057013.0</v>
      </c>
      <c r="B2249" s="4" t="s">
        <v>3377</v>
      </c>
    </row>
    <row r="2250" ht="15.75" customHeight="1">
      <c r="A2250" s="4">
        <v>1057014.0</v>
      </c>
      <c r="B2250" s="4" t="s">
        <v>3378</v>
      </c>
    </row>
    <row r="2251" ht="15.75" customHeight="1">
      <c r="A2251" s="4">
        <v>1057015.0</v>
      </c>
      <c r="B2251" s="4" t="s">
        <v>3379</v>
      </c>
    </row>
    <row r="2252" ht="15.75" customHeight="1">
      <c r="A2252" s="4">
        <v>1057016.0</v>
      </c>
      <c r="B2252" s="4" t="s">
        <v>3380</v>
      </c>
    </row>
    <row r="2253" ht="15.75" customHeight="1">
      <c r="A2253" s="4">
        <v>1057017.0</v>
      </c>
      <c r="B2253" s="4" t="s">
        <v>3381</v>
      </c>
    </row>
    <row r="2254" ht="15.75" customHeight="1">
      <c r="A2254" s="4">
        <v>1057018.0</v>
      </c>
      <c r="B2254" s="4" t="s">
        <v>3382</v>
      </c>
    </row>
    <row r="2255" ht="15.75" customHeight="1">
      <c r="A2255" s="4">
        <v>1057019.0</v>
      </c>
      <c r="B2255" s="4" t="s">
        <v>3383</v>
      </c>
    </row>
    <row r="2256" ht="15.75" customHeight="1">
      <c r="A2256" s="4">
        <v>1057020.0</v>
      </c>
      <c r="B2256" s="4" t="s">
        <v>3384</v>
      </c>
    </row>
    <row r="2257" ht="15.75" customHeight="1">
      <c r="A2257" s="4">
        <v>1057021.0</v>
      </c>
      <c r="B2257" s="4" t="s">
        <v>3385</v>
      </c>
    </row>
    <row r="2258" ht="15.75" customHeight="1">
      <c r="A2258" s="4">
        <v>1057022.0</v>
      </c>
      <c r="B2258" s="4" t="s">
        <v>3386</v>
      </c>
    </row>
    <row r="2259" ht="15.75" customHeight="1">
      <c r="A2259" s="4">
        <v>1057023.0</v>
      </c>
      <c r="B2259" s="4" t="s">
        <v>3387</v>
      </c>
    </row>
    <row r="2260" ht="15.75" customHeight="1">
      <c r="A2260" s="4">
        <v>1057024.0</v>
      </c>
      <c r="B2260" s="4" t="s">
        <v>3388</v>
      </c>
    </row>
    <row r="2261" ht="15.75" customHeight="1">
      <c r="A2261" s="4">
        <v>1057025.0</v>
      </c>
      <c r="B2261" s="4" t="s">
        <v>3389</v>
      </c>
    </row>
    <row r="2262" ht="15.75" customHeight="1">
      <c r="A2262" s="4">
        <v>1057026.0</v>
      </c>
      <c r="B2262" s="4" t="s">
        <v>3390</v>
      </c>
    </row>
    <row r="2263" ht="15.75" customHeight="1">
      <c r="A2263" s="4">
        <v>1058001.0</v>
      </c>
      <c r="B2263" s="4" t="s">
        <v>3391</v>
      </c>
    </row>
    <row r="2264" ht="15.75" customHeight="1">
      <c r="A2264" s="4">
        <v>1058002.0</v>
      </c>
      <c r="B2264" s="4" t="s">
        <v>3392</v>
      </c>
    </row>
    <row r="2265" ht="15.75" customHeight="1">
      <c r="A2265" s="4">
        <v>1058003.0</v>
      </c>
      <c r="B2265" s="4" t="s">
        <v>3393</v>
      </c>
    </row>
    <row r="2266" ht="15.75" customHeight="1">
      <c r="A2266" s="4">
        <v>1058004.0</v>
      </c>
      <c r="B2266" s="4" t="s">
        <v>3394</v>
      </c>
    </row>
    <row r="2267" ht="15.75" customHeight="1">
      <c r="A2267" s="4">
        <v>1058005.0</v>
      </c>
      <c r="B2267" s="4" t="s">
        <v>3395</v>
      </c>
    </row>
    <row r="2268" ht="15.75" customHeight="1">
      <c r="A2268" s="4">
        <v>1058006.0</v>
      </c>
      <c r="B2268" s="4" t="s">
        <v>3396</v>
      </c>
    </row>
    <row r="2269" ht="15.75" customHeight="1">
      <c r="A2269" s="4">
        <v>1058007.0</v>
      </c>
      <c r="B2269" s="4" t="s">
        <v>3397</v>
      </c>
    </row>
    <row r="2270" ht="15.75" customHeight="1">
      <c r="A2270" s="4">
        <v>1058008.0</v>
      </c>
      <c r="B2270" s="4" t="s">
        <v>3398</v>
      </c>
    </row>
    <row r="2271" ht="15.75" customHeight="1">
      <c r="A2271" s="4">
        <v>1058009.0</v>
      </c>
      <c r="B2271" s="4" t="s">
        <v>3399</v>
      </c>
    </row>
    <row r="2272" ht="15.75" customHeight="1">
      <c r="A2272" s="4">
        <v>1058010.0</v>
      </c>
      <c r="B2272" s="4" t="s">
        <v>3400</v>
      </c>
    </row>
    <row r="2273" ht="15.75" customHeight="1">
      <c r="A2273" s="4">
        <v>1058011.0</v>
      </c>
      <c r="B2273" s="4" t="s">
        <v>3401</v>
      </c>
    </row>
    <row r="2274" ht="15.75" customHeight="1">
      <c r="A2274" s="4">
        <v>1058012.0</v>
      </c>
      <c r="B2274" s="4" t="s">
        <v>3402</v>
      </c>
    </row>
    <row r="2275" ht="15.75" customHeight="1">
      <c r="A2275" s="4">
        <v>1058013.0</v>
      </c>
      <c r="B2275" s="4" t="s">
        <v>3403</v>
      </c>
    </row>
    <row r="2276" ht="15.75" customHeight="1">
      <c r="A2276" s="4">
        <v>1058014.0</v>
      </c>
      <c r="B2276" s="4" t="s">
        <v>3404</v>
      </c>
    </row>
    <row r="2277" ht="15.75" customHeight="1">
      <c r="A2277" s="4">
        <v>1059001.0</v>
      </c>
      <c r="B2277" s="4" t="s">
        <v>3405</v>
      </c>
    </row>
    <row r="2278" ht="15.75" customHeight="1">
      <c r="A2278" s="4">
        <v>1059002.0</v>
      </c>
      <c r="B2278" s="4" t="s">
        <v>3406</v>
      </c>
    </row>
    <row r="2279" ht="15.75" customHeight="1">
      <c r="A2279" s="4">
        <v>1059003.0</v>
      </c>
      <c r="B2279" s="4" t="s">
        <v>3407</v>
      </c>
    </row>
    <row r="2280" ht="15.75" customHeight="1">
      <c r="A2280" s="4">
        <v>1059004.0</v>
      </c>
      <c r="B2280" s="4" t="s">
        <v>3408</v>
      </c>
    </row>
    <row r="2281" ht="15.75" customHeight="1">
      <c r="A2281" s="4">
        <v>1059005.0</v>
      </c>
      <c r="B2281" s="4" t="s">
        <v>3409</v>
      </c>
    </row>
    <row r="2282" ht="15.75" customHeight="1">
      <c r="A2282" s="4">
        <v>1059006.0</v>
      </c>
      <c r="B2282" s="4" t="s">
        <v>3410</v>
      </c>
    </row>
    <row r="2283" ht="15.75" customHeight="1">
      <c r="A2283" s="4">
        <v>1059007.0</v>
      </c>
      <c r="B2283" s="4" t="s">
        <v>3411</v>
      </c>
    </row>
    <row r="2284" ht="15.75" customHeight="1">
      <c r="A2284" s="4">
        <v>1059008.0</v>
      </c>
      <c r="B2284" s="4" t="s">
        <v>3413</v>
      </c>
    </row>
    <row r="2285" ht="15.75" customHeight="1">
      <c r="A2285" s="4">
        <v>1059009.0</v>
      </c>
      <c r="B2285" s="4" t="s">
        <v>3415</v>
      </c>
    </row>
    <row r="2286" ht="15.75" customHeight="1">
      <c r="A2286" s="4">
        <v>1059010.0</v>
      </c>
      <c r="B2286" s="4" t="s">
        <v>3416</v>
      </c>
    </row>
    <row r="2287" ht="15.75" customHeight="1">
      <c r="A2287" s="4">
        <v>1059011.0</v>
      </c>
      <c r="B2287" s="4" t="s">
        <v>3417</v>
      </c>
    </row>
    <row r="2288" ht="15.75" customHeight="1">
      <c r="A2288" s="4">
        <v>1059012.0</v>
      </c>
      <c r="B2288" s="4" t="s">
        <v>3418</v>
      </c>
    </row>
    <row r="2289" ht="15.75" customHeight="1">
      <c r="A2289" s="4">
        <v>1059013.0</v>
      </c>
      <c r="B2289" s="4" t="s">
        <v>3419</v>
      </c>
    </row>
    <row r="2290" ht="15.75" customHeight="1">
      <c r="A2290" s="4">
        <v>1059014.0</v>
      </c>
      <c r="B2290" s="4" t="s">
        <v>3420</v>
      </c>
    </row>
    <row r="2291" ht="15.75" customHeight="1">
      <c r="A2291" s="4">
        <v>1059015.0</v>
      </c>
      <c r="B2291" s="4" t="s">
        <v>3421</v>
      </c>
    </row>
    <row r="2292" ht="15.75" customHeight="1">
      <c r="A2292" s="4">
        <v>1059016.0</v>
      </c>
      <c r="B2292" s="4" t="s">
        <v>3422</v>
      </c>
    </row>
    <row r="2293" ht="15.75" customHeight="1">
      <c r="A2293" s="4">
        <v>1059017.0</v>
      </c>
      <c r="B2293" s="4" t="s">
        <v>3423</v>
      </c>
    </row>
    <row r="2294" ht="15.75" customHeight="1">
      <c r="A2294" s="4">
        <v>1059018.0</v>
      </c>
      <c r="B2294" s="4" t="s">
        <v>3424</v>
      </c>
    </row>
    <row r="2295" ht="15.75" customHeight="1">
      <c r="A2295" s="4">
        <v>1059019.0</v>
      </c>
      <c r="B2295" s="4" t="s">
        <v>3426</v>
      </c>
    </row>
    <row r="2296" ht="15.75" customHeight="1">
      <c r="A2296" s="4">
        <v>1059020.0</v>
      </c>
      <c r="B2296" s="4" t="s">
        <v>3427</v>
      </c>
    </row>
    <row r="2297" ht="15.75" customHeight="1">
      <c r="A2297" s="4">
        <v>1059021.0</v>
      </c>
      <c r="B2297" s="4" t="s">
        <v>3428</v>
      </c>
    </row>
    <row r="2298" ht="15.75" customHeight="1">
      <c r="A2298" s="4">
        <v>1059022.0</v>
      </c>
      <c r="B2298" s="4" t="s">
        <v>3429</v>
      </c>
    </row>
    <row r="2299" ht="15.75" customHeight="1">
      <c r="A2299" s="4">
        <v>1059023.0</v>
      </c>
      <c r="B2299" s="4" t="s">
        <v>3430</v>
      </c>
    </row>
    <row r="2300" ht="15.75" customHeight="1">
      <c r="A2300" s="4">
        <v>1059024.0</v>
      </c>
      <c r="B2300" s="4" t="s">
        <v>3431</v>
      </c>
    </row>
    <row r="2301" ht="15.75" customHeight="1">
      <c r="A2301" s="4">
        <v>1059025.0</v>
      </c>
      <c r="B2301" s="4" t="s">
        <v>3432</v>
      </c>
    </row>
    <row r="2302" ht="15.75" customHeight="1">
      <c r="A2302" s="4">
        <v>1059026.0</v>
      </c>
      <c r="B2302" s="4" t="s">
        <v>3433</v>
      </c>
    </row>
    <row r="2303" ht="15.75" customHeight="1">
      <c r="A2303" s="4">
        <v>1059027.0</v>
      </c>
      <c r="B2303" s="4" t="s">
        <v>3434</v>
      </c>
    </row>
    <row r="2304" ht="15.75" customHeight="1">
      <c r="A2304" s="4">
        <v>1059028.0</v>
      </c>
      <c r="B2304" s="4" t="s">
        <v>3435</v>
      </c>
    </row>
    <row r="2305" ht="15.75" customHeight="1">
      <c r="A2305" s="4">
        <v>1059029.0</v>
      </c>
      <c r="B2305" s="4" t="s">
        <v>3436</v>
      </c>
    </row>
    <row r="2306" ht="15.75" customHeight="1">
      <c r="A2306" s="4">
        <v>1059030.0</v>
      </c>
      <c r="B2306" s="4" t="s">
        <v>3437</v>
      </c>
    </row>
    <row r="2307" ht="15.75" customHeight="1">
      <c r="A2307" s="4">
        <v>1059031.0</v>
      </c>
      <c r="B2307" s="4" t="s">
        <v>3438</v>
      </c>
    </row>
    <row r="2308" ht="15.75" customHeight="1">
      <c r="A2308" s="4">
        <v>1059032.0</v>
      </c>
      <c r="B2308" s="4" t="s">
        <v>3439</v>
      </c>
    </row>
    <row r="2309" ht="15.75" customHeight="1">
      <c r="A2309" s="4">
        <v>1059033.0</v>
      </c>
      <c r="B2309" s="4" t="s">
        <v>3440</v>
      </c>
    </row>
    <row r="2310" ht="15.75" customHeight="1">
      <c r="A2310" s="4">
        <v>1059034.0</v>
      </c>
      <c r="B2310" s="4" t="s">
        <v>3441</v>
      </c>
    </row>
    <row r="2311" ht="15.75" customHeight="1">
      <c r="A2311" s="4">
        <v>1060001.0</v>
      </c>
      <c r="B2311" s="4" t="s">
        <v>3442</v>
      </c>
    </row>
    <row r="2312" ht="15.75" customHeight="1">
      <c r="A2312" s="4">
        <v>1060002.0</v>
      </c>
      <c r="B2312" s="4" t="s">
        <v>3443</v>
      </c>
    </row>
    <row r="2313" ht="15.75" customHeight="1">
      <c r="A2313" s="4">
        <v>1060003.0</v>
      </c>
      <c r="B2313" s="4" t="s">
        <v>3444</v>
      </c>
    </row>
    <row r="2314" ht="15.75" customHeight="1">
      <c r="A2314" s="4">
        <v>1060004.0</v>
      </c>
      <c r="B2314" s="4" t="s">
        <v>3445</v>
      </c>
    </row>
    <row r="2315" ht="15.75" customHeight="1">
      <c r="A2315" s="4">
        <v>1060005.0</v>
      </c>
      <c r="B2315" s="4" t="s">
        <v>3446</v>
      </c>
    </row>
    <row r="2316" ht="15.75" customHeight="1">
      <c r="A2316" s="4">
        <v>1060006.0</v>
      </c>
      <c r="B2316" s="4" t="s">
        <v>3447</v>
      </c>
    </row>
    <row r="2317" ht="15.75" customHeight="1">
      <c r="A2317" s="4">
        <v>1060007.0</v>
      </c>
      <c r="B2317" s="4" t="s">
        <v>3448</v>
      </c>
    </row>
    <row r="2318" ht="15.75" customHeight="1">
      <c r="A2318" s="4">
        <v>1060008.0</v>
      </c>
      <c r="B2318" s="4" t="s">
        <v>3449</v>
      </c>
    </row>
    <row r="2319" ht="15.75" customHeight="1">
      <c r="A2319" s="4">
        <v>1060009.0</v>
      </c>
      <c r="B2319" s="4" t="s">
        <v>3450</v>
      </c>
    </row>
    <row r="2320" ht="15.75" customHeight="1">
      <c r="A2320" s="4">
        <v>1060010.0</v>
      </c>
      <c r="B2320" s="4" t="s">
        <v>3451</v>
      </c>
    </row>
    <row r="2321" ht="15.75" customHeight="1">
      <c r="A2321" s="4">
        <v>1060011.0</v>
      </c>
      <c r="B2321" s="4" t="s">
        <v>3452</v>
      </c>
    </row>
    <row r="2322" ht="15.75" customHeight="1">
      <c r="A2322" s="4">
        <v>1060012.0</v>
      </c>
      <c r="B2322" s="4" t="s">
        <v>3453</v>
      </c>
    </row>
    <row r="2323" ht="15.75" customHeight="1">
      <c r="A2323" s="4">
        <v>1060013.0</v>
      </c>
      <c r="B2323" s="4" t="s">
        <v>3454</v>
      </c>
    </row>
    <row r="2324" ht="15.75" customHeight="1">
      <c r="A2324" s="4">
        <v>1060014.0</v>
      </c>
      <c r="B2324" s="4" t="s">
        <v>3455</v>
      </c>
    </row>
    <row r="2325" ht="15.75" customHeight="1">
      <c r="A2325" s="4">
        <v>1060015.0</v>
      </c>
      <c r="B2325" s="4" t="s">
        <v>3456</v>
      </c>
    </row>
    <row r="2326" ht="15.75" customHeight="1">
      <c r="A2326" s="4">
        <v>1060016.0</v>
      </c>
      <c r="B2326" s="4" t="s">
        <v>3457</v>
      </c>
    </row>
    <row r="2327" ht="15.75" customHeight="1">
      <c r="A2327" s="4">
        <v>1060017.0</v>
      </c>
      <c r="B2327" s="4" t="s">
        <v>3458</v>
      </c>
    </row>
    <row r="2328" ht="15.75" customHeight="1">
      <c r="A2328" s="4">
        <v>1060018.0</v>
      </c>
      <c r="B2328" s="4" t="s">
        <v>3459</v>
      </c>
    </row>
    <row r="2329" ht="15.75" customHeight="1">
      <c r="A2329" s="4">
        <v>1060019.0</v>
      </c>
      <c r="B2329" s="4" t="s">
        <v>3460</v>
      </c>
    </row>
    <row r="2330" ht="15.75" customHeight="1">
      <c r="A2330" s="4">
        <v>1060020.0</v>
      </c>
      <c r="B2330" s="4" t="s">
        <v>3461</v>
      </c>
    </row>
    <row r="2331" ht="15.75" customHeight="1">
      <c r="A2331" s="4">
        <v>1060021.0</v>
      </c>
      <c r="B2331" s="4" t="s">
        <v>3462</v>
      </c>
    </row>
    <row r="2332" ht="15.75" customHeight="1">
      <c r="A2332" s="4">
        <v>1060022.0</v>
      </c>
      <c r="B2332" s="4" t="s">
        <v>3463</v>
      </c>
    </row>
    <row r="2333" ht="15.75" customHeight="1">
      <c r="A2333" s="4">
        <v>1060023.0</v>
      </c>
      <c r="B2333" s="4" t="s">
        <v>3464</v>
      </c>
    </row>
    <row r="2334" ht="15.75" customHeight="1">
      <c r="A2334" s="4">
        <v>1060024.0</v>
      </c>
      <c r="B2334" s="4" t="s">
        <v>3465</v>
      </c>
    </row>
    <row r="2335" ht="15.75" customHeight="1">
      <c r="A2335" s="4">
        <v>1061001.0</v>
      </c>
      <c r="B2335" s="4" t="s">
        <v>3466</v>
      </c>
    </row>
    <row r="2336" ht="15.75" customHeight="1">
      <c r="A2336" s="4">
        <v>1061002.0</v>
      </c>
      <c r="B2336" s="4" t="s">
        <v>3467</v>
      </c>
    </row>
    <row r="2337" ht="15.75" customHeight="1">
      <c r="A2337" s="4">
        <v>1061003.0</v>
      </c>
      <c r="B2337" s="4" t="s">
        <v>3468</v>
      </c>
    </row>
    <row r="2338" ht="15.75" customHeight="1">
      <c r="A2338" s="4">
        <v>1061004.0</v>
      </c>
      <c r="B2338" s="4" t="s">
        <v>3469</v>
      </c>
    </row>
    <row r="2339" ht="15.75" customHeight="1">
      <c r="A2339" s="4">
        <v>1061005.0</v>
      </c>
      <c r="B2339" s="4" t="s">
        <v>3470</v>
      </c>
    </row>
    <row r="2340" ht="15.75" customHeight="1">
      <c r="A2340" s="4">
        <v>1061006.0</v>
      </c>
      <c r="B2340" s="4" t="s">
        <v>3471</v>
      </c>
    </row>
    <row r="2341" ht="15.75" customHeight="1">
      <c r="A2341" s="4">
        <v>1061007.0</v>
      </c>
      <c r="B2341" s="4" t="s">
        <v>3472</v>
      </c>
    </row>
    <row r="2342" ht="15.75" customHeight="1">
      <c r="A2342" s="4">
        <v>1061008.0</v>
      </c>
      <c r="B2342" s="4" t="s">
        <v>3473</v>
      </c>
    </row>
    <row r="2343" ht="15.75" customHeight="1">
      <c r="A2343" s="4">
        <v>1061009.0</v>
      </c>
      <c r="B2343" s="4" t="s">
        <v>3474</v>
      </c>
    </row>
    <row r="2344" ht="15.75" customHeight="1">
      <c r="A2344" s="4">
        <v>1061010.0</v>
      </c>
      <c r="B2344" s="4" t="s">
        <v>3475</v>
      </c>
    </row>
    <row r="2345" ht="15.75" customHeight="1">
      <c r="A2345" s="4">
        <v>1061011.0</v>
      </c>
      <c r="B2345" s="4" t="s">
        <v>3476</v>
      </c>
    </row>
    <row r="2346" ht="15.75" customHeight="1">
      <c r="A2346" s="4">
        <v>1061012.0</v>
      </c>
      <c r="B2346" s="4" t="s">
        <v>3477</v>
      </c>
    </row>
    <row r="2347" ht="15.75" customHeight="1">
      <c r="A2347" s="4">
        <v>1061013.0</v>
      </c>
      <c r="B2347" s="4" t="s">
        <v>3478</v>
      </c>
    </row>
    <row r="2348" ht="15.75" customHeight="1">
      <c r="A2348" s="4">
        <v>1061014.0</v>
      </c>
      <c r="B2348" s="4" t="s">
        <v>3479</v>
      </c>
    </row>
    <row r="2349" ht="15.75" customHeight="1">
      <c r="A2349" s="4">
        <v>1061015.0</v>
      </c>
      <c r="B2349" s="4" t="s">
        <v>3480</v>
      </c>
    </row>
    <row r="2350" ht="15.75" customHeight="1">
      <c r="A2350" s="4">
        <v>1061016.0</v>
      </c>
      <c r="B2350" s="4" t="s">
        <v>3481</v>
      </c>
    </row>
    <row r="2351" ht="15.75" customHeight="1">
      <c r="A2351" s="4">
        <v>1061017.0</v>
      </c>
      <c r="B2351" s="4" t="s">
        <v>3482</v>
      </c>
    </row>
    <row r="2352" ht="15.75" customHeight="1">
      <c r="A2352" s="4">
        <v>1061018.0</v>
      </c>
      <c r="B2352" s="4" t="s">
        <v>3483</v>
      </c>
    </row>
    <row r="2353" ht="15.75" customHeight="1">
      <c r="A2353" s="4">
        <v>1061019.0</v>
      </c>
      <c r="B2353" s="4" t="s">
        <v>3484</v>
      </c>
    </row>
    <row r="2354" ht="15.75" customHeight="1">
      <c r="A2354" s="4">
        <v>1061020.0</v>
      </c>
      <c r="B2354" s="4" t="s">
        <v>3485</v>
      </c>
    </row>
    <row r="2355" ht="15.75" customHeight="1">
      <c r="A2355" s="4">
        <v>1061021.0</v>
      </c>
      <c r="B2355" s="4" t="s">
        <v>3486</v>
      </c>
    </row>
    <row r="2356" ht="15.75" customHeight="1">
      <c r="A2356" s="4">
        <v>1061022.0</v>
      </c>
      <c r="B2356" s="4" t="s">
        <v>3487</v>
      </c>
    </row>
    <row r="2357" ht="15.75" customHeight="1">
      <c r="A2357" s="4">
        <v>1061023.0</v>
      </c>
      <c r="B2357" s="4" t="s">
        <v>3488</v>
      </c>
    </row>
    <row r="2358" ht="15.75" customHeight="1">
      <c r="A2358" s="4">
        <v>1061024.0</v>
      </c>
      <c r="B2358" s="4" t="s">
        <v>3489</v>
      </c>
    </row>
    <row r="2359" ht="15.75" customHeight="1">
      <c r="A2359" s="4">
        <v>1061025.0</v>
      </c>
      <c r="B2359" s="4" t="s">
        <v>3490</v>
      </c>
    </row>
    <row r="2360" ht="15.75" customHeight="1">
      <c r="A2360" s="4">
        <v>1061026.0</v>
      </c>
      <c r="B2360" s="4" t="s">
        <v>3491</v>
      </c>
    </row>
    <row r="2361" ht="15.75" customHeight="1">
      <c r="A2361" s="4">
        <v>1061027.0</v>
      </c>
      <c r="B2361" s="4" t="s">
        <v>3492</v>
      </c>
    </row>
    <row r="2362" ht="15.75" customHeight="1">
      <c r="A2362" s="4">
        <v>1061028.0</v>
      </c>
      <c r="B2362" s="4" t="s">
        <v>3493</v>
      </c>
    </row>
    <row r="2363" ht="15.75" customHeight="1">
      <c r="A2363" s="4">
        <v>1061029.0</v>
      </c>
      <c r="B2363" s="4" t="s">
        <v>3494</v>
      </c>
    </row>
    <row r="2364" ht="15.75" customHeight="1">
      <c r="A2364" s="4">
        <v>1062001.0</v>
      </c>
      <c r="B2364" s="4" t="s">
        <v>3495</v>
      </c>
    </row>
    <row r="2365" ht="15.75" customHeight="1">
      <c r="A2365" s="4">
        <v>1062002.0</v>
      </c>
      <c r="B2365" s="4" t="s">
        <v>3496</v>
      </c>
    </row>
    <row r="2366" ht="15.75" customHeight="1">
      <c r="A2366" s="4">
        <v>1062003.0</v>
      </c>
      <c r="B2366" s="4" t="s">
        <v>3497</v>
      </c>
    </row>
    <row r="2367" ht="15.75" customHeight="1">
      <c r="A2367" s="4">
        <v>1062004.0</v>
      </c>
      <c r="B2367" s="4" t="s">
        <v>3498</v>
      </c>
    </row>
    <row r="2368" ht="15.75" customHeight="1">
      <c r="A2368" s="4">
        <v>1062005.0</v>
      </c>
      <c r="B2368" s="4" t="s">
        <v>3499</v>
      </c>
    </row>
    <row r="2369" ht="15.75" customHeight="1">
      <c r="A2369" s="4">
        <v>1062006.0</v>
      </c>
      <c r="B2369" s="4" t="s">
        <v>3500</v>
      </c>
    </row>
    <row r="2370" ht="15.75" customHeight="1">
      <c r="A2370" s="4">
        <v>1062007.0</v>
      </c>
      <c r="B2370" s="4" t="s">
        <v>3501</v>
      </c>
    </row>
    <row r="2371" ht="15.75" customHeight="1">
      <c r="A2371" s="4">
        <v>1062008.0</v>
      </c>
      <c r="B2371" s="4" t="s">
        <v>3502</v>
      </c>
    </row>
    <row r="2372" ht="15.75" customHeight="1">
      <c r="A2372" s="4">
        <v>1062009.0</v>
      </c>
      <c r="B2372" s="4" t="s">
        <v>3503</v>
      </c>
    </row>
    <row r="2373" ht="15.75" customHeight="1">
      <c r="A2373" s="4">
        <v>1062010.0</v>
      </c>
      <c r="B2373" s="4" t="s">
        <v>3504</v>
      </c>
    </row>
    <row r="2374" ht="15.75" customHeight="1">
      <c r="A2374" s="4">
        <v>1062011.0</v>
      </c>
      <c r="B2374" s="4" t="s">
        <v>3506</v>
      </c>
    </row>
    <row r="2375" ht="15.75" customHeight="1">
      <c r="A2375" s="4">
        <v>1062012.0</v>
      </c>
      <c r="B2375" s="4" t="s">
        <v>3507</v>
      </c>
    </row>
    <row r="2376" ht="15.75" customHeight="1">
      <c r="A2376" s="4">
        <v>1062013.0</v>
      </c>
      <c r="B2376" s="4" t="s">
        <v>3508</v>
      </c>
    </row>
    <row r="2377" ht="15.75" customHeight="1">
      <c r="A2377" s="4">
        <v>1062014.0</v>
      </c>
      <c r="B2377" s="4" t="s">
        <v>3509</v>
      </c>
    </row>
    <row r="2378" ht="15.75" customHeight="1">
      <c r="A2378" s="4">
        <v>1062015.0</v>
      </c>
      <c r="B2378" s="4" t="s">
        <v>3510</v>
      </c>
    </row>
    <row r="2379" ht="15.75" customHeight="1">
      <c r="A2379" s="4">
        <v>1062016.0</v>
      </c>
      <c r="B2379" s="4" t="s">
        <v>3511</v>
      </c>
    </row>
    <row r="2380" ht="15.75" customHeight="1">
      <c r="A2380" s="4">
        <v>1062017.0</v>
      </c>
      <c r="B2380" s="4" t="s">
        <v>3512</v>
      </c>
    </row>
    <row r="2381" ht="15.75" customHeight="1">
      <c r="A2381" s="4">
        <v>1062018.0</v>
      </c>
      <c r="B2381" s="4" t="s">
        <v>3513</v>
      </c>
    </row>
    <row r="2382" ht="15.75" customHeight="1">
      <c r="A2382" s="4">
        <v>1062019.0</v>
      </c>
      <c r="B2382" s="4" t="s">
        <v>3514</v>
      </c>
    </row>
    <row r="2383" ht="15.75" customHeight="1">
      <c r="A2383" s="4">
        <v>1062020.0</v>
      </c>
      <c r="B2383" s="4" t="s">
        <v>3515</v>
      </c>
    </row>
    <row r="2384" ht="15.75" customHeight="1">
      <c r="A2384" s="4">
        <v>1062021.0</v>
      </c>
      <c r="B2384" s="4" t="s">
        <v>3514</v>
      </c>
    </row>
    <row r="2385" ht="15.75" customHeight="1">
      <c r="A2385" s="4">
        <v>1062022.0</v>
      </c>
      <c r="B2385" s="4" t="s">
        <v>3516</v>
      </c>
    </row>
    <row r="2386" ht="15.75" customHeight="1">
      <c r="A2386" s="4">
        <v>1062023.0</v>
      </c>
      <c r="B2386" s="4" t="s">
        <v>3517</v>
      </c>
    </row>
    <row r="2387" ht="15.75" customHeight="1">
      <c r="A2387" s="4">
        <v>1062024.0</v>
      </c>
      <c r="B2387" s="4" t="s">
        <v>3518</v>
      </c>
    </row>
    <row r="2388" ht="15.75" customHeight="1">
      <c r="A2388" s="4">
        <v>1062025.0</v>
      </c>
      <c r="B2388" s="4" t="s">
        <v>3519</v>
      </c>
    </row>
    <row r="2389" ht="15.75" customHeight="1">
      <c r="A2389" s="4">
        <v>1062026.0</v>
      </c>
      <c r="B2389" s="4" t="s">
        <v>3520</v>
      </c>
    </row>
    <row r="2390" ht="15.75" customHeight="1">
      <c r="A2390" s="4">
        <v>1062027.0</v>
      </c>
      <c r="B2390" s="4" t="s">
        <v>3521</v>
      </c>
    </row>
    <row r="2391" ht="15.75" customHeight="1">
      <c r="A2391" s="4">
        <v>1062028.0</v>
      </c>
      <c r="B2391" s="4" t="s">
        <v>3522</v>
      </c>
    </row>
    <row r="2392" ht="15.75" customHeight="1">
      <c r="A2392" s="4">
        <v>1062029.0</v>
      </c>
      <c r="B2392" s="4" t="s">
        <v>3523</v>
      </c>
    </row>
    <row r="2393" ht="15.75" customHeight="1">
      <c r="A2393" s="4">
        <v>1062030.0</v>
      </c>
      <c r="B2393" s="4" t="s">
        <v>3524</v>
      </c>
    </row>
    <row r="2394" ht="15.75" customHeight="1">
      <c r="A2394" s="4">
        <v>1062031.0</v>
      </c>
      <c r="B2394" s="4" t="s">
        <v>3525</v>
      </c>
    </row>
    <row r="2395" ht="15.75" customHeight="1">
      <c r="A2395" s="4">
        <v>1062032.0</v>
      </c>
      <c r="B2395" s="4" t="s">
        <v>3526</v>
      </c>
    </row>
    <row r="2396" ht="15.75" customHeight="1">
      <c r="A2396" s="4">
        <v>1062033.0</v>
      </c>
      <c r="B2396" s="4" t="s">
        <v>3527</v>
      </c>
    </row>
    <row r="2397" ht="15.75" customHeight="1">
      <c r="A2397" s="4">
        <v>1062034.0</v>
      </c>
      <c r="B2397" s="4" t="s">
        <v>3528</v>
      </c>
    </row>
    <row r="2398" ht="15.75" customHeight="1">
      <c r="A2398" s="4">
        <v>1062035.0</v>
      </c>
      <c r="B2398" s="4" t="s">
        <v>3529</v>
      </c>
    </row>
    <row r="2399" ht="15.75" customHeight="1">
      <c r="A2399" s="4">
        <v>1062036.0</v>
      </c>
      <c r="B2399" s="4" t="s">
        <v>3530</v>
      </c>
    </row>
    <row r="2400" ht="15.75" customHeight="1">
      <c r="A2400" s="4">
        <v>1062037.0</v>
      </c>
      <c r="B2400" s="4" t="s">
        <v>3533</v>
      </c>
    </row>
    <row r="2401" ht="15.75" customHeight="1">
      <c r="A2401" s="4">
        <v>1063001.0</v>
      </c>
      <c r="B2401" s="4" t="s">
        <v>3534</v>
      </c>
    </row>
    <row r="2402" ht="15.75" customHeight="1">
      <c r="A2402" s="4">
        <v>1063002.0</v>
      </c>
      <c r="B2402" s="4" t="s">
        <v>3535</v>
      </c>
    </row>
    <row r="2403" ht="15.75" customHeight="1">
      <c r="A2403" s="4">
        <v>1063003.0</v>
      </c>
      <c r="B2403" s="4" t="s">
        <v>3536</v>
      </c>
    </row>
    <row r="2404" ht="15.75" customHeight="1">
      <c r="A2404" s="4">
        <v>1063004.0</v>
      </c>
      <c r="B2404" s="4" t="s">
        <v>3537</v>
      </c>
    </row>
    <row r="2405" ht="15.75" customHeight="1">
      <c r="A2405" s="4">
        <v>1063005.0</v>
      </c>
      <c r="B2405" s="4" t="s">
        <v>3538</v>
      </c>
    </row>
    <row r="2406" ht="15.75" customHeight="1">
      <c r="A2406" s="4">
        <v>1063006.0</v>
      </c>
      <c r="B2406" s="4" t="s">
        <v>3539</v>
      </c>
    </row>
    <row r="2407" ht="15.75" customHeight="1">
      <c r="A2407" s="4">
        <v>1063007.0</v>
      </c>
      <c r="B2407" s="4" t="s">
        <v>3540</v>
      </c>
    </row>
    <row r="2408" ht="15.75" customHeight="1">
      <c r="A2408" s="4">
        <v>1063008.0</v>
      </c>
      <c r="B2408" s="4" t="s">
        <v>3541</v>
      </c>
    </row>
    <row r="2409" ht="15.75" customHeight="1">
      <c r="A2409" s="4">
        <v>1063009.0</v>
      </c>
      <c r="B2409" s="4" t="s">
        <v>3542</v>
      </c>
    </row>
    <row r="2410" ht="15.75" customHeight="1">
      <c r="A2410" s="4">
        <v>1063010.0</v>
      </c>
      <c r="B2410" s="4" t="s">
        <v>3543</v>
      </c>
    </row>
    <row r="2411" ht="15.75" customHeight="1">
      <c r="A2411" s="4">
        <v>1063011.0</v>
      </c>
      <c r="B2411" s="4" t="s">
        <v>3544</v>
      </c>
    </row>
    <row r="2412" ht="15.75" customHeight="1">
      <c r="A2412" s="4">
        <v>1063012.0</v>
      </c>
      <c r="B2412" s="4" t="s">
        <v>3545</v>
      </c>
    </row>
    <row r="2413" ht="15.75" customHeight="1">
      <c r="A2413" s="4">
        <v>1063013.0</v>
      </c>
      <c r="B2413" s="4" t="s">
        <v>3546</v>
      </c>
    </row>
    <row r="2414" ht="15.75" customHeight="1">
      <c r="A2414" s="4">
        <v>1063014.0</v>
      </c>
      <c r="B2414" s="4" t="s">
        <v>3547</v>
      </c>
    </row>
    <row r="2415" ht="15.75" customHeight="1">
      <c r="A2415" s="4">
        <v>1063015.0</v>
      </c>
      <c r="B2415" s="4" t="s">
        <v>3548</v>
      </c>
    </row>
    <row r="2416" ht="15.75" customHeight="1">
      <c r="A2416" s="4">
        <v>1063016.0</v>
      </c>
      <c r="B2416" s="4" t="s">
        <v>3549</v>
      </c>
    </row>
    <row r="2417" ht="15.75" customHeight="1">
      <c r="A2417" s="4">
        <v>1063017.0</v>
      </c>
      <c r="B2417" s="4" t="s">
        <v>3550</v>
      </c>
    </row>
    <row r="2418" ht="15.75" customHeight="1">
      <c r="A2418" s="4">
        <v>1063018.0</v>
      </c>
      <c r="B2418" s="4" t="s">
        <v>3551</v>
      </c>
    </row>
    <row r="2419" ht="15.75" customHeight="1">
      <c r="A2419" s="4">
        <v>1063019.0</v>
      </c>
      <c r="B2419" s="4" t="s">
        <v>3552</v>
      </c>
    </row>
    <row r="2420" ht="15.75" customHeight="1">
      <c r="A2420" s="4">
        <v>1063020.0</v>
      </c>
      <c r="B2420" s="4" t="s">
        <v>3553</v>
      </c>
    </row>
    <row r="2421" ht="15.75" customHeight="1">
      <c r="A2421" s="4">
        <v>1063021.0</v>
      </c>
      <c r="B2421" s="4" t="s">
        <v>3554</v>
      </c>
    </row>
    <row r="2422" ht="15.75" customHeight="1">
      <c r="A2422" s="4">
        <v>1063022.0</v>
      </c>
      <c r="B2422" s="4" t="s">
        <v>3555</v>
      </c>
    </row>
    <row r="2423" ht="15.75" customHeight="1">
      <c r="A2423" s="4">
        <v>1063023.0</v>
      </c>
      <c r="B2423" s="4" t="s">
        <v>3556</v>
      </c>
    </row>
    <row r="2424" ht="15.75" customHeight="1">
      <c r="A2424" s="4">
        <v>1063024.0</v>
      </c>
      <c r="B2424" s="4" t="s">
        <v>3557</v>
      </c>
    </row>
    <row r="2425" ht="15.75" customHeight="1">
      <c r="A2425" s="4">
        <v>1063025.0</v>
      </c>
      <c r="B2425" s="4" t="s">
        <v>3558</v>
      </c>
    </row>
    <row r="2426" ht="15.75" customHeight="1">
      <c r="A2426" s="4">
        <v>1063026.0</v>
      </c>
      <c r="B2426" s="4" t="s">
        <v>3559</v>
      </c>
    </row>
    <row r="2427" ht="15.75" customHeight="1">
      <c r="A2427" s="4">
        <v>1063027.0</v>
      </c>
      <c r="B2427" s="4" t="s">
        <v>3560</v>
      </c>
    </row>
    <row r="2428" ht="15.75" customHeight="1">
      <c r="A2428" s="4">
        <v>1063028.0</v>
      </c>
      <c r="B2428" s="4" t="s">
        <v>3561</v>
      </c>
    </row>
    <row r="2429" ht="15.75" customHeight="1">
      <c r="A2429" s="4">
        <v>1063029.0</v>
      </c>
      <c r="B2429" s="4" t="s">
        <v>3562</v>
      </c>
    </row>
    <row r="2430" ht="15.75" customHeight="1">
      <c r="A2430" s="4">
        <v>1063030.0</v>
      </c>
      <c r="B2430" s="4" t="s">
        <v>3563</v>
      </c>
    </row>
    <row r="2431" ht="15.75" customHeight="1">
      <c r="A2431" s="4">
        <v>1063031.0</v>
      </c>
      <c r="B2431" s="4" t="s">
        <v>3564</v>
      </c>
    </row>
    <row r="2432" ht="15.75" customHeight="1">
      <c r="A2432" s="4">
        <v>1064001.0</v>
      </c>
      <c r="B2432" s="4" t="s">
        <v>3565</v>
      </c>
    </row>
    <row r="2433" ht="15.75" customHeight="1">
      <c r="A2433" s="4">
        <v>1064002.0</v>
      </c>
      <c r="B2433" s="4" t="s">
        <v>3566</v>
      </c>
    </row>
    <row r="2434" ht="15.75" customHeight="1">
      <c r="A2434" s="4">
        <v>1064003.0</v>
      </c>
      <c r="B2434" s="4" t="s">
        <v>3567</v>
      </c>
    </row>
    <row r="2435" ht="15.75" customHeight="1">
      <c r="A2435" s="4">
        <v>1064004.0</v>
      </c>
      <c r="B2435" s="4" t="s">
        <v>3568</v>
      </c>
    </row>
    <row r="2436" ht="15.75" customHeight="1">
      <c r="A2436" s="4">
        <v>1064005.0</v>
      </c>
      <c r="B2436" s="4" t="s">
        <v>3569</v>
      </c>
    </row>
    <row r="2437" ht="15.75" customHeight="1">
      <c r="A2437" s="4">
        <v>1064006.0</v>
      </c>
      <c r="B2437" s="4" t="s">
        <v>3570</v>
      </c>
    </row>
    <row r="2438" ht="15.75" customHeight="1">
      <c r="A2438" s="4">
        <v>1064007.0</v>
      </c>
      <c r="B2438" s="4" t="s">
        <v>3571</v>
      </c>
    </row>
    <row r="2439" ht="15.75" customHeight="1">
      <c r="A2439" s="4">
        <v>1064008.0</v>
      </c>
      <c r="B2439" s="4" t="s">
        <v>3572</v>
      </c>
    </row>
    <row r="2440" ht="15.75" customHeight="1">
      <c r="A2440" s="4">
        <v>1064009.0</v>
      </c>
      <c r="B2440" s="4" t="s">
        <v>3573</v>
      </c>
    </row>
    <row r="2441" ht="15.75" customHeight="1">
      <c r="A2441" s="4">
        <v>1064010.0</v>
      </c>
      <c r="B2441" s="4" t="s">
        <v>3574</v>
      </c>
    </row>
    <row r="2442" ht="15.75" customHeight="1">
      <c r="A2442" s="4">
        <v>1064011.0</v>
      </c>
      <c r="B2442" s="4" t="s">
        <v>3575</v>
      </c>
    </row>
    <row r="2443" ht="15.75" customHeight="1">
      <c r="A2443" s="4">
        <v>1064012.0</v>
      </c>
      <c r="B2443" s="4" t="s">
        <v>3576</v>
      </c>
    </row>
    <row r="2444" ht="15.75" customHeight="1">
      <c r="A2444" s="4">
        <v>1064013.0</v>
      </c>
      <c r="B2444" s="4" t="s">
        <v>3577</v>
      </c>
    </row>
    <row r="2445" ht="15.75" customHeight="1">
      <c r="A2445" s="4">
        <v>1064014.0</v>
      </c>
      <c r="B2445" s="4" t="s">
        <v>3578</v>
      </c>
    </row>
    <row r="2446" ht="15.75" customHeight="1">
      <c r="A2446" s="4">
        <v>1065001.0</v>
      </c>
      <c r="B2446" s="4" t="s">
        <v>3579</v>
      </c>
    </row>
    <row r="2447" ht="15.75" customHeight="1">
      <c r="A2447" s="4">
        <v>1065002.0</v>
      </c>
      <c r="B2447" s="4" t="s">
        <v>3580</v>
      </c>
    </row>
    <row r="2448" ht="15.75" customHeight="1">
      <c r="A2448" s="4">
        <v>1065003.0</v>
      </c>
      <c r="B2448" s="4" t="s">
        <v>3581</v>
      </c>
    </row>
    <row r="2449" ht="15.75" customHeight="1">
      <c r="A2449" s="4">
        <v>1065004.0</v>
      </c>
      <c r="B2449" s="4" t="s">
        <v>3582</v>
      </c>
    </row>
    <row r="2450" ht="15.75" customHeight="1">
      <c r="A2450" s="4">
        <v>1065005.0</v>
      </c>
      <c r="B2450" s="4" t="s">
        <v>3583</v>
      </c>
    </row>
    <row r="2451" ht="15.75" customHeight="1">
      <c r="A2451" s="4">
        <v>1065006.0</v>
      </c>
      <c r="B2451" s="4" t="s">
        <v>3584</v>
      </c>
    </row>
    <row r="2452" ht="15.75" customHeight="1">
      <c r="A2452" s="4">
        <v>1065007.0</v>
      </c>
      <c r="B2452" s="4" t="s">
        <v>3585</v>
      </c>
    </row>
    <row r="2453" ht="15.75" customHeight="1">
      <c r="A2453" s="4">
        <v>1065008.0</v>
      </c>
      <c r="B2453" s="4" t="s">
        <v>3586</v>
      </c>
    </row>
    <row r="2454" ht="15.75" customHeight="1">
      <c r="A2454" s="4">
        <v>1065009.0</v>
      </c>
      <c r="B2454" s="4" t="s">
        <v>3587</v>
      </c>
    </row>
    <row r="2455" ht="15.75" customHeight="1">
      <c r="A2455" s="4">
        <v>1065010.0</v>
      </c>
      <c r="B2455" s="4" t="s">
        <v>3588</v>
      </c>
    </row>
    <row r="2456" ht="15.75" customHeight="1">
      <c r="A2456" s="4">
        <v>1065011.0</v>
      </c>
      <c r="B2456" s="4" t="s">
        <v>3589</v>
      </c>
    </row>
    <row r="2457" ht="15.75" customHeight="1">
      <c r="A2457" s="4">
        <v>1065012.0</v>
      </c>
      <c r="B2457" s="4" t="s">
        <v>3590</v>
      </c>
    </row>
    <row r="2458" ht="15.75" customHeight="1">
      <c r="A2458" s="4">
        <v>1065013.0</v>
      </c>
      <c r="B2458" s="4" t="s">
        <v>3591</v>
      </c>
    </row>
    <row r="2459" ht="15.75" customHeight="1">
      <c r="A2459" s="4">
        <v>1065014.0</v>
      </c>
      <c r="B2459" s="4" t="s">
        <v>3592</v>
      </c>
    </row>
    <row r="2460" ht="15.75" customHeight="1">
      <c r="A2460" s="4">
        <v>1065015.0</v>
      </c>
      <c r="B2460" s="4" t="s">
        <v>3593</v>
      </c>
    </row>
    <row r="2461" ht="15.75" customHeight="1">
      <c r="A2461" s="4">
        <v>1066001.0</v>
      </c>
      <c r="B2461" s="4" t="s">
        <v>3594</v>
      </c>
    </row>
    <row r="2462" ht="15.75" customHeight="1">
      <c r="A2462" s="4">
        <v>1066002.0</v>
      </c>
      <c r="B2462" s="4" t="s">
        <v>3595</v>
      </c>
    </row>
    <row r="2463" ht="15.75" customHeight="1">
      <c r="A2463" s="4">
        <v>1066003.0</v>
      </c>
      <c r="B2463" s="4" t="s">
        <v>3596</v>
      </c>
    </row>
    <row r="2464" ht="15.75" customHeight="1">
      <c r="A2464" s="4">
        <v>1066004.0</v>
      </c>
      <c r="B2464" s="4" t="s">
        <v>3597</v>
      </c>
    </row>
    <row r="2465" ht="15.75" customHeight="1">
      <c r="A2465" s="4">
        <v>1066005.0</v>
      </c>
      <c r="B2465" s="4" t="s">
        <v>3598</v>
      </c>
    </row>
    <row r="2466" ht="15.75" customHeight="1">
      <c r="A2466" s="4">
        <v>1066006.0</v>
      </c>
      <c r="B2466" s="4" t="s">
        <v>3599</v>
      </c>
    </row>
    <row r="2467" ht="15.75" customHeight="1">
      <c r="A2467" s="4">
        <v>1066007.0</v>
      </c>
      <c r="B2467" s="4" t="s">
        <v>3600</v>
      </c>
    </row>
    <row r="2468" ht="15.75" customHeight="1">
      <c r="A2468" s="4">
        <v>1066008.0</v>
      </c>
      <c r="B2468" s="4" t="s">
        <v>3601</v>
      </c>
    </row>
    <row r="2469" ht="15.75" customHeight="1">
      <c r="A2469" s="4">
        <v>1066009.0</v>
      </c>
      <c r="B2469" s="4" t="s">
        <v>3602</v>
      </c>
    </row>
    <row r="2470" ht="15.75" customHeight="1">
      <c r="A2470" s="4">
        <v>1066010.0</v>
      </c>
      <c r="B2470" s="4" t="s">
        <v>3603</v>
      </c>
    </row>
    <row r="2471" ht="15.75" customHeight="1">
      <c r="A2471" s="4">
        <v>1066011.0</v>
      </c>
      <c r="B2471" s="4" t="s">
        <v>3604</v>
      </c>
    </row>
    <row r="2472" ht="15.75" customHeight="1">
      <c r="A2472" s="4">
        <v>1066012.0</v>
      </c>
      <c r="B2472" s="4" t="s">
        <v>3605</v>
      </c>
    </row>
    <row r="2473" ht="15.75" customHeight="1">
      <c r="A2473" s="4">
        <v>1066013.0</v>
      </c>
      <c r="B2473" s="4" t="s">
        <v>3606</v>
      </c>
    </row>
    <row r="2474" ht="15.75" customHeight="1">
      <c r="A2474" s="4">
        <v>1066014.0</v>
      </c>
      <c r="B2474" s="4" t="s">
        <v>3607</v>
      </c>
    </row>
    <row r="2475" ht="15.75" customHeight="1">
      <c r="A2475" s="4">
        <v>1066015.0</v>
      </c>
      <c r="B2475" s="4" t="s">
        <v>3608</v>
      </c>
    </row>
    <row r="2476" ht="15.75" customHeight="1">
      <c r="A2476" s="4">
        <v>1066016.0</v>
      </c>
      <c r="B2476" s="4" t="s">
        <v>3609</v>
      </c>
    </row>
    <row r="2477" ht="15.75" customHeight="1">
      <c r="A2477" s="4">
        <v>1066017.0</v>
      </c>
      <c r="B2477" s="4" t="s">
        <v>3610</v>
      </c>
    </row>
    <row r="2478" ht="15.75" customHeight="1">
      <c r="A2478" s="4">
        <v>1066018.0</v>
      </c>
      <c r="B2478" s="4" t="s">
        <v>3611</v>
      </c>
    </row>
    <row r="2479" ht="15.75" customHeight="1">
      <c r="A2479" s="4">
        <v>1066019.0</v>
      </c>
      <c r="B2479" s="4" t="s">
        <v>3612</v>
      </c>
    </row>
    <row r="2480" ht="15.75" customHeight="1">
      <c r="A2480" s="4">
        <v>1066020.0</v>
      </c>
      <c r="B2480" s="4" t="s">
        <v>3613</v>
      </c>
    </row>
    <row r="2481" ht="15.75" customHeight="1">
      <c r="A2481" s="4">
        <v>1067001.0</v>
      </c>
      <c r="B2481" s="4" t="s">
        <v>3614</v>
      </c>
    </row>
    <row r="2482" ht="15.75" customHeight="1">
      <c r="A2482" s="4">
        <v>1067002.0</v>
      </c>
      <c r="B2482" s="4" t="s">
        <v>3615</v>
      </c>
    </row>
    <row r="2483" ht="15.75" customHeight="1">
      <c r="A2483" s="4">
        <v>1067003.0</v>
      </c>
      <c r="B2483" s="4" t="s">
        <v>3616</v>
      </c>
    </row>
    <row r="2484" ht="15.75" customHeight="1">
      <c r="A2484" s="4">
        <v>1067004.0</v>
      </c>
      <c r="B2484" s="4" t="s">
        <v>3617</v>
      </c>
    </row>
    <row r="2485" ht="15.75" customHeight="1">
      <c r="A2485" s="4">
        <v>1067005.0</v>
      </c>
      <c r="B2485" s="4" t="s">
        <v>3618</v>
      </c>
    </row>
    <row r="2486" ht="15.75" customHeight="1">
      <c r="A2486" s="4">
        <v>1067006.0</v>
      </c>
      <c r="B2486" s="4" t="s">
        <v>3619</v>
      </c>
    </row>
    <row r="2487" ht="15.75" customHeight="1">
      <c r="A2487" s="4">
        <v>1067007.0</v>
      </c>
      <c r="B2487" s="4" t="s">
        <v>3620</v>
      </c>
    </row>
    <row r="2488" ht="15.75" customHeight="1">
      <c r="A2488" s="4">
        <v>1067008.0</v>
      </c>
      <c r="B2488" s="4" t="s">
        <v>3621</v>
      </c>
    </row>
    <row r="2489" ht="15.75" customHeight="1">
      <c r="A2489" s="4">
        <v>1067009.0</v>
      </c>
      <c r="B2489" s="4" t="s">
        <v>3622</v>
      </c>
    </row>
    <row r="2490" ht="15.75" customHeight="1">
      <c r="A2490" s="4">
        <v>1067010.0</v>
      </c>
      <c r="B2490" s="4" t="s">
        <v>3623</v>
      </c>
    </row>
    <row r="2491" ht="15.75" customHeight="1">
      <c r="A2491" s="4">
        <v>1067011.0</v>
      </c>
      <c r="B2491" s="4" t="s">
        <v>3624</v>
      </c>
    </row>
    <row r="2492" ht="15.75" customHeight="1">
      <c r="A2492" s="4">
        <v>1067012.0</v>
      </c>
      <c r="B2492" s="4" t="s">
        <v>3625</v>
      </c>
    </row>
    <row r="2493" ht="15.75" customHeight="1">
      <c r="A2493" s="4">
        <v>1067013.0</v>
      </c>
      <c r="B2493" s="4" t="s">
        <v>3626</v>
      </c>
    </row>
    <row r="2494" ht="15.75" customHeight="1">
      <c r="A2494" s="4">
        <v>1067014.0</v>
      </c>
      <c r="B2494" s="4" t="s">
        <v>3627</v>
      </c>
    </row>
    <row r="2495" ht="15.75" customHeight="1">
      <c r="A2495" s="4">
        <v>1067015.0</v>
      </c>
      <c r="B2495" s="4" t="s">
        <v>3628</v>
      </c>
    </row>
    <row r="2496" ht="15.75" customHeight="1">
      <c r="A2496" s="4">
        <v>1067016.0</v>
      </c>
      <c r="B2496" s="4" t="s">
        <v>3629</v>
      </c>
    </row>
    <row r="2497" ht="15.75" customHeight="1">
      <c r="A2497" s="4">
        <v>1067017.0</v>
      </c>
      <c r="B2497" s="4" t="s">
        <v>3631</v>
      </c>
    </row>
    <row r="2498" ht="15.75" customHeight="1">
      <c r="A2498" s="4">
        <v>1067018.0</v>
      </c>
      <c r="B2498" s="4" t="s">
        <v>3632</v>
      </c>
    </row>
    <row r="2499" ht="15.75" customHeight="1">
      <c r="A2499" s="4">
        <v>1067019.0</v>
      </c>
      <c r="B2499" s="4" t="s">
        <v>3633</v>
      </c>
    </row>
    <row r="2500" ht="15.75" customHeight="1">
      <c r="A2500" s="4">
        <v>1067020.0</v>
      </c>
      <c r="B2500" s="4" t="s">
        <v>3634</v>
      </c>
    </row>
    <row r="2501" ht="15.75" customHeight="1">
      <c r="A2501" s="4">
        <v>1067021.0</v>
      </c>
      <c r="B2501" s="4" t="s">
        <v>3635</v>
      </c>
    </row>
    <row r="2502" ht="15.75" customHeight="1">
      <c r="A2502" s="4">
        <v>1067022.0</v>
      </c>
      <c r="B2502" s="4" t="s">
        <v>3636</v>
      </c>
    </row>
    <row r="2503" ht="15.75" customHeight="1">
      <c r="A2503" s="4">
        <v>1067025.0</v>
      </c>
      <c r="B2503" s="4" t="s">
        <v>3637</v>
      </c>
    </row>
    <row r="2504" ht="15.75" customHeight="1">
      <c r="A2504" s="4">
        <v>1067026.0</v>
      </c>
      <c r="B2504" s="4" t="s">
        <v>3638</v>
      </c>
    </row>
    <row r="2505" ht="15.75" customHeight="1">
      <c r="A2505" s="4">
        <v>1067027.0</v>
      </c>
      <c r="B2505" s="4" t="s">
        <v>3639</v>
      </c>
    </row>
    <row r="2506" ht="15.75" customHeight="1">
      <c r="A2506" s="4">
        <v>1067028.0</v>
      </c>
      <c r="B2506" s="4" t="s">
        <v>3640</v>
      </c>
    </row>
    <row r="2507" ht="15.75" customHeight="1">
      <c r="A2507" s="4">
        <v>1068001.0</v>
      </c>
      <c r="B2507" s="4" t="s">
        <v>3641</v>
      </c>
    </row>
    <row r="2508" ht="15.75" customHeight="1">
      <c r="A2508" s="4">
        <v>1068002.0</v>
      </c>
      <c r="B2508" s="4" t="s">
        <v>3642</v>
      </c>
    </row>
    <row r="2509" ht="15.75" customHeight="1">
      <c r="A2509" s="4">
        <v>1068003.0</v>
      </c>
      <c r="B2509" s="4" t="s">
        <v>3643</v>
      </c>
    </row>
    <row r="2510" ht="15.75" customHeight="1">
      <c r="A2510" s="4">
        <v>1068004.0</v>
      </c>
      <c r="B2510" s="4" t="s">
        <v>3644</v>
      </c>
    </row>
    <row r="2511" ht="15.75" customHeight="1">
      <c r="A2511" s="4">
        <v>1068005.0</v>
      </c>
      <c r="B2511" s="4" t="s">
        <v>3645</v>
      </c>
    </row>
    <row r="2512" ht="15.75" customHeight="1">
      <c r="A2512" s="4">
        <v>1068006.0</v>
      </c>
      <c r="B2512" s="4" t="s">
        <v>3646</v>
      </c>
    </row>
    <row r="2513" ht="15.75" customHeight="1">
      <c r="A2513" s="4">
        <v>1068007.0</v>
      </c>
      <c r="B2513" s="4" t="s">
        <v>3647</v>
      </c>
    </row>
    <row r="2514" ht="15.75" customHeight="1">
      <c r="A2514" s="4">
        <v>1068008.0</v>
      </c>
      <c r="B2514" s="4" t="s">
        <v>3648</v>
      </c>
    </row>
    <row r="2515" ht="15.75" customHeight="1">
      <c r="A2515" s="4">
        <v>1068009.0</v>
      </c>
      <c r="B2515" s="4" t="s">
        <v>3649</v>
      </c>
    </row>
    <row r="2516" ht="15.75" customHeight="1">
      <c r="A2516" s="4">
        <v>1068010.0</v>
      </c>
      <c r="B2516" s="4" t="s">
        <v>3650</v>
      </c>
    </row>
    <row r="2517" ht="15.75" customHeight="1">
      <c r="A2517" s="4">
        <v>1068011.0</v>
      </c>
      <c r="B2517" s="4" t="s">
        <v>3651</v>
      </c>
    </row>
    <row r="2518" ht="15.75" customHeight="1">
      <c r="A2518" s="4">
        <v>1068012.0</v>
      </c>
      <c r="B2518" s="4" t="s">
        <v>3652</v>
      </c>
    </row>
    <row r="2519" ht="15.75" customHeight="1">
      <c r="A2519" s="4">
        <v>1068013.0</v>
      </c>
      <c r="B2519" s="4" t="s">
        <v>3653</v>
      </c>
    </row>
    <row r="2520" ht="15.75" customHeight="1">
      <c r="A2520" s="4">
        <v>1068014.0</v>
      </c>
      <c r="B2520" s="4" t="s">
        <v>3654</v>
      </c>
    </row>
    <row r="2521" ht="15.75" customHeight="1">
      <c r="A2521" s="4">
        <v>1068015.0</v>
      </c>
      <c r="B2521" s="4" t="s">
        <v>3657</v>
      </c>
    </row>
    <row r="2522" ht="15.75" customHeight="1">
      <c r="A2522" s="4">
        <v>1068016.0</v>
      </c>
      <c r="B2522" s="4" t="s">
        <v>3658</v>
      </c>
    </row>
    <row r="2523" ht="15.75" customHeight="1">
      <c r="A2523" s="4">
        <v>1068017.0</v>
      </c>
      <c r="B2523" s="4" t="s">
        <v>3659</v>
      </c>
    </row>
    <row r="2524" ht="15.75" customHeight="1">
      <c r="A2524" s="4">
        <v>1068018.0</v>
      </c>
      <c r="B2524" s="4" t="s">
        <v>3660</v>
      </c>
    </row>
    <row r="2525" ht="15.75" customHeight="1">
      <c r="A2525" s="4">
        <v>1068019.0</v>
      </c>
      <c r="B2525" s="4" t="s">
        <v>3661</v>
      </c>
    </row>
    <row r="2526" ht="15.75" customHeight="1">
      <c r="A2526" s="4">
        <v>1068020.0</v>
      </c>
      <c r="B2526" s="4" t="s">
        <v>3662</v>
      </c>
    </row>
    <row r="2527" ht="15.75" customHeight="1">
      <c r="A2527" s="4">
        <v>1068021.0</v>
      </c>
      <c r="B2527" s="4" t="s">
        <v>3663</v>
      </c>
    </row>
    <row r="2528" ht="15.75" customHeight="1">
      <c r="A2528" s="4">
        <v>1068022.0</v>
      </c>
      <c r="B2528" s="4" t="s">
        <v>3664</v>
      </c>
    </row>
    <row r="2529" ht="15.75" customHeight="1">
      <c r="A2529" s="4">
        <v>1068023.0</v>
      </c>
      <c r="B2529" s="4" t="s">
        <v>3665</v>
      </c>
    </row>
    <row r="2530" ht="15.75" customHeight="1">
      <c r="A2530" s="4">
        <v>1068024.0</v>
      </c>
      <c r="B2530" s="4" t="s">
        <v>3666</v>
      </c>
    </row>
    <row r="2531" ht="15.75" customHeight="1">
      <c r="A2531" s="4">
        <v>1068025.0</v>
      </c>
      <c r="B2531" s="4" t="s">
        <v>3667</v>
      </c>
    </row>
    <row r="2532" ht="15.75" customHeight="1">
      <c r="A2532" s="4">
        <v>1068026.0</v>
      </c>
      <c r="B2532" s="4" t="s">
        <v>3668</v>
      </c>
    </row>
    <row r="2533" ht="15.75" customHeight="1">
      <c r="A2533" s="4">
        <v>1068027.0</v>
      </c>
      <c r="B2533" s="4" t="s">
        <v>3669</v>
      </c>
    </row>
    <row r="2534" ht="15.75" customHeight="1">
      <c r="A2534" s="4">
        <v>1068028.0</v>
      </c>
      <c r="B2534" s="4" t="s">
        <v>3670</v>
      </c>
    </row>
    <row r="2535" ht="15.75" customHeight="1">
      <c r="A2535" s="4">
        <v>1068029.0</v>
      </c>
      <c r="B2535" s="4" t="s">
        <v>3671</v>
      </c>
    </row>
    <row r="2536" ht="15.75" customHeight="1">
      <c r="A2536" s="4">
        <v>1068030.0</v>
      </c>
      <c r="B2536" s="4" t="s">
        <v>3672</v>
      </c>
    </row>
    <row r="2537" ht="15.75" customHeight="1">
      <c r="A2537" s="4">
        <v>1068031.0</v>
      </c>
      <c r="B2537" s="4" t="s">
        <v>3673</v>
      </c>
    </row>
    <row r="2538" ht="15.75" customHeight="1">
      <c r="A2538" s="4">
        <v>1068032.0</v>
      </c>
      <c r="B2538" s="4" t="s">
        <v>3674</v>
      </c>
    </row>
    <row r="2539" ht="15.75" customHeight="1">
      <c r="A2539" s="4">
        <v>1068033.0</v>
      </c>
      <c r="B2539" s="4" t="s">
        <v>3675</v>
      </c>
    </row>
    <row r="2540" ht="15.75" customHeight="1">
      <c r="A2540" s="4">
        <v>1068034.0</v>
      </c>
      <c r="B2540" s="4" t="s">
        <v>3676</v>
      </c>
    </row>
    <row r="2541" ht="15.75" customHeight="1">
      <c r="A2541" s="4">
        <v>1068035.0</v>
      </c>
      <c r="B2541" s="4" t="s">
        <v>3677</v>
      </c>
    </row>
    <row r="2542" ht="15.75" customHeight="1">
      <c r="A2542" s="4">
        <v>1068036.0</v>
      </c>
      <c r="B2542" s="4" t="s">
        <v>3678</v>
      </c>
    </row>
    <row r="2543" ht="15.75" customHeight="1">
      <c r="A2543" s="4">
        <v>1068037.0</v>
      </c>
      <c r="B2543" s="4" t="s">
        <v>3679</v>
      </c>
    </row>
    <row r="2544" ht="15.75" customHeight="1">
      <c r="A2544" s="4">
        <v>1068038.0</v>
      </c>
      <c r="B2544" s="4" t="s">
        <v>3680</v>
      </c>
    </row>
    <row r="2545" ht="15.75" customHeight="1">
      <c r="A2545" s="4">
        <v>1068039.0</v>
      </c>
      <c r="B2545" s="4" t="s">
        <v>3681</v>
      </c>
    </row>
    <row r="2546" ht="15.75" customHeight="1">
      <c r="A2546" s="4">
        <v>1068040.0</v>
      </c>
      <c r="B2546" s="4" t="s">
        <v>3682</v>
      </c>
    </row>
    <row r="2547" ht="15.75" customHeight="1">
      <c r="A2547" s="4">
        <v>1068041.0</v>
      </c>
      <c r="B2547" s="4" t="s">
        <v>3683</v>
      </c>
    </row>
    <row r="2548" ht="15.75" customHeight="1">
      <c r="A2548" s="4">
        <v>1068042.0</v>
      </c>
      <c r="B2548" s="4" t="s">
        <v>3684</v>
      </c>
    </row>
    <row r="2549" ht="15.75" customHeight="1">
      <c r="A2549" s="4">
        <v>1068043.0</v>
      </c>
      <c r="B2549" s="4" t="s">
        <v>3685</v>
      </c>
    </row>
    <row r="2550" ht="15.75" customHeight="1">
      <c r="A2550" s="4">
        <v>1068044.0</v>
      </c>
      <c r="B2550" s="4" t="s">
        <v>3686</v>
      </c>
    </row>
    <row r="2551" ht="15.75" customHeight="1">
      <c r="A2551" s="4">
        <v>1068045.0</v>
      </c>
      <c r="B2551" s="4" t="s">
        <v>3687</v>
      </c>
    </row>
    <row r="2552" ht="15.75" customHeight="1">
      <c r="A2552" s="4">
        <v>1068046.0</v>
      </c>
      <c r="B2552" s="4" t="s">
        <v>3688</v>
      </c>
    </row>
    <row r="2553" ht="15.75" customHeight="1">
      <c r="A2553" s="4">
        <v>1068047.0</v>
      </c>
      <c r="B2553" s="4" t="s">
        <v>3689</v>
      </c>
    </row>
    <row r="2554" ht="15.75" customHeight="1">
      <c r="A2554" s="4">
        <v>1068048.0</v>
      </c>
      <c r="B2554" s="4" t="s">
        <v>3690</v>
      </c>
    </row>
    <row r="2555" ht="15.75" customHeight="1">
      <c r="A2555" s="4">
        <v>1068049.0</v>
      </c>
      <c r="B2555" s="4" t="s">
        <v>3691</v>
      </c>
    </row>
    <row r="2556" ht="15.75" customHeight="1">
      <c r="A2556" s="4">
        <v>1068050.0</v>
      </c>
      <c r="B2556" s="4" t="s">
        <v>3692</v>
      </c>
    </row>
    <row r="2557" ht="15.75" customHeight="1">
      <c r="A2557" s="4">
        <v>1068051.0</v>
      </c>
      <c r="B2557" s="4" t="s">
        <v>3693</v>
      </c>
    </row>
    <row r="2558" ht="15.75" customHeight="1">
      <c r="A2558" s="4">
        <v>1068052.0</v>
      </c>
      <c r="B2558" s="4" t="s">
        <v>3694</v>
      </c>
    </row>
    <row r="2559" ht="15.75" customHeight="1">
      <c r="A2559" s="4">
        <v>1068053.0</v>
      </c>
      <c r="B2559" s="4" t="s">
        <v>3695</v>
      </c>
    </row>
    <row r="2560" ht="15.75" customHeight="1">
      <c r="A2560" s="4">
        <v>1068054.0</v>
      </c>
      <c r="B2560" s="4" t="s">
        <v>3696</v>
      </c>
    </row>
    <row r="2561" ht="15.75" customHeight="1">
      <c r="A2561" s="4">
        <v>1068055.0</v>
      </c>
      <c r="B2561" s="4" t="s">
        <v>3697</v>
      </c>
    </row>
    <row r="2562" ht="15.75" customHeight="1">
      <c r="A2562" s="4">
        <v>1068056.0</v>
      </c>
      <c r="B2562" s="4" t="s">
        <v>3698</v>
      </c>
    </row>
    <row r="2563" ht="15.75" customHeight="1">
      <c r="A2563" s="4">
        <v>1068057.0</v>
      </c>
      <c r="B2563" s="4" t="s">
        <v>3699</v>
      </c>
    </row>
    <row r="2564" ht="15.75" customHeight="1">
      <c r="A2564" s="4">
        <v>1068058.0</v>
      </c>
      <c r="B2564" s="4" t="s">
        <v>3700</v>
      </c>
    </row>
    <row r="2565" ht="15.75" customHeight="1">
      <c r="A2565" s="4">
        <v>1068059.0</v>
      </c>
      <c r="B2565" s="4" t="s">
        <v>3701</v>
      </c>
    </row>
    <row r="2566" ht="15.75" customHeight="1">
      <c r="A2566" s="4">
        <v>1068060.0</v>
      </c>
      <c r="B2566" s="4" t="s">
        <v>3702</v>
      </c>
    </row>
    <row r="2567" ht="15.75" customHeight="1">
      <c r="A2567" s="4">
        <v>1068061.0</v>
      </c>
      <c r="B2567" s="4" t="s">
        <v>3703</v>
      </c>
    </row>
    <row r="2568" ht="15.75" customHeight="1">
      <c r="A2568" s="4">
        <v>1068062.0</v>
      </c>
      <c r="B2568" s="4" t="s">
        <v>3704</v>
      </c>
    </row>
    <row r="2569" ht="15.75" customHeight="1">
      <c r="A2569" s="4">
        <v>1068063.0</v>
      </c>
      <c r="B2569" s="4" t="s">
        <v>3705</v>
      </c>
    </row>
    <row r="2570" ht="15.75" customHeight="1">
      <c r="A2570" s="4">
        <v>1068064.0</v>
      </c>
      <c r="B2570" s="4" t="s">
        <v>3706</v>
      </c>
    </row>
    <row r="2571" ht="15.75" customHeight="1">
      <c r="A2571" s="4">
        <v>1068065.0</v>
      </c>
      <c r="B2571" s="4" t="s">
        <v>3707</v>
      </c>
    </row>
    <row r="2572" ht="15.75" customHeight="1">
      <c r="A2572" s="4">
        <v>1068066.0</v>
      </c>
      <c r="B2572" s="4" t="s">
        <v>3708</v>
      </c>
    </row>
    <row r="2573" ht="15.75" customHeight="1">
      <c r="A2573" s="4">
        <v>1068067.0</v>
      </c>
      <c r="B2573" s="4" t="s">
        <v>3709</v>
      </c>
    </row>
    <row r="2574" ht="15.75" customHeight="1">
      <c r="A2574" s="4">
        <v>1068068.0</v>
      </c>
      <c r="B2574" s="4" t="s">
        <v>3710</v>
      </c>
    </row>
    <row r="2575" ht="15.75" customHeight="1">
      <c r="A2575" s="4">
        <v>1068069.0</v>
      </c>
      <c r="B2575" s="4" t="s">
        <v>3711</v>
      </c>
    </row>
    <row r="2576" ht="15.75" customHeight="1">
      <c r="A2576" s="4">
        <v>1069001.0</v>
      </c>
      <c r="B2576" s="4" t="s">
        <v>3712</v>
      </c>
    </row>
    <row r="2577" ht="15.75" customHeight="1">
      <c r="A2577" s="4">
        <v>1069002.0</v>
      </c>
      <c r="B2577" s="4" t="s">
        <v>3713</v>
      </c>
    </row>
    <row r="2578" ht="15.75" customHeight="1">
      <c r="A2578" s="4">
        <v>1069003.0</v>
      </c>
      <c r="B2578" s="4" t="s">
        <v>3714</v>
      </c>
    </row>
    <row r="2579" ht="15.75" customHeight="1">
      <c r="A2579" s="4">
        <v>1069004.0</v>
      </c>
      <c r="B2579" s="4" t="s">
        <v>3715</v>
      </c>
    </row>
    <row r="2580" ht="15.75" customHeight="1">
      <c r="A2580" s="4">
        <v>1069005.0</v>
      </c>
      <c r="B2580" s="4" t="s">
        <v>3716</v>
      </c>
    </row>
    <row r="2581" ht="15.75" customHeight="1">
      <c r="A2581" s="4">
        <v>1069006.0</v>
      </c>
      <c r="B2581" s="4" t="s">
        <v>3717</v>
      </c>
    </row>
    <row r="2582" ht="15.75" customHeight="1">
      <c r="A2582" s="4">
        <v>1069007.0</v>
      </c>
      <c r="B2582" s="4" t="s">
        <v>3718</v>
      </c>
    </row>
    <row r="2583" ht="15.75" customHeight="1">
      <c r="A2583" s="4">
        <v>1069008.0</v>
      </c>
      <c r="B2583" s="4" t="s">
        <v>3719</v>
      </c>
    </row>
    <row r="2584" ht="15.75" customHeight="1">
      <c r="A2584" s="4">
        <v>1069009.0</v>
      </c>
      <c r="B2584" s="4" t="s">
        <v>3720</v>
      </c>
    </row>
    <row r="2585" ht="15.75" customHeight="1">
      <c r="A2585" s="4">
        <v>1069010.0</v>
      </c>
      <c r="B2585" s="4" t="s">
        <v>3721</v>
      </c>
    </row>
    <row r="2586" ht="15.75" customHeight="1">
      <c r="A2586" s="4">
        <v>1069011.0</v>
      </c>
      <c r="B2586" s="4" t="s">
        <v>3722</v>
      </c>
    </row>
    <row r="2587" ht="15.75" customHeight="1">
      <c r="A2587" s="4">
        <v>1069012.0</v>
      </c>
      <c r="B2587" s="4" t="s">
        <v>3723</v>
      </c>
    </row>
    <row r="2588" ht="15.75" customHeight="1">
      <c r="A2588" s="4">
        <v>1069013.0</v>
      </c>
      <c r="B2588" s="4" t="s">
        <v>3724</v>
      </c>
    </row>
    <row r="2589" ht="15.75" customHeight="1">
      <c r="A2589" s="4">
        <v>1069014.0</v>
      </c>
      <c r="B2589" s="4" t="s">
        <v>3725</v>
      </c>
    </row>
    <row r="2590" ht="15.75" customHeight="1">
      <c r="A2590" s="4">
        <v>1069015.0</v>
      </c>
      <c r="B2590" s="4" t="s">
        <v>3726</v>
      </c>
    </row>
    <row r="2591" ht="15.75" customHeight="1">
      <c r="A2591" s="4">
        <v>1069016.0</v>
      </c>
      <c r="B2591" s="4" t="s">
        <v>3727</v>
      </c>
    </row>
    <row r="2592" ht="15.75" customHeight="1">
      <c r="A2592" s="4">
        <v>1069017.0</v>
      </c>
      <c r="B2592" s="4" t="s">
        <v>3728</v>
      </c>
    </row>
    <row r="2593" ht="15.75" customHeight="1">
      <c r="A2593" s="4">
        <v>1069018.0</v>
      </c>
      <c r="B2593" s="4" t="s">
        <v>3729</v>
      </c>
    </row>
    <row r="2594" ht="15.75" customHeight="1">
      <c r="A2594" s="4">
        <v>1069019.0</v>
      </c>
      <c r="B2594" s="4" t="s">
        <v>3730</v>
      </c>
    </row>
    <row r="2595" ht="15.75" customHeight="1">
      <c r="A2595" s="4">
        <v>1069020.0</v>
      </c>
      <c r="B2595" s="4" t="s">
        <v>3731</v>
      </c>
    </row>
    <row r="2596" ht="15.75" customHeight="1">
      <c r="A2596" s="4">
        <v>1069021.0</v>
      </c>
      <c r="B2596" s="4" t="s">
        <v>3732</v>
      </c>
    </row>
    <row r="2597" ht="15.75" customHeight="1">
      <c r="A2597" s="4">
        <v>1069022.0</v>
      </c>
      <c r="B2597" s="4" t="s">
        <v>3733</v>
      </c>
    </row>
    <row r="2598" ht="15.75" customHeight="1">
      <c r="A2598" s="4">
        <v>1070001.0</v>
      </c>
      <c r="B2598" s="4" t="s">
        <v>3734</v>
      </c>
    </row>
    <row r="2599" ht="15.75" customHeight="1">
      <c r="A2599" s="4">
        <v>1070002.0</v>
      </c>
      <c r="B2599" s="4" t="s">
        <v>3735</v>
      </c>
    </row>
    <row r="2600" ht="15.75" customHeight="1">
      <c r="A2600" s="4">
        <v>1070003.0</v>
      </c>
      <c r="B2600" s="4" t="s">
        <v>3736</v>
      </c>
    </row>
    <row r="2601" ht="15.75" customHeight="1">
      <c r="A2601" s="4">
        <v>1070004.0</v>
      </c>
      <c r="B2601" s="4" t="s">
        <v>3737</v>
      </c>
    </row>
    <row r="2602" ht="15.75" customHeight="1">
      <c r="A2602" s="4">
        <v>1070005.0</v>
      </c>
      <c r="B2602" s="4" t="s">
        <v>3738</v>
      </c>
    </row>
    <row r="2603" ht="15.75" customHeight="1">
      <c r="A2603" s="4">
        <v>1070006.0</v>
      </c>
      <c r="B2603" s="4" t="s">
        <v>3739</v>
      </c>
    </row>
    <row r="2604" ht="15.75" customHeight="1">
      <c r="A2604" s="4">
        <v>1070007.0</v>
      </c>
      <c r="B2604" s="4" t="s">
        <v>3740</v>
      </c>
    </row>
    <row r="2605" ht="15.75" customHeight="1">
      <c r="A2605" s="4">
        <v>1070008.0</v>
      </c>
      <c r="B2605" s="4" t="s">
        <v>3741</v>
      </c>
    </row>
    <row r="2606" ht="15.75" customHeight="1">
      <c r="A2606" s="4">
        <v>1070009.0</v>
      </c>
      <c r="B2606" s="4" t="s">
        <v>3742</v>
      </c>
    </row>
    <row r="2607" ht="15.75" customHeight="1">
      <c r="A2607" s="4">
        <v>1070010.0</v>
      </c>
      <c r="B2607" s="4" t="s">
        <v>3743</v>
      </c>
    </row>
    <row r="2608" ht="15.75" customHeight="1">
      <c r="A2608" s="4">
        <v>1070011.0</v>
      </c>
      <c r="B2608" s="4" t="s">
        <v>3744</v>
      </c>
    </row>
    <row r="2609" ht="15.75" customHeight="1">
      <c r="A2609" s="4">
        <v>1070012.0</v>
      </c>
      <c r="B2609" s="4" t="s">
        <v>3745</v>
      </c>
    </row>
    <row r="2610" ht="15.75" customHeight="1">
      <c r="A2610" s="4">
        <v>1070013.0</v>
      </c>
      <c r="B2610" s="4" t="s">
        <v>3746</v>
      </c>
    </row>
    <row r="2611" ht="15.75" customHeight="1">
      <c r="A2611" s="4">
        <v>1070014.0</v>
      </c>
      <c r="B2611" s="4" t="s">
        <v>3747</v>
      </c>
    </row>
    <row r="2612" ht="15.75" customHeight="1">
      <c r="A2612" s="4">
        <v>1070015.0</v>
      </c>
      <c r="B2612" s="4" t="s">
        <v>3748</v>
      </c>
    </row>
    <row r="2613" ht="15.75" customHeight="1">
      <c r="A2613" s="4">
        <v>1070016.0</v>
      </c>
      <c r="B2613" s="4" t="s">
        <v>3749</v>
      </c>
    </row>
    <row r="2614" ht="15.75" customHeight="1">
      <c r="A2614" s="4">
        <v>1070017.0</v>
      </c>
      <c r="B2614" s="4" t="s">
        <v>3750</v>
      </c>
    </row>
    <row r="2615" ht="15.75" customHeight="1">
      <c r="A2615" s="4">
        <v>1070018.0</v>
      </c>
      <c r="B2615" s="4" t="s">
        <v>3751</v>
      </c>
    </row>
    <row r="2616" ht="15.75" customHeight="1">
      <c r="A2616" s="4">
        <v>1070019.0</v>
      </c>
      <c r="B2616" s="4" t="s">
        <v>3752</v>
      </c>
    </row>
    <row r="2617" ht="15.75" customHeight="1">
      <c r="A2617" s="4">
        <v>1070020.0</v>
      </c>
      <c r="B2617" s="4" t="s">
        <v>3753</v>
      </c>
    </row>
    <row r="2618" ht="15.75" customHeight="1">
      <c r="A2618" s="4">
        <v>1070021.0</v>
      </c>
      <c r="B2618" s="4" t="s">
        <v>3754</v>
      </c>
    </row>
    <row r="2619" ht="15.75" customHeight="1">
      <c r="A2619" s="4">
        <v>1070022.0</v>
      </c>
      <c r="B2619" s="4" t="s">
        <v>3755</v>
      </c>
    </row>
    <row r="2620" ht="15.75" customHeight="1">
      <c r="A2620" s="4">
        <v>1070023.0</v>
      </c>
      <c r="B2620" s="4" t="s">
        <v>3756</v>
      </c>
    </row>
    <row r="2621" ht="15.75" customHeight="1">
      <c r="A2621" s="4">
        <v>1070024.0</v>
      </c>
      <c r="B2621" s="4" t="s">
        <v>3757</v>
      </c>
    </row>
    <row r="2622" ht="15.75" customHeight="1">
      <c r="A2622" s="4">
        <v>1070025.0</v>
      </c>
      <c r="B2622" s="4" t="s">
        <v>3758</v>
      </c>
    </row>
    <row r="2623" ht="15.75" customHeight="1">
      <c r="A2623" s="4">
        <v>1070026.0</v>
      </c>
      <c r="B2623" s="4" t="s">
        <v>3759</v>
      </c>
    </row>
    <row r="2624" ht="15.75" customHeight="1">
      <c r="A2624" s="4">
        <v>1070027.0</v>
      </c>
      <c r="B2624" s="4" t="s">
        <v>3760</v>
      </c>
    </row>
    <row r="2625" ht="15.75" customHeight="1">
      <c r="A2625" s="4">
        <v>1070028.0</v>
      </c>
      <c r="B2625" s="4" t="s">
        <v>3761</v>
      </c>
    </row>
    <row r="2626" ht="15.75" customHeight="1">
      <c r="A2626" s="4">
        <v>1070029.0</v>
      </c>
      <c r="B2626" s="4" t="s">
        <v>3762</v>
      </c>
    </row>
    <row r="2627" ht="15.75" customHeight="1">
      <c r="A2627" s="4">
        <v>1070030.0</v>
      </c>
      <c r="B2627" s="4" t="s">
        <v>3763</v>
      </c>
    </row>
    <row r="2628" ht="15.75" customHeight="1">
      <c r="A2628" s="4">
        <v>1070031.0</v>
      </c>
      <c r="B2628" s="4" t="s">
        <v>3764</v>
      </c>
    </row>
    <row r="2629" ht="15.75" customHeight="1">
      <c r="A2629" s="4">
        <v>1070032.0</v>
      </c>
      <c r="B2629" s="4" t="s">
        <v>3765</v>
      </c>
    </row>
    <row r="2630" ht="15.75" customHeight="1">
      <c r="A2630" s="4">
        <v>1070033.0</v>
      </c>
      <c r="B2630" s="4" t="s">
        <v>3766</v>
      </c>
    </row>
    <row r="2631" ht="15.75" customHeight="1">
      <c r="A2631" s="4">
        <v>1070034.0</v>
      </c>
      <c r="B2631" s="4" t="s">
        <v>3767</v>
      </c>
    </row>
    <row r="2632" ht="15.75" customHeight="1">
      <c r="A2632" s="4">
        <v>1070035.0</v>
      </c>
      <c r="B2632" s="4" t="s">
        <v>3768</v>
      </c>
    </row>
    <row r="2633" ht="15.75" customHeight="1">
      <c r="A2633" s="4">
        <v>1070036.0</v>
      </c>
      <c r="B2633" s="4" t="s">
        <v>3769</v>
      </c>
    </row>
    <row r="2634" ht="15.75" customHeight="1">
      <c r="A2634" s="4">
        <v>1070037.0</v>
      </c>
      <c r="B2634" s="4" t="s">
        <v>3770</v>
      </c>
    </row>
    <row r="2635" ht="15.75" customHeight="1">
      <c r="A2635" s="4">
        <v>1070038.0</v>
      </c>
      <c r="B2635" s="4" t="s">
        <v>3771</v>
      </c>
    </row>
    <row r="2636" ht="15.75" customHeight="1">
      <c r="A2636" s="4">
        <v>1070039.0</v>
      </c>
      <c r="B2636" s="4" t="s">
        <v>3772</v>
      </c>
    </row>
    <row r="2637" ht="15.75" customHeight="1">
      <c r="A2637" s="4">
        <v>1070040.0</v>
      </c>
      <c r="B2637" s="4" t="s">
        <v>3774</v>
      </c>
    </row>
    <row r="2638" ht="15.75" customHeight="1">
      <c r="A2638" s="4">
        <v>1070041.0</v>
      </c>
      <c r="B2638" s="4" t="s">
        <v>3776</v>
      </c>
    </row>
    <row r="2639" ht="15.75" customHeight="1">
      <c r="A2639" s="4">
        <v>1070042.0</v>
      </c>
      <c r="B2639" s="4" t="s">
        <v>3777</v>
      </c>
    </row>
    <row r="2640" ht="15.75" customHeight="1">
      <c r="A2640" s="4">
        <v>1070043.0</v>
      </c>
      <c r="B2640" s="4" t="s">
        <v>3778</v>
      </c>
    </row>
    <row r="2641" ht="15.75" customHeight="1">
      <c r="A2641" s="4">
        <v>1071001.0</v>
      </c>
      <c r="B2641" s="4" t="s">
        <v>3779</v>
      </c>
    </row>
    <row r="2642" ht="15.75" customHeight="1">
      <c r="A2642" s="4">
        <v>1071002.0</v>
      </c>
      <c r="B2642" s="4" t="s">
        <v>3780</v>
      </c>
    </row>
    <row r="2643" ht="15.75" customHeight="1">
      <c r="A2643" s="4">
        <v>1071003.0</v>
      </c>
      <c r="B2643" s="4" t="s">
        <v>3781</v>
      </c>
    </row>
    <row r="2644" ht="15.75" customHeight="1">
      <c r="A2644" s="4">
        <v>1071004.0</v>
      </c>
      <c r="B2644" s="4" t="s">
        <v>3782</v>
      </c>
    </row>
    <row r="2645" ht="15.75" customHeight="1">
      <c r="A2645" s="4">
        <v>1071005.0</v>
      </c>
      <c r="B2645" s="4" t="s">
        <v>3783</v>
      </c>
    </row>
    <row r="2646" ht="15.75" customHeight="1">
      <c r="A2646" s="4">
        <v>1071006.0</v>
      </c>
      <c r="B2646" s="4" t="s">
        <v>3784</v>
      </c>
    </row>
    <row r="2647" ht="15.75" customHeight="1">
      <c r="A2647" s="4">
        <v>1071007.0</v>
      </c>
      <c r="B2647" s="4" t="s">
        <v>3786</v>
      </c>
    </row>
    <row r="2648" ht="15.75" customHeight="1">
      <c r="A2648" s="4">
        <v>1071008.0</v>
      </c>
      <c r="B2648" s="4" t="s">
        <v>3787</v>
      </c>
    </row>
    <row r="2649" ht="15.75" customHeight="1">
      <c r="A2649" s="4">
        <v>1071009.0</v>
      </c>
      <c r="B2649" s="4" t="s">
        <v>3788</v>
      </c>
    </row>
    <row r="2650" ht="15.75" customHeight="1">
      <c r="A2650" s="4">
        <v>1071010.0</v>
      </c>
      <c r="B2650" s="4" t="s">
        <v>3789</v>
      </c>
    </row>
    <row r="2651" ht="15.75" customHeight="1">
      <c r="A2651" s="4">
        <v>1071011.0</v>
      </c>
      <c r="B2651" s="4" t="s">
        <v>3790</v>
      </c>
    </row>
    <row r="2652" ht="15.75" customHeight="1">
      <c r="A2652" s="4">
        <v>1071012.0</v>
      </c>
      <c r="B2652" s="4" t="s">
        <v>3791</v>
      </c>
    </row>
    <row r="2653" ht="15.75" customHeight="1">
      <c r="A2653" s="4">
        <v>1071013.0</v>
      </c>
      <c r="B2653" s="4" t="s">
        <v>3792</v>
      </c>
    </row>
    <row r="2654" ht="15.75" customHeight="1">
      <c r="A2654" s="4">
        <v>1071014.0</v>
      </c>
      <c r="B2654" s="4" t="s">
        <v>3793</v>
      </c>
    </row>
    <row r="2655" ht="15.75" customHeight="1">
      <c r="A2655" s="4">
        <v>1071015.0</v>
      </c>
      <c r="B2655" s="4" t="s">
        <v>3794</v>
      </c>
    </row>
    <row r="2656" ht="15.75" customHeight="1">
      <c r="A2656" s="4">
        <v>1071016.0</v>
      </c>
      <c r="B2656" s="4" t="s">
        <v>3795</v>
      </c>
    </row>
    <row r="2657" ht="15.75" customHeight="1">
      <c r="A2657" s="4">
        <v>1071017.0</v>
      </c>
      <c r="B2657" s="4" t="s">
        <v>3796</v>
      </c>
    </row>
    <row r="2658" ht="15.75" customHeight="1">
      <c r="A2658" s="4">
        <v>1071018.0</v>
      </c>
      <c r="B2658" s="4" t="s">
        <v>3797</v>
      </c>
    </row>
    <row r="2659" ht="15.75" customHeight="1">
      <c r="A2659" s="4">
        <v>1071019.0</v>
      </c>
      <c r="B2659" s="4" t="s">
        <v>3798</v>
      </c>
    </row>
    <row r="2660" ht="15.75" customHeight="1">
      <c r="A2660" s="4">
        <v>1071020.0</v>
      </c>
      <c r="B2660" s="4" t="s">
        <v>3799</v>
      </c>
    </row>
    <row r="2661" ht="15.75" customHeight="1">
      <c r="A2661" s="4">
        <v>1071021.0</v>
      </c>
      <c r="B2661" s="4" t="s">
        <v>3800</v>
      </c>
    </row>
    <row r="2662" ht="15.75" customHeight="1">
      <c r="A2662" s="4">
        <v>1071022.0</v>
      </c>
      <c r="B2662" s="4" t="s">
        <v>3801</v>
      </c>
    </row>
    <row r="2663" ht="15.75" customHeight="1">
      <c r="A2663" s="4">
        <v>1071023.0</v>
      </c>
      <c r="B2663" s="4" t="s">
        <v>3802</v>
      </c>
    </row>
    <row r="2664" ht="15.75" customHeight="1">
      <c r="A2664" s="4">
        <v>1071024.0</v>
      </c>
      <c r="B2664" s="4" t="s">
        <v>3803</v>
      </c>
    </row>
    <row r="2665" ht="15.75" customHeight="1">
      <c r="A2665" s="4">
        <v>1072001.0</v>
      </c>
      <c r="B2665" s="4" t="s">
        <v>3804</v>
      </c>
    </row>
    <row r="2666" ht="15.75" customHeight="1">
      <c r="A2666" s="4">
        <v>1072002.0</v>
      </c>
      <c r="B2666" s="4" t="s">
        <v>3805</v>
      </c>
    </row>
    <row r="2667" ht="15.75" customHeight="1">
      <c r="A2667" s="4">
        <v>1072003.0</v>
      </c>
      <c r="B2667" s="4" t="s">
        <v>3806</v>
      </c>
    </row>
    <row r="2668" ht="15.75" customHeight="1">
      <c r="A2668" s="4">
        <v>1072004.0</v>
      </c>
      <c r="B2668" s="4" t="s">
        <v>3807</v>
      </c>
    </row>
    <row r="2669" ht="15.75" customHeight="1">
      <c r="A2669" s="4">
        <v>1072005.0</v>
      </c>
      <c r="B2669" s="4" t="s">
        <v>3808</v>
      </c>
    </row>
    <row r="2670" ht="15.75" customHeight="1">
      <c r="A2670" s="4">
        <v>1072006.0</v>
      </c>
      <c r="B2670" s="4" t="s">
        <v>3809</v>
      </c>
    </row>
    <row r="2671" ht="15.75" customHeight="1">
      <c r="A2671" s="4">
        <v>1072007.0</v>
      </c>
      <c r="B2671" s="4" t="s">
        <v>3810</v>
      </c>
    </row>
    <row r="2672" ht="15.75" customHeight="1">
      <c r="A2672" s="4">
        <v>1072008.0</v>
      </c>
      <c r="B2672" s="4" t="s">
        <v>3811</v>
      </c>
    </row>
    <row r="2673" ht="15.75" customHeight="1">
      <c r="A2673" s="4">
        <v>1072009.0</v>
      </c>
      <c r="B2673" s="4" t="s">
        <v>3812</v>
      </c>
    </row>
    <row r="2674" ht="15.75" customHeight="1">
      <c r="A2674" s="4">
        <v>1072010.0</v>
      </c>
      <c r="B2674" s="4" t="s">
        <v>3813</v>
      </c>
    </row>
    <row r="2675" ht="15.75" customHeight="1">
      <c r="A2675" s="4">
        <v>1072011.0</v>
      </c>
      <c r="B2675" s="4" t="s">
        <v>3814</v>
      </c>
    </row>
    <row r="2676" ht="15.75" customHeight="1">
      <c r="A2676" s="4">
        <v>1072012.0</v>
      </c>
      <c r="B2676" s="4" t="s">
        <v>3815</v>
      </c>
    </row>
    <row r="2677" ht="15.75" customHeight="1">
      <c r="A2677" s="4">
        <v>1072013.0</v>
      </c>
      <c r="B2677" s="4" t="s">
        <v>3816</v>
      </c>
    </row>
    <row r="2678" ht="15.75" customHeight="1">
      <c r="A2678" s="4">
        <v>1072014.0</v>
      </c>
      <c r="B2678" s="4" t="s">
        <v>3817</v>
      </c>
    </row>
    <row r="2679" ht="15.75" customHeight="1">
      <c r="A2679" s="4">
        <v>1072015.0</v>
      </c>
      <c r="B2679" s="4" t="s">
        <v>3818</v>
      </c>
    </row>
    <row r="2680" ht="15.75" customHeight="1">
      <c r="A2680" s="4">
        <v>1072016.0</v>
      </c>
      <c r="B2680" s="4" t="s">
        <v>3819</v>
      </c>
    </row>
    <row r="2681" ht="15.75" customHeight="1">
      <c r="A2681" s="4">
        <v>1072017.0</v>
      </c>
      <c r="B2681" s="4" t="s">
        <v>3820</v>
      </c>
    </row>
    <row r="2682" ht="15.75" customHeight="1">
      <c r="A2682" s="4">
        <v>1072018.0</v>
      </c>
      <c r="B2682" s="4" t="s">
        <v>3821</v>
      </c>
    </row>
    <row r="2683" ht="15.75" customHeight="1">
      <c r="A2683" s="4">
        <v>1072019.0</v>
      </c>
      <c r="B2683" s="4" t="s">
        <v>3822</v>
      </c>
    </row>
    <row r="2684" ht="15.75" customHeight="1">
      <c r="A2684" s="4">
        <v>1072020.0</v>
      </c>
      <c r="B2684" s="4" t="s">
        <v>3823</v>
      </c>
    </row>
    <row r="2685" ht="15.75" customHeight="1">
      <c r="A2685" s="4">
        <v>1072021.0</v>
      </c>
      <c r="B2685" s="4" t="s">
        <v>3824</v>
      </c>
    </row>
    <row r="2686" ht="15.75" customHeight="1">
      <c r="A2686" s="4">
        <v>1072022.0</v>
      </c>
      <c r="B2686" s="4" t="s">
        <v>3825</v>
      </c>
    </row>
    <row r="2687" ht="15.75" customHeight="1">
      <c r="A2687" s="4">
        <v>1073001.0</v>
      </c>
      <c r="B2687" s="4" t="s">
        <v>3826</v>
      </c>
    </row>
    <row r="2688" ht="15.75" customHeight="1">
      <c r="A2688" s="4">
        <v>1073002.0</v>
      </c>
      <c r="B2688" s="4" t="s">
        <v>3827</v>
      </c>
    </row>
    <row r="2689" ht="15.75" customHeight="1">
      <c r="A2689" s="4">
        <v>1073003.0</v>
      </c>
      <c r="B2689" s="4" t="s">
        <v>3828</v>
      </c>
    </row>
    <row r="2690" ht="15.75" customHeight="1">
      <c r="A2690" s="4">
        <v>1073004.0</v>
      </c>
      <c r="B2690" s="4" t="s">
        <v>3829</v>
      </c>
    </row>
    <row r="2691" ht="15.75" customHeight="1">
      <c r="A2691" s="4">
        <v>1073005.0</v>
      </c>
      <c r="B2691" s="4" t="s">
        <v>3830</v>
      </c>
    </row>
    <row r="2692" ht="15.75" customHeight="1">
      <c r="A2692" s="4">
        <v>1073006.0</v>
      </c>
      <c r="B2692" s="4" t="s">
        <v>3831</v>
      </c>
    </row>
    <row r="2693" ht="15.75" customHeight="1">
      <c r="A2693" s="4">
        <v>1073007.0</v>
      </c>
      <c r="B2693" s="4" t="s">
        <v>3832</v>
      </c>
    </row>
    <row r="2694" ht="15.75" customHeight="1">
      <c r="A2694" s="4">
        <v>1073008.0</v>
      </c>
      <c r="B2694" s="4" t="s">
        <v>3833</v>
      </c>
    </row>
    <row r="2695" ht="15.75" customHeight="1">
      <c r="A2695" s="4">
        <v>1073009.0</v>
      </c>
      <c r="B2695" s="4" t="s">
        <v>3834</v>
      </c>
    </row>
    <row r="2696" ht="15.75" customHeight="1">
      <c r="A2696" s="4">
        <v>1073010.0</v>
      </c>
      <c r="B2696" s="4" t="s">
        <v>3835</v>
      </c>
    </row>
    <row r="2697" ht="15.75" customHeight="1">
      <c r="A2697" s="4">
        <v>1073011.0</v>
      </c>
      <c r="B2697" s="4" t="s">
        <v>3836</v>
      </c>
    </row>
    <row r="2698" ht="15.75" customHeight="1">
      <c r="A2698" s="4">
        <v>1073012.0</v>
      </c>
      <c r="B2698" s="4" t="s">
        <v>3837</v>
      </c>
    </row>
    <row r="2699" ht="15.75" customHeight="1">
      <c r="A2699" s="4">
        <v>1073013.0</v>
      </c>
      <c r="B2699" s="4" t="s">
        <v>3838</v>
      </c>
    </row>
    <row r="2700" ht="15.75" customHeight="1">
      <c r="A2700" s="4">
        <v>1073014.0</v>
      </c>
      <c r="B2700" s="4" t="s">
        <v>3839</v>
      </c>
    </row>
    <row r="2701" ht="15.75" customHeight="1">
      <c r="A2701" s="4">
        <v>1073015.0</v>
      </c>
      <c r="B2701" s="4" t="s">
        <v>3840</v>
      </c>
    </row>
    <row r="2702" ht="15.75" customHeight="1">
      <c r="A2702" s="4">
        <v>1073016.0</v>
      </c>
      <c r="B2702" s="4" t="s">
        <v>3841</v>
      </c>
    </row>
    <row r="2703" ht="15.75" customHeight="1">
      <c r="A2703" s="4">
        <v>1073017.0</v>
      </c>
      <c r="B2703" s="4" t="s">
        <v>3842</v>
      </c>
    </row>
    <row r="2704" ht="15.75" customHeight="1">
      <c r="A2704" s="4">
        <v>1073018.0</v>
      </c>
      <c r="B2704" s="4" t="s">
        <v>3843</v>
      </c>
    </row>
    <row r="2705" ht="15.75" customHeight="1">
      <c r="A2705" s="4">
        <v>1073019.0</v>
      </c>
      <c r="B2705" s="4" t="s">
        <v>3844</v>
      </c>
    </row>
    <row r="2706" ht="15.75" customHeight="1">
      <c r="A2706" s="4">
        <v>1073020.0</v>
      </c>
      <c r="B2706" s="4" t="s">
        <v>3845</v>
      </c>
    </row>
    <row r="2707" ht="15.75" customHeight="1">
      <c r="A2707" s="4">
        <v>1073021.0</v>
      </c>
      <c r="B2707" s="4" t="s">
        <v>3846</v>
      </c>
    </row>
    <row r="2708" ht="15.75" customHeight="1">
      <c r="A2708" s="4">
        <v>1073022.0</v>
      </c>
      <c r="B2708" s="4" t="s">
        <v>3847</v>
      </c>
    </row>
    <row r="2709" ht="15.75" customHeight="1">
      <c r="A2709" s="4">
        <v>1073023.0</v>
      </c>
      <c r="B2709" s="4" t="s">
        <v>3848</v>
      </c>
    </row>
    <row r="2710" ht="15.75" customHeight="1">
      <c r="A2710" s="4">
        <v>1073024.0</v>
      </c>
      <c r="B2710" s="4" t="s">
        <v>3849</v>
      </c>
    </row>
    <row r="2711" ht="15.75" customHeight="1">
      <c r="A2711" s="4">
        <v>1073025.0</v>
      </c>
      <c r="B2711" s="4" t="s">
        <v>3850</v>
      </c>
    </row>
    <row r="2712" ht="15.75" customHeight="1">
      <c r="A2712" s="4">
        <v>1073026.0</v>
      </c>
      <c r="B2712" s="4" t="s">
        <v>3851</v>
      </c>
    </row>
    <row r="2713" ht="15.75" customHeight="1">
      <c r="A2713" s="4">
        <v>1073027.0</v>
      </c>
      <c r="B2713" s="4" t="s">
        <v>3852</v>
      </c>
    </row>
    <row r="2714" ht="15.75" customHeight="1">
      <c r="A2714" s="4">
        <v>1073028.0</v>
      </c>
      <c r="B2714" s="4" t="s">
        <v>3853</v>
      </c>
    </row>
    <row r="2715" ht="15.75" customHeight="1">
      <c r="A2715" s="4">
        <v>1073029.0</v>
      </c>
      <c r="B2715" s="4" t="s">
        <v>3854</v>
      </c>
    </row>
    <row r="2716" ht="15.75" customHeight="1">
      <c r="A2716" s="4">
        <v>1073030.0</v>
      </c>
      <c r="B2716" s="4" t="s">
        <v>3855</v>
      </c>
    </row>
    <row r="2717" ht="15.75" customHeight="1">
      <c r="A2717" s="4">
        <v>1073031.0</v>
      </c>
      <c r="B2717" s="4" t="s">
        <v>3856</v>
      </c>
    </row>
    <row r="2718" ht="15.75" customHeight="1">
      <c r="A2718" s="4">
        <v>1073032.0</v>
      </c>
      <c r="B2718" s="4" t="s">
        <v>3857</v>
      </c>
    </row>
    <row r="2719" ht="15.75" customHeight="1">
      <c r="A2719" s="4">
        <v>1073033.0</v>
      </c>
      <c r="B2719" s="4" t="s">
        <v>3858</v>
      </c>
    </row>
    <row r="2720" ht="15.75" customHeight="1">
      <c r="A2720" s="4">
        <v>1073034.0</v>
      </c>
      <c r="B2720" s="4" t="s">
        <v>3859</v>
      </c>
    </row>
    <row r="2721" ht="15.75" customHeight="1">
      <c r="A2721" s="4">
        <v>1073035.0</v>
      </c>
      <c r="B2721" s="4" t="s">
        <v>3860</v>
      </c>
    </row>
    <row r="2722" ht="15.75" customHeight="1">
      <c r="A2722" s="4">
        <v>1073036.0</v>
      </c>
      <c r="B2722" s="4" t="s">
        <v>3861</v>
      </c>
    </row>
    <row r="2723" ht="15.75" customHeight="1">
      <c r="A2723" s="4">
        <v>1073037.0</v>
      </c>
      <c r="B2723" s="4" t="s">
        <v>3862</v>
      </c>
    </row>
    <row r="2724" ht="15.75" customHeight="1">
      <c r="A2724" s="4">
        <v>1073038.0</v>
      </c>
      <c r="B2724" s="4" t="s">
        <v>3863</v>
      </c>
    </row>
    <row r="2725" ht="15.75" customHeight="1">
      <c r="A2725" s="4">
        <v>1073039.0</v>
      </c>
      <c r="B2725" s="4" t="s">
        <v>3864</v>
      </c>
    </row>
    <row r="2726" ht="15.75" customHeight="1">
      <c r="A2726" s="4">
        <v>1073040.0</v>
      </c>
      <c r="B2726" s="4" t="s">
        <v>3865</v>
      </c>
    </row>
    <row r="2727" ht="15.75" customHeight="1">
      <c r="A2727" s="4">
        <v>1073041.0</v>
      </c>
      <c r="B2727" s="4" t="s">
        <v>3866</v>
      </c>
    </row>
    <row r="2728" ht="15.75" customHeight="1">
      <c r="A2728" s="4">
        <v>1073042.0</v>
      </c>
      <c r="B2728" s="4" t="s">
        <v>3867</v>
      </c>
    </row>
    <row r="2729" ht="15.75" customHeight="1">
      <c r="A2729" s="4">
        <v>1073043.0</v>
      </c>
      <c r="B2729" s="4" t="s">
        <v>3868</v>
      </c>
    </row>
    <row r="2730" ht="15.75" customHeight="1">
      <c r="A2730" s="4">
        <v>1073044.0</v>
      </c>
      <c r="B2730" s="4" t="s">
        <v>3869</v>
      </c>
    </row>
    <row r="2731" ht="15.75" customHeight="1">
      <c r="A2731" s="4">
        <v>1073045.0</v>
      </c>
      <c r="B2731" s="4" t="s">
        <v>3870</v>
      </c>
    </row>
    <row r="2732" ht="15.75" customHeight="1">
      <c r="A2732" s="4">
        <v>1073046.0</v>
      </c>
      <c r="B2732" s="4" t="s">
        <v>3871</v>
      </c>
    </row>
    <row r="2733" ht="15.75" customHeight="1">
      <c r="A2733" s="4">
        <v>1073047.0</v>
      </c>
      <c r="B2733" s="4" t="s">
        <v>3872</v>
      </c>
    </row>
    <row r="2734" ht="15.75" customHeight="1">
      <c r="A2734" s="4">
        <v>1074001.0</v>
      </c>
      <c r="B2734" s="4" t="s">
        <v>3873</v>
      </c>
    </row>
    <row r="2735" ht="15.75" customHeight="1">
      <c r="A2735" s="4">
        <v>1074002.0</v>
      </c>
      <c r="B2735" s="4" t="s">
        <v>3874</v>
      </c>
    </row>
    <row r="2736" ht="15.75" customHeight="1">
      <c r="A2736" s="4">
        <v>1074003.0</v>
      </c>
      <c r="B2736" s="4" t="s">
        <v>3875</v>
      </c>
    </row>
    <row r="2737" ht="15.75" customHeight="1">
      <c r="A2737" s="4">
        <v>1074004.0</v>
      </c>
      <c r="B2737" s="4" t="s">
        <v>3876</v>
      </c>
    </row>
    <row r="2738" ht="15.75" customHeight="1">
      <c r="A2738" s="4">
        <v>1074005.0</v>
      </c>
      <c r="B2738" s="4" t="s">
        <v>3877</v>
      </c>
    </row>
    <row r="2739" ht="15.75" customHeight="1">
      <c r="A2739" s="4">
        <v>1074006.0</v>
      </c>
      <c r="B2739" s="4" t="s">
        <v>3878</v>
      </c>
    </row>
    <row r="2740" ht="15.75" customHeight="1">
      <c r="A2740" s="4">
        <v>1074007.0</v>
      </c>
      <c r="B2740" s="4" t="s">
        <v>3879</v>
      </c>
    </row>
    <row r="2741" ht="15.75" customHeight="1">
      <c r="A2741" s="4">
        <v>1074008.0</v>
      </c>
      <c r="B2741" s="4" t="s">
        <v>3880</v>
      </c>
    </row>
    <row r="2742" ht="15.75" customHeight="1">
      <c r="A2742" s="4">
        <v>1074009.0</v>
      </c>
      <c r="B2742" s="4" t="s">
        <v>3881</v>
      </c>
    </row>
    <row r="2743" ht="15.75" customHeight="1">
      <c r="A2743" s="4">
        <v>1074010.0</v>
      </c>
      <c r="B2743" s="4" t="s">
        <v>3882</v>
      </c>
    </row>
    <row r="2744" ht="15.75" customHeight="1">
      <c r="A2744" s="4">
        <v>1074011.0</v>
      </c>
      <c r="B2744" s="4" t="s">
        <v>3883</v>
      </c>
    </row>
    <row r="2745" ht="15.75" customHeight="1">
      <c r="A2745" s="4">
        <v>1074012.0</v>
      </c>
      <c r="B2745" s="4" t="s">
        <v>3884</v>
      </c>
    </row>
    <row r="2746" ht="15.75" customHeight="1">
      <c r="A2746" s="4">
        <v>1074013.0</v>
      </c>
      <c r="B2746" s="4" t="s">
        <v>3885</v>
      </c>
    </row>
    <row r="2747" ht="15.75" customHeight="1">
      <c r="A2747" s="4">
        <v>1074014.0</v>
      </c>
      <c r="B2747" s="4" t="s">
        <v>3886</v>
      </c>
    </row>
    <row r="2748" ht="15.75" customHeight="1">
      <c r="A2748" s="4">
        <v>1074016.0</v>
      </c>
      <c r="B2748" s="4" t="s">
        <v>3887</v>
      </c>
    </row>
    <row r="2749" ht="15.75" customHeight="1">
      <c r="A2749" s="4">
        <v>1074017.0</v>
      </c>
      <c r="B2749" s="4" t="s">
        <v>3888</v>
      </c>
    </row>
    <row r="2750" ht="15.75" customHeight="1">
      <c r="A2750" s="4">
        <v>1074018.0</v>
      </c>
      <c r="B2750" s="4" t="s">
        <v>3889</v>
      </c>
    </row>
    <row r="2751" ht="15.75" customHeight="1">
      <c r="A2751" s="4">
        <v>1074019.0</v>
      </c>
      <c r="B2751" s="4" t="s">
        <v>3890</v>
      </c>
    </row>
    <row r="2752" ht="15.75" customHeight="1">
      <c r="A2752" s="4">
        <v>1074020.0</v>
      </c>
      <c r="B2752" s="4" t="s">
        <v>3891</v>
      </c>
    </row>
    <row r="2753" ht="15.75" customHeight="1">
      <c r="A2753" s="4">
        <v>1074021.0</v>
      </c>
      <c r="B2753" s="4" t="s">
        <v>3892</v>
      </c>
    </row>
    <row r="2754" ht="15.75" customHeight="1">
      <c r="A2754" s="4">
        <v>1074022.0</v>
      </c>
      <c r="B2754" s="4" t="s">
        <v>3893</v>
      </c>
    </row>
    <row r="2755" ht="15.75" customHeight="1">
      <c r="A2755" s="4">
        <v>1074023.0</v>
      </c>
      <c r="B2755" s="4" t="s">
        <v>3894</v>
      </c>
    </row>
    <row r="2756" ht="15.75" customHeight="1">
      <c r="A2756" s="4">
        <v>1074024.0</v>
      </c>
      <c r="B2756" s="4" t="s">
        <v>3895</v>
      </c>
    </row>
    <row r="2757" ht="15.75" customHeight="1">
      <c r="A2757" s="4">
        <v>1074025.0</v>
      </c>
      <c r="B2757" s="4" t="s">
        <v>3896</v>
      </c>
    </row>
    <row r="2758" ht="15.75" customHeight="1">
      <c r="A2758" s="4">
        <v>1074026.0</v>
      </c>
      <c r="B2758" s="4" t="s">
        <v>3897</v>
      </c>
    </row>
    <row r="2759" ht="15.75" customHeight="1">
      <c r="A2759" s="4">
        <v>1074027.0</v>
      </c>
      <c r="B2759" s="4" t="s">
        <v>3899</v>
      </c>
    </row>
    <row r="2760" ht="15.75" customHeight="1">
      <c r="A2760" s="4">
        <v>1074028.0</v>
      </c>
      <c r="B2760" s="4" t="s">
        <v>3900</v>
      </c>
    </row>
    <row r="2761" ht="15.75" customHeight="1">
      <c r="A2761" s="4">
        <v>1074029.0</v>
      </c>
      <c r="B2761" s="4" t="s">
        <v>3901</v>
      </c>
    </row>
    <row r="2762" ht="15.75" customHeight="1">
      <c r="A2762" s="4">
        <v>1074030.0</v>
      </c>
      <c r="B2762" s="4" t="s">
        <v>3902</v>
      </c>
    </row>
    <row r="2763" ht="15.75" customHeight="1">
      <c r="A2763" s="4">
        <v>1074031.0</v>
      </c>
      <c r="B2763" s="4" t="s">
        <v>3903</v>
      </c>
    </row>
    <row r="2764" ht="15.75" customHeight="1">
      <c r="A2764" s="4">
        <v>1074032.0</v>
      </c>
      <c r="B2764" s="4" t="s">
        <v>3904</v>
      </c>
    </row>
    <row r="2765" ht="15.75" customHeight="1">
      <c r="A2765" s="4">
        <v>1074033.0</v>
      </c>
      <c r="B2765" s="4" t="s">
        <v>3905</v>
      </c>
    </row>
    <row r="2766" ht="15.75" customHeight="1">
      <c r="A2766" s="4">
        <v>1074034.0</v>
      </c>
      <c r="B2766" s="4" t="s">
        <v>3907</v>
      </c>
    </row>
    <row r="2767" ht="15.75" customHeight="1">
      <c r="A2767" s="4">
        <v>1074035.0</v>
      </c>
      <c r="B2767" s="4" t="s">
        <v>3909</v>
      </c>
    </row>
    <row r="2768" ht="15.75" customHeight="1">
      <c r="A2768" s="4">
        <v>1074036.0</v>
      </c>
      <c r="B2768" s="4" t="s">
        <v>3910</v>
      </c>
    </row>
    <row r="2769" ht="15.75" customHeight="1">
      <c r="A2769" s="4">
        <v>1074037.0</v>
      </c>
      <c r="B2769" s="4" t="s">
        <v>3911</v>
      </c>
    </row>
    <row r="2770" ht="15.75" customHeight="1">
      <c r="A2770" s="4">
        <v>1074038.0</v>
      </c>
      <c r="B2770" s="4" t="s">
        <v>3912</v>
      </c>
    </row>
    <row r="2771" ht="15.75" customHeight="1">
      <c r="A2771" s="4">
        <v>1074039.0</v>
      </c>
      <c r="B2771" s="4" t="s">
        <v>3913</v>
      </c>
    </row>
    <row r="2772" ht="15.75" customHeight="1">
      <c r="A2772" s="4">
        <v>1074040.0</v>
      </c>
      <c r="B2772" s="4" t="s">
        <v>3914</v>
      </c>
    </row>
    <row r="2773" ht="15.75" customHeight="1">
      <c r="A2773" s="4">
        <v>1074041.0</v>
      </c>
      <c r="B2773" s="4" t="s">
        <v>3915</v>
      </c>
    </row>
    <row r="2774" ht="15.75" customHeight="1">
      <c r="A2774" s="4">
        <v>1074042.0</v>
      </c>
      <c r="B2774" s="4" t="s">
        <v>3916</v>
      </c>
    </row>
    <row r="2775" ht="15.75" customHeight="1">
      <c r="A2775" s="4">
        <v>1074043.0</v>
      </c>
      <c r="B2775" s="4" t="s">
        <v>3917</v>
      </c>
    </row>
    <row r="2776" ht="15.75" customHeight="1">
      <c r="A2776" s="4">
        <v>1074044.0</v>
      </c>
      <c r="B2776" s="4" t="s">
        <v>3918</v>
      </c>
    </row>
    <row r="2777" ht="15.75" customHeight="1">
      <c r="A2777" s="4">
        <v>1074045.0</v>
      </c>
      <c r="B2777" s="4" t="s">
        <v>3919</v>
      </c>
    </row>
    <row r="2778" ht="15.75" customHeight="1">
      <c r="A2778" s="4">
        <v>1074046.0</v>
      </c>
      <c r="B2778" s="4" t="s">
        <v>3920</v>
      </c>
    </row>
    <row r="2779" ht="15.75" customHeight="1">
      <c r="A2779" s="4">
        <v>1074047.0</v>
      </c>
      <c r="B2779" s="4" t="s">
        <v>3921</v>
      </c>
    </row>
    <row r="2780" ht="15.75" customHeight="1">
      <c r="A2780" s="4">
        <v>1074048.0</v>
      </c>
      <c r="B2780" s="4" t="s">
        <v>3922</v>
      </c>
    </row>
    <row r="2781" ht="15.75" customHeight="1">
      <c r="A2781" s="4">
        <v>1074049.0</v>
      </c>
      <c r="B2781" s="4" t="s">
        <v>3923</v>
      </c>
    </row>
    <row r="2782" ht="15.75" customHeight="1">
      <c r="A2782" s="4">
        <v>1074050.0</v>
      </c>
      <c r="B2782" s="4" t="s">
        <v>3924</v>
      </c>
    </row>
    <row r="2783" ht="15.75" customHeight="1">
      <c r="A2783" s="4">
        <v>1074051.0</v>
      </c>
      <c r="B2783" s="4" t="s">
        <v>3925</v>
      </c>
    </row>
    <row r="2784" ht="15.75" customHeight="1">
      <c r="A2784" s="4">
        <v>1074052.0</v>
      </c>
      <c r="B2784" s="4" t="s">
        <v>3926</v>
      </c>
    </row>
    <row r="2785" ht="15.75" customHeight="1">
      <c r="A2785" s="4">
        <v>1074053.0</v>
      </c>
      <c r="B2785" s="4" t="s">
        <v>3927</v>
      </c>
    </row>
    <row r="2786" ht="15.75" customHeight="1">
      <c r="A2786" s="4">
        <v>1074054.0</v>
      </c>
      <c r="B2786" s="4" t="s">
        <v>3928</v>
      </c>
    </row>
    <row r="2787" ht="15.75" customHeight="1">
      <c r="A2787" s="4">
        <v>1074055.0</v>
      </c>
      <c r="B2787" s="4" t="s">
        <v>3929</v>
      </c>
    </row>
    <row r="2788" ht="15.75" customHeight="1">
      <c r="A2788" s="4">
        <v>1074056.0</v>
      </c>
      <c r="B2788" s="4" t="s">
        <v>3930</v>
      </c>
    </row>
    <row r="2789" ht="15.75" customHeight="1">
      <c r="A2789" s="4">
        <v>1074057.0</v>
      </c>
      <c r="B2789" s="4" t="s">
        <v>3931</v>
      </c>
    </row>
    <row r="2790" ht="15.75" customHeight="1">
      <c r="A2790" s="4">
        <v>1074058.0</v>
      </c>
      <c r="B2790" s="4" t="s">
        <v>3932</v>
      </c>
    </row>
    <row r="2791" ht="15.75" customHeight="1">
      <c r="A2791" s="4">
        <v>1074059.0</v>
      </c>
      <c r="B2791" s="4" t="s">
        <v>3933</v>
      </c>
    </row>
    <row r="2792" ht="15.75" customHeight="1">
      <c r="A2792" s="4">
        <v>1074060.0</v>
      </c>
      <c r="B2792" s="4" t="s">
        <v>3934</v>
      </c>
    </row>
    <row r="2793" ht="15.75" customHeight="1">
      <c r="A2793" s="4">
        <v>1074061.0</v>
      </c>
      <c r="B2793" s="4" t="s">
        <v>3935</v>
      </c>
    </row>
    <row r="2794" ht="15.75" customHeight="1">
      <c r="A2794" s="4">
        <v>1074062.0</v>
      </c>
      <c r="B2794" s="4" t="s">
        <v>3936</v>
      </c>
    </row>
    <row r="2795" ht="15.75" customHeight="1">
      <c r="A2795" s="4">
        <v>1074063.0</v>
      </c>
      <c r="B2795" s="4" t="s">
        <v>3937</v>
      </c>
    </row>
    <row r="2796" ht="15.75" customHeight="1">
      <c r="A2796" s="4">
        <v>1074064.0</v>
      </c>
      <c r="B2796" s="4" t="s">
        <v>3938</v>
      </c>
    </row>
    <row r="2797" ht="15.75" customHeight="1">
      <c r="A2797" s="4">
        <v>1074065.0</v>
      </c>
      <c r="B2797" s="4" t="s">
        <v>3939</v>
      </c>
    </row>
    <row r="2798" ht="15.75" customHeight="1">
      <c r="A2798" s="4">
        <v>1074066.0</v>
      </c>
      <c r="B2798" s="4" t="s">
        <v>3940</v>
      </c>
    </row>
    <row r="2799" ht="15.75" customHeight="1">
      <c r="A2799" s="4">
        <v>1074067.0</v>
      </c>
      <c r="B2799" s="4" t="s">
        <v>3941</v>
      </c>
    </row>
    <row r="2800" ht="15.75" customHeight="1">
      <c r="A2800" s="4">
        <v>1075001.0</v>
      </c>
      <c r="B2800" s="4" t="s">
        <v>3942</v>
      </c>
    </row>
    <row r="2801" ht="15.75" customHeight="1">
      <c r="A2801" s="4">
        <v>1075002.0</v>
      </c>
      <c r="B2801" s="4" t="s">
        <v>3943</v>
      </c>
    </row>
    <row r="2802" ht="15.75" customHeight="1">
      <c r="A2802" s="4">
        <v>1075003.0</v>
      </c>
      <c r="B2802" s="4" t="s">
        <v>3944</v>
      </c>
    </row>
    <row r="2803" ht="15.75" customHeight="1">
      <c r="A2803" s="4">
        <v>1075004.0</v>
      </c>
      <c r="B2803" s="4" t="s">
        <v>3945</v>
      </c>
    </row>
    <row r="2804" ht="15.75" customHeight="1">
      <c r="A2804" s="4">
        <v>1075005.0</v>
      </c>
      <c r="B2804" s="4" t="s">
        <v>3946</v>
      </c>
    </row>
    <row r="2805" ht="15.75" customHeight="1">
      <c r="A2805" s="4">
        <v>1075006.0</v>
      </c>
      <c r="B2805" s="4" t="s">
        <v>3947</v>
      </c>
    </row>
    <row r="2806" ht="15.75" customHeight="1">
      <c r="A2806" s="4">
        <v>1075007.0</v>
      </c>
      <c r="B2806" s="4" t="s">
        <v>3948</v>
      </c>
    </row>
    <row r="2807" ht="15.75" customHeight="1">
      <c r="A2807" s="4">
        <v>1075008.0</v>
      </c>
      <c r="B2807" s="4" t="s">
        <v>3949</v>
      </c>
    </row>
    <row r="2808" ht="15.75" customHeight="1">
      <c r="A2808" s="4">
        <v>1075009.0</v>
      </c>
      <c r="B2808" s="4" t="s">
        <v>3950</v>
      </c>
    </row>
    <row r="2809" ht="15.75" customHeight="1">
      <c r="A2809" s="4">
        <v>1075010.0</v>
      </c>
      <c r="B2809" s="4" t="s">
        <v>3951</v>
      </c>
    </row>
    <row r="2810" ht="15.75" customHeight="1">
      <c r="A2810" s="4">
        <v>1075011.0</v>
      </c>
      <c r="B2810" s="4" t="s">
        <v>3952</v>
      </c>
    </row>
    <row r="2811" ht="15.75" customHeight="1">
      <c r="A2811" s="4">
        <v>1075012.0</v>
      </c>
      <c r="B2811" s="4" t="s">
        <v>3953</v>
      </c>
    </row>
    <row r="2812" ht="15.75" customHeight="1">
      <c r="A2812" s="4">
        <v>1075013.0</v>
      </c>
      <c r="B2812" s="4" t="s">
        <v>3954</v>
      </c>
    </row>
    <row r="2813" ht="15.75" customHeight="1">
      <c r="A2813" s="4">
        <v>1075014.0</v>
      </c>
      <c r="B2813" s="4" t="s">
        <v>3955</v>
      </c>
    </row>
    <row r="2814" ht="15.75" customHeight="1">
      <c r="A2814" s="4">
        <v>1075015.0</v>
      </c>
      <c r="B2814" s="4" t="s">
        <v>3956</v>
      </c>
    </row>
    <row r="2815" ht="15.75" customHeight="1">
      <c r="A2815" s="4">
        <v>1076001.0</v>
      </c>
      <c r="B2815" s="4" t="s">
        <v>3957</v>
      </c>
    </row>
    <row r="2816" ht="15.75" customHeight="1">
      <c r="A2816" s="4">
        <v>1076002.0</v>
      </c>
      <c r="B2816" s="4" t="s">
        <v>3958</v>
      </c>
    </row>
    <row r="2817" ht="15.75" customHeight="1">
      <c r="A2817" s="4">
        <v>1076003.0</v>
      </c>
      <c r="B2817" s="4" t="s">
        <v>3959</v>
      </c>
    </row>
    <row r="2818" ht="15.75" customHeight="1">
      <c r="A2818" s="4">
        <v>1076004.0</v>
      </c>
      <c r="B2818" s="4" t="s">
        <v>3960</v>
      </c>
    </row>
    <row r="2819" ht="15.75" customHeight="1">
      <c r="A2819" s="4">
        <v>1076005.0</v>
      </c>
      <c r="B2819" s="4" t="s">
        <v>3961</v>
      </c>
    </row>
    <row r="2820" ht="15.75" customHeight="1">
      <c r="A2820" s="4">
        <v>1076006.0</v>
      </c>
      <c r="B2820" s="4" t="s">
        <v>3962</v>
      </c>
    </row>
    <row r="2821" ht="15.75" customHeight="1">
      <c r="A2821" s="4">
        <v>1076007.0</v>
      </c>
      <c r="B2821" s="4" t="s">
        <v>3963</v>
      </c>
    </row>
    <row r="2822" ht="15.75" customHeight="1">
      <c r="A2822" s="4">
        <v>1076008.0</v>
      </c>
      <c r="B2822" s="4" t="s">
        <v>3964</v>
      </c>
    </row>
    <row r="2823" ht="15.75" customHeight="1">
      <c r="A2823" s="4">
        <v>1076009.0</v>
      </c>
      <c r="B2823" s="4" t="s">
        <v>3965</v>
      </c>
    </row>
    <row r="2824" ht="15.75" customHeight="1">
      <c r="A2824" s="4">
        <v>1076010.0</v>
      </c>
      <c r="B2824" s="4" t="s">
        <v>3966</v>
      </c>
    </row>
    <row r="2825" ht="15.75" customHeight="1">
      <c r="A2825" s="4">
        <v>1076011.0</v>
      </c>
      <c r="B2825" s="4" t="s">
        <v>3967</v>
      </c>
    </row>
    <row r="2826" ht="15.75" customHeight="1">
      <c r="A2826" s="4">
        <v>1076012.0</v>
      </c>
      <c r="B2826" s="4" t="s">
        <v>3968</v>
      </c>
    </row>
    <row r="2827" ht="15.75" customHeight="1">
      <c r="A2827" s="4">
        <v>1076013.0</v>
      </c>
      <c r="B2827" s="4" t="s">
        <v>3969</v>
      </c>
    </row>
    <row r="2828" ht="15.75" customHeight="1">
      <c r="A2828" s="4">
        <v>1076014.0</v>
      </c>
      <c r="B2828" s="4" t="s">
        <v>3970</v>
      </c>
    </row>
    <row r="2829" ht="15.75" customHeight="1">
      <c r="A2829" s="4">
        <v>1076015.0</v>
      </c>
      <c r="B2829" s="4" t="s">
        <v>3971</v>
      </c>
    </row>
    <row r="2830" ht="15.75" customHeight="1">
      <c r="A2830" s="4">
        <v>1076016.0</v>
      </c>
      <c r="B2830" s="4" t="s">
        <v>3972</v>
      </c>
    </row>
    <row r="2831" ht="15.75" customHeight="1">
      <c r="A2831" s="4">
        <v>1076017.0</v>
      </c>
      <c r="B2831" s="4" t="s">
        <v>3973</v>
      </c>
    </row>
    <row r="2832" ht="15.75" customHeight="1">
      <c r="A2832" s="4">
        <v>1076018.0</v>
      </c>
      <c r="B2832" s="4" t="s">
        <v>3974</v>
      </c>
    </row>
    <row r="2833" ht="15.75" customHeight="1">
      <c r="A2833" s="4">
        <v>1076019.0</v>
      </c>
      <c r="B2833" s="4" t="s">
        <v>3976</v>
      </c>
    </row>
    <row r="2834" ht="15.75" customHeight="1">
      <c r="A2834" s="4">
        <v>1076020.0</v>
      </c>
      <c r="B2834" s="4" t="s">
        <v>3977</v>
      </c>
    </row>
    <row r="2835" ht="15.75" customHeight="1">
      <c r="A2835" s="4">
        <v>1076021.0</v>
      </c>
      <c r="B2835" s="4" t="s">
        <v>3978</v>
      </c>
    </row>
    <row r="2836" ht="15.75" customHeight="1">
      <c r="A2836" s="4">
        <v>1076022.0</v>
      </c>
      <c r="B2836" s="4" t="s">
        <v>3979</v>
      </c>
    </row>
    <row r="2837" ht="15.75" customHeight="1">
      <c r="A2837" s="4">
        <v>1076023.0</v>
      </c>
      <c r="B2837" s="4" t="s">
        <v>3980</v>
      </c>
    </row>
    <row r="2838" ht="15.75" customHeight="1">
      <c r="A2838" s="4">
        <v>1076024.0</v>
      </c>
      <c r="B2838" s="4" t="s">
        <v>3981</v>
      </c>
    </row>
    <row r="2839" ht="15.75" customHeight="1">
      <c r="A2839" s="4">
        <v>1076025.0</v>
      </c>
      <c r="B2839" s="4" t="s">
        <v>3982</v>
      </c>
    </row>
    <row r="2840" ht="15.75" customHeight="1">
      <c r="A2840" s="4">
        <v>1076026.0</v>
      </c>
      <c r="B2840" s="4" t="s">
        <v>3983</v>
      </c>
    </row>
    <row r="2841" ht="15.75" customHeight="1">
      <c r="A2841" s="4">
        <v>1076027.0</v>
      </c>
      <c r="B2841" s="4" t="s">
        <v>3984</v>
      </c>
    </row>
    <row r="2842" ht="15.75" customHeight="1">
      <c r="A2842" s="4">
        <v>1076028.0</v>
      </c>
      <c r="B2842" s="4" t="s">
        <v>3985</v>
      </c>
    </row>
    <row r="2843" ht="15.75" customHeight="1">
      <c r="A2843" s="4">
        <v>1076029.0</v>
      </c>
      <c r="B2843" s="4" t="s">
        <v>3986</v>
      </c>
    </row>
    <row r="2844" ht="15.75" customHeight="1">
      <c r="A2844" s="4">
        <v>1076030.0</v>
      </c>
      <c r="B2844" s="4" t="s">
        <v>3987</v>
      </c>
    </row>
    <row r="2845" ht="15.75" customHeight="1">
      <c r="A2845" s="4">
        <v>1076031.0</v>
      </c>
      <c r="B2845" s="4" t="s">
        <v>3988</v>
      </c>
    </row>
    <row r="2846" ht="15.75" customHeight="1">
      <c r="A2846" s="4">
        <v>1077001.0</v>
      </c>
      <c r="B2846" s="4" t="s">
        <v>3989</v>
      </c>
    </row>
    <row r="2847" ht="15.75" customHeight="1">
      <c r="A2847" s="4">
        <v>1077002.0</v>
      </c>
      <c r="B2847" s="4" t="s">
        <v>3990</v>
      </c>
    </row>
    <row r="2848" ht="15.75" customHeight="1">
      <c r="A2848" s="4">
        <v>1077003.0</v>
      </c>
      <c r="B2848" s="4" t="s">
        <v>3991</v>
      </c>
    </row>
    <row r="2849" ht="15.75" customHeight="1">
      <c r="A2849" s="4">
        <v>1077004.0</v>
      </c>
      <c r="B2849" s="4" t="s">
        <v>3992</v>
      </c>
    </row>
    <row r="2850" ht="15.75" customHeight="1">
      <c r="A2850" s="4">
        <v>1077005.0</v>
      </c>
      <c r="B2850" s="4" t="s">
        <v>3993</v>
      </c>
    </row>
    <row r="2851" ht="15.75" customHeight="1">
      <c r="A2851" s="4">
        <v>1077006.0</v>
      </c>
      <c r="B2851" s="4" t="s">
        <v>3994</v>
      </c>
    </row>
    <row r="2852" ht="15.75" customHeight="1">
      <c r="A2852" s="4">
        <v>1077007.0</v>
      </c>
      <c r="B2852" s="4" t="s">
        <v>3995</v>
      </c>
    </row>
    <row r="2853" ht="15.75" customHeight="1">
      <c r="A2853" s="4">
        <v>1077008.0</v>
      </c>
      <c r="B2853" s="4" t="s">
        <v>3996</v>
      </c>
    </row>
    <row r="2854" ht="15.75" customHeight="1">
      <c r="A2854" s="4">
        <v>1077009.0</v>
      </c>
      <c r="B2854" s="4" t="s">
        <v>3997</v>
      </c>
    </row>
    <row r="2855" ht="15.75" customHeight="1">
      <c r="A2855" s="4">
        <v>1077010.0</v>
      </c>
      <c r="B2855" s="4" t="s">
        <v>3998</v>
      </c>
    </row>
    <row r="2856" ht="15.75" customHeight="1">
      <c r="A2856" s="4">
        <v>1077011.0</v>
      </c>
      <c r="B2856" s="4" t="s">
        <v>3999</v>
      </c>
    </row>
    <row r="2857" ht="15.75" customHeight="1">
      <c r="A2857" s="4">
        <v>1077012.0</v>
      </c>
      <c r="B2857" s="4" t="s">
        <v>4000</v>
      </c>
    </row>
    <row r="2858" ht="15.75" customHeight="1">
      <c r="A2858" s="4">
        <v>1077013.0</v>
      </c>
      <c r="B2858" s="4" t="s">
        <v>4001</v>
      </c>
    </row>
    <row r="2859" ht="15.75" customHeight="1">
      <c r="A2859" s="4">
        <v>1077014.0</v>
      </c>
      <c r="B2859" s="4" t="s">
        <v>4002</v>
      </c>
    </row>
    <row r="2860" ht="15.75" customHeight="1">
      <c r="A2860" s="4">
        <v>1077015.0</v>
      </c>
      <c r="B2860" s="4" t="s">
        <v>4003</v>
      </c>
    </row>
    <row r="2861" ht="15.75" customHeight="1">
      <c r="A2861" s="4">
        <v>1077016.0</v>
      </c>
      <c r="B2861" s="4" t="s">
        <v>4004</v>
      </c>
    </row>
    <row r="2862" ht="15.75" customHeight="1">
      <c r="A2862" s="4">
        <v>1077017.0</v>
      </c>
      <c r="B2862" s="4" t="s">
        <v>4005</v>
      </c>
    </row>
    <row r="2863" ht="15.75" customHeight="1">
      <c r="A2863" s="4">
        <v>1077018.0</v>
      </c>
      <c r="B2863" s="4" t="s">
        <v>4006</v>
      </c>
    </row>
    <row r="2864" ht="15.75" customHeight="1">
      <c r="A2864" s="4">
        <v>1077019.0</v>
      </c>
      <c r="B2864" s="4" t="s">
        <v>4007</v>
      </c>
    </row>
    <row r="2865" ht="15.75" customHeight="1">
      <c r="A2865" s="4">
        <v>1077020.0</v>
      </c>
      <c r="B2865" s="4" t="s">
        <v>4008</v>
      </c>
    </row>
    <row r="2866" ht="15.75" customHeight="1">
      <c r="A2866" s="4">
        <v>1077021.0</v>
      </c>
      <c r="B2866" s="4" t="s">
        <v>4009</v>
      </c>
    </row>
    <row r="2867" ht="15.75" customHeight="1">
      <c r="A2867" s="4">
        <v>1077022.0</v>
      </c>
      <c r="B2867" s="4" t="s">
        <v>4010</v>
      </c>
    </row>
    <row r="2868" ht="15.75" customHeight="1">
      <c r="A2868" s="4">
        <v>1077023.0</v>
      </c>
      <c r="B2868" s="4" t="s">
        <v>4011</v>
      </c>
    </row>
    <row r="2869" ht="15.75" customHeight="1">
      <c r="A2869" s="4">
        <v>1077024.0</v>
      </c>
      <c r="B2869" s="4" t="s">
        <v>4012</v>
      </c>
    </row>
    <row r="2870" ht="15.75" customHeight="1">
      <c r="A2870" s="4">
        <v>1077025.0</v>
      </c>
      <c r="B2870" s="4" t="s">
        <v>4014</v>
      </c>
    </row>
    <row r="2871" ht="15.75" customHeight="1">
      <c r="A2871" s="4">
        <v>1077026.0</v>
      </c>
      <c r="B2871" s="4" t="s">
        <v>4016</v>
      </c>
    </row>
    <row r="2872" ht="15.75" customHeight="1">
      <c r="A2872" s="4">
        <v>1077027.0</v>
      </c>
      <c r="B2872" s="4" t="s">
        <v>4017</v>
      </c>
    </row>
    <row r="2873" ht="15.75" customHeight="1">
      <c r="A2873" s="4">
        <v>1077028.0</v>
      </c>
      <c r="B2873" s="4" t="s">
        <v>4018</v>
      </c>
    </row>
    <row r="2874" ht="15.75" customHeight="1">
      <c r="A2874" s="4">
        <v>1077029.0</v>
      </c>
      <c r="B2874" s="4" t="s">
        <v>4019</v>
      </c>
    </row>
    <row r="2875" ht="15.75" customHeight="1">
      <c r="A2875" s="4">
        <v>1077030.0</v>
      </c>
      <c r="B2875" s="4" t="s">
        <v>4020</v>
      </c>
    </row>
    <row r="2876" ht="15.75" customHeight="1">
      <c r="A2876" s="4">
        <v>1077031.0</v>
      </c>
      <c r="B2876" s="4" t="s">
        <v>4021</v>
      </c>
    </row>
    <row r="2877" ht="15.75" customHeight="1">
      <c r="A2877" s="4">
        <v>1077032.0</v>
      </c>
      <c r="B2877" s="4" t="s">
        <v>4022</v>
      </c>
    </row>
    <row r="2878" ht="15.75" customHeight="1">
      <c r="A2878" s="4">
        <v>1077033.0</v>
      </c>
      <c r="B2878" s="4" t="s">
        <v>4023</v>
      </c>
    </row>
    <row r="2879" ht="15.75" customHeight="1">
      <c r="A2879" s="4">
        <v>1077034.0</v>
      </c>
      <c r="B2879" s="4" t="s">
        <v>4024</v>
      </c>
    </row>
    <row r="2880" ht="15.75" customHeight="1">
      <c r="A2880" s="4">
        <v>1077035.0</v>
      </c>
      <c r="B2880" s="4" t="s">
        <v>4025</v>
      </c>
    </row>
    <row r="2881" ht="15.75" customHeight="1">
      <c r="A2881" s="4">
        <v>1077036.0</v>
      </c>
      <c r="B2881" s="4" t="s">
        <v>4026</v>
      </c>
    </row>
    <row r="2882" ht="15.75" customHeight="1">
      <c r="A2882" s="4">
        <v>1078001.0</v>
      </c>
      <c r="B2882" s="4" t="s">
        <v>4027</v>
      </c>
    </row>
    <row r="2883" ht="15.75" customHeight="1">
      <c r="A2883" s="4">
        <v>1078002.0</v>
      </c>
      <c r="B2883" s="4" t="s">
        <v>4028</v>
      </c>
    </row>
    <row r="2884" ht="15.75" customHeight="1">
      <c r="A2884" s="4">
        <v>1078003.0</v>
      </c>
      <c r="B2884" s="4" t="s">
        <v>4029</v>
      </c>
    </row>
    <row r="2885" ht="15.75" customHeight="1">
      <c r="A2885" s="4">
        <v>1078004.0</v>
      </c>
      <c r="B2885" s="4" t="s">
        <v>4030</v>
      </c>
    </row>
    <row r="2886" ht="15.75" customHeight="1">
      <c r="A2886" s="4">
        <v>1078005.0</v>
      </c>
      <c r="B2886" s="4" t="s">
        <v>4031</v>
      </c>
    </row>
    <row r="2887" ht="15.75" customHeight="1">
      <c r="A2887" s="4">
        <v>1078006.0</v>
      </c>
      <c r="B2887" s="4" t="s">
        <v>4032</v>
      </c>
    </row>
    <row r="2888" ht="15.75" customHeight="1">
      <c r="A2888" s="4">
        <v>1078007.0</v>
      </c>
      <c r="B2888" s="4" t="s">
        <v>4033</v>
      </c>
    </row>
    <row r="2889" ht="15.75" customHeight="1">
      <c r="A2889" s="4">
        <v>1078008.0</v>
      </c>
      <c r="B2889" s="4" t="s">
        <v>4034</v>
      </c>
    </row>
    <row r="2890" ht="15.75" customHeight="1">
      <c r="A2890" s="4">
        <v>1078009.0</v>
      </c>
      <c r="B2890" s="4" t="s">
        <v>4035</v>
      </c>
    </row>
    <row r="2891" ht="15.75" customHeight="1">
      <c r="A2891" s="4">
        <v>1078010.0</v>
      </c>
      <c r="B2891" s="4" t="s">
        <v>4036</v>
      </c>
    </row>
    <row r="2892" ht="15.75" customHeight="1">
      <c r="A2892" s="4">
        <v>1078011.0</v>
      </c>
      <c r="B2892" s="4" t="s">
        <v>4037</v>
      </c>
    </row>
    <row r="2893" ht="15.75" customHeight="1">
      <c r="A2893" s="4">
        <v>1078012.0</v>
      </c>
      <c r="B2893" s="4" t="s">
        <v>4038</v>
      </c>
    </row>
    <row r="2894" ht="15.75" customHeight="1">
      <c r="A2894" s="4">
        <v>1078013.0</v>
      </c>
      <c r="B2894" s="4" t="s">
        <v>4039</v>
      </c>
    </row>
    <row r="2895" ht="15.75" customHeight="1">
      <c r="A2895" s="4">
        <v>1078014.0</v>
      </c>
      <c r="B2895" s="4" t="s">
        <v>4029</v>
      </c>
    </row>
    <row r="2896" ht="15.75" customHeight="1">
      <c r="A2896" s="4">
        <v>1078015.0</v>
      </c>
      <c r="B2896" s="4" t="s">
        <v>4040</v>
      </c>
    </row>
    <row r="2897" ht="15.75" customHeight="1">
      <c r="A2897" s="4">
        <v>1078016.0</v>
      </c>
      <c r="B2897" s="4" t="s">
        <v>4041</v>
      </c>
    </row>
    <row r="2898" ht="15.75" customHeight="1">
      <c r="A2898" s="4">
        <v>1078017.0</v>
      </c>
      <c r="B2898" s="4" t="s">
        <v>4042</v>
      </c>
    </row>
    <row r="2899" ht="15.75" customHeight="1">
      <c r="A2899" s="4">
        <v>1078018.0</v>
      </c>
      <c r="B2899" s="4" t="s">
        <v>4043</v>
      </c>
    </row>
    <row r="2900" ht="15.75" customHeight="1">
      <c r="A2900" s="4">
        <v>1078019.0</v>
      </c>
      <c r="B2900" s="4" t="s">
        <v>4044</v>
      </c>
    </row>
    <row r="2901" ht="15.75" customHeight="1">
      <c r="A2901" s="4">
        <v>1078020.0</v>
      </c>
      <c r="B2901" s="4" t="s">
        <v>4045</v>
      </c>
    </row>
    <row r="2902" ht="15.75" customHeight="1">
      <c r="A2902" s="4">
        <v>1078021.0</v>
      </c>
      <c r="B2902" s="4" t="s">
        <v>4046</v>
      </c>
    </row>
    <row r="2903" ht="15.75" customHeight="1">
      <c r="A2903" s="4">
        <v>1078022.0</v>
      </c>
      <c r="B2903" s="4" t="s">
        <v>4047</v>
      </c>
    </row>
    <row r="2904" ht="15.75" customHeight="1">
      <c r="A2904" s="4">
        <v>1078023.0</v>
      </c>
      <c r="B2904" s="4" t="s">
        <v>4048</v>
      </c>
    </row>
    <row r="2905" ht="15.75" customHeight="1">
      <c r="A2905" s="4">
        <v>1078024.0</v>
      </c>
      <c r="B2905" s="4" t="s">
        <v>4049</v>
      </c>
    </row>
    <row r="2906" ht="15.75" customHeight="1">
      <c r="A2906" s="4">
        <v>1078025.0</v>
      </c>
      <c r="B2906" s="4" t="s">
        <v>4050</v>
      </c>
    </row>
    <row r="2907" ht="15.75" customHeight="1">
      <c r="A2907" s="4">
        <v>1078026.0</v>
      </c>
      <c r="B2907" s="4" t="s">
        <v>4051</v>
      </c>
    </row>
    <row r="2908" ht="15.75" customHeight="1">
      <c r="A2908" s="4">
        <v>1078027.0</v>
      </c>
      <c r="B2908" s="4" t="s">
        <v>4052</v>
      </c>
    </row>
    <row r="2909" ht="15.75" customHeight="1">
      <c r="A2909" s="4">
        <v>1079001.0</v>
      </c>
      <c r="B2909" s="4" t="s">
        <v>4053</v>
      </c>
    </row>
    <row r="2910" ht="15.75" customHeight="1">
      <c r="A2910" s="4">
        <v>1079002.0</v>
      </c>
      <c r="B2910" s="4" t="s">
        <v>4054</v>
      </c>
    </row>
    <row r="2911" ht="15.75" customHeight="1">
      <c r="A2911" s="4">
        <v>1079003.0</v>
      </c>
      <c r="B2911" s="4" t="s">
        <v>4055</v>
      </c>
    </row>
    <row r="2912" ht="15.75" customHeight="1">
      <c r="A2912" s="4">
        <v>1079004.0</v>
      </c>
      <c r="B2912" s="4" t="s">
        <v>4056</v>
      </c>
    </row>
    <row r="2913" ht="15.75" customHeight="1">
      <c r="A2913" s="4">
        <v>1079005.0</v>
      </c>
      <c r="B2913" s="4" t="s">
        <v>4057</v>
      </c>
    </row>
    <row r="2914" ht="15.75" customHeight="1">
      <c r="A2914" s="4">
        <v>1079006.0</v>
      </c>
      <c r="B2914" s="4" t="s">
        <v>4058</v>
      </c>
    </row>
    <row r="2915" ht="15.75" customHeight="1">
      <c r="A2915" s="4">
        <v>1079007.0</v>
      </c>
      <c r="B2915" s="4" t="s">
        <v>4059</v>
      </c>
    </row>
    <row r="2916" ht="15.75" customHeight="1">
      <c r="A2916" s="4">
        <v>1079008.0</v>
      </c>
      <c r="B2916" s="4" t="s">
        <v>4060</v>
      </c>
    </row>
    <row r="2917" ht="15.75" customHeight="1">
      <c r="A2917" s="4">
        <v>1079009.0</v>
      </c>
      <c r="B2917" s="4" t="s">
        <v>4061</v>
      </c>
    </row>
    <row r="2918" ht="15.75" customHeight="1">
      <c r="A2918" s="4">
        <v>1079010.0</v>
      </c>
      <c r="B2918" s="4" t="s">
        <v>4062</v>
      </c>
    </row>
    <row r="2919" ht="15.75" customHeight="1">
      <c r="A2919" s="4">
        <v>1079011.0</v>
      </c>
      <c r="B2919" s="4" t="s">
        <v>4063</v>
      </c>
    </row>
    <row r="2920" ht="15.75" customHeight="1">
      <c r="A2920" s="4">
        <v>1079012.0</v>
      </c>
      <c r="B2920" s="4" t="s">
        <v>4064</v>
      </c>
    </row>
    <row r="2921" ht="15.75" customHeight="1">
      <c r="A2921" s="4">
        <v>1079013.0</v>
      </c>
      <c r="B2921" s="4" t="s">
        <v>4065</v>
      </c>
    </row>
    <row r="2922" ht="15.75" customHeight="1">
      <c r="A2922" s="4">
        <v>1079014.0</v>
      </c>
      <c r="B2922" s="4" t="s">
        <v>4066</v>
      </c>
    </row>
    <row r="2923" ht="15.75" customHeight="1">
      <c r="A2923" s="4">
        <v>1079015.0</v>
      </c>
      <c r="B2923" s="4" t="s">
        <v>4067</v>
      </c>
    </row>
    <row r="2924" ht="15.75" customHeight="1">
      <c r="A2924" s="4">
        <v>1080001.0</v>
      </c>
      <c r="B2924" s="4" t="s">
        <v>4068</v>
      </c>
    </row>
    <row r="2925" ht="15.75" customHeight="1">
      <c r="A2925" s="4">
        <v>1080002.0</v>
      </c>
      <c r="B2925" s="4" t="s">
        <v>4069</v>
      </c>
    </row>
    <row r="2926" ht="15.75" customHeight="1">
      <c r="A2926" s="4">
        <v>1080003.0</v>
      </c>
      <c r="B2926" s="4" t="s">
        <v>4070</v>
      </c>
    </row>
    <row r="2927" ht="15.75" customHeight="1">
      <c r="A2927" s="4">
        <v>1080004.0</v>
      </c>
      <c r="B2927" s="4" t="s">
        <v>4071</v>
      </c>
    </row>
    <row r="2928" ht="15.75" customHeight="1">
      <c r="A2928" s="4">
        <v>1080005.0</v>
      </c>
      <c r="B2928" s="4" t="s">
        <v>4072</v>
      </c>
    </row>
    <row r="2929" ht="15.75" customHeight="1">
      <c r="A2929" s="4">
        <v>1080006.0</v>
      </c>
      <c r="B2929" s="4" t="s">
        <v>4073</v>
      </c>
    </row>
    <row r="2930" ht="15.75" customHeight="1">
      <c r="A2930" s="4">
        <v>1080007.0</v>
      </c>
      <c r="B2930" s="4" t="s">
        <v>4074</v>
      </c>
    </row>
    <row r="2931" ht="15.75" customHeight="1">
      <c r="A2931" s="4">
        <v>1080008.0</v>
      </c>
      <c r="B2931" s="4" t="s">
        <v>4075</v>
      </c>
    </row>
    <row r="2932" ht="15.75" customHeight="1">
      <c r="A2932" s="4">
        <v>1080009.0</v>
      </c>
      <c r="B2932" s="4" t="s">
        <v>4076</v>
      </c>
    </row>
    <row r="2933" ht="15.75" customHeight="1">
      <c r="A2933" s="4">
        <v>1080010.0</v>
      </c>
      <c r="B2933" s="4" t="s">
        <v>4077</v>
      </c>
    </row>
    <row r="2934" ht="15.75" customHeight="1">
      <c r="A2934" s="4">
        <v>1080011.0</v>
      </c>
      <c r="B2934" s="4" t="s">
        <v>4078</v>
      </c>
    </row>
    <row r="2935" ht="15.75" customHeight="1">
      <c r="A2935" s="4">
        <v>1080012.0</v>
      </c>
      <c r="B2935" s="4" t="s">
        <v>4079</v>
      </c>
    </row>
    <row r="2936" ht="15.75" customHeight="1">
      <c r="A2936" s="4">
        <v>1080013.0</v>
      </c>
      <c r="B2936" s="4" t="s">
        <v>4080</v>
      </c>
    </row>
    <row r="2937" ht="15.75" customHeight="1">
      <c r="A2937" s="4">
        <v>1080014.0</v>
      </c>
      <c r="B2937" s="4" t="s">
        <v>4081</v>
      </c>
    </row>
    <row r="2938" ht="15.75" customHeight="1">
      <c r="A2938" s="4">
        <v>1080015.0</v>
      </c>
      <c r="B2938" s="4" t="s">
        <v>4082</v>
      </c>
    </row>
    <row r="2939" ht="15.75" customHeight="1">
      <c r="A2939" s="4">
        <v>1080016.0</v>
      </c>
      <c r="B2939" s="4" t="s">
        <v>4083</v>
      </c>
    </row>
    <row r="2940" ht="15.75" customHeight="1">
      <c r="A2940" s="4">
        <v>1080017.0</v>
      </c>
      <c r="B2940" s="4" t="s">
        <v>4084</v>
      </c>
    </row>
    <row r="2941" ht="15.75" customHeight="1">
      <c r="A2941" s="4">
        <v>1080018.0</v>
      </c>
      <c r="B2941" s="4" t="s">
        <v>4085</v>
      </c>
    </row>
    <row r="2942" ht="15.75" customHeight="1">
      <c r="A2942" s="4">
        <v>1080019.0</v>
      </c>
      <c r="B2942" s="4" t="s">
        <v>4086</v>
      </c>
    </row>
    <row r="2943" ht="15.75" customHeight="1">
      <c r="A2943" s="4">
        <v>1080020.0</v>
      </c>
      <c r="B2943" s="4" t="s">
        <v>4087</v>
      </c>
    </row>
    <row r="2944" ht="15.75" customHeight="1">
      <c r="A2944" s="4">
        <v>1080021.0</v>
      </c>
      <c r="B2944" s="4" t="s">
        <v>4088</v>
      </c>
    </row>
    <row r="2945" ht="15.75" customHeight="1">
      <c r="A2945" s="4">
        <v>1080022.0</v>
      </c>
      <c r="B2945" s="4" t="s">
        <v>4089</v>
      </c>
    </row>
    <row r="2946" ht="15.75" customHeight="1">
      <c r="A2946" s="4">
        <v>1080023.0</v>
      </c>
      <c r="B2946" s="4" t="s">
        <v>4090</v>
      </c>
    </row>
    <row r="2947" ht="15.75" customHeight="1">
      <c r="A2947" s="4">
        <v>1080024.0</v>
      </c>
      <c r="B2947" s="4" t="s">
        <v>4091</v>
      </c>
    </row>
    <row r="2948" ht="15.75" customHeight="1">
      <c r="A2948" s="4">
        <v>1080025.0</v>
      </c>
      <c r="B2948" s="4" t="s">
        <v>4092</v>
      </c>
    </row>
    <row r="2949" ht="15.75" customHeight="1">
      <c r="A2949" s="4">
        <v>1080026.0</v>
      </c>
      <c r="B2949" s="4" t="s">
        <v>4093</v>
      </c>
    </row>
    <row r="2950" ht="15.75" customHeight="1">
      <c r="A2950" s="4">
        <v>1081001.0</v>
      </c>
      <c r="B2950" s="4" t="s">
        <v>4094</v>
      </c>
    </row>
    <row r="2951" ht="15.75" customHeight="1">
      <c r="A2951" s="4">
        <v>1081002.0</v>
      </c>
      <c r="B2951" s="4" t="s">
        <v>4095</v>
      </c>
    </row>
    <row r="2952" ht="15.75" customHeight="1">
      <c r="A2952" s="4">
        <v>1081003.0</v>
      </c>
      <c r="B2952" s="4" t="s">
        <v>4096</v>
      </c>
    </row>
    <row r="2953" ht="15.75" customHeight="1">
      <c r="A2953" s="4">
        <v>1081004.0</v>
      </c>
      <c r="B2953" s="4" t="s">
        <v>4097</v>
      </c>
    </row>
    <row r="2954" ht="15.75" customHeight="1">
      <c r="A2954" s="4">
        <v>1081005.0</v>
      </c>
      <c r="B2954" s="4" t="s">
        <v>4098</v>
      </c>
    </row>
    <row r="2955" ht="15.75" customHeight="1">
      <c r="A2955" s="4">
        <v>1081006.0</v>
      </c>
      <c r="B2955" s="4" t="s">
        <v>4099</v>
      </c>
    </row>
    <row r="2956" ht="15.75" customHeight="1">
      <c r="A2956" s="4">
        <v>1081007.0</v>
      </c>
      <c r="B2956" s="4" t="s">
        <v>4100</v>
      </c>
    </row>
    <row r="2957" ht="15.75" customHeight="1">
      <c r="A2957" s="4">
        <v>1081008.0</v>
      </c>
      <c r="B2957" s="4" t="s">
        <v>4101</v>
      </c>
    </row>
    <row r="2958" ht="15.75" customHeight="1">
      <c r="A2958" s="4">
        <v>1081009.0</v>
      </c>
      <c r="B2958" s="4" t="s">
        <v>4102</v>
      </c>
    </row>
    <row r="2959" ht="15.75" customHeight="1">
      <c r="A2959" s="4">
        <v>1081010.0</v>
      </c>
      <c r="B2959" s="4" t="s">
        <v>4103</v>
      </c>
    </row>
    <row r="2960" ht="15.75" customHeight="1">
      <c r="A2960" s="4">
        <v>1081011.0</v>
      </c>
      <c r="B2960" s="4" t="s">
        <v>4104</v>
      </c>
    </row>
    <row r="2961" ht="15.75" customHeight="1">
      <c r="A2961" s="4">
        <v>1081012.0</v>
      </c>
      <c r="B2961" s="4" t="s">
        <v>4105</v>
      </c>
    </row>
    <row r="2962" ht="15.75" customHeight="1">
      <c r="A2962" s="4">
        <v>1081013.0</v>
      </c>
      <c r="B2962" s="4" t="s">
        <v>4106</v>
      </c>
    </row>
    <row r="2963" ht="15.75" customHeight="1">
      <c r="A2963" s="4">
        <v>1081014.0</v>
      </c>
      <c r="B2963" s="4" t="s">
        <v>4107</v>
      </c>
    </row>
    <row r="2964" ht="15.75" customHeight="1">
      <c r="A2964" s="4">
        <v>1081015.0</v>
      </c>
      <c r="B2964" s="4" t="s">
        <v>4108</v>
      </c>
    </row>
    <row r="2965" ht="15.75" customHeight="1">
      <c r="A2965" s="4">
        <v>1081016.0</v>
      </c>
      <c r="B2965" s="4" t="s">
        <v>4109</v>
      </c>
    </row>
    <row r="2966" ht="15.75" customHeight="1">
      <c r="A2966" s="4">
        <v>1082001.0</v>
      </c>
      <c r="B2966" s="4" t="s">
        <v>4110</v>
      </c>
    </row>
    <row r="2967" ht="15.75" customHeight="1">
      <c r="A2967" s="4">
        <v>1082002.0</v>
      </c>
      <c r="B2967" s="4" t="s">
        <v>4111</v>
      </c>
    </row>
    <row r="2968" ht="15.75" customHeight="1">
      <c r="A2968" s="4">
        <v>1082003.0</v>
      </c>
      <c r="B2968" s="4" t="s">
        <v>4112</v>
      </c>
    </row>
    <row r="2969" ht="15.75" customHeight="1">
      <c r="A2969" s="4">
        <v>1082004.0</v>
      </c>
      <c r="B2969" s="4" t="s">
        <v>4113</v>
      </c>
    </row>
    <row r="2970" ht="15.75" customHeight="1">
      <c r="A2970" s="4">
        <v>1082005.0</v>
      </c>
      <c r="B2970" s="4" t="s">
        <v>4114</v>
      </c>
    </row>
    <row r="2971" ht="15.75" customHeight="1">
      <c r="A2971" s="4">
        <v>1082006.0</v>
      </c>
      <c r="B2971" s="4" t="s">
        <v>4115</v>
      </c>
    </row>
    <row r="2972" ht="15.75" customHeight="1">
      <c r="A2972" s="4">
        <v>1082007.0</v>
      </c>
      <c r="B2972" s="4" t="s">
        <v>4116</v>
      </c>
    </row>
    <row r="2973" ht="15.75" customHeight="1">
      <c r="A2973" s="4">
        <v>1082008.0</v>
      </c>
      <c r="B2973" s="4" t="s">
        <v>4117</v>
      </c>
    </row>
    <row r="2974" ht="15.75" customHeight="1">
      <c r="A2974" s="4">
        <v>1082009.0</v>
      </c>
      <c r="B2974" s="4" t="s">
        <v>4118</v>
      </c>
    </row>
    <row r="2975" ht="15.75" customHeight="1">
      <c r="A2975" s="4">
        <v>1082010.0</v>
      </c>
      <c r="B2975" s="4" t="s">
        <v>4119</v>
      </c>
    </row>
    <row r="2976" ht="15.75" customHeight="1">
      <c r="A2976" s="4">
        <v>1082011.0</v>
      </c>
      <c r="B2976" s="4" t="s">
        <v>4120</v>
      </c>
    </row>
    <row r="2977" ht="15.75" customHeight="1">
      <c r="A2977" s="4">
        <v>1082012.0</v>
      </c>
      <c r="B2977" s="4" t="s">
        <v>4121</v>
      </c>
    </row>
    <row r="2978" ht="15.75" customHeight="1">
      <c r="A2978" s="4">
        <v>1082013.0</v>
      </c>
      <c r="B2978" s="4" t="s">
        <v>4122</v>
      </c>
    </row>
    <row r="2979" ht="15.75" customHeight="1">
      <c r="A2979" s="4">
        <v>1082014.0</v>
      </c>
      <c r="B2979" s="4" t="s">
        <v>4123</v>
      </c>
    </row>
    <row r="2980" ht="15.75" customHeight="1">
      <c r="A2980" s="4">
        <v>1082015.0</v>
      </c>
      <c r="B2980" s="4" t="s">
        <v>4124</v>
      </c>
    </row>
    <row r="2981" ht="15.75" customHeight="1">
      <c r="A2981" s="4">
        <v>1082016.0</v>
      </c>
      <c r="B2981" s="4" t="s">
        <v>4125</v>
      </c>
    </row>
    <row r="2982" ht="15.75" customHeight="1">
      <c r="A2982" s="4">
        <v>1082017.0</v>
      </c>
      <c r="B2982" s="4" t="s">
        <v>4126</v>
      </c>
    </row>
    <row r="2983" ht="15.75" customHeight="1">
      <c r="A2983" s="4">
        <v>1082018.0</v>
      </c>
      <c r="B2983" s="4" t="s">
        <v>4127</v>
      </c>
    </row>
    <row r="2984" ht="15.75" customHeight="1">
      <c r="A2984" s="4">
        <v>1082019.0</v>
      </c>
      <c r="B2984" s="4" t="s">
        <v>4128</v>
      </c>
    </row>
    <row r="2985" ht="15.75" customHeight="1">
      <c r="A2985" s="4">
        <v>1082020.0</v>
      </c>
      <c r="B2985" s="4" t="s">
        <v>4129</v>
      </c>
    </row>
    <row r="2986" ht="15.75" customHeight="1">
      <c r="A2986" s="4">
        <v>1082021.0</v>
      </c>
      <c r="B2986" s="4" t="s">
        <v>4130</v>
      </c>
    </row>
    <row r="2987" ht="15.75" customHeight="1">
      <c r="A2987" s="4">
        <v>1082022.0</v>
      </c>
      <c r="B2987" s="4" t="s">
        <v>4131</v>
      </c>
    </row>
    <row r="2988" ht="15.75" customHeight="1">
      <c r="A2988" s="4">
        <v>1082023.0</v>
      </c>
      <c r="B2988" s="4" t="s">
        <v>4132</v>
      </c>
    </row>
    <row r="2989" ht="15.75" customHeight="1">
      <c r="A2989" s="4">
        <v>1083001.0</v>
      </c>
      <c r="B2989" s="4" t="s">
        <v>4133</v>
      </c>
    </row>
    <row r="2990" ht="15.75" customHeight="1">
      <c r="A2990" s="4">
        <v>1083002.0</v>
      </c>
      <c r="B2990" s="4" t="s">
        <v>4134</v>
      </c>
    </row>
    <row r="2991" ht="15.75" customHeight="1">
      <c r="A2991" s="4">
        <v>1083003.0</v>
      </c>
      <c r="B2991" s="4" t="s">
        <v>4135</v>
      </c>
    </row>
    <row r="2992" ht="15.75" customHeight="1">
      <c r="A2992" s="4">
        <v>1083004.0</v>
      </c>
      <c r="B2992" s="4" t="s">
        <v>4136</v>
      </c>
    </row>
    <row r="2993" ht="15.75" customHeight="1">
      <c r="A2993" s="4">
        <v>1083005.0</v>
      </c>
      <c r="B2993" s="4" t="s">
        <v>4137</v>
      </c>
    </row>
    <row r="2994" ht="15.75" customHeight="1">
      <c r="A2994" s="4">
        <v>1083006.0</v>
      </c>
      <c r="B2994" s="4" t="s">
        <v>4138</v>
      </c>
    </row>
    <row r="2995" ht="15.75" customHeight="1">
      <c r="A2995" s="4">
        <v>1083007.0</v>
      </c>
      <c r="B2995" s="4" t="s">
        <v>4139</v>
      </c>
    </row>
    <row r="2996" ht="15.75" customHeight="1">
      <c r="A2996" s="4">
        <v>1083008.0</v>
      </c>
      <c r="B2996" s="4" t="s">
        <v>4140</v>
      </c>
    </row>
    <row r="2997" ht="15.75" customHeight="1">
      <c r="A2997" s="4">
        <v>1083009.0</v>
      </c>
      <c r="B2997" s="4" t="s">
        <v>4141</v>
      </c>
    </row>
    <row r="2998" ht="15.75" customHeight="1">
      <c r="A2998" s="4">
        <v>1083010.0</v>
      </c>
      <c r="B2998" s="4" t="s">
        <v>4142</v>
      </c>
    </row>
    <row r="2999" ht="15.75" customHeight="1">
      <c r="A2999" s="4">
        <v>1083011.0</v>
      </c>
      <c r="B2999" s="4" t="s">
        <v>4143</v>
      </c>
    </row>
    <row r="3000" ht="15.75" customHeight="1">
      <c r="A3000" s="4">
        <v>1083012.0</v>
      </c>
      <c r="B3000" s="4" t="s">
        <v>4144</v>
      </c>
    </row>
    <row r="3001" ht="15.75" customHeight="1">
      <c r="A3001" s="4">
        <v>1083013.0</v>
      </c>
      <c r="B3001" s="4" t="s">
        <v>4145</v>
      </c>
    </row>
    <row r="3002" ht="15.75" customHeight="1">
      <c r="A3002" s="4">
        <v>1083014.0</v>
      </c>
      <c r="B3002" s="4" t="s">
        <v>4146</v>
      </c>
    </row>
    <row r="3003" ht="15.75" customHeight="1">
      <c r="A3003" s="4">
        <v>1083015.0</v>
      </c>
      <c r="B3003" s="4" t="s">
        <v>4147</v>
      </c>
    </row>
    <row r="3004" ht="15.75" customHeight="1">
      <c r="A3004" s="4">
        <v>1083016.0</v>
      </c>
      <c r="B3004" s="4" t="s">
        <v>4148</v>
      </c>
    </row>
    <row r="3005" ht="15.75" customHeight="1">
      <c r="A3005" s="4">
        <v>1083017.0</v>
      </c>
      <c r="B3005" s="4" t="s">
        <v>4149</v>
      </c>
    </row>
    <row r="3006" ht="15.75" customHeight="1">
      <c r="A3006" s="4">
        <v>1083018.0</v>
      </c>
      <c r="B3006" s="4" t="s">
        <v>4150</v>
      </c>
    </row>
    <row r="3007" ht="15.75" customHeight="1">
      <c r="A3007" s="4">
        <v>1083019.0</v>
      </c>
      <c r="B3007" s="4" t="s">
        <v>4151</v>
      </c>
    </row>
    <row r="3008" ht="15.75" customHeight="1">
      <c r="A3008" s="4">
        <v>1083020.0</v>
      </c>
      <c r="B3008" s="4" t="s">
        <v>4152</v>
      </c>
    </row>
    <row r="3009" ht="15.75" customHeight="1">
      <c r="A3009" s="4">
        <v>1083021.0</v>
      </c>
      <c r="B3009" s="4" t="s">
        <v>4153</v>
      </c>
    </row>
    <row r="3010" ht="15.75" customHeight="1">
      <c r="A3010" s="4">
        <v>1083022.0</v>
      </c>
      <c r="B3010" s="4" t="s">
        <v>4154</v>
      </c>
    </row>
    <row r="3011" ht="15.75" customHeight="1">
      <c r="A3011" s="4">
        <v>1083023.0</v>
      </c>
      <c r="B3011" s="4" t="s">
        <v>4155</v>
      </c>
    </row>
    <row r="3012" ht="15.75" customHeight="1">
      <c r="A3012" s="4">
        <v>1083024.0</v>
      </c>
      <c r="B3012" s="4" t="s">
        <v>4156</v>
      </c>
    </row>
    <row r="3013" ht="15.75" customHeight="1">
      <c r="A3013" s="4">
        <v>1084001.0</v>
      </c>
      <c r="B3013" s="4" t="s">
        <v>4157</v>
      </c>
    </row>
    <row r="3014" ht="15.75" customHeight="1">
      <c r="A3014" s="4">
        <v>1084002.0</v>
      </c>
      <c r="B3014" s="4" t="s">
        <v>4158</v>
      </c>
    </row>
    <row r="3015" ht="15.75" customHeight="1">
      <c r="A3015" s="4">
        <v>1084003.0</v>
      </c>
      <c r="B3015" s="4" t="s">
        <v>4159</v>
      </c>
    </row>
    <row r="3016" ht="15.75" customHeight="1">
      <c r="A3016" s="4">
        <v>1084004.0</v>
      </c>
      <c r="B3016" s="4" t="s">
        <v>4162</v>
      </c>
    </row>
    <row r="3017" ht="15.75" customHeight="1">
      <c r="A3017" s="4">
        <v>1084005.0</v>
      </c>
      <c r="B3017" s="4" t="s">
        <v>4163</v>
      </c>
    </row>
    <row r="3018" ht="15.75" customHeight="1">
      <c r="A3018" s="4">
        <v>1084006.0</v>
      </c>
      <c r="B3018" s="4" t="s">
        <v>4164</v>
      </c>
    </row>
    <row r="3019" ht="15.75" customHeight="1">
      <c r="A3019" s="4">
        <v>1084007.0</v>
      </c>
      <c r="B3019" s="4" t="s">
        <v>4165</v>
      </c>
    </row>
    <row r="3020" ht="15.75" customHeight="1">
      <c r="A3020" s="4">
        <v>1084008.0</v>
      </c>
      <c r="B3020" s="4" t="s">
        <v>4166</v>
      </c>
    </row>
    <row r="3021" ht="15.75" customHeight="1">
      <c r="A3021" s="4">
        <v>1084009.0</v>
      </c>
      <c r="B3021" s="4" t="s">
        <v>4167</v>
      </c>
    </row>
    <row r="3022" ht="15.75" customHeight="1">
      <c r="A3022" s="4">
        <v>1084010.0</v>
      </c>
      <c r="B3022" s="4" t="s">
        <v>4168</v>
      </c>
    </row>
    <row r="3023" ht="15.75" customHeight="1">
      <c r="A3023" s="4">
        <v>1084011.0</v>
      </c>
      <c r="B3023" s="4" t="s">
        <v>4169</v>
      </c>
    </row>
    <row r="3024" ht="15.75" customHeight="1">
      <c r="A3024" s="4">
        <v>1084012.0</v>
      </c>
      <c r="B3024" s="4" t="s">
        <v>4170</v>
      </c>
    </row>
    <row r="3025" ht="15.75" customHeight="1">
      <c r="A3025" s="4">
        <v>1084013.0</v>
      </c>
      <c r="B3025" s="4" t="s">
        <v>4171</v>
      </c>
    </row>
    <row r="3026" ht="15.75" customHeight="1">
      <c r="A3026" s="4">
        <v>1084014.0</v>
      </c>
      <c r="B3026" s="4" t="s">
        <v>4172</v>
      </c>
    </row>
    <row r="3027" ht="15.75" customHeight="1">
      <c r="A3027" s="4">
        <v>1084015.0</v>
      </c>
      <c r="B3027" s="4" t="s">
        <v>4173</v>
      </c>
    </row>
    <row r="3028" ht="15.75" customHeight="1">
      <c r="A3028" s="4">
        <v>1084016.0</v>
      </c>
      <c r="B3028" s="4" t="s">
        <v>4174</v>
      </c>
    </row>
    <row r="3029" ht="15.75" customHeight="1">
      <c r="A3029" s="4">
        <v>1084017.0</v>
      </c>
      <c r="B3029" s="4" t="s">
        <v>4175</v>
      </c>
    </row>
    <row r="3030" ht="15.75" customHeight="1">
      <c r="A3030" s="4">
        <v>1085001.0</v>
      </c>
      <c r="B3030" s="4" t="s">
        <v>4176</v>
      </c>
    </row>
    <row r="3031" ht="15.75" customHeight="1">
      <c r="A3031" s="4">
        <v>1085002.0</v>
      </c>
      <c r="B3031" s="4" t="s">
        <v>4177</v>
      </c>
    </row>
    <row r="3032" ht="15.75" customHeight="1">
      <c r="A3032" s="4">
        <v>1085003.0</v>
      </c>
      <c r="B3032" s="4" t="s">
        <v>4178</v>
      </c>
    </row>
    <row r="3033" ht="15.75" customHeight="1">
      <c r="A3033" s="4">
        <v>1085004.0</v>
      </c>
      <c r="B3033" s="4" t="s">
        <v>4179</v>
      </c>
    </row>
    <row r="3034" ht="15.75" customHeight="1">
      <c r="A3034" s="4">
        <v>1085005.0</v>
      </c>
      <c r="B3034" s="4" t="s">
        <v>4180</v>
      </c>
    </row>
    <row r="3035" ht="15.75" customHeight="1">
      <c r="A3035" s="4">
        <v>1085006.0</v>
      </c>
      <c r="B3035" s="4" t="s">
        <v>4181</v>
      </c>
    </row>
    <row r="3036" ht="15.75" customHeight="1">
      <c r="A3036" s="4">
        <v>1085007.0</v>
      </c>
      <c r="B3036" s="4" t="s">
        <v>4182</v>
      </c>
    </row>
    <row r="3037" ht="15.75" customHeight="1">
      <c r="A3037" s="4">
        <v>1085008.0</v>
      </c>
      <c r="B3037" s="4" t="s">
        <v>4183</v>
      </c>
    </row>
    <row r="3038" ht="15.75" customHeight="1">
      <c r="A3038" s="4">
        <v>1085009.0</v>
      </c>
      <c r="B3038" s="4" t="s">
        <v>4184</v>
      </c>
    </row>
    <row r="3039" ht="15.75" customHeight="1">
      <c r="A3039" s="4">
        <v>1085010.0</v>
      </c>
      <c r="B3039" s="4" t="s">
        <v>4185</v>
      </c>
    </row>
    <row r="3040" ht="15.75" customHeight="1">
      <c r="A3040" s="4">
        <v>1085011.0</v>
      </c>
      <c r="B3040" s="4" t="s">
        <v>4186</v>
      </c>
    </row>
    <row r="3041" ht="15.75" customHeight="1">
      <c r="A3041" s="4">
        <v>1085012.0</v>
      </c>
      <c r="B3041" s="4" t="s">
        <v>4187</v>
      </c>
    </row>
    <row r="3042" ht="15.75" customHeight="1">
      <c r="A3042" s="4">
        <v>1085013.0</v>
      </c>
      <c r="B3042" s="4" t="s">
        <v>4188</v>
      </c>
    </row>
    <row r="3043" ht="15.75" customHeight="1">
      <c r="A3043" s="4">
        <v>1086001.0</v>
      </c>
      <c r="B3043" s="4" t="s">
        <v>4189</v>
      </c>
    </row>
    <row r="3044" ht="15.75" customHeight="1">
      <c r="A3044" s="4">
        <v>1086002.0</v>
      </c>
      <c r="B3044" s="4" t="s">
        <v>4190</v>
      </c>
    </row>
    <row r="3045" ht="15.75" customHeight="1">
      <c r="A3045" s="4">
        <v>1086003.0</v>
      </c>
      <c r="B3045" s="4" t="s">
        <v>4191</v>
      </c>
    </row>
    <row r="3046" ht="15.75" customHeight="1">
      <c r="A3046" s="4">
        <v>1086004.0</v>
      </c>
      <c r="B3046" s="4" t="s">
        <v>4192</v>
      </c>
    </row>
    <row r="3047" ht="15.75" customHeight="1">
      <c r="A3047" s="4">
        <v>1086005.0</v>
      </c>
      <c r="B3047" s="4" t="s">
        <v>4193</v>
      </c>
    </row>
    <row r="3048" ht="15.75" customHeight="1">
      <c r="A3048" s="4">
        <v>1086006.0</v>
      </c>
      <c r="B3048" s="4" t="s">
        <v>4194</v>
      </c>
    </row>
    <row r="3049" ht="15.75" customHeight="1">
      <c r="A3049" s="4">
        <v>1086007.0</v>
      </c>
      <c r="B3049" s="4" t="s">
        <v>4195</v>
      </c>
    </row>
    <row r="3050" ht="15.75" customHeight="1">
      <c r="A3050" s="4">
        <v>1086008.0</v>
      </c>
      <c r="B3050" s="4" t="s">
        <v>4196</v>
      </c>
    </row>
    <row r="3051" ht="15.75" customHeight="1">
      <c r="A3051" s="4">
        <v>1086009.0</v>
      </c>
      <c r="B3051" s="4" t="s">
        <v>4197</v>
      </c>
    </row>
    <row r="3052" ht="15.75" customHeight="1">
      <c r="A3052" s="4">
        <v>1086010.0</v>
      </c>
      <c r="B3052" s="4" t="s">
        <v>4198</v>
      </c>
    </row>
    <row r="3053" ht="15.75" customHeight="1">
      <c r="A3053" s="4">
        <v>1086011.0</v>
      </c>
      <c r="B3053" s="4" t="s">
        <v>4199</v>
      </c>
    </row>
    <row r="3054" ht="15.75" customHeight="1">
      <c r="A3054" s="4">
        <v>1086012.0</v>
      </c>
      <c r="B3054" s="4" t="s">
        <v>4200</v>
      </c>
    </row>
    <row r="3055" ht="15.75" customHeight="1">
      <c r="A3055" s="4">
        <v>1086013.0</v>
      </c>
      <c r="B3055" s="4" t="s">
        <v>4201</v>
      </c>
    </row>
    <row r="3056" ht="15.75" customHeight="1">
      <c r="A3056" s="4">
        <v>1086014.0</v>
      </c>
      <c r="B3056" s="4" t="s">
        <v>4202</v>
      </c>
    </row>
    <row r="3057" ht="15.75" customHeight="1">
      <c r="A3057" s="4">
        <v>1086015.0</v>
      </c>
      <c r="B3057" s="4" t="s">
        <v>4203</v>
      </c>
    </row>
    <row r="3058" ht="15.75" customHeight="1">
      <c r="A3058" s="4">
        <v>1086016.0</v>
      </c>
      <c r="B3058" s="4" t="s">
        <v>4204</v>
      </c>
    </row>
    <row r="3059" ht="15.75" customHeight="1">
      <c r="A3059" s="4">
        <v>1086017.0</v>
      </c>
      <c r="B3059" s="4" t="s">
        <v>4205</v>
      </c>
    </row>
    <row r="3060" ht="15.75" customHeight="1">
      <c r="A3060" s="4">
        <v>1086018.0</v>
      </c>
      <c r="B3060" s="4" t="s">
        <v>4206</v>
      </c>
    </row>
    <row r="3061" ht="15.75" customHeight="1">
      <c r="A3061" s="4">
        <v>1086019.0</v>
      </c>
      <c r="B3061" s="4" t="s">
        <v>4207</v>
      </c>
    </row>
    <row r="3062" ht="15.75" customHeight="1">
      <c r="A3062" s="4">
        <v>1086020.0</v>
      </c>
      <c r="B3062" s="4" t="s">
        <v>4208</v>
      </c>
    </row>
    <row r="3063" ht="15.75" customHeight="1">
      <c r="A3063" s="4">
        <v>1087001.0</v>
      </c>
      <c r="B3063" s="4" t="s">
        <v>4209</v>
      </c>
    </row>
    <row r="3064" ht="15.75" customHeight="1">
      <c r="A3064" s="4">
        <v>1087002.0</v>
      </c>
      <c r="B3064" s="4" t="s">
        <v>4210</v>
      </c>
    </row>
    <row r="3065" ht="15.75" customHeight="1">
      <c r="A3065" s="4">
        <v>1087003.0</v>
      </c>
      <c r="B3065" s="4" t="s">
        <v>4211</v>
      </c>
    </row>
    <row r="3066" ht="15.75" customHeight="1">
      <c r="A3066" s="4">
        <v>1087004.0</v>
      </c>
      <c r="B3066" s="4" t="s">
        <v>4212</v>
      </c>
    </row>
    <row r="3067" ht="15.75" customHeight="1">
      <c r="A3067" s="4">
        <v>1087005.0</v>
      </c>
      <c r="B3067" s="4" t="s">
        <v>4213</v>
      </c>
    </row>
    <row r="3068" ht="15.75" customHeight="1">
      <c r="A3068" s="4">
        <v>1087006.0</v>
      </c>
      <c r="B3068" s="4" t="s">
        <v>4214</v>
      </c>
    </row>
    <row r="3069" ht="15.75" customHeight="1">
      <c r="A3069" s="4">
        <v>1087007.0</v>
      </c>
      <c r="B3069" s="4" t="s">
        <v>4215</v>
      </c>
    </row>
    <row r="3070" ht="15.75" customHeight="1">
      <c r="A3070" s="4">
        <v>1087008.0</v>
      </c>
      <c r="B3070" s="4" t="s">
        <v>4216</v>
      </c>
    </row>
    <row r="3071" ht="15.75" customHeight="1">
      <c r="A3071" s="4">
        <v>1087009.0</v>
      </c>
      <c r="B3071" s="4" t="s">
        <v>4217</v>
      </c>
    </row>
    <row r="3072" ht="15.75" customHeight="1">
      <c r="A3072" s="4">
        <v>1087010.0</v>
      </c>
      <c r="B3072" s="4" t="s">
        <v>4218</v>
      </c>
    </row>
    <row r="3073" ht="15.75" customHeight="1">
      <c r="A3073" s="4">
        <v>1087011.0</v>
      </c>
      <c r="B3073" s="4" t="s">
        <v>4219</v>
      </c>
    </row>
    <row r="3074" ht="15.75" customHeight="1">
      <c r="A3074" s="4">
        <v>1087012.0</v>
      </c>
      <c r="B3074" s="4" t="s">
        <v>4220</v>
      </c>
    </row>
    <row r="3075" ht="15.75" customHeight="1">
      <c r="A3075" s="4">
        <v>1087013.0</v>
      </c>
      <c r="B3075" s="4" t="s">
        <v>4221</v>
      </c>
    </row>
    <row r="3076" ht="15.75" customHeight="1">
      <c r="A3076" s="4">
        <v>1087014.0</v>
      </c>
      <c r="B3076" s="4" t="s">
        <v>4222</v>
      </c>
    </row>
    <row r="3077" ht="15.75" customHeight="1">
      <c r="A3077" s="4">
        <v>1087015.0</v>
      </c>
      <c r="B3077" s="4" t="s">
        <v>4223</v>
      </c>
    </row>
    <row r="3078" ht="15.75" customHeight="1">
      <c r="A3078" s="4">
        <v>1087016.0</v>
      </c>
      <c r="B3078" s="4" t="s">
        <v>4224</v>
      </c>
    </row>
    <row r="3079" ht="15.75" customHeight="1">
      <c r="A3079" s="4">
        <v>1087017.0</v>
      </c>
      <c r="B3079" s="4" t="s">
        <v>4225</v>
      </c>
    </row>
    <row r="3080" ht="15.75" customHeight="1">
      <c r="A3080" s="4">
        <v>1087018.0</v>
      </c>
      <c r="B3080" s="4" t="s">
        <v>4226</v>
      </c>
    </row>
    <row r="3081" ht="15.75" customHeight="1">
      <c r="A3081" s="4">
        <v>1087019.0</v>
      </c>
      <c r="B3081" s="4" t="s">
        <v>4227</v>
      </c>
    </row>
    <row r="3082" ht="15.75" customHeight="1">
      <c r="A3082" s="4">
        <v>1087020.0</v>
      </c>
      <c r="B3082" s="4" t="s">
        <v>4228</v>
      </c>
    </row>
    <row r="3083" ht="15.75" customHeight="1">
      <c r="A3083" s="4">
        <v>1087021.0</v>
      </c>
      <c r="B3083" s="4" t="s">
        <v>4229</v>
      </c>
    </row>
    <row r="3084" ht="15.75" customHeight="1">
      <c r="A3084" s="4">
        <v>1087022.0</v>
      </c>
      <c r="B3084" s="4" t="s">
        <v>4230</v>
      </c>
    </row>
    <row r="3085" ht="15.75" customHeight="1">
      <c r="A3085" s="4">
        <v>1087023.0</v>
      </c>
      <c r="B3085" s="4" t="s">
        <v>4231</v>
      </c>
    </row>
    <row r="3086" ht="15.75" customHeight="1">
      <c r="A3086" s="4">
        <v>1087024.0</v>
      </c>
      <c r="B3086" s="4" t="s">
        <v>4232</v>
      </c>
    </row>
    <row r="3087" ht="15.75" customHeight="1">
      <c r="A3087" s="4">
        <v>1088001.0</v>
      </c>
      <c r="B3087" s="4" t="s">
        <v>4233</v>
      </c>
    </row>
    <row r="3088" ht="15.75" customHeight="1">
      <c r="A3088" s="4">
        <v>1088002.0</v>
      </c>
      <c r="B3088" s="4" t="s">
        <v>4234</v>
      </c>
    </row>
    <row r="3089" ht="15.75" customHeight="1">
      <c r="A3089" s="4">
        <v>1088003.0</v>
      </c>
      <c r="B3089" s="4" t="s">
        <v>4235</v>
      </c>
    </row>
    <row r="3090" ht="15.75" customHeight="1">
      <c r="A3090" s="4">
        <v>1088004.0</v>
      </c>
      <c r="B3090" s="4" t="s">
        <v>4236</v>
      </c>
    </row>
    <row r="3091" ht="15.75" customHeight="1">
      <c r="A3091" s="4">
        <v>1088005.0</v>
      </c>
      <c r="B3091" s="4" t="s">
        <v>4237</v>
      </c>
    </row>
    <row r="3092" ht="15.75" customHeight="1">
      <c r="A3092" s="4">
        <v>1088006.0</v>
      </c>
      <c r="B3092" s="4" t="s">
        <v>4238</v>
      </c>
    </row>
    <row r="3093" ht="15.75" customHeight="1">
      <c r="A3093" s="4">
        <v>1088007.0</v>
      </c>
      <c r="B3093" s="4" t="s">
        <v>4239</v>
      </c>
    </row>
    <row r="3094" ht="15.75" customHeight="1">
      <c r="A3094" s="4">
        <v>1088008.0</v>
      </c>
      <c r="B3094" s="4" t="s">
        <v>4240</v>
      </c>
    </row>
    <row r="3095" ht="15.75" customHeight="1">
      <c r="A3095" s="4">
        <v>1088009.0</v>
      </c>
      <c r="B3095" s="4" t="s">
        <v>4241</v>
      </c>
    </row>
    <row r="3096" ht="15.75" customHeight="1">
      <c r="A3096" s="4">
        <v>1088010.0</v>
      </c>
      <c r="B3096" s="4" t="s">
        <v>4242</v>
      </c>
    </row>
    <row r="3097" ht="15.75" customHeight="1">
      <c r="A3097" s="4">
        <v>1088011.0</v>
      </c>
      <c r="B3097" s="4" t="s">
        <v>4243</v>
      </c>
    </row>
    <row r="3098" ht="15.75" customHeight="1">
      <c r="A3098" s="4">
        <v>1088012.0</v>
      </c>
      <c r="B3098" s="4" t="s">
        <v>4244</v>
      </c>
    </row>
    <row r="3099" ht="15.75" customHeight="1">
      <c r="A3099" s="4">
        <v>1088013.0</v>
      </c>
      <c r="B3099" s="4" t="s">
        <v>4245</v>
      </c>
    </row>
    <row r="3100" ht="15.75" customHeight="1">
      <c r="A3100" s="4">
        <v>1088014.0</v>
      </c>
      <c r="B3100" s="4" t="s">
        <v>4246</v>
      </c>
    </row>
    <row r="3101" ht="15.75" customHeight="1">
      <c r="A3101" s="4">
        <v>1088015.0</v>
      </c>
      <c r="B3101" s="4" t="s">
        <v>4247</v>
      </c>
    </row>
    <row r="3102" ht="15.75" customHeight="1">
      <c r="A3102" s="4">
        <v>1088016.0</v>
      </c>
      <c r="B3102" s="4" t="s">
        <v>4248</v>
      </c>
    </row>
    <row r="3103" ht="15.75" customHeight="1">
      <c r="A3103" s="4">
        <v>1088017.0</v>
      </c>
      <c r="B3103" s="4" t="s">
        <v>4249</v>
      </c>
    </row>
    <row r="3104" ht="15.75" customHeight="1">
      <c r="A3104" s="4">
        <v>1088018.0</v>
      </c>
      <c r="B3104" s="4" t="s">
        <v>4250</v>
      </c>
    </row>
    <row r="3105" ht="15.75" customHeight="1">
      <c r="A3105" s="4">
        <v>1088019.0</v>
      </c>
      <c r="B3105" s="4" t="s">
        <v>4251</v>
      </c>
    </row>
    <row r="3106" ht="15.75" customHeight="1">
      <c r="A3106" s="4">
        <v>1088020.0</v>
      </c>
      <c r="B3106" s="4" t="s">
        <v>4252</v>
      </c>
    </row>
    <row r="3107" ht="15.75" customHeight="1">
      <c r="A3107" s="4">
        <v>1088021.0</v>
      </c>
      <c r="B3107" s="4" t="s">
        <v>4253</v>
      </c>
    </row>
    <row r="3108" ht="15.75" customHeight="1">
      <c r="A3108" s="4">
        <v>1089001.0</v>
      </c>
      <c r="B3108" s="4" t="s">
        <v>4254</v>
      </c>
    </row>
    <row r="3109" ht="15.75" customHeight="1">
      <c r="A3109" s="4">
        <v>1089002.0</v>
      </c>
      <c r="B3109" s="4" t="s">
        <v>4255</v>
      </c>
    </row>
    <row r="3110" ht="15.75" customHeight="1">
      <c r="A3110" s="4">
        <v>1089003.0</v>
      </c>
      <c r="B3110" s="4" t="s">
        <v>4256</v>
      </c>
    </row>
    <row r="3111" ht="15.75" customHeight="1">
      <c r="A3111" s="4">
        <v>1089004.0</v>
      </c>
      <c r="B3111" s="4" t="s">
        <v>4257</v>
      </c>
    </row>
    <row r="3112" ht="15.75" customHeight="1">
      <c r="A3112" s="4">
        <v>1089005.0</v>
      </c>
      <c r="B3112" s="4" t="s">
        <v>4258</v>
      </c>
    </row>
    <row r="3113" ht="15.75" customHeight="1">
      <c r="A3113" s="4">
        <v>1089006.0</v>
      </c>
      <c r="B3113" s="4" t="s">
        <v>4259</v>
      </c>
    </row>
    <row r="3114" ht="15.75" customHeight="1">
      <c r="A3114" s="4">
        <v>1089007.0</v>
      </c>
      <c r="B3114" s="4" t="s">
        <v>4260</v>
      </c>
    </row>
    <row r="3115" ht="15.75" customHeight="1">
      <c r="A3115" s="4">
        <v>1089008.0</v>
      </c>
      <c r="B3115" s="4" t="s">
        <v>4261</v>
      </c>
    </row>
    <row r="3116" ht="15.75" customHeight="1">
      <c r="A3116" s="4">
        <v>1089009.0</v>
      </c>
      <c r="B3116" s="4" t="s">
        <v>4262</v>
      </c>
    </row>
    <row r="3117" ht="15.75" customHeight="1">
      <c r="A3117" s="4">
        <v>1089010.0</v>
      </c>
      <c r="B3117" s="4" t="s">
        <v>4263</v>
      </c>
    </row>
    <row r="3118" ht="15.75" customHeight="1">
      <c r="A3118" s="4">
        <v>1089011.0</v>
      </c>
      <c r="B3118" s="4" t="s">
        <v>4264</v>
      </c>
    </row>
    <row r="3119" ht="15.75" customHeight="1">
      <c r="A3119" s="4">
        <v>1089012.0</v>
      </c>
      <c r="B3119" s="4" t="s">
        <v>4265</v>
      </c>
    </row>
    <row r="3120" ht="15.75" customHeight="1">
      <c r="A3120" s="4">
        <v>1089013.0</v>
      </c>
      <c r="B3120" s="4" t="s">
        <v>4266</v>
      </c>
    </row>
    <row r="3121" ht="15.75" customHeight="1">
      <c r="A3121" s="4">
        <v>1089014.0</v>
      </c>
      <c r="B3121" s="4" t="s">
        <v>4267</v>
      </c>
    </row>
    <row r="3122" ht="15.75" customHeight="1">
      <c r="A3122" s="4">
        <v>1089015.0</v>
      </c>
      <c r="B3122" s="4" t="s">
        <v>4268</v>
      </c>
    </row>
    <row r="3123" ht="15.75" customHeight="1">
      <c r="A3123" s="4">
        <v>1089016.0</v>
      </c>
      <c r="B3123" s="4" t="s">
        <v>4269</v>
      </c>
    </row>
    <row r="3124" ht="15.75" customHeight="1">
      <c r="A3124" s="4">
        <v>1089017.0</v>
      </c>
      <c r="B3124" s="4" t="s">
        <v>4270</v>
      </c>
    </row>
    <row r="3125" ht="15.75" customHeight="1">
      <c r="A3125" s="4">
        <v>1089018.0</v>
      </c>
      <c r="B3125" s="4" t="s">
        <v>4271</v>
      </c>
    </row>
    <row r="3126" ht="15.75" customHeight="1">
      <c r="A3126" s="4">
        <v>1089019.0</v>
      </c>
      <c r="B3126" s="4" t="s">
        <v>4272</v>
      </c>
    </row>
    <row r="3127" ht="15.75" customHeight="1">
      <c r="A3127" s="4">
        <v>1089020.0</v>
      </c>
      <c r="B3127" s="4" t="s">
        <v>4273</v>
      </c>
    </row>
    <row r="3128" ht="15.75" customHeight="1">
      <c r="A3128" s="4">
        <v>1089021.0</v>
      </c>
      <c r="B3128" s="4" t="s">
        <v>4274</v>
      </c>
    </row>
    <row r="3129" ht="15.75" customHeight="1">
      <c r="A3129" s="4">
        <v>1089022.0</v>
      </c>
      <c r="B3129" s="4" t="s">
        <v>4275</v>
      </c>
    </row>
    <row r="3130" ht="15.75" customHeight="1">
      <c r="A3130" s="4">
        <v>1089023.0</v>
      </c>
      <c r="B3130" s="4" t="s">
        <v>4276</v>
      </c>
    </row>
    <row r="3131" ht="15.75" customHeight="1">
      <c r="A3131" s="4">
        <v>1089024.0</v>
      </c>
      <c r="B3131" s="4" t="s">
        <v>4277</v>
      </c>
    </row>
    <row r="3132" ht="15.75" customHeight="1">
      <c r="A3132" s="4">
        <v>1089025.0</v>
      </c>
      <c r="B3132" s="4" t="s">
        <v>4278</v>
      </c>
    </row>
    <row r="3133" ht="15.75" customHeight="1">
      <c r="A3133" s="4">
        <v>1089026.0</v>
      </c>
      <c r="B3133" s="4" t="s">
        <v>4279</v>
      </c>
    </row>
    <row r="3134" ht="15.75" customHeight="1">
      <c r="A3134" s="4">
        <v>1089027.0</v>
      </c>
      <c r="B3134" s="4" t="s">
        <v>4280</v>
      </c>
    </row>
    <row r="3135" ht="15.75" customHeight="1">
      <c r="A3135" s="4">
        <v>1089028.0</v>
      </c>
      <c r="B3135" s="4" t="s">
        <v>4281</v>
      </c>
    </row>
    <row r="3136" ht="15.75" customHeight="1">
      <c r="A3136" s="4">
        <v>1089029.0</v>
      </c>
      <c r="B3136" s="4" t="s">
        <v>4282</v>
      </c>
    </row>
    <row r="3137" ht="15.75" customHeight="1">
      <c r="A3137" s="4">
        <v>1089030.0</v>
      </c>
      <c r="B3137" s="4" t="s">
        <v>4283</v>
      </c>
    </row>
    <row r="3138" ht="15.75" customHeight="1">
      <c r="A3138" s="4">
        <v>1089031.0</v>
      </c>
      <c r="B3138" s="4" t="s">
        <v>4284</v>
      </c>
    </row>
    <row r="3139" ht="15.75" customHeight="1">
      <c r="A3139" s="4">
        <v>1089032.0</v>
      </c>
      <c r="B3139" s="4" t="s">
        <v>4285</v>
      </c>
    </row>
    <row r="3140" ht="15.75" customHeight="1">
      <c r="A3140" s="4">
        <v>1089033.0</v>
      </c>
      <c r="B3140" s="4" t="s">
        <v>4286</v>
      </c>
    </row>
    <row r="3141" ht="15.75" customHeight="1">
      <c r="A3141" s="4">
        <v>1089034.0</v>
      </c>
      <c r="B3141" s="4" t="s">
        <v>4287</v>
      </c>
    </row>
    <row r="3142" ht="15.75" customHeight="1">
      <c r="A3142" s="4">
        <v>1089035.0</v>
      </c>
      <c r="B3142" s="4" t="s">
        <v>4289</v>
      </c>
    </row>
    <row r="3143" ht="15.75" customHeight="1">
      <c r="A3143" s="4">
        <v>1089036.0</v>
      </c>
      <c r="B3143" s="4" t="s">
        <v>4290</v>
      </c>
    </row>
    <row r="3144" ht="15.75" customHeight="1">
      <c r="A3144" s="4">
        <v>1089037.0</v>
      </c>
      <c r="B3144" s="4" t="s">
        <v>4291</v>
      </c>
    </row>
    <row r="3145" ht="15.75" customHeight="1">
      <c r="A3145" s="4">
        <v>1089038.0</v>
      </c>
      <c r="B3145" s="4" t="s">
        <v>4294</v>
      </c>
    </row>
    <row r="3146" ht="15.75" customHeight="1">
      <c r="A3146" s="4">
        <v>1089039.0</v>
      </c>
      <c r="B3146" s="4" t="s">
        <v>4295</v>
      </c>
    </row>
    <row r="3147" ht="15.75" customHeight="1">
      <c r="A3147" s="4">
        <v>1089040.0</v>
      </c>
      <c r="B3147" s="4" t="s">
        <v>4296</v>
      </c>
    </row>
    <row r="3148" ht="15.75" customHeight="1">
      <c r="A3148" s="4">
        <v>1089041.0</v>
      </c>
      <c r="B3148" s="4" t="s">
        <v>4297</v>
      </c>
    </row>
    <row r="3149" ht="15.75" customHeight="1">
      <c r="A3149" s="4">
        <v>1089042.0</v>
      </c>
      <c r="B3149" s="4" t="s">
        <v>4298</v>
      </c>
    </row>
    <row r="3150" ht="15.75" customHeight="1">
      <c r="A3150" s="4">
        <v>1089043.0</v>
      </c>
      <c r="B3150" s="4" t="s">
        <v>4299</v>
      </c>
    </row>
    <row r="3151" ht="15.75" customHeight="1">
      <c r="A3151" s="4">
        <v>1089044.0</v>
      </c>
      <c r="B3151" s="4" t="s">
        <v>4300</v>
      </c>
    </row>
    <row r="3152" ht="15.75" customHeight="1">
      <c r="A3152" s="4">
        <v>1091001.0</v>
      </c>
      <c r="B3152" s="4" t="s">
        <v>4301</v>
      </c>
    </row>
    <row r="3153" ht="15.75" customHeight="1">
      <c r="A3153" s="4">
        <v>1091002.0</v>
      </c>
      <c r="B3153" s="4" t="s">
        <v>4302</v>
      </c>
    </row>
    <row r="3154" ht="15.75" customHeight="1">
      <c r="A3154" s="4">
        <v>1091003.0</v>
      </c>
      <c r="B3154" s="4" t="s">
        <v>4303</v>
      </c>
    </row>
    <row r="3155" ht="15.75" customHeight="1">
      <c r="A3155" s="4">
        <v>1091004.0</v>
      </c>
      <c r="B3155" s="4" t="s">
        <v>4304</v>
      </c>
    </row>
    <row r="3156" ht="15.75" customHeight="1">
      <c r="A3156" s="4">
        <v>1091005.0</v>
      </c>
      <c r="B3156" s="4" t="s">
        <v>4305</v>
      </c>
    </row>
    <row r="3157" ht="15.75" customHeight="1">
      <c r="A3157" s="4">
        <v>1091006.0</v>
      </c>
      <c r="B3157" s="4" t="s">
        <v>3505</v>
      </c>
    </row>
    <row r="3158" ht="15.75" customHeight="1">
      <c r="A3158" s="4">
        <v>1091007.0</v>
      </c>
      <c r="B3158" s="4" t="s">
        <v>4306</v>
      </c>
    </row>
    <row r="3159" ht="15.75" customHeight="1">
      <c r="A3159" s="4">
        <v>1091008.0</v>
      </c>
      <c r="B3159" s="4" t="s">
        <v>4307</v>
      </c>
    </row>
    <row r="3160" ht="15.75" customHeight="1">
      <c r="A3160" s="4">
        <v>1091009.0</v>
      </c>
      <c r="B3160" s="4" t="s">
        <v>4308</v>
      </c>
    </row>
    <row r="3161" ht="15.75" customHeight="1">
      <c r="A3161" s="4">
        <v>1091010.0</v>
      </c>
      <c r="B3161" s="4" t="s">
        <v>4309</v>
      </c>
    </row>
    <row r="3162" ht="15.75" customHeight="1">
      <c r="A3162" s="4">
        <v>1091011.0</v>
      </c>
      <c r="B3162" s="4" t="s">
        <v>4310</v>
      </c>
    </row>
    <row r="3163" ht="15.75" customHeight="1">
      <c r="A3163" s="4">
        <v>1091012.0</v>
      </c>
      <c r="B3163" s="4" t="s">
        <v>4311</v>
      </c>
    </row>
    <row r="3164" ht="15.75" customHeight="1">
      <c r="A3164" s="4">
        <v>1091013.0</v>
      </c>
      <c r="B3164" s="4" t="s">
        <v>4312</v>
      </c>
    </row>
    <row r="3165" ht="15.75" customHeight="1">
      <c r="A3165" s="4">
        <v>1091014.0</v>
      </c>
      <c r="B3165" s="4" t="s">
        <v>4313</v>
      </c>
    </row>
    <row r="3166" ht="15.75" customHeight="1">
      <c r="A3166" s="4">
        <v>1091015.0</v>
      </c>
      <c r="B3166" s="4" t="s">
        <v>4314</v>
      </c>
    </row>
    <row r="3167" ht="15.75" customHeight="1">
      <c r="A3167" s="4">
        <v>1091016.0</v>
      </c>
      <c r="B3167" s="4" t="s">
        <v>4315</v>
      </c>
    </row>
    <row r="3168" ht="15.75" customHeight="1">
      <c r="A3168" s="4">
        <v>1091017.0</v>
      </c>
      <c r="B3168" s="4" t="s">
        <v>4316</v>
      </c>
    </row>
    <row r="3169" ht="15.75" customHeight="1">
      <c r="A3169" s="4">
        <v>1091018.0</v>
      </c>
      <c r="B3169" s="4" t="s">
        <v>4317</v>
      </c>
    </row>
    <row r="3170" ht="15.75" customHeight="1">
      <c r="A3170" s="4">
        <v>1091019.0</v>
      </c>
      <c r="B3170" s="4" t="s">
        <v>4318</v>
      </c>
    </row>
    <row r="3171" ht="15.75" customHeight="1">
      <c r="A3171" s="4">
        <v>1091020.0</v>
      </c>
      <c r="B3171" s="4" t="s">
        <v>4319</v>
      </c>
    </row>
    <row r="3172" ht="15.75" customHeight="1">
      <c r="A3172" s="4">
        <v>1091021.0</v>
      </c>
      <c r="B3172" s="4" t="s">
        <v>4320</v>
      </c>
    </row>
    <row r="3173" ht="15.75" customHeight="1">
      <c r="A3173" s="4">
        <v>1091022.0</v>
      </c>
      <c r="B3173" s="4" t="s">
        <v>4321</v>
      </c>
    </row>
    <row r="3174" ht="15.75" customHeight="1">
      <c r="A3174" s="4">
        <v>1091023.0</v>
      </c>
      <c r="B3174" s="4" t="s">
        <v>4322</v>
      </c>
    </row>
    <row r="3175" ht="15.75" customHeight="1">
      <c r="A3175" s="4">
        <v>1091024.0</v>
      </c>
      <c r="B3175" s="4" t="s">
        <v>4323</v>
      </c>
    </row>
    <row r="3176" ht="15.75" customHeight="1">
      <c r="A3176" s="4">
        <v>1091025.0</v>
      </c>
      <c r="B3176" s="4" t="s">
        <v>4324</v>
      </c>
    </row>
    <row r="3177" ht="15.75" customHeight="1">
      <c r="A3177" s="4">
        <v>1091026.0</v>
      </c>
      <c r="B3177" s="4" t="s">
        <v>4325</v>
      </c>
    </row>
    <row r="3178" ht="15.75" customHeight="1">
      <c r="A3178" s="4">
        <v>1091027.0</v>
      </c>
      <c r="B3178" s="4" t="s">
        <v>4326</v>
      </c>
    </row>
    <row r="3179" ht="15.75" customHeight="1">
      <c r="A3179" s="4">
        <v>1091028.0</v>
      </c>
      <c r="B3179" s="4" t="s">
        <v>4327</v>
      </c>
    </row>
    <row r="3180" ht="15.75" customHeight="1">
      <c r="A3180" s="4">
        <v>1091029.0</v>
      </c>
      <c r="B3180" s="4" t="s">
        <v>4328</v>
      </c>
    </row>
    <row r="3181" ht="15.75" customHeight="1">
      <c r="A3181" s="4">
        <v>1091030.0</v>
      </c>
      <c r="B3181" s="4" t="s">
        <v>4329</v>
      </c>
    </row>
    <row r="3182" ht="15.75" customHeight="1">
      <c r="A3182" s="4">
        <v>1092001.0</v>
      </c>
      <c r="B3182" s="4" t="s">
        <v>4330</v>
      </c>
    </row>
    <row r="3183" ht="15.75" customHeight="1">
      <c r="A3183" s="4">
        <v>1092002.0</v>
      </c>
      <c r="B3183" s="4" t="s">
        <v>4331</v>
      </c>
    </row>
    <row r="3184" ht="15.75" customHeight="1">
      <c r="A3184" s="4">
        <v>1092003.0</v>
      </c>
      <c r="B3184" s="4" t="s">
        <v>4332</v>
      </c>
    </row>
    <row r="3185" ht="15.75" customHeight="1">
      <c r="A3185" s="4">
        <v>1092004.0</v>
      </c>
      <c r="B3185" s="4" t="s">
        <v>4333</v>
      </c>
    </row>
    <row r="3186" ht="15.75" customHeight="1">
      <c r="A3186" s="4">
        <v>1092005.0</v>
      </c>
      <c r="B3186" s="4" t="s">
        <v>4334</v>
      </c>
    </row>
    <row r="3187" ht="15.75" customHeight="1">
      <c r="A3187" s="4">
        <v>1092006.0</v>
      </c>
      <c r="B3187" s="4" t="s">
        <v>4335</v>
      </c>
    </row>
    <row r="3188" ht="15.75" customHeight="1">
      <c r="A3188" s="4">
        <v>1092007.0</v>
      </c>
      <c r="B3188" s="4" t="s">
        <v>4336</v>
      </c>
    </row>
    <row r="3189" ht="15.75" customHeight="1">
      <c r="A3189" s="4">
        <v>1092008.0</v>
      </c>
      <c r="B3189" s="4" t="s">
        <v>4337</v>
      </c>
    </row>
    <row r="3190" ht="15.75" customHeight="1">
      <c r="A3190" s="4">
        <v>1092009.0</v>
      </c>
      <c r="B3190" s="4" t="s">
        <v>4338</v>
      </c>
    </row>
    <row r="3191" ht="15.75" customHeight="1">
      <c r="A3191" s="4">
        <v>1092010.0</v>
      </c>
      <c r="B3191" s="4" t="s">
        <v>4339</v>
      </c>
    </row>
    <row r="3192" ht="15.75" customHeight="1">
      <c r="A3192" s="4">
        <v>1092011.0</v>
      </c>
      <c r="B3192" s="4" t="s">
        <v>4340</v>
      </c>
    </row>
    <row r="3193" ht="15.75" customHeight="1">
      <c r="A3193" s="4">
        <v>1092012.0</v>
      </c>
      <c r="B3193" s="4" t="s">
        <v>4341</v>
      </c>
    </row>
    <row r="3194" ht="15.75" customHeight="1">
      <c r="A3194" s="4">
        <v>1092013.0</v>
      </c>
      <c r="B3194" s="4" t="s">
        <v>4342</v>
      </c>
    </row>
    <row r="3195" ht="15.75" customHeight="1">
      <c r="A3195" s="4">
        <v>1092014.0</v>
      </c>
      <c r="B3195" s="4" t="s">
        <v>4343</v>
      </c>
    </row>
    <row r="3196" ht="15.75" customHeight="1">
      <c r="A3196" s="4">
        <v>1092015.0</v>
      </c>
      <c r="B3196" s="4" t="s">
        <v>4344</v>
      </c>
    </row>
    <row r="3197" ht="15.75" customHeight="1">
      <c r="A3197" s="4">
        <v>1092016.0</v>
      </c>
      <c r="B3197" s="4" t="s">
        <v>4345</v>
      </c>
    </row>
    <row r="3198" ht="15.75" customHeight="1">
      <c r="A3198" s="4">
        <v>1092017.0</v>
      </c>
      <c r="B3198" s="4" t="s">
        <v>4346</v>
      </c>
    </row>
    <row r="3199" ht="15.75" customHeight="1">
      <c r="A3199" s="4">
        <v>1092018.0</v>
      </c>
      <c r="B3199" s="4" t="s">
        <v>4347</v>
      </c>
    </row>
    <row r="3200" ht="15.75" customHeight="1">
      <c r="A3200" s="4">
        <v>1092019.0</v>
      </c>
      <c r="B3200" s="4" t="s">
        <v>4348</v>
      </c>
    </row>
    <row r="3201" ht="15.75" customHeight="1">
      <c r="A3201" s="4">
        <v>1092020.0</v>
      </c>
      <c r="B3201" s="4" t="s">
        <v>4349</v>
      </c>
    </row>
    <row r="3202" ht="15.75" customHeight="1">
      <c r="A3202" s="4">
        <v>1092021.0</v>
      </c>
      <c r="B3202" s="4" t="s">
        <v>4350</v>
      </c>
    </row>
    <row r="3203" ht="15.75" customHeight="1">
      <c r="A3203" s="4">
        <v>1092022.0</v>
      </c>
      <c r="B3203" s="4" t="s">
        <v>4351</v>
      </c>
    </row>
    <row r="3204" ht="15.75" customHeight="1">
      <c r="A3204" s="4">
        <v>1092023.0</v>
      </c>
      <c r="B3204" s="4" t="s">
        <v>4352</v>
      </c>
    </row>
    <row r="3205" ht="15.75" customHeight="1">
      <c r="A3205" s="4">
        <v>1092024.0</v>
      </c>
      <c r="B3205" s="4" t="s">
        <v>4353</v>
      </c>
    </row>
    <row r="3206" ht="15.75" customHeight="1">
      <c r="A3206" s="4">
        <v>1092025.0</v>
      </c>
      <c r="B3206" s="4" t="s">
        <v>4354</v>
      </c>
    </row>
    <row r="3207" ht="15.75" customHeight="1">
      <c r="A3207" s="4">
        <v>1092026.0</v>
      </c>
      <c r="B3207" s="4" t="s">
        <v>4355</v>
      </c>
    </row>
    <row r="3208" ht="15.75" customHeight="1">
      <c r="A3208" s="4">
        <v>1092027.0</v>
      </c>
      <c r="B3208" s="4" t="s">
        <v>4356</v>
      </c>
    </row>
    <row r="3209" ht="15.75" customHeight="1">
      <c r="A3209" s="4">
        <v>1092028.0</v>
      </c>
      <c r="B3209" s="4" t="s">
        <v>4357</v>
      </c>
    </row>
    <row r="3210" ht="15.75" customHeight="1">
      <c r="A3210" s="4">
        <v>1092029.0</v>
      </c>
      <c r="B3210" s="4" t="s">
        <v>4358</v>
      </c>
    </row>
    <row r="3211" ht="15.75" customHeight="1">
      <c r="A3211" s="4">
        <v>1092030.0</v>
      </c>
      <c r="B3211" s="4" t="s">
        <v>4359</v>
      </c>
    </row>
    <row r="3212" ht="15.75" customHeight="1">
      <c r="A3212" s="4">
        <v>1092031.0</v>
      </c>
      <c r="B3212" s="4" t="s">
        <v>4360</v>
      </c>
    </row>
    <row r="3213" ht="15.75" customHeight="1">
      <c r="A3213" s="4">
        <v>1092032.0</v>
      </c>
      <c r="B3213" s="4" t="s">
        <v>4361</v>
      </c>
    </row>
    <row r="3214" ht="15.75" customHeight="1">
      <c r="A3214" s="4">
        <v>1092033.0</v>
      </c>
      <c r="B3214" s="4" t="s">
        <v>4362</v>
      </c>
    </row>
    <row r="3215" ht="15.75" customHeight="1">
      <c r="A3215" s="4">
        <v>1092034.0</v>
      </c>
      <c r="B3215" s="4" t="s">
        <v>4363</v>
      </c>
    </row>
    <row r="3216" ht="15.75" customHeight="1">
      <c r="A3216" s="4">
        <v>1092035.0</v>
      </c>
      <c r="B3216" s="4" t="s">
        <v>4364</v>
      </c>
    </row>
    <row r="3217" ht="15.75" customHeight="1">
      <c r="A3217" s="4">
        <v>1201001.0</v>
      </c>
      <c r="B3217" s="4" t="s">
        <v>4365</v>
      </c>
    </row>
    <row r="3218" ht="15.75" customHeight="1">
      <c r="A3218" s="4">
        <v>1201002.0</v>
      </c>
      <c r="B3218" s="4" t="s">
        <v>4366</v>
      </c>
    </row>
    <row r="3219" ht="15.75" customHeight="1">
      <c r="A3219" s="4">
        <v>1201003.0</v>
      </c>
      <c r="B3219" s="4" t="s">
        <v>4367</v>
      </c>
    </row>
    <row r="3220" ht="15.75" customHeight="1">
      <c r="A3220" s="4">
        <v>1201004.0</v>
      </c>
      <c r="B3220" s="4" t="s">
        <v>4368</v>
      </c>
    </row>
    <row r="3221" ht="15.75" customHeight="1">
      <c r="A3221" s="4">
        <v>1201005.0</v>
      </c>
      <c r="B3221" s="4" t="s">
        <v>4369</v>
      </c>
    </row>
    <row r="3222" ht="15.75" customHeight="1">
      <c r="A3222" s="4">
        <v>1201006.0</v>
      </c>
      <c r="B3222" s="4" t="s">
        <v>4370</v>
      </c>
    </row>
    <row r="3223" ht="15.75" customHeight="1">
      <c r="A3223" s="4">
        <v>1201007.0</v>
      </c>
      <c r="B3223" s="4" t="s">
        <v>4371</v>
      </c>
    </row>
    <row r="3224" ht="15.75" customHeight="1">
      <c r="A3224" s="4">
        <v>1201008.0</v>
      </c>
      <c r="B3224" s="4" t="s">
        <v>4372</v>
      </c>
    </row>
    <row r="3225" ht="15.75" customHeight="1">
      <c r="A3225" s="4">
        <v>1201009.0</v>
      </c>
      <c r="B3225" s="4" t="s">
        <v>4373</v>
      </c>
    </row>
    <row r="3226" ht="15.75" customHeight="1">
      <c r="A3226" s="4">
        <v>1201010.0</v>
      </c>
      <c r="B3226" s="4" t="s">
        <v>4374</v>
      </c>
    </row>
    <row r="3227" ht="15.75" customHeight="1">
      <c r="A3227" s="4">
        <v>1201011.0</v>
      </c>
      <c r="B3227" s="4" t="s">
        <v>4375</v>
      </c>
    </row>
    <row r="3228" ht="15.75" customHeight="1">
      <c r="A3228" s="4">
        <v>1201012.0</v>
      </c>
      <c r="B3228" s="4" t="s">
        <v>4376</v>
      </c>
    </row>
    <row r="3229" ht="15.75" customHeight="1">
      <c r="A3229" s="4">
        <v>1201013.0</v>
      </c>
      <c r="B3229" s="4" t="s">
        <v>4377</v>
      </c>
    </row>
    <row r="3230" ht="15.75" customHeight="1">
      <c r="A3230" s="4">
        <v>1201014.0</v>
      </c>
      <c r="B3230" s="4" t="s">
        <v>4378</v>
      </c>
    </row>
    <row r="3231" ht="15.75" customHeight="1">
      <c r="A3231" s="4">
        <v>1201015.0</v>
      </c>
      <c r="B3231" s="4" t="s">
        <v>4379</v>
      </c>
    </row>
    <row r="3232" ht="15.75" customHeight="1">
      <c r="A3232" s="4">
        <v>1201016.0</v>
      </c>
      <c r="B3232" s="4" t="s">
        <v>4380</v>
      </c>
    </row>
    <row r="3233" ht="15.75" customHeight="1">
      <c r="A3233" s="4">
        <v>1201017.0</v>
      </c>
      <c r="B3233" s="4" t="s">
        <v>4381</v>
      </c>
    </row>
    <row r="3234" ht="15.75" customHeight="1">
      <c r="A3234" s="4">
        <v>1201018.0</v>
      </c>
      <c r="B3234" s="4" t="s">
        <v>4382</v>
      </c>
    </row>
    <row r="3235" ht="15.75" customHeight="1">
      <c r="A3235" s="4">
        <v>1201019.0</v>
      </c>
      <c r="B3235" s="4" t="s">
        <v>4383</v>
      </c>
    </row>
    <row r="3236" ht="15.75" customHeight="1">
      <c r="A3236" s="4">
        <v>1201020.0</v>
      </c>
      <c r="B3236" s="4" t="s">
        <v>4384</v>
      </c>
    </row>
    <row r="3237" ht="15.75" customHeight="1">
      <c r="A3237" s="4">
        <v>1201021.0</v>
      </c>
      <c r="B3237" s="4" t="s">
        <v>4385</v>
      </c>
    </row>
    <row r="3238" ht="15.75" customHeight="1">
      <c r="A3238" s="4">
        <v>1201022.0</v>
      </c>
      <c r="B3238" s="4" t="s">
        <v>4386</v>
      </c>
    </row>
    <row r="3239" ht="15.75" customHeight="1">
      <c r="A3239" s="4">
        <v>1201023.0</v>
      </c>
      <c r="B3239" s="4" t="s">
        <v>4387</v>
      </c>
    </row>
    <row r="3240" ht="15.75" customHeight="1">
      <c r="A3240" s="4">
        <v>1201024.0</v>
      </c>
      <c r="B3240" s="4" t="s">
        <v>4388</v>
      </c>
    </row>
    <row r="3241" ht="15.75" customHeight="1">
      <c r="A3241" s="4">
        <v>1201025.0</v>
      </c>
      <c r="B3241" s="4" t="s">
        <v>4389</v>
      </c>
    </row>
    <row r="3242" ht="15.75" customHeight="1">
      <c r="A3242" s="4">
        <v>1202001.0</v>
      </c>
      <c r="B3242" s="4" t="s">
        <v>4390</v>
      </c>
    </row>
    <row r="3243" ht="15.75" customHeight="1">
      <c r="A3243" s="4">
        <v>1202002.0</v>
      </c>
      <c r="B3243" s="4" t="s">
        <v>4391</v>
      </c>
    </row>
    <row r="3244" ht="15.75" customHeight="1">
      <c r="A3244" s="4">
        <v>1202003.0</v>
      </c>
      <c r="B3244" s="4" t="s">
        <v>4392</v>
      </c>
    </row>
    <row r="3245" ht="15.75" customHeight="1">
      <c r="A3245" s="4">
        <v>1202004.0</v>
      </c>
      <c r="B3245" s="4" t="s">
        <v>4393</v>
      </c>
    </row>
    <row r="3246" ht="15.75" customHeight="1">
      <c r="A3246" s="4">
        <v>1202005.0</v>
      </c>
      <c r="B3246" s="4" t="s">
        <v>4394</v>
      </c>
    </row>
    <row r="3247" ht="15.75" customHeight="1">
      <c r="A3247" s="4">
        <v>1202006.0</v>
      </c>
      <c r="B3247" s="4" t="s">
        <v>4395</v>
      </c>
    </row>
    <row r="3248" ht="15.75" customHeight="1">
      <c r="A3248" s="4">
        <v>1202007.0</v>
      </c>
      <c r="B3248" s="4" t="s">
        <v>4397</v>
      </c>
    </row>
    <row r="3249" ht="15.75" customHeight="1">
      <c r="A3249" s="4">
        <v>1202008.0</v>
      </c>
      <c r="B3249" s="4" t="s">
        <v>3975</v>
      </c>
    </row>
    <row r="3250" ht="15.75" customHeight="1">
      <c r="A3250" s="4">
        <v>1202009.0</v>
      </c>
      <c r="B3250" s="4" t="s">
        <v>4399</v>
      </c>
    </row>
    <row r="3251" ht="15.75" customHeight="1">
      <c r="A3251" s="4">
        <v>1202010.0</v>
      </c>
      <c r="B3251" s="4" t="s">
        <v>4400</v>
      </c>
    </row>
    <row r="3252" ht="15.75" customHeight="1">
      <c r="A3252" s="4">
        <v>1202011.0</v>
      </c>
      <c r="B3252" s="4" t="s">
        <v>4401</v>
      </c>
    </row>
    <row r="3253" ht="15.75" customHeight="1">
      <c r="A3253" s="4">
        <v>1202012.0</v>
      </c>
      <c r="B3253" s="4" t="s">
        <v>4402</v>
      </c>
    </row>
    <row r="3254" ht="15.75" customHeight="1">
      <c r="A3254" s="4">
        <v>1202013.0</v>
      </c>
      <c r="B3254" s="4" t="s">
        <v>4403</v>
      </c>
    </row>
    <row r="3255" ht="15.75" customHeight="1">
      <c r="A3255" s="4">
        <v>1202014.0</v>
      </c>
      <c r="B3255" s="4" t="s">
        <v>4404</v>
      </c>
    </row>
    <row r="3256" ht="15.75" customHeight="1">
      <c r="A3256" s="4">
        <v>1202015.0</v>
      </c>
      <c r="B3256" s="4" t="s">
        <v>4405</v>
      </c>
    </row>
    <row r="3257" ht="15.75" customHeight="1">
      <c r="A3257" s="4">
        <v>1202016.0</v>
      </c>
      <c r="B3257" s="4" t="s">
        <v>4406</v>
      </c>
    </row>
    <row r="3258" ht="15.75" customHeight="1">
      <c r="A3258" s="4">
        <v>1202017.0</v>
      </c>
      <c r="B3258" s="4" t="s">
        <v>4407</v>
      </c>
    </row>
    <row r="3259" ht="15.75" customHeight="1">
      <c r="A3259" s="4">
        <v>1202018.0</v>
      </c>
      <c r="B3259" s="4" t="s">
        <v>4408</v>
      </c>
    </row>
    <row r="3260" ht="15.75" customHeight="1">
      <c r="A3260" s="4">
        <v>1202019.0</v>
      </c>
      <c r="B3260" s="4" t="s">
        <v>4409</v>
      </c>
    </row>
    <row r="3261" ht="15.75" customHeight="1">
      <c r="A3261" s="4">
        <v>1202020.0</v>
      </c>
      <c r="B3261" s="4" t="s">
        <v>4410</v>
      </c>
    </row>
    <row r="3262" ht="15.75" customHeight="1">
      <c r="A3262" s="4">
        <v>1202021.0</v>
      </c>
      <c r="B3262" s="4" t="s">
        <v>4411</v>
      </c>
    </row>
    <row r="3263" ht="15.75" customHeight="1">
      <c r="A3263" s="4">
        <v>1202022.0</v>
      </c>
      <c r="B3263" s="4" t="s">
        <v>4412</v>
      </c>
    </row>
    <row r="3264" ht="15.75" customHeight="1">
      <c r="A3264" s="4">
        <v>1202023.0</v>
      </c>
      <c r="B3264" s="4" t="s">
        <v>4413</v>
      </c>
    </row>
    <row r="3265" ht="15.75" customHeight="1">
      <c r="A3265" s="4">
        <v>1202024.0</v>
      </c>
      <c r="B3265" s="4" t="s">
        <v>4414</v>
      </c>
    </row>
    <row r="3266" ht="15.75" customHeight="1">
      <c r="A3266" s="4">
        <v>1202025.0</v>
      </c>
      <c r="B3266" s="4" t="s">
        <v>4415</v>
      </c>
    </row>
    <row r="3267" ht="15.75" customHeight="1">
      <c r="A3267" s="4">
        <v>1202026.0</v>
      </c>
      <c r="B3267" s="4" t="s">
        <v>4416</v>
      </c>
    </row>
    <row r="3268" ht="15.75" customHeight="1">
      <c r="A3268" s="4">
        <v>1203001.0</v>
      </c>
      <c r="B3268" s="4" t="s">
        <v>4417</v>
      </c>
    </row>
    <row r="3269" ht="15.75" customHeight="1">
      <c r="A3269" s="4">
        <v>1203002.0</v>
      </c>
      <c r="B3269" s="4" t="s">
        <v>4418</v>
      </c>
    </row>
    <row r="3270" ht="15.75" customHeight="1">
      <c r="A3270" s="4">
        <v>1203003.0</v>
      </c>
      <c r="B3270" s="4" t="s">
        <v>4419</v>
      </c>
    </row>
    <row r="3271" ht="15.75" customHeight="1">
      <c r="A3271" s="4">
        <v>1203004.0</v>
      </c>
      <c r="B3271" s="4" t="s">
        <v>4420</v>
      </c>
    </row>
    <row r="3272" ht="15.75" customHeight="1">
      <c r="A3272" s="4">
        <v>1203005.0</v>
      </c>
      <c r="B3272" s="4" t="s">
        <v>4421</v>
      </c>
    </row>
    <row r="3273" ht="15.75" customHeight="1">
      <c r="A3273" s="4">
        <v>1203006.0</v>
      </c>
      <c r="B3273" s="4" t="s">
        <v>4422</v>
      </c>
    </row>
    <row r="3274" ht="15.75" customHeight="1">
      <c r="A3274" s="4">
        <v>1203007.0</v>
      </c>
      <c r="B3274" s="4" t="s">
        <v>4423</v>
      </c>
    </row>
    <row r="3275" ht="15.75" customHeight="1">
      <c r="A3275" s="4">
        <v>1203008.0</v>
      </c>
      <c r="B3275" s="4" t="s">
        <v>4424</v>
      </c>
    </row>
    <row r="3276" ht="15.75" customHeight="1">
      <c r="A3276" s="4">
        <v>1203009.0</v>
      </c>
      <c r="B3276" s="4" t="s">
        <v>4425</v>
      </c>
    </row>
    <row r="3277" ht="15.75" customHeight="1">
      <c r="A3277" s="4">
        <v>1203010.0</v>
      </c>
      <c r="B3277" s="4" t="s">
        <v>4426</v>
      </c>
    </row>
    <row r="3278" ht="15.75" customHeight="1">
      <c r="A3278" s="4">
        <v>1203011.0</v>
      </c>
      <c r="B3278" s="4" t="s">
        <v>4427</v>
      </c>
    </row>
    <row r="3279" ht="15.75" customHeight="1">
      <c r="A3279" s="4">
        <v>1203012.0</v>
      </c>
      <c r="B3279" s="4" t="s">
        <v>4428</v>
      </c>
    </row>
    <row r="3280" ht="15.75" customHeight="1">
      <c r="A3280" s="4">
        <v>1203013.0</v>
      </c>
      <c r="B3280" s="4" t="s">
        <v>4429</v>
      </c>
    </row>
    <row r="3281" ht="15.75" customHeight="1">
      <c r="A3281" s="4">
        <v>1203014.0</v>
      </c>
      <c r="B3281" s="4" t="s">
        <v>4430</v>
      </c>
    </row>
    <row r="3282" ht="15.75" customHeight="1">
      <c r="A3282" s="4">
        <v>1203015.0</v>
      </c>
      <c r="B3282" s="4" t="s">
        <v>4431</v>
      </c>
    </row>
    <row r="3283" ht="15.75" customHeight="1">
      <c r="A3283" s="4">
        <v>1203016.0</v>
      </c>
      <c r="B3283" s="4" t="s">
        <v>4432</v>
      </c>
    </row>
    <row r="3284" ht="15.75" customHeight="1">
      <c r="A3284" s="4">
        <v>1204001.0</v>
      </c>
      <c r="B3284" s="4" t="s">
        <v>4433</v>
      </c>
    </row>
    <row r="3285" ht="15.75" customHeight="1">
      <c r="A3285" s="4">
        <v>1204002.0</v>
      </c>
      <c r="B3285" s="4" t="s">
        <v>4434</v>
      </c>
    </row>
    <row r="3286" ht="15.75" customHeight="1">
      <c r="A3286" s="4">
        <v>1204003.0</v>
      </c>
      <c r="B3286" s="4" t="s">
        <v>4435</v>
      </c>
    </row>
    <row r="3287" ht="15.75" customHeight="1">
      <c r="A3287" s="4">
        <v>1204004.0</v>
      </c>
      <c r="B3287" s="4" t="s">
        <v>4436</v>
      </c>
    </row>
    <row r="3288" ht="15.75" customHeight="1">
      <c r="A3288" s="4">
        <v>1204005.0</v>
      </c>
      <c r="B3288" s="4" t="s">
        <v>4437</v>
      </c>
    </row>
    <row r="3289" ht="15.75" customHeight="1">
      <c r="A3289" s="4">
        <v>1204006.0</v>
      </c>
      <c r="B3289" s="4" t="s">
        <v>4438</v>
      </c>
    </row>
    <row r="3290" ht="15.75" customHeight="1">
      <c r="A3290" s="4">
        <v>1204007.0</v>
      </c>
      <c r="B3290" s="4" t="s">
        <v>4439</v>
      </c>
    </row>
    <row r="3291" ht="15.75" customHeight="1">
      <c r="A3291" s="4">
        <v>1204008.0</v>
      </c>
      <c r="B3291" s="4" t="s">
        <v>4440</v>
      </c>
    </row>
    <row r="3292" ht="15.75" customHeight="1">
      <c r="A3292" s="4">
        <v>1204009.0</v>
      </c>
      <c r="B3292" s="4" t="s">
        <v>4441</v>
      </c>
    </row>
    <row r="3293" ht="15.75" customHeight="1">
      <c r="A3293" s="4">
        <v>1204010.0</v>
      </c>
      <c r="B3293" s="4" t="s">
        <v>4442</v>
      </c>
    </row>
    <row r="3294" ht="15.75" customHeight="1">
      <c r="A3294" s="4">
        <v>1204011.0</v>
      </c>
      <c r="B3294" s="4" t="s">
        <v>4443</v>
      </c>
    </row>
    <row r="3295" ht="15.75" customHeight="1">
      <c r="A3295" s="4">
        <v>1204012.0</v>
      </c>
      <c r="B3295" s="4" t="s">
        <v>4444</v>
      </c>
    </row>
    <row r="3296" ht="15.75" customHeight="1">
      <c r="A3296" s="4">
        <v>1204013.0</v>
      </c>
      <c r="B3296" s="4" t="s">
        <v>4445</v>
      </c>
    </row>
    <row r="3297" ht="15.75" customHeight="1">
      <c r="A3297" s="4">
        <v>1204014.0</v>
      </c>
      <c r="B3297" s="4" t="s">
        <v>4446</v>
      </c>
    </row>
    <row r="3298" ht="15.75" customHeight="1">
      <c r="A3298" s="4">
        <v>1204015.0</v>
      </c>
      <c r="B3298" s="4" t="s">
        <v>4447</v>
      </c>
    </row>
    <row r="3299" ht="15.75" customHeight="1">
      <c r="A3299" s="4">
        <v>1204016.0</v>
      </c>
      <c r="B3299" s="4" t="s">
        <v>4448</v>
      </c>
    </row>
    <row r="3300" ht="15.75" customHeight="1">
      <c r="A3300" s="4">
        <v>1205001.0</v>
      </c>
      <c r="B3300" s="4" t="s">
        <v>4449</v>
      </c>
    </row>
    <row r="3301" ht="15.75" customHeight="1">
      <c r="A3301" s="4">
        <v>1205002.0</v>
      </c>
      <c r="B3301" s="4" t="s">
        <v>4450</v>
      </c>
    </row>
    <row r="3302" ht="15.75" customHeight="1">
      <c r="A3302" s="4">
        <v>1205003.0</v>
      </c>
      <c r="B3302" s="4" t="s">
        <v>4451</v>
      </c>
    </row>
    <row r="3303" ht="15.75" customHeight="1">
      <c r="A3303" s="4">
        <v>1205004.0</v>
      </c>
      <c r="B3303" s="4" t="s">
        <v>4452</v>
      </c>
    </row>
    <row r="3304" ht="15.75" customHeight="1">
      <c r="A3304" s="4">
        <v>1205005.0</v>
      </c>
      <c r="B3304" s="4" t="s">
        <v>4453</v>
      </c>
    </row>
    <row r="3305" ht="15.75" customHeight="1">
      <c r="A3305" s="4">
        <v>1205006.0</v>
      </c>
      <c r="B3305" s="4" t="s">
        <v>4454</v>
      </c>
    </row>
    <row r="3306" ht="15.75" customHeight="1">
      <c r="A3306" s="4">
        <v>1205007.0</v>
      </c>
      <c r="B3306" s="4" t="s">
        <v>4455</v>
      </c>
    </row>
    <row r="3307" ht="15.75" customHeight="1">
      <c r="A3307" s="4">
        <v>1205008.0</v>
      </c>
      <c r="B3307" s="4" t="s">
        <v>4456</v>
      </c>
    </row>
    <row r="3308" ht="15.75" customHeight="1">
      <c r="A3308" s="4">
        <v>1205009.0</v>
      </c>
      <c r="B3308" s="4" t="s">
        <v>4457</v>
      </c>
    </row>
    <row r="3309" ht="15.75" customHeight="1">
      <c r="A3309" s="4">
        <v>1205010.0</v>
      </c>
      <c r="B3309" s="4" t="s">
        <v>4458</v>
      </c>
    </row>
    <row r="3310" ht="15.75" customHeight="1">
      <c r="A3310" s="4">
        <v>1205011.0</v>
      </c>
      <c r="B3310" s="4" t="s">
        <v>4459</v>
      </c>
    </row>
    <row r="3311" ht="15.75" customHeight="1">
      <c r="A3311" s="4">
        <v>1205012.0</v>
      </c>
      <c r="B3311" s="4" t="s">
        <v>4460</v>
      </c>
    </row>
    <row r="3312" ht="15.75" customHeight="1">
      <c r="A3312" s="4">
        <v>1205013.0</v>
      </c>
      <c r="B3312" s="4" t="s">
        <v>4461</v>
      </c>
    </row>
    <row r="3313" ht="15.75" customHeight="1">
      <c r="A3313" s="4">
        <v>1205014.0</v>
      </c>
      <c r="B3313" s="4" t="s">
        <v>4462</v>
      </c>
    </row>
    <row r="3314" ht="15.75" customHeight="1">
      <c r="A3314" s="4">
        <v>1205015.0</v>
      </c>
      <c r="B3314" s="4" t="s">
        <v>4463</v>
      </c>
    </row>
    <row r="3315" ht="15.75" customHeight="1">
      <c r="A3315" s="4">
        <v>1205016.0</v>
      </c>
      <c r="B3315" s="4" t="s">
        <v>4464</v>
      </c>
    </row>
    <row r="3316" ht="15.75" customHeight="1">
      <c r="A3316" s="4">
        <v>1205017.0</v>
      </c>
      <c r="B3316" s="4" t="s">
        <v>4465</v>
      </c>
    </row>
    <row r="3317" ht="15.75" customHeight="1">
      <c r="A3317" s="4">
        <v>1205018.0</v>
      </c>
      <c r="B3317" s="4" t="s">
        <v>4466</v>
      </c>
    </row>
    <row r="3318" ht="15.75" customHeight="1">
      <c r="A3318" s="4">
        <v>1205019.0</v>
      </c>
      <c r="B3318" s="4" t="s">
        <v>4467</v>
      </c>
    </row>
    <row r="3319" ht="15.75" customHeight="1">
      <c r="A3319" s="4">
        <v>1205020.0</v>
      </c>
      <c r="B3319" s="4" t="s">
        <v>4468</v>
      </c>
    </row>
    <row r="3320" ht="15.75" customHeight="1">
      <c r="A3320" s="4">
        <v>1205021.0</v>
      </c>
      <c r="B3320" s="4" t="s">
        <v>4469</v>
      </c>
    </row>
    <row r="3321" ht="15.75" customHeight="1">
      <c r="A3321" s="4">
        <v>1205022.0</v>
      </c>
      <c r="B3321" s="4" t="s">
        <v>4470</v>
      </c>
    </row>
    <row r="3322" ht="15.75" customHeight="1">
      <c r="A3322" s="4">
        <v>1206001.0</v>
      </c>
      <c r="B3322" s="4" t="s">
        <v>4471</v>
      </c>
    </row>
    <row r="3323" ht="15.75" customHeight="1">
      <c r="A3323" s="4">
        <v>1206002.0</v>
      </c>
      <c r="B3323" s="4" t="s">
        <v>4472</v>
      </c>
    </row>
    <row r="3324" ht="15.75" customHeight="1">
      <c r="A3324" s="4">
        <v>1206003.0</v>
      </c>
      <c r="B3324" s="4" t="s">
        <v>4473</v>
      </c>
    </row>
    <row r="3325" ht="15.75" customHeight="1">
      <c r="A3325" s="4">
        <v>1206004.0</v>
      </c>
      <c r="B3325" s="4" t="s">
        <v>4474</v>
      </c>
    </row>
    <row r="3326" ht="15.75" customHeight="1">
      <c r="A3326" s="4">
        <v>1206005.0</v>
      </c>
      <c r="B3326" s="4" t="s">
        <v>4475</v>
      </c>
    </row>
    <row r="3327" ht="15.75" customHeight="1">
      <c r="A3327" s="4">
        <v>1206006.0</v>
      </c>
      <c r="B3327" s="4" t="s">
        <v>4476</v>
      </c>
    </row>
    <row r="3328" ht="15.75" customHeight="1">
      <c r="A3328" s="4">
        <v>1206007.0</v>
      </c>
      <c r="B3328" s="4" t="s">
        <v>4477</v>
      </c>
    </row>
    <row r="3329" ht="15.75" customHeight="1">
      <c r="A3329" s="4">
        <v>1207001.0</v>
      </c>
      <c r="B3329" s="4" t="s">
        <v>4478</v>
      </c>
    </row>
    <row r="3330" ht="15.75" customHeight="1">
      <c r="A3330" s="4">
        <v>1208001.0</v>
      </c>
      <c r="B3330" s="4" t="s">
        <v>4479</v>
      </c>
    </row>
    <row r="3331" ht="15.75" customHeight="1">
      <c r="A3331" s="4">
        <v>1208002.0</v>
      </c>
      <c r="B3331" s="4" t="s">
        <v>4480</v>
      </c>
    </row>
    <row r="3332" ht="15.75" customHeight="1">
      <c r="A3332" s="4">
        <v>1208003.0</v>
      </c>
      <c r="B3332" s="4" t="s">
        <v>4481</v>
      </c>
    </row>
    <row r="3333" ht="15.75" customHeight="1">
      <c r="A3333" s="4">
        <v>1208004.0</v>
      </c>
      <c r="B3333" s="4" t="s">
        <v>4482</v>
      </c>
    </row>
    <row r="3334" ht="15.75" customHeight="1">
      <c r="A3334" s="4">
        <v>1208005.0</v>
      </c>
      <c r="B3334" s="4" t="s">
        <v>4483</v>
      </c>
    </row>
    <row r="3335" ht="15.75" customHeight="1">
      <c r="A3335" s="4">
        <v>1208006.0</v>
      </c>
      <c r="B3335" s="4" t="s">
        <v>4484</v>
      </c>
    </row>
    <row r="3336" ht="15.75" customHeight="1">
      <c r="A3336" s="4">
        <v>1208007.0</v>
      </c>
      <c r="B3336" s="4" t="s">
        <v>4485</v>
      </c>
    </row>
    <row r="3337" ht="15.75" customHeight="1">
      <c r="A3337" s="4">
        <v>1208008.0</v>
      </c>
      <c r="B3337" s="4" t="s">
        <v>4486</v>
      </c>
    </row>
    <row r="3338" ht="15.75" customHeight="1">
      <c r="A3338" s="4">
        <v>1208009.0</v>
      </c>
      <c r="B3338" s="4" t="s">
        <v>4487</v>
      </c>
    </row>
    <row r="3339" ht="15.75" customHeight="1">
      <c r="A3339" s="4">
        <v>1208010.0</v>
      </c>
      <c r="B3339" s="4" t="s">
        <v>4488</v>
      </c>
    </row>
    <row r="3340" ht="15.75" customHeight="1">
      <c r="A3340" s="4">
        <v>1208011.0</v>
      </c>
      <c r="B3340" s="4" t="s">
        <v>4489</v>
      </c>
    </row>
    <row r="3341" ht="15.75" customHeight="1">
      <c r="A3341" s="4">
        <v>1208012.0</v>
      </c>
      <c r="B3341" s="4" t="s">
        <v>4490</v>
      </c>
    </row>
    <row r="3342" ht="15.75" customHeight="1">
      <c r="A3342" s="4">
        <v>1208013.0</v>
      </c>
      <c r="B3342" s="4" t="s">
        <v>4491</v>
      </c>
    </row>
    <row r="3343" ht="15.75" customHeight="1">
      <c r="A3343" s="4">
        <v>1208014.0</v>
      </c>
      <c r="B3343" s="4" t="s">
        <v>4492</v>
      </c>
    </row>
    <row r="3344" ht="15.75" customHeight="1">
      <c r="A3344" s="4">
        <v>1208015.0</v>
      </c>
      <c r="B3344" s="4" t="s">
        <v>4493</v>
      </c>
    </row>
    <row r="3345" ht="15.75" customHeight="1">
      <c r="A3345" s="4">
        <v>1209001.0</v>
      </c>
      <c r="B3345" s="4" t="s">
        <v>4494</v>
      </c>
    </row>
    <row r="3346" ht="15.75" customHeight="1">
      <c r="A3346" s="4">
        <v>1209002.0</v>
      </c>
      <c r="B3346" s="4" t="s">
        <v>4495</v>
      </c>
    </row>
    <row r="3347" ht="15.75" customHeight="1">
      <c r="A3347" s="4">
        <v>1209003.0</v>
      </c>
      <c r="B3347" s="4" t="s">
        <v>4496</v>
      </c>
    </row>
    <row r="3348" ht="15.75" customHeight="1">
      <c r="A3348" s="4">
        <v>1209004.0</v>
      </c>
      <c r="B3348" s="4" t="s">
        <v>4497</v>
      </c>
    </row>
    <row r="3349" ht="15.75" customHeight="1">
      <c r="A3349" s="4">
        <v>1209005.0</v>
      </c>
      <c r="B3349" s="4" t="s">
        <v>4498</v>
      </c>
    </row>
    <row r="3350" ht="15.75" customHeight="1">
      <c r="A3350" s="4">
        <v>1209006.0</v>
      </c>
      <c r="B3350" s="4" t="s">
        <v>4499</v>
      </c>
    </row>
    <row r="3351" ht="15.75" customHeight="1">
      <c r="A3351" s="4">
        <v>1209007.0</v>
      </c>
      <c r="B3351" s="4" t="s">
        <v>4500</v>
      </c>
    </row>
    <row r="3352" ht="15.75" customHeight="1">
      <c r="A3352" s="4">
        <v>1209008.0</v>
      </c>
      <c r="B3352" s="4" t="s">
        <v>4501</v>
      </c>
    </row>
    <row r="3353" ht="15.75" customHeight="1">
      <c r="A3353" s="4">
        <v>1209009.0</v>
      </c>
      <c r="B3353" s="4" t="s">
        <v>4502</v>
      </c>
    </row>
    <row r="3354" ht="15.75" customHeight="1">
      <c r="A3354" s="4">
        <v>1209010.0</v>
      </c>
      <c r="B3354" s="4" t="s">
        <v>4503</v>
      </c>
    </row>
    <row r="3355" ht="15.75" customHeight="1">
      <c r="A3355" s="4">
        <v>1209011.0</v>
      </c>
      <c r="B3355" s="4" t="s">
        <v>4504</v>
      </c>
    </row>
    <row r="3356" ht="15.75" customHeight="1">
      <c r="A3356" s="4">
        <v>1209012.0</v>
      </c>
      <c r="B3356" s="4" t="s">
        <v>4505</v>
      </c>
    </row>
    <row r="3357" ht="15.75" customHeight="1">
      <c r="A3357" s="4">
        <v>1209013.0</v>
      </c>
      <c r="B3357" s="4" t="s">
        <v>4506</v>
      </c>
    </row>
    <row r="3358" ht="15.75" customHeight="1">
      <c r="A3358" s="4">
        <v>1209014.0</v>
      </c>
      <c r="B3358" s="4" t="s">
        <v>4507</v>
      </c>
    </row>
    <row r="3359" ht="15.75" customHeight="1">
      <c r="A3359" s="4">
        <v>1209015.0</v>
      </c>
      <c r="B3359" s="4" t="s">
        <v>4508</v>
      </c>
    </row>
    <row r="3360" ht="15.75" customHeight="1">
      <c r="A3360" s="4">
        <v>1209016.0</v>
      </c>
      <c r="B3360" s="4" t="s">
        <v>4509</v>
      </c>
    </row>
    <row r="3361" ht="15.75" customHeight="1">
      <c r="A3361" s="4">
        <v>1209017.0</v>
      </c>
      <c r="B3361" s="4" t="s">
        <v>4510</v>
      </c>
    </row>
    <row r="3362" ht="15.75" customHeight="1">
      <c r="A3362" s="4">
        <v>1209018.0</v>
      </c>
      <c r="B3362" s="4" t="s">
        <v>4511</v>
      </c>
    </row>
    <row r="3363" ht="15.75" customHeight="1">
      <c r="A3363" s="4">
        <v>1209019.0</v>
      </c>
      <c r="B3363" s="4" t="s">
        <v>4512</v>
      </c>
    </row>
    <row r="3364" ht="15.75" customHeight="1">
      <c r="A3364" s="4">
        <v>1209020.0</v>
      </c>
      <c r="B3364" s="4" t="s">
        <v>4513</v>
      </c>
    </row>
    <row r="3365" ht="15.75" customHeight="1">
      <c r="A3365" s="4">
        <v>1209021.0</v>
      </c>
      <c r="B3365" s="4" t="s">
        <v>4514</v>
      </c>
    </row>
    <row r="3366" ht="15.75" customHeight="1">
      <c r="A3366" s="4">
        <v>1209022.0</v>
      </c>
      <c r="B3366" s="4" t="s">
        <v>4515</v>
      </c>
    </row>
    <row r="3367" ht="15.75" customHeight="1">
      <c r="A3367" s="4">
        <v>1209023.0</v>
      </c>
      <c r="B3367" s="4" t="s">
        <v>4516</v>
      </c>
    </row>
    <row r="3368" ht="15.75" customHeight="1">
      <c r="A3368" s="4">
        <v>1209024.0</v>
      </c>
      <c r="B3368" s="4" t="s">
        <v>4517</v>
      </c>
    </row>
    <row r="3369" ht="15.75" customHeight="1">
      <c r="A3369" s="4">
        <v>1210001.0</v>
      </c>
      <c r="B3369" s="4" t="s">
        <v>4518</v>
      </c>
    </row>
    <row r="3370" ht="15.75" customHeight="1">
      <c r="A3370" s="4">
        <v>1210002.0</v>
      </c>
      <c r="B3370" s="4" t="s">
        <v>4519</v>
      </c>
    </row>
    <row r="3371" ht="15.75" customHeight="1">
      <c r="A3371" s="4">
        <v>1210003.0</v>
      </c>
      <c r="B3371" s="4" t="s">
        <v>4520</v>
      </c>
    </row>
    <row r="3372" ht="15.75" customHeight="1">
      <c r="A3372" s="4">
        <v>1210004.0</v>
      </c>
      <c r="B3372" s="4" t="s">
        <v>4521</v>
      </c>
    </row>
    <row r="3373" ht="15.75" customHeight="1">
      <c r="A3373" s="4">
        <v>1210005.0</v>
      </c>
      <c r="B3373" s="4" t="s">
        <v>4522</v>
      </c>
    </row>
    <row r="3374" ht="15.75" customHeight="1">
      <c r="A3374" s="4">
        <v>1210006.0</v>
      </c>
      <c r="B3374" s="4" t="s">
        <v>4523</v>
      </c>
    </row>
    <row r="3375" ht="15.75" customHeight="1">
      <c r="A3375" s="4">
        <v>1210007.0</v>
      </c>
      <c r="B3375" s="4" t="s">
        <v>4524</v>
      </c>
    </row>
    <row r="3376" ht="15.75" customHeight="1">
      <c r="A3376" s="4">
        <v>1210008.0</v>
      </c>
      <c r="B3376" s="4" t="s">
        <v>4525</v>
      </c>
    </row>
    <row r="3377" ht="15.75" customHeight="1">
      <c r="A3377" s="4">
        <v>1210009.0</v>
      </c>
      <c r="B3377" s="4" t="s">
        <v>4526</v>
      </c>
    </row>
    <row r="3378" ht="15.75" customHeight="1">
      <c r="A3378" s="4">
        <v>1210010.0</v>
      </c>
      <c r="B3378" s="4" t="s">
        <v>4527</v>
      </c>
    </row>
    <row r="3379" ht="15.75" customHeight="1">
      <c r="A3379" s="4">
        <v>1210011.0</v>
      </c>
      <c r="B3379" s="4" t="s">
        <v>4528</v>
      </c>
    </row>
    <row r="3380" ht="15.75" customHeight="1">
      <c r="A3380" s="4">
        <v>1210012.0</v>
      </c>
      <c r="B3380" s="4" t="s">
        <v>4529</v>
      </c>
    </row>
    <row r="3381" ht="15.75" customHeight="1">
      <c r="A3381" s="4">
        <v>1210013.0</v>
      </c>
      <c r="B3381" s="4" t="s">
        <v>4530</v>
      </c>
    </row>
    <row r="3382" ht="15.75" customHeight="1">
      <c r="A3382" s="4">
        <v>1210014.0</v>
      </c>
      <c r="B3382" s="4" t="s">
        <v>4531</v>
      </c>
    </row>
    <row r="3383" ht="15.75" customHeight="1">
      <c r="A3383" s="4">
        <v>1210015.0</v>
      </c>
      <c r="B3383" s="4" t="s">
        <v>4532</v>
      </c>
    </row>
    <row r="3384" ht="15.75" customHeight="1">
      <c r="A3384" s="4">
        <v>1210016.0</v>
      </c>
      <c r="B3384" s="4" t="s">
        <v>4533</v>
      </c>
    </row>
    <row r="3385" ht="15.75" customHeight="1">
      <c r="A3385" s="4">
        <v>1210017.0</v>
      </c>
      <c r="B3385" s="4" t="s">
        <v>4534</v>
      </c>
    </row>
    <row r="3386" ht="15.75" customHeight="1">
      <c r="A3386" s="4">
        <v>1210018.0</v>
      </c>
      <c r="B3386" s="4" t="s">
        <v>4536</v>
      </c>
    </row>
    <row r="3387" ht="15.75" customHeight="1">
      <c r="A3387" s="4">
        <v>1210019.0</v>
      </c>
      <c r="B3387" s="4" t="s">
        <v>4538</v>
      </c>
    </row>
    <row r="3388" ht="15.75" customHeight="1">
      <c r="A3388" s="4">
        <v>1210020.0</v>
      </c>
      <c r="B3388" s="4" t="s">
        <v>4539</v>
      </c>
    </row>
    <row r="3389" ht="15.75" customHeight="1">
      <c r="A3389" s="4">
        <v>1210021.0</v>
      </c>
      <c r="B3389" s="4" t="s">
        <v>4540</v>
      </c>
    </row>
    <row r="3390" ht="15.75" customHeight="1">
      <c r="A3390" s="4">
        <v>1210022.0</v>
      </c>
      <c r="B3390" s="4" t="s">
        <v>4541</v>
      </c>
    </row>
    <row r="3391" ht="15.75" customHeight="1">
      <c r="A3391" s="4">
        <v>1210023.0</v>
      </c>
      <c r="B3391" s="4" t="s">
        <v>4542</v>
      </c>
    </row>
    <row r="3392" ht="15.75" customHeight="1">
      <c r="A3392" s="4">
        <v>1210024.0</v>
      </c>
      <c r="B3392" s="4" t="s">
        <v>4543</v>
      </c>
    </row>
    <row r="3393" ht="15.75" customHeight="1">
      <c r="A3393" s="4">
        <v>1210025.0</v>
      </c>
      <c r="B3393" s="4" t="s">
        <v>4544</v>
      </c>
    </row>
    <row r="3394" ht="15.75" customHeight="1">
      <c r="A3394" s="4">
        <v>1210026.0</v>
      </c>
      <c r="B3394" s="4" t="s">
        <v>4545</v>
      </c>
    </row>
    <row r="3395" ht="15.75" customHeight="1">
      <c r="A3395" s="4">
        <v>1210027.0</v>
      </c>
      <c r="B3395" s="4" t="s">
        <v>4546</v>
      </c>
    </row>
    <row r="3396" ht="15.75" customHeight="1">
      <c r="A3396" s="4">
        <v>1210028.0</v>
      </c>
      <c r="B3396" s="4" t="s">
        <v>4547</v>
      </c>
    </row>
    <row r="3397" ht="15.75" customHeight="1">
      <c r="A3397" s="4">
        <v>1210029.0</v>
      </c>
      <c r="B3397" s="4" t="s">
        <v>4548</v>
      </c>
    </row>
    <row r="3398" ht="15.75" customHeight="1">
      <c r="A3398" s="4">
        <v>1210030.0</v>
      </c>
      <c r="B3398" s="4" t="s">
        <v>4549</v>
      </c>
    </row>
    <row r="3399" ht="15.75" customHeight="1">
      <c r="A3399" s="4">
        <v>1210031.0</v>
      </c>
      <c r="B3399" s="4" t="s">
        <v>4550</v>
      </c>
    </row>
    <row r="3400" ht="15.75" customHeight="1">
      <c r="A3400" s="4">
        <v>1210032.0</v>
      </c>
      <c r="B3400" s="4" t="s">
        <v>4551</v>
      </c>
    </row>
    <row r="3401" ht="15.75" customHeight="1">
      <c r="A3401" s="4">
        <v>1211001.0</v>
      </c>
      <c r="B3401" s="4" t="s">
        <v>4552</v>
      </c>
    </row>
    <row r="3402" ht="15.75" customHeight="1">
      <c r="A3402" s="4">
        <v>1211002.0</v>
      </c>
      <c r="B3402" s="4" t="s">
        <v>4553</v>
      </c>
    </row>
    <row r="3403" ht="15.75" customHeight="1">
      <c r="A3403" s="4">
        <v>1211003.0</v>
      </c>
      <c r="B3403" s="4" t="s">
        <v>4554</v>
      </c>
    </row>
    <row r="3404" ht="15.75" customHeight="1">
      <c r="A3404" s="4">
        <v>1211004.0</v>
      </c>
      <c r="B3404" s="4" t="s">
        <v>4555</v>
      </c>
    </row>
    <row r="3405" ht="15.75" customHeight="1">
      <c r="A3405" s="4">
        <v>1212001.0</v>
      </c>
      <c r="B3405" s="4" t="s">
        <v>4556</v>
      </c>
    </row>
    <row r="3406" ht="15.75" customHeight="1">
      <c r="A3406" s="4">
        <v>1212002.0</v>
      </c>
      <c r="B3406" s="4" t="s">
        <v>4557</v>
      </c>
    </row>
    <row r="3407" ht="15.75" customHeight="1">
      <c r="A3407" s="4">
        <v>1212003.0</v>
      </c>
      <c r="B3407" s="4" t="s">
        <v>4558</v>
      </c>
    </row>
    <row r="3408" ht="15.75" customHeight="1">
      <c r="A3408" s="4">
        <v>1212004.0</v>
      </c>
      <c r="B3408" s="4" t="s">
        <v>4559</v>
      </c>
    </row>
    <row r="3409" ht="15.75" customHeight="1">
      <c r="A3409" s="4">
        <v>1212005.0</v>
      </c>
      <c r="B3409" s="4" t="s">
        <v>4560</v>
      </c>
    </row>
    <row r="3410" ht="15.75" customHeight="1">
      <c r="A3410" s="4">
        <v>1212006.0</v>
      </c>
      <c r="B3410" s="4" t="s">
        <v>4561</v>
      </c>
    </row>
    <row r="3411" ht="15.75" customHeight="1">
      <c r="A3411" s="4">
        <v>1212007.0</v>
      </c>
      <c r="B3411" s="4" t="s">
        <v>4562</v>
      </c>
    </row>
    <row r="3412" ht="15.75" customHeight="1">
      <c r="A3412" s="4">
        <v>1212008.0</v>
      </c>
      <c r="B3412" s="4" t="s">
        <v>4563</v>
      </c>
    </row>
    <row r="3413" ht="15.75" customHeight="1">
      <c r="A3413" s="4">
        <v>1212009.0</v>
      </c>
      <c r="B3413" s="4" t="s">
        <v>4564</v>
      </c>
    </row>
    <row r="3414" ht="15.75" customHeight="1">
      <c r="A3414" s="4">
        <v>1212010.0</v>
      </c>
      <c r="B3414" s="4" t="s">
        <v>4565</v>
      </c>
    </row>
    <row r="3415" ht="15.75" customHeight="1">
      <c r="A3415" s="4">
        <v>1214001.0</v>
      </c>
      <c r="B3415" s="4" t="s">
        <v>4566</v>
      </c>
    </row>
    <row r="3416" ht="15.75" customHeight="1">
      <c r="A3416" s="4">
        <v>1214002.0</v>
      </c>
      <c r="B3416" s="4" t="s">
        <v>4567</v>
      </c>
    </row>
    <row r="3417" ht="15.75" customHeight="1">
      <c r="A3417" s="4">
        <v>1214003.0</v>
      </c>
      <c r="B3417" s="4" t="s">
        <v>4568</v>
      </c>
    </row>
    <row r="3418" ht="15.75" customHeight="1">
      <c r="A3418" s="4">
        <v>1214004.0</v>
      </c>
      <c r="B3418" s="4" t="s">
        <v>4569</v>
      </c>
    </row>
    <row r="3419" ht="15.75" customHeight="1">
      <c r="A3419" s="4">
        <v>1214005.0</v>
      </c>
      <c r="B3419" s="4" t="s">
        <v>4570</v>
      </c>
    </row>
    <row r="3420" ht="15.75" customHeight="1">
      <c r="A3420" s="4">
        <v>1214006.0</v>
      </c>
      <c r="B3420" s="4" t="s">
        <v>4571</v>
      </c>
    </row>
    <row r="3421" ht="15.75" customHeight="1">
      <c r="A3421" s="4">
        <v>1214007.0</v>
      </c>
      <c r="B3421" s="4" t="s">
        <v>4572</v>
      </c>
    </row>
    <row r="3422" ht="15.75" customHeight="1">
      <c r="A3422" s="4">
        <v>1214008.0</v>
      </c>
      <c r="B3422" s="4" t="s">
        <v>4573</v>
      </c>
    </row>
    <row r="3423" ht="15.75" customHeight="1">
      <c r="A3423" s="4">
        <v>1214009.0</v>
      </c>
      <c r="B3423" s="4" t="s">
        <v>4574</v>
      </c>
    </row>
    <row r="3424" ht="15.75" customHeight="1">
      <c r="A3424" s="4">
        <v>1214010.0</v>
      </c>
      <c r="B3424" s="4" t="s">
        <v>4575</v>
      </c>
    </row>
    <row r="3425" ht="15.75" customHeight="1">
      <c r="A3425" s="4">
        <v>1214011.0</v>
      </c>
      <c r="B3425" s="4" t="s">
        <v>4576</v>
      </c>
    </row>
    <row r="3426" ht="15.75" customHeight="1">
      <c r="A3426" s="4">
        <v>1214012.0</v>
      </c>
      <c r="B3426" s="4" t="s">
        <v>4577</v>
      </c>
    </row>
    <row r="3427" ht="15.75" customHeight="1">
      <c r="A3427" s="4">
        <v>1214013.0</v>
      </c>
      <c r="B3427" s="4" t="s">
        <v>4578</v>
      </c>
    </row>
    <row r="3428" ht="15.75" customHeight="1">
      <c r="A3428" s="4">
        <v>1214014.0</v>
      </c>
      <c r="B3428" s="4" t="s">
        <v>4579</v>
      </c>
    </row>
    <row r="3429" ht="15.75" customHeight="1">
      <c r="A3429" s="4">
        <v>1214015.0</v>
      </c>
      <c r="B3429" s="4" t="s">
        <v>4580</v>
      </c>
    </row>
    <row r="3430" ht="15.75" customHeight="1">
      <c r="A3430" s="4">
        <v>1214016.0</v>
      </c>
      <c r="B3430" s="4" t="s">
        <v>4581</v>
      </c>
    </row>
    <row r="3431" ht="15.75" customHeight="1">
      <c r="A3431" s="4">
        <v>1214017.0</v>
      </c>
      <c r="B3431" s="4" t="s">
        <v>4582</v>
      </c>
    </row>
    <row r="3432" ht="15.75" customHeight="1">
      <c r="A3432" s="4">
        <v>1214018.0</v>
      </c>
      <c r="B3432" s="4" t="s">
        <v>4583</v>
      </c>
    </row>
    <row r="3433" ht="15.75" customHeight="1">
      <c r="A3433" s="4">
        <v>1215001.0</v>
      </c>
      <c r="B3433" s="4" t="s">
        <v>4584</v>
      </c>
    </row>
    <row r="3434" ht="15.75" customHeight="1">
      <c r="A3434" s="4">
        <v>1215002.0</v>
      </c>
      <c r="B3434" s="4" t="s">
        <v>4585</v>
      </c>
    </row>
    <row r="3435" ht="15.75" customHeight="1">
      <c r="A3435" s="4">
        <v>1215003.0</v>
      </c>
      <c r="B3435" s="4" t="s">
        <v>4586</v>
      </c>
    </row>
    <row r="3436" ht="15.75" customHeight="1">
      <c r="A3436" s="4">
        <v>1215004.0</v>
      </c>
      <c r="B3436" s="4" t="s">
        <v>4587</v>
      </c>
    </row>
    <row r="3437" ht="15.75" customHeight="1">
      <c r="A3437" s="4">
        <v>1215005.0</v>
      </c>
      <c r="B3437" s="4" t="s">
        <v>4588</v>
      </c>
    </row>
    <row r="3438" ht="15.75" customHeight="1">
      <c r="A3438" s="4">
        <v>1215006.0</v>
      </c>
      <c r="B3438" s="4" t="s">
        <v>4589</v>
      </c>
    </row>
    <row r="3439" ht="15.75" customHeight="1">
      <c r="A3439" s="4">
        <v>1215007.0</v>
      </c>
      <c r="B3439" s="4" t="s">
        <v>4590</v>
      </c>
    </row>
    <row r="3440" ht="15.75" customHeight="1">
      <c r="A3440" s="4">
        <v>1215008.0</v>
      </c>
      <c r="B3440" s="4" t="s">
        <v>4591</v>
      </c>
    </row>
    <row r="3441" ht="15.75" customHeight="1">
      <c r="A3441" s="4">
        <v>1215009.0</v>
      </c>
      <c r="B3441" s="4" t="s">
        <v>4592</v>
      </c>
    </row>
    <row r="3442" ht="15.75" customHeight="1">
      <c r="A3442" s="4">
        <v>1215010.0</v>
      </c>
      <c r="B3442" s="4" t="s">
        <v>4593</v>
      </c>
    </row>
    <row r="3443" ht="15.75" customHeight="1">
      <c r="A3443" s="4">
        <v>1215011.0</v>
      </c>
      <c r="B3443" s="4" t="s">
        <v>4594</v>
      </c>
    </row>
    <row r="3444" ht="15.75" customHeight="1">
      <c r="A3444" s="4">
        <v>1215012.0</v>
      </c>
      <c r="B3444" s="4" t="s">
        <v>4595</v>
      </c>
    </row>
    <row r="3445" ht="15.75" customHeight="1">
      <c r="A3445" s="4">
        <v>1215013.0</v>
      </c>
      <c r="B3445" s="4" t="s">
        <v>4596</v>
      </c>
    </row>
    <row r="3446" ht="15.75" customHeight="1">
      <c r="A3446" s="4">
        <v>1215014.0</v>
      </c>
      <c r="B3446" s="4" t="s">
        <v>4597</v>
      </c>
    </row>
    <row r="3447" ht="15.75" customHeight="1">
      <c r="A3447" s="4">
        <v>1215015.0</v>
      </c>
      <c r="B3447" s="4" t="s">
        <v>4598</v>
      </c>
    </row>
    <row r="3448" ht="15.75" customHeight="1">
      <c r="A3448" s="4">
        <v>1215016.0</v>
      </c>
      <c r="B3448" s="4" t="s">
        <v>4599</v>
      </c>
    </row>
    <row r="3449" ht="15.75" customHeight="1">
      <c r="A3449" s="4">
        <v>1215017.0</v>
      </c>
      <c r="B3449" s="4" t="s">
        <v>4600</v>
      </c>
    </row>
    <row r="3450" ht="15.75" customHeight="1">
      <c r="A3450" s="4">
        <v>1216001.0</v>
      </c>
      <c r="B3450" s="4" t="s">
        <v>4601</v>
      </c>
    </row>
    <row r="3451" ht="15.75" customHeight="1">
      <c r="A3451" s="4">
        <v>1216002.0</v>
      </c>
      <c r="B3451" s="4" t="s">
        <v>4602</v>
      </c>
    </row>
    <row r="3452" ht="15.75" customHeight="1">
      <c r="A3452" s="4">
        <v>1216003.0</v>
      </c>
      <c r="B3452" s="4" t="s">
        <v>4603</v>
      </c>
    </row>
    <row r="3453" ht="15.75" customHeight="1">
      <c r="A3453" s="4">
        <v>1216004.0</v>
      </c>
      <c r="B3453" s="4" t="s">
        <v>4604</v>
      </c>
    </row>
    <row r="3454" ht="15.75" customHeight="1">
      <c r="A3454" s="4">
        <v>1216005.0</v>
      </c>
      <c r="B3454" s="4" t="s">
        <v>4605</v>
      </c>
    </row>
    <row r="3455" ht="15.75" customHeight="1">
      <c r="A3455" s="4">
        <v>1216006.0</v>
      </c>
      <c r="B3455" s="4" t="s">
        <v>4606</v>
      </c>
    </row>
    <row r="3456" ht="15.75" customHeight="1">
      <c r="A3456" s="4">
        <v>1216007.0</v>
      </c>
      <c r="B3456" s="4" t="s">
        <v>4607</v>
      </c>
    </row>
    <row r="3457" ht="15.75" customHeight="1">
      <c r="A3457" s="4">
        <v>1216008.0</v>
      </c>
      <c r="B3457" s="4" t="s">
        <v>4608</v>
      </c>
    </row>
    <row r="3458" ht="15.75" customHeight="1">
      <c r="A3458" s="4">
        <v>1216009.0</v>
      </c>
      <c r="B3458" s="4" t="s">
        <v>4609</v>
      </c>
    </row>
    <row r="3459" ht="15.75" customHeight="1">
      <c r="A3459" s="4">
        <v>1216010.0</v>
      </c>
      <c r="B3459" s="4" t="s">
        <v>4610</v>
      </c>
    </row>
    <row r="3460" ht="15.75" customHeight="1">
      <c r="A3460" s="4">
        <v>1216011.0</v>
      </c>
      <c r="B3460" s="4" t="s">
        <v>4611</v>
      </c>
    </row>
    <row r="3461" ht="15.75" customHeight="1">
      <c r="A3461" s="4">
        <v>1216012.0</v>
      </c>
      <c r="B3461" s="4" t="s">
        <v>4612</v>
      </c>
    </row>
    <row r="3462" ht="15.75" customHeight="1">
      <c r="A3462" s="4">
        <v>1216013.0</v>
      </c>
      <c r="B3462" s="4" t="s">
        <v>4613</v>
      </c>
    </row>
    <row r="3463" ht="15.75" customHeight="1">
      <c r="A3463" s="4">
        <v>1216014.0</v>
      </c>
      <c r="B3463" s="4" t="s">
        <v>4614</v>
      </c>
    </row>
    <row r="3464" ht="15.75" customHeight="1">
      <c r="A3464" s="4">
        <v>1216015.0</v>
      </c>
      <c r="B3464" s="4" t="s">
        <v>4615</v>
      </c>
    </row>
    <row r="3465" ht="15.75" customHeight="1">
      <c r="A3465" s="4">
        <v>1216016.0</v>
      </c>
      <c r="B3465" s="4" t="s">
        <v>4616</v>
      </c>
    </row>
    <row r="3466" ht="15.75" customHeight="1">
      <c r="A3466" s="4">
        <v>1216017.0</v>
      </c>
      <c r="B3466" s="4" t="s">
        <v>4617</v>
      </c>
    </row>
    <row r="3467" ht="15.75" customHeight="1">
      <c r="A3467" s="4">
        <v>1216018.0</v>
      </c>
      <c r="B3467" s="4" t="s">
        <v>4618</v>
      </c>
    </row>
    <row r="3468" ht="15.75" customHeight="1">
      <c r="A3468" s="4">
        <v>1216019.0</v>
      </c>
      <c r="B3468" s="4" t="s">
        <v>4619</v>
      </c>
    </row>
    <row r="3469" ht="15.75" customHeight="1">
      <c r="A3469" s="4">
        <v>1216020.0</v>
      </c>
      <c r="B3469" s="4" t="s">
        <v>4620</v>
      </c>
    </row>
    <row r="3470" ht="15.75" customHeight="1">
      <c r="A3470" s="4">
        <v>1216021.0</v>
      </c>
      <c r="B3470" s="4" t="s">
        <v>4621</v>
      </c>
    </row>
    <row r="3471" ht="15.75" customHeight="1">
      <c r="A3471" s="4">
        <v>1216022.0</v>
      </c>
      <c r="B3471" s="4" t="s">
        <v>4622</v>
      </c>
    </row>
    <row r="3472" ht="15.75" customHeight="1">
      <c r="A3472" s="4">
        <v>1216023.0</v>
      </c>
      <c r="B3472" s="4" t="s">
        <v>4623</v>
      </c>
    </row>
    <row r="3473" ht="15.75" customHeight="1">
      <c r="A3473" s="4">
        <v>1217001.0</v>
      </c>
      <c r="B3473" s="4" t="s">
        <v>4624</v>
      </c>
    </row>
    <row r="3474" ht="15.75" customHeight="1">
      <c r="A3474" s="4">
        <v>1217002.0</v>
      </c>
      <c r="B3474" s="4" t="s">
        <v>4625</v>
      </c>
    </row>
    <row r="3475" ht="15.75" customHeight="1">
      <c r="A3475" s="4">
        <v>1217003.0</v>
      </c>
      <c r="B3475" s="4" t="s">
        <v>4626</v>
      </c>
    </row>
    <row r="3476" ht="15.75" customHeight="1">
      <c r="A3476" s="4">
        <v>1218001.0</v>
      </c>
      <c r="B3476" s="4" t="s">
        <v>4627</v>
      </c>
    </row>
    <row r="3477" ht="15.75" customHeight="1">
      <c r="A3477" s="4">
        <v>1218002.0</v>
      </c>
      <c r="B3477" s="4" t="s">
        <v>4628</v>
      </c>
    </row>
    <row r="3478" ht="15.75" customHeight="1">
      <c r="A3478" s="4">
        <v>1218003.0</v>
      </c>
      <c r="B3478" s="4" t="s">
        <v>4629</v>
      </c>
    </row>
    <row r="3479" ht="15.75" customHeight="1">
      <c r="A3479" s="4">
        <v>1218004.0</v>
      </c>
      <c r="B3479" s="4" t="s">
        <v>4630</v>
      </c>
    </row>
    <row r="3480" ht="15.75" customHeight="1">
      <c r="A3480" s="4">
        <v>1218005.0</v>
      </c>
      <c r="B3480" s="4" t="s">
        <v>4631</v>
      </c>
    </row>
    <row r="3481" ht="15.75" customHeight="1">
      <c r="A3481" s="4">
        <v>1218006.0</v>
      </c>
      <c r="B3481" s="4" t="s">
        <v>4632</v>
      </c>
    </row>
    <row r="3482" ht="15.75" customHeight="1">
      <c r="A3482" s="4">
        <v>1218007.0</v>
      </c>
      <c r="B3482" s="4" t="s">
        <v>4633</v>
      </c>
    </row>
    <row r="3483" ht="15.75" customHeight="1">
      <c r="A3483" s="4">
        <v>1218008.0</v>
      </c>
      <c r="B3483" s="4" t="s">
        <v>4634</v>
      </c>
    </row>
    <row r="3484" ht="15.75" customHeight="1">
      <c r="A3484" s="4">
        <v>1218009.0</v>
      </c>
      <c r="B3484" s="4" t="s">
        <v>4635</v>
      </c>
    </row>
    <row r="3485" ht="15.75" customHeight="1">
      <c r="A3485" s="4">
        <v>1218010.0</v>
      </c>
      <c r="B3485" s="4" t="s">
        <v>4636</v>
      </c>
    </row>
    <row r="3486" ht="15.75" customHeight="1">
      <c r="A3486" s="4">
        <v>1218011.0</v>
      </c>
      <c r="B3486" s="4" t="s">
        <v>4637</v>
      </c>
    </row>
    <row r="3487" ht="15.75" customHeight="1">
      <c r="A3487" s="4">
        <v>1218012.0</v>
      </c>
      <c r="B3487" s="4" t="s">
        <v>4638</v>
      </c>
    </row>
    <row r="3488" ht="15.75" customHeight="1">
      <c r="A3488" s="4">
        <v>1218013.0</v>
      </c>
      <c r="B3488" s="4" t="s">
        <v>4639</v>
      </c>
    </row>
    <row r="3489" ht="15.75" customHeight="1">
      <c r="A3489" s="4">
        <v>1218014.0</v>
      </c>
      <c r="B3489" s="4" t="s">
        <v>4641</v>
      </c>
    </row>
    <row r="3490" ht="15.75" customHeight="1">
      <c r="A3490" s="4">
        <v>1218015.0</v>
      </c>
      <c r="B3490" s="4" t="s">
        <v>4643</v>
      </c>
    </row>
    <row r="3491" ht="15.75" customHeight="1">
      <c r="A3491" s="4">
        <v>1218016.0</v>
      </c>
      <c r="B3491" s="4" t="s">
        <v>4644</v>
      </c>
    </row>
    <row r="3492" ht="15.75" customHeight="1">
      <c r="A3492" s="4">
        <v>1218017.0</v>
      </c>
      <c r="B3492" s="4" t="s">
        <v>4645</v>
      </c>
    </row>
    <row r="3493" ht="15.75" customHeight="1">
      <c r="A3493" s="4">
        <v>1218018.0</v>
      </c>
      <c r="B3493" s="4" t="s">
        <v>4646</v>
      </c>
    </row>
    <row r="3494" ht="15.75" customHeight="1">
      <c r="A3494" s="4">
        <v>1218019.0</v>
      </c>
      <c r="B3494" s="4" t="s">
        <v>4647</v>
      </c>
    </row>
    <row r="3495" ht="15.75" customHeight="1">
      <c r="A3495" s="4">
        <v>1218020.0</v>
      </c>
      <c r="B3495" s="4" t="s">
        <v>4648</v>
      </c>
    </row>
    <row r="3496" ht="15.75" customHeight="1">
      <c r="A3496" s="4">
        <v>1220001.0</v>
      </c>
      <c r="B3496" s="4" t="s">
        <v>4649</v>
      </c>
    </row>
    <row r="3497" ht="15.75" customHeight="1">
      <c r="A3497" s="4">
        <v>1220002.0</v>
      </c>
      <c r="B3497" s="4" t="s">
        <v>4650</v>
      </c>
    </row>
    <row r="3498" ht="15.75" customHeight="1">
      <c r="A3498" s="4">
        <v>1220003.0</v>
      </c>
      <c r="B3498" s="4" t="s">
        <v>4651</v>
      </c>
    </row>
    <row r="3499" ht="15.75" customHeight="1">
      <c r="A3499" s="4">
        <v>1220004.0</v>
      </c>
      <c r="B3499" s="4" t="s">
        <v>4652</v>
      </c>
    </row>
    <row r="3500" ht="15.75" customHeight="1">
      <c r="A3500" s="4">
        <v>1220005.0</v>
      </c>
      <c r="B3500" s="4" t="s">
        <v>4653</v>
      </c>
    </row>
    <row r="3501" ht="15.75" customHeight="1">
      <c r="A3501" s="4">
        <v>1220006.0</v>
      </c>
      <c r="B3501" s="4" t="s">
        <v>4654</v>
      </c>
    </row>
    <row r="3502" ht="15.75" customHeight="1">
      <c r="A3502" s="4">
        <v>1220007.0</v>
      </c>
      <c r="B3502" s="4" t="s">
        <v>4655</v>
      </c>
    </row>
    <row r="3503" ht="15.75" customHeight="1">
      <c r="A3503" s="4">
        <v>1220008.0</v>
      </c>
      <c r="B3503" s="4" t="s">
        <v>4656</v>
      </c>
    </row>
    <row r="3504" ht="15.75" customHeight="1">
      <c r="A3504" s="4">
        <v>1220009.0</v>
      </c>
      <c r="B3504" s="4" t="s">
        <v>4657</v>
      </c>
    </row>
    <row r="3505" ht="15.75" customHeight="1">
      <c r="A3505" s="4">
        <v>1220010.0</v>
      </c>
      <c r="B3505" s="4" t="s">
        <v>4658</v>
      </c>
    </row>
    <row r="3506" ht="15.75" customHeight="1">
      <c r="A3506" s="4">
        <v>1221001.0</v>
      </c>
      <c r="B3506" s="4" t="s">
        <v>4659</v>
      </c>
    </row>
    <row r="3507" ht="15.75" customHeight="1">
      <c r="A3507" s="4">
        <v>1221002.0</v>
      </c>
      <c r="B3507" s="4" t="s">
        <v>4660</v>
      </c>
    </row>
    <row r="3508" ht="15.75" customHeight="1">
      <c r="A3508" s="4">
        <v>1221003.0</v>
      </c>
      <c r="B3508" s="4" t="s">
        <v>4661</v>
      </c>
    </row>
    <row r="3509" ht="15.75" customHeight="1">
      <c r="A3509" s="4">
        <v>1221004.0</v>
      </c>
      <c r="B3509" s="4" t="s">
        <v>4662</v>
      </c>
    </row>
    <row r="3510" ht="15.75" customHeight="1">
      <c r="A3510" s="4">
        <v>1221005.0</v>
      </c>
      <c r="B3510" s="4" t="s">
        <v>4663</v>
      </c>
    </row>
    <row r="3511" ht="15.75" customHeight="1">
      <c r="A3511" s="4">
        <v>1221006.0</v>
      </c>
      <c r="B3511" s="4" t="s">
        <v>4664</v>
      </c>
    </row>
    <row r="3512" ht="15.75" customHeight="1">
      <c r="A3512" s="4">
        <v>1221007.0</v>
      </c>
      <c r="B3512" s="4" t="s">
        <v>4665</v>
      </c>
    </row>
    <row r="3513" ht="15.75" customHeight="1">
      <c r="A3513" s="4">
        <v>1221008.0</v>
      </c>
      <c r="B3513" s="4" t="s">
        <v>4666</v>
      </c>
    </row>
    <row r="3514" ht="15.75" customHeight="1">
      <c r="A3514" s="4">
        <v>1221009.0</v>
      </c>
      <c r="B3514" s="4" t="s">
        <v>4667</v>
      </c>
    </row>
    <row r="3515" ht="15.75" customHeight="1">
      <c r="A3515" s="4">
        <v>1221010.0</v>
      </c>
      <c r="B3515" s="4" t="s">
        <v>4668</v>
      </c>
    </row>
    <row r="3516" ht="15.75" customHeight="1">
      <c r="A3516" s="4">
        <v>1221011.0</v>
      </c>
      <c r="B3516" s="4" t="s">
        <v>4669</v>
      </c>
    </row>
    <row r="3517" ht="15.75" customHeight="1">
      <c r="A3517" s="4">
        <v>1221012.0</v>
      </c>
      <c r="B3517" s="4" t="s">
        <v>4670</v>
      </c>
    </row>
    <row r="3518" ht="15.75" customHeight="1">
      <c r="A3518" s="4">
        <v>1221013.0</v>
      </c>
      <c r="B3518" s="4" t="s">
        <v>4671</v>
      </c>
    </row>
    <row r="3519" ht="15.75" customHeight="1">
      <c r="A3519" s="4">
        <v>1222001.0</v>
      </c>
      <c r="B3519" s="4" t="s">
        <v>4672</v>
      </c>
    </row>
    <row r="3520" ht="15.75" customHeight="1">
      <c r="A3520" s="4">
        <v>1222002.0</v>
      </c>
      <c r="B3520" s="4" t="s">
        <v>4673</v>
      </c>
    </row>
    <row r="3521" ht="15.75" customHeight="1">
      <c r="A3521" s="4">
        <v>1222003.0</v>
      </c>
      <c r="B3521" s="4" t="s">
        <v>4674</v>
      </c>
    </row>
    <row r="3522" ht="15.75" customHeight="1">
      <c r="A3522" s="4">
        <v>1222004.0</v>
      </c>
      <c r="B3522" s="4" t="s">
        <v>4675</v>
      </c>
    </row>
    <row r="3523" ht="15.75" customHeight="1">
      <c r="A3523" s="4">
        <v>1222005.0</v>
      </c>
      <c r="B3523" s="4" t="s">
        <v>4676</v>
      </c>
    </row>
    <row r="3524" ht="15.75" customHeight="1">
      <c r="A3524" s="4">
        <v>1222006.0</v>
      </c>
      <c r="B3524" s="4" t="s">
        <v>4677</v>
      </c>
    </row>
    <row r="3525" ht="15.75" customHeight="1">
      <c r="A3525" s="4">
        <v>1222007.0</v>
      </c>
      <c r="B3525" s="4" t="s">
        <v>4678</v>
      </c>
    </row>
    <row r="3526" ht="15.75" customHeight="1">
      <c r="A3526" s="4">
        <v>1222008.0</v>
      </c>
      <c r="B3526" s="4" t="s">
        <v>4679</v>
      </c>
    </row>
    <row r="3527" ht="15.75" customHeight="1">
      <c r="A3527" s="4">
        <v>1222009.0</v>
      </c>
      <c r="B3527" s="4" t="s">
        <v>4680</v>
      </c>
    </row>
    <row r="3528" ht="15.75" customHeight="1">
      <c r="A3528" s="4">
        <v>1222010.0</v>
      </c>
      <c r="B3528" s="4" t="s">
        <v>4681</v>
      </c>
    </row>
    <row r="3529" ht="15.75" customHeight="1">
      <c r="A3529" s="4">
        <v>1222011.0</v>
      </c>
      <c r="B3529" s="4" t="s">
        <v>4682</v>
      </c>
    </row>
    <row r="3530" ht="15.75" customHeight="1">
      <c r="A3530" s="4">
        <v>1222012.0</v>
      </c>
      <c r="B3530" s="4" t="s">
        <v>4683</v>
      </c>
    </row>
    <row r="3531" ht="15.75" customHeight="1">
      <c r="A3531" s="4">
        <v>1222013.0</v>
      </c>
      <c r="B3531" s="4" t="s">
        <v>4684</v>
      </c>
    </row>
    <row r="3532" ht="15.75" customHeight="1">
      <c r="A3532" s="4">
        <v>1222014.0</v>
      </c>
      <c r="B3532" s="4" t="s">
        <v>4685</v>
      </c>
    </row>
    <row r="3533" ht="15.75" customHeight="1">
      <c r="A3533" s="4">
        <v>1222015.0</v>
      </c>
      <c r="B3533" s="4" t="s">
        <v>4686</v>
      </c>
    </row>
    <row r="3534" ht="15.75" customHeight="1">
      <c r="A3534" s="4">
        <v>1223001.0</v>
      </c>
      <c r="B3534" s="4" t="s">
        <v>4687</v>
      </c>
    </row>
    <row r="3535" ht="15.75" customHeight="1">
      <c r="A3535" s="4">
        <v>1223002.0</v>
      </c>
      <c r="B3535" s="4" t="s">
        <v>4688</v>
      </c>
    </row>
    <row r="3536" ht="15.75" customHeight="1">
      <c r="A3536" s="4">
        <v>1223003.0</v>
      </c>
      <c r="B3536" s="4" t="s">
        <v>4689</v>
      </c>
    </row>
    <row r="3537" ht="15.75" customHeight="1">
      <c r="A3537" s="4">
        <v>1223004.0</v>
      </c>
      <c r="B3537" s="4" t="s">
        <v>4690</v>
      </c>
    </row>
    <row r="3538" ht="15.75" customHeight="1">
      <c r="A3538" s="4">
        <v>1223005.0</v>
      </c>
      <c r="B3538" s="4" t="s">
        <v>4691</v>
      </c>
    </row>
    <row r="3539" ht="15.75" customHeight="1">
      <c r="A3539" s="4">
        <v>1223006.0</v>
      </c>
      <c r="B3539" s="4" t="s">
        <v>4692</v>
      </c>
    </row>
    <row r="3540" ht="15.75" customHeight="1">
      <c r="A3540" s="4">
        <v>1223007.0</v>
      </c>
      <c r="B3540" s="4" t="s">
        <v>4693</v>
      </c>
    </row>
    <row r="3541" ht="15.75" customHeight="1">
      <c r="A3541" s="4">
        <v>1223008.0</v>
      </c>
      <c r="B3541" s="4" t="s">
        <v>4694</v>
      </c>
    </row>
    <row r="3542" ht="15.75" customHeight="1">
      <c r="A3542" s="4">
        <v>1223009.0</v>
      </c>
      <c r="B3542" s="4" t="s">
        <v>4695</v>
      </c>
    </row>
    <row r="3543" ht="15.75" customHeight="1">
      <c r="A3543" s="4">
        <v>1223010.0</v>
      </c>
      <c r="B3543" s="4" t="s">
        <v>4696</v>
      </c>
    </row>
    <row r="3544" ht="15.75" customHeight="1">
      <c r="A3544" s="4">
        <v>1223011.0</v>
      </c>
      <c r="B3544" s="4" t="s">
        <v>4697</v>
      </c>
    </row>
    <row r="3545" ht="15.75" customHeight="1">
      <c r="A3545" s="4">
        <v>1223012.0</v>
      </c>
      <c r="B3545" s="4" t="s">
        <v>4698</v>
      </c>
    </row>
    <row r="3546" ht="15.75" customHeight="1">
      <c r="A3546" s="4">
        <v>1223013.0</v>
      </c>
      <c r="B3546" s="4" t="s">
        <v>4699</v>
      </c>
    </row>
    <row r="3547" ht="15.75" customHeight="1">
      <c r="A3547" s="4">
        <v>1223014.0</v>
      </c>
      <c r="B3547" s="4" t="s">
        <v>4700</v>
      </c>
    </row>
    <row r="3548" ht="15.75" customHeight="1">
      <c r="A3548" s="4">
        <v>1223015.0</v>
      </c>
      <c r="B3548" s="4" t="s">
        <v>4701</v>
      </c>
    </row>
    <row r="3549" ht="15.75" customHeight="1">
      <c r="A3549" s="4">
        <v>1223016.0</v>
      </c>
      <c r="B3549" s="4" t="s">
        <v>4702</v>
      </c>
    </row>
    <row r="3550" ht="15.75" customHeight="1">
      <c r="A3550" s="4">
        <v>1223017.0</v>
      </c>
      <c r="B3550" s="4" t="s">
        <v>4703</v>
      </c>
    </row>
    <row r="3551" ht="15.75" customHeight="1">
      <c r="A3551" s="4">
        <v>1223018.0</v>
      </c>
      <c r="B3551" s="4" t="s">
        <v>4704</v>
      </c>
    </row>
    <row r="3552" ht="15.75" customHeight="1">
      <c r="A3552" s="4">
        <v>1223019.0</v>
      </c>
      <c r="B3552" s="4" t="s">
        <v>4705</v>
      </c>
    </row>
    <row r="3553" ht="15.75" customHeight="1">
      <c r="A3553" s="4">
        <v>1224001.0</v>
      </c>
      <c r="B3553" s="4" t="s">
        <v>4706</v>
      </c>
    </row>
    <row r="3554" ht="15.75" customHeight="1">
      <c r="A3554" s="4">
        <v>1224002.0</v>
      </c>
      <c r="B3554" s="4" t="s">
        <v>4707</v>
      </c>
    </row>
    <row r="3555" ht="15.75" customHeight="1">
      <c r="A3555" s="4">
        <v>1224003.0</v>
      </c>
      <c r="B3555" s="4" t="s">
        <v>4708</v>
      </c>
    </row>
    <row r="3556" ht="15.75" customHeight="1">
      <c r="A3556" s="4">
        <v>1224004.0</v>
      </c>
      <c r="B3556" s="4" t="s">
        <v>4709</v>
      </c>
    </row>
    <row r="3557" ht="15.75" customHeight="1">
      <c r="A3557" s="4">
        <v>1224005.0</v>
      </c>
      <c r="B3557" s="4" t="s">
        <v>4710</v>
      </c>
    </row>
    <row r="3558" ht="15.75" customHeight="1">
      <c r="A3558" s="4">
        <v>1225001.0</v>
      </c>
      <c r="B3558" s="4" t="s">
        <v>4711</v>
      </c>
    </row>
    <row r="3559" ht="15.75" customHeight="1">
      <c r="A3559" s="4">
        <v>1225002.0</v>
      </c>
      <c r="B3559" s="4" t="s">
        <v>4712</v>
      </c>
    </row>
    <row r="3560" ht="15.75" customHeight="1">
      <c r="A3560" s="4">
        <v>1225003.0</v>
      </c>
      <c r="B3560" s="4" t="s">
        <v>4713</v>
      </c>
    </row>
    <row r="3561" ht="15.75" customHeight="1">
      <c r="A3561" s="4">
        <v>1225004.0</v>
      </c>
      <c r="B3561" s="4" t="s">
        <v>4714</v>
      </c>
    </row>
    <row r="3562" ht="15.75" customHeight="1">
      <c r="A3562" s="4">
        <v>1225005.0</v>
      </c>
      <c r="B3562" s="4" t="s">
        <v>4715</v>
      </c>
    </row>
    <row r="3563" ht="15.75" customHeight="1">
      <c r="A3563" s="4">
        <v>1225006.0</v>
      </c>
      <c r="B3563" s="4" t="s">
        <v>4716</v>
      </c>
    </row>
    <row r="3564" ht="15.75" customHeight="1">
      <c r="A3564" s="4">
        <v>1225007.0</v>
      </c>
      <c r="B3564" s="4" t="s">
        <v>4717</v>
      </c>
    </row>
    <row r="3565" ht="15.75" customHeight="1">
      <c r="A3565" s="4">
        <v>1225008.0</v>
      </c>
      <c r="B3565" s="4" t="s">
        <v>4718</v>
      </c>
    </row>
    <row r="3566" ht="15.75" customHeight="1">
      <c r="A3566" s="4">
        <v>1226001.0</v>
      </c>
      <c r="B3566" s="4" t="s">
        <v>4719</v>
      </c>
    </row>
    <row r="3567" ht="15.75" customHeight="1">
      <c r="A3567" s="4">
        <v>1226002.0</v>
      </c>
      <c r="B3567" s="4" t="s">
        <v>4720</v>
      </c>
    </row>
    <row r="3568" ht="15.75" customHeight="1">
      <c r="A3568" s="4">
        <v>1226003.0</v>
      </c>
      <c r="B3568" s="4" t="s">
        <v>4721</v>
      </c>
    </row>
    <row r="3569" ht="15.75" customHeight="1">
      <c r="A3569" s="4">
        <v>1226004.0</v>
      </c>
      <c r="B3569" s="4" t="s">
        <v>4722</v>
      </c>
    </row>
    <row r="3570" ht="15.75" customHeight="1">
      <c r="A3570" s="4">
        <v>1226005.0</v>
      </c>
      <c r="B3570" s="4" t="s">
        <v>4723</v>
      </c>
    </row>
    <row r="3571" ht="15.75" customHeight="1">
      <c r="A3571" s="4">
        <v>1226006.0</v>
      </c>
      <c r="B3571" s="4" t="s">
        <v>4724</v>
      </c>
    </row>
    <row r="3572" ht="15.75" customHeight="1">
      <c r="A3572" s="4">
        <v>1226007.0</v>
      </c>
      <c r="B3572" s="4" t="s">
        <v>4725</v>
      </c>
    </row>
    <row r="3573" ht="15.75" customHeight="1">
      <c r="A3573" s="4">
        <v>1226008.0</v>
      </c>
      <c r="B3573" s="4" t="s">
        <v>4726</v>
      </c>
    </row>
    <row r="3574" ht="15.75" customHeight="1">
      <c r="A3574" s="4">
        <v>1226009.0</v>
      </c>
      <c r="B3574" s="4" t="s">
        <v>4727</v>
      </c>
    </row>
    <row r="3575" ht="15.75" customHeight="1">
      <c r="A3575" s="4">
        <v>1301001.0</v>
      </c>
      <c r="B3575" s="4" t="s">
        <v>4728</v>
      </c>
    </row>
    <row r="3576" ht="15.75" customHeight="1">
      <c r="A3576" s="4">
        <v>1301002.0</v>
      </c>
      <c r="B3576" s="4" t="s">
        <v>4729</v>
      </c>
    </row>
    <row r="3577" ht="15.75" customHeight="1">
      <c r="A3577" s="4">
        <v>1301003.0</v>
      </c>
      <c r="B3577" s="4" t="s">
        <v>4730</v>
      </c>
    </row>
    <row r="3578" ht="15.75" customHeight="1">
      <c r="A3578" s="4">
        <v>1301004.0</v>
      </c>
      <c r="B3578" s="4" t="s">
        <v>4731</v>
      </c>
    </row>
    <row r="3579" ht="15.75" customHeight="1">
      <c r="A3579" s="4">
        <v>1301005.0</v>
      </c>
      <c r="B3579" s="4" t="s">
        <v>4732</v>
      </c>
    </row>
    <row r="3580" ht="15.75" customHeight="1">
      <c r="A3580" s="4">
        <v>1301006.0</v>
      </c>
      <c r="B3580" s="4" t="s">
        <v>3425</v>
      </c>
    </row>
    <row r="3581" ht="15.75" customHeight="1">
      <c r="A3581" s="4">
        <v>1301007.0</v>
      </c>
      <c r="B3581" s="4" t="s">
        <v>4733</v>
      </c>
    </row>
    <row r="3582" ht="15.75" customHeight="1">
      <c r="A3582" s="4">
        <v>1301008.0</v>
      </c>
      <c r="B3582" s="4" t="s">
        <v>4734</v>
      </c>
    </row>
    <row r="3583" ht="15.75" customHeight="1">
      <c r="A3583" s="4">
        <v>1301009.0</v>
      </c>
      <c r="B3583" s="4" t="s">
        <v>4735</v>
      </c>
    </row>
    <row r="3584" ht="15.75" customHeight="1">
      <c r="A3584" s="4">
        <v>1301010.0</v>
      </c>
      <c r="B3584" s="4" t="s">
        <v>4736</v>
      </c>
    </row>
    <row r="3585" ht="15.75" customHeight="1">
      <c r="A3585" s="4">
        <v>1301011.0</v>
      </c>
      <c r="B3585" s="4" t="s">
        <v>4737</v>
      </c>
    </row>
    <row r="3586" ht="15.75" customHeight="1">
      <c r="A3586" s="4">
        <v>1301012.0</v>
      </c>
      <c r="B3586" s="4" t="s">
        <v>4738</v>
      </c>
    </row>
    <row r="3587" ht="15.75" customHeight="1">
      <c r="A3587" s="4">
        <v>1301013.0</v>
      </c>
      <c r="B3587" s="4" t="s">
        <v>4739</v>
      </c>
    </row>
    <row r="3588" ht="15.75" customHeight="1">
      <c r="A3588" s="4">
        <v>1301014.0</v>
      </c>
      <c r="B3588" s="4" t="s">
        <v>4740</v>
      </c>
    </row>
    <row r="3589" ht="15.75" customHeight="1">
      <c r="A3589" s="4">
        <v>1301015.0</v>
      </c>
      <c r="B3589" s="4" t="s">
        <v>4741</v>
      </c>
    </row>
    <row r="3590" ht="15.75" customHeight="1">
      <c r="A3590" s="4">
        <v>1301016.0</v>
      </c>
      <c r="B3590" s="4" t="s">
        <v>4742</v>
      </c>
    </row>
    <row r="3591" ht="15.75" customHeight="1">
      <c r="A3591" s="4">
        <v>1301017.0</v>
      </c>
      <c r="B3591" s="4" t="s">
        <v>4743</v>
      </c>
    </row>
    <row r="3592" ht="15.75" customHeight="1">
      <c r="A3592" s="4">
        <v>1301018.0</v>
      </c>
      <c r="B3592" s="4" t="s">
        <v>4744</v>
      </c>
    </row>
    <row r="3593" ht="15.75" customHeight="1">
      <c r="A3593" s="4">
        <v>1301019.0</v>
      </c>
      <c r="B3593" s="4" t="s">
        <v>4745</v>
      </c>
    </row>
    <row r="3594" ht="15.75" customHeight="1">
      <c r="A3594" s="4">
        <v>1301020.0</v>
      </c>
      <c r="B3594" s="4" t="s">
        <v>4746</v>
      </c>
    </row>
    <row r="3595" ht="15.75" customHeight="1">
      <c r="A3595" s="4">
        <v>1301021.0</v>
      </c>
      <c r="B3595" s="4" t="s">
        <v>4747</v>
      </c>
    </row>
    <row r="3596" ht="15.75" customHeight="1">
      <c r="A3596" s="4">
        <v>1301022.0</v>
      </c>
      <c r="B3596" s="4" t="s">
        <v>4748</v>
      </c>
    </row>
    <row r="3597" ht="15.75" customHeight="1">
      <c r="A3597" s="4">
        <v>1301023.0</v>
      </c>
      <c r="B3597" s="4" t="s">
        <v>4749</v>
      </c>
    </row>
    <row r="3598" ht="15.75" customHeight="1">
      <c r="A3598" s="4">
        <v>1301024.0</v>
      </c>
      <c r="B3598" s="4" t="s">
        <v>4750</v>
      </c>
    </row>
    <row r="3599" ht="15.75" customHeight="1">
      <c r="A3599" s="4">
        <v>1301025.0</v>
      </c>
      <c r="B3599" s="4" t="s">
        <v>3630</v>
      </c>
    </row>
    <row r="3600" ht="15.75" customHeight="1">
      <c r="A3600" s="4">
        <v>1301026.0</v>
      </c>
      <c r="B3600" s="4" t="s">
        <v>4751</v>
      </c>
    </row>
    <row r="3601" ht="15.75" customHeight="1">
      <c r="A3601" s="4">
        <v>1301027.0</v>
      </c>
      <c r="B3601" s="4" t="s">
        <v>4752</v>
      </c>
    </row>
    <row r="3602" ht="15.75" customHeight="1">
      <c r="A3602" s="4">
        <v>1301028.0</v>
      </c>
      <c r="B3602" s="4" t="s">
        <v>4753</v>
      </c>
    </row>
    <row r="3603" ht="15.75" customHeight="1">
      <c r="A3603" s="4">
        <v>1301029.0</v>
      </c>
      <c r="B3603" s="4" t="s">
        <v>4754</v>
      </c>
    </row>
    <row r="3604" ht="15.75" customHeight="1">
      <c r="A3604" s="4">
        <v>1301030.0</v>
      </c>
      <c r="B3604" s="4" t="s">
        <v>4755</v>
      </c>
    </row>
    <row r="3605" ht="15.75" customHeight="1">
      <c r="A3605" s="4">
        <v>1301031.0</v>
      </c>
      <c r="B3605" s="4" t="s">
        <v>4757</v>
      </c>
    </row>
    <row r="3606" ht="15.75" customHeight="1">
      <c r="A3606" s="4">
        <v>1301032.0</v>
      </c>
      <c r="B3606" s="4" t="s">
        <v>4758</v>
      </c>
    </row>
    <row r="3607" ht="15.75" customHeight="1">
      <c r="A3607" s="4">
        <v>1301033.0</v>
      </c>
      <c r="B3607" s="4" t="s">
        <v>4759</v>
      </c>
    </row>
    <row r="3608" ht="15.75" customHeight="1">
      <c r="A3608" s="4">
        <v>1301034.0</v>
      </c>
      <c r="B3608" s="4" t="s">
        <v>4760</v>
      </c>
    </row>
    <row r="3609" ht="15.75" customHeight="1">
      <c r="A3609" s="4">
        <v>1301035.0</v>
      </c>
      <c r="B3609" s="4" t="s">
        <v>4761</v>
      </c>
    </row>
    <row r="3610" ht="15.75" customHeight="1">
      <c r="A3610" s="4">
        <v>1301036.0</v>
      </c>
      <c r="B3610" s="4" t="s">
        <v>4763</v>
      </c>
    </row>
    <row r="3611" ht="15.75" customHeight="1">
      <c r="A3611" s="4">
        <v>1301037.0</v>
      </c>
      <c r="B3611" s="4" t="s">
        <v>4764</v>
      </c>
    </row>
    <row r="3612" ht="15.75" customHeight="1">
      <c r="A3612" s="4">
        <v>1301038.0</v>
      </c>
      <c r="B3612" s="4" t="s">
        <v>4765</v>
      </c>
    </row>
    <row r="3613" ht="15.75" customHeight="1">
      <c r="A3613" s="4">
        <v>1301039.0</v>
      </c>
      <c r="B3613" s="4" t="s">
        <v>4766</v>
      </c>
    </row>
    <row r="3614" ht="15.75" customHeight="1">
      <c r="A3614" s="4">
        <v>1301040.0</v>
      </c>
      <c r="B3614" s="4" t="s">
        <v>4767</v>
      </c>
    </row>
    <row r="3615" ht="15.75" customHeight="1">
      <c r="A3615" s="4">
        <v>1301041.0</v>
      </c>
      <c r="B3615" s="4" t="s">
        <v>4768</v>
      </c>
    </row>
    <row r="3616" ht="15.75" customHeight="1">
      <c r="A3616" s="4">
        <v>1301042.0</v>
      </c>
      <c r="B3616" s="4" t="s">
        <v>4769</v>
      </c>
    </row>
    <row r="3617" ht="15.75" customHeight="1">
      <c r="A3617" s="4">
        <v>1301043.0</v>
      </c>
      <c r="B3617" s="4" t="s">
        <v>4770</v>
      </c>
    </row>
    <row r="3618" ht="15.75" customHeight="1">
      <c r="A3618" s="4">
        <v>1301044.0</v>
      </c>
      <c r="B3618" s="4" t="s">
        <v>4771</v>
      </c>
    </row>
    <row r="3619" ht="15.75" customHeight="1">
      <c r="A3619" s="4">
        <v>1301045.0</v>
      </c>
      <c r="B3619" s="4" t="s">
        <v>4772</v>
      </c>
    </row>
    <row r="3620" ht="15.75" customHeight="1">
      <c r="A3620" s="4">
        <v>1301046.0</v>
      </c>
      <c r="B3620" s="4" t="s">
        <v>4773</v>
      </c>
    </row>
    <row r="3621" ht="15.75" customHeight="1">
      <c r="A3621" s="4">
        <v>1301047.0</v>
      </c>
      <c r="B3621" s="4" t="s">
        <v>4774</v>
      </c>
    </row>
    <row r="3622" ht="15.75" customHeight="1">
      <c r="A3622" s="4">
        <v>1301048.0</v>
      </c>
      <c r="B3622" s="4" t="s">
        <v>4775</v>
      </c>
    </row>
    <row r="3623" ht="15.75" customHeight="1">
      <c r="A3623" s="4">
        <v>1301049.0</v>
      </c>
      <c r="B3623" s="4" t="s">
        <v>4776</v>
      </c>
    </row>
    <row r="3624" ht="15.75" customHeight="1">
      <c r="A3624" s="4">
        <v>1301050.0</v>
      </c>
      <c r="B3624" s="4" t="s">
        <v>4777</v>
      </c>
    </row>
    <row r="3625" ht="15.75" customHeight="1">
      <c r="A3625" s="4">
        <v>1301051.0</v>
      </c>
      <c r="B3625" s="4" t="s">
        <v>4778</v>
      </c>
    </row>
    <row r="3626" ht="15.75" customHeight="1">
      <c r="A3626" s="4">
        <v>1301052.0</v>
      </c>
      <c r="B3626" s="4" t="s">
        <v>4779</v>
      </c>
    </row>
    <row r="3627" ht="15.75" customHeight="1">
      <c r="A3627" s="4">
        <v>1301053.0</v>
      </c>
      <c r="B3627" s="4" t="s">
        <v>4780</v>
      </c>
    </row>
    <row r="3628" ht="15.75" customHeight="1">
      <c r="A3628" s="4">
        <v>1301054.0</v>
      </c>
      <c r="B3628" s="4" t="s">
        <v>4781</v>
      </c>
    </row>
    <row r="3629" ht="15.75" customHeight="1">
      <c r="A3629" s="4">
        <v>1301055.0</v>
      </c>
      <c r="B3629" s="4" t="s">
        <v>4782</v>
      </c>
    </row>
    <row r="3630" ht="15.75" customHeight="1">
      <c r="A3630" s="4">
        <v>1301056.0</v>
      </c>
      <c r="B3630" s="4" t="s">
        <v>4783</v>
      </c>
    </row>
    <row r="3631" ht="15.75" customHeight="1">
      <c r="A3631" s="4">
        <v>1301057.0</v>
      </c>
      <c r="B3631" s="4" t="s">
        <v>4784</v>
      </c>
    </row>
    <row r="3632" ht="15.75" customHeight="1">
      <c r="A3632" s="4">
        <v>1301058.0</v>
      </c>
      <c r="B3632" s="4" t="s">
        <v>4785</v>
      </c>
    </row>
    <row r="3633" ht="15.75" customHeight="1">
      <c r="A3633" s="4">
        <v>1301059.0</v>
      </c>
      <c r="B3633" s="4" t="s">
        <v>4786</v>
      </c>
    </row>
    <row r="3634" ht="15.75" customHeight="1">
      <c r="A3634" s="4">
        <v>1301060.0</v>
      </c>
      <c r="B3634" s="4" t="s">
        <v>4787</v>
      </c>
    </row>
    <row r="3635" ht="15.75" customHeight="1">
      <c r="A3635" s="4">
        <v>1301061.0</v>
      </c>
      <c r="B3635" s="4" t="s">
        <v>4788</v>
      </c>
    </row>
    <row r="3636" ht="15.75" customHeight="1">
      <c r="A3636" s="4">
        <v>1301062.0</v>
      </c>
      <c r="B3636" s="4" t="s">
        <v>4789</v>
      </c>
    </row>
    <row r="3637" ht="15.75" customHeight="1">
      <c r="A3637" s="4">
        <v>1301063.0</v>
      </c>
      <c r="B3637" s="4" t="s">
        <v>4790</v>
      </c>
    </row>
    <row r="3638" ht="15.75" customHeight="1">
      <c r="A3638" s="4">
        <v>1301064.0</v>
      </c>
      <c r="B3638" s="4" t="s">
        <v>4791</v>
      </c>
    </row>
    <row r="3639" ht="15.75" customHeight="1">
      <c r="A3639" s="4">
        <v>1301065.0</v>
      </c>
      <c r="B3639" s="4" t="s">
        <v>4792</v>
      </c>
    </row>
    <row r="3640" ht="15.75" customHeight="1">
      <c r="A3640" s="4">
        <v>1301066.0</v>
      </c>
      <c r="B3640" s="4" t="s">
        <v>4793</v>
      </c>
    </row>
    <row r="3641" ht="15.75" customHeight="1">
      <c r="A3641" s="4">
        <v>1301067.0</v>
      </c>
      <c r="B3641" s="4" t="s">
        <v>4794</v>
      </c>
    </row>
    <row r="3642" ht="15.75" customHeight="1">
      <c r="A3642" s="4">
        <v>1301068.0</v>
      </c>
      <c r="B3642" s="4" t="s">
        <v>4795</v>
      </c>
    </row>
    <row r="3643" ht="15.75" customHeight="1">
      <c r="A3643" s="4">
        <v>1301069.0</v>
      </c>
      <c r="B3643" s="4" t="s">
        <v>4796</v>
      </c>
    </row>
    <row r="3644" ht="15.75" customHeight="1">
      <c r="A3644" s="4">
        <v>1301070.0</v>
      </c>
      <c r="B3644" s="4" t="s">
        <v>4797</v>
      </c>
    </row>
    <row r="3645" ht="15.75" customHeight="1">
      <c r="A3645" s="4">
        <v>1301071.0</v>
      </c>
      <c r="B3645" s="4" t="s">
        <v>4798</v>
      </c>
    </row>
    <row r="3646" ht="15.75" customHeight="1">
      <c r="A3646" s="4">
        <v>1301072.0</v>
      </c>
      <c r="B3646" s="4" t="s">
        <v>4799</v>
      </c>
    </row>
    <row r="3647" ht="15.75" customHeight="1">
      <c r="A3647" s="4">
        <v>1301073.0</v>
      </c>
      <c r="B3647" s="4" t="s">
        <v>4800</v>
      </c>
    </row>
    <row r="3648" ht="15.75" customHeight="1">
      <c r="A3648" s="4">
        <v>1301074.0</v>
      </c>
      <c r="B3648" s="4" t="s">
        <v>4801</v>
      </c>
    </row>
    <row r="3649" ht="15.75" customHeight="1">
      <c r="A3649" s="4">
        <v>1301075.0</v>
      </c>
      <c r="B3649" s="4" t="s">
        <v>4802</v>
      </c>
    </row>
    <row r="3650" ht="15.75" customHeight="1">
      <c r="A3650" s="4">
        <v>1301076.0</v>
      </c>
      <c r="B3650" s="4" t="s">
        <v>4803</v>
      </c>
    </row>
    <row r="3651" ht="15.75" customHeight="1">
      <c r="A3651" s="4">
        <v>1301077.0</v>
      </c>
      <c r="B3651" s="4" t="s">
        <v>4804</v>
      </c>
    </row>
    <row r="3652" ht="15.75" customHeight="1">
      <c r="A3652" s="4">
        <v>1301078.0</v>
      </c>
      <c r="B3652" s="4" t="s">
        <v>4805</v>
      </c>
    </row>
    <row r="3653" ht="15.75" customHeight="1">
      <c r="A3653" s="4">
        <v>1301079.0</v>
      </c>
      <c r="B3653" s="4" t="s">
        <v>4806</v>
      </c>
    </row>
    <row r="3654" ht="15.75" customHeight="1">
      <c r="A3654" s="4">
        <v>1301080.0</v>
      </c>
      <c r="B3654" s="4" t="s">
        <v>4807</v>
      </c>
    </row>
    <row r="3655" ht="15.75" customHeight="1">
      <c r="A3655" s="4">
        <v>1301081.0</v>
      </c>
      <c r="B3655" s="4" t="s">
        <v>4808</v>
      </c>
    </row>
    <row r="3656" ht="15.75" customHeight="1">
      <c r="A3656" s="4">
        <v>1301082.0</v>
      </c>
      <c r="B3656" s="4" t="s">
        <v>4809</v>
      </c>
    </row>
    <row r="3657" ht="15.75" customHeight="1">
      <c r="A3657" s="4">
        <v>1301083.0</v>
      </c>
      <c r="B3657" s="4" t="s">
        <v>4810</v>
      </c>
    </row>
    <row r="3658" ht="15.75" customHeight="1">
      <c r="A3658" s="4">
        <v>1301084.0</v>
      </c>
      <c r="B3658" s="4" t="s">
        <v>4811</v>
      </c>
    </row>
    <row r="3659" ht="15.75" customHeight="1">
      <c r="A3659" s="4">
        <v>1301085.0</v>
      </c>
      <c r="B3659" s="4" t="s">
        <v>4812</v>
      </c>
    </row>
    <row r="3660" ht="15.75" customHeight="1">
      <c r="A3660" s="4">
        <v>1301086.0</v>
      </c>
      <c r="B3660" s="4" t="s">
        <v>4813</v>
      </c>
    </row>
    <row r="3661" ht="15.75" customHeight="1">
      <c r="A3661" s="4">
        <v>1301087.0</v>
      </c>
      <c r="B3661" s="4" t="s">
        <v>4814</v>
      </c>
    </row>
    <row r="3662" ht="15.75" customHeight="1">
      <c r="A3662" s="4">
        <v>1301088.0</v>
      </c>
      <c r="B3662" s="4" t="s">
        <v>4815</v>
      </c>
    </row>
    <row r="3663" ht="15.75" customHeight="1">
      <c r="A3663" s="4">
        <v>1301089.0</v>
      </c>
      <c r="B3663" s="4" t="s">
        <v>4816</v>
      </c>
    </row>
    <row r="3664" ht="15.75" customHeight="1">
      <c r="A3664" s="4">
        <v>1301090.0</v>
      </c>
      <c r="B3664" s="4" t="s">
        <v>4817</v>
      </c>
    </row>
    <row r="3665" ht="15.75" customHeight="1">
      <c r="A3665" s="4">
        <v>1301091.0</v>
      </c>
      <c r="B3665" s="4" t="s">
        <v>4818</v>
      </c>
    </row>
    <row r="3666" ht="15.75" customHeight="1">
      <c r="A3666" s="4">
        <v>1301092.0</v>
      </c>
      <c r="B3666" s="4" t="s">
        <v>4819</v>
      </c>
    </row>
    <row r="3667" ht="15.75" customHeight="1">
      <c r="A3667" s="4">
        <v>1301093.0</v>
      </c>
      <c r="B3667" s="4" t="s">
        <v>4820</v>
      </c>
    </row>
    <row r="3668" ht="15.75" customHeight="1">
      <c r="A3668" s="4">
        <v>1301094.0</v>
      </c>
      <c r="B3668" s="4" t="s">
        <v>4821</v>
      </c>
    </row>
    <row r="3669" ht="15.75" customHeight="1">
      <c r="A3669" s="4">
        <v>1301095.0</v>
      </c>
      <c r="B3669" s="4" t="s">
        <v>4822</v>
      </c>
    </row>
    <row r="3670" ht="15.75" customHeight="1">
      <c r="A3670" s="4">
        <v>1301096.0</v>
      </c>
      <c r="B3670" s="4" t="s">
        <v>4823</v>
      </c>
    </row>
    <row r="3671" ht="15.75" customHeight="1">
      <c r="A3671" s="4">
        <v>1301097.0</v>
      </c>
      <c r="B3671" s="4" t="s">
        <v>4824</v>
      </c>
    </row>
    <row r="3672" ht="15.75" customHeight="1">
      <c r="A3672" s="4">
        <v>1301098.0</v>
      </c>
      <c r="B3672" s="4" t="s">
        <v>4825</v>
      </c>
    </row>
    <row r="3673" ht="15.75" customHeight="1">
      <c r="A3673" s="4">
        <v>1301099.0</v>
      </c>
      <c r="B3673" s="4" t="s">
        <v>4826</v>
      </c>
    </row>
    <row r="3674" ht="15.75" customHeight="1">
      <c r="A3674" s="4">
        <v>1301100.0</v>
      </c>
      <c r="B3674" s="4" t="s">
        <v>4827</v>
      </c>
    </row>
    <row r="3675" ht="15.75" customHeight="1">
      <c r="A3675" s="4">
        <v>1301101.0</v>
      </c>
      <c r="B3675" s="4" t="s">
        <v>4828</v>
      </c>
    </row>
    <row r="3676" ht="15.75" customHeight="1">
      <c r="A3676" s="4">
        <v>1301102.0</v>
      </c>
      <c r="B3676" s="4" t="s">
        <v>4829</v>
      </c>
    </row>
    <row r="3677" ht="15.75" customHeight="1">
      <c r="A3677" s="4">
        <v>1301103.0</v>
      </c>
      <c r="B3677" s="4" t="s">
        <v>4830</v>
      </c>
    </row>
    <row r="3678" ht="15.75" customHeight="1">
      <c r="A3678" s="4">
        <v>1301104.0</v>
      </c>
      <c r="B3678" s="4" t="s">
        <v>4831</v>
      </c>
    </row>
    <row r="3679" ht="15.75" customHeight="1">
      <c r="A3679" s="4">
        <v>1301105.0</v>
      </c>
      <c r="B3679" s="4" t="s">
        <v>4832</v>
      </c>
    </row>
    <row r="3680" ht="15.75" customHeight="1">
      <c r="A3680" s="4">
        <v>1301106.0</v>
      </c>
      <c r="B3680" s="4" t="s">
        <v>4833</v>
      </c>
    </row>
    <row r="3681" ht="15.75" customHeight="1">
      <c r="A3681" s="4">
        <v>1301107.0</v>
      </c>
      <c r="B3681" s="4" t="s">
        <v>4834</v>
      </c>
    </row>
    <row r="3682" ht="15.75" customHeight="1">
      <c r="A3682" s="4">
        <v>1301108.0</v>
      </c>
      <c r="B3682" s="4" t="s">
        <v>4835</v>
      </c>
    </row>
    <row r="3683" ht="15.75" customHeight="1">
      <c r="A3683" s="4">
        <v>1301109.0</v>
      </c>
      <c r="B3683" s="4" t="s">
        <v>4836</v>
      </c>
    </row>
    <row r="3684" ht="15.75" customHeight="1">
      <c r="A3684" s="4">
        <v>1301110.0</v>
      </c>
      <c r="B3684" s="4" t="s">
        <v>4837</v>
      </c>
    </row>
    <row r="3685" ht="15.75" customHeight="1">
      <c r="A3685" s="4">
        <v>1301111.0</v>
      </c>
      <c r="B3685" s="4" t="s">
        <v>4838</v>
      </c>
    </row>
    <row r="3686" ht="15.75" customHeight="1">
      <c r="A3686" s="4">
        <v>1301112.0</v>
      </c>
      <c r="B3686" s="4" t="s">
        <v>4839</v>
      </c>
    </row>
    <row r="3687" ht="15.75" customHeight="1">
      <c r="A3687" s="4">
        <v>1301113.0</v>
      </c>
      <c r="B3687" s="4" t="s">
        <v>4840</v>
      </c>
    </row>
    <row r="3688" ht="15.75" customHeight="1">
      <c r="A3688" s="4">
        <v>1301114.0</v>
      </c>
      <c r="B3688" s="4" t="s">
        <v>4841</v>
      </c>
    </row>
    <row r="3689" ht="15.75" customHeight="1">
      <c r="A3689" s="4">
        <v>1301115.0</v>
      </c>
      <c r="B3689" s="4" t="s">
        <v>4842</v>
      </c>
    </row>
    <row r="3690" ht="15.75" customHeight="1">
      <c r="A3690" s="4">
        <v>1301116.0</v>
      </c>
      <c r="B3690" s="4" t="s">
        <v>4843</v>
      </c>
    </row>
    <row r="3691" ht="15.75" customHeight="1">
      <c r="A3691" s="4">
        <v>1301117.0</v>
      </c>
      <c r="B3691" s="4" t="s">
        <v>4844</v>
      </c>
    </row>
    <row r="3692" ht="15.75" customHeight="1">
      <c r="A3692" s="4">
        <v>1301118.0</v>
      </c>
      <c r="B3692" s="4" t="s">
        <v>4845</v>
      </c>
    </row>
    <row r="3693" ht="15.75" customHeight="1">
      <c r="A3693" s="4">
        <v>1301119.0</v>
      </c>
      <c r="B3693" s="4" t="s">
        <v>4846</v>
      </c>
    </row>
    <row r="3694" ht="15.75" customHeight="1">
      <c r="A3694" s="4">
        <v>1301120.0</v>
      </c>
      <c r="B3694" s="4" t="s">
        <v>4847</v>
      </c>
    </row>
    <row r="3695" ht="15.75" customHeight="1">
      <c r="A3695" s="4">
        <v>1301121.0</v>
      </c>
      <c r="B3695" s="4" t="s">
        <v>4848</v>
      </c>
    </row>
    <row r="3696" ht="15.75" customHeight="1">
      <c r="A3696" s="4">
        <v>1301122.0</v>
      </c>
      <c r="B3696" s="4" t="s">
        <v>4849</v>
      </c>
    </row>
    <row r="3697" ht="15.75" customHeight="1">
      <c r="A3697" s="4">
        <v>1301123.0</v>
      </c>
      <c r="B3697" s="4" t="s">
        <v>4850</v>
      </c>
    </row>
    <row r="3698" ht="15.75" customHeight="1">
      <c r="A3698" s="4">
        <v>1301124.0</v>
      </c>
      <c r="B3698" s="4" t="s">
        <v>4851</v>
      </c>
    </row>
    <row r="3699" ht="15.75" customHeight="1">
      <c r="A3699" s="4">
        <v>1301125.0</v>
      </c>
      <c r="B3699" s="4" t="s">
        <v>4852</v>
      </c>
    </row>
    <row r="3700" ht="15.75" customHeight="1">
      <c r="A3700" s="4">
        <v>1301126.0</v>
      </c>
      <c r="B3700" s="4" t="s">
        <v>4853</v>
      </c>
    </row>
    <row r="3701" ht="15.75" customHeight="1">
      <c r="A3701" s="4">
        <v>1301127.0</v>
      </c>
      <c r="B3701" s="4" t="s">
        <v>4854</v>
      </c>
    </row>
    <row r="3702" ht="15.75" customHeight="1">
      <c r="A3702" s="4">
        <v>1301128.0</v>
      </c>
      <c r="B3702" s="4" t="s">
        <v>4855</v>
      </c>
    </row>
    <row r="3703" ht="15.75" customHeight="1">
      <c r="A3703" s="4">
        <v>1301129.0</v>
      </c>
      <c r="B3703" s="4" t="s">
        <v>4856</v>
      </c>
    </row>
    <row r="3704" ht="15.75" customHeight="1">
      <c r="A3704" s="4">
        <v>1301130.0</v>
      </c>
      <c r="B3704" s="4" t="s">
        <v>4857</v>
      </c>
    </row>
    <row r="3705" ht="15.75" customHeight="1">
      <c r="A3705" s="4">
        <v>1301131.0</v>
      </c>
      <c r="B3705" s="4" t="s">
        <v>4858</v>
      </c>
    </row>
    <row r="3706" ht="15.75" customHeight="1">
      <c r="A3706" s="4">
        <v>1301132.0</v>
      </c>
      <c r="B3706" s="4" t="s">
        <v>4859</v>
      </c>
    </row>
    <row r="3707" ht="15.75" customHeight="1">
      <c r="A3707" s="4">
        <v>1301133.0</v>
      </c>
      <c r="B3707" s="4" t="s">
        <v>4860</v>
      </c>
    </row>
    <row r="3708" ht="15.75" customHeight="1">
      <c r="A3708" s="4">
        <v>1301134.0</v>
      </c>
      <c r="B3708" s="4" t="s">
        <v>4861</v>
      </c>
    </row>
    <row r="3709" ht="15.75" customHeight="1">
      <c r="A3709" s="4">
        <v>1301135.0</v>
      </c>
      <c r="B3709" s="4" t="s">
        <v>4862</v>
      </c>
    </row>
    <row r="3710" ht="15.75" customHeight="1">
      <c r="A3710" s="4">
        <v>1301136.0</v>
      </c>
      <c r="B3710" s="4" t="s">
        <v>4863</v>
      </c>
    </row>
    <row r="3711" ht="15.75" customHeight="1">
      <c r="A3711" s="4">
        <v>1301137.0</v>
      </c>
      <c r="B3711" s="4" t="s">
        <v>4864</v>
      </c>
    </row>
    <row r="3712" ht="15.75" customHeight="1">
      <c r="A3712" s="4">
        <v>1301138.0</v>
      </c>
      <c r="B3712" s="4" t="s">
        <v>4865</v>
      </c>
    </row>
    <row r="3713" ht="15.75" customHeight="1">
      <c r="A3713" s="4">
        <v>1301139.0</v>
      </c>
      <c r="B3713" s="4" t="s">
        <v>4866</v>
      </c>
    </row>
    <row r="3714" ht="15.75" customHeight="1">
      <c r="A3714" s="4">
        <v>1301140.0</v>
      </c>
      <c r="B3714" s="4" t="s">
        <v>4867</v>
      </c>
    </row>
    <row r="3715" ht="15.75" customHeight="1">
      <c r="A3715" s="4">
        <v>1301141.0</v>
      </c>
      <c r="B3715" s="4" t="s">
        <v>4868</v>
      </c>
    </row>
    <row r="3716" ht="15.75" customHeight="1">
      <c r="A3716" s="4">
        <v>1301142.0</v>
      </c>
      <c r="B3716" s="4" t="s">
        <v>4869</v>
      </c>
    </row>
    <row r="3717" ht="15.75" customHeight="1">
      <c r="A3717" s="4">
        <v>1301143.0</v>
      </c>
      <c r="B3717" s="4" t="s">
        <v>4870</v>
      </c>
    </row>
    <row r="3718" ht="15.75" customHeight="1">
      <c r="A3718" s="4">
        <v>1302001.0</v>
      </c>
      <c r="B3718" s="4" t="s">
        <v>4871</v>
      </c>
    </row>
    <row r="3719" ht="15.75" customHeight="1">
      <c r="A3719" s="4">
        <v>1302002.0</v>
      </c>
      <c r="B3719" s="4" t="s">
        <v>4872</v>
      </c>
    </row>
    <row r="3720" ht="15.75" customHeight="1">
      <c r="A3720" s="4">
        <v>1302003.0</v>
      </c>
      <c r="B3720" s="4" t="s">
        <v>4873</v>
      </c>
    </row>
    <row r="3721" ht="15.75" customHeight="1">
      <c r="A3721" s="4">
        <v>1302004.0</v>
      </c>
      <c r="B3721" s="4" t="s">
        <v>4876</v>
      </c>
    </row>
    <row r="3722" ht="15.75" customHeight="1">
      <c r="A3722" s="4">
        <v>1302005.0</v>
      </c>
      <c r="B3722" s="4" t="s">
        <v>4877</v>
      </c>
    </row>
    <row r="3723" ht="15.75" customHeight="1">
      <c r="A3723" s="4">
        <v>1302006.0</v>
      </c>
      <c r="B3723" s="4" t="s">
        <v>4878</v>
      </c>
    </row>
    <row r="3724" ht="15.75" customHeight="1">
      <c r="A3724" s="4">
        <v>1302007.0</v>
      </c>
      <c r="B3724" s="4" t="s">
        <v>4879</v>
      </c>
    </row>
    <row r="3725" ht="15.75" customHeight="1">
      <c r="A3725" s="4">
        <v>1302008.0</v>
      </c>
      <c r="B3725" s="4" t="s">
        <v>4880</v>
      </c>
    </row>
    <row r="3726" ht="15.75" customHeight="1">
      <c r="A3726" s="4">
        <v>1302009.0</v>
      </c>
      <c r="B3726" s="4" t="s">
        <v>4881</v>
      </c>
    </row>
    <row r="3727" ht="15.75" customHeight="1">
      <c r="A3727" s="4">
        <v>1302010.0</v>
      </c>
      <c r="B3727" s="4" t="s">
        <v>4882</v>
      </c>
    </row>
    <row r="3728" ht="15.75" customHeight="1">
      <c r="A3728" s="4">
        <v>1302011.0</v>
      </c>
      <c r="B3728" s="4" t="s">
        <v>4883</v>
      </c>
    </row>
    <row r="3729" ht="15.75" customHeight="1">
      <c r="A3729" s="4">
        <v>1302012.0</v>
      </c>
      <c r="B3729" s="4" t="s">
        <v>4884</v>
      </c>
    </row>
    <row r="3730" ht="15.75" customHeight="1">
      <c r="A3730" s="4">
        <v>1302013.0</v>
      </c>
      <c r="B3730" s="4" t="s">
        <v>4885</v>
      </c>
    </row>
    <row r="3731" ht="15.75" customHeight="1">
      <c r="A3731" s="4">
        <v>1302014.0</v>
      </c>
      <c r="B3731" s="4" t="s">
        <v>4886</v>
      </c>
    </row>
    <row r="3732" ht="15.75" customHeight="1">
      <c r="A3732" s="4">
        <v>1302015.0</v>
      </c>
      <c r="B3732" s="4" t="s">
        <v>4887</v>
      </c>
    </row>
    <row r="3733" ht="15.75" customHeight="1">
      <c r="A3733" s="4">
        <v>1302016.0</v>
      </c>
      <c r="B3733" s="4" t="s">
        <v>4888</v>
      </c>
    </row>
    <row r="3734" ht="15.75" customHeight="1">
      <c r="A3734" s="4">
        <v>1302017.0</v>
      </c>
      <c r="B3734" s="4" t="s">
        <v>4889</v>
      </c>
    </row>
    <row r="3735" ht="15.75" customHeight="1">
      <c r="A3735" s="4">
        <v>1302018.0</v>
      </c>
      <c r="B3735" s="4" t="s">
        <v>4890</v>
      </c>
    </row>
    <row r="3736" ht="15.75" customHeight="1">
      <c r="A3736" s="4">
        <v>1401001.0</v>
      </c>
      <c r="B3736" s="4" t="s">
        <v>4891</v>
      </c>
    </row>
    <row r="3737" ht="15.75" customHeight="1">
      <c r="A3737" s="4">
        <v>1401002.0</v>
      </c>
      <c r="B3737" s="4" t="s">
        <v>3898</v>
      </c>
    </row>
    <row r="3738" ht="15.75" customHeight="1">
      <c r="A3738" s="4">
        <v>1401003.0</v>
      </c>
      <c r="B3738" s="4" t="s">
        <v>4892</v>
      </c>
    </row>
    <row r="3739" ht="15.75" customHeight="1">
      <c r="A3739" s="4">
        <v>1401004.0</v>
      </c>
      <c r="B3739" s="4" t="s">
        <v>4893</v>
      </c>
    </row>
    <row r="3740" ht="15.75" customHeight="1">
      <c r="A3740" s="4">
        <v>1401005.0</v>
      </c>
      <c r="B3740" s="4" t="s">
        <v>4894</v>
      </c>
    </row>
    <row r="3741" ht="15.75" customHeight="1">
      <c r="A3741" s="4">
        <v>1401006.0</v>
      </c>
      <c r="B3741" s="4" t="s">
        <v>4895</v>
      </c>
    </row>
    <row r="3742" ht="15.75" customHeight="1">
      <c r="A3742" s="4">
        <v>1401007.0</v>
      </c>
      <c r="B3742" s="4" t="s">
        <v>4896</v>
      </c>
    </row>
    <row r="3743" ht="15.75" customHeight="1">
      <c r="A3743" s="4">
        <v>1401008.0</v>
      </c>
      <c r="B3743" s="4" t="s">
        <v>4897</v>
      </c>
    </row>
    <row r="3744" ht="15.75" customHeight="1">
      <c r="A3744" s="4">
        <v>1401009.0</v>
      </c>
      <c r="B3744" s="4" t="s">
        <v>4898</v>
      </c>
    </row>
    <row r="3745" ht="15.75" customHeight="1">
      <c r="A3745" s="4">
        <v>1401010.0</v>
      </c>
      <c r="B3745" s="4" t="s">
        <v>4899</v>
      </c>
    </row>
    <row r="3746" ht="15.75" customHeight="1">
      <c r="A3746" s="4">
        <v>1401011.0</v>
      </c>
      <c r="B3746" s="4" t="s">
        <v>4900</v>
      </c>
    </row>
    <row r="3747" ht="15.75" customHeight="1">
      <c r="A3747" s="4">
        <v>1401012.0</v>
      </c>
      <c r="B3747" s="4" t="s">
        <v>4901</v>
      </c>
    </row>
    <row r="3748" ht="15.75" customHeight="1">
      <c r="A3748" s="4">
        <v>1401013.0</v>
      </c>
      <c r="B3748" s="4" t="s">
        <v>4902</v>
      </c>
    </row>
    <row r="3749" ht="15.75" customHeight="1">
      <c r="A3749" s="4">
        <v>1401014.0</v>
      </c>
      <c r="B3749" s="4" t="s">
        <v>4903</v>
      </c>
    </row>
    <row r="3750" ht="15.75" customHeight="1">
      <c r="A3750" s="4">
        <v>1401015.0</v>
      </c>
      <c r="B3750" s="4" t="s">
        <v>4904</v>
      </c>
    </row>
    <row r="3751" ht="15.75" customHeight="1">
      <c r="A3751" s="4">
        <v>1401016.0</v>
      </c>
      <c r="B3751" s="4" t="s">
        <v>3785</v>
      </c>
    </row>
    <row r="3752" ht="15.75" customHeight="1">
      <c r="A3752" s="4">
        <v>1401017.0</v>
      </c>
      <c r="B3752" s="4" t="s">
        <v>4905</v>
      </c>
    </row>
    <row r="3753" ht="15.75" customHeight="1">
      <c r="A3753" s="4">
        <v>1401018.0</v>
      </c>
      <c r="B3753" s="4" t="s">
        <v>4906</v>
      </c>
    </row>
    <row r="3754" ht="15.75" customHeight="1">
      <c r="A3754" s="4">
        <v>1401019.0</v>
      </c>
      <c r="B3754" s="4" t="s">
        <v>4907</v>
      </c>
    </row>
    <row r="3755" ht="15.75" customHeight="1">
      <c r="A3755" s="4">
        <v>1401020.0</v>
      </c>
      <c r="B3755" s="4" t="s">
        <v>4908</v>
      </c>
    </row>
    <row r="3756" ht="15.75" customHeight="1">
      <c r="A3756" s="4">
        <v>1401021.0</v>
      </c>
      <c r="B3756" s="4" t="s">
        <v>4909</v>
      </c>
    </row>
    <row r="3757" ht="15.75" customHeight="1">
      <c r="A3757" s="4">
        <v>1401022.0</v>
      </c>
      <c r="B3757" s="4" t="s">
        <v>4910</v>
      </c>
    </row>
    <row r="3758" ht="15.75" customHeight="1">
      <c r="A3758" s="4">
        <v>1401023.0</v>
      </c>
      <c r="B3758" s="4" t="s">
        <v>4911</v>
      </c>
    </row>
    <row r="3759" ht="15.75" customHeight="1">
      <c r="A3759" s="4">
        <v>1401024.0</v>
      </c>
      <c r="B3759" s="4" t="s">
        <v>4912</v>
      </c>
    </row>
    <row r="3760" ht="15.75" customHeight="1">
      <c r="A3760" s="4">
        <v>1401025.0</v>
      </c>
      <c r="B3760" s="4" t="s">
        <v>4913</v>
      </c>
    </row>
    <row r="3761" ht="15.75" customHeight="1">
      <c r="A3761" s="4">
        <v>1401026.0</v>
      </c>
      <c r="B3761" s="4" t="s">
        <v>4914</v>
      </c>
    </row>
    <row r="3762" ht="15.75" customHeight="1">
      <c r="A3762" s="4">
        <v>1401027.0</v>
      </c>
      <c r="B3762" s="4" t="s">
        <v>4915</v>
      </c>
    </row>
    <row r="3763" ht="15.75" customHeight="1">
      <c r="A3763" s="4">
        <v>1401028.0</v>
      </c>
      <c r="B3763" s="4" t="s">
        <v>4916</v>
      </c>
    </row>
    <row r="3764" ht="15.75" customHeight="1">
      <c r="A3764" s="4">
        <v>1401029.0</v>
      </c>
      <c r="B3764" s="4" t="s">
        <v>4917</v>
      </c>
    </row>
    <row r="3765" ht="15.75" customHeight="1">
      <c r="A3765" s="4">
        <v>1401030.0</v>
      </c>
      <c r="B3765" s="4" t="s">
        <v>4918</v>
      </c>
    </row>
    <row r="3766" ht="15.75" customHeight="1">
      <c r="A3766" s="4">
        <v>1401031.0</v>
      </c>
      <c r="B3766" s="4" t="s">
        <v>4919</v>
      </c>
    </row>
    <row r="3767" ht="15.75" customHeight="1">
      <c r="A3767" s="4">
        <v>1401032.0</v>
      </c>
      <c r="B3767" s="4" t="s">
        <v>4920</v>
      </c>
    </row>
    <row r="3768" ht="15.75" customHeight="1">
      <c r="A3768" s="4">
        <v>1401033.0</v>
      </c>
      <c r="B3768" s="4" t="s">
        <v>4921</v>
      </c>
    </row>
    <row r="3769" ht="15.75" customHeight="1">
      <c r="A3769" s="4">
        <v>1401034.0</v>
      </c>
      <c r="B3769" s="4" t="s">
        <v>4922</v>
      </c>
    </row>
    <row r="3770" ht="15.75" customHeight="1">
      <c r="A3770" s="4">
        <v>1401035.0</v>
      </c>
      <c r="B3770" s="4" t="s">
        <v>4923</v>
      </c>
    </row>
    <row r="3771" ht="15.75" customHeight="1">
      <c r="A3771" s="4">
        <v>1401036.0</v>
      </c>
      <c r="B3771" s="4" t="s">
        <v>4924</v>
      </c>
    </row>
    <row r="3772" ht="15.75" customHeight="1">
      <c r="A3772" s="4">
        <v>1401037.0</v>
      </c>
      <c r="B3772" s="4" t="s">
        <v>4925</v>
      </c>
    </row>
    <row r="3773" ht="15.75" customHeight="1">
      <c r="A3773" s="4">
        <v>1401038.0</v>
      </c>
      <c r="B3773" s="4" t="s">
        <v>4926</v>
      </c>
    </row>
    <row r="3774" ht="15.75" customHeight="1">
      <c r="A3774" s="4">
        <v>1401039.0</v>
      </c>
      <c r="B3774" s="4" t="s">
        <v>4927</v>
      </c>
    </row>
    <row r="3775" ht="15.75" customHeight="1">
      <c r="A3775" s="4">
        <v>1401040.0</v>
      </c>
      <c r="B3775" s="4" t="s">
        <v>4928</v>
      </c>
    </row>
    <row r="3776" ht="15.75" customHeight="1">
      <c r="A3776" s="4">
        <v>1401041.0</v>
      </c>
      <c r="B3776" s="4" t="s">
        <v>4929</v>
      </c>
    </row>
    <row r="3777" ht="15.75" customHeight="1">
      <c r="A3777" s="4">
        <v>1401042.0</v>
      </c>
      <c r="B3777" s="4" t="s">
        <v>4930</v>
      </c>
    </row>
    <row r="3778" ht="15.75" customHeight="1">
      <c r="A3778" s="4">
        <v>1401043.0</v>
      </c>
      <c r="B3778" s="4" t="s">
        <v>4931</v>
      </c>
    </row>
    <row r="3779" ht="15.75" customHeight="1">
      <c r="A3779" s="4">
        <v>1401044.0</v>
      </c>
      <c r="B3779" s="4" t="s">
        <v>4932</v>
      </c>
    </row>
    <row r="3780" ht="15.75" customHeight="1">
      <c r="A3780" s="4">
        <v>1401045.0</v>
      </c>
      <c r="B3780" s="4" t="s">
        <v>4933</v>
      </c>
    </row>
    <row r="3781" ht="15.75" customHeight="1">
      <c r="A3781" s="4">
        <v>1401046.0</v>
      </c>
      <c r="B3781" s="4" t="s">
        <v>4934</v>
      </c>
    </row>
    <row r="3782" ht="15.75" customHeight="1">
      <c r="A3782" s="4">
        <v>1401047.0</v>
      </c>
      <c r="B3782" s="4" t="s">
        <v>4935</v>
      </c>
    </row>
    <row r="3783" ht="15.75" customHeight="1">
      <c r="A3783" s="4">
        <v>1401048.0</v>
      </c>
      <c r="B3783" s="4" t="s">
        <v>4936</v>
      </c>
    </row>
    <row r="3784" ht="15.75" customHeight="1">
      <c r="A3784" s="4">
        <v>1401049.0</v>
      </c>
      <c r="B3784" s="4" t="s">
        <v>4937</v>
      </c>
    </row>
    <row r="3785" ht="15.75" customHeight="1">
      <c r="A3785" s="4">
        <v>1401050.0</v>
      </c>
      <c r="B3785" s="4" t="s">
        <v>4938</v>
      </c>
    </row>
    <row r="3786" ht="15.75" customHeight="1">
      <c r="A3786" s="4">
        <v>1401051.0</v>
      </c>
      <c r="B3786" s="4" t="s">
        <v>4939</v>
      </c>
    </row>
    <row r="3787" ht="15.75" customHeight="1">
      <c r="A3787" s="4">
        <v>1401052.0</v>
      </c>
      <c r="B3787" s="4" t="s">
        <v>4940</v>
      </c>
    </row>
    <row r="3788" ht="15.75" customHeight="1">
      <c r="A3788" s="4">
        <v>1401053.0</v>
      </c>
      <c r="B3788" s="4" t="s">
        <v>4941</v>
      </c>
    </row>
    <row r="3789" ht="15.75" customHeight="1">
      <c r="A3789" s="4">
        <v>1401054.0</v>
      </c>
      <c r="B3789" s="4" t="s">
        <v>4942</v>
      </c>
    </row>
    <row r="3790" ht="15.75" customHeight="1">
      <c r="A3790" s="4">
        <v>1401055.0</v>
      </c>
      <c r="B3790" s="4" t="s">
        <v>4943</v>
      </c>
    </row>
    <row r="3791" ht="15.75" customHeight="1">
      <c r="A3791" s="4">
        <v>1401056.0</v>
      </c>
      <c r="B3791" s="4" t="s">
        <v>4944</v>
      </c>
    </row>
    <row r="3792" ht="15.75" customHeight="1">
      <c r="A3792" s="4">
        <v>1401057.0</v>
      </c>
      <c r="B3792" s="4" t="s">
        <v>4945</v>
      </c>
    </row>
    <row r="3793" ht="15.75" customHeight="1">
      <c r="A3793" s="4">
        <v>1401058.0</v>
      </c>
      <c r="B3793" s="4" t="s">
        <v>4946</v>
      </c>
    </row>
    <row r="3794" ht="15.75" customHeight="1">
      <c r="A3794" s="4">
        <v>1401059.0</v>
      </c>
      <c r="B3794" s="4" t="s">
        <v>4947</v>
      </c>
    </row>
    <row r="3795" ht="15.75" customHeight="1">
      <c r="A3795" s="4">
        <v>1401060.0</v>
      </c>
      <c r="B3795" s="4" t="s">
        <v>4948</v>
      </c>
    </row>
    <row r="3796" ht="15.75" customHeight="1">
      <c r="A3796" s="4">
        <v>1401061.0</v>
      </c>
      <c r="B3796" s="4" t="s">
        <v>4949</v>
      </c>
    </row>
    <row r="3797" ht="15.75" customHeight="1">
      <c r="A3797" s="4">
        <v>1401062.0</v>
      </c>
      <c r="B3797" s="4" t="s">
        <v>4950</v>
      </c>
    </row>
    <row r="3798" ht="15.75" customHeight="1">
      <c r="A3798" s="4">
        <v>1401063.0</v>
      </c>
      <c r="B3798" s="4" t="s">
        <v>4951</v>
      </c>
    </row>
    <row r="3799" ht="15.75" customHeight="1">
      <c r="A3799" s="4">
        <v>1401064.0</v>
      </c>
      <c r="B3799" s="4" t="s">
        <v>4952</v>
      </c>
    </row>
    <row r="3800" ht="15.75" customHeight="1">
      <c r="A3800" s="4">
        <v>1401065.0</v>
      </c>
      <c r="B3800" s="4" t="s">
        <v>4953</v>
      </c>
    </row>
    <row r="3801" ht="15.75" customHeight="1">
      <c r="A3801" s="4">
        <v>1401066.0</v>
      </c>
      <c r="B3801" s="4" t="s">
        <v>4954</v>
      </c>
    </row>
    <row r="3802" ht="15.75" customHeight="1">
      <c r="A3802" s="4">
        <v>1401067.0</v>
      </c>
      <c r="B3802" s="4" t="s">
        <v>4955</v>
      </c>
    </row>
    <row r="3803" ht="15.75" customHeight="1">
      <c r="A3803" s="4">
        <v>1401068.0</v>
      </c>
      <c r="B3803" s="4" t="s">
        <v>4956</v>
      </c>
    </row>
    <row r="3804" ht="15.75" customHeight="1">
      <c r="A3804" s="4">
        <v>1401069.0</v>
      </c>
      <c r="B3804" s="4" t="s">
        <v>4957</v>
      </c>
    </row>
    <row r="3805" ht="15.75" customHeight="1">
      <c r="A3805" s="4">
        <v>1401070.0</v>
      </c>
      <c r="B3805" s="4" t="s">
        <v>4958</v>
      </c>
    </row>
    <row r="3806" ht="15.75" customHeight="1">
      <c r="A3806" s="4">
        <v>1401071.0</v>
      </c>
      <c r="B3806" s="4" t="s">
        <v>4959</v>
      </c>
    </row>
    <row r="3807" ht="15.75" customHeight="1">
      <c r="A3807" s="4">
        <v>1401072.0</v>
      </c>
      <c r="B3807" s="4" t="s">
        <v>4960</v>
      </c>
    </row>
    <row r="3808" ht="15.75" customHeight="1">
      <c r="A3808" s="4">
        <v>1401073.0</v>
      </c>
      <c r="B3808" s="4" t="s">
        <v>4961</v>
      </c>
    </row>
    <row r="3809" ht="15.75" customHeight="1">
      <c r="A3809" s="4">
        <v>1401074.0</v>
      </c>
      <c r="B3809" s="4" t="s">
        <v>4962</v>
      </c>
    </row>
    <row r="3810" ht="15.75" customHeight="1">
      <c r="A3810" s="4">
        <v>1401075.0</v>
      </c>
      <c r="B3810" s="4" t="s">
        <v>4964</v>
      </c>
    </row>
    <row r="3811" ht="15.75" customHeight="1">
      <c r="A3811" s="4">
        <v>1401076.0</v>
      </c>
      <c r="B3811" s="4" t="s">
        <v>4966</v>
      </c>
    </row>
    <row r="3812" ht="15.75" customHeight="1">
      <c r="A3812" s="4">
        <v>1401077.0</v>
      </c>
      <c r="B3812" s="4" t="s">
        <v>4967</v>
      </c>
    </row>
    <row r="3813" ht="15.75" customHeight="1">
      <c r="A3813" s="4">
        <v>1401078.0</v>
      </c>
      <c r="B3813" s="4" t="s">
        <v>4968</v>
      </c>
    </row>
    <row r="3814" ht="15.75" customHeight="1">
      <c r="A3814" s="4">
        <v>1401079.0</v>
      </c>
      <c r="B3814" s="4" t="s">
        <v>4969</v>
      </c>
    </row>
    <row r="3815" ht="15.75" customHeight="1">
      <c r="A3815" s="4">
        <v>1401080.0</v>
      </c>
      <c r="B3815" s="4" t="s">
        <v>4970</v>
      </c>
    </row>
    <row r="3816" ht="15.75" customHeight="1">
      <c r="A3816" s="4">
        <v>1401081.0</v>
      </c>
      <c r="B3816" s="4" t="s">
        <v>4971</v>
      </c>
    </row>
    <row r="3817" ht="15.75" customHeight="1">
      <c r="A3817" s="4">
        <v>1401082.0</v>
      </c>
      <c r="B3817" s="4" t="s">
        <v>4972</v>
      </c>
    </row>
    <row r="3818" ht="15.75" customHeight="1">
      <c r="A3818" s="4">
        <v>1401083.0</v>
      </c>
      <c r="B3818" s="4" t="s">
        <v>4973</v>
      </c>
    </row>
    <row r="3819" ht="15.75" customHeight="1">
      <c r="A3819" s="4">
        <v>1401084.0</v>
      </c>
      <c r="B3819" s="4" t="s">
        <v>4974</v>
      </c>
    </row>
    <row r="3820" ht="15.75" customHeight="1">
      <c r="A3820" s="4">
        <v>1401085.0</v>
      </c>
      <c r="B3820" s="4" t="s">
        <v>4975</v>
      </c>
    </row>
    <row r="3821" ht="15.75" customHeight="1">
      <c r="A3821" s="4">
        <v>1401086.0</v>
      </c>
      <c r="B3821" s="4" t="s">
        <v>4976</v>
      </c>
    </row>
    <row r="3822" ht="15.75" customHeight="1">
      <c r="A3822" s="4">
        <v>1401087.0</v>
      </c>
      <c r="B3822" s="4" t="s">
        <v>4977</v>
      </c>
    </row>
    <row r="3823" ht="15.75" customHeight="1">
      <c r="A3823" s="4">
        <v>1401088.0</v>
      </c>
      <c r="B3823" s="4" t="s">
        <v>4978</v>
      </c>
    </row>
    <row r="3824" ht="15.75" customHeight="1">
      <c r="A3824" s="4">
        <v>1401089.0</v>
      </c>
      <c r="B3824" s="4" t="s">
        <v>4979</v>
      </c>
    </row>
    <row r="3825" ht="15.75" customHeight="1">
      <c r="A3825" s="4">
        <v>1401090.0</v>
      </c>
      <c r="B3825" s="4" t="s">
        <v>4980</v>
      </c>
    </row>
    <row r="3826" ht="15.75" customHeight="1">
      <c r="A3826" s="4">
        <v>1401091.0</v>
      </c>
      <c r="B3826" s="4" t="s">
        <v>4981</v>
      </c>
    </row>
    <row r="3827" ht="15.75" customHeight="1">
      <c r="A3827" s="4">
        <v>1401092.0</v>
      </c>
      <c r="B3827" s="4" t="s">
        <v>4982</v>
      </c>
    </row>
    <row r="3828" ht="15.75" customHeight="1">
      <c r="A3828" s="4">
        <v>1401093.0</v>
      </c>
      <c r="B3828" s="4" t="s">
        <v>4983</v>
      </c>
    </row>
    <row r="3829" ht="15.75" customHeight="1">
      <c r="A3829" s="4">
        <v>1401094.0</v>
      </c>
      <c r="B3829" s="4" t="s">
        <v>4984</v>
      </c>
    </row>
    <row r="3830" ht="15.75" customHeight="1">
      <c r="A3830" s="4">
        <v>1401095.0</v>
      </c>
      <c r="B3830" s="4" t="s">
        <v>4985</v>
      </c>
    </row>
    <row r="3831" ht="15.75" customHeight="1">
      <c r="A3831" s="4">
        <v>1401096.0</v>
      </c>
      <c r="B3831" s="4" t="s">
        <v>4986</v>
      </c>
    </row>
    <row r="3832" ht="15.75" customHeight="1">
      <c r="A3832" s="4">
        <v>1401097.0</v>
      </c>
      <c r="B3832" s="4" t="s">
        <v>4987</v>
      </c>
    </row>
    <row r="3833" ht="15.75" customHeight="1">
      <c r="A3833" s="4">
        <v>1401098.0</v>
      </c>
      <c r="B3833" s="4" t="s">
        <v>4988</v>
      </c>
    </row>
    <row r="3834" ht="15.75" customHeight="1">
      <c r="A3834" s="4">
        <v>1401099.0</v>
      </c>
      <c r="B3834" s="4" t="s">
        <v>4989</v>
      </c>
    </row>
    <row r="3835" ht="15.75" customHeight="1">
      <c r="A3835" s="4">
        <v>1401100.0</v>
      </c>
      <c r="B3835" s="4" t="s">
        <v>4990</v>
      </c>
    </row>
    <row r="3836" ht="15.75" customHeight="1">
      <c r="A3836" s="4">
        <v>1401101.0</v>
      </c>
      <c r="B3836" s="4" t="s">
        <v>4991</v>
      </c>
    </row>
    <row r="3837" ht="15.75" customHeight="1">
      <c r="A3837" s="4">
        <v>1401102.0</v>
      </c>
      <c r="B3837" s="4" t="s">
        <v>4992</v>
      </c>
    </row>
    <row r="3838" ht="15.75" customHeight="1">
      <c r="A3838" s="4">
        <v>1401103.0</v>
      </c>
      <c r="B3838" s="4" t="s">
        <v>4993</v>
      </c>
    </row>
    <row r="3839" ht="15.75" customHeight="1">
      <c r="A3839" s="4">
        <v>2000001.0</v>
      </c>
      <c r="B3839" s="4" t="s">
        <v>4994</v>
      </c>
    </row>
    <row r="3840" ht="15.75" customHeight="1">
      <c r="A3840" s="4">
        <v>2000002.0</v>
      </c>
      <c r="B3840" s="4" t="s">
        <v>4995</v>
      </c>
    </row>
    <row r="3841" ht="15.75" customHeight="1">
      <c r="A3841" s="4">
        <v>2000003.0</v>
      </c>
      <c r="B3841" s="4" t="s">
        <v>4996</v>
      </c>
    </row>
    <row r="3842" ht="15.75" customHeight="1">
      <c r="A3842" s="4">
        <v>2000004.0</v>
      </c>
      <c r="B3842" s="4" t="s">
        <v>4997</v>
      </c>
    </row>
    <row r="3843" ht="15.75" customHeight="1">
      <c r="A3843" s="4">
        <v>2000005.0</v>
      </c>
      <c r="B3843" s="4" t="s">
        <v>4998</v>
      </c>
    </row>
    <row r="3844" ht="15.75" customHeight="1">
      <c r="A3844" s="4">
        <v>2001001.0</v>
      </c>
      <c r="B3844" s="4" t="s">
        <v>4999</v>
      </c>
    </row>
    <row r="3845" ht="15.75" customHeight="1">
      <c r="A3845" s="4">
        <v>2001002.0</v>
      </c>
      <c r="B3845" s="4" t="s">
        <v>5000</v>
      </c>
    </row>
    <row r="3846" ht="15.75" customHeight="1">
      <c r="A3846" s="4">
        <v>2001003.0</v>
      </c>
      <c r="B3846" s="4" t="s">
        <v>5002</v>
      </c>
    </row>
    <row r="3847" ht="15.75" customHeight="1">
      <c r="A3847" s="4">
        <v>2002001.0</v>
      </c>
      <c r="B3847" s="4" t="s">
        <v>5003</v>
      </c>
    </row>
    <row r="3848" ht="15.75" customHeight="1">
      <c r="A3848" s="4">
        <v>2002002.0</v>
      </c>
      <c r="B3848" s="4" t="s">
        <v>5004</v>
      </c>
    </row>
    <row r="3849" ht="15.75" customHeight="1">
      <c r="A3849" s="4">
        <v>2003001.0</v>
      </c>
      <c r="B3849" s="4" t="s">
        <v>5006</v>
      </c>
    </row>
    <row r="3850" ht="15.75" customHeight="1">
      <c r="A3850" s="4">
        <v>2003002.0</v>
      </c>
      <c r="B3850" s="4" t="s">
        <v>5008</v>
      </c>
    </row>
    <row r="3851" ht="15.75" customHeight="1">
      <c r="A3851" s="4">
        <v>2005001.0</v>
      </c>
      <c r="B3851" s="4" t="s">
        <v>5010</v>
      </c>
    </row>
    <row r="3852" ht="15.75" customHeight="1">
      <c r="A3852" s="4">
        <v>2006001.0</v>
      </c>
      <c r="B3852" s="4" t="s">
        <v>5012</v>
      </c>
    </row>
    <row r="3853" ht="15.75" customHeight="1">
      <c r="A3853" s="4">
        <v>2006002.0</v>
      </c>
      <c r="B3853" s="4" t="s">
        <v>5014</v>
      </c>
    </row>
    <row r="3854" ht="15.75" customHeight="1">
      <c r="A3854" s="4">
        <v>2006003.0</v>
      </c>
      <c r="B3854" s="4" t="s">
        <v>5016</v>
      </c>
    </row>
    <row r="3855" ht="15.75" customHeight="1">
      <c r="A3855" s="4">
        <v>2006004.0</v>
      </c>
      <c r="B3855" s="4" t="s">
        <v>5017</v>
      </c>
    </row>
    <row r="3856" ht="15.75" customHeight="1">
      <c r="A3856" s="4">
        <v>2006005.0</v>
      </c>
      <c r="B3856" s="4" t="s">
        <v>5018</v>
      </c>
    </row>
    <row r="3857" ht="15.75" customHeight="1">
      <c r="A3857" s="4">
        <v>2006006.0</v>
      </c>
      <c r="B3857" s="4" t="s">
        <v>5019</v>
      </c>
    </row>
    <row r="3858" ht="15.75" customHeight="1">
      <c r="A3858" s="4">
        <v>2006007.0</v>
      </c>
      <c r="B3858" s="4" t="s">
        <v>5020</v>
      </c>
    </row>
    <row r="3859" ht="15.75" customHeight="1">
      <c r="A3859" s="4">
        <v>2006008.0</v>
      </c>
      <c r="B3859" s="4" t="s">
        <v>5021</v>
      </c>
    </row>
    <row r="3860" ht="15.75" customHeight="1">
      <c r="A3860" s="4">
        <v>2006009.0</v>
      </c>
      <c r="B3860" s="4" t="s">
        <v>5022</v>
      </c>
    </row>
    <row r="3861" ht="15.75" customHeight="1">
      <c r="A3861" s="4">
        <v>2008001.0</v>
      </c>
      <c r="B3861" s="4" t="s">
        <v>5023</v>
      </c>
    </row>
    <row r="3862" ht="15.75" customHeight="1">
      <c r="A3862" s="4">
        <v>2008002.0</v>
      </c>
      <c r="B3862" s="4" t="s">
        <v>5024</v>
      </c>
    </row>
    <row r="3863" ht="15.75" customHeight="1">
      <c r="A3863" s="4">
        <v>2008003.0</v>
      </c>
      <c r="B3863" s="4" t="s">
        <v>5025</v>
      </c>
    </row>
    <row r="3864" ht="15.75" customHeight="1">
      <c r="A3864" s="4">
        <v>2008004.0</v>
      </c>
      <c r="B3864" s="4" t="s">
        <v>5026</v>
      </c>
    </row>
    <row r="3865" ht="15.75" customHeight="1">
      <c r="A3865" s="4">
        <v>2009001.0</v>
      </c>
      <c r="B3865" s="4" t="s">
        <v>5027</v>
      </c>
    </row>
    <row r="3866" ht="15.75" customHeight="1">
      <c r="A3866" s="4">
        <v>2009002.0</v>
      </c>
      <c r="B3866" s="4" t="s">
        <v>5028</v>
      </c>
    </row>
    <row r="3867" ht="15.75" customHeight="1">
      <c r="A3867" s="4">
        <v>2010001.0</v>
      </c>
      <c r="B3867" s="4" t="s">
        <v>5029</v>
      </c>
    </row>
    <row r="3868" ht="15.75" customHeight="1">
      <c r="A3868" s="4">
        <v>2011001.0</v>
      </c>
      <c r="B3868" s="4" t="s">
        <v>5030</v>
      </c>
    </row>
    <row r="3869" ht="15.75" customHeight="1">
      <c r="A3869" s="4">
        <v>2012001.0</v>
      </c>
      <c r="B3869" s="4" t="s">
        <v>5031</v>
      </c>
    </row>
    <row r="3870" ht="15.75" customHeight="1">
      <c r="A3870" s="4">
        <v>2012002.0</v>
      </c>
      <c r="B3870" s="4" t="s">
        <v>5032</v>
      </c>
    </row>
    <row r="3871" ht="15.75" customHeight="1">
      <c r="A3871" s="4">
        <v>2012003.0</v>
      </c>
      <c r="B3871" s="4" t="s">
        <v>5033</v>
      </c>
    </row>
    <row r="3872" ht="15.75" customHeight="1">
      <c r="A3872" s="4">
        <v>2013001.0</v>
      </c>
      <c r="B3872" s="4" t="s">
        <v>5034</v>
      </c>
    </row>
    <row r="3873" ht="15.75" customHeight="1">
      <c r="A3873" s="4">
        <v>2013002.0</v>
      </c>
      <c r="B3873" s="4" t="s">
        <v>5035</v>
      </c>
    </row>
    <row r="3874" ht="15.75" customHeight="1">
      <c r="A3874" s="4">
        <v>2014001.0</v>
      </c>
      <c r="B3874" s="4" t="s">
        <v>5036</v>
      </c>
    </row>
    <row r="3875" ht="15.75" customHeight="1">
      <c r="A3875" s="4">
        <v>2014002.0</v>
      </c>
      <c r="B3875" s="4" t="s">
        <v>5037</v>
      </c>
    </row>
    <row r="3876" ht="15.75" customHeight="1">
      <c r="A3876" s="4">
        <v>2014003.0</v>
      </c>
      <c r="B3876" s="4" t="s">
        <v>5038</v>
      </c>
    </row>
    <row r="3877" ht="15.75" customHeight="1">
      <c r="A3877" s="4">
        <v>2014004.0</v>
      </c>
      <c r="B3877" s="4" t="s">
        <v>5039</v>
      </c>
    </row>
    <row r="3878" ht="15.75" customHeight="1">
      <c r="A3878" s="4">
        <v>2015001.0</v>
      </c>
      <c r="B3878" s="4" t="s">
        <v>5040</v>
      </c>
    </row>
    <row r="3879" ht="15.75" customHeight="1">
      <c r="A3879" s="4">
        <v>2015002.0</v>
      </c>
      <c r="B3879" s="4" t="s">
        <v>5041</v>
      </c>
    </row>
    <row r="3880" ht="15.75" customHeight="1">
      <c r="A3880" s="4">
        <v>2015003.0</v>
      </c>
      <c r="B3880" s="4" t="s">
        <v>5042</v>
      </c>
    </row>
    <row r="3881" ht="15.75" customHeight="1">
      <c r="A3881" s="4">
        <v>2016001.0</v>
      </c>
      <c r="B3881" s="4" t="s">
        <v>5043</v>
      </c>
    </row>
    <row r="3882" ht="15.75" customHeight="1">
      <c r="A3882" s="4">
        <v>2018001.0</v>
      </c>
      <c r="B3882" s="4" t="s">
        <v>5044</v>
      </c>
    </row>
    <row r="3883" ht="15.75" customHeight="1">
      <c r="A3883" s="4">
        <v>2018002.0</v>
      </c>
      <c r="B3883" s="4" t="s">
        <v>5045</v>
      </c>
    </row>
    <row r="3884" ht="15.75" customHeight="1">
      <c r="A3884" s="4">
        <v>2018003.0</v>
      </c>
      <c r="B3884" s="4" t="s">
        <v>5046</v>
      </c>
    </row>
    <row r="3885" ht="15.75" customHeight="1">
      <c r="A3885" s="4">
        <v>2018004.0</v>
      </c>
      <c r="B3885" s="4" t="s">
        <v>5047</v>
      </c>
    </row>
    <row r="3886" ht="15.75" customHeight="1">
      <c r="A3886" s="4">
        <v>2018005.0</v>
      </c>
      <c r="B3886" s="4" t="s">
        <v>5048</v>
      </c>
    </row>
    <row r="3887" ht="15.75" customHeight="1">
      <c r="A3887" s="4">
        <v>2018006.0</v>
      </c>
      <c r="B3887" s="4" t="s">
        <v>5049</v>
      </c>
    </row>
    <row r="3888" ht="15.75" customHeight="1">
      <c r="A3888" s="4">
        <v>2019001.0</v>
      </c>
      <c r="B3888" s="4" t="s">
        <v>5050</v>
      </c>
    </row>
    <row r="3889" ht="15.75" customHeight="1">
      <c r="A3889" s="4">
        <v>2019002.0</v>
      </c>
      <c r="B3889" s="4" t="s">
        <v>5051</v>
      </c>
    </row>
    <row r="3890" ht="15.75" customHeight="1">
      <c r="A3890" s="4">
        <v>2019003.0</v>
      </c>
      <c r="B3890" s="4" t="s">
        <v>5052</v>
      </c>
    </row>
    <row r="3891" ht="15.75" customHeight="1">
      <c r="A3891" s="4">
        <v>2019004.0</v>
      </c>
      <c r="B3891" s="4" t="s">
        <v>5053</v>
      </c>
    </row>
    <row r="3892" ht="15.75" customHeight="1">
      <c r="A3892" s="4">
        <v>2020001.0</v>
      </c>
      <c r="B3892" s="4" t="s">
        <v>5054</v>
      </c>
    </row>
    <row r="3893" ht="15.75" customHeight="1">
      <c r="A3893" s="4">
        <v>2021001.0</v>
      </c>
      <c r="B3893" s="4" t="s">
        <v>5055</v>
      </c>
    </row>
    <row r="3894" ht="15.75" customHeight="1">
      <c r="A3894" s="4">
        <v>2022001.0</v>
      </c>
      <c r="B3894" s="4" t="s">
        <v>5056</v>
      </c>
    </row>
    <row r="3895" ht="15.75" customHeight="1">
      <c r="A3895" s="4">
        <v>2022002.0</v>
      </c>
      <c r="B3895" s="4" t="s">
        <v>5057</v>
      </c>
    </row>
    <row r="3896" ht="15.75" customHeight="1">
      <c r="A3896" s="4">
        <v>2022003.0</v>
      </c>
      <c r="B3896" s="4" t="s">
        <v>5058</v>
      </c>
    </row>
    <row r="3897" ht="15.75" customHeight="1">
      <c r="A3897" s="4">
        <v>2022004.0</v>
      </c>
      <c r="B3897" s="4" t="s">
        <v>5059</v>
      </c>
    </row>
    <row r="3898" ht="15.75" customHeight="1">
      <c r="A3898" s="4">
        <v>2022005.0</v>
      </c>
      <c r="B3898" s="4" t="s">
        <v>5060</v>
      </c>
    </row>
    <row r="3899" ht="15.75" customHeight="1">
      <c r="A3899" s="4">
        <v>2023001.0</v>
      </c>
      <c r="B3899" s="4" t="s">
        <v>5061</v>
      </c>
    </row>
    <row r="3900" ht="15.75" customHeight="1">
      <c r="A3900" s="4">
        <v>2023002.0</v>
      </c>
      <c r="B3900" s="4" t="s">
        <v>5062</v>
      </c>
    </row>
    <row r="3901" ht="15.75" customHeight="1">
      <c r="A3901" s="4">
        <v>2023003.0</v>
      </c>
      <c r="B3901" s="4" t="s">
        <v>5063</v>
      </c>
    </row>
    <row r="3902" ht="15.75" customHeight="1">
      <c r="A3902" s="4">
        <v>2024001.0</v>
      </c>
      <c r="B3902" s="4" t="s">
        <v>5064</v>
      </c>
    </row>
    <row r="3903" ht="15.75" customHeight="1">
      <c r="A3903" s="4">
        <v>2025001.0</v>
      </c>
      <c r="B3903" s="4" t="s">
        <v>5065</v>
      </c>
    </row>
    <row r="3904" ht="15.75" customHeight="1">
      <c r="A3904" s="4">
        <v>2025002.0</v>
      </c>
      <c r="B3904" s="4" t="s">
        <v>5066</v>
      </c>
    </row>
    <row r="3905" ht="15.75" customHeight="1">
      <c r="A3905" s="4">
        <v>2025003.0</v>
      </c>
      <c r="B3905" s="4" t="s">
        <v>5067</v>
      </c>
    </row>
    <row r="3906" ht="15.75" customHeight="1">
      <c r="A3906" s="4">
        <v>2025004.0</v>
      </c>
      <c r="B3906" s="4" t="s">
        <v>5068</v>
      </c>
    </row>
    <row r="3907" ht="15.75" customHeight="1">
      <c r="A3907" s="4">
        <v>2025005.0</v>
      </c>
      <c r="B3907" s="4" t="s">
        <v>5069</v>
      </c>
    </row>
    <row r="3908" ht="15.75" customHeight="1">
      <c r="A3908" s="4">
        <v>2025006.0</v>
      </c>
      <c r="B3908" s="4" t="s">
        <v>5070</v>
      </c>
    </row>
    <row r="3909" ht="15.75" customHeight="1">
      <c r="A3909" s="4">
        <v>2025007.0</v>
      </c>
      <c r="B3909" s="4" t="s">
        <v>5071</v>
      </c>
    </row>
    <row r="3910" ht="15.75" customHeight="1">
      <c r="A3910" s="4">
        <v>2025008.0</v>
      </c>
      <c r="B3910" s="4" t="s">
        <v>5072</v>
      </c>
    </row>
    <row r="3911" ht="15.75" customHeight="1">
      <c r="A3911" s="4">
        <v>2025009.0</v>
      </c>
      <c r="B3911" s="4" t="s">
        <v>5073</v>
      </c>
    </row>
    <row r="3912" ht="15.75" customHeight="1">
      <c r="A3912" s="4">
        <v>2027001.0</v>
      </c>
      <c r="B3912" s="4" t="s">
        <v>5074</v>
      </c>
    </row>
    <row r="3913" ht="15.75" customHeight="1">
      <c r="A3913" s="4">
        <v>2027002.0</v>
      </c>
      <c r="B3913" s="4" t="s">
        <v>5075</v>
      </c>
    </row>
    <row r="3914" ht="15.75" customHeight="1">
      <c r="A3914" s="4">
        <v>2027003.0</v>
      </c>
      <c r="B3914" s="4" t="s">
        <v>5076</v>
      </c>
    </row>
    <row r="3915" ht="15.75" customHeight="1">
      <c r="A3915" s="4">
        <v>2027004.0</v>
      </c>
      <c r="B3915" s="4" t="s">
        <v>5077</v>
      </c>
    </row>
    <row r="3916" ht="15.75" customHeight="1">
      <c r="A3916" s="4">
        <v>2027005.0</v>
      </c>
      <c r="B3916" s="4" t="s">
        <v>5078</v>
      </c>
    </row>
    <row r="3917" ht="15.75" customHeight="1">
      <c r="A3917" s="4">
        <v>2028001.0</v>
      </c>
      <c r="B3917" s="4" t="s">
        <v>5079</v>
      </c>
    </row>
    <row r="3918" ht="15.75" customHeight="1">
      <c r="A3918" s="4">
        <v>2029001.0</v>
      </c>
      <c r="B3918" s="4" t="s">
        <v>5080</v>
      </c>
    </row>
    <row r="3919" ht="15.75" customHeight="1">
      <c r="A3919" s="4">
        <v>2030001.0</v>
      </c>
      <c r="B3919" s="4" t="s">
        <v>5081</v>
      </c>
    </row>
    <row r="3920" ht="15.75" customHeight="1">
      <c r="A3920" s="4">
        <v>2031001.0</v>
      </c>
      <c r="B3920" s="4" t="s">
        <v>5082</v>
      </c>
    </row>
    <row r="3921" ht="15.75" customHeight="1">
      <c r="A3921" s="4">
        <v>2032001.0</v>
      </c>
      <c r="B3921" s="4" t="s">
        <v>5083</v>
      </c>
    </row>
    <row r="3922" ht="15.75" customHeight="1">
      <c r="A3922" s="4">
        <v>2033001.0</v>
      </c>
      <c r="B3922" s="4" t="s">
        <v>5084</v>
      </c>
    </row>
    <row r="3923" ht="15.75" customHeight="1">
      <c r="A3923" s="4">
        <v>2033002.0</v>
      </c>
      <c r="B3923" s="4" t="s">
        <v>5085</v>
      </c>
    </row>
    <row r="3924" ht="15.75" customHeight="1">
      <c r="A3924" s="4">
        <v>2033003.0</v>
      </c>
      <c r="B3924" s="4" t="s">
        <v>5087</v>
      </c>
    </row>
    <row r="3925" ht="15.75" customHeight="1">
      <c r="A3925" s="4">
        <v>2034001.0</v>
      </c>
      <c r="B3925" s="4" t="s">
        <v>5089</v>
      </c>
    </row>
    <row r="3926" ht="15.75" customHeight="1">
      <c r="A3926" s="4">
        <v>2035001.0</v>
      </c>
      <c r="B3926" s="4" t="s">
        <v>5090</v>
      </c>
    </row>
    <row r="3927" ht="15.75" customHeight="1">
      <c r="A3927" s="4">
        <v>2035002.0</v>
      </c>
      <c r="B3927" s="4" t="s">
        <v>5091</v>
      </c>
    </row>
    <row r="3928" ht="15.75" customHeight="1">
      <c r="A3928" s="4">
        <v>2036001.0</v>
      </c>
      <c r="B3928" s="4" t="s">
        <v>5092</v>
      </c>
    </row>
    <row r="3929" ht="15.75" customHeight="1">
      <c r="A3929" s="4">
        <v>2036002.0</v>
      </c>
      <c r="B3929" s="4" t="s">
        <v>5093</v>
      </c>
    </row>
    <row r="3930" ht="15.75" customHeight="1">
      <c r="A3930" s="4">
        <v>2037001.0</v>
      </c>
      <c r="B3930" s="4" t="s">
        <v>5094</v>
      </c>
    </row>
    <row r="3931" ht="15.75" customHeight="1">
      <c r="A3931" s="4">
        <v>2037002.0</v>
      </c>
      <c r="B3931" s="4" t="s">
        <v>5095</v>
      </c>
    </row>
    <row r="3932" ht="15.75" customHeight="1">
      <c r="A3932" s="4">
        <v>2038001.0</v>
      </c>
      <c r="B3932" s="4" t="s">
        <v>5096</v>
      </c>
    </row>
    <row r="3933" ht="15.75" customHeight="1">
      <c r="A3933" s="4">
        <v>2038002.0</v>
      </c>
      <c r="B3933" s="4" t="s">
        <v>5097</v>
      </c>
    </row>
    <row r="3934" ht="15.75" customHeight="1">
      <c r="A3934" s="4">
        <v>2038003.0</v>
      </c>
      <c r="B3934" s="4" t="s">
        <v>5098</v>
      </c>
    </row>
    <row r="3935" ht="15.75" customHeight="1">
      <c r="A3935" s="4">
        <v>2038004.0</v>
      </c>
      <c r="B3935" s="4" t="s">
        <v>5099</v>
      </c>
    </row>
    <row r="3936" ht="15.75" customHeight="1">
      <c r="A3936" s="4">
        <v>2039001.0</v>
      </c>
      <c r="B3936" s="4" t="s">
        <v>5100</v>
      </c>
    </row>
    <row r="3937" ht="15.75" customHeight="1">
      <c r="A3937" s="4">
        <v>2040001.0</v>
      </c>
      <c r="B3937" s="4" t="s">
        <v>5101</v>
      </c>
    </row>
    <row r="3938" ht="15.75" customHeight="1">
      <c r="A3938" s="4">
        <v>2041001.0</v>
      </c>
      <c r="B3938" s="4" t="s">
        <v>5102</v>
      </c>
    </row>
    <row r="3939" ht="15.75" customHeight="1">
      <c r="A3939" s="4">
        <v>2042001.0</v>
      </c>
      <c r="B3939" s="4" t="s">
        <v>5103</v>
      </c>
    </row>
    <row r="3940" ht="15.75" customHeight="1">
      <c r="A3940" s="4">
        <v>2042002.0</v>
      </c>
      <c r="B3940" s="4" t="s">
        <v>5104</v>
      </c>
    </row>
    <row r="3941" ht="15.75" customHeight="1">
      <c r="A3941" s="4">
        <v>2043001.0</v>
      </c>
      <c r="B3941" s="4" t="s">
        <v>5105</v>
      </c>
    </row>
    <row r="3942" ht="15.75" customHeight="1">
      <c r="A3942" s="4">
        <v>2043002.0</v>
      </c>
      <c r="B3942" s="4" t="s">
        <v>5106</v>
      </c>
    </row>
    <row r="3943" ht="15.75" customHeight="1">
      <c r="A3943" s="4">
        <v>2043003.0</v>
      </c>
      <c r="B3943" s="4" t="s">
        <v>5107</v>
      </c>
    </row>
    <row r="3944" ht="15.75" customHeight="1">
      <c r="A3944" s="4">
        <v>2043004.0</v>
      </c>
      <c r="B3944" s="4" t="s">
        <v>5108</v>
      </c>
    </row>
    <row r="3945" ht="15.75" customHeight="1">
      <c r="A3945" s="4">
        <v>2044001.0</v>
      </c>
      <c r="B3945" s="4" t="s">
        <v>5109</v>
      </c>
    </row>
    <row r="3946" ht="15.75" customHeight="1">
      <c r="A3946" s="4">
        <v>2045001.0</v>
      </c>
      <c r="B3946" s="4" t="s">
        <v>5111</v>
      </c>
    </row>
    <row r="3947" ht="15.75" customHeight="1">
      <c r="A3947" s="4">
        <v>2046001.0</v>
      </c>
      <c r="B3947" s="4" t="s">
        <v>5112</v>
      </c>
    </row>
    <row r="3948" ht="15.75" customHeight="1">
      <c r="A3948" s="4">
        <v>2047001.0</v>
      </c>
      <c r="B3948" s="4" t="s">
        <v>5113</v>
      </c>
    </row>
    <row r="3949" ht="15.75" customHeight="1">
      <c r="A3949" s="4">
        <v>2047002.0</v>
      </c>
      <c r="B3949" s="4" t="s">
        <v>5114</v>
      </c>
    </row>
    <row r="3950" ht="15.75" customHeight="1">
      <c r="A3950" s="4">
        <v>2047003.0</v>
      </c>
      <c r="B3950" s="4" t="s">
        <v>5115</v>
      </c>
    </row>
    <row r="3951" ht="15.75" customHeight="1">
      <c r="A3951" s="4">
        <v>2050001.0</v>
      </c>
      <c r="B3951" s="4" t="s">
        <v>5116</v>
      </c>
    </row>
    <row r="3952" ht="15.75" customHeight="1">
      <c r="A3952" s="4">
        <v>2050002.0</v>
      </c>
      <c r="B3952" s="4" t="s">
        <v>5117</v>
      </c>
    </row>
    <row r="3953" ht="15.75" customHeight="1">
      <c r="A3953" s="4">
        <v>2050003.0</v>
      </c>
      <c r="B3953" s="4" t="s">
        <v>5118</v>
      </c>
    </row>
    <row r="3954" ht="15.75" customHeight="1">
      <c r="A3954" s="4">
        <v>2051001.0</v>
      </c>
      <c r="B3954" s="4" t="s">
        <v>5119</v>
      </c>
    </row>
    <row r="3955" ht="15.75" customHeight="1">
      <c r="A3955" s="4">
        <v>2051002.0</v>
      </c>
      <c r="B3955" s="4" t="s">
        <v>5120</v>
      </c>
    </row>
    <row r="3956" ht="15.75" customHeight="1">
      <c r="A3956" s="4">
        <v>2051003.0</v>
      </c>
      <c r="B3956" s="4" t="s">
        <v>5121</v>
      </c>
    </row>
    <row r="3957" ht="15.75" customHeight="1">
      <c r="A3957" s="4">
        <v>2052001.0</v>
      </c>
      <c r="B3957" s="4" t="s">
        <v>5122</v>
      </c>
    </row>
    <row r="3958" ht="15.75" customHeight="1">
      <c r="A3958" s="4">
        <v>2053001.0</v>
      </c>
      <c r="B3958" s="4" t="s">
        <v>5123</v>
      </c>
    </row>
    <row r="3959" ht="15.75" customHeight="1">
      <c r="A3959" s="4">
        <v>2054001.0</v>
      </c>
      <c r="B3959" s="4" t="s">
        <v>5124</v>
      </c>
    </row>
    <row r="3960" ht="15.75" customHeight="1">
      <c r="A3960" s="4">
        <v>2054002.0</v>
      </c>
      <c r="B3960" s="4" t="s">
        <v>5125</v>
      </c>
    </row>
    <row r="3961" ht="15.75" customHeight="1">
      <c r="A3961" s="4">
        <v>2054003.0</v>
      </c>
      <c r="B3961" s="4" t="s">
        <v>5126</v>
      </c>
    </row>
    <row r="3962" ht="15.75" customHeight="1">
      <c r="A3962" s="4">
        <v>2054004.0</v>
      </c>
      <c r="B3962" s="4" t="s">
        <v>5127</v>
      </c>
    </row>
    <row r="3963" ht="15.75" customHeight="1">
      <c r="A3963" s="4">
        <v>2054005.0</v>
      </c>
      <c r="B3963" s="4" t="s">
        <v>5128</v>
      </c>
    </row>
    <row r="3964" ht="15.75" customHeight="1">
      <c r="A3964" s="4">
        <v>2054006.0</v>
      </c>
      <c r="B3964" s="4" t="s">
        <v>5129</v>
      </c>
    </row>
    <row r="3965" ht="15.75" customHeight="1">
      <c r="A3965" s="4">
        <v>2054007.0</v>
      </c>
      <c r="B3965" s="4" t="s">
        <v>5130</v>
      </c>
    </row>
    <row r="3966" ht="15.75" customHeight="1">
      <c r="A3966" s="4">
        <v>2054008.0</v>
      </c>
      <c r="B3966" s="4" t="s">
        <v>5131</v>
      </c>
    </row>
    <row r="3967" ht="15.75" customHeight="1">
      <c r="A3967" s="4">
        <v>2055001.0</v>
      </c>
      <c r="B3967" s="4" t="s">
        <v>5132</v>
      </c>
    </row>
    <row r="3968" ht="15.75" customHeight="1">
      <c r="A3968" s="4">
        <v>2055002.0</v>
      </c>
      <c r="B3968" s="4" t="s">
        <v>5133</v>
      </c>
    </row>
    <row r="3969" ht="15.75" customHeight="1">
      <c r="A3969" s="4">
        <v>2056001.0</v>
      </c>
      <c r="B3969" s="4" t="s">
        <v>5134</v>
      </c>
    </row>
    <row r="3970" ht="15.75" customHeight="1">
      <c r="A3970" s="4">
        <v>2057001.0</v>
      </c>
      <c r="B3970" s="4" t="s">
        <v>5135</v>
      </c>
    </row>
    <row r="3971" ht="15.75" customHeight="1">
      <c r="A3971" s="4">
        <v>2057002.0</v>
      </c>
      <c r="B3971" s="4" t="s">
        <v>5136</v>
      </c>
    </row>
    <row r="3972" ht="15.75" customHeight="1">
      <c r="A3972" s="4">
        <v>2057003.0</v>
      </c>
      <c r="B3972" s="4" t="s">
        <v>5137</v>
      </c>
    </row>
    <row r="3973" ht="15.75" customHeight="1">
      <c r="A3973" s="4">
        <v>2057004.0</v>
      </c>
      <c r="B3973" s="4" t="s">
        <v>5138</v>
      </c>
    </row>
    <row r="3974" ht="15.75" customHeight="1">
      <c r="A3974" s="4">
        <v>2057005.0</v>
      </c>
      <c r="B3974" s="4" t="s">
        <v>5139</v>
      </c>
    </row>
    <row r="3975" ht="15.75" customHeight="1">
      <c r="A3975" s="4">
        <v>2057006.0</v>
      </c>
      <c r="B3975" s="4" t="s">
        <v>5140</v>
      </c>
    </row>
    <row r="3976" ht="15.75" customHeight="1">
      <c r="A3976" s="4">
        <v>2057007.0</v>
      </c>
      <c r="B3976" s="4" t="s">
        <v>5141</v>
      </c>
    </row>
    <row r="3977" ht="15.75" customHeight="1">
      <c r="A3977" s="4">
        <v>2058001.0</v>
      </c>
      <c r="B3977" s="4" t="s">
        <v>5142</v>
      </c>
    </row>
    <row r="3978" ht="15.75" customHeight="1">
      <c r="A3978" s="4">
        <v>2058002.0</v>
      </c>
      <c r="B3978" s="4" t="s">
        <v>5143</v>
      </c>
    </row>
    <row r="3979" ht="15.75" customHeight="1">
      <c r="A3979" s="4">
        <v>2058003.0</v>
      </c>
      <c r="B3979" s="4" t="s">
        <v>5144</v>
      </c>
    </row>
    <row r="3980" ht="15.75" customHeight="1">
      <c r="A3980" s="4">
        <v>2058004.0</v>
      </c>
      <c r="B3980" s="4" t="s">
        <v>5145</v>
      </c>
    </row>
    <row r="3981" ht="15.75" customHeight="1">
      <c r="A3981" s="4">
        <v>2059001.0</v>
      </c>
      <c r="B3981" s="4" t="s">
        <v>5146</v>
      </c>
    </row>
    <row r="3982" ht="15.75" customHeight="1">
      <c r="A3982" s="4">
        <v>2059002.0</v>
      </c>
      <c r="B3982" s="4" t="s">
        <v>5147</v>
      </c>
    </row>
    <row r="3983" ht="15.75" customHeight="1">
      <c r="A3983" s="4">
        <v>2059003.0</v>
      </c>
      <c r="B3983" s="4" t="s">
        <v>5148</v>
      </c>
    </row>
    <row r="3984" ht="15.75" customHeight="1">
      <c r="A3984" s="4">
        <v>2060001.0</v>
      </c>
      <c r="B3984" s="4" t="s">
        <v>5149</v>
      </c>
    </row>
    <row r="3985" ht="15.75" customHeight="1">
      <c r="A3985" s="4">
        <v>2060002.0</v>
      </c>
      <c r="B3985" s="4" t="s">
        <v>5150</v>
      </c>
    </row>
    <row r="3986" ht="15.75" customHeight="1">
      <c r="A3986" s="4">
        <v>2060003.0</v>
      </c>
      <c r="B3986" s="4" t="s">
        <v>5151</v>
      </c>
    </row>
    <row r="3987" ht="15.75" customHeight="1">
      <c r="A3987" s="4">
        <v>2060004.0</v>
      </c>
      <c r="B3987" s="4" t="s">
        <v>5152</v>
      </c>
    </row>
    <row r="3988" ht="15.75" customHeight="1">
      <c r="A3988" s="4">
        <v>2060005.0</v>
      </c>
      <c r="B3988" s="4" t="s">
        <v>5153</v>
      </c>
    </row>
    <row r="3989" ht="15.75" customHeight="1">
      <c r="A3989" s="4">
        <v>2060006.0</v>
      </c>
      <c r="B3989" s="4" t="s">
        <v>5154</v>
      </c>
    </row>
    <row r="3990" ht="15.75" customHeight="1">
      <c r="A3990" s="4">
        <v>2060007.0</v>
      </c>
      <c r="B3990" s="4" t="s">
        <v>5155</v>
      </c>
    </row>
    <row r="3991" ht="15.75" customHeight="1">
      <c r="A3991" s="4">
        <v>2060008.0</v>
      </c>
      <c r="B3991" s="4" t="s">
        <v>5156</v>
      </c>
    </row>
    <row r="3992" ht="15.75" customHeight="1">
      <c r="A3992" s="4">
        <v>2060009.0</v>
      </c>
      <c r="B3992" s="4" t="s">
        <v>5157</v>
      </c>
    </row>
    <row r="3993" ht="15.75" customHeight="1">
      <c r="A3993" s="4">
        <v>2061001.0</v>
      </c>
      <c r="B3993" s="4" t="s">
        <v>5158</v>
      </c>
    </row>
    <row r="3994" ht="15.75" customHeight="1">
      <c r="A3994" s="4">
        <v>2061002.0</v>
      </c>
      <c r="B3994" s="4" t="s">
        <v>5159</v>
      </c>
    </row>
    <row r="3995" ht="15.75" customHeight="1">
      <c r="A3995" s="4">
        <v>2061003.0</v>
      </c>
      <c r="B3995" s="4" t="s">
        <v>5160</v>
      </c>
    </row>
    <row r="3996" ht="15.75" customHeight="1">
      <c r="A3996" s="4">
        <v>2061004.0</v>
      </c>
      <c r="B3996" s="4" t="s">
        <v>5161</v>
      </c>
    </row>
    <row r="3997" ht="15.75" customHeight="1">
      <c r="A3997" s="4">
        <v>2061005.0</v>
      </c>
      <c r="B3997" s="4" t="s">
        <v>5162</v>
      </c>
    </row>
    <row r="3998" ht="15.75" customHeight="1">
      <c r="A3998" s="4">
        <v>2061006.0</v>
      </c>
      <c r="B3998" s="4" t="s">
        <v>5163</v>
      </c>
    </row>
    <row r="3999" ht="15.75" customHeight="1">
      <c r="A3999" s="4">
        <v>2061007.0</v>
      </c>
      <c r="B3999" s="4" t="s">
        <v>5164</v>
      </c>
    </row>
    <row r="4000" ht="15.75" customHeight="1">
      <c r="A4000" s="4">
        <v>2062001.0</v>
      </c>
      <c r="B4000" s="4" t="s">
        <v>5165</v>
      </c>
    </row>
    <row r="4001" ht="15.75" customHeight="1">
      <c r="A4001" s="4">
        <v>2062002.0</v>
      </c>
      <c r="B4001" s="4" t="s">
        <v>5166</v>
      </c>
    </row>
    <row r="4002" ht="15.75" customHeight="1">
      <c r="A4002" s="4">
        <v>2063001.0</v>
      </c>
      <c r="B4002" s="4" t="s">
        <v>5167</v>
      </c>
    </row>
    <row r="4003" ht="15.75" customHeight="1">
      <c r="A4003" s="4">
        <v>2063002.0</v>
      </c>
      <c r="B4003" s="4" t="s">
        <v>5168</v>
      </c>
    </row>
    <row r="4004" ht="15.75" customHeight="1">
      <c r="A4004" s="4">
        <v>2063003.0</v>
      </c>
      <c r="B4004" s="4" t="s">
        <v>5169</v>
      </c>
    </row>
    <row r="4005" ht="15.75" customHeight="1">
      <c r="A4005" s="4">
        <v>2064001.0</v>
      </c>
      <c r="B4005" s="4" t="s">
        <v>5170</v>
      </c>
    </row>
    <row r="4006" ht="15.75" customHeight="1">
      <c r="A4006" s="4">
        <v>2064002.0</v>
      </c>
      <c r="B4006" s="4" t="s">
        <v>5171</v>
      </c>
    </row>
    <row r="4007" ht="15.75" customHeight="1">
      <c r="A4007" s="4">
        <v>2064003.0</v>
      </c>
      <c r="B4007" s="4" t="s">
        <v>5172</v>
      </c>
    </row>
    <row r="4008" ht="15.75" customHeight="1">
      <c r="A4008" s="4">
        <v>2064004.0</v>
      </c>
      <c r="B4008" s="4" t="s">
        <v>5173</v>
      </c>
    </row>
    <row r="4009" ht="15.75" customHeight="1">
      <c r="A4009" s="4">
        <v>2064005.0</v>
      </c>
      <c r="B4009" s="4" t="s">
        <v>5174</v>
      </c>
    </row>
    <row r="4010" ht="15.75" customHeight="1">
      <c r="A4010" s="4">
        <v>2065001.0</v>
      </c>
      <c r="B4010" s="4" t="s">
        <v>5175</v>
      </c>
    </row>
    <row r="4011" ht="15.75" customHeight="1">
      <c r="A4011" s="4">
        <v>2065002.0</v>
      </c>
      <c r="B4011" s="4" t="s">
        <v>5176</v>
      </c>
    </row>
    <row r="4012" ht="15.75" customHeight="1">
      <c r="A4012" s="4">
        <v>2065003.0</v>
      </c>
      <c r="B4012" s="4" t="s">
        <v>5177</v>
      </c>
    </row>
    <row r="4013" ht="15.75" customHeight="1">
      <c r="A4013" s="4">
        <v>2065004.0</v>
      </c>
      <c r="B4013" s="4" t="s">
        <v>5178</v>
      </c>
    </row>
    <row r="4014" ht="15.75" customHeight="1">
      <c r="A4014" s="4">
        <v>2066001.0</v>
      </c>
      <c r="B4014" s="4" t="s">
        <v>5179</v>
      </c>
    </row>
    <row r="4015" ht="15.75" customHeight="1">
      <c r="A4015" s="4">
        <v>2066002.0</v>
      </c>
      <c r="B4015" s="4" t="s">
        <v>5180</v>
      </c>
    </row>
    <row r="4016" ht="15.75" customHeight="1">
      <c r="A4016" s="4">
        <v>2067001.0</v>
      </c>
      <c r="B4016" s="4" t="s">
        <v>5181</v>
      </c>
    </row>
    <row r="4017" ht="15.75" customHeight="1">
      <c r="A4017" s="4">
        <v>2067002.0</v>
      </c>
      <c r="B4017" s="4" t="s">
        <v>5182</v>
      </c>
    </row>
    <row r="4018" ht="15.75" customHeight="1">
      <c r="A4018" s="4">
        <v>2067003.0</v>
      </c>
      <c r="B4018" s="4" t="s">
        <v>5183</v>
      </c>
    </row>
    <row r="4019" ht="15.75" customHeight="1">
      <c r="A4019" s="4">
        <v>2067004.0</v>
      </c>
      <c r="B4019" s="4" t="s">
        <v>5184</v>
      </c>
    </row>
    <row r="4020" ht="15.75" customHeight="1">
      <c r="A4020" s="4">
        <v>2067005.0</v>
      </c>
      <c r="B4020" s="4" t="s">
        <v>5185</v>
      </c>
    </row>
    <row r="4021" ht="15.75" customHeight="1">
      <c r="A4021" s="4">
        <v>2801001.0</v>
      </c>
      <c r="B4021" s="4" t="s">
        <v>5186</v>
      </c>
    </row>
    <row r="4022" ht="15.75" customHeight="1">
      <c r="A4022" s="4">
        <v>2801002.0</v>
      </c>
      <c r="B4022" s="4" t="s">
        <v>5187</v>
      </c>
    </row>
    <row r="4023" ht="15.75" customHeight="1">
      <c r="A4023" s="4">
        <v>2802001.0</v>
      </c>
      <c r="B4023" s="4" t="s">
        <v>5188</v>
      </c>
    </row>
    <row r="4024" ht="15.75" customHeight="1">
      <c r="A4024" s="4">
        <v>2802002.0</v>
      </c>
      <c r="B4024" s="4" t="s">
        <v>5189</v>
      </c>
    </row>
    <row r="4025" ht="15.75" customHeight="1">
      <c r="A4025" s="4">
        <v>2803001.0</v>
      </c>
      <c r="B4025" s="4" t="s">
        <v>5190</v>
      </c>
    </row>
    <row r="4026" ht="15.75" customHeight="1">
      <c r="A4026" s="4">
        <v>2803002.0</v>
      </c>
      <c r="B4026" s="4" t="s">
        <v>5191</v>
      </c>
    </row>
    <row r="4027" ht="15.75" customHeight="1">
      <c r="A4027" s="4">
        <v>2803003.0</v>
      </c>
      <c r="B4027" s="4" t="s">
        <v>5192</v>
      </c>
    </row>
    <row r="4028" ht="15.75" customHeight="1">
      <c r="A4028" s="4">
        <v>2803004.0</v>
      </c>
      <c r="B4028" s="4" t="s">
        <v>5195</v>
      </c>
    </row>
    <row r="4029" ht="15.75" customHeight="1">
      <c r="A4029" s="4">
        <v>2803005.0</v>
      </c>
      <c r="B4029" s="4" t="s">
        <v>5196</v>
      </c>
    </row>
    <row r="4030" ht="15.75" customHeight="1">
      <c r="A4030" s="4">
        <v>2901001.0</v>
      </c>
      <c r="B4030" s="4" t="s">
        <v>5197</v>
      </c>
    </row>
    <row r="4031" ht="15.75" customHeight="1">
      <c r="A4031" s="4">
        <v>2901002.0</v>
      </c>
      <c r="B4031" s="4" t="s">
        <v>5198</v>
      </c>
    </row>
    <row r="4032" ht="15.75" customHeight="1">
      <c r="A4032" s="4">
        <v>2901003.0</v>
      </c>
      <c r="B4032" s="4" t="s">
        <v>5199</v>
      </c>
    </row>
    <row r="4033" ht="15.75" customHeight="1">
      <c r="A4033" s="4">
        <v>2901004.0</v>
      </c>
      <c r="B4033" s="4" t="s">
        <v>5200</v>
      </c>
    </row>
    <row r="4034" ht="15.75" customHeight="1">
      <c r="A4034" s="4">
        <v>2902001.0</v>
      </c>
      <c r="B4034" s="4" t="s">
        <v>5201</v>
      </c>
    </row>
    <row r="4035" ht="15.75" customHeight="1">
      <c r="A4035" s="4">
        <v>2902002.0</v>
      </c>
      <c r="B4035" s="4" t="s">
        <v>5202</v>
      </c>
    </row>
    <row r="4036" ht="15.75" customHeight="1">
      <c r="A4036" s="4">
        <v>2902003.0</v>
      </c>
      <c r="B4036" s="4" t="s">
        <v>5203</v>
      </c>
    </row>
    <row r="4037" ht="15.75" customHeight="1">
      <c r="A4037" s="4">
        <v>2902004.0</v>
      </c>
      <c r="B4037" s="4" t="s">
        <v>5204</v>
      </c>
    </row>
    <row r="4038" ht="15.75" customHeight="1">
      <c r="A4038" s="4">
        <v>2903001.0</v>
      </c>
      <c r="B4038" s="4" t="s">
        <v>5205</v>
      </c>
    </row>
    <row r="4039" ht="15.75" customHeight="1">
      <c r="A4039" s="4">
        <v>2903002.0</v>
      </c>
      <c r="B4039" s="4" t="s">
        <v>5206</v>
      </c>
    </row>
    <row r="4040" ht="15.75" customHeight="1">
      <c r="A4040" s="4">
        <v>2903003.0</v>
      </c>
      <c r="B4040" s="4" t="s">
        <v>5207</v>
      </c>
    </row>
    <row r="4041" ht="15.75" customHeight="1">
      <c r="A4041" s="4">
        <v>9000001.0</v>
      </c>
      <c r="B4041" s="4" t="s">
        <v>5208</v>
      </c>
    </row>
    <row r="4042" ht="15.75" customHeight="1">
      <c r="A4042" s="4">
        <v>9000002.0</v>
      </c>
      <c r="B4042" s="4" t="s">
        <v>5209</v>
      </c>
    </row>
    <row r="4043" ht="15.75" customHeight="1">
      <c r="A4043" s="4">
        <v>9000003.0</v>
      </c>
      <c r="B4043" s="4" t="s">
        <v>5210</v>
      </c>
    </row>
  </sheetData>
  <autoFilter ref="$A$1:$B$4043">
    <sortState ref="A1:B4043">
      <sortCondition ref="A1:A4043"/>
    </sortState>
  </autoFilter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0.0"/>
    <col customWidth="1" min="3" max="26" width="8.63"/>
  </cols>
  <sheetData>
    <row r="1">
      <c r="A1" s="2" t="s">
        <v>1</v>
      </c>
      <c r="B1" s="2" t="s">
        <v>8</v>
      </c>
    </row>
    <row r="2">
      <c r="A2" s="4">
        <v>1.0</v>
      </c>
      <c r="B2" s="4" t="s">
        <v>48</v>
      </c>
    </row>
    <row r="3">
      <c r="A3" s="4">
        <v>2.0</v>
      </c>
      <c r="B3" s="4" t="s">
        <v>51</v>
      </c>
    </row>
    <row r="4">
      <c r="A4" s="4">
        <v>3.0</v>
      </c>
      <c r="B4" s="4" t="s">
        <v>53</v>
      </c>
    </row>
    <row r="5">
      <c r="A5" s="4">
        <v>4.0</v>
      </c>
      <c r="B5" s="4" t="s">
        <v>56</v>
      </c>
    </row>
    <row r="6">
      <c r="A6" s="4">
        <v>5.0</v>
      </c>
      <c r="B6" s="4" t="s">
        <v>58</v>
      </c>
    </row>
    <row r="7">
      <c r="A7" s="4">
        <v>6.0</v>
      </c>
      <c r="B7" s="4" t="s">
        <v>60</v>
      </c>
    </row>
    <row r="8">
      <c r="A8" s="4">
        <v>7.0</v>
      </c>
      <c r="B8" s="4" t="s">
        <v>62</v>
      </c>
    </row>
    <row r="9">
      <c r="A9" s="4">
        <v>8.0</v>
      </c>
      <c r="B9" s="4" t="s">
        <v>65</v>
      </c>
    </row>
    <row r="10">
      <c r="A10" s="4">
        <v>9.0</v>
      </c>
      <c r="B10" s="4" t="s">
        <v>68</v>
      </c>
    </row>
    <row r="11">
      <c r="A11" s="4">
        <v>10.0</v>
      </c>
      <c r="B11" s="4" t="s">
        <v>70</v>
      </c>
    </row>
    <row r="12">
      <c r="A12" s="4">
        <v>11.0</v>
      </c>
      <c r="B12" s="4" t="s">
        <v>72</v>
      </c>
    </row>
    <row r="13">
      <c r="A13" s="4">
        <v>12.0</v>
      </c>
      <c r="B13" s="4" t="s">
        <v>74</v>
      </c>
    </row>
    <row r="14">
      <c r="A14" s="4">
        <v>13.0</v>
      </c>
      <c r="B14" s="4" t="s">
        <v>76</v>
      </c>
    </row>
    <row r="15">
      <c r="A15" s="4">
        <v>14.0</v>
      </c>
      <c r="B15" s="4" t="s">
        <v>78</v>
      </c>
    </row>
    <row r="16">
      <c r="A16" s="4">
        <v>15.0</v>
      </c>
      <c r="B16" s="4" t="s">
        <v>81</v>
      </c>
    </row>
    <row r="17">
      <c r="A17" s="4">
        <v>16.0</v>
      </c>
      <c r="B17" s="4" t="s">
        <v>82</v>
      </c>
    </row>
    <row r="18">
      <c r="A18" s="4">
        <v>17.0</v>
      </c>
      <c r="B18" s="4" t="s">
        <v>85</v>
      </c>
    </row>
    <row r="19">
      <c r="A19" s="4">
        <v>18.0</v>
      </c>
      <c r="B19" s="4" t="s">
        <v>87</v>
      </c>
    </row>
    <row r="20">
      <c r="A20" s="4">
        <v>19.0</v>
      </c>
      <c r="B20" s="4" t="s">
        <v>89</v>
      </c>
    </row>
    <row r="21" ht="15.75" customHeight="1">
      <c r="A21" s="4">
        <v>20.0</v>
      </c>
      <c r="B21" s="4" t="s">
        <v>91</v>
      </c>
    </row>
    <row r="22" ht="15.75" customHeight="1">
      <c r="A22" s="4">
        <v>21.0</v>
      </c>
      <c r="B22" s="4" t="s">
        <v>93</v>
      </c>
    </row>
    <row r="23" ht="15.75" customHeight="1">
      <c r="A23" s="4">
        <v>22.0</v>
      </c>
      <c r="B23" s="4" t="s">
        <v>96</v>
      </c>
    </row>
    <row r="24" ht="15.75" customHeight="1">
      <c r="A24" s="4">
        <v>23.0</v>
      </c>
      <c r="B24" s="4" t="s">
        <v>99</v>
      </c>
    </row>
    <row r="25" ht="15.75" customHeight="1">
      <c r="A25" s="4">
        <v>24.0</v>
      </c>
      <c r="B25" s="4" t="s">
        <v>102</v>
      </c>
    </row>
    <row r="26" ht="15.75" customHeight="1">
      <c r="A26" s="4">
        <v>25.0</v>
      </c>
      <c r="B26" s="4" t="s">
        <v>106</v>
      </c>
    </row>
    <row r="27" ht="15.75" customHeight="1">
      <c r="A27" s="4">
        <v>26.0</v>
      </c>
      <c r="B27" s="4" t="s">
        <v>109</v>
      </c>
    </row>
    <row r="28" ht="15.75" customHeight="1">
      <c r="A28" s="4">
        <v>27.0</v>
      </c>
      <c r="B28" s="4" t="s">
        <v>112</v>
      </c>
    </row>
    <row r="29" ht="15.75" customHeight="1">
      <c r="A29" s="4">
        <v>28.0</v>
      </c>
      <c r="B29" s="4" t="s">
        <v>124</v>
      </c>
    </row>
    <row r="30" ht="15.75" customHeight="1">
      <c r="A30" s="4">
        <v>29.0</v>
      </c>
      <c r="B30" s="4" t="s">
        <v>127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0.0"/>
    <col customWidth="1" min="3" max="3" width="14.0"/>
    <col customWidth="1" min="4" max="26" width="8.63"/>
  </cols>
  <sheetData>
    <row r="1">
      <c r="A1" s="2" t="s">
        <v>1</v>
      </c>
      <c r="B1" s="2" t="s">
        <v>8</v>
      </c>
      <c r="C1" s="2" t="s">
        <v>95</v>
      </c>
    </row>
    <row r="2">
      <c r="A2" s="4">
        <v>1.0</v>
      </c>
      <c r="B2" s="4" t="s">
        <v>98</v>
      </c>
      <c r="C2" s="4" t="s">
        <v>101</v>
      </c>
    </row>
    <row r="3">
      <c r="A3" s="4">
        <v>2.0</v>
      </c>
      <c r="B3" s="4" t="s">
        <v>104</v>
      </c>
      <c r="C3" s="4" t="s">
        <v>105</v>
      </c>
    </row>
    <row r="4">
      <c r="A4" s="4">
        <v>3.0</v>
      </c>
      <c r="B4" s="4" t="s">
        <v>108</v>
      </c>
      <c r="C4" s="4" t="s">
        <v>110</v>
      </c>
    </row>
    <row r="5">
      <c r="A5" s="4">
        <v>4.0</v>
      </c>
      <c r="B5" s="4" t="s">
        <v>113</v>
      </c>
      <c r="C5" s="4" t="s">
        <v>115</v>
      </c>
    </row>
    <row r="6">
      <c r="A6" s="4">
        <v>5.0</v>
      </c>
      <c r="B6" s="4" t="s">
        <v>116</v>
      </c>
      <c r="C6" s="4" t="s">
        <v>118</v>
      </c>
    </row>
    <row r="7">
      <c r="A7" s="4">
        <v>6.0</v>
      </c>
      <c r="B7" s="4" t="s">
        <v>120</v>
      </c>
      <c r="C7" s="4" t="s">
        <v>121</v>
      </c>
    </row>
    <row r="8">
      <c r="A8" s="4">
        <v>7.0</v>
      </c>
      <c r="B8" s="4" t="s">
        <v>123</v>
      </c>
      <c r="C8" s="4" t="s">
        <v>125</v>
      </c>
    </row>
    <row r="9">
      <c r="A9" s="4">
        <v>8.0</v>
      </c>
      <c r="B9" s="4" t="s">
        <v>128</v>
      </c>
      <c r="C9" s="4" t="s">
        <v>130</v>
      </c>
    </row>
    <row r="10">
      <c r="A10" s="4">
        <v>9.0</v>
      </c>
      <c r="B10" s="4" t="s">
        <v>132</v>
      </c>
      <c r="C10" s="4" t="s">
        <v>133</v>
      </c>
    </row>
    <row r="11">
      <c r="A11" s="4">
        <v>10.0</v>
      </c>
      <c r="B11" s="4" t="s">
        <v>135</v>
      </c>
      <c r="C11" s="4" t="s">
        <v>136</v>
      </c>
    </row>
    <row r="12">
      <c r="A12" s="4">
        <v>11.0</v>
      </c>
      <c r="B12" s="4" t="s">
        <v>138</v>
      </c>
      <c r="C12" s="4" t="s">
        <v>139</v>
      </c>
    </row>
    <row r="13">
      <c r="A13" s="4">
        <v>12.0</v>
      </c>
      <c r="B13" s="4" t="s">
        <v>141</v>
      </c>
      <c r="C13" s="4" t="s">
        <v>143</v>
      </c>
    </row>
    <row r="14">
      <c r="A14" s="4">
        <v>13.0</v>
      </c>
      <c r="B14" s="4" t="s">
        <v>120</v>
      </c>
      <c r="C14" s="4" t="s">
        <v>145</v>
      </c>
    </row>
    <row r="15">
      <c r="A15" s="4">
        <v>14.0</v>
      </c>
      <c r="B15" s="4" t="s">
        <v>147</v>
      </c>
      <c r="C15" s="4" t="s">
        <v>148</v>
      </c>
    </row>
    <row r="16">
      <c r="A16" s="4">
        <v>15.0</v>
      </c>
      <c r="B16" s="4" t="s">
        <v>150</v>
      </c>
      <c r="C16" s="4" t="s">
        <v>151</v>
      </c>
    </row>
    <row r="17">
      <c r="A17" s="4">
        <v>16.0</v>
      </c>
      <c r="B17" s="4" t="s">
        <v>152</v>
      </c>
      <c r="C17" s="4" t="s">
        <v>153</v>
      </c>
    </row>
    <row r="18">
      <c r="A18" s="4">
        <v>17.0</v>
      </c>
      <c r="B18" s="4" t="s">
        <v>154</v>
      </c>
      <c r="C18" s="4" t="s">
        <v>155</v>
      </c>
    </row>
    <row r="19">
      <c r="A19" s="4">
        <v>18.0</v>
      </c>
      <c r="B19" s="4" t="s">
        <v>156</v>
      </c>
      <c r="C19" s="4" t="s">
        <v>157</v>
      </c>
    </row>
    <row r="20">
      <c r="A20" s="4">
        <v>19.0</v>
      </c>
      <c r="B20" s="4" t="s">
        <v>158</v>
      </c>
      <c r="C20" s="4" t="s">
        <v>159</v>
      </c>
    </row>
    <row r="21" ht="15.75" customHeight="1">
      <c r="A21" s="4">
        <v>20.0</v>
      </c>
      <c r="B21" s="4" t="s">
        <v>160</v>
      </c>
      <c r="C21" s="4" t="s">
        <v>161</v>
      </c>
    </row>
    <row r="22" ht="15.75" customHeight="1">
      <c r="A22" s="4">
        <v>21.0</v>
      </c>
      <c r="B22" s="4" t="s">
        <v>162</v>
      </c>
      <c r="C22" s="4" t="s">
        <v>163</v>
      </c>
    </row>
    <row r="23" ht="15.75" customHeight="1">
      <c r="A23" s="4">
        <v>22.0</v>
      </c>
      <c r="B23" s="4" t="s">
        <v>164</v>
      </c>
      <c r="C23" s="4" t="s">
        <v>165</v>
      </c>
    </row>
    <row r="24" ht="15.75" customHeight="1">
      <c r="A24" s="4">
        <v>23.0</v>
      </c>
      <c r="B24" s="4" t="s">
        <v>166</v>
      </c>
      <c r="C24" s="4" t="s">
        <v>167</v>
      </c>
    </row>
    <row r="25" ht="15.75" customHeight="1">
      <c r="A25" s="4">
        <v>24.0</v>
      </c>
      <c r="B25" s="4" t="s">
        <v>168</v>
      </c>
      <c r="C25" s="4" t="s">
        <v>169</v>
      </c>
    </row>
    <row r="26" ht="15.75" customHeight="1">
      <c r="A26" s="4">
        <v>25.0</v>
      </c>
      <c r="B26" s="4" t="s">
        <v>170</v>
      </c>
      <c r="C26" s="4" t="s">
        <v>171</v>
      </c>
    </row>
    <row r="27" ht="15.75" customHeight="1">
      <c r="A27" s="4">
        <v>26.0</v>
      </c>
      <c r="B27" s="4" t="s">
        <v>172</v>
      </c>
      <c r="C27" s="4" t="s">
        <v>173</v>
      </c>
    </row>
    <row r="28" ht="15.75" customHeight="1">
      <c r="A28" s="4">
        <v>27.0</v>
      </c>
      <c r="B28" s="4" t="s">
        <v>175</v>
      </c>
      <c r="C28" s="4" t="s">
        <v>177</v>
      </c>
    </row>
    <row r="29" ht="15.75" customHeight="1">
      <c r="A29" s="4">
        <v>28.0</v>
      </c>
      <c r="B29" s="4" t="s">
        <v>179</v>
      </c>
      <c r="C29" s="4" t="s">
        <v>180</v>
      </c>
    </row>
    <row r="30" ht="15.75" customHeight="1">
      <c r="A30" s="4">
        <v>29.0</v>
      </c>
      <c r="B30" s="4" t="s">
        <v>182</v>
      </c>
      <c r="C30" s="4" t="s">
        <v>183</v>
      </c>
    </row>
    <row r="31" ht="15.75" customHeight="1">
      <c r="A31" s="4">
        <v>30.0</v>
      </c>
      <c r="B31" s="4" t="s">
        <v>185</v>
      </c>
      <c r="C31" s="4" t="s">
        <v>186</v>
      </c>
    </row>
    <row r="32" ht="15.75" customHeight="1">
      <c r="A32" s="4">
        <v>31.0</v>
      </c>
      <c r="B32" s="4" t="s">
        <v>188</v>
      </c>
      <c r="C32" s="4" t="s">
        <v>190</v>
      </c>
    </row>
    <row r="33" ht="15.75" customHeight="1">
      <c r="A33" s="4">
        <v>32.0</v>
      </c>
      <c r="B33" s="4" t="s">
        <v>192</v>
      </c>
      <c r="C33" s="4" t="s">
        <v>194</v>
      </c>
    </row>
    <row r="34" ht="15.75" customHeight="1">
      <c r="A34" s="4">
        <v>33.0</v>
      </c>
      <c r="B34" s="4" t="s">
        <v>196</v>
      </c>
      <c r="C34" s="4" t="s">
        <v>197</v>
      </c>
    </row>
    <row r="35" ht="15.75" customHeight="1">
      <c r="A35" s="4">
        <v>34.0</v>
      </c>
      <c r="B35" s="4" t="s">
        <v>199</v>
      </c>
      <c r="C35" s="4" t="s">
        <v>200</v>
      </c>
    </row>
    <row r="36" ht="15.75" customHeight="1">
      <c r="A36" s="4">
        <v>35.0</v>
      </c>
      <c r="B36" s="4" t="s">
        <v>202</v>
      </c>
      <c r="C36" s="4" t="s">
        <v>203</v>
      </c>
    </row>
    <row r="37" ht="15.75" customHeight="1">
      <c r="A37" s="4">
        <v>36.0</v>
      </c>
      <c r="B37" s="4" t="s">
        <v>205</v>
      </c>
      <c r="C37" s="4" t="s">
        <v>207</v>
      </c>
    </row>
    <row r="38" ht="15.75" customHeight="1">
      <c r="A38" s="4">
        <v>37.0</v>
      </c>
      <c r="B38" s="4" t="s">
        <v>209</v>
      </c>
      <c r="C38" s="4" t="s">
        <v>210</v>
      </c>
    </row>
    <row r="39" ht="15.75" customHeight="1">
      <c r="A39" s="4">
        <v>38.0</v>
      </c>
      <c r="B39" s="4" t="s">
        <v>108</v>
      </c>
      <c r="C39" s="4" t="s">
        <v>212</v>
      </c>
    </row>
    <row r="40" ht="15.75" customHeight="1">
      <c r="A40" s="4">
        <v>39.0</v>
      </c>
      <c r="B40" s="4" t="s">
        <v>214</v>
      </c>
      <c r="C40" s="4" t="s">
        <v>215</v>
      </c>
    </row>
    <row r="41" ht="15.75" customHeight="1">
      <c r="A41" s="4">
        <v>40.0</v>
      </c>
      <c r="B41" s="4" t="s">
        <v>217</v>
      </c>
      <c r="C41" s="4" t="s">
        <v>218</v>
      </c>
    </row>
    <row r="42" ht="15.75" customHeight="1">
      <c r="A42" s="4">
        <v>41.0</v>
      </c>
      <c r="B42" s="4" t="s">
        <v>128</v>
      </c>
      <c r="C42" s="4" t="s">
        <v>221</v>
      </c>
    </row>
    <row r="43" ht="15.75" customHeight="1">
      <c r="A43" s="4">
        <v>42.0</v>
      </c>
      <c r="B43" s="4" t="s">
        <v>223</v>
      </c>
      <c r="C43" s="4" t="s">
        <v>224</v>
      </c>
    </row>
    <row r="44" ht="15.75" customHeight="1">
      <c r="A44" s="4">
        <v>43.0</v>
      </c>
      <c r="B44" s="4" t="s">
        <v>226</v>
      </c>
      <c r="C44" s="4" t="s">
        <v>227</v>
      </c>
    </row>
    <row r="45" ht="15.75" customHeight="1">
      <c r="A45" s="4">
        <v>44.0</v>
      </c>
      <c r="B45" s="4" t="s">
        <v>229</v>
      </c>
      <c r="C45" s="4" t="s">
        <v>230</v>
      </c>
    </row>
    <row r="46" ht="15.75" customHeight="1">
      <c r="A46" s="4">
        <v>45.0</v>
      </c>
      <c r="B46" s="4" t="s">
        <v>232</v>
      </c>
      <c r="C46" s="4" t="s">
        <v>234</v>
      </c>
    </row>
    <row r="47" ht="15.75" customHeight="1">
      <c r="A47" s="4">
        <v>46.0</v>
      </c>
      <c r="B47" s="4" t="s">
        <v>236</v>
      </c>
      <c r="C47" s="4" t="s">
        <v>237</v>
      </c>
    </row>
    <row r="48" ht="15.75" customHeight="1">
      <c r="A48" s="4">
        <v>47.0</v>
      </c>
      <c r="B48" s="4" t="s">
        <v>239</v>
      </c>
      <c r="C48" s="4" t="s">
        <v>240</v>
      </c>
    </row>
    <row r="49" ht="15.75" customHeight="1">
      <c r="A49" s="4">
        <v>48.0</v>
      </c>
      <c r="B49" s="4" t="s">
        <v>242</v>
      </c>
      <c r="C49" s="4" t="s">
        <v>244</v>
      </c>
    </row>
    <row r="50" ht="15.75" customHeight="1">
      <c r="A50" s="4">
        <v>49.0</v>
      </c>
      <c r="B50" s="4" t="s">
        <v>246</v>
      </c>
      <c r="C50" s="4" t="s">
        <v>247</v>
      </c>
    </row>
    <row r="51" ht="15.75" customHeight="1">
      <c r="A51" s="4">
        <v>50.0</v>
      </c>
      <c r="B51" s="4" t="s">
        <v>249</v>
      </c>
      <c r="C51" s="4" t="s">
        <v>250</v>
      </c>
    </row>
    <row r="52" ht="15.75" customHeight="1">
      <c r="A52" s="4">
        <v>51.0</v>
      </c>
      <c r="B52" s="4" t="s">
        <v>252</v>
      </c>
      <c r="C52" s="4" t="s">
        <v>254</v>
      </c>
    </row>
    <row r="53" ht="15.75" customHeight="1">
      <c r="A53" s="4">
        <v>52.0</v>
      </c>
      <c r="B53" s="4" t="s">
        <v>179</v>
      </c>
      <c r="C53" s="4" t="s">
        <v>257</v>
      </c>
    </row>
    <row r="54" ht="15.75" customHeight="1">
      <c r="A54" s="4">
        <v>53.0</v>
      </c>
      <c r="B54" s="4" t="s">
        <v>259</v>
      </c>
      <c r="C54" s="4" t="s">
        <v>261</v>
      </c>
    </row>
    <row r="55" ht="15.75" customHeight="1">
      <c r="A55" s="4">
        <v>54.0</v>
      </c>
      <c r="B55" s="4" t="s">
        <v>264</v>
      </c>
      <c r="C55" s="4" t="s">
        <v>265</v>
      </c>
    </row>
    <row r="56" ht="15.75" customHeight="1">
      <c r="A56" s="4">
        <v>55.0</v>
      </c>
      <c r="B56" s="4" t="s">
        <v>268</v>
      </c>
      <c r="C56" s="4" t="s">
        <v>269</v>
      </c>
    </row>
    <row r="57" ht="15.75" customHeight="1">
      <c r="A57" s="4">
        <v>56.0</v>
      </c>
      <c r="B57" s="4" t="s">
        <v>272</v>
      </c>
      <c r="C57" s="4" t="s">
        <v>273</v>
      </c>
    </row>
    <row r="58" ht="15.75" customHeight="1">
      <c r="A58" s="4">
        <v>57.0</v>
      </c>
      <c r="B58" s="4" t="s">
        <v>276</v>
      </c>
      <c r="C58" s="4" t="s">
        <v>277</v>
      </c>
    </row>
    <row r="59" ht="15.75" customHeight="1">
      <c r="A59" s="4">
        <v>58.0</v>
      </c>
      <c r="B59" s="4" t="s">
        <v>280</v>
      </c>
      <c r="C59" s="4" t="s">
        <v>281</v>
      </c>
    </row>
    <row r="60" ht="15.75" customHeight="1">
      <c r="A60" s="4">
        <v>59.0</v>
      </c>
      <c r="B60" s="4" t="s">
        <v>284</v>
      </c>
      <c r="C60" s="4" t="s">
        <v>287</v>
      </c>
    </row>
    <row r="61" ht="15.75" customHeight="1">
      <c r="A61" s="4">
        <v>60.0</v>
      </c>
      <c r="B61" s="4" t="s">
        <v>294</v>
      </c>
      <c r="C61" s="4" t="s">
        <v>296</v>
      </c>
    </row>
    <row r="62" ht="15.75" customHeight="1">
      <c r="A62" s="4">
        <v>61.0</v>
      </c>
      <c r="B62" s="4" t="s">
        <v>299</v>
      </c>
      <c r="C62" s="4" t="s">
        <v>300</v>
      </c>
    </row>
    <row r="63" ht="15.75" customHeight="1">
      <c r="A63" s="4">
        <v>62.0</v>
      </c>
      <c r="B63" s="4" t="s">
        <v>302</v>
      </c>
      <c r="C63" s="4" t="s">
        <v>305</v>
      </c>
    </row>
    <row r="64" ht="15.75" customHeight="1">
      <c r="A64" s="4">
        <v>63.0</v>
      </c>
      <c r="B64" s="4" t="s">
        <v>307</v>
      </c>
      <c r="C64" s="4" t="s">
        <v>308</v>
      </c>
    </row>
    <row r="65" ht="15.75" customHeight="1">
      <c r="A65" s="4">
        <v>64.0</v>
      </c>
      <c r="B65" s="4" t="s">
        <v>310</v>
      </c>
      <c r="C65" s="4" t="s">
        <v>312</v>
      </c>
    </row>
    <row r="66" ht="15.75" customHeight="1">
      <c r="A66" s="4">
        <v>65.0</v>
      </c>
      <c r="B66" s="4" t="s">
        <v>313</v>
      </c>
      <c r="C66" s="4" t="s">
        <v>315</v>
      </c>
    </row>
    <row r="67" ht="15.75" customHeight="1">
      <c r="A67" s="4">
        <v>66.0</v>
      </c>
      <c r="B67" s="4" t="s">
        <v>317</v>
      </c>
      <c r="C67" s="4" t="s">
        <v>318</v>
      </c>
    </row>
    <row r="68" ht="15.75" customHeight="1">
      <c r="A68" s="4">
        <v>67.0</v>
      </c>
      <c r="B68" s="4" t="s">
        <v>321</v>
      </c>
      <c r="C68" s="4" t="s">
        <v>322</v>
      </c>
    </row>
    <row r="69" ht="15.75" customHeight="1">
      <c r="A69" s="4">
        <v>68.0</v>
      </c>
      <c r="B69" s="4" t="s">
        <v>325</v>
      </c>
      <c r="C69" s="4" t="s">
        <v>326</v>
      </c>
    </row>
    <row r="70" ht="15.75" customHeight="1">
      <c r="A70" s="4">
        <v>69.0</v>
      </c>
      <c r="B70" s="4" t="s">
        <v>329</v>
      </c>
      <c r="C70" s="4" t="s">
        <v>331</v>
      </c>
    </row>
    <row r="71" ht="15.75" customHeight="1">
      <c r="A71" s="4">
        <v>70.0</v>
      </c>
      <c r="B71" s="4" t="s">
        <v>334</v>
      </c>
      <c r="C71" s="4" t="s">
        <v>335</v>
      </c>
    </row>
    <row r="72" ht="15.75" customHeight="1">
      <c r="A72" s="4">
        <v>71.0</v>
      </c>
      <c r="B72" s="4" t="s">
        <v>337</v>
      </c>
      <c r="C72" s="4" t="s">
        <v>338</v>
      </c>
    </row>
    <row r="73" ht="15.75" customHeight="1">
      <c r="A73" s="4">
        <v>72.0</v>
      </c>
      <c r="B73" s="4" t="s">
        <v>340</v>
      </c>
      <c r="C73" s="4" t="s">
        <v>341</v>
      </c>
    </row>
    <row r="74" ht="15.75" customHeight="1">
      <c r="A74" s="4">
        <v>73.0</v>
      </c>
      <c r="B74" s="4" t="s">
        <v>343</v>
      </c>
      <c r="C74" s="4" t="s">
        <v>346</v>
      </c>
    </row>
    <row r="75" ht="15.75" customHeight="1">
      <c r="A75" s="4">
        <v>74.0</v>
      </c>
      <c r="B75" s="4" t="s">
        <v>347</v>
      </c>
      <c r="C75" s="4" t="s">
        <v>350</v>
      </c>
    </row>
    <row r="76" ht="15.75" customHeight="1">
      <c r="A76" s="4">
        <v>75.0</v>
      </c>
      <c r="B76" s="4" t="s">
        <v>351</v>
      </c>
      <c r="C76" s="4" t="s">
        <v>354</v>
      </c>
    </row>
    <row r="77" ht="15.75" customHeight="1">
      <c r="A77" s="4">
        <v>76.0</v>
      </c>
      <c r="B77" s="4" t="s">
        <v>356</v>
      </c>
      <c r="C77" s="4" t="s">
        <v>358</v>
      </c>
    </row>
    <row r="78" ht="15.75" customHeight="1">
      <c r="A78" s="4">
        <v>77.0</v>
      </c>
      <c r="B78" s="4" t="s">
        <v>361</v>
      </c>
      <c r="C78" s="4" t="s">
        <v>363</v>
      </c>
    </row>
    <row r="79" ht="15.75" customHeight="1">
      <c r="A79" s="4">
        <v>78.0</v>
      </c>
      <c r="B79" s="4" t="s">
        <v>365</v>
      </c>
      <c r="C79" s="4" t="s">
        <v>367</v>
      </c>
    </row>
    <row r="80" ht="15.75" customHeight="1">
      <c r="A80" s="4">
        <v>79.0</v>
      </c>
      <c r="B80" s="4" t="s">
        <v>370</v>
      </c>
      <c r="C80" s="4" t="s">
        <v>371</v>
      </c>
    </row>
    <row r="81" ht="15.75" customHeight="1">
      <c r="A81" s="4">
        <v>80.0</v>
      </c>
      <c r="B81" s="4" t="s">
        <v>374</v>
      </c>
      <c r="C81" s="4" t="s">
        <v>375</v>
      </c>
    </row>
    <row r="82" ht="15.75" customHeight="1">
      <c r="A82" s="4">
        <v>81.0</v>
      </c>
      <c r="B82" s="4" t="s">
        <v>378</v>
      </c>
      <c r="C82" s="4" t="s">
        <v>379</v>
      </c>
    </row>
    <row r="83" ht="15.75" customHeight="1">
      <c r="A83" s="4">
        <v>82.0</v>
      </c>
      <c r="B83" s="4" t="s">
        <v>382</v>
      </c>
      <c r="C83" s="4" t="s">
        <v>383</v>
      </c>
    </row>
    <row r="84" ht="15.75" customHeight="1">
      <c r="A84" s="4">
        <v>83.0</v>
      </c>
      <c r="B84" s="4" t="s">
        <v>385</v>
      </c>
      <c r="C84" s="4" t="s">
        <v>386</v>
      </c>
    </row>
    <row r="85" ht="15.75" customHeight="1">
      <c r="A85" s="4">
        <v>84.0</v>
      </c>
      <c r="B85" s="4" t="s">
        <v>387</v>
      </c>
      <c r="C85" s="4" t="s">
        <v>388</v>
      </c>
    </row>
    <row r="86" ht="15.75" customHeight="1">
      <c r="A86" s="4">
        <v>85.0</v>
      </c>
      <c r="B86" s="4" t="s">
        <v>391</v>
      </c>
      <c r="C86" s="4" t="s">
        <v>393</v>
      </c>
    </row>
    <row r="87" ht="15.75" customHeight="1">
      <c r="A87" s="4">
        <v>86.0</v>
      </c>
      <c r="B87" s="4" t="s">
        <v>397</v>
      </c>
      <c r="C87" s="4" t="s">
        <v>399</v>
      </c>
    </row>
    <row r="88" ht="15.75" customHeight="1">
      <c r="A88" s="4">
        <v>87.0</v>
      </c>
      <c r="B88" s="4" t="s">
        <v>402</v>
      </c>
      <c r="C88" s="4" t="s">
        <v>403</v>
      </c>
    </row>
    <row r="89" ht="15.75" customHeight="1">
      <c r="A89" s="4">
        <v>88.0</v>
      </c>
      <c r="B89" s="4" t="s">
        <v>405</v>
      </c>
      <c r="C89" s="4" t="s">
        <v>407</v>
      </c>
    </row>
    <row r="90" ht="15.75" customHeight="1">
      <c r="A90" s="4">
        <v>89.0</v>
      </c>
      <c r="B90" s="4" t="s">
        <v>409</v>
      </c>
      <c r="C90" s="4" t="s">
        <v>411</v>
      </c>
    </row>
    <row r="91" ht="15.75" customHeight="1">
      <c r="A91" s="4">
        <v>91.0</v>
      </c>
      <c r="B91" s="4" t="s">
        <v>154</v>
      </c>
      <c r="C91" s="4" t="s">
        <v>415</v>
      </c>
    </row>
    <row r="92" ht="15.75" customHeight="1">
      <c r="A92" s="4">
        <v>92.0</v>
      </c>
      <c r="B92" s="4" t="s">
        <v>417</v>
      </c>
      <c r="C92" s="4" t="s">
        <v>419</v>
      </c>
    </row>
    <row r="93" ht="15.75" customHeight="1">
      <c r="A93" s="4">
        <v>93.0</v>
      </c>
      <c r="B93" s="4" t="s">
        <v>214</v>
      </c>
      <c r="C93" s="4" t="s">
        <v>423</v>
      </c>
    </row>
    <row r="94" ht="15.75" customHeight="1">
      <c r="A94" s="4">
        <v>201.0</v>
      </c>
      <c r="B94" s="4" t="s">
        <v>427</v>
      </c>
      <c r="C94" s="4"/>
    </row>
    <row r="95" ht="15.75" customHeight="1">
      <c r="A95" s="4">
        <v>202.0</v>
      </c>
      <c r="B95" s="4" t="s">
        <v>431</v>
      </c>
      <c r="C95" s="4"/>
    </row>
    <row r="96" ht="15.75" customHeight="1">
      <c r="A96" s="4">
        <v>203.0</v>
      </c>
      <c r="B96" s="4" t="s">
        <v>434</v>
      </c>
      <c r="C96" s="4"/>
    </row>
    <row r="97" ht="15.75" customHeight="1">
      <c r="A97" s="4">
        <v>204.0</v>
      </c>
      <c r="B97" s="4" t="s">
        <v>439</v>
      </c>
      <c r="C97" s="4"/>
    </row>
    <row r="98" ht="15.75" customHeight="1">
      <c r="A98" s="4">
        <v>205.0</v>
      </c>
      <c r="B98" s="4" t="s">
        <v>441</v>
      </c>
      <c r="C98" s="4"/>
    </row>
    <row r="99" ht="15.75" customHeight="1">
      <c r="A99" s="4">
        <v>206.0</v>
      </c>
      <c r="B99" s="4" t="s">
        <v>446</v>
      </c>
      <c r="C99" s="4"/>
    </row>
    <row r="100" ht="15.75" customHeight="1">
      <c r="A100" s="4">
        <v>207.0</v>
      </c>
      <c r="B100" s="4" t="s">
        <v>451</v>
      </c>
      <c r="C100" s="4"/>
    </row>
    <row r="101" ht="15.75" customHeight="1">
      <c r="A101" s="4">
        <v>208.0</v>
      </c>
      <c r="B101" s="4" t="s">
        <v>456</v>
      </c>
      <c r="C101" s="4"/>
    </row>
    <row r="102" ht="15.75" customHeight="1">
      <c r="A102" s="4">
        <v>209.0</v>
      </c>
      <c r="B102" s="4" t="s">
        <v>460</v>
      </c>
      <c r="C102" s="4"/>
    </row>
    <row r="103" ht="15.75" customHeight="1">
      <c r="A103" s="4">
        <v>210.0</v>
      </c>
      <c r="B103" s="4" t="s">
        <v>465</v>
      </c>
      <c r="C103" s="4"/>
    </row>
    <row r="104" ht="15.75" customHeight="1">
      <c r="A104" s="4">
        <v>211.0</v>
      </c>
      <c r="B104" s="4" t="s">
        <v>468</v>
      </c>
      <c r="C104" s="4"/>
    </row>
    <row r="105" ht="15.75" customHeight="1">
      <c r="A105" s="4">
        <v>212.0</v>
      </c>
      <c r="B105" s="4" t="s">
        <v>473</v>
      </c>
      <c r="C105" s="4"/>
    </row>
    <row r="106" ht="15.75" customHeight="1">
      <c r="A106" s="4">
        <v>213.0</v>
      </c>
      <c r="B106" s="4" t="s">
        <v>477</v>
      </c>
      <c r="C106" s="4"/>
    </row>
    <row r="107" ht="15.75" customHeight="1">
      <c r="A107" s="4">
        <v>214.0</v>
      </c>
      <c r="B107" s="4" t="s">
        <v>481</v>
      </c>
      <c r="C107" s="4"/>
    </row>
    <row r="108" ht="15.75" customHeight="1">
      <c r="A108" s="4">
        <v>215.0</v>
      </c>
      <c r="B108" s="4" t="s">
        <v>487</v>
      </c>
      <c r="C108" s="4"/>
    </row>
    <row r="109" ht="15.75" customHeight="1">
      <c r="A109" s="4">
        <v>216.0</v>
      </c>
      <c r="B109" s="4" t="s">
        <v>490</v>
      </c>
      <c r="C109" s="4"/>
    </row>
    <row r="110" ht="15.75" customHeight="1">
      <c r="A110" s="4">
        <v>217.0</v>
      </c>
      <c r="B110" s="4" t="s">
        <v>477</v>
      </c>
      <c r="C110" s="4"/>
    </row>
    <row r="111" ht="15.75" customHeight="1">
      <c r="A111" s="4">
        <v>218.0</v>
      </c>
      <c r="B111" s="4" t="s">
        <v>496</v>
      </c>
      <c r="C111" s="4"/>
    </row>
    <row r="112" ht="15.75" customHeight="1">
      <c r="A112" s="4">
        <v>219.0</v>
      </c>
      <c r="B112" s="4" t="s">
        <v>499</v>
      </c>
      <c r="C112" s="4"/>
    </row>
    <row r="113" ht="15.75" customHeight="1">
      <c r="A113" s="4">
        <v>220.0</v>
      </c>
      <c r="B113" s="4" t="s">
        <v>503</v>
      </c>
      <c r="C113" s="4"/>
    </row>
    <row r="114" ht="15.75" customHeight="1">
      <c r="A114" s="4">
        <v>221.0</v>
      </c>
      <c r="B114" s="4" t="s">
        <v>505</v>
      </c>
      <c r="C114" s="4"/>
    </row>
    <row r="115" ht="15.75" customHeight="1">
      <c r="A115" s="4">
        <v>222.0</v>
      </c>
      <c r="B115" s="4" t="s">
        <v>517</v>
      </c>
      <c r="C115" s="4"/>
    </row>
    <row r="116" ht="15.75" customHeight="1">
      <c r="A116" s="4">
        <v>223.0</v>
      </c>
      <c r="B116" s="4" t="s">
        <v>522</v>
      </c>
      <c r="C116" s="4"/>
    </row>
    <row r="117" ht="15.75" customHeight="1">
      <c r="A117" s="4">
        <v>224.0</v>
      </c>
      <c r="B117" s="4" t="s">
        <v>527</v>
      </c>
      <c r="C117" s="4"/>
    </row>
    <row r="118" ht="15.75" customHeight="1">
      <c r="A118" s="4">
        <v>225.0</v>
      </c>
      <c r="B118" s="4" t="s">
        <v>531</v>
      </c>
      <c r="C118" s="4"/>
    </row>
    <row r="119" ht="15.75" customHeight="1">
      <c r="A119" s="4">
        <v>226.0</v>
      </c>
      <c r="B119" s="4" t="s">
        <v>535</v>
      </c>
      <c r="C119" s="4"/>
    </row>
    <row r="120" ht="15.75" customHeight="1">
      <c r="A120" s="4">
        <v>301.0</v>
      </c>
      <c r="B120" s="4" t="s">
        <v>540</v>
      </c>
      <c r="C120" s="4"/>
    </row>
    <row r="121" ht="15.75" customHeight="1">
      <c r="A121" s="4">
        <v>302.0</v>
      </c>
      <c r="B121" s="4" t="s">
        <v>544</v>
      </c>
      <c r="C121" s="4"/>
    </row>
    <row r="122" ht="15.75" customHeight="1">
      <c r="A122" s="4">
        <v>401.0</v>
      </c>
      <c r="B122" s="4" t="s">
        <v>548</v>
      </c>
      <c r="C122" s="4"/>
    </row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4.0"/>
    <col customWidth="1" min="3" max="26" width="8.63"/>
  </cols>
  <sheetData>
    <row r="1">
      <c r="A1" s="2" t="s">
        <v>1</v>
      </c>
      <c r="B1" s="2" t="s">
        <v>256</v>
      </c>
    </row>
    <row r="2">
      <c r="A2" s="4">
        <v>1.0</v>
      </c>
      <c r="B2" s="4" t="s">
        <v>262</v>
      </c>
    </row>
    <row r="3">
      <c r="A3" s="4">
        <v>2.0</v>
      </c>
      <c r="B3" s="4" t="s">
        <v>266</v>
      </c>
    </row>
    <row r="4">
      <c r="A4" s="4">
        <v>3.0</v>
      </c>
      <c r="B4" s="4" t="s">
        <v>271</v>
      </c>
    </row>
    <row r="5">
      <c r="A5" s="4">
        <v>4.0</v>
      </c>
      <c r="B5" s="4" t="s">
        <v>275</v>
      </c>
    </row>
    <row r="6">
      <c r="A6" s="4">
        <v>5.0</v>
      </c>
      <c r="B6" s="4" t="s">
        <v>278</v>
      </c>
    </row>
    <row r="7">
      <c r="A7" s="4">
        <v>6.0</v>
      </c>
      <c r="B7" s="4" t="s">
        <v>283</v>
      </c>
    </row>
    <row r="8">
      <c r="A8" s="4">
        <v>7.0</v>
      </c>
      <c r="B8" s="4" t="s">
        <v>286</v>
      </c>
    </row>
    <row r="9">
      <c r="A9" s="4">
        <v>8.0</v>
      </c>
      <c r="B9" s="4" t="s">
        <v>286</v>
      </c>
    </row>
    <row r="10">
      <c r="A10" s="4">
        <v>9.0</v>
      </c>
      <c r="B10" s="4" t="s">
        <v>290</v>
      </c>
    </row>
    <row r="11">
      <c r="A11" s="4">
        <v>10.0</v>
      </c>
      <c r="B11" s="4" t="s">
        <v>290</v>
      </c>
    </row>
    <row r="12">
      <c r="A12" s="4">
        <v>11.0</v>
      </c>
      <c r="B12" s="4" t="s">
        <v>290</v>
      </c>
    </row>
    <row r="13">
      <c r="A13" s="4">
        <v>12.0</v>
      </c>
      <c r="B13" s="4" t="s">
        <v>290</v>
      </c>
    </row>
    <row r="14">
      <c r="A14" s="4">
        <v>13.0</v>
      </c>
      <c r="B14" s="4" t="s">
        <v>297</v>
      </c>
    </row>
    <row r="15">
      <c r="A15" s="4">
        <v>14.0</v>
      </c>
      <c r="B15" s="4" t="s">
        <v>297</v>
      </c>
    </row>
    <row r="16">
      <c r="A16" s="4">
        <v>15.0</v>
      </c>
      <c r="B16" s="4" t="s">
        <v>297</v>
      </c>
    </row>
    <row r="17">
      <c r="A17" s="4">
        <v>16.0</v>
      </c>
      <c r="B17" s="4" t="s">
        <v>304</v>
      </c>
    </row>
    <row r="18">
      <c r="A18" s="4">
        <v>17.0</v>
      </c>
      <c r="B18" s="4" t="s">
        <v>304</v>
      </c>
    </row>
    <row r="19">
      <c r="A19" s="4">
        <v>18.0</v>
      </c>
      <c r="B19" s="4" t="s">
        <v>304</v>
      </c>
    </row>
    <row r="20">
      <c r="A20" s="4">
        <v>19.0</v>
      </c>
      <c r="B20" s="4" t="s">
        <v>304</v>
      </c>
    </row>
    <row r="21" ht="15.75" customHeight="1">
      <c r="A21" s="4">
        <v>20.0</v>
      </c>
      <c r="B21" s="4" t="s">
        <v>314</v>
      </c>
    </row>
    <row r="22" ht="15.75" customHeight="1">
      <c r="A22" s="4">
        <v>21.0</v>
      </c>
      <c r="B22" s="4" t="s">
        <v>316</v>
      </c>
    </row>
    <row r="23" ht="15.75" customHeight="1">
      <c r="A23" s="4">
        <v>22.0</v>
      </c>
      <c r="B23" s="4" t="s">
        <v>319</v>
      </c>
    </row>
    <row r="24" ht="15.75" customHeight="1">
      <c r="A24" s="4">
        <v>23.0</v>
      </c>
      <c r="B24" s="4" t="s">
        <v>324</v>
      </c>
    </row>
    <row r="25" ht="15.75" customHeight="1">
      <c r="A25" s="4">
        <v>24.0</v>
      </c>
      <c r="B25" s="4" t="s">
        <v>328</v>
      </c>
    </row>
    <row r="26" ht="15.75" customHeight="1">
      <c r="A26" s="4">
        <v>25.0</v>
      </c>
      <c r="B26" s="4" t="s">
        <v>332</v>
      </c>
    </row>
    <row r="27" ht="15.75" customHeight="1">
      <c r="A27" s="4">
        <v>26.0</v>
      </c>
      <c r="B27" s="4" t="s">
        <v>332</v>
      </c>
    </row>
    <row r="28" ht="15.75" customHeight="1">
      <c r="A28" s="4">
        <v>27.0</v>
      </c>
      <c r="B28" s="4" t="s">
        <v>332</v>
      </c>
    </row>
    <row r="29" ht="15.75" customHeight="1">
      <c r="A29" s="4">
        <v>28.0</v>
      </c>
      <c r="B29" s="4" t="s">
        <v>332</v>
      </c>
    </row>
    <row r="30" ht="15.75" customHeight="1">
      <c r="A30" s="4">
        <v>29.0</v>
      </c>
      <c r="B30" s="4" t="s">
        <v>344</v>
      </c>
    </row>
    <row r="31" ht="15.75" customHeight="1">
      <c r="A31" s="4">
        <v>30.0</v>
      </c>
      <c r="B31" s="4" t="s">
        <v>348</v>
      </c>
    </row>
    <row r="32" ht="15.75" customHeight="1">
      <c r="A32" s="4">
        <v>31.0</v>
      </c>
      <c r="B32" s="4" t="s">
        <v>353</v>
      </c>
    </row>
    <row r="33" ht="15.75" customHeight="1">
      <c r="A33" s="4">
        <v>32.0</v>
      </c>
      <c r="B33" s="4" t="s">
        <v>357</v>
      </c>
    </row>
    <row r="34" ht="15.75" customHeight="1">
      <c r="A34" s="4">
        <v>33.0</v>
      </c>
      <c r="B34" s="4" t="s">
        <v>360</v>
      </c>
    </row>
    <row r="35" ht="15.75" customHeight="1">
      <c r="A35" s="4">
        <v>34.0</v>
      </c>
      <c r="B35" s="4" t="s">
        <v>364</v>
      </c>
    </row>
    <row r="36" ht="15.75" customHeight="1">
      <c r="A36" s="4">
        <v>35.0</v>
      </c>
      <c r="B36" s="4" t="s">
        <v>368</v>
      </c>
    </row>
    <row r="37" ht="15.75" customHeight="1">
      <c r="A37" s="4">
        <v>36.0</v>
      </c>
      <c r="B37" s="4" t="s">
        <v>372</v>
      </c>
    </row>
    <row r="38" ht="15.75" customHeight="1">
      <c r="A38" s="4">
        <v>37.0</v>
      </c>
      <c r="B38" s="4" t="s">
        <v>372</v>
      </c>
    </row>
    <row r="39" ht="15.75" customHeight="1">
      <c r="A39" s="4">
        <v>38.0</v>
      </c>
      <c r="B39" s="4" t="s">
        <v>372</v>
      </c>
    </row>
    <row r="40" ht="15.75" customHeight="1">
      <c r="A40" s="4">
        <v>39.0</v>
      </c>
      <c r="B40" s="4" t="s">
        <v>372</v>
      </c>
    </row>
    <row r="41" ht="15.75" customHeight="1">
      <c r="A41" s="4">
        <v>40.0</v>
      </c>
      <c r="B41" s="4" t="s">
        <v>372</v>
      </c>
    </row>
    <row r="42" ht="15.75" customHeight="1">
      <c r="A42" s="4">
        <v>41.0</v>
      </c>
      <c r="B42" s="4" t="s">
        <v>395</v>
      </c>
    </row>
    <row r="43" ht="15.75" customHeight="1">
      <c r="A43" s="4">
        <v>42.0</v>
      </c>
      <c r="B43" s="4" t="s">
        <v>395</v>
      </c>
    </row>
    <row r="44" ht="15.75" customHeight="1">
      <c r="A44" s="4">
        <v>43.0</v>
      </c>
      <c r="B44" s="4" t="s">
        <v>395</v>
      </c>
    </row>
    <row r="45" ht="15.75" customHeight="1">
      <c r="A45" s="4">
        <v>44.0</v>
      </c>
      <c r="B45" s="4" t="s">
        <v>395</v>
      </c>
    </row>
    <row r="46" ht="15.75" customHeight="1">
      <c r="A46" s="4">
        <v>45.0</v>
      </c>
      <c r="B46" s="4" t="s">
        <v>395</v>
      </c>
    </row>
    <row r="47" ht="15.75" customHeight="1">
      <c r="A47" s="4">
        <v>46.0</v>
      </c>
      <c r="B47" s="4" t="s">
        <v>412</v>
      </c>
    </row>
    <row r="48" ht="15.75" customHeight="1">
      <c r="A48" s="4">
        <v>47.0</v>
      </c>
      <c r="B48" s="4" t="s">
        <v>414</v>
      </c>
    </row>
    <row r="49" ht="15.75" customHeight="1">
      <c r="A49" s="4">
        <v>48.0</v>
      </c>
      <c r="B49" s="4" t="s">
        <v>414</v>
      </c>
    </row>
    <row r="50" ht="15.75" customHeight="1">
      <c r="A50" s="4">
        <v>49.0</v>
      </c>
      <c r="B50" s="4" t="s">
        <v>421</v>
      </c>
    </row>
    <row r="51" ht="15.75" customHeight="1">
      <c r="A51" s="4">
        <v>50.0</v>
      </c>
      <c r="B51" s="4" t="s">
        <v>421</v>
      </c>
    </row>
    <row r="52" ht="15.75" customHeight="1">
      <c r="A52" s="4">
        <v>51.0</v>
      </c>
      <c r="B52" s="4" t="s">
        <v>428</v>
      </c>
    </row>
    <row r="53" ht="15.75" customHeight="1">
      <c r="A53" s="4">
        <v>52.0</v>
      </c>
      <c r="B53" s="4" t="s">
        <v>428</v>
      </c>
    </row>
    <row r="54" ht="15.75" customHeight="1">
      <c r="A54" s="4">
        <v>53.0</v>
      </c>
      <c r="B54" s="4" t="s">
        <v>436</v>
      </c>
    </row>
    <row r="55" ht="15.75" customHeight="1">
      <c r="A55" s="4">
        <v>54.0</v>
      </c>
      <c r="B55" s="4" t="s">
        <v>436</v>
      </c>
    </row>
    <row r="56" ht="15.75" customHeight="1">
      <c r="A56" s="4">
        <v>55.0</v>
      </c>
      <c r="B56" s="4" t="s">
        <v>444</v>
      </c>
    </row>
    <row r="57" ht="15.75" customHeight="1">
      <c r="A57" s="4">
        <v>56.0</v>
      </c>
      <c r="B57" s="4" t="s">
        <v>444</v>
      </c>
    </row>
    <row r="58" ht="15.75" customHeight="1">
      <c r="A58" s="4">
        <v>57.0</v>
      </c>
      <c r="B58" s="4" t="s">
        <v>452</v>
      </c>
    </row>
    <row r="59" ht="15.75" customHeight="1">
      <c r="A59" s="4">
        <v>58.0</v>
      </c>
      <c r="B59" s="4" t="s">
        <v>452</v>
      </c>
    </row>
    <row r="60" ht="15.75" customHeight="1">
      <c r="A60" s="4">
        <v>59.0</v>
      </c>
      <c r="B60" s="4" t="s">
        <v>458</v>
      </c>
    </row>
    <row r="61" ht="15.75" customHeight="1">
      <c r="A61" s="4">
        <v>60.0</v>
      </c>
      <c r="B61" s="4" t="s">
        <v>463</v>
      </c>
    </row>
    <row r="62" ht="15.75" customHeight="1">
      <c r="A62" s="4">
        <v>61.0</v>
      </c>
      <c r="B62" s="4" t="s">
        <v>467</v>
      </c>
    </row>
    <row r="63" ht="15.75" customHeight="1">
      <c r="A63" s="4">
        <v>62.0</v>
      </c>
      <c r="B63" s="4" t="s">
        <v>472</v>
      </c>
    </row>
    <row r="64" ht="15.75" customHeight="1">
      <c r="A64" s="4">
        <v>63.0</v>
      </c>
      <c r="B64" s="4" t="s">
        <v>475</v>
      </c>
    </row>
    <row r="65" ht="15.75" customHeight="1">
      <c r="A65" s="4">
        <v>64.0</v>
      </c>
      <c r="B65" s="4" t="s">
        <v>480</v>
      </c>
    </row>
    <row r="66" ht="15.75" customHeight="1">
      <c r="A66" s="4">
        <v>65.0</v>
      </c>
      <c r="B66" s="4" t="s">
        <v>484</v>
      </c>
    </row>
    <row r="67" ht="15.75" customHeight="1">
      <c r="A67" s="4">
        <v>66.0</v>
      </c>
      <c r="B67" s="4" t="s">
        <v>488</v>
      </c>
    </row>
    <row r="68" ht="15.75" customHeight="1">
      <c r="A68" s="4">
        <v>67.0</v>
      </c>
      <c r="B68" s="4" t="s">
        <v>488</v>
      </c>
    </row>
    <row r="69" ht="15.75" customHeight="1">
      <c r="A69" s="4">
        <v>68.0</v>
      </c>
      <c r="B69" s="4" t="s">
        <v>488</v>
      </c>
    </row>
    <row r="70" ht="15.75" customHeight="1">
      <c r="A70" s="4">
        <v>69.0</v>
      </c>
      <c r="B70" s="4" t="s">
        <v>498</v>
      </c>
    </row>
    <row r="71" ht="15.75" customHeight="1">
      <c r="A71" s="4">
        <v>70.0</v>
      </c>
      <c r="B71" s="4" t="s">
        <v>498</v>
      </c>
    </row>
    <row r="72" ht="15.75" customHeight="1">
      <c r="A72" s="4">
        <v>71.0</v>
      </c>
      <c r="B72" s="4" t="s">
        <v>498</v>
      </c>
    </row>
    <row r="73" ht="15.75" customHeight="1">
      <c r="A73" s="4">
        <v>72.0</v>
      </c>
      <c r="B73" s="4" t="s">
        <v>498</v>
      </c>
    </row>
    <row r="74" ht="15.75" customHeight="1">
      <c r="A74" s="4">
        <v>73.0</v>
      </c>
      <c r="B74" s="4" t="s">
        <v>498</v>
      </c>
    </row>
    <row r="75" ht="15.75" customHeight="1">
      <c r="A75" s="4">
        <v>74.0</v>
      </c>
      <c r="B75" s="4" t="s">
        <v>512</v>
      </c>
    </row>
    <row r="76" ht="15.75" customHeight="1">
      <c r="A76" s="4">
        <v>75.0</v>
      </c>
      <c r="B76" s="4" t="s">
        <v>515</v>
      </c>
    </row>
    <row r="77" ht="15.75" customHeight="1">
      <c r="A77" s="4">
        <v>76.0</v>
      </c>
      <c r="B77" s="4" t="s">
        <v>520</v>
      </c>
    </row>
    <row r="78" ht="15.75" customHeight="1">
      <c r="A78" s="4">
        <v>77.0</v>
      </c>
      <c r="B78" s="4" t="s">
        <v>524</v>
      </c>
    </row>
    <row r="79" ht="15.75" customHeight="1">
      <c r="A79" s="4">
        <v>78.0</v>
      </c>
      <c r="B79" s="4" t="s">
        <v>528</v>
      </c>
    </row>
    <row r="80" ht="15.75" customHeight="1">
      <c r="A80" s="4">
        <v>79.0</v>
      </c>
      <c r="B80" s="4" t="s">
        <v>534</v>
      </c>
    </row>
    <row r="81" ht="15.75" customHeight="1">
      <c r="A81" s="4">
        <v>80.0</v>
      </c>
      <c r="B81" s="4" t="s">
        <v>537</v>
      </c>
    </row>
    <row r="82" ht="15.75" customHeight="1">
      <c r="A82" s="4">
        <v>81.0</v>
      </c>
      <c r="B82" s="4" t="s">
        <v>542</v>
      </c>
    </row>
    <row r="83" ht="15.75" customHeight="1">
      <c r="A83" s="4">
        <v>82.0</v>
      </c>
      <c r="B83" s="4" t="s">
        <v>547</v>
      </c>
    </row>
    <row r="84" ht="15.75" customHeight="1">
      <c r="A84" s="4">
        <v>83.0</v>
      </c>
      <c r="B84" s="4" t="s">
        <v>552</v>
      </c>
    </row>
    <row r="85" ht="15.75" customHeight="1">
      <c r="A85" s="4">
        <v>84.0</v>
      </c>
      <c r="B85" s="4" t="s">
        <v>552</v>
      </c>
    </row>
    <row r="86" ht="15.75" customHeight="1">
      <c r="A86" s="4">
        <v>85.0</v>
      </c>
      <c r="B86" s="4" t="s">
        <v>558</v>
      </c>
    </row>
    <row r="87" ht="15.75" customHeight="1">
      <c r="A87" s="4">
        <v>86.0</v>
      </c>
      <c r="B87" s="4" t="s">
        <v>558</v>
      </c>
    </row>
    <row r="88" ht="15.75" customHeight="1">
      <c r="A88" s="4">
        <v>87.0</v>
      </c>
      <c r="B88" s="4" t="s">
        <v>564</v>
      </c>
    </row>
    <row r="89" ht="15.75" customHeight="1">
      <c r="A89" s="4">
        <v>88.0</v>
      </c>
      <c r="B89" s="4" t="s">
        <v>564</v>
      </c>
    </row>
    <row r="90" ht="15.75" customHeight="1">
      <c r="A90" s="4">
        <v>89.0</v>
      </c>
      <c r="B90" s="4" t="s">
        <v>568</v>
      </c>
    </row>
    <row r="91" ht="15.75" customHeight="1">
      <c r="A91" s="4">
        <v>90.0</v>
      </c>
      <c r="B91" s="4" t="s">
        <v>568</v>
      </c>
    </row>
    <row r="92" ht="15.75" customHeight="1">
      <c r="A92" s="4">
        <v>91.0</v>
      </c>
      <c r="B92" s="4" t="s">
        <v>574</v>
      </c>
    </row>
    <row r="93" ht="15.75" customHeight="1">
      <c r="A93" s="4">
        <v>92.0</v>
      </c>
      <c r="B93" s="4" t="s">
        <v>578</v>
      </c>
    </row>
    <row r="94" ht="15.75" customHeight="1">
      <c r="A94" s="4">
        <v>93.0</v>
      </c>
      <c r="B94" s="4" t="s">
        <v>582</v>
      </c>
    </row>
    <row r="95" ht="15.75" customHeight="1">
      <c r="A95" s="4">
        <v>94.0</v>
      </c>
      <c r="B95" s="4" t="s">
        <v>585</v>
      </c>
    </row>
    <row r="96" ht="15.75" customHeight="1">
      <c r="A96" s="4">
        <v>95.0</v>
      </c>
      <c r="B96" s="4" t="s">
        <v>588</v>
      </c>
    </row>
    <row r="97" ht="15.75" customHeight="1">
      <c r="A97" s="4">
        <v>96.0</v>
      </c>
      <c r="B97" s="4" t="s">
        <v>592</v>
      </c>
    </row>
    <row r="98" ht="15.75" customHeight="1">
      <c r="A98" s="4">
        <v>97.0</v>
      </c>
      <c r="B98" s="4" t="s">
        <v>596</v>
      </c>
    </row>
    <row r="99" ht="15.75" customHeight="1">
      <c r="A99" s="4">
        <v>98.0</v>
      </c>
      <c r="B99" s="4" t="s">
        <v>599</v>
      </c>
    </row>
    <row r="100" ht="15.75" customHeight="1">
      <c r="A100" s="4">
        <v>99.0</v>
      </c>
      <c r="B100" s="4" t="s">
        <v>599</v>
      </c>
    </row>
    <row r="101" ht="15.75" customHeight="1">
      <c r="A101" s="4">
        <v>100.0</v>
      </c>
      <c r="B101" s="4" t="s">
        <v>602</v>
      </c>
    </row>
    <row r="102" ht="15.75" customHeight="1">
      <c r="A102" s="4">
        <v>101.0</v>
      </c>
      <c r="B102" s="4" t="s">
        <v>602</v>
      </c>
    </row>
    <row r="103" ht="15.75" customHeight="1">
      <c r="A103" s="4">
        <v>102.0</v>
      </c>
      <c r="B103" s="4" t="s">
        <v>605</v>
      </c>
    </row>
    <row r="104" ht="15.75" customHeight="1">
      <c r="A104" s="4">
        <v>103.0</v>
      </c>
      <c r="B104" s="4" t="s">
        <v>607</v>
      </c>
    </row>
    <row r="105" ht="15.75" customHeight="1">
      <c r="A105" s="4">
        <v>104.0</v>
      </c>
      <c r="B105" s="4" t="s">
        <v>610</v>
      </c>
    </row>
    <row r="106" ht="15.75" customHeight="1">
      <c r="A106" s="4">
        <v>105.0</v>
      </c>
      <c r="B106" s="4" t="s">
        <v>612</v>
      </c>
    </row>
    <row r="107" ht="15.75" customHeight="1">
      <c r="A107" s="4">
        <v>106.0</v>
      </c>
      <c r="B107" s="4" t="s">
        <v>614</v>
      </c>
    </row>
    <row r="108" ht="15.75" customHeight="1">
      <c r="A108" s="4">
        <v>107.0</v>
      </c>
      <c r="B108" s="4" t="s">
        <v>616</v>
      </c>
    </row>
    <row r="109" ht="15.75" customHeight="1">
      <c r="A109" s="4">
        <v>108.0</v>
      </c>
      <c r="B109" s="4" t="s">
        <v>618</v>
      </c>
    </row>
    <row r="110" ht="15.75" customHeight="1">
      <c r="A110" s="4">
        <v>109.0</v>
      </c>
      <c r="B110" s="4" t="s">
        <v>620</v>
      </c>
    </row>
    <row r="111" ht="15.75" customHeight="1">
      <c r="A111" s="4">
        <v>110.0</v>
      </c>
      <c r="B111" s="4" t="s">
        <v>624</v>
      </c>
    </row>
    <row r="112" ht="15.75" customHeight="1">
      <c r="A112" s="4">
        <v>111.0</v>
      </c>
      <c r="B112" s="4" t="s">
        <v>626</v>
      </c>
    </row>
    <row r="113" ht="15.75" customHeight="1">
      <c r="A113" s="4">
        <v>112.0</v>
      </c>
      <c r="B113" s="4" t="s">
        <v>628</v>
      </c>
    </row>
    <row r="114" ht="15.75" customHeight="1">
      <c r="A114" s="4">
        <v>113.0</v>
      </c>
      <c r="B114" s="4" t="s">
        <v>630</v>
      </c>
    </row>
    <row r="115" ht="15.75" customHeight="1">
      <c r="A115" s="4">
        <v>114.0</v>
      </c>
      <c r="B115" s="4" t="s">
        <v>632</v>
      </c>
    </row>
    <row r="116" ht="15.75" customHeight="1">
      <c r="A116" s="4">
        <v>115.0</v>
      </c>
      <c r="B116" s="4" t="s">
        <v>635</v>
      </c>
    </row>
    <row r="117" ht="15.75" customHeight="1">
      <c r="A117" s="4">
        <v>116.0</v>
      </c>
      <c r="B117" s="4" t="s">
        <v>635</v>
      </c>
    </row>
    <row r="118" ht="15.75" customHeight="1">
      <c r="A118" s="4">
        <v>117.0</v>
      </c>
      <c r="B118" s="4" t="s">
        <v>635</v>
      </c>
    </row>
    <row r="119" ht="15.75" customHeight="1">
      <c r="A119" s="4">
        <v>118.0</v>
      </c>
      <c r="B119" s="4" t="s">
        <v>635</v>
      </c>
    </row>
    <row r="120" ht="15.75" customHeight="1">
      <c r="A120" s="4">
        <v>119.0</v>
      </c>
      <c r="B120" s="4" t="s">
        <v>635</v>
      </c>
    </row>
    <row r="121" ht="15.75" customHeight="1">
      <c r="A121" s="4">
        <v>120.0</v>
      </c>
      <c r="B121" s="4" t="s">
        <v>635</v>
      </c>
    </row>
    <row r="122" ht="15.75" customHeight="1">
      <c r="A122" s="4">
        <v>121.0</v>
      </c>
      <c r="B122" s="4" t="s">
        <v>635</v>
      </c>
    </row>
    <row r="123" ht="15.75" customHeight="1">
      <c r="A123" s="4">
        <v>122.0</v>
      </c>
      <c r="B123" s="4" t="s">
        <v>643</v>
      </c>
    </row>
    <row r="124" ht="15.75" customHeight="1">
      <c r="A124" s="4">
        <v>123.0</v>
      </c>
      <c r="B124" s="4" t="s">
        <v>645</v>
      </c>
    </row>
    <row r="125" ht="15.75" customHeight="1">
      <c r="A125" s="4">
        <v>124.0</v>
      </c>
      <c r="B125" s="4" t="s">
        <v>647</v>
      </c>
    </row>
    <row r="126" ht="15.75" customHeight="1">
      <c r="A126" s="4">
        <v>125.0</v>
      </c>
      <c r="B126" s="4" t="s">
        <v>649</v>
      </c>
    </row>
    <row r="127" ht="15.75" customHeight="1">
      <c r="A127" s="4">
        <v>126.0</v>
      </c>
      <c r="B127" s="4" t="s">
        <v>651</v>
      </c>
    </row>
    <row r="128" ht="15.75" customHeight="1">
      <c r="A128" s="4">
        <v>127.0</v>
      </c>
      <c r="B128" s="4" t="s">
        <v>653</v>
      </c>
    </row>
    <row r="129" ht="15.75" customHeight="1">
      <c r="A129" s="4">
        <v>128.0</v>
      </c>
      <c r="B129" s="4" t="s">
        <v>656</v>
      </c>
    </row>
    <row r="130" ht="15.75" customHeight="1">
      <c r="A130" s="4">
        <v>129.0</v>
      </c>
      <c r="B130" s="4" t="s">
        <v>658</v>
      </c>
    </row>
    <row r="131" ht="15.75" customHeight="1">
      <c r="A131" s="4">
        <v>130.0</v>
      </c>
      <c r="B131" s="4" t="s">
        <v>660</v>
      </c>
    </row>
    <row r="132" ht="15.75" customHeight="1">
      <c r="A132" s="4">
        <v>131.0</v>
      </c>
      <c r="B132" s="4" t="s">
        <v>662</v>
      </c>
    </row>
    <row r="133" ht="15.75" customHeight="1">
      <c r="A133" s="4">
        <v>132.0</v>
      </c>
      <c r="B133" s="4" t="s">
        <v>665</v>
      </c>
    </row>
    <row r="134" ht="15.75" customHeight="1">
      <c r="A134" s="4">
        <v>133.0</v>
      </c>
      <c r="B134" s="4" t="s">
        <v>667</v>
      </c>
    </row>
    <row r="135" ht="15.75" customHeight="1">
      <c r="A135" s="4">
        <v>134.0</v>
      </c>
      <c r="B135" s="4" t="s">
        <v>669</v>
      </c>
    </row>
    <row r="136" ht="15.75" customHeight="1">
      <c r="A136" s="4">
        <v>135.0</v>
      </c>
      <c r="B136" s="4" t="s">
        <v>671</v>
      </c>
    </row>
    <row r="137" ht="15.75" customHeight="1">
      <c r="A137" s="4">
        <v>136.0</v>
      </c>
      <c r="B137" s="4" t="s">
        <v>673</v>
      </c>
    </row>
    <row r="138" ht="15.75" customHeight="1">
      <c r="A138" s="4">
        <v>137.0</v>
      </c>
      <c r="B138" s="4" t="s">
        <v>676</v>
      </c>
    </row>
    <row r="139" ht="15.75" customHeight="1">
      <c r="A139" s="4">
        <v>138.0</v>
      </c>
      <c r="B139" s="4" t="s">
        <v>677</v>
      </c>
    </row>
    <row r="140" ht="15.75" customHeight="1">
      <c r="A140" s="4">
        <v>139.0</v>
      </c>
      <c r="B140" s="4" t="s">
        <v>680</v>
      </c>
    </row>
    <row r="141" ht="15.75" customHeight="1">
      <c r="A141" s="4">
        <v>140.0</v>
      </c>
      <c r="B141" s="4" t="s">
        <v>682</v>
      </c>
    </row>
    <row r="142" ht="15.75" customHeight="1">
      <c r="A142" s="4">
        <v>141.0</v>
      </c>
      <c r="B142" s="4" t="s">
        <v>684</v>
      </c>
    </row>
    <row r="143" ht="15.75" customHeight="1">
      <c r="A143" s="4">
        <v>142.0</v>
      </c>
      <c r="B143" s="4" t="s">
        <v>686</v>
      </c>
    </row>
    <row r="144" ht="15.75" customHeight="1">
      <c r="A144" s="4">
        <v>143.0</v>
      </c>
      <c r="B144" s="4" t="s">
        <v>689</v>
      </c>
    </row>
    <row r="145" ht="15.75" customHeight="1">
      <c r="A145" s="4">
        <v>144.0</v>
      </c>
      <c r="B145" s="4" t="s">
        <v>691</v>
      </c>
    </row>
    <row r="146" ht="15.75" customHeight="1">
      <c r="A146" s="4">
        <v>145.0</v>
      </c>
      <c r="B146" s="4" t="s">
        <v>693</v>
      </c>
    </row>
    <row r="147" ht="15.75" customHeight="1">
      <c r="A147" s="4">
        <v>146.0</v>
      </c>
      <c r="B147" s="4" t="s">
        <v>695</v>
      </c>
    </row>
    <row r="148" ht="15.75" customHeight="1">
      <c r="A148" s="4">
        <v>147.0</v>
      </c>
      <c r="B148" s="4" t="s">
        <v>697</v>
      </c>
    </row>
    <row r="149" ht="15.75" customHeight="1">
      <c r="A149" s="4">
        <v>148.0</v>
      </c>
      <c r="B149" s="4" t="s">
        <v>699</v>
      </c>
    </row>
    <row r="150" ht="15.75" customHeight="1">
      <c r="A150" s="4">
        <v>149.0</v>
      </c>
      <c r="B150" s="4" t="s">
        <v>701</v>
      </c>
    </row>
    <row r="151" ht="15.75" customHeight="1">
      <c r="A151" s="4">
        <v>150.0</v>
      </c>
      <c r="B151" s="4" t="s">
        <v>704</v>
      </c>
    </row>
    <row r="152" ht="15.75" customHeight="1">
      <c r="A152" s="4">
        <v>151.0</v>
      </c>
      <c r="B152" s="4" t="s">
        <v>706</v>
      </c>
    </row>
    <row r="153" ht="15.75" customHeight="1">
      <c r="A153" s="4">
        <v>152.0</v>
      </c>
      <c r="B153" s="4" t="s">
        <v>708</v>
      </c>
    </row>
    <row r="154" ht="15.75" customHeight="1">
      <c r="A154" s="4">
        <v>153.0</v>
      </c>
      <c r="B154" s="4" t="s">
        <v>710</v>
      </c>
    </row>
    <row r="155" ht="15.75" customHeight="1">
      <c r="A155" s="4">
        <v>154.0</v>
      </c>
      <c r="B155" s="4" t="s">
        <v>712</v>
      </c>
    </row>
    <row r="156" ht="15.75" customHeight="1">
      <c r="A156" s="4">
        <v>155.0</v>
      </c>
      <c r="B156" s="4" t="s">
        <v>714</v>
      </c>
    </row>
    <row r="157" ht="15.75" customHeight="1">
      <c r="A157" s="4">
        <v>156.0</v>
      </c>
      <c r="B157" s="4" t="s">
        <v>717</v>
      </c>
    </row>
    <row r="158" ht="15.75" customHeight="1">
      <c r="A158" s="4">
        <v>157.0</v>
      </c>
      <c r="B158" s="4" t="s">
        <v>719</v>
      </c>
    </row>
    <row r="159" ht="15.75" customHeight="1">
      <c r="A159" s="4">
        <v>158.0</v>
      </c>
      <c r="B159" s="4" t="s">
        <v>721</v>
      </c>
    </row>
    <row r="160" ht="15.75" customHeight="1">
      <c r="A160" s="4">
        <v>159.0</v>
      </c>
      <c r="B160" s="4" t="s">
        <v>723</v>
      </c>
    </row>
    <row r="161" ht="15.75" customHeight="1">
      <c r="A161" s="4">
        <v>160.0</v>
      </c>
      <c r="B161" s="4" t="s">
        <v>726</v>
      </c>
    </row>
    <row r="162" ht="15.75" customHeight="1">
      <c r="A162" s="4">
        <v>161.0</v>
      </c>
      <c r="B162" s="4" t="s">
        <v>728</v>
      </c>
    </row>
    <row r="163" ht="15.75" customHeight="1">
      <c r="A163" s="4">
        <v>162.0</v>
      </c>
      <c r="B163" s="4" t="s">
        <v>730</v>
      </c>
    </row>
    <row r="164" ht="15.75" customHeight="1">
      <c r="A164" s="4">
        <v>163.0</v>
      </c>
      <c r="B164" s="4" t="s">
        <v>732</v>
      </c>
    </row>
    <row r="165" ht="15.75" customHeight="1">
      <c r="A165" s="4">
        <v>164.0</v>
      </c>
      <c r="B165" s="4" t="s">
        <v>734</v>
      </c>
    </row>
    <row r="166" ht="15.75" customHeight="1">
      <c r="A166" s="4">
        <v>165.0</v>
      </c>
      <c r="B166" s="4" t="s">
        <v>736</v>
      </c>
    </row>
    <row r="167" ht="15.75" customHeight="1">
      <c r="A167" s="4">
        <v>166.0</v>
      </c>
      <c r="B167" s="4" t="s">
        <v>738</v>
      </c>
    </row>
    <row r="168" ht="15.75" customHeight="1">
      <c r="A168" s="4">
        <v>167.0</v>
      </c>
      <c r="B168" s="4" t="s">
        <v>741</v>
      </c>
    </row>
    <row r="169" ht="15.75" customHeight="1">
      <c r="A169" s="4">
        <v>168.0</v>
      </c>
      <c r="B169" s="4" t="s">
        <v>743</v>
      </c>
    </row>
    <row r="170" ht="15.75" customHeight="1">
      <c r="A170" s="4">
        <v>169.0</v>
      </c>
      <c r="B170" s="4" t="s">
        <v>745</v>
      </c>
    </row>
    <row r="171" ht="15.75" customHeight="1">
      <c r="A171" s="4">
        <v>170.0</v>
      </c>
      <c r="B171" s="4" t="s">
        <v>747</v>
      </c>
    </row>
    <row r="172" ht="15.75" customHeight="1">
      <c r="A172" s="4">
        <v>171.0</v>
      </c>
      <c r="B172" s="4" t="s">
        <v>749</v>
      </c>
    </row>
    <row r="173" ht="15.75" customHeight="1">
      <c r="A173" s="4">
        <v>172.0</v>
      </c>
      <c r="B173" s="4" t="s">
        <v>751</v>
      </c>
    </row>
    <row r="174" ht="15.75" customHeight="1">
      <c r="A174" s="4">
        <v>173.0</v>
      </c>
      <c r="B174" s="4" t="s">
        <v>754</v>
      </c>
    </row>
    <row r="175" ht="15.75" customHeight="1">
      <c r="A175" s="4">
        <v>174.0</v>
      </c>
      <c r="B175" s="4" t="s">
        <v>756</v>
      </c>
    </row>
    <row r="176" ht="15.75" customHeight="1">
      <c r="A176" s="4">
        <v>175.0</v>
      </c>
      <c r="B176" s="4" t="s">
        <v>758</v>
      </c>
    </row>
    <row r="177" ht="15.75" customHeight="1">
      <c r="A177" s="4">
        <v>176.0</v>
      </c>
      <c r="B177" s="4" t="s">
        <v>760</v>
      </c>
    </row>
    <row r="178" ht="15.75" customHeight="1">
      <c r="A178" s="4">
        <v>177.0</v>
      </c>
      <c r="B178" s="4" t="s">
        <v>762</v>
      </c>
    </row>
    <row r="179" ht="15.75" customHeight="1">
      <c r="A179" s="4">
        <v>178.0</v>
      </c>
      <c r="B179" s="4" t="s">
        <v>764</v>
      </c>
    </row>
    <row r="180" ht="15.75" customHeight="1">
      <c r="A180" s="4">
        <v>179.0</v>
      </c>
      <c r="B180" s="4" t="s">
        <v>766</v>
      </c>
    </row>
    <row r="181" ht="15.75" customHeight="1">
      <c r="A181" s="4">
        <v>180.0</v>
      </c>
      <c r="B181" s="4" t="s">
        <v>766</v>
      </c>
    </row>
    <row r="182" ht="15.75" customHeight="1">
      <c r="A182" s="4">
        <v>181.0</v>
      </c>
      <c r="B182" s="4" t="s">
        <v>771</v>
      </c>
    </row>
    <row r="183" ht="15.75" customHeight="1">
      <c r="A183" s="4">
        <v>182.0</v>
      </c>
      <c r="B183" s="4" t="s">
        <v>771</v>
      </c>
    </row>
    <row r="184" ht="15.75" customHeight="1">
      <c r="A184" s="4">
        <v>183.0</v>
      </c>
      <c r="B184" s="4" t="s">
        <v>774</v>
      </c>
    </row>
    <row r="185" ht="15.75" customHeight="1">
      <c r="A185" s="4">
        <v>184.0</v>
      </c>
      <c r="B185" s="4" t="s">
        <v>776</v>
      </c>
    </row>
    <row r="186" ht="15.75" customHeight="1">
      <c r="A186" s="4">
        <v>185.0</v>
      </c>
      <c r="B186" s="4" t="s">
        <v>778</v>
      </c>
    </row>
    <row r="187" ht="15.75" customHeight="1">
      <c r="A187" s="4">
        <v>186.0</v>
      </c>
      <c r="B187" s="4" t="s">
        <v>781</v>
      </c>
    </row>
    <row r="188" ht="15.75" customHeight="1">
      <c r="A188" s="4">
        <v>187.0</v>
      </c>
      <c r="B188" s="4" t="s">
        <v>783</v>
      </c>
    </row>
    <row r="189" ht="15.75" customHeight="1">
      <c r="A189" s="4">
        <v>188.0</v>
      </c>
      <c r="B189" s="4" t="s">
        <v>785</v>
      </c>
    </row>
    <row r="190" ht="15.75" customHeight="1">
      <c r="A190" s="4">
        <v>189.0</v>
      </c>
      <c r="B190" s="4" t="s">
        <v>788</v>
      </c>
    </row>
    <row r="191" ht="15.75" customHeight="1">
      <c r="A191" s="4">
        <v>190.0</v>
      </c>
      <c r="B191" s="4" t="s">
        <v>790</v>
      </c>
    </row>
    <row r="192" ht="15.75" customHeight="1">
      <c r="A192" s="4">
        <v>191.0</v>
      </c>
      <c r="B192" s="4" t="s">
        <v>792</v>
      </c>
    </row>
    <row r="193" ht="15.75" customHeight="1">
      <c r="A193" s="4">
        <v>192.0</v>
      </c>
      <c r="B193" s="4" t="s">
        <v>794</v>
      </c>
    </row>
    <row r="194" ht="15.75" customHeight="1">
      <c r="A194" s="4">
        <v>193.0</v>
      </c>
      <c r="B194" s="4" t="s">
        <v>796</v>
      </c>
    </row>
    <row r="195" ht="15.75" customHeight="1">
      <c r="A195" s="4">
        <v>194.0</v>
      </c>
      <c r="B195" s="4" t="s">
        <v>799</v>
      </c>
    </row>
    <row r="196" ht="15.75" customHeight="1">
      <c r="A196" s="4">
        <v>195.0</v>
      </c>
      <c r="B196" s="4" t="s">
        <v>801</v>
      </c>
    </row>
    <row r="197" ht="15.75" customHeight="1">
      <c r="A197" s="4">
        <v>196.0</v>
      </c>
      <c r="B197" s="4" t="s">
        <v>803</v>
      </c>
    </row>
    <row r="198" ht="15.75" customHeight="1">
      <c r="A198" s="4">
        <v>197.0</v>
      </c>
      <c r="B198" s="4" t="s">
        <v>805</v>
      </c>
    </row>
    <row r="199" ht="15.75" customHeight="1">
      <c r="A199" s="4">
        <v>198.0</v>
      </c>
      <c r="B199" s="4" t="s">
        <v>808</v>
      </c>
    </row>
    <row r="200" ht="15.75" customHeight="1">
      <c r="A200" s="4">
        <v>199.0</v>
      </c>
      <c r="B200" s="4" t="s">
        <v>810</v>
      </c>
    </row>
    <row r="201" ht="15.75" customHeight="1">
      <c r="A201" s="4">
        <v>200.0</v>
      </c>
      <c r="B201" s="4" t="s">
        <v>813</v>
      </c>
    </row>
    <row r="202" ht="15.75" customHeight="1">
      <c r="A202" s="4">
        <v>201.0</v>
      </c>
      <c r="B202" s="4" t="s">
        <v>816</v>
      </c>
    </row>
    <row r="203" ht="15.75" customHeight="1">
      <c r="A203" s="4">
        <v>202.0</v>
      </c>
      <c r="B203" s="4" t="s">
        <v>818</v>
      </c>
    </row>
    <row r="204" ht="15.75" customHeight="1">
      <c r="A204" s="4">
        <v>203.0</v>
      </c>
      <c r="B204" s="4" t="s">
        <v>820</v>
      </c>
    </row>
    <row r="205" ht="15.75" customHeight="1">
      <c r="A205" s="4">
        <v>204.0</v>
      </c>
      <c r="B205" s="4" t="s">
        <v>822</v>
      </c>
    </row>
    <row r="206" ht="15.75" customHeight="1">
      <c r="A206" s="4">
        <v>205.0</v>
      </c>
      <c r="B206" s="4" t="s">
        <v>824</v>
      </c>
    </row>
    <row r="207" ht="15.75" customHeight="1">
      <c r="A207" s="4">
        <v>206.0</v>
      </c>
      <c r="B207" s="4" t="s">
        <v>826</v>
      </c>
    </row>
    <row r="208" ht="15.75" customHeight="1">
      <c r="A208" s="4">
        <v>207.0</v>
      </c>
      <c r="B208" s="4" t="s">
        <v>828</v>
      </c>
    </row>
    <row r="209" ht="15.75" customHeight="1">
      <c r="A209" s="4">
        <v>208.0</v>
      </c>
      <c r="B209" s="4" t="s">
        <v>830</v>
      </c>
    </row>
    <row r="210" ht="15.75" customHeight="1">
      <c r="A210" s="4">
        <v>209.0</v>
      </c>
      <c r="B210" s="4" t="s">
        <v>831</v>
      </c>
    </row>
    <row r="211" ht="15.75" customHeight="1">
      <c r="A211" s="4">
        <v>210.0</v>
      </c>
      <c r="B211" s="4" t="s">
        <v>834</v>
      </c>
    </row>
    <row r="212" ht="15.75" customHeight="1">
      <c r="A212" s="4">
        <v>211.0</v>
      </c>
      <c r="B212" s="4" t="s">
        <v>836</v>
      </c>
    </row>
    <row r="213" ht="15.75" customHeight="1">
      <c r="A213" s="4">
        <v>212.0</v>
      </c>
      <c r="B213" s="4" t="s">
        <v>840</v>
      </c>
    </row>
    <row r="214" ht="15.75" customHeight="1">
      <c r="A214" s="4">
        <v>213.0</v>
      </c>
      <c r="B214" s="4" t="s">
        <v>843</v>
      </c>
    </row>
    <row r="215" ht="15.75" customHeight="1">
      <c r="A215" s="4">
        <v>214.0</v>
      </c>
      <c r="B215" s="4" t="s">
        <v>845</v>
      </c>
    </row>
    <row r="216" ht="15.75" customHeight="1">
      <c r="A216" s="4">
        <v>215.0</v>
      </c>
      <c r="B216" s="4" t="s">
        <v>848</v>
      </c>
    </row>
    <row r="217" ht="15.75" customHeight="1">
      <c r="A217" s="4">
        <v>216.0</v>
      </c>
      <c r="B217" s="4" t="s">
        <v>851</v>
      </c>
    </row>
    <row r="218" ht="15.75" customHeight="1">
      <c r="A218" s="4">
        <v>217.0</v>
      </c>
      <c r="B218" s="4" t="s">
        <v>854</v>
      </c>
    </row>
    <row r="219" ht="15.75" customHeight="1">
      <c r="A219" s="4">
        <v>218.0</v>
      </c>
      <c r="B219" s="4" t="s">
        <v>856</v>
      </c>
    </row>
    <row r="220" ht="15.75" customHeight="1">
      <c r="A220" s="4">
        <v>219.0</v>
      </c>
      <c r="B220" s="4" t="s">
        <v>859</v>
      </c>
    </row>
    <row r="221" ht="15.75" customHeight="1">
      <c r="A221" s="4">
        <v>220.0</v>
      </c>
      <c r="B221" s="4" t="s">
        <v>862</v>
      </c>
    </row>
    <row r="222" ht="15.75" customHeight="1">
      <c r="A222" s="4">
        <v>221.0</v>
      </c>
      <c r="B222" s="4" t="s">
        <v>865</v>
      </c>
    </row>
    <row r="223" ht="15.75" customHeight="1">
      <c r="A223" s="4">
        <v>222.0</v>
      </c>
      <c r="B223" s="4" t="s">
        <v>868</v>
      </c>
    </row>
    <row r="224" ht="15.75" customHeight="1">
      <c r="A224" s="4">
        <v>223.0</v>
      </c>
      <c r="B224" s="4" t="s">
        <v>871</v>
      </c>
    </row>
    <row r="225" ht="15.75" customHeight="1">
      <c r="A225" s="4">
        <v>224.0</v>
      </c>
      <c r="B225" s="4" t="s">
        <v>875</v>
      </c>
    </row>
    <row r="226" ht="15.75" customHeight="1">
      <c r="A226" s="4">
        <v>225.0</v>
      </c>
      <c r="B226" s="4" t="s">
        <v>878</v>
      </c>
    </row>
    <row r="227" ht="15.75" customHeight="1">
      <c r="A227" s="4">
        <v>226.0</v>
      </c>
      <c r="B227" s="4" t="s">
        <v>881</v>
      </c>
    </row>
    <row r="228" ht="15.75" customHeight="1">
      <c r="A228" s="4">
        <v>227.0</v>
      </c>
      <c r="B228" s="4" t="s">
        <v>884</v>
      </c>
    </row>
    <row r="229" ht="15.75" customHeight="1">
      <c r="A229" s="4">
        <v>228.0</v>
      </c>
      <c r="B229" s="4" t="s">
        <v>887</v>
      </c>
    </row>
    <row r="230" ht="15.75" customHeight="1">
      <c r="A230" s="4">
        <v>229.0</v>
      </c>
      <c r="B230" s="4" t="s">
        <v>890</v>
      </c>
    </row>
    <row r="231" ht="15.75" customHeight="1">
      <c r="A231" s="4">
        <v>230.0</v>
      </c>
      <c r="B231" s="4" t="s">
        <v>893</v>
      </c>
    </row>
    <row r="232" ht="15.75" customHeight="1">
      <c r="A232" s="4">
        <v>231.0</v>
      </c>
      <c r="B232" s="4" t="s">
        <v>895</v>
      </c>
    </row>
    <row r="233" ht="15.75" customHeight="1">
      <c r="A233" s="4">
        <v>232.0</v>
      </c>
      <c r="B233" s="4" t="s">
        <v>898</v>
      </c>
    </row>
    <row r="234" ht="15.75" customHeight="1">
      <c r="A234" s="4">
        <v>233.0</v>
      </c>
      <c r="B234" s="4" t="s">
        <v>898</v>
      </c>
    </row>
    <row r="235" ht="15.75" customHeight="1">
      <c r="A235" s="4">
        <v>234.0</v>
      </c>
      <c r="B235" s="4" t="s">
        <v>898</v>
      </c>
    </row>
    <row r="236" ht="15.75" customHeight="1">
      <c r="A236" s="4">
        <v>235.0</v>
      </c>
      <c r="B236" s="4" t="s">
        <v>898</v>
      </c>
    </row>
    <row r="237" ht="15.75" customHeight="1">
      <c r="A237" s="4">
        <v>236.0</v>
      </c>
      <c r="B237" s="4" t="s">
        <v>898</v>
      </c>
    </row>
    <row r="238" ht="15.75" customHeight="1">
      <c r="A238" s="4">
        <v>237.0</v>
      </c>
      <c r="B238" s="4" t="s">
        <v>904</v>
      </c>
    </row>
    <row r="239" ht="15.75" customHeight="1">
      <c r="A239" s="4">
        <v>238.0</v>
      </c>
      <c r="B239" s="4" t="s">
        <v>904</v>
      </c>
    </row>
    <row r="240" ht="15.75" customHeight="1">
      <c r="A240" s="4">
        <v>239.0</v>
      </c>
      <c r="B240" s="4" t="s">
        <v>904</v>
      </c>
    </row>
    <row r="241" ht="15.75" customHeight="1">
      <c r="A241" s="4">
        <v>240.0</v>
      </c>
      <c r="B241" s="4" t="s">
        <v>904</v>
      </c>
    </row>
    <row r="242" ht="15.75" customHeight="1">
      <c r="A242" s="4">
        <v>241.0</v>
      </c>
      <c r="B242" s="4" t="s">
        <v>904</v>
      </c>
    </row>
    <row r="243" ht="15.75" customHeight="1">
      <c r="A243" s="4">
        <v>242.0</v>
      </c>
      <c r="B243" s="4" t="s">
        <v>912</v>
      </c>
    </row>
    <row r="244" ht="15.75" customHeight="1">
      <c r="A244" s="4">
        <v>243.0</v>
      </c>
      <c r="B244" s="4" t="s">
        <v>912</v>
      </c>
    </row>
    <row r="245" ht="15.75" customHeight="1">
      <c r="A245" s="4">
        <v>244.0</v>
      </c>
      <c r="B245" s="4" t="s">
        <v>912</v>
      </c>
    </row>
    <row r="246" ht="15.75" customHeight="1">
      <c r="A246" s="4">
        <v>245.0</v>
      </c>
      <c r="B246" s="4" t="s">
        <v>917</v>
      </c>
    </row>
    <row r="247" ht="15.75" customHeight="1">
      <c r="A247" s="4">
        <v>246.0</v>
      </c>
      <c r="B247" s="4" t="s">
        <v>917</v>
      </c>
    </row>
    <row r="248" ht="15.75" customHeight="1">
      <c r="A248" s="4">
        <v>247.0</v>
      </c>
      <c r="B248" s="4" t="s">
        <v>917</v>
      </c>
    </row>
    <row r="249" ht="15.75" customHeight="1">
      <c r="A249" s="4">
        <v>248.0</v>
      </c>
      <c r="B249" s="4" t="s">
        <v>921</v>
      </c>
    </row>
    <row r="250" ht="15.75" customHeight="1">
      <c r="A250" s="4">
        <v>249.0</v>
      </c>
      <c r="B250" s="4" t="s">
        <v>923</v>
      </c>
    </row>
    <row r="251" ht="15.75" customHeight="1">
      <c r="A251" s="4">
        <v>250.0</v>
      </c>
      <c r="B251" s="4" t="s">
        <v>925</v>
      </c>
    </row>
    <row r="252" ht="15.75" customHeight="1">
      <c r="A252" s="4">
        <v>251.0</v>
      </c>
      <c r="B252" s="4" t="s">
        <v>927</v>
      </c>
    </row>
    <row r="253" ht="15.75" customHeight="1">
      <c r="A253" s="4">
        <v>252.0</v>
      </c>
      <c r="B253" s="4" t="s">
        <v>930</v>
      </c>
    </row>
    <row r="254" ht="15.75" customHeight="1">
      <c r="A254" s="4">
        <v>253.0</v>
      </c>
      <c r="B254" s="4" t="s">
        <v>932</v>
      </c>
    </row>
    <row r="255" ht="15.75" customHeight="1">
      <c r="A255" s="4">
        <v>254.0</v>
      </c>
      <c r="B255" s="4" t="s">
        <v>934</v>
      </c>
    </row>
    <row r="256" ht="15.75" customHeight="1">
      <c r="A256" s="4">
        <v>255.0</v>
      </c>
      <c r="B256" s="4" t="s">
        <v>936</v>
      </c>
    </row>
    <row r="257" ht="15.75" customHeight="1">
      <c r="A257" s="4">
        <v>256.0</v>
      </c>
      <c r="B257" s="4" t="s">
        <v>938</v>
      </c>
    </row>
    <row r="258" ht="15.75" customHeight="1">
      <c r="A258" s="4">
        <v>257.0</v>
      </c>
      <c r="B258" s="4" t="s">
        <v>941</v>
      </c>
    </row>
    <row r="259" ht="15.75" customHeight="1">
      <c r="A259" s="4">
        <v>258.0</v>
      </c>
      <c r="B259" s="4" t="s">
        <v>943</v>
      </c>
    </row>
    <row r="260" ht="15.75" customHeight="1">
      <c r="A260" s="4">
        <v>259.0</v>
      </c>
      <c r="B260" s="4" t="s">
        <v>945</v>
      </c>
    </row>
    <row r="261" ht="15.75" customHeight="1">
      <c r="A261" s="4">
        <v>260.0</v>
      </c>
      <c r="B261" s="4" t="s">
        <v>947</v>
      </c>
    </row>
    <row r="262" ht="15.75" customHeight="1">
      <c r="A262" s="4">
        <v>261.0</v>
      </c>
      <c r="B262" s="4" t="s">
        <v>949</v>
      </c>
    </row>
    <row r="263" ht="15.75" customHeight="1">
      <c r="A263" s="4">
        <v>262.0</v>
      </c>
      <c r="B263" s="4" t="s">
        <v>951</v>
      </c>
    </row>
    <row r="264" ht="15.75" customHeight="1">
      <c r="A264" s="4">
        <v>263.0</v>
      </c>
      <c r="B264" s="4" t="s">
        <v>951</v>
      </c>
    </row>
    <row r="265" ht="15.75" customHeight="1">
      <c r="A265" s="4">
        <v>264.0</v>
      </c>
      <c r="B265" s="4" t="s">
        <v>951</v>
      </c>
    </row>
    <row r="266" ht="15.75" customHeight="1">
      <c r="A266" s="4">
        <v>265.0</v>
      </c>
      <c r="B266" s="4" t="s">
        <v>951</v>
      </c>
    </row>
    <row r="267" ht="15.75" customHeight="1">
      <c r="A267" s="4">
        <v>266.0</v>
      </c>
      <c r="B267" s="4" t="s">
        <v>951</v>
      </c>
    </row>
    <row r="268" ht="15.75" customHeight="1">
      <c r="A268" s="4">
        <v>267.0</v>
      </c>
      <c r="B268" s="4" t="s">
        <v>957</v>
      </c>
    </row>
    <row r="269" ht="15.75" customHeight="1">
      <c r="A269" s="4">
        <v>268.0</v>
      </c>
      <c r="B269" s="4" t="s">
        <v>957</v>
      </c>
    </row>
    <row r="270" ht="15.75" customHeight="1">
      <c r="A270" s="4">
        <v>269.0</v>
      </c>
      <c r="B270" s="4" t="s">
        <v>957</v>
      </c>
    </row>
    <row r="271" ht="15.75" customHeight="1">
      <c r="A271" s="4">
        <v>270.0</v>
      </c>
      <c r="B271" s="4" t="s">
        <v>957</v>
      </c>
    </row>
    <row r="272" ht="15.75" customHeight="1">
      <c r="A272" s="4">
        <v>271.0</v>
      </c>
      <c r="B272" s="4" t="s">
        <v>957</v>
      </c>
    </row>
    <row r="273" ht="15.75" customHeight="1">
      <c r="A273" s="4">
        <v>272.0</v>
      </c>
      <c r="B273" s="4" t="s">
        <v>963</v>
      </c>
    </row>
    <row r="274" ht="15.75" customHeight="1">
      <c r="A274" s="4">
        <v>273.0</v>
      </c>
      <c r="B274" s="4" t="s">
        <v>963</v>
      </c>
    </row>
    <row r="275" ht="15.75" customHeight="1">
      <c r="A275" s="4">
        <v>274.0</v>
      </c>
      <c r="B275" s="4" t="s">
        <v>963</v>
      </c>
    </row>
    <row r="276" ht="15.75" customHeight="1">
      <c r="A276" s="4">
        <v>275.0</v>
      </c>
      <c r="B276" s="4" t="s">
        <v>963</v>
      </c>
    </row>
    <row r="277" ht="15.75" customHeight="1">
      <c r="A277" s="4">
        <v>276.0</v>
      </c>
      <c r="B277" s="4" t="s">
        <v>963</v>
      </c>
    </row>
    <row r="278" ht="15.75" customHeight="1">
      <c r="A278" s="4">
        <v>277.0</v>
      </c>
      <c r="B278" s="4" t="s">
        <v>970</v>
      </c>
    </row>
    <row r="279" ht="15.75" customHeight="1">
      <c r="A279" s="4">
        <v>278.0</v>
      </c>
      <c r="B279" s="4" t="s">
        <v>970</v>
      </c>
    </row>
    <row r="280" ht="15.75" customHeight="1">
      <c r="A280" s="4">
        <v>279.0</v>
      </c>
      <c r="B280" s="4" t="s">
        <v>970</v>
      </c>
    </row>
    <row r="281" ht="15.75" customHeight="1">
      <c r="A281" s="4">
        <v>280.0</v>
      </c>
      <c r="B281" s="4" t="s">
        <v>970</v>
      </c>
    </row>
    <row r="282" ht="15.75" customHeight="1">
      <c r="A282" s="4">
        <v>281.0</v>
      </c>
      <c r="B282" s="4" t="s">
        <v>970</v>
      </c>
    </row>
    <row r="283" ht="15.75" customHeight="1">
      <c r="A283" s="4">
        <v>282.0</v>
      </c>
      <c r="B283" s="4" t="s">
        <v>976</v>
      </c>
    </row>
    <row r="284" ht="15.75" customHeight="1">
      <c r="A284" s="4">
        <v>283.0</v>
      </c>
      <c r="B284" s="4" t="s">
        <v>978</v>
      </c>
    </row>
    <row r="285" ht="15.75" customHeight="1">
      <c r="A285" s="4">
        <v>284.0</v>
      </c>
      <c r="B285" s="4" t="s">
        <v>980</v>
      </c>
    </row>
    <row r="286" ht="15.75" customHeight="1">
      <c r="A286" s="4">
        <v>285.0</v>
      </c>
      <c r="B286" s="4" t="s">
        <v>982</v>
      </c>
    </row>
    <row r="287" ht="15.75" customHeight="1">
      <c r="A287" s="4">
        <v>286.0</v>
      </c>
      <c r="B287" s="4" t="s">
        <v>985</v>
      </c>
    </row>
    <row r="288" ht="15.75" customHeight="1">
      <c r="A288" s="4">
        <v>287.0</v>
      </c>
      <c r="B288" s="4" t="s">
        <v>987</v>
      </c>
    </row>
    <row r="289" ht="15.75" customHeight="1">
      <c r="A289" s="4">
        <v>288.0</v>
      </c>
      <c r="B289" s="4" t="s">
        <v>989</v>
      </c>
    </row>
    <row r="290" ht="15.75" customHeight="1">
      <c r="A290" s="4">
        <v>289.0</v>
      </c>
      <c r="B290" s="4" t="s">
        <v>991</v>
      </c>
    </row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" width="14.0"/>
    <col customWidth="1" min="4" max="4" width="20.0"/>
    <col customWidth="1" min="5" max="26" width="8.63"/>
  </cols>
  <sheetData>
    <row r="1">
      <c r="A1" s="2" t="s">
        <v>1</v>
      </c>
      <c r="B1" s="2" t="s">
        <v>376</v>
      </c>
      <c r="C1" s="2" t="s">
        <v>380</v>
      </c>
      <c r="D1" s="2" t="s">
        <v>384</v>
      </c>
    </row>
    <row r="2">
      <c r="A2" s="4">
        <v>187.0</v>
      </c>
      <c r="B2" s="4" t="s">
        <v>389</v>
      </c>
      <c r="C2" s="4" t="s">
        <v>392</v>
      </c>
      <c r="D2" s="4" t="s">
        <v>394</v>
      </c>
    </row>
    <row r="3">
      <c r="A3" s="4">
        <v>190.0</v>
      </c>
      <c r="B3" s="4" t="s">
        <v>398</v>
      </c>
      <c r="C3" s="4" t="s">
        <v>400</v>
      </c>
      <c r="D3" s="4" t="s">
        <v>401</v>
      </c>
    </row>
    <row r="4">
      <c r="A4" s="4">
        <v>188.0</v>
      </c>
      <c r="B4" s="4" t="s">
        <v>398</v>
      </c>
      <c r="C4" s="4" t="s">
        <v>404</v>
      </c>
      <c r="D4" s="4" t="s">
        <v>406</v>
      </c>
    </row>
    <row r="5">
      <c r="A5" s="4">
        <v>191.0</v>
      </c>
      <c r="B5" s="4" t="s">
        <v>398</v>
      </c>
      <c r="C5" s="4" t="s">
        <v>408</v>
      </c>
      <c r="D5" s="4" t="s">
        <v>410</v>
      </c>
    </row>
    <row r="6">
      <c r="A6" s="4">
        <v>189.0</v>
      </c>
      <c r="B6" s="4" t="s">
        <v>398</v>
      </c>
      <c r="C6" s="4" t="s">
        <v>413</v>
      </c>
      <c r="D6" s="4" t="s">
        <v>416</v>
      </c>
    </row>
    <row r="7">
      <c r="A7" s="4">
        <v>195.0</v>
      </c>
      <c r="B7" s="4" t="s">
        <v>398</v>
      </c>
      <c r="C7" s="4" t="s">
        <v>418</v>
      </c>
      <c r="D7" s="4" t="s">
        <v>420</v>
      </c>
    </row>
    <row r="8">
      <c r="A8" s="4">
        <v>194.0</v>
      </c>
      <c r="B8" s="4" t="s">
        <v>398</v>
      </c>
      <c r="C8" s="4" t="s">
        <v>424</v>
      </c>
      <c r="D8" s="4" t="s">
        <v>426</v>
      </c>
    </row>
    <row r="9">
      <c r="A9" s="4">
        <v>192.0</v>
      </c>
      <c r="B9" s="4" t="s">
        <v>398</v>
      </c>
      <c r="C9" s="4" t="s">
        <v>430</v>
      </c>
      <c r="D9" s="4" t="s">
        <v>432</v>
      </c>
    </row>
    <row r="10">
      <c r="A10" s="4">
        <v>193.0</v>
      </c>
      <c r="B10" s="4" t="s">
        <v>398</v>
      </c>
      <c r="C10" s="4" t="s">
        <v>437</v>
      </c>
      <c r="D10" s="4" t="s">
        <v>438</v>
      </c>
    </row>
    <row r="11">
      <c r="A11" s="4">
        <v>199.0</v>
      </c>
      <c r="B11" s="4" t="s">
        <v>398</v>
      </c>
      <c r="C11" s="4" t="s">
        <v>442</v>
      </c>
      <c r="D11" s="4" t="s">
        <v>445</v>
      </c>
    </row>
    <row r="12">
      <c r="A12" s="4">
        <v>197.0</v>
      </c>
      <c r="B12" s="4" t="s">
        <v>398</v>
      </c>
      <c r="C12" s="4" t="s">
        <v>448</v>
      </c>
      <c r="D12" s="4" t="s">
        <v>450</v>
      </c>
    </row>
    <row r="13">
      <c r="A13" s="4">
        <v>198.0</v>
      </c>
      <c r="B13" s="4" t="s">
        <v>398</v>
      </c>
      <c r="C13" s="4" t="s">
        <v>454</v>
      </c>
      <c r="D13" s="4" t="s">
        <v>457</v>
      </c>
    </row>
    <row r="14">
      <c r="A14" s="4">
        <v>196.0</v>
      </c>
      <c r="B14" s="4" t="s">
        <v>398</v>
      </c>
      <c r="C14" s="4" t="s">
        <v>461</v>
      </c>
      <c r="D14" s="4" t="s">
        <v>464</v>
      </c>
    </row>
    <row r="15">
      <c r="A15" s="4">
        <v>201.0</v>
      </c>
      <c r="B15" s="4" t="s">
        <v>398</v>
      </c>
      <c r="C15" s="4" t="s">
        <v>469</v>
      </c>
      <c r="D15" s="4" t="s">
        <v>470</v>
      </c>
    </row>
    <row r="16">
      <c r="A16" s="4">
        <v>205.0</v>
      </c>
      <c r="B16" s="4" t="s">
        <v>398</v>
      </c>
      <c r="C16" s="4" t="s">
        <v>476</v>
      </c>
      <c r="D16" s="4" t="s">
        <v>478</v>
      </c>
    </row>
    <row r="17">
      <c r="A17" s="4">
        <v>204.0</v>
      </c>
      <c r="B17" s="4" t="s">
        <v>398</v>
      </c>
      <c r="C17" s="4" t="s">
        <v>483</v>
      </c>
      <c r="D17" s="4" t="s">
        <v>485</v>
      </c>
    </row>
    <row r="18">
      <c r="A18" s="4">
        <v>200.0</v>
      </c>
      <c r="B18" s="4" t="s">
        <v>398</v>
      </c>
      <c r="C18" s="4" t="s">
        <v>491</v>
      </c>
      <c r="D18" s="4" t="s">
        <v>493</v>
      </c>
    </row>
    <row r="19">
      <c r="A19" s="4">
        <v>203.0</v>
      </c>
      <c r="B19" s="4" t="s">
        <v>398</v>
      </c>
      <c r="C19" s="4" t="s">
        <v>495</v>
      </c>
      <c r="D19" s="4" t="s">
        <v>497</v>
      </c>
    </row>
    <row r="20">
      <c r="A20" s="4">
        <v>202.0</v>
      </c>
      <c r="B20" s="4" t="s">
        <v>398</v>
      </c>
      <c r="C20" s="4" t="s">
        <v>501</v>
      </c>
      <c r="D20" s="4" t="s">
        <v>502</v>
      </c>
    </row>
    <row r="21" ht="15.75" customHeight="1">
      <c r="A21" s="4">
        <v>209.0</v>
      </c>
      <c r="B21" s="4" t="s">
        <v>398</v>
      </c>
      <c r="C21" s="4" t="s">
        <v>506</v>
      </c>
      <c r="D21" s="4" t="s">
        <v>508</v>
      </c>
    </row>
    <row r="22" ht="15.75" customHeight="1">
      <c r="A22" s="4">
        <v>213.0</v>
      </c>
      <c r="B22" s="4" t="s">
        <v>398</v>
      </c>
      <c r="C22" s="4" t="s">
        <v>510</v>
      </c>
      <c r="D22" s="4" t="s">
        <v>511</v>
      </c>
    </row>
    <row r="23" ht="15.75" customHeight="1">
      <c r="A23" s="4">
        <v>206.0</v>
      </c>
      <c r="B23" s="4" t="s">
        <v>398</v>
      </c>
      <c r="C23" s="4" t="s">
        <v>516</v>
      </c>
      <c r="D23" s="4" t="s">
        <v>519</v>
      </c>
    </row>
    <row r="24" ht="15.75" customHeight="1">
      <c r="A24" s="4">
        <v>212.0</v>
      </c>
      <c r="B24" s="4" t="s">
        <v>398</v>
      </c>
      <c r="C24" s="4" t="s">
        <v>523</v>
      </c>
      <c r="D24" s="4" t="s">
        <v>526</v>
      </c>
    </row>
    <row r="25" ht="15.75" customHeight="1">
      <c r="A25" s="4">
        <v>210.0</v>
      </c>
      <c r="B25" s="4" t="s">
        <v>398</v>
      </c>
      <c r="C25" s="4" t="s">
        <v>530</v>
      </c>
      <c r="D25" s="4" t="s">
        <v>532</v>
      </c>
    </row>
    <row r="26" ht="15.75" customHeight="1">
      <c r="A26" s="4">
        <v>208.0</v>
      </c>
      <c r="B26" s="4" t="s">
        <v>398</v>
      </c>
      <c r="C26" s="4" t="s">
        <v>536</v>
      </c>
      <c r="D26" s="4" t="s">
        <v>539</v>
      </c>
    </row>
    <row r="27" ht="15.75" customHeight="1">
      <c r="A27" s="4">
        <v>211.0</v>
      </c>
      <c r="B27" s="4" t="s">
        <v>398</v>
      </c>
      <c r="C27" s="4" t="s">
        <v>543</v>
      </c>
      <c r="D27" s="4" t="s">
        <v>545</v>
      </c>
    </row>
    <row r="28" ht="15.75" customHeight="1">
      <c r="A28" s="4">
        <v>207.0</v>
      </c>
      <c r="B28" s="4" t="s">
        <v>398</v>
      </c>
      <c r="C28" s="4" t="s">
        <v>550</v>
      </c>
      <c r="D28" s="4" t="s">
        <v>551</v>
      </c>
    </row>
    <row r="29" ht="15.75" customHeight="1">
      <c r="A29" s="4">
        <v>216.0</v>
      </c>
      <c r="B29" s="4" t="s">
        <v>398</v>
      </c>
      <c r="C29" s="4" t="s">
        <v>554</v>
      </c>
      <c r="D29" s="4" t="s">
        <v>555</v>
      </c>
    </row>
    <row r="30" ht="15.75" customHeight="1">
      <c r="A30" s="4">
        <v>61.0</v>
      </c>
      <c r="B30" s="4" t="s">
        <v>398</v>
      </c>
      <c r="C30" s="4" t="s">
        <v>559</v>
      </c>
      <c r="D30" s="4" t="s">
        <v>560</v>
      </c>
    </row>
    <row r="31" ht="15.75" customHeight="1">
      <c r="A31" s="4">
        <v>62.0</v>
      </c>
      <c r="B31" s="4" t="s">
        <v>398</v>
      </c>
      <c r="C31" s="4" t="s">
        <v>562</v>
      </c>
      <c r="D31" s="4" t="s">
        <v>565</v>
      </c>
    </row>
    <row r="32" ht="15.75" customHeight="1">
      <c r="A32" s="4">
        <v>214.0</v>
      </c>
      <c r="B32" s="4" t="s">
        <v>398</v>
      </c>
      <c r="C32" s="4" t="s">
        <v>567</v>
      </c>
      <c r="D32" s="4" t="s">
        <v>570</v>
      </c>
    </row>
    <row r="33" ht="15.75" customHeight="1">
      <c r="A33" s="4">
        <v>215.0</v>
      </c>
      <c r="B33" s="4" t="s">
        <v>398</v>
      </c>
      <c r="C33" s="4" t="s">
        <v>572</v>
      </c>
      <c r="D33" s="4" t="s">
        <v>573</v>
      </c>
    </row>
    <row r="34" ht="15.75" customHeight="1">
      <c r="A34" s="4">
        <v>220.0</v>
      </c>
      <c r="B34" s="4" t="s">
        <v>576</v>
      </c>
      <c r="C34" s="4" t="s">
        <v>579</v>
      </c>
      <c r="D34" s="4" t="s">
        <v>580</v>
      </c>
    </row>
    <row r="35" ht="15.75" customHeight="1">
      <c r="A35" s="4">
        <v>217.0</v>
      </c>
      <c r="B35" s="4" t="s">
        <v>576</v>
      </c>
      <c r="C35" s="4" t="s">
        <v>583</v>
      </c>
      <c r="D35" s="4" t="s">
        <v>586</v>
      </c>
    </row>
    <row r="36" ht="15.75" customHeight="1">
      <c r="A36" s="4">
        <v>218.0</v>
      </c>
      <c r="B36" s="4" t="s">
        <v>576</v>
      </c>
      <c r="C36" s="4" t="s">
        <v>590</v>
      </c>
      <c r="D36" s="4" t="s">
        <v>591</v>
      </c>
    </row>
    <row r="37" ht="15.75" customHeight="1">
      <c r="A37" s="4">
        <v>219.0</v>
      </c>
      <c r="B37" s="4" t="s">
        <v>576</v>
      </c>
      <c r="C37" s="4" t="s">
        <v>594</v>
      </c>
      <c r="D37" s="4" t="s">
        <v>597</v>
      </c>
    </row>
    <row r="38" ht="15.75" customHeight="1">
      <c r="A38" s="4">
        <v>243.0</v>
      </c>
      <c r="B38" s="4" t="s">
        <v>576</v>
      </c>
      <c r="C38" s="4" t="s">
        <v>1656</v>
      </c>
      <c r="D38" s="4" t="s">
        <v>1657</v>
      </c>
    </row>
    <row r="39" ht="15.75" customHeight="1">
      <c r="A39" s="4">
        <v>221.0</v>
      </c>
      <c r="B39" s="4" t="s">
        <v>576</v>
      </c>
      <c r="C39" s="4" t="s">
        <v>1658</v>
      </c>
      <c r="D39" s="4" t="s">
        <v>1659</v>
      </c>
    </row>
    <row r="40" ht="15.75" customHeight="1">
      <c r="A40" s="4">
        <v>223.0</v>
      </c>
      <c r="B40" s="4" t="s">
        <v>576</v>
      </c>
      <c r="C40" s="4" t="s">
        <v>1662</v>
      </c>
      <c r="D40" s="4" t="s">
        <v>1663</v>
      </c>
    </row>
    <row r="41" ht="15.75" customHeight="1">
      <c r="A41" s="4">
        <v>227.0</v>
      </c>
      <c r="B41" s="4" t="s">
        <v>576</v>
      </c>
      <c r="C41" s="4" t="s">
        <v>1665</v>
      </c>
      <c r="D41" s="4" t="s">
        <v>1667</v>
      </c>
    </row>
    <row r="42" ht="15.75" customHeight="1">
      <c r="A42" s="4">
        <v>222.0</v>
      </c>
      <c r="B42" s="4" t="s">
        <v>576</v>
      </c>
      <c r="C42" s="4" t="s">
        <v>1669</v>
      </c>
      <c r="D42" s="4" t="s">
        <v>1670</v>
      </c>
    </row>
    <row r="43" ht="15.75" customHeight="1">
      <c r="A43" s="4">
        <v>225.0</v>
      </c>
      <c r="B43" s="4" t="s">
        <v>576</v>
      </c>
      <c r="C43" s="4" t="s">
        <v>1672</v>
      </c>
      <c r="D43" s="4" t="s">
        <v>1674</v>
      </c>
    </row>
    <row r="44" ht="15.75" customHeight="1">
      <c r="A44" s="4">
        <v>244.0</v>
      </c>
      <c r="B44" s="4" t="s">
        <v>576</v>
      </c>
      <c r="C44" s="4" t="s">
        <v>1677</v>
      </c>
      <c r="D44" s="4" t="s">
        <v>1678</v>
      </c>
    </row>
    <row r="45" ht="15.75" customHeight="1">
      <c r="A45" s="4">
        <v>253.0</v>
      </c>
      <c r="B45" s="4" t="s">
        <v>576</v>
      </c>
      <c r="C45" s="4" t="s">
        <v>1681</v>
      </c>
      <c r="D45" s="4" t="s">
        <v>1682</v>
      </c>
    </row>
    <row r="46" ht="15.75" customHeight="1">
      <c r="A46" s="4">
        <v>224.0</v>
      </c>
      <c r="B46" s="4" t="s">
        <v>576</v>
      </c>
      <c r="C46" s="4" t="s">
        <v>1685</v>
      </c>
      <c r="D46" s="4" t="s">
        <v>1686</v>
      </c>
    </row>
    <row r="47" ht="15.75" customHeight="1">
      <c r="A47" s="4">
        <v>226.0</v>
      </c>
      <c r="B47" s="4" t="s">
        <v>576</v>
      </c>
      <c r="C47" s="4" t="s">
        <v>1689</v>
      </c>
      <c r="D47" s="4" t="s">
        <v>1690</v>
      </c>
    </row>
    <row r="48" ht="15.75" customHeight="1">
      <c r="A48" s="4">
        <v>228.0</v>
      </c>
      <c r="B48" s="4" t="s">
        <v>576</v>
      </c>
      <c r="C48" s="4" t="s">
        <v>1693</v>
      </c>
      <c r="D48" s="4" t="s">
        <v>1694</v>
      </c>
    </row>
    <row r="49" ht="15.75" customHeight="1">
      <c r="A49" s="4">
        <v>94.0</v>
      </c>
      <c r="B49" s="4" t="s">
        <v>1696</v>
      </c>
      <c r="C49" s="4" t="s">
        <v>1698</v>
      </c>
      <c r="D49" s="4" t="s">
        <v>1699</v>
      </c>
    </row>
    <row r="50" ht="15.75" customHeight="1">
      <c r="A50" s="4">
        <v>2.0</v>
      </c>
      <c r="B50" s="4" t="s">
        <v>1702</v>
      </c>
      <c r="C50" s="4" t="s">
        <v>1704</v>
      </c>
      <c r="D50" s="4" t="s">
        <v>1705</v>
      </c>
    </row>
    <row r="51" ht="15.75" customHeight="1">
      <c r="A51" s="4">
        <v>68.0</v>
      </c>
      <c r="B51" s="4" t="s">
        <v>1702</v>
      </c>
      <c r="C51" s="4" t="s">
        <v>1707</v>
      </c>
      <c r="D51" s="4" t="s">
        <v>1709</v>
      </c>
    </row>
    <row r="52" ht="15.75" customHeight="1">
      <c r="A52" s="4">
        <v>15.0</v>
      </c>
      <c r="B52" s="4" t="s">
        <v>1702</v>
      </c>
      <c r="C52" s="4" t="s">
        <v>1711</v>
      </c>
      <c r="D52" s="4" t="s">
        <v>1712</v>
      </c>
    </row>
    <row r="53" ht="15.75" customHeight="1">
      <c r="A53" s="4">
        <v>20.0</v>
      </c>
      <c r="B53" s="4" t="s">
        <v>1702</v>
      </c>
      <c r="C53" s="4" t="s">
        <v>1715</v>
      </c>
      <c r="D53" s="4" t="s">
        <v>1716</v>
      </c>
    </row>
    <row r="54" ht="15.75" customHeight="1">
      <c r="A54" s="4">
        <v>95.0</v>
      </c>
      <c r="B54" s="4" t="s">
        <v>1702</v>
      </c>
      <c r="C54" s="4" t="s">
        <v>1719</v>
      </c>
      <c r="D54" s="4" t="s">
        <v>1721</v>
      </c>
    </row>
    <row r="55" ht="15.75" customHeight="1">
      <c r="A55" s="4">
        <v>1.0</v>
      </c>
      <c r="B55" s="4" t="s">
        <v>1723</v>
      </c>
      <c r="C55" s="4" t="s">
        <v>1724</v>
      </c>
      <c r="D55" s="4" t="s">
        <v>1726</v>
      </c>
    </row>
    <row r="56" ht="15.75" customHeight="1">
      <c r="A56" s="4">
        <v>24.0</v>
      </c>
      <c r="B56" s="4" t="s">
        <v>1723</v>
      </c>
      <c r="C56" s="4" t="s">
        <v>1730</v>
      </c>
      <c r="D56" s="4" t="s">
        <v>1732</v>
      </c>
    </row>
    <row r="57" ht="15.75" customHeight="1">
      <c r="A57" s="4">
        <v>242.0</v>
      </c>
      <c r="B57" s="4" t="s">
        <v>1723</v>
      </c>
      <c r="C57" s="4" t="s">
        <v>1734</v>
      </c>
      <c r="D57" s="4" t="s">
        <v>1735</v>
      </c>
    </row>
    <row r="58" ht="15.75" customHeight="1">
      <c r="A58" s="4">
        <v>16.0</v>
      </c>
      <c r="B58" s="4" t="s">
        <v>1737</v>
      </c>
      <c r="C58" s="4" t="s">
        <v>1738</v>
      </c>
      <c r="D58" s="4" t="s">
        <v>1739</v>
      </c>
    </row>
    <row r="59" ht="15.75" customHeight="1">
      <c r="A59" s="4">
        <v>75.0</v>
      </c>
      <c r="B59" s="4" t="s">
        <v>1737</v>
      </c>
      <c r="C59" s="4" t="s">
        <v>1741</v>
      </c>
      <c r="D59" s="4" t="s">
        <v>1742</v>
      </c>
    </row>
    <row r="60" ht="15.75" customHeight="1">
      <c r="A60" s="4">
        <v>18.0</v>
      </c>
      <c r="B60" s="4" t="s">
        <v>1737</v>
      </c>
      <c r="C60" s="4" t="s">
        <v>1745</v>
      </c>
      <c r="D60" s="4" t="s">
        <v>1746</v>
      </c>
    </row>
    <row r="61" ht="15.75" customHeight="1">
      <c r="A61" s="4">
        <v>76.0</v>
      </c>
      <c r="B61" s="4" t="s">
        <v>1737</v>
      </c>
      <c r="C61" s="4" t="s">
        <v>1748</v>
      </c>
      <c r="D61" s="4" t="s">
        <v>1749</v>
      </c>
    </row>
    <row r="62" ht="15.75" customHeight="1">
      <c r="A62" s="4">
        <v>74.0</v>
      </c>
      <c r="B62" s="4" t="s">
        <v>1751</v>
      </c>
      <c r="C62" s="4" t="s">
        <v>1752</v>
      </c>
      <c r="D62" s="4" t="s">
        <v>1753</v>
      </c>
    </row>
    <row r="63" ht="15.75" customHeight="1">
      <c r="A63" s="4">
        <v>19.0</v>
      </c>
      <c r="B63" s="4" t="s">
        <v>1751</v>
      </c>
      <c r="C63" s="4" t="s">
        <v>1755</v>
      </c>
      <c r="D63" s="4" t="s">
        <v>1756</v>
      </c>
    </row>
    <row r="64" ht="15.75" customHeight="1">
      <c r="A64" s="4">
        <v>17.0</v>
      </c>
      <c r="B64" s="4" t="s">
        <v>1758</v>
      </c>
      <c r="C64" s="4" t="s">
        <v>1759</v>
      </c>
      <c r="D64" s="4" t="s">
        <v>1760</v>
      </c>
    </row>
    <row r="65" ht="15.75" customHeight="1">
      <c r="A65" s="4">
        <v>72.0</v>
      </c>
      <c r="B65" s="4" t="s">
        <v>1758</v>
      </c>
      <c r="C65" s="4" t="s">
        <v>1762</v>
      </c>
      <c r="D65" s="4" t="s">
        <v>1764</v>
      </c>
    </row>
    <row r="66" ht="15.75" customHeight="1">
      <c r="A66" s="4">
        <v>241.0</v>
      </c>
      <c r="B66" s="4" t="s">
        <v>1765</v>
      </c>
      <c r="C66" s="4" t="s">
        <v>1767</v>
      </c>
      <c r="D66" s="4" t="s">
        <v>1768</v>
      </c>
    </row>
    <row r="67" ht="15.75" customHeight="1">
      <c r="A67" s="4">
        <v>79.0</v>
      </c>
      <c r="B67" s="4" t="s">
        <v>1765</v>
      </c>
      <c r="C67" s="4" t="s">
        <v>1770</v>
      </c>
      <c r="D67" s="4" t="s">
        <v>1771</v>
      </c>
    </row>
    <row r="68" ht="15.75" customHeight="1">
      <c r="A68" s="4">
        <v>55.0</v>
      </c>
      <c r="B68" s="4" t="s">
        <v>1772</v>
      </c>
      <c r="C68" s="4" t="s">
        <v>1774</v>
      </c>
      <c r="D68" s="4" t="s">
        <v>1775</v>
      </c>
    </row>
    <row r="69" ht="15.75" customHeight="1">
      <c r="A69" s="4">
        <v>245.0</v>
      </c>
      <c r="B69" s="4" t="s">
        <v>1772</v>
      </c>
      <c r="C69" s="4" t="s">
        <v>1777</v>
      </c>
      <c r="D69" s="4" t="s">
        <v>1778</v>
      </c>
    </row>
    <row r="70" ht="15.75" customHeight="1">
      <c r="A70" s="4">
        <v>9.0</v>
      </c>
      <c r="B70" s="4" t="s">
        <v>1772</v>
      </c>
      <c r="C70" s="4" t="s">
        <v>1780</v>
      </c>
      <c r="D70" s="4" t="s">
        <v>1781</v>
      </c>
    </row>
    <row r="71" ht="15.75" customHeight="1">
      <c r="A71" s="4">
        <v>8.0</v>
      </c>
      <c r="B71" s="4" t="s">
        <v>1783</v>
      </c>
      <c r="C71" s="4" t="s">
        <v>1784</v>
      </c>
      <c r="D71" s="4" t="s">
        <v>1786</v>
      </c>
    </row>
    <row r="72" ht="15.75" customHeight="1">
      <c r="A72" s="4">
        <v>70.0</v>
      </c>
      <c r="B72" s="4" t="s">
        <v>1783</v>
      </c>
      <c r="C72" s="4" t="s">
        <v>1787</v>
      </c>
      <c r="D72" s="4" t="s">
        <v>1788</v>
      </c>
    </row>
    <row r="73" ht="15.75" customHeight="1">
      <c r="A73" s="4">
        <v>5.0</v>
      </c>
      <c r="B73" s="4" t="s">
        <v>1783</v>
      </c>
      <c r="C73" s="4" t="s">
        <v>1790</v>
      </c>
      <c r="D73" s="4" t="s">
        <v>1792</v>
      </c>
    </row>
    <row r="74" ht="15.75" customHeight="1">
      <c r="A74" s="4">
        <v>229.0</v>
      </c>
      <c r="B74" s="4" t="s">
        <v>1783</v>
      </c>
      <c r="C74" s="4" t="s">
        <v>1793</v>
      </c>
      <c r="D74" s="4" t="s">
        <v>1795</v>
      </c>
    </row>
    <row r="75" ht="15.75" customHeight="1">
      <c r="A75" s="4">
        <v>88.0</v>
      </c>
      <c r="B75" s="4" t="s">
        <v>1783</v>
      </c>
      <c r="C75" s="4" t="s">
        <v>1796</v>
      </c>
      <c r="D75" s="4" t="s">
        <v>1798</v>
      </c>
    </row>
    <row r="76" ht="15.75" customHeight="1">
      <c r="A76" s="4">
        <v>30.0</v>
      </c>
      <c r="B76" s="4" t="s">
        <v>1783</v>
      </c>
      <c r="C76" s="4" t="s">
        <v>1800</v>
      </c>
      <c r="D76" s="4" t="s">
        <v>1801</v>
      </c>
    </row>
    <row r="77" ht="15.75" customHeight="1">
      <c r="A77" s="4">
        <v>96.0</v>
      </c>
      <c r="B77" s="4" t="s">
        <v>1783</v>
      </c>
      <c r="C77" s="4" t="s">
        <v>1803</v>
      </c>
      <c r="D77" s="4" t="s">
        <v>1804</v>
      </c>
    </row>
    <row r="78" ht="15.75" customHeight="1">
      <c r="A78" s="4">
        <v>52.0</v>
      </c>
      <c r="B78" s="4" t="s">
        <v>1783</v>
      </c>
      <c r="C78" s="4" t="s">
        <v>1806</v>
      </c>
      <c r="D78" s="4" t="s">
        <v>1807</v>
      </c>
    </row>
    <row r="79" ht="15.75" customHeight="1">
      <c r="A79" s="4">
        <v>89.0</v>
      </c>
      <c r="B79" s="4" t="s">
        <v>1809</v>
      </c>
      <c r="C79" s="4" t="s">
        <v>1811</v>
      </c>
      <c r="D79" s="4" t="s">
        <v>1812</v>
      </c>
    </row>
    <row r="80" ht="15.75" customHeight="1">
      <c r="A80" s="4">
        <v>6.0</v>
      </c>
      <c r="B80" s="4" t="s">
        <v>1809</v>
      </c>
      <c r="C80" s="4" t="s">
        <v>1814</v>
      </c>
      <c r="D80" s="4" t="s">
        <v>1815</v>
      </c>
    </row>
    <row r="81" ht="15.75" customHeight="1">
      <c r="A81" s="4">
        <v>31.0</v>
      </c>
      <c r="B81" s="4" t="s">
        <v>1809</v>
      </c>
      <c r="C81" s="4" t="s">
        <v>1817</v>
      </c>
      <c r="D81" s="4" t="s">
        <v>1818</v>
      </c>
    </row>
    <row r="82" ht="15.75" customHeight="1">
      <c r="A82" s="4">
        <v>32.0</v>
      </c>
      <c r="B82" s="4" t="s">
        <v>1820</v>
      </c>
      <c r="C82" s="4" t="s">
        <v>1821</v>
      </c>
      <c r="D82" s="4" t="s">
        <v>1822</v>
      </c>
    </row>
    <row r="83" ht="15.75" customHeight="1">
      <c r="A83" s="4">
        <v>231.0</v>
      </c>
      <c r="B83" s="4" t="s">
        <v>1820</v>
      </c>
      <c r="C83" s="4" t="s">
        <v>1824</v>
      </c>
      <c r="D83" s="4" t="s">
        <v>1826</v>
      </c>
    </row>
    <row r="84" ht="15.75" customHeight="1">
      <c r="A84" s="4">
        <v>248.0</v>
      </c>
      <c r="B84" s="4" t="s">
        <v>1820</v>
      </c>
      <c r="C84" s="4" t="s">
        <v>1827</v>
      </c>
      <c r="D84" s="4" t="s">
        <v>1829</v>
      </c>
    </row>
    <row r="85" ht="15.75" customHeight="1">
      <c r="A85" s="4">
        <v>66.0</v>
      </c>
      <c r="B85" s="4" t="s">
        <v>1820</v>
      </c>
      <c r="C85" s="4" t="s">
        <v>1831</v>
      </c>
      <c r="D85" s="4" t="s">
        <v>1832</v>
      </c>
    </row>
    <row r="86" ht="15.75" customHeight="1">
      <c r="A86" s="4">
        <v>63.0</v>
      </c>
      <c r="B86" s="4" t="s">
        <v>1820</v>
      </c>
      <c r="C86" s="4" t="s">
        <v>1833</v>
      </c>
      <c r="D86" s="4" t="s">
        <v>1835</v>
      </c>
    </row>
    <row r="87" ht="15.75" customHeight="1">
      <c r="A87" s="4">
        <v>232.0</v>
      </c>
      <c r="B87" s="4" t="s">
        <v>1820</v>
      </c>
      <c r="C87" s="4" t="s">
        <v>1836</v>
      </c>
      <c r="D87" s="4" t="s">
        <v>1838</v>
      </c>
    </row>
    <row r="88" ht="15.75" customHeight="1">
      <c r="A88" s="4">
        <v>249.0</v>
      </c>
      <c r="B88" s="4" t="s">
        <v>1820</v>
      </c>
      <c r="C88" s="4" t="s">
        <v>1839</v>
      </c>
      <c r="D88" s="4" t="s">
        <v>1841</v>
      </c>
    </row>
    <row r="89" ht="15.75" customHeight="1">
      <c r="A89" s="4">
        <v>46.0</v>
      </c>
      <c r="B89" s="4" t="s">
        <v>1843</v>
      </c>
      <c r="C89" s="4" t="s">
        <v>1844</v>
      </c>
      <c r="D89" s="4" t="s">
        <v>1845</v>
      </c>
    </row>
    <row r="90" ht="15.75" customHeight="1">
      <c r="A90" s="4">
        <v>252.0</v>
      </c>
      <c r="B90" s="4" t="s">
        <v>1843</v>
      </c>
      <c r="C90" s="4" t="s">
        <v>1847</v>
      </c>
      <c r="D90" s="4" t="s">
        <v>1848</v>
      </c>
    </row>
    <row r="91" ht="15.75" customHeight="1">
      <c r="A91" s="4">
        <v>65.0</v>
      </c>
      <c r="B91" s="4" t="s">
        <v>1843</v>
      </c>
      <c r="C91" s="4" t="s">
        <v>1850</v>
      </c>
      <c r="D91" s="4" t="s">
        <v>1851</v>
      </c>
    </row>
    <row r="92" ht="15.75" customHeight="1">
      <c r="A92" s="4">
        <v>235.0</v>
      </c>
      <c r="B92" s="4" t="s">
        <v>1853</v>
      </c>
      <c r="C92" s="4" t="s">
        <v>1854</v>
      </c>
      <c r="D92" s="4" t="s">
        <v>1855</v>
      </c>
    </row>
    <row r="93" ht="15.75" customHeight="1">
      <c r="A93" s="4">
        <v>58.0</v>
      </c>
      <c r="B93" s="4" t="s">
        <v>1853</v>
      </c>
      <c r="C93" s="4" t="s">
        <v>1857</v>
      </c>
      <c r="D93" s="4" t="s">
        <v>1858</v>
      </c>
    </row>
    <row r="94" ht="15.75" customHeight="1">
      <c r="A94" s="4">
        <v>234.0</v>
      </c>
      <c r="B94" s="4" t="s">
        <v>1853</v>
      </c>
      <c r="C94" s="4" t="s">
        <v>1860</v>
      </c>
      <c r="D94" s="4" t="s">
        <v>1861</v>
      </c>
    </row>
    <row r="95" ht="15.75" customHeight="1">
      <c r="A95" s="4">
        <v>233.0</v>
      </c>
      <c r="B95" s="4" t="s">
        <v>1853</v>
      </c>
      <c r="C95" s="4" t="s">
        <v>1863</v>
      </c>
      <c r="D95" s="4" t="s">
        <v>1864</v>
      </c>
    </row>
    <row r="96" ht="15.75" customHeight="1">
      <c r="A96" s="4">
        <v>37.0</v>
      </c>
      <c r="B96" s="4" t="s">
        <v>1853</v>
      </c>
      <c r="C96" s="4" t="s">
        <v>1866</v>
      </c>
      <c r="D96" s="4" t="s">
        <v>1868</v>
      </c>
    </row>
    <row r="97" ht="15.75" customHeight="1">
      <c r="A97" s="4">
        <v>237.0</v>
      </c>
      <c r="B97" s="4" t="s">
        <v>1869</v>
      </c>
      <c r="C97" s="4" t="s">
        <v>1870</v>
      </c>
      <c r="D97" s="4" t="s">
        <v>1872</v>
      </c>
    </row>
    <row r="98" ht="15.75" customHeight="1">
      <c r="A98" s="4">
        <v>64.0</v>
      </c>
      <c r="B98" s="4" t="s">
        <v>1869</v>
      </c>
      <c r="C98" s="4" t="s">
        <v>1873</v>
      </c>
      <c r="D98" s="4" t="s">
        <v>1874</v>
      </c>
    </row>
    <row r="99" ht="15.75" customHeight="1">
      <c r="A99" s="4">
        <v>60.0</v>
      </c>
      <c r="B99" s="4" t="s">
        <v>1869</v>
      </c>
      <c r="C99" s="4" t="s">
        <v>1876</v>
      </c>
      <c r="D99" s="4" t="s">
        <v>1877</v>
      </c>
    </row>
    <row r="100" ht="15.75" customHeight="1">
      <c r="A100" s="4">
        <v>59.0</v>
      </c>
      <c r="B100" s="4" t="s">
        <v>1869</v>
      </c>
      <c r="C100" s="4" t="s">
        <v>1879</v>
      </c>
      <c r="D100" s="4" t="s">
        <v>1880</v>
      </c>
    </row>
    <row r="101" ht="15.75" customHeight="1">
      <c r="A101" s="4">
        <v>247.0</v>
      </c>
      <c r="B101" s="4" t="s">
        <v>1869</v>
      </c>
      <c r="C101" s="4" t="s">
        <v>1882</v>
      </c>
      <c r="D101" s="4" t="s">
        <v>1883</v>
      </c>
    </row>
    <row r="102" ht="15.75" customHeight="1">
      <c r="A102" s="4">
        <v>99.0</v>
      </c>
      <c r="B102" s="4" t="s">
        <v>1885</v>
      </c>
      <c r="C102" s="4" t="s">
        <v>1887</v>
      </c>
      <c r="D102" s="4" t="s">
        <v>1888</v>
      </c>
    </row>
    <row r="103" ht="15.75" customHeight="1">
      <c r="A103" s="4">
        <v>69.0</v>
      </c>
      <c r="B103" s="4" t="s">
        <v>1890</v>
      </c>
      <c r="C103" s="4" t="s">
        <v>1891</v>
      </c>
      <c r="D103" s="4" t="s">
        <v>1893</v>
      </c>
    </row>
    <row r="104" ht="15.75" customHeight="1">
      <c r="A104" s="4">
        <v>67.0</v>
      </c>
      <c r="B104" s="4" t="s">
        <v>1890</v>
      </c>
      <c r="C104" s="4" t="s">
        <v>1896</v>
      </c>
      <c r="D104" s="4" t="s">
        <v>1897</v>
      </c>
    </row>
    <row r="105" ht="15.75" customHeight="1">
      <c r="A105" s="4">
        <v>41.0</v>
      </c>
      <c r="B105" s="4" t="s">
        <v>1890</v>
      </c>
      <c r="C105" s="4" t="s">
        <v>1899</v>
      </c>
      <c r="D105" s="4" t="s">
        <v>1901</v>
      </c>
    </row>
    <row r="106" ht="15.75" customHeight="1">
      <c r="A106" s="4">
        <v>10.0</v>
      </c>
      <c r="B106" s="4" t="s">
        <v>1890</v>
      </c>
      <c r="C106" s="4" t="s">
        <v>1903</v>
      </c>
      <c r="D106" s="4" t="s">
        <v>1905</v>
      </c>
    </row>
    <row r="107" ht="15.75" customHeight="1">
      <c r="A107" s="4">
        <v>97.0</v>
      </c>
      <c r="B107" s="4" t="s">
        <v>1890</v>
      </c>
      <c r="C107" s="4" t="s">
        <v>1907</v>
      </c>
      <c r="D107" s="4" t="s">
        <v>1909</v>
      </c>
    </row>
    <row r="108" ht="15.75" customHeight="1">
      <c r="A108" s="4">
        <v>93.0</v>
      </c>
      <c r="B108" s="4" t="s">
        <v>1890</v>
      </c>
      <c r="C108" s="4" t="s">
        <v>1911</v>
      </c>
      <c r="D108" s="4" t="s">
        <v>1913</v>
      </c>
    </row>
    <row r="109" ht="15.75" customHeight="1">
      <c r="A109" s="4">
        <v>14.0</v>
      </c>
      <c r="B109" s="4" t="s">
        <v>1915</v>
      </c>
      <c r="C109" s="4" t="s">
        <v>1916</v>
      </c>
      <c r="D109" s="4" t="s">
        <v>1918</v>
      </c>
    </row>
    <row r="110" ht="15.75" customHeight="1">
      <c r="A110" s="4">
        <v>236.0</v>
      </c>
      <c r="B110" s="4" t="s">
        <v>1915</v>
      </c>
      <c r="C110" s="4" t="s">
        <v>1920</v>
      </c>
      <c r="D110" s="4" t="s">
        <v>1922</v>
      </c>
    </row>
    <row r="111" ht="15.75" customHeight="1">
      <c r="A111" s="4">
        <v>98.0</v>
      </c>
      <c r="B111" s="4" t="s">
        <v>1924</v>
      </c>
      <c r="C111" s="4" t="s">
        <v>1925</v>
      </c>
      <c r="D111" s="4" t="s">
        <v>1927</v>
      </c>
    </row>
    <row r="112" ht="15.75" customHeight="1">
      <c r="A112" s="4">
        <v>101.0</v>
      </c>
      <c r="B112" s="4" t="s">
        <v>1929</v>
      </c>
      <c r="C112" s="4" t="s">
        <v>1930</v>
      </c>
      <c r="D112" s="4" t="s">
        <v>1932</v>
      </c>
    </row>
    <row r="113" ht="15.75" customHeight="1">
      <c r="A113" s="4">
        <v>13.0</v>
      </c>
      <c r="B113" s="4" t="s">
        <v>1929</v>
      </c>
      <c r="C113" s="4" t="s">
        <v>1934</v>
      </c>
      <c r="D113" s="4" t="s">
        <v>1935</v>
      </c>
    </row>
    <row r="114" ht="15.75" customHeight="1">
      <c r="A114" s="4">
        <v>54.0</v>
      </c>
      <c r="B114" s="4" t="s">
        <v>1938</v>
      </c>
      <c r="C114" s="4" t="s">
        <v>1939</v>
      </c>
      <c r="D114" s="4" t="s">
        <v>1941</v>
      </c>
    </row>
    <row r="115" ht="15.75" customHeight="1">
      <c r="A115" s="4">
        <v>71.0</v>
      </c>
      <c r="B115" s="4" t="s">
        <v>1938</v>
      </c>
      <c r="C115" s="4" t="s">
        <v>1944</v>
      </c>
      <c r="D115" s="4" t="s">
        <v>1945</v>
      </c>
    </row>
    <row r="116" ht="15.75" customHeight="1">
      <c r="A116" s="4">
        <v>12.0</v>
      </c>
      <c r="B116" s="4" t="s">
        <v>1938</v>
      </c>
      <c r="C116" s="4" t="s">
        <v>1948</v>
      </c>
      <c r="D116" s="4" t="s">
        <v>1949</v>
      </c>
    </row>
    <row r="117" ht="15.75" customHeight="1">
      <c r="A117" s="4">
        <v>48.0</v>
      </c>
      <c r="B117" s="4" t="s">
        <v>1951</v>
      </c>
      <c r="C117" s="4" t="s">
        <v>1953</v>
      </c>
      <c r="D117" s="4" t="s">
        <v>1954</v>
      </c>
    </row>
    <row r="118" ht="15.75" customHeight="1">
      <c r="A118" s="4">
        <v>45.0</v>
      </c>
      <c r="B118" s="4" t="s">
        <v>1951</v>
      </c>
      <c r="C118" s="4" t="s">
        <v>1957</v>
      </c>
      <c r="D118" s="4" t="s">
        <v>1958</v>
      </c>
    </row>
    <row r="119" ht="15.75" customHeight="1">
      <c r="A119" s="4">
        <v>100.0</v>
      </c>
      <c r="B119" s="4" t="s">
        <v>1951</v>
      </c>
      <c r="C119" s="4" t="s">
        <v>1961</v>
      </c>
      <c r="D119" s="4" t="s">
        <v>1962</v>
      </c>
    </row>
    <row r="120" ht="15.75" customHeight="1">
      <c r="A120" s="4">
        <v>73.0</v>
      </c>
      <c r="B120" s="4" t="s">
        <v>1964</v>
      </c>
      <c r="C120" s="4" t="s">
        <v>1966</v>
      </c>
      <c r="D120" s="4" t="s">
        <v>1968</v>
      </c>
    </row>
    <row r="121" ht="15.75" customHeight="1">
      <c r="A121" s="4">
        <v>7.0</v>
      </c>
      <c r="B121" s="4" t="s">
        <v>1964</v>
      </c>
      <c r="C121" s="4" t="s">
        <v>1972</v>
      </c>
      <c r="D121" s="4" t="s">
        <v>1973</v>
      </c>
    </row>
    <row r="122" ht="15.75" customHeight="1">
      <c r="A122" s="4">
        <v>11.0</v>
      </c>
      <c r="B122" s="4" t="s">
        <v>1964</v>
      </c>
      <c r="C122" s="4" t="s">
        <v>1976</v>
      </c>
      <c r="D122" s="4" t="s">
        <v>1977</v>
      </c>
    </row>
    <row r="123" ht="15.75" customHeight="1">
      <c r="A123" s="4">
        <v>57.0</v>
      </c>
      <c r="B123" s="4" t="s">
        <v>1964</v>
      </c>
      <c r="C123" s="4" t="s">
        <v>1979</v>
      </c>
      <c r="D123" s="4" t="s">
        <v>1980</v>
      </c>
    </row>
    <row r="124" ht="15.75" customHeight="1">
      <c r="A124" s="4">
        <v>180.0</v>
      </c>
      <c r="B124" s="4" t="s">
        <v>1964</v>
      </c>
      <c r="C124" s="4" t="s">
        <v>1982</v>
      </c>
      <c r="D124" s="4" t="s">
        <v>1983</v>
      </c>
    </row>
    <row r="125" ht="15.75" customHeight="1">
      <c r="A125" s="4">
        <v>251.0</v>
      </c>
      <c r="B125" s="4" t="s">
        <v>1985</v>
      </c>
      <c r="C125" s="4" t="s">
        <v>1986</v>
      </c>
      <c r="D125" s="4" t="s">
        <v>1987</v>
      </c>
    </row>
    <row r="126" ht="15.75" customHeight="1">
      <c r="A126" s="4">
        <v>77.0</v>
      </c>
      <c r="B126" s="4" t="s">
        <v>1985</v>
      </c>
      <c r="C126" s="4" t="s">
        <v>1989</v>
      </c>
      <c r="D126" s="4" t="s">
        <v>1991</v>
      </c>
    </row>
    <row r="127" ht="15.75" customHeight="1">
      <c r="A127" s="4">
        <v>47.0</v>
      </c>
      <c r="B127" s="4" t="s">
        <v>1985</v>
      </c>
      <c r="C127" s="4" t="s">
        <v>1993</v>
      </c>
      <c r="D127" s="4" t="s">
        <v>1994</v>
      </c>
    </row>
    <row r="128" ht="15.75" customHeight="1">
      <c r="A128" s="4">
        <v>44.0</v>
      </c>
      <c r="B128" s="4" t="s">
        <v>1985</v>
      </c>
      <c r="C128" s="4" t="s">
        <v>1996</v>
      </c>
      <c r="D128" s="4" t="s">
        <v>1997</v>
      </c>
    </row>
    <row r="129" ht="15.75" customHeight="1">
      <c r="A129" s="4">
        <v>49.0</v>
      </c>
      <c r="B129" s="4" t="s">
        <v>1985</v>
      </c>
      <c r="C129" s="4" t="s">
        <v>1999</v>
      </c>
      <c r="D129" s="4" t="s">
        <v>2000</v>
      </c>
    </row>
    <row r="130" ht="15.75" customHeight="1">
      <c r="A130" s="4">
        <v>78.0</v>
      </c>
      <c r="B130" s="4" t="s">
        <v>2001</v>
      </c>
      <c r="C130" s="4" t="s">
        <v>2003</v>
      </c>
      <c r="D130" s="4" t="s">
        <v>2004</v>
      </c>
    </row>
    <row r="131" ht="15.75" customHeight="1">
      <c r="A131" s="4">
        <v>80.0</v>
      </c>
      <c r="B131" s="4" t="s">
        <v>2006</v>
      </c>
      <c r="C131" s="4" t="s">
        <v>2007</v>
      </c>
      <c r="D131" s="4" t="s">
        <v>2009</v>
      </c>
    </row>
    <row r="132" ht="15.75" customHeight="1">
      <c r="A132" s="4">
        <v>43.0</v>
      </c>
      <c r="B132" s="4" t="s">
        <v>2006</v>
      </c>
      <c r="C132" s="4" t="s">
        <v>2011</v>
      </c>
      <c r="D132" s="4" t="s">
        <v>2013</v>
      </c>
    </row>
    <row r="133" ht="15.75" customHeight="1">
      <c r="A133" s="4">
        <v>3.0</v>
      </c>
      <c r="B133" s="4" t="s">
        <v>2014</v>
      </c>
      <c r="C133" s="4" t="s">
        <v>2016</v>
      </c>
      <c r="D133" s="4" t="s">
        <v>2017</v>
      </c>
    </row>
    <row r="134" ht="15.75" customHeight="1">
      <c r="A134" s="4">
        <v>4.0</v>
      </c>
      <c r="B134" s="4" t="s">
        <v>2014</v>
      </c>
      <c r="C134" s="4" t="s">
        <v>2019</v>
      </c>
      <c r="D134" s="4" t="s">
        <v>2021</v>
      </c>
    </row>
    <row r="135" ht="15.75" customHeight="1">
      <c r="A135" s="4">
        <v>36.0</v>
      </c>
      <c r="B135" s="4" t="s">
        <v>2014</v>
      </c>
      <c r="C135" s="4" t="s">
        <v>2023</v>
      </c>
      <c r="D135" s="4" t="s">
        <v>2025</v>
      </c>
    </row>
    <row r="136" ht="15.75" customHeight="1">
      <c r="A136" s="4">
        <v>183.0</v>
      </c>
      <c r="B136" s="4" t="s">
        <v>2014</v>
      </c>
      <c r="C136" s="4" t="s">
        <v>2027</v>
      </c>
      <c r="D136" s="4" t="s">
        <v>2029</v>
      </c>
    </row>
    <row r="137" ht="15.75" customHeight="1">
      <c r="A137" s="4">
        <v>50.0</v>
      </c>
      <c r="B137" s="4" t="s">
        <v>2014</v>
      </c>
      <c r="C137" s="4" t="s">
        <v>2031</v>
      </c>
      <c r="D137" s="4" t="s">
        <v>2033</v>
      </c>
    </row>
    <row r="138" ht="15.75" customHeight="1">
      <c r="A138" s="4">
        <v>182.0</v>
      </c>
      <c r="B138" s="4" t="s">
        <v>2014</v>
      </c>
      <c r="C138" s="4" t="s">
        <v>2035</v>
      </c>
      <c r="D138" s="4" t="s">
        <v>2036</v>
      </c>
    </row>
    <row r="139" ht="15.75" customHeight="1">
      <c r="A139" s="4">
        <v>92.0</v>
      </c>
      <c r="B139" s="4" t="s">
        <v>2039</v>
      </c>
      <c r="C139" s="4" t="s">
        <v>2040</v>
      </c>
      <c r="D139" s="4" t="s">
        <v>2041</v>
      </c>
    </row>
    <row r="140" ht="15.75" customHeight="1">
      <c r="A140" s="4">
        <v>91.0</v>
      </c>
      <c r="B140" s="4" t="s">
        <v>2039</v>
      </c>
      <c r="C140" s="4" t="s">
        <v>2044</v>
      </c>
      <c r="D140" s="4" t="s">
        <v>2046</v>
      </c>
    </row>
    <row r="141" ht="15.75" customHeight="1">
      <c r="A141" s="4">
        <v>29.0</v>
      </c>
      <c r="B141" s="4" t="s">
        <v>2039</v>
      </c>
      <c r="C141" s="4" t="s">
        <v>2049</v>
      </c>
      <c r="D141" s="4" t="s">
        <v>2051</v>
      </c>
    </row>
    <row r="142" ht="15.75" customHeight="1">
      <c r="A142" s="4">
        <v>186.0</v>
      </c>
      <c r="B142" s="4" t="s">
        <v>2053</v>
      </c>
      <c r="C142" s="4" t="s">
        <v>2055</v>
      </c>
      <c r="D142" s="4" t="s">
        <v>2056</v>
      </c>
    </row>
    <row r="143" ht="15.75" customHeight="1">
      <c r="A143" s="4">
        <v>23.0</v>
      </c>
      <c r="B143" s="4" t="s">
        <v>2053</v>
      </c>
      <c r="C143" s="4" t="s">
        <v>2059</v>
      </c>
      <c r="D143" s="4" t="s">
        <v>2060</v>
      </c>
    </row>
    <row r="144" ht="15.75" customHeight="1">
      <c r="A144" s="4">
        <v>35.0</v>
      </c>
      <c r="B144" s="4" t="s">
        <v>2053</v>
      </c>
      <c r="C144" s="4" t="s">
        <v>2062</v>
      </c>
      <c r="D144" s="4" t="s">
        <v>2064</v>
      </c>
    </row>
    <row r="145" ht="15.75" customHeight="1">
      <c r="A145" s="4">
        <v>177.0</v>
      </c>
      <c r="B145" s="4" t="s">
        <v>2053</v>
      </c>
      <c r="C145" s="4" t="s">
        <v>2066</v>
      </c>
      <c r="D145" s="4" t="s">
        <v>2067</v>
      </c>
    </row>
    <row r="146" ht="15.75" customHeight="1">
      <c r="A146" s="4">
        <v>28.0</v>
      </c>
      <c r="B146" s="4" t="s">
        <v>2053</v>
      </c>
      <c r="C146" s="4" t="s">
        <v>2069</v>
      </c>
      <c r="D146" s="4" t="s">
        <v>2071</v>
      </c>
    </row>
    <row r="147" ht="15.75" customHeight="1">
      <c r="A147" s="4">
        <v>246.0</v>
      </c>
      <c r="B147" s="4" t="s">
        <v>2053</v>
      </c>
      <c r="C147" s="4" t="s">
        <v>2073</v>
      </c>
      <c r="D147" s="4" t="s">
        <v>2074</v>
      </c>
    </row>
    <row r="148" ht="15.75" customHeight="1">
      <c r="A148" s="4">
        <v>27.0</v>
      </c>
      <c r="B148" s="4" t="s">
        <v>2053</v>
      </c>
      <c r="C148" s="4" t="s">
        <v>2077</v>
      </c>
      <c r="D148" s="4" t="s">
        <v>2079</v>
      </c>
    </row>
    <row r="149" ht="15.75" customHeight="1">
      <c r="A149" s="4">
        <v>40.0</v>
      </c>
      <c r="B149" s="4" t="s">
        <v>2053</v>
      </c>
      <c r="C149" s="4" t="s">
        <v>2081</v>
      </c>
      <c r="D149" s="4" t="s">
        <v>2082</v>
      </c>
    </row>
    <row r="150" ht="15.75" customHeight="1">
      <c r="A150" s="4">
        <v>26.0</v>
      </c>
      <c r="B150" s="4" t="s">
        <v>2084</v>
      </c>
      <c r="C150" s="4" t="s">
        <v>2085</v>
      </c>
      <c r="D150" s="4" t="s">
        <v>2087</v>
      </c>
    </row>
    <row r="151" ht="15.75" customHeight="1">
      <c r="A151" s="4">
        <v>90.0</v>
      </c>
      <c r="B151" s="4" t="s">
        <v>2084</v>
      </c>
      <c r="C151" s="4" t="s">
        <v>2089</v>
      </c>
      <c r="D151" s="4" t="s">
        <v>2090</v>
      </c>
    </row>
    <row r="152" ht="15.75" customHeight="1">
      <c r="A152" s="4">
        <v>39.0</v>
      </c>
      <c r="B152" s="4" t="s">
        <v>2092</v>
      </c>
      <c r="C152" s="4" t="s">
        <v>2093</v>
      </c>
      <c r="D152" s="4" t="s">
        <v>2095</v>
      </c>
    </row>
    <row r="153" ht="15.75" customHeight="1">
      <c r="A153" s="4">
        <v>53.0</v>
      </c>
      <c r="B153" s="4" t="s">
        <v>2092</v>
      </c>
      <c r="C153" s="4" t="s">
        <v>2097</v>
      </c>
      <c r="D153" s="4" t="s">
        <v>2098</v>
      </c>
    </row>
    <row r="154" ht="15.75" customHeight="1">
      <c r="A154" s="4">
        <v>34.0</v>
      </c>
      <c r="B154" s="4" t="s">
        <v>2101</v>
      </c>
      <c r="C154" s="4" t="s">
        <v>2102</v>
      </c>
      <c r="D154" s="4" t="s">
        <v>2104</v>
      </c>
    </row>
    <row r="155" ht="15.75" customHeight="1">
      <c r="A155" s="4">
        <v>56.0</v>
      </c>
      <c r="B155" s="4" t="s">
        <v>2101</v>
      </c>
      <c r="C155" s="4" t="s">
        <v>2107</v>
      </c>
      <c r="D155" s="4" t="s">
        <v>2108</v>
      </c>
    </row>
    <row r="156" ht="15.75" customHeight="1">
      <c r="A156" s="4">
        <v>38.0</v>
      </c>
      <c r="B156" s="4" t="s">
        <v>2110</v>
      </c>
      <c r="C156" s="4" t="s">
        <v>2112</v>
      </c>
      <c r="D156" s="4" t="s">
        <v>2113</v>
      </c>
    </row>
    <row r="157" ht="15.75" customHeight="1">
      <c r="A157" s="4">
        <v>181.0</v>
      </c>
      <c r="B157" s="4" t="s">
        <v>2115</v>
      </c>
      <c r="C157" s="4" t="s">
        <v>2117</v>
      </c>
      <c r="D157" s="4" t="s">
        <v>2118</v>
      </c>
    </row>
    <row r="158" ht="15.75" customHeight="1">
      <c r="A158" s="4">
        <v>33.0</v>
      </c>
      <c r="B158" s="4" t="s">
        <v>2115</v>
      </c>
      <c r="C158" s="4" t="s">
        <v>2121</v>
      </c>
      <c r="D158" s="4" t="s">
        <v>2123</v>
      </c>
    </row>
    <row r="159" ht="15.75" customHeight="1">
      <c r="A159" s="4">
        <v>51.0</v>
      </c>
      <c r="B159" s="4" t="s">
        <v>2115</v>
      </c>
      <c r="C159" s="4" t="s">
        <v>2125</v>
      </c>
      <c r="D159" s="4" t="s">
        <v>2127</v>
      </c>
    </row>
    <row r="160" ht="15.75" customHeight="1">
      <c r="A160" s="4">
        <v>42.0</v>
      </c>
      <c r="B160" s="4" t="s">
        <v>2129</v>
      </c>
      <c r="C160" s="4" t="s">
        <v>2130</v>
      </c>
      <c r="D160" s="4" t="s">
        <v>2132</v>
      </c>
    </row>
    <row r="161" ht="15.75" customHeight="1">
      <c r="A161" s="4">
        <v>178.0</v>
      </c>
      <c r="B161" s="4" t="s">
        <v>2129</v>
      </c>
      <c r="C161" s="4" t="s">
        <v>2137</v>
      </c>
      <c r="D161" s="4" t="s">
        <v>2138</v>
      </c>
    </row>
    <row r="162" ht="15.75" customHeight="1">
      <c r="A162" s="4">
        <v>102.0</v>
      </c>
      <c r="B162" s="4" t="s">
        <v>2129</v>
      </c>
      <c r="C162" s="4" t="s">
        <v>2141</v>
      </c>
      <c r="D162" s="4" t="s">
        <v>2142</v>
      </c>
    </row>
    <row r="163" ht="15.75" customHeight="1">
      <c r="A163" s="4">
        <v>87.0</v>
      </c>
      <c r="B163" s="4" t="s">
        <v>2144</v>
      </c>
      <c r="C163" s="4" t="s">
        <v>2145</v>
      </c>
      <c r="D163" s="4" t="s">
        <v>2146</v>
      </c>
    </row>
    <row r="164" ht="15.75" customHeight="1">
      <c r="A164" s="4">
        <v>179.0</v>
      </c>
      <c r="B164" s="4" t="s">
        <v>2149</v>
      </c>
      <c r="C164" s="4" t="s">
        <v>2151</v>
      </c>
      <c r="D164" s="4" t="s">
        <v>2152</v>
      </c>
    </row>
    <row r="165" ht="15.75" customHeight="1">
      <c r="A165" s="4">
        <v>83.0</v>
      </c>
      <c r="B165" s="4" t="s">
        <v>2149</v>
      </c>
      <c r="C165" s="4" t="s">
        <v>2154</v>
      </c>
      <c r="D165" s="4" t="s">
        <v>2155</v>
      </c>
    </row>
    <row r="166" ht="15.75" customHeight="1">
      <c r="A166" s="4">
        <v>82.0</v>
      </c>
      <c r="B166" s="4" t="s">
        <v>2149</v>
      </c>
      <c r="C166" s="4" t="s">
        <v>2157</v>
      </c>
      <c r="D166" s="4" t="s">
        <v>2158</v>
      </c>
    </row>
    <row r="167" ht="15.75" customHeight="1">
      <c r="A167" s="4">
        <v>22.0</v>
      </c>
      <c r="B167" s="4" t="s">
        <v>2149</v>
      </c>
      <c r="C167" s="4" t="s">
        <v>2160</v>
      </c>
      <c r="D167" s="4" t="s">
        <v>2161</v>
      </c>
    </row>
    <row r="168" ht="15.75" customHeight="1">
      <c r="A168" s="4">
        <v>81.0</v>
      </c>
      <c r="B168" s="4" t="s">
        <v>2162</v>
      </c>
      <c r="C168" s="4" t="s">
        <v>2163</v>
      </c>
      <c r="D168" s="4" t="s">
        <v>2164</v>
      </c>
    </row>
    <row r="169" ht="15.75" customHeight="1">
      <c r="A169" s="4">
        <v>21.0</v>
      </c>
      <c r="B169" s="4" t="s">
        <v>2162</v>
      </c>
      <c r="C169" s="4" t="s">
        <v>2166</v>
      </c>
      <c r="D169" s="4" t="s">
        <v>2167</v>
      </c>
    </row>
    <row r="170" ht="15.75" customHeight="1">
      <c r="A170" s="4">
        <v>238.0</v>
      </c>
      <c r="B170" s="4" t="s">
        <v>2169</v>
      </c>
      <c r="C170" s="4" t="s">
        <v>2171</v>
      </c>
      <c r="D170" s="4" t="s">
        <v>2172</v>
      </c>
    </row>
    <row r="171" ht="15.75" customHeight="1">
      <c r="A171" s="4">
        <v>85.0</v>
      </c>
      <c r="B171" s="4" t="s">
        <v>2169</v>
      </c>
      <c r="C171" s="4" t="s">
        <v>2175</v>
      </c>
      <c r="D171" s="4" t="s">
        <v>2176</v>
      </c>
    </row>
    <row r="172" ht="15.75" customHeight="1">
      <c r="A172" s="4">
        <v>104.0</v>
      </c>
      <c r="B172" s="4" t="s">
        <v>2178</v>
      </c>
      <c r="C172" s="4" t="s">
        <v>2180</v>
      </c>
      <c r="D172" s="4" t="s">
        <v>2181</v>
      </c>
    </row>
    <row r="173" ht="15.75" customHeight="1">
      <c r="A173" s="4">
        <v>103.0</v>
      </c>
      <c r="B173" s="4" t="s">
        <v>2178</v>
      </c>
      <c r="C173" s="4" t="s">
        <v>2183</v>
      </c>
      <c r="D173" s="4" t="s">
        <v>2184</v>
      </c>
    </row>
    <row r="174" ht="15.75" customHeight="1">
      <c r="A174" s="4">
        <v>86.0</v>
      </c>
      <c r="B174" s="4" t="s">
        <v>2178</v>
      </c>
      <c r="C174" s="4" t="s">
        <v>2187</v>
      </c>
      <c r="D174" s="4" t="s">
        <v>2189</v>
      </c>
    </row>
    <row r="175" ht="15.75" customHeight="1">
      <c r="A175" s="4">
        <v>239.0</v>
      </c>
      <c r="B175" s="4" t="s">
        <v>2178</v>
      </c>
      <c r="C175" s="4" t="s">
        <v>2192</v>
      </c>
      <c r="D175" s="4" t="s">
        <v>2193</v>
      </c>
    </row>
    <row r="176" ht="15.75" customHeight="1">
      <c r="A176" s="4">
        <v>25.0</v>
      </c>
      <c r="B176" s="4" t="s">
        <v>2178</v>
      </c>
      <c r="C176" s="4" t="s">
        <v>2195</v>
      </c>
      <c r="D176" s="4" t="s">
        <v>2197</v>
      </c>
    </row>
    <row r="177" ht="15.75" customHeight="1">
      <c r="A177" s="4">
        <v>105.0</v>
      </c>
      <c r="B177" s="4" t="s">
        <v>2199</v>
      </c>
      <c r="C177" s="4" t="s">
        <v>2200</v>
      </c>
      <c r="D177" s="4" t="s">
        <v>2202</v>
      </c>
    </row>
    <row r="178" ht="15.75" customHeight="1">
      <c r="A178" s="4">
        <v>84.0</v>
      </c>
      <c r="B178" s="4" t="s">
        <v>2199</v>
      </c>
      <c r="C178" s="4" t="s">
        <v>2204</v>
      </c>
      <c r="D178" s="4" t="s">
        <v>2205</v>
      </c>
    </row>
    <row r="179" ht="15.75" customHeight="1">
      <c r="A179" s="4">
        <v>106.0</v>
      </c>
      <c r="B179" s="4" t="s">
        <v>2208</v>
      </c>
      <c r="C179" s="4" t="s">
        <v>2209</v>
      </c>
      <c r="D179" s="4" t="s">
        <v>2211</v>
      </c>
    </row>
    <row r="180" ht="15.75" customHeight="1">
      <c r="A180" s="4">
        <v>240.0</v>
      </c>
      <c r="B180" s="4" t="s">
        <v>2208</v>
      </c>
      <c r="C180" s="4" t="s">
        <v>2213</v>
      </c>
      <c r="D180" s="4" t="s">
        <v>2214</v>
      </c>
    </row>
    <row r="181" ht="15.75" customHeight="1">
      <c r="A181" s="4">
        <v>107.0</v>
      </c>
      <c r="B181" s="4" t="s">
        <v>2208</v>
      </c>
      <c r="C181" s="4" t="s">
        <v>2217</v>
      </c>
      <c r="D181" s="4" t="s">
        <v>2219</v>
      </c>
    </row>
    <row r="182" ht="15.75" customHeight="1">
      <c r="A182" s="4">
        <v>108.0</v>
      </c>
      <c r="B182" s="4" t="s">
        <v>2221</v>
      </c>
      <c r="C182" s="4" t="s">
        <v>2223</v>
      </c>
      <c r="D182" s="4" t="s">
        <v>2224</v>
      </c>
    </row>
    <row r="183" ht="15.75" customHeight="1">
      <c r="A183" s="4">
        <v>109.0</v>
      </c>
      <c r="B183" s="4" t="s">
        <v>2221</v>
      </c>
      <c r="C183" s="4" t="s">
        <v>2226</v>
      </c>
      <c r="D183" s="4" t="s">
        <v>2228</v>
      </c>
    </row>
    <row r="184" ht="15.75" customHeight="1">
      <c r="A184" s="4">
        <v>111.0</v>
      </c>
      <c r="B184" s="4" t="s">
        <v>2230</v>
      </c>
      <c r="C184" s="4" t="s">
        <v>2232</v>
      </c>
      <c r="D184" s="4" t="s">
        <v>2233</v>
      </c>
    </row>
    <row r="185" ht="15.75" customHeight="1">
      <c r="A185" s="4">
        <v>110.0</v>
      </c>
      <c r="B185" s="4" t="s">
        <v>2230</v>
      </c>
      <c r="C185" s="4" t="s">
        <v>2236</v>
      </c>
      <c r="D185" s="4" t="s">
        <v>2237</v>
      </c>
    </row>
    <row r="186" ht="15.75" customHeight="1">
      <c r="A186" s="4">
        <v>113.0</v>
      </c>
      <c r="B186" s="4" t="s">
        <v>2239</v>
      </c>
      <c r="C186" s="4" t="s">
        <v>2240</v>
      </c>
      <c r="D186" s="4" t="s">
        <v>2242</v>
      </c>
    </row>
    <row r="187" ht="15.75" customHeight="1">
      <c r="A187" s="4">
        <v>112.0</v>
      </c>
      <c r="B187" s="4" t="s">
        <v>2239</v>
      </c>
      <c r="C187" s="4" t="s">
        <v>2244</v>
      </c>
      <c r="D187" s="4" t="s">
        <v>2246</v>
      </c>
    </row>
    <row r="188" ht="15.75" customHeight="1">
      <c r="A188" s="4">
        <v>115.0</v>
      </c>
      <c r="B188" s="4" t="s">
        <v>2248</v>
      </c>
      <c r="C188" s="4" t="s">
        <v>2249</v>
      </c>
      <c r="D188" s="4" t="s">
        <v>2251</v>
      </c>
    </row>
    <row r="189" ht="15.75" customHeight="1">
      <c r="A189" s="4">
        <v>114.0</v>
      </c>
      <c r="B189" s="4" t="s">
        <v>2248</v>
      </c>
      <c r="C189" s="4" t="s">
        <v>2253</v>
      </c>
      <c r="D189" s="4" t="s">
        <v>2255</v>
      </c>
    </row>
    <row r="190" ht="15.75" customHeight="1">
      <c r="A190" s="4">
        <v>116.0</v>
      </c>
      <c r="B190" s="4" t="s">
        <v>2257</v>
      </c>
      <c r="C190" s="4" t="s">
        <v>2258</v>
      </c>
      <c r="D190" s="4" t="s">
        <v>2259</v>
      </c>
    </row>
    <row r="191" ht="15.75" customHeight="1">
      <c r="A191" s="4">
        <v>117.0</v>
      </c>
      <c r="B191" s="4" t="s">
        <v>2257</v>
      </c>
      <c r="C191" s="4" t="s">
        <v>2262</v>
      </c>
      <c r="D191" s="4" t="s">
        <v>2263</v>
      </c>
    </row>
    <row r="192" ht="15.75" customHeight="1">
      <c r="A192" s="4">
        <v>118.0</v>
      </c>
      <c r="B192" s="4" t="s">
        <v>2266</v>
      </c>
      <c r="C192" s="4" t="s">
        <v>2267</v>
      </c>
      <c r="D192" s="4" t="s">
        <v>2269</v>
      </c>
    </row>
    <row r="193" ht="15.75" customHeight="1">
      <c r="A193" s="4">
        <v>119.0</v>
      </c>
      <c r="B193" s="4" t="s">
        <v>2266</v>
      </c>
      <c r="C193" s="4" t="s">
        <v>2271</v>
      </c>
      <c r="D193" s="4" t="s">
        <v>2272</v>
      </c>
    </row>
    <row r="194" ht="15.75" customHeight="1">
      <c r="A194" s="4">
        <v>121.0</v>
      </c>
      <c r="B194" s="4" t="s">
        <v>2274</v>
      </c>
      <c r="C194" s="4" t="s">
        <v>2275</v>
      </c>
      <c r="D194" s="4" t="s">
        <v>2276</v>
      </c>
    </row>
    <row r="195" ht="15.75" customHeight="1">
      <c r="A195" s="4">
        <v>122.0</v>
      </c>
      <c r="B195" s="4" t="s">
        <v>2274</v>
      </c>
      <c r="C195" s="4" t="s">
        <v>2278</v>
      </c>
      <c r="D195" s="4" t="s">
        <v>2279</v>
      </c>
    </row>
    <row r="196" ht="15.75" customHeight="1">
      <c r="A196" s="4">
        <v>250.0</v>
      </c>
      <c r="B196" s="4" t="s">
        <v>2274</v>
      </c>
      <c r="C196" s="4" t="s">
        <v>2281</v>
      </c>
      <c r="D196" s="4" t="s">
        <v>2282</v>
      </c>
    </row>
    <row r="197" ht="15.75" customHeight="1">
      <c r="A197" s="4">
        <v>120.0</v>
      </c>
      <c r="B197" s="4" t="s">
        <v>2274</v>
      </c>
      <c r="C197" s="4" t="s">
        <v>2284</v>
      </c>
      <c r="D197" s="4" t="s">
        <v>2285</v>
      </c>
    </row>
    <row r="198" ht="15.75" customHeight="1">
      <c r="A198" s="4">
        <v>124.0</v>
      </c>
      <c r="B198" s="4" t="s">
        <v>2287</v>
      </c>
      <c r="C198" s="4" t="s">
        <v>2288</v>
      </c>
      <c r="D198" s="4" t="s">
        <v>2289</v>
      </c>
    </row>
    <row r="199" ht="15.75" customHeight="1">
      <c r="A199" s="4">
        <v>123.0</v>
      </c>
      <c r="B199" s="4" t="s">
        <v>2287</v>
      </c>
      <c r="C199" s="4" t="s">
        <v>2291</v>
      </c>
      <c r="D199" s="4" t="s">
        <v>2292</v>
      </c>
    </row>
    <row r="200" ht="15.75" customHeight="1">
      <c r="A200" s="4">
        <v>126.0</v>
      </c>
      <c r="B200" s="4" t="s">
        <v>2294</v>
      </c>
      <c r="C200" s="4" t="s">
        <v>2295</v>
      </c>
      <c r="D200" s="4" t="s">
        <v>2296</v>
      </c>
    </row>
    <row r="201" ht="15.75" customHeight="1">
      <c r="A201" s="4">
        <v>125.0</v>
      </c>
      <c r="B201" s="4" t="s">
        <v>2294</v>
      </c>
      <c r="C201" s="4" t="s">
        <v>2298</v>
      </c>
      <c r="D201" s="4" t="s">
        <v>2299</v>
      </c>
    </row>
    <row r="202" ht="15.75" customHeight="1">
      <c r="A202" s="4">
        <v>128.0</v>
      </c>
      <c r="B202" s="4" t="s">
        <v>2301</v>
      </c>
      <c r="C202" s="4" t="s">
        <v>2302</v>
      </c>
      <c r="D202" s="4" t="s">
        <v>2303</v>
      </c>
    </row>
    <row r="203" ht="15.75" customHeight="1">
      <c r="A203" s="4">
        <v>127.0</v>
      </c>
      <c r="B203" s="4" t="s">
        <v>2301</v>
      </c>
      <c r="C203" s="4" t="s">
        <v>2305</v>
      </c>
      <c r="D203" s="4" t="s">
        <v>2306</v>
      </c>
    </row>
    <row r="204" ht="15.75" customHeight="1">
      <c r="A204" s="4">
        <v>130.0</v>
      </c>
      <c r="B204" s="4" t="s">
        <v>2308</v>
      </c>
      <c r="C204" s="4" t="s">
        <v>2309</v>
      </c>
      <c r="D204" s="4" t="s">
        <v>2310</v>
      </c>
    </row>
    <row r="205" ht="15.75" customHeight="1">
      <c r="A205" s="4">
        <v>129.0</v>
      </c>
      <c r="B205" s="4" t="s">
        <v>2308</v>
      </c>
      <c r="C205" s="4" t="s">
        <v>2312</v>
      </c>
      <c r="D205" s="4" t="s">
        <v>2313</v>
      </c>
    </row>
    <row r="206" ht="15.75" customHeight="1">
      <c r="A206" s="4">
        <v>131.0</v>
      </c>
      <c r="B206" s="4" t="s">
        <v>2308</v>
      </c>
      <c r="C206" s="4" t="s">
        <v>2315</v>
      </c>
      <c r="D206" s="4" t="s">
        <v>2316</v>
      </c>
    </row>
    <row r="207" ht="15.75" customHeight="1">
      <c r="A207" s="4">
        <v>132.0</v>
      </c>
      <c r="B207" s="4" t="s">
        <v>2318</v>
      </c>
      <c r="C207" s="4" t="s">
        <v>2319</v>
      </c>
      <c r="D207" s="4" t="s">
        <v>2320</v>
      </c>
    </row>
    <row r="208" ht="15.75" customHeight="1">
      <c r="A208" s="4">
        <v>134.0</v>
      </c>
      <c r="B208" s="4" t="s">
        <v>2318</v>
      </c>
      <c r="C208" s="4" t="s">
        <v>2322</v>
      </c>
      <c r="D208" s="4" t="s">
        <v>2323</v>
      </c>
    </row>
    <row r="209" ht="15.75" customHeight="1">
      <c r="A209" s="4">
        <v>133.0</v>
      </c>
      <c r="B209" s="4" t="s">
        <v>2318</v>
      </c>
      <c r="C209" s="4" t="s">
        <v>2325</v>
      </c>
      <c r="D209" s="4" t="s">
        <v>2326</v>
      </c>
    </row>
    <row r="210" ht="15.75" customHeight="1">
      <c r="A210" s="4">
        <v>137.0</v>
      </c>
      <c r="B210" s="4" t="s">
        <v>2318</v>
      </c>
      <c r="C210" s="4" t="s">
        <v>2328</v>
      </c>
      <c r="D210" s="4" t="s">
        <v>2329</v>
      </c>
    </row>
    <row r="211" ht="15.75" customHeight="1">
      <c r="A211" s="4">
        <v>136.0</v>
      </c>
      <c r="B211" s="4" t="s">
        <v>2318</v>
      </c>
      <c r="C211" s="4" t="s">
        <v>2331</v>
      </c>
      <c r="D211" s="4" t="s">
        <v>2332</v>
      </c>
    </row>
    <row r="212" ht="15.75" customHeight="1">
      <c r="A212" s="4">
        <v>135.0</v>
      </c>
      <c r="B212" s="4" t="s">
        <v>2318</v>
      </c>
      <c r="C212" s="4" t="s">
        <v>2334</v>
      </c>
      <c r="D212" s="4" t="s">
        <v>2335</v>
      </c>
    </row>
    <row r="213" ht="15.75" customHeight="1">
      <c r="A213" s="4">
        <v>140.0</v>
      </c>
      <c r="B213" s="4" t="s">
        <v>2337</v>
      </c>
      <c r="C213" s="4" t="s">
        <v>2338</v>
      </c>
      <c r="D213" s="4" t="s">
        <v>2340</v>
      </c>
    </row>
    <row r="214" ht="15.75" customHeight="1">
      <c r="A214" s="4">
        <v>142.0</v>
      </c>
      <c r="B214" s="4" t="s">
        <v>2337</v>
      </c>
      <c r="C214" s="4" t="s">
        <v>2342</v>
      </c>
      <c r="D214" s="4" t="s">
        <v>2344</v>
      </c>
    </row>
    <row r="215" ht="15.75" customHeight="1">
      <c r="A215" s="4">
        <v>138.0</v>
      </c>
      <c r="B215" s="4" t="s">
        <v>2337</v>
      </c>
      <c r="C215" s="4" t="s">
        <v>2346</v>
      </c>
      <c r="D215" s="4" t="s">
        <v>2347</v>
      </c>
    </row>
    <row r="216" ht="15.75" customHeight="1">
      <c r="A216" s="4">
        <v>141.0</v>
      </c>
      <c r="B216" s="4" t="s">
        <v>2337</v>
      </c>
      <c r="C216" s="4" t="s">
        <v>2349</v>
      </c>
      <c r="D216" s="4" t="s">
        <v>2350</v>
      </c>
    </row>
    <row r="217" ht="15.75" customHeight="1">
      <c r="A217" s="4">
        <v>175.0</v>
      </c>
      <c r="B217" s="4" t="s">
        <v>2337</v>
      </c>
      <c r="C217" s="4" t="s">
        <v>2352</v>
      </c>
      <c r="D217" s="4" t="s">
        <v>2353</v>
      </c>
    </row>
    <row r="218" ht="15.75" customHeight="1">
      <c r="A218" s="4">
        <v>139.0</v>
      </c>
      <c r="B218" s="4" t="s">
        <v>2337</v>
      </c>
      <c r="C218" s="4" t="s">
        <v>2355</v>
      </c>
      <c r="D218" s="4" t="s">
        <v>2356</v>
      </c>
    </row>
    <row r="219" ht="15.75" customHeight="1">
      <c r="A219" s="4">
        <v>144.0</v>
      </c>
      <c r="B219" s="4" t="s">
        <v>2358</v>
      </c>
      <c r="C219" s="4" t="s">
        <v>2359</v>
      </c>
      <c r="D219" s="4" t="s">
        <v>2360</v>
      </c>
    </row>
    <row r="220" ht="15.75" customHeight="1">
      <c r="A220" s="4">
        <v>143.0</v>
      </c>
      <c r="B220" s="4" t="s">
        <v>2358</v>
      </c>
      <c r="C220" s="4" t="s">
        <v>2363</v>
      </c>
      <c r="D220" s="4" t="s">
        <v>2364</v>
      </c>
    </row>
    <row r="221" ht="15.75" customHeight="1">
      <c r="A221" s="4">
        <v>146.0</v>
      </c>
      <c r="B221" s="4" t="s">
        <v>2367</v>
      </c>
      <c r="C221" s="4" t="s">
        <v>2368</v>
      </c>
      <c r="D221" s="4" t="s">
        <v>2369</v>
      </c>
    </row>
    <row r="222" ht="15.75" customHeight="1">
      <c r="A222" s="4">
        <v>147.0</v>
      </c>
      <c r="B222" s="4" t="s">
        <v>2367</v>
      </c>
      <c r="C222" s="4" t="s">
        <v>2371</v>
      </c>
      <c r="D222" s="4" t="s">
        <v>2372</v>
      </c>
    </row>
    <row r="223" ht="15.75" customHeight="1">
      <c r="A223" s="4">
        <v>145.0</v>
      </c>
      <c r="B223" s="4" t="s">
        <v>2367</v>
      </c>
      <c r="C223" s="4" t="s">
        <v>2374</v>
      </c>
      <c r="D223" s="4" t="s">
        <v>2375</v>
      </c>
    </row>
    <row r="224" ht="15.75" customHeight="1">
      <c r="A224" s="4">
        <v>176.0</v>
      </c>
      <c r="B224" s="4" t="s">
        <v>2367</v>
      </c>
      <c r="C224" s="4" t="s">
        <v>2376</v>
      </c>
      <c r="D224" s="4" t="s">
        <v>2378</v>
      </c>
    </row>
    <row r="225" ht="15.75" customHeight="1">
      <c r="A225" s="4">
        <v>149.0</v>
      </c>
      <c r="B225" s="4" t="s">
        <v>2379</v>
      </c>
      <c r="C225" s="4" t="s">
        <v>2380</v>
      </c>
      <c r="D225" s="4" t="s">
        <v>2382</v>
      </c>
    </row>
    <row r="226" ht="15.75" customHeight="1">
      <c r="A226" s="4">
        <v>148.0</v>
      </c>
      <c r="B226" s="4" t="s">
        <v>2379</v>
      </c>
      <c r="C226" s="4" t="s">
        <v>2384</v>
      </c>
      <c r="D226" s="4" t="s">
        <v>2385</v>
      </c>
    </row>
    <row r="227" ht="15.75" customHeight="1">
      <c r="A227" s="4">
        <v>150.0</v>
      </c>
      <c r="B227" s="4" t="s">
        <v>2387</v>
      </c>
      <c r="C227" s="4" t="s">
        <v>2388</v>
      </c>
      <c r="D227" s="4" t="s">
        <v>2389</v>
      </c>
    </row>
    <row r="228" ht="15.75" customHeight="1">
      <c r="A228" s="4">
        <v>156.0</v>
      </c>
      <c r="B228" s="4" t="s">
        <v>2391</v>
      </c>
      <c r="C228" s="4" t="s">
        <v>2392</v>
      </c>
      <c r="D228" s="4" t="s">
        <v>2393</v>
      </c>
    </row>
    <row r="229" ht="15.75" customHeight="1">
      <c r="A229" s="4">
        <v>152.0</v>
      </c>
      <c r="B229" s="4" t="s">
        <v>2391</v>
      </c>
      <c r="C229" s="4" t="s">
        <v>2395</v>
      </c>
      <c r="D229" s="4" t="s">
        <v>2396</v>
      </c>
    </row>
    <row r="230" ht="15.75" customHeight="1">
      <c r="A230" s="4">
        <v>153.0</v>
      </c>
      <c r="B230" s="4" t="s">
        <v>2391</v>
      </c>
      <c r="C230" s="4" t="s">
        <v>2398</v>
      </c>
      <c r="D230" s="4" t="s">
        <v>2400</v>
      </c>
    </row>
    <row r="231" ht="15.75" customHeight="1">
      <c r="A231" s="4">
        <v>154.0</v>
      </c>
      <c r="B231" s="4" t="s">
        <v>2391</v>
      </c>
      <c r="C231" s="4" t="s">
        <v>2402</v>
      </c>
      <c r="D231" s="4" t="s">
        <v>2403</v>
      </c>
    </row>
    <row r="232" ht="15.75" customHeight="1">
      <c r="A232" s="4">
        <v>151.0</v>
      </c>
      <c r="B232" s="4" t="s">
        <v>2391</v>
      </c>
      <c r="C232" s="4" t="s">
        <v>2405</v>
      </c>
      <c r="D232" s="4" t="s">
        <v>2406</v>
      </c>
    </row>
    <row r="233" ht="15.75" customHeight="1">
      <c r="A233" s="4">
        <v>157.0</v>
      </c>
      <c r="B233" s="4" t="s">
        <v>2391</v>
      </c>
      <c r="C233" s="4" t="s">
        <v>2407</v>
      </c>
      <c r="D233" s="4" t="s">
        <v>2408</v>
      </c>
    </row>
    <row r="234" ht="15.75" customHeight="1">
      <c r="A234" s="4">
        <v>155.0</v>
      </c>
      <c r="B234" s="4" t="s">
        <v>2391</v>
      </c>
      <c r="C234" s="4" t="s">
        <v>2409</v>
      </c>
      <c r="D234" s="4" t="s">
        <v>2410</v>
      </c>
    </row>
    <row r="235" ht="15.75" customHeight="1">
      <c r="A235" s="4">
        <v>159.0</v>
      </c>
      <c r="B235" s="4" t="s">
        <v>2411</v>
      </c>
      <c r="C235" s="4" t="s">
        <v>2412</v>
      </c>
      <c r="D235" s="4" t="s">
        <v>2413</v>
      </c>
    </row>
    <row r="236" ht="15.75" customHeight="1">
      <c r="A236" s="4">
        <v>158.0</v>
      </c>
      <c r="B236" s="4" t="s">
        <v>2411</v>
      </c>
      <c r="C236" s="4" t="s">
        <v>2414</v>
      </c>
      <c r="D236" s="4" t="s">
        <v>2415</v>
      </c>
    </row>
    <row r="237" ht="15.75" customHeight="1">
      <c r="A237" s="4">
        <v>160.0</v>
      </c>
      <c r="B237" s="4" t="s">
        <v>2411</v>
      </c>
      <c r="C237" s="4" t="s">
        <v>2416</v>
      </c>
      <c r="D237" s="4" t="s">
        <v>2417</v>
      </c>
    </row>
    <row r="238" ht="15.75" customHeight="1">
      <c r="A238" s="4">
        <v>161.0</v>
      </c>
      <c r="B238" s="4" t="s">
        <v>2411</v>
      </c>
      <c r="C238" s="4" t="s">
        <v>2418</v>
      </c>
      <c r="D238" s="4" t="s">
        <v>2419</v>
      </c>
    </row>
    <row r="239" ht="15.75" customHeight="1">
      <c r="A239" s="4">
        <v>162.0</v>
      </c>
      <c r="B239" s="4" t="s">
        <v>2421</v>
      </c>
      <c r="C239" s="4" t="s">
        <v>2422</v>
      </c>
      <c r="D239" s="4" t="s">
        <v>2423</v>
      </c>
    </row>
    <row r="240" ht="15.75" customHeight="1">
      <c r="A240" s="4">
        <v>165.0</v>
      </c>
      <c r="B240" s="4" t="s">
        <v>2421</v>
      </c>
      <c r="C240" s="4" t="s">
        <v>2426</v>
      </c>
      <c r="D240" s="4" t="s">
        <v>2427</v>
      </c>
    </row>
    <row r="241" ht="15.75" customHeight="1">
      <c r="A241" s="4">
        <v>167.0</v>
      </c>
      <c r="B241" s="4" t="s">
        <v>2421</v>
      </c>
      <c r="C241" s="4" t="s">
        <v>2429</v>
      </c>
      <c r="D241" s="4" t="s">
        <v>2431</v>
      </c>
    </row>
    <row r="242" ht="15.75" customHeight="1">
      <c r="A242" s="4">
        <v>163.0</v>
      </c>
      <c r="B242" s="4" t="s">
        <v>2421</v>
      </c>
      <c r="C242" s="4" t="s">
        <v>2433</v>
      </c>
      <c r="D242" s="4" t="s">
        <v>2435</v>
      </c>
    </row>
    <row r="243" ht="15.75" customHeight="1">
      <c r="A243" s="4">
        <v>164.0</v>
      </c>
      <c r="B243" s="4" t="s">
        <v>2421</v>
      </c>
      <c r="C243" s="4" t="s">
        <v>2437</v>
      </c>
      <c r="D243" s="4" t="s">
        <v>2439</v>
      </c>
    </row>
    <row r="244" ht="15.75" customHeight="1">
      <c r="A244" s="4">
        <v>166.0</v>
      </c>
      <c r="B244" s="4" t="s">
        <v>2421</v>
      </c>
      <c r="C244" s="4" t="s">
        <v>2441</v>
      </c>
      <c r="D244" s="4" t="s">
        <v>2443</v>
      </c>
    </row>
    <row r="245" ht="15.75" customHeight="1">
      <c r="A245" s="4">
        <v>169.0</v>
      </c>
      <c r="B245" s="4" t="s">
        <v>2445</v>
      </c>
      <c r="C245" s="4" t="s">
        <v>2446</v>
      </c>
      <c r="D245" s="4" t="s">
        <v>2447</v>
      </c>
    </row>
    <row r="246" ht="15.75" customHeight="1">
      <c r="A246" s="4">
        <v>170.0</v>
      </c>
      <c r="B246" s="4" t="s">
        <v>2445</v>
      </c>
      <c r="C246" s="4" t="s">
        <v>2450</v>
      </c>
      <c r="D246" s="4" t="s">
        <v>2451</v>
      </c>
    </row>
    <row r="247" ht="15.75" customHeight="1">
      <c r="A247" s="4">
        <v>168.0</v>
      </c>
      <c r="B247" s="4" t="s">
        <v>2445</v>
      </c>
      <c r="C247" s="4" t="s">
        <v>2454</v>
      </c>
      <c r="D247" s="4" t="s">
        <v>2455</v>
      </c>
    </row>
    <row r="248" ht="15.75" customHeight="1">
      <c r="A248" s="4">
        <v>185.0</v>
      </c>
      <c r="B248" s="4" t="s">
        <v>2457</v>
      </c>
      <c r="C248" s="4" t="s">
        <v>2459</v>
      </c>
      <c r="D248" s="4" t="s">
        <v>2460</v>
      </c>
    </row>
    <row r="249" ht="15.75" customHeight="1">
      <c r="A249" s="4">
        <v>171.0</v>
      </c>
      <c r="B249" s="4" t="s">
        <v>2457</v>
      </c>
      <c r="C249" s="4" t="s">
        <v>2462</v>
      </c>
      <c r="D249" s="4" t="s">
        <v>2463</v>
      </c>
    </row>
    <row r="250" ht="15.75" customHeight="1">
      <c r="A250" s="4">
        <v>173.0</v>
      </c>
      <c r="B250" s="4" t="s">
        <v>2457</v>
      </c>
      <c r="C250" s="4" t="s">
        <v>2466</v>
      </c>
      <c r="D250" s="4" t="s">
        <v>2467</v>
      </c>
    </row>
    <row r="251" ht="15.75" customHeight="1">
      <c r="A251" s="4">
        <v>172.0</v>
      </c>
      <c r="B251" s="4" t="s">
        <v>2457</v>
      </c>
      <c r="C251" s="4" t="s">
        <v>2469</v>
      </c>
      <c r="D251" s="4" t="s">
        <v>2471</v>
      </c>
    </row>
    <row r="252" ht="15.75" customHeight="1">
      <c r="A252" s="4">
        <v>184.0</v>
      </c>
      <c r="B252" s="4" t="s">
        <v>2473</v>
      </c>
      <c r="C252" s="4" t="s">
        <v>2474</v>
      </c>
      <c r="D252" s="4" t="s">
        <v>2475</v>
      </c>
    </row>
    <row r="253" ht="15.75" customHeight="1">
      <c r="A253" s="4">
        <v>174.0</v>
      </c>
      <c r="B253" s="4" t="s">
        <v>2477</v>
      </c>
      <c r="C253" s="4" t="s">
        <v>2479</v>
      </c>
      <c r="D253" s="4" t="s">
        <v>2480</v>
      </c>
    </row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7.25"/>
    <col customWidth="1" min="2" max="2" width="6.38"/>
    <col customWidth="1" min="3" max="3" width="10.13"/>
    <col customWidth="1" min="9" max="27" width="10.13"/>
    <col customWidth="1" min="28" max="28" width="34.0"/>
  </cols>
  <sheetData>
    <row r="1">
      <c r="A1" s="2" t="s">
        <v>1</v>
      </c>
      <c r="B1" s="5" t="s">
        <v>779</v>
      </c>
      <c r="C1" s="2" t="s">
        <v>806</v>
      </c>
      <c r="D1" s="2" t="s">
        <v>8</v>
      </c>
      <c r="E1" s="6" t="s">
        <v>814</v>
      </c>
      <c r="F1" s="7" t="s">
        <v>825</v>
      </c>
      <c r="G1" s="2" t="s">
        <v>829</v>
      </c>
      <c r="H1" s="6" t="s">
        <v>832</v>
      </c>
      <c r="I1" s="7" t="s">
        <v>835</v>
      </c>
      <c r="J1" s="2" t="s">
        <v>838</v>
      </c>
      <c r="K1" s="6" t="s">
        <v>842</v>
      </c>
      <c r="L1" s="7" t="s">
        <v>846</v>
      </c>
      <c r="M1" s="2" t="s">
        <v>849</v>
      </c>
      <c r="N1" s="6" t="s">
        <v>853</v>
      </c>
      <c r="O1" s="7" t="s">
        <v>857</v>
      </c>
      <c r="P1" s="6" t="s">
        <v>860</v>
      </c>
      <c r="Q1" s="6" t="s">
        <v>863</v>
      </c>
      <c r="R1" s="7" t="s">
        <v>866</v>
      </c>
      <c r="S1" s="6" t="s">
        <v>870</v>
      </c>
      <c r="T1" s="7" t="s">
        <v>873</v>
      </c>
      <c r="U1" s="2" t="s">
        <v>876</v>
      </c>
      <c r="V1" s="2" t="s">
        <v>879</v>
      </c>
      <c r="W1" s="2" t="s">
        <v>882</v>
      </c>
      <c r="X1" s="2" t="s">
        <v>885</v>
      </c>
      <c r="Y1" s="6" t="s">
        <v>888</v>
      </c>
      <c r="Z1" s="7" t="s">
        <v>891</v>
      </c>
      <c r="AA1" s="2" t="s">
        <v>892</v>
      </c>
      <c r="AB1" s="2" t="s">
        <v>3</v>
      </c>
    </row>
    <row r="2">
      <c r="A2" s="4">
        <v>187</v>
      </c>
      <c r="B2" s="8">
        <v>1.0</v>
      </c>
      <c r="C2" s="9" t="b">
        <v>1</v>
      </c>
      <c r="D2" s="4" t="inlineStr">
        <is>
          <t>徳山館</t>
        </is>
      </c>
      <c r="E2" s="10" t="inlineStr">
        <is>
          <t>とくやまやかた</t>
        </is>
      </c>
      <c r="F2" s="11" t="str">
        <f t="array" ref="F2">IF(A2:A253="","",_xlfn.XLOOKUP(A2:A253,'参照_拠点'!A:A,'参照_拠点'!B:B,"見つかりません"))</f>
      </c>
      <c r="G2" s="12" t="str">
        <f t="array" ref="G2">IF(K2:K253="","",_xlfn.XLOOKUP(K2:K253,'参照_武将'!A:A,'参照_武将'!B:B,"見つかりません"))</f>
      </c>
      <c r="H2" s="14" t="str">
        <f t="array" ref="H2">IF(I2:I253="","",_xlfn.XLOOKUP(I2:I253,'参照_勢力'!A:A,'参照_勢力'!B:B,"見つかりません"))</f>
      </c>
      <c r="I2" s="15">
        <v>67</v>
      </c>
      <c r="J2" s="4">
        <v>0</v>
      </c>
      <c r="K2" s="10">
        <v>1067003</v>
      </c>
      <c r="L2" s="16">
        <f>300 + ROUND((((P2/15)+(Y2/10))*(SQRT(AA2)/100+1)+O2)/((COUNTIF(I:I, I2)/30)+1), 0)</f>
        <v>2649</v>
      </c>
      <c r="M2" s="4">
        <v>50</v>
      </c>
      <c r="N2" s="10">
        <v>50</v>
      </c>
      <c r="O2" s="16">
        <f>ROUND(500+((AA2*0.01)+(Z2/3)+(V2/10))*6,0)</f>
        <v>1318</v>
      </c>
      <c r="P2" s="17">
        <f>ROUND((T2 * 2.5) * SQRT(Z2)
,0) + (O2 * 2)</f>
        <v>7036</v>
      </c>
      <c r="Q2" s="17">
        <v>1000</v>
      </c>
      <c r="R2" s="16">
        <f>ROUNDDOWN(L2*0.4, -1)</f>
        <v>1050</v>
      </c>
      <c r="S2" s="17">
        <f>ROUNDDOWN(L2*0.005, -1)</f>
        <v>10</v>
      </c>
      <c r="T2" s="15">
        <v>220</v>
      </c>
      <c r="U2" s="4">
        <v>1100</v>
      </c>
      <c r="V2" s="4">
        <v>250</v>
      </c>
      <c r="W2" s="4">
        <v>900</v>
      </c>
      <c r="X2" s="4">
        <v>500</v>
      </c>
      <c r="Y2" s="10">
        <v>1000</v>
      </c>
      <c r="Z2" s="15">
        <v>64</v>
      </c>
      <c r="AA2" s="4">
        <v>9000</v>
      </c>
      <c r="AB2" s="4"/>
    </row>
    <row r="3">
      <c r="A3" s="4">
        <v>190</v>
      </c>
      <c r="B3" s="8">
        <v>2.0</v>
      </c>
      <c r="C3" s="9" t="b">
        <v>1</v>
      </c>
      <c r="D3" s="4" t="inlineStr">
        <is>
          <t>石川城</t>
        </is>
      </c>
      <c r="E3" s="10" t="inlineStr">
        <is>
          <t>いしかわじょう</t>
        </is>
      </c>
      <c r="F3" s="11" t="str">
        <f t="array" ref="F3">IF(A3:A254="","",_xlfn.XLOOKUP(A3:A254,'参照_拠点'!A:A,'参照_拠点'!B:B,"見つかりません"))</f>
      </c>
      <c r="G3" s="12" t="str">
        <f t="array" ref="G3">IF(K3:K254="","",_xlfn.XLOOKUP(K3:K254,'参照_武将'!A:A,'参照_武将'!B:B,"見つかりません"))</f>
      </c>
      <c r="H3" s="14" t="str">
        <f t="array" ref="H3">IF(I3:I254="","",_xlfn.XLOOKUP(I3:I254,'参照_勢力'!A:A,'参照_勢力'!B:B,"見つかりません"))</f>
      </c>
      <c r="I3" s="15">
        <v>68</v>
      </c>
      <c r="J3" s="4">
        <v>1</v>
      </c>
      <c r="K3" s="10">
        <v>1068017</v>
      </c>
      <c r="L3" s="18">
        <f>300 + ROUND((((P3/15)+(Y3/10))*(SQRT(AA3)/100+1)+O3)/((COUNTIF(I:I, I3)/30)+1), 0)</f>
        <v>1910</v>
      </c>
      <c r="M3" s="4">
        <v>50</v>
      </c>
      <c r="N3" s="10">
        <v>50</v>
      </c>
      <c r="O3" s="18">
        <f>ROUND(500+((AA3*0.01)+(Z3/3)+(V3/10))*6,0)</f>
        <v>1114</v>
      </c>
      <c r="P3" s="19">
        <f>ROUND((T3 * 2.5) * SQRT(Z3)
,0) + (O3 * 2)</f>
        <v>5911</v>
      </c>
      <c r="Q3" s="19">
        <v>1000</v>
      </c>
      <c r="R3" s="18">
        <f>ROUNDDOWN(L3*0.2, -1)</f>
        <v>380</v>
      </c>
      <c r="S3" s="19">
        <f>ROUNDDOWN(L3*0.005, -1)</f>
        <v>0</v>
      </c>
      <c r="T3" s="15">
        <v>180</v>
      </c>
      <c r="U3" s="4">
        <v>1300</v>
      </c>
      <c r="V3" s="4">
        <v>100</v>
      </c>
      <c r="W3" s="4">
        <v>600</v>
      </c>
      <c r="X3" s="4">
        <v>550</v>
      </c>
      <c r="Y3" s="10">
        <v>1100</v>
      </c>
      <c r="Z3" s="15">
        <v>67</v>
      </c>
      <c r="AA3" s="4">
        <v>7000</v>
      </c>
      <c r="AB3" s="4"/>
    </row>
    <row r="4">
      <c r="A4" s="4">
        <v>188</v>
      </c>
      <c r="B4" s="8">
        <v>3.0</v>
      </c>
      <c r="C4" s="9" t="b">
        <v>1</v>
      </c>
      <c r="D4" s="4" t="inlineStr">
        <is>
          <t>大開城</t>
        </is>
      </c>
      <c r="E4" s="10" t="inlineStr">
        <is>
          <t>おおびらきじょう</t>
        </is>
      </c>
      <c r="F4" s="11" t="str">
        <f t="array" ref="F4">IF(A4:A255="","",_xlfn.XLOOKUP(A4:A255,'参照_拠点'!A:A,'参照_拠点'!B:B,"見つかりません"))</f>
      </c>
      <c r="G4" s="12" t="str">
        <f t="array" ref="G4">IF(K4:K255="","",_xlfn.XLOOKUP(K4:K255,'参照_武将'!A:A,'参照_武将'!B:B,"見つかりません"))</f>
      </c>
      <c r="H4" s="14" t="str">
        <f t="array" ref="H4">IF(I4:I255="","",_xlfn.XLOOKUP(I4:I255,'参照_勢力'!A:A,'参照_勢力'!B:B,"見つかりません"))</f>
      </c>
      <c r="I4" s="15">
        <v>68</v>
      </c>
      <c r="J4" s="4">
        <v>5</v>
      </c>
      <c r="K4" s="10">
        <v>1068007</v>
      </c>
      <c r="L4" s="16">
        <f>300 + ROUND((((P4/15)+(Y4/10))*(SQRT(AA4)/100+1)+O4)/((COUNTIF(I:I, I4)/30)+1), 0)</f>
        <v>1173</v>
      </c>
      <c r="M4" s="4">
        <v>50</v>
      </c>
      <c r="N4" s="10">
        <v>50</v>
      </c>
      <c r="O4" s="16">
        <f>ROUND(500+((AA4*0.01)+(Z4/3)+(V4/10))*6,0)</f>
        <v>740</v>
      </c>
      <c r="P4" s="17">
        <f>ROUND((T4 * 2.5) * SQRT(Z4)
,0) + (O4 * 2)</f>
        <v>3416</v>
      </c>
      <c r="Q4" s="17">
        <v>1000</v>
      </c>
      <c r="R4" s="16">
        <f>ROUNDDOWN(L4*0.2, -1)</f>
        <v>230</v>
      </c>
      <c r="S4" s="17">
        <f>ROUNDDOWN(L4*0.005, -1)</f>
        <v>0</v>
      </c>
      <c r="T4" s="15">
        <v>100</v>
      </c>
      <c r="U4" s="4">
        <v>600</v>
      </c>
      <c r="V4" s="4">
        <v>100</v>
      </c>
      <c r="W4" s="4">
        <v>400</v>
      </c>
      <c r="X4" s="4">
        <v>250</v>
      </c>
      <c r="Y4" s="10">
        <v>500</v>
      </c>
      <c r="Z4" s="15">
        <v>60</v>
      </c>
      <c r="AA4" s="4">
        <v>1000</v>
      </c>
      <c r="AB4" s="4"/>
    </row>
    <row r="5">
      <c r="A5" s="4">
        <v>191</v>
      </c>
      <c r="B5" s="8">
        <v>4.0</v>
      </c>
      <c r="C5" s="9" t="b">
        <v>1</v>
      </c>
      <c r="D5" s="4" t="inlineStr">
        <is>
          <t>蠣崎城</t>
        </is>
      </c>
      <c r="E5" s="10" t="inlineStr">
        <is>
          <t>かきざきじょう</t>
        </is>
      </c>
      <c r="F5" s="11" t="str">
        <f t="array" ref="F5">IF(A5:A256="","",_xlfn.XLOOKUP(A5:A256,'参照_拠点'!A:A,'参照_拠点'!B:B,"見つかりません"))</f>
      </c>
      <c r="G5" s="12" t="str">
        <f t="array" ref="G5">IF(K5:K256="","",_xlfn.XLOOKUP(K5:K256,'参照_武将'!A:A,'参照_武将'!B:B,"見つかりません"))</f>
      </c>
      <c r="H5" s="14" t="str">
        <f t="array" ref="H5">IF(I5:I256="","",_xlfn.XLOOKUP(I5:I256,'参照_勢力'!A:A,'参照_勢力'!B:B,"見つかりません"))</f>
      </c>
      <c r="I5" s="15">
        <v>68</v>
      </c>
      <c r="J5" s="4">
        <v>6</v>
      </c>
      <c r="K5" s="10">
        <v>1068035</v>
      </c>
      <c r="L5" s="18">
        <f>300 + ROUND((((P5/15)+(Y5/10))*(SQRT(AA5)/100+1)+O5)/((COUNTIF(I:I, I5)/30)+1), 0)</f>
        <v>1124</v>
      </c>
      <c r="M5" s="4">
        <v>50</v>
      </c>
      <c r="N5" s="10">
        <v>50</v>
      </c>
      <c r="O5" s="18">
        <f>ROUND(500+((AA5*0.01)+(Z5/3)+(V5/10))*6,0)</f>
        <v>714</v>
      </c>
      <c r="P5" s="19">
        <f>ROUND((T5 * 2.5) * SQRT(Z5)
,0) + (O5 * 2)</f>
        <v>3003</v>
      </c>
      <c r="Q5" s="19">
        <v>1000</v>
      </c>
      <c r="R5" s="18">
        <f>ROUNDDOWN(L5*0.2, -1)</f>
        <v>220</v>
      </c>
      <c r="S5" s="19">
        <f>ROUNDDOWN(L5*0.005, -1)</f>
        <v>0</v>
      </c>
      <c r="T5" s="15">
        <v>80</v>
      </c>
      <c r="U5" s="4">
        <v>600</v>
      </c>
      <c r="V5" s="4">
        <v>50</v>
      </c>
      <c r="W5" s="4">
        <v>350</v>
      </c>
      <c r="X5" s="4">
        <v>250</v>
      </c>
      <c r="Y5" s="10">
        <v>500</v>
      </c>
      <c r="Z5" s="15">
        <v>62</v>
      </c>
      <c r="AA5" s="4">
        <v>1000</v>
      </c>
      <c r="AB5" s="4"/>
    </row>
    <row r="6">
      <c r="A6" s="4">
        <v>189</v>
      </c>
      <c r="B6" s="8">
        <v>5.0</v>
      </c>
      <c r="C6" s="9" t="b">
        <v>1</v>
      </c>
      <c r="D6" s="4" t="inlineStr">
        <is>
          <t>浪岡城</t>
        </is>
      </c>
      <c r="E6" s="10" t="inlineStr">
        <is>
          <t>なみおかじょう</t>
        </is>
      </c>
      <c r="F6" s="11" t="str">
        <f t="array" ref="F6">IF(A6:A257="","",_xlfn.XLOOKUP(A6:A257,'参照_拠点'!A:A,'参照_拠点'!B:B,"見つかりません"))</f>
      </c>
      <c r="G6" s="12" t="str">
        <f t="array" ref="G6">IF(K6:K257="","",_xlfn.XLOOKUP(K6:K257,'参照_武将'!A:A,'参照_武将'!B:B,"見つかりません"))</f>
      </c>
      <c r="H6" s="14" t="str">
        <f t="array" ref="H6">IF(I6:I257="","",_xlfn.XLOOKUP(I6:I257,'参照_勢力'!A:A,'参照_勢力'!B:B,"見つかりません"))</f>
      </c>
      <c r="I6" s="15">
        <v>69</v>
      </c>
      <c r="J6" s="4">
        <v>0</v>
      </c>
      <c r="K6" s="10">
        <v>1069010</v>
      </c>
      <c r="L6" s="16">
        <f>300 + ROUND((((P6/15)+(Y6/10))*(SQRT(AA6)/100+1)+O6)/((COUNTIF(I:I, I6)/30)+1), 0)</f>
        <v>2032</v>
      </c>
      <c r="M6" s="4">
        <v>50</v>
      </c>
      <c r="N6" s="10">
        <v>50</v>
      </c>
      <c r="O6" s="16">
        <f>ROUND(500+((AA6*0.01)+(Z6/3)+(V6/10))*6,0)</f>
        <v>1022</v>
      </c>
      <c r="P6" s="17">
        <f>ROUND((T6 * 2.5) * SQRT(Z6)
,0) + (O6 * 2)</f>
        <v>5700</v>
      </c>
      <c r="Q6" s="17">
        <v>1000</v>
      </c>
      <c r="R6" s="16">
        <f>ROUNDDOWN(L6*0.2, -1)</f>
        <v>400</v>
      </c>
      <c r="S6" s="17">
        <f>ROUNDDOWN(L6*0.005, -1)</f>
        <v>10</v>
      </c>
      <c r="T6" s="15">
        <v>180</v>
      </c>
      <c r="U6" s="4">
        <v>800</v>
      </c>
      <c r="V6" s="4">
        <v>150</v>
      </c>
      <c r="W6" s="4">
        <v>600</v>
      </c>
      <c r="X6" s="4">
        <v>350</v>
      </c>
      <c r="Y6" s="10">
        <v>700</v>
      </c>
      <c r="Z6" s="15">
        <v>66</v>
      </c>
      <c r="AA6" s="4">
        <v>5000</v>
      </c>
      <c r="AB6" s="4"/>
    </row>
    <row r="7">
      <c r="A7" s="4">
        <v>195</v>
      </c>
      <c r="B7" s="8">
        <v>6.0</v>
      </c>
      <c r="C7" s="9" t="b">
        <v>1</v>
      </c>
      <c r="D7" s="4" t="inlineStr">
        <is>
          <t>九戸城</t>
        </is>
      </c>
      <c r="E7" s="10" t="inlineStr">
        <is>
          <t>くのへじょう</t>
        </is>
      </c>
      <c r="F7" s="11" t="str">
        <f t="array" ref="F7">IF(A7:A258="","",_xlfn.XLOOKUP(A7:A258,'参照_拠点'!A:A,'参照_拠点'!B:B,"見つかりません"))</f>
      </c>
      <c r="G7" s="12" t="str">
        <f t="array" ref="G7">IF(K7:K258="","",_xlfn.XLOOKUP(K7:K258,'参照_武将'!A:A,'参照_武将'!B:B,"見つかりません"))</f>
      </c>
      <c r="H7" s="14" t="str">
        <f t="array" ref="H7">IF(I7:I258="","",_xlfn.XLOOKUP(I7:I258,'参照_勢力'!A:A,'参照_勢力'!B:B,"見つかりません"))</f>
      </c>
      <c r="I7" s="15">
        <v>68</v>
      </c>
      <c r="J7" s="4">
        <v>4</v>
      </c>
      <c r="K7" s="10">
        <v>1068047</v>
      </c>
      <c r="L7" s="18">
        <f>300 + ROUND((((P7/15)+(Y7/10))*(SQRT(AA7)/100+1)+O7)/((COUNTIF(I:I, I7)/30)+1), 0)</f>
        <v>1462</v>
      </c>
      <c r="M7" s="4">
        <v>50</v>
      </c>
      <c r="N7" s="10">
        <v>50</v>
      </c>
      <c r="O7" s="18">
        <f>ROUND(500+((AA7*0.01)+(Z7/3)+(V7/10))*6,0)</f>
        <v>930</v>
      </c>
      <c r="P7" s="19">
        <f>ROUND((T7 * 2.5) * SQRT(Z7)
,0) + (O7 * 2)</f>
        <v>4077</v>
      </c>
      <c r="Q7" s="19">
        <v>1000</v>
      </c>
      <c r="R7" s="18">
        <f>ROUNDDOWN(L7*0.2, -1)</f>
        <v>290</v>
      </c>
      <c r="S7" s="19">
        <f>ROUNDDOWN(L7*0.005, -1)</f>
        <v>0</v>
      </c>
      <c r="T7" s="15">
        <v>110</v>
      </c>
      <c r="U7" s="4">
        <v>900</v>
      </c>
      <c r="V7" s="4">
        <v>100</v>
      </c>
      <c r="W7" s="4">
        <v>750</v>
      </c>
      <c r="X7" s="4">
        <v>300</v>
      </c>
      <c r="Y7" s="10">
        <v>600</v>
      </c>
      <c r="Z7" s="15">
        <v>65</v>
      </c>
      <c r="AA7" s="4">
        <v>4000</v>
      </c>
      <c r="AB7" s="4"/>
    </row>
    <row r="8">
      <c r="A8" s="4">
        <v>194</v>
      </c>
      <c r="B8" s="8">
        <v>7.0</v>
      </c>
      <c r="C8" s="9" t="b">
        <v>1</v>
      </c>
      <c r="D8" s="4" t="inlineStr">
        <is>
          <t>三戸城</t>
        </is>
      </c>
      <c r="E8" s="10" t="inlineStr">
        <is>
          <t>さんのへじょう</t>
        </is>
      </c>
      <c r="F8" s="11" t="str">
        <f t="array" ref="F8">IF(A8:A259="","",_xlfn.XLOOKUP(A8:A259,'参照_拠点'!A:A,'参照_拠点'!B:B,"見つかりません"))</f>
      </c>
      <c r="G8" s="12" t="str">
        <f t="array" ref="G8">IF(K8:K259="","",_xlfn.XLOOKUP(K8:K259,'参照_武将'!A:A,'参照_武将'!B:B,"見つかりません"))</f>
      </c>
      <c r="H8" s="14" t="str">
        <f t="array" ref="H8">IF(I8:I259="","",_xlfn.XLOOKUP(I8:I259,'参照_勢力'!A:A,'参照_勢力'!B:B,"見つかりません"))</f>
      </c>
      <c r="I8" s="15">
        <v>68</v>
      </c>
      <c r="J8" s="4">
        <v>0</v>
      </c>
      <c r="K8" s="10">
        <v>1068012</v>
      </c>
      <c r="L8" s="16">
        <f>300 + ROUND((((P8/15)+(Y8/10))*(SQRT(AA8)/100+1)+O8)/((COUNTIF(I:I, I8)/30)+1), 0)</f>
        <v>2529</v>
      </c>
      <c r="M8" s="4">
        <v>50</v>
      </c>
      <c r="N8" s="10">
        <v>50</v>
      </c>
      <c r="O8" s="16">
        <f>ROUND(500+((AA8*0.01)+(Z8/3)+(V8/10))*6,0)</f>
        <v>1382</v>
      </c>
      <c r="P8" s="17">
        <f>ROUND((T8 * 2.5) * SQRT(Z8)
,0) + (O8 * 2)</f>
        <v>8451</v>
      </c>
      <c r="Q8" s="17">
        <v>1000</v>
      </c>
      <c r="R8" s="16">
        <f>ROUNDDOWN(L8*0.2, -1)</f>
        <v>500</v>
      </c>
      <c r="S8" s="17">
        <f>ROUNDDOWN(L8*0.005, -1)</f>
        <v>10</v>
      </c>
      <c r="T8" s="15">
        <v>280</v>
      </c>
      <c r="U8" s="4">
        <v>1500</v>
      </c>
      <c r="V8" s="4">
        <v>150</v>
      </c>
      <c r="W8" s="4">
        <v>800</v>
      </c>
      <c r="X8" s="4">
        <v>700</v>
      </c>
      <c r="Y8" s="10">
        <v>1400</v>
      </c>
      <c r="Z8" s="15">
        <v>66</v>
      </c>
      <c r="AA8" s="4">
        <v>11000</v>
      </c>
      <c r="AB8" s="4"/>
    </row>
    <row r="9">
      <c r="A9" s="4">
        <v>192</v>
      </c>
      <c r="B9" s="8">
        <v>8.0</v>
      </c>
      <c r="C9" s="9" t="b">
        <v>1</v>
      </c>
      <c r="D9" s="4" t="inlineStr">
        <is>
          <t>野辺地城</t>
        </is>
      </c>
      <c r="E9" s="10" t="inlineStr">
        <is>
          <t>のへじじょう</t>
        </is>
      </c>
      <c r="F9" s="11" t="str">
        <f t="array" ref="F9">IF(A9:A260="","",_xlfn.XLOOKUP(A9:A260,'参照_拠点'!A:A,'参照_拠点'!B:B,"見つかりません"))</f>
      </c>
      <c r="G9" s="12" t="str">
        <f t="array" ref="G9">IF(K9:K260="","",_xlfn.XLOOKUP(K9:K260,'参照_武将'!A:A,'参照_武将'!B:B,"見つかりません"))</f>
      </c>
      <c r="H9" s="14" t="str">
        <f t="array" ref="H9">IF(I9:I260="","",_xlfn.XLOOKUP(I9:I260,'参照_勢力'!A:A,'参照_勢力'!B:B,"見つかりません"))</f>
      </c>
      <c r="I9" s="15">
        <v>68</v>
      </c>
      <c r="J9" s="4">
        <v>3</v>
      </c>
      <c r="K9" s="10">
        <v>1068042</v>
      </c>
      <c r="L9" s="18">
        <f>300 + ROUND((((P9/15)+(Y9/10))*(SQRT(AA9)/100+1)+O9)/((COUNTIF(I:I, I9)/30)+1), 0)</f>
        <v>1302</v>
      </c>
      <c r="M9" s="4">
        <v>50</v>
      </c>
      <c r="N9" s="10">
        <v>50</v>
      </c>
      <c r="O9" s="18">
        <f>ROUND(500+((AA9*0.01)+(Z9/3)+(V9/10))*6,0)</f>
        <v>748</v>
      </c>
      <c r="P9" s="19">
        <f>ROUND((T9 * 2.5) * SQRT(Z9)
,0) + (O9 * 2)</f>
        <v>4896</v>
      </c>
      <c r="Q9" s="19">
        <v>1000</v>
      </c>
      <c r="R9" s="18">
        <f>ROUNDDOWN(L9*0.2, -1)</f>
        <v>260</v>
      </c>
      <c r="S9" s="19">
        <f>ROUNDDOWN(L9*0.005, -1)</f>
        <v>0</v>
      </c>
      <c r="T9" s="15">
        <v>170</v>
      </c>
      <c r="U9" s="4">
        <v>800</v>
      </c>
      <c r="V9" s="4">
        <v>100</v>
      </c>
      <c r="W9" s="4">
        <v>400</v>
      </c>
      <c r="X9" s="4">
        <v>350</v>
      </c>
      <c r="Y9" s="10">
        <v>700</v>
      </c>
      <c r="Z9" s="15">
        <v>64</v>
      </c>
      <c r="AA9" s="4">
        <v>1000</v>
      </c>
      <c r="AB9" s="4"/>
    </row>
    <row r="10">
      <c r="A10" s="4">
        <v>193</v>
      </c>
      <c r="B10" s="8">
        <v>9.0</v>
      </c>
      <c r="C10" s="9" t="b">
        <v>1</v>
      </c>
      <c r="D10" s="4" t="inlineStr">
        <is>
          <t>八戸城</t>
        </is>
      </c>
      <c r="E10" s="10" t="inlineStr">
        <is>
          <t>はちのへじょう</t>
        </is>
      </c>
      <c r="F10" s="11" t="str">
        <f t="array" ref="F10">IF(A10:A261="","",_xlfn.XLOOKUP(A10:A261,'参照_拠点'!A:A,'参照_拠点'!B:B,"見つかりません"))</f>
      </c>
      <c r="G10" s="12" t="str">
        <f t="array" ref="G10">IF(K10:K261="","",_xlfn.XLOOKUP(K10:K261,'参照_武将'!A:A,'参照_武将'!B:B,"見つかりません"))</f>
      </c>
      <c r="H10" s="14" t="str">
        <f t="array" ref="H10">IF(I10:I261="","",_xlfn.XLOOKUP(I10:I261,'参照_勢力'!A:A,'参照_勢力'!B:B,"見つかりません"))</f>
      </c>
      <c r="I10" s="15">
        <v>68</v>
      </c>
      <c r="J10" s="4">
        <v>2</v>
      </c>
      <c r="K10" s="10">
        <v>1068038</v>
      </c>
      <c r="L10" s="16">
        <f>300 + ROUND((((P10/15)+(Y10/10))*(SQRT(AA10)/100+1)+O10)/((COUNTIF(I:I, I10)/30)+1), 0)</f>
        <v>1410</v>
      </c>
      <c r="M10" s="4">
        <v>50</v>
      </c>
      <c r="N10" s="10">
        <v>50</v>
      </c>
      <c r="O10" s="16">
        <f>ROUND(500+((AA10*0.01)+(Z10/3)+(V10/10))*6,0)</f>
        <v>874</v>
      </c>
      <c r="P10" s="17">
        <f>ROUND((T10 * 2.5) * SQRT(Z10)
,0) + (O10 * 2)</f>
        <v>4408</v>
      </c>
      <c r="Q10" s="17">
        <v>1000</v>
      </c>
      <c r="R10" s="16">
        <f>ROUNDDOWN(L10*0.2, -1)</f>
        <v>280</v>
      </c>
      <c r="S10" s="17">
        <f>ROUNDDOWN(L10*0.005, -1)</f>
        <v>0</v>
      </c>
      <c r="T10" s="15">
        <v>130</v>
      </c>
      <c r="U10" s="4">
        <v>700</v>
      </c>
      <c r="V10" s="4">
        <v>100</v>
      </c>
      <c r="W10" s="4">
        <v>500</v>
      </c>
      <c r="X10" s="4">
        <v>250</v>
      </c>
      <c r="Y10" s="10">
        <v>500</v>
      </c>
      <c r="Z10" s="15">
        <v>67</v>
      </c>
      <c r="AA10" s="4">
        <v>3000</v>
      </c>
      <c r="AB10" s="4"/>
    </row>
    <row r="11">
      <c r="A11" s="4">
        <v>199</v>
      </c>
      <c r="B11" s="8">
        <v>10.0</v>
      </c>
      <c r="C11" s="9" t="b">
        <v>1</v>
      </c>
      <c r="D11" s="4" t="inlineStr">
        <is>
          <t>大林城</t>
        </is>
      </c>
      <c r="E11" s="10" t="inlineStr">
        <is>
          <t>おおばやしじょう</t>
        </is>
      </c>
      <c r="F11" s="11" t="str">
        <f t="array" ref="F11">IF(A11:A262="","",_xlfn.XLOOKUP(A11:A262,'参照_拠点'!A:A,'参照_拠点'!B:B,"見つかりません"))</f>
      </c>
      <c r="G11" s="12" t="str">
        <f t="array" ref="G11">IF(K11:K262="","",_xlfn.XLOOKUP(K11:K262,'参照_武将'!A:A,'参照_武将'!B:B,"見つかりません"))</f>
      </c>
      <c r="H11" s="14" t="str">
        <f t="array" ref="H11">IF(I11:I262="","",_xlfn.XLOOKUP(I11:I262,'参照_勢力'!A:A,'参照_勢力'!B:B,"見つかりません"))</f>
      </c>
      <c r="I11" s="15">
        <v>70</v>
      </c>
      <c r="J11" s="4">
        <v>1</v>
      </c>
      <c r="K11" s="10">
        <v>1070021</v>
      </c>
      <c r="L11" s="18">
        <f>300 + ROUND((((P11/15)+(Y11/10))*(SQRT(AA11)/100+1)+O11)/((COUNTIF(I:I, I11)/30)+1), 0)</f>
        <v>1281</v>
      </c>
      <c r="M11" s="4">
        <v>50</v>
      </c>
      <c r="N11" s="10">
        <v>50</v>
      </c>
      <c r="O11" s="18">
        <f>ROUND(500+((AA11*0.01)+(Z11/3)+(V11/10))*6,0)</f>
        <v>722</v>
      </c>
      <c r="P11" s="19">
        <f>ROUND((T11 * 2.5) * SQRT(Z11)
,0) + (O11 * 2)</f>
        <v>2866</v>
      </c>
      <c r="Q11" s="19">
        <v>1000</v>
      </c>
      <c r="R11" s="18">
        <f>ROUNDDOWN(L11*0.2, -1)</f>
        <v>250</v>
      </c>
      <c r="S11" s="19">
        <f>ROUNDDOWN(L11*0.005, -1)</f>
        <v>0</v>
      </c>
      <c r="T11" s="15">
        <v>70</v>
      </c>
      <c r="U11" s="4">
        <v>500</v>
      </c>
      <c r="V11" s="4">
        <v>50</v>
      </c>
      <c r="W11" s="4">
        <v>350</v>
      </c>
      <c r="X11" s="4">
        <v>400</v>
      </c>
      <c r="Y11" s="10">
        <v>800</v>
      </c>
      <c r="Z11" s="15">
        <v>66</v>
      </c>
      <c r="AA11" s="4">
        <v>1000</v>
      </c>
      <c r="AB11" s="4"/>
    </row>
    <row r="12">
      <c r="A12" s="4">
        <v>197</v>
      </c>
      <c r="B12" s="8">
        <v>11.0</v>
      </c>
      <c r="C12" s="9" t="b">
        <v>1</v>
      </c>
      <c r="D12" s="4" t="inlineStr">
        <is>
          <t>雫石城</t>
        </is>
      </c>
      <c r="E12" s="10" t="inlineStr">
        <is>
          <t>しずくいしじょう</t>
        </is>
      </c>
      <c r="F12" s="11" t="str">
        <f t="array" ref="F12">IF(A12:A263="","",_xlfn.XLOOKUP(A12:A263,'参照_拠点'!A:A,'参照_拠点'!B:B,"見つかりません"))</f>
      </c>
      <c r="G12" s="12" t="str">
        <f t="array" ref="G12">IF(K12:K263="","",_xlfn.XLOOKUP(K12:K263,'参照_武将'!A:A,'参照_武将'!B:B,"見つかりません"))</f>
      </c>
      <c r="H12" s="14" t="str">
        <f t="array" ref="H12">IF(I12:I263="","",_xlfn.XLOOKUP(I12:I263,'参照_勢力'!A:A,'参照_勢力'!B:B,"見つかりません"))</f>
      </c>
      <c r="I12" s="15">
        <v>71</v>
      </c>
      <c r="J12" s="4">
        <v>0</v>
      </c>
      <c r="K12" s="10">
        <v>1071003</v>
      </c>
      <c r="L12" s="16">
        <f>300 + ROUND((((P12/15)+(Y12/10))*(SQRT(AA12)/100+1)+O12)/((COUNTIF(I:I, I12)/30)+1), 0)</f>
        <v>1598</v>
      </c>
      <c r="M12" s="4">
        <v>50</v>
      </c>
      <c r="N12" s="10">
        <v>50</v>
      </c>
      <c r="O12" s="16">
        <f>ROUND(500+((AA12*0.01)+(Z12/3)+(V12/10))*6,0)</f>
        <v>838</v>
      </c>
      <c r="P12" s="17">
        <f>ROUND((T12 * 2.5) * SQRT(Z12)
,0) + (O12 * 2)</f>
        <v>3676</v>
      </c>
      <c r="Q12" s="17">
        <v>1000</v>
      </c>
      <c r="R12" s="16">
        <f>ROUNDDOWN(L12*0.2, -1)</f>
        <v>310</v>
      </c>
      <c r="S12" s="17">
        <f>ROUNDDOWN(L12*0.005, -1)</f>
        <v>0</v>
      </c>
      <c r="T12" s="15">
        <v>100</v>
      </c>
      <c r="U12" s="4">
        <v>1000</v>
      </c>
      <c r="V12" s="4">
        <v>50</v>
      </c>
      <c r="W12" s="4">
        <v>400</v>
      </c>
      <c r="X12" s="4">
        <v>400</v>
      </c>
      <c r="Y12" s="10">
        <v>800</v>
      </c>
      <c r="Z12" s="15">
        <v>64</v>
      </c>
      <c r="AA12" s="4">
        <v>3000</v>
      </c>
      <c r="AB12" s="4"/>
    </row>
    <row r="13">
      <c r="A13" s="4">
        <v>198</v>
      </c>
      <c r="B13" s="8">
        <v>12.0</v>
      </c>
      <c r="C13" s="9" t="b">
        <v>1</v>
      </c>
      <c r="D13" s="4" t="inlineStr">
        <is>
          <t>鳥谷ヶ崎城</t>
        </is>
      </c>
      <c r="E13" s="10" t="inlineStr">
        <is>
          <t>とやがさきじょう</t>
        </is>
      </c>
      <c r="F13" s="11" t="str">
        <f t="array" ref="F13">IF(A13:A264="","",_xlfn.XLOOKUP(A13:A264,'参照_拠点'!A:A,'参照_拠点'!B:B,"見つかりません"))</f>
      </c>
      <c r="G13" s="12" t="str">
        <f t="array" ref="G13">IF(K13:K264="","",_xlfn.XLOOKUP(K13:K264,'参照_武将'!A:A,'参照_武将'!B:B,"見つかりません"))</f>
      </c>
      <c r="H13" s="14" t="str">
        <f t="array" ref="H13">IF(I13:I264="","",_xlfn.XLOOKUP(I13:I264,'参照_勢力'!A:A,'参照_勢力'!B:B,"見つかりません"))</f>
      </c>
      <c r="I13" s="15">
        <v>72</v>
      </c>
      <c r="J13" s="4">
        <v>0</v>
      </c>
      <c r="K13" s="10">
        <v>1072002</v>
      </c>
      <c r="L13" s="18">
        <f>300 + ROUND((((P13/15)+(Y13/10))*(SQRT(AA13)/100+1)+O13)/((COUNTIF(I:I, I13)/30)+1), 0)</f>
        <v>1614</v>
      </c>
      <c r="M13" s="4">
        <v>50</v>
      </c>
      <c r="N13" s="10">
        <v>50</v>
      </c>
      <c r="O13" s="18">
        <f>ROUND(500+((AA13*0.01)+(Z13/3)+(V13/10))*6,0)</f>
        <v>836</v>
      </c>
      <c r="P13" s="19">
        <f>ROUND((T13 * 2.5) * SQRT(Z13)
,0) + (O13 * 2)</f>
        <v>3855</v>
      </c>
      <c r="Q13" s="19">
        <v>1000</v>
      </c>
      <c r="R13" s="18">
        <f>ROUNDDOWN(L13*0.2, -1)</f>
        <v>320</v>
      </c>
      <c r="S13" s="19">
        <f>ROUNDDOWN(L13*0.005, -1)</f>
        <v>0</v>
      </c>
      <c r="T13" s="15">
        <v>110</v>
      </c>
      <c r="U13" s="4">
        <v>800</v>
      </c>
      <c r="V13" s="4">
        <v>50</v>
      </c>
      <c r="W13" s="4">
        <v>350</v>
      </c>
      <c r="X13" s="4">
        <v>400</v>
      </c>
      <c r="Y13" s="10">
        <v>800</v>
      </c>
      <c r="Z13" s="15">
        <v>63</v>
      </c>
      <c r="AA13" s="4">
        <v>3000</v>
      </c>
      <c r="AB13" s="4"/>
    </row>
    <row r="14">
      <c r="A14" s="4">
        <v>196</v>
      </c>
      <c r="B14" s="8">
        <v>13.0</v>
      </c>
      <c r="C14" s="9" t="b">
        <v>1</v>
      </c>
      <c r="D14" s="4" t="inlineStr">
        <is>
          <t>花輪館</t>
        </is>
      </c>
      <c r="E14" s="10" t="inlineStr">
        <is>
          <t>はなわたて</t>
        </is>
      </c>
      <c r="F14" s="11" t="str">
        <f t="array" ref="F14">IF(A14:A265="","",_xlfn.XLOOKUP(A14:A265,'参照_拠点'!A:A,'参照_拠点'!B:B,"見つかりません"))</f>
      </c>
      <c r="G14" s="12" t="str">
        <f t="array" ref="G14">IF(K14:K265="","",_xlfn.XLOOKUP(K14:K265,'参照_武将'!A:A,'参照_武将'!B:B,"見つかりません"))</f>
      </c>
      <c r="H14" s="14" t="str">
        <f t="array" ref="H14">IF(I14:I265="","",_xlfn.XLOOKUP(I14:I265,'参照_勢力'!A:A,'参照_勢力'!B:B,"見つかりません"))</f>
      </c>
      <c r="I14" s="15">
        <v>68</v>
      </c>
      <c r="J14" s="4">
        <v>0</v>
      </c>
      <c r="K14" s="10">
        <v>1073044</v>
      </c>
      <c r="L14" s="16">
        <f>300 + ROUND((((P14/15)+(Y14/10))*(SQRT(AA14)/100+1)+O14)/((COUNTIF(I:I, I14)/30)+1), 0)</f>
        <v>1292</v>
      </c>
      <c r="M14" s="4">
        <v>50</v>
      </c>
      <c r="N14" s="10">
        <v>50</v>
      </c>
      <c r="O14" s="16">
        <f>ROUND(500+((AA14*0.01)+(Z14/3)+(V14/10))*6,0)</f>
        <v>834</v>
      </c>
      <c r="P14" s="17">
        <f>ROUND((T14 * 2.5) * SQRT(Z14)
,0) + (O14 * 2)</f>
        <v>3046</v>
      </c>
      <c r="Q14" s="17">
        <v>1000</v>
      </c>
      <c r="R14" s="16">
        <f>ROUNDDOWN(L14*0.2, -1)</f>
        <v>250</v>
      </c>
      <c r="S14" s="17">
        <f>ROUNDDOWN(L14*0.005, -1)</f>
        <v>0</v>
      </c>
      <c r="T14" s="15">
        <v>70</v>
      </c>
      <c r="U14" s="4">
        <v>600</v>
      </c>
      <c r="V14" s="4">
        <v>50</v>
      </c>
      <c r="W14" s="4">
        <v>350</v>
      </c>
      <c r="X14" s="4">
        <v>350</v>
      </c>
      <c r="Y14" s="10">
        <v>700</v>
      </c>
      <c r="Z14" s="15">
        <v>62</v>
      </c>
      <c r="AA14" s="4">
        <v>3000</v>
      </c>
      <c r="AB14" s="4"/>
    </row>
    <row r="15">
      <c r="A15" s="4">
        <v>201</v>
      </c>
      <c r="B15" s="8">
        <v>14.0</v>
      </c>
      <c r="C15" s="9" t="b">
        <v>1</v>
      </c>
      <c r="D15" s="4" t="inlineStr">
        <is>
          <t>石巻城</t>
        </is>
      </c>
      <c r="E15" s="10" t="inlineStr">
        <is>
          <t>いしのまきじょう</t>
        </is>
      </c>
      <c r="F15" s="11" t="str">
        <f t="array" ref="F15">IF(A15:A266="","",_xlfn.XLOOKUP(A15:A266,'参照_拠点'!A:A,'参照_拠点'!B:B,"見つかりません"))</f>
      </c>
      <c r="G15" s="12" t="str">
        <f t="array" ref="G15">IF(K15:K266="","",_xlfn.XLOOKUP(K15:K266,'参照_武将'!A:A,'参照_武将'!B:B,"見つかりません"))</f>
      </c>
      <c r="H15" s="14" t="str">
        <f t="array" ref="H15">IF(I15:I266="","",_xlfn.XLOOKUP(I15:I266,'参照_勢力'!A:A,'参照_勢力'!B:B,"見つかりません"))</f>
      </c>
      <c r="I15" s="15">
        <v>70</v>
      </c>
      <c r="J15" s="4">
        <v>2</v>
      </c>
      <c r="K15" s="10">
        <v>1070029</v>
      </c>
      <c r="L15" s="18">
        <f>300 + ROUND((((P15/15)+(Y15/10))*(SQRT(AA15)/100+1)+O15)/((COUNTIF(I:I, I15)/30)+1), 0)</f>
        <v>1277</v>
      </c>
      <c r="M15" s="4">
        <v>50</v>
      </c>
      <c r="N15" s="10">
        <v>50</v>
      </c>
      <c r="O15" s="18">
        <f>ROUND(500+((AA15*0.01)+(Z15/3)+(V15/10))*6,0)</f>
        <v>752</v>
      </c>
      <c r="P15" s="19">
        <f>ROUND((T15 * 2.5) * SQRT(Z15)
,0) + (O15 * 2)</f>
        <v>2926</v>
      </c>
      <c r="Q15" s="19">
        <v>1000</v>
      </c>
      <c r="R15" s="18">
        <f>ROUNDDOWN(L15*0.2, -1)</f>
        <v>250</v>
      </c>
      <c r="S15" s="19">
        <f>ROUNDDOWN(L15*0.005, -1)</f>
        <v>0</v>
      </c>
      <c r="T15" s="15">
        <v>70</v>
      </c>
      <c r="U15" s="4">
        <v>600</v>
      </c>
      <c r="V15" s="4">
        <v>100</v>
      </c>
      <c r="W15" s="4">
        <v>500</v>
      </c>
      <c r="X15" s="4">
        <v>250</v>
      </c>
      <c r="Y15" s="10">
        <v>500</v>
      </c>
      <c r="Z15" s="15">
        <v>66</v>
      </c>
      <c r="AA15" s="4">
        <v>1000</v>
      </c>
      <c r="AB15" s="4"/>
    </row>
    <row r="16">
      <c r="A16" s="4">
        <v>205</v>
      </c>
      <c r="B16" s="8">
        <v>15.0</v>
      </c>
      <c r="C16" s="9" t="b">
        <v>1</v>
      </c>
      <c r="D16" s="4" t="inlineStr">
        <is>
          <t>北目城</t>
        </is>
      </c>
      <c r="E16" s="10" t="inlineStr">
        <is>
          <t>きためじょう</t>
        </is>
      </c>
      <c r="F16" s="11" t="str">
        <f t="array" ref="F16">IF(A16:A267="","",_xlfn.XLOOKUP(A16:A267,'参照_拠点'!A:A,'参照_拠点'!B:B,"見つかりません"))</f>
      </c>
      <c r="G16" s="12" t="str">
        <f t="array" ref="G16">IF(K16:K267="","",_xlfn.XLOOKUP(K16:K267,'参照_武将'!A:A,'参照_武将'!B:B,"見つかりません"))</f>
      </c>
      <c r="H16" s="14" t="str">
        <f t="array" ref="H16">IF(I16:I267="","",_xlfn.XLOOKUP(I16:I267,'参照_勢力'!A:A,'参照_勢力'!B:B,"見つかりません"))</f>
      </c>
      <c r="I16" s="15">
        <v>74</v>
      </c>
      <c r="J16" s="4">
        <v>4</v>
      </c>
      <c r="K16" s="10">
        <v>1074019</v>
      </c>
      <c r="L16" s="16">
        <f>300 + ROUND((((P16/15)+(Y16/10))*(SQRT(AA16)/100+1)+O16)/((COUNTIF(I:I, I16)/30)+1), 0)</f>
        <v>1282</v>
      </c>
      <c r="M16" s="4">
        <v>50</v>
      </c>
      <c r="N16" s="10">
        <v>50</v>
      </c>
      <c r="O16" s="16">
        <f>ROUND(500+((AA16*0.01)+(Z16/3)+(V16/10))*6,0)</f>
        <v>812</v>
      </c>
      <c r="P16" s="17">
        <f>ROUND((T16 * 2.5) * SQRT(Z16)
,0) + (O16 * 2)</f>
        <v>3046</v>
      </c>
      <c r="Q16" s="17">
        <v>1000</v>
      </c>
      <c r="R16" s="16">
        <f>ROUNDDOWN(L16*0.2, -1)</f>
        <v>250</v>
      </c>
      <c r="S16" s="17">
        <f>ROUNDDOWN(L16*0.005, -1)</f>
        <v>0</v>
      </c>
      <c r="T16" s="15">
        <v>70</v>
      </c>
      <c r="U16" s="4">
        <v>600</v>
      </c>
      <c r="V16" s="4">
        <v>100</v>
      </c>
      <c r="W16" s="4">
        <v>400</v>
      </c>
      <c r="X16" s="4">
        <v>250</v>
      </c>
      <c r="Y16" s="10">
        <v>500</v>
      </c>
      <c r="Z16" s="15">
        <v>66</v>
      </c>
      <c r="AA16" s="4">
        <v>2000</v>
      </c>
      <c r="AB16" s="4"/>
    </row>
    <row r="17">
      <c r="A17" s="4">
        <v>204</v>
      </c>
      <c r="B17" s="8">
        <v>16.0</v>
      </c>
      <c r="C17" s="9" t="b">
        <v>1</v>
      </c>
      <c r="D17" s="4" t="inlineStr">
        <is>
          <t>鶴楯城</t>
        </is>
      </c>
      <c r="E17" s="10" t="inlineStr">
        <is>
          <t>つるたてじょう</t>
        </is>
      </c>
      <c r="F17" s="11" t="str">
        <f t="array" ref="F17">IF(A17:A268="","",_xlfn.XLOOKUP(A17:A268,'参照_拠点'!A:A,'参照_拠点'!B:B,"見つかりません"))</f>
      </c>
      <c r="G17" s="12" t="str">
        <f t="array" ref="G17">IF(K17:K268="","",_xlfn.XLOOKUP(K17:K268,'参照_武将'!A:A,'参照_武将'!B:B,"見つかりません"))</f>
      </c>
      <c r="H17" s="14" t="str">
        <f t="array" ref="H17">IF(I17:I268="","",_xlfn.XLOOKUP(I17:I268,'参照_勢力'!A:A,'参照_勢力'!B:B,"見つかりません"))</f>
      </c>
      <c r="I17" s="15">
        <v>75</v>
      </c>
      <c r="J17" s="4">
        <v>0</v>
      </c>
      <c r="K17" s="10">
        <v>1075004</v>
      </c>
      <c r="L17" s="18">
        <f>300 + ROUND((((P17/15)+(Y17/10))*(SQRT(AA17)/100+1)+O17)/((COUNTIF(I:I, I17)/30)+1), 0)</f>
        <v>1768</v>
      </c>
      <c r="M17" s="4">
        <v>50</v>
      </c>
      <c r="N17" s="10">
        <v>50</v>
      </c>
      <c r="O17" s="18">
        <f>ROUND(500+((AA17*0.01)+(Z17/3)+(V17/10))*6,0)</f>
        <v>936</v>
      </c>
      <c r="P17" s="19">
        <f>ROUND((T17 * 2.5) * SQRT(Z17)
,0) + (O17 * 2)</f>
        <v>4140</v>
      </c>
      <c r="Q17" s="19">
        <v>1000</v>
      </c>
      <c r="R17" s="18">
        <f>ROUNDDOWN(L17*0.2, -1)</f>
        <v>350</v>
      </c>
      <c r="S17" s="19">
        <f>ROUNDDOWN(L17*0.005, -1)</f>
        <v>0</v>
      </c>
      <c r="T17" s="15">
        <v>110</v>
      </c>
      <c r="U17" s="4">
        <v>800</v>
      </c>
      <c r="V17" s="4">
        <v>100</v>
      </c>
      <c r="W17" s="4">
        <v>400</v>
      </c>
      <c r="X17" s="4">
        <v>400</v>
      </c>
      <c r="Y17" s="10">
        <v>800</v>
      </c>
      <c r="Z17" s="15">
        <v>68</v>
      </c>
      <c r="AA17" s="4">
        <v>4000</v>
      </c>
      <c r="AB17" s="4"/>
    </row>
    <row r="18">
      <c r="A18" s="4">
        <v>200</v>
      </c>
      <c r="B18" s="8">
        <v>17.0</v>
      </c>
      <c r="C18" s="9" t="b">
        <v>1</v>
      </c>
      <c r="D18" s="4" t="inlineStr">
        <is>
          <t>寺池城</t>
        </is>
      </c>
      <c r="E18" s="10" t="inlineStr">
        <is>
          <t>てらいけじょう</t>
        </is>
      </c>
      <c r="F18" s="11" t="str">
        <f t="array" ref="F18">IF(A18:A269="","",_xlfn.XLOOKUP(A18:A269,'参照_拠点'!A:A,'参照_拠点'!B:B,"見つかりません"))</f>
      </c>
      <c r="G18" s="12" t="str">
        <f t="array" ref="G18">IF(K18:K269="","",_xlfn.XLOOKUP(K18:K269,'参照_武将'!A:A,'参照_武将'!B:B,"見つかりません"))</f>
      </c>
      <c r="H18" s="14" t="str">
        <f t="array" ref="H18">IF(I18:I269="","",_xlfn.XLOOKUP(I18:I269,'参照_勢力'!A:A,'参照_勢力'!B:B,"見つかりません"))</f>
      </c>
      <c r="I18" s="15">
        <v>70</v>
      </c>
      <c r="J18" s="4">
        <v>0</v>
      </c>
      <c r="K18" s="10">
        <v>1070008</v>
      </c>
      <c r="L18" s="16">
        <f>300 + ROUND((((P18/15)+(Y18/10))*(SQRT(AA18)/100+1)+O18)/((COUNTIF(I:I, I18)/30)+1), 0)</f>
        <v>1618</v>
      </c>
      <c r="M18" s="4">
        <v>50</v>
      </c>
      <c r="N18" s="10">
        <v>50</v>
      </c>
      <c r="O18" s="16">
        <f>ROUND(500+((AA18*0.01)+(Z18/3)+(V18/10))*6,0)</f>
        <v>878</v>
      </c>
      <c r="P18" s="17">
        <f>ROUND((T18 * 2.5) * SQRT(Z18)
,0) + (O18 * 2)</f>
        <v>4040</v>
      </c>
      <c r="Q18" s="17">
        <v>1000</v>
      </c>
      <c r="R18" s="16">
        <f>ROUNDDOWN(L18*0.2, -1)</f>
        <v>320</v>
      </c>
      <c r="S18" s="17">
        <f>ROUNDDOWN(L18*0.005, -1)</f>
        <v>0</v>
      </c>
      <c r="T18" s="15">
        <v>110</v>
      </c>
      <c r="U18" s="4">
        <v>800</v>
      </c>
      <c r="V18" s="4">
        <v>100</v>
      </c>
      <c r="W18" s="4">
        <v>400</v>
      </c>
      <c r="X18" s="4">
        <v>500</v>
      </c>
      <c r="Y18" s="10">
        <v>1000</v>
      </c>
      <c r="Z18" s="15">
        <v>69</v>
      </c>
      <c r="AA18" s="4">
        <v>3000</v>
      </c>
      <c r="AB18" s="4"/>
    </row>
    <row r="19">
      <c r="A19" s="4">
        <v>203</v>
      </c>
      <c r="B19" s="8">
        <v>18.0</v>
      </c>
      <c r="C19" s="9" t="b">
        <v>1</v>
      </c>
      <c r="D19" s="4" t="inlineStr">
        <is>
          <t>名生城</t>
        </is>
      </c>
      <c r="E19" s="10" t="inlineStr">
        <is>
          <t>みょううじょう</t>
        </is>
      </c>
      <c r="F19" s="11" t="str">
        <f t="array" ref="F19">IF(A19:A270="","",_xlfn.XLOOKUP(A19:A270,'参照_拠点'!A:A,'参照_拠点'!B:B,"見つかりません"))</f>
      </c>
      <c r="G19" s="12" t="str">
        <f t="array" ref="G19">IF(K19:K270="","",_xlfn.XLOOKUP(K19:K270,'参照_武将'!A:A,'参照_武将'!B:B,"見つかりません"))</f>
      </c>
      <c r="H19" s="14" t="str">
        <f t="array" ref="H19">IF(I19:I270="","",_xlfn.XLOOKUP(I19:I270,'参照_勢力'!A:A,'参照_勢力'!B:B,"見つかりません"))</f>
      </c>
      <c r="I19" s="15">
        <v>76</v>
      </c>
      <c r="J19" s="4">
        <v>0</v>
      </c>
      <c r="K19" s="10">
        <v>1076004</v>
      </c>
      <c r="L19" s="18">
        <f>300 + ROUND((((P19/15)+(Y19/10))*(SQRT(AA19)/100+1)+O19)/((COUNTIF(I:I, I19)/30)+1), 0)</f>
        <v>1696</v>
      </c>
      <c r="M19" s="4">
        <v>50</v>
      </c>
      <c r="N19" s="10">
        <v>50</v>
      </c>
      <c r="O19" s="18">
        <f>ROUND(500+((AA19*0.01)+(Z19/3)+(V19/10))*6,0)</f>
        <v>938</v>
      </c>
      <c r="P19" s="19">
        <f>ROUND((T19 * 2.5) * SQRT(Z19)
,0) + (O19 * 2)</f>
        <v>4160</v>
      </c>
      <c r="Q19" s="19">
        <v>1000</v>
      </c>
      <c r="R19" s="18">
        <f>ROUNDDOWN(L19*0.2, -1)</f>
        <v>330</v>
      </c>
      <c r="S19" s="19">
        <f>ROUNDDOWN(L19*0.005, -1)</f>
        <v>0</v>
      </c>
      <c r="T19" s="15">
        <v>110</v>
      </c>
      <c r="U19" s="4">
        <v>800</v>
      </c>
      <c r="V19" s="4">
        <v>100</v>
      </c>
      <c r="W19" s="4">
        <v>400</v>
      </c>
      <c r="X19" s="4">
        <v>300</v>
      </c>
      <c r="Y19" s="10">
        <v>600</v>
      </c>
      <c r="Z19" s="15">
        <v>69</v>
      </c>
      <c r="AA19" s="4">
        <v>4000</v>
      </c>
      <c r="AB19" s="4"/>
    </row>
    <row r="20">
      <c r="A20" s="4">
        <v>202</v>
      </c>
      <c r="B20" s="8">
        <v>19.0</v>
      </c>
      <c r="C20" s="9" t="b">
        <v>1</v>
      </c>
      <c r="D20" s="4" t="inlineStr">
        <is>
          <t>湯山城</t>
        </is>
      </c>
      <c r="E20" s="10" t="inlineStr">
        <is>
          <t>ゆやまじょう</t>
        </is>
      </c>
      <c r="F20" s="11" t="str">
        <f t="array" ref="F20">IF(A20:A271="","",_xlfn.XLOOKUP(A20:A271,'参照_拠点'!A:A,'参照_拠点'!B:B,"見つかりません"))</f>
      </c>
      <c r="G20" s="12" t="str">
        <f t="array" ref="G20">IF(K20:K271="","",_xlfn.XLOOKUP(K20:K271,'参照_武将'!A:A,'参照_武将'!B:B,"見つかりません"))</f>
      </c>
      <c r="H20" s="14" t="str">
        <f t="array" ref="H20">IF(I20:I271="","",_xlfn.XLOOKUP(I20:I271,'参照_勢力'!A:A,'参照_勢力'!B:B,"見つかりません"))</f>
      </c>
      <c r="I20" s="15">
        <v>76</v>
      </c>
      <c r="J20" s="4">
        <v>0</v>
      </c>
      <c r="K20" s="10">
        <v>1076017</v>
      </c>
      <c r="L20" s="16">
        <f>300 + ROUND((((P20/15)+(Y20/10))*(SQRT(AA20)/100+1)+O20)/((COUNTIF(I:I, I20)/30)+1), 0)</f>
        <v>1294</v>
      </c>
      <c r="M20" s="4">
        <v>50</v>
      </c>
      <c r="N20" s="10">
        <v>50</v>
      </c>
      <c r="O20" s="16">
        <f>ROUND(500+((AA20*0.01)+(Z20/3)+(V20/10))*6,0)</f>
        <v>714</v>
      </c>
      <c r="P20" s="17">
        <f>ROUND((T20 * 2.5) * SQRT(Z20)
,0) + (O20 * 2)</f>
        <v>3200</v>
      </c>
      <c r="Q20" s="17">
        <v>1000</v>
      </c>
      <c r="R20" s="16">
        <f>ROUNDDOWN(L20*0.2, -1)</f>
        <v>250</v>
      </c>
      <c r="S20" s="17">
        <f>ROUNDDOWN(L20*0.005, -1)</f>
        <v>0</v>
      </c>
      <c r="T20" s="15">
        <v>90</v>
      </c>
      <c r="U20" s="4">
        <v>600</v>
      </c>
      <c r="V20" s="4">
        <v>50</v>
      </c>
      <c r="W20" s="4">
        <v>250</v>
      </c>
      <c r="X20" s="4">
        <v>250</v>
      </c>
      <c r="Y20" s="10">
        <v>500</v>
      </c>
      <c r="Z20" s="15">
        <v>62</v>
      </c>
      <c r="AA20" s="4">
        <v>1000</v>
      </c>
      <c r="AB20" s="4"/>
    </row>
    <row r="21" ht="15.75" customHeight="1">
      <c r="A21" s="4">
        <v>209</v>
      </c>
      <c r="B21" s="8">
        <v>20.0</v>
      </c>
      <c r="C21" s="9" t="b">
        <v>1</v>
      </c>
      <c r="D21" s="4" t="inlineStr">
        <is>
          <t>小高城</t>
        </is>
      </c>
      <c r="E21" s="10" t="inlineStr">
        <is>
          <t>おだかじょう</t>
        </is>
      </c>
      <c r="F21" s="11" t="str">
        <f t="array" ref="F21">IF(A21:A272="","",_xlfn.XLOOKUP(A21:A272,'参照_拠点'!A:A,'参照_拠点'!B:B,"見つかりません"))</f>
      </c>
      <c r="G21" s="12" t="str">
        <f t="array" ref="G21">IF(K21:K272="","",_xlfn.XLOOKUP(K21:K272,'参照_武将'!A:A,'参照_武将'!B:B,"見つかりません"))</f>
      </c>
      <c r="H21" s="14" t="str">
        <f t="array" ref="H21">IF(I21:I272="","",_xlfn.XLOOKUP(I21:I272,'参照_勢力'!A:A,'参照_勢力'!B:B,"見つかりません"))</f>
      </c>
      <c r="I21" s="15">
        <v>77</v>
      </c>
      <c r="J21" s="4">
        <v>0</v>
      </c>
      <c r="K21" s="10">
        <v>1077003</v>
      </c>
      <c r="L21" s="18">
        <f>300 + ROUND((((P21/15)+(Y21/10))*(SQRT(AA21)/100+1)+O21)/((COUNTIF(I:I, I21)/30)+1), 0)</f>
        <v>1979</v>
      </c>
      <c r="M21" s="4">
        <v>50</v>
      </c>
      <c r="N21" s="10">
        <v>50</v>
      </c>
      <c r="O21" s="18">
        <f>ROUND(500+((AA21*0.01)+(Z21/3)+(V21/10))*6,0)</f>
        <v>1052</v>
      </c>
      <c r="P21" s="19">
        <f>ROUND((T21 * 2.5) * SQRT(Z21)
,0) + (O21 * 2)</f>
        <v>4744</v>
      </c>
      <c r="Q21" s="19">
        <v>1000</v>
      </c>
      <c r="R21" s="18">
        <f>ROUNDDOWN(L21*0.2, -1)</f>
        <v>390</v>
      </c>
      <c r="S21" s="19">
        <f>ROUNDDOWN(L21*0.005, -1)</f>
        <v>0</v>
      </c>
      <c r="T21" s="15">
        <v>130</v>
      </c>
      <c r="U21" s="4">
        <v>900</v>
      </c>
      <c r="V21" s="4">
        <v>100</v>
      </c>
      <c r="W21" s="4">
        <v>400</v>
      </c>
      <c r="X21" s="4">
        <v>500</v>
      </c>
      <c r="Y21" s="10">
        <v>1000</v>
      </c>
      <c r="Z21" s="15">
        <v>66</v>
      </c>
      <c r="AA21" s="4">
        <v>6000</v>
      </c>
      <c r="AB21" s="4"/>
    </row>
    <row r="22" ht="15.75" customHeight="1">
      <c r="A22" s="4">
        <v>213</v>
      </c>
      <c r="B22" s="8">
        <v>21.0</v>
      </c>
      <c r="C22" s="9" t="b">
        <v>1</v>
      </c>
      <c r="D22" s="4" t="inlineStr">
        <is>
          <t>白河小峰城</t>
        </is>
      </c>
      <c r="E22" s="10" t="inlineStr">
        <is>
          <t>しらかわこみねじょう</t>
        </is>
      </c>
      <c r="F22" s="11" t="str">
        <f t="array" ref="F22">IF(A22:A273="","",_xlfn.XLOOKUP(A22:A273,'参照_拠点'!A:A,'参照_拠点'!B:B,"見つかりません"))</f>
      </c>
      <c r="G22" s="12" t="str">
        <f t="array" ref="G22">IF(K22:K273="","",_xlfn.XLOOKUP(K22:K273,'参照_武将'!A:A,'参照_武将'!B:B,"見つかりません"))</f>
      </c>
      <c r="H22" s="14" t="str">
        <f t="array" ref="H22">IF(I22:I273="","",_xlfn.XLOOKUP(I22:I273,'参照_勢力'!A:A,'参照_勢力'!B:B,"見つかりません"))</f>
      </c>
      <c r="I22" s="15">
        <v>78</v>
      </c>
      <c r="J22" s="4">
        <v>0</v>
      </c>
      <c r="K22" s="10">
        <v>1078004</v>
      </c>
      <c r="L22" s="16">
        <f>300 + ROUND((((P22/15)+(Y22/10))*(SQRT(AA22)/100+1)+O22)/((COUNTIF(I:I, I22)/30)+1), 0)</f>
        <v>1697</v>
      </c>
      <c r="M22" s="4">
        <v>50</v>
      </c>
      <c r="N22" s="10">
        <v>50</v>
      </c>
      <c r="O22" s="16">
        <f>ROUND(500+((AA22*0.01)+(Z22/3)+(V22/10))*6,0)</f>
        <v>904</v>
      </c>
      <c r="P22" s="17">
        <f>ROUND((T22 * 2.5) * SQRT(Z22)
,0) + (O22 * 2)</f>
        <v>4059</v>
      </c>
      <c r="Q22" s="17">
        <v>1000</v>
      </c>
      <c r="R22" s="16">
        <f>ROUNDDOWN(L22*0.2, -1)</f>
        <v>330</v>
      </c>
      <c r="S22" s="17">
        <f>ROUNDDOWN(L22*0.005, -1)</f>
        <v>0</v>
      </c>
      <c r="T22" s="15">
        <v>110</v>
      </c>
      <c r="U22" s="4">
        <v>700</v>
      </c>
      <c r="V22" s="4">
        <v>50</v>
      </c>
      <c r="W22" s="4">
        <v>350</v>
      </c>
      <c r="X22" s="4">
        <v>300</v>
      </c>
      <c r="Y22" s="10">
        <v>600</v>
      </c>
      <c r="Z22" s="15">
        <v>67</v>
      </c>
      <c r="AA22" s="4">
        <v>4000</v>
      </c>
      <c r="AB22" s="4"/>
    </row>
    <row r="23" ht="15.75" customHeight="1">
      <c r="A23" s="4">
        <v>206</v>
      </c>
      <c r="B23" s="8">
        <v>22.0</v>
      </c>
      <c r="C23" s="9" t="b">
        <v>1</v>
      </c>
      <c r="D23" s="4" t="inlineStr">
        <is>
          <t>白石城</t>
        </is>
      </c>
      <c r="E23" s="10" t="inlineStr">
        <is>
          <t>しろいしじょう</t>
        </is>
      </c>
      <c r="F23" s="11" t="str">
        <f t="array" ref="F23">IF(A23:A274="","",_xlfn.XLOOKUP(A23:A274,'参照_拠点'!A:A,'参照_拠点'!B:B,"見つかりません"))</f>
      </c>
      <c r="G23" s="12" t="str">
        <f t="array" ref="G23">IF(K23:K274="","",_xlfn.XLOOKUP(K23:K274,'参照_武将'!A:A,'参照_武将'!B:B,"見つかりません"))</f>
      </c>
      <c r="H23" s="14" t="str">
        <f t="array" ref="H23">IF(I23:I274="","",_xlfn.XLOOKUP(I23:I274,'参照_勢力'!A:A,'参照_勢力'!B:B,"見つかりません"))</f>
      </c>
      <c r="I23" s="15">
        <v>74</v>
      </c>
      <c r="J23" s="4">
        <v>3</v>
      </c>
      <c r="K23" s="10">
        <v>1074047</v>
      </c>
      <c r="L23" s="18">
        <f>300 + ROUND((((P23/15)+(Y23/10))*(SQRT(AA23)/100+1)+O23)/((COUNTIF(I:I, I23)/30)+1), 0)</f>
        <v>1811</v>
      </c>
      <c r="M23" s="4">
        <v>50</v>
      </c>
      <c r="N23" s="10">
        <v>50</v>
      </c>
      <c r="O23" s="18">
        <f>ROUND(500+((AA23*0.01)+(Z23/3)+(V23/10))*6,0)</f>
        <v>1110</v>
      </c>
      <c r="P23" s="19">
        <f>ROUND((T23 * 2.5) * SQRT(Z23)
,0) + (O23 * 2)</f>
        <v>4840</v>
      </c>
      <c r="Q23" s="19">
        <v>1000</v>
      </c>
      <c r="R23" s="18">
        <f>ROUNDDOWN(L23*0.2, -1)</f>
        <v>360</v>
      </c>
      <c r="S23" s="19">
        <f>ROUNDDOWN(L23*0.005, -1)</f>
        <v>0</v>
      </c>
      <c r="T23" s="15">
        <v>130</v>
      </c>
      <c r="U23" s="4">
        <v>800</v>
      </c>
      <c r="V23" s="4">
        <v>100</v>
      </c>
      <c r="W23" s="4">
        <v>400</v>
      </c>
      <c r="X23" s="4">
        <v>300</v>
      </c>
      <c r="Y23" s="10">
        <v>600</v>
      </c>
      <c r="Z23" s="15">
        <v>65</v>
      </c>
      <c r="AA23" s="4">
        <v>7000</v>
      </c>
      <c r="AB23" s="4"/>
    </row>
    <row r="24" ht="15.75" customHeight="1">
      <c r="A24" s="4">
        <v>212</v>
      </c>
      <c r="B24" s="8">
        <v>23.0</v>
      </c>
      <c r="C24" s="9" t="b">
        <v>1</v>
      </c>
      <c r="D24" s="4" t="inlineStr">
        <is>
          <t>須賀川城</t>
        </is>
      </c>
      <c r="E24" s="10" t="inlineStr">
        <is>
          <t>すかがわじょう</t>
        </is>
      </c>
      <c r="F24" s="11" t="str">
        <f t="array" ref="F24">IF(A24:A275="","",_xlfn.XLOOKUP(A24:A275,'参照_拠点'!A:A,'参照_拠点'!B:B,"見つかりません"))</f>
      </c>
      <c r="G24" s="12" t="str">
        <f t="array" ref="G24">IF(K24:K275="","",_xlfn.XLOOKUP(K24:K275,'参照_武将'!A:A,'参照_武将'!B:B,"見つかりません"))</f>
      </c>
      <c r="H24" s="14" t="str">
        <f t="array" ref="H24">IF(I24:I275="","",_xlfn.XLOOKUP(I24:I275,'参照_勢力'!A:A,'参照_勢力'!B:B,"見つかりません"))</f>
      </c>
      <c r="I24" s="15">
        <v>79</v>
      </c>
      <c r="J24" s="4">
        <v>0</v>
      </c>
      <c r="K24" s="10">
        <v>1079003</v>
      </c>
      <c r="L24" s="16">
        <f>300 + ROUND((((P24/15)+(Y24/10))*(SQRT(AA24)/100+1)+O24)/((COUNTIF(I:I, I24)/30)+1), 0)</f>
        <v>1717</v>
      </c>
      <c r="M24" s="4">
        <v>50</v>
      </c>
      <c r="N24" s="10">
        <v>50</v>
      </c>
      <c r="O24" s="16">
        <f>ROUND(500+((AA24*0.01)+(Z24/3)+(V24/10))*6,0)</f>
        <v>906</v>
      </c>
      <c r="P24" s="17">
        <f>ROUND((T24 * 2.5) * SQRT(Z24)
,0) + (O24 * 2)</f>
        <v>4080</v>
      </c>
      <c r="Q24" s="17">
        <v>1000</v>
      </c>
      <c r="R24" s="16">
        <f>ROUNDDOWN(L24*0.2, -1)</f>
        <v>340</v>
      </c>
      <c r="S24" s="17">
        <f>ROUNDDOWN(L24*0.005, -1)</f>
        <v>0</v>
      </c>
      <c r="T24" s="15">
        <v>110</v>
      </c>
      <c r="U24" s="4">
        <v>700</v>
      </c>
      <c r="V24" s="4">
        <v>50</v>
      </c>
      <c r="W24" s="4">
        <v>350</v>
      </c>
      <c r="X24" s="4">
        <v>350</v>
      </c>
      <c r="Y24" s="10">
        <v>700</v>
      </c>
      <c r="Z24" s="15">
        <v>68</v>
      </c>
      <c r="AA24" s="4">
        <v>4000</v>
      </c>
      <c r="AB24" s="4"/>
    </row>
    <row r="25" ht="15.75" customHeight="1">
      <c r="A25" s="4">
        <v>210</v>
      </c>
      <c r="B25" s="8">
        <v>24.0</v>
      </c>
      <c r="C25" s="9" t="b">
        <v>1</v>
      </c>
      <c r="D25" s="4" t="inlineStr">
        <is>
          <t>飯野平城</t>
        </is>
      </c>
      <c r="E25" s="10" t="inlineStr">
        <is>
          <t>いいのたいらじょう</t>
        </is>
      </c>
      <c r="F25" s="11" t="str">
        <f t="array" ref="F25">IF(A25:A276="","",_xlfn.XLOOKUP(A25:A276,'参照_拠点'!A:A,'参照_拠点'!B:B,"見つかりません"))</f>
      </c>
      <c r="G25" s="12" t="str">
        <f t="array" ref="G25">IF(K25:K276="","",_xlfn.XLOOKUP(K25:K276,'参照_武将'!A:A,'参照_武将'!B:B,"見つかりません"))</f>
      </c>
      <c r="H25" s="14" t="str">
        <f t="array" ref="H25">IF(I25:I276="","",_xlfn.XLOOKUP(I25:I276,'参照_勢力'!A:A,'参照_勢力'!B:B,"見つかりません"))</f>
      </c>
      <c r="I25" s="15">
        <v>80</v>
      </c>
      <c r="J25" s="4">
        <v>0</v>
      </c>
      <c r="K25" s="10">
        <v>1080007</v>
      </c>
      <c r="L25" s="18">
        <f>300 + ROUND((((P25/15)+(Y25/10))*(SQRT(AA25)/100+1)+O25)/((COUNTIF(I:I, I25)/30)+1), 0)</f>
        <v>1545</v>
      </c>
      <c r="M25" s="4">
        <v>50</v>
      </c>
      <c r="N25" s="10">
        <v>50</v>
      </c>
      <c r="O25" s="18">
        <f>ROUND(500+((AA25*0.01)+(Z25/3)+(V25/10))*6,0)</f>
        <v>834</v>
      </c>
      <c r="P25" s="19">
        <f>ROUND((T25 * 2.5) * SQRT(Z25)
,0) + (O25 * 2)</f>
        <v>3637</v>
      </c>
      <c r="Q25" s="19">
        <v>1000</v>
      </c>
      <c r="R25" s="18">
        <f>ROUNDDOWN(L25*0.2, -1)</f>
        <v>300</v>
      </c>
      <c r="S25" s="19">
        <f>ROUNDDOWN(L25*0.005, -1)</f>
        <v>0</v>
      </c>
      <c r="T25" s="15">
        <v>100</v>
      </c>
      <c r="U25" s="4">
        <v>700</v>
      </c>
      <c r="V25" s="4">
        <v>50</v>
      </c>
      <c r="W25" s="4">
        <v>400</v>
      </c>
      <c r="X25" s="4">
        <v>250</v>
      </c>
      <c r="Y25" s="10">
        <v>500</v>
      </c>
      <c r="Z25" s="15">
        <v>62</v>
      </c>
      <c r="AA25" s="4">
        <v>3000</v>
      </c>
      <c r="AB25" s="4"/>
    </row>
    <row r="26" ht="15.75" customHeight="1">
      <c r="A26" s="4">
        <v>208</v>
      </c>
      <c r="B26" s="8">
        <v>25.0</v>
      </c>
      <c r="C26" s="9" t="b">
        <v>1</v>
      </c>
      <c r="D26" s="4" t="inlineStr">
        <is>
          <t>黒木城</t>
        </is>
      </c>
      <c r="E26" s="10" t="inlineStr">
        <is>
          <t>くろきじょう</t>
        </is>
      </c>
      <c r="F26" s="11" t="str">
        <f t="array" ref="F26">IF(A26:A277="","",_xlfn.XLOOKUP(A26:A277,'参照_拠点'!A:A,'参照_拠点'!B:B,"見つかりません"))</f>
      </c>
      <c r="G26" s="12" t="str">
        <f t="array" ref="G26">IF(K26:K277="","",_xlfn.XLOOKUP(K26:K277,'参照_武将'!A:A,'参照_武将'!B:B,"見つかりません"))</f>
      </c>
      <c r="H26" s="14" t="str">
        <f t="array" ref="H26">IF(I26:I277="","",_xlfn.XLOOKUP(I26:I277,'参照_勢力'!A:A,'参照_勢力'!B:B,"見つかりません"))</f>
      </c>
      <c r="I26" s="15">
        <v>77</v>
      </c>
      <c r="J26" s="4">
        <v>1</v>
      </c>
      <c r="K26" s="10">
        <v>1077019</v>
      </c>
      <c r="L26" s="16">
        <f>300 + ROUND((((P26/15)+(Y26/10))*(SQRT(AA26)/100+1)+O26)/((COUNTIF(I:I, I26)/30)+1), 0)</f>
        <v>1947</v>
      </c>
      <c r="M26" s="4">
        <v>50</v>
      </c>
      <c r="N26" s="10">
        <v>50</v>
      </c>
      <c r="O26" s="16">
        <f>ROUND(500+((AA26*0.01)+(Z26/3)+(V26/10))*6,0)</f>
        <v>960</v>
      </c>
      <c r="P26" s="17">
        <f>ROUND((T26 * 2.5) * SQRT(Z26)
,0) + (O26 * 2)</f>
        <v>5951</v>
      </c>
      <c r="Q26" s="17">
        <v>1000</v>
      </c>
      <c r="R26" s="16">
        <f>ROUNDDOWN(L26*0.2, -1)</f>
        <v>380</v>
      </c>
      <c r="S26" s="17">
        <f>ROUNDDOWN(L26*0.005, -1)</f>
        <v>0</v>
      </c>
      <c r="T26" s="15">
        <v>200</v>
      </c>
      <c r="U26" s="4">
        <v>700</v>
      </c>
      <c r="V26" s="4">
        <v>50</v>
      </c>
      <c r="W26" s="4">
        <v>350</v>
      </c>
      <c r="X26" s="4">
        <v>350</v>
      </c>
      <c r="Y26" s="10">
        <v>700</v>
      </c>
      <c r="Z26" s="15">
        <v>65</v>
      </c>
      <c r="AA26" s="4">
        <v>5000</v>
      </c>
      <c r="AB26" s="4" t="s">
        <v>4288</v>
      </c>
    </row>
    <row r="27" ht="15.75" customHeight="1">
      <c r="A27" s="4">
        <v>211</v>
      </c>
      <c r="B27" s="8">
        <v>26.0</v>
      </c>
      <c r="C27" s="9" t="b">
        <v>1</v>
      </c>
      <c r="D27" s="4" t="inlineStr">
        <is>
          <t>三春城</t>
        </is>
      </c>
      <c r="E27" s="10" t="inlineStr">
        <is>
          <t>みはるじょう</t>
        </is>
      </c>
      <c r="F27" s="11" t="str">
        <f t="array" ref="F27">IF(A27:A278="","",_xlfn.XLOOKUP(A27:A278,'参照_拠点'!A:A,'参照_拠点'!B:B,"見つかりません"))</f>
      </c>
      <c r="G27" s="12" t="str">
        <f t="array" ref="G27">IF(K27:K278="","",_xlfn.XLOOKUP(K27:K278,'参照_武将'!A:A,'参照_武将'!B:B,"見つかりません"))</f>
      </c>
      <c r="H27" s="14" t="str">
        <f t="array" ref="H27">IF(I27:I278="","",_xlfn.XLOOKUP(I27:I278,'参照_勢力'!A:A,'参照_勢力'!B:B,"見つかりません"))</f>
      </c>
      <c r="I27" s="15">
        <v>81</v>
      </c>
      <c r="J27" s="4">
        <v>0</v>
      </c>
      <c r="K27" s="10">
        <v>1081004</v>
      </c>
      <c r="L27" s="18">
        <f>300 + ROUND((((P27/15)+(Y27/10))*(SQRT(AA27)/100+1)+O27)/((COUNTIF(I:I, I27)/30)+1), 0)</f>
        <v>1598</v>
      </c>
      <c r="M27" s="4">
        <v>50</v>
      </c>
      <c r="N27" s="10">
        <v>50</v>
      </c>
      <c r="O27" s="18">
        <f>ROUND(500+((AA27*0.01)+(Z27/3)+(V27/10))*6,0)</f>
        <v>838</v>
      </c>
      <c r="P27" s="19">
        <f>ROUND((T27 * 2.5) * SQRT(Z27)
,0) + (O27 * 2)</f>
        <v>3676</v>
      </c>
      <c r="Q27" s="19">
        <v>1000</v>
      </c>
      <c r="R27" s="18">
        <f>ROUNDDOWN(L27*0.2, -1)</f>
        <v>310</v>
      </c>
      <c r="S27" s="19">
        <f>ROUNDDOWN(L27*0.005, -1)</f>
        <v>0</v>
      </c>
      <c r="T27" s="15">
        <v>100</v>
      </c>
      <c r="U27" s="4">
        <v>700</v>
      </c>
      <c r="V27" s="4">
        <v>50</v>
      </c>
      <c r="W27" s="4">
        <v>400</v>
      </c>
      <c r="X27" s="4">
        <v>400</v>
      </c>
      <c r="Y27" s="10">
        <v>800</v>
      </c>
      <c r="Z27" s="15">
        <v>64</v>
      </c>
      <c r="AA27" s="4">
        <v>3000</v>
      </c>
      <c r="AB27" s="4"/>
    </row>
    <row r="28" ht="15.75" customHeight="1">
      <c r="A28" s="4">
        <v>207</v>
      </c>
      <c r="B28" s="8">
        <v>27.0</v>
      </c>
      <c r="C28" s="9" t="b">
        <v>1</v>
      </c>
      <c r="D28" s="4" t="inlineStr">
        <is>
          <t>亘理城</t>
        </is>
      </c>
      <c r="E28" s="10" t="inlineStr">
        <is>
          <t>わたりじょう</t>
        </is>
      </c>
      <c r="F28" s="11" t="str">
        <f t="array" ref="F28">IF(A28:A279="","",_xlfn.XLOOKUP(A28:A279,'参照_拠点'!A:A,'参照_拠点'!B:B,"見つかりません"))</f>
      </c>
      <c r="G28" s="12" t="str">
        <f t="array" ref="G28">IF(K28:K279="","",_xlfn.XLOOKUP(K28:K279,'参照_武将'!A:A,'参照_武将'!B:B,"見つかりません"))</f>
      </c>
      <c r="H28" s="14" t="str">
        <f t="array" ref="H28">IF(I28:I279="","",_xlfn.XLOOKUP(I28:I279,'参照_勢力'!A:A,'参照_勢力'!B:B,"見つかりません"))</f>
      </c>
      <c r="I28" s="15">
        <v>74</v>
      </c>
      <c r="J28" s="4">
        <v>1</v>
      </c>
      <c r="K28" s="10">
        <v>1074064</v>
      </c>
      <c r="L28" s="16">
        <f>300 + ROUND((((P28/15)+(Y28/10))*(SQRT(AA28)/100+1)+O28)/((COUNTIF(I:I, I28)/30)+1), 0)</f>
        <v>1296</v>
      </c>
      <c r="M28" s="4">
        <v>50</v>
      </c>
      <c r="N28" s="10">
        <v>50</v>
      </c>
      <c r="O28" s="16">
        <f>ROUND(500+((AA28*0.01)+(Z28/3)+(V28/10))*6,0)</f>
        <v>750</v>
      </c>
      <c r="P28" s="17">
        <f>ROUND((T28 * 2.5) * SQRT(Z28)
,0) + (O28 * 2)</f>
        <v>4322</v>
      </c>
      <c r="Q28" s="17">
        <v>1000</v>
      </c>
      <c r="R28" s="16">
        <f>ROUNDDOWN(L28*0.2, -1)</f>
        <v>250</v>
      </c>
      <c r="S28" s="17">
        <f>ROUNDDOWN(L28*0.005, -1)</f>
        <v>0</v>
      </c>
      <c r="T28" s="15">
        <v>140</v>
      </c>
      <c r="U28" s="4">
        <v>800</v>
      </c>
      <c r="V28" s="4">
        <v>100</v>
      </c>
      <c r="W28" s="4">
        <v>600</v>
      </c>
      <c r="X28" s="4">
        <v>250</v>
      </c>
      <c r="Y28" s="10">
        <v>500</v>
      </c>
      <c r="Z28" s="15">
        <v>65</v>
      </c>
      <c r="AA28" s="4">
        <v>1000</v>
      </c>
      <c r="AB28" s="4"/>
    </row>
    <row r="29" ht="15.75" customHeight="1">
      <c r="A29" s="4">
        <v>216</v>
      </c>
      <c r="B29" s="8">
        <v>28.0</v>
      </c>
      <c r="C29" s="9" t="b">
        <v>1</v>
      </c>
      <c r="D29" s="4" t="inlineStr">
        <is>
          <t>猪苗代城</t>
        </is>
      </c>
      <c r="E29" s="10" t="inlineStr">
        <is>
          <t>いなわしろじょう</t>
        </is>
      </c>
      <c r="F29" s="11" t="str">
        <f t="array" ref="F29">IF(A29:A280="","",_xlfn.XLOOKUP(A29:A280,'参照_拠点'!A:A,'参照_拠点'!B:B,"見つかりません"))</f>
      </c>
      <c r="G29" s="12" t="str">
        <f t="array" ref="G29">IF(K29:K280="","",_xlfn.XLOOKUP(K29:K280,'参照_武将'!A:A,'参照_武将'!B:B,"見つかりません"))</f>
      </c>
      <c r="H29" s="14" t="str">
        <f t="array" ref="H29">IF(I29:I280="","",_xlfn.XLOOKUP(I29:I280,'参照_勢力'!A:A,'参照_勢力'!B:B,"見つかりません"))</f>
      </c>
      <c r="I29" s="15">
        <v>33</v>
      </c>
      <c r="J29" s="4">
        <v>0</v>
      </c>
      <c r="K29" s="10">
        <v>1033016</v>
      </c>
      <c r="L29" s="18">
        <f>300 + ROUND((((P29/15)+(Y29/10))*(SQRT(AA29)/100+1)+O29)/((COUNTIF(I:I, I29)/30)+1), 0)</f>
        <v>1379</v>
      </c>
      <c r="M29" s="4">
        <v>50</v>
      </c>
      <c r="N29" s="10">
        <v>50</v>
      </c>
      <c r="O29" s="18">
        <f>ROUND(500+((AA29*0.01)+(Z29/3)+(V29/10))*6,0)</f>
        <v>780</v>
      </c>
      <c r="P29" s="19">
        <f>ROUND((T29 * 2.5) * SQRT(Z29)
,0) + (O29 * 2)</f>
        <v>3172</v>
      </c>
      <c r="Q29" s="19">
        <v>1000</v>
      </c>
      <c r="R29" s="18">
        <f>ROUNDDOWN(L29*0.2, -1)</f>
        <v>270</v>
      </c>
      <c r="S29" s="19">
        <f>ROUNDDOWN(L29*0.005, -1)</f>
        <v>0</v>
      </c>
      <c r="T29" s="15">
        <v>80</v>
      </c>
      <c r="U29" s="4">
        <v>600</v>
      </c>
      <c r="V29" s="4">
        <v>50</v>
      </c>
      <c r="W29" s="4">
        <v>450</v>
      </c>
      <c r="X29" s="4">
        <v>350</v>
      </c>
      <c r="Y29" s="10">
        <v>700</v>
      </c>
      <c r="Z29" s="15">
        <v>65</v>
      </c>
      <c r="AA29" s="4">
        <v>2000</v>
      </c>
      <c r="AB29" s="4"/>
    </row>
    <row r="30" ht="15.75" customHeight="1">
      <c r="A30" s="4">
        <v>61</v>
      </c>
      <c r="B30" s="8">
        <v>29.0</v>
      </c>
      <c r="C30" s="9" t="b">
        <v>1</v>
      </c>
      <c r="D30" s="4" t="inlineStr">
        <is>
          <t>黒川城</t>
        </is>
      </c>
      <c r="E30" s="10" t="inlineStr">
        <is>
          <t>くろかわじょう</t>
        </is>
      </c>
      <c r="F30" s="11" t="str">
        <f t="array" ref="F30">IF(A30:A281="","",_xlfn.XLOOKUP(A30:A281,'参照_拠点'!A:A,'参照_拠点'!B:B,"見つかりません"))</f>
      </c>
      <c r="G30" s="12" t="str">
        <f t="array" ref="G30">IF(K30:K281="","",_xlfn.XLOOKUP(K30:K281,'参照_武将'!A:A,'参照_武将'!B:B,"見つかりません"))</f>
      </c>
      <c r="H30" s="14" t="str">
        <f t="array" ref="H30">IF(I30:I281="","",_xlfn.XLOOKUP(I30:I281,'参照_勢力'!A:A,'参照_勢力'!B:B,"見つかりません"))</f>
      </c>
      <c r="I30" s="15">
        <v>33</v>
      </c>
      <c r="J30" s="4">
        <v>0</v>
      </c>
      <c r="K30" s="10">
        <v>1033011</v>
      </c>
      <c r="L30" s="16">
        <f>300 + ROUND((((P30/15)+(Y30/10))*(SQRT(AA30)/100+1)+O30)/((COUNTIF(I:I, I30)/30)+1), 0)</f>
        <v>2964</v>
      </c>
      <c r="M30" s="4">
        <v>50</v>
      </c>
      <c r="N30" s="10">
        <v>50</v>
      </c>
      <c r="O30" s="16">
        <f>ROUND(500+((AA30*0.01)+(Z30/3)+(V30/10))*6,0)</f>
        <v>1412</v>
      </c>
      <c r="P30" s="17">
        <f>ROUND((T30 * 2.5) * SQRT(Z30)
,0) + (O30 * 2)</f>
        <v>8917</v>
      </c>
      <c r="Q30" s="17">
        <v>1000</v>
      </c>
      <c r="R30" s="16">
        <f>ROUNDDOWN(L30*0.2, -1)</f>
        <v>590</v>
      </c>
      <c r="S30" s="17">
        <f>ROUNDDOWN(L30*0.005, -1)</f>
        <v>10</v>
      </c>
      <c r="T30" s="15">
        <v>300</v>
      </c>
      <c r="U30" s="4">
        <v>1300</v>
      </c>
      <c r="V30" s="4">
        <v>100</v>
      </c>
      <c r="W30" s="4">
        <v>750</v>
      </c>
      <c r="X30" s="4">
        <v>650</v>
      </c>
      <c r="Y30" s="10">
        <v>1300</v>
      </c>
      <c r="Z30" s="15">
        <v>66</v>
      </c>
      <c r="AA30" s="4">
        <v>12000</v>
      </c>
      <c r="AB30" s="4"/>
    </row>
    <row r="31" ht="15.75" customHeight="1">
      <c r="A31" s="4">
        <v>62</v>
      </c>
      <c r="B31" s="8">
        <v>30.0</v>
      </c>
      <c r="C31" s="9" t="b">
        <v>1</v>
      </c>
      <c r="D31" s="4" t="inlineStr">
        <is>
          <t>塩生城</t>
        </is>
      </c>
      <c r="E31" s="10" t="inlineStr">
        <is>
          <t>しおぶじょう</t>
        </is>
      </c>
      <c r="F31" s="11" t="str">
        <f t="array" ref="F31">IF(A31:A282="","",_xlfn.XLOOKUP(A31:A282,'参照_拠点'!A:A,'参照_拠点'!B:B,"見つかりません"))</f>
      </c>
      <c r="G31" s="12" t="str">
        <f t="array" ref="G31">IF(K31:K282="","",_xlfn.XLOOKUP(K31:K282,'参照_武将'!A:A,'参照_武将'!B:B,"見つかりません"))</f>
      </c>
      <c r="H31" s="14" t="str">
        <f t="array" ref="H31">IF(I31:I282="","",_xlfn.XLOOKUP(I31:I282,'参照_勢力'!A:A,'参照_勢力'!B:B,"見つかりません"))</f>
      </c>
      <c r="I31" s="15">
        <v>33</v>
      </c>
      <c r="J31" s="4">
        <v>0</v>
      </c>
      <c r="K31" s="10">
        <v>1033030</v>
      </c>
      <c r="L31" s="18">
        <f>300 + ROUND((((P31/15)+(Y31/10))*(SQRT(AA31)/100+1)+O31)/((COUNTIF(I:I, I31)/30)+1), 0)</f>
        <v>1669</v>
      </c>
      <c r="M31" s="4">
        <v>50</v>
      </c>
      <c r="N31" s="10">
        <v>50</v>
      </c>
      <c r="O31" s="18">
        <f>ROUND(500+((AA31*0.01)+(Z31/3)+(V31/10))*6,0)</f>
        <v>864</v>
      </c>
      <c r="P31" s="19">
        <f>ROUND((T31 * 2.5) * SQRT(Z31)
,0) + (O31 * 2)</f>
        <v>5468</v>
      </c>
      <c r="Q31" s="19">
        <v>1000</v>
      </c>
      <c r="R31" s="18">
        <f>ROUNDDOWN(L31*0.2, -1)</f>
        <v>330</v>
      </c>
      <c r="S31" s="19">
        <f>ROUNDDOWN(L31*0.005, -1)</f>
        <v>0</v>
      </c>
      <c r="T31" s="15">
        <v>190</v>
      </c>
      <c r="U31" s="4">
        <v>700</v>
      </c>
      <c r="V31" s="4">
        <v>100</v>
      </c>
      <c r="W31" s="4">
        <v>600</v>
      </c>
      <c r="X31" s="4">
        <v>250</v>
      </c>
      <c r="Y31" s="10">
        <v>500</v>
      </c>
      <c r="Z31" s="15">
        <v>62</v>
      </c>
      <c r="AA31" s="4">
        <v>3000</v>
      </c>
      <c r="AB31" s="4"/>
    </row>
    <row r="32" ht="15.75" customHeight="1">
      <c r="A32" s="4">
        <v>214</v>
      </c>
      <c r="B32" s="8">
        <v>31.0</v>
      </c>
      <c r="C32" s="9" t="b">
        <v>1</v>
      </c>
      <c r="D32" s="4" t="inlineStr">
        <is>
          <t>杉目城</t>
        </is>
      </c>
      <c r="E32" s="10" t="inlineStr">
        <is>
          <t>すぎのめじょう</t>
        </is>
      </c>
      <c r="F32" s="11" t="str">
        <f t="array" ref="F32">IF(A32:A283="","",_xlfn.XLOOKUP(A32:A283,'参照_拠点'!A:A,'参照_拠点'!B:B,"見つかりません"))</f>
      </c>
      <c r="G32" s="12" t="str">
        <f t="array" ref="G32">IF(K32:K283="","",_xlfn.XLOOKUP(K32:K283,'参照_武将'!A:A,'参照_武将'!B:B,"見つかりません"))</f>
      </c>
      <c r="H32" s="14" t="str">
        <f t="array" ref="H32">IF(I32:I283="","",_xlfn.XLOOKUP(I32:I283,'参照_勢力'!A:A,'参照_勢力'!B:B,"見つかりません"))</f>
      </c>
      <c r="I32" s="15">
        <v>74</v>
      </c>
      <c r="J32" s="4">
        <v>2</v>
      </c>
      <c r="K32" s="10">
        <v>1074004</v>
      </c>
      <c r="L32" s="16">
        <f>300 + ROUND((((P32/15)+(Y32/10))*(SQRT(AA32)/100+1)+O32)/((COUNTIF(I:I, I32)/30)+1), 0)</f>
        <v>1393</v>
      </c>
      <c r="M32" s="4">
        <v>50</v>
      </c>
      <c r="N32" s="10">
        <v>50</v>
      </c>
      <c r="O32" s="16">
        <f>ROUND(500+((AA32*0.01)+(Z32/3)+(V32/10))*6,0)</f>
        <v>880</v>
      </c>
      <c r="P32" s="17">
        <f>ROUND((T32 * 2.5) * SQRT(Z32)
,0) + (O32 * 2)</f>
        <v>3433</v>
      </c>
      <c r="Q32" s="17">
        <v>1000</v>
      </c>
      <c r="R32" s="16">
        <f>ROUNDDOWN(L32*0.2, -1)</f>
        <v>270</v>
      </c>
      <c r="S32" s="17">
        <f>ROUNDDOWN(L32*0.005, -1)</f>
        <v>0</v>
      </c>
      <c r="T32" s="15">
        <v>80</v>
      </c>
      <c r="U32" s="4">
        <v>700</v>
      </c>
      <c r="V32" s="4">
        <v>100</v>
      </c>
      <c r="W32" s="4">
        <v>350</v>
      </c>
      <c r="X32" s="4">
        <v>250</v>
      </c>
      <c r="Y32" s="10">
        <v>500</v>
      </c>
      <c r="Z32" s="15">
        <v>70</v>
      </c>
      <c r="AA32" s="4">
        <v>3000</v>
      </c>
      <c r="AB32" s="4"/>
    </row>
    <row r="33" ht="15.75" customHeight="1">
      <c r="A33" s="4">
        <v>215</v>
      </c>
      <c r="B33" s="8">
        <v>32.0</v>
      </c>
      <c r="C33" s="9" t="b">
        <v>1</v>
      </c>
      <c r="D33" s="4" t="inlineStr">
        <is>
          <t>二本松城</t>
        </is>
      </c>
      <c r="E33" s="10" t="inlineStr">
        <is>
          <t>にほんまつじょう</t>
        </is>
      </c>
      <c r="F33" s="11" t="str">
        <f t="array" ref="F33">IF(A33:A284="","",_xlfn.XLOOKUP(A33:A284,'参照_拠点'!A:A,'参照_拠点'!B:B,"見つかりません"))</f>
      </c>
      <c r="G33" s="12" t="str">
        <f t="array" ref="G33">IF(K33:K284="","",_xlfn.XLOOKUP(K33:K284,'参照_武将'!A:A,'参照_武将'!B:B,"見つかりません"))</f>
      </c>
      <c r="H33" s="14" t="str">
        <f t="array" ref="H33">IF(I33:I284="","",_xlfn.XLOOKUP(I33:I284,'参照_勢力'!A:A,'参照_勢力'!B:B,"見つかりません"))</f>
      </c>
      <c r="I33" s="15">
        <v>82</v>
      </c>
      <c r="J33" s="4">
        <v>0</v>
      </c>
      <c r="K33" s="10">
        <v>1082007</v>
      </c>
      <c r="L33" s="18">
        <f>300 + ROUND((((P33/15)+(Y33/10))*(SQRT(AA33)/100+1)+O33)/((COUNTIF(I:I, I33)/30)+1), 0)</f>
        <v>1607</v>
      </c>
      <c r="M33" s="4">
        <v>50</v>
      </c>
      <c r="N33" s="10">
        <v>50</v>
      </c>
      <c r="O33" s="18">
        <f>ROUND(500+((AA33*0.01)+(Z33/3)+(V33/10))*6,0)</f>
        <v>870</v>
      </c>
      <c r="P33" s="19">
        <f>ROUND((T33 * 2.5) * SQRT(Z33)
,0) + (O33 * 2)</f>
        <v>3756</v>
      </c>
      <c r="Q33" s="19">
        <v>1000</v>
      </c>
      <c r="R33" s="18">
        <f>ROUNDDOWN(L33*0.2, -1)</f>
        <v>320</v>
      </c>
      <c r="S33" s="19">
        <f>ROUNDDOWN(L33*0.005, -1)</f>
        <v>0</v>
      </c>
      <c r="T33" s="15">
        <v>100</v>
      </c>
      <c r="U33" s="4">
        <v>700</v>
      </c>
      <c r="V33" s="4">
        <v>100</v>
      </c>
      <c r="W33" s="4">
        <v>500</v>
      </c>
      <c r="X33" s="4">
        <v>300</v>
      </c>
      <c r="Y33" s="10">
        <v>600</v>
      </c>
      <c r="Z33" s="15">
        <v>65</v>
      </c>
      <c r="AA33" s="4">
        <v>3000</v>
      </c>
      <c r="AB33" s="4"/>
    </row>
    <row r="34" ht="15.75" customHeight="1">
      <c r="A34" s="4">
        <v>220</v>
      </c>
      <c r="B34" s="8">
        <v>33.0</v>
      </c>
      <c r="C34" s="9" t="b">
        <v>1</v>
      </c>
      <c r="D34" s="4" t="inlineStr">
        <is>
          <t>角館城</t>
        </is>
      </c>
      <c r="E34" s="10" t="inlineStr">
        <is>
          <t>かくのだてじょう</t>
        </is>
      </c>
      <c r="F34" s="11" t="str">
        <f t="array" ref="F34">IF(A34:A285="","",_xlfn.XLOOKUP(A34:A285,'参照_拠点'!A:A,'参照_拠点'!B:B,"見つかりません"))</f>
      </c>
      <c r="G34" s="12" t="str">
        <f t="array" ref="G34">IF(K34:K285="","",_xlfn.XLOOKUP(K34:K285,'参照_武将'!A:A,'参照_武将'!B:B,"見つかりません"))</f>
      </c>
      <c r="H34" s="14" t="str">
        <f t="array" ref="H34">IF(I34:I285="","",_xlfn.XLOOKUP(I34:I285,'参照_勢力'!A:A,'参照_勢力'!B:B,"見つかりません"))</f>
      </c>
      <c r="I34" s="15">
        <v>83</v>
      </c>
      <c r="J34" s="4">
        <v>0</v>
      </c>
      <c r="K34" s="10">
        <v>1083003</v>
      </c>
      <c r="L34" s="16">
        <f>300 + ROUND((((P34/15)+(Y34/10))*(SQRT(AA34)/100+1)+O34)/((COUNTIF(I:I, I34)/30)+1), 0)</f>
        <v>1872</v>
      </c>
      <c r="M34" s="4">
        <v>50</v>
      </c>
      <c r="N34" s="10">
        <v>50</v>
      </c>
      <c r="O34" s="16">
        <f>ROUND(500+((AA34*0.01)+(Z34/3)+(V34/10))*6,0)</f>
        <v>1020</v>
      </c>
      <c r="P34" s="17">
        <f>ROUND((T34 * 2.5) * SQRT(Z34)
,0) + (O34 * 2)</f>
        <v>4257</v>
      </c>
      <c r="Q34" s="17">
        <v>1000</v>
      </c>
      <c r="R34" s="16">
        <f>ROUNDDOWN(L34*0.2, -1)</f>
        <v>370</v>
      </c>
      <c r="S34" s="17">
        <f>ROUNDDOWN(L34*0.005, -1)</f>
        <v>0</v>
      </c>
      <c r="T34" s="15">
        <v>110</v>
      </c>
      <c r="U34" s="4">
        <v>700</v>
      </c>
      <c r="V34" s="4">
        <v>150</v>
      </c>
      <c r="W34" s="4">
        <v>600</v>
      </c>
      <c r="X34" s="4">
        <v>350</v>
      </c>
      <c r="Y34" s="10">
        <v>700</v>
      </c>
      <c r="Z34" s="15">
        <v>65</v>
      </c>
      <c r="AA34" s="4">
        <v>5000</v>
      </c>
      <c r="AB34" s="4"/>
    </row>
    <row r="35" ht="15.75" customHeight="1">
      <c r="A35" s="4">
        <v>217</v>
      </c>
      <c r="B35" s="8">
        <v>34.0</v>
      </c>
      <c r="C35" s="9" t="b">
        <v>1</v>
      </c>
      <c r="D35" s="4" t="inlineStr">
        <is>
          <t>十狐城</t>
        </is>
      </c>
      <c r="E35" s="10" t="inlineStr">
        <is>
          <t>とっこじょう</t>
        </is>
      </c>
      <c r="F35" s="11" t="str">
        <f t="array" ref="F35">IF(A35:A286="","",_xlfn.XLOOKUP(A35:A286,'参照_拠点'!A:A,'参照_拠点'!B:B,"見つかりません"))</f>
      </c>
      <c r="G35" s="12" t="str">
        <f t="array" ref="G35">IF(K35:K286="","",_xlfn.XLOOKUP(K35:K286,'参照_武将'!A:A,'参照_武将'!B:B,"見つかりません"))</f>
      </c>
      <c r="H35" s="14" t="str">
        <f t="array" ref="H35">IF(I35:I286="","",_xlfn.XLOOKUP(I35:I286,'参照_勢力'!A:A,'参照_勢力'!B:B,"見つかりません"))</f>
      </c>
      <c r="I35" s="15">
        <v>84</v>
      </c>
      <c r="J35" s="4">
        <v>0</v>
      </c>
      <c r="K35" s="10">
        <v>1084004</v>
      </c>
      <c r="L35" s="18">
        <f>300 + ROUND((((P35/15)+(Y35/10))*(SQRT(AA35)/100+1)+O35)/((COUNTIF(I:I, I35)/30)+1), 0)</f>
        <v>1654</v>
      </c>
      <c r="M35" s="4">
        <v>50</v>
      </c>
      <c r="N35" s="10">
        <v>50</v>
      </c>
      <c r="O35" s="18">
        <f>ROUND(500+((AA35*0.01)+(Z35/3)+(V35/10))*6,0)</f>
        <v>866</v>
      </c>
      <c r="P35" s="19">
        <f>ROUND((T35 * 2.5) * SQRT(Z35)
,0) + (O35 * 2)</f>
        <v>4113</v>
      </c>
      <c r="Q35" s="19">
        <v>1000</v>
      </c>
      <c r="R35" s="18">
        <f>ROUNDDOWN(L35*0.2, -1)</f>
        <v>330</v>
      </c>
      <c r="S35" s="19">
        <f>ROUNDDOWN(L35*0.005, -1)</f>
        <v>0</v>
      </c>
      <c r="T35" s="15">
        <v>120</v>
      </c>
      <c r="U35" s="4">
        <v>800</v>
      </c>
      <c r="V35" s="4">
        <v>100</v>
      </c>
      <c r="W35" s="4">
        <v>400</v>
      </c>
      <c r="X35" s="4">
        <v>350</v>
      </c>
      <c r="Y35" s="10">
        <v>700</v>
      </c>
      <c r="Z35" s="15">
        <v>63</v>
      </c>
      <c r="AA35" s="4">
        <v>3000</v>
      </c>
      <c r="AB35" s="4"/>
    </row>
    <row r="36" ht="15.75" customHeight="1">
      <c r="A36" s="4">
        <v>218</v>
      </c>
      <c r="B36" s="8">
        <v>35.0</v>
      </c>
      <c r="C36" s="9" t="b">
        <v>1</v>
      </c>
      <c r="D36" s="4" t="inlineStr">
        <is>
          <t>檜山城</t>
        </is>
      </c>
      <c r="E36" s="10" t="inlineStr">
        <is>
          <t>ひやまじょう</t>
        </is>
      </c>
      <c r="F36" s="11" t="str">
        <f t="array" ref="F36">IF(A36:A287="","",_xlfn.XLOOKUP(A36:A287,'参照_拠点'!A:A,'参照_拠点'!B:B,"見つかりません"))</f>
      </c>
      <c r="G36" s="12" t="str">
        <f t="array" ref="G36">IF(K36:K287="","",_xlfn.XLOOKUP(K36:K287,'参照_武将'!A:A,'参照_武将'!B:B,"見つかりません"))</f>
      </c>
      <c r="H36" s="14" t="str">
        <f t="array" ref="H36">IF(I36:I287="","",_xlfn.XLOOKUP(I36:I287,'参照_勢力'!A:A,'参照_勢力'!B:B,"見つかりません"))</f>
      </c>
      <c r="I36" s="15">
        <v>73</v>
      </c>
      <c r="J36" s="4">
        <v>0</v>
      </c>
      <c r="K36" s="10">
        <v>1073013</v>
      </c>
      <c r="L36" s="16">
        <f>300 + ROUND((((P36/15)+(Y36/10))*(SQRT(AA36)/100+1)+O36)/((COUNTIF(I:I, I36)/30)+1), 0)</f>
        <v>2542</v>
      </c>
      <c r="M36" s="4">
        <v>50</v>
      </c>
      <c r="N36" s="10">
        <v>50</v>
      </c>
      <c r="O36" s="16">
        <f>ROUND(500+((AA36*0.01)+(Z36/3)+(V36/10))*6,0)</f>
        <v>1296</v>
      </c>
      <c r="P36" s="17">
        <f>ROUND((T36 * 2.5) * SQRT(Z36)
,0) + (O36 * 2)</f>
        <v>6715</v>
      </c>
      <c r="Q36" s="17">
        <v>1000</v>
      </c>
      <c r="R36" s="16">
        <f>ROUNDDOWN(L36*0.2, -1)</f>
        <v>500</v>
      </c>
      <c r="S36" s="17">
        <f>ROUNDDOWN(L36*0.005, -1)</f>
        <v>10</v>
      </c>
      <c r="T36" s="15">
        <v>200</v>
      </c>
      <c r="U36" s="4">
        <v>1200</v>
      </c>
      <c r="V36" s="4">
        <v>100</v>
      </c>
      <c r="W36" s="4">
        <v>500</v>
      </c>
      <c r="X36" s="4">
        <v>500</v>
      </c>
      <c r="Y36" s="10">
        <v>1000</v>
      </c>
      <c r="Z36" s="15">
        <v>68</v>
      </c>
      <c r="AA36" s="4">
        <v>10000</v>
      </c>
      <c r="AB36" s="4"/>
    </row>
    <row r="37" ht="15.75" customHeight="1">
      <c r="A37" s="4">
        <v>219</v>
      </c>
      <c r="B37" s="8">
        <v>36.0</v>
      </c>
      <c r="C37" s="9" t="b">
        <v>1</v>
      </c>
      <c r="D37" s="4" t="inlineStr">
        <is>
          <t>湊城</t>
        </is>
      </c>
      <c r="E37" s="10" t="inlineStr">
        <is>
          <t>みなとじょう</t>
        </is>
      </c>
      <c r="F37" s="11" t="str">
        <f t="array" ref="F37">IF(A37:A288="","",_xlfn.XLOOKUP(A37:A288,'参照_拠点'!A:A,'参照_拠点'!B:B,"見つかりません"))</f>
      </c>
      <c r="G37" s="12" t="str">
        <f t="array" ref="G37">IF(K37:K288="","",_xlfn.XLOOKUP(K37:K288,'参照_武将'!A:A,'参照_武将'!B:B,"見つかりません"))</f>
      </c>
      <c r="H37" s="14" t="str">
        <f t="array" ref="H37">IF(I37:I288="","",_xlfn.XLOOKUP(I37:I288,'参照_勢力'!A:A,'参照_勢力'!B:B,"見つかりません"))</f>
      </c>
      <c r="I37" s="15">
        <v>73</v>
      </c>
      <c r="J37" s="4">
        <v>1</v>
      </c>
      <c r="K37" s="10">
        <v>1073018</v>
      </c>
      <c r="L37" s="18">
        <f>300 + ROUND((((P37/15)+(Y37/10))*(SQRT(AA37)/100+1)+O37)/((COUNTIF(I:I, I37)/30)+1), 0)</f>
        <v>1777</v>
      </c>
      <c r="M37" s="4">
        <v>50</v>
      </c>
      <c r="N37" s="10">
        <v>50</v>
      </c>
      <c r="O37" s="18">
        <f>ROUND(500+((AA37*0.01)+(Z37/3)+(V37/10))*6,0)</f>
        <v>930</v>
      </c>
      <c r="P37" s="19">
        <f>ROUND((T37 * 2.5) * SQRT(Z37)
,0) + (O37 * 2)</f>
        <v>4883</v>
      </c>
      <c r="Q37" s="19">
        <v>1000</v>
      </c>
      <c r="R37" s="18">
        <f>ROUNDDOWN(L37*0.2, -1)</f>
        <v>350</v>
      </c>
      <c r="S37" s="19">
        <f>ROUNDDOWN(L37*0.005, -1)</f>
        <v>0</v>
      </c>
      <c r="T37" s="15">
        <v>150</v>
      </c>
      <c r="U37" s="4">
        <v>800</v>
      </c>
      <c r="V37" s="4">
        <v>100</v>
      </c>
      <c r="W37" s="4">
        <v>500</v>
      </c>
      <c r="X37" s="4">
        <v>350</v>
      </c>
      <c r="Y37" s="10">
        <v>700</v>
      </c>
      <c r="Z37" s="15">
        <v>65</v>
      </c>
      <c r="AA37" s="4">
        <v>4000</v>
      </c>
      <c r="AB37" s="4"/>
    </row>
    <row r="38" ht="15.75" customHeight="1">
      <c r="A38" s="4">
        <v>243</v>
      </c>
      <c r="B38" s="8">
        <v>37.0</v>
      </c>
      <c r="C38" s="9" t="b">
        <v>1</v>
      </c>
      <c r="D38" s="4" t="inlineStr">
        <is>
          <t>山根城</t>
        </is>
      </c>
      <c r="E38" s="10" t="inlineStr">
        <is>
          <t>やまねじょう</t>
        </is>
      </c>
      <c r="F38" s="11" t="str">
        <f t="array" ref="F38">IF(A38:A289="","",_xlfn.XLOOKUP(A38:A289,'参照_拠点'!A:A,'参照_拠点'!B:B,"見つかりません"))</f>
      </c>
      <c r="G38" s="12" t="str">
        <f t="array" ref="G38">IF(K38:K289="","",_xlfn.XLOOKUP(K38:K289,'参照_武将'!A:A,'参照_武将'!B:B,"見つかりません"))</f>
      </c>
      <c r="H38" s="14" t="str">
        <f t="array" ref="H38">IF(I38:I289="","",_xlfn.XLOOKUP(I38:I289,'参照_勢力'!A:A,'参照_勢力'!B:B,"見つかりません"))</f>
      </c>
      <c r="I38" s="15">
        <v>85</v>
      </c>
      <c r="J38" s="4">
        <v>0</v>
      </c>
      <c r="K38" s="10">
        <v>1085002</v>
      </c>
      <c r="L38" s="16">
        <f>300 + ROUND((((P38/15)+(Y38/10))*(SQRT(AA38)/100+1)+O38)/((COUNTIF(I:I, I38)/30)+1), 0)</f>
        <v>1393</v>
      </c>
      <c r="M38" s="4">
        <v>50</v>
      </c>
      <c r="N38" s="10">
        <v>50</v>
      </c>
      <c r="O38" s="16">
        <f>ROUND(500+((AA38*0.01)+(Z38/3)+(V38/10))*6,0)</f>
        <v>746</v>
      </c>
      <c r="P38" s="17">
        <f>ROUND((T38 * 2.5) * SQRT(Z38)
,0) + (O38 * 2)</f>
        <v>3079</v>
      </c>
      <c r="Q38" s="17">
        <v>1000</v>
      </c>
      <c r="R38" s="16">
        <f>ROUNDDOWN(L38*0.2, -1)</f>
        <v>270</v>
      </c>
      <c r="S38" s="17">
        <f>ROUNDDOWN(L38*0.005, -1)</f>
        <v>0</v>
      </c>
      <c r="T38" s="15">
        <v>80</v>
      </c>
      <c r="U38" s="4">
        <v>600</v>
      </c>
      <c r="V38" s="4">
        <v>0</v>
      </c>
      <c r="W38" s="4">
        <v>0</v>
      </c>
      <c r="X38" s="4">
        <v>300</v>
      </c>
      <c r="Y38" s="10">
        <v>600</v>
      </c>
      <c r="Z38" s="15">
        <v>63</v>
      </c>
      <c r="AA38" s="4">
        <v>2000</v>
      </c>
      <c r="AB38" s="4"/>
    </row>
    <row r="39" ht="15.75" customHeight="1">
      <c r="A39" s="4">
        <v>221</v>
      </c>
      <c r="B39" s="8">
        <v>38.0</v>
      </c>
      <c r="C39" s="9" t="b">
        <v>1</v>
      </c>
      <c r="D39" s="4" t="inlineStr">
        <is>
          <t>横手城</t>
        </is>
      </c>
      <c r="E39" s="10" t="inlineStr">
        <is>
          <t>よこてじょう</t>
        </is>
      </c>
      <c r="F39" s="11" t="str">
        <f t="array" ref="F39">IF(A39:A290="","",_xlfn.XLOOKUP(A39:A290,'参照_拠点'!A:A,'参照_拠点'!B:B,"見つかりません"))</f>
      </c>
      <c r="G39" s="12" t="str">
        <f t="array" ref="G39">IF(K39:K290="","",_xlfn.XLOOKUP(K39:K290,'参照_武将'!A:A,'参照_武将'!B:B,"見つかりません"))</f>
      </c>
      <c r="H39" s="14" t="str">
        <f t="array" ref="H39">IF(I39:I290="","",_xlfn.XLOOKUP(I39:I290,'参照_勢力'!A:A,'参照_勢力'!B:B,"見つかりません"))</f>
      </c>
      <c r="I39" s="15">
        <v>86</v>
      </c>
      <c r="J39" s="4">
        <v>0</v>
      </c>
      <c r="K39" s="10">
        <v>1086004</v>
      </c>
      <c r="L39" s="18">
        <f>300 + ROUND((((P39/15)+(Y39/10))*(SQRT(AA39)/100+1)+O39)/((COUNTIF(I:I, I39)/30)+1), 0)</f>
        <v>2062</v>
      </c>
      <c r="M39" s="4">
        <v>50</v>
      </c>
      <c r="N39" s="10">
        <v>50</v>
      </c>
      <c r="O39" s="18">
        <f>ROUND(500+((AA39*0.01)+(Z39/3)+(V39/10))*6,0)</f>
        <v>996</v>
      </c>
      <c r="P39" s="19">
        <f>ROUND((T39 * 2.5) * SQRT(Z39)
,0) + (O39 * 2)</f>
        <v>6115</v>
      </c>
      <c r="Q39" s="19">
        <v>1000</v>
      </c>
      <c r="R39" s="18">
        <f>ROUNDDOWN(L39*0.2, -1)</f>
        <v>410</v>
      </c>
      <c r="S39" s="19">
        <f>ROUNDDOWN(L39*0.005, -1)</f>
        <v>10</v>
      </c>
      <c r="T39" s="15">
        <v>200</v>
      </c>
      <c r="U39" s="4">
        <v>800</v>
      </c>
      <c r="V39" s="4">
        <v>100</v>
      </c>
      <c r="W39" s="4">
        <v>600</v>
      </c>
      <c r="X39" s="4">
        <v>550</v>
      </c>
      <c r="Y39" s="10">
        <v>1100</v>
      </c>
      <c r="Z39" s="15">
        <v>68</v>
      </c>
      <c r="AA39" s="4">
        <v>5000</v>
      </c>
      <c r="AB39" s="4"/>
    </row>
    <row r="40" ht="15.75" customHeight="1">
      <c r="A40" s="4">
        <v>223</v>
      </c>
      <c r="B40" s="8">
        <v>39.0</v>
      </c>
      <c r="C40" s="9" t="b">
        <v>1</v>
      </c>
      <c r="D40" s="4" t="inlineStr">
        <is>
          <t>尾浦城</t>
        </is>
      </c>
      <c r="E40" s="10" t="inlineStr">
        <is>
          <t>おうらじょう</t>
        </is>
      </c>
      <c r="F40" s="11" t="str">
        <f t="array" ref="F40">IF(A40:A291="","",_xlfn.XLOOKUP(A40:A291,'参照_拠点'!A:A,'参照_拠点'!B:B,"見つかりません"))</f>
      </c>
      <c r="G40" s="12" t="str">
        <f t="array" ref="G40">IF(K40:K291="","",_xlfn.XLOOKUP(K40:K291,'参照_武将'!A:A,'参照_武将'!B:B,"見つかりません"))</f>
      </c>
      <c r="H40" s="14" t="str">
        <f t="array" ref="H40">IF(I40:I291="","",_xlfn.XLOOKUP(I40:I291,'参照_勢力'!A:A,'参照_勢力'!B:B,"見つかりません"))</f>
      </c>
      <c r="I40" s="15">
        <v>87</v>
      </c>
      <c r="J40" s="4">
        <v>0</v>
      </c>
      <c r="K40" s="10">
        <v>1087007</v>
      </c>
      <c r="L40" s="16">
        <f>300 + ROUND((((P40/15)+(Y40/10))*(SQRT(AA40)/100+1)+O40)/((COUNTIF(I:I, I40)/30)+1), 0)</f>
        <v>1646</v>
      </c>
      <c r="M40" s="4">
        <v>50</v>
      </c>
      <c r="N40" s="10">
        <v>50</v>
      </c>
      <c r="O40" s="16">
        <f>ROUND(500+((AA40*0.01)+(Z40/3)+(V40/10))*6,0)</f>
        <v>872</v>
      </c>
      <c r="P40" s="17">
        <f>ROUND((T40 * 2.5) * SQRT(Z40)
,0) + (O40 * 2)</f>
        <v>3978</v>
      </c>
      <c r="Q40" s="17">
        <v>1000</v>
      </c>
      <c r="R40" s="16">
        <f>ROUNDDOWN(L40*0.2, -1)</f>
        <v>320</v>
      </c>
      <c r="S40" s="17">
        <f>ROUNDDOWN(L40*0.005, -1)</f>
        <v>0</v>
      </c>
      <c r="T40" s="15">
        <v>110</v>
      </c>
      <c r="U40" s="4">
        <v>800</v>
      </c>
      <c r="V40" s="4">
        <v>0</v>
      </c>
      <c r="W40" s="4">
        <v>0</v>
      </c>
      <c r="X40" s="4">
        <v>400</v>
      </c>
      <c r="Y40" s="10">
        <v>800</v>
      </c>
      <c r="Z40" s="15">
        <v>66</v>
      </c>
      <c r="AA40" s="4">
        <v>4000</v>
      </c>
      <c r="AB40" s="4"/>
    </row>
    <row r="41" ht="15.75" customHeight="1">
      <c r="A41" s="4">
        <v>227</v>
      </c>
      <c r="B41" s="8">
        <v>40.0</v>
      </c>
      <c r="C41" s="9" t="b">
        <v>1</v>
      </c>
      <c r="D41" s="4" t="inlineStr">
        <is>
          <t>小国城</t>
        </is>
      </c>
      <c r="E41" s="10" t="inlineStr">
        <is>
          <t>おぐにじょう</t>
        </is>
      </c>
      <c r="F41" s="11" t="str">
        <f t="array" ref="F41">IF(A41:A292="","",_xlfn.XLOOKUP(A41:A292,'参照_拠点'!A:A,'参照_拠点'!B:B,"見つかりません"))</f>
      </c>
      <c r="G41" s="12" t="str">
        <f t="array" ref="G41">IF(K41:K292="","",_xlfn.XLOOKUP(K41:K292,'参照_武将'!A:A,'参照_武将'!B:B,"見つかりません"))</f>
      </c>
      <c r="H41" s="14" t="str">
        <f t="array" ref="H41">IF(I41:I292="","",_xlfn.XLOOKUP(I41:I292,'参照_勢力'!A:A,'参照_勢力'!B:B,"見つかりません"))</f>
      </c>
      <c r="I41" s="15">
        <v>74</v>
      </c>
      <c r="J41" s="4">
        <v>0</v>
      </c>
      <c r="K41" s="10">
        <v>1074040</v>
      </c>
      <c r="L41" s="18">
        <f>300 + ROUND((((P41/15)+(Y41/10))*(SQRT(AA41)/100+1)+O41)/((COUNTIF(I:I, I41)/30)+1), 0)</f>
        <v>1637</v>
      </c>
      <c r="M41" s="4">
        <v>50</v>
      </c>
      <c r="N41" s="10">
        <v>50</v>
      </c>
      <c r="O41" s="18">
        <f>ROUND(500+((AA41*0.01)+(Z41/3)+(V41/10))*6,0)</f>
        <v>896</v>
      </c>
      <c r="P41" s="19">
        <f>ROUND((T41 * 2.5) * SQRT(Z41)
,0) + (O41 * 2)</f>
        <v>5761</v>
      </c>
      <c r="Q41" s="19">
        <v>1000</v>
      </c>
      <c r="R41" s="18">
        <f>ROUNDDOWN(L41*0.2, -1)</f>
        <v>320</v>
      </c>
      <c r="S41" s="19">
        <f>ROUNDDOWN(L41*0.005, -1)</f>
        <v>0</v>
      </c>
      <c r="T41" s="15">
        <v>200</v>
      </c>
      <c r="U41" s="4">
        <v>1100</v>
      </c>
      <c r="V41" s="4">
        <v>50</v>
      </c>
      <c r="W41" s="4">
        <v>200</v>
      </c>
      <c r="X41" s="4">
        <v>250</v>
      </c>
      <c r="Y41" s="10">
        <v>500</v>
      </c>
      <c r="Z41" s="15">
        <v>63</v>
      </c>
      <c r="AA41" s="4">
        <v>4000</v>
      </c>
      <c r="AB41" s="4"/>
    </row>
    <row r="42" ht="15.75" customHeight="1">
      <c r="A42" s="4">
        <v>222</v>
      </c>
      <c r="B42" s="8">
        <v>41.0</v>
      </c>
      <c r="C42" s="9" t="b">
        <v>1</v>
      </c>
      <c r="D42" s="4" t="inlineStr">
        <is>
          <t>鮭延城</t>
        </is>
      </c>
      <c r="E42" s="10" t="inlineStr">
        <is>
          <t>さけのべじょう</t>
        </is>
      </c>
      <c r="F42" s="11" t="str">
        <f t="array" ref="F42">IF(A42:A293="","",_xlfn.XLOOKUP(A42:A293,'参照_拠点'!A:A,'参照_拠点'!B:B,"見つかりません"))</f>
      </c>
      <c r="G42" s="12" t="str">
        <f t="array" ref="G42">IF(K42:K293="","",_xlfn.XLOOKUP(K42:K293,'参照_武将'!A:A,'参照_武将'!B:B,"見つかりません"))</f>
      </c>
      <c r="H42" s="14" t="str">
        <f t="array" ref="H42">IF(I42:I293="","",_xlfn.XLOOKUP(I42:I293,'参照_勢力'!A:A,'参照_勢力'!B:B,"見つかりません"))</f>
      </c>
      <c r="I42" s="15">
        <v>86</v>
      </c>
      <c r="J42" s="4">
        <v>1</v>
      </c>
      <c r="K42" s="10">
        <v>1086009</v>
      </c>
      <c r="L42" s="16">
        <f>300 + ROUND((((P42/15)+(Y42/10))*(SQRT(AA42)/100+1)+O42)/((COUNTIF(I:I, I42)/30)+1), 0)</f>
        <v>1344</v>
      </c>
      <c r="M42" s="4">
        <v>50</v>
      </c>
      <c r="N42" s="10">
        <v>50</v>
      </c>
      <c r="O42" s="16">
        <f>ROUND(500+((AA42*0.01)+(Z42/3)+(V42/10))*6,0)</f>
        <v>756</v>
      </c>
      <c r="P42" s="17">
        <f>ROUND((T42 * 2.5) * SQRT(Z42)
,0) + (O42 * 2)</f>
        <v>2955</v>
      </c>
      <c r="Q42" s="17">
        <v>1000</v>
      </c>
      <c r="R42" s="16">
        <f>ROUNDDOWN(L42*0.2, -1)</f>
        <v>260</v>
      </c>
      <c r="S42" s="17">
        <f>ROUNDDOWN(L42*0.005, -1)</f>
        <v>0</v>
      </c>
      <c r="T42" s="15">
        <v>70</v>
      </c>
      <c r="U42" s="4">
        <v>600</v>
      </c>
      <c r="V42" s="4">
        <v>0</v>
      </c>
      <c r="W42" s="4">
        <v>0</v>
      </c>
      <c r="X42" s="4">
        <v>250</v>
      </c>
      <c r="Y42" s="10">
        <v>500</v>
      </c>
      <c r="Z42" s="15">
        <v>68</v>
      </c>
      <c r="AA42" s="4">
        <v>2000</v>
      </c>
      <c r="AB42" s="4"/>
    </row>
    <row r="43" ht="15.75" customHeight="1">
      <c r="A43" s="4">
        <v>225</v>
      </c>
      <c r="B43" s="8">
        <v>42.0</v>
      </c>
      <c r="C43" s="9" t="b">
        <v>1</v>
      </c>
      <c r="D43" s="4" t="inlineStr">
        <is>
          <t>天童城</t>
        </is>
      </c>
      <c r="E43" s="10" t="inlineStr">
        <is>
          <t>てんどうじょう</t>
        </is>
      </c>
      <c r="F43" s="11" t="str">
        <f t="array" ref="F43">IF(A43:A294="","",_xlfn.XLOOKUP(A43:A294,'参照_拠点'!A:A,'参照_拠点'!B:B,"見つかりません"))</f>
      </c>
      <c r="G43" s="12" t="str">
        <f t="array" ref="G43">IF(K43:K294="","",_xlfn.XLOOKUP(K43:K294,'参照_武将'!A:A,'参照_武将'!B:B,"見つかりません"))</f>
      </c>
      <c r="H43" s="14" t="str">
        <f t="array" ref="H43">IF(I43:I294="","",_xlfn.XLOOKUP(I43:I294,'参照_勢力'!A:A,'参照_勢力'!B:B,"見つかりません"))</f>
      </c>
      <c r="I43" s="15">
        <v>88</v>
      </c>
      <c r="J43" s="4">
        <v>0</v>
      </c>
      <c r="K43" s="10">
        <v>1088005</v>
      </c>
      <c r="L43" s="18">
        <f>300 + ROUND((((P43/15)+(Y43/10))*(SQRT(AA43)/100+1)+O43)/((COUNTIF(I:I, I43)/30)+1), 0)</f>
        <v>2086</v>
      </c>
      <c r="M43" s="4">
        <v>50</v>
      </c>
      <c r="N43" s="10">
        <v>50</v>
      </c>
      <c r="O43" s="18">
        <f>ROUND(500+((AA43*0.01)+(Z43/3)+(V43/10))*6,0)</f>
        <v>1056</v>
      </c>
      <c r="P43" s="19">
        <f>ROUND((T43 * 2.5) * SQRT(Z43)
,0) + (O43 * 2)</f>
        <v>5823</v>
      </c>
      <c r="Q43" s="19">
        <v>1000</v>
      </c>
      <c r="R43" s="18">
        <f>ROUNDDOWN(L43*0.2, -1)</f>
        <v>410</v>
      </c>
      <c r="S43" s="19">
        <f>ROUNDDOWN(L43*0.005, -1)</f>
        <v>10</v>
      </c>
      <c r="T43" s="15">
        <v>180</v>
      </c>
      <c r="U43" s="4">
        <v>1000</v>
      </c>
      <c r="V43" s="4">
        <v>100</v>
      </c>
      <c r="W43" s="4">
        <v>400</v>
      </c>
      <c r="X43" s="4">
        <v>450</v>
      </c>
      <c r="Y43" s="10">
        <v>900</v>
      </c>
      <c r="Z43" s="15">
        <v>68</v>
      </c>
      <c r="AA43" s="4">
        <v>6000</v>
      </c>
      <c r="AB43" s="4"/>
    </row>
    <row r="44" ht="15.75" customHeight="1">
      <c r="A44" s="4">
        <v>244</v>
      </c>
      <c r="B44" s="8">
        <v>43.0</v>
      </c>
      <c r="C44" s="9" t="b">
        <v>1</v>
      </c>
      <c r="D44" s="4" t="inlineStr">
        <is>
          <t>東禅寺城</t>
        </is>
      </c>
      <c r="E44" s="10" t="inlineStr">
        <is>
          <t>とうぜんじじょう</t>
        </is>
      </c>
      <c r="F44" s="11" t="str">
        <f t="array" ref="F44">IF(A44:A295="","",_xlfn.XLOOKUP(A44:A295,'参照_拠点'!A:A,'参照_拠点'!B:B,"見つかりません"))</f>
      </c>
      <c r="G44" s="12" t="str">
        <f t="array" ref="G44">IF(K44:K295="","",_xlfn.XLOOKUP(K44:K295,'参照_武将'!A:A,'参照_武将'!B:B,"見つかりません"))</f>
      </c>
      <c r="H44" s="14" t="str">
        <f t="array" ref="H44">IF(I44:I295="","",_xlfn.XLOOKUP(I44:I295,'参照_勢力'!A:A,'参照_勢力'!B:B,"見つかりません"))</f>
      </c>
      <c r="I44" s="15">
        <v>87</v>
      </c>
      <c r="J44" s="4">
        <v>1</v>
      </c>
      <c r="K44" s="10">
        <v>1087020</v>
      </c>
      <c r="L44" s="16">
        <f>300 + ROUND((((P44/15)+(Y44/10))*(SQRT(AA44)/100+1)+O44)/((COUNTIF(I:I, I44)/30)+1), 0)</f>
        <v>1255</v>
      </c>
      <c r="M44" s="4">
        <v>50</v>
      </c>
      <c r="N44" s="10">
        <v>50</v>
      </c>
      <c r="O44" s="16">
        <f>ROUND(500+((AA44*0.01)+(Z44/3)+(V44/10))*6,0)</f>
        <v>690</v>
      </c>
      <c r="P44" s="17">
        <f>ROUND((T44 * 2.5) * SQRT(Z44)
,0) + (O44 * 2)</f>
        <v>2992</v>
      </c>
      <c r="Q44" s="17">
        <v>1000</v>
      </c>
      <c r="R44" s="16">
        <f>ROUNDDOWN(L44*0.2, -1)</f>
        <v>250</v>
      </c>
      <c r="S44" s="17">
        <f>ROUNDDOWN(L44*0.005, -1)</f>
        <v>0</v>
      </c>
      <c r="T44" s="15">
        <v>80</v>
      </c>
      <c r="U44" s="4">
        <v>600</v>
      </c>
      <c r="V44" s="4">
        <v>0</v>
      </c>
      <c r="W44" s="4">
        <v>0</v>
      </c>
      <c r="X44" s="4">
        <v>250</v>
      </c>
      <c r="Y44" s="10">
        <v>500</v>
      </c>
      <c r="Z44" s="15">
        <v>65</v>
      </c>
      <c r="AA44" s="4">
        <v>1000</v>
      </c>
      <c r="AB44" s="4"/>
    </row>
    <row r="45" ht="15.75" customHeight="1">
      <c r="A45" s="4">
        <v>253</v>
      </c>
      <c r="B45" s="8">
        <v>44.0</v>
      </c>
      <c r="C45" s="9" t="b">
        <v>1</v>
      </c>
      <c r="D45" s="4" t="inlineStr">
        <is>
          <t>中野城</t>
        </is>
      </c>
      <c r="E45" s="10" t="inlineStr">
        <is>
          <t>なかのじょう</t>
        </is>
      </c>
      <c r="F45" s="11" t="str">
        <f t="array" ref="F45">IF(A45:A296="","",_xlfn.XLOOKUP(A45:A296,'参照_拠点'!A:A,'参照_拠点'!B:B,"見つかりません"))</f>
      </c>
      <c r="G45" s="12" t="str">
        <f t="array" ref="G45">IF(K45:K296="","",_xlfn.XLOOKUP(K45:K296,'参照_武将'!A:A,'参照_武将'!B:B,"見つかりません"))</f>
      </c>
      <c r="H45" s="14" t="str">
        <f t="array" ref="H45">IF(I45:I296="","",_xlfn.XLOOKUP(I45:I296,'参照_勢力'!A:A,'参照_勢力'!B:B,"見つかりません"))</f>
      </c>
      <c r="I45" s="15">
        <v>89</v>
      </c>
      <c r="J45" s="4">
        <v>0</v>
      </c>
      <c r="K45" s="10">
        <v>1089025</v>
      </c>
      <c r="L45" s="18">
        <f>300 + ROUND((((P45/15)+(Y45/10))*(SQRT(AA45)/100+1)+O45)/((COUNTIF(I:I, I45)/30)+1), 0)</f>
        <v>2224</v>
      </c>
      <c r="M45" s="4">
        <v>70</v>
      </c>
      <c r="N45" s="10">
        <v>70</v>
      </c>
      <c r="O45" s="18">
        <f>ROUND(500+((AA45*0.01)+(Z45/3)+(V45/10))*6,0)+500</f>
        <v>1394</v>
      </c>
      <c r="P45" s="19">
        <f>ROUND((T45 * 2.5) * SQRT(Z45)
,0) + (O45 * 2)</f>
        <v>5150</v>
      </c>
      <c r="Q45" s="19">
        <v>1000</v>
      </c>
      <c r="R45" s="18">
        <f>ROUNDDOWN(L45*0.25, -1)</f>
        <v>550</v>
      </c>
      <c r="S45" s="19">
        <f>ROUNDDOWN(L45*0.005, -1)</f>
        <v>10</v>
      </c>
      <c r="T45" s="15">
        <v>120</v>
      </c>
      <c r="U45" s="4">
        <v>600</v>
      </c>
      <c r="V45" s="4">
        <v>50</v>
      </c>
      <c r="W45" s="4">
        <v>300</v>
      </c>
      <c r="X45" s="4">
        <v>300</v>
      </c>
      <c r="Y45" s="10">
        <v>600</v>
      </c>
      <c r="Z45" s="15">
        <v>62</v>
      </c>
      <c r="AA45" s="4">
        <v>4000</v>
      </c>
      <c r="AB45" s="4"/>
    </row>
    <row r="46" ht="15.75" customHeight="1">
      <c r="A46" s="4">
        <v>224</v>
      </c>
      <c r="B46" s="8">
        <v>45.0</v>
      </c>
      <c r="C46" s="9" t="b">
        <v>1</v>
      </c>
      <c r="D46" s="4" t="inlineStr">
        <is>
          <t>延沢城</t>
        </is>
      </c>
      <c r="E46" s="10" t="inlineStr">
        <is>
          <t>のべさわじょう</t>
        </is>
      </c>
      <c r="F46" s="11" t="str">
        <f t="array" ref="F46">IF(A46:A297="","",_xlfn.XLOOKUP(A46:A297,'参照_拠点'!A:A,'参照_拠点'!B:B,"見つかりません"))</f>
      </c>
      <c r="G46" s="12" t="str">
        <f t="array" ref="G46">IF(K46:K297="","",_xlfn.XLOOKUP(K46:K297,'参照_武将'!A:A,'参照_武将'!B:B,"見つかりません"))</f>
      </c>
      <c r="H46" s="14" t="str">
        <f t="array" ref="H46">IF(I46:I297="","",_xlfn.XLOOKUP(I46:I297,'参照_勢力'!A:A,'参照_勢力'!B:B,"見つかりません"))</f>
      </c>
      <c r="I46" s="15">
        <v>88</v>
      </c>
      <c r="J46" s="4">
        <v>1</v>
      </c>
      <c r="K46" s="10">
        <v>1088017</v>
      </c>
      <c r="L46" s="16">
        <f>300 + ROUND((((P46/15)+(Y46/10))*(SQRT(AA46)/100+1)+O46)/((COUNTIF(I:I, I46)/30)+1), 0)</f>
        <v>1865</v>
      </c>
      <c r="M46" s="4">
        <v>50</v>
      </c>
      <c r="N46" s="10">
        <v>50</v>
      </c>
      <c r="O46" s="16">
        <f>ROUND(500+((AA46*0.01)+(Z46/3)+(V46/10))*6,0)</f>
        <v>1020</v>
      </c>
      <c r="P46" s="17">
        <f>ROUND((T46 * 2.5) * SQRT(Z46)
,0) + (O46 * 2)</f>
        <v>4660</v>
      </c>
      <c r="Q46" s="17">
        <v>1000</v>
      </c>
      <c r="R46" s="16">
        <f>ROUNDDOWN(L46*0.2, -1)</f>
        <v>370</v>
      </c>
      <c r="S46" s="17">
        <f>ROUNDDOWN(L46*0.005, -1)</f>
        <v>0</v>
      </c>
      <c r="T46" s="15">
        <v>130</v>
      </c>
      <c r="U46" s="4">
        <v>800</v>
      </c>
      <c r="V46" s="4">
        <v>150</v>
      </c>
      <c r="W46" s="4">
        <v>1000</v>
      </c>
      <c r="X46" s="4">
        <v>350</v>
      </c>
      <c r="Y46" s="10">
        <v>700</v>
      </c>
      <c r="Z46" s="15">
        <v>65</v>
      </c>
      <c r="AA46" s="4">
        <v>5000</v>
      </c>
      <c r="AB46" s="4"/>
    </row>
    <row r="47" ht="15.75" customHeight="1">
      <c r="A47" s="4">
        <v>226</v>
      </c>
      <c r="B47" s="8">
        <v>46.0</v>
      </c>
      <c r="C47" s="9" t="b">
        <v>1</v>
      </c>
      <c r="D47" s="4" t="inlineStr">
        <is>
          <t>山形城</t>
        </is>
      </c>
      <c r="E47" s="10" t="inlineStr">
        <is>
          <t>やまがたじょう</t>
        </is>
      </c>
      <c r="F47" s="11" t="str">
        <f t="array" ref="F47">IF(A47:A298="","",_xlfn.XLOOKUP(A47:A298,'参照_拠点'!A:A,'参照_拠点'!B:B,"見つかりません"))</f>
      </c>
      <c r="G47" s="12" t="str">
        <f t="array" ref="G47">IF(K47:K298="","",_xlfn.XLOOKUP(K47:K298,'参照_武将'!A:A,'参照_武将'!B:B,"見つかりません"))</f>
      </c>
      <c r="H47" s="14" t="str">
        <f t="array" ref="H47">IF(I47:I298="","",_xlfn.XLOOKUP(I47:I298,'参照_勢力'!A:A,'参照_勢力'!B:B,"見つかりません"))</f>
      </c>
      <c r="I47" s="15">
        <v>89</v>
      </c>
      <c r="J47" s="4">
        <v>0</v>
      </c>
      <c r="K47" s="10">
        <v>1089011</v>
      </c>
      <c r="L47" s="18">
        <f>300 + ROUND((((P47/15)+(Y47/10))*(SQRT(AA47)/100+1)+O47)/((COUNTIF(I:I, I47)/30)+1), 0)</f>
        <v>4352</v>
      </c>
      <c r="M47" s="4">
        <v>70</v>
      </c>
      <c r="N47" s="10">
        <v>70</v>
      </c>
      <c r="O47" s="18">
        <f>ROUND(500+((AA47*0.01)+(Z47/3)+(V47/10))*6,0)+1000</f>
        <v>2456</v>
      </c>
      <c r="P47" s="19">
        <f>ROUND((T47 * 2.5) * SQRT(Z47)
,0) + (O47 * 2)</f>
        <v>11106</v>
      </c>
      <c r="Q47" s="19">
        <v>1000</v>
      </c>
      <c r="R47" s="18">
        <f>ROUNDDOWN(L47*0.25, -1)</f>
        <v>1080</v>
      </c>
      <c r="S47" s="19">
        <f>ROUNDDOWN(L47*0.005, -1)</f>
        <v>20</v>
      </c>
      <c r="T47" s="15">
        <v>290</v>
      </c>
      <c r="U47" s="4">
        <v>1500</v>
      </c>
      <c r="V47" s="4">
        <v>150</v>
      </c>
      <c r="W47" s="4">
        <v>600</v>
      </c>
      <c r="X47" s="4">
        <v>750</v>
      </c>
      <c r="Y47" s="10">
        <v>1500</v>
      </c>
      <c r="Z47" s="15">
        <v>73</v>
      </c>
      <c r="AA47" s="4">
        <v>12000</v>
      </c>
      <c r="AB47" s="4"/>
    </row>
    <row r="48" ht="15.75" customHeight="1">
      <c r="A48" s="4">
        <v>228</v>
      </c>
      <c r="B48" s="8">
        <v>47.0</v>
      </c>
      <c r="C48" s="9" t="b">
        <v>1</v>
      </c>
      <c r="D48" s="4" t="inlineStr">
        <is>
          <t>米沢城</t>
        </is>
      </c>
      <c r="E48" s="10" t="inlineStr">
        <is>
          <t>よねざわじょう</t>
        </is>
      </c>
      <c r="F48" s="11" t="str">
        <f t="array" ref="F48">IF(A48:A299="","",_xlfn.XLOOKUP(A48:A299,'参照_拠点'!A:A,'参照_拠点'!B:B,"見つかりません"))</f>
      </c>
      <c r="G48" s="12" t="str">
        <f t="array" ref="G48">IF(K48:K299="","",_xlfn.XLOOKUP(K48:K299,'参照_武将'!A:A,'参照_武将'!B:B,"見つかりません"))</f>
      </c>
      <c r="H48" s="14" t="str">
        <f t="array" ref="H48">IF(I48:I299="","",_xlfn.XLOOKUP(I48:I299,'参照_勢力'!A:A,'参照_勢力'!B:B,"見つかりません"))</f>
      </c>
      <c r="I48" s="15">
        <v>74</v>
      </c>
      <c r="J48" s="4">
        <v>0</v>
      </c>
      <c r="K48" s="10">
        <v>1074008</v>
      </c>
      <c r="L48" s="16">
        <f>300 + ROUND((((P48/15)+(Y48/10))*(SQRT(AA48)/100+1)+O48)/((COUNTIF(I:I, I48)/30)+1), 0)</f>
        <v>2929</v>
      </c>
      <c r="M48" s="4">
        <v>50</v>
      </c>
      <c r="N48" s="10">
        <v>50</v>
      </c>
      <c r="O48" s="16">
        <f>ROUND(500+((AA48*0.01)+(Z48/3)+(V48/10))*6,0)</f>
        <v>1486</v>
      </c>
      <c r="P48" s="17">
        <f>ROUND((T48 * 2.5) * SQRT(Z48)
,0) + (O48 * 2)</f>
        <v>9594</v>
      </c>
      <c r="Q48" s="17">
        <v>1000</v>
      </c>
      <c r="R48" s="16">
        <f>ROUNDDOWN(L48*0.2, -1)</f>
        <v>580</v>
      </c>
      <c r="S48" s="17">
        <f>ROUNDDOWN(L48*0.005, -1)</f>
        <v>10</v>
      </c>
      <c r="T48" s="15">
        <v>310</v>
      </c>
      <c r="U48" s="4">
        <v>1800</v>
      </c>
      <c r="V48" s="4">
        <v>100</v>
      </c>
      <c r="W48" s="4">
        <v>450</v>
      </c>
      <c r="X48" s="4">
        <v>700</v>
      </c>
      <c r="Y48" s="10">
        <v>1400</v>
      </c>
      <c r="Z48" s="15">
        <v>73</v>
      </c>
      <c r="AA48" s="4">
        <v>13000</v>
      </c>
      <c r="AB48" s="4"/>
    </row>
    <row r="49" ht="15.75" customHeight="1">
      <c r="A49" s="4">
        <v>94</v>
      </c>
      <c r="B49" s="8">
        <v>48.0</v>
      </c>
      <c r="C49" s="9" t="b">
        <v>1</v>
      </c>
      <c r="D49" s="4" t="inlineStr">
        <is>
          <t>雑太城</t>
        </is>
      </c>
      <c r="E49" s="10" t="inlineStr">
        <is>
          <t>さわだじょう</t>
        </is>
      </c>
      <c r="F49" s="11" t="str">
        <f t="array" ref="F49">IF(A49:A300="","",_xlfn.XLOOKUP(A49:A300,'参照_拠点'!A:A,'参照_拠点'!B:B,"見つかりません"))</f>
      </c>
      <c r="G49" s="12" t="str">
        <f t="array" ref="G49">IF(K49:K300="","",_xlfn.XLOOKUP(K49:K300,'参照_武将'!A:A,'参照_武将'!B:B,"見つかりません"))</f>
      </c>
      <c r="H49" s="14" t="str">
        <f t="array" ref="H49">IF(I49:I300="","",_xlfn.XLOOKUP(I49:I300,'参照_勢力'!A:A,'参照_勢力'!B:B,"見つかりません"))</f>
      </c>
      <c r="I49" s="15">
        <v>2</v>
      </c>
      <c r="J49" s="4">
        <v>5</v>
      </c>
      <c r="K49" s="10">
        <v>1001087</v>
      </c>
      <c r="L49" s="18">
        <f>300 + ROUND((((P49/15)+(Y49/10))*(SQRT(AA49)/100+1)+O49)/((COUNTIF(I:I, I49)/30)+1), 0)</f>
        <v>1147</v>
      </c>
      <c r="M49" s="4">
        <v>60</v>
      </c>
      <c r="N49" s="10">
        <v>60</v>
      </c>
      <c r="O49" s="18">
        <f>ROUND(500+((AA49*0.01)+(Z49/3)+(V49/10))*6,0)</f>
        <v>790</v>
      </c>
      <c r="P49" s="19">
        <f>ROUND((T49 * 2.5) * SQRT(Z49)
,0) + (O49 * 2)</f>
        <v>3063</v>
      </c>
      <c r="Q49" s="19">
        <v>1000</v>
      </c>
      <c r="R49" s="18">
        <f>ROUNDDOWN(L49*0.4, -1)</f>
        <v>450</v>
      </c>
      <c r="S49" s="19">
        <f>ROUNDDOWN(L49*0.01, -1)</f>
        <v>10</v>
      </c>
      <c r="T49" s="15">
        <v>80</v>
      </c>
      <c r="U49" s="4">
        <v>500</v>
      </c>
      <c r="V49" s="4">
        <v>0</v>
      </c>
      <c r="W49" s="4">
        <v>2000</v>
      </c>
      <c r="X49" s="4">
        <v>350</v>
      </c>
      <c r="Y49" s="10">
        <v>700</v>
      </c>
      <c r="Z49" s="15">
        <v>55</v>
      </c>
      <c r="AA49" s="4">
        <v>3000</v>
      </c>
      <c r="AB49" s="4"/>
    </row>
    <row r="50" ht="15.75" customHeight="1">
      <c r="A50" s="4">
        <v>2</v>
      </c>
      <c r="B50" s="8">
        <v>49.0</v>
      </c>
      <c r="C50" s="9" t="b">
        <v>1</v>
      </c>
      <c r="D50" s="4" t="inlineStr">
        <is>
          <t>春日山城</t>
        </is>
      </c>
      <c r="E50" s="10" t="inlineStr">
        <is>
          <t>かすがやまじょう</t>
        </is>
      </c>
      <c r="F50" s="11" t="str">
        <f t="array" ref="F50">IF(A50:A301="","",_xlfn.XLOOKUP(A50:A301,'参照_拠点'!A:A,'参照_拠点'!B:B,"見つかりません"))</f>
      </c>
      <c r="G50" s="12" t="str">
        <f t="array" ref="G50">IF(K50:K301="","",_xlfn.XLOOKUP(K50:K301,'参照_武将'!A:A,'参照_武将'!B:B,"見つかりません"))</f>
      </c>
      <c r="H50" s="14" t="str">
        <f t="array" ref="H50">IF(I50:I301="","",_xlfn.XLOOKUP(I50:I301,'参照_勢力'!A:A,'参照_勢力'!B:B,"見つかりません"))</f>
      </c>
      <c r="I50" s="15">
        <v>2</v>
      </c>
      <c r="J50" s="4">
        <v>0</v>
      </c>
      <c r="K50" s="10">
        <v>1001015</v>
      </c>
      <c r="L50" s="16">
        <f>300 + ROUND((((P50/15)+(Y50/10))*(SQRT(AA50)/100+1)+O50)/((COUNTIF(I:I, I50)/30)+1), 0)</f>
        <v>3955</v>
      </c>
      <c r="M50" s="4">
        <v>70</v>
      </c>
      <c r="N50" s="10">
        <v>70</v>
      </c>
      <c r="O50" s="16">
        <f>ROUND(500+((AA50*0.01)+(Z50/3)+(V50/10))*6,0)</f>
        <v>2408</v>
      </c>
      <c r="P50" s="17">
        <f>ROUND((T50 * 2.5) * SQRT(Z50)
,0) + (O50 * 2)</f>
        <v>12915</v>
      </c>
      <c r="Q50" s="17">
        <v>1000</v>
      </c>
      <c r="R50" s="16">
        <f>ROUNDDOWN(L50*0.4, -1)</f>
        <v>1580</v>
      </c>
      <c r="S50" s="17">
        <f>ROUNDDOWN(L50*0.005, -1)</f>
        <v>10</v>
      </c>
      <c r="T50" s="15">
        <v>390</v>
      </c>
      <c r="U50" s="4">
        <v>1800</v>
      </c>
      <c r="V50" s="4">
        <v>250</v>
      </c>
      <c r="W50" s="4">
        <v>900</v>
      </c>
      <c r="X50" s="4">
        <v>1050</v>
      </c>
      <c r="Y50" s="10">
        <v>2100</v>
      </c>
      <c r="Z50" s="15">
        <v>69</v>
      </c>
      <c r="AA50" s="4">
        <v>27000</v>
      </c>
      <c r="AB50" s="4"/>
    </row>
    <row r="51" ht="15.75" customHeight="1">
      <c r="A51" s="4">
        <v>68</v>
      </c>
      <c r="B51" s="8">
        <v>50.0</v>
      </c>
      <c r="C51" s="9" t="b">
        <v>1</v>
      </c>
      <c r="D51" s="4" t="inlineStr">
        <is>
          <t>坂戸城</t>
        </is>
      </c>
      <c r="E51" s="10" t="inlineStr">
        <is>
          <t>さかどじょう</t>
        </is>
      </c>
      <c r="F51" s="11" t="str">
        <f t="array" ref="F51">IF(A51:A302="","",_xlfn.XLOOKUP(A51:A302,'参照_拠点'!A:A,'参照_拠点'!B:B,"見つかりません"))</f>
      </c>
      <c r="G51" s="12" t="str">
        <f t="array" ref="G51">IF(K51:K302="","",_xlfn.XLOOKUP(K51:K302,'参照_武将'!A:A,'参照_武将'!B:B,"見つかりません"))</f>
      </c>
      <c r="H51" s="14" t="str">
        <f t="array" ref="H51">IF(I51:I302="","",_xlfn.XLOOKUP(I51:I302,'参照_勢力'!A:A,'参照_勢力'!B:B,"見つかりません"))</f>
      </c>
      <c r="I51" s="15">
        <v>2</v>
      </c>
      <c r="J51" s="4">
        <v>1</v>
      </c>
      <c r="K51" s="10">
        <v>1001005</v>
      </c>
      <c r="L51" s="18">
        <f>300 + ROUND((((P51/15)+(Y51/10))*(SQRT(AA51)/100+1)+O51)/((COUNTIF(I:I, I51)/30)+1), 0)</f>
        <v>2460</v>
      </c>
      <c r="M51" s="4">
        <v>60</v>
      </c>
      <c r="N51" s="10">
        <v>60</v>
      </c>
      <c r="O51" s="18">
        <f>ROUND(500+((AA51*0.01)+(Z51/3)+(V51/10))*6,0)</f>
        <v>1646</v>
      </c>
      <c r="P51" s="19">
        <f>ROUND((T51 * 2.5) * SQRT(Z51)
,0) + (O51 * 2)</f>
        <v>8253</v>
      </c>
      <c r="Q51" s="19">
        <v>1000</v>
      </c>
      <c r="R51" s="18">
        <f>ROUNDDOWN(L51*0.4, -1)</f>
        <v>980</v>
      </c>
      <c r="S51" s="19">
        <f>ROUNDDOWN(L51*0.005, -1)</f>
        <v>10</v>
      </c>
      <c r="T51" s="15">
        <v>250</v>
      </c>
      <c r="U51" s="4">
        <v>1200</v>
      </c>
      <c r="V51" s="4">
        <v>100</v>
      </c>
      <c r="W51" s="4">
        <v>600</v>
      </c>
      <c r="X51" s="4">
        <v>450</v>
      </c>
      <c r="Y51" s="10">
        <v>900</v>
      </c>
      <c r="Z51" s="15">
        <v>63</v>
      </c>
      <c r="AA51" s="4">
        <v>16000</v>
      </c>
      <c r="AB51" s="4"/>
    </row>
    <row r="52" ht="15.75" customHeight="1">
      <c r="A52" s="4">
        <v>15</v>
      </c>
      <c r="B52" s="8">
        <v>51.0</v>
      </c>
      <c r="C52" s="9" t="b">
        <v>1</v>
      </c>
      <c r="D52" s="4" t="inlineStr">
        <is>
          <t>新発田城</t>
        </is>
      </c>
      <c r="E52" s="10" t="inlineStr">
        <is>
          <t>しばたじょう</t>
        </is>
      </c>
      <c r="F52" s="11" t="str">
        <f t="array" ref="F52">IF(A52:A303="","",_xlfn.XLOOKUP(A52:A303,'参照_拠点'!A:A,'参照_拠点'!B:B,"見つかりません"))</f>
      </c>
      <c r="G52" s="12" t="str">
        <f t="array" ref="G52">IF(K52:K303="","",_xlfn.XLOOKUP(K52:K303,'参照_武将'!A:A,'参照_武将'!B:B,"見つかりません"))</f>
      </c>
      <c r="H52" s="14" t="str">
        <f t="array" ref="H52">IF(I52:I303="","",_xlfn.XLOOKUP(I52:I303,'参照_勢力'!A:A,'参照_勢力'!B:B,"見つかりません"))</f>
      </c>
      <c r="I52" s="15">
        <v>2</v>
      </c>
      <c r="J52" s="4">
        <v>2</v>
      </c>
      <c r="K52" s="10">
        <v>1001048</v>
      </c>
      <c r="L52" s="16">
        <f>300 + ROUND((((P52/15)+(Y52/10))*(SQRT(AA52)/100+1)+O52)/((COUNTIF(I:I, I52)/30)+1), 0)</f>
        <v>2354</v>
      </c>
      <c r="M52" s="4">
        <v>60</v>
      </c>
      <c r="N52" s="10">
        <v>60</v>
      </c>
      <c r="O52" s="16">
        <f>ROUND(500+((AA52*0.01)+(Z52/3)+(V52/10))*6,0)</f>
        <v>1560</v>
      </c>
      <c r="P52" s="17">
        <f>ROUND((T52 * 2.5) * SQRT(Z52)
,0) + (O52 * 2)</f>
        <v>8159</v>
      </c>
      <c r="Q52" s="17">
        <v>1000</v>
      </c>
      <c r="R52" s="16">
        <f>ROUNDDOWN(L52*0.4, -1)</f>
        <v>940</v>
      </c>
      <c r="S52" s="17">
        <f>ROUNDDOWN(L52*0.005, -1)</f>
        <v>10</v>
      </c>
      <c r="T52" s="15">
        <v>250</v>
      </c>
      <c r="U52" s="4">
        <v>1200</v>
      </c>
      <c r="V52" s="4">
        <v>150</v>
      </c>
      <c r="W52" s="4">
        <v>750</v>
      </c>
      <c r="X52" s="4">
        <v>450</v>
      </c>
      <c r="Y52" s="10">
        <v>900</v>
      </c>
      <c r="Z52" s="15">
        <v>65</v>
      </c>
      <c r="AA52" s="4">
        <v>14000</v>
      </c>
      <c r="AB52" s="4"/>
    </row>
    <row r="53" ht="15.75" customHeight="1">
      <c r="A53" s="4">
        <v>20</v>
      </c>
      <c r="B53" s="8">
        <v>52.0</v>
      </c>
      <c r="C53" s="9" t="b">
        <v>1</v>
      </c>
      <c r="D53" s="4" t="inlineStr">
        <is>
          <t>本庄城</t>
        </is>
      </c>
      <c r="E53" s="10" t="inlineStr">
        <is>
          <t>ほんじょうじょう</t>
        </is>
      </c>
      <c r="F53" s="11" t="str">
        <f t="array" ref="F53">IF(A53:A304="","",_xlfn.XLOOKUP(A53:A304,'参照_拠点'!A:A,'参照_拠点'!B:B,"見つかりません"))</f>
      </c>
      <c r="G53" s="12" t="str">
        <f t="array" ref="G53">IF(K53:K304="","",_xlfn.XLOOKUP(K53:K304,'参照_武将'!A:A,'参照_武将'!B:B,"見つかりません"))</f>
      </c>
      <c r="H53" s="14" t="str">
        <f t="array" ref="H53">IF(I53:I304="","",_xlfn.XLOOKUP(I53:I304,'参照_勢力'!A:A,'参照_勢力'!B:B,"見つかりません"))</f>
      </c>
      <c r="I53" s="15">
        <v>2</v>
      </c>
      <c r="J53" s="4">
        <v>3</v>
      </c>
      <c r="K53" s="10">
        <v>1001084</v>
      </c>
      <c r="L53" s="18">
        <f>300 + ROUND((((P53/15)+(Y53/10))*(SQRT(AA53)/100+1)+O53)/((COUNTIF(I:I, I53)/30)+1), 0)</f>
        <v>1987</v>
      </c>
      <c r="M53" s="4">
        <v>60</v>
      </c>
      <c r="N53" s="10">
        <v>60</v>
      </c>
      <c r="O53" s="18">
        <f>ROUND(500+((AA53*0.01)+(Z53/3)+(V53/10))*6,0)</f>
        <v>1322</v>
      </c>
      <c r="P53" s="19">
        <f>ROUND((T53 * 2.5) * SQRT(Z53)
,0) + (O53 * 2)</f>
        <v>7315</v>
      </c>
      <c r="Q53" s="19">
        <v>1000</v>
      </c>
      <c r="R53" s="18">
        <f>ROUNDDOWN(L53*0.4, -1)</f>
        <v>790</v>
      </c>
      <c r="S53" s="19">
        <f>ROUNDDOWN(L53*0.005, -1)</f>
        <v>0</v>
      </c>
      <c r="T53" s="15">
        <v>230</v>
      </c>
      <c r="U53" s="4">
        <v>900</v>
      </c>
      <c r="V53" s="4">
        <v>150</v>
      </c>
      <c r="W53" s="4">
        <v>750</v>
      </c>
      <c r="X53" s="4">
        <v>300</v>
      </c>
      <c r="Y53" s="10">
        <v>600</v>
      </c>
      <c r="Z53" s="15">
        <v>66</v>
      </c>
      <c r="AA53" s="4">
        <v>10000</v>
      </c>
      <c r="AB53" s="4"/>
    </row>
    <row r="54" ht="15.75" customHeight="1">
      <c r="A54" s="4">
        <v>95</v>
      </c>
      <c r="B54" s="8">
        <v>53.0</v>
      </c>
      <c r="C54" s="9" t="b">
        <v>1</v>
      </c>
      <c r="D54" s="4" t="inlineStr">
        <is>
          <t>与板城</t>
        </is>
      </c>
      <c r="E54" s="10" t="inlineStr">
        <is>
          <t>よいたじょう</t>
        </is>
      </c>
      <c r="F54" s="11" t="str">
        <f t="array" ref="F54">IF(A54:A305="","",_xlfn.XLOOKUP(A54:A305,'参照_拠点'!A:A,'参照_拠点'!B:B,"見つかりません"))</f>
      </c>
      <c r="G54" s="12" t="str">
        <f t="array" ref="G54">IF(K54:K305="","",_xlfn.XLOOKUP(K54:K305,'参照_武将'!A:A,'参照_武将'!B:B,"見つかりません"))</f>
      </c>
      <c r="H54" s="14" t="str">
        <f t="array" ref="H54">IF(I54:I305="","",_xlfn.XLOOKUP(I54:I305,'参照_勢力'!A:A,'参照_勢力'!B:B,"見つかりません"))</f>
      </c>
      <c r="I54" s="15">
        <v>2</v>
      </c>
      <c r="J54" s="4">
        <v>0</v>
      </c>
      <c r="K54" s="10">
        <v>1001058</v>
      </c>
      <c r="L54" s="16">
        <f>300 + ROUND((((P54/15)+(Y54/10))*(SQRT(AA54)/100+1)+O54)/((COUNTIF(I:I, I54)/30)+1), 0)</f>
        <v>1892</v>
      </c>
      <c r="M54" s="4">
        <v>60</v>
      </c>
      <c r="N54" s="10">
        <v>60</v>
      </c>
      <c r="O54" s="16">
        <f>ROUND(500+((AA54*0.01)+(Z54/3)+(V54/10))*6,0)</f>
        <v>1230</v>
      </c>
      <c r="P54" s="17">
        <f>ROUND((T54 * 2.5) * SQRT(Z54)
,0) + (O54 * 2)</f>
        <v>6894</v>
      </c>
      <c r="Q54" s="17">
        <v>1000</v>
      </c>
      <c r="R54" s="16">
        <f>ROUNDDOWN(L54*0.4, -1)</f>
        <v>750</v>
      </c>
      <c r="S54" s="17">
        <f>ROUNDDOWN(L54*0.005, -1)</f>
        <v>0</v>
      </c>
      <c r="T54" s="15">
        <v>220</v>
      </c>
      <c r="U54" s="4">
        <v>900</v>
      </c>
      <c r="V54" s="4">
        <v>100</v>
      </c>
      <c r="W54" s="4">
        <v>600</v>
      </c>
      <c r="X54" s="4">
        <v>400</v>
      </c>
      <c r="Y54" s="10">
        <v>800</v>
      </c>
      <c r="Z54" s="15">
        <v>65</v>
      </c>
      <c r="AA54" s="4">
        <v>9000</v>
      </c>
      <c r="AB54" s="4"/>
    </row>
    <row r="55" ht="15.75" customHeight="1">
      <c r="A55" s="4">
        <v>1</v>
      </c>
      <c r="B55" s="8">
        <v>54.0</v>
      </c>
      <c r="C55" s="9" t="b">
        <v>1</v>
      </c>
      <c r="D55" s="4" t="inlineStr">
        <is>
          <t>魚津城</t>
        </is>
      </c>
      <c r="E55" s="10" t="inlineStr">
        <is>
          <t>うおづじょう</t>
        </is>
      </c>
      <c r="F55" s="11" t="str">
        <f t="array" ref="F55">IF(A55:A306="","",_xlfn.XLOOKUP(A55:A306,'参照_拠点'!A:A,'参照_拠点'!B:B,"見つかりません"))</f>
      </c>
      <c r="G55" s="12" t="str">
        <f t="array" ref="G55">IF(K55:K306="","",_xlfn.XLOOKUP(K55:K306,'参照_武将'!A:A,'参照_武将'!B:B,"見つかりません"))</f>
      </c>
      <c r="H55" s="14" t="str">
        <f t="array" ref="H55">IF(I55:I306="","",_xlfn.XLOOKUP(I55:I306,'参照_勢力'!A:A,'参照_勢力'!B:B,"見つかりません"))</f>
      </c>
      <c r="I55" s="15">
        <v>2</v>
      </c>
      <c r="J55" s="4">
        <v>0</v>
      </c>
      <c r="K55" s="10">
        <v>1001037</v>
      </c>
      <c r="L55" s="18">
        <f>300 + ROUND((((P55/15)+(Y55/10))*(SQRT(AA55)/100+1)+O55)/((COUNTIF(I:I, I55)/30)+1), 0)</f>
        <v>1953</v>
      </c>
      <c r="M55" s="4">
        <v>60</v>
      </c>
      <c r="N55" s="10">
        <v>60</v>
      </c>
      <c r="O55" s="18">
        <f>ROUND(500+((AA55*0.01)+(Z55/3)+(V55/10))*6,0)</f>
        <v>1410</v>
      </c>
      <c r="P55" s="19">
        <f>ROUND((T55 * 2.5) * SQRT(Z55)
,0) + (O55 * 2)</f>
        <v>6448</v>
      </c>
      <c r="Q55" s="19">
        <v>1000</v>
      </c>
      <c r="R55" s="18">
        <f>ROUNDDOWN(L55*0.4, -1)</f>
        <v>780</v>
      </c>
      <c r="S55" s="19">
        <f>ROUNDDOWN(L55*0.005, -1)</f>
        <v>0</v>
      </c>
      <c r="T55" s="15">
        <v>180</v>
      </c>
      <c r="U55" s="4">
        <v>900</v>
      </c>
      <c r="V55" s="4">
        <v>300</v>
      </c>
      <c r="W55" s="4">
        <v>900</v>
      </c>
      <c r="X55" s="4">
        <v>250</v>
      </c>
      <c r="Y55" s="10">
        <v>500</v>
      </c>
      <c r="Z55" s="15">
        <v>65</v>
      </c>
      <c r="AA55" s="4">
        <v>10000</v>
      </c>
      <c r="AB55" s="4"/>
    </row>
    <row r="56" ht="15.75" customHeight="1">
      <c r="A56" s="4">
        <v>24</v>
      </c>
      <c r="B56" s="8">
        <v>55.0</v>
      </c>
      <c r="C56" s="9" t="b">
        <v>1</v>
      </c>
      <c r="D56" s="4" t="inlineStr">
        <is>
          <t>富山城</t>
        </is>
      </c>
      <c r="E56" s="10" t="inlineStr">
        <is>
          <t>とやまじょう</t>
        </is>
      </c>
      <c r="F56" s="11" t="str">
        <f t="array" ref="F56">IF(A56:A307="","",_xlfn.XLOOKUP(A56:A307,'参照_拠点'!A:A,'参照_拠点'!B:B,"見つかりません"))</f>
      </c>
      <c r="G56" s="12" t="str">
        <f t="array" ref="G56">IF(K56:K307="","",_xlfn.XLOOKUP(K56:K307,'参照_武将'!A:A,'参照_武将'!B:B,"見つかりません"))</f>
      </c>
      <c r="H56" s="14" t="str">
        <f t="array" ref="H56">IF(I56:I307="","",_xlfn.XLOOKUP(I56:I307,'参照_勢力'!A:A,'参照_勢力'!B:B,"見つかりません"))</f>
      </c>
      <c r="I56" s="15">
        <v>2</v>
      </c>
      <c r="J56" s="4">
        <v>6</v>
      </c>
      <c r="K56" s="10">
        <v>1011001</v>
      </c>
      <c r="L56" s="16">
        <f>300 + ROUND((((P56/15)+(Y56/10))*(SQRT(AA56)/100+1)+O56)/((COUNTIF(I:I, I56)/30)+1), 0)</f>
        <v>2554</v>
      </c>
      <c r="M56" s="4">
        <v>50</v>
      </c>
      <c r="N56" s="10">
        <v>50</v>
      </c>
      <c r="O56" s="16">
        <f>ROUND(500+((AA56*0.01)+(Z56/3)+(V56/10))*6,0)</f>
        <v>1724</v>
      </c>
      <c r="P56" s="17">
        <f>ROUND((T56 * 2.5) * SQRT(Z56)
,0) + (O56 * 2)</f>
        <v>8327</v>
      </c>
      <c r="Q56" s="17">
        <v>1000</v>
      </c>
      <c r="R56" s="16">
        <f>ROUNDDOWN(L56*0.2, -1)</f>
        <v>510</v>
      </c>
      <c r="S56" s="17">
        <f>ROUNDDOWN(L56*0.005, -1)</f>
        <v>10</v>
      </c>
      <c r="T56" s="15">
        <v>230</v>
      </c>
      <c r="U56" s="4">
        <v>1000</v>
      </c>
      <c r="V56" s="4">
        <v>200</v>
      </c>
      <c r="W56" s="4">
        <v>700</v>
      </c>
      <c r="X56" s="4">
        <v>550</v>
      </c>
      <c r="Y56" s="10">
        <v>1100</v>
      </c>
      <c r="Z56" s="15">
        <v>72</v>
      </c>
      <c r="AA56" s="4">
        <v>16000</v>
      </c>
      <c r="AB56" s="4"/>
    </row>
    <row r="57" ht="15.75" customHeight="1">
      <c r="A57" s="4">
        <v>242</v>
      </c>
      <c r="B57" s="8">
        <v>56.0</v>
      </c>
      <c r="C57" s="9" t="b">
        <v>1</v>
      </c>
      <c r="D57" s="4" t="inlineStr">
        <is>
          <t>増山城</t>
        </is>
      </c>
      <c r="E57" s="10" t="inlineStr">
        <is>
          <t>ますやまじょう</t>
        </is>
      </c>
      <c r="F57" s="11" t="str">
        <f t="array" ref="F57">IF(A57:A308="","",_xlfn.XLOOKUP(A57:A308,'参照_拠点'!A:A,'参照_拠点'!B:B,"見つかりません"))</f>
      </c>
      <c r="G57" s="12" t="str">
        <f t="array" ref="G57">IF(K57:K308="","",_xlfn.XLOOKUP(K57:K308,'参照_武将'!A:A,'参照_武将'!B:B,"見つかりません"))</f>
      </c>
      <c r="H57" s="14" t="str">
        <f t="array" ref="H57">IF(I57:I308="","",_xlfn.XLOOKUP(I57:I308,'参照_勢力'!A:A,'参照_勢力'!B:B,"見つかりません"))</f>
      </c>
      <c r="I57" s="15">
        <v>2</v>
      </c>
      <c r="J57" s="4">
        <v>0</v>
      </c>
      <c r="K57" s="10">
        <v>1011003</v>
      </c>
      <c r="L57" s="18">
        <f>300 + ROUND((((P57/15)+(Y57/10))*(SQRT(AA57)/100+1)+O57)/((COUNTIF(I:I, I57)/30)+1), 0)</f>
        <v>1562</v>
      </c>
      <c r="M57" s="4">
        <v>50</v>
      </c>
      <c r="N57" s="10">
        <v>50</v>
      </c>
      <c r="O57" s="18">
        <f>ROUND(500+((AA57*0.01)+(Z57/3)+(V57/10))*6,0)</f>
        <v>1170</v>
      </c>
      <c r="P57" s="19">
        <f>ROUND((T57 * 2.5) * SQRT(Z57)
,0) + (O57 * 2)</f>
        <v>4154</v>
      </c>
      <c r="Q57" s="19">
        <v>1000</v>
      </c>
      <c r="R57" s="18">
        <f>ROUNDDOWN(L57*0.2, -1)</f>
        <v>310</v>
      </c>
      <c r="S57" s="19">
        <f>ROUNDDOWN(L57*0.005, -1)</f>
        <v>0</v>
      </c>
      <c r="T57" s="15">
        <v>90</v>
      </c>
      <c r="U57" s="4">
        <v>600</v>
      </c>
      <c r="V57" s="4">
        <v>100</v>
      </c>
      <c r="W57" s="4">
        <v>1000</v>
      </c>
      <c r="X57" s="4">
        <v>300</v>
      </c>
      <c r="Y57" s="10">
        <v>600</v>
      </c>
      <c r="Z57" s="15">
        <v>65</v>
      </c>
      <c r="AA57" s="4">
        <v>8000</v>
      </c>
      <c r="AB57" s="4"/>
    </row>
    <row r="58" ht="15.75" customHeight="1">
      <c r="A58" s="4">
        <v>16</v>
      </c>
      <c r="B58" s="8">
        <v>57.0</v>
      </c>
      <c r="C58" s="9" t="b">
        <v>1</v>
      </c>
      <c r="D58" s="4" t="inlineStr">
        <is>
          <t>一乗谷城</t>
        </is>
      </c>
      <c r="E58" s="10" t="inlineStr">
        <is>
          <t>いちじょうだにじょう</t>
        </is>
      </c>
      <c r="F58" s="11" t="str">
        <f t="array" ref="F58">IF(A58:A309="","",_xlfn.XLOOKUP(A58:A309,'参照_拠点'!A:A,'参照_拠点'!B:B,"見つかりません"))</f>
      </c>
      <c r="G58" s="12" t="str">
        <f t="array" ref="G58">IF(K58:K309="","",_xlfn.XLOOKUP(K58:K309,'参照_武将'!A:A,'参照_武将'!B:B,"見つかりません"))</f>
      </c>
      <c r="H58" s="14" t="str">
        <f t="array" ref="H58">IF(I58:I309="","",_xlfn.XLOOKUP(I58:I309,'参照_勢力'!A:A,'参照_勢力'!B:B,"見つかりません"))</f>
      </c>
      <c r="I58" s="15">
        <v>7</v>
      </c>
      <c r="J58" s="4">
        <v>0</v>
      </c>
      <c r="K58" s="10">
        <v>1007008</v>
      </c>
      <c r="L58" s="16">
        <f>300 + ROUND((((P58/15)+(Y58/10))*(SQRT(AA58)/100+1)+O58)/((COUNTIF(I:I, I58)/30)+1), 0)</f>
        <v>4863</v>
      </c>
      <c r="M58" s="4">
        <v>60</v>
      </c>
      <c r="N58" s="10">
        <v>60</v>
      </c>
      <c r="O58" s="16">
        <f>ROUND(500+((AA58*0.01)+(Z58/3)+(V58/10))*6,0)</f>
        <v>2370</v>
      </c>
      <c r="P58" s="17">
        <f>ROUND((T58 * 2.5) * SQRT(Z58)
,0) + (O58 * 2)</f>
        <v>13237</v>
      </c>
      <c r="Q58" s="17">
        <v>1000</v>
      </c>
      <c r="R58" s="16">
        <f>ROUNDDOWN(L58*0.4, -1)</f>
        <v>1940</v>
      </c>
      <c r="S58" s="17">
        <f>ROUNDDOWN(L58*0.008, -1)</f>
        <v>30</v>
      </c>
      <c r="T58" s="15">
        <v>380</v>
      </c>
      <c r="U58" s="4">
        <v>1900</v>
      </c>
      <c r="V58" s="4">
        <v>250</v>
      </c>
      <c r="W58" s="4">
        <v>850</v>
      </c>
      <c r="X58" s="4">
        <v>850</v>
      </c>
      <c r="Y58" s="10">
        <v>1900</v>
      </c>
      <c r="Z58" s="15">
        <v>80</v>
      </c>
      <c r="AA58" s="4">
        <v>26000</v>
      </c>
      <c r="AB58" s="4"/>
    </row>
    <row r="59" ht="15.75" customHeight="1">
      <c r="A59" s="4">
        <v>75</v>
      </c>
      <c r="B59" s="8">
        <v>58.0</v>
      </c>
      <c r="C59" s="9" t="b">
        <v>1</v>
      </c>
      <c r="D59" s="4" t="inlineStr">
        <is>
          <t>亥山城</t>
        </is>
      </c>
      <c r="E59" s="10" t="inlineStr">
        <is>
          <t>いやまじょう</t>
        </is>
      </c>
      <c r="F59" s="11" t="str">
        <f t="array" ref="F59">IF(A59:A310="","",_xlfn.XLOOKUP(A59:A310,'参照_拠点'!A:A,'参照_拠点'!B:B,"見つかりません"))</f>
      </c>
      <c r="G59" s="12" t="str">
        <f t="array" ref="G59">IF(K59:K310="","",_xlfn.XLOOKUP(K59:K310,'参照_武将'!A:A,'参照_武将'!B:B,"見つかりません"))</f>
      </c>
      <c r="H59" s="14" t="str">
        <f t="array" ref="H59">IF(I59:I310="","",_xlfn.XLOOKUP(I59:I310,'参照_勢力'!A:A,'参照_勢力'!B:B,"見つかりません"))</f>
      </c>
      <c r="I59" s="15">
        <v>7</v>
      </c>
      <c r="J59" s="4">
        <v>1</v>
      </c>
      <c r="K59" s="10">
        <v>1007026</v>
      </c>
      <c r="L59" s="18">
        <f>300 + ROUND((((P59/15)+(Y59/10))*(SQRT(AA59)/100+1)+O59)/((COUNTIF(I:I, I59)/30)+1), 0)</f>
        <v>3156</v>
      </c>
      <c r="M59" s="4">
        <v>60</v>
      </c>
      <c r="N59" s="10">
        <v>60</v>
      </c>
      <c r="O59" s="18">
        <f>ROUND(500+((AA59*0.01)+(Z59/3)+(V59/10))*6,0)</f>
        <v>1552</v>
      </c>
      <c r="P59" s="19">
        <f>ROUND((T59 * 2.5) * SQRT(Z59)
,0) + (O59 * 2)</f>
        <v>10078</v>
      </c>
      <c r="Q59" s="19">
        <v>1000</v>
      </c>
      <c r="R59" s="18">
        <f>ROUNDDOWN(L59*0.4, -1)</f>
        <v>1260</v>
      </c>
      <c r="S59" s="19">
        <f>ROUNDDOWN(L59*0.008, -1)</f>
        <v>20</v>
      </c>
      <c r="T59" s="15">
        <v>320</v>
      </c>
      <c r="U59" s="4">
        <v>1300</v>
      </c>
      <c r="V59" s="4">
        <v>100</v>
      </c>
      <c r="W59" s="4">
        <v>800</v>
      </c>
      <c r="X59" s="4">
        <v>500</v>
      </c>
      <c r="Y59" s="10">
        <v>1000</v>
      </c>
      <c r="Z59" s="15">
        <v>76</v>
      </c>
      <c r="AA59" s="4">
        <v>14000</v>
      </c>
      <c r="AB59" s="4"/>
    </row>
    <row r="60" ht="15.75" customHeight="1">
      <c r="A60" s="4">
        <v>18</v>
      </c>
      <c r="B60" s="8">
        <v>59.0</v>
      </c>
      <c r="C60" s="9" t="b">
        <v>1</v>
      </c>
      <c r="D60" s="4" t="inlineStr">
        <is>
          <t>金ヶ崎城</t>
        </is>
      </c>
      <c r="E60" s="10" t="inlineStr">
        <is>
          <t>かながさきじょう</t>
        </is>
      </c>
      <c r="F60" s="11" t="str">
        <f t="array" ref="F60">IF(A60:A311="","",_xlfn.XLOOKUP(A60:A311,'参照_拠点'!A:A,'参照_拠点'!B:B,"見つかりません"))</f>
      </c>
      <c r="G60" s="12" t="str">
        <f t="array" ref="G60">IF(K60:K311="","",_xlfn.XLOOKUP(K60:K311,'参照_武将'!A:A,'参照_武将'!B:B,"見つかりません"))</f>
      </c>
      <c r="H60" s="14" t="str">
        <f t="array" ref="H60">IF(I60:I311="","",_xlfn.XLOOKUP(I60:I311,'参照_勢力'!A:A,'参照_勢力'!B:B,"見つかりません"))</f>
      </c>
      <c r="I60" s="15">
        <v>7</v>
      </c>
      <c r="J60" s="4">
        <v>2</v>
      </c>
      <c r="K60" s="10">
        <v>1007018</v>
      </c>
      <c r="L60" s="16">
        <f>300 + ROUND((((P60/15)+(Y60/10))*(SQRT(AA60)/100+1)+O60)/((COUNTIF(I:I, I60)/30)+1), 0)</f>
        <v>2470</v>
      </c>
      <c r="M60" s="4">
        <v>60</v>
      </c>
      <c r="N60" s="10">
        <v>60</v>
      </c>
      <c r="O60" s="16">
        <f>ROUND(500+((AA60*0.01)+(Z60/3)+(V60/10))*6,0)</f>
        <v>1328</v>
      </c>
      <c r="P60" s="17">
        <f>ROUND((T60 * 2.5) * SQRT(Z60)
,0) + (O60 * 2)</f>
        <v>7432</v>
      </c>
      <c r="Q60" s="17">
        <v>1000</v>
      </c>
      <c r="R60" s="16">
        <f>ROUNDDOWN(L60*0.4, -1)</f>
        <v>980</v>
      </c>
      <c r="S60" s="17">
        <f>ROUNDDOWN(L60*0.008, -1)</f>
        <v>10</v>
      </c>
      <c r="T60" s="15">
        <v>230</v>
      </c>
      <c r="U60" s="4">
        <v>800</v>
      </c>
      <c r="V60" s="4">
        <v>150</v>
      </c>
      <c r="W60" s="4">
        <v>800</v>
      </c>
      <c r="X60" s="4">
        <v>350</v>
      </c>
      <c r="Y60" s="10">
        <v>700</v>
      </c>
      <c r="Z60" s="15">
        <v>69</v>
      </c>
      <c r="AA60" s="4">
        <v>10000</v>
      </c>
      <c r="AB60" s="4"/>
    </row>
    <row r="61" ht="15.75" customHeight="1">
      <c r="A61" s="4">
        <v>76</v>
      </c>
      <c r="B61" s="8">
        <v>60.0</v>
      </c>
      <c r="C61" s="9" t="b">
        <v>1</v>
      </c>
      <c r="D61" s="4" t="inlineStr">
        <is>
          <t>北庄城</t>
        </is>
      </c>
      <c r="E61" s="10" t="inlineStr">
        <is>
          <t>きたのしょうじょう</t>
        </is>
      </c>
      <c r="F61" s="11" t="str">
        <f t="array" ref="F61">IF(A61:A312="","",_xlfn.XLOOKUP(A61:A312,'参照_拠点'!A:A,'参照_拠点'!B:B,"見つかりません"))</f>
      </c>
      <c r="G61" s="12" t="str">
        <f t="array" ref="G61">IF(K61:K312="","",_xlfn.XLOOKUP(K61:K312,'参照_武将'!A:A,'参照_武将'!B:B,"見つかりません"))</f>
      </c>
      <c r="H61" s="14" t="str">
        <f t="array" ref="H61">IF(I61:I312="","",_xlfn.XLOOKUP(I61:I312,'参照_勢力'!A:A,'参照_勢力'!B:B,"見つかりません"))</f>
      </c>
      <c r="I61" s="15">
        <v>7</v>
      </c>
      <c r="J61" s="4">
        <v>3</v>
      </c>
      <c r="K61" s="10">
        <v>1007038</v>
      </c>
      <c r="L61" s="18">
        <f>300 + ROUND((((P61/15)+(Y61/10))*(SQRT(AA61)/100+1)+O61)/((COUNTIF(I:I, I61)/30)+1), 0)</f>
        <v>2698</v>
      </c>
      <c r="M61" s="4">
        <v>60</v>
      </c>
      <c r="N61" s="10">
        <v>60</v>
      </c>
      <c r="O61" s="18">
        <f>ROUND(500+((AA61*0.01)+(Z61/3)+(V61/10))*6,0)</f>
        <v>1424</v>
      </c>
      <c r="P61" s="19">
        <f>ROUND((T61 * 2.5) * SQRT(Z61)
,0) + (O61 * 2)</f>
        <v>8363</v>
      </c>
      <c r="Q61" s="19">
        <v>1000</v>
      </c>
      <c r="R61" s="18">
        <f>ROUNDDOWN(L61*0.4, -1)</f>
        <v>1070</v>
      </c>
      <c r="S61" s="19">
        <f>ROUNDDOWN(L61*0.008, -1)</f>
        <v>20</v>
      </c>
      <c r="T61" s="15">
        <v>260</v>
      </c>
      <c r="U61" s="4">
        <v>1000</v>
      </c>
      <c r="V61" s="4">
        <v>100</v>
      </c>
      <c r="W61" s="4">
        <v>800</v>
      </c>
      <c r="X61" s="4">
        <v>300</v>
      </c>
      <c r="Y61" s="10">
        <v>600</v>
      </c>
      <c r="Z61" s="15">
        <v>72</v>
      </c>
      <c r="AA61" s="4">
        <v>12000</v>
      </c>
      <c r="AB61" s="4"/>
    </row>
    <row r="62" ht="15.75" customHeight="1">
      <c r="A62" s="4">
        <v>74</v>
      </c>
      <c r="B62" s="8">
        <v>61.0</v>
      </c>
      <c r="C62" s="9" t="b">
        <v>1</v>
      </c>
      <c r="D62" s="4" t="inlineStr">
        <is>
          <t>尾山御坊</t>
        </is>
      </c>
      <c r="E62" s="10" t="inlineStr">
        <is>
          <t>おやまごぼう</t>
        </is>
      </c>
      <c r="F62" s="11" t="str">
        <f t="array" ref="F62">IF(A62:A313="","",_xlfn.XLOOKUP(A62:A313,'参照_拠点'!A:A,'参照_拠点'!B:B,"見つかりません"))</f>
      </c>
      <c r="G62" s="12" t="str">
        <f t="array" ref="G62">IF(K62:K313="","",_xlfn.XLOOKUP(K62:K313,'参照_武将'!A:A,'参照_武将'!B:B,"見つかりません"))</f>
      </c>
      <c r="H62" s="14" t="str">
        <f t="array" ref="H62">IF(I62:I313="","",_xlfn.XLOOKUP(I62:I313,'参照_勢力'!A:A,'参照_勢力'!B:B,"見つかりません"))</f>
      </c>
      <c r="I62" s="15">
        <v>19</v>
      </c>
      <c r="J62" s="4">
        <v>1</v>
      </c>
      <c r="K62" s="10">
        <v>1019021</v>
      </c>
      <c r="L62" s="16">
        <f>(300 + ROUND((((P62/15)+(Y62/10))*(SQRT(AA62)/100+1)+O62)/((COUNTIF(I:I, I62)/30)+1), 0))+116</f>
        <v>4133</v>
      </c>
      <c r="M62" s="4">
        <v>50</v>
      </c>
      <c r="N62" s="10">
        <v>50</v>
      </c>
      <c r="O62" s="16">
        <f>ROUND(500+((AA62*0.01)+(Z62/3)+(V62/10))*6,0)</f>
        <v>2012</v>
      </c>
      <c r="P62" s="17">
        <f>ROUND((T62 * 2.5) * SQRT(Z62)
,0) + (O62 * 2)</f>
        <v>10320</v>
      </c>
      <c r="Q62" s="17">
        <v>1000</v>
      </c>
      <c r="R62" s="16">
        <f>ROUNDDOWN(L62*0.3, -1)</f>
        <v>1230</v>
      </c>
      <c r="S62" s="17">
        <f>ROUNDDOWN(L62*0.075, -1)</f>
        <v>300</v>
      </c>
      <c r="T62" s="15">
        <v>310</v>
      </c>
      <c r="U62" s="4">
        <v>1700</v>
      </c>
      <c r="V62" s="4">
        <v>200</v>
      </c>
      <c r="W62" s="4">
        <v>950</v>
      </c>
      <c r="X62" s="4">
        <v>800</v>
      </c>
      <c r="Y62" s="10">
        <v>1600</v>
      </c>
      <c r="Z62" s="15">
        <v>66</v>
      </c>
      <c r="AA62" s="4">
        <v>21000</v>
      </c>
      <c r="AB62" s="4"/>
    </row>
    <row r="63" ht="15.75" customHeight="1">
      <c r="A63" s="4">
        <v>19</v>
      </c>
      <c r="B63" s="8">
        <v>62.0</v>
      </c>
      <c r="C63" s="9" t="b">
        <v>1</v>
      </c>
      <c r="D63" s="4" t="inlineStr">
        <is>
          <t>大聖寺城</t>
        </is>
      </c>
      <c r="E63" s="10" t="inlineStr">
        <is>
          <t>だいしょうじじょう</t>
        </is>
      </c>
      <c r="F63" s="11" t="str">
        <f t="array" ref="F63">IF(A63:A314="","",_xlfn.XLOOKUP(A63:A314,'参照_拠点'!A:A,'参照_拠点'!B:B,"見つかりません"))</f>
      </c>
      <c r="G63" s="12" t="str">
        <f t="array" ref="G63">IF(K63:K314="","",_xlfn.XLOOKUP(K63:K314,'参照_武将'!A:A,'参照_武将'!B:B,"見つかりません"))</f>
      </c>
      <c r="H63" s="14" t="str">
        <f t="array" ref="H63">IF(I63:I314="","",_xlfn.XLOOKUP(I63:I314,'参照_勢力'!A:A,'参照_勢力'!B:B,"見つかりません"))</f>
      </c>
      <c r="I63" s="15">
        <v>0</v>
      </c>
      <c r="J63" s="4">
        <v>0</v>
      </c>
      <c r="K63" s="10">
        <v>0</v>
      </c>
      <c r="L63" s="18">
        <f>(300 + ROUND((((P63/15)+(Y63/10))*(SQRT(AA63)/100+1)+O63)/((COUNTIF(I:I, I63)/30)+1), 0))-164</f>
        <v>2047</v>
      </c>
      <c r="M63" s="4">
        <v>30</v>
      </c>
      <c r="N63" s="10">
        <v>30</v>
      </c>
      <c r="O63" s="18">
        <f>ROUND(500+((AA63*0.01)+(Z63/3)+(V63/10))*6,0)</f>
        <v>1188</v>
      </c>
      <c r="P63" s="19">
        <f>ROUND((T63 * 2.5) * SQRT(Z63)
,0) + (O63 * 2)</f>
        <v>5833</v>
      </c>
      <c r="Q63" s="19">
        <v>1000</v>
      </c>
      <c r="R63" s="18">
        <v>0</v>
      </c>
      <c r="S63" s="19">
        <v>0</v>
      </c>
      <c r="T63" s="15">
        <v>180</v>
      </c>
      <c r="U63" s="4">
        <v>1000</v>
      </c>
      <c r="V63" s="4">
        <v>150</v>
      </c>
      <c r="W63" s="4">
        <v>800</v>
      </c>
      <c r="X63" s="4">
        <v>300</v>
      </c>
      <c r="Y63" s="10">
        <v>600</v>
      </c>
      <c r="Z63" s="15">
        <v>59</v>
      </c>
      <c r="AA63" s="4">
        <v>8000</v>
      </c>
      <c r="AB63" s="4"/>
    </row>
    <row r="64" ht="15.75" customHeight="1">
      <c r="A64" s="4">
        <v>17</v>
      </c>
      <c r="B64" s="8">
        <v>63.0</v>
      </c>
      <c r="C64" s="9" t="b">
        <v>1</v>
      </c>
      <c r="D64" s="4" t="inlineStr">
        <is>
          <t>七尾城</t>
        </is>
      </c>
      <c r="E64" s="10" t="inlineStr">
        <is>
          <t>ななおじょう</t>
        </is>
      </c>
      <c r="F64" s="11" t="str">
        <f t="array" ref="F64">IF(A64:A315="","",_xlfn.XLOOKUP(A64:A315,'参照_拠点'!A:A,'参照_拠点'!B:B,"見つかりません"))</f>
      </c>
      <c r="G64" s="12" t="str">
        <f t="array" ref="G64">IF(K64:K315="","",_xlfn.XLOOKUP(K64:K315,'参照_武将'!A:A,'参照_武将'!B:B,"見つかりません"))</f>
      </c>
      <c r="H64" s="14" t="str">
        <f t="array" ref="H64">IF(I64:I315="","",_xlfn.XLOOKUP(I64:I315,'参照_勢力'!A:A,'参照_勢力'!B:B,"見つかりません"))</f>
      </c>
      <c r="I64" s="15">
        <v>8</v>
      </c>
      <c r="J64" s="4">
        <v>0</v>
      </c>
      <c r="K64" s="10">
        <v>1008006</v>
      </c>
      <c r="L64" s="16">
        <f>300 + ROUND((((P64/15)+(Y64/10))*(SQRT(AA64)/100+1)+O64)/((COUNTIF(I:I, I64)/30)+1), 0)</f>
        <v>3914</v>
      </c>
      <c r="M64" s="4">
        <v>50</v>
      </c>
      <c r="N64" s="10">
        <v>50</v>
      </c>
      <c r="O64" s="16">
        <f>ROUND(500+((AA64*0.01)+(Z64/3)+(V64/10))*6,0)</f>
        <v>1892</v>
      </c>
      <c r="P64" s="17">
        <f>ROUND((T64 * 2.5) * SQRT(Z64)
,0) + (O64 * 2)</f>
        <v>9877</v>
      </c>
      <c r="Q64" s="17">
        <v>1000</v>
      </c>
      <c r="R64" s="16">
        <f>ROUNDDOWN(L64*0.2, -1)</f>
        <v>780</v>
      </c>
      <c r="S64" s="17">
        <f>ROUNDDOWN(L64*0.005, -1)</f>
        <v>10</v>
      </c>
      <c r="T64" s="15">
        <v>300</v>
      </c>
      <c r="U64" s="4">
        <v>1400</v>
      </c>
      <c r="V64" s="4">
        <v>300</v>
      </c>
      <c r="W64" s="4">
        <v>1200</v>
      </c>
      <c r="X64" s="4">
        <v>900</v>
      </c>
      <c r="Y64" s="10">
        <v>1800</v>
      </c>
      <c r="Z64" s="15">
        <v>66</v>
      </c>
      <c r="AA64" s="4">
        <v>18000</v>
      </c>
      <c r="AB64" s="4"/>
    </row>
    <row r="65" ht="15.75" customHeight="1">
      <c r="A65" s="4">
        <v>72</v>
      </c>
      <c r="B65" s="8">
        <v>64.0</v>
      </c>
      <c r="C65" s="9" t="b">
        <v>1</v>
      </c>
      <c r="D65" s="4" t="inlineStr">
        <is>
          <t>松波城</t>
        </is>
      </c>
      <c r="E65" s="10" t="inlineStr">
        <is>
          <t>まつなみじょう</t>
        </is>
      </c>
      <c r="F65" s="11" t="str">
        <f t="array" ref="F65">IF(A65:A316="","",_xlfn.XLOOKUP(A65:A316,'参照_拠点'!A:A,'参照_拠点'!B:B,"見つかりません"))</f>
      </c>
      <c r="G65" s="12" t="str">
        <f t="array" ref="G65">IF(K65:K316="","",_xlfn.XLOOKUP(K65:K316,'参照_武将'!A:A,'参照_武将'!B:B,"見つかりません"))</f>
      </c>
      <c r="H65" s="14" t="str">
        <f t="array" ref="H65">IF(I65:I316="","",_xlfn.XLOOKUP(I65:I316,'参照_勢力'!A:A,'参照_勢力'!B:B,"見つかりません"))</f>
      </c>
      <c r="I65" s="15">
        <v>8</v>
      </c>
      <c r="J65" s="4">
        <v>1</v>
      </c>
      <c r="K65" s="10">
        <v>1008022</v>
      </c>
      <c r="L65" s="18">
        <f>300 + ROUND((((P65/15)+(Y65/10))*(SQRT(AA65)/100+1)+O65)/((COUNTIF(I:I, I65)/30)+1), 0)</f>
        <v>2454</v>
      </c>
      <c r="M65" s="4">
        <v>50</v>
      </c>
      <c r="N65" s="10">
        <v>50</v>
      </c>
      <c r="O65" s="18">
        <f>ROUND(500+((AA65*0.01)+(Z65/3)+(V65/10))*6,0)</f>
        <v>1344</v>
      </c>
      <c r="P65" s="19">
        <f>ROUND((T65 * 2.5) * SQRT(Z65)
,0) + (O65 * 2)</f>
        <v>6231</v>
      </c>
      <c r="Q65" s="19">
        <v>1000</v>
      </c>
      <c r="R65" s="18">
        <f>ROUNDDOWN(L65*0.2, -1)</f>
        <v>490</v>
      </c>
      <c r="S65" s="19">
        <f>ROUNDDOWN(L65*0.005, -1)</f>
        <v>10</v>
      </c>
      <c r="T65" s="15">
        <v>180</v>
      </c>
      <c r="U65" s="4">
        <v>900</v>
      </c>
      <c r="V65" s="4">
        <v>100</v>
      </c>
      <c r="W65" s="4">
        <v>800</v>
      </c>
      <c r="X65" s="4">
        <v>250</v>
      </c>
      <c r="Y65" s="10">
        <v>500</v>
      </c>
      <c r="Z65" s="15">
        <v>62</v>
      </c>
      <c r="AA65" s="4">
        <v>11000</v>
      </c>
      <c r="AB65" s="4"/>
    </row>
    <row r="66" ht="15.75" customHeight="1">
      <c r="A66" s="4">
        <v>241</v>
      </c>
      <c r="B66" s="8">
        <v>65.0</v>
      </c>
      <c r="C66" s="9" t="b">
        <v>1</v>
      </c>
      <c r="D66" s="4" t="inlineStr">
        <is>
          <t>砕導山城</t>
        </is>
      </c>
      <c r="E66" s="10" t="inlineStr">
        <is>
          <t>さいちやまじょう</t>
        </is>
      </c>
      <c r="F66" s="11" t="str">
        <f t="array" ref="F66">IF(A66:A317="","",_xlfn.XLOOKUP(A66:A317,'参照_拠点'!A:A,'参照_拠点'!B:B,"見つかりません"))</f>
      </c>
      <c r="G66" s="12" t="str">
        <f t="array" ref="G66">IF(K66:K317="","",_xlfn.XLOOKUP(K66:K317,'参照_武将'!A:A,'参照_武将'!B:B,"見つかりません"))</f>
      </c>
      <c r="H66" s="14" t="str">
        <f t="array" ref="H66">IF(I66:I317="","",_xlfn.XLOOKUP(I66:I317,'参照_勢力'!A:A,'参照_勢力'!B:B,"見つかりません"))</f>
      </c>
      <c r="I66" s="15">
        <v>1</v>
      </c>
      <c r="J66" s="4">
        <v>0</v>
      </c>
      <c r="K66" s="10">
        <v>1038016</v>
      </c>
      <c r="L66" s="16">
        <f>(300 + ROUND((((P66/15)+(Y66/10))*(SQRT(AA66)/100+1)+O66)/((COUNTIF(I:I, I66)/30)+1), 0))+13</f>
        <v>1026</v>
      </c>
      <c r="M66" s="4">
        <v>50</v>
      </c>
      <c r="N66" s="10">
        <v>50</v>
      </c>
      <c r="O66" s="16">
        <f>ROUND(500+((AA66*0.01)+(Z66/3)+(V66/10))*6,0)</f>
        <v>876</v>
      </c>
      <c r="P66" s="17">
        <f>ROUND((T66 * 2.5) * SQRT(Z66)
,0) + (O66 * 2)</f>
        <v>3208</v>
      </c>
      <c r="Q66" s="17">
        <v>1000</v>
      </c>
      <c r="R66" s="16">
        <f>ROUNDDOWN(L66*0.2, -1)</f>
        <v>200</v>
      </c>
      <c r="S66" s="17">
        <f>ROUNDDOWN(L66*0.005, -1)</f>
        <v>0</v>
      </c>
      <c r="T66" s="15">
        <v>80</v>
      </c>
      <c r="U66" s="4">
        <v>600</v>
      </c>
      <c r="V66" s="4">
        <v>50</v>
      </c>
      <c r="W66" s="4">
        <v>250</v>
      </c>
      <c r="X66" s="4">
        <v>250</v>
      </c>
      <c r="Y66" s="10">
        <v>500</v>
      </c>
      <c r="Z66" s="15">
        <v>53</v>
      </c>
      <c r="AA66" s="4">
        <v>4000</v>
      </c>
      <c r="AB66" s="4"/>
    </row>
    <row r="67" ht="15.75" customHeight="1">
      <c r="A67" s="4">
        <v>79</v>
      </c>
      <c r="B67" s="8">
        <v>66.0</v>
      </c>
      <c r="C67" s="9" t="b">
        <v>1</v>
      </c>
      <c r="D67" s="4" t="inlineStr">
        <is>
          <t>後瀬山城</t>
        </is>
      </c>
      <c r="E67" s="10" t="inlineStr">
        <is>
          <t>のちせやまじょう</t>
        </is>
      </c>
      <c r="F67" s="11" t="str">
        <f t="array" ref="F67">IF(A67:A318="","",_xlfn.XLOOKUP(A67:A318,'参照_拠点'!A:A,'参照_拠点'!B:B,"見つかりません"))</f>
      </c>
      <c r="G67" s="12" t="str">
        <f t="array" ref="G67">IF(K67:K318="","",_xlfn.XLOOKUP(K67:K318,'参照_武将'!A:A,'参照_武将'!B:B,"見つかりません"))</f>
      </c>
      <c r="H67" s="14" t="str">
        <f t="array" ref="H67">IF(I67:I318="","",_xlfn.XLOOKUP(I67:I318,'参照_勢力'!A:A,'参照_勢力'!B:B,"見つかりません"))</f>
      </c>
      <c r="I67" s="15">
        <v>1</v>
      </c>
      <c r="J67" s="4">
        <v>0</v>
      </c>
      <c r="K67" s="10">
        <v>1038012</v>
      </c>
      <c r="L67" s="18">
        <f>(300 + ROUND((((P67/15)+(Y67/10))*(SQRT(AA67)/100+1)+O67)/((COUNTIF(I:I, I67)/30)+1), 0))+29</f>
        <v>1883</v>
      </c>
      <c r="M67" s="4">
        <v>50</v>
      </c>
      <c r="N67" s="10">
        <v>50</v>
      </c>
      <c r="O67" s="18">
        <f>ROUND(500+((AA67*0.01)+(Z67/3)+(V67/10))*6,0)</f>
        <v>1572</v>
      </c>
      <c r="P67" s="19">
        <f>ROUND((T67 * 2.5) * SQRT(Z67)
,0) + (O67 * 2)</f>
        <v>7260</v>
      </c>
      <c r="Q67" s="19">
        <v>1000</v>
      </c>
      <c r="R67" s="18">
        <f>ROUNDDOWN(L67*0.2, -1)</f>
        <v>370</v>
      </c>
      <c r="S67" s="19">
        <f>ROUNDDOWN(L67*0.005, -1)</f>
        <v>0</v>
      </c>
      <c r="T67" s="15">
        <v>220</v>
      </c>
      <c r="U67" s="4">
        <v>1000</v>
      </c>
      <c r="V67" s="4">
        <v>100</v>
      </c>
      <c r="W67" s="4">
        <v>500</v>
      </c>
      <c r="X67" s="4">
        <v>450</v>
      </c>
      <c r="Y67" s="10">
        <v>900</v>
      </c>
      <c r="Z67" s="15">
        <v>56</v>
      </c>
      <c r="AA67" s="4">
        <v>15000</v>
      </c>
      <c r="AB67" s="4"/>
    </row>
    <row r="68" ht="15.75" customHeight="1">
      <c r="A68" s="4">
        <v>55</v>
      </c>
      <c r="B68" s="8">
        <v>67.0</v>
      </c>
      <c r="C68" s="9" t="b">
        <v>1</v>
      </c>
      <c r="D68" s="4" t="inlineStr">
        <is>
          <t>岩殿山城</t>
        </is>
      </c>
      <c r="E68" s="10" t="inlineStr">
        <is>
          <t>いわどのやまじょう</t>
        </is>
      </c>
      <c r="F68" s="11" t="str">
        <f t="array" ref="F68">IF(A68:A319="","",_xlfn.XLOOKUP(A68:A319,'参照_拠点'!A:A,'参照_拠点'!B:B,"見つかりません"))</f>
      </c>
      <c r="G68" s="12" t="str">
        <f t="array" ref="G68">IF(K68:K319="","",_xlfn.XLOOKUP(K68:K319,'参照_武将'!A:A,'参照_武将'!B:B,"見つかりません"))</f>
      </c>
      <c r="H68" s="14" t="str">
        <f t="array" ref="H68">IF(I68:I319="","",_xlfn.XLOOKUP(I68:I319,'参照_勢力'!A:A,'参照_勢力'!B:B,"見つかりません"))</f>
      </c>
      <c r="I68" s="15">
        <v>3</v>
      </c>
      <c r="J68" s="4">
        <v>2</v>
      </c>
      <c r="K68" s="10">
        <v>1002039</v>
      </c>
      <c r="L68" s="16">
        <f>300 + ROUND((((P68/15)+(Y68/10))*(SQRT(AA68)/100+1)+O68)/((COUNTIF(I:I, I68)/30)+1), 0)</f>
        <v>2059</v>
      </c>
      <c r="M68" s="4">
        <v>60</v>
      </c>
      <c r="N68" s="10">
        <v>60</v>
      </c>
      <c r="O68" s="16">
        <f>ROUND(500+((AA68*0.01)+(Z68/3)+(V68/10))*6,0)+200</f>
        <v>1432</v>
      </c>
      <c r="P68" s="17">
        <f>ROUND((T68 * 2.5) * SQRT(Z68)
,0) + (O68 * 2)</f>
        <v>7129</v>
      </c>
      <c r="Q68" s="17">
        <v>1000</v>
      </c>
      <c r="R68" s="16">
        <f>ROUNDDOWN(L68*0.6, -1)</f>
        <v>1230</v>
      </c>
      <c r="S68" s="17">
        <f>ROUNDDOWN(L68*0.005, -1)</f>
        <v>10</v>
      </c>
      <c r="T68" s="15">
        <v>210</v>
      </c>
      <c r="U68" s="4">
        <v>900</v>
      </c>
      <c r="V68" s="4">
        <v>200</v>
      </c>
      <c r="W68" s="4">
        <v>900</v>
      </c>
      <c r="X68" s="4">
        <v>500</v>
      </c>
      <c r="Y68" s="10">
        <v>1000</v>
      </c>
      <c r="Z68" s="15">
        <v>66</v>
      </c>
      <c r="AA68" s="4">
        <v>8000</v>
      </c>
      <c r="AB68" s="4"/>
    </row>
    <row r="69" ht="15.75" customHeight="1">
      <c r="A69" s="4">
        <v>245</v>
      </c>
      <c r="B69" s="8">
        <v>68.0</v>
      </c>
      <c r="C69" s="9" t="b">
        <v>1</v>
      </c>
      <c r="D69" s="4" t="inlineStr">
        <is>
          <t>下山城</t>
        </is>
      </c>
      <c r="E69" s="10" t="inlineStr">
        <is>
          <t>しもやまじょう</t>
        </is>
      </c>
      <c r="F69" s="11" t="str">
        <f t="array" ref="F69">IF(A69:A320="","",_xlfn.XLOOKUP(A69:A320,'参照_拠点'!A:A,'参照_拠点'!B:B,"見つかりません"))</f>
      </c>
      <c r="G69" s="12" t="str">
        <f t="array" ref="G69">IF(K69:K320="","",_xlfn.XLOOKUP(K69:K320,'参照_武将'!A:A,'参照_武将'!B:B,"見つかりません"))</f>
      </c>
      <c r="H69" s="14" t="str">
        <f t="array" ref="H69">IF(I69:I320="","",_xlfn.XLOOKUP(I69:I320,'参照_勢力'!A:A,'参照_勢力'!B:B,"見つかりません"))</f>
      </c>
      <c r="I69" s="15">
        <v>3</v>
      </c>
      <c r="J69" s="4">
        <v>3</v>
      </c>
      <c r="K69" s="10">
        <v>1002023</v>
      </c>
      <c r="L69" s="18">
        <f>300 + ROUND((((P69/15)+(Y69/10))*(SQRT(AA69)/100+1)+O69)/((COUNTIF(I:I, I69)/30)+1), 0)</f>
        <v>1416</v>
      </c>
      <c r="M69" s="4">
        <v>50</v>
      </c>
      <c r="N69" s="10">
        <v>50</v>
      </c>
      <c r="O69" s="18">
        <f>ROUND(500+((AA69*0.01)+(Z69/3)+(V69/10))*6,0)+200</f>
        <v>1074</v>
      </c>
      <c r="P69" s="19">
        <f>ROUND((T69 * 2.5) * SQRT(Z69)
,0) + (O69 * 2)</f>
        <v>4194</v>
      </c>
      <c r="Q69" s="19">
        <v>1000</v>
      </c>
      <c r="R69" s="18">
        <f>ROUNDDOWN(L69*0.6, -1)</f>
        <v>840</v>
      </c>
      <c r="S69" s="19">
        <f>ROUNDDOWN(L69*0.005, -1)</f>
        <v>0</v>
      </c>
      <c r="T69" s="15">
        <v>100</v>
      </c>
      <c r="U69" s="4">
        <v>600</v>
      </c>
      <c r="V69" s="4">
        <v>100</v>
      </c>
      <c r="W69" s="4">
        <v>600</v>
      </c>
      <c r="X69" s="4">
        <v>300</v>
      </c>
      <c r="Y69" s="10">
        <v>600</v>
      </c>
      <c r="Z69" s="15">
        <v>67</v>
      </c>
      <c r="AA69" s="4">
        <v>3000</v>
      </c>
      <c r="AB69" s="4"/>
    </row>
    <row r="70" ht="15.75" customHeight="1">
      <c r="A70" s="4">
        <v>9</v>
      </c>
      <c r="B70" s="8">
        <v>69.0</v>
      </c>
      <c r="C70" s="9" t="b">
        <v>1</v>
      </c>
      <c r="D70" s="4" t="inlineStr">
        <is>
          <t>躑躅ヶ崎館</t>
        </is>
      </c>
      <c r="E70" s="10" t="inlineStr">
        <is>
          <t>つつじがさきやかた</t>
        </is>
      </c>
      <c r="F70" s="11" t="str">
        <f t="array" ref="F70">IF(A70:A321="","",_xlfn.XLOOKUP(A70:A321,'参照_拠点'!A:A,'参照_拠点'!B:B,"見つかりません"))</f>
      </c>
      <c r="G70" s="12" t="str">
        <f t="array" ref="G70">IF(K70:K321="","",_xlfn.XLOOKUP(K70:K321,'参照_武将'!A:A,'参照_武将'!B:B,"見つかりません"))</f>
      </c>
      <c r="H70" s="14" t="str">
        <f t="array" ref="H70">IF(I70:I321="","",_xlfn.XLOOKUP(I70:I321,'参照_勢力'!A:A,'参照_勢力'!B:B,"見つかりません"))</f>
      </c>
      <c r="I70" s="15">
        <v>3</v>
      </c>
      <c r="J70" s="4">
        <v>0</v>
      </c>
      <c r="K70" s="10">
        <v>1002002</v>
      </c>
      <c r="L70" s="16">
        <f>300 + ROUND((((P70/15)+(Y70/10))*(SQRT(AA70)/100+1)+O70)/((COUNTIF(I:I, I70)/30)+1), 0)</f>
        <v>4052</v>
      </c>
      <c r="M70" s="4">
        <v>70</v>
      </c>
      <c r="N70" s="10">
        <v>70</v>
      </c>
      <c r="O70" s="16">
        <f>ROUND(500+((AA70*0.01)+(Z70/3)+(V70/10))*6,0)+1000</f>
        <v>3132</v>
      </c>
      <c r="P70" s="17">
        <f>(ROUND((T70 * 2.5) * SQRT(Z70)
,0) + (O70 * 2))-2437</f>
        <v>11951</v>
      </c>
      <c r="Q70" s="17">
        <v>1000</v>
      </c>
      <c r="R70" s="16">
        <f>ROUNDDOWN(L70*0.6, -1)</f>
        <v>2430</v>
      </c>
      <c r="S70" s="17">
        <f>ROUNDDOWN(L70*0.005, -1)</f>
        <v>20</v>
      </c>
      <c r="T70" s="15">
        <v>400</v>
      </c>
      <c r="U70" s="4">
        <v>1100</v>
      </c>
      <c r="V70" s="4">
        <v>400</v>
      </c>
      <c r="W70" s="4">
        <v>1800</v>
      </c>
      <c r="X70" s="4">
        <v>600</v>
      </c>
      <c r="Y70" s="10">
        <v>1200</v>
      </c>
      <c r="Z70" s="15">
        <v>66</v>
      </c>
      <c r="AA70" s="4">
        <v>21000</v>
      </c>
      <c r="AB70" s="4"/>
    </row>
    <row r="71" ht="15.75" customHeight="1">
      <c r="A71" s="4">
        <v>8</v>
      </c>
      <c r="B71" s="8">
        <v>70.0</v>
      </c>
      <c r="C71" s="9" t="b">
        <v>1</v>
      </c>
      <c r="D71" s="4" t="inlineStr">
        <is>
          <t>飯田城</t>
        </is>
      </c>
      <c r="E71" s="10" t="inlineStr">
        <is>
          <t>いいだじょう</t>
        </is>
      </c>
      <c r="F71" s="11" t="str">
        <f t="array" ref="F71">IF(A71:A322="","",_xlfn.XLOOKUP(A71:A322,'参照_拠点'!A:A,'参照_拠点'!B:B,"見つかりません"))</f>
      </c>
      <c r="G71" s="12" t="str">
        <f t="array" ref="G71">IF(K71:K322="","",_xlfn.XLOOKUP(K71:K322,'参照_武将'!A:A,'参照_武将'!B:B,"見つかりません"))</f>
      </c>
      <c r="H71" s="14" t="str">
        <f t="array" ref="H71">IF(I71:I322="","",_xlfn.XLOOKUP(I71:I322,'参照_勢力'!A:A,'参照_勢力'!B:B,"見つかりません"))</f>
      </c>
      <c r="I71" s="15">
        <v>3</v>
      </c>
      <c r="J71" s="4">
        <v>0</v>
      </c>
      <c r="K71" s="10">
        <v>1002017</v>
      </c>
      <c r="L71" s="18">
        <f>300 + ROUND((((P71/15)+(Y71/10))*(SQRT(AA71)/100+1)+O71)/((COUNTIF(I:I, I71)/30)+1), 0)</f>
        <v>1624</v>
      </c>
      <c r="M71" s="4">
        <v>60</v>
      </c>
      <c r="N71" s="10">
        <v>60</v>
      </c>
      <c r="O71" s="18">
        <f>ROUND(500+((AA71*0.01)+(Z71/3)+(V71/10))*6,0)+200</f>
        <v>1196</v>
      </c>
      <c r="P71" s="19">
        <f>ROUND((T71 * 2.5) * SQRT(Z71)
,0) + (O71 * 2)</f>
        <v>5122</v>
      </c>
      <c r="Q71" s="19">
        <v>1000</v>
      </c>
      <c r="R71" s="18">
        <f>ROUNDDOWN(L71*0.6, -1)</f>
        <v>970</v>
      </c>
      <c r="S71" s="19">
        <f>ROUNDDOWN(L71*0.005, -1)</f>
        <v>0</v>
      </c>
      <c r="T71" s="15">
        <v>150</v>
      </c>
      <c r="U71" s="4">
        <v>600</v>
      </c>
      <c r="V71" s="4">
        <v>150</v>
      </c>
      <c r="W71" s="4">
        <v>850</v>
      </c>
      <c r="X71" s="4">
        <v>350</v>
      </c>
      <c r="Y71" s="10">
        <v>700</v>
      </c>
      <c r="Z71" s="15">
        <v>53</v>
      </c>
      <c r="AA71" s="4">
        <v>5000</v>
      </c>
      <c r="AB71" s="4"/>
    </row>
    <row r="72" ht="15.75" customHeight="1">
      <c r="A72" s="4">
        <v>70</v>
      </c>
      <c r="B72" s="8">
        <v>71.0</v>
      </c>
      <c r="C72" s="9" t="b">
        <v>1</v>
      </c>
      <c r="D72" s="4" t="inlineStr">
        <is>
          <t>飯山城</t>
        </is>
      </c>
      <c r="E72" s="10" t="inlineStr">
        <is>
          <t>いいやまじょう</t>
        </is>
      </c>
      <c r="F72" s="11" t="str">
        <f t="array" ref="F72">IF(A72:A323="","",_xlfn.XLOOKUP(A72:A323,'参照_拠点'!A:A,'参照_拠点'!B:B,"見つかりません"))</f>
      </c>
      <c r="G72" s="12" t="str">
        <f t="array" ref="G72">IF(K72:K323="","",_xlfn.XLOOKUP(K72:K323,'参照_武将'!A:A,'参照_武将'!B:B,"見つかりません"))</f>
      </c>
      <c r="H72" s="14" t="str">
        <f t="array" ref="H72">IF(I72:I323="","",_xlfn.XLOOKUP(I72:I323,'参照_勢力'!A:A,'参照_勢力'!B:B,"見つかりません"))</f>
      </c>
      <c r="I72" s="15">
        <v>2</v>
      </c>
      <c r="J72" s="4">
        <v>0</v>
      </c>
      <c r="K72" s="10">
        <v>1001026</v>
      </c>
      <c r="L72" s="16">
        <f>300 + ROUND((((P72/15)+(Y72/10))*(SQRT(AA72)/100+1)+O72)/((COUNTIF(I:I, I72)/30)+1), 0)</f>
        <v>1779</v>
      </c>
      <c r="M72" s="4">
        <v>60</v>
      </c>
      <c r="N72" s="10">
        <v>60</v>
      </c>
      <c r="O72" s="16">
        <f>ROUND(500+((AA72*0.01)+(Z72/3)+(V72/10))*6,0)</f>
        <v>1166</v>
      </c>
      <c r="P72" s="17">
        <f>ROUND((T72 * 2.5) * SQRT(Z72)
,0) + (O72 * 2)</f>
        <v>5904</v>
      </c>
      <c r="Q72" s="17">
        <v>1000</v>
      </c>
      <c r="R72" s="16">
        <f>ROUNDDOWN(L72*0.4, -1)</f>
        <v>710</v>
      </c>
      <c r="S72" s="17">
        <f>ROUNDDOWN(L72*0.005, -1)</f>
        <v>0</v>
      </c>
      <c r="T72" s="15">
        <v>180</v>
      </c>
      <c r="U72" s="4">
        <v>800</v>
      </c>
      <c r="V72" s="4">
        <v>100</v>
      </c>
      <c r="W72" s="4">
        <v>850</v>
      </c>
      <c r="X72" s="4">
        <v>550</v>
      </c>
      <c r="Y72" s="10">
        <v>1100</v>
      </c>
      <c r="Z72" s="15">
        <v>63</v>
      </c>
      <c r="AA72" s="4">
        <v>8000</v>
      </c>
      <c r="AB72" s="4"/>
    </row>
    <row r="73" ht="15.75" customHeight="1">
      <c r="A73" s="4">
        <v>5</v>
      </c>
      <c r="B73" s="8">
        <v>72.0</v>
      </c>
      <c r="C73" s="9" t="b">
        <v>1</v>
      </c>
      <c r="D73" s="4" t="inlineStr">
        <is>
          <t>海津城</t>
        </is>
      </c>
      <c r="E73" s="10" t="inlineStr">
        <is>
          <t>かいづじょう</t>
        </is>
      </c>
      <c r="F73" s="11" t="str">
        <f t="array" ref="F73">IF(A73:A324="","",_xlfn.XLOOKUP(A73:A324,'参照_拠点'!A:A,'参照_拠点'!B:B,"見つかりません"))</f>
      </c>
      <c r="G73" s="12" t="str">
        <f t="array" ref="G73">IF(K73:K324="","",_xlfn.XLOOKUP(K73:K324,'参照_武将'!A:A,'参照_武将'!B:B,"見つかりません"))</f>
      </c>
      <c r="H73" s="14" t="str">
        <f t="array" ref="H73">IF(I73:I324="","",_xlfn.XLOOKUP(I73:I324,'参照_勢力'!A:A,'参照_勢力'!B:B,"見つかりません"))</f>
      </c>
      <c r="I73" s="15">
        <v>3</v>
      </c>
      <c r="J73" s="4">
        <v>1</v>
      </c>
      <c r="K73" s="10">
        <v>1002041</v>
      </c>
      <c r="L73" s="18">
        <f>300 + ROUND((((P73/15)+(Y73/10))*(SQRT(AA73)/100+1)+O73)/((COUNTIF(I:I, I73)/30)+1), 0)</f>
        <v>2096</v>
      </c>
      <c r="M73" s="4">
        <v>60</v>
      </c>
      <c r="N73" s="10">
        <v>60</v>
      </c>
      <c r="O73" s="18">
        <f>ROUND(500+((AA73*0.01)+(Z73/3)+(V73/10))*6,0)+500</f>
        <v>1632</v>
      </c>
      <c r="P73" s="19">
        <f>ROUND((T73 * 2.5) * SQRT(Z73)
,0) + (O73 * 2)</f>
        <v>6193</v>
      </c>
      <c r="Q73" s="19">
        <v>1000</v>
      </c>
      <c r="R73" s="18">
        <f>ROUNDDOWN(L73*0.6, -1)</f>
        <v>1250</v>
      </c>
      <c r="S73" s="19">
        <f>ROUNDDOWN(L73*0.005, -1)</f>
        <v>10</v>
      </c>
      <c r="T73" s="15">
        <v>150</v>
      </c>
      <c r="U73" s="4">
        <v>800</v>
      </c>
      <c r="V73" s="4">
        <v>150</v>
      </c>
      <c r="W73" s="4">
        <v>850</v>
      </c>
      <c r="X73" s="4">
        <v>500</v>
      </c>
      <c r="Y73" s="10">
        <v>1000</v>
      </c>
      <c r="Z73" s="15">
        <v>61</v>
      </c>
      <c r="AA73" s="4">
        <v>7000</v>
      </c>
      <c r="AB73" s="4"/>
    </row>
    <row r="74" ht="15.75" customHeight="1">
      <c r="A74" s="4">
        <v>229</v>
      </c>
      <c r="B74" s="8">
        <v>73.0</v>
      </c>
      <c r="C74" s="9" t="b">
        <v>1</v>
      </c>
      <c r="D74" s="4" t="inlineStr">
        <is>
          <t>小諸城</t>
        </is>
      </c>
      <c r="E74" s="10" t="inlineStr">
        <is>
          <t>こもろじょう</t>
        </is>
      </c>
      <c r="F74" s="11" t="str">
        <f t="array" ref="F74">IF(A74:A325="","",_xlfn.XLOOKUP(A74:A325,'参照_拠点'!A:A,'参照_拠点'!B:B,"見つかりません"))</f>
      </c>
      <c r="G74" s="12" t="str">
        <f t="array" ref="G74">IF(K74:K325="","",_xlfn.XLOOKUP(K74:K325,'参照_武将'!A:A,'参照_武将'!B:B,"見つかりません"))</f>
      </c>
      <c r="H74" s="14" t="str">
        <f t="array" ref="H74">IF(I74:I325="","",_xlfn.XLOOKUP(I74:I325,'参照_勢力'!A:A,'参照_勢力'!B:B,"見つかりません"))</f>
      </c>
      <c r="I74" s="15">
        <v>3</v>
      </c>
      <c r="J74" s="4">
        <v>0</v>
      </c>
      <c r="K74" s="10">
        <v>1002014</v>
      </c>
      <c r="L74" s="16">
        <f>300 + ROUND((((P74/15)+(Y74/10))*(SQRT(AA74)/100+1)+O74)/((COUNTIF(I:I, I74)/30)+1), 0)</f>
        <v>1771</v>
      </c>
      <c r="M74" s="4">
        <v>50</v>
      </c>
      <c r="N74" s="10">
        <v>50</v>
      </c>
      <c r="O74" s="16">
        <f>ROUND(500+((AA74*0.01)+(Z74/3)+(V74/10))*6,0)+200</f>
        <v>1344</v>
      </c>
      <c r="P74" s="17">
        <f>ROUND((T74 * 2.5) * SQRT(Z74)
,0) + (O74 * 2)</f>
        <v>5348</v>
      </c>
      <c r="Q74" s="17">
        <v>1000</v>
      </c>
      <c r="R74" s="16">
        <f>ROUNDDOWN(L74*0.6, -1)</f>
        <v>1060</v>
      </c>
      <c r="S74" s="17">
        <f>ROUNDDOWN(L74*0.005, -1)</f>
        <v>0</v>
      </c>
      <c r="T74" s="15">
        <v>130</v>
      </c>
      <c r="U74" s="4">
        <v>600</v>
      </c>
      <c r="V74" s="4">
        <v>150</v>
      </c>
      <c r="W74" s="4">
        <v>700</v>
      </c>
      <c r="X74" s="4">
        <v>300</v>
      </c>
      <c r="Y74" s="10">
        <v>600</v>
      </c>
      <c r="Z74" s="15">
        <v>67</v>
      </c>
      <c r="AA74" s="4">
        <v>7000</v>
      </c>
      <c r="AB74" s="4"/>
    </row>
    <row r="75" ht="15.75" customHeight="1">
      <c r="A75" s="4">
        <v>88</v>
      </c>
      <c r="B75" s="8">
        <v>74.0</v>
      </c>
      <c r="C75" s="9" t="b">
        <v>1</v>
      </c>
      <c r="D75" s="4" t="inlineStr">
        <is>
          <t>高遠城</t>
        </is>
      </c>
      <c r="E75" s="10" t="inlineStr">
        <is>
          <t>たかとおじょう</t>
        </is>
      </c>
      <c r="F75" s="11" t="str">
        <f t="array" ref="F75">IF(A75:A326="","",_xlfn.XLOOKUP(A75:A326,'参照_拠点'!A:A,'参照_拠点'!B:B,"見つかりません"))</f>
      </c>
      <c r="G75" s="12" t="str">
        <f t="array" ref="G75">IF(K75:K326="","",_xlfn.XLOOKUP(K75:K326,'参照_武将'!A:A,'参照_武将'!B:B,"見つかりません"))</f>
      </c>
      <c r="H75" s="14" t="str">
        <f t="array" ref="H75">IF(I75:I326="","",_xlfn.XLOOKUP(I75:I326,'参照_勢力'!A:A,'参照_勢力'!B:B,"見つかりません"))</f>
      </c>
      <c r="I75" s="15">
        <v>3</v>
      </c>
      <c r="J75" s="4">
        <v>0</v>
      </c>
      <c r="K75" s="10">
        <v>1002066</v>
      </c>
      <c r="L75" s="18">
        <f>300 + ROUND((((P75/15)+(Y75/10))*(SQRT(AA75)/100+1)+O75)/((COUNTIF(I:I, I75)/30)+1), 0)</f>
        <v>2207</v>
      </c>
      <c r="M75" s="4">
        <v>60</v>
      </c>
      <c r="N75" s="10">
        <v>60</v>
      </c>
      <c r="O75" s="18">
        <f>ROUND(500+((AA75*0.01)+(Z75/3)+(V75/10))*6,0)+200</f>
        <v>1492</v>
      </c>
      <c r="P75" s="19">
        <f>ROUND((T75 * 2.5) * SQRT(Z75)
,0) + (O75 * 2)</f>
        <v>7655</v>
      </c>
      <c r="Q75" s="19">
        <v>1000</v>
      </c>
      <c r="R75" s="18">
        <f>ROUNDDOWN(L75*0.6, -1)</f>
        <v>1320</v>
      </c>
      <c r="S75" s="19">
        <f>ROUNDDOWN(L75*0.005, -1)</f>
        <v>10</v>
      </c>
      <c r="T75" s="15">
        <v>230</v>
      </c>
      <c r="U75" s="4">
        <v>900</v>
      </c>
      <c r="V75" s="4">
        <v>100</v>
      </c>
      <c r="W75" s="4">
        <v>700</v>
      </c>
      <c r="X75" s="4">
        <v>550</v>
      </c>
      <c r="Y75" s="10">
        <v>1100</v>
      </c>
      <c r="Z75" s="15">
        <v>66</v>
      </c>
      <c r="AA75" s="4">
        <v>10000</v>
      </c>
      <c r="AB75" s="4"/>
    </row>
    <row r="76" ht="15.75" customHeight="1">
      <c r="A76" s="4">
        <v>30</v>
      </c>
      <c r="B76" s="8">
        <v>75.0</v>
      </c>
      <c r="C76" s="9" t="b">
        <v>1</v>
      </c>
      <c r="D76" s="4" t="inlineStr">
        <is>
          <t>戸石城</t>
        </is>
      </c>
      <c r="E76" s="10" t="inlineStr">
        <is>
          <t>といしじょう</t>
        </is>
      </c>
      <c r="F76" s="11" t="str">
        <f t="array" ref="F76">IF(A76:A327="","",_xlfn.XLOOKUP(A76:A327,'参照_拠点'!A:A,'参照_拠点'!B:B,"見つかりません"))</f>
      </c>
      <c r="G76" s="12" t="str">
        <f t="array" ref="G76">IF(K76:K327="","",_xlfn.XLOOKUP(K76:K327,'参照_武将'!A:A,'参照_武将'!B:B,"見つかりません"))</f>
      </c>
      <c r="H76" s="14" t="str">
        <f t="array" ref="H76">IF(I76:I327="","",_xlfn.XLOOKUP(I76:I327,'参照_勢力'!A:A,'参照_勢力'!B:B,"見つかりません"))</f>
      </c>
      <c r="I76" s="15">
        <v>3</v>
      </c>
      <c r="J76" s="4">
        <v>4</v>
      </c>
      <c r="K76" s="10">
        <v>1209002</v>
      </c>
      <c r="L76" s="16">
        <f>300 + ROUND((((P76/15)+(Y76/10))*(SQRT(AA76)/100+1)+O76)/((COUNTIF(I:I, I76)/30)+1), 0)</f>
        <v>2739</v>
      </c>
      <c r="M76" s="4">
        <v>60</v>
      </c>
      <c r="N76" s="10">
        <v>60</v>
      </c>
      <c r="O76" s="16">
        <f>ROUND(500+((AA76*0.01)+(Z76/3)+(V76/10))*6,0)+500</f>
        <v>1998</v>
      </c>
      <c r="P76" s="17">
        <f>ROUND((T76 * 2.5) * SQRT(Z76)
,0) + (O76 * 2)</f>
        <v>8996</v>
      </c>
      <c r="Q76" s="17">
        <v>1000</v>
      </c>
      <c r="R76" s="16">
        <f>ROUNDDOWN(L76*0.6, -1)</f>
        <v>1640</v>
      </c>
      <c r="S76" s="17">
        <f>ROUNDDOWN(L76*0.005, -1)</f>
        <v>10</v>
      </c>
      <c r="T76" s="15">
        <v>250</v>
      </c>
      <c r="U76" s="4">
        <v>1000</v>
      </c>
      <c r="V76" s="4">
        <v>150</v>
      </c>
      <c r="W76" s="4">
        <v>850</v>
      </c>
      <c r="X76" s="4">
        <v>500</v>
      </c>
      <c r="Y76" s="10">
        <v>1000</v>
      </c>
      <c r="Z76" s="15">
        <v>64</v>
      </c>
      <c r="AA76" s="4">
        <v>13000</v>
      </c>
      <c r="AB76" s="4"/>
    </row>
    <row r="77" ht="15.75" customHeight="1">
      <c r="A77" s="4">
        <v>96</v>
      </c>
      <c r="B77" s="8">
        <v>76.0</v>
      </c>
      <c r="C77" s="9" t="b">
        <v>1</v>
      </c>
      <c r="D77" s="4" t="inlineStr">
        <is>
          <t>深志城</t>
        </is>
      </c>
      <c r="E77" s="10" t="inlineStr">
        <is>
          <t>ふかしじょう</t>
        </is>
      </c>
      <c r="F77" s="11" t="str">
        <f t="array" ref="F77">IF(A77:A328="","",_xlfn.XLOOKUP(A77:A328,'参照_拠点'!A:A,'参照_拠点'!B:B,"見つかりません"))</f>
      </c>
      <c r="G77" s="12" t="str">
        <f t="array" ref="G77">IF(K77:K328="","",_xlfn.XLOOKUP(K77:K328,'参照_武将'!A:A,'参照_武将'!B:B,"見つかりません"))</f>
      </c>
      <c r="H77" s="14" t="str">
        <f t="array" ref="H77">IF(I77:I328="","",_xlfn.XLOOKUP(I77:I328,'参照_勢力'!A:A,'参照_勢力'!B:B,"見つかりません"))</f>
      </c>
      <c r="I77" s="15">
        <v>3</v>
      </c>
      <c r="J77" s="4">
        <v>1</v>
      </c>
      <c r="K77" s="10">
        <v>1002059</v>
      </c>
      <c r="L77" s="18">
        <f>300 + ROUND((((P77/15)+(Y77/10))*(SQRT(AA77)/100+1)+O77)/((COUNTIF(I:I, I77)/30)+1), 0)</f>
        <v>1639</v>
      </c>
      <c r="M77" s="4">
        <v>60</v>
      </c>
      <c r="N77" s="10">
        <v>60</v>
      </c>
      <c r="O77" s="18">
        <f>ROUND(500+((AA77*0.01)+(Z77/3)+(V77/10))*6,0)+200</f>
        <v>1170</v>
      </c>
      <c r="P77" s="19">
        <f>ROUND((T77 * 2.5) * SQRT(Z77)
,0) + (O77 * 2)</f>
        <v>4936</v>
      </c>
      <c r="Q77" s="19">
        <v>1000</v>
      </c>
      <c r="R77" s="18">
        <f>ROUNDDOWN(L77*0.6, -1)</f>
        <v>980</v>
      </c>
      <c r="S77" s="19">
        <f>ROUNDDOWN(L77*0.005, -1)</f>
        <v>0</v>
      </c>
      <c r="T77" s="15">
        <v>140</v>
      </c>
      <c r="U77" s="4">
        <v>700</v>
      </c>
      <c r="V77" s="4">
        <v>100</v>
      </c>
      <c r="W77" s="4">
        <v>700</v>
      </c>
      <c r="X77" s="4">
        <v>550</v>
      </c>
      <c r="Y77" s="10">
        <v>1100</v>
      </c>
      <c r="Z77" s="15">
        <v>55</v>
      </c>
      <c r="AA77" s="4">
        <v>5000</v>
      </c>
      <c r="AB77" s="4"/>
    </row>
    <row r="78" ht="15.75" customHeight="1">
      <c r="A78" s="4">
        <v>52</v>
      </c>
      <c r="B78" s="8">
        <v>77.0</v>
      </c>
      <c r="C78" s="9" t="b">
        <v>1</v>
      </c>
      <c r="D78" s="4" t="inlineStr">
        <is>
          <t>福島城</t>
        </is>
      </c>
      <c r="E78" s="10" t="inlineStr">
        <is>
          <t>ふくしまじょう</t>
        </is>
      </c>
      <c r="F78" s="11" t="str">
        <f t="array" ref="F78">IF(A78:A329="","",_xlfn.XLOOKUP(A78:A329,'参照_拠点'!A:A,'参照_拠点'!B:B,"見つかりません"))</f>
      </c>
      <c r="G78" s="12" t="str">
        <f t="array" ref="G78">IF(K78:K329="","",_xlfn.XLOOKUP(K78:K329,'参照_武将'!A:A,'参照_武将'!B:B,"見つかりません"))</f>
      </c>
      <c r="H78" s="14" t="str">
        <f t="array" ref="H78">IF(I78:I329="","",_xlfn.XLOOKUP(I78:I329,'参照_勢力'!A:A,'参照_勢力'!B:B,"見つかりません"))</f>
      </c>
      <c r="I78" s="15">
        <v>3</v>
      </c>
      <c r="J78" s="4">
        <v>5</v>
      </c>
      <c r="K78" s="10">
        <v>1002046</v>
      </c>
      <c r="L78" s="16">
        <f>300 + ROUND((((P78/15)+(Y78/10))*(SQRT(AA78)/100+1)+O78)/((COUNTIF(I:I, I78)/30)+1), 0)</f>
        <v>1837</v>
      </c>
      <c r="M78" s="4">
        <v>60</v>
      </c>
      <c r="N78" s="10">
        <v>60</v>
      </c>
      <c r="O78" s="16">
        <f>ROUND(500+((AA78*0.01)+(Z78/3)+(V78/10))*6,0)+200</f>
        <v>1340</v>
      </c>
      <c r="P78" s="17">
        <f>ROUND((T78 * 2.5) * SQRT(Z78)
,0) + (O78 * 2)</f>
        <v>5332</v>
      </c>
      <c r="Q78" s="17">
        <v>1000</v>
      </c>
      <c r="R78" s="16">
        <f>ROUNDDOWN(L78*0.6, -1)</f>
        <v>1100</v>
      </c>
      <c r="S78" s="17">
        <f>ROUNDDOWN(L78*0.005, -1)</f>
        <v>0</v>
      </c>
      <c r="T78" s="15">
        <v>150</v>
      </c>
      <c r="U78" s="4">
        <v>800</v>
      </c>
      <c r="V78" s="4">
        <v>100</v>
      </c>
      <c r="W78" s="4">
        <v>700</v>
      </c>
      <c r="X78" s="4">
        <v>500</v>
      </c>
      <c r="Y78" s="10">
        <v>1000</v>
      </c>
      <c r="Z78" s="15">
        <v>50</v>
      </c>
      <c r="AA78" s="4">
        <v>8000</v>
      </c>
      <c r="AB78" s="4"/>
    </row>
    <row r="79" ht="15.75" customHeight="1">
      <c r="A79" s="4">
        <v>89</v>
      </c>
      <c r="B79" s="8">
        <v>78.0</v>
      </c>
      <c r="C79" s="9" t="b">
        <v>1</v>
      </c>
      <c r="D79" s="4" t="inlineStr">
        <is>
          <t>沼田城</t>
        </is>
      </c>
      <c r="E79" s="10" t="inlineStr">
        <is>
          <t>ぬまたじょう</t>
        </is>
      </c>
      <c r="F79" s="11" t="str">
        <f t="array" ref="F79">IF(A79:A330="","",_xlfn.XLOOKUP(A79:A330,'参照_拠点'!A:A,'参照_拠点'!B:B,"見つかりません"))</f>
      </c>
      <c r="G79" s="12" t="str">
        <f t="array" ref="G79">IF(K79:K330="","",_xlfn.XLOOKUP(K79:K330,'参照_武将'!A:A,'参照_武将'!B:B,"見つかりません"))</f>
      </c>
      <c r="H79" s="14" t="str">
        <f t="array" ref="H79">IF(I79:I330="","",_xlfn.XLOOKUP(I79:I330,'参照_勢力'!A:A,'参照_勢力'!B:B,"見つかりません"))</f>
      </c>
      <c r="I79" s="15">
        <v>2</v>
      </c>
      <c r="J79" s="4">
        <v>4</v>
      </c>
      <c r="K79" s="10">
        <v>1001076</v>
      </c>
      <c r="L79" s="18">
        <f>300 + ROUND((((P79/15)+(Y79/10))*(SQRT(AA79)/100+1)+O79)/((COUNTIF(I:I, I79)/30)+1), 0)</f>
        <v>1871</v>
      </c>
      <c r="M79" s="4">
        <v>60</v>
      </c>
      <c r="N79" s="10">
        <v>60</v>
      </c>
      <c r="O79" s="18">
        <f>ROUND(500+((AA79*0.01)+(Z79/3)+(V79/10))*6,0)</f>
        <v>1168</v>
      </c>
      <c r="P79" s="19">
        <f>ROUND((T79 * 2.5) * SQRT(Z79)
,0) + (O79 * 2)</f>
        <v>6936</v>
      </c>
      <c r="Q79" s="19">
        <v>1000</v>
      </c>
      <c r="R79" s="18">
        <f>ROUNDDOWN(L79*0.4, -1)</f>
        <v>740</v>
      </c>
      <c r="S79" s="19">
        <f>ROUNDDOWN(L79*0.005, -1)</f>
        <v>0</v>
      </c>
      <c r="T79" s="15">
        <v>230</v>
      </c>
      <c r="U79" s="4">
        <v>800</v>
      </c>
      <c r="V79" s="4">
        <v>100</v>
      </c>
      <c r="W79" s="4">
        <v>650</v>
      </c>
      <c r="X79" s="4">
        <v>550</v>
      </c>
      <c r="Y79" s="10">
        <v>1100</v>
      </c>
      <c r="Z79" s="15">
        <v>64</v>
      </c>
      <c r="AA79" s="4">
        <v>8000</v>
      </c>
      <c r="AB79" s="4"/>
    </row>
    <row r="80" ht="15.75" customHeight="1">
      <c r="A80" s="4">
        <v>6</v>
      </c>
      <c r="B80" s="8">
        <v>79.0</v>
      </c>
      <c r="C80" s="9" t="b">
        <v>1</v>
      </c>
      <c r="D80" s="4" t="inlineStr">
        <is>
          <t>厩橋城</t>
        </is>
      </c>
      <c r="E80" s="10" t="inlineStr">
        <is>
          <t>まやばしじょう</t>
        </is>
      </c>
      <c r="F80" s="11" t="str">
        <f t="array" ref="F80">IF(A80:A331="","",_xlfn.XLOOKUP(A80:A331,'参照_拠点'!A:A,'参照_拠点'!B:B,"見つかりません"))</f>
      </c>
      <c r="G80" s="12" t="str">
        <f t="array" ref="G80">IF(K80:K331="","",_xlfn.XLOOKUP(K80:K331,'参照_武将'!A:A,'参照_武将'!B:B,"見つかりません"))</f>
      </c>
      <c r="H80" s="14" t="str">
        <f t="array" ref="H80">IF(I80:I331="","",_xlfn.XLOOKUP(I80:I331,'参照_勢力'!A:A,'参照_勢力'!B:B,"見つかりません"))</f>
      </c>
      <c r="I80" s="15">
        <v>2</v>
      </c>
      <c r="J80" s="4">
        <v>4</v>
      </c>
      <c r="K80" s="10">
        <v>1001031</v>
      </c>
      <c r="L80" s="16">
        <f>300 + ROUND((((P80/15)+(Y80/10))*(SQRT(AA80)/100+1)+O80)/((COUNTIF(I:I, I80)/30)+1), 0)</f>
        <v>2338</v>
      </c>
      <c r="M80" s="4">
        <v>60</v>
      </c>
      <c r="N80" s="10">
        <v>60</v>
      </c>
      <c r="O80" s="16">
        <f>ROUND(500+((AA80*0.01)+(Z80/3)+(V80/10))*6,0)</f>
        <v>1412</v>
      </c>
      <c r="P80" s="17">
        <f>ROUND((T80 * 2.5) * SQRT(Z80)
,0) + (O80 * 2)</f>
        <v>8105</v>
      </c>
      <c r="Q80" s="17">
        <v>1000</v>
      </c>
      <c r="R80" s="16">
        <f>ROUNDDOWN(L80*0.4, -1)</f>
        <v>930</v>
      </c>
      <c r="S80" s="17">
        <f>ROUNDDOWN(L80*0.005, -1)</f>
        <v>10</v>
      </c>
      <c r="T80" s="15">
        <v>260</v>
      </c>
      <c r="U80" s="4">
        <v>1400</v>
      </c>
      <c r="V80" s="4">
        <v>100</v>
      </c>
      <c r="W80" s="4">
        <v>600</v>
      </c>
      <c r="X80" s="4">
        <v>900</v>
      </c>
      <c r="Y80" s="10">
        <v>1800</v>
      </c>
      <c r="Z80" s="15">
        <v>66</v>
      </c>
      <c r="AA80" s="4">
        <v>12000</v>
      </c>
      <c r="AB80" s="4"/>
    </row>
    <row r="81" ht="15.75" customHeight="1">
      <c r="A81" s="4">
        <v>31</v>
      </c>
      <c r="B81" s="8">
        <v>80.0</v>
      </c>
      <c r="C81" s="9" t="b">
        <v>1</v>
      </c>
      <c r="D81" s="4" t="inlineStr">
        <is>
          <t>箕輪城</t>
        </is>
      </c>
      <c r="E81" s="10" t="inlineStr">
        <is>
          <t>みのわじょう</t>
        </is>
      </c>
      <c r="F81" s="11" t="str">
        <f t="array" ref="F81">IF(A81:A332="","",_xlfn.XLOOKUP(A81:A332,'参照_拠点'!A:A,'参照_拠点'!B:B,"見つかりません"))</f>
      </c>
      <c r="G81" s="12" t="str">
        <f t="array" ref="G81">IF(K81:K332="","",_xlfn.XLOOKUP(K81:K332,'参照_武将'!A:A,'参照_武将'!B:B,"見つかりません"))</f>
      </c>
      <c r="H81" s="14" t="str">
        <f t="array" ref="H81">IF(I81:I332="","",_xlfn.XLOOKUP(I81:I332,'参照_勢力'!A:A,'参照_勢力'!B:B,"見つかりません"))</f>
      </c>
      <c r="I81" s="15">
        <v>3</v>
      </c>
      <c r="J81" s="4">
        <v>0</v>
      </c>
      <c r="K81" s="10">
        <v>1002049</v>
      </c>
      <c r="L81" s="18">
        <f>300 + ROUND((((P81/15)+(Y81/10))*(SQRT(AA81)/100+1)+O81)/((COUNTIF(I:I, I81)/30)+1), 0)</f>
        <v>3346</v>
      </c>
      <c r="M81" s="4">
        <v>50</v>
      </c>
      <c r="N81" s="10">
        <v>50</v>
      </c>
      <c r="O81" s="18">
        <f>(ROUND(500+((AA81*0.01)+(Z81/3)+(V81/10))*6,0))+500</f>
        <v>2306</v>
      </c>
      <c r="P81" s="19">
        <f>ROUND((T81 * 2.5) * SQRT(Z81)
,0) + (O81 * 2)</f>
        <v>10797</v>
      </c>
      <c r="Q81" s="19">
        <v>1000</v>
      </c>
      <c r="R81" s="18">
        <f>ROUNDDOWN(L81*0.2, -1)</f>
        <v>660</v>
      </c>
      <c r="S81" s="19">
        <f>ROUNDDOWN(L81*0.005, -1)</f>
        <v>10</v>
      </c>
      <c r="T81" s="15">
        <v>300</v>
      </c>
      <c r="U81" s="4">
        <v>1100</v>
      </c>
      <c r="V81" s="4">
        <v>150</v>
      </c>
      <c r="W81" s="4">
        <v>750</v>
      </c>
      <c r="X81" s="4">
        <v>800</v>
      </c>
      <c r="Y81" s="10">
        <v>1600</v>
      </c>
      <c r="Z81" s="15">
        <v>68</v>
      </c>
      <c r="AA81" s="4">
        <v>18000</v>
      </c>
      <c r="AB81" s="4"/>
    </row>
    <row r="82" ht="15.75" customHeight="1">
      <c r="A82" s="4">
        <v>32</v>
      </c>
      <c r="B82" s="8">
        <v>81.0</v>
      </c>
      <c r="C82" s="9" t="b">
        <v>1</v>
      </c>
      <c r="D82" s="4" t="inlineStr">
        <is>
          <t>宇都宮城</t>
        </is>
      </c>
      <c r="E82" s="10" t="inlineStr">
        <is>
          <t>うつのみやじょう</t>
        </is>
      </c>
      <c r="F82" s="11" t="str">
        <f t="array" ref="F82">IF(A82:A333="","",_xlfn.XLOOKUP(A82:A333,'参照_拠点'!A:A,'参照_拠点'!B:B,"見つかりません"))</f>
      </c>
      <c r="G82" s="12" t="str">
        <f t="array" ref="G82">IF(K82:K333="","",_xlfn.XLOOKUP(K82:K333,'参照_武将'!A:A,'参照_武将'!B:B,"見つかりません"))</f>
      </c>
      <c r="H82" s="14" t="str">
        <f t="array" ref="H82">IF(I82:I333="","",_xlfn.XLOOKUP(I82:I333,'参照_勢力'!A:A,'参照_勢力'!B:B,"見つかりません"))</f>
      </c>
      <c r="I82" s="15">
        <v>28</v>
      </c>
      <c r="J82" s="4">
        <v>0</v>
      </c>
      <c r="K82" s="10">
        <v>1028007</v>
      </c>
      <c r="L82" s="16">
        <f>300 + ROUND((((P82/15)+(Y82/10))*(SQRT(AA82)/100+1)+O82)/((COUNTIF(I:I, I82)/30)+1), 0)</f>
        <v>3579</v>
      </c>
      <c r="M82" s="4">
        <v>50</v>
      </c>
      <c r="N82" s="10">
        <v>50</v>
      </c>
      <c r="O82" s="16">
        <f>ROUND(500+((AA82*0.01)+(Z82/3)+(V82/10))*6,0)</f>
        <v>1744</v>
      </c>
      <c r="P82" s="17">
        <f>ROUND((T82 * 2.5) * SQRT(Z82)
,0) + (O82 * 2)</f>
        <v>9832</v>
      </c>
      <c r="Q82" s="17">
        <v>1000</v>
      </c>
      <c r="R82" s="16">
        <f>ROUNDDOWN(L82*0.2, -1)</f>
        <v>710</v>
      </c>
      <c r="S82" s="17">
        <f>ROUNDDOWN(L82*0.005, -1)</f>
        <v>10</v>
      </c>
      <c r="T82" s="15">
        <v>310</v>
      </c>
      <c r="U82" s="4">
        <v>1200</v>
      </c>
      <c r="V82" s="4">
        <v>50</v>
      </c>
      <c r="W82" s="4">
        <v>500</v>
      </c>
      <c r="X82" s="4">
        <v>700</v>
      </c>
      <c r="Y82" s="10">
        <v>1400</v>
      </c>
      <c r="Z82" s="15">
        <v>67</v>
      </c>
      <c r="AA82" s="4">
        <v>18000</v>
      </c>
      <c r="AB82" s="4"/>
    </row>
    <row r="83" ht="15.75" customHeight="1">
      <c r="A83" s="4">
        <v>231</v>
      </c>
      <c r="B83" s="8">
        <v>82.0</v>
      </c>
      <c r="C83" s="9" t="b">
        <v>1</v>
      </c>
      <c r="D83" s="4" t="inlineStr">
        <is>
          <t>大田原城</t>
        </is>
      </c>
      <c r="E83" s="10" t="inlineStr">
        <is>
          <t>おおたわらじょう</t>
        </is>
      </c>
      <c r="F83" s="11" t="str">
        <f t="array" ref="F83">IF(A83:A334="","",_xlfn.XLOOKUP(A83:A334,'参照_拠点'!A:A,'参照_拠点'!B:B,"見つかりません"))</f>
      </c>
      <c r="G83" s="12" t="str">
        <f t="array" ref="G83">IF(K83:K334="","",_xlfn.XLOOKUP(K83:K334,'参照_武将'!A:A,'参照_武将'!B:B,"見つかりません"))</f>
      </c>
      <c r="H83" s="14" t="str">
        <f t="array" ref="H83">IF(I83:I334="","",_xlfn.XLOOKUP(I83:I334,'参照_勢力'!A:A,'参照_勢力'!B:B,"見つかりません"))</f>
      </c>
      <c r="I83" s="15">
        <v>34</v>
      </c>
      <c r="J83" s="4">
        <v>0</v>
      </c>
      <c r="K83" s="10">
        <v>1034021</v>
      </c>
      <c r="L83" s="18">
        <f>300 + ROUND((((P83/15)+(Y83/10))*(SQRT(AA83)/100+1)+O83)/((COUNTIF(I:I, I83)/30)+1), 0)</f>
        <v>1756</v>
      </c>
      <c r="M83" s="4">
        <v>50</v>
      </c>
      <c r="N83" s="10">
        <v>50</v>
      </c>
      <c r="O83" s="18">
        <f>ROUND(500+((AA83*0.01)+(Z83/3)+(V83/10))*6,0)</f>
        <v>996</v>
      </c>
      <c r="P83" s="19">
        <f>ROUND((T83 * 2.5) * SQRT(Z83)
,0) + (O83 * 2)</f>
        <v>3847</v>
      </c>
      <c r="Q83" s="19">
        <v>1000</v>
      </c>
      <c r="R83" s="18">
        <f>ROUNDDOWN(L83*0.2, -1)</f>
        <v>350</v>
      </c>
      <c r="S83" s="19">
        <f>ROUNDDOWN(L83*0.005, -1)</f>
        <v>0</v>
      </c>
      <c r="T83" s="15">
        <v>90</v>
      </c>
      <c r="U83" s="4">
        <v>600</v>
      </c>
      <c r="V83" s="4">
        <v>100</v>
      </c>
      <c r="W83" s="4">
        <v>400</v>
      </c>
      <c r="X83" s="4">
        <v>350</v>
      </c>
      <c r="Y83" s="10">
        <v>700</v>
      </c>
      <c r="Z83" s="15">
        <v>68</v>
      </c>
      <c r="AA83" s="4">
        <v>5000</v>
      </c>
      <c r="AB83" s="4"/>
    </row>
    <row r="84" ht="15.75" customHeight="1">
      <c r="A84" s="4">
        <v>248</v>
      </c>
      <c r="B84" s="8">
        <v>83.0</v>
      </c>
      <c r="C84" s="9" t="b">
        <v>1</v>
      </c>
      <c r="D84" s="4" t="inlineStr">
        <is>
          <t>鹿沼城</t>
        </is>
      </c>
      <c r="E84" s="10" t="inlineStr">
        <is>
          <t>かぬまじょう</t>
        </is>
      </c>
      <c r="F84" s="11" t="str">
        <f t="array" ref="F84">IF(A84:A335="","",_xlfn.XLOOKUP(A84:A335,'参照_拠点'!A:A,'参照_拠点'!B:B,"見つかりません"))</f>
      </c>
      <c r="G84" s="12" t="str">
        <f t="array" ref="G84">IF(K84:K335="","",_xlfn.XLOOKUP(K84:K335,'参照_武将'!A:A,'参照_武将'!B:B,"見つかりません"))</f>
      </c>
      <c r="H84" s="14" t="str">
        <f t="array" ref="H84">IF(I84:I335="","",_xlfn.XLOOKUP(I84:I335,'参照_勢力'!A:A,'参照_勢力'!B:B,"見つかりません"))</f>
      </c>
      <c r="I84" s="15">
        <v>28</v>
      </c>
      <c r="J84" s="4">
        <v>1</v>
      </c>
      <c r="K84" s="10">
        <v>1215007</v>
      </c>
      <c r="L84" s="16">
        <f>300 + ROUND((((P84/15)+(Y84/10))*(SQRT(AA84)/100+1)+O84)/((COUNTIF(I:I, I84)/30)+1), 0)</f>
        <v>1681</v>
      </c>
      <c r="M84" s="4">
        <v>50</v>
      </c>
      <c r="N84" s="10">
        <v>50</v>
      </c>
      <c r="O84" s="16">
        <f>ROUND(500+((AA84*0.01)+(Z84/3)+(V84/10))*6,0)</f>
        <v>866</v>
      </c>
      <c r="P84" s="17">
        <f>ROUND((T84 * 2.5) * SQRT(Z84)
,0) + (O84 * 2)</f>
        <v>5105</v>
      </c>
      <c r="Q84" s="17">
        <v>1000</v>
      </c>
      <c r="R84" s="16">
        <f>ROUNDDOWN(L84*0.2, -1)</f>
        <v>330</v>
      </c>
      <c r="S84" s="17">
        <f>ROUNDDOWN(L84*0.005, -1)</f>
        <v>0</v>
      </c>
      <c r="T84" s="15">
        <v>170</v>
      </c>
      <c r="U84" s="4">
        <v>800</v>
      </c>
      <c r="V84" s="4">
        <v>0</v>
      </c>
      <c r="W84" s="4">
        <v>250</v>
      </c>
      <c r="X84" s="4">
        <v>300</v>
      </c>
      <c r="Y84" s="10">
        <v>600</v>
      </c>
      <c r="Z84" s="15">
        <v>63</v>
      </c>
      <c r="AA84" s="4">
        <v>4000</v>
      </c>
      <c r="AB84" s="4"/>
    </row>
    <row r="85" ht="15.75" customHeight="1">
      <c r="A85" s="4">
        <v>66</v>
      </c>
      <c r="B85" s="8">
        <v>84.0</v>
      </c>
      <c r="C85" s="9" t="b">
        <v>1</v>
      </c>
      <c r="D85" s="4" t="inlineStr">
        <is>
          <t>唐沢山城</t>
        </is>
      </c>
      <c r="E85" s="10" t="inlineStr">
        <is>
          <t>からさわやまじょう</t>
        </is>
      </c>
      <c r="F85" s="11" t="str">
        <f t="array" ref="F85">IF(A85:A336="","",_xlfn.XLOOKUP(A85:A336,'参照_拠点'!A:A,'参照_拠点'!B:B,"見つかりません"))</f>
      </c>
      <c r="G85" s="12" t="str">
        <f t="array" ref="G85">IF(K85:K336="","",_xlfn.XLOOKUP(K85:K336,'参照_武将'!A:A,'参照_武将'!B:B,"見つかりません"))</f>
      </c>
      <c r="H85" s="14" t="str">
        <f t="array" ref="H85">IF(I85:I336="","",_xlfn.XLOOKUP(I85:I336,'参照_勢力'!A:A,'参照_勢力'!B:B,"見つかりません"))</f>
      </c>
      <c r="I85" s="15">
        <v>36</v>
      </c>
      <c r="J85" s="4">
        <v>0</v>
      </c>
      <c r="K85" s="10">
        <v>1036004</v>
      </c>
      <c r="L85" s="18">
        <f>300 + ROUND((((P85/15)+(Y85/10))*(SQRT(AA85)/100+1)+O85)/((COUNTIF(I:I, I85)/30)+1), 0)</f>
        <v>2637</v>
      </c>
      <c r="M85" s="4">
        <v>50</v>
      </c>
      <c r="N85" s="10">
        <v>50</v>
      </c>
      <c r="O85" s="18">
        <f>ROUND(500+((AA85*0.01)+(Z85/3)+(V85/10))*6,0)</f>
        <v>1316</v>
      </c>
      <c r="P85" s="19">
        <f>ROUND((T85 * 2.5) * SQRT(Z85)
,0) + (O85 * 2)</f>
        <v>6997</v>
      </c>
      <c r="Q85" s="19">
        <v>1000</v>
      </c>
      <c r="R85" s="18">
        <f>ROUNDDOWN(L85*0.2, -1)</f>
        <v>520</v>
      </c>
      <c r="S85" s="19">
        <f>ROUNDDOWN(L85*0.005, -1)</f>
        <v>10</v>
      </c>
      <c r="T85" s="15">
        <v>220</v>
      </c>
      <c r="U85" s="4">
        <v>900</v>
      </c>
      <c r="V85" s="4">
        <v>50</v>
      </c>
      <c r="W85" s="4">
        <v>400</v>
      </c>
      <c r="X85" s="4">
        <v>350</v>
      </c>
      <c r="Y85" s="10">
        <v>700</v>
      </c>
      <c r="Z85" s="15">
        <v>63</v>
      </c>
      <c r="AA85" s="4">
        <v>11000</v>
      </c>
      <c r="AB85" s="4"/>
    </row>
    <row r="86" ht="15.75" customHeight="1">
      <c r="A86" s="4">
        <v>63</v>
      </c>
      <c r="B86" s="8">
        <v>85.0</v>
      </c>
      <c r="C86" s="9" t="b">
        <v>1</v>
      </c>
      <c r="D86" s="4" t="inlineStr">
        <is>
          <t>烏山城</t>
        </is>
      </c>
      <c r="E86" s="10" t="inlineStr">
        <is>
          <t>からすやまじょう</t>
        </is>
      </c>
      <c r="F86" s="11" t="str">
        <f t="array" ref="F86">IF(A86:A337="","",_xlfn.XLOOKUP(A86:A337,'参照_拠点'!A:A,'参照_拠点'!B:B,"見つかりません"))</f>
      </c>
      <c r="G86" s="12" t="str">
        <f t="array" ref="G86">IF(K86:K337="","",_xlfn.XLOOKUP(K86:K337,'参照_武将'!A:A,'参照_武将'!B:B,"見つかりません"))</f>
      </c>
      <c r="H86" s="14" t="str">
        <f t="array" ref="H86">IF(I86:I337="","",_xlfn.XLOOKUP(I86:I337,'参照_勢力'!A:A,'参照_勢力'!B:B,"見つかりません"))</f>
      </c>
      <c r="I86" s="15">
        <v>34</v>
      </c>
      <c r="J86" s="4">
        <v>0</v>
      </c>
      <c r="K86" s="10">
        <v>1034004</v>
      </c>
      <c r="L86" s="16">
        <f>300 + ROUND((((P86/15)+(Y86/10))*(SQRT(AA86)/100+1)+O86)/((COUNTIF(I:I, I86)/30)+1), 0)</f>
        <v>2896</v>
      </c>
      <c r="M86" s="4">
        <v>50</v>
      </c>
      <c r="N86" s="10">
        <v>50</v>
      </c>
      <c r="O86" s="16">
        <f>ROUND(500+((AA86*0.01)+(Z86/3)+(V86/10))*6,0)</f>
        <v>1556</v>
      </c>
      <c r="P86" s="17">
        <f>ROUND((T86 * 2.5) * SQRT(Z86)
,0) + (O86 * 2)</f>
        <v>7279</v>
      </c>
      <c r="Q86" s="17">
        <v>1000</v>
      </c>
      <c r="R86" s="16">
        <f>ROUNDDOWN(L86*0.2, -1)</f>
        <v>570</v>
      </c>
      <c r="S86" s="17">
        <f>ROUNDDOWN(L86*0.005, -1)</f>
        <v>10</v>
      </c>
      <c r="T86" s="15">
        <v>210</v>
      </c>
      <c r="U86" s="4">
        <v>800</v>
      </c>
      <c r="V86" s="4">
        <v>50</v>
      </c>
      <c r="W86" s="4">
        <v>500</v>
      </c>
      <c r="X86" s="4">
        <v>300</v>
      </c>
      <c r="Y86" s="10">
        <v>600</v>
      </c>
      <c r="Z86" s="15">
        <v>63</v>
      </c>
      <c r="AA86" s="4">
        <v>15000</v>
      </c>
      <c r="AB86" s="4"/>
    </row>
    <row r="87" ht="15.75" customHeight="1">
      <c r="A87" s="4">
        <v>232</v>
      </c>
      <c r="B87" s="8">
        <v>86.0</v>
      </c>
      <c r="C87" s="9" t="b">
        <v>1</v>
      </c>
      <c r="D87" s="4" t="inlineStr">
        <is>
          <t>祇園城</t>
        </is>
      </c>
      <c r="E87" s="10" t="inlineStr">
        <is>
          <t>ぎおんじょう</t>
        </is>
      </c>
      <c r="F87" s="11" t="str">
        <f t="array" ref="F87">IF(A87:A338="","",_xlfn.XLOOKUP(A87:A338,'参照_拠点'!A:A,'参照_拠点'!B:B,"見つかりません"))</f>
      </c>
      <c r="G87" s="12" t="str">
        <f t="array" ref="G87">IF(K87:K338="","",_xlfn.XLOOKUP(K87:K338,'参照_武将'!A:A,'参照_武将'!B:B,"見つかりません"))</f>
      </c>
      <c r="H87" s="14" t="str">
        <f t="array" ref="H87">IF(I87:I338="","",_xlfn.XLOOKUP(I87:I338,'参照_勢力'!A:A,'参照_勢力'!B:B,"見つかりません"))</f>
      </c>
      <c r="I87" s="15">
        <v>29</v>
      </c>
      <c r="J87" s="4">
        <v>0</v>
      </c>
      <c r="K87" s="10">
        <v>1029008</v>
      </c>
      <c r="L87" s="18">
        <f>300 + ROUND((((P87/15)+(Y87/10))*(SQRT(AA87)/100+1)+O87)/((COUNTIF(I:I, I87)/30)+1), 0)</f>
        <v>1921</v>
      </c>
      <c r="M87" s="4">
        <v>50</v>
      </c>
      <c r="N87" s="10">
        <v>50</v>
      </c>
      <c r="O87" s="18">
        <f>ROUND(500+((AA87*0.01)+(Z87/3)+(V87/10))*6,0)</f>
        <v>1056</v>
      </c>
      <c r="P87" s="19">
        <f>ROUND((T87 * 2.5) * SQRT(Z87)
,0) + (O87 * 2)</f>
        <v>4792</v>
      </c>
      <c r="Q87" s="19">
        <v>1000</v>
      </c>
      <c r="R87" s="18">
        <f>ROUNDDOWN(L87*0.2, -1)</f>
        <v>380</v>
      </c>
      <c r="S87" s="19">
        <f>ROUNDDOWN(L87*0.005, -1)</f>
        <v>0</v>
      </c>
      <c r="T87" s="15">
        <v>130</v>
      </c>
      <c r="U87" s="4">
        <v>600</v>
      </c>
      <c r="V87" s="4">
        <v>100</v>
      </c>
      <c r="W87" s="4">
        <v>400</v>
      </c>
      <c r="X87" s="4">
        <v>300</v>
      </c>
      <c r="Y87" s="10">
        <v>600</v>
      </c>
      <c r="Z87" s="15">
        <v>68</v>
      </c>
      <c r="AA87" s="4">
        <v>6000</v>
      </c>
      <c r="AB87" s="4"/>
    </row>
    <row r="88" ht="15.75" customHeight="1">
      <c r="A88" s="4">
        <v>249</v>
      </c>
      <c r="B88" s="8">
        <v>87.0</v>
      </c>
      <c r="C88" s="9" t="b">
        <v>1</v>
      </c>
      <c r="D88" s="4" t="inlineStr">
        <is>
          <t>壬生城</t>
        </is>
      </c>
      <c r="E88" s="10" t="inlineStr">
        <is>
          <t>みぶじょう</t>
        </is>
      </c>
      <c r="F88" s="11" t="str">
        <f t="array" ref="F88">IF(A88:A339="","",_xlfn.XLOOKUP(A88:A339,'参照_拠点'!A:A,'参照_拠点'!B:B,"見つかりません"))</f>
      </c>
      <c r="G88" s="12" t="str">
        <f t="array" ref="G88">IF(K88:K339="","",_xlfn.XLOOKUP(K88:K339,'参照_武将'!A:A,'参照_武将'!B:B,"見つかりません"))</f>
      </c>
      <c r="H88" s="14" t="str">
        <f t="array" ref="H88">IF(I88:I339="","",_xlfn.XLOOKUP(I88:I339,'参照_勢力'!A:A,'参照_勢力'!B:B,"見つかりません"))</f>
      </c>
      <c r="I88" s="15">
        <v>215</v>
      </c>
      <c r="J88" s="4">
        <v>0</v>
      </c>
      <c r="K88" s="10">
        <v>1215004</v>
      </c>
      <c r="L88" s="16">
        <f>300 + ROUND((((P88/15)+(Y88/10))*(SQRT(AA88)/100+1)+O88)/((COUNTIF(I:I, I88)/30)+1), 0)</f>
        <v>3293</v>
      </c>
      <c r="M88" s="4">
        <v>50</v>
      </c>
      <c r="N88" s="10">
        <v>50</v>
      </c>
      <c r="O88" s="16">
        <f>(ROUND(500+((AA88*0.01)+(Z88/3)+(V88/10))*6,0))+500</f>
        <v>1884</v>
      </c>
      <c r="P88" s="17">
        <f>ROUND((T88 * 2.5) * SQRT(Z88)
,0) + (O88 * 2)</f>
        <v>7451</v>
      </c>
      <c r="Q88" s="17">
        <v>1000</v>
      </c>
      <c r="R88" s="16">
        <f>ROUNDDOWN(L88*0.2, -1)</f>
        <v>650</v>
      </c>
      <c r="S88" s="17">
        <f>ROUNDDOWN(L88*0.005, -1)</f>
        <v>10</v>
      </c>
      <c r="T88" s="15">
        <v>180</v>
      </c>
      <c r="U88" s="4">
        <v>1000</v>
      </c>
      <c r="V88" s="4">
        <v>50</v>
      </c>
      <c r="W88" s="4">
        <v>400</v>
      </c>
      <c r="X88" s="4">
        <v>400</v>
      </c>
      <c r="Y88" s="10">
        <v>800</v>
      </c>
      <c r="Z88" s="15">
        <v>67</v>
      </c>
      <c r="AA88" s="4">
        <v>12000</v>
      </c>
      <c r="AB88" s="4"/>
    </row>
    <row r="89" ht="15.75" customHeight="1">
      <c r="A89" s="4">
        <v>46</v>
      </c>
      <c r="B89" s="8">
        <v>88.0</v>
      </c>
      <c r="C89" s="9" t="b">
        <v>1</v>
      </c>
      <c r="D89" s="4" t="inlineStr">
        <is>
          <t>久留里城</t>
        </is>
      </c>
      <c r="E89" s="10" t="inlineStr">
        <is>
          <t>くるりじょう</t>
        </is>
      </c>
      <c r="F89" s="11" t="str">
        <f t="array" ref="F89">IF(A89:A340="","",_xlfn.XLOOKUP(A89:A340,'参照_拠点'!A:A,'参照_拠点'!B:B,"見つかりません"))</f>
      </c>
      <c r="G89" s="12" t="str">
        <f t="array" ref="G89">IF(K89:K340="","",_xlfn.XLOOKUP(K89:K340,'参照_武将'!A:A,'参照_武将'!B:B,"見つかりません"))</f>
      </c>
      <c r="H89" s="14" t="str">
        <f t="array" ref="H89">IF(I89:I340="","",_xlfn.XLOOKUP(I89:I340,'参照_勢力'!A:A,'参照_勢力'!B:B,"見つかりません"))</f>
      </c>
      <c r="I89" s="15">
        <v>27</v>
      </c>
      <c r="J89" s="4">
        <v>0</v>
      </c>
      <c r="K89" s="10">
        <v>1027002</v>
      </c>
      <c r="L89" s="18">
        <f>(300 + ROUND((((P89/15)+(Y89/10))*(SQRT(AA89)/100+1)+O89)/((COUNTIF(I:I, I89)/30)+1), 0))-76</f>
        <v>2806</v>
      </c>
      <c r="M89" s="4">
        <v>50</v>
      </c>
      <c r="N89" s="10">
        <v>50</v>
      </c>
      <c r="O89" s="18">
        <f>ROUND(500+((AA89*0.01)+(Z89/3)+(V89/10))*6,0)</f>
        <v>1346</v>
      </c>
      <c r="P89" s="19">
        <f>ROUND((T89 * 2.5) * SQRT(Z89)
,0) + (O89 * 2)</f>
        <v>8447</v>
      </c>
      <c r="Q89" s="19">
        <v>1000</v>
      </c>
      <c r="R89" s="18">
        <f>ROUNDDOWN(L89*0.2, -1)</f>
        <v>560</v>
      </c>
      <c r="S89" s="19">
        <f>ROUNDDOWN(L89*0.005, -1)</f>
        <v>10</v>
      </c>
      <c r="T89" s="15">
        <v>290</v>
      </c>
      <c r="U89" s="4">
        <v>1100</v>
      </c>
      <c r="V89" s="4">
        <v>0</v>
      </c>
      <c r="W89" s="4">
        <v>0</v>
      </c>
      <c r="X89" s="4">
        <v>750</v>
      </c>
      <c r="Y89" s="10">
        <v>1500</v>
      </c>
      <c r="Z89" s="15">
        <v>63</v>
      </c>
      <c r="AA89" s="4">
        <v>12000</v>
      </c>
      <c r="AB89" s="4"/>
    </row>
    <row r="90" ht="15.75" customHeight="1">
      <c r="A90" s="4">
        <v>252</v>
      </c>
      <c r="B90" s="8">
        <v>89.0</v>
      </c>
      <c r="C90" s="9" t="b">
        <v>1</v>
      </c>
      <c r="D90" s="4" t="inlineStr">
        <is>
          <t>小西城</t>
        </is>
      </c>
      <c r="E90" s="10" t="inlineStr">
        <is>
          <t>こにしじょう</t>
        </is>
      </c>
      <c r="F90" s="11" t="str">
        <f t="array" ref="F90">IF(A90:A341="","",_xlfn.XLOOKUP(A90:A341,'参照_拠点'!A:A,'参照_拠点'!B:B,"見つかりません"))</f>
      </c>
      <c r="G90" s="12" t="str">
        <f t="array" ref="G90">IF(K90:K341="","",_xlfn.XLOOKUP(K90:K341,'参照_武将'!A:A,'参照_武将'!B:B,"見つかりません"))</f>
      </c>
      <c r="H90" s="14" t="str">
        <f t="array" ref="H90">IF(I90:I341="","",_xlfn.XLOOKUP(I90:I341,'参照_勢力'!A:A,'参照_勢力'!B:B,"見つかりません"))</f>
      </c>
      <c r="I90" s="15">
        <v>27</v>
      </c>
      <c r="J90" s="4">
        <v>2</v>
      </c>
      <c r="K90" s="10">
        <v>1091013</v>
      </c>
      <c r="L90" s="16">
        <f>(300 + ROUND((((P90/15)+(Y90/10))*(SQRT(AA90)/100+1)+O90)/((COUNTIF(I:I, I90)/30)+1), 0))-44</f>
        <v>1759</v>
      </c>
      <c r="M90" s="4">
        <v>50</v>
      </c>
      <c r="N90" s="10">
        <v>50</v>
      </c>
      <c r="O90" s="16">
        <f>ROUND(500+((AA90*0.01)+(Z90/3)+(V90/10))*6,0)</f>
        <v>988</v>
      </c>
      <c r="P90" s="17">
        <f>ROUND((T90 * 2.5) * SQRT(Z90)
,0) + (O90 * 2)</f>
        <v>4576</v>
      </c>
      <c r="Q90" s="17">
        <v>1000</v>
      </c>
      <c r="R90" s="16">
        <f>ROUNDDOWN(L90*0.2, -1)</f>
        <v>350</v>
      </c>
      <c r="S90" s="17">
        <f>ROUNDDOWN(L90*0.005, -1)</f>
        <v>0</v>
      </c>
      <c r="T90" s="15">
        <v>130</v>
      </c>
      <c r="U90" s="4">
        <v>600</v>
      </c>
      <c r="V90" s="4">
        <v>0</v>
      </c>
      <c r="W90" s="4">
        <v>0</v>
      </c>
      <c r="X90" s="4">
        <v>350</v>
      </c>
      <c r="Y90" s="10">
        <v>700</v>
      </c>
      <c r="Z90" s="15">
        <v>64</v>
      </c>
      <c r="AA90" s="4">
        <v>6000</v>
      </c>
      <c r="AB90" s="4"/>
    </row>
    <row r="91" ht="15.75" customHeight="1">
      <c r="A91" s="4">
        <v>65</v>
      </c>
      <c r="B91" s="8">
        <v>90.0</v>
      </c>
      <c r="C91" s="9" t="b">
        <v>1</v>
      </c>
      <c r="D91" s="4" t="inlineStr">
        <is>
          <t>万喜城</t>
        </is>
      </c>
      <c r="E91" s="10" t="inlineStr">
        <is>
          <t>まんぎじょう</t>
        </is>
      </c>
      <c r="F91" s="11" t="str">
        <f t="array" ref="F91">IF(A91:A342="","",_xlfn.XLOOKUP(A91:A342,'参照_拠点'!A:A,'参照_拠点'!B:B,"見つかりません"))</f>
      </c>
      <c r="G91" s="12" t="str">
        <f t="array" ref="G91">IF(K91:K342="","",_xlfn.XLOOKUP(K91:K342,'参照_武将'!A:A,'参照_武将'!B:B,"見つかりません"))</f>
      </c>
      <c r="H91" s="14" t="str">
        <f t="array" ref="H91">IF(I91:I342="","",_xlfn.XLOOKUP(I91:I342,'参照_勢力'!A:A,'参照_勢力'!B:B,"見つかりません"))</f>
      </c>
      <c r="I91" s="15">
        <v>4</v>
      </c>
      <c r="J91" s="4">
        <v>0</v>
      </c>
      <c r="K91" s="10">
        <v>1027017</v>
      </c>
      <c r="L91" s="18">
        <f>(300 + ROUND((((P91/15)+(Y91/10))*(SQRT(AA91)/100+1)+O91)/((COUNTIF(I:I, I91)/30)+1), 0))+297</f>
        <v>2277</v>
      </c>
      <c r="M91" s="4">
        <v>50</v>
      </c>
      <c r="N91" s="10">
        <v>50</v>
      </c>
      <c r="O91" s="18">
        <f>ROUND(500+((AA91*0.01)+(Z91/3)+(V91/10))*6,0)</f>
        <v>1290</v>
      </c>
      <c r="P91" s="19">
        <f>ROUND((T91 * 2.5) * SQRT(Z91)
,0) + (O91 * 2)</f>
        <v>6208</v>
      </c>
      <c r="Q91" s="19">
        <v>1000</v>
      </c>
      <c r="R91" s="18">
        <f>ROUNDDOWN(L91*0.2, -1)</f>
        <v>450</v>
      </c>
      <c r="S91" s="19">
        <f>ROUNDDOWN(L91*0.005, -1)</f>
        <v>10</v>
      </c>
      <c r="T91" s="15">
        <v>180</v>
      </c>
      <c r="U91" s="4">
        <v>800</v>
      </c>
      <c r="V91" s="4">
        <v>0</v>
      </c>
      <c r="W91" s="4">
        <v>0</v>
      </c>
      <c r="X91" s="4">
        <v>250</v>
      </c>
      <c r="Y91" s="10">
        <v>500</v>
      </c>
      <c r="Z91" s="15">
        <v>65</v>
      </c>
      <c r="AA91" s="4">
        <v>11000</v>
      </c>
      <c r="AB91" s="4"/>
    </row>
    <row r="92" ht="15.75" customHeight="1">
      <c r="A92" s="4">
        <v>235</v>
      </c>
      <c r="B92" s="8">
        <v>91.0</v>
      </c>
      <c r="C92" s="9" t="b">
        <v>1</v>
      </c>
      <c r="D92" s="4" t="inlineStr">
        <is>
          <t>古河城</t>
        </is>
      </c>
      <c r="E92" s="10" t="inlineStr">
        <is>
          <t>こがじょう</t>
        </is>
      </c>
      <c r="F92" s="11" t="str">
        <f t="array" ref="F92">IF(A92:A343="","",_xlfn.XLOOKUP(A92:A343,'参照_拠点'!A:A,'参照_拠点'!B:B,"見つかりません"))</f>
      </c>
      <c r="G92" s="12" t="str">
        <f t="array" ref="G92">IF(K92:K343="","",_xlfn.XLOOKUP(K92:K343,'参照_武将'!A:A,'参照_武将'!B:B,"見つかりません"))</f>
      </c>
      <c r="H92" s="14" t="str">
        <f t="array" ref="H92">IF(I92:I343="","",_xlfn.XLOOKUP(I92:I343,'参照_勢力'!A:A,'参照_勢力'!B:B,"見つかりません"))</f>
      </c>
      <c r="I92" s="15">
        <v>91</v>
      </c>
      <c r="J92" s="4">
        <v>0</v>
      </c>
      <c r="K92" s="10">
        <v>1091006</v>
      </c>
      <c r="L92" s="16">
        <f>300 + ROUND((((P92/15)+(Y92/10))*(SQRT(AA92)/100+1)+O92)/((COUNTIF(I:I, I92)/30)+1), 0)</f>
        <v>3197</v>
      </c>
      <c r="M92" s="4">
        <v>50</v>
      </c>
      <c r="N92" s="10">
        <v>50</v>
      </c>
      <c r="O92" s="16">
        <f>ROUND(500+((AA92*0.01)+(Z92/3)+(V92/10))*6,0)</f>
        <v>1524</v>
      </c>
      <c r="P92" s="17">
        <f>ROUND((T92 * 2.5) * SQRT(Z92)
,0) + (O92 * 2)</f>
        <v>8560</v>
      </c>
      <c r="Q92" s="17">
        <v>1000</v>
      </c>
      <c r="R92" s="16">
        <f>ROUNDDOWN(L92*0.2, -1)</f>
        <v>630</v>
      </c>
      <c r="S92" s="17">
        <f>ROUNDDOWN(L92*0.005, -1)</f>
        <v>10</v>
      </c>
      <c r="T92" s="15">
        <v>280</v>
      </c>
      <c r="U92" s="4">
        <v>1200</v>
      </c>
      <c r="V92" s="4">
        <v>0</v>
      </c>
      <c r="W92" s="4">
        <v>0</v>
      </c>
      <c r="X92" s="4">
        <v>450</v>
      </c>
      <c r="Y92" s="10">
        <v>900</v>
      </c>
      <c r="Z92" s="15">
        <v>62</v>
      </c>
      <c r="AA92" s="4">
        <v>15000</v>
      </c>
      <c r="AB92" s="4"/>
    </row>
    <row r="93" ht="15.75" customHeight="1">
      <c r="A93" s="4">
        <v>58</v>
      </c>
      <c r="B93" s="8">
        <v>92.0</v>
      </c>
      <c r="C93" s="9" t="b">
        <v>1</v>
      </c>
      <c r="D93" s="4" t="inlineStr">
        <is>
          <t>佐倉城</t>
        </is>
      </c>
      <c r="E93" s="10" t="inlineStr">
        <is>
          <t>さくらじょう</t>
        </is>
      </c>
      <c r="F93" s="11" t="str">
        <f t="array" ref="F93">IF(A93:A344="","",_xlfn.XLOOKUP(A93:A344,'参照_拠点'!A:A,'参照_拠点'!B:B,"見つかりません"))</f>
      </c>
      <c r="G93" s="12" t="str">
        <f t="array" ref="G93">IF(K93:K344="","",_xlfn.XLOOKUP(K93:K344,'参照_武将'!A:A,'参照_武将'!B:B,"見つかりません"))</f>
      </c>
      <c r="H93" s="14" t="str">
        <f t="array" ref="H93">IF(I93:I344="","",_xlfn.XLOOKUP(I93:I344,'参照_勢力'!A:A,'参照_勢力'!B:B,"見つかりません"))</f>
      </c>
      <c r="I93" s="15">
        <v>92</v>
      </c>
      <c r="J93" s="4">
        <v>0</v>
      </c>
      <c r="K93" s="10">
        <v>1092004</v>
      </c>
      <c r="L93" s="18">
        <f>300 + ROUND((((P93/15)+(Y93/10))*(SQRT(AA93)/100+1)+O93)/((COUNTIF(I:I, I93)/30)+1), 0)</f>
        <v>2939</v>
      </c>
      <c r="M93" s="4">
        <v>60</v>
      </c>
      <c r="N93" s="10">
        <v>60</v>
      </c>
      <c r="O93" s="18">
        <f>ROUND(500+((AA93*0.01)+(Z93/3)+(V93/10))*6,0)</f>
        <v>1482</v>
      </c>
      <c r="P93" s="19">
        <f>ROUND((T93 * 2.5) * SQRT(Z93)
,0) + (O93 * 2)</f>
        <v>7809</v>
      </c>
      <c r="Q93" s="19">
        <v>1000</v>
      </c>
      <c r="R93" s="18">
        <f>ROUNDDOWN(L93*0.25, -1)</f>
        <v>730</v>
      </c>
      <c r="S93" s="19">
        <f>ROUNDDOWN(L93*0.005, -1)</f>
        <v>10</v>
      </c>
      <c r="T93" s="15">
        <v>230</v>
      </c>
      <c r="U93" s="4">
        <v>1000</v>
      </c>
      <c r="V93" s="4">
        <v>0</v>
      </c>
      <c r="W93" s="4">
        <v>0</v>
      </c>
      <c r="X93" s="4">
        <v>450</v>
      </c>
      <c r="Y93" s="10">
        <v>900</v>
      </c>
      <c r="Z93" s="15">
        <v>71</v>
      </c>
      <c r="AA93" s="4">
        <v>14000</v>
      </c>
      <c r="AB93" s="4"/>
    </row>
    <row r="94" ht="15.75" customHeight="1">
      <c r="A94" s="4">
        <v>234</v>
      </c>
      <c r="B94" s="8">
        <v>93.0</v>
      </c>
      <c r="C94" s="9" t="b">
        <v>1</v>
      </c>
      <c r="D94" s="4" t="inlineStr">
        <is>
          <t>関宿城</t>
        </is>
      </c>
      <c r="E94" s="10" t="inlineStr">
        <is>
          <t>せきやどじょう</t>
        </is>
      </c>
      <c r="F94" s="11" t="str">
        <f t="array" ref="F94">IF(A94:A345="","",_xlfn.XLOOKUP(A94:A345,'参照_拠点'!A:A,'参照_拠点'!B:B,"見つかりません"))</f>
      </c>
      <c r="G94" s="12" t="str">
        <f t="array" ref="G94">IF(K94:K345="","",_xlfn.XLOOKUP(K94:K345,'参照_武将'!A:A,'参照_武将'!B:B,"見つかりません"))</f>
      </c>
      <c r="H94" s="14" t="str">
        <f t="array" ref="H94">IF(I94:I345="","",_xlfn.XLOOKUP(I94:I345,'参照_勢力'!A:A,'参照_勢力'!B:B,"見つかりません"))</f>
      </c>
      <c r="I94" s="15">
        <v>2</v>
      </c>
      <c r="J94" s="4">
        <v>7</v>
      </c>
      <c r="K94" s="10">
        <v>1091008</v>
      </c>
      <c r="L94" s="16">
        <f>300 + ROUND((((P94/15)+(Y94/10))*(SQRT(AA94)/100+1)+O94)/((COUNTIF(I:I, I94)/30)+1), 0)</f>
        <v>1485</v>
      </c>
      <c r="M94" s="4">
        <v>50</v>
      </c>
      <c r="N94" s="10">
        <v>50</v>
      </c>
      <c r="O94" s="16">
        <f>ROUND(500+((AA94*0.01)+(Z94/3)+(V94/10))*6,0)</f>
        <v>1094</v>
      </c>
      <c r="P94" s="17">
        <f>ROUND((T94 * 2.5) * SQRT(Z94)
,0) + (O94 * 2)</f>
        <v>3887</v>
      </c>
      <c r="Q94" s="17">
        <v>1000</v>
      </c>
      <c r="R94" s="16">
        <f>ROUNDDOWN(L94*0.4, -1)</f>
        <v>590</v>
      </c>
      <c r="S94" s="17">
        <f>ROUNDDOWN(L94*0.005, -1)</f>
        <v>0</v>
      </c>
      <c r="T94" s="15">
        <v>90</v>
      </c>
      <c r="U94" s="4">
        <v>800</v>
      </c>
      <c r="V94" s="4">
        <v>0</v>
      </c>
      <c r="W94" s="4">
        <v>0</v>
      </c>
      <c r="X94" s="4">
        <v>300</v>
      </c>
      <c r="Y94" s="10">
        <v>600</v>
      </c>
      <c r="Z94" s="15">
        <v>57</v>
      </c>
      <c r="AA94" s="4">
        <v>8000</v>
      </c>
      <c r="AB94" s="4"/>
    </row>
    <row r="95" ht="15.75" customHeight="1">
      <c r="A95" s="4">
        <v>233</v>
      </c>
      <c r="B95" s="8">
        <v>94.0</v>
      </c>
      <c r="C95" s="9" t="b">
        <v>1</v>
      </c>
      <c r="D95" s="4" t="inlineStr">
        <is>
          <t>森山城</t>
        </is>
      </c>
      <c r="E95" s="10" t="inlineStr">
        <is>
          <t>もりやまじょう</t>
        </is>
      </c>
      <c r="F95" s="11" t="str">
        <f t="array" ref="F95">IF(A95:A346="","",_xlfn.XLOOKUP(A95:A346,'参照_拠点'!A:A,'参照_拠点'!B:B,"見つかりません"))</f>
      </c>
      <c r="G95" s="12" t="str">
        <f t="array" ref="G95">IF(K95:K346="","",_xlfn.XLOOKUP(K95:K346,'参照_武将'!A:A,'参照_武将'!B:B,"見つかりません"))</f>
      </c>
      <c r="H95" s="14" t="str">
        <f t="array" ref="H95">IF(I95:I346="","",_xlfn.XLOOKUP(I95:I346,'参照_勢力'!A:A,'参照_勢力'!B:B,"見つかりません"))</f>
      </c>
      <c r="I95" s="15">
        <v>92</v>
      </c>
      <c r="J95" s="4">
        <v>1</v>
      </c>
      <c r="K95" s="10">
        <v>1092029</v>
      </c>
      <c r="L95" s="18">
        <f>300 + ROUND((((P95/15)+(Y95/10))*(SQRT(AA95)/100+1)+O95)/((COUNTIF(I:I, I95)/30)+1), 0)</f>
        <v>2084</v>
      </c>
      <c r="M95" s="4">
        <v>50</v>
      </c>
      <c r="N95" s="10">
        <v>50</v>
      </c>
      <c r="O95" s="18">
        <f>ROUND(500+((AA95*0.01)+(Z95/3)+(V95/10))*6,0)</f>
        <v>1180</v>
      </c>
      <c r="P95" s="19">
        <f>ROUND((T95 * 2.5) * SQRT(Z95)
,0) + (O95 * 2)</f>
        <v>4661</v>
      </c>
      <c r="Q95" s="19">
        <v>1000</v>
      </c>
      <c r="R95" s="18">
        <f>ROUNDDOWN(L95*0.2, -1)</f>
        <v>410</v>
      </c>
      <c r="S95" s="19">
        <f>ROUNDDOWN(L95*0.005, -1)</f>
        <v>10</v>
      </c>
      <c r="T95" s="15">
        <v>110</v>
      </c>
      <c r="U95" s="4">
        <v>900</v>
      </c>
      <c r="V95" s="4">
        <v>0</v>
      </c>
      <c r="W95" s="4">
        <v>0</v>
      </c>
      <c r="X95" s="4">
        <v>300</v>
      </c>
      <c r="Y95" s="10">
        <v>600</v>
      </c>
      <c r="Z95" s="15">
        <v>70</v>
      </c>
      <c r="AA95" s="4">
        <v>9000</v>
      </c>
      <c r="AB95" s="4"/>
    </row>
    <row r="96" ht="15.75" customHeight="1">
      <c r="A96" s="4">
        <v>37</v>
      </c>
      <c r="B96" s="8">
        <v>95.0</v>
      </c>
      <c r="C96" s="9" t="b">
        <v>1</v>
      </c>
      <c r="D96" s="4" t="inlineStr">
        <is>
          <t>結城城</t>
        </is>
      </c>
      <c r="E96" s="10" t="inlineStr">
        <is>
          <t>ゆうきじょう</t>
        </is>
      </c>
      <c r="F96" s="11" t="str">
        <f t="array" ref="F96">IF(A96:A347="","",_xlfn.XLOOKUP(A96:A347,'参照_拠点'!A:A,'参照_拠点'!B:B,"見つかりません"))</f>
      </c>
      <c r="G96" s="12" t="str">
        <f t="array" ref="G96">IF(K96:K347="","",_xlfn.XLOOKUP(K96:K347,'参照_武将'!A:A,'参照_武将'!B:B,"見つかりません"))</f>
      </c>
      <c r="H96" s="14" t="str">
        <f t="array" ref="H96">IF(I96:I347="","",_xlfn.XLOOKUP(I96:I347,'参照_勢力'!A:A,'参照_勢力'!B:B,"見つかりません"))</f>
      </c>
      <c r="I96" s="15">
        <v>29</v>
      </c>
      <c r="J96" s="4">
        <v>0</v>
      </c>
      <c r="K96" s="10">
        <v>1029010</v>
      </c>
      <c r="L96" s="16">
        <f>300 + ROUND((((P96/15)+(Y96/10))*(SQRT(AA96)/100+1)+O96)/((COUNTIF(I:I, I96)/30)+1), 0)</f>
        <v>3327</v>
      </c>
      <c r="M96" s="4">
        <v>50</v>
      </c>
      <c r="N96" s="10">
        <v>50</v>
      </c>
      <c r="O96" s="16">
        <f>ROUND(500+((AA96*0.01)+(Z96/3)+(V96/10))*6,0)</f>
        <v>1586</v>
      </c>
      <c r="P96" s="17">
        <f>ROUND((T96 * 2.5) * SQRT(Z96)
,0) + (O96 * 2)</f>
        <v>8927</v>
      </c>
      <c r="Q96" s="17">
        <v>1000</v>
      </c>
      <c r="R96" s="16">
        <f>ROUNDDOWN(L96*0.2, -1)</f>
        <v>660</v>
      </c>
      <c r="S96" s="17">
        <f>ROUNDDOWN(L96*0.005, -1)</f>
        <v>10</v>
      </c>
      <c r="T96" s="15">
        <v>290</v>
      </c>
      <c r="U96" s="4">
        <v>1200</v>
      </c>
      <c r="V96" s="4">
        <v>0</v>
      </c>
      <c r="W96" s="4">
        <v>0</v>
      </c>
      <c r="X96" s="4">
        <v>650</v>
      </c>
      <c r="Y96" s="10">
        <v>1300</v>
      </c>
      <c r="Z96" s="15">
        <v>63</v>
      </c>
      <c r="AA96" s="4">
        <v>16000</v>
      </c>
      <c r="AB96" s="4"/>
    </row>
    <row r="97" ht="15.75" customHeight="1">
      <c r="A97" s="4">
        <v>237</v>
      </c>
      <c r="B97" s="8">
        <v>96.0</v>
      </c>
      <c r="C97" s="9" t="b">
        <v>1</v>
      </c>
      <c r="D97" s="4" t="inlineStr">
        <is>
          <t>小栗城</t>
        </is>
      </c>
      <c r="E97" s="10" t="inlineStr">
        <is>
          <t>おぐりじょう</t>
        </is>
      </c>
      <c r="F97" s="11" t="str">
        <f t="array" ref="F97">IF(A97:A348="","",_xlfn.XLOOKUP(A97:A348,'参照_拠点'!A:A,'参照_拠点'!B:B,"見つかりません"))</f>
      </c>
      <c r="G97" s="12" t="str">
        <f t="array" ref="G97">IF(K97:K348="","",_xlfn.XLOOKUP(K97:K348,'参照_武将'!A:A,'参照_武将'!B:B,"見つかりません"))</f>
      </c>
      <c r="H97" s="14" t="str">
        <f t="array" ref="H97">IF(I97:I348="","",_xlfn.XLOOKUP(I97:I348,'参照_勢力'!A:A,'参照_勢力'!B:B,"見つかりません"))</f>
      </c>
      <c r="I97" s="15">
        <v>28</v>
      </c>
      <c r="J97" s="4">
        <v>0</v>
      </c>
      <c r="K97" s="10">
        <v>1028031</v>
      </c>
      <c r="L97" s="18">
        <f>300 + ROUND((((P97/15)+(Y97/10))*(SQRT(AA97)/100+1)+O97)/((COUNTIF(I:I, I97)/30)+1), 0)</f>
        <v>1981</v>
      </c>
      <c r="M97" s="4">
        <v>50</v>
      </c>
      <c r="N97" s="10">
        <v>50</v>
      </c>
      <c r="O97" s="18">
        <f>ROUND(500+((AA97*0.01)+(Z97/3)+(V97/10))*6,0)</f>
        <v>1174</v>
      </c>
      <c r="P97" s="19">
        <f>ROUND((T97 * 2.5) * SQRT(Z97)
,0) + (O97 * 2)</f>
        <v>4599</v>
      </c>
      <c r="Q97" s="19">
        <v>1000</v>
      </c>
      <c r="R97" s="18">
        <f>ROUNDDOWN(L97*0.2, -1)</f>
        <v>390</v>
      </c>
      <c r="S97" s="19">
        <f>ROUNDDOWN(L97*0.005, -1)</f>
        <v>0</v>
      </c>
      <c r="T97" s="15">
        <v>110</v>
      </c>
      <c r="U97" s="4">
        <v>600</v>
      </c>
      <c r="V97" s="4">
        <v>100</v>
      </c>
      <c r="W97" s="4">
        <v>500</v>
      </c>
      <c r="X97" s="4">
        <v>250</v>
      </c>
      <c r="Y97" s="10">
        <v>500</v>
      </c>
      <c r="Z97" s="15">
        <v>67</v>
      </c>
      <c r="AA97" s="4">
        <v>8000</v>
      </c>
      <c r="AB97" s="4"/>
    </row>
    <row r="98" ht="15.75" customHeight="1">
      <c r="A98" s="4">
        <v>64</v>
      </c>
      <c r="B98" s="8">
        <v>97.0</v>
      </c>
      <c r="C98" s="9" t="b">
        <v>1</v>
      </c>
      <c r="D98" s="4" t="inlineStr">
        <is>
          <t>小田城</t>
        </is>
      </c>
      <c r="E98" s="10" t="inlineStr">
        <is>
          <t>おだじょう</t>
        </is>
      </c>
      <c r="F98" s="11" t="str">
        <f t="array" ref="F98">IF(A98:A349="","",_xlfn.XLOOKUP(A98:A349,'参照_拠点'!A:A,'参照_拠点'!B:B,"見つかりません"))</f>
      </c>
      <c r="G98" s="12" t="str">
        <f t="array" ref="G98">IF(K98:K349="","",_xlfn.XLOOKUP(K98:K349,'参照_武将'!A:A,'参照_武将'!B:B,"見つかりません"))</f>
      </c>
      <c r="H98" s="14" t="str">
        <f t="array" ref="H98">IF(I98:I349="","",_xlfn.XLOOKUP(I98:I349,'参照_勢力'!A:A,'参照_勢力'!B:B,"見つかりません"))</f>
      </c>
      <c r="I98" s="15">
        <v>32</v>
      </c>
      <c r="J98" s="4">
        <v>3</v>
      </c>
      <c r="K98" s="10">
        <v>1037013</v>
      </c>
      <c r="L98" s="16">
        <f>300 + ROUND((((P98/15)+(Y98/10))*(SQRT(AA98)/100+1)+O98)/((COUNTIF(I:I, I98)/30)+1), 0)</f>
        <v>3188</v>
      </c>
      <c r="M98" s="4">
        <v>50</v>
      </c>
      <c r="N98" s="10">
        <v>50</v>
      </c>
      <c r="O98" s="16">
        <f>ROUND(500+((AA98*0.01)+(Z98/3)+(V98/10))*6,0)</f>
        <v>1614</v>
      </c>
      <c r="P98" s="17">
        <f>ROUND((T98 * 2.5) * SQRT(Z98)
,0) + (O98 * 2)</f>
        <v>8740</v>
      </c>
      <c r="Q98" s="17">
        <v>1000</v>
      </c>
      <c r="R98" s="16">
        <f>ROUNDDOWN(L98*0.2, -1)</f>
        <v>630</v>
      </c>
      <c r="S98" s="17">
        <f>ROUNDDOWN(L98*0.005, -1)</f>
        <v>10</v>
      </c>
      <c r="T98" s="15">
        <v>280</v>
      </c>
      <c r="U98" s="4">
        <v>1000</v>
      </c>
      <c r="V98" s="4">
        <v>150</v>
      </c>
      <c r="W98" s="4">
        <v>800</v>
      </c>
      <c r="X98" s="4">
        <v>600</v>
      </c>
      <c r="Y98" s="10">
        <v>1200</v>
      </c>
      <c r="Z98" s="15">
        <v>62</v>
      </c>
      <c r="AA98" s="4">
        <v>15000</v>
      </c>
      <c r="AB98" s="4"/>
    </row>
    <row r="99" ht="15.75" customHeight="1">
      <c r="A99" s="4">
        <v>60</v>
      </c>
      <c r="B99" s="8">
        <v>98.0</v>
      </c>
      <c r="C99" s="9" t="b">
        <v>1</v>
      </c>
      <c r="D99" s="4" t="inlineStr">
        <is>
          <t>土浦城</t>
        </is>
      </c>
      <c r="E99" s="10" t="inlineStr">
        <is>
          <t>つちうらじょう</t>
        </is>
      </c>
      <c r="F99" s="11" t="str">
        <f t="array" ref="F99">IF(A99:A350="","",_xlfn.XLOOKUP(A99:A350,'参照_拠点'!A:A,'参照_拠点'!B:B,"見つかりません"))</f>
      </c>
      <c r="G99" s="12" t="str">
        <f t="array" ref="G99">IF(K99:K350="","",_xlfn.XLOOKUP(K99:K350,'参照_武将'!A:A,'参照_武将'!B:B,"見つかりません"))</f>
      </c>
      <c r="H99" s="14" t="str">
        <f t="array" ref="H99">IF(I99:I350="","",_xlfn.XLOOKUP(I99:I350,'参照_勢力'!A:A,'参照_勢力'!B:B,"見つかりません"))</f>
      </c>
      <c r="I99" s="15">
        <v>35</v>
      </c>
      <c r="J99" s="4">
        <v>0</v>
      </c>
      <c r="K99" s="10">
        <v>1035010</v>
      </c>
      <c r="L99" s="18">
        <f>300 + ROUND((((P99/15)+(Y99/10))*(SQRT(AA99)/100+1)+O99)/((COUNTIF(I:I, I99)/30)+1), 0)</f>
        <v>2727</v>
      </c>
      <c r="M99" s="4">
        <v>50</v>
      </c>
      <c r="N99" s="10">
        <v>50</v>
      </c>
      <c r="O99" s="18">
        <f>ROUND(500+((AA99*0.01)+(Z99/3)+(V99/10))*6,0)</f>
        <v>1354</v>
      </c>
      <c r="P99" s="19">
        <f>ROUND((T99 * 2.5) * SQRT(Z99)
,0) + (O99 * 2)</f>
        <v>6801</v>
      </c>
      <c r="Q99" s="19">
        <v>1000</v>
      </c>
      <c r="R99" s="18">
        <f>ROUNDDOWN(L99*0.2, -1)</f>
        <v>540</v>
      </c>
      <c r="S99" s="19">
        <f>ROUNDDOWN(L99*0.005, -1)</f>
        <v>10</v>
      </c>
      <c r="T99" s="15">
        <v>200</v>
      </c>
      <c r="U99" s="4">
        <v>1400</v>
      </c>
      <c r="V99" s="4">
        <v>100</v>
      </c>
      <c r="W99" s="4">
        <v>500</v>
      </c>
      <c r="X99" s="4">
        <v>550</v>
      </c>
      <c r="Y99" s="10">
        <v>1100</v>
      </c>
      <c r="Z99" s="15">
        <v>67</v>
      </c>
      <c r="AA99" s="4">
        <v>11000</v>
      </c>
      <c r="AB99" s="4"/>
    </row>
    <row r="100" ht="15.75" customHeight="1">
      <c r="A100" s="4">
        <v>59</v>
      </c>
      <c r="B100" s="8">
        <v>99.0</v>
      </c>
      <c r="C100" s="9" t="b">
        <v>1</v>
      </c>
      <c r="D100" s="4" t="inlineStr">
        <is>
          <t>舞鶴城</t>
        </is>
      </c>
      <c r="E100" s="10" t="inlineStr">
        <is>
          <t>まいづるじょう</t>
        </is>
      </c>
      <c r="F100" s="11" t="str">
        <f t="array" ref="F100">IF(A100:A351="","",_xlfn.XLOOKUP(A100:A351,'参照_拠点'!A:A,'参照_拠点'!B:B,"見つかりません"))</f>
      </c>
      <c r="G100" s="12" t="str">
        <f t="array" ref="G100">IF(K100:K351="","",_xlfn.XLOOKUP(K100:K351,'参照_武将'!A:A,'参照_武将'!B:B,"見つかりません"))</f>
      </c>
      <c r="H100" s="14" t="str">
        <f t="array" ref="H100">IF(I100:I351="","",_xlfn.XLOOKUP(I100:I351,'参照_勢力'!A:A,'参照_勢力'!B:B,"見つかりません"))</f>
      </c>
      <c r="I100" s="15">
        <v>32</v>
      </c>
      <c r="J100" s="4">
        <v>0</v>
      </c>
      <c r="K100" s="10">
        <v>1032005</v>
      </c>
      <c r="L100" s="16">
        <f>300 + ROUND((((P100/15)+(Y100/10))*(SQRT(AA100)/100+1)+O100)/((COUNTIF(I:I, I100)/30)+1), 0)</f>
        <v>3907</v>
      </c>
      <c r="M100" s="4">
        <v>50</v>
      </c>
      <c r="N100" s="10">
        <v>50</v>
      </c>
      <c r="O100" s="16">
        <f>ROUND(500+((AA100*0.01)+(Z100/3)+(V100/10))*6,0)</f>
        <v>1866</v>
      </c>
      <c r="P100" s="17">
        <f>ROUND((T100 * 2.5) * SQRT(Z100)
,0) + (O100 * 2)</f>
        <v>11154</v>
      </c>
      <c r="Q100" s="17">
        <v>1000</v>
      </c>
      <c r="R100" s="16">
        <f>ROUNDDOWN(L100*0.2, -1)</f>
        <v>780</v>
      </c>
      <c r="S100" s="17">
        <f>ROUNDDOWN(L100*0.005, -1)</f>
        <v>10</v>
      </c>
      <c r="T100" s="15">
        <v>360</v>
      </c>
      <c r="U100" s="4">
        <v>1800</v>
      </c>
      <c r="V100" s="4">
        <v>150</v>
      </c>
      <c r="W100" s="4">
        <v>900</v>
      </c>
      <c r="X100" s="4">
        <v>700</v>
      </c>
      <c r="Y100" s="10">
        <v>1400</v>
      </c>
      <c r="Z100" s="15">
        <v>68</v>
      </c>
      <c r="AA100" s="4">
        <v>19000</v>
      </c>
      <c r="AB100" s="4"/>
    </row>
    <row r="101" ht="15.75" customHeight="1">
      <c r="A101" s="4">
        <v>247</v>
      </c>
      <c r="B101" s="8">
        <v>100.0</v>
      </c>
      <c r="C101" s="9" t="b">
        <v>1</v>
      </c>
      <c r="D101" s="4" t="inlineStr">
        <is>
          <t>水戸城</t>
        </is>
      </c>
      <c r="E101" s="10" t="inlineStr">
        <is>
          <t>みとじょう</t>
        </is>
      </c>
      <c r="F101" s="11" t="str">
        <f t="array" ref="F101">IF(A101:A352="","",_xlfn.XLOOKUP(A101:A352,'参照_拠点'!A:A,'参照_拠点'!B:B,"見つかりません"))</f>
      </c>
      <c r="G101" s="12" t="str">
        <f t="array" ref="G101">IF(K101:K352="","",_xlfn.XLOOKUP(K101:K352,'参照_武将'!A:A,'参照_武将'!B:B,"見つかりません"))</f>
      </c>
      <c r="H101" s="14" t="str">
        <f t="array" ref="H101">IF(I101:I352="","",_xlfn.XLOOKUP(I101:I352,'参照_勢力'!A:A,'参照_勢力'!B:B,"見つかりません"))</f>
      </c>
      <c r="I101" s="15">
        <v>32</v>
      </c>
      <c r="J101" s="4">
        <v>2</v>
      </c>
      <c r="K101" s="10">
        <v>1032013</v>
      </c>
      <c r="L101" s="18">
        <f>300 + ROUND((((P101/15)+(Y101/10))*(SQRT(AA101)/100+1)+O101)/((COUNTIF(I:I, I101)/30)+1), 0)</f>
        <v>2145</v>
      </c>
      <c r="M101" s="4">
        <v>50</v>
      </c>
      <c r="N101" s="10">
        <v>50</v>
      </c>
      <c r="O101" s="18">
        <f>ROUND(500+((AA101*0.01)+(Z101/3)+(V101/10))*6,0)</f>
        <v>1234</v>
      </c>
      <c r="P101" s="19">
        <f>ROUND((T101 * 2.5) * SQRT(Z101)
,0) + (O101 * 2)</f>
        <v>4924</v>
      </c>
      <c r="Q101" s="19">
        <v>1000</v>
      </c>
      <c r="R101" s="18">
        <f>ROUNDDOWN(L101*0.2, -1)</f>
        <v>420</v>
      </c>
      <c r="S101" s="19">
        <f>ROUNDDOWN(L101*0.005, -1)</f>
        <v>10</v>
      </c>
      <c r="T101" s="15">
        <v>120</v>
      </c>
      <c r="U101" s="4">
        <v>1000</v>
      </c>
      <c r="V101" s="4">
        <v>100</v>
      </c>
      <c r="W101" s="4">
        <v>400</v>
      </c>
      <c r="X101" s="4">
        <v>400</v>
      </c>
      <c r="Y101" s="10">
        <v>800</v>
      </c>
      <c r="Z101" s="15">
        <v>67</v>
      </c>
      <c r="AA101" s="4">
        <v>9000</v>
      </c>
      <c r="AB101" s="4"/>
    </row>
    <row r="102" ht="15.75" customHeight="1">
      <c r="A102" s="4">
        <v>99</v>
      </c>
      <c r="B102" s="8">
        <v>101.0</v>
      </c>
      <c r="C102" s="9" t="b">
        <v>1</v>
      </c>
      <c r="D102" s="4" t="inlineStr">
        <is>
          <t>岡本城</t>
        </is>
      </c>
      <c r="E102" s="10" t="inlineStr">
        <is>
          <t>おかもとじょう</t>
        </is>
      </c>
      <c r="F102" s="11" t="str">
        <f t="array" ref="F102">IF(A102:A353="","",_xlfn.XLOOKUP(A102:A353,'参照_拠点'!A:A,'参照_拠点'!B:B,"見つかりません"))</f>
      </c>
      <c r="G102" s="12" t="str">
        <f t="array" ref="G102">IF(K102:K353="","",_xlfn.XLOOKUP(K102:K353,'参照_武将'!A:A,'参照_武将'!B:B,"見つかりません"))</f>
      </c>
      <c r="H102" s="14" t="str">
        <f t="array" ref="H102">IF(I102:I353="","",_xlfn.XLOOKUP(I102:I353,'参照_勢力'!A:A,'参照_勢力'!B:B,"見つかりません"))</f>
      </c>
      <c r="I102" s="15">
        <v>27</v>
      </c>
      <c r="J102" s="4">
        <v>0</v>
      </c>
      <c r="K102" s="10">
        <v>1027013</v>
      </c>
      <c r="L102" s="16">
        <f>(300 + ROUND((((P102/15)+(Y102/10))*(SQRT(AA102)/100+1)+O102)/((COUNTIF(I:I, I102)/30)+1), 0))-57</f>
        <v>2153</v>
      </c>
      <c r="M102" s="4">
        <v>50</v>
      </c>
      <c r="N102" s="10">
        <v>50</v>
      </c>
      <c r="O102" s="16">
        <f>ROUND(500+((AA102*0.01)+(Z102/3)+(V102/10))*6,0)</f>
        <v>1048</v>
      </c>
      <c r="P102" s="17">
        <f>ROUND((T102 * 2.5) * SQRT(Z102)
,0) + (O102 * 2)</f>
        <v>7096</v>
      </c>
      <c r="Q102" s="17">
        <v>1000</v>
      </c>
      <c r="R102" s="16">
        <f>ROUNDDOWN(L102*0.2, -1)</f>
        <v>430</v>
      </c>
      <c r="S102" s="17">
        <f>ROUNDDOWN(L102*0.005, -1)</f>
        <v>10</v>
      </c>
      <c r="T102" s="15">
        <v>250</v>
      </c>
      <c r="U102" s="4">
        <v>1000</v>
      </c>
      <c r="V102" s="4">
        <v>0</v>
      </c>
      <c r="W102" s="4">
        <v>0</v>
      </c>
      <c r="X102" s="4">
        <v>500</v>
      </c>
      <c r="Y102" s="10">
        <v>1000</v>
      </c>
      <c r="Z102" s="15">
        <v>64</v>
      </c>
      <c r="AA102" s="4">
        <v>7000</v>
      </c>
      <c r="AB102" s="4"/>
    </row>
    <row r="103" ht="15.75" customHeight="1">
      <c r="A103" s="4">
        <v>69</v>
      </c>
      <c r="B103" s="8">
        <v>102.0</v>
      </c>
      <c r="C103" s="9" t="b">
        <v>1</v>
      </c>
      <c r="D103" s="4" t="inlineStr">
        <is>
          <t>岩槻城</t>
        </is>
      </c>
      <c r="E103" s="10" t="inlineStr">
        <is>
          <t>いわつきじょう</t>
        </is>
      </c>
      <c r="F103" s="11" t="str">
        <f t="array" ref="F103">IF(A103:A354="","",_xlfn.XLOOKUP(A103:A354,'参照_拠点'!A:A,'参照_拠点'!B:B,"見つかりません"))</f>
      </c>
      <c r="G103" s="12" t="str">
        <f t="array" ref="G103">IF(K103:K354="","",_xlfn.XLOOKUP(K103:K354,'参照_武将'!A:A,'参照_武将'!B:B,"見つかりません"))</f>
      </c>
      <c r="H103" s="14" t="str">
        <f t="array" ref="H103">IF(I103:I354="","",_xlfn.XLOOKUP(I103:I354,'参照_勢力'!A:A,'参照_勢力'!B:B,"見つかりません"))</f>
      </c>
      <c r="I103" s="15">
        <v>4</v>
      </c>
      <c r="J103" s="4">
        <v>0</v>
      </c>
      <c r="K103" s="10">
        <v>1003021</v>
      </c>
      <c r="L103" s="18">
        <f>(300 + ROUND((((P103/15)+(Y103/10))*(SQRT(AA103)/100+1)+O103)/((COUNTIF(I:I, I103)/30)+1), 0))+49</f>
        <v>2267</v>
      </c>
      <c r="M103" s="4">
        <v>50</v>
      </c>
      <c r="N103" s="10">
        <v>50</v>
      </c>
      <c r="O103" s="18">
        <f>ROUND(500+((AA103*0.01)+(Z103/3)+(V103/10))*6,0)</f>
        <v>1400</v>
      </c>
      <c r="P103" s="19">
        <f>ROUND((T103 * 2.5) * SQRT(Z103)
,0) + (O103 * 2)</f>
        <v>7060</v>
      </c>
      <c r="Q103" s="19">
        <v>1000</v>
      </c>
      <c r="R103" s="18">
        <f>ROUNDDOWN(L103*0.2, -1)</f>
        <v>450</v>
      </c>
      <c r="S103" s="19">
        <f>ROUNDDOWN(L103*0.005, -1)</f>
        <v>10</v>
      </c>
      <c r="T103" s="15">
        <v>220</v>
      </c>
      <c r="U103" s="4">
        <v>900</v>
      </c>
      <c r="V103" s="4">
        <v>0</v>
      </c>
      <c r="W103" s="4">
        <v>0</v>
      </c>
      <c r="X103" s="4">
        <v>350</v>
      </c>
      <c r="Y103" s="10">
        <v>700</v>
      </c>
      <c r="Z103" s="15">
        <v>60</v>
      </c>
      <c r="AA103" s="4">
        <v>13000</v>
      </c>
      <c r="AB103" s="4"/>
    </row>
    <row r="104" ht="15.75" customHeight="1">
      <c r="A104" s="4">
        <v>67</v>
      </c>
      <c r="B104" s="8">
        <v>103.0</v>
      </c>
      <c r="C104" s="9" t="b">
        <v>1</v>
      </c>
      <c r="D104" s="4" t="inlineStr">
        <is>
          <t>江戸城</t>
        </is>
      </c>
      <c r="E104" s="10" t="inlineStr">
        <is>
          <t>えどじょう</t>
        </is>
      </c>
      <c r="F104" s="11" t="str">
        <f t="array" ref="F104">IF(A104:A355="","",_xlfn.XLOOKUP(A104:A355,'参照_拠点'!A:A,'参照_拠点'!B:B,"見つかりません"))</f>
      </c>
      <c r="G104" s="12" t="str">
        <f t="array" ref="G104">IF(K104:K355="","",_xlfn.XLOOKUP(K104:K355,'参照_武将'!A:A,'参照_武将'!B:B,"見つかりません"))</f>
      </c>
      <c r="H104" s="14" t="str">
        <f t="array" ref="H104">IF(I104:I355="","",_xlfn.XLOOKUP(I104:I355,'参照_勢力'!A:A,'参照_勢力'!B:B,"見つかりません"))</f>
      </c>
      <c r="I104" s="15">
        <v>4</v>
      </c>
      <c r="J104" s="4">
        <v>1</v>
      </c>
      <c r="K104" s="10">
        <v>1003073</v>
      </c>
      <c r="L104" s="16">
        <f>(300 + ROUND((((P104/15)+(Y104/10))*(SQRT(AA104)/100+1)+O104)/((COUNTIF(I:I, I104)/30)+1), 0))+42</f>
        <v>1990</v>
      </c>
      <c r="M104" s="4">
        <v>60</v>
      </c>
      <c r="N104" s="10">
        <v>60</v>
      </c>
      <c r="O104" s="16">
        <f>ROUND(500+((AA104*0.01)+(Z104/3)+(V104/10))*6,0)</f>
        <v>1084</v>
      </c>
      <c r="P104" s="17">
        <f>ROUND((T104 * 2.5) * SQRT(Z104)
,0) + (O104 * 2)</f>
        <v>6243</v>
      </c>
      <c r="Q104" s="17">
        <v>1000</v>
      </c>
      <c r="R104" s="16">
        <f>ROUNDDOWN(L104*0.35, -1)</f>
        <v>690</v>
      </c>
      <c r="S104" s="17">
        <f>ROUNDDOWN(L104*0.005, -1)</f>
        <v>0</v>
      </c>
      <c r="T104" s="15">
        <v>180</v>
      </c>
      <c r="U104" s="4">
        <v>1500</v>
      </c>
      <c r="V104" s="4">
        <v>0</v>
      </c>
      <c r="W104" s="4">
        <v>0</v>
      </c>
      <c r="X104" s="4">
        <v>350</v>
      </c>
      <c r="Y104" s="10">
        <v>1900</v>
      </c>
      <c r="Z104" s="15">
        <v>82</v>
      </c>
      <c r="AA104" s="4">
        <v>7000</v>
      </c>
      <c r="AB104" s="4"/>
    </row>
    <row r="105" ht="15.75" customHeight="1">
      <c r="A105" s="4">
        <v>41</v>
      </c>
      <c r="B105" s="8">
        <v>104.0</v>
      </c>
      <c r="C105" s="9" t="b">
        <v>1</v>
      </c>
      <c r="D105" s="4" t="inlineStr">
        <is>
          <t>忍城</t>
        </is>
      </c>
      <c r="E105" s="10" t="inlineStr">
        <is>
          <t>おしじょう</t>
        </is>
      </c>
      <c r="F105" s="11" t="str">
        <f t="array" ref="F105">IF(A105:A356="","",_xlfn.XLOOKUP(A105:A356,'参照_拠点'!A:A,'参照_拠点'!B:B,"見つかりません"))</f>
      </c>
      <c r="G105" s="12" t="str">
        <f t="array" ref="G105">IF(K105:K356="","",_xlfn.XLOOKUP(K105:K356,'参照_武将'!A:A,'参照_武将'!B:B,"見つかりません"))</f>
      </c>
      <c r="H105" s="14" t="str">
        <f t="array" ref="H105">IF(I105:I356="","",_xlfn.XLOOKUP(I105:I356,'参照_勢力'!A:A,'参照_勢力'!B:B,"見つかりません"))</f>
      </c>
      <c r="I105" s="15">
        <v>4</v>
      </c>
      <c r="J105" s="4">
        <v>4</v>
      </c>
      <c r="K105" s="10">
        <v>1030003</v>
      </c>
      <c r="L105" s="18">
        <f>(300 + ROUND((((P105/15)+(Y105/10))*(SQRT(AA105)/100+1)+O105)/((COUNTIF(I:I, I105)/30)+1), 0))+59</f>
        <v>2673</v>
      </c>
      <c r="M105" s="4">
        <v>50</v>
      </c>
      <c r="N105" s="10">
        <v>50</v>
      </c>
      <c r="O105" s="18">
        <f>ROUND(500+((AA105*0.01)+(Z105/3)+(V105/10))*6,0)</f>
        <v>1500</v>
      </c>
      <c r="P105" s="19">
        <f>ROUND((T105 * 2.5) * SQRT(Z105)
,0) + (O105 * 2)</f>
        <v>9248</v>
      </c>
      <c r="Q105" s="19">
        <v>1000</v>
      </c>
      <c r="R105" s="18">
        <f>ROUNDDOWN(L105*0.2, -1)</f>
        <v>530</v>
      </c>
      <c r="S105" s="19">
        <f>ROUNDDOWN(L105*0.005, -1)</f>
        <v>10</v>
      </c>
      <c r="T105" s="15">
        <v>310</v>
      </c>
      <c r="U105" s="4">
        <v>1100</v>
      </c>
      <c r="V105" s="4">
        <v>250</v>
      </c>
      <c r="W105" s="4">
        <v>900</v>
      </c>
      <c r="X105" s="4">
        <v>700</v>
      </c>
      <c r="Y105" s="10">
        <v>1400</v>
      </c>
      <c r="Z105" s="15">
        <v>65</v>
      </c>
      <c r="AA105" s="4">
        <v>12000</v>
      </c>
      <c r="AB105" s="4"/>
    </row>
    <row r="106" ht="15.75" customHeight="1">
      <c r="A106" s="4">
        <v>10</v>
      </c>
      <c r="B106" s="8">
        <v>105.0</v>
      </c>
      <c r="C106" s="9" t="b">
        <v>1</v>
      </c>
      <c r="D106" s="4" t="inlineStr">
        <is>
          <t>河越城</t>
        </is>
      </c>
      <c r="E106" s="10" t="inlineStr">
        <is>
          <t>かわごえじょう</t>
        </is>
      </c>
      <c r="F106" s="11" t="str">
        <f t="array" ref="F106">IF(A106:A357="","",_xlfn.XLOOKUP(A106:A357,'参照_拠点'!A:A,'参照_拠点'!B:B,"見つかりません"))</f>
      </c>
      <c r="G106" s="12" t="str">
        <f t="array" ref="G106">IF(K106:K357="","",_xlfn.XLOOKUP(K106:K357,'参照_武将'!A:A,'参照_武将'!B:B,"見つかりません"))</f>
      </c>
      <c r="H106" s="14" t="str">
        <f t="array" ref="H106">IF(I106:I357="","",_xlfn.XLOOKUP(I106:I357,'参照_勢力'!A:A,'参照_勢力'!B:B,"見つかりません"))</f>
      </c>
      <c r="I106" s="15">
        <v>4</v>
      </c>
      <c r="J106" s="4">
        <v>3</v>
      </c>
      <c r="K106" s="10">
        <v>1003051</v>
      </c>
      <c r="L106" s="16">
        <f>(300 + ROUND((((P106/15)+(Y106/10))*(SQRT(AA106)/100+1)+O106)/((COUNTIF(I:I, I106)/30)+1), 0))+48</f>
        <v>2235</v>
      </c>
      <c r="M106" s="4">
        <v>60</v>
      </c>
      <c r="N106" s="10">
        <v>60</v>
      </c>
      <c r="O106" s="16">
        <f>ROUND(500+((AA106*0.01)+(Z106/3)+(V106/10))*6,0)</f>
        <v>1270</v>
      </c>
      <c r="P106" s="17">
        <f>ROUND((T106 * 2.5) * SQRT(Z106)
,0) + (O106 * 2)</f>
        <v>7841</v>
      </c>
      <c r="Q106" s="17">
        <v>1000</v>
      </c>
      <c r="R106" s="16">
        <f>ROUNDDOWN(L106*0.35, -1)</f>
        <v>780</v>
      </c>
      <c r="S106" s="17">
        <f>ROUNDDOWN(L106*0.005, -1)</f>
        <v>10</v>
      </c>
      <c r="T106" s="15">
        <v>230</v>
      </c>
      <c r="U106" s="4">
        <v>1000</v>
      </c>
      <c r="V106" s="4">
        <v>0</v>
      </c>
      <c r="W106" s="4">
        <v>0</v>
      </c>
      <c r="X106" s="4">
        <v>500</v>
      </c>
      <c r="Y106" s="10">
        <v>1000</v>
      </c>
      <c r="Z106" s="15">
        <v>85</v>
      </c>
      <c r="AA106" s="4">
        <v>10000</v>
      </c>
      <c r="AB106" s="4"/>
    </row>
    <row r="107" ht="15.75" customHeight="1">
      <c r="A107" s="4">
        <v>97</v>
      </c>
      <c r="B107" s="8">
        <v>106.0</v>
      </c>
      <c r="C107" s="9" t="b">
        <v>1</v>
      </c>
      <c r="D107" s="4" t="inlineStr">
        <is>
          <t>八王子城</t>
        </is>
      </c>
      <c r="E107" s="10" t="inlineStr">
        <is>
          <t>はちおうじじょう</t>
        </is>
      </c>
      <c r="F107" s="11" t="str">
        <f t="array" ref="F107">IF(A107:A358="","",_xlfn.XLOOKUP(A107:A358,'参照_拠点'!A:A,'参照_拠点'!B:B,"見つかりません"))</f>
      </c>
      <c r="G107" s="12" t="str">
        <f t="array" ref="G107">IF(K107:K358="","",_xlfn.XLOOKUP(K107:K358,'参照_武将'!A:A,'参照_武将'!B:B,"見つかりません"))</f>
      </c>
      <c r="H107" s="14" t="str">
        <f t="array" ref="H107">IF(I107:I358="","",_xlfn.XLOOKUP(I107:I358,'参照_勢力'!A:A,'参照_勢力'!B:B,"見つかりません"))</f>
      </c>
      <c r="I107" s="15">
        <v>4</v>
      </c>
      <c r="J107" s="4">
        <v>0</v>
      </c>
      <c r="K107" s="10">
        <v>1003008</v>
      </c>
      <c r="L107" s="18">
        <f>(300 + ROUND((((P107/15)+(Y107/10))*(SQRT(AA107)/100+1)+O107)/((COUNTIF(I:I, I107)/30)+1), 0))+46</f>
        <v>2133</v>
      </c>
      <c r="M107" s="4">
        <v>60</v>
      </c>
      <c r="N107" s="10">
        <v>60</v>
      </c>
      <c r="O107" s="18">
        <f>ROUND(500+((AA107*0.01)+(Z107/3)+(V107/10))*6,0)</f>
        <v>1324</v>
      </c>
      <c r="P107" s="19">
        <f>ROUND((T107 * 2.5) * SQRT(Z107)
,0) + (O107 * 2)</f>
        <v>7402</v>
      </c>
      <c r="Q107" s="19">
        <v>1000</v>
      </c>
      <c r="R107" s="18">
        <f>ROUNDDOWN(L107*0.35, -1)</f>
        <v>740</v>
      </c>
      <c r="S107" s="19">
        <f>ROUNDDOWN(L107*0.005, -1)</f>
        <v>10</v>
      </c>
      <c r="T107" s="15">
        <v>210</v>
      </c>
      <c r="U107" s="4">
        <v>900</v>
      </c>
      <c r="V107" s="4">
        <v>200</v>
      </c>
      <c r="W107" s="4">
        <v>900</v>
      </c>
      <c r="X107" s="4">
        <v>250</v>
      </c>
      <c r="Y107" s="10">
        <v>500</v>
      </c>
      <c r="Z107" s="15">
        <v>82</v>
      </c>
      <c r="AA107" s="4">
        <v>9000</v>
      </c>
      <c r="AB107" s="4"/>
    </row>
    <row r="108" ht="15.75" customHeight="1">
      <c r="A108" s="4">
        <v>93</v>
      </c>
      <c r="B108" s="8">
        <v>107.0</v>
      </c>
      <c r="C108" s="9" t="b">
        <v>1</v>
      </c>
      <c r="D108" s="4" t="inlineStr">
        <is>
          <t>鉢形城</t>
        </is>
      </c>
      <c r="E108" s="10" t="inlineStr">
        <is>
          <t>はちがたじょう</t>
        </is>
      </c>
      <c r="F108" s="11" t="str">
        <f t="array" ref="F108">IF(A108:A359="","",_xlfn.XLOOKUP(A108:A359,'参照_拠点'!A:A,'参照_拠点'!B:B,"見つかりません"))</f>
      </c>
      <c r="G108" s="12" t="str">
        <f t="array" ref="G108">IF(K108:K359="","",_xlfn.XLOOKUP(K108:K359,'参照_武将'!A:A,'参照_武将'!B:B,"見つかりません"))</f>
      </c>
      <c r="H108" s="14" t="str">
        <f t="array" ref="H108">IF(I108:I359="","",_xlfn.XLOOKUP(I108:I359,'参照_勢力'!A:A,'参照_勢力'!B:B,"見つかりません"))</f>
      </c>
      <c r="I108" s="15">
        <v>4</v>
      </c>
      <c r="J108" s="4">
        <v>0</v>
      </c>
      <c r="K108" s="10">
        <v>1003007</v>
      </c>
      <c r="L108" s="16">
        <f>(300 + ROUND((((P108/15)+(Y108/10))*(SQRT(AA108)/100+1)+O108)/((COUNTIF(I:I, I108)/30)+1), 0))+55</f>
        <v>2472</v>
      </c>
      <c r="M108" s="4">
        <v>60</v>
      </c>
      <c r="N108" s="10">
        <v>60</v>
      </c>
      <c r="O108" s="16">
        <f>ROUND(500+((AA108*0.01)+(Z108/3)+(V108/10))*6,0)</f>
        <v>1374</v>
      </c>
      <c r="P108" s="17">
        <f>ROUND((T108 * 2.5) * SQRT(Z108)
,0) + (O108 * 2)</f>
        <v>9110</v>
      </c>
      <c r="Q108" s="17">
        <v>1000</v>
      </c>
      <c r="R108" s="16">
        <f>ROUNDDOWN(L108*0.35, -1)</f>
        <v>860</v>
      </c>
      <c r="S108" s="17">
        <f>ROUNDDOWN(L108*0.005, -1)</f>
        <v>10</v>
      </c>
      <c r="T108" s="15">
        <v>290</v>
      </c>
      <c r="U108" s="4">
        <v>1100</v>
      </c>
      <c r="V108" s="4">
        <v>100</v>
      </c>
      <c r="W108" s="4">
        <v>650</v>
      </c>
      <c r="X108" s="4">
        <v>500</v>
      </c>
      <c r="Y108" s="10">
        <v>1000</v>
      </c>
      <c r="Z108" s="15">
        <v>77</v>
      </c>
      <c r="AA108" s="4">
        <v>11000</v>
      </c>
      <c r="AB108" s="4"/>
    </row>
    <row r="109" ht="15.75" customHeight="1">
      <c r="A109" s="4">
        <v>14</v>
      </c>
      <c r="B109" s="8">
        <v>108.0</v>
      </c>
      <c r="C109" s="9" t="b">
        <v>1</v>
      </c>
      <c r="D109" s="4" t="inlineStr">
        <is>
          <t>小田原城</t>
        </is>
      </c>
      <c r="E109" s="10" t="inlineStr">
        <is>
          <t>おだわらじょう</t>
        </is>
      </c>
      <c r="F109" s="11" t="str">
        <f t="array" ref="F109">IF(A109:A360="","",_xlfn.XLOOKUP(A109:A360,'参照_拠点'!A:A,'参照_拠点'!B:B,"見つかりません"))</f>
      </c>
      <c r="G109" s="12" t="str">
        <f t="array" ref="G109">IF(K109:K360="","",_xlfn.XLOOKUP(K109:K360,'参照_武将'!A:A,'参照_武将'!B:B,"見つかりません"))</f>
      </c>
      <c r="H109" s="14" t="str">
        <f t="array" ref="H109">IF(I109:I360="","",_xlfn.XLOOKUP(I109:I360,'参照_勢力'!A:A,'参照_勢力'!B:B,"見つかりません"))</f>
      </c>
      <c r="I109" s="15">
        <v>4</v>
      </c>
      <c r="J109" s="4">
        <v>0</v>
      </c>
      <c r="K109" s="10">
        <v>1003004</v>
      </c>
      <c r="L109" s="18">
        <f>(300 + ROUND((((P109/15)+(Y109/10))*(SQRT(AA109)/100+1)+O109)/((COUNTIF(I:I, I109)/30)+1), 0))+99</f>
        <v>4248</v>
      </c>
      <c r="M109" s="4">
        <v>70</v>
      </c>
      <c r="N109" s="10">
        <v>70</v>
      </c>
      <c r="O109" s="18">
        <f>ROUND(500+((AA109*0.01)+(Z109/3)+(V109/10))*6,0)</f>
        <v>2174</v>
      </c>
      <c r="P109" s="19">
        <f>ROUND((T109 * 2.5) * SQRT(Z109)
,0) + (O109 * 2)</f>
        <v>13442</v>
      </c>
      <c r="Q109" s="19">
        <v>1000</v>
      </c>
      <c r="R109" s="18">
        <f>ROUNDDOWN(L109*0.35, -1)</f>
        <v>1480</v>
      </c>
      <c r="S109" s="19">
        <f>ROUNDDOWN(L109*0.005, -1)</f>
        <v>20</v>
      </c>
      <c r="T109" s="15">
        <v>390</v>
      </c>
      <c r="U109" s="4">
        <v>2500</v>
      </c>
      <c r="V109" s="4">
        <v>0</v>
      </c>
      <c r="W109" s="4">
        <v>0</v>
      </c>
      <c r="X109" s="4">
        <v>2000</v>
      </c>
      <c r="Y109" s="10">
        <v>2500</v>
      </c>
      <c r="Z109" s="15">
        <v>87</v>
      </c>
      <c r="AA109" s="4">
        <v>25000</v>
      </c>
      <c r="AB109" s="4"/>
    </row>
    <row r="110" ht="15.75" customHeight="1">
      <c r="A110" s="4">
        <v>236</v>
      </c>
      <c r="B110" s="8">
        <v>109.0</v>
      </c>
      <c r="C110" s="9" t="b">
        <v>1</v>
      </c>
      <c r="D110" s="4" t="inlineStr">
        <is>
          <t>玉縄城</t>
        </is>
      </c>
      <c r="E110" s="10" t="inlineStr">
        <is>
          <t>たまわなじょう</t>
        </is>
      </c>
      <c r="F110" s="11" t="str">
        <f t="array" ref="F110">IF(A110:A361="","",_xlfn.XLOOKUP(A110:A361,'参照_拠点'!A:A,'参照_拠点'!B:B,"見つかりません"))</f>
      </c>
      <c r="G110" s="12" t="str">
        <f t="array" ref="G110">IF(K110:K361="","",_xlfn.XLOOKUP(K110:K361,'参照_武将'!A:A,'参照_武将'!B:B,"見つかりません"))</f>
      </c>
      <c r="H110" s="14" t="str">
        <f t="array" ref="H110">IF(I110:I361="","",_xlfn.XLOOKUP(I110:I361,'参照_勢力'!A:A,'参照_勢力'!B:B,"見つかりません"))</f>
      </c>
      <c r="I110" s="15">
        <v>4</v>
      </c>
      <c r="J110" s="4">
        <v>2</v>
      </c>
      <c r="K110" s="10">
        <v>1003020</v>
      </c>
      <c r="L110" s="16">
        <f>(300 + ROUND((((P110/15)+(Y110/10))*(SQRT(AA110)/100+1)+O110)/((COUNTIF(I:I, I110)/30)+1), 0))+48</f>
        <v>2201</v>
      </c>
      <c r="M110" s="4">
        <v>60</v>
      </c>
      <c r="N110" s="10">
        <v>60</v>
      </c>
      <c r="O110" s="16">
        <f>ROUND(500+((AA110*0.01)+(Z110/3)+(V110/10))*6,0)</f>
        <v>1332</v>
      </c>
      <c r="P110" s="17">
        <f>ROUND((T110 * 2.5) * SQRT(Z110)
,0) + (O110 * 2)</f>
        <v>6837</v>
      </c>
      <c r="Q110" s="17">
        <v>1000</v>
      </c>
      <c r="R110" s="16">
        <f>ROUNDDOWN(L110*0.35, -1)</f>
        <v>770</v>
      </c>
      <c r="S110" s="17">
        <f>ROUNDDOWN(L110*0.005, -1)</f>
        <v>10</v>
      </c>
      <c r="T110" s="15">
        <v>180</v>
      </c>
      <c r="U110" s="4">
        <v>1000</v>
      </c>
      <c r="V110" s="4">
        <v>0</v>
      </c>
      <c r="W110" s="4">
        <v>0</v>
      </c>
      <c r="X110" s="4">
        <v>500</v>
      </c>
      <c r="Y110" s="10">
        <v>1000</v>
      </c>
      <c r="Z110" s="15">
        <v>86</v>
      </c>
      <c r="AA110" s="4">
        <v>11000</v>
      </c>
      <c r="AB110" s="4"/>
    </row>
    <row r="111" ht="15.75" customHeight="1">
      <c r="A111" s="4">
        <v>98</v>
      </c>
      <c r="B111" s="8">
        <v>110.0</v>
      </c>
      <c r="C111" s="9" t="b">
        <v>1</v>
      </c>
      <c r="D111" s="4" t="inlineStr">
        <is>
          <t>韮山城</t>
        </is>
      </c>
      <c r="E111" s="10" t="inlineStr">
        <is>
          <t>にらやまじょう</t>
        </is>
      </c>
      <c r="F111" s="11" t="str">
        <f t="array" ref="F111">IF(A111:A362="","",_xlfn.XLOOKUP(A111:A362,'参照_拠点'!A:A,'参照_拠点'!B:B,"見つかりません"))</f>
      </c>
      <c r="G111" s="12" t="str">
        <f t="array" ref="G111">IF(K111:K362="","",_xlfn.XLOOKUP(K111:K362,'参照_武将'!A:A,'参照_武将'!B:B,"見つかりません"))</f>
      </c>
      <c r="H111" s="14" t="str">
        <f t="array" ref="H111">IF(I111:I362="","",_xlfn.XLOOKUP(I111:I362,'参照_勢力'!A:A,'参照_勢力'!B:B,"見つかりません"))</f>
      </c>
      <c r="I111" s="15">
        <v>4</v>
      </c>
      <c r="J111" s="4">
        <v>0</v>
      </c>
      <c r="K111" s="10">
        <v>1003009</v>
      </c>
      <c r="L111" s="18">
        <f>(300 + ROUND((((P111/15)+(Y111/10))*(SQRT(AA111)/100+1)+O111)/((COUNTIF(I:I, I111)/30)+1), 0))+37</f>
        <v>1757</v>
      </c>
      <c r="M111" s="4">
        <v>60</v>
      </c>
      <c r="N111" s="10">
        <v>60</v>
      </c>
      <c r="O111" s="18">
        <f>ROUND(500+((AA111*0.01)+(Z111/3)+(V111/10))*6,0)</f>
        <v>1022</v>
      </c>
      <c r="P111" s="19">
        <f>ROUND((T111 * 2.5) * SQRT(Z111)
,0) + (O111 * 2)</f>
        <v>6319</v>
      </c>
      <c r="Q111" s="19">
        <v>1000</v>
      </c>
      <c r="R111" s="18">
        <f>ROUNDDOWN(L111*0.35, -1)</f>
        <v>610</v>
      </c>
      <c r="S111" s="19">
        <f>ROUNDDOWN(L111*0.005, -1)</f>
        <v>0</v>
      </c>
      <c r="T111" s="15">
        <v>190</v>
      </c>
      <c r="U111" s="4">
        <v>800</v>
      </c>
      <c r="V111" s="4">
        <v>0</v>
      </c>
      <c r="W111" s="4">
        <v>800</v>
      </c>
      <c r="X111" s="4">
        <v>350</v>
      </c>
      <c r="Y111" s="10">
        <v>700</v>
      </c>
      <c r="Z111" s="15">
        <v>81</v>
      </c>
      <c r="AA111" s="4">
        <v>6000</v>
      </c>
      <c r="AB111" s="4"/>
    </row>
    <row r="112" ht="15.75" customHeight="1">
      <c r="A112" s="4">
        <v>101</v>
      </c>
      <c r="B112" s="8">
        <v>111.0</v>
      </c>
      <c r="C112" s="9" t="b">
        <v>1</v>
      </c>
      <c r="D112" s="4" t="inlineStr">
        <is>
          <t>興国寺城</t>
        </is>
      </c>
      <c r="E112" s="10" t="inlineStr">
        <is>
          <t>こうこくじじょう</t>
        </is>
      </c>
      <c r="F112" s="11" t="str">
        <f t="array" ref="F112">IF(A112:A363="","",_xlfn.XLOOKUP(A112:A363,'参照_拠点'!A:A,'参照_拠点'!B:B,"見つかりません"))</f>
      </c>
      <c r="G112" s="12" t="str">
        <f t="array" ref="G112">IF(K112:K363="","",_xlfn.XLOOKUP(K112:K363,'参照_武将'!A:A,'参照_武将'!B:B,"見つかりません"))</f>
      </c>
      <c r="H112" s="14" t="str">
        <f t="array" ref="H112">IF(I112:I363="","",_xlfn.XLOOKUP(I112:I363,'参照_勢力'!A:A,'参照_勢力'!B:B,"見つかりません"))</f>
      </c>
      <c r="I112" s="15">
        <v>3</v>
      </c>
      <c r="J112" s="4">
        <v>0</v>
      </c>
      <c r="K112" s="10">
        <v>1004055</v>
      </c>
      <c r="L112" s="16">
        <f>300 + ROUND((((P112/15)+(Y112/10))*(SQRT(AA112)/100+1)+O112)/((COUNTIF(I:I, I112)/30)+1), 0)</f>
        <v>2252</v>
      </c>
      <c r="M112" s="4">
        <v>60</v>
      </c>
      <c r="N112" s="10">
        <v>60</v>
      </c>
      <c r="O112" s="16">
        <f>(ROUND(500+((AA112*0.01)+(Z112/3)+(V112/10))*6,0))+200</f>
        <v>1608</v>
      </c>
      <c r="P112" s="17">
        <f>ROUND((T112 * 2.5) * SQRT(Z112)
,0) + (O112 * 2)</f>
        <v>7616</v>
      </c>
      <c r="Q112" s="17">
        <v>1000</v>
      </c>
      <c r="R112" s="16">
        <f>ROUNDDOWN(L112*0.35, -1)</f>
        <v>780</v>
      </c>
      <c r="S112" s="17">
        <f>ROUNDDOWN(L112*0.005, -1)</f>
        <v>10</v>
      </c>
      <c r="T112" s="15">
        <v>220</v>
      </c>
      <c r="U112" s="4">
        <v>900</v>
      </c>
      <c r="V112" s="4">
        <v>100</v>
      </c>
      <c r="W112" s="4">
        <v>800</v>
      </c>
      <c r="X112" s="4">
        <v>300</v>
      </c>
      <c r="Y112" s="10">
        <v>600</v>
      </c>
      <c r="Z112" s="15">
        <v>64</v>
      </c>
      <c r="AA112" s="4">
        <v>12000</v>
      </c>
      <c r="AB112" s="4"/>
    </row>
    <row r="113" ht="15.75" customHeight="1">
      <c r="A113" s="4">
        <v>13</v>
      </c>
      <c r="B113" s="8">
        <v>112.0</v>
      </c>
      <c r="C113" s="9" t="b">
        <v>1</v>
      </c>
      <c r="D113" s="4" t="inlineStr">
        <is>
          <t>駿府城</t>
        </is>
      </c>
      <c r="E113" s="10" t="inlineStr">
        <is>
          <t>すんぷじょう</t>
        </is>
      </c>
      <c r="F113" s="11" t="str">
        <f t="array" ref="F113">IF(A113:A364="","",_xlfn.XLOOKUP(A113:A364,'参照_拠点'!A:A,'参照_拠点'!B:B,"見つかりません"))</f>
      </c>
      <c r="G113" s="12" t="str">
        <f t="array" ref="G113">IF(K113:K364="","",_xlfn.XLOOKUP(K113:K364,'参照_武将'!A:A,'参照_武将'!B:B,"見つかりません"))</f>
      </c>
      <c r="H113" s="14" t="str">
        <f t="array" ref="H113">IF(I113:I364="","",_xlfn.XLOOKUP(I113:I364,'参照_勢力'!A:A,'参照_勢力'!B:B,"見つかりません"))</f>
      </c>
      <c r="I113" s="15">
        <v>3</v>
      </c>
      <c r="J113" s="4">
        <v>0</v>
      </c>
      <c r="K113" s="10">
        <v>1004053</v>
      </c>
      <c r="L113" s="18">
        <f>300 + ROUND((((P113/15)+(Y113/10))*(SQRT(AA113)/100+1)+O113)/((COUNTIF(I:I, I113)/30)+1), 0)</f>
        <v>4463</v>
      </c>
      <c r="M113" s="4">
        <v>70</v>
      </c>
      <c r="N113" s="10">
        <v>70</v>
      </c>
      <c r="O113" s="18">
        <f>(ROUND(500+((AA113*0.01)+(Z113/3)+(V113/10))*6,0))+500</f>
        <v>3032</v>
      </c>
      <c r="P113" s="19">
        <f>(ROUND((T113 * 2.5) * SQRT(Z113)
,0) + (O113 * 2))+2528</f>
        <v>14490</v>
      </c>
      <c r="Q113" s="19">
        <v>1000</v>
      </c>
      <c r="R113" s="18">
        <f>ROUNDDOWN(L113*0.35, -1)</f>
        <v>1560</v>
      </c>
      <c r="S113" s="19">
        <f>ROUNDDOWN(L113*0.005, -1)</f>
        <v>20</v>
      </c>
      <c r="T113" s="15">
        <v>280</v>
      </c>
      <c r="U113" s="4">
        <v>2000</v>
      </c>
      <c r="V113" s="4">
        <v>250</v>
      </c>
      <c r="W113" s="4">
        <v>1400</v>
      </c>
      <c r="X113" s="4">
        <v>600</v>
      </c>
      <c r="Y113" s="10">
        <v>1200</v>
      </c>
      <c r="Z113" s="15">
        <v>71</v>
      </c>
      <c r="AA113" s="4">
        <v>29000</v>
      </c>
      <c r="AB113" s="4"/>
    </row>
    <row r="114" ht="15.75" customHeight="1">
      <c r="A114" s="4">
        <v>54</v>
      </c>
      <c r="B114" s="8">
        <v>113.0</v>
      </c>
      <c r="C114" s="9" t="b">
        <v>1</v>
      </c>
      <c r="D114" s="4" t="inlineStr">
        <is>
          <t>犬居城</t>
        </is>
      </c>
      <c r="E114" s="10" t="inlineStr">
        <is>
          <t>いぬいじょう</t>
        </is>
      </c>
      <c r="F114" s="11" t="str">
        <f t="array" ref="F114">IF(A114:A365="","",_xlfn.XLOOKUP(A114:A365,'参照_拠点'!A:A,'参照_拠点'!B:B,"見つかりません"))</f>
      </c>
      <c r="G114" s="12" t="str">
        <f t="array" ref="G114">IF(K114:K365="","",_xlfn.XLOOKUP(K114:K365,'参照_武将'!A:A,'参照_武将'!B:B,"見つかりません"))</f>
      </c>
      <c r="H114" s="14" t="str">
        <f t="array" ref="H114">IF(I114:I365="","",_xlfn.XLOOKUP(I114:I365,'参照_勢力'!A:A,'参照_勢力'!B:B,"見つかりません"))</f>
      </c>
      <c r="I114" s="15">
        <v>301</v>
      </c>
      <c r="J114" s="4">
        <v>0</v>
      </c>
      <c r="K114" s="10">
        <v>1004038</v>
      </c>
      <c r="L114" s="16">
        <f>300 + ROUND((((P114/15)+(Y114/10))*(SQRT(AA114)/100+1)+O114)/((COUNTIF(I:I, I114)/30)+1), 0)</f>
        <v>2550</v>
      </c>
      <c r="M114" s="4">
        <v>60</v>
      </c>
      <c r="N114" s="10">
        <v>60</v>
      </c>
      <c r="O114" s="16">
        <f>ROUND(500+((AA114*0.01)+(Z114/3)+(V114/10))*6,0)</f>
        <v>1524</v>
      </c>
      <c r="P114" s="17">
        <f>ROUND((T114 * 2.5) * SQRT(Z114)
,0) + (O114 * 2)</f>
        <v>7182</v>
      </c>
      <c r="Q114" s="17">
        <v>1000</v>
      </c>
      <c r="R114" s="16">
        <f>ROUNDDOWN(L114*0.35, -1)</f>
        <v>890</v>
      </c>
      <c r="S114" s="17">
        <f>ROUNDDOWN(L114*0.005, -1)</f>
        <v>10</v>
      </c>
      <c r="T114" s="15">
        <v>210</v>
      </c>
      <c r="U114" s="4">
        <v>800</v>
      </c>
      <c r="V114" s="4">
        <v>100</v>
      </c>
      <c r="W114" s="4">
        <v>600</v>
      </c>
      <c r="X114" s="4">
        <v>300</v>
      </c>
      <c r="Y114" s="10">
        <v>600</v>
      </c>
      <c r="Z114" s="15">
        <v>62</v>
      </c>
      <c r="AA114" s="4">
        <v>14000</v>
      </c>
      <c r="AB114" s="4"/>
    </row>
    <row r="115" ht="15.75" customHeight="1">
      <c r="A115" s="4">
        <v>71</v>
      </c>
      <c r="B115" s="8">
        <v>114.0</v>
      </c>
      <c r="C115" s="9" t="b">
        <v>1</v>
      </c>
      <c r="D115" s="4" t="inlineStr">
        <is>
          <t>高天神城</t>
        </is>
      </c>
      <c r="E115" s="10" t="inlineStr">
        <is>
          <t>たかてんじんじょう</t>
        </is>
      </c>
      <c r="F115" s="11" t="str">
        <f t="array" ref="F115">IF(A115:A366="","",_xlfn.XLOOKUP(A115:A366,'参照_拠点'!A:A,'参照_拠点'!B:B,"見つかりません"))</f>
      </c>
      <c r="G115" s="12" t="str">
        <f t="array" ref="G115">IF(K115:K366="","",_xlfn.XLOOKUP(K115:K366,'参照_武将'!A:A,'参照_武将'!B:B,"見つかりません"))</f>
      </c>
      <c r="H115" s="14" t="str">
        <f t="array" ref="H115">IF(I115:I366="","",_xlfn.XLOOKUP(I115:I366,'参照_勢力'!A:A,'参照_勢力'!B:B,"見つかりません"))</f>
      </c>
      <c r="I115" s="15">
        <v>301</v>
      </c>
      <c r="J115" s="4">
        <v>0</v>
      </c>
      <c r="K115" s="10">
        <v>1004048</v>
      </c>
      <c r="L115" s="18">
        <f>300 + ROUND((((P115/15)+(Y115/10))*(SQRT(AA115)/100+1)+O115)/((COUNTIF(I:I, I115)/30)+1), 0)</f>
        <v>2753</v>
      </c>
      <c r="M115" s="4">
        <v>60</v>
      </c>
      <c r="N115" s="10">
        <v>60</v>
      </c>
      <c r="O115" s="18">
        <f>ROUND(500+((AA115*0.01)+(Z115/3)+(V115/10))*6,0)</f>
        <v>1620</v>
      </c>
      <c r="P115" s="19">
        <f>ROUND((T115 * 2.5) * SQRT(Z115)
,0) + (O115 * 2)</f>
        <v>7876</v>
      </c>
      <c r="Q115" s="19">
        <v>1000</v>
      </c>
      <c r="R115" s="18">
        <f>ROUNDDOWN(L115*0.35, -1)</f>
        <v>960</v>
      </c>
      <c r="S115" s="19">
        <f>ROUNDDOWN(L115*0.005, -1)</f>
        <v>10</v>
      </c>
      <c r="T115" s="15">
        <v>230</v>
      </c>
      <c r="U115" s="4">
        <v>1000</v>
      </c>
      <c r="V115" s="4">
        <v>150</v>
      </c>
      <c r="W115" s="4">
        <v>600</v>
      </c>
      <c r="X115" s="4">
        <v>350</v>
      </c>
      <c r="Y115" s="10">
        <v>700</v>
      </c>
      <c r="Z115" s="15">
        <v>65</v>
      </c>
      <c r="AA115" s="4">
        <v>15000</v>
      </c>
      <c r="AB115" s="4"/>
    </row>
    <row r="116" ht="15.75" customHeight="1">
      <c r="A116" s="4">
        <v>12</v>
      </c>
      <c r="B116" s="8">
        <v>115.0</v>
      </c>
      <c r="C116" s="9" t="b">
        <v>1</v>
      </c>
      <c r="D116" s="4" t="inlineStr">
        <is>
          <t>浜松城</t>
        </is>
      </c>
      <c r="E116" s="10" t="inlineStr">
        <is>
          <t>はままつじょう</t>
        </is>
      </c>
      <c r="F116" s="11" t="str">
        <f t="array" ref="F116">IF(A116:A367="","",_xlfn.XLOOKUP(A116:A367,'参照_拠点'!A:A,'参照_拠点'!B:B,"見つかりません"))</f>
      </c>
      <c r="G116" s="12" t="str">
        <f t="array" ref="G116">IF(K116:K367="","",_xlfn.XLOOKUP(K116:K367,'参照_武将'!A:A,'参照_武将'!B:B,"見つかりません"))</f>
      </c>
      <c r="H116" s="14" t="str">
        <f t="array" ref="H116">IF(I116:I367="","",_xlfn.XLOOKUP(I116:I367,'参照_勢力'!A:A,'参照_勢力'!B:B,"見つかりません"))</f>
      </c>
      <c r="I116" s="15">
        <v>301</v>
      </c>
      <c r="J116" s="4">
        <v>0</v>
      </c>
      <c r="K116" s="10">
        <v>1301006</v>
      </c>
      <c r="L116" s="16">
        <f>(300 + ROUND((((P116/15)+(Y116/10))*(SQRT(AA116)/100+1)+O116)/((COUNTIF(I:I, I116)/30)+1), 0))-209</f>
        <v>3743</v>
      </c>
      <c r="M116" s="4">
        <v>60</v>
      </c>
      <c r="N116" s="10">
        <v>60</v>
      </c>
      <c r="O116" s="16">
        <f>ROUND(500+((AA116*0.01)+(Z116/3)+(V116/10))*6,0)</f>
        <v>2076</v>
      </c>
      <c r="P116" s="17">
        <f>(ROUND((T116 * 2.5) * SQRT(Z116)
,0) + (O116 * 2))-1237</f>
        <v>10749</v>
      </c>
      <c r="Q116" s="17">
        <v>1000</v>
      </c>
      <c r="R116" s="16">
        <f>ROUNDDOWN(L116*0.35, -1)</f>
        <v>1310</v>
      </c>
      <c r="S116" s="17">
        <f>ROUNDDOWN(L116*0.005, -1)</f>
        <v>10</v>
      </c>
      <c r="T116" s="15">
        <v>380</v>
      </c>
      <c r="U116" s="4">
        <v>2300</v>
      </c>
      <c r="V116" s="4">
        <v>100</v>
      </c>
      <c r="W116" s="4">
        <v>700</v>
      </c>
      <c r="X116" s="4">
        <v>600</v>
      </c>
      <c r="Y116" s="10">
        <v>2000</v>
      </c>
      <c r="Z116" s="15">
        <v>68</v>
      </c>
      <c r="AA116" s="4">
        <v>23000</v>
      </c>
      <c r="AB116" s="4"/>
    </row>
    <row r="117" ht="15.75" customHeight="1">
      <c r="A117" s="4">
        <v>48</v>
      </c>
      <c r="B117" s="8">
        <v>116.0</v>
      </c>
      <c r="C117" s="9" t="b">
        <v>1</v>
      </c>
      <c r="D117" s="4" t="inlineStr">
        <is>
          <t>岡崎城</t>
        </is>
      </c>
      <c r="E117" s="10" t="inlineStr">
        <is>
          <t>おかざきじょう</t>
        </is>
      </c>
      <c r="F117" s="11" t="str">
        <f t="array" ref="F117">IF(A117:A368="","",_xlfn.XLOOKUP(A117:A368,'参照_拠点'!A:A,'参照_拠点'!B:B,"見つかりません"))</f>
      </c>
      <c r="G117" s="12" t="str">
        <f t="array" ref="G117">IF(K117:K368="","",_xlfn.XLOOKUP(K117:K368,'参照_武将'!A:A,'参照_武将'!B:B,"見つかりません"))</f>
      </c>
      <c r="H117" s="14" t="str">
        <f t="array" ref="H117">IF(I117:I368="","",_xlfn.XLOOKUP(I117:I368,'参照_勢力'!A:A,'参照_勢力'!B:B,"見つかりません"))</f>
      </c>
      <c r="I117" s="15">
        <v>301</v>
      </c>
      <c r="J117" s="4">
        <v>0</v>
      </c>
      <c r="K117" s="10">
        <v>1301007</v>
      </c>
      <c r="L117" s="18">
        <f>300 + ROUND((((P117/15)+(Y117/10))*(SQRT(AA117)/100+1)+O117)/((COUNTIF(I:I, I117)/30)+1), 0)</f>
        <v>4179</v>
      </c>
      <c r="M117" s="4">
        <v>70</v>
      </c>
      <c r="N117" s="10">
        <v>60</v>
      </c>
      <c r="O117" s="18">
        <f>ROUND(500+((AA117*0.01)+(Z117/3)+(V117/10))*6,0)</f>
        <v>2246</v>
      </c>
      <c r="P117" s="19">
        <f>(ROUND((T117 * 2.5) * SQRT(Z117)
,0) + (O117 * 2))+1190</f>
        <v>12032</v>
      </c>
      <c r="Q117" s="19">
        <v>1000</v>
      </c>
      <c r="R117" s="18">
        <f>ROUNDDOWN(L117*0.35, -1)</f>
        <v>1460</v>
      </c>
      <c r="S117" s="19">
        <f>ROUNDDOWN(L117*0.005, -1)</f>
        <v>20</v>
      </c>
      <c r="T117" s="15">
        <v>320</v>
      </c>
      <c r="U117" s="4">
        <v>1700</v>
      </c>
      <c r="V117" s="4">
        <v>100</v>
      </c>
      <c r="W117" s="4">
        <v>500</v>
      </c>
      <c r="X117" s="4">
        <v>400</v>
      </c>
      <c r="Y117" s="10">
        <v>1200</v>
      </c>
      <c r="Z117" s="15">
        <v>63</v>
      </c>
      <c r="AA117" s="4">
        <v>26000</v>
      </c>
      <c r="AB117" s="4"/>
    </row>
    <row r="118" ht="15.75" customHeight="1">
      <c r="A118" s="4">
        <v>45</v>
      </c>
      <c r="B118" s="8">
        <v>117.0</v>
      </c>
      <c r="C118" s="9" t="b">
        <v>1</v>
      </c>
      <c r="D118" s="4" t="inlineStr">
        <is>
          <t>長篠城</t>
        </is>
      </c>
      <c r="E118" s="10" t="inlineStr">
        <is>
          <t>ながしのじょう</t>
        </is>
      </c>
      <c r="F118" s="11" t="str">
        <f t="array" ref="F118">IF(A118:A369="","",_xlfn.XLOOKUP(A118:A369,'参照_拠点'!A:A,'参照_拠点'!B:B,"見つかりません"))</f>
      </c>
      <c r="G118" s="12" t="str">
        <f t="array" ref="G118">IF(K118:K369="","",_xlfn.XLOOKUP(K118:K369,'参照_武将'!A:A,'参照_武将'!B:B,"見つかりません"))</f>
      </c>
      <c r="H118" s="14" t="str">
        <f t="array" ref="H118">IF(I118:I369="","",_xlfn.XLOOKUP(I118:I369,'参照_勢力'!A:A,'参照_勢力'!B:B,"見つかりません"))</f>
      </c>
      <c r="I118" s="15">
        <v>301</v>
      </c>
      <c r="J118" s="4">
        <v>0</v>
      </c>
      <c r="K118" s="10">
        <v>1301045</v>
      </c>
      <c r="L118" s="16">
        <f>300 + ROUND((((P118/15)+(Y118/10))*(SQRT(AA118)/100+1)+O118)/((COUNTIF(I:I, I118)/30)+1), 0)</f>
        <v>2017</v>
      </c>
      <c r="M118" s="4">
        <v>60</v>
      </c>
      <c r="N118" s="10">
        <v>60</v>
      </c>
      <c r="O118" s="16">
        <f>ROUND(500+((AA118*0.01)+(Z118/3)+(V118/10))*6,0)</f>
        <v>1094</v>
      </c>
      <c r="P118" s="17">
        <f>ROUND((T118 * 2.5) * SQRT(Z118)
,0) + (O118 * 2)</f>
        <v>6152</v>
      </c>
      <c r="Q118" s="17">
        <v>1000</v>
      </c>
      <c r="R118" s="16">
        <f>ROUNDDOWN(L118*0.35, -1)</f>
        <v>700</v>
      </c>
      <c r="S118" s="17">
        <f>ROUNDDOWN(L118*0.005, -1)</f>
        <v>10</v>
      </c>
      <c r="T118" s="15">
        <v>210</v>
      </c>
      <c r="U118" s="4">
        <v>800</v>
      </c>
      <c r="V118" s="4">
        <v>0</v>
      </c>
      <c r="W118" s="4">
        <v>0</v>
      </c>
      <c r="X118" s="4">
        <v>500</v>
      </c>
      <c r="Y118" s="10">
        <v>1000</v>
      </c>
      <c r="Z118" s="15">
        <v>57</v>
      </c>
      <c r="AA118" s="4">
        <v>8000</v>
      </c>
      <c r="AB118" s="4"/>
    </row>
    <row r="119" ht="15.75" customHeight="1">
      <c r="A119" s="4">
        <v>100</v>
      </c>
      <c r="B119" s="8">
        <v>118.0</v>
      </c>
      <c r="C119" s="9" t="b">
        <v>1</v>
      </c>
      <c r="D119" s="4" t="inlineStr">
        <is>
          <t>吉田城</t>
        </is>
      </c>
      <c r="E119" s="10" t="inlineStr">
        <is>
          <t>よしだじょう</t>
        </is>
      </c>
      <c r="F119" s="11" t="str">
        <f t="array" ref="F119">IF(A119:A370="","",_xlfn.XLOOKUP(A119:A370,'参照_拠点'!A:A,'参照_拠点'!B:B,"見つかりません"))</f>
      </c>
      <c r="G119" s="12" t="str">
        <f t="array" ref="G119">IF(K119:K370="","",_xlfn.XLOOKUP(K119:K370,'参照_武将'!A:A,'参照_武将'!B:B,"見つかりません"))</f>
      </c>
      <c r="H119" s="14" t="str">
        <f t="array" ref="H119">IF(I119:I370="","",_xlfn.XLOOKUP(I119:I370,'参照_勢力'!A:A,'参照_勢力'!B:B,"見つかりません"))</f>
      </c>
      <c r="I119" s="15">
        <v>301</v>
      </c>
      <c r="J119" s="4">
        <v>0</v>
      </c>
      <c r="K119" s="10">
        <v>1301077</v>
      </c>
      <c r="L119" s="18">
        <f>300 + ROUND((((P119/15)+(Y119/10))*(SQRT(AA119)/100+1)+O119)/((COUNTIF(I:I, I119)/30)+1), 0)</f>
        <v>2867</v>
      </c>
      <c r="M119" s="4">
        <v>70</v>
      </c>
      <c r="N119" s="10">
        <v>60</v>
      </c>
      <c r="O119" s="18">
        <f>ROUND(500+((AA119*0.01)+(Z119/3)+(V119/10))*6,0)</f>
        <v>1586</v>
      </c>
      <c r="P119" s="19">
        <f>ROUND((T119 * 2.5) * SQRT(Z119)
,0) + (O119 * 2)</f>
        <v>8728</v>
      </c>
      <c r="Q119" s="19">
        <v>1000</v>
      </c>
      <c r="R119" s="18">
        <f>ROUNDDOWN(L119*0.35, -1)</f>
        <v>1000</v>
      </c>
      <c r="S119" s="19">
        <f>ROUNDDOWN(L119*0.005, -1)</f>
        <v>10</v>
      </c>
      <c r="T119" s="15">
        <v>280</v>
      </c>
      <c r="U119" s="4">
        <v>1300</v>
      </c>
      <c r="V119" s="4">
        <v>100</v>
      </c>
      <c r="W119" s="4">
        <v>500</v>
      </c>
      <c r="X119" s="4">
        <v>450</v>
      </c>
      <c r="Y119" s="10">
        <v>900</v>
      </c>
      <c r="Z119" s="15">
        <v>63</v>
      </c>
      <c r="AA119" s="4">
        <v>15000</v>
      </c>
      <c r="AB119" s="4"/>
    </row>
    <row r="120" ht="15.75" customHeight="1">
      <c r="A120" s="4">
        <v>73</v>
      </c>
      <c r="B120" s="8">
        <v>119.0</v>
      </c>
      <c r="C120" s="9" t="b">
        <v>1</v>
      </c>
      <c r="D120" s="4" t="inlineStr">
        <is>
          <t>犬山城</t>
        </is>
      </c>
      <c r="E120" s="10" t="inlineStr">
        <is>
          <t>いぬやまじょう</t>
        </is>
      </c>
      <c r="F120" s="11" t="str">
        <f t="array" ref="F120">IF(A120:A371="","",_xlfn.XLOOKUP(A120:A371,'参照_拠点'!A:A,'参照_拠点'!B:B,"見つかりません"))</f>
      </c>
      <c r="G120" s="12" t="str">
        <f t="array" ref="G120">IF(K120:K371="","",_xlfn.XLOOKUP(K120:K371,'参照_武将'!A:A,'参照_武将'!B:B,"見つかりません"))</f>
      </c>
      <c r="H120" s="14" t="str">
        <f t="array" ref="H120">IF(I120:I371="","",_xlfn.XLOOKUP(I120:I371,'参照_勢力'!A:A,'参照_勢力'!B:B,"見つかりません"))</f>
      </c>
      <c r="I120" s="15">
        <v>1</v>
      </c>
      <c r="J120" s="4">
        <v>0</v>
      </c>
      <c r="K120" s="10">
        <v>1006034</v>
      </c>
      <c r="L120" s="16">
        <f>(300 + ROUND((((P120/15)+(Y120/10))*(SQRT(AA120)/100+1)+O120)/((COUNTIF(I:I, I120)/30)+1), 0))+26</f>
        <v>1754</v>
      </c>
      <c r="M120" s="4">
        <v>50</v>
      </c>
      <c r="N120" s="10">
        <v>60</v>
      </c>
      <c r="O120" s="16">
        <f>ROUND(500+((AA120*0.01)+(Z120/3)+(V120/10))*6,0)</f>
        <v>1336</v>
      </c>
      <c r="P120" s="17">
        <f>ROUND((T120 * 2.5) * SQRT(Z120)
,0) + (O120 * 2)</f>
        <v>7585</v>
      </c>
      <c r="Q120" s="17">
        <v>1000</v>
      </c>
      <c r="R120" s="16">
        <f>ROUNDDOWN(L120*0.3, -1)</f>
        <v>520</v>
      </c>
      <c r="S120" s="17">
        <f>ROUNDDOWN(L120*0.005, -1)</f>
        <v>0</v>
      </c>
      <c r="T120" s="15">
        <v>230</v>
      </c>
      <c r="U120" s="4">
        <v>1100</v>
      </c>
      <c r="V120" s="4">
        <v>50</v>
      </c>
      <c r="W120" s="4">
        <v>400</v>
      </c>
      <c r="X120" s="4">
        <v>600</v>
      </c>
      <c r="Y120" s="10">
        <v>1200</v>
      </c>
      <c r="Z120" s="15">
        <v>73</v>
      </c>
      <c r="AA120" s="4">
        <v>11000</v>
      </c>
      <c r="AB120" s="4"/>
    </row>
    <row r="121" ht="15.75" customHeight="1">
      <c r="A121" s="4">
        <v>7</v>
      </c>
      <c r="B121" s="8">
        <v>120.0</v>
      </c>
      <c r="C121" s="9" t="b">
        <v>1</v>
      </c>
      <c r="D121" s="4" t="inlineStr">
        <is>
          <t>清洲城</t>
        </is>
      </c>
      <c r="E121" s="10" t="inlineStr">
        <is>
          <t>きよすじょう</t>
        </is>
      </c>
      <c r="F121" s="11" t="str">
        <f t="array" ref="F121">IF(A121:A372="","",_xlfn.XLOOKUP(A121:A372,'参照_拠点'!A:A,'参照_拠点'!B:B,"見つかりません"))</f>
      </c>
      <c r="G121" s="12" t="str">
        <f t="array" ref="G121">IF(K121:K372="","",_xlfn.XLOOKUP(K121:K372,'参照_武将'!A:A,'参照_武将'!B:B,"見つかりません"))</f>
      </c>
      <c r="H121" s="14" t="str">
        <f t="array" ref="H121">IF(I121:I372="","",_xlfn.XLOOKUP(I121:I372,'参照_勢力'!A:A,'参照_勢力'!B:B,"見つかりません"))</f>
      </c>
      <c r="I121" s="15">
        <v>1</v>
      </c>
      <c r="J121" s="4">
        <v>0</v>
      </c>
      <c r="K121" s="10">
        <v>1006117</v>
      </c>
      <c r="L121" s="18">
        <f>(300 + ROUND((((P121/15)+(Y121/10))*(SQRT(AA121)/100+1)+O121)/((COUNTIF(I:I, I121)/30)+1), 0))+52</f>
        <v>3201</v>
      </c>
      <c r="M121" s="4">
        <v>50</v>
      </c>
      <c r="N121" s="10">
        <v>60</v>
      </c>
      <c r="O121" s="18">
        <f>ROUND(500+((AA121*0.01)+(Z121/3)+(V121/10))*6,0)</f>
        <v>2434</v>
      </c>
      <c r="P121" s="19">
        <f>ROUND((T121 * 2.5) * SQRT(Z121)
,0) + (O121 * 2)</f>
        <v>13697</v>
      </c>
      <c r="Q121" s="19">
        <v>1000</v>
      </c>
      <c r="R121" s="18">
        <f>ROUNDDOWN(L121*0.35, -1)</f>
        <v>1120</v>
      </c>
      <c r="S121" s="19">
        <f>ROUNDDOWN(L121*0.15, -1)</f>
        <v>480</v>
      </c>
      <c r="T121" s="15">
        <v>390</v>
      </c>
      <c r="U121" s="4">
        <v>1700</v>
      </c>
      <c r="V121" s="4">
        <v>150</v>
      </c>
      <c r="W121" s="4">
        <v>600</v>
      </c>
      <c r="X121" s="4">
        <v>650</v>
      </c>
      <c r="Y121" s="10">
        <v>1300</v>
      </c>
      <c r="Z121" s="15">
        <v>82</v>
      </c>
      <c r="AA121" s="4">
        <v>28000</v>
      </c>
      <c r="AB121" s="4"/>
    </row>
    <row r="122" ht="15.75" customHeight="1">
      <c r="A122" s="4">
        <v>11</v>
      </c>
      <c r="B122" s="8">
        <v>121.0</v>
      </c>
      <c r="C122" s="9" t="b">
        <v>1</v>
      </c>
      <c r="D122" s="4" t="inlineStr">
        <is>
          <t>名古屋城</t>
        </is>
      </c>
      <c r="E122" s="10" t="inlineStr">
        <is>
          <t>なごやじょう</t>
        </is>
      </c>
      <c r="F122" s="11" t="str">
        <f t="array" ref="F122">IF(A122:A373="","",_xlfn.XLOOKUP(A122:A373,'参照_拠点'!A:A,'参照_拠点'!B:B,"見つかりません"))</f>
      </c>
      <c r="G122" s="12" t="str">
        <f t="array" ref="G122">IF(K122:K373="","",_xlfn.XLOOKUP(K122:K373,'参照_武将'!A:A,'参照_武将'!B:B,"見つかりません"))</f>
      </c>
      <c r="H122" s="14" t="str">
        <f t="array" ref="H122">IF(I122:I373="","",_xlfn.XLOOKUP(I122:I373,'参照_勢力'!A:A,'参照_勢力'!B:B,"見つかりません"))</f>
      </c>
      <c r="I122" s="15">
        <v>1</v>
      </c>
      <c r="J122" s="4">
        <v>0</v>
      </c>
      <c r="K122" s="10">
        <v>1006069</v>
      </c>
      <c r="L122" s="16">
        <f>(300 + ROUND((((P122/15)+(Y122/10))*(SQRT(AA122)/100+1)+O122)/((COUNTIF(I:I, I122)/30)+1), 0))+34</f>
        <v>2183</v>
      </c>
      <c r="M122" s="4">
        <v>50</v>
      </c>
      <c r="N122" s="10">
        <v>60</v>
      </c>
      <c r="O122" s="16">
        <f>ROUND(500+((AA122*0.01)+(Z122/3)+(V122/10))*6,0)</f>
        <v>1628</v>
      </c>
      <c r="P122" s="17">
        <f>ROUND((T122 * 2.5) * SQRT(Z122)
,0) + (O122 * 2)</f>
        <v>10317</v>
      </c>
      <c r="Q122" s="17">
        <v>1000</v>
      </c>
      <c r="R122" s="16">
        <f>ROUNDDOWN(L122*0.35, -1)</f>
        <v>760</v>
      </c>
      <c r="S122" s="17">
        <f>ROUNDDOWN(L122*0.01, -1)</f>
        <v>20</v>
      </c>
      <c r="T122" s="15">
        <v>340</v>
      </c>
      <c r="U122" s="4">
        <v>1300</v>
      </c>
      <c r="V122" s="4">
        <v>50</v>
      </c>
      <c r="W122" s="4">
        <v>200</v>
      </c>
      <c r="X122" s="4">
        <v>450</v>
      </c>
      <c r="Y122" s="10">
        <v>900</v>
      </c>
      <c r="Z122" s="15">
        <v>69</v>
      </c>
      <c r="AA122" s="4">
        <v>16000</v>
      </c>
      <c r="AB122" s="4"/>
    </row>
    <row r="123" ht="15.75" customHeight="1">
      <c r="A123" s="4">
        <v>57</v>
      </c>
      <c r="B123" s="8">
        <v>122.0</v>
      </c>
      <c r="C123" s="9" t="b">
        <v>1</v>
      </c>
      <c r="D123" s="4" t="inlineStr">
        <is>
          <t>鳴海城</t>
        </is>
      </c>
      <c r="E123" s="10" t="inlineStr">
        <is>
          <t>なるみじょう</t>
        </is>
      </c>
      <c r="F123" s="11" t="str">
        <f t="array" ref="F123">IF(A123:A374="","",_xlfn.XLOOKUP(A123:A374,'参照_拠点'!A:A,'参照_拠点'!B:B,"見つかりません"))</f>
      </c>
      <c r="G123" s="12" t="str">
        <f t="array" ref="G123">IF(K123:K374="","",_xlfn.XLOOKUP(K123:K374,'参照_武将'!A:A,'参照_武将'!B:B,"見つかりません"))</f>
      </c>
      <c r="H123" s="14" t="str">
        <f t="array" ref="H123">IF(I123:I374="","",_xlfn.XLOOKUP(I123:I374,'参照_勢力'!A:A,'参照_勢力'!B:B,"見つかりません"))</f>
      </c>
      <c r="I123" s="15">
        <v>1</v>
      </c>
      <c r="J123" s="4">
        <v>0</v>
      </c>
      <c r="K123" s="10">
        <v>1006084</v>
      </c>
      <c r="L123" s="18">
        <f>(300 + ROUND((((P123/15)+(Y123/10))*(SQRT(AA123)/100+1)+O123)/((COUNTIF(I:I, I123)/30)+1), 0))+16</f>
        <v>1180</v>
      </c>
      <c r="M123" s="4">
        <v>60</v>
      </c>
      <c r="N123" s="10">
        <v>60</v>
      </c>
      <c r="O123" s="18">
        <f>ROUND(500+((AA123*0.01)+(Z123/3)+(V123/10))*6,0)</f>
        <v>1002</v>
      </c>
      <c r="P123" s="19">
        <f>ROUND((T123 * 2.5) * SQRT(Z123)
,0) + (O123 * 2)</f>
        <v>3875</v>
      </c>
      <c r="Q123" s="19">
        <v>1000</v>
      </c>
      <c r="R123" s="18">
        <f>ROUNDDOWN(L123*0.35, -1)</f>
        <v>410</v>
      </c>
      <c r="S123" s="19">
        <f>ROUNDDOWN(L123*0.005, -1)</f>
        <v>0</v>
      </c>
      <c r="T123" s="15">
        <v>100</v>
      </c>
      <c r="U123" s="4">
        <v>800</v>
      </c>
      <c r="V123" s="4">
        <v>50</v>
      </c>
      <c r="W123" s="4">
        <v>300</v>
      </c>
      <c r="X123" s="4">
        <v>350</v>
      </c>
      <c r="Y123" s="10">
        <v>700</v>
      </c>
      <c r="Z123" s="15">
        <v>56</v>
      </c>
      <c r="AA123" s="4">
        <v>6000</v>
      </c>
      <c r="AB123" s="4"/>
    </row>
    <row r="124" ht="15.75" customHeight="1">
      <c r="A124" s="4">
        <v>180</v>
      </c>
      <c r="B124" s="8">
        <v>123.0</v>
      </c>
      <c r="C124" s="9" t="b">
        <v>1</v>
      </c>
      <c r="D124" s="4" t="inlineStr">
        <is>
          <t>吉藤城</t>
        </is>
      </c>
      <c r="E124" s="10" t="inlineStr">
        <is>
          <t>よしふじじょう</t>
        </is>
      </c>
      <c r="F124" s="11" t="str">
        <f t="array" ref="F124">IF(A124:A375="","",_xlfn.XLOOKUP(A124:A375,'参照_拠点'!A:A,'参照_拠点'!B:B,"見つかりません"))</f>
      </c>
      <c r="G124" s="12" t="str">
        <f t="array" ref="G124">IF(K124:K375="","",_xlfn.XLOOKUP(K124:K375,'参照_武将'!A:A,'参照_武将'!B:B,"見つかりません"))</f>
      </c>
      <c r="H124" s="14" t="str">
        <f t="array" ref="H124">IF(I124:I375="","",_xlfn.XLOOKUP(I124:I375,'参照_勢力'!A:A,'参照_勢力'!B:B,"見つかりません"))</f>
      </c>
      <c r="I124" s="15">
        <v>1</v>
      </c>
      <c r="J124" s="4">
        <v>0</v>
      </c>
      <c r="K124" s="10">
        <v>1006078</v>
      </c>
      <c r="L124" s="16">
        <f>(300 + ROUND((((P124/15)+(Y124/10))*(SQRT(AA124)/100+1)+O124)/((COUNTIF(I:I, I124)/30)+1), 0))+19</f>
        <v>1339</v>
      </c>
      <c r="M124" s="4">
        <v>60</v>
      </c>
      <c r="N124" s="10">
        <v>60</v>
      </c>
      <c r="O124" s="16">
        <f>ROUND(500+((AA124*0.01)+(Z124/3)+(V124/10))*6,0)</f>
        <v>1046</v>
      </c>
      <c r="P124" s="17">
        <f>ROUND((T124 * 2.5) * SQRT(Z124)
,0) + (O124 * 2)</f>
        <v>6061</v>
      </c>
      <c r="Q124" s="17">
        <v>1000</v>
      </c>
      <c r="R124" s="16">
        <f>ROUNDDOWN(L124*0.35, -1)</f>
        <v>460</v>
      </c>
      <c r="S124" s="17">
        <f>ROUNDDOWN(L124*0.01, -1)</f>
        <v>10</v>
      </c>
      <c r="T124" s="15">
        <v>200</v>
      </c>
      <c r="U124" s="4">
        <v>1000</v>
      </c>
      <c r="V124" s="4">
        <v>100</v>
      </c>
      <c r="W124" s="4">
        <v>600</v>
      </c>
      <c r="X124" s="4">
        <v>300</v>
      </c>
      <c r="Y124" s="10">
        <v>600</v>
      </c>
      <c r="Z124" s="15">
        <v>63</v>
      </c>
      <c r="AA124" s="4">
        <v>6000</v>
      </c>
      <c r="AB124" s="4"/>
    </row>
    <row r="125" ht="15.75" customHeight="1">
      <c r="A125" s="4">
        <v>251</v>
      </c>
      <c r="B125" s="8">
        <v>124.0</v>
      </c>
      <c r="C125" s="9" t="b">
        <v>1</v>
      </c>
      <c r="D125" s="4" t="inlineStr">
        <is>
          <t>木造城</t>
        </is>
      </c>
      <c r="E125" s="10" t="inlineStr">
        <is>
          <t>こつくりじょう</t>
        </is>
      </c>
      <c r="F125" s="11" t="str">
        <f t="array" ref="F125">IF(A125:A376="","",_xlfn.XLOOKUP(A125:A376,'参照_拠点'!A:A,'参照_拠点'!B:B,"見つかりません"))</f>
      </c>
      <c r="G125" s="12" t="str">
        <f t="array" ref="G125">IF(K125:K376="","",_xlfn.XLOOKUP(K125:K376,'参照_武将'!A:A,'参照_武将'!B:B,"見つかりません"))</f>
      </c>
      <c r="H125" s="14" t="str">
        <f t="array" ref="H125">IF(I125:I376="","",_xlfn.XLOOKUP(I125:I376,'参照_勢力'!A:A,'参照_勢力'!B:B,"見つかりません"))</f>
      </c>
      <c r="I125" s="15">
        <v>1</v>
      </c>
      <c r="J125" s="4">
        <v>2</v>
      </c>
      <c r="K125" s="10">
        <v>1024007</v>
      </c>
      <c r="L125" s="18">
        <f>(300 + ROUND((((P125/15)+(Y125/10))*(SQRT(AA125)/100+1)+O125)/((COUNTIF(I:I, I125)/30)+1), 0))+16</f>
        <v>1207</v>
      </c>
      <c r="M125" s="4">
        <v>50</v>
      </c>
      <c r="N125" s="10">
        <v>50</v>
      </c>
      <c r="O125" s="18">
        <f>ROUND(500+((AA125*0.01)+(Z125/3)+(V125/10))*6,0)</f>
        <v>976</v>
      </c>
      <c r="P125" s="19">
        <f>ROUND((T125 * 2.5) * SQRT(Z125)
,0) + (O125 * 2)</f>
        <v>4427</v>
      </c>
      <c r="Q125" s="19">
        <v>1000</v>
      </c>
      <c r="R125" s="18">
        <f>ROUNDDOWN(L125*0.2, -1)</f>
        <v>240</v>
      </c>
      <c r="S125" s="19">
        <f>ROUNDDOWN(L125*0.005, -1)</f>
        <v>0</v>
      </c>
      <c r="T125" s="15">
        <v>130</v>
      </c>
      <c r="U125" s="4">
        <v>900</v>
      </c>
      <c r="V125" s="4">
        <v>100</v>
      </c>
      <c r="W125" s="4">
        <v>500</v>
      </c>
      <c r="X125" s="4">
        <v>450</v>
      </c>
      <c r="Y125" s="10">
        <v>900</v>
      </c>
      <c r="Z125" s="15">
        <v>58</v>
      </c>
      <c r="AA125" s="4">
        <v>5000</v>
      </c>
      <c r="AB125" s="4"/>
    </row>
    <row r="126" ht="15.75" customHeight="1">
      <c r="A126" s="4">
        <v>77</v>
      </c>
      <c r="B126" s="8">
        <v>125.0</v>
      </c>
      <c r="C126" s="9" t="b">
        <v>1</v>
      </c>
      <c r="D126" s="4" t="inlineStr">
        <is>
          <t>亀山城</t>
        </is>
      </c>
      <c r="E126" s="10" t="inlineStr">
        <is>
          <t>かめやまじょう</t>
        </is>
      </c>
      <c r="F126" s="11" t="str">
        <f t="array" ref="F126">IF(A126:A377="","",_xlfn.XLOOKUP(A126:A377,'参照_拠点'!A:A,'参照_拠点'!B:B,"見つかりません"))</f>
      </c>
      <c r="G126" s="12" t="str">
        <f t="array" ref="G126">IF(K126:K377="","",_xlfn.XLOOKUP(K126:K377,'参照_武将'!A:A,'参照_武将'!B:B,"見つかりません"))</f>
      </c>
      <c r="H126" s="14" t="str">
        <f t="array" ref="H126">IF(I126:I377="","",_xlfn.XLOOKUP(I126:I377,'参照_勢力'!A:A,'参照_勢力'!B:B,"見つかりません"))</f>
      </c>
      <c r="I126" s="15">
        <v>1</v>
      </c>
      <c r="J126" s="4">
        <v>0</v>
      </c>
      <c r="K126" s="10">
        <v>1018025</v>
      </c>
      <c r="L126" s="16">
        <f>(300 + ROUND((((P126/15)+(Y126/10))*(SQRT(AA126)/100+1)+O126)/((COUNTIF(I:I, I126)/30)+1), 0))+20</f>
        <v>1407</v>
      </c>
      <c r="M126" s="4">
        <v>50</v>
      </c>
      <c r="N126" s="10">
        <v>50</v>
      </c>
      <c r="O126" s="16">
        <f>(ROUND(500+((AA126*0.01)+(Z126/3)+(V126/10))*6,0)+300)-300</f>
        <v>992</v>
      </c>
      <c r="P126" s="17">
        <f>ROUND((T126 * 2.5) * SQRT(Z126)
,0) + (O126 * 2)</f>
        <v>7265</v>
      </c>
      <c r="Q126" s="17">
        <v>1000</v>
      </c>
      <c r="R126" s="16">
        <f>ROUNDDOWN(L126*0.2, -1)</f>
        <v>280</v>
      </c>
      <c r="S126" s="17">
        <f>ROUNDDOWN(L126*0.005, -1)</f>
        <v>0</v>
      </c>
      <c r="T126" s="15">
        <v>260</v>
      </c>
      <c r="U126" s="4">
        <v>900</v>
      </c>
      <c r="V126" s="4">
        <v>0</v>
      </c>
      <c r="W126" s="4">
        <v>0</v>
      </c>
      <c r="X126" s="4">
        <v>400</v>
      </c>
      <c r="Y126" s="10">
        <v>800</v>
      </c>
      <c r="Z126" s="15">
        <v>66</v>
      </c>
      <c r="AA126" s="4">
        <v>6000</v>
      </c>
      <c r="AB126" s="4"/>
    </row>
    <row r="127" ht="15.75" customHeight="1">
      <c r="A127" s="4">
        <v>47</v>
      </c>
      <c r="B127" s="8">
        <v>126.0</v>
      </c>
      <c r="C127" s="9" t="b">
        <v>1</v>
      </c>
      <c r="D127" s="4" t="inlineStr">
        <is>
          <t>霧山城</t>
        </is>
      </c>
      <c r="E127" s="10" t="inlineStr">
        <is>
          <t>きりやまじょう</t>
        </is>
      </c>
      <c r="F127" s="11" t="str">
        <f t="array" ref="F127">IF(A127:A378="","",_xlfn.XLOOKUP(A127:A378,'参照_拠点'!A:A,'参照_拠点'!B:B,"見つかりません"))</f>
      </c>
      <c r="G127" s="12" t="str">
        <f t="array" ref="G127">IF(K127:K378="","",_xlfn.XLOOKUP(K127:K378,'参照_武将'!A:A,'参照_武将'!B:B,"見つかりません"))</f>
      </c>
      <c r="H127" s="14" t="str">
        <f t="array" ref="H127">IF(I127:I378="","",_xlfn.XLOOKUP(I127:I378,'参照_勢力'!A:A,'参照_勢力'!B:B,"見つかりません"))</f>
      </c>
      <c r="I127" s="15">
        <v>1</v>
      </c>
      <c r="J127" s="4">
        <v>2</v>
      </c>
      <c r="K127" s="10">
        <v>1024005</v>
      </c>
      <c r="L127" s="18">
        <f>(300 + ROUND((((P127/15)+(Y127/10))*(SQRT(AA127)/100+1)+O127)/((COUNTIF(I:I, I127)/30)+1), 0))+26</f>
        <v>1741</v>
      </c>
      <c r="M127" s="4">
        <v>50</v>
      </c>
      <c r="N127" s="10">
        <v>50</v>
      </c>
      <c r="O127" s="18">
        <f>ROUND(500+((AA127*0.01)+(Z127/3)+(V127/10))*6,0)</f>
        <v>1532</v>
      </c>
      <c r="P127" s="19">
        <f>ROUND((T127 * 2.5) * SQRT(Z127)
,0) + (O127 * 2)</f>
        <v>5501</v>
      </c>
      <c r="Q127" s="19">
        <v>1000</v>
      </c>
      <c r="R127" s="18">
        <f>ROUNDDOWN(L127*0.2, -1)</f>
        <v>340</v>
      </c>
      <c r="S127" s="19">
        <f>ROUNDDOWN(L127*0.005, -1)</f>
        <v>0</v>
      </c>
      <c r="T127" s="15">
        <v>120</v>
      </c>
      <c r="U127" s="4">
        <v>1300</v>
      </c>
      <c r="V127" s="4">
        <v>100</v>
      </c>
      <c r="W127" s="4">
        <v>600</v>
      </c>
      <c r="X127" s="4">
        <v>600</v>
      </c>
      <c r="Y127" s="10">
        <v>1200</v>
      </c>
      <c r="Z127" s="15">
        <v>66</v>
      </c>
      <c r="AA127" s="4">
        <v>14000</v>
      </c>
      <c r="AB127" s="4"/>
    </row>
    <row r="128" ht="15.75" customHeight="1">
      <c r="A128" s="4">
        <v>44</v>
      </c>
      <c r="B128" s="8">
        <v>127.0</v>
      </c>
      <c r="C128" s="9" t="b">
        <v>1</v>
      </c>
      <c r="D128" s="4" t="inlineStr">
        <is>
          <t>長島城</t>
        </is>
      </c>
      <c r="E128" s="10" t="inlineStr">
        <is>
          <t>ながしまじょう</t>
        </is>
      </c>
      <c r="F128" s="11" t="str">
        <f t="array" ref="F128">IF(A128:A379="","",_xlfn.XLOOKUP(A128:A379,'参照_拠点'!A:A,'参照_拠点'!B:B,"見つかりません"))</f>
      </c>
      <c r="G128" s="12" t="str">
        <f t="array" ref="G128">IF(K128:K379="","",_xlfn.XLOOKUP(K128:K379,'参照_武将'!A:A,'参照_武将'!B:B,"見つかりません"))</f>
      </c>
      <c r="H128" s="14" t="str">
        <f t="array" ref="H128">IF(I128:I379="","",_xlfn.XLOOKUP(I128:I379,'参照_勢力'!A:A,'参照_勢力'!B:B,"見つかりません"))</f>
      </c>
      <c r="I128" s="15">
        <v>19</v>
      </c>
      <c r="J128" s="4">
        <v>0</v>
      </c>
      <c r="K128" s="10">
        <v>1019015</v>
      </c>
      <c r="L128" s="16">
        <f>(300 + ROUND((((P128/15)+(Y128/10))*(SQRT(AA128)/100+1)+O128)/((COUNTIF(I:I, I128)/30)+1), 0))-92</f>
        <v>1811</v>
      </c>
      <c r="M128" s="4">
        <v>30</v>
      </c>
      <c r="N128" s="10">
        <v>30</v>
      </c>
      <c r="O128" s="16">
        <f>ROUND(500+((AA128*0.01)+(Z128/3)+(V128/10))*6,0)</f>
        <v>978</v>
      </c>
      <c r="P128" s="17">
        <f>ROUND((T128 * 2.5) * SQRT(Z128)
,0) + (O128 * 2)</f>
        <v>4836</v>
      </c>
      <c r="Q128" s="17">
        <v>1000</v>
      </c>
      <c r="R128" s="16">
        <v>0</v>
      </c>
      <c r="S128" s="17">
        <v>0</v>
      </c>
      <c r="T128" s="15">
        <v>150</v>
      </c>
      <c r="U128" s="4">
        <v>700</v>
      </c>
      <c r="V128" s="4">
        <v>0</v>
      </c>
      <c r="W128" s="4">
        <v>400</v>
      </c>
      <c r="X128" s="4">
        <v>600</v>
      </c>
      <c r="Y128" s="10">
        <v>1200</v>
      </c>
      <c r="Z128" s="15">
        <v>59</v>
      </c>
      <c r="AA128" s="4">
        <v>6000</v>
      </c>
      <c r="AB128" s="4"/>
    </row>
    <row r="129" ht="15.75" customHeight="1">
      <c r="A129" s="4">
        <v>49</v>
      </c>
      <c r="B129" s="8">
        <v>128.0</v>
      </c>
      <c r="C129" s="9" t="b">
        <v>1</v>
      </c>
      <c r="D129" s="4" t="inlineStr">
        <is>
          <t>長野城</t>
        </is>
      </c>
      <c r="E129" s="10" t="inlineStr">
        <is>
          <t>ながのじょう</t>
        </is>
      </c>
      <c r="F129" s="11" t="str">
        <f t="array" ref="F129">IF(A129:A380="","",_xlfn.XLOOKUP(A129:A380,'参照_拠点'!A:A,'参照_拠点'!B:B,"見つかりません"))</f>
      </c>
      <c r="G129" s="12" t="str">
        <f t="array" ref="G129">IF(K129:K380="","",_xlfn.XLOOKUP(K129:K380,'参照_武将'!A:A,'参照_武将'!B:B,"見つかりません"))</f>
      </c>
      <c r="H129" s="14" t="str">
        <f t="array" ref="H129">IF(I129:I380="","",_xlfn.XLOOKUP(I129:I380,'参照_勢力'!A:A,'参照_勢力'!B:B,"見つかりません"))</f>
      </c>
      <c r="I129" s="15">
        <v>1</v>
      </c>
      <c r="J129" s="4">
        <v>0</v>
      </c>
      <c r="K129" s="10">
        <v>1006018</v>
      </c>
      <c r="L129" s="18">
        <f>(300 + ROUND((((P129/15)+(Y129/10))*(SQRT(AA129)/100+1)+O129)/((COUNTIF(I:I, I129)/30)+1), 0))+15</f>
        <v>1136</v>
      </c>
      <c r="M129" s="4">
        <v>50</v>
      </c>
      <c r="N129" s="10">
        <v>50</v>
      </c>
      <c r="O129" s="18">
        <f>ROUND(500+((AA129*0.01)+(Z129/3)+(V129/10))*6,0)</f>
        <v>826</v>
      </c>
      <c r="P129" s="19">
        <f>ROUND((T129 * 2.5) * SQRT(Z129)
,0) + (O129 * 2)</f>
        <v>5079</v>
      </c>
      <c r="Q129" s="19">
        <v>1000</v>
      </c>
      <c r="R129" s="18">
        <f>ROUNDDOWN(L129*0.2, -1)</f>
        <v>220</v>
      </c>
      <c r="S129" s="19">
        <f>ROUNDDOWN(L129*0.005, -1)</f>
        <v>0</v>
      </c>
      <c r="T129" s="15">
        <v>180</v>
      </c>
      <c r="U129" s="4">
        <v>1000</v>
      </c>
      <c r="V129" s="4">
        <v>50</v>
      </c>
      <c r="W129" s="4">
        <v>400</v>
      </c>
      <c r="X129" s="4">
        <v>500</v>
      </c>
      <c r="Y129" s="10">
        <v>1000</v>
      </c>
      <c r="Z129" s="15">
        <v>58</v>
      </c>
      <c r="AA129" s="4">
        <v>3000</v>
      </c>
      <c r="AB129" s="4"/>
    </row>
    <row r="130" ht="15.75" customHeight="1">
      <c r="A130" s="4">
        <v>78</v>
      </c>
      <c r="B130" s="8">
        <v>129.0</v>
      </c>
      <c r="C130" s="9" t="b">
        <v>1</v>
      </c>
      <c r="D130" s="4" t="inlineStr">
        <is>
          <t>波切城</t>
        </is>
      </c>
      <c r="E130" s="10" t="inlineStr">
        <is>
          <t>なきりじょう</t>
        </is>
      </c>
      <c r="F130" s="11" t="str">
        <f t="array" ref="F130">IF(A130:A381="","",_xlfn.XLOOKUP(A130:A381,'参照_拠点'!A:A,'参照_拠点'!B:B,"見つかりません"))</f>
      </c>
      <c r="G130" s="12" t="str">
        <f t="array" ref="G130">IF(K130:K381="","",_xlfn.XLOOKUP(K130:K381,'参照_武将'!A:A,'参照_武将'!B:B,"見つかりません"))</f>
      </c>
      <c r="H130" s="14" t="str">
        <f t="array" ref="H130">IF(I130:I381="","",_xlfn.XLOOKUP(I130:I381,'参照_勢力'!A:A,'参照_勢力'!B:B,"見つかりません"))</f>
      </c>
      <c r="I130" s="15">
        <v>1</v>
      </c>
      <c r="J130" s="4">
        <v>0</v>
      </c>
      <c r="K130" s="10">
        <v>1024030</v>
      </c>
      <c r="L130" s="16">
        <f>(300 + ROUND((((P130/15)+(Y130/10))*(SQRT(AA130)/100+1)+O130)/((COUNTIF(I:I, I130)/30)+1), 0))+12</f>
        <v>938</v>
      </c>
      <c r="M130" s="4">
        <v>50</v>
      </c>
      <c r="N130" s="10">
        <v>50</v>
      </c>
      <c r="O130" s="16">
        <f>ROUND(500+((AA130*0.01)+(Z130/3)+(V130/10))*6,0)</f>
        <v>794</v>
      </c>
      <c r="P130" s="17">
        <f>ROUND((T130 * 2.5) * SQRT(Z130)
,0) + (O130 * 2)</f>
        <v>2532</v>
      </c>
      <c r="Q130" s="17">
        <v>1000</v>
      </c>
      <c r="R130" s="16">
        <f>ROUNDDOWN(L130*0.2, -1)</f>
        <v>180</v>
      </c>
      <c r="S130" s="17">
        <f>ROUNDDOWN(L130*0.005, -1)</f>
        <v>0</v>
      </c>
      <c r="T130" s="15">
        <v>50</v>
      </c>
      <c r="U130" s="4">
        <v>500</v>
      </c>
      <c r="V130" s="4">
        <v>0</v>
      </c>
      <c r="W130" s="4">
        <v>0</v>
      </c>
      <c r="X130" s="4">
        <v>300</v>
      </c>
      <c r="Y130" s="10">
        <v>600</v>
      </c>
      <c r="Z130" s="15">
        <v>57</v>
      </c>
      <c r="AA130" s="4">
        <v>3000</v>
      </c>
      <c r="AB130" s="4"/>
    </row>
    <row r="131" ht="15.75" customHeight="1">
      <c r="A131" s="4">
        <v>80</v>
      </c>
      <c r="B131" s="8">
        <v>130.0</v>
      </c>
      <c r="C131" s="9" t="b">
        <v>1</v>
      </c>
      <c r="D131" s="4" t="inlineStr">
        <is>
          <t>柏原城</t>
        </is>
      </c>
      <c r="E131" s="10" t="inlineStr">
        <is>
          <t>かしはらじょう</t>
        </is>
      </c>
      <c r="F131" s="11" t="str">
        <f t="array" ref="F131">IF(A131:A382="","",_xlfn.XLOOKUP(A131:A382,'参照_拠点'!A:A,'参照_拠点'!B:B,"見つかりません"))</f>
      </c>
      <c r="G131" s="12" t="str">
        <f t="array" ref="G131">IF(K131:K382="","",_xlfn.XLOOKUP(K131:K382,'参照_武将'!A:A,'参照_武将'!B:B,"見つかりません"))</f>
      </c>
      <c r="H131" s="14" t="str">
        <f t="array" ref="H131">IF(I131:I382="","",_xlfn.XLOOKUP(I131:I382,'参照_勢力'!A:A,'参照_勢力'!B:B,"見つかりません"))</f>
      </c>
      <c r="I131" s="15">
        <v>0</v>
      </c>
      <c r="J131" s="4">
        <v>0</v>
      </c>
      <c r="K131" s="10">
        <v>0</v>
      </c>
      <c r="L131" s="18">
        <f>(300 + ROUND((((P131/15)+(Y131/10))*(SQRT(AA131)/100+1)+O131)/((COUNTIF(I:I, I131)/30)+1), 0))-184</f>
        <v>2257</v>
      </c>
      <c r="M131" s="4">
        <v>30</v>
      </c>
      <c r="N131" s="10">
        <v>30</v>
      </c>
      <c r="O131" s="18">
        <f>ROUND(500+((AA131*0.01)+(Z131/3)+(V131/10))*6,0)</f>
        <v>1408</v>
      </c>
      <c r="P131" s="19">
        <f>ROUND((T131 * 2.5) * SQRT(Z131)
,0) + (O131 * 2)</f>
        <v>5216</v>
      </c>
      <c r="Q131" s="19">
        <v>1000</v>
      </c>
      <c r="R131" s="18">
        <v>0</v>
      </c>
      <c r="S131" s="19">
        <v>0</v>
      </c>
      <c r="T131" s="15">
        <v>120</v>
      </c>
      <c r="U131" s="4">
        <v>900</v>
      </c>
      <c r="V131" s="4">
        <v>100</v>
      </c>
      <c r="W131" s="4">
        <v>400</v>
      </c>
      <c r="X131" s="4">
        <v>350</v>
      </c>
      <c r="Y131" s="10">
        <v>700</v>
      </c>
      <c r="Z131" s="15">
        <v>64</v>
      </c>
      <c r="AA131" s="4">
        <v>12000</v>
      </c>
      <c r="AB131" s="4"/>
    </row>
    <row r="132" ht="15.75" customHeight="1">
      <c r="A132" s="4">
        <v>43</v>
      </c>
      <c r="B132" s="8">
        <v>131.0</v>
      </c>
      <c r="C132" s="9" t="b">
        <v>1</v>
      </c>
      <c r="D132" s="4" t="inlineStr">
        <is>
          <t>喰代城</t>
        </is>
      </c>
      <c r="E132" s="10" t="inlineStr">
        <is>
          <t>ほおじろじょう</t>
        </is>
      </c>
      <c r="F132" s="11" t="str">
        <f t="array" ref="F132">IF(A132:A383="","",_xlfn.XLOOKUP(A132:A383,'参照_拠点'!A:A,'参照_拠点'!B:B,"見つかりません"))</f>
      </c>
      <c r="G132" s="12" t="str">
        <f t="array" ref="G132">IF(K132:K383="","",_xlfn.XLOOKUP(K132:K383,'参照_武将'!A:A,'参照_武将'!B:B,"見つかりません"))</f>
      </c>
      <c r="H132" s="14" t="str">
        <f t="array" ref="H132">IF(I132:I383="","",_xlfn.XLOOKUP(I132:I383,'参照_勢力'!A:A,'参照_勢力'!B:B,"見つかりません"))</f>
      </c>
      <c r="I132" s="15">
        <v>18</v>
      </c>
      <c r="J132" s="4">
        <v>0</v>
      </c>
      <c r="K132" s="10">
        <v>1018005</v>
      </c>
      <c r="L132" s="16">
        <f>300 + ROUND((((P132/15)+(Y132/10))*(SQRT(AA132)/100+1)+O132)/((COUNTIF(I:I, I132)/30)+1), 0)</f>
        <v>2357</v>
      </c>
      <c r="M132" s="4">
        <v>75</v>
      </c>
      <c r="N132" s="10">
        <v>75</v>
      </c>
      <c r="O132" s="16">
        <f>ROUND(500+((AA132*0.01)+(Z132/3)+(V132/10))*6,0)</f>
        <v>1376</v>
      </c>
      <c r="P132" s="17">
        <f>ROUND((T132 * 2.5) * SQRT(Z132)
,0) + (O132 * 2)</f>
        <v>4736</v>
      </c>
      <c r="Q132" s="17">
        <v>1000</v>
      </c>
      <c r="R132" s="16">
        <v>250</v>
      </c>
      <c r="S132" s="17">
        <v>200</v>
      </c>
      <c r="T132" s="15">
        <v>100</v>
      </c>
      <c r="U132" s="4">
        <v>700</v>
      </c>
      <c r="V132" s="4">
        <v>150</v>
      </c>
      <c r="W132" s="4">
        <v>600</v>
      </c>
      <c r="X132" s="4">
        <v>250</v>
      </c>
      <c r="Y132" s="10">
        <v>500</v>
      </c>
      <c r="Z132" s="15">
        <v>63</v>
      </c>
      <c r="AA132" s="4">
        <v>11000</v>
      </c>
      <c r="AB132" s="4"/>
    </row>
    <row r="133" ht="15.75" customHeight="1">
      <c r="A133" s="4">
        <v>3</v>
      </c>
      <c r="B133" s="8">
        <v>132.0</v>
      </c>
      <c r="C133" s="9" t="b">
        <v>1</v>
      </c>
      <c r="D133" s="4" t="inlineStr">
        <is>
          <t>岐阜城</t>
        </is>
      </c>
      <c r="E133" s="10" t="inlineStr">
        <is>
          <t>ぎふじょう</t>
        </is>
      </c>
      <c r="F133" s="11" t="str">
        <f t="array" ref="F133">IF(A133:A384="","",_xlfn.XLOOKUP(A133:A384,'参照_拠点'!A:A,'参照_拠点'!B:B,"見つかりません"))</f>
      </c>
      <c r="G133" s="12" t="str">
        <f t="array" ref="G133">IF(K133:K384="","",_xlfn.XLOOKUP(K133:K384,'参照_武将'!A:A,'参照_武将'!B:B,"見つかりません"))</f>
      </c>
      <c r="H133" s="14" t="str">
        <f t="array" ref="H133">IF(I133:I384="","",_xlfn.XLOOKUP(I133:I384,'参照_勢力'!A:A,'参照_勢力'!B:B,"見つかりません"))</f>
      </c>
      <c r="I133" s="15">
        <v>1</v>
      </c>
      <c r="J133" s="4">
        <v>0</v>
      </c>
      <c r="K133" s="10">
        <v>1006006</v>
      </c>
      <c r="L133" s="18">
        <f>(300 + ROUND((((P133/15)+(Y133/10))*(SQRT(AA133)/100+1)+O133)/((COUNTIF(I:I, I133)/30)+1), 0))-22</f>
        <v>3060</v>
      </c>
      <c r="M133" s="4">
        <v>60</v>
      </c>
      <c r="N133" s="10">
        <v>60</v>
      </c>
      <c r="O133" s="18">
        <f>ROUND(500+((AA133*0.01)+(Z133/3)+(V133/10))*6,0)</f>
        <v>2440</v>
      </c>
      <c r="P133" s="19">
        <f>ROUND((T133 * 2.5) * SQRT(Z133)
,0) + (O133 * 2)</f>
        <v>11782</v>
      </c>
      <c r="Q133" s="19">
        <v>1000</v>
      </c>
      <c r="R133" s="18">
        <f>ROUNDDOWN(L133*0.3, -1)</f>
        <v>910</v>
      </c>
      <c r="S133" s="19">
        <f>ROUNDDOWN(L133*0.005, -1)</f>
        <v>10</v>
      </c>
      <c r="T133" s="15">
        <v>330</v>
      </c>
      <c r="U133" s="4">
        <v>2400</v>
      </c>
      <c r="V133" s="4">
        <v>200</v>
      </c>
      <c r="W133" s="4">
        <v>1000</v>
      </c>
      <c r="X133" s="4">
        <v>800</v>
      </c>
      <c r="Y133" s="10">
        <v>2100</v>
      </c>
      <c r="Z133" s="15">
        <v>70</v>
      </c>
      <c r="AA133" s="4">
        <v>28000</v>
      </c>
      <c r="AB133" s="4"/>
    </row>
    <row r="134" ht="15.75" customHeight="1">
      <c r="A134" s="4">
        <v>4</v>
      </c>
      <c r="B134" s="8">
        <v>133.0</v>
      </c>
      <c r="C134" s="9" t="b">
        <v>1</v>
      </c>
      <c r="D134" s="4" t="inlineStr">
        <is>
          <t>岩村城</t>
        </is>
      </c>
      <c r="E134" s="10" t="inlineStr">
        <is>
          <t>いわむらじょう</t>
        </is>
      </c>
      <c r="F134" s="11" t="str">
        <f t="array" ref="F134">IF(A134:A385="","",_xlfn.XLOOKUP(A134:A385,'参照_拠点'!A:A,'参照_拠点'!B:B,"見つかりません"))</f>
      </c>
      <c r="G134" s="12" t="str">
        <f t="array" ref="G134">IF(K134:K385="","",_xlfn.XLOOKUP(K134:K385,'参照_武将'!A:A,'参照_武将'!B:B,"見つかりません"))</f>
      </c>
      <c r="H134" s="14" t="str">
        <f t="array" ref="H134">IF(I134:I385="","",_xlfn.XLOOKUP(I134:I385,'参照_勢力'!A:A,'参照_勢力'!B:B,"見つかりません"))</f>
      </c>
      <c r="I134" s="15">
        <v>12</v>
      </c>
      <c r="J134" s="4">
        <v>0</v>
      </c>
      <c r="K134" s="10">
        <v>1012007</v>
      </c>
      <c r="L134" s="16">
        <f>300 + ROUND((((P134/15)+(Y134/10))*(SQRT(AA134)/100+1)+O134)/((COUNTIF(I:I, I134)/30)+1), 0)</f>
        <v>2363</v>
      </c>
      <c r="M134" s="4">
        <v>40</v>
      </c>
      <c r="N134" s="10">
        <v>40</v>
      </c>
      <c r="O134" s="16">
        <f>ROUND(500+((AA134*0.01)+(Z134/3)+(V134/10))*6,0)</f>
        <v>1280</v>
      </c>
      <c r="P134" s="17">
        <f>ROUND((T134 * 2.5) * SQRT(Z134)
,0) + (O134 * 2)</f>
        <v>5658</v>
      </c>
      <c r="Q134" s="17">
        <v>1000</v>
      </c>
      <c r="R134" s="16">
        <f>ROUNDDOWN(L134*0.2, -1)</f>
        <v>470</v>
      </c>
      <c r="S134" s="17">
        <f>ROUNDDOWN(L134*0.005, -1)</f>
        <v>10</v>
      </c>
      <c r="T134" s="15">
        <v>160</v>
      </c>
      <c r="U134" s="4">
        <v>700</v>
      </c>
      <c r="V134" s="4">
        <v>200</v>
      </c>
      <c r="W134" s="4">
        <v>800</v>
      </c>
      <c r="X134" s="4">
        <v>300</v>
      </c>
      <c r="Y134" s="10">
        <v>600</v>
      </c>
      <c r="Z134" s="15">
        <v>60</v>
      </c>
      <c r="AA134" s="4">
        <v>9000</v>
      </c>
      <c r="AB134" s="4"/>
    </row>
    <row r="135" ht="15.75" customHeight="1">
      <c r="A135" s="4">
        <v>36</v>
      </c>
      <c r="B135" s="8">
        <v>134.0</v>
      </c>
      <c r="C135" s="9" t="b">
        <v>1</v>
      </c>
      <c r="D135" s="4" t="inlineStr">
        <is>
          <t>大垣城</t>
        </is>
      </c>
      <c r="E135" s="10" t="inlineStr">
        <is>
          <t>おおがきじょう</t>
        </is>
      </c>
      <c r="F135" s="11" t="str">
        <f t="array" ref="F135">IF(A135:A386="","",_xlfn.XLOOKUP(A135:A386,'参照_拠点'!A:A,'参照_拠点'!B:B,"見つかりません"))</f>
      </c>
      <c r="G135" s="12" t="str">
        <f t="array" ref="G135">IF(K135:K386="","",_xlfn.XLOOKUP(K135:K386,'参照_武将'!A:A,'参照_武将'!B:B,"見つかりません"))</f>
      </c>
      <c r="H135" s="14" t="str">
        <f t="array" ref="H135">IF(I135:I386="","",_xlfn.XLOOKUP(I135:I386,'参照_勢力'!A:A,'参照_勢力'!B:B,"見つかりません"))</f>
      </c>
      <c r="I135" s="15">
        <v>1</v>
      </c>
      <c r="J135" s="4">
        <v>0</v>
      </c>
      <c r="K135" s="10">
        <v>1005018</v>
      </c>
      <c r="L135" s="18">
        <f>(300 + ROUND((((P135/15)+(Y135/10))*(SQRT(AA135)/100+1)+O135)/((COUNTIF(I:I, I135)/30)+1), 0))+26</f>
        <v>1701</v>
      </c>
      <c r="M135" s="4">
        <v>60</v>
      </c>
      <c r="N135" s="10">
        <v>60</v>
      </c>
      <c r="O135" s="18">
        <f>ROUND(500+((AA135*0.01)+(Z135/3)+(V135/10))*6,0)</f>
        <v>1404</v>
      </c>
      <c r="P135" s="19">
        <f>ROUND((T135 * 2.5) * SQRT(Z135)
,0) + (O135 * 2)</f>
        <v>6351</v>
      </c>
      <c r="Q135" s="19">
        <v>1000</v>
      </c>
      <c r="R135" s="18">
        <f>ROUNDDOWN(L135*0.3, -1)</f>
        <v>510</v>
      </c>
      <c r="S135" s="19">
        <f>ROUNDDOWN(L135*0.005, -1)</f>
        <v>0</v>
      </c>
      <c r="T135" s="15">
        <v>180</v>
      </c>
      <c r="U135" s="4">
        <v>1200</v>
      </c>
      <c r="V135" s="4">
        <v>100</v>
      </c>
      <c r="W135" s="4">
        <v>800</v>
      </c>
      <c r="X135" s="4">
        <v>350</v>
      </c>
      <c r="Y135" s="10">
        <v>1100</v>
      </c>
      <c r="Z135" s="15">
        <v>62</v>
      </c>
      <c r="AA135" s="4">
        <v>12000</v>
      </c>
      <c r="AB135" s="4"/>
    </row>
    <row r="136" ht="15.75" customHeight="1">
      <c r="A136" s="4">
        <v>183</v>
      </c>
      <c r="B136" s="8">
        <v>135.0</v>
      </c>
      <c r="C136" s="9" t="b">
        <v>1</v>
      </c>
      <c r="D136" s="4" t="inlineStr">
        <is>
          <t>北方城</t>
        </is>
      </c>
      <c r="E136" s="10" t="inlineStr">
        <is>
          <t>きたかたじょう</t>
        </is>
      </c>
      <c r="F136" s="11" t="str">
        <f t="array" ref="F136">IF(A136:A387="","",_xlfn.XLOOKUP(A136:A387,'参照_拠点'!A:A,'参照_拠点'!B:B,"見つかりません"))</f>
      </c>
      <c r="G136" s="12" t="str">
        <f t="array" ref="G136">IF(K136:K387="","",_xlfn.XLOOKUP(K136:K387,'参照_武将'!A:A,'参照_武将'!B:B,"見つかりません"))</f>
      </c>
      <c r="H136" s="14" t="str">
        <f t="array" ref="H136">IF(I136:I387="","",_xlfn.XLOOKUP(I136:I387,'参照_勢力'!A:A,'参照_勢力'!B:B,"見つかりません"))</f>
      </c>
      <c r="I136" s="15">
        <v>1</v>
      </c>
      <c r="J136" s="4">
        <v>0</v>
      </c>
      <c r="K136" s="10">
        <v>1005009</v>
      </c>
      <c r="L136" s="16">
        <f>(300 + ROUND((((P136/15)+(Y136/10))*(SQRT(AA136)/100+1)+O136)/((COUNTIF(I:I, I136)/30)+1), 0))+22</f>
        <v>1507</v>
      </c>
      <c r="M136" s="4">
        <v>60</v>
      </c>
      <c r="N136" s="10">
        <v>60</v>
      </c>
      <c r="O136" s="16">
        <f>ROUND(500+((AA136*0.01)+(Z136/3)+(V136/10))*6,0)</f>
        <v>1198</v>
      </c>
      <c r="P136" s="17">
        <f>ROUND((T136 * 2.5) * SQRT(Z136)
,0) + (O136 * 2)</f>
        <v>6596</v>
      </c>
      <c r="Q136" s="17">
        <v>1000</v>
      </c>
      <c r="R136" s="16">
        <f>ROUNDDOWN(L136*0.3, -1)</f>
        <v>450</v>
      </c>
      <c r="S136" s="17">
        <f>ROUNDDOWN(L136*0.005, -1)</f>
        <v>0</v>
      </c>
      <c r="T136" s="15">
        <v>210</v>
      </c>
      <c r="U136" s="4">
        <v>900</v>
      </c>
      <c r="V136" s="4">
        <v>50</v>
      </c>
      <c r="W136" s="4">
        <v>500</v>
      </c>
      <c r="X136" s="4">
        <v>350</v>
      </c>
      <c r="Y136" s="10">
        <v>600</v>
      </c>
      <c r="Z136" s="15">
        <v>64</v>
      </c>
      <c r="AA136" s="4">
        <v>9000</v>
      </c>
      <c r="AB136" s="4"/>
    </row>
    <row r="137" ht="15.75" customHeight="1">
      <c r="A137" s="4">
        <v>50</v>
      </c>
      <c r="B137" s="8">
        <v>136.0</v>
      </c>
      <c r="C137" s="9" t="b">
        <v>1</v>
      </c>
      <c r="D137" s="4" t="inlineStr">
        <is>
          <t>郡上八幡城</t>
        </is>
      </c>
      <c r="E137" s="10" t="inlineStr">
        <is>
          <t>ぐじょうはちまんじょう</t>
        </is>
      </c>
      <c r="F137" s="11" t="str">
        <f t="array" ref="F137">IF(A137:A388="","",_xlfn.XLOOKUP(A137:A388,'参照_拠点'!A:A,'参照_拠点'!B:B,"見つかりません"))</f>
      </c>
      <c r="G137" s="12" t="str">
        <f t="array" ref="G137">IF(K137:K388="","",_xlfn.XLOOKUP(K137:K388,'参照_武将'!A:A,'参照_武将'!B:B,"見つかりません"))</f>
      </c>
      <c r="H137" s="14" t="str">
        <f t="array" ref="H137">IF(I137:I388="","",_xlfn.XLOOKUP(I137:I388,'参照_勢力'!A:A,'参照_勢力'!B:B,"見つかりません"))</f>
      </c>
      <c r="I137" s="15">
        <v>1</v>
      </c>
      <c r="J137" s="4">
        <v>0</v>
      </c>
      <c r="K137" s="10">
        <v>1005024</v>
      </c>
      <c r="L137" s="18">
        <f>(300 + ROUND((((P137/15)+(Y137/10))*(SQRT(AA137)/100+1)+O137)/((COUNTIF(I:I, I137)/30)+1), 0))+19</f>
        <v>1326</v>
      </c>
      <c r="M137" s="4">
        <v>60</v>
      </c>
      <c r="N137" s="10">
        <v>60</v>
      </c>
      <c r="O137" s="18">
        <f>ROUND(500+((AA137*0.01)+(Z137/3)+(V137/10))*6,0)</f>
        <v>1080</v>
      </c>
      <c r="P137" s="19">
        <f>ROUND((T137 * 2.5) * SQRT(Z137)
,0) + (O137 * 2)</f>
        <v>4982</v>
      </c>
      <c r="Q137" s="19">
        <v>1000</v>
      </c>
      <c r="R137" s="18">
        <f>ROUNDDOWN(L137*0.3, -1)</f>
        <v>390</v>
      </c>
      <c r="S137" s="19">
        <f>ROUNDDOWN(L137*0.005, -1)</f>
        <v>0</v>
      </c>
      <c r="T137" s="15">
        <v>140</v>
      </c>
      <c r="U137" s="4">
        <v>600</v>
      </c>
      <c r="V137" s="4">
        <v>150</v>
      </c>
      <c r="W137" s="4">
        <v>800</v>
      </c>
      <c r="X137" s="4">
        <v>500</v>
      </c>
      <c r="Y137" s="10">
        <v>1000</v>
      </c>
      <c r="Z137" s="15">
        <v>65</v>
      </c>
      <c r="AA137" s="4">
        <v>6000</v>
      </c>
      <c r="AB137" s="4"/>
    </row>
    <row r="138" ht="15.75" customHeight="1">
      <c r="A138" s="4">
        <v>182</v>
      </c>
      <c r="B138" s="8">
        <v>137.0</v>
      </c>
      <c r="C138" s="9" t="b">
        <v>1</v>
      </c>
      <c r="D138" s="4" t="inlineStr">
        <is>
          <t>曽根城</t>
        </is>
      </c>
      <c r="E138" s="10" t="inlineStr">
        <is>
          <t>そねじょう</t>
        </is>
      </c>
      <c r="F138" s="11" t="str">
        <f t="array" ref="F138">IF(A138:A389="","",_xlfn.XLOOKUP(A138:A389,'参照_拠点'!A:A,'参照_拠点'!B:B,"見つかりません"))</f>
      </c>
      <c r="G138" s="12" t="str">
        <f t="array" ref="G138">IF(K138:K389="","",_xlfn.XLOOKUP(K138:K389,'参照_武将'!A:A,'参照_武将'!B:B,"見つかりません"))</f>
      </c>
      <c r="H138" s="14" t="str">
        <f t="array" ref="H138">IF(I138:I389="","",_xlfn.XLOOKUP(I138:I389,'参照_勢力'!A:A,'参照_勢力'!B:B,"見つかりません"))</f>
      </c>
      <c r="I138" s="15">
        <v>1</v>
      </c>
      <c r="J138" s="4">
        <v>0</v>
      </c>
      <c r="K138" s="10">
        <v>1005011</v>
      </c>
      <c r="L138" s="16">
        <f>(300 + ROUND((((P138/15)+(Y138/10))*(SQRT(AA138)/100+1)+O138)/((COUNTIF(I:I, I138)/30)+1), 0))+22</f>
        <v>1543</v>
      </c>
      <c r="M138" s="4">
        <v>60</v>
      </c>
      <c r="N138" s="10">
        <v>60</v>
      </c>
      <c r="O138" s="16">
        <f>ROUND(500+((AA138*0.01)+(Z138/3)+(V138/10))*6,0)</f>
        <v>1202</v>
      </c>
      <c r="P138" s="17">
        <f>ROUND((T138 * 2.5) * SQRT(Z138)
,0) + (O138 * 2)</f>
        <v>7075</v>
      </c>
      <c r="Q138" s="17">
        <v>1000</v>
      </c>
      <c r="R138" s="16">
        <f>ROUNDDOWN(L138*0.3, -1)</f>
        <v>460</v>
      </c>
      <c r="S138" s="17">
        <f>ROUNDDOWN(L138*0.005, -1)</f>
        <v>0</v>
      </c>
      <c r="T138" s="15">
        <v>230</v>
      </c>
      <c r="U138" s="4">
        <v>1000</v>
      </c>
      <c r="V138" s="4">
        <v>50</v>
      </c>
      <c r="W138" s="4">
        <v>450</v>
      </c>
      <c r="X138" s="4">
        <v>300</v>
      </c>
      <c r="Y138" s="10">
        <v>600</v>
      </c>
      <c r="Z138" s="15">
        <v>66</v>
      </c>
      <c r="AA138" s="4">
        <v>9000</v>
      </c>
      <c r="AB138" s="4"/>
    </row>
    <row r="139" ht="15.75" customHeight="1">
      <c r="A139" s="4">
        <v>92</v>
      </c>
      <c r="B139" s="8">
        <v>138.0</v>
      </c>
      <c r="C139" s="9" t="b">
        <v>1</v>
      </c>
      <c r="D139" s="4" t="inlineStr">
        <is>
          <t>帰雲城</t>
        </is>
      </c>
      <c r="E139" s="10" t="inlineStr">
        <is>
          <t>かえりくもじょう</t>
        </is>
      </c>
      <c r="F139" s="11" t="str">
        <f t="array" ref="F139">IF(A139:A390="","",_xlfn.XLOOKUP(A139:A390,'参照_拠点'!A:A,'参照_拠点'!B:B,"見つかりません"))</f>
      </c>
      <c r="G139" s="12" t="str">
        <f t="array" ref="G139">IF(K139:K390="","",_xlfn.XLOOKUP(K139:K390,'参照_武将'!A:A,'参照_武将'!B:B,"見つかりません"))</f>
      </c>
      <c r="H139" s="14" t="str">
        <f t="array" ref="H139">IF(I139:I390="","",_xlfn.XLOOKUP(I139:I390,'参照_勢力'!A:A,'参照_勢力'!B:B,"見つかりません"))</f>
      </c>
      <c r="I139" s="15">
        <v>23</v>
      </c>
      <c r="J139" s="4">
        <v>0</v>
      </c>
      <c r="K139" s="10">
        <v>1023004</v>
      </c>
      <c r="L139" s="18">
        <f>300 + ROUND((((P139/15)+(Y139/10))*(SQRT(AA139)/100+1)+O139)/((COUNTIF(I:I, I139)/30)+1), 0)</f>
        <v>3099</v>
      </c>
      <c r="M139" s="4">
        <v>50</v>
      </c>
      <c r="N139" s="10">
        <v>50</v>
      </c>
      <c r="O139" s="18">
        <f>ROUND(500+((AA139*0.01)+(Z139/3)+(V139/10))*6,0)</f>
        <v>1704</v>
      </c>
      <c r="P139" s="19">
        <f>ROUND((T139 * 2.5) * SQRT(Z139)
,0) + (O139 * 2)</f>
        <v>6361</v>
      </c>
      <c r="Q139" s="19">
        <v>1000</v>
      </c>
      <c r="R139" s="18">
        <f>ROUNDDOWN(L139*0.2, -1)</f>
        <v>610</v>
      </c>
      <c r="S139" s="19">
        <f>ROUNDDOWN(L139*0.005, -1)</f>
        <v>10</v>
      </c>
      <c r="T139" s="15">
        <v>150</v>
      </c>
      <c r="U139" s="4">
        <v>700</v>
      </c>
      <c r="V139" s="4">
        <v>300</v>
      </c>
      <c r="W139" s="4">
        <v>1200</v>
      </c>
      <c r="X139" s="4">
        <v>550</v>
      </c>
      <c r="Y139" s="10">
        <v>1100</v>
      </c>
      <c r="Z139" s="15">
        <v>62</v>
      </c>
      <c r="AA139" s="4">
        <v>15000</v>
      </c>
      <c r="AB139" s="4"/>
    </row>
    <row r="140" ht="15.75" customHeight="1">
      <c r="A140" s="4">
        <v>91</v>
      </c>
      <c r="B140" s="8">
        <v>139.0</v>
      </c>
      <c r="C140" s="9" t="b">
        <v>1</v>
      </c>
      <c r="D140" s="4" t="inlineStr">
        <is>
          <t>高原諏訪城</t>
        </is>
      </c>
      <c r="E140" s="10" t="inlineStr">
        <is>
          <t>たかはらすわじょう</t>
        </is>
      </c>
      <c r="F140" s="11" t="str">
        <f t="array" ref="F140">IF(A140:A391="","",_xlfn.XLOOKUP(A140:A391,'参照_拠点'!A:A,'参照_拠点'!B:B,"見つかりません"))</f>
      </c>
      <c r="G140" s="12" t="str">
        <f t="array" ref="G140">IF(K140:K391="","",_xlfn.XLOOKUP(K140:K391,'参照_武将'!A:A,'参照_武将'!B:B,"見つかりません"))</f>
      </c>
      <c r="H140" s="14" t="str">
        <f t="array" ref="H140">IF(I140:I391="","",_xlfn.XLOOKUP(I140:I391,'参照_勢力'!A:A,'参照_勢力'!B:B,"見つかりません"))</f>
      </c>
      <c r="I140" s="15">
        <v>22</v>
      </c>
      <c r="J140" s="4">
        <v>0</v>
      </c>
      <c r="K140" s="10">
        <v>1022002</v>
      </c>
      <c r="L140" s="16">
        <f>300 + ROUND((((P140/15)+(Y140/10))*(SQRT(AA140)/100+1)+O140)/((COUNTIF(I:I, I140)/30)+1), 0)</f>
        <v>2994</v>
      </c>
      <c r="M140" s="4">
        <v>50</v>
      </c>
      <c r="N140" s="10">
        <v>50</v>
      </c>
      <c r="O140" s="16">
        <f>ROUND(500+((AA140*0.01)+(Z140/3)+(V140/10))*6,0)</f>
        <v>1644</v>
      </c>
      <c r="P140" s="17">
        <f>ROUND((T140 * 2.5) * SQRT(Z140)
,0) + (O140 * 2)</f>
        <v>6634</v>
      </c>
      <c r="Q140" s="17">
        <v>1000</v>
      </c>
      <c r="R140" s="16">
        <f>ROUNDDOWN(L140*0.2, -1)</f>
        <v>590</v>
      </c>
      <c r="S140" s="17">
        <f>ROUNDDOWN(L140*0.005, -1)</f>
        <v>10</v>
      </c>
      <c r="T140" s="15">
        <v>170</v>
      </c>
      <c r="U140" s="4">
        <v>700</v>
      </c>
      <c r="V140" s="4">
        <v>300</v>
      </c>
      <c r="W140" s="4">
        <v>1300</v>
      </c>
      <c r="X140" s="4">
        <v>400</v>
      </c>
      <c r="Y140" s="10">
        <v>800</v>
      </c>
      <c r="Z140" s="15">
        <v>62</v>
      </c>
      <c r="AA140" s="4">
        <v>14000</v>
      </c>
      <c r="AB140" s="4"/>
    </row>
    <row r="141" ht="15.75" customHeight="1">
      <c r="A141" s="4">
        <v>29</v>
      </c>
      <c r="B141" s="8">
        <v>140.0</v>
      </c>
      <c r="C141" s="9" t="b">
        <v>1</v>
      </c>
      <c r="D141" s="4" t="inlineStr">
        <is>
          <t>松倉城</t>
        </is>
      </c>
      <c r="E141" s="10" t="inlineStr">
        <is>
          <t>まつくらじょう</t>
        </is>
      </c>
      <c r="F141" s="11" t="str">
        <f t="array" ref="F141">IF(A141:A392="","",_xlfn.XLOOKUP(A141:A392,'参照_拠点'!A:A,'参照_拠点'!B:B,"見つかりません"))</f>
      </c>
      <c r="G141" s="12" t="str">
        <f t="array" ref="G141">IF(K141:K392="","",_xlfn.XLOOKUP(K141:K392,'参照_武将'!A:A,'参照_武将'!B:B,"見つかりません"))</f>
      </c>
      <c r="H141" s="14" t="str">
        <f t="array" ref="H141">IF(I141:I392="","",_xlfn.XLOOKUP(I141:I392,'参照_勢力'!A:A,'参照_勢力'!B:B,"見つかりません"))</f>
      </c>
      <c r="I141" s="15">
        <v>10</v>
      </c>
      <c r="J141" s="4">
        <v>0</v>
      </c>
      <c r="K141" s="24">
        <v>1010002</v>
      </c>
      <c r="L141" s="18">
        <f>300 + ROUND((((P141/15)+(Y141/10))*(SQRT(AA141)/100+1)+O141)/((COUNTIF(I:I, I141)/30)+1), 0)</f>
        <v>3391</v>
      </c>
      <c r="M141" s="4">
        <v>50</v>
      </c>
      <c r="N141" s="10">
        <v>50</v>
      </c>
      <c r="O141" s="18">
        <f>ROUND(500+((AA141*0.01)+(Z141/3)+(V141/10))*6,0)</f>
        <v>1802</v>
      </c>
      <c r="P141" s="19">
        <f>ROUND((T141 * 2.5) * SQRT(Z141)
,0) + (O141 * 2)</f>
        <v>7260</v>
      </c>
      <c r="Q141" s="19">
        <v>1000</v>
      </c>
      <c r="R141" s="18">
        <f>ROUNDDOWN(L141*0.2, -1)</f>
        <v>670</v>
      </c>
      <c r="S141" s="19">
        <f>ROUNDDOWN(L141*0.005, -1)</f>
        <v>10</v>
      </c>
      <c r="T141" s="15">
        <v>180</v>
      </c>
      <c r="U141" s="4">
        <v>900</v>
      </c>
      <c r="V141" s="4">
        <v>250</v>
      </c>
      <c r="W141" s="4">
        <v>1100</v>
      </c>
      <c r="X141" s="4">
        <v>600</v>
      </c>
      <c r="Y141" s="10">
        <v>1200</v>
      </c>
      <c r="Z141" s="15">
        <v>66</v>
      </c>
      <c r="AA141" s="4">
        <v>17000</v>
      </c>
      <c r="AB141" s="4"/>
    </row>
    <row r="142" ht="15.75" customHeight="1">
      <c r="A142" s="4">
        <v>186</v>
      </c>
      <c r="B142" s="8">
        <v>141.0</v>
      </c>
      <c r="C142" s="9" t="b">
        <v>1</v>
      </c>
      <c r="D142" s="4" t="inlineStr">
        <is>
          <t>今浜城</t>
        </is>
      </c>
      <c r="E142" s="10" t="inlineStr">
        <is>
          <t>いまはまじょう</t>
        </is>
      </c>
      <c r="F142" s="11" t="str">
        <f t="array" ref="F142">IF(A142:A393="","",_xlfn.XLOOKUP(A142:A393,'参照_拠点'!A:A,'参照_拠点'!B:B,"見つかりません"))</f>
      </c>
      <c r="G142" s="12" t="str">
        <f t="array" ref="G142">IF(K142:K393="","",_xlfn.XLOOKUP(K142:K393,'参照_武将'!A:A,'参照_武将'!B:B,"見つかりません"))</f>
      </c>
      <c r="H142" s="14" t="str">
        <f t="array" ref="H142">IF(I142:I393="","",_xlfn.XLOOKUP(I142:I393,'参照_勢力'!A:A,'参照_勢力'!B:B,"見つかりません"))</f>
      </c>
      <c r="I142" s="15">
        <v>15</v>
      </c>
      <c r="J142" s="4">
        <v>0</v>
      </c>
      <c r="K142" s="10">
        <v>1015052</v>
      </c>
      <c r="L142" s="16">
        <f>(300 + ROUND((((P142/15)+(Y142/10))*(SQRT(AA142)/100+1)+O142)/((COUNTIF(I:I, I142)/30)+1), 0))-47</f>
        <v>1866</v>
      </c>
      <c r="M142" s="4">
        <v>50</v>
      </c>
      <c r="N142" s="10">
        <v>50</v>
      </c>
      <c r="O142" s="16">
        <f>ROUND(500+((AA142*0.01)+(Z142/3)+(V142/10))*6,0)</f>
        <v>982</v>
      </c>
      <c r="P142" s="17">
        <f>ROUND((T142 * 2.5) * SQRT(Z142)
,0) + (O142 * 2)</f>
        <v>6064</v>
      </c>
      <c r="Q142" s="17">
        <v>1000</v>
      </c>
      <c r="R142" s="16">
        <f>ROUNDDOWN(L142*0.2, -1)</f>
        <v>370</v>
      </c>
      <c r="S142" s="17">
        <f>ROUNDDOWN(L142*0.3, -1)</f>
        <v>550</v>
      </c>
      <c r="T142" s="15">
        <v>210</v>
      </c>
      <c r="U142" s="4">
        <v>700</v>
      </c>
      <c r="V142" s="4">
        <v>100</v>
      </c>
      <c r="W142" s="4">
        <v>650</v>
      </c>
      <c r="X142" s="4">
        <v>300</v>
      </c>
      <c r="Y142" s="10">
        <v>600</v>
      </c>
      <c r="Z142" s="15">
        <v>61</v>
      </c>
      <c r="AA142" s="4">
        <v>5000</v>
      </c>
      <c r="AB142" s="4"/>
    </row>
    <row r="143" ht="15.75" customHeight="1">
      <c r="A143" s="4">
        <v>23</v>
      </c>
      <c r="B143" s="8">
        <v>142.0</v>
      </c>
      <c r="C143" s="9" t="b">
        <v>1</v>
      </c>
      <c r="D143" s="4" t="inlineStr">
        <is>
          <t>小谷城</t>
        </is>
      </c>
      <c r="E143" s="10" t="inlineStr">
        <is>
          <t>おだにじょう</t>
        </is>
      </c>
      <c r="F143" s="11" t="str">
        <f t="array" ref="F143">IF(A143:A394="","",_xlfn.XLOOKUP(A143:A394,'参照_拠点'!A:A,'参照_拠点'!B:B,"見つかりません"))</f>
      </c>
      <c r="G143" s="12" t="str">
        <f t="array" ref="G143">IF(K143:K394="","",_xlfn.XLOOKUP(K143:K394,'参照_武将'!A:A,'参照_武将'!B:B,"見つかりません"))</f>
      </c>
      <c r="H143" s="14" t="str">
        <f t="array" ref="H143">IF(I143:I394="","",_xlfn.XLOOKUP(I143:I394,'参照_勢力'!A:A,'参照_勢力'!B:B,"見つかりません"))</f>
      </c>
      <c r="I143" s="15">
        <v>15</v>
      </c>
      <c r="J143" s="4">
        <v>0</v>
      </c>
      <c r="K143" s="10">
        <v>1015005</v>
      </c>
      <c r="L143" s="18">
        <f>(300 + ROUND((((P143/15)+(Y143/10))*(SQRT(AA143)/100+1)+O143)/((COUNTIF(I:I, I143)/30)+1), 0))-84</f>
        <v>3081</v>
      </c>
      <c r="M143" s="4">
        <v>50</v>
      </c>
      <c r="N143" s="10">
        <v>50</v>
      </c>
      <c r="O143" s="18">
        <f>ROUND(500+((AA143*0.01)+(Z143/3)+(V143/10))*6,0)</f>
        <v>1638</v>
      </c>
      <c r="P143" s="19">
        <f>ROUND((T143 * 2.5) * SQRT(Z143)
,0) + (O143 * 2)</f>
        <v>8077</v>
      </c>
      <c r="Q143" s="19">
        <v>1000</v>
      </c>
      <c r="R143" s="18">
        <f>ROUNDDOWN(L143*0.2, -1)</f>
        <v>610</v>
      </c>
      <c r="S143" s="19">
        <f>ROUNDDOWN(L143*0.005, -1)</f>
        <v>10</v>
      </c>
      <c r="T143" s="15">
        <v>250</v>
      </c>
      <c r="U143" s="4">
        <v>1400</v>
      </c>
      <c r="V143" s="4">
        <v>100</v>
      </c>
      <c r="W143" s="4">
        <v>600</v>
      </c>
      <c r="X143" s="4">
        <v>650</v>
      </c>
      <c r="Y143" s="10">
        <v>1300</v>
      </c>
      <c r="Z143" s="15">
        <v>59</v>
      </c>
      <c r="AA143" s="4">
        <v>16000</v>
      </c>
      <c r="AB143" s="4"/>
    </row>
    <row r="144" ht="15.75" customHeight="1">
      <c r="A144" s="4">
        <v>35</v>
      </c>
      <c r="B144" s="8">
        <v>143.0</v>
      </c>
      <c r="C144" s="9" t="b">
        <v>1</v>
      </c>
      <c r="D144" s="4" t="inlineStr">
        <is>
          <t>観音寺城</t>
        </is>
      </c>
      <c r="E144" s="10" t="inlineStr">
        <is>
          <t>かんのんじじょう</t>
        </is>
      </c>
      <c r="F144" s="11" t="str">
        <f t="array" ref="F144">IF(A144:A395="","",_xlfn.XLOOKUP(A144:A395,'参照_拠点'!A:A,'参照_拠点'!B:B,"見つかりません"))</f>
      </c>
      <c r="G144" s="12" t="str">
        <f t="array" ref="G144">IF(K144:K395="","",_xlfn.XLOOKUP(K144:K395,'参照_武将'!A:A,'参照_武将'!B:B,"見つかりません"))</f>
      </c>
      <c r="H144" s="14" t="str">
        <f t="array" ref="H144">IF(I144:I395="","",_xlfn.XLOOKUP(I144:I395,'参照_勢力'!A:A,'参照_勢力'!B:B,"見つかりません"))</f>
      </c>
      <c r="I144" s="15">
        <v>1</v>
      </c>
      <c r="J144" s="4">
        <v>0</v>
      </c>
      <c r="K144" s="10">
        <v>1018023</v>
      </c>
      <c r="L144" s="16">
        <f>(300 + ROUND((((P144/15)+(Y144/10))*(SQRT(AA144)/100+1)+O144)/((COUNTIF(I:I, I144)/30)+1), 0))+40</f>
        <v>2527</v>
      </c>
      <c r="M144" s="4">
        <v>50</v>
      </c>
      <c r="N144" s="10">
        <v>50</v>
      </c>
      <c r="O144" s="16">
        <f>(ROUND(500+((AA144*0.01)+(Z144/3)+(V144/10))*6,0)+300)-300</f>
        <v>2010</v>
      </c>
      <c r="P144" s="17">
        <f>ROUND((T144 * 2.5) * SQRT(Z144)
,0) + (O144 * 2)</f>
        <v>9664</v>
      </c>
      <c r="Q144" s="17">
        <v>1000</v>
      </c>
      <c r="R144" s="16">
        <f>ROUNDDOWN(L144*0.2, -1)</f>
        <v>500</v>
      </c>
      <c r="S144" s="17">
        <f>ROUNDDOWN(L144*0.005, -1)</f>
        <v>10</v>
      </c>
      <c r="T144" s="15">
        <v>280</v>
      </c>
      <c r="U144" s="4">
        <v>2000</v>
      </c>
      <c r="V144" s="4">
        <v>0</v>
      </c>
      <c r="W144" s="4">
        <v>0</v>
      </c>
      <c r="X144" s="23">
        <v>750</v>
      </c>
      <c r="Y144" s="24">
        <v>1500</v>
      </c>
      <c r="Z144" s="15">
        <v>65</v>
      </c>
      <c r="AA144" s="4">
        <v>23000</v>
      </c>
      <c r="AB144" s="4"/>
    </row>
    <row r="145" ht="15.75" customHeight="1">
      <c r="A145" s="4">
        <v>177</v>
      </c>
      <c r="B145" s="8">
        <v>144.0</v>
      </c>
      <c r="C145" s="9" t="b">
        <v>1</v>
      </c>
      <c r="D145" s="4" t="inlineStr">
        <is>
          <t>朽木城</t>
        </is>
      </c>
      <c r="E145" s="10" t="inlineStr">
        <is>
          <t>くつきじょう</t>
        </is>
      </c>
      <c r="F145" s="11" t="str">
        <f t="array" ref="F145">IF(A145:A396="","",_xlfn.XLOOKUP(A145:A396,'参照_拠点'!A:A,'参照_拠点'!B:B,"見つかりません"))</f>
      </c>
      <c r="G145" s="12" t="str">
        <f t="array" ref="G145">IF(K145:K396="","",_xlfn.XLOOKUP(K145:K396,'参照_武将'!A:A,'参照_武将'!B:B,"見つかりません"))</f>
      </c>
      <c r="H145" s="14" t="str">
        <f t="array" ref="H145">IF(I145:I396="","",_xlfn.XLOOKUP(I145:I396,'参照_勢力'!A:A,'参照_勢力'!B:B,"見つかりません"))</f>
      </c>
      <c r="I145" s="15">
        <v>1</v>
      </c>
      <c r="J145" s="4">
        <v>0</v>
      </c>
      <c r="K145" s="10">
        <v>1015038</v>
      </c>
      <c r="L145" s="18">
        <f>(300 + ROUND((((P145/15)+(Y145/10))*(SQRT(AA145)/100+1)+O145)/((COUNTIF(I:I, I145)/30)+1), 0))+481</f>
        <v>1561</v>
      </c>
      <c r="M145" s="4">
        <v>50</v>
      </c>
      <c r="N145" s="10">
        <v>50</v>
      </c>
      <c r="O145" s="18">
        <f>ROUND(500+((AA145*0.01)+(Z145/3)+(V145/10))*6,0)</f>
        <v>830</v>
      </c>
      <c r="P145" s="19">
        <f>ROUND((T145 * 2.5) * SQRT(Z145)
,0) + (O145 * 2)</f>
        <v>4758</v>
      </c>
      <c r="Q145" s="19">
        <v>1000</v>
      </c>
      <c r="R145" s="18">
        <f>ROUNDDOWN(L145*0.2, -1)</f>
        <v>310</v>
      </c>
      <c r="S145" s="19">
        <f>ROUNDDOWN(L145*0.005, -1)</f>
        <v>0</v>
      </c>
      <c r="T145" s="15">
        <v>160</v>
      </c>
      <c r="U145" s="4">
        <v>700</v>
      </c>
      <c r="V145" s="4">
        <v>50</v>
      </c>
      <c r="W145" s="4">
        <v>750</v>
      </c>
      <c r="X145" s="4">
        <v>350</v>
      </c>
      <c r="Y145" s="10">
        <v>700</v>
      </c>
      <c r="Z145" s="15">
        <v>60</v>
      </c>
      <c r="AA145" s="4">
        <v>3000</v>
      </c>
      <c r="AB145" s="4"/>
    </row>
    <row r="146" ht="15.75" customHeight="1">
      <c r="A146" s="4">
        <v>28</v>
      </c>
      <c r="B146" s="8">
        <v>145.0</v>
      </c>
      <c r="C146" s="9" t="b">
        <v>1</v>
      </c>
      <c r="D146" s="4" t="inlineStr">
        <is>
          <t>佐和山城</t>
        </is>
      </c>
      <c r="E146" s="10" t="inlineStr">
        <is>
          <t>さわやまじょう</t>
        </is>
      </c>
      <c r="F146" s="11" t="str">
        <f t="array" ref="F146">IF(A146:A397="","",_xlfn.XLOOKUP(A146:A397,'参照_拠点'!A:A,'参照_拠点'!B:B,"見つかりません"))</f>
      </c>
      <c r="G146" s="12" t="str">
        <f t="array" ref="G146">IF(K146:K397="","",_xlfn.XLOOKUP(K146:K397,'参照_武将'!A:A,'参照_武将'!B:B,"見つかりません"))</f>
      </c>
      <c r="H146" s="14" t="str">
        <f t="array" ref="H146">IF(I146:I397="","",_xlfn.XLOOKUP(I146:I397,'参照_勢力'!A:A,'参照_勢力'!B:B,"見つかりません"))</f>
      </c>
      <c r="I146" s="15">
        <v>15</v>
      </c>
      <c r="J146" s="4">
        <v>0</v>
      </c>
      <c r="K146" s="10">
        <v>1015028</v>
      </c>
      <c r="L146" s="16">
        <f>(300 + ROUND((((P146/15)+(Y146/10))*(SQRT(AA146)/100+1)+O146)/((COUNTIF(I:I, I146)/30)+1), 0))-57</f>
        <v>2169</v>
      </c>
      <c r="M146" s="4">
        <v>50</v>
      </c>
      <c r="N146" s="10">
        <v>50</v>
      </c>
      <c r="O146" s="16">
        <f>ROUND(500+((AA146*0.01)+(Z146/3)+(V146/10))*6,0)</f>
        <v>1164</v>
      </c>
      <c r="P146" s="17">
        <f>ROUND((T146 * 2.5) * SQRT(Z146)
,0) + (O146 * 2)</f>
        <v>6659</v>
      </c>
      <c r="Q146" s="17">
        <v>1000</v>
      </c>
      <c r="R146" s="16">
        <f>ROUNDDOWN(L146*0.2, -1)</f>
        <v>430</v>
      </c>
      <c r="S146" s="17">
        <f>ROUNDDOWN(L146*0.005, -1)</f>
        <v>10</v>
      </c>
      <c r="T146" s="15">
        <v>220</v>
      </c>
      <c r="U146" s="4">
        <v>1100</v>
      </c>
      <c r="V146" s="4">
        <v>100</v>
      </c>
      <c r="W146" s="4">
        <v>650</v>
      </c>
      <c r="X146" s="4">
        <v>300</v>
      </c>
      <c r="Y146" s="10">
        <v>600</v>
      </c>
      <c r="Z146" s="15">
        <v>62</v>
      </c>
      <c r="AA146" s="4">
        <v>8000</v>
      </c>
      <c r="AB146" s="4"/>
    </row>
    <row r="147" ht="15.75" customHeight="1">
      <c r="A147" s="4">
        <v>246</v>
      </c>
      <c r="B147" s="8">
        <v>146.0</v>
      </c>
      <c r="C147" s="9" t="b">
        <v>1</v>
      </c>
      <c r="D147" s="4" t="inlineStr">
        <is>
          <t>多喜山城</t>
        </is>
      </c>
      <c r="E147" s="10" t="inlineStr">
        <is>
          <t>たきやまじょう</t>
        </is>
      </c>
      <c r="F147" s="11" t="str">
        <f t="array" ref="F147">IF(A147:A398="","",_xlfn.XLOOKUP(A147:A398,'参照_拠点'!A:A,'参照_拠点'!B:B,"見つかりません"))</f>
      </c>
      <c r="G147" s="12" t="str">
        <f t="array" ref="G147">IF(K147:K398="","",_xlfn.XLOOKUP(K147:K398,'参照_武将'!A:A,'参照_武将'!B:B,"見つかりません"))</f>
      </c>
      <c r="H147" s="14" t="str">
        <f t="array" ref="H147">IF(I147:I398="","",_xlfn.XLOOKUP(I147:I398,'参照_勢力'!A:A,'参照_勢力'!B:B,"見つかりません"))</f>
      </c>
      <c r="I147" s="15">
        <v>1</v>
      </c>
      <c r="J147" s="4">
        <v>0</v>
      </c>
      <c r="K147" s="10">
        <v>1018039</v>
      </c>
      <c r="L147" s="18">
        <f>(300 + ROUND((((P147/15)+(Y147/10))*(SQRT(AA147)/100+1)+O147)/((COUNTIF(I:I, I147)/30)+1), 0))+16</f>
        <v>1145</v>
      </c>
      <c r="M147" s="4">
        <v>50</v>
      </c>
      <c r="N147" s="10">
        <v>50</v>
      </c>
      <c r="O147" s="18">
        <f>(ROUND(500+((AA147*0.01)+(Z147/3)+(V147/10))*6,0)+300)-300</f>
        <v>952</v>
      </c>
      <c r="P147" s="19">
        <f>ROUND((T147 * 2.5) * SQRT(Z147)
,0) + (O147 * 2)</f>
        <v>4247</v>
      </c>
      <c r="Q147" s="19">
        <v>1000</v>
      </c>
      <c r="R147" s="18">
        <f>ROUNDDOWN(L147*0.2, -1)</f>
        <v>220</v>
      </c>
      <c r="S147" s="19">
        <f>ROUNDDOWN(L147*0.005, -1)</f>
        <v>0</v>
      </c>
      <c r="T147" s="15">
        <v>120</v>
      </c>
      <c r="U147" s="4">
        <v>600</v>
      </c>
      <c r="V147" s="4">
        <v>50</v>
      </c>
      <c r="W147" s="4">
        <v>350</v>
      </c>
      <c r="X147" s="4">
        <v>250</v>
      </c>
      <c r="Y147" s="10">
        <v>500</v>
      </c>
      <c r="Z147" s="15">
        <v>61</v>
      </c>
      <c r="AA147" s="4">
        <v>5000</v>
      </c>
      <c r="AB147" s="4"/>
    </row>
    <row r="148" ht="15.75" customHeight="1">
      <c r="A148" s="4">
        <v>27</v>
      </c>
      <c r="B148" s="8">
        <v>147.0</v>
      </c>
      <c r="C148" s="9" t="b">
        <v>1</v>
      </c>
      <c r="D148" s="4" t="inlineStr">
        <is>
          <t>宇佐山城</t>
        </is>
      </c>
      <c r="E148" s="10" t="inlineStr">
        <is>
          <t>うさやまじょう</t>
        </is>
      </c>
      <c r="F148" s="11" t="str">
        <f t="array" ref="F148">IF(A148:A399="","",_xlfn.XLOOKUP(A148:A399,'参照_拠点'!A:A,'参照_拠点'!B:B,"見つかりません"))</f>
      </c>
      <c r="G148" s="12" t="str">
        <f t="array" ref="G148">IF(K148:K399="","",_xlfn.XLOOKUP(K148:K399,'参照_武将'!A:A,'参照_武将'!B:B,"見つかりません"))</f>
      </c>
      <c r="H148" s="14" t="str">
        <f t="array" ref="H148">IF(I148:I399="","",_xlfn.XLOOKUP(I148:I399,'参照_勢力'!A:A,'参照_勢力'!B:B,"見つかりません"))</f>
      </c>
      <c r="I148" s="15">
        <v>1</v>
      </c>
      <c r="J148" s="4">
        <v>0</v>
      </c>
      <c r="K148" s="10">
        <v>1006171</v>
      </c>
      <c r="L148" s="16">
        <f>(300 + ROUND((((P148/15)+(Y148/10))*(SQRT(AA148)/100+1)+O148)/((COUNTIF(I:I, I148)/30)+1), 0))+687</f>
        <v>2189</v>
      </c>
      <c r="M148" s="4">
        <v>50</v>
      </c>
      <c r="N148" s="10">
        <v>50</v>
      </c>
      <c r="O148" s="16">
        <f>(ROUND(500+((AA148*0.01)+(Z148/3)+(V148/10))*6,0)+300)-300</f>
        <v>1106</v>
      </c>
      <c r="P148" s="17">
        <f>ROUND((T148 * 2.5) * SQRT(Z148)
,0) + (O148 * 2)</f>
        <v>7768</v>
      </c>
      <c r="Q148" s="17">
        <v>1000</v>
      </c>
      <c r="R148" s="16">
        <f>ROUNDDOWN(L148*0.2, -1)</f>
        <v>430</v>
      </c>
      <c r="S148" s="17">
        <f>ROUNDDOWN(L148*0.005, -1)</f>
        <v>10</v>
      </c>
      <c r="T148" s="15">
        <v>280</v>
      </c>
      <c r="U148" s="4">
        <v>800</v>
      </c>
      <c r="V148" s="4">
        <v>100</v>
      </c>
      <c r="W148" s="4">
        <v>400</v>
      </c>
      <c r="X148" s="4">
        <v>400</v>
      </c>
      <c r="Y148" s="10">
        <v>800</v>
      </c>
      <c r="Z148" s="15">
        <v>63</v>
      </c>
      <c r="AA148" s="4">
        <v>7000</v>
      </c>
      <c r="AB148" s="4"/>
    </row>
    <row r="149" ht="15.75" customHeight="1">
      <c r="A149" s="4">
        <v>40</v>
      </c>
      <c r="B149" s="8">
        <v>148.0</v>
      </c>
      <c r="C149" s="9" t="b">
        <v>1</v>
      </c>
      <c r="D149" s="4" t="inlineStr">
        <is>
          <t>日野城</t>
        </is>
      </c>
      <c r="E149" s="10" t="inlineStr">
        <is>
          <t>ひのじょう</t>
        </is>
      </c>
      <c r="F149" s="11" t="str">
        <f t="array" ref="F149">IF(A149:A400="","",_xlfn.XLOOKUP(A149:A400,'参照_拠点'!A:A,'参照_拠点'!B:B,"見つかりません"))</f>
      </c>
      <c r="G149" s="12" t="str">
        <f t="array" ref="G149">IF(K149:K400="","",_xlfn.XLOOKUP(K149:K400,'参照_武将'!A:A,'参照_武将'!B:B,"見つかりません"))</f>
      </c>
      <c r="H149" s="14" t="str">
        <f t="array" ref="H149">IF(I149:I400="","",_xlfn.XLOOKUP(I149:I400,'参照_勢力'!A:A,'参照_勢力'!B:B,"見つかりません"))</f>
      </c>
      <c r="I149" s="15">
        <v>1</v>
      </c>
      <c r="J149" s="4">
        <v>0</v>
      </c>
      <c r="K149" s="10">
        <v>1018014</v>
      </c>
      <c r="L149" s="18">
        <f>(300 + ROUND((((P149/15)+(Y149/10))*(SQRT(AA149)/100+1)+O149)/((COUNTIF(I:I, I149)/30)+1), 0))+20</f>
        <v>1371</v>
      </c>
      <c r="M149" s="4">
        <v>50</v>
      </c>
      <c r="N149" s="10">
        <v>50</v>
      </c>
      <c r="O149" s="18">
        <f>(ROUND(500+((AA149*0.01)+(Z149/3)+(V149/10))*6,0)+300)-300</f>
        <v>1044</v>
      </c>
      <c r="P149" s="19">
        <f>ROUND((T149 * 2.5) * SQRT(Z149)
,0) + (O149 * 2)</f>
        <v>6419</v>
      </c>
      <c r="Q149" s="19">
        <v>1000</v>
      </c>
      <c r="R149" s="18">
        <f>ROUNDDOWN(L149*0.2, -1)</f>
        <v>270</v>
      </c>
      <c r="S149" s="19">
        <f>ROUNDDOWN(L149*0.005, -1)</f>
        <v>0</v>
      </c>
      <c r="T149" s="15">
        <v>220</v>
      </c>
      <c r="U149" s="4">
        <v>900</v>
      </c>
      <c r="V149" s="4">
        <v>100</v>
      </c>
      <c r="W149" s="4">
        <v>650</v>
      </c>
      <c r="X149" s="4">
        <v>350</v>
      </c>
      <c r="Y149" s="10">
        <v>700</v>
      </c>
      <c r="Z149" s="15">
        <v>62</v>
      </c>
      <c r="AA149" s="4">
        <v>6000</v>
      </c>
      <c r="AB149" s="4"/>
    </row>
    <row r="150" ht="15.75" customHeight="1">
      <c r="A150" s="4">
        <v>26</v>
      </c>
      <c r="B150" s="8">
        <v>149.0</v>
      </c>
      <c r="C150" s="9" t="b">
        <v>1</v>
      </c>
      <c r="D150" s="4" t="inlineStr">
        <is>
          <t>二条城</t>
        </is>
      </c>
      <c r="E150" s="10" t="inlineStr">
        <is>
          <t>にじょうじょう</t>
        </is>
      </c>
      <c r="F150" s="11" t="str">
        <f t="array" ref="F150">IF(A150:A401="","",_xlfn.XLOOKUP(A150:A401,'参照_拠点'!A:A,'参照_拠点'!B:B,"見つかりません"))</f>
      </c>
      <c r="G150" s="12" t="str">
        <f t="array" ref="G150">IF(K150:K401="","",_xlfn.XLOOKUP(K150:K401,'参照_武将'!A:A,'参照_武将'!B:B,"見つかりません"))</f>
      </c>
      <c r="H150" s="14" t="str">
        <f t="array" ref="H150">IF(I150:I401="","",_xlfn.XLOOKUP(I150:I401,'参照_勢力'!A:A,'参照_勢力'!B:B,"見つかりません"))</f>
      </c>
      <c r="I150" s="15">
        <v>17</v>
      </c>
      <c r="J150" s="4">
        <v>0</v>
      </c>
      <c r="K150" s="10">
        <v>1017004</v>
      </c>
      <c r="L150" s="16">
        <f>300 + ROUND((((P150/15)+(Y150/10))*(SQRT(AA150)/100+1)+O150)/((COUNTIF(I:I, I150)/30)+1), 0)</f>
        <v>3171</v>
      </c>
      <c r="M150" s="4">
        <v>40</v>
      </c>
      <c r="N150" s="10">
        <v>40</v>
      </c>
      <c r="O150" s="16">
        <f>ROUND(500+((AA150*0.01)+(Z150/3)+(V150/10))*6,0)-1000</f>
        <v>1426</v>
      </c>
      <c r="P150" s="17">
        <f>(ROUND((T150 * 2.5) * SQRT(Z150)
,0) + (O150 * 2))-1985</f>
        <v>8011</v>
      </c>
      <c r="Q150" s="17">
        <v>1000</v>
      </c>
      <c r="R150" s="16">
        <f>ROUNDDOWN(L150*0.2, -1)</f>
        <v>630</v>
      </c>
      <c r="S150" s="17">
        <f>ROUNDDOWN(L150*0.005, -1)</f>
        <v>10</v>
      </c>
      <c r="T150" s="15">
        <v>360</v>
      </c>
      <c r="U150" s="4">
        <v>1100</v>
      </c>
      <c r="V150" s="4">
        <v>0</v>
      </c>
      <c r="W150" s="4">
        <v>0</v>
      </c>
      <c r="X150" s="4">
        <v>600</v>
      </c>
      <c r="Y150" s="10">
        <v>1000</v>
      </c>
      <c r="Z150" s="15">
        <v>63</v>
      </c>
      <c r="AA150" s="4">
        <v>30000</v>
      </c>
      <c r="AB150" s="4"/>
    </row>
    <row r="151" ht="15.75" customHeight="1">
      <c r="A151" s="4">
        <v>90</v>
      </c>
      <c r="B151" s="8">
        <v>150.0</v>
      </c>
      <c r="C151" s="9" t="b">
        <v>1</v>
      </c>
      <c r="D151" s="4" t="inlineStr">
        <is>
          <t>槇島城</t>
        </is>
      </c>
      <c r="E151" s="10" t="inlineStr">
        <is>
          <t>まきしまじょう</t>
        </is>
      </c>
      <c r="F151" s="11" t="str">
        <f t="array" ref="F151">IF(A151:A402="","",_xlfn.XLOOKUP(A151:A402,'参照_拠点'!A:A,'参照_拠点'!B:B,"見つかりません"))</f>
      </c>
      <c r="G151" s="12" t="str">
        <f t="array" ref="G151">IF(K151:K402="","",_xlfn.XLOOKUP(K151:K402,'参照_武将'!A:A,'参照_武将'!B:B,"見つかりません"))</f>
      </c>
      <c r="H151" s="14" t="str">
        <f t="array" ref="H151">IF(I151:I402="","",_xlfn.XLOOKUP(I151:I402,'参照_勢力'!A:A,'参照_勢力'!B:B,"見つかりません"))</f>
      </c>
      <c r="I151" s="15">
        <v>17</v>
      </c>
      <c r="J151" s="4">
        <v>0</v>
      </c>
      <c r="K151" s="10">
        <v>1017027</v>
      </c>
      <c r="L151" s="18">
        <f>300 + ROUND((((P151/15)+(Y151/10))*(SQRT(AA151)/100+1)+O151)/((COUNTIF(I:I, I151)/30)+1), 0)</f>
        <v>1968</v>
      </c>
      <c r="M151" s="4">
        <v>40</v>
      </c>
      <c r="N151" s="10">
        <v>40</v>
      </c>
      <c r="O151" s="18">
        <f>ROUND(500+((AA151*0.01)+(Z151/3)+(V151/10))*6,0)-1000</f>
        <v>828</v>
      </c>
      <c r="P151" s="19">
        <f>ROUND((T151 * 2.5) * SQRT(Z151)
,0) + (O151 * 2)</f>
        <v>5056</v>
      </c>
      <c r="Q151" s="19">
        <v>1000</v>
      </c>
      <c r="R151" s="18">
        <f>ROUNDDOWN(L151*0.2, -1)</f>
        <v>390</v>
      </c>
      <c r="S151" s="19">
        <f>ROUNDDOWN(L151*0.005, -1)</f>
        <v>0</v>
      </c>
      <c r="T151" s="15">
        <v>170</v>
      </c>
      <c r="U151" s="4">
        <v>800</v>
      </c>
      <c r="V151" s="4">
        <v>0</v>
      </c>
      <c r="W151" s="4">
        <v>0</v>
      </c>
      <c r="X151" s="4">
        <v>400</v>
      </c>
      <c r="Y151" s="10">
        <v>800</v>
      </c>
      <c r="Z151" s="15">
        <v>64</v>
      </c>
      <c r="AA151" s="4">
        <v>20000</v>
      </c>
      <c r="AB151" s="4"/>
    </row>
    <row r="152" ht="15.75" customHeight="1">
      <c r="A152" s="4">
        <v>39</v>
      </c>
      <c r="B152" s="8">
        <v>151.0</v>
      </c>
      <c r="C152" s="9" t="b">
        <v>1</v>
      </c>
      <c r="D152" s="4" t="inlineStr">
        <is>
          <t>信貴山城</t>
        </is>
      </c>
      <c r="E152" s="10" t="inlineStr">
        <is>
          <t>しぎさんじょう</t>
        </is>
      </c>
      <c r="F152" s="11" t="str">
        <f t="array" ref="F152">IF(A152:A403="","",_xlfn.XLOOKUP(A152:A403,'参照_拠点'!A:A,'参照_拠点'!B:B,"見つかりません"))</f>
      </c>
      <c r="G152" s="12" t="str">
        <f t="array" ref="G152">IF(K152:K403="","",_xlfn.XLOOKUP(K152:K403,'参照_武将'!A:A,'参照_武将'!B:B,"見つかりません"))</f>
      </c>
      <c r="H152" s="14" t="str">
        <f t="array" ref="H152">IF(I152:I403="","",_xlfn.XLOOKUP(I152:I403,'参照_勢力'!A:A,'参照_勢力'!B:B,"見つかりません"))</f>
      </c>
      <c r="I152" s="15">
        <v>1</v>
      </c>
      <c r="J152" s="4">
        <v>3</v>
      </c>
      <c r="K152" s="10">
        <v>1202004</v>
      </c>
      <c r="L152" s="16">
        <f>(300 + ROUND((((P152/15)+(Y152/10))*(SQRT(AA152)/100+1)+O152)/((COUNTIF(I:I, I152)/30)+1), 0))+47</f>
        <v>2895</v>
      </c>
      <c r="M152" s="4">
        <v>60</v>
      </c>
      <c r="N152" s="10">
        <v>60</v>
      </c>
      <c r="O152" s="16">
        <f>ROUND(500+((AA152*0.01)+(Z152/3)+(V152/10))*6,0)+1000</f>
        <v>2832</v>
      </c>
      <c r="P152" s="17">
        <f>ROUND((T152 * 2.5) * SQRT(Z152)
,0) + (O152 * 2)</f>
        <v>10132</v>
      </c>
      <c r="Q152" s="17">
        <v>1000</v>
      </c>
      <c r="R152" s="16">
        <f>ROUNDDOWN(L152*0.3, -1)</f>
        <v>860</v>
      </c>
      <c r="S152" s="17">
        <f>ROUNDDOWN(L152*0.01, -1)</f>
        <v>20</v>
      </c>
      <c r="T152" s="15">
        <v>220</v>
      </c>
      <c r="U152" s="4">
        <v>1100</v>
      </c>
      <c r="V152" s="4">
        <v>200</v>
      </c>
      <c r="W152" s="4">
        <v>800</v>
      </c>
      <c r="X152" s="4">
        <v>550</v>
      </c>
      <c r="Y152" s="10">
        <v>1100</v>
      </c>
      <c r="Z152" s="15">
        <v>66</v>
      </c>
      <c r="AA152" s="4">
        <v>18000</v>
      </c>
      <c r="AB152" s="4"/>
    </row>
    <row r="153" ht="15.75" customHeight="1">
      <c r="A153" s="4">
        <v>53</v>
      </c>
      <c r="B153" s="8">
        <v>152.0</v>
      </c>
      <c r="C153" s="9" t="b">
        <v>1</v>
      </c>
      <c r="D153" s="4" t="inlineStr">
        <is>
          <t>筒井城</t>
        </is>
      </c>
      <c r="E153" s="10" t="inlineStr">
        <is>
          <t>つついじょう</t>
        </is>
      </c>
      <c r="F153" s="11" t="str">
        <f t="array" ref="F153">IF(A153:A404="","",_xlfn.XLOOKUP(A153:A404,'参照_拠点'!A:A,'参照_拠点'!B:B,"見つかりません"))</f>
      </c>
      <c r="G153" s="12" t="str">
        <f t="array" ref="G153">IF(K153:K404="","",_xlfn.XLOOKUP(K153:K404,'参照_武将'!A:A,'参照_武将'!B:B,"見つかりません"))</f>
      </c>
      <c r="H153" s="14" t="str">
        <f t="array" ref="H153">IF(I153:I404="","",_xlfn.XLOOKUP(I153:I404,'参照_勢力'!A:A,'参照_勢力'!B:B,"見つかりません"))</f>
      </c>
      <c r="I153" s="15">
        <v>1</v>
      </c>
      <c r="J153" s="4">
        <v>3</v>
      </c>
      <c r="K153" s="10">
        <v>1202005</v>
      </c>
      <c r="L153" s="18">
        <f>(300 + ROUND((((P153/15)+(Y153/10))*(SQRT(AA153)/100+1)+O153)/((COUNTIF(I:I, I153)/30)+1), 0))+30</f>
        <v>1963</v>
      </c>
      <c r="M153" s="4">
        <v>50</v>
      </c>
      <c r="N153" s="10">
        <v>50</v>
      </c>
      <c r="O153" s="18">
        <f>ROUND(500+((AA153*0.01)+(Z153/3)+(V153/10))*6,0)</f>
        <v>1588</v>
      </c>
      <c r="P153" s="19">
        <f>ROUND((T153 * 2.5) * SQRT(Z153)
,0) + (O153 * 2)</f>
        <v>7976</v>
      </c>
      <c r="Q153" s="19">
        <v>1000</v>
      </c>
      <c r="R153" s="18">
        <f>ROUNDDOWN(L153*0.2, -1)</f>
        <v>390</v>
      </c>
      <c r="S153" s="19">
        <f>ROUNDDOWN(L153*0.005, -1)</f>
        <v>0</v>
      </c>
      <c r="T153" s="15">
        <v>240</v>
      </c>
      <c r="U153" s="4">
        <v>1200</v>
      </c>
      <c r="V153" s="4">
        <v>100</v>
      </c>
      <c r="W153" s="4">
        <v>750</v>
      </c>
      <c r="X153" s="4">
        <v>500</v>
      </c>
      <c r="Y153" s="10">
        <v>1000</v>
      </c>
      <c r="Z153" s="15">
        <v>64</v>
      </c>
      <c r="AA153" s="4">
        <v>15000</v>
      </c>
      <c r="AB153" s="4"/>
    </row>
    <row r="154" ht="15.75" customHeight="1">
      <c r="A154" s="4">
        <v>34</v>
      </c>
      <c r="B154" s="8">
        <v>153.0</v>
      </c>
      <c r="C154" s="9" t="b">
        <v>1</v>
      </c>
      <c r="D154" s="4" t="inlineStr">
        <is>
          <t>若江城</t>
        </is>
      </c>
      <c r="E154" s="10" t="inlineStr">
        <is>
          <t>わかえじょう</t>
        </is>
      </c>
      <c r="F154" s="11" t="str">
        <f t="array" ref="F154">IF(A154:A405="","",_xlfn.XLOOKUP(A154:A405,'参照_拠点'!A:A,'参照_拠点'!B:B,"見つかりません"))</f>
      </c>
      <c r="G154" s="12" t="str">
        <f t="array" ref="G154">IF(K154:K405="","",_xlfn.XLOOKUP(K154:K405,'参照_武将'!A:A,'参照_武将'!B:B,"見つかりません"))</f>
      </c>
      <c r="H154" s="14" t="str">
        <f t="array" ref="H154">IF(I154:I405="","",_xlfn.XLOOKUP(I154:I405,'参照_勢力'!A:A,'参照_勢力'!B:B,"見つかりません"))</f>
      </c>
      <c r="I154" s="15">
        <v>1</v>
      </c>
      <c r="J154" s="4">
        <v>4</v>
      </c>
      <c r="K154" s="10">
        <v>1020014</v>
      </c>
      <c r="L154" s="16">
        <f>(300 + ROUND((((P154/15)+(Y154/10))*(SQRT(AA154)/100+1)+O154)/((COUNTIF(I:I, I154)/30)+1), 0))+34</f>
        <v>2148</v>
      </c>
      <c r="M154" s="4">
        <v>50</v>
      </c>
      <c r="N154" s="10">
        <v>50</v>
      </c>
      <c r="O154" s="16">
        <f>ROUND(500+((AA154*0.01)+(Z154/3)+(V154/10))*6,0)</f>
        <v>1704</v>
      </c>
      <c r="P154" s="17">
        <f>ROUND((T154 * 2.5) * SQRT(Z154)
,0) + (O154 * 2)</f>
        <v>7542</v>
      </c>
      <c r="Q154" s="17">
        <v>1000</v>
      </c>
      <c r="R154" s="16">
        <f>ROUNDDOWN(L154*0.2, -1)</f>
        <v>420</v>
      </c>
      <c r="S154" s="17">
        <f>ROUNDDOWN(L154*0.005, -1)</f>
        <v>10</v>
      </c>
      <c r="T154" s="15">
        <v>210</v>
      </c>
      <c r="U154" s="4">
        <v>1900</v>
      </c>
      <c r="V154" s="4">
        <v>0</v>
      </c>
      <c r="W154" s="4">
        <v>0</v>
      </c>
      <c r="X154" s="4">
        <v>200</v>
      </c>
      <c r="Y154" s="10">
        <v>1900</v>
      </c>
      <c r="Z154" s="15">
        <v>62</v>
      </c>
      <c r="AA154" s="4">
        <v>18000</v>
      </c>
      <c r="AB154" s="4"/>
    </row>
    <row r="155" ht="15.75" customHeight="1">
      <c r="A155" s="4">
        <v>56</v>
      </c>
      <c r="B155" s="8">
        <v>154.0</v>
      </c>
      <c r="C155" s="9" t="b">
        <v>1</v>
      </c>
      <c r="D155" s="4" t="inlineStr">
        <is>
          <t>高屋城</t>
        </is>
      </c>
      <c r="E155" s="10" t="inlineStr">
        <is>
          <t>たかやじょう</t>
        </is>
      </c>
      <c r="F155" s="11" t="str">
        <f t="array" ref="F155">IF(A155:A406="","",_xlfn.XLOOKUP(A155:A406,'参照_拠点'!A:A,'参照_拠点'!B:B,"見つかりません"))</f>
      </c>
      <c r="G155" s="12" t="str">
        <f t="array" ref="G155">IF(K155:K406="","",_xlfn.XLOOKUP(K155:K406,'参照_武将'!A:A,'参照_武将'!B:B,"見つかりません"))</f>
      </c>
      <c r="H155" s="14" t="str">
        <f t="array" ref="H155">IF(I155:I406="","",_xlfn.XLOOKUP(I155:I406,'参照_勢力'!A:A,'参照_勢力'!B:B,"見つかりません"))</f>
      </c>
      <c r="I155" s="15">
        <v>41</v>
      </c>
      <c r="J155" s="4">
        <v>0</v>
      </c>
      <c r="K155" s="10">
        <v>1041016</v>
      </c>
      <c r="L155" s="18">
        <f>300 + ROUND((((P155/15)+(Y155/10))*(SQRT(AA155)/100+1)+O155)/((COUNTIF(I:I, I155)/30)+1), 0)</f>
        <v>3076</v>
      </c>
      <c r="M155" s="4">
        <v>50</v>
      </c>
      <c r="N155" s="10">
        <v>50</v>
      </c>
      <c r="O155" s="18">
        <f>ROUND(500+((AA155*0.01)+(Z155/3)+(V155/10))*6,0)</f>
        <v>1410</v>
      </c>
      <c r="P155" s="19">
        <f>ROUND((T155 * 2.5) * SQRT(Z155)
,0) + (O155 * 2)</f>
        <v>9068</v>
      </c>
      <c r="Q155" s="19">
        <v>1000</v>
      </c>
      <c r="R155" s="18">
        <f>ROUNDDOWN(L155*0.2, -1)</f>
        <v>610</v>
      </c>
      <c r="S155" s="19">
        <f>ROUNDDOWN(L155*0.005, -1)</f>
        <v>10</v>
      </c>
      <c r="T155" s="15">
        <v>310</v>
      </c>
      <c r="U155" s="4">
        <v>1100</v>
      </c>
      <c r="V155" s="4">
        <v>0</v>
      </c>
      <c r="W155" s="4">
        <v>0</v>
      </c>
      <c r="X155" s="4">
        <v>600</v>
      </c>
      <c r="Y155" s="10">
        <v>1200</v>
      </c>
      <c r="Z155" s="15">
        <v>65</v>
      </c>
      <c r="AA155" s="4">
        <v>13000</v>
      </c>
      <c r="AB155" s="4"/>
    </row>
    <row r="156" ht="15.75" customHeight="1">
      <c r="A156" s="4">
        <v>38</v>
      </c>
      <c r="B156" s="8">
        <v>155.0</v>
      </c>
      <c r="C156" s="9" t="b">
        <v>1</v>
      </c>
      <c r="D156" s="4" t="inlineStr">
        <is>
          <t>岸和田城</t>
        </is>
      </c>
      <c r="E156" s="10" t="inlineStr">
        <is>
          <t>きしわだじょう</t>
        </is>
      </c>
      <c r="F156" s="11" t="str">
        <f t="array" ref="F156">IF(A156:A407="","",_xlfn.XLOOKUP(A156:A407,'参照_拠点'!A:A,'参照_拠点'!B:B,"見つかりません"))</f>
      </c>
      <c r="G156" s="12" t="str">
        <f t="array" ref="G156">IF(K156:K407="","",_xlfn.XLOOKUP(K156:K407,'参照_武将'!A:A,'参照_武将'!B:B,"見つかりません"))</f>
      </c>
      <c r="H156" s="14" t="str">
        <f t="array" ref="H156">IF(I156:I407="","",_xlfn.XLOOKUP(I156:I407,'参照_勢力'!A:A,'参照_勢力'!B:B,"見つかりません"))</f>
      </c>
      <c r="I156" s="15">
        <v>20</v>
      </c>
      <c r="J156" s="4">
        <v>0</v>
      </c>
      <c r="K156" s="10">
        <v>1020021</v>
      </c>
      <c r="L156" s="16">
        <f>300 + ROUND((((P156/15)+(Y156/10))*(SQRT(AA156)/100+1)+O156)/((COUNTIF(I:I, I156)/30)+1), 0)</f>
        <v>3512</v>
      </c>
      <c r="M156" s="4">
        <v>60</v>
      </c>
      <c r="N156" s="10">
        <v>60</v>
      </c>
      <c r="O156" s="16">
        <f>ROUND(500+((AA156*0.01)+(Z156/3)+(V156/10))*6,0)</f>
        <v>2006</v>
      </c>
      <c r="P156" s="17">
        <f>ROUND((T156 * 2.5) * SQRT(Z156)
,0) + (O156 * 2)</f>
        <v>8576</v>
      </c>
      <c r="Q156" s="17">
        <v>1000</v>
      </c>
      <c r="R156" s="16">
        <f>ROUNDDOWN(L156*0.3, -1)</f>
        <v>1050</v>
      </c>
      <c r="S156" s="17">
        <f>ROUNDDOWN(L156*0.01, -1)</f>
        <v>30</v>
      </c>
      <c r="T156" s="15">
        <v>230</v>
      </c>
      <c r="U156" s="4">
        <v>900</v>
      </c>
      <c r="V156" s="4">
        <v>0</v>
      </c>
      <c r="W156" s="4">
        <v>0</v>
      </c>
      <c r="X156" s="4">
        <v>600</v>
      </c>
      <c r="Y156" s="10">
        <v>1200</v>
      </c>
      <c r="Z156" s="15">
        <v>63</v>
      </c>
      <c r="AA156" s="4">
        <v>23000</v>
      </c>
      <c r="AB156" s="4"/>
    </row>
    <row r="157" ht="15.75" customHeight="1">
      <c r="A157" s="4">
        <v>181</v>
      </c>
      <c r="B157" s="8">
        <v>156.0</v>
      </c>
      <c r="C157" s="9" t="b">
        <v>1</v>
      </c>
      <c r="D157" s="4" t="inlineStr">
        <is>
          <t>芥川山城</t>
        </is>
      </c>
      <c r="E157" s="10" t="inlineStr">
        <is>
          <t>あくたがわやまじょう</t>
        </is>
      </c>
      <c r="F157" s="11" t="str">
        <f t="array" ref="F157">IF(A157:A408="","",_xlfn.XLOOKUP(A157:A408,'参照_拠点'!A:A,'参照_拠点'!B:B,"見つかりません"))</f>
      </c>
      <c r="G157" s="12" t="str">
        <f t="array" ref="G157">IF(K157:K408="","",_xlfn.XLOOKUP(K157:K408,'参照_武将'!A:A,'参照_武将'!B:B,"見つかりません"))</f>
      </c>
      <c r="H157" s="14" t="str">
        <f t="array" ref="H157">IF(I157:I408="","",_xlfn.XLOOKUP(I157:I408,'参照_勢力'!A:A,'参照_勢力'!B:B,"見つかりません"))</f>
      </c>
      <c r="I157" s="15">
        <v>17</v>
      </c>
      <c r="J157" s="4">
        <v>0</v>
      </c>
      <c r="K157" s="10">
        <v>1017035</v>
      </c>
      <c r="L157" s="18">
        <f>300 + ROUND((((P157/15)+(Y157/10))*(SQRT(AA157)/100+1)+O157)/((COUNTIF(I:I, I157)/30)+1), 0)</f>
        <v>2987</v>
      </c>
      <c r="M157" s="4">
        <v>70</v>
      </c>
      <c r="N157" s="10">
        <v>70</v>
      </c>
      <c r="O157" s="18">
        <f>(ROUND(500+((AA157*0.01)+(Z157/3)+(V157/10))*6,0))-1000</f>
        <v>1084</v>
      </c>
      <c r="P157" s="19">
        <f>(ROUND((T157 * 2.5) * SQRT(Z157)
,0) + (O157 * 2))+2122</f>
        <v>9805</v>
      </c>
      <c r="Q157" s="19">
        <v>1000</v>
      </c>
      <c r="R157" s="18">
        <f>ROUNDDOWN(L157*0.3, -1)</f>
        <v>890</v>
      </c>
      <c r="S157" s="19">
        <f>ROUNDDOWN(L157*0.05, -1)</f>
        <v>140</v>
      </c>
      <c r="T157" s="15">
        <v>260</v>
      </c>
      <c r="U157" s="4">
        <v>1200</v>
      </c>
      <c r="V157" s="4">
        <v>100</v>
      </c>
      <c r="W157" s="4">
        <v>350</v>
      </c>
      <c r="X157" s="4">
        <v>500</v>
      </c>
      <c r="Y157" s="10">
        <v>900</v>
      </c>
      <c r="Z157" s="15">
        <v>72</v>
      </c>
      <c r="AA157" s="4">
        <v>23000</v>
      </c>
      <c r="AB157" s="4"/>
    </row>
    <row r="158" ht="15.75" customHeight="1">
      <c r="A158" s="4">
        <v>33</v>
      </c>
      <c r="B158" s="8">
        <v>157.0</v>
      </c>
      <c r="C158" s="9" t="b">
        <v>1</v>
      </c>
      <c r="D158" s="4" t="inlineStr">
        <is>
          <t>石山御坊</t>
        </is>
      </c>
      <c r="E158" s="10" t="inlineStr">
        <is>
          <t>いしやまごぼう</t>
        </is>
      </c>
      <c r="F158" s="11" t="str">
        <f t="array" ref="F158">IF(A158:A409="","",_xlfn.XLOOKUP(A158:A409,'参照_拠点'!A:A,'参照_拠点'!B:B,"見つかりません"))</f>
      </c>
      <c r="G158" s="12" t="str">
        <f t="array" ref="G158">IF(K158:K409="","",_xlfn.XLOOKUP(K158:K409,'参照_武将'!A:A,'参照_武将'!B:B,"見つかりません"))</f>
      </c>
      <c r="H158" s="14" t="str">
        <f t="array" ref="H158">IF(I158:I409="","",_xlfn.XLOOKUP(I158:I409,'参照_勢力'!A:A,'参照_勢力'!B:B,"見つかりません"))</f>
      </c>
      <c r="I158" s="15">
        <v>19</v>
      </c>
      <c r="J158" s="4">
        <v>0</v>
      </c>
      <c r="K158" s="10">
        <v>1019005</v>
      </c>
      <c r="L158" s="16">
        <f>(300 + ROUND((((P158/15)+(Y158/10))*(SQRT(AA158)/100+1)+O158)/((COUNTIF(I:I, I158)/30)+1), 0))+135</f>
        <v>4761</v>
      </c>
      <c r="M158" s="4">
        <v>50</v>
      </c>
      <c r="N158" s="10">
        <v>70</v>
      </c>
      <c r="O158" s="16">
        <f>ROUND(500+((AA158*0.01)+(Z158/3)+(V158/10))*6,0)</f>
        <v>2376</v>
      </c>
      <c r="P158" s="17">
        <f>ROUND((T158 * 2.5) * SQRT(Z158)
,0) + (O158 * 2)</f>
        <v>10524</v>
      </c>
      <c r="Q158" s="17">
        <v>1000</v>
      </c>
      <c r="R158" s="16">
        <f>ROUNDDOWN(L158*0.3, -1)</f>
        <v>1420</v>
      </c>
      <c r="S158" s="17">
        <f>ROUNDDOWN(L158*0.075, -1)</f>
        <v>350</v>
      </c>
      <c r="T158" s="15">
        <v>280</v>
      </c>
      <c r="U158" s="4">
        <v>1400</v>
      </c>
      <c r="V158" s="4">
        <v>0</v>
      </c>
      <c r="W158" s="4">
        <v>0</v>
      </c>
      <c r="X158" s="4">
        <v>900</v>
      </c>
      <c r="Y158" s="10">
        <v>1800</v>
      </c>
      <c r="Z158" s="15">
        <v>68</v>
      </c>
      <c r="AA158" s="4">
        <v>29000</v>
      </c>
      <c r="AB158" s="4"/>
    </row>
    <row r="159" ht="15.75" customHeight="1">
      <c r="A159" s="4">
        <v>51</v>
      </c>
      <c r="B159" s="8">
        <v>158.0</v>
      </c>
      <c r="C159" s="9" t="b">
        <v>1</v>
      </c>
      <c r="D159" s="4" t="inlineStr">
        <is>
          <t>池田城</t>
        </is>
      </c>
      <c r="E159" s="10" t="inlineStr">
        <is>
          <t>いけだじょう</t>
        </is>
      </c>
      <c r="F159" s="11" t="str">
        <f t="array" ref="F159">IF(A159:A410="","",_xlfn.XLOOKUP(A159:A410,'参照_拠点'!A:A,'参照_拠点'!B:B,"見つかりません"))</f>
      </c>
      <c r="G159" s="12" t="str">
        <f t="array" ref="G159">IF(K159:K410="","",_xlfn.XLOOKUP(K159:K410,'参照_武将'!A:A,'参照_武将'!B:B,"見つかりません"))</f>
      </c>
      <c r="H159" s="14" t="str">
        <f t="array" ref="H159">IF(I159:I410="","",_xlfn.XLOOKUP(I159:I410,'参照_勢力'!A:A,'参照_勢力'!B:B,"見つかりません"))</f>
      </c>
      <c r="I159" s="15">
        <v>203</v>
      </c>
      <c r="J159" s="4">
        <v>0</v>
      </c>
      <c r="K159" s="10">
        <v>1203003</v>
      </c>
      <c r="L159" s="18">
        <f>300 + ROUND((((P159/15)+(Y159/10))*(SQRT(AA159)/100+1)+O159)/((COUNTIF(I:I, I159)/30)+1), 0)</f>
        <v>3213</v>
      </c>
      <c r="M159" s="4">
        <v>60</v>
      </c>
      <c r="N159" s="10">
        <v>60</v>
      </c>
      <c r="O159" s="18">
        <f>ROUND(500+((AA159*0.01)+(Z159/3)+(V159/10))*6,0)</f>
        <v>1554</v>
      </c>
      <c r="P159" s="19">
        <f>ROUND((T159 * 2.5) * SQRT(Z159)
,0) + (O159 * 2)</f>
        <v>8620</v>
      </c>
      <c r="Q159" s="19">
        <v>1000</v>
      </c>
      <c r="R159" s="18">
        <f>ROUNDDOWN(L159*0.3, -1)</f>
        <v>960</v>
      </c>
      <c r="S159" s="19">
        <f>ROUNDDOWN(L159*0.01, -1)</f>
        <v>30</v>
      </c>
      <c r="T159" s="15">
        <v>280</v>
      </c>
      <c r="U159" s="4">
        <v>1200</v>
      </c>
      <c r="V159" s="4">
        <v>50</v>
      </c>
      <c r="W159" s="4">
        <v>500</v>
      </c>
      <c r="X159" s="4">
        <v>400</v>
      </c>
      <c r="Y159" s="10">
        <v>800</v>
      </c>
      <c r="Z159" s="15">
        <v>62</v>
      </c>
      <c r="AA159" s="4">
        <v>15000</v>
      </c>
      <c r="AB159" s="4"/>
    </row>
    <row r="160" ht="15.75" customHeight="1">
      <c r="A160" s="4">
        <v>42</v>
      </c>
      <c r="B160" s="8">
        <v>159.0</v>
      </c>
      <c r="C160" s="9" t="b">
        <v>1</v>
      </c>
      <c r="D160" s="4" t="inlineStr">
        <is>
          <t>雑賀城</t>
        </is>
      </c>
      <c r="E160" s="10" t="inlineStr">
        <is>
          <t>さいかじょう</t>
        </is>
      </c>
      <c r="F160" s="11" t="str">
        <f t="array" ref="F160">IF(A160:A411="","",_xlfn.XLOOKUP(A160:A411,'参照_拠点'!A:A,'参照_拠点'!B:B,"見つかりません"))</f>
      </c>
      <c r="G160" s="12" t="str">
        <f t="array" ref="G160">IF(K160:K411="","",_xlfn.XLOOKUP(K160:K411,'参照_武将'!A:A,'参照_武将'!B:B,"見つかりません"))</f>
      </c>
      <c r="H160" s="14" t="str">
        <f t="array" ref="H160">IF(I160:I411="","",_xlfn.XLOOKUP(I160:I411,'参照_勢力'!A:A,'参照_勢力'!B:B,"見つかりません"))</f>
      </c>
      <c r="I160" s="15">
        <v>21</v>
      </c>
      <c r="J160" s="4">
        <v>0</v>
      </c>
      <c r="K160" s="10">
        <v>1021004</v>
      </c>
      <c r="L160" s="16">
        <f>300 + ROUND((((P160/15)+(Y160/10))*(SQRT(AA160)/100+1)+O160)/((COUNTIF(I:I, I160)/30)+1), 0)</f>
        <v>2996</v>
      </c>
      <c r="M160" s="4">
        <v>50</v>
      </c>
      <c r="N160" s="10">
        <v>70</v>
      </c>
      <c r="O160" s="16">
        <f>ROUND(500+((AA160*0.01)+(Z160/3)+(V160/10))*6,0)</f>
        <v>1476</v>
      </c>
      <c r="P160" s="17">
        <f>ROUND((T160 * 2.5) * SQRT(Z160)
,0) + (O160 * 2)</f>
        <v>7487</v>
      </c>
      <c r="Q160" s="17">
        <v>1000</v>
      </c>
      <c r="R160" s="16">
        <f>ROUNDDOWN(L160*0.3, -1)</f>
        <v>890</v>
      </c>
      <c r="S160" s="17">
        <f>ROUNDDOWN(L160*0.075, -1)</f>
        <v>220</v>
      </c>
      <c r="T160" s="15">
        <v>220</v>
      </c>
      <c r="U160" s="4">
        <v>1200</v>
      </c>
      <c r="V160" s="4">
        <v>300</v>
      </c>
      <c r="W160" s="4">
        <v>1100</v>
      </c>
      <c r="X160" s="4">
        <v>700</v>
      </c>
      <c r="Y160" s="10">
        <v>1400</v>
      </c>
      <c r="Z160" s="15">
        <v>68</v>
      </c>
      <c r="AA160" s="4">
        <v>11000</v>
      </c>
      <c r="AB160" s="4"/>
    </row>
    <row r="161" ht="15.75" customHeight="1">
      <c r="A161" s="4">
        <v>178</v>
      </c>
      <c r="B161" s="8">
        <v>160.0</v>
      </c>
      <c r="C161" s="9" t="b">
        <v>1</v>
      </c>
      <c r="D161" s="4" t="inlineStr">
        <is>
          <t>新宮城</t>
        </is>
      </c>
      <c r="E161" s="10" t="inlineStr">
        <is>
          <t>しんぐうじょう</t>
        </is>
      </c>
      <c r="F161" s="11" t="str">
        <f t="array" ref="F161">IF(A161:A412="","",_xlfn.XLOOKUP(A161:A412,'参照_拠点'!A:A,'参照_拠点'!B:B,"見つかりません"))</f>
      </c>
      <c r="G161" s="12" t="str">
        <f t="array" ref="G161">IF(K161:K412="","",_xlfn.XLOOKUP(K161:K412,'参照_武将'!A:A,'参照_武将'!B:B,"見つかりません"))</f>
      </c>
      <c r="H161" s="14" t="str">
        <f t="array" ref="H161">IF(I161:I412="","",_xlfn.XLOOKUP(I161:I412,'参照_勢力'!A:A,'参照_勢力'!B:B,"見つかりません"))</f>
      </c>
      <c r="I161" s="15">
        <v>65</v>
      </c>
      <c r="J161" s="4">
        <v>0</v>
      </c>
      <c r="K161" s="10">
        <v>1065001</v>
      </c>
      <c r="L161" s="18">
        <f>300 + ROUND((((P161/15)+(Y161/10))*(SQRT(AA161)/100+1)+O161)/((COUNTIF(I:I, I161)/30)+1), 0)</f>
        <v>1916</v>
      </c>
      <c r="M161" s="4">
        <v>50</v>
      </c>
      <c r="N161" s="10">
        <v>50</v>
      </c>
      <c r="O161" s="18">
        <f>ROUND(500+((AA161*0.01)+(Z161/3)+(V161/10))*6,0)</f>
        <v>980</v>
      </c>
      <c r="P161" s="19">
        <f>ROUND((T161 * 2.5) * SQRT(Z161)
,0) + (O161 * 2)</f>
        <v>4865</v>
      </c>
      <c r="Q161" s="19">
        <v>1000</v>
      </c>
      <c r="R161" s="18">
        <f>ROUNDDOWN(L161*0.2, -1)</f>
        <v>380</v>
      </c>
      <c r="S161" s="19">
        <f>ROUNDDOWN(L161*0.005, -1)</f>
        <v>0</v>
      </c>
      <c r="T161" s="15">
        <v>150</v>
      </c>
      <c r="U161" s="4">
        <v>1000</v>
      </c>
      <c r="V161" s="4">
        <v>100</v>
      </c>
      <c r="W161" s="4">
        <v>650</v>
      </c>
      <c r="X161" s="4">
        <v>400</v>
      </c>
      <c r="Y161" s="10">
        <v>800</v>
      </c>
      <c r="Z161" s="15">
        <v>60</v>
      </c>
      <c r="AA161" s="4">
        <v>5000</v>
      </c>
      <c r="AB161" s="4"/>
    </row>
    <row r="162" ht="15.75" customHeight="1">
      <c r="A162" s="4">
        <v>102</v>
      </c>
      <c r="B162" s="8">
        <v>161.0</v>
      </c>
      <c r="C162" s="9" t="b">
        <v>1</v>
      </c>
      <c r="D162" s="4" t="inlineStr">
        <is>
          <t>湯川城</t>
        </is>
      </c>
      <c r="E162" s="10" t="inlineStr">
        <is>
          <t>ゆかわじょう</t>
        </is>
      </c>
      <c r="F162" s="11" t="str">
        <f t="array" ref="F162">IF(A162:A413="","",_xlfn.XLOOKUP(A162:A413,'参照_拠点'!A:A,'参照_拠点'!B:B,"見つかりません"))</f>
      </c>
      <c r="G162" s="12" t="str">
        <f t="array" ref="G162">IF(K162:K413="","",_xlfn.XLOOKUP(K162:K413,'参照_武将'!A:A,'参照_武将'!B:B,"見つかりません"))</f>
      </c>
      <c r="H162" s="14" t="str">
        <f t="array" ref="H162">IF(I162:I413="","",_xlfn.XLOOKUP(I162:I413,'参照_勢力'!A:A,'参照_勢力'!B:B,"見つかりません"))</f>
      </c>
      <c r="I162" s="15">
        <v>41</v>
      </c>
      <c r="J162" s="4">
        <v>0</v>
      </c>
      <c r="K162" s="10">
        <v>1041040</v>
      </c>
      <c r="L162" s="16">
        <f>300 + ROUND((((P162/15)+(Y162/10))*(SQRT(AA162)/100+1)+O162)/((COUNTIF(I:I, I162)/30)+1), 0)</f>
        <v>1949</v>
      </c>
      <c r="M162" s="4">
        <v>30</v>
      </c>
      <c r="N162" s="10">
        <v>30</v>
      </c>
      <c r="O162" s="16">
        <f>ROUND(500+((AA162*0.01)+(Z162/3)+(V162/10))*6,0)</f>
        <v>1046</v>
      </c>
      <c r="P162" s="17">
        <f>ROUND((T162 * 2.5) * SQRT(Z162)
,0) + (O162 * 2)</f>
        <v>5068</v>
      </c>
      <c r="Q162" s="17">
        <v>1000</v>
      </c>
      <c r="R162" s="16">
        <f>ROUNDDOWN(L162*0.2, -1)</f>
        <v>380</v>
      </c>
      <c r="S162" s="17">
        <f>ROUNDDOWN(L162*0.005, -1)</f>
        <v>0</v>
      </c>
      <c r="T162" s="15">
        <v>150</v>
      </c>
      <c r="U162" s="4">
        <v>800</v>
      </c>
      <c r="V162" s="4">
        <v>200</v>
      </c>
      <c r="W162" s="4">
        <v>900</v>
      </c>
      <c r="X162" s="4">
        <v>400</v>
      </c>
      <c r="Y162" s="10">
        <v>800</v>
      </c>
      <c r="Z162" s="15">
        <v>63</v>
      </c>
      <c r="AA162" s="4">
        <v>5000</v>
      </c>
      <c r="AB162" s="4"/>
    </row>
    <row r="163" ht="15.75" customHeight="1">
      <c r="A163" s="4">
        <v>87</v>
      </c>
      <c r="B163" s="8">
        <v>162.0</v>
      </c>
      <c r="C163" s="9" t="b">
        <v>1</v>
      </c>
      <c r="D163" s="4" t="inlineStr">
        <is>
          <t>洲本城</t>
        </is>
      </c>
      <c r="E163" s="10" t="inlineStr">
        <is>
          <t>すもとじょう</t>
        </is>
      </c>
      <c r="F163" s="11" t="str">
        <f t="array" ref="F163">IF(A163:A414="","",_xlfn.XLOOKUP(A163:A414,'参照_拠点'!A:A,'参照_拠点'!B:B,"見つかりません"))</f>
      </c>
      <c r="G163" s="12" t="str">
        <f t="array" ref="G163">IF(K163:K414="","",_xlfn.XLOOKUP(K163:K414,'参照_武将'!A:A,'参照_武将'!B:B,"見つかりません"))</f>
      </c>
      <c r="H163" s="14" t="str">
        <f t="array" ref="H163">IF(I163:I414="","",_xlfn.XLOOKUP(I163:I414,'参照_勢力'!A:A,'参照_勢力'!B:B,"見つかりません"))</f>
      </c>
      <c r="I163" s="15">
        <v>20</v>
      </c>
      <c r="J163" s="4">
        <v>3</v>
      </c>
      <c r="K163" s="10">
        <v>1020012</v>
      </c>
      <c r="L163" s="18">
        <f>300 + ROUND((((P163/15)+(Y163/10))*(SQRT(AA163)/100+1)+O163)/((COUNTIF(I:I, I163)/30)+1), 0)</f>
        <v>1760</v>
      </c>
      <c r="M163" s="4">
        <v>60</v>
      </c>
      <c r="N163" s="10">
        <v>60</v>
      </c>
      <c r="O163" s="18">
        <f>ROUND(500+((AA163*0.01)+(Z163/3)+(V163/10))*6,0)</f>
        <v>1038</v>
      </c>
      <c r="P163" s="19">
        <f>ROUND((T163 * 2.5) * SQRT(Z163)
,0) + (O163 * 2)</f>
        <v>4572</v>
      </c>
      <c r="Q163" s="19">
        <v>1000</v>
      </c>
      <c r="R163" s="18">
        <f>ROUNDDOWN(L163*0.3, -1)</f>
        <v>520</v>
      </c>
      <c r="S163" s="19">
        <f>ROUNDDOWN(L163*0.01, -1)</f>
        <v>10</v>
      </c>
      <c r="T163" s="15">
        <v>130</v>
      </c>
      <c r="U163" s="4">
        <v>700</v>
      </c>
      <c r="V163" s="4">
        <v>100</v>
      </c>
      <c r="W163" s="4">
        <v>750</v>
      </c>
      <c r="X163" s="4">
        <v>350</v>
      </c>
      <c r="Y163" s="10">
        <v>700</v>
      </c>
      <c r="Z163" s="15">
        <v>59</v>
      </c>
      <c r="AA163" s="4">
        <v>6000</v>
      </c>
      <c r="AB163" s="4"/>
    </row>
    <row r="164" ht="15.75" customHeight="1">
      <c r="A164" s="4">
        <v>179</v>
      </c>
      <c r="B164" s="8">
        <v>163.0</v>
      </c>
      <c r="C164" s="9" t="b">
        <v>1</v>
      </c>
      <c r="D164" s="4" t="inlineStr">
        <is>
          <t>荒木城</t>
        </is>
      </c>
      <c r="E164" s="10" t="inlineStr">
        <is>
          <t>あらきじょう</t>
        </is>
      </c>
      <c r="F164" s="11" t="str">
        <f t="array" ref="F164">IF(A164:A415="","",_xlfn.XLOOKUP(A164:A415,'参照_拠点'!A:A,'参照_拠点'!B:B,"見つかりません"))</f>
      </c>
      <c r="G164" s="12" t="str">
        <f t="array" ref="G164">IF(K164:K415="","",_xlfn.XLOOKUP(K164:K415,'参照_武将'!A:A,'参照_武将'!B:B,"見つかりません"))</f>
      </c>
      <c r="H164" s="14" t="str">
        <f t="array" ref="H164">IF(I164:I415="","",_xlfn.XLOOKUP(I164:I415,'参照_勢力'!A:A,'参照_勢力'!B:B,"見つかりません"))</f>
      </c>
      <c r="I164" s="15">
        <v>14</v>
      </c>
      <c r="J164" s="4">
        <v>0</v>
      </c>
      <c r="K164" s="10">
        <v>1014009</v>
      </c>
      <c r="L164" s="16">
        <f>300 + ROUND((((P164/15)+(Y164/10))*(SQRT(AA164)/100+1)+O164)/((COUNTIF(I:I, I164)/30)+1), 0)</f>
        <v>2235</v>
      </c>
      <c r="M164" s="4">
        <v>50</v>
      </c>
      <c r="N164" s="10">
        <v>50</v>
      </c>
      <c r="O164" s="16">
        <f>ROUND(500+((AA164*0.01)+(Z164/3)+(V164/10))*6,0)+500</f>
        <v>1392</v>
      </c>
      <c r="P164" s="17">
        <f>ROUND((T164 * 2.5) * SQRT(Z164)
,0) + (O164 * 2)</f>
        <v>5713</v>
      </c>
      <c r="Q164" s="17">
        <v>1000</v>
      </c>
      <c r="R164" s="16">
        <f>ROUNDDOWN(L164*0.2, -1)</f>
        <v>440</v>
      </c>
      <c r="S164" s="17">
        <f>ROUNDDOWN(L164*0.005, -1)</f>
        <v>10</v>
      </c>
      <c r="T164" s="15">
        <v>150</v>
      </c>
      <c r="U164" s="4">
        <v>700</v>
      </c>
      <c r="V164" s="4">
        <v>50</v>
      </c>
      <c r="W164" s="4">
        <v>600</v>
      </c>
      <c r="X164" s="4">
        <v>400</v>
      </c>
      <c r="Y164" s="10">
        <v>700</v>
      </c>
      <c r="Z164" s="15">
        <v>61</v>
      </c>
      <c r="AA164" s="4">
        <v>4000</v>
      </c>
      <c r="AB164" s="4"/>
    </row>
    <row r="165" ht="15.75" customHeight="1">
      <c r="A165" s="4">
        <v>83</v>
      </c>
      <c r="B165" s="8">
        <v>164.0</v>
      </c>
      <c r="C165" s="9" t="b">
        <v>1</v>
      </c>
      <c r="D165" s="4" t="inlineStr">
        <is>
          <t>黒井城</t>
        </is>
      </c>
      <c r="E165" s="10" t="inlineStr">
        <is>
          <t>くろいじょう</t>
        </is>
      </c>
      <c r="F165" s="11" t="str">
        <f t="array" ref="F165">IF(A165:A416="","",_xlfn.XLOOKUP(A165:A416,'参照_拠点'!A:A,'参照_拠点'!B:B,"見つかりません"))</f>
      </c>
      <c r="G165" s="12" t="str">
        <f t="array" ref="G165">IF(K165:K416="","",_xlfn.XLOOKUP(K165:K416,'参照_武将'!A:A,'参照_武将'!B:B,"見つかりません"))</f>
      </c>
      <c r="H165" s="14" t="str">
        <f t="array" ref="H165">IF(I165:I416="","",_xlfn.XLOOKUP(I165:I416,'参照_勢力'!A:A,'参照_勢力'!B:B,"見つかりません"))</f>
      </c>
      <c r="I165" s="15">
        <v>66</v>
      </c>
      <c r="J165" s="4">
        <v>0</v>
      </c>
      <c r="K165" s="10">
        <v>1066004</v>
      </c>
      <c r="L165" s="18">
        <f>300 + ROUND((((P165/15)+(Y165/10))*(SQRT(AA165)/100+1)+O165)/((COUNTIF(I:I, I165)/30)+1), 0)</f>
        <v>3974</v>
      </c>
      <c r="M165" s="4">
        <v>60</v>
      </c>
      <c r="N165" s="10">
        <v>60</v>
      </c>
      <c r="O165" s="18">
        <f>ROUND(500+((AA165*0.01)+(Z165/3)+(V165/10))*6,0)+1000</f>
        <v>2318</v>
      </c>
      <c r="P165" s="19">
        <f>ROUND((T165 * 2.5) * SQRT(Z165)
,0) + (O165 * 2)</f>
        <v>8836</v>
      </c>
      <c r="Q165" s="19">
        <v>1000</v>
      </c>
      <c r="R165" s="18">
        <f>ROUNDDOWN(L165*0.45, -1)</f>
        <v>1780</v>
      </c>
      <c r="S165" s="19">
        <f>ROUNDDOWN(L165*0.005, -1)</f>
        <v>10</v>
      </c>
      <c r="T165" s="15">
        <v>210</v>
      </c>
      <c r="U165" s="4">
        <v>1000</v>
      </c>
      <c r="V165" s="4">
        <v>150</v>
      </c>
      <c r="W165" s="4">
        <v>800</v>
      </c>
      <c r="X165" s="4">
        <v>750</v>
      </c>
      <c r="Y165" s="10">
        <v>1500</v>
      </c>
      <c r="Z165" s="15">
        <v>64</v>
      </c>
      <c r="AA165" s="4">
        <v>10000</v>
      </c>
      <c r="AB165" s="4"/>
    </row>
    <row r="166" ht="15.75" customHeight="1">
      <c r="A166" s="4">
        <v>82</v>
      </c>
      <c r="B166" s="8">
        <v>165.0</v>
      </c>
      <c r="C166" s="9" t="b">
        <v>1</v>
      </c>
      <c r="D166" s="4" t="inlineStr">
        <is>
          <t>籾井城</t>
        </is>
      </c>
      <c r="E166" s="10" t="inlineStr">
        <is>
          <t>もみいじょう</t>
        </is>
      </c>
      <c r="F166" s="11" t="str">
        <f t="array" ref="F166">IF(A166:A417="","",_xlfn.XLOOKUP(A166:A417,'参照_拠点'!A:A,'参照_拠点'!B:B,"見つかりません"))</f>
      </c>
      <c r="G166" s="12" t="str">
        <f t="array" ref="G166">IF(K166:K417="","",_xlfn.XLOOKUP(K166:K417,'参照_武将'!A:A,'参照_武将'!B:B,"見つかりません"))</f>
      </c>
      <c r="H166" s="14" t="str">
        <f t="array" ref="H166">IF(I166:I417="","",_xlfn.XLOOKUP(I166:I417,'参照_勢力'!A:A,'参照_勢力'!B:B,"見つかりません"))</f>
      </c>
      <c r="I166" s="15">
        <v>14</v>
      </c>
      <c r="J166" s="4">
        <v>0</v>
      </c>
      <c r="K166" s="10">
        <v>1014038</v>
      </c>
      <c r="L166" s="16">
        <f>300 + ROUND((((P166/15)+(Y166/10))*(SQRT(AA166)/100+1)+O166)/((COUNTIF(I:I, I166)/30)+1), 0)</f>
        <v>2975</v>
      </c>
      <c r="M166" s="4">
        <v>50</v>
      </c>
      <c r="N166" s="10">
        <v>50</v>
      </c>
      <c r="O166" s="16">
        <f>ROUND(500+((AA166*0.01)+(Z166/3)+(V166/10))*6,0)+500</f>
        <v>1758</v>
      </c>
      <c r="P166" s="17">
        <f>(ROUND((T166 * 2.5) * SQRT(Z166)
,0) + (O166 * 2))+2400</f>
        <v>7916</v>
      </c>
      <c r="Q166" s="17">
        <v>1000</v>
      </c>
      <c r="R166" s="16">
        <f>ROUNDDOWN(L166*0.3, -1)</f>
        <v>890</v>
      </c>
      <c r="S166" s="17">
        <f>ROUNDDOWN(L166*0.005, -1)</f>
        <v>10</v>
      </c>
      <c r="T166" s="15">
        <v>100</v>
      </c>
      <c r="U166" s="4">
        <v>1000</v>
      </c>
      <c r="V166" s="4">
        <v>150</v>
      </c>
      <c r="W166" s="4">
        <v>800</v>
      </c>
      <c r="X166" s="4">
        <v>300</v>
      </c>
      <c r="Y166" s="10">
        <v>800</v>
      </c>
      <c r="Z166" s="15">
        <v>64</v>
      </c>
      <c r="AA166" s="4">
        <v>9000</v>
      </c>
      <c r="AB166" s="4"/>
    </row>
    <row r="167" ht="15.75" customHeight="1">
      <c r="A167" s="4">
        <v>22</v>
      </c>
      <c r="B167" s="8">
        <v>166.0</v>
      </c>
      <c r="C167" s="9" t="b">
        <v>1</v>
      </c>
      <c r="D167" s="4" t="inlineStr">
        <is>
          <t>八上城</t>
        </is>
      </c>
      <c r="E167" s="10" t="inlineStr">
        <is>
          <t>やがみじょう</t>
        </is>
      </c>
      <c r="F167" s="11" t="str">
        <f t="array" ref="F167">IF(A167:A418="","",_xlfn.XLOOKUP(A167:A418,'参照_拠点'!A:A,'参照_拠点'!B:B,"見つかりません"))</f>
      </c>
      <c r="G167" s="12" t="str">
        <f t="array" ref="G167">IF(K167:K418="","",_xlfn.XLOOKUP(K167:K418,'参照_武将'!A:A,'参照_武将'!B:B,"見つかりません"))</f>
      </c>
      <c r="H167" s="14" t="str">
        <f t="array" ref="H167">IF(I167:I418="","",_xlfn.XLOOKUP(I167:I418,'参照_勢力'!A:A,'参照_勢力'!B:B,"見つかりません"))</f>
      </c>
      <c r="I167" s="15">
        <v>14</v>
      </c>
      <c r="J167" s="4">
        <v>0</v>
      </c>
      <c r="K167" s="10">
        <v>1014004</v>
      </c>
      <c r="L167" s="18">
        <f>300 + ROUND((((P167/15)+(Y167/10))*(SQRT(AA167)/100+1)+O167)/((COUNTIF(I:I, I167)/30)+1), 0)</f>
        <v>2906</v>
      </c>
      <c r="M167" s="4">
        <v>60</v>
      </c>
      <c r="N167" s="10">
        <v>60</v>
      </c>
      <c r="O167" s="18">
        <f>(ROUND(500+((AA167*0.01)+(Z167/3)+(V167/10))*6,0)-300)+800</f>
        <v>1812</v>
      </c>
      <c r="P167" s="19">
        <f>(ROUND((T167 * 2.5) * SQRT(Z167)
,0) + (O167 * 2))-2034</f>
        <v>5320</v>
      </c>
      <c r="Q167" s="19">
        <v>1000</v>
      </c>
      <c r="R167" s="18">
        <f>ROUNDDOWN(L167*0.3, -1)</f>
        <v>870</v>
      </c>
      <c r="S167" s="19">
        <f>ROUNDDOWN(L167*0.01, -1)</f>
        <v>20</v>
      </c>
      <c r="T167" s="15">
        <v>220</v>
      </c>
      <c r="U167" s="4">
        <v>1300</v>
      </c>
      <c r="V167" s="4">
        <v>100</v>
      </c>
      <c r="W167" s="4">
        <v>800</v>
      </c>
      <c r="X167" s="4">
        <v>550</v>
      </c>
      <c r="Y167" s="10">
        <v>1600</v>
      </c>
      <c r="Z167" s="15">
        <v>46</v>
      </c>
      <c r="AA167" s="4">
        <v>11000</v>
      </c>
      <c r="AB167" s="4"/>
    </row>
    <row r="168" ht="15.75" customHeight="1">
      <c r="A168" s="4">
        <v>81</v>
      </c>
      <c r="B168" s="8">
        <v>167.0</v>
      </c>
      <c r="C168" s="9" t="b">
        <v>1</v>
      </c>
      <c r="D168" s="4" t="inlineStr">
        <is>
          <t>建部山城</t>
        </is>
      </c>
      <c r="E168" s="10" t="inlineStr">
        <is>
          <t>たけべやまじょう</t>
        </is>
      </c>
      <c r="F168" s="11" t="str">
        <f t="array" ref="F168">IF(A168:A419="","",_xlfn.XLOOKUP(A168:A419,'参照_拠点'!A:A,'参照_拠点'!B:B,"見つかりません"))</f>
      </c>
      <c r="G168" s="12" t="str">
        <f t="array" ref="G168">IF(K168:K419="","",_xlfn.XLOOKUP(K168:K419,'参照_武将'!A:A,'参照_武将'!B:B,"見つかりません"))</f>
      </c>
      <c r="H168" s="14" t="str">
        <f t="array" ref="H168">IF(I168:I419="","",_xlfn.XLOOKUP(I168:I419,'参照_勢力'!A:A,'参照_勢力'!B:B,"見つかりません"))</f>
      </c>
      <c r="I168" s="15">
        <v>13</v>
      </c>
      <c r="J168" s="4">
        <v>0</v>
      </c>
      <c r="K168" s="10">
        <v>1013005</v>
      </c>
      <c r="L168" s="16">
        <f>300 + ROUND((((P168/15)+(Y168/10))*(SQRT(AA168)/100+1)+O168)/((COUNTIF(I:I, I168)/30)+1), 0)</f>
        <v>2469</v>
      </c>
      <c r="M168" s="4">
        <v>50</v>
      </c>
      <c r="N168" s="10">
        <v>50</v>
      </c>
      <c r="O168" s="16">
        <f>ROUND(500+((AA168*0.01)+(Z168/3)+(V168/10))*6,0)</f>
        <v>1404</v>
      </c>
      <c r="P168" s="17">
        <f>ROUND((T168 * 2.5) * SQRT(Z168)
,0) + (O168 * 2)</f>
        <v>5761</v>
      </c>
      <c r="Q168" s="17">
        <v>1000</v>
      </c>
      <c r="R168" s="16">
        <f>ROUNDDOWN(L168*0.2, -1)</f>
        <v>490</v>
      </c>
      <c r="S168" s="17">
        <f>ROUNDDOWN(L168*0.005, -1)</f>
        <v>10</v>
      </c>
      <c r="T168" s="15">
        <v>150</v>
      </c>
      <c r="U168" s="4">
        <v>900</v>
      </c>
      <c r="V168" s="4">
        <v>100</v>
      </c>
      <c r="W168" s="4">
        <v>750</v>
      </c>
      <c r="X168" s="4">
        <v>300</v>
      </c>
      <c r="Y168" s="10">
        <v>500</v>
      </c>
      <c r="Z168" s="15">
        <v>62</v>
      </c>
      <c r="AA168" s="4">
        <v>12000</v>
      </c>
      <c r="AB168" s="4"/>
    </row>
    <row r="169" ht="15.75" customHeight="1">
      <c r="A169" s="4">
        <v>21</v>
      </c>
      <c r="B169" s="8">
        <v>168.0</v>
      </c>
      <c r="C169" s="9" t="b">
        <v>1</v>
      </c>
      <c r="D169" s="4" t="inlineStr">
        <is>
          <t>弓木城</t>
        </is>
      </c>
      <c r="E169" s="10" t="inlineStr">
        <is>
          <t>ゆみのきじょう</t>
        </is>
      </c>
      <c r="F169" s="11" t="str">
        <f t="array" ref="F169">IF(A169:A420="","",_xlfn.XLOOKUP(A169:A420,'参照_拠点'!A:A,'参照_拠点'!B:B,"見つかりません"))</f>
      </c>
      <c r="G169" s="12" t="str">
        <f t="array" ref="G169">IF(K169:K420="","",_xlfn.XLOOKUP(K169:K420,'参照_武将'!A:A,'参照_武将'!B:B,"見つかりません"))</f>
      </c>
      <c r="H169" s="14" t="str">
        <f t="array" ref="H169">IF(I169:I420="","",_xlfn.XLOOKUP(I169:I420,'参照_勢力'!A:A,'参照_勢力'!B:B,"見つかりません"))</f>
      </c>
      <c r="I169" s="15">
        <v>13</v>
      </c>
      <c r="J169" s="4">
        <v>0</v>
      </c>
      <c r="K169" s="10">
        <v>1013015</v>
      </c>
      <c r="L169" s="18">
        <f>300 + ROUND((((P169/15)+(Y169/10))*(SQRT(AA169)/100+1)+O169)/((COUNTIF(I:I, I169)/30)+1), 0)</f>
        <v>2342</v>
      </c>
      <c r="M169" s="4">
        <v>50</v>
      </c>
      <c r="N169" s="10">
        <v>50</v>
      </c>
      <c r="O169" s="18">
        <f>ROUND(500+((AA169*0.01)+(Z169/3)+(V169/10))*6,0)</f>
        <v>1290</v>
      </c>
      <c r="P169" s="19">
        <f>ROUND((T169 * 2.5) * SQRT(Z169)
,0) + (O169 * 2)</f>
        <v>5603</v>
      </c>
      <c r="Q169" s="19">
        <v>1000</v>
      </c>
      <c r="R169" s="18">
        <f>ROUNDDOWN(L169*0.2, -1)</f>
        <v>460</v>
      </c>
      <c r="S169" s="19">
        <f>ROUNDDOWN(L169*0.005, -1)</f>
        <v>10</v>
      </c>
      <c r="T169" s="15">
        <v>150</v>
      </c>
      <c r="U169" s="4">
        <v>900</v>
      </c>
      <c r="V169" s="4">
        <v>0</v>
      </c>
      <c r="W169" s="4">
        <v>0</v>
      </c>
      <c r="X169" s="4">
        <v>250</v>
      </c>
      <c r="Y169" s="10">
        <v>600</v>
      </c>
      <c r="Z169" s="15">
        <v>65</v>
      </c>
      <c r="AA169" s="4">
        <v>11000</v>
      </c>
      <c r="AB169" s="4"/>
    </row>
    <row r="170" ht="15.75" customHeight="1">
      <c r="A170" s="4">
        <v>238</v>
      </c>
      <c r="B170" s="8">
        <v>169.0</v>
      </c>
      <c r="C170" s="9" t="b">
        <v>1</v>
      </c>
      <c r="D170" s="4" t="inlineStr">
        <is>
          <t>芦屋城</t>
        </is>
      </c>
      <c r="E170" s="10" t="inlineStr">
        <is>
          <t>あしやじょう</t>
        </is>
      </c>
      <c r="F170" s="11" t="str">
        <f t="array" ref="F170">IF(A170:A421="","",_xlfn.XLOOKUP(A170:A421,'参照_拠点'!A:A,'参照_拠点'!B:B,"見つかりません"))</f>
      </c>
      <c r="G170" s="12" t="str">
        <f t="array" ref="G170">IF(K170:K421="","",_xlfn.XLOOKUP(K170:K421,'参照_武将'!A:A,'参照_武将'!B:B,"見つかりません"))</f>
      </c>
      <c r="H170" s="14" t="str">
        <f t="array" ref="H170">IF(I170:I421="","",_xlfn.XLOOKUP(I170:I421,'参照_勢力'!A:A,'参照_勢力'!B:B,"見つかりません"))</f>
      </c>
      <c r="I170" s="15">
        <v>39</v>
      </c>
      <c r="J170" s="4">
        <v>0</v>
      </c>
      <c r="K170" s="10">
        <v>1039010</v>
      </c>
      <c r="L170" s="16">
        <f>300 + ROUND((((P170/15)+(Y170/10))*(SQRT(AA170)/100+1)+O170)/((COUNTIF(I:I, I170)/30)+1), 0)</f>
        <v>2377</v>
      </c>
      <c r="M170" s="4">
        <v>50</v>
      </c>
      <c r="N170" s="10">
        <v>50</v>
      </c>
      <c r="O170" s="16">
        <f>ROUND(500+((AA170*0.01)+(Z170/3)+(V170/10))*6,0)</f>
        <v>1220</v>
      </c>
      <c r="P170" s="17">
        <f>ROUND((T170 * 2.5) * SQRT(Z170)
,0) + (O170 * 2)</f>
        <v>6313</v>
      </c>
      <c r="Q170" s="17">
        <v>1000</v>
      </c>
      <c r="R170" s="16">
        <f>ROUNDDOWN(L170*0.2, -1)</f>
        <v>470</v>
      </c>
      <c r="S170" s="17">
        <f>ROUNDDOWN(L170*0.005, -1)</f>
        <v>10</v>
      </c>
      <c r="T170" s="15">
        <v>200</v>
      </c>
      <c r="U170" s="4">
        <v>800</v>
      </c>
      <c r="V170" s="4">
        <v>100</v>
      </c>
      <c r="W170" s="4">
        <v>700</v>
      </c>
      <c r="X170" s="4">
        <v>450</v>
      </c>
      <c r="Y170" s="10">
        <v>900</v>
      </c>
      <c r="Z170" s="15">
        <v>60</v>
      </c>
      <c r="AA170" s="4">
        <v>9000</v>
      </c>
      <c r="AB170" s="4"/>
    </row>
    <row r="171" ht="15.75" customHeight="1">
      <c r="A171" s="4">
        <v>85</v>
      </c>
      <c r="B171" s="8">
        <v>170.0</v>
      </c>
      <c r="C171" s="9" t="b">
        <v>1</v>
      </c>
      <c r="D171" s="4" t="inlineStr">
        <is>
          <t>竹田城</t>
        </is>
      </c>
      <c r="E171" s="10" t="inlineStr">
        <is>
          <t>たけだじょう</t>
        </is>
      </c>
      <c r="F171" s="11" t="str">
        <f t="array" ref="F171">IF(A171:A422="","",_xlfn.XLOOKUP(A171:A422,'参照_拠点'!A:A,'参照_拠点'!B:B,"見つかりません"))</f>
      </c>
      <c r="G171" s="12" t="str">
        <f t="array" ref="G171">IF(K171:K422="","",_xlfn.XLOOKUP(K171:K422,'参照_武将'!A:A,'参照_武将'!B:B,"見つかりません"))</f>
      </c>
      <c r="H171" s="14" t="str">
        <f t="array" ref="H171">IF(I171:I422="","",_xlfn.XLOOKUP(I171:I422,'参照_勢力'!A:A,'参照_勢力'!B:B,"見つかりません"))</f>
      </c>
      <c r="I171" s="15">
        <v>39</v>
      </c>
      <c r="J171" s="4">
        <v>1</v>
      </c>
      <c r="K171" s="10">
        <v>1039018</v>
      </c>
      <c r="L171" s="18">
        <f>300 + ROUND((((P171/15)+(Y171/10))*(SQRT(AA171)/100+1)+O171)/((COUNTIF(I:I, I171)/30)+1), 0)</f>
        <v>2823</v>
      </c>
      <c r="M171" s="4">
        <v>50</v>
      </c>
      <c r="N171" s="10">
        <v>50</v>
      </c>
      <c r="O171" s="18">
        <f>ROUND(500+((AA171*0.01)+(Z171/3)+(V171/10))*6,0)</f>
        <v>1650</v>
      </c>
      <c r="P171" s="19">
        <f>ROUND((T171 * 2.5) * SQRT(Z171)
,0) + (O171 * 2)</f>
        <v>5517</v>
      </c>
      <c r="Q171" s="19">
        <v>1000</v>
      </c>
      <c r="R171" s="18">
        <f>ROUNDDOWN(L171*0.2, -1)</f>
        <v>560</v>
      </c>
      <c r="S171" s="19">
        <f>ROUNDDOWN(L171*0.005, -1)</f>
        <v>10</v>
      </c>
      <c r="T171" s="15">
        <v>110</v>
      </c>
      <c r="U171" s="4">
        <v>1000</v>
      </c>
      <c r="V171" s="4">
        <v>200</v>
      </c>
      <c r="W171" s="4">
        <v>1200</v>
      </c>
      <c r="X171" s="4">
        <v>500</v>
      </c>
      <c r="Y171" s="10">
        <v>1000</v>
      </c>
      <c r="Z171" s="15">
        <v>65</v>
      </c>
      <c r="AA171" s="4">
        <v>15000</v>
      </c>
      <c r="AB171" s="4"/>
    </row>
    <row r="172" ht="15.75" customHeight="1">
      <c r="A172" s="4">
        <v>104</v>
      </c>
      <c r="B172" s="8">
        <v>171.0</v>
      </c>
      <c r="C172" s="9" t="b">
        <v>1</v>
      </c>
      <c r="D172" s="4" t="inlineStr">
        <is>
          <t>置塩城</t>
        </is>
      </c>
      <c r="E172" s="10" t="inlineStr">
        <is>
          <t>おしおじょう</t>
        </is>
      </c>
      <c r="F172" s="11" t="str">
        <f t="array" ref="F172">IF(A172:A423="","",_xlfn.XLOOKUP(A172:A423,'参照_拠点'!A:A,'参照_拠点'!B:B,"見つかりません"))</f>
      </c>
      <c r="G172" s="12" t="str">
        <f t="array" ref="G172">IF(K172:K423="","",_xlfn.XLOOKUP(K172:K423,'参照_武将'!A:A,'参照_武将'!B:B,"見つかりません"))</f>
      </c>
      <c r="H172" s="14" t="str">
        <f t="array" ref="H172">IF(I172:I423="","",_xlfn.XLOOKUP(I172:I423,'参照_勢力'!A:A,'参照_勢力'!B:B,"見つかりません"))</f>
      </c>
      <c r="I172" s="15">
        <v>40</v>
      </c>
      <c r="J172" s="4">
        <v>0</v>
      </c>
      <c r="K172" s="10">
        <v>1040003</v>
      </c>
      <c r="L172" s="16">
        <f>300 + ROUND((((P172/15)+(Y172/10))*(SQRT(AA172)/100+1)+O172)/((COUNTIF(I:I, I172)/30)+1), 0)</f>
        <v>2661</v>
      </c>
      <c r="M172" s="4">
        <v>50</v>
      </c>
      <c r="N172" s="10">
        <v>50</v>
      </c>
      <c r="O172" s="16">
        <f>ROUND(500+((AA172*0.01)+(Z172/3)+(V172/10))*6,0)</f>
        <v>1412</v>
      </c>
      <c r="P172" s="17">
        <f>ROUND((T172 * 2.5) * SQRT(Z172)
,0) + (O172 * 2)</f>
        <v>6683</v>
      </c>
      <c r="Q172" s="17">
        <v>1000</v>
      </c>
      <c r="R172" s="16">
        <f>ROUNDDOWN(L172*0.2, -1)</f>
        <v>530</v>
      </c>
      <c r="S172" s="17">
        <f>ROUNDDOWN(L172*0.005, -1)</f>
        <v>10</v>
      </c>
      <c r="T172" s="15">
        <v>190</v>
      </c>
      <c r="U172" s="4">
        <v>1500</v>
      </c>
      <c r="V172" s="4">
        <v>100</v>
      </c>
      <c r="W172" s="4">
        <v>500</v>
      </c>
      <c r="X172" s="4">
        <v>600</v>
      </c>
      <c r="Y172" s="10">
        <v>1200</v>
      </c>
      <c r="Z172" s="15">
        <v>66</v>
      </c>
      <c r="AA172" s="4">
        <v>12000</v>
      </c>
      <c r="AB172" s="4"/>
    </row>
    <row r="173" ht="15.75" customHeight="1">
      <c r="A173" s="4">
        <v>103</v>
      </c>
      <c r="B173" s="8">
        <v>172.0</v>
      </c>
      <c r="C173" s="9" t="b">
        <v>1</v>
      </c>
      <c r="D173" s="4" t="inlineStr">
        <is>
          <t>神吉城</t>
        </is>
      </c>
      <c r="E173" s="10" t="inlineStr">
        <is>
          <t>かんきじょう</t>
        </is>
      </c>
      <c r="F173" s="11" t="str">
        <f t="array" ref="F173">IF(A173:A424="","",_xlfn.XLOOKUP(A173:A424,'参照_拠点'!A:A,'参照_拠点'!B:B,"見つかりません"))</f>
      </c>
      <c r="G173" s="12" t="str">
        <f t="array" ref="G173">IF(K173:K424="","",_xlfn.XLOOKUP(K173:K424,'参照_武将'!A:A,'参照_武将'!B:B,"見つかりません"))</f>
      </c>
      <c r="H173" s="14" t="str">
        <f t="array" ref="H173">IF(I173:I424="","",_xlfn.XLOOKUP(I173:I424,'参照_勢力'!A:A,'参照_勢力'!B:B,"見つかりません"))</f>
      </c>
      <c r="I173" s="15">
        <v>16</v>
      </c>
      <c r="J173" s="4">
        <v>0</v>
      </c>
      <c r="K173" s="10">
        <v>1016019</v>
      </c>
      <c r="L173" s="18">
        <f>300 + ROUND((((P173/15)+(Y173/10))*(SQRT(AA173)/100+1)+O173)/((COUNTIF(I:I, I173)/30)+1), 0)</f>
        <v>1796</v>
      </c>
      <c r="M173" s="4">
        <v>50</v>
      </c>
      <c r="N173" s="10">
        <v>50</v>
      </c>
      <c r="O173" s="18">
        <f>ROUND(500+((AA173*0.01)+(Z173/3)+(V173/10))*6,0)</f>
        <v>910</v>
      </c>
      <c r="P173" s="19">
        <f>ROUND((T173 * 2.5) * SQRT(Z173)
,0) + (O173 * 2)</f>
        <v>4230</v>
      </c>
      <c r="Q173" s="19">
        <v>1000</v>
      </c>
      <c r="R173" s="18">
        <f>ROUNDDOWN(L173*0.2, -1)</f>
        <v>350</v>
      </c>
      <c r="S173" s="19">
        <f>ROUNDDOWN(L173*0.005, -1)</f>
        <v>0</v>
      </c>
      <c r="T173" s="15">
        <v>130</v>
      </c>
      <c r="U173" s="4">
        <v>900</v>
      </c>
      <c r="V173" s="4">
        <v>0</v>
      </c>
      <c r="W173" s="4">
        <v>250</v>
      </c>
      <c r="X173" s="4">
        <v>600</v>
      </c>
      <c r="Y173" s="10">
        <v>1200</v>
      </c>
      <c r="Z173" s="15">
        <v>55</v>
      </c>
      <c r="AA173" s="4">
        <v>5000</v>
      </c>
      <c r="AB173" s="4"/>
    </row>
    <row r="174" ht="15.75" customHeight="1">
      <c r="A174" s="4">
        <v>86</v>
      </c>
      <c r="B174" s="8">
        <v>173.0</v>
      </c>
      <c r="C174" s="9" t="b">
        <v>1</v>
      </c>
      <c r="D174" s="4" t="inlineStr">
        <is>
          <t>御着城</t>
        </is>
      </c>
      <c r="E174" s="10" t="inlineStr">
        <is>
          <t>ごちゃくじょう</t>
        </is>
      </c>
      <c r="F174" s="11" t="str">
        <f t="array" ref="F174">IF(A174:A425="","",_xlfn.XLOOKUP(A174:A425,'参照_拠点'!A:A,'参照_拠点'!B:B,"見つかりません"))</f>
      </c>
      <c r="G174" s="12" t="str">
        <f t="array" ref="G174">IF(K174:K425="","",_xlfn.XLOOKUP(K174:K425,'参照_武将'!A:A,'参照_武将'!B:B,"見つかりません"))</f>
      </c>
      <c r="H174" s="14" t="str">
        <f t="array" ref="H174">IF(I174:I425="","",_xlfn.XLOOKUP(I174:I425,'参照_勢力'!A:A,'参照_勢力'!B:B,"見つかりません"))</f>
      </c>
      <c r="I174" s="15">
        <v>40</v>
      </c>
      <c r="J174" s="4">
        <v>2</v>
      </c>
      <c r="K174" s="10">
        <v>1040501</v>
      </c>
      <c r="L174" s="16">
        <f>300 + ROUND((((P174/15)+(Y174/10))*(SQRT(AA174)/100+1)+O174)/((COUNTIF(I:I, I174)/30)+1), 0)</f>
        <v>1910</v>
      </c>
      <c r="M174" s="4">
        <v>50</v>
      </c>
      <c r="N174" s="10">
        <v>50</v>
      </c>
      <c r="O174" s="16">
        <f>ROUND(500+((AA174*0.01)+(Z174/3)+(V174/10))*6,0)</f>
        <v>988</v>
      </c>
      <c r="P174" s="17">
        <f>ROUND((T174 * 2.5) * SQRT(Z174)
,0) + (O174 * 2)</f>
        <v>5376</v>
      </c>
      <c r="Q174" s="17">
        <v>1000</v>
      </c>
      <c r="R174" s="16">
        <f>ROUNDDOWN(L174*0.2, -1)</f>
        <v>380</v>
      </c>
      <c r="S174" s="17">
        <f>ROUNDDOWN(L174*0.005, -1)</f>
        <v>0</v>
      </c>
      <c r="T174" s="15">
        <v>170</v>
      </c>
      <c r="U174" s="4">
        <v>800</v>
      </c>
      <c r="V174" s="4">
        <v>100</v>
      </c>
      <c r="W174" s="4">
        <v>650</v>
      </c>
      <c r="X174" s="4">
        <v>500</v>
      </c>
      <c r="Y174" s="10">
        <v>1000</v>
      </c>
      <c r="Z174" s="15">
        <v>64</v>
      </c>
      <c r="AA174" s="4">
        <v>5000</v>
      </c>
      <c r="AB174" s="4"/>
    </row>
    <row r="175" ht="15.75" customHeight="1">
      <c r="A175" s="4">
        <v>239</v>
      </c>
      <c r="B175" s="8">
        <v>174.0</v>
      </c>
      <c r="C175" s="9" t="b">
        <v>1</v>
      </c>
      <c r="D175" s="4" t="inlineStr">
        <is>
          <t>長水山城</t>
        </is>
      </c>
      <c r="E175" s="10" t="inlineStr">
        <is>
          <t>ちょうずいさんじょう</t>
        </is>
      </c>
      <c r="F175" s="11" t="str">
        <f t="array" ref="F175">IF(A175:A426="","",_xlfn.XLOOKUP(A175:A426,'参照_拠点'!A:A,'参照_拠点'!B:B,"見つかりません"))</f>
      </c>
      <c r="G175" s="12" t="str">
        <f t="array" ref="G175">IF(K175:K426="","",_xlfn.XLOOKUP(K175:K426,'参照_武将'!A:A,'参照_武将'!B:B,"見つかりません"))</f>
      </c>
      <c r="H175" s="14" t="str">
        <f t="array" ref="H175">IF(I175:I426="","",_xlfn.XLOOKUP(I175:I426,'参照_勢力'!A:A,'参照_勢力'!B:B,"見つかりません"))</f>
      </c>
      <c r="I175" s="15">
        <v>40</v>
      </c>
      <c r="J175" s="4">
        <v>1</v>
      </c>
      <c r="K175" s="10">
        <v>1040006</v>
      </c>
      <c r="L175" s="18">
        <f>300 + ROUND((((P175/15)+(Y175/10))*(SQRT(AA175)/100+1)+O175)/((COUNTIF(I:I, I175)/30)+1), 0)</f>
        <v>1560</v>
      </c>
      <c r="M175" s="4">
        <v>50</v>
      </c>
      <c r="N175" s="10">
        <v>50</v>
      </c>
      <c r="O175" s="18">
        <f>ROUND(500+((AA175*0.01)+(Z175/3)+(V175/10))*6,0)</f>
        <v>920</v>
      </c>
      <c r="P175" s="19">
        <f>ROUND((T175 * 2.5) * SQRT(Z175)
,0) + (O175 * 2)</f>
        <v>3196</v>
      </c>
      <c r="Q175" s="19">
        <v>1000</v>
      </c>
      <c r="R175" s="18">
        <f>ROUNDDOWN(L175*0.2, -1)</f>
        <v>310</v>
      </c>
      <c r="S175" s="19">
        <f>ROUNDDOWN(L175*0.005, -1)</f>
        <v>0</v>
      </c>
      <c r="T175" s="15">
        <v>70</v>
      </c>
      <c r="U175" s="4">
        <v>700</v>
      </c>
      <c r="V175" s="4">
        <v>0</v>
      </c>
      <c r="W175" s="4">
        <v>0</v>
      </c>
      <c r="X175" s="4">
        <v>300</v>
      </c>
      <c r="Y175" s="10">
        <v>600</v>
      </c>
      <c r="Z175" s="15">
        <v>60</v>
      </c>
      <c r="AA175" s="4">
        <v>5000</v>
      </c>
      <c r="AB175" s="4"/>
    </row>
    <row r="176" ht="15.75" customHeight="1">
      <c r="A176" s="4">
        <v>25</v>
      </c>
      <c r="B176" s="8">
        <v>175.0</v>
      </c>
      <c r="C176" s="9" t="b">
        <v>1</v>
      </c>
      <c r="D176" s="4" t="inlineStr">
        <is>
          <t>三木城</t>
        </is>
      </c>
      <c r="E176" s="10" t="inlineStr">
        <is>
          <t>みきじょう</t>
        </is>
      </c>
      <c r="F176" s="11" t="str">
        <f t="array" ref="F176">IF(A176:A427="","",_xlfn.XLOOKUP(A176:A427,'参照_拠点'!A:A,'参照_拠点'!B:B,"見つかりません"))</f>
      </c>
      <c r="G176" s="12" t="str">
        <f t="array" ref="G176">IF(K176:K427="","",_xlfn.XLOOKUP(K176:K427,'参照_武将'!A:A,'参照_武将'!B:B,"見つかりません"))</f>
      </c>
      <c r="H176" s="14" t="str">
        <f t="array" ref="H176">IF(I176:I427="","",_xlfn.XLOOKUP(I176:I427,'参照_勢力'!A:A,'参照_勢力'!B:B,"見つかりません"))</f>
      </c>
      <c r="I176" s="15">
        <v>16</v>
      </c>
      <c r="J176" s="4">
        <v>0</v>
      </c>
      <c r="K176" s="10">
        <v>1016011</v>
      </c>
      <c r="L176" s="16">
        <f>300 + ROUND((((P176/15)+(Y176/10))*(SQRT(AA176)/100+1)+O176)/((COUNTIF(I:I, I176)/30)+1), 0)</f>
        <v>2698</v>
      </c>
      <c r="M176" s="4">
        <v>50</v>
      </c>
      <c r="N176" s="10">
        <v>50</v>
      </c>
      <c r="O176" s="16">
        <f>ROUND(500+((AA176*0.01)+(Z176/3)+(V176/10))*6,0)</f>
        <v>1288</v>
      </c>
      <c r="P176" s="17">
        <f>ROUND((T176 * 2.5) * SQRT(Z176)
,0) + (O176 * 2)</f>
        <v>6976</v>
      </c>
      <c r="Q176" s="17">
        <v>1000</v>
      </c>
      <c r="R176" s="16">
        <f>ROUNDDOWN(L176*0.2, -1)</f>
        <v>530</v>
      </c>
      <c r="S176" s="17">
        <f>ROUNDDOWN(L176*0.005, -1)</f>
        <v>10</v>
      </c>
      <c r="T176" s="15">
        <v>220</v>
      </c>
      <c r="U176" s="4">
        <v>1300</v>
      </c>
      <c r="V176" s="4">
        <v>100</v>
      </c>
      <c r="W176" s="4">
        <v>600</v>
      </c>
      <c r="X176" s="4">
        <v>850</v>
      </c>
      <c r="Y176" s="10">
        <v>1700</v>
      </c>
      <c r="Z176" s="15">
        <v>64</v>
      </c>
      <c r="AA176" s="4">
        <v>10000</v>
      </c>
      <c r="AB176" s="4"/>
    </row>
    <row r="177" ht="15.75" customHeight="1">
      <c r="A177" s="4">
        <v>105</v>
      </c>
      <c r="B177" s="8">
        <v>176.0</v>
      </c>
      <c r="C177" s="9" t="b">
        <v>1</v>
      </c>
      <c r="D177" s="4" t="inlineStr">
        <is>
          <t>鹿野城</t>
        </is>
      </c>
      <c r="E177" s="10" t="inlineStr">
        <is>
          <t>しかのじょう</t>
        </is>
      </c>
      <c r="F177" s="11" t="str">
        <f t="array" ref="F177">IF(A177:A428="","",_xlfn.XLOOKUP(A177:A428,'参照_拠点'!A:A,'参照_拠点'!B:B,"見つかりません"))</f>
      </c>
      <c r="G177" s="12" t="str">
        <f t="array" ref="G177">IF(K177:K428="","",_xlfn.XLOOKUP(K177:K428,'参照_武将'!A:A,'参照_武将'!B:B,"見つかりません"))</f>
      </c>
      <c r="H177" s="14" t="str">
        <f t="array" ref="H177">IF(I177:I428="","",_xlfn.XLOOKUP(I177:I428,'参照_勢力'!A:A,'参照_勢力'!B:B,"見つかりません"))</f>
      </c>
      <c r="I177" s="15">
        <v>226</v>
      </c>
      <c r="J177" s="4">
        <v>1</v>
      </c>
      <c r="K177" s="10">
        <v>1039015</v>
      </c>
      <c r="L177" s="18">
        <f>300 + ROUND((((P177/15)+(Y177/10))*(SQRT(AA177)/100+1)+O177)/((COUNTIF(I:I, I177)/30)+1), 0)</f>
        <v>1659</v>
      </c>
      <c r="M177" s="4">
        <v>50</v>
      </c>
      <c r="N177" s="10">
        <v>50</v>
      </c>
      <c r="O177" s="18">
        <f>ROUND(500+((AA177*0.01)+(Z177/3)+(V177/10))*6,0)</f>
        <v>924</v>
      </c>
      <c r="P177" s="19">
        <f>ROUND((T177 * 2.5) * SQRT(Z177)
,0) + (O177 * 2)</f>
        <v>3423</v>
      </c>
      <c r="Q177" s="19">
        <v>1000</v>
      </c>
      <c r="R177" s="18">
        <f>ROUNDDOWN(L177*0.2, -1)</f>
        <v>330</v>
      </c>
      <c r="S177" s="19">
        <f>ROUNDDOWN(L177*0.005, -1)</f>
        <v>0</v>
      </c>
      <c r="T177" s="15">
        <v>80</v>
      </c>
      <c r="U177" s="4">
        <v>900</v>
      </c>
      <c r="V177" s="4">
        <v>0</v>
      </c>
      <c r="W177" s="4">
        <v>0</v>
      </c>
      <c r="X177" s="4">
        <v>400</v>
      </c>
      <c r="Y177" s="10">
        <v>800</v>
      </c>
      <c r="Z177" s="15">
        <v>62</v>
      </c>
      <c r="AA177" s="4">
        <v>5000</v>
      </c>
      <c r="AB177" s="4"/>
    </row>
    <row r="178" ht="15.75" customHeight="1">
      <c r="A178" s="4">
        <v>84</v>
      </c>
      <c r="B178" s="8">
        <v>177.0</v>
      </c>
      <c r="C178" s="9" t="b">
        <v>1</v>
      </c>
      <c r="D178" s="4" t="inlineStr">
        <is>
          <t>鳥取城</t>
        </is>
      </c>
      <c r="E178" s="10" t="inlineStr">
        <is>
          <t>とっとりじょう</t>
        </is>
      </c>
      <c r="F178" s="11" t="str">
        <f t="array" ref="F178">IF(A178:A429="","",_xlfn.XLOOKUP(A178:A429,'参照_拠点'!A:A,'参照_拠点'!B:B,"見つかりません"))</f>
      </c>
      <c r="G178" s="12" t="str">
        <f t="array" ref="G178">IF(K178:K429="","",_xlfn.XLOOKUP(K178:K429,'参照_武将'!A:A,'参照_武将'!B:B,"見つかりません"))</f>
      </c>
      <c r="H178" s="14" t="str">
        <f t="array" ref="H178">IF(I178:I429="","",_xlfn.XLOOKUP(I178:I429,'参照_勢力'!A:A,'参照_勢力'!B:B,"見つかりません"))</f>
      </c>
      <c r="I178" s="15">
        <v>226</v>
      </c>
      <c r="J178" s="4">
        <v>0</v>
      </c>
      <c r="K178" s="10">
        <v>1226002</v>
      </c>
      <c r="L178" s="16">
        <f>300 + ROUND((((P178/15)+(Y178/10))*(SQRT(AA178)/100+1)+O178)/((COUNTIF(I:I, I178)/30)+1), 0)</f>
        <v>2073</v>
      </c>
      <c r="M178" s="4">
        <v>50</v>
      </c>
      <c r="N178" s="10">
        <v>50</v>
      </c>
      <c r="O178" s="16">
        <f>ROUND(500+((AA178*0.01)+(Z178/3)+(V178/10))*6,0)</f>
        <v>1050</v>
      </c>
      <c r="P178" s="17">
        <f>ROUND((T178 * 2.5) * SQRT(Z178)
,0) + (O178 * 2)</f>
        <v>4317</v>
      </c>
      <c r="Q178" s="17">
        <v>1000</v>
      </c>
      <c r="R178" s="16">
        <f>ROUNDDOWN(L178*0.2, -1)</f>
        <v>410</v>
      </c>
      <c r="S178" s="17">
        <f>ROUNDDOWN(L178*0.005, -1)</f>
        <v>10</v>
      </c>
      <c r="T178" s="15">
        <v>110</v>
      </c>
      <c r="U178" s="4">
        <v>1400</v>
      </c>
      <c r="V178" s="4">
        <v>0</v>
      </c>
      <c r="W178" s="4">
        <v>350</v>
      </c>
      <c r="X178" s="4">
        <v>500</v>
      </c>
      <c r="Y178" s="10">
        <v>1700</v>
      </c>
      <c r="Z178" s="15">
        <v>65</v>
      </c>
      <c r="AA178" s="4">
        <v>7000</v>
      </c>
      <c r="AB178" s="4"/>
    </row>
    <row r="179" ht="15.75" customHeight="1">
      <c r="A179" s="4">
        <v>106</v>
      </c>
      <c r="B179" s="8">
        <v>178.0</v>
      </c>
      <c r="C179" s="9" t="b">
        <v>1</v>
      </c>
      <c r="D179" s="4" t="inlineStr">
        <is>
          <t>羽衣石城</t>
        </is>
      </c>
      <c r="E179" s="10" t="inlineStr">
        <is>
          <t>うえしじょう</t>
        </is>
      </c>
      <c r="F179" s="11" t="str">
        <f t="array" ref="F179">IF(A179:A430="","",_xlfn.XLOOKUP(A179:A430,'参照_拠点'!A:A,'参照_拠点'!B:B,"見つかりません"))</f>
      </c>
      <c r="G179" s="12" t="str">
        <f t="array" ref="G179">IF(K179:K430="","",_xlfn.XLOOKUP(K179:K430,'参照_武将'!A:A,'参照_武将'!B:B,"見つかりません"))</f>
      </c>
      <c r="H179" s="14" t="str">
        <f t="array" ref="H179">IF(I179:I430="","",_xlfn.XLOOKUP(I179:I430,'参照_勢力'!A:A,'参照_勢力'!B:B,"見つかりません"))</f>
      </c>
      <c r="I179" s="15">
        <v>25</v>
      </c>
      <c r="J179" s="4">
        <v>0</v>
      </c>
      <c r="K179" s="10">
        <v>1025080</v>
      </c>
      <c r="L179" s="18">
        <f>300 + ROUND((((P179/15)+(Y179/10))*(SQRT(AA179)/100+1)+O179)/((COUNTIF(I:I, I179)/30)+1), 0)</f>
        <v>1347</v>
      </c>
      <c r="M179" s="4">
        <v>50</v>
      </c>
      <c r="N179" s="10">
        <v>50</v>
      </c>
      <c r="O179" s="18">
        <f>(ROUND(500+((AA179*0.01)+(Z179/3)+(V179/10))*6,0)-100)+200</f>
        <v>1152</v>
      </c>
      <c r="P179" s="19">
        <f>ROUND((T179 * 2.5) * SQRT(Z179)
,0) + (O179 * 2)</f>
        <v>3523</v>
      </c>
      <c r="Q179" s="19">
        <v>1000</v>
      </c>
      <c r="R179" s="18">
        <f>ROUNDDOWN(L179*0.3, -1)</f>
        <v>400</v>
      </c>
      <c r="S179" s="19">
        <f>ROUNDDOWN(L179*0.005, -1)</f>
        <v>0</v>
      </c>
      <c r="T179" s="15">
        <v>60</v>
      </c>
      <c r="U179" s="4">
        <v>700</v>
      </c>
      <c r="V179" s="4">
        <v>100</v>
      </c>
      <c r="W179" s="4">
        <v>750</v>
      </c>
      <c r="X179" s="4">
        <v>300</v>
      </c>
      <c r="Y179" s="10">
        <v>600</v>
      </c>
      <c r="Z179" s="15">
        <v>66</v>
      </c>
      <c r="AA179" s="4">
        <v>6000</v>
      </c>
      <c r="AB179" s="4"/>
    </row>
    <row r="180" ht="15.75" customHeight="1">
      <c r="A180" s="4">
        <v>240</v>
      </c>
      <c r="B180" s="8">
        <v>179.0</v>
      </c>
      <c r="C180" s="9" t="b">
        <v>1</v>
      </c>
      <c r="D180" s="4" t="inlineStr">
        <is>
          <t>尾高城</t>
        </is>
      </c>
      <c r="E180" s="10" t="inlineStr">
        <is>
          <t>おだかじょう</t>
        </is>
      </c>
      <c r="F180" s="11" t="str">
        <f t="array" ref="F180">IF(A180:A431="","",_xlfn.XLOOKUP(A180:A431,'参照_拠点'!A:A,'参照_拠点'!B:B,"見つかりません"))</f>
      </c>
      <c r="G180" s="12" t="str">
        <f t="array" ref="G180">IF(K180:K431="","",_xlfn.XLOOKUP(K180:K431,'参照_武将'!A:A,'参照_武将'!B:B,"見つかりません"))</f>
      </c>
      <c r="H180" s="14" t="str">
        <f t="array" ref="H180">IF(I180:I431="","",_xlfn.XLOOKUP(I180:I431,'参照_勢力'!A:A,'参照_勢力'!B:B,"見つかりません"))</f>
      </c>
      <c r="I180" s="15">
        <v>25</v>
      </c>
      <c r="J180" s="4">
        <v>0</v>
      </c>
      <c r="K180" s="10">
        <v>1025097</v>
      </c>
      <c r="L180" s="16">
        <f>300 + ROUND((((P180/15)+(Y180/10))*(SQRT(AA180)/100+1)+O180)/((COUNTIF(I:I, I180)/30)+1), 0)</f>
        <v>1244</v>
      </c>
      <c r="M180" s="4">
        <v>50</v>
      </c>
      <c r="N180" s="10">
        <v>50</v>
      </c>
      <c r="O180" s="16">
        <f>(ROUND(500+((AA180*0.01)+(Z180/3)+(V180/10))*6,0)-100)+200</f>
        <v>1024</v>
      </c>
      <c r="P180" s="17">
        <f>ROUND((T180 * 2.5) * SQRT(Z180)
,0) + (O180 * 2)</f>
        <v>3229</v>
      </c>
      <c r="Q180" s="17">
        <v>1000</v>
      </c>
      <c r="R180" s="16">
        <f>ROUNDDOWN(L180*0.2, -1)</f>
        <v>240</v>
      </c>
      <c r="S180" s="17">
        <f>ROUNDDOWN(L180*0.005, -1)</f>
        <v>0</v>
      </c>
      <c r="T180" s="15">
        <v>60</v>
      </c>
      <c r="U180" s="4">
        <v>500</v>
      </c>
      <c r="V180" s="4">
        <v>0</v>
      </c>
      <c r="W180" s="4">
        <v>500</v>
      </c>
      <c r="X180" s="4">
        <v>350</v>
      </c>
      <c r="Y180" s="10">
        <v>700</v>
      </c>
      <c r="Z180" s="15">
        <v>62</v>
      </c>
      <c r="AA180" s="4">
        <v>5000</v>
      </c>
      <c r="AB180" s="4"/>
    </row>
    <row r="181" ht="15.75" customHeight="1">
      <c r="A181" s="4">
        <v>107</v>
      </c>
      <c r="B181" s="8">
        <v>180.0</v>
      </c>
      <c r="C181" s="9" t="b">
        <v>1</v>
      </c>
      <c r="D181" s="4" t="inlineStr">
        <is>
          <t>八橋城</t>
        </is>
      </c>
      <c r="E181" s="10" t="inlineStr">
        <is>
          <t>やばせじょう</t>
        </is>
      </c>
      <c r="F181" s="11" t="str">
        <f t="array" ref="F181">IF(A181:A432="","",_xlfn.XLOOKUP(A181:A432,'参照_拠点'!A:A,'参照_拠点'!B:B,"見つかりません"))</f>
      </c>
      <c r="G181" s="12" t="str">
        <f t="array" ref="G181">IF(K181:K432="","",_xlfn.XLOOKUP(K181:K432,'参照_武将'!A:A,'参照_武将'!B:B,"見つかりません"))</f>
      </c>
      <c r="H181" s="14" t="str">
        <f t="array" ref="H181">IF(I181:I432="","",_xlfn.XLOOKUP(I181:I432,'参照_勢力'!A:A,'参照_勢力'!B:B,"見つかりません"))</f>
      </c>
      <c r="I181" s="15">
        <v>25</v>
      </c>
      <c r="J181" s="4">
        <v>0</v>
      </c>
      <c r="K181" s="10">
        <v>1025077</v>
      </c>
      <c r="L181" s="18">
        <f>300 + ROUND((((P181/15)+(Y181/10))*(SQRT(AA181)/100+1)+O181)/((COUNTIF(I:I, I181)/30)+1), 0)</f>
        <v>1389</v>
      </c>
      <c r="M181" s="4">
        <v>50</v>
      </c>
      <c r="N181" s="10">
        <v>50</v>
      </c>
      <c r="O181" s="18">
        <f>(ROUND(500+((AA181*0.01)+(Z181/3)+(V181/10))*6,0)-100)+200</f>
        <v>1208</v>
      </c>
      <c r="P181" s="19">
        <f>ROUND((T181 * 2.5) * SQRT(Z181)
,0) + (O181 * 2)</f>
        <v>3616</v>
      </c>
      <c r="Q181" s="19">
        <v>1000</v>
      </c>
      <c r="R181" s="18">
        <f>ROUNDDOWN(L181*0.3, -1)</f>
        <v>410</v>
      </c>
      <c r="S181" s="19">
        <f>ROUNDDOWN(L181*0.005, -1)</f>
        <v>0</v>
      </c>
      <c r="T181" s="15">
        <v>60</v>
      </c>
      <c r="U181" s="4">
        <v>700</v>
      </c>
      <c r="V181" s="4">
        <v>100</v>
      </c>
      <c r="W181" s="4">
        <v>800</v>
      </c>
      <c r="X181" s="4">
        <v>250</v>
      </c>
      <c r="Y181" s="10">
        <v>500</v>
      </c>
      <c r="Z181" s="15">
        <v>64</v>
      </c>
      <c r="AA181" s="4">
        <v>7000</v>
      </c>
      <c r="AB181" s="4"/>
    </row>
    <row r="182" ht="15.75" customHeight="1">
      <c r="A182" s="4">
        <v>108</v>
      </c>
      <c r="B182" s="8">
        <v>181.0</v>
      </c>
      <c r="C182" s="9" t="b">
        <v>1</v>
      </c>
      <c r="D182" s="4" t="inlineStr">
        <is>
          <t>月山富田城</t>
        </is>
      </c>
      <c r="E182" s="10" t="inlineStr">
        <is>
          <t>がっさんとだじょう</t>
        </is>
      </c>
      <c r="F182" s="11" t="str">
        <f t="array" ref="F182">IF(A182:A433="","",_xlfn.XLOOKUP(A182:A433,'参照_拠点'!A:A,'参照_拠点'!B:B,"見つかりません"))</f>
      </c>
      <c r="G182" s="12" t="str">
        <f t="array" ref="G182">IF(K182:K433="","",_xlfn.XLOOKUP(K182:K433,'参照_武将'!A:A,'参照_武将'!B:B,"見つかりません"))</f>
      </c>
      <c r="H182" s="14" t="str">
        <f t="array" ref="H182">IF(I182:I433="","",_xlfn.XLOOKUP(I182:I433,'参照_勢力'!A:A,'参照_勢力'!B:B,"見つかりません"))</f>
      </c>
      <c r="I182" s="15">
        <v>25</v>
      </c>
      <c r="J182" s="4">
        <v>0</v>
      </c>
      <c r="K182" s="10">
        <v>1025051</v>
      </c>
      <c r="L182" s="16">
        <f>300 + ROUND((((P182/15)+(Y182/10))*(SQRT(AA182)/100+1)+O182)/((COUNTIF(I:I, I182)/30)+1), 0)</f>
        <v>2333</v>
      </c>
      <c r="M182" s="4">
        <v>50</v>
      </c>
      <c r="N182" s="10">
        <v>50</v>
      </c>
      <c r="O182" s="16">
        <f>(ROUND(500+((AA182*0.01)+(Z182/3)+(V182/10))*6,0)-300)+400</f>
        <v>1780</v>
      </c>
      <c r="P182" s="17">
        <f>ROUND((T182 * 2.5) * SQRT(Z182)
,0) + (O182 * 2)</f>
        <v>7188</v>
      </c>
      <c r="Q182" s="17">
        <v>1000</v>
      </c>
      <c r="R182" s="16">
        <f>ROUNDDOWN(L182*0.3, -1)</f>
        <v>690</v>
      </c>
      <c r="S182" s="17">
        <f>ROUNDDOWN(L182*0.005, -1)</f>
        <v>10</v>
      </c>
      <c r="T182" s="15">
        <v>180</v>
      </c>
      <c r="U182" s="4">
        <v>1200</v>
      </c>
      <c r="V182" s="4">
        <v>50</v>
      </c>
      <c r="W182" s="4">
        <v>750</v>
      </c>
      <c r="X182" s="4">
        <v>800</v>
      </c>
      <c r="Y182" s="10">
        <v>1600</v>
      </c>
      <c r="Z182" s="15">
        <v>65</v>
      </c>
      <c r="AA182" s="4">
        <v>17000</v>
      </c>
      <c r="AB182" s="4"/>
    </row>
    <row r="183" ht="15.75" customHeight="1">
      <c r="A183" s="4">
        <v>109</v>
      </c>
      <c r="B183" s="8">
        <v>182.0</v>
      </c>
      <c r="C183" s="9" t="b">
        <v>1</v>
      </c>
      <c r="D183" s="4" t="inlineStr">
        <is>
          <t>真山城</t>
        </is>
      </c>
      <c r="E183" s="10" t="inlineStr">
        <is>
          <t>しんやまじょう</t>
        </is>
      </c>
      <c r="F183" s="11" t="str">
        <f t="array" ref="F183">IF(A183:A434="","",_xlfn.XLOOKUP(A183:A434,'参照_拠点'!A:A,'参照_拠点'!B:B,"見つかりません"))</f>
      </c>
      <c r="G183" s="12" t="str">
        <f t="array" ref="G183">IF(K183:K434="","",_xlfn.XLOOKUP(K183:K434,'参照_武将'!A:A,'参照_武将'!B:B,"見つかりません"))</f>
      </c>
      <c r="H183" s="14" t="str">
        <f t="array" ref="H183">IF(I183:I434="","",_xlfn.XLOOKUP(I183:I434,'参照_勢力'!A:A,'参照_勢力'!B:B,"見つかりません"))</f>
      </c>
      <c r="I183" s="15">
        <v>43</v>
      </c>
      <c r="J183" s="4">
        <v>0</v>
      </c>
      <c r="K183" s="10">
        <v>1043011</v>
      </c>
      <c r="L183" s="18">
        <f>300 + ROUND((((P183/15)+(Y183/10))*(SQRT(AA183)/100+1)+O183)/((COUNTIF(I:I, I183)/30)+1), 0)</f>
        <v>1508</v>
      </c>
      <c r="M183" s="4">
        <v>55</v>
      </c>
      <c r="N183" s="10">
        <v>55</v>
      </c>
      <c r="O183" s="18">
        <f>(ROUND(500+((AA183*0.01)+(Z183/3)+(V183/10))*6,0)-100)-200</f>
        <v>744</v>
      </c>
      <c r="P183" s="19">
        <f>ROUND((T183 * 2.5) * SQRT(Z183)
,0) + (O183 * 2)</f>
        <v>3063</v>
      </c>
      <c r="Q183" s="19">
        <v>1000</v>
      </c>
      <c r="R183" s="18">
        <f>ROUNDDOWN(L183*0.3, -1)</f>
        <v>450</v>
      </c>
      <c r="S183" s="19">
        <f>ROUNDDOWN(L183*0.005, -1)</f>
        <v>0</v>
      </c>
      <c r="T183" s="15">
        <v>80</v>
      </c>
      <c r="U183" s="4">
        <v>600</v>
      </c>
      <c r="V183" s="4">
        <v>100</v>
      </c>
      <c r="W183" s="4">
        <v>800</v>
      </c>
      <c r="X183" s="4">
        <v>400</v>
      </c>
      <c r="Y183" s="10">
        <v>800</v>
      </c>
      <c r="Z183" s="15">
        <v>62</v>
      </c>
      <c r="AA183" s="4">
        <v>6000</v>
      </c>
      <c r="AB183" s="4"/>
    </row>
    <row r="184" ht="15.75" customHeight="1">
      <c r="A184" s="4">
        <v>111</v>
      </c>
      <c r="B184" s="8">
        <v>183.0</v>
      </c>
      <c r="C184" s="9" t="b">
        <v>1</v>
      </c>
      <c r="D184" s="4" t="inlineStr">
        <is>
          <t>高津城</t>
        </is>
      </c>
      <c r="E184" s="10" t="inlineStr">
        <is>
          <t>たかつじょう</t>
        </is>
      </c>
      <c r="F184" s="11" t="str">
        <f t="array" ref="F184">IF(A184:A435="","",_xlfn.XLOOKUP(A184:A435,'参照_拠点'!A:A,'参照_拠点'!B:B,"見つかりません"))</f>
      </c>
      <c r="G184" s="12" t="str">
        <f t="array" ref="G184">IF(K184:K435="","",_xlfn.XLOOKUP(K184:K435,'参照_武将'!A:A,'参照_武将'!B:B,"見つかりません"))</f>
      </c>
      <c r="H184" s="14" t="str">
        <f t="array" ref="H184">IF(I184:I435="","",_xlfn.XLOOKUP(I184:I435,'参照_勢力'!A:A,'参照_勢力'!B:B,"見つかりません"))</f>
      </c>
      <c r="I184" s="15">
        <v>25</v>
      </c>
      <c r="J184" s="4">
        <v>1</v>
      </c>
      <c r="K184" s="10">
        <v>1025023</v>
      </c>
      <c r="L184" s="16">
        <f>300 + ROUND((((P184/15)+(Y184/10))*(SQRT(AA184)/100+1)+O184)/((COUNTIF(I:I, I184)/30)+1), 0)</f>
        <v>1311</v>
      </c>
      <c r="M184" s="4">
        <v>60</v>
      </c>
      <c r="N184" s="10">
        <v>60</v>
      </c>
      <c r="O184" s="16">
        <f>ROUND(500+((AA184*0.01)+(Z184/3)+(V184/10))*6,0)+100</f>
        <v>1118</v>
      </c>
      <c r="P184" s="17">
        <f>ROUND((T184 * 2.5) * SQRT(Z184)
,0) + (O184 * 2)</f>
        <v>3636</v>
      </c>
      <c r="Q184" s="17">
        <v>1000</v>
      </c>
      <c r="R184" s="16">
        <f>ROUNDDOWN(L184*0.3, -1)</f>
        <v>390</v>
      </c>
      <c r="S184" s="17">
        <f>ROUNDDOWN(L184*0.005, -1)</f>
        <v>0</v>
      </c>
      <c r="T184" s="15">
        <v>70</v>
      </c>
      <c r="U184" s="4">
        <v>600</v>
      </c>
      <c r="V184" s="4">
        <v>150</v>
      </c>
      <c r="W184" s="4">
        <v>800</v>
      </c>
      <c r="X184" s="4">
        <v>250</v>
      </c>
      <c r="Y184" s="10">
        <v>500</v>
      </c>
      <c r="Z184" s="15">
        <v>64</v>
      </c>
      <c r="AA184" s="4">
        <v>5000</v>
      </c>
      <c r="AB184" s="4"/>
    </row>
    <row r="185" ht="15.75" customHeight="1">
      <c r="A185" s="4">
        <v>110</v>
      </c>
      <c r="B185" s="8">
        <v>184.0</v>
      </c>
      <c r="C185" s="9" t="b">
        <v>1</v>
      </c>
      <c r="D185" s="4" t="inlineStr">
        <is>
          <t>山吹城</t>
        </is>
      </c>
      <c r="E185" s="10" t="inlineStr">
        <is>
          <t>やまぶきじょう</t>
        </is>
      </c>
      <c r="F185" s="11" t="str">
        <f t="array" ref="F185">IF(A185:A436="","",_xlfn.XLOOKUP(A185:A436,'参照_拠点'!A:A,'参照_拠点'!B:B,"見つかりません"))</f>
      </c>
      <c r="G185" s="12" t="str">
        <f t="array" ref="G185">IF(K185:K436="","",_xlfn.XLOOKUP(K185:K436,'参照_武将'!A:A,'参照_武将'!B:B,"見つかりません"))</f>
      </c>
      <c r="H185" s="14" t="str">
        <f t="array" ref="H185">IF(I185:I436="","",_xlfn.XLOOKUP(I185:I436,'参照_勢力'!A:A,'参照_勢力'!B:B,"見つかりません"))</f>
      </c>
      <c r="I185" s="15">
        <v>25</v>
      </c>
      <c r="J185" s="4">
        <v>0</v>
      </c>
      <c r="K185" s="10">
        <v>1025027</v>
      </c>
      <c r="L185" s="18">
        <f>300 + ROUND((((P185/15)+(Y185/10))*(SQRT(AA185)/100+1)+O185)/((COUNTIF(I:I, I185)/30)+1), 0)</f>
        <v>1549</v>
      </c>
      <c r="M185" s="4">
        <v>50</v>
      </c>
      <c r="N185" s="10">
        <v>50</v>
      </c>
      <c r="O185" s="18">
        <f>(ROUND(500+((AA185*0.01)+(Z185/3)+(V185/10))*6,0)-100)+200</f>
        <v>1240</v>
      </c>
      <c r="P185" s="19">
        <f>ROUND((T185 * 2.5) * SQRT(Z185)
,0) + (O185 * 2)</f>
        <v>4697</v>
      </c>
      <c r="Q185" s="19">
        <v>1000</v>
      </c>
      <c r="R185" s="18">
        <f>ROUNDDOWN(L185*0.3, -1)</f>
        <v>460</v>
      </c>
      <c r="S185" s="19">
        <f>ROUNDDOWN(L185*0.005, -1)</f>
        <v>0</v>
      </c>
      <c r="T185" s="15">
        <v>110</v>
      </c>
      <c r="U185" s="4">
        <v>900</v>
      </c>
      <c r="V185" s="4">
        <v>150</v>
      </c>
      <c r="W185" s="4">
        <v>800</v>
      </c>
      <c r="X185" s="4">
        <v>500</v>
      </c>
      <c r="Y185" s="10">
        <v>1000</v>
      </c>
      <c r="Z185" s="15">
        <v>65</v>
      </c>
      <c r="AA185" s="4">
        <v>7000</v>
      </c>
      <c r="AB185" s="4"/>
    </row>
    <row r="186" ht="15.75" customHeight="1">
      <c r="A186" s="4">
        <v>113</v>
      </c>
      <c r="B186" s="8">
        <v>185.0</v>
      </c>
      <c r="C186" s="9" t="b">
        <v>1</v>
      </c>
      <c r="D186" s="4" t="inlineStr">
        <is>
          <t>高田城</t>
        </is>
      </c>
      <c r="E186" s="10" t="inlineStr">
        <is>
          <t>たかだじょう</t>
        </is>
      </c>
      <c r="F186" s="11" t="str">
        <f t="array" ref="F186">IF(A186:A437="","",_xlfn.XLOOKUP(A186:A437,'参照_拠点'!A:A,'参照_拠点'!B:B,"見つかりません"))</f>
      </c>
      <c r="G186" s="12" t="str">
        <f t="array" ref="G186">IF(K186:K437="","",_xlfn.XLOOKUP(K186:K437,'参照_武将'!A:A,'参照_武将'!B:B,"見つかりません"))</f>
      </c>
      <c r="H186" s="14" t="str">
        <f t="array" ref="H186">IF(I186:I437="","",_xlfn.XLOOKUP(I186:I437,'参照_勢力'!A:A,'参照_勢力'!B:B,"見つかりません"))</f>
      </c>
      <c r="I186" s="15">
        <v>46</v>
      </c>
      <c r="J186" s="4">
        <v>0</v>
      </c>
      <c r="K186" s="10">
        <v>1046005</v>
      </c>
      <c r="L186" s="16">
        <f>300 + ROUND((((P186/15)+(Y186/10))*(SQRT(AA186)/100+1)+O186)/((COUNTIF(I:I, I186)/30)+1), 0)</f>
        <v>2214</v>
      </c>
      <c r="M186" s="4">
        <v>50</v>
      </c>
      <c r="N186" s="10">
        <v>50</v>
      </c>
      <c r="O186" s="16">
        <f>ROUND(500+((AA186*0.01)+(Z186/3)+(V186/10))*6,0)</f>
        <v>1290</v>
      </c>
      <c r="P186" s="17">
        <f>ROUND((T186 * 2.5) * SQRT(Z186)
,0) + (O186 * 2)</f>
        <v>4394</v>
      </c>
      <c r="Q186" s="17">
        <v>1000</v>
      </c>
      <c r="R186" s="16">
        <f>ROUNDDOWN(L186*0.2, -1)</f>
        <v>440</v>
      </c>
      <c r="S186" s="17">
        <f>ROUNDDOWN(L186*0.005, -1)</f>
        <v>10</v>
      </c>
      <c r="T186" s="15">
        <v>90</v>
      </c>
      <c r="U186" s="4">
        <v>600</v>
      </c>
      <c r="V186" s="4">
        <v>300</v>
      </c>
      <c r="W186" s="4">
        <v>900</v>
      </c>
      <c r="X186" s="4">
        <v>350</v>
      </c>
      <c r="Y186" s="10">
        <v>700</v>
      </c>
      <c r="Z186" s="15">
        <v>65</v>
      </c>
      <c r="AA186" s="4">
        <v>8000</v>
      </c>
      <c r="AB186" s="4"/>
    </row>
    <row r="187" ht="15.75" customHeight="1">
      <c r="A187" s="4">
        <v>112</v>
      </c>
      <c r="B187" s="8">
        <v>186.0</v>
      </c>
      <c r="C187" s="9" t="b">
        <v>1</v>
      </c>
      <c r="D187" s="4" t="inlineStr">
        <is>
          <t>三星城</t>
        </is>
      </c>
      <c r="E187" s="10" t="inlineStr">
        <is>
          <t>みつぼしじょう</t>
        </is>
      </c>
      <c r="F187" s="11" t="str">
        <f t="array" ref="F187">IF(A187:A438="","",_xlfn.XLOOKUP(A187:A438,'参照_拠点'!A:A,'参照_拠点'!B:B,"見つかりません"))</f>
      </c>
      <c r="G187" s="12" t="str">
        <f t="array" ref="G187">IF(K187:K438="","",_xlfn.XLOOKUP(K187:K438,'参照_武将'!A:A,'参照_武将'!B:B,"見つかりません"))</f>
      </c>
      <c r="H187" s="14" t="str">
        <f t="array" ref="H187">IF(I187:I438="","",_xlfn.XLOOKUP(I187:I438,'参照_勢力'!A:A,'参照_勢力'!B:B,"見つかりません"))</f>
      </c>
      <c r="I187" s="15">
        <v>44</v>
      </c>
      <c r="J187" s="4">
        <v>0</v>
      </c>
      <c r="K187" s="10">
        <v>1044011</v>
      </c>
      <c r="L187" s="18">
        <f>300 + ROUND((((P187/15)+(Y187/10))*(SQRT(AA187)/100+1)+O187)/((COUNTIF(I:I, I187)/30)+1), 0)</f>
        <v>2319</v>
      </c>
      <c r="M187" s="4">
        <v>50</v>
      </c>
      <c r="N187" s="10">
        <v>50</v>
      </c>
      <c r="O187" s="18">
        <f>ROUND(500+((AA187*0.01)+(Z187/3)+(V187/10))*6,0)</f>
        <v>1404</v>
      </c>
      <c r="P187" s="19">
        <f>ROUND((T187 * 2.5) * SQRT(Z187)
,0) + (O187 * 2)</f>
        <v>4777</v>
      </c>
      <c r="Q187" s="19">
        <v>1000</v>
      </c>
      <c r="R187" s="18">
        <f>ROUNDDOWN(L187*0.2, -1)</f>
        <v>460</v>
      </c>
      <c r="S187" s="19">
        <f>ROUNDDOWN(L187*0.005, -1)</f>
        <v>10</v>
      </c>
      <c r="T187" s="15">
        <v>100</v>
      </c>
      <c r="U187" s="4">
        <v>800</v>
      </c>
      <c r="V187" s="4">
        <v>300</v>
      </c>
      <c r="W187" s="4">
        <v>900</v>
      </c>
      <c r="X187" s="4">
        <v>450</v>
      </c>
      <c r="Y187" s="10">
        <v>900</v>
      </c>
      <c r="Z187" s="15">
        <v>62</v>
      </c>
      <c r="AA187" s="4">
        <v>10000</v>
      </c>
      <c r="AB187" s="4"/>
    </row>
    <row r="188" ht="15.75" customHeight="1">
      <c r="A188" s="4">
        <v>115</v>
      </c>
      <c r="B188" s="8">
        <v>187.0</v>
      </c>
      <c r="C188" s="9" t="b">
        <v>1</v>
      </c>
      <c r="D188" s="4" t="inlineStr">
        <is>
          <t>岡山城</t>
        </is>
      </c>
      <c r="E188" s="10" t="inlineStr">
        <is>
          <t>おかやまじょう</t>
        </is>
      </c>
      <c r="F188" s="11" t="str">
        <f t="array" ref="F188">IF(A188:A439="","",_xlfn.XLOOKUP(A188:A439,'参照_拠点'!A:A,'参照_拠点'!B:B,"見つかりません"))</f>
      </c>
      <c r="G188" s="12" t="str">
        <f t="array" ref="G188">IF(K188:K439="","",_xlfn.XLOOKUP(K188:K439,'参照_武将'!A:A,'参照_武将'!B:B,"見つかりません"))</f>
      </c>
      <c r="H188" s="14" t="str">
        <f t="array" ref="H188">IF(I188:I439="","",_xlfn.XLOOKUP(I188:I439,'参照_勢力'!A:A,'参照_勢力'!B:B,"見つかりません"))</f>
      </c>
      <c r="I188" s="15">
        <v>44</v>
      </c>
      <c r="J188" s="4">
        <v>2</v>
      </c>
      <c r="K188" s="10">
        <v>1210003</v>
      </c>
      <c r="L188" s="16">
        <f>300 + ROUND((((P188/15)+(Y188/10))*(SQRT(AA188)/100+1)+O188)/((COUNTIF(I:I, I188)/30)+1), 0)</f>
        <v>2234</v>
      </c>
      <c r="M188" s="4">
        <v>50</v>
      </c>
      <c r="N188" s="10">
        <v>50</v>
      </c>
      <c r="O188" s="16">
        <f>ROUND(500+((AA188*0.01)+(Z188/3)+(V188/10))*6,0)</f>
        <v>1196</v>
      </c>
      <c r="P188" s="17">
        <f>ROUND((T188 * 2.5) * SQRT(Z188)
,0) + (O188 * 2)</f>
        <v>5368</v>
      </c>
      <c r="Q188" s="17">
        <v>1000</v>
      </c>
      <c r="R188" s="16">
        <f>ROUNDDOWN(L188*0.2, -1)</f>
        <v>440</v>
      </c>
      <c r="S188" s="17">
        <f>ROUNDDOWN(L188*0.005, -1)</f>
        <v>10</v>
      </c>
      <c r="T188" s="15">
        <v>150</v>
      </c>
      <c r="U188" s="4">
        <v>1200</v>
      </c>
      <c r="V188" s="4">
        <v>50</v>
      </c>
      <c r="W188" s="4">
        <v>200</v>
      </c>
      <c r="X188" s="4">
        <v>400</v>
      </c>
      <c r="Y188" s="10">
        <v>1200</v>
      </c>
      <c r="Z188" s="15">
        <v>63</v>
      </c>
      <c r="AA188" s="4">
        <v>9000</v>
      </c>
      <c r="AB188" s="4"/>
    </row>
    <row r="189" ht="15.75" customHeight="1">
      <c r="A189" s="4">
        <v>114</v>
      </c>
      <c r="B189" s="8">
        <v>188.0</v>
      </c>
      <c r="C189" s="9" t="b">
        <v>1</v>
      </c>
      <c r="D189" s="4" t="inlineStr">
        <is>
          <t>天神山城</t>
        </is>
      </c>
      <c r="E189" s="10" t="inlineStr">
        <is>
          <t>てんじんやまじょう</t>
        </is>
      </c>
      <c r="F189" s="11" t="str">
        <f t="array" ref="F189">IF(A189:A440="","",_xlfn.XLOOKUP(A189:A440,'参照_拠点'!A:A,'参照_拠点'!B:B,"見つかりません"))</f>
      </c>
      <c r="G189" s="12" t="str">
        <f t="array" ref="G189">IF(K189:K440="","",_xlfn.XLOOKUP(K189:K440,'参照_武将'!A:A,'参照_武将'!B:B,"見つかりません"))</f>
      </c>
      <c r="H189" s="14" t="str">
        <f t="array" ref="H189">IF(I189:I440="","",_xlfn.XLOOKUP(I189:I440,'参照_勢力'!A:A,'参照_勢力'!B:B,"見つかりません"))</f>
      </c>
      <c r="I189" s="15">
        <v>44</v>
      </c>
      <c r="J189" s="4">
        <v>0</v>
      </c>
      <c r="K189" s="10">
        <v>1044005</v>
      </c>
      <c r="L189" s="18">
        <f>300 + ROUND((((P189/15)+(Y189/10))*(SQRT(AA189)/100+1)+O189)/((COUNTIF(I:I, I189)/30)+1), 0)</f>
        <v>2173</v>
      </c>
      <c r="M189" s="4">
        <v>50</v>
      </c>
      <c r="N189" s="10">
        <v>50</v>
      </c>
      <c r="O189" s="18">
        <f>ROUND(500+((AA189*0.01)+(Z189/3)+(V189/10))*6,0)</f>
        <v>1052</v>
      </c>
      <c r="P189" s="19">
        <f>ROUND((T189 * 2.5) * SQRT(Z189)
,0) + (O189 * 2)</f>
        <v>6572</v>
      </c>
      <c r="Q189" s="19">
        <v>1000</v>
      </c>
      <c r="R189" s="18">
        <f>ROUNDDOWN(L189*0.2, -1)</f>
        <v>430</v>
      </c>
      <c r="S189" s="19">
        <f>ROUNDDOWN(L189*0.005, -1)</f>
        <v>10</v>
      </c>
      <c r="T189" s="15">
        <v>220</v>
      </c>
      <c r="U189" s="4">
        <v>1200</v>
      </c>
      <c r="V189" s="4">
        <v>100</v>
      </c>
      <c r="W189" s="4">
        <v>650</v>
      </c>
      <c r="X189" s="4">
        <v>650</v>
      </c>
      <c r="Y189" s="10">
        <v>1300</v>
      </c>
      <c r="Z189" s="15">
        <v>66</v>
      </c>
      <c r="AA189" s="4">
        <v>6000</v>
      </c>
      <c r="AB189" s="4"/>
    </row>
    <row r="190" ht="15.75" customHeight="1">
      <c r="A190" s="4">
        <v>116</v>
      </c>
      <c r="B190" s="8">
        <v>189.0</v>
      </c>
      <c r="C190" s="9" t="b">
        <v>1</v>
      </c>
      <c r="D190" s="4" t="inlineStr">
        <is>
          <t>高松城</t>
        </is>
      </c>
      <c r="E190" s="10" t="inlineStr">
        <is>
          <t>たかまつじょう</t>
        </is>
      </c>
      <c r="F190" s="11" t="str">
        <f t="array" ref="F190">IF(A190:A441="","",_xlfn.XLOOKUP(A190:A441,'参照_拠点'!A:A,'参照_拠点'!B:B,"見つかりません"))</f>
      </c>
      <c r="G190" s="12" t="str">
        <f t="array" ref="G190">IF(K190:K441="","",_xlfn.XLOOKUP(K190:K441,'参照_武将'!A:A,'参照_武将'!B:B,"見つかりません"))</f>
      </c>
      <c r="H190" s="14" t="str">
        <f t="array" ref="H190">IF(I190:I441="","",_xlfn.XLOOKUP(I190:I441,'参照_勢力'!A:A,'参照_勢力'!B:B,"見つかりません"))</f>
      </c>
      <c r="I190" s="15">
        <v>45</v>
      </c>
      <c r="J190" s="4">
        <v>0</v>
      </c>
      <c r="K190" s="10">
        <v>1045015</v>
      </c>
      <c r="L190" s="16">
        <f>300 + ROUND((((P190/15)+(Y190/10))*(SQRT(AA190)/100+1)+O190)/((COUNTIF(I:I, I190)/30)+1), 0)</f>
        <v>2159</v>
      </c>
      <c r="M190" s="4">
        <v>50</v>
      </c>
      <c r="N190" s="10">
        <v>50</v>
      </c>
      <c r="O190" s="16">
        <f>ROUND(500+((AA190*0.01)+(Z190/3)+(V190/10))*6,0)</f>
        <v>1164</v>
      </c>
      <c r="P190" s="17">
        <f>ROUND((T190 * 2.5) * SQRT(Z190)
,0) + (O190 * 2)</f>
        <v>5281</v>
      </c>
      <c r="Q190" s="17">
        <v>1000</v>
      </c>
      <c r="R190" s="16">
        <f>ROUNDDOWN(L190*0.2, -1)</f>
        <v>430</v>
      </c>
      <c r="S190" s="17">
        <f>ROUNDDOWN(L190*0.005, -1)</f>
        <v>10</v>
      </c>
      <c r="T190" s="15">
        <v>150</v>
      </c>
      <c r="U190" s="4">
        <v>1000</v>
      </c>
      <c r="V190" s="4">
        <v>100</v>
      </c>
      <c r="W190" s="4">
        <v>650</v>
      </c>
      <c r="X190" s="4">
        <v>400</v>
      </c>
      <c r="Y190" s="10">
        <v>800</v>
      </c>
      <c r="Z190" s="15">
        <v>62</v>
      </c>
      <c r="AA190" s="4">
        <v>8000</v>
      </c>
      <c r="AB190" s="4"/>
    </row>
    <row r="191" ht="15.75" customHeight="1">
      <c r="A191" s="4">
        <v>117</v>
      </c>
      <c r="B191" s="8">
        <v>190.0</v>
      </c>
      <c r="C191" s="9" t="b">
        <v>1</v>
      </c>
      <c r="D191" s="4" t="inlineStr">
        <is>
          <t>松山城</t>
        </is>
      </c>
      <c r="E191" s="10" t="inlineStr">
        <is>
          <t>まつやまじょう</t>
        </is>
      </c>
      <c r="F191" s="11" t="str">
        <f t="array" ref="F191">IF(A191:A442="","",_xlfn.XLOOKUP(A191:A442,'参照_拠点'!A:A,'参照_拠点'!B:B,"見つかりません"))</f>
      </c>
      <c r="G191" s="12" t="str">
        <f t="array" ref="G191">IF(K191:K442="","",_xlfn.XLOOKUP(K191:K442,'参照_武将'!A:A,'参照_武将'!B:B,"見つかりません"))</f>
      </c>
      <c r="H191" s="14" t="str">
        <f t="array" ref="H191">IF(I191:I442="","",_xlfn.XLOOKUP(I191:I442,'参照_勢力'!A:A,'参照_勢力'!B:B,"見つかりません"))</f>
      </c>
      <c r="I191" s="15">
        <v>45</v>
      </c>
      <c r="J191" s="4">
        <v>0</v>
      </c>
      <c r="K191" s="10">
        <v>1045004</v>
      </c>
      <c r="L191" s="18">
        <f>300 + ROUND((((P191/15)+(Y191/10))*(SQRT(AA191)/100+1)+O191)/((COUNTIF(I:I, I191)/30)+1), 0)</f>
        <v>2326</v>
      </c>
      <c r="M191" s="4">
        <v>50</v>
      </c>
      <c r="N191" s="10">
        <v>50</v>
      </c>
      <c r="O191" s="18">
        <f>ROUND(500+((AA191*0.01)+(Z191/3)+(V191/10))*6,0)</f>
        <v>1284</v>
      </c>
      <c r="P191" s="19">
        <f>ROUND((T191 * 2.5) * SQRT(Z191)
,0) + (O191 * 2)</f>
        <v>4930</v>
      </c>
      <c r="Q191" s="19">
        <v>1000</v>
      </c>
      <c r="R191" s="18">
        <f>ROUNDDOWN(L191*0.2, -1)</f>
        <v>460</v>
      </c>
      <c r="S191" s="19">
        <f>ROUNDDOWN(L191*0.005, -1)</f>
        <v>10</v>
      </c>
      <c r="T191" s="15">
        <v>120</v>
      </c>
      <c r="U191" s="4">
        <v>1000</v>
      </c>
      <c r="V191" s="4">
        <v>100</v>
      </c>
      <c r="W191" s="4">
        <v>500</v>
      </c>
      <c r="X191" s="4">
        <v>550</v>
      </c>
      <c r="Y191" s="10">
        <v>1100</v>
      </c>
      <c r="Z191" s="15">
        <v>62</v>
      </c>
      <c r="AA191" s="4">
        <v>10000</v>
      </c>
      <c r="AB191" s="4"/>
    </row>
    <row r="192" ht="15.75" customHeight="1">
      <c r="A192" s="4">
        <v>118</v>
      </c>
      <c r="B192" s="8">
        <v>191.0</v>
      </c>
      <c r="C192" s="9" t="b">
        <v>1</v>
      </c>
      <c r="D192" s="4" t="inlineStr">
        <is>
          <t>神辺城</t>
        </is>
      </c>
      <c r="E192" s="10" t="inlineStr">
        <is>
          <t>かんなべじょう</t>
        </is>
      </c>
      <c r="F192" s="11" t="str">
        <f t="array" ref="F192">IF(A192:A443="","",_xlfn.XLOOKUP(A192:A443,'参照_拠点'!A:A,'参照_拠点'!B:B,"見つかりません"))</f>
      </c>
      <c r="G192" s="12" t="str">
        <f t="array" ref="G192">IF(K192:K443="","",_xlfn.XLOOKUP(K192:K443,'参照_武将'!A:A,'参照_武将'!B:B,"見つかりません"))</f>
      </c>
      <c r="H192" s="14" t="str">
        <f t="array" ref="H192">IF(I192:I443="","",_xlfn.XLOOKUP(I192:I443,'参照_勢力'!A:A,'参照_勢力'!B:B,"見つかりません"))</f>
      </c>
      <c r="I192" s="15">
        <v>25</v>
      </c>
      <c r="J192" s="4">
        <v>1</v>
      </c>
      <c r="K192" s="10">
        <v>1025078</v>
      </c>
      <c r="L192" s="16">
        <f>300 + ROUND((((P192/15)+(Y192/10))*(SQRT(AA192)/100+1)+O192)/((COUNTIF(I:I, I192)/30)+1), 0)</f>
        <v>1285</v>
      </c>
      <c r="M192" s="4">
        <v>60</v>
      </c>
      <c r="N192" s="10">
        <v>60</v>
      </c>
      <c r="O192" s="16">
        <f>ROUND(500+((AA192*0.01)+(Z192/3)+(V192/10))*6,0)+100</f>
        <v>1086</v>
      </c>
      <c r="P192" s="17">
        <f>ROUND((T192 * 2.5) * SQRT(Z192)
,0) + (O192 * 2)</f>
        <v>3561</v>
      </c>
      <c r="Q192" s="17">
        <v>1000</v>
      </c>
      <c r="R192" s="16">
        <f>ROUNDDOWN(L192*0.3, -1)</f>
        <v>380</v>
      </c>
      <c r="S192" s="17">
        <f>ROUNDDOWN(L192*0.005, -1)</f>
        <v>0</v>
      </c>
      <c r="T192" s="15">
        <v>70</v>
      </c>
      <c r="U192" s="4">
        <v>600</v>
      </c>
      <c r="V192" s="4">
        <v>100</v>
      </c>
      <c r="W192" s="4">
        <v>750</v>
      </c>
      <c r="X192" s="4">
        <v>250</v>
      </c>
      <c r="Y192" s="10">
        <v>500</v>
      </c>
      <c r="Z192" s="15">
        <v>63</v>
      </c>
      <c r="AA192" s="4">
        <v>5000</v>
      </c>
      <c r="AB192" s="4"/>
    </row>
    <row r="193" ht="15.75" customHeight="1">
      <c r="A193" s="4">
        <v>119</v>
      </c>
      <c r="B193" s="8">
        <v>192.0</v>
      </c>
      <c r="C193" s="9" t="b">
        <v>1</v>
      </c>
      <c r="D193" s="4" t="inlineStr">
        <is>
          <t>比叡尾山城</t>
        </is>
      </c>
      <c r="E193" s="10" t="inlineStr">
        <is>
          <t>ひえびやまじょう</t>
        </is>
      </c>
      <c r="F193" s="11" t="str">
        <f t="array" ref="F193">IF(A193:A444="","",_xlfn.XLOOKUP(A193:A444,'参照_拠点'!A:A,'参照_拠点'!B:B,"見つかりません"))</f>
      </c>
      <c r="G193" s="12" t="str">
        <f t="array" ref="G193">IF(K193:K444="","",_xlfn.XLOOKUP(K193:K444,'参照_武将'!A:A,'参照_武将'!B:B,"見つかりません"))</f>
      </c>
      <c r="H193" s="14" t="str">
        <f t="array" ref="H193">IF(I193:I444="","",_xlfn.XLOOKUP(I193:I444,'参照_勢力'!A:A,'参照_勢力'!B:B,"見つかりません"))</f>
      </c>
      <c r="I193" s="15">
        <v>25</v>
      </c>
      <c r="J193" s="4">
        <v>0</v>
      </c>
      <c r="K193" s="10">
        <v>1025094</v>
      </c>
      <c r="L193" s="18">
        <f>300 + ROUND((((P193/15)+(Y193/10))*(SQRT(AA193)/100+1)+O193)/((COUNTIF(I:I, I193)/30)+1), 0)</f>
        <v>1286</v>
      </c>
      <c r="M193" s="4">
        <v>50</v>
      </c>
      <c r="N193" s="10">
        <v>50</v>
      </c>
      <c r="O193" s="18">
        <f>(ROUND(500+((AA193*0.01)+(Z193/3)+(V193/10))*6,0)-100)+200</f>
        <v>1090</v>
      </c>
      <c r="P193" s="19">
        <f>ROUND((T193 * 2.5) * SQRT(Z193)
,0) + (O193 * 2)</f>
        <v>3389</v>
      </c>
      <c r="Q193" s="19">
        <v>1000</v>
      </c>
      <c r="R193" s="18">
        <f>ROUNDDOWN(L193*0.3, -1)</f>
        <v>380</v>
      </c>
      <c r="S193" s="19">
        <f>ROUNDDOWN(L193*0.005, -1)</f>
        <v>0</v>
      </c>
      <c r="T193" s="15">
        <v>60</v>
      </c>
      <c r="U193" s="4">
        <v>600</v>
      </c>
      <c r="V193" s="4">
        <v>100</v>
      </c>
      <c r="W193" s="4">
        <v>800</v>
      </c>
      <c r="X193" s="4">
        <v>300</v>
      </c>
      <c r="Y193" s="10">
        <v>600</v>
      </c>
      <c r="Z193" s="15">
        <v>65</v>
      </c>
      <c r="AA193" s="4">
        <v>5000</v>
      </c>
      <c r="AB193" s="4"/>
    </row>
    <row r="194" ht="15.75" customHeight="1">
      <c r="A194" s="4">
        <v>121</v>
      </c>
      <c r="B194" s="8">
        <v>193.0</v>
      </c>
      <c r="C194" s="9" t="b">
        <v>1</v>
      </c>
      <c r="D194" s="4" t="inlineStr">
        <is>
          <t>三原城</t>
        </is>
      </c>
      <c r="E194" s="10" t="inlineStr">
        <is>
          <t>みはらじょう</t>
        </is>
      </c>
      <c r="F194" s="11" t="str">
        <f t="array" ref="F194">IF(A194:A445="","",_xlfn.XLOOKUP(A194:A445,'参照_拠点'!A:A,'参照_拠点'!B:B,"見つかりません"))</f>
      </c>
      <c r="G194" s="12" t="str">
        <f t="array" ref="G194">IF(K194:K445="","",_xlfn.XLOOKUP(K194:K445,'参照_武将'!A:A,'参照_武将'!B:B,"見つかりません"))</f>
      </c>
      <c r="H194" s="14" t="str">
        <f t="array" ref="H194">IF(I194:I445="","",_xlfn.XLOOKUP(I194:I445,'参照_勢力'!A:A,'参照_勢力'!B:B,"見つかりません"))</f>
      </c>
      <c r="I194" s="15">
        <v>25</v>
      </c>
      <c r="J194" s="4">
        <v>2</v>
      </c>
      <c r="K194" s="10">
        <v>1025011</v>
      </c>
      <c r="L194" s="16">
        <f>300 + ROUND((((P194/15)+(Y194/10))*(SQRT(AA194)/100+1)+O194)/((COUNTIF(I:I, I194)/30)+1), 0)</f>
        <v>1831</v>
      </c>
      <c r="M194" s="4">
        <v>60</v>
      </c>
      <c r="N194" s="10">
        <v>60</v>
      </c>
      <c r="O194" s="16">
        <f>ROUND(500+((AA194*0.01)+(Z194/3)+(V194/10))*6,0)+100</f>
        <v>1390</v>
      </c>
      <c r="P194" s="17">
        <f>ROUND((T194 * 2.5) * SQRT(Z194)
,0) + (O194 * 2)</f>
        <v>6408</v>
      </c>
      <c r="Q194" s="17">
        <v>1000</v>
      </c>
      <c r="R194" s="16">
        <f>ROUNDDOWN(L194*0.3, -1)</f>
        <v>540</v>
      </c>
      <c r="S194" s="17">
        <f>ROUNDDOWN(L194*0.005, -1)</f>
        <v>0</v>
      </c>
      <c r="T194" s="15">
        <v>180</v>
      </c>
      <c r="U194" s="4">
        <v>1000</v>
      </c>
      <c r="V194" s="4">
        <v>0</v>
      </c>
      <c r="W194" s="4">
        <v>250</v>
      </c>
      <c r="X194" s="4">
        <v>450</v>
      </c>
      <c r="Y194" s="10">
        <v>900</v>
      </c>
      <c r="Z194" s="15">
        <v>65</v>
      </c>
      <c r="AA194" s="4">
        <v>11000</v>
      </c>
      <c r="AB194" s="4"/>
    </row>
    <row r="195" ht="15.75" customHeight="1">
      <c r="A195" s="4">
        <v>122</v>
      </c>
      <c r="B195" s="8">
        <v>194.0</v>
      </c>
      <c r="C195" s="9" t="b">
        <v>1</v>
      </c>
      <c r="D195" s="4" t="inlineStr">
        <is>
          <t>佐東銀山城</t>
        </is>
      </c>
      <c r="E195" s="10" t="inlineStr">
        <is>
          <t>さとうかなやまじょう</t>
        </is>
      </c>
      <c r="F195" s="11" t="str">
        <f t="array" ref="F195">IF(A195:A446="","",_xlfn.XLOOKUP(A195:A446,'参照_拠点'!A:A,'参照_拠点'!B:B,"見つかりません"))</f>
      </c>
      <c r="G195" s="12" t="str">
        <f t="array" ref="G195">IF(K195:K446="","",_xlfn.XLOOKUP(K195:K446,'参照_武将'!A:A,'参照_武将'!B:B,"見つかりません"))</f>
      </c>
      <c r="H195" s="14" t="str">
        <f t="array" ref="H195">IF(I195:I446="","",_xlfn.XLOOKUP(I195:I446,'参照_勢力'!A:A,'参照_勢力'!B:B,"見つかりません"))</f>
      </c>
      <c r="I195" s="15">
        <v>25</v>
      </c>
      <c r="J195" s="4">
        <v>0</v>
      </c>
      <c r="K195" s="10">
        <v>1221010</v>
      </c>
      <c r="L195" s="18">
        <f>300 + ROUND((((P195/15)+(Y195/10))*(SQRT(AA195)/100+1)+O195)/((COUNTIF(I:I, I195)/30)+1), 0)</f>
        <v>1223</v>
      </c>
      <c r="M195" s="4">
        <v>60</v>
      </c>
      <c r="N195" s="10">
        <v>60</v>
      </c>
      <c r="O195" s="18">
        <f>ROUND(500+((AA195*0.01)+(Z195/3)+(V195/10))*6,0)+100</f>
        <v>1068</v>
      </c>
      <c r="P195" s="19">
        <f>ROUND((T195 * 2.5) * SQRT(Z195)
,0) + (O195 * 2)</f>
        <v>3055</v>
      </c>
      <c r="Q195" s="19">
        <v>1000</v>
      </c>
      <c r="R195" s="18">
        <f>ROUNDDOWN(L195*0.3, -1)</f>
        <v>360</v>
      </c>
      <c r="S195" s="19">
        <f>ROUNDDOWN(L195*0.005, -1)</f>
        <v>0</v>
      </c>
      <c r="T195" s="15">
        <v>50</v>
      </c>
      <c r="U195" s="4">
        <v>400</v>
      </c>
      <c r="V195" s="4">
        <v>300</v>
      </c>
      <c r="W195" s="4">
        <v>1600</v>
      </c>
      <c r="X195" s="4">
        <v>300</v>
      </c>
      <c r="Y195" s="10">
        <v>600</v>
      </c>
      <c r="Z195" s="15">
        <v>54</v>
      </c>
      <c r="AA195" s="4">
        <v>3000</v>
      </c>
      <c r="AB195" s="4"/>
    </row>
    <row r="196" ht="15.75" customHeight="1">
      <c r="A196" s="4">
        <v>250</v>
      </c>
      <c r="B196" s="8">
        <v>195.0</v>
      </c>
      <c r="C196" s="9" t="b">
        <v>1</v>
      </c>
      <c r="D196" s="4" t="inlineStr">
        <is>
          <t>日野山城</t>
        </is>
      </c>
      <c r="E196" s="10" t="inlineStr">
        <is>
          <t>ひのやまじょう</t>
        </is>
      </c>
      <c r="F196" s="11" t="str">
        <f t="array" ref="F196">IF(A196:A447="","",_xlfn.XLOOKUP(A196:A447,'参照_拠点'!A:A,'参照_拠点'!B:B,"見つかりません"))</f>
      </c>
      <c r="G196" s="12" t="str">
        <f t="array" ref="G196">IF(K196:K447="","",_xlfn.XLOOKUP(K196:K447,'参照_武将'!A:A,'参照_武将'!B:B,"見つかりません"))</f>
      </c>
      <c r="H196" s="14" t="str">
        <f t="array" ref="H196">IF(I196:I447="","",_xlfn.XLOOKUP(I196:I447,'参照_勢力'!A:A,'参照_勢力'!B:B,"見つかりません"))</f>
      </c>
      <c r="I196" s="15">
        <v>25</v>
      </c>
      <c r="J196" s="4">
        <v>1</v>
      </c>
      <c r="K196" s="10">
        <v>1025006</v>
      </c>
      <c r="L196" s="16">
        <f>300 + ROUND((((P196/15)+(Y196/10))*(SQRT(AA196)/100+1)+O196)/((COUNTIF(I:I, I196)/30)+1), 0)</f>
        <v>1731</v>
      </c>
      <c r="M196" s="4">
        <v>60</v>
      </c>
      <c r="N196" s="10">
        <v>60</v>
      </c>
      <c r="O196" s="16">
        <f>ROUND(500+((AA196*0.01)+(Z196/3)+(V196/10))*6,0)+100</f>
        <v>1384</v>
      </c>
      <c r="P196" s="17">
        <f>ROUND((T196 * 2.5) * SQRT(Z196)
,0) + (O196 * 2)</f>
        <v>5130</v>
      </c>
      <c r="Q196" s="17">
        <v>1000</v>
      </c>
      <c r="R196" s="16">
        <f>ROUNDDOWN(L196*0.3, -1)</f>
        <v>510</v>
      </c>
      <c r="S196" s="17">
        <f>ROUNDDOWN(L196*0.005, -1)</f>
        <v>0</v>
      </c>
      <c r="T196" s="15">
        <v>120</v>
      </c>
      <c r="U196" s="4">
        <v>900</v>
      </c>
      <c r="V196" s="4">
        <v>0</v>
      </c>
      <c r="W196" s="4">
        <v>350</v>
      </c>
      <c r="X196" s="4">
        <v>500</v>
      </c>
      <c r="Y196" s="10">
        <v>1000</v>
      </c>
      <c r="Z196" s="15">
        <v>62</v>
      </c>
      <c r="AA196" s="4">
        <v>11000</v>
      </c>
      <c r="AB196" s="4"/>
    </row>
    <row r="197" ht="15.75" customHeight="1">
      <c r="A197" s="4">
        <v>120</v>
      </c>
      <c r="B197" s="8">
        <v>196.0</v>
      </c>
      <c r="C197" s="9" t="b">
        <v>1</v>
      </c>
      <c r="D197" s="4" t="inlineStr">
        <is>
          <t>吉田郡山城</t>
        </is>
      </c>
      <c r="E197" s="10" t="inlineStr">
        <is>
          <t>よしだこおりやまじょう</t>
        </is>
      </c>
      <c r="F197" s="11" t="str">
        <f t="array" ref="F197">IF(A197:A448="","",_xlfn.XLOOKUP(A197:A448,'参照_拠点'!A:A,'参照_拠点'!B:B,"見つかりません"))</f>
      </c>
      <c r="G197" s="12" t="str">
        <f t="array" ref="G197">IF(K197:K448="","",_xlfn.XLOOKUP(K197:K448,'参照_武将'!A:A,'参照_武将'!B:B,"見つかりません"))</f>
      </c>
      <c r="H197" s="14" t="str">
        <f t="array" ref="H197">IF(I197:I448="","",_xlfn.XLOOKUP(I197:I448,'参照_勢力'!A:A,'参照_勢力'!B:B,"見つかりません"))</f>
      </c>
      <c r="I197" s="15">
        <v>25</v>
      </c>
      <c r="J197" s="4">
        <v>0</v>
      </c>
      <c r="K197" s="10">
        <v>1025004</v>
      </c>
      <c r="L197" s="18">
        <f>300 + ROUND((((P197/15)+(Y197/10))*(SQRT(AA197)/100+1)+O197)/((COUNTIF(I:I, I197)/30)+1), 0)</f>
        <v>2474</v>
      </c>
      <c r="M197" s="4">
        <v>60</v>
      </c>
      <c r="N197" s="10">
        <v>60</v>
      </c>
      <c r="O197" s="18">
        <f>ROUND(500+((AA197*0.01)+(Z197/3)+(V197/10))*6,0)+100</f>
        <v>1810</v>
      </c>
      <c r="P197" s="19">
        <f>ROUND((T197 * 2.5) * SQRT(Z197)
,0) + (O197 * 2)</f>
        <v>8054</v>
      </c>
      <c r="Q197" s="19">
        <v>1000</v>
      </c>
      <c r="R197" s="18">
        <f>ROUNDDOWN(L197*0.3, -1)</f>
        <v>740</v>
      </c>
      <c r="S197" s="19">
        <f>ROUNDDOWN(L197*0.005, -1)</f>
        <v>10</v>
      </c>
      <c r="T197" s="15">
        <v>220</v>
      </c>
      <c r="U197" s="4">
        <v>1400</v>
      </c>
      <c r="V197" s="4">
        <v>200</v>
      </c>
      <c r="W197" s="4">
        <v>900</v>
      </c>
      <c r="X197" s="4">
        <v>1000</v>
      </c>
      <c r="Y197" s="10">
        <v>2000</v>
      </c>
      <c r="Z197" s="15">
        <v>65</v>
      </c>
      <c r="AA197" s="4">
        <v>16000</v>
      </c>
      <c r="AB197" s="4"/>
    </row>
    <row r="198" ht="15.75" customHeight="1">
      <c r="A198" s="4">
        <v>124</v>
      </c>
      <c r="B198" s="8">
        <v>197.0</v>
      </c>
      <c r="C198" s="9" t="b">
        <v>1</v>
      </c>
      <c r="D198" s="4" t="inlineStr">
        <is>
          <t>高嶺城</t>
        </is>
      </c>
      <c r="E198" s="10" t="inlineStr">
        <is>
          <t>こうのみねじょう</t>
        </is>
      </c>
      <c r="F198" s="11" t="str">
        <f t="array" ref="F198">IF(A198:A449="","",_xlfn.XLOOKUP(A198:A449,'参照_拠点'!A:A,'参照_拠点'!B:B,"見つかりません"))</f>
      </c>
      <c r="G198" s="12" t="str">
        <f t="array" ref="G198">IF(K198:K449="","",_xlfn.XLOOKUP(K198:K449,'参照_武将'!A:A,'参照_武将'!B:B,"見つかりません"))</f>
      </c>
      <c r="H198" s="14" t="str">
        <f t="array" ref="H198">IF(I198:I449="","",_xlfn.XLOOKUP(I198:I449,'参照_勢力'!A:A,'参照_勢力'!B:B,"見つかりません"))</f>
      </c>
      <c r="I198" s="15">
        <v>25</v>
      </c>
      <c r="J198" s="4">
        <v>0</v>
      </c>
      <c r="K198" s="10">
        <v>1025066</v>
      </c>
      <c r="L198" s="16">
        <f>300 + ROUND((((P198/15)+(Y198/10))*(SQRT(AA198)/100+1)+O198)/((COUNTIF(I:I, I198)/30)+1), 0)</f>
        <v>1969</v>
      </c>
      <c r="M198" s="4">
        <v>60</v>
      </c>
      <c r="N198" s="10">
        <v>60</v>
      </c>
      <c r="O198" s="16">
        <f>ROUND(500+((AA198*0.01)+(Z198/3)+(V198/10))*6,0)+100</f>
        <v>1450</v>
      </c>
      <c r="P198" s="17">
        <f>ROUND((T198 * 2.5) * SQRT(Z198)
,0) + (O198 * 2)</f>
        <v>6931</v>
      </c>
      <c r="Q198" s="17">
        <v>1000</v>
      </c>
      <c r="R198" s="16">
        <f>ROUNDDOWN(L198*0.3, -1)</f>
        <v>590</v>
      </c>
      <c r="S198" s="17">
        <f>ROUNDDOWN(L198*0.005, -1)</f>
        <v>0</v>
      </c>
      <c r="T198" s="15">
        <v>200</v>
      </c>
      <c r="U198" s="4">
        <v>1100</v>
      </c>
      <c r="V198" s="4">
        <v>0</v>
      </c>
      <c r="W198" s="4">
        <v>0</v>
      </c>
      <c r="X198" s="4">
        <v>600</v>
      </c>
      <c r="Y198" s="10">
        <v>1200</v>
      </c>
      <c r="Z198" s="15">
        <v>65</v>
      </c>
      <c r="AA198" s="4">
        <v>12000</v>
      </c>
      <c r="AB198" s="4"/>
    </row>
    <row r="199" ht="15.75" customHeight="1">
      <c r="A199" s="4">
        <v>123</v>
      </c>
      <c r="B199" s="8">
        <v>198.0</v>
      </c>
      <c r="C199" s="9" t="b">
        <v>1</v>
      </c>
      <c r="D199" s="4" t="inlineStr">
        <is>
          <t>高森城</t>
        </is>
      </c>
      <c r="E199" s="10" t="inlineStr">
        <is>
          <t>たかもりじょう</t>
        </is>
      </c>
      <c r="F199" s="11" t="str">
        <f t="array" ref="F199">IF(A199:A450="","",_xlfn.XLOOKUP(A199:A450,'参照_拠点'!A:A,'参照_拠点'!B:B,"見つかりません"))</f>
      </c>
      <c r="G199" s="12" t="str">
        <f t="array" ref="G199">IF(K199:K450="","",_xlfn.XLOOKUP(K199:K450,'参照_武将'!A:A,'参照_武将'!B:B,"見つかりません"))</f>
      </c>
      <c r="H199" s="14" t="str">
        <f t="array" ref="H199">IF(I199:I450="","",_xlfn.XLOOKUP(I199:I450,'参照_勢力'!A:A,'参照_勢力'!B:B,"見つかりません"))</f>
      </c>
      <c r="I199" s="15">
        <v>25</v>
      </c>
      <c r="J199" s="4">
        <v>0</v>
      </c>
      <c r="K199" s="10">
        <v>1025089</v>
      </c>
      <c r="L199" s="18">
        <f>300 + ROUND((((P199/15)+(Y199/10))*(SQRT(AA199)/100+1)+O199)/((COUNTIF(I:I, I199)/30)+1), 0)</f>
        <v>1481</v>
      </c>
      <c r="M199" s="4">
        <v>60</v>
      </c>
      <c r="N199" s="10">
        <v>60</v>
      </c>
      <c r="O199" s="18">
        <f>ROUND(500+((AA199*0.01)+(Z199/3)+(V199/10))*6,0)+100</f>
        <v>1144</v>
      </c>
      <c r="P199" s="19">
        <f>ROUND((T199 * 2.5) * SQRT(Z199)
,0) + (O199 * 2)</f>
        <v>5044</v>
      </c>
      <c r="Q199" s="19">
        <v>1000</v>
      </c>
      <c r="R199" s="18">
        <f>ROUNDDOWN(L199*0.3, -1)</f>
        <v>440</v>
      </c>
      <c r="S199" s="19">
        <f>ROUNDDOWN(L199*0.005, -1)</f>
        <v>0</v>
      </c>
      <c r="T199" s="15">
        <v>140</v>
      </c>
      <c r="U199" s="4">
        <v>900</v>
      </c>
      <c r="V199" s="4">
        <v>0</v>
      </c>
      <c r="W199" s="4">
        <v>0</v>
      </c>
      <c r="X199" s="4">
        <v>350</v>
      </c>
      <c r="Y199" s="10">
        <v>700</v>
      </c>
      <c r="Z199" s="15">
        <v>62</v>
      </c>
      <c r="AA199" s="4">
        <v>7000</v>
      </c>
      <c r="AB199" s="4"/>
    </row>
    <row r="200" ht="15.75" customHeight="1">
      <c r="A200" s="4">
        <v>126</v>
      </c>
      <c r="B200" s="8">
        <v>199.0</v>
      </c>
      <c r="C200" s="9" t="b">
        <v>1</v>
      </c>
      <c r="D200" s="4" t="inlineStr">
        <is>
          <t>櫛崎城</t>
        </is>
      </c>
      <c r="E200" s="10" t="inlineStr">
        <is>
          <t>くしざきじょう</t>
        </is>
      </c>
      <c r="F200" s="11" t="str">
        <f t="array" ref="F200">IF(A200:A451="","",_xlfn.XLOOKUP(A200:A451,'参照_拠点'!A:A,'参照_拠点'!B:B,"見つかりません"))</f>
      </c>
      <c r="G200" s="12" t="str">
        <f t="array" ref="G200">IF(K200:K451="","",_xlfn.XLOOKUP(K200:K451,'参照_武将'!A:A,'参照_武将'!B:B,"見つかりません"))</f>
      </c>
      <c r="H200" s="14" t="str">
        <f t="array" ref="H200">IF(I200:I451="","",_xlfn.XLOOKUP(I200:I451,'参照_勢力'!A:A,'参照_勢力'!B:B,"見つかりません"))</f>
      </c>
      <c r="I200" s="15">
        <v>25</v>
      </c>
      <c r="J200" s="4">
        <v>0</v>
      </c>
      <c r="K200" s="10">
        <v>1025079</v>
      </c>
      <c r="L200" s="16">
        <f>300 + ROUND((((P200/15)+(Y200/10))*(SQRT(AA200)/100+1)+O200)/((COUNTIF(I:I, I200)/30)+1), 0)</f>
        <v>1407</v>
      </c>
      <c r="M200" s="4">
        <v>60</v>
      </c>
      <c r="N200" s="10">
        <v>60</v>
      </c>
      <c r="O200" s="16">
        <f>ROUND(500+((AA200*0.01)+(Z200/3)+(V200/10))*6,0)+100</f>
        <v>1152</v>
      </c>
      <c r="P200" s="17">
        <f>ROUND((T200 * 2.5) * SQRT(Z200)
,0) + (O200 * 2)</f>
        <v>4335</v>
      </c>
      <c r="Q200" s="17">
        <v>1000</v>
      </c>
      <c r="R200" s="16">
        <f>ROUNDDOWN(L200*0.3, -1)</f>
        <v>420</v>
      </c>
      <c r="S200" s="17">
        <f>ROUNDDOWN(L200*0.005, -1)</f>
        <v>0</v>
      </c>
      <c r="T200" s="15">
        <v>100</v>
      </c>
      <c r="U200" s="4">
        <v>700</v>
      </c>
      <c r="V200" s="4">
        <v>100</v>
      </c>
      <c r="W200" s="4">
        <v>750</v>
      </c>
      <c r="X200" s="4">
        <v>300</v>
      </c>
      <c r="Y200" s="10">
        <v>600</v>
      </c>
      <c r="Z200" s="15">
        <v>66</v>
      </c>
      <c r="AA200" s="4">
        <v>6000</v>
      </c>
      <c r="AB200" s="4"/>
    </row>
    <row r="201" ht="15.75" customHeight="1">
      <c r="A201" s="4">
        <v>125</v>
      </c>
      <c r="B201" s="8">
        <v>200.0</v>
      </c>
      <c r="C201" s="9" t="b">
        <v>1</v>
      </c>
      <c r="D201" s="4" t="inlineStr">
        <is>
          <t>城ノ腰山城</t>
        </is>
      </c>
      <c r="E201" s="10" t="inlineStr">
        <is>
          <t>じょうのこしやまじょう</t>
        </is>
      </c>
      <c r="F201" s="11" t="str">
        <f t="array" ref="F201">IF(A201:A452="","",_xlfn.XLOOKUP(A201:A452,'参照_拠点'!A:A,'参照_拠点'!B:B,"見つかりません"))</f>
      </c>
      <c r="G201" s="12" t="str">
        <f t="array" ref="G201">IF(K201:K452="","",_xlfn.XLOOKUP(K201:K452,'参照_武将'!A:A,'参照_武将'!B:B,"見つかりません"))</f>
      </c>
      <c r="H201" s="14" t="str">
        <f t="array" ref="H201">IF(I201:I452="","",_xlfn.XLOOKUP(I201:I452,'参照_勢力'!A:A,'参照_勢力'!B:B,"見つかりません"))</f>
      </c>
      <c r="I201" s="15">
        <v>25</v>
      </c>
      <c r="J201" s="4">
        <v>0</v>
      </c>
      <c r="K201" s="10">
        <v>1025098</v>
      </c>
      <c r="L201" s="18">
        <f>300 + ROUND((((P201/15)+(Y201/10))*(SQRT(AA201)/100+1)+O201)/((COUNTIF(I:I, I201)/30)+1), 0)</f>
        <v>1368</v>
      </c>
      <c r="M201" s="4">
        <v>60</v>
      </c>
      <c r="N201" s="10">
        <v>60</v>
      </c>
      <c r="O201" s="18">
        <f>ROUND(500+((AA201*0.01)+(Z201/3)+(V201/10))*6,0)+100</f>
        <v>1084</v>
      </c>
      <c r="P201" s="19">
        <f>ROUND((T201 * 2.5) * SQRT(Z201)
,0) + (O201 * 2)</f>
        <v>4137</v>
      </c>
      <c r="Q201" s="19">
        <v>1000</v>
      </c>
      <c r="R201" s="18">
        <f>ROUNDDOWN(L201*0.3, -1)</f>
        <v>410</v>
      </c>
      <c r="S201" s="19">
        <f>ROUNDDOWN(L201*0.005, -1)</f>
        <v>0</v>
      </c>
      <c r="T201" s="15">
        <v>100</v>
      </c>
      <c r="U201" s="4">
        <v>800</v>
      </c>
      <c r="V201" s="4">
        <v>100</v>
      </c>
      <c r="W201" s="4">
        <v>650</v>
      </c>
      <c r="X201" s="4">
        <v>450</v>
      </c>
      <c r="Y201" s="10">
        <v>900</v>
      </c>
      <c r="Z201" s="15">
        <v>62</v>
      </c>
      <c r="AA201" s="4">
        <v>5000</v>
      </c>
      <c r="AB201" s="4"/>
    </row>
    <row r="202" ht="15.75" customHeight="1">
      <c r="A202" s="4">
        <v>128</v>
      </c>
      <c r="B202" s="8">
        <v>201.0</v>
      </c>
      <c r="C202" s="9" t="b">
        <v>1</v>
      </c>
      <c r="D202" s="4" t="inlineStr">
        <is>
          <t>天霧城</t>
        </is>
      </c>
      <c r="E202" s="10" t="inlineStr">
        <is>
          <t>あまぎりじょう</t>
        </is>
      </c>
      <c r="F202" s="11" t="str">
        <f t="array" ref="F202">IF(A202:A453="","",_xlfn.XLOOKUP(A202:A453,'参照_拠点'!A:A,'参照_拠点'!B:B,"見つかりません"))</f>
      </c>
      <c r="G202" s="12" t="str">
        <f t="array" ref="G202">IF(K202:K453="","",_xlfn.XLOOKUP(K202:K453,'参照_武将'!A:A,'参照_武将'!B:B,"見つかりません"))</f>
      </c>
      <c r="H202" s="14" t="str">
        <f t="array" ref="H202">IF(I202:I453="","",_xlfn.XLOOKUP(I202:I453,'参照_勢力'!A:A,'参照_勢力'!B:B,"見つかりません"))</f>
      </c>
      <c r="I202" s="15">
        <v>63</v>
      </c>
      <c r="J202" s="4">
        <v>0</v>
      </c>
      <c r="K202" s="10">
        <v>1063007</v>
      </c>
      <c r="L202" s="16">
        <f>300 + ROUND((((P202/15)+(Y202/10))*(SQRT(AA202)/100+1)+O202)/((COUNTIF(I:I, I202)/30)+1), 0)</f>
        <v>2488</v>
      </c>
      <c r="M202" s="4">
        <v>50</v>
      </c>
      <c r="N202" s="10">
        <v>50</v>
      </c>
      <c r="O202" s="16">
        <f>ROUND(500+((AA202*0.01)+(Z202/3)+(V202/10))*6,0)</f>
        <v>1350</v>
      </c>
      <c r="P202" s="17">
        <f>ROUND((T202 * 2.5) * SQRT(Z202)
,0) + (O202 * 2)</f>
        <v>5320</v>
      </c>
      <c r="Q202" s="17">
        <v>1000</v>
      </c>
      <c r="R202" s="16">
        <f>ROUNDDOWN(L202*0.2, -1)</f>
        <v>490</v>
      </c>
      <c r="S202" s="17">
        <f>ROUNDDOWN(L202*0.005, -1)</f>
        <v>10</v>
      </c>
      <c r="T202" s="15">
        <v>130</v>
      </c>
      <c r="U202" s="4">
        <v>900</v>
      </c>
      <c r="V202" s="4">
        <v>100</v>
      </c>
      <c r="W202" s="4">
        <v>400</v>
      </c>
      <c r="X202" s="4">
        <v>600</v>
      </c>
      <c r="Y202" s="10">
        <v>900</v>
      </c>
      <c r="Z202" s="15">
        <v>65</v>
      </c>
      <c r="AA202" s="4">
        <v>11000</v>
      </c>
      <c r="AB202" s="4"/>
    </row>
    <row r="203" ht="15.75" customHeight="1">
      <c r="A203" s="4">
        <v>127</v>
      </c>
      <c r="B203" s="8">
        <v>202.0</v>
      </c>
      <c r="C203" s="9" t="b">
        <v>1</v>
      </c>
      <c r="D203" s="4" t="inlineStr">
        <is>
          <t>十河城</t>
        </is>
      </c>
      <c r="E203" s="10" t="inlineStr">
        <is>
          <t>そごうじょう</t>
        </is>
      </c>
      <c r="F203" s="11" t="str">
        <f t="array" ref="F203">IF(A203:A454="","",_xlfn.XLOOKUP(A203:A454,'参照_拠点'!A:A,'参照_拠点'!B:B,"見つかりません"))</f>
      </c>
      <c r="G203" s="12" t="str">
        <f t="array" ref="G203">IF(K203:K454="","",_xlfn.XLOOKUP(K203:K454,'参照_武将'!A:A,'参照_武将'!B:B,"見つかりません"))</f>
      </c>
      <c r="H203" s="14" t="str">
        <f t="array" ref="H203">IF(I203:I454="","",_xlfn.XLOOKUP(I203:I454,'参照_勢力'!A:A,'参照_勢力'!B:B,"見つかりません"))</f>
      </c>
      <c r="I203" s="15">
        <v>20</v>
      </c>
      <c r="J203" s="4">
        <v>2</v>
      </c>
      <c r="K203" s="10">
        <v>1020015</v>
      </c>
      <c r="L203" s="18">
        <f>300 + ROUND((((P203/15)+(Y203/10))*(SQRT(AA203)/100+1)+O203)/((COUNTIF(I:I, I203)/30)+1), 0)</f>
        <v>1614</v>
      </c>
      <c r="M203" s="4">
        <v>60</v>
      </c>
      <c r="N203" s="10">
        <v>60</v>
      </c>
      <c r="O203" s="18">
        <f>ROUND(500+((AA203*0.01)+(Z203/3)+(V203/10))*6,0)</f>
        <v>984</v>
      </c>
      <c r="P203" s="19">
        <f>ROUND((T203 * 2.5) * SQRT(Z203)
,0) + (O203 * 2)</f>
        <v>3740</v>
      </c>
      <c r="Q203" s="19">
        <v>1000</v>
      </c>
      <c r="R203" s="18">
        <f>ROUNDDOWN(L203*0.3, -1)</f>
        <v>480</v>
      </c>
      <c r="S203" s="19">
        <f>ROUNDDOWN(L203*0.01, -1)</f>
        <v>10</v>
      </c>
      <c r="T203" s="15">
        <v>90</v>
      </c>
      <c r="U203" s="4">
        <v>800</v>
      </c>
      <c r="V203" s="4">
        <v>0</v>
      </c>
      <c r="W203" s="4">
        <v>0</v>
      </c>
      <c r="X203" s="4">
        <v>300</v>
      </c>
      <c r="Y203" s="10">
        <v>600</v>
      </c>
      <c r="Z203" s="15">
        <v>62</v>
      </c>
      <c r="AA203" s="4">
        <v>6000</v>
      </c>
      <c r="AB203" s="4"/>
    </row>
    <row r="204" ht="15.75" customHeight="1">
      <c r="A204" s="4">
        <v>130</v>
      </c>
      <c r="B204" s="8">
        <v>203.0</v>
      </c>
      <c r="C204" s="9" t="b">
        <v>1</v>
      </c>
      <c r="D204" s="4" t="inlineStr">
        <is>
          <t>牛岐城</t>
        </is>
      </c>
      <c r="E204" s="10" t="inlineStr">
        <is>
          <t>うしきじょう</t>
        </is>
      </c>
      <c r="F204" s="11" t="str">
        <f t="array" ref="F204">IF(A204:A455="","",_xlfn.XLOOKUP(A204:A455,'参照_拠点'!A:A,'参照_拠点'!B:B,"見つかりません"))</f>
      </c>
      <c r="G204" s="12" t="str">
        <f t="array" ref="G204">IF(K204:K455="","",_xlfn.XLOOKUP(K204:K455,'参照_武将'!A:A,'参照_武将'!B:B,"見つかりません"))</f>
      </c>
      <c r="H204" s="14" t="str">
        <f t="array" ref="H204">IF(I204:I455="","",_xlfn.XLOOKUP(I204:I455,'参照_勢力'!A:A,'参照_勢力'!B:B,"見つかりません"))</f>
      </c>
      <c r="I204" s="15">
        <v>20</v>
      </c>
      <c r="J204" s="4">
        <v>1</v>
      </c>
      <c r="K204" s="10">
        <v>1020040</v>
      </c>
      <c r="L204" s="16">
        <f>300 + ROUND((((P204/15)+(Y204/10))*(SQRT(AA204)/100+1)+O204)/((COUNTIF(I:I, I204)/30)+1), 0)</f>
        <v>1552</v>
      </c>
      <c r="M204" s="4">
        <v>60</v>
      </c>
      <c r="N204" s="10">
        <v>60</v>
      </c>
      <c r="O204" s="16">
        <f>ROUND(500+((AA204*0.01)+(Z204/3)+(V204/10))*6,0)</f>
        <v>924</v>
      </c>
      <c r="P204" s="17">
        <f>ROUND((T204 * 2.5) * SQRT(Z204)
,0) + (O204 * 2)</f>
        <v>3817</v>
      </c>
      <c r="Q204" s="17">
        <v>1000</v>
      </c>
      <c r="R204" s="16">
        <f>ROUNDDOWN(L204*0.3, -1)</f>
        <v>460</v>
      </c>
      <c r="S204" s="17">
        <f>ROUNDDOWN(L204*0.01, -1)</f>
        <v>10</v>
      </c>
      <c r="T204" s="15">
        <v>100</v>
      </c>
      <c r="U204" s="4">
        <v>700</v>
      </c>
      <c r="V204" s="4">
        <v>0</v>
      </c>
      <c r="W204" s="4">
        <v>0</v>
      </c>
      <c r="X204" s="4">
        <v>300</v>
      </c>
      <c r="Y204" s="10">
        <v>600</v>
      </c>
      <c r="Z204" s="15">
        <v>62</v>
      </c>
      <c r="AA204" s="4">
        <v>5000</v>
      </c>
      <c r="AB204" s="4"/>
    </row>
    <row r="205" ht="15.75" customHeight="1">
      <c r="A205" s="4">
        <v>129</v>
      </c>
      <c r="B205" s="8">
        <v>204.0</v>
      </c>
      <c r="C205" s="9" t="b">
        <v>1</v>
      </c>
      <c r="D205" s="4" t="inlineStr">
        <is>
          <t>勝瑞城</t>
        </is>
      </c>
      <c r="E205" s="10" t="inlineStr">
        <is>
          <t>しょうずいじょう</t>
        </is>
      </c>
      <c r="F205" s="11" t="str">
        <f t="array" ref="F205">IF(A205:A456="","",_xlfn.XLOOKUP(A205:A456,'参照_拠点'!A:A,'参照_拠点'!B:B,"見つかりません"))</f>
      </c>
      <c r="G205" s="12" t="str">
        <f t="array" ref="G205">IF(K205:K456="","",_xlfn.XLOOKUP(K205:K456,'参照_武将'!A:A,'参照_武将'!B:B,"見つかりません"))</f>
      </c>
      <c r="H205" s="14" t="str">
        <f t="array" ref="H205">IF(I205:I456="","",_xlfn.XLOOKUP(I205:I456,'参照_勢力'!A:A,'参照_勢力'!B:B,"見つかりません"))</f>
      </c>
      <c r="I205" s="15">
        <v>20</v>
      </c>
      <c r="J205" s="4">
        <v>4</v>
      </c>
      <c r="K205" s="10">
        <v>1020009</v>
      </c>
      <c r="L205" s="18">
        <f>300 + ROUND((((P205/15)+(Y205/10))*(SQRT(AA205)/100+1)+O205)/((COUNTIF(I:I, I205)/30)+1), 0)</f>
        <v>2627</v>
      </c>
      <c r="M205" s="4">
        <v>60</v>
      </c>
      <c r="N205" s="10">
        <v>60</v>
      </c>
      <c r="O205" s="18">
        <f>ROUND(500+((AA205*0.01)+(Z205/3)+(V205/10))*6,0)</f>
        <v>1592</v>
      </c>
      <c r="P205" s="19">
        <f>ROUND((T205 * 2.5) * SQRT(Z205)
,0) + (O205 * 2)</f>
        <v>5621</v>
      </c>
      <c r="Q205" s="19">
        <v>1000</v>
      </c>
      <c r="R205" s="18">
        <f>ROUNDDOWN(L205*0.3, -1)</f>
        <v>780</v>
      </c>
      <c r="S205" s="19">
        <f>ROUNDDOWN(L205*0.01, -1)</f>
        <v>20</v>
      </c>
      <c r="T205" s="15">
        <v>120</v>
      </c>
      <c r="U205" s="4">
        <v>1500</v>
      </c>
      <c r="V205" s="4">
        <v>100</v>
      </c>
      <c r="W205" s="4">
        <v>400</v>
      </c>
      <c r="X205" s="4">
        <v>650</v>
      </c>
      <c r="Y205" s="10">
        <v>1300</v>
      </c>
      <c r="Z205" s="15">
        <v>66</v>
      </c>
      <c r="AA205" s="4">
        <v>15000</v>
      </c>
      <c r="AB205" s="4"/>
    </row>
    <row r="206" ht="15.75" customHeight="1">
      <c r="A206" s="4">
        <v>131</v>
      </c>
      <c r="B206" s="8">
        <v>205.0</v>
      </c>
      <c r="C206" s="9" t="b">
        <v>1</v>
      </c>
      <c r="D206" s="4" t="inlineStr">
        <is>
          <t>白地城</t>
        </is>
      </c>
      <c r="E206" s="10" t="inlineStr">
        <is>
          <t>はくちじょう</t>
        </is>
      </c>
      <c r="F206" s="11" t="str">
        <f t="array" ref="F206">IF(A206:A457="","",_xlfn.XLOOKUP(A206:A457,'参照_拠点'!A:A,'参照_拠点'!B:B,"見つかりません"))</f>
      </c>
      <c r="G206" s="12" t="str">
        <f t="array" ref="G206">IF(K206:K457="","",_xlfn.XLOOKUP(K206:K457,'参照_武将'!A:A,'参照_武将'!B:B,"見つかりません"))</f>
      </c>
      <c r="H206" s="14" t="str">
        <f t="array" ref="H206">IF(I206:I457="","",_xlfn.XLOOKUP(I206:I457,'参照_勢力'!A:A,'参照_勢力'!B:B,"見つかりません"))</f>
      </c>
      <c r="I206" s="15">
        <v>64</v>
      </c>
      <c r="J206" s="4">
        <v>0</v>
      </c>
      <c r="K206" s="10">
        <v>1064003</v>
      </c>
      <c r="L206" s="16">
        <f>300 + ROUND((((P206/15)+(Y206/10))*(SQRT(AA206)/100+1)+O206)/((COUNTIF(I:I, I206)/30)+1), 0)</f>
        <v>2352</v>
      </c>
      <c r="M206" s="4">
        <v>50</v>
      </c>
      <c r="N206" s="10">
        <v>50</v>
      </c>
      <c r="O206" s="16">
        <f>ROUND(500+((AA206*0.01)+(Z206/3)+(V206/10))*6,0)</f>
        <v>1220</v>
      </c>
      <c r="P206" s="17">
        <f>ROUND((T206 * 2.5) * SQRT(Z206)
,0) + (O206 * 2)</f>
        <v>5732</v>
      </c>
      <c r="Q206" s="17">
        <v>1000</v>
      </c>
      <c r="R206" s="16">
        <f>ROUNDDOWN(L206*0.2, -1)</f>
        <v>470</v>
      </c>
      <c r="S206" s="17">
        <f>ROUNDDOWN(L206*0.005, -1)</f>
        <v>10</v>
      </c>
      <c r="T206" s="15">
        <v>170</v>
      </c>
      <c r="U206" s="4">
        <v>1000</v>
      </c>
      <c r="V206" s="4">
        <v>100</v>
      </c>
      <c r="W206" s="4">
        <v>400</v>
      </c>
      <c r="X206" s="4">
        <v>400</v>
      </c>
      <c r="Y206" s="10">
        <v>800</v>
      </c>
      <c r="Z206" s="15">
        <v>60</v>
      </c>
      <c r="AA206" s="4">
        <v>9000</v>
      </c>
      <c r="AB206" s="4"/>
    </row>
    <row r="207" ht="15.75" customHeight="1">
      <c r="A207" s="4">
        <v>132</v>
      </c>
      <c r="B207" s="8">
        <v>206.0</v>
      </c>
      <c r="C207" s="9" t="b">
        <v>1</v>
      </c>
      <c r="D207" s="4" t="inlineStr">
        <is>
          <t>安芸城</t>
        </is>
      </c>
      <c r="E207" s="10" t="inlineStr">
        <is>
          <t>あきじょう</t>
        </is>
      </c>
      <c r="F207" s="11" t="str">
        <f t="array" ref="F207">IF(A207:A458="","",_xlfn.XLOOKUP(A207:A458,'参照_拠点'!A:A,'参照_拠点'!B:B,"見つかりません"))</f>
      </c>
      <c r="G207" s="12" t="str">
        <f t="array" ref="G207">IF(K207:K458="","",_xlfn.XLOOKUP(K207:K458,'参照_武将'!A:A,'参照_武将'!B:B,"見つかりません"))</f>
      </c>
      <c r="H207" s="14" t="str">
        <f t="array" ref="H207">IF(I207:I458="","",_xlfn.XLOOKUP(I207:I458,'参照_勢力'!A:A,'参照_勢力'!B:B,"見つかりません"))</f>
      </c>
      <c r="I207" s="15">
        <v>42</v>
      </c>
      <c r="J207" s="4">
        <v>0</v>
      </c>
      <c r="K207" s="10">
        <v>1042012</v>
      </c>
      <c r="L207" s="18">
        <f>300 + ROUND((((P207/15)+(Y207/10))*(SQRT(AA207)/100+1)+O207)/((COUNTIF(I:I, I207)/30)+1), 0)</f>
        <v>2675</v>
      </c>
      <c r="M207" s="4">
        <v>50</v>
      </c>
      <c r="N207" s="10">
        <v>50</v>
      </c>
      <c r="O207" s="18">
        <f>(ROUND(500+((AA207*0.01)+(Z207/3)+(V207/10))*6,0))+1000</f>
        <v>1836</v>
      </c>
      <c r="P207" s="19">
        <f>ROUND((T207 * 2.5) * SQRT(Z207)
,0) + (O207 * 2)</f>
        <v>6252</v>
      </c>
      <c r="Q207" s="19">
        <v>1000</v>
      </c>
      <c r="R207" s="18">
        <f>ROUNDDOWN(L207*0.2, -1)</f>
        <v>530</v>
      </c>
      <c r="S207" s="19">
        <f>ROUNDDOWN(L207*0.005, -1)</f>
        <v>10</v>
      </c>
      <c r="T207" s="15">
        <v>130</v>
      </c>
      <c r="U207" s="4">
        <v>900</v>
      </c>
      <c r="V207" s="4">
        <v>150</v>
      </c>
      <c r="W207" s="4">
        <v>750</v>
      </c>
      <c r="X207" s="4">
        <v>600</v>
      </c>
      <c r="Y207" s="10">
        <v>1200</v>
      </c>
      <c r="Z207" s="15">
        <v>63</v>
      </c>
      <c r="AA207" s="4">
        <v>2000</v>
      </c>
      <c r="AB207" s="4"/>
    </row>
    <row r="208" ht="15.75" customHeight="1">
      <c r="A208" s="4">
        <v>134</v>
      </c>
      <c r="B208" s="8">
        <v>207.0</v>
      </c>
      <c r="C208" s="9" t="b">
        <v>1</v>
      </c>
      <c r="D208" s="4" t="inlineStr">
        <is>
          <t>岡豊城</t>
        </is>
      </c>
      <c r="E208" s="10" t="inlineStr">
        <is>
          <t>おこうじょう</t>
        </is>
      </c>
      <c r="F208" s="11" t="str">
        <f t="array" ref="F208">IF(A208:A459="","",_xlfn.XLOOKUP(A208:A459,'参照_拠点'!A:A,'参照_拠点'!B:B,"見つかりません"))</f>
      </c>
      <c r="G208" s="12" t="str">
        <f t="array" ref="G208">IF(K208:K459="","",_xlfn.XLOOKUP(K208:K459,'参照_武将'!A:A,'参照_武将'!B:B,"見つかりません"))</f>
      </c>
      <c r="H208" s="14" t="str">
        <f t="array" ref="H208">IF(I208:I459="","",_xlfn.XLOOKUP(I208:I459,'参照_勢力'!A:A,'参照_勢力'!B:B,"見つかりません"))</f>
      </c>
      <c r="I208" s="15">
        <v>42</v>
      </c>
      <c r="J208" s="4">
        <v>0</v>
      </c>
      <c r="K208" s="10">
        <v>1042003</v>
      </c>
      <c r="L208" s="16">
        <f>300 + ROUND((((P208/15)+(Y208/10))*(SQRT(AA208)/100+1)+O208)/((COUNTIF(I:I, I208)/30)+1), 0)</f>
        <v>4127</v>
      </c>
      <c r="M208" s="4">
        <v>60</v>
      </c>
      <c r="N208" s="10">
        <v>70</v>
      </c>
      <c r="O208" s="16">
        <f>ROUND(500+((AA208*0.01)+(Z208/3)+(V208/10))*6,0)+1000</f>
        <v>2476</v>
      </c>
      <c r="P208" s="17">
        <f>ROUND((T208 * 2.5) * SQRT(Z208)
,0) + (O208 * 2)</f>
        <v>9900</v>
      </c>
      <c r="Q208" s="17">
        <v>1000</v>
      </c>
      <c r="R208" s="16">
        <f>ROUNDDOWN(L208*0.3, -1)</f>
        <v>1230</v>
      </c>
      <c r="S208" s="17">
        <f>ROUNDDOWN(L208*0.005, -1)</f>
        <v>20</v>
      </c>
      <c r="T208" s="15">
        <v>240</v>
      </c>
      <c r="U208" s="4">
        <v>1500</v>
      </c>
      <c r="V208" s="4">
        <v>100</v>
      </c>
      <c r="W208" s="4">
        <v>600</v>
      </c>
      <c r="X208" s="4">
        <v>750</v>
      </c>
      <c r="Y208" s="10">
        <v>1500</v>
      </c>
      <c r="Z208" s="15">
        <v>68</v>
      </c>
      <c r="AA208" s="4">
        <v>13000</v>
      </c>
      <c r="AB208" s="4"/>
    </row>
    <row r="209" ht="15.75" customHeight="1">
      <c r="A209" s="4">
        <v>133</v>
      </c>
      <c r="B209" s="8">
        <v>208.0</v>
      </c>
      <c r="C209" s="9" t="b">
        <v>1</v>
      </c>
      <c r="D209" s="4" t="inlineStr">
        <is>
          <t>香宗城</t>
        </is>
      </c>
      <c r="E209" s="10" t="inlineStr">
        <is>
          <t>こうそうじょう</t>
        </is>
      </c>
      <c r="F209" s="11" t="str">
        <f t="array" ref="F209">IF(A209:A460="","",_xlfn.XLOOKUP(A209:A460,'参照_拠点'!A:A,'参照_拠点'!B:B,"見つかりません"))</f>
      </c>
      <c r="G209" s="12" t="str">
        <f t="array" ref="G209">IF(K209:K460="","",_xlfn.XLOOKUP(K209:K460,'参照_武将'!A:A,'参照_武将'!B:B,"見つかりません"))</f>
      </c>
      <c r="H209" s="14" t="str">
        <f t="array" ref="H209">IF(I209:I460="","",_xlfn.XLOOKUP(I209:I460,'参照_勢力'!A:A,'参照_勢力'!B:B,"見つかりません"))</f>
      </c>
      <c r="I209" s="15">
        <v>42</v>
      </c>
      <c r="J209" s="4">
        <v>0</v>
      </c>
      <c r="K209" s="10">
        <v>1042040</v>
      </c>
      <c r="L209" s="18">
        <f>300 + ROUND((((P209/15)+(Y209/10))*(SQRT(AA209)/100+1)+O209)/((COUNTIF(I:I, I209)/30)+1), 0)</f>
        <v>2870</v>
      </c>
      <c r="M209" s="4">
        <v>60</v>
      </c>
      <c r="N209" s="10">
        <v>70</v>
      </c>
      <c r="O209" s="18">
        <f>ROUND(500+((AA209*0.01)+(Z209/3)+(V209/10))*6,0)+1000</f>
        <v>1990</v>
      </c>
      <c r="P209" s="19">
        <f>ROUND((T209 * 2.5) * SQRT(Z209)
,0) + (O209 * 2)</f>
        <v>6600</v>
      </c>
      <c r="Q209" s="19">
        <v>1000</v>
      </c>
      <c r="R209" s="18">
        <f>ROUNDDOWN(L209*0.3, -1)</f>
        <v>860</v>
      </c>
      <c r="S209" s="19">
        <f>ROUNDDOWN(L209*0.005, -1)</f>
        <v>10</v>
      </c>
      <c r="T209" s="15">
        <v>130</v>
      </c>
      <c r="U209" s="4">
        <v>800</v>
      </c>
      <c r="V209" s="4">
        <v>100</v>
      </c>
      <c r="W209" s="4">
        <v>450</v>
      </c>
      <c r="X209" s="4">
        <v>250</v>
      </c>
      <c r="Y209" s="10">
        <v>500</v>
      </c>
      <c r="Z209" s="15">
        <v>65</v>
      </c>
      <c r="AA209" s="4">
        <v>5000</v>
      </c>
      <c r="AB209" s="4"/>
    </row>
    <row r="210" ht="15.75" customHeight="1">
      <c r="A210" s="4">
        <v>137</v>
      </c>
      <c r="B210" s="8">
        <v>209.0</v>
      </c>
      <c r="C210" s="9" t="b">
        <v>1</v>
      </c>
      <c r="D210" s="4" t="inlineStr">
        <is>
          <t>宿毛城</t>
        </is>
      </c>
      <c r="E210" s="10" t="inlineStr">
        <is>
          <t>すくもじょう</t>
        </is>
      </c>
      <c r="F210" s="11" t="str">
        <f t="array" ref="F210">IF(A210:A461="","",_xlfn.XLOOKUP(A210:A461,'参照_拠点'!A:A,'参照_拠点'!B:B,"見つかりません"))</f>
      </c>
      <c r="G210" s="12" t="str">
        <f t="array" ref="G210">IF(K210:K461="","",_xlfn.XLOOKUP(K210:K461,'参照_武将'!A:A,'参照_武将'!B:B,"見つかりません"))</f>
      </c>
      <c r="H210" s="14" t="str">
        <f t="array" ref="H210">IF(I210:I461="","",_xlfn.XLOOKUP(I210:I461,'参照_勢力'!A:A,'参照_勢力'!B:B,"見つかりません"))</f>
      </c>
      <c r="I210" s="15">
        <v>50</v>
      </c>
      <c r="J210" s="4">
        <v>0</v>
      </c>
      <c r="K210" s="10">
        <v>1050015</v>
      </c>
      <c r="L210" s="16">
        <f>300 + ROUND((((P210/15)+(Y210/10))*(SQRT(AA210)/100+1)+O210)/((COUNTIF(I:I, I210)/30)+1), 0)</f>
        <v>1548</v>
      </c>
      <c r="M210" s="4">
        <v>50</v>
      </c>
      <c r="N210" s="10">
        <v>50</v>
      </c>
      <c r="O210" s="16">
        <f>ROUND(500+((AA210*0.01)+(Z210/3)+(V210/10))*6,0)</f>
        <v>800</v>
      </c>
      <c r="P210" s="17">
        <f>ROUND((T210 * 2.5) * SQRT(Z210)
,0) + (O210 * 2)</f>
        <v>4311</v>
      </c>
      <c r="Q210" s="17">
        <v>1000</v>
      </c>
      <c r="R210" s="16">
        <f>ROUNDDOWN(L210*0.2, -1)</f>
        <v>300</v>
      </c>
      <c r="S210" s="17">
        <f>ROUNDDOWN(L210*0.005, -1)</f>
        <v>0</v>
      </c>
      <c r="T210" s="15">
        <v>140</v>
      </c>
      <c r="U210" s="4">
        <v>1000</v>
      </c>
      <c r="V210" s="4">
        <v>100</v>
      </c>
      <c r="W210" s="4">
        <v>400</v>
      </c>
      <c r="X210" s="4">
        <v>400</v>
      </c>
      <c r="Y210" s="10">
        <v>800</v>
      </c>
      <c r="Z210" s="15">
        <v>60</v>
      </c>
      <c r="AA210" s="4">
        <v>2000</v>
      </c>
      <c r="AB210" s="4"/>
    </row>
    <row r="211" ht="15.75" customHeight="1">
      <c r="A211" s="4">
        <v>136</v>
      </c>
      <c r="B211" s="8">
        <v>210.0</v>
      </c>
      <c r="C211" s="9" t="b">
        <v>1</v>
      </c>
      <c r="D211" s="4" t="inlineStr">
        <is>
          <t>中村御所</t>
        </is>
      </c>
      <c r="E211" s="10" t="inlineStr">
        <is>
          <t>なかむらごしょ</t>
        </is>
      </c>
      <c r="F211" s="11" t="str">
        <f t="array" ref="F211">IF(A211:A462="","",_xlfn.XLOOKUP(A211:A462,'参照_拠点'!A:A,'参照_拠点'!B:B,"見つかりません"))</f>
      </c>
      <c r="G211" s="12" t="str">
        <f t="array" ref="G211">IF(K211:K462="","",_xlfn.XLOOKUP(K211:K462,'参照_武将'!A:A,'参照_武将'!B:B,"見つかりません"))</f>
      </c>
      <c r="H211" s="14" t="str">
        <f t="array" ref="H211">IF(I211:I462="","",_xlfn.XLOOKUP(I211:I462,'参照_勢力'!A:A,'参照_勢力'!B:B,"見つかりません"))</f>
      </c>
      <c r="I211" s="15">
        <v>50</v>
      </c>
      <c r="J211" s="4">
        <v>0</v>
      </c>
      <c r="K211" s="10">
        <v>1050005</v>
      </c>
      <c r="L211" s="18">
        <f>300 + ROUND((((P211/15)+(Y211/10))*(SQRT(AA211)/100+1)+O211)/((COUNTIF(I:I, I211)/30)+1), 0)</f>
        <v>2293</v>
      </c>
      <c r="M211" s="4">
        <v>50</v>
      </c>
      <c r="N211" s="10">
        <v>50</v>
      </c>
      <c r="O211" s="18">
        <f>ROUND(500+((AA211*0.01)+(Z211/3)+(V211/10))*6,0)</f>
        <v>1160</v>
      </c>
      <c r="P211" s="19">
        <f>ROUND((T211 * 2.5) * SQRT(Z211)
,0) + (O211 * 2)</f>
        <v>5999</v>
      </c>
      <c r="Q211" s="19">
        <v>1000</v>
      </c>
      <c r="R211" s="18">
        <f>ROUNDDOWN(L211*0.2, -1)</f>
        <v>450</v>
      </c>
      <c r="S211" s="19">
        <f>ROUNDDOWN(L211*0.005, -1)</f>
        <v>10</v>
      </c>
      <c r="T211" s="15">
        <v>190</v>
      </c>
      <c r="U211" s="4">
        <v>1200</v>
      </c>
      <c r="V211" s="4">
        <v>100</v>
      </c>
      <c r="W211" s="4">
        <v>600</v>
      </c>
      <c r="X211" s="4">
        <v>550</v>
      </c>
      <c r="Y211" s="10">
        <v>1100</v>
      </c>
      <c r="Z211" s="15">
        <v>60</v>
      </c>
      <c r="AA211" s="4">
        <v>8000</v>
      </c>
      <c r="AB211" s="4"/>
    </row>
    <row r="212" ht="15.75" customHeight="1">
      <c r="A212" s="4">
        <v>135</v>
      </c>
      <c r="B212" s="8">
        <v>211.0</v>
      </c>
      <c r="C212" s="9" t="b">
        <v>1</v>
      </c>
      <c r="D212" s="4" t="inlineStr">
        <is>
          <t>本山城</t>
        </is>
      </c>
      <c r="E212" s="10" t="inlineStr">
        <is>
          <t>もとやまじょう</t>
        </is>
      </c>
      <c r="F212" s="11" t="str">
        <f t="array" ref="F212">IF(A212:A463="","",_xlfn.XLOOKUP(A212:A463,'参照_拠点'!A:A,'参照_拠点'!B:B,"見つかりません"))</f>
      </c>
      <c r="G212" s="12" t="str">
        <f t="array" ref="G212">IF(K212:K463="","",_xlfn.XLOOKUP(K212:K463,'参照_武将'!A:A,'参照_武将'!B:B,"見つかりません"))</f>
      </c>
      <c r="H212" s="14" t="str">
        <f t="array" ref="H212">IF(I212:I463="","",_xlfn.XLOOKUP(I212:I463,'参照_勢力'!A:A,'参照_勢力'!B:B,"見つかりません"))</f>
      </c>
      <c r="I212" s="15">
        <v>48</v>
      </c>
      <c r="J212" s="4">
        <v>0</v>
      </c>
      <c r="K212" s="10">
        <v>1048004</v>
      </c>
      <c r="L212" s="16">
        <f>300 + ROUND((((P212/15)+(Y212/10))*(SQRT(AA212)/100+1)+O212)/((COUNTIF(I:I, I212)/30)+1), 0)</f>
        <v>1506</v>
      </c>
      <c r="M212" s="4">
        <v>50</v>
      </c>
      <c r="N212" s="10">
        <v>50</v>
      </c>
      <c r="O212" s="16">
        <f>ROUND(500+((AA212*0.01)+(Z212/3)+(V212/10))*6,0)</f>
        <v>744</v>
      </c>
      <c r="P212" s="17">
        <f>ROUND((T212 * 2.5) * SQRT(Z212)
,0) + (O212 * 2)</f>
        <v>3850</v>
      </c>
      <c r="Q212" s="17">
        <v>1000</v>
      </c>
      <c r="R212" s="16">
        <f>ROUNDDOWN(L212*0.2, -1)</f>
        <v>300</v>
      </c>
      <c r="S212" s="17">
        <f>ROUNDDOWN(L212*0.005, -1)</f>
        <v>0</v>
      </c>
      <c r="T212" s="15">
        <v>120</v>
      </c>
      <c r="U212" s="4">
        <v>900</v>
      </c>
      <c r="V212" s="4">
        <v>0</v>
      </c>
      <c r="W212" s="4">
        <v>0</v>
      </c>
      <c r="X212" s="4">
        <v>450</v>
      </c>
      <c r="Y212" s="10">
        <v>900</v>
      </c>
      <c r="Z212" s="15">
        <v>62</v>
      </c>
      <c r="AA212" s="4">
        <v>2000</v>
      </c>
      <c r="AB212" s="4"/>
    </row>
    <row r="213" ht="15.75" customHeight="1">
      <c r="A213" s="4">
        <v>140</v>
      </c>
      <c r="B213" s="8">
        <v>212.0</v>
      </c>
      <c r="C213" s="9" t="b">
        <v>1</v>
      </c>
      <c r="D213" s="4" t="inlineStr">
        <is>
          <t>大洲城</t>
        </is>
      </c>
      <c r="E213" s="10" t="inlineStr">
        <is>
          <t>おおずじょう</t>
        </is>
      </c>
      <c r="F213" s="11" t="str">
        <f t="array" ref="F213">IF(A213:A464="","",_xlfn.XLOOKUP(A213:A464,'参照_拠点'!A:A,'参照_拠点'!B:B,"見つかりません"))</f>
      </c>
      <c r="G213" s="12" t="str">
        <f t="array" ref="G213">IF(K213:K464="","",_xlfn.XLOOKUP(K213:K464,'参照_武将'!A:A,'参照_武将'!B:B,"見つかりません"))</f>
      </c>
      <c r="H213" s="14" t="str">
        <f t="array" ref="H213">IF(I213:I464="","",_xlfn.XLOOKUP(I213:I464,'参照_勢力'!A:A,'参照_勢力'!B:B,"見つかりません"))</f>
      </c>
      <c r="I213" s="15">
        <v>49</v>
      </c>
      <c r="J213" s="4">
        <v>0</v>
      </c>
      <c r="K213" s="10">
        <v>1049008</v>
      </c>
      <c r="L213" s="18">
        <f>300 + ROUND((((P213/15)+(Y213/10))*(SQRT(AA213)/100+1)+O213)/((COUNTIF(I:I, I213)/30)+1), 0)</f>
        <v>1614</v>
      </c>
      <c r="M213" s="4">
        <v>50</v>
      </c>
      <c r="N213" s="10">
        <v>50</v>
      </c>
      <c r="O213" s="18">
        <f>ROUND(500+((AA213*0.01)+(Z213/3)+(V213/10))*6,0)</f>
        <v>920</v>
      </c>
      <c r="P213" s="19">
        <f>ROUND((T213 * 2.5) * SQRT(Z213)
,0) + (O213 * 2)</f>
        <v>3776</v>
      </c>
      <c r="Q213" s="19">
        <v>1000</v>
      </c>
      <c r="R213" s="18">
        <f>ROUNDDOWN(L213*0.2, -1)</f>
        <v>320</v>
      </c>
      <c r="S213" s="19">
        <f>ROUNDDOWN(L213*0.005, -1)</f>
        <v>0</v>
      </c>
      <c r="T213" s="15">
        <v>100</v>
      </c>
      <c r="U213" s="4">
        <v>800</v>
      </c>
      <c r="V213" s="4">
        <v>100</v>
      </c>
      <c r="W213" s="4">
        <v>400</v>
      </c>
      <c r="X213" s="4">
        <v>350</v>
      </c>
      <c r="Y213" s="10">
        <v>700</v>
      </c>
      <c r="Z213" s="15">
        <v>60</v>
      </c>
      <c r="AA213" s="4">
        <v>4000</v>
      </c>
      <c r="AB213" s="4"/>
    </row>
    <row r="214" ht="15.75" customHeight="1">
      <c r="A214" s="4">
        <v>142</v>
      </c>
      <c r="B214" s="8">
        <v>213.0</v>
      </c>
      <c r="C214" s="9" t="b">
        <v>1</v>
      </c>
      <c r="D214" s="4" t="inlineStr">
        <is>
          <t>大森城</t>
        </is>
      </c>
      <c r="E214" s="10" t="inlineStr">
        <is>
          <t>おおもりじょう</t>
        </is>
      </c>
      <c r="F214" s="11" t="str">
        <f t="array" ref="F214">IF(A214:A465="","",_xlfn.XLOOKUP(A214:A465,'参照_拠点'!A:A,'参照_拠点'!B:B,"見つかりません"))</f>
      </c>
      <c r="G214" s="12" t="str">
        <f t="array" ref="G214">IF(K214:K465="","",_xlfn.XLOOKUP(K214:K465,'参照_武将'!A:A,'参照_武将'!B:B,"見つかりません"))</f>
      </c>
      <c r="H214" s="14" t="str">
        <f t="array" ref="H214">IF(I214:I465="","",_xlfn.XLOOKUP(I214:I465,'参照_勢力'!A:A,'参照_勢力'!B:B,"見つかりません"))</f>
      </c>
      <c r="I214" s="15">
        <v>51</v>
      </c>
      <c r="J214" s="4">
        <v>0</v>
      </c>
      <c r="K214" s="10">
        <v>1051023</v>
      </c>
      <c r="L214" s="16">
        <f>300 + ROUND((((P214/15)+(Y214/10))*(SQRT(AA214)/100+1)+O214)/((COUNTIF(I:I, I214)/30)+1), 0)</f>
        <v>1512</v>
      </c>
      <c r="M214" s="4">
        <v>50</v>
      </c>
      <c r="N214" s="10">
        <v>50</v>
      </c>
      <c r="O214" s="16">
        <f>ROUND(500+((AA214*0.01)+(Z214/3)+(V214/10))*6,0)</f>
        <v>830</v>
      </c>
      <c r="P214" s="17">
        <f>ROUND((T214 * 2.5) * SQRT(Z214)
,0) + (O214 * 2)</f>
        <v>3596</v>
      </c>
      <c r="Q214" s="17">
        <v>1000</v>
      </c>
      <c r="R214" s="16">
        <f>ROUNDDOWN(L214*0.2, -1)</f>
        <v>300</v>
      </c>
      <c r="S214" s="17">
        <f>ROUNDDOWN(L214*0.005, -1)</f>
        <v>0</v>
      </c>
      <c r="T214" s="15">
        <v>100</v>
      </c>
      <c r="U214" s="4">
        <v>900</v>
      </c>
      <c r="V214" s="4">
        <v>150</v>
      </c>
      <c r="W214" s="4">
        <v>500</v>
      </c>
      <c r="X214" s="4">
        <v>400</v>
      </c>
      <c r="Y214" s="10">
        <v>800</v>
      </c>
      <c r="Z214" s="15">
        <v>60</v>
      </c>
      <c r="AA214" s="4">
        <v>2000</v>
      </c>
      <c r="AB214" s="4"/>
    </row>
    <row r="215" ht="15.75" customHeight="1">
      <c r="A215" s="4">
        <v>138</v>
      </c>
      <c r="B215" s="8">
        <v>214.0</v>
      </c>
      <c r="C215" s="9" t="b">
        <v>1</v>
      </c>
      <c r="D215" s="4" t="inlineStr">
        <is>
          <t>大除城</t>
        </is>
      </c>
      <c r="E215" s="10" t="inlineStr">
        <is>
          <t>おおよけじょう</t>
        </is>
      </c>
      <c r="F215" s="11" t="str">
        <f t="array" ref="F215">IF(A215:A466="","",_xlfn.XLOOKUP(A215:A466,'参照_拠点'!A:A,'参照_拠点'!B:B,"見つかりません"))</f>
      </c>
      <c r="G215" s="12" t="str">
        <f t="array" ref="G215">IF(K215:K466="","",_xlfn.XLOOKUP(K215:K466,'参照_武将'!A:A,'参照_武将'!B:B,"見つかりません"))</f>
      </c>
      <c r="H215" s="14" t="str">
        <f t="array" ref="H215">IF(I215:I466="","",_xlfn.XLOOKUP(I215:I466,'参照_勢力'!A:A,'参照_勢力'!B:B,"見つかりません"))</f>
      </c>
      <c r="I215" s="15">
        <v>49</v>
      </c>
      <c r="J215" s="4">
        <v>0</v>
      </c>
      <c r="K215" s="10">
        <v>1049009</v>
      </c>
      <c r="L215" s="18">
        <f>300 + ROUND((((P215/15)+(Y215/10))*(SQRT(AA215)/100+1)+O215)/((COUNTIF(I:I, I215)/30)+1), 0)</f>
        <v>1462</v>
      </c>
      <c r="M215" s="4">
        <v>50</v>
      </c>
      <c r="N215" s="10">
        <v>50</v>
      </c>
      <c r="O215" s="18">
        <f>ROUND(500+((AA215*0.01)+(Z215/3)+(V215/10))*6,0)</f>
        <v>830</v>
      </c>
      <c r="P215" s="19">
        <f>ROUND((T215 * 2.5) * SQRT(Z215)
,0) + (O215 * 2)</f>
        <v>3596</v>
      </c>
      <c r="Q215" s="19">
        <v>1000</v>
      </c>
      <c r="R215" s="18">
        <f>ROUNDDOWN(L215*0.2, -1)</f>
        <v>290</v>
      </c>
      <c r="S215" s="19">
        <f>ROUNDDOWN(L215*0.005, -1)</f>
        <v>0</v>
      </c>
      <c r="T215" s="15">
        <v>100</v>
      </c>
      <c r="U215" s="4">
        <v>900</v>
      </c>
      <c r="V215" s="4">
        <v>150</v>
      </c>
      <c r="W215" s="4">
        <v>500</v>
      </c>
      <c r="X215" s="4">
        <v>350</v>
      </c>
      <c r="Y215" s="10">
        <v>700</v>
      </c>
      <c r="Z215" s="15">
        <v>60</v>
      </c>
      <c r="AA215" s="4">
        <v>2000</v>
      </c>
      <c r="AB215" s="4"/>
    </row>
    <row r="216" ht="15.75" customHeight="1">
      <c r="A216" s="4">
        <v>141</v>
      </c>
      <c r="B216" s="8">
        <v>215.0</v>
      </c>
      <c r="C216" s="9" t="b">
        <v>1</v>
      </c>
      <c r="D216" s="4" t="inlineStr">
        <is>
          <t>黒瀬城</t>
        </is>
      </c>
      <c r="E216" s="10" t="inlineStr">
        <is>
          <t>くろせじょう</t>
        </is>
      </c>
      <c r="F216" s="11" t="str">
        <f t="array" ref="F216">IF(A216:A467="","",_xlfn.XLOOKUP(A216:A467,'参照_拠点'!A:A,'参照_拠点'!B:B,"見つかりません"))</f>
      </c>
      <c r="G216" s="12" t="str">
        <f t="array" ref="G216">IF(K216:K467="","",_xlfn.XLOOKUP(K216:K467,'参照_武将'!A:A,'参照_武将'!B:B,"見つかりません"))</f>
      </c>
      <c r="H216" s="14" t="str">
        <f t="array" ref="H216">IF(I216:I467="","",_xlfn.XLOOKUP(I216:I467,'参照_勢力'!A:A,'参照_勢力'!B:B,"見つかりません"))</f>
      </c>
      <c r="I216" s="15">
        <v>51</v>
      </c>
      <c r="J216" s="4">
        <v>0</v>
      </c>
      <c r="K216" s="10">
        <v>1051005</v>
      </c>
      <c r="L216" s="16">
        <f>300 + ROUND((((P216/15)+(Y216/10))*(SQRT(AA216)/100+1)+O216)/((COUNTIF(I:I, I216)/30)+1), 0)</f>
        <v>2201</v>
      </c>
      <c r="M216" s="4">
        <v>50</v>
      </c>
      <c r="N216" s="10">
        <v>50</v>
      </c>
      <c r="O216" s="16">
        <f>ROUND(500+((AA216*0.01)+(Z216/3)+(V216/10))*6,0)</f>
        <v>1190</v>
      </c>
      <c r="P216" s="17">
        <f>ROUND((T216 * 2.5) * SQRT(Z216)
,0) + (O216 * 2)</f>
        <v>5285</v>
      </c>
      <c r="Q216" s="17">
        <v>1000</v>
      </c>
      <c r="R216" s="16">
        <f>ROUNDDOWN(L216*0.2, -1)</f>
        <v>440</v>
      </c>
      <c r="S216" s="17">
        <f>ROUNDDOWN(L216*0.005, -1)</f>
        <v>10</v>
      </c>
      <c r="T216" s="15">
        <v>150</v>
      </c>
      <c r="U216" s="4">
        <v>1000</v>
      </c>
      <c r="V216" s="4">
        <v>150</v>
      </c>
      <c r="W216" s="4">
        <v>650</v>
      </c>
      <c r="X216" s="4">
        <v>450</v>
      </c>
      <c r="Y216" s="10">
        <v>900</v>
      </c>
      <c r="Z216" s="15">
        <v>60</v>
      </c>
      <c r="AA216" s="4">
        <v>8000</v>
      </c>
      <c r="AB216" s="4"/>
    </row>
    <row r="217" ht="15.75" customHeight="1">
      <c r="A217" s="4">
        <v>175</v>
      </c>
      <c r="B217" s="8">
        <v>216.0</v>
      </c>
      <c r="C217" s="9" t="b">
        <v>1</v>
      </c>
      <c r="D217" s="4" t="inlineStr">
        <is>
          <t>能島城</t>
        </is>
      </c>
      <c r="E217" s="10" t="inlineStr">
        <is>
          <t>のしまじょう</t>
        </is>
      </c>
      <c r="F217" s="11" t="str">
        <f t="array" ref="F217">IF(A217:A468="","",_xlfn.XLOOKUP(A217:A468,'参照_拠点'!A:A,'参照_拠点'!B:B,"見つかりません"))</f>
      </c>
      <c r="G217" s="12" t="str">
        <f t="array" ref="G217">IF(K217:K468="","",_xlfn.XLOOKUP(K217:K468,'参照_武将'!A:A,'参照_武将'!B:B,"見つかりません"))</f>
      </c>
      <c r="H217" s="14" t="str">
        <f t="array" ref="H217">IF(I217:I468="","",_xlfn.XLOOKUP(I217:I468,'参照_勢力'!A:A,'参照_勢力'!B:B,"見つかりません"))</f>
      </c>
      <c r="I217" s="15">
        <v>25</v>
      </c>
      <c r="J217" s="4">
        <v>3</v>
      </c>
      <c r="K217" s="10">
        <v>1212006</v>
      </c>
      <c r="L217" s="18">
        <f>300 + ROUND((((P217/15)+(Y217/10))*(SQRT(AA217)/100+1)+O217)/((COUNTIF(I:I, I217)/30)+1), 0)</f>
        <v>1085</v>
      </c>
      <c r="M217" s="4">
        <v>60</v>
      </c>
      <c r="N217" s="10">
        <v>60</v>
      </c>
      <c r="O217" s="18">
        <f>ROUND(500+((AA217*0.01)+(Z217/3)+(V217/10))*6,0)+100</f>
        <v>830</v>
      </c>
      <c r="P217" s="19">
        <f>ROUND((T217 * 2.5) * SQRT(Z217)
,0) + (O217 * 2)</f>
        <v>2772</v>
      </c>
      <c r="Q217" s="19">
        <v>1000</v>
      </c>
      <c r="R217" s="18">
        <f>ROUNDDOWN(L217*0.3, -1)</f>
        <v>320</v>
      </c>
      <c r="S217" s="19">
        <f>ROUNDDOWN(L217*0.005, -1)</f>
        <v>0</v>
      </c>
      <c r="T217" s="15">
        <v>60</v>
      </c>
      <c r="U217" s="4">
        <v>500</v>
      </c>
      <c r="V217" s="4">
        <v>0</v>
      </c>
      <c r="W217" s="4">
        <v>400</v>
      </c>
      <c r="X217" s="4">
        <v>550</v>
      </c>
      <c r="Y217" s="10">
        <v>1100</v>
      </c>
      <c r="Z217" s="15">
        <v>55</v>
      </c>
      <c r="AA217" s="4">
        <v>2000</v>
      </c>
      <c r="AB217" s="4"/>
    </row>
    <row r="218" ht="15.75" customHeight="1">
      <c r="A218" s="4">
        <v>139</v>
      </c>
      <c r="B218" s="8">
        <v>217.0</v>
      </c>
      <c r="C218" s="9" t="b">
        <v>1</v>
      </c>
      <c r="D218" s="4" t="inlineStr">
        <is>
          <t>湯築城</t>
        </is>
      </c>
      <c r="E218" s="10" t="inlineStr">
        <is>
          <t>ゆづきじょう</t>
        </is>
      </c>
      <c r="F218" s="11" t="str">
        <f t="array" ref="F218">IF(A218:A469="","",_xlfn.XLOOKUP(A218:A469,'参照_拠点'!A:A,'参照_拠点'!B:B,"見つかりません"))</f>
      </c>
      <c r="G218" s="12" t="str">
        <f t="array" ref="G218">IF(K218:K469="","",_xlfn.XLOOKUP(K218:K469,'参照_武将'!A:A,'参照_武将'!B:B,"見つかりません"))</f>
      </c>
      <c r="H218" s="14" t="str">
        <f t="array" ref="H218">IF(I218:I469="","",_xlfn.XLOOKUP(I218:I469,'参照_勢力'!A:A,'参照_勢力'!B:B,"見つかりません"))</f>
      </c>
      <c r="I218" s="15">
        <v>49</v>
      </c>
      <c r="J218" s="4">
        <v>0</v>
      </c>
      <c r="K218" s="10">
        <v>1049003</v>
      </c>
      <c r="L218" s="16">
        <f>300 + ROUND((((P218/15)+(Y218/10))*(SQRT(AA218)/100+1)+O218)/((COUNTIF(I:I, I218)/30)+1), 0)</f>
        <v>2011</v>
      </c>
      <c r="M218" s="4">
        <v>50</v>
      </c>
      <c r="N218" s="10">
        <v>50</v>
      </c>
      <c r="O218" s="16">
        <f>ROUND(500+((AA218*0.01)+(Z218/3)+(V218/10))*6,0)</f>
        <v>1106</v>
      </c>
      <c r="P218" s="17">
        <f>ROUND((T218 * 2.5) * SQRT(Z218)
,0) + (O218 * 2)</f>
        <v>4792</v>
      </c>
      <c r="Q218" s="17">
        <v>1000</v>
      </c>
      <c r="R218" s="16">
        <f>ROUNDDOWN(L218*0.2, -1)</f>
        <v>400</v>
      </c>
      <c r="S218" s="17">
        <f>ROUNDDOWN(L218*0.005, -1)</f>
        <v>10</v>
      </c>
      <c r="T218" s="15">
        <v>130</v>
      </c>
      <c r="U218" s="4">
        <v>1000</v>
      </c>
      <c r="V218" s="4">
        <v>0</v>
      </c>
      <c r="W218" s="4">
        <v>0</v>
      </c>
      <c r="X218" s="4">
        <v>450</v>
      </c>
      <c r="Y218" s="10">
        <v>900</v>
      </c>
      <c r="Z218" s="15">
        <v>63</v>
      </c>
      <c r="AA218" s="4">
        <v>8000</v>
      </c>
      <c r="AB218" s="4"/>
    </row>
    <row r="219" ht="15.75" customHeight="1">
      <c r="A219" s="4">
        <v>144</v>
      </c>
      <c r="B219" s="8">
        <v>218.0</v>
      </c>
      <c r="C219" s="9" t="b">
        <v>1</v>
      </c>
      <c r="D219" s="4" t="inlineStr">
        <is>
          <t>城井谷城</t>
        </is>
      </c>
      <c r="E219" s="10" t="inlineStr">
        <is>
          <t>きいだにじょう</t>
        </is>
      </c>
      <c r="F219" s="11" t="str">
        <f t="array" ref="F219">IF(A219:A470="","",_xlfn.XLOOKUP(A219:A470,'参照_拠点'!A:A,'参照_拠点'!B:B,"見つかりません"))</f>
      </c>
      <c r="G219" s="12" t="str">
        <f t="array" ref="G219">IF(K219:K470="","",_xlfn.XLOOKUP(K219:K470,'参照_武将'!A:A,'参照_武将'!B:B,"見つかりません"))</f>
      </c>
      <c r="H219" s="14" t="str">
        <f t="array" ref="H219">IF(I219:I470="","",_xlfn.XLOOKUP(I219:I470,'参照_勢力'!A:A,'参照_勢力'!B:B,"見つかりません"))</f>
      </c>
      <c r="I219" s="15">
        <v>53</v>
      </c>
      <c r="J219" s="4">
        <v>2</v>
      </c>
      <c r="K219" s="10">
        <v>1053025</v>
      </c>
      <c r="L219" s="18">
        <f>300 + ROUND((((P219/15)+(Y219/10))*(SQRT(AA219)/100+1)+O219)/((COUNTIF(I:I, I219)/30)+1), 0)</f>
        <v>1729</v>
      </c>
      <c r="M219" s="4">
        <v>60</v>
      </c>
      <c r="N219" s="10">
        <v>60</v>
      </c>
      <c r="O219" s="18">
        <f>ROUND(500+((AA219*0.01)+(Z219/3)+(V219/10))*6,0)+200</f>
        <v>1278</v>
      </c>
      <c r="P219" s="19">
        <f>ROUND((T219 * 2.5) * SQRT(Z219)
,0) + (O219 * 2)</f>
        <v>4556</v>
      </c>
      <c r="Q219" s="19">
        <v>1000</v>
      </c>
      <c r="R219" s="18">
        <f>ROUNDDOWN(L219*0.35, -1)</f>
        <v>600</v>
      </c>
      <c r="S219" s="19">
        <f>ROUNDDOWN(L219*0.005, -1)</f>
        <v>0</v>
      </c>
      <c r="T219" s="15">
        <v>100</v>
      </c>
      <c r="U219" s="4">
        <v>800</v>
      </c>
      <c r="V219" s="4">
        <v>150</v>
      </c>
      <c r="W219" s="4">
        <v>750</v>
      </c>
      <c r="X219" s="4">
        <v>250</v>
      </c>
      <c r="Y219" s="10">
        <v>500</v>
      </c>
      <c r="Z219" s="15">
        <v>64</v>
      </c>
      <c r="AA219" s="4">
        <v>6000</v>
      </c>
      <c r="AB219" s="4"/>
    </row>
    <row r="220" ht="15.75" customHeight="1">
      <c r="A220" s="4">
        <v>143</v>
      </c>
      <c r="B220" s="8">
        <v>219.0</v>
      </c>
      <c r="C220" s="9" t="b">
        <v>1</v>
      </c>
      <c r="D220" s="4" t="inlineStr">
        <is>
          <t>小倉城</t>
        </is>
      </c>
      <c r="E220" s="10" t="inlineStr">
        <is>
          <t>こくらじょう</t>
        </is>
      </c>
      <c r="F220" s="11" t="str">
        <f t="array" ref="F220">IF(A220:A471="","",_xlfn.XLOOKUP(A220:A471,'参照_拠点'!A:A,'参照_拠点'!B:B,"見つかりません"))</f>
      </c>
      <c r="G220" s="12" t="str">
        <f t="array" ref="G220">IF(K220:K471="","",_xlfn.XLOOKUP(K220:K471,'参照_武将'!A:A,'参照_武将'!B:B,"見つかりません"))</f>
      </c>
      <c r="H220" s="14" t="str">
        <f t="array" ref="H220">IF(I220:I471="","",_xlfn.XLOOKUP(I220:I471,'参照_勢力'!A:A,'参照_勢力'!B:B,"見つかりません"))</f>
      </c>
      <c r="I220" s="15">
        <v>25</v>
      </c>
      <c r="J220" s="4">
        <v>4</v>
      </c>
      <c r="K220" s="10">
        <v>1053015</v>
      </c>
      <c r="L220" s="16">
        <f>300 + ROUND((((P220/15)+(Y220/10))*(SQRT(AA220)/100+1)+O220)/((COUNTIF(I:I, I220)/30)+1), 0)</f>
        <v>1719</v>
      </c>
      <c r="M220" s="4">
        <v>60</v>
      </c>
      <c r="N220" s="10">
        <v>60</v>
      </c>
      <c r="O220" s="16">
        <f>(ROUND(500+((AA220*0.01)+(Z220/3)+(V220/10))*6,0)+1000)-900</f>
        <v>1328</v>
      </c>
      <c r="P220" s="17">
        <f>ROUND((T220 * 2.5) * SQRT(Z220)
,0) + (O220 * 2)</f>
        <v>6056</v>
      </c>
      <c r="Q220" s="17">
        <v>1000</v>
      </c>
      <c r="R220" s="16">
        <f>ROUNDDOWN(L220*0.3, -1)</f>
        <v>510</v>
      </c>
      <c r="S220" s="17">
        <f>ROUNDDOWN(L220*0.005, -1)</f>
        <v>0</v>
      </c>
      <c r="T220" s="15">
        <v>170</v>
      </c>
      <c r="U220" s="4">
        <v>1000</v>
      </c>
      <c r="V220" s="4">
        <v>100</v>
      </c>
      <c r="W220" s="4">
        <v>500</v>
      </c>
      <c r="X220" s="4">
        <v>400</v>
      </c>
      <c r="Y220" s="10">
        <v>800</v>
      </c>
      <c r="Z220" s="15">
        <v>64</v>
      </c>
      <c r="AA220" s="4">
        <v>9000</v>
      </c>
      <c r="AB220" s="4"/>
    </row>
    <row r="221" ht="15.75" customHeight="1">
      <c r="A221" s="4">
        <v>146</v>
      </c>
      <c r="B221" s="8">
        <v>220.0</v>
      </c>
      <c r="C221" s="9" t="b">
        <v>1</v>
      </c>
      <c r="D221" s="4" t="inlineStr">
        <is>
          <t>臼杵城</t>
        </is>
      </c>
      <c r="E221" s="10" t="inlineStr">
        <is>
          <t>うすきじょう</t>
        </is>
      </c>
      <c r="F221" s="11" t="str">
        <f t="array" ref="F221">IF(A221:A472="","",_xlfn.XLOOKUP(A221:A472,'参照_拠点'!A:A,'参照_拠点'!B:B,"見つかりません"))</f>
      </c>
      <c r="G221" s="12" t="str">
        <f t="array" ref="G221">IF(K221:K472="","",_xlfn.XLOOKUP(K221:K472,'参照_武将'!A:A,'参照_武将'!B:B,"見つかりません"))</f>
      </c>
      <c r="H221" s="14" t="str">
        <f t="array" ref="H221">IF(I221:I472="","",_xlfn.XLOOKUP(I221:I472,'参照_勢力'!A:A,'参照_勢力'!B:B,"見つかりません"))</f>
      </c>
      <c r="I221" s="15">
        <v>53</v>
      </c>
      <c r="J221" s="4">
        <v>0</v>
      </c>
      <c r="K221" s="10">
        <v>1053003</v>
      </c>
      <c r="L221" s="18">
        <f>300 + ROUND((((P221/15)+(Y221/10))*(SQRT(AA221)/100+1)+O221)/((COUNTIF(I:I, I221)/30)+1), 0)</f>
        <v>2617</v>
      </c>
      <c r="M221" s="4">
        <v>60</v>
      </c>
      <c r="N221" s="10">
        <v>60</v>
      </c>
      <c r="O221" s="18">
        <f>ROUND(500+((AA221*0.01)+(Z221/3)+(V221/10))*6,0)+200</f>
        <v>1696</v>
      </c>
      <c r="P221" s="19">
        <f>ROUND((T221 * 2.5) * SQRT(Z221)
,0) + (O221 * 2)</f>
        <v>7361</v>
      </c>
      <c r="Q221" s="19">
        <v>1000</v>
      </c>
      <c r="R221" s="18">
        <f>ROUNDDOWN(L221*0.35, -1)</f>
        <v>910</v>
      </c>
      <c r="S221" s="19">
        <f>ROUNDDOWN(L221*0.005, -1)</f>
        <v>10</v>
      </c>
      <c r="T221" s="15">
        <v>200</v>
      </c>
      <c r="U221" s="4">
        <v>1600</v>
      </c>
      <c r="V221" s="4">
        <v>150</v>
      </c>
      <c r="W221" s="4">
        <v>750</v>
      </c>
      <c r="X221" s="4">
        <v>800</v>
      </c>
      <c r="Y221" s="10">
        <v>1600</v>
      </c>
      <c r="Z221" s="15">
        <v>63</v>
      </c>
      <c r="AA221" s="4">
        <v>13000</v>
      </c>
      <c r="AB221" s="4"/>
    </row>
    <row r="222" ht="15.75" customHeight="1">
      <c r="A222" s="4">
        <v>147</v>
      </c>
      <c r="B222" s="8">
        <v>221.0</v>
      </c>
      <c r="C222" s="9" t="b">
        <v>1</v>
      </c>
      <c r="D222" s="4" t="inlineStr">
        <is>
          <t>岡城</t>
        </is>
      </c>
      <c r="E222" s="10" t="inlineStr">
        <is>
          <t>おかじょう</t>
        </is>
      </c>
      <c r="F222" s="11" t="str">
        <f t="array" ref="F222">IF(A222:A473="","",_xlfn.XLOOKUP(A222:A473,'参照_拠点'!A:A,'参照_拠点'!B:B,"見つかりません"))</f>
      </c>
      <c r="G222" s="12" t="str">
        <f t="array" ref="G222">IF(K222:K473="","",_xlfn.XLOOKUP(K222:K473,'参照_武将'!A:A,'参照_武将'!B:B,"見つかりません"))</f>
      </c>
      <c r="H222" s="14" t="str">
        <f t="array" ref="H222">IF(I222:I473="","",_xlfn.XLOOKUP(I222:I473,'参照_勢力'!A:A,'参照_勢力'!B:B,"見つかりません"))</f>
      </c>
      <c r="I222" s="15">
        <v>53</v>
      </c>
      <c r="J222" s="4">
        <v>0</v>
      </c>
      <c r="K222" s="10">
        <v>1204005</v>
      </c>
      <c r="L222" s="16">
        <f>300 + ROUND((((P222/15)+(Y222/10))*(SQRT(AA222)/100+1)+O222)/((COUNTIF(I:I, I222)/30)+1), 0)</f>
        <v>1639</v>
      </c>
      <c r="M222" s="4">
        <v>60</v>
      </c>
      <c r="N222" s="10">
        <v>60</v>
      </c>
      <c r="O222" s="16">
        <f>ROUND(500+((AA222*0.01)+(Z222/3)+(V222/10))*6,0)+200</f>
        <v>1242</v>
      </c>
      <c r="P222" s="17">
        <f>ROUND((T222 * 2.5) * SQRT(Z222)
,0) + (O222 * 2)</f>
        <v>4241</v>
      </c>
      <c r="Q222" s="17">
        <v>1000</v>
      </c>
      <c r="R222" s="16">
        <f>ROUNDDOWN(L222*0.35, -1)</f>
        <v>570</v>
      </c>
      <c r="S222" s="17">
        <f>ROUNDDOWN(L222*0.005, -1)</f>
        <v>0</v>
      </c>
      <c r="T222" s="15">
        <v>90</v>
      </c>
      <c r="U222" s="4">
        <v>700</v>
      </c>
      <c r="V222" s="4">
        <v>300</v>
      </c>
      <c r="W222" s="4">
        <v>900</v>
      </c>
      <c r="X222" s="4">
        <v>250</v>
      </c>
      <c r="Y222" s="10">
        <v>500</v>
      </c>
      <c r="Z222" s="15">
        <v>61</v>
      </c>
      <c r="AA222" s="4">
        <v>4000</v>
      </c>
      <c r="AB222" s="4"/>
    </row>
    <row r="223" ht="15.75" customHeight="1">
      <c r="A223" s="4">
        <v>145</v>
      </c>
      <c r="B223" s="8">
        <v>222.0</v>
      </c>
      <c r="C223" s="9" t="b">
        <v>1</v>
      </c>
      <c r="D223" s="4" t="inlineStr">
        <is>
          <t>杵築城</t>
        </is>
      </c>
      <c r="E223" s="10" t="inlineStr">
        <is>
          <t>きつきじょう</t>
        </is>
      </c>
      <c r="F223" s="11" t="str">
        <f t="array" ref="F223">IF(A223:A474="","",_xlfn.XLOOKUP(A223:A474,'参照_拠点'!A:A,'参照_拠点'!B:B,"見つかりません"))</f>
      </c>
      <c r="G223" s="12" t="str">
        <f t="array" ref="G223">IF(K223:K474="","",_xlfn.XLOOKUP(K223:K474,'参照_武将'!A:A,'参照_武将'!B:B,"見つかりません"))</f>
      </c>
      <c r="H223" s="14" t="str">
        <f t="array" ref="H223">IF(I223:I474="","",_xlfn.XLOOKUP(I223:I474,'参照_勢力'!A:A,'参照_勢力'!B:B,"見つかりません"))</f>
      </c>
      <c r="I223" s="15">
        <v>53</v>
      </c>
      <c r="J223" s="4">
        <v>0</v>
      </c>
      <c r="K223" s="10">
        <v>1204007</v>
      </c>
      <c r="L223" s="18">
        <f>300 + ROUND((((P223/15)+(Y223/10))*(SQRT(AA223)/100+1)+O223)/((COUNTIF(I:I, I223)/30)+1), 0)</f>
        <v>1507</v>
      </c>
      <c r="M223" s="4">
        <v>60</v>
      </c>
      <c r="N223" s="10">
        <v>60</v>
      </c>
      <c r="O223" s="18">
        <f>ROUND(500+((AA223*0.01)+(Z223/3)+(V223/10))*6,0)+200</f>
        <v>1120</v>
      </c>
      <c r="P223" s="19">
        <f>ROUND((T223 * 2.5) * SQRT(Z223)
,0) + (O223 * 2)</f>
        <v>3596</v>
      </c>
      <c r="Q223" s="19">
        <v>1000</v>
      </c>
      <c r="R223" s="18">
        <f>ROUNDDOWN(L223*0.35, -1)</f>
        <v>520</v>
      </c>
      <c r="S223" s="19">
        <f>ROUNDDOWN(L223*0.005, -1)</f>
        <v>0</v>
      </c>
      <c r="T223" s="15">
        <v>70</v>
      </c>
      <c r="U223" s="4">
        <v>600</v>
      </c>
      <c r="V223" s="4">
        <v>100</v>
      </c>
      <c r="W223" s="4">
        <v>650</v>
      </c>
      <c r="X223" s="4">
        <v>300</v>
      </c>
      <c r="Y223" s="10">
        <v>600</v>
      </c>
      <c r="Z223" s="15">
        <v>60</v>
      </c>
      <c r="AA223" s="4">
        <v>4000</v>
      </c>
      <c r="AB223" s="4"/>
    </row>
    <row r="224" ht="15.75" customHeight="1">
      <c r="A224" s="4">
        <v>176</v>
      </c>
      <c r="B224" s="8">
        <v>223.0</v>
      </c>
      <c r="C224" s="9" t="b">
        <v>1</v>
      </c>
      <c r="D224" s="4" t="inlineStr">
        <is>
          <t>角牟礼城</t>
        </is>
      </c>
      <c r="E224" s="10" t="inlineStr">
        <is>
          <t>つのむれじょう</t>
        </is>
      </c>
      <c r="F224" s="11" t="str">
        <f t="array" ref="F224">IF(A224:A475="","",_xlfn.XLOOKUP(A224:A475,'参照_拠点'!A:A,'参照_拠点'!B:B,"見つかりません"))</f>
      </c>
      <c r="G224" s="12" t="str">
        <f t="array" ref="G224">IF(K224:K475="","",_xlfn.XLOOKUP(K224:K475,'参照_武将'!A:A,'参照_武将'!B:B,"見つかりません"))</f>
      </c>
      <c r="H224" s="14" t="str">
        <f t="array" ref="H224">IF(I224:I475="","",_xlfn.XLOOKUP(I224:I475,'参照_勢力'!A:A,'参照_勢力'!B:B,"見つかりません"))</f>
      </c>
      <c r="I224" s="15">
        <v>53</v>
      </c>
      <c r="J224" s="4">
        <v>0</v>
      </c>
      <c r="K224" s="10">
        <v>1053034</v>
      </c>
      <c r="L224" s="16">
        <f>300 + ROUND((((P224/15)+(Y224/10))*(SQRT(AA224)/100+1)+O224)/((COUNTIF(I:I, I224)/30)+1), 0)</f>
        <v>1611</v>
      </c>
      <c r="M224" s="4">
        <v>60</v>
      </c>
      <c r="N224" s="10">
        <v>60</v>
      </c>
      <c r="O224" s="16">
        <f>ROUND(500+((AA224*0.01)+(Z224/3)+(V224/10))*6,0)+200</f>
        <v>1130</v>
      </c>
      <c r="P224" s="17">
        <f>ROUND((T224 * 2.5) * SQRT(Z224)
,0) + (O224 * 2)</f>
        <v>4477</v>
      </c>
      <c r="Q224" s="17">
        <v>1000</v>
      </c>
      <c r="R224" s="16">
        <f>ROUNDDOWN(L224*0.35, -1)</f>
        <v>560</v>
      </c>
      <c r="S224" s="17">
        <f>ROUNDDOWN(L224*0.005, -1)</f>
        <v>0</v>
      </c>
      <c r="T224" s="15">
        <v>110</v>
      </c>
      <c r="U224" s="4">
        <v>900</v>
      </c>
      <c r="V224" s="4">
        <v>100</v>
      </c>
      <c r="W224" s="4">
        <v>750</v>
      </c>
      <c r="X224" s="4">
        <v>400</v>
      </c>
      <c r="Y224" s="10">
        <v>800</v>
      </c>
      <c r="Z224" s="15">
        <v>65</v>
      </c>
      <c r="AA224" s="4">
        <v>4000</v>
      </c>
      <c r="AB224" s="4"/>
    </row>
    <row r="225" ht="15.75" customHeight="1">
      <c r="A225" s="4">
        <v>149</v>
      </c>
      <c r="B225" s="8">
        <v>224.0</v>
      </c>
      <c r="C225" s="9" t="b">
        <v>1</v>
      </c>
      <c r="D225" s="4" t="inlineStr">
        <is>
          <t>古処山城</t>
        </is>
      </c>
      <c r="E225" s="10" t="inlineStr">
        <is>
          <t>こしょさんじょう</t>
        </is>
      </c>
      <c r="F225" s="11" t="str">
        <f t="array" ref="F225">IF(A225:A476="","",_xlfn.XLOOKUP(A225:A476,'参照_拠点'!A:A,'参照_拠点'!B:B,"見つかりません"))</f>
      </c>
      <c r="G225" s="12" t="str">
        <f t="array" ref="G225">IF(K225:K476="","",_xlfn.XLOOKUP(K225:K476,'参照_武将'!A:A,'参照_武将'!B:B,"見つかりません"))</f>
      </c>
      <c r="H225" s="14" t="str">
        <f t="array" ref="H225">IF(I225:I476="","",_xlfn.XLOOKUP(I225:I476,'参照_勢力'!A:A,'参照_勢力'!B:B,"見つかりません"))</f>
      </c>
      <c r="I225" s="15">
        <v>55</v>
      </c>
      <c r="J225" s="4">
        <v>0</v>
      </c>
      <c r="K225" s="10">
        <v>1055003</v>
      </c>
      <c r="L225" s="18">
        <f>300 + ROUND((((P225/15)+(Y225/10))*(SQRT(AA225)/100+1)+O225)/((COUNTIF(I:I, I225)/30)+1), 0)</f>
        <v>4468</v>
      </c>
      <c r="M225" s="4">
        <v>50</v>
      </c>
      <c r="N225" s="10">
        <v>50</v>
      </c>
      <c r="O225" s="18">
        <f>ROUND(500+((AA225*0.01)+(Z225/3)+(V225/10))*6,0)+1000</f>
        <v>2640</v>
      </c>
      <c r="P225" s="19">
        <f>ROUND((T225 * 2.5) * SQRT(Z225)
,0) + (O225 * 2)</f>
        <v>9540</v>
      </c>
      <c r="Q225" s="19">
        <v>1000</v>
      </c>
      <c r="R225" s="18">
        <f>ROUNDDOWN(L225*0.3, -1)</f>
        <v>1340</v>
      </c>
      <c r="S225" s="19">
        <f>ROUNDDOWN(L225*0.005, -1)</f>
        <v>20</v>
      </c>
      <c r="T225" s="15">
        <v>220</v>
      </c>
      <c r="U225" s="4">
        <v>1200</v>
      </c>
      <c r="V225" s="4">
        <v>100</v>
      </c>
      <c r="W225" s="4">
        <v>600</v>
      </c>
      <c r="X225" s="4">
        <v>500</v>
      </c>
      <c r="Y225" s="10">
        <v>1000</v>
      </c>
      <c r="Z225" s="15">
        <v>60</v>
      </c>
      <c r="AA225" s="4">
        <v>16000</v>
      </c>
      <c r="AB225" s="4"/>
    </row>
    <row r="226" ht="15.75" customHeight="1">
      <c r="A226" s="4">
        <v>148</v>
      </c>
      <c r="B226" s="8">
        <v>225.0</v>
      </c>
      <c r="C226" s="9" t="b">
        <v>1</v>
      </c>
      <c r="D226" s="4" t="inlineStr">
        <is>
          <t>立花山城</t>
        </is>
      </c>
      <c r="E226" s="10" t="inlineStr">
        <is>
          <t>たちばなやまじょう</t>
        </is>
      </c>
      <c r="F226" s="11" t="str">
        <f t="array" ref="F226">IF(A226:A477="","",_xlfn.XLOOKUP(A226:A477,'参照_拠点'!A:A,'参照_拠点'!B:B,"見つかりません"))</f>
      </c>
      <c r="G226" s="12" t="str">
        <f t="array" ref="G226">IF(K226:K477="","",_xlfn.XLOOKUP(K226:K477,'参照_武将'!A:A,'参照_武将'!B:B,"見つかりません"))</f>
      </c>
      <c r="H226" s="14" t="str">
        <f t="array" ref="H226">IF(I226:I477="","",_xlfn.XLOOKUP(I226:I477,'参照_勢力'!A:A,'参照_勢力'!B:B,"見つかりません"))</f>
      </c>
      <c r="I226" s="15">
        <v>53</v>
      </c>
      <c r="J226" s="4">
        <v>0</v>
      </c>
      <c r="K226" s="10">
        <v>1204008</v>
      </c>
      <c r="L226" s="16">
        <f>300 + ROUND((((P226/15)+(Y226/10))*(SQRT(AA226)/100+1)+O226)/((COUNTIF(I:I, I226)/30)+1), 0)</f>
        <v>1984</v>
      </c>
      <c r="M226" s="4">
        <v>50</v>
      </c>
      <c r="N226" s="10">
        <v>50</v>
      </c>
      <c r="O226" s="16">
        <f>ROUND(500+((AA226*0.01)+(Z226/3)+(V226/10))*6,0)+200</f>
        <v>1442</v>
      </c>
      <c r="P226" s="17">
        <f>ROUND((T226 * 2.5) * SQRT(Z226)
,0) + (O226 * 2)</f>
        <v>4381</v>
      </c>
      <c r="Q226" s="17">
        <v>1000</v>
      </c>
      <c r="R226" s="16">
        <f>ROUNDDOWN(L226*0.35, -1)</f>
        <v>690</v>
      </c>
      <c r="S226" s="17">
        <f>ROUNDDOWN(L226*0.005, -1)</f>
        <v>0</v>
      </c>
      <c r="T226" s="15">
        <v>80</v>
      </c>
      <c r="U226" s="4">
        <v>1200</v>
      </c>
      <c r="V226" s="4">
        <v>150</v>
      </c>
      <c r="W226" s="4">
        <v>650</v>
      </c>
      <c r="X226" s="4">
        <v>300</v>
      </c>
      <c r="Y226" s="10">
        <v>1200</v>
      </c>
      <c r="Z226" s="15">
        <v>56</v>
      </c>
      <c r="AA226" s="4">
        <v>9000</v>
      </c>
      <c r="AB226" s="4"/>
    </row>
    <row r="227" ht="15.75" customHeight="1">
      <c r="A227" s="4">
        <v>150</v>
      </c>
      <c r="B227" s="8">
        <v>226.0</v>
      </c>
      <c r="C227" s="9" t="b">
        <v>1</v>
      </c>
      <c r="D227" s="4" t="inlineStr">
        <is>
          <t>柳川城</t>
        </is>
      </c>
      <c r="E227" s="10" t="inlineStr">
        <is>
          <t>やながわじょう</t>
        </is>
      </c>
      <c r="F227" s="11" t="str">
        <f t="array" ref="F227">IF(A227:A478="","",_xlfn.XLOOKUP(A227:A478,'参照_拠点'!A:A,'参照_拠点'!B:B,"見つかりません"))</f>
      </c>
      <c r="G227" s="12" t="str">
        <f t="array" ref="G227">IF(K227:K478="","",_xlfn.XLOOKUP(K227:K478,'参照_武将'!A:A,'参照_武将'!B:B,"見つかりません"))</f>
      </c>
      <c r="H227" s="14" t="str">
        <f t="array" ref="H227">IF(I227:I478="","",_xlfn.XLOOKUP(I227:I478,'参照_勢力'!A:A,'参照_勢力'!B:B,"見つかりません"))</f>
      </c>
      <c r="I227" s="15">
        <v>53</v>
      </c>
      <c r="J227" s="4">
        <v>4</v>
      </c>
      <c r="K227" s="10">
        <v>1053023</v>
      </c>
      <c r="L227" s="18">
        <f>300 + ROUND((((P227/15)+(Y227/10))*(SQRT(AA227)/100+1)+O227)/((COUNTIF(I:I, I227)/30)+1), 0)</f>
        <v>1975</v>
      </c>
      <c r="M227" s="4">
        <v>60</v>
      </c>
      <c r="N227" s="10">
        <v>60</v>
      </c>
      <c r="O227" s="18">
        <f>ROUND(500+((AA227*0.01)+(Z227/3)+(V227/10))*6,0)+200</f>
        <v>1400</v>
      </c>
      <c r="P227" s="19">
        <f>ROUND((T227 * 2.5) * SQRT(Z227)
,0) + (O227 * 2)</f>
        <v>5219</v>
      </c>
      <c r="Q227" s="19">
        <v>1000</v>
      </c>
      <c r="R227" s="18">
        <f>ROUNDDOWN(L227*0.35, -1)</f>
        <v>690</v>
      </c>
      <c r="S227" s="19">
        <f>ROUNDDOWN(L227*0.005, -1)</f>
        <v>0</v>
      </c>
      <c r="T227" s="15">
        <v>120</v>
      </c>
      <c r="U227" s="4">
        <v>1000</v>
      </c>
      <c r="V227" s="4">
        <v>50</v>
      </c>
      <c r="W227" s="4">
        <v>350</v>
      </c>
      <c r="X227" s="4">
        <v>400</v>
      </c>
      <c r="Y227" s="10">
        <v>800</v>
      </c>
      <c r="Z227" s="15">
        <v>65</v>
      </c>
      <c r="AA227" s="4">
        <v>9000</v>
      </c>
      <c r="AB227" s="4"/>
    </row>
    <row r="228" ht="15.75" customHeight="1">
      <c r="A228" s="4">
        <v>156</v>
      </c>
      <c r="B228" s="8">
        <v>227.0</v>
      </c>
      <c r="C228" s="9" t="b">
        <v>1</v>
      </c>
      <c r="D228" s="4" t="inlineStr">
        <is>
          <t>玖島城</t>
        </is>
      </c>
      <c r="E228" s="10" t="inlineStr">
        <is>
          <t>くしまじょう</t>
        </is>
      </c>
      <c r="F228" s="11" t="str">
        <f t="array" ref="F228">IF(A228:A479="","",_xlfn.XLOOKUP(A228:A479,'参照_拠点'!A:A,'参照_拠点'!B:B,"見つかりません"))</f>
      </c>
      <c r="G228" s="12" t="str">
        <f t="array" ref="G228">IF(K228:K479="","",_xlfn.XLOOKUP(K228:K479,'参照_武将'!A:A,'参照_武将'!B:B,"見つかりません"))</f>
      </c>
      <c r="H228" s="14" t="str">
        <f t="array" ref="H228">IF(I228:I479="","",_xlfn.XLOOKUP(I228:I479,'参照_勢力'!A:A,'参照_勢力'!B:B,"見つかりません"))</f>
      </c>
      <c r="I228" s="15">
        <v>57</v>
      </c>
      <c r="J228" s="4">
        <v>1</v>
      </c>
      <c r="K228" s="10">
        <v>1057007</v>
      </c>
      <c r="L228" s="16">
        <f>300 + ROUND((((P228/15)+(Y228/10))*(SQRT(AA228)/100+1)+O228)/((COUNTIF(I:I, I228)/30)+1), 0)</f>
        <v>1495</v>
      </c>
      <c r="M228" s="4">
        <v>50</v>
      </c>
      <c r="N228" s="10">
        <v>50</v>
      </c>
      <c r="O228" s="16">
        <f>ROUND(500+((AA228*0.01)+(Z228/3)+(V228/10))*6,0)</f>
        <v>860</v>
      </c>
      <c r="P228" s="17">
        <f>ROUND((T228 * 2.5) * SQRT(Z228)
,0) + (O228 * 2)</f>
        <v>3656</v>
      </c>
      <c r="Q228" s="17">
        <v>1000</v>
      </c>
      <c r="R228" s="16">
        <f>ROUNDDOWN(L228*0.2, -1)</f>
        <v>290</v>
      </c>
      <c r="S228" s="17">
        <f>ROUNDDOWN(L228*0.005, -1)</f>
        <v>0</v>
      </c>
      <c r="T228" s="15">
        <v>100</v>
      </c>
      <c r="U228" s="4">
        <v>800</v>
      </c>
      <c r="V228" s="4">
        <v>100</v>
      </c>
      <c r="W228" s="4">
        <v>600</v>
      </c>
      <c r="X228" s="4">
        <v>250</v>
      </c>
      <c r="Y228" s="10">
        <v>500</v>
      </c>
      <c r="Z228" s="15">
        <v>60</v>
      </c>
      <c r="AA228" s="4">
        <v>3000</v>
      </c>
      <c r="AB228" s="4"/>
    </row>
    <row r="229" ht="15.75" customHeight="1">
      <c r="A229" s="4">
        <v>152</v>
      </c>
      <c r="B229" s="8">
        <v>228.0</v>
      </c>
      <c r="C229" s="9" t="b">
        <v>1</v>
      </c>
      <c r="D229" s="4" t="inlineStr">
        <is>
          <t>佐嘉城</t>
        </is>
      </c>
      <c r="E229" s="10" t="inlineStr">
        <is>
          <t>さがじょう</t>
        </is>
      </c>
      <c r="F229" s="11" t="str">
        <f t="array" ref="F229">IF(A229:A480="","",_xlfn.XLOOKUP(A229:A480,'参照_拠点'!A:A,'参照_拠点'!B:B,"見つかりません"))</f>
      </c>
      <c r="G229" s="12" t="str">
        <f t="array" ref="G229">IF(K229:K480="","",_xlfn.XLOOKUP(K229:K480,'参照_武将'!A:A,'参照_武将'!B:B,"見つかりません"))</f>
      </c>
      <c r="H229" s="14" t="str">
        <f t="array" ref="H229">IF(I229:I480="","",_xlfn.XLOOKUP(I229:I480,'参照_勢力'!A:A,'参照_勢力'!B:B,"見つかりません"))</f>
      </c>
      <c r="I229" s="15">
        <v>54</v>
      </c>
      <c r="J229" s="4">
        <v>0</v>
      </c>
      <c r="K229" s="10">
        <v>1054010</v>
      </c>
      <c r="L229" s="18">
        <f>300 + ROUND((((P229/15)+(Y229/10))*(SQRT(AA229)/100+1)+O229)/((COUNTIF(I:I, I229)/30)+1), 0)</f>
        <v>5313</v>
      </c>
      <c r="M229" s="4">
        <v>60</v>
      </c>
      <c r="N229" s="10">
        <v>70</v>
      </c>
      <c r="O229" s="18">
        <f>(ROUND(500+((AA229*0.01)+(Z229/3)+(V229/10))*6,0)+1000)+1000</f>
        <v>3314</v>
      </c>
      <c r="P229" s="19">
        <f>ROUND((T229 * 2.5) * SQRT(Z229)
,0) + (O229 * 2)</f>
        <v>10959</v>
      </c>
      <c r="Q229" s="19">
        <v>1000</v>
      </c>
      <c r="R229" s="18">
        <f>ROUNDDOWN(L229*0.3, -1)</f>
        <v>1590</v>
      </c>
      <c r="S229" s="19">
        <f>ROUNDDOWN(L229*0.005, -1)</f>
        <v>20</v>
      </c>
      <c r="T229" s="15">
        <v>220</v>
      </c>
      <c r="U229" s="4">
        <v>1600</v>
      </c>
      <c r="V229" s="4">
        <v>50</v>
      </c>
      <c r="W229" s="4">
        <v>350</v>
      </c>
      <c r="X229" s="4">
        <v>900</v>
      </c>
      <c r="Y229" s="10">
        <v>1800</v>
      </c>
      <c r="Z229" s="15">
        <v>62</v>
      </c>
      <c r="AA229" s="4">
        <v>11000</v>
      </c>
      <c r="AB229" s="4"/>
    </row>
    <row r="230" ht="15.75" customHeight="1">
      <c r="A230" s="4">
        <v>153</v>
      </c>
      <c r="B230" s="8">
        <v>229.0</v>
      </c>
      <c r="C230" s="9" t="b">
        <v>1</v>
      </c>
      <c r="D230" s="4" t="inlineStr">
        <is>
          <t>獅子ヶ城</t>
        </is>
      </c>
      <c r="E230" s="10" t="inlineStr">
        <is>
          <t>ししがじょう</t>
        </is>
      </c>
      <c r="F230" s="11" t="str">
        <f t="array" ref="F230">IF(A230:A481="","",_xlfn.XLOOKUP(A230:A481,'参照_拠点'!A:A,'参照_拠点'!B:B,"見つかりません"))</f>
      </c>
      <c r="G230" s="12" t="str">
        <f t="array" ref="G230">IF(K230:K481="","",_xlfn.XLOOKUP(K230:K481,'参照_武将'!A:A,'参照_武将'!B:B,"見つかりません"))</f>
      </c>
      <c r="H230" s="14" t="str">
        <f t="array" ref="H230">IF(I230:I481="","",_xlfn.XLOOKUP(I230:I481,'参照_勢力'!A:A,'参照_勢力'!B:B,"見つかりません"))</f>
      </c>
      <c r="I230" s="15">
        <v>56</v>
      </c>
      <c r="J230" s="4">
        <v>1</v>
      </c>
      <c r="K230" s="10">
        <v>1056014</v>
      </c>
      <c r="L230" s="16">
        <f>300 + ROUND((((P230/15)+(Y230/10))*(SQRT(AA230)/100+1)+O230)/((COUNTIF(I:I, I230)/30)+1), 0)</f>
        <v>1448</v>
      </c>
      <c r="M230" s="4">
        <v>50</v>
      </c>
      <c r="N230" s="10">
        <v>50</v>
      </c>
      <c r="O230" s="16">
        <f>ROUND(500+((AA230*0.01)+(Z230/3)+(V230/10))*6,0)</f>
        <v>832</v>
      </c>
      <c r="P230" s="17">
        <f>ROUND((T230 * 2.5) * SQRT(Z230)
,0) + (O230 * 2)</f>
        <v>3421</v>
      </c>
      <c r="Q230" s="17">
        <v>1000</v>
      </c>
      <c r="R230" s="16">
        <f>ROUNDDOWN(L230*0.2, -1)</f>
        <v>280</v>
      </c>
      <c r="S230" s="17">
        <f>ROUNDDOWN(L230*0.005, -1)</f>
        <v>0</v>
      </c>
      <c r="T230" s="15">
        <v>90</v>
      </c>
      <c r="U230" s="4">
        <v>700</v>
      </c>
      <c r="V230" s="4">
        <v>50</v>
      </c>
      <c r="W230" s="4">
        <v>400</v>
      </c>
      <c r="X230" s="4">
        <v>250</v>
      </c>
      <c r="Y230" s="10">
        <v>500</v>
      </c>
      <c r="Z230" s="15">
        <v>61</v>
      </c>
      <c r="AA230" s="4">
        <v>3000</v>
      </c>
      <c r="AB230" s="4"/>
    </row>
    <row r="231" ht="15.75" customHeight="1">
      <c r="A231" s="4">
        <v>154</v>
      </c>
      <c r="B231" s="8">
        <v>230.0</v>
      </c>
      <c r="C231" s="9" t="b">
        <v>1</v>
      </c>
      <c r="D231" s="4" t="inlineStr">
        <is>
          <t>須古城</t>
        </is>
      </c>
      <c r="E231" s="10" t="inlineStr">
        <is>
          <t>すこじょう</t>
        </is>
      </c>
      <c r="F231" s="11" t="str">
        <f t="array" ref="F231">IF(A231:A482="","",_xlfn.XLOOKUP(A231:A482,'参照_拠点'!A:A,'参照_拠点'!B:B,"見つかりません"))</f>
      </c>
      <c r="G231" s="12" t="str">
        <f t="array" ref="G231">IF(K231:K482="","",_xlfn.XLOOKUP(K231:K482,'参照_武将'!A:A,'参照_武将'!B:B,"見つかりません"))</f>
      </c>
      <c r="H231" s="14" t="str">
        <f t="array" ref="H231">IF(I231:I482="","",_xlfn.XLOOKUP(I231:I482,'参照_勢力'!A:A,'参照_勢力'!B:B,"見つかりません"))</f>
      </c>
      <c r="I231" s="15">
        <v>57</v>
      </c>
      <c r="J231" s="4">
        <v>2</v>
      </c>
      <c r="K231" s="10">
        <v>1057023</v>
      </c>
      <c r="L231" s="18">
        <f>300 + ROUND((((P231/15)+(Y231/10))*(SQRT(AA231)/100+1)+O231)/((COUNTIF(I:I, I231)/30)+1), 0)</f>
        <v>1575</v>
      </c>
      <c r="M231" s="4">
        <v>50</v>
      </c>
      <c r="N231" s="10">
        <v>50</v>
      </c>
      <c r="O231" s="18">
        <f>ROUND(500+((AA231*0.01)+(Z231/3)+(V231/10))*6,0)</f>
        <v>860</v>
      </c>
      <c r="P231" s="19">
        <f>ROUND((T231 * 2.5) * SQRT(Z231)
,0) + (O231 * 2)</f>
        <v>3463</v>
      </c>
      <c r="Q231" s="19">
        <v>1000</v>
      </c>
      <c r="R231" s="18">
        <f>ROUNDDOWN(L231*0.2, -1)</f>
        <v>310</v>
      </c>
      <c r="S231" s="19">
        <f>ROUNDDOWN(L231*0.005, -1)</f>
        <v>0</v>
      </c>
      <c r="T231" s="15">
        <v>90</v>
      </c>
      <c r="U231" s="4">
        <v>1100</v>
      </c>
      <c r="V231" s="4">
        <v>100</v>
      </c>
      <c r="W231" s="4">
        <v>400</v>
      </c>
      <c r="X231" s="4">
        <v>300</v>
      </c>
      <c r="Y231" s="10">
        <v>1200</v>
      </c>
      <c r="Z231" s="15">
        <v>60</v>
      </c>
      <c r="AA231" s="4">
        <v>3000</v>
      </c>
      <c r="AB231" s="4"/>
    </row>
    <row r="232" ht="15.75" customHeight="1">
      <c r="A232" s="4">
        <v>151</v>
      </c>
      <c r="B232" s="8">
        <v>231.0</v>
      </c>
      <c r="C232" s="9" t="b">
        <v>1</v>
      </c>
      <c r="D232" s="4" t="inlineStr">
        <is>
          <t>勢福寺城</t>
        </is>
      </c>
      <c r="E232" s="10" t="inlineStr">
        <is>
          <t>せいふくじじょう</t>
        </is>
      </c>
      <c r="F232" s="11" t="str">
        <f t="array" ref="F232">IF(A232:A483="","",_xlfn.XLOOKUP(A232:A483,'参照_拠点'!A:A,'参照_拠点'!B:B,"見つかりません"))</f>
      </c>
      <c r="G232" s="12" t="str">
        <f t="array" ref="G232">IF(K232:K483="","",_xlfn.XLOOKUP(K232:K483,'参照_武将'!A:A,'参照_武将'!B:B,"見つかりません"))</f>
      </c>
      <c r="H232" s="14" t="str">
        <f t="array" ref="H232">IF(I232:I483="","",_xlfn.XLOOKUP(I232:I483,'参照_勢力'!A:A,'参照_勢力'!B:B,"見つかりません"))</f>
      </c>
      <c r="I232" s="15">
        <v>53</v>
      </c>
      <c r="J232" s="4">
        <v>0</v>
      </c>
      <c r="K232" s="10">
        <v>1218012</v>
      </c>
      <c r="L232" s="16">
        <f>300 + ROUND((((P232/15)+(Y232/10))*(SQRT(AA232)/100+1)+O232)/((COUNTIF(I:I, I232)/30)+1), 0)</f>
        <v>1629</v>
      </c>
      <c r="M232" s="4">
        <v>60</v>
      </c>
      <c r="N232" s="10">
        <v>70</v>
      </c>
      <c r="O232" s="16">
        <f>(ROUND(500+((AA232*0.01)+(Z232/3)+(V232/10))*6,0)+1000)-800</f>
        <v>1180</v>
      </c>
      <c r="P232" s="17">
        <f>ROUND((T232 * 2.5) * SQRT(Z232)
,0) + (O232 * 2)</f>
        <v>4296</v>
      </c>
      <c r="Q232" s="17">
        <v>1000</v>
      </c>
      <c r="R232" s="16">
        <f>ROUNDDOWN(L232*0.3, -1)</f>
        <v>480</v>
      </c>
      <c r="S232" s="17">
        <f>ROUNDDOWN(L232*0.005, -1)</f>
        <v>0</v>
      </c>
      <c r="T232" s="15">
        <v>100</v>
      </c>
      <c r="U232" s="4">
        <v>600</v>
      </c>
      <c r="V232" s="4">
        <v>100</v>
      </c>
      <c r="W232" s="4">
        <v>600</v>
      </c>
      <c r="X232" s="4">
        <v>300</v>
      </c>
      <c r="Y232" s="10">
        <v>600</v>
      </c>
      <c r="Z232" s="15">
        <v>60</v>
      </c>
      <c r="AA232" s="4">
        <v>5000</v>
      </c>
      <c r="AB232" s="4"/>
    </row>
    <row r="233" ht="15.75" customHeight="1">
      <c r="A233" s="4">
        <v>157</v>
      </c>
      <c r="B233" s="8">
        <v>232.0</v>
      </c>
      <c r="C233" s="9" t="b">
        <v>1</v>
      </c>
      <c r="D233" s="4" t="inlineStr">
        <is>
          <t>日野江城</t>
        </is>
      </c>
      <c r="E233" s="10" t="inlineStr">
        <is>
          <t>ひのえじょう</t>
        </is>
      </c>
      <c r="F233" s="11" t="str">
        <f t="array" ref="F233">IF(A233:A484="","",_xlfn.XLOOKUP(A233:A484,'参照_拠点'!A:A,'参照_拠点'!B:B,"見つかりません"))</f>
      </c>
      <c r="G233" s="12" t="str">
        <f t="array" ref="G233">IF(K233:K484="","",_xlfn.XLOOKUP(K233:K484,'参照_武将'!A:A,'参照_武将'!B:B,"見つかりません"))</f>
      </c>
      <c r="H233" s="14" t="str">
        <f t="array" ref="H233">IF(I233:I484="","",_xlfn.XLOOKUP(I233:I484,'参照_勢力'!A:A,'参照_勢力'!B:B,"見つかりません"))</f>
      </c>
      <c r="I233" s="15">
        <v>57</v>
      </c>
      <c r="J233" s="4">
        <v>0</v>
      </c>
      <c r="K233" s="10">
        <v>1057003</v>
      </c>
      <c r="L233" s="18">
        <f>300 + ROUND((((P233/15)+(Y233/10))*(SQRT(AA233)/100+1)+O233)/((COUNTIF(I:I, I233)/30)+1), 0)</f>
        <v>1786</v>
      </c>
      <c r="M233" s="4">
        <v>50</v>
      </c>
      <c r="N233" s="10">
        <v>50</v>
      </c>
      <c r="O233" s="18">
        <f>ROUND(500+((AA233*0.01)+(Z233/3)+(V233/10))*6,0)</f>
        <v>958</v>
      </c>
      <c r="P233" s="19">
        <f>ROUND((T233 * 2.5) * SQRT(Z233)
,0) + (O233 * 2)</f>
        <v>4716</v>
      </c>
      <c r="Q233" s="19">
        <v>1000</v>
      </c>
      <c r="R233" s="18">
        <f>ROUNDDOWN(L233*0.2, -1)</f>
        <v>350</v>
      </c>
      <c r="S233" s="19">
        <f>ROUNDDOWN(L233*0.005, -1)</f>
        <v>0</v>
      </c>
      <c r="T233" s="15">
        <v>140</v>
      </c>
      <c r="U233" s="4">
        <v>1000</v>
      </c>
      <c r="V233" s="4">
        <v>150</v>
      </c>
      <c r="W233" s="4">
        <v>750</v>
      </c>
      <c r="X233" s="4">
        <v>500</v>
      </c>
      <c r="Y233" s="10">
        <v>1000</v>
      </c>
      <c r="Z233" s="15">
        <v>64</v>
      </c>
      <c r="AA233" s="4">
        <v>4000</v>
      </c>
      <c r="AB233" s="4"/>
    </row>
    <row r="234" ht="15.75" customHeight="1">
      <c r="A234" s="4">
        <v>155</v>
      </c>
      <c r="B234" s="8">
        <v>233.0</v>
      </c>
      <c r="C234" s="9" t="b">
        <v>1</v>
      </c>
      <c r="D234" s="4" t="inlineStr">
        <is>
          <t>平戸城</t>
        </is>
      </c>
      <c r="E234" s="10" t="inlineStr">
        <is>
          <t>ひらどじょう</t>
        </is>
      </c>
      <c r="F234" s="11" t="str">
        <f t="array" ref="F234">IF(A234:A485="","",_xlfn.XLOOKUP(A234:A485,'参照_拠点'!A:A,'参照_拠点'!B:B,"見つかりません"))</f>
      </c>
      <c r="G234" s="12" t="str">
        <f t="array" ref="G234">IF(K234:K485="","",_xlfn.XLOOKUP(K234:K485,'参照_武将'!A:A,'参照_武将'!B:B,"見つかりません"))</f>
      </c>
      <c r="H234" s="14" t="str">
        <f t="array" ref="H234">IF(I234:I485="","",_xlfn.XLOOKUP(I234:I485,'参照_勢力'!A:A,'参照_勢力'!B:B,"見つかりません"))</f>
      </c>
      <c r="I234" s="15">
        <v>56</v>
      </c>
      <c r="J234" s="4">
        <v>0</v>
      </c>
      <c r="K234" s="10">
        <v>1056003</v>
      </c>
      <c r="L234" s="16">
        <f>300 + ROUND((((P234/15)+(Y234/10))*(SQRT(AA234)/100+1)+O234)/((COUNTIF(I:I, I234)/30)+1), 0)</f>
        <v>1697</v>
      </c>
      <c r="M234" s="4">
        <v>50</v>
      </c>
      <c r="N234" s="10">
        <v>50</v>
      </c>
      <c r="O234" s="16">
        <f>ROUND(500+((AA234*0.01)+(Z234/3)+(V234/10))*6,0)</f>
        <v>862</v>
      </c>
      <c r="P234" s="17">
        <f>ROUND((T234 * 2.5) * SQRT(Z234)
,0) + (O234 * 2)</f>
        <v>5043</v>
      </c>
      <c r="Q234" s="17">
        <v>1000</v>
      </c>
      <c r="R234" s="16">
        <f>ROUNDDOWN(L234*0.2, -1)</f>
        <v>330</v>
      </c>
      <c r="S234" s="17">
        <f>ROUNDDOWN(L234*0.005, -1)</f>
        <v>0</v>
      </c>
      <c r="T234" s="15">
        <v>170</v>
      </c>
      <c r="U234" s="4">
        <v>900</v>
      </c>
      <c r="V234" s="4">
        <v>100</v>
      </c>
      <c r="W234" s="4">
        <v>450</v>
      </c>
      <c r="X234" s="4">
        <v>500</v>
      </c>
      <c r="Y234" s="10">
        <v>1000</v>
      </c>
      <c r="Z234" s="15">
        <v>61</v>
      </c>
      <c r="AA234" s="4">
        <v>3000</v>
      </c>
      <c r="AB234" s="4"/>
    </row>
    <row r="235" ht="15.75" customHeight="1">
      <c r="A235" s="4">
        <v>159</v>
      </c>
      <c r="B235" s="8">
        <v>234.0</v>
      </c>
      <c r="C235" s="9" t="b">
        <v>1</v>
      </c>
      <c r="D235" s="4" t="inlineStr">
        <is>
          <t>岩尾城</t>
        </is>
      </c>
      <c r="E235" s="10" t="inlineStr">
        <is>
          <t>いわおじょう</t>
        </is>
      </c>
      <c r="F235" s="11" t="str">
        <f t="array" ref="F235">IF(A235:A486="","",_xlfn.XLOOKUP(A235:A486,'参照_拠点'!A:A,'参照_拠点'!B:B,"見つかりません"))</f>
      </c>
      <c r="G235" s="12" t="str">
        <f t="array" ref="G235">IF(K235:K486="","",_xlfn.XLOOKUP(K235:K486,'参照_武将'!A:A,'参照_武将'!B:B,"見つかりません"))</f>
      </c>
      <c r="H235" s="14" t="str">
        <f t="array" ref="H235">IF(I235:I486="","",_xlfn.XLOOKUP(I235:I486,'参照_勢力'!A:A,'参照_勢力'!B:B,"見つかりません"))</f>
      </c>
      <c r="I235" s="15">
        <v>58</v>
      </c>
      <c r="J235" s="4">
        <v>0</v>
      </c>
      <c r="K235" s="10">
        <v>1058003</v>
      </c>
      <c r="L235" s="18">
        <f>300 + ROUND((((P235/15)+(Y235/10))*(SQRT(AA235)/100+1)+O235)/((COUNTIF(I:I, I235)/30)+1), 0)</f>
        <v>1648</v>
      </c>
      <c r="M235" s="4">
        <v>50</v>
      </c>
      <c r="N235" s="10">
        <v>50</v>
      </c>
      <c r="O235" s="18">
        <f>ROUND(500+((AA235*0.01)+(Z235/3)+(V235/10))*6,0)</f>
        <v>958</v>
      </c>
      <c r="P235" s="19">
        <f>ROUND((T235 * 2.5) * SQRT(Z235)
,0) + (O235 * 2)</f>
        <v>3316</v>
      </c>
      <c r="Q235" s="19">
        <v>1000</v>
      </c>
      <c r="R235" s="18">
        <f>ROUNDDOWN(L235*0.2, -1)</f>
        <v>320</v>
      </c>
      <c r="S235" s="19">
        <f>ROUNDDOWN(L235*0.005, -1)</f>
        <v>0</v>
      </c>
      <c r="T235" s="15">
        <v>70</v>
      </c>
      <c r="U235" s="4">
        <v>600</v>
      </c>
      <c r="V235" s="4">
        <v>250</v>
      </c>
      <c r="W235" s="4">
        <v>800</v>
      </c>
      <c r="X235" s="4">
        <v>300</v>
      </c>
      <c r="Y235" s="10">
        <v>600</v>
      </c>
      <c r="Z235" s="15">
        <v>64</v>
      </c>
      <c r="AA235" s="4">
        <v>3000</v>
      </c>
      <c r="AB235" s="4"/>
    </row>
    <row r="236" ht="15.75" customHeight="1">
      <c r="A236" s="4">
        <v>158</v>
      </c>
      <c r="B236" s="8">
        <v>235.0</v>
      </c>
      <c r="C236" s="9" t="b">
        <v>1</v>
      </c>
      <c r="D236" s="4" t="inlineStr">
        <is>
          <t>隈本城</t>
        </is>
      </c>
      <c r="E236" s="10" t="inlineStr">
        <is>
          <t>くまもとじょう</t>
        </is>
      </c>
      <c r="F236" s="11" t="str">
        <f t="array" ref="F236">IF(A236:A487="","",_xlfn.XLOOKUP(A236:A487,'参照_拠点'!A:A,'参照_拠点'!B:B,"見つかりません"))</f>
      </c>
      <c r="G236" s="12" t="str">
        <f t="array" ref="G236">IF(K236:K487="","",_xlfn.XLOOKUP(K236:K487,'参照_武将'!A:A,'参照_武将'!B:B,"見つかりません"))</f>
      </c>
      <c r="H236" s="14" t="str">
        <f t="array" ref="H236">IF(I236:I487="","",_xlfn.XLOOKUP(I236:I487,'参照_勢力'!A:A,'参照_勢力'!B:B,"見つかりません"))</f>
      </c>
      <c r="I236" s="15">
        <v>53</v>
      </c>
      <c r="J236" s="4">
        <v>0</v>
      </c>
      <c r="K236" s="10">
        <v>1053037</v>
      </c>
      <c r="L236" s="16">
        <f>300 + ROUND((((P236/15)+(Y236/10))*(SQRT(AA236)/100+1)+O236)/((COUNTIF(I:I, I236)/30)+1), 0)</f>
        <v>2171</v>
      </c>
      <c r="M236" s="4">
        <v>50</v>
      </c>
      <c r="N236" s="10">
        <v>50</v>
      </c>
      <c r="O236" s="16">
        <f>(ROUND(500+((AA236*0.01)+(Z236/3)+(V236/10))*6,0))+200</f>
        <v>1428</v>
      </c>
      <c r="P236" s="17">
        <f>ROUND((T236 * 2.5) * SQRT(Z236)
,0) + (O236 * 2)</f>
        <v>6256</v>
      </c>
      <c r="Q236" s="17">
        <v>1000</v>
      </c>
      <c r="R236" s="16">
        <f>ROUNDDOWN(L236*0.2, -1)</f>
        <v>430</v>
      </c>
      <c r="S236" s="17">
        <f>ROUNDDOWN(L236*0.005, -1)</f>
        <v>10</v>
      </c>
      <c r="T236" s="15">
        <v>170</v>
      </c>
      <c r="U236" s="4">
        <v>1200</v>
      </c>
      <c r="V236" s="4">
        <v>100</v>
      </c>
      <c r="W236" s="4">
        <v>400</v>
      </c>
      <c r="X236" s="4">
        <v>650</v>
      </c>
      <c r="Y236" s="10">
        <v>1300</v>
      </c>
      <c r="Z236" s="15">
        <v>64</v>
      </c>
      <c r="AA236" s="4">
        <v>9000</v>
      </c>
      <c r="AB236" s="4"/>
    </row>
    <row r="237" ht="15.75" customHeight="1">
      <c r="A237" s="4">
        <v>160</v>
      </c>
      <c r="B237" s="8">
        <v>236.0</v>
      </c>
      <c r="C237" s="9" t="b">
        <v>1</v>
      </c>
      <c r="D237" s="4" t="inlineStr">
        <is>
          <t>人吉城</t>
        </is>
      </c>
      <c r="E237" s="10" t="inlineStr">
        <is>
          <t>ひとよしじょう</t>
        </is>
      </c>
      <c r="F237" s="11" t="str">
        <f t="array" ref="F237">IF(A237:A488="","",_xlfn.XLOOKUP(A237:A488,'参照_拠点'!A:A,'参照_拠点'!B:B,"見つかりません"))</f>
      </c>
      <c r="G237" s="12" t="str">
        <f t="array" ref="G237">IF(K237:K488="","",_xlfn.XLOOKUP(K237:K488,'参照_武将'!A:A,'参照_武将'!B:B,"見つかりません"))</f>
      </c>
      <c r="H237" s="14" t="str">
        <f t="array" ref="H237">IF(I237:I488="","",_xlfn.XLOOKUP(I237:I488,'参照_勢力'!A:A,'参照_勢力'!B:B,"見つかりません"))</f>
      </c>
      <c r="I237" s="15">
        <v>59</v>
      </c>
      <c r="J237" s="4">
        <v>0</v>
      </c>
      <c r="K237" s="10">
        <v>1059008</v>
      </c>
      <c r="L237" s="18">
        <f>300 + ROUND((((P237/15)+(Y237/10))*(SQRT(AA237)/100+1)+O237)/((COUNTIF(I:I, I237)/30)+1), 0)</f>
        <v>2201</v>
      </c>
      <c r="M237" s="4">
        <v>50</v>
      </c>
      <c r="N237" s="10">
        <v>50</v>
      </c>
      <c r="O237" s="18">
        <f>ROUND(500+((AA237*0.01)+(Z237/3)+(V237/10))*6,0)</f>
        <v>1228</v>
      </c>
      <c r="P237" s="19">
        <f>ROUND((T237 * 2.5) * SQRT(Z237)
,0) + (O237 * 2)</f>
        <v>4656</v>
      </c>
      <c r="Q237" s="19">
        <v>1000</v>
      </c>
      <c r="R237" s="18">
        <f>ROUNDDOWN(L237*0.2, -1)</f>
        <v>440</v>
      </c>
      <c r="S237" s="19">
        <f>ROUNDDOWN(L237*0.005, -1)</f>
        <v>10</v>
      </c>
      <c r="T237" s="15">
        <v>110</v>
      </c>
      <c r="U237" s="4">
        <v>900</v>
      </c>
      <c r="V237" s="4">
        <v>100</v>
      </c>
      <c r="W237" s="4">
        <v>600</v>
      </c>
      <c r="X237" s="4">
        <v>500</v>
      </c>
      <c r="Y237" s="10">
        <v>1000</v>
      </c>
      <c r="Z237" s="15">
        <v>64</v>
      </c>
      <c r="AA237" s="4">
        <v>9000</v>
      </c>
      <c r="AB237" s="4"/>
    </row>
    <row r="238" ht="15.75" customHeight="1">
      <c r="A238" s="4">
        <v>161</v>
      </c>
      <c r="B238" s="8">
        <v>237.0</v>
      </c>
      <c r="C238" s="9" t="b">
        <v>1</v>
      </c>
      <c r="D238" s="4" t="inlineStr">
        <is>
          <t>古麓城</t>
        </is>
      </c>
      <c r="E238" s="10" t="inlineStr">
        <is>
          <t>ふるふもとじょう</t>
        </is>
      </c>
      <c r="F238" s="11" t="str">
        <f t="array" ref="F238">IF(A238:A489="","",_xlfn.XLOOKUP(A238:A489,'参照_拠点'!A:A,'参照_拠点'!B:B,"見つかりません"))</f>
      </c>
      <c r="G238" s="12" t="str">
        <f t="array" ref="G238">IF(K238:K489="","",_xlfn.XLOOKUP(K238:K489,'参照_武将'!A:A,'参照_武将'!B:B,"見つかりません"))</f>
      </c>
      <c r="H238" s="14" t="str">
        <f t="array" ref="H238">IF(I238:I489="","",_xlfn.XLOOKUP(I238:I489,'参照_勢力'!A:A,'参照_勢力'!B:B,"見つかりません"))</f>
      </c>
      <c r="I238" s="15">
        <v>59</v>
      </c>
      <c r="J238" s="4">
        <v>0</v>
      </c>
      <c r="K238" s="10">
        <v>1059013</v>
      </c>
      <c r="L238" s="16">
        <f>300 + ROUND((((P238/15)+(Y238/10))*(SQRT(AA238)/100+1)+O238)/((COUNTIF(I:I, I238)/30)+1), 0)</f>
        <v>1771</v>
      </c>
      <c r="M238" s="4">
        <v>50</v>
      </c>
      <c r="N238" s="10">
        <v>50</v>
      </c>
      <c r="O238" s="16">
        <f>ROUND(500+((AA238*0.01)+(Z238/3)+(V238/10))*6,0)</f>
        <v>982</v>
      </c>
      <c r="P238" s="17">
        <f>ROUND((T238 * 2.5) * SQRT(Z238)
,0) + (O238 * 2)</f>
        <v>4112</v>
      </c>
      <c r="Q238" s="17">
        <v>1000</v>
      </c>
      <c r="R238" s="16">
        <f>ROUNDDOWN(L238*0.2, -1)</f>
        <v>350</v>
      </c>
      <c r="S238" s="17">
        <f>ROUNDDOWN(L238*0.005, -1)</f>
        <v>0</v>
      </c>
      <c r="T238" s="15">
        <v>110</v>
      </c>
      <c r="U238" s="4">
        <v>800</v>
      </c>
      <c r="V238" s="4">
        <v>100</v>
      </c>
      <c r="W238" s="4">
        <v>600</v>
      </c>
      <c r="X238" s="4">
        <v>350</v>
      </c>
      <c r="Y238" s="10">
        <v>700</v>
      </c>
      <c r="Z238" s="15">
        <v>61</v>
      </c>
      <c r="AA238" s="4">
        <v>5000</v>
      </c>
      <c r="AB238" s="4"/>
    </row>
    <row r="239" ht="15.75" customHeight="1">
      <c r="A239" s="4">
        <v>162</v>
      </c>
      <c r="B239" s="8">
        <v>238.0</v>
      </c>
      <c r="C239" s="9" t="b">
        <v>1</v>
      </c>
      <c r="D239" s="4" t="inlineStr">
        <is>
          <t>縣城</t>
        </is>
      </c>
      <c r="E239" s="10" t="inlineStr">
        <is>
          <t>あがたじょう</t>
        </is>
      </c>
      <c r="F239" s="11" t="str">
        <f t="array" ref="F239">IF(A239:A490="","",_xlfn.XLOOKUP(A239:A490,'参照_拠点'!A:A,'参照_拠点'!B:B,"見つかりません"))</f>
      </c>
      <c r="G239" s="12" t="str">
        <f t="array" ref="G239">IF(K239:K490="","",_xlfn.XLOOKUP(K239:K490,'参照_武将'!A:A,'参照_武将'!B:B,"見つかりません"))</f>
      </c>
      <c r="H239" s="14" t="str">
        <f t="array" ref="H239">IF(I239:I490="","",_xlfn.XLOOKUP(I239:I490,'参照_勢力'!A:A,'参照_勢力'!B:B,"見つかりません"))</f>
      </c>
      <c r="I239" s="15">
        <v>53</v>
      </c>
      <c r="J239" s="4">
        <v>3</v>
      </c>
      <c r="K239" s="10">
        <v>1053048</v>
      </c>
      <c r="L239" s="18">
        <f>300 + ROUND((((P239/15)+(Y239/10))*(SQRT(AA239)/100+1)+O239)/((COUNTIF(I:I, I239)/30)+1), 0)</f>
        <v>1599</v>
      </c>
      <c r="M239" s="4">
        <v>60</v>
      </c>
      <c r="N239" s="10">
        <v>60</v>
      </c>
      <c r="O239" s="18">
        <f>ROUND(500+((AA239*0.01)+(Z239/3)+(V239/10))*6,0)+200</f>
        <v>1188</v>
      </c>
      <c r="P239" s="19">
        <f>ROUND((T239 * 2.5) * SQRT(Z239)
,0) + (O239 * 2)</f>
        <v>4376</v>
      </c>
      <c r="Q239" s="19">
        <v>1000</v>
      </c>
      <c r="R239" s="18">
        <f>ROUNDDOWN(L239*0.35, -1)</f>
        <v>550</v>
      </c>
      <c r="S239" s="19">
        <f>ROUNDDOWN(L239*0.005, -1)</f>
        <v>0</v>
      </c>
      <c r="T239" s="15">
        <v>100</v>
      </c>
      <c r="U239" s="4">
        <v>700</v>
      </c>
      <c r="V239" s="4">
        <v>300</v>
      </c>
      <c r="W239" s="4">
        <v>1000</v>
      </c>
      <c r="X239" s="4">
        <v>300</v>
      </c>
      <c r="Y239" s="10">
        <v>600</v>
      </c>
      <c r="Z239" s="15">
        <v>64</v>
      </c>
      <c r="AA239" s="4">
        <v>3000</v>
      </c>
      <c r="AB239" s="4"/>
    </row>
    <row r="240" ht="15.75" customHeight="1">
      <c r="A240" s="4">
        <v>165</v>
      </c>
      <c r="B240" s="8">
        <v>239.0</v>
      </c>
      <c r="C240" s="9" t="b">
        <v>1</v>
      </c>
      <c r="D240" s="4" t="inlineStr">
        <is>
          <t>飫肥城</t>
        </is>
      </c>
      <c r="E240" s="10" t="inlineStr">
        <is>
          <t>おびじょう</t>
        </is>
      </c>
      <c r="F240" s="11" t="str">
        <f t="array" ref="F240">IF(A240:A491="","",_xlfn.XLOOKUP(A240:A491,'参照_拠点'!A:A,'参照_拠点'!B:B,"見つかりません"))</f>
      </c>
      <c r="G240" s="12" t="str">
        <f t="array" ref="G240">IF(K240:K491="","",_xlfn.XLOOKUP(K240:K491,'参照_武将'!A:A,'参照_武将'!B:B,"見つかりません"))</f>
      </c>
      <c r="H240" s="14" t="str">
        <f t="array" ref="H240">IF(I240:I491="","",_xlfn.XLOOKUP(I240:I491,'参照_勢力'!A:A,'参照_勢力'!B:B,"見つかりません"))</f>
      </c>
      <c r="I240" s="15">
        <v>60</v>
      </c>
      <c r="J240" s="4">
        <v>0</v>
      </c>
      <c r="K240" s="10">
        <v>1060007</v>
      </c>
      <c r="L240" s="16">
        <f>300 + ROUND((((P240/15)+(Y240/10))*(SQRT(AA240)/100+1)+O240)/((COUNTIF(I:I, I240)/30)+1), 0)</f>
        <v>1995</v>
      </c>
      <c r="M240" s="4">
        <v>60</v>
      </c>
      <c r="N240" s="10">
        <v>60</v>
      </c>
      <c r="O240" s="16">
        <f>(ROUND(500+((AA240*0.01)+(Z240/3)+(V240/10))*6,0))+300</f>
        <v>1286</v>
      </c>
      <c r="P240" s="17">
        <f>ROUND((T240 * 2.5) * SQRT(Z240)
,0) + (O240 * 2)</f>
        <v>4556</v>
      </c>
      <c r="Q240" s="17">
        <v>1000</v>
      </c>
      <c r="R240" s="16">
        <f>ROUNDDOWN(L240*0.25, -1)</f>
        <v>490</v>
      </c>
      <c r="S240" s="17">
        <f>ROUNDDOWN(L240*0.01, -1)</f>
        <v>10</v>
      </c>
      <c r="T240" s="15">
        <v>100</v>
      </c>
      <c r="U240" s="4">
        <v>800</v>
      </c>
      <c r="V240" s="4">
        <v>300</v>
      </c>
      <c r="W240" s="4">
        <v>900</v>
      </c>
      <c r="X240" s="4">
        <v>350</v>
      </c>
      <c r="Y240" s="10">
        <v>700</v>
      </c>
      <c r="Z240" s="15">
        <v>63</v>
      </c>
      <c r="AA240" s="4">
        <v>3000</v>
      </c>
      <c r="AB240" s="4"/>
    </row>
    <row r="241" ht="15.75" customHeight="1">
      <c r="A241" s="4">
        <v>167</v>
      </c>
      <c r="B241" s="8">
        <v>240.0</v>
      </c>
      <c r="C241" s="9" t="b">
        <v>1</v>
      </c>
      <c r="D241" s="4" t="inlineStr">
        <is>
          <t>加久藤城</t>
        </is>
      </c>
      <c r="E241" s="10" t="inlineStr">
        <is>
          <t>かくとうじょう</t>
        </is>
      </c>
      <c r="F241" s="11" t="str">
        <f t="array" ref="F241">IF(A241:A492="","",_xlfn.XLOOKUP(A241:A492,'参照_拠点'!A:A,'参照_拠点'!B:B,"見つかりません"))</f>
      </c>
      <c r="G241" s="12" t="str">
        <f t="array" ref="G241">IF(K241:K492="","",_xlfn.XLOOKUP(K241:K492,'参照_武将'!A:A,'参照_武将'!B:B,"見つかりません"))</f>
      </c>
      <c r="H241" s="14" t="str">
        <f t="array" ref="H241">IF(I241:I492="","",_xlfn.XLOOKUP(I241:I492,'参照_勢力'!A:A,'参照_勢力'!B:B,"見つかりません"))</f>
      </c>
      <c r="I241" s="15">
        <v>26</v>
      </c>
      <c r="J241" s="4">
        <v>0</v>
      </c>
      <c r="K241" s="10">
        <v>1026013</v>
      </c>
      <c r="L241" s="18">
        <f>300 + ROUND((((P241/15)+(Y241/10))*(SQRT(AA241)/100+1)+O241)/((COUNTIF(I:I, I241)/30)+1), 0)</f>
        <v>1466</v>
      </c>
      <c r="M241" s="4">
        <v>60</v>
      </c>
      <c r="N241" s="10">
        <v>60</v>
      </c>
      <c r="O241" s="18">
        <f>ROUND(500+((AA241*0.01)+(Z241/3)+(V241/10))*6,0)</f>
        <v>870</v>
      </c>
      <c r="P241" s="19">
        <f>ROUND((T241 * 2.5) * SQRT(Z241)
,0) + (O241 * 2)</f>
        <v>3554</v>
      </c>
      <c r="Q241" s="19">
        <v>1000</v>
      </c>
      <c r="R241" s="18">
        <f>ROUNDDOWN(L241*0.25, -1)</f>
        <v>360</v>
      </c>
      <c r="S241" s="19">
        <f>ROUNDDOWN(L241*0.01, -1)</f>
        <v>10</v>
      </c>
      <c r="T241" s="15">
        <v>90</v>
      </c>
      <c r="U241" s="4">
        <v>800</v>
      </c>
      <c r="V241" s="4">
        <v>100</v>
      </c>
      <c r="W241" s="4">
        <v>400</v>
      </c>
      <c r="X241" s="4">
        <v>650</v>
      </c>
      <c r="Y241" s="10">
        <v>1300</v>
      </c>
      <c r="Z241" s="15">
        <v>65</v>
      </c>
      <c r="AA241" s="4">
        <v>3000</v>
      </c>
      <c r="AB241" s="4"/>
    </row>
    <row r="242" ht="15.75" customHeight="1">
      <c r="A242" s="4">
        <v>163</v>
      </c>
      <c r="B242" s="8">
        <v>241.0</v>
      </c>
      <c r="C242" s="9" t="b">
        <v>1</v>
      </c>
      <c r="D242" s="4" t="inlineStr">
        <is>
          <t>高城</t>
        </is>
      </c>
      <c r="E242" s="10" t="inlineStr">
        <is>
          <t>たかじょう</t>
        </is>
      </c>
      <c r="F242" s="11" t="str">
        <f t="array" ref="F242">IF(A242:A493="","",_xlfn.XLOOKUP(A242:A493,'参照_拠点'!A:A,'参照_拠点'!B:B,"見つかりません"))</f>
      </c>
      <c r="G242" s="12" t="str">
        <f t="array" ref="G242">IF(K242:K493="","",_xlfn.XLOOKUP(K242:K493,'参照_武将'!A:A,'参照_武将'!B:B,"見つかりません"))</f>
      </c>
      <c r="H242" s="14" t="str">
        <f t="array" ref="H242">IF(I242:I493="","",_xlfn.XLOOKUP(I242:I493,'参照_勢力'!A:A,'参照_勢力'!B:B,"見つかりません"))</f>
      </c>
      <c r="I242" s="15">
        <v>60</v>
      </c>
      <c r="J242" s="4">
        <v>0</v>
      </c>
      <c r="K242" s="10">
        <v>1060023</v>
      </c>
      <c r="L242" s="16">
        <f>300 + ROUND((((P242/15)+(Y242/10))*(SQRT(AA242)/100+1)+O242)/((COUNTIF(I:I, I242)/30)+1), 0)</f>
        <v>1828</v>
      </c>
      <c r="M242" s="4">
        <v>50</v>
      </c>
      <c r="N242" s="10">
        <v>50</v>
      </c>
      <c r="O242" s="16">
        <f>ROUND(500+((AA242*0.01)+(Z242/3)+(V242/10))*6,0)+300</f>
        <v>1170</v>
      </c>
      <c r="P242" s="17">
        <f>ROUND((T242 * 2.5) * SQRT(Z242)
,0) + (O242 * 2)</f>
        <v>3751</v>
      </c>
      <c r="Q242" s="17">
        <v>1000</v>
      </c>
      <c r="R242" s="16">
        <f>ROUNDDOWN(L242*0.2, -1)</f>
        <v>360</v>
      </c>
      <c r="S242" s="17">
        <f>ROUNDDOWN(L242*0.005, -1)</f>
        <v>0</v>
      </c>
      <c r="T242" s="15">
        <v>70</v>
      </c>
      <c r="U242" s="4">
        <v>700</v>
      </c>
      <c r="V242" s="4">
        <v>100</v>
      </c>
      <c r="W242" s="4">
        <v>500</v>
      </c>
      <c r="X242" s="4">
        <v>400</v>
      </c>
      <c r="Y242" s="10">
        <v>800</v>
      </c>
      <c r="Z242" s="15">
        <v>65</v>
      </c>
      <c r="AA242" s="4">
        <v>3000</v>
      </c>
      <c r="AB242" s="4"/>
    </row>
    <row r="243" ht="15.75" customHeight="1">
      <c r="A243" s="4">
        <v>164</v>
      </c>
      <c r="B243" s="8">
        <v>242.0</v>
      </c>
      <c r="C243" s="9" t="b">
        <v>1</v>
      </c>
      <c r="D243" s="4" t="inlineStr">
        <is>
          <t>都於郡城</t>
        </is>
      </c>
      <c r="E243" s="10" t="inlineStr">
        <is>
          <t>とのこおりじょう</t>
        </is>
      </c>
      <c r="F243" s="11" t="str">
        <f t="array" ref="F243">IF(A243:A494="","",_xlfn.XLOOKUP(A243:A494,'参照_拠点'!A:A,'参照_拠点'!B:B,"見つかりません"))</f>
      </c>
      <c r="G243" s="12" t="str">
        <f t="array" ref="G243">IF(K243:K494="","",_xlfn.XLOOKUP(K243:K494,'参照_武将'!A:A,'参照_武将'!B:B,"見つかりません"))</f>
      </c>
      <c r="H243" s="14" t="str">
        <f t="array" ref="H243">IF(I243:I494="","",_xlfn.XLOOKUP(I243:I494,'参照_勢力'!A:A,'参照_勢力'!B:B,"見つかりません"))</f>
      </c>
      <c r="I243" s="15">
        <v>60</v>
      </c>
      <c r="J243" s="4">
        <v>0</v>
      </c>
      <c r="K243" s="10">
        <v>1060003</v>
      </c>
      <c r="L243" s="18">
        <f>300 + ROUND((((P243/15)+(Y243/10))*(SQRT(AA243)/100+1)+O243)/((COUNTIF(I:I, I243)/30)+1), 0)</f>
        <v>2639</v>
      </c>
      <c r="M243" s="4">
        <v>50</v>
      </c>
      <c r="N243" s="10">
        <v>50</v>
      </c>
      <c r="O243" s="18">
        <f>ROUND(500+((AA243*0.01)+(Z243/3)+(V243/10))*6,0)+300</f>
        <v>1644</v>
      </c>
      <c r="P243" s="19">
        <f>ROUND((T243 * 2.5) * SQRT(Z243)
,0) + (O243 * 2)</f>
        <v>5650</v>
      </c>
      <c r="Q243" s="19">
        <v>1000</v>
      </c>
      <c r="R243" s="18">
        <f>ROUNDDOWN(L243*0.2, -1)</f>
        <v>520</v>
      </c>
      <c r="S243" s="19">
        <f>ROUNDDOWN(L243*0.005, -1)</f>
        <v>10</v>
      </c>
      <c r="T243" s="15">
        <v>120</v>
      </c>
      <c r="U243" s="4">
        <v>900</v>
      </c>
      <c r="V243" s="4">
        <v>300</v>
      </c>
      <c r="W243" s="4">
        <v>900</v>
      </c>
      <c r="X243" s="4">
        <v>500</v>
      </c>
      <c r="Y243" s="10">
        <v>1000</v>
      </c>
      <c r="Z243" s="15">
        <v>62</v>
      </c>
      <c r="AA243" s="4">
        <v>9000</v>
      </c>
      <c r="AB243" s="4"/>
    </row>
    <row r="244" ht="15.75" customHeight="1">
      <c r="A244" s="4">
        <v>166</v>
      </c>
      <c r="B244" s="8">
        <v>243.0</v>
      </c>
      <c r="C244" s="9" t="b">
        <v>1</v>
      </c>
      <c r="D244" s="4" t="inlineStr">
        <is>
          <t>都之城</t>
        </is>
      </c>
      <c r="E244" s="10" t="inlineStr">
        <is>
          <t>みやこのじょう</t>
        </is>
      </c>
      <c r="F244" s="11" t="str">
        <f t="array" ref="F244">IF(A244:A495="","",_xlfn.XLOOKUP(A244:A495,'参照_拠点'!A:A,'参照_拠点'!B:B,"見つかりません"))</f>
      </c>
      <c r="G244" s="12" t="str">
        <f t="array" ref="G244">IF(K244:K495="","",_xlfn.XLOOKUP(K244:K495,'参照_武将'!A:A,'参照_武将'!B:B,"見つかりません"))</f>
      </c>
      <c r="H244" s="14" t="str">
        <f t="array" ref="H244">IF(I244:I495="","",_xlfn.XLOOKUP(I244:I495,'参照_勢力'!A:A,'参照_勢力'!B:B,"見つかりません"))</f>
      </c>
      <c r="I244" s="15">
        <v>26</v>
      </c>
      <c r="J244" s="4">
        <v>2</v>
      </c>
      <c r="K244" s="10">
        <v>1026033</v>
      </c>
      <c r="L244" s="16">
        <f>300 + ROUND((((P244/15)+(Y244/10))*(SQRT(AA244)/100+1)+O244)/((COUNTIF(I:I, I244)/30)+1), 0)</f>
        <v>1542</v>
      </c>
      <c r="M244" s="4">
        <v>60</v>
      </c>
      <c r="N244" s="10">
        <v>60</v>
      </c>
      <c r="O244" s="16">
        <f>ROUND(500+((AA244*0.01)+(Z244/3)+(V244/10))*6,0)</f>
        <v>930</v>
      </c>
      <c r="P244" s="17">
        <f>ROUND((T244 * 2.5) * SQRT(Z244)
,0) + (O244 * 2)</f>
        <v>3876</v>
      </c>
      <c r="Q244" s="17">
        <v>1000</v>
      </c>
      <c r="R244" s="16">
        <f>ROUNDDOWN(L244*0.25, -1)</f>
        <v>380</v>
      </c>
      <c r="S244" s="17">
        <f>ROUNDDOWN(L244*0.01, -1)</f>
        <v>10</v>
      </c>
      <c r="T244" s="15">
        <v>100</v>
      </c>
      <c r="U244" s="4">
        <v>900</v>
      </c>
      <c r="V244" s="4">
        <v>100</v>
      </c>
      <c r="W244" s="4">
        <v>400</v>
      </c>
      <c r="X244" s="4">
        <v>550</v>
      </c>
      <c r="Y244" s="10">
        <v>1100</v>
      </c>
      <c r="Z244" s="15">
        <v>65</v>
      </c>
      <c r="AA244" s="4">
        <v>4000</v>
      </c>
      <c r="AB244" s="4"/>
    </row>
    <row r="245" ht="15.75" customHeight="1">
      <c r="A245" s="4">
        <v>169</v>
      </c>
      <c r="B245" s="8">
        <v>244.0</v>
      </c>
      <c r="C245" s="9" t="b">
        <v>1</v>
      </c>
      <c r="D245" s="4" t="inlineStr">
        <is>
          <t>内城</t>
        </is>
      </c>
      <c r="E245" s="10" t="inlineStr">
        <is>
          <t>うちじょう</t>
        </is>
      </c>
      <c r="F245" s="11" t="str">
        <f t="array" ref="F245">IF(A245:A496="","",_xlfn.XLOOKUP(A245:A496,'参照_拠点'!A:A,'参照_拠点'!B:B,"見つかりません"))</f>
      </c>
      <c r="G245" s="12" t="str">
        <f t="array" ref="G245">IF(K245:K496="","",_xlfn.XLOOKUP(K245:K496,'参照_武将'!A:A,'参照_武将'!B:B,"見つかりません"))</f>
      </c>
      <c r="H245" s="14" t="str">
        <f t="array" ref="H245">IF(I245:I496="","",_xlfn.XLOOKUP(I245:I496,'参照_勢力'!A:A,'参照_勢力'!B:B,"見つかりません"))</f>
      </c>
      <c r="I245" s="15">
        <v>26</v>
      </c>
      <c r="J245" s="4">
        <v>0</v>
      </c>
      <c r="K245" s="10">
        <v>1026012</v>
      </c>
      <c r="L245" s="18">
        <f>300 + ROUND((((P245/15)+(Y245/10))*(SQRT(AA245)/100+1)+O245)/((COUNTIF(I:I, I245)/30)+1), 0)</f>
        <v>2770</v>
      </c>
      <c r="M245" s="4">
        <v>60</v>
      </c>
      <c r="N245" s="10">
        <v>60</v>
      </c>
      <c r="O245" s="18">
        <f>ROUND(500+((AA245*0.01)+(Z245/3)+(V245/10))*6,0)</f>
        <v>1596</v>
      </c>
      <c r="P245" s="19">
        <f>ROUND((T245 * 2.5) * SQRT(Z245)
,0) + (O245 * 2)</f>
        <v>7315</v>
      </c>
      <c r="Q245" s="19">
        <v>1000</v>
      </c>
      <c r="R245" s="18">
        <f>ROUNDDOWN(L245*0.25, -1)</f>
        <v>690</v>
      </c>
      <c r="S245" s="19">
        <f>ROUNDDOWN(L245*0.01, -1)</f>
        <v>20</v>
      </c>
      <c r="T245" s="15">
        <v>200</v>
      </c>
      <c r="U245" s="4">
        <v>1600</v>
      </c>
      <c r="V245" s="4">
        <v>300</v>
      </c>
      <c r="W245" s="4">
        <v>900</v>
      </c>
      <c r="X245" s="4">
        <v>850</v>
      </c>
      <c r="Y245" s="10">
        <v>1900</v>
      </c>
      <c r="Z245" s="15">
        <v>68</v>
      </c>
      <c r="AA245" s="4">
        <v>13000</v>
      </c>
      <c r="AB245" s="4"/>
    </row>
    <row r="246" ht="15.75" customHeight="1">
      <c r="A246" s="4">
        <v>170</v>
      </c>
      <c r="B246" s="8">
        <v>245.0</v>
      </c>
      <c r="C246" s="9" t="b">
        <v>1</v>
      </c>
      <c r="D246" s="4" t="inlineStr">
        <is>
          <t>土矢倉城</t>
        </is>
      </c>
      <c r="E246" s="10" t="inlineStr">
        <is>
          <t>つちやぐらじょう</t>
        </is>
      </c>
      <c r="F246" s="11" t="str">
        <f t="array" ref="F246">IF(A246:A497="","",_xlfn.XLOOKUP(A246:A497,'参照_拠点'!A:A,'参照_拠点'!B:B,"見つかりません"))</f>
      </c>
      <c r="G246" s="12" t="str">
        <f t="array" ref="G246">IF(K246:K497="","",_xlfn.XLOOKUP(K246:K497,'参照_武将'!A:A,'参照_武将'!B:B,"見つかりません"))</f>
      </c>
      <c r="H246" s="14" t="str">
        <f t="array" ref="H246">IF(I246:I497="","",_xlfn.XLOOKUP(I246:I497,'参照_勢力'!A:A,'参照_勢力'!B:B,"見つかりません"))</f>
      </c>
      <c r="I246" s="15">
        <v>26</v>
      </c>
      <c r="J246" s="4">
        <v>3</v>
      </c>
      <c r="K246" s="10">
        <v>1026048</v>
      </c>
      <c r="L246" s="16">
        <f>300 + ROUND((((P246/15)+(Y246/10))*(SQRT(AA246)/100+1)+O246)/((COUNTIF(I:I, I246)/30)+1), 0)</f>
        <v>1333</v>
      </c>
      <c r="M246" s="4">
        <v>60</v>
      </c>
      <c r="N246" s="10">
        <v>60</v>
      </c>
      <c r="O246" s="16">
        <f>ROUND(500+((AA246*0.01)+(Z246/3)+(V246/10))*6,0)</f>
        <v>830</v>
      </c>
      <c r="P246" s="17">
        <f>ROUND((T246 * 2.5) * SQRT(Z246)
,0) + (O246 * 2)</f>
        <v>3403</v>
      </c>
      <c r="Q246" s="17">
        <v>1000</v>
      </c>
      <c r="R246" s="16">
        <f>ROUNDDOWN(L246*0.25, -1)</f>
        <v>330</v>
      </c>
      <c r="S246" s="17">
        <f>ROUNDDOWN(L246*0.01, -1)</f>
        <v>10</v>
      </c>
      <c r="T246" s="15">
        <v>90</v>
      </c>
      <c r="U246" s="4">
        <v>800</v>
      </c>
      <c r="V246" s="4">
        <v>50</v>
      </c>
      <c r="W246" s="4">
        <v>250</v>
      </c>
      <c r="X246" s="4">
        <v>300</v>
      </c>
      <c r="Y246" s="10">
        <v>600</v>
      </c>
      <c r="Z246" s="15">
        <v>60</v>
      </c>
      <c r="AA246" s="4">
        <v>3000</v>
      </c>
      <c r="AB246" s="4"/>
    </row>
    <row r="247" ht="15.75" customHeight="1">
      <c r="A247" s="4">
        <v>168</v>
      </c>
      <c r="B247" s="8">
        <v>246.0</v>
      </c>
      <c r="C247" s="9" t="b">
        <v>1</v>
      </c>
      <c r="D247" s="4" t="inlineStr">
        <is>
          <t>平佐城</t>
        </is>
      </c>
      <c r="E247" s="10" t="inlineStr">
        <is>
          <t>ひらさじょう</t>
        </is>
      </c>
      <c r="F247" s="11" t="str">
        <f t="array" ref="F247">IF(A247:A498="","",_xlfn.XLOOKUP(A247:A498,'参照_拠点'!A:A,'参照_拠点'!B:B,"見つかりません"))</f>
      </c>
      <c r="G247" s="12" t="str">
        <f t="array" ref="G247">IF(K247:K498="","",_xlfn.XLOOKUP(K247:K498,'参照_武将'!A:A,'参照_武将'!B:B,"見つかりません"))</f>
      </c>
      <c r="H247" s="14" t="str">
        <f t="array" ref="H247">IF(I247:I498="","",_xlfn.XLOOKUP(I247:I498,'参照_勢力'!A:A,'参照_勢力'!B:B,"見つかりません"))</f>
      </c>
      <c r="I247" s="15">
        <v>26</v>
      </c>
      <c r="J247" s="4">
        <v>1</v>
      </c>
      <c r="K247" s="10">
        <v>1026026</v>
      </c>
      <c r="L247" s="18">
        <f>300 + ROUND((((P247/15)+(Y247/10))*(SQRT(AA247)/100+1)+O247)/((COUNTIF(I:I, I247)/30)+1), 0)</f>
        <v>1564</v>
      </c>
      <c r="M247" s="4">
        <v>60</v>
      </c>
      <c r="N247" s="10">
        <v>60</v>
      </c>
      <c r="O247" s="18">
        <f>ROUND(500+((AA247*0.01)+(Z247/3)+(V247/10))*6,0)</f>
        <v>1028</v>
      </c>
      <c r="P247" s="19">
        <f>ROUND((T247 * 2.5) * SQRT(Z247)
,0) + (O247 * 2)</f>
        <v>4133</v>
      </c>
      <c r="Q247" s="19">
        <v>1000</v>
      </c>
      <c r="R247" s="18">
        <f>ROUNDDOWN(L247*0.25, -1)</f>
        <v>390</v>
      </c>
      <c r="S247" s="19">
        <f>ROUNDDOWN(L247*0.01, -1)</f>
        <v>10</v>
      </c>
      <c r="T247" s="15">
        <v>100</v>
      </c>
      <c r="U247" s="4">
        <v>800</v>
      </c>
      <c r="V247" s="4">
        <v>250</v>
      </c>
      <c r="W247" s="4">
        <v>750</v>
      </c>
      <c r="X247" s="4">
        <v>250</v>
      </c>
      <c r="Y247" s="10">
        <v>500</v>
      </c>
      <c r="Z247" s="15">
        <v>69</v>
      </c>
      <c r="AA247" s="4">
        <v>4000</v>
      </c>
      <c r="AB247" s="4"/>
    </row>
    <row r="248" ht="15.75" customHeight="1">
      <c r="A248" s="4">
        <v>185</v>
      </c>
      <c r="B248" s="8">
        <v>247.0</v>
      </c>
      <c r="C248" s="9" t="b">
        <v>1</v>
      </c>
      <c r="D248" s="4" t="inlineStr">
        <is>
          <t>赤尾木城</t>
        </is>
      </c>
      <c r="E248" s="10" t="inlineStr">
        <is>
          <t>あかおぎじょう</t>
        </is>
      </c>
      <c r="F248" s="11" t="str">
        <f t="array" ref="F248">IF(A248:A499="","",_xlfn.XLOOKUP(A248:A499,'参照_拠点'!A:A,'参照_拠点'!B:B,"見つかりません"))</f>
      </c>
      <c r="G248" s="12" t="str">
        <f t="array" ref="G248">IF(K248:K499="","",_xlfn.XLOOKUP(K248:K499,'参照_武将'!A:A,'参照_武将'!B:B,"見つかりません"))</f>
      </c>
      <c r="H248" s="14" t="str">
        <f t="array" ref="H248">IF(I248:I499="","",_xlfn.XLOOKUP(I248:I499,'参照_勢力'!A:A,'参照_勢力'!B:B,"見つかりません"))</f>
      </c>
      <c r="I248" s="15">
        <v>26</v>
      </c>
      <c r="J248" s="4">
        <v>4</v>
      </c>
      <c r="K248" s="10">
        <v>1026064</v>
      </c>
      <c r="L248" s="16">
        <f>300 + ROUND((((P248/15)+(Y248/10))*(SQRT(AA248)/100+1)+O248)/((COUNTIF(I:I, I248)/30)+1), 0)</f>
        <v>1246</v>
      </c>
      <c r="M248" s="4">
        <v>50</v>
      </c>
      <c r="N248" s="10">
        <v>50</v>
      </c>
      <c r="O248" s="16">
        <f>ROUND(500+((AA248*0.01)+(Z248/3)+(V248/10))*6,0)</f>
        <v>796</v>
      </c>
      <c r="P248" s="17">
        <f>ROUND((T248 * 2.5) * SQRT(Z248)
,0) + (O248 * 2)</f>
        <v>2544</v>
      </c>
      <c r="Q248" s="17">
        <v>1000</v>
      </c>
      <c r="R248" s="16">
        <f>ROUNDDOWN(L248*0.25, -1)</f>
        <v>310</v>
      </c>
      <c r="S248" s="17">
        <f>ROUNDDOWN(L248*0.5, -1)</f>
        <v>620</v>
      </c>
      <c r="T248" s="15">
        <v>50</v>
      </c>
      <c r="U248" s="4">
        <v>500</v>
      </c>
      <c r="V248" s="4">
        <v>0</v>
      </c>
      <c r="W248" s="4">
        <v>200</v>
      </c>
      <c r="X248" s="4">
        <v>350</v>
      </c>
      <c r="Y248" s="10">
        <v>700</v>
      </c>
      <c r="Z248" s="15">
        <v>58</v>
      </c>
      <c r="AA248" s="4">
        <v>3000</v>
      </c>
      <c r="AB248" s="4"/>
    </row>
    <row r="249" ht="15.75" customHeight="1">
      <c r="A249" s="4">
        <v>171</v>
      </c>
      <c r="B249" s="8">
        <v>248.0</v>
      </c>
      <c r="C249" s="9" t="b">
        <v>1</v>
      </c>
      <c r="D249" s="4" t="inlineStr">
        <is>
          <t>加治木城</t>
        </is>
      </c>
      <c r="E249" s="10" t="inlineStr">
        <is>
          <t>かじきじょう</t>
        </is>
      </c>
      <c r="F249" s="11" t="str">
        <f t="array" ref="F249">IF(A249:A500="","",_xlfn.XLOOKUP(A249:A500,'参照_拠点'!A:A,'参照_拠点'!B:B,"見つかりません"))</f>
      </c>
      <c r="G249" s="12" t="str">
        <f t="array" ref="G249">IF(K249:K500="","",_xlfn.XLOOKUP(K249:K500,'参照_武将'!A:A,'参照_武将'!B:B,"見つかりません"))</f>
      </c>
      <c r="H249" s="14" t="str">
        <f t="array" ref="H249">IF(I249:I500="","",_xlfn.XLOOKUP(I249:I500,'参照_勢力'!A:A,'参照_勢力'!B:B,"見つかりません"))</f>
      </c>
      <c r="I249" s="15">
        <v>26</v>
      </c>
      <c r="J249" s="4">
        <v>0</v>
      </c>
      <c r="K249" s="10">
        <v>1026015</v>
      </c>
      <c r="L249" s="18">
        <f>300 + ROUND((((P249/15)+(Y249/10))*(SQRT(AA249)/100+1)+O249)/((COUNTIF(I:I, I249)/30)+1), 0)</f>
        <v>1504</v>
      </c>
      <c r="M249" s="4">
        <v>60</v>
      </c>
      <c r="N249" s="10">
        <v>60</v>
      </c>
      <c r="O249" s="18">
        <f>ROUND(500+((AA249*0.01)+(Z249/3)+(V249/10))*6,0)</f>
        <v>920</v>
      </c>
      <c r="P249" s="19">
        <f>ROUND((T249 * 2.5) * SQRT(Z249)
,0) + (O249 * 2)</f>
        <v>3970</v>
      </c>
      <c r="Q249" s="19">
        <v>1000</v>
      </c>
      <c r="R249" s="18">
        <f>ROUNDDOWN(L249*0.25, -1)</f>
        <v>370</v>
      </c>
      <c r="S249" s="19">
        <f>ROUNDDOWN(L249*0.005, -1)</f>
        <v>0</v>
      </c>
      <c r="T249" s="15">
        <v>110</v>
      </c>
      <c r="U249" s="4">
        <v>900</v>
      </c>
      <c r="V249" s="4">
        <v>200</v>
      </c>
      <c r="W249" s="4">
        <v>750</v>
      </c>
      <c r="X249" s="4">
        <v>500</v>
      </c>
      <c r="Y249" s="10">
        <v>1000</v>
      </c>
      <c r="Z249" s="15">
        <v>60</v>
      </c>
      <c r="AA249" s="4">
        <v>3000</v>
      </c>
      <c r="AB249" s="4"/>
    </row>
    <row r="250" ht="15.75" customHeight="1">
      <c r="A250" s="4">
        <v>173</v>
      </c>
      <c r="B250" s="8">
        <v>249.0</v>
      </c>
      <c r="C250" s="9" t="b">
        <v>1</v>
      </c>
      <c r="D250" s="4" t="inlineStr">
        <is>
          <t>高山城</t>
        </is>
      </c>
      <c r="E250" s="10" t="inlineStr">
        <is>
          <t>こうやまじょう</t>
        </is>
      </c>
      <c r="F250" s="11" t="str">
        <f t="array" ref="F250">IF(A250:A501="","",_xlfn.XLOOKUP(A250:A501,'参照_拠点'!A:A,'参照_拠点'!B:B,"見つかりません"))</f>
      </c>
      <c r="G250" s="12" t="str">
        <f t="array" ref="G250">IF(K250:K501="","",_xlfn.XLOOKUP(K250:K501,'参照_武将'!A:A,'参照_武将'!B:B,"見つかりません"))</f>
      </c>
      <c r="H250" s="14" t="str">
        <f t="array" ref="H250">IF(I250:I501="","",_xlfn.XLOOKUP(I250:I501,'参照_勢力'!A:A,'参照_勢力'!B:B,"見つかりません"))</f>
      </c>
      <c r="I250" s="15">
        <v>61</v>
      </c>
      <c r="J250" s="4">
        <v>0</v>
      </c>
      <c r="K250" s="10">
        <v>1061006</v>
      </c>
      <c r="L250" s="16">
        <f>300 + ROUND((((P250/15)+(Y250/10))*(SQRT(AA250)/100+1)+O250)/((COUNTIF(I:I, I250)/30)+1), 0)</f>
        <v>2409</v>
      </c>
      <c r="M250" s="4">
        <v>50</v>
      </c>
      <c r="N250" s="10">
        <v>50</v>
      </c>
      <c r="O250" s="16">
        <f>ROUND(500+((AA250*0.01)+(Z250/3)+(V250/10))*6,0)+300</f>
        <v>1438</v>
      </c>
      <c r="P250" s="17">
        <f>ROUND((T250 * 2.5) * SQRT(Z250)
,0) + (O250 * 2)</f>
        <v>5276</v>
      </c>
      <c r="Q250" s="17">
        <v>1000</v>
      </c>
      <c r="R250" s="16">
        <f>ROUNDDOWN(L250*0.25, -1)</f>
        <v>600</v>
      </c>
      <c r="S250" s="17">
        <f>ROUNDDOWN(L250*0.005, -1)</f>
        <v>10</v>
      </c>
      <c r="T250" s="15">
        <v>120</v>
      </c>
      <c r="U250" s="4">
        <v>800</v>
      </c>
      <c r="V250" s="4">
        <v>150</v>
      </c>
      <c r="W250" s="4">
        <v>750</v>
      </c>
      <c r="X250" s="4">
        <v>450</v>
      </c>
      <c r="Y250" s="10">
        <v>900</v>
      </c>
      <c r="Z250" s="15">
        <v>64</v>
      </c>
      <c r="AA250" s="4">
        <v>7000</v>
      </c>
      <c r="AB250" s="4"/>
    </row>
    <row r="251" ht="15.75" customHeight="1">
      <c r="A251" s="4">
        <v>172</v>
      </c>
      <c r="B251" s="8">
        <v>250.0</v>
      </c>
      <c r="C251" s="9" t="b">
        <v>1</v>
      </c>
      <c r="D251" s="4" t="inlineStr">
        <is>
          <t>垂水城</t>
        </is>
      </c>
      <c r="E251" s="10" t="inlineStr">
        <is>
          <t>たるみずじょう</t>
        </is>
      </c>
      <c r="F251" s="11" t="str">
        <f t="array" ref="F251">IF(A251:A502="","",_xlfn.XLOOKUP(A251:A502,'参照_拠点'!A:A,'参照_拠点'!B:B,"見つかりません"))</f>
      </c>
      <c r="G251" s="12" t="str">
        <f t="array" ref="G251">IF(K251:K502="","",_xlfn.XLOOKUP(K251:K502,'参照_武将'!A:A,'参照_武将'!B:B,"見つかりません"))</f>
      </c>
      <c r="H251" s="14" t="str">
        <f t="array" ref="H251">IF(I251:I502="","",_xlfn.XLOOKUP(I251:I502,'参照_勢力'!A:A,'参照_勢力'!B:B,"見つかりません"))</f>
      </c>
      <c r="I251" s="15">
        <v>61</v>
      </c>
      <c r="J251" s="4">
        <v>0</v>
      </c>
      <c r="K251" s="10">
        <v>1061020</v>
      </c>
      <c r="L251" s="18">
        <f>300 + ROUND((((P251/15)+(Y251/10))*(SQRT(AA251)/100+1)+O251)/((COUNTIF(I:I, I251)/30)+1), 0)</f>
        <v>1978</v>
      </c>
      <c r="M251" s="4">
        <v>50</v>
      </c>
      <c r="N251" s="10">
        <v>50</v>
      </c>
      <c r="O251" s="18">
        <f>ROUND(500+((AA251*0.01)+(Z251/3)+(V251/10))*6,0)+300</f>
        <v>1220</v>
      </c>
      <c r="P251" s="19">
        <f>ROUND((T251 * 2.5) * SQRT(Z251)
,0) + (O251 * 2)</f>
        <v>4183</v>
      </c>
      <c r="Q251" s="19">
        <v>1000</v>
      </c>
      <c r="R251" s="18">
        <f>ROUNDDOWN(L251*0.25, -1)</f>
        <v>490</v>
      </c>
      <c r="S251" s="19">
        <f>ROUNDDOWN(L251*0.005, -1)</f>
        <v>0</v>
      </c>
      <c r="T251" s="15">
        <v>90</v>
      </c>
      <c r="U251" s="4">
        <v>700</v>
      </c>
      <c r="V251" s="4">
        <v>100</v>
      </c>
      <c r="W251" s="4">
        <v>400</v>
      </c>
      <c r="X251" s="4">
        <v>350</v>
      </c>
      <c r="Y251" s="10">
        <v>700</v>
      </c>
      <c r="Z251" s="15">
        <v>60</v>
      </c>
      <c r="AA251" s="4">
        <v>4000</v>
      </c>
      <c r="AB251" s="4"/>
    </row>
    <row r="252" ht="15.75" customHeight="1">
      <c r="A252" s="4">
        <v>184</v>
      </c>
      <c r="B252" s="8">
        <v>251.0</v>
      </c>
      <c r="C252" s="9" t="b">
        <v>1</v>
      </c>
      <c r="D252" s="4" t="inlineStr">
        <is>
          <t>亀丘城</t>
        </is>
      </c>
      <c r="E252" s="10" t="inlineStr">
        <is>
          <t>かめのおじょう</t>
        </is>
      </c>
      <c r="F252" s="11" t="str">
        <f t="array" ref="F252">IF(A252:A503="","",_xlfn.XLOOKUP(A252:A503,'参照_拠点'!A:A,'参照_拠点'!B:B,"見つかりません"))</f>
      </c>
      <c r="G252" s="12" t="str">
        <f t="array" ref="G252">IF(K252:K503="","",_xlfn.XLOOKUP(K252:K503,'参照_武将'!A:A,'参照_武将'!B:B,"見つかりません"))</f>
      </c>
      <c r="H252" s="14" t="str">
        <f t="array" ref="H252">IF(I252:I503="","",_xlfn.XLOOKUP(I252:I503,'参照_勢力'!A:A,'参照_勢力'!B:B,"見つかりません"))</f>
      </c>
      <c r="I252" s="15">
        <v>56</v>
      </c>
      <c r="J252" s="4">
        <v>2</v>
      </c>
      <c r="K252" s="10">
        <v>1057005</v>
      </c>
      <c r="L252" s="16">
        <f>300 + ROUND((((P252/15)+(Y252/10))*(SQRT(AA252)/100+1)+O252)/((COUNTIF(I:I, I252)/30)+1), 0)</f>
        <v>1470</v>
      </c>
      <c r="M252" s="4">
        <v>50</v>
      </c>
      <c r="N252" s="10">
        <v>50</v>
      </c>
      <c r="O252" s="16">
        <f>ROUND(500+((AA252*0.01)+(Z252/3)+(V252/10))*6,0)</f>
        <v>880</v>
      </c>
      <c r="P252" s="17">
        <f>ROUND((T252 * 2.5) * SQRT(Z252)
,0) + (O252 * 2)</f>
        <v>2687</v>
      </c>
      <c r="Q252" s="17">
        <v>1000</v>
      </c>
      <c r="R252" s="16">
        <f>ROUNDDOWN(L252*0.2, -1)</f>
        <v>290</v>
      </c>
      <c r="S252" s="17">
        <f>ROUNDDOWN(L252*0.005, -1)</f>
        <v>0</v>
      </c>
      <c r="T252" s="15">
        <v>50</v>
      </c>
      <c r="U252" s="4">
        <v>500</v>
      </c>
      <c r="V252" s="4">
        <v>50</v>
      </c>
      <c r="W252" s="4">
        <v>200</v>
      </c>
      <c r="X252" s="4">
        <v>350</v>
      </c>
      <c r="Y252" s="10">
        <v>700</v>
      </c>
      <c r="Z252" s="15">
        <v>55</v>
      </c>
      <c r="AA252" s="4">
        <v>4000</v>
      </c>
      <c r="AB252" s="4"/>
    </row>
    <row r="253" ht="15.75" customHeight="1">
      <c r="A253" s="4">
        <v>174</v>
      </c>
      <c r="B253" s="8">
        <v>252.0</v>
      </c>
      <c r="C253" s="9" t="b">
        <v>1</v>
      </c>
      <c r="D253" s="4" t="inlineStr">
        <is>
          <t>厳原城</t>
        </is>
      </c>
      <c r="E253" s="10" t="inlineStr">
        <is>
          <t>いずはらじょう</t>
        </is>
      </c>
      <c r="F253" s="11" t="str">
        <f t="array" ref="F253">IF(A253:A504="","",_xlfn.XLOOKUP(A253:A504,'参照_拠点'!A:A,'参照_拠点'!B:B,"見つかりません"))</f>
      </c>
      <c r="G253" s="12" t="str">
        <f t="array" ref="G253">IF(K253:K504="","",_xlfn.XLOOKUP(K253:K504,'参照_武将'!A:A,'参照_武将'!B:B,"見つかりません"))</f>
      </c>
      <c r="H253" s="14" t="str">
        <f t="array" ref="H253">IF(I253:I504="","",_xlfn.XLOOKUP(I253:I504,'参照_勢力'!A:A,'参照_勢力'!B:B,"見つかりません"))</f>
      </c>
      <c r="I253" s="15">
        <v>62</v>
      </c>
      <c r="J253" s="4">
        <v>0</v>
      </c>
      <c r="K253" s="10">
        <v>1062018</v>
      </c>
      <c r="L253" s="18">
        <f>300 + ROUND((((P253/15)+(Y253/10))*(SQRT(AA253)/100+1)+O253)/((COUNTIF(I:I, I253)/30)+1), 0)</f>
        <v>2299</v>
      </c>
      <c r="M253" s="4">
        <v>50</v>
      </c>
      <c r="N253" s="10">
        <v>50</v>
      </c>
      <c r="O253" s="18">
        <f>ROUND(500+((AA253*0.01)+(Z253/3)+(V253/10))*6,0)+500</f>
        <v>1434</v>
      </c>
      <c r="P253" s="19">
        <f>ROUND((T253 * 2.5) * SQRT(Z253)
,0) + (O253 * 2)</f>
        <v>4300</v>
      </c>
      <c r="Q253" s="19">
        <v>1000</v>
      </c>
      <c r="R253" s="18">
        <f>ROUNDDOWN(L253*0.1, -1)</f>
        <v>220</v>
      </c>
      <c r="S253" s="19">
        <f>ROUNDDOWN(L253*0.005, -1)</f>
        <v>10</v>
      </c>
      <c r="T253" s="15">
        <v>70</v>
      </c>
      <c r="U253" s="4">
        <v>600</v>
      </c>
      <c r="V253" s="4">
        <v>100</v>
      </c>
      <c r="W253" s="4">
        <v>600</v>
      </c>
      <c r="X253" s="4">
        <v>500</v>
      </c>
      <c r="Y253" s="10">
        <v>1000</v>
      </c>
      <c r="Z253" s="15">
        <v>67</v>
      </c>
      <c r="AA253" s="4">
        <v>4000</v>
      </c>
      <c r="AB253" s="4"/>
    </row>
    <row r="254" ht="15.75" customHeight="1">
      <c r="F254" s="27"/>
      <c r="I254" s="27"/>
      <c r="L254" s="27"/>
      <c r="O254" s="27"/>
      <c r="R254" s="27"/>
      <c r="T254" s="27"/>
      <c r="Z254" s="27"/>
    </row>
    <row r="255" ht="15.75" customHeight="1">
      <c r="F255" s="27"/>
      <c r="I255" s="27"/>
      <c r="L255" s="27"/>
      <c r="O255" s="27"/>
      <c r="R255" s="27"/>
      <c r="T255" s="27"/>
      <c r="Z255" s="27"/>
    </row>
    <row r="256" ht="15.75" customHeight="1">
      <c r="F256" s="27"/>
      <c r="I256" s="27"/>
      <c r="L256" s="27"/>
      <c r="O256" s="27"/>
      <c r="R256" s="27"/>
      <c r="T256" s="27"/>
      <c r="Z256" s="27"/>
    </row>
    <row r="257" ht="15.75" customHeight="1">
      <c r="F257" s="27"/>
      <c r="I257" s="27"/>
      <c r="L257" s="27"/>
      <c r="O257" s="27"/>
      <c r="R257" s="27"/>
      <c r="T257" s="27"/>
      <c r="Z257" s="27"/>
    </row>
    <row r="258" ht="15.75" customHeight="1">
      <c r="F258" s="27"/>
      <c r="I258" s="27"/>
      <c r="L258" s="27"/>
      <c r="O258" s="27"/>
      <c r="R258" s="27"/>
      <c r="T258" s="27"/>
      <c r="Z258" s="27"/>
    </row>
    <row r="259" ht="15.75" customHeight="1">
      <c r="F259" s="27"/>
      <c r="I259" s="27"/>
      <c r="L259" s="27"/>
      <c r="O259" s="27"/>
      <c r="R259" s="27"/>
      <c r="T259" s="27"/>
      <c r="Z259" s="27"/>
    </row>
    <row r="260" ht="15.75" customHeight="1">
      <c r="F260" s="27"/>
      <c r="I260" s="27"/>
      <c r="L260" s="27"/>
      <c r="O260" s="27"/>
      <c r="R260" s="27"/>
      <c r="T260" s="27"/>
      <c r="Z260" s="27"/>
    </row>
    <row r="261" ht="15.75" customHeight="1">
      <c r="F261" s="27"/>
      <c r="I261" s="27"/>
      <c r="L261" s="27"/>
      <c r="O261" s="27"/>
      <c r="R261" s="27"/>
      <c r="T261" s="27"/>
      <c r="Z261" s="27"/>
    </row>
    <row r="262" ht="15.75" customHeight="1">
      <c r="F262" s="27"/>
      <c r="I262" s="27"/>
      <c r="L262" s="27"/>
      <c r="O262" s="27"/>
      <c r="R262" s="27"/>
      <c r="T262" s="27"/>
      <c r="Z262" s="27"/>
    </row>
    <row r="263" ht="15.75" customHeight="1">
      <c r="F263" s="27"/>
      <c r="I263" s="27"/>
      <c r="L263" s="27"/>
      <c r="O263" s="27"/>
      <c r="R263" s="27"/>
      <c r="T263" s="27"/>
      <c r="Z263" s="27"/>
    </row>
    <row r="264" ht="15.75" customHeight="1">
      <c r="F264" s="27"/>
      <c r="I264" s="27"/>
      <c r="L264" s="27"/>
      <c r="O264" s="27"/>
      <c r="R264" s="27"/>
      <c r="T264" s="27"/>
      <c r="Z264" s="27"/>
    </row>
    <row r="265" ht="15.75" customHeight="1">
      <c r="F265" s="27"/>
      <c r="I265" s="27"/>
      <c r="L265" s="27"/>
      <c r="O265" s="27"/>
      <c r="R265" s="27"/>
      <c r="T265" s="27"/>
      <c r="Z265" s="27"/>
    </row>
    <row r="266" ht="15.75" customHeight="1">
      <c r="F266" s="27"/>
      <c r="I266" s="27"/>
      <c r="L266" s="27"/>
      <c r="O266" s="27"/>
      <c r="R266" s="27"/>
      <c r="T266" s="27"/>
      <c r="Z266" s="27"/>
    </row>
    <row r="267" ht="15.75" customHeight="1">
      <c r="F267" s="27"/>
      <c r="I267" s="27"/>
      <c r="L267" s="27"/>
      <c r="O267" s="27"/>
      <c r="R267" s="27"/>
      <c r="T267" s="27"/>
      <c r="Z267" s="27"/>
    </row>
    <row r="268" ht="15.75" customHeight="1">
      <c r="F268" s="27"/>
      <c r="I268" s="27"/>
      <c r="L268" s="27"/>
      <c r="O268" s="27"/>
      <c r="R268" s="27"/>
      <c r="T268" s="27"/>
      <c r="Z268" s="27"/>
    </row>
    <row r="269" ht="15.75" customHeight="1">
      <c r="F269" s="27"/>
      <c r="I269" s="27"/>
      <c r="L269" s="27"/>
      <c r="O269" s="27"/>
      <c r="R269" s="27"/>
      <c r="T269" s="27"/>
      <c r="Z269" s="27"/>
    </row>
    <row r="270" ht="15.75" customHeight="1">
      <c r="F270" s="27"/>
      <c r="I270" s="27"/>
      <c r="L270" s="27"/>
      <c r="O270" s="27"/>
      <c r="R270" s="27"/>
      <c r="T270" s="27"/>
      <c r="Z270" s="27"/>
    </row>
    <row r="271" ht="15.75" customHeight="1">
      <c r="F271" s="27"/>
      <c r="I271" s="27"/>
      <c r="L271" s="27"/>
      <c r="O271" s="27"/>
      <c r="R271" s="27"/>
      <c r="T271" s="27"/>
      <c r="Z271" s="27"/>
    </row>
    <row r="272" ht="15.75" customHeight="1">
      <c r="F272" s="27"/>
      <c r="I272" s="27"/>
      <c r="L272" s="27"/>
      <c r="O272" s="27"/>
      <c r="R272" s="27"/>
      <c r="T272" s="27"/>
      <c r="Z272" s="27"/>
    </row>
    <row r="273" ht="15.75" customHeight="1">
      <c r="F273" s="27"/>
      <c r="I273" s="27"/>
      <c r="L273" s="27"/>
      <c r="O273" s="27"/>
      <c r="R273" s="27"/>
      <c r="T273" s="27"/>
      <c r="Z273" s="27"/>
    </row>
    <row r="274" ht="15.75" customHeight="1">
      <c r="F274" s="27"/>
      <c r="I274" s="27"/>
      <c r="L274" s="27"/>
      <c r="O274" s="27"/>
      <c r="R274" s="27"/>
      <c r="T274" s="27"/>
      <c r="Z274" s="27"/>
    </row>
    <row r="275" ht="15.75" customHeight="1">
      <c r="F275" s="27"/>
      <c r="I275" s="27"/>
      <c r="L275" s="27"/>
      <c r="O275" s="27"/>
      <c r="R275" s="27"/>
      <c r="T275" s="27"/>
      <c r="Z275" s="27"/>
    </row>
    <row r="276" ht="15.75" customHeight="1">
      <c r="F276" s="27"/>
      <c r="I276" s="27"/>
      <c r="L276" s="27"/>
      <c r="O276" s="27"/>
      <c r="R276" s="27"/>
      <c r="T276" s="27"/>
      <c r="Z276" s="27"/>
    </row>
    <row r="277" ht="15.75" customHeight="1">
      <c r="F277" s="27"/>
      <c r="I277" s="27"/>
      <c r="L277" s="27"/>
      <c r="O277" s="27"/>
      <c r="R277" s="27"/>
      <c r="T277" s="27"/>
      <c r="Z277" s="27"/>
    </row>
    <row r="278" ht="15.75" customHeight="1">
      <c r="F278" s="27"/>
      <c r="I278" s="27"/>
      <c r="L278" s="27"/>
      <c r="O278" s="27"/>
      <c r="R278" s="27"/>
      <c r="T278" s="27"/>
      <c r="Z278" s="27"/>
    </row>
    <row r="279" ht="15.75" customHeight="1">
      <c r="F279" s="27"/>
      <c r="I279" s="27"/>
      <c r="L279" s="27"/>
      <c r="O279" s="27"/>
      <c r="R279" s="27"/>
      <c r="T279" s="27"/>
      <c r="Z279" s="27"/>
    </row>
    <row r="280" ht="15.75" customHeight="1">
      <c r="F280" s="27"/>
      <c r="I280" s="27"/>
      <c r="L280" s="27"/>
      <c r="O280" s="27"/>
      <c r="R280" s="27"/>
      <c r="T280" s="27"/>
      <c r="Z280" s="27"/>
    </row>
    <row r="281" ht="15.75" customHeight="1">
      <c r="F281" s="27"/>
      <c r="I281" s="27"/>
      <c r="L281" s="27"/>
      <c r="O281" s="27"/>
      <c r="R281" s="27"/>
      <c r="T281" s="27"/>
      <c r="Z281" s="27"/>
    </row>
    <row r="282" ht="15.75" customHeight="1">
      <c r="F282" s="27"/>
      <c r="I282" s="27"/>
      <c r="L282" s="27"/>
      <c r="O282" s="27"/>
      <c r="R282" s="27"/>
      <c r="T282" s="27"/>
      <c r="Z282" s="27"/>
    </row>
    <row r="283" ht="15.75" customHeight="1">
      <c r="F283" s="27"/>
      <c r="I283" s="27"/>
      <c r="L283" s="27"/>
      <c r="O283" s="27"/>
      <c r="R283" s="27"/>
      <c r="T283" s="27"/>
      <c r="Z283" s="27"/>
    </row>
    <row r="284" ht="15.75" customHeight="1">
      <c r="F284" s="27"/>
      <c r="I284" s="27"/>
      <c r="L284" s="27"/>
      <c r="O284" s="27"/>
      <c r="R284" s="27"/>
      <c r="T284" s="27"/>
      <c r="Z284" s="27"/>
    </row>
    <row r="285" ht="15.75" customHeight="1">
      <c r="F285" s="27"/>
      <c r="I285" s="27"/>
      <c r="L285" s="27"/>
      <c r="O285" s="27"/>
      <c r="R285" s="27"/>
      <c r="T285" s="27"/>
      <c r="Z285" s="27"/>
    </row>
    <row r="286" ht="15.75" customHeight="1">
      <c r="F286" s="27"/>
      <c r="I286" s="27"/>
      <c r="L286" s="27"/>
      <c r="O286" s="27"/>
      <c r="R286" s="27"/>
      <c r="T286" s="27"/>
      <c r="Z286" s="27"/>
    </row>
    <row r="287" ht="15.75" customHeight="1">
      <c r="F287" s="27"/>
      <c r="I287" s="27"/>
      <c r="L287" s="27"/>
      <c r="O287" s="27"/>
      <c r="R287" s="27"/>
      <c r="T287" s="27"/>
      <c r="Z287" s="27"/>
    </row>
    <row r="288" ht="15.75" customHeight="1">
      <c r="F288" s="27"/>
      <c r="I288" s="27"/>
      <c r="L288" s="27"/>
      <c r="O288" s="27"/>
      <c r="R288" s="27"/>
      <c r="T288" s="27"/>
      <c r="Z288" s="27"/>
    </row>
    <row r="289" ht="15.75" customHeight="1">
      <c r="F289" s="27"/>
      <c r="I289" s="27"/>
      <c r="L289" s="27"/>
      <c r="O289" s="27"/>
      <c r="R289" s="27"/>
      <c r="T289" s="27"/>
      <c r="Z289" s="27"/>
    </row>
    <row r="290" ht="15.75" customHeight="1">
      <c r="F290" s="27"/>
      <c r="I290" s="27"/>
      <c r="L290" s="27"/>
      <c r="O290" s="27"/>
      <c r="R290" s="27"/>
      <c r="T290" s="27"/>
      <c r="Z290" s="27"/>
    </row>
    <row r="291" ht="15.75" customHeight="1">
      <c r="F291" s="27"/>
      <c r="I291" s="27"/>
      <c r="L291" s="27"/>
      <c r="O291" s="27"/>
      <c r="R291" s="27"/>
      <c r="T291" s="27"/>
      <c r="Z291" s="27"/>
    </row>
    <row r="292" ht="15.75" customHeight="1">
      <c r="F292" s="27"/>
      <c r="I292" s="27"/>
      <c r="L292" s="27"/>
      <c r="O292" s="27"/>
      <c r="R292" s="27"/>
      <c r="T292" s="27"/>
      <c r="Z292" s="27"/>
    </row>
    <row r="293" ht="15.75" customHeight="1">
      <c r="F293" s="27"/>
      <c r="I293" s="27"/>
      <c r="L293" s="27"/>
      <c r="O293" s="27"/>
      <c r="R293" s="27"/>
      <c r="T293" s="27"/>
      <c r="Z293" s="27"/>
    </row>
    <row r="294" ht="15.75" customHeight="1">
      <c r="F294" s="27"/>
      <c r="I294" s="27"/>
      <c r="L294" s="27"/>
      <c r="O294" s="27"/>
      <c r="R294" s="27"/>
      <c r="T294" s="27"/>
      <c r="Z294" s="27"/>
    </row>
    <row r="295" ht="15.75" customHeight="1">
      <c r="F295" s="27"/>
      <c r="I295" s="27"/>
      <c r="L295" s="27"/>
      <c r="O295" s="27"/>
      <c r="R295" s="27"/>
      <c r="T295" s="27"/>
      <c r="Z295" s="27"/>
    </row>
    <row r="296" ht="15.75" customHeight="1">
      <c r="F296" s="27"/>
      <c r="I296" s="27"/>
      <c r="L296" s="27"/>
      <c r="O296" s="27"/>
      <c r="R296" s="27"/>
      <c r="T296" s="27"/>
      <c r="Z296" s="27"/>
    </row>
    <row r="297" ht="15.75" customHeight="1">
      <c r="F297" s="27"/>
      <c r="I297" s="27"/>
      <c r="L297" s="27"/>
      <c r="O297" s="27"/>
      <c r="R297" s="27"/>
      <c r="T297" s="27"/>
      <c r="Z297" s="27"/>
    </row>
    <row r="298" ht="15.75" customHeight="1">
      <c r="F298" s="27"/>
      <c r="I298" s="27"/>
      <c r="L298" s="27"/>
      <c r="O298" s="27"/>
      <c r="R298" s="27"/>
      <c r="T298" s="27"/>
      <c r="Z298" s="27"/>
    </row>
    <row r="299" ht="15.75" customHeight="1">
      <c r="F299" s="27"/>
      <c r="I299" s="27"/>
      <c r="L299" s="27"/>
      <c r="O299" s="27"/>
      <c r="R299" s="27"/>
      <c r="T299" s="27"/>
      <c r="Z299" s="27"/>
    </row>
    <row r="300" ht="15.75" customHeight="1">
      <c r="F300" s="27"/>
      <c r="I300" s="27"/>
      <c r="L300" s="27"/>
      <c r="O300" s="27"/>
      <c r="R300" s="27"/>
      <c r="T300" s="27"/>
      <c r="Z300" s="27"/>
    </row>
    <row r="301" ht="15.75" customHeight="1">
      <c r="F301" s="27"/>
      <c r="I301" s="27"/>
      <c r="L301" s="27"/>
      <c r="O301" s="27"/>
      <c r="R301" s="27"/>
      <c r="T301" s="27"/>
      <c r="Z301" s="27"/>
    </row>
    <row r="302" ht="15.75" customHeight="1">
      <c r="F302" s="27"/>
      <c r="I302" s="27"/>
      <c r="L302" s="27"/>
      <c r="O302" s="27"/>
      <c r="R302" s="27"/>
      <c r="T302" s="27"/>
      <c r="Z302" s="27"/>
    </row>
    <row r="303" ht="15.75" customHeight="1">
      <c r="F303" s="27"/>
      <c r="I303" s="27"/>
      <c r="L303" s="27"/>
      <c r="O303" s="27"/>
      <c r="R303" s="27"/>
      <c r="T303" s="27"/>
      <c r="Z303" s="27"/>
    </row>
    <row r="304" ht="15.75" customHeight="1">
      <c r="F304" s="27"/>
      <c r="I304" s="27"/>
      <c r="L304" s="27"/>
      <c r="O304" s="27"/>
      <c r="R304" s="27"/>
      <c r="T304" s="27"/>
      <c r="Z304" s="27"/>
    </row>
    <row r="305" ht="15.75" customHeight="1">
      <c r="F305" s="27"/>
      <c r="I305" s="27"/>
      <c r="L305" s="27"/>
      <c r="O305" s="27"/>
      <c r="R305" s="27"/>
      <c r="T305" s="27"/>
      <c r="Z305" s="27"/>
    </row>
    <row r="306" ht="15.75" customHeight="1">
      <c r="F306" s="27"/>
      <c r="I306" s="27"/>
      <c r="L306" s="27"/>
      <c r="O306" s="27"/>
      <c r="R306" s="27"/>
      <c r="T306" s="27"/>
      <c r="Z306" s="27"/>
    </row>
    <row r="307" ht="15.75" customHeight="1">
      <c r="F307" s="27"/>
      <c r="I307" s="27"/>
      <c r="L307" s="27"/>
      <c r="O307" s="27"/>
      <c r="R307" s="27"/>
      <c r="T307" s="27"/>
      <c r="Z307" s="27"/>
    </row>
    <row r="308" ht="15.75" customHeight="1">
      <c r="F308" s="27"/>
      <c r="I308" s="27"/>
      <c r="L308" s="27"/>
      <c r="O308" s="27"/>
      <c r="R308" s="27"/>
      <c r="T308" s="27"/>
      <c r="Z308" s="27"/>
    </row>
    <row r="309" ht="15.75" customHeight="1">
      <c r="F309" s="27"/>
      <c r="I309" s="27"/>
      <c r="L309" s="27"/>
      <c r="O309" s="27"/>
      <c r="R309" s="27"/>
      <c r="T309" s="27"/>
      <c r="Z309" s="27"/>
    </row>
    <row r="310" ht="15.75" customHeight="1">
      <c r="F310" s="27"/>
      <c r="I310" s="27"/>
      <c r="L310" s="27"/>
      <c r="O310" s="27"/>
      <c r="R310" s="27"/>
      <c r="T310" s="27"/>
      <c r="Z310" s="27"/>
    </row>
    <row r="311" ht="15.75" customHeight="1">
      <c r="F311" s="27"/>
      <c r="I311" s="27"/>
      <c r="L311" s="27"/>
      <c r="O311" s="27"/>
      <c r="R311" s="27"/>
      <c r="T311" s="27"/>
      <c r="Z311" s="27"/>
    </row>
    <row r="312" ht="15.75" customHeight="1">
      <c r="F312" s="27"/>
      <c r="I312" s="27"/>
      <c r="L312" s="27"/>
      <c r="O312" s="27"/>
      <c r="R312" s="27"/>
      <c r="T312" s="27"/>
      <c r="Z312" s="27"/>
    </row>
    <row r="313" ht="15.75" customHeight="1">
      <c r="F313" s="27"/>
      <c r="I313" s="27"/>
      <c r="L313" s="27"/>
      <c r="O313" s="27"/>
      <c r="R313" s="27"/>
      <c r="T313" s="27"/>
      <c r="Z313" s="27"/>
    </row>
    <row r="314" ht="15.75" customHeight="1">
      <c r="F314" s="27"/>
      <c r="I314" s="27"/>
      <c r="L314" s="27"/>
      <c r="O314" s="27"/>
      <c r="R314" s="27"/>
      <c r="T314" s="27"/>
      <c r="Z314" s="27"/>
    </row>
    <row r="315" ht="15.75" customHeight="1">
      <c r="F315" s="27"/>
      <c r="I315" s="27"/>
      <c r="L315" s="27"/>
      <c r="O315" s="27"/>
      <c r="R315" s="27"/>
      <c r="T315" s="27"/>
      <c r="Z315" s="27"/>
    </row>
    <row r="316" ht="15.75" customHeight="1">
      <c r="F316" s="27"/>
      <c r="I316" s="27"/>
      <c r="L316" s="27"/>
      <c r="O316" s="27"/>
      <c r="R316" s="27"/>
      <c r="T316" s="27"/>
      <c r="Z316" s="27"/>
    </row>
    <row r="317" ht="15.75" customHeight="1">
      <c r="F317" s="27"/>
      <c r="I317" s="27"/>
      <c r="L317" s="27"/>
      <c r="O317" s="27"/>
      <c r="R317" s="27"/>
      <c r="T317" s="27"/>
      <c r="Z317" s="27"/>
    </row>
    <row r="318" ht="15.75" customHeight="1">
      <c r="F318" s="27"/>
      <c r="I318" s="27"/>
      <c r="L318" s="27"/>
      <c r="O318" s="27"/>
      <c r="R318" s="27"/>
      <c r="T318" s="27"/>
      <c r="Z318" s="27"/>
    </row>
    <row r="319" ht="15.75" customHeight="1">
      <c r="F319" s="27"/>
      <c r="I319" s="27"/>
      <c r="L319" s="27"/>
      <c r="O319" s="27"/>
      <c r="R319" s="27"/>
      <c r="T319" s="27"/>
      <c r="Z319" s="27"/>
    </row>
    <row r="320" ht="15.75" customHeight="1">
      <c r="F320" s="27"/>
      <c r="I320" s="27"/>
      <c r="L320" s="27"/>
      <c r="O320" s="27"/>
      <c r="R320" s="27"/>
      <c r="T320" s="27"/>
      <c r="Z320" s="27"/>
    </row>
    <row r="321" ht="15.75" customHeight="1">
      <c r="F321" s="27"/>
      <c r="I321" s="27"/>
      <c r="L321" s="27"/>
      <c r="O321" s="27"/>
      <c r="R321" s="27"/>
      <c r="T321" s="27"/>
      <c r="Z321" s="27"/>
    </row>
    <row r="322" ht="15.75" customHeight="1">
      <c r="F322" s="27"/>
      <c r="I322" s="27"/>
      <c r="L322" s="27"/>
      <c r="O322" s="27"/>
      <c r="R322" s="27"/>
      <c r="T322" s="27"/>
      <c r="Z322" s="27"/>
    </row>
    <row r="323" ht="15.75" customHeight="1">
      <c r="F323" s="27"/>
      <c r="I323" s="27"/>
      <c r="L323" s="27"/>
      <c r="O323" s="27"/>
      <c r="R323" s="27"/>
      <c r="T323" s="27"/>
      <c r="Z323" s="27"/>
    </row>
    <row r="324" ht="15.75" customHeight="1">
      <c r="F324" s="27"/>
      <c r="I324" s="27"/>
      <c r="L324" s="27"/>
      <c r="O324" s="27"/>
      <c r="R324" s="27"/>
      <c r="T324" s="27"/>
      <c r="Z324" s="27"/>
    </row>
    <row r="325" ht="15.75" customHeight="1">
      <c r="F325" s="27"/>
      <c r="I325" s="27"/>
      <c r="L325" s="27"/>
      <c r="O325" s="27"/>
      <c r="R325" s="27"/>
      <c r="T325" s="27"/>
      <c r="Z325" s="27"/>
    </row>
    <row r="326" ht="15.75" customHeight="1">
      <c r="F326" s="27"/>
      <c r="I326" s="27"/>
      <c r="L326" s="27"/>
      <c r="O326" s="27"/>
      <c r="R326" s="27"/>
      <c r="T326" s="27"/>
      <c r="Z326" s="27"/>
    </row>
    <row r="327" ht="15.75" customHeight="1">
      <c r="F327" s="27"/>
      <c r="I327" s="27"/>
      <c r="L327" s="27"/>
      <c r="O327" s="27"/>
      <c r="R327" s="27"/>
      <c r="T327" s="27"/>
      <c r="Z327" s="27"/>
    </row>
    <row r="328" ht="15.75" customHeight="1">
      <c r="F328" s="27"/>
      <c r="I328" s="27"/>
      <c r="L328" s="27"/>
      <c r="O328" s="27"/>
      <c r="R328" s="27"/>
      <c r="T328" s="27"/>
      <c r="Z328" s="27"/>
    </row>
    <row r="329" ht="15.75" customHeight="1">
      <c r="F329" s="27"/>
      <c r="I329" s="27"/>
      <c r="L329" s="27"/>
      <c r="O329" s="27"/>
      <c r="R329" s="27"/>
      <c r="T329" s="27"/>
      <c r="Z329" s="27"/>
    </row>
    <row r="330" ht="15.75" customHeight="1">
      <c r="F330" s="27"/>
      <c r="I330" s="27"/>
      <c r="L330" s="27"/>
      <c r="O330" s="27"/>
      <c r="R330" s="27"/>
      <c r="T330" s="27"/>
      <c r="Z330" s="27"/>
    </row>
    <row r="331" ht="15.75" customHeight="1">
      <c r="F331" s="27"/>
      <c r="I331" s="27"/>
      <c r="L331" s="27"/>
      <c r="O331" s="27"/>
      <c r="R331" s="27"/>
      <c r="T331" s="27"/>
      <c r="Z331" s="27"/>
    </row>
    <row r="332" ht="15.75" customHeight="1">
      <c r="F332" s="27"/>
      <c r="I332" s="27"/>
      <c r="L332" s="27"/>
      <c r="O332" s="27"/>
      <c r="R332" s="27"/>
      <c r="T332" s="27"/>
      <c r="Z332" s="27"/>
    </row>
    <row r="333" ht="15.75" customHeight="1">
      <c r="F333" s="27"/>
      <c r="I333" s="27"/>
      <c r="L333" s="27"/>
      <c r="O333" s="27"/>
      <c r="R333" s="27"/>
      <c r="T333" s="27"/>
      <c r="Z333" s="27"/>
    </row>
    <row r="334" ht="15.75" customHeight="1">
      <c r="F334" s="27"/>
      <c r="I334" s="27"/>
      <c r="L334" s="27"/>
      <c r="O334" s="27"/>
      <c r="R334" s="27"/>
      <c r="T334" s="27"/>
      <c r="Z334" s="27"/>
    </row>
    <row r="335" ht="15.75" customHeight="1">
      <c r="F335" s="27"/>
      <c r="I335" s="27"/>
      <c r="L335" s="27"/>
      <c r="O335" s="27"/>
      <c r="R335" s="27"/>
      <c r="T335" s="27"/>
      <c r="Z335" s="27"/>
    </row>
    <row r="336" ht="15.75" customHeight="1">
      <c r="F336" s="27"/>
      <c r="I336" s="27"/>
      <c r="L336" s="27"/>
      <c r="O336" s="27"/>
      <c r="R336" s="27"/>
      <c r="T336" s="27"/>
      <c r="Z336" s="27"/>
    </row>
    <row r="337" ht="15.75" customHeight="1">
      <c r="F337" s="27"/>
      <c r="I337" s="27"/>
      <c r="L337" s="27"/>
      <c r="O337" s="27"/>
      <c r="R337" s="27"/>
      <c r="T337" s="27"/>
      <c r="Z337" s="27"/>
    </row>
    <row r="338" ht="15.75" customHeight="1">
      <c r="F338" s="27"/>
      <c r="I338" s="27"/>
      <c r="L338" s="27"/>
      <c r="O338" s="27"/>
      <c r="R338" s="27"/>
      <c r="T338" s="27"/>
      <c r="Z338" s="27"/>
    </row>
    <row r="339" ht="15.75" customHeight="1">
      <c r="F339" s="27"/>
      <c r="I339" s="27"/>
      <c r="L339" s="27"/>
      <c r="O339" s="27"/>
      <c r="R339" s="27"/>
      <c r="T339" s="27"/>
      <c r="Z339" s="27"/>
    </row>
    <row r="340" ht="15.75" customHeight="1">
      <c r="F340" s="27"/>
      <c r="I340" s="27"/>
      <c r="L340" s="27"/>
      <c r="O340" s="27"/>
      <c r="R340" s="27"/>
      <c r="T340" s="27"/>
      <c r="Z340" s="27"/>
    </row>
    <row r="341" ht="15.75" customHeight="1">
      <c r="F341" s="27"/>
      <c r="I341" s="27"/>
      <c r="L341" s="27"/>
      <c r="O341" s="27"/>
      <c r="R341" s="27"/>
      <c r="T341" s="27"/>
      <c r="Z341" s="27"/>
    </row>
    <row r="342" ht="15.75" customHeight="1">
      <c r="F342" s="27"/>
      <c r="I342" s="27"/>
      <c r="L342" s="27"/>
      <c r="O342" s="27"/>
      <c r="R342" s="27"/>
      <c r="T342" s="27"/>
      <c r="Z342" s="27"/>
    </row>
    <row r="343" ht="15.75" customHeight="1">
      <c r="F343" s="27"/>
      <c r="I343" s="27"/>
      <c r="L343" s="27"/>
      <c r="O343" s="27"/>
      <c r="R343" s="27"/>
      <c r="T343" s="27"/>
      <c r="Z343" s="27"/>
    </row>
    <row r="344" ht="15.75" customHeight="1">
      <c r="F344" s="27"/>
      <c r="I344" s="27"/>
      <c r="L344" s="27"/>
      <c r="O344" s="27"/>
      <c r="R344" s="27"/>
      <c r="T344" s="27"/>
      <c r="Z344" s="27"/>
    </row>
    <row r="345" ht="15.75" customHeight="1">
      <c r="F345" s="27"/>
      <c r="I345" s="27"/>
      <c r="L345" s="27"/>
      <c r="O345" s="27"/>
      <c r="R345" s="27"/>
      <c r="T345" s="27"/>
      <c r="Z345" s="27"/>
    </row>
    <row r="346" ht="15.75" customHeight="1">
      <c r="F346" s="27"/>
      <c r="I346" s="27"/>
      <c r="L346" s="27"/>
      <c r="O346" s="27"/>
      <c r="R346" s="27"/>
      <c r="T346" s="27"/>
      <c r="Z346" s="27"/>
    </row>
    <row r="347" ht="15.75" customHeight="1">
      <c r="F347" s="27"/>
      <c r="I347" s="27"/>
      <c r="L347" s="27"/>
      <c r="O347" s="27"/>
      <c r="R347" s="27"/>
      <c r="T347" s="27"/>
      <c r="Z347" s="27"/>
    </row>
    <row r="348" ht="15.75" customHeight="1">
      <c r="F348" s="27"/>
      <c r="I348" s="27"/>
      <c r="L348" s="27"/>
      <c r="O348" s="27"/>
      <c r="R348" s="27"/>
      <c r="T348" s="27"/>
      <c r="Z348" s="27"/>
    </row>
    <row r="349" ht="15.75" customHeight="1">
      <c r="F349" s="27"/>
      <c r="I349" s="27"/>
      <c r="L349" s="27"/>
      <c r="O349" s="27"/>
      <c r="R349" s="27"/>
      <c r="T349" s="27"/>
      <c r="Z349" s="27"/>
    </row>
    <row r="350" ht="15.75" customHeight="1">
      <c r="F350" s="27"/>
      <c r="I350" s="27"/>
      <c r="L350" s="27"/>
      <c r="O350" s="27"/>
      <c r="R350" s="27"/>
      <c r="T350" s="27"/>
      <c r="Z350" s="27"/>
    </row>
    <row r="351" ht="15.75" customHeight="1">
      <c r="F351" s="27"/>
      <c r="I351" s="27"/>
      <c r="L351" s="27"/>
      <c r="O351" s="27"/>
      <c r="R351" s="27"/>
      <c r="T351" s="27"/>
      <c r="Z351" s="27"/>
    </row>
    <row r="352" ht="15.75" customHeight="1">
      <c r="F352" s="27"/>
      <c r="I352" s="27"/>
      <c r="L352" s="27"/>
      <c r="O352" s="27"/>
      <c r="R352" s="27"/>
      <c r="T352" s="27"/>
      <c r="Z352" s="27"/>
    </row>
    <row r="353" ht="15.75" customHeight="1">
      <c r="F353" s="27"/>
      <c r="I353" s="27"/>
      <c r="L353" s="27"/>
      <c r="O353" s="27"/>
      <c r="R353" s="27"/>
      <c r="T353" s="27"/>
      <c r="Z353" s="27"/>
    </row>
    <row r="354" ht="15.75" customHeight="1">
      <c r="F354" s="27"/>
      <c r="I354" s="27"/>
      <c r="L354" s="27"/>
      <c r="O354" s="27"/>
      <c r="R354" s="27"/>
      <c r="T354" s="27"/>
      <c r="Z354" s="27"/>
    </row>
    <row r="355" ht="15.75" customHeight="1">
      <c r="F355" s="27"/>
      <c r="I355" s="27"/>
      <c r="L355" s="27"/>
      <c r="O355" s="27"/>
      <c r="R355" s="27"/>
      <c r="T355" s="27"/>
      <c r="Z355" s="27"/>
    </row>
    <row r="356" ht="15.75" customHeight="1">
      <c r="F356" s="27"/>
      <c r="I356" s="27"/>
      <c r="L356" s="27"/>
      <c r="O356" s="27"/>
      <c r="R356" s="27"/>
      <c r="T356" s="27"/>
      <c r="Z356" s="27"/>
    </row>
    <row r="357" ht="15.75" customHeight="1">
      <c r="F357" s="27"/>
      <c r="I357" s="27"/>
      <c r="L357" s="27"/>
      <c r="O357" s="27"/>
      <c r="R357" s="27"/>
      <c r="T357" s="27"/>
      <c r="Z357" s="27"/>
    </row>
    <row r="358" ht="15.75" customHeight="1">
      <c r="F358" s="27"/>
      <c r="I358" s="27"/>
      <c r="L358" s="27"/>
      <c r="O358" s="27"/>
      <c r="R358" s="27"/>
      <c r="T358" s="27"/>
      <c r="Z358" s="27"/>
    </row>
    <row r="359" ht="15.75" customHeight="1">
      <c r="F359" s="27"/>
      <c r="I359" s="27"/>
      <c r="L359" s="27"/>
      <c r="O359" s="27"/>
      <c r="R359" s="27"/>
      <c r="T359" s="27"/>
      <c r="Z359" s="27"/>
    </row>
    <row r="360" ht="15.75" customHeight="1">
      <c r="F360" s="27"/>
      <c r="I360" s="27"/>
      <c r="L360" s="27"/>
      <c r="O360" s="27"/>
      <c r="R360" s="27"/>
      <c r="T360" s="27"/>
      <c r="Z360" s="27"/>
    </row>
    <row r="361" ht="15.75" customHeight="1">
      <c r="F361" s="27"/>
      <c r="I361" s="27"/>
      <c r="L361" s="27"/>
      <c r="O361" s="27"/>
      <c r="R361" s="27"/>
      <c r="T361" s="27"/>
      <c r="Z361" s="27"/>
    </row>
    <row r="362" ht="15.75" customHeight="1">
      <c r="F362" s="27"/>
      <c r="I362" s="27"/>
      <c r="L362" s="27"/>
      <c r="O362" s="27"/>
      <c r="R362" s="27"/>
      <c r="T362" s="27"/>
      <c r="Z362" s="27"/>
    </row>
    <row r="363" ht="15.75" customHeight="1">
      <c r="F363" s="27"/>
      <c r="I363" s="27"/>
      <c r="L363" s="27"/>
      <c r="O363" s="27"/>
      <c r="R363" s="27"/>
      <c r="T363" s="27"/>
      <c r="Z363" s="27"/>
    </row>
    <row r="364" ht="15.75" customHeight="1">
      <c r="F364" s="27"/>
      <c r="I364" s="27"/>
      <c r="L364" s="27"/>
      <c r="O364" s="27"/>
      <c r="R364" s="27"/>
      <c r="T364" s="27"/>
      <c r="Z364" s="27"/>
    </row>
    <row r="365" ht="15.75" customHeight="1">
      <c r="F365" s="27"/>
      <c r="I365" s="27"/>
      <c r="L365" s="27"/>
      <c r="O365" s="27"/>
      <c r="R365" s="27"/>
      <c r="T365" s="27"/>
      <c r="Z365" s="27"/>
    </row>
    <row r="366" ht="15.75" customHeight="1">
      <c r="F366" s="27"/>
      <c r="I366" s="27"/>
      <c r="L366" s="27"/>
      <c r="O366" s="27"/>
      <c r="R366" s="27"/>
      <c r="T366" s="27"/>
      <c r="Z366" s="27"/>
    </row>
    <row r="367" ht="15.75" customHeight="1">
      <c r="F367" s="27"/>
      <c r="I367" s="27"/>
      <c r="L367" s="27"/>
      <c r="O367" s="27"/>
      <c r="R367" s="27"/>
      <c r="T367" s="27"/>
      <c r="Z367" s="27"/>
    </row>
    <row r="368" ht="15.75" customHeight="1">
      <c r="F368" s="27"/>
      <c r="I368" s="27"/>
      <c r="L368" s="27"/>
      <c r="O368" s="27"/>
      <c r="R368" s="27"/>
      <c r="T368" s="27"/>
      <c r="Z368" s="27"/>
    </row>
    <row r="369" ht="15.75" customHeight="1">
      <c r="F369" s="27"/>
      <c r="I369" s="27"/>
      <c r="L369" s="27"/>
      <c r="O369" s="27"/>
      <c r="R369" s="27"/>
      <c r="T369" s="27"/>
      <c r="Z369" s="27"/>
    </row>
    <row r="370" ht="15.75" customHeight="1">
      <c r="F370" s="27"/>
      <c r="I370" s="27"/>
      <c r="L370" s="27"/>
      <c r="O370" s="27"/>
      <c r="R370" s="27"/>
      <c r="T370" s="27"/>
      <c r="Z370" s="27"/>
    </row>
    <row r="371" ht="15.75" customHeight="1">
      <c r="F371" s="27"/>
      <c r="I371" s="27"/>
      <c r="L371" s="27"/>
      <c r="O371" s="27"/>
      <c r="R371" s="27"/>
      <c r="T371" s="27"/>
      <c r="Z371" s="27"/>
    </row>
    <row r="372" ht="15.75" customHeight="1">
      <c r="F372" s="27"/>
      <c r="I372" s="27"/>
      <c r="L372" s="27"/>
      <c r="O372" s="27"/>
      <c r="R372" s="27"/>
      <c r="T372" s="27"/>
      <c r="Z372" s="27"/>
    </row>
    <row r="373" ht="15.75" customHeight="1">
      <c r="F373" s="27"/>
      <c r="I373" s="27"/>
      <c r="L373" s="27"/>
      <c r="O373" s="27"/>
      <c r="R373" s="27"/>
      <c r="T373" s="27"/>
      <c r="Z373" s="27"/>
    </row>
    <row r="374" ht="15.75" customHeight="1">
      <c r="F374" s="27"/>
      <c r="I374" s="27"/>
      <c r="L374" s="27"/>
      <c r="O374" s="27"/>
      <c r="R374" s="27"/>
      <c r="T374" s="27"/>
      <c r="Z374" s="27"/>
    </row>
    <row r="375" ht="15.75" customHeight="1">
      <c r="F375" s="27"/>
      <c r="I375" s="27"/>
      <c r="L375" s="27"/>
      <c r="O375" s="27"/>
      <c r="R375" s="27"/>
      <c r="T375" s="27"/>
      <c r="Z375" s="27"/>
    </row>
    <row r="376" ht="15.75" customHeight="1">
      <c r="F376" s="27"/>
      <c r="I376" s="27"/>
      <c r="L376" s="27"/>
      <c r="O376" s="27"/>
      <c r="R376" s="27"/>
      <c r="T376" s="27"/>
      <c r="Z376" s="27"/>
    </row>
    <row r="377" ht="15.75" customHeight="1">
      <c r="F377" s="27"/>
      <c r="I377" s="27"/>
      <c r="L377" s="27"/>
      <c r="O377" s="27"/>
      <c r="R377" s="27"/>
      <c r="T377" s="27"/>
      <c r="Z377" s="27"/>
    </row>
    <row r="378" ht="15.75" customHeight="1">
      <c r="F378" s="27"/>
      <c r="I378" s="27"/>
      <c r="L378" s="27"/>
      <c r="O378" s="27"/>
      <c r="R378" s="27"/>
      <c r="T378" s="27"/>
      <c r="Z378" s="27"/>
    </row>
    <row r="379" ht="15.75" customHeight="1">
      <c r="F379" s="27"/>
      <c r="I379" s="27"/>
      <c r="L379" s="27"/>
      <c r="O379" s="27"/>
      <c r="R379" s="27"/>
      <c r="T379" s="27"/>
      <c r="Z379" s="27"/>
    </row>
    <row r="380" ht="15.75" customHeight="1">
      <c r="F380" s="27"/>
      <c r="I380" s="27"/>
      <c r="L380" s="27"/>
      <c r="O380" s="27"/>
      <c r="R380" s="27"/>
      <c r="T380" s="27"/>
      <c r="Z380" s="27"/>
    </row>
    <row r="381" ht="15.75" customHeight="1">
      <c r="F381" s="27"/>
      <c r="I381" s="27"/>
      <c r="L381" s="27"/>
      <c r="O381" s="27"/>
      <c r="R381" s="27"/>
      <c r="T381" s="27"/>
      <c r="Z381" s="27"/>
    </row>
    <row r="382" ht="15.75" customHeight="1">
      <c r="F382" s="27"/>
      <c r="I382" s="27"/>
      <c r="L382" s="27"/>
      <c r="O382" s="27"/>
      <c r="R382" s="27"/>
      <c r="T382" s="27"/>
      <c r="Z382" s="27"/>
    </row>
    <row r="383" ht="15.75" customHeight="1">
      <c r="F383" s="27"/>
      <c r="I383" s="27"/>
      <c r="L383" s="27"/>
      <c r="O383" s="27"/>
      <c r="R383" s="27"/>
      <c r="T383" s="27"/>
      <c r="Z383" s="27"/>
    </row>
    <row r="384" ht="15.75" customHeight="1">
      <c r="F384" s="27"/>
      <c r="I384" s="27"/>
      <c r="L384" s="27"/>
      <c r="O384" s="27"/>
      <c r="R384" s="27"/>
      <c r="T384" s="27"/>
      <c r="Z384" s="27"/>
    </row>
    <row r="385" ht="15.75" customHeight="1">
      <c r="F385" s="27"/>
      <c r="I385" s="27"/>
      <c r="L385" s="27"/>
      <c r="O385" s="27"/>
      <c r="R385" s="27"/>
      <c r="T385" s="27"/>
      <c r="Z385" s="27"/>
    </row>
    <row r="386" ht="15.75" customHeight="1">
      <c r="F386" s="27"/>
      <c r="I386" s="27"/>
      <c r="L386" s="27"/>
      <c r="O386" s="27"/>
      <c r="R386" s="27"/>
      <c r="T386" s="27"/>
      <c r="Z386" s="27"/>
    </row>
    <row r="387" ht="15.75" customHeight="1">
      <c r="F387" s="27"/>
      <c r="I387" s="27"/>
      <c r="L387" s="27"/>
      <c r="O387" s="27"/>
      <c r="R387" s="27"/>
      <c r="T387" s="27"/>
      <c r="Z387" s="27"/>
    </row>
    <row r="388" ht="15.75" customHeight="1">
      <c r="F388" s="27"/>
      <c r="I388" s="27"/>
      <c r="L388" s="27"/>
      <c r="O388" s="27"/>
      <c r="R388" s="27"/>
      <c r="T388" s="27"/>
      <c r="Z388" s="27"/>
    </row>
    <row r="389" ht="15.75" customHeight="1">
      <c r="F389" s="27"/>
      <c r="I389" s="27"/>
      <c r="L389" s="27"/>
      <c r="O389" s="27"/>
      <c r="R389" s="27"/>
      <c r="T389" s="27"/>
      <c r="Z389" s="27"/>
    </row>
    <row r="390" ht="15.75" customHeight="1">
      <c r="F390" s="27"/>
      <c r="I390" s="27"/>
      <c r="L390" s="27"/>
      <c r="O390" s="27"/>
      <c r="R390" s="27"/>
      <c r="T390" s="27"/>
      <c r="Z390" s="27"/>
    </row>
    <row r="391" ht="15.75" customHeight="1">
      <c r="F391" s="27"/>
      <c r="I391" s="27"/>
      <c r="L391" s="27"/>
      <c r="O391" s="27"/>
      <c r="R391" s="27"/>
      <c r="T391" s="27"/>
      <c r="Z391" s="27"/>
    </row>
    <row r="392" ht="15.75" customHeight="1">
      <c r="F392" s="27"/>
      <c r="I392" s="27"/>
      <c r="L392" s="27"/>
      <c r="O392" s="27"/>
      <c r="R392" s="27"/>
      <c r="T392" s="27"/>
      <c r="Z392" s="27"/>
    </row>
    <row r="393" ht="15.75" customHeight="1">
      <c r="F393" s="27"/>
      <c r="I393" s="27"/>
      <c r="L393" s="27"/>
      <c r="O393" s="27"/>
      <c r="R393" s="27"/>
      <c r="T393" s="27"/>
      <c r="Z393" s="27"/>
    </row>
    <row r="394" ht="15.75" customHeight="1">
      <c r="F394" s="27"/>
      <c r="I394" s="27"/>
      <c r="L394" s="27"/>
      <c r="O394" s="27"/>
      <c r="R394" s="27"/>
      <c r="T394" s="27"/>
      <c r="Z394" s="27"/>
    </row>
    <row r="395" ht="15.75" customHeight="1">
      <c r="F395" s="27"/>
      <c r="I395" s="27"/>
      <c r="L395" s="27"/>
      <c r="O395" s="27"/>
      <c r="R395" s="27"/>
      <c r="T395" s="27"/>
      <c r="Z395" s="27"/>
    </row>
    <row r="396" ht="15.75" customHeight="1">
      <c r="F396" s="27"/>
      <c r="I396" s="27"/>
      <c r="L396" s="27"/>
      <c r="O396" s="27"/>
      <c r="R396" s="27"/>
      <c r="T396" s="27"/>
      <c r="Z396" s="27"/>
    </row>
    <row r="397" ht="15.75" customHeight="1">
      <c r="F397" s="27"/>
      <c r="I397" s="27"/>
      <c r="L397" s="27"/>
      <c r="O397" s="27"/>
      <c r="R397" s="27"/>
      <c r="T397" s="27"/>
      <c r="Z397" s="27"/>
    </row>
    <row r="398" ht="15.75" customHeight="1">
      <c r="F398" s="27"/>
      <c r="I398" s="27"/>
      <c r="L398" s="27"/>
      <c r="O398" s="27"/>
      <c r="R398" s="27"/>
      <c r="T398" s="27"/>
      <c r="Z398" s="27"/>
    </row>
    <row r="399" ht="15.75" customHeight="1">
      <c r="F399" s="27"/>
      <c r="I399" s="27"/>
      <c r="L399" s="27"/>
      <c r="O399" s="27"/>
      <c r="R399" s="27"/>
      <c r="T399" s="27"/>
      <c r="Z399" s="27"/>
    </row>
    <row r="400" ht="15.75" customHeight="1">
      <c r="F400" s="27"/>
      <c r="I400" s="27"/>
      <c r="L400" s="27"/>
      <c r="O400" s="27"/>
      <c r="R400" s="27"/>
      <c r="T400" s="27"/>
      <c r="Z400" s="27"/>
    </row>
    <row r="401" ht="15.75" customHeight="1">
      <c r="F401" s="27"/>
      <c r="I401" s="27"/>
      <c r="L401" s="27"/>
      <c r="O401" s="27"/>
      <c r="R401" s="27"/>
      <c r="T401" s="27"/>
      <c r="Z401" s="27"/>
    </row>
    <row r="402" ht="15.75" customHeight="1">
      <c r="F402" s="27"/>
      <c r="I402" s="27"/>
      <c r="L402" s="27"/>
      <c r="O402" s="27"/>
      <c r="R402" s="27"/>
      <c r="T402" s="27"/>
      <c r="Z402" s="27"/>
    </row>
    <row r="403" ht="15.75" customHeight="1">
      <c r="F403" s="27"/>
      <c r="I403" s="27"/>
      <c r="L403" s="27"/>
      <c r="O403" s="27"/>
      <c r="R403" s="27"/>
      <c r="T403" s="27"/>
      <c r="Z403" s="27"/>
    </row>
    <row r="404" ht="15.75" customHeight="1">
      <c r="F404" s="27"/>
      <c r="I404" s="27"/>
      <c r="L404" s="27"/>
      <c r="O404" s="27"/>
      <c r="R404" s="27"/>
      <c r="T404" s="27"/>
      <c r="Z404" s="27"/>
    </row>
    <row r="405" ht="15.75" customHeight="1">
      <c r="F405" s="27"/>
      <c r="I405" s="27"/>
      <c r="L405" s="27"/>
      <c r="O405" s="27"/>
      <c r="R405" s="27"/>
      <c r="T405" s="27"/>
      <c r="Z405" s="27"/>
    </row>
    <row r="406" ht="15.75" customHeight="1">
      <c r="F406" s="27"/>
      <c r="I406" s="27"/>
      <c r="L406" s="27"/>
      <c r="O406" s="27"/>
      <c r="R406" s="27"/>
      <c r="T406" s="27"/>
      <c r="Z406" s="27"/>
    </row>
    <row r="407" ht="15.75" customHeight="1">
      <c r="F407" s="27"/>
      <c r="I407" s="27"/>
      <c r="L407" s="27"/>
      <c r="O407" s="27"/>
      <c r="R407" s="27"/>
      <c r="T407" s="27"/>
      <c r="Z407" s="27"/>
    </row>
    <row r="408" ht="15.75" customHeight="1">
      <c r="F408" s="27"/>
      <c r="I408" s="27"/>
      <c r="L408" s="27"/>
      <c r="O408" s="27"/>
      <c r="R408" s="27"/>
      <c r="T408" s="27"/>
      <c r="Z408" s="27"/>
    </row>
    <row r="409" ht="15.75" customHeight="1">
      <c r="F409" s="27"/>
      <c r="I409" s="27"/>
      <c r="L409" s="27"/>
      <c r="O409" s="27"/>
      <c r="R409" s="27"/>
      <c r="T409" s="27"/>
      <c r="Z409" s="27"/>
    </row>
    <row r="410" ht="15.75" customHeight="1">
      <c r="F410" s="27"/>
      <c r="I410" s="27"/>
      <c r="L410" s="27"/>
      <c r="O410" s="27"/>
      <c r="R410" s="27"/>
      <c r="T410" s="27"/>
      <c r="Z410" s="27"/>
    </row>
    <row r="411" ht="15.75" customHeight="1">
      <c r="F411" s="27"/>
      <c r="I411" s="27"/>
      <c r="L411" s="27"/>
      <c r="O411" s="27"/>
      <c r="R411" s="27"/>
      <c r="T411" s="27"/>
      <c r="Z411" s="27"/>
    </row>
    <row r="412" ht="15.75" customHeight="1">
      <c r="F412" s="27"/>
      <c r="I412" s="27"/>
      <c r="L412" s="27"/>
      <c r="O412" s="27"/>
      <c r="R412" s="27"/>
      <c r="T412" s="27"/>
      <c r="Z412" s="27"/>
    </row>
    <row r="413" ht="15.75" customHeight="1">
      <c r="F413" s="27"/>
      <c r="I413" s="27"/>
      <c r="L413" s="27"/>
      <c r="O413" s="27"/>
      <c r="R413" s="27"/>
      <c r="T413" s="27"/>
      <c r="Z413" s="27"/>
    </row>
    <row r="414" ht="15.75" customHeight="1">
      <c r="F414" s="27"/>
      <c r="I414" s="27"/>
      <c r="L414" s="27"/>
      <c r="O414" s="27"/>
      <c r="R414" s="27"/>
      <c r="T414" s="27"/>
      <c r="Z414" s="27"/>
    </row>
    <row r="415" ht="15.75" customHeight="1">
      <c r="F415" s="27"/>
      <c r="I415" s="27"/>
      <c r="L415" s="27"/>
      <c r="O415" s="27"/>
      <c r="R415" s="27"/>
      <c r="T415" s="27"/>
      <c r="Z415" s="27"/>
    </row>
    <row r="416" ht="15.75" customHeight="1">
      <c r="F416" s="27"/>
      <c r="I416" s="27"/>
      <c r="L416" s="27"/>
      <c r="O416" s="27"/>
      <c r="R416" s="27"/>
      <c r="T416" s="27"/>
      <c r="Z416" s="27"/>
    </row>
    <row r="417" ht="15.75" customHeight="1">
      <c r="F417" s="27"/>
      <c r="I417" s="27"/>
      <c r="L417" s="27"/>
      <c r="O417" s="27"/>
      <c r="R417" s="27"/>
      <c r="T417" s="27"/>
      <c r="Z417" s="27"/>
    </row>
    <row r="418" ht="15.75" customHeight="1">
      <c r="F418" s="27"/>
      <c r="I418" s="27"/>
      <c r="L418" s="27"/>
      <c r="O418" s="27"/>
      <c r="R418" s="27"/>
      <c r="T418" s="27"/>
      <c r="Z418" s="27"/>
    </row>
    <row r="419" ht="15.75" customHeight="1">
      <c r="F419" s="27"/>
      <c r="I419" s="27"/>
      <c r="L419" s="27"/>
      <c r="O419" s="27"/>
      <c r="R419" s="27"/>
      <c r="T419" s="27"/>
      <c r="Z419" s="27"/>
    </row>
    <row r="420" ht="15.75" customHeight="1">
      <c r="F420" s="27"/>
      <c r="I420" s="27"/>
      <c r="L420" s="27"/>
      <c r="O420" s="27"/>
      <c r="R420" s="27"/>
      <c r="T420" s="27"/>
      <c r="Z420" s="27"/>
    </row>
    <row r="421" ht="15.75" customHeight="1">
      <c r="F421" s="27"/>
      <c r="I421" s="27"/>
      <c r="L421" s="27"/>
      <c r="O421" s="27"/>
      <c r="R421" s="27"/>
      <c r="T421" s="27"/>
      <c r="Z421" s="27"/>
    </row>
    <row r="422" ht="15.75" customHeight="1">
      <c r="F422" s="27"/>
      <c r="I422" s="27"/>
      <c r="L422" s="27"/>
      <c r="O422" s="27"/>
      <c r="R422" s="27"/>
      <c r="T422" s="27"/>
      <c r="Z422" s="27"/>
    </row>
    <row r="423" ht="15.75" customHeight="1">
      <c r="F423" s="27"/>
      <c r="I423" s="27"/>
      <c r="L423" s="27"/>
      <c r="O423" s="27"/>
      <c r="R423" s="27"/>
      <c r="T423" s="27"/>
      <c r="Z423" s="27"/>
    </row>
    <row r="424" ht="15.75" customHeight="1">
      <c r="F424" s="27"/>
      <c r="I424" s="27"/>
      <c r="L424" s="27"/>
      <c r="O424" s="27"/>
      <c r="R424" s="27"/>
      <c r="T424" s="27"/>
      <c r="Z424" s="27"/>
    </row>
    <row r="425" ht="15.75" customHeight="1">
      <c r="F425" s="27"/>
      <c r="I425" s="27"/>
      <c r="L425" s="27"/>
      <c r="O425" s="27"/>
      <c r="R425" s="27"/>
      <c r="T425" s="27"/>
      <c r="Z425" s="27"/>
    </row>
    <row r="426" ht="15.75" customHeight="1">
      <c r="F426" s="27"/>
      <c r="I426" s="27"/>
      <c r="L426" s="27"/>
      <c r="O426" s="27"/>
      <c r="R426" s="27"/>
      <c r="T426" s="27"/>
      <c r="Z426" s="27"/>
    </row>
    <row r="427" ht="15.75" customHeight="1">
      <c r="F427" s="27"/>
      <c r="I427" s="27"/>
      <c r="L427" s="27"/>
      <c r="O427" s="27"/>
      <c r="R427" s="27"/>
      <c r="T427" s="27"/>
      <c r="Z427" s="27"/>
    </row>
    <row r="428" ht="15.75" customHeight="1">
      <c r="F428" s="27"/>
      <c r="I428" s="27"/>
      <c r="L428" s="27"/>
      <c r="O428" s="27"/>
      <c r="R428" s="27"/>
      <c r="T428" s="27"/>
      <c r="Z428" s="27"/>
    </row>
    <row r="429" ht="15.75" customHeight="1">
      <c r="F429" s="27"/>
      <c r="I429" s="27"/>
      <c r="L429" s="27"/>
      <c r="O429" s="27"/>
      <c r="R429" s="27"/>
      <c r="T429" s="27"/>
      <c r="Z429" s="27"/>
    </row>
    <row r="430" ht="15.75" customHeight="1">
      <c r="F430" s="27"/>
      <c r="I430" s="27"/>
      <c r="L430" s="27"/>
      <c r="O430" s="27"/>
      <c r="R430" s="27"/>
      <c r="T430" s="27"/>
      <c r="Z430" s="27"/>
    </row>
    <row r="431" ht="15.75" customHeight="1">
      <c r="F431" s="27"/>
      <c r="I431" s="27"/>
      <c r="L431" s="27"/>
      <c r="O431" s="27"/>
      <c r="R431" s="27"/>
      <c r="T431" s="27"/>
      <c r="Z431" s="27"/>
    </row>
    <row r="432" ht="15.75" customHeight="1">
      <c r="F432" s="27"/>
      <c r="I432" s="27"/>
      <c r="L432" s="27"/>
      <c r="O432" s="27"/>
      <c r="R432" s="27"/>
      <c r="T432" s="27"/>
      <c r="Z432" s="27"/>
    </row>
    <row r="433" ht="15.75" customHeight="1">
      <c r="F433" s="27"/>
      <c r="I433" s="27"/>
      <c r="L433" s="27"/>
      <c r="O433" s="27"/>
      <c r="R433" s="27"/>
      <c r="T433" s="27"/>
      <c r="Z433" s="27"/>
    </row>
    <row r="434" ht="15.75" customHeight="1">
      <c r="F434" s="27"/>
      <c r="I434" s="27"/>
      <c r="L434" s="27"/>
      <c r="O434" s="27"/>
      <c r="R434" s="27"/>
      <c r="T434" s="27"/>
      <c r="Z434" s="27"/>
    </row>
    <row r="435" ht="15.75" customHeight="1">
      <c r="F435" s="27"/>
      <c r="I435" s="27"/>
      <c r="L435" s="27"/>
      <c r="O435" s="27"/>
      <c r="R435" s="27"/>
      <c r="T435" s="27"/>
      <c r="Z435" s="27"/>
    </row>
    <row r="436" ht="15.75" customHeight="1">
      <c r="F436" s="27"/>
      <c r="I436" s="27"/>
      <c r="L436" s="27"/>
      <c r="O436" s="27"/>
      <c r="R436" s="27"/>
      <c r="T436" s="27"/>
      <c r="Z436" s="27"/>
    </row>
    <row r="437" ht="15.75" customHeight="1">
      <c r="F437" s="27"/>
      <c r="I437" s="27"/>
      <c r="L437" s="27"/>
      <c r="O437" s="27"/>
      <c r="R437" s="27"/>
      <c r="T437" s="27"/>
      <c r="Z437" s="27"/>
    </row>
    <row r="438" ht="15.75" customHeight="1">
      <c r="F438" s="27"/>
      <c r="I438" s="27"/>
      <c r="L438" s="27"/>
      <c r="O438" s="27"/>
      <c r="R438" s="27"/>
      <c r="T438" s="27"/>
      <c r="Z438" s="27"/>
    </row>
    <row r="439" ht="15.75" customHeight="1">
      <c r="F439" s="27"/>
      <c r="I439" s="27"/>
      <c r="L439" s="27"/>
      <c r="O439" s="27"/>
      <c r="R439" s="27"/>
      <c r="T439" s="27"/>
      <c r="Z439" s="27"/>
    </row>
    <row r="440" ht="15.75" customHeight="1">
      <c r="F440" s="27"/>
      <c r="I440" s="27"/>
      <c r="L440" s="27"/>
      <c r="O440" s="27"/>
      <c r="R440" s="27"/>
      <c r="T440" s="27"/>
      <c r="Z440" s="27"/>
    </row>
    <row r="441" ht="15.75" customHeight="1">
      <c r="F441" s="27"/>
      <c r="I441" s="27"/>
      <c r="L441" s="27"/>
      <c r="O441" s="27"/>
      <c r="R441" s="27"/>
      <c r="T441" s="27"/>
      <c r="Z441" s="27"/>
    </row>
    <row r="442" ht="15.75" customHeight="1">
      <c r="F442" s="27"/>
      <c r="I442" s="27"/>
      <c r="L442" s="27"/>
      <c r="O442" s="27"/>
      <c r="R442" s="27"/>
      <c r="T442" s="27"/>
      <c r="Z442" s="27"/>
    </row>
    <row r="443" ht="15.75" customHeight="1">
      <c r="F443" s="27"/>
      <c r="I443" s="27"/>
      <c r="L443" s="27"/>
      <c r="O443" s="27"/>
      <c r="R443" s="27"/>
      <c r="T443" s="27"/>
      <c r="Z443" s="27"/>
    </row>
    <row r="444" ht="15.75" customHeight="1">
      <c r="F444" s="27"/>
      <c r="I444" s="27"/>
      <c r="L444" s="27"/>
      <c r="O444" s="27"/>
      <c r="R444" s="27"/>
      <c r="T444" s="27"/>
      <c r="Z444" s="27"/>
    </row>
    <row r="445" ht="15.75" customHeight="1">
      <c r="F445" s="27"/>
      <c r="I445" s="27"/>
      <c r="L445" s="27"/>
      <c r="O445" s="27"/>
      <c r="R445" s="27"/>
      <c r="T445" s="27"/>
      <c r="Z445" s="27"/>
    </row>
    <row r="446" ht="15.75" customHeight="1">
      <c r="F446" s="27"/>
      <c r="I446" s="27"/>
      <c r="L446" s="27"/>
      <c r="O446" s="27"/>
      <c r="R446" s="27"/>
      <c r="T446" s="27"/>
      <c r="Z446" s="27"/>
    </row>
    <row r="447" ht="15.75" customHeight="1">
      <c r="F447" s="27"/>
      <c r="I447" s="27"/>
      <c r="L447" s="27"/>
      <c r="O447" s="27"/>
      <c r="R447" s="27"/>
      <c r="T447" s="27"/>
      <c r="Z447" s="27"/>
    </row>
    <row r="448" ht="15.75" customHeight="1">
      <c r="F448" s="27"/>
      <c r="I448" s="27"/>
      <c r="L448" s="27"/>
      <c r="O448" s="27"/>
      <c r="R448" s="27"/>
      <c r="T448" s="27"/>
      <c r="Z448" s="27"/>
    </row>
    <row r="449" ht="15.75" customHeight="1">
      <c r="F449" s="27"/>
      <c r="I449" s="27"/>
      <c r="L449" s="27"/>
      <c r="O449" s="27"/>
      <c r="R449" s="27"/>
      <c r="T449" s="27"/>
      <c r="Z449" s="27"/>
    </row>
    <row r="450" ht="15.75" customHeight="1">
      <c r="F450" s="27"/>
      <c r="I450" s="27"/>
      <c r="L450" s="27"/>
      <c r="O450" s="27"/>
      <c r="R450" s="27"/>
      <c r="T450" s="27"/>
      <c r="Z450" s="27"/>
    </row>
    <row r="451" ht="15.75" customHeight="1">
      <c r="F451" s="27"/>
      <c r="I451" s="27"/>
      <c r="L451" s="27"/>
      <c r="O451" s="27"/>
      <c r="R451" s="27"/>
      <c r="T451" s="27"/>
      <c r="Z451" s="27"/>
    </row>
    <row r="452" ht="15.75" customHeight="1">
      <c r="F452" s="27"/>
      <c r="I452" s="27"/>
      <c r="L452" s="27"/>
      <c r="O452" s="27"/>
      <c r="R452" s="27"/>
      <c r="T452" s="27"/>
      <c r="Z452" s="27"/>
    </row>
    <row r="453" ht="15.75" customHeight="1">
      <c r="F453" s="27"/>
      <c r="I453" s="27"/>
      <c r="L453" s="27"/>
      <c r="O453" s="27"/>
      <c r="R453" s="27"/>
      <c r="T453" s="27"/>
      <c r="Z453" s="27"/>
    </row>
    <row r="454" ht="15.75" customHeight="1">
      <c r="F454" s="27"/>
      <c r="I454" s="27"/>
      <c r="L454" s="27"/>
      <c r="O454" s="27"/>
      <c r="R454" s="27"/>
      <c r="T454" s="27"/>
      <c r="Z454" s="27"/>
    </row>
    <row r="455" ht="15.75" customHeight="1">
      <c r="F455" s="27"/>
      <c r="I455" s="27"/>
      <c r="L455" s="27"/>
      <c r="O455" s="27"/>
      <c r="R455" s="27"/>
      <c r="T455" s="27"/>
      <c r="Z455" s="27"/>
    </row>
    <row r="456" ht="15.75" customHeight="1">
      <c r="F456" s="27"/>
      <c r="I456" s="27"/>
      <c r="L456" s="27"/>
      <c r="O456" s="27"/>
      <c r="R456" s="27"/>
      <c r="T456" s="27"/>
      <c r="Z456" s="27"/>
    </row>
    <row r="457" ht="15.75" customHeight="1">
      <c r="F457" s="27"/>
      <c r="I457" s="27"/>
      <c r="L457" s="27"/>
      <c r="O457" s="27"/>
      <c r="R457" s="27"/>
      <c r="T457" s="27"/>
      <c r="Z457" s="27"/>
    </row>
    <row r="458" ht="15.75" customHeight="1">
      <c r="F458" s="27"/>
      <c r="I458" s="27"/>
      <c r="L458" s="27"/>
      <c r="O458" s="27"/>
      <c r="R458" s="27"/>
      <c r="T458" s="27"/>
      <c r="Z458" s="27"/>
    </row>
    <row r="459" ht="15.75" customHeight="1">
      <c r="F459" s="27"/>
      <c r="I459" s="27"/>
      <c r="L459" s="27"/>
      <c r="O459" s="27"/>
      <c r="R459" s="27"/>
      <c r="T459" s="27"/>
      <c r="Z459" s="27"/>
    </row>
    <row r="460" ht="15.75" customHeight="1">
      <c r="F460" s="27"/>
      <c r="I460" s="27"/>
      <c r="L460" s="27"/>
      <c r="O460" s="27"/>
      <c r="R460" s="27"/>
      <c r="T460" s="27"/>
      <c r="Z460" s="27"/>
    </row>
    <row r="461" ht="15.75" customHeight="1">
      <c r="F461" s="27"/>
      <c r="I461" s="27"/>
      <c r="L461" s="27"/>
      <c r="O461" s="27"/>
      <c r="R461" s="27"/>
      <c r="T461" s="27"/>
      <c r="Z461" s="27"/>
    </row>
    <row r="462" ht="15.75" customHeight="1">
      <c r="F462" s="27"/>
      <c r="I462" s="27"/>
      <c r="L462" s="27"/>
      <c r="O462" s="27"/>
      <c r="R462" s="27"/>
      <c r="T462" s="27"/>
      <c r="Z462" s="27"/>
    </row>
    <row r="463" ht="15.75" customHeight="1">
      <c r="F463" s="27"/>
      <c r="I463" s="27"/>
      <c r="L463" s="27"/>
      <c r="O463" s="27"/>
      <c r="R463" s="27"/>
      <c r="T463" s="27"/>
      <c r="Z463" s="27"/>
    </row>
    <row r="464" ht="15.75" customHeight="1">
      <c r="F464" s="27"/>
      <c r="I464" s="27"/>
      <c r="L464" s="27"/>
      <c r="O464" s="27"/>
      <c r="R464" s="27"/>
      <c r="T464" s="27"/>
      <c r="Z464" s="27"/>
    </row>
    <row r="465" ht="15.75" customHeight="1">
      <c r="F465" s="27"/>
      <c r="I465" s="27"/>
      <c r="L465" s="27"/>
      <c r="O465" s="27"/>
      <c r="R465" s="27"/>
      <c r="T465" s="27"/>
      <c r="Z465" s="27"/>
    </row>
    <row r="466" ht="15.75" customHeight="1">
      <c r="F466" s="27"/>
      <c r="I466" s="27"/>
      <c r="L466" s="27"/>
      <c r="O466" s="27"/>
      <c r="R466" s="27"/>
      <c r="T466" s="27"/>
      <c r="Z466" s="27"/>
    </row>
    <row r="467" ht="15.75" customHeight="1">
      <c r="F467" s="27"/>
      <c r="I467" s="27"/>
      <c r="L467" s="27"/>
      <c r="O467" s="27"/>
      <c r="R467" s="27"/>
      <c r="T467" s="27"/>
      <c r="Z467" s="27"/>
    </row>
    <row r="468" ht="15.75" customHeight="1">
      <c r="F468" s="27"/>
      <c r="I468" s="27"/>
      <c r="L468" s="27"/>
      <c r="O468" s="27"/>
      <c r="R468" s="27"/>
      <c r="T468" s="27"/>
      <c r="Z468" s="27"/>
    </row>
    <row r="469" ht="15.75" customHeight="1">
      <c r="F469" s="27"/>
      <c r="I469" s="27"/>
      <c r="L469" s="27"/>
      <c r="O469" s="27"/>
      <c r="R469" s="27"/>
      <c r="T469" s="27"/>
      <c r="Z469" s="27"/>
    </row>
    <row r="470" ht="15.75" customHeight="1">
      <c r="F470" s="27"/>
      <c r="I470" s="27"/>
      <c r="L470" s="27"/>
      <c r="O470" s="27"/>
      <c r="R470" s="27"/>
      <c r="T470" s="27"/>
      <c r="Z470" s="27"/>
    </row>
    <row r="471" ht="15.75" customHeight="1">
      <c r="F471" s="27"/>
      <c r="I471" s="27"/>
      <c r="L471" s="27"/>
      <c r="O471" s="27"/>
      <c r="R471" s="27"/>
      <c r="T471" s="27"/>
      <c r="Z471" s="27"/>
    </row>
    <row r="472" ht="15.75" customHeight="1">
      <c r="F472" s="27"/>
      <c r="I472" s="27"/>
      <c r="L472" s="27"/>
      <c r="O472" s="27"/>
      <c r="R472" s="27"/>
      <c r="T472" s="27"/>
      <c r="Z472" s="27"/>
    </row>
    <row r="473" ht="15.75" customHeight="1">
      <c r="F473" s="27"/>
      <c r="I473" s="27"/>
      <c r="L473" s="27"/>
      <c r="O473" s="27"/>
      <c r="R473" s="27"/>
      <c r="T473" s="27"/>
      <c r="Z473" s="27"/>
    </row>
    <row r="474" ht="15.75" customHeight="1">
      <c r="F474" s="27"/>
      <c r="I474" s="27"/>
      <c r="L474" s="27"/>
      <c r="O474" s="27"/>
      <c r="R474" s="27"/>
      <c r="T474" s="27"/>
      <c r="Z474" s="27"/>
    </row>
    <row r="475" ht="15.75" customHeight="1">
      <c r="F475" s="27"/>
      <c r="I475" s="27"/>
      <c r="L475" s="27"/>
      <c r="O475" s="27"/>
      <c r="R475" s="27"/>
      <c r="T475" s="27"/>
      <c r="Z475" s="27"/>
    </row>
    <row r="476" ht="15.75" customHeight="1">
      <c r="F476" s="27"/>
      <c r="I476" s="27"/>
      <c r="L476" s="27"/>
      <c r="O476" s="27"/>
      <c r="R476" s="27"/>
      <c r="T476" s="27"/>
      <c r="Z476" s="27"/>
    </row>
    <row r="477" ht="15.75" customHeight="1">
      <c r="F477" s="27"/>
      <c r="I477" s="27"/>
      <c r="L477" s="27"/>
      <c r="O477" s="27"/>
      <c r="R477" s="27"/>
      <c r="T477" s="27"/>
      <c r="Z477" s="27"/>
    </row>
    <row r="478" ht="15.75" customHeight="1">
      <c r="F478" s="27"/>
      <c r="I478" s="27"/>
      <c r="L478" s="27"/>
      <c r="O478" s="27"/>
      <c r="R478" s="27"/>
      <c r="T478" s="27"/>
      <c r="Z478" s="27"/>
    </row>
    <row r="479" ht="15.75" customHeight="1">
      <c r="F479" s="27"/>
      <c r="I479" s="27"/>
      <c r="L479" s="27"/>
      <c r="O479" s="27"/>
      <c r="R479" s="27"/>
      <c r="T479" s="27"/>
      <c r="Z479" s="27"/>
    </row>
    <row r="480" ht="15.75" customHeight="1">
      <c r="F480" s="27"/>
      <c r="I480" s="27"/>
      <c r="L480" s="27"/>
      <c r="O480" s="27"/>
      <c r="R480" s="27"/>
      <c r="T480" s="27"/>
      <c r="Z480" s="27"/>
    </row>
    <row r="481" ht="15.75" customHeight="1">
      <c r="F481" s="27"/>
      <c r="I481" s="27"/>
      <c r="L481" s="27"/>
      <c r="O481" s="27"/>
      <c r="R481" s="27"/>
      <c r="T481" s="27"/>
      <c r="Z481" s="27"/>
    </row>
    <row r="482" ht="15.75" customHeight="1">
      <c r="F482" s="27"/>
      <c r="I482" s="27"/>
      <c r="L482" s="27"/>
      <c r="O482" s="27"/>
      <c r="R482" s="27"/>
      <c r="T482" s="27"/>
      <c r="Z482" s="27"/>
    </row>
    <row r="483" ht="15.75" customHeight="1">
      <c r="F483" s="27"/>
      <c r="I483" s="27"/>
      <c r="L483" s="27"/>
      <c r="O483" s="27"/>
      <c r="R483" s="27"/>
      <c r="T483" s="27"/>
      <c r="Z483" s="27"/>
    </row>
    <row r="484" ht="15.75" customHeight="1">
      <c r="F484" s="27"/>
      <c r="I484" s="27"/>
      <c r="L484" s="27"/>
      <c r="O484" s="27"/>
      <c r="R484" s="27"/>
      <c r="T484" s="27"/>
      <c r="Z484" s="27"/>
    </row>
    <row r="485" ht="15.75" customHeight="1">
      <c r="F485" s="27"/>
      <c r="I485" s="27"/>
      <c r="L485" s="27"/>
      <c r="O485" s="27"/>
      <c r="R485" s="27"/>
      <c r="T485" s="27"/>
      <c r="Z485" s="27"/>
    </row>
    <row r="486" ht="15.75" customHeight="1">
      <c r="F486" s="27"/>
      <c r="I486" s="27"/>
      <c r="L486" s="27"/>
      <c r="O486" s="27"/>
      <c r="R486" s="27"/>
      <c r="T486" s="27"/>
      <c r="Z486" s="27"/>
    </row>
    <row r="487" ht="15.75" customHeight="1">
      <c r="F487" s="27"/>
      <c r="I487" s="27"/>
      <c r="L487" s="27"/>
      <c r="O487" s="27"/>
      <c r="R487" s="27"/>
      <c r="T487" s="27"/>
      <c r="Z487" s="27"/>
    </row>
    <row r="488" ht="15.75" customHeight="1">
      <c r="F488" s="27"/>
      <c r="I488" s="27"/>
      <c r="L488" s="27"/>
      <c r="O488" s="27"/>
      <c r="R488" s="27"/>
      <c r="T488" s="27"/>
      <c r="Z488" s="27"/>
    </row>
    <row r="489" ht="15.75" customHeight="1">
      <c r="F489" s="27"/>
      <c r="I489" s="27"/>
      <c r="L489" s="27"/>
      <c r="O489" s="27"/>
      <c r="R489" s="27"/>
      <c r="T489" s="27"/>
      <c r="Z489" s="27"/>
    </row>
    <row r="490" ht="15.75" customHeight="1">
      <c r="F490" s="27"/>
      <c r="I490" s="27"/>
      <c r="L490" s="27"/>
      <c r="O490" s="27"/>
      <c r="R490" s="27"/>
      <c r="T490" s="27"/>
      <c r="Z490" s="27"/>
    </row>
    <row r="491" ht="15.75" customHeight="1">
      <c r="F491" s="27"/>
      <c r="I491" s="27"/>
      <c r="L491" s="27"/>
      <c r="O491" s="27"/>
      <c r="R491" s="27"/>
      <c r="T491" s="27"/>
      <c r="Z491" s="27"/>
    </row>
    <row r="492" ht="15.75" customHeight="1">
      <c r="F492" s="27"/>
      <c r="I492" s="27"/>
      <c r="L492" s="27"/>
      <c r="O492" s="27"/>
      <c r="R492" s="27"/>
      <c r="T492" s="27"/>
      <c r="Z492" s="27"/>
    </row>
    <row r="493" ht="15.75" customHeight="1">
      <c r="F493" s="27"/>
      <c r="I493" s="27"/>
      <c r="L493" s="27"/>
      <c r="O493" s="27"/>
      <c r="R493" s="27"/>
      <c r="T493" s="27"/>
      <c r="Z493" s="27"/>
    </row>
    <row r="494" ht="15.75" customHeight="1">
      <c r="F494" s="27"/>
      <c r="I494" s="27"/>
      <c r="L494" s="27"/>
      <c r="O494" s="27"/>
      <c r="R494" s="27"/>
      <c r="T494" s="27"/>
      <c r="Z494" s="27"/>
    </row>
    <row r="495" ht="15.75" customHeight="1">
      <c r="F495" s="27"/>
      <c r="I495" s="27"/>
      <c r="L495" s="27"/>
      <c r="O495" s="27"/>
      <c r="R495" s="27"/>
      <c r="T495" s="27"/>
      <c r="Z495" s="27"/>
    </row>
    <row r="496" ht="15.75" customHeight="1">
      <c r="F496" s="27"/>
      <c r="I496" s="27"/>
      <c r="L496" s="27"/>
      <c r="O496" s="27"/>
      <c r="R496" s="27"/>
      <c r="T496" s="27"/>
      <c r="Z496" s="27"/>
    </row>
    <row r="497" ht="15.75" customHeight="1">
      <c r="F497" s="27"/>
      <c r="I497" s="27"/>
      <c r="L497" s="27"/>
      <c r="O497" s="27"/>
      <c r="R497" s="27"/>
      <c r="T497" s="27"/>
      <c r="Z497" s="27"/>
    </row>
    <row r="498" ht="15.75" customHeight="1">
      <c r="F498" s="27"/>
      <c r="I498" s="27"/>
      <c r="L498" s="27"/>
      <c r="O498" s="27"/>
      <c r="R498" s="27"/>
      <c r="T498" s="27"/>
      <c r="Z498" s="27"/>
    </row>
    <row r="499" ht="15.75" customHeight="1">
      <c r="F499" s="27"/>
      <c r="I499" s="27"/>
      <c r="L499" s="27"/>
      <c r="O499" s="27"/>
      <c r="R499" s="27"/>
      <c r="T499" s="27"/>
      <c r="Z499" s="27"/>
    </row>
    <row r="500" ht="15.75" customHeight="1">
      <c r="F500" s="27"/>
      <c r="I500" s="27"/>
      <c r="L500" s="27"/>
      <c r="O500" s="27"/>
      <c r="R500" s="27"/>
      <c r="T500" s="27"/>
      <c r="Z500" s="27"/>
    </row>
    <row r="501" ht="15.75" customHeight="1">
      <c r="F501" s="27"/>
      <c r="I501" s="27"/>
      <c r="L501" s="27"/>
      <c r="O501" s="27"/>
      <c r="R501" s="27"/>
      <c r="T501" s="27"/>
      <c r="Z501" s="27"/>
    </row>
    <row r="502" ht="15.75" customHeight="1">
      <c r="F502" s="27"/>
      <c r="I502" s="27"/>
      <c r="L502" s="27"/>
      <c r="O502" s="27"/>
      <c r="R502" s="27"/>
      <c r="T502" s="27"/>
      <c r="Z502" s="27"/>
    </row>
    <row r="503" ht="15.75" customHeight="1">
      <c r="F503" s="27"/>
      <c r="I503" s="27"/>
      <c r="L503" s="27"/>
      <c r="O503" s="27"/>
      <c r="R503" s="27"/>
      <c r="T503" s="27"/>
      <c r="Z503" s="27"/>
    </row>
    <row r="504" ht="15.75" customHeight="1">
      <c r="F504" s="27"/>
      <c r="I504" s="27"/>
      <c r="L504" s="27"/>
      <c r="O504" s="27"/>
      <c r="R504" s="27"/>
      <c r="T504" s="27"/>
      <c r="Z504" s="27"/>
    </row>
    <row r="505" ht="15.75" customHeight="1">
      <c r="F505" s="27"/>
      <c r="I505" s="27"/>
      <c r="L505" s="27"/>
      <c r="O505" s="27"/>
      <c r="R505" s="27"/>
      <c r="T505" s="27"/>
      <c r="Z505" s="27"/>
    </row>
    <row r="506" ht="15.75" customHeight="1">
      <c r="F506" s="27"/>
      <c r="I506" s="27"/>
      <c r="L506" s="27"/>
      <c r="O506" s="27"/>
      <c r="R506" s="27"/>
      <c r="T506" s="27"/>
      <c r="Z506" s="27"/>
    </row>
    <row r="507" ht="15.75" customHeight="1">
      <c r="F507" s="27"/>
      <c r="I507" s="27"/>
      <c r="L507" s="27"/>
      <c r="O507" s="27"/>
      <c r="R507" s="27"/>
      <c r="T507" s="27"/>
      <c r="Z507" s="27"/>
    </row>
    <row r="508" ht="15.75" customHeight="1">
      <c r="F508" s="27"/>
      <c r="I508" s="27"/>
      <c r="L508" s="27"/>
      <c r="O508" s="27"/>
      <c r="R508" s="27"/>
      <c r="T508" s="27"/>
      <c r="Z508" s="27"/>
    </row>
    <row r="509" ht="15.75" customHeight="1">
      <c r="F509" s="27"/>
      <c r="I509" s="27"/>
      <c r="L509" s="27"/>
      <c r="O509" s="27"/>
      <c r="R509" s="27"/>
      <c r="T509" s="27"/>
      <c r="Z509" s="27"/>
    </row>
    <row r="510" ht="15.75" customHeight="1">
      <c r="F510" s="27"/>
      <c r="I510" s="27"/>
      <c r="L510" s="27"/>
      <c r="O510" s="27"/>
      <c r="R510" s="27"/>
      <c r="T510" s="27"/>
      <c r="Z510" s="27"/>
    </row>
    <row r="511" ht="15.75" customHeight="1">
      <c r="F511" s="27"/>
      <c r="I511" s="27"/>
      <c r="L511" s="27"/>
      <c r="O511" s="27"/>
      <c r="R511" s="27"/>
      <c r="T511" s="27"/>
      <c r="Z511" s="27"/>
    </row>
    <row r="512" ht="15.75" customHeight="1">
      <c r="F512" s="27"/>
      <c r="I512" s="27"/>
      <c r="L512" s="27"/>
      <c r="O512" s="27"/>
      <c r="R512" s="27"/>
      <c r="T512" s="27"/>
      <c r="Z512" s="27"/>
    </row>
    <row r="513" ht="15.75" customHeight="1">
      <c r="F513" s="27"/>
      <c r="I513" s="27"/>
      <c r="L513" s="27"/>
      <c r="O513" s="27"/>
      <c r="R513" s="27"/>
      <c r="T513" s="27"/>
      <c r="Z513" s="27"/>
    </row>
    <row r="514" ht="15.75" customHeight="1">
      <c r="F514" s="27"/>
      <c r="I514" s="27"/>
      <c r="L514" s="27"/>
      <c r="O514" s="27"/>
      <c r="R514" s="27"/>
      <c r="T514" s="27"/>
      <c r="Z514" s="27"/>
    </row>
    <row r="515" ht="15.75" customHeight="1">
      <c r="F515" s="27"/>
      <c r="I515" s="27"/>
      <c r="L515" s="27"/>
      <c r="O515" s="27"/>
      <c r="R515" s="27"/>
      <c r="T515" s="27"/>
      <c r="Z515" s="27"/>
    </row>
    <row r="516" ht="15.75" customHeight="1">
      <c r="F516" s="27"/>
      <c r="I516" s="27"/>
      <c r="L516" s="27"/>
      <c r="O516" s="27"/>
      <c r="R516" s="27"/>
      <c r="T516" s="27"/>
      <c r="Z516" s="27"/>
    </row>
    <row r="517" ht="15.75" customHeight="1">
      <c r="F517" s="27"/>
      <c r="I517" s="27"/>
      <c r="L517" s="27"/>
      <c r="O517" s="27"/>
      <c r="R517" s="27"/>
      <c r="T517" s="27"/>
      <c r="Z517" s="27"/>
    </row>
    <row r="518" ht="15.75" customHeight="1">
      <c r="F518" s="27"/>
      <c r="I518" s="27"/>
      <c r="L518" s="27"/>
      <c r="O518" s="27"/>
      <c r="R518" s="27"/>
      <c r="T518" s="27"/>
      <c r="Z518" s="27"/>
    </row>
    <row r="519" ht="15.75" customHeight="1">
      <c r="F519" s="27"/>
      <c r="I519" s="27"/>
      <c r="L519" s="27"/>
      <c r="O519" s="27"/>
      <c r="R519" s="27"/>
      <c r="T519" s="27"/>
      <c r="Z519" s="27"/>
    </row>
    <row r="520" ht="15.75" customHeight="1">
      <c r="F520" s="27"/>
      <c r="I520" s="27"/>
      <c r="L520" s="27"/>
      <c r="O520" s="27"/>
      <c r="R520" s="27"/>
      <c r="T520" s="27"/>
      <c r="Z520" s="27"/>
    </row>
    <row r="521" ht="15.75" customHeight="1">
      <c r="F521" s="27"/>
      <c r="I521" s="27"/>
      <c r="L521" s="27"/>
      <c r="O521" s="27"/>
      <c r="R521" s="27"/>
      <c r="T521" s="27"/>
      <c r="Z521" s="27"/>
    </row>
    <row r="522" ht="15.75" customHeight="1">
      <c r="F522" s="27"/>
      <c r="I522" s="27"/>
      <c r="L522" s="27"/>
      <c r="O522" s="27"/>
      <c r="R522" s="27"/>
      <c r="T522" s="27"/>
      <c r="Z522" s="27"/>
    </row>
    <row r="523" ht="15.75" customHeight="1">
      <c r="F523" s="27"/>
      <c r="I523" s="27"/>
      <c r="L523" s="27"/>
      <c r="O523" s="27"/>
      <c r="R523" s="27"/>
      <c r="T523" s="27"/>
      <c r="Z523" s="27"/>
    </row>
    <row r="524" ht="15.75" customHeight="1">
      <c r="F524" s="27"/>
      <c r="I524" s="27"/>
      <c r="L524" s="27"/>
      <c r="O524" s="27"/>
      <c r="R524" s="27"/>
      <c r="T524" s="27"/>
      <c r="Z524" s="27"/>
    </row>
    <row r="525" ht="15.75" customHeight="1">
      <c r="F525" s="27"/>
      <c r="I525" s="27"/>
      <c r="L525" s="27"/>
      <c r="O525" s="27"/>
      <c r="R525" s="27"/>
      <c r="T525" s="27"/>
      <c r="Z525" s="27"/>
    </row>
    <row r="526" ht="15.75" customHeight="1">
      <c r="F526" s="27"/>
      <c r="I526" s="27"/>
      <c r="L526" s="27"/>
      <c r="O526" s="27"/>
      <c r="R526" s="27"/>
      <c r="T526" s="27"/>
      <c r="Z526" s="27"/>
    </row>
    <row r="527" ht="15.75" customHeight="1">
      <c r="F527" s="27"/>
      <c r="I527" s="27"/>
      <c r="L527" s="27"/>
      <c r="O527" s="27"/>
      <c r="R527" s="27"/>
      <c r="T527" s="27"/>
      <c r="Z527" s="27"/>
    </row>
    <row r="528" ht="15.75" customHeight="1">
      <c r="F528" s="27"/>
      <c r="I528" s="27"/>
      <c r="L528" s="27"/>
      <c r="O528" s="27"/>
      <c r="R528" s="27"/>
      <c r="T528" s="27"/>
      <c r="Z528" s="27"/>
    </row>
    <row r="529" ht="15.75" customHeight="1">
      <c r="F529" s="27"/>
      <c r="I529" s="27"/>
      <c r="L529" s="27"/>
      <c r="O529" s="27"/>
      <c r="R529" s="27"/>
      <c r="T529" s="27"/>
      <c r="Z529" s="27"/>
    </row>
    <row r="530" ht="15.75" customHeight="1">
      <c r="F530" s="27"/>
      <c r="I530" s="27"/>
      <c r="L530" s="27"/>
      <c r="O530" s="27"/>
      <c r="R530" s="27"/>
      <c r="T530" s="27"/>
      <c r="Z530" s="27"/>
    </row>
    <row r="531" ht="15.75" customHeight="1">
      <c r="F531" s="27"/>
      <c r="I531" s="27"/>
      <c r="L531" s="27"/>
      <c r="O531" s="27"/>
      <c r="R531" s="27"/>
      <c r="T531" s="27"/>
      <c r="Z531" s="27"/>
    </row>
    <row r="532" ht="15.75" customHeight="1">
      <c r="F532" s="27"/>
      <c r="I532" s="27"/>
      <c r="L532" s="27"/>
      <c r="O532" s="27"/>
      <c r="R532" s="27"/>
      <c r="T532" s="27"/>
      <c r="Z532" s="27"/>
    </row>
    <row r="533" ht="15.75" customHeight="1">
      <c r="F533" s="27"/>
      <c r="I533" s="27"/>
      <c r="L533" s="27"/>
      <c r="O533" s="27"/>
      <c r="R533" s="27"/>
      <c r="T533" s="27"/>
      <c r="Z533" s="27"/>
    </row>
    <row r="534" ht="15.75" customHeight="1">
      <c r="F534" s="27"/>
      <c r="I534" s="27"/>
      <c r="L534" s="27"/>
      <c r="O534" s="27"/>
      <c r="R534" s="27"/>
      <c r="T534" s="27"/>
      <c r="Z534" s="27"/>
    </row>
    <row r="535" ht="15.75" customHeight="1">
      <c r="F535" s="27"/>
      <c r="I535" s="27"/>
      <c r="L535" s="27"/>
      <c r="O535" s="27"/>
      <c r="R535" s="27"/>
      <c r="T535" s="27"/>
      <c r="Z535" s="27"/>
    </row>
    <row r="536" ht="15.75" customHeight="1">
      <c r="F536" s="27"/>
      <c r="I536" s="27"/>
      <c r="L536" s="27"/>
      <c r="O536" s="27"/>
      <c r="R536" s="27"/>
      <c r="T536" s="27"/>
      <c r="Z536" s="27"/>
    </row>
    <row r="537" ht="15.75" customHeight="1">
      <c r="F537" s="27"/>
      <c r="I537" s="27"/>
      <c r="L537" s="27"/>
      <c r="O537" s="27"/>
      <c r="R537" s="27"/>
      <c r="T537" s="27"/>
      <c r="Z537" s="27"/>
    </row>
    <row r="538" ht="15.75" customHeight="1">
      <c r="F538" s="27"/>
      <c r="I538" s="27"/>
      <c r="L538" s="27"/>
      <c r="O538" s="27"/>
      <c r="R538" s="27"/>
      <c r="T538" s="27"/>
      <c r="Z538" s="27"/>
    </row>
    <row r="539" ht="15.75" customHeight="1">
      <c r="F539" s="27"/>
      <c r="I539" s="27"/>
      <c r="L539" s="27"/>
      <c r="O539" s="27"/>
      <c r="R539" s="27"/>
      <c r="T539" s="27"/>
      <c r="Z539" s="27"/>
    </row>
    <row r="540" ht="15.75" customHeight="1">
      <c r="F540" s="27"/>
      <c r="I540" s="27"/>
      <c r="L540" s="27"/>
      <c r="O540" s="27"/>
      <c r="R540" s="27"/>
      <c r="T540" s="27"/>
      <c r="Z540" s="27"/>
    </row>
    <row r="541" ht="15.75" customHeight="1">
      <c r="F541" s="27"/>
      <c r="I541" s="27"/>
      <c r="L541" s="27"/>
      <c r="O541" s="27"/>
      <c r="R541" s="27"/>
      <c r="T541" s="27"/>
      <c r="Z541" s="27"/>
    </row>
    <row r="542" ht="15.75" customHeight="1">
      <c r="F542" s="27"/>
      <c r="I542" s="27"/>
      <c r="L542" s="27"/>
      <c r="O542" s="27"/>
      <c r="R542" s="27"/>
      <c r="T542" s="27"/>
      <c r="Z542" s="27"/>
    </row>
    <row r="543" ht="15.75" customHeight="1">
      <c r="F543" s="27"/>
      <c r="I543" s="27"/>
      <c r="L543" s="27"/>
      <c r="O543" s="27"/>
      <c r="R543" s="27"/>
      <c r="T543" s="27"/>
      <c r="Z543" s="27"/>
    </row>
    <row r="544" ht="15.75" customHeight="1">
      <c r="F544" s="27"/>
      <c r="I544" s="27"/>
      <c r="L544" s="27"/>
      <c r="O544" s="27"/>
      <c r="R544" s="27"/>
      <c r="T544" s="27"/>
      <c r="Z544" s="27"/>
    </row>
    <row r="545" ht="15.75" customHeight="1">
      <c r="F545" s="27"/>
      <c r="I545" s="27"/>
      <c r="L545" s="27"/>
      <c r="O545" s="27"/>
      <c r="R545" s="27"/>
      <c r="T545" s="27"/>
      <c r="Z545" s="27"/>
    </row>
    <row r="546" ht="15.75" customHeight="1">
      <c r="F546" s="27"/>
      <c r="I546" s="27"/>
      <c r="L546" s="27"/>
      <c r="O546" s="27"/>
      <c r="R546" s="27"/>
      <c r="T546" s="27"/>
      <c r="Z546" s="27"/>
    </row>
    <row r="547" ht="15.75" customHeight="1">
      <c r="F547" s="27"/>
      <c r="I547" s="27"/>
      <c r="L547" s="27"/>
      <c r="O547" s="27"/>
      <c r="R547" s="27"/>
      <c r="T547" s="27"/>
      <c r="Z547" s="27"/>
    </row>
    <row r="548" ht="15.75" customHeight="1">
      <c r="F548" s="27"/>
      <c r="I548" s="27"/>
      <c r="L548" s="27"/>
      <c r="O548" s="27"/>
      <c r="R548" s="27"/>
      <c r="T548" s="27"/>
      <c r="Z548" s="27"/>
    </row>
    <row r="549" ht="15.75" customHeight="1">
      <c r="F549" s="27"/>
      <c r="I549" s="27"/>
      <c r="L549" s="27"/>
      <c r="O549" s="27"/>
      <c r="R549" s="27"/>
      <c r="T549" s="27"/>
      <c r="Z549" s="27"/>
    </row>
    <row r="550" ht="15.75" customHeight="1">
      <c r="F550" s="27"/>
      <c r="I550" s="27"/>
      <c r="L550" s="27"/>
      <c r="O550" s="27"/>
      <c r="R550" s="27"/>
      <c r="T550" s="27"/>
      <c r="Z550" s="27"/>
    </row>
    <row r="551" ht="15.75" customHeight="1">
      <c r="F551" s="27"/>
      <c r="I551" s="27"/>
      <c r="L551" s="27"/>
      <c r="O551" s="27"/>
      <c r="R551" s="27"/>
      <c r="T551" s="27"/>
      <c r="Z551" s="27"/>
    </row>
    <row r="552" ht="15.75" customHeight="1">
      <c r="F552" s="27"/>
      <c r="I552" s="27"/>
      <c r="L552" s="27"/>
      <c r="O552" s="27"/>
      <c r="R552" s="27"/>
      <c r="T552" s="27"/>
      <c r="Z552" s="27"/>
    </row>
    <row r="553" ht="15.75" customHeight="1">
      <c r="F553" s="27"/>
      <c r="I553" s="27"/>
      <c r="L553" s="27"/>
      <c r="O553" s="27"/>
      <c r="R553" s="27"/>
      <c r="T553" s="27"/>
      <c r="Z553" s="27"/>
    </row>
    <row r="554" ht="15.75" customHeight="1">
      <c r="F554" s="27"/>
      <c r="I554" s="27"/>
      <c r="L554" s="27"/>
      <c r="O554" s="27"/>
      <c r="R554" s="27"/>
      <c r="T554" s="27"/>
      <c r="Z554" s="27"/>
    </row>
    <row r="555" ht="15.75" customHeight="1">
      <c r="F555" s="27"/>
      <c r="I555" s="27"/>
      <c r="L555" s="27"/>
      <c r="O555" s="27"/>
      <c r="R555" s="27"/>
      <c r="T555" s="27"/>
      <c r="Z555" s="27"/>
    </row>
    <row r="556" ht="15.75" customHeight="1">
      <c r="F556" s="27"/>
      <c r="I556" s="27"/>
      <c r="L556" s="27"/>
      <c r="O556" s="27"/>
      <c r="R556" s="27"/>
      <c r="T556" s="27"/>
      <c r="Z556" s="27"/>
    </row>
    <row r="557" ht="15.75" customHeight="1">
      <c r="F557" s="27"/>
      <c r="I557" s="27"/>
      <c r="L557" s="27"/>
      <c r="O557" s="27"/>
      <c r="R557" s="27"/>
      <c r="T557" s="27"/>
      <c r="Z557" s="27"/>
    </row>
    <row r="558" ht="15.75" customHeight="1">
      <c r="F558" s="27"/>
      <c r="I558" s="27"/>
      <c r="L558" s="27"/>
      <c r="O558" s="27"/>
      <c r="R558" s="27"/>
      <c r="T558" s="27"/>
      <c r="Z558" s="27"/>
    </row>
    <row r="559" ht="15.75" customHeight="1">
      <c r="F559" s="27"/>
      <c r="I559" s="27"/>
      <c r="L559" s="27"/>
      <c r="O559" s="27"/>
      <c r="R559" s="27"/>
      <c r="T559" s="27"/>
      <c r="Z559" s="27"/>
    </row>
    <row r="560" ht="15.75" customHeight="1">
      <c r="F560" s="27"/>
      <c r="I560" s="27"/>
      <c r="L560" s="27"/>
      <c r="O560" s="27"/>
      <c r="R560" s="27"/>
      <c r="T560" s="27"/>
      <c r="Z560" s="27"/>
    </row>
    <row r="561" ht="15.75" customHeight="1">
      <c r="F561" s="27"/>
      <c r="I561" s="27"/>
      <c r="L561" s="27"/>
      <c r="O561" s="27"/>
      <c r="R561" s="27"/>
      <c r="T561" s="27"/>
      <c r="Z561" s="27"/>
    </row>
    <row r="562" ht="15.75" customHeight="1">
      <c r="F562" s="27"/>
      <c r="I562" s="27"/>
      <c r="L562" s="27"/>
      <c r="O562" s="27"/>
      <c r="R562" s="27"/>
      <c r="T562" s="27"/>
      <c r="Z562" s="27"/>
    </row>
    <row r="563" ht="15.75" customHeight="1">
      <c r="F563" s="27"/>
      <c r="I563" s="27"/>
      <c r="L563" s="27"/>
      <c r="O563" s="27"/>
      <c r="R563" s="27"/>
      <c r="T563" s="27"/>
      <c r="Z563" s="27"/>
    </row>
    <row r="564" ht="15.75" customHeight="1">
      <c r="F564" s="27"/>
      <c r="I564" s="27"/>
      <c r="L564" s="27"/>
      <c r="O564" s="27"/>
      <c r="R564" s="27"/>
      <c r="T564" s="27"/>
      <c r="Z564" s="27"/>
    </row>
    <row r="565" ht="15.75" customHeight="1">
      <c r="F565" s="27"/>
      <c r="I565" s="27"/>
      <c r="L565" s="27"/>
      <c r="O565" s="27"/>
      <c r="R565" s="27"/>
      <c r="T565" s="27"/>
      <c r="Z565" s="27"/>
    </row>
    <row r="566" ht="15.75" customHeight="1">
      <c r="F566" s="27"/>
      <c r="I566" s="27"/>
      <c r="L566" s="27"/>
      <c r="O566" s="27"/>
      <c r="R566" s="27"/>
      <c r="T566" s="27"/>
      <c r="Z566" s="27"/>
    </row>
    <row r="567" ht="15.75" customHeight="1">
      <c r="F567" s="27"/>
      <c r="I567" s="27"/>
      <c r="L567" s="27"/>
      <c r="O567" s="27"/>
      <c r="R567" s="27"/>
      <c r="T567" s="27"/>
      <c r="Z567" s="27"/>
    </row>
    <row r="568" ht="15.75" customHeight="1">
      <c r="F568" s="27"/>
      <c r="I568" s="27"/>
      <c r="L568" s="27"/>
      <c r="O568" s="27"/>
      <c r="R568" s="27"/>
      <c r="T568" s="27"/>
      <c r="Z568" s="27"/>
    </row>
    <row r="569" ht="15.75" customHeight="1">
      <c r="F569" s="27"/>
      <c r="I569" s="27"/>
      <c r="L569" s="27"/>
      <c r="O569" s="27"/>
      <c r="R569" s="27"/>
      <c r="T569" s="27"/>
      <c r="Z569" s="27"/>
    </row>
    <row r="570" ht="15.75" customHeight="1">
      <c r="F570" s="27"/>
      <c r="I570" s="27"/>
      <c r="L570" s="27"/>
      <c r="O570" s="27"/>
      <c r="R570" s="27"/>
      <c r="T570" s="27"/>
      <c r="Z570" s="27"/>
    </row>
    <row r="571" ht="15.75" customHeight="1">
      <c r="F571" s="27"/>
      <c r="I571" s="27"/>
      <c r="L571" s="27"/>
      <c r="O571" s="27"/>
      <c r="R571" s="27"/>
      <c r="T571" s="27"/>
      <c r="Z571" s="27"/>
    </row>
    <row r="572" ht="15.75" customHeight="1">
      <c r="F572" s="27"/>
      <c r="I572" s="27"/>
      <c r="L572" s="27"/>
      <c r="O572" s="27"/>
      <c r="R572" s="27"/>
      <c r="T572" s="27"/>
      <c r="Z572" s="27"/>
    </row>
    <row r="573" ht="15.75" customHeight="1">
      <c r="F573" s="27"/>
      <c r="I573" s="27"/>
      <c r="L573" s="27"/>
      <c r="O573" s="27"/>
      <c r="R573" s="27"/>
      <c r="T573" s="27"/>
      <c r="Z573" s="27"/>
    </row>
    <row r="574" ht="15.75" customHeight="1">
      <c r="F574" s="27"/>
      <c r="I574" s="27"/>
      <c r="L574" s="27"/>
      <c r="O574" s="27"/>
      <c r="R574" s="27"/>
      <c r="T574" s="27"/>
      <c r="Z574" s="27"/>
    </row>
    <row r="575" ht="15.75" customHeight="1">
      <c r="F575" s="27"/>
      <c r="I575" s="27"/>
      <c r="L575" s="27"/>
      <c r="O575" s="27"/>
      <c r="R575" s="27"/>
      <c r="T575" s="27"/>
      <c r="Z575" s="27"/>
    </row>
    <row r="576" ht="15.75" customHeight="1">
      <c r="F576" s="27"/>
      <c r="I576" s="27"/>
      <c r="L576" s="27"/>
      <c r="O576" s="27"/>
      <c r="R576" s="27"/>
      <c r="T576" s="27"/>
      <c r="Z576" s="27"/>
    </row>
    <row r="577" ht="15.75" customHeight="1">
      <c r="F577" s="27"/>
      <c r="I577" s="27"/>
      <c r="L577" s="27"/>
      <c r="O577" s="27"/>
      <c r="R577" s="27"/>
      <c r="T577" s="27"/>
      <c r="Z577" s="27"/>
    </row>
    <row r="578" ht="15.75" customHeight="1">
      <c r="F578" s="27"/>
      <c r="I578" s="27"/>
      <c r="L578" s="27"/>
      <c r="O578" s="27"/>
      <c r="R578" s="27"/>
      <c r="T578" s="27"/>
      <c r="Z578" s="27"/>
    </row>
    <row r="579" ht="15.75" customHeight="1">
      <c r="F579" s="27"/>
      <c r="I579" s="27"/>
      <c r="L579" s="27"/>
      <c r="O579" s="27"/>
      <c r="R579" s="27"/>
      <c r="T579" s="27"/>
      <c r="Z579" s="27"/>
    </row>
    <row r="580" ht="15.75" customHeight="1">
      <c r="F580" s="27"/>
      <c r="I580" s="27"/>
      <c r="L580" s="27"/>
      <c r="O580" s="27"/>
      <c r="R580" s="27"/>
      <c r="T580" s="27"/>
      <c r="Z580" s="27"/>
    </row>
    <row r="581" ht="15.75" customHeight="1">
      <c r="F581" s="27"/>
      <c r="I581" s="27"/>
      <c r="L581" s="27"/>
      <c r="O581" s="27"/>
      <c r="R581" s="27"/>
      <c r="T581" s="27"/>
      <c r="Z581" s="27"/>
    </row>
    <row r="582" ht="15.75" customHeight="1">
      <c r="F582" s="27"/>
      <c r="I582" s="27"/>
      <c r="L582" s="27"/>
      <c r="O582" s="27"/>
      <c r="R582" s="27"/>
      <c r="T582" s="27"/>
      <c r="Z582" s="27"/>
    </row>
    <row r="583" ht="15.75" customHeight="1">
      <c r="F583" s="27"/>
      <c r="I583" s="27"/>
      <c r="L583" s="27"/>
      <c r="O583" s="27"/>
      <c r="R583" s="27"/>
      <c r="T583" s="27"/>
      <c r="Z583" s="27"/>
    </row>
    <row r="584" ht="15.75" customHeight="1">
      <c r="F584" s="27"/>
      <c r="I584" s="27"/>
      <c r="L584" s="27"/>
      <c r="O584" s="27"/>
      <c r="R584" s="27"/>
      <c r="T584" s="27"/>
      <c r="Z584" s="27"/>
    </row>
    <row r="585" ht="15.75" customHeight="1">
      <c r="F585" s="27"/>
      <c r="I585" s="27"/>
      <c r="L585" s="27"/>
      <c r="O585" s="27"/>
      <c r="R585" s="27"/>
      <c r="T585" s="27"/>
      <c r="Z585" s="27"/>
    </row>
    <row r="586" ht="15.75" customHeight="1">
      <c r="F586" s="27"/>
      <c r="I586" s="27"/>
      <c r="L586" s="27"/>
      <c r="O586" s="27"/>
      <c r="R586" s="27"/>
      <c r="T586" s="27"/>
      <c r="Z586" s="27"/>
    </row>
    <row r="587" ht="15.75" customHeight="1">
      <c r="F587" s="27"/>
      <c r="I587" s="27"/>
      <c r="L587" s="27"/>
      <c r="O587" s="27"/>
      <c r="R587" s="27"/>
      <c r="T587" s="27"/>
      <c r="Z587" s="27"/>
    </row>
    <row r="588" ht="15.75" customHeight="1">
      <c r="F588" s="27"/>
      <c r="I588" s="27"/>
      <c r="L588" s="27"/>
      <c r="O588" s="27"/>
      <c r="R588" s="27"/>
      <c r="T588" s="27"/>
      <c r="Z588" s="27"/>
    </row>
    <row r="589" ht="15.75" customHeight="1">
      <c r="F589" s="27"/>
      <c r="I589" s="27"/>
      <c r="L589" s="27"/>
      <c r="O589" s="27"/>
      <c r="R589" s="27"/>
      <c r="T589" s="27"/>
      <c r="Z589" s="27"/>
    </row>
    <row r="590" ht="15.75" customHeight="1">
      <c r="F590" s="27"/>
      <c r="I590" s="27"/>
      <c r="L590" s="27"/>
      <c r="O590" s="27"/>
      <c r="R590" s="27"/>
      <c r="T590" s="27"/>
      <c r="Z590" s="27"/>
    </row>
    <row r="591" ht="15.75" customHeight="1">
      <c r="F591" s="27"/>
      <c r="I591" s="27"/>
      <c r="L591" s="27"/>
      <c r="O591" s="27"/>
      <c r="R591" s="27"/>
      <c r="T591" s="27"/>
      <c r="Z591" s="27"/>
    </row>
    <row r="592" ht="15.75" customHeight="1">
      <c r="F592" s="27"/>
      <c r="I592" s="27"/>
      <c r="L592" s="27"/>
      <c r="O592" s="27"/>
      <c r="R592" s="27"/>
      <c r="T592" s="27"/>
      <c r="Z592" s="27"/>
    </row>
    <row r="593" ht="15.75" customHeight="1">
      <c r="F593" s="27"/>
      <c r="I593" s="27"/>
      <c r="L593" s="27"/>
      <c r="O593" s="27"/>
      <c r="R593" s="27"/>
      <c r="T593" s="27"/>
      <c r="Z593" s="27"/>
    </row>
    <row r="594" ht="15.75" customHeight="1">
      <c r="F594" s="27"/>
      <c r="I594" s="27"/>
      <c r="L594" s="27"/>
      <c r="O594" s="27"/>
      <c r="R594" s="27"/>
      <c r="T594" s="27"/>
      <c r="Z594" s="27"/>
    </row>
    <row r="595" ht="15.75" customHeight="1">
      <c r="F595" s="27"/>
      <c r="I595" s="27"/>
      <c r="L595" s="27"/>
      <c r="O595" s="27"/>
      <c r="R595" s="27"/>
      <c r="T595" s="27"/>
      <c r="Z595" s="27"/>
    </row>
    <row r="596" ht="15.75" customHeight="1">
      <c r="F596" s="27"/>
      <c r="I596" s="27"/>
      <c r="L596" s="27"/>
      <c r="O596" s="27"/>
      <c r="R596" s="27"/>
      <c r="T596" s="27"/>
      <c r="Z596" s="27"/>
    </row>
    <row r="597" ht="15.75" customHeight="1">
      <c r="F597" s="27"/>
      <c r="I597" s="27"/>
      <c r="L597" s="27"/>
      <c r="O597" s="27"/>
      <c r="R597" s="27"/>
      <c r="T597" s="27"/>
      <c r="Z597" s="27"/>
    </row>
    <row r="598" ht="15.75" customHeight="1">
      <c r="F598" s="27"/>
      <c r="I598" s="27"/>
      <c r="L598" s="27"/>
      <c r="O598" s="27"/>
      <c r="R598" s="27"/>
      <c r="T598" s="27"/>
      <c r="Z598" s="27"/>
    </row>
    <row r="599" ht="15.75" customHeight="1">
      <c r="F599" s="27"/>
      <c r="I599" s="27"/>
      <c r="L599" s="27"/>
      <c r="O599" s="27"/>
      <c r="R599" s="27"/>
      <c r="T599" s="27"/>
      <c r="Z599" s="27"/>
    </row>
    <row r="600" ht="15.75" customHeight="1">
      <c r="F600" s="27"/>
      <c r="I600" s="27"/>
      <c r="L600" s="27"/>
      <c r="O600" s="27"/>
      <c r="R600" s="27"/>
      <c r="T600" s="27"/>
      <c r="Z600" s="27"/>
    </row>
    <row r="601" ht="15.75" customHeight="1">
      <c r="F601" s="27"/>
      <c r="I601" s="27"/>
      <c r="L601" s="27"/>
      <c r="O601" s="27"/>
      <c r="R601" s="27"/>
      <c r="T601" s="27"/>
      <c r="Z601" s="27"/>
    </row>
    <row r="602" ht="15.75" customHeight="1">
      <c r="F602" s="27"/>
      <c r="I602" s="27"/>
      <c r="L602" s="27"/>
      <c r="O602" s="27"/>
      <c r="R602" s="27"/>
      <c r="T602" s="27"/>
      <c r="Z602" s="27"/>
    </row>
    <row r="603" ht="15.75" customHeight="1">
      <c r="F603" s="27"/>
      <c r="I603" s="27"/>
      <c r="L603" s="27"/>
      <c r="O603" s="27"/>
      <c r="R603" s="27"/>
      <c r="T603" s="27"/>
      <c r="Z603" s="27"/>
    </row>
    <row r="604" ht="15.75" customHeight="1">
      <c r="F604" s="27"/>
      <c r="I604" s="27"/>
      <c r="L604" s="27"/>
      <c r="O604" s="27"/>
      <c r="R604" s="27"/>
      <c r="T604" s="27"/>
      <c r="Z604" s="27"/>
    </row>
    <row r="605" ht="15.75" customHeight="1">
      <c r="F605" s="27"/>
      <c r="I605" s="27"/>
      <c r="L605" s="27"/>
      <c r="O605" s="27"/>
      <c r="R605" s="27"/>
      <c r="T605" s="27"/>
      <c r="Z605" s="27"/>
    </row>
    <row r="606" ht="15.75" customHeight="1">
      <c r="F606" s="27"/>
      <c r="I606" s="27"/>
      <c r="L606" s="27"/>
      <c r="O606" s="27"/>
      <c r="R606" s="27"/>
      <c r="T606" s="27"/>
      <c r="Z606" s="27"/>
    </row>
    <row r="607" ht="15.75" customHeight="1">
      <c r="F607" s="27"/>
      <c r="I607" s="27"/>
      <c r="L607" s="27"/>
      <c r="O607" s="27"/>
      <c r="R607" s="27"/>
      <c r="T607" s="27"/>
      <c r="Z607" s="27"/>
    </row>
    <row r="608" ht="15.75" customHeight="1">
      <c r="F608" s="27"/>
      <c r="I608" s="27"/>
      <c r="L608" s="27"/>
      <c r="O608" s="27"/>
      <c r="R608" s="27"/>
      <c r="T608" s="27"/>
      <c r="Z608" s="27"/>
    </row>
    <row r="609" ht="15.75" customHeight="1">
      <c r="F609" s="27"/>
      <c r="I609" s="27"/>
      <c r="L609" s="27"/>
      <c r="O609" s="27"/>
      <c r="R609" s="27"/>
      <c r="T609" s="27"/>
      <c r="Z609" s="27"/>
    </row>
    <row r="610" ht="15.75" customHeight="1">
      <c r="F610" s="27"/>
      <c r="I610" s="27"/>
      <c r="L610" s="27"/>
      <c r="O610" s="27"/>
      <c r="R610" s="27"/>
      <c r="T610" s="27"/>
      <c r="Z610" s="27"/>
    </row>
    <row r="611" ht="15.75" customHeight="1">
      <c r="F611" s="27"/>
      <c r="I611" s="27"/>
      <c r="L611" s="27"/>
      <c r="O611" s="27"/>
      <c r="R611" s="27"/>
      <c r="T611" s="27"/>
      <c r="Z611" s="27"/>
    </row>
    <row r="612" ht="15.75" customHeight="1">
      <c r="F612" s="27"/>
      <c r="I612" s="27"/>
      <c r="L612" s="27"/>
      <c r="O612" s="27"/>
      <c r="R612" s="27"/>
      <c r="T612" s="27"/>
      <c r="Z612" s="27"/>
    </row>
    <row r="613" ht="15.75" customHeight="1">
      <c r="F613" s="27"/>
      <c r="I613" s="27"/>
      <c r="L613" s="27"/>
      <c r="O613" s="27"/>
      <c r="R613" s="27"/>
      <c r="T613" s="27"/>
      <c r="Z613" s="27"/>
    </row>
    <row r="614" ht="15.75" customHeight="1">
      <c r="F614" s="27"/>
      <c r="I614" s="27"/>
      <c r="L614" s="27"/>
      <c r="O614" s="27"/>
      <c r="R614" s="27"/>
      <c r="T614" s="27"/>
      <c r="Z614" s="27"/>
    </row>
    <row r="615" ht="15.75" customHeight="1">
      <c r="F615" s="27"/>
      <c r="I615" s="27"/>
      <c r="L615" s="27"/>
      <c r="O615" s="27"/>
      <c r="R615" s="27"/>
      <c r="T615" s="27"/>
      <c r="Z615" s="27"/>
    </row>
    <row r="616" ht="15.75" customHeight="1">
      <c r="F616" s="27"/>
      <c r="I616" s="27"/>
      <c r="L616" s="27"/>
      <c r="O616" s="27"/>
      <c r="R616" s="27"/>
      <c r="T616" s="27"/>
      <c r="Z616" s="27"/>
    </row>
    <row r="617" ht="15.75" customHeight="1">
      <c r="F617" s="27"/>
      <c r="I617" s="27"/>
      <c r="L617" s="27"/>
      <c r="O617" s="27"/>
      <c r="R617" s="27"/>
      <c r="T617" s="27"/>
      <c r="Z617" s="27"/>
    </row>
    <row r="618" ht="15.75" customHeight="1">
      <c r="F618" s="27"/>
      <c r="I618" s="27"/>
      <c r="L618" s="27"/>
      <c r="O618" s="27"/>
      <c r="R618" s="27"/>
      <c r="T618" s="27"/>
      <c r="Z618" s="27"/>
    </row>
    <row r="619" ht="15.75" customHeight="1">
      <c r="F619" s="27"/>
      <c r="I619" s="27"/>
      <c r="L619" s="27"/>
      <c r="O619" s="27"/>
      <c r="R619" s="27"/>
      <c r="T619" s="27"/>
      <c r="Z619" s="27"/>
    </row>
    <row r="620" ht="15.75" customHeight="1">
      <c r="F620" s="27"/>
      <c r="I620" s="27"/>
      <c r="L620" s="27"/>
      <c r="O620" s="27"/>
      <c r="R620" s="27"/>
      <c r="T620" s="27"/>
      <c r="Z620" s="27"/>
    </row>
    <row r="621" ht="15.75" customHeight="1">
      <c r="F621" s="27"/>
      <c r="I621" s="27"/>
      <c r="L621" s="27"/>
      <c r="O621" s="27"/>
      <c r="R621" s="27"/>
      <c r="T621" s="27"/>
      <c r="Z621" s="27"/>
    </row>
    <row r="622" ht="15.75" customHeight="1">
      <c r="F622" s="27"/>
      <c r="I622" s="27"/>
      <c r="L622" s="27"/>
      <c r="O622" s="27"/>
      <c r="R622" s="27"/>
      <c r="T622" s="27"/>
      <c r="Z622" s="27"/>
    </row>
    <row r="623" ht="15.75" customHeight="1">
      <c r="F623" s="27"/>
      <c r="I623" s="27"/>
      <c r="L623" s="27"/>
      <c r="O623" s="27"/>
      <c r="R623" s="27"/>
      <c r="T623" s="27"/>
      <c r="Z623" s="27"/>
    </row>
    <row r="624" ht="15.75" customHeight="1">
      <c r="F624" s="27"/>
      <c r="I624" s="27"/>
      <c r="L624" s="27"/>
      <c r="O624" s="27"/>
      <c r="R624" s="27"/>
      <c r="T624" s="27"/>
      <c r="Z624" s="27"/>
    </row>
    <row r="625" ht="15.75" customHeight="1">
      <c r="F625" s="27"/>
      <c r="I625" s="27"/>
      <c r="L625" s="27"/>
      <c r="O625" s="27"/>
      <c r="R625" s="27"/>
      <c r="T625" s="27"/>
      <c r="Z625" s="27"/>
    </row>
    <row r="626" ht="15.75" customHeight="1">
      <c r="F626" s="27"/>
      <c r="I626" s="27"/>
      <c r="L626" s="27"/>
      <c r="O626" s="27"/>
      <c r="R626" s="27"/>
      <c r="T626" s="27"/>
      <c r="Z626" s="27"/>
    </row>
    <row r="627" ht="15.75" customHeight="1">
      <c r="F627" s="27"/>
      <c r="I627" s="27"/>
      <c r="L627" s="27"/>
      <c r="O627" s="27"/>
      <c r="R627" s="27"/>
      <c r="T627" s="27"/>
      <c r="Z627" s="27"/>
    </row>
    <row r="628" ht="15.75" customHeight="1">
      <c r="F628" s="27"/>
      <c r="I628" s="27"/>
      <c r="L628" s="27"/>
      <c r="O628" s="27"/>
      <c r="R628" s="27"/>
      <c r="T628" s="27"/>
      <c r="Z628" s="27"/>
    </row>
    <row r="629" ht="15.75" customHeight="1">
      <c r="F629" s="27"/>
      <c r="I629" s="27"/>
      <c r="L629" s="27"/>
      <c r="O629" s="27"/>
      <c r="R629" s="27"/>
      <c r="T629" s="27"/>
      <c r="Z629" s="27"/>
    </row>
    <row r="630" ht="15.75" customHeight="1">
      <c r="F630" s="27"/>
      <c r="I630" s="27"/>
      <c r="L630" s="27"/>
      <c r="O630" s="27"/>
      <c r="R630" s="27"/>
      <c r="T630" s="27"/>
      <c r="Z630" s="27"/>
    </row>
    <row r="631" ht="15.75" customHeight="1">
      <c r="F631" s="27"/>
      <c r="I631" s="27"/>
      <c r="L631" s="27"/>
      <c r="O631" s="27"/>
      <c r="R631" s="27"/>
      <c r="T631" s="27"/>
      <c r="Z631" s="27"/>
    </row>
    <row r="632" ht="15.75" customHeight="1">
      <c r="F632" s="27"/>
      <c r="I632" s="27"/>
      <c r="L632" s="27"/>
      <c r="O632" s="27"/>
      <c r="R632" s="27"/>
      <c r="T632" s="27"/>
      <c r="Z632" s="27"/>
    </row>
    <row r="633" ht="15.75" customHeight="1">
      <c r="F633" s="27"/>
      <c r="I633" s="27"/>
      <c r="L633" s="27"/>
      <c r="O633" s="27"/>
      <c r="R633" s="27"/>
      <c r="T633" s="27"/>
      <c r="Z633" s="27"/>
    </row>
    <row r="634" ht="15.75" customHeight="1">
      <c r="F634" s="27"/>
      <c r="I634" s="27"/>
      <c r="L634" s="27"/>
      <c r="O634" s="27"/>
      <c r="R634" s="27"/>
      <c r="T634" s="27"/>
      <c r="Z634" s="27"/>
    </row>
    <row r="635" ht="15.75" customHeight="1">
      <c r="F635" s="27"/>
      <c r="I635" s="27"/>
      <c r="L635" s="27"/>
      <c r="O635" s="27"/>
      <c r="R635" s="27"/>
      <c r="T635" s="27"/>
      <c r="Z635" s="27"/>
    </row>
    <row r="636" ht="15.75" customHeight="1">
      <c r="F636" s="27"/>
      <c r="I636" s="27"/>
      <c r="L636" s="27"/>
      <c r="O636" s="27"/>
      <c r="R636" s="27"/>
      <c r="T636" s="27"/>
      <c r="Z636" s="27"/>
    </row>
    <row r="637" ht="15.75" customHeight="1">
      <c r="F637" s="27"/>
      <c r="I637" s="27"/>
      <c r="L637" s="27"/>
      <c r="O637" s="27"/>
      <c r="R637" s="27"/>
      <c r="T637" s="27"/>
      <c r="Z637" s="27"/>
    </row>
    <row r="638" ht="15.75" customHeight="1">
      <c r="F638" s="27"/>
      <c r="I638" s="27"/>
      <c r="L638" s="27"/>
      <c r="O638" s="27"/>
      <c r="R638" s="27"/>
      <c r="T638" s="27"/>
      <c r="Z638" s="27"/>
    </row>
    <row r="639" ht="15.75" customHeight="1">
      <c r="F639" s="27"/>
      <c r="I639" s="27"/>
      <c r="L639" s="27"/>
      <c r="O639" s="27"/>
      <c r="R639" s="27"/>
      <c r="T639" s="27"/>
      <c r="Z639" s="27"/>
    </row>
    <row r="640" ht="15.75" customHeight="1">
      <c r="F640" s="27"/>
      <c r="I640" s="27"/>
      <c r="L640" s="27"/>
      <c r="O640" s="27"/>
      <c r="R640" s="27"/>
      <c r="T640" s="27"/>
      <c r="Z640" s="27"/>
    </row>
    <row r="641" ht="15.75" customHeight="1">
      <c r="F641" s="27"/>
      <c r="I641" s="27"/>
      <c r="L641" s="27"/>
      <c r="O641" s="27"/>
      <c r="R641" s="27"/>
      <c r="T641" s="27"/>
      <c r="Z641" s="27"/>
    </row>
    <row r="642" ht="15.75" customHeight="1">
      <c r="F642" s="27"/>
      <c r="I642" s="27"/>
      <c r="L642" s="27"/>
      <c r="O642" s="27"/>
      <c r="R642" s="27"/>
      <c r="T642" s="27"/>
      <c r="Z642" s="27"/>
    </row>
    <row r="643" ht="15.75" customHeight="1">
      <c r="F643" s="27"/>
      <c r="I643" s="27"/>
      <c r="L643" s="27"/>
      <c r="O643" s="27"/>
      <c r="R643" s="27"/>
      <c r="T643" s="27"/>
      <c r="Z643" s="27"/>
    </row>
    <row r="644" ht="15.75" customHeight="1">
      <c r="F644" s="27"/>
      <c r="I644" s="27"/>
      <c r="L644" s="27"/>
      <c r="O644" s="27"/>
      <c r="R644" s="27"/>
      <c r="T644" s="27"/>
      <c r="Z644" s="27"/>
    </row>
    <row r="645" ht="15.75" customHeight="1">
      <c r="F645" s="27"/>
      <c r="I645" s="27"/>
      <c r="L645" s="27"/>
      <c r="O645" s="27"/>
      <c r="R645" s="27"/>
      <c r="T645" s="27"/>
      <c r="Z645" s="27"/>
    </row>
    <row r="646" ht="15.75" customHeight="1">
      <c r="F646" s="27"/>
      <c r="I646" s="27"/>
      <c r="L646" s="27"/>
      <c r="O646" s="27"/>
      <c r="R646" s="27"/>
      <c r="T646" s="27"/>
      <c r="Z646" s="27"/>
    </row>
    <row r="647" ht="15.75" customHeight="1">
      <c r="F647" s="27"/>
      <c r="I647" s="27"/>
      <c r="L647" s="27"/>
      <c r="O647" s="27"/>
      <c r="R647" s="27"/>
      <c r="T647" s="27"/>
      <c r="Z647" s="27"/>
    </row>
    <row r="648" ht="15.75" customHeight="1">
      <c r="F648" s="27"/>
      <c r="I648" s="27"/>
      <c r="L648" s="27"/>
      <c r="O648" s="27"/>
      <c r="R648" s="27"/>
      <c r="T648" s="27"/>
      <c r="Z648" s="27"/>
    </row>
    <row r="649" ht="15.75" customHeight="1">
      <c r="F649" s="27"/>
      <c r="I649" s="27"/>
      <c r="L649" s="27"/>
      <c r="O649" s="27"/>
      <c r="R649" s="27"/>
      <c r="T649" s="27"/>
      <c r="Z649" s="27"/>
    </row>
    <row r="650" ht="15.75" customHeight="1">
      <c r="F650" s="27"/>
      <c r="I650" s="27"/>
      <c r="L650" s="27"/>
      <c r="O650" s="27"/>
      <c r="R650" s="27"/>
      <c r="T650" s="27"/>
      <c r="Z650" s="27"/>
    </row>
    <row r="651" ht="15.75" customHeight="1">
      <c r="F651" s="27"/>
      <c r="I651" s="27"/>
      <c r="L651" s="27"/>
      <c r="O651" s="27"/>
      <c r="R651" s="27"/>
      <c r="T651" s="27"/>
      <c r="Z651" s="27"/>
    </row>
    <row r="652" ht="15.75" customHeight="1">
      <c r="F652" s="27"/>
      <c r="I652" s="27"/>
      <c r="L652" s="27"/>
      <c r="O652" s="27"/>
      <c r="R652" s="27"/>
      <c r="T652" s="27"/>
      <c r="Z652" s="27"/>
    </row>
    <row r="653" ht="15.75" customHeight="1">
      <c r="F653" s="27"/>
      <c r="I653" s="27"/>
      <c r="L653" s="27"/>
      <c r="O653" s="27"/>
      <c r="R653" s="27"/>
      <c r="T653" s="27"/>
      <c r="Z653" s="27"/>
    </row>
    <row r="654" ht="15.75" customHeight="1">
      <c r="F654" s="27"/>
      <c r="I654" s="27"/>
      <c r="L654" s="27"/>
      <c r="O654" s="27"/>
      <c r="R654" s="27"/>
      <c r="T654" s="27"/>
      <c r="Z654" s="27"/>
    </row>
    <row r="655" ht="15.75" customHeight="1">
      <c r="F655" s="27"/>
      <c r="I655" s="27"/>
      <c r="L655" s="27"/>
      <c r="O655" s="27"/>
      <c r="R655" s="27"/>
      <c r="T655" s="27"/>
      <c r="Z655" s="27"/>
    </row>
    <row r="656" ht="15.75" customHeight="1">
      <c r="F656" s="27"/>
      <c r="I656" s="27"/>
      <c r="L656" s="27"/>
      <c r="O656" s="27"/>
      <c r="R656" s="27"/>
      <c r="T656" s="27"/>
      <c r="Z656" s="27"/>
    </row>
    <row r="657" ht="15.75" customHeight="1">
      <c r="F657" s="27"/>
      <c r="I657" s="27"/>
      <c r="L657" s="27"/>
      <c r="O657" s="27"/>
      <c r="R657" s="27"/>
      <c r="T657" s="27"/>
      <c r="Z657" s="27"/>
    </row>
    <row r="658" ht="15.75" customHeight="1">
      <c r="F658" s="27"/>
      <c r="I658" s="27"/>
      <c r="L658" s="27"/>
      <c r="O658" s="27"/>
      <c r="R658" s="27"/>
      <c r="T658" s="27"/>
      <c r="Z658" s="27"/>
    </row>
    <row r="659" ht="15.75" customHeight="1">
      <c r="F659" s="27"/>
      <c r="I659" s="27"/>
      <c r="L659" s="27"/>
      <c r="O659" s="27"/>
      <c r="R659" s="27"/>
      <c r="T659" s="27"/>
      <c r="Z659" s="27"/>
    </row>
    <row r="660" ht="15.75" customHeight="1">
      <c r="F660" s="27"/>
      <c r="I660" s="27"/>
      <c r="L660" s="27"/>
      <c r="O660" s="27"/>
      <c r="R660" s="27"/>
      <c r="T660" s="27"/>
      <c r="Z660" s="27"/>
    </row>
    <row r="661" ht="15.75" customHeight="1">
      <c r="F661" s="27"/>
      <c r="I661" s="27"/>
      <c r="L661" s="27"/>
      <c r="O661" s="27"/>
      <c r="R661" s="27"/>
      <c r="T661" s="27"/>
      <c r="Z661" s="27"/>
    </row>
    <row r="662" ht="15.75" customHeight="1">
      <c r="F662" s="27"/>
      <c r="I662" s="27"/>
      <c r="L662" s="27"/>
      <c r="O662" s="27"/>
      <c r="R662" s="27"/>
      <c r="T662" s="27"/>
      <c r="Z662" s="27"/>
    </row>
    <row r="663" ht="15.75" customHeight="1">
      <c r="F663" s="27"/>
      <c r="I663" s="27"/>
      <c r="L663" s="27"/>
      <c r="O663" s="27"/>
      <c r="R663" s="27"/>
      <c r="T663" s="27"/>
      <c r="Z663" s="27"/>
    </row>
    <row r="664" ht="15.75" customHeight="1">
      <c r="F664" s="27"/>
      <c r="I664" s="27"/>
      <c r="L664" s="27"/>
      <c r="O664" s="27"/>
      <c r="R664" s="27"/>
      <c r="T664" s="27"/>
      <c r="Z664" s="27"/>
    </row>
    <row r="665" ht="15.75" customHeight="1">
      <c r="F665" s="27"/>
      <c r="I665" s="27"/>
      <c r="L665" s="27"/>
      <c r="O665" s="27"/>
      <c r="R665" s="27"/>
      <c r="T665" s="27"/>
      <c r="Z665" s="27"/>
    </row>
    <row r="666" ht="15.75" customHeight="1">
      <c r="F666" s="27"/>
      <c r="I666" s="27"/>
      <c r="L666" s="27"/>
      <c r="O666" s="27"/>
      <c r="R666" s="27"/>
      <c r="T666" s="27"/>
      <c r="Z666" s="27"/>
    </row>
    <row r="667" ht="15.75" customHeight="1">
      <c r="F667" s="27"/>
      <c r="I667" s="27"/>
      <c r="L667" s="27"/>
      <c r="O667" s="27"/>
      <c r="R667" s="27"/>
      <c r="T667" s="27"/>
      <c r="Z667" s="27"/>
    </row>
    <row r="668" ht="15.75" customHeight="1">
      <c r="F668" s="27"/>
      <c r="I668" s="27"/>
      <c r="L668" s="27"/>
      <c r="O668" s="27"/>
      <c r="R668" s="27"/>
      <c r="T668" s="27"/>
      <c r="Z668" s="27"/>
    </row>
    <row r="669" ht="15.75" customHeight="1">
      <c r="F669" s="27"/>
      <c r="I669" s="27"/>
      <c r="L669" s="27"/>
      <c r="O669" s="27"/>
      <c r="R669" s="27"/>
      <c r="T669" s="27"/>
      <c r="Z669" s="27"/>
    </row>
    <row r="670" ht="15.75" customHeight="1">
      <c r="F670" s="27"/>
      <c r="I670" s="27"/>
      <c r="L670" s="27"/>
      <c r="O670" s="27"/>
      <c r="R670" s="27"/>
      <c r="T670" s="27"/>
      <c r="Z670" s="27"/>
    </row>
    <row r="671" ht="15.75" customHeight="1">
      <c r="F671" s="27"/>
      <c r="I671" s="27"/>
      <c r="L671" s="27"/>
      <c r="O671" s="27"/>
      <c r="R671" s="27"/>
      <c r="T671" s="27"/>
      <c r="Z671" s="27"/>
    </row>
    <row r="672" ht="15.75" customHeight="1">
      <c r="F672" s="27"/>
      <c r="I672" s="27"/>
      <c r="L672" s="27"/>
      <c r="O672" s="27"/>
      <c r="R672" s="27"/>
      <c r="T672" s="27"/>
      <c r="Z672" s="27"/>
    </row>
    <row r="673" ht="15.75" customHeight="1">
      <c r="F673" s="27"/>
      <c r="I673" s="27"/>
      <c r="L673" s="27"/>
      <c r="O673" s="27"/>
      <c r="R673" s="27"/>
      <c r="T673" s="27"/>
      <c r="Z673" s="27"/>
    </row>
    <row r="674" ht="15.75" customHeight="1">
      <c r="F674" s="27"/>
      <c r="I674" s="27"/>
      <c r="L674" s="27"/>
      <c r="O674" s="27"/>
      <c r="R674" s="27"/>
      <c r="T674" s="27"/>
      <c r="Z674" s="27"/>
    </row>
    <row r="675" ht="15.75" customHeight="1">
      <c r="F675" s="27"/>
      <c r="I675" s="27"/>
      <c r="L675" s="27"/>
      <c r="O675" s="27"/>
      <c r="R675" s="27"/>
      <c r="T675" s="27"/>
      <c r="Z675" s="27"/>
    </row>
    <row r="676" ht="15.75" customHeight="1">
      <c r="F676" s="27"/>
      <c r="I676" s="27"/>
      <c r="L676" s="27"/>
      <c r="O676" s="27"/>
      <c r="R676" s="27"/>
      <c r="T676" s="27"/>
      <c r="Z676" s="27"/>
    </row>
    <row r="677" ht="15.75" customHeight="1">
      <c r="F677" s="27"/>
      <c r="I677" s="27"/>
      <c r="L677" s="27"/>
      <c r="O677" s="27"/>
      <c r="R677" s="27"/>
      <c r="T677" s="27"/>
      <c r="Z677" s="27"/>
    </row>
    <row r="678" ht="15.75" customHeight="1">
      <c r="F678" s="27"/>
      <c r="I678" s="27"/>
      <c r="L678" s="27"/>
      <c r="O678" s="27"/>
      <c r="R678" s="27"/>
      <c r="T678" s="27"/>
      <c r="Z678" s="27"/>
    </row>
    <row r="679" ht="15.75" customHeight="1">
      <c r="F679" s="27"/>
      <c r="I679" s="27"/>
      <c r="L679" s="27"/>
      <c r="O679" s="27"/>
      <c r="R679" s="27"/>
      <c r="T679" s="27"/>
      <c r="Z679" s="27"/>
    </row>
    <row r="680" ht="15.75" customHeight="1">
      <c r="F680" s="27"/>
      <c r="I680" s="27"/>
      <c r="L680" s="27"/>
      <c r="O680" s="27"/>
      <c r="R680" s="27"/>
      <c r="T680" s="27"/>
      <c r="Z680" s="27"/>
    </row>
    <row r="681" ht="15.75" customHeight="1">
      <c r="F681" s="27"/>
      <c r="I681" s="27"/>
      <c r="L681" s="27"/>
      <c r="O681" s="27"/>
      <c r="R681" s="27"/>
      <c r="T681" s="27"/>
      <c r="Z681" s="27"/>
    </row>
    <row r="682" ht="15.75" customHeight="1">
      <c r="F682" s="27"/>
      <c r="I682" s="27"/>
      <c r="L682" s="27"/>
      <c r="O682" s="27"/>
      <c r="R682" s="27"/>
      <c r="T682" s="27"/>
      <c r="Z682" s="27"/>
    </row>
    <row r="683" ht="15.75" customHeight="1">
      <c r="F683" s="27"/>
      <c r="I683" s="27"/>
      <c r="L683" s="27"/>
      <c r="O683" s="27"/>
      <c r="R683" s="27"/>
      <c r="T683" s="27"/>
      <c r="Z683" s="27"/>
    </row>
    <row r="684" ht="15.75" customHeight="1">
      <c r="F684" s="27"/>
      <c r="I684" s="27"/>
      <c r="L684" s="27"/>
      <c r="O684" s="27"/>
      <c r="R684" s="27"/>
      <c r="T684" s="27"/>
      <c r="Z684" s="27"/>
    </row>
    <row r="685" ht="15.75" customHeight="1">
      <c r="F685" s="27"/>
      <c r="I685" s="27"/>
      <c r="L685" s="27"/>
      <c r="O685" s="27"/>
      <c r="R685" s="27"/>
      <c r="T685" s="27"/>
      <c r="Z685" s="27"/>
    </row>
    <row r="686" ht="15.75" customHeight="1">
      <c r="F686" s="27"/>
      <c r="I686" s="27"/>
      <c r="L686" s="27"/>
      <c r="O686" s="27"/>
      <c r="R686" s="27"/>
      <c r="T686" s="27"/>
      <c r="Z686" s="27"/>
    </row>
    <row r="687" ht="15.75" customHeight="1">
      <c r="F687" s="27"/>
      <c r="I687" s="27"/>
      <c r="L687" s="27"/>
      <c r="O687" s="27"/>
      <c r="R687" s="27"/>
      <c r="T687" s="27"/>
      <c r="Z687" s="27"/>
    </row>
    <row r="688" ht="15.75" customHeight="1">
      <c r="F688" s="27"/>
      <c r="I688" s="27"/>
      <c r="L688" s="27"/>
      <c r="O688" s="27"/>
      <c r="R688" s="27"/>
      <c r="T688" s="27"/>
      <c r="Z688" s="27"/>
    </row>
    <row r="689" ht="15.75" customHeight="1">
      <c r="F689" s="27"/>
      <c r="I689" s="27"/>
      <c r="L689" s="27"/>
      <c r="O689" s="27"/>
      <c r="R689" s="27"/>
      <c r="T689" s="27"/>
      <c r="Z689" s="27"/>
    </row>
    <row r="690" ht="15.75" customHeight="1">
      <c r="F690" s="27"/>
      <c r="I690" s="27"/>
      <c r="L690" s="27"/>
      <c r="O690" s="27"/>
      <c r="R690" s="27"/>
      <c r="T690" s="27"/>
      <c r="Z690" s="27"/>
    </row>
    <row r="691" ht="15.75" customHeight="1">
      <c r="F691" s="27"/>
      <c r="I691" s="27"/>
      <c r="L691" s="27"/>
      <c r="O691" s="27"/>
      <c r="R691" s="27"/>
      <c r="T691" s="27"/>
      <c r="Z691" s="27"/>
    </row>
    <row r="692" ht="15.75" customHeight="1">
      <c r="F692" s="27"/>
      <c r="I692" s="27"/>
      <c r="L692" s="27"/>
      <c r="O692" s="27"/>
      <c r="R692" s="27"/>
      <c r="T692" s="27"/>
      <c r="Z692" s="27"/>
    </row>
    <row r="693" ht="15.75" customHeight="1">
      <c r="F693" s="27"/>
      <c r="I693" s="27"/>
      <c r="L693" s="27"/>
      <c r="O693" s="27"/>
      <c r="R693" s="27"/>
      <c r="T693" s="27"/>
      <c r="Z693" s="27"/>
    </row>
    <row r="694" ht="15.75" customHeight="1">
      <c r="F694" s="27"/>
      <c r="I694" s="27"/>
      <c r="L694" s="27"/>
      <c r="O694" s="27"/>
      <c r="R694" s="27"/>
      <c r="T694" s="27"/>
      <c r="Z694" s="27"/>
    </row>
    <row r="695" ht="15.75" customHeight="1">
      <c r="F695" s="27"/>
      <c r="I695" s="27"/>
      <c r="L695" s="27"/>
      <c r="O695" s="27"/>
      <c r="R695" s="27"/>
      <c r="T695" s="27"/>
      <c r="Z695" s="27"/>
    </row>
    <row r="696" ht="15.75" customHeight="1">
      <c r="F696" s="27"/>
      <c r="I696" s="27"/>
      <c r="L696" s="27"/>
      <c r="O696" s="27"/>
      <c r="R696" s="27"/>
      <c r="T696" s="27"/>
      <c r="Z696" s="27"/>
    </row>
    <row r="697" ht="15.75" customHeight="1">
      <c r="F697" s="27"/>
      <c r="I697" s="27"/>
      <c r="L697" s="27"/>
      <c r="O697" s="27"/>
      <c r="R697" s="27"/>
      <c r="T697" s="27"/>
      <c r="Z697" s="27"/>
    </row>
    <row r="698" ht="15.75" customHeight="1">
      <c r="F698" s="27"/>
      <c r="I698" s="27"/>
      <c r="L698" s="27"/>
      <c r="O698" s="27"/>
      <c r="R698" s="27"/>
      <c r="T698" s="27"/>
      <c r="Z698" s="27"/>
    </row>
    <row r="699" ht="15.75" customHeight="1">
      <c r="F699" s="27"/>
      <c r="I699" s="27"/>
      <c r="L699" s="27"/>
      <c r="O699" s="27"/>
      <c r="R699" s="27"/>
      <c r="T699" s="27"/>
      <c r="Z699" s="27"/>
    </row>
    <row r="700" ht="15.75" customHeight="1">
      <c r="F700" s="27"/>
      <c r="I700" s="27"/>
      <c r="L700" s="27"/>
      <c r="O700" s="27"/>
      <c r="R700" s="27"/>
      <c r="T700" s="27"/>
      <c r="Z700" s="27"/>
    </row>
    <row r="701" ht="15.75" customHeight="1">
      <c r="F701" s="27"/>
      <c r="I701" s="27"/>
      <c r="L701" s="27"/>
      <c r="O701" s="27"/>
      <c r="R701" s="27"/>
      <c r="T701" s="27"/>
      <c r="Z701" s="27"/>
    </row>
    <row r="702" ht="15.75" customHeight="1">
      <c r="F702" s="27"/>
      <c r="I702" s="27"/>
      <c r="L702" s="27"/>
      <c r="O702" s="27"/>
      <c r="R702" s="27"/>
      <c r="T702" s="27"/>
      <c r="Z702" s="27"/>
    </row>
    <row r="703" ht="15.75" customHeight="1">
      <c r="F703" s="27"/>
      <c r="I703" s="27"/>
      <c r="L703" s="27"/>
      <c r="O703" s="27"/>
      <c r="R703" s="27"/>
      <c r="T703" s="27"/>
      <c r="Z703" s="27"/>
    </row>
    <row r="704" ht="15.75" customHeight="1">
      <c r="F704" s="27"/>
      <c r="I704" s="27"/>
      <c r="L704" s="27"/>
      <c r="O704" s="27"/>
      <c r="R704" s="27"/>
      <c r="T704" s="27"/>
      <c r="Z704" s="27"/>
    </row>
    <row r="705" ht="15.75" customHeight="1">
      <c r="F705" s="27"/>
      <c r="I705" s="27"/>
      <c r="L705" s="27"/>
      <c r="O705" s="27"/>
      <c r="R705" s="27"/>
      <c r="T705" s="27"/>
      <c r="Z705" s="27"/>
    </row>
    <row r="706" ht="15.75" customHeight="1">
      <c r="F706" s="27"/>
      <c r="I706" s="27"/>
      <c r="L706" s="27"/>
      <c r="O706" s="27"/>
      <c r="R706" s="27"/>
      <c r="T706" s="27"/>
      <c r="Z706" s="27"/>
    </row>
    <row r="707" ht="15.75" customHeight="1">
      <c r="F707" s="27"/>
      <c r="I707" s="27"/>
      <c r="L707" s="27"/>
      <c r="O707" s="27"/>
      <c r="R707" s="27"/>
      <c r="T707" s="27"/>
      <c r="Z707" s="27"/>
    </row>
    <row r="708" ht="15.75" customHeight="1">
      <c r="F708" s="27"/>
      <c r="I708" s="27"/>
      <c r="L708" s="27"/>
      <c r="O708" s="27"/>
      <c r="R708" s="27"/>
      <c r="T708" s="27"/>
      <c r="Z708" s="27"/>
    </row>
    <row r="709" ht="15.75" customHeight="1">
      <c r="F709" s="27"/>
      <c r="I709" s="27"/>
      <c r="L709" s="27"/>
      <c r="O709" s="27"/>
      <c r="R709" s="27"/>
      <c r="T709" s="27"/>
      <c r="Z709" s="27"/>
    </row>
    <row r="710" ht="15.75" customHeight="1">
      <c r="F710" s="27"/>
      <c r="I710" s="27"/>
      <c r="L710" s="27"/>
      <c r="O710" s="27"/>
      <c r="R710" s="27"/>
      <c r="T710" s="27"/>
      <c r="Z710" s="27"/>
    </row>
    <row r="711" ht="15.75" customHeight="1">
      <c r="F711" s="27"/>
      <c r="I711" s="27"/>
      <c r="L711" s="27"/>
      <c r="O711" s="27"/>
      <c r="R711" s="27"/>
      <c r="T711" s="27"/>
      <c r="Z711" s="27"/>
    </row>
    <row r="712" ht="15.75" customHeight="1">
      <c r="F712" s="27"/>
      <c r="I712" s="27"/>
      <c r="L712" s="27"/>
      <c r="O712" s="27"/>
      <c r="R712" s="27"/>
      <c r="T712" s="27"/>
      <c r="Z712" s="27"/>
    </row>
    <row r="713" ht="15.75" customHeight="1">
      <c r="F713" s="27"/>
      <c r="I713" s="27"/>
      <c r="L713" s="27"/>
      <c r="O713" s="27"/>
      <c r="R713" s="27"/>
      <c r="T713" s="27"/>
      <c r="Z713" s="27"/>
    </row>
    <row r="714" ht="15.75" customHeight="1">
      <c r="F714" s="27"/>
      <c r="I714" s="27"/>
      <c r="L714" s="27"/>
      <c r="O714" s="27"/>
      <c r="R714" s="27"/>
      <c r="T714" s="27"/>
      <c r="Z714" s="27"/>
    </row>
    <row r="715" ht="15.75" customHeight="1">
      <c r="F715" s="27"/>
      <c r="I715" s="27"/>
      <c r="L715" s="27"/>
      <c r="O715" s="27"/>
      <c r="R715" s="27"/>
      <c r="T715" s="27"/>
      <c r="Z715" s="27"/>
    </row>
    <row r="716" ht="15.75" customHeight="1">
      <c r="F716" s="27"/>
      <c r="I716" s="27"/>
      <c r="L716" s="27"/>
      <c r="O716" s="27"/>
      <c r="R716" s="27"/>
      <c r="T716" s="27"/>
      <c r="Z716" s="27"/>
    </row>
    <row r="717" ht="15.75" customHeight="1">
      <c r="F717" s="27"/>
      <c r="I717" s="27"/>
      <c r="L717" s="27"/>
      <c r="O717" s="27"/>
      <c r="R717" s="27"/>
      <c r="T717" s="27"/>
      <c r="Z717" s="27"/>
    </row>
    <row r="718" ht="15.75" customHeight="1">
      <c r="F718" s="27"/>
      <c r="I718" s="27"/>
      <c r="L718" s="27"/>
      <c r="O718" s="27"/>
      <c r="R718" s="27"/>
      <c r="T718" s="27"/>
      <c r="Z718" s="27"/>
    </row>
    <row r="719" ht="15.75" customHeight="1">
      <c r="F719" s="27"/>
      <c r="I719" s="27"/>
      <c r="L719" s="27"/>
      <c r="O719" s="27"/>
      <c r="R719" s="27"/>
      <c r="T719" s="27"/>
      <c r="Z719" s="27"/>
    </row>
    <row r="720" ht="15.75" customHeight="1">
      <c r="F720" s="27"/>
      <c r="I720" s="27"/>
      <c r="L720" s="27"/>
      <c r="O720" s="27"/>
      <c r="R720" s="27"/>
      <c r="T720" s="27"/>
      <c r="Z720" s="27"/>
    </row>
    <row r="721" ht="15.75" customHeight="1">
      <c r="F721" s="27"/>
      <c r="I721" s="27"/>
      <c r="L721" s="27"/>
      <c r="O721" s="27"/>
      <c r="R721" s="27"/>
      <c r="T721" s="27"/>
      <c r="Z721" s="27"/>
    </row>
    <row r="722" ht="15.75" customHeight="1">
      <c r="F722" s="27"/>
      <c r="I722" s="27"/>
      <c r="L722" s="27"/>
      <c r="O722" s="27"/>
      <c r="R722" s="27"/>
      <c r="T722" s="27"/>
      <c r="Z722" s="27"/>
    </row>
    <row r="723" ht="15.75" customHeight="1">
      <c r="F723" s="27"/>
      <c r="I723" s="27"/>
      <c r="L723" s="27"/>
      <c r="O723" s="27"/>
      <c r="R723" s="27"/>
      <c r="T723" s="27"/>
      <c r="Z723" s="27"/>
    </row>
    <row r="724" ht="15.75" customHeight="1">
      <c r="F724" s="27"/>
      <c r="I724" s="27"/>
      <c r="L724" s="27"/>
      <c r="O724" s="27"/>
      <c r="R724" s="27"/>
      <c r="T724" s="27"/>
      <c r="Z724" s="27"/>
    </row>
    <row r="725" ht="15.75" customHeight="1">
      <c r="F725" s="27"/>
      <c r="I725" s="27"/>
      <c r="L725" s="27"/>
      <c r="O725" s="27"/>
      <c r="R725" s="27"/>
      <c r="T725" s="27"/>
      <c r="Z725" s="27"/>
    </row>
    <row r="726" ht="15.75" customHeight="1">
      <c r="F726" s="27"/>
      <c r="I726" s="27"/>
      <c r="L726" s="27"/>
      <c r="O726" s="27"/>
      <c r="R726" s="27"/>
      <c r="T726" s="27"/>
      <c r="Z726" s="27"/>
    </row>
    <row r="727" ht="15.75" customHeight="1">
      <c r="F727" s="27"/>
      <c r="I727" s="27"/>
      <c r="L727" s="27"/>
      <c r="O727" s="27"/>
      <c r="R727" s="27"/>
      <c r="T727" s="27"/>
      <c r="Z727" s="27"/>
    </row>
    <row r="728" ht="15.75" customHeight="1">
      <c r="F728" s="27"/>
      <c r="I728" s="27"/>
      <c r="L728" s="27"/>
      <c r="O728" s="27"/>
      <c r="R728" s="27"/>
      <c r="T728" s="27"/>
      <c r="Z728" s="27"/>
    </row>
    <row r="729" ht="15.75" customHeight="1">
      <c r="F729" s="27"/>
      <c r="I729" s="27"/>
      <c r="L729" s="27"/>
      <c r="O729" s="27"/>
      <c r="R729" s="27"/>
      <c r="T729" s="27"/>
      <c r="Z729" s="27"/>
    </row>
    <row r="730" ht="15.75" customHeight="1">
      <c r="F730" s="27"/>
      <c r="I730" s="27"/>
      <c r="L730" s="27"/>
      <c r="O730" s="27"/>
      <c r="R730" s="27"/>
      <c r="T730" s="27"/>
      <c r="Z730" s="27"/>
    </row>
    <row r="731" ht="15.75" customHeight="1">
      <c r="F731" s="27"/>
      <c r="I731" s="27"/>
      <c r="L731" s="27"/>
      <c r="O731" s="27"/>
      <c r="R731" s="27"/>
      <c r="T731" s="27"/>
      <c r="Z731" s="27"/>
    </row>
    <row r="732" ht="15.75" customHeight="1">
      <c r="F732" s="27"/>
      <c r="I732" s="27"/>
      <c r="L732" s="27"/>
      <c r="O732" s="27"/>
      <c r="R732" s="27"/>
      <c r="T732" s="27"/>
      <c r="Z732" s="27"/>
    </row>
    <row r="733" ht="15.75" customHeight="1">
      <c r="F733" s="27"/>
      <c r="I733" s="27"/>
      <c r="L733" s="27"/>
      <c r="O733" s="27"/>
      <c r="R733" s="27"/>
      <c r="T733" s="27"/>
      <c r="Z733" s="27"/>
    </row>
    <row r="734" ht="15.75" customHeight="1">
      <c r="F734" s="27"/>
      <c r="I734" s="27"/>
      <c r="L734" s="27"/>
      <c r="O734" s="27"/>
      <c r="R734" s="27"/>
      <c r="T734" s="27"/>
      <c r="Z734" s="27"/>
    </row>
    <row r="735" ht="15.75" customHeight="1">
      <c r="F735" s="27"/>
      <c r="I735" s="27"/>
      <c r="L735" s="27"/>
      <c r="O735" s="27"/>
      <c r="R735" s="27"/>
      <c r="T735" s="27"/>
      <c r="Z735" s="27"/>
    </row>
    <row r="736" ht="15.75" customHeight="1">
      <c r="F736" s="27"/>
      <c r="I736" s="27"/>
      <c r="L736" s="27"/>
      <c r="O736" s="27"/>
      <c r="R736" s="27"/>
      <c r="T736" s="27"/>
      <c r="Z736" s="27"/>
    </row>
    <row r="737" ht="15.75" customHeight="1">
      <c r="F737" s="27"/>
      <c r="I737" s="27"/>
      <c r="L737" s="27"/>
      <c r="O737" s="27"/>
      <c r="R737" s="27"/>
      <c r="T737" s="27"/>
      <c r="Z737" s="27"/>
    </row>
    <row r="738" ht="15.75" customHeight="1">
      <c r="F738" s="27"/>
      <c r="I738" s="27"/>
      <c r="L738" s="27"/>
      <c r="O738" s="27"/>
      <c r="R738" s="27"/>
      <c r="T738" s="27"/>
      <c r="Z738" s="27"/>
    </row>
    <row r="739" ht="15.75" customHeight="1">
      <c r="F739" s="27"/>
      <c r="I739" s="27"/>
      <c r="L739" s="27"/>
      <c r="O739" s="27"/>
      <c r="R739" s="27"/>
      <c r="T739" s="27"/>
      <c r="Z739" s="27"/>
    </row>
    <row r="740" ht="15.75" customHeight="1">
      <c r="F740" s="27"/>
      <c r="I740" s="27"/>
      <c r="L740" s="27"/>
      <c r="O740" s="27"/>
      <c r="R740" s="27"/>
      <c r="T740" s="27"/>
      <c r="Z740" s="27"/>
    </row>
    <row r="741" ht="15.75" customHeight="1">
      <c r="F741" s="27"/>
      <c r="I741" s="27"/>
      <c r="L741" s="27"/>
      <c r="O741" s="27"/>
      <c r="R741" s="27"/>
      <c r="T741" s="27"/>
      <c r="Z741" s="27"/>
    </row>
    <row r="742" ht="15.75" customHeight="1">
      <c r="F742" s="27"/>
      <c r="I742" s="27"/>
      <c r="L742" s="27"/>
      <c r="O742" s="27"/>
      <c r="R742" s="27"/>
      <c r="T742" s="27"/>
      <c r="Z742" s="27"/>
    </row>
    <row r="743" ht="15.75" customHeight="1">
      <c r="F743" s="27"/>
      <c r="I743" s="27"/>
      <c r="L743" s="27"/>
      <c r="O743" s="27"/>
      <c r="R743" s="27"/>
      <c r="T743" s="27"/>
      <c r="Z743" s="27"/>
    </row>
    <row r="744" ht="15.75" customHeight="1">
      <c r="F744" s="27"/>
      <c r="I744" s="27"/>
      <c r="L744" s="27"/>
      <c r="O744" s="27"/>
      <c r="R744" s="27"/>
      <c r="T744" s="27"/>
      <c r="Z744" s="27"/>
    </row>
    <row r="745" ht="15.75" customHeight="1">
      <c r="F745" s="27"/>
      <c r="I745" s="27"/>
      <c r="L745" s="27"/>
      <c r="O745" s="27"/>
      <c r="R745" s="27"/>
      <c r="T745" s="27"/>
      <c r="Z745" s="27"/>
    </row>
    <row r="746" ht="15.75" customHeight="1">
      <c r="F746" s="27"/>
      <c r="I746" s="27"/>
      <c r="L746" s="27"/>
      <c r="O746" s="27"/>
      <c r="R746" s="27"/>
      <c r="T746" s="27"/>
      <c r="Z746" s="27"/>
    </row>
    <row r="747" ht="15.75" customHeight="1">
      <c r="F747" s="27"/>
      <c r="I747" s="27"/>
      <c r="L747" s="27"/>
      <c r="O747" s="27"/>
      <c r="R747" s="27"/>
      <c r="T747" s="27"/>
      <c r="Z747" s="27"/>
    </row>
    <row r="748" ht="15.75" customHeight="1">
      <c r="F748" s="27"/>
      <c r="I748" s="27"/>
      <c r="L748" s="27"/>
      <c r="O748" s="27"/>
      <c r="R748" s="27"/>
      <c r="T748" s="27"/>
      <c r="Z748" s="27"/>
    </row>
    <row r="749" ht="15.75" customHeight="1">
      <c r="F749" s="27"/>
      <c r="I749" s="27"/>
      <c r="L749" s="27"/>
      <c r="O749" s="27"/>
      <c r="R749" s="27"/>
      <c r="T749" s="27"/>
      <c r="Z749" s="27"/>
    </row>
    <row r="750" ht="15.75" customHeight="1">
      <c r="F750" s="27"/>
      <c r="I750" s="27"/>
      <c r="L750" s="27"/>
      <c r="O750" s="27"/>
      <c r="R750" s="27"/>
      <c r="T750" s="27"/>
      <c r="Z750" s="27"/>
    </row>
    <row r="751" ht="15.75" customHeight="1">
      <c r="F751" s="27"/>
      <c r="I751" s="27"/>
      <c r="L751" s="27"/>
      <c r="O751" s="27"/>
      <c r="R751" s="27"/>
      <c r="T751" s="27"/>
      <c r="Z751" s="27"/>
    </row>
    <row r="752" ht="15.75" customHeight="1">
      <c r="F752" s="27"/>
      <c r="I752" s="27"/>
      <c r="L752" s="27"/>
      <c r="O752" s="27"/>
      <c r="R752" s="27"/>
      <c r="T752" s="27"/>
      <c r="Z752" s="27"/>
    </row>
    <row r="753" ht="15.75" customHeight="1">
      <c r="F753" s="27"/>
      <c r="I753" s="27"/>
      <c r="L753" s="27"/>
      <c r="O753" s="27"/>
      <c r="R753" s="27"/>
      <c r="T753" s="27"/>
      <c r="Z753" s="27"/>
    </row>
    <row r="754" ht="15.75" customHeight="1">
      <c r="F754" s="27"/>
      <c r="I754" s="27"/>
      <c r="L754" s="27"/>
      <c r="O754" s="27"/>
      <c r="R754" s="27"/>
      <c r="T754" s="27"/>
      <c r="Z754" s="27"/>
    </row>
    <row r="755" ht="15.75" customHeight="1">
      <c r="F755" s="27"/>
      <c r="I755" s="27"/>
      <c r="L755" s="27"/>
      <c r="O755" s="27"/>
      <c r="R755" s="27"/>
      <c r="T755" s="27"/>
      <c r="Z755" s="27"/>
    </row>
    <row r="756" ht="15.75" customHeight="1">
      <c r="F756" s="27"/>
      <c r="I756" s="27"/>
      <c r="L756" s="27"/>
      <c r="O756" s="27"/>
      <c r="R756" s="27"/>
      <c r="T756" s="27"/>
      <c r="Z756" s="27"/>
    </row>
    <row r="757" ht="15.75" customHeight="1">
      <c r="F757" s="27"/>
      <c r="I757" s="27"/>
      <c r="L757" s="27"/>
      <c r="O757" s="27"/>
      <c r="R757" s="27"/>
      <c r="T757" s="27"/>
      <c r="Z757" s="27"/>
    </row>
    <row r="758" ht="15.75" customHeight="1">
      <c r="F758" s="27"/>
      <c r="I758" s="27"/>
      <c r="L758" s="27"/>
      <c r="O758" s="27"/>
      <c r="R758" s="27"/>
      <c r="T758" s="27"/>
      <c r="Z758" s="27"/>
    </row>
    <row r="759" ht="15.75" customHeight="1">
      <c r="F759" s="27"/>
      <c r="I759" s="27"/>
      <c r="L759" s="27"/>
      <c r="O759" s="27"/>
      <c r="R759" s="27"/>
      <c r="T759" s="27"/>
      <c r="Z759" s="27"/>
    </row>
    <row r="760" ht="15.75" customHeight="1">
      <c r="F760" s="27"/>
      <c r="I760" s="27"/>
      <c r="L760" s="27"/>
      <c r="O760" s="27"/>
      <c r="R760" s="27"/>
      <c r="T760" s="27"/>
      <c r="Z760" s="27"/>
    </row>
    <row r="761" ht="15.75" customHeight="1">
      <c r="F761" s="27"/>
      <c r="I761" s="27"/>
      <c r="L761" s="27"/>
      <c r="O761" s="27"/>
      <c r="R761" s="27"/>
      <c r="T761" s="27"/>
      <c r="Z761" s="27"/>
    </row>
    <row r="762" ht="15.75" customHeight="1">
      <c r="F762" s="27"/>
      <c r="I762" s="27"/>
      <c r="L762" s="27"/>
      <c r="O762" s="27"/>
      <c r="R762" s="27"/>
      <c r="T762" s="27"/>
      <c r="Z762" s="27"/>
    </row>
    <row r="763" ht="15.75" customHeight="1">
      <c r="F763" s="27"/>
      <c r="I763" s="27"/>
      <c r="L763" s="27"/>
      <c r="O763" s="27"/>
      <c r="R763" s="27"/>
      <c r="T763" s="27"/>
      <c r="Z763" s="27"/>
    </row>
    <row r="764" ht="15.75" customHeight="1">
      <c r="F764" s="27"/>
      <c r="I764" s="27"/>
      <c r="L764" s="27"/>
      <c r="O764" s="27"/>
      <c r="R764" s="27"/>
      <c r="T764" s="27"/>
      <c r="Z764" s="27"/>
    </row>
    <row r="765" ht="15.75" customHeight="1">
      <c r="F765" s="27"/>
      <c r="I765" s="27"/>
      <c r="L765" s="27"/>
      <c r="O765" s="27"/>
      <c r="R765" s="27"/>
      <c r="T765" s="27"/>
      <c r="Z765" s="27"/>
    </row>
    <row r="766" ht="15.75" customHeight="1">
      <c r="F766" s="27"/>
      <c r="I766" s="27"/>
      <c r="L766" s="27"/>
      <c r="O766" s="27"/>
      <c r="R766" s="27"/>
      <c r="T766" s="27"/>
      <c r="Z766" s="27"/>
    </row>
    <row r="767" ht="15.75" customHeight="1">
      <c r="F767" s="27"/>
      <c r="I767" s="27"/>
      <c r="L767" s="27"/>
      <c r="O767" s="27"/>
      <c r="R767" s="27"/>
      <c r="T767" s="27"/>
      <c r="Z767" s="27"/>
    </row>
    <row r="768" ht="15.75" customHeight="1">
      <c r="F768" s="27"/>
      <c r="I768" s="27"/>
      <c r="L768" s="27"/>
      <c r="O768" s="27"/>
      <c r="R768" s="27"/>
      <c r="T768" s="27"/>
      <c r="Z768" s="27"/>
    </row>
    <row r="769" ht="15.75" customHeight="1">
      <c r="F769" s="27"/>
      <c r="I769" s="27"/>
      <c r="L769" s="27"/>
      <c r="O769" s="27"/>
      <c r="R769" s="27"/>
      <c r="T769" s="27"/>
      <c r="Z769" s="27"/>
    </row>
    <row r="770" ht="15.75" customHeight="1">
      <c r="F770" s="27"/>
      <c r="I770" s="27"/>
      <c r="L770" s="27"/>
      <c r="O770" s="27"/>
      <c r="R770" s="27"/>
      <c r="T770" s="27"/>
      <c r="Z770" s="27"/>
    </row>
    <row r="771" ht="15.75" customHeight="1">
      <c r="F771" s="27"/>
      <c r="I771" s="27"/>
      <c r="L771" s="27"/>
      <c r="O771" s="27"/>
      <c r="R771" s="27"/>
      <c r="T771" s="27"/>
      <c r="Z771" s="27"/>
    </row>
    <row r="772" ht="15.75" customHeight="1">
      <c r="F772" s="27"/>
      <c r="I772" s="27"/>
      <c r="L772" s="27"/>
      <c r="O772" s="27"/>
      <c r="R772" s="27"/>
      <c r="T772" s="27"/>
      <c r="Z772" s="27"/>
    </row>
    <row r="773" ht="15.75" customHeight="1">
      <c r="F773" s="27"/>
      <c r="I773" s="27"/>
      <c r="L773" s="27"/>
      <c r="O773" s="27"/>
      <c r="R773" s="27"/>
      <c r="T773" s="27"/>
      <c r="Z773" s="27"/>
    </row>
    <row r="774" ht="15.75" customHeight="1">
      <c r="F774" s="27"/>
      <c r="I774" s="27"/>
      <c r="L774" s="27"/>
      <c r="O774" s="27"/>
      <c r="R774" s="27"/>
      <c r="T774" s="27"/>
      <c r="Z774" s="27"/>
    </row>
    <row r="775" ht="15.75" customHeight="1">
      <c r="F775" s="27"/>
      <c r="I775" s="27"/>
      <c r="L775" s="27"/>
      <c r="O775" s="27"/>
      <c r="R775" s="27"/>
      <c r="T775" s="27"/>
      <c r="Z775" s="27"/>
    </row>
    <row r="776" ht="15.75" customHeight="1">
      <c r="F776" s="27"/>
      <c r="I776" s="27"/>
      <c r="L776" s="27"/>
      <c r="O776" s="27"/>
      <c r="R776" s="27"/>
      <c r="T776" s="27"/>
      <c r="Z776" s="27"/>
    </row>
    <row r="777" ht="15.75" customHeight="1">
      <c r="F777" s="27"/>
      <c r="I777" s="27"/>
      <c r="L777" s="27"/>
      <c r="O777" s="27"/>
      <c r="R777" s="27"/>
      <c r="T777" s="27"/>
      <c r="Z777" s="27"/>
    </row>
    <row r="778" ht="15.75" customHeight="1">
      <c r="F778" s="27"/>
      <c r="I778" s="27"/>
      <c r="L778" s="27"/>
      <c r="O778" s="27"/>
      <c r="R778" s="27"/>
      <c r="T778" s="27"/>
      <c r="Z778" s="27"/>
    </row>
    <row r="779" ht="15.75" customHeight="1">
      <c r="F779" s="27"/>
      <c r="I779" s="27"/>
      <c r="L779" s="27"/>
      <c r="O779" s="27"/>
      <c r="R779" s="27"/>
      <c r="T779" s="27"/>
      <c r="Z779" s="27"/>
    </row>
    <row r="780" ht="15.75" customHeight="1">
      <c r="F780" s="27"/>
      <c r="I780" s="27"/>
      <c r="L780" s="27"/>
      <c r="O780" s="27"/>
      <c r="R780" s="27"/>
      <c r="T780" s="27"/>
      <c r="Z780" s="27"/>
    </row>
    <row r="781" ht="15.75" customHeight="1">
      <c r="F781" s="27"/>
      <c r="I781" s="27"/>
      <c r="L781" s="27"/>
      <c r="O781" s="27"/>
      <c r="R781" s="27"/>
      <c r="T781" s="27"/>
      <c r="Z781" s="27"/>
    </row>
    <row r="782" ht="15.75" customHeight="1">
      <c r="F782" s="27"/>
      <c r="I782" s="27"/>
      <c r="L782" s="27"/>
      <c r="O782" s="27"/>
      <c r="R782" s="27"/>
      <c r="T782" s="27"/>
      <c r="Z782" s="27"/>
    </row>
    <row r="783" ht="15.75" customHeight="1">
      <c r="F783" s="27"/>
      <c r="I783" s="27"/>
      <c r="L783" s="27"/>
      <c r="O783" s="27"/>
      <c r="R783" s="27"/>
      <c r="T783" s="27"/>
      <c r="Z783" s="27"/>
    </row>
    <row r="784" ht="15.75" customHeight="1">
      <c r="F784" s="27"/>
      <c r="I784" s="27"/>
      <c r="L784" s="27"/>
      <c r="O784" s="27"/>
      <c r="R784" s="27"/>
      <c r="T784" s="27"/>
      <c r="Z784" s="27"/>
    </row>
    <row r="785" ht="15.75" customHeight="1">
      <c r="F785" s="27"/>
      <c r="I785" s="27"/>
      <c r="L785" s="27"/>
      <c r="O785" s="27"/>
      <c r="R785" s="27"/>
      <c r="T785" s="27"/>
      <c r="Z785" s="27"/>
    </row>
    <row r="786" ht="15.75" customHeight="1">
      <c r="F786" s="27"/>
      <c r="I786" s="27"/>
      <c r="L786" s="27"/>
      <c r="O786" s="27"/>
      <c r="R786" s="27"/>
      <c r="T786" s="27"/>
      <c r="Z786" s="27"/>
    </row>
    <row r="787" ht="15.75" customHeight="1">
      <c r="F787" s="27"/>
      <c r="I787" s="27"/>
      <c r="L787" s="27"/>
      <c r="O787" s="27"/>
      <c r="R787" s="27"/>
      <c r="T787" s="27"/>
      <c r="Z787" s="27"/>
    </row>
    <row r="788" ht="15.75" customHeight="1">
      <c r="F788" s="27"/>
      <c r="I788" s="27"/>
      <c r="L788" s="27"/>
      <c r="O788" s="27"/>
      <c r="R788" s="27"/>
      <c r="T788" s="27"/>
      <c r="Z788" s="27"/>
    </row>
    <row r="789" ht="15.75" customHeight="1">
      <c r="F789" s="27"/>
      <c r="I789" s="27"/>
      <c r="L789" s="27"/>
      <c r="O789" s="27"/>
      <c r="R789" s="27"/>
      <c r="T789" s="27"/>
      <c r="Z789" s="27"/>
    </row>
    <row r="790" ht="15.75" customHeight="1">
      <c r="F790" s="27"/>
      <c r="I790" s="27"/>
      <c r="L790" s="27"/>
      <c r="O790" s="27"/>
      <c r="R790" s="27"/>
      <c r="T790" s="27"/>
      <c r="Z790" s="27"/>
    </row>
    <row r="791" ht="15.75" customHeight="1">
      <c r="F791" s="27"/>
      <c r="I791" s="27"/>
      <c r="L791" s="27"/>
      <c r="O791" s="27"/>
      <c r="R791" s="27"/>
      <c r="T791" s="27"/>
      <c r="Z791" s="27"/>
    </row>
    <row r="792" ht="15.75" customHeight="1">
      <c r="F792" s="27"/>
      <c r="I792" s="27"/>
      <c r="L792" s="27"/>
      <c r="O792" s="27"/>
      <c r="R792" s="27"/>
      <c r="T792" s="27"/>
      <c r="Z792" s="27"/>
    </row>
    <row r="793" ht="15.75" customHeight="1">
      <c r="F793" s="27"/>
      <c r="I793" s="27"/>
      <c r="L793" s="27"/>
      <c r="O793" s="27"/>
      <c r="R793" s="27"/>
      <c r="T793" s="27"/>
      <c r="Z793" s="27"/>
    </row>
    <row r="794" ht="15.75" customHeight="1">
      <c r="F794" s="27"/>
      <c r="I794" s="27"/>
      <c r="L794" s="27"/>
      <c r="O794" s="27"/>
      <c r="R794" s="27"/>
      <c r="T794" s="27"/>
      <c r="Z794" s="27"/>
    </row>
    <row r="795" ht="15.75" customHeight="1">
      <c r="F795" s="27"/>
      <c r="I795" s="27"/>
      <c r="L795" s="27"/>
      <c r="O795" s="27"/>
      <c r="R795" s="27"/>
      <c r="T795" s="27"/>
      <c r="Z795" s="27"/>
    </row>
    <row r="796" ht="15.75" customHeight="1">
      <c r="F796" s="27"/>
      <c r="I796" s="27"/>
      <c r="L796" s="27"/>
      <c r="O796" s="27"/>
      <c r="R796" s="27"/>
      <c r="T796" s="27"/>
      <c r="Z796" s="27"/>
    </row>
    <row r="797" ht="15.75" customHeight="1">
      <c r="F797" s="27"/>
      <c r="I797" s="27"/>
      <c r="L797" s="27"/>
      <c r="O797" s="27"/>
      <c r="R797" s="27"/>
      <c r="T797" s="27"/>
      <c r="Z797" s="27"/>
    </row>
    <row r="798" ht="15.75" customHeight="1">
      <c r="F798" s="27"/>
      <c r="I798" s="27"/>
      <c r="L798" s="27"/>
      <c r="O798" s="27"/>
      <c r="R798" s="27"/>
      <c r="T798" s="27"/>
      <c r="Z798" s="27"/>
    </row>
    <row r="799" ht="15.75" customHeight="1">
      <c r="F799" s="27"/>
      <c r="I799" s="27"/>
      <c r="L799" s="27"/>
      <c r="O799" s="27"/>
      <c r="R799" s="27"/>
      <c r="T799" s="27"/>
      <c r="Z799" s="27"/>
    </row>
    <row r="800" ht="15.75" customHeight="1">
      <c r="F800" s="27"/>
      <c r="I800" s="27"/>
      <c r="L800" s="27"/>
      <c r="O800" s="27"/>
      <c r="R800" s="27"/>
      <c r="T800" s="27"/>
      <c r="Z800" s="27"/>
    </row>
    <row r="801" ht="15.75" customHeight="1">
      <c r="F801" s="27"/>
      <c r="I801" s="27"/>
      <c r="L801" s="27"/>
      <c r="O801" s="27"/>
      <c r="R801" s="27"/>
      <c r="T801" s="27"/>
      <c r="Z801" s="27"/>
    </row>
    <row r="802" ht="15.75" customHeight="1">
      <c r="F802" s="27"/>
      <c r="I802" s="27"/>
      <c r="L802" s="27"/>
      <c r="O802" s="27"/>
      <c r="R802" s="27"/>
      <c r="T802" s="27"/>
      <c r="Z802" s="27"/>
    </row>
    <row r="803" ht="15.75" customHeight="1">
      <c r="F803" s="27"/>
      <c r="I803" s="27"/>
      <c r="L803" s="27"/>
      <c r="O803" s="27"/>
      <c r="R803" s="27"/>
      <c r="T803" s="27"/>
      <c r="Z803" s="27"/>
    </row>
    <row r="804" ht="15.75" customHeight="1">
      <c r="F804" s="27"/>
      <c r="I804" s="27"/>
      <c r="L804" s="27"/>
      <c r="O804" s="27"/>
      <c r="R804" s="27"/>
      <c r="T804" s="27"/>
      <c r="Z804" s="27"/>
    </row>
    <row r="805" ht="15.75" customHeight="1">
      <c r="F805" s="27"/>
      <c r="I805" s="27"/>
      <c r="L805" s="27"/>
      <c r="O805" s="27"/>
      <c r="R805" s="27"/>
      <c r="T805" s="27"/>
      <c r="Z805" s="27"/>
    </row>
    <row r="806" ht="15.75" customHeight="1">
      <c r="F806" s="27"/>
      <c r="I806" s="27"/>
      <c r="L806" s="27"/>
      <c r="O806" s="27"/>
      <c r="R806" s="27"/>
      <c r="T806" s="27"/>
      <c r="Z806" s="27"/>
    </row>
    <row r="807" ht="15.75" customHeight="1">
      <c r="F807" s="27"/>
      <c r="I807" s="27"/>
      <c r="L807" s="27"/>
      <c r="O807" s="27"/>
      <c r="R807" s="27"/>
      <c r="T807" s="27"/>
      <c r="Z807" s="27"/>
    </row>
    <row r="808" ht="15.75" customHeight="1">
      <c r="F808" s="27"/>
      <c r="I808" s="27"/>
      <c r="L808" s="27"/>
      <c r="O808" s="27"/>
      <c r="R808" s="27"/>
      <c r="T808" s="27"/>
      <c r="Z808" s="27"/>
    </row>
    <row r="809" ht="15.75" customHeight="1">
      <c r="F809" s="27"/>
      <c r="I809" s="27"/>
      <c r="L809" s="27"/>
      <c r="O809" s="27"/>
      <c r="R809" s="27"/>
      <c r="T809" s="27"/>
      <c r="Z809" s="27"/>
    </row>
    <row r="810" ht="15.75" customHeight="1">
      <c r="F810" s="27"/>
      <c r="I810" s="27"/>
      <c r="L810" s="27"/>
      <c r="O810" s="27"/>
      <c r="R810" s="27"/>
      <c r="T810" s="27"/>
      <c r="Z810" s="27"/>
    </row>
    <row r="811" ht="15.75" customHeight="1">
      <c r="F811" s="27"/>
      <c r="I811" s="27"/>
      <c r="L811" s="27"/>
      <c r="O811" s="27"/>
      <c r="R811" s="27"/>
      <c r="T811" s="27"/>
      <c r="Z811" s="27"/>
    </row>
    <row r="812" ht="15.75" customHeight="1">
      <c r="F812" s="27"/>
      <c r="I812" s="27"/>
      <c r="L812" s="27"/>
      <c r="O812" s="27"/>
      <c r="R812" s="27"/>
      <c r="T812" s="27"/>
      <c r="Z812" s="27"/>
    </row>
    <row r="813" ht="15.75" customHeight="1">
      <c r="F813" s="27"/>
      <c r="I813" s="27"/>
      <c r="L813" s="27"/>
      <c r="O813" s="27"/>
      <c r="R813" s="27"/>
      <c r="T813" s="27"/>
      <c r="Z813" s="27"/>
    </row>
    <row r="814" ht="15.75" customHeight="1">
      <c r="F814" s="27"/>
      <c r="I814" s="27"/>
      <c r="L814" s="27"/>
      <c r="O814" s="27"/>
      <c r="R814" s="27"/>
      <c r="T814" s="27"/>
      <c r="Z814" s="27"/>
    </row>
    <row r="815" ht="15.75" customHeight="1">
      <c r="F815" s="27"/>
      <c r="I815" s="27"/>
      <c r="L815" s="27"/>
      <c r="O815" s="27"/>
      <c r="R815" s="27"/>
      <c r="T815" s="27"/>
      <c r="Z815" s="27"/>
    </row>
    <row r="816" ht="15.75" customHeight="1">
      <c r="F816" s="27"/>
      <c r="I816" s="27"/>
      <c r="L816" s="27"/>
      <c r="O816" s="27"/>
      <c r="R816" s="27"/>
      <c r="T816" s="27"/>
      <c r="Z816" s="27"/>
    </row>
    <row r="817" ht="15.75" customHeight="1">
      <c r="F817" s="27"/>
      <c r="I817" s="27"/>
      <c r="L817" s="27"/>
      <c r="O817" s="27"/>
      <c r="R817" s="27"/>
      <c r="T817" s="27"/>
      <c r="Z817" s="27"/>
    </row>
    <row r="818" ht="15.75" customHeight="1">
      <c r="F818" s="27"/>
      <c r="I818" s="27"/>
      <c r="L818" s="27"/>
      <c r="O818" s="27"/>
      <c r="R818" s="27"/>
      <c r="T818" s="27"/>
      <c r="Z818" s="27"/>
    </row>
    <row r="819" ht="15.75" customHeight="1">
      <c r="F819" s="27"/>
      <c r="I819" s="27"/>
      <c r="L819" s="27"/>
      <c r="O819" s="27"/>
      <c r="R819" s="27"/>
      <c r="T819" s="27"/>
      <c r="Z819" s="27"/>
    </row>
    <row r="820" ht="15.75" customHeight="1">
      <c r="F820" s="27"/>
      <c r="I820" s="27"/>
      <c r="L820" s="27"/>
      <c r="O820" s="27"/>
      <c r="R820" s="27"/>
      <c r="T820" s="27"/>
      <c r="Z820" s="27"/>
    </row>
    <row r="821" ht="15.75" customHeight="1">
      <c r="F821" s="27"/>
      <c r="I821" s="27"/>
      <c r="L821" s="27"/>
      <c r="O821" s="27"/>
      <c r="R821" s="27"/>
      <c r="T821" s="27"/>
      <c r="Z821" s="27"/>
    </row>
    <row r="822" ht="15.75" customHeight="1">
      <c r="F822" s="27"/>
      <c r="I822" s="27"/>
      <c r="L822" s="27"/>
      <c r="O822" s="27"/>
      <c r="R822" s="27"/>
      <c r="T822" s="27"/>
      <c r="Z822" s="27"/>
    </row>
    <row r="823" ht="15.75" customHeight="1">
      <c r="F823" s="27"/>
      <c r="I823" s="27"/>
      <c r="L823" s="27"/>
      <c r="O823" s="27"/>
      <c r="R823" s="27"/>
      <c r="T823" s="27"/>
      <c r="Z823" s="27"/>
    </row>
    <row r="824" ht="15.75" customHeight="1">
      <c r="F824" s="27"/>
      <c r="I824" s="27"/>
      <c r="L824" s="27"/>
      <c r="O824" s="27"/>
      <c r="R824" s="27"/>
      <c r="T824" s="27"/>
      <c r="Z824" s="27"/>
    </row>
    <row r="825" ht="15.75" customHeight="1">
      <c r="F825" s="27"/>
      <c r="I825" s="27"/>
      <c r="L825" s="27"/>
      <c r="O825" s="27"/>
      <c r="R825" s="27"/>
      <c r="T825" s="27"/>
      <c r="Z825" s="27"/>
    </row>
    <row r="826" ht="15.75" customHeight="1">
      <c r="F826" s="27"/>
      <c r="I826" s="27"/>
      <c r="L826" s="27"/>
      <c r="O826" s="27"/>
      <c r="R826" s="27"/>
      <c r="T826" s="27"/>
      <c r="Z826" s="27"/>
    </row>
    <row r="827" ht="15.75" customHeight="1">
      <c r="F827" s="27"/>
      <c r="I827" s="27"/>
      <c r="L827" s="27"/>
      <c r="O827" s="27"/>
      <c r="R827" s="27"/>
      <c r="T827" s="27"/>
      <c r="Z827" s="27"/>
    </row>
    <row r="828" ht="15.75" customHeight="1">
      <c r="F828" s="27"/>
      <c r="I828" s="27"/>
      <c r="L828" s="27"/>
      <c r="O828" s="27"/>
      <c r="R828" s="27"/>
      <c r="T828" s="27"/>
      <c r="Z828" s="27"/>
    </row>
    <row r="829" ht="15.75" customHeight="1">
      <c r="F829" s="27"/>
      <c r="I829" s="27"/>
      <c r="L829" s="27"/>
      <c r="O829" s="27"/>
      <c r="R829" s="27"/>
      <c r="T829" s="27"/>
      <c r="Z829" s="27"/>
    </row>
    <row r="830" ht="15.75" customHeight="1">
      <c r="F830" s="27"/>
      <c r="I830" s="27"/>
      <c r="L830" s="27"/>
      <c r="O830" s="27"/>
      <c r="R830" s="27"/>
      <c r="T830" s="27"/>
      <c r="Z830" s="27"/>
    </row>
    <row r="831" ht="15.75" customHeight="1">
      <c r="F831" s="27"/>
      <c r="I831" s="27"/>
      <c r="L831" s="27"/>
      <c r="O831" s="27"/>
      <c r="R831" s="27"/>
      <c r="T831" s="27"/>
      <c r="Z831" s="27"/>
    </row>
    <row r="832" ht="15.75" customHeight="1">
      <c r="F832" s="27"/>
      <c r="I832" s="27"/>
      <c r="L832" s="27"/>
      <c r="O832" s="27"/>
      <c r="R832" s="27"/>
      <c r="T832" s="27"/>
      <c r="Z832" s="27"/>
    </row>
    <row r="833" ht="15.75" customHeight="1">
      <c r="F833" s="27"/>
      <c r="I833" s="27"/>
      <c r="L833" s="27"/>
      <c r="O833" s="27"/>
      <c r="R833" s="27"/>
      <c r="T833" s="27"/>
      <c r="Z833" s="27"/>
    </row>
    <row r="834" ht="15.75" customHeight="1">
      <c r="F834" s="27"/>
      <c r="I834" s="27"/>
      <c r="L834" s="27"/>
      <c r="O834" s="27"/>
      <c r="R834" s="27"/>
      <c r="T834" s="27"/>
      <c r="Z834" s="27"/>
    </row>
    <row r="835" ht="15.75" customHeight="1">
      <c r="F835" s="27"/>
      <c r="I835" s="27"/>
      <c r="L835" s="27"/>
      <c r="O835" s="27"/>
      <c r="R835" s="27"/>
      <c r="T835" s="27"/>
      <c r="Z835" s="27"/>
    </row>
    <row r="836" ht="15.75" customHeight="1">
      <c r="F836" s="27"/>
      <c r="I836" s="27"/>
      <c r="L836" s="27"/>
      <c r="O836" s="27"/>
      <c r="R836" s="27"/>
      <c r="T836" s="27"/>
      <c r="Z836" s="27"/>
    </row>
    <row r="837" ht="15.75" customHeight="1">
      <c r="F837" s="27"/>
      <c r="I837" s="27"/>
      <c r="L837" s="27"/>
      <c r="O837" s="27"/>
      <c r="R837" s="27"/>
      <c r="T837" s="27"/>
      <c r="Z837" s="27"/>
    </row>
    <row r="838" ht="15.75" customHeight="1">
      <c r="F838" s="27"/>
      <c r="I838" s="27"/>
      <c r="L838" s="27"/>
      <c r="O838" s="27"/>
      <c r="R838" s="27"/>
      <c r="T838" s="27"/>
      <c r="Z838" s="27"/>
    </row>
    <row r="839" ht="15.75" customHeight="1">
      <c r="F839" s="27"/>
      <c r="I839" s="27"/>
      <c r="L839" s="27"/>
      <c r="O839" s="27"/>
      <c r="R839" s="27"/>
      <c r="T839" s="27"/>
      <c r="Z839" s="27"/>
    </row>
    <row r="840" ht="15.75" customHeight="1">
      <c r="F840" s="27"/>
      <c r="I840" s="27"/>
      <c r="L840" s="27"/>
      <c r="O840" s="27"/>
      <c r="R840" s="27"/>
      <c r="T840" s="27"/>
      <c r="Z840" s="27"/>
    </row>
    <row r="841" ht="15.75" customHeight="1">
      <c r="F841" s="27"/>
      <c r="I841" s="27"/>
      <c r="L841" s="27"/>
      <c r="O841" s="27"/>
      <c r="R841" s="27"/>
      <c r="T841" s="27"/>
      <c r="Z841" s="27"/>
    </row>
    <row r="842" ht="15.75" customHeight="1">
      <c r="F842" s="27"/>
      <c r="I842" s="27"/>
      <c r="L842" s="27"/>
      <c r="O842" s="27"/>
      <c r="R842" s="27"/>
      <c r="T842" s="27"/>
      <c r="Z842" s="27"/>
    </row>
    <row r="843" ht="15.75" customHeight="1">
      <c r="F843" s="27"/>
      <c r="I843" s="27"/>
      <c r="L843" s="27"/>
      <c r="O843" s="27"/>
      <c r="R843" s="27"/>
      <c r="T843" s="27"/>
      <c r="Z843" s="27"/>
    </row>
    <row r="844" ht="15.75" customHeight="1">
      <c r="F844" s="27"/>
      <c r="I844" s="27"/>
      <c r="L844" s="27"/>
      <c r="O844" s="27"/>
      <c r="R844" s="27"/>
      <c r="T844" s="27"/>
      <c r="Z844" s="27"/>
    </row>
    <row r="845" ht="15.75" customHeight="1">
      <c r="F845" s="27"/>
      <c r="I845" s="27"/>
      <c r="L845" s="27"/>
      <c r="O845" s="27"/>
      <c r="R845" s="27"/>
      <c r="T845" s="27"/>
      <c r="Z845" s="27"/>
    </row>
    <row r="846" ht="15.75" customHeight="1">
      <c r="F846" s="27"/>
      <c r="I846" s="27"/>
      <c r="L846" s="27"/>
      <c r="O846" s="27"/>
      <c r="R846" s="27"/>
      <c r="T846" s="27"/>
      <c r="Z846" s="27"/>
    </row>
    <row r="847" ht="15.75" customHeight="1">
      <c r="F847" s="27"/>
      <c r="I847" s="27"/>
      <c r="L847" s="27"/>
      <c r="O847" s="27"/>
      <c r="R847" s="27"/>
      <c r="T847" s="27"/>
      <c r="Z847" s="27"/>
    </row>
    <row r="848" ht="15.75" customHeight="1">
      <c r="F848" s="27"/>
      <c r="I848" s="27"/>
      <c r="L848" s="27"/>
      <c r="O848" s="27"/>
      <c r="R848" s="27"/>
      <c r="T848" s="27"/>
      <c r="Z848" s="27"/>
    </row>
    <row r="849" ht="15.75" customHeight="1">
      <c r="F849" s="27"/>
      <c r="I849" s="27"/>
      <c r="L849" s="27"/>
      <c r="O849" s="27"/>
      <c r="R849" s="27"/>
      <c r="T849" s="27"/>
      <c r="Z849" s="27"/>
    </row>
    <row r="850" ht="15.75" customHeight="1">
      <c r="F850" s="27"/>
      <c r="I850" s="27"/>
      <c r="L850" s="27"/>
      <c r="O850" s="27"/>
      <c r="R850" s="27"/>
      <c r="T850" s="27"/>
      <c r="Z850" s="27"/>
    </row>
    <row r="851" ht="15.75" customHeight="1">
      <c r="F851" s="27"/>
      <c r="I851" s="27"/>
      <c r="L851" s="27"/>
      <c r="O851" s="27"/>
      <c r="R851" s="27"/>
      <c r="T851" s="27"/>
      <c r="Z851" s="27"/>
    </row>
    <row r="852" ht="15.75" customHeight="1">
      <c r="F852" s="27"/>
      <c r="I852" s="27"/>
      <c r="L852" s="27"/>
      <c r="O852" s="27"/>
      <c r="R852" s="27"/>
      <c r="T852" s="27"/>
      <c r="Z852" s="27"/>
    </row>
    <row r="853" ht="15.75" customHeight="1">
      <c r="F853" s="27"/>
      <c r="I853" s="27"/>
      <c r="L853" s="27"/>
      <c r="O853" s="27"/>
      <c r="R853" s="27"/>
      <c r="T853" s="27"/>
      <c r="Z853" s="27"/>
    </row>
    <row r="854" ht="15.75" customHeight="1">
      <c r="F854" s="27"/>
      <c r="I854" s="27"/>
      <c r="L854" s="27"/>
      <c r="O854" s="27"/>
      <c r="R854" s="27"/>
      <c r="T854" s="27"/>
      <c r="Z854" s="27"/>
    </row>
    <row r="855" ht="15.75" customHeight="1">
      <c r="F855" s="27"/>
      <c r="I855" s="27"/>
      <c r="L855" s="27"/>
      <c r="O855" s="27"/>
      <c r="R855" s="27"/>
      <c r="T855" s="27"/>
      <c r="Z855" s="27"/>
    </row>
    <row r="856" ht="15.75" customHeight="1">
      <c r="F856" s="27"/>
      <c r="I856" s="27"/>
      <c r="L856" s="27"/>
      <c r="O856" s="27"/>
      <c r="R856" s="27"/>
      <c r="T856" s="27"/>
      <c r="Z856" s="27"/>
    </row>
    <row r="857" ht="15.75" customHeight="1">
      <c r="F857" s="27"/>
      <c r="I857" s="27"/>
      <c r="L857" s="27"/>
      <c r="O857" s="27"/>
      <c r="R857" s="27"/>
      <c r="T857" s="27"/>
      <c r="Z857" s="27"/>
    </row>
    <row r="858" ht="15.75" customHeight="1">
      <c r="F858" s="27"/>
      <c r="I858" s="27"/>
      <c r="L858" s="27"/>
      <c r="O858" s="27"/>
      <c r="R858" s="27"/>
      <c r="T858" s="27"/>
      <c r="Z858" s="27"/>
    </row>
    <row r="859" ht="15.75" customHeight="1">
      <c r="F859" s="27"/>
      <c r="I859" s="27"/>
      <c r="L859" s="27"/>
      <c r="O859" s="27"/>
      <c r="R859" s="27"/>
      <c r="T859" s="27"/>
      <c r="Z859" s="27"/>
    </row>
    <row r="860" ht="15.75" customHeight="1">
      <c r="F860" s="27"/>
      <c r="I860" s="27"/>
      <c r="L860" s="27"/>
      <c r="O860" s="27"/>
      <c r="R860" s="27"/>
      <c r="T860" s="27"/>
      <c r="Z860" s="27"/>
    </row>
    <row r="861" ht="15.75" customHeight="1">
      <c r="F861" s="27"/>
      <c r="I861" s="27"/>
      <c r="L861" s="27"/>
      <c r="O861" s="27"/>
      <c r="R861" s="27"/>
      <c r="T861" s="27"/>
      <c r="Z861" s="27"/>
    </row>
    <row r="862" ht="15.75" customHeight="1">
      <c r="F862" s="27"/>
      <c r="I862" s="27"/>
      <c r="L862" s="27"/>
      <c r="O862" s="27"/>
      <c r="R862" s="27"/>
      <c r="T862" s="27"/>
      <c r="Z862" s="27"/>
    </row>
    <row r="863" ht="15.75" customHeight="1">
      <c r="F863" s="27"/>
      <c r="I863" s="27"/>
      <c r="L863" s="27"/>
      <c r="O863" s="27"/>
      <c r="R863" s="27"/>
      <c r="T863" s="27"/>
      <c r="Z863" s="27"/>
    </row>
    <row r="864" ht="15.75" customHeight="1">
      <c r="F864" s="27"/>
      <c r="I864" s="27"/>
      <c r="L864" s="27"/>
      <c r="O864" s="27"/>
      <c r="R864" s="27"/>
      <c r="T864" s="27"/>
      <c r="Z864" s="27"/>
    </row>
    <row r="865" ht="15.75" customHeight="1">
      <c r="F865" s="27"/>
      <c r="I865" s="27"/>
      <c r="L865" s="27"/>
      <c r="O865" s="27"/>
      <c r="R865" s="27"/>
      <c r="T865" s="27"/>
      <c r="Z865" s="27"/>
    </row>
    <row r="866" ht="15.75" customHeight="1">
      <c r="F866" s="27"/>
      <c r="I866" s="27"/>
      <c r="L866" s="27"/>
      <c r="O866" s="27"/>
      <c r="R866" s="27"/>
      <c r="T866" s="27"/>
      <c r="Z866" s="27"/>
    </row>
    <row r="867" ht="15.75" customHeight="1">
      <c r="F867" s="27"/>
      <c r="I867" s="27"/>
      <c r="L867" s="27"/>
      <c r="O867" s="27"/>
      <c r="R867" s="27"/>
      <c r="T867" s="27"/>
      <c r="Z867" s="27"/>
    </row>
    <row r="868" ht="15.75" customHeight="1">
      <c r="F868" s="27"/>
      <c r="I868" s="27"/>
      <c r="L868" s="27"/>
      <c r="O868" s="27"/>
      <c r="R868" s="27"/>
      <c r="T868" s="27"/>
      <c r="Z868" s="27"/>
    </row>
    <row r="869" ht="15.75" customHeight="1">
      <c r="F869" s="27"/>
      <c r="I869" s="27"/>
      <c r="L869" s="27"/>
      <c r="O869" s="27"/>
      <c r="R869" s="27"/>
      <c r="T869" s="27"/>
      <c r="Z869" s="27"/>
    </row>
    <row r="870" ht="15.75" customHeight="1">
      <c r="F870" s="27"/>
      <c r="I870" s="27"/>
      <c r="L870" s="27"/>
      <c r="O870" s="27"/>
      <c r="R870" s="27"/>
      <c r="T870" s="27"/>
      <c r="Z870" s="27"/>
    </row>
    <row r="871" ht="15.75" customHeight="1">
      <c r="F871" s="27"/>
      <c r="I871" s="27"/>
      <c r="L871" s="27"/>
      <c r="O871" s="27"/>
      <c r="R871" s="27"/>
      <c r="T871" s="27"/>
      <c r="Z871" s="27"/>
    </row>
    <row r="872" ht="15.75" customHeight="1">
      <c r="F872" s="27"/>
      <c r="I872" s="27"/>
      <c r="L872" s="27"/>
      <c r="O872" s="27"/>
      <c r="R872" s="27"/>
      <c r="T872" s="27"/>
      <c r="Z872" s="27"/>
    </row>
    <row r="873" ht="15.75" customHeight="1">
      <c r="F873" s="27"/>
      <c r="I873" s="27"/>
      <c r="L873" s="27"/>
      <c r="O873" s="27"/>
      <c r="R873" s="27"/>
      <c r="T873" s="27"/>
      <c r="Z873" s="27"/>
    </row>
    <row r="874" ht="15.75" customHeight="1">
      <c r="F874" s="27"/>
      <c r="I874" s="27"/>
      <c r="L874" s="27"/>
      <c r="O874" s="27"/>
      <c r="R874" s="27"/>
      <c r="T874" s="27"/>
      <c r="Z874" s="27"/>
    </row>
    <row r="875" ht="15.75" customHeight="1">
      <c r="F875" s="27"/>
      <c r="I875" s="27"/>
      <c r="L875" s="27"/>
      <c r="O875" s="27"/>
      <c r="R875" s="27"/>
      <c r="T875" s="27"/>
      <c r="Z875" s="27"/>
    </row>
    <row r="876" ht="15.75" customHeight="1">
      <c r="F876" s="27"/>
      <c r="I876" s="27"/>
      <c r="L876" s="27"/>
      <c r="O876" s="27"/>
      <c r="R876" s="27"/>
      <c r="T876" s="27"/>
      <c r="Z876" s="27"/>
    </row>
    <row r="877" ht="15.75" customHeight="1">
      <c r="F877" s="27"/>
      <c r="I877" s="27"/>
      <c r="L877" s="27"/>
      <c r="O877" s="27"/>
      <c r="R877" s="27"/>
      <c r="T877" s="27"/>
      <c r="Z877" s="27"/>
    </row>
    <row r="878" ht="15.75" customHeight="1">
      <c r="F878" s="27"/>
      <c r="I878" s="27"/>
      <c r="L878" s="27"/>
      <c r="O878" s="27"/>
      <c r="R878" s="27"/>
      <c r="T878" s="27"/>
      <c r="Z878" s="27"/>
    </row>
    <row r="879" ht="15.75" customHeight="1">
      <c r="F879" s="27"/>
      <c r="I879" s="27"/>
      <c r="L879" s="27"/>
      <c r="O879" s="27"/>
      <c r="R879" s="27"/>
      <c r="T879" s="27"/>
      <c r="Z879" s="27"/>
    </row>
    <row r="880" ht="15.75" customHeight="1">
      <c r="F880" s="27"/>
      <c r="I880" s="27"/>
      <c r="L880" s="27"/>
      <c r="O880" s="27"/>
      <c r="R880" s="27"/>
      <c r="T880" s="27"/>
      <c r="Z880" s="27"/>
    </row>
    <row r="881" ht="15.75" customHeight="1">
      <c r="F881" s="27"/>
      <c r="I881" s="27"/>
      <c r="L881" s="27"/>
      <c r="O881" s="27"/>
      <c r="R881" s="27"/>
      <c r="T881" s="27"/>
      <c r="Z881" s="27"/>
    </row>
    <row r="882" ht="15.75" customHeight="1">
      <c r="F882" s="27"/>
      <c r="I882" s="27"/>
      <c r="L882" s="27"/>
      <c r="O882" s="27"/>
      <c r="R882" s="27"/>
      <c r="T882" s="27"/>
      <c r="Z882" s="27"/>
    </row>
    <row r="883" ht="15.75" customHeight="1">
      <c r="F883" s="27"/>
      <c r="I883" s="27"/>
      <c r="L883" s="27"/>
      <c r="O883" s="27"/>
      <c r="R883" s="27"/>
      <c r="T883" s="27"/>
      <c r="Z883" s="27"/>
    </row>
    <row r="884" ht="15.75" customHeight="1">
      <c r="F884" s="27"/>
      <c r="I884" s="27"/>
      <c r="L884" s="27"/>
      <c r="O884" s="27"/>
      <c r="R884" s="27"/>
      <c r="T884" s="27"/>
      <c r="Z884" s="27"/>
    </row>
    <row r="885" ht="15.75" customHeight="1">
      <c r="F885" s="27"/>
      <c r="I885" s="27"/>
      <c r="L885" s="27"/>
      <c r="O885" s="27"/>
      <c r="R885" s="27"/>
      <c r="T885" s="27"/>
      <c r="Z885" s="27"/>
    </row>
    <row r="886" ht="15.75" customHeight="1">
      <c r="F886" s="27"/>
      <c r="I886" s="27"/>
      <c r="L886" s="27"/>
      <c r="O886" s="27"/>
      <c r="R886" s="27"/>
      <c r="T886" s="27"/>
      <c r="Z886" s="27"/>
    </row>
    <row r="887" ht="15.75" customHeight="1">
      <c r="F887" s="27"/>
      <c r="I887" s="27"/>
      <c r="L887" s="27"/>
      <c r="O887" s="27"/>
      <c r="R887" s="27"/>
      <c r="T887" s="27"/>
      <c r="Z887" s="27"/>
    </row>
    <row r="888" ht="15.75" customHeight="1">
      <c r="F888" s="27"/>
      <c r="I888" s="27"/>
      <c r="L888" s="27"/>
      <c r="O888" s="27"/>
      <c r="R888" s="27"/>
      <c r="T888" s="27"/>
      <c r="Z888" s="27"/>
    </row>
    <row r="889" ht="15.75" customHeight="1">
      <c r="F889" s="27"/>
      <c r="I889" s="27"/>
      <c r="L889" s="27"/>
      <c r="O889" s="27"/>
      <c r="R889" s="27"/>
      <c r="T889" s="27"/>
      <c r="Z889" s="27"/>
    </row>
    <row r="890" ht="15.75" customHeight="1">
      <c r="F890" s="27"/>
      <c r="I890" s="27"/>
      <c r="L890" s="27"/>
      <c r="O890" s="27"/>
      <c r="R890" s="27"/>
      <c r="T890" s="27"/>
      <c r="Z890" s="27"/>
    </row>
    <row r="891" ht="15.75" customHeight="1">
      <c r="F891" s="27"/>
      <c r="I891" s="27"/>
      <c r="L891" s="27"/>
      <c r="O891" s="27"/>
      <c r="R891" s="27"/>
      <c r="T891" s="27"/>
      <c r="Z891" s="27"/>
    </row>
    <row r="892" ht="15.75" customHeight="1">
      <c r="F892" s="27"/>
      <c r="I892" s="27"/>
      <c r="L892" s="27"/>
      <c r="O892" s="27"/>
      <c r="R892" s="27"/>
      <c r="T892" s="27"/>
      <c r="Z892" s="27"/>
    </row>
    <row r="893" ht="15.75" customHeight="1">
      <c r="F893" s="27"/>
      <c r="I893" s="27"/>
      <c r="L893" s="27"/>
      <c r="O893" s="27"/>
      <c r="R893" s="27"/>
      <c r="T893" s="27"/>
      <c r="Z893" s="27"/>
    </row>
    <row r="894" ht="15.75" customHeight="1">
      <c r="F894" s="27"/>
      <c r="I894" s="27"/>
      <c r="L894" s="27"/>
      <c r="O894" s="27"/>
      <c r="R894" s="27"/>
      <c r="T894" s="27"/>
      <c r="Z894" s="27"/>
    </row>
    <row r="895" ht="15.75" customHeight="1">
      <c r="F895" s="27"/>
      <c r="I895" s="27"/>
      <c r="L895" s="27"/>
      <c r="O895" s="27"/>
      <c r="R895" s="27"/>
      <c r="T895" s="27"/>
      <c r="Z895" s="27"/>
    </row>
    <row r="896" ht="15.75" customHeight="1">
      <c r="F896" s="27"/>
      <c r="I896" s="27"/>
      <c r="L896" s="27"/>
      <c r="O896" s="27"/>
      <c r="R896" s="27"/>
      <c r="T896" s="27"/>
      <c r="Z896" s="27"/>
    </row>
    <row r="897" ht="15.75" customHeight="1">
      <c r="F897" s="27"/>
      <c r="I897" s="27"/>
      <c r="L897" s="27"/>
      <c r="O897" s="27"/>
      <c r="R897" s="27"/>
      <c r="T897" s="27"/>
      <c r="Z897" s="27"/>
    </row>
    <row r="898" ht="15.75" customHeight="1">
      <c r="F898" s="27"/>
      <c r="I898" s="27"/>
      <c r="L898" s="27"/>
      <c r="O898" s="27"/>
      <c r="R898" s="27"/>
      <c r="T898" s="27"/>
      <c r="Z898" s="27"/>
    </row>
    <row r="899" ht="15.75" customHeight="1">
      <c r="F899" s="27"/>
      <c r="I899" s="27"/>
      <c r="L899" s="27"/>
      <c r="O899" s="27"/>
      <c r="R899" s="27"/>
      <c r="T899" s="27"/>
      <c r="Z899" s="27"/>
    </row>
    <row r="900" ht="15.75" customHeight="1">
      <c r="F900" s="27"/>
      <c r="I900" s="27"/>
      <c r="L900" s="27"/>
      <c r="O900" s="27"/>
      <c r="R900" s="27"/>
      <c r="T900" s="27"/>
      <c r="Z900" s="27"/>
    </row>
    <row r="901" ht="15.75" customHeight="1">
      <c r="F901" s="27"/>
      <c r="I901" s="27"/>
      <c r="L901" s="27"/>
      <c r="O901" s="27"/>
      <c r="R901" s="27"/>
      <c r="T901" s="27"/>
      <c r="Z901" s="27"/>
    </row>
    <row r="902" ht="15.75" customHeight="1">
      <c r="F902" s="27"/>
      <c r="I902" s="27"/>
      <c r="L902" s="27"/>
      <c r="O902" s="27"/>
      <c r="R902" s="27"/>
      <c r="T902" s="27"/>
      <c r="Z902" s="27"/>
    </row>
    <row r="903" ht="15.75" customHeight="1">
      <c r="F903" s="27"/>
      <c r="I903" s="27"/>
      <c r="L903" s="27"/>
      <c r="O903" s="27"/>
      <c r="R903" s="27"/>
      <c r="T903" s="27"/>
      <c r="Z903" s="27"/>
    </row>
    <row r="904" ht="15.75" customHeight="1">
      <c r="F904" s="27"/>
      <c r="I904" s="27"/>
      <c r="L904" s="27"/>
      <c r="O904" s="27"/>
      <c r="R904" s="27"/>
      <c r="T904" s="27"/>
      <c r="Z904" s="27"/>
    </row>
    <row r="905" ht="15.75" customHeight="1">
      <c r="F905" s="27"/>
      <c r="I905" s="27"/>
      <c r="L905" s="27"/>
      <c r="O905" s="27"/>
      <c r="R905" s="27"/>
      <c r="T905" s="27"/>
      <c r="Z905" s="27"/>
    </row>
    <row r="906" ht="15.75" customHeight="1">
      <c r="F906" s="27"/>
      <c r="I906" s="27"/>
      <c r="L906" s="27"/>
      <c r="O906" s="27"/>
      <c r="R906" s="27"/>
      <c r="T906" s="27"/>
      <c r="Z906" s="27"/>
    </row>
    <row r="907" ht="15.75" customHeight="1">
      <c r="F907" s="27"/>
      <c r="I907" s="27"/>
      <c r="L907" s="27"/>
      <c r="O907" s="27"/>
      <c r="R907" s="27"/>
      <c r="T907" s="27"/>
      <c r="Z907" s="27"/>
    </row>
    <row r="908" ht="15.75" customHeight="1">
      <c r="F908" s="27"/>
      <c r="I908" s="27"/>
      <c r="L908" s="27"/>
      <c r="O908" s="27"/>
      <c r="R908" s="27"/>
      <c r="T908" s="27"/>
      <c r="Z908" s="27"/>
    </row>
    <row r="909" ht="15.75" customHeight="1">
      <c r="F909" s="27"/>
      <c r="I909" s="27"/>
      <c r="L909" s="27"/>
      <c r="O909" s="27"/>
      <c r="R909" s="27"/>
      <c r="T909" s="27"/>
      <c r="Z909" s="27"/>
    </row>
    <row r="910" ht="15.75" customHeight="1">
      <c r="F910" s="27"/>
      <c r="I910" s="27"/>
      <c r="L910" s="27"/>
      <c r="O910" s="27"/>
      <c r="R910" s="27"/>
      <c r="T910" s="27"/>
      <c r="Z910" s="27"/>
    </row>
    <row r="911" ht="15.75" customHeight="1">
      <c r="F911" s="27"/>
      <c r="I911" s="27"/>
      <c r="L911" s="27"/>
      <c r="O911" s="27"/>
      <c r="R911" s="27"/>
      <c r="T911" s="27"/>
      <c r="Z911" s="27"/>
    </row>
    <row r="912" ht="15.75" customHeight="1">
      <c r="F912" s="27"/>
      <c r="I912" s="27"/>
      <c r="L912" s="27"/>
      <c r="O912" s="27"/>
      <c r="R912" s="27"/>
      <c r="T912" s="27"/>
      <c r="Z912" s="27"/>
    </row>
    <row r="913" ht="15.75" customHeight="1">
      <c r="F913" s="27"/>
      <c r="I913" s="27"/>
      <c r="L913" s="27"/>
      <c r="O913" s="27"/>
      <c r="R913" s="27"/>
      <c r="T913" s="27"/>
      <c r="Z913" s="27"/>
    </row>
    <row r="914" ht="15.75" customHeight="1">
      <c r="F914" s="27"/>
      <c r="I914" s="27"/>
      <c r="L914" s="27"/>
      <c r="O914" s="27"/>
      <c r="R914" s="27"/>
      <c r="T914" s="27"/>
      <c r="Z914" s="27"/>
    </row>
    <row r="915" ht="15.75" customHeight="1">
      <c r="F915" s="27"/>
      <c r="I915" s="27"/>
      <c r="L915" s="27"/>
      <c r="O915" s="27"/>
      <c r="R915" s="27"/>
      <c r="T915" s="27"/>
      <c r="Z915" s="27"/>
    </row>
    <row r="916" ht="15.75" customHeight="1">
      <c r="F916" s="27"/>
      <c r="I916" s="27"/>
      <c r="L916" s="27"/>
      <c r="O916" s="27"/>
      <c r="R916" s="27"/>
      <c r="T916" s="27"/>
      <c r="Z916" s="27"/>
    </row>
    <row r="917" ht="15.75" customHeight="1">
      <c r="F917" s="27"/>
      <c r="I917" s="27"/>
      <c r="L917" s="27"/>
      <c r="O917" s="27"/>
      <c r="R917" s="27"/>
      <c r="T917" s="27"/>
      <c r="Z917" s="27"/>
    </row>
    <row r="918" ht="15.75" customHeight="1">
      <c r="F918" s="27"/>
      <c r="I918" s="27"/>
      <c r="L918" s="27"/>
      <c r="O918" s="27"/>
      <c r="R918" s="27"/>
      <c r="T918" s="27"/>
      <c r="Z918" s="27"/>
    </row>
    <row r="919" ht="15.75" customHeight="1">
      <c r="F919" s="27"/>
      <c r="I919" s="27"/>
      <c r="L919" s="27"/>
      <c r="O919" s="27"/>
      <c r="R919" s="27"/>
      <c r="T919" s="27"/>
      <c r="Z919" s="27"/>
    </row>
    <row r="920" ht="15.75" customHeight="1">
      <c r="F920" s="27"/>
      <c r="I920" s="27"/>
      <c r="L920" s="27"/>
      <c r="O920" s="27"/>
      <c r="R920" s="27"/>
      <c r="T920" s="27"/>
      <c r="Z920" s="27"/>
    </row>
    <row r="921" ht="15.75" customHeight="1">
      <c r="F921" s="27"/>
      <c r="I921" s="27"/>
      <c r="L921" s="27"/>
      <c r="O921" s="27"/>
      <c r="R921" s="27"/>
      <c r="T921" s="27"/>
      <c r="Z921" s="27"/>
    </row>
    <row r="922" ht="15.75" customHeight="1">
      <c r="F922" s="27"/>
      <c r="I922" s="27"/>
      <c r="L922" s="27"/>
      <c r="O922" s="27"/>
      <c r="R922" s="27"/>
      <c r="T922" s="27"/>
      <c r="Z922" s="27"/>
    </row>
    <row r="923" ht="15.75" customHeight="1">
      <c r="F923" s="27"/>
      <c r="I923" s="27"/>
      <c r="L923" s="27"/>
      <c r="O923" s="27"/>
      <c r="R923" s="27"/>
      <c r="T923" s="27"/>
      <c r="Z923" s="27"/>
    </row>
    <row r="924" ht="15.75" customHeight="1">
      <c r="F924" s="27"/>
      <c r="I924" s="27"/>
      <c r="L924" s="27"/>
      <c r="O924" s="27"/>
      <c r="R924" s="27"/>
      <c r="T924" s="27"/>
      <c r="Z924" s="27"/>
    </row>
    <row r="925" ht="15.75" customHeight="1">
      <c r="F925" s="27"/>
      <c r="I925" s="27"/>
      <c r="L925" s="27"/>
      <c r="O925" s="27"/>
      <c r="R925" s="27"/>
      <c r="T925" s="27"/>
      <c r="Z925" s="27"/>
    </row>
    <row r="926" ht="15.75" customHeight="1">
      <c r="F926" s="27"/>
      <c r="I926" s="27"/>
      <c r="L926" s="27"/>
      <c r="O926" s="27"/>
      <c r="R926" s="27"/>
      <c r="T926" s="27"/>
      <c r="Z926" s="27"/>
    </row>
    <row r="927" ht="15.75" customHeight="1">
      <c r="F927" s="27"/>
      <c r="I927" s="27"/>
      <c r="L927" s="27"/>
      <c r="O927" s="27"/>
      <c r="R927" s="27"/>
      <c r="T927" s="27"/>
      <c r="Z927" s="27"/>
    </row>
    <row r="928" ht="15.75" customHeight="1">
      <c r="F928" s="27"/>
      <c r="I928" s="27"/>
      <c r="L928" s="27"/>
      <c r="O928" s="27"/>
      <c r="R928" s="27"/>
      <c r="T928" s="27"/>
      <c r="Z928" s="27"/>
    </row>
    <row r="929" ht="15.75" customHeight="1">
      <c r="F929" s="27"/>
      <c r="I929" s="27"/>
      <c r="L929" s="27"/>
      <c r="O929" s="27"/>
      <c r="R929" s="27"/>
      <c r="T929" s="27"/>
      <c r="Z929" s="27"/>
    </row>
    <row r="930" ht="15.75" customHeight="1">
      <c r="F930" s="27"/>
      <c r="I930" s="27"/>
      <c r="L930" s="27"/>
      <c r="O930" s="27"/>
      <c r="R930" s="27"/>
      <c r="T930" s="27"/>
      <c r="Z930" s="27"/>
    </row>
    <row r="931" ht="15.75" customHeight="1">
      <c r="F931" s="27"/>
      <c r="I931" s="27"/>
      <c r="L931" s="27"/>
      <c r="O931" s="27"/>
      <c r="R931" s="27"/>
      <c r="T931" s="27"/>
      <c r="Z931" s="27"/>
    </row>
    <row r="932" ht="15.75" customHeight="1">
      <c r="F932" s="27"/>
      <c r="I932" s="27"/>
      <c r="L932" s="27"/>
      <c r="O932" s="27"/>
      <c r="R932" s="27"/>
      <c r="T932" s="27"/>
      <c r="Z932" s="27"/>
    </row>
    <row r="933" ht="15.75" customHeight="1">
      <c r="F933" s="27"/>
      <c r="I933" s="27"/>
      <c r="L933" s="27"/>
      <c r="O933" s="27"/>
      <c r="R933" s="27"/>
      <c r="T933" s="27"/>
      <c r="Z933" s="27"/>
    </row>
    <row r="934" ht="15.75" customHeight="1">
      <c r="F934" s="27"/>
      <c r="I934" s="27"/>
      <c r="L934" s="27"/>
      <c r="O934" s="27"/>
      <c r="R934" s="27"/>
      <c r="T934" s="27"/>
      <c r="Z934" s="27"/>
    </row>
    <row r="935" ht="15.75" customHeight="1">
      <c r="F935" s="27"/>
      <c r="I935" s="27"/>
      <c r="L935" s="27"/>
      <c r="O935" s="27"/>
      <c r="R935" s="27"/>
      <c r="T935" s="27"/>
      <c r="Z935" s="27"/>
    </row>
    <row r="936" ht="15.75" customHeight="1">
      <c r="F936" s="27"/>
      <c r="I936" s="27"/>
      <c r="L936" s="27"/>
      <c r="O936" s="27"/>
      <c r="R936" s="27"/>
      <c r="T936" s="27"/>
      <c r="Z936" s="27"/>
    </row>
    <row r="937" ht="15.75" customHeight="1">
      <c r="F937" s="27"/>
      <c r="I937" s="27"/>
      <c r="L937" s="27"/>
      <c r="O937" s="27"/>
      <c r="R937" s="27"/>
      <c r="T937" s="27"/>
      <c r="Z937" s="27"/>
    </row>
    <row r="938" ht="15.75" customHeight="1">
      <c r="F938" s="27"/>
      <c r="I938" s="27"/>
      <c r="L938" s="27"/>
      <c r="O938" s="27"/>
      <c r="R938" s="27"/>
      <c r="T938" s="27"/>
      <c r="Z938" s="27"/>
    </row>
    <row r="939" ht="15.75" customHeight="1">
      <c r="F939" s="27"/>
      <c r="I939" s="27"/>
      <c r="L939" s="27"/>
      <c r="O939" s="27"/>
      <c r="R939" s="27"/>
      <c r="T939" s="27"/>
      <c r="Z939" s="27"/>
    </row>
    <row r="940" ht="15.75" customHeight="1">
      <c r="F940" s="27"/>
      <c r="I940" s="27"/>
      <c r="L940" s="27"/>
      <c r="O940" s="27"/>
      <c r="R940" s="27"/>
      <c r="T940" s="27"/>
      <c r="Z940" s="27"/>
    </row>
    <row r="941" ht="15.75" customHeight="1">
      <c r="F941" s="27"/>
      <c r="I941" s="27"/>
      <c r="L941" s="27"/>
      <c r="O941" s="27"/>
      <c r="R941" s="27"/>
      <c r="T941" s="27"/>
      <c r="Z941" s="27"/>
    </row>
    <row r="942" ht="15.75" customHeight="1">
      <c r="F942" s="27"/>
      <c r="I942" s="27"/>
      <c r="L942" s="27"/>
      <c r="O942" s="27"/>
      <c r="R942" s="27"/>
      <c r="T942" s="27"/>
      <c r="Z942" s="27"/>
    </row>
    <row r="943" ht="15.75" customHeight="1">
      <c r="F943" s="27"/>
      <c r="I943" s="27"/>
      <c r="L943" s="27"/>
      <c r="O943" s="27"/>
      <c r="R943" s="27"/>
      <c r="T943" s="27"/>
      <c r="Z943" s="27"/>
    </row>
    <row r="944" ht="15.75" customHeight="1">
      <c r="F944" s="27"/>
      <c r="I944" s="27"/>
      <c r="L944" s="27"/>
      <c r="O944" s="27"/>
      <c r="R944" s="27"/>
      <c r="T944" s="27"/>
      <c r="Z944" s="27"/>
    </row>
    <row r="945" ht="15.75" customHeight="1">
      <c r="F945" s="27"/>
      <c r="I945" s="27"/>
      <c r="L945" s="27"/>
      <c r="O945" s="27"/>
      <c r="R945" s="27"/>
      <c r="T945" s="27"/>
      <c r="Z945" s="27"/>
    </row>
    <row r="946" ht="15.75" customHeight="1">
      <c r="F946" s="27"/>
      <c r="I946" s="27"/>
      <c r="L946" s="27"/>
      <c r="O946" s="27"/>
      <c r="R946" s="27"/>
      <c r="T946" s="27"/>
      <c r="Z946" s="27"/>
    </row>
    <row r="947" ht="15.75" customHeight="1">
      <c r="F947" s="27"/>
      <c r="I947" s="27"/>
      <c r="L947" s="27"/>
      <c r="O947" s="27"/>
      <c r="R947" s="27"/>
      <c r="T947" s="27"/>
      <c r="Z947" s="27"/>
    </row>
    <row r="948" ht="15.75" customHeight="1">
      <c r="F948" s="27"/>
      <c r="I948" s="27"/>
      <c r="L948" s="27"/>
      <c r="O948" s="27"/>
      <c r="R948" s="27"/>
      <c r="T948" s="27"/>
      <c r="Z948" s="27"/>
    </row>
    <row r="949" ht="15.75" customHeight="1">
      <c r="F949" s="27"/>
      <c r="I949" s="27"/>
      <c r="L949" s="27"/>
      <c r="O949" s="27"/>
      <c r="R949" s="27"/>
      <c r="T949" s="27"/>
      <c r="Z949" s="27"/>
    </row>
    <row r="950" ht="15.75" customHeight="1">
      <c r="F950" s="27"/>
      <c r="I950" s="27"/>
      <c r="L950" s="27"/>
      <c r="O950" s="27"/>
      <c r="R950" s="27"/>
      <c r="T950" s="27"/>
      <c r="Z950" s="27"/>
    </row>
    <row r="951" ht="15.75" customHeight="1">
      <c r="F951" s="27"/>
      <c r="I951" s="27"/>
      <c r="L951" s="27"/>
      <c r="O951" s="27"/>
      <c r="R951" s="27"/>
      <c r="T951" s="27"/>
      <c r="Z951" s="27"/>
    </row>
    <row r="952" ht="15.75" customHeight="1">
      <c r="F952" s="27"/>
      <c r="I952" s="27"/>
      <c r="L952" s="27"/>
      <c r="O952" s="27"/>
      <c r="R952" s="27"/>
      <c r="T952" s="27"/>
      <c r="Z952" s="27"/>
    </row>
    <row r="953" ht="15.75" customHeight="1">
      <c r="F953" s="27"/>
      <c r="I953" s="27"/>
      <c r="L953" s="27"/>
      <c r="O953" s="27"/>
      <c r="R953" s="27"/>
      <c r="T953" s="27"/>
      <c r="Z953" s="27"/>
    </row>
    <row r="954" ht="15.75" customHeight="1">
      <c r="F954" s="27"/>
      <c r="I954" s="27"/>
      <c r="L954" s="27"/>
      <c r="O954" s="27"/>
      <c r="R954" s="27"/>
      <c r="T954" s="27"/>
      <c r="Z954" s="27"/>
    </row>
    <row r="955" ht="15.75" customHeight="1">
      <c r="F955" s="27"/>
      <c r="I955" s="27"/>
      <c r="L955" s="27"/>
      <c r="O955" s="27"/>
      <c r="R955" s="27"/>
      <c r="T955" s="27"/>
      <c r="Z955" s="27"/>
    </row>
    <row r="956" ht="15.75" customHeight="1">
      <c r="F956" s="27"/>
      <c r="I956" s="27"/>
      <c r="L956" s="27"/>
      <c r="O956" s="27"/>
      <c r="R956" s="27"/>
      <c r="T956" s="27"/>
      <c r="Z956" s="27"/>
    </row>
    <row r="957" ht="15.75" customHeight="1">
      <c r="F957" s="27"/>
      <c r="I957" s="27"/>
      <c r="L957" s="27"/>
      <c r="O957" s="27"/>
      <c r="R957" s="27"/>
      <c r="T957" s="27"/>
      <c r="Z957" s="27"/>
    </row>
    <row r="958" ht="15.75" customHeight="1">
      <c r="F958" s="27"/>
      <c r="I958" s="27"/>
      <c r="L958" s="27"/>
      <c r="O958" s="27"/>
      <c r="R958" s="27"/>
      <c r="T958" s="27"/>
      <c r="Z958" s="27"/>
    </row>
    <row r="959" ht="15.75" customHeight="1">
      <c r="F959" s="27"/>
      <c r="I959" s="27"/>
      <c r="L959" s="27"/>
      <c r="O959" s="27"/>
      <c r="R959" s="27"/>
      <c r="T959" s="27"/>
      <c r="Z959" s="27"/>
    </row>
    <row r="960" ht="15.75" customHeight="1">
      <c r="F960" s="27"/>
      <c r="I960" s="27"/>
      <c r="L960" s="27"/>
      <c r="O960" s="27"/>
      <c r="R960" s="27"/>
      <c r="T960" s="27"/>
      <c r="Z960" s="27"/>
    </row>
    <row r="961" ht="15.75" customHeight="1">
      <c r="F961" s="27"/>
      <c r="I961" s="27"/>
      <c r="L961" s="27"/>
      <c r="O961" s="27"/>
      <c r="R961" s="27"/>
      <c r="T961" s="27"/>
      <c r="Z961" s="27"/>
    </row>
    <row r="962" ht="15.75" customHeight="1">
      <c r="F962" s="27"/>
      <c r="I962" s="27"/>
      <c r="L962" s="27"/>
      <c r="O962" s="27"/>
      <c r="R962" s="27"/>
      <c r="T962" s="27"/>
      <c r="Z962" s="27"/>
    </row>
    <row r="963" ht="15.75" customHeight="1">
      <c r="F963" s="27"/>
      <c r="I963" s="27"/>
      <c r="L963" s="27"/>
      <c r="O963" s="27"/>
      <c r="R963" s="27"/>
      <c r="T963" s="27"/>
      <c r="Z963" s="27"/>
    </row>
    <row r="964" ht="15.75" customHeight="1">
      <c r="F964" s="27"/>
      <c r="I964" s="27"/>
      <c r="L964" s="27"/>
      <c r="O964" s="27"/>
      <c r="R964" s="27"/>
      <c r="T964" s="27"/>
      <c r="Z964" s="27"/>
    </row>
    <row r="965" ht="15.75" customHeight="1">
      <c r="F965" s="27"/>
      <c r="I965" s="27"/>
      <c r="L965" s="27"/>
      <c r="O965" s="27"/>
      <c r="R965" s="27"/>
      <c r="T965" s="27"/>
      <c r="Z965" s="27"/>
    </row>
    <row r="966" ht="15.75" customHeight="1">
      <c r="F966" s="27"/>
      <c r="I966" s="27"/>
      <c r="L966" s="27"/>
      <c r="O966" s="27"/>
      <c r="R966" s="27"/>
      <c r="T966" s="27"/>
      <c r="Z966" s="27"/>
    </row>
    <row r="967" ht="15.75" customHeight="1">
      <c r="F967" s="27"/>
      <c r="I967" s="27"/>
      <c r="L967" s="27"/>
      <c r="O967" s="27"/>
      <c r="R967" s="27"/>
      <c r="T967" s="27"/>
      <c r="Z967" s="27"/>
    </row>
    <row r="968" ht="15.75" customHeight="1">
      <c r="F968" s="27"/>
      <c r="I968" s="27"/>
      <c r="L968" s="27"/>
      <c r="O968" s="27"/>
      <c r="R968" s="27"/>
      <c r="T968" s="27"/>
      <c r="Z968" s="27"/>
    </row>
    <row r="969" ht="15.75" customHeight="1">
      <c r="F969" s="27"/>
      <c r="I969" s="27"/>
      <c r="L969" s="27"/>
      <c r="O969" s="27"/>
      <c r="R969" s="27"/>
      <c r="T969" s="27"/>
      <c r="Z969" s="27"/>
    </row>
    <row r="970" ht="15.75" customHeight="1">
      <c r="F970" s="27"/>
      <c r="I970" s="27"/>
      <c r="L970" s="27"/>
      <c r="O970" s="27"/>
      <c r="R970" s="27"/>
      <c r="T970" s="27"/>
      <c r="Z970" s="27"/>
    </row>
    <row r="971" ht="15.75" customHeight="1">
      <c r="F971" s="27"/>
      <c r="I971" s="27"/>
      <c r="L971" s="27"/>
      <c r="O971" s="27"/>
      <c r="R971" s="27"/>
      <c r="T971" s="27"/>
      <c r="Z971" s="27"/>
    </row>
    <row r="972" ht="15.75" customHeight="1">
      <c r="F972" s="27"/>
      <c r="I972" s="27"/>
      <c r="L972" s="27"/>
      <c r="O972" s="27"/>
      <c r="R972" s="27"/>
      <c r="T972" s="27"/>
      <c r="Z972" s="27"/>
    </row>
    <row r="973" ht="15.75" customHeight="1">
      <c r="F973" s="27"/>
      <c r="I973" s="27"/>
      <c r="L973" s="27"/>
      <c r="O973" s="27"/>
      <c r="R973" s="27"/>
      <c r="T973" s="27"/>
      <c r="Z973" s="27"/>
    </row>
    <row r="974" ht="15.75" customHeight="1">
      <c r="F974" s="27"/>
      <c r="I974" s="27"/>
      <c r="L974" s="27"/>
      <c r="O974" s="27"/>
      <c r="R974" s="27"/>
      <c r="T974" s="27"/>
      <c r="Z974" s="27"/>
    </row>
    <row r="975" ht="15.75" customHeight="1">
      <c r="F975" s="27"/>
      <c r="I975" s="27"/>
      <c r="L975" s="27"/>
      <c r="O975" s="27"/>
      <c r="R975" s="27"/>
      <c r="T975" s="27"/>
      <c r="Z975" s="27"/>
    </row>
    <row r="976" ht="15.75" customHeight="1">
      <c r="F976" s="27"/>
      <c r="I976" s="27"/>
      <c r="L976" s="27"/>
      <c r="O976" s="27"/>
      <c r="R976" s="27"/>
      <c r="T976" s="27"/>
      <c r="Z976" s="27"/>
    </row>
    <row r="977" ht="15.75" customHeight="1">
      <c r="F977" s="27"/>
      <c r="I977" s="27"/>
      <c r="L977" s="27"/>
      <c r="O977" s="27"/>
      <c r="R977" s="27"/>
      <c r="T977" s="27"/>
      <c r="Z977" s="27"/>
    </row>
    <row r="978" ht="15.75" customHeight="1">
      <c r="F978" s="27"/>
      <c r="I978" s="27"/>
      <c r="L978" s="27"/>
      <c r="O978" s="27"/>
      <c r="R978" s="27"/>
      <c r="T978" s="27"/>
      <c r="Z978" s="27"/>
    </row>
    <row r="979" ht="15.75" customHeight="1">
      <c r="F979" s="27"/>
      <c r="I979" s="27"/>
      <c r="L979" s="27"/>
      <c r="O979" s="27"/>
      <c r="R979" s="27"/>
      <c r="T979" s="27"/>
      <c r="Z979" s="27"/>
    </row>
    <row r="980" ht="15.75" customHeight="1">
      <c r="F980" s="27"/>
      <c r="I980" s="27"/>
      <c r="L980" s="27"/>
      <c r="O980" s="27"/>
      <c r="R980" s="27"/>
      <c r="T980" s="27"/>
      <c r="Z980" s="27"/>
    </row>
    <row r="981" ht="15.75" customHeight="1">
      <c r="F981" s="27"/>
      <c r="I981" s="27"/>
      <c r="L981" s="27"/>
      <c r="O981" s="27"/>
      <c r="R981" s="27"/>
      <c r="T981" s="27"/>
      <c r="Z981" s="27"/>
    </row>
    <row r="982" ht="15.75" customHeight="1">
      <c r="F982" s="27"/>
      <c r="I982" s="27"/>
      <c r="L982" s="27"/>
      <c r="O982" s="27"/>
      <c r="R982" s="27"/>
      <c r="T982" s="27"/>
      <c r="Z982" s="27"/>
    </row>
    <row r="983" ht="15.75" customHeight="1">
      <c r="F983" s="27"/>
      <c r="I983" s="27"/>
      <c r="L983" s="27"/>
      <c r="O983" s="27"/>
      <c r="R983" s="27"/>
      <c r="T983" s="27"/>
      <c r="Z983" s="27"/>
    </row>
    <row r="984" ht="15.75" customHeight="1">
      <c r="F984" s="27"/>
      <c r="I984" s="27"/>
      <c r="L984" s="27"/>
      <c r="O984" s="27"/>
      <c r="R984" s="27"/>
      <c r="T984" s="27"/>
      <c r="Z984" s="27"/>
    </row>
    <row r="985" ht="15.75" customHeight="1">
      <c r="F985" s="27"/>
      <c r="I985" s="27"/>
      <c r="L985" s="27"/>
      <c r="O985" s="27"/>
      <c r="R985" s="27"/>
      <c r="T985" s="27"/>
      <c r="Z985" s="27"/>
    </row>
    <row r="986" ht="15.75" customHeight="1">
      <c r="F986" s="27"/>
      <c r="I986" s="27"/>
      <c r="L986" s="27"/>
      <c r="O986" s="27"/>
      <c r="R986" s="27"/>
      <c r="T986" s="27"/>
      <c r="Z986" s="27"/>
    </row>
    <row r="987" ht="15.75" customHeight="1">
      <c r="F987" s="27"/>
      <c r="I987" s="27"/>
      <c r="L987" s="27"/>
      <c r="O987" s="27"/>
      <c r="R987" s="27"/>
      <c r="T987" s="27"/>
      <c r="Z987" s="27"/>
    </row>
    <row r="988" ht="15.75" customHeight="1">
      <c r="F988" s="27"/>
      <c r="I988" s="27"/>
      <c r="L988" s="27"/>
      <c r="O988" s="27"/>
      <c r="R988" s="27"/>
      <c r="T988" s="27"/>
      <c r="Z988" s="27"/>
    </row>
    <row r="989" ht="15.75" customHeight="1">
      <c r="F989" s="27"/>
      <c r="I989" s="27"/>
      <c r="L989" s="27"/>
      <c r="O989" s="27"/>
      <c r="R989" s="27"/>
      <c r="T989" s="27"/>
      <c r="Z989" s="27"/>
    </row>
    <row r="990" ht="15.75" customHeight="1">
      <c r="F990" s="27"/>
      <c r="I990" s="27"/>
      <c r="L990" s="27"/>
      <c r="O990" s="27"/>
      <c r="R990" s="27"/>
      <c r="T990" s="27"/>
      <c r="Z990" s="27"/>
    </row>
    <row r="991" ht="15.75" customHeight="1">
      <c r="F991" s="27"/>
      <c r="I991" s="27"/>
      <c r="L991" s="27"/>
      <c r="O991" s="27"/>
      <c r="R991" s="27"/>
      <c r="T991" s="27"/>
      <c r="Z991" s="27"/>
    </row>
    <row r="992" ht="15.75" customHeight="1">
      <c r="F992" s="27"/>
      <c r="I992" s="27"/>
      <c r="L992" s="27"/>
      <c r="O992" s="27"/>
      <c r="R992" s="27"/>
      <c r="T992" s="27"/>
      <c r="Z992" s="27"/>
    </row>
    <row r="993" ht="15.75" customHeight="1">
      <c r="F993" s="27"/>
      <c r="I993" s="27"/>
      <c r="L993" s="27"/>
      <c r="O993" s="27"/>
      <c r="R993" s="27"/>
      <c r="T993" s="27"/>
      <c r="Z993" s="27"/>
    </row>
    <row r="994" ht="15.75" customHeight="1">
      <c r="F994" s="27"/>
      <c r="I994" s="27"/>
      <c r="L994" s="27"/>
      <c r="O994" s="27"/>
      <c r="R994" s="27"/>
      <c r="T994" s="27"/>
      <c r="Z994" s="27"/>
    </row>
    <row r="995" ht="15.75" customHeight="1">
      <c r="F995" s="27"/>
      <c r="I995" s="27"/>
      <c r="L995" s="27"/>
      <c r="O995" s="27"/>
      <c r="R995" s="27"/>
      <c r="T995" s="27"/>
      <c r="Z995" s="27"/>
    </row>
    <row r="996" ht="15.75" customHeight="1">
      <c r="F996" s="27"/>
      <c r="I996" s="27"/>
      <c r="L996" s="27"/>
      <c r="O996" s="27"/>
      <c r="R996" s="27"/>
      <c r="T996" s="27"/>
      <c r="Z996" s="27"/>
    </row>
    <row r="997" ht="15.75" customHeight="1">
      <c r="F997" s="27"/>
      <c r="I997" s="27"/>
      <c r="L997" s="27"/>
      <c r="O997" s="27"/>
      <c r="R997" s="27"/>
      <c r="T997" s="27"/>
      <c r="Z997" s="27"/>
    </row>
    <row r="998" ht="15.75" customHeight="1">
      <c r="F998" s="27"/>
      <c r="I998" s="27"/>
      <c r="L998" s="27"/>
      <c r="O998" s="27"/>
      <c r="R998" s="27"/>
      <c r="T998" s="27"/>
      <c r="Z998" s="27"/>
    </row>
    <row r="999" ht="15.75" customHeight="1">
      <c r="F999" s="27"/>
      <c r="I999" s="27"/>
      <c r="L999" s="27"/>
      <c r="O999" s="27"/>
      <c r="R999" s="27"/>
      <c r="T999" s="27"/>
      <c r="Z999" s="27"/>
    </row>
    <row r="1000" ht="15.75" customHeight="1">
      <c r="F1000" s="27"/>
      <c r="I1000" s="27"/>
      <c r="L1000" s="27"/>
      <c r="O1000" s="27"/>
      <c r="R1000" s="27"/>
      <c r="T1000" s="27"/>
      <c r="Z1000" s="27"/>
    </row>
  </sheetData>
  <autoFilter ref="$A$1:$AB$1000">
    <sortState ref="A1:AB1000">
      <sortCondition ref="B1:B1000"/>
      <sortCondition ref="A1:A1000"/>
      <sortCondition ref="H1:H1000"/>
    </sortState>
  </autoFilter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2" max="2" width="18.0"/>
    <col customWidth="1" min="3" max="3" width="14.0"/>
    <col customWidth="1" min="4" max="4" width="10.13"/>
    <col customWidth="1" min="6" max="7" width="10.13"/>
    <col customWidth="1" min="9" max="9" width="10.13"/>
    <col customWidth="1" min="11" max="15" width="10.13"/>
    <col customWidth="1" min="16" max="17" width="14.0"/>
  </cols>
  <sheetData>
    <row r="1">
      <c r="A1" s="13" t="s">
        <v>1</v>
      </c>
      <c r="B1" s="13" t="s">
        <v>5</v>
      </c>
      <c r="C1" s="13" t="s">
        <v>1103</v>
      </c>
      <c r="D1" s="13" t="s">
        <v>1104</v>
      </c>
      <c r="E1" s="13" t="s">
        <v>1107</v>
      </c>
      <c r="F1" s="13" t="s">
        <v>1109</v>
      </c>
      <c r="G1" s="13" t="s">
        <v>1111</v>
      </c>
      <c r="H1" s="13" t="s">
        <v>1113</v>
      </c>
      <c r="I1" s="13" t="s">
        <v>1115</v>
      </c>
      <c r="J1" s="13" t="s">
        <v>1117</v>
      </c>
      <c r="K1" s="13" t="s">
        <v>1119</v>
      </c>
      <c r="L1" s="13" t="s">
        <v>1121</v>
      </c>
      <c r="M1" s="13" t="s">
        <v>1123</v>
      </c>
      <c r="N1" s="13" t="s">
        <v>1125</v>
      </c>
      <c r="O1" s="13" t="s">
        <v>1127</v>
      </c>
      <c r="P1" s="13" t="s">
        <v>1130</v>
      </c>
      <c r="Q1" s="13" t="s">
        <v>1131</v>
      </c>
    </row>
    <row r="2">
      <c r="A2" s="4">
        <v>1001001</v>
      </c>
      <c r="B2" s="12" t="str">
        <f t="array" ref="B2">IF(A2:A4043="","",_xlfn.XLOOKUP(A2:A4043,'参照_武将'!A:A,'参照_武将'!B:B,"見つかりません"))</f>
      </c>
      <c r="C2" s="4" t="s">
        <v>1210</v>
      </c>
      <c r="D2" s="4">
        <v>2</v>
      </c>
      <c r="E2" s="12" t="str">
        <f t="array" ref="E2">IF(D2:D4043="","",IFERROR(_xlfn.XLOOKUP(D2:D4043,'参照_勢力'!A:A,'参照_勢力'!B:B),IFERROR(_xlfn.XLOOKUP(F2:F4043,kunishuClan!A:A,kunishuClan!B:B),"浪人")))</f>
      </c>
      <c r="F2" s="4">
        <v>0</v>
      </c>
      <c r="G2" s="4">
        <v>68</v>
      </c>
      <c r="H2" s="12" t="str">
        <f t="array" ref="H2">IF(G2:G4043="","",_xlfn.XLOOKUP(G2:G4043,castles_state!A:A,castles_state!D:D,"見つかりません"))</f>
      </c>
      <c r="I2" s="4"/>
      <c r="J2" s="12" t="str">
        <f t="array" ref="J2">IF(I2:I4043="","",_xlfn.XLOOKUP(I2:I4043,'参照_姫'!A:A,'参照_姫'!B:B,"見つかりません"))</f>
      </c>
      <c r="K2" s="4">
        <v>95</v>
      </c>
      <c r="L2" s="4">
        <v>0</v>
      </c>
      <c r="M2" s="4"/>
      <c r="N2" s="4"/>
      <c r="O2" s="4"/>
      <c r="P2" s="12" t="str">
        <f t="array" ref="P2">IF(O2:O4043="","",_xlfn.XLOOKUP(O2:O4043,'参照_官位'!A:A,'参照_官位'!B:B,""))</f>
      </c>
      <c r="Q2" s="12" t="str">
        <f t="array" ref="Q2">IF(A2:A4043="","",IFERROR(_xlfn.XLOOKUP(A2:A4043,castles_state!K:K,castles_state!D:D)&amp;"主",IFERROR(_xlfn.XLOOKUP(A2:A4043,kunishuClan!D:D,kunishuClan!B:B)&amp;"当主","")))</f>
      </c>
    </row>
    <row r="3">
      <c r="A3" s="4">
        <v>1001002</v>
      </c>
      <c r="B3" s="12" t="str">
        <f t="array" ref="B3">IF(A3:A4044="","",_xlfn.XLOOKUP(A3:A4044,'参照_武将'!A:A,'参照_武将'!B:B,"見つかりません"))</f>
      </c>
      <c r="C3" s="4" t="s">
        <v>1411</v>
      </c>
      <c r="D3" s="4">
        <v>2</v>
      </c>
      <c r="E3" s="12" t="str">
        <f t="array" ref="E3">IF(D3:D4044="","",IFERROR(_xlfn.XLOOKUP(D3:D4044,'参照_勢力'!A:A,'参照_勢力'!B:B),IFERROR(_xlfn.XLOOKUP(F3:F4044,kunishuClan!A:A,kunishuClan!B:B),"浪人")))</f>
      </c>
      <c r="F3" s="4">
        <v>0</v>
      </c>
      <c r="G3" s="4">
        <v>68</v>
      </c>
      <c r="H3" s="12" t="str">
        <f t="array" ref="H3">IF(G3:G4044="","",_xlfn.XLOOKUP(G3:G4044,castles_state!A:A,castles_state!D:D,"見つかりません"))</f>
      </c>
      <c r="I3" s="4"/>
      <c r="J3" s="12" t="str">
        <f t="array" ref="J3">IF(I3:I4044="","",_xlfn.XLOOKUP(I3:I4044,'参照_姫'!A:A,'参照_姫'!B:B,"見つかりません"))</f>
      </c>
      <c r="K3" s="4">
        <v>95</v>
      </c>
      <c r="L3" s="4">
        <v>0</v>
      </c>
      <c r="M3" s="4"/>
      <c r="N3" s="4"/>
      <c r="O3" s="4"/>
      <c r="P3" s="12" t="str">
        <f t="array" ref="P3">IF(O3:O4044="","",_xlfn.XLOOKUP(O3:O4044,'参照_官位'!A:A,'参照_官位'!B:B,""))</f>
      </c>
      <c r="Q3" s="12" t="str">
        <f t="array" ref="Q3">IF(A3:A4044="","",IFERROR(_xlfn.XLOOKUP(A3:A4044,castles_state!K:K,castles_state!D:D)&amp;"主",IFERROR(_xlfn.XLOOKUP(A3:A4044,kunishuClan!D:D,kunishuClan!B:B)&amp;"当主","")))</f>
      </c>
    </row>
    <row r="4">
      <c r="A4" s="4">
        <v>1001003</v>
      </c>
      <c r="B4" s="12" t="str">
        <f t="array" ref="B4">IF(A4:A4045="","",_xlfn.XLOOKUP(A4:A4045,'参照_武将'!A:A,'参照_武将'!B:B,"見つかりません"))</f>
      </c>
      <c r="C4" s="4" t="s">
        <v>1411</v>
      </c>
      <c r="D4" s="4">
        <v>2</v>
      </c>
      <c r="E4" s="12" t="str">
        <f t="array" ref="E4">IF(D4:D4045="","",IFERROR(_xlfn.XLOOKUP(D4:D4045,'参照_勢力'!A:A,'参照_勢力'!B:B),IFERROR(_xlfn.XLOOKUP(F4:F4045,kunishuClan!A:A,kunishuClan!B:B),"浪人")))</f>
      </c>
      <c r="F4" s="4">
        <v>0</v>
      </c>
      <c r="G4" s="4">
        <v>68</v>
      </c>
      <c r="H4" s="12" t="str">
        <f t="array" ref="H4">IF(G4:G4045="","",_xlfn.XLOOKUP(G4:G4045,castles_state!A:A,castles_state!D:D,"見つかりません"))</f>
      </c>
      <c r="I4" s="4"/>
      <c r="J4" s="12" t="str">
        <f t="array" ref="J4">IF(I4:I4045="","",_xlfn.XLOOKUP(I4:I4045,'参照_姫'!A:A,'参照_姫'!B:B,"見つかりません"))</f>
      </c>
      <c r="K4" s="4">
        <v>95</v>
      </c>
      <c r="L4" s="4">
        <v>0</v>
      </c>
      <c r="M4" s="4"/>
      <c r="N4" s="4"/>
      <c r="O4" s="4"/>
      <c r="P4" s="12" t="str">
        <f t="array" ref="P4">IF(O4:O4045="","",_xlfn.XLOOKUP(O4:O4045,'参照_官位'!A:A,'参照_官位'!B:B,""))</f>
      </c>
      <c r="Q4" s="12" t="str">
        <f t="array" ref="Q4">IF(A4:A4045="","",IFERROR(_xlfn.XLOOKUP(A4:A4045,castles_state!K:K,castles_state!D:D)&amp;"主",IFERROR(_xlfn.XLOOKUP(A4:A4045,kunishuClan!D:D,kunishuClan!B:B)&amp;"当主","")))</f>
      </c>
    </row>
    <row r="5">
      <c r="A5" s="4">
        <v>1001004</v>
      </c>
      <c r="B5" s="12" t="str">
        <f t="array" ref="B5">IF(A5:A4046="","",_xlfn.XLOOKUP(A5:A4046,'参照_武将'!A:A,'参照_武将'!B:B,"見つかりません"))</f>
      </c>
      <c r="C5" s="4" t="s">
        <v>1411</v>
      </c>
      <c r="D5" s="4">
        <v>2</v>
      </c>
      <c r="E5" s="12" t="str">
        <f t="array" ref="E5">IF(D5:D4046="","",IFERROR(_xlfn.XLOOKUP(D5:D4046,'参照_勢力'!A:A,'参照_勢力'!B:B),IFERROR(_xlfn.XLOOKUP(F5:F4046,kunishuClan!A:A,kunishuClan!B:B),"浪人")))</f>
      </c>
      <c r="F5" s="4">
        <v>0</v>
      </c>
      <c r="G5" s="4">
        <v>68</v>
      </c>
      <c r="H5" s="12" t="str">
        <f t="array" ref="H5">IF(G5:G4046="","",_xlfn.XLOOKUP(G5:G4046,castles_state!A:A,castles_state!D:D,"見つかりません"))</f>
      </c>
      <c r="I5" s="4">
        <v>7</v>
      </c>
      <c r="J5" s="12" t="str">
        <f t="array" ref="J5">IF(I5:I4046="","",_xlfn.XLOOKUP(I5:I4046,'参照_姫'!A:A,'参照_姫'!B:B,"見つかりません"))</f>
      </c>
      <c r="K5" s="4">
        <v>95</v>
      </c>
      <c r="L5" s="4">
        <v>500</v>
      </c>
      <c r="M5" s="4"/>
      <c r="N5" s="4"/>
      <c r="O5" s="4"/>
      <c r="P5" s="12" t="str">
        <f t="array" ref="P5">IF(O5:O4046="","",_xlfn.XLOOKUP(O5:O4046,'参照_官位'!A:A,'参照_官位'!B:B,""))</f>
      </c>
      <c r="Q5" s="12" t="str">
        <f t="array" ref="Q5">IF(A5:A4046="","",IFERROR(_xlfn.XLOOKUP(A5:A4046,castles_state!K:K,castles_state!D:D)&amp;"主",IFERROR(_xlfn.XLOOKUP(A5:A4046,kunishuClan!D:D,kunishuClan!B:B)&amp;"当主","")))</f>
      </c>
    </row>
    <row r="6">
      <c r="A6" s="4">
        <v>1001005</v>
      </c>
      <c r="B6" s="12" t="str">
        <f t="array" ref="B6">IF(A6:A4047="","",_xlfn.XLOOKUP(A6:A4047,'参照_武将'!A:A,'参照_武将'!B:B,"見つかりません"))</f>
      </c>
      <c r="C6" s="4" t="s">
        <v>1411</v>
      </c>
      <c r="D6" s="4">
        <v>2</v>
      </c>
      <c r="E6" s="12" t="str">
        <f t="array" ref="E6">IF(D6:D4047="","",IFERROR(_xlfn.XLOOKUP(D6:D4047,'参照_勢力'!A:A,'参照_勢力'!B:B),IFERROR(_xlfn.XLOOKUP(F6:F4047,kunishuClan!A:A,kunishuClan!B:B),"浪人")))</f>
      </c>
      <c r="F6" s="4">
        <v>0</v>
      </c>
      <c r="G6" s="4">
        <v>68</v>
      </c>
      <c r="H6" s="12" t="str">
        <f t="array" ref="H6">IF(G6:G4047="","",_xlfn.XLOOKUP(G6:G4047,castles_state!A:A,castles_state!D:D,"見つかりません"))</f>
      </c>
      <c r="I6" s="4"/>
      <c r="J6" s="12" t="str">
        <f t="array" ref="J6">IF(I6:I4047="","",_xlfn.XLOOKUP(I6:I4047,'参照_姫'!A:A,'参照_姫'!B:B,"見つかりません"))</f>
      </c>
      <c r="K6" s="4">
        <v>95</v>
      </c>
      <c r="L6" s="4">
        <v>500</v>
      </c>
      <c r="M6" s="4"/>
      <c r="N6" s="4"/>
      <c r="O6" s="4"/>
      <c r="P6" s="12" t="str">
        <f t="array" ref="P6">IF(O6:O4047="","",_xlfn.XLOOKUP(O6:O4047,'参照_官位'!A:A,'参照_官位'!B:B,""))</f>
      </c>
      <c r="Q6" s="12" t="str">
        <f t="array" ref="Q6">IF(A6:A4047="","",IFERROR(_xlfn.XLOOKUP(A6:A4047,castles_state!K:K,castles_state!D:D)&amp;"主",IFERROR(_xlfn.XLOOKUP(A6:A4047,kunishuClan!D:D,kunishuClan!B:B)&amp;"当主","")))</f>
      </c>
    </row>
    <row r="7">
      <c r="A7" s="4">
        <v>1001006</v>
      </c>
      <c r="B7" s="12" t="str">
        <f t="array" ref="B7">IF(A7:A4048="","",_xlfn.XLOOKUP(A7:A4048,'参照_武将'!A:A,'参照_武将'!B:B,"見つかりません"))</f>
      </c>
      <c r="C7" s="4" t="s">
        <v>1411</v>
      </c>
      <c r="D7" s="4">
        <v>2</v>
      </c>
      <c r="E7" s="12" t="str">
        <f t="array" ref="E7">IF(D7:D4048="","",IFERROR(_xlfn.XLOOKUP(D7:D4048,'参照_勢力'!A:A,'参照_勢力'!B:B),IFERROR(_xlfn.XLOOKUP(F7:F4048,kunishuClan!A:A,kunishuClan!B:B),"浪人")))</f>
      </c>
      <c r="F7" s="4">
        <v>0</v>
      </c>
      <c r="G7" s="4">
        <v>68</v>
      </c>
      <c r="H7" s="12" t="str">
        <f t="array" ref="H7">IF(G7:G4048="","",_xlfn.XLOOKUP(G7:G4048,castles_state!A:A,castles_state!D:D,"見つかりません"))</f>
      </c>
      <c r="I7" s="4"/>
      <c r="J7" s="12" t="str">
        <f t="array" ref="J7">IF(I7:I4048="","",_xlfn.XLOOKUP(I7:I4048,'参照_姫'!A:A,'参照_姫'!B:B,"見つかりません"))</f>
      </c>
      <c r="K7" s="4">
        <v>90</v>
      </c>
      <c r="L7" s="4">
        <v>0</v>
      </c>
      <c r="M7" s="4"/>
      <c r="N7" s="4"/>
      <c r="O7" s="4"/>
      <c r="P7" s="12" t="str">
        <f t="array" ref="P7">IF(O7:O4048="","",_xlfn.XLOOKUP(O7:O4048,'参照_官位'!A:A,'参照_官位'!B:B,""))</f>
      </c>
      <c r="Q7" s="12" t="str">
        <f t="array" ref="Q7">IF(A7:A4048="","",IFERROR(_xlfn.XLOOKUP(A7:A4048,castles_state!K:K,castles_state!D:D)&amp;"主",IFERROR(_xlfn.XLOOKUP(A7:A4048,kunishuClan!D:D,kunishuClan!B:B)&amp;"当主","")))</f>
      </c>
    </row>
    <row r="8">
      <c r="A8" s="4">
        <v>1001007</v>
      </c>
      <c r="B8" s="12" t="str">
        <f t="array" ref="B8">IF(A8:A4049="","",_xlfn.XLOOKUP(A8:A4049,'参照_武将'!A:A,'参照_武将'!B:B,"見つかりません"))</f>
      </c>
      <c r="C8" s="4" t="s">
        <v>2573</v>
      </c>
      <c r="D8" s="4">
        <v>2</v>
      </c>
      <c r="E8" s="12" t="str">
        <f t="array" ref="E8">IF(D8:D4049="","",IFERROR(_xlfn.XLOOKUP(D8:D4049,'参照_勢力'!A:A,'参照_勢力'!B:B),IFERROR(_xlfn.XLOOKUP(F8:F4049,kunishuClan!A:A,kunishuClan!B:B),"浪人")))</f>
      </c>
      <c r="F8" s="4">
        <v>0</v>
      </c>
      <c r="G8" s="4">
        <v>2</v>
      </c>
      <c r="H8" s="12" t="str">
        <f t="array" ref="H8">IF(G8:G4049="","",_xlfn.XLOOKUP(G8:G4049,castles_state!A:A,castles_state!D:D,"見つかりません"))</f>
      </c>
      <c r="I8" s="4"/>
      <c r="J8" s="12" t="str">
        <f t="array" ref="J8">IF(I8:I4049="","",_xlfn.XLOOKUP(I8:I4049,'参照_姫'!A:A,'参照_姫'!B:B,"見つかりません"))</f>
      </c>
      <c r="K8" s="4">
        <v>90</v>
      </c>
      <c r="L8" s="4">
        <v>0</v>
      </c>
      <c r="M8" s="4"/>
      <c r="N8" s="4"/>
      <c r="O8" s="4"/>
      <c r="P8" s="12" t="str">
        <f t="array" ref="P8">IF(O8:O4049="","",_xlfn.XLOOKUP(O8:O4049,'参照_官位'!A:A,'参照_官位'!B:B,""))</f>
      </c>
      <c r="Q8" s="12" t="str">
        <f t="array" ref="Q8">IF(A8:A4049="","",IFERROR(_xlfn.XLOOKUP(A8:A4049,castles_state!K:K,castles_state!D:D)&amp;"主",IFERROR(_xlfn.XLOOKUP(A8:A4049,kunishuClan!D:D,kunishuClan!B:B)&amp;"当主","")))</f>
      </c>
    </row>
    <row r="9">
      <c r="A9" s="4">
        <v>1001008</v>
      </c>
      <c r="B9" s="12" t="str">
        <f t="array" ref="B9">IF(A9:A4050="","",_xlfn.XLOOKUP(A9:A4050,'参照_武将'!A:A,'参照_武将'!B:B,"見つかりません"))</f>
      </c>
      <c r="C9" s="4" t="s">
        <v>2573</v>
      </c>
      <c r="D9" s="4">
        <v>2</v>
      </c>
      <c r="E9" s="12" t="str">
        <f t="array" ref="E9">IF(D9:D4050="","",IFERROR(_xlfn.XLOOKUP(D9:D4050,'参照_勢力'!A:A,'参照_勢力'!B:B),IFERROR(_xlfn.XLOOKUP(F9:F4050,kunishuClan!A:A,kunishuClan!B:B),"浪人")))</f>
      </c>
      <c r="F9" s="4">
        <v>0</v>
      </c>
      <c r="G9" s="4">
        <v>2</v>
      </c>
      <c r="H9" s="12" t="str">
        <f t="array" ref="H9">IF(G9:G4050="","",_xlfn.XLOOKUP(G9:G4050,castles_state!A:A,castles_state!D:D,"見つかりません"))</f>
      </c>
      <c r="I9" s="4"/>
      <c r="J9" s="12" t="str">
        <f t="array" ref="J9">IF(I9:I4050="","",_xlfn.XLOOKUP(I9:I4050,'参照_姫'!A:A,'参照_姫'!B:B,"見つかりません"))</f>
      </c>
      <c r="K9" s="4">
        <v>90</v>
      </c>
      <c r="L9" s="4">
        <v>0</v>
      </c>
      <c r="M9" s="4"/>
      <c r="N9" s="4"/>
      <c r="O9" s="4"/>
      <c r="P9" s="12" t="str">
        <f t="array" ref="P9">IF(O9:O4050="","",_xlfn.XLOOKUP(O9:O4050,'参照_官位'!A:A,'参照_官位'!B:B,""))</f>
      </c>
      <c r="Q9" s="12" t="str">
        <f t="array" ref="Q9">IF(A9:A4050="","",IFERROR(_xlfn.XLOOKUP(A9:A4050,castles_state!K:K,castles_state!D:D)&amp;"主",IFERROR(_xlfn.XLOOKUP(A9:A4050,kunishuClan!D:D,kunishuClan!B:B)&amp;"当主","")))</f>
      </c>
    </row>
    <row r="10">
      <c r="A10" s="4">
        <v>1001009</v>
      </c>
      <c r="B10" s="12" t="str">
        <f t="array" ref="B10">IF(A10:A4051="","",_xlfn.XLOOKUP(A10:A4051,'参照_武将'!A:A,'参照_武将'!B:B,"見つかりません"))</f>
      </c>
      <c r="C10" s="4" t="s">
        <v>2573</v>
      </c>
      <c r="D10" s="4">
        <v>2</v>
      </c>
      <c r="E10" s="12" t="str">
        <f t="array" ref="E10">IF(D10:D4051="","",IFERROR(_xlfn.XLOOKUP(D10:D4051,'参照_勢力'!A:A,'参照_勢力'!B:B),IFERROR(_xlfn.XLOOKUP(F10:F4051,kunishuClan!A:A,kunishuClan!B:B),"浪人")))</f>
      </c>
      <c r="F10" s="4">
        <v>0</v>
      </c>
      <c r="G10" s="4">
        <v>2</v>
      </c>
      <c r="H10" s="12" t="str">
        <f t="array" ref="H10">IF(G10:G4051="","",_xlfn.XLOOKUP(G10:G4051,castles_state!A:A,castles_state!D:D,"見つかりません"))</f>
      </c>
      <c r="I10" s="4"/>
      <c r="J10" s="12" t="str">
        <f t="array" ref="J10">IF(I10:I4051="","",_xlfn.XLOOKUP(I10:I4051,'参照_姫'!A:A,'参照_姫'!B:B,"見つかりません"))</f>
      </c>
      <c r="K10" s="4">
        <v>90</v>
      </c>
      <c r="L10" s="4">
        <v>0</v>
      </c>
      <c r="M10" s="4"/>
      <c r="N10" s="4"/>
      <c r="O10" s="4"/>
      <c r="P10" s="12" t="str">
        <f t="array" ref="P10">IF(O10:O4051="","",_xlfn.XLOOKUP(O10:O4051,'参照_官位'!A:A,'参照_官位'!B:B,""))</f>
      </c>
      <c r="Q10" s="12" t="str">
        <f t="array" ref="Q10">IF(A10:A4051="","",IFERROR(_xlfn.XLOOKUP(A10:A4051,castles_state!K:K,castles_state!D:D)&amp;"主",IFERROR(_xlfn.XLOOKUP(A10:A4051,kunishuClan!D:D,kunishuClan!B:B)&amp;"当主","")))</f>
      </c>
    </row>
    <row r="11">
      <c r="A11" s="4">
        <v>1001010</v>
      </c>
      <c r="B11" s="12" t="str">
        <f t="array" ref="B11">IF(A11:A4052="","",_xlfn.XLOOKUP(A11:A4052,'参照_武将'!A:A,'参照_武将'!B:B,"見つかりません"))</f>
      </c>
      <c r="C11" s="4" t="s">
        <v>1210</v>
      </c>
      <c r="D11" s="4">
        <v>2</v>
      </c>
      <c r="E11" s="12" t="str">
        <f t="array" ref="E11">IF(D11:D4052="","",IFERROR(_xlfn.XLOOKUP(D11:D4052,'参照_勢力'!A:A,'参照_勢力'!B:B),IFERROR(_xlfn.XLOOKUP(F11:F4052,kunishuClan!A:A,kunishuClan!B:B),"浪人")))</f>
      </c>
      <c r="F11" s="4">
        <v>0</v>
      </c>
      <c r="G11" s="4">
        <v>2</v>
      </c>
      <c r="H11" s="12" t="str">
        <f t="array" ref="H11">IF(G11:G4052="","",_xlfn.XLOOKUP(G11:G4052,castles_state!A:A,castles_state!D:D,"見つかりません"))</f>
      </c>
      <c r="I11" s="4"/>
      <c r="J11" s="12" t="str">
        <f t="array" ref="J11">IF(I11:I4052="","",_xlfn.XLOOKUP(I11:I4052,'参照_姫'!A:A,'参照_姫'!B:B,"見つかりません"))</f>
      </c>
      <c r="K11" s="4">
        <v>95</v>
      </c>
      <c r="L11" s="4">
        <v>0</v>
      </c>
      <c r="M11" s="4"/>
      <c r="N11" s="4"/>
      <c r="O11" s="4"/>
      <c r="P11" s="12" t="str">
        <f t="array" ref="P11">IF(O11:O4052="","",_xlfn.XLOOKUP(O11:O4052,'参照_官位'!A:A,'参照_官位'!B:B,""))</f>
      </c>
      <c r="Q11" s="12" t="str">
        <f t="array" ref="Q11">IF(A11:A4052="","",IFERROR(_xlfn.XLOOKUP(A11:A4052,castles_state!K:K,castles_state!D:D)&amp;"主",IFERROR(_xlfn.XLOOKUP(A11:A4052,kunishuClan!D:D,kunishuClan!B:B)&amp;"当主","")))</f>
      </c>
    </row>
    <row r="12">
      <c r="A12" s="4">
        <v>1001011</v>
      </c>
      <c r="B12" s="12" t="str">
        <f t="array" ref="B12">IF(A12:A4053="","",_xlfn.XLOOKUP(A12:A4053,'参照_武将'!A:A,'参照_武将'!B:B,"見つかりません"))</f>
      </c>
      <c r="C12" s="4" t="s">
        <v>1210</v>
      </c>
      <c r="D12" s="4">
        <v>2</v>
      </c>
      <c r="E12" s="12" t="str">
        <f t="array" ref="E12">IF(D12:D4053="","",IFERROR(_xlfn.XLOOKUP(D12:D4053,'参照_勢力'!A:A,'参照_勢力'!B:B),IFERROR(_xlfn.XLOOKUP(F12:F4053,kunishuClan!A:A,kunishuClan!B:B),"浪人")))</f>
      </c>
      <c r="F12" s="4">
        <v>0</v>
      </c>
      <c r="G12" s="4">
        <v>2</v>
      </c>
      <c r="H12" s="12" t="str">
        <f t="array" ref="H12">IF(G12:G4053="","",_xlfn.XLOOKUP(G12:G4053,castles_state!A:A,castles_state!D:D,"見つかりません"))</f>
      </c>
      <c r="I12" s="4"/>
      <c r="J12" s="12" t="str">
        <f t="array" ref="J12">IF(I12:I4053="","",_xlfn.XLOOKUP(I12:I4053,'参照_姫'!A:A,'参照_姫'!B:B,"見つかりません"))</f>
      </c>
      <c r="K12" s="4">
        <v>95</v>
      </c>
      <c r="L12" s="4">
        <v>0</v>
      </c>
      <c r="M12" s="4"/>
      <c r="N12" s="4"/>
      <c r="O12" s="4"/>
      <c r="P12" s="12" t="str">
        <f t="array" ref="P12">IF(O12:O4053="","",_xlfn.XLOOKUP(O12:O4053,'参照_官位'!A:A,'参照_官位'!B:B,""))</f>
      </c>
      <c r="Q12" s="12" t="str">
        <f t="array" ref="Q12">IF(A12:A4053="","",IFERROR(_xlfn.XLOOKUP(A12:A4053,castles_state!K:K,castles_state!D:D)&amp;"主",IFERROR(_xlfn.XLOOKUP(A12:A4053,kunishuClan!D:D,kunishuClan!B:B)&amp;"当主","")))</f>
      </c>
    </row>
    <row r="13">
      <c r="A13" s="4">
        <v>1001012</v>
      </c>
      <c r="B13" s="12" t="str">
        <f t="array" ref="B13">IF(A13:A4054="","",_xlfn.XLOOKUP(A13:A4054,'参照_武将'!A:A,'参照_武将'!B:B,"見つかりません"))</f>
      </c>
      <c r="C13" s="4" t="s">
        <v>1210</v>
      </c>
      <c r="D13" s="4">
        <v>2</v>
      </c>
      <c r="E13" s="12" t="str">
        <f t="array" ref="E13">IF(D13:D4054="","",IFERROR(_xlfn.XLOOKUP(D13:D4054,'参照_勢力'!A:A,'参照_勢力'!B:B),IFERROR(_xlfn.XLOOKUP(F13:F4054,kunishuClan!A:A,kunishuClan!B:B),"浪人")))</f>
      </c>
      <c r="F13" s="4">
        <v>0</v>
      </c>
      <c r="G13" s="4">
        <v>2</v>
      </c>
      <c r="H13" s="12" t="str">
        <f t="array" ref="H13">IF(G13:G4054="","",_xlfn.XLOOKUP(G13:G4054,castles_state!A:A,castles_state!D:D,"見つかりません"))</f>
      </c>
      <c r="I13" s="4"/>
      <c r="J13" s="12" t="str">
        <f t="array" ref="J13">IF(I13:I4054="","",_xlfn.XLOOKUP(I13:I4054,'参照_姫'!A:A,'参照_姫'!B:B,"見つかりません"))</f>
      </c>
      <c r="K13" s="4">
        <v>95</v>
      </c>
      <c r="L13" s="4">
        <v>0</v>
      </c>
      <c r="M13" s="4"/>
      <c r="N13" s="4"/>
      <c r="O13" s="4"/>
      <c r="P13" s="12" t="str">
        <f t="array" ref="P13">IF(O13:O4054="","",_xlfn.XLOOKUP(O13:O4054,'参照_官位'!A:A,'参照_官位'!B:B,""))</f>
      </c>
      <c r="Q13" s="12" t="str">
        <f t="array" ref="Q13">IF(A13:A4054="","",IFERROR(_xlfn.XLOOKUP(A13:A4054,castles_state!K:K,castles_state!D:D)&amp;"主",IFERROR(_xlfn.XLOOKUP(A13:A4054,kunishuClan!D:D,kunishuClan!B:B)&amp;"当主","")))</f>
      </c>
    </row>
    <row r="14">
      <c r="A14" s="4">
        <v>1001013</v>
      </c>
      <c r="B14" s="12" t="str">
        <f t="array" ref="B14">IF(A14:A4055="","",_xlfn.XLOOKUP(A14:A4055,'参照_武将'!A:A,'参照_武将'!B:B,"見つかりません"))</f>
      </c>
      <c r="C14" s="4" t="s">
        <v>1210</v>
      </c>
      <c r="D14" s="4">
        <v>2</v>
      </c>
      <c r="E14" s="12" t="str">
        <f t="array" ref="E14">IF(D14:D4055="","",IFERROR(_xlfn.XLOOKUP(D14:D4055,'参照_勢力'!A:A,'参照_勢力'!B:B),IFERROR(_xlfn.XLOOKUP(F14:F4055,kunishuClan!A:A,kunishuClan!B:B),"浪人")))</f>
      </c>
      <c r="F14" s="4">
        <v>0</v>
      </c>
      <c r="G14" s="4">
        <v>2</v>
      </c>
      <c r="H14" s="12" t="str">
        <f t="array" ref="H14">IF(G14:G4055="","",_xlfn.XLOOKUP(G14:G4055,castles_state!A:A,castles_state!D:D,"見つかりません"))</f>
      </c>
      <c r="I14" s="4"/>
      <c r="J14" s="12" t="str">
        <f t="array" ref="J14">IF(I14:I4055="","",_xlfn.XLOOKUP(I14:I4055,'参照_姫'!A:A,'参照_姫'!B:B,"見つかりません"))</f>
      </c>
      <c r="K14" s="4">
        <v>95</v>
      </c>
      <c r="L14" s="4">
        <v>0</v>
      </c>
      <c r="M14" s="4"/>
      <c r="N14" s="4"/>
      <c r="O14" s="4"/>
      <c r="P14" s="12" t="str">
        <f t="array" ref="P14">IF(O14:O4055="","",_xlfn.XLOOKUP(O14:O4055,'参照_官位'!A:A,'参照_官位'!B:B,""))</f>
      </c>
      <c r="Q14" s="12" t="str">
        <f t="array" ref="Q14">IF(A14:A4055="","",IFERROR(_xlfn.XLOOKUP(A14:A4055,castles_state!K:K,castles_state!D:D)&amp;"主",IFERROR(_xlfn.XLOOKUP(A14:A4055,kunishuClan!D:D,kunishuClan!B:B)&amp;"当主","")))</f>
      </c>
    </row>
    <row r="15">
      <c r="A15" s="4">
        <v>1001014</v>
      </c>
      <c r="B15" s="12" t="str">
        <f t="array" ref="B15">IF(A15:A4056="","",_xlfn.XLOOKUP(A15:A4056,'参照_武将'!A:A,'参照_武将'!B:B,"見つかりません"))</f>
      </c>
      <c r="C15" s="4" t="s">
        <v>1210</v>
      </c>
      <c r="D15" s="4">
        <v>2</v>
      </c>
      <c r="E15" s="12" t="str">
        <f t="array" ref="E15">IF(D15:D4056="","",IFERROR(_xlfn.XLOOKUP(D15:D4056,'参照_勢力'!A:A,'参照_勢力'!B:B),IFERROR(_xlfn.XLOOKUP(F15:F4056,kunishuClan!A:A,kunishuClan!B:B),"浪人")))</f>
      </c>
      <c r="F15" s="4">
        <v>0</v>
      </c>
      <c r="G15" s="4">
        <v>2</v>
      </c>
      <c r="H15" s="12" t="str">
        <f t="array" ref="H15">IF(G15:G4056="","",_xlfn.XLOOKUP(G15:G4056,castles_state!A:A,castles_state!D:D,"見つかりません"))</f>
      </c>
      <c r="I15" s="4"/>
      <c r="J15" s="12" t="str">
        <f t="array" ref="J15">IF(I15:I4056="","",_xlfn.XLOOKUP(I15:I4056,'参照_姫'!A:A,'参照_姫'!B:B,"見つかりません"))</f>
      </c>
      <c r="K15" s="4">
        <v>95</v>
      </c>
      <c r="L15" s="4">
        <v>0</v>
      </c>
      <c r="M15" s="4"/>
      <c r="N15" s="4"/>
      <c r="O15" s="4"/>
      <c r="P15" s="12" t="str">
        <f t="array" ref="P15">IF(O15:O4056="","",_xlfn.XLOOKUP(O15:O4056,'参照_官位'!A:A,'参照_官位'!B:B,""))</f>
      </c>
      <c r="Q15" s="12" t="str">
        <f t="array" ref="Q15">IF(A15:A4056="","",IFERROR(_xlfn.XLOOKUP(A15:A4056,castles_state!K:K,castles_state!D:D)&amp;"主",IFERROR(_xlfn.XLOOKUP(A15:A4056,kunishuClan!D:D,kunishuClan!B:B)&amp;"当主","")))</f>
      </c>
    </row>
    <row r="16">
      <c r="A16" s="4">
        <v>1001015</v>
      </c>
      <c r="B16" s="12" t="str">
        <f t="array" ref="B16">IF(A16:A4057="","",_xlfn.XLOOKUP(A16:A4057,'参照_武将'!A:A,'参照_武将'!B:B,"見つかりません"))</f>
      </c>
      <c r="C16" s="4" t="s">
        <v>1210</v>
      </c>
      <c r="D16" s="4">
        <v>2</v>
      </c>
      <c r="E16" s="12" t="str">
        <f t="array" ref="E16">IF(D16:D4057="","",IFERROR(_xlfn.XLOOKUP(D16:D4057,'参照_勢力'!A:A,'参照_勢力'!B:B),IFERROR(_xlfn.XLOOKUP(F16:F4057,kunishuClan!A:A,kunishuClan!B:B),"浪人")))</f>
      </c>
      <c r="F16" s="4">
        <v>0</v>
      </c>
      <c r="G16" s="4">
        <v>2</v>
      </c>
      <c r="H16" s="12" t="str">
        <f t="array" ref="H16">IF(G16:G4057="","",_xlfn.XLOOKUP(G16:G4057,castles_state!A:A,castles_state!D:D,"見つかりません"))</f>
      </c>
      <c r="I16" s="4"/>
      <c r="J16" s="12" t="str">
        <f t="array" ref="J16">IF(I16:I4057="","",_xlfn.XLOOKUP(I16:I4057,'参照_姫'!A:A,'参照_姫'!B:B,"見つかりません"))</f>
      </c>
      <c r="K16" s="4">
        <v>100</v>
      </c>
      <c r="L16" s="4">
        <v>1500</v>
      </c>
      <c r="M16" s="4"/>
      <c r="N16" s="4"/>
      <c r="O16" s="4">
        <v>82</v>
      </c>
      <c r="P16" s="12" t="str">
        <f t="array" ref="P16">IF(O16:O4057="","",_xlfn.XLOOKUP(O16:O4057,'参照_官位'!A:A,'参照_官位'!B:B,""))</f>
      </c>
      <c r="Q16" s="12" t="str">
        <f t="array" ref="Q16">IF(A16:A4057="","",IFERROR(_xlfn.XLOOKUP(A16:A4057,castles_state!K:K,castles_state!D:D)&amp;"主",IFERROR(_xlfn.XLOOKUP(A16:A4057,kunishuClan!D:D,kunishuClan!B:B)&amp;"当主","")))</f>
      </c>
    </row>
    <row r="17">
      <c r="A17" s="4">
        <v>1001016</v>
      </c>
      <c r="B17" s="12" t="str">
        <f t="array" ref="B17">IF(A17:A4058="","",_xlfn.XLOOKUP(A17:A4058,'参照_武将'!A:A,'参照_武将'!B:B,"見つかりません"))</f>
      </c>
      <c r="C17" s="4" t="s">
        <v>104</v>
      </c>
      <c r="D17" s="4">
        <v>2</v>
      </c>
      <c r="E17" s="12" t="str">
        <f t="array" ref="E17">IF(D17:D4058="","",IFERROR(_xlfn.XLOOKUP(D17:D4058,'参照_勢力'!A:A,'参照_勢力'!B:B),IFERROR(_xlfn.XLOOKUP(F17:F4058,kunishuClan!A:A,kunishuClan!B:B),"浪人")))</f>
      </c>
      <c r="F17" s="4">
        <v>0</v>
      </c>
      <c r="G17" s="4">
        <v>2</v>
      </c>
      <c r="H17" s="12" t="str">
        <f t="array" ref="H17">IF(G17:G4058="","",_xlfn.XLOOKUP(G17:G4058,castles_state!A:A,castles_state!D:D,"見つかりません"))</f>
      </c>
      <c r="I17" s="4"/>
      <c r="J17" s="12" t="str">
        <f t="array" ref="J17">IF(I17:I4058="","",_xlfn.XLOOKUP(I17:I4058,'参照_姫'!A:A,'参照_姫'!B:B,"見つかりません"))</f>
      </c>
      <c r="K17" s="4">
        <v>90</v>
      </c>
      <c r="L17" s="4">
        <v>0</v>
      </c>
      <c r="M17" s="4"/>
      <c r="N17" s="4"/>
      <c r="O17" s="4"/>
      <c r="P17" s="12" t="str">
        <f t="array" ref="P17">IF(O17:O4058="","",_xlfn.XLOOKUP(O17:O4058,'参照_官位'!A:A,'参照_官位'!B:B,""))</f>
      </c>
      <c r="Q17" s="12" t="str">
        <f t="array" ref="Q17">IF(A17:A4058="","",IFERROR(_xlfn.XLOOKUP(A17:A4058,castles_state!K:K,castles_state!D:D)&amp;"主",IFERROR(_xlfn.XLOOKUP(A17:A4058,kunishuClan!D:D,kunishuClan!B:B)&amp;"当主","")))</f>
      </c>
    </row>
    <row r="18">
      <c r="A18" s="4">
        <v>1001017</v>
      </c>
      <c r="B18" s="12" t="str">
        <f t="array" ref="B18">IF(A18:A4059="","",_xlfn.XLOOKUP(A18:A4059,'参照_武将'!A:A,'参照_武将'!B:B,"見つかりません"))</f>
      </c>
      <c r="C18" s="4" t="s">
        <v>104</v>
      </c>
      <c r="D18" s="4">
        <v>2</v>
      </c>
      <c r="E18" s="12" t="str">
        <f t="array" ref="E18">IF(D18:D4059="","",IFERROR(_xlfn.XLOOKUP(D18:D4059,'参照_勢力'!A:A,'参照_勢力'!B:B),IFERROR(_xlfn.XLOOKUP(F18:F4059,kunishuClan!A:A,kunishuClan!B:B),"浪人")))</f>
      </c>
      <c r="F18" s="4">
        <v>0</v>
      </c>
      <c r="G18" s="4">
        <v>2</v>
      </c>
      <c r="H18" s="12" t="str">
        <f t="array" ref="H18">IF(G18:G4059="","",_xlfn.XLOOKUP(G18:G4059,castles_state!A:A,castles_state!D:D,"見つかりません"))</f>
      </c>
      <c r="I18" s="4"/>
      <c r="J18" s="12" t="str">
        <f t="array" ref="J18">IF(I18:I4059="","",_xlfn.XLOOKUP(I18:I4059,'参照_姫'!A:A,'参照_姫'!B:B,"見つかりません"))</f>
      </c>
      <c r="K18" s="4">
        <v>90</v>
      </c>
      <c r="L18" s="4">
        <v>0</v>
      </c>
      <c r="M18" s="4"/>
      <c r="N18" s="4"/>
      <c r="O18" s="4"/>
      <c r="P18" s="12" t="str">
        <f t="array" ref="P18">IF(O18:O4059="","",_xlfn.XLOOKUP(O18:O4059,'参照_官位'!A:A,'参照_官位'!B:B,""))</f>
      </c>
      <c r="Q18" s="12" t="str">
        <f t="array" ref="Q18">IF(A18:A4059="","",IFERROR(_xlfn.XLOOKUP(A18:A4059,castles_state!K:K,castles_state!D:D)&amp;"主",IFERROR(_xlfn.XLOOKUP(A18:A4059,kunishuClan!D:D,kunishuClan!B:B)&amp;"当主","")))</f>
      </c>
    </row>
    <row r="19">
      <c r="A19" s="4">
        <v>1001018</v>
      </c>
      <c r="B19" s="12" t="str">
        <f t="array" ref="B19">IF(A19:A4060="","",_xlfn.XLOOKUP(A19:A4060,'参照_武将'!A:A,'参照_武将'!B:B,"見つかりません"))</f>
      </c>
      <c r="C19" s="4" t="s">
        <v>104</v>
      </c>
      <c r="D19" s="4">
        <v>2</v>
      </c>
      <c r="E19" s="12" t="str">
        <f t="array" ref="E19">IF(D19:D4060="","",IFERROR(_xlfn.XLOOKUP(D19:D4060,'参照_勢力'!A:A,'参照_勢力'!B:B),IFERROR(_xlfn.XLOOKUP(F19:F4060,kunishuClan!A:A,kunishuClan!B:B),"浪人")))</f>
      </c>
      <c r="F19" s="4">
        <v>0</v>
      </c>
      <c r="G19" s="4">
        <v>2</v>
      </c>
      <c r="H19" s="12" t="str">
        <f t="array" ref="H19">IF(G19:G4060="","",_xlfn.XLOOKUP(G19:G4060,castles_state!A:A,castles_state!D:D,"見つかりません"))</f>
      </c>
      <c r="I19" s="4"/>
      <c r="J19" s="12" t="str">
        <f t="array" ref="J19">IF(I19:I4060="","",_xlfn.XLOOKUP(I19:I4060,'参照_姫'!A:A,'参照_姫'!B:B,"見つかりません"))</f>
      </c>
      <c r="K19" s="4">
        <v>95</v>
      </c>
      <c r="L19" s="4">
        <v>0</v>
      </c>
      <c r="M19" s="4"/>
      <c r="N19" s="4"/>
      <c r="O19" s="4"/>
      <c r="P19" s="12" t="str">
        <f t="array" ref="P19">IF(O19:O4060="","",_xlfn.XLOOKUP(O19:O4060,'参照_官位'!A:A,'参照_官位'!B:B,""))</f>
      </c>
      <c r="Q19" s="12" t="str">
        <f t="array" ref="Q19">IF(A19:A4060="","",IFERROR(_xlfn.XLOOKUP(A19:A4060,castles_state!K:K,castles_state!D:D)&amp;"主",IFERROR(_xlfn.XLOOKUP(A19:A4060,kunishuClan!D:D,kunishuClan!B:B)&amp;"当主","")))</f>
      </c>
    </row>
    <row r="20">
      <c r="A20" s="4">
        <v>1001019</v>
      </c>
      <c r="B20" s="12" t="str">
        <f t="array" ref="B20">IF(A20:A4061="","",_xlfn.XLOOKUP(A20:A4061,'参照_武将'!A:A,'参照_武将'!B:B,"見つかりません"))</f>
      </c>
      <c r="C20" s="4" t="s">
        <v>104</v>
      </c>
      <c r="D20" s="4">
        <v>2</v>
      </c>
      <c r="E20" s="12" t="str">
        <f t="array" ref="E20">IF(D20:D4061="","",IFERROR(_xlfn.XLOOKUP(D20:D4061,'参照_勢力'!A:A,'参照_勢力'!B:B),IFERROR(_xlfn.XLOOKUP(F20:F4061,kunishuClan!A:A,kunishuClan!B:B),"浪人")))</f>
      </c>
      <c r="F20" s="4">
        <v>0</v>
      </c>
      <c r="G20" s="4">
        <v>15</v>
      </c>
      <c r="H20" s="12" t="str">
        <f t="array" ref="H20">IF(G20:G4061="","",_xlfn.XLOOKUP(G20:G4061,castles_state!A:A,castles_state!D:D,"見つかりません"))</f>
      </c>
      <c r="I20" s="4"/>
      <c r="J20" s="12" t="str">
        <f t="array" ref="J20">IF(I20:I4061="","",_xlfn.XLOOKUP(I20:I4061,'参照_姫'!A:A,'参照_姫'!B:B,"見つかりません"))</f>
      </c>
      <c r="K20" s="4">
        <v>95</v>
      </c>
      <c r="L20" s="4">
        <v>0</v>
      </c>
      <c r="M20" s="4"/>
      <c r="N20" s="4"/>
      <c r="O20" s="4"/>
      <c r="P20" s="12" t="str">
        <f t="array" ref="P20">IF(O20:O4061="","",_xlfn.XLOOKUP(O20:O4061,'参照_官位'!A:A,'参照_官位'!B:B,""))</f>
      </c>
      <c r="Q20" s="12" t="str">
        <f t="array" ref="Q20">IF(A20:A4061="","",IFERROR(_xlfn.XLOOKUP(A20:A4061,castles_state!K:K,castles_state!D:D)&amp;"主",IFERROR(_xlfn.XLOOKUP(A20:A4061,kunishuClan!D:D,kunishuClan!B:B)&amp;"当主","")))</f>
      </c>
    </row>
    <row r="21" ht="15.75" customHeight="1">
      <c r="A21" s="4">
        <v>1001020</v>
      </c>
      <c r="B21" s="12" t="str">
        <f t="array" ref="B21">IF(A21:A4062="","",_xlfn.XLOOKUP(A21:A4062,'参照_武将'!A:A,'参照_武将'!B:B,"見つかりません"))</f>
      </c>
      <c r="C21" s="4" t="s">
        <v>104</v>
      </c>
      <c r="D21" s="4">
        <v>2</v>
      </c>
      <c r="E21" s="12" t="str">
        <f t="array" ref="E21">IF(D21:D4062="","",IFERROR(_xlfn.XLOOKUP(D21:D4062,'参照_勢力'!A:A,'参照_勢力'!B:B),IFERROR(_xlfn.XLOOKUP(F21:F4062,kunishuClan!A:A,kunishuClan!B:B),"浪人")))</f>
      </c>
      <c r="F21" s="4">
        <v>0</v>
      </c>
      <c r="G21" s="4">
        <v>2</v>
      </c>
      <c r="H21" s="12" t="str">
        <f t="array" ref="H21">IF(G21:G4062="","",_xlfn.XLOOKUP(G21:G4062,castles_state!A:A,castles_state!D:D,"見つかりません"))</f>
      </c>
      <c r="I21" s="4"/>
      <c r="J21" s="12" t="str">
        <f t="array" ref="J21">IF(I21:I4062="","",_xlfn.XLOOKUP(I21:I4062,'参照_姫'!A:A,'参照_姫'!B:B,"見つかりません"))</f>
      </c>
      <c r="K21" s="4">
        <v>95</v>
      </c>
      <c r="L21" s="4">
        <v>0</v>
      </c>
      <c r="M21" s="4"/>
      <c r="N21" s="4"/>
      <c r="O21" s="4"/>
      <c r="P21" s="12" t="str">
        <f t="array" ref="P21">IF(O21:O4062="","",_xlfn.XLOOKUP(O21:O4062,'参照_官位'!A:A,'参照_官位'!B:B,""))</f>
      </c>
      <c r="Q21" s="12" t="str">
        <f t="array" ref="Q21">IF(A21:A4062="","",IFERROR(_xlfn.XLOOKUP(A21:A4062,castles_state!K:K,castles_state!D:D)&amp;"主",IFERROR(_xlfn.XLOOKUP(A21:A4062,kunishuClan!D:D,kunishuClan!B:B)&amp;"当主","")))</f>
      </c>
    </row>
    <row r="22" ht="15.75" customHeight="1">
      <c r="A22" s="4">
        <v>1001021</v>
      </c>
      <c r="B22" s="12" t="str">
        <f t="array" ref="B22">IF(A22:A4063="","",_xlfn.XLOOKUP(A22:A4063,'参照_武将'!A:A,'参照_武将'!B:B,"見つかりません"))</f>
      </c>
      <c r="C22" s="4" t="s">
        <v>104</v>
      </c>
      <c r="D22" s="4">
        <v>2</v>
      </c>
      <c r="E22" s="12" t="str">
        <f t="array" ref="E22">IF(D22:D4063="","",IFERROR(_xlfn.XLOOKUP(D22:D4063,'参照_勢力'!A:A,'参照_勢力'!B:B),IFERROR(_xlfn.XLOOKUP(F22:F4063,kunishuClan!A:A,kunishuClan!B:B),"浪人")))</f>
      </c>
      <c r="F22" s="4">
        <v>0</v>
      </c>
      <c r="G22" s="4">
        <v>2</v>
      </c>
      <c r="H22" s="12" t="str">
        <f t="array" ref="H22">IF(G22:G4063="","",_xlfn.XLOOKUP(G22:G4063,castles_state!A:A,castles_state!D:D,"見つかりません"))</f>
      </c>
      <c r="I22" s="4"/>
      <c r="J22" s="12" t="str">
        <f t="array" ref="J22">IF(I22:I4063="","",_xlfn.XLOOKUP(I22:I4063,'参照_姫'!A:A,'参照_姫'!B:B,"見つかりません"))</f>
      </c>
      <c r="K22" s="4">
        <v>95</v>
      </c>
      <c r="L22" s="4">
        <v>0</v>
      </c>
      <c r="M22" s="4"/>
      <c r="N22" s="4"/>
      <c r="O22" s="4"/>
      <c r="P22" s="12" t="str">
        <f t="array" ref="P22">IF(O22:O4063="","",_xlfn.XLOOKUP(O22:O4063,'参照_官位'!A:A,'参照_官位'!B:B,""))</f>
      </c>
      <c r="Q22" s="12" t="str">
        <f t="array" ref="Q22">IF(A22:A4063="","",IFERROR(_xlfn.XLOOKUP(A22:A4063,castles_state!K:K,castles_state!D:D)&amp;"主",IFERROR(_xlfn.XLOOKUP(A22:A4063,kunishuClan!D:D,kunishuClan!B:B)&amp;"当主","")))</f>
      </c>
    </row>
    <row r="23" ht="15.75" customHeight="1">
      <c r="A23" s="4">
        <v>1001022</v>
      </c>
      <c r="B23" s="12" t="str">
        <f t="array" ref="B23">IF(A23:A4064="","",_xlfn.XLOOKUP(A23:A4064,'参照_武将'!A:A,'参照_武将'!B:B,"見つかりません"))</f>
      </c>
      <c r="C23" s="4" t="s">
        <v>104</v>
      </c>
      <c r="D23" s="4">
        <v>2</v>
      </c>
      <c r="E23" s="12" t="str">
        <f t="array" ref="E23">IF(D23:D4064="","",IFERROR(_xlfn.XLOOKUP(D23:D4064,'参照_勢力'!A:A,'参照_勢力'!B:B),IFERROR(_xlfn.XLOOKUP(F23:F4064,kunishuClan!A:A,kunishuClan!B:B),"浪人")))</f>
      </c>
      <c r="F23" s="4">
        <v>0</v>
      </c>
      <c r="G23" s="4">
        <v>2</v>
      </c>
      <c r="H23" s="12" t="str">
        <f t="array" ref="H23">IF(G23:G4064="","",_xlfn.XLOOKUP(G23:G4064,castles_state!A:A,castles_state!D:D,"見つかりません"))</f>
      </c>
      <c r="I23" s="4"/>
      <c r="J23" s="12" t="str">
        <f t="array" ref="J23">IF(I23:I4064="","",_xlfn.XLOOKUP(I23:I4064,'参照_姫'!A:A,'参照_姫'!B:B,"見つかりません"))</f>
      </c>
      <c r="K23" s="4">
        <v>90</v>
      </c>
      <c r="L23" s="4">
        <v>0</v>
      </c>
      <c r="M23" s="4"/>
      <c r="N23" s="4"/>
      <c r="O23" s="4"/>
      <c r="P23" s="12" t="str">
        <f t="array" ref="P23">IF(O23:O4064="","",_xlfn.XLOOKUP(O23:O4064,'参照_官位'!A:A,'参照_官位'!B:B,""))</f>
      </c>
      <c r="Q23" s="12" t="str">
        <f t="array" ref="Q23">IF(A23:A4064="","",IFERROR(_xlfn.XLOOKUP(A23:A4064,castles_state!K:K,castles_state!D:D)&amp;"主",IFERROR(_xlfn.XLOOKUP(A23:A4064,kunishuClan!D:D,kunishuClan!B:B)&amp;"当主","")))</f>
      </c>
    </row>
    <row r="24" ht="15.75" customHeight="1">
      <c r="A24" s="4">
        <v>1001023</v>
      </c>
      <c r="B24" s="12" t="str">
        <f t="array" ref="B24">IF(A24:A4065="","",_xlfn.XLOOKUP(A24:A4065,'参照_武将'!A:A,'参照_武将'!B:B,"見つかりません"))</f>
      </c>
      <c r="C24" s="4" t="s">
        <v>104</v>
      </c>
      <c r="D24" s="4">
        <v>2</v>
      </c>
      <c r="E24" s="12" t="str">
        <f t="array" ref="E24">IF(D24:D4065="","",IFERROR(_xlfn.XLOOKUP(D24:D4065,'参照_勢力'!A:A,'参照_勢力'!B:B),IFERROR(_xlfn.XLOOKUP(F24:F4065,kunishuClan!A:A,kunishuClan!B:B),"浪人")))</f>
      </c>
      <c r="F24" s="4">
        <v>0</v>
      </c>
      <c r="G24" s="4">
        <v>2</v>
      </c>
      <c r="H24" s="12" t="str">
        <f t="array" ref="H24">IF(G24:G4065="","",_xlfn.XLOOKUP(G24:G4065,castles_state!A:A,castles_state!D:D,"見つかりません"))</f>
      </c>
      <c r="I24" s="4"/>
      <c r="J24" s="12" t="str">
        <f t="array" ref="J24">IF(I24:I4065="","",_xlfn.XLOOKUP(I24:I4065,'参照_姫'!A:A,'参照_姫'!B:B,"見つかりません"))</f>
      </c>
      <c r="K24" s="4">
        <v>95</v>
      </c>
      <c r="L24" s="4">
        <v>500</v>
      </c>
      <c r="M24" s="4"/>
      <c r="N24" s="4"/>
      <c r="O24" s="4"/>
      <c r="P24" s="12" t="str">
        <f t="array" ref="P24">IF(O24:O4065="","",_xlfn.XLOOKUP(O24:O4065,'参照_官位'!A:A,'参照_官位'!B:B,""))</f>
      </c>
      <c r="Q24" s="12" t="str">
        <f t="array" ref="Q24">IF(A24:A4065="","",IFERROR(_xlfn.XLOOKUP(A24:A4065,castles_state!K:K,castles_state!D:D)&amp;"主",IFERROR(_xlfn.XLOOKUP(A24:A4065,kunishuClan!D:D,kunishuClan!B:B)&amp;"当主","")))</f>
      </c>
    </row>
    <row r="25" ht="15.75" customHeight="1">
      <c r="A25" s="4">
        <v>1001024</v>
      </c>
      <c r="B25" s="12" t="str">
        <f t="array" ref="B25">IF(A25:A4066="","",_xlfn.XLOOKUP(A25:A4066,'参照_武将'!A:A,'参照_武将'!B:B,"見つかりません"))</f>
      </c>
      <c r="C25" s="4" t="s">
        <v>104</v>
      </c>
      <c r="D25" s="4">
        <v>2</v>
      </c>
      <c r="E25" s="12" t="str">
        <f t="array" ref="E25">IF(D25:D4066="","",IFERROR(_xlfn.XLOOKUP(D25:D4066,'参照_勢力'!A:A,'参照_勢力'!B:B),IFERROR(_xlfn.XLOOKUP(F25:F4066,kunishuClan!A:A,kunishuClan!B:B),"浪人")))</f>
      </c>
      <c r="F25" s="4">
        <v>0</v>
      </c>
      <c r="G25" s="4">
        <v>2</v>
      </c>
      <c r="H25" s="12" t="str">
        <f t="array" ref="H25">IF(G25:G4066="","",_xlfn.XLOOKUP(G25:G4066,castles_state!A:A,castles_state!D:D,"見つかりません"))</f>
      </c>
      <c r="I25" s="4"/>
      <c r="J25" s="12" t="str">
        <f t="array" ref="J25">IF(I25:I4066="","",_xlfn.XLOOKUP(I25:I4066,'参照_姫'!A:A,'参照_姫'!B:B,"見つかりません"))</f>
      </c>
      <c r="K25" s="4">
        <v>95</v>
      </c>
      <c r="L25" s="4">
        <v>0</v>
      </c>
      <c r="M25" s="4"/>
      <c r="N25" s="4"/>
      <c r="O25" s="4"/>
      <c r="P25" s="12" t="str">
        <f t="array" ref="P25">IF(O25:O4066="","",_xlfn.XLOOKUP(O25:O4066,'参照_官位'!A:A,'参照_官位'!B:B,""))</f>
      </c>
      <c r="Q25" s="12" t="str">
        <f t="array" ref="Q25">IF(A25:A4066="","",IFERROR(_xlfn.XLOOKUP(A25:A4066,castles_state!K:K,castles_state!D:D)&amp;"主",IFERROR(_xlfn.XLOOKUP(A25:A4066,kunishuClan!D:D,kunishuClan!B:B)&amp;"当主","")))</f>
      </c>
    </row>
    <row r="26" ht="15.75" customHeight="1">
      <c r="A26" s="4">
        <v>1001025</v>
      </c>
      <c r="B26" s="12" t="str">
        <f t="array" ref="B26">IF(A26:A4067="","",_xlfn.XLOOKUP(A26:A4067,'参照_武将'!A:A,'参照_武将'!B:B,"見つかりません"))</f>
      </c>
      <c r="C26" s="4" t="s">
        <v>104</v>
      </c>
      <c r="D26" s="4">
        <v>2</v>
      </c>
      <c r="E26" s="12" t="str">
        <f t="array" ref="E26">IF(D26:D4067="","",IFERROR(_xlfn.XLOOKUP(D26:D4067,'参照_勢力'!A:A,'参照_勢力'!B:B),IFERROR(_xlfn.XLOOKUP(F26:F4067,kunishuClan!A:A,kunishuClan!B:B),"浪人")))</f>
      </c>
      <c r="F26" s="4">
        <v>0</v>
      </c>
      <c r="G26" s="4">
        <v>2</v>
      </c>
      <c r="H26" s="12" t="str">
        <f t="array" ref="H26">IF(G26:G4067="","",_xlfn.XLOOKUP(G26:G4067,castles_state!A:A,castles_state!D:D,"見つかりません"))</f>
      </c>
      <c r="I26" s="4"/>
      <c r="J26" s="12" t="str">
        <f t="array" ref="J26">IF(I26:I4067="","",_xlfn.XLOOKUP(I26:I4067,'参照_姫'!A:A,'参照_姫'!B:B,"見つかりません"))</f>
      </c>
      <c r="K26" s="4">
        <v>90</v>
      </c>
      <c r="L26" s="4">
        <v>0</v>
      </c>
      <c r="M26" s="4"/>
      <c r="N26" s="4"/>
      <c r="O26" s="4"/>
      <c r="P26" s="12" t="str">
        <f t="array" ref="P26">IF(O26:O4067="","",_xlfn.XLOOKUP(O26:O4067,'参照_官位'!A:A,'参照_官位'!B:B,""))</f>
      </c>
      <c r="Q26" s="12" t="str">
        <f t="array" ref="Q26">IF(A26:A4067="","",IFERROR(_xlfn.XLOOKUP(A26:A4067,castles_state!K:K,castles_state!D:D)&amp;"主",IFERROR(_xlfn.XLOOKUP(A26:A4067,kunishuClan!D:D,kunishuClan!B:B)&amp;"当主","")))</f>
      </c>
    </row>
    <row r="27" ht="15.75" customHeight="1">
      <c r="A27" s="4">
        <v>1001026</v>
      </c>
      <c r="B27" s="12" t="str">
        <f t="array" ref="B27">IF(A27:A4068="","",_xlfn.XLOOKUP(A27:A4068,'参照_武将'!A:A,'参照_武将'!B:B,"見つかりません"))</f>
      </c>
      <c r="C27" s="4" t="s">
        <v>104</v>
      </c>
      <c r="D27" s="4">
        <v>2</v>
      </c>
      <c r="E27" s="12" t="str">
        <f t="array" ref="E27">IF(D27:D4068="","",IFERROR(_xlfn.XLOOKUP(D27:D4068,'参照_勢力'!A:A,'参照_勢力'!B:B),IFERROR(_xlfn.XLOOKUP(F27:F4068,kunishuClan!A:A,kunishuClan!B:B),"浪人")))</f>
      </c>
      <c r="F27" s="4">
        <v>0</v>
      </c>
      <c r="G27" s="4">
        <v>70</v>
      </c>
      <c r="H27" s="12" t="str">
        <f t="array" ref="H27">IF(G27:G4068="","",_xlfn.XLOOKUP(G27:G4068,castles_state!A:A,castles_state!D:D,"見つかりません"))</f>
      </c>
      <c r="I27" s="4"/>
      <c r="J27" s="12" t="str">
        <f t="array" ref="J27">IF(I27:I4068="","",_xlfn.XLOOKUP(I27:I4068,'参照_姫'!A:A,'参照_姫'!B:B,"見つかりません"))</f>
      </c>
      <c r="K27" s="4">
        <v>95</v>
      </c>
      <c r="L27" s="4">
        <v>700</v>
      </c>
      <c r="M27" s="4"/>
      <c r="N27" s="4"/>
      <c r="O27" s="4"/>
      <c r="P27" s="12" t="str">
        <f t="array" ref="P27">IF(O27:O4068="","",_xlfn.XLOOKUP(O27:O4068,'参照_官位'!A:A,'参照_官位'!B:B,""))</f>
      </c>
      <c r="Q27" s="12" t="str">
        <f t="array" ref="Q27">IF(A27:A4068="","",IFERROR(_xlfn.XLOOKUP(A27:A4068,castles_state!K:K,castles_state!D:D)&amp;"主",IFERROR(_xlfn.XLOOKUP(A27:A4068,kunishuClan!D:D,kunishuClan!B:B)&amp;"当主","")))</f>
      </c>
    </row>
    <row r="28" ht="15.75" customHeight="1">
      <c r="A28" s="4">
        <v>1001027</v>
      </c>
      <c r="B28" s="12" t="str">
        <f t="array" ref="B28">IF(A28:A4069="","",_xlfn.XLOOKUP(A28:A4069,'参照_武将'!A:A,'参照_武将'!B:B,"見つかりません"))</f>
      </c>
      <c r="C28" s="4" t="s">
        <v>104</v>
      </c>
      <c r="D28" s="4">
        <v>2</v>
      </c>
      <c r="E28" s="12" t="str">
        <f t="array" ref="E28">IF(D28:D4069="","",IFERROR(_xlfn.XLOOKUP(D28:D4069,'参照_勢力'!A:A,'参照_勢力'!B:B),IFERROR(_xlfn.XLOOKUP(F28:F4069,kunishuClan!A:A,kunishuClan!B:B),"浪人")))</f>
      </c>
      <c r="F28" s="4">
        <v>0</v>
      </c>
      <c r="G28" s="4">
        <v>70</v>
      </c>
      <c r="H28" s="12" t="str">
        <f t="array" ref="H28">IF(G28:G4069="","",_xlfn.XLOOKUP(G28:G4069,castles_state!A:A,castles_state!D:D,"見つかりません"))</f>
      </c>
      <c r="I28" s="4"/>
      <c r="J28" s="12" t="str">
        <f t="array" ref="J28">IF(I28:I4069="","",_xlfn.XLOOKUP(I28:I4069,'参照_姫'!A:A,'参照_姫'!B:B,"見つかりません"))</f>
      </c>
      <c r="K28" s="4">
        <v>95</v>
      </c>
      <c r="L28" s="4">
        <v>0</v>
      </c>
      <c r="M28" s="4"/>
      <c r="N28" s="4"/>
      <c r="O28" s="4"/>
      <c r="P28" s="12" t="str">
        <f t="array" ref="P28">IF(O28:O4069="","",_xlfn.XLOOKUP(O28:O4069,'参照_官位'!A:A,'参照_官位'!B:B,""))</f>
      </c>
      <c r="Q28" s="12" t="str">
        <f t="array" ref="Q28">IF(A28:A4069="","",IFERROR(_xlfn.XLOOKUP(A28:A4069,castles_state!K:K,castles_state!D:D)&amp;"主",IFERROR(_xlfn.XLOOKUP(A28:A4069,kunishuClan!D:D,kunishuClan!B:B)&amp;"当主","")))</f>
      </c>
    </row>
    <row r="29" ht="15.75" customHeight="1">
      <c r="A29" s="4">
        <v>1001028</v>
      </c>
      <c r="B29" s="12" t="str">
        <f t="array" ref="B29">IF(A29:A4070="","",_xlfn.XLOOKUP(A29:A4070,'参照_武将'!A:A,'参照_武将'!B:B,"見つかりません"))</f>
      </c>
      <c r="C29" s="4" t="s">
        <v>104</v>
      </c>
      <c r="D29" s="4">
        <v>2</v>
      </c>
      <c r="E29" s="12" t="str">
        <f t="array" ref="E29">IF(D29:D4070="","",IFERROR(_xlfn.XLOOKUP(D29:D4070,'参照_勢力'!A:A,'参照_勢力'!B:B),IFERROR(_xlfn.XLOOKUP(F29:F4070,kunishuClan!A:A,kunishuClan!B:B),"浪人")))</f>
      </c>
      <c r="F29" s="4">
        <v>0</v>
      </c>
      <c r="G29" s="4">
        <v>70</v>
      </c>
      <c r="H29" s="12" t="str">
        <f t="array" ref="H29">IF(G29:G4070="","",_xlfn.XLOOKUP(G29:G4070,castles_state!A:A,castles_state!D:D,"見つかりません"))</f>
      </c>
      <c r="I29" s="4"/>
      <c r="J29" s="12" t="str">
        <f t="array" ref="J29">IF(I29:I4070="","",_xlfn.XLOOKUP(I29:I4070,'参照_姫'!A:A,'参照_姫'!B:B,"見つかりません"))</f>
      </c>
      <c r="K29" s="4">
        <v>95</v>
      </c>
      <c r="L29" s="4">
        <v>0</v>
      </c>
      <c r="M29" s="4"/>
      <c r="N29" s="4"/>
      <c r="O29" s="4"/>
      <c r="P29" s="12" t="str">
        <f t="array" ref="P29">IF(O29:O4070="","",_xlfn.XLOOKUP(O29:O4070,'参照_官位'!A:A,'参照_官位'!B:B,""))</f>
      </c>
      <c r="Q29" s="12" t="str">
        <f t="array" ref="Q29">IF(A29:A4070="","",IFERROR(_xlfn.XLOOKUP(A29:A4070,castles_state!K:K,castles_state!D:D)&amp;"主",IFERROR(_xlfn.XLOOKUP(A29:A4070,kunishuClan!D:D,kunishuClan!B:B)&amp;"当主","")))</f>
      </c>
    </row>
    <row r="30" ht="15.75" customHeight="1">
      <c r="A30" s="4">
        <v>1001029</v>
      </c>
      <c r="B30" s="12" t="str">
        <f t="array" ref="B30">IF(A30:A4071="","",_xlfn.XLOOKUP(A30:A4071,'参照_武将'!A:A,'参照_武将'!B:B,"見つかりません"))</f>
      </c>
      <c r="C30" s="4" t="s">
        <v>104</v>
      </c>
      <c r="D30" s="4">
        <v>2</v>
      </c>
      <c r="E30" s="12" t="str">
        <f t="array" ref="E30">IF(D30:D4071="","",IFERROR(_xlfn.XLOOKUP(D30:D4071,'参照_勢力'!A:A,'参照_勢力'!B:B),IFERROR(_xlfn.XLOOKUP(F30:F4071,kunishuClan!A:A,kunishuClan!B:B),"浪人")))</f>
      </c>
      <c r="F30" s="4">
        <v>0</v>
      </c>
      <c r="G30" s="4">
        <v>68</v>
      </c>
      <c r="H30" s="12" t="str">
        <f t="array" ref="H30">IF(G30:G4071="","",_xlfn.XLOOKUP(G30:G4071,castles_state!A:A,castles_state!D:D,"見つかりません"))</f>
      </c>
      <c r="I30" s="4"/>
      <c r="J30" s="12" t="str">
        <f t="array" ref="J30">IF(I30:I4071="","",_xlfn.XLOOKUP(I30:I4071,'参照_姫'!A:A,'参照_姫'!B:B,"見つかりません"))</f>
      </c>
      <c r="K30" s="4">
        <v>75</v>
      </c>
      <c r="L30" s="4">
        <v>0</v>
      </c>
      <c r="M30" s="4"/>
      <c r="N30" s="4"/>
      <c r="O30" s="4"/>
      <c r="P30" s="12" t="str">
        <f t="array" ref="P30">IF(O30:O4071="","",_xlfn.XLOOKUP(O30:O4071,'参照_官位'!A:A,'参照_官位'!B:B,""))</f>
      </c>
      <c r="Q30" s="12" t="str">
        <f t="array" ref="Q30">IF(A30:A4071="","",IFERROR(_xlfn.XLOOKUP(A30:A4071,castles_state!K:K,castles_state!D:D)&amp;"主",IFERROR(_xlfn.XLOOKUP(A30:A4071,kunishuClan!D:D,kunishuClan!B:B)&amp;"当主","")))</f>
      </c>
    </row>
    <row r="31" ht="15.75" customHeight="1">
      <c r="A31" s="4">
        <v>1001030</v>
      </c>
      <c r="B31" s="12" t="str">
        <f t="array" ref="B31">IF(A31:A4072="","",_xlfn.XLOOKUP(A31:A4072,'参照_武将'!A:A,'参照_武将'!B:B,"見つかりません"))</f>
      </c>
      <c r="C31" s="4" t="s">
        <v>104</v>
      </c>
      <c r="D31" s="4">
        <v>2</v>
      </c>
      <c r="E31" s="12" t="str">
        <f t="array" ref="E31">IF(D31:D4072="","",IFERROR(_xlfn.XLOOKUP(D31:D4072,'参照_勢力'!A:A,'参照_勢力'!B:B),IFERROR(_xlfn.XLOOKUP(F31:F4072,kunishuClan!A:A,kunishuClan!B:B),"浪人")))</f>
      </c>
      <c r="F31" s="4">
        <v>0</v>
      </c>
      <c r="G31" s="4">
        <v>1</v>
      </c>
      <c r="H31" s="12" t="str">
        <f t="array" ref="H31">IF(G31:G4072="","",_xlfn.XLOOKUP(G31:G4072,castles_state!A:A,castles_state!D:D,"見つかりません"))</f>
      </c>
      <c r="I31" s="4"/>
      <c r="J31" s="12" t="str">
        <f t="array" ref="J31">IF(I31:I4072="","",_xlfn.XLOOKUP(I31:I4072,'参照_姫'!A:A,'参照_姫'!B:B,"見つかりません"))</f>
      </c>
      <c r="K31" s="4">
        <v>95</v>
      </c>
      <c r="L31" s="4">
        <v>0</v>
      </c>
      <c r="M31" s="4" t="b">
        <v>1</v>
      </c>
      <c r="N31" s="4"/>
      <c r="O31" s="4"/>
      <c r="P31" s="12" t="str">
        <f t="array" ref="P31">IF(O31:O4072="","",_xlfn.XLOOKUP(O31:O4072,'参照_官位'!A:A,'参照_官位'!B:B,""))</f>
      </c>
      <c r="Q31" s="12" t="str">
        <f t="array" ref="Q31">IF(A31:A4072="","",IFERROR(_xlfn.XLOOKUP(A31:A4072,castles_state!K:K,castles_state!D:D)&amp;"主",IFERROR(_xlfn.XLOOKUP(A31:A4072,kunishuClan!D:D,kunishuClan!B:B)&amp;"当主","")))</f>
      </c>
    </row>
    <row r="32" ht="15.75" customHeight="1">
      <c r="A32" s="4">
        <v>1001031</v>
      </c>
      <c r="B32" s="12" t="str">
        <f t="array" ref="B32">IF(A32:A4073="","",_xlfn.XLOOKUP(A32:A4073,'参照_武将'!A:A,'参照_武将'!B:B,"見つかりません"))</f>
      </c>
      <c r="C32" s="4" t="s">
        <v>104</v>
      </c>
      <c r="D32" s="4">
        <v>2</v>
      </c>
      <c r="E32" s="12" t="str">
        <f t="array" ref="E32">IF(D32:D4073="","",IFERROR(_xlfn.XLOOKUP(D32:D4073,'参照_勢力'!A:A,'参照_勢力'!B:B),IFERROR(_xlfn.XLOOKUP(F32:F4073,kunishuClan!A:A,kunishuClan!B:B),"浪人")))</f>
      </c>
      <c r="F32" s="4">
        <v>0</v>
      </c>
      <c r="G32" s="4">
        <v>6</v>
      </c>
      <c r="H32" s="12" t="str">
        <f t="array" ref="H32">IF(G32:G4073="","",_xlfn.XLOOKUP(G32:G4073,castles_state!A:A,castles_state!D:D,"見つかりません"))</f>
      </c>
      <c r="I32" s="4"/>
      <c r="J32" s="12" t="str">
        <f t="array" ref="J32">IF(I32:I4073="","",_xlfn.XLOOKUP(I32:I4073,'参照_姫'!A:A,'参照_姫'!B:B,"見つかりません"))</f>
      </c>
      <c r="K32" s="4">
        <v>80</v>
      </c>
      <c r="L32" s="4">
        <v>500</v>
      </c>
      <c r="M32" s="4"/>
      <c r="N32" s="4"/>
      <c r="O32" s="4"/>
      <c r="P32" s="12" t="str">
        <f t="array" ref="P32">IF(O32:O4073="","",_xlfn.XLOOKUP(O32:O4073,'参照_官位'!A:A,'参照_官位'!B:B,""))</f>
      </c>
      <c r="Q32" s="12" t="str">
        <f t="array" ref="Q32">IF(A32:A4073="","",IFERROR(_xlfn.XLOOKUP(A32:A4073,castles_state!K:K,castles_state!D:D)&amp;"主",IFERROR(_xlfn.XLOOKUP(A32:A4073,kunishuClan!D:D,kunishuClan!B:B)&amp;"当主","")))</f>
      </c>
    </row>
    <row r="33" ht="15.75" customHeight="1">
      <c r="A33" s="4">
        <v>1001032</v>
      </c>
      <c r="B33" s="12" t="str">
        <f t="array" ref="B33">IF(A33:A4074="","",_xlfn.XLOOKUP(A33:A4074,'参照_武将'!A:A,'参照_武将'!B:B,"見つかりません"))</f>
      </c>
      <c r="C33" s="4" t="s">
        <v>104</v>
      </c>
      <c r="D33" s="4">
        <v>2</v>
      </c>
      <c r="E33" s="12" t="str">
        <f t="array" ref="E33">IF(D33:D4074="","",IFERROR(_xlfn.XLOOKUP(D33:D4074,'参照_勢力'!A:A,'参照_勢力'!B:B),IFERROR(_xlfn.XLOOKUP(F33:F4074,kunishuClan!A:A,kunishuClan!B:B),"浪人")))</f>
      </c>
      <c r="F33" s="4">
        <v>0</v>
      </c>
      <c r="G33" s="4">
        <v>6</v>
      </c>
      <c r="H33" s="12" t="str">
        <f t="array" ref="H33">IF(G33:G4074="","",_xlfn.XLOOKUP(G33:G4074,castles_state!A:A,castles_state!D:D,"見つかりません"))</f>
      </c>
      <c r="I33" s="4"/>
      <c r="J33" s="12" t="str">
        <f t="array" ref="J33">IF(I33:I4074="","",_xlfn.XLOOKUP(I33:I4074,'参照_姫'!A:A,'参照_姫'!B:B,"見つかりません"))</f>
      </c>
      <c r="K33" s="4">
        <v>90</v>
      </c>
      <c r="L33" s="4">
        <v>0</v>
      </c>
      <c r="M33" s="4"/>
      <c r="N33" s="4"/>
      <c r="O33" s="4"/>
      <c r="P33" s="12" t="str">
        <f t="array" ref="P33">IF(O33:O4074="","",_xlfn.XLOOKUP(O33:O4074,'参照_官位'!A:A,'参照_官位'!B:B,""))</f>
      </c>
      <c r="Q33" s="12" t="str">
        <f t="array" ref="Q33">IF(A33:A4074="","",IFERROR(_xlfn.XLOOKUP(A33:A4074,castles_state!K:K,castles_state!D:D)&amp;"主",IFERROR(_xlfn.XLOOKUP(A33:A4074,kunishuClan!D:D,kunishuClan!B:B)&amp;"当主","")))</f>
      </c>
    </row>
    <row r="34" ht="15.75" customHeight="1">
      <c r="A34" s="4">
        <v>1001033</v>
      </c>
      <c r="B34" s="12" t="str">
        <f t="array" ref="B34">IF(A34:A4075="","",_xlfn.XLOOKUP(A34:A4075,'参照_武将'!A:A,'参照_武将'!B:B,"見つかりません"))</f>
      </c>
      <c r="C34" s="4" t="s">
        <v>104</v>
      </c>
      <c r="D34" s="4">
        <v>2</v>
      </c>
      <c r="E34" s="12" t="str">
        <f t="array" ref="E34">IF(D34:D4075="","",IFERROR(_xlfn.XLOOKUP(D34:D4075,'参照_勢力'!A:A,'参照_勢力'!B:B),IFERROR(_xlfn.XLOOKUP(F34:F4075,kunishuClan!A:A,kunishuClan!B:B),"浪人")))</f>
      </c>
      <c r="F34" s="4">
        <v>0</v>
      </c>
      <c r="G34" s="4">
        <v>2</v>
      </c>
      <c r="H34" s="12" t="str">
        <f t="array" ref="H34">IF(G34:G4075="","",_xlfn.XLOOKUP(G34:G4075,castles_state!A:A,castles_state!D:D,"見つかりません"))</f>
      </c>
      <c r="I34" s="4"/>
      <c r="J34" s="12" t="str">
        <f t="array" ref="J34">IF(I34:I4075="","",_xlfn.XLOOKUP(I34:I4075,'参照_姫'!A:A,'参照_姫'!B:B,"見つかりません"))</f>
      </c>
      <c r="K34" s="4">
        <v>95</v>
      </c>
      <c r="L34" s="4">
        <v>0</v>
      </c>
      <c r="M34" s="4"/>
      <c r="N34" s="4"/>
      <c r="O34" s="4"/>
      <c r="P34" s="12" t="str">
        <f t="array" ref="P34">IF(O34:O4075="","",_xlfn.XLOOKUP(O34:O4075,'参照_官位'!A:A,'参照_官位'!B:B,""))</f>
      </c>
      <c r="Q34" s="12" t="str">
        <f t="array" ref="Q34">IF(A34:A4075="","",IFERROR(_xlfn.XLOOKUP(A34:A4075,castles_state!K:K,castles_state!D:D)&amp;"主",IFERROR(_xlfn.XLOOKUP(A34:A4075,kunishuClan!D:D,kunishuClan!B:B)&amp;"当主","")))</f>
      </c>
    </row>
    <row r="35" ht="15.75" customHeight="1">
      <c r="A35" s="4">
        <v>1001034</v>
      </c>
      <c r="B35" s="12" t="str">
        <f t="array" ref="B35">IF(A35:A4076="","",_xlfn.XLOOKUP(A35:A4076,'参照_武将'!A:A,'参照_武将'!B:B,"見つかりません"))</f>
      </c>
      <c r="C35" s="4" t="s">
        <v>104</v>
      </c>
      <c r="D35" s="4">
        <v>2</v>
      </c>
      <c r="E35" s="12" t="str">
        <f t="array" ref="E35">IF(D35:D4076="","",IFERROR(_xlfn.XLOOKUP(D35:D4076,'参照_勢力'!A:A,'参照_勢力'!B:B),IFERROR(_xlfn.XLOOKUP(F35:F4076,kunishuClan!A:A,kunishuClan!B:B),"浪人")))</f>
      </c>
      <c r="F35" s="4">
        <v>0</v>
      </c>
      <c r="G35" s="4">
        <v>20</v>
      </c>
      <c r="H35" s="12" t="str">
        <f t="array" ref="H35">IF(G35:G4076="","",_xlfn.XLOOKUP(G35:G4076,castles_state!A:A,castles_state!D:D,"見つかりません"))</f>
      </c>
      <c r="I35" s="4"/>
      <c r="J35" s="12" t="str">
        <f t="array" ref="J35">IF(I35:I4076="","",_xlfn.XLOOKUP(I35:I4076,'参照_姫'!A:A,'参照_姫'!B:B,"見つかりません"))</f>
      </c>
      <c r="K35" s="4">
        <v>80</v>
      </c>
      <c r="L35" s="4">
        <v>0</v>
      </c>
      <c r="M35" s="4"/>
      <c r="N35" s="4"/>
      <c r="O35" s="4"/>
      <c r="P35" s="12" t="str">
        <f t="array" ref="P35">IF(O35:O4076="","",_xlfn.XLOOKUP(O35:O4076,'参照_官位'!A:A,'参照_官位'!B:B,""))</f>
      </c>
      <c r="Q35" s="12" t="str">
        <f t="array" ref="Q35">IF(A35:A4076="","",IFERROR(_xlfn.XLOOKUP(A35:A4076,castles_state!K:K,castles_state!D:D)&amp;"主",IFERROR(_xlfn.XLOOKUP(A35:A4076,kunishuClan!D:D,kunishuClan!B:B)&amp;"当主","")))</f>
      </c>
    </row>
    <row r="36" ht="15.75" customHeight="1">
      <c r="A36" s="4">
        <v>1001035</v>
      </c>
      <c r="B36" s="12" t="str">
        <f t="array" ref="B36">IF(A36:A4077="","",_xlfn.XLOOKUP(A36:A4077,'参照_武将'!A:A,'参照_武将'!B:B,"見つかりません"))</f>
      </c>
      <c r="C36" s="4" t="s">
        <v>104</v>
      </c>
      <c r="D36" s="4">
        <v>2</v>
      </c>
      <c r="E36" s="12" t="str">
        <f t="array" ref="E36">IF(D36:D4077="","",IFERROR(_xlfn.XLOOKUP(D36:D4077,'参照_勢力'!A:A,'参照_勢力'!B:B),IFERROR(_xlfn.XLOOKUP(F36:F4077,kunishuClan!A:A,kunishuClan!B:B),"浪人")))</f>
      </c>
      <c r="F36" s="4">
        <v>0</v>
      </c>
      <c r="G36" s="4">
        <v>2</v>
      </c>
      <c r="H36" s="12" t="str">
        <f t="array" ref="H36">IF(G36:G4077="","",_xlfn.XLOOKUP(G36:G4077,castles_state!A:A,castles_state!D:D,"見つかりません"))</f>
      </c>
      <c r="I36" s="4"/>
      <c r="J36" s="12" t="str">
        <f t="array" ref="J36">IF(I36:I4077="","",_xlfn.XLOOKUP(I36:I4077,'参照_姫'!A:A,'参照_姫'!B:B,"見つかりません"))</f>
      </c>
      <c r="K36" s="4">
        <v>95</v>
      </c>
      <c r="L36" s="4">
        <v>0</v>
      </c>
      <c r="M36" s="4"/>
      <c r="N36" s="4"/>
      <c r="O36" s="4"/>
      <c r="P36" s="12" t="str">
        <f t="array" ref="P36">IF(O36:O4077="","",_xlfn.XLOOKUP(O36:O4077,'参照_官位'!A:A,'参照_官位'!B:B,""))</f>
      </c>
      <c r="Q36" s="12" t="str">
        <f t="array" ref="Q36">IF(A36:A4077="","",IFERROR(_xlfn.XLOOKUP(A36:A4077,castles_state!K:K,castles_state!D:D)&amp;"主",IFERROR(_xlfn.XLOOKUP(A36:A4077,kunishuClan!D:D,kunishuClan!B:B)&amp;"当主","")))</f>
      </c>
    </row>
    <row r="37" ht="15.75" customHeight="1">
      <c r="A37" s="4">
        <v>1001036</v>
      </c>
      <c r="B37" s="12" t="str">
        <f t="array" ref="B37">IF(A37:A4078="","",_xlfn.XLOOKUP(A37:A4078,'参照_武将'!A:A,'参照_武将'!B:B,"見つかりません"))</f>
      </c>
      <c r="C37" s="4" t="s">
        <v>104</v>
      </c>
      <c r="D37" s="4">
        <v>2</v>
      </c>
      <c r="E37" s="12" t="str">
        <f t="array" ref="E37">IF(D37:D4078="","",IFERROR(_xlfn.XLOOKUP(D37:D4078,'参照_勢力'!A:A,'参照_勢力'!B:B),IFERROR(_xlfn.XLOOKUP(F37:F4078,kunishuClan!A:A,kunishuClan!B:B),"浪人")))</f>
      </c>
      <c r="F37" s="4">
        <v>0</v>
      </c>
      <c r="G37" s="4">
        <v>1</v>
      </c>
      <c r="H37" s="12" t="str">
        <f t="array" ref="H37">IF(G37:G4078="","",_xlfn.XLOOKUP(G37:G4078,castles_state!A:A,castles_state!D:D,"見つかりません"))</f>
      </c>
      <c r="I37" s="4"/>
      <c r="J37" s="12" t="str">
        <f t="array" ref="J37">IF(I37:I4078="","",_xlfn.XLOOKUP(I37:I4078,'参照_姫'!A:A,'参照_姫'!B:B,"見つかりません"))</f>
      </c>
      <c r="K37" s="4">
        <v>95</v>
      </c>
      <c r="L37" s="4">
        <v>0</v>
      </c>
      <c r="M37" s="4"/>
      <c r="N37" s="4"/>
      <c r="O37" s="4"/>
      <c r="P37" s="12" t="str">
        <f t="array" ref="P37">IF(O37:O4078="","",_xlfn.XLOOKUP(O37:O4078,'参照_官位'!A:A,'参照_官位'!B:B,""))</f>
      </c>
      <c r="Q37" s="12" t="str">
        <f t="array" ref="Q37">IF(A37:A4078="","",IFERROR(_xlfn.XLOOKUP(A37:A4078,castles_state!K:K,castles_state!D:D)&amp;"主",IFERROR(_xlfn.XLOOKUP(A37:A4078,kunishuClan!D:D,kunishuClan!B:B)&amp;"当主","")))</f>
      </c>
    </row>
    <row r="38" ht="15.75" customHeight="1">
      <c r="A38" s="4">
        <v>1001037</v>
      </c>
      <c r="B38" s="12" t="str">
        <f t="array" ref="B38">IF(A38:A4079="","",_xlfn.XLOOKUP(A38:A4079,'参照_武将'!A:A,'参照_武将'!B:B,"見つかりません"))</f>
      </c>
      <c r="C38" s="4" t="s">
        <v>104</v>
      </c>
      <c r="D38" s="4">
        <v>2</v>
      </c>
      <c r="E38" s="12" t="str">
        <f t="array" ref="E38">IF(D38:D4079="","",IFERROR(_xlfn.XLOOKUP(D38:D4079,'参照_勢力'!A:A,'参照_勢力'!B:B),IFERROR(_xlfn.XLOOKUP(F38:F4079,kunishuClan!A:A,kunishuClan!B:B),"浪人")))</f>
      </c>
      <c r="F38" s="4">
        <v>0</v>
      </c>
      <c r="G38" s="4">
        <v>1</v>
      </c>
      <c r="H38" s="12" t="str">
        <f t="array" ref="H38">IF(G38:G4079="","",_xlfn.XLOOKUP(G38:G4079,castles_state!A:A,castles_state!D:D,"見つかりません"))</f>
      </c>
      <c r="I38" s="4"/>
      <c r="J38" s="12" t="str">
        <f t="array" ref="J38">IF(I38:I4079="","",_xlfn.XLOOKUP(I38:I4079,'参照_姫'!A:A,'参照_姫'!B:B,"見つかりません"))</f>
      </c>
      <c r="K38" s="4">
        <v>95</v>
      </c>
      <c r="L38" s="4">
        <v>500</v>
      </c>
      <c r="M38" s="4"/>
      <c r="N38" s="4"/>
      <c r="O38" s="4"/>
      <c r="P38" s="12" t="str">
        <f t="array" ref="P38">IF(O38:O4079="","",_xlfn.XLOOKUP(O38:O4079,'参照_官位'!A:A,'参照_官位'!B:B,""))</f>
      </c>
      <c r="Q38" s="12" t="str">
        <f t="array" ref="Q38">IF(A38:A4079="","",IFERROR(_xlfn.XLOOKUP(A38:A4079,castles_state!K:K,castles_state!D:D)&amp;"主",IFERROR(_xlfn.XLOOKUP(A38:A4079,kunishuClan!D:D,kunishuClan!B:B)&amp;"当主","")))</f>
      </c>
    </row>
    <row r="39" ht="15.75" customHeight="1">
      <c r="A39" s="4">
        <v>1001038</v>
      </c>
      <c r="B39" s="12" t="str">
        <f t="array" ref="B39">IF(A39:A4080="","",_xlfn.XLOOKUP(A39:A4080,'参照_武将'!A:A,'参照_武将'!B:B,"見つかりません"))</f>
      </c>
      <c r="C39" s="4" t="s">
        <v>104</v>
      </c>
      <c r="D39" s="4">
        <v>2</v>
      </c>
      <c r="E39" s="12" t="str">
        <f t="array" ref="E39">IF(D39:D4080="","",IFERROR(_xlfn.XLOOKUP(D39:D4080,'参照_勢力'!A:A,'参照_勢力'!B:B),IFERROR(_xlfn.XLOOKUP(F39:F4080,kunishuClan!A:A,kunishuClan!B:B),"浪人")))</f>
      </c>
      <c r="F39" s="4">
        <v>0</v>
      </c>
      <c r="G39" s="4">
        <v>1</v>
      </c>
      <c r="H39" s="12" t="str">
        <f t="array" ref="H39">IF(G39:G4080="","",_xlfn.XLOOKUP(G39:G4080,castles_state!A:A,castles_state!D:D,"見つかりません"))</f>
      </c>
      <c r="I39" s="4"/>
      <c r="J39" s="12" t="str">
        <f t="array" ref="J39">IF(I39:I4080="","",_xlfn.XLOOKUP(I39:I4080,'参照_姫'!A:A,'参照_姫'!B:B,"見つかりません"))</f>
      </c>
      <c r="K39" s="4">
        <v>95</v>
      </c>
      <c r="L39" s="4">
        <v>0</v>
      </c>
      <c r="M39" s="4"/>
      <c r="N39" s="4"/>
      <c r="O39" s="4"/>
      <c r="P39" s="12" t="str">
        <f t="array" ref="P39">IF(O39:O4080="","",_xlfn.XLOOKUP(O39:O4080,'参照_官位'!A:A,'参照_官位'!B:B,""))</f>
      </c>
      <c r="Q39" s="12" t="str">
        <f t="array" ref="Q39">IF(A39:A4080="","",IFERROR(_xlfn.XLOOKUP(A39:A4080,castles_state!K:K,castles_state!D:D)&amp;"主",IFERROR(_xlfn.XLOOKUP(A39:A4080,kunishuClan!D:D,kunishuClan!B:B)&amp;"当主","")))</f>
      </c>
    </row>
    <row r="40" ht="15.75" customHeight="1">
      <c r="A40" s="4">
        <v>1001039</v>
      </c>
      <c r="B40" s="12" t="str">
        <f t="array" ref="B40">IF(A40:A4081="","",_xlfn.XLOOKUP(A40:A4081,'参照_武将'!A:A,'参照_武将'!B:B,"見つかりません"))</f>
      </c>
      <c r="C40" s="4" t="s">
        <v>104</v>
      </c>
      <c r="D40" s="4">
        <v>2</v>
      </c>
      <c r="E40" s="12" t="str">
        <f t="array" ref="E40">IF(D40:D4081="","",IFERROR(_xlfn.XLOOKUP(D40:D4081,'参照_勢力'!A:A,'参照_勢力'!B:B),IFERROR(_xlfn.XLOOKUP(F40:F4081,kunishuClan!A:A,kunishuClan!B:B),"浪人")))</f>
      </c>
      <c r="F40" s="4">
        <v>0</v>
      </c>
      <c r="G40" s="4">
        <v>2</v>
      </c>
      <c r="H40" s="12" t="str">
        <f t="array" ref="H40">IF(G40:G4081="","",_xlfn.XLOOKUP(G40:G4081,castles_state!A:A,castles_state!D:D,"見つかりません"))</f>
      </c>
      <c r="I40" s="4"/>
      <c r="J40" s="12" t="str">
        <f t="array" ref="J40">IF(I40:I4081="","",_xlfn.XLOOKUP(I40:I4081,'参照_姫'!A:A,'参照_姫'!B:B,"見つかりません"))</f>
      </c>
      <c r="K40" s="4">
        <v>90</v>
      </c>
      <c r="L40" s="4">
        <v>0</v>
      </c>
      <c r="M40" s="4"/>
      <c r="N40" s="4"/>
      <c r="O40" s="4"/>
      <c r="P40" s="12" t="str">
        <f t="array" ref="P40">IF(O40:O4081="","",_xlfn.XLOOKUP(O40:O4081,'参照_官位'!A:A,'参照_官位'!B:B,""))</f>
      </c>
      <c r="Q40" s="12" t="str">
        <f t="array" ref="Q40">IF(A40:A4081="","",IFERROR(_xlfn.XLOOKUP(A40:A4081,castles_state!K:K,castles_state!D:D)&amp;"主",IFERROR(_xlfn.XLOOKUP(A40:A4081,kunishuClan!D:D,kunishuClan!B:B)&amp;"当主","")))</f>
      </c>
    </row>
    <row r="41" ht="15.75" customHeight="1">
      <c r="A41" s="4">
        <v>1001040</v>
      </c>
      <c r="B41" s="12" t="str">
        <f t="array" ref="B41">IF(A41:A4082="","",_xlfn.XLOOKUP(A41:A4082,'参照_武将'!A:A,'参照_武将'!B:B,"見つかりません"))</f>
      </c>
      <c r="C41" s="4" t="s">
        <v>5273</v>
      </c>
      <c r="D41" s="4">
        <v>2</v>
      </c>
      <c r="E41" s="12" t="str">
        <f t="array" ref="E41">IF(D41:D4082="","",IFERROR(_xlfn.XLOOKUP(D41:D4082,'参照_勢力'!A:A,'参照_勢力'!B:B),IFERROR(_xlfn.XLOOKUP(F41:F4082,kunishuClan!A:A,kunishuClan!B:B),"浪人")))</f>
      </c>
      <c r="F41" s="4">
        <v>0</v>
      </c>
      <c r="G41" s="4">
        <v>24</v>
      </c>
      <c r="H41" s="12" t="str">
        <f t="array" ref="H41">IF(G41:G4082="","",_xlfn.XLOOKUP(G41:G4082,castles_state!A:A,castles_state!D:D,"見つかりません"))</f>
      </c>
      <c r="I41" s="4"/>
      <c r="J41" s="12" t="str">
        <f t="array" ref="J41">IF(I41:I4082="","",_xlfn.XLOOKUP(I41:I4082,'参照_姫'!A:A,'参照_姫'!B:B,"見つかりません"))</f>
      </c>
      <c r="K41" s="4">
        <v>90</v>
      </c>
      <c r="L41" s="4">
        <v>0</v>
      </c>
      <c r="M41" s="4"/>
      <c r="N41" s="4"/>
      <c r="O41" s="4"/>
      <c r="P41" s="12" t="str">
        <f t="array" ref="P41">IF(O41:O4082="","",_xlfn.XLOOKUP(O41:O4082,'参照_官位'!A:A,'参照_官位'!B:B,""))</f>
      </c>
      <c r="Q41" s="12" t="str">
        <f t="array" ref="Q41">IF(A41:A4082="","",IFERROR(_xlfn.XLOOKUP(A41:A4082,castles_state!K:K,castles_state!D:D)&amp;"主",IFERROR(_xlfn.XLOOKUP(A41:A4082,kunishuClan!D:D,kunishuClan!B:B)&amp;"当主","")))</f>
      </c>
    </row>
    <row r="42" ht="15.75" customHeight="1">
      <c r="A42" s="4">
        <v>1001041</v>
      </c>
      <c r="B42" s="12" t="str">
        <f t="array" ref="B42">IF(A42:A4083="","",_xlfn.XLOOKUP(A42:A4083,'参照_武将'!A:A,'参照_武将'!B:B,"見つかりません"))</f>
      </c>
      <c r="C42" s="4" t="s">
        <v>5273</v>
      </c>
      <c r="D42" s="4">
        <v>2</v>
      </c>
      <c r="E42" s="12" t="str">
        <f t="array" ref="E42">IF(D42:D4083="","",IFERROR(_xlfn.XLOOKUP(D42:D4083,'参照_勢力'!A:A,'参照_勢力'!B:B),IFERROR(_xlfn.XLOOKUP(F42:F4083,kunishuClan!A:A,kunishuClan!B:B),"浪人")))</f>
      </c>
      <c r="F42" s="4">
        <v>0</v>
      </c>
      <c r="G42" s="4">
        <v>24</v>
      </c>
      <c r="H42" s="12" t="str">
        <f t="array" ref="H42">IF(G42:G4083="","",_xlfn.XLOOKUP(G42:G4083,castles_state!A:A,castles_state!D:D,"見つかりません"))</f>
      </c>
      <c r="I42" s="4"/>
      <c r="J42" s="12" t="str">
        <f t="array" ref="J42">IF(I42:I4083="","",_xlfn.XLOOKUP(I42:I4083,'参照_姫'!A:A,'参照_姫'!B:B,"見つかりません"))</f>
      </c>
      <c r="K42" s="4">
        <v>90</v>
      </c>
      <c r="L42" s="4">
        <v>0</v>
      </c>
      <c r="M42" s="4"/>
      <c r="N42" s="4"/>
      <c r="O42" s="4"/>
      <c r="P42" s="12" t="str">
        <f t="array" ref="P42">IF(O42:O4083="","",_xlfn.XLOOKUP(O42:O4083,'参照_官位'!A:A,'参照_官位'!B:B,""))</f>
      </c>
      <c r="Q42" s="12" t="str">
        <f t="array" ref="Q42">IF(A42:A4083="","",IFERROR(_xlfn.XLOOKUP(A42:A4083,castles_state!K:K,castles_state!D:D)&amp;"主",IFERROR(_xlfn.XLOOKUP(A42:A4083,kunishuClan!D:D,kunishuClan!B:B)&amp;"当主","")))</f>
      </c>
    </row>
    <row r="43" ht="15.75" customHeight="1">
      <c r="A43" s="4">
        <v>1001042</v>
      </c>
      <c r="B43" s="12" t="str">
        <f t="array" ref="B43">IF(A43:A4084="","",_xlfn.XLOOKUP(A43:A4084,'参照_武将'!A:A,'参照_武将'!B:B,"見つかりません"))</f>
      </c>
      <c r="C43" s="4" t="s">
        <v>5273</v>
      </c>
      <c r="D43" s="4">
        <v>2</v>
      </c>
      <c r="E43" s="12" t="str">
        <f t="array" ref="E43">IF(D43:D4084="","",IFERROR(_xlfn.XLOOKUP(D43:D4084,'参照_勢力'!A:A,'参照_勢力'!B:B),IFERROR(_xlfn.XLOOKUP(F43:F4084,kunishuClan!A:A,kunishuClan!B:B),"浪人")))</f>
      </c>
      <c r="F43" s="4">
        <v>0</v>
      </c>
      <c r="G43" s="4">
        <v>24</v>
      </c>
      <c r="H43" s="12" t="str">
        <f t="array" ref="H43">IF(G43:G4084="","",_xlfn.XLOOKUP(G43:G4084,castles_state!A:A,castles_state!D:D,"見つかりません"))</f>
      </c>
      <c r="I43" s="4"/>
      <c r="J43" s="12" t="str">
        <f t="array" ref="J43">IF(I43:I4084="","",_xlfn.XLOOKUP(I43:I4084,'参照_姫'!A:A,'参照_姫'!B:B,"見つかりません"))</f>
      </c>
      <c r="K43" s="4">
        <v>90</v>
      </c>
      <c r="L43" s="4">
        <v>0</v>
      </c>
      <c r="M43" s="4"/>
      <c r="N43" s="4"/>
      <c r="O43" s="4"/>
      <c r="P43" s="12" t="str">
        <f t="array" ref="P43">IF(O43:O4084="","",_xlfn.XLOOKUP(O43:O4084,'参照_官位'!A:A,'参照_官位'!B:B,""))</f>
      </c>
      <c r="Q43" s="12" t="str">
        <f t="array" ref="Q43">IF(A43:A4084="","",IFERROR(_xlfn.XLOOKUP(A43:A4084,castles_state!K:K,castles_state!D:D)&amp;"主",IFERROR(_xlfn.XLOOKUP(A43:A4084,kunishuClan!D:D,kunishuClan!B:B)&amp;"当主","")))</f>
      </c>
    </row>
    <row r="44" ht="15.75" customHeight="1">
      <c r="A44" s="4">
        <v>1001043</v>
      </c>
      <c r="B44" s="12" t="str">
        <f t="array" ref="B44">IF(A44:A4085="","",_xlfn.XLOOKUP(A44:A4085,'参照_武将'!A:A,'参照_武将'!B:B,"見つかりません"))</f>
      </c>
      <c r="C44" s="4" t="s">
        <v>5273</v>
      </c>
      <c r="D44" s="4">
        <v>0</v>
      </c>
      <c r="E44" s="12" t="str">
        <f t="array" ref="E44">IF(D44:D4085="","",IFERROR(_xlfn.XLOOKUP(D44:D4085,'参照_勢力'!A:A,'参照_勢力'!B:B),IFERROR(_xlfn.XLOOKUP(F44:F4085,kunishuClan!A:A,kunishuClan!B:B),"浪人")))</f>
      </c>
      <c r="F44" s="4">
        <v>72</v>
      </c>
      <c r="G44" s="4">
        <v>242</v>
      </c>
      <c r="H44" s="12" t="str">
        <f t="array" ref="H44">IF(G44:G4085="","",_xlfn.XLOOKUP(G44:G4085,castles_state!A:A,castles_state!D:D,"見つかりません"))</f>
      </c>
      <c r="I44" s="4"/>
      <c r="J44" s="12" t="str">
        <f t="array" ref="J44">IF(I44:I4085="","",_xlfn.XLOOKUP(I44:I4085,'参照_姫'!A:A,'参照_姫'!B:B,"見つかりません"))</f>
      </c>
      <c r="K44" s="4">
        <v>50</v>
      </c>
      <c r="L44" s="4">
        <v>200</v>
      </c>
      <c r="M44" s="4"/>
      <c r="N44" s="4"/>
      <c r="O44" s="4"/>
      <c r="P44" s="12" t="str">
        <f t="array" ref="P44">IF(O44:O4085="","",_xlfn.XLOOKUP(O44:O4085,'参照_官位'!A:A,'参照_官位'!B:B,""))</f>
      </c>
      <c r="Q44" s="12" t="str">
        <f t="array" ref="Q44">IF(A44:A4085="","",IFERROR(_xlfn.XLOOKUP(A44:A4085,castles_state!K:K,castles_state!D:D)&amp;"主",IFERROR(_xlfn.XLOOKUP(A44:A4085,kunishuClan!D:D,kunishuClan!B:B)&amp;"当主","")))</f>
      </c>
    </row>
    <row r="45" ht="15.75" customHeight="1">
      <c r="A45" s="4">
        <v>1001044</v>
      </c>
      <c r="B45" s="12" t="str">
        <f t="array" ref="B45">IF(A45:A4086="","",_xlfn.XLOOKUP(A45:A4086,'参照_武将'!A:A,'参照_武将'!B:B,"見つかりません"))</f>
      </c>
      <c r="C45" s="4" t="s">
        <v>5273</v>
      </c>
      <c r="D45" s="4">
        <v>0</v>
      </c>
      <c r="E45" s="12" t="str">
        <f t="array" ref="E45">IF(D45:D4086="","",IFERROR(_xlfn.XLOOKUP(D45:D4086,'参照_勢力'!A:A,'参照_勢力'!B:B),IFERROR(_xlfn.XLOOKUP(F45:F4086,kunishuClan!A:A,kunishuClan!B:B),"浪人")))</f>
      </c>
      <c r="F45" s="4">
        <v>72</v>
      </c>
      <c r="G45" s="4">
        <v>242</v>
      </c>
      <c r="H45" s="12" t="str">
        <f t="array" ref="H45">IF(G45:G4086="","",_xlfn.XLOOKUP(G45:G4086,castles_state!A:A,castles_state!D:D,"見つかりません"))</f>
      </c>
      <c r="I45" s="4"/>
      <c r="J45" s="12" t="str">
        <f t="array" ref="J45">IF(I45:I4086="","",_xlfn.XLOOKUP(I45:I4086,'参照_姫'!A:A,'参照_姫'!B:B,"見つかりません"))</f>
      </c>
      <c r="K45" s="4">
        <v>50</v>
      </c>
      <c r="L45" s="4">
        <v>0</v>
      </c>
      <c r="M45" s="4"/>
      <c r="N45" s="4"/>
      <c r="O45" s="4"/>
      <c r="P45" s="12" t="str">
        <f t="array" ref="P45">IF(O45:O4086="","",_xlfn.XLOOKUP(O45:O4086,'参照_官位'!A:A,'参照_官位'!B:B,""))</f>
      </c>
      <c r="Q45" s="12" t="str">
        <f t="array" ref="Q45">IF(A45:A4086="","",IFERROR(_xlfn.XLOOKUP(A45:A4086,castles_state!K:K,castles_state!D:D)&amp;"主",IFERROR(_xlfn.XLOOKUP(A45:A4086,kunishuClan!D:D,kunishuClan!B:B)&amp;"当主","")))</f>
      </c>
    </row>
    <row r="46" ht="15.75" customHeight="1">
      <c r="A46" s="4">
        <v>1001045</v>
      </c>
      <c r="B46" s="12" t="str">
        <f t="array" ref="B46">IF(A46:A4087="","",_xlfn.XLOOKUP(A46:A4087,'参照_武将'!A:A,'参照_武将'!B:B,"見つかりません"))</f>
      </c>
      <c r="C46" s="4" t="s">
        <v>5273</v>
      </c>
      <c r="D46" s="4">
        <v>0</v>
      </c>
      <c r="E46" s="12" t="str">
        <f t="array" ref="E46">IF(D46:D4087="","",IFERROR(_xlfn.XLOOKUP(D46:D4087,'参照_勢力'!A:A,'参照_勢力'!B:B),IFERROR(_xlfn.XLOOKUP(F46:F4087,kunishuClan!A:A,kunishuClan!B:B),"浪人")))</f>
      </c>
      <c r="F46" s="4">
        <v>72</v>
      </c>
      <c r="G46" s="4">
        <v>242</v>
      </c>
      <c r="H46" s="12" t="str">
        <f t="array" ref="H46">IF(G46:G4087="","",_xlfn.XLOOKUP(G46:G4087,castles_state!A:A,castles_state!D:D,"見つかりません"))</f>
      </c>
      <c r="I46" s="4"/>
      <c r="J46" s="12" t="str">
        <f t="array" ref="J46">IF(I46:I4087="","",_xlfn.XLOOKUP(I46:I4087,'参照_姫'!A:A,'参照_姫'!B:B,"見つかりません"))</f>
      </c>
      <c r="K46" s="4">
        <v>50</v>
      </c>
      <c r="L46" s="4">
        <v>0</v>
      </c>
      <c r="M46" s="4"/>
      <c r="N46" s="4"/>
      <c r="O46" s="4"/>
      <c r="P46" s="12" t="str">
        <f t="array" ref="P46">IF(O46:O4087="","",_xlfn.XLOOKUP(O46:O4087,'参照_官位'!A:A,'参照_官位'!B:B,""))</f>
      </c>
      <c r="Q46" s="12" t="str">
        <f t="array" ref="Q46">IF(A46:A4087="","",IFERROR(_xlfn.XLOOKUP(A46:A4087,castles_state!K:K,castles_state!D:D)&amp;"主",IFERROR(_xlfn.XLOOKUP(A46:A4087,kunishuClan!D:D,kunishuClan!B:B)&amp;"当主","")))</f>
      </c>
    </row>
    <row r="47" ht="15.75" customHeight="1">
      <c r="A47" s="4">
        <v>1001046</v>
      </c>
      <c r="B47" s="12" t="str">
        <f t="array" ref="B47">IF(A47:A4088="","",_xlfn.XLOOKUP(A47:A4088,'参照_武将'!A:A,'参照_武将'!B:B,"見つかりません"))</f>
      </c>
      <c r="C47" s="4" t="s">
        <v>104</v>
      </c>
      <c r="D47" s="4">
        <v>2</v>
      </c>
      <c r="E47" s="12" t="str">
        <f t="array" ref="E47">IF(D47:D4088="","",IFERROR(_xlfn.XLOOKUP(D47:D4088,'参照_勢力'!A:A,'参照_勢力'!B:B),IFERROR(_xlfn.XLOOKUP(F47:F4088,kunishuClan!A:A,kunishuClan!B:B),"浪人")))</f>
      </c>
      <c r="F47" s="4">
        <v>0</v>
      </c>
      <c r="G47" s="4">
        <v>15</v>
      </c>
      <c r="H47" s="12" t="str">
        <f t="array" ref="H47">IF(G47:G4088="","",_xlfn.XLOOKUP(G47:G4088,castles_state!A:A,castles_state!D:D,"見つかりません"))</f>
      </c>
      <c r="I47" s="4"/>
      <c r="J47" s="12" t="str">
        <f t="array" ref="J47">IF(I47:I4088="","",_xlfn.XLOOKUP(I47:I4088,'参照_姫'!A:A,'参照_姫'!B:B,"見つかりません"))</f>
      </c>
      <c r="K47" s="4">
        <v>95</v>
      </c>
      <c r="L47" s="4">
        <v>0</v>
      </c>
      <c r="M47" s="4"/>
      <c r="N47" s="4"/>
      <c r="O47" s="4"/>
      <c r="P47" s="12" t="str">
        <f t="array" ref="P47">IF(O47:O4088="","",_xlfn.XLOOKUP(O47:O4088,'参照_官位'!A:A,'参照_官位'!B:B,""))</f>
      </c>
      <c r="Q47" s="12" t="str">
        <f t="array" ref="Q47">IF(A47:A4088="","",IFERROR(_xlfn.XLOOKUP(A47:A4088,castles_state!K:K,castles_state!D:D)&amp;"主",IFERROR(_xlfn.XLOOKUP(A47:A4088,kunishuClan!D:D,kunishuClan!B:B)&amp;"当主","")))</f>
      </c>
    </row>
    <row r="48" ht="15.75" customHeight="1">
      <c r="A48" s="4">
        <v>1001047</v>
      </c>
      <c r="B48" s="12" t="str">
        <f t="array" ref="B48">IF(A48:A4089="","",_xlfn.XLOOKUP(A48:A4089,'参照_武将'!A:A,'参照_武将'!B:B,"見つかりません"))</f>
      </c>
      <c r="C48" s="4" t="s">
        <v>104</v>
      </c>
      <c r="D48" s="4">
        <v>2</v>
      </c>
      <c r="E48" s="12" t="str">
        <f t="array" ref="E48">IF(D48:D4089="","",IFERROR(_xlfn.XLOOKUP(D48:D4089,'参照_勢力'!A:A,'参照_勢力'!B:B),IFERROR(_xlfn.XLOOKUP(F48:F4089,kunishuClan!A:A,kunishuClan!B:B),"浪人")))</f>
      </c>
      <c r="F48" s="4">
        <v>0</v>
      </c>
      <c r="G48" s="4">
        <v>15</v>
      </c>
      <c r="H48" s="12" t="str">
        <f t="array" ref="H48">IF(G48:G4089="","",_xlfn.XLOOKUP(G48:G4089,castles_state!A:A,castles_state!D:D,"見つかりません"))</f>
      </c>
      <c r="I48" s="4"/>
      <c r="J48" s="12" t="str">
        <f t="array" ref="J48">IF(I48:I4089="","",_xlfn.XLOOKUP(I48:I4089,'参照_姫'!A:A,'参照_姫'!B:B,"見つかりません"))</f>
      </c>
      <c r="K48" s="4">
        <v>90</v>
      </c>
      <c r="L48" s="4">
        <v>0</v>
      </c>
      <c r="M48" s="4"/>
      <c r="N48" s="4"/>
      <c r="O48" s="4"/>
      <c r="P48" s="12" t="str">
        <f t="array" ref="P48">IF(O48:O4089="","",_xlfn.XLOOKUP(O48:O4089,'参照_官位'!A:A,'参照_官位'!B:B,""))</f>
      </c>
      <c r="Q48" s="12" t="str">
        <f t="array" ref="Q48">IF(A48:A4089="","",IFERROR(_xlfn.XLOOKUP(A48:A4089,castles_state!K:K,castles_state!D:D)&amp;"主",IFERROR(_xlfn.XLOOKUP(A48:A4089,kunishuClan!D:D,kunishuClan!B:B)&amp;"当主","")))</f>
      </c>
    </row>
    <row r="49" ht="15.75" customHeight="1">
      <c r="A49" s="4">
        <v>1001048</v>
      </c>
      <c r="B49" s="12" t="str">
        <f t="array" ref="B49">IF(A49:A4090="","",_xlfn.XLOOKUP(A49:A4090,'参照_武将'!A:A,'参照_武将'!B:B,"見つかりません"))</f>
      </c>
      <c r="C49" s="4" t="s">
        <v>104</v>
      </c>
      <c r="D49" s="4">
        <v>2</v>
      </c>
      <c r="E49" s="12" t="str">
        <f t="array" ref="E49">IF(D49:D4090="","",IFERROR(_xlfn.XLOOKUP(D49:D4090,'参照_勢力'!A:A,'参照_勢力'!B:B),IFERROR(_xlfn.XLOOKUP(F49:F4090,kunishuClan!A:A,kunishuClan!B:B),"浪人")))</f>
      </c>
      <c r="F49" s="4">
        <v>0</v>
      </c>
      <c r="G49" s="4">
        <v>15</v>
      </c>
      <c r="H49" s="12" t="str">
        <f t="array" ref="H49">IF(G49:G4090="","",_xlfn.XLOOKUP(G49:G4090,castles_state!A:A,castles_state!D:D,"見つかりません"))</f>
      </c>
      <c r="I49" s="4"/>
      <c r="J49" s="12" t="str">
        <f t="array" ref="J49">IF(I49:I4090="","",_xlfn.XLOOKUP(I49:I4090,'参照_姫'!A:A,'参照_姫'!B:B,"見つかりません"))</f>
      </c>
      <c r="K49" s="4">
        <v>80</v>
      </c>
      <c r="L49" s="4">
        <v>200</v>
      </c>
      <c r="M49" s="4"/>
      <c r="N49" s="4"/>
      <c r="O49" s="4"/>
      <c r="P49" s="12" t="str">
        <f t="array" ref="P49">IF(O49:O4090="","",_xlfn.XLOOKUP(O49:O4090,'参照_官位'!A:A,'参照_官位'!B:B,""))</f>
      </c>
      <c r="Q49" s="12" t="str">
        <f t="array" ref="Q49">IF(A49:A4090="","",IFERROR(_xlfn.XLOOKUP(A49:A4090,castles_state!K:K,castles_state!D:D)&amp;"主",IFERROR(_xlfn.XLOOKUP(A49:A4090,kunishuClan!D:D,kunishuClan!B:B)&amp;"当主","")))</f>
      </c>
    </row>
    <row r="50" ht="15.75" customHeight="1">
      <c r="A50" s="4">
        <v>1001049</v>
      </c>
      <c r="B50" s="12" t="str">
        <f t="array" ref="B50">IF(A50:A4091="","",_xlfn.XLOOKUP(A50:A4091,'参照_武将'!A:A,'参照_武将'!B:B,"見つかりません"))</f>
      </c>
      <c r="C50" s="4" t="s">
        <v>104</v>
      </c>
      <c r="D50" s="4">
        <v>2</v>
      </c>
      <c r="E50" s="12" t="str">
        <f t="array" ref="E50">IF(D50:D4091="","",IFERROR(_xlfn.XLOOKUP(D50:D4091,'参照_勢力'!A:A,'参照_勢力'!B:B),IFERROR(_xlfn.XLOOKUP(F50:F4091,kunishuClan!A:A,kunishuClan!B:B),"浪人")))</f>
      </c>
      <c r="F50" s="4">
        <v>0</v>
      </c>
      <c r="G50" s="4">
        <v>15</v>
      </c>
      <c r="H50" s="12" t="str">
        <f t="array" ref="H50">IF(G50:G4091="","",_xlfn.XLOOKUP(G50:G4091,castles_state!A:A,castles_state!D:D,"見つかりません"))</f>
      </c>
      <c r="I50" s="4"/>
      <c r="J50" s="12" t="str">
        <f t="array" ref="J50">IF(I50:I4091="","",_xlfn.XLOOKUP(I50:I4091,'参照_姫'!A:A,'参照_姫'!B:B,"見つかりません"))</f>
      </c>
      <c r="K50" s="4">
        <v>95</v>
      </c>
      <c r="L50" s="4">
        <v>0</v>
      </c>
      <c r="M50" s="4"/>
      <c r="N50" s="4"/>
      <c r="O50" s="4"/>
      <c r="P50" s="12" t="str">
        <f t="array" ref="P50">IF(O50:O4091="","",_xlfn.XLOOKUP(O50:O4091,'参照_官位'!A:A,'参照_官位'!B:B,""))</f>
      </c>
      <c r="Q50" s="12" t="str">
        <f t="array" ref="Q50">IF(A50:A4091="","",IFERROR(_xlfn.XLOOKUP(A50:A4091,castles_state!K:K,castles_state!D:D)&amp;"主",IFERROR(_xlfn.XLOOKUP(A50:A4091,kunishuClan!D:D,kunishuClan!B:B)&amp;"当主","")))</f>
      </c>
    </row>
    <row r="51" ht="15.75" customHeight="1">
      <c r="A51" s="4">
        <v>1001050</v>
      </c>
      <c r="B51" s="12" t="str">
        <f t="array" ref="B51">IF(A51:A4092="","",_xlfn.XLOOKUP(A51:A4092,'参照_武将'!A:A,'参照_武将'!B:B,"見つかりません"))</f>
      </c>
      <c r="C51" s="4" t="s">
        <v>104</v>
      </c>
      <c r="D51" s="4">
        <v>2</v>
      </c>
      <c r="E51" s="12" t="str">
        <f t="array" ref="E51">IF(D51:D4092="","",IFERROR(_xlfn.XLOOKUP(D51:D4092,'参照_勢力'!A:A,'参照_勢力'!B:B),IFERROR(_xlfn.XLOOKUP(F51:F4092,kunishuClan!A:A,kunishuClan!B:B),"浪人")))</f>
      </c>
      <c r="F51" s="4">
        <v>0</v>
      </c>
      <c r="G51" s="4">
        <v>70</v>
      </c>
      <c r="H51" s="12" t="str">
        <f t="array" ref="H51">IF(G51:G4092="","",_xlfn.XLOOKUP(G51:G4092,castles_state!A:A,castles_state!D:D,"見つかりません"))</f>
      </c>
      <c r="I51" s="4"/>
      <c r="J51" s="12" t="str">
        <f t="array" ref="J51">IF(I51:I4092="","",_xlfn.XLOOKUP(I51:I4092,'参照_姫'!A:A,'参照_姫'!B:B,"見つかりません"))</f>
      </c>
      <c r="K51" s="4">
        <v>95</v>
      </c>
      <c r="L51" s="4">
        <v>0</v>
      </c>
      <c r="M51" s="4"/>
      <c r="N51" s="4"/>
      <c r="O51" s="4"/>
      <c r="P51" s="12" t="str">
        <f t="array" ref="P51">IF(O51:O4092="","",_xlfn.XLOOKUP(O51:O4092,'参照_官位'!A:A,'参照_官位'!B:B,""))</f>
      </c>
      <c r="Q51" s="12" t="str">
        <f t="array" ref="Q51">IF(A51:A4092="","",IFERROR(_xlfn.XLOOKUP(A51:A4092,castles_state!K:K,castles_state!D:D)&amp;"主",IFERROR(_xlfn.XLOOKUP(A51:A4092,kunishuClan!D:D,kunishuClan!B:B)&amp;"当主","")))</f>
      </c>
    </row>
    <row r="52" ht="15.75" customHeight="1">
      <c r="A52" s="4">
        <v>1001051</v>
      </c>
      <c r="B52" s="12" t="str">
        <f t="array" ref="B52">IF(A52:A4093="","",_xlfn.XLOOKUP(A52:A4093,'参照_武将'!A:A,'参照_武将'!B:B,"見つかりません"))</f>
      </c>
      <c r="C52" s="4" t="s">
        <v>104</v>
      </c>
      <c r="D52" s="4">
        <v>2</v>
      </c>
      <c r="E52" s="12" t="str">
        <f t="array" ref="E52">IF(D52:D4093="","",IFERROR(_xlfn.XLOOKUP(D52:D4093,'参照_勢力'!A:A,'参照_勢力'!B:B),IFERROR(_xlfn.XLOOKUP(F52:F4093,kunishuClan!A:A,kunishuClan!B:B),"浪人")))</f>
      </c>
      <c r="F52" s="4">
        <v>0</v>
      </c>
      <c r="G52" s="4">
        <v>2</v>
      </c>
      <c r="H52" s="12" t="str">
        <f t="array" ref="H52">IF(G52:G4093="","",_xlfn.XLOOKUP(G52:G4093,castles_state!A:A,castles_state!D:D,"見つかりません"))</f>
      </c>
      <c r="I52" s="4"/>
      <c r="J52" s="12" t="str">
        <f t="array" ref="J52">IF(I52:I4093="","",_xlfn.XLOOKUP(I52:I4093,'参照_姫'!A:A,'参照_姫'!B:B,"見つかりません"))</f>
      </c>
      <c r="K52" s="4">
        <v>95</v>
      </c>
      <c r="L52" s="4">
        <v>0</v>
      </c>
      <c r="M52" s="4"/>
      <c r="N52" s="4"/>
      <c r="O52" s="4"/>
      <c r="P52" s="12" t="str">
        <f t="array" ref="P52">IF(O52:O4093="","",_xlfn.XLOOKUP(O52:O4093,'参照_官位'!A:A,'参照_官位'!B:B,""))</f>
      </c>
      <c r="Q52" s="12" t="str">
        <f t="array" ref="Q52">IF(A52:A4093="","",IFERROR(_xlfn.XLOOKUP(A52:A4093,castles_state!K:K,castles_state!D:D)&amp;"主",IFERROR(_xlfn.XLOOKUP(A52:A4093,kunishuClan!D:D,kunishuClan!B:B)&amp;"当主","")))</f>
      </c>
    </row>
    <row r="53" ht="15.75" customHeight="1">
      <c r="A53" s="4">
        <v>1001052</v>
      </c>
      <c r="B53" s="12" t="str">
        <f t="array" ref="B53">IF(A53:A4094="","",_xlfn.XLOOKUP(A53:A4094,'参照_武将'!A:A,'参照_武将'!B:B,"見つかりません"))</f>
      </c>
      <c r="C53" s="4" t="s">
        <v>104</v>
      </c>
      <c r="D53" s="4">
        <v>2</v>
      </c>
      <c r="E53" s="12" t="str">
        <f t="array" ref="E53">IF(D53:D4094="","",IFERROR(_xlfn.XLOOKUP(D53:D4094,'参照_勢力'!A:A,'参照_勢力'!B:B),IFERROR(_xlfn.XLOOKUP(F53:F4094,kunishuClan!A:A,kunishuClan!B:B),"浪人")))</f>
      </c>
      <c r="F53" s="4">
        <v>0</v>
      </c>
      <c r="G53" s="4">
        <v>70</v>
      </c>
      <c r="H53" s="12" t="str">
        <f t="array" ref="H53">IF(G53:G4094="","",_xlfn.XLOOKUP(G53:G4094,castles_state!A:A,castles_state!D:D,"見つかりません"))</f>
      </c>
      <c r="I53" s="4"/>
      <c r="J53" s="12" t="str">
        <f t="array" ref="J53">IF(I53:I4094="","",_xlfn.XLOOKUP(I53:I4094,'参照_姫'!A:A,'参照_姫'!B:B,"見つかりません"))</f>
      </c>
      <c r="K53" s="4">
        <v>95</v>
      </c>
      <c r="L53" s="4">
        <v>0</v>
      </c>
      <c r="M53" s="4"/>
      <c r="N53" s="4"/>
      <c r="O53" s="4"/>
      <c r="P53" s="12" t="str">
        <f t="array" ref="P53">IF(O53:O4094="","",_xlfn.XLOOKUP(O53:O4094,'参照_官位'!A:A,'参照_官位'!B:B,""))</f>
      </c>
      <c r="Q53" s="12" t="str">
        <f t="array" ref="Q53">IF(A53:A4094="","",IFERROR(_xlfn.XLOOKUP(A53:A4094,castles_state!K:K,castles_state!D:D)&amp;"主",IFERROR(_xlfn.XLOOKUP(A53:A4094,kunishuClan!D:D,kunishuClan!B:B)&amp;"当主","")))</f>
      </c>
    </row>
    <row r="54" ht="15.75" customHeight="1">
      <c r="A54" s="4">
        <v>1001053</v>
      </c>
      <c r="B54" s="12" t="str">
        <f t="array" ref="B54">IF(A54:A4095="","",_xlfn.XLOOKUP(A54:A4095,'参照_武将'!A:A,'参照_武将'!B:B,"見つかりません"))</f>
      </c>
      <c r="C54" s="4" t="s">
        <v>104</v>
      </c>
      <c r="D54" s="4">
        <v>2</v>
      </c>
      <c r="E54" s="12" t="str">
        <f t="array" ref="E54">IF(D54:D4095="","",IFERROR(_xlfn.XLOOKUP(D54:D4095,'参照_勢力'!A:A,'参照_勢力'!B:B),IFERROR(_xlfn.XLOOKUP(F54:F4095,kunishuClan!A:A,kunishuClan!B:B),"浪人")))</f>
      </c>
      <c r="F54" s="4">
        <v>0</v>
      </c>
      <c r="G54" s="4">
        <v>70</v>
      </c>
      <c r="H54" s="12" t="str">
        <f t="array" ref="H54">IF(G54:G4095="","",_xlfn.XLOOKUP(G54:G4095,castles_state!A:A,castles_state!D:D,"見つかりません"))</f>
      </c>
      <c r="I54" s="4"/>
      <c r="J54" s="12" t="str">
        <f t="array" ref="J54">IF(I54:I4095="","",_xlfn.XLOOKUP(I54:I4095,'参照_姫'!A:A,'参照_姫'!B:B,"見つかりません"))</f>
      </c>
      <c r="K54" s="4">
        <v>95</v>
      </c>
      <c r="L54" s="4">
        <v>0</v>
      </c>
      <c r="M54" s="4"/>
      <c r="N54" s="4"/>
      <c r="O54" s="4"/>
      <c r="P54" s="12" t="str">
        <f t="array" ref="P54">IF(O54:O4095="","",_xlfn.XLOOKUP(O54:O4095,'参照_官位'!A:A,'参照_官位'!B:B,""))</f>
      </c>
      <c r="Q54" s="12" t="str">
        <f t="array" ref="Q54">IF(A54:A4095="","",IFERROR(_xlfn.XLOOKUP(A54:A4095,castles_state!K:K,castles_state!D:D)&amp;"主",IFERROR(_xlfn.XLOOKUP(A54:A4095,kunishuClan!D:D,kunishuClan!B:B)&amp;"当主","")))</f>
      </c>
    </row>
    <row r="55" ht="15.75" customHeight="1">
      <c r="A55" s="4">
        <v>1001054</v>
      </c>
      <c r="B55" s="12" t="str">
        <f t="array" ref="B55">IF(A55:A4096="","",_xlfn.XLOOKUP(A55:A4096,'参照_武将'!A:A,'参照_武将'!B:B,"見つかりません"))</f>
      </c>
      <c r="C55" s="4" t="s">
        <v>104</v>
      </c>
      <c r="D55" s="4">
        <v>2</v>
      </c>
      <c r="E55" s="12" t="str">
        <f t="array" ref="E55">IF(D55:D4096="","",IFERROR(_xlfn.XLOOKUP(D55:D4096,'参照_勢力'!A:A,'参照_勢力'!B:B),IFERROR(_xlfn.XLOOKUP(F55:F4096,kunishuClan!A:A,kunishuClan!B:B),"浪人")))</f>
      </c>
      <c r="F55" s="4">
        <v>0</v>
      </c>
      <c r="G55" s="4">
        <v>70</v>
      </c>
      <c r="H55" s="12" t="str">
        <f t="array" ref="H55">IF(G55:G4096="","",_xlfn.XLOOKUP(G55:G4096,castles_state!A:A,castles_state!D:D,"見つかりません"))</f>
      </c>
      <c r="I55" s="4"/>
      <c r="J55" s="12" t="str">
        <f t="array" ref="J55">IF(I55:I4096="","",_xlfn.XLOOKUP(I55:I4096,'参照_姫'!A:A,'参照_姫'!B:B,"見つかりません"))</f>
      </c>
      <c r="K55" s="4">
        <v>95</v>
      </c>
      <c r="L55" s="4">
        <v>0</v>
      </c>
      <c r="M55" s="4"/>
      <c r="N55" s="4"/>
      <c r="O55" s="4"/>
      <c r="P55" s="12" t="str">
        <f t="array" ref="P55">IF(O55:O4096="","",_xlfn.XLOOKUP(O55:O4096,'参照_官位'!A:A,'参照_官位'!B:B,""))</f>
      </c>
      <c r="Q55" s="12" t="str">
        <f t="array" ref="Q55">IF(A55:A4096="","",IFERROR(_xlfn.XLOOKUP(A55:A4096,castles_state!K:K,castles_state!D:D)&amp;"主",IFERROR(_xlfn.XLOOKUP(A55:A4096,kunishuClan!D:D,kunishuClan!B:B)&amp;"当主","")))</f>
      </c>
    </row>
    <row r="56" ht="15.75" customHeight="1">
      <c r="A56" s="4">
        <v>1001055</v>
      </c>
      <c r="B56" s="12" t="str">
        <f t="array" ref="B56">IF(A56:A4097="","",_xlfn.XLOOKUP(A56:A4097,'参照_武将'!A:A,'参照_武将'!B:B,"見つかりません"))</f>
      </c>
      <c r="C56" s="4" t="s">
        <v>104</v>
      </c>
      <c r="D56" s="4">
        <v>2</v>
      </c>
      <c r="E56" s="12" t="str">
        <f t="array" ref="E56">IF(D56:D4097="","",IFERROR(_xlfn.XLOOKUP(D56:D4097,'参照_勢力'!A:A,'参照_勢力'!B:B),IFERROR(_xlfn.XLOOKUP(F56:F4097,kunishuClan!A:A,kunishuClan!B:B),"浪人")))</f>
      </c>
      <c r="F56" s="4">
        <v>0</v>
      </c>
      <c r="G56" s="4">
        <v>70</v>
      </c>
      <c r="H56" s="12" t="str">
        <f t="array" ref="H56">IF(G56:G4097="","",_xlfn.XLOOKUP(G56:G4097,castles_state!A:A,castles_state!D:D,"見つかりません"))</f>
      </c>
      <c r="I56" s="4"/>
      <c r="J56" s="12" t="str">
        <f t="array" ref="J56">IF(I56:I4097="","",_xlfn.XLOOKUP(I56:I4097,'参照_姫'!A:A,'参照_姫'!B:B,"見つかりません"))</f>
      </c>
      <c r="K56" s="4">
        <v>95</v>
      </c>
      <c r="L56" s="4">
        <v>0</v>
      </c>
      <c r="M56" s="4"/>
      <c r="N56" s="4"/>
      <c r="O56" s="4"/>
      <c r="P56" s="12" t="str">
        <f t="array" ref="P56">IF(O56:O4097="","",_xlfn.XLOOKUP(O56:O4097,'参照_官位'!A:A,'参照_官位'!B:B,""))</f>
      </c>
      <c r="Q56" s="12" t="str">
        <f t="array" ref="Q56">IF(A56:A4097="","",IFERROR(_xlfn.XLOOKUP(A56:A4097,castles_state!K:K,castles_state!D:D)&amp;"主",IFERROR(_xlfn.XLOOKUP(A56:A4097,kunishuClan!D:D,kunishuClan!B:B)&amp;"当主","")))</f>
      </c>
    </row>
    <row r="57" ht="15.75" customHeight="1">
      <c r="A57" s="4">
        <v>1001056</v>
      </c>
      <c r="B57" s="12" t="str">
        <f t="array" ref="B57">IF(A57:A4098="","",_xlfn.XLOOKUP(A57:A4098,'参照_武将'!A:A,'参照_武将'!B:B,"見つかりません"))</f>
      </c>
      <c r="C57" s="4" t="s">
        <v>104</v>
      </c>
      <c r="D57" s="4">
        <v>2</v>
      </c>
      <c r="E57" s="12" t="str">
        <f t="array" ref="E57">IF(D57:D4098="","",IFERROR(_xlfn.XLOOKUP(D57:D4098,'参照_勢力'!A:A,'参照_勢力'!B:B),IFERROR(_xlfn.XLOOKUP(F57:F4098,kunishuClan!A:A,kunishuClan!B:B),"浪人")))</f>
      </c>
      <c r="F57" s="4">
        <v>0</v>
      </c>
      <c r="G57" s="4">
        <v>2</v>
      </c>
      <c r="H57" s="12" t="str">
        <f t="array" ref="H57">IF(G57:G4098="","",_xlfn.XLOOKUP(G57:G4098,castles_state!A:A,castles_state!D:D,"見つかりません"))</f>
      </c>
      <c r="I57" s="4"/>
      <c r="J57" s="12" t="str">
        <f t="array" ref="J57">IF(I57:I4098="","",_xlfn.XLOOKUP(I57:I4098,'参照_姫'!A:A,'参照_姫'!B:B,"見つかりません"))</f>
      </c>
      <c r="K57" s="4">
        <v>95</v>
      </c>
      <c r="L57" s="4">
        <v>0</v>
      </c>
      <c r="M57" s="4"/>
      <c r="N57" s="4"/>
      <c r="O57" s="4"/>
      <c r="P57" s="12" t="str">
        <f t="array" ref="P57">IF(O57:O4098="","",_xlfn.XLOOKUP(O57:O4098,'参照_官位'!A:A,'参照_官位'!B:B,""))</f>
      </c>
      <c r="Q57" s="12" t="str">
        <f t="array" ref="Q57">IF(A57:A4098="","",IFERROR(_xlfn.XLOOKUP(A57:A4098,castles_state!K:K,castles_state!D:D)&amp;"主",IFERROR(_xlfn.XLOOKUP(A57:A4098,kunishuClan!D:D,kunishuClan!B:B)&amp;"当主","")))</f>
      </c>
    </row>
    <row r="58" ht="15.75" customHeight="1">
      <c r="A58" s="4">
        <v>1001057</v>
      </c>
      <c r="B58" s="12" t="str">
        <f t="array" ref="B58">IF(A58:A4099="","",_xlfn.XLOOKUP(A58:A4099,'参照_武将'!A:A,'参照_武将'!B:B,"見つかりません"))</f>
      </c>
      <c r="C58" s="4" t="s">
        <v>104</v>
      </c>
      <c r="D58" s="4">
        <v>2</v>
      </c>
      <c r="E58" s="12" t="str">
        <f t="array" ref="E58">IF(D58:D4099="","",IFERROR(_xlfn.XLOOKUP(D58:D4099,'参照_勢力'!A:A,'参照_勢力'!B:B),IFERROR(_xlfn.XLOOKUP(F58:F4099,kunishuClan!A:A,kunishuClan!B:B),"浪人")))</f>
      </c>
      <c r="F58" s="4">
        <v>0</v>
      </c>
      <c r="G58" s="4">
        <v>6</v>
      </c>
      <c r="H58" s="12" t="str">
        <f t="array" ref="H58">IF(G58:G4099="","",_xlfn.XLOOKUP(G58:G4099,castles_state!A:A,castles_state!D:D,"見つかりません"))</f>
      </c>
      <c r="I58" s="4"/>
      <c r="J58" s="12" t="str">
        <f t="array" ref="J58">IF(I58:I4099="","",_xlfn.XLOOKUP(I58:I4099,'参照_姫'!A:A,'参照_姫'!B:B,"見つかりません"))</f>
      </c>
      <c r="K58" s="4">
        <v>95</v>
      </c>
      <c r="L58" s="4">
        <v>0</v>
      </c>
      <c r="M58" s="4"/>
      <c r="N58" s="4"/>
      <c r="O58" s="4"/>
      <c r="P58" s="12" t="str">
        <f t="array" ref="P58">IF(O58:O4099="","",_xlfn.XLOOKUP(O58:O4099,'参照_官位'!A:A,'参照_官位'!B:B,""))</f>
      </c>
      <c r="Q58" s="12" t="str">
        <f t="array" ref="Q58">IF(A58:A4099="","",IFERROR(_xlfn.XLOOKUP(A58:A4099,castles_state!K:K,castles_state!D:D)&amp;"主",IFERROR(_xlfn.XLOOKUP(A58:A4099,kunishuClan!D:D,kunishuClan!B:B)&amp;"当主","")))</f>
      </c>
    </row>
    <row r="59" ht="15.75" customHeight="1">
      <c r="A59" s="4">
        <v>1001058</v>
      </c>
      <c r="B59" s="12" t="str">
        <f t="array" ref="B59">IF(A59:A4100="","",_xlfn.XLOOKUP(A59:A4100,'参照_武将'!A:A,'参照_武将'!B:B,"見つかりません"))</f>
      </c>
      <c r="C59" s="4" t="s">
        <v>104</v>
      </c>
      <c r="D59" s="4">
        <v>2</v>
      </c>
      <c r="E59" s="12" t="str">
        <f t="array" ref="E59">IF(D59:D4100="","",IFERROR(_xlfn.XLOOKUP(D59:D4100,'参照_勢力'!A:A,'参照_勢力'!B:B),IFERROR(_xlfn.XLOOKUP(F59:F4100,kunishuClan!A:A,kunishuClan!B:B),"浪人")))</f>
      </c>
      <c r="F59" s="4">
        <v>0</v>
      </c>
      <c r="G59" s="4">
        <v>95</v>
      </c>
      <c r="H59" s="12" t="str">
        <f t="array" ref="H59">IF(G59:G4100="","",_xlfn.XLOOKUP(G59:G4100,castles_state!A:A,castles_state!D:D,"見つかりません"))</f>
      </c>
      <c r="I59" s="4"/>
      <c r="J59" s="12" t="str">
        <f t="array" ref="J59">IF(I59:I4100="","",_xlfn.XLOOKUP(I59:I4100,'参照_姫'!A:A,'参照_姫'!B:B,"見つかりません"))</f>
      </c>
      <c r="K59" s="4">
        <v>93</v>
      </c>
      <c r="L59" s="4">
        <v>700</v>
      </c>
      <c r="M59" s="4"/>
      <c r="N59" s="4"/>
      <c r="O59" s="4"/>
      <c r="P59" s="12" t="str">
        <f t="array" ref="P59">IF(O59:O4100="","",_xlfn.XLOOKUP(O59:O4100,'参照_官位'!A:A,'参照_官位'!B:B,""))</f>
      </c>
      <c r="Q59" s="12" t="str">
        <f t="array" ref="Q59">IF(A59:A4100="","",IFERROR(_xlfn.XLOOKUP(A59:A4100,castles_state!K:K,castles_state!D:D)&amp;"主",IFERROR(_xlfn.XLOOKUP(A59:A4100,kunishuClan!D:D,kunishuClan!B:B)&amp;"当主","")))</f>
      </c>
    </row>
    <row r="60" ht="15.75" customHeight="1">
      <c r="A60" s="4">
        <v>1001059</v>
      </c>
      <c r="B60" s="12" t="str">
        <f t="array" ref="B60">IF(A60:A4101="","",_xlfn.XLOOKUP(A60:A4101,'参照_武将'!A:A,'参照_武将'!B:B,"見つかりません"))</f>
      </c>
      <c r="C60" s="4" t="s">
        <v>5360</v>
      </c>
      <c r="D60" s="4">
        <v>2</v>
      </c>
      <c r="E60" s="12" t="str">
        <f t="array" ref="E60">IF(D60:D4101="","",IFERROR(_xlfn.XLOOKUP(D60:D4101,'参照_勢力'!A:A,'参照_勢力'!B:B),IFERROR(_xlfn.XLOOKUP(F60:F4101,kunishuClan!A:A,kunishuClan!B:B),"浪人")))</f>
      </c>
      <c r="F60" s="4">
        <v>0</v>
      </c>
      <c r="G60" s="4">
        <v>68</v>
      </c>
      <c r="H60" s="12" t="str">
        <f t="array" ref="H60">IF(G60:G4101="","",_xlfn.XLOOKUP(G60:G4101,castles_state!A:A,castles_state!D:D,"見つかりません"))</f>
      </c>
      <c r="I60" s="4"/>
      <c r="J60" s="12" t="str">
        <f t="array" ref="J60">IF(I60:I4101="","",_xlfn.XLOOKUP(I60:I4101,'参照_姫'!A:A,'参照_姫'!B:B,"見つかりません"))</f>
      </c>
      <c r="K60" s="4">
        <v>95</v>
      </c>
      <c r="L60" s="4">
        <v>0</v>
      </c>
      <c r="M60" s="4"/>
      <c r="N60" s="4"/>
      <c r="O60" s="4"/>
      <c r="P60" s="12" t="str">
        <f t="array" ref="P60">IF(O60:O4101="","",_xlfn.XLOOKUP(O60:O4101,'参照_官位'!A:A,'参照_官位'!B:B,""))</f>
      </c>
      <c r="Q60" s="12" t="str">
        <f t="array" ref="Q60">IF(A60:A4101="","",IFERROR(_xlfn.XLOOKUP(A60:A4101,castles_state!K:K,castles_state!D:D)&amp;"主",IFERROR(_xlfn.XLOOKUP(A60:A4101,kunishuClan!D:D,kunishuClan!B:B)&amp;"当主","")))</f>
      </c>
    </row>
    <row r="61" ht="15.75" customHeight="1">
      <c r="A61" s="4">
        <v>1001060</v>
      </c>
      <c r="B61" s="12" t="str">
        <f t="array" ref="B61">IF(A61:A4102="","",_xlfn.XLOOKUP(A61:A4102,'参照_武将'!A:A,'参照_武将'!B:B,"見つかりません"))</f>
      </c>
      <c r="C61" s="4" t="s">
        <v>5360</v>
      </c>
      <c r="D61" s="4">
        <v>2</v>
      </c>
      <c r="E61" s="12" t="str">
        <f t="array" ref="E61">IF(D61:D4102="","",IFERROR(_xlfn.XLOOKUP(D61:D4102,'参照_勢力'!A:A,'参照_勢力'!B:B),IFERROR(_xlfn.XLOOKUP(F61:F4102,kunishuClan!A:A,kunishuClan!B:B),"浪人")))</f>
      </c>
      <c r="F61" s="4">
        <v>0</v>
      </c>
      <c r="G61" s="4">
        <v>68</v>
      </c>
      <c r="H61" s="12" t="str">
        <f t="array" ref="H61">IF(G61:G4102="","",_xlfn.XLOOKUP(G61:G4102,castles_state!A:A,castles_state!D:D,"見つかりません"))</f>
      </c>
      <c r="I61" s="4"/>
      <c r="J61" s="12" t="str">
        <f t="array" ref="J61">IF(I61:I4102="","",_xlfn.XLOOKUP(I61:I4102,'参照_姫'!A:A,'参照_姫'!B:B,"見つかりません"))</f>
      </c>
      <c r="K61" s="4">
        <v>95</v>
      </c>
      <c r="L61" s="4">
        <v>0</v>
      </c>
      <c r="M61" s="4"/>
      <c r="N61" s="4"/>
      <c r="O61" s="4"/>
      <c r="P61" s="12" t="str">
        <f t="array" ref="P61">IF(O61:O4102="","",_xlfn.XLOOKUP(O61:O4102,'参照_官位'!A:A,'参照_官位'!B:B,""))</f>
      </c>
      <c r="Q61" s="12" t="str">
        <f t="array" ref="Q61">IF(A61:A4102="","",IFERROR(_xlfn.XLOOKUP(A61:A4102,castles_state!K:K,castles_state!D:D)&amp;"主",IFERROR(_xlfn.XLOOKUP(A61:A4102,kunishuClan!D:D,kunishuClan!B:B)&amp;"当主","")))</f>
      </c>
    </row>
    <row r="62" ht="15.75" customHeight="1">
      <c r="A62" s="4">
        <v>1001061</v>
      </c>
      <c r="B62" s="12" t="str">
        <f t="array" ref="B62">IF(A62:A4103="","",_xlfn.XLOOKUP(A62:A4103,'参照_武将'!A:A,'参照_武将'!B:B,"見つかりません"))</f>
      </c>
      <c r="C62" s="4" t="s">
        <v>5360</v>
      </c>
      <c r="D62" s="4">
        <v>2</v>
      </c>
      <c r="E62" s="12" t="str">
        <f t="array" ref="E62">IF(D62:D4103="","",IFERROR(_xlfn.XLOOKUP(D62:D4103,'参照_勢力'!A:A,'参照_勢力'!B:B),IFERROR(_xlfn.XLOOKUP(F62:F4103,kunishuClan!A:A,kunishuClan!B:B),"浪人")))</f>
      </c>
      <c r="F62" s="4">
        <v>0</v>
      </c>
      <c r="G62" s="4">
        <v>68</v>
      </c>
      <c r="H62" s="12" t="str">
        <f t="array" ref="H62">IF(G62:G4103="","",_xlfn.XLOOKUP(G62:G4103,castles_state!A:A,castles_state!D:D,"見つかりません"))</f>
      </c>
      <c r="I62" s="4"/>
      <c r="J62" s="12" t="str">
        <f t="array" ref="J62">IF(I62:I4103="","",_xlfn.XLOOKUP(I62:I4103,'参照_姫'!A:A,'参照_姫'!B:B,"見つかりません"))</f>
      </c>
      <c r="K62" s="4">
        <v>95</v>
      </c>
      <c r="L62" s="4">
        <v>0</v>
      </c>
      <c r="M62" s="4"/>
      <c r="N62" s="4"/>
      <c r="O62" s="4"/>
      <c r="P62" s="12" t="str">
        <f t="array" ref="P62">IF(O62:O4103="","",_xlfn.XLOOKUP(O62:O4103,'参照_官位'!A:A,'参照_官位'!B:B,""))</f>
      </c>
      <c r="Q62" s="12" t="str">
        <f t="array" ref="Q62">IF(A62:A4103="","",IFERROR(_xlfn.XLOOKUP(A62:A4103,castles_state!K:K,castles_state!D:D)&amp;"主",IFERROR(_xlfn.XLOOKUP(A62:A4103,kunishuClan!D:D,kunishuClan!B:B)&amp;"当主","")))</f>
      </c>
    </row>
    <row r="63" ht="15.75" customHeight="1">
      <c r="A63" s="4">
        <v>1001062</v>
      </c>
      <c r="B63" s="12" t="str">
        <f t="array" ref="B63">IF(A63:A4104="","",_xlfn.XLOOKUP(A63:A4104,'参照_武将'!A:A,'参照_武将'!B:B,"見つかりません"))</f>
      </c>
      <c r="C63" s="4" t="s">
        <v>5360</v>
      </c>
      <c r="D63" s="4">
        <v>2</v>
      </c>
      <c r="E63" s="12" t="str">
        <f t="array" ref="E63">IF(D63:D4104="","",IFERROR(_xlfn.XLOOKUP(D63:D4104,'参照_勢力'!A:A,'参照_勢力'!B:B),IFERROR(_xlfn.XLOOKUP(F63:F4104,kunishuClan!A:A,kunishuClan!B:B),"浪人")))</f>
      </c>
      <c r="F63" s="4">
        <v>0</v>
      </c>
      <c r="G63" s="4">
        <v>68</v>
      </c>
      <c r="H63" s="12" t="str">
        <f t="array" ref="H63">IF(G63:G4104="","",_xlfn.XLOOKUP(G63:G4104,castles_state!A:A,castles_state!D:D,"見つかりません"))</f>
      </c>
      <c r="I63" s="4"/>
      <c r="J63" s="12" t="str">
        <f t="array" ref="J63">IF(I63:I4104="","",_xlfn.XLOOKUP(I63:I4104,'参照_姫'!A:A,'参照_姫'!B:B,"見つかりません"))</f>
      </c>
      <c r="K63" s="4">
        <v>95</v>
      </c>
      <c r="L63" s="4">
        <v>0</v>
      </c>
      <c r="M63" s="4"/>
      <c r="N63" s="4"/>
      <c r="O63" s="4"/>
      <c r="P63" s="12" t="str">
        <f t="array" ref="P63">IF(O63:O4104="","",_xlfn.XLOOKUP(O63:O4104,'参照_官位'!A:A,'参照_官位'!B:B,""))</f>
      </c>
      <c r="Q63" s="12" t="str">
        <f t="array" ref="Q63">IF(A63:A4104="","",IFERROR(_xlfn.XLOOKUP(A63:A4104,castles_state!K:K,castles_state!D:D)&amp;"主",IFERROR(_xlfn.XLOOKUP(A63:A4104,kunishuClan!D:D,kunishuClan!B:B)&amp;"当主","")))</f>
      </c>
    </row>
    <row r="64" ht="15.75" customHeight="1">
      <c r="A64" s="4">
        <v>1001063</v>
      </c>
      <c r="B64" s="12" t="str">
        <f t="array" ref="B64">IF(A64:A4105="","",_xlfn.XLOOKUP(A64:A4105,'参照_武将'!A:A,'参照_武将'!B:B,"見つかりません"))</f>
      </c>
      <c r="C64" s="4" t="s">
        <v>5360</v>
      </c>
      <c r="D64" s="4">
        <v>2</v>
      </c>
      <c r="E64" s="12" t="str">
        <f t="array" ref="E64">IF(D64:D4105="","",IFERROR(_xlfn.XLOOKUP(D64:D4105,'参照_勢力'!A:A,'参照_勢力'!B:B),IFERROR(_xlfn.XLOOKUP(F64:F4105,kunishuClan!A:A,kunishuClan!B:B),"浪人")))</f>
      </c>
      <c r="F64" s="4">
        <v>0</v>
      </c>
      <c r="G64" s="4">
        <v>68</v>
      </c>
      <c r="H64" s="12" t="str">
        <f t="array" ref="H64">IF(G64:G4105="","",_xlfn.XLOOKUP(G64:G4105,castles_state!A:A,castles_state!D:D,"見つかりません"))</f>
      </c>
      <c r="I64" s="4"/>
      <c r="J64" s="12" t="str">
        <f t="array" ref="J64">IF(I64:I4105="","",_xlfn.XLOOKUP(I64:I4105,'参照_姫'!A:A,'参照_姫'!B:B,"見つかりません"))</f>
      </c>
      <c r="K64" s="4">
        <v>95</v>
      </c>
      <c r="L64" s="4">
        <v>0</v>
      </c>
      <c r="M64" s="4"/>
      <c r="N64" s="4"/>
      <c r="O64" s="4"/>
      <c r="P64" s="12" t="str">
        <f t="array" ref="P64">IF(O64:O4105="","",_xlfn.XLOOKUP(O64:O4105,'参照_官位'!A:A,'参照_官位'!B:B,""))</f>
      </c>
      <c r="Q64" s="12" t="str">
        <f t="array" ref="Q64">IF(A64:A4105="","",IFERROR(_xlfn.XLOOKUP(A64:A4105,castles_state!K:K,castles_state!D:D)&amp;"主",IFERROR(_xlfn.XLOOKUP(A64:A4105,kunishuClan!D:D,kunishuClan!B:B)&amp;"当主","")))</f>
      </c>
    </row>
    <row r="65" ht="15.75" customHeight="1">
      <c r="A65" s="4">
        <v>1001064</v>
      </c>
      <c r="B65" s="12" t="str">
        <f t="array" ref="B65">IF(A65:A4106="","",_xlfn.XLOOKUP(A65:A4106,'参照_武将'!A:A,'参照_武将'!B:B,"見つかりません"))</f>
      </c>
      <c r="C65" s="4" t="s">
        <v>5360</v>
      </c>
      <c r="D65" s="4">
        <v>2</v>
      </c>
      <c r="E65" s="12" t="str">
        <f t="array" ref="E65">IF(D65:D4106="","",IFERROR(_xlfn.XLOOKUP(D65:D4106,'参照_勢力'!A:A,'参照_勢力'!B:B),IFERROR(_xlfn.XLOOKUP(F65:F4106,kunishuClan!A:A,kunishuClan!B:B),"浪人")))</f>
      </c>
      <c r="F65" s="4">
        <v>0</v>
      </c>
      <c r="G65" s="4">
        <v>68</v>
      </c>
      <c r="H65" s="12" t="str">
        <f t="array" ref="H65">IF(G65:G4106="","",_xlfn.XLOOKUP(G65:G4106,castles_state!A:A,castles_state!D:D,"見つかりません"))</f>
      </c>
      <c r="I65" s="4"/>
      <c r="J65" s="12" t="str">
        <f t="array" ref="J65">IF(I65:I4106="","",_xlfn.XLOOKUP(I65:I4106,'参照_姫'!A:A,'参照_姫'!B:B,"見つかりません"))</f>
      </c>
      <c r="K65" s="4">
        <v>95</v>
      </c>
      <c r="L65" s="4">
        <v>0</v>
      </c>
      <c r="M65" s="4"/>
      <c r="N65" s="4"/>
      <c r="O65" s="4"/>
      <c r="P65" s="12" t="str">
        <f t="array" ref="P65">IF(O65:O4106="","",_xlfn.XLOOKUP(O65:O4106,'参照_官位'!A:A,'参照_官位'!B:B,""))</f>
      </c>
      <c r="Q65" s="12" t="str">
        <f t="array" ref="Q65">IF(A65:A4106="","",IFERROR(_xlfn.XLOOKUP(A65:A4106,castles_state!K:K,castles_state!D:D)&amp;"主",IFERROR(_xlfn.XLOOKUP(A65:A4106,kunishuClan!D:D,kunishuClan!B:B)&amp;"当主","")))</f>
      </c>
    </row>
    <row r="66" ht="15.75" customHeight="1">
      <c r="A66" s="4">
        <v>1001065</v>
      </c>
      <c r="B66" s="12" t="str">
        <f t="array" ref="B66">IF(A66:A4107="","",_xlfn.XLOOKUP(A66:A4107,'参照_武将'!A:A,'参照_武将'!B:B,"見つかりません"))</f>
      </c>
      <c r="C66" s="4" t="s">
        <v>5360</v>
      </c>
      <c r="D66" s="4">
        <v>2</v>
      </c>
      <c r="E66" s="12" t="str">
        <f t="array" ref="E66">IF(D66:D4107="","",IFERROR(_xlfn.XLOOKUP(D66:D4107,'参照_勢力'!A:A,'参照_勢力'!B:B),IFERROR(_xlfn.XLOOKUP(F66:F4107,kunishuClan!A:A,kunishuClan!B:B),"浪人")))</f>
      </c>
      <c r="F66" s="4">
        <v>0</v>
      </c>
      <c r="G66" s="4">
        <v>68</v>
      </c>
      <c r="H66" s="12" t="str">
        <f t="array" ref="H66">IF(G66:G4107="","",_xlfn.XLOOKUP(G66:G4107,castles_state!A:A,castles_state!D:D,"見つかりません"))</f>
      </c>
      <c r="I66" s="4"/>
      <c r="J66" s="12" t="str">
        <f t="array" ref="J66">IF(I66:I4107="","",_xlfn.XLOOKUP(I66:I4107,'参照_姫'!A:A,'参照_姫'!B:B,"見つかりません"))</f>
      </c>
      <c r="K66" s="4">
        <v>95</v>
      </c>
      <c r="L66" s="4">
        <v>0</v>
      </c>
      <c r="M66" s="4"/>
      <c r="N66" s="4"/>
      <c r="O66" s="4"/>
      <c r="P66" s="12" t="str">
        <f t="array" ref="P66">IF(O66:O4107="","",_xlfn.XLOOKUP(O66:O4107,'参照_官位'!A:A,'参照_官位'!B:B,""))</f>
      </c>
      <c r="Q66" s="12" t="str">
        <f t="array" ref="Q66">IF(A66:A4107="","",IFERROR(_xlfn.XLOOKUP(A66:A4107,castles_state!K:K,castles_state!D:D)&amp;"主",IFERROR(_xlfn.XLOOKUP(A66:A4107,kunishuClan!D:D,kunishuClan!B:B)&amp;"当主","")))</f>
      </c>
    </row>
    <row r="67" ht="15.75" customHeight="1">
      <c r="A67" s="4">
        <v>1001066</v>
      </c>
      <c r="B67" s="12" t="str">
        <f t="array" ref="B67">IF(A67:A4108="","",_xlfn.XLOOKUP(A67:A4108,'参照_武将'!A:A,'参照_武将'!B:B,"見つかりません"))</f>
      </c>
      <c r="C67" s="4" t="s">
        <v>5360</v>
      </c>
      <c r="D67" s="4">
        <v>2</v>
      </c>
      <c r="E67" s="12" t="str">
        <f t="array" ref="E67">IF(D67:D4108="","",IFERROR(_xlfn.XLOOKUP(D67:D4108,'参照_勢力'!A:A,'参照_勢力'!B:B),IFERROR(_xlfn.XLOOKUP(F67:F4108,kunishuClan!A:A,kunishuClan!B:B),"浪人")))</f>
      </c>
      <c r="F67" s="4">
        <v>0</v>
      </c>
      <c r="G67" s="4">
        <v>68</v>
      </c>
      <c r="H67" s="12" t="str">
        <f t="array" ref="H67">IF(G67:G4108="","",_xlfn.XLOOKUP(G67:G4108,castles_state!A:A,castles_state!D:D,"見つかりません"))</f>
      </c>
      <c r="I67" s="4"/>
      <c r="J67" s="12" t="str">
        <f t="array" ref="J67">IF(I67:I4108="","",_xlfn.XLOOKUP(I67:I4108,'参照_姫'!A:A,'参照_姫'!B:B,"見つかりません"))</f>
      </c>
      <c r="K67" s="4">
        <v>95</v>
      </c>
      <c r="L67" s="4">
        <v>0</v>
      </c>
      <c r="M67" s="4"/>
      <c r="N67" s="4"/>
      <c r="O67" s="4"/>
      <c r="P67" s="12" t="str">
        <f t="array" ref="P67">IF(O67:O4108="","",_xlfn.XLOOKUP(O67:O4108,'参照_官位'!A:A,'参照_官位'!B:B,""))</f>
      </c>
      <c r="Q67" s="12" t="str">
        <f t="array" ref="Q67">IF(A67:A4108="","",IFERROR(_xlfn.XLOOKUP(A67:A4108,castles_state!K:K,castles_state!D:D)&amp;"主",IFERROR(_xlfn.XLOOKUP(A67:A4108,kunishuClan!D:D,kunishuClan!B:B)&amp;"当主","")))</f>
      </c>
    </row>
    <row r="68" ht="15.75" customHeight="1">
      <c r="A68" s="4">
        <v>1001067</v>
      </c>
      <c r="B68" s="12" t="str">
        <f t="array" ref="B68">IF(A68:A4109="","",_xlfn.XLOOKUP(A68:A4109,'参照_武将'!A:A,'参照_武将'!B:B,"見つかりません"))</f>
      </c>
      <c r="C68" s="4" t="s">
        <v>5360</v>
      </c>
      <c r="D68" s="4">
        <v>2</v>
      </c>
      <c r="E68" s="12" t="str">
        <f t="array" ref="E68">IF(D68:D4109="","",IFERROR(_xlfn.XLOOKUP(D68:D4109,'参照_勢力'!A:A,'参照_勢力'!B:B),IFERROR(_xlfn.XLOOKUP(F68:F4109,kunishuClan!A:A,kunishuClan!B:B),"浪人")))</f>
      </c>
      <c r="F68" s="4">
        <v>0</v>
      </c>
      <c r="G68" s="4">
        <v>68</v>
      </c>
      <c r="H68" s="12" t="str">
        <f t="array" ref="H68">IF(G68:G4109="","",_xlfn.XLOOKUP(G68:G4109,castles_state!A:A,castles_state!D:D,"見つかりません"))</f>
      </c>
      <c r="I68" s="4"/>
      <c r="J68" s="12" t="str">
        <f t="array" ref="J68">IF(I68:I4109="","",_xlfn.XLOOKUP(I68:I4109,'参照_姫'!A:A,'参照_姫'!B:B,"見つかりません"))</f>
      </c>
      <c r="K68" s="4">
        <v>95</v>
      </c>
      <c r="L68" s="4">
        <v>0</v>
      </c>
      <c r="M68" s="4"/>
      <c r="N68" s="4"/>
      <c r="O68" s="4"/>
      <c r="P68" s="12" t="str">
        <f t="array" ref="P68">IF(O68:O4109="","",_xlfn.XLOOKUP(O68:O4109,'参照_官位'!A:A,'参照_官位'!B:B,""))</f>
      </c>
      <c r="Q68" s="12" t="str">
        <f t="array" ref="Q68">IF(A68:A4109="","",IFERROR(_xlfn.XLOOKUP(A68:A4109,castles_state!K:K,castles_state!D:D)&amp;"主",IFERROR(_xlfn.XLOOKUP(A68:A4109,kunishuClan!D:D,kunishuClan!B:B)&amp;"当主","")))</f>
      </c>
    </row>
    <row r="69" ht="15.75" customHeight="1">
      <c r="A69" s="4">
        <v>1001068</v>
      </c>
      <c r="B69" s="12" t="str">
        <f t="array" ref="B69">IF(A69:A4110="","",_xlfn.XLOOKUP(A69:A4110,'参照_武将'!A:A,'参照_武将'!B:B,"見つかりません"))</f>
      </c>
      <c r="C69" s="4" t="s">
        <v>5481</v>
      </c>
      <c r="D69" s="4">
        <v>2</v>
      </c>
      <c r="E69" s="12" t="str">
        <f t="array" ref="E69">IF(D69:D4110="","",IFERROR(_xlfn.XLOOKUP(D69:D4110,'参照_勢力'!A:A,'参照_勢力'!B:B),IFERROR(_xlfn.XLOOKUP(F69:F4110,kunishuClan!A:A,kunishuClan!B:B),"浪人")))</f>
      </c>
      <c r="F69" s="4">
        <v>0</v>
      </c>
      <c r="G69" s="4">
        <v>68</v>
      </c>
      <c r="H69" s="12" t="str">
        <f t="array" ref="H69">IF(G69:G4110="","",_xlfn.XLOOKUP(G69:G4110,castles_state!A:A,castles_state!D:D,"見つかりません"))</f>
      </c>
      <c r="I69" s="4"/>
      <c r="J69" s="12" t="str">
        <f t="array" ref="J69">IF(I69:I4110="","",_xlfn.XLOOKUP(I69:I4110,'参照_姫'!A:A,'参照_姫'!B:B,"見つかりません"))</f>
      </c>
      <c r="K69" s="4">
        <v>95</v>
      </c>
      <c r="L69" s="4">
        <v>0</v>
      </c>
      <c r="M69" s="4"/>
      <c r="N69" s="4"/>
      <c r="O69" s="4"/>
      <c r="P69" s="12" t="str">
        <f t="array" ref="P69">IF(O69:O4110="","",_xlfn.XLOOKUP(O69:O4110,'参照_官位'!A:A,'参照_官位'!B:B,""))</f>
      </c>
      <c r="Q69" s="12" t="str">
        <f t="array" ref="Q69">IF(A69:A4110="","",IFERROR(_xlfn.XLOOKUP(A69:A4110,castles_state!K:K,castles_state!D:D)&amp;"主",IFERROR(_xlfn.XLOOKUP(A69:A4110,kunishuClan!D:D,kunishuClan!B:B)&amp;"当主","")))</f>
      </c>
    </row>
    <row r="70" ht="15.75" customHeight="1">
      <c r="A70" s="4">
        <v>1001069</v>
      </c>
      <c r="B70" s="12" t="str">
        <f t="array" ref="B70">IF(A70:A4111="","",_xlfn.XLOOKUP(A70:A4111,'参照_武将'!A:A,'参照_武将'!B:B,"見つかりません"))</f>
      </c>
      <c r="C70" s="4" t="s">
        <v>5481</v>
      </c>
      <c r="D70" s="4">
        <v>2</v>
      </c>
      <c r="E70" s="12" t="str">
        <f t="array" ref="E70">IF(D70:D4111="","",IFERROR(_xlfn.XLOOKUP(D70:D4111,'参照_勢力'!A:A,'参照_勢力'!B:B),IFERROR(_xlfn.XLOOKUP(F70:F4111,kunishuClan!A:A,kunishuClan!B:B),"浪人")))</f>
      </c>
      <c r="F70" s="4">
        <v>0</v>
      </c>
      <c r="G70" s="4">
        <v>68</v>
      </c>
      <c r="H70" s="12" t="str">
        <f t="array" ref="H70">IF(G70:G4111="","",_xlfn.XLOOKUP(G70:G4111,castles_state!A:A,castles_state!D:D,"見つかりません"))</f>
      </c>
      <c r="I70" s="4"/>
      <c r="J70" s="12" t="str">
        <f t="array" ref="J70">IF(I70:I4111="","",_xlfn.XLOOKUP(I70:I4111,'参照_姫'!A:A,'参照_姫'!B:B,"見つかりません"))</f>
      </c>
      <c r="K70" s="4">
        <v>95</v>
      </c>
      <c r="L70" s="4">
        <v>0</v>
      </c>
      <c r="M70" s="4"/>
      <c r="N70" s="4"/>
      <c r="O70" s="4"/>
      <c r="P70" s="12" t="str">
        <f t="array" ref="P70">IF(O70:O4111="","",_xlfn.XLOOKUP(O70:O4111,'参照_官位'!A:A,'参照_官位'!B:B,""))</f>
      </c>
      <c r="Q70" s="12" t="str">
        <f t="array" ref="Q70">IF(A70:A4111="","",IFERROR(_xlfn.XLOOKUP(A70:A4111,castles_state!K:K,castles_state!D:D)&amp;"主",IFERROR(_xlfn.XLOOKUP(A70:A4111,kunishuClan!D:D,kunishuClan!B:B)&amp;"当主","")))</f>
      </c>
    </row>
    <row r="71" ht="15.75" customHeight="1">
      <c r="A71" s="4">
        <v>1001070</v>
      </c>
      <c r="B71" s="12" t="str">
        <f t="array" ref="B71">IF(A71:A4112="","",_xlfn.XLOOKUP(A71:A4112,'参照_武将'!A:A,'参照_武将'!B:B,"見つかりません"))</f>
      </c>
      <c r="C71" s="4" t="s">
        <v>5481</v>
      </c>
      <c r="D71" s="4">
        <v>2</v>
      </c>
      <c r="E71" s="12" t="str">
        <f t="array" ref="E71">IF(D71:D4112="","",IFERROR(_xlfn.XLOOKUP(D71:D4112,'参照_勢力'!A:A,'参照_勢力'!B:B),IFERROR(_xlfn.XLOOKUP(F71:F4112,kunishuClan!A:A,kunishuClan!B:B),"浪人")))</f>
      </c>
      <c r="F71" s="4">
        <v>0</v>
      </c>
      <c r="G71" s="4">
        <v>68</v>
      </c>
      <c r="H71" s="12" t="str">
        <f t="array" ref="H71">IF(G71:G4112="","",_xlfn.XLOOKUP(G71:G4112,castles_state!A:A,castles_state!D:D,"見つかりません"))</f>
      </c>
      <c r="I71" s="4"/>
      <c r="J71" s="12" t="str">
        <f t="array" ref="J71">IF(I71:I4112="","",_xlfn.XLOOKUP(I71:I4112,'参照_姫'!A:A,'参照_姫'!B:B,"見つかりません"))</f>
      </c>
      <c r="K71" s="4">
        <v>95</v>
      </c>
      <c r="L71" s="4">
        <v>0</v>
      </c>
      <c r="M71" s="4"/>
      <c r="N71" s="4"/>
      <c r="O71" s="4"/>
      <c r="P71" s="12" t="str">
        <f t="array" ref="P71">IF(O71:O4112="","",_xlfn.XLOOKUP(O71:O4112,'参照_官位'!A:A,'参照_官位'!B:B,""))</f>
      </c>
      <c r="Q71" s="12" t="str">
        <f t="array" ref="Q71">IF(A71:A4112="","",IFERROR(_xlfn.XLOOKUP(A71:A4112,castles_state!K:K,castles_state!D:D)&amp;"主",IFERROR(_xlfn.XLOOKUP(A71:A4112,kunishuClan!D:D,kunishuClan!B:B)&amp;"当主","")))</f>
      </c>
    </row>
    <row r="72" ht="15.75" customHeight="1">
      <c r="A72" s="4">
        <v>1001071</v>
      </c>
      <c r="B72" s="12" t="str">
        <f t="array" ref="B72">IF(A72:A4113="","",_xlfn.XLOOKUP(A72:A4113,'参照_武将'!A:A,'参照_武将'!B:B,"見つかりません"))</f>
      </c>
      <c r="C72" s="4" t="s">
        <v>5481</v>
      </c>
      <c r="D72" s="4">
        <v>2</v>
      </c>
      <c r="E72" s="12" t="str">
        <f t="array" ref="E72">IF(D72:D4113="","",IFERROR(_xlfn.XLOOKUP(D72:D4113,'参照_勢力'!A:A,'参照_勢力'!B:B),IFERROR(_xlfn.XLOOKUP(F72:F4113,kunishuClan!A:A,kunishuClan!B:B),"浪人")))</f>
      </c>
      <c r="F72" s="4">
        <v>0</v>
      </c>
      <c r="G72" s="4">
        <v>68</v>
      </c>
      <c r="H72" s="12" t="str">
        <f t="array" ref="H72">IF(G72:G4113="","",_xlfn.XLOOKUP(G72:G4113,castles_state!A:A,castles_state!D:D,"見つかりません"))</f>
      </c>
      <c r="I72" s="4"/>
      <c r="J72" s="12" t="str">
        <f t="array" ref="J72">IF(I72:I4113="","",_xlfn.XLOOKUP(I72:I4113,'参照_姫'!A:A,'参照_姫'!B:B,"見つかりません"))</f>
      </c>
      <c r="K72" s="4">
        <v>95</v>
      </c>
      <c r="L72" s="4">
        <v>0</v>
      </c>
      <c r="M72" s="4"/>
      <c r="N72" s="4"/>
      <c r="O72" s="4"/>
      <c r="P72" s="12" t="str">
        <f t="array" ref="P72">IF(O72:O4113="","",_xlfn.XLOOKUP(O72:O4113,'参照_官位'!A:A,'参照_官位'!B:B,""))</f>
      </c>
      <c r="Q72" s="12" t="str">
        <f t="array" ref="Q72">IF(A72:A4113="","",IFERROR(_xlfn.XLOOKUP(A72:A4113,castles_state!K:K,castles_state!D:D)&amp;"主",IFERROR(_xlfn.XLOOKUP(A72:A4113,kunishuClan!D:D,kunishuClan!B:B)&amp;"当主","")))</f>
      </c>
    </row>
    <row r="73" ht="15.75" customHeight="1">
      <c r="A73" s="4">
        <v>1001072</v>
      </c>
      <c r="B73" s="12" t="str">
        <f t="array" ref="B73">IF(A73:A4114="","",_xlfn.XLOOKUP(A73:A4114,'参照_武将'!A:A,'参照_武将'!B:B,"見つかりません"))</f>
      </c>
      <c r="C73" s="4" t="s">
        <v>5481</v>
      </c>
      <c r="D73" s="4">
        <v>2</v>
      </c>
      <c r="E73" s="12" t="str">
        <f t="array" ref="E73">IF(D73:D4114="","",IFERROR(_xlfn.XLOOKUP(D73:D4114,'参照_勢力'!A:A,'参照_勢力'!B:B),IFERROR(_xlfn.XLOOKUP(F73:F4114,kunishuClan!A:A,kunishuClan!B:B),"浪人")))</f>
      </c>
      <c r="F73" s="4">
        <v>0</v>
      </c>
      <c r="G73" s="4">
        <v>68</v>
      </c>
      <c r="H73" s="12" t="str">
        <f t="array" ref="H73">IF(G73:G4114="","",_xlfn.XLOOKUP(G73:G4114,castles_state!A:A,castles_state!D:D,"見つかりません"))</f>
      </c>
      <c r="I73" s="4"/>
      <c r="J73" s="12" t="str">
        <f t="array" ref="J73">IF(I73:I4114="","",_xlfn.XLOOKUP(I73:I4114,'参照_姫'!A:A,'参照_姫'!B:B,"見つかりません"))</f>
      </c>
      <c r="K73" s="4">
        <v>95</v>
      </c>
      <c r="L73" s="4">
        <v>0</v>
      </c>
      <c r="M73" s="4"/>
      <c r="N73" s="4"/>
      <c r="O73" s="4"/>
      <c r="P73" s="12" t="str">
        <f t="array" ref="P73">IF(O73:O4114="","",_xlfn.XLOOKUP(O73:O4114,'参照_官位'!A:A,'参照_官位'!B:B,""))</f>
      </c>
      <c r="Q73" s="12" t="str">
        <f t="array" ref="Q73">IF(A73:A4114="","",IFERROR(_xlfn.XLOOKUP(A73:A4114,castles_state!K:K,castles_state!D:D)&amp;"主",IFERROR(_xlfn.XLOOKUP(A73:A4114,kunishuClan!D:D,kunishuClan!B:B)&amp;"当主","")))</f>
      </c>
    </row>
    <row r="74" ht="15.75" customHeight="1">
      <c r="A74" s="4">
        <v>1001073</v>
      </c>
      <c r="B74" s="12" t="str">
        <f t="array" ref="B74">IF(A74:A4115="","",_xlfn.XLOOKUP(A74:A4115,'参照_武将'!A:A,'参照_武将'!B:B,"見つかりません"))</f>
      </c>
      <c r="C74" s="4" t="s">
        <v>5481</v>
      </c>
      <c r="D74" s="4">
        <v>2</v>
      </c>
      <c r="E74" s="12" t="str">
        <f t="array" ref="E74">IF(D74:D4115="","",IFERROR(_xlfn.XLOOKUP(D74:D4115,'参照_勢力'!A:A,'参照_勢力'!B:B),IFERROR(_xlfn.XLOOKUP(F74:F4115,kunishuClan!A:A,kunishuClan!B:B),"浪人")))</f>
      </c>
      <c r="F74" s="4">
        <v>0</v>
      </c>
      <c r="G74" s="4">
        <v>68</v>
      </c>
      <c r="H74" s="12" t="str">
        <f t="array" ref="H74">IF(G74:G4115="","",_xlfn.XLOOKUP(G74:G4115,castles_state!A:A,castles_state!D:D,"見つかりません"))</f>
      </c>
      <c r="I74" s="4"/>
      <c r="J74" s="12" t="str">
        <f t="array" ref="J74">IF(I74:I4115="","",_xlfn.XLOOKUP(I74:I4115,'参照_姫'!A:A,'参照_姫'!B:B,"見つかりません"))</f>
      </c>
      <c r="K74" s="4">
        <v>95</v>
      </c>
      <c r="L74" s="4">
        <v>0</v>
      </c>
      <c r="M74" s="4"/>
      <c r="N74" s="4"/>
      <c r="O74" s="4"/>
      <c r="P74" s="12" t="str">
        <f t="array" ref="P74">IF(O74:O4115="","",_xlfn.XLOOKUP(O74:O4115,'参照_官位'!A:A,'参照_官位'!B:B,""))</f>
      </c>
      <c r="Q74" s="12" t="str">
        <f t="array" ref="Q74">IF(A74:A4115="","",IFERROR(_xlfn.XLOOKUP(A74:A4115,castles_state!K:K,castles_state!D:D)&amp;"主",IFERROR(_xlfn.XLOOKUP(A74:A4115,kunishuClan!D:D,kunishuClan!B:B)&amp;"当主","")))</f>
      </c>
    </row>
    <row r="75" ht="15.75" customHeight="1">
      <c r="A75" s="4">
        <v>1001074</v>
      </c>
      <c r="B75" s="12" t="str">
        <f t="array" ref="B75">IF(A75:A4116="","",_xlfn.XLOOKUP(A75:A4116,'参照_武将'!A:A,'参照_武将'!B:B,"見つかりません"))</f>
      </c>
      <c r="C75" s="4" t="s">
        <v>5481</v>
      </c>
      <c r="D75" s="4">
        <v>2</v>
      </c>
      <c r="E75" s="12" t="str">
        <f t="array" ref="E75">IF(D75:D4116="","",IFERROR(_xlfn.XLOOKUP(D75:D4116,'参照_勢力'!A:A,'参照_勢力'!B:B),IFERROR(_xlfn.XLOOKUP(F75:F4116,kunishuClan!A:A,kunishuClan!B:B),"浪人")))</f>
      </c>
      <c r="F75" s="4">
        <v>0</v>
      </c>
      <c r="G75" s="4">
        <v>68</v>
      </c>
      <c r="H75" s="12" t="str">
        <f t="array" ref="H75">IF(G75:G4116="","",_xlfn.XLOOKUP(G75:G4116,castles_state!A:A,castles_state!D:D,"見つかりません"))</f>
      </c>
      <c r="I75" s="4"/>
      <c r="J75" s="12" t="str">
        <f t="array" ref="J75">IF(I75:I4116="","",_xlfn.XLOOKUP(I75:I4116,'参照_姫'!A:A,'参照_姫'!B:B,"見つかりません"))</f>
      </c>
      <c r="K75" s="4">
        <v>95</v>
      </c>
      <c r="L75" s="4">
        <v>0</v>
      </c>
      <c r="M75" s="4"/>
      <c r="N75" s="4"/>
      <c r="O75" s="4"/>
      <c r="P75" s="12" t="str">
        <f t="array" ref="P75">IF(O75:O4116="","",_xlfn.XLOOKUP(O75:O4116,'参照_官位'!A:A,'参照_官位'!B:B,""))</f>
      </c>
      <c r="Q75" s="12" t="str">
        <f t="array" ref="Q75">IF(A75:A4116="","",IFERROR(_xlfn.XLOOKUP(A75:A4116,castles_state!K:K,castles_state!D:D)&amp;"主",IFERROR(_xlfn.XLOOKUP(A75:A4116,kunishuClan!D:D,kunishuClan!B:B)&amp;"当主","")))</f>
      </c>
    </row>
    <row r="76" ht="15.75" customHeight="1">
      <c r="A76" s="4">
        <v>1001075</v>
      </c>
      <c r="B76" s="12" t="str">
        <f t="array" ref="B76">IF(A76:A4117="","",_xlfn.XLOOKUP(A76:A4117,'参照_武将'!A:A,'参照_武将'!B:B,"見つかりません"))</f>
      </c>
      <c r="C76" s="4" t="s">
        <v>5481</v>
      </c>
      <c r="D76" s="4">
        <v>2</v>
      </c>
      <c r="E76" s="12" t="str">
        <f t="array" ref="E76">IF(D76:D4117="","",IFERROR(_xlfn.XLOOKUP(D76:D4117,'参照_勢力'!A:A,'参照_勢力'!B:B),IFERROR(_xlfn.XLOOKUP(F76:F4117,kunishuClan!A:A,kunishuClan!B:B),"浪人")))</f>
      </c>
      <c r="F76" s="4">
        <v>0</v>
      </c>
      <c r="G76" s="4">
        <v>68</v>
      </c>
      <c r="H76" s="12" t="str">
        <f t="array" ref="H76">IF(G76:G4117="","",_xlfn.XLOOKUP(G76:G4117,castles_state!A:A,castles_state!D:D,"見つかりません"))</f>
      </c>
      <c r="I76" s="4"/>
      <c r="J76" s="12" t="str">
        <f t="array" ref="J76">IF(I76:I4117="","",_xlfn.XLOOKUP(I76:I4117,'参照_姫'!A:A,'参照_姫'!B:B,"見つかりません"))</f>
      </c>
      <c r="K76" s="4">
        <v>95</v>
      </c>
      <c r="L76" s="4">
        <v>0</v>
      </c>
      <c r="M76" s="4"/>
      <c r="N76" s="4"/>
      <c r="O76" s="4"/>
      <c r="P76" s="12" t="str">
        <f t="array" ref="P76">IF(O76:O4117="","",_xlfn.XLOOKUP(O76:O4117,'参照_官位'!A:A,'参照_官位'!B:B,""))</f>
      </c>
      <c r="Q76" s="12" t="str">
        <f t="array" ref="Q76">IF(A76:A4117="","",IFERROR(_xlfn.XLOOKUP(A76:A4117,castles_state!K:K,castles_state!D:D)&amp;"主",IFERROR(_xlfn.XLOOKUP(A76:A4117,kunishuClan!D:D,kunishuClan!B:B)&amp;"当主","")))</f>
      </c>
    </row>
    <row r="77" ht="15.75" customHeight="1">
      <c r="A77" s="4">
        <v>1001076</v>
      </c>
      <c r="B77" s="12" t="str">
        <f t="array" ref="B77">IF(A77:A4118="","",_xlfn.XLOOKUP(A77:A4118,'参照_武将'!A:A,'参照_武将'!B:B,"見つかりません"))</f>
      </c>
      <c r="C77" s="4" t="s">
        <v>104</v>
      </c>
      <c r="D77" s="4">
        <v>2</v>
      </c>
      <c r="E77" s="12" t="str">
        <f t="array" ref="E77">IF(D77:D4118="","",IFERROR(_xlfn.XLOOKUP(D77:D4118,'参照_勢力'!A:A,'参照_勢力'!B:B),IFERROR(_xlfn.XLOOKUP(F77:F4118,kunishuClan!A:A,kunishuClan!B:B),"浪人")))</f>
      </c>
      <c r="F77" s="4">
        <v>0</v>
      </c>
      <c r="G77" s="4">
        <v>89</v>
      </c>
      <c r="H77" s="12" t="str">
        <f t="array" ref="H77">IF(G77:G4118="","",_xlfn.XLOOKUP(G77:G4118,castles_state!A:A,castles_state!D:D,"見つかりません"))</f>
      </c>
      <c r="I77" s="4"/>
      <c r="J77" s="12" t="str">
        <f t="array" ref="J77">IF(I77:I4118="","",_xlfn.XLOOKUP(I77:I4118,'参照_姫'!A:A,'参照_姫'!B:B,"見つかりません"))</f>
      </c>
      <c r="K77" s="4">
        <v>90</v>
      </c>
      <c r="L77" s="4">
        <v>200</v>
      </c>
      <c r="M77" s="4"/>
      <c r="N77" s="4"/>
      <c r="O77" s="4"/>
      <c r="P77" s="12" t="str">
        <f t="array" ref="P77">IF(O77:O4118="","",_xlfn.XLOOKUP(O77:O4118,'参照_官位'!A:A,'参照_官位'!B:B,""))</f>
      </c>
      <c r="Q77" s="12" t="str">
        <f t="array" ref="Q77">IF(A77:A4118="","",IFERROR(_xlfn.XLOOKUP(A77:A4118,castles_state!K:K,castles_state!D:D)&amp;"主",IFERROR(_xlfn.XLOOKUP(A77:A4118,kunishuClan!D:D,kunishuClan!B:B)&amp;"当主","")))</f>
      </c>
    </row>
    <row r="78" ht="15.75" customHeight="1">
      <c r="A78" s="4">
        <v>1001077</v>
      </c>
      <c r="B78" s="12" t="str">
        <f t="array" ref="B78">IF(A78:A4119="","",_xlfn.XLOOKUP(A78:A4119,'参照_武将'!A:A,'参照_武将'!B:B,"見つかりません"))</f>
      </c>
      <c r="C78" s="4" t="s">
        <v>104</v>
      </c>
      <c r="D78" s="4">
        <v>2</v>
      </c>
      <c r="E78" s="12" t="str">
        <f t="array" ref="E78">IF(D78:D4119="","",IFERROR(_xlfn.XLOOKUP(D78:D4119,'参照_勢力'!A:A,'参照_勢力'!B:B),IFERROR(_xlfn.XLOOKUP(F78:F4119,kunishuClan!A:A,kunishuClan!B:B),"浪人")))</f>
      </c>
      <c r="F78" s="4">
        <v>0</v>
      </c>
      <c r="G78" s="4">
        <v>89</v>
      </c>
      <c r="H78" s="12" t="str">
        <f t="array" ref="H78">IF(G78:G4119="","",_xlfn.XLOOKUP(G78:G4119,castles_state!A:A,castles_state!D:D,"見つかりません"))</f>
      </c>
      <c r="I78" s="4"/>
      <c r="J78" s="12" t="str">
        <f t="array" ref="J78">IF(I78:I4119="","",_xlfn.XLOOKUP(I78:I4119,'参照_姫'!A:A,'参照_姫'!B:B,"見つかりません"))</f>
      </c>
      <c r="K78" s="4">
        <v>80</v>
      </c>
      <c r="L78" s="4">
        <v>0</v>
      </c>
      <c r="M78" s="4"/>
      <c r="N78" s="4"/>
      <c r="O78" s="4"/>
      <c r="P78" s="12" t="str">
        <f t="array" ref="P78">IF(O78:O4119="","",_xlfn.XLOOKUP(O78:O4119,'参照_官位'!A:A,'参照_官位'!B:B,""))</f>
      </c>
      <c r="Q78" s="12" t="str">
        <f t="array" ref="Q78">IF(A78:A4119="","",IFERROR(_xlfn.XLOOKUP(A78:A4119,castles_state!K:K,castles_state!D:D)&amp;"主",IFERROR(_xlfn.XLOOKUP(A78:A4119,kunishuClan!D:D,kunishuClan!B:B)&amp;"当主","")))</f>
      </c>
    </row>
    <row r="79" ht="15.75" customHeight="1">
      <c r="A79" s="4">
        <v>1001078</v>
      </c>
      <c r="B79" s="12" t="str">
        <f t="array" ref="B79">IF(A79:A4120="","",_xlfn.XLOOKUP(A79:A4120,'参照_武将'!A:A,'参照_武将'!B:B,"見つかりません"))</f>
      </c>
      <c r="C79" s="4" t="s">
        <v>104</v>
      </c>
      <c r="D79" s="4">
        <v>2</v>
      </c>
      <c r="E79" s="12" t="str">
        <f t="array" ref="E79">IF(D79:D4120="","",IFERROR(_xlfn.XLOOKUP(D79:D4120,'参照_勢力'!A:A,'参照_勢力'!B:B),IFERROR(_xlfn.XLOOKUP(F79:F4120,kunishuClan!A:A,kunishuClan!B:B),"浪人")))</f>
      </c>
      <c r="F79" s="4">
        <v>0</v>
      </c>
      <c r="G79" s="4">
        <v>89</v>
      </c>
      <c r="H79" s="12" t="str">
        <f t="array" ref="H79">IF(G79:G4120="","",_xlfn.XLOOKUP(G79:G4120,castles_state!A:A,castles_state!D:D,"見つかりません"))</f>
      </c>
      <c r="I79" s="4"/>
      <c r="J79" s="12" t="str">
        <f t="array" ref="J79">IF(I79:I4120="","",_xlfn.XLOOKUP(I79:I4120,'参照_姫'!A:A,'参照_姫'!B:B,"見つかりません"))</f>
      </c>
      <c r="K79" s="4">
        <v>90</v>
      </c>
      <c r="L79" s="4">
        <v>0</v>
      </c>
      <c r="M79" s="4"/>
      <c r="N79" s="4"/>
      <c r="O79" s="4"/>
      <c r="P79" s="12" t="str">
        <f t="array" ref="P79">IF(O79:O4120="","",_xlfn.XLOOKUP(O79:O4120,'参照_官位'!A:A,'参照_官位'!B:B,""))</f>
      </c>
      <c r="Q79" s="12" t="str">
        <f t="array" ref="Q79">IF(A79:A4120="","",IFERROR(_xlfn.XLOOKUP(A79:A4120,castles_state!K:K,castles_state!D:D)&amp;"主",IFERROR(_xlfn.XLOOKUP(A79:A4120,kunishuClan!D:D,kunishuClan!B:B)&amp;"当主","")))</f>
      </c>
    </row>
    <row r="80" ht="15.75" customHeight="1">
      <c r="A80" s="4">
        <v>1001079</v>
      </c>
      <c r="B80" s="12" t="str">
        <f t="array" ref="B80">IF(A80:A4121="","",_xlfn.XLOOKUP(A80:A4121,'参照_武将'!A:A,'参照_武将'!B:B,"見つかりません"))</f>
      </c>
      <c r="C80" s="4" t="s">
        <v>104</v>
      </c>
      <c r="D80" s="4">
        <v>2</v>
      </c>
      <c r="E80" s="12" t="str">
        <f t="array" ref="E80">IF(D80:D4121="","",IFERROR(_xlfn.XLOOKUP(D80:D4121,'参照_勢力'!A:A,'参照_勢力'!B:B),IFERROR(_xlfn.XLOOKUP(F80:F4121,kunishuClan!A:A,kunishuClan!B:B),"浪人")))</f>
      </c>
      <c r="F80" s="4">
        <v>0</v>
      </c>
      <c r="G80" s="4">
        <v>95</v>
      </c>
      <c r="H80" s="12" t="str">
        <f t="array" ref="H80">IF(G80:G4121="","",_xlfn.XLOOKUP(G80:G4121,castles_state!A:A,castles_state!D:D,"見つかりません"))</f>
      </c>
      <c r="I80" s="4"/>
      <c r="J80" s="12" t="str">
        <f t="array" ref="J80">IF(I80:I4121="","",_xlfn.XLOOKUP(I80:I4121,'参照_姫'!A:A,'参照_姫'!B:B,"見つかりません"))</f>
      </c>
      <c r="K80" s="4">
        <v>95</v>
      </c>
      <c r="L80" s="4">
        <v>0</v>
      </c>
      <c r="M80" s="4"/>
      <c r="N80" s="4"/>
      <c r="O80" s="4"/>
      <c r="P80" s="12" t="str">
        <f t="array" ref="P80">IF(O80:O4121="","",_xlfn.XLOOKUP(O80:O4121,'参照_官位'!A:A,'参照_官位'!B:B,""))</f>
      </c>
      <c r="Q80" s="12" t="str">
        <f t="array" ref="Q80">IF(A80:A4121="","",IFERROR(_xlfn.XLOOKUP(A80:A4121,castles_state!K:K,castles_state!D:D)&amp;"主",IFERROR(_xlfn.XLOOKUP(A80:A4121,kunishuClan!D:D,kunishuClan!B:B)&amp;"当主","")))</f>
      </c>
    </row>
    <row r="81" ht="15.75" customHeight="1">
      <c r="A81" s="4">
        <v>1001080</v>
      </c>
      <c r="B81" s="12" t="str">
        <f t="array" ref="B81">IF(A81:A4122="","",_xlfn.XLOOKUP(A81:A4122,'参照_武将'!A:A,'参照_武将'!B:B,"見つかりません"))</f>
      </c>
      <c r="C81" s="4" t="s">
        <v>104</v>
      </c>
      <c r="D81" s="4">
        <v>2</v>
      </c>
      <c r="E81" s="12" t="str">
        <f t="array" ref="E81">IF(D81:D4122="","",IFERROR(_xlfn.XLOOKUP(D81:D4122,'参照_勢力'!A:A,'参照_勢力'!B:B),IFERROR(_xlfn.XLOOKUP(F81:F4122,kunishuClan!A:A,kunishuClan!B:B),"浪人")))</f>
      </c>
      <c r="F81" s="4">
        <v>0</v>
      </c>
      <c r="G81" s="4">
        <v>95</v>
      </c>
      <c r="H81" s="12" t="str">
        <f t="array" ref="H81">IF(G81:G4122="","",_xlfn.XLOOKUP(G81:G4122,castles_state!A:A,castles_state!D:D,"見つかりません"))</f>
      </c>
      <c r="I81" s="4"/>
      <c r="J81" s="12" t="str">
        <f t="array" ref="J81">IF(I81:I4122="","",_xlfn.XLOOKUP(I81:I4122,'参照_姫'!A:A,'参照_姫'!B:B,"見つかりません"))</f>
      </c>
      <c r="K81" s="4">
        <v>95</v>
      </c>
      <c r="L81" s="4">
        <v>0</v>
      </c>
      <c r="M81" s="4"/>
      <c r="N81" s="4"/>
      <c r="O81" s="4"/>
      <c r="P81" s="12" t="str">
        <f t="array" ref="P81">IF(O81:O4122="","",_xlfn.XLOOKUP(O81:O4122,'参照_官位'!A:A,'参照_官位'!B:B,""))</f>
      </c>
      <c r="Q81" s="12" t="str">
        <f t="array" ref="Q81">IF(A81:A4122="","",IFERROR(_xlfn.XLOOKUP(A81:A4122,castles_state!K:K,castles_state!D:D)&amp;"主",IFERROR(_xlfn.XLOOKUP(A81:A4122,kunishuClan!D:D,kunishuClan!B:B)&amp;"当主","")))</f>
      </c>
    </row>
    <row r="82" ht="15.75" customHeight="1">
      <c r="A82" s="4">
        <v>1001081</v>
      </c>
      <c r="B82" s="12" t="str">
        <f t="array" ref="B82">IF(A82:A4123="","",_xlfn.XLOOKUP(A82:A4123,'参照_武将'!A:A,'参照_武将'!B:B,"見つかりません"))</f>
      </c>
      <c r="C82" s="4" t="s">
        <v>104</v>
      </c>
      <c r="D82" s="4">
        <v>2</v>
      </c>
      <c r="E82" s="12" t="str">
        <f t="array" ref="E82">IF(D82:D4123="","",IFERROR(_xlfn.XLOOKUP(D82:D4123,'参照_勢力'!A:A,'参照_勢力'!B:B),IFERROR(_xlfn.XLOOKUP(F82:F4123,kunishuClan!A:A,kunishuClan!B:B),"浪人")))</f>
      </c>
      <c r="F82" s="4">
        <v>0</v>
      </c>
      <c r="G82" s="4">
        <v>95</v>
      </c>
      <c r="H82" s="12" t="str">
        <f t="array" ref="H82">IF(G82:G4123="","",_xlfn.XLOOKUP(G82:G4123,castles_state!A:A,castles_state!D:D,"見つかりません"))</f>
      </c>
      <c r="I82" s="4"/>
      <c r="J82" s="12" t="str">
        <f t="array" ref="J82">IF(I82:I4123="","",_xlfn.XLOOKUP(I82:I4123,'参照_姫'!A:A,'参照_姫'!B:B,"見つかりません"))</f>
      </c>
      <c r="K82" s="4">
        <v>95</v>
      </c>
      <c r="L82" s="4">
        <v>0</v>
      </c>
      <c r="M82" s="4"/>
      <c r="N82" s="4"/>
      <c r="O82" s="4"/>
      <c r="P82" s="12" t="str">
        <f t="array" ref="P82">IF(O82:O4123="","",_xlfn.XLOOKUP(O82:O4123,'参照_官位'!A:A,'参照_官位'!B:B,""))</f>
      </c>
      <c r="Q82" s="12" t="str">
        <f t="array" ref="Q82">IF(A82:A4123="","",IFERROR(_xlfn.XLOOKUP(A82:A4123,castles_state!K:K,castles_state!D:D)&amp;"主",IFERROR(_xlfn.XLOOKUP(A82:A4123,kunishuClan!D:D,kunishuClan!B:B)&amp;"当主","")))</f>
      </c>
    </row>
    <row r="83" ht="15.75" customHeight="1">
      <c r="A83" s="4">
        <v>1001082</v>
      </c>
      <c r="B83" s="12" t="str">
        <f t="array" ref="B83">IF(A83:A4124="","",_xlfn.XLOOKUP(A83:A4124,'参照_武将'!A:A,'参照_武将'!B:B,"見つかりません"))</f>
      </c>
      <c r="C83" s="4" t="s">
        <v>104</v>
      </c>
      <c r="D83" s="4">
        <v>2</v>
      </c>
      <c r="E83" s="12" t="str">
        <f t="array" ref="E83">IF(D83:D4124="","",IFERROR(_xlfn.XLOOKUP(D83:D4124,'参照_勢力'!A:A,'参照_勢力'!B:B),IFERROR(_xlfn.XLOOKUP(F83:F4124,kunishuClan!A:A,kunishuClan!B:B),"浪人")))</f>
      </c>
      <c r="F83" s="4">
        <v>0</v>
      </c>
      <c r="G83" s="4">
        <v>95</v>
      </c>
      <c r="H83" s="12" t="str">
        <f t="array" ref="H83">IF(G83:G4124="","",_xlfn.XLOOKUP(G83:G4124,castles_state!A:A,castles_state!D:D,"見つかりません"))</f>
      </c>
      <c r="I83" s="4"/>
      <c r="J83" s="12" t="str">
        <f t="array" ref="J83">IF(I83:I4124="","",_xlfn.XLOOKUP(I83:I4124,'参照_姫'!A:A,'参照_姫'!B:B,"見つかりません"))</f>
      </c>
      <c r="K83" s="4">
        <v>95</v>
      </c>
      <c r="L83" s="4">
        <v>0</v>
      </c>
      <c r="M83" s="4"/>
      <c r="N83" s="4"/>
      <c r="O83" s="4"/>
      <c r="P83" s="12" t="str">
        <f t="array" ref="P83">IF(O83:O4124="","",_xlfn.XLOOKUP(O83:O4124,'参照_官位'!A:A,'参照_官位'!B:B,""))</f>
      </c>
      <c r="Q83" s="12" t="str">
        <f t="array" ref="Q83">IF(A83:A4124="","",IFERROR(_xlfn.XLOOKUP(A83:A4124,castles_state!K:K,castles_state!D:D)&amp;"主",IFERROR(_xlfn.XLOOKUP(A83:A4124,kunishuClan!D:D,kunishuClan!B:B)&amp;"当主","")))</f>
      </c>
    </row>
    <row r="84" ht="15.75" customHeight="1">
      <c r="A84" s="4">
        <v>1001083</v>
      </c>
      <c r="B84" s="12" t="str">
        <f t="array" ref="B84">IF(A84:A4125="","",_xlfn.XLOOKUP(A84:A4125,'参照_武将'!A:A,'参照_武将'!B:B,"見つかりません"))</f>
      </c>
      <c r="C84" s="4" t="s">
        <v>104</v>
      </c>
      <c r="D84" s="4">
        <v>2</v>
      </c>
      <c r="E84" s="12" t="str">
        <f t="array" ref="E84">IF(D84:D4125="","",IFERROR(_xlfn.XLOOKUP(D84:D4125,'参照_勢力'!A:A,'参照_勢力'!B:B),IFERROR(_xlfn.XLOOKUP(F84:F4125,kunishuClan!A:A,kunishuClan!B:B),"浪人")))</f>
      </c>
      <c r="F84" s="4">
        <v>0</v>
      </c>
      <c r="G84" s="4">
        <v>20</v>
      </c>
      <c r="H84" s="12" t="str">
        <f t="array" ref="H84">IF(G84:G4125="","",_xlfn.XLOOKUP(G84:G4125,castles_state!A:A,castles_state!D:D,"見つかりません"))</f>
      </c>
      <c r="I84" s="4"/>
      <c r="J84" s="12" t="str">
        <f t="array" ref="J84">IF(I84:I4125="","",_xlfn.XLOOKUP(I84:I4125,'参照_姫'!A:A,'参照_姫'!B:B,"見つかりません"))</f>
      </c>
      <c r="K84" s="4">
        <v>75</v>
      </c>
      <c r="L84" s="4">
        <v>0</v>
      </c>
      <c r="M84" s="4"/>
      <c r="N84" s="4"/>
      <c r="O84" s="4"/>
      <c r="P84" s="12" t="str">
        <f t="array" ref="P84">IF(O84:O4125="","",_xlfn.XLOOKUP(O84:O4125,'参照_官位'!A:A,'参照_官位'!B:B,""))</f>
      </c>
      <c r="Q84" s="12" t="str">
        <f t="array" ref="Q84">IF(A84:A4125="","",IFERROR(_xlfn.XLOOKUP(A84:A4125,castles_state!K:K,castles_state!D:D)&amp;"主",IFERROR(_xlfn.XLOOKUP(A84:A4125,kunishuClan!D:D,kunishuClan!B:B)&amp;"当主","")))</f>
      </c>
    </row>
    <row r="85" ht="15.75" customHeight="1">
      <c r="A85" s="4">
        <v>1001084</v>
      </c>
      <c r="B85" s="12" t="str">
        <f t="array" ref="B85">IF(A85:A4126="","",_xlfn.XLOOKUP(A85:A4126,'参照_武将'!A:A,'参照_武将'!B:B,"見つかりません"))</f>
      </c>
      <c r="C85" s="4" t="s">
        <v>104</v>
      </c>
      <c r="D85" s="4">
        <v>2</v>
      </c>
      <c r="E85" s="12" t="str">
        <f t="array" ref="E85">IF(D85:D4126="","",IFERROR(_xlfn.XLOOKUP(D85:D4126,'参照_勢力'!A:A,'参照_勢力'!B:B),IFERROR(_xlfn.XLOOKUP(F85:F4126,kunishuClan!A:A,kunishuClan!B:B),"浪人")))</f>
      </c>
      <c r="F85" s="4">
        <v>0</v>
      </c>
      <c r="G85" s="4">
        <v>20</v>
      </c>
      <c r="H85" s="12" t="str">
        <f t="array" ref="H85">IF(G85:G4126="","",_xlfn.XLOOKUP(G85:G4126,castles_state!A:A,castles_state!D:D,"見つかりません"))</f>
      </c>
      <c r="I85" s="4"/>
      <c r="J85" s="12" t="str">
        <f t="array" ref="J85">IF(I85:I4126="","",_xlfn.XLOOKUP(I85:I4126,'参照_姫'!A:A,'参照_姫'!B:B,"見つかりません"))</f>
      </c>
      <c r="K85" s="4">
        <v>80</v>
      </c>
      <c r="L85" s="4">
        <v>200</v>
      </c>
      <c r="M85" s="4"/>
      <c r="N85" s="4"/>
      <c r="O85" s="4"/>
      <c r="P85" s="12" t="str">
        <f t="array" ref="P85">IF(O85:O4126="","",_xlfn.XLOOKUP(O85:O4126,'参照_官位'!A:A,'参照_官位'!B:B,""))</f>
      </c>
      <c r="Q85" s="12" t="str">
        <f t="array" ref="Q85">IF(A85:A4126="","",IFERROR(_xlfn.XLOOKUP(A85:A4126,castles_state!K:K,castles_state!D:D)&amp;"主",IFERROR(_xlfn.XLOOKUP(A85:A4126,kunishuClan!D:D,kunishuClan!B:B)&amp;"当主","")))</f>
      </c>
    </row>
    <row r="86" ht="15.75" customHeight="1">
      <c r="A86" s="4">
        <v>1001085</v>
      </c>
      <c r="B86" s="12" t="str">
        <f t="array" ref="B86">IF(A86:A4127="","",_xlfn.XLOOKUP(A86:A4127,'参照_武将'!A:A,'参照_武将'!B:B,"見つかりません"))</f>
      </c>
      <c r="C86" s="4" t="s">
        <v>104</v>
      </c>
      <c r="D86" s="4">
        <v>2</v>
      </c>
      <c r="E86" s="12" t="str">
        <f t="array" ref="E86">IF(D86:D4127="","",IFERROR(_xlfn.XLOOKUP(D86:D4127,'参照_勢力'!A:A,'参照_勢力'!B:B),IFERROR(_xlfn.XLOOKUP(F86:F4127,kunishuClan!A:A,kunishuClan!B:B),"浪人")))</f>
      </c>
      <c r="F86" s="4">
        <v>0</v>
      </c>
      <c r="G86" s="4">
        <v>20</v>
      </c>
      <c r="H86" s="12" t="str">
        <f t="array" ref="H86">IF(G86:G4127="","",_xlfn.XLOOKUP(G86:G4127,castles_state!A:A,castles_state!D:D,"見つかりません"))</f>
      </c>
      <c r="I86" s="4"/>
      <c r="J86" s="12" t="str">
        <f t="array" ref="J86">IF(I86:I4127="","",_xlfn.XLOOKUP(I86:I4127,'参照_姫'!A:A,'参照_姫'!B:B,"見つかりません"))</f>
      </c>
      <c r="K86" s="4">
        <v>75</v>
      </c>
      <c r="L86" s="4">
        <v>0</v>
      </c>
      <c r="M86" s="4"/>
      <c r="N86" s="4"/>
      <c r="O86" s="4"/>
      <c r="P86" s="12" t="str">
        <f t="array" ref="P86">IF(O86:O4127="","",_xlfn.XLOOKUP(O86:O4127,'参照_官位'!A:A,'参照_官位'!B:B,""))</f>
      </c>
      <c r="Q86" s="12" t="str">
        <f t="array" ref="Q86">IF(A86:A4127="","",IFERROR(_xlfn.XLOOKUP(A86:A4127,castles_state!K:K,castles_state!D:D)&amp;"主",IFERROR(_xlfn.XLOOKUP(A86:A4127,kunishuClan!D:D,kunishuClan!B:B)&amp;"当主","")))</f>
      </c>
    </row>
    <row r="87" ht="15.75" customHeight="1">
      <c r="A87" s="4">
        <v>1001086</v>
      </c>
      <c r="B87" s="12" t="str">
        <f t="array" ref="B87">IF(A87:A4128="","",_xlfn.XLOOKUP(A87:A4128,'参照_武将'!A:A,'参照_武将'!B:B,"見つかりません"))</f>
      </c>
      <c r="C87" s="4" t="s">
        <v>402</v>
      </c>
      <c r="D87" s="4">
        <v>87</v>
      </c>
      <c r="E87" s="12" t="str">
        <f t="array" ref="E87">IF(D87:D4128="","",IFERROR(_xlfn.XLOOKUP(D87:D4128,'参照_勢力'!A:A,'参照_勢力'!B:B),IFERROR(_xlfn.XLOOKUP(F87:F4128,kunishuClan!A:A,kunishuClan!B:B),"浪人")))</f>
      </c>
      <c r="F87" s="4">
        <v>0</v>
      </c>
      <c r="G87" s="4">
        <v>223</v>
      </c>
      <c r="H87" s="12" t="str">
        <f t="array" ref="H87">IF(G87:G4128="","",_xlfn.XLOOKUP(G87:G4128,castles_state!A:A,castles_state!D:D,"見つかりません"))</f>
      </c>
      <c r="I87" s="4"/>
      <c r="J87" s="12" t="str">
        <f t="array" ref="J87">IF(I87:I4128="","",_xlfn.XLOOKUP(I87:I4128,'参照_姫'!A:A,'参照_姫'!B:B,"見つかりません"))</f>
      </c>
      <c r="K87" s="4">
        <v>80</v>
      </c>
      <c r="L87" s="4">
        <v>0</v>
      </c>
      <c r="M87" s="4"/>
      <c r="N87" s="4"/>
      <c r="O87" s="4"/>
      <c r="P87" s="12" t="str">
        <f t="array" ref="P87">IF(O87:O4128="","",_xlfn.XLOOKUP(O87:O4128,'参照_官位'!A:A,'参照_官位'!B:B,""))</f>
      </c>
      <c r="Q87" s="12" t="str">
        <f t="array" ref="Q87">IF(A87:A4128="","",IFERROR(_xlfn.XLOOKUP(A87:A4128,castles_state!K:K,castles_state!D:D)&amp;"主",IFERROR(_xlfn.XLOOKUP(A87:A4128,kunishuClan!D:D,kunishuClan!B:B)&amp;"当主","")))</f>
      </c>
    </row>
    <row r="88" ht="15.75" customHeight="1">
      <c r="A88" s="4">
        <v>1001087</v>
      </c>
      <c r="B88" s="12" t="str">
        <f t="array" ref="B88">IF(A88:A4129="","",_xlfn.XLOOKUP(A88:A4129,'参照_武将'!A:A,'参照_武将'!B:B,"見つかりません"))</f>
      </c>
      <c r="C88" s="4" t="s">
        <v>104</v>
      </c>
      <c r="D88" s="4">
        <v>2</v>
      </c>
      <c r="E88" s="12" t="str">
        <f t="array" ref="E88">IF(D88:D4129="","",IFERROR(_xlfn.XLOOKUP(D88:D4129,'参照_勢力'!A:A,'参照_勢力'!B:B),IFERROR(_xlfn.XLOOKUP(F88:F4129,kunishuClan!A:A,kunishuClan!B:B),"浪人")))</f>
      </c>
      <c r="F88" s="4">
        <v>0</v>
      </c>
      <c r="G88" s="4">
        <v>94</v>
      </c>
      <c r="H88" s="12" t="str">
        <f t="array" ref="H88">IF(G88:G4129="","",_xlfn.XLOOKUP(G88:G4129,castles_state!A:A,castles_state!D:D,"見つかりません"))</f>
      </c>
      <c r="I88" s="4"/>
      <c r="J88" s="12" t="str">
        <f t="array" ref="J88">IF(I88:I4129="","",_xlfn.XLOOKUP(I88:I4129,'参照_姫'!A:A,'参照_姫'!B:B,"見つかりません"))</f>
      </c>
      <c r="K88" s="4">
        <v>95</v>
      </c>
      <c r="L88" s="4">
        <v>200</v>
      </c>
      <c r="M88" s="4"/>
      <c r="N88" s="4"/>
      <c r="O88" s="4"/>
      <c r="P88" s="12" t="str">
        <f t="array" ref="P88">IF(O88:O4129="","",_xlfn.XLOOKUP(O88:O4129,'参照_官位'!A:A,'参照_官位'!B:B,""))</f>
      </c>
      <c r="Q88" s="12" t="str">
        <f t="array" ref="Q88">IF(A88:A4129="","",IFERROR(_xlfn.XLOOKUP(A88:A4129,castles_state!K:K,castles_state!D:D)&amp;"主",IFERROR(_xlfn.XLOOKUP(A88:A4129,kunishuClan!D:D,kunishuClan!B:B)&amp;"当主","")))</f>
      </c>
    </row>
    <row r="89" ht="15.75" customHeight="1">
      <c r="A89" s="4">
        <v>1001088</v>
      </c>
      <c r="B89" s="12" t="str">
        <f t="array" ref="B89">IF(A89:A4130="","",_xlfn.XLOOKUP(A89:A4130,'参照_武将'!A:A,'参照_武将'!B:B,"見つかりません"))</f>
      </c>
      <c r="C89" s="4" t="s">
        <v>104</v>
      </c>
      <c r="D89" s="4">
        <v>2</v>
      </c>
      <c r="E89" s="12" t="str">
        <f t="array" ref="E89">IF(D89:D4130="","",IFERROR(_xlfn.XLOOKUP(D89:D4130,'参照_勢力'!A:A,'参照_勢力'!B:B),IFERROR(_xlfn.XLOOKUP(F89:F4130,kunishuClan!A:A,kunishuClan!B:B),"浪人")))</f>
      </c>
      <c r="F89" s="4">
        <v>0</v>
      </c>
      <c r="G89" s="4">
        <v>94</v>
      </c>
      <c r="H89" s="12" t="str">
        <f t="array" ref="H89">IF(G89:G4130="","",_xlfn.XLOOKUP(G89:G4130,castles_state!A:A,castles_state!D:D,"見つかりません"))</f>
      </c>
      <c r="I89" s="4"/>
      <c r="J89" s="12" t="str">
        <f t="array" ref="J89">IF(I89:I4130="","",_xlfn.XLOOKUP(I89:I4130,'参照_姫'!A:A,'参照_姫'!B:B,"見つかりません"))</f>
      </c>
      <c r="K89" s="4">
        <v>95</v>
      </c>
      <c r="L89" s="4">
        <v>0</v>
      </c>
      <c r="M89" s="4"/>
      <c r="N89" s="4"/>
      <c r="O89" s="4"/>
      <c r="P89" s="12" t="str">
        <f t="array" ref="P89">IF(O89:O4130="","",_xlfn.XLOOKUP(O89:O4130,'参照_官位'!A:A,'参照_官位'!B:B,""))</f>
      </c>
      <c r="Q89" s="12" t="str">
        <f t="array" ref="Q89">IF(A89:A4130="","",IFERROR(_xlfn.XLOOKUP(A89:A4130,castles_state!K:K,castles_state!D:D)&amp;"主",IFERROR(_xlfn.XLOOKUP(A89:A4130,kunishuClan!D:D,kunishuClan!B:B)&amp;"当主","")))</f>
      </c>
    </row>
    <row r="90" ht="15.75" customHeight="1">
      <c r="A90" s="4">
        <v>1001089</v>
      </c>
      <c r="B90" s="12" t="str">
        <f t="array" ref="B90">IF(A90:A4131="","",_xlfn.XLOOKUP(A90:A4131,'参照_武将'!A:A,'参照_武将'!B:B,"見つかりません"))</f>
      </c>
      <c r="C90" s="4" t="s">
        <v>104</v>
      </c>
      <c r="D90" s="4">
        <v>2</v>
      </c>
      <c r="E90" s="12" t="str">
        <f t="array" ref="E90">IF(D90:D4131="","",IFERROR(_xlfn.XLOOKUP(D90:D4131,'参照_勢力'!A:A,'参照_勢力'!B:B),IFERROR(_xlfn.XLOOKUP(F90:F4131,kunishuClan!A:A,kunishuClan!B:B),"浪人")))</f>
      </c>
      <c r="F90" s="4">
        <v>0</v>
      </c>
      <c r="G90" s="4">
        <v>2</v>
      </c>
      <c r="H90" s="12" t="str">
        <f t="array" ref="H90">IF(G90:G4131="","",_xlfn.XLOOKUP(G90:G4131,castles_state!A:A,castles_state!D:D,"見つかりません"))</f>
      </c>
      <c r="I90" s="4"/>
      <c r="J90" s="12" t="str">
        <f t="array" ref="J90">IF(I90:I4131="","",_xlfn.XLOOKUP(I90:I4131,'参照_姫'!A:A,'参照_姫'!B:B,"見つかりません"))</f>
      </c>
      <c r="K90" s="4">
        <v>95</v>
      </c>
      <c r="L90" s="4">
        <v>0</v>
      </c>
      <c r="M90" s="4"/>
      <c r="N90" s="4"/>
      <c r="O90" s="4"/>
      <c r="P90" s="12" t="str">
        <f t="array" ref="P90">IF(O90:O4131="","",_xlfn.XLOOKUP(O90:O4131,'参照_官位'!A:A,'参照_官位'!B:B,""))</f>
      </c>
      <c r="Q90" s="12" t="str">
        <f t="array" ref="Q90">IF(A90:A4131="","",IFERROR(_xlfn.XLOOKUP(A90:A4131,castles_state!K:K,castles_state!D:D)&amp;"主",IFERROR(_xlfn.XLOOKUP(A90:A4131,kunishuClan!D:D,kunishuClan!B:B)&amp;"当主","")))</f>
      </c>
    </row>
    <row r="91" ht="15.75" customHeight="1">
      <c r="A91" s="4">
        <v>1001090</v>
      </c>
      <c r="B91" s="12" t="str">
        <f t="array" ref="B91">IF(A91:A4132="","",_xlfn.XLOOKUP(A91:A4132,'参照_武将'!A:A,'参照_武将'!B:B,"見つかりません"))</f>
      </c>
      <c r="C91" s="4" t="s">
        <v>104</v>
      </c>
      <c r="D91" s="4">
        <v>2</v>
      </c>
      <c r="E91" s="12" t="str">
        <f t="array" ref="E91">IF(D91:D4132="","",IFERROR(_xlfn.XLOOKUP(D91:D4132,'参照_勢力'!A:A,'参照_勢力'!B:B),IFERROR(_xlfn.XLOOKUP(F91:F4132,kunishuClan!A:A,kunishuClan!B:B),"浪人")))</f>
      </c>
      <c r="F91" s="4">
        <v>0</v>
      </c>
      <c r="G91" s="4">
        <v>95</v>
      </c>
      <c r="H91" s="12" t="str">
        <f t="array" ref="H91">IF(G91:G4132="","",_xlfn.XLOOKUP(G91:G4132,castles_state!A:A,castles_state!D:D,"見つかりません"))</f>
      </c>
      <c r="I91" s="4"/>
      <c r="J91" s="12" t="str">
        <f t="array" ref="J91">IF(I91:I4132="","",_xlfn.XLOOKUP(I91:I4132,'参照_姫'!A:A,'参照_姫'!B:B,"見つかりません"))</f>
      </c>
      <c r="K91" s="4">
        <v>95</v>
      </c>
      <c r="L91" s="4">
        <v>0</v>
      </c>
      <c r="M91" s="4"/>
      <c r="N91" s="4"/>
      <c r="O91" s="4"/>
      <c r="P91" s="12" t="str">
        <f t="array" ref="P91">IF(O91:O4132="","",_xlfn.XLOOKUP(O91:O4132,'参照_官位'!A:A,'参照_官位'!B:B,""))</f>
      </c>
      <c r="Q91" s="12" t="str">
        <f t="array" ref="Q91">IF(A91:A4132="","",IFERROR(_xlfn.XLOOKUP(A91:A4132,castles_state!K:K,castles_state!D:D)&amp;"主",IFERROR(_xlfn.XLOOKUP(A91:A4132,kunishuClan!D:D,kunishuClan!B:B)&amp;"当主","")))</f>
      </c>
    </row>
    <row r="92" ht="15.75" customHeight="1">
      <c r="A92" s="4">
        <v>1001091</v>
      </c>
      <c r="B92" s="12" t="str">
        <f t="array" ref="B92">IF(A92:A4133="","",_xlfn.XLOOKUP(A92:A4133,'参照_武将'!A:A,'参照_武将'!B:B,"見つかりません"))</f>
      </c>
      <c r="C92" s="4" t="s">
        <v>104</v>
      </c>
      <c r="D92" s="4">
        <v>2</v>
      </c>
      <c r="E92" s="12" t="str">
        <f t="array" ref="E92">IF(D92:D4133="","",IFERROR(_xlfn.XLOOKUP(D92:D4133,'参照_勢力'!A:A,'参照_勢力'!B:B),IFERROR(_xlfn.XLOOKUP(F92:F4133,kunishuClan!A:A,kunishuClan!B:B),"浪人")))</f>
      </c>
      <c r="F92" s="4">
        <v>0</v>
      </c>
      <c r="G92" s="4">
        <v>95</v>
      </c>
      <c r="H92" s="12" t="str">
        <f t="array" ref="H92">IF(G92:G4133="","",_xlfn.XLOOKUP(G92:G4133,castles_state!A:A,castles_state!D:D,"見つかりません"))</f>
      </c>
      <c r="I92" s="4"/>
      <c r="J92" s="12" t="str">
        <f t="array" ref="J92">IF(I92:I4133="","",_xlfn.XLOOKUP(I92:I4133,'参照_姫'!A:A,'参照_姫'!B:B,"見つかりません"))</f>
      </c>
      <c r="K92" s="4">
        <v>95</v>
      </c>
      <c r="L92" s="4">
        <v>0</v>
      </c>
      <c r="M92" s="4"/>
      <c r="N92" s="4"/>
      <c r="O92" s="4"/>
      <c r="P92" s="12" t="str">
        <f t="array" ref="P92">IF(O92:O4133="","",_xlfn.XLOOKUP(O92:O4133,'参照_官位'!A:A,'参照_官位'!B:B,""))</f>
      </c>
      <c r="Q92" s="12" t="str">
        <f t="array" ref="Q92">IF(A92:A4133="","",IFERROR(_xlfn.XLOOKUP(A92:A4133,castles_state!K:K,castles_state!D:D)&amp;"主",IFERROR(_xlfn.XLOOKUP(A92:A4133,kunishuClan!D:D,kunishuClan!B:B)&amp;"当主","")))</f>
      </c>
    </row>
    <row r="93" ht="15.75" customHeight="1">
      <c r="A93" s="4">
        <v>1001092</v>
      </c>
      <c r="B93" s="12" t="str">
        <f t="array" ref="B93">IF(A93:A4134="","",_xlfn.XLOOKUP(A93:A4134,'参照_武将'!A:A,'参照_武将'!B:B,"見つかりません"))</f>
      </c>
      <c r="C93" s="4" t="s">
        <v>104</v>
      </c>
      <c r="D93" s="4">
        <v>2</v>
      </c>
      <c r="E93" s="12" t="str">
        <f t="array" ref="E93">IF(D93:D4134="","",IFERROR(_xlfn.XLOOKUP(D93:D4134,'参照_勢力'!A:A,'参照_勢力'!B:B),IFERROR(_xlfn.XLOOKUP(F93:F4134,kunishuClan!A:A,kunishuClan!B:B),"浪人")))</f>
      </c>
      <c r="F93" s="4">
        <v>0</v>
      </c>
      <c r="G93" s="4">
        <v>15</v>
      </c>
      <c r="H93" s="12" t="str">
        <f t="array" ref="H93">IF(G93:G4134="","",_xlfn.XLOOKUP(G93:G4134,castles_state!A:A,castles_state!D:D,"見つかりません"))</f>
      </c>
      <c r="I93" s="4"/>
      <c r="J93" s="12" t="str">
        <f t="array" ref="J93">IF(I93:I4134="","",_xlfn.XLOOKUP(I93:I4134,'参照_姫'!A:A,'参照_姫'!B:B,"見つかりません"))</f>
      </c>
      <c r="K93" s="4">
        <v>95</v>
      </c>
      <c r="L93" s="4">
        <v>0</v>
      </c>
      <c r="M93" s="4"/>
      <c r="N93" s="4"/>
      <c r="O93" s="4"/>
      <c r="P93" s="12" t="str">
        <f t="array" ref="P93">IF(O93:O4134="","",_xlfn.XLOOKUP(O93:O4134,'参照_官位'!A:A,'参照_官位'!B:B,""))</f>
      </c>
      <c r="Q93" s="12" t="str">
        <f t="array" ref="Q93">IF(A93:A4134="","",IFERROR(_xlfn.XLOOKUP(A93:A4134,castles_state!K:K,castles_state!D:D)&amp;"主",IFERROR(_xlfn.XLOOKUP(A93:A4134,kunishuClan!D:D,kunishuClan!B:B)&amp;"当主","")))</f>
      </c>
    </row>
    <row r="94" ht="15.75" customHeight="1">
      <c r="A94" s="4">
        <v>1001093</v>
      </c>
      <c r="B94" s="12" t="str">
        <f t="array" ref="B94">IF(A94:A4135="","",_xlfn.XLOOKUP(A94:A4135,'参照_武将'!A:A,'参照_武将'!B:B,"見つかりません"))</f>
      </c>
      <c r="C94" s="4" t="s">
        <v>104</v>
      </c>
      <c r="D94" s="4">
        <v>2</v>
      </c>
      <c r="E94" s="12" t="str">
        <f t="array" ref="E94">IF(D94:D4135="","",IFERROR(_xlfn.XLOOKUP(D94:D4135,'参照_勢力'!A:A,'参照_勢力'!B:B),IFERROR(_xlfn.XLOOKUP(F94:F4135,kunishuClan!A:A,kunishuClan!B:B),"浪人")))</f>
      </c>
      <c r="F94" s="4">
        <v>0</v>
      </c>
      <c r="G94" s="4">
        <v>2</v>
      </c>
      <c r="H94" s="12" t="str">
        <f t="array" ref="H94">IF(G94:G4135="","",_xlfn.XLOOKUP(G94:G4135,castles_state!A:A,castles_state!D:D,"見つかりません"))</f>
      </c>
      <c r="I94" s="4"/>
      <c r="J94" s="12" t="str">
        <f t="array" ref="J94">IF(I94:I4135="","",_xlfn.XLOOKUP(I94:I4135,'参照_姫'!A:A,'参照_姫'!B:B,"見つかりません"))</f>
      </c>
      <c r="K94" s="4">
        <v>95</v>
      </c>
      <c r="L94" s="4">
        <v>0</v>
      </c>
      <c r="M94" s="4"/>
      <c r="N94" s="4"/>
      <c r="O94" s="4"/>
      <c r="P94" s="12" t="str">
        <f t="array" ref="P94">IF(O94:O4135="","",_xlfn.XLOOKUP(O94:O4135,'参照_官位'!A:A,'参照_官位'!B:B,""))</f>
      </c>
      <c r="Q94" s="12" t="str">
        <f t="array" ref="Q94">IF(A94:A4135="","",IFERROR(_xlfn.XLOOKUP(A94:A4135,castles_state!K:K,castles_state!D:D)&amp;"主",IFERROR(_xlfn.XLOOKUP(A94:A4135,kunishuClan!D:D,kunishuClan!B:B)&amp;"当主","")))</f>
      </c>
    </row>
    <row r="95" ht="15.75" customHeight="1">
      <c r="A95" s="4">
        <v>1001094</v>
      </c>
      <c r="B95" s="12" t="str">
        <f t="array" ref="B95">IF(A95:A4136="","",_xlfn.XLOOKUP(A95:A4136,'参照_武将'!A:A,'参照_武将'!B:B,"見つかりません"))</f>
      </c>
      <c r="C95" s="4" t="s">
        <v>104</v>
      </c>
      <c r="D95" s="4">
        <v>2</v>
      </c>
      <c r="E95" s="12" t="str">
        <f t="array" ref="E95">IF(D95:D4136="","",IFERROR(_xlfn.XLOOKUP(D95:D4136,'参照_勢力'!A:A,'参照_勢力'!B:B),IFERROR(_xlfn.XLOOKUP(F95:F4136,kunishuClan!A:A,kunishuClan!B:B),"浪人")))</f>
      </c>
      <c r="F95" s="4">
        <v>0</v>
      </c>
      <c r="G95" s="4">
        <v>2</v>
      </c>
      <c r="H95" s="12" t="str">
        <f t="array" ref="H95">IF(G95:G4136="","",_xlfn.XLOOKUP(G95:G4136,castles_state!A:A,castles_state!D:D,"見つかりません"))</f>
      </c>
      <c r="I95" s="4"/>
      <c r="J95" s="12" t="str">
        <f t="array" ref="J95">IF(I95:I4136="","",_xlfn.XLOOKUP(I95:I4136,'参照_姫'!A:A,'参照_姫'!B:B,"見つかりません"))</f>
      </c>
      <c r="K95" s="4">
        <v>95</v>
      </c>
      <c r="L95" s="4">
        <v>0</v>
      </c>
      <c r="M95" s="4"/>
      <c r="N95" s="4"/>
      <c r="O95" s="4"/>
      <c r="P95" s="12" t="str">
        <f t="array" ref="P95">IF(O95:O4136="","",_xlfn.XLOOKUP(O95:O4136,'参照_官位'!A:A,'参照_官位'!B:B,""))</f>
      </c>
      <c r="Q95" s="12" t="str">
        <f t="array" ref="Q95">IF(A95:A4136="","",IFERROR(_xlfn.XLOOKUP(A95:A4136,castles_state!K:K,castles_state!D:D)&amp;"主",IFERROR(_xlfn.XLOOKUP(A95:A4136,kunishuClan!D:D,kunishuClan!B:B)&amp;"当主","")))</f>
      </c>
    </row>
    <row r="96" ht="15.75" customHeight="1">
      <c r="A96" s="4">
        <v>1001095</v>
      </c>
      <c r="B96" s="12" t="str">
        <f t="array" ref="B96">IF(A96:A4137="","",_xlfn.XLOOKUP(A96:A4137,'参照_武将'!A:A,'参照_武将'!B:B,"見つかりません"))</f>
      </c>
      <c r="C96" s="4" t="s">
        <v>104</v>
      </c>
      <c r="D96" s="4">
        <v>2</v>
      </c>
      <c r="E96" s="12" t="str">
        <f t="array" ref="E96">IF(D96:D4137="","",IFERROR(_xlfn.XLOOKUP(D96:D4137,'参照_勢力'!A:A,'参照_勢力'!B:B),IFERROR(_xlfn.XLOOKUP(F96:F4137,kunishuClan!A:A,kunishuClan!B:B),"浪人")))</f>
      </c>
      <c r="F96" s="4">
        <v>0</v>
      </c>
      <c r="G96" s="4">
        <v>2</v>
      </c>
      <c r="H96" s="12" t="str">
        <f t="array" ref="H96">IF(G96:G4137="","",_xlfn.XLOOKUP(G96:G4137,castles_state!A:A,castles_state!D:D,"見つかりません"))</f>
      </c>
      <c r="I96" s="4"/>
      <c r="J96" s="12" t="str">
        <f t="array" ref="J96">IF(I96:I4137="","",_xlfn.XLOOKUP(I96:I4137,'参照_姫'!A:A,'参照_姫'!B:B,"見つかりません"))</f>
      </c>
      <c r="K96" s="4">
        <v>95</v>
      </c>
      <c r="L96" s="4">
        <v>0</v>
      </c>
      <c r="M96" s="4"/>
      <c r="N96" s="4"/>
      <c r="O96" s="4"/>
      <c r="P96" s="12" t="str">
        <f t="array" ref="P96">IF(O96:O4137="","",_xlfn.XLOOKUP(O96:O4137,'参照_官位'!A:A,'参照_官位'!B:B,""))</f>
      </c>
      <c r="Q96" s="12" t="str">
        <f t="array" ref="Q96">IF(A96:A4137="","",IFERROR(_xlfn.XLOOKUP(A96:A4137,castles_state!K:K,castles_state!D:D)&amp;"主",IFERROR(_xlfn.XLOOKUP(A96:A4137,kunishuClan!D:D,kunishuClan!B:B)&amp;"当主","")))</f>
      </c>
    </row>
    <row r="97" ht="15.75" customHeight="1">
      <c r="A97" s="4">
        <v>1001096</v>
      </c>
      <c r="B97" s="12" t="str">
        <f t="array" ref="B97">IF(A97:A4138="","",_xlfn.XLOOKUP(A97:A4138,'参照_武将'!A:A,'参照_武将'!B:B,"見つかりません"))</f>
      </c>
      <c r="C97" s="4" t="s">
        <v>104</v>
      </c>
      <c r="D97" s="4">
        <v>2</v>
      </c>
      <c r="E97" s="12" t="str">
        <f t="array" ref="E97">IF(D97:D4138="","",IFERROR(_xlfn.XLOOKUP(D97:D4138,'参照_勢力'!A:A,'参照_勢力'!B:B),IFERROR(_xlfn.XLOOKUP(F97:F4138,kunishuClan!A:A,kunishuClan!B:B),"浪人")))</f>
      </c>
      <c r="F97" s="4">
        <v>0</v>
      </c>
      <c r="G97" s="4">
        <v>2</v>
      </c>
      <c r="H97" s="12" t="str">
        <f t="array" ref="H97">IF(G97:G4138="","",_xlfn.XLOOKUP(G97:G4138,castles_state!A:A,castles_state!D:D,"見つかりません"))</f>
      </c>
      <c r="I97" s="4"/>
      <c r="J97" s="12" t="str">
        <f t="array" ref="J97">IF(I97:I4138="","",_xlfn.XLOOKUP(I97:I4138,'参照_姫'!A:A,'参照_姫'!B:B,"見つかりません"))</f>
      </c>
      <c r="K97" s="4">
        <v>95</v>
      </c>
      <c r="L97" s="4">
        <v>0</v>
      </c>
      <c r="M97" s="4"/>
      <c r="N97" s="4"/>
      <c r="O97" s="4"/>
      <c r="P97" s="12" t="str">
        <f t="array" ref="P97">IF(O97:O4138="","",_xlfn.XLOOKUP(O97:O4138,'参照_官位'!A:A,'参照_官位'!B:B,""))</f>
      </c>
      <c r="Q97" s="12" t="str">
        <f t="array" ref="Q97">IF(A97:A4138="","",IFERROR(_xlfn.XLOOKUP(A97:A4138,castles_state!K:K,castles_state!D:D)&amp;"主",IFERROR(_xlfn.XLOOKUP(A97:A4138,kunishuClan!D:D,kunishuClan!B:B)&amp;"当主","")))</f>
      </c>
    </row>
    <row r="98" ht="15.75" customHeight="1">
      <c r="A98" s="4">
        <v>1002001</v>
      </c>
      <c r="B98" s="12" t="str">
        <f t="array" ref="B98">IF(A98:A4139="","",_xlfn.XLOOKUP(A98:A4139,'参照_武将'!A:A,'参照_武将'!B:B,"見つかりません"))</f>
      </c>
      <c r="C98" s="4" t="s">
        <v>108</v>
      </c>
      <c r="D98" s="4">
        <v>17</v>
      </c>
      <c r="E98" s="12" t="str">
        <f t="array" ref="E98">IF(D98:D4139="","",IFERROR(_xlfn.XLOOKUP(D98:D4139,'参照_勢力'!A:A,'参照_勢力'!B:B),IFERROR(_xlfn.XLOOKUP(F98:F4139,kunishuClan!A:A,kunishuClan!B:B),"浪人")))</f>
      </c>
      <c r="F98" s="4">
        <v>0</v>
      </c>
      <c r="G98" s="4">
        <v>26</v>
      </c>
      <c r="H98" s="12" t="str">
        <f t="array" ref="H98">IF(G98:G4139="","",_xlfn.XLOOKUP(G98:G4139,castles_state!A:A,castles_state!D:D,"見つかりません"))</f>
      </c>
      <c r="I98" s="4"/>
      <c r="J98" s="12" t="str">
        <f t="array" ref="J98">IF(I98:I4139="","",_xlfn.XLOOKUP(I98:I4139,'参照_姫'!A:A,'参照_姫'!B:B,"見つかりません"))</f>
      </c>
      <c r="K98" s="4">
        <v>90</v>
      </c>
      <c r="L98" s="4">
        <v>200</v>
      </c>
      <c r="M98" s="4"/>
      <c r="N98" s="4" t="b">
        <v>1</v>
      </c>
      <c r="O98" s="4"/>
      <c r="P98" s="12" t="str">
        <f t="array" ref="P98">IF(O98:O4139="","",_xlfn.XLOOKUP(O98:O4139,'参照_官位'!A:A,'参照_官位'!B:B,""))</f>
      </c>
      <c r="Q98" s="12" t="str">
        <f t="array" ref="Q98">IF(A98:A4139="","",IFERROR(_xlfn.XLOOKUP(A98:A4139,castles_state!K:K,castles_state!D:D)&amp;"主",IFERROR(_xlfn.XLOOKUP(A98:A4139,kunishuClan!D:D,kunishuClan!B:B)&amp;"当主","")))</f>
      </c>
    </row>
    <row r="99" ht="15.75" customHeight="1">
      <c r="A99" s="4">
        <v>1002002</v>
      </c>
      <c r="B99" s="12" t="str">
        <f t="array" ref="B99">IF(A99:A4140="","",_xlfn.XLOOKUP(A99:A4140,'参照_武将'!A:A,'参照_武将'!B:B,"見つかりません"))</f>
      </c>
      <c r="C99" s="4" t="s">
        <v>108</v>
      </c>
      <c r="D99" s="4">
        <v>3</v>
      </c>
      <c r="E99" s="12" t="str">
        <f t="array" ref="E99">IF(D99:D4140="","",IFERROR(_xlfn.XLOOKUP(D99:D4140,'参照_勢力'!A:A,'参照_勢力'!B:B),IFERROR(_xlfn.XLOOKUP(F99:F4140,kunishuClan!A:A,kunishuClan!B:B),"浪人")))</f>
      </c>
      <c r="F99" s="4">
        <v>0</v>
      </c>
      <c r="G99" s="4">
        <v>9</v>
      </c>
      <c r="H99" s="12" t="str">
        <f t="array" ref="H99">IF(G99:G4140="","",_xlfn.XLOOKUP(G99:G4140,castles_state!A:A,castles_state!D:D,"見つかりません"))</f>
      </c>
      <c r="I99" s="4" t="inlineStr">
        <is>
          <t>6|20</t>
        </is>
      </c>
      <c r="J99" s="12" t="str">
        <f t="array" ref="J99">IF(I99:I4140="","",_xlfn.XLOOKUP(I99:I4140,'参照_姫'!A:A,'参照_姫'!B:B,"見つかりません"))</f>
      </c>
      <c r="K99" s="4">
        <v>100</v>
      </c>
      <c r="L99" s="4">
        <v>1500</v>
      </c>
      <c r="M99" s="4"/>
      <c r="N99" s="4"/>
      <c r="O99" s="4">
        <v>67</v>
      </c>
      <c r="P99" s="12" t="str">
        <f t="array" ref="P99">IF(O99:O4140="","",_xlfn.XLOOKUP(O99:O4140,'参照_官位'!A:A,'参照_官位'!B:B,""))</f>
      </c>
      <c r="Q99" s="12" t="str">
        <f t="array" ref="Q99">IF(A99:A4140="","",IFERROR(_xlfn.XLOOKUP(A99:A4140,castles_state!K:K,castles_state!D:D)&amp;"主",IFERROR(_xlfn.XLOOKUP(A99:A4140,kunishuClan!D:D,kunishuClan!B:B)&amp;"当主","")))</f>
      </c>
    </row>
    <row r="100" ht="15.75" customHeight="1">
      <c r="A100" s="4">
        <v>1002003</v>
      </c>
      <c r="B100" s="12" t="str">
        <f t="array" ref="B100">IF(A100:A4141="","",_xlfn.XLOOKUP(A100:A4141,'参照_武将'!A:A,'参照_武将'!B:B,"見つかりません"))</f>
      </c>
      <c r="C100" s="4" t="s">
        <v>108</v>
      </c>
      <c r="D100" s="4">
        <v>3</v>
      </c>
      <c r="E100" s="12" t="str">
        <f t="array" ref="E100">IF(D100:D4141="","",IFERROR(_xlfn.XLOOKUP(D100:D4141,'参照_勢力'!A:A,'参照_勢力'!B:B),IFERROR(_xlfn.XLOOKUP(F100:F4141,kunishuClan!A:A,kunishuClan!B:B),"浪人")))</f>
      </c>
      <c r="F100" s="4">
        <v>0</v>
      </c>
      <c r="G100" s="4">
        <v>9</v>
      </c>
      <c r="H100" s="12" t="str">
        <f t="array" ref="H100">IF(G100:G4141="","",_xlfn.XLOOKUP(G100:G4141,castles_state!A:A,castles_state!D:D,"見つかりません"))</f>
      </c>
      <c r="I100" s="4">
        <v>10</v>
      </c>
      <c r="J100" s="12" t="str">
        <f t="array" ref="J100">IF(I100:I4141="","",_xlfn.XLOOKUP(I100:I4141,'参照_姫'!A:A,'参照_姫'!B:B,"見つかりません"))</f>
      </c>
      <c r="K100" s="4">
        <v>90</v>
      </c>
      <c r="L100" s="4">
        <v>500</v>
      </c>
      <c r="M100" s="4"/>
      <c r="N100" s="4"/>
      <c r="O100" s="4"/>
      <c r="P100" s="12" t="str">
        <f t="array" ref="P100">IF(O100:O4141="","",_xlfn.XLOOKUP(O100:O4141,'参照_官位'!A:A,'参照_官位'!B:B,""))</f>
      </c>
      <c r="Q100" s="12" t="str">
        <f t="array" ref="Q100">IF(A100:A4141="","",IFERROR(_xlfn.XLOOKUP(A100:A4141,castles_state!K:K,castles_state!D:D)&amp;"主",IFERROR(_xlfn.XLOOKUP(A100:A4141,kunishuClan!D:D,kunishuClan!B:B)&amp;"当主","")))</f>
      </c>
    </row>
    <row r="101" ht="15.75" customHeight="1">
      <c r="A101" s="4">
        <v>1002004</v>
      </c>
      <c r="B101" s="12" t="str">
        <f t="array" ref="B101">IF(A101:A4142="","",_xlfn.XLOOKUP(A101:A4142,'参照_武将'!A:A,'参照_武将'!B:B,"見つかりません"))</f>
      </c>
      <c r="C101" s="4" t="s">
        <v>108</v>
      </c>
      <c r="D101" s="4">
        <v>3</v>
      </c>
      <c r="E101" s="12" t="str">
        <f t="array" ref="E101">IF(D101:D4142="","",IFERROR(_xlfn.XLOOKUP(D101:D4142,'参照_勢力'!A:A,'参照_勢力'!B:B),IFERROR(_xlfn.XLOOKUP(F101:F4142,kunishuClan!A:A,kunishuClan!B:B),"浪人")))</f>
      </c>
      <c r="F101" s="4">
        <v>0</v>
      </c>
      <c r="G101" s="4">
        <v>9</v>
      </c>
      <c r="H101" s="12" t="str">
        <f t="array" ref="H101">IF(G101:G4142="","",_xlfn.XLOOKUP(G101:G4142,castles_state!A:A,castles_state!D:D,"見つかりません"))</f>
      </c>
      <c r="I101" s="4"/>
      <c r="J101" s="12" t="str">
        <f t="array" ref="J101">IF(I101:I4142="","",_xlfn.XLOOKUP(I101:I4142,'参照_姫'!A:A,'参照_姫'!B:B,"見つかりません"))</f>
      </c>
      <c r="K101" s="4">
        <v>90</v>
      </c>
      <c r="L101" s="4">
        <v>0</v>
      </c>
      <c r="M101" s="4"/>
      <c r="N101" s="4"/>
      <c r="O101" s="4"/>
      <c r="P101" s="12" t="str">
        <f t="array" ref="P101">IF(O101:O4142="","",_xlfn.XLOOKUP(O101:O4142,'参照_官位'!A:A,'参照_官位'!B:B,""))</f>
      </c>
      <c r="Q101" s="12" t="str">
        <f t="array" ref="Q101">IF(A101:A4142="","",IFERROR(_xlfn.XLOOKUP(A101:A4142,castles_state!K:K,castles_state!D:D)&amp;"主",IFERROR(_xlfn.XLOOKUP(A101:A4142,kunishuClan!D:D,kunishuClan!B:B)&amp;"当主","")))</f>
      </c>
    </row>
    <row r="102" ht="15.75" customHeight="1">
      <c r="A102" s="4">
        <v>1002005</v>
      </c>
      <c r="B102" s="12" t="str">
        <f t="array" ref="B102">IF(A102:A4143="","",_xlfn.XLOOKUP(A102:A4143,'参照_武将'!A:A,'参照_武将'!B:B,"見つかりません"))</f>
      </c>
      <c r="C102" s="4" t="s">
        <v>108</v>
      </c>
      <c r="D102" s="4">
        <v>3</v>
      </c>
      <c r="E102" s="12" t="str">
        <f t="array" ref="E102">IF(D102:D4143="","",IFERROR(_xlfn.XLOOKUP(D102:D4143,'参照_勢力'!A:A,'参照_勢力'!B:B),IFERROR(_xlfn.XLOOKUP(F102:F4143,kunishuClan!A:A,kunishuClan!B:B),"浪人")))</f>
      </c>
      <c r="F102" s="4">
        <v>0</v>
      </c>
      <c r="G102" s="4">
        <v>9</v>
      </c>
      <c r="H102" s="12" t="str">
        <f t="array" ref="H102">IF(G102:G4143="","",_xlfn.XLOOKUP(G102:G4143,castles_state!A:A,castles_state!D:D,"見つかりません"))</f>
      </c>
      <c r="I102" s="4"/>
      <c r="J102" s="12" t="str">
        <f t="array" ref="J102">IF(I102:I4143="","",_xlfn.XLOOKUP(I102:I4143,'参照_姫'!A:A,'参照_姫'!B:B,"見つかりません"))</f>
      </c>
      <c r="K102" s="4">
        <v>95</v>
      </c>
      <c r="L102" s="4">
        <v>0</v>
      </c>
      <c r="M102" s="4"/>
      <c r="N102" s="4"/>
      <c r="O102" s="4"/>
      <c r="P102" s="12" t="str">
        <f t="array" ref="P102">IF(O102:O4143="","",_xlfn.XLOOKUP(O102:O4143,'参照_官位'!A:A,'参照_官位'!B:B,""))</f>
      </c>
      <c r="Q102" s="12" t="str">
        <f t="array" ref="Q102">IF(A102:A4143="","",IFERROR(_xlfn.XLOOKUP(A102:A4143,castles_state!K:K,castles_state!D:D)&amp;"主",IFERROR(_xlfn.XLOOKUP(A102:A4143,kunishuClan!D:D,kunishuClan!B:B)&amp;"当主","")))</f>
      </c>
    </row>
    <row r="103" ht="15.75" customHeight="1">
      <c r="A103" s="4">
        <v>1002006</v>
      </c>
      <c r="B103" s="12" t="str">
        <f t="array" ref="B103">IF(A103:A4144="","",_xlfn.XLOOKUP(A103:A4144,'参照_武将'!A:A,'参照_武将'!B:B,"見つかりません"))</f>
      </c>
      <c r="C103" s="4" t="s">
        <v>108</v>
      </c>
      <c r="D103" s="4">
        <v>3</v>
      </c>
      <c r="E103" s="12" t="str">
        <f t="array" ref="E103">IF(D103:D4144="","",IFERROR(_xlfn.XLOOKUP(D103:D4144,'参照_勢力'!A:A,'参照_勢力'!B:B),IFERROR(_xlfn.XLOOKUP(F103:F4144,kunishuClan!A:A,kunishuClan!B:B),"浪人")))</f>
      </c>
      <c r="F103" s="4">
        <v>0</v>
      </c>
      <c r="G103" s="4">
        <v>9</v>
      </c>
      <c r="H103" s="12" t="str">
        <f t="array" ref="H103">IF(G103:G4144="","",_xlfn.XLOOKUP(G103:G4144,castles_state!A:A,castles_state!D:D,"見つかりません"))</f>
      </c>
      <c r="I103" s="4"/>
      <c r="J103" s="12" t="str">
        <f t="array" ref="J103">IF(I103:I4144="","",_xlfn.XLOOKUP(I103:I4144,'参照_姫'!A:A,'参照_姫'!B:B,"見つかりません"))</f>
      </c>
      <c r="K103" s="4">
        <v>95</v>
      </c>
      <c r="L103" s="4">
        <v>0</v>
      </c>
      <c r="M103" s="4"/>
      <c r="N103" s="4"/>
      <c r="O103" s="4"/>
      <c r="P103" s="12" t="str">
        <f t="array" ref="P103">IF(O103:O4144="","",_xlfn.XLOOKUP(O103:O4144,'参照_官位'!A:A,'参照_官位'!B:B,""))</f>
      </c>
      <c r="Q103" s="12" t="str">
        <f t="array" ref="Q103">IF(A103:A4144="","",IFERROR(_xlfn.XLOOKUP(A103:A4144,castles_state!K:K,castles_state!D:D)&amp;"主",IFERROR(_xlfn.XLOOKUP(A103:A4144,kunishuClan!D:D,kunishuClan!B:B)&amp;"当主","")))</f>
      </c>
    </row>
    <row r="104" ht="15.75" customHeight="1">
      <c r="A104" s="4">
        <v>1002007</v>
      </c>
      <c r="B104" s="12" t="str">
        <f t="array" ref="B104">IF(A104:A4145="","",_xlfn.XLOOKUP(A104:A4145,'参照_武将'!A:A,'参照_武将'!B:B,"見つかりません"))</f>
      </c>
      <c r="C104" s="4" t="s">
        <v>108</v>
      </c>
      <c r="D104" s="4">
        <v>3</v>
      </c>
      <c r="E104" s="12" t="str">
        <f t="array" ref="E104">IF(D104:D4145="","",IFERROR(_xlfn.XLOOKUP(D104:D4145,'参照_勢力'!A:A,'参照_勢力'!B:B),IFERROR(_xlfn.XLOOKUP(F104:F4145,kunishuClan!A:A,kunishuClan!B:B),"浪人")))</f>
      </c>
      <c r="F104" s="4">
        <v>0</v>
      </c>
      <c r="G104" s="4">
        <v>9</v>
      </c>
      <c r="H104" s="12" t="str">
        <f t="array" ref="H104">IF(G104:G4145="","",_xlfn.XLOOKUP(G104:G4145,castles_state!A:A,castles_state!D:D,"見つかりません"))</f>
      </c>
      <c r="I104" s="4"/>
      <c r="J104" s="12" t="str">
        <f t="array" ref="J104">IF(I104:I4145="","",_xlfn.XLOOKUP(I104:I4145,'参照_姫'!A:A,'参照_姫'!B:B,"見つかりません"))</f>
      </c>
      <c r="K104" s="4">
        <v>95</v>
      </c>
      <c r="L104" s="4">
        <v>500</v>
      </c>
      <c r="M104" s="4"/>
      <c r="N104" s="4"/>
      <c r="O104" s="4"/>
      <c r="P104" s="12" t="str">
        <f t="array" ref="P104">IF(O104:O4145="","",_xlfn.XLOOKUP(O104:O4145,'参照_官位'!A:A,'参照_官位'!B:B,""))</f>
      </c>
      <c r="Q104" s="12" t="str">
        <f t="array" ref="Q104">IF(A104:A4145="","",IFERROR(_xlfn.XLOOKUP(A104:A4145,castles_state!K:K,castles_state!D:D)&amp;"主",IFERROR(_xlfn.XLOOKUP(A104:A4145,kunishuClan!D:D,kunishuClan!B:B)&amp;"当主","")))</f>
      </c>
    </row>
    <row r="105" ht="15.75" customHeight="1">
      <c r="A105" s="4">
        <v>1002008</v>
      </c>
      <c r="B105" s="12" t="str">
        <f t="array" ref="B105">IF(A105:A4146="","",_xlfn.XLOOKUP(A105:A4146,'参照_武将'!A:A,'参照_武将'!B:B,"見つかりません"))</f>
      </c>
      <c r="C105" s="4" t="s">
        <v>108</v>
      </c>
      <c r="D105" s="4">
        <v>3</v>
      </c>
      <c r="E105" s="12" t="str">
        <f t="array" ref="E105">IF(D105:D4146="","",IFERROR(_xlfn.XLOOKUP(D105:D4146,'参照_勢力'!A:A,'参照_勢力'!B:B),IFERROR(_xlfn.XLOOKUP(F105:F4146,kunishuClan!A:A,kunishuClan!B:B),"浪人")))</f>
      </c>
      <c r="F105" s="4">
        <v>0</v>
      </c>
      <c r="G105" s="4">
        <v>9</v>
      </c>
      <c r="H105" s="12" t="str">
        <f t="array" ref="H105">IF(G105:G4146="","",_xlfn.XLOOKUP(G105:G4146,castles_state!A:A,castles_state!D:D,"見つかりません"))</f>
      </c>
      <c r="I105" s="4"/>
      <c r="J105" s="12" t="str">
        <f t="array" ref="J105">IF(I105:I4146="","",_xlfn.XLOOKUP(I105:I4146,'参照_姫'!A:A,'参照_姫'!B:B,"見つかりません"))</f>
      </c>
      <c r="K105" s="4">
        <v>95</v>
      </c>
      <c r="L105" s="4">
        <v>500</v>
      </c>
      <c r="M105" s="4"/>
      <c r="N105" s="4"/>
      <c r="O105" s="4"/>
      <c r="P105" s="12" t="str">
        <f t="array" ref="P105">IF(O105:O4146="","",_xlfn.XLOOKUP(O105:O4146,'参照_官位'!A:A,'参照_官位'!B:B,""))</f>
      </c>
      <c r="Q105" s="12" t="str">
        <f t="array" ref="Q105">IF(A105:A4146="","",IFERROR(_xlfn.XLOOKUP(A105:A4146,castles_state!K:K,castles_state!D:D)&amp;"主",IFERROR(_xlfn.XLOOKUP(A105:A4146,kunishuClan!D:D,kunishuClan!B:B)&amp;"当主","")))</f>
      </c>
    </row>
    <row r="106" ht="15.75" customHeight="1">
      <c r="A106" s="4">
        <v>1002009</v>
      </c>
      <c r="B106" s="12" t="str">
        <f t="array" ref="B106">IF(A106:A4147="","",_xlfn.XLOOKUP(A106:A4147,'参照_武将'!A:A,'参照_武将'!B:B,"見つかりません"))</f>
      </c>
      <c r="C106" s="4" t="s">
        <v>108</v>
      </c>
      <c r="D106" s="4">
        <v>3</v>
      </c>
      <c r="E106" s="12" t="str">
        <f t="array" ref="E106">IF(D106:D4147="","",IFERROR(_xlfn.XLOOKUP(D106:D4147,'参照_勢力'!A:A,'参照_勢力'!B:B),IFERROR(_xlfn.XLOOKUP(F106:F4147,kunishuClan!A:A,kunishuClan!B:B),"浪人")))</f>
      </c>
      <c r="F106" s="4">
        <v>0</v>
      </c>
      <c r="G106" s="4">
        <v>9</v>
      </c>
      <c r="H106" s="12" t="str">
        <f t="array" ref="H106">IF(G106:G4147="","",_xlfn.XLOOKUP(G106:G4147,castles_state!A:A,castles_state!D:D,"見つかりません"))</f>
      </c>
      <c r="I106" s="4"/>
      <c r="J106" s="12" t="str">
        <f t="array" ref="J106">IF(I106:I4147="","",_xlfn.XLOOKUP(I106:I4147,'参照_姫'!A:A,'参照_姫'!B:B,"見つかりません"))</f>
      </c>
      <c r="K106" s="4">
        <v>95</v>
      </c>
      <c r="L106" s="4">
        <v>0</v>
      </c>
      <c r="M106" s="4"/>
      <c r="N106" s="4"/>
      <c r="O106" s="4"/>
      <c r="P106" s="12" t="str">
        <f t="array" ref="P106">IF(O106:O4147="","",_xlfn.XLOOKUP(O106:O4147,'参照_官位'!A:A,'参照_官位'!B:B,""))</f>
      </c>
      <c r="Q106" s="12" t="str">
        <f t="array" ref="Q106">IF(A106:A4147="","",IFERROR(_xlfn.XLOOKUP(A106:A4147,castles_state!K:K,castles_state!D:D)&amp;"主",IFERROR(_xlfn.XLOOKUP(A106:A4147,kunishuClan!D:D,kunishuClan!B:B)&amp;"当主","")))</f>
      </c>
    </row>
    <row r="107" ht="15.75" customHeight="1">
      <c r="A107" s="4">
        <v>1002010</v>
      </c>
      <c r="B107" s="12" t="str">
        <f t="array" ref="B107">IF(A107:A4148="","",_xlfn.XLOOKUP(A107:A4148,'参照_武将'!A:A,'参照_武将'!B:B,"見つかりません"))</f>
      </c>
      <c r="C107" s="4" t="s">
        <v>108</v>
      </c>
      <c r="D107" s="4">
        <v>3</v>
      </c>
      <c r="E107" s="12" t="str">
        <f t="array" ref="E107">IF(D107:D4148="","",IFERROR(_xlfn.XLOOKUP(D107:D4148,'参照_勢力'!A:A,'参照_勢力'!B:B),IFERROR(_xlfn.XLOOKUP(F107:F4148,kunishuClan!A:A,kunishuClan!B:B),"浪人")))</f>
      </c>
      <c r="F107" s="4">
        <v>0</v>
      </c>
      <c r="G107" s="4">
        <v>9</v>
      </c>
      <c r="H107" s="12" t="str">
        <f t="array" ref="H107">IF(G107:G4148="","",_xlfn.XLOOKUP(G107:G4148,castles_state!A:A,castles_state!D:D,"見つかりません"))</f>
      </c>
      <c r="I107" s="4"/>
      <c r="J107" s="12" t="str">
        <f t="array" ref="J107">IF(I107:I4148="","",_xlfn.XLOOKUP(I107:I4148,'参照_姫'!A:A,'参照_姫'!B:B,"見つかりません"))</f>
      </c>
      <c r="K107" s="4">
        <v>95</v>
      </c>
      <c r="L107" s="4">
        <v>0</v>
      </c>
      <c r="M107" s="4"/>
      <c r="N107" s="4"/>
      <c r="O107" s="4"/>
      <c r="P107" s="12" t="str">
        <f t="array" ref="P107">IF(O107:O4148="","",_xlfn.XLOOKUP(O107:O4148,'参照_官位'!A:A,'参照_官位'!B:B,""))</f>
      </c>
      <c r="Q107" s="12" t="str">
        <f t="array" ref="Q107">IF(A107:A4148="","",IFERROR(_xlfn.XLOOKUP(A107:A4148,castles_state!K:K,castles_state!D:D)&amp;"主",IFERROR(_xlfn.XLOOKUP(A107:A4148,kunishuClan!D:D,kunishuClan!B:B)&amp;"当主","")))</f>
      </c>
    </row>
    <row r="108" ht="15.75" customHeight="1">
      <c r="A108" s="4">
        <v>1002011</v>
      </c>
      <c r="B108" s="12" t="str">
        <f t="array" ref="B108">IF(A108:A4149="","",_xlfn.XLOOKUP(A108:A4149,'参照_武将'!A:A,'参照_武将'!B:B,"見つかりません"))</f>
      </c>
      <c r="C108" s="4" t="s">
        <v>108</v>
      </c>
      <c r="D108" s="4">
        <v>3</v>
      </c>
      <c r="E108" s="12" t="str">
        <f t="array" ref="E108">IF(D108:D4149="","",IFERROR(_xlfn.XLOOKUP(D108:D4149,'参照_勢力'!A:A,'参照_勢力'!B:B),IFERROR(_xlfn.XLOOKUP(F108:F4149,kunishuClan!A:A,kunishuClan!B:B),"浪人")))</f>
      </c>
      <c r="F108" s="4">
        <v>0</v>
      </c>
      <c r="G108" s="4">
        <v>9</v>
      </c>
      <c r="H108" s="12" t="str">
        <f t="array" ref="H108">IF(G108:G4149="","",_xlfn.XLOOKUP(G108:G4149,castles_state!A:A,castles_state!D:D,"見つかりません"))</f>
      </c>
      <c r="I108" s="4"/>
      <c r="J108" s="12" t="str">
        <f t="array" ref="J108">IF(I108:I4149="","",_xlfn.XLOOKUP(I108:I4149,'参照_姫'!A:A,'参照_姫'!B:B,"見つかりません"))</f>
      </c>
      <c r="K108" s="4">
        <v>95</v>
      </c>
      <c r="L108" s="4">
        <v>0</v>
      </c>
      <c r="M108" s="4"/>
      <c r="N108" s="4"/>
      <c r="O108" s="4"/>
      <c r="P108" s="12" t="str">
        <f t="array" ref="P108">IF(O108:O4149="","",_xlfn.XLOOKUP(O108:O4149,'参照_官位'!A:A,'参照_官位'!B:B,""))</f>
      </c>
      <c r="Q108" s="12" t="str">
        <f t="array" ref="Q108">IF(A108:A4149="","",IFERROR(_xlfn.XLOOKUP(A108:A4149,castles_state!K:K,castles_state!D:D)&amp;"主",IFERROR(_xlfn.XLOOKUP(A108:A4149,kunishuClan!D:D,kunishuClan!B:B)&amp;"当主","")))</f>
      </c>
    </row>
    <row r="109" ht="15.75" customHeight="1">
      <c r="A109" s="4">
        <v>1002012</v>
      </c>
      <c r="B109" s="12" t="str">
        <f t="array" ref="B109">IF(A109:A4150="","",_xlfn.XLOOKUP(A109:A4150,'参照_武将'!A:A,'参照_武将'!B:B,"見つかりません"))</f>
      </c>
      <c r="C109" s="4" t="s">
        <v>108</v>
      </c>
      <c r="D109" s="4">
        <v>3</v>
      </c>
      <c r="E109" s="12" t="str">
        <f t="array" ref="E109">IF(D109:D4150="","",IFERROR(_xlfn.XLOOKUP(D109:D4150,'参照_勢力'!A:A,'参照_勢力'!B:B),IFERROR(_xlfn.XLOOKUP(F109:F4150,kunishuClan!A:A,kunishuClan!B:B),"浪人")))</f>
      </c>
      <c r="F109" s="4">
        <v>0</v>
      </c>
      <c r="G109" s="4">
        <v>9</v>
      </c>
      <c r="H109" s="12" t="str">
        <f t="array" ref="H109">IF(G109:G4150="","",_xlfn.XLOOKUP(G109:G4150,castles_state!A:A,castles_state!D:D,"見つかりません"))</f>
      </c>
      <c r="I109" s="4"/>
      <c r="J109" s="12" t="str">
        <f t="array" ref="J109">IF(I109:I4150="","",_xlfn.XLOOKUP(I109:I4150,'参照_姫'!A:A,'参照_姫'!B:B,"見つかりません"))</f>
      </c>
      <c r="K109" s="4">
        <v>95</v>
      </c>
      <c r="L109" s="4">
        <v>0</v>
      </c>
      <c r="M109" s="4"/>
      <c r="N109" s="4"/>
      <c r="O109" s="4"/>
      <c r="P109" s="12" t="str">
        <f t="array" ref="P109">IF(O109:O4150="","",_xlfn.XLOOKUP(O109:O4150,'参照_官位'!A:A,'参照_官位'!B:B,""))</f>
      </c>
      <c r="Q109" s="12" t="str">
        <f t="array" ref="Q109">IF(A109:A4150="","",IFERROR(_xlfn.XLOOKUP(A109:A4150,castles_state!K:K,castles_state!D:D)&amp;"主",IFERROR(_xlfn.XLOOKUP(A109:A4150,kunishuClan!D:D,kunishuClan!B:B)&amp;"当主","")))</f>
      </c>
    </row>
    <row r="110" ht="15.75" customHeight="1">
      <c r="A110" s="4">
        <v>1002013</v>
      </c>
      <c r="B110" s="12" t="str">
        <f t="array" ref="B110">IF(A110:A4151="","",_xlfn.XLOOKUP(A110:A4151,'参照_武将'!A:A,'参照_武将'!B:B,"見つかりません"))</f>
      </c>
      <c r="C110" s="4" t="s">
        <v>108</v>
      </c>
      <c r="D110" s="4">
        <v>3</v>
      </c>
      <c r="E110" s="12" t="str">
        <f t="array" ref="E110">IF(D110:D4151="","",IFERROR(_xlfn.XLOOKUP(D110:D4151,'参照_勢力'!A:A,'参照_勢力'!B:B),IFERROR(_xlfn.XLOOKUP(F110:F4151,kunishuClan!A:A,kunishuClan!B:B),"浪人")))</f>
      </c>
      <c r="F110" s="4">
        <v>0</v>
      </c>
      <c r="G110" s="4">
        <v>229</v>
      </c>
      <c r="H110" s="12" t="str">
        <f t="array" ref="H110">IF(G110:G4151="","",_xlfn.XLOOKUP(G110:G4151,castles_state!A:A,castles_state!D:D,"見つかりません"))</f>
      </c>
      <c r="I110" s="4"/>
      <c r="J110" s="12" t="str">
        <f t="array" ref="J110">IF(I110:I4151="","",_xlfn.XLOOKUP(I110:I4151,'参照_姫'!A:A,'参照_姫'!B:B,"見つかりません"))</f>
      </c>
      <c r="K110" s="4">
        <v>95</v>
      </c>
      <c r="L110" s="4">
        <v>300</v>
      </c>
      <c r="M110" s="4"/>
      <c r="N110" s="4"/>
      <c r="O110" s="4"/>
      <c r="P110" s="12" t="str">
        <f t="array" ref="P110">IF(O110:O4151="","",_xlfn.XLOOKUP(O110:O4151,'参照_官位'!A:A,'参照_官位'!B:B,""))</f>
      </c>
      <c r="Q110" s="12" t="str">
        <f t="array" ref="Q110">IF(A110:A4151="","",IFERROR(_xlfn.XLOOKUP(A110:A4151,castles_state!K:K,castles_state!D:D)&amp;"主",IFERROR(_xlfn.XLOOKUP(A110:A4151,kunishuClan!D:D,kunishuClan!B:B)&amp;"当主","")))</f>
      </c>
    </row>
    <row r="111" ht="15.75" customHeight="1">
      <c r="A111" s="4">
        <v>1002014</v>
      </c>
      <c r="B111" s="12" t="str">
        <f t="array" ref="B111">IF(A111:A4152="","",_xlfn.XLOOKUP(A111:A4152,'参照_武将'!A:A,'参照_武将'!B:B,"見つかりません"))</f>
      </c>
      <c r="C111" s="4" t="s">
        <v>108</v>
      </c>
      <c r="D111" s="4">
        <v>3</v>
      </c>
      <c r="E111" s="12" t="str">
        <f t="array" ref="E111">IF(D111:D4152="","",IFERROR(_xlfn.XLOOKUP(D111:D4152,'参照_勢力'!A:A,'参照_勢力'!B:B),IFERROR(_xlfn.XLOOKUP(F111:F4152,kunishuClan!A:A,kunishuClan!B:B),"浪人")))</f>
      </c>
      <c r="F111" s="4">
        <v>0</v>
      </c>
      <c r="G111" s="4">
        <v>229</v>
      </c>
      <c r="H111" s="12" t="str">
        <f t="array" ref="H111">IF(G111:G4152="","",_xlfn.XLOOKUP(G111:G4152,castles_state!A:A,castles_state!D:D,"見つかりません"))</f>
      </c>
      <c r="I111" s="4"/>
      <c r="J111" s="12" t="str">
        <f t="array" ref="J111">IF(I111:I4152="","",_xlfn.XLOOKUP(I111:I4152,'参照_姫'!A:A,'参照_姫'!B:B,"見つかりません"))</f>
      </c>
      <c r="K111" s="4">
        <v>95</v>
      </c>
      <c r="L111" s="4">
        <v>100</v>
      </c>
      <c r="M111" s="4"/>
      <c r="N111" s="4"/>
      <c r="O111" s="4"/>
      <c r="P111" s="12" t="str">
        <f t="array" ref="P111">IF(O111:O4152="","",_xlfn.XLOOKUP(O111:O4152,'参照_官位'!A:A,'参照_官位'!B:B,""))</f>
      </c>
      <c r="Q111" s="12" t="str">
        <f t="array" ref="Q111">IF(A111:A4152="","",IFERROR(_xlfn.XLOOKUP(A111:A4152,castles_state!K:K,castles_state!D:D)&amp;"主",IFERROR(_xlfn.XLOOKUP(A111:A4152,kunishuClan!D:D,kunishuClan!B:B)&amp;"当主","")))</f>
      </c>
    </row>
    <row r="112" ht="15.75" customHeight="1">
      <c r="A112" s="4">
        <v>1002015</v>
      </c>
      <c r="B112" s="12" t="str">
        <f t="array" ref="B112">IF(A112:A4153="","",_xlfn.XLOOKUP(A112:A4153,'参照_武将'!A:A,'参照_武将'!B:B,"見つかりません"))</f>
      </c>
      <c r="C112" s="4" t="s">
        <v>108</v>
      </c>
      <c r="D112" s="4">
        <v>3</v>
      </c>
      <c r="E112" s="12" t="str">
        <f t="array" ref="E112">IF(D112:D4153="","",IFERROR(_xlfn.XLOOKUP(D112:D4153,'参照_勢力'!A:A,'参照_勢力'!B:B),IFERROR(_xlfn.XLOOKUP(F112:F4153,kunishuClan!A:A,kunishuClan!B:B),"浪人")))</f>
      </c>
      <c r="F112" s="4">
        <v>0</v>
      </c>
      <c r="G112" s="4">
        <v>8</v>
      </c>
      <c r="H112" s="12" t="str">
        <f t="array" ref="H112">IF(G112:G4153="","",_xlfn.XLOOKUP(G112:G4153,castles_state!A:A,castles_state!D:D,"見つかりません"))</f>
      </c>
      <c r="I112" s="4"/>
      <c r="J112" s="12" t="str">
        <f t="array" ref="J112">IF(I112:I4153="","",_xlfn.XLOOKUP(I112:I4153,'参照_姫'!A:A,'参照_姫'!B:B,"見つかりません"))</f>
      </c>
      <c r="K112" s="4">
        <v>100</v>
      </c>
      <c r="L112" s="4">
        <v>0</v>
      </c>
      <c r="M112" s="4"/>
      <c r="N112" s="4"/>
      <c r="O112" s="4"/>
      <c r="P112" s="12" t="str">
        <f t="array" ref="P112">IF(O112:O4153="","",_xlfn.XLOOKUP(O112:O4153,'参照_官位'!A:A,'参照_官位'!B:B,""))</f>
      </c>
      <c r="Q112" s="12" t="str">
        <f t="array" ref="Q112">IF(A112:A4153="","",IFERROR(_xlfn.XLOOKUP(A112:A4153,castles_state!K:K,castles_state!D:D)&amp;"主",IFERROR(_xlfn.XLOOKUP(A112:A4153,kunishuClan!D:D,kunishuClan!B:B)&amp;"当主","")))</f>
      </c>
    </row>
    <row r="113" ht="15.75" customHeight="1">
      <c r="A113" s="4">
        <v>1002016</v>
      </c>
      <c r="B113" s="12" t="str">
        <f t="array" ref="B113">IF(A113:A4154="","",_xlfn.XLOOKUP(A113:A4154,'参照_武将'!A:A,'参照_武将'!B:B,"見つかりません"))</f>
      </c>
      <c r="C113" s="4" t="s">
        <v>108</v>
      </c>
      <c r="D113" s="4">
        <v>3</v>
      </c>
      <c r="E113" s="12" t="str">
        <f t="array" ref="E113">IF(D113:D4154="","",IFERROR(_xlfn.XLOOKUP(D113:D4154,'参照_勢力'!A:A,'参照_勢力'!B:B),IFERROR(_xlfn.XLOOKUP(F113:F4154,kunishuClan!A:A,kunishuClan!B:B),"浪人")))</f>
      </c>
      <c r="F113" s="4">
        <v>0</v>
      </c>
      <c r="G113" s="4">
        <v>55</v>
      </c>
      <c r="H113" s="12" t="str">
        <f t="array" ref="H113">IF(G113:G4154="","",_xlfn.XLOOKUP(G113:G4154,castles_state!A:A,castles_state!D:D,"見つかりません"))</f>
      </c>
      <c r="I113" s="4"/>
      <c r="J113" s="12" t="str">
        <f t="array" ref="J113">IF(I113:I4154="","",_xlfn.XLOOKUP(I113:I4154,'参照_姫'!A:A,'参照_姫'!B:B,"見つかりません"))</f>
      </c>
      <c r="K113" s="4">
        <v>95</v>
      </c>
      <c r="L113" s="4">
        <v>0</v>
      </c>
      <c r="M113" s="4"/>
      <c r="N113" s="4"/>
      <c r="O113" s="4"/>
      <c r="P113" s="12" t="str">
        <f t="array" ref="P113">IF(O113:O4154="","",_xlfn.XLOOKUP(O113:O4154,'参照_官位'!A:A,'参照_官位'!B:B,""))</f>
      </c>
      <c r="Q113" s="12" t="str">
        <f t="array" ref="Q113">IF(A113:A4154="","",IFERROR(_xlfn.XLOOKUP(A113:A4154,castles_state!K:K,castles_state!D:D)&amp;"主",IFERROR(_xlfn.XLOOKUP(A113:A4154,kunishuClan!D:D,kunishuClan!B:B)&amp;"当主","")))</f>
      </c>
    </row>
    <row r="114" ht="15.75" customHeight="1">
      <c r="A114" s="4">
        <v>1002017</v>
      </c>
      <c r="B114" s="12" t="str">
        <f t="array" ref="B114">IF(A114:A4155="","",_xlfn.XLOOKUP(A114:A4155,'参照_武将'!A:A,'参照_武将'!B:B,"見つかりません"))</f>
      </c>
      <c r="C114" s="4" t="s">
        <v>108</v>
      </c>
      <c r="D114" s="4">
        <v>3</v>
      </c>
      <c r="E114" s="12" t="str">
        <f t="array" ref="E114">IF(D114:D4155="","",IFERROR(_xlfn.XLOOKUP(D114:D4155,'参照_勢力'!A:A,'参照_勢力'!B:B),IFERROR(_xlfn.XLOOKUP(F114:F4155,kunishuClan!A:A,kunishuClan!B:B),"浪人")))</f>
      </c>
      <c r="F114" s="4">
        <v>0</v>
      </c>
      <c r="G114" s="4">
        <v>8</v>
      </c>
      <c r="H114" s="12" t="str">
        <f t="array" ref="H114">IF(G114:G4155="","",_xlfn.XLOOKUP(G114:G4155,castles_state!A:A,castles_state!D:D,"見つかりません"))</f>
      </c>
      <c r="I114" s="4"/>
      <c r="J114" s="12" t="str">
        <f t="array" ref="J114">IF(I114:I4155="","",_xlfn.XLOOKUP(I114:I4155,'参照_姫'!A:A,'参照_姫'!B:B,"見つかりません"))</f>
      </c>
      <c r="K114" s="4">
        <v>95</v>
      </c>
      <c r="L114" s="4">
        <v>200</v>
      </c>
      <c r="M114" s="4"/>
      <c r="N114" s="4"/>
      <c r="O114" s="4"/>
      <c r="P114" s="12" t="str">
        <f t="array" ref="P114">IF(O114:O4155="","",_xlfn.XLOOKUP(O114:O4155,'参照_官位'!A:A,'参照_官位'!B:B,""))</f>
      </c>
      <c r="Q114" s="12" t="str">
        <f t="array" ref="Q114">IF(A114:A4155="","",IFERROR(_xlfn.XLOOKUP(A114:A4155,castles_state!K:K,castles_state!D:D)&amp;"主",IFERROR(_xlfn.XLOOKUP(A114:A4155,kunishuClan!D:D,kunishuClan!B:B)&amp;"当主","")))</f>
      </c>
    </row>
    <row r="115" ht="15.75" customHeight="1">
      <c r="A115" s="4">
        <v>1002018</v>
      </c>
      <c r="B115" s="12" t="str">
        <f t="array" ref="B115">IF(A115:A4156="","",_xlfn.XLOOKUP(A115:A4156,'参照_武将'!A:A,'参照_武将'!B:B,"見つかりません"))</f>
      </c>
      <c r="C115" s="4" t="s">
        <v>108</v>
      </c>
      <c r="D115" s="4">
        <v>3</v>
      </c>
      <c r="E115" s="12" t="str">
        <f t="array" ref="E115">IF(D115:D4156="","",IFERROR(_xlfn.XLOOKUP(D115:D4156,'参照_勢力'!A:A,'参照_勢力'!B:B),IFERROR(_xlfn.XLOOKUP(F115:F4156,kunishuClan!A:A,kunishuClan!B:B),"浪人")))</f>
      </c>
      <c r="F115" s="4">
        <v>0</v>
      </c>
      <c r="G115" s="4">
        <v>88</v>
      </c>
      <c r="H115" s="12" t="str">
        <f t="array" ref="H115">IF(G115:G4156="","",_xlfn.XLOOKUP(G115:G4156,castles_state!A:A,castles_state!D:D,"見つかりません"))</f>
      </c>
      <c r="I115" s="4"/>
      <c r="J115" s="12" t="str">
        <f t="array" ref="J115">IF(I115:I4156="","",_xlfn.XLOOKUP(I115:I4156,'参照_姫'!A:A,'参照_姫'!B:B,"見つかりません"))</f>
      </c>
      <c r="K115" s="4">
        <v>90</v>
      </c>
      <c r="L115" s="4">
        <v>0</v>
      </c>
      <c r="M115" s="4"/>
      <c r="N115" s="4"/>
      <c r="O115" s="4"/>
      <c r="P115" s="12" t="str">
        <f t="array" ref="P115">IF(O115:O4156="","",_xlfn.XLOOKUP(O115:O4156,'参照_官位'!A:A,'参照_官位'!B:B,""))</f>
      </c>
      <c r="Q115" s="12" t="str">
        <f t="array" ref="Q115">IF(A115:A4156="","",IFERROR(_xlfn.XLOOKUP(A115:A4156,castles_state!K:K,castles_state!D:D)&amp;"主",IFERROR(_xlfn.XLOOKUP(A115:A4156,kunishuClan!D:D,kunishuClan!B:B)&amp;"当主","")))</f>
      </c>
    </row>
    <row r="116" ht="15.75" customHeight="1">
      <c r="A116" s="4">
        <v>1002019</v>
      </c>
      <c r="B116" s="12" t="str">
        <f t="array" ref="B116">IF(A116:A4157="","",_xlfn.XLOOKUP(A116:A4157,'参照_武将'!A:A,'参照_武将'!B:B,"見つかりません"))</f>
      </c>
      <c r="C116" s="4" t="s">
        <v>108</v>
      </c>
      <c r="D116" s="4">
        <v>3</v>
      </c>
      <c r="E116" s="12" t="str">
        <f t="array" ref="E116">IF(D116:D4157="","",IFERROR(_xlfn.XLOOKUP(D116:D4157,'参照_勢力'!A:A,'参照_勢力'!B:B),IFERROR(_xlfn.XLOOKUP(F116:F4157,kunishuClan!A:A,kunishuClan!B:B),"浪人")))</f>
      </c>
      <c r="F116" s="4">
        <v>0</v>
      </c>
      <c r="G116" s="4">
        <v>88</v>
      </c>
      <c r="H116" s="12" t="str">
        <f t="array" ref="H116">IF(G116:G4157="","",_xlfn.XLOOKUP(G116:G4157,castles_state!A:A,castles_state!D:D,"見つかりません"))</f>
      </c>
      <c r="I116" s="4"/>
      <c r="J116" s="12" t="str">
        <f t="array" ref="J116">IF(I116:I4157="","",_xlfn.XLOOKUP(I116:I4157,'参照_姫'!A:A,'参照_姫'!B:B,"見つかりません"))</f>
      </c>
      <c r="K116" s="4">
        <v>90</v>
      </c>
      <c r="L116" s="4">
        <v>0</v>
      </c>
      <c r="M116" s="4"/>
      <c r="N116" s="4"/>
      <c r="O116" s="4"/>
      <c r="P116" s="12" t="str">
        <f t="array" ref="P116">IF(O116:O4157="","",_xlfn.XLOOKUP(O116:O4157,'参照_官位'!A:A,'参照_官位'!B:B,""))</f>
      </c>
      <c r="Q116" s="12" t="str">
        <f t="array" ref="Q116">IF(A116:A4157="","",IFERROR(_xlfn.XLOOKUP(A116:A4157,castles_state!K:K,castles_state!D:D)&amp;"主",IFERROR(_xlfn.XLOOKUP(A116:A4157,kunishuClan!D:D,kunishuClan!B:B)&amp;"当主","")))</f>
      </c>
    </row>
    <row r="117" ht="15.75" customHeight="1">
      <c r="A117" s="4">
        <v>1002020</v>
      </c>
      <c r="B117" s="12" t="str">
        <f t="array" ref="B117">IF(A117:A4158="","",_xlfn.XLOOKUP(A117:A4158,'参照_武将'!A:A,'参照_武将'!B:B,"見つかりません"))</f>
      </c>
      <c r="C117" s="4" t="s">
        <v>108</v>
      </c>
      <c r="D117" s="4">
        <v>3</v>
      </c>
      <c r="E117" s="12" t="str">
        <f t="array" ref="E117">IF(D117:D4158="","",IFERROR(_xlfn.XLOOKUP(D117:D4158,'参照_勢力'!A:A,'参照_勢力'!B:B),IFERROR(_xlfn.XLOOKUP(F117:F4158,kunishuClan!A:A,kunishuClan!B:B),"浪人")))</f>
      </c>
      <c r="F117" s="4">
        <v>0</v>
      </c>
      <c r="G117" s="4">
        <v>229</v>
      </c>
      <c r="H117" s="12" t="str">
        <f t="array" ref="H117">IF(G117:G4158="","",_xlfn.XLOOKUP(G117:G4158,castles_state!A:A,castles_state!D:D,"見つかりません"))</f>
      </c>
      <c r="I117" s="4"/>
      <c r="J117" s="12" t="str">
        <f t="array" ref="J117">IF(I117:I4158="","",_xlfn.XLOOKUP(I117:I4158,'参照_姫'!A:A,'参照_姫'!B:B,"見つかりません"))</f>
      </c>
      <c r="K117" s="4">
        <v>95</v>
      </c>
      <c r="L117" s="4">
        <v>0</v>
      </c>
      <c r="M117" s="4"/>
      <c r="N117" s="4"/>
      <c r="O117" s="4"/>
      <c r="P117" s="12" t="str">
        <f t="array" ref="P117">IF(O117:O4158="","",_xlfn.XLOOKUP(O117:O4158,'参照_官位'!A:A,'参照_官位'!B:B,""))</f>
      </c>
      <c r="Q117" s="12" t="str">
        <f t="array" ref="Q117">IF(A117:A4158="","",IFERROR(_xlfn.XLOOKUP(A117:A4158,castles_state!K:K,castles_state!D:D)&amp;"主",IFERROR(_xlfn.XLOOKUP(A117:A4158,kunishuClan!D:D,kunishuClan!B:B)&amp;"当主","")))</f>
      </c>
    </row>
    <row r="118" ht="15.75" customHeight="1">
      <c r="A118" s="4">
        <v>1002021</v>
      </c>
      <c r="B118" s="12" t="str">
        <f t="array" ref="B118">IF(A118:A4159="","",_xlfn.XLOOKUP(A118:A4159,'参照_武将'!A:A,'参照_武将'!B:B,"見つかりません"))</f>
      </c>
      <c r="C118" s="4" t="s">
        <v>108</v>
      </c>
      <c r="D118" s="4">
        <v>3</v>
      </c>
      <c r="E118" s="12" t="str">
        <f t="array" ref="E118">IF(D118:D4159="","",IFERROR(_xlfn.XLOOKUP(D118:D4159,'参照_勢力'!A:A,'参照_勢力'!B:B),IFERROR(_xlfn.XLOOKUP(F118:F4159,kunishuClan!A:A,kunishuClan!B:B),"浪人")))</f>
      </c>
      <c r="F118" s="4">
        <v>0</v>
      </c>
      <c r="G118" s="4">
        <v>229</v>
      </c>
      <c r="H118" s="12" t="str">
        <f t="array" ref="H118">IF(G118:G4159="","",_xlfn.XLOOKUP(G118:G4159,castles_state!A:A,castles_state!D:D,"見つかりません"))</f>
      </c>
      <c r="I118" s="4"/>
      <c r="J118" s="12" t="str">
        <f t="array" ref="J118">IF(I118:I4159="","",_xlfn.XLOOKUP(I118:I4159,'参照_姫'!A:A,'参照_姫'!B:B,"見つかりません"))</f>
      </c>
      <c r="K118" s="4">
        <v>95</v>
      </c>
      <c r="L118" s="4">
        <v>0</v>
      </c>
      <c r="M118" s="4"/>
      <c r="N118" s="4"/>
      <c r="O118" s="4"/>
      <c r="P118" s="12" t="str">
        <f t="array" ref="P118">IF(O118:O4159="","",_xlfn.XLOOKUP(O118:O4159,'参照_官位'!A:A,'参照_官位'!B:B,""))</f>
      </c>
      <c r="Q118" s="12" t="str">
        <f t="array" ref="Q118">IF(A118:A4159="","",IFERROR(_xlfn.XLOOKUP(A118:A4159,castles_state!K:K,castles_state!D:D)&amp;"主",IFERROR(_xlfn.XLOOKUP(A118:A4159,kunishuClan!D:D,kunishuClan!B:B)&amp;"当主","")))</f>
      </c>
    </row>
    <row r="119" ht="15.75" customHeight="1">
      <c r="A119" s="4">
        <v>1002022</v>
      </c>
      <c r="B119" s="12" t="str">
        <f t="array" ref="B119">IF(A119:A4160="","",_xlfn.XLOOKUP(A119:A4160,'参照_武将'!A:A,'参照_武将'!B:B,"見つかりません"))</f>
      </c>
      <c r="C119" s="4" t="s">
        <v>108</v>
      </c>
      <c r="D119" s="4">
        <v>3</v>
      </c>
      <c r="E119" s="12" t="str">
        <f t="array" ref="E119">IF(D119:D4160="","",IFERROR(_xlfn.XLOOKUP(D119:D4160,'参照_勢力'!A:A,'参照_勢力'!B:B),IFERROR(_xlfn.XLOOKUP(F119:F4160,kunishuClan!A:A,kunishuClan!B:B),"浪人")))</f>
      </c>
      <c r="F119" s="4">
        <v>0</v>
      </c>
      <c r="G119" s="4">
        <v>245</v>
      </c>
      <c r="H119" s="12" t="str">
        <f t="array" ref="H119">IF(G119:G4160="","",_xlfn.XLOOKUP(G119:G4160,castles_state!A:A,castles_state!D:D,"見つかりません"))</f>
      </c>
      <c r="I119" s="4"/>
      <c r="J119" s="12" t="str">
        <f t="array" ref="J119">IF(I119:I4160="","",_xlfn.XLOOKUP(I119:I4160,'参照_姫'!A:A,'参照_姫'!B:B,"見つかりません"))</f>
      </c>
      <c r="K119" s="4">
        <v>95</v>
      </c>
      <c r="L119" s="4">
        <v>200</v>
      </c>
      <c r="M119" s="4"/>
      <c r="N119" s="4" t="b">
        <v>1</v>
      </c>
      <c r="O119" s="4"/>
      <c r="P119" s="12" t="str">
        <f t="array" ref="P119">IF(O119:O4160="","",_xlfn.XLOOKUP(O119:O4160,'参照_官位'!A:A,'参照_官位'!B:B,""))</f>
      </c>
      <c r="Q119" s="12" t="str">
        <f t="array" ref="Q119">IF(A119:A4160="","",IFERROR(_xlfn.XLOOKUP(A119:A4160,castles_state!K:K,castles_state!D:D)&amp;"主",IFERROR(_xlfn.XLOOKUP(A119:A4160,kunishuClan!D:D,kunishuClan!B:B)&amp;"当主","")))</f>
      </c>
    </row>
    <row r="120" ht="15.75" customHeight="1">
      <c r="A120" s="4">
        <v>1002023</v>
      </c>
      <c r="B120" s="12" t="str">
        <f t="array" ref="B120">IF(A120:A4161="","",_xlfn.XLOOKUP(A120:A4161,'参照_武将'!A:A,'参照_武将'!B:B,"見つかりません"))</f>
      </c>
      <c r="C120" s="4" t="s">
        <v>108</v>
      </c>
      <c r="D120" s="4">
        <v>3</v>
      </c>
      <c r="E120" s="12" t="str">
        <f t="array" ref="E120">IF(D120:D4161="","",IFERROR(_xlfn.XLOOKUP(D120:D4161,'参照_勢力'!A:A,'参照_勢力'!B:B),IFERROR(_xlfn.XLOOKUP(F120:F4161,kunishuClan!A:A,kunishuClan!B:B),"浪人")))</f>
      </c>
      <c r="F120" s="4">
        <v>0</v>
      </c>
      <c r="G120" s="4">
        <v>245</v>
      </c>
      <c r="H120" s="12" t="str">
        <f t="array" ref="H120">IF(G120:G4161="","",_xlfn.XLOOKUP(G120:G4161,castles_state!A:A,castles_state!D:D,"見つかりません"))</f>
      </c>
      <c r="I120" s="4"/>
      <c r="J120" s="12" t="str">
        <f t="array" ref="J120">IF(I120:I4161="","",_xlfn.XLOOKUP(I120:I4161,'参照_姫'!A:A,'参照_姫'!B:B,"見つかりません"))</f>
      </c>
      <c r="K120" s="4">
        <v>90</v>
      </c>
      <c r="L120" s="4">
        <v>500</v>
      </c>
      <c r="M120" s="4"/>
      <c r="N120" s="4"/>
      <c r="O120" s="4"/>
      <c r="P120" s="12" t="str">
        <f t="array" ref="P120">IF(O120:O4161="","",_xlfn.XLOOKUP(O120:O4161,'参照_官位'!A:A,'参照_官位'!B:B,""))</f>
      </c>
      <c r="Q120" s="12" t="str">
        <f t="array" ref="Q120">IF(A120:A4161="","",IFERROR(_xlfn.XLOOKUP(A120:A4161,castles_state!K:K,castles_state!D:D)&amp;"主",IFERROR(_xlfn.XLOOKUP(A120:A4161,kunishuClan!D:D,kunishuClan!B:B)&amp;"当主","")))</f>
      </c>
    </row>
    <row r="121" ht="15.75" customHeight="1">
      <c r="A121" s="4">
        <v>1002024</v>
      </c>
      <c r="B121" s="12" t="str">
        <f t="array" ref="B121">IF(A121:A4162="","",_xlfn.XLOOKUP(A121:A4162,'参照_武将'!A:A,'参照_武将'!B:B,"見つかりません"))</f>
      </c>
      <c r="C121" s="4" t="s">
        <v>108</v>
      </c>
      <c r="D121" s="4">
        <v>3</v>
      </c>
      <c r="E121" s="12" t="str">
        <f t="array" ref="E121">IF(D121:D4162="","",IFERROR(_xlfn.XLOOKUP(D121:D4162,'参照_勢力'!A:A,'参照_勢力'!B:B),IFERROR(_xlfn.XLOOKUP(F121:F4162,kunishuClan!A:A,kunishuClan!B:B),"浪人")))</f>
      </c>
      <c r="F121" s="4">
        <v>0</v>
      </c>
      <c r="G121" s="4">
        <v>245</v>
      </c>
      <c r="H121" s="12" t="str">
        <f t="array" ref="H121">IF(G121:G4162="","",_xlfn.XLOOKUP(G121:G4162,castles_state!A:A,castles_state!D:D,"見つかりません"))</f>
      </c>
      <c r="I121" s="4"/>
      <c r="J121" s="12" t="str">
        <f t="array" ref="J121">IF(I121:I4162="","",_xlfn.XLOOKUP(I121:I4162,'参照_姫'!A:A,'参照_姫'!B:B,"見つかりません"))</f>
      </c>
      <c r="K121" s="4">
        <v>90</v>
      </c>
      <c r="L121" s="4">
        <v>0</v>
      </c>
      <c r="M121" s="4"/>
      <c r="N121" s="4"/>
      <c r="O121" s="4"/>
      <c r="P121" s="12" t="str">
        <f t="array" ref="P121">IF(O121:O4162="","",_xlfn.XLOOKUP(O121:O4162,'参照_官位'!A:A,'参照_官位'!B:B,""))</f>
      </c>
      <c r="Q121" s="12" t="str">
        <f t="array" ref="Q121">IF(A121:A4162="","",IFERROR(_xlfn.XLOOKUP(A121:A4162,castles_state!K:K,castles_state!D:D)&amp;"主",IFERROR(_xlfn.XLOOKUP(A121:A4162,kunishuClan!D:D,kunishuClan!B:B)&amp;"当主","")))</f>
      </c>
    </row>
    <row r="122" ht="15.75" customHeight="1">
      <c r="A122" s="4">
        <v>1002025</v>
      </c>
      <c r="B122" s="12" t="str">
        <f t="array" ref="B122">IF(A122:A4163="","",_xlfn.XLOOKUP(A122:A4163,'参照_武将'!A:A,'参照_武将'!B:B,"見つかりません"))</f>
      </c>
      <c r="C122" s="4" t="s">
        <v>108</v>
      </c>
      <c r="D122" s="4">
        <v>3</v>
      </c>
      <c r="E122" s="12" t="str">
        <f t="array" ref="E122">IF(D122:D4163="","",IFERROR(_xlfn.XLOOKUP(D122:D4163,'参照_勢力'!A:A,'参照_勢力'!B:B),IFERROR(_xlfn.XLOOKUP(F122:F4163,kunishuClan!A:A,kunishuClan!B:B),"浪人")))</f>
      </c>
      <c r="F122" s="4">
        <v>0</v>
      </c>
      <c r="G122" s="4">
        <v>9</v>
      </c>
      <c r="H122" s="12" t="str">
        <f t="array" ref="H122">IF(G122:G4163="","",_xlfn.XLOOKUP(G122:G4163,castles_state!A:A,castles_state!D:D,"見つかりません"))</f>
      </c>
      <c r="I122" s="4"/>
      <c r="J122" s="12" t="str">
        <f t="array" ref="J122">IF(I122:I4163="","",_xlfn.XLOOKUP(I122:I4163,'参照_姫'!A:A,'参照_姫'!B:B,"見つかりません"))</f>
      </c>
      <c r="K122" s="4">
        <v>95</v>
      </c>
      <c r="L122" s="4">
        <v>0</v>
      </c>
      <c r="M122" s="4"/>
      <c r="N122" s="4"/>
      <c r="O122" s="4"/>
      <c r="P122" s="12" t="str">
        <f t="array" ref="P122">IF(O122:O4163="","",_xlfn.XLOOKUP(O122:O4163,'参照_官位'!A:A,'参照_官位'!B:B,""))</f>
      </c>
      <c r="Q122" s="12" t="str">
        <f t="array" ref="Q122">IF(A122:A4163="","",IFERROR(_xlfn.XLOOKUP(A122:A4163,castles_state!K:K,castles_state!D:D)&amp;"主",IFERROR(_xlfn.XLOOKUP(A122:A4163,kunishuClan!D:D,kunishuClan!B:B)&amp;"当主","")))</f>
      </c>
    </row>
    <row r="123" ht="15.75" customHeight="1">
      <c r="A123" s="4">
        <v>1002026</v>
      </c>
      <c r="B123" s="12" t="str">
        <f t="array" ref="B123">IF(A123:A4164="","",_xlfn.XLOOKUP(A123:A4164,'参照_武将'!A:A,'参照_武将'!B:B,"見つかりません"))</f>
      </c>
      <c r="C123" s="4" t="s">
        <v>108</v>
      </c>
      <c r="D123" s="4">
        <v>3</v>
      </c>
      <c r="E123" s="12" t="str">
        <f t="array" ref="E123">IF(D123:D4164="","",IFERROR(_xlfn.XLOOKUP(D123:D4164,'参照_勢力'!A:A,'参照_勢力'!B:B),IFERROR(_xlfn.XLOOKUP(F123:F4164,kunishuClan!A:A,kunishuClan!B:B),"浪人")))</f>
      </c>
      <c r="F123" s="4">
        <v>0</v>
      </c>
      <c r="G123" s="4">
        <v>9</v>
      </c>
      <c r="H123" s="12" t="str">
        <f t="array" ref="H123">IF(G123:G4164="","",_xlfn.XLOOKUP(G123:G4164,castles_state!A:A,castles_state!D:D,"見つかりません"))</f>
      </c>
      <c r="I123" s="4"/>
      <c r="J123" s="12" t="str">
        <f t="array" ref="J123">IF(I123:I4164="","",_xlfn.XLOOKUP(I123:I4164,'参照_姫'!A:A,'参照_姫'!B:B,"見つかりません"))</f>
      </c>
      <c r="K123" s="4">
        <v>95</v>
      </c>
      <c r="L123" s="4">
        <v>0</v>
      </c>
      <c r="M123" s="4"/>
      <c r="N123" s="4"/>
      <c r="O123" s="4"/>
      <c r="P123" s="12" t="str">
        <f t="array" ref="P123">IF(O123:O4164="","",_xlfn.XLOOKUP(O123:O4164,'参照_官位'!A:A,'参照_官位'!B:B,""))</f>
      </c>
      <c r="Q123" s="12" t="str">
        <f t="array" ref="Q123">IF(A123:A4164="","",IFERROR(_xlfn.XLOOKUP(A123:A4164,castles_state!K:K,castles_state!D:D)&amp;"主",IFERROR(_xlfn.XLOOKUP(A123:A4164,kunishuClan!D:D,kunishuClan!B:B)&amp;"当主","")))</f>
      </c>
    </row>
    <row r="124" ht="15.75" customHeight="1">
      <c r="A124" s="4">
        <v>1002027</v>
      </c>
      <c r="B124" s="12" t="str">
        <f t="array" ref="B124">IF(A124:A4165="","",_xlfn.XLOOKUP(A124:A4165,'参照_武将'!A:A,'参照_武将'!B:B,"見つかりません"))</f>
      </c>
      <c r="C124" s="4" t="s">
        <v>108</v>
      </c>
      <c r="D124" s="4">
        <v>3</v>
      </c>
      <c r="E124" s="12" t="str">
        <f t="array" ref="E124">IF(D124:D4165="","",IFERROR(_xlfn.XLOOKUP(D124:D4165,'参照_勢力'!A:A,'参照_勢力'!B:B),IFERROR(_xlfn.XLOOKUP(F124:F4165,kunishuClan!A:A,kunishuClan!B:B),"浪人")))</f>
      </c>
      <c r="F124" s="4">
        <v>0</v>
      </c>
      <c r="G124" s="4">
        <v>9</v>
      </c>
      <c r="H124" s="12" t="str">
        <f t="array" ref="H124">IF(G124:G4165="","",_xlfn.XLOOKUP(G124:G4165,castles_state!A:A,castles_state!D:D,"見つかりません"))</f>
      </c>
      <c r="I124" s="4"/>
      <c r="J124" s="12" t="str">
        <f t="array" ref="J124">IF(I124:I4165="","",_xlfn.XLOOKUP(I124:I4165,'参照_姫'!A:A,'参照_姫'!B:B,"見つかりません"))</f>
      </c>
      <c r="K124" s="4">
        <v>90</v>
      </c>
      <c r="L124" s="4">
        <v>0</v>
      </c>
      <c r="M124" s="4"/>
      <c r="N124" s="4"/>
      <c r="O124" s="4"/>
      <c r="P124" s="12" t="str">
        <f t="array" ref="P124">IF(O124:O4165="","",_xlfn.XLOOKUP(O124:O4165,'参照_官位'!A:A,'参照_官位'!B:B,""))</f>
      </c>
      <c r="Q124" s="12" t="str">
        <f t="array" ref="Q124">IF(A124:A4165="","",IFERROR(_xlfn.XLOOKUP(A124:A4165,castles_state!K:K,castles_state!D:D)&amp;"主",IFERROR(_xlfn.XLOOKUP(A124:A4165,kunishuClan!D:D,kunishuClan!B:B)&amp;"当主","")))</f>
      </c>
    </row>
    <row r="125" ht="15.75" customHeight="1">
      <c r="A125" s="4">
        <v>1002028</v>
      </c>
      <c r="B125" s="12" t="str">
        <f t="array" ref="B125">IF(A125:A4166="","",_xlfn.XLOOKUP(A125:A4166,'参照_武将'!A:A,'参照_武将'!B:B,"見つかりません"))</f>
      </c>
      <c r="C125" s="4" t="s">
        <v>5857</v>
      </c>
      <c r="D125" s="4">
        <v>3</v>
      </c>
      <c r="E125" s="12" t="str">
        <f t="array" ref="E125">IF(D125:D4166="","",IFERROR(_xlfn.XLOOKUP(D125:D4166,'参照_勢力'!A:A,'参照_勢力'!B:B),IFERROR(_xlfn.XLOOKUP(F125:F4166,kunishuClan!A:A,kunishuClan!B:B),"浪人")))</f>
      </c>
      <c r="F125" s="4">
        <v>0</v>
      </c>
      <c r="G125" s="4">
        <v>9</v>
      </c>
      <c r="H125" s="12" t="str">
        <f t="array" ref="H125">IF(G125:G4166="","",_xlfn.XLOOKUP(G125:G4166,castles_state!A:A,castles_state!D:D,"見つかりません"))</f>
      </c>
      <c r="I125" s="4"/>
      <c r="J125" s="12" t="str">
        <f t="array" ref="J125">IF(I125:I4166="","",_xlfn.XLOOKUP(I125:I4166,'参照_姫'!A:A,'参照_姫'!B:B,"見つかりません"))</f>
      </c>
      <c r="K125" s="4">
        <v>90</v>
      </c>
      <c r="L125" s="4">
        <v>0</v>
      </c>
      <c r="M125" s="4"/>
      <c r="N125" s="4"/>
      <c r="O125" s="4"/>
      <c r="P125" s="12" t="str">
        <f t="array" ref="P125">IF(O125:O4166="","",_xlfn.XLOOKUP(O125:O4166,'参照_官位'!A:A,'参照_官位'!B:B,""))</f>
      </c>
      <c r="Q125" s="12" t="str">
        <f t="array" ref="Q125">IF(A125:A4166="","",IFERROR(_xlfn.XLOOKUP(A125:A4166,castles_state!K:K,castles_state!D:D)&amp;"主",IFERROR(_xlfn.XLOOKUP(A125:A4166,kunishuClan!D:D,kunishuClan!B:B)&amp;"当主","")))</f>
      </c>
    </row>
    <row r="126" ht="15.75" customHeight="1">
      <c r="A126" s="4">
        <v>1002029</v>
      </c>
      <c r="B126" s="12" t="str">
        <f t="array" ref="B126">IF(A126:A4167="","",_xlfn.XLOOKUP(A126:A4167,'参照_武将'!A:A,'参照_武将'!B:B,"見つかりません"))</f>
      </c>
      <c r="C126" s="4" t="s">
        <v>108</v>
      </c>
      <c r="D126" s="4">
        <v>3</v>
      </c>
      <c r="E126" s="12" t="str">
        <f t="array" ref="E126">IF(D126:D4167="","",IFERROR(_xlfn.XLOOKUP(D126:D4167,'参照_勢力'!A:A,'参照_勢力'!B:B),IFERROR(_xlfn.XLOOKUP(F126:F4167,kunishuClan!A:A,kunishuClan!B:B),"浪人")))</f>
      </c>
      <c r="F126" s="4">
        <v>0</v>
      </c>
      <c r="G126" s="4">
        <v>9</v>
      </c>
      <c r="H126" s="12" t="str">
        <f t="array" ref="H126">IF(G126:G4167="","",_xlfn.XLOOKUP(G126:G4167,castles_state!A:A,castles_state!D:D,"見つかりません"))</f>
      </c>
      <c r="I126" s="4"/>
      <c r="J126" s="12" t="str">
        <f t="array" ref="J126">IF(I126:I4167="","",_xlfn.XLOOKUP(I126:I4167,'参照_姫'!A:A,'参照_姫'!B:B,"見つかりません"))</f>
      </c>
      <c r="K126" s="4">
        <v>95</v>
      </c>
      <c r="L126" s="4">
        <v>0</v>
      </c>
      <c r="M126" s="4"/>
      <c r="N126" s="4"/>
      <c r="O126" s="4"/>
      <c r="P126" s="12" t="str">
        <f t="array" ref="P126">IF(O126:O4167="","",_xlfn.XLOOKUP(O126:O4167,'参照_官位'!A:A,'参照_官位'!B:B,""))</f>
      </c>
      <c r="Q126" s="12" t="str">
        <f t="array" ref="Q126">IF(A126:A4167="","",IFERROR(_xlfn.XLOOKUP(A126:A4167,castles_state!K:K,castles_state!D:D)&amp;"主",IFERROR(_xlfn.XLOOKUP(A126:A4167,kunishuClan!D:D,kunishuClan!B:B)&amp;"当主","")))</f>
      </c>
    </row>
    <row r="127" ht="15.75" customHeight="1">
      <c r="A127" s="4">
        <v>1002030</v>
      </c>
      <c r="B127" s="12" t="str">
        <f t="array" ref="B127">IF(A127:A4168="","",_xlfn.XLOOKUP(A127:A4168,'参照_武将'!A:A,'参照_武将'!B:B,"見つかりません"))</f>
      </c>
      <c r="C127" s="4" t="s">
        <v>108</v>
      </c>
      <c r="D127" s="4">
        <v>3</v>
      </c>
      <c r="E127" s="12" t="str">
        <f t="array" ref="E127">IF(D127:D4168="","",IFERROR(_xlfn.XLOOKUP(D127:D4168,'参照_勢力'!A:A,'参照_勢力'!B:B),IFERROR(_xlfn.XLOOKUP(F127:F4168,kunishuClan!A:A,kunishuClan!B:B),"浪人")))</f>
      </c>
      <c r="F127" s="4">
        <v>0</v>
      </c>
      <c r="G127" s="4">
        <v>9</v>
      </c>
      <c r="H127" s="12" t="str">
        <f t="array" ref="H127">IF(G127:G4168="","",_xlfn.XLOOKUP(G127:G4168,castles_state!A:A,castles_state!D:D,"見つかりません"))</f>
      </c>
      <c r="I127" s="4"/>
      <c r="J127" s="12" t="str">
        <f t="array" ref="J127">IF(I127:I4168="","",_xlfn.XLOOKUP(I127:I4168,'参照_姫'!A:A,'参照_姫'!B:B,"見つかりません"))</f>
      </c>
      <c r="K127" s="4">
        <v>90</v>
      </c>
      <c r="L127" s="4">
        <v>0</v>
      </c>
      <c r="M127" s="4"/>
      <c r="N127" s="4"/>
      <c r="O127" s="4"/>
      <c r="P127" s="12" t="str">
        <f t="array" ref="P127">IF(O127:O4168="","",_xlfn.XLOOKUP(O127:O4168,'参照_官位'!A:A,'参照_官位'!B:B,""))</f>
      </c>
      <c r="Q127" s="12" t="str">
        <f t="array" ref="Q127">IF(A127:A4168="","",IFERROR(_xlfn.XLOOKUP(A127:A4168,castles_state!K:K,castles_state!D:D)&amp;"主",IFERROR(_xlfn.XLOOKUP(A127:A4168,kunishuClan!D:D,kunishuClan!B:B)&amp;"当主","")))</f>
      </c>
    </row>
    <row r="128" ht="15.75" customHeight="1">
      <c r="A128" s="4">
        <v>1002031</v>
      </c>
      <c r="B128" s="12" t="str">
        <f t="array" ref="B128">IF(A128:A4169="","",_xlfn.XLOOKUP(A128:A4169,'参照_武将'!A:A,'参照_武将'!B:B,"見つかりません"))</f>
      </c>
      <c r="C128" s="4" t="s">
        <v>108</v>
      </c>
      <c r="D128" s="4">
        <v>3</v>
      </c>
      <c r="E128" s="12" t="str">
        <f t="array" ref="E128">IF(D128:D4169="","",IFERROR(_xlfn.XLOOKUP(D128:D4169,'参照_勢力'!A:A,'参照_勢力'!B:B),IFERROR(_xlfn.XLOOKUP(F128:F4169,kunishuClan!A:A,kunishuClan!B:B),"浪人")))</f>
      </c>
      <c r="F128" s="4">
        <v>0</v>
      </c>
      <c r="G128" s="4">
        <v>8</v>
      </c>
      <c r="H128" s="12" t="str">
        <f t="array" ref="H128">IF(G128:G4169="","",_xlfn.XLOOKUP(G128:G4169,castles_state!A:A,castles_state!D:D,"見つかりません"))</f>
      </c>
      <c r="I128" s="4"/>
      <c r="J128" s="12" t="str">
        <f t="array" ref="J128">IF(I128:I4169="","",_xlfn.XLOOKUP(I128:I4169,'参照_姫'!A:A,'参照_姫'!B:B,"見つかりません"))</f>
      </c>
      <c r="K128" s="4">
        <v>95</v>
      </c>
      <c r="L128" s="4">
        <v>0</v>
      </c>
      <c r="M128" s="4"/>
      <c r="N128" s="4"/>
      <c r="O128" s="4"/>
      <c r="P128" s="12" t="str">
        <f t="array" ref="P128">IF(O128:O4169="","",_xlfn.XLOOKUP(O128:O4169,'参照_官位'!A:A,'参照_官位'!B:B,""))</f>
      </c>
      <c r="Q128" s="12" t="str">
        <f t="array" ref="Q128">IF(A128:A4169="","",IFERROR(_xlfn.XLOOKUP(A128:A4169,castles_state!K:K,castles_state!D:D)&amp;"主",IFERROR(_xlfn.XLOOKUP(A128:A4169,kunishuClan!D:D,kunishuClan!B:B)&amp;"当主","")))</f>
      </c>
    </row>
    <row r="129" ht="15.75" customHeight="1">
      <c r="A129" s="4">
        <v>1002032</v>
      </c>
      <c r="B129" s="12" t="str">
        <f t="array" ref="B129">IF(A129:A4170="","",_xlfn.XLOOKUP(A129:A4170,'参照_武将'!A:A,'参照_武将'!B:B,"見つかりません"))</f>
      </c>
      <c r="C129" s="4" t="s">
        <v>108</v>
      </c>
      <c r="D129" s="4">
        <v>3</v>
      </c>
      <c r="E129" s="12" t="str">
        <f t="array" ref="E129">IF(D129:D4170="","",IFERROR(_xlfn.XLOOKUP(D129:D4170,'参照_勢力'!A:A,'参照_勢力'!B:B),IFERROR(_xlfn.XLOOKUP(F129:F4170,kunishuClan!A:A,kunishuClan!B:B),"浪人")))</f>
      </c>
      <c r="F129" s="4">
        <v>0</v>
      </c>
      <c r="G129" s="4">
        <v>8</v>
      </c>
      <c r="H129" s="12" t="str">
        <f t="array" ref="H129">IF(G129:G4170="","",_xlfn.XLOOKUP(G129:G4170,castles_state!A:A,castles_state!D:D,"見つかりません"))</f>
      </c>
      <c r="I129" s="4"/>
      <c r="J129" s="12" t="str">
        <f t="array" ref="J129">IF(I129:I4170="","",_xlfn.XLOOKUP(I129:I4170,'参照_姫'!A:A,'参照_姫'!B:B,"見つかりません"))</f>
      </c>
      <c r="K129" s="4">
        <v>95</v>
      </c>
      <c r="L129" s="4">
        <v>0</v>
      </c>
      <c r="M129" s="4"/>
      <c r="N129" s="4"/>
      <c r="O129" s="4"/>
      <c r="P129" s="12" t="str">
        <f t="array" ref="P129">IF(O129:O4170="","",_xlfn.XLOOKUP(O129:O4170,'参照_官位'!A:A,'参照_官位'!B:B,""))</f>
      </c>
      <c r="Q129" s="12" t="str">
        <f t="array" ref="Q129">IF(A129:A4170="","",IFERROR(_xlfn.XLOOKUP(A129:A4170,castles_state!K:K,castles_state!D:D)&amp;"主",IFERROR(_xlfn.XLOOKUP(A129:A4170,kunishuClan!D:D,kunishuClan!B:B)&amp;"当主","")))</f>
      </c>
    </row>
    <row r="130" ht="15.75" customHeight="1">
      <c r="A130" s="4">
        <v>1002033</v>
      </c>
      <c r="B130" s="12" t="str">
        <f t="array" ref="B130">IF(A130:A4171="","",_xlfn.XLOOKUP(A130:A4171,'参照_武将'!A:A,'参照_武将'!B:B,"見つかりません"))</f>
      </c>
      <c r="C130" s="4" t="s">
        <v>108</v>
      </c>
      <c r="D130" s="4">
        <v>3</v>
      </c>
      <c r="E130" s="12" t="str">
        <f t="array" ref="E130">IF(D130:D4171="","",IFERROR(_xlfn.XLOOKUP(D130:D4171,'参照_勢力'!A:A,'参照_勢力'!B:B),IFERROR(_xlfn.XLOOKUP(F130:F4171,kunishuClan!A:A,kunishuClan!B:B),"浪人")))</f>
      </c>
      <c r="F130" s="4">
        <v>0</v>
      </c>
      <c r="G130" s="4">
        <v>8</v>
      </c>
      <c r="H130" s="12" t="str">
        <f t="array" ref="H130">IF(G130:G4171="","",_xlfn.XLOOKUP(G130:G4171,castles_state!A:A,castles_state!D:D,"見つかりません"))</f>
      </c>
      <c r="I130" s="4"/>
      <c r="J130" s="12" t="str">
        <f t="array" ref="J130">IF(I130:I4171="","",_xlfn.XLOOKUP(I130:I4171,'参照_姫'!A:A,'参照_姫'!B:B,"見つかりません"))</f>
      </c>
      <c r="K130" s="4">
        <v>95</v>
      </c>
      <c r="L130" s="4">
        <v>0</v>
      </c>
      <c r="M130" s="4"/>
      <c r="N130" s="4"/>
      <c r="O130" s="4"/>
      <c r="P130" s="12" t="str">
        <f t="array" ref="P130">IF(O130:O4171="","",_xlfn.XLOOKUP(O130:O4171,'参照_官位'!A:A,'参照_官位'!B:B,""))</f>
      </c>
      <c r="Q130" s="12" t="str">
        <f t="array" ref="Q130">IF(A130:A4171="","",IFERROR(_xlfn.XLOOKUP(A130:A4171,castles_state!K:K,castles_state!D:D)&amp;"主",IFERROR(_xlfn.XLOOKUP(A130:A4171,kunishuClan!D:D,kunishuClan!B:B)&amp;"当主","")))</f>
      </c>
    </row>
    <row r="131" ht="15.75" customHeight="1">
      <c r="A131" s="4">
        <v>1002034</v>
      </c>
      <c r="B131" s="12" t="str">
        <f t="array" ref="B131">IF(A131:A4172="","",_xlfn.XLOOKUP(A131:A4172,'参照_武将'!A:A,'参照_武将'!B:B,"見つかりません"))</f>
      </c>
      <c r="C131" s="4" t="s">
        <v>108</v>
      </c>
      <c r="D131" s="4">
        <v>3</v>
      </c>
      <c r="E131" s="12" t="str">
        <f t="array" ref="E131">IF(D131:D4172="","",IFERROR(_xlfn.XLOOKUP(D131:D4172,'参照_勢力'!A:A,'参照_勢力'!B:B),IFERROR(_xlfn.XLOOKUP(F131:F4172,kunishuClan!A:A,kunishuClan!B:B),"浪人")))</f>
      </c>
      <c r="F131" s="4">
        <v>0</v>
      </c>
      <c r="G131" s="4">
        <v>55</v>
      </c>
      <c r="H131" s="12" t="str">
        <f t="array" ref="H131">IF(G131:G4172="","",_xlfn.XLOOKUP(G131:G4172,castles_state!A:A,castles_state!D:D,"見つかりません"))</f>
      </c>
      <c r="I131" s="4"/>
      <c r="J131" s="12" t="str">
        <f t="array" ref="J131">IF(I131:I4172="","",_xlfn.XLOOKUP(I131:I4172,'参照_姫'!A:A,'参照_姫'!B:B,"見つかりません"))</f>
      </c>
      <c r="K131" s="4">
        <v>95</v>
      </c>
      <c r="L131" s="4">
        <v>0</v>
      </c>
      <c r="M131" s="4"/>
      <c r="N131" s="4"/>
      <c r="O131" s="4"/>
      <c r="P131" s="12" t="str">
        <f t="array" ref="P131">IF(O131:O4172="","",_xlfn.XLOOKUP(O131:O4172,'参照_官位'!A:A,'参照_官位'!B:B,""))</f>
      </c>
      <c r="Q131" s="12" t="str">
        <f t="array" ref="Q131">IF(A131:A4172="","",IFERROR(_xlfn.XLOOKUP(A131:A4172,castles_state!K:K,castles_state!D:D)&amp;"主",IFERROR(_xlfn.XLOOKUP(A131:A4172,kunishuClan!D:D,kunishuClan!B:B)&amp;"当主","")))</f>
      </c>
    </row>
    <row r="132" ht="15.75" customHeight="1">
      <c r="A132" s="4">
        <v>1002035</v>
      </c>
      <c r="B132" s="12" t="str">
        <f t="array" ref="B132">IF(A132:A4173="","",_xlfn.XLOOKUP(A132:A4173,'参照_武将'!A:A,'参照_武将'!B:B,"見つかりません"))</f>
      </c>
      <c r="C132" s="4" t="s">
        <v>108</v>
      </c>
      <c r="D132" s="4">
        <v>3</v>
      </c>
      <c r="E132" s="12" t="str">
        <f t="array" ref="E132">IF(D132:D4173="","",IFERROR(_xlfn.XLOOKUP(D132:D4173,'参照_勢力'!A:A,'参照_勢力'!B:B),IFERROR(_xlfn.XLOOKUP(F132:F4173,kunishuClan!A:A,kunishuClan!B:B),"浪人")))</f>
      </c>
      <c r="F132" s="4">
        <v>0</v>
      </c>
      <c r="G132" s="4">
        <v>55</v>
      </c>
      <c r="H132" s="12" t="str">
        <f t="array" ref="H132">IF(G132:G4173="","",_xlfn.XLOOKUP(G132:G4173,castles_state!A:A,castles_state!D:D,"見つかりません"))</f>
      </c>
      <c r="I132" s="4"/>
      <c r="J132" s="12" t="str">
        <f t="array" ref="J132">IF(I132:I4173="","",_xlfn.XLOOKUP(I132:I4173,'参照_姫'!A:A,'参照_姫'!B:B,"見つかりません"))</f>
      </c>
      <c r="K132" s="4">
        <v>95</v>
      </c>
      <c r="L132" s="4">
        <v>300</v>
      </c>
      <c r="M132" s="4"/>
      <c r="N132" s="4"/>
      <c r="O132" s="4"/>
      <c r="P132" s="12" t="str">
        <f t="array" ref="P132">IF(O132:O4173="","",_xlfn.XLOOKUP(O132:O4173,'参照_官位'!A:A,'参照_官位'!B:B,""))</f>
      </c>
      <c r="Q132" s="12" t="str">
        <f t="array" ref="Q132">IF(A132:A4173="","",IFERROR(_xlfn.XLOOKUP(A132:A4173,castles_state!K:K,castles_state!D:D)&amp;"主",IFERROR(_xlfn.XLOOKUP(A132:A4173,kunishuClan!D:D,kunishuClan!B:B)&amp;"当主","")))</f>
      </c>
    </row>
    <row r="133" ht="15.75" customHeight="1">
      <c r="A133" s="4">
        <v>1002036</v>
      </c>
      <c r="B133" s="12" t="str">
        <f t="array" ref="B133">IF(A133:A4174="","",_xlfn.XLOOKUP(A133:A4174,'参照_武将'!A:A,'参照_武将'!B:B,"見つかりません"))</f>
      </c>
      <c r="C133" s="4" t="s">
        <v>108</v>
      </c>
      <c r="D133" s="4">
        <v>3</v>
      </c>
      <c r="E133" s="12" t="str">
        <f t="array" ref="E133">IF(D133:D4174="","",IFERROR(_xlfn.XLOOKUP(D133:D4174,'参照_勢力'!A:A,'参照_勢力'!B:B),IFERROR(_xlfn.XLOOKUP(F133:F4174,kunishuClan!A:A,kunishuClan!B:B),"浪人")))</f>
      </c>
      <c r="F133" s="4">
        <v>0</v>
      </c>
      <c r="G133" s="4">
        <v>55</v>
      </c>
      <c r="H133" s="12" t="str">
        <f t="array" ref="H133">IF(G133:G4174="","",_xlfn.XLOOKUP(G133:G4174,castles_state!A:A,castles_state!D:D,"見つかりません"))</f>
      </c>
      <c r="I133" s="4"/>
      <c r="J133" s="12" t="str">
        <f t="array" ref="J133">IF(I133:I4174="","",_xlfn.XLOOKUP(I133:I4174,'参照_姫'!A:A,'参照_姫'!B:B,"見つかりません"))</f>
      </c>
      <c r="K133" s="4">
        <v>95</v>
      </c>
      <c r="L133" s="4">
        <v>500</v>
      </c>
      <c r="M133" s="4" t="b">
        <v>1</v>
      </c>
      <c r="N133" s="4"/>
      <c r="O133" s="4"/>
      <c r="P133" s="12" t="str">
        <f t="array" ref="P133">IF(O133:O4174="","",_xlfn.XLOOKUP(O133:O4174,'参照_官位'!A:A,'参照_官位'!B:B,""))</f>
      </c>
      <c r="Q133" s="12" t="str">
        <f t="array" ref="Q133">IF(A133:A4174="","",IFERROR(_xlfn.XLOOKUP(A133:A4174,castles_state!K:K,castles_state!D:D)&amp;"主",IFERROR(_xlfn.XLOOKUP(A133:A4174,kunishuClan!D:D,kunishuClan!B:B)&amp;"当主","")))</f>
      </c>
    </row>
    <row r="134" ht="15.75" customHeight="1">
      <c r="A134" s="4">
        <v>1002037</v>
      </c>
      <c r="B134" s="12" t="str">
        <f t="array" ref="B134">IF(A134:A4175="","",_xlfn.XLOOKUP(A134:A4175,'参照_武将'!A:A,'参照_武将'!B:B,"見つかりません"))</f>
      </c>
      <c r="C134" s="4" t="s">
        <v>108</v>
      </c>
      <c r="D134" s="4">
        <v>3</v>
      </c>
      <c r="E134" s="12" t="str">
        <f t="array" ref="E134">IF(D134:D4175="","",IFERROR(_xlfn.XLOOKUP(D134:D4175,'参照_勢力'!A:A,'参照_勢力'!B:B),IFERROR(_xlfn.XLOOKUP(F134:F4175,kunishuClan!A:A,kunishuClan!B:B),"浪人")))</f>
      </c>
      <c r="F134" s="4">
        <v>0</v>
      </c>
      <c r="G134" s="4">
        <v>55</v>
      </c>
      <c r="H134" s="12" t="str">
        <f t="array" ref="H134">IF(G134:G4175="","",_xlfn.XLOOKUP(G134:G4175,castles_state!A:A,castles_state!D:D,"見つかりません"))</f>
      </c>
      <c r="I134" s="4"/>
      <c r="J134" s="12" t="str">
        <f t="array" ref="J134">IF(I134:I4175="","",_xlfn.XLOOKUP(I134:I4175,'参照_姫'!A:A,'参照_姫'!B:B,"見つかりません"))</f>
      </c>
      <c r="K134" s="4">
        <v>95</v>
      </c>
      <c r="L134" s="4">
        <v>0</v>
      </c>
      <c r="M134" s="4"/>
      <c r="N134" s="4"/>
      <c r="O134" s="4"/>
      <c r="P134" s="12" t="str">
        <f t="array" ref="P134">IF(O134:O4175="","",_xlfn.XLOOKUP(O134:O4175,'参照_官位'!A:A,'参照_官位'!B:B,""))</f>
      </c>
      <c r="Q134" s="12" t="str">
        <f t="array" ref="Q134">IF(A134:A4175="","",IFERROR(_xlfn.XLOOKUP(A134:A4175,castles_state!K:K,castles_state!D:D)&amp;"主",IFERROR(_xlfn.XLOOKUP(A134:A4175,kunishuClan!D:D,kunishuClan!B:B)&amp;"当主","")))</f>
      </c>
    </row>
    <row r="135" ht="15.75" customHeight="1">
      <c r="A135" s="4">
        <v>1002038</v>
      </c>
      <c r="B135" s="12" t="str">
        <f t="array" ref="B135">IF(A135:A4176="","",_xlfn.XLOOKUP(A135:A4176,'参照_武将'!A:A,'参照_武将'!B:B,"見つかりません"))</f>
      </c>
      <c r="C135" s="4" t="s">
        <v>108</v>
      </c>
      <c r="D135" s="4">
        <v>3</v>
      </c>
      <c r="E135" s="12" t="str">
        <f t="array" ref="E135">IF(D135:D4176="","",IFERROR(_xlfn.XLOOKUP(D135:D4176,'参照_勢力'!A:A,'参照_勢力'!B:B),IFERROR(_xlfn.XLOOKUP(F135:F4176,kunishuClan!A:A,kunishuClan!B:B),"浪人")))</f>
      </c>
      <c r="F135" s="4">
        <v>0</v>
      </c>
      <c r="G135" s="4">
        <v>55</v>
      </c>
      <c r="H135" s="12" t="str">
        <f t="array" ref="H135">IF(G135:G4176="","",_xlfn.XLOOKUP(G135:G4176,castles_state!A:A,castles_state!D:D,"見つかりません"))</f>
      </c>
      <c r="I135" s="4"/>
      <c r="J135" s="12" t="str">
        <f t="array" ref="J135">IF(I135:I4176="","",_xlfn.XLOOKUP(I135:I4176,'参照_姫'!A:A,'参照_姫'!B:B,"見つかりません"))</f>
      </c>
      <c r="K135" s="4">
        <v>90</v>
      </c>
      <c r="L135" s="4">
        <v>0</v>
      </c>
      <c r="M135" s="4"/>
      <c r="N135" s="4"/>
      <c r="O135" s="4"/>
      <c r="P135" s="12" t="str">
        <f t="array" ref="P135">IF(O135:O4176="","",_xlfn.XLOOKUP(O135:O4176,'参照_官位'!A:A,'参照_官位'!B:B,""))</f>
      </c>
      <c r="Q135" s="12" t="str">
        <f t="array" ref="Q135">IF(A135:A4176="","",IFERROR(_xlfn.XLOOKUP(A135:A4176,castles_state!K:K,castles_state!D:D)&amp;"主",IFERROR(_xlfn.XLOOKUP(A135:A4176,kunishuClan!D:D,kunishuClan!B:B)&amp;"当主","")))</f>
      </c>
    </row>
    <row r="136" ht="15.75" customHeight="1">
      <c r="A136" s="4">
        <v>1002039</v>
      </c>
      <c r="B136" s="12" t="str">
        <f t="array" ref="B136">IF(A136:A4177="","",_xlfn.XLOOKUP(A136:A4177,'参照_武将'!A:A,'参照_武将'!B:B,"見つかりません"))</f>
      </c>
      <c r="C136" s="4" t="s">
        <v>108</v>
      </c>
      <c r="D136" s="4">
        <v>3</v>
      </c>
      <c r="E136" s="12" t="str">
        <f t="array" ref="E136">IF(D136:D4177="","",IFERROR(_xlfn.XLOOKUP(D136:D4177,'参照_勢力'!A:A,'参照_勢力'!B:B),IFERROR(_xlfn.XLOOKUP(F136:F4177,kunishuClan!A:A,kunishuClan!B:B),"浪人")))</f>
      </c>
      <c r="F136" s="4">
        <v>0</v>
      </c>
      <c r="G136" s="4">
        <v>55</v>
      </c>
      <c r="H136" s="12" t="str">
        <f t="array" ref="H136">IF(G136:G4177="","",_xlfn.XLOOKUP(G136:G4177,castles_state!A:A,castles_state!D:D,"見つかりません"))</f>
      </c>
      <c r="I136" s="4"/>
      <c r="J136" s="12" t="str">
        <f t="array" ref="J136">IF(I136:I4177="","",_xlfn.XLOOKUP(I136:I4177,'参照_姫'!A:A,'参照_姫'!B:B,"見つかりません"))</f>
      </c>
      <c r="K136" s="4">
        <v>90</v>
      </c>
      <c r="L136" s="4">
        <v>500</v>
      </c>
      <c r="M136" s="4"/>
      <c r="N136" s="4"/>
      <c r="O136" s="4"/>
      <c r="P136" s="12" t="str">
        <f t="array" ref="P136">IF(O136:O4177="","",_xlfn.XLOOKUP(O136:O4177,'参照_官位'!A:A,'参照_官位'!B:B,""))</f>
      </c>
      <c r="Q136" s="12" t="str">
        <f t="array" ref="Q136">IF(A136:A4177="","",IFERROR(_xlfn.XLOOKUP(A136:A4177,castles_state!K:K,castles_state!D:D)&amp;"主",IFERROR(_xlfn.XLOOKUP(A136:A4177,kunishuClan!D:D,kunishuClan!B:B)&amp;"当主","")))</f>
      </c>
    </row>
    <row r="137" ht="15.75" customHeight="1">
      <c r="A137" s="4">
        <v>1002040</v>
      </c>
      <c r="B137" s="12" t="str">
        <f t="array" ref="B137">IF(A137:A4178="","",_xlfn.XLOOKUP(A137:A4178,'参照_武将'!A:A,'参照_武将'!B:B,"見つかりません"))</f>
      </c>
      <c r="C137" s="4" t="s">
        <v>108</v>
      </c>
      <c r="D137" s="4">
        <v>3</v>
      </c>
      <c r="E137" s="12" t="str">
        <f t="array" ref="E137">IF(D137:D4178="","",IFERROR(_xlfn.XLOOKUP(D137:D4178,'参照_勢力'!A:A,'参照_勢力'!B:B),IFERROR(_xlfn.XLOOKUP(F137:F4178,kunishuClan!A:A,kunishuClan!B:B),"浪人")))</f>
      </c>
      <c r="F137" s="4">
        <v>0</v>
      </c>
      <c r="G137" s="4">
        <v>55</v>
      </c>
      <c r="H137" s="12" t="str">
        <f t="array" ref="H137">IF(G137:G4178="","",_xlfn.XLOOKUP(G137:G4178,castles_state!A:A,castles_state!D:D,"見つかりません"))</f>
      </c>
      <c r="I137" s="4"/>
      <c r="J137" s="12" t="str">
        <f t="array" ref="J137">IF(I137:I4178="","",_xlfn.XLOOKUP(I137:I4178,'参照_姫'!A:A,'参照_姫'!B:B,"見つかりません"))</f>
      </c>
      <c r="K137" s="4">
        <v>90</v>
      </c>
      <c r="L137" s="4">
        <v>0</v>
      </c>
      <c r="M137" s="4"/>
      <c r="N137" s="4"/>
      <c r="O137" s="4"/>
      <c r="P137" s="12" t="str">
        <f t="array" ref="P137">IF(O137:O4178="","",_xlfn.XLOOKUP(O137:O4178,'参照_官位'!A:A,'参照_官位'!B:B,""))</f>
      </c>
      <c r="Q137" s="12" t="str">
        <f t="array" ref="Q137">IF(A137:A4178="","",IFERROR(_xlfn.XLOOKUP(A137:A4178,castles_state!K:K,castles_state!D:D)&amp;"主",IFERROR(_xlfn.XLOOKUP(A137:A4178,kunishuClan!D:D,kunishuClan!B:B)&amp;"当主","")))</f>
      </c>
    </row>
    <row r="138" ht="15.75" customHeight="1">
      <c r="A138" s="4">
        <v>1002041</v>
      </c>
      <c r="B138" s="12" t="str">
        <f t="array" ref="B138">IF(A138:A4179="","",_xlfn.XLOOKUP(A138:A4179,'参照_武将'!A:A,'参照_武将'!B:B,"見つかりません"))</f>
      </c>
      <c r="C138" s="4" t="s">
        <v>108</v>
      </c>
      <c r="D138" s="4">
        <v>3</v>
      </c>
      <c r="E138" s="12" t="str">
        <f t="array" ref="E138">IF(D138:D4179="","",IFERROR(_xlfn.XLOOKUP(D138:D4179,'参照_勢力'!A:A,'参照_勢力'!B:B),IFERROR(_xlfn.XLOOKUP(F138:F4179,kunishuClan!A:A,kunishuClan!B:B),"浪人")))</f>
      </c>
      <c r="F138" s="4">
        <v>0</v>
      </c>
      <c r="G138" s="4">
        <v>5</v>
      </c>
      <c r="H138" s="12" t="str">
        <f t="array" ref="H138">IF(G138:G4179="","",_xlfn.XLOOKUP(G138:G4179,castles_state!A:A,castles_state!D:D,"見つかりません"))</f>
      </c>
      <c r="I138" s="4"/>
      <c r="J138" s="12" t="str">
        <f t="array" ref="J138">IF(I138:I4179="","",_xlfn.XLOOKUP(I138:I4179,'参照_姫'!A:A,'参照_姫'!B:B,"見つかりません"))</f>
      </c>
      <c r="K138" s="4">
        <v>95</v>
      </c>
      <c r="L138" s="4">
        <v>500</v>
      </c>
      <c r="M138" s="4"/>
      <c r="N138" s="4"/>
      <c r="O138" s="4"/>
      <c r="P138" s="12" t="str">
        <f t="array" ref="P138">IF(O138:O4179="","",_xlfn.XLOOKUP(O138:O4179,'参照_官位'!A:A,'参照_官位'!B:B,""))</f>
      </c>
      <c r="Q138" s="12" t="str">
        <f t="array" ref="Q138">IF(A138:A4179="","",IFERROR(_xlfn.XLOOKUP(A138:A4179,castles_state!K:K,castles_state!D:D)&amp;"主",IFERROR(_xlfn.XLOOKUP(A138:A4179,kunishuClan!D:D,kunishuClan!B:B)&amp;"当主","")))</f>
      </c>
    </row>
    <row r="139" ht="15.75" customHeight="1">
      <c r="A139" s="4">
        <v>1002042</v>
      </c>
      <c r="B139" s="12" t="str">
        <f t="array" ref="B139">IF(A139:A4180="","",_xlfn.XLOOKUP(A139:A4180,'参照_武将'!A:A,'参照_武将'!B:B,"見つかりません"))</f>
      </c>
      <c r="C139" s="4" t="s">
        <v>108</v>
      </c>
      <c r="D139" s="4">
        <v>3</v>
      </c>
      <c r="E139" s="12" t="str">
        <f t="array" ref="E139">IF(D139:D4180="","",IFERROR(_xlfn.XLOOKUP(D139:D4180,'参照_勢力'!A:A,'参照_勢力'!B:B),IFERROR(_xlfn.XLOOKUP(F139:F4180,kunishuClan!A:A,kunishuClan!B:B),"浪人")))</f>
      </c>
      <c r="F139" s="4">
        <v>0</v>
      </c>
      <c r="G139" s="4">
        <v>5</v>
      </c>
      <c r="H139" s="12" t="str">
        <f t="array" ref="H139">IF(G139:G4180="","",_xlfn.XLOOKUP(G139:G4180,castles_state!A:A,castles_state!D:D,"見つかりません"))</f>
      </c>
      <c r="I139" s="4"/>
      <c r="J139" s="12" t="str">
        <f t="array" ref="J139">IF(I139:I4180="","",_xlfn.XLOOKUP(I139:I4180,'参照_姫'!A:A,'参照_姫'!B:B,"見つかりません"))</f>
      </c>
      <c r="K139" s="4">
        <v>95</v>
      </c>
      <c r="L139" s="4">
        <v>0</v>
      </c>
      <c r="M139" s="4"/>
      <c r="N139" s="4"/>
      <c r="O139" s="4"/>
      <c r="P139" s="12" t="str">
        <f t="array" ref="P139">IF(O139:O4180="","",_xlfn.XLOOKUP(O139:O4180,'参照_官位'!A:A,'参照_官位'!B:B,""))</f>
      </c>
      <c r="Q139" s="12" t="str">
        <f t="array" ref="Q139">IF(A139:A4180="","",IFERROR(_xlfn.XLOOKUP(A139:A4180,castles_state!K:K,castles_state!D:D)&amp;"主",IFERROR(_xlfn.XLOOKUP(A139:A4180,kunishuClan!D:D,kunishuClan!B:B)&amp;"当主","")))</f>
      </c>
    </row>
    <row r="140" ht="15.75" customHeight="1">
      <c r="A140" s="4">
        <v>1002043</v>
      </c>
      <c r="B140" s="12" t="str">
        <f t="array" ref="B140">IF(A140:A4181="","",_xlfn.XLOOKUP(A140:A4181,'参照_武将'!A:A,'参照_武将'!B:B,"見つかりません"))</f>
      </c>
      <c r="C140" s="4" t="s">
        <v>108</v>
      </c>
      <c r="D140" s="4">
        <v>3</v>
      </c>
      <c r="E140" s="12" t="str">
        <f t="array" ref="E140">IF(D140:D4181="","",IFERROR(_xlfn.XLOOKUP(D140:D4181,'参照_勢力'!A:A,'参照_勢力'!B:B),IFERROR(_xlfn.XLOOKUP(F140:F4181,kunishuClan!A:A,kunishuClan!B:B),"浪人")))</f>
      </c>
      <c r="F140" s="4">
        <v>0</v>
      </c>
      <c r="G140" s="4">
        <v>5</v>
      </c>
      <c r="H140" s="12" t="str">
        <f t="array" ref="H140">IF(G140:G4181="","",_xlfn.XLOOKUP(G140:G4181,castles_state!A:A,castles_state!D:D,"見つかりません"))</f>
      </c>
      <c r="I140" s="4"/>
      <c r="J140" s="12" t="str">
        <f t="array" ref="J140">IF(I140:I4181="","",_xlfn.XLOOKUP(I140:I4181,'参照_姫'!A:A,'参照_姫'!B:B,"見つかりません"))</f>
      </c>
      <c r="K140" s="4">
        <v>95</v>
      </c>
      <c r="L140" s="4">
        <v>0</v>
      </c>
      <c r="M140" s="4"/>
      <c r="N140" s="4"/>
      <c r="O140" s="4"/>
      <c r="P140" s="12" t="str">
        <f t="array" ref="P140">IF(O140:O4181="","",_xlfn.XLOOKUP(O140:O4181,'参照_官位'!A:A,'参照_官位'!B:B,""))</f>
      </c>
      <c r="Q140" s="12" t="str">
        <f t="array" ref="Q140">IF(A140:A4181="","",IFERROR(_xlfn.XLOOKUP(A140:A4181,castles_state!K:K,castles_state!D:D)&amp;"主",IFERROR(_xlfn.XLOOKUP(A140:A4181,kunishuClan!D:D,kunishuClan!B:B)&amp;"当主","")))</f>
      </c>
    </row>
    <row r="141" ht="15.75" customHeight="1">
      <c r="A141" s="4">
        <v>1002044</v>
      </c>
      <c r="B141" s="12" t="str">
        <f t="array" ref="B141">IF(A141:A4182="","",_xlfn.XLOOKUP(A141:A4182,'参照_武将'!A:A,'参照_武将'!B:B,"見つかりません"))</f>
      </c>
      <c r="C141" s="4" t="s">
        <v>108</v>
      </c>
      <c r="D141" s="4">
        <v>3</v>
      </c>
      <c r="E141" s="12" t="str">
        <f t="array" ref="E141">IF(D141:D4182="","",IFERROR(_xlfn.XLOOKUP(D141:D4182,'参照_勢力'!A:A,'参照_勢力'!B:B),IFERROR(_xlfn.XLOOKUP(F141:F4182,kunishuClan!A:A,kunishuClan!B:B),"浪人")))</f>
      </c>
      <c r="F141" s="4">
        <v>0</v>
      </c>
      <c r="G141" s="4">
        <v>5</v>
      </c>
      <c r="H141" s="12" t="str">
        <f t="array" ref="H141">IF(G141:G4182="","",_xlfn.XLOOKUP(G141:G4182,castles_state!A:A,castles_state!D:D,"見つかりません"))</f>
      </c>
      <c r="I141" s="4"/>
      <c r="J141" s="12" t="str">
        <f t="array" ref="J141">IF(I141:I4182="","",_xlfn.XLOOKUP(I141:I4182,'参照_姫'!A:A,'参照_姫'!B:B,"見つかりません"))</f>
      </c>
      <c r="K141" s="4">
        <v>95</v>
      </c>
      <c r="L141" s="4">
        <v>0</v>
      </c>
      <c r="M141" s="4"/>
      <c r="N141" s="4"/>
      <c r="O141" s="4"/>
      <c r="P141" s="12" t="str">
        <f t="array" ref="P141">IF(O141:O4182="","",_xlfn.XLOOKUP(O141:O4182,'参照_官位'!A:A,'参照_官位'!B:B,""))</f>
      </c>
      <c r="Q141" s="12" t="str">
        <f t="array" ref="Q141">IF(A141:A4182="","",IFERROR(_xlfn.XLOOKUP(A141:A4182,castles_state!K:K,castles_state!D:D)&amp;"主",IFERROR(_xlfn.XLOOKUP(A141:A4182,kunishuClan!D:D,kunishuClan!B:B)&amp;"当主","")))</f>
      </c>
    </row>
    <row r="142" ht="15.75" customHeight="1">
      <c r="A142" s="4">
        <v>1002045</v>
      </c>
      <c r="B142" s="12" t="str">
        <f t="array" ref="B142">IF(A142:A4183="","",_xlfn.XLOOKUP(A142:A4183,'参照_武将'!A:A,'参照_武将'!B:B,"見つかりません"))</f>
      </c>
      <c r="C142" s="4" t="s">
        <v>108</v>
      </c>
      <c r="D142" s="4">
        <v>3</v>
      </c>
      <c r="E142" s="12" t="str">
        <f t="array" ref="E142">IF(D142:D4183="","",IFERROR(_xlfn.XLOOKUP(D142:D4183,'参照_勢力'!A:A,'参照_勢力'!B:B),IFERROR(_xlfn.XLOOKUP(F142:F4183,kunishuClan!A:A,kunishuClan!B:B),"浪人")))</f>
      </c>
      <c r="F142" s="4">
        <v>0</v>
      </c>
      <c r="G142" s="4">
        <v>52</v>
      </c>
      <c r="H142" s="12" t="str">
        <f t="array" ref="H142">IF(G142:G4183="","",_xlfn.XLOOKUP(G142:G4183,castles_state!A:A,castles_state!D:D,"見つかりません"))</f>
      </c>
      <c r="I142" s="4"/>
      <c r="J142" s="12" t="str">
        <f t="array" ref="J142">IF(I142:I4183="","",_xlfn.XLOOKUP(I142:I4183,'参照_姫'!A:A,'参照_姫'!B:B,"見つかりません"))</f>
      </c>
      <c r="K142" s="4">
        <v>95</v>
      </c>
      <c r="L142" s="4">
        <v>0</v>
      </c>
      <c r="M142" s="4"/>
      <c r="N142" s="4"/>
      <c r="O142" s="4"/>
      <c r="P142" s="12" t="str">
        <f t="array" ref="P142">IF(O142:O4183="","",_xlfn.XLOOKUP(O142:O4183,'参照_官位'!A:A,'参照_官位'!B:B,""))</f>
      </c>
      <c r="Q142" s="12" t="str">
        <f t="array" ref="Q142">IF(A142:A4183="","",IFERROR(_xlfn.XLOOKUP(A142:A4183,castles_state!K:K,castles_state!D:D)&amp;"主",IFERROR(_xlfn.XLOOKUP(A142:A4183,kunishuClan!D:D,kunishuClan!B:B)&amp;"当主","")))</f>
      </c>
    </row>
    <row r="143" ht="15.75" customHeight="1">
      <c r="A143" s="4">
        <v>1002046</v>
      </c>
      <c r="B143" s="12" t="str">
        <f t="array" ref="B143">IF(A143:A4184="","",_xlfn.XLOOKUP(A143:A4184,'参照_武将'!A:A,'参照_武将'!B:B,"見つかりません"))</f>
      </c>
      <c r="C143" s="4" t="s">
        <v>108</v>
      </c>
      <c r="D143" s="4">
        <v>3</v>
      </c>
      <c r="E143" s="12" t="str">
        <f t="array" ref="E143">IF(D143:D4184="","",IFERROR(_xlfn.XLOOKUP(D143:D4184,'参照_勢力'!A:A,'参照_勢力'!B:B),IFERROR(_xlfn.XLOOKUP(F143:F4184,kunishuClan!A:A,kunishuClan!B:B),"浪人")))</f>
      </c>
      <c r="F143" s="4">
        <v>0</v>
      </c>
      <c r="G143" s="4">
        <v>52</v>
      </c>
      <c r="H143" s="12" t="str">
        <f t="array" ref="H143">IF(G143:G4184="","",_xlfn.XLOOKUP(G143:G4184,castles_state!A:A,castles_state!D:D,"見つかりません"))</f>
      </c>
      <c r="I143" s="4"/>
      <c r="J143" s="12" t="str">
        <f t="array" ref="J143">IF(I143:I4184="","",_xlfn.XLOOKUP(I143:I4184,'参照_姫'!A:A,'参照_姫'!B:B,"見つかりません"))</f>
      </c>
      <c r="K143" s="4">
        <v>95</v>
      </c>
      <c r="L143" s="4">
        <v>200</v>
      </c>
      <c r="M143" s="4"/>
      <c r="N143" s="4"/>
      <c r="O143" s="4"/>
      <c r="P143" s="12" t="str">
        <f t="array" ref="P143">IF(O143:O4184="","",_xlfn.XLOOKUP(O143:O4184,'参照_官位'!A:A,'参照_官位'!B:B,""))</f>
      </c>
      <c r="Q143" s="12" t="str">
        <f t="array" ref="Q143">IF(A143:A4184="","",IFERROR(_xlfn.XLOOKUP(A143:A4184,castles_state!K:K,castles_state!D:D)&amp;"主",IFERROR(_xlfn.XLOOKUP(A143:A4184,kunishuClan!D:D,kunishuClan!B:B)&amp;"当主","")))</f>
      </c>
    </row>
    <row r="144" ht="15.75" customHeight="1">
      <c r="A144" s="4">
        <v>1002047</v>
      </c>
      <c r="B144" s="12" t="str">
        <f t="array" ref="B144">IF(A144:A4185="","",_xlfn.XLOOKUP(A144:A4185,'参照_武将'!A:A,'参照_武将'!B:B,"見つかりません"))</f>
      </c>
      <c r="C144" s="4" t="s">
        <v>108</v>
      </c>
      <c r="D144" s="4">
        <v>3</v>
      </c>
      <c r="E144" s="12" t="str">
        <f t="array" ref="E144">IF(D144:D4185="","",IFERROR(_xlfn.XLOOKUP(D144:D4185,'参照_勢力'!A:A,'参照_勢力'!B:B),IFERROR(_xlfn.XLOOKUP(F144:F4185,kunishuClan!A:A,kunishuClan!B:B),"浪人")))</f>
      </c>
      <c r="F144" s="4">
        <v>0</v>
      </c>
      <c r="G144" s="4">
        <v>52</v>
      </c>
      <c r="H144" s="12" t="str">
        <f t="array" ref="H144">IF(G144:G4185="","",_xlfn.XLOOKUP(G144:G4185,castles_state!A:A,castles_state!D:D,"見つかりません"))</f>
      </c>
      <c r="I144" s="4"/>
      <c r="J144" s="12" t="str">
        <f t="array" ref="J144">IF(I144:I4185="","",_xlfn.XLOOKUP(I144:I4185,'参照_姫'!A:A,'参照_姫'!B:B,"見つかりません"))</f>
      </c>
      <c r="K144" s="4">
        <v>95</v>
      </c>
      <c r="L144" s="4">
        <v>0</v>
      </c>
      <c r="M144" s="4"/>
      <c r="N144" s="4"/>
      <c r="O144" s="4"/>
      <c r="P144" s="12" t="str">
        <f t="array" ref="P144">IF(O144:O4185="","",_xlfn.XLOOKUP(O144:O4185,'参照_官位'!A:A,'参照_官位'!B:B,""))</f>
      </c>
      <c r="Q144" s="12" t="str">
        <f t="array" ref="Q144">IF(A144:A4185="","",IFERROR(_xlfn.XLOOKUP(A144:A4185,castles_state!K:K,castles_state!D:D)&amp;"主",IFERROR(_xlfn.XLOOKUP(A144:A4185,kunishuClan!D:D,kunishuClan!B:B)&amp;"当主","")))</f>
      </c>
    </row>
    <row r="145" ht="15.75" customHeight="1">
      <c r="A145" s="4">
        <v>1002048</v>
      </c>
      <c r="B145" s="12" t="str">
        <f t="array" ref="B145">IF(A145:A4186="","",_xlfn.XLOOKUP(A145:A4186,'参照_武将'!A:A,'参照_武将'!B:B,"見つかりません"))</f>
      </c>
      <c r="C145" s="4" t="s">
        <v>108</v>
      </c>
      <c r="D145" s="4">
        <v>3</v>
      </c>
      <c r="E145" s="12" t="str">
        <f t="array" ref="E145">IF(D145:D4186="","",IFERROR(_xlfn.XLOOKUP(D145:D4186,'参照_勢力'!A:A,'参照_勢力'!B:B),IFERROR(_xlfn.XLOOKUP(F145:F4186,kunishuClan!A:A,kunishuClan!B:B),"浪人")))</f>
      </c>
      <c r="F145" s="4">
        <v>0</v>
      </c>
      <c r="G145" s="4">
        <v>52</v>
      </c>
      <c r="H145" s="12" t="str">
        <f t="array" ref="H145">IF(G145:G4186="","",_xlfn.XLOOKUP(G145:G4186,castles_state!A:A,castles_state!D:D,"見つかりません"))</f>
      </c>
      <c r="I145" s="4"/>
      <c r="J145" s="12" t="str">
        <f t="array" ref="J145">IF(I145:I4186="","",_xlfn.XLOOKUP(I145:I4186,'参照_姫'!A:A,'参照_姫'!B:B,"見つかりません"))</f>
      </c>
      <c r="K145" s="4">
        <v>95</v>
      </c>
      <c r="L145" s="4">
        <v>0</v>
      </c>
      <c r="M145" s="4"/>
      <c r="N145" s="4"/>
      <c r="O145" s="4"/>
      <c r="P145" s="12" t="str">
        <f t="array" ref="P145">IF(O145:O4186="","",_xlfn.XLOOKUP(O145:O4186,'参照_官位'!A:A,'参照_官位'!B:B,""))</f>
      </c>
      <c r="Q145" s="12" t="str">
        <f t="array" ref="Q145">IF(A145:A4186="","",IFERROR(_xlfn.XLOOKUP(A145:A4186,castles_state!K:K,castles_state!D:D)&amp;"主",IFERROR(_xlfn.XLOOKUP(A145:A4186,kunishuClan!D:D,kunishuClan!B:B)&amp;"当主","")))</f>
      </c>
    </row>
    <row r="146" ht="15.75" customHeight="1">
      <c r="A146" s="4">
        <v>1002049</v>
      </c>
      <c r="B146" s="12" t="str">
        <f t="array" ref="B146">IF(A146:A4187="","",_xlfn.XLOOKUP(A146:A4187,'参照_武将'!A:A,'参照_武将'!B:B,"見つかりません"))</f>
      </c>
      <c r="C146" s="4" t="s">
        <v>108</v>
      </c>
      <c r="D146" s="4">
        <v>3</v>
      </c>
      <c r="E146" s="12" t="str">
        <f t="array" ref="E146">IF(D146:D4187="","",IFERROR(_xlfn.XLOOKUP(D146:D4187,'参照_勢力'!A:A,'参照_勢力'!B:B),IFERROR(_xlfn.XLOOKUP(F146:F4187,kunishuClan!A:A,kunishuClan!B:B),"浪人")))</f>
      </c>
      <c r="F146" s="4">
        <v>0</v>
      </c>
      <c r="G146" s="4">
        <v>31</v>
      </c>
      <c r="H146" s="12" t="str">
        <f t="array" ref="H146">IF(G146:G4187="","",_xlfn.XLOOKUP(G146:G4187,castles_state!A:A,castles_state!D:D,"見つかりません"))</f>
      </c>
      <c r="I146" s="4"/>
      <c r="J146" s="12" t="str">
        <f t="array" ref="J146">IF(I146:I4187="","",_xlfn.XLOOKUP(I146:I4187,'参照_姫'!A:A,'参照_姫'!B:B,"見つかりません"))</f>
      </c>
      <c r="K146" s="4">
        <v>95</v>
      </c>
      <c r="L146" s="4">
        <v>500</v>
      </c>
      <c r="M146" s="4"/>
      <c r="N146" s="4"/>
      <c r="O146" s="4"/>
      <c r="P146" s="12" t="str">
        <f t="array" ref="P146">IF(O146:O4187="","",_xlfn.XLOOKUP(O146:O4187,'参照_官位'!A:A,'参照_官位'!B:B,""))</f>
      </c>
      <c r="Q146" s="12" t="str">
        <f t="array" ref="Q146">IF(A146:A4187="","",IFERROR(_xlfn.XLOOKUP(A146:A4187,castles_state!K:K,castles_state!D:D)&amp;"主",IFERROR(_xlfn.XLOOKUP(A146:A4187,kunishuClan!D:D,kunishuClan!B:B)&amp;"当主","")))</f>
      </c>
    </row>
    <row r="147" ht="15.75" customHeight="1">
      <c r="A147" s="4">
        <v>1002050</v>
      </c>
      <c r="B147" s="12" t="str">
        <f t="array" ref="B147">IF(A147:A4188="","",_xlfn.XLOOKUP(A147:A4188,'参照_武将'!A:A,'参照_武将'!B:B,"見つかりません"))</f>
      </c>
      <c r="C147" s="4" t="s">
        <v>108</v>
      </c>
      <c r="D147" s="4">
        <v>3</v>
      </c>
      <c r="E147" s="12" t="str">
        <f t="array" ref="E147">IF(D147:D4188="","",IFERROR(_xlfn.XLOOKUP(D147:D4188,'参照_勢力'!A:A,'参照_勢力'!B:B),IFERROR(_xlfn.XLOOKUP(F147:F4188,kunishuClan!A:A,kunishuClan!B:B),"浪人")))</f>
      </c>
      <c r="F147" s="4">
        <v>0</v>
      </c>
      <c r="G147" s="4">
        <v>9</v>
      </c>
      <c r="H147" s="12" t="str">
        <f t="array" ref="H147">IF(G147:G4188="","",_xlfn.XLOOKUP(G147:G4188,castles_state!A:A,castles_state!D:D,"見つかりません"))</f>
      </c>
      <c r="I147" s="4"/>
      <c r="J147" s="12" t="str">
        <f t="array" ref="J147">IF(I147:I4188="","",_xlfn.XLOOKUP(I147:I4188,'参照_姫'!A:A,'参照_姫'!B:B,"見つかりません"))</f>
      </c>
      <c r="K147" s="4">
        <v>95</v>
      </c>
      <c r="L147" s="4">
        <v>0</v>
      </c>
      <c r="M147" s="4"/>
      <c r="N147" s="4"/>
      <c r="O147" s="4"/>
      <c r="P147" s="12" t="str">
        <f t="array" ref="P147">IF(O147:O4188="","",_xlfn.XLOOKUP(O147:O4188,'参照_官位'!A:A,'参照_官位'!B:B,""))</f>
      </c>
      <c r="Q147" s="12" t="str">
        <f t="array" ref="Q147">IF(A147:A4188="","",IFERROR(_xlfn.XLOOKUP(A147:A4188,castles_state!K:K,castles_state!D:D)&amp;"主",IFERROR(_xlfn.XLOOKUP(A147:A4188,kunishuClan!D:D,kunishuClan!B:B)&amp;"当主","")))</f>
      </c>
    </row>
    <row r="148" ht="15.75" customHeight="1">
      <c r="A148" s="4">
        <v>1002051</v>
      </c>
      <c r="B148" s="12" t="str">
        <f t="array" ref="B148">IF(A148:A4189="","",_xlfn.XLOOKUP(A148:A4189,'参照_武将'!A:A,'参照_武将'!B:B,"見つかりません"))</f>
      </c>
      <c r="C148" s="4" t="s">
        <v>108</v>
      </c>
      <c r="D148" s="4">
        <v>3</v>
      </c>
      <c r="E148" s="12" t="str">
        <f t="array" ref="E148">IF(D148:D4189="","",IFERROR(_xlfn.XLOOKUP(D148:D4189,'参照_勢力'!A:A,'参照_勢力'!B:B),IFERROR(_xlfn.XLOOKUP(F148:F4189,kunishuClan!A:A,kunishuClan!B:B),"浪人")))</f>
      </c>
      <c r="F148" s="4">
        <v>0</v>
      </c>
      <c r="G148" s="4">
        <v>9</v>
      </c>
      <c r="H148" s="12" t="str">
        <f t="array" ref="H148">IF(G148:G4189="","",_xlfn.XLOOKUP(G148:G4189,castles_state!A:A,castles_state!D:D,"見つかりません"))</f>
      </c>
      <c r="I148" s="4"/>
      <c r="J148" s="12" t="str">
        <f t="array" ref="J148">IF(I148:I4189="","",_xlfn.XLOOKUP(I148:I4189,'参照_姫'!A:A,'参照_姫'!B:B,"見つかりません"))</f>
      </c>
      <c r="K148" s="4">
        <v>95</v>
      </c>
      <c r="L148" s="4">
        <v>0</v>
      </c>
      <c r="M148" s="4"/>
      <c r="N148" s="4"/>
      <c r="O148" s="4"/>
      <c r="P148" s="12" t="str">
        <f t="array" ref="P148">IF(O148:O4189="","",_xlfn.XLOOKUP(O148:O4189,'参照_官位'!A:A,'参照_官位'!B:B,""))</f>
      </c>
      <c r="Q148" s="12" t="str">
        <f t="array" ref="Q148">IF(A148:A4189="","",IFERROR(_xlfn.XLOOKUP(A148:A4189,castles_state!K:K,castles_state!D:D)&amp;"主",IFERROR(_xlfn.XLOOKUP(A148:A4189,kunishuClan!D:D,kunishuClan!B:B)&amp;"当主","")))</f>
      </c>
    </row>
    <row r="149" ht="15.75" customHeight="1">
      <c r="A149" s="4">
        <v>1002052</v>
      </c>
      <c r="B149" s="12" t="str">
        <f t="array" ref="B149">IF(A149:A4190="","",_xlfn.XLOOKUP(A149:A4190,'参照_武将'!A:A,'参照_武将'!B:B,"見つかりません"))</f>
      </c>
      <c r="C149" s="4" t="s">
        <v>108</v>
      </c>
      <c r="D149" s="4">
        <v>3</v>
      </c>
      <c r="E149" s="12" t="str">
        <f t="array" ref="E149">IF(D149:D4190="","",IFERROR(_xlfn.XLOOKUP(D149:D4190,'参照_勢力'!A:A,'参照_勢力'!B:B),IFERROR(_xlfn.XLOOKUP(F149:F4190,kunishuClan!A:A,kunishuClan!B:B),"浪人")))</f>
      </c>
      <c r="F149" s="4">
        <v>0</v>
      </c>
      <c r="G149" s="4">
        <v>9</v>
      </c>
      <c r="H149" s="12" t="str">
        <f t="array" ref="H149">IF(G149:G4190="","",_xlfn.XLOOKUP(G149:G4190,castles_state!A:A,castles_state!D:D,"見つかりません"))</f>
      </c>
      <c r="I149" s="4"/>
      <c r="J149" s="12" t="str">
        <f t="array" ref="J149">IF(I149:I4190="","",_xlfn.XLOOKUP(I149:I4190,'参照_姫'!A:A,'参照_姫'!B:B,"見つかりません"))</f>
      </c>
      <c r="K149" s="4">
        <v>95</v>
      </c>
      <c r="L149" s="4">
        <v>0</v>
      </c>
      <c r="M149" s="4"/>
      <c r="N149" s="4"/>
      <c r="O149" s="4"/>
      <c r="P149" s="12" t="str">
        <f t="array" ref="P149">IF(O149:O4190="","",_xlfn.XLOOKUP(O149:O4190,'参照_官位'!A:A,'参照_官位'!B:B,""))</f>
      </c>
      <c r="Q149" s="12" t="str">
        <f t="array" ref="Q149">IF(A149:A4190="","",IFERROR(_xlfn.XLOOKUP(A149:A4190,castles_state!K:K,castles_state!D:D)&amp;"主",IFERROR(_xlfn.XLOOKUP(A149:A4190,kunishuClan!D:D,kunishuClan!B:B)&amp;"当主","")))</f>
      </c>
    </row>
    <row r="150" ht="15.75" customHeight="1">
      <c r="A150" s="4">
        <v>1002053</v>
      </c>
      <c r="B150" s="12" t="str">
        <f t="array" ref="B150">IF(A150:A4191="","",_xlfn.XLOOKUP(A150:A4191,'参照_武将'!A:A,'参照_武将'!B:B,"見つかりません"))</f>
      </c>
      <c r="C150" s="4" t="s">
        <v>108</v>
      </c>
      <c r="D150" s="4">
        <v>3</v>
      </c>
      <c r="E150" s="12" t="str">
        <f t="array" ref="E150">IF(D150:D4191="","",IFERROR(_xlfn.XLOOKUP(D150:D4191,'参照_勢力'!A:A,'参照_勢力'!B:B),IFERROR(_xlfn.XLOOKUP(F150:F4191,kunishuClan!A:A,kunishuClan!B:B),"浪人")))</f>
      </c>
      <c r="F150" s="4">
        <v>0</v>
      </c>
      <c r="G150" s="4">
        <v>52</v>
      </c>
      <c r="H150" s="12" t="str">
        <f t="array" ref="H150">IF(G150:G4191="","",_xlfn.XLOOKUP(G150:G4191,castles_state!A:A,castles_state!D:D,"見つかりません"))</f>
      </c>
      <c r="I150" s="4"/>
      <c r="J150" s="12" t="str">
        <f t="array" ref="J150">IF(I150:I4191="","",_xlfn.XLOOKUP(I150:I4191,'参照_姫'!A:A,'参照_姫'!B:B,"見つかりません"))</f>
      </c>
      <c r="K150" s="4">
        <v>90</v>
      </c>
      <c r="L150" s="4">
        <v>0</v>
      </c>
      <c r="M150" s="4"/>
      <c r="N150" s="4"/>
      <c r="O150" s="4"/>
      <c r="P150" s="12" t="str">
        <f t="array" ref="P150">IF(O150:O4191="","",_xlfn.XLOOKUP(O150:O4191,'参照_官位'!A:A,'参照_官位'!B:B,""))</f>
      </c>
      <c r="Q150" s="12" t="str">
        <f t="array" ref="Q150">IF(A150:A4191="","",IFERROR(_xlfn.XLOOKUP(A150:A4191,castles_state!K:K,castles_state!D:D)&amp;"主",IFERROR(_xlfn.XLOOKUP(A150:A4191,kunishuClan!D:D,kunishuClan!B:B)&amp;"当主","")))</f>
      </c>
    </row>
    <row r="151" ht="15.75" customHeight="1">
      <c r="A151" s="4">
        <v>1002054</v>
      </c>
      <c r="B151" s="12" t="str">
        <f t="array" ref="B151">IF(A151:A4192="","",_xlfn.XLOOKUP(A151:A4192,'参照_武将'!A:A,'参照_武将'!B:B,"見つかりません"))</f>
      </c>
      <c r="C151" s="4" t="s">
        <v>108</v>
      </c>
      <c r="D151" s="4">
        <v>3</v>
      </c>
      <c r="E151" s="12" t="str">
        <f t="array" ref="E151">IF(D151:D4192="","",IFERROR(_xlfn.XLOOKUP(D151:D4192,'参照_勢力'!A:A,'参照_勢力'!B:B),IFERROR(_xlfn.XLOOKUP(F151:F4192,kunishuClan!A:A,kunishuClan!B:B),"浪人")))</f>
      </c>
      <c r="F151" s="4">
        <v>0</v>
      </c>
      <c r="G151" s="4">
        <v>9</v>
      </c>
      <c r="H151" s="12" t="str">
        <f t="array" ref="H151">IF(G151:G4192="","",_xlfn.XLOOKUP(G151:G4192,castles_state!A:A,castles_state!D:D,"見つかりません"))</f>
      </c>
      <c r="I151" s="4"/>
      <c r="J151" s="12" t="str">
        <f t="array" ref="J151">IF(I151:I4192="","",_xlfn.XLOOKUP(I151:I4192,'参照_姫'!A:A,'参照_姫'!B:B,"見つかりません"))</f>
      </c>
      <c r="K151" s="4">
        <v>95</v>
      </c>
      <c r="L151" s="4">
        <v>0</v>
      </c>
      <c r="M151" s="4"/>
      <c r="N151" s="4"/>
      <c r="O151" s="4"/>
      <c r="P151" s="12" t="str">
        <f t="array" ref="P151">IF(O151:O4192="","",_xlfn.XLOOKUP(O151:O4192,'参照_官位'!A:A,'参照_官位'!B:B,""))</f>
      </c>
      <c r="Q151" s="12" t="str">
        <f t="array" ref="Q151">IF(A151:A4192="","",IFERROR(_xlfn.XLOOKUP(A151:A4192,castles_state!K:K,castles_state!D:D)&amp;"主",IFERROR(_xlfn.XLOOKUP(A151:A4192,kunishuClan!D:D,kunishuClan!B:B)&amp;"当主","")))</f>
      </c>
    </row>
    <row r="152" ht="15.75" customHeight="1">
      <c r="A152" s="4">
        <v>1002055</v>
      </c>
      <c r="B152" s="12" t="str">
        <f t="array" ref="B152">IF(A152:A4193="","",_xlfn.XLOOKUP(A152:A4193,'参照_武将'!A:A,'参照_武将'!B:B,"見つかりません"))</f>
      </c>
      <c r="C152" s="4" t="s">
        <v>108</v>
      </c>
      <c r="D152" s="4">
        <v>3</v>
      </c>
      <c r="E152" s="12" t="str">
        <f t="array" ref="E152">IF(D152:D4193="","",IFERROR(_xlfn.XLOOKUP(D152:D4193,'参照_勢力'!A:A,'参照_勢力'!B:B),IFERROR(_xlfn.XLOOKUP(F152:F4193,kunishuClan!A:A,kunishuClan!B:B),"浪人")))</f>
      </c>
      <c r="F152" s="4">
        <v>0</v>
      </c>
      <c r="G152" s="4">
        <v>9</v>
      </c>
      <c r="H152" s="12" t="str">
        <f t="array" ref="H152">IF(G152:G4193="","",_xlfn.XLOOKUP(G152:G4193,castles_state!A:A,castles_state!D:D,"見つかりません"))</f>
      </c>
      <c r="I152" s="4"/>
      <c r="J152" s="12" t="str">
        <f t="array" ref="J152">IF(I152:I4193="","",_xlfn.XLOOKUP(I152:I4193,'参照_姫'!A:A,'参照_姫'!B:B,"見つかりません"))</f>
      </c>
      <c r="K152" s="4">
        <v>95</v>
      </c>
      <c r="L152" s="4">
        <v>0</v>
      </c>
      <c r="M152" s="4"/>
      <c r="N152" s="4"/>
      <c r="O152" s="4"/>
      <c r="P152" s="12" t="str">
        <f t="array" ref="P152">IF(O152:O4193="","",_xlfn.XLOOKUP(O152:O4193,'参照_官位'!A:A,'参照_官位'!B:B,""))</f>
      </c>
      <c r="Q152" s="12" t="str">
        <f t="array" ref="Q152">IF(A152:A4193="","",IFERROR(_xlfn.XLOOKUP(A152:A4193,castles_state!K:K,castles_state!D:D)&amp;"主",IFERROR(_xlfn.XLOOKUP(A152:A4193,kunishuClan!D:D,kunishuClan!B:B)&amp;"当主","")))</f>
      </c>
    </row>
    <row r="153" ht="15.75" customHeight="1">
      <c r="A153" s="4">
        <v>1002056</v>
      </c>
      <c r="B153" s="12" t="str">
        <f t="array" ref="B153">IF(A153:A4194="","",_xlfn.XLOOKUP(A153:A4194,'参照_武将'!A:A,'参照_武将'!B:B,"見つかりません"))</f>
      </c>
      <c r="C153" s="4" t="s">
        <v>108</v>
      </c>
      <c r="D153" s="4">
        <v>3</v>
      </c>
      <c r="E153" s="12" t="str">
        <f t="array" ref="E153">IF(D153:D4194="","",IFERROR(_xlfn.XLOOKUP(D153:D4194,'参照_勢力'!A:A,'参照_勢力'!B:B),IFERROR(_xlfn.XLOOKUP(F153:F4194,kunishuClan!A:A,kunishuClan!B:B),"浪人")))</f>
      </c>
      <c r="F153" s="4">
        <v>0</v>
      </c>
      <c r="G153" s="4">
        <v>9</v>
      </c>
      <c r="H153" s="12" t="str">
        <f t="array" ref="H153">IF(G153:G4194="","",_xlfn.XLOOKUP(G153:G4194,castles_state!A:A,castles_state!D:D,"見つかりません"))</f>
      </c>
      <c r="I153" s="4"/>
      <c r="J153" s="12" t="str">
        <f t="array" ref="J153">IF(I153:I4194="","",_xlfn.XLOOKUP(I153:I4194,'参照_姫'!A:A,'参照_姫'!B:B,"見つかりません"))</f>
      </c>
      <c r="K153" s="4">
        <v>95</v>
      </c>
      <c r="L153" s="4">
        <v>0</v>
      </c>
      <c r="M153" s="4"/>
      <c r="N153" s="4"/>
      <c r="O153" s="4"/>
      <c r="P153" s="12" t="str">
        <f t="array" ref="P153">IF(O153:O4194="","",_xlfn.XLOOKUP(O153:O4194,'参照_官位'!A:A,'参照_官位'!B:B,""))</f>
      </c>
      <c r="Q153" s="12" t="str">
        <f t="array" ref="Q153">IF(A153:A4194="","",IFERROR(_xlfn.XLOOKUP(A153:A4194,castles_state!K:K,castles_state!D:D)&amp;"主",IFERROR(_xlfn.XLOOKUP(A153:A4194,kunishuClan!D:D,kunishuClan!B:B)&amp;"当主","")))</f>
      </c>
    </row>
    <row r="154" ht="15.75" customHeight="1">
      <c r="A154" s="4">
        <v>1002057</v>
      </c>
      <c r="B154" s="12" t="str">
        <f t="array" ref="B154">IF(A154:A4195="","",_xlfn.XLOOKUP(A154:A4195,'参照_武将'!A:A,'参照_武将'!B:B,"見つかりません"))</f>
      </c>
      <c r="C154" s="4" t="s">
        <v>108</v>
      </c>
      <c r="D154" s="4">
        <v>3</v>
      </c>
      <c r="E154" s="12" t="str">
        <f t="array" ref="E154">IF(D154:D4195="","",IFERROR(_xlfn.XLOOKUP(D154:D4195,'参照_勢力'!A:A,'参照_勢力'!B:B),IFERROR(_xlfn.XLOOKUP(F154:F4195,kunishuClan!A:A,kunishuClan!B:B),"浪人")))</f>
      </c>
      <c r="F154" s="4">
        <v>0</v>
      </c>
      <c r="G154" s="4">
        <v>55</v>
      </c>
      <c r="H154" s="12" t="str">
        <f t="array" ref="H154">IF(G154:G4195="","",_xlfn.XLOOKUP(G154:G4195,castles_state!A:A,castles_state!D:D,"見つかりません"))</f>
      </c>
      <c r="I154" s="4"/>
      <c r="J154" s="12" t="str">
        <f t="array" ref="J154">IF(I154:I4195="","",_xlfn.XLOOKUP(I154:I4195,'参照_姫'!A:A,'参照_姫'!B:B,"見つかりません"))</f>
      </c>
      <c r="K154" s="4">
        <v>95</v>
      </c>
      <c r="L154" s="4">
        <v>0</v>
      </c>
      <c r="M154" s="4"/>
      <c r="N154" s="4"/>
      <c r="O154" s="4"/>
      <c r="P154" s="12" t="str">
        <f t="array" ref="P154">IF(O154:O4195="","",_xlfn.XLOOKUP(O154:O4195,'参照_官位'!A:A,'参照_官位'!B:B,""))</f>
      </c>
      <c r="Q154" s="12" t="str">
        <f t="array" ref="Q154">IF(A154:A4195="","",IFERROR(_xlfn.XLOOKUP(A154:A4195,castles_state!K:K,castles_state!D:D)&amp;"主",IFERROR(_xlfn.XLOOKUP(A154:A4195,kunishuClan!D:D,kunishuClan!B:B)&amp;"当主","")))</f>
      </c>
    </row>
    <row r="155" ht="15.75" customHeight="1">
      <c r="A155" s="4">
        <v>1002058</v>
      </c>
      <c r="B155" s="12" t="str">
        <f t="array" ref="B155">IF(A155:A4196="","",_xlfn.XLOOKUP(A155:A4196,'参照_武将'!A:A,'参照_武将'!B:B,"見つかりません"))</f>
      </c>
      <c r="C155" s="4" t="s">
        <v>108</v>
      </c>
      <c r="D155" s="4">
        <v>3</v>
      </c>
      <c r="E155" s="12" t="str">
        <f t="array" ref="E155">IF(D155:D4196="","",IFERROR(_xlfn.XLOOKUP(D155:D4196,'参照_勢力'!A:A,'参照_勢力'!B:B),IFERROR(_xlfn.XLOOKUP(F155:F4196,kunishuClan!A:A,kunishuClan!B:B),"浪人")))</f>
      </c>
      <c r="F155" s="4">
        <v>0</v>
      </c>
      <c r="G155" s="4">
        <v>55</v>
      </c>
      <c r="H155" s="12" t="str">
        <f t="array" ref="H155">IF(G155:G4196="","",_xlfn.XLOOKUP(G155:G4196,castles_state!A:A,castles_state!D:D,"見つかりません"))</f>
      </c>
      <c r="I155" s="4"/>
      <c r="J155" s="12" t="str">
        <f t="array" ref="J155">IF(I155:I4196="","",_xlfn.XLOOKUP(I155:I4196,'参照_姫'!A:A,'参照_姫'!B:B,"見つかりません"))</f>
      </c>
      <c r="K155" s="4">
        <v>95</v>
      </c>
      <c r="L155" s="4">
        <v>0</v>
      </c>
      <c r="M155" s="4"/>
      <c r="N155" s="4"/>
      <c r="O155" s="4"/>
      <c r="P155" s="12" t="str">
        <f t="array" ref="P155">IF(O155:O4196="","",_xlfn.XLOOKUP(O155:O4196,'参照_官位'!A:A,'参照_官位'!B:B,""))</f>
      </c>
      <c r="Q155" s="12" t="str">
        <f t="array" ref="Q155">IF(A155:A4196="","",IFERROR(_xlfn.XLOOKUP(A155:A4196,castles_state!K:K,castles_state!D:D)&amp;"主",IFERROR(_xlfn.XLOOKUP(A155:A4196,kunishuClan!D:D,kunishuClan!B:B)&amp;"当主","")))</f>
      </c>
    </row>
    <row r="156" ht="15.75" customHeight="1">
      <c r="A156" s="4">
        <v>1002059</v>
      </c>
      <c r="B156" s="12" t="str">
        <f t="array" ref="B156">IF(A156:A4197="","",_xlfn.XLOOKUP(A156:A4197,'参照_武将'!A:A,'参照_武将'!B:B,"見つかりません"))</f>
      </c>
      <c r="C156" s="4" t="s">
        <v>108</v>
      </c>
      <c r="D156" s="4">
        <v>3</v>
      </c>
      <c r="E156" s="12" t="str">
        <f t="array" ref="E156">IF(D156:D4197="","",IFERROR(_xlfn.XLOOKUP(D156:D4197,'参照_勢力'!A:A,'参照_勢力'!B:B),IFERROR(_xlfn.XLOOKUP(F156:F4197,kunishuClan!A:A,kunishuClan!B:B),"浪人")))</f>
      </c>
      <c r="F156" s="4">
        <v>0</v>
      </c>
      <c r="G156" s="4">
        <v>96</v>
      </c>
      <c r="H156" s="12" t="str">
        <f t="array" ref="H156">IF(G156:G4197="","",_xlfn.XLOOKUP(G156:G4197,castles_state!A:A,castles_state!D:D,"見つかりません"))</f>
      </c>
      <c r="I156" s="4"/>
      <c r="J156" s="12" t="str">
        <f t="array" ref="J156">IF(I156:I4197="","",_xlfn.XLOOKUP(I156:I4197,'参照_姫'!A:A,'参照_姫'!B:B,"見つかりません"))</f>
      </c>
      <c r="K156" s="4">
        <v>95</v>
      </c>
      <c r="L156" s="4">
        <v>500</v>
      </c>
      <c r="M156" s="4"/>
      <c r="N156" s="4"/>
      <c r="O156" s="4"/>
      <c r="P156" s="12" t="str">
        <f t="array" ref="P156">IF(O156:O4197="","",_xlfn.XLOOKUP(O156:O4197,'参照_官位'!A:A,'参照_官位'!B:B,""))</f>
      </c>
      <c r="Q156" s="12" t="str">
        <f t="array" ref="Q156">IF(A156:A4197="","",IFERROR(_xlfn.XLOOKUP(A156:A4197,castles_state!K:K,castles_state!D:D)&amp;"主",IFERROR(_xlfn.XLOOKUP(A156:A4197,kunishuClan!D:D,kunishuClan!B:B)&amp;"当主","")))</f>
      </c>
    </row>
    <row r="157" ht="15.75" customHeight="1">
      <c r="A157" s="4">
        <v>1002060</v>
      </c>
      <c r="B157" s="12" t="str">
        <f t="array" ref="B157">IF(A157:A4198="","",_xlfn.XLOOKUP(A157:A4198,'参照_武将'!A:A,'参照_武将'!B:B,"見つかりません"))</f>
      </c>
      <c r="C157" s="4" t="s">
        <v>108</v>
      </c>
      <c r="D157" s="4">
        <v>3</v>
      </c>
      <c r="E157" s="12" t="str">
        <f t="array" ref="E157">IF(D157:D4198="","",IFERROR(_xlfn.XLOOKUP(D157:D4198,'参照_勢力'!A:A,'参照_勢力'!B:B),IFERROR(_xlfn.XLOOKUP(F157:F4198,kunishuClan!A:A,kunishuClan!B:B),"浪人")))</f>
      </c>
      <c r="F157" s="4">
        <v>0</v>
      </c>
      <c r="G157" s="4">
        <v>96</v>
      </c>
      <c r="H157" s="12" t="str">
        <f t="array" ref="H157">IF(G157:G4198="","",_xlfn.XLOOKUP(G157:G4198,castles_state!A:A,castles_state!D:D,"見つかりません"))</f>
      </c>
      <c r="I157" s="4"/>
      <c r="J157" s="12" t="str">
        <f t="array" ref="J157">IF(I157:I4198="","",_xlfn.XLOOKUP(I157:I4198,'参照_姫'!A:A,'参照_姫'!B:B,"見つかりません"))</f>
      </c>
      <c r="K157" s="4">
        <v>95</v>
      </c>
      <c r="L157" s="4">
        <v>0</v>
      </c>
      <c r="M157" s="4"/>
      <c r="N157" s="4"/>
      <c r="O157" s="4"/>
      <c r="P157" s="12" t="str">
        <f t="array" ref="P157">IF(O157:O4198="","",_xlfn.XLOOKUP(O157:O4198,'参照_官位'!A:A,'参照_官位'!B:B,""))</f>
      </c>
      <c r="Q157" s="12" t="str">
        <f t="array" ref="Q157">IF(A157:A4198="","",IFERROR(_xlfn.XLOOKUP(A157:A4198,castles_state!K:K,castles_state!D:D)&amp;"主",IFERROR(_xlfn.XLOOKUP(A157:A4198,kunishuClan!D:D,kunishuClan!B:B)&amp;"当主","")))</f>
      </c>
    </row>
    <row r="158" ht="15.75" customHeight="1">
      <c r="A158" s="4">
        <v>1002061</v>
      </c>
      <c r="B158" s="12" t="str">
        <f t="array" ref="B158">IF(A158:A4199="","",_xlfn.XLOOKUP(A158:A4199,'参照_武将'!A:A,'参照_武将'!B:B,"見つかりません"))</f>
      </c>
      <c r="C158" s="4" t="s">
        <v>108</v>
      </c>
      <c r="D158" s="4">
        <v>3</v>
      </c>
      <c r="E158" s="12" t="str">
        <f t="array" ref="E158">IF(D158:D4199="","",IFERROR(_xlfn.XLOOKUP(D158:D4199,'参照_勢力'!A:A,'参照_勢力'!B:B),IFERROR(_xlfn.XLOOKUP(F158:F4199,kunishuClan!A:A,kunishuClan!B:B),"浪人")))</f>
      </c>
      <c r="F158" s="4">
        <v>0</v>
      </c>
      <c r="G158" s="4">
        <v>55</v>
      </c>
      <c r="H158" s="12" t="str">
        <f t="array" ref="H158">IF(G158:G4199="","",_xlfn.XLOOKUP(G158:G4199,castles_state!A:A,castles_state!D:D,"見つかりません"))</f>
      </c>
      <c r="I158" s="4"/>
      <c r="J158" s="12" t="str">
        <f t="array" ref="J158">IF(I158:I4199="","",_xlfn.XLOOKUP(I158:I4199,'参照_姫'!A:A,'参照_姫'!B:B,"見つかりません"))</f>
      </c>
      <c r="K158" s="4">
        <v>95</v>
      </c>
      <c r="L158" s="4">
        <v>0</v>
      </c>
      <c r="M158" s="4"/>
      <c r="N158" s="4"/>
      <c r="O158" s="4"/>
      <c r="P158" s="12" t="str">
        <f t="array" ref="P158">IF(O158:O4199="","",_xlfn.XLOOKUP(O158:O4199,'参照_官位'!A:A,'参照_官位'!B:B,""))</f>
      </c>
      <c r="Q158" s="12" t="str">
        <f t="array" ref="Q158">IF(A158:A4199="","",IFERROR(_xlfn.XLOOKUP(A158:A4199,castles_state!K:K,castles_state!D:D)&amp;"主",IFERROR(_xlfn.XLOOKUP(A158:A4199,kunishuClan!D:D,kunishuClan!B:B)&amp;"当主","")))</f>
      </c>
    </row>
    <row r="159" ht="15.75" customHeight="1">
      <c r="A159" s="4">
        <v>1002062</v>
      </c>
      <c r="B159" s="12" t="str">
        <f t="array" ref="B159">IF(A159:A4200="","",_xlfn.XLOOKUP(A159:A4200,'参照_武将'!A:A,'参照_武将'!B:B,"見つかりません"))</f>
      </c>
      <c r="C159" s="4" t="s">
        <v>108</v>
      </c>
      <c r="D159" s="4">
        <v>3</v>
      </c>
      <c r="E159" s="12" t="str">
        <f t="array" ref="E159">IF(D159:D4200="","",IFERROR(_xlfn.XLOOKUP(D159:D4200,'参照_勢力'!A:A,'参照_勢力'!B:B),IFERROR(_xlfn.XLOOKUP(F159:F4200,kunishuClan!A:A,kunishuClan!B:B),"浪人")))</f>
      </c>
      <c r="F159" s="4">
        <v>0</v>
      </c>
      <c r="G159" s="4">
        <v>9</v>
      </c>
      <c r="H159" s="12" t="str">
        <f t="array" ref="H159">IF(G159:G4200="","",_xlfn.XLOOKUP(G159:G4200,castles_state!A:A,castles_state!D:D,"見つかりません"))</f>
      </c>
      <c r="I159" s="4"/>
      <c r="J159" s="12" t="str">
        <f t="array" ref="J159">IF(I159:I4200="","",_xlfn.XLOOKUP(I159:I4200,'参照_姫'!A:A,'参照_姫'!B:B,"見つかりません"))</f>
      </c>
      <c r="K159" s="4">
        <v>95</v>
      </c>
      <c r="L159" s="4">
        <v>0</v>
      </c>
      <c r="M159" s="4"/>
      <c r="N159" s="4"/>
      <c r="O159" s="4"/>
      <c r="P159" s="12" t="str">
        <f t="array" ref="P159">IF(O159:O4200="","",_xlfn.XLOOKUP(O159:O4200,'参照_官位'!A:A,'参照_官位'!B:B,""))</f>
      </c>
      <c r="Q159" s="12" t="str">
        <f t="array" ref="Q159">IF(A159:A4200="","",IFERROR(_xlfn.XLOOKUP(A159:A4200,castles_state!K:K,castles_state!D:D)&amp;"主",IFERROR(_xlfn.XLOOKUP(A159:A4200,kunishuClan!D:D,kunishuClan!B:B)&amp;"当主","")))</f>
      </c>
    </row>
    <row r="160" ht="15.75" customHeight="1">
      <c r="A160" s="4">
        <v>1002063</v>
      </c>
      <c r="B160" s="12" t="str">
        <f t="array" ref="B160">IF(A160:A4201="","",_xlfn.XLOOKUP(A160:A4201,'参照_武将'!A:A,'参照_武将'!B:B,"見つかりません"))</f>
      </c>
      <c r="C160" s="4" t="s">
        <v>108</v>
      </c>
      <c r="D160" s="4">
        <v>3</v>
      </c>
      <c r="E160" s="12" t="str">
        <f t="array" ref="E160">IF(D160:D4201="","",IFERROR(_xlfn.XLOOKUP(D160:D4201,'参照_勢力'!A:A,'参照_勢力'!B:B),IFERROR(_xlfn.XLOOKUP(F160:F4201,kunishuClan!A:A,kunishuClan!B:B),"浪人")))</f>
      </c>
      <c r="F160" s="4">
        <v>0</v>
      </c>
      <c r="G160" s="4">
        <v>88</v>
      </c>
      <c r="H160" s="12" t="str">
        <f t="array" ref="H160">IF(G160:G4201="","",_xlfn.XLOOKUP(G160:G4201,castles_state!A:A,castles_state!D:D,"見つかりません"))</f>
      </c>
      <c r="I160" s="4"/>
      <c r="J160" s="12" t="str">
        <f t="array" ref="J160">IF(I160:I4201="","",_xlfn.XLOOKUP(I160:I4201,'参照_姫'!A:A,'参照_姫'!B:B,"見つかりません"))</f>
      </c>
      <c r="K160" s="4">
        <v>90</v>
      </c>
      <c r="L160" s="4">
        <v>0</v>
      </c>
      <c r="M160" s="4"/>
      <c r="N160" s="4"/>
      <c r="O160" s="4"/>
      <c r="P160" s="12" t="str">
        <f t="array" ref="P160">IF(O160:O4201="","",_xlfn.XLOOKUP(O160:O4201,'参照_官位'!A:A,'参照_官位'!B:B,""))</f>
      </c>
      <c r="Q160" s="12" t="str">
        <f t="array" ref="Q160">IF(A160:A4201="","",IFERROR(_xlfn.XLOOKUP(A160:A4201,castles_state!K:K,castles_state!D:D)&amp;"主",IFERROR(_xlfn.XLOOKUP(A160:A4201,kunishuClan!D:D,kunishuClan!B:B)&amp;"当主","")))</f>
      </c>
    </row>
    <row r="161" ht="15.75" customHeight="1">
      <c r="A161" s="4">
        <v>1002064</v>
      </c>
      <c r="B161" s="12" t="str">
        <f t="array" ref="B161">IF(A161:A4202="","",_xlfn.XLOOKUP(A161:A4202,'参照_武将'!A:A,'参照_武将'!B:B,"見つかりません"))</f>
      </c>
      <c r="C161" s="4" t="s">
        <v>108</v>
      </c>
      <c r="D161" s="4">
        <v>3</v>
      </c>
      <c r="E161" s="12" t="str">
        <f t="array" ref="E161">IF(D161:D4202="","",IFERROR(_xlfn.XLOOKUP(D161:D4202,'参照_勢力'!A:A,'参照_勢力'!B:B),IFERROR(_xlfn.XLOOKUP(F161:F4202,kunishuClan!A:A,kunishuClan!B:B),"浪人")))</f>
      </c>
      <c r="F161" s="4">
        <v>0</v>
      </c>
      <c r="G161" s="4">
        <v>96</v>
      </c>
      <c r="H161" s="12" t="str">
        <f t="array" ref="H161">IF(G161:G4202="","",_xlfn.XLOOKUP(G161:G4202,castles_state!A:A,castles_state!D:D,"見つかりません"))</f>
      </c>
      <c r="I161" s="4"/>
      <c r="J161" s="12" t="str">
        <f t="array" ref="J161">IF(I161:I4202="","",_xlfn.XLOOKUP(I161:I4202,'参照_姫'!A:A,'参照_姫'!B:B,"見つかりません"))</f>
      </c>
      <c r="K161" s="4">
        <v>95</v>
      </c>
      <c r="L161" s="4">
        <v>0</v>
      </c>
      <c r="M161" s="4"/>
      <c r="N161" s="4"/>
      <c r="O161" s="4"/>
      <c r="P161" s="12" t="str">
        <f t="array" ref="P161">IF(O161:O4202="","",_xlfn.XLOOKUP(O161:O4202,'参照_官位'!A:A,'参照_官位'!B:B,""))</f>
      </c>
      <c r="Q161" s="12" t="str">
        <f t="array" ref="Q161">IF(A161:A4202="","",IFERROR(_xlfn.XLOOKUP(A161:A4202,castles_state!K:K,castles_state!D:D)&amp;"主",IFERROR(_xlfn.XLOOKUP(A161:A4202,kunishuClan!D:D,kunishuClan!B:B)&amp;"当主","")))</f>
      </c>
    </row>
    <row r="162" ht="15.75" customHeight="1">
      <c r="A162" s="4">
        <v>1002065</v>
      </c>
      <c r="B162" s="12" t="str">
        <f t="array" ref="B162">IF(A162:A4203="","",_xlfn.XLOOKUP(A162:A4203,'参照_武将'!A:A,'参照_武将'!B:B,"見つかりません"))</f>
      </c>
      <c r="C162" s="4" t="s">
        <v>108</v>
      </c>
      <c r="D162" s="4">
        <v>3</v>
      </c>
      <c r="E162" s="12" t="str">
        <f t="array" ref="E162">IF(D162:D4203="","",IFERROR(_xlfn.XLOOKUP(D162:D4203,'参照_勢力'!A:A,'参照_勢力'!B:B),IFERROR(_xlfn.XLOOKUP(F162:F4203,kunishuClan!A:A,kunishuClan!B:B),"浪人")))</f>
      </c>
      <c r="F162" s="4">
        <v>0</v>
      </c>
      <c r="G162" s="4">
        <v>96</v>
      </c>
      <c r="H162" s="12" t="str">
        <f t="array" ref="H162">IF(G162:G4203="","",_xlfn.XLOOKUP(G162:G4203,castles_state!A:A,castles_state!D:D,"見つかりません"))</f>
      </c>
      <c r="I162" s="4"/>
      <c r="J162" s="12" t="str">
        <f t="array" ref="J162">IF(I162:I4203="","",_xlfn.XLOOKUP(I162:I4203,'参照_姫'!A:A,'参照_姫'!B:B,"見つかりません"))</f>
      </c>
      <c r="K162" s="4">
        <v>95</v>
      </c>
      <c r="L162" s="4">
        <v>0</v>
      </c>
      <c r="M162" s="4"/>
      <c r="N162" s="4"/>
      <c r="O162" s="4"/>
      <c r="P162" s="12" t="str">
        <f t="array" ref="P162">IF(O162:O4203="","",_xlfn.XLOOKUP(O162:O4203,'参照_官位'!A:A,'参照_官位'!B:B,""))</f>
      </c>
      <c r="Q162" s="12" t="str">
        <f t="array" ref="Q162">IF(A162:A4203="","",IFERROR(_xlfn.XLOOKUP(A162:A4203,castles_state!K:K,castles_state!D:D)&amp;"主",IFERROR(_xlfn.XLOOKUP(A162:A4203,kunishuClan!D:D,kunishuClan!B:B)&amp;"当主","")))</f>
      </c>
    </row>
    <row r="163" ht="15.75" customHeight="1">
      <c r="A163" s="4">
        <v>1002066</v>
      </c>
      <c r="B163" s="12" t="str">
        <f t="array" ref="B163">IF(A163:A4204="","",_xlfn.XLOOKUP(A163:A4204,'参照_武将'!A:A,'参照_武将'!B:B,"見つかりません"))</f>
      </c>
      <c r="C163" s="4" t="s">
        <v>108</v>
      </c>
      <c r="D163" s="4">
        <v>3</v>
      </c>
      <c r="E163" s="12" t="str">
        <f t="array" ref="E163">IF(D163:D4204="","",IFERROR(_xlfn.XLOOKUP(D163:D4204,'参照_勢力'!A:A,'参照_勢力'!B:B),IFERROR(_xlfn.XLOOKUP(F163:F4204,kunishuClan!A:A,kunishuClan!B:B),"浪人")))</f>
      </c>
      <c r="F163" s="4">
        <v>0</v>
      </c>
      <c r="G163" s="4">
        <v>88</v>
      </c>
      <c r="H163" s="12" t="str">
        <f t="array" ref="H163">IF(G163:G4204="","",_xlfn.XLOOKUP(G163:G4204,castles_state!A:A,castles_state!D:D,"見つかりません"))</f>
      </c>
      <c r="I163" s="4"/>
      <c r="J163" s="12" t="str">
        <f t="array" ref="J163">IF(I163:I4204="","",_xlfn.XLOOKUP(I163:I4204,'参照_姫'!A:A,'参照_姫'!B:B,"見つかりません"))</f>
      </c>
      <c r="K163" s="4">
        <v>95</v>
      </c>
      <c r="L163" s="4">
        <v>200</v>
      </c>
      <c r="M163" s="4"/>
      <c r="N163" s="4"/>
      <c r="O163" s="4"/>
      <c r="P163" s="12" t="str">
        <f t="array" ref="P163">IF(O163:O4204="","",_xlfn.XLOOKUP(O163:O4204,'参照_官位'!A:A,'参照_官位'!B:B,""))</f>
      </c>
      <c r="Q163" s="12" t="str">
        <f t="array" ref="Q163">IF(A163:A4204="","",IFERROR(_xlfn.XLOOKUP(A163:A4204,castles_state!K:K,castles_state!D:D)&amp;"主",IFERROR(_xlfn.XLOOKUP(A163:A4204,kunishuClan!D:D,kunishuClan!B:B)&amp;"当主","")))</f>
      </c>
    </row>
    <row r="164" ht="15.75" customHeight="1">
      <c r="A164" s="4">
        <v>1002067</v>
      </c>
      <c r="B164" s="12" t="str">
        <f t="array" ref="B164">IF(A164:A4205="","",_xlfn.XLOOKUP(A164:A4205,'参照_武将'!A:A,'参照_武将'!B:B,"見つかりません"))</f>
      </c>
      <c r="C164" s="4" t="s">
        <v>108</v>
      </c>
      <c r="D164" s="4">
        <v>3</v>
      </c>
      <c r="E164" s="12" t="str">
        <f t="array" ref="E164">IF(D164:D4205="","",IFERROR(_xlfn.XLOOKUP(D164:D4205,'参照_勢力'!A:A,'参照_勢力'!B:B),IFERROR(_xlfn.XLOOKUP(F164:F4205,kunishuClan!A:A,kunishuClan!B:B),"浪人")))</f>
      </c>
      <c r="F164" s="4">
        <v>0</v>
      </c>
      <c r="G164" s="4">
        <v>88</v>
      </c>
      <c r="H164" s="12" t="str">
        <f t="array" ref="H164">IF(G164:G4205="","",_xlfn.XLOOKUP(G164:G4205,castles_state!A:A,castles_state!D:D,"見つかりません"))</f>
      </c>
      <c r="I164" s="4"/>
      <c r="J164" s="12" t="str">
        <f t="array" ref="J164">IF(I164:I4205="","",_xlfn.XLOOKUP(I164:I4205,'参照_姫'!A:A,'参照_姫'!B:B,"見つかりません"))</f>
      </c>
      <c r="K164" s="4">
        <v>95</v>
      </c>
      <c r="L164" s="4">
        <v>0</v>
      </c>
      <c r="M164" s="4"/>
      <c r="N164" s="4"/>
      <c r="O164" s="4"/>
      <c r="P164" s="12" t="str">
        <f t="array" ref="P164">IF(O164:O4205="","",_xlfn.XLOOKUP(O164:O4205,'参照_官位'!A:A,'参照_官位'!B:B,""))</f>
      </c>
      <c r="Q164" s="12" t="str">
        <f t="array" ref="Q164">IF(A164:A4205="","",IFERROR(_xlfn.XLOOKUP(A164:A4205,castles_state!K:K,castles_state!D:D)&amp;"主",IFERROR(_xlfn.XLOOKUP(A164:A4205,kunishuClan!D:D,kunishuClan!B:B)&amp;"当主","")))</f>
      </c>
    </row>
    <row r="165" ht="15.75" customHeight="1">
      <c r="A165" s="4">
        <v>1002068</v>
      </c>
      <c r="B165" s="12" t="str">
        <f t="array" ref="B165">IF(A165:A4206="","",_xlfn.XLOOKUP(A165:A4206,'参照_武将'!A:A,'参照_武将'!B:B,"見つかりません"))</f>
      </c>
      <c r="C165" s="4" t="s">
        <v>108</v>
      </c>
      <c r="D165" s="4">
        <v>3</v>
      </c>
      <c r="E165" s="12" t="str">
        <f t="array" ref="E165">IF(D165:D4206="","",IFERROR(_xlfn.XLOOKUP(D165:D4206,'参照_勢力'!A:A,'参照_勢力'!B:B),IFERROR(_xlfn.XLOOKUP(F165:F4206,kunishuClan!A:A,kunishuClan!B:B),"浪人")))</f>
      </c>
      <c r="F165" s="4">
        <v>0</v>
      </c>
      <c r="G165" s="4">
        <v>88</v>
      </c>
      <c r="H165" s="12" t="str">
        <f t="array" ref="H165">IF(G165:G4206="","",_xlfn.XLOOKUP(G165:G4206,castles_state!A:A,castles_state!D:D,"見つかりません"))</f>
      </c>
      <c r="I165" s="4"/>
      <c r="J165" s="12" t="str">
        <f t="array" ref="J165">IF(I165:I4206="","",_xlfn.XLOOKUP(I165:I4206,'参照_姫'!A:A,'参照_姫'!B:B,"見つかりません"))</f>
      </c>
      <c r="K165" s="4">
        <v>95</v>
      </c>
      <c r="L165" s="4">
        <v>0</v>
      </c>
      <c r="M165" s="4"/>
      <c r="N165" s="4"/>
      <c r="O165" s="4"/>
      <c r="P165" s="12" t="str">
        <f t="array" ref="P165">IF(O165:O4206="","",_xlfn.XLOOKUP(O165:O4206,'参照_官位'!A:A,'参照_官位'!B:B,""))</f>
      </c>
      <c r="Q165" s="12" t="str">
        <f t="array" ref="Q165">IF(A165:A4206="","",IFERROR(_xlfn.XLOOKUP(A165:A4206,castles_state!K:K,castles_state!D:D)&amp;"主",IFERROR(_xlfn.XLOOKUP(A165:A4206,kunishuClan!D:D,kunishuClan!B:B)&amp;"当主","")))</f>
      </c>
    </row>
    <row r="166" ht="15.75" customHeight="1">
      <c r="A166" s="4">
        <v>1002069</v>
      </c>
      <c r="B166" s="12" t="str">
        <f t="array" ref="B166">IF(A166:A4207="","",_xlfn.XLOOKUP(A166:A4207,'参照_武将'!A:A,'参照_武将'!B:B,"見つかりません"))</f>
      </c>
      <c r="C166" s="4" t="s">
        <v>113</v>
      </c>
      <c r="D166" s="4">
        <v>4</v>
      </c>
      <c r="E166" s="12" t="str">
        <f t="array" ref="E166">IF(D166:D4207="","",IFERROR(_xlfn.XLOOKUP(D166:D4207,'参照_勢力'!A:A,'参照_勢力'!B:B),IFERROR(_xlfn.XLOOKUP(F166:F4207,kunishuClan!A:A,kunishuClan!B:B),"浪人")))</f>
      </c>
      <c r="F166" s="4">
        <v>0</v>
      </c>
      <c r="G166" s="4">
        <v>14</v>
      </c>
      <c r="H166" s="12" t="str">
        <f t="array" ref="H166">IF(G166:G4207="","",_xlfn.XLOOKUP(G166:G4207,castles_state!A:A,castles_state!D:D,"見つかりません"))</f>
      </c>
      <c r="I166" s="4"/>
      <c r="J166" s="12" t="str">
        <f t="array" ref="J166">IF(I166:I4207="","",_xlfn.XLOOKUP(I166:I4207,'参照_姫'!A:A,'参照_姫'!B:B,"見つかりません"))</f>
      </c>
      <c r="K166" s="4">
        <v>95</v>
      </c>
      <c r="L166" s="4">
        <v>0</v>
      </c>
      <c r="M166" s="4"/>
      <c r="N166" s="4"/>
      <c r="O166" s="4"/>
      <c r="P166" s="12" t="str">
        <f t="array" ref="P166">IF(O166:O4207="","",_xlfn.XLOOKUP(O166:O4207,'参照_官位'!A:A,'参照_官位'!B:B,""))</f>
      </c>
      <c r="Q166" s="12" t="str">
        <f t="array" ref="Q166">IF(A166:A4207="","",IFERROR(_xlfn.XLOOKUP(A166:A4207,castles_state!K:K,castles_state!D:D)&amp;"主",IFERROR(_xlfn.XLOOKUP(A166:A4207,kunishuClan!D:D,kunishuClan!B:B)&amp;"当主","")))</f>
      </c>
    </row>
    <row r="167" ht="15.75" customHeight="1">
      <c r="A167" s="4">
        <v>1002070</v>
      </c>
      <c r="B167" s="12" t="str">
        <f t="array" ref="B167">IF(A167:A4208="","",_xlfn.XLOOKUP(A167:A4208,'参照_武将'!A:A,'参照_武将'!B:B,"見つかりません"))</f>
      </c>
      <c r="C167" s="4" t="s">
        <v>108</v>
      </c>
      <c r="D167" s="4">
        <v>3</v>
      </c>
      <c r="E167" s="12" t="str">
        <f t="array" ref="E167">IF(D167:D4208="","",IFERROR(_xlfn.XLOOKUP(D167:D4208,'参照_勢力'!A:A,'参照_勢力'!B:B),IFERROR(_xlfn.XLOOKUP(F167:F4208,kunishuClan!A:A,kunishuClan!B:B),"浪人")))</f>
      </c>
      <c r="F167" s="4">
        <v>0</v>
      </c>
      <c r="G167" s="4">
        <v>5</v>
      </c>
      <c r="H167" s="12" t="str">
        <f t="array" ref="H167">IF(G167:G4208="","",_xlfn.XLOOKUP(G167:G4208,castles_state!A:A,castles_state!D:D,"見つかりません"))</f>
      </c>
      <c r="I167" s="4"/>
      <c r="J167" s="12" t="str">
        <f t="array" ref="J167">IF(I167:I4208="","",_xlfn.XLOOKUP(I167:I4208,'参照_姫'!A:A,'参照_姫'!B:B,"見つかりません"))</f>
      </c>
      <c r="K167" s="4">
        <v>95</v>
      </c>
      <c r="L167" s="4">
        <v>0</v>
      </c>
      <c r="M167" s="4"/>
      <c r="N167" s="4"/>
      <c r="O167" s="4"/>
      <c r="P167" s="12" t="str">
        <f t="array" ref="P167">IF(O167:O4208="","",_xlfn.XLOOKUP(O167:O4208,'参照_官位'!A:A,'参照_官位'!B:B,""))</f>
      </c>
      <c r="Q167" s="12" t="str">
        <f t="array" ref="Q167">IF(A167:A4208="","",IFERROR(_xlfn.XLOOKUP(A167:A4208,castles_state!K:K,castles_state!D:D)&amp;"主",IFERROR(_xlfn.XLOOKUP(A167:A4208,kunishuClan!D:D,kunishuClan!B:B)&amp;"当主","")))</f>
      </c>
    </row>
    <row r="168" ht="15.75" customHeight="1">
      <c r="A168" s="4">
        <v>1002071</v>
      </c>
      <c r="B168" s="12" t="str">
        <f t="array" ref="B168">IF(A168:A4209="","",_xlfn.XLOOKUP(A168:A4209,'参照_武将'!A:A,'参照_武将'!B:B,"見つかりません"))</f>
      </c>
      <c r="C168" s="4" t="s">
        <v>108</v>
      </c>
      <c r="D168" s="4">
        <v>3</v>
      </c>
      <c r="E168" s="12" t="str">
        <f t="array" ref="E168">IF(D168:D4209="","",IFERROR(_xlfn.XLOOKUP(D168:D4209,'参照_勢力'!A:A,'参照_勢力'!B:B),IFERROR(_xlfn.XLOOKUP(F168:F4209,kunishuClan!A:A,kunishuClan!B:B),"浪人")))</f>
      </c>
      <c r="F168" s="4">
        <v>0</v>
      </c>
      <c r="G168" s="4">
        <v>9</v>
      </c>
      <c r="H168" s="12" t="str">
        <f t="array" ref="H168">IF(G168:G4209="","",_xlfn.XLOOKUP(G168:G4209,castles_state!A:A,castles_state!D:D,"見つかりません"))</f>
      </c>
      <c r="I168" s="4"/>
      <c r="J168" s="12" t="str">
        <f t="array" ref="J168">IF(I168:I4209="","",_xlfn.XLOOKUP(I168:I4209,'参照_姫'!A:A,'参照_姫'!B:B,"見つかりません"))</f>
      </c>
      <c r="K168" s="4">
        <v>95</v>
      </c>
      <c r="L168" s="4">
        <v>0</v>
      </c>
      <c r="M168" s="4"/>
      <c r="N168" s="4"/>
      <c r="O168" s="4"/>
      <c r="P168" s="12" t="str">
        <f t="array" ref="P168">IF(O168:O4209="","",_xlfn.XLOOKUP(O168:O4209,'参照_官位'!A:A,'参照_官位'!B:B,""))</f>
      </c>
      <c r="Q168" s="12" t="str">
        <f t="array" ref="Q168">IF(A168:A4209="","",IFERROR(_xlfn.XLOOKUP(A168:A4209,castles_state!K:K,castles_state!D:D)&amp;"主",IFERROR(_xlfn.XLOOKUP(A168:A4209,kunishuClan!D:D,kunishuClan!B:B)&amp;"当主","")))</f>
      </c>
    </row>
    <row r="169" ht="15.75" customHeight="1">
      <c r="A169" s="4">
        <v>1002072</v>
      </c>
      <c r="B169" s="12" t="str">
        <f t="array" ref="B169">IF(A169:A4210="","",_xlfn.XLOOKUP(A169:A4210,'参照_武将'!A:A,'参照_武将'!B:B,"見つかりません"))</f>
      </c>
      <c r="C169" s="4" t="s">
        <v>108</v>
      </c>
      <c r="D169" s="4">
        <v>3</v>
      </c>
      <c r="E169" s="12" t="str">
        <f t="array" ref="E169">IF(D169:D4210="","",IFERROR(_xlfn.XLOOKUP(D169:D4210,'参照_勢力'!A:A,'参照_勢力'!B:B),IFERROR(_xlfn.XLOOKUP(F169:F4210,kunishuClan!A:A,kunishuClan!B:B),"浪人")))</f>
      </c>
      <c r="F169" s="4">
        <v>0</v>
      </c>
      <c r="G169" s="4">
        <v>229</v>
      </c>
      <c r="H169" s="12" t="str">
        <f t="array" ref="H169">IF(G169:G4210="","",_xlfn.XLOOKUP(G169:G4210,castles_state!A:A,castles_state!D:D,"見つかりません"))</f>
      </c>
      <c r="I169" s="4"/>
      <c r="J169" s="12" t="str">
        <f t="array" ref="J169">IF(I169:I4210="","",_xlfn.XLOOKUP(I169:I4210,'参照_姫'!A:A,'参照_姫'!B:B,"見つかりません"))</f>
      </c>
      <c r="K169" s="4">
        <v>90</v>
      </c>
      <c r="L169" s="4">
        <v>0</v>
      </c>
      <c r="M169" s="4"/>
      <c r="N169" s="4"/>
      <c r="O169" s="4"/>
      <c r="P169" s="12" t="str">
        <f t="array" ref="P169">IF(O169:O4210="","",_xlfn.XLOOKUP(O169:O4210,'参照_官位'!A:A,'参照_官位'!B:B,""))</f>
      </c>
      <c r="Q169" s="12" t="str">
        <f t="array" ref="Q169">IF(A169:A4210="","",IFERROR(_xlfn.XLOOKUP(A169:A4210,castles_state!K:K,castles_state!D:D)&amp;"主",IFERROR(_xlfn.XLOOKUP(A169:A4210,kunishuClan!D:D,kunishuClan!B:B)&amp;"当主","")))</f>
      </c>
    </row>
    <row r="170" ht="15.75" customHeight="1">
      <c r="A170" s="4">
        <v>1002073</v>
      </c>
      <c r="B170" s="12" t="str">
        <f t="array" ref="B170">IF(A170:A4211="","",_xlfn.XLOOKUP(A170:A4211,'参照_武将'!A:A,'参照_武将'!B:B,"見つかりません"))</f>
      </c>
      <c r="C170" s="4" t="s">
        <v>108</v>
      </c>
      <c r="D170" s="4">
        <v>3</v>
      </c>
      <c r="E170" s="12" t="str">
        <f t="array" ref="E170">IF(D170:D4211="","",IFERROR(_xlfn.XLOOKUP(D170:D4211,'参照_勢力'!A:A,'参照_勢力'!B:B),IFERROR(_xlfn.XLOOKUP(F170:F4211,kunishuClan!A:A,kunishuClan!B:B),"浪人")))</f>
      </c>
      <c r="F170" s="4">
        <v>0</v>
      </c>
      <c r="G170" s="4">
        <v>5</v>
      </c>
      <c r="H170" s="12" t="str">
        <f t="array" ref="H170">IF(G170:G4211="","",_xlfn.XLOOKUP(G170:G4211,castles_state!A:A,castles_state!D:D,"見つかりません"))</f>
      </c>
      <c r="I170" s="4"/>
      <c r="J170" s="12" t="str">
        <f t="array" ref="J170">IF(I170:I4211="","",_xlfn.XLOOKUP(I170:I4211,'参照_姫'!A:A,'参照_姫'!B:B,"見つかりません"))</f>
      </c>
      <c r="K170" s="4">
        <v>90</v>
      </c>
      <c r="L170" s="4">
        <v>0</v>
      </c>
      <c r="M170" s="4"/>
      <c r="N170" s="4"/>
      <c r="O170" s="4"/>
      <c r="P170" s="12" t="str">
        <f t="array" ref="P170">IF(O170:O4211="","",_xlfn.XLOOKUP(O170:O4211,'参照_官位'!A:A,'参照_官位'!B:B,""))</f>
      </c>
      <c r="Q170" s="12" t="str">
        <f t="array" ref="Q170">IF(A170:A4211="","",IFERROR(_xlfn.XLOOKUP(A170:A4211,castles_state!K:K,castles_state!D:D)&amp;"主",IFERROR(_xlfn.XLOOKUP(A170:A4211,kunishuClan!D:D,kunishuClan!B:B)&amp;"当主","")))</f>
      </c>
    </row>
    <row r="171" ht="15.75" customHeight="1">
      <c r="A171" s="4">
        <v>1002074</v>
      </c>
      <c r="B171" s="12" t="str">
        <f t="array" ref="B171">IF(A171:A4212="","",_xlfn.XLOOKUP(A171:A4212,'参照_武将'!A:A,'参照_武将'!B:B,"見つかりません"))</f>
      </c>
      <c r="C171" s="4" t="s">
        <v>108</v>
      </c>
      <c r="D171" s="4">
        <v>3</v>
      </c>
      <c r="E171" s="12" t="str">
        <f t="array" ref="E171">IF(D171:D4212="","",IFERROR(_xlfn.XLOOKUP(D171:D4212,'参照_勢力'!A:A,'参照_勢力'!B:B),IFERROR(_xlfn.XLOOKUP(F171:F4212,kunishuClan!A:A,kunishuClan!B:B),"浪人")))</f>
      </c>
      <c r="F171" s="4">
        <v>0</v>
      </c>
      <c r="G171" s="4">
        <v>5</v>
      </c>
      <c r="H171" s="12" t="str">
        <f t="array" ref="H171">IF(G171:G4212="","",_xlfn.XLOOKUP(G171:G4212,castles_state!A:A,castles_state!D:D,"見つかりません"))</f>
      </c>
      <c r="I171" s="4"/>
      <c r="J171" s="12" t="str">
        <f t="array" ref="J171">IF(I171:I4212="","",_xlfn.XLOOKUP(I171:I4212,'参照_姫'!A:A,'参照_姫'!B:B,"見つかりません"))</f>
      </c>
      <c r="K171" s="4">
        <v>90</v>
      </c>
      <c r="L171" s="4">
        <v>0</v>
      </c>
      <c r="M171" s="4"/>
      <c r="N171" s="4"/>
      <c r="O171" s="4"/>
      <c r="P171" s="12" t="str">
        <f t="array" ref="P171">IF(O171:O4212="","",_xlfn.XLOOKUP(O171:O4212,'参照_官位'!A:A,'参照_官位'!B:B,""))</f>
      </c>
      <c r="Q171" s="12" t="str">
        <f t="array" ref="Q171">IF(A171:A4212="","",IFERROR(_xlfn.XLOOKUP(A171:A4212,castles_state!K:K,castles_state!D:D)&amp;"主",IFERROR(_xlfn.XLOOKUP(A171:A4212,kunishuClan!D:D,kunishuClan!B:B)&amp;"当主","")))</f>
      </c>
    </row>
    <row r="172" ht="15.75" customHeight="1">
      <c r="A172" s="4">
        <v>1002075</v>
      </c>
      <c r="B172" s="12" t="str">
        <f t="array" ref="B172">IF(A172:A4213="","",_xlfn.XLOOKUP(A172:A4213,'参照_武将'!A:A,'参照_武将'!B:B,"見つかりません"))</f>
      </c>
      <c r="C172" s="4" t="s">
        <v>108</v>
      </c>
      <c r="D172" s="4">
        <v>3</v>
      </c>
      <c r="E172" s="12" t="str">
        <f t="array" ref="E172">IF(D172:D4213="","",IFERROR(_xlfn.XLOOKUP(D172:D4213,'参照_勢力'!A:A,'参照_勢力'!B:B),IFERROR(_xlfn.XLOOKUP(F172:F4213,kunishuClan!A:A,kunishuClan!B:B),"浪人")))</f>
      </c>
      <c r="F172" s="4">
        <v>0</v>
      </c>
      <c r="G172" s="4">
        <v>52</v>
      </c>
      <c r="H172" s="12" t="str">
        <f t="array" ref="H172">IF(G172:G4213="","",_xlfn.XLOOKUP(G172:G4213,castles_state!A:A,castles_state!D:D,"見つかりません"))</f>
      </c>
      <c r="I172" s="4"/>
      <c r="J172" s="12" t="str">
        <f t="array" ref="J172">IF(I172:I4213="","",_xlfn.XLOOKUP(I172:I4213,'参照_姫'!A:A,'参照_姫'!B:B,"見つかりません"))</f>
      </c>
      <c r="K172" s="4">
        <v>95</v>
      </c>
      <c r="L172" s="4">
        <v>0</v>
      </c>
      <c r="M172" s="4"/>
      <c r="N172" s="4"/>
      <c r="O172" s="4"/>
      <c r="P172" s="12" t="str">
        <f t="array" ref="P172">IF(O172:O4213="","",_xlfn.XLOOKUP(O172:O4213,'参照_官位'!A:A,'参照_官位'!B:B,""))</f>
      </c>
      <c r="Q172" s="12" t="str">
        <f t="array" ref="Q172">IF(A172:A4213="","",IFERROR(_xlfn.XLOOKUP(A172:A4213,castles_state!K:K,castles_state!D:D)&amp;"主",IFERROR(_xlfn.XLOOKUP(A172:A4213,kunishuClan!D:D,kunishuClan!B:B)&amp;"当主","")))</f>
      </c>
    </row>
    <row r="173" ht="15.75" customHeight="1">
      <c r="A173" s="4">
        <v>1002076</v>
      </c>
      <c r="B173" s="12" t="str">
        <f t="array" ref="B173">IF(A173:A4214="","",_xlfn.XLOOKUP(A173:A4214,'参照_武将'!A:A,'参照_武将'!B:B,"見つかりません"))</f>
      </c>
      <c r="C173" s="4" t="s">
        <v>108</v>
      </c>
      <c r="D173" s="4">
        <v>3</v>
      </c>
      <c r="E173" s="12" t="str">
        <f t="array" ref="E173">IF(D173:D4214="","",IFERROR(_xlfn.XLOOKUP(D173:D4214,'参照_勢力'!A:A,'参照_勢力'!B:B),IFERROR(_xlfn.XLOOKUP(F173:F4214,kunishuClan!A:A,kunishuClan!B:B),"浪人")))</f>
      </c>
      <c r="F173" s="4">
        <v>0</v>
      </c>
      <c r="G173" s="4">
        <v>52</v>
      </c>
      <c r="H173" s="12" t="str">
        <f t="array" ref="H173">IF(G173:G4214="","",_xlfn.XLOOKUP(G173:G4214,castles_state!A:A,castles_state!D:D,"見つかりません"))</f>
      </c>
      <c r="I173" s="4"/>
      <c r="J173" s="12" t="str">
        <f t="array" ref="J173">IF(I173:I4214="","",_xlfn.XLOOKUP(I173:I4214,'参照_姫'!A:A,'参照_姫'!B:B,"見つかりません"))</f>
      </c>
      <c r="K173" s="4">
        <v>90</v>
      </c>
      <c r="L173" s="4">
        <v>0</v>
      </c>
      <c r="M173" s="4"/>
      <c r="N173" s="4"/>
      <c r="O173" s="4"/>
      <c r="P173" s="12" t="str">
        <f t="array" ref="P173">IF(O173:O4214="","",_xlfn.XLOOKUP(O173:O4214,'参照_官位'!A:A,'参照_官位'!B:B,""))</f>
      </c>
      <c r="Q173" s="12" t="str">
        <f t="array" ref="Q173">IF(A173:A4214="","",IFERROR(_xlfn.XLOOKUP(A173:A4214,castles_state!K:K,castles_state!D:D)&amp;"主",IFERROR(_xlfn.XLOOKUP(A173:A4214,kunishuClan!D:D,kunishuClan!B:B)&amp;"当主","")))</f>
      </c>
    </row>
    <row r="174" ht="15.75" customHeight="1">
      <c r="A174" s="4">
        <v>1002077</v>
      </c>
      <c r="B174" s="12" t="str">
        <f t="array" ref="B174">IF(A174:A4215="","",_xlfn.XLOOKUP(A174:A4215,'参照_武将'!A:A,'参照_武将'!B:B,"見つかりません"))</f>
      </c>
      <c r="C174" s="4" t="s">
        <v>108</v>
      </c>
      <c r="D174" s="4">
        <v>3</v>
      </c>
      <c r="E174" s="12" t="str">
        <f t="array" ref="E174">IF(D174:D4215="","",IFERROR(_xlfn.XLOOKUP(D174:D4215,'参照_勢力'!A:A,'参照_勢力'!B:B),IFERROR(_xlfn.XLOOKUP(F174:F4215,kunishuClan!A:A,kunishuClan!B:B),"浪人")))</f>
      </c>
      <c r="F174" s="4">
        <v>0</v>
      </c>
      <c r="G174" s="4">
        <v>9</v>
      </c>
      <c r="H174" s="12" t="str">
        <f t="array" ref="H174">IF(G174:G4215="","",_xlfn.XLOOKUP(G174:G4215,castles_state!A:A,castles_state!D:D,"見つかりません"))</f>
      </c>
      <c r="I174" s="4"/>
      <c r="J174" s="12" t="str">
        <f t="array" ref="J174">IF(I174:I4215="","",_xlfn.XLOOKUP(I174:I4215,'参照_姫'!A:A,'参照_姫'!B:B,"見つかりません"))</f>
      </c>
      <c r="K174" s="4">
        <v>95</v>
      </c>
      <c r="L174" s="4">
        <v>0</v>
      </c>
      <c r="M174" s="4"/>
      <c r="N174" s="4"/>
      <c r="O174" s="4"/>
      <c r="P174" s="12" t="str">
        <f t="array" ref="P174">IF(O174:O4215="","",_xlfn.XLOOKUP(O174:O4215,'参照_官位'!A:A,'参照_官位'!B:B,""))</f>
      </c>
      <c r="Q174" s="12" t="str">
        <f t="array" ref="Q174">IF(A174:A4215="","",IFERROR(_xlfn.XLOOKUP(A174:A4215,castles_state!K:K,castles_state!D:D)&amp;"主",IFERROR(_xlfn.XLOOKUP(A174:A4215,kunishuClan!D:D,kunishuClan!B:B)&amp;"当主","")))</f>
      </c>
    </row>
    <row r="175" ht="15.75" customHeight="1">
      <c r="A175" s="4">
        <v>1002078</v>
      </c>
      <c r="B175" s="12" t="str">
        <f t="array" ref="B175">IF(A175:A4216="","",_xlfn.XLOOKUP(A175:A4216,'参照_武将'!A:A,'参照_武将'!B:B,"見つかりません"))</f>
      </c>
      <c r="C175" s="4" t="s">
        <v>108</v>
      </c>
      <c r="D175" s="4">
        <v>3</v>
      </c>
      <c r="E175" s="12" t="str">
        <f t="array" ref="E175">IF(D175:D4216="","",IFERROR(_xlfn.XLOOKUP(D175:D4216,'参照_勢力'!A:A,'参照_勢力'!B:B),IFERROR(_xlfn.XLOOKUP(F175:F4216,kunishuClan!A:A,kunishuClan!B:B),"浪人")))</f>
      </c>
      <c r="F175" s="4">
        <v>0</v>
      </c>
      <c r="G175" s="4">
        <v>9</v>
      </c>
      <c r="H175" s="12" t="str">
        <f t="array" ref="H175">IF(G175:G4216="","",_xlfn.XLOOKUP(G175:G4216,castles_state!A:A,castles_state!D:D,"見つかりません"))</f>
      </c>
      <c r="I175" s="4"/>
      <c r="J175" s="12" t="str">
        <f t="array" ref="J175">IF(I175:I4216="","",_xlfn.XLOOKUP(I175:I4216,'参照_姫'!A:A,'参照_姫'!B:B,"見つかりません"))</f>
      </c>
      <c r="K175" s="4">
        <v>95</v>
      </c>
      <c r="L175" s="4">
        <v>0</v>
      </c>
      <c r="M175" s="4"/>
      <c r="N175" s="4"/>
      <c r="O175" s="4"/>
      <c r="P175" s="12" t="str">
        <f t="array" ref="P175">IF(O175:O4216="","",_xlfn.XLOOKUP(O175:O4216,'参照_官位'!A:A,'参照_官位'!B:B,""))</f>
      </c>
      <c r="Q175" s="12" t="str">
        <f t="array" ref="Q175">IF(A175:A4216="","",IFERROR(_xlfn.XLOOKUP(A175:A4216,castles_state!K:K,castles_state!D:D)&amp;"主",IFERROR(_xlfn.XLOOKUP(A175:A4216,kunishuClan!D:D,kunishuClan!B:B)&amp;"当主","")))</f>
      </c>
    </row>
    <row r="176" ht="15.75" customHeight="1">
      <c r="A176" s="4">
        <v>1002079</v>
      </c>
      <c r="B176" s="12" t="str">
        <f t="array" ref="B176">IF(A176:A4217="","",_xlfn.XLOOKUP(A176:A4217,'参照_武将'!A:A,'参照_武将'!B:B,"見つかりません"))</f>
      </c>
      <c r="C176" s="4" t="s">
        <v>108</v>
      </c>
      <c r="D176" s="4">
        <v>3</v>
      </c>
      <c r="E176" s="12" t="str">
        <f t="array" ref="E176">IF(D176:D4217="","",IFERROR(_xlfn.XLOOKUP(D176:D4217,'参照_勢力'!A:A,'参照_勢力'!B:B),IFERROR(_xlfn.XLOOKUP(F176:F4217,kunishuClan!A:A,kunishuClan!B:B),"浪人")))</f>
      </c>
      <c r="F176" s="4">
        <v>0</v>
      </c>
      <c r="G176" s="4">
        <v>9</v>
      </c>
      <c r="H176" s="12" t="str">
        <f t="array" ref="H176">IF(G176:G4217="","",_xlfn.XLOOKUP(G176:G4217,castles_state!A:A,castles_state!D:D,"見つかりません"))</f>
      </c>
      <c r="I176" s="4"/>
      <c r="J176" s="12" t="str">
        <f t="array" ref="J176">IF(I176:I4217="","",_xlfn.XLOOKUP(I176:I4217,'参照_姫'!A:A,'参照_姫'!B:B,"見つかりません"))</f>
      </c>
      <c r="K176" s="4">
        <v>95</v>
      </c>
      <c r="L176" s="4">
        <v>0</v>
      </c>
      <c r="M176" s="4"/>
      <c r="N176" s="4"/>
      <c r="O176" s="4"/>
      <c r="P176" s="12" t="str">
        <f t="array" ref="P176">IF(O176:O4217="","",_xlfn.XLOOKUP(O176:O4217,'参照_官位'!A:A,'参照_官位'!B:B,""))</f>
      </c>
      <c r="Q176" s="12" t="str">
        <f t="array" ref="Q176">IF(A176:A4217="","",IFERROR(_xlfn.XLOOKUP(A176:A4217,castles_state!K:K,castles_state!D:D)&amp;"主",IFERROR(_xlfn.XLOOKUP(A176:A4217,kunishuClan!D:D,kunishuClan!B:B)&amp;"当主","")))</f>
      </c>
    </row>
    <row r="177" ht="15.75" customHeight="1">
      <c r="A177" s="4">
        <v>1003001</v>
      </c>
      <c r="B177" s="12" t="str">
        <f t="array" ref="B177">IF(A177:A4218="","",_xlfn.XLOOKUP(A177:A4218,'参照_武将'!A:A,'参照_武将'!B:B,"見つかりません"))</f>
      </c>
      <c r="C177" s="4" t="s">
        <v>113</v>
      </c>
      <c r="D177" s="4">
        <v>4</v>
      </c>
      <c r="E177" s="12" t="str">
        <f t="array" ref="E177">IF(D177:D4218="","",IFERROR(_xlfn.XLOOKUP(D177:D4218,'参照_勢力'!A:A,'参照_勢力'!B:B),IFERROR(_xlfn.XLOOKUP(F177:F4218,kunishuClan!A:A,kunishuClan!B:B),"浪人")))</f>
      </c>
      <c r="F177" s="4">
        <v>0</v>
      </c>
      <c r="G177" s="4">
        <v>14</v>
      </c>
      <c r="H177" s="12" t="str">
        <f t="array" ref="H177">IF(G177:G4218="","",_xlfn.XLOOKUP(G177:G4218,castles_state!A:A,castles_state!D:D,"見つかりません"))</f>
      </c>
      <c r="I177" s="4"/>
      <c r="J177" s="12" t="str">
        <f t="array" ref="J177">IF(I177:I4218="","",_xlfn.XLOOKUP(I177:I4218,'参照_姫'!A:A,'参照_姫'!B:B,"見つかりません"))</f>
      </c>
      <c r="K177" s="4">
        <v>95</v>
      </c>
      <c r="L177" s="4">
        <v>0</v>
      </c>
      <c r="M177" s="4"/>
      <c r="N177" s="4"/>
      <c r="O177" s="4"/>
      <c r="P177" s="12" t="str">
        <f t="array" ref="P177">IF(O177:O4218="","",_xlfn.XLOOKUP(O177:O4218,'参照_官位'!A:A,'参照_官位'!B:B,""))</f>
      </c>
      <c r="Q177" s="12" t="str">
        <f t="array" ref="Q177">IF(A177:A4218="","",IFERROR(_xlfn.XLOOKUP(A177:A4218,castles_state!K:K,castles_state!D:D)&amp;"主",IFERROR(_xlfn.XLOOKUP(A177:A4218,kunishuClan!D:D,kunishuClan!B:B)&amp;"当主","")))</f>
      </c>
    </row>
    <row r="178" ht="15.75" customHeight="1">
      <c r="A178" s="4">
        <v>1003002</v>
      </c>
      <c r="B178" s="12" t="str">
        <f t="array" ref="B178">IF(A178:A4219="","",_xlfn.XLOOKUP(A178:A4219,'参照_武将'!A:A,'参照_武将'!B:B,"見つかりません"))</f>
      </c>
      <c r="C178" s="4" t="s">
        <v>113</v>
      </c>
      <c r="D178" s="4">
        <v>4</v>
      </c>
      <c r="E178" s="12" t="str">
        <f t="array" ref="E178">IF(D178:D4219="","",IFERROR(_xlfn.XLOOKUP(D178:D4219,'参照_勢力'!A:A,'参照_勢力'!B:B),IFERROR(_xlfn.XLOOKUP(F178:F4219,kunishuClan!A:A,kunishuClan!B:B),"浪人")))</f>
      </c>
      <c r="F178" s="4">
        <v>0</v>
      </c>
      <c r="G178" s="4">
        <v>14</v>
      </c>
      <c r="H178" s="12" t="str">
        <f t="array" ref="H178">IF(G178:G4219="","",_xlfn.XLOOKUP(G178:G4219,castles_state!A:A,castles_state!D:D,"見つかりません"))</f>
      </c>
      <c r="I178" s="4"/>
      <c r="J178" s="12" t="str">
        <f t="array" ref="J178">IF(I178:I4219="","",_xlfn.XLOOKUP(I178:I4219,'参照_姫'!A:A,'参照_姫'!B:B,"見つかりません"))</f>
      </c>
      <c r="K178" s="4">
        <v>95</v>
      </c>
      <c r="L178" s="4">
        <v>0</v>
      </c>
      <c r="M178" s="4"/>
      <c r="N178" s="4"/>
      <c r="O178" s="4"/>
      <c r="P178" s="12" t="str">
        <f t="array" ref="P178">IF(O178:O4219="","",_xlfn.XLOOKUP(O178:O4219,'参照_官位'!A:A,'参照_官位'!B:B,""))</f>
      </c>
      <c r="Q178" s="12" t="str">
        <f t="array" ref="Q178">IF(A178:A4219="","",IFERROR(_xlfn.XLOOKUP(A178:A4219,castles_state!K:K,castles_state!D:D)&amp;"主",IFERROR(_xlfn.XLOOKUP(A178:A4219,kunishuClan!D:D,kunishuClan!B:B)&amp;"当主","")))</f>
      </c>
    </row>
    <row r="179" ht="15.75" customHeight="1">
      <c r="A179" s="4">
        <v>1003003</v>
      </c>
      <c r="B179" s="12" t="str">
        <f t="array" ref="B179">IF(A179:A4220="","",_xlfn.XLOOKUP(A179:A4220,'参照_武将'!A:A,'参照_武将'!B:B,"見つかりません"))</f>
      </c>
      <c r="C179" s="4" t="s">
        <v>113</v>
      </c>
      <c r="D179" s="4">
        <v>4</v>
      </c>
      <c r="E179" s="12" t="str">
        <f t="array" ref="E179">IF(D179:D4220="","",IFERROR(_xlfn.XLOOKUP(D179:D4220,'参照_勢力'!A:A,'参照_勢力'!B:B),IFERROR(_xlfn.XLOOKUP(F179:F4220,kunishuClan!A:A,kunishuClan!B:B),"浪人")))</f>
      </c>
      <c r="F179" s="4">
        <v>0</v>
      </c>
      <c r="G179" s="4">
        <v>14</v>
      </c>
      <c r="H179" s="12" t="str">
        <f t="array" ref="H179">IF(G179:G4220="","",_xlfn.XLOOKUP(G179:G4220,castles_state!A:A,castles_state!D:D,"見つかりません"))</f>
      </c>
      <c r="I179" s="4"/>
      <c r="J179" s="12" t="str">
        <f t="array" ref="J179">IF(I179:I4220="","",_xlfn.XLOOKUP(I179:I4220,'参照_姫'!A:A,'参照_姫'!B:B,"見つかりません"))</f>
      </c>
      <c r="K179" s="4">
        <v>100</v>
      </c>
      <c r="L179" s="4">
        <v>200</v>
      </c>
      <c r="M179" s="4"/>
      <c r="N179" s="4" t="b">
        <v>1</v>
      </c>
      <c r="O179" s="4">
        <v>146</v>
      </c>
      <c r="P179" s="12" t="str">
        <f t="array" ref="P179">IF(O179:O4220="","",_xlfn.XLOOKUP(O179:O4220,'参照_官位'!A:A,'参照_官位'!B:B,""))</f>
      </c>
      <c r="Q179" s="12" t="str">
        <f t="array" ref="Q179">IF(A179:A4220="","",IFERROR(_xlfn.XLOOKUP(A179:A4220,castles_state!K:K,castles_state!D:D)&amp;"主",IFERROR(_xlfn.XLOOKUP(A179:A4220,kunishuClan!D:D,kunishuClan!B:B)&amp;"当主","")))</f>
      </c>
    </row>
    <row r="180" ht="15.75" customHeight="1">
      <c r="A180" s="4">
        <v>1003004</v>
      </c>
      <c r="B180" s="12" t="str">
        <f t="array" ref="B180">IF(A180:A4221="","",_xlfn.XLOOKUP(A180:A4221,'参照_武将'!A:A,'参照_武将'!B:B,"見つかりません"))</f>
      </c>
      <c r="C180" s="4" t="s">
        <v>113</v>
      </c>
      <c r="D180" s="4">
        <v>4</v>
      </c>
      <c r="E180" s="12" t="str">
        <f t="array" ref="E180">IF(D180:D4221="","",IFERROR(_xlfn.XLOOKUP(D180:D4221,'参照_勢力'!A:A,'参照_勢力'!B:B),IFERROR(_xlfn.XLOOKUP(F180:F4221,kunishuClan!A:A,kunishuClan!B:B),"浪人")))</f>
      </c>
      <c r="F180" s="4">
        <v>0</v>
      </c>
      <c r="G180" s="4">
        <v>14</v>
      </c>
      <c r="H180" s="12" t="str">
        <f t="array" ref="H180">IF(G180:G4221="","",_xlfn.XLOOKUP(G180:G4221,castles_state!A:A,castles_state!D:D,"見つかりません"))</f>
      </c>
      <c r="I180" s="4">
        <v>5</v>
      </c>
      <c r="J180" s="12" t="str">
        <f t="array" ref="J180">IF(I180:I4221="","",_xlfn.XLOOKUP(I180:I4221,'参照_姫'!A:A,'参照_姫'!B:B,"見つかりません"))</f>
      </c>
      <c r="K180" s="4">
        <v>100</v>
      </c>
      <c r="L180" s="4">
        <v>1500</v>
      </c>
      <c r="M180" s="4"/>
      <c r="N180" s="4"/>
      <c r="O180" s="4"/>
      <c r="P180" s="12" t="str">
        <f t="array" ref="P180">IF(O180:O4221="","",_xlfn.XLOOKUP(O180:O4221,'参照_官位'!A:A,'参照_官位'!B:B,""))</f>
      </c>
      <c r="Q180" s="12" t="str">
        <f t="array" ref="Q180">IF(A180:A4221="","",IFERROR(_xlfn.XLOOKUP(A180:A4221,castles_state!K:K,castles_state!D:D)&amp;"主",IFERROR(_xlfn.XLOOKUP(A180:A4221,kunishuClan!D:D,kunishuClan!B:B)&amp;"当主","")))</f>
      </c>
    </row>
    <row r="181" ht="15.75" customHeight="1">
      <c r="A181" s="4">
        <v>1003005</v>
      </c>
      <c r="B181" s="12" t="str">
        <f t="array" ref="B181">IF(A181:A4222="","",_xlfn.XLOOKUP(A181:A4222,'参照_武将'!A:A,'参照_武将'!B:B,"見つかりません"))</f>
      </c>
      <c r="C181" s="4" t="s">
        <v>113</v>
      </c>
      <c r="D181" s="4">
        <v>4</v>
      </c>
      <c r="E181" s="12" t="str">
        <f t="array" ref="E181">IF(D181:D4222="","",IFERROR(_xlfn.XLOOKUP(D181:D4222,'参照_勢力'!A:A,'参照_勢力'!B:B),IFERROR(_xlfn.XLOOKUP(F181:F4222,kunishuClan!A:A,kunishuClan!B:B),"浪人")))</f>
      </c>
      <c r="F181" s="4">
        <v>0</v>
      </c>
      <c r="G181" s="4">
        <v>14</v>
      </c>
      <c r="H181" s="12" t="str">
        <f t="array" ref="H181">IF(G181:G4222="","",_xlfn.XLOOKUP(G181:G4222,castles_state!A:A,castles_state!D:D,"見つかりません"))</f>
      </c>
      <c r="I181" s="4"/>
      <c r="J181" s="12" t="str">
        <f t="array" ref="J181">IF(I181:I4222="","",_xlfn.XLOOKUP(I181:I4222,'参照_姫'!A:A,'参照_姫'!B:B,"見つかりません"))</f>
      </c>
      <c r="K181" s="4">
        <v>95</v>
      </c>
      <c r="L181" s="4">
        <v>0</v>
      </c>
      <c r="M181" s="4"/>
      <c r="N181" s="4"/>
      <c r="O181" s="4"/>
      <c r="P181" s="12" t="str">
        <f t="array" ref="P181">IF(O181:O4222="","",_xlfn.XLOOKUP(O181:O4222,'参照_官位'!A:A,'参照_官位'!B:B,""))</f>
      </c>
      <c r="Q181" s="12" t="str">
        <f t="array" ref="Q181">IF(A181:A4222="","",IFERROR(_xlfn.XLOOKUP(A181:A4222,castles_state!K:K,castles_state!D:D)&amp;"主",IFERROR(_xlfn.XLOOKUP(A181:A4222,kunishuClan!D:D,kunishuClan!B:B)&amp;"当主","")))</f>
      </c>
    </row>
    <row r="182" ht="15.75" customHeight="1">
      <c r="A182" s="4">
        <v>1003006</v>
      </c>
      <c r="B182" s="12" t="str">
        <f t="array" ref="B182">IF(A182:A4223="","",_xlfn.XLOOKUP(A182:A4223,'参照_武将'!A:A,'参照_武将'!B:B,"見つかりません"))</f>
      </c>
      <c r="C182" s="4" t="s">
        <v>113</v>
      </c>
      <c r="D182" s="4">
        <v>4</v>
      </c>
      <c r="E182" s="12" t="str">
        <f t="array" ref="E182">IF(D182:D4223="","",IFERROR(_xlfn.XLOOKUP(D182:D4223,'参照_勢力'!A:A,'参照_勢力'!B:B),IFERROR(_xlfn.XLOOKUP(F182:F4223,kunishuClan!A:A,kunishuClan!B:B),"浪人")))</f>
      </c>
      <c r="F182" s="4">
        <v>0</v>
      </c>
      <c r="G182" s="4">
        <v>14</v>
      </c>
      <c r="H182" s="12" t="str">
        <f t="array" ref="H182">IF(G182:G4223="","",_xlfn.XLOOKUP(G182:G4223,castles_state!A:A,castles_state!D:D,"見つかりません"))</f>
      </c>
      <c r="I182" s="4"/>
      <c r="J182" s="12" t="str">
        <f t="array" ref="J182">IF(I182:I4223="","",_xlfn.XLOOKUP(I182:I4223,'参照_姫'!A:A,'参照_姫'!B:B,"見つかりません"))</f>
      </c>
      <c r="K182" s="4">
        <v>95</v>
      </c>
      <c r="L182" s="4">
        <v>0</v>
      </c>
      <c r="M182" s="4"/>
      <c r="N182" s="4"/>
      <c r="O182" s="4"/>
      <c r="P182" s="12" t="str">
        <f t="array" ref="P182">IF(O182:O4223="","",_xlfn.XLOOKUP(O182:O4223,'参照_官位'!A:A,'参照_官位'!B:B,""))</f>
      </c>
      <c r="Q182" s="12" t="str">
        <f t="array" ref="Q182">IF(A182:A4223="","",IFERROR(_xlfn.XLOOKUP(A182:A4223,castles_state!K:K,castles_state!D:D)&amp;"主",IFERROR(_xlfn.XLOOKUP(A182:A4223,kunishuClan!D:D,kunishuClan!B:B)&amp;"当主","")))</f>
      </c>
    </row>
    <row r="183" ht="15.75" customHeight="1">
      <c r="A183" s="4">
        <v>1003007</v>
      </c>
      <c r="B183" s="12" t="str">
        <f t="array" ref="B183">IF(A183:A4224="","",_xlfn.XLOOKUP(A183:A4224,'参照_武将'!A:A,'参照_武将'!B:B,"見つかりません"))</f>
      </c>
      <c r="C183" s="4" t="s">
        <v>113</v>
      </c>
      <c r="D183" s="4">
        <v>4</v>
      </c>
      <c r="E183" s="12" t="str">
        <f t="array" ref="E183">IF(D183:D4224="","",IFERROR(_xlfn.XLOOKUP(D183:D4224,'参照_勢力'!A:A,'参照_勢力'!B:B),IFERROR(_xlfn.XLOOKUP(F183:F4224,kunishuClan!A:A,kunishuClan!B:B),"浪人")))</f>
      </c>
      <c r="F183" s="4">
        <v>0</v>
      </c>
      <c r="G183" s="4">
        <v>93</v>
      </c>
      <c r="H183" s="12" t="str">
        <f t="array" ref="H183">IF(G183:G4224="","",_xlfn.XLOOKUP(G183:G4224,castles_state!A:A,castles_state!D:D,"見つかりません"))</f>
      </c>
      <c r="I183" s="4"/>
      <c r="J183" s="12" t="str">
        <f t="array" ref="J183">IF(I183:I4224="","",_xlfn.XLOOKUP(I183:I4224,'参照_姫'!A:A,'参照_姫'!B:B,"見つかりません"))</f>
      </c>
      <c r="K183" s="4">
        <v>95</v>
      </c>
      <c r="L183" s="4">
        <v>300</v>
      </c>
      <c r="M183" s="4"/>
      <c r="N183" s="4"/>
      <c r="O183" s="4"/>
      <c r="P183" s="12" t="str">
        <f t="array" ref="P183">IF(O183:O4224="","",_xlfn.XLOOKUP(O183:O4224,'参照_官位'!A:A,'参照_官位'!B:B,""))</f>
      </c>
      <c r="Q183" s="12" t="str">
        <f t="array" ref="Q183">IF(A183:A4224="","",IFERROR(_xlfn.XLOOKUP(A183:A4224,castles_state!K:K,castles_state!D:D)&amp;"主",IFERROR(_xlfn.XLOOKUP(A183:A4224,kunishuClan!D:D,kunishuClan!B:B)&amp;"当主","")))</f>
      </c>
    </row>
    <row r="184" ht="15.75" customHeight="1">
      <c r="A184" s="4">
        <v>1003008</v>
      </c>
      <c r="B184" s="12" t="str">
        <f t="array" ref="B184">IF(A184:A4225="","",_xlfn.XLOOKUP(A184:A4225,'参照_武将'!A:A,'参照_武将'!B:B,"見つかりません"))</f>
      </c>
      <c r="C184" s="4" t="s">
        <v>113</v>
      </c>
      <c r="D184" s="4">
        <v>4</v>
      </c>
      <c r="E184" s="12" t="str">
        <f t="array" ref="E184">IF(D184:D4225="","",IFERROR(_xlfn.XLOOKUP(D184:D4225,'参照_勢力'!A:A,'参照_勢力'!B:B),IFERROR(_xlfn.XLOOKUP(F184:F4225,kunishuClan!A:A,kunishuClan!B:B),"浪人")))</f>
      </c>
      <c r="F184" s="4">
        <v>0</v>
      </c>
      <c r="G184" s="4">
        <v>97</v>
      </c>
      <c r="H184" s="12" t="str">
        <f t="array" ref="H184">IF(G184:G4225="","",_xlfn.XLOOKUP(G184:G4225,castles_state!A:A,castles_state!D:D,"見つかりません"))</f>
      </c>
      <c r="I184" s="4"/>
      <c r="J184" s="12" t="str">
        <f t="array" ref="J184">IF(I184:I4225="","",_xlfn.XLOOKUP(I184:I4225,'参照_姫'!A:A,'参照_姫'!B:B,"見つかりません"))</f>
      </c>
      <c r="K184" s="4">
        <v>95</v>
      </c>
      <c r="L184" s="4">
        <v>300</v>
      </c>
      <c r="M184" s="4"/>
      <c r="N184" s="4"/>
      <c r="O184" s="4"/>
      <c r="P184" s="12" t="str">
        <f t="array" ref="P184">IF(O184:O4225="","",_xlfn.XLOOKUP(O184:O4225,'参照_官位'!A:A,'参照_官位'!B:B,""))</f>
      </c>
      <c r="Q184" s="12" t="str">
        <f t="array" ref="Q184">IF(A184:A4225="","",IFERROR(_xlfn.XLOOKUP(A184:A4225,castles_state!K:K,castles_state!D:D)&amp;"主",IFERROR(_xlfn.XLOOKUP(A184:A4225,kunishuClan!D:D,kunishuClan!B:B)&amp;"当主","")))</f>
      </c>
    </row>
    <row r="185" ht="15.75" customHeight="1">
      <c r="A185" s="4">
        <v>1003009</v>
      </c>
      <c r="B185" s="12" t="str">
        <f t="array" ref="B185">IF(A185:A4226="","",_xlfn.XLOOKUP(A185:A4226,'参照_武将'!A:A,'参照_武将'!B:B,"見つかりません"))</f>
      </c>
      <c r="C185" s="4" t="s">
        <v>113</v>
      </c>
      <c r="D185" s="4">
        <v>4</v>
      </c>
      <c r="E185" s="12" t="str">
        <f t="array" ref="E185">IF(D185:D4226="","",IFERROR(_xlfn.XLOOKUP(D185:D4226,'参照_勢力'!A:A,'参照_勢力'!B:B),IFERROR(_xlfn.XLOOKUP(F185:F4226,kunishuClan!A:A,kunishuClan!B:B),"浪人")))</f>
      </c>
      <c r="F185" s="4">
        <v>0</v>
      </c>
      <c r="G185" s="4">
        <v>98</v>
      </c>
      <c r="H185" s="12" t="str">
        <f t="array" ref="H185">IF(G185:G4226="","",_xlfn.XLOOKUP(G185:G4226,castles_state!A:A,castles_state!D:D,"見つかりません"))</f>
      </c>
      <c r="I185" s="4"/>
      <c r="J185" s="12" t="str">
        <f t="array" ref="J185">IF(I185:I4226="","",_xlfn.XLOOKUP(I185:I4226,'参照_姫'!A:A,'参照_姫'!B:B,"見つかりません"))</f>
      </c>
      <c r="K185" s="4">
        <v>95</v>
      </c>
      <c r="L185" s="4">
        <v>300</v>
      </c>
      <c r="M185" s="4"/>
      <c r="N185" s="4"/>
      <c r="O185" s="4"/>
      <c r="P185" s="12" t="str">
        <f t="array" ref="P185">IF(O185:O4226="","",_xlfn.XLOOKUP(O185:O4226,'参照_官位'!A:A,'参照_官位'!B:B,""))</f>
      </c>
      <c r="Q185" s="12" t="str">
        <f t="array" ref="Q185">IF(A185:A4226="","",IFERROR(_xlfn.XLOOKUP(A185:A4226,castles_state!K:K,castles_state!D:D)&amp;"主",IFERROR(_xlfn.XLOOKUP(A185:A4226,kunishuClan!D:D,kunishuClan!B:B)&amp;"当主","")))</f>
      </c>
    </row>
    <row r="186" ht="15.75" customHeight="1">
      <c r="A186" s="4">
        <v>1003010</v>
      </c>
      <c r="B186" s="12" t="str">
        <f t="array" ref="B186">IF(A186:A4227="","",_xlfn.XLOOKUP(A186:A4227,'参照_武将'!A:A,'参照_武将'!B:B,"見つかりません"))</f>
      </c>
      <c r="C186" s="4" t="s">
        <v>113</v>
      </c>
      <c r="D186" s="4">
        <v>4</v>
      </c>
      <c r="E186" s="12" t="str">
        <f t="array" ref="E186">IF(D186:D4227="","",IFERROR(_xlfn.XLOOKUP(D186:D4227,'参照_勢力'!A:A,'参照_勢力'!B:B),IFERROR(_xlfn.XLOOKUP(F186:F4227,kunishuClan!A:A,kunishuClan!B:B),"浪人")))</f>
      </c>
      <c r="F186" s="4">
        <v>0</v>
      </c>
      <c r="G186" s="4">
        <v>14</v>
      </c>
      <c r="H186" s="12" t="str">
        <f t="array" ref="H186">IF(G186:G4227="","",_xlfn.XLOOKUP(G186:G4227,castles_state!A:A,castles_state!D:D,"見つかりません"))</f>
      </c>
      <c r="I186" s="4"/>
      <c r="J186" s="12" t="str">
        <f t="array" ref="J186">IF(I186:I4227="","",_xlfn.XLOOKUP(I186:I4227,'参照_姫'!A:A,'参照_姫'!B:B,"見つかりません"))</f>
      </c>
      <c r="K186" s="4">
        <v>95</v>
      </c>
      <c r="L186" s="4">
        <v>0</v>
      </c>
      <c r="M186" s="4"/>
      <c r="N186" s="4"/>
      <c r="O186" s="4"/>
      <c r="P186" s="12" t="str">
        <f t="array" ref="P186">IF(O186:O4227="","",_xlfn.XLOOKUP(O186:O4227,'参照_官位'!A:A,'参照_官位'!B:B,""))</f>
      </c>
      <c r="Q186" s="12" t="str">
        <f t="array" ref="Q186">IF(A186:A4227="","",IFERROR(_xlfn.XLOOKUP(A186:A4227,castles_state!K:K,castles_state!D:D)&amp;"主",IFERROR(_xlfn.XLOOKUP(A186:A4227,kunishuClan!D:D,kunishuClan!B:B)&amp;"当主","")))</f>
      </c>
    </row>
    <row r="187" ht="15.75" customHeight="1">
      <c r="A187" s="4">
        <v>1003011</v>
      </c>
      <c r="B187" s="12" t="str">
        <f t="array" ref="B187">IF(A187:A4228="","",_xlfn.XLOOKUP(A187:A4228,'参照_武将'!A:A,'参照_武将'!B:B,"見つかりません"))</f>
      </c>
      <c r="C187" s="4" t="s">
        <v>113</v>
      </c>
      <c r="D187" s="4">
        <v>4</v>
      </c>
      <c r="E187" s="12" t="str">
        <f t="array" ref="E187">IF(D187:D4228="","",IFERROR(_xlfn.XLOOKUP(D187:D4228,'参照_勢力'!A:A,'参照_勢力'!B:B),IFERROR(_xlfn.XLOOKUP(F187:F4228,kunishuClan!A:A,kunishuClan!B:B),"浪人")))</f>
      </c>
      <c r="F187" s="4">
        <v>0</v>
      </c>
      <c r="G187" s="4">
        <v>14</v>
      </c>
      <c r="H187" s="12" t="str">
        <f t="array" ref="H187">IF(G187:G4228="","",_xlfn.XLOOKUP(G187:G4228,castles_state!A:A,castles_state!D:D,"見つかりません"))</f>
      </c>
      <c r="I187" s="4"/>
      <c r="J187" s="12" t="str">
        <f t="array" ref="J187">IF(I187:I4228="","",_xlfn.XLOOKUP(I187:I4228,'参照_姫'!A:A,'参照_姫'!B:B,"見つかりません"))</f>
      </c>
      <c r="K187" s="4">
        <v>95</v>
      </c>
      <c r="L187" s="4">
        <v>0</v>
      </c>
      <c r="M187" s="4"/>
      <c r="N187" s="4"/>
      <c r="O187" s="4"/>
      <c r="P187" s="12" t="str">
        <f t="array" ref="P187">IF(O187:O4228="","",_xlfn.XLOOKUP(O187:O4228,'参照_官位'!A:A,'参照_官位'!B:B,""))</f>
      </c>
      <c r="Q187" s="12" t="str">
        <f t="array" ref="Q187">IF(A187:A4228="","",IFERROR(_xlfn.XLOOKUP(A187:A4228,castles_state!K:K,castles_state!D:D)&amp;"主",IFERROR(_xlfn.XLOOKUP(A187:A4228,kunishuClan!D:D,kunishuClan!B:B)&amp;"当主","")))</f>
      </c>
    </row>
    <row r="188" ht="15.75" customHeight="1">
      <c r="A188" s="4">
        <v>1003012</v>
      </c>
      <c r="B188" s="12" t="str">
        <f t="array" ref="B188">IF(A188:A4229="","",_xlfn.XLOOKUP(A188:A4229,'参照_武将'!A:A,'参照_武将'!B:B,"見つかりません"))</f>
      </c>
      <c r="C188" s="4" t="s">
        <v>113</v>
      </c>
      <c r="D188" s="4">
        <v>4</v>
      </c>
      <c r="E188" s="12" t="str">
        <f t="array" ref="E188">IF(D188:D4229="","",IFERROR(_xlfn.XLOOKUP(D188:D4229,'参照_勢力'!A:A,'参照_勢力'!B:B),IFERROR(_xlfn.XLOOKUP(F188:F4229,kunishuClan!A:A,kunishuClan!B:B),"浪人")))</f>
      </c>
      <c r="F188" s="4">
        <v>0</v>
      </c>
      <c r="G188" s="4">
        <v>14</v>
      </c>
      <c r="H188" s="12" t="str">
        <f t="array" ref="H188">IF(G188:G4229="","",_xlfn.XLOOKUP(G188:G4229,castles_state!A:A,castles_state!D:D,"見つかりません"))</f>
      </c>
      <c r="I188" s="4"/>
      <c r="J188" s="12" t="str">
        <f t="array" ref="J188">IF(I188:I4229="","",_xlfn.XLOOKUP(I188:I4229,'参照_姫'!A:A,'参照_姫'!B:B,"見つかりません"))</f>
      </c>
      <c r="K188" s="4">
        <v>95</v>
      </c>
      <c r="L188" s="4">
        <v>0</v>
      </c>
      <c r="M188" s="4"/>
      <c r="N188" s="4"/>
      <c r="O188" s="4"/>
      <c r="P188" s="12" t="str">
        <f t="array" ref="P188">IF(O188:O4229="","",_xlfn.XLOOKUP(O188:O4229,'参照_官位'!A:A,'参照_官位'!B:B,""))</f>
      </c>
      <c r="Q188" s="12" t="str">
        <f t="array" ref="Q188">IF(A188:A4229="","",IFERROR(_xlfn.XLOOKUP(A188:A4229,castles_state!K:K,castles_state!D:D)&amp;"主",IFERROR(_xlfn.XLOOKUP(A188:A4229,kunishuClan!D:D,kunishuClan!B:B)&amp;"当主","")))</f>
      </c>
    </row>
    <row r="189" ht="15.75" customHeight="1">
      <c r="A189" s="4">
        <v>1003013</v>
      </c>
      <c r="B189" s="12" t="str">
        <f t="array" ref="B189">IF(A189:A4230="","",_xlfn.XLOOKUP(A189:A4230,'参照_武将'!A:A,'参照_武将'!B:B,"見つかりません"))</f>
      </c>
      <c r="C189" s="4" t="s">
        <v>113</v>
      </c>
      <c r="D189" s="4">
        <v>2</v>
      </c>
      <c r="E189" s="12" t="str">
        <f t="array" ref="E189">IF(D189:D4230="","",IFERROR(_xlfn.XLOOKUP(D189:D4230,'参照_勢力'!A:A,'参照_勢力'!B:B),IFERROR(_xlfn.XLOOKUP(F189:F4230,kunishuClan!A:A,kunishuClan!B:B),"浪人")))</f>
      </c>
      <c r="F189" s="4">
        <v>0</v>
      </c>
      <c r="G189" s="4">
        <v>2</v>
      </c>
      <c r="H189" s="12" t="str">
        <f t="array" ref="H189">IF(G189:G4230="","",_xlfn.XLOOKUP(G189:G4230,castles_state!A:A,castles_state!D:D,"見つかりません"))</f>
      </c>
      <c r="I189" s="4"/>
      <c r="J189" s="12" t="str">
        <f t="array" ref="J189">IF(I189:I4230="","",_xlfn.XLOOKUP(I189:I4230,'参照_姫'!A:A,'参照_姫'!B:B,"見つかりません"))</f>
      </c>
      <c r="K189" s="4">
        <v>100</v>
      </c>
      <c r="L189" s="4">
        <v>500</v>
      </c>
      <c r="M189" s="4"/>
      <c r="N189" s="4"/>
      <c r="O189" s="4"/>
      <c r="P189" s="12" t="str">
        <f t="array" ref="P189">IF(O189:O4230="","",_xlfn.XLOOKUP(O189:O4230,'参照_官位'!A:A,'参照_官位'!B:B,""))</f>
      </c>
      <c r="Q189" s="12" t="str">
        <f t="array" ref="Q189">IF(A189:A4230="","",IFERROR(_xlfn.XLOOKUP(A189:A4230,castles_state!K:K,castles_state!D:D)&amp;"主",IFERROR(_xlfn.XLOOKUP(A189:A4230,kunishuClan!D:D,kunishuClan!B:B)&amp;"当主","")))</f>
      </c>
    </row>
    <row r="190" ht="15.75" customHeight="1">
      <c r="A190" s="4">
        <v>1003014</v>
      </c>
      <c r="B190" s="12" t="str">
        <f t="array" ref="B190">IF(A190:A4231="","",_xlfn.XLOOKUP(A190:A4231,'参照_武将'!A:A,'参照_武将'!B:B,"見つかりません"))</f>
      </c>
      <c r="C190" s="4" t="s">
        <v>113</v>
      </c>
      <c r="D190" s="4">
        <v>4</v>
      </c>
      <c r="E190" s="12" t="str">
        <f t="array" ref="E190">IF(D190:D4231="","",IFERROR(_xlfn.XLOOKUP(D190:D4231,'参照_勢力'!A:A,'参照_勢力'!B:B),IFERROR(_xlfn.XLOOKUP(F190:F4231,kunishuClan!A:A,kunishuClan!B:B),"浪人")))</f>
      </c>
      <c r="F190" s="4">
        <v>0</v>
      </c>
      <c r="G190" s="4">
        <v>14</v>
      </c>
      <c r="H190" s="12" t="str">
        <f t="array" ref="H190">IF(G190:G4231="","",_xlfn.XLOOKUP(G190:G4231,castles_state!A:A,castles_state!D:D,"見つかりません"))</f>
      </c>
      <c r="I190" s="4"/>
      <c r="J190" s="12" t="str">
        <f t="array" ref="J190">IF(I190:I4231="","",_xlfn.XLOOKUP(I190:I4231,'参照_姫'!A:A,'参照_姫'!B:B,"見つかりません"))</f>
      </c>
      <c r="K190" s="4">
        <v>95</v>
      </c>
      <c r="L190" s="4">
        <v>0</v>
      </c>
      <c r="M190" s="4"/>
      <c r="N190" s="4"/>
      <c r="O190" s="4"/>
      <c r="P190" s="12" t="str">
        <f t="array" ref="P190">IF(O190:O4231="","",_xlfn.XLOOKUP(O190:O4231,'参照_官位'!A:A,'参照_官位'!B:B,""))</f>
      </c>
      <c r="Q190" s="12" t="str">
        <f t="array" ref="Q190">IF(A190:A4231="","",IFERROR(_xlfn.XLOOKUP(A190:A4231,castles_state!K:K,castles_state!D:D)&amp;"主",IFERROR(_xlfn.XLOOKUP(A190:A4231,kunishuClan!D:D,kunishuClan!B:B)&amp;"当主","")))</f>
      </c>
    </row>
    <row r="191" ht="15.75" customHeight="1">
      <c r="A191" s="4">
        <v>1003015</v>
      </c>
      <c r="B191" s="12" t="str">
        <f t="array" ref="B191">IF(A191:A4232="","",_xlfn.XLOOKUP(A191:A4232,'参照_武将'!A:A,'参照_武将'!B:B,"見つかりません"))</f>
      </c>
      <c r="C191" s="4" t="s">
        <v>113</v>
      </c>
      <c r="D191" s="4">
        <v>4</v>
      </c>
      <c r="E191" s="12" t="str">
        <f t="array" ref="E191">IF(D191:D4232="","",IFERROR(_xlfn.XLOOKUP(D191:D4232,'参照_勢力'!A:A,'参照_勢力'!B:B),IFERROR(_xlfn.XLOOKUP(F191:F4232,kunishuClan!A:A,kunishuClan!B:B),"浪人")))</f>
      </c>
      <c r="F191" s="4">
        <v>0</v>
      </c>
      <c r="G191" s="4">
        <v>67</v>
      </c>
      <c r="H191" s="12" t="str">
        <f t="array" ref="H191">IF(G191:G4232="","",_xlfn.XLOOKUP(G191:G4232,castles_state!A:A,castles_state!D:D,"見つかりません"))</f>
      </c>
      <c r="I191" s="4"/>
      <c r="J191" s="12" t="str">
        <f t="array" ref="J191">IF(I191:I4232="","",_xlfn.XLOOKUP(I191:I4232,'参照_姫'!A:A,'参照_姫'!B:B,"見つかりません"))</f>
      </c>
      <c r="K191" s="4">
        <v>95</v>
      </c>
      <c r="L191" s="4">
        <v>300</v>
      </c>
      <c r="M191" s="4"/>
      <c r="N191" s="4"/>
      <c r="O191" s="4"/>
      <c r="P191" s="12" t="str">
        <f t="array" ref="P191">IF(O191:O4232="","",_xlfn.XLOOKUP(O191:O4232,'参照_官位'!A:A,'参照_官位'!B:B,""))</f>
      </c>
      <c r="Q191" s="12" t="str">
        <f t="array" ref="Q191">IF(A191:A4232="","",IFERROR(_xlfn.XLOOKUP(A191:A4232,castles_state!K:K,castles_state!D:D)&amp;"主",IFERROR(_xlfn.XLOOKUP(A191:A4232,kunishuClan!D:D,kunishuClan!B:B)&amp;"当主","")))</f>
      </c>
    </row>
    <row r="192" ht="15.75" customHeight="1">
      <c r="A192" s="4">
        <v>1003016</v>
      </c>
      <c r="B192" s="12" t="str">
        <f t="array" ref="B192">IF(A192:A4233="","",_xlfn.XLOOKUP(A192:A4233,'参照_武将'!A:A,'参照_武将'!B:B,"見つかりません"))</f>
      </c>
      <c r="C192" s="4" t="s">
        <v>113</v>
      </c>
      <c r="D192" s="4">
        <v>4</v>
      </c>
      <c r="E192" s="12" t="str">
        <f t="array" ref="E192">IF(D192:D4233="","",IFERROR(_xlfn.XLOOKUP(D192:D4233,'参照_勢力'!A:A,'参照_勢力'!B:B),IFERROR(_xlfn.XLOOKUP(F192:F4233,kunishuClan!A:A,kunishuClan!B:B),"浪人")))</f>
      </c>
      <c r="F192" s="4">
        <v>0</v>
      </c>
      <c r="G192" s="4">
        <v>14</v>
      </c>
      <c r="H192" s="12" t="str">
        <f t="array" ref="H192">IF(G192:G4233="","",_xlfn.XLOOKUP(G192:G4233,castles_state!A:A,castles_state!D:D,"見つかりません"))</f>
      </c>
      <c r="I192" s="4"/>
      <c r="J192" s="12" t="str">
        <f t="array" ref="J192">IF(I192:I4233="","",_xlfn.XLOOKUP(I192:I4233,'参照_姫'!A:A,'参照_姫'!B:B,"見つかりません"))</f>
      </c>
      <c r="K192" s="4">
        <v>95</v>
      </c>
      <c r="L192" s="4">
        <v>0</v>
      </c>
      <c r="M192" s="4"/>
      <c r="N192" s="4"/>
      <c r="O192" s="4"/>
      <c r="P192" s="12" t="str">
        <f t="array" ref="P192">IF(O192:O4233="","",_xlfn.XLOOKUP(O192:O4233,'参照_官位'!A:A,'参照_官位'!B:B,""))</f>
      </c>
      <c r="Q192" s="12" t="str">
        <f t="array" ref="Q192">IF(A192:A4233="","",IFERROR(_xlfn.XLOOKUP(A192:A4233,castles_state!K:K,castles_state!D:D)&amp;"主",IFERROR(_xlfn.XLOOKUP(A192:A4233,kunishuClan!D:D,kunishuClan!B:B)&amp;"当主","")))</f>
      </c>
    </row>
    <row r="193" ht="15.75" customHeight="1">
      <c r="A193" s="4">
        <v>1003017</v>
      </c>
      <c r="B193" s="12" t="str">
        <f t="array" ref="B193">IF(A193:A4234="","",_xlfn.XLOOKUP(A193:A4234,'参照_武将'!A:A,'参照_武将'!B:B,"見つかりません"))</f>
      </c>
      <c r="C193" s="4" t="s">
        <v>113</v>
      </c>
      <c r="D193" s="4">
        <v>4</v>
      </c>
      <c r="E193" s="12" t="str">
        <f t="array" ref="E193">IF(D193:D4234="","",IFERROR(_xlfn.XLOOKUP(D193:D4234,'参照_勢力'!A:A,'参照_勢力'!B:B),IFERROR(_xlfn.XLOOKUP(F193:F4234,kunishuClan!A:A,kunishuClan!B:B),"浪人")))</f>
      </c>
      <c r="F193" s="4">
        <v>0</v>
      </c>
      <c r="G193" s="4">
        <v>14</v>
      </c>
      <c r="H193" s="12" t="str">
        <f t="array" ref="H193">IF(G193:G4234="","",_xlfn.XLOOKUP(G193:G4234,castles_state!A:A,castles_state!D:D,"見つかりません"))</f>
      </c>
      <c r="I193" s="4"/>
      <c r="J193" s="12" t="str">
        <f t="array" ref="J193">IF(I193:I4234="","",_xlfn.XLOOKUP(I193:I4234,'参照_姫'!A:A,'参照_姫'!B:B,"見つかりません"))</f>
      </c>
      <c r="K193" s="4">
        <v>95</v>
      </c>
      <c r="L193" s="4">
        <v>200</v>
      </c>
      <c r="M193" s="4" t="b">
        <v>1</v>
      </c>
      <c r="N193" s="4" t="b">
        <v>1</v>
      </c>
      <c r="O193" s="4"/>
      <c r="P193" s="12" t="str">
        <f t="array" ref="P193">IF(O193:O4234="","",_xlfn.XLOOKUP(O193:O4234,'参照_官位'!A:A,'参照_官位'!B:B,""))</f>
      </c>
      <c r="Q193" s="12" t="str">
        <f t="array" ref="Q193">IF(A193:A4234="","",IFERROR(_xlfn.XLOOKUP(A193:A4234,castles_state!K:K,castles_state!D:D)&amp;"主",IFERROR(_xlfn.XLOOKUP(A193:A4234,kunishuClan!D:D,kunishuClan!B:B)&amp;"当主","")))</f>
      </c>
    </row>
    <row r="194" ht="15.75" customHeight="1">
      <c r="A194" s="4">
        <v>1003018</v>
      </c>
      <c r="B194" s="12" t="str">
        <f t="array" ref="B194">IF(A194:A4235="","",_xlfn.XLOOKUP(A194:A4235,'参照_武将'!A:A,'参照_武将'!B:B,"見つかりません"))</f>
      </c>
      <c r="C194" s="4" t="s">
        <v>113</v>
      </c>
      <c r="D194" s="4">
        <v>4</v>
      </c>
      <c r="E194" s="12" t="str">
        <f t="array" ref="E194">IF(D194:D4235="","",IFERROR(_xlfn.XLOOKUP(D194:D4235,'参照_勢力'!A:A,'参照_勢力'!B:B),IFERROR(_xlfn.XLOOKUP(F194:F4235,kunishuClan!A:A,kunishuClan!B:B),"浪人")))</f>
      </c>
      <c r="F194" s="4">
        <v>0</v>
      </c>
      <c r="G194" s="4">
        <v>67</v>
      </c>
      <c r="H194" s="12" t="str">
        <f t="array" ref="H194">IF(G194:G4235="","",_xlfn.XLOOKUP(G194:G4235,castles_state!A:A,castles_state!D:D,"見つかりません"))</f>
      </c>
      <c r="I194" s="4"/>
      <c r="J194" s="12" t="str">
        <f t="array" ref="J194">IF(I194:I4235="","",_xlfn.XLOOKUP(I194:I4235,'参照_姫'!A:A,'参照_姫'!B:B,"見つかりません"))</f>
      </c>
      <c r="K194" s="4">
        <v>95</v>
      </c>
      <c r="L194" s="4">
        <v>100</v>
      </c>
      <c r="M194" s="4"/>
      <c r="N194" s="4"/>
      <c r="O194" s="4"/>
      <c r="P194" s="12" t="str">
        <f t="array" ref="P194">IF(O194:O4235="","",_xlfn.XLOOKUP(O194:O4235,'参照_官位'!A:A,'参照_官位'!B:B,""))</f>
      </c>
      <c r="Q194" s="12" t="str">
        <f t="array" ref="Q194">IF(A194:A4235="","",IFERROR(_xlfn.XLOOKUP(A194:A4235,castles_state!K:K,castles_state!D:D)&amp;"主",IFERROR(_xlfn.XLOOKUP(A194:A4235,kunishuClan!D:D,kunishuClan!B:B)&amp;"当主","")))</f>
      </c>
    </row>
    <row r="195" ht="15.75" customHeight="1">
      <c r="A195" s="4">
        <v>1003019</v>
      </c>
      <c r="B195" s="12" t="str">
        <f t="array" ref="B195">IF(A195:A4236="","",_xlfn.XLOOKUP(A195:A4236,'参照_武将'!A:A,'参照_武将'!B:B,"見つかりません"))</f>
      </c>
      <c r="C195" s="4" t="s">
        <v>113</v>
      </c>
      <c r="D195" s="4">
        <v>4</v>
      </c>
      <c r="E195" s="12" t="str">
        <f t="array" ref="E195">IF(D195:D4236="","",IFERROR(_xlfn.XLOOKUP(D195:D4236,'参照_勢力'!A:A,'参照_勢力'!B:B),IFERROR(_xlfn.XLOOKUP(F195:F4236,kunishuClan!A:A,kunishuClan!B:B),"浪人")))</f>
      </c>
      <c r="F195" s="4">
        <v>0</v>
      </c>
      <c r="G195" s="4">
        <v>236</v>
      </c>
      <c r="H195" s="12" t="str">
        <f t="array" ref="H195">IF(G195:G4236="","",_xlfn.XLOOKUP(G195:G4236,castles_state!A:A,castles_state!D:D,"見つかりません"))</f>
      </c>
      <c r="I195" s="4"/>
      <c r="J195" s="12" t="str">
        <f t="array" ref="J195">IF(I195:I4236="","",_xlfn.XLOOKUP(I195:I4236,'参照_姫'!A:A,'参照_姫'!B:B,"見つかりません"))</f>
      </c>
      <c r="K195" s="4">
        <v>95</v>
      </c>
      <c r="L195" s="4">
        <v>0</v>
      </c>
      <c r="M195" s="4"/>
      <c r="N195" s="4"/>
      <c r="O195" s="4"/>
      <c r="P195" s="12" t="str">
        <f t="array" ref="P195">IF(O195:O4236="","",_xlfn.XLOOKUP(O195:O4236,'参照_官位'!A:A,'参照_官位'!B:B,""))</f>
      </c>
      <c r="Q195" s="12" t="str">
        <f t="array" ref="Q195">IF(A195:A4236="","",IFERROR(_xlfn.XLOOKUP(A195:A4236,castles_state!K:K,castles_state!D:D)&amp;"主",IFERROR(_xlfn.XLOOKUP(A195:A4236,kunishuClan!D:D,kunishuClan!B:B)&amp;"当主","")))</f>
      </c>
    </row>
    <row r="196" ht="15.75" customHeight="1">
      <c r="A196" s="4">
        <v>1003020</v>
      </c>
      <c r="B196" s="12" t="str">
        <f t="array" ref="B196">IF(A196:A4237="","",_xlfn.XLOOKUP(A196:A4237,'参照_武将'!A:A,'参照_武将'!B:B,"見つかりません"))</f>
      </c>
      <c r="C196" s="4" t="s">
        <v>113</v>
      </c>
      <c r="D196" s="4">
        <v>4</v>
      </c>
      <c r="E196" s="12" t="str">
        <f t="array" ref="E196">IF(D196:D4237="","",IFERROR(_xlfn.XLOOKUP(D196:D4237,'参照_勢力'!A:A,'参照_勢力'!B:B),IFERROR(_xlfn.XLOOKUP(F196:F4237,kunishuClan!A:A,kunishuClan!B:B),"浪人")))</f>
      </c>
      <c r="F196" s="4">
        <v>0</v>
      </c>
      <c r="G196" s="4">
        <v>236</v>
      </c>
      <c r="H196" s="12" t="str">
        <f t="array" ref="H196">IF(G196:G4237="","",_xlfn.XLOOKUP(G196:G4237,castles_state!A:A,castles_state!D:D,"見つかりません"))</f>
      </c>
      <c r="I196" s="4"/>
      <c r="J196" s="12" t="str">
        <f t="array" ref="J196">IF(I196:I4237="","",_xlfn.XLOOKUP(I196:I4237,'参照_姫'!A:A,'参照_姫'!B:B,"見つかりません"))</f>
      </c>
      <c r="K196" s="4">
        <v>95</v>
      </c>
      <c r="L196" s="4">
        <v>500</v>
      </c>
      <c r="M196" s="4"/>
      <c r="N196" s="4"/>
      <c r="O196" s="4"/>
      <c r="P196" s="12" t="str">
        <f t="array" ref="P196">IF(O196:O4237="","",_xlfn.XLOOKUP(O196:O4237,'参照_官位'!A:A,'参照_官位'!B:B,""))</f>
      </c>
      <c r="Q196" s="12" t="str">
        <f t="array" ref="Q196">IF(A196:A4237="","",IFERROR(_xlfn.XLOOKUP(A196:A4237,castles_state!K:K,castles_state!D:D)&amp;"主",IFERROR(_xlfn.XLOOKUP(A196:A4237,kunishuClan!D:D,kunishuClan!B:B)&amp;"当主","")))</f>
      </c>
    </row>
    <row r="197" ht="15.75" customHeight="1">
      <c r="A197" s="4">
        <v>1003021</v>
      </c>
      <c r="B197" s="12" t="str">
        <f t="array" ref="B197">IF(A197:A4238="","",_xlfn.XLOOKUP(A197:A4238,'参照_武将'!A:A,'参照_武将'!B:B,"見つかりません"))</f>
      </c>
      <c r="C197" s="4" t="s">
        <v>113</v>
      </c>
      <c r="D197" s="4">
        <v>4</v>
      </c>
      <c r="E197" s="12" t="str">
        <f t="array" ref="E197">IF(D197:D4238="","",IFERROR(_xlfn.XLOOKUP(D197:D4238,'参照_勢力'!A:A,'参照_勢力'!B:B),IFERROR(_xlfn.XLOOKUP(F197:F4238,kunishuClan!A:A,kunishuClan!B:B),"浪人")))</f>
      </c>
      <c r="F197" s="4">
        <v>0</v>
      </c>
      <c r="G197" s="4">
        <v>69</v>
      </c>
      <c r="H197" s="12" t="str">
        <f t="array" ref="H197">IF(G197:G4238="","",_xlfn.XLOOKUP(G197:G4238,castles_state!A:A,castles_state!D:D,"見つかりません"))</f>
      </c>
      <c r="I197" s="4"/>
      <c r="J197" s="12" t="str">
        <f t="array" ref="J197">IF(I197:I4238="","",_xlfn.XLOOKUP(I197:I4238,'参照_姫'!A:A,'参照_姫'!B:B,"見つかりません"))</f>
      </c>
      <c r="K197" s="4">
        <v>95</v>
      </c>
      <c r="L197" s="4">
        <v>500</v>
      </c>
      <c r="M197" s="4"/>
      <c r="N197" s="4"/>
      <c r="O197" s="4"/>
      <c r="P197" s="12" t="str">
        <f t="array" ref="P197">IF(O197:O4238="","",_xlfn.XLOOKUP(O197:O4238,'参照_官位'!A:A,'参照_官位'!B:B,""))</f>
      </c>
      <c r="Q197" s="12" t="str">
        <f t="array" ref="Q197">IF(A197:A4238="","",IFERROR(_xlfn.XLOOKUP(A197:A4238,castles_state!K:K,castles_state!D:D)&amp;"主",IFERROR(_xlfn.XLOOKUP(A197:A4238,kunishuClan!D:D,kunishuClan!B:B)&amp;"当主","")))</f>
      </c>
    </row>
    <row r="198" ht="15.75" customHeight="1">
      <c r="A198" s="4">
        <v>1003022</v>
      </c>
      <c r="B198" s="12" t="str">
        <f t="array" ref="B198">IF(A198:A4239="","",_xlfn.XLOOKUP(A198:A4239,'参照_武将'!A:A,'参照_武将'!B:B,"見つかりません"))</f>
      </c>
      <c r="C198" s="4" t="s">
        <v>113</v>
      </c>
      <c r="D198" s="4">
        <v>4</v>
      </c>
      <c r="E198" s="12" t="str">
        <f t="array" ref="E198">IF(D198:D4239="","",IFERROR(_xlfn.XLOOKUP(D198:D4239,'参照_勢力'!A:A,'参照_勢力'!B:B),IFERROR(_xlfn.XLOOKUP(F198:F4239,kunishuClan!A:A,kunishuClan!B:B),"浪人")))</f>
      </c>
      <c r="F198" s="4">
        <v>0</v>
      </c>
      <c r="G198" s="4">
        <v>236</v>
      </c>
      <c r="H198" s="12" t="str">
        <f t="array" ref="H198">IF(G198:G4239="","",_xlfn.XLOOKUP(G198:G4239,castles_state!A:A,castles_state!D:D,"見つかりません"))</f>
      </c>
      <c r="I198" s="4"/>
      <c r="J198" s="12" t="str">
        <f t="array" ref="J198">IF(I198:I4239="","",_xlfn.XLOOKUP(I198:I4239,'参照_姫'!A:A,'参照_姫'!B:B,"見つかりません"))</f>
      </c>
      <c r="K198" s="4">
        <v>95</v>
      </c>
      <c r="L198" s="4">
        <v>0</v>
      </c>
      <c r="M198" s="4"/>
      <c r="N198" s="4"/>
      <c r="O198" s="4"/>
      <c r="P198" s="12" t="str">
        <f t="array" ref="P198">IF(O198:O4239="","",_xlfn.XLOOKUP(O198:O4239,'参照_官位'!A:A,'参照_官位'!B:B,""))</f>
      </c>
      <c r="Q198" s="12" t="str">
        <f t="array" ref="Q198">IF(A198:A4239="","",IFERROR(_xlfn.XLOOKUP(A198:A4239,castles_state!K:K,castles_state!D:D)&amp;"主",IFERROR(_xlfn.XLOOKUP(A198:A4239,kunishuClan!D:D,kunishuClan!B:B)&amp;"当主","")))</f>
      </c>
    </row>
    <row r="199" ht="15.75" customHeight="1">
      <c r="A199" s="4">
        <v>1003023</v>
      </c>
      <c r="B199" s="12" t="str">
        <f t="array" ref="B199">IF(A199:A4240="","",_xlfn.XLOOKUP(A199:A4240,'参照_武将'!A:A,'参照_武将'!B:B,"見つかりません"))</f>
      </c>
      <c r="C199" s="4" t="s">
        <v>113</v>
      </c>
      <c r="D199" s="4">
        <v>4</v>
      </c>
      <c r="E199" s="12" t="str">
        <f t="array" ref="E199">IF(D199:D4240="","",IFERROR(_xlfn.XLOOKUP(D199:D4240,'参照_勢力'!A:A,'参照_勢力'!B:B),IFERROR(_xlfn.XLOOKUP(F199:F4240,kunishuClan!A:A,kunishuClan!B:B),"浪人")))</f>
      </c>
      <c r="F199" s="4">
        <v>0</v>
      </c>
      <c r="G199" s="4">
        <v>236</v>
      </c>
      <c r="H199" s="12" t="str">
        <f t="array" ref="H199">IF(G199:G4240="","",_xlfn.XLOOKUP(G199:G4240,castles_state!A:A,castles_state!D:D,"見つかりません"))</f>
      </c>
      <c r="I199" s="4"/>
      <c r="J199" s="12" t="str">
        <f t="array" ref="J199">IF(I199:I4240="","",_xlfn.XLOOKUP(I199:I4240,'参照_姫'!A:A,'参照_姫'!B:B,"見つかりません"))</f>
      </c>
      <c r="K199" s="4">
        <v>95</v>
      </c>
      <c r="L199" s="4">
        <v>0</v>
      </c>
      <c r="M199" s="4"/>
      <c r="N199" s="4"/>
      <c r="O199" s="4"/>
      <c r="P199" s="12" t="str">
        <f t="array" ref="P199">IF(O199:O4240="","",_xlfn.XLOOKUP(O199:O4240,'参照_官位'!A:A,'参照_官位'!B:B,""))</f>
      </c>
      <c r="Q199" s="12" t="str">
        <f t="array" ref="Q199">IF(A199:A4240="","",IFERROR(_xlfn.XLOOKUP(A199:A4240,castles_state!K:K,castles_state!D:D)&amp;"主",IFERROR(_xlfn.XLOOKUP(A199:A4240,kunishuClan!D:D,kunishuClan!B:B)&amp;"当主","")))</f>
      </c>
    </row>
    <row r="200" ht="15.75" customHeight="1">
      <c r="A200" s="4">
        <v>1003024</v>
      </c>
      <c r="B200" s="12" t="str">
        <f t="array" ref="B200">IF(A200:A4241="","",_xlfn.XLOOKUP(A200:A4241,'参照_武将'!A:A,'参照_武将'!B:B,"見つかりません"))</f>
      </c>
      <c r="C200" s="4" t="s">
        <v>113</v>
      </c>
      <c r="D200" s="4">
        <v>4</v>
      </c>
      <c r="E200" s="12" t="str">
        <f t="array" ref="E200">IF(D200:D4241="","",IFERROR(_xlfn.XLOOKUP(D200:D4241,'参照_勢力'!A:A,'参照_勢力'!B:B),IFERROR(_xlfn.XLOOKUP(F200:F4241,kunishuClan!A:A,kunishuClan!B:B),"浪人")))</f>
      </c>
      <c r="F200" s="4">
        <v>0</v>
      </c>
      <c r="G200" s="4">
        <v>236</v>
      </c>
      <c r="H200" s="12" t="str">
        <f t="array" ref="H200">IF(G200:G4241="","",_xlfn.XLOOKUP(G200:G4241,castles_state!A:A,castles_state!D:D,"見つかりません"))</f>
      </c>
      <c r="I200" s="4"/>
      <c r="J200" s="12" t="str">
        <f t="array" ref="J200">IF(I200:I4241="","",_xlfn.XLOOKUP(I200:I4241,'参照_姫'!A:A,'参照_姫'!B:B,"見つかりません"))</f>
      </c>
      <c r="K200" s="4">
        <v>95</v>
      </c>
      <c r="L200" s="4">
        <v>0</v>
      </c>
      <c r="M200" s="4"/>
      <c r="N200" s="4"/>
      <c r="O200" s="4"/>
      <c r="P200" s="12" t="str">
        <f t="array" ref="P200">IF(O200:O4241="","",_xlfn.XLOOKUP(O200:O4241,'参照_官位'!A:A,'参照_官位'!B:B,""))</f>
      </c>
      <c r="Q200" s="12" t="str">
        <f t="array" ref="Q200">IF(A200:A4241="","",IFERROR(_xlfn.XLOOKUP(A200:A4241,castles_state!K:K,castles_state!D:D)&amp;"主",IFERROR(_xlfn.XLOOKUP(A200:A4241,kunishuClan!D:D,kunishuClan!B:B)&amp;"当主","")))</f>
      </c>
    </row>
    <row r="201" ht="15.75" customHeight="1">
      <c r="A201" s="4">
        <v>1003025</v>
      </c>
      <c r="B201" s="12" t="str">
        <f t="array" ref="B201">IF(A201:A4242="","",_xlfn.XLOOKUP(A201:A4242,'参照_武将'!A:A,'参照_武将'!B:B,"見つかりません"))</f>
      </c>
      <c r="C201" s="4" t="s">
        <v>113</v>
      </c>
      <c r="D201" s="4">
        <v>4</v>
      </c>
      <c r="E201" s="12" t="str">
        <f t="array" ref="E201">IF(D201:D4242="","",IFERROR(_xlfn.XLOOKUP(D201:D4242,'参照_勢力'!A:A,'参照_勢力'!B:B),IFERROR(_xlfn.XLOOKUP(F201:F4242,kunishuClan!A:A,kunishuClan!B:B),"浪人")))</f>
      </c>
      <c r="F201" s="4">
        <v>0</v>
      </c>
      <c r="G201" s="4">
        <v>236</v>
      </c>
      <c r="H201" s="12" t="str">
        <f t="array" ref="H201">IF(G201:G4242="","",_xlfn.XLOOKUP(G201:G4242,castles_state!A:A,castles_state!D:D,"見つかりません"))</f>
      </c>
      <c r="I201" s="4"/>
      <c r="J201" s="12" t="str">
        <f t="array" ref="J201">IF(I201:I4242="","",_xlfn.XLOOKUP(I201:I4242,'参照_姫'!A:A,'参照_姫'!B:B,"見つかりません"))</f>
      </c>
      <c r="K201" s="4">
        <v>95</v>
      </c>
      <c r="L201" s="4">
        <v>0</v>
      </c>
      <c r="M201" s="4"/>
      <c r="N201" s="4"/>
      <c r="O201" s="4"/>
      <c r="P201" s="12" t="str">
        <f t="array" ref="P201">IF(O201:O4242="","",_xlfn.XLOOKUP(O201:O4242,'参照_官位'!A:A,'参照_官位'!B:B,""))</f>
      </c>
      <c r="Q201" s="12" t="str">
        <f t="array" ref="Q201">IF(A201:A4242="","",IFERROR(_xlfn.XLOOKUP(A201:A4242,castles_state!K:K,castles_state!D:D)&amp;"主",IFERROR(_xlfn.XLOOKUP(A201:A4242,kunishuClan!D:D,kunishuClan!B:B)&amp;"当主","")))</f>
      </c>
    </row>
    <row r="202" ht="15.75" customHeight="1">
      <c r="A202" s="4">
        <v>1003026</v>
      </c>
      <c r="B202" s="12" t="str">
        <f t="array" ref="B202">IF(A202:A4243="","",_xlfn.XLOOKUP(A202:A4243,'参照_武将'!A:A,'参照_武将'!B:B,"見つかりません"))</f>
      </c>
      <c r="C202" s="4" t="s">
        <v>113</v>
      </c>
      <c r="D202" s="4">
        <v>4</v>
      </c>
      <c r="E202" s="12" t="str">
        <f t="array" ref="E202">IF(D202:D4243="","",IFERROR(_xlfn.XLOOKUP(D202:D4243,'参照_勢力'!A:A,'参照_勢力'!B:B),IFERROR(_xlfn.XLOOKUP(F202:F4243,kunishuClan!A:A,kunishuClan!B:B),"浪人")))</f>
      </c>
      <c r="F202" s="4">
        <v>0</v>
      </c>
      <c r="G202" s="4">
        <v>93</v>
      </c>
      <c r="H202" s="12" t="str">
        <f t="array" ref="H202">IF(G202:G4243="","",_xlfn.XLOOKUP(G202:G4243,castles_state!A:A,castles_state!D:D,"見つかりません"))</f>
      </c>
      <c r="I202" s="4"/>
      <c r="J202" s="12" t="str">
        <f t="array" ref="J202">IF(I202:I4243="","",_xlfn.XLOOKUP(I202:I4243,'参照_姫'!A:A,'参照_姫'!B:B,"見つかりません"))</f>
      </c>
      <c r="K202" s="4">
        <v>95</v>
      </c>
      <c r="L202" s="4">
        <v>0</v>
      </c>
      <c r="M202" s="4"/>
      <c r="N202" s="4"/>
      <c r="O202" s="4"/>
      <c r="P202" s="12" t="str">
        <f t="array" ref="P202">IF(O202:O4243="","",_xlfn.XLOOKUP(O202:O4243,'参照_官位'!A:A,'参照_官位'!B:B,""))</f>
      </c>
      <c r="Q202" s="12" t="str">
        <f t="array" ref="Q202">IF(A202:A4243="","",IFERROR(_xlfn.XLOOKUP(A202:A4243,castles_state!K:K,castles_state!D:D)&amp;"主",IFERROR(_xlfn.XLOOKUP(A202:A4243,kunishuClan!D:D,kunishuClan!B:B)&amp;"当主","")))</f>
      </c>
    </row>
    <row r="203" ht="15.75" customHeight="1">
      <c r="A203" s="4">
        <v>1003027</v>
      </c>
      <c r="B203" s="12" t="str">
        <f t="array" ref="B203">IF(A203:A4244="","",_xlfn.XLOOKUP(A203:A4244,'参照_武将'!A:A,'参照_武将'!B:B,"見つかりません"))</f>
      </c>
      <c r="C203" s="4" t="s">
        <v>113</v>
      </c>
      <c r="D203" s="4">
        <v>4</v>
      </c>
      <c r="E203" s="12" t="str">
        <f t="array" ref="E203">IF(D203:D4244="","",IFERROR(_xlfn.XLOOKUP(D203:D4244,'参照_勢力'!A:A,'参照_勢力'!B:B),IFERROR(_xlfn.XLOOKUP(F203:F4244,kunishuClan!A:A,kunishuClan!B:B),"浪人")))</f>
      </c>
      <c r="F203" s="4">
        <v>0</v>
      </c>
      <c r="G203" s="4">
        <v>97</v>
      </c>
      <c r="H203" s="12" t="str">
        <f t="array" ref="H203">IF(G203:G4244="","",_xlfn.XLOOKUP(G203:G4244,castles_state!A:A,castles_state!D:D,"見つかりません"))</f>
      </c>
      <c r="I203" s="4"/>
      <c r="J203" s="12" t="str">
        <f t="array" ref="J203">IF(I203:I4244="","",_xlfn.XLOOKUP(I203:I4244,'参照_姫'!A:A,'参照_姫'!B:B,"見つかりません"))</f>
      </c>
      <c r="K203" s="4">
        <v>95</v>
      </c>
      <c r="L203" s="4">
        <v>0</v>
      </c>
      <c r="M203" s="4"/>
      <c r="N203" s="4"/>
      <c r="O203" s="4"/>
      <c r="P203" s="12" t="str">
        <f t="array" ref="P203">IF(O203:O4244="","",_xlfn.XLOOKUP(O203:O4244,'参照_官位'!A:A,'参照_官位'!B:B,""))</f>
      </c>
      <c r="Q203" s="12" t="str">
        <f t="array" ref="Q203">IF(A203:A4244="","",IFERROR(_xlfn.XLOOKUP(A203:A4244,castles_state!K:K,castles_state!D:D)&amp;"主",IFERROR(_xlfn.XLOOKUP(A203:A4244,kunishuClan!D:D,kunishuClan!B:B)&amp;"当主","")))</f>
      </c>
    </row>
    <row r="204" ht="15.75" customHeight="1">
      <c r="A204" s="4">
        <v>1003028</v>
      </c>
      <c r="B204" s="12" t="str">
        <f t="array" ref="B204">IF(A204:A4245="","",_xlfn.XLOOKUP(A204:A4245,'参照_武将'!A:A,'参照_武将'!B:B,"見つかりません"))</f>
      </c>
      <c r="C204" s="4" t="s">
        <v>113</v>
      </c>
      <c r="D204" s="4">
        <v>4</v>
      </c>
      <c r="E204" s="12" t="str">
        <f t="array" ref="E204">IF(D204:D4245="","",IFERROR(_xlfn.XLOOKUP(D204:D4245,'参照_勢力'!A:A,'参照_勢力'!B:B),IFERROR(_xlfn.XLOOKUP(F204:F4245,kunishuClan!A:A,kunishuClan!B:B),"浪人")))</f>
      </c>
      <c r="F204" s="4">
        <v>0</v>
      </c>
      <c r="G204" s="4">
        <v>10</v>
      </c>
      <c r="H204" s="12" t="str">
        <f t="array" ref="H204">IF(G204:G4245="","",_xlfn.XLOOKUP(G204:G4245,castles_state!A:A,castles_state!D:D,"見つかりません"))</f>
      </c>
      <c r="I204" s="4"/>
      <c r="J204" s="12" t="str">
        <f t="array" ref="J204">IF(I204:I4245="","",_xlfn.XLOOKUP(I204:I4245,'参照_姫'!A:A,'参照_姫'!B:B,"見つかりません"))</f>
      </c>
      <c r="K204" s="4">
        <v>95</v>
      </c>
      <c r="L204" s="4">
        <v>0</v>
      </c>
      <c r="M204" s="4"/>
      <c r="N204" s="4"/>
      <c r="O204" s="4"/>
      <c r="P204" s="12" t="str">
        <f t="array" ref="P204">IF(O204:O4245="","",_xlfn.XLOOKUP(O204:O4245,'参照_官位'!A:A,'参照_官位'!B:B,""))</f>
      </c>
      <c r="Q204" s="12" t="str">
        <f t="array" ref="Q204">IF(A204:A4245="","",IFERROR(_xlfn.XLOOKUP(A204:A4245,castles_state!K:K,castles_state!D:D)&amp;"主",IFERROR(_xlfn.XLOOKUP(A204:A4245,kunishuClan!D:D,kunishuClan!B:B)&amp;"当主","")))</f>
      </c>
    </row>
    <row r="205" ht="15.75" customHeight="1">
      <c r="A205" s="4">
        <v>1003029</v>
      </c>
      <c r="B205" s="12" t="str">
        <f t="array" ref="B205">IF(A205:A4246="","",_xlfn.XLOOKUP(A205:A4246,'参照_武将'!A:A,'参照_武将'!B:B,"見つかりません"))</f>
      </c>
      <c r="C205" s="4" t="s">
        <v>113</v>
      </c>
      <c r="D205" s="4">
        <v>4</v>
      </c>
      <c r="E205" s="12" t="str">
        <f t="array" ref="E205">IF(D205:D4246="","",IFERROR(_xlfn.XLOOKUP(D205:D4246,'参照_勢力'!A:A,'参照_勢力'!B:B),IFERROR(_xlfn.XLOOKUP(F205:F4246,kunishuClan!A:A,kunishuClan!B:B),"浪人")))</f>
      </c>
      <c r="F205" s="4">
        <v>0</v>
      </c>
      <c r="G205" s="4">
        <v>97</v>
      </c>
      <c r="H205" s="12" t="str">
        <f t="array" ref="H205">IF(G205:G4246="","",_xlfn.XLOOKUP(G205:G4246,castles_state!A:A,castles_state!D:D,"見つかりません"))</f>
      </c>
      <c r="I205" s="4"/>
      <c r="J205" s="12" t="str">
        <f t="array" ref="J205">IF(I205:I4246="","",_xlfn.XLOOKUP(I205:I4246,'参照_姫'!A:A,'参照_姫'!B:B,"見つかりません"))</f>
      </c>
      <c r="K205" s="4">
        <v>95</v>
      </c>
      <c r="L205" s="4">
        <v>0</v>
      </c>
      <c r="M205" s="4"/>
      <c r="N205" s="4"/>
      <c r="O205" s="4"/>
      <c r="P205" s="12" t="str">
        <f t="array" ref="P205">IF(O205:O4246="","",_xlfn.XLOOKUP(O205:O4246,'参照_官位'!A:A,'参照_官位'!B:B,""))</f>
      </c>
      <c r="Q205" s="12" t="str">
        <f t="array" ref="Q205">IF(A205:A4246="","",IFERROR(_xlfn.XLOOKUP(A205:A4246,castles_state!K:K,castles_state!D:D)&amp;"主",IFERROR(_xlfn.XLOOKUP(A205:A4246,kunishuClan!D:D,kunishuClan!B:B)&amp;"当主","")))</f>
      </c>
    </row>
    <row r="206" ht="15.75" customHeight="1">
      <c r="A206" s="4">
        <v>1003030</v>
      </c>
      <c r="B206" s="12" t="str">
        <f t="array" ref="B206">IF(A206:A4247="","",_xlfn.XLOOKUP(A206:A4247,'参照_武将'!A:A,'参照_武将'!B:B,"見つかりません"))</f>
      </c>
      <c r="C206" s="4" t="s">
        <v>113</v>
      </c>
      <c r="D206" s="4">
        <v>4</v>
      </c>
      <c r="E206" s="12" t="str">
        <f t="array" ref="E206">IF(D206:D4247="","",IFERROR(_xlfn.XLOOKUP(D206:D4247,'参照_勢力'!A:A,'参照_勢力'!B:B),IFERROR(_xlfn.XLOOKUP(F206:F4247,kunishuClan!A:A,kunishuClan!B:B),"浪人")))</f>
      </c>
      <c r="F206" s="4">
        <v>0</v>
      </c>
      <c r="G206" s="4">
        <v>93</v>
      </c>
      <c r="H206" s="12" t="str">
        <f t="array" ref="H206">IF(G206:G4247="","",_xlfn.XLOOKUP(G206:G4247,castles_state!A:A,castles_state!D:D,"見つかりません"))</f>
      </c>
      <c r="I206" s="4"/>
      <c r="J206" s="12" t="str">
        <f t="array" ref="J206">IF(I206:I4247="","",_xlfn.XLOOKUP(I206:I4247,'参照_姫'!A:A,'参照_姫'!B:B,"見つかりません"))</f>
      </c>
      <c r="K206" s="4">
        <v>95</v>
      </c>
      <c r="L206" s="4">
        <v>0</v>
      </c>
      <c r="M206" s="4"/>
      <c r="N206" s="4"/>
      <c r="O206" s="4"/>
      <c r="P206" s="12" t="str">
        <f t="array" ref="P206">IF(O206:O4247="","",_xlfn.XLOOKUP(O206:O4247,'参照_官位'!A:A,'参照_官位'!B:B,""))</f>
      </c>
      <c r="Q206" s="12" t="str">
        <f t="array" ref="Q206">IF(A206:A4247="","",IFERROR(_xlfn.XLOOKUP(A206:A4247,castles_state!K:K,castles_state!D:D)&amp;"主",IFERROR(_xlfn.XLOOKUP(A206:A4247,kunishuClan!D:D,kunishuClan!B:B)&amp;"当主","")))</f>
      </c>
    </row>
    <row r="207" ht="15.75" customHeight="1">
      <c r="A207" s="4">
        <v>1003031</v>
      </c>
      <c r="B207" s="12" t="str">
        <f t="array" ref="B207">IF(A207:A4248="","",_xlfn.XLOOKUP(A207:A4248,'参照_武将'!A:A,'参照_武将'!B:B,"見つかりません"))</f>
      </c>
      <c r="C207" s="4" t="s">
        <v>113</v>
      </c>
      <c r="D207" s="4">
        <v>4</v>
      </c>
      <c r="E207" s="12" t="str">
        <f t="array" ref="E207">IF(D207:D4248="","",IFERROR(_xlfn.XLOOKUP(D207:D4248,'参照_勢力'!A:A,'参照_勢力'!B:B),IFERROR(_xlfn.XLOOKUP(F207:F4248,kunishuClan!A:A,kunishuClan!B:B),"浪人")))</f>
      </c>
      <c r="F207" s="4">
        <v>0</v>
      </c>
      <c r="G207" s="4">
        <v>10</v>
      </c>
      <c r="H207" s="12" t="str">
        <f t="array" ref="H207">IF(G207:G4248="","",_xlfn.XLOOKUP(G207:G4248,castles_state!A:A,castles_state!D:D,"見つかりません"))</f>
      </c>
      <c r="I207" s="4"/>
      <c r="J207" s="12" t="str">
        <f t="array" ref="J207">IF(I207:I4248="","",_xlfn.XLOOKUP(I207:I4248,'参照_姫'!A:A,'参照_姫'!B:B,"見つかりません"))</f>
      </c>
      <c r="K207" s="4">
        <v>85</v>
      </c>
      <c r="L207" s="4">
        <v>0</v>
      </c>
      <c r="M207" s="4"/>
      <c r="N207" s="4"/>
      <c r="O207" s="4"/>
      <c r="P207" s="12" t="str">
        <f t="array" ref="P207">IF(O207:O4248="","",_xlfn.XLOOKUP(O207:O4248,'参照_官位'!A:A,'参照_官位'!B:B,""))</f>
      </c>
      <c r="Q207" s="12" t="str">
        <f t="array" ref="Q207">IF(A207:A4248="","",IFERROR(_xlfn.XLOOKUP(A207:A4248,castles_state!K:K,castles_state!D:D)&amp;"主",IFERROR(_xlfn.XLOOKUP(A207:A4248,kunishuClan!D:D,kunishuClan!B:B)&amp;"当主","")))</f>
      </c>
    </row>
    <row r="208" ht="15.75" customHeight="1">
      <c r="A208" s="4">
        <v>1003032</v>
      </c>
      <c r="B208" s="12" t="str">
        <f t="array" ref="B208">IF(A208:A4249="","",_xlfn.XLOOKUP(A208:A4249,'参照_武将'!A:A,'参照_武将'!B:B,"見つかりません"))</f>
      </c>
      <c r="C208" s="4" t="s">
        <v>113</v>
      </c>
      <c r="D208" s="4">
        <v>4</v>
      </c>
      <c r="E208" s="12" t="str">
        <f t="array" ref="E208">IF(D208:D4249="","",IFERROR(_xlfn.XLOOKUP(D208:D4249,'参照_勢力'!A:A,'参照_勢力'!B:B),IFERROR(_xlfn.XLOOKUP(F208:F4249,kunishuClan!A:A,kunishuClan!B:B),"浪人")))</f>
      </c>
      <c r="F208" s="4">
        <v>0</v>
      </c>
      <c r="G208" s="4">
        <v>93</v>
      </c>
      <c r="H208" s="12" t="str">
        <f t="array" ref="H208">IF(G208:G4249="","",_xlfn.XLOOKUP(G208:G4249,castles_state!A:A,castles_state!D:D,"見つかりません"))</f>
      </c>
      <c r="I208" s="4"/>
      <c r="J208" s="12" t="str">
        <f t="array" ref="J208">IF(I208:I4249="","",_xlfn.XLOOKUP(I208:I4249,'参照_姫'!A:A,'参照_姫'!B:B,"見つかりません"))</f>
      </c>
      <c r="K208" s="4">
        <v>85</v>
      </c>
      <c r="L208" s="4">
        <v>0</v>
      </c>
      <c r="M208" s="4"/>
      <c r="N208" s="4"/>
      <c r="O208" s="4"/>
      <c r="P208" s="12" t="str">
        <f t="array" ref="P208">IF(O208:O4249="","",_xlfn.XLOOKUP(O208:O4249,'参照_官位'!A:A,'参照_官位'!B:B,""))</f>
      </c>
      <c r="Q208" s="12" t="str">
        <f t="array" ref="Q208">IF(A208:A4249="","",IFERROR(_xlfn.XLOOKUP(A208:A4249,castles_state!K:K,castles_state!D:D)&amp;"主",IFERROR(_xlfn.XLOOKUP(A208:A4249,kunishuClan!D:D,kunishuClan!B:B)&amp;"当主","")))</f>
      </c>
    </row>
    <row r="209" ht="15.75" customHeight="1">
      <c r="A209" s="4">
        <v>1003033</v>
      </c>
      <c r="B209" s="12" t="str">
        <f t="array" ref="B209">IF(A209:A4250="","",_xlfn.XLOOKUP(A209:A4250,'参照_武将'!A:A,'参照_武将'!B:B,"見つかりません"))</f>
      </c>
      <c r="C209" s="4" t="s">
        <v>113</v>
      </c>
      <c r="D209" s="4">
        <v>4</v>
      </c>
      <c r="E209" s="12" t="str">
        <f t="array" ref="E209">IF(D209:D4250="","",IFERROR(_xlfn.XLOOKUP(D209:D4250,'参照_勢力'!A:A,'参照_勢力'!B:B),IFERROR(_xlfn.XLOOKUP(F209:F4250,kunishuClan!A:A,kunishuClan!B:B),"浪人")))</f>
      </c>
      <c r="F209" s="4">
        <v>0</v>
      </c>
      <c r="G209" s="4">
        <v>67</v>
      </c>
      <c r="H209" s="12" t="str">
        <f t="array" ref="H209">IF(G209:G4250="","",_xlfn.XLOOKUP(G209:G4250,castles_state!A:A,castles_state!D:D,"見つかりません"))</f>
      </c>
      <c r="I209" s="4"/>
      <c r="J209" s="12" t="str">
        <f t="array" ref="J209">IF(I209:I4250="","",_xlfn.XLOOKUP(I209:I4250,'参照_姫'!A:A,'参照_姫'!B:B,"見つかりません"))</f>
      </c>
      <c r="K209" s="4">
        <v>90</v>
      </c>
      <c r="L209" s="4">
        <v>0</v>
      </c>
      <c r="M209" s="4"/>
      <c r="N209" s="4"/>
      <c r="O209" s="4"/>
      <c r="P209" s="12" t="str">
        <f t="array" ref="P209">IF(O209:O4250="","",_xlfn.XLOOKUP(O209:O4250,'参照_官位'!A:A,'参照_官位'!B:B,""))</f>
      </c>
      <c r="Q209" s="12" t="str">
        <f t="array" ref="Q209">IF(A209:A4250="","",IFERROR(_xlfn.XLOOKUP(A209:A4250,castles_state!K:K,castles_state!D:D)&amp;"主",IFERROR(_xlfn.XLOOKUP(A209:A4250,kunishuClan!D:D,kunishuClan!B:B)&amp;"当主","")))</f>
      </c>
    </row>
    <row r="210" ht="15.75" customHeight="1">
      <c r="A210" s="4">
        <v>1003034</v>
      </c>
      <c r="B210" s="12" t="str">
        <f t="array" ref="B210">IF(A210:A4251="","",_xlfn.XLOOKUP(A210:A4251,'参照_武将'!A:A,'参照_武将'!B:B,"見つかりません"))</f>
      </c>
      <c r="C210" s="4" t="s">
        <v>113</v>
      </c>
      <c r="D210" s="4">
        <v>4</v>
      </c>
      <c r="E210" s="12" t="str">
        <f t="array" ref="E210">IF(D210:D4251="","",IFERROR(_xlfn.XLOOKUP(D210:D4251,'参照_勢力'!A:A,'参照_勢力'!B:B),IFERROR(_xlfn.XLOOKUP(F210:F4251,kunishuClan!A:A,kunishuClan!B:B),"浪人")))</f>
      </c>
      <c r="F210" s="4">
        <v>0</v>
      </c>
      <c r="G210" s="4">
        <v>236</v>
      </c>
      <c r="H210" s="12" t="str">
        <f t="array" ref="H210">IF(G210:G4251="","",_xlfn.XLOOKUP(G210:G4251,castles_state!A:A,castles_state!D:D,"見つかりません"))</f>
      </c>
      <c r="I210" s="4"/>
      <c r="J210" s="12" t="str">
        <f t="array" ref="J210">IF(I210:I4251="","",_xlfn.XLOOKUP(I210:I4251,'参照_姫'!A:A,'参照_姫'!B:B,"見つかりません"))</f>
      </c>
      <c r="K210" s="4">
        <v>90</v>
      </c>
      <c r="L210" s="4">
        <v>0</v>
      </c>
      <c r="M210" s="4"/>
      <c r="N210" s="4"/>
      <c r="O210" s="4"/>
      <c r="P210" s="12" t="str">
        <f t="array" ref="P210">IF(O210:O4251="","",_xlfn.XLOOKUP(O210:O4251,'参照_官位'!A:A,'参照_官位'!B:B,""))</f>
      </c>
      <c r="Q210" s="12" t="str">
        <f t="array" ref="Q210">IF(A210:A4251="","",IFERROR(_xlfn.XLOOKUP(A210:A4251,castles_state!K:K,castles_state!D:D)&amp;"主",IFERROR(_xlfn.XLOOKUP(A210:A4251,kunishuClan!D:D,kunishuClan!B:B)&amp;"当主","")))</f>
      </c>
    </row>
    <row r="211" ht="15.75" customHeight="1">
      <c r="A211" s="4">
        <v>1003035</v>
      </c>
      <c r="B211" s="12" t="str">
        <f t="array" ref="B211">IF(A211:A4252="","",_xlfn.XLOOKUP(A211:A4252,'参照_武将'!A:A,'参照_武将'!B:B,"見つかりません"))</f>
      </c>
      <c r="C211" s="4" t="s">
        <v>113</v>
      </c>
      <c r="D211" s="4">
        <v>4</v>
      </c>
      <c r="E211" s="12" t="str">
        <f t="array" ref="E211">IF(D211:D4252="","",IFERROR(_xlfn.XLOOKUP(D211:D4252,'参照_勢力'!A:A,'参照_勢力'!B:B),IFERROR(_xlfn.XLOOKUP(F211:F4252,kunishuClan!A:A,kunishuClan!B:B),"浪人")))</f>
      </c>
      <c r="F211" s="4">
        <v>0</v>
      </c>
      <c r="G211" s="4">
        <v>236</v>
      </c>
      <c r="H211" s="12" t="str">
        <f t="array" ref="H211">IF(G211:G4252="","",_xlfn.XLOOKUP(G211:G4252,castles_state!A:A,castles_state!D:D,"見つかりません"))</f>
      </c>
      <c r="I211" s="4"/>
      <c r="J211" s="12" t="str">
        <f t="array" ref="J211">IF(I211:I4252="","",_xlfn.XLOOKUP(I211:I4252,'参照_姫'!A:A,'参照_姫'!B:B,"見つかりません"))</f>
      </c>
      <c r="K211" s="4">
        <v>95</v>
      </c>
      <c r="L211" s="4">
        <v>0</v>
      </c>
      <c r="M211" s="4"/>
      <c r="N211" s="4"/>
      <c r="O211" s="4"/>
      <c r="P211" s="12" t="str">
        <f t="array" ref="P211">IF(O211:O4252="","",_xlfn.XLOOKUP(O211:O4252,'参照_官位'!A:A,'参照_官位'!B:B,""))</f>
      </c>
      <c r="Q211" s="12" t="str">
        <f t="array" ref="Q211">IF(A211:A4252="","",IFERROR(_xlfn.XLOOKUP(A211:A4252,castles_state!K:K,castles_state!D:D)&amp;"主",IFERROR(_xlfn.XLOOKUP(A211:A4252,kunishuClan!D:D,kunishuClan!B:B)&amp;"当主","")))</f>
      </c>
    </row>
    <row r="212" ht="15.75" customHeight="1">
      <c r="A212" s="4">
        <v>1003036</v>
      </c>
      <c r="B212" s="12" t="str">
        <f t="array" ref="B212">IF(A212:A4253="","",_xlfn.XLOOKUP(A212:A4253,'参照_武将'!A:A,'参照_武将'!B:B,"見つかりません"))</f>
      </c>
      <c r="C212" s="4" t="s">
        <v>113</v>
      </c>
      <c r="D212" s="4">
        <v>4</v>
      </c>
      <c r="E212" s="12" t="str">
        <f t="array" ref="E212">IF(D212:D4253="","",IFERROR(_xlfn.XLOOKUP(D212:D4253,'参照_勢力'!A:A,'参照_勢力'!B:B),IFERROR(_xlfn.XLOOKUP(F212:F4253,kunishuClan!A:A,kunishuClan!B:B),"浪人")))</f>
      </c>
      <c r="F212" s="4">
        <v>0</v>
      </c>
      <c r="G212" s="4">
        <v>67</v>
      </c>
      <c r="H212" s="12" t="str">
        <f t="array" ref="H212">IF(G212:G4253="","",_xlfn.XLOOKUP(G212:G4253,castles_state!A:A,castles_state!D:D,"見つかりません"))</f>
      </c>
      <c r="I212" s="4"/>
      <c r="J212" s="12" t="str">
        <f t="array" ref="J212">IF(I212:I4253="","",_xlfn.XLOOKUP(I212:I4253,'参照_姫'!A:A,'参照_姫'!B:B,"見つかりません"))</f>
      </c>
      <c r="K212" s="4">
        <v>95</v>
      </c>
      <c r="L212" s="4">
        <v>0</v>
      </c>
      <c r="M212" s="4"/>
      <c r="N212" s="4"/>
      <c r="O212" s="4"/>
      <c r="P212" s="12" t="str">
        <f t="array" ref="P212">IF(O212:O4253="","",_xlfn.XLOOKUP(O212:O4253,'参照_官位'!A:A,'参照_官位'!B:B,""))</f>
      </c>
      <c r="Q212" s="12" t="str">
        <f t="array" ref="Q212">IF(A212:A4253="","",IFERROR(_xlfn.XLOOKUP(A212:A4253,castles_state!K:K,castles_state!D:D)&amp;"主",IFERROR(_xlfn.XLOOKUP(A212:A4253,kunishuClan!D:D,kunishuClan!B:B)&amp;"当主","")))</f>
      </c>
    </row>
    <row r="213" ht="15.75" customHeight="1">
      <c r="A213" s="4">
        <v>1003037</v>
      </c>
      <c r="B213" s="12" t="str">
        <f t="array" ref="B213">IF(A213:A4254="","",_xlfn.XLOOKUP(A213:A4254,'参照_武将'!A:A,'参照_武将'!B:B,"見つかりません"))</f>
      </c>
      <c r="C213" s="4" t="s">
        <v>113</v>
      </c>
      <c r="D213" s="4">
        <v>4</v>
      </c>
      <c r="E213" s="12" t="str">
        <f t="array" ref="E213">IF(D213:D4254="","",IFERROR(_xlfn.XLOOKUP(D213:D4254,'参照_勢力'!A:A,'参照_勢力'!B:B),IFERROR(_xlfn.XLOOKUP(F213:F4254,kunishuClan!A:A,kunishuClan!B:B),"浪人")))</f>
      </c>
      <c r="F213" s="4">
        <v>0</v>
      </c>
      <c r="G213" s="4">
        <v>67</v>
      </c>
      <c r="H213" s="12" t="str">
        <f t="array" ref="H213">IF(G213:G4254="","",_xlfn.XLOOKUP(G213:G4254,castles_state!A:A,castles_state!D:D,"見つかりません"))</f>
      </c>
      <c r="I213" s="4"/>
      <c r="J213" s="12" t="str">
        <f t="array" ref="J213">IF(I213:I4254="","",_xlfn.XLOOKUP(I213:I4254,'参照_姫'!A:A,'参照_姫'!B:B,"見つかりません"))</f>
      </c>
      <c r="K213" s="4">
        <v>95</v>
      </c>
      <c r="L213" s="4">
        <v>0</v>
      </c>
      <c r="M213" s="4"/>
      <c r="N213" s="4"/>
      <c r="O213" s="4"/>
      <c r="P213" s="12" t="str">
        <f t="array" ref="P213">IF(O213:O4254="","",_xlfn.XLOOKUP(O213:O4254,'参照_官位'!A:A,'参照_官位'!B:B,""))</f>
      </c>
      <c r="Q213" s="12" t="str">
        <f t="array" ref="Q213">IF(A213:A4254="","",IFERROR(_xlfn.XLOOKUP(A213:A4254,castles_state!K:K,castles_state!D:D)&amp;"主",IFERROR(_xlfn.XLOOKUP(A213:A4254,kunishuClan!D:D,kunishuClan!B:B)&amp;"当主","")))</f>
      </c>
    </row>
    <row r="214" ht="15.75" customHeight="1">
      <c r="A214" s="4">
        <v>1003038</v>
      </c>
      <c r="B214" s="12" t="str">
        <f t="array" ref="B214">IF(A214:A4255="","",_xlfn.XLOOKUP(A214:A4255,'参照_武将'!A:A,'参照_武将'!B:B,"見つかりません"))</f>
      </c>
      <c r="C214" s="4" t="s">
        <v>113</v>
      </c>
      <c r="D214" s="4">
        <v>4</v>
      </c>
      <c r="E214" s="12" t="str">
        <f t="array" ref="E214">IF(D214:D4255="","",IFERROR(_xlfn.XLOOKUP(D214:D4255,'参照_勢力'!A:A,'参照_勢力'!B:B),IFERROR(_xlfn.XLOOKUP(F214:F4255,kunishuClan!A:A,kunishuClan!B:B),"浪人")))</f>
      </c>
      <c r="F214" s="4">
        <v>0</v>
      </c>
      <c r="G214" s="4">
        <v>98</v>
      </c>
      <c r="H214" s="12" t="str">
        <f t="array" ref="H214">IF(G214:G4255="","",_xlfn.XLOOKUP(G214:G4255,castles_state!A:A,castles_state!D:D,"見つかりません"))</f>
      </c>
      <c r="I214" s="4"/>
      <c r="J214" s="12" t="str">
        <f t="array" ref="J214">IF(I214:I4255="","",_xlfn.XLOOKUP(I214:I4255,'参照_姫'!A:A,'参照_姫'!B:B,"見つかりません"))</f>
      </c>
      <c r="K214" s="4">
        <v>95</v>
      </c>
      <c r="L214" s="4">
        <v>0</v>
      </c>
      <c r="M214" s="4"/>
      <c r="N214" s="4"/>
      <c r="O214" s="4"/>
      <c r="P214" s="12" t="str">
        <f t="array" ref="P214">IF(O214:O4255="","",_xlfn.XLOOKUP(O214:O4255,'参照_官位'!A:A,'参照_官位'!B:B,""))</f>
      </c>
      <c r="Q214" s="12" t="str">
        <f t="array" ref="Q214">IF(A214:A4255="","",IFERROR(_xlfn.XLOOKUP(A214:A4255,castles_state!K:K,castles_state!D:D)&amp;"主",IFERROR(_xlfn.XLOOKUP(A214:A4255,kunishuClan!D:D,kunishuClan!B:B)&amp;"当主","")))</f>
      </c>
    </row>
    <row r="215" ht="15.75" customHeight="1">
      <c r="A215" s="4">
        <v>1003039</v>
      </c>
      <c r="B215" s="12" t="str">
        <f t="array" ref="B215">IF(A215:A4256="","",_xlfn.XLOOKUP(A215:A4256,'参照_武将'!A:A,'参照_武将'!B:B,"見つかりません"))</f>
      </c>
      <c r="C215" s="4" t="s">
        <v>113</v>
      </c>
      <c r="D215" s="4">
        <v>4</v>
      </c>
      <c r="E215" s="12" t="str">
        <f t="array" ref="E215">IF(D215:D4256="","",IFERROR(_xlfn.XLOOKUP(D215:D4256,'参照_勢力'!A:A,'参照_勢力'!B:B),IFERROR(_xlfn.XLOOKUP(F215:F4256,kunishuClan!A:A,kunishuClan!B:B),"浪人")))</f>
      </c>
      <c r="F215" s="4">
        <v>0</v>
      </c>
      <c r="G215" s="4">
        <v>14</v>
      </c>
      <c r="H215" s="12" t="str">
        <f t="array" ref="H215">IF(G215:G4256="","",_xlfn.XLOOKUP(G215:G4256,castles_state!A:A,castles_state!D:D,"見つかりません"))</f>
      </c>
      <c r="I215" s="4"/>
      <c r="J215" s="12" t="str">
        <f t="array" ref="J215">IF(I215:I4256="","",_xlfn.XLOOKUP(I215:I4256,'参照_姫'!A:A,'参照_姫'!B:B,"見つかりません"))</f>
      </c>
      <c r="K215" s="4">
        <v>90</v>
      </c>
      <c r="L215" s="4">
        <v>0</v>
      </c>
      <c r="M215" s="4"/>
      <c r="N215" s="4"/>
      <c r="O215" s="4"/>
      <c r="P215" s="12" t="str">
        <f t="array" ref="P215">IF(O215:O4256="","",_xlfn.XLOOKUP(O215:O4256,'参照_官位'!A:A,'参照_官位'!B:B,""))</f>
      </c>
      <c r="Q215" s="12" t="str">
        <f t="array" ref="Q215">IF(A215:A4256="","",IFERROR(_xlfn.XLOOKUP(A215:A4256,castles_state!K:K,castles_state!D:D)&amp;"主",IFERROR(_xlfn.XLOOKUP(A215:A4256,kunishuClan!D:D,kunishuClan!B:B)&amp;"当主","")))</f>
      </c>
    </row>
    <row r="216" ht="15.75" customHeight="1">
      <c r="A216" s="4">
        <v>1003040</v>
      </c>
      <c r="B216" s="12" t="str">
        <f t="array" ref="B216">IF(A216:A4257="","",_xlfn.XLOOKUP(A216:A4257,'参照_武将'!A:A,'参照_武将'!B:B,"見つかりません"))</f>
      </c>
      <c r="C216" s="4" t="s">
        <v>113</v>
      </c>
      <c r="D216" s="4">
        <v>4</v>
      </c>
      <c r="E216" s="12" t="str">
        <f t="array" ref="E216">IF(D216:D4257="","",IFERROR(_xlfn.XLOOKUP(D216:D4257,'参照_勢力'!A:A,'参照_勢力'!B:B),IFERROR(_xlfn.XLOOKUP(F216:F4257,kunishuClan!A:A,kunishuClan!B:B),"浪人")))</f>
      </c>
      <c r="F216" s="4">
        <v>0</v>
      </c>
      <c r="G216" s="4">
        <v>97</v>
      </c>
      <c r="H216" s="12" t="str">
        <f t="array" ref="H216">IF(G216:G4257="","",_xlfn.XLOOKUP(G216:G4257,castles_state!A:A,castles_state!D:D,"見つかりません"))</f>
      </c>
      <c r="I216" s="4"/>
      <c r="J216" s="12" t="str">
        <f t="array" ref="J216">IF(I216:I4257="","",_xlfn.XLOOKUP(I216:I4257,'参照_姫'!A:A,'参照_姫'!B:B,"見つかりません"))</f>
      </c>
      <c r="K216" s="4">
        <v>95</v>
      </c>
      <c r="L216" s="4">
        <v>0</v>
      </c>
      <c r="M216" s="4"/>
      <c r="N216" s="4"/>
      <c r="O216" s="4"/>
      <c r="P216" s="12" t="str">
        <f t="array" ref="P216">IF(O216:O4257="","",_xlfn.XLOOKUP(O216:O4257,'参照_官位'!A:A,'参照_官位'!B:B,""))</f>
      </c>
      <c r="Q216" s="12" t="str">
        <f t="array" ref="Q216">IF(A216:A4257="","",IFERROR(_xlfn.XLOOKUP(A216:A4257,castles_state!K:K,castles_state!D:D)&amp;"主",IFERROR(_xlfn.XLOOKUP(A216:A4257,kunishuClan!D:D,kunishuClan!B:B)&amp;"当主","")))</f>
      </c>
    </row>
    <row r="217" ht="15.75" customHeight="1">
      <c r="A217" s="4">
        <v>1003041</v>
      </c>
      <c r="B217" s="12" t="str">
        <f t="array" ref="B217">IF(A217:A4258="","",_xlfn.XLOOKUP(A217:A4258,'参照_武将'!A:A,'参照_武将'!B:B,"見つかりません"))</f>
      </c>
      <c r="C217" s="4" t="s">
        <v>113</v>
      </c>
      <c r="D217" s="4">
        <v>4</v>
      </c>
      <c r="E217" s="12" t="str">
        <f t="array" ref="E217">IF(D217:D4258="","",IFERROR(_xlfn.XLOOKUP(D217:D4258,'参照_勢力'!A:A,'参照_勢力'!B:B),IFERROR(_xlfn.XLOOKUP(F217:F4258,kunishuClan!A:A,kunishuClan!B:B),"浪人")))</f>
      </c>
      <c r="F217" s="4">
        <v>0</v>
      </c>
      <c r="G217" s="4">
        <v>97</v>
      </c>
      <c r="H217" s="12" t="str">
        <f t="array" ref="H217">IF(G217:G4258="","",_xlfn.XLOOKUP(G217:G4258,castles_state!A:A,castles_state!D:D,"見つかりません"))</f>
      </c>
      <c r="I217" s="4"/>
      <c r="J217" s="12" t="str">
        <f t="array" ref="J217">IF(I217:I4258="","",_xlfn.XLOOKUP(I217:I4258,'参照_姫'!A:A,'参照_姫'!B:B,"見つかりません"))</f>
      </c>
      <c r="K217" s="4">
        <v>95</v>
      </c>
      <c r="L217" s="4">
        <v>0</v>
      </c>
      <c r="M217" s="4"/>
      <c r="N217" s="4"/>
      <c r="O217" s="4"/>
      <c r="P217" s="12" t="str">
        <f t="array" ref="P217">IF(O217:O4258="","",_xlfn.XLOOKUP(O217:O4258,'参照_官位'!A:A,'参照_官位'!B:B,""))</f>
      </c>
      <c r="Q217" s="12" t="str">
        <f t="array" ref="Q217">IF(A217:A4258="","",IFERROR(_xlfn.XLOOKUP(A217:A4258,castles_state!K:K,castles_state!D:D)&amp;"主",IFERROR(_xlfn.XLOOKUP(A217:A4258,kunishuClan!D:D,kunishuClan!B:B)&amp;"当主","")))</f>
      </c>
    </row>
    <row r="218" ht="15.75" customHeight="1">
      <c r="A218" s="4">
        <v>1003042</v>
      </c>
      <c r="B218" s="12" t="str">
        <f t="array" ref="B218">IF(A218:A4259="","",_xlfn.XLOOKUP(A218:A4259,'参照_武将'!A:A,'参照_武将'!B:B,"見つかりません"))</f>
      </c>
      <c r="C218" s="4" t="s">
        <v>113</v>
      </c>
      <c r="D218" s="4">
        <v>4</v>
      </c>
      <c r="E218" s="12" t="str">
        <f t="array" ref="E218">IF(D218:D4259="","",IFERROR(_xlfn.XLOOKUP(D218:D4259,'参照_勢力'!A:A,'参照_勢力'!B:B),IFERROR(_xlfn.XLOOKUP(F218:F4259,kunishuClan!A:A,kunishuClan!B:B),"浪人")))</f>
      </c>
      <c r="F218" s="4">
        <v>0</v>
      </c>
      <c r="G218" s="4">
        <v>98</v>
      </c>
      <c r="H218" s="12" t="str">
        <f t="array" ref="H218">IF(G218:G4259="","",_xlfn.XLOOKUP(G218:G4259,castles_state!A:A,castles_state!D:D,"見つかりません"))</f>
      </c>
      <c r="I218" s="4"/>
      <c r="J218" s="12" t="str">
        <f t="array" ref="J218">IF(I218:I4259="","",_xlfn.XLOOKUP(I218:I4259,'参照_姫'!A:A,'参照_姫'!B:B,"見つかりません"))</f>
      </c>
      <c r="K218" s="4">
        <v>95</v>
      </c>
      <c r="L218" s="4">
        <v>0</v>
      </c>
      <c r="M218" s="4"/>
      <c r="N218" s="4"/>
      <c r="O218" s="4"/>
      <c r="P218" s="12" t="str">
        <f t="array" ref="P218">IF(O218:O4259="","",_xlfn.XLOOKUP(O218:O4259,'参照_官位'!A:A,'参照_官位'!B:B,""))</f>
      </c>
      <c r="Q218" s="12" t="str">
        <f t="array" ref="Q218">IF(A218:A4259="","",IFERROR(_xlfn.XLOOKUP(A218:A4259,castles_state!K:K,castles_state!D:D)&amp;"主",IFERROR(_xlfn.XLOOKUP(A218:A4259,kunishuClan!D:D,kunishuClan!B:B)&amp;"当主","")))</f>
      </c>
    </row>
    <row r="219" ht="15.75" customHeight="1">
      <c r="A219" s="4">
        <v>1003043</v>
      </c>
      <c r="B219" s="12" t="str">
        <f t="array" ref="B219">IF(A219:A4260="","",_xlfn.XLOOKUP(A219:A4260,'参照_武将'!A:A,'参照_武将'!B:B,"見つかりません"))</f>
      </c>
      <c r="C219" s="4" t="s">
        <v>113</v>
      </c>
      <c r="D219" s="4">
        <v>4</v>
      </c>
      <c r="E219" s="12" t="str">
        <f t="array" ref="E219">IF(D219:D4260="","",IFERROR(_xlfn.XLOOKUP(D219:D4260,'参照_勢力'!A:A,'参照_勢力'!B:B),IFERROR(_xlfn.XLOOKUP(F219:F4260,kunishuClan!A:A,kunishuClan!B:B),"浪人")))</f>
      </c>
      <c r="F219" s="4">
        <v>0</v>
      </c>
      <c r="G219" s="4">
        <v>98</v>
      </c>
      <c r="H219" s="12" t="str">
        <f t="array" ref="H219">IF(G219:G4260="","",_xlfn.XLOOKUP(G219:G4260,castles_state!A:A,castles_state!D:D,"見つかりません"))</f>
      </c>
      <c r="I219" s="4"/>
      <c r="J219" s="12" t="str">
        <f t="array" ref="J219">IF(I219:I4260="","",_xlfn.XLOOKUP(I219:I4260,'参照_姫'!A:A,'参照_姫'!B:B,"見つかりません"))</f>
      </c>
      <c r="K219" s="4">
        <v>95</v>
      </c>
      <c r="L219" s="4">
        <v>0</v>
      </c>
      <c r="M219" s="4"/>
      <c r="N219" s="4"/>
      <c r="O219" s="4"/>
      <c r="P219" s="12" t="str">
        <f t="array" ref="P219">IF(O219:O4260="","",_xlfn.XLOOKUP(O219:O4260,'参照_官位'!A:A,'参照_官位'!B:B,""))</f>
      </c>
      <c r="Q219" s="12" t="str">
        <f t="array" ref="Q219">IF(A219:A4260="","",IFERROR(_xlfn.XLOOKUP(A219:A4260,castles_state!K:K,castles_state!D:D)&amp;"主",IFERROR(_xlfn.XLOOKUP(A219:A4260,kunishuClan!D:D,kunishuClan!B:B)&amp;"当主","")))</f>
      </c>
    </row>
    <row r="220" ht="15.75" customHeight="1">
      <c r="A220" s="4">
        <v>1003044</v>
      </c>
      <c r="B220" s="12" t="str">
        <f t="array" ref="B220">IF(A220:A4261="","",_xlfn.XLOOKUP(A220:A4261,'参照_武将'!A:A,'参照_武将'!B:B,"見つかりません"))</f>
      </c>
      <c r="C220" s="4" t="s">
        <v>113</v>
      </c>
      <c r="D220" s="4">
        <v>4</v>
      </c>
      <c r="E220" s="12" t="str">
        <f t="array" ref="E220">IF(D220:D4261="","",IFERROR(_xlfn.XLOOKUP(D220:D4261,'参照_勢力'!A:A,'参照_勢力'!B:B),IFERROR(_xlfn.XLOOKUP(F220:F4261,kunishuClan!A:A,kunishuClan!B:B),"浪人")))</f>
      </c>
      <c r="F220" s="4">
        <v>0</v>
      </c>
      <c r="G220" s="4">
        <v>97</v>
      </c>
      <c r="H220" s="12" t="str">
        <f t="array" ref="H220">IF(G220:G4261="","",_xlfn.XLOOKUP(G220:G4261,castles_state!A:A,castles_state!D:D,"見つかりません"))</f>
      </c>
      <c r="I220" s="4"/>
      <c r="J220" s="12" t="str">
        <f t="array" ref="J220">IF(I220:I4261="","",_xlfn.XLOOKUP(I220:I4261,'参照_姫'!A:A,'参照_姫'!B:B,"見つかりません"))</f>
      </c>
      <c r="K220" s="4">
        <v>95</v>
      </c>
      <c r="L220" s="4">
        <v>0</v>
      </c>
      <c r="M220" s="4"/>
      <c r="N220" s="4"/>
      <c r="O220" s="4"/>
      <c r="P220" s="12" t="str">
        <f t="array" ref="P220">IF(O220:O4261="","",_xlfn.XLOOKUP(O220:O4261,'参照_官位'!A:A,'参照_官位'!B:B,""))</f>
      </c>
      <c r="Q220" s="12" t="str">
        <f t="array" ref="Q220">IF(A220:A4261="","",IFERROR(_xlfn.XLOOKUP(A220:A4261,castles_state!K:K,castles_state!D:D)&amp;"主",IFERROR(_xlfn.XLOOKUP(A220:A4261,kunishuClan!D:D,kunishuClan!B:B)&amp;"当主","")))</f>
      </c>
    </row>
    <row r="221" ht="15.75" customHeight="1">
      <c r="A221" s="4">
        <v>1003045</v>
      </c>
      <c r="B221" s="12" t="str">
        <f t="array" ref="B221">IF(A221:A4262="","",_xlfn.XLOOKUP(A221:A4262,'参照_武将'!A:A,'参照_武将'!B:B,"見つかりません"))</f>
      </c>
      <c r="C221" s="4" t="s">
        <v>113</v>
      </c>
      <c r="D221" s="4">
        <v>4</v>
      </c>
      <c r="E221" s="12" t="str">
        <f t="array" ref="E221">IF(D221:D4262="","",IFERROR(_xlfn.XLOOKUP(D221:D4262,'参照_勢力'!A:A,'参照_勢力'!B:B),IFERROR(_xlfn.XLOOKUP(F221:F4262,kunishuClan!A:A,kunishuClan!B:B),"浪人")))</f>
      </c>
      <c r="F221" s="4">
        <v>0</v>
      </c>
      <c r="G221" s="4">
        <v>14</v>
      </c>
      <c r="H221" s="12" t="str">
        <f t="array" ref="H221">IF(G221:G4262="","",_xlfn.XLOOKUP(G221:G4262,castles_state!A:A,castles_state!D:D,"見つかりません"))</f>
      </c>
      <c r="I221" s="4"/>
      <c r="J221" s="12" t="str">
        <f t="array" ref="J221">IF(I221:I4262="","",_xlfn.XLOOKUP(I221:I4262,'参照_姫'!A:A,'参照_姫'!B:B,"見つかりません"))</f>
      </c>
      <c r="K221" s="4">
        <v>95</v>
      </c>
      <c r="L221" s="4">
        <v>0</v>
      </c>
      <c r="M221" s="4"/>
      <c r="N221" s="4"/>
      <c r="O221" s="4"/>
      <c r="P221" s="12" t="str">
        <f t="array" ref="P221">IF(O221:O4262="","",_xlfn.XLOOKUP(O221:O4262,'参照_官位'!A:A,'参照_官位'!B:B,""))</f>
      </c>
      <c r="Q221" s="12" t="str">
        <f t="array" ref="Q221">IF(A221:A4262="","",IFERROR(_xlfn.XLOOKUP(A221:A4262,castles_state!K:K,castles_state!D:D)&amp;"主",IFERROR(_xlfn.XLOOKUP(A221:A4262,kunishuClan!D:D,kunishuClan!B:B)&amp;"当主","")))</f>
      </c>
    </row>
    <row r="222" ht="15.75" customHeight="1">
      <c r="A222" s="4">
        <v>1003046</v>
      </c>
      <c r="B222" s="12" t="str">
        <f t="array" ref="B222">IF(A222:A4263="","",_xlfn.XLOOKUP(A222:A4263,'参照_武将'!A:A,'参照_武将'!B:B,"見つかりません"))</f>
      </c>
      <c r="C222" s="4" t="s">
        <v>113</v>
      </c>
      <c r="D222" s="4">
        <v>4</v>
      </c>
      <c r="E222" s="12" t="str">
        <f t="array" ref="E222">IF(D222:D4263="","",IFERROR(_xlfn.XLOOKUP(D222:D4263,'参照_勢力'!A:A,'参照_勢力'!B:B),IFERROR(_xlfn.XLOOKUP(F222:F4263,kunishuClan!A:A,kunishuClan!B:B),"浪人")))</f>
      </c>
      <c r="F222" s="4">
        <v>0</v>
      </c>
      <c r="G222" s="4">
        <v>14</v>
      </c>
      <c r="H222" s="12" t="str">
        <f t="array" ref="H222">IF(G222:G4263="","",_xlfn.XLOOKUP(G222:G4263,castles_state!A:A,castles_state!D:D,"見つかりません"))</f>
      </c>
      <c r="I222" s="4"/>
      <c r="J222" s="12" t="str">
        <f t="array" ref="J222">IF(I222:I4263="","",_xlfn.XLOOKUP(I222:I4263,'参照_姫'!A:A,'参照_姫'!B:B,"見つかりません"))</f>
      </c>
      <c r="K222" s="4">
        <v>95</v>
      </c>
      <c r="L222" s="4">
        <v>0</v>
      </c>
      <c r="M222" s="4"/>
      <c r="N222" s="4"/>
      <c r="O222" s="4"/>
      <c r="P222" s="12" t="str">
        <f t="array" ref="P222">IF(O222:O4263="","",_xlfn.XLOOKUP(O222:O4263,'参照_官位'!A:A,'参照_官位'!B:B,""))</f>
      </c>
      <c r="Q222" s="12" t="str">
        <f t="array" ref="Q222">IF(A222:A4263="","",IFERROR(_xlfn.XLOOKUP(A222:A4263,castles_state!K:K,castles_state!D:D)&amp;"主",IFERROR(_xlfn.XLOOKUP(A222:A4263,kunishuClan!D:D,kunishuClan!B:B)&amp;"当主","")))</f>
      </c>
    </row>
    <row r="223" ht="15.75" customHeight="1">
      <c r="A223" s="4">
        <v>1003047</v>
      </c>
      <c r="B223" s="12" t="str">
        <f t="array" ref="B223">IF(A223:A4264="","",_xlfn.XLOOKUP(A223:A4264,'参照_武将'!A:A,'参照_武将'!B:B,"見つかりません"))</f>
      </c>
      <c r="C223" s="4" t="s">
        <v>113</v>
      </c>
      <c r="D223" s="4">
        <v>4</v>
      </c>
      <c r="E223" s="12" t="str">
        <f t="array" ref="E223">IF(D223:D4264="","",IFERROR(_xlfn.XLOOKUP(D223:D4264,'参照_勢力'!A:A,'参照_勢力'!B:B),IFERROR(_xlfn.XLOOKUP(F223:F4264,kunishuClan!A:A,kunishuClan!B:B),"浪人")))</f>
      </c>
      <c r="F223" s="4">
        <v>0</v>
      </c>
      <c r="G223" s="4">
        <v>14</v>
      </c>
      <c r="H223" s="12" t="str">
        <f t="array" ref="H223">IF(G223:G4264="","",_xlfn.XLOOKUP(G223:G4264,castles_state!A:A,castles_state!D:D,"見つかりません"))</f>
      </c>
      <c r="I223" s="4"/>
      <c r="J223" s="12" t="str">
        <f t="array" ref="J223">IF(I223:I4264="","",_xlfn.XLOOKUP(I223:I4264,'参照_姫'!A:A,'参照_姫'!B:B,"見つかりません"))</f>
      </c>
      <c r="K223" s="4">
        <v>95</v>
      </c>
      <c r="L223" s="4">
        <v>0</v>
      </c>
      <c r="M223" s="4"/>
      <c r="N223" s="4"/>
      <c r="O223" s="4"/>
      <c r="P223" s="12" t="str">
        <f t="array" ref="P223">IF(O223:O4264="","",_xlfn.XLOOKUP(O223:O4264,'参照_官位'!A:A,'参照_官位'!B:B,""))</f>
      </c>
      <c r="Q223" s="12" t="str">
        <f t="array" ref="Q223">IF(A223:A4264="","",IFERROR(_xlfn.XLOOKUP(A223:A4264,castles_state!K:K,castles_state!D:D)&amp;"主",IFERROR(_xlfn.XLOOKUP(A223:A4264,kunishuClan!D:D,kunishuClan!B:B)&amp;"当主","")))</f>
      </c>
    </row>
    <row r="224" ht="15.75" customHeight="1">
      <c r="A224" s="4">
        <v>1003048</v>
      </c>
      <c r="B224" s="12" t="str">
        <f t="array" ref="B224">IF(A224:A4265="","",_xlfn.XLOOKUP(A224:A4265,'参照_武将'!A:A,'参照_武将'!B:B,"見つかりません"))</f>
      </c>
      <c r="C224" s="4" t="s">
        <v>113</v>
      </c>
      <c r="D224" s="4">
        <v>4</v>
      </c>
      <c r="E224" s="12" t="str">
        <f t="array" ref="E224">IF(D224:D4265="","",IFERROR(_xlfn.XLOOKUP(D224:D4265,'参照_勢力'!A:A,'参照_勢力'!B:B),IFERROR(_xlfn.XLOOKUP(F224:F4265,kunishuClan!A:A,kunishuClan!B:B),"浪人")))</f>
      </c>
      <c r="F224" s="4">
        <v>0</v>
      </c>
      <c r="G224" s="4">
        <v>10</v>
      </c>
      <c r="H224" s="12" t="str">
        <f t="array" ref="H224">IF(G224:G4265="","",_xlfn.XLOOKUP(G224:G4265,castles_state!A:A,castles_state!D:D,"見つかりません"))</f>
      </c>
      <c r="I224" s="4"/>
      <c r="J224" s="12" t="str">
        <f t="array" ref="J224">IF(I224:I4265="","",_xlfn.XLOOKUP(I224:I4265,'参照_姫'!A:A,'参照_姫'!B:B,"見つかりません"))</f>
      </c>
      <c r="K224" s="4">
        <v>95</v>
      </c>
      <c r="L224" s="4">
        <v>0</v>
      </c>
      <c r="M224" s="4"/>
      <c r="N224" s="4"/>
      <c r="O224" s="4"/>
      <c r="P224" s="12" t="str">
        <f t="array" ref="P224">IF(O224:O4265="","",_xlfn.XLOOKUP(O224:O4265,'参照_官位'!A:A,'参照_官位'!B:B,""))</f>
      </c>
      <c r="Q224" s="12" t="str">
        <f t="array" ref="Q224">IF(A224:A4265="","",IFERROR(_xlfn.XLOOKUP(A224:A4265,castles_state!K:K,castles_state!D:D)&amp;"主",IFERROR(_xlfn.XLOOKUP(A224:A4265,kunishuClan!D:D,kunishuClan!B:B)&amp;"当主","")))</f>
      </c>
    </row>
    <row r="225" ht="15.75" customHeight="1">
      <c r="A225" s="4">
        <v>1003049</v>
      </c>
      <c r="B225" s="12" t="str">
        <f t="array" ref="B225">IF(A225:A4266="","",_xlfn.XLOOKUP(A225:A4266,'参照_武将'!A:A,'参照_武将'!B:B,"見つかりません"))</f>
      </c>
      <c r="C225" s="4" t="s">
        <v>113</v>
      </c>
      <c r="D225" s="4">
        <v>4</v>
      </c>
      <c r="E225" s="12" t="str">
        <f t="array" ref="E225">IF(D225:D4266="","",IFERROR(_xlfn.XLOOKUP(D225:D4266,'参照_勢力'!A:A,'参照_勢力'!B:B),IFERROR(_xlfn.XLOOKUP(F225:F4266,kunishuClan!A:A,kunishuClan!B:B),"浪人")))</f>
      </c>
      <c r="F225" s="4">
        <v>0</v>
      </c>
      <c r="G225" s="4">
        <v>10</v>
      </c>
      <c r="H225" s="12" t="str">
        <f t="array" ref="H225">IF(G225:G4266="","",_xlfn.XLOOKUP(G225:G4266,castles_state!A:A,castles_state!D:D,"見つかりません"))</f>
      </c>
      <c r="I225" s="4"/>
      <c r="J225" s="12" t="str">
        <f t="array" ref="J225">IF(I225:I4266="","",_xlfn.XLOOKUP(I225:I4266,'参照_姫'!A:A,'参照_姫'!B:B,"見つかりません"))</f>
      </c>
      <c r="K225" s="4">
        <v>95</v>
      </c>
      <c r="L225" s="4">
        <v>0</v>
      </c>
      <c r="M225" s="4"/>
      <c r="N225" s="4"/>
      <c r="O225" s="4"/>
      <c r="P225" s="12" t="str">
        <f t="array" ref="P225">IF(O225:O4266="","",_xlfn.XLOOKUP(O225:O4266,'参照_官位'!A:A,'参照_官位'!B:B,""))</f>
      </c>
      <c r="Q225" s="12" t="str">
        <f t="array" ref="Q225">IF(A225:A4266="","",IFERROR(_xlfn.XLOOKUP(A225:A4266,castles_state!K:K,castles_state!D:D)&amp;"主",IFERROR(_xlfn.XLOOKUP(A225:A4266,kunishuClan!D:D,kunishuClan!B:B)&amp;"当主","")))</f>
      </c>
    </row>
    <row r="226" ht="15.75" customHeight="1">
      <c r="A226" s="4">
        <v>1003050</v>
      </c>
      <c r="B226" s="12" t="str">
        <f t="array" ref="B226">IF(A226:A4267="","",_xlfn.XLOOKUP(A226:A4267,'参照_武将'!A:A,'参照_武将'!B:B,"見つかりません"))</f>
      </c>
      <c r="C226" s="4" t="s">
        <v>113</v>
      </c>
      <c r="D226" s="4">
        <v>4</v>
      </c>
      <c r="E226" s="12" t="str">
        <f t="array" ref="E226">IF(D226:D4267="","",IFERROR(_xlfn.XLOOKUP(D226:D4267,'参照_勢力'!A:A,'参照_勢力'!B:B),IFERROR(_xlfn.XLOOKUP(F226:F4267,kunishuClan!A:A,kunishuClan!B:B),"浪人")))</f>
      </c>
      <c r="F226" s="4">
        <v>0</v>
      </c>
      <c r="G226" s="4">
        <v>10</v>
      </c>
      <c r="H226" s="12" t="str">
        <f t="array" ref="H226">IF(G226:G4267="","",_xlfn.XLOOKUP(G226:G4267,castles_state!A:A,castles_state!D:D,"見つかりません"))</f>
      </c>
      <c r="I226" s="4"/>
      <c r="J226" s="12" t="str">
        <f t="array" ref="J226">IF(I226:I4267="","",_xlfn.XLOOKUP(I226:I4267,'参照_姫'!A:A,'参照_姫'!B:B,"見つかりません"))</f>
      </c>
      <c r="K226" s="4">
        <v>95</v>
      </c>
      <c r="L226" s="4">
        <v>0</v>
      </c>
      <c r="M226" s="4"/>
      <c r="N226" s="4"/>
      <c r="O226" s="4"/>
      <c r="P226" s="12" t="str">
        <f t="array" ref="P226">IF(O226:O4267="","",_xlfn.XLOOKUP(O226:O4267,'参照_官位'!A:A,'参照_官位'!B:B,""))</f>
      </c>
      <c r="Q226" s="12" t="str">
        <f t="array" ref="Q226">IF(A226:A4267="","",IFERROR(_xlfn.XLOOKUP(A226:A4267,castles_state!K:K,castles_state!D:D)&amp;"主",IFERROR(_xlfn.XLOOKUP(A226:A4267,kunishuClan!D:D,kunishuClan!B:B)&amp;"当主","")))</f>
      </c>
    </row>
    <row r="227" ht="15.75" customHeight="1">
      <c r="A227" s="4">
        <v>1003051</v>
      </c>
      <c r="B227" s="12" t="str">
        <f t="array" ref="B227">IF(A227:A4268="","",_xlfn.XLOOKUP(A227:A4268,'参照_武将'!A:A,'参照_武将'!B:B,"見つかりません"))</f>
      </c>
      <c r="C227" s="4" t="s">
        <v>113</v>
      </c>
      <c r="D227" s="4">
        <v>4</v>
      </c>
      <c r="E227" s="12" t="str">
        <f t="array" ref="E227">IF(D227:D4268="","",IFERROR(_xlfn.XLOOKUP(D227:D4268,'参照_勢力'!A:A,'参照_勢力'!B:B),IFERROR(_xlfn.XLOOKUP(F227:F4268,kunishuClan!A:A,kunishuClan!B:B),"浪人")))</f>
      </c>
      <c r="F227" s="4">
        <v>0</v>
      </c>
      <c r="G227" s="4">
        <v>10</v>
      </c>
      <c r="H227" s="12" t="str">
        <f t="array" ref="H227">IF(G227:G4268="","",_xlfn.XLOOKUP(G227:G4268,castles_state!A:A,castles_state!D:D,"見つかりません"))</f>
      </c>
      <c r="I227" s="4"/>
      <c r="J227" s="12" t="str">
        <f t="array" ref="J227">IF(I227:I4268="","",_xlfn.XLOOKUP(I227:I4268,'参照_姫'!A:A,'参照_姫'!B:B,"見つかりません"))</f>
      </c>
      <c r="K227" s="4">
        <v>95</v>
      </c>
      <c r="L227" s="4">
        <v>700</v>
      </c>
      <c r="M227" s="4"/>
      <c r="N227" s="4"/>
      <c r="O227" s="4"/>
      <c r="P227" s="12" t="str">
        <f t="array" ref="P227">IF(O227:O4268="","",_xlfn.XLOOKUP(O227:O4268,'参照_官位'!A:A,'参照_官位'!B:B,""))</f>
      </c>
      <c r="Q227" s="12" t="str">
        <f t="array" ref="Q227">IF(A227:A4268="","",IFERROR(_xlfn.XLOOKUP(A227:A4268,castles_state!K:K,castles_state!D:D)&amp;"主",IFERROR(_xlfn.XLOOKUP(A227:A4268,kunishuClan!D:D,kunishuClan!B:B)&amp;"当主","")))</f>
      </c>
    </row>
    <row r="228" ht="15.75" customHeight="1">
      <c r="A228" s="4">
        <v>1003052</v>
      </c>
      <c r="B228" s="12" t="str">
        <f t="array" ref="B228">IF(A228:A4269="","",_xlfn.XLOOKUP(A228:A4269,'参照_武将'!A:A,'参照_武将'!B:B,"見つかりません"))</f>
      </c>
      <c r="C228" s="4" t="s">
        <v>113</v>
      </c>
      <c r="D228" s="4">
        <v>4</v>
      </c>
      <c r="E228" s="12" t="str">
        <f t="array" ref="E228">IF(D228:D4269="","",IFERROR(_xlfn.XLOOKUP(D228:D4269,'参照_勢力'!A:A,'参照_勢力'!B:B),IFERROR(_xlfn.XLOOKUP(F228:F4269,kunishuClan!A:A,kunishuClan!B:B),"浪人")))</f>
      </c>
      <c r="F228" s="4">
        <v>0</v>
      </c>
      <c r="G228" s="4">
        <v>10</v>
      </c>
      <c r="H228" s="12" t="str">
        <f t="array" ref="H228">IF(G228:G4269="","",_xlfn.XLOOKUP(G228:G4269,castles_state!A:A,castles_state!D:D,"見つかりません"))</f>
      </c>
      <c r="I228" s="4"/>
      <c r="J228" s="12" t="str">
        <f t="array" ref="J228">IF(I228:I4269="","",_xlfn.XLOOKUP(I228:I4269,'参照_姫'!A:A,'参照_姫'!B:B,"見つかりません"))</f>
      </c>
      <c r="K228" s="4">
        <v>95</v>
      </c>
      <c r="L228" s="4">
        <v>0</v>
      </c>
      <c r="M228" s="4"/>
      <c r="N228" s="4"/>
      <c r="O228" s="4"/>
      <c r="P228" s="12" t="str">
        <f t="array" ref="P228">IF(O228:O4269="","",_xlfn.XLOOKUP(O228:O4269,'参照_官位'!A:A,'参照_官位'!B:B,""))</f>
      </c>
      <c r="Q228" s="12" t="str">
        <f t="array" ref="Q228">IF(A228:A4269="","",IFERROR(_xlfn.XLOOKUP(A228:A4269,castles_state!K:K,castles_state!D:D)&amp;"主",IFERROR(_xlfn.XLOOKUP(A228:A4269,kunishuClan!D:D,kunishuClan!B:B)&amp;"当主","")))</f>
      </c>
    </row>
    <row r="229" ht="15.75" customHeight="1">
      <c r="A229" s="4">
        <v>1003053</v>
      </c>
      <c r="B229" s="12" t="str">
        <f t="array" ref="B229">IF(A229:A4270="","",_xlfn.XLOOKUP(A229:A4270,'参照_武将'!A:A,'参照_武将'!B:B,"見つかりません"))</f>
      </c>
      <c r="C229" s="4" t="s">
        <v>113</v>
      </c>
      <c r="D229" s="4">
        <v>4</v>
      </c>
      <c r="E229" s="12" t="str">
        <f t="array" ref="E229">IF(D229:D4270="","",IFERROR(_xlfn.XLOOKUP(D229:D4270,'参照_勢力'!A:A,'参照_勢力'!B:B),IFERROR(_xlfn.XLOOKUP(F229:F4270,kunishuClan!A:A,kunishuClan!B:B),"浪人")))</f>
      </c>
      <c r="F229" s="4">
        <v>0</v>
      </c>
      <c r="G229" s="4">
        <v>10</v>
      </c>
      <c r="H229" s="12" t="str">
        <f t="array" ref="H229">IF(G229:G4270="","",_xlfn.XLOOKUP(G229:G4270,castles_state!A:A,castles_state!D:D,"見つかりません"))</f>
      </c>
      <c r="I229" s="4"/>
      <c r="J229" s="12" t="str">
        <f t="array" ref="J229">IF(I229:I4270="","",_xlfn.XLOOKUP(I229:I4270,'参照_姫'!A:A,'参照_姫'!B:B,"見つかりません"))</f>
      </c>
      <c r="K229" s="4">
        <v>95</v>
      </c>
      <c r="L229" s="4">
        <v>0</v>
      </c>
      <c r="M229" s="4"/>
      <c r="N229" s="4"/>
      <c r="O229" s="4"/>
      <c r="P229" s="12" t="str">
        <f t="array" ref="P229">IF(O229:O4270="","",_xlfn.XLOOKUP(O229:O4270,'参照_官位'!A:A,'参照_官位'!B:B,""))</f>
      </c>
      <c r="Q229" s="12" t="str">
        <f t="array" ref="Q229">IF(A229:A4270="","",IFERROR(_xlfn.XLOOKUP(A229:A4270,castles_state!K:K,castles_state!D:D)&amp;"主",IFERROR(_xlfn.XLOOKUP(A229:A4270,kunishuClan!D:D,kunishuClan!B:B)&amp;"当主","")))</f>
      </c>
    </row>
    <row r="230" ht="15.75" customHeight="1">
      <c r="A230" s="4">
        <v>1003054</v>
      </c>
      <c r="B230" s="12" t="str">
        <f t="array" ref="B230">IF(A230:A4271="","",_xlfn.XLOOKUP(A230:A4271,'参照_武将'!A:A,'参照_武将'!B:B,"見つかりません"))</f>
      </c>
      <c r="C230" s="4" t="s">
        <v>113</v>
      </c>
      <c r="D230" s="4">
        <v>4</v>
      </c>
      <c r="E230" s="12" t="str">
        <f t="array" ref="E230">IF(D230:D4271="","",IFERROR(_xlfn.XLOOKUP(D230:D4271,'参照_勢力'!A:A,'参照_勢力'!B:B),IFERROR(_xlfn.XLOOKUP(F230:F4271,kunishuClan!A:A,kunishuClan!B:B),"浪人")))</f>
      </c>
      <c r="F230" s="4">
        <v>0</v>
      </c>
      <c r="G230" s="4">
        <v>14</v>
      </c>
      <c r="H230" s="12" t="str">
        <f t="array" ref="H230">IF(G230:G4271="","",_xlfn.XLOOKUP(G230:G4271,castles_state!A:A,castles_state!D:D,"見つかりません"))</f>
      </c>
      <c r="I230" s="4"/>
      <c r="J230" s="12" t="str">
        <f t="array" ref="J230">IF(I230:I4271="","",_xlfn.XLOOKUP(I230:I4271,'参照_姫'!A:A,'参照_姫'!B:B,"見つかりません"))</f>
      </c>
      <c r="K230" s="4">
        <v>95</v>
      </c>
      <c r="L230" s="4">
        <v>0</v>
      </c>
      <c r="M230" s="4"/>
      <c r="N230" s="4"/>
      <c r="O230" s="4"/>
      <c r="P230" s="12" t="str">
        <f t="array" ref="P230">IF(O230:O4271="","",_xlfn.XLOOKUP(O230:O4271,'参照_官位'!A:A,'参照_官位'!B:B,""))</f>
      </c>
      <c r="Q230" s="12" t="str">
        <f t="array" ref="Q230">IF(A230:A4271="","",IFERROR(_xlfn.XLOOKUP(A230:A4271,castles_state!K:K,castles_state!D:D)&amp;"主",IFERROR(_xlfn.XLOOKUP(A230:A4271,kunishuClan!D:D,kunishuClan!B:B)&amp;"当主","")))</f>
      </c>
    </row>
    <row r="231" ht="15.75" customHeight="1">
      <c r="A231" s="4">
        <v>1003055</v>
      </c>
      <c r="B231" s="12" t="str">
        <f t="array" ref="B231">IF(A231:A4272="","",_xlfn.XLOOKUP(A231:A4272,'参照_武将'!A:A,'参照_武将'!B:B,"見つかりません"))</f>
      </c>
      <c r="C231" s="4" t="s">
        <v>113</v>
      </c>
      <c r="D231" s="4">
        <v>4</v>
      </c>
      <c r="E231" s="12" t="str">
        <f t="array" ref="E231">IF(D231:D4272="","",IFERROR(_xlfn.XLOOKUP(D231:D4272,'参照_勢力'!A:A,'参照_勢力'!B:B),IFERROR(_xlfn.XLOOKUP(F231:F4272,kunishuClan!A:A,kunishuClan!B:B),"浪人")))</f>
      </c>
      <c r="F231" s="4">
        <v>0</v>
      </c>
      <c r="G231" s="4">
        <v>14</v>
      </c>
      <c r="H231" s="12" t="str">
        <f t="array" ref="H231">IF(G231:G4272="","",_xlfn.XLOOKUP(G231:G4272,castles_state!A:A,castles_state!D:D,"見つかりません"))</f>
      </c>
      <c r="I231" s="4"/>
      <c r="J231" s="12" t="str">
        <f t="array" ref="J231">IF(I231:I4272="","",_xlfn.XLOOKUP(I231:I4272,'参照_姫'!A:A,'参照_姫'!B:B,"見つかりません"))</f>
      </c>
      <c r="K231" s="4">
        <v>95</v>
      </c>
      <c r="L231" s="4">
        <v>500</v>
      </c>
      <c r="M231" s="4"/>
      <c r="N231" s="4"/>
      <c r="O231" s="4"/>
      <c r="P231" s="12" t="str">
        <f t="array" ref="P231">IF(O231:O4272="","",_xlfn.XLOOKUP(O231:O4272,'参照_官位'!A:A,'参照_官位'!B:B,""))</f>
      </c>
      <c r="Q231" s="12" t="str">
        <f t="array" ref="Q231">IF(A231:A4272="","",IFERROR(_xlfn.XLOOKUP(A231:A4272,castles_state!K:K,castles_state!D:D)&amp;"主",IFERROR(_xlfn.XLOOKUP(A231:A4272,kunishuClan!D:D,kunishuClan!B:B)&amp;"当主","")))</f>
      </c>
    </row>
    <row r="232" ht="15.75" customHeight="1">
      <c r="A232" s="4">
        <v>1003056</v>
      </c>
      <c r="B232" s="12" t="str">
        <f t="array" ref="B232">IF(A232:A4273="","",_xlfn.XLOOKUP(A232:A4273,'参照_武将'!A:A,'参照_武将'!B:B,"見つかりません"))</f>
      </c>
      <c r="C232" s="4" t="s">
        <v>113</v>
      </c>
      <c r="D232" s="4">
        <v>4</v>
      </c>
      <c r="E232" s="12" t="str">
        <f t="array" ref="E232">IF(D232:D4273="","",IFERROR(_xlfn.XLOOKUP(D232:D4273,'参照_勢力'!A:A,'参照_勢力'!B:B),IFERROR(_xlfn.XLOOKUP(F232:F4273,kunishuClan!A:A,kunishuClan!B:B),"浪人")))</f>
      </c>
      <c r="F232" s="4">
        <v>0</v>
      </c>
      <c r="G232" s="4">
        <v>14</v>
      </c>
      <c r="H232" s="12" t="str">
        <f t="array" ref="H232">IF(G232:G4273="","",_xlfn.XLOOKUP(G232:G4273,castles_state!A:A,castles_state!D:D,"見つかりません"))</f>
      </c>
      <c r="I232" s="4"/>
      <c r="J232" s="12" t="str">
        <f t="array" ref="J232">IF(I232:I4273="","",_xlfn.XLOOKUP(I232:I4273,'参照_姫'!A:A,'参照_姫'!B:B,"見つかりません"))</f>
      </c>
      <c r="K232" s="4">
        <v>95</v>
      </c>
      <c r="L232" s="4">
        <v>0</v>
      </c>
      <c r="M232" s="4"/>
      <c r="N232" s="4"/>
      <c r="O232" s="4"/>
      <c r="P232" s="12" t="str">
        <f t="array" ref="P232">IF(O232:O4273="","",_xlfn.XLOOKUP(O232:O4273,'参照_官位'!A:A,'参照_官位'!B:B,""))</f>
      </c>
      <c r="Q232" s="12" t="str">
        <f t="array" ref="Q232">IF(A232:A4273="","",IFERROR(_xlfn.XLOOKUP(A232:A4273,castles_state!K:K,castles_state!D:D)&amp;"主",IFERROR(_xlfn.XLOOKUP(A232:A4273,kunishuClan!D:D,kunishuClan!B:B)&amp;"当主","")))</f>
      </c>
    </row>
    <row r="233" ht="15.75" customHeight="1">
      <c r="A233" s="4">
        <v>1003057</v>
      </c>
      <c r="B233" s="12" t="str">
        <f t="array" ref="B233">IF(A233:A4274="","",_xlfn.XLOOKUP(A233:A4274,'参照_武将'!A:A,'参照_武将'!B:B,"見つかりません"))</f>
      </c>
      <c r="C233" s="4" t="s">
        <v>113</v>
      </c>
      <c r="D233" s="4">
        <v>4</v>
      </c>
      <c r="E233" s="12" t="str">
        <f t="array" ref="E233">IF(D233:D4274="","",IFERROR(_xlfn.XLOOKUP(D233:D4274,'参照_勢力'!A:A,'参照_勢力'!B:B),IFERROR(_xlfn.XLOOKUP(F233:F4274,kunishuClan!A:A,kunishuClan!B:B),"浪人")))</f>
      </c>
      <c r="F233" s="4">
        <v>0</v>
      </c>
      <c r="G233" s="4">
        <v>98</v>
      </c>
      <c r="H233" s="12" t="str">
        <f t="array" ref="H233">IF(G233:G4274="","",_xlfn.XLOOKUP(G233:G4274,castles_state!A:A,castles_state!D:D,"見つかりません"))</f>
      </c>
      <c r="I233" s="4"/>
      <c r="J233" s="12" t="str">
        <f t="array" ref="J233">IF(I233:I4274="","",_xlfn.XLOOKUP(I233:I4274,'参照_姫'!A:A,'参照_姫'!B:B,"見つかりません"))</f>
      </c>
      <c r="K233" s="4">
        <v>95</v>
      </c>
      <c r="L233" s="4">
        <v>0</v>
      </c>
      <c r="M233" s="4"/>
      <c r="N233" s="4"/>
      <c r="O233" s="4"/>
      <c r="P233" s="12" t="str">
        <f t="array" ref="P233">IF(O233:O4274="","",_xlfn.XLOOKUP(O233:O4274,'参照_官位'!A:A,'参照_官位'!B:B,""))</f>
      </c>
      <c r="Q233" s="12" t="str">
        <f t="array" ref="Q233">IF(A233:A4274="","",IFERROR(_xlfn.XLOOKUP(A233:A4274,castles_state!K:K,castles_state!D:D)&amp;"主",IFERROR(_xlfn.XLOOKUP(A233:A4274,kunishuClan!D:D,kunishuClan!B:B)&amp;"当主","")))</f>
      </c>
    </row>
    <row r="234" ht="15.75" customHeight="1">
      <c r="A234" s="4">
        <v>1003058</v>
      </c>
      <c r="B234" s="12" t="str">
        <f t="array" ref="B234">IF(A234:A4275="","",_xlfn.XLOOKUP(A234:A4275,'参照_武将'!A:A,'参照_武将'!B:B,"見つかりません"))</f>
      </c>
      <c r="C234" s="4" t="s">
        <v>113</v>
      </c>
      <c r="D234" s="4">
        <v>4</v>
      </c>
      <c r="E234" s="12" t="str">
        <f t="array" ref="E234">IF(D234:D4275="","",IFERROR(_xlfn.XLOOKUP(D234:D4275,'参照_勢力'!A:A,'参照_勢力'!B:B),IFERROR(_xlfn.XLOOKUP(F234:F4275,kunishuClan!A:A,kunishuClan!B:B),"浪人")))</f>
      </c>
      <c r="F234" s="4">
        <v>0</v>
      </c>
      <c r="G234" s="4">
        <v>67</v>
      </c>
      <c r="H234" s="12" t="str">
        <f t="array" ref="H234">IF(G234:G4275="","",_xlfn.XLOOKUP(G234:G4275,castles_state!A:A,castles_state!D:D,"見つかりません"))</f>
      </c>
      <c r="I234" s="4"/>
      <c r="J234" s="12" t="str">
        <f t="array" ref="J234">IF(I234:I4275="","",_xlfn.XLOOKUP(I234:I4275,'参照_姫'!A:A,'参照_姫'!B:B,"見つかりません"))</f>
      </c>
      <c r="K234" s="4">
        <v>95</v>
      </c>
      <c r="L234" s="4">
        <v>0</v>
      </c>
      <c r="M234" s="4"/>
      <c r="N234" s="4"/>
      <c r="O234" s="4"/>
      <c r="P234" s="12" t="str">
        <f t="array" ref="P234">IF(O234:O4275="","",_xlfn.XLOOKUP(O234:O4275,'参照_官位'!A:A,'参照_官位'!B:B,""))</f>
      </c>
      <c r="Q234" s="12" t="str">
        <f t="array" ref="Q234">IF(A234:A4275="","",IFERROR(_xlfn.XLOOKUP(A234:A4275,castles_state!K:K,castles_state!D:D)&amp;"主",IFERROR(_xlfn.XLOOKUP(A234:A4275,kunishuClan!D:D,kunishuClan!B:B)&amp;"当主","")))</f>
      </c>
    </row>
    <row r="235" ht="15.75" customHeight="1">
      <c r="A235" s="4">
        <v>1003059</v>
      </c>
      <c r="B235" s="12" t="str">
        <f t="array" ref="B235">IF(A235:A4276="","",_xlfn.XLOOKUP(A235:A4276,'参照_武将'!A:A,'参照_武将'!B:B,"見つかりません"))</f>
      </c>
      <c r="C235" s="4" t="s">
        <v>113</v>
      </c>
      <c r="D235" s="4">
        <v>4</v>
      </c>
      <c r="E235" s="12" t="str">
        <f t="array" ref="E235">IF(D235:D4276="","",IFERROR(_xlfn.XLOOKUP(D235:D4276,'参照_勢力'!A:A,'参照_勢力'!B:B),IFERROR(_xlfn.XLOOKUP(F235:F4276,kunishuClan!A:A,kunishuClan!B:B),"浪人")))</f>
      </c>
      <c r="F235" s="4">
        <v>0</v>
      </c>
      <c r="G235" s="4">
        <v>97</v>
      </c>
      <c r="H235" s="12" t="str">
        <f t="array" ref="H235">IF(G235:G4276="","",_xlfn.XLOOKUP(G235:G4276,castles_state!A:A,castles_state!D:D,"見つかりません"))</f>
      </c>
      <c r="I235" s="4"/>
      <c r="J235" s="12" t="str">
        <f t="array" ref="J235">IF(I235:I4276="","",_xlfn.XLOOKUP(I235:I4276,'参照_姫'!A:A,'参照_姫'!B:B,"見つかりません"))</f>
      </c>
      <c r="K235" s="4">
        <v>95</v>
      </c>
      <c r="L235" s="4">
        <v>0</v>
      </c>
      <c r="M235" s="4"/>
      <c r="N235" s="4"/>
      <c r="O235" s="4"/>
      <c r="P235" s="12" t="str">
        <f t="array" ref="P235">IF(O235:O4276="","",_xlfn.XLOOKUP(O235:O4276,'参照_官位'!A:A,'参照_官位'!B:B,""))</f>
      </c>
      <c r="Q235" s="12" t="str">
        <f t="array" ref="Q235">IF(A235:A4276="","",IFERROR(_xlfn.XLOOKUP(A235:A4276,castles_state!K:K,castles_state!D:D)&amp;"主",IFERROR(_xlfn.XLOOKUP(A235:A4276,kunishuClan!D:D,kunishuClan!B:B)&amp;"当主","")))</f>
      </c>
    </row>
    <row r="236" ht="15.75" customHeight="1">
      <c r="A236" s="4">
        <v>1003060</v>
      </c>
      <c r="B236" s="12" t="str">
        <f t="array" ref="B236">IF(A236:A4277="","",_xlfn.XLOOKUP(A236:A4277,'参照_武将'!A:A,'参照_武将'!B:B,"見つかりません"))</f>
      </c>
      <c r="C236" s="4" t="s">
        <v>113</v>
      </c>
      <c r="D236" s="4">
        <v>4</v>
      </c>
      <c r="E236" s="12" t="str">
        <f t="array" ref="E236">IF(D236:D4277="","",IFERROR(_xlfn.XLOOKUP(D236:D4277,'参照_勢力'!A:A,'参照_勢力'!B:B),IFERROR(_xlfn.XLOOKUP(F236:F4277,kunishuClan!A:A,kunishuClan!B:B),"浪人")))</f>
      </c>
      <c r="F236" s="4">
        <v>0</v>
      </c>
      <c r="G236" s="4">
        <v>97</v>
      </c>
      <c r="H236" s="12" t="str">
        <f t="array" ref="H236">IF(G236:G4277="","",_xlfn.XLOOKUP(G236:G4277,castles_state!A:A,castles_state!D:D,"見つかりません"))</f>
      </c>
      <c r="I236" s="4"/>
      <c r="J236" s="12" t="str">
        <f t="array" ref="J236">IF(I236:I4277="","",_xlfn.XLOOKUP(I236:I4277,'参照_姫'!A:A,'参照_姫'!B:B,"見つかりません"))</f>
      </c>
      <c r="K236" s="4">
        <v>95</v>
      </c>
      <c r="L236" s="4">
        <v>0</v>
      </c>
      <c r="M236" s="4"/>
      <c r="N236" s="4"/>
      <c r="O236" s="4"/>
      <c r="P236" s="12" t="str">
        <f t="array" ref="P236">IF(O236:O4277="","",_xlfn.XLOOKUP(O236:O4277,'参照_官位'!A:A,'参照_官位'!B:B,""))</f>
      </c>
      <c r="Q236" s="12" t="str">
        <f t="array" ref="Q236">IF(A236:A4277="","",IFERROR(_xlfn.XLOOKUP(A236:A4277,castles_state!K:K,castles_state!D:D)&amp;"主",IFERROR(_xlfn.XLOOKUP(A236:A4277,kunishuClan!D:D,kunishuClan!B:B)&amp;"当主","")))</f>
      </c>
    </row>
    <row r="237" ht="15.75" customHeight="1">
      <c r="A237" s="4">
        <v>1003061</v>
      </c>
      <c r="B237" s="12" t="str">
        <f t="array" ref="B237">IF(A237:A4278="","",_xlfn.XLOOKUP(A237:A4278,'参照_武将'!A:A,'参照_武将'!B:B,"見つかりません"))</f>
      </c>
      <c r="C237" s="4" t="s">
        <v>113</v>
      </c>
      <c r="D237" s="4">
        <v>4</v>
      </c>
      <c r="E237" s="12" t="str">
        <f t="array" ref="E237">IF(D237:D4278="","",IFERROR(_xlfn.XLOOKUP(D237:D4278,'参照_勢力'!A:A,'参照_勢力'!B:B),IFERROR(_xlfn.XLOOKUP(F237:F4278,kunishuClan!A:A,kunishuClan!B:B),"浪人")))</f>
      </c>
      <c r="F237" s="4">
        <v>0</v>
      </c>
      <c r="G237" s="4">
        <v>98</v>
      </c>
      <c r="H237" s="12" t="str">
        <f t="array" ref="H237">IF(G237:G4278="","",_xlfn.XLOOKUP(G237:G4278,castles_state!A:A,castles_state!D:D,"見つかりません"))</f>
      </c>
      <c r="I237" s="4"/>
      <c r="J237" s="12" t="str">
        <f t="array" ref="J237">IF(I237:I4278="","",_xlfn.XLOOKUP(I237:I4278,'参照_姫'!A:A,'参照_姫'!B:B,"見つかりません"))</f>
      </c>
      <c r="K237" s="4">
        <v>95</v>
      </c>
      <c r="L237" s="4">
        <v>0</v>
      </c>
      <c r="M237" s="4"/>
      <c r="N237" s="4"/>
      <c r="O237" s="4"/>
      <c r="P237" s="12" t="str">
        <f t="array" ref="P237">IF(O237:O4278="","",_xlfn.XLOOKUP(O237:O4278,'参照_官位'!A:A,'参照_官位'!B:B,""))</f>
      </c>
      <c r="Q237" s="12" t="str">
        <f t="array" ref="Q237">IF(A237:A4278="","",IFERROR(_xlfn.XLOOKUP(A237:A4278,castles_state!K:K,castles_state!D:D)&amp;"主",IFERROR(_xlfn.XLOOKUP(A237:A4278,kunishuClan!D:D,kunishuClan!B:B)&amp;"当主","")))</f>
      </c>
    </row>
    <row r="238" ht="15.75" customHeight="1">
      <c r="A238" s="4">
        <v>1003062</v>
      </c>
      <c r="B238" s="12" t="str">
        <f t="array" ref="B238">IF(A238:A4279="","",_xlfn.XLOOKUP(A238:A4279,'参照_武将'!A:A,'参照_武将'!B:B,"見つかりません"))</f>
      </c>
      <c r="C238" s="4" t="s">
        <v>113</v>
      </c>
      <c r="D238" s="4">
        <v>4</v>
      </c>
      <c r="E238" s="12" t="str">
        <f t="array" ref="E238">IF(D238:D4279="","",IFERROR(_xlfn.XLOOKUP(D238:D4279,'参照_勢力'!A:A,'参照_勢力'!B:B),IFERROR(_xlfn.XLOOKUP(F238:F4279,kunishuClan!A:A,kunishuClan!B:B),"浪人")))</f>
      </c>
      <c r="F238" s="4">
        <v>0</v>
      </c>
      <c r="G238" s="4">
        <v>67</v>
      </c>
      <c r="H238" s="12" t="str">
        <f t="array" ref="H238">IF(G238:G4279="","",_xlfn.XLOOKUP(G238:G4279,castles_state!A:A,castles_state!D:D,"見つかりません"))</f>
      </c>
      <c r="I238" s="4"/>
      <c r="J238" s="12" t="str">
        <f t="array" ref="J238">IF(I238:I4279="","",_xlfn.XLOOKUP(I238:I4279,'参照_姫'!A:A,'参照_姫'!B:B,"見つかりません"))</f>
      </c>
      <c r="K238" s="4">
        <v>95</v>
      </c>
      <c r="L238" s="4">
        <v>0</v>
      </c>
      <c r="M238" s="4"/>
      <c r="N238" s="4"/>
      <c r="O238" s="4"/>
      <c r="P238" s="12" t="str">
        <f t="array" ref="P238">IF(O238:O4279="","",_xlfn.XLOOKUP(O238:O4279,'参照_官位'!A:A,'参照_官位'!B:B,""))</f>
      </c>
      <c r="Q238" s="12" t="str">
        <f t="array" ref="Q238">IF(A238:A4279="","",IFERROR(_xlfn.XLOOKUP(A238:A4279,castles_state!K:K,castles_state!D:D)&amp;"主",IFERROR(_xlfn.XLOOKUP(A238:A4279,kunishuClan!D:D,kunishuClan!B:B)&amp;"当主","")))</f>
      </c>
    </row>
    <row r="239" ht="15.75" customHeight="1">
      <c r="A239" s="4">
        <v>1003063</v>
      </c>
      <c r="B239" s="12" t="str">
        <f t="array" ref="B239">IF(A239:A4280="","",_xlfn.XLOOKUP(A239:A4280,'参照_武将'!A:A,'参照_武将'!B:B,"見つかりません"))</f>
      </c>
      <c r="C239" s="4" t="s">
        <v>113</v>
      </c>
      <c r="D239" s="4">
        <v>4</v>
      </c>
      <c r="E239" s="12" t="str">
        <f t="array" ref="E239">IF(D239:D4280="","",IFERROR(_xlfn.XLOOKUP(D239:D4280,'参照_勢力'!A:A,'参照_勢力'!B:B),IFERROR(_xlfn.XLOOKUP(F239:F4280,kunishuClan!A:A,kunishuClan!B:B),"浪人")))</f>
      </c>
      <c r="F239" s="4">
        <v>0</v>
      </c>
      <c r="G239" s="4">
        <v>14</v>
      </c>
      <c r="H239" s="12" t="str">
        <f t="array" ref="H239">IF(G239:G4280="","",_xlfn.XLOOKUP(G239:G4280,castles_state!A:A,castles_state!D:D,"見つかりません"))</f>
      </c>
      <c r="I239" s="4"/>
      <c r="J239" s="12" t="str">
        <f t="array" ref="J239">IF(I239:I4280="","",_xlfn.XLOOKUP(I239:I4280,'参照_姫'!A:A,'参照_姫'!B:B,"見つかりません"))</f>
      </c>
      <c r="K239" s="4">
        <v>95</v>
      </c>
      <c r="L239" s="4">
        <v>0</v>
      </c>
      <c r="M239" s="4"/>
      <c r="N239" s="4"/>
      <c r="O239" s="4"/>
      <c r="P239" s="12" t="str">
        <f t="array" ref="P239">IF(O239:O4280="","",_xlfn.XLOOKUP(O239:O4280,'参照_官位'!A:A,'参照_官位'!B:B,""))</f>
      </c>
      <c r="Q239" s="12" t="str">
        <f t="array" ref="Q239">IF(A239:A4280="","",IFERROR(_xlfn.XLOOKUP(A239:A4280,castles_state!K:K,castles_state!D:D)&amp;"主",IFERROR(_xlfn.XLOOKUP(A239:A4280,kunishuClan!D:D,kunishuClan!B:B)&amp;"当主","")))</f>
      </c>
    </row>
    <row r="240" ht="15.75" customHeight="1">
      <c r="A240" s="4">
        <v>1003064</v>
      </c>
      <c r="B240" s="12" t="str">
        <f t="array" ref="B240">IF(A240:A4281="","",_xlfn.XLOOKUP(A240:A4281,'参照_武将'!A:A,'参照_武将'!B:B,"見つかりません"))</f>
      </c>
      <c r="C240" s="4" t="s">
        <v>113</v>
      </c>
      <c r="D240" s="4">
        <v>4</v>
      </c>
      <c r="E240" s="12" t="str">
        <f t="array" ref="E240">IF(D240:D4281="","",IFERROR(_xlfn.XLOOKUP(D240:D4281,'参照_勢力'!A:A,'参照_勢力'!B:B),IFERROR(_xlfn.XLOOKUP(F240:F4281,kunishuClan!A:A,kunishuClan!B:B),"浪人")))</f>
      </c>
      <c r="F240" s="4">
        <v>0</v>
      </c>
      <c r="G240" s="4">
        <v>14</v>
      </c>
      <c r="H240" s="12" t="str">
        <f t="array" ref="H240">IF(G240:G4281="","",_xlfn.XLOOKUP(G240:G4281,castles_state!A:A,castles_state!D:D,"見つかりません"))</f>
      </c>
      <c r="I240" s="4"/>
      <c r="J240" s="12" t="str">
        <f t="array" ref="J240">IF(I240:I4281="","",_xlfn.XLOOKUP(I240:I4281,'参照_姫'!A:A,'参照_姫'!B:B,"見つかりません"))</f>
      </c>
      <c r="K240" s="4">
        <v>95</v>
      </c>
      <c r="L240" s="4">
        <v>0</v>
      </c>
      <c r="M240" s="4"/>
      <c r="N240" s="4"/>
      <c r="O240" s="4"/>
      <c r="P240" s="12" t="str">
        <f t="array" ref="P240">IF(O240:O4281="","",_xlfn.XLOOKUP(O240:O4281,'参照_官位'!A:A,'参照_官位'!B:B,""))</f>
      </c>
      <c r="Q240" s="12" t="str">
        <f t="array" ref="Q240">IF(A240:A4281="","",IFERROR(_xlfn.XLOOKUP(A240:A4281,castles_state!K:K,castles_state!D:D)&amp;"主",IFERROR(_xlfn.XLOOKUP(A240:A4281,kunishuClan!D:D,kunishuClan!B:B)&amp;"当主","")))</f>
      </c>
    </row>
    <row r="241" ht="15.75" customHeight="1">
      <c r="A241" s="4">
        <v>1003065</v>
      </c>
      <c r="B241" s="12" t="str">
        <f t="array" ref="B241">IF(A241:A4282="","",_xlfn.XLOOKUP(A241:A4282,'参照_武将'!A:A,'参照_武将'!B:B,"見つかりません"))</f>
      </c>
      <c r="C241" s="4" t="s">
        <v>113</v>
      </c>
      <c r="D241" s="4">
        <v>4</v>
      </c>
      <c r="E241" s="12" t="str">
        <f t="array" ref="E241">IF(D241:D4282="","",IFERROR(_xlfn.XLOOKUP(D241:D4282,'参照_勢力'!A:A,'参照_勢力'!B:B),IFERROR(_xlfn.XLOOKUP(F241:F4282,kunishuClan!A:A,kunishuClan!B:B),"浪人")))</f>
      </c>
      <c r="F241" s="4">
        <v>0</v>
      </c>
      <c r="G241" s="4">
        <v>93</v>
      </c>
      <c r="H241" s="12" t="str">
        <f t="array" ref="H241">IF(G241:G4282="","",_xlfn.XLOOKUP(G241:G4282,castles_state!A:A,castles_state!D:D,"見つかりません"))</f>
      </c>
      <c r="I241" s="4"/>
      <c r="J241" s="12" t="str">
        <f t="array" ref="J241">IF(I241:I4282="","",_xlfn.XLOOKUP(I241:I4282,'参照_姫'!A:A,'参照_姫'!B:B,"見つかりません"))</f>
      </c>
      <c r="K241" s="4">
        <v>93</v>
      </c>
      <c r="L241" s="4">
        <v>0</v>
      </c>
      <c r="M241" s="4"/>
      <c r="N241" s="4"/>
      <c r="O241" s="4"/>
      <c r="P241" s="12" t="str">
        <f t="array" ref="P241">IF(O241:O4282="","",_xlfn.XLOOKUP(O241:O4282,'参照_官位'!A:A,'参照_官位'!B:B,""))</f>
      </c>
      <c r="Q241" s="12" t="str">
        <f t="array" ref="Q241">IF(A241:A4282="","",IFERROR(_xlfn.XLOOKUP(A241:A4282,castles_state!K:K,castles_state!D:D)&amp;"主",IFERROR(_xlfn.XLOOKUP(A241:A4282,kunishuClan!D:D,kunishuClan!B:B)&amp;"当主","")))</f>
      </c>
    </row>
    <row r="242" ht="15.75" customHeight="1">
      <c r="A242" s="4">
        <v>1003066</v>
      </c>
      <c r="B242" s="12" t="str">
        <f t="array" ref="B242">IF(A242:A4283="","",_xlfn.XLOOKUP(A242:A4283,'参照_武将'!A:A,'参照_武将'!B:B,"見つかりません"))</f>
      </c>
      <c r="C242" s="4" t="s">
        <v>113</v>
      </c>
      <c r="D242" s="4">
        <v>4</v>
      </c>
      <c r="E242" s="12" t="str">
        <f t="array" ref="E242">IF(D242:D4283="","",IFERROR(_xlfn.XLOOKUP(D242:D4283,'参照_勢力'!A:A,'参照_勢力'!B:B),IFERROR(_xlfn.XLOOKUP(F242:F4283,kunishuClan!A:A,kunishuClan!B:B),"浪人")))</f>
      </c>
      <c r="F242" s="4">
        <v>0</v>
      </c>
      <c r="G242" s="4">
        <v>93</v>
      </c>
      <c r="H242" s="12" t="str">
        <f t="array" ref="H242">IF(G242:G4283="","",_xlfn.XLOOKUP(G242:G4283,castles_state!A:A,castles_state!D:D,"見つかりません"))</f>
      </c>
      <c r="I242" s="4"/>
      <c r="J242" s="12" t="str">
        <f t="array" ref="J242">IF(I242:I4283="","",_xlfn.XLOOKUP(I242:I4283,'参照_姫'!A:A,'参照_姫'!B:B,"見つかりません"))</f>
      </c>
      <c r="K242" s="4">
        <v>95</v>
      </c>
      <c r="L242" s="4">
        <v>0</v>
      </c>
      <c r="M242" s="4"/>
      <c r="N242" s="4"/>
      <c r="O242" s="4"/>
      <c r="P242" s="12" t="str">
        <f t="array" ref="P242">IF(O242:O4283="","",_xlfn.XLOOKUP(O242:O4283,'参照_官位'!A:A,'参照_官位'!B:B,""))</f>
      </c>
      <c r="Q242" s="12" t="str">
        <f t="array" ref="Q242">IF(A242:A4283="","",IFERROR(_xlfn.XLOOKUP(A242:A4283,castles_state!K:K,castles_state!D:D)&amp;"主",IFERROR(_xlfn.XLOOKUP(A242:A4283,kunishuClan!D:D,kunishuClan!B:B)&amp;"当主","")))</f>
      </c>
    </row>
    <row r="243" ht="15.75" customHeight="1">
      <c r="A243" s="4">
        <v>1003067</v>
      </c>
      <c r="B243" s="12" t="str">
        <f t="array" ref="B243">IF(A243:A4284="","",_xlfn.XLOOKUP(A243:A4284,'参照_武将'!A:A,'参照_武将'!B:B,"見つかりません"))</f>
      </c>
      <c r="C243" s="4" t="s">
        <v>113</v>
      </c>
      <c r="D243" s="4">
        <v>4</v>
      </c>
      <c r="E243" s="12" t="str">
        <f t="array" ref="E243">IF(D243:D4284="","",IFERROR(_xlfn.XLOOKUP(D243:D4284,'参照_勢力'!A:A,'参照_勢力'!B:B),IFERROR(_xlfn.XLOOKUP(F243:F4284,kunishuClan!A:A,kunishuClan!B:B),"浪人")))</f>
      </c>
      <c r="F243" s="4">
        <v>0</v>
      </c>
      <c r="G243" s="4">
        <v>10</v>
      </c>
      <c r="H243" s="12" t="str">
        <f t="array" ref="H243">IF(G243:G4284="","",_xlfn.XLOOKUP(G243:G4284,castles_state!A:A,castles_state!D:D,"見つかりません"))</f>
      </c>
      <c r="I243" s="4"/>
      <c r="J243" s="12" t="str">
        <f t="array" ref="J243">IF(I243:I4284="","",_xlfn.XLOOKUP(I243:I4284,'参照_姫'!A:A,'参照_姫'!B:B,"見つかりません"))</f>
      </c>
      <c r="K243" s="4">
        <v>90</v>
      </c>
      <c r="L243" s="4">
        <v>500</v>
      </c>
      <c r="M243" s="4"/>
      <c r="N243" s="4"/>
      <c r="O243" s="4"/>
      <c r="P243" s="12" t="str">
        <f t="array" ref="P243">IF(O243:O4284="","",_xlfn.XLOOKUP(O243:O4284,'参照_官位'!A:A,'参照_官位'!B:B,""))</f>
      </c>
      <c r="Q243" s="12" t="str">
        <f t="array" ref="Q243">IF(A243:A4284="","",IFERROR(_xlfn.XLOOKUP(A243:A4284,castles_state!K:K,castles_state!D:D)&amp;"主",IFERROR(_xlfn.XLOOKUP(A243:A4284,kunishuClan!D:D,kunishuClan!B:B)&amp;"当主","")))</f>
      </c>
    </row>
    <row r="244" ht="15.75" customHeight="1">
      <c r="A244" s="4">
        <v>1003068</v>
      </c>
      <c r="B244" s="12" t="str">
        <f t="array" ref="B244">IF(A244:A4285="","",_xlfn.XLOOKUP(A244:A4285,'参照_武将'!A:A,'参照_武将'!B:B,"見つかりません"))</f>
      </c>
      <c r="C244" s="4" t="s">
        <v>113</v>
      </c>
      <c r="D244" s="4">
        <v>4</v>
      </c>
      <c r="E244" s="12" t="str">
        <f t="array" ref="E244">IF(D244:D4285="","",IFERROR(_xlfn.XLOOKUP(D244:D4285,'参照_勢力'!A:A,'参照_勢力'!B:B),IFERROR(_xlfn.XLOOKUP(F244:F4285,kunishuClan!A:A,kunishuClan!B:B),"浪人")))</f>
      </c>
      <c r="F244" s="4">
        <v>0</v>
      </c>
      <c r="G244" s="4">
        <v>10</v>
      </c>
      <c r="H244" s="12" t="str">
        <f t="array" ref="H244">IF(G244:G4285="","",_xlfn.XLOOKUP(G244:G4285,castles_state!A:A,castles_state!D:D,"見つかりません"))</f>
      </c>
      <c r="I244" s="4"/>
      <c r="J244" s="12" t="str">
        <f t="array" ref="J244">IF(I244:I4285="","",_xlfn.XLOOKUP(I244:I4285,'参照_姫'!A:A,'参照_姫'!B:B,"見つかりません"))</f>
      </c>
      <c r="K244" s="4">
        <v>95</v>
      </c>
      <c r="L244" s="4">
        <v>0</v>
      </c>
      <c r="M244" s="4"/>
      <c r="N244" s="4"/>
      <c r="O244" s="4"/>
      <c r="P244" s="12" t="str">
        <f t="array" ref="P244">IF(O244:O4285="","",_xlfn.XLOOKUP(O244:O4285,'参照_官位'!A:A,'参照_官位'!B:B,""))</f>
      </c>
      <c r="Q244" s="12" t="str">
        <f t="array" ref="Q244">IF(A244:A4285="","",IFERROR(_xlfn.XLOOKUP(A244:A4285,castles_state!K:K,castles_state!D:D)&amp;"主",IFERROR(_xlfn.XLOOKUP(A244:A4285,kunishuClan!D:D,kunishuClan!B:B)&amp;"当主","")))</f>
      </c>
    </row>
    <row r="245" ht="15.75" customHeight="1">
      <c r="A245" s="4">
        <v>1003069</v>
      </c>
      <c r="B245" s="12" t="str">
        <f t="array" ref="B245">IF(A245:A4286="","",_xlfn.XLOOKUP(A245:A4286,'参照_武将'!A:A,'参照_武将'!B:B,"見つかりません"))</f>
      </c>
      <c r="C245" s="4" t="s">
        <v>113</v>
      </c>
      <c r="D245" s="4">
        <v>4</v>
      </c>
      <c r="E245" s="12" t="str">
        <f t="array" ref="E245">IF(D245:D4286="","",IFERROR(_xlfn.XLOOKUP(D245:D4286,'参照_勢力'!A:A,'参照_勢力'!B:B),IFERROR(_xlfn.XLOOKUP(F245:F4286,kunishuClan!A:A,kunishuClan!B:B),"浪人")))</f>
      </c>
      <c r="F245" s="4">
        <v>0</v>
      </c>
      <c r="G245" s="4">
        <v>10</v>
      </c>
      <c r="H245" s="12" t="str">
        <f t="array" ref="H245">IF(G245:G4286="","",_xlfn.XLOOKUP(G245:G4286,castles_state!A:A,castles_state!D:D,"見つかりません"))</f>
      </c>
      <c r="I245" s="4"/>
      <c r="J245" s="12" t="str">
        <f t="array" ref="J245">IF(I245:I4286="","",_xlfn.XLOOKUP(I245:I4286,'参照_姫'!A:A,'参照_姫'!B:B,"見つかりません"))</f>
      </c>
      <c r="K245" s="4">
        <v>90</v>
      </c>
      <c r="L245" s="4">
        <v>0</v>
      </c>
      <c r="M245" s="4"/>
      <c r="N245" s="4"/>
      <c r="O245" s="4"/>
      <c r="P245" s="12" t="str">
        <f t="array" ref="P245">IF(O245:O4286="","",_xlfn.XLOOKUP(O245:O4286,'参照_官位'!A:A,'参照_官位'!B:B,""))</f>
      </c>
      <c r="Q245" s="12" t="str">
        <f t="array" ref="Q245">IF(A245:A4286="","",IFERROR(_xlfn.XLOOKUP(A245:A4286,castles_state!K:K,castles_state!D:D)&amp;"主",IFERROR(_xlfn.XLOOKUP(A245:A4286,kunishuClan!D:D,kunishuClan!B:B)&amp;"当主","")))</f>
      </c>
    </row>
    <row r="246" ht="15.75" customHeight="1">
      <c r="A246" s="4">
        <v>1003070</v>
      </c>
      <c r="B246" s="12" t="str">
        <f t="array" ref="B246">IF(A246:A4287="","",_xlfn.XLOOKUP(A246:A4287,'参照_武将'!A:A,'参照_武将'!B:B,"見つかりません"))</f>
      </c>
      <c r="C246" s="4" t="s">
        <v>113</v>
      </c>
      <c r="D246" s="4">
        <v>4</v>
      </c>
      <c r="E246" s="12" t="str">
        <f t="array" ref="E246">IF(D246:D4287="","",IFERROR(_xlfn.XLOOKUP(D246:D4287,'参照_勢力'!A:A,'参照_勢力'!B:B),IFERROR(_xlfn.XLOOKUP(F246:F4287,kunishuClan!A:A,kunishuClan!B:B),"浪人")))</f>
      </c>
      <c r="F246" s="4">
        <v>0</v>
      </c>
      <c r="G246" s="4">
        <v>10</v>
      </c>
      <c r="H246" s="12" t="str">
        <f t="array" ref="H246">IF(G246:G4287="","",_xlfn.XLOOKUP(G246:G4287,castles_state!A:A,castles_state!D:D,"見つかりません"))</f>
      </c>
      <c r="I246" s="4"/>
      <c r="J246" s="12" t="str">
        <f t="array" ref="J246">IF(I246:I4287="","",_xlfn.XLOOKUP(I246:I4287,'参照_姫'!A:A,'参照_姫'!B:B,"見つかりません"))</f>
      </c>
      <c r="K246" s="4">
        <v>95</v>
      </c>
      <c r="L246" s="4">
        <v>0</v>
      </c>
      <c r="M246" s="4"/>
      <c r="N246" s="4"/>
      <c r="O246" s="4"/>
      <c r="P246" s="12" t="str">
        <f t="array" ref="P246">IF(O246:O4287="","",_xlfn.XLOOKUP(O246:O4287,'参照_官位'!A:A,'参照_官位'!B:B,""))</f>
      </c>
      <c r="Q246" s="12" t="str">
        <f t="array" ref="Q246">IF(A246:A4287="","",IFERROR(_xlfn.XLOOKUP(A246:A4287,castles_state!K:K,castles_state!D:D)&amp;"主",IFERROR(_xlfn.XLOOKUP(A246:A4287,kunishuClan!D:D,kunishuClan!B:B)&amp;"当主","")))</f>
      </c>
    </row>
    <row r="247" ht="15.75" customHeight="1">
      <c r="A247" s="4">
        <v>1003071</v>
      </c>
      <c r="B247" s="12" t="str">
        <f t="array" ref="B247">IF(A247:A4288="","",_xlfn.XLOOKUP(A247:A4288,'参照_武将'!A:A,'参照_武将'!B:B,"見つかりません"))</f>
      </c>
      <c r="C247" s="4" t="s">
        <v>113</v>
      </c>
      <c r="D247" s="4">
        <v>4</v>
      </c>
      <c r="E247" s="12" t="str">
        <f t="array" ref="E247">IF(D247:D4288="","",IFERROR(_xlfn.XLOOKUP(D247:D4288,'参照_勢力'!A:A,'参照_勢力'!B:B),IFERROR(_xlfn.XLOOKUP(F247:F4288,kunishuClan!A:A,kunishuClan!B:B),"浪人")))</f>
      </c>
      <c r="F247" s="4">
        <v>0</v>
      </c>
      <c r="G247" s="4">
        <v>10</v>
      </c>
      <c r="H247" s="12" t="str">
        <f t="array" ref="H247">IF(G247:G4288="","",_xlfn.XLOOKUP(G247:G4288,castles_state!A:A,castles_state!D:D,"見つかりません"))</f>
      </c>
      <c r="I247" s="4"/>
      <c r="J247" s="12" t="str">
        <f t="array" ref="J247">IF(I247:I4288="","",_xlfn.XLOOKUP(I247:I4288,'参照_姫'!A:A,'参照_姫'!B:B,"見つかりません"))</f>
      </c>
      <c r="K247" s="4">
        <v>95</v>
      </c>
      <c r="L247" s="4">
        <v>0</v>
      </c>
      <c r="M247" s="4"/>
      <c r="N247" s="4"/>
      <c r="O247" s="4"/>
      <c r="P247" s="12" t="str">
        <f t="array" ref="P247">IF(O247:O4288="","",_xlfn.XLOOKUP(O247:O4288,'参照_官位'!A:A,'参照_官位'!B:B,""))</f>
      </c>
      <c r="Q247" s="12" t="str">
        <f t="array" ref="Q247">IF(A247:A4288="","",IFERROR(_xlfn.XLOOKUP(A247:A4288,castles_state!K:K,castles_state!D:D)&amp;"主",IFERROR(_xlfn.XLOOKUP(A247:A4288,kunishuClan!D:D,kunishuClan!B:B)&amp;"当主","")))</f>
      </c>
    </row>
    <row r="248" ht="15.75" customHeight="1">
      <c r="A248" s="4">
        <v>1003072</v>
      </c>
      <c r="B248" s="12" t="str">
        <f t="array" ref="B248">IF(A248:A4289="","",_xlfn.XLOOKUP(A248:A4289,'参照_武将'!A:A,'参照_武将'!B:B,"見つかりません"))</f>
      </c>
      <c r="C248" s="4" t="s">
        <v>113</v>
      </c>
      <c r="D248" s="4">
        <v>4</v>
      </c>
      <c r="E248" s="12" t="str">
        <f t="array" ref="E248">IF(D248:D4289="","",IFERROR(_xlfn.XLOOKUP(D248:D4289,'参照_勢力'!A:A,'参照_勢力'!B:B),IFERROR(_xlfn.XLOOKUP(F248:F4289,kunishuClan!A:A,kunishuClan!B:B),"浪人")))</f>
      </c>
      <c r="F248" s="4">
        <v>0</v>
      </c>
      <c r="G248" s="4">
        <v>10</v>
      </c>
      <c r="H248" s="12" t="str">
        <f t="array" ref="H248">IF(G248:G4289="","",_xlfn.XLOOKUP(G248:G4289,castles_state!A:A,castles_state!D:D,"見つかりません"))</f>
      </c>
      <c r="I248" s="4"/>
      <c r="J248" s="12" t="str">
        <f t="array" ref="J248">IF(I248:I4289="","",_xlfn.XLOOKUP(I248:I4289,'参照_姫'!A:A,'参照_姫'!B:B,"見つかりません"))</f>
      </c>
      <c r="K248" s="4">
        <v>95</v>
      </c>
      <c r="L248" s="4">
        <v>0</v>
      </c>
      <c r="M248" s="4"/>
      <c r="N248" s="4"/>
      <c r="O248" s="4"/>
      <c r="P248" s="12" t="str">
        <f t="array" ref="P248">IF(O248:O4289="","",_xlfn.XLOOKUP(O248:O4289,'参照_官位'!A:A,'参照_官位'!B:B,""))</f>
      </c>
      <c r="Q248" s="12" t="str">
        <f t="array" ref="Q248">IF(A248:A4289="","",IFERROR(_xlfn.XLOOKUP(A248:A4289,castles_state!K:K,castles_state!D:D)&amp;"主",IFERROR(_xlfn.XLOOKUP(A248:A4289,kunishuClan!D:D,kunishuClan!B:B)&amp;"当主","")))</f>
      </c>
    </row>
    <row r="249" ht="15.75" customHeight="1">
      <c r="A249" s="4">
        <v>1003073</v>
      </c>
      <c r="B249" s="12" t="str">
        <f t="array" ref="B249">IF(A249:A4290="","",_xlfn.XLOOKUP(A249:A4290,'参照_武将'!A:A,'参照_武将'!B:B,"見つかりません"))</f>
      </c>
      <c r="C249" s="4" t="s">
        <v>113</v>
      </c>
      <c r="D249" s="4">
        <v>4</v>
      </c>
      <c r="E249" s="12" t="str">
        <f t="array" ref="E249">IF(D249:D4290="","",IFERROR(_xlfn.XLOOKUP(D249:D4290,'参照_勢力'!A:A,'参照_勢力'!B:B),IFERROR(_xlfn.XLOOKUP(F249:F4290,kunishuClan!A:A,kunishuClan!B:B),"浪人")))</f>
      </c>
      <c r="F249" s="4">
        <v>0</v>
      </c>
      <c r="G249" s="4">
        <v>67</v>
      </c>
      <c r="H249" s="12" t="str">
        <f t="array" ref="H249">IF(G249:G4290="","",_xlfn.XLOOKUP(G249:G4290,castles_state!A:A,castles_state!D:D,"見つかりません"))</f>
      </c>
      <c r="I249" s="4"/>
      <c r="J249" s="12" t="str">
        <f t="array" ref="J249">IF(I249:I4290="","",_xlfn.XLOOKUP(I249:I4290,'参照_姫'!A:A,'参照_姫'!B:B,"見つかりません"))</f>
      </c>
      <c r="K249" s="4">
        <v>95</v>
      </c>
      <c r="L249" s="4">
        <v>500</v>
      </c>
      <c r="M249" s="4"/>
      <c r="N249" s="4"/>
      <c r="O249" s="4"/>
      <c r="P249" s="12" t="str">
        <f t="array" ref="P249">IF(O249:O4290="","",_xlfn.XLOOKUP(O249:O4290,'参照_官位'!A:A,'参照_官位'!B:B,""))</f>
      </c>
      <c r="Q249" s="12" t="str">
        <f t="array" ref="Q249">IF(A249:A4290="","",IFERROR(_xlfn.XLOOKUP(A249:A4290,castles_state!K:K,castles_state!D:D)&amp;"主",IFERROR(_xlfn.XLOOKUP(A249:A4290,kunishuClan!D:D,kunishuClan!B:B)&amp;"当主","")))</f>
      </c>
    </row>
    <row r="250" ht="15.75" customHeight="1">
      <c r="A250" s="4">
        <v>1003074</v>
      </c>
      <c r="B250" s="12" t="str">
        <f t="array" ref="B250">IF(A250:A4291="","",_xlfn.XLOOKUP(A250:A4291,'参照_武将'!A:A,'参照_武将'!B:B,"見つかりません"))</f>
      </c>
      <c r="C250" s="4" t="s">
        <v>113</v>
      </c>
      <c r="D250" s="4">
        <v>4</v>
      </c>
      <c r="E250" s="12" t="str">
        <f t="array" ref="E250">IF(D250:D4291="","",IFERROR(_xlfn.XLOOKUP(D250:D4291,'参照_勢力'!A:A,'参照_勢力'!B:B),IFERROR(_xlfn.XLOOKUP(F250:F4291,kunishuClan!A:A,kunishuClan!B:B),"浪人")))</f>
      </c>
      <c r="F250" s="4">
        <v>0</v>
      </c>
      <c r="G250" s="4">
        <v>14</v>
      </c>
      <c r="H250" s="12" t="str">
        <f t="array" ref="H250">IF(G250:G4291="","",_xlfn.XLOOKUP(G250:G4291,castles_state!A:A,castles_state!D:D,"見つかりません"))</f>
      </c>
      <c r="I250" s="4"/>
      <c r="J250" s="12" t="str">
        <f t="array" ref="J250">IF(I250:I4291="","",_xlfn.XLOOKUP(I250:I4291,'参照_姫'!A:A,'参照_姫'!B:B,"見つかりません"))</f>
      </c>
      <c r="K250" s="4">
        <v>95</v>
      </c>
      <c r="L250" s="4">
        <v>0</v>
      </c>
      <c r="M250" s="4"/>
      <c r="N250" s="4"/>
      <c r="O250" s="4"/>
      <c r="P250" s="12" t="str">
        <f t="array" ref="P250">IF(O250:O4291="","",_xlfn.XLOOKUP(O250:O4291,'参照_官位'!A:A,'参照_官位'!B:B,""))</f>
      </c>
      <c r="Q250" s="12" t="str">
        <f t="array" ref="Q250">IF(A250:A4291="","",IFERROR(_xlfn.XLOOKUP(A250:A4291,castles_state!K:K,castles_state!D:D)&amp;"主",IFERROR(_xlfn.XLOOKUP(A250:A4291,kunishuClan!D:D,kunishuClan!B:B)&amp;"当主","")))</f>
      </c>
    </row>
    <row r="251" ht="15.75" customHeight="1">
      <c r="A251" s="4">
        <v>1004001</v>
      </c>
      <c r="B251" s="12" t="str">
        <f t="array" ref="B251">IF(A251:A4292="","",_xlfn.XLOOKUP(A251:A4292,'参照_武将'!A:A,'参照_武将'!B:B,"見つかりません"))</f>
      </c>
      <c r="C251" s="4" t="s">
        <v>116</v>
      </c>
      <c r="D251" s="4">
        <v>5</v>
      </c>
      <c r="E251" s="12" t="str">
        <f t="array" ref="E251">IF(D251:D4292="","",IFERROR(_xlfn.XLOOKUP(D251:D4292,'参照_勢力'!A:A,'参照_勢力'!B:B),IFERROR(_xlfn.XLOOKUP(F251:F4292,kunishuClan!A:A,kunishuClan!B:B),"浪人")))</f>
      </c>
      <c r="F251" s="4">
        <v>0</v>
      </c>
      <c r="G251" s="4">
        <v>13</v>
      </c>
      <c r="H251" s="12" t="str">
        <f t="array" ref="H251">IF(G251:G4292="","",_xlfn.XLOOKUP(G251:G4292,castles_state!A:A,castles_state!D:D,"見つかりません"))</f>
      </c>
      <c r="I251" s="4"/>
      <c r="J251" s="12" t="str">
        <f t="array" ref="J251">IF(I251:I4292="","",_xlfn.XLOOKUP(I251:I4292,'参照_姫'!A:A,'参照_姫'!B:B,"見つかりません"))</f>
      </c>
      <c r="K251" s="4">
        <v>95</v>
      </c>
      <c r="L251" s="4">
        <v>0</v>
      </c>
      <c r="M251" s="4"/>
      <c r="N251" s="4"/>
      <c r="O251" s="4"/>
      <c r="P251" s="12" t="str">
        <f t="array" ref="P251">IF(O251:O4292="","",_xlfn.XLOOKUP(O251:O4292,'参照_官位'!A:A,'参照_官位'!B:B,""))</f>
      </c>
      <c r="Q251" s="12" t="str">
        <f t="array" ref="Q251">IF(A251:A4292="","",IFERROR(_xlfn.XLOOKUP(A251:A4292,castles_state!K:K,castles_state!D:D)&amp;"主",IFERROR(_xlfn.XLOOKUP(A251:A4292,kunishuClan!D:D,kunishuClan!B:B)&amp;"当主","")))</f>
      </c>
    </row>
    <row r="252" ht="15.75" customHeight="1">
      <c r="A252" s="4">
        <v>1004002</v>
      </c>
      <c r="B252" s="12" t="str">
        <f t="array" ref="B252">IF(A252:A4293="","",_xlfn.XLOOKUP(A252:A4293,'参照_武将'!A:A,'参照_武将'!B:B,"見つかりません"))</f>
      </c>
      <c r="C252" s="4" t="s">
        <v>116</v>
      </c>
      <c r="D252" s="4">
        <v>5</v>
      </c>
      <c r="E252" s="12" t="str">
        <f t="array" ref="E252">IF(D252:D4293="","",IFERROR(_xlfn.XLOOKUP(D252:D4293,'参照_勢力'!A:A,'参照_勢力'!B:B),IFERROR(_xlfn.XLOOKUP(F252:F4293,kunishuClan!A:A,kunishuClan!B:B),"浪人")))</f>
      </c>
      <c r="F252" s="4">
        <v>0</v>
      </c>
      <c r="G252" s="4">
        <v>13</v>
      </c>
      <c r="H252" s="12" t="str">
        <f t="array" ref="H252">IF(G252:G4293="","",_xlfn.XLOOKUP(G252:G4293,castles_state!A:A,castles_state!D:D,"見つかりません"))</f>
      </c>
      <c r="I252" s="4"/>
      <c r="J252" s="12" t="str">
        <f t="array" ref="J252">IF(I252:I4293="","",_xlfn.XLOOKUP(I252:I4293,'参照_姫'!A:A,'参照_姫'!B:B,"見つかりません"))</f>
      </c>
      <c r="K252" s="4">
        <v>95</v>
      </c>
      <c r="L252" s="4">
        <v>0</v>
      </c>
      <c r="M252" s="4"/>
      <c r="N252" s="4"/>
      <c r="O252" s="4"/>
      <c r="P252" s="12" t="str">
        <f t="array" ref="P252">IF(O252:O4293="","",_xlfn.XLOOKUP(O252:O4293,'参照_官位'!A:A,'参照_官位'!B:B,""))</f>
      </c>
      <c r="Q252" s="12" t="str">
        <f t="array" ref="Q252">IF(A252:A4293="","",IFERROR(_xlfn.XLOOKUP(A252:A4293,castles_state!K:K,castles_state!D:D)&amp;"主",IFERROR(_xlfn.XLOOKUP(A252:A4293,kunishuClan!D:D,kunishuClan!B:B)&amp;"当主","")))</f>
      </c>
    </row>
    <row r="253" ht="15.75" customHeight="1">
      <c r="A253" s="4">
        <v>1004003</v>
      </c>
      <c r="B253" s="12" t="str">
        <f t="array" ref="B253">IF(A253:A4294="","",_xlfn.XLOOKUP(A253:A4294,'参照_武将'!A:A,'参照_武将'!B:B,"見つかりません"))</f>
      </c>
      <c r="C253" s="4" t="s">
        <v>116</v>
      </c>
      <c r="D253" s="4">
        <v>5</v>
      </c>
      <c r="E253" s="12" t="str">
        <f t="array" ref="E253">IF(D253:D4294="","",IFERROR(_xlfn.XLOOKUP(D253:D4294,'参照_勢力'!A:A,'参照_勢力'!B:B),IFERROR(_xlfn.XLOOKUP(F253:F4294,kunishuClan!A:A,kunishuClan!B:B),"浪人")))</f>
      </c>
      <c r="F253" s="4">
        <v>0</v>
      </c>
      <c r="G253" s="4">
        <v>13</v>
      </c>
      <c r="H253" s="12" t="str">
        <f t="array" ref="H253">IF(G253:G4294="","",_xlfn.XLOOKUP(G253:G4294,castles_state!A:A,castles_state!D:D,"見つかりません"))</f>
      </c>
      <c r="I253" s="4"/>
      <c r="J253" s="12" t="str">
        <f t="array" ref="J253">IF(I253:I4294="","",_xlfn.XLOOKUP(I253:I4294,'参照_姫'!A:A,'参照_姫'!B:B,"見つかりません"))</f>
      </c>
      <c r="K253" s="4">
        <v>95</v>
      </c>
      <c r="L253" s="4">
        <v>0</v>
      </c>
      <c r="M253" s="4"/>
      <c r="N253" s="4"/>
      <c r="O253" s="4"/>
      <c r="P253" s="12" t="str">
        <f t="array" ref="P253">IF(O253:O4294="","",_xlfn.XLOOKUP(O253:O4294,'参照_官位'!A:A,'参照_官位'!B:B,""))</f>
      </c>
      <c r="Q253" s="12" t="str">
        <f t="array" ref="Q253">IF(A253:A4294="","",IFERROR(_xlfn.XLOOKUP(A253:A4294,castles_state!K:K,castles_state!D:D)&amp;"主",IFERROR(_xlfn.XLOOKUP(A253:A4294,kunishuClan!D:D,kunishuClan!B:B)&amp;"当主","")))</f>
      </c>
    </row>
    <row r="254" ht="15.75" customHeight="1">
      <c r="A254" s="4">
        <v>1004004</v>
      </c>
      <c r="B254" s="12" t="str">
        <f t="array" ref="B254">IF(A254:A4295="","",_xlfn.XLOOKUP(A254:A4295,'参照_武将'!A:A,'参照_武将'!B:B,"見つかりません"))</f>
      </c>
      <c r="C254" s="4" t="s">
        <v>116</v>
      </c>
      <c r="D254" s="4">
        <v>5</v>
      </c>
      <c r="E254" s="12" t="str">
        <f t="array" ref="E254">IF(D254:D4295="","",IFERROR(_xlfn.XLOOKUP(D254:D4295,'参照_勢力'!A:A,'参照_勢力'!B:B),IFERROR(_xlfn.XLOOKUP(F254:F4295,kunishuClan!A:A,kunishuClan!B:B),"浪人")))</f>
      </c>
      <c r="F254" s="4">
        <v>0</v>
      </c>
      <c r="G254" s="4">
        <v>13</v>
      </c>
      <c r="H254" s="12" t="str">
        <f t="array" ref="H254">IF(G254:G4295="","",_xlfn.XLOOKUP(G254:G4295,castles_state!A:A,castles_state!D:D,"見つかりません"))</f>
      </c>
      <c r="I254" s="4"/>
      <c r="J254" s="12" t="str">
        <f t="array" ref="J254">IF(I254:I4295="","",_xlfn.XLOOKUP(I254:I4295,'参照_姫'!A:A,'参照_姫'!B:B,"見つかりません"))</f>
      </c>
      <c r="K254" s="4">
        <v>95</v>
      </c>
      <c r="L254" s="4">
        <v>0</v>
      </c>
      <c r="M254" s="4"/>
      <c r="N254" s="4"/>
      <c r="O254" s="4"/>
      <c r="P254" s="12" t="str">
        <f t="array" ref="P254">IF(O254:O4295="","",_xlfn.XLOOKUP(O254:O4295,'参照_官位'!A:A,'参照_官位'!B:B,""))</f>
      </c>
      <c r="Q254" s="12" t="str">
        <f t="array" ref="Q254">IF(A254:A4295="","",IFERROR(_xlfn.XLOOKUP(A254:A4295,castles_state!K:K,castles_state!D:D)&amp;"主",IFERROR(_xlfn.XLOOKUP(A254:A4295,kunishuClan!D:D,kunishuClan!B:B)&amp;"当主","")))</f>
      </c>
    </row>
    <row r="255" ht="15.75" customHeight="1">
      <c r="A255" s="4">
        <v>1004005</v>
      </c>
      <c r="B255" s="12" t="str">
        <f t="array" ref="B255">IF(A255:A4296="","",_xlfn.XLOOKUP(A255:A4296,'参照_武将'!A:A,'参照_武将'!B:B,"見つかりません"))</f>
      </c>
      <c r="C255" s="4" t="s">
        <v>116</v>
      </c>
      <c r="D255" s="4">
        <v>5</v>
      </c>
      <c r="E255" s="12" t="str">
        <f t="array" ref="E255">IF(D255:D4296="","",IFERROR(_xlfn.XLOOKUP(D255:D4296,'参照_勢力'!A:A,'参照_勢力'!B:B),IFERROR(_xlfn.XLOOKUP(F255:F4296,kunishuClan!A:A,kunishuClan!B:B),"浪人")))</f>
      </c>
      <c r="F255" s="4">
        <v>0</v>
      </c>
      <c r="G255" s="4">
        <v>13</v>
      </c>
      <c r="H255" s="12" t="str">
        <f t="array" ref="H255">IF(G255:G4296="","",_xlfn.XLOOKUP(G255:G4296,castles_state!A:A,castles_state!D:D,"見つかりません"))</f>
      </c>
      <c r="I255" s="4"/>
      <c r="J255" s="12" t="str">
        <f t="array" ref="J255">IF(I255:I4296="","",_xlfn.XLOOKUP(I255:I4296,'参照_姫'!A:A,'参照_姫'!B:B,"見つかりません"))</f>
      </c>
      <c r="K255" s="4">
        <v>95</v>
      </c>
      <c r="L255" s="4">
        <v>0</v>
      </c>
      <c r="M255" s="4"/>
      <c r="N255" s="4"/>
      <c r="O255" s="4"/>
      <c r="P255" s="12" t="str">
        <f t="array" ref="P255">IF(O255:O4296="","",_xlfn.XLOOKUP(O255:O4296,'参照_官位'!A:A,'参照_官位'!B:B,""))</f>
      </c>
      <c r="Q255" s="12" t="str">
        <f t="array" ref="Q255">IF(A255:A4296="","",IFERROR(_xlfn.XLOOKUP(A255:A4296,castles_state!K:K,castles_state!D:D)&amp;"主",IFERROR(_xlfn.XLOOKUP(A255:A4296,kunishuClan!D:D,kunishuClan!B:B)&amp;"当主","")))</f>
      </c>
    </row>
    <row r="256" ht="15.75" customHeight="1">
      <c r="A256" s="4">
        <v>1004006</v>
      </c>
      <c r="B256" s="12" t="str">
        <f t="array" ref="B256">IF(A256:A4297="","",_xlfn.XLOOKUP(A256:A4297,'参照_武将'!A:A,'参照_武将'!B:B,"見つかりません"))</f>
      </c>
      <c r="C256" s="4" t="s">
        <v>116</v>
      </c>
      <c r="D256" s="4">
        <v>5</v>
      </c>
      <c r="E256" s="12" t="str">
        <f t="array" ref="E256">IF(D256:D4297="","",IFERROR(_xlfn.XLOOKUP(D256:D4297,'参照_勢力'!A:A,'参照_勢力'!B:B),IFERROR(_xlfn.XLOOKUP(F256:F4297,kunishuClan!A:A,kunishuClan!B:B),"浪人")))</f>
      </c>
      <c r="F256" s="4">
        <v>0</v>
      </c>
      <c r="G256" s="4">
        <v>13</v>
      </c>
      <c r="H256" s="12" t="str">
        <f t="array" ref="H256">IF(G256:G4297="","",_xlfn.XLOOKUP(G256:G4297,castles_state!A:A,castles_state!D:D,"見つかりません"))</f>
      </c>
      <c r="I256" s="4"/>
      <c r="J256" s="12" t="str">
        <f t="array" ref="J256">IF(I256:I4297="","",_xlfn.XLOOKUP(I256:I4297,'参照_姫'!A:A,'参照_姫'!B:B,"見つかりません"))</f>
      </c>
      <c r="K256" s="4">
        <v>95</v>
      </c>
      <c r="L256" s="4">
        <v>0</v>
      </c>
      <c r="M256" s="4"/>
      <c r="N256" s="4"/>
      <c r="O256" s="4"/>
      <c r="P256" s="12" t="str">
        <f t="array" ref="P256">IF(O256:O4297="","",_xlfn.XLOOKUP(O256:O4297,'参照_官位'!A:A,'参照_官位'!B:B,""))</f>
      </c>
      <c r="Q256" s="12" t="str">
        <f t="array" ref="Q256">IF(A256:A4297="","",IFERROR(_xlfn.XLOOKUP(A256:A4297,castles_state!K:K,castles_state!D:D)&amp;"主",IFERROR(_xlfn.XLOOKUP(A256:A4297,kunishuClan!D:D,kunishuClan!B:B)&amp;"当主","")))</f>
      </c>
    </row>
    <row r="257" ht="15.75" customHeight="1">
      <c r="A257" s="4">
        <v>1004007</v>
      </c>
      <c r="B257" s="12" t="str">
        <f t="array" ref="B257">IF(A257:A4298="","",_xlfn.XLOOKUP(A257:A4298,'参照_武将'!A:A,'参照_武将'!B:B,"見つかりません"))</f>
      </c>
      <c r="C257" s="4" t="s">
        <v>116</v>
      </c>
      <c r="D257" s="4">
        <v>5</v>
      </c>
      <c r="E257" s="12" t="str">
        <f t="array" ref="E257">IF(D257:D4298="","",IFERROR(_xlfn.XLOOKUP(D257:D4298,'参照_勢力'!A:A,'参照_勢力'!B:B),IFERROR(_xlfn.XLOOKUP(F257:F4298,kunishuClan!A:A,kunishuClan!B:B),"浪人")))</f>
      </c>
      <c r="F257" s="4">
        <v>0</v>
      </c>
      <c r="G257" s="4">
        <v>13</v>
      </c>
      <c r="H257" s="12" t="str">
        <f t="array" ref="H257">IF(G257:G4298="","",_xlfn.XLOOKUP(G257:G4298,castles_state!A:A,castles_state!D:D,"見つかりません"))</f>
      </c>
      <c r="I257" s="4"/>
      <c r="J257" s="12" t="str">
        <f t="array" ref="J257">IF(I257:I4298="","",_xlfn.XLOOKUP(I257:I4298,'参照_姫'!A:A,'参照_姫'!B:B,"見つかりません"))</f>
      </c>
      <c r="K257" s="4">
        <v>95</v>
      </c>
      <c r="L257" s="4">
        <v>0</v>
      </c>
      <c r="M257" s="4"/>
      <c r="N257" s="4"/>
      <c r="O257" s="4"/>
      <c r="P257" s="12" t="str">
        <f t="array" ref="P257">IF(O257:O4298="","",_xlfn.XLOOKUP(O257:O4298,'参照_官位'!A:A,'参照_官位'!B:B,""))</f>
      </c>
      <c r="Q257" s="12" t="str">
        <f t="array" ref="Q257">IF(A257:A4298="","",IFERROR(_xlfn.XLOOKUP(A257:A4298,castles_state!K:K,castles_state!D:D)&amp;"主",IFERROR(_xlfn.XLOOKUP(A257:A4298,kunishuClan!D:D,kunishuClan!B:B)&amp;"当主","")))</f>
      </c>
    </row>
    <row r="258" ht="15.75" customHeight="1">
      <c r="A258" s="4">
        <v>1004008</v>
      </c>
      <c r="B258" s="12" t="str">
        <f t="array" ref="B258">IF(A258:A4299="","",_xlfn.XLOOKUP(A258:A4299,'参照_武将'!A:A,'参照_武将'!B:B,"見つかりません"))</f>
      </c>
      <c r="C258" s="4" t="s">
        <v>116</v>
      </c>
      <c r="D258" s="4">
        <v>5</v>
      </c>
      <c r="E258" s="12" t="str">
        <f t="array" ref="E258">IF(D258:D4299="","",IFERROR(_xlfn.XLOOKUP(D258:D4299,'参照_勢力'!A:A,'参照_勢力'!B:B),IFERROR(_xlfn.XLOOKUP(F258:F4299,kunishuClan!A:A,kunishuClan!B:B),"浪人")))</f>
      </c>
      <c r="F258" s="4">
        <v>0</v>
      </c>
      <c r="G258" s="4">
        <v>13</v>
      </c>
      <c r="H258" s="12" t="str">
        <f t="array" ref="H258">IF(G258:G4299="","",_xlfn.XLOOKUP(G258:G4299,castles_state!A:A,castles_state!D:D,"見つかりません"))</f>
      </c>
      <c r="I258" s="4"/>
      <c r="J258" s="12" t="str">
        <f t="array" ref="J258">IF(I258:I4299="","",_xlfn.XLOOKUP(I258:I4299,'参照_姫'!A:A,'参照_姫'!B:B,"見つかりません"))</f>
      </c>
      <c r="K258" s="4">
        <v>95</v>
      </c>
      <c r="L258" s="4">
        <v>0</v>
      </c>
      <c r="M258" s="4"/>
      <c r="N258" s="4"/>
      <c r="O258" s="4"/>
      <c r="P258" s="12" t="str">
        <f t="array" ref="P258">IF(O258:O4299="","",_xlfn.XLOOKUP(O258:O4299,'参照_官位'!A:A,'参照_官位'!B:B,""))</f>
      </c>
      <c r="Q258" s="12" t="str">
        <f t="array" ref="Q258">IF(A258:A4299="","",IFERROR(_xlfn.XLOOKUP(A258:A4299,castles_state!K:K,castles_state!D:D)&amp;"主",IFERROR(_xlfn.XLOOKUP(A258:A4299,kunishuClan!D:D,kunishuClan!B:B)&amp;"当主","")))</f>
      </c>
    </row>
    <row r="259" ht="15.75" customHeight="1">
      <c r="A259" s="4">
        <v>1004009</v>
      </c>
      <c r="B259" s="12" t="str">
        <f t="array" ref="B259">IF(A259:A4300="","",_xlfn.XLOOKUP(A259:A4300,'参照_武将'!A:A,'参照_武将'!B:B,"見つかりません"))</f>
      </c>
      <c r="C259" s="4" t="s">
        <v>116</v>
      </c>
      <c r="D259" s="4">
        <v>5</v>
      </c>
      <c r="E259" s="12" t="str">
        <f t="array" ref="E259">IF(D259:D4300="","",IFERROR(_xlfn.XLOOKUP(D259:D4300,'参照_勢力'!A:A,'参照_勢力'!B:B),IFERROR(_xlfn.XLOOKUP(F259:F4300,kunishuClan!A:A,kunishuClan!B:B),"浪人")))</f>
      </c>
      <c r="F259" s="4">
        <v>0</v>
      </c>
      <c r="G259" s="4">
        <v>13</v>
      </c>
      <c r="H259" s="12" t="str">
        <f t="array" ref="H259">IF(G259:G4300="","",_xlfn.XLOOKUP(G259:G4300,castles_state!A:A,castles_state!D:D,"見つかりません"))</f>
      </c>
      <c r="I259" s="4">
        <v>24</v>
      </c>
      <c r="J259" s="12" t="str">
        <f t="array" ref="J259">IF(I259:I4300="","",_xlfn.XLOOKUP(I259:I4300,'参照_姫'!A:A,'参照_姫'!B:B,"見つかりません"))</f>
      </c>
      <c r="K259" s="4">
        <v>100</v>
      </c>
      <c r="L259" s="4">
        <v>1500</v>
      </c>
      <c r="M259" s="4"/>
      <c r="N259" s="4"/>
      <c r="O259" s="4">
        <v>76</v>
      </c>
      <c r="P259" s="12" t="str">
        <f t="array" ref="P259">IF(O259:O4300="","",_xlfn.XLOOKUP(O259:O4300,'参照_官位'!A:A,'参照_官位'!B:B,""))</f>
      </c>
      <c r="Q259" s="12" t="str">
        <f t="array" ref="Q259">IF(A259:A4300="","",IFERROR(_xlfn.XLOOKUP(A259:A4300,castles_state!K:K,castles_state!D:D)&amp;"主",IFERROR(_xlfn.XLOOKUP(A259:A4300,kunishuClan!D:D,kunishuClan!B:B)&amp;"当主","")))</f>
      </c>
    </row>
    <row r="260" ht="15.75" customHeight="1">
      <c r="A260" s="4">
        <v>1004010</v>
      </c>
      <c r="B260" s="12" t="str">
        <f t="array" ref="B260">IF(A260:A4301="","",_xlfn.XLOOKUP(A260:A4301,'参照_武将'!A:A,'参照_武将'!B:B,"見つかりません"))</f>
      </c>
      <c r="C260" s="4" t="s">
        <v>116</v>
      </c>
      <c r="D260" s="4">
        <v>4</v>
      </c>
      <c r="E260" s="12" t="str">
        <f t="array" ref="E260">IF(D260:D4301="","",IFERROR(_xlfn.XLOOKUP(D260:D4301,'参照_勢力'!A:A,'参照_勢力'!B:B),IFERROR(_xlfn.XLOOKUP(F260:F4301,kunishuClan!A:A,kunishuClan!B:B),"浪人")))</f>
      </c>
      <c r="F260" s="4">
        <v>0</v>
      </c>
      <c r="G260" s="4">
        <v>14</v>
      </c>
      <c r="H260" s="12" t="str">
        <f t="array" ref="H260">IF(G260:G4301="","",_xlfn.XLOOKUP(G260:G4301,castles_state!A:A,castles_state!D:D,"見つかりません"))</f>
      </c>
      <c r="I260" s="4">
        <v>8</v>
      </c>
      <c r="J260" s="12" t="str">
        <f t="array" ref="J260">IF(I260:I4301="","",_xlfn.XLOOKUP(I260:I4301,'参照_姫'!A:A,'参照_姫'!B:B,"見つかりません"))</f>
      </c>
      <c r="K260" s="4">
        <v>90</v>
      </c>
      <c r="L260" s="4">
        <v>200</v>
      </c>
      <c r="M260" s="4"/>
      <c r="N260" s="4"/>
      <c r="O260" s="4"/>
      <c r="P260" s="12" t="str">
        <f t="array" ref="P260">IF(O260:O4301="","",_xlfn.XLOOKUP(O260:O4301,'参照_官位'!A:A,'参照_官位'!B:B,""))</f>
      </c>
      <c r="Q260" s="12" t="str">
        <f t="array" ref="Q260">IF(A260:A4301="","",IFERROR(_xlfn.XLOOKUP(A260:A4301,castles_state!K:K,castles_state!D:D)&amp;"主",IFERROR(_xlfn.XLOOKUP(A260:A4301,kunishuClan!D:D,kunishuClan!B:B)&amp;"当主","")))</f>
      </c>
    </row>
    <row r="261" ht="15.75" customHeight="1">
      <c r="A261" s="4">
        <v>1004011</v>
      </c>
      <c r="B261" s="12" t="str">
        <f t="array" ref="B261">IF(A261:A4302="","",_xlfn.XLOOKUP(A261:A4302,'参照_武将'!A:A,'参照_武将'!B:B,"見つかりません"))</f>
      </c>
      <c r="C261" s="4" t="s">
        <v>116</v>
      </c>
      <c r="D261" s="4">
        <v>0</v>
      </c>
      <c r="E261" s="12" t="str">
        <f t="array" ref="E261">IF(D261:D4302="","",IFERROR(_xlfn.XLOOKUP(D261:D4302,'参照_勢力'!A:A,'参照_勢力'!B:B),IFERROR(_xlfn.XLOOKUP(F261:F4302,kunishuClan!A:A,kunishuClan!B:B),"浪人")))</f>
      </c>
      <c r="F261" s="4">
        <v>0</v>
      </c>
      <c r="G261" s="4">
        <v>13</v>
      </c>
      <c r="H261" s="12" t="str">
        <f t="array" ref="H261">IF(G261:G4302="","",_xlfn.XLOOKUP(G261:G4302,castles_state!A:A,castles_state!D:D,"見つかりません"))</f>
      </c>
      <c r="I261" s="4"/>
      <c r="J261" s="12" t="str">
        <f t="array" ref="J261">IF(I261:I4302="","",_xlfn.XLOOKUP(I261:I4302,'参照_姫'!A:A,'参照_姫'!B:B,"見つかりません"))</f>
      </c>
      <c r="K261" s="4">
        <v>50</v>
      </c>
      <c r="L261" s="4">
        <v>200</v>
      </c>
      <c r="M261" s="4"/>
      <c r="N261" s="4"/>
      <c r="O261" s="4"/>
      <c r="P261" s="12" t="str">
        <f t="array" ref="P261">IF(O261:O4302="","",_xlfn.XLOOKUP(O261:O4302,'参照_官位'!A:A,'参照_官位'!B:B,""))</f>
      </c>
      <c r="Q261" s="12" t="str">
        <f t="array" ref="Q261">IF(A261:A4302="","",IFERROR(_xlfn.XLOOKUP(A261:A4302,castles_state!K:K,castles_state!D:D)&amp;"主",IFERROR(_xlfn.XLOOKUP(A261:A4302,kunishuClan!D:D,kunishuClan!B:B)&amp;"当主","")))</f>
      </c>
    </row>
    <row r="262" ht="15.75" customHeight="1">
      <c r="A262" s="4">
        <v>1004012</v>
      </c>
      <c r="B262" s="12" t="str">
        <f t="array" ref="B262">IF(A262:A4303="","",_xlfn.XLOOKUP(A262:A4303,'参照_武将'!A:A,'参照_武将'!B:B,"見つかりません"))</f>
      </c>
      <c r="C262" s="4" t="s">
        <v>116</v>
      </c>
      <c r="D262" s="4">
        <v>0</v>
      </c>
      <c r="E262" s="12" t="str">
        <f t="array" ref="E262">IF(D262:D4303="","",IFERROR(_xlfn.XLOOKUP(D262:D4303,'参照_勢力'!A:A,'参照_勢力'!B:B),IFERROR(_xlfn.XLOOKUP(F262:F4303,kunishuClan!A:A,kunishuClan!B:B),"浪人")))</f>
      </c>
      <c r="F262" s="4">
        <v>0</v>
      </c>
      <c r="G262" s="4">
        <v>13</v>
      </c>
      <c r="H262" s="12" t="str">
        <f t="array" ref="H262">IF(G262:G4303="","",_xlfn.XLOOKUP(G262:G4303,castles_state!A:A,castles_state!D:D,"見つかりません"))</f>
      </c>
      <c r="I262" s="4"/>
      <c r="J262" s="12" t="str">
        <f t="array" ref="J262">IF(I262:I4303="","",_xlfn.XLOOKUP(I262:I4303,'参照_姫'!A:A,'参照_姫'!B:B,"見つかりません"))</f>
      </c>
      <c r="K262" s="4">
        <v>50</v>
      </c>
      <c r="L262" s="4">
        <v>200</v>
      </c>
      <c r="M262" s="4"/>
      <c r="N262" s="4"/>
      <c r="O262" s="4"/>
      <c r="P262" s="12" t="str">
        <f t="array" ref="P262">IF(O262:O4303="","",_xlfn.XLOOKUP(O262:O4303,'参照_官位'!A:A,'参照_官位'!B:B,""))</f>
      </c>
      <c r="Q262" s="12" t="str">
        <f t="array" ref="Q262">IF(A262:A4303="","",IFERROR(_xlfn.XLOOKUP(A262:A4303,castles_state!K:K,castles_state!D:D)&amp;"主",IFERROR(_xlfn.XLOOKUP(A262:A4303,kunishuClan!D:D,kunishuClan!B:B)&amp;"当主","")))</f>
      </c>
    </row>
    <row r="263" ht="15.75" customHeight="1">
      <c r="A263" s="4">
        <v>1004013</v>
      </c>
      <c r="B263" s="12" t="str">
        <f t="array" ref="B263">IF(A263:A4304="","",_xlfn.XLOOKUP(A263:A4304,'参照_武将'!A:A,'参照_武将'!B:B,"見つかりません"))</f>
      </c>
      <c r="C263" s="4" t="s">
        <v>116</v>
      </c>
      <c r="D263" s="4">
        <v>0</v>
      </c>
      <c r="E263" s="12" t="str">
        <f t="array" ref="E263">IF(D263:D4304="","",IFERROR(_xlfn.XLOOKUP(D263:D4304,'参照_勢力'!A:A,'参照_勢力'!B:B),IFERROR(_xlfn.XLOOKUP(F263:F4304,kunishuClan!A:A,kunishuClan!B:B),"浪人")))</f>
      </c>
      <c r="F263" s="4">
        <v>0</v>
      </c>
      <c r="G263" s="4">
        <v>13</v>
      </c>
      <c r="H263" s="12" t="str">
        <f t="array" ref="H263">IF(G263:G4304="","",_xlfn.XLOOKUP(G263:G4304,castles_state!A:A,castles_state!D:D,"見つかりません"))</f>
      </c>
      <c r="I263" s="4"/>
      <c r="J263" s="12" t="str">
        <f t="array" ref="J263">IF(I263:I4304="","",_xlfn.XLOOKUP(I263:I4304,'参照_姫'!A:A,'参照_姫'!B:B,"見つかりません"))</f>
      </c>
      <c r="K263" s="4">
        <v>50</v>
      </c>
      <c r="L263" s="4">
        <v>0</v>
      </c>
      <c r="M263" s="4"/>
      <c r="N263" s="4"/>
      <c r="O263" s="4"/>
      <c r="P263" s="12" t="str">
        <f t="array" ref="P263">IF(O263:O4304="","",_xlfn.XLOOKUP(O263:O4304,'参照_官位'!A:A,'参照_官位'!B:B,""))</f>
      </c>
      <c r="Q263" s="12" t="str">
        <f t="array" ref="Q263">IF(A263:A4304="","",IFERROR(_xlfn.XLOOKUP(A263:A4304,castles_state!K:K,castles_state!D:D)&amp;"主",IFERROR(_xlfn.XLOOKUP(A263:A4304,kunishuClan!D:D,kunishuClan!B:B)&amp;"当主","")))</f>
      </c>
    </row>
    <row r="264" ht="15.75" customHeight="1">
      <c r="A264" s="4">
        <v>1004014</v>
      </c>
      <c r="B264" s="12" t="str">
        <f t="array" ref="B264">IF(A264:A4305="","",_xlfn.XLOOKUP(A264:A4305,'参照_武将'!A:A,'参照_武将'!B:B,"見つかりません"))</f>
      </c>
      <c r="C264" s="4" t="s">
        <v>116</v>
      </c>
      <c r="D264" s="4">
        <v>5</v>
      </c>
      <c r="E264" s="12" t="str">
        <f t="array" ref="E264">IF(D264:D4305="","",IFERROR(_xlfn.XLOOKUP(D264:D4305,'参照_勢力'!A:A,'参照_勢力'!B:B),IFERROR(_xlfn.XLOOKUP(F264:F4305,kunishuClan!A:A,kunishuClan!B:B),"浪人")))</f>
      </c>
      <c r="F264" s="4">
        <v>0</v>
      </c>
      <c r="G264" s="4">
        <v>13</v>
      </c>
      <c r="H264" s="12" t="str">
        <f t="array" ref="H264">IF(G264:G4305="","",_xlfn.XLOOKUP(G264:G4305,castles_state!A:A,castles_state!D:D,"見つかりません"))</f>
      </c>
      <c r="I264" s="4"/>
      <c r="J264" s="12" t="str">
        <f t="array" ref="J264">IF(I264:I4305="","",_xlfn.XLOOKUP(I264:I4305,'参照_姫'!A:A,'参照_姫'!B:B,"見つかりません"))</f>
      </c>
      <c r="K264" s="4">
        <v>95</v>
      </c>
      <c r="L264" s="4">
        <v>0</v>
      </c>
      <c r="M264" s="4"/>
      <c r="N264" s="4"/>
      <c r="O264" s="4"/>
      <c r="P264" s="12" t="str">
        <f t="array" ref="P264">IF(O264:O4305="","",_xlfn.XLOOKUP(O264:O4305,'参照_官位'!A:A,'参照_官位'!B:B,""))</f>
      </c>
      <c r="Q264" s="12" t="str">
        <f t="array" ref="Q264">IF(A264:A4305="","",IFERROR(_xlfn.XLOOKUP(A264:A4305,castles_state!K:K,castles_state!D:D)&amp;"主",IFERROR(_xlfn.XLOOKUP(A264:A4305,kunishuClan!D:D,kunishuClan!B:B)&amp;"当主","")))</f>
      </c>
    </row>
    <row r="265" ht="15.75" customHeight="1">
      <c r="A265" s="4">
        <v>1004015</v>
      </c>
      <c r="B265" s="12" t="str">
        <f t="array" ref="B265">IF(A265:A4306="","",_xlfn.XLOOKUP(A265:A4306,'参照_武将'!A:A,'参照_武将'!B:B,"見つかりません"))</f>
      </c>
      <c r="C265" s="4" t="s">
        <v>116</v>
      </c>
      <c r="D265" s="4">
        <v>5</v>
      </c>
      <c r="E265" s="12" t="str">
        <f t="array" ref="E265">IF(D265:D4306="","",IFERROR(_xlfn.XLOOKUP(D265:D4306,'参照_勢力'!A:A,'参照_勢力'!B:B),IFERROR(_xlfn.XLOOKUP(F265:F4306,kunishuClan!A:A,kunishuClan!B:B),"浪人")))</f>
      </c>
      <c r="F265" s="4">
        <v>0</v>
      </c>
      <c r="G265" s="4">
        <v>13</v>
      </c>
      <c r="H265" s="12" t="str">
        <f t="array" ref="H265">IF(G265:G4306="","",_xlfn.XLOOKUP(G265:G4306,castles_state!A:A,castles_state!D:D,"見つかりません"))</f>
      </c>
      <c r="I265" s="4"/>
      <c r="J265" s="12" t="str">
        <f t="array" ref="J265">IF(I265:I4306="","",_xlfn.XLOOKUP(I265:I4306,'参照_姫'!A:A,'参照_姫'!B:B,"見つかりません"))</f>
      </c>
      <c r="K265" s="4">
        <v>95</v>
      </c>
      <c r="L265" s="4">
        <v>0</v>
      </c>
      <c r="M265" s="4"/>
      <c r="N265" s="4"/>
      <c r="O265" s="4"/>
      <c r="P265" s="12" t="str">
        <f t="array" ref="P265">IF(O265:O4306="","",_xlfn.XLOOKUP(O265:O4306,'参照_官位'!A:A,'参照_官位'!B:B,""))</f>
      </c>
      <c r="Q265" s="12" t="str">
        <f t="array" ref="Q265">IF(A265:A4306="","",IFERROR(_xlfn.XLOOKUP(A265:A4306,castles_state!K:K,castles_state!D:D)&amp;"主",IFERROR(_xlfn.XLOOKUP(A265:A4306,kunishuClan!D:D,kunishuClan!B:B)&amp;"当主","")))</f>
      </c>
    </row>
    <row r="266" ht="15.75" customHeight="1">
      <c r="A266" s="4">
        <v>1004016</v>
      </c>
      <c r="B266" s="12" t="str">
        <f t="array" ref="B266">IF(A266:A4307="","",_xlfn.XLOOKUP(A266:A4307,'参照_武将'!A:A,'参照_武将'!B:B,"見つかりません"))</f>
      </c>
      <c r="C266" s="4" t="s">
        <v>116</v>
      </c>
      <c r="D266" s="4">
        <v>5</v>
      </c>
      <c r="E266" s="12" t="str">
        <f t="array" ref="E266">IF(D266:D4307="","",IFERROR(_xlfn.XLOOKUP(D266:D4307,'参照_勢力'!A:A,'参照_勢力'!B:B),IFERROR(_xlfn.XLOOKUP(F266:F4307,kunishuClan!A:A,kunishuClan!B:B),"浪人")))</f>
      </c>
      <c r="F266" s="4">
        <v>0</v>
      </c>
      <c r="G266" s="4">
        <v>13</v>
      </c>
      <c r="H266" s="12" t="str">
        <f t="array" ref="H266">IF(G266:G4307="","",_xlfn.XLOOKUP(G266:G4307,castles_state!A:A,castles_state!D:D,"見つかりません"))</f>
      </c>
      <c r="I266" s="4"/>
      <c r="J266" s="12" t="str">
        <f t="array" ref="J266">IF(I266:I4307="","",_xlfn.XLOOKUP(I266:I4307,'参照_姫'!A:A,'参照_姫'!B:B,"見つかりません"))</f>
      </c>
      <c r="K266" s="4">
        <v>95</v>
      </c>
      <c r="L266" s="4">
        <v>0</v>
      </c>
      <c r="M266" s="4"/>
      <c r="N266" s="4"/>
      <c r="O266" s="4"/>
      <c r="P266" s="12" t="str">
        <f t="array" ref="P266">IF(O266:O4307="","",_xlfn.XLOOKUP(O266:O4307,'参照_官位'!A:A,'参照_官位'!B:B,""))</f>
      </c>
      <c r="Q266" s="12" t="str">
        <f t="array" ref="Q266">IF(A266:A4307="","",IFERROR(_xlfn.XLOOKUP(A266:A4307,castles_state!K:K,castles_state!D:D)&amp;"主",IFERROR(_xlfn.XLOOKUP(A266:A4307,kunishuClan!D:D,kunishuClan!B:B)&amp;"当主","")))</f>
      </c>
    </row>
    <row r="267" ht="15.75" customHeight="1">
      <c r="A267" s="4">
        <v>1004017</v>
      </c>
      <c r="B267" s="12" t="str">
        <f t="array" ref="B267">IF(A267:A4308="","",_xlfn.XLOOKUP(A267:A4308,'参照_武将'!A:A,'参照_武将'!B:B,"見つかりません"))</f>
      </c>
      <c r="C267" s="4" t="s">
        <v>116</v>
      </c>
      <c r="D267" s="4">
        <v>5</v>
      </c>
      <c r="E267" s="12" t="str">
        <f t="array" ref="E267">IF(D267:D4308="","",IFERROR(_xlfn.XLOOKUP(D267:D4308,'参照_勢力'!A:A,'参照_勢力'!B:B),IFERROR(_xlfn.XLOOKUP(F267:F4308,kunishuClan!A:A,kunishuClan!B:B),"浪人")))</f>
      </c>
      <c r="F267" s="4">
        <v>0</v>
      </c>
      <c r="G267" s="4">
        <v>13</v>
      </c>
      <c r="H267" s="12" t="str">
        <f t="array" ref="H267">IF(G267:G4308="","",_xlfn.XLOOKUP(G267:G4308,castles_state!A:A,castles_state!D:D,"見つかりません"))</f>
      </c>
      <c r="I267" s="4"/>
      <c r="J267" s="12" t="str">
        <f t="array" ref="J267">IF(I267:I4308="","",_xlfn.XLOOKUP(I267:I4308,'参照_姫'!A:A,'参照_姫'!B:B,"見つかりません"))</f>
      </c>
      <c r="K267" s="4">
        <v>95</v>
      </c>
      <c r="L267" s="4">
        <v>0</v>
      </c>
      <c r="M267" s="4"/>
      <c r="N267" s="4"/>
      <c r="O267" s="4"/>
      <c r="P267" s="12" t="str">
        <f t="array" ref="P267">IF(O267:O4308="","",_xlfn.XLOOKUP(O267:O4308,'参照_官位'!A:A,'参照_官位'!B:B,""))</f>
      </c>
      <c r="Q267" s="12" t="str">
        <f t="array" ref="Q267">IF(A267:A4308="","",IFERROR(_xlfn.XLOOKUP(A267:A4308,castles_state!K:K,castles_state!D:D)&amp;"主",IFERROR(_xlfn.XLOOKUP(A267:A4308,kunishuClan!D:D,kunishuClan!B:B)&amp;"当主","")))</f>
      </c>
    </row>
    <row r="268" ht="15.75" customHeight="1">
      <c r="A268" s="4">
        <v>1004018</v>
      </c>
      <c r="B268" s="12" t="str">
        <f t="array" ref="B268">IF(A268:A4309="","",_xlfn.XLOOKUP(A268:A4309,'参照_武将'!A:A,'参照_武将'!B:B,"見つかりません"))</f>
      </c>
      <c r="C268" s="4" t="s">
        <v>116</v>
      </c>
      <c r="D268" s="4">
        <v>3</v>
      </c>
      <c r="E268" s="12" t="str">
        <f t="array" ref="E268">IF(D268:D4309="","",IFERROR(_xlfn.XLOOKUP(D268:D4309,'参照_勢力'!A:A,'参照_勢力'!B:B),IFERROR(_xlfn.XLOOKUP(F268:F4309,kunishuClan!A:A,kunishuClan!B:B),"浪人")))</f>
      </c>
      <c r="F268" s="4">
        <v>0</v>
      </c>
      <c r="G268" s="4">
        <v>13</v>
      </c>
      <c r="H268" s="12" t="str">
        <f t="array" ref="H268">IF(G268:G4309="","",_xlfn.XLOOKUP(G268:G4309,castles_state!A:A,castles_state!D:D,"見つかりません"))</f>
      </c>
      <c r="I268" s="4"/>
      <c r="J268" s="12" t="str">
        <f t="array" ref="J268">IF(I268:I4309="","",_xlfn.XLOOKUP(I268:I4309,'参照_姫'!A:A,'参照_姫'!B:B,"見つかりません"))</f>
      </c>
      <c r="K268" s="4">
        <v>95</v>
      </c>
      <c r="L268" s="4">
        <v>0</v>
      </c>
      <c r="M268" s="4"/>
      <c r="N268" s="4"/>
      <c r="O268" s="4"/>
      <c r="P268" s="12" t="str">
        <f t="array" ref="P268">IF(O268:O4309="","",_xlfn.XLOOKUP(O268:O4309,'参照_官位'!A:A,'参照_官位'!B:B,""))</f>
      </c>
      <c r="Q268" s="12" t="str">
        <f t="array" ref="Q268">IF(A268:A4309="","",IFERROR(_xlfn.XLOOKUP(A268:A4309,castles_state!K:K,castles_state!D:D)&amp;"主",IFERROR(_xlfn.XLOOKUP(A268:A4309,kunishuClan!D:D,kunishuClan!B:B)&amp;"当主","")))</f>
      </c>
    </row>
    <row r="269" ht="15.75" customHeight="1">
      <c r="A269" s="4">
        <v>1004019</v>
      </c>
      <c r="B269" s="12" t="str">
        <f t="array" ref="B269">IF(A269:A4310="","",_xlfn.XLOOKUP(A269:A4310,'参照_武将'!A:A,'参照_武将'!B:B,"見つかりません"))</f>
      </c>
      <c r="C269" s="4" t="s">
        <v>116</v>
      </c>
      <c r="D269" s="4">
        <v>0</v>
      </c>
      <c r="E269" s="12" t="str">
        <f t="array" ref="E269">IF(D269:D4310="","",IFERROR(_xlfn.XLOOKUP(D269:D4310,'参照_勢力'!A:A,'参照_勢力'!B:B),IFERROR(_xlfn.XLOOKUP(F269:F4310,kunishuClan!A:A,kunishuClan!B:B),"浪人")))</f>
      </c>
      <c r="F269" s="4">
        <v>0</v>
      </c>
      <c r="G269" s="4">
        <v>13</v>
      </c>
      <c r="H269" s="12" t="str">
        <f t="array" ref="H269">IF(G269:G4310="","",_xlfn.XLOOKUP(G269:G4310,castles_state!A:A,castles_state!D:D,"見つかりません"))</f>
      </c>
      <c r="I269" s="4"/>
      <c r="J269" s="12" t="str">
        <f t="array" ref="J269">IF(I269:I4310="","",_xlfn.XLOOKUP(I269:I4310,'参照_姫'!A:A,'参照_姫'!B:B,"見つかりません"))</f>
      </c>
      <c r="K269" s="4">
        <v>50</v>
      </c>
      <c r="L269" s="4">
        <v>0</v>
      </c>
      <c r="M269" s="4"/>
      <c r="N269" s="4"/>
      <c r="O269" s="4"/>
      <c r="P269" s="12" t="str">
        <f t="array" ref="P269">IF(O269:O4310="","",_xlfn.XLOOKUP(O269:O4310,'参照_官位'!A:A,'参照_官位'!B:B,""))</f>
      </c>
      <c r="Q269" s="12" t="str">
        <f t="array" ref="Q269">IF(A269:A4310="","",IFERROR(_xlfn.XLOOKUP(A269:A4310,castles_state!K:K,castles_state!D:D)&amp;"主",IFERROR(_xlfn.XLOOKUP(A269:A4310,kunishuClan!D:D,kunishuClan!B:B)&amp;"当主","")))</f>
      </c>
    </row>
    <row r="270" ht="15.75" customHeight="1">
      <c r="A270" s="4">
        <v>1004020</v>
      </c>
      <c r="B270" s="12" t="str">
        <f t="array" ref="B270">IF(A270:A4311="","",_xlfn.XLOOKUP(A270:A4311,'参照_武将'!A:A,'参照_武将'!B:B,"見つかりません"))</f>
      </c>
      <c r="C270" s="4" t="s">
        <v>116</v>
      </c>
      <c r="D270" s="4">
        <v>0</v>
      </c>
      <c r="E270" s="12" t="str">
        <f t="array" ref="E270">IF(D270:D4311="","",IFERROR(_xlfn.XLOOKUP(D270:D4311,'参照_勢力'!A:A,'参照_勢力'!B:B),IFERROR(_xlfn.XLOOKUP(F270:F4311,kunishuClan!A:A,kunishuClan!B:B),"浪人")))</f>
      </c>
      <c r="F270" s="4">
        <v>0</v>
      </c>
      <c r="G270" s="4">
        <v>13</v>
      </c>
      <c r="H270" s="12" t="str">
        <f t="array" ref="H270">IF(G270:G4311="","",_xlfn.XLOOKUP(G270:G4311,castles_state!A:A,castles_state!D:D,"見つかりません"))</f>
      </c>
      <c r="I270" s="4"/>
      <c r="J270" s="12" t="str">
        <f t="array" ref="J270">IF(I270:I4311="","",_xlfn.XLOOKUP(I270:I4311,'参照_姫'!A:A,'参照_姫'!B:B,"見つかりません"))</f>
      </c>
      <c r="K270" s="4">
        <v>50</v>
      </c>
      <c r="L270" s="4">
        <v>0</v>
      </c>
      <c r="M270" s="4"/>
      <c r="N270" s="4"/>
      <c r="O270" s="4"/>
      <c r="P270" s="12" t="str">
        <f t="array" ref="P270">IF(O270:O4311="","",_xlfn.XLOOKUP(O270:O4311,'参照_官位'!A:A,'参照_官位'!B:B,""))</f>
      </c>
      <c r="Q270" s="12" t="str">
        <f t="array" ref="Q270">IF(A270:A4311="","",IFERROR(_xlfn.XLOOKUP(A270:A4311,castles_state!K:K,castles_state!D:D)&amp;"主",IFERROR(_xlfn.XLOOKUP(A270:A4311,kunishuClan!D:D,kunishuClan!B:B)&amp;"当主","")))</f>
      </c>
    </row>
    <row r="271" ht="15.75" customHeight="1">
      <c r="A271" s="4">
        <v>1004021</v>
      </c>
      <c r="B271" s="12" t="str">
        <f t="array" ref="B271">IF(A271:A4312="","",_xlfn.XLOOKUP(A271:A4312,'参照_武将'!A:A,'参照_武将'!B:B,"見つかりません"))</f>
      </c>
      <c r="C271" s="4" t="s">
        <v>116</v>
      </c>
      <c r="D271" s="4">
        <v>5</v>
      </c>
      <c r="E271" s="12" t="str">
        <f t="array" ref="E271">IF(D271:D4312="","",IFERROR(_xlfn.XLOOKUP(D271:D4312,'参照_勢力'!A:A,'参照_勢力'!B:B),IFERROR(_xlfn.XLOOKUP(F271:F4312,kunishuClan!A:A,kunishuClan!B:B),"浪人")))</f>
      </c>
      <c r="F271" s="4">
        <v>0</v>
      </c>
      <c r="G271" s="4">
        <v>13</v>
      </c>
      <c r="H271" s="12" t="str">
        <f t="array" ref="H271">IF(G271:G4312="","",_xlfn.XLOOKUP(G271:G4312,castles_state!A:A,castles_state!D:D,"見つかりません"))</f>
      </c>
      <c r="I271" s="4"/>
      <c r="J271" s="12" t="str">
        <f t="array" ref="J271">IF(I271:I4312="","",_xlfn.XLOOKUP(I271:I4312,'参照_姫'!A:A,'参照_姫'!B:B,"見つかりません"))</f>
      </c>
      <c r="K271" s="4">
        <v>95</v>
      </c>
      <c r="L271" s="4">
        <v>0</v>
      </c>
      <c r="M271" s="4"/>
      <c r="N271" s="4"/>
      <c r="O271" s="4"/>
      <c r="P271" s="12" t="str">
        <f t="array" ref="P271">IF(O271:O4312="","",_xlfn.XLOOKUP(O271:O4312,'参照_官位'!A:A,'参照_官位'!B:B,""))</f>
      </c>
      <c r="Q271" s="12" t="str">
        <f t="array" ref="Q271">IF(A271:A4312="","",IFERROR(_xlfn.XLOOKUP(A271:A4312,castles_state!K:K,castles_state!D:D)&amp;"主",IFERROR(_xlfn.XLOOKUP(A271:A4312,kunishuClan!D:D,kunishuClan!B:B)&amp;"当主","")))</f>
      </c>
    </row>
    <row r="272" ht="15.75" customHeight="1">
      <c r="A272" s="4">
        <v>1004022</v>
      </c>
      <c r="B272" s="12" t="str">
        <f t="array" ref="B272">IF(A272:A4313="","",_xlfn.XLOOKUP(A272:A4313,'参照_武将'!A:A,'参照_武将'!B:B,"見つかりません"))</f>
      </c>
      <c r="C272" s="4" t="s">
        <v>116</v>
      </c>
      <c r="D272" s="4">
        <v>5</v>
      </c>
      <c r="E272" s="12" t="str">
        <f t="array" ref="E272">IF(D272:D4313="","",IFERROR(_xlfn.XLOOKUP(D272:D4313,'参照_勢力'!A:A,'参照_勢力'!B:B),IFERROR(_xlfn.XLOOKUP(F272:F4313,kunishuClan!A:A,kunishuClan!B:B),"浪人")))</f>
      </c>
      <c r="F272" s="4">
        <v>0</v>
      </c>
      <c r="G272" s="4">
        <v>54</v>
      </c>
      <c r="H272" s="12" t="str">
        <f t="array" ref="H272">IF(G272:G4313="","",_xlfn.XLOOKUP(G272:G4313,castles_state!A:A,castles_state!D:D,"見つかりません"))</f>
      </c>
      <c r="I272" s="4"/>
      <c r="J272" s="12" t="str">
        <f t="array" ref="J272">IF(I272:I4313="","",_xlfn.XLOOKUP(I272:I4313,'参照_姫'!A:A,'参照_姫'!B:B,"見つかりません"))</f>
      </c>
      <c r="K272" s="4">
        <v>95</v>
      </c>
      <c r="L272" s="4">
        <v>0</v>
      </c>
      <c r="M272" s="4"/>
      <c r="N272" s="4"/>
      <c r="O272" s="4"/>
      <c r="P272" s="12" t="str">
        <f t="array" ref="P272">IF(O272:O4313="","",_xlfn.XLOOKUP(O272:O4313,'参照_官位'!A:A,'参照_官位'!B:B,""))</f>
      </c>
      <c r="Q272" s="12" t="str">
        <f t="array" ref="Q272">IF(A272:A4313="","",IFERROR(_xlfn.XLOOKUP(A272:A4313,castles_state!K:K,castles_state!D:D)&amp;"主",IFERROR(_xlfn.XLOOKUP(A272:A4313,kunishuClan!D:D,kunishuClan!B:B)&amp;"当主","")))</f>
      </c>
    </row>
    <row r="273" ht="15.75" customHeight="1">
      <c r="A273" s="4">
        <v>1004023</v>
      </c>
      <c r="B273" s="12" t="str">
        <f t="array" ref="B273">IF(A273:A4314="","",_xlfn.XLOOKUP(A273:A4314,'参照_武将'!A:A,'参照_武将'!B:B,"見つかりません"))</f>
      </c>
      <c r="C273" s="4" t="s">
        <v>116</v>
      </c>
      <c r="D273" s="4">
        <v>5</v>
      </c>
      <c r="E273" s="12" t="str">
        <f t="array" ref="E273">IF(D273:D4314="","",IFERROR(_xlfn.XLOOKUP(D273:D4314,'参照_勢力'!A:A,'参照_勢力'!B:B),IFERROR(_xlfn.XLOOKUP(F273:F4314,kunishuClan!A:A,kunishuClan!B:B),"浪人")))</f>
      </c>
      <c r="F273" s="4">
        <v>0</v>
      </c>
      <c r="G273" s="4">
        <v>54</v>
      </c>
      <c r="H273" s="12" t="str">
        <f t="array" ref="H273">IF(G273:G4314="","",_xlfn.XLOOKUP(G273:G4314,castles_state!A:A,castles_state!D:D,"見つかりません"))</f>
      </c>
      <c r="I273" s="4"/>
      <c r="J273" s="12" t="str">
        <f t="array" ref="J273">IF(I273:I4314="","",_xlfn.XLOOKUP(I273:I4314,'参照_姫'!A:A,'参照_姫'!B:B,"見つかりません"))</f>
      </c>
      <c r="K273" s="4">
        <v>95</v>
      </c>
      <c r="L273" s="4">
        <v>0</v>
      </c>
      <c r="M273" s="4"/>
      <c r="N273" s="4"/>
      <c r="O273" s="4"/>
      <c r="P273" s="12" t="str">
        <f t="array" ref="P273">IF(O273:O4314="","",_xlfn.XLOOKUP(O273:O4314,'参照_官位'!A:A,'参照_官位'!B:B,""))</f>
      </c>
      <c r="Q273" s="12" t="str">
        <f t="array" ref="Q273">IF(A273:A4314="","",IFERROR(_xlfn.XLOOKUP(A273:A4314,castles_state!K:K,castles_state!D:D)&amp;"主",IFERROR(_xlfn.XLOOKUP(A273:A4314,kunishuClan!D:D,kunishuClan!B:B)&amp;"当主","")))</f>
      </c>
    </row>
    <row r="274" ht="15.75" customHeight="1">
      <c r="A274" s="4">
        <v>1004024</v>
      </c>
      <c r="B274" s="12" t="str">
        <f t="array" ref="B274">IF(A274:A4315="","",_xlfn.XLOOKUP(A274:A4315,'参照_武将'!A:A,'参照_武将'!B:B,"見つかりません"))</f>
      </c>
      <c r="C274" s="4" t="s">
        <v>116</v>
      </c>
      <c r="D274" s="4">
        <v>5</v>
      </c>
      <c r="E274" s="12" t="str">
        <f t="array" ref="E274">IF(D274:D4315="","",IFERROR(_xlfn.XLOOKUP(D274:D4315,'参照_勢力'!A:A,'参照_勢力'!B:B),IFERROR(_xlfn.XLOOKUP(F274:F4315,kunishuClan!A:A,kunishuClan!B:B),"浪人")))</f>
      </c>
      <c r="F274" s="4">
        <v>0</v>
      </c>
      <c r="G274" s="4">
        <v>54</v>
      </c>
      <c r="H274" s="12" t="str">
        <f t="array" ref="H274">IF(G274:G4315="","",_xlfn.XLOOKUP(G274:G4315,castles_state!A:A,castles_state!D:D,"見つかりません"))</f>
      </c>
      <c r="I274" s="4"/>
      <c r="J274" s="12" t="str">
        <f t="array" ref="J274">IF(I274:I4315="","",_xlfn.XLOOKUP(I274:I4315,'参照_姫'!A:A,'参照_姫'!B:B,"見つかりません"))</f>
      </c>
      <c r="K274" s="4">
        <v>95</v>
      </c>
      <c r="L274" s="4">
        <v>0</v>
      </c>
      <c r="M274" s="4"/>
      <c r="N274" s="4"/>
      <c r="O274" s="4"/>
      <c r="P274" s="12" t="str">
        <f t="array" ref="P274">IF(O274:O4315="","",_xlfn.XLOOKUP(O274:O4315,'参照_官位'!A:A,'参照_官位'!B:B,""))</f>
      </c>
      <c r="Q274" s="12" t="str">
        <f t="array" ref="Q274">IF(A274:A4315="","",IFERROR(_xlfn.XLOOKUP(A274:A4315,castles_state!K:K,castles_state!D:D)&amp;"主",IFERROR(_xlfn.XLOOKUP(A274:A4315,kunishuClan!D:D,kunishuClan!B:B)&amp;"当主","")))</f>
      </c>
    </row>
    <row r="275" ht="15.75" customHeight="1">
      <c r="A275" s="4">
        <v>1004025</v>
      </c>
      <c r="B275" s="12" t="str">
        <f t="array" ref="B275">IF(A275:A4316="","",_xlfn.XLOOKUP(A275:A4316,'参照_武将'!A:A,'参照_武将'!B:B,"見つかりません"))</f>
      </c>
      <c r="C275" s="4" t="s">
        <v>116</v>
      </c>
      <c r="D275" s="4">
        <v>0</v>
      </c>
      <c r="E275" s="12" t="str">
        <f t="array" ref="E275">IF(D275:D4316="","",IFERROR(_xlfn.XLOOKUP(D275:D4316,'参照_勢力'!A:A,'参照_勢力'!B:B),IFERROR(_xlfn.XLOOKUP(F275:F4316,kunishuClan!A:A,kunishuClan!B:B),"浪人")))</f>
      </c>
      <c r="F275" s="4">
        <v>0</v>
      </c>
      <c r="G275" s="4">
        <v>54</v>
      </c>
      <c r="H275" s="12" t="str">
        <f t="array" ref="H275">IF(G275:G4316="","",_xlfn.XLOOKUP(G275:G4316,castles_state!A:A,castles_state!D:D,"見つかりません"))</f>
      </c>
      <c r="I275" s="4"/>
      <c r="J275" s="12" t="str">
        <f t="array" ref="J275">IF(I275:I4316="","",_xlfn.XLOOKUP(I275:I4316,'参照_姫'!A:A,'参照_姫'!B:B,"見つかりません"))</f>
      </c>
      <c r="K275" s="4">
        <v>50</v>
      </c>
      <c r="L275" s="4">
        <v>0</v>
      </c>
      <c r="M275" s="4"/>
      <c r="N275" s="4"/>
      <c r="O275" s="4"/>
      <c r="P275" s="12" t="str">
        <f t="array" ref="P275">IF(O275:O4316="","",_xlfn.XLOOKUP(O275:O4316,'参照_官位'!A:A,'参照_官位'!B:B,""))</f>
      </c>
      <c r="Q275" s="12" t="str">
        <f t="array" ref="Q275">IF(A275:A4316="","",IFERROR(_xlfn.XLOOKUP(A275:A4316,castles_state!K:K,castles_state!D:D)&amp;"主",IFERROR(_xlfn.XLOOKUP(A275:A4316,kunishuClan!D:D,kunishuClan!B:B)&amp;"当主","")))</f>
      </c>
    </row>
    <row r="276" ht="15.75" customHeight="1">
      <c r="A276" s="4">
        <v>1004026</v>
      </c>
      <c r="B276" s="12" t="str">
        <f t="array" ref="B276">IF(A276:A4317="","",_xlfn.XLOOKUP(A276:A4317,'参照_武将'!A:A,'参照_武将'!B:B,"見つかりません"))</f>
      </c>
      <c r="C276" s="4" t="s">
        <v>116</v>
      </c>
      <c r="D276" s="4">
        <v>301</v>
      </c>
      <c r="E276" s="12" t="str">
        <f t="array" ref="E276">IF(D276:D4317="","",IFERROR(_xlfn.XLOOKUP(D276:D4317,'参照_勢力'!A:A,'参照_勢力'!B:B),IFERROR(_xlfn.XLOOKUP(F276:F4317,kunishuClan!A:A,kunishuClan!B:B),"浪人")))</f>
      </c>
      <c r="F276" s="4">
        <v>0</v>
      </c>
      <c r="G276" s="4">
        <v>54</v>
      </c>
      <c r="H276" s="12" t="str">
        <f t="array" ref="H276">IF(G276:G4317="","",_xlfn.XLOOKUP(G276:G4317,castles_state!A:A,castles_state!D:D,"見つかりません"))</f>
      </c>
      <c r="I276" s="4"/>
      <c r="J276" s="12" t="str">
        <f t="array" ref="J276">IF(I276:I4317="","",_xlfn.XLOOKUP(I276:I4317,'参照_姫'!A:A,'参照_姫'!B:B,"見つかりません"))</f>
      </c>
      <c r="K276" s="4">
        <v>90</v>
      </c>
      <c r="L276" s="4">
        <v>0</v>
      </c>
      <c r="M276" s="4"/>
      <c r="N276" s="4"/>
      <c r="O276" s="4"/>
      <c r="P276" s="12" t="str">
        <f t="array" ref="P276">IF(O276:O4317="","",_xlfn.XLOOKUP(O276:O4317,'参照_官位'!A:A,'参照_官位'!B:B,""))</f>
      </c>
      <c r="Q276" s="12" t="str">
        <f t="array" ref="Q276">IF(A276:A4317="","",IFERROR(_xlfn.XLOOKUP(A276:A4317,castles_state!K:K,castles_state!D:D)&amp;"主",IFERROR(_xlfn.XLOOKUP(A276:A4317,kunishuClan!D:D,kunishuClan!B:B)&amp;"当主","")))</f>
      </c>
    </row>
    <row r="277" ht="15.75" customHeight="1">
      <c r="A277" s="4">
        <v>1004027</v>
      </c>
      <c r="B277" s="12" t="str">
        <f t="array" ref="B277">IF(A277:A4318="","",_xlfn.XLOOKUP(A277:A4318,'参照_武将'!A:A,'参照_武将'!B:B,"見つかりません"))</f>
      </c>
      <c r="C277" s="4" t="s">
        <v>116</v>
      </c>
      <c r="D277" s="4">
        <v>301</v>
      </c>
      <c r="E277" s="12" t="str">
        <f t="array" ref="E277">IF(D277:D4318="","",IFERROR(_xlfn.XLOOKUP(D277:D4318,'参照_勢力'!A:A,'参照_勢力'!B:B),IFERROR(_xlfn.XLOOKUP(F277:F4318,kunishuClan!A:A,kunishuClan!B:B),"浪人")))</f>
      </c>
      <c r="F277" s="4">
        <v>0</v>
      </c>
      <c r="G277" s="4">
        <v>12</v>
      </c>
      <c r="H277" s="12" t="str">
        <f t="array" ref="H277">IF(G277:G4318="","",_xlfn.XLOOKUP(G277:G4318,castles_state!A:A,castles_state!D:D,"見つかりません"))</f>
      </c>
      <c r="I277" s="4"/>
      <c r="J277" s="12" t="str">
        <f t="array" ref="J277">IF(I277:I4318="","",_xlfn.XLOOKUP(I277:I4318,'参照_姫'!A:A,'参照_姫'!B:B,"見つかりません"))</f>
      </c>
      <c r="K277" s="4">
        <v>95</v>
      </c>
      <c r="L277" s="4">
        <v>0</v>
      </c>
      <c r="M277" s="4"/>
      <c r="N277" s="4"/>
      <c r="O277" s="4"/>
      <c r="P277" s="12" t="str">
        <f t="array" ref="P277">IF(O277:O4318="","",_xlfn.XLOOKUP(O277:O4318,'参照_官位'!A:A,'参照_官位'!B:B,""))</f>
      </c>
      <c r="Q277" s="12" t="str">
        <f t="array" ref="Q277">IF(A277:A4318="","",IFERROR(_xlfn.XLOOKUP(A277:A4318,castles_state!K:K,castles_state!D:D)&amp;"主",IFERROR(_xlfn.XLOOKUP(A277:A4318,kunishuClan!D:D,kunishuClan!B:B)&amp;"当主","")))</f>
      </c>
    </row>
    <row r="278" ht="15.75" customHeight="1">
      <c r="A278" s="4">
        <v>1004028</v>
      </c>
      <c r="B278" s="12" t="str">
        <f t="array" ref="B278">IF(A278:A4319="","",_xlfn.XLOOKUP(A278:A4319,'参照_武将'!A:A,'参照_武将'!B:B,"見つかりません"))</f>
      </c>
      <c r="C278" s="4" t="s">
        <v>116</v>
      </c>
      <c r="D278" s="4">
        <v>5</v>
      </c>
      <c r="E278" s="12" t="str">
        <f t="array" ref="E278">IF(D278:D4319="","",IFERROR(_xlfn.XLOOKUP(D278:D4319,'参照_勢力'!A:A,'参照_勢力'!B:B),IFERROR(_xlfn.XLOOKUP(F278:F4319,kunishuClan!A:A,kunishuClan!B:B),"浪人")))</f>
      </c>
      <c r="F278" s="4">
        <v>0</v>
      </c>
      <c r="G278" s="4">
        <v>71</v>
      </c>
      <c r="H278" s="12" t="str">
        <f t="array" ref="H278">IF(G278:G4319="","",_xlfn.XLOOKUP(G278:G4319,castles_state!A:A,castles_state!D:D,"見つかりません"))</f>
      </c>
      <c r="I278" s="4"/>
      <c r="J278" s="12" t="str">
        <f t="array" ref="J278">IF(I278:I4319="","",_xlfn.XLOOKUP(I278:I4319,'参照_姫'!A:A,'参照_姫'!B:B,"見つかりません"))</f>
      </c>
      <c r="K278" s="4">
        <v>95</v>
      </c>
      <c r="L278" s="4">
        <v>0</v>
      </c>
      <c r="M278" s="4"/>
      <c r="N278" s="4"/>
      <c r="O278" s="4"/>
      <c r="P278" s="12" t="str">
        <f t="array" ref="P278">IF(O278:O4319="","",_xlfn.XLOOKUP(O278:O4319,'参照_官位'!A:A,'参照_官位'!B:B,""))</f>
      </c>
      <c r="Q278" s="12" t="str">
        <f t="array" ref="Q278">IF(A278:A4319="","",IFERROR(_xlfn.XLOOKUP(A278:A4319,castles_state!K:K,castles_state!D:D)&amp;"主",IFERROR(_xlfn.XLOOKUP(A278:A4319,kunishuClan!D:D,kunishuClan!B:B)&amp;"当主","")))</f>
      </c>
    </row>
    <row r="279" ht="15.75" customHeight="1">
      <c r="A279" s="4">
        <v>1004029</v>
      </c>
      <c r="B279" s="12" t="str">
        <f t="array" ref="B279">IF(A279:A4320="","",_xlfn.XLOOKUP(A279:A4320,'参照_武将'!A:A,'参照_武将'!B:B,"見つかりません"))</f>
      </c>
      <c r="C279" s="4" t="s">
        <v>116</v>
      </c>
      <c r="D279" s="4">
        <v>5</v>
      </c>
      <c r="E279" s="12" t="str">
        <f t="array" ref="E279">IF(D279:D4320="","",IFERROR(_xlfn.XLOOKUP(D279:D4320,'参照_勢力'!A:A,'参照_勢力'!B:B),IFERROR(_xlfn.XLOOKUP(F279:F4320,kunishuClan!A:A,kunishuClan!B:B),"浪人")))</f>
      </c>
      <c r="F279" s="4">
        <v>0</v>
      </c>
      <c r="G279" s="4">
        <v>71</v>
      </c>
      <c r="H279" s="12" t="str">
        <f t="array" ref="H279">IF(G279:G4320="","",_xlfn.XLOOKUP(G279:G4320,castles_state!A:A,castles_state!D:D,"見つかりません"))</f>
      </c>
      <c r="I279" s="4"/>
      <c r="J279" s="12" t="str">
        <f t="array" ref="J279">IF(I279:I4320="","",_xlfn.XLOOKUP(I279:I4320,'参照_姫'!A:A,'参照_姫'!B:B,"見つかりません"))</f>
      </c>
      <c r="K279" s="4">
        <v>95</v>
      </c>
      <c r="L279" s="4">
        <v>0</v>
      </c>
      <c r="M279" s="4"/>
      <c r="N279" s="4"/>
      <c r="O279" s="4"/>
      <c r="P279" s="12" t="str">
        <f t="array" ref="P279">IF(O279:O4320="","",_xlfn.XLOOKUP(O279:O4320,'参照_官位'!A:A,'参照_官位'!B:B,""))</f>
      </c>
      <c r="Q279" s="12" t="str">
        <f t="array" ref="Q279">IF(A279:A4320="","",IFERROR(_xlfn.XLOOKUP(A279:A4320,castles_state!K:K,castles_state!D:D)&amp;"主",IFERROR(_xlfn.XLOOKUP(A279:A4320,kunishuClan!D:D,kunishuClan!B:B)&amp;"当主","")))</f>
      </c>
    </row>
    <row r="280" ht="15.75" customHeight="1">
      <c r="A280" s="4">
        <v>1004030</v>
      </c>
      <c r="B280" s="12" t="str">
        <f t="array" ref="B280">IF(A280:A4321="","",_xlfn.XLOOKUP(A280:A4321,'参照_武将'!A:A,'参照_武将'!B:B,"見つかりません"))</f>
      </c>
      <c r="C280" s="4" t="s">
        <v>116</v>
      </c>
      <c r="D280" s="4">
        <v>4</v>
      </c>
      <c r="E280" s="12" t="str">
        <f t="array" ref="E280">IF(D280:D4321="","",IFERROR(_xlfn.XLOOKUP(D280:D4321,'参照_勢力'!A:A,'参照_勢力'!B:B),IFERROR(_xlfn.XLOOKUP(F280:F4321,kunishuClan!A:A,kunishuClan!B:B),"浪人")))</f>
      </c>
      <c r="F280" s="4">
        <v>0</v>
      </c>
      <c r="G280" s="4">
        <v>14</v>
      </c>
      <c r="H280" s="12" t="str">
        <f t="array" ref="H280">IF(G280:G4321="","",_xlfn.XLOOKUP(G280:G4321,castles_state!A:A,castles_state!D:D,"見つかりません"))</f>
      </c>
      <c r="I280" s="4"/>
      <c r="J280" s="12" t="str">
        <f t="array" ref="J280">IF(I280:I4321="","",_xlfn.XLOOKUP(I280:I4321,'参照_姫'!A:A,'参照_姫'!B:B,"見つかりません"))</f>
      </c>
      <c r="K280" s="4">
        <v>95</v>
      </c>
      <c r="L280" s="4">
        <v>500</v>
      </c>
      <c r="M280" s="4"/>
      <c r="N280" s="4"/>
      <c r="O280" s="4"/>
      <c r="P280" s="12" t="str">
        <f t="array" ref="P280">IF(O280:O4321="","",_xlfn.XLOOKUP(O280:O4321,'参照_官位'!A:A,'参照_官位'!B:B,""))</f>
      </c>
      <c r="Q280" s="12" t="str">
        <f t="array" ref="Q280">IF(A280:A4321="","",IFERROR(_xlfn.XLOOKUP(A280:A4321,castles_state!K:K,castles_state!D:D)&amp;"主",IFERROR(_xlfn.XLOOKUP(A280:A4321,kunishuClan!D:D,kunishuClan!B:B)&amp;"当主","")))</f>
      </c>
    </row>
    <row r="281" ht="15.75" customHeight="1">
      <c r="A281" s="4">
        <v>1004031</v>
      </c>
      <c r="B281" s="12" t="str">
        <f t="array" ref="B281">IF(A281:A4322="","",_xlfn.XLOOKUP(A281:A4322,'参照_武将'!A:A,'参照_武将'!B:B,"見つかりません"))</f>
      </c>
      <c r="C281" s="4" t="s">
        <v>116</v>
      </c>
      <c r="D281" s="4">
        <v>4</v>
      </c>
      <c r="E281" s="12" t="str">
        <f t="array" ref="E281">IF(D281:D4322="","",IFERROR(_xlfn.XLOOKUP(D281:D4322,'参照_勢力'!A:A,'参照_勢力'!B:B),IFERROR(_xlfn.XLOOKUP(F281:F4322,kunishuClan!A:A,kunishuClan!B:B),"浪人")))</f>
      </c>
      <c r="F281" s="4">
        <v>0</v>
      </c>
      <c r="G281" s="4">
        <v>14</v>
      </c>
      <c r="H281" s="12" t="str">
        <f t="array" ref="H281">IF(G281:G4322="","",_xlfn.XLOOKUP(G281:G4322,castles_state!A:A,castles_state!D:D,"見つかりません"))</f>
      </c>
      <c r="I281" s="4"/>
      <c r="J281" s="12" t="str">
        <f t="array" ref="J281">IF(I281:I4322="","",_xlfn.XLOOKUP(I281:I4322,'参照_姫'!A:A,'参照_姫'!B:B,"見つかりません"))</f>
      </c>
      <c r="K281" s="4">
        <v>95</v>
      </c>
      <c r="L281" s="4">
        <v>0</v>
      </c>
      <c r="M281" s="4"/>
      <c r="N281" s="4"/>
      <c r="O281" s="4"/>
      <c r="P281" s="12" t="str">
        <f t="array" ref="P281">IF(O281:O4322="","",_xlfn.XLOOKUP(O281:O4322,'参照_官位'!A:A,'参照_官位'!B:B,""))</f>
      </c>
      <c r="Q281" s="12" t="str">
        <f t="array" ref="Q281">IF(A281:A4322="","",IFERROR(_xlfn.XLOOKUP(A281:A4322,castles_state!K:K,castles_state!D:D)&amp;"主",IFERROR(_xlfn.XLOOKUP(A281:A4322,kunishuClan!D:D,kunishuClan!B:B)&amp;"当主","")))</f>
      </c>
    </row>
    <row r="282" ht="15.75" customHeight="1">
      <c r="A282" s="4">
        <v>1004032</v>
      </c>
      <c r="B282" s="12" t="str">
        <f t="array" ref="B282">IF(A282:A4323="","",_xlfn.XLOOKUP(A282:A4323,'参照_武将'!A:A,'参照_武将'!B:B,"見つかりません"))</f>
      </c>
      <c r="C282" s="4" t="s">
        <v>116</v>
      </c>
      <c r="D282" s="4">
        <v>5</v>
      </c>
      <c r="E282" s="12" t="str">
        <f t="array" ref="E282">IF(D282:D4323="","",IFERROR(_xlfn.XLOOKUP(D282:D4323,'参照_勢力'!A:A,'参照_勢力'!B:B),IFERROR(_xlfn.XLOOKUP(F282:F4323,kunishuClan!A:A,kunishuClan!B:B),"浪人")))</f>
      </c>
      <c r="F282" s="4">
        <v>0</v>
      </c>
      <c r="G282" s="4">
        <v>13</v>
      </c>
      <c r="H282" s="12" t="str">
        <f t="array" ref="H282">IF(G282:G4323="","",_xlfn.XLOOKUP(G282:G4323,castles_state!A:A,castles_state!D:D,"見つかりません"))</f>
      </c>
      <c r="I282" s="4"/>
      <c r="J282" s="12" t="str">
        <f t="array" ref="J282">IF(I282:I4323="","",_xlfn.XLOOKUP(I282:I4323,'参照_姫'!A:A,'参照_姫'!B:B,"見つかりません"))</f>
      </c>
      <c r="K282" s="4">
        <v>95</v>
      </c>
      <c r="L282" s="4">
        <v>0</v>
      </c>
      <c r="M282" s="4"/>
      <c r="N282" s="4"/>
      <c r="O282" s="4"/>
      <c r="P282" s="12" t="str">
        <f t="array" ref="P282">IF(O282:O4323="","",_xlfn.XLOOKUP(O282:O4323,'参照_官位'!A:A,'参照_官位'!B:B,""))</f>
      </c>
      <c r="Q282" s="12" t="str">
        <f t="array" ref="Q282">IF(A282:A4323="","",IFERROR(_xlfn.XLOOKUP(A282:A4323,castles_state!K:K,castles_state!D:D)&amp;"主",IFERROR(_xlfn.XLOOKUP(A282:A4323,kunishuClan!D:D,kunishuClan!B:B)&amp;"当主","")))</f>
      </c>
    </row>
    <row r="283" ht="15.75" customHeight="1">
      <c r="A283" s="4">
        <v>1004033</v>
      </c>
      <c r="B283" s="12" t="str">
        <f t="array" ref="B283">IF(A283:A4324="","",_xlfn.XLOOKUP(A283:A4324,'参照_武将'!A:A,'参照_武将'!B:B,"見つかりません"))</f>
      </c>
      <c r="C283" s="4" t="s">
        <v>116</v>
      </c>
      <c r="D283" s="4">
        <v>5</v>
      </c>
      <c r="E283" s="12" t="str">
        <f t="array" ref="E283">IF(D283:D4324="","",IFERROR(_xlfn.XLOOKUP(D283:D4324,'参照_勢力'!A:A,'参照_勢力'!B:B),IFERROR(_xlfn.XLOOKUP(F283:F4324,kunishuClan!A:A,kunishuClan!B:B),"浪人")))</f>
      </c>
      <c r="F283" s="4">
        <v>0</v>
      </c>
      <c r="G283" s="4">
        <v>13</v>
      </c>
      <c r="H283" s="12" t="str">
        <f t="array" ref="H283">IF(G283:G4324="","",_xlfn.XLOOKUP(G283:G4324,castles_state!A:A,castles_state!D:D,"見つかりません"))</f>
      </c>
      <c r="I283" s="4"/>
      <c r="J283" s="12" t="str">
        <f t="array" ref="J283">IF(I283:I4324="","",_xlfn.XLOOKUP(I283:I4324,'参照_姫'!A:A,'参照_姫'!B:B,"見つかりません"))</f>
      </c>
      <c r="K283" s="4">
        <v>95</v>
      </c>
      <c r="L283" s="4">
        <v>300</v>
      </c>
      <c r="M283" s="4"/>
      <c r="N283" s="4"/>
      <c r="O283" s="4"/>
      <c r="P283" s="12" t="str">
        <f t="array" ref="P283">IF(O283:O4324="","",_xlfn.XLOOKUP(O283:O4324,'参照_官位'!A:A,'参照_官位'!B:B,""))</f>
      </c>
      <c r="Q283" s="12" t="str">
        <f t="array" ref="Q283">IF(A283:A4324="","",IFERROR(_xlfn.XLOOKUP(A283:A4324,castles_state!K:K,castles_state!D:D)&amp;"主",IFERROR(_xlfn.XLOOKUP(A283:A4324,kunishuClan!D:D,kunishuClan!B:B)&amp;"当主","")))</f>
      </c>
    </row>
    <row r="284" ht="15.75" customHeight="1">
      <c r="A284" s="4">
        <v>1004034</v>
      </c>
      <c r="B284" s="12" t="str">
        <f t="array" ref="B284">IF(A284:A4325="","",_xlfn.XLOOKUP(A284:A4325,'参照_武将'!A:A,'参照_武将'!B:B,"見つかりません"))</f>
      </c>
      <c r="C284" s="4" t="s">
        <v>116</v>
      </c>
      <c r="D284" s="4">
        <v>3</v>
      </c>
      <c r="E284" s="12" t="str">
        <f t="array" ref="E284">IF(D284:D4325="","",IFERROR(_xlfn.XLOOKUP(D284:D4325,'参照_勢力'!A:A,'参照_勢力'!B:B),IFERROR(_xlfn.XLOOKUP(F284:F4325,kunishuClan!A:A,kunishuClan!B:B),"浪人")))</f>
      </c>
      <c r="F284" s="4">
        <v>0</v>
      </c>
      <c r="G284" s="4">
        <v>13</v>
      </c>
      <c r="H284" s="12" t="str">
        <f t="array" ref="H284">IF(G284:G4325="","",_xlfn.XLOOKUP(G284:G4325,castles_state!A:A,castles_state!D:D,"見つかりません"))</f>
      </c>
      <c r="I284" s="4"/>
      <c r="J284" s="12" t="str">
        <f t="array" ref="J284">IF(I284:I4325="","",_xlfn.XLOOKUP(I284:I4325,'参照_姫'!A:A,'参照_姫'!B:B,"見つかりません"))</f>
      </c>
      <c r="K284" s="4">
        <v>95</v>
      </c>
      <c r="L284" s="4">
        <v>0</v>
      </c>
      <c r="M284" s="4"/>
      <c r="N284" s="4"/>
      <c r="O284" s="4"/>
      <c r="P284" s="12" t="str">
        <f t="array" ref="P284">IF(O284:O4325="","",_xlfn.XLOOKUP(O284:O4325,'参照_官位'!A:A,'参照_官位'!B:B,""))</f>
      </c>
      <c r="Q284" s="12" t="str">
        <f t="array" ref="Q284">IF(A284:A4325="","",IFERROR(_xlfn.XLOOKUP(A284:A4325,castles_state!K:K,castles_state!D:D)&amp;"主",IFERROR(_xlfn.XLOOKUP(A284:A4325,kunishuClan!D:D,kunishuClan!B:B)&amp;"当主","")))</f>
      </c>
    </row>
    <row r="285" ht="15.75" customHeight="1">
      <c r="A285" s="4">
        <v>1004035</v>
      </c>
      <c r="B285" s="12" t="str">
        <f t="array" ref="B285">IF(A285:A4326="","",_xlfn.XLOOKUP(A285:A4326,'参照_武将'!A:A,'参照_武将'!B:B,"見つかりません"))</f>
      </c>
      <c r="C285" s="4" t="s">
        <v>116</v>
      </c>
      <c r="D285" s="4">
        <v>3</v>
      </c>
      <c r="E285" s="12" t="str">
        <f t="array" ref="E285">IF(D285:D4326="","",IFERROR(_xlfn.XLOOKUP(D285:D4326,'参照_勢力'!A:A,'参照_勢力'!B:B),IFERROR(_xlfn.XLOOKUP(F285:F4326,kunishuClan!A:A,kunishuClan!B:B),"浪人")))</f>
      </c>
      <c r="F285" s="4">
        <v>0</v>
      </c>
      <c r="G285" s="4">
        <v>13</v>
      </c>
      <c r="H285" s="12" t="str">
        <f t="array" ref="H285">IF(G285:G4326="","",_xlfn.XLOOKUP(G285:G4326,castles_state!A:A,castles_state!D:D,"見つかりません"))</f>
      </c>
      <c r="I285" s="4"/>
      <c r="J285" s="12" t="str">
        <f t="array" ref="J285">IF(I285:I4326="","",_xlfn.XLOOKUP(I285:I4326,'参照_姫'!A:A,'参照_姫'!B:B,"見つかりません"))</f>
      </c>
      <c r="K285" s="4">
        <v>95</v>
      </c>
      <c r="L285" s="4">
        <v>0</v>
      </c>
      <c r="M285" s="4"/>
      <c r="N285" s="4"/>
      <c r="O285" s="4"/>
      <c r="P285" s="12" t="str">
        <f t="array" ref="P285">IF(O285:O4326="","",_xlfn.XLOOKUP(O285:O4326,'参照_官位'!A:A,'参照_官位'!B:B,""))</f>
      </c>
      <c r="Q285" s="12" t="str">
        <f t="array" ref="Q285">IF(A285:A4326="","",IFERROR(_xlfn.XLOOKUP(A285:A4326,castles_state!K:K,castles_state!D:D)&amp;"主",IFERROR(_xlfn.XLOOKUP(A285:A4326,kunishuClan!D:D,kunishuClan!B:B)&amp;"当主","")))</f>
      </c>
    </row>
    <row r="286" ht="15.75" customHeight="1">
      <c r="A286" s="4">
        <v>1004036</v>
      </c>
      <c r="B286" s="12" t="str">
        <f t="array" ref="B286">IF(A286:A4327="","",_xlfn.XLOOKUP(A286:A4327,'参照_武将'!A:A,'参照_武将'!B:B,"見つかりません"))</f>
      </c>
      <c r="C286" s="4" t="s">
        <v>116</v>
      </c>
      <c r="D286" s="4">
        <v>0</v>
      </c>
      <c r="E286" s="12" t="str">
        <f t="array" ref="E286">IF(D286:D4327="","",IFERROR(_xlfn.XLOOKUP(D286:D4327,'参照_勢力'!A:A,'参照_勢力'!B:B),IFERROR(_xlfn.XLOOKUP(F286:F4327,kunishuClan!A:A,kunishuClan!B:B),"浪人")))</f>
      </c>
      <c r="F286" s="4">
        <v>0</v>
      </c>
      <c r="G286" s="4">
        <v>13</v>
      </c>
      <c r="H286" s="12" t="str">
        <f t="array" ref="H286">IF(G286:G4327="","",_xlfn.XLOOKUP(G286:G4327,castles_state!A:A,castles_state!D:D,"見つかりません"))</f>
      </c>
      <c r="I286" s="4"/>
      <c r="J286" s="12" t="str">
        <f t="array" ref="J286">IF(I286:I4327="","",_xlfn.XLOOKUP(I286:I4327,'参照_姫'!A:A,'参照_姫'!B:B,"見つかりません"))</f>
      </c>
      <c r="K286" s="4">
        <v>50</v>
      </c>
      <c r="L286" s="4">
        <v>0</v>
      </c>
      <c r="M286" s="4"/>
      <c r="N286" s="4"/>
      <c r="O286" s="4"/>
      <c r="P286" s="12" t="str">
        <f t="array" ref="P286">IF(O286:O4327="","",_xlfn.XLOOKUP(O286:O4327,'参照_官位'!A:A,'参照_官位'!B:B,""))</f>
      </c>
      <c r="Q286" s="12" t="str">
        <f t="array" ref="Q286">IF(A286:A4327="","",IFERROR(_xlfn.XLOOKUP(A286:A4327,castles_state!K:K,castles_state!D:D)&amp;"主",IFERROR(_xlfn.XLOOKUP(A286:A4327,kunishuClan!D:D,kunishuClan!B:B)&amp;"当主","")))</f>
      </c>
    </row>
    <row r="287" ht="15.75" customHeight="1">
      <c r="A287" s="4">
        <v>1004037</v>
      </c>
      <c r="B287" s="12" t="str">
        <f t="array" ref="B287">IF(A287:A4328="","",_xlfn.XLOOKUP(A287:A4328,'参照_武将'!A:A,'参照_武将'!B:B,"見つかりません"))</f>
      </c>
      <c r="C287" s="4" t="s">
        <v>116</v>
      </c>
      <c r="D287" s="4">
        <v>0</v>
      </c>
      <c r="E287" s="12" t="str">
        <f t="array" ref="E287">IF(D287:D4328="","",IFERROR(_xlfn.XLOOKUP(D287:D4328,'参照_勢力'!A:A,'参照_勢力'!B:B),IFERROR(_xlfn.XLOOKUP(F287:F4328,kunishuClan!A:A,kunishuClan!B:B),"浪人")))</f>
      </c>
      <c r="F287" s="4">
        <v>0</v>
      </c>
      <c r="G287" s="4">
        <v>13</v>
      </c>
      <c r="H287" s="12" t="str">
        <f t="array" ref="H287">IF(G287:G4328="","",_xlfn.XLOOKUP(G287:G4328,castles_state!A:A,castles_state!D:D,"見つかりません"))</f>
      </c>
      <c r="I287" s="4"/>
      <c r="J287" s="12" t="str">
        <f t="array" ref="J287">IF(I287:I4328="","",_xlfn.XLOOKUP(I287:I4328,'参照_姫'!A:A,'参照_姫'!B:B,"見つかりません"))</f>
      </c>
      <c r="K287" s="4">
        <v>50</v>
      </c>
      <c r="L287" s="4">
        <v>0</v>
      </c>
      <c r="M287" s="4"/>
      <c r="N287" s="4"/>
      <c r="O287" s="4"/>
      <c r="P287" s="12" t="str">
        <f t="array" ref="P287">IF(O287:O4328="","",_xlfn.XLOOKUP(O287:O4328,'参照_官位'!A:A,'参照_官位'!B:B,""))</f>
      </c>
      <c r="Q287" s="12" t="str">
        <f t="array" ref="Q287">IF(A287:A4328="","",IFERROR(_xlfn.XLOOKUP(A287:A4328,castles_state!K:K,castles_state!D:D)&amp;"主",IFERROR(_xlfn.XLOOKUP(A287:A4328,kunishuClan!D:D,kunishuClan!B:B)&amp;"当主","")))</f>
      </c>
    </row>
    <row r="288" ht="15.75" customHeight="1">
      <c r="A288" s="4">
        <v>1004038</v>
      </c>
      <c r="B288" s="12" t="str">
        <f t="array" ref="B288">IF(A288:A4329="","",_xlfn.XLOOKUP(A288:A4329,'参照_武将'!A:A,'参照_武将'!B:B,"見つかりません"))</f>
      </c>
      <c r="C288" s="4" t="s">
        <v>116</v>
      </c>
      <c r="D288" s="4">
        <v>301</v>
      </c>
      <c r="E288" s="12" t="str">
        <f t="array" ref="E288">IF(D288:D4329="","",IFERROR(_xlfn.XLOOKUP(D288:D4329,'参照_勢力'!A:A,'参照_勢力'!B:B),IFERROR(_xlfn.XLOOKUP(F288:F4329,kunishuClan!A:A,kunishuClan!B:B),"浪人")))</f>
      </c>
      <c r="F288" s="4">
        <v>0</v>
      </c>
      <c r="G288" s="4">
        <v>54</v>
      </c>
      <c r="H288" s="12" t="str">
        <f t="array" ref="H288">IF(G288:G4329="","",_xlfn.XLOOKUP(G288:G4329,castles_state!A:A,castles_state!D:D,"見つかりません"))</f>
      </c>
      <c r="I288" s="4"/>
      <c r="J288" s="12" t="str">
        <f t="array" ref="J288">IF(I288:I4329="","",_xlfn.XLOOKUP(I288:I4329,'参照_姫'!A:A,'参照_姫'!B:B,"見つかりません"))</f>
      </c>
      <c r="K288" s="4">
        <v>95</v>
      </c>
      <c r="L288" s="4">
        <v>300</v>
      </c>
      <c r="M288" s="4"/>
      <c r="N288" s="4"/>
      <c r="O288" s="4"/>
      <c r="P288" s="12" t="str">
        <f t="array" ref="P288">IF(O288:O4329="","",_xlfn.XLOOKUP(O288:O4329,'参照_官位'!A:A,'参照_官位'!B:B,""))</f>
      </c>
      <c r="Q288" s="12" t="str">
        <f t="array" ref="Q288">IF(A288:A4329="","",IFERROR(_xlfn.XLOOKUP(A288:A4329,castles_state!K:K,castles_state!D:D)&amp;"主",IFERROR(_xlfn.XLOOKUP(A288:A4329,kunishuClan!D:D,kunishuClan!B:B)&amp;"当主","")))</f>
      </c>
    </row>
    <row r="289" ht="15.75" customHeight="1">
      <c r="A289" s="4">
        <v>1004039</v>
      </c>
      <c r="B289" s="12" t="str">
        <f t="array" ref="B289">IF(A289:A4330="","",_xlfn.XLOOKUP(A289:A4330,'参照_武将'!A:A,'参照_武将'!B:B,"見つかりません"))</f>
      </c>
      <c r="C289" s="4" t="s">
        <v>116</v>
      </c>
      <c r="D289" s="4">
        <v>301</v>
      </c>
      <c r="E289" s="12" t="str">
        <f t="array" ref="E289">IF(D289:D4330="","",IFERROR(_xlfn.XLOOKUP(D289:D4330,'参照_勢力'!A:A,'参照_勢力'!B:B),IFERROR(_xlfn.XLOOKUP(F289:F4330,kunishuClan!A:A,kunishuClan!B:B),"浪人")))</f>
      </c>
      <c r="F289" s="4">
        <v>0</v>
      </c>
      <c r="G289" s="4">
        <v>12</v>
      </c>
      <c r="H289" s="12" t="str">
        <f t="array" ref="H289">IF(G289:G4330="","",_xlfn.XLOOKUP(G289:G4330,castles_state!A:A,castles_state!D:D,"見つかりません"))</f>
      </c>
      <c r="I289" s="4"/>
      <c r="J289" s="12" t="str">
        <f t="array" ref="J289">IF(I289:I4330="","",_xlfn.XLOOKUP(I289:I4330,'参照_姫'!A:A,'参照_姫'!B:B,"見つかりません"))</f>
      </c>
      <c r="K289" s="4">
        <v>90</v>
      </c>
      <c r="L289" s="4">
        <v>300</v>
      </c>
      <c r="M289" s="4"/>
      <c r="N289" s="4"/>
      <c r="O289" s="4"/>
      <c r="P289" s="12" t="str">
        <f t="array" ref="P289">IF(O289:O4330="","",_xlfn.XLOOKUP(O289:O4330,'参照_官位'!A:A,'参照_官位'!B:B,""))</f>
      </c>
      <c r="Q289" s="12" t="str">
        <f t="array" ref="Q289">IF(A289:A4330="","",IFERROR(_xlfn.XLOOKUP(A289:A4330,castles_state!K:K,castles_state!D:D)&amp;"主",IFERROR(_xlfn.XLOOKUP(A289:A4330,kunishuClan!D:D,kunishuClan!B:B)&amp;"当主","")))</f>
      </c>
    </row>
    <row r="290" ht="15.75" customHeight="1">
      <c r="A290" s="4">
        <v>1004040</v>
      </c>
      <c r="B290" s="12" t="str">
        <f t="array" ref="B290">IF(A290:A4331="","",_xlfn.XLOOKUP(A290:A4331,'参照_武将'!A:A,'参照_武将'!B:B,"見つかりません"))</f>
      </c>
      <c r="C290" s="4" t="s">
        <v>116</v>
      </c>
      <c r="D290" s="4">
        <v>3</v>
      </c>
      <c r="E290" s="12" t="str">
        <f t="array" ref="E290">IF(D290:D4331="","",IFERROR(_xlfn.XLOOKUP(D290:D4331,'参照_勢力'!A:A,'参照_勢力'!B:B),IFERROR(_xlfn.XLOOKUP(F290:F4331,kunishuClan!A:A,kunishuClan!B:B),"浪人")))</f>
      </c>
      <c r="F290" s="4">
        <v>0</v>
      </c>
      <c r="G290" s="4">
        <v>13</v>
      </c>
      <c r="H290" s="12" t="str">
        <f t="array" ref="H290">IF(G290:G4331="","",_xlfn.XLOOKUP(G290:G4331,castles_state!A:A,castles_state!D:D,"見つかりません"))</f>
      </c>
      <c r="I290" s="4"/>
      <c r="J290" s="12" t="str">
        <f t="array" ref="J290">IF(I290:I4331="","",_xlfn.XLOOKUP(I290:I4331,'参照_姫'!A:A,'参照_姫'!B:B,"見つかりません"))</f>
      </c>
      <c r="K290" s="4">
        <v>95</v>
      </c>
      <c r="L290" s="4">
        <v>0</v>
      </c>
      <c r="M290" s="4"/>
      <c r="N290" s="4"/>
      <c r="O290" s="4"/>
      <c r="P290" s="12" t="str">
        <f t="array" ref="P290">IF(O290:O4331="","",_xlfn.XLOOKUP(O290:O4331,'参照_官位'!A:A,'参照_官位'!B:B,""))</f>
      </c>
      <c r="Q290" s="12" t="str">
        <f t="array" ref="Q290">IF(A290:A4331="","",IFERROR(_xlfn.XLOOKUP(A290:A4331,castles_state!K:K,castles_state!D:D)&amp;"主",IFERROR(_xlfn.XLOOKUP(A290:A4331,kunishuClan!D:D,kunishuClan!B:B)&amp;"当主","")))</f>
      </c>
    </row>
    <row r="291" ht="15.75" customHeight="1">
      <c r="A291" s="4">
        <v>1004041</v>
      </c>
      <c r="B291" s="12" t="str">
        <f t="array" ref="B291">IF(A291:A4332="","",_xlfn.XLOOKUP(A291:A4332,'参照_武将'!A:A,'参照_武将'!B:B,"見つかりません"))</f>
      </c>
      <c r="C291" s="4" t="s">
        <v>116</v>
      </c>
      <c r="D291" s="4">
        <v>5</v>
      </c>
      <c r="E291" s="12" t="str">
        <f t="array" ref="E291">IF(D291:D4332="","",IFERROR(_xlfn.XLOOKUP(D291:D4332,'参照_勢力'!A:A,'参照_勢力'!B:B),IFERROR(_xlfn.XLOOKUP(F291:F4332,kunishuClan!A:A,kunishuClan!B:B),"浪人")))</f>
      </c>
      <c r="F291" s="4">
        <v>0</v>
      </c>
      <c r="G291" s="4">
        <v>12</v>
      </c>
      <c r="H291" s="12" t="str">
        <f t="array" ref="H291">IF(G291:G4332="","",_xlfn.XLOOKUP(G291:G4332,castles_state!A:A,castles_state!D:D,"見つかりません"))</f>
      </c>
      <c r="I291" s="4"/>
      <c r="J291" s="12" t="str">
        <f t="array" ref="J291">IF(I291:I4332="","",_xlfn.XLOOKUP(I291:I4332,'参照_姫'!A:A,'参照_姫'!B:B,"見つかりません"))</f>
      </c>
      <c r="K291" s="4">
        <v>95</v>
      </c>
      <c r="L291" s="4">
        <v>0</v>
      </c>
      <c r="M291" s="4"/>
      <c r="N291" s="4" t="b">
        <v>1</v>
      </c>
      <c r="O291" s="4"/>
      <c r="P291" s="12" t="str">
        <f t="array" ref="P291">IF(O291:O4332="","",_xlfn.XLOOKUP(O291:O4332,'参照_官位'!A:A,'参照_官位'!B:B,""))</f>
      </c>
      <c r="Q291" s="12" t="str">
        <f t="array" ref="Q291">IF(A291:A4332="","",IFERROR(_xlfn.XLOOKUP(A291:A4332,castles_state!K:K,castles_state!D:D)&amp;"主",IFERROR(_xlfn.XLOOKUP(A291:A4332,kunishuClan!D:D,kunishuClan!B:B)&amp;"当主","")))</f>
      </c>
    </row>
    <row r="292" ht="15.75" customHeight="1">
      <c r="A292" s="4">
        <v>1004042</v>
      </c>
      <c r="B292" s="12" t="str">
        <f t="array" ref="B292">IF(A292:A4333="","",_xlfn.XLOOKUP(A292:A4333,'参照_武将'!A:A,'参照_武将'!B:B,"見つかりません"))</f>
      </c>
      <c r="C292" s="4" t="s">
        <v>116</v>
      </c>
      <c r="D292" s="4">
        <v>5</v>
      </c>
      <c r="E292" s="12" t="str">
        <f t="array" ref="E292">IF(D292:D4333="","",IFERROR(_xlfn.XLOOKUP(D292:D4333,'参照_勢力'!A:A,'参照_勢力'!B:B),IFERROR(_xlfn.XLOOKUP(F292:F4333,kunishuClan!A:A,kunishuClan!B:B),"浪人")))</f>
      </c>
      <c r="F292" s="4">
        <v>0</v>
      </c>
      <c r="G292" s="4">
        <v>12</v>
      </c>
      <c r="H292" s="12" t="str">
        <f t="array" ref="H292">IF(G292:G4333="","",_xlfn.XLOOKUP(G292:G4333,castles_state!A:A,castles_state!D:D,"見つかりません"))</f>
      </c>
      <c r="I292" s="4"/>
      <c r="J292" s="12" t="str">
        <f t="array" ref="J292">IF(I292:I4333="","",_xlfn.XLOOKUP(I292:I4333,'参照_姫'!A:A,'参照_姫'!B:B,"見つかりません"))</f>
      </c>
      <c r="K292" s="4">
        <v>95</v>
      </c>
      <c r="L292" s="4">
        <v>300</v>
      </c>
      <c r="M292" s="4"/>
      <c r="N292" s="4"/>
      <c r="O292" s="4"/>
      <c r="P292" s="12" t="str">
        <f t="array" ref="P292">IF(O292:O4333="","",_xlfn.XLOOKUP(O292:O4333,'参照_官位'!A:A,'参照_官位'!B:B,""))</f>
      </c>
      <c r="Q292" s="12" t="str">
        <f t="array" ref="Q292">IF(A292:A4333="","",IFERROR(_xlfn.XLOOKUP(A292:A4333,castles_state!K:K,castles_state!D:D)&amp;"主",IFERROR(_xlfn.XLOOKUP(A292:A4333,kunishuClan!D:D,kunishuClan!B:B)&amp;"当主","")))</f>
      </c>
    </row>
    <row r="293" ht="15.75" customHeight="1">
      <c r="A293" s="4">
        <v>1004043</v>
      </c>
      <c r="B293" s="12" t="str">
        <f t="array" ref="B293">IF(A293:A4334="","",_xlfn.XLOOKUP(A293:A4334,'参照_武将'!A:A,'参照_武将'!B:B,"見つかりません"))</f>
      </c>
      <c r="C293" s="4" t="s">
        <v>116</v>
      </c>
      <c r="D293" s="4">
        <v>5</v>
      </c>
      <c r="E293" s="12" t="str">
        <f t="array" ref="E293">IF(D293:D4334="","",IFERROR(_xlfn.XLOOKUP(D293:D4334,'参照_勢力'!A:A,'参照_勢力'!B:B),IFERROR(_xlfn.XLOOKUP(F293:F4334,kunishuClan!A:A,kunishuClan!B:B),"浪人")))</f>
      </c>
      <c r="F293" s="4">
        <v>0</v>
      </c>
      <c r="G293" s="4">
        <v>13</v>
      </c>
      <c r="H293" s="12" t="str">
        <f t="array" ref="H293">IF(G293:G4334="","",_xlfn.XLOOKUP(G293:G4334,castles_state!A:A,castles_state!D:D,"見つかりません"))</f>
      </c>
      <c r="I293" s="4"/>
      <c r="J293" s="12" t="str">
        <f t="array" ref="J293">IF(I293:I4334="","",_xlfn.XLOOKUP(I293:I4334,'参照_姫'!A:A,'参照_姫'!B:B,"見つかりません"))</f>
      </c>
      <c r="K293" s="4">
        <v>95</v>
      </c>
      <c r="L293" s="4">
        <v>0</v>
      </c>
      <c r="M293" s="4"/>
      <c r="N293" s="4"/>
      <c r="O293" s="4"/>
      <c r="P293" s="12" t="str">
        <f t="array" ref="P293">IF(O293:O4334="","",_xlfn.XLOOKUP(O293:O4334,'参照_官位'!A:A,'参照_官位'!B:B,""))</f>
      </c>
      <c r="Q293" s="12" t="str">
        <f t="array" ref="Q293">IF(A293:A4334="","",IFERROR(_xlfn.XLOOKUP(A293:A4334,castles_state!K:K,castles_state!D:D)&amp;"主",IFERROR(_xlfn.XLOOKUP(A293:A4334,kunishuClan!D:D,kunishuClan!B:B)&amp;"当主","")))</f>
      </c>
    </row>
    <row r="294" ht="15.75" customHeight="1">
      <c r="A294" s="4">
        <v>1004044</v>
      </c>
      <c r="B294" s="12" t="str">
        <f t="array" ref="B294">IF(A294:A4335="","",_xlfn.XLOOKUP(A294:A4335,'参照_武将'!A:A,'参照_武将'!B:B,"見つかりません"))</f>
      </c>
      <c r="C294" s="4" t="s">
        <v>116</v>
      </c>
      <c r="D294" s="4">
        <v>5</v>
      </c>
      <c r="E294" s="12" t="str">
        <f t="array" ref="E294">IF(D294:D4335="","",IFERROR(_xlfn.XLOOKUP(D294:D4335,'参照_勢力'!A:A,'参照_勢力'!B:B),IFERROR(_xlfn.XLOOKUP(F294:F4335,kunishuClan!A:A,kunishuClan!B:B),"浪人")))</f>
      </c>
      <c r="F294" s="4">
        <v>0</v>
      </c>
      <c r="G294" s="4">
        <v>13</v>
      </c>
      <c r="H294" s="12" t="str">
        <f t="array" ref="H294">IF(G294:G4335="","",_xlfn.XLOOKUP(G294:G4335,castles_state!A:A,castles_state!D:D,"見つかりません"))</f>
      </c>
      <c r="I294" s="4"/>
      <c r="J294" s="12" t="str">
        <f t="array" ref="J294">IF(I294:I4335="","",_xlfn.XLOOKUP(I294:I4335,'参照_姫'!A:A,'参照_姫'!B:B,"見つかりません"))</f>
      </c>
      <c r="K294" s="4">
        <v>95</v>
      </c>
      <c r="L294" s="4">
        <v>500</v>
      </c>
      <c r="M294" s="4"/>
      <c r="N294" s="4"/>
      <c r="O294" s="4"/>
      <c r="P294" s="12" t="str">
        <f t="array" ref="P294">IF(O294:O4335="","",_xlfn.XLOOKUP(O294:O4335,'参照_官位'!A:A,'参照_官位'!B:B,""))</f>
      </c>
      <c r="Q294" s="12" t="str">
        <f t="array" ref="Q294">IF(A294:A4335="","",IFERROR(_xlfn.XLOOKUP(A294:A4335,castles_state!K:K,castles_state!D:D)&amp;"主",IFERROR(_xlfn.XLOOKUP(A294:A4335,kunishuClan!D:D,kunishuClan!B:B)&amp;"当主","")))</f>
      </c>
    </row>
    <row r="295" ht="15.75" customHeight="1">
      <c r="A295" s="4">
        <v>1004045</v>
      </c>
      <c r="B295" s="12" t="str">
        <f t="array" ref="B295">IF(A295:A4336="","",_xlfn.XLOOKUP(A295:A4336,'参照_武将'!A:A,'参照_武将'!B:B,"見つかりません"))</f>
      </c>
      <c r="C295" s="4" t="s">
        <v>116</v>
      </c>
      <c r="D295" s="4">
        <v>301</v>
      </c>
      <c r="E295" s="12" t="str">
        <f t="array" ref="E295">IF(D295:D4336="","",IFERROR(_xlfn.XLOOKUP(D295:D4336,'参照_勢力'!A:A,'参照_勢力'!B:B),IFERROR(_xlfn.XLOOKUP(F295:F4336,kunishuClan!A:A,kunishuClan!B:B),"浪人")))</f>
      </c>
      <c r="F295" s="4">
        <v>0</v>
      </c>
      <c r="G295" s="4">
        <v>12</v>
      </c>
      <c r="H295" s="12" t="str">
        <f t="array" ref="H295">IF(G295:G4336="","",_xlfn.XLOOKUP(G295:G4336,castles_state!A:A,castles_state!D:D,"見つかりません"))</f>
      </c>
      <c r="I295" s="4"/>
      <c r="J295" s="12" t="str">
        <f t="array" ref="J295">IF(I295:I4336="","",_xlfn.XLOOKUP(I295:I4336,'参照_姫'!A:A,'参照_姫'!B:B,"見つかりません"))</f>
      </c>
      <c r="K295" s="4">
        <v>95</v>
      </c>
      <c r="L295" s="4">
        <v>0</v>
      </c>
      <c r="M295" s="4"/>
      <c r="N295" s="4"/>
      <c r="O295" s="4"/>
      <c r="P295" s="12" t="str">
        <f t="array" ref="P295">IF(O295:O4336="","",_xlfn.XLOOKUP(O295:O4336,'参照_官位'!A:A,'参照_官位'!B:B,""))</f>
      </c>
      <c r="Q295" s="12" t="str">
        <f t="array" ref="Q295">IF(A295:A4336="","",IFERROR(_xlfn.XLOOKUP(A295:A4336,castles_state!K:K,castles_state!D:D)&amp;"主",IFERROR(_xlfn.XLOOKUP(A295:A4336,kunishuClan!D:D,kunishuClan!B:B)&amp;"当主","")))</f>
      </c>
    </row>
    <row r="296" ht="15.75" customHeight="1">
      <c r="A296" s="4">
        <v>1004046</v>
      </c>
      <c r="B296" s="12" t="str">
        <f t="array" ref="B296">IF(A296:A4337="","",_xlfn.XLOOKUP(A296:A4337,'参照_武将'!A:A,'参照_武将'!B:B,"見つかりません"))</f>
      </c>
      <c r="C296" s="4" t="s">
        <v>116</v>
      </c>
      <c r="D296" s="4">
        <v>301</v>
      </c>
      <c r="E296" s="12" t="str">
        <f t="array" ref="E296">IF(D296:D4337="","",IFERROR(_xlfn.XLOOKUP(D296:D4337,'参照_勢力'!A:A,'参照_勢力'!B:B),IFERROR(_xlfn.XLOOKUP(F296:F4337,kunishuClan!A:A,kunishuClan!B:B),"浪人")))</f>
      </c>
      <c r="F296" s="4">
        <v>0</v>
      </c>
      <c r="G296" s="4">
        <v>71</v>
      </c>
      <c r="H296" s="12" t="str">
        <f t="array" ref="H296">IF(G296:G4337="","",_xlfn.XLOOKUP(G296:G4337,castles_state!A:A,castles_state!D:D,"見つかりません"))</f>
      </c>
      <c r="I296" s="4"/>
      <c r="J296" s="12" t="str">
        <f t="array" ref="J296">IF(I296:I4337="","",_xlfn.XLOOKUP(I296:I4337,'参照_姫'!A:A,'参照_姫'!B:B,"見つかりません"))</f>
      </c>
      <c r="K296" s="4">
        <v>95</v>
      </c>
      <c r="L296" s="4">
        <v>0</v>
      </c>
      <c r="M296" s="4"/>
      <c r="N296" s="4"/>
      <c r="O296" s="4"/>
      <c r="P296" s="12" t="str">
        <f t="array" ref="P296">IF(O296:O4337="","",_xlfn.XLOOKUP(O296:O4337,'参照_官位'!A:A,'参照_官位'!B:B,""))</f>
      </c>
      <c r="Q296" s="12" t="str">
        <f t="array" ref="Q296">IF(A296:A4337="","",IFERROR(_xlfn.XLOOKUP(A296:A4337,castles_state!K:K,castles_state!D:D)&amp;"主",IFERROR(_xlfn.XLOOKUP(A296:A4337,kunishuClan!D:D,kunishuClan!B:B)&amp;"当主","")))</f>
      </c>
    </row>
    <row r="297" ht="15.75" customHeight="1">
      <c r="A297" s="4">
        <v>1004047</v>
      </c>
      <c r="B297" s="12" t="str">
        <f t="array" ref="B297">IF(A297:A4338="","",_xlfn.XLOOKUP(A297:A4338,'参照_武将'!A:A,'参照_武将'!B:B,"見つかりません"))</f>
      </c>
      <c r="C297" s="4" t="s">
        <v>116</v>
      </c>
      <c r="D297" s="4">
        <v>5</v>
      </c>
      <c r="E297" s="12" t="str">
        <f t="array" ref="E297">IF(D297:D4338="","",IFERROR(_xlfn.XLOOKUP(D297:D4338,'参照_勢力'!A:A,'参照_勢力'!B:B),IFERROR(_xlfn.XLOOKUP(F297:F4338,kunishuClan!A:A,kunishuClan!B:B),"浪人")))</f>
      </c>
      <c r="F297" s="4">
        <v>0</v>
      </c>
      <c r="G297" s="4">
        <v>71</v>
      </c>
      <c r="H297" s="12" t="str">
        <f t="array" ref="H297">IF(G297:G4338="","",_xlfn.XLOOKUP(G297:G4338,castles_state!A:A,castles_state!D:D,"見つかりません"))</f>
      </c>
      <c r="I297" s="4"/>
      <c r="J297" s="12" t="str">
        <f t="array" ref="J297">IF(I297:I4338="","",_xlfn.XLOOKUP(I297:I4338,'参照_姫'!A:A,'参照_姫'!B:B,"見つかりません"))</f>
      </c>
      <c r="K297" s="4">
        <v>95</v>
      </c>
      <c r="L297" s="4">
        <v>0</v>
      </c>
      <c r="M297" s="4"/>
      <c r="N297" s="4"/>
      <c r="O297" s="4"/>
      <c r="P297" s="12" t="str">
        <f t="array" ref="P297">IF(O297:O4338="","",_xlfn.XLOOKUP(O297:O4338,'参照_官位'!A:A,'参照_官位'!B:B,""))</f>
      </c>
      <c r="Q297" s="12" t="str">
        <f t="array" ref="Q297">IF(A297:A4338="","",IFERROR(_xlfn.XLOOKUP(A297:A4338,castles_state!K:K,castles_state!D:D)&amp;"主",IFERROR(_xlfn.XLOOKUP(A297:A4338,kunishuClan!D:D,kunishuClan!B:B)&amp;"当主","")))</f>
      </c>
    </row>
    <row r="298" ht="15.75" customHeight="1">
      <c r="A298" s="4">
        <v>1004048</v>
      </c>
      <c r="B298" s="12" t="str">
        <f t="array" ref="B298">IF(A298:A4339="","",_xlfn.XLOOKUP(A298:A4339,'参照_武将'!A:A,'参照_武将'!B:B,"見つかりません"))</f>
      </c>
      <c r="C298" s="4" t="s">
        <v>116</v>
      </c>
      <c r="D298" s="4">
        <v>301</v>
      </c>
      <c r="E298" s="12" t="str">
        <f t="array" ref="E298">IF(D298:D4339="","",IFERROR(_xlfn.XLOOKUP(D298:D4339,'参照_勢力'!A:A,'参照_勢力'!B:B),IFERROR(_xlfn.XLOOKUP(F298:F4339,kunishuClan!A:A,kunishuClan!B:B),"浪人")))</f>
      </c>
      <c r="F298" s="4">
        <v>0</v>
      </c>
      <c r="G298" s="4">
        <v>71</v>
      </c>
      <c r="H298" s="12" t="str">
        <f t="array" ref="H298">IF(G298:G4339="","",_xlfn.XLOOKUP(G298:G4339,castles_state!A:A,castles_state!D:D,"見つかりません"))</f>
      </c>
      <c r="I298" s="4"/>
      <c r="J298" s="12" t="str">
        <f t="array" ref="J298">IF(I298:I4339="","",_xlfn.XLOOKUP(I298:I4339,'参照_姫'!A:A,'参照_姫'!B:B,"見つかりません"))</f>
      </c>
      <c r="K298" s="4">
        <v>95</v>
      </c>
      <c r="L298" s="4">
        <v>500</v>
      </c>
      <c r="M298" s="4"/>
      <c r="N298" s="4"/>
      <c r="O298" s="4"/>
      <c r="P298" s="12" t="str">
        <f t="array" ref="P298">IF(O298:O4339="","",_xlfn.XLOOKUP(O298:O4339,'参照_官位'!A:A,'参照_官位'!B:B,""))</f>
      </c>
      <c r="Q298" s="12" t="str">
        <f t="array" ref="Q298">IF(A298:A4339="","",IFERROR(_xlfn.XLOOKUP(A298:A4339,castles_state!K:K,castles_state!D:D)&amp;"主",IFERROR(_xlfn.XLOOKUP(A298:A4339,kunishuClan!D:D,kunishuClan!B:B)&amp;"当主","")))</f>
      </c>
    </row>
    <row r="299" ht="15.75" customHeight="1">
      <c r="A299" s="4">
        <v>1004049</v>
      </c>
      <c r="B299" s="12" t="str">
        <f t="array" ref="B299">IF(A299:A4340="","",_xlfn.XLOOKUP(A299:A4340,'参照_武将'!A:A,'参照_武将'!B:B,"見つかりません"))</f>
      </c>
      <c r="C299" s="4" t="s">
        <v>116</v>
      </c>
      <c r="D299" s="4">
        <v>5</v>
      </c>
      <c r="E299" s="12" t="str">
        <f t="array" ref="E299">IF(D299:D4340="","",IFERROR(_xlfn.XLOOKUP(D299:D4340,'参照_勢力'!A:A,'参照_勢力'!B:B),IFERROR(_xlfn.XLOOKUP(F299:F4340,kunishuClan!A:A,kunishuClan!B:B),"浪人")))</f>
      </c>
      <c r="F299" s="4">
        <v>0</v>
      </c>
      <c r="G299" s="4">
        <v>100</v>
      </c>
      <c r="H299" s="12" t="str">
        <f t="array" ref="H299">IF(G299:G4340="","",_xlfn.XLOOKUP(G299:G4340,castles_state!A:A,castles_state!D:D,"見つかりません"))</f>
      </c>
      <c r="I299" s="4"/>
      <c r="J299" s="12" t="str">
        <f t="array" ref="J299">IF(I299:I4340="","",_xlfn.XLOOKUP(I299:I4340,'参照_姫'!A:A,'参照_姫'!B:B,"見つかりません"))</f>
      </c>
      <c r="K299" s="4">
        <v>95</v>
      </c>
      <c r="L299" s="4">
        <v>200</v>
      </c>
      <c r="M299" s="4"/>
      <c r="N299" s="4" t="b">
        <v>1</v>
      </c>
      <c r="O299" s="4"/>
      <c r="P299" s="12" t="str">
        <f t="array" ref="P299">IF(O299:O4340="","",_xlfn.XLOOKUP(O299:O4340,'参照_官位'!A:A,'参照_官位'!B:B,""))</f>
      </c>
      <c r="Q299" s="12" t="str">
        <f t="array" ref="Q299">IF(A299:A4340="","",IFERROR(_xlfn.XLOOKUP(A299:A4340,castles_state!K:K,castles_state!D:D)&amp;"主",IFERROR(_xlfn.XLOOKUP(A299:A4340,kunishuClan!D:D,kunishuClan!B:B)&amp;"当主","")))</f>
      </c>
    </row>
    <row r="300" ht="15.75" customHeight="1">
      <c r="A300" s="4">
        <v>1004050</v>
      </c>
      <c r="B300" s="12" t="str">
        <f t="array" ref="B300">IF(A300:A4341="","",_xlfn.XLOOKUP(A300:A4341,'参照_武将'!A:A,'参照_武将'!B:B,"見つかりません"))</f>
      </c>
      <c r="C300" s="4" t="s">
        <v>116</v>
      </c>
      <c r="D300" s="4">
        <v>5</v>
      </c>
      <c r="E300" s="12" t="str">
        <f t="array" ref="E300">IF(D300:D4341="","",IFERROR(_xlfn.XLOOKUP(D300:D4341,'参照_勢力'!A:A,'参照_勢力'!B:B),IFERROR(_xlfn.XLOOKUP(F300:F4341,kunishuClan!A:A,kunishuClan!B:B),"浪人")))</f>
      </c>
      <c r="F300" s="4">
        <v>0</v>
      </c>
      <c r="G300" s="4">
        <v>100</v>
      </c>
      <c r="H300" s="12" t="str">
        <f t="array" ref="H300">IF(G300:G4341="","",_xlfn.XLOOKUP(G300:G4341,castles_state!A:A,castles_state!D:D,"見つかりません"))</f>
      </c>
      <c r="I300" s="4"/>
      <c r="J300" s="12" t="str">
        <f t="array" ref="J300">IF(I300:I4341="","",_xlfn.XLOOKUP(I300:I4341,'参照_姫'!A:A,'参照_姫'!B:B,"見つかりません"))</f>
      </c>
      <c r="K300" s="4">
        <v>95</v>
      </c>
      <c r="L300" s="4">
        <v>0</v>
      </c>
      <c r="M300" s="4"/>
      <c r="N300" s="4"/>
      <c r="O300" s="4"/>
      <c r="P300" s="12" t="str">
        <f t="array" ref="P300">IF(O300:O4341="","",_xlfn.XLOOKUP(O300:O4341,'参照_官位'!A:A,'参照_官位'!B:B,""))</f>
      </c>
      <c r="Q300" s="12" t="str">
        <f t="array" ref="Q300">IF(A300:A4341="","",IFERROR(_xlfn.XLOOKUP(A300:A4341,castles_state!K:K,castles_state!D:D)&amp;"主",IFERROR(_xlfn.XLOOKUP(A300:A4341,kunishuClan!D:D,kunishuClan!B:B)&amp;"当主","")))</f>
      </c>
    </row>
    <row r="301" ht="15.75" customHeight="1">
      <c r="A301" s="4">
        <v>1004051</v>
      </c>
      <c r="B301" s="12" t="str">
        <f t="array" ref="B301">IF(A301:A4342="","",_xlfn.XLOOKUP(A301:A4342,'参照_武将'!A:A,'参照_武将'!B:B,"見つかりません"))</f>
      </c>
      <c r="C301" s="4" t="s">
        <v>116</v>
      </c>
      <c r="D301" s="4">
        <v>3</v>
      </c>
      <c r="E301" s="12" t="str">
        <f t="array" ref="E301">IF(D301:D4342="","",IFERROR(_xlfn.XLOOKUP(D301:D4342,'参照_勢力'!A:A,'参照_勢力'!B:B),IFERROR(_xlfn.XLOOKUP(F301:F4342,kunishuClan!A:A,kunishuClan!B:B),"浪人")))</f>
      </c>
      <c r="F301" s="4">
        <v>0</v>
      </c>
      <c r="G301" s="4">
        <v>13</v>
      </c>
      <c r="H301" s="12" t="str">
        <f t="array" ref="H301">IF(G301:G4342="","",_xlfn.XLOOKUP(G301:G4342,castles_state!A:A,castles_state!D:D,"見つかりません"))</f>
      </c>
      <c r="I301" s="4"/>
      <c r="J301" s="12" t="str">
        <f t="array" ref="J301">IF(I301:I4342="","",_xlfn.XLOOKUP(I301:I4342,'参照_姫'!A:A,'参照_姫'!B:B,"見つかりません"))</f>
      </c>
      <c r="K301" s="4">
        <v>95</v>
      </c>
      <c r="L301" s="4">
        <v>0</v>
      </c>
      <c r="M301" s="4"/>
      <c r="N301" s="4"/>
      <c r="O301" s="4"/>
      <c r="P301" s="12" t="str">
        <f t="array" ref="P301">IF(O301:O4342="","",_xlfn.XLOOKUP(O301:O4342,'参照_官位'!A:A,'参照_官位'!B:B,""))</f>
      </c>
      <c r="Q301" s="12" t="str">
        <f t="array" ref="Q301">IF(A301:A4342="","",IFERROR(_xlfn.XLOOKUP(A301:A4342,castles_state!K:K,castles_state!D:D)&amp;"主",IFERROR(_xlfn.XLOOKUP(A301:A4342,kunishuClan!D:D,kunishuClan!B:B)&amp;"当主","")))</f>
      </c>
    </row>
    <row r="302" ht="15.75" customHeight="1">
      <c r="A302" s="4">
        <v>1004052</v>
      </c>
      <c r="B302" s="12" t="str">
        <f t="array" ref="B302">IF(A302:A4343="","",_xlfn.XLOOKUP(A302:A4343,'参照_武将'!A:A,'参照_武将'!B:B,"見つかりません"))</f>
      </c>
      <c r="C302" s="4" t="s">
        <v>116</v>
      </c>
      <c r="D302" s="4">
        <v>0</v>
      </c>
      <c r="E302" s="12" t="str">
        <f t="array" ref="E302">IF(D302:D4343="","",IFERROR(_xlfn.XLOOKUP(D302:D4343,'参照_勢力'!A:A,'参照_勢力'!B:B),IFERROR(_xlfn.XLOOKUP(F302:F4343,kunishuClan!A:A,kunishuClan!B:B),"浪人")))</f>
      </c>
      <c r="F302" s="4">
        <v>0</v>
      </c>
      <c r="G302" s="4">
        <v>100</v>
      </c>
      <c r="H302" s="12" t="str">
        <f t="array" ref="H302">IF(G302:G4343="","",_xlfn.XLOOKUP(G302:G4343,castles_state!A:A,castles_state!D:D,"見つかりません"))</f>
      </c>
      <c r="I302" s="4"/>
      <c r="J302" s="12" t="str">
        <f t="array" ref="J302">IF(I302:I4343="","",_xlfn.XLOOKUP(I302:I4343,'参照_姫'!A:A,'参照_姫'!B:B,"見つかりません"))</f>
      </c>
      <c r="K302" s="4">
        <v>50</v>
      </c>
      <c r="L302" s="4">
        <v>0</v>
      </c>
      <c r="M302" s="4"/>
      <c r="N302" s="4"/>
      <c r="O302" s="4"/>
      <c r="P302" s="12" t="str">
        <f t="array" ref="P302">IF(O302:O4343="","",_xlfn.XLOOKUP(O302:O4343,'参照_官位'!A:A,'参照_官位'!B:B,""))</f>
      </c>
      <c r="Q302" s="12" t="str">
        <f t="array" ref="Q302">IF(A302:A4343="","",IFERROR(_xlfn.XLOOKUP(A302:A4343,castles_state!K:K,castles_state!D:D)&amp;"主",IFERROR(_xlfn.XLOOKUP(A302:A4343,kunishuClan!D:D,kunishuClan!B:B)&amp;"当主","")))</f>
      </c>
    </row>
    <row r="303" ht="15.75" customHeight="1">
      <c r="A303" s="4">
        <v>1004053</v>
      </c>
      <c r="B303" s="12" t="str">
        <f t="array" ref="B303">IF(A303:A4344="","",_xlfn.XLOOKUP(A303:A4344,'参照_武将'!A:A,'参照_武将'!B:B,"見つかりません"))</f>
      </c>
      <c r="C303" s="4" t="s">
        <v>116</v>
      </c>
      <c r="D303" s="4">
        <v>3</v>
      </c>
      <c r="E303" s="12" t="str">
        <f t="array" ref="E303">IF(D303:D4344="","",IFERROR(_xlfn.XLOOKUP(D303:D4344,'参照_勢力'!A:A,'参照_勢力'!B:B),IFERROR(_xlfn.XLOOKUP(F303:F4344,kunishuClan!A:A,kunishuClan!B:B),"浪人")))</f>
      </c>
      <c r="F303" s="4">
        <v>0</v>
      </c>
      <c r="G303" s="4">
        <v>13</v>
      </c>
      <c r="H303" s="12" t="str">
        <f t="array" ref="H303">IF(G303:G4344="","",_xlfn.XLOOKUP(G303:G4344,castles_state!A:A,castles_state!D:D,"見つかりません"))</f>
      </c>
      <c r="I303" s="4"/>
      <c r="J303" s="12" t="str">
        <f t="array" ref="J303">IF(I303:I4344="","",_xlfn.XLOOKUP(I303:I4344,'参照_姫'!A:A,'参照_姫'!B:B,"見つかりません"))</f>
      </c>
      <c r="K303" s="4">
        <v>95</v>
      </c>
      <c r="L303" s="4">
        <v>300</v>
      </c>
      <c r="M303" s="4"/>
      <c r="N303" s="4"/>
      <c r="O303" s="4"/>
      <c r="P303" s="12" t="str">
        <f t="array" ref="P303">IF(O303:O4344="","",_xlfn.XLOOKUP(O303:O4344,'参照_官位'!A:A,'参照_官位'!B:B,""))</f>
      </c>
      <c r="Q303" s="12" t="str">
        <f t="array" ref="Q303">IF(A303:A4344="","",IFERROR(_xlfn.XLOOKUP(A303:A4344,castles_state!K:K,castles_state!D:D)&amp;"主",IFERROR(_xlfn.XLOOKUP(A303:A4344,kunishuClan!D:D,kunishuClan!B:B)&amp;"当主","")))</f>
      </c>
    </row>
    <row r="304" ht="15.75" customHeight="1">
      <c r="A304" s="4">
        <v>1004054</v>
      </c>
      <c r="B304" s="12" t="str">
        <f t="array" ref="B304">IF(A304:A4345="","",_xlfn.XLOOKUP(A304:A4345,'参照_武将'!A:A,'参照_武将'!B:B,"見つかりません"))</f>
      </c>
      <c r="C304" s="4" t="s">
        <v>116</v>
      </c>
      <c r="D304" s="4">
        <v>5</v>
      </c>
      <c r="E304" s="12" t="str">
        <f t="array" ref="E304">IF(D304:D4345="","",IFERROR(_xlfn.XLOOKUP(D304:D4345,'参照_勢力'!A:A,'参照_勢力'!B:B),IFERROR(_xlfn.XLOOKUP(F304:F4345,kunishuClan!A:A,kunishuClan!B:B),"浪人")))</f>
      </c>
      <c r="F304" s="4">
        <v>0</v>
      </c>
      <c r="G304" s="4">
        <v>100</v>
      </c>
      <c r="H304" s="12" t="str">
        <f t="array" ref="H304">IF(G304:G4345="","",_xlfn.XLOOKUP(G304:G4345,castles_state!A:A,castles_state!D:D,"見つかりません"))</f>
      </c>
      <c r="I304" s="4"/>
      <c r="J304" s="12" t="str">
        <f t="array" ref="J304">IF(I304:I4345="","",_xlfn.XLOOKUP(I304:I4345,'参照_姫'!A:A,'参照_姫'!B:B,"見つかりません"))</f>
      </c>
      <c r="K304" s="4">
        <v>95</v>
      </c>
      <c r="L304" s="4">
        <v>0</v>
      </c>
      <c r="M304" s="4"/>
      <c r="N304" s="4"/>
      <c r="O304" s="4"/>
      <c r="P304" s="12" t="str">
        <f t="array" ref="P304">IF(O304:O4345="","",_xlfn.XLOOKUP(O304:O4345,'参照_官位'!A:A,'参照_官位'!B:B,""))</f>
      </c>
      <c r="Q304" s="12" t="str">
        <f t="array" ref="Q304">IF(A304:A4345="","",IFERROR(_xlfn.XLOOKUP(A304:A4345,castles_state!K:K,castles_state!D:D)&amp;"主",IFERROR(_xlfn.XLOOKUP(A304:A4345,kunishuClan!D:D,kunishuClan!B:B)&amp;"当主","")))</f>
      </c>
    </row>
    <row r="305" ht="15.75" customHeight="1">
      <c r="A305" s="4">
        <v>1004055</v>
      </c>
      <c r="B305" s="12" t="str">
        <f t="array" ref="B305">IF(A305:A4346="","",_xlfn.XLOOKUP(A305:A4346,'参照_武将'!A:A,'参照_武将'!B:B,"見つかりません"))</f>
      </c>
      <c r="C305" s="4" t="s">
        <v>116</v>
      </c>
      <c r="D305" s="4">
        <v>3</v>
      </c>
      <c r="E305" s="12" t="str">
        <f t="array" ref="E305">IF(D305:D4346="","",IFERROR(_xlfn.XLOOKUP(D305:D4346,'参照_勢力'!A:A,'参照_勢力'!B:B),IFERROR(_xlfn.XLOOKUP(F305:F4346,kunishuClan!A:A,kunishuClan!B:B),"浪人")))</f>
      </c>
      <c r="F305" s="4">
        <v>0</v>
      </c>
      <c r="G305" s="4">
        <v>101</v>
      </c>
      <c r="H305" s="12" t="str">
        <f t="array" ref="H305">IF(G305:G4346="","",_xlfn.XLOOKUP(G305:G4346,castles_state!A:A,castles_state!D:D,"見つかりません"))</f>
      </c>
      <c r="I305" s="4"/>
      <c r="J305" s="12" t="str">
        <f t="array" ref="J305">IF(I305:I4346="","",_xlfn.XLOOKUP(I305:I4346,'参照_姫'!A:A,'参照_姫'!B:B,"見つかりません"))</f>
      </c>
      <c r="K305" s="4">
        <v>95</v>
      </c>
      <c r="L305" s="4">
        <v>700</v>
      </c>
      <c r="M305" s="4"/>
      <c r="N305" s="4"/>
      <c r="O305" s="4"/>
      <c r="P305" s="12" t="str">
        <f t="array" ref="P305">IF(O305:O4346="","",_xlfn.XLOOKUP(O305:O4346,'参照_官位'!A:A,'参照_官位'!B:B,""))</f>
      </c>
      <c r="Q305" s="12" t="str">
        <f t="array" ref="Q305">IF(A305:A4346="","",IFERROR(_xlfn.XLOOKUP(A305:A4346,castles_state!K:K,castles_state!D:D)&amp;"主",IFERROR(_xlfn.XLOOKUP(A305:A4346,kunishuClan!D:D,kunishuClan!B:B)&amp;"当主","")))</f>
      </c>
    </row>
    <row r="306" ht="15.75" customHeight="1">
      <c r="A306" s="4">
        <v>1004056</v>
      </c>
      <c r="B306" s="12" t="str">
        <f t="array" ref="B306">IF(A306:A4347="","",_xlfn.XLOOKUP(A306:A4347,'参照_武将'!A:A,'参照_武将'!B:B,"見つかりません"))</f>
      </c>
      <c r="C306" s="4" t="s">
        <v>116</v>
      </c>
      <c r="D306" s="4">
        <v>5</v>
      </c>
      <c r="E306" s="12" t="str">
        <f t="array" ref="E306">IF(D306:D4347="","",IFERROR(_xlfn.XLOOKUP(D306:D4347,'参照_勢力'!A:A,'参照_勢力'!B:B),IFERROR(_xlfn.XLOOKUP(F306:F4347,kunishuClan!A:A,kunishuClan!B:B),"浪人")))</f>
      </c>
      <c r="F306" s="4">
        <v>0</v>
      </c>
      <c r="G306" s="4">
        <v>13</v>
      </c>
      <c r="H306" s="12" t="str">
        <f t="array" ref="H306">IF(G306:G4347="","",_xlfn.XLOOKUP(G306:G4347,castles_state!A:A,castles_state!D:D,"見つかりません"))</f>
      </c>
      <c r="I306" s="4"/>
      <c r="J306" s="12" t="str">
        <f t="array" ref="J306">IF(I306:I4347="","",_xlfn.XLOOKUP(I306:I4347,'参照_姫'!A:A,'参照_姫'!B:B,"見つかりません"))</f>
      </c>
      <c r="K306" s="4">
        <v>95</v>
      </c>
      <c r="L306" s="4">
        <v>500</v>
      </c>
      <c r="M306" s="4"/>
      <c r="N306" s="4"/>
      <c r="O306" s="4"/>
      <c r="P306" s="12" t="str">
        <f t="array" ref="P306">IF(O306:O4347="","",_xlfn.XLOOKUP(O306:O4347,'参照_官位'!A:A,'参照_官位'!B:B,""))</f>
      </c>
      <c r="Q306" s="12" t="str">
        <f t="array" ref="Q306">IF(A306:A4347="","",IFERROR(_xlfn.XLOOKUP(A306:A4347,castles_state!K:K,castles_state!D:D)&amp;"主",IFERROR(_xlfn.XLOOKUP(A306:A4347,kunishuClan!D:D,kunishuClan!B:B)&amp;"当主","")))</f>
      </c>
    </row>
    <row r="307" ht="15.75" customHeight="1">
      <c r="A307" s="4">
        <v>1004057</v>
      </c>
      <c r="B307" s="12" t="str">
        <f t="array" ref="B307">IF(A307:A4348="","",_xlfn.XLOOKUP(A307:A4348,'参照_武将'!A:A,'参照_武将'!B:B,"見つかりません"))</f>
      </c>
      <c r="C307" s="4" t="s">
        <v>116</v>
      </c>
      <c r="D307" s="4">
        <v>301</v>
      </c>
      <c r="E307" s="12" t="str">
        <f t="array" ref="E307">IF(D307:D4348="","",IFERROR(_xlfn.XLOOKUP(D307:D4348,'参照_勢力'!A:A,'参照_勢力'!B:B),IFERROR(_xlfn.XLOOKUP(F307:F4348,kunishuClan!A:A,kunishuClan!B:B),"浪人")))</f>
      </c>
      <c r="F307" s="4">
        <v>0</v>
      </c>
      <c r="G307" s="4">
        <v>12</v>
      </c>
      <c r="H307" s="12" t="str">
        <f t="array" ref="H307">IF(G307:G4348="","",_xlfn.XLOOKUP(G307:G4348,castles_state!A:A,castles_state!D:D,"見つかりません"))</f>
      </c>
      <c r="I307" s="4"/>
      <c r="J307" s="12" t="str">
        <f t="array" ref="J307">IF(I307:I4348="","",_xlfn.XLOOKUP(I307:I4348,'参照_姫'!A:A,'参照_姫'!B:B,"見つかりません"))</f>
      </c>
      <c r="K307" s="4">
        <v>95</v>
      </c>
      <c r="L307" s="4">
        <v>0</v>
      </c>
      <c r="M307" s="4"/>
      <c r="N307" s="4"/>
      <c r="O307" s="4"/>
      <c r="P307" s="12" t="str">
        <f t="array" ref="P307">IF(O307:O4348="","",_xlfn.XLOOKUP(O307:O4348,'参照_官位'!A:A,'参照_官位'!B:B,""))</f>
      </c>
      <c r="Q307" s="12" t="str">
        <f t="array" ref="Q307">IF(A307:A4348="","",IFERROR(_xlfn.XLOOKUP(A307:A4348,castles_state!K:K,castles_state!D:D)&amp;"主",IFERROR(_xlfn.XLOOKUP(A307:A4348,kunishuClan!D:D,kunishuClan!B:B)&amp;"当主","")))</f>
      </c>
    </row>
    <row r="308" ht="15.75" customHeight="1">
      <c r="A308" s="4">
        <v>1004058</v>
      </c>
      <c r="B308" s="12" t="str">
        <f t="array" ref="B308">IF(A308:A4349="","",_xlfn.XLOOKUP(A308:A4349,'参照_武将'!A:A,'参照_武将'!B:B,"見つかりません"))</f>
      </c>
      <c r="C308" s="4" t="s">
        <v>116</v>
      </c>
      <c r="D308" s="4">
        <v>301</v>
      </c>
      <c r="E308" s="12" t="str">
        <f t="array" ref="E308">IF(D308:D4349="","",IFERROR(_xlfn.XLOOKUP(D308:D4349,'参照_勢力'!A:A,'参照_勢力'!B:B),IFERROR(_xlfn.XLOOKUP(F308:F4349,kunishuClan!A:A,kunishuClan!B:B),"浪人")))</f>
      </c>
      <c r="F308" s="4">
        <v>0</v>
      </c>
      <c r="G308" s="4">
        <v>12</v>
      </c>
      <c r="H308" s="12" t="str">
        <f t="array" ref="H308">IF(G308:G4349="","",_xlfn.XLOOKUP(G308:G4349,castles_state!A:A,castles_state!D:D,"見つかりません"))</f>
      </c>
      <c r="I308" s="4"/>
      <c r="J308" s="12" t="str">
        <f t="array" ref="J308">IF(I308:I4349="","",_xlfn.XLOOKUP(I308:I4349,'参照_姫'!A:A,'参照_姫'!B:B,"見つかりません"))</f>
      </c>
      <c r="K308" s="4">
        <v>95</v>
      </c>
      <c r="L308" s="4">
        <v>0</v>
      </c>
      <c r="M308" s="4"/>
      <c r="N308" s="4"/>
      <c r="O308" s="4"/>
      <c r="P308" s="12" t="str">
        <f t="array" ref="P308">IF(O308:O4349="","",_xlfn.XLOOKUP(O308:O4349,'参照_官位'!A:A,'参照_官位'!B:B,""))</f>
      </c>
      <c r="Q308" s="12" t="str">
        <f t="array" ref="Q308">IF(A308:A4349="","",IFERROR(_xlfn.XLOOKUP(A308:A4349,castles_state!K:K,castles_state!D:D)&amp;"主",IFERROR(_xlfn.XLOOKUP(A308:A4349,kunishuClan!D:D,kunishuClan!B:B)&amp;"当主","")))</f>
      </c>
    </row>
    <row r="309" ht="15.75" customHeight="1">
      <c r="A309" s="4">
        <v>1004059</v>
      </c>
      <c r="B309" s="12" t="str">
        <f t="array" ref="B309">IF(A309:A4350="","",_xlfn.XLOOKUP(A309:A4350,'参照_武将'!A:A,'参照_武将'!B:B,"見つかりません"))</f>
      </c>
      <c r="C309" s="4" t="s">
        <v>116</v>
      </c>
      <c r="D309" s="4">
        <v>0</v>
      </c>
      <c r="E309" s="12" t="str">
        <f t="array" ref="E309">IF(D309:D4350="","",IFERROR(_xlfn.XLOOKUP(D309:D4350,'参照_勢力'!A:A,'参照_勢力'!B:B),IFERROR(_xlfn.XLOOKUP(F309:F4350,kunishuClan!A:A,kunishuClan!B:B),"浪人")))</f>
      </c>
      <c r="F309" s="4">
        <v>0</v>
      </c>
      <c r="G309" s="4">
        <v>12</v>
      </c>
      <c r="H309" s="12" t="str">
        <f t="array" ref="H309">IF(G309:G4350="","",_xlfn.XLOOKUP(G309:G4350,castles_state!A:A,castles_state!D:D,"見つかりません"))</f>
      </c>
      <c r="I309" s="4"/>
      <c r="J309" s="12" t="str">
        <f t="array" ref="J309">IF(I309:I4350="","",_xlfn.XLOOKUP(I309:I4350,'参照_姫'!A:A,'参照_姫'!B:B,"見つかりません"))</f>
      </c>
      <c r="K309" s="4">
        <v>50</v>
      </c>
      <c r="L309" s="4">
        <v>0</v>
      </c>
      <c r="M309" s="4"/>
      <c r="N309" s="4"/>
      <c r="O309" s="4"/>
      <c r="P309" s="12" t="str">
        <f t="array" ref="P309">IF(O309:O4350="","",_xlfn.XLOOKUP(O309:O4350,'参照_官位'!A:A,'参照_官位'!B:B,""))</f>
      </c>
      <c r="Q309" s="12" t="str">
        <f t="array" ref="Q309">IF(A309:A4350="","",IFERROR(_xlfn.XLOOKUP(A309:A4350,castles_state!K:K,castles_state!D:D)&amp;"主",IFERROR(_xlfn.XLOOKUP(A309:A4350,kunishuClan!D:D,kunishuClan!B:B)&amp;"当主","")))</f>
      </c>
    </row>
    <row r="310" ht="15.75" customHeight="1">
      <c r="A310" s="4">
        <v>1004060</v>
      </c>
      <c r="B310" s="12" t="str">
        <f t="array" ref="B310">IF(A310:A4351="","",_xlfn.XLOOKUP(A310:A4351,'参照_武将'!A:A,'参照_武将'!B:B,"見つかりません"))</f>
      </c>
      <c r="C310" s="4" t="s">
        <v>116</v>
      </c>
      <c r="D310" s="4">
        <v>3</v>
      </c>
      <c r="E310" s="12" t="str">
        <f t="array" ref="E310">IF(D310:D4351="","",IFERROR(_xlfn.XLOOKUP(D310:D4351,'参照_勢力'!A:A,'参照_勢力'!B:B),IFERROR(_xlfn.XLOOKUP(F310:F4351,kunishuClan!A:A,kunishuClan!B:B),"浪人")))</f>
      </c>
      <c r="F310" s="4">
        <v>0</v>
      </c>
      <c r="G310" s="4">
        <v>101</v>
      </c>
      <c r="H310" s="12" t="str">
        <f t="array" ref="H310">IF(G310:G4351="","",_xlfn.XLOOKUP(G310:G4351,castles_state!A:A,castles_state!D:D,"見つかりません"))</f>
      </c>
      <c r="I310" s="4"/>
      <c r="J310" s="12" t="str">
        <f t="array" ref="J310">IF(I310:I4351="","",_xlfn.XLOOKUP(I310:I4351,'参照_姫'!A:A,'参照_姫'!B:B,"見つかりません"))</f>
      </c>
      <c r="K310" s="4">
        <v>95</v>
      </c>
      <c r="L310" s="4">
        <v>0</v>
      </c>
      <c r="M310" s="4"/>
      <c r="N310" s="4"/>
      <c r="O310" s="4"/>
      <c r="P310" s="12" t="str">
        <f t="array" ref="P310">IF(O310:O4351="","",_xlfn.XLOOKUP(O310:O4351,'参照_官位'!A:A,'参照_官位'!B:B,""))</f>
      </c>
      <c r="Q310" s="12" t="str">
        <f t="array" ref="Q310">IF(A310:A4351="","",IFERROR(_xlfn.XLOOKUP(A310:A4351,castles_state!K:K,castles_state!D:D)&amp;"主",IFERROR(_xlfn.XLOOKUP(A310:A4351,kunishuClan!D:D,kunishuClan!B:B)&amp;"当主","")))</f>
      </c>
    </row>
    <row r="311" ht="15.75" customHeight="1">
      <c r="A311" s="4">
        <v>1004061</v>
      </c>
      <c r="B311" s="12" t="str">
        <f t="array" ref="B311">IF(A311:A4352="","",_xlfn.XLOOKUP(A311:A4352,'参照_武将'!A:A,'参照_武将'!B:B,"見つかりません"))</f>
      </c>
      <c r="C311" s="4" t="s">
        <v>116</v>
      </c>
      <c r="D311" s="4">
        <v>0</v>
      </c>
      <c r="E311" s="12" t="str">
        <f t="array" ref="E311">IF(D311:D4352="","",IFERROR(_xlfn.XLOOKUP(D311:D4352,'参照_勢力'!A:A,'参照_勢力'!B:B),IFERROR(_xlfn.XLOOKUP(F311:F4352,kunishuClan!A:A,kunishuClan!B:B),"浪人")))</f>
      </c>
      <c r="F311" s="4">
        <v>0</v>
      </c>
      <c r="G311" s="4">
        <v>101</v>
      </c>
      <c r="H311" s="12" t="str">
        <f t="array" ref="H311">IF(G311:G4352="","",_xlfn.XLOOKUP(G311:G4352,castles_state!A:A,castles_state!D:D,"見つかりません"))</f>
      </c>
      <c r="I311" s="4"/>
      <c r="J311" s="12" t="str">
        <f t="array" ref="J311">IF(I311:I4352="","",_xlfn.XLOOKUP(I311:I4352,'参照_姫'!A:A,'参照_姫'!B:B,"見つかりません"))</f>
      </c>
      <c r="K311" s="4">
        <v>50</v>
      </c>
      <c r="L311" s="4">
        <v>0</v>
      </c>
      <c r="M311" s="4"/>
      <c r="N311" s="4"/>
      <c r="O311" s="4"/>
      <c r="P311" s="12" t="str">
        <f t="array" ref="P311">IF(O311:O4352="","",_xlfn.XLOOKUP(O311:O4352,'参照_官位'!A:A,'参照_官位'!B:B,""))</f>
      </c>
      <c r="Q311" s="12" t="str">
        <f t="array" ref="Q311">IF(A311:A4352="","",IFERROR(_xlfn.XLOOKUP(A311:A4352,castles_state!K:K,castles_state!D:D)&amp;"主",IFERROR(_xlfn.XLOOKUP(A311:A4352,kunishuClan!D:D,kunishuClan!B:B)&amp;"当主","")))</f>
      </c>
    </row>
    <row r="312" ht="15.75" customHeight="1">
      <c r="A312" s="4">
        <v>1004062</v>
      </c>
      <c r="B312" s="12" t="str">
        <f t="array" ref="B312">IF(A312:A4353="","",_xlfn.XLOOKUP(A312:A4353,'参照_武将'!A:A,'参照_武将'!B:B,"見つかりません"))</f>
      </c>
      <c r="C312" s="4" t="s">
        <v>116</v>
      </c>
      <c r="D312" s="4">
        <v>5</v>
      </c>
      <c r="E312" s="12" t="str">
        <f t="array" ref="E312">IF(D312:D4353="","",IFERROR(_xlfn.XLOOKUP(D312:D4353,'参照_勢力'!A:A,'参照_勢力'!B:B),IFERROR(_xlfn.XLOOKUP(F312:F4353,kunishuClan!A:A,kunishuClan!B:B),"浪人")))</f>
      </c>
      <c r="F312" s="4">
        <v>0</v>
      </c>
      <c r="G312" s="4">
        <v>100</v>
      </c>
      <c r="H312" s="12" t="str">
        <f t="array" ref="H312">IF(G312:G4353="","",_xlfn.XLOOKUP(G312:G4353,castles_state!A:A,castles_state!D:D,"見つかりません"))</f>
      </c>
      <c r="I312" s="4"/>
      <c r="J312" s="12" t="str">
        <f t="array" ref="J312">IF(I312:I4353="","",_xlfn.XLOOKUP(I312:I4353,'参照_姫'!A:A,'参照_姫'!B:B,"見つかりません"))</f>
      </c>
      <c r="K312" s="4">
        <v>95</v>
      </c>
      <c r="L312" s="4">
        <v>400</v>
      </c>
      <c r="M312" s="4"/>
      <c r="N312" s="4"/>
      <c r="O312" s="4"/>
      <c r="P312" s="12" t="str">
        <f t="array" ref="P312">IF(O312:O4353="","",_xlfn.XLOOKUP(O312:O4353,'参照_官位'!A:A,'参照_官位'!B:B,""))</f>
      </c>
      <c r="Q312" s="12" t="str">
        <f t="array" ref="Q312">IF(A312:A4353="","",IFERROR(_xlfn.XLOOKUP(A312:A4353,castles_state!K:K,castles_state!D:D)&amp;"主",IFERROR(_xlfn.XLOOKUP(A312:A4353,kunishuClan!D:D,kunishuClan!B:B)&amp;"当主","")))</f>
      </c>
    </row>
    <row r="313" ht="15.75" customHeight="1">
      <c r="A313" s="4">
        <v>1004063</v>
      </c>
      <c r="B313" s="12" t="str">
        <f t="array" ref="B313">IF(A313:A4354="","",_xlfn.XLOOKUP(A313:A4354,'参照_武将'!A:A,'参照_武将'!B:B,"見つかりません"))</f>
      </c>
      <c r="C313" s="4" t="s">
        <v>116</v>
      </c>
      <c r="D313" s="4">
        <v>301</v>
      </c>
      <c r="E313" s="12" t="str">
        <f t="array" ref="E313">IF(D313:D4354="","",IFERROR(_xlfn.XLOOKUP(D313:D4354,'参照_勢力'!A:A,'参照_勢力'!B:B),IFERROR(_xlfn.XLOOKUP(F313:F4354,kunishuClan!A:A,kunishuClan!B:B),"浪人")))</f>
      </c>
      <c r="F313" s="4">
        <v>0</v>
      </c>
      <c r="G313" s="4">
        <v>12</v>
      </c>
      <c r="H313" s="12" t="str">
        <f t="array" ref="H313">IF(G313:G4354="","",_xlfn.XLOOKUP(G313:G4354,castles_state!A:A,castles_state!D:D,"見つかりません"))</f>
      </c>
      <c r="I313" s="4"/>
      <c r="J313" s="12" t="str">
        <f t="array" ref="J313">IF(I313:I4354="","",_xlfn.XLOOKUP(I313:I4354,'参照_姫'!A:A,'参照_姫'!B:B,"見つかりません"))</f>
      </c>
      <c r="K313" s="4">
        <v>95</v>
      </c>
      <c r="L313" s="4">
        <v>0</v>
      </c>
      <c r="M313" s="4"/>
      <c r="N313" s="4"/>
      <c r="O313" s="4"/>
      <c r="P313" s="12" t="str">
        <f t="array" ref="P313">IF(O313:O4354="","",_xlfn.XLOOKUP(O313:O4354,'参照_官位'!A:A,'参照_官位'!B:B,""))</f>
      </c>
      <c r="Q313" s="12" t="str">
        <f t="array" ref="Q313">IF(A313:A4354="","",IFERROR(_xlfn.XLOOKUP(A313:A4354,castles_state!K:K,castles_state!D:D)&amp;"主",IFERROR(_xlfn.XLOOKUP(A313:A4354,kunishuClan!D:D,kunishuClan!B:B)&amp;"当主","")))</f>
      </c>
    </row>
    <row r="314" ht="15.75" customHeight="1">
      <c r="A314" s="4">
        <v>1004064</v>
      </c>
      <c r="B314" s="12" t="str">
        <f t="array" ref="B314">IF(A314:A4355="","",_xlfn.XLOOKUP(A314:A4355,'参照_武将'!A:A,'参照_武将'!B:B,"見つかりません"))</f>
      </c>
      <c r="C314" s="4" t="s">
        <v>116</v>
      </c>
      <c r="D314" s="4">
        <v>4</v>
      </c>
      <c r="E314" s="12" t="str">
        <f t="array" ref="E314">IF(D314:D4355="","",IFERROR(_xlfn.XLOOKUP(D314:D4355,'参照_勢力'!A:A,'参照_勢力'!B:B),IFERROR(_xlfn.XLOOKUP(F314:F4355,kunishuClan!A:A,kunishuClan!B:B),"浪人")))</f>
      </c>
      <c r="F314" s="4">
        <v>0</v>
      </c>
      <c r="G314" s="4">
        <v>14</v>
      </c>
      <c r="H314" s="12" t="str">
        <f t="array" ref="H314">IF(G314:G4355="","",_xlfn.XLOOKUP(G314:G4355,castles_state!A:A,castles_state!D:D,"見つかりません"))</f>
      </c>
      <c r="I314" s="4"/>
      <c r="J314" s="12" t="str">
        <f t="array" ref="J314">IF(I314:I4355="","",_xlfn.XLOOKUP(I314:I4355,'参照_姫'!A:A,'参照_姫'!B:B,"見つかりません"))</f>
      </c>
      <c r="K314" s="4">
        <v>95</v>
      </c>
      <c r="L314" s="4">
        <v>0</v>
      </c>
      <c r="M314" s="4"/>
      <c r="N314" s="4"/>
      <c r="O314" s="4"/>
      <c r="P314" s="12" t="str">
        <f t="array" ref="P314">IF(O314:O4355="","",_xlfn.XLOOKUP(O314:O4355,'参照_官位'!A:A,'参照_官位'!B:B,""))</f>
      </c>
      <c r="Q314" s="12" t="str">
        <f t="array" ref="Q314">IF(A314:A4355="","",IFERROR(_xlfn.XLOOKUP(A314:A4355,castles_state!K:K,castles_state!D:D)&amp;"主",IFERROR(_xlfn.XLOOKUP(A314:A4355,kunishuClan!D:D,kunishuClan!B:B)&amp;"当主","")))</f>
      </c>
    </row>
    <row r="315" ht="15.75" customHeight="1">
      <c r="A315" s="4">
        <v>1004065</v>
      </c>
      <c r="B315" s="12" t="str">
        <f t="array" ref="B315">IF(A315:A4356="","",_xlfn.XLOOKUP(A315:A4356,'参照_武将'!A:A,'参照_武将'!B:B,"見つかりません"))</f>
      </c>
      <c r="C315" s="4" t="s">
        <v>116</v>
      </c>
      <c r="D315" s="4">
        <v>5</v>
      </c>
      <c r="E315" s="12" t="str">
        <f t="array" ref="E315">IF(D315:D4356="","",IFERROR(_xlfn.XLOOKUP(D315:D4356,'参照_勢力'!A:A,'参照_勢力'!B:B),IFERROR(_xlfn.XLOOKUP(F315:F4356,kunishuClan!A:A,kunishuClan!B:B),"浪人")))</f>
      </c>
      <c r="F315" s="4">
        <v>0</v>
      </c>
      <c r="G315" s="4">
        <v>12</v>
      </c>
      <c r="H315" s="12" t="str">
        <f t="array" ref="H315">IF(G315:G4356="","",_xlfn.XLOOKUP(G315:G4356,castles_state!A:A,castles_state!D:D,"見つかりません"))</f>
      </c>
      <c r="I315" s="4"/>
      <c r="J315" s="12" t="str">
        <f t="array" ref="J315">IF(I315:I4356="","",_xlfn.XLOOKUP(I315:I4356,'参照_姫'!A:A,'参照_姫'!B:B,"見つかりません"))</f>
      </c>
      <c r="K315" s="4">
        <v>95</v>
      </c>
      <c r="L315" s="4">
        <v>0</v>
      </c>
      <c r="M315" s="4"/>
      <c r="N315" s="4"/>
      <c r="O315" s="4"/>
      <c r="P315" s="12" t="str">
        <f t="array" ref="P315">IF(O315:O4356="","",_xlfn.XLOOKUP(O315:O4356,'参照_官位'!A:A,'参照_官位'!B:B,""))</f>
      </c>
      <c r="Q315" s="12" t="str">
        <f t="array" ref="Q315">IF(A315:A4356="","",IFERROR(_xlfn.XLOOKUP(A315:A4356,castles_state!K:K,castles_state!D:D)&amp;"主",IFERROR(_xlfn.XLOOKUP(A315:A4356,kunishuClan!D:D,kunishuClan!B:B)&amp;"当主","")))</f>
      </c>
    </row>
    <row r="316" ht="15.75" customHeight="1">
      <c r="A316" s="4">
        <v>1004066</v>
      </c>
      <c r="B316" s="12" t="str">
        <f t="array" ref="B316">IF(A316:A4357="","",_xlfn.XLOOKUP(A316:A4357,'参照_武将'!A:A,'参照_武将'!B:B,"見つかりません"))</f>
      </c>
      <c r="C316" s="4" t="s">
        <v>116</v>
      </c>
      <c r="D316" s="4">
        <v>5</v>
      </c>
      <c r="E316" s="12" t="str">
        <f t="array" ref="E316">IF(D316:D4357="","",IFERROR(_xlfn.XLOOKUP(D316:D4357,'参照_勢力'!A:A,'参照_勢力'!B:B),IFERROR(_xlfn.XLOOKUP(F316:F4357,kunishuClan!A:A,kunishuClan!B:B),"浪人")))</f>
      </c>
      <c r="F316" s="4">
        <v>0</v>
      </c>
      <c r="G316" s="4">
        <v>12</v>
      </c>
      <c r="H316" s="12" t="str">
        <f t="array" ref="H316">IF(G316:G4357="","",_xlfn.XLOOKUP(G316:G4357,castles_state!A:A,castles_state!D:D,"見つかりません"))</f>
      </c>
      <c r="I316" s="4"/>
      <c r="J316" s="12" t="str">
        <f t="array" ref="J316">IF(I316:I4357="","",_xlfn.XLOOKUP(I316:I4357,'参照_姫'!A:A,'参照_姫'!B:B,"見つかりません"))</f>
      </c>
      <c r="K316" s="4">
        <v>95</v>
      </c>
      <c r="L316" s="4">
        <v>0</v>
      </c>
      <c r="M316" s="4"/>
      <c r="N316" s="4"/>
      <c r="O316" s="4"/>
      <c r="P316" s="12" t="str">
        <f t="array" ref="P316">IF(O316:O4357="","",_xlfn.XLOOKUP(O316:O4357,'参照_官位'!A:A,'参照_官位'!B:B,""))</f>
      </c>
      <c r="Q316" s="12" t="str">
        <f t="array" ref="Q316">IF(A316:A4357="","",IFERROR(_xlfn.XLOOKUP(A316:A4357,castles_state!K:K,castles_state!D:D)&amp;"主",IFERROR(_xlfn.XLOOKUP(A316:A4357,kunishuClan!D:D,kunishuClan!B:B)&amp;"当主","")))</f>
      </c>
    </row>
    <row r="317" ht="15.75" customHeight="1">
      <c r="A317" s="4">
        <v>1005001</v>
      </c>
      <c r="B317" s="12" t="str">
        <f t="array" ref="B317">IF(A317:A4358="","",_xlfn.XLOOKUP(A317:A4358,'参照_武将'!A:A,'参照_武将'!B:B,"見つかりません"))</f>
      </c>
      <c r="C317" s="4" t="s">
        <v>5910</v>
      </c>
      <c r="D317" s="4">
        <v>6</v>
      </c>
      <c r="E317" s="12" t="str">
        <f t="array" ref="E317">IF(D317:D4358="","",IFERROR(_xlfn.XLOOKUP(D317:D4358,'参照_勢力'!A:A,'参照_勢力'!B:B),IFERROR(_xlfn.XLOOKUP(F317:F4358,kunishuClan!A:A,kunishuClan!B:B),"浪人")))</f>
      </c>
      <c r="F317" s="4">
        <v>0</v>
      </c>
      <c r="G317" s="4">
        <v>3</v>
      </c>
      <c r="H317" s="12" t="str">
        <f t="array" ref="H317">IF(G317:G4358="","",_xlfn.XLOOKUP(G317:G4358,castles_state!A:A,castles_state!D:D,"見つかりません"))</f>
      </c>
      <c r="I317" s="4"/>
      <c r="J317" s="12" t="str">
        <f t="array" ref="J317">IF(I317:I4358="","",_xlfn.XLOOKUP(I317:I4358,'参照_姫'!A:A,'参照_姫'!B:B,"見つかりません"))</f>
      </c>
      <c r="K317" s="4">
        <v>95</v>
      </c>
      <c r="L317" s="4">
        <v>0</v>
      </c>
      <c r="M317" s="4"/>
      <c r="N317" s="4"/>
      <c r="O317" s="4"/>
      <c r="P317" s="12" t="str">
        <f t="array" ref="P317">IF(O317:O4358="","",_xlfn.XLOOKUP(O317:O4358,'参照_官位'!A:A,'参照_官位'!B:B,""))</f>
      </c>
      <c r="Q317" s="12" t="str">
        <f t="array" ref="Q317">IF(A317:A4358="","",IFERROR(_xlfn.XLOOKUP(A317:A4358,castles_state!K:K,castles_state!D:D)&amp;"主",IFERROR(_xlfn.XLOOKUP(A317:A4358,kunishuClan!D:D,kunishuClan!B:B)&amp;"当主","")))</f>
      </c>
    </row>
    <row r="318" ht="15.75" customHeight="1">
      <c r="A318" s="4">
        <v>1005002</v>
      </c>
      <c r="B318" s="12" t="str">
        <f t="array" ref="B318">IF(A318:A4359="","",_xlfn.XLOOKUP(A318:A4359,'参照_武将'!A:A,'参照_武将'!B:B,"見つかりません"))</f>
      </c>
      <c r="C318" s="4" t="s">
        <v>5910</v>
      </c>
      <c r="D318" s="4">
        <v>6</v>
      </c>
      <c r="E318" s="12" t="str">
        <f t="array" ref="E318">IF(D318:D4359="","",IFERROR(_xlfn.XLOOKUP(D318:D4359,'参照_勢力'!A:A,'参照_勢力'!B:B),IFERROR(_xlfn.XLOOKUP(F318:F4359,kunishuClan!A:A,kunishuClan!B:B),"浪人")))</f>
      </c>
      <c r="F318" s="4">
        <v>0</v>
      </c>
      <c r="G318" s="4">
        <v>3</v>
      </c>
      <c r="H318" s="12" t="str">
        <f t="array" ref="H318">IF(G318:G4359="","",_xlfn.XLOOKUP(G318:G4359,castles_state!A:A,castles_state!D:D,"見つかりません"))</f>
      </c>
      <c r="I318" s="4"/>
      <c r="J318" s="12" t="str">
        <f t="array" ref="J318">IF(I318:I4359="","",_xlfn.XLOOKUP(I318:I4359,'参照_姫'!A:A,'参照_姫'!B:B,"見つかりません"))</f>
      </c>
      <c r="K318" s="4">
        <v>95</v>
      </c>
      <c r="L318" s="4">
        <v>0</v>
      </c>
      <c r="M318" s="4"/>
      <c r="N318" s="4"/>
      <c r="O318" s="4"/>
      <c r="P318" s="12" t="str">
        <f t="array" ref="P318">IF(O318:O4359="","",_xlfn.XLOOKUP(O318:O4359,'参照_官位'!A:A,'参照_官位'!B:B,""))</f>
      </c>
      <c r="Q318" s="12" t="str">
        <f t="array" ref="Q318">IF(A318:A4359="","",IFERROR(_xlfn.XLOOKUP(A318:A4359,castles_state!K:K,castles_state!D:D)&amp;"主",IFERROR(_xlfn.XLOOKUP(A318:A4359,kunishuClan!D:D,kunishuClan!B:B)&amp;"当主","")))</f>
      </c>
    </row>
    <row r="319" ht="15.75" customHeight="1">
      <c r="A319" s="4">
        <v>1005003</v>
      </c>
      <c r="B319" s="12" t="str">
        <f t="array" ref="B319">IF(A319:A4360="","",_xlfn.XLOOKUP(A319:A4360,'参照_武将'!A:A,'参照_武将'!B:B,"見つかりません"))</f>
      </c>
      <c r="C319" s="4" t="s">
        <v>5910</v>
      </c>
      <c r="D319" s="4">
        <v>6</v>
      </c>
      <c r="E319" s="12" t="str">
        <f t="array" ref="E319">IF(D319:D4360="","",IFERROR(_xlfn.XLOOKUP(D319:D4360,'参照_勢力'!A:A,'参照_勢力'!B:B),IFERROR(_xlfn.XLOOKUP(F319:F4360,kunishuClan!A:A,kunishuClan!B:B),"浪人")))</f>
      </c>
      <c r="F319" s="4">
        <v>0</v>
      </c>
      <c r="G319" s="4">
        <v>3</v>
      </c>
      <c r="H319" s="12" t="str">
        <f t="array" ref="H319">IF(G319:G4360="","",_xlfn.XLOOKUP(G319:G4360,castles_state!A:A,castles_state!D:D,"見つかりません"))</f>
      </c>
      <c r="I319" s="4"/>
      <c r="J319" s="12" t="str">
        <f t="array" ref="J319">IF(I319:I4360="","",_xlfn.XLOOKUP(I319:I4360,'参照_姫'!A:A,'参照_姫'!B:B,"見つかりません"))</f>
      </c>
      <c r="K319" s="4">
        <v>100</v>
      </c>
      <c r="L319" s="4">
        <v>1500</v>
      </c>
      <c r="M319" s="4"/>
      <c r="N319" s="4"/>
      <c r="O319" s="4"/>
      <c r="P319" s="12" t="str">
        <f t="array" ref="P319">IF(O319:O4360="","",_xlfn.XLOOKUP(O319:O4360,'参照_官位'!A:A,'参照_官位'!B:B,""))</f>
      </c>
      <c r="Q319" s="12" t="str">
        <f t="array" ref="Q319">IF(A319:A4360="","",IFERROR(_xlfn.XLOOKUP(A319:A4360,castles_state!K:K,castles_state!D:D)&amp;"主",IFERROR(_xlfn.XLOOKUP(A319:A4360,kunishuClan!D:D,kunishuClan!B:B)&amp;"当主","")))</f>
      </c>
    </row>
    <row r="320" ht="15.75" customHeight="1">
      <c r="A320" s="4">
        <v>1005004</v>
      </c>
      <c r="B320" s="12" t="str">
        <f t="array" ref="B320">IF(A320:A4361="","",_xlfn.XLOOKUP(A320:A4361,'参照_武将'!A:A,'参照_武将'!B:B,"見つかりません"))</f>
      </c>
      <c r="C320" s="4" t="s">
        <v>5910</v>
      </c>
      <c r="D320" s="4">
        <v>19</v>
      </c>
      <c r="E320" s="12" t="str">
        <f t="array" ref="E320">IF(D320:D4361="","",IFERROR(_xlfn.XLOOKUP(D320:D4361,'参照_勢力'!A:A,'参照_勢力'!B:B),IFERROR(_xlfn.XLOOKUP(F320:F4361,kunishuClan!A:A,kunishuClan!B:B),"浪人")))</f>
      </c>
      <c r="F320" s="4">
        <v>0</v>
      </c>
      <c r="G320" s="4">
        <v>44</v>
      </c>
      <c r="H320" s="12" t="str">
        <f t="array" ref="H320">IF(G320:G4361="","",_xlfn.XLOOKUP(G320:G4361,castles_state!A:A,castles_state!D:D,"見つかりません"))</f>
      </c>
      <c r="I320" s="4"/>
      <c r="J320" s="12" t="str">
        <f t="array" ref="J320">IF(I320:I4361="","",_xlfn.XLOOKUP(I320:I4361,'参照_姫'!A:A,'参照_姫'!B:B,"見つかりません"))</f>
      </c>
      <c r="K320" s="4">
        <v>95</v>
      </c>
      <c r="L320" s="4">
        <v>200</v>
      </c>
      <c r="M320" s="4"/>
      <c r="N320" s="4"/>
      <c r="O320" s="4"/>
      <c r="P320" s="12" t="str">
        <f t="array" ref="P320">IF(O320:O4361="","",_xlfn.XLOOKUP(O320:O4361,'参照_官位'!A:A,'参照_官位'!B:B,""))</f>
      </c>
      <c r="Q320" s="12" t="str">
        <f t="array" ref="Q320">IF(A320:A4361="","",IFERROR(_xlfn.XLOOKUP(A320:A4361,castles_state!K:K,castles_state!D:D)&amp;"主",IFERROR(_xlfn.XLOOKUP(A320:A4361,kunishuClan!D:D,kunishuClan!B:B)&amp;"当主","")))</f>
      </c>
    </row>
    <row r="321" ht="15.75" customHeight="1">
      <c r="A321" s="4">
        <v>1005005</v>
      </c>
      <c r="B321" s="12" t="str">
        <f t="array" ref="B321">IF(A321:A4362="","",_xlfn.XLOOKUP(A321:A4362,'参照_武将'!A:A,'参照_武将'!B:B,"見つかりません"))</f>
      </c>
      <c r="C321" s="4" t="s">
        <v>5910</v>
      </c>
      <c r="D321" s="4">
        <v>1</v>
      </c>
      <c r="E321" s="12" t="str">
        <f t="array" ref="E321">IF(D321:D4362="","",IFERROR(_xlfn.XLOOKUP(D321:D4362,'参照_勢力'!A:A,'参照_勢力'!B:B),IFERROR(_xlfn.XLOOKUP(F321:F4362,kunishuClan!A:A,kunishuClan!B:B),"浪人")))</f>
      </c>
      <c r="F321" s="4">
        <v>0</v>
      </c>
      <c r="G321" s="4">
        <v>3</v>
      </c>
      <c r="H321" s="12" t="str">
        <f t="array" ref="H321">IF(G321:G4362="","",_xlfn.XLOOKUP(G321:G4362,castles_state!A:A,castles_state!D:D,"見つかりません"))</f>
      </c>
      <c r="I321" s="4"/>
      <c r="J321" s="12" t="str">
        <f t="array" ref="J321">IF(I321:I4362="","",_xlfn.XLOOKUP(I321:I4362,'参照_姫'!A:A,'参照_姫'!B:B,"見つかりません"))</f>
      </c>
      <c r="K321" s="4">
        <v>95</v>
      </c>
      <c r="L321" s="4">
        <v>0</v>
      </c>
      <c r="M321" s="4"/>
      <c r="N321" s="4"/>
      <c r="O321" s="4"/>
      <c r="P321" s="12" t="str">
        <f t="array" ref="P321">IF(O321:O4362="","",_xlfn.XLOOKUP(O321:O4362,'参照_官位'!A:A,'参照_官位'!B:B,""))</f>
      </c>
      <c r="Q321" s="12" t="str">
        <f t="array" ref="Q321">IF(A321:A4362="","",IFERROR(_xlfn.XLOOKUP(A321:A4362,castles_state!K:K,castles_state!D:D)&amp;"主",IFERROR(_xlfn.XLOOKUP(A321:A4362,kunishuClan!D:D,kunishuClan!B:B)&amp;"当主","")))</f>
      </c>
    </row>
    <row r="322" ht="15.75" customHeight="1">
      <c r="A322" s="4">
        <v>1005006</v>
      </c>
      <c r="B322" s="12" t="str">
        <f t="array" ref="B322">IF(A322:A4363="","",_xlfn.XLOOKUP(A322:A4363,'参照_武将'!A:A,'参照_武将'!B:B,"見つかりません"))</f>
      </c>
      <c r="C322" s="4" t="s">
        <v>5910</v>
      </c>
      <c r="D322" s="4">
        <v>0</v>
      </c>
      <c r="E322" s="12" t="str">
        <f t="array" ref="E322">IF(D322:D4363="","",IFERROR(_xlfn.XLOOKUP(D322:D4363,'参照_勢力'!A:A,'参照_勢力'!B:B),IFERROR(_xlfn.XLOOKUP(F322:F4363,kunishuClan!A:A,kunishuClan!B:B),"浪人")))</f>
      </c>
      <c r="F322" s="4">
        <v>0</v>
      </c>
      <c r="G322" s="4">
        <v>3</v>
      </c>
      <c r="H322" s="12" t="str">
        <f t="array" ref="H322">IF(G322:G4363="","",_xlfn.XLOOKUP(G322:G4363,castles_state!A:A,castles_state!D:D,"見つかりません"))</f>
      </c>
      <c r="I322" s="4"/>
      <c r="J322" s="12" t="str">
        <f t="array" ref="J322">IF(I322:I4363="","",_xlfn.XLOOKUP(I322:I4363,'参照_姫'!A:A,'参照_姫'!B:B,"見つかりません"))</f>
      </c>
      <c r="K322" s="4">
        <v>50</v>
      </c>
      <c r="L322" s="4">
        <v>0</v>
      </c>
      <c r="M322" s="4"/>
      <c r="N322" s="4"/>
      <c r="O322" s="4"/>
      <c r="P322" s="12" t="str">
        <f t="array" ref="P322">IF(O322:O4363="","",_xlfn.XLOOKUP(O322:O4363,'参照_官位'!A:A,'参照_官位'!B:B,""))</f>
      </c>
      <c r="Q322" s="12" t="str">
        <f t="array" ref="Q322">IF(A322:A4363="","",IFERROR(_xlfn.XLOOKUP(A322:A4363,castles_state!K:K,castles_state!D:D)&amp;"主",IFERROR(_xlfn.XLOOKUP(A322:A4363,kunishuClan!D:D,kunishuClan!B:B)&amp;"当主","")))</f>
      </c>
    </row>
    <row r="323" ht="15.75" customHeight="1">
      <c r="A323" s="4">
        <v>1005007</v>
      </c>
      <c r="B323" s="12" t="str">
        <f t="array" ref="B323">IF(A323:A4364="","",_xlfn.XLOOKUP(A323:A4364,'参照_武将'!A:A,'参照_武将'!B:B,"見つかりません"))</f>
      </c>
      <c r="C323" s="4" t="s">
        <v>5910</v>
      </c>
      <c r="D323" s="4">
        <v>19</v>
      </c>
      <c r="E323" s="12" t="str">
        <f t="array" ref="E323">IF(D323:D4364="","",IFERROR(_xlfn.XLOOKUP(D323:D4364,'参照_勢力'!A:A,'参照_勢力'!B:B),IFERROR(_xlfn.XLOOKUP(F323:F4364,kunishuClan!A:A,kunishuClan!B:B),"浪人")))</f>
      </c>
      <c r="F323" s="4">
        <v>0</v>
      </c>
      <c r="G323" s="4">
        <v>44</v>
      </c>
      <c r="H323" s="12" t="str">
        <f t="array" ref="H323">IF(G323:G4364="","",_xlfn.XLOOKUP(G323:G4364,castles_state!A:A,castles_state!D:D,"見つかりません"))</f>
      </c>
      <c r="I323" s="4"/>
      <c r="J323" s="12" t="str">
        <f t="array" ref="J323">IF(I323:I4364="","",_xlfn.XLOOKUP(I323:I4364,'参照_姫'!A:A,'参照_姫'!B:B,"見つかりません"))</f>
      </c>
      <c r="K323" s="4">
        <v>95</v>
      </c>
      <c r="L323" s="4">
        <v>300</v>
      </c>
      <c r="M323" s="4"/>
      <c r="N323" s="4"/>
      <c r="O323" s="4"/>
      <c r="P323" s="12" t="str">
        <f t="array" ref="P323">IF(O323:O4364="","",_xlfn.XLOOKUP(O323:O4364,'参照_官位'!A:A,'参照_官位'!B:B,""))</f>
      </c>
      <c r="Q323" s="12" t="str">
        <f t="array" ref="Q323">IF(A323:A4364="","",IFERROR(_xlfn.XLOOKUP(A323:A4364,castles_state!K:K,castles_state!D:D)&amp;"主",IFERROR(_xlfn.XLOOKUP(A323:A4364,kunishuClan!D:D,kunishuClan!B:B)&amp;"当主","")))</f>
      </c>
    </row>
    <row r="324" ht="15.75" customHeight="1">
      <c r="A324" s="4">
        <v>1005008</v>
      </c>
      <c r="B324" s="12" t="str">
        <f t="array" ref="B324">IF(A324:A4365="","",_xlfn.XLOOKUP(A324:A4365,'参照_武将'!A:A,'参照_武将'!B:B,"見つかりません"))</f>
      </c>
      <c r="C324" s="4" t="s">
        <v>5910</v>
      </c>
      <c r="D324" s="4">
        <v>17</v>
      </c>
      <c r="E324" s="12" t="str">
        <f t="array" ref="E324">IF(D324:D4365="","",IFERROR(_xlfn.XLOOKUP(D324:D4365,'参照_勢力'!A:A,'参照_勢力'!B:B),IFERROR(_xlfn.XLOOKUP(F324:F4365,kunishuClan!A:A,kunishuClan!B:B),"浪人")))</f>
      </c>
      <c r="F324" s="4">
        <v>0</v>
      </c>
      <c r="G324" s="4">
        <v>26</v>
      </c>
      <c r="H324" s="12" t="str">
        <f t="array" ref="H324">IF(G324:G4365="","",_xlfn.XLOOKUP(G324:G4365,castles_state!A:A,castles_state!D:D,"見つかりません"))</f>
      </c>
      <c r="I324" s="4"/>
      <c r="J324" s="12" t="str">
        <f t="array" ref="J324">IF(I324:I4365="","",_xlfn.XLOOKUP(I324:I4365,'参照_姫'!A:A,'参照_姫'!B:B,"見つかりません"))</f>
      </c>
      <c r="K324" s="4">
        <v>90</v>
      </c>
      <c r="L324" s="4">
        <v>0</v>
      </c>
      <c r="M324" s="4"/>
      <c r="N324" s="4"/>
      <c r="O324" s="4"/>
      <c r="P324" s="12" t="str">
        <f t="array" ref="P324">IF(O324:O4365="","",_xlfn.XLOOKUP(O324:O4365,'参照_官位'!A:A,'参照_官位'!B:B,""))</f>
      </c>
      <c r="Q324" s="12" t="str">
        <f t="array" ref="Q324">IF(A324:A4365="","",IFERROR(_xlfn.XLOOKUP(A324:A4365,castles_state!K:K,castles_state!D:D)&amp;"主",IFERROR(_xlfn.XLOOKUP(A324:A4365,kunishuClan!D:D,kunishuClan!B:B)&amp;"当主","")))</f>
      </c>
    </row>
    <row r="325" ht="15.75" customHeight="1">
      <c r="A325" s="4">
        <v>1005009</v>
      </c>
      <c r="B325" s="12" t="str">
        <f t="array" ref="B325">IF(A325:A4366="","",_xlfn.XLOOKUP(A325:A4366,'参照_武将'!A:A,'参照_武将'!B:B,"見つかりません"))</f>
      </c>
      <c r="C325" s="4" t="s">
        <v>5910</v>
      </c>
      <c r="D325" s="4">
        <v>1</v>
      </c>
      <c r="E325" s="12" t="str">
        <f t="array" ref="E325">IF(D325:D4366="","",IFERROR(_xlfn.XLOOKUP(D325:D4366,'参照_勢力'!A:A,'参照_勢力'!B:B),IFERROR(_xlfn.XLOOKUP(F325:F4366,kunishuClan!A:A,kunishuClan!B:B),"浪人")))</f>
      </c>
      <c r="F325" s="4">
        <v>0</v>
      </c>
      <c r="G325" s="4">
        <v>183</v>
      </c>
      <c r="H325" s="12" t="str">
        <f t="array" ref="H325">IF(G325:G4366="","",_xlfn.XLOOKUP(G325:G4366,castles_state!A:A,castles_state!D:D,"見つかりません"))</f>
      </c>
      <c r="I325" s="4"/>
      <c r="J325" s="12" t="str">
        <f t="array" ref="J325">IF(I325:I4366="","",_xlfn.XLOOKUP(I325:I4366,'参照_姫'!A:A,'参照_姫'!B:B,"見つかりません"))</f>
      </c>
      <c r="K325" s="4">
        <v>95</v>
      </c>
      <c r="L325" s="4">
        <v>500</v>
      </c>
      <c r="M325" s="4"/>
      <c r="N325" s="4"/>
      <c r="O325" s="4"/>
      <c r="P325" s="12" t="str">
        <f t="array" ref="P325">IF(O325:O4366="","",_xlfn.XLOOKUP(O325:O4366,'参照_官位'!A:A,'参照_官位'!B:B,""))</f>
      </c>
      <c r="Q325" s="12" t="str">
        <f t="array" ref="Q325">IF(A325:A4366="","",IFERROR(_xlfn.XLOOKUP(A325:A4366,castles_state!K:K,castles_state!D:D)&amp;"主",IFERROR(_xlfn.XLOOKUP(A325:A4366,kunishuClan!D:D,kunishuClan!B:B)&amp;"当主","")))</f>
      </c>
    </row>
    <row r="326" ht="15.75" customHeight="1">
      <c r="A326" s="4">
        <v>1005010</v>
      </c>
      <c r="B326" s="12" t="str">
        <f t="array" ref="B326">IF(A326:A4367="","",_xlfn.XLOOKUP(A326:A4367,'参照_武将'!A:A,'参照_武将'!B:B,"見つかりません"))</f>
      </c>
      <c r="C326" s="4" t="s">
        <v>5910</v>
      </c>
      <c r="D326" s="4">
        <v>1</v>
      </c>
      <c r="E326" s="12" t="str">
        <f t="array" ref="E326">IF(D326:D4367="","",IFERROR(_xlfn.XLOOKUP(D326:D4367,'参照_勢力'!A:A,'参照_勢力'!B:B),IFERROR(_xlfn.XLOOKUP(F326:F4367,kunishuClan!A:A,kunishuClan!B:B),"浪人")))</f>
      </c>
      <c r="F326" s="4">
        <v>0</v>
      </c>
      <c r="G326" s="4">
        <v>183</v>
      </c>
      <c r="H326" s="12" t="str">
        <f t="array" ref="H326">IF(G326:G4367="","",_xlfn.XLOOKUP(G326:G4367,castles_state!A:A,castles_state!D:D,"見つかりません"))</f>
      </c>
      <c r="I326" s="4"/>
      <c r="J326" s="12" t="str">
        <f t="array" ref="J326">IF(I326:I4367="","",_xlfn.XLOOKUP(I326:I4367,'参照_姫'!A:A,'参照_姫'!B:B,"見つかりません"))</f>
      </c>
      <c r="K326" s="4">
        <v>95</v>
      </c>
      <c r="L326" s="4">
        <v>0</v>
      </c>
      <c r="M326" s="4"/>
      <c r="N326" s="4"/>
      <c r="O326" s="4"/>
      <c r="P326" s="12" t="str">
        <f t="array" ref="P326">IF(O326:O4367="","",_xlfn.XLOOKUP(O326:O4367,'参照_官位'!A:A,'参照_官位'!B:B,""))</f>
      </c>
      <c r="Q326" s="12" t="str">
        <f t="array" ref="Q326">IF(A326:A4367="","",IFERROR(_xlfn.XLOOKUP(A326:A4367,castles_state!K:K,castles_state!D:D)&amp;"主",IFERROR(_xlfn.XLOOKUP(A326:A4367,kunishuClan!D:D,kunishuClan!B:B)&amp;"当主","")))</f>
      </c>
    </row>
    <row r="327" ht="15.75" customHeight="1">
      <c r="A327" s="4">
        <v>1005011</v>
      </c>
      <c r="B327" s="12" t="str">
        <f t="array" ref="B327">IF(A327:A4368="","",_xlfn.XLOOKUP(A327:A4368,'参照_武将'!A:A,'参照_武将'!B:B,"見つかりません"))</f>
      </c>
      <c r="C327" s="4" t="s">
        <v>5910</v>
      </c>
      <c r="D327" s="4">
        <v>1</v>
      </c>
      <c r="E327" s="12" t="str">
        <f t="array" ref="E327">IF(D327:D4368="","",IFERROR(_xlfn.XLOOKUP(D327:D4368,'参照_勢力'!A:A,'参照_勢力'!B:B),IFERROR(_xlfn.XLOOKUP(F327:F4368,kunishuClan!A:A,kunishuClan!B:B),"浪人")))</f>
      </c>
      <c r="F327" s="4">
        <v>0</v>
      </c>
      <c r="G327" s="4">
        <v>182</v>
      </c>
      <c r="H327" s="12" t="str">
        <f t="array" ref="H327">IF(G327:G4368="","",_xlfn.XLOOKUP(G327:G4368,castles_state!A:A,castles_state!D:D,"見つかりません"))</f>
      </c>
      <c r="I327" s="4"/>
      <c r="J327" s="12" t="str">
        <f t="array" ref="J327">IF(I327:I4368="","",_xlfn.XLOOKUP(I327:I4368,'参照_姫'!A:A,'参照_姫'!B:B,"見つかりません"))</f>
      </c>
      <c r="K327" s="4">
        <v>95</v>
      </c>
      <c r="L327" s="4">
        <v>500</v>
      </c>
      <c r="M327" s="4"/>
      <c r="N327" s="4"/>
      <c r="O327" s="4"/>
      <c r="P327" s="12" t="str">
        <f t="array" ref="P327">IF(O327:O4368="","",_xlfn.XLOOKUP(O327:O4368,'参照_官位'!A:A,'参照_官位'!B:B,""))</f>
      </c>
      <c r="Q327" s="12" t="str">
        <f t="array" ref="Q327">IF(A327:A4368="","",IFERROR(_xlfn.XLOOKUP(A327:A4368,castles_state!K:K,castles_state!D:D)&amp;"主",IFERROR(_xlfn.XLOOKUP(A327:A4368,kunishuClan!D:D,kunishuClan!B:B)&amp;"当主","")))</f>
      </c>
    </row>
    <row r="328" ht="15.75" customHeight="1">
      <c r="A328" s="4">
        <v>1005012</v>
      </c>
      <c r="B328" s="12" t="str">
        <f t="array" ref="B328">IF(A328:A4369="","",_xlfn.XLOOKUP(A328:A4369,'参照_武将'!A:A,'参照_武将'!B:B,"見つかりません"))</f>
      </c>
      <c r="C328" s="4" t="s">
        <v>5910</v>
      </c>
      <c r="D328" s="4">
        <v>1</v>
      </c>
      <c r="E328" s="12" t="str">
        <f t="array" ref="E328">IF(D328:D4369="","",IFERROR(_xlfn.XLOOKUP(D328:D4369,'参照_勢力'!A:A,'参照_勢力'!B:B),IFERROR(_xlfn.XLOOKUP(F328:F4369,kunishuClan!A:A,kunishuClan!B:B),"浪人")))</f>
      </c>
      <c r="F328" s="4">
        <v>0</v>
      </c>
      <c r="G328" s="4">
        <v>182</v>
      </c>
      <c r="H328" s="12" t="str">
        <f t="array" ref="H328">IF(G328:G4369="","",_xlfn.XLOOKUP(G328:G4369,castles_state!A:A,castles_state!D:D,"見つかりません"))</f>
      </c>
      <c r="I328" s="4"/>
      <c r="J328" s="12" t="str">
        <f t="array" ref="J328">IF(I328:I4369="","",_xlfn.XLOOKUP(I328:I4369,'参照_姫'!A:A,'参照_姫'!B:B,"見つかりません"))</f>
      </c>
      <c r="K328" s="4">
        <v>95</v>
      </c>
      <c r="L328" s="4">
        <v>0</v>
      </c>
      <c r="M328" s="4"/>
      <c r="N328" s="4"/>
      <c r="O328" s="4"/>
      <c r="P328" s="12" t="str">
        <f t="array" ref="P328">IF(O328:O4369="","",_xlfn.XLOOKUP(O328:O4369,'参照_官位'!A:A,'参照_官位'!B:B,""))</f>
      </c>
      <c r="Q328" s="12" t="str">
        <f t="array" ref="Q328">IF(A328:A4369="","",IFERROR(_xlfn.XLOOKUP(A328:A4369,castles_state!K:K,castles_state!D:D)&amp;"主",IFERROR(_xlfn.XLOOKUP(A328:A4369,kunishuClan!D:D,kunishuClan!B:B)&amp;"当主","")))</f>
      </c>
    </row>
    <row r="329" ht="15.75" customHeight="1">
      <c r="A329" s="4">
        <v>1005013</v>
      </c>
      <c r="B329" s="12" t="str">
        <f t="array" ref="B329">IF(A329:A4370="","",_xlfn.XLOOKUP(A329:A4370,'参照_武将'!A:A,'参照_武将'!B:B,"見つかりません"))</f>
      </c>
      <c r="C329" s="4" t="s">
        <v>5910</v>
      </c>
      <c r="D329" s="4">
        <v>0</v>
      </c>
      <c r="E329" s="12" t="str">
        <f t="array" ref="E329">IF(D329:D4370="","",IFERROR(_xlfn.XLOOKUP(D329:D4370,'参照_勢力'!A:A,'参照_勢力'!B:B),IFERROR(_xlfn.XLOOKUP(F329:F4370,kunishuClan!A:A,kunishuClan!B:B),"浪人")))</f>
      </c>
      <c r="F329" s="4">
        <v>0</v>
      </c>
      <c r="G329" s="4">
        <v>182</v>
      </c>
      <c r="H329" s="12" t="str">
        <f t="array" ref="H329">IF(G329:G4370="","",_xlfn.XLOOKUP(G329:G4370,castles_state!A:A,castles_state!D:D,"見つかりません"))</f>
      </c>
      <c r="I329" s="4"/>
      <c r="J329" s="12" t="str">
        <f t="array" ref="J329">IF(I329:I4370="","",_xlfn.XLOOKUP(I329:I4370,'参照_姫'!A:A,'参照_姫'!B:B,"見つかりません"))</f>
      </c>
      <c r="K329" s="4">
        <v>50</v>
      </c>
      <c r="L329" s="4">
        <v>0</v>
      </c>
      <c r="M329" s="4"/>
      <c r="N329" s="4"/>
      <c r="O329" s="4"/>
      <c r="P329" s="12" t="str">
        <f t="array" ref="P329">IF(O329:O4370="","",_xlfn.XLOOKUP(O329:O4370,'参照_官位'!A:A,'参照_官位'!B:B,""))</f>
      </c>
      <c r="Q329" s="12" t="str">
        <f t="array" ref="Q329">IF(A329:A4370="","",IFERROR(_xlfn.XLOOKUP(A329:A4370,castles_state!K:K,castles_state!D:D)&amp;"主",IFERROR(_xlfn.XLOOKUP(A329:A4370,kunishuClan!D:D,kunishuClan!B:B)&amp;"当主","")))</f>
      </c>
    </row>
    <row r="330" ht="15.75" customHeight="1">
      <c r="A330" s="4">
        <v>1005014</v>
      </c>
      <c r="B330" s="12" t="str">
        <f t="array" ref="B330">IF(A330:A4371="","",_xlfn.XLOOKUP(A330:A4371,'参照_武将'!A:A,'参照_武将'!B:B,"見つかりません"))</f>
      </c>
      <c r="C330" s="4" t="s">
        <v>5910</v>
      </c>
      <c r="D330" s="4">
        <v>0</v>
      </c>
      <c r="E330" s="12" t="str">
        <f t="array" ref="E330">IF(D330:D4371="","",IFERROR(_xlfn.XLOOKUP(D330:D4371,'参照_勢力'!A:A,'参照_勢力'!B:B),IFERROR(_xlfn.XLOOKUP(F330:F4371,kunishuClan!A:A,kunishuClan!B:B),"浪人")))</f>
      </c>
      <c r="F330" s="4">
        <v>0</v>
      </c>
      <c r="G330" s="4">
        <v>182</v>
      </c>
      <c r="H330" s="12" t="str">
        <f t="array" ref="H330">IF(G330:G4371="","",_xlfn.XLOOKUP(G330:G4371,castles_state!A:A,castles_state!D:D,"見つかりません"))</f>
      </c>
      <c r="I330" s="4"/>
      <c r="J330" s="12" t="str">
        <f t="array" ref="J330">IF(I330:I4371="","",_xlfn.XLOOKUP(I330:I4371,'参照_姫'!A:A,'参照_姫'!B:B,"見つかりません"))</f>
      </c>
      <c r="K330" s="4">
        <v>50</v>
      </c>
      <c r="L330" s="4">
        <v>0</v>
      </c>
      <c r="M330" s="4"/>
      <c r="N330" s="4"/>
      <c r="O330" s="4"/>
      <c r="P330" s="12" t="str">
        <f t="array" ref="P330">IF(O330:O4371="","",_xlfn.XLOOKUP(O330:O4371,'参照_官位'!A:A,'参照_官位'!B:B,""))</f>
      </c>
      <c r="Q330" s="12" t="str">
        <f t="array" ref="Q330">IF(A330:A4371="","",IFERROR(_xlfn.XLOOKUP(A330:A4371,castles_state!K:K,castles_state!D:D)&amp;"主",IFERROR(_xlfn.XLOOKUP(A330:A4371,kunishuClan!D:D,kunishuClan!B:B)&amp;"当主","")))</f>
      </c>
    </row>
    <row r="331" ht="15.75" customHeight="1">
      <c r="A331" s="4">
        <v>1005015</v>
      </c>
      <c r="B331" s="12" t="str">
        <f t="array" ref="B331">IF(A331:A4372="","",_xlfn.XLOOKUP(A331:A4372,'参照_武将'!A:A,'参照_武将'!B:B,"見つかりません"))</f>
      </c>
      <c r="C331" s="4" t="s">
        <v>5910</v>
      </c>
      <c r="D331" s="4">
        <v>1</v>
      </c>
      <c r="E331" s="12" t="str">
        <f t="array" ref="E331">IF(D331:D4372="","",IFERROR(_xlfn.XLOOKUP(D331:D4372,'参照_勢力'!A:A,'参照_勢力'!B:B),IFERROR(_xlfn.XLOOKUP(F331:F4372,kunishuClan!A:A,kunishuClan!B:B),"浪人")))</f>
      </c>
      <c r="F331" s="4">
        <v>0</v>
      </c>
      <c r="G331" s="4">
        <v>182</v>
      </c>
      <c r="H331" s="12" t="str">
        <f t="array" ref="H331">IF(G331:G4372="","",_xlfn.XLOOKUP(G331:G4372,castles_state!A:A,castles_state!D:D,"見つかりません"))</f>
      </c>
      <c r="I331" s="4"/>
      <c r="J331" s="12" t="str">
        <f t="array" ref="J331">IF(I331:I4372="","",_xlfn.XLOOKUP(I331:I4372,'参照_姫'!A:A,'参照_姫'!B:B,"見つかりません"))</f>
      </c>
      <c r="K331" s="4">
        <v>95</v>
      </c>
      <c r="L331" s="4">
        <v>0</v>
      </c>
      <c r="M331" s="4"/>
      <c r="N331" s="4"/>
      <c r="O331" s="4"/>
      <c r="P331" s="12" t="str">
        <f t="array" ref="P331">IF(O331:O4372="","",_xlfn.XLOOKUP(O331:O4372,'参照_官位'!A:A,'参照_官位'!B:B,""))</f>
      </c>
      <c r="Q331" s="12" t="str">
        <f t="array" ref="Q331">IF(A331:A4372="","",IFERROR(_xlfn.XLOOKUP(A331:A4372,castles_state!K:K,castles_state!D:D)&amp;"主",IFERROR(_xlfn.XLOOKUP(A331:A4372,kunishuClan!D:D,kunishuClan!B:B)&amp;"当主","")))</f>
      </c>
    </row>
    <row r="332" ht="15.75" customHeight="1">
      <c r="A332" s="4">
        <v>1005016</v>
      </c>
      <c r="B332" s="12" t="str">
        <f t="array" ref="B332">IF(A332:A4373="","",_xlfn.XLOOKUP(A332:A4373,'参照_武将'!A:A,'参照_武将'!B:B,"見つかりません"))</f>
      </c>
      <c r="C332" s="4" t="s">
        <v>5910</v>
      </c>
      <c r="D332" s="4">
        <v>0</v>
      </c>
      <c r="E332" s="12" t="str">
        <f t="array" ref="E332">IF(D332:D4373="","",IFERROR(_xlfn.XLOOKUP(D332:D4373,'参照_勢力'!A:A,'参照_勢力'!B:B),IFERROR(_xlfn.XLOOKUP(F332:F4373,kunishuClan!A:A,kunishuClan!B:B),"浪人")))</f>
      </c>
      <c r="F332" s="4">
        <v>0</v>
      </c>
      <c r="G332" s="4">
        <v>182</v>
      </c>
      <c r="H332" s="12" t="str">
        <f t="array" ref="H332">IF(G332:G4373="","",_xlfn.XLOOKUP(G332:G4373,castles_state!A:A,castles_state!D:D,"見つかりません"))</f>
      </c>
      <c r="I332" s="4"/>
      <c r="J332" s="12" t="str">
        <f t="array" ref="J332">IF(I332:I4373="","",_xlfn.XLOOKUP(I332:I4373,'参照_姫'!A:A,'参照_姫'!B:B,"見つかりません"))</f>
      </c>
      <c r="K332" s="4">
        <v>50</v>
      </c>
      <c r="L332" s="4">
        <v>0</v>
      </c>
      <c r="M332" s="4"/>
      <c r="N332" s="4"/>
      <c r="O332" s="4"/>
      <c r="P332" s="12" t="str">
        <f t="array" ref="P332">IF(O332:O4373="","",_xlfn.XLOOKUP(O332:O4373,'参照_官位'!A:A,'参照_官位'!B:B,""))</f>
      </c>
      <c r="Q332" s="12" t="str">
        <f t="array" ref="Q332">IF(A332:A4373="","",IFERROR(_xlfn.XLOOKUP(A332:A4373,castles_state!K:K,castles_state!D:D)&amp;"主",IFERROR(_xlfn.XLOOKUP(A332:A4373,kunishuClan!D:D,kunishuClan!B:B)&amp;"当主","")))</f>
      </c>
    </row>
    <row r="333" ht="15.75" customHeight="1">
      <c r="A333" s="4">
        <v>1005017</v>
      </c>
      <c r="B333" s="12" t="str">
        <f t="array" ref="B333">IF(A333:A4374="","",_xlfn.XLOOKUP(A333:A4374,'参照_武将'!A:A,'参照_武将'!B:B,"見つかりません"))</f>
      </c>
      <c r="C333" s="4" t="s">
        <v>5910</v>
      </c>
      <c r="D333" s="4">
        <v>1</v>
      </c>
      <c r="E333" s="12" t="str">
        <f t="array" ref="E333">IF(D333:D4374="","",IFERROR(_xlfn.XLOOKUP(D333:D4374,'参照_勢力'!A:A,'参照_勢力'!B:B),IFERROR(_xlfn.XLOOKUP(F333:F4374,kunishuClan!A:A,kunishuClan!B:B),"浪人")))</f>
      </c>
      <c r="F333" s="4">
        <v>0</v>
      </c>
      <c r="G333" s="4">
        <v>3</v>
      </c>
      <c r="H333" s="12" t="str">
        <f t="array" ref="H333">IF(G333:G4374="","",_xlfn.XLOOKUP(G333:G4374,castles_state!A:A,castles_state!D:D,"見つかりません"))</f>
      </c>
      <c r="I333" s="4"/>
      <c r="J333" s="12" t="str">
        <f t="array" ref="J333">IF(I333:I4374="","",_xlfn.XLOOKUP(I333:I4374,'参照_姫'!A:A,'参照_姫'!B:B,"見つかりません"))</f>
      </c>
      <c r="K333" s="4">
        <v>95</v>
      </c>
      <c r="L333" s="4">
        <v>0</v>
      </c>
      <c r="M333" s="4"/>
      <c r="N333" s="4"/>
      <c r="O333" s="4"/>
      <c r="P333" s="12" t="str">
        <f t="array" ref="P333">IF(O333:O4374="","",_xlfn.XLOOKUP(O333:O4374,'参照_官位'!A:A,'参照_官位'!B:B,""))</f>
      </c>
      <c r="Q333" s="12" t="str">
        <f t="array" ref="Q333">IF(A333:A4374="","",IFERROR(_xlfn.XLOOKUP(A333:A4374,castles_state!K:K,castles_state!D:D)&amp;"主",IFERROR(_xlfn.XLOOKUP(A333:A4374,kunishuClan!D:D,kunishuClan!B:B)&amp;"当主","")))</f>
      </c>
    </row>
    <row r="334" ht="15.75" customHeight="1">
      <c r="A334" s="4">
        <v>1005018</v>
      </c>
      <c r="B334" s="12" t="str">
        <f t="array" ref="B334">IF(A334:A4375="","",_xlfn.XLOOKUP(A334:A4375,'参照_武将'!A:A,'参照_武将'!B:B,"見つかりません"))</f>
      </c>
      <c r="C334" s="4" t="s">
        <v>5910</v>
      </c>
      <c r="D334" s="4">
        <v>1</v>
      </c>
      <c r="E334" s="12" t="str">
        <f t="array" ref="E334">IF(D334:D4375="","",IFERROR(_xlfn.XLOOKUP(D334:D4375,'参照_勢力'!A:A,'参照_勢力'!B:B),IFERROR(_xlfn.XLOOKUP(F334:F4375,kunishuClan!A:A,kunishuClan!B:B),"浪人")))</f>
      </c>
      <c r="F334" s="4">
        <v>0</v>
      </c>
      <c r="G334" s="4">
        <v>36</v>
      </c>
      <c r="H334" s="12" t="str">
        <f t="array" ref="H334">IF(G334:G4375="","",_xlfn.XLOOKUP(G334:G4375,castles_state!A:A,castles_state!D:D,"見つかりません"))</f>
      </c>
      <c r="I334" s="4"/>
      <c r="J334" s="12" t="str">
        <f t="array" ref="J334">IF(I334:I4375="","",_xlfn.XLOOKUP(I334:I4375,'参照_姫'!A:A,'参照_姫'!B:B,"見つかりません"))</f>
      </c>
      <c r="K334" s="4">
        <v>95</v>
      </c>
      <c r="L334" s="4">
        <v>500</v>
      </c>
      <c r="M334" s="4"/>
      <c r="N334" s="4"/>
      <c r="O334" s="4"/>
      <c r="P334" s="12" t="str">
        <f t="array" ref="P334">IF(O334:O4375="","",_xlfn.XLOOKUP(O334:O4375,'参照_官位'!A:A,'参照_官位'!B:B,""))</f>
      </c>
      <c r="Q334" s="12" t="str">
        <f t="array" ref="Q334">IF(A334:A4375="","",IFERROR(_xlfn.XLOOKUP(A334:A4375,castles_state!K:K,castles_state!D:D)&amp;"主",IFERROR(_xlfn.XLOOKUP(A334:A4375,kunishuClan!D:D,kunishuClan!B:B)&amp;"当主","")))</f>
      </c>
    </row>
    <row r="335" ht="15.75" customHeight="1">
      <c r="A335" s="4">
        <v>1005019</v>
      </c>
      <c r="B335" s="12" t="str">
        <f t="array" ref="B335">IF(A335:A4376="","",_xlfn.XLOOKUP(A335:A4376,'参照_武将'!A:A,'参照_武将'!B:B,"見つかりません"))</f>
      </c>
      <c r="C335" s="4" t="s">
        <v>5910</v>
      </c>
      <c r="D335" s="4">
        <v>1</v>
      </c>
      <c r="E335" s="12" t="str">
        <f t="array" ref="E335">IF(D335:D4376="","",IFERROR(_xlfn.XLOOKUP(D335:D4376,'参照_勢力'!A:A,'参照_勢力'!B:B),IFERROR(_xlfn.XLOOKUP(F335:F4376,kunishuClan!A:A,kunishuClan!B:B),"浪人")))</f>
      </c>
      <c r="F335" s="4">
        <v>0</v>
      </c>
      <c r="G335" s="4">
        <v>36</v>
      </c>
      <c r="H335" s="12" t="str">
        <f t="array" ref="H335">IF(G335:G4376="","",_xlfn.XLOOKUP(G335:G4376,castles_state!A:A,castles_state!D:D,"見つかりません"))</f>
      </c>
      <c r="I335" s="4"/>
      <c r="J335" s="12" t="str">
        <f t="array" ref="J335">IF(I335:I4376="","",_xlfn.XLOOKUP(I335:I4376,'参照_姫'!A:A,'参照_姫'!B:B,"見つかりません"))</f>
      </c>
      <c r="K335" s="4">
        <v>95</v>
      </c>
      <c r="L335" s="4">
        <v>0</v>
      </c>
      <c r="M335" s="4"/>
      <c r="N335" s="4"/>
      <c r="O335" s="4"/>
      <c r="P335" s="12" t="str">
        <f t="array" ref="P335">IF(O335:O4376="","",_xlfn.XLOOKUP(O335:O4376,'参照_官位'!A:A,'参照_官位'!B:B,""))</f>
      </c>
      <c r="Q335" s="12" t="str">
        <f t="array" ref="Q335">IF(A335:A4376="","",IFERROR(_xlfn.XLOOKUP(A335:A4376,castles_state!K:K,castles_state!D:D)&amp;"主",IFERROR(_xlfn.XLOOKUP(A335:A4376,kunishuClan!D:D,kunishuClan!B:B)&amp;"当主","")))</f>
      </c>
    </row>
    <row r="336" ht="15.75" customHeight="1">
      <c r="A336" s="4">
        <v>1005020</v>
      </c>
      <c r="B336" s="12" t="str">
        <f t="array" ref="B336">IF(A336:A4377="","",_xlfn.XLOOKUP(A336:A4377,'参照_武将'!A:A,'参照_武将'!B:B,"見つかりません"))</f>
      </c>
      <c r="C336" s="4" t="s">
        <v>5910</v>
      </c>
      <c r="D336" s="4">
        <v>1</v>
      </c>
      <c r="E336" s="12" t="str">
        <f t="array" ref="E336">IF(D336:D4377="","",IFERROR(_xlfn.XLOOKUP(D336:D4377,'参照_勢力'!A:A,'参照_勢力'!B:B),IFERROR(_xlfn.XLOOKUP(F336:F4377,kunishuClan!A:A,kunishuClan!B:B),"浪人")))</f>
      </c>
      <c r="F336" s="4">
        <v>0</v>
      </c>
      <c r="G336" s="4">
        <v>36</v>
      </c>
      <c r="H336" s="12" t="str">
        <f t="array" ref="H336">IF(G336:G4377="","",_xlfn.XLOOKUP(G336:G4377,castles_state!A:A,castles_state!D:D,"見つかりません"))</f>
      </c>
      <c r="I336" s="4"/>
      <c r="J336" s="12" t="str">
        <f t="array" ref="J336">IF(I336:I4377="","",_xlfn.XLOOKUP(I336:I4377,'参照_姫'!A:A,'参照_姫'!B:B,"見つかりません"))</f>
      </c>
      <c r="K336" s="4">
        <v>95</v>
      </c>
      <c r="L336" s="4">
        <v>0</v>
      </c>
      <c r="M336" s="4"/>
      <c r="N336" s="4"/>
      <c r="O336" s="4"/>
      <c r="P336" s="12" t="str">
        <f t="array" ref="P336">IF(O336:O4377="","",_xlfn.XLOOKUP(O336:O4377,'参照_官位'!A:A,'参照_官位'!B:B,""))</f>
      </c>
      <c r="Q336" s="12" t="str">
        <f t="array" ref="Q336">IF(A336:A4377="","",IFERROR(_xlfn.XLOOKUP(A336:A4377,castles_state!K:K,castles_state!D:D)&amp;"主",IFERROR(_xlfn.XLOOKUP(A336:A4377,kunishuClan!D:D,kunishuClan!B:B)&amp;"当主","")))</f>
      </c>
    </row>
    <row r="337" ht="15.75" customHeight="1">
      <c r="A337" s="4">
        <v>1005021</v>
      </c>
      <c r="B337" s="12" t="str">
        <f t="array" ref="B337">IF(A337:A4378="","",_xlfn.XLOOKUP(A337:A4378,'参照_武将'!A:A,'参照_武将'!B:B,"見つかりません"))</f>
      </c>
      <c r="C337" s="4" t="s">
        <v>5910</v>
      </c>
      <c r="D337" s="4">
        <v>6</v>
      </c>
      <c r="E337" s="12" t="str">
        <f t="array" ref="E337">IF(D337:D4378="","",IFERROR(_xlfn.XLOOKUP(D337:D4378,'参照_勢力'!A:A,'参照_勢力'!B:B),IFERROR(_xlfn.XLOOKUP(F337:F4378,kunishuClan!A:A,kunishuClan!B:B),"浪人")))</f>
      </c>
      <c r="F337" s="4">
        <v>0</v>
      </c>
      <c r="G337" s="4">
        <v>36</v>
      </c>
      <c r="H337" s="12" t="str">
        <f t="array" ref="H337">IF(G337:G4378="","",_xlfn.XLOOKUP(G337:G4378,castles_state!A:A,castles_state!D:D,"見つかりません"))</f>
      </c>
      <c r="I337" s="4"/>
      <c r="J337" s="12" t="str">
        <f t="array" ref="J337">IF(I337:I4378="","",_xlfn.XLOOKUP(I337:I4378,'参照_姫'!A:A,'参照_姫'!B:B,"見つかりません"))</f>
      </c>
      <c r="K337" s="4">
        <v>95</v>
      </c>
      <c r="L337" s="4">
        <v>0</v>
      </c>
      <c r="M337" s="4"/>
      <c r="N337" s="4"/>
      <c r="O337" s="4"/>
      <c r="P337" s="12" t="str">
        <f t="array" ref="P337">IF(O337:O4378="","",_xlfn.XLOOKUP(O337:O4378,'参照_官位'!A:A,'参照_官位'!B:B,""))</f>
      </c>
      <c r="Q337" s="12" t="str">
        <f t="array" ref="Q337">IF(A337:A4378="","",IFERROR(_xlfn.XLOOKUP(A337:A4378,castles_state!K:K,castles_state!D:D)&amp;"主",IFERROR(_xlfn.XLOOKUP(A337:A4378,kunishuClan!D:D,kunishuClan!B:B)&amp;"当主","")))</f>
      </c>
    </row>
    <row r="338" ht="15.75" customHeight="1">
      <c r="A338" s="4">
        <v>1005022</v>
      </c>
      <c r="B338" s="12" t="str">
        <f t="array" ref="B338">IF(A338:A4379="","",_xlfn.XLOOKUP(A338:A4379,'参照_武将'!A:A,'参照_武将'!B:B,"見つかりません"))</f>
      </c>
      <c r="C338" s="4" t="s">
        <v>5910</v>
      </c>
      <c r="D338" s="4">
        <v>6</v>
      </c>
      <c r="E338" s="12" t="str">
        <f t="array" ref="E338">IF(D338:D4379="","",IFERROR(_xlfn.XLOOKUP(D338:D4379,'参照_勢力'!A:A,'参照_勢力'!B:B),IFERROR(_xlfn.XLOOKUP(F338:F4379,kunishuClan!A:A,kunishuClan!B:B),"浪人")))</f>
      </c>
      <c r="F338" s="4">
        <v>0</v>
      </c>
      <c r="G338" s="4">
        <v>36</v>
      </c>
      <c r="H338" s="12" t="str">
        <f t="array" ref="H338">IF(G338:G4379="","",_xlfn.XLOOKUP(G338:G4379,castles_state!A:A,castles_state!D:D,"見つかりません"))</f>
      </c>
      <c r="I338" s="4"/>
      <c r="J338" s="12" t="str">
        <f t="array" ref="J338">IF(I338:I4379="","",_xlfn.XLOOKUP(I338:I4379,'参照_姫'!A:A,'参照_姫'!B:B,"見つかりません"))</f>
      </c>
      <c r="K338" s="4">
        <v>95</v>
      </c>
      <c r="L338" s="4">
        <v>0</v>
      </c>
      <c r="M338" s="4"/>
      <c r="N338" s="4"/>
      <c r="O338" s="4"/>
      <c r="P338" s="12" t="str">
        <f t="array" ref="P338">IF(O338:O4379="","",_xlfn.XLOOKUP(O338:O4379,'参照_官位'!A:A,'参照_官位'!B:B,""))</f>
      </c>
      <c r="Q338" s="12" t="str">
        <f t="array" ref="Q338">IF(A338:A4379="","",IFERROR(_xlfn.XLOOKUP(A338:A4379,castles_state!K:K,castles_state!D:D)&amp;"主",IFERROR(_xlfn.XLOOKUP(A338:A4379,kunishuClan!D:D,kunishuClan!B:B)&amp;"当主","")))</f>
      </c>
    </row>
    <row r="339" ht="15.75" customHeight="1">
      <c r="A339" s="4">
        <v>1005023</v>
      </c>
      <c r="B339" s="12" t="str">
        <f t="array" ref="B339">IF(A339:A4380="","",_xlfn.XLOOKUP(A339:A4380,'参照_武将'!A:A,'参照_武将'!B:B,"見つかりません"))</f>
      </c>
      <c r="C339" s="4" t="s">
        <v>5910</v>
      </c>
      <c r="D339" s="4">
        <v>6</v>
      </c>
      <c r="E339" s="12" t="str">
        <f t="array" ref="E339">IF(D339:D4380="","",IFERROR(_xlfn.XLOOKUP(D339:D4380,'参照_勢力'!A:A,'参照_勢力'!B:B),IFERROR(_xlfn.XLOOKUP(F339:F4380,kunishuClan!A:A,kunishuClan!B:B),"浪人")))</f>
      </c>
      <c r="F339" s="4">
        <v>0</v>
      </c>
      <c r="G339" s="4">
        <v>50</v>
      </c>
      <c r="H339" s="12" t="str">
        <f t="array" ref="H339">IF(G339:G4380="","",_xlfn.XLOOKUP(G339:G4380,castles_state!A:A,castles_state!D:D,"見つかりません"))</f>
      </c>
      <c r="I339" s="4"/>
      <c r="J339" s="12" t="str">
        <f t="array" ref="J339">IF(I339:I4380="","",_xlfn.XLOOKUP(I339:I4380,'参照_姫'!A:A,'参照_姫'!B:B,"見つかりません"))</f>
      </c>
      <c r="K339" s="4">
        <v>95</v>
      </c>
      <c r="L339" s="4">
        <v>200</v>
      </c>
      <c r="M339" s="4"/>
      <c r="N339" s="4"/>
      <c r="O339" s="4"/>
      <c r="P339" s="12" t="str">
        <f t="array" ref="P339">IF(O339:O4380="","",_xlfn.XLOOKUP(O339:O4380,'参照_官位'!A:A,'参照_官位'!B:B,""))</f>
      </c>
      <c r="Q339" s="12" t="str">
        <f t="array" ref="Q339">IF(A339:A4380="","",IFERROR(_xlfn.XLOOKUP(A339:A4380,castles_state!K:K,castles_state!D:D)&amp;"主",IFERROR(_xlfn.XLOOKUP(A339:A4380,kunishuClan!D:D,kunishuClan!B:B)&amp;"当主","")))</f>
      </c>
    </row>
    <row r="340" ht="15.75" customHeight="1">
      <c r="A340" s="4">
        <v>1005024</v>
      </c>
      <c r="B340" s="12" t="str">
        <f t="array" ref="B340">IF(A340:A4381="","",_xlfn.XLOOKUP(A340:A4381,'参照_武将'!A:A,'参照_武将'!B:B,"見つかりません"))</f>
      </c>
      <c r="C340" s="4" t="s">
        <v>5910</v>
      </c>
      <c r="D340" s="4">
        <v>1</v>
      </c>
      <c r="E340" s="12" t="str">
        <f t="array" ref="E340">IF(D340:D4381="","",IFERROR(_xlfn.XLOOKUP(D340:D4381,'参照_勢力'!A:A,'参照_勢力'!B:B),IFERROR(_xlfn.XLOOKUP(F340:F4381,kunishuClan!A:A,kunishuClan!B:B),"浪人")))</f>
      </c>
      <c r="F340" s="4">
        <v>0</v>
      </c>
      <c r="G340" s="4">
        <v>50</v>
      </c>
      <c r="H340" s="12" t="str">
        <f t="array" ref="H340">IF(G340:G4381="","",_xlfn.XLOOKUP(G340:G4381,castles_state!A:A,castles_state!D:D,"見つかりません"))</f>
      </c>
      <c r="I340" s="4"/>
      <c r="J340" s="12" t="str">
        <f t="array" ref="J340">IF(I340:I4381="","",_xlfn.XLOOKUP(I340:I4381,'参照_姫'!A:A,'参照_姫'!B:B,"見つかりません"))</f>
      </c>
      <c r="K340" s="4">
        <v>95</v>
      </c>
      <c r="L340" s="4">
        <v>500</v>
      </c>
      <c r="M340" s="4"/>
      <c r="N340" s="4"/>
      <c r="O340" s="4"/>
      <c r="P340" s="12" t="str">
        <f t="array" ref="P340">IF(O340:O4381="","",_xlfn.XLOOKUP(O340:O4381,'参照_官位'!A:A,'参照_官位'!B:B,""))</f>
      </c>
      <c r="Q340" s="12" t="str">
        <f t="array" ref="Q340">IF(A340:A4381="","",IFERROR(_xlfn.XLOOKUP(A340:A4381,castles_state!K:K,castles_state!D:D)&amp;"主",IFERROR(_xlfn.XLOOKUP(A340:A4381,kunishuClan!D:D,kunishuClan!B:B)&amp;"当主","")))</f>
      </c>
    </row>
    <row r="341" ht="15.75" customHeight="1">
      <c r="A341" s="4">
        <v>1005025</v>
      </c>
      <c r="B341" s="12" t="str">
        <f t="array" ref="B341">IF(A341:A4382="","",_xlfn.XLOOKUP(A341:A4382,'参照_武将'!A:A,'参照_武将'!B:B,"見つかりません"))</f>
      </c>
      <c r="C341" s="4" t="s">
        <v>5910</v>
      </c>
      <c r="D341" s="4">
        <v>1</v>
      </c>
      <c r="E341" s="12" t="str">
        <f t="array" ref="E341">IF(D341:D4382="","",IFERROR(_xlfn.XLOOKUP(D341:D4382,'参照_勢力'!A:A,'参照_勢力'!B:B),IFERROR(_xlfn.XLOOKUP(F341:F4382,kunishuClan!A:A,kunishuClan!B:B),"浪人")))</f>
      </c>
      <c r="F341" s="4">
        <v>0</v>
      </c>
      <c r="G341" s="4">
        <v>50</v>
      </c>
      <c r="H341" s="12" t="str">
        <f t="array" ref="H341">IF(G341:G4382="","",_xlfn.XLOOKUP(G341:G4382,castles_state!A:A,castles_state!D:D,"見つかりません"))</f>
      </c>
      <c r="I341" s="4"/>
      <c r="J341" s="12" t="str">
        <f t="array" ref="J341">IF(I341:I4382="","",_xlfn.XLOOKUP(I341:I4382,'参照_姫'!A:A,'参照_姫'!B:B,"見つかりません"))</f>
      </c>
      <c r="K341" s="4">
        <v>95</v>
      </c>
      <c r="L341" s="4">
        <v>0</v>
      </c>
      <c r="M341" s="4"/>
      <c r="N341" s="4"/>
      <c r="O341" s="4"/>
      <c r="P341" s="12" t="str">
        <f t="array" ref="P341">IF(O341:O4382="","",_xlfn.XLOOKUP(O341:O4382,'参照_官位'!A:A,'参照_官位'!B:B,""))</f>
      </c>
      <c r="Q341" s="12" t="str">
        <f t="array" ref="Q341">IF(A341:A4382="","",IFERROR(_xlfn.XLOOKUP(A341:A4382,castles_state!K:K,castles_state!D:D)&amp;"主",IFERROR(_xlfn.XLOOKUP(A341:A4382,kunishuClan!D:D,kunishuClan!B:B)&amp;"当主","")))</f>
      </c>
    </row>
    <row r="342" ht="15.75" customHeight="1">
      <c r="A342" s="4">
        <v>1005026</v>
      </c>
      <c r="B342" s="12" t="str">
        <f t="array" ref="B342">IF(A342:A4383="","",_xlfn.XLOOKUP(A342:A4383,'参照_武将'!A:A,'参照_武将'!B:B,"見つかりません"))</f>
      </c>
      <c r="C342" s="4" t="s">
        <v>5910</v>
      </c>
      <c r="D342" s="4">
        <v>1</v>
      </c>
      <c r="E342" s="12" t="str">
        <f t="array" ref="E342">IF(D342:D4383="","",IFERROR(_xlfn.XLOOKUP(D342:D4383,'参照_勢力'!A:A,'参照_勢力'!B:B),IFERROR(_xlfn.XLOOKUP(F342:F4383,kunishuClan!A:A,kunishuClan!B:B),"浪人")))</f>
      </c>
      <c r="F342" s="4">
        <v>0</v>
      </c>
      <c r="G342" s="4">
        <v>50</v>
      </c>
      <c r="H342" s="12" t="str">
        <f t="array" ref="H342">IF(G342:G4383="","",_xlfn.XLOOKUP(G342:G4383,castles_state!A:A,castles_state!D:D,"見つかりません"))</f>
      </c>
      <c r="I342" s="4"/>
      <c r="J342" s="12" t="str">
        <f t="array" ref="J342">IF(I342:I4383="","",_xlfn.XLOOKUP(I342:I4383,'参照_姫'!A:A,'参照_姫'!B:B,"見つかりません"))</f>
      </c>
      <c r="K342" s="4">
        <v>95</v>
      </c>
      <c r="L342" s="4">
        <v>0</v>
      </c>
      <c r="M342" s="4"/>
      <c r="N342" s="4"/>
      <c r="O342" s="4"/>
      <c r="P342" s="12" t="str">
        <f t="array" ref="P342">IF(O342:O4383="","",_xlfn.XLOOKUP(O342:O4383,'参照_官位'!A:A,'参照_官位'!B:B,""))</f>
      </c>
      <c r="Q342" s="12" t="str">
        <f t="array" ref="Q342">IF(A342:A4383="","",IFERROR(_xlfn.XLOOKUP(A342:A4383,castles_state!K:K,castles_state!D:D)&amp;"主",IFERROR(_xlfn.XLOOKUP(A342:A4383,kunishuClan!D:D,kunishuClan!B:B)&amp;"当主","")))</f>
      </c>
    </row>
    <row r="343" ht="15.75" customHeight="1">
      <c r="A343" s="4">
        <v>1005027</v>
      </c>
      <c r="B343" s="12" t="str">
        <f t="array" ref="B343">IF(A343:A4384="","",_xlfn.XLOOKUP(A343:A4384,'参照_武将'!A:A,'参照_武将'!B:B,"見つかりません"))</f>
      </c>
      <c r="C343" s="4" t="s">
        <v>5910</v>
      </c>
      <c r="D343" s="4">
        <v>1</v>
      </c>
      <c r="E343" s="12" t="str">
        <f t="array" ref="E343">IF(D343:D4384="","",IFERROR(_xlfn.XLOOKUP(D343:D4384,'参照_勢力'!A:A,'参照_勢力'!B:B),IFERROR(_xlfn.XLOOKUP(F343:F4384,kunishuClan!A:A,kunishuClan!B:B),"浪人")))</f>
      </c>
      <c r="F343" s="4">
        <v>0</v>
      </c>
      <c r="G343" s="4">
        <v>3</v>
      </c>
      <c r="H343" s="12" t="str">
        <f t="array" ref="H343">IF(G343:G4384="","",_xlfn.XLOOKUP(G343:G4384,castles_state!A:A,castles_state!D:D,"見つかりません"))</f>
      </c>
      <c r="I343" s="4"/>
      <c r="J343" s="12" t="str">
        <f t="array" ref="J343">IF(I343:I4384="","",_xlfn.XLOOKUP(I343:I4384,'参照_姫'!A:A,'参照_姫'!B:B,"見つかりません"))</f>
      </c>
      <c r="K343" s="4">
        <v>95</v>
      </c>
      <c r="L343" s="4">
        <v>0</v>
      </c>
      <c r="M343" s="4"/>
      <c r="N343" s="4"/>
      <c r="O343" s="4"/>
      <c r="P343" s="12" t="str">
        <f t="array" ref="P343">IF(O343:O4384="","",_xlfn.XLOOKUP(O343:O4384,'参照_官位'!A:A,'参照_官位'!B:B,""))</f>
      </c>
      <c r="Q343" s="12" t="str">
        <f t="array" ref="Q343">IF(A343:A4384="","",IFERROR(_xlfn.XLOOKUP(A343:A4384,castles_state!K:K,castles_state!D:D)&amp;"主",IFERROR(_xlfn.XLOOKUP(A343:A4384,kunishuClan!D:D,kunishuClan!B:B)&amp;"当主","")))</f>
      </c>
    </row>
    <row r="344" ht="15.75" customHeight="1">
      <c r="A344" s="4">
        <v>1005028</v>
      </c>
      <c r="B344" s="12" t="str">
        <f t="array" ref="B344">IF(A344:A4385="","",_xlfn.XLOOKUP(A344:A4385,'参照_武将'!A:A,'参照_武将'!B:B,"見つかりません"))</f>
      </c>
      <c r="C344" s="4" t="s">
        <v>5910</v>
      </c>
      <c r="D344" s="4">
        <v>1</v>
      </c>
      <c r="E344" s="12" t="str">
        <f t="array" ref="E344">IF(D344:D4385="","",IFERROR(_xlfn.XLOOKUP(D344:D4385,'参照_勢力'!A:A,'参照_勢力'!B:B),IFERROR(_xlfn.XLOOKUP(F344:F4385,kunishuClan!A:A,kunishuClan!B:B),"浪人")))</f>
      </c>
      <c r="F344" s="4">
        <v>0</v>
      </c>
      <c r="G344" s="4">
        <v>3</v>
      </c>
      <c r="H344" s="12" t="str">
        <f t="array" ref="H344">IF(G344:G4385="","",_xlfn.XLOOKUP(G344:G4385,castles_state!A:A,castles_state!D:D,"見つかりません"))</f>
      </c>
      <c r="I344" s="4"/>
      <c r="J344" s="12" t="str">
        <f t="array" ref="J344">IF(I344:I4385="","",_xlfn.XLOOKUP(I344:I4385,'参照_姫'!A:A,'参照_姫'!B:B,"見つかりません"))</f>
      </c>
      <c r="K344" s="4">
        <v>95</v>
      </c>
      <c r="L344" s="4">
        <v>0</v>
      </c>
      <c r="M344" s="4"/>
      <c r="N344" s="4"/>
      <c r="O344" s="4"/>
      <c r="P344" s="12" t="str">
        <f t="array" ref="P344">IF(O344:O4385="","",_xlfn.XLOOKUP(O344:O4385,'参照_官位'!A:A,'参照_官位'!B:B,""))</f>
      </c>
      <c r="Q344" s="12" t="str">
        <f t="array" ref="Q344">IF(A344:A4385="","",IFERROR(_xlfn.XLOOKUP(A344:A4385,castles_state!K:K,castles_state!D:D)&amp;"主",IFERROR(_xlfn.XLOOKUP(A344:A4385,kunishuClan!D:D,kunishuClan!B:B)&amp;"当主","")))</f>
      </c>
    </row>
    <row r="345" ht="15.75" customHeight="1">
      <c r="A345" s="4">
        <v>1005029</v>
      </c>
      <c r="B345" s="12" t="str">
        <f t="array" ref="B345">IF(A345:A4386="","",_xlfn.XLOOKUP(A345:A4386,'参照_武将'!A:A,'参照_武将'!B:B,"見つかりません"))</f>
      </c>
      <c r="C345" s="4" t="s">
        <v>5910</v>
      </c>
      <c r="D345" s="4">
        <v>0</v>
      </c>
      <c r="E345" s="12" t="str">
        <f t="array" ref="E345">IF(D345:D4386="","",IFERROR(_xlfn.XLOOKUP(D345:D4386,'参照_勢力'!A:A,'参照_勢力'!B:B),IFERROR(_xlfn.XLOOKUP(F345:F4386,kunishuClan!A:A,kunishuClan!B:B),"浪人")))</f>
      </c>
      <c r="F345" s="4">
        <v>0</v>
      </c>
      <c r="G345" s="4">
        <v>3</v>
      </c>
      <c r="H345" s="12" t="str">
        <f t="array" ref="H345">IF(G345:G4386="","",_xlfn.XLOOKUP(G345:G4386,castles_state!A:A,castles_state!D:D,"見つかりません"))</f>
      </c>
      <c r="I345" s="4"/>
      <c r="J345" s="12" t="str">
        <f t="array" ref="J345">IF(I345:I4386="","",_xlfn.XLOOKUP(I345:I4386,'参照_姫'!A:A,'参照_姫'!B:B,"見つかりません"))</f>
      </c>
      <c r="K345" s="4">
        <v>50</v>
      </c>
      <c r="L345" s="4">
        <v>0</v>
      </c>
      <c r="M345" s="4"/>
      <c r="N345" s="4"/>
      <c r="O345" s="4"/>
      <c r="P345" s="12" t="str">
        <f t="array" ref="P345">IF(O345:O4386="","",_xlfn.XLOOKUP(O345:O4386,'参照_官位'!A:A,'参照_官位'!B:B,""))</f>
      </c>
      <c r="Q345" s="12" t="str">
        <f t="array" ref="Q345">IF(A345:A4386="","",IFERROR(_xlfn.XLOOKUP(A345:A4386,castles_state!K:K,castles_state!D:D)&amp;"主",IFERROR(_xlfn.XLOOKUP(A345:A4386,kunishuClan!D:D,kunishuClan!B:B)&amp;"当主","")))</f>
      </c>
    </row>
    <row r="346" ht="15.75" customHeight="1">
      <c r="A346" s="4">
        <v>1005030</v>
      </c>
      <c r="B346" s="12" t="str">
        <f t="array" ref="B346">IF(A346:A4387="","",_xlfn.XLOOKUP(A346:A4387,'参照_武将'!A:A,'参照_武将'!B:B,"見つかりません"))</f>
      </c>
      <c r="C346" s="4" t="s">
        <v>5910</v>
      </c>
      <c r="D346" s="4">
        <v>6</v>
      </c>
      <c r="E346" s="12" t="str">
        <f t="array" ref="E346">IF(D346:D4387="","",IFERROR(_xlfn.XLOOKUP(D346:D4387,'参照_勢力'!A:A,'参照_勢力'!B:B),IFERROR(_xlfn.XLOOKUP(F346:F4387,kunishuClan!A:A,kunishuClan!B:B),"浪人")))</f>
      </c>
      <c r="F346" s="4">
        <v>0</v>
      </c>
      <c r="G346" s="4">
        <v>3</v>
      </c>
      <c r="H346" s="12" t="str">
        <f t="array" ref="H346">IF(G346:G4387="","",_xlfn.XLOOKUP(G346:G4387,castles_state!A:A,castles_state!D:D,"見つかりません"))</f>
      </c>
      <c r="I346" s="4"/>
      <c r="J346" s="12" t="str">
        <f t="array" ref="J346">IF(I346:I4387="","",_xlfn.XLOOKUP(I346:I4387,'参照_姫'!A:A,'参照_姫'!B:B,"見つかりません"))</f>
      </c>
      <c r="K346" s="4">
        <v>95</v>
      </c>
      <c r="L346" s="4">
        <v>0</v>
      </c>
      <c r="M346" s="4"/>
      <c r="N346" s="4"/>
      <c r="O346" s="4"/>
      <c r="P346" s="12" t="str">
        <f t="array" ref="P346">IF(O346:O4387="","",_xlfn.XLOOKUP(O346:O4387,'参照_官位'!A:A,'参照_官位'!B:B,""))</f>
      </c>
      <c r="Q346" s="12" t="str">
        <f t="array" ref="Q346">IF(A346:A4387="","",IFERROR(_xlfn.XLOOKUP(A346:A4387,castles_state!K:K,castles_state!D:D)&amp;"主",IFERROR(_xlfn.XLOOKUP(A346:A4387,kunishuClan!D:D,kunishuClan!B:B)&amp;"当主","")))</f>
      </c>
    </row>
    <row r="347" ht="15.75" customHeight="1">
      <c r="A347" s="4">
        <v>1005031</v>
      </c>
      <c r="B347" s="12" t="str">
        <f t="array" ref="B347">IF(A347:A4388="","",_xlfn.XLOOKUP(A347:A4388,'参照_武将'!A:A,'参照_武将'!B:B,"見つかりません"))</f>
      </c>
      <c r="C347" s="4" t="s">
        <v>5910</v>
      </c>
      <c r="D347" s="4">
        <v>0</v>
      </c>
      <c r="E347" s="12" t="str">
        <f t="array" ref="E347">IF(D347:D4388="","",IFERROR(_xlfn.XLOOKUP(D347:D4388,'参照_勢力'!A:A,'参照_勢力'!B:B),IFERROR(_xlfn.XLOOKUP(F347:F4388,kunishuClan!A:A,kunishuClan!B:B),"浪人")))</f>
      </c>
      <c r="F347" s="4">
        <v>0</v>
      </c>
      <c r="G347" s="4">
        <v>3</v>
      </c>
      <c r="H347" s="12" t="str">
        <f t="array" ref="H347">IF(G347:G4388="","",_xlfn.XLOOKUP(G347:G4388,castles_state!A:A,castles_state!D:D,"見つかりません"))</f>
      </c>
      <c r="I347" s="4"/>
      <c r="J347" s="12" t="str">
        <f t="array" ref="J347">IF(I347:I4388="","",_xlfn.XLOOKUP(I347:I4388,'参照_姫'!A:A,'参照_姫'!B:B,"見つかりません"))</f>
      </c>
      <c r="K347" s="4">
        <v>50</v>
      </c>
      <c r="L347" s="4">
        <v>0</v>
      </c>
      <c r="M347" s="4"/>
      <c r="N347" s="4"/>
      <c r="O347" s="4"/>
      <c r="P347" s="12" t="str">
        <f t="array" ref="P347">IF(O347:O4388="","",_xlfn.XLOOKUP(O347:O4388,'参照_官位'!A:A,'参照_官位'!B:B,""))</f>
      </c>
      <c r="Q347" s="12" t="str">
        <f t="array" ref="Q347">IF(A347:A4388="","",IFERROR(_xlfn.XLOOKUP(A347:A4388,castles_state!K:K,castles_state!D:D)&amp;"主",IFERROR(_xlfn.XLOOKUP(A347:A4388,kunishuClan!D:D,kunishuClan!B:B)&amp;"当主","")))</f>
      </c>
    </row>
    <row r="348" ht="15.75" customHeight="1">
      <c r="A348" s="4">
        <v>1005032</v>
      </c>
      <c r="B348" s="12" t="str">
        <f t="array" ref="B348">IF(A348:A4389="","",_xlfn.XLOOKUP(A348:A4389,'参照_武将'!A:A,'参照_武将'!B:B,"見つかりません"))</f>
      </c>
      <c r="C348" s="4" t="s">
        <v>5910</v>
      </c>
      <c r="D348" s="4">
        <v>6</v>
      </c>
      <c r="E348" s="12" t="str">
        <f t="array" ref="E348">IF(D348:D4389="","",IFERROR(_xlfn.XLOOKUP(D348:D4389,'参照_勢力'!A:A,'参照_勢力'!B:B),IFERROR(_xlfn.XLOOKUP(F348:F4389,kunishuClan!A:A,kunishuClan!B:B),"浪人")))</f>
      </c>
      <c r="F348" s="4">
        <v>0</v>
      </c>
      <c r="G348" s="4">
        <v>3</v>
      </c>
      <c r="H348" s="12" t="str">
        <f t="array" ref="H348">IF(G348:G4389="","",_xlfn.XLOOKUP(G348:G4389,castles_state!A:A,castles_state!D:D,"見つかりません"))</f>
      </c>
      <c r="I348" s="4"/>
      <c r="J348" s="12" t="str">
        <f t="array" ref="J348">IF(I348:I4389="","",_xlfn.XLOOKUP(I348:I4389,'参照_姫'!A:A,'参照_姫'!B:B,"見つかりません"))</f>
      </c>
      <c r="K348" s="4">
        <v>95</v>
      </c>
      <c r="L348" s="4">
        <v>0</v>
      </c>
      <c r="M348" s="4"/>
      <c r="N348" s="4"/>
      <c r="O348" s="4"/>
      <c r="P348" s="12" t="str">
        <f t="array" ref="P348">IF(O348:O4389="","",_xlfn.XLOOKUP(O348:O4389,'参照_官位'!A:A,'参照_官位'!B:B,""))</f>
      </c>
      <c r="Q348" s="12" t="str">
        <f t="array" ref="Q348">IF(A348:A4389="","",IFERROR(_xlfn.XLOOKUP(A348:A4389,castles_state!K:K,castles_state!D:D)&amp;"主",IFERROR(_xlfn.XLOOKUP(A348:A4389,kunishuClan!D:D,kunishuClan!B:B)&amp;"当主","")))</f>
      </c>
    </row>
    <row r="349" ht="15.75" customHeight="1">
      <c r="A349" s="4">
        <v>1005033</v>
      </c>
      <c r="B349" s="12" t="str">
        <f t="array" ref="B349">IF(A349:A4390="","",_xlfn.XLOOKUP(A349:A4390,'参照_武将'!A:A,'参照_武将'!B:B,"見つかりません"))</f>
      </c>
      <c r="C349" s="4" t="s">
        <v>5910</v>
      </c>
      <c r="D349" s="4">
        <v>6</v>
      </c>
      <c r="E349" s="12" t="str">
        <f t="array" ref="E349">IF(D349:D4390="","",IFERROR(_xlfn.XLOOKUP(D349:D4390,'参照_勢力'!A:A,'参照_勢力'!B:B),IFERROR(_xlfn.XLOOKUP(F349:F4390,kunishuClan!A:A,kunishuClan!B:B),"浪人")))</f>
      </c>
      <c r="F349" s="4">
        <v>0</v>
      </c>
      <c r="G349" s="4">
        <v>3</v>
      </c>
      <c r="H349" s="12" t="str">
        <f t="array" ref="H349">IF(G349:G4390="","",_xlfn.XLOOKUP(G349:G4390,castles_state!A:A,castles_state!D:D,"見つかりません"))</f>
      </c>
      <c r="I349" s="4"/>
      <c r="J349" s="12" t="str">
        <f t="array" ref="J349">IF(I349:I4390="","",_xlfn.XLOOKUP(I349:I4390,'参照_姫'!A:A,'参照_姫'!B:B,"見つかりません"))</f>
      </c>
      <c r="K349" s="4">
        <v>95</v>
      </c>
      <c r="L349" s="4">
        <v>0</v>
      </c>
      <c r="M349" s="4"/>
      <c r="N349" s="4"/>
      <c r="O349" s="4"/>
      <c r="P349" s="12" t="str">
        <f t="array" ref="P349">IF(O349:O4390="","",_xlfn.XLOOKUP(O349:O4390,'参照_官位'!A:A,'参照_官位'!B:B,""))</f>
      </c>
      <c r="Q349" s="12" t="str">
        <f t="array" ref="Q349">IF(A349:A4390="","",IFERROR(_xlfn.XLOOKUP(A349:A4390,castles_state!K:K,castles_state!D:D)&amp;"主",IFERROR(_xlfn.XLOOKUP(A349:A4390,kunishuClan!D:D,kunishuClan!B:B)&amp;"当主","")))</f>
      </c>
    </row>
    <row r="350" ht="15.75" customHeight="1">
      <c r="A350" s="4">
        <v>1005034</v>
      </c>
      <c r="B350" s="12" t="str">
        <f t="array" ref="B350">IF(A350:A4391="","",_xlfn.XLOOKUP(A350:A4391,'参照_武将'!A:A,'参照_武将'!B:B,"見つかりません"))</f>
      </c>
      <c r="C350" s="4" t="s">
        <v>5910</v>
      </c>
      <c r="D350" s="4">
        <v>1</v>
      </c>
      <c r="E350" s="12" t="str">
        <f t="array" ref="E350">IF(D350:D4391="","",IFERROR(_xlfn.XLOOKUP(D350:D4391,'参照_勢力'!A:A,'参照_勢力'!B:B),IFERROR(_xlfn.XLOOKUP(F350:F4391,kunishuClan!A:A,kunishuClan!B:B),"浪人")))</f>
      </c>
      <c r="F350" s="4">
        <v>0</v>
      </c>
      <c r="G350" s="4">
        <v>3</v>
      </c>
      <c r="H350" s="12" t="str">
        <f t="array" ref="H350">IF(G350:G4391="","",_xlfn.XLOOKUP(G350:G4391,castles_state!A:A,castles_state!D:D,"見つかりません"))</f>
      </c>
      <c r="I350" s="4"/>
      <c r="J350" s="12" t="str">
        <f t="array" ref="J350">IF(I350:I4391="","",_xlfn.XLOOKUP(I350:I4391,'参照_姫'!A:A,'参照_姫'!B:B,"見つかりません"))</f>
      </c>
      <c r="K350" s="4">
        <v>95</v>
      </c>
      <c r="L350" s="4">
        <v>0</v>
      </c>
      <c r="M350" s="4"/>
      <c r="N350" s="4"/>
      <c r="O350" s="4"/>
      <c r="P350" s="12" t="str">
        <f t="array" ref="P350">IF(O350:O4391="","",_xlfn.XLOOKUP(O350:O4391,'参照_官位'!A:A,'参照_官位'!B:B,""))</f>
      </c>
      <c r="Q350" s="12" t="str">
        <f t="array" ref="Q350">IF(A350:A4391="","",IFERROR(_xlfn.XLOOKUP(A350:A4391,castles_state!K:K,castles_state!D:D)&amp;"主",IFERROR(_xlfn.XLOOKUP(A350:A4391,kunishuClan!D:D,kunishuClan!B:B)&amp;"当主","")))</f>
      </c>
    </row>
    <row r="351" ht="15.75" customHeight="1">
      <c r="A351" s="4">
        <v>1005035</v>
      </c>
      <c r="B351" s="12" t="str">
        <f t="array" ref="B351">IF(A351:A4392="","",_xlfn.XLOOKUP(A351:A4392,'参照_武将'!A:A,'参照_武将'!B:B,"見つかりません"))</f>
      </c>
      <c r="C351" s="4" t="s">
        <v>5910</v>
      </c>
      <c r="D351" s="4">
        <v>15</v>
      </c>
      <c r="E351" s="12" t="str">
        <f t="array" ref="E351">IF(D351:D4392="","",IFERROR(_xlfn.XLOOKUP(D351:D4392,'参照_勢力'!A:A,'参照_勢力'!B:B),IFERROR(_xlfn.XLOOKUP(F351:F4392,kunishuClan!A:A,kunishuClan!B:B),"浪人")))</f>
      </c>
      <c r="F351" s="4">
        <v>0</v>
      </c>
      <c r="G351" s="4">
        <v>23</v>
      </c>
      <c r="H351" s="12" t="str">
        <f t="array" ref="H351">IF(G351:G4392="","",_xlfn.XLOOKUP(G351:G4392,castles_state!A:A,castles_state!D:D,"見つかりません"))</f>
      </c>
      <c r="I351" s="4"/>
      <c r="J351" s="12" t="str">
        <f t="array" ref="J351">IF(I351:I4392="","",_xlfn.XLOOKUP(I351:I4392,'参照_姫'!A:A,'参照_姫'!B:B,"見つかりません"))</f>
      </c>
      <c r="K351" s="4">
        <v>95</v>
      </c>
      <c r="L351" s="4">
        <v>300</v>
      </c>
      <c r="M351" s="4"/>
      <c r="N351" s="4"/>
      <c r="O351" s="4"/>
      <c r="P351" s="12" t="str">
        <f t="array" ref="P351">IF(O351:O4392="","",_xlfn.XLOOKUP(O351:O4392,'参照_官位'!A:A,'参照_官位'!B:B,""))</f>
      </c>
      <c r="Q351" s="12" t="str">
        <f t="array" ref="Q351">IF(A351:A4392="","",IFERROR(_xlfn.XLOOKUP(A351:A4392,castles_state!K:K,castles_state!D:D)&amp;"主",IFERROR(_xlfn.XLOOKUP(A351:A4392,kunishuClan!D:D,kunishuClan!B:B)&amp;"当主","")))</f>
      </c>
    </row>
    <row r="352" ht="15.75" customHeight="1">
      <c r="A352" s="4">
        <v>1005036</v>
      </c>
      <c r="B352" s="12" t="str">
        <f t="array" ref="B352">IF(A352:A4393="","",_xlfn.XLOOKUP(A352:A4393,'参照_武将'!A:A,'参照_武将'!B:B,"見つかりません"))</f>
      </c>
      <c r="C352" s="4" t="s">
        <v>5910</v>
      </c>
      <c r="D352" s="4">
        <v>1</v>
      </c>
      <c r="E352" s="12" t="str">
        <f t="array" ref="E352">IF(D352:D4393="","",IFERROR(_xlfn.XLOOKUP(D352:D4393,'参照_勢力'!A:A,'参照_勢力'!B:B),IFERROR(_xlfn.XLOOKUP(F352:F4393,kunishuClan!A:A,kunishuClan!B:B),"浪人")))</f>
      </c>
      <c r="F352" s="4">
        <v>0</v>
      </c>
      <c r="G352" s="4">
        <v>3</v>
      </c>
      <c r="H352" s="12" t="str">
        <f t="array" ref="H352">IF(G352:G4393="","",_xlfn.XLOOKUP(G352:G4393,castles_state!A:A,castles_state!D:D,"見つかりません"))</f>
      </c>
      <c r="I352" s="4"/>
      <c r="J352" s="12" t="str">
        <f t="array" ref="J352">IF(I352:I4393="","",_xlfn.XLOOKUP(I352:I4393,'参照_姫'!A:A,'参照_姫'!B:B,"見つかりません"))</f>
      </c>
      <c r="K352" s="4">
        <v>90</v>
      </c>
      <c r="L352" s="4">
        <v>0</v>
      </c>
      <c r="M352" s="4"/>
      <c r="N352" s="4"/>
      <c r="O352" s="4"/>
      <c r="P352" s="12" t="str">
        <f t="array" ref="P352">IF(O352:O4393="","",_xlfn.XLOOKUP(O352:O4393,'参照_官位'!A:A,'参照_官位'!B:B,""))</f>
      </c>
      <c r="Q352" s="12" t="str">
        <f t="array" ref="Q352">IF(A352:A4393="","",IFERROR(_xlfn.XLOOKUP(A352:A4393,castles_state!K:K,castles_state!D:D)&amp;"主",IFERROR(_xlfn.XLOOKUP(A352:A4393,kunishuClan!D:D,kunishuClan!B:B)&amp;"当主","")))</f>
      </c>
    </row>
    <row r="353" ht="15.75" customHeight="1">
      <c r="A353" s="4">
        <v>1005037</v>
      </c>
      <c r="B353" s="12" t="str">
        <f t="array" ref="B353">IF(A353:A4394="","",_xlfn.XLOOKUP(A353:A4394,'参照_武将'!A:A,'参照_武将'!B:B,"見つかりません"))</f>
      </c>
      <c r="C353" s="4" t="s">
        <v>5910</v>
      </c>
      <c r="D353" s="4">
        <v>0</v>
      </c>
      <c r="E353" s="12" t="str">
        <f t="array" ref="E353">IF(D353:D4394="","",IFERROR(_xlfn.XLOOKUP(D353:D4394,'参照_勢力'!A:A,'参照_勢力'!B:B),IFERROR(_xlfn.XLOOKUP(F353:F4394,kunishuClan!A:A,kunishuClan!B:B),"浪人")))</f>
      </c>
      <c r="F353" s="4">
        <v>0</v>
      </c>
      <c r="G353" s="4">
        <v>3</v>
      </c>
      <c r="H353" s="12" t="str">
        <f t="array" ref="H353">IF(G353:G4394="","",_xlfn.XLOOKUP(G353:G4394,castles_state!A:A,castles_state!D:D,"見つかりません"))</f>
      </c>
      <c r="I353" s="4"/>
      <c r="J353" s="12" t="str">
        <f t="array" ref="J353">IF(I353:I4394="","",_xlfn.XLOOKUP(I353:I4394,'参照_姫'!A:A,'参照_姫'!B:B,"見つかりません"))</f>
      </c>
      <c r="K353" s="4">
        <v>50</v>
      </c>
      <c r="L353" s="4">
        <v>0</v>
      </c>
      <c r="M353" s="4"/>
      <c r="N353" s="4"/>
      <c r="O353" s="4"/>
      <c r="P353" s="12" t="str">
        <f t="array" ref="P353">IF(O353:O4394="","",_xlfn.XLOOKUP(O353:O4394,'参照_官位'!A:A,'参照_官位'!B:B,""))</f>
      </c>
      <c r="Q353" s="12" t="str">
        <f t="array" ref="Q353">IF(A353:A4394="","",IFERROR(_xlfn.XLOOKUP(A353:A4394,castles_state!K:K,castles_state!D:D)&amp;"主",IFERROR(_xlfn.XLOOKUP(A353:A4394,kunishuClan!D:D,kunishuClan!B:B)&amp;"当主","")))</f>
      </c>
    </row>
    <row r="354" ht="15.75" customHeight="1">
      <c r="A354" s="4">
        <v>1005038</v>
      </c>
      <c r="B354" s="12" t="str">
        <f t="array" ref="B354">IF(A354:A4395="","",_xlfn.XLOOKUP(A354:A4395,'参照_武将'!A:A,'参照_武将'!B:B,"見つかりません"))</f>
      </c>
      <c r="C354" s="4" t="s">
        <v>5910</v>
      </c>
      <c r="D354" s="4">
        <v>1</v>
      </c>
      <c r="E354" s="12" t="str">
        <f t="array" ref="E354">IF(D354:D4395="","",IFERROR(_xlfn.XLOOKUP(D354:D4395,'参照_勢力'!A:A,'参照_勢力'!B:B),IFERROR(_xlfn.XLOOKUP(F354:F4395,kunishuClan!A:A,kunishuClan!B:B),"浪人")))</f>
      </c>
      <c r="F354" s="4">
        <v>0</v>
      </c>
      <c r="G354" s="4">
        <v>3</v>
      </c>
      <c r="H354" s="12" t="str">
        <f t="array" ref="H354">IF(G354:G4395="","",_xlfn.XLOOKUP(G354:G4395,castles_state!A:A,castles_state!D:D,"見つかりません"))</f>
      </c>
      <c r="I354" s="4"/>
      <c r="J354" s="12" t="str">
        <f t="array" ref="J354">IF(I354:I4395="","",_xlfn.XLOOKUP(I354:I4395,'参照_姫'!A:A,'参照_姫'!B:B,"見つかりません"))</f>
      </c>
      <c r="K354" s="4">
        <v>95</v>
      </c>
      <c r="L354" s="4">
        <v>0</v>
      </c>
      <c r="M354" s="4"/>
      <c r="N354" s="4"/>
      <c r="O354" s="4"/>
      <c r="P354" s="12" t="str">
        <f t="array" ref="P354">IF(O354:O4395="","",_xlfn.XLOOKUP(O354:O4395,'参照_官位'!A:A,'参照_官位'!B:B,""))</f>
      </c>
      <c r="Q354" s="12" t="str">
        <f t="array" ref="Q354">IF(A354:A4395="","",IFERROR(_xlfn.XLOOKUP(A354:A4395,castles_state!K:K,castles_state!D:D)&amp;"主",IFERROR(_xlfn.XLOOKUP(A354:A4395,kunishuClan!D:D,kunishuClan!B:B)&amp;"当主","")))</f>
      </c>
    </row>
    <row r="355" ht="15.75" customHeight="1">
      <c r="A355" s="4">
        <v>1005039</v>
      </c>
      <c r="B355" s="12" t="str">
        <f t="array" ref="B355">IF(A355:A4396="","",_xlfn.XLOOKUP(A355:A4396,'参照_武将'!A:A,'参照_武将'!B:B,"見つかりません"))</f>
      </c>
      <c r="C355" s="4" t="s">
        <v>5910</v>
      </c>
      <c r="D355" s="4">
        <v>1</v>
      </c>
      <c r="E355" s="12" t="str">
        <f t="array" ref="E355">IF(D355:D4396="","",IFERROR(_xlfn.XLOOKUP(D355:D4396,'参照_勢力'!A:A,'参照_勢力'!B:B),IFERROR(_xlfn.XLOOKUP(F355:F4396,kunishuClan!A:A,kunishuClan!B:B),"浪人")))</f>
      </c>
      <c r="F355" s="4">
        <v>0</v>
      </c>
      <c r="G355" s="4">
        <v>183</v>
      </c>
      <c r="H355" s="12" t="str">
        <f t="array" ref="H355">IF(G355:G4396="","",_xlfn.XLOOKUP(G355:G4396,castles_state!A:A,castles_state!D:D,"見つかりません"))</f>
      </c>
      <c r="I355" s="4"/>
      <c r="J355" s="12" t="str">
        <f t="array" ref="J355">IF(I355:I4396="","",_xlfn.XLOOKUP(I355:I4396,'参照_姫'!A:A,'参照_姫'!B:B,"見つかりません"))</f>
      </c>
      <c r="K355" s="4">
        <v>95</v>
      </c>
      <c r="L355" s="4">
        <v>0</v>
      </c>
      <c r="M355" s="4"/>
      <c r="N355" s="4"/>
      <c r="O355" s="4"/>
      <c r="P355" s="12" t="str">
        <f t="array" ref="P355">IF(O355:O4396="","",_xlfn.XLOOKUP(O355:O4396,'参照_官位'!A:A,'参照_官位'!B:B,""))</f>
      </c>
      <c r="Q355" s="12" t="str">
        <f t="array" ref="Q355">IF(A355:A4396="","",IFERROR(_xlfn.XLOOKUP(A355:A4396,castles_state!K:K,castles_state!D:D)&amp;"主",IFERROR(_xlfn.XLOOKUP(A355:A4396,kunishuClan!D:D,kunishuClan!B:B)&amp;"当主","")))</f>
      </c>
    </row>
    <row r="356" ht="15.75" customHeight="1">
      <c r="A356" s="4">
        <v>1005040</v>
      </c>
      <c r="B356" s="12" t="str">
        <f t="array" ref="B356">IF(A356:A4397="","",_xlfn.XLOOKUP(A356:A4397,'参照_武将'!A:A,'参照_武将'!B:B,"見つかりません"))</f>
      </c>
      <c r="C356" s="4" t="s">
        <v>5910</v>
      </c>
      <c r="D356" s="4">
        <v>0</v>
      </c>
      <c r="E356" s="12" t="str">
        <f t="array" ref="E356">IF(D356:D4397="","",IFERROR(_xlfn.XLOOKUP(D356:D4397,'参照_勢力'!A:A,'参照_勢力'!B:B),IFERROR(_xlfn.XLOOKUP(F356:F4397,kunishuClan!A:A,kunishuClan!B:B),"浪人")))</f>
      </c>
      <c r="F356" s="4">
        <v>0</v>
      </c>
      <c r="G356" s="4">
        <v>183</v>
      </c>
      <c r="H356" s="12" t="str">
        <f t="array" ref="H356">IF(G356:G4397="","",_xlfn.XLOOKUP(G356:G4397,castles_state!A:A,castles_state!D:D,"見つかりません"))</f>
      </c>
      <c r="I356" s="4"/>
      <c r="J356" s="12" t="str">
        <f t="array" ref="J356">IF(I356:I4397="","",_xlfn.XLOOKUP(I356:I4397,'参照_姫'!A:A,'参照_姫'!B:B,"見つかりません"))</f>
      </c>
      <c r="K356" s="4">
        <v>50</v>
      </c>
      <c r="L356" s="4">
        <v>0</v>
      </c>
      <c r="M356" s="4"/>
      <c r="N356" s="4"/>
      <c r="O356" s="4"/>
      <c r="P356" s="12" t="str">
        <f t="array" ref="P356">IF(O356:O4397="","",_xlfn.XLOOKUP(O356:O4397,'参照_官位'!A:A,'参照_官位'!B:B,""))</f>
      </c>
      <c r="Q356" s="12" t="str">
        <f t="array" ref="Q356">IF(A356:A4397="","",IFERROR(_xlfn.XLOOKUP(A356:A4397,castles_state!K:K,castles_state!D:D)&amp;"主",IFERROR(_xlfn.XLOOKUP(A356:A4397,kunishuClan!D:D,kunishuClan!B:B)&amp;"当主","")))</f>
      </c>
    </row>
    <row r="357" ht="15.75" customHeight="1">
      <c r="A357" s="4">
        <v>1005041</v>
      </c>
      <c r="B357" s="12" t="str">
        <f t="array" ref="B357">IF(A357:A4398="","",_xlfn.XLOOKUP(A357:A4398,'参照_武将'!A:A,'参照_武将'!B:B,"見つかりません"))</f>
      </c>
      <c r="C357" s="4" t="s">
        <v>5910</v>
      </c>
      <c r="D357" s="4">
        <v>1</v>
      </c>
      <c r="E357" s="12" t="str">
        <f t="array" ref="E357">IF(D357:D4398="","",IFERROR(_xlfn.XLOOKUP(D357:D4398,'参照_勢力'!A:A,'参照_勢力'!B:B),IFERROR(_xlfn.XLOOKUP(F357:F4398,kunishuClan!A:A,kunishuClan!B:B),"浪人")))</f>
      </c>
      <c r="F357" s="4">
        <v>0</v>
      </c>
      <c r="G357" s="4">
        <v>182</v>
      </c>
      <c r="H357" s="12" t="str">
        <f t="array" ref="H357">IF(G357:G4398="","",_xlfn.XLOOKUP(G357:G4398,castles_state!A:A,castles_state!D:D,"見つかりません"))</f>
      </c>
      <c r="I357" s="4"/>
      <c r="J357" s="12" t="str">
        <f t="array" ref="J357">IF(I357:I4398="","",_xlfn.XLOOKUP(I357:I4398,'参照_姫'!A:A,'参照_姫'!B:B,"見つかりません"))</f>
      </c>
      <c r="K357" s="4">
        <v>95</v>
      </c>
      <c r="L357" s="4">
        <v>0</v>
      </c>
      <c r="M357" s="4"/>
      <c r="N357" s="4"/>
      <c r="O357" s="4"/>
      <c r="P357" s="12" t="str">
        <f t="array" ref="P357">IF(O357:O4398="","",_xlfn.XLOOKUP(O357:O4398,'参照_官位'!A:A,'参照_官位'!B:B,""))</f>
      </c>
      <c r="Q357" s="12" t="str">
        <f t="array" ref="Q357">IF(A357:A4398="","",IFERROR(_xlfn.XLOOKUP(A357:A4398,castles_state!K:K,castles_state!D:D)&amp;"主",IFERROR(_xlfn.XLOOKUP(A357:A4398,kunishuClan!D:D,kunishuClan!B:B)&amp;"当主","")))</f>
      </c>
    </row>
    <row r="358" ht="15.75" customHeight="1">
      <c r="A358" s="4">
        <v>1005042</v>
      </c>
      <c r="B358" s="12" t="str">
        <f t="array" ref="B358">IF(A358:A4399="","",_xlfn.XLOOKUP(A358:A4399,'参照_武将'!A:A,'参照_武将'!B:B,"見つかりません"))</f>
      </c>
      <c r="C358" s="4" t="s">
        <v>5910</v>
      </c>
      <c r="D358" s="4">
        <v>0</v>
      </c>
      <c r="E358" s="12" t="str">
        <f t="array" ref="E358">IF(D358:D4399="","",IFERROR(_xlfn.XLOOKUP(D358:D4399,'参照_勢力'!A:A,'参照_勢力'!B:B),IFERROR(_xlfn.XLOOKUP(F358:F4399,kunishuClan!A:A,kunishuClan!B:B),"浪人")))</f>
      </c>
      <c r="F358" s="4">
        <v>0</v>
      </c>
      <c r="G358" s="4">
        <v>182</v>
      </c>
      <c r="H358" s="12" t="str">
        <f t="array" ref="H358">IF(G358:G4399="","",_xlfn.XLOOKUP(G358:G4399,castles_state!A:A,castles_state!D:D,"見つかりません"))</f>
      </c>
      <c r="I358" s="4"/>
      <c r="J358" s="12" t="str">
        <f t="array" ref="J358">IF(I358:I4399="","",_xlfn.XLOOKUP(I358:I4399,'参照_姫'!A:A,'参照_姫'!B:B,"見つかりません"))</f>
      </c>
      <c r="K358" s="4">
        <v>50</v>
      </c>
      <c r="L358" s="4">
        <v>0</v>
      </c>
      <c r="M358" s="4"/>
      <c r="N358" s="4"/>
      <c r="O358" s="4"/>
      <c r="P358" s="12" t="str">
        <f t="array" ref="P358">IF(O358:O4399="","",_xlfn.XLOOKUP(O358:O4399,'参照_官位'!A:A,'参照_官位'!B:B,""))</f>
      </c>
      <c r="Q358" s="12" t="str">
        <f t="array" ref="Q358">IF(A358:A4399="","",IFERROR(_xlfn.XLOOKUP(A358:A4399,castles_state!K:K,castles_state!D:D)&amp;"主",IFERROR(_xlfn.XLOOKUP(A358:A4399,kunishuClan!D:D,kunishuClan!B:B)&amp;"当主","")))</f>
      </c>
    </row>
    <row r="359" ht="15.75" customHeight="1">
      <c r="A359" s="4">
        <v>1006001</v>
      </c>
      <c r="B359" s="12" t="str">
        <f t="array" ref="B359">IF(A359:A4400="","",_xlfn.XLOOKUP(A359:A4400,'参照_武将'!A:A,'参照_武将'!B:B,"見つかりません"))</f>
      </c>
      <c r="C359" s="4" t="s">
        <v>98</v>
      </c>
      <c r="D359" s="4">
        <v>1</v>
      </c>
      <c r="E359" s="12" t="str">
        <f t="array" ref="E359">IF(D359:D4400="","",IFERROR(_xlfn.XLOOKUP(D359:D4400,'参照_勢力'!A:A,'参照_勢力'!B:B),IFERROR(_xlfn.XLOOKUP(F359:F4400,kunishuClan!A:A,kunishuClan!B:B),"浪人")))</f>
      </c>
      <c r="F359" s="4">
        <v>0</v>
      </c>
      <c r="G359" s="4">
        <v>180</v>
      </c>
      <c r="H359" s="12" t="str">
        <f t="array" ref="H359">IF(G359:G4400="","",_xlfn.XLOOKUP(G359:G4400,castles_state!A:A,castles_state!D:D,"見つかりません"))</f>
      </c>
      <c r="I359" s="4"/>
      <c r="J359" s="12" t="str">
        <f t="array" ref="J359">IF(I359:I4400="","",_xlfn.XLOOKUP(I359:I4400,'参照_姫'!A:A,'参照_姫'!B:B,"見つかりません"))</f>
      </c>
      <c r="K359" s="4">
        <v>95</v>
      </c>
      <c r="L359" s="4">
        <v>0</v>
      </c>
      <c r="M359" s="4"/>
      <c r="N359" s="4"/>
      <c r="O359" s="4"/>
      <c r="P359" s="12" t="str">
        <f t="array" ref="P359">IF(O359:O4400="","",_xlfn.XLOOKUP(O359:O4400,'参照_官位'!A:A,'参照_官位'!B:B,""))</f>
      </c>
      <c r="Q359" s="12" t="str">
        <f t="array" ref="Q359">IF(A359:A4400="","",IFERROR(_xlfn.XLOOKUP(A359:A4400,castles_state!K:K,castles_state!D:D)&amp;"主",IFERROR(_xlfn.XLOOKUP(A359:A4400,kunishuClan!D:D,kunishuClan!B:B)&amp;"当主","")))</f>
      </c>
    </row>
    <row r="360" ht="15.75" customHeight="1">
      <c r="A360" s="4">
        <v>1006002</v>
      </c>
      <c r="B360" s="12" t="str">
        <f t="array" ref="B360">IF(A360:A4401="","",_xlfn.XLOOKUP(A360:A4401,'参照_武将'!A:A,'参照_武将'!B:B,"見つかりません"))</f>
      </c>
      <c r="C360" s="4" t="s">
        <v>98</v>
      </c>
      <c r="D360" s="4">
        <v>1</v>
      </c>
      <c r="E360" s="12" t="str">
        <f t="array" ref="E360">IF(D360:D4401="","",IFERROR(_xlfn.XLOOKUP(D360:D4401,'参照_勢力'!A:A,'参照_勢力'!B:B),IFERROR(_xlfn.XLOOKUP(F360:F4401,kunishuClan!A:A,kunishuClan!B:B),"浪人")))</f>
      </c>
      <c r="F360" s="4">
        <v>0</v>
      </c>
      <c r="G360" s="4">
        <v>180</v>
      </c>
      <c r="H360" s="12" t="str">
        <f t="array" ref="H360">IF(G360:G4401="","",_xlfn.XLOOKUP(G360:G4401,castles_state!A:A,castles_state!D:D,"見つかりません"))</f>
      </c>
      <c r="I360" s="4"/>
      <c r="J360" s="12" t="str">
        <f t="array" ref="J360">IF(I360:I4401="","",_xlfn.XLOOKUP(I360:I4401,'参照_姫'!A:A,'参照_姫'!B:B,"見つかりません"))</f>
      </c>
      <c r="K360" s="4">
        <v>95</v>
      </c>
      <c r="L360" s="4">
        <v>0</v>
      </c>
      <c r="M360" s="4"/>
      <c r="N360" s="4"/>
      <c r="O360" s="4"/>
      <c r="P360" s="12" t="str">
        <f t="array" ref="P360">IF(O360:O4401="","",_xlfn.XLOOKUP(O360:O4401,'参照_官位'!A:A,'参照_官位'!B:B,""))</f>
      </c>
      <c r="Q360" s="12" t="str">
        <f t="array" ref="Q360">IF(A360:A4401="","",IFERROR(_xlfn.XLOOKUP(A360:A4401,castles_state!K:K,castles_state!D:D)&amp;"主",IFERROR(_xlfn.XLOOKUP(A360:A4401,kunishuClan!D:D,kunishuClan!B:B)&amp;"当主","")))</f>
      </c>
    </row>
    <row r="361" ht="15.75" customHeight="1">
      <c r="A361" s="4">
        <v>1006003</v>
      </c>
      <c r="B361" s="12" t="str">
        <f t="array" ref="B361">IF(A361:A4402="","",_xlfn.XLOOKUP(A361:A4402,'参照_武将'!A:A,'参照_武将'!B:B,"見つかりません"))</f>
      </c>
      <c r="C361" s="4" t="s">
        <v>98</v>
      </c>
      <c r="D361" s="4">
        <v>1</v>
      </c>
      <c r="E361" s="12" t="str">
        <f t="array" ref="E361">IF(D361:D4402="","",IFERROR(_xlfn.XLOOKUP(D361:D4402,'参照_勢力'!A:A,'参照_勢力'!B:B),IFERROR(_xlfn.XLOOKUP(F361:F4402,kunishuClan!A:A,kunishuClan!B:B),"浪人")))</f>
      </c>
      <c r="F361" s="4">
        <v>0</v>
      </c>
      <c r="G361" s="4">
        <v>180</v>
      </c>
      <c r="H361" s="12" t="str">
        <f t="array" ref="H361">IF(G361:G4402="","",_xlfn.XLOOKUP(G361:G4402,castles_state!A:A,castles_state!D:D,"見つかりません"))</f>
      </c>
      <c r="I361" s="4"/>
      <c r="J361" s="12" t="str">
        <f t="array" ref="J361">IF(I361:I4402="","",_xlfn.XLOOKUP(I361:I4402,'参照_姫'!A:A,'参照_姫'!B:B,"見つかりません"))</f>
      </c>
      <c r="K361" s="4">
        <v>95</v>
      </c>
      <c r="L361" s="4">
        <v>0</v>
      </c>
      <c r="M361" s="4"/>
      <c r="N361" s="4"/>
      <c r="O361" s="4"/>
      <c r="P361" s="12" t="str">
        <f t="array" ref="P361">IF(O361:O4402="","",_xlfn.XLOOKUP(O361:O4402,'参照_官位'!A:A,'参照_官位'!B:B,""))</f>
      </c>
      <c r="Q361" s="12" t="str">
        <f t="array" ref="Q361">IF(A361:A4402="","",IFERROR(_xlfn.XLOOKUP(A361:A4402,castles_state!K:K,castles_state!D:D)&amp;"主",IFERROR(_xlfn.XLOOKUP(A361:A4402,kunishuClan!D:D,kunishuClan!B:B)&amp;"当主","")))</f>
      </c>
    </row>
    <row r="362" ht="15.75" customHeight="1">
      <c r="A362" s="4">
        <v>1006004</v>
      </c>
      <c r="B362" s="12" t="str">
        <f t="array" ref="B362">IF(A362:A4403="","",_xlfn.XLOOKUP(A362:A4403,'参照_武将'!A:A,'参照_武将'!B:B,"見つかりません"))</f>
      </c>
      <c r="C362" s="4" t="s">
        <v>98</v>
      </c>
      <c r="D362" s="4">
        <v>1</v>
      </c>
      <c r="E362" s="12" t="str">
        <f t="array" ref="E362">IF(D362:D4403="","",IFERROR(_xlfn.XLOOKUP(D362:D4403,'参照_勢力'!A:A,'参照_勢力'!B:B),IFERROR(_xlfn.XLOOKUP(F362:F4403,kunishuClan!A:A,kunishuClan!B:B),"浪人")))</f>
      </c>
      <c r="F362" s="4">
        <v>0</v>
      </c>
      <c r="G362" s="4">
        <v>180</v>
      </c>
      <c r="H362" s="12" t="str">
        <f t="array" ref="H362">IF(G362:G4403="","",_xlfn.XLOOKUP(G362:G4403,castles_state!A:A,castles_state!D:D,"見つかりません"))</f>
      </c>
      <c r="I362" s="4"/>
      <c r="J362" s="12" t="str">
        <f t="array" ref="J362">IF(I362:I4403="","",_xlfn.XLOOKUP(I362:I4403,'参照_姫'!A:A,'参照_姫'!B:B,"見つかりません"))</f>
      </c>
      <c r="K362" s="4">
        <v>95</v>
      </c>
      <c r="L362" s="4">
        <v>0</v>
      </c>
      <c r="M362" s="4"/>
      <c r="N362" s="4"/>
      <c r="O362" s="4"/>
      <c r="P362" s="12" t="str">
        <f t="array" ref="P362">IF(O362:O4403="","",_xlfn.XLOOKUP(O362:O4403,'参照_官位'!A:A,'参照_官位'!B:B,""))</f>
      </c>
      <c r="Q362" s="12" t="str">
        <f t="array" ref="Q362">IF(A362:A4403="","",IFERROR(_xlfn.XLOOKUP(A362:A4403,castles_state!K:K,castles_state!D:D)&amp;"主",IFERROR(_xlfn.XLOOKUP(A362:A4403,kunishuClan!D:D,kunishuClan!B:B)&amp;"当主","")))</f>
      </c>
    </row>
    <row r="363" ht="15.75" customHeight="1">
      <c r="A363" s="4">
        <v>1006005</v>
      </c>
      <c r="B363" s="12" t="str">
        <f t="array" ref="B363">IF(A363:A4404="","",_xlfn.XLOOKUP(A363:A4404,'参照_武将'!A:A,'参照_武将'!B:B,"見つかりません"))</f>
      </c>
      <c r="C363" s="4" t="s">
        <v>98</v>
      </c>
      <c r="D363" s="4">
        <v>1</v>
      </c>
      <c r="E363" s="12" t="str">
        <f t="array" ref="E363">IF(D363:D4404="","",IFERROR(_xlfn.XLOOKUP(D363:D4404,'参照_勢力'!A:A,'参照_勢力'!B:B),IFERROR(_xlfn.XLOOKUP(F363:F4404,kunishuClan!A:A,kunishuClan!B:B),"浪人")))</f>
      </c>
      <c r="F363" s="4">
        <v>0</v>
      </c>
      <c r="G363" s="4">
        <v>7</v>
      </c>
      <c r="H363" s="12" t="str">
        <f t="array" ref="H363">IF(G363:G4404="","",_xlfn.XLOOKUP(G363:G4404,castles_state!A:A,castles_state!D:D,"見つかりません"))</f>
      </c>
      <c r="I363" s="4"/>
      <c r="J363" s="12" t="str">
        <f t="array" ref="J363">IF(I363:I4404="","",_xlfn.XLOOKUP(I363:I4404,'参照_姫'!A:A,'参照_姫'!B:B,"見つかりません"))</f>
      </c>
      <c r="K363" s="4">
        <v>95</v>
      </c>
      <c r="L363" s="4">
        <v>0</v>
      </c>
      <c r="M363" s="4"/>
      <c r="N363" s="4"/>
      <c r="O363" s="4"/>
      <c r="P363" s="12" t="str">
        <f t="array" ref="P363">IF(O363:O4404="","",_xlfn.XLOOKUP(O363:O4404,'参照_官位'!A:A,'参照_官位'!B:B,""))</f>
      </c>
      <c r="Q363" s="12" t="str">
        <f t="array" ref="Q363">IF(A363:A4404="","",IFERROR(_xlfn.XLOOKUP(A363:A4404,castles_state!K:K,castles_state!D:D)&amp;"主",IFERROR(_xlfn.XLOOKUP(A363:A4404,kunishuClan!D:D,kunishuClan!B:B)&amp;"当主","")))</f>
      </c>
    </row>
    <row r="364" ht="15.75" customHeight="1">
      <c r="A364" s="4">
        <v>1006006</v>
      </c>
      <c r="B364" s="12" t="str">
        <f t="array" ref="B364">IF(A364:A4405="","",_xlfn.XLOOKUP(A364:A4405,'参照_武将'!A:A,'参照_武将'!B:B,"見つかりません"))</f>
      </c>
      <c r="C364" s="4" t="s">
        <v>98</v>
      </c>
      <c r="D364" s="4">
        <v>1</v>
      </c>
      <c r="E364" s="12" t="str">
        <f t="array" ref="E364">IF(D364:D4405="","",IFERROR(_xlfn.XLOOKUP(D364:D4405,'参照_勢力'!A:A,'参照_勢力'!B:B),IFERROR(_xlfn.XLOOKUP(F364:F4405,kunishuClan!A:A,kunishuClan!B:B),"浪人")))</f>
      </c>
      <c r="F364" s="4">
        <v>0</v>
      </c>
      <c r="G364" s="4">
        <v>3</v>
      </c>
      <c r="H364" s="12" t="str">
        <f t="array" ref="H364">IF(G364:G4405="","",_xlfn.XLOOKUP(G364:G4405,castles_state!A:A,castles_state!D:D,"見つかりません"))</f>
      </c>
      <c r="I364" s="4">
        <v>1</v>
      </c>
      <c r="J364" s="12" t="str">
        <f t="array" ref="J364">IF(I364:I4405="","",_xlfn.XLOOKUP(I364:I4405,'参照_姫'!A:A,'参照_姫'!B:B,"見つかりません"))</f>
      </c>
      <c r="K364" s="4">
        <v>100</v>
      </c>
      <c r="L364" s="4">
        <v>1500</v>
      </c>
      <c r="M364" s="4"/>
      <c r="N364" s="4"/>
      <c r="O364" s="4"/>
      <c r="P364" s="12" t="str">
        <f t="array" ref="P364">IF(O364:O4405="","",_xlfn.XLOOKUP(O364:O4405,'参照_官位'!A:A,'参照_官位'!B:B,""))</f>
      </c>
      <c r="Q364" s="12" t="str">
        <f t="array" ref="Q364">IF(A364:A4405="","",IFERROR(_xlfn.XLOOKUP(A364:A4405,castles_state!K:K,castles_state!D:D)&amp;"主",IFERROR(_xlfn.XLOOKUP(A364:A4405,kunishuClan!D:D,kunishuClan!B:B)&amp;"当主","")))</f>
      </c>
    </row>
    <row r="365" ht="15.75" customHeight="1">
      <c r="A365" s="4">
        <v>1006007</v>
      </c>
      <c r="B365" s="12" t="str">
        <f t="array" ref="B365">IF(A365:A4406="","",_xlfn.XLOOKUP(A365:A4406,'参照_武将'!A:A,'参照_武将'!B:B,"見つかりません"))</f>
      </c>
      <c r="C365" s="4" t="s">
        <v>98</v>
      </c>
      <c r="D365" s="4">
        <v>1</v>
      </c>
      <c r="E365" s="12" t="str">
        <f t="array" ref="E365">IF(D365:D4406="","",IFERROR(_xlfn.XLOOKUP(D365:D4406,'参照_勢力'!A:A,'参照_勢力'!B:B),IFERROR(_xlfn.XLOOKUP(F365:F4406,kunishuClan!A:A,kunishuClan!B:B),"浪人")))</f>
      </c>
      <c r="F365" s="4">
        <v>0</v>
      </c>
      <c r="G365" s="4">
        <v>7</v>
      </c>
      <c r="H365" s="12" t="str">
        <f t="array" ref="H365">IF(G365:G4406="","",_xlfn.XLOOKUP(G365:G4406,castles_state!A:A,castles_state!D:D,"見つかりません"))</f>
      </c>
      <c r="I365" s="4"/>
      <c r="J365" s="12" t="str">
        <f t="array" ref="J365">IF(I365:I4406="","",_xlfn.XLOOKUP(I365:I4406,'参照_姫'!A:A,'参照_姫'!B:B,"見つかりません"))</f>
      </c>
      <c r="K365" s="4">
        <v>95</v>
      </c>
      <c r="L365" s="4">
        <v>500</v>
      </c>
      <c r="M365" s="4"/>
      <c r="N365" s="4"/>
      <c r="O365" s="4"/>
      <c r="P365" s="12" t="str">
        <f t="array" ref="P365">IF(O365:O4406="","",_xlfn.XLOOKUP(O365:O4406,'参照_官位'!A:A,'参照_官位'!B:B,""))</f>
      </c>
      <c r="Q365" s="12" t="str">
        <f t="array" ref="Q365">IF(A365:A4406="","",IFERROR(_xlfn.XLOOKUP(A365:A4406,castles_state!K:K,castles_state!D:D)&amp;"主",IFERROR(_xlfn.XLOOKUP(A365:A4406,kunishuClan!D:D,kunishuClan!B:B)&amp;"当主","")))</f>
      </c>
    </row>
    <row r="366" ht="15.75" customHeight="1">
      <c r="A366" s="4">
        <v>1006008</v>
      </c>
      <c r="B366" s="12" t="str">
        <f t="array" ref="B366">IF(A366:A4407="","",_xlfn.XLOOKUP(A366:A4407,'参照_武将'!A:A,'参照_武将'!B:B,"見つかりません"))</f>
      </c>
      <c r="C366" s="4" t="s">
        <v>98</v>
      </c>
      <c r="D366" s="4">
        <v>1</v>
      </c>
      <c r="E366" s="12" t="str">
        <f t="array" ref="E366">IF(D366:D4407="","",IFERROR(_xlfn.XLOOKUP(D366:D4407,'参照_勢力'!A:A,'参照_勢力'!B:B),IFERROR(_xlfn.XLOOKUP(F366:F4407,kunishuClan!A:A,kunishuClan!B:B),"浪人")))</f>
      </c>
      <c r="F366" s="4">
        <v>0</v>
      </c>
      <c r="G366" s="4">
        <v>7</v>
      </c>
      <c r="H366" s="12" t="str">
        <f t="array" ref="H366">IF(G366:G4407="","",_xlfn.XLOOKUP(G366:G4407,castles_state!A:A,castles_state!D:D,"見つかりません"))</f>
      </c>
      <c r="I366" s="4"/>
      <c r="J366" s="12" t="str">
        <f t="array" ref="J366">IF(I366:I4407="","",_xlfn.XLOOKUP(I366:I4407,'参照_姫'!A:A,'参照_姫'!B:B,"見つかりません"))</f>
      </c>
      <c r="K366" s="4">
        <v>96</v>
      </c>
      <c r="L366" s="4">
        <v>500</v>
      </c>
      <c r="M366" s="4"/>
      <c r="N366" s="4"/>
      <c r="O366" s="4"/>
      <c r="P366" s="12" t="str">
        <f t="array" ref="P366">IF(O366:O4407="","",_xlfn.XLOOKUP(O366:O4407,'参照_官位'!A:A,'参照_官位'!B:B,""))</f>
      </c>
      <c r="Q366" s="12" t="str">
        <f t="array" ref="Q366">IF(A366:A4407="","",IFERROR(_xlfn.XLOOKUP(A366:A4407,castles_state!K:K,castles_state!D:D)&amp;"主",IFERROR(_xlfn.XLOOKUP(A366:A4407,kunishuClan!D:D,kunishuClan!B:B)&amp;"当主","")))</f>
      </c>
    </row>
    <row r="367" ht="15.75" customHeight="1">
      <c r="A367" s="4">
        <v>1006009</v>
      </c>
      <c r="B367" s="12" t="str">
        <f t="array" ref="B367">IF(A367:A4408="","",_xlfn.XLOOKUP(A367:A4408,'参照_武将'!A:A,'参照_武将'!B:B,"見つかりません"))</f>
      </c>
      <c r="C367" s="4" t="s">
        <v>98</v>
      </c>
      <c r="D367" s="4">
        <v>1</v>
      </c>
      <c r="E367" s="12" t="str">
        <f t="array" ref="E367">IF(D367:D4408="","",IFERROR(_xlfn.XLOOKUP(D367:D4408,'参照_勢力'!A:A,'参照_勢力'!B:B),IFERROR(_xlfn.XLOOKUP(F367:F4408,kunishuClan!A:A,kunishuClan!B:B),"浪人")))</f>
      </c>
      <c r="F367" s="4">
        <v>0</v>
      </c>
      <c r="G367" s="4">
        <v>7</v>
      </c>
      <c r="H367" s="12" t="str">
        <f t="array" ref="H367">IF(G367:G4408="","",_xlfn.XLOOKUP(G367:G4408,castles_state!A:A,castles_state!D:D,"見つかりません"))</f>
      </c>
      <c r="I367" s="4"/>
      <c r="J367" s="12" t="str">
        <f t="array" ref="J367">IF(I367:I4408="","",_xlfn.XLOOKUP(I367:I4408,'参照_姫'!A:A,'参照_姫'!B:B,"見つかりません"))</f>
      </c>
      <c r="K367" s="4">
        <v>95</v>
      </c>
      <c r="L367" s="4">
        <v>200</v>
      </c>
      <c r="M367" s="4"/>
      <c r="N367" s="4"/>
      <c r="O367" s="4"/>
      <c r="P367" s="12" t="str">
        <f t="array" ref="P367">IF(O367:O4408="","",_xlfn.XLOOKUP(O367:O4408,'参照_官位'!A:A,'参照_官位'!B:B,""))</f>
      </c>
      <c r="Q367" s="12" t="str">
        <f t="array" ref="Q367">IF(A367:A4408="","",IFERROR(_xlfn.XLOOKUP(A367:A4408,castles_state!K:K,castles_state!D:D)&amp;"主",IFERROR(_xlfn.XLOOKUP(A367:A4408,kunishuClan!D:D,kunishuClan!B:B)&amp;"当主","")))</f>
      </c>
    </row>
    <row r="368" ht="15.75" customHeight="1">
      <c r="A368" s="4">
        <v>1006010</v>
      </c>
      <c r="B368" s="12" t="str">
        <f t="array" ref="B368">IF(A368:A4409="","",_xlfn.XLOOKUP(A368:A4409,'参照_武将'!A:A,'参照_武将'!B:B,"見つかりません"))</f>
      </c>
      <c r="C368" s="4" t="s">
        <v>98</v>
      </c>
      <c r="D368" s="4">
        <v>1</v>
      </c>
      <c r="E368" s="12" t="str">
        <f t="array" ref="E368">IF(D368:D4409="","",IFERROR(_xlfn.XLOOKUP(D368:D4409,'参照_勢力'!A:A,'参照_勢力'!B:B),IFERROR(_xlfn.XLOOKUP(F368:F4409,kunishuClan!A:A,kunishuClan!B:B),"浪人")))</f>
      </c>
      <c r="F368" s="4">
        <v>0</v>
      </c>
      <c r="G368" s="4">
        <v>7</v>
      </c>
      <c r="H368" s="12" t="str">
        <f t="array" ref="H368">IF(G368:G4409="","",_xlfn.XLOOKUP(G368:G4409,castles_state!A:A,castles_state!D:D,"見つかりません"))</f>
      </c>
      <c r="I368" s="4"/>
      <c r="J368" s="12" t="str">
        <f t="array" ref="J368">IF(I368:I4409="","",_xlfn.XLOOKUP(I368:I4409,'参照_姫'!A:A,'参照_姫'!B:B,"見つかりません"))</f>
      </c>
      <c r="K368" s="4">
        <v>95</v>
      </c>
      <c r="L368" s="4">
        <v>0</v>
      </c>
      <c r="M368" s="4"/>
      <c r="N368" s="4"/>
      <c r="O368" s="4"/>
      <c r="P368" s="12" t="str">
        <f t="array" ref="P368">IF(O368:O4409="","",_xlfn.XLOOKUP(O368:O4409,'参照_官位'!A:A,'参照_官位'!B:B,""))</f>
      </c>
      <c r="Q368" s="12" t="str">
        <f t="array" ref="Q368">IF(A368:A4409="","",IFERROR(_xlfn.XLOOKUP(A368:A4409,castles_state!K:K,castles_state!D:D)&amp;"主",IFERROR(_xlfn.XLOOKUP(A368:A4409,kunishuClan!D:D,kunishuClan!B:B)&amp;"当主","")))</f>
      </c>
    </row>
    <row r="369" ht="15.75" customHeight="1">
      <c r="A369" s="4">
        <v>1006011</v>
      </c>
      <c r="B369" s="12" t="str">
        <f t="array" ref="B369">IF(A369:A4410="","",_xlfn.XLOOKUP(A369:A4410,'参照_武将'!A:A,'参照_武将'!B:B,"見つかりません"))</f>
      </c>
      <c r="C369" s="4" t="s">
        <v>98</v>
      </c>
      <c r="D369" s="4">
        <v>1</v>
      </c>
      <c r="E369" s="12" t="str">
        <f t="array" ref="E369">IF(D369:D4410="","",IFERROR(_xlfn.XLOOKUP(D369:D4410,'参照_勢力'!A:A,'参照_勢力'!B:B),IFERROR(_xlfn.XLOOKUP(F369:F4410,kunishuClan!A:A,kunishuClan!B:B),"浪人")))</f>
      </c>
      <c r="F369" s="4">
        <v>0</v>
      </c>
      <c r="G369" s="4">
        <v>7</v>
      </c>
      <c r="H369" s="12" t="str">
        <f t="array" ref="H369">IF(G369:G4410="","",_xlfn.XLOOKUP(G369:G4410,castles_state!A:A,castles_state!D:D,"見つかりません"))</f>
      </c>
      <c r="I369" s="4"/>
      <c r="J369" s="12" t="str">
        <f t="array" ref="J369">IF(I369:I4410="","",_xlfn.XLOOKUP(I369:I4410,'参照_姫'!A:A,'参照_姫'!B:B,"見つかりません"))</f>
      </c>
      <c r="K369" s="4">
        <v>95</v>
      </c>
      <c r="L369" s="4">
        <v>200</v>
      </c>
      <c r="M369" s="4"/>
      <c r="N369" s="4"/>
      <c r="O369" s="4"/>
      <c r="P369" s="12" t="str">
        <f t="array" ref="P369">IF(O369:O4410="","",_xlfn.XLOOKUP(O369:O4410,'参照_官位'!A:A,'参照_官位'!B:B,""))</f>
      </c>
      <c r="Q369" s="12" t="str">
        <f t="array" ref="Q369">IF(A369:A4410="","",IFERROR(_xlfn.XLOOKUP(A369:A4410,castles_state!K:K,castles_state!D:D)&amp;"主",IFERROR(_xlfn.XLOOKUP(A369:A4410,kunishuClan!D:D,kunishuClan!B:B)&amp;"当主","")))</f>
      </c>
    </row>
    <row r="370" ht="15.75" customHeight="1">
      <c r="A370" s="4">
        <v>1006012</v>
      </c>
      <c r="B370" s="12" t="str">
        <f t="array" ref="B370">IF(A370:A4411="","",_xlfn.XLOOKUP(A370:A4411,'参照_武将'!A:A,'参照_武将'!B:B,"見つかりません"))</f>
      </c>
      <c r="C370" s="4" t="s">
        <v>98</v>
      </c>
      <c r="D370" s="4">
        <v>1</v>
      </c>
      <c r="E370" s="12" t="str">
        <f t="array" ref="E370">IF(D370:D4411="","",IFERROR(_xlfn.XLOOKUP(D370:D4411,'参照_勢力'!A:A,'参照_勢力'!B:B),IFERROR(_xlfn.XLOOKUP(F370:F4411,kunishuClan!A:A,kunishuClan!B:B),"浪人")))</f>
      </c>
      <c r="F370" s="4">
        <v>0</v>
      </c>
      <c r="G370" s="4">
        <v>7</v>
      </c>
      <c r="H370" s="12" t="str">
        <f t="array" ref="H370">IF(G370:G4411="","",_xlfn.XLOOKUP(G370:G4411,castles_state!A:A,castles_state!D:D,"見つかりません"))</f>
      </c>
      <c r="I370" s="4"/>
      <c r="J370" s="12" t="str">
        <f t="array" ref="J370">IF(I370:I4411="","",_xlfn.XLOOKUP(I370:I4411,'参照_姫'!A:A,'参照_姫'!B:B,"見つかりません"))</f>
      </c>
      <c r="K370" s="4">
        <v>95</v>
      </c>
      <c r="L370" s="4">
        <v>200</v>
      </c>
      <c r="M370" s="4"/>
      <c r="N370" s="4"/>
      <c r="O370" s="4"/>
      <c r="P370" s="12" t="str">
        <f t="array" ref="P370">IF(O370:O4411="","",_xlfn.XLOOKUP(O370:O4411,'参照_官位'!A:A,'参照_官位'!B:B,""))</f>
      </c>
      <c r="Q370" s="12" t="str">
        <f t="array" ref="Q370">IF(A370:A4411="","",IFERROR(_xlfn.XLOOKUP(A370:A4411,castles_state!K:K,castles_state!D:D)&amp;"主",IFERROR(_xlfn.XLOOKUP(A370:A4411,kunishuClan!D:D,kunishuClan!B:B)&amp;"当主","")))</f>
      </c>
    </row>
    <row r="371" ht="15.75" customHeight="1">
      <c r="A371" s="4">
        <v>1006013</v>
      </c>
      <c r="B371" s="12" t="str">
        <f t="array" ref="B371">IF(A371:A4412="","",_xlfn.XLOOKUP(A371:A4412,'参照_武将'!A:A,'参照_武将'!B:B,"見つかりません"))</f>
      </c>
      <c r="C371" s="4" t="s">
        <v>98</v>
      </c>
      <c r="D371" s="4">
        <v>1</v>
      </c>
      <c r="E371" s="12" t="str">
        <f t="array" ref="E371">IF(D371:D4412="","",IFERROR(_xlfn.XLOOKUP(D371:D4412,'参照_勢力'!A:A,'参照_勢力'!B:B),IFERROR(_xlfn.XLOOKUP(F371:F4412,kunishuClan!A:A,kunishuClan!B:B),"浪人")))</f>
      </c>
      <c r="F371" s="4">
        <v>0</v>
      </c>
      <c r="G371" s="4">
        <v>7</v>
      </c>
      <c r="H371" s="12" t="str">
        <f t="array" ref="H371">IF(G371:G4412="","",_xlfn.XLOOKUP(G371:G4412,castles_state!A:A,castles_state!D:D,"見つかりません"))</f>
      </c>
      <c r="I371" s="4"/>
      <c r="J371" s="12" t="str">
        <f t="array" ref="J371">IF(I371:I4412="","",_xlfn.XLOOKUP(I371:I4412,'参照_姫'!A:A,'参照_姫'!B:B,"見つかりません"))</f>
      </c>
      <c r="K371" s="4">
        <v>95</v>
      </c>
      <c r="L371" s="4">
        <v>0</v>
      </c>
      <c r="M371" s="4"/>
      <c r="N371" s="4"/>
      <c r="O371" s="4"/>
      <c r="P371" s="12" t="str">
        <f t="array" ref="P371">IF(O371:O4412="","",_xlfn.XLOOKUP(O371:O4412,'参照_官位'!A:A,'参照_官位'!B:B,""))</f>
      </c>
      <c r="Q371" s="12" t="str">
        <f t="array" ref="Q371">IF(A371:A4412="","",IFERROR(_xlfn.XLOOKUP(A371:A4412,castles_state!K:K,castles_state!D:D)&amp;"主",IFERROR(_xlfn.XLOOKUP(A371:A4412,kunishuClan!D:D,kunishuClan!B:B)&amp;"当主","")))</f>
      </c>
    </row>
    <row r="372" ht="15.75" customHeight="1">
      <c r="A372" s="4">
        <v>1006014</v>
      </c>
      <c r="B372" s="12" t="str">
        <f t="array" ref="B372">IF(A372:A4413="","",_xlfn.XLOOKUP(A372:A4413,'参照_武将'!A:A,'参照_武将'!B:B,"見つかりません"))</f>
      </c>
      <c r="C372" s="4" t="s">
        <v>98</v>
      </c>
      <c r="D372" s="4">
        <v>1</v>
      </c>
      <c r="E372" s="12" t="str">
        <f t="array" ref="E372">IF(D372:D4413="","",IFERROR(_xlfn.XLOOKUP(D372:D4413,'参照_勢力'!A:A,'参照_勢力'!B:B),IFERROR(_xlfn.XLOOKUP(F372:F4413,kunishuClan!A:A,kunishuClan!B:B),"浪人")))</f>
      </c>
      <c r="F372" s="4">
        <v>0</v>
      </c>
      <c r="G372" s="4">
        <v>7</v>
      </c>
      <c r="H372" s="12" t="str">
        <f t="array" ref="H372">IF(G372:G4413="","",_xlfn.XLOOKUP(G372:G4413,castles_state!A:A,castles_state!D:D,"見つかりません"))</f>
      </c>
      <c r="I372" s="4"/>
      <c r="J372" s="12" t="str">
        <f t="array" ref="J372">IF(I372:I4413="","",_xlfn.XLOOKUP(I372:I4413,'参照_姫'!A:A,'参照_姫'!B:B,"見つかりません"))</f>
      </c>
      <c r="K372" s="4">
        <v>95</v>
      </c>
      <c r="L372" s="4">
        <v>0</v>
      </c>
      <c r="M372" s="4"/>
      <c r="N372" s="4"/>
      <c r="O372" s="4"/>
      <c r="P372" s="12" t="str">
        <f t="array" ref="P372">IF(O372:O4413="","",_xlfn.XLOOKUP(O372:O4413,'参照_官位'!A:A,'参照_官位'!B:B,""))</f>
      </c>
      <c r="Q372" s="12" t="str">
        <f t="array" ref="Q372">IF(A372:A4413="","",IFERROR(_xlfn.XLOOKUP(A372:A4413,castles_state!K:K,castles_state!D:D)&amp;"主",IFERROR(_xlfn.XLOOKUP(A372:A4413,kunishuClan!D:D,kunishuClan!B:B)&amp;"当主","")))</f>
      </c>
    </row>
    <row r="373" ht="15.75" customHeight="1">
      <c r="A373" s="4">
        <v>1006015</v>
      </c>
      <c r="B373" s="12" t="str">
        <f t="array" ref="B373">IF(A373:A4414="","",_xlfn.XLOOKUP(A373:A4414,'参照_武将'!A:A,'参照_武将'!B:B,"見つかりません"))</f>
      </c>
      <c r="C373" s="4" t="s">
        <v>98</v>
      </c>
      <c r="D373" s="4">
        <v>1</v>
      </c>
      <c r="E373" s="12" t="str">
        <f t="array" ref="E373">IF(D373:D4414="","",IFERROR(_xlfn.XLOOKUP(D373:D4414,'参照_勢力'!A:A,'参照_勢力'!B:B),IFERROR(_xlfn.XLOOKUP(F373:F4414,kunishuClan!A:A,kunishuClan!B:B),"浪人")))</f>
      </c>
      <c r="F373" s="4">
        <v>0</v>
      </c>
      <c r="G373" s="4">
        <v>7</v>
      </c>
      <c r="H373" s="12" t="str">
        <f t="array" ref="H373">IF(G373:G4414="","",_xlfn.XLOOKUP(G373:G4414,castles_state!A:A,castles_state!D:D,"見つかりません"))</f>
      </c>
      <c r="I373" s="4"/>
      <c r="J373" s="12" t="str">
        <f t="array" ref="J373">IF(I373:I4414="","",_xlfn.XLOOKUP(I373:I4414,'参照_姫'!A:A,'参照_姫'!B:B,"見つかりません"))</f>
      </c>
      <c r="K373" s="4">
        <v>95</v>
      </c>
      <c r="L373" s="4">
        <v>0</v>
      </c>
      <c r="M373" s="4"/>
      <c r="N373" s="4"/>
      <c r="O373" s="4"/>
      <c r="P373" s="12" t="str">
        <f t="array" ref="P373">IF(O373:O4414="","",_xlfn.XLOOKUP(O373:O4414,'参照_官位'!A:A,'参照_官位'!B:B,""))</f>
      </c>
      <c r="Q373" s="12" t="str">
        <f t="array" ref="Q373">IF(A373:A4414="","",IFERROR(_xlfn.XLOOKUP(A373:A4414,castles_state!K:K,castles_state!D:D)&amp;"主",IFERROR(_xlfn.XLOOKUP(A373:A4414,kunishuClan!D:D,kunishuClan!B:B)&amp;"当主","")))</f>
      </c>
    </row>
    <row r="374" ht="15.75" customHeight="1">
      <c r="A374" s="4">
        <v>1006016</v>
      </c>
      <c r="B374" s="12" t="str">
        <f t="array" ref="B374">IF(A374:A4415="","",_xlfn.XLOOKUP(A374:A4415,'参照_武将'!A:A,'参照_武将'!B:B,"見つかりません"))</f>
      </c>
      <c r="C374" s="4" t="s">
        <v>98</v>
      </c>
      <c r="D374" s="4">
        <v>1</v>
      </c>
      <c r="E374" s="12" t="str">
        <f t="array" ref="E374">IF(D374:D4415="","",IFERROR(_xlfn.XLOOKUP(D374:D4415,'参照_勢力'!A:A,'参照_勢力'!B:B),IFERROR(_xlfn.XLOOKUP(F374:F4415,kunishuClan!A:A,kunishuClan!B:B),"浪人")))</f>
      </c>
      <c r="F374" s="4">
        <v>0</v>
      </c>
      <c r="G374" s="4">
        <v>7</v>
      </c>
      <c r="H374" s="12" t="str">
        <f t="array" ref="H374">IF(G374:G4415="","",_xlfn.XLOOKUP(G374:G4415,castles_state!A:A,castles_state!D:D,"見つかりません"))</f>
      </c>
      <c r="I374" s="4"/>
      <c r="J374" s="12" t="str">
        <f t="array" ref="J374">IF(I374:I4415="","",_xlfn.XLOOKUP(I374:I4415,'参照_姫'!A:A,'参照_姫'!B:B,"見つかりません"))</f>
      </c>
      <c r="K374" s="4">
        <v>90</v>
      </c>
      <c r="L374" s="4">
        <v>0</v>
      </c>
      <c r="M374" s="4"/>
      <c r="N374" s="4"/>
      <c r="O374" s="4"/>
      <c r="P374" s="12" t="str">
        <f t="array" ref="P374">IF(O374:O4415="","",_xlfn.XLOOKUP(O374:O4415,'参照_官位'!A:A,'参照_官位'!B:B,""))</f>
      </c>
      <c r="Q374" s="12" t="str">
        <f t="array" ref="Q374">IF(A374:A4415="","",IFERROR(_xlfn.XLOOKUP(A374:A4415,castles_state!K:K,castles_state!D:D)&amp;"主",IFERROR(_xlfn.XLOOKUP(A374:A4415,kunishuClan!D:D,kunishuClan!B:B)&amp;"当主","")))</f>
      </c>
    </row>
    <row r="375" ht="15.75" customHeight="1">
      <c r="A375" s="4">
        <v>1006017</v>
      </c>
      <c r="B375" s="12" t="str">
        <f t="array" ref="B375">IF(A375:A4416="","",_xlfn.XLOOKUP(A375:A4416,'参照_武将'!A:A,'参照_武将'!B:B,"見つかりません"))</f>
      </c>
      <c r="C375" s="4" t="s">
        <v>98</v>
      </c>
      <c r="D375" s="4">
        <v>1</v>
      </c>
      <c r="E375" s="12" t="str">
        <f t="array" ref="E375">IF(D375:D4416="","",IFERROR(_xlfn.XLOOKUP(D375:D4416,'参照_勢力'!A:A,'参照_勢力'!B:B),IFERROR(_xlfn.XLOOKUP(F375:F4416,kunishuClan!A:A,kunishuClan!B:B),"浪人")))</f>
      </c>
      <c r="F375" s="4">
        <v>0</v>
      </c>
      <c r="G375" s="4">
        <v>7</v>
      </c>
      <c r="H375" s="12" t="str">
        <f t="array" ref="H375">IF(G375:G4416="","",_xlfn.XLOOKUP(G375:G4416,castles_state!A:A,castles_state!D:D,"見つかりません"))</f>
      </c>
      <c r="I375" s="4"/>
      <c r="J375" s="12" t="str">
        <f t="array" ref="J375">IF(I375:I4416="","",_xlfn.XLOOKUP(I375:I4416,'参照_姫'!A:A,'参照_姫'!B:B,"見つかりません"))</f>
      </c>
      <c r="K375" s="4">
        <v>95</v>
      </c>
      <c r="L375" s="4">
        <v>0</v>
      </c>
      <c r="M375" s="4"/>
      <c r="N375" s="4"/>
      <c r="O375" s="4"/>
      <c r="P375" s="12" t="str">
        <f t="array" ref="P375">IF(O375:O4416="","",_xlfn.XLOOKUP(O375:O4416,'参照_官位'!A:A,'参照_官位'!B:B,""))</f>
      </c>
      <c r="Q375" s="12" t="str">
        <f t="array" ref="Q375">IF(A375:A4416="","",IFERROR(_xlfn.XLOOKUP(A375:A4416,castles_state!K:K,castles_state!D:D)&amp;"主",IFERROR(_xlfn.XLOOKUP(A375:A4416,kunishuClan!D:D,kunishuClan!B:B)&amp;"当主","")))</f>
      </c>
    </row>
    <row r="376" ht="15.75" customHeight="1">
      <c r="A376" s="4">
        <v>1006018</v>
      </c>
      <c r="B376" s="12" t="str">
        <f t="array" ref="B376">IF(A376:A4417="","",_xlfn.XLOOKUP(A376:A4417,'参照_武将'!A:A,'参照_武将'!B:B,"見つかりません"))</f>
      </c>
      <c r="C376" s="4" t="s">
        <v>98</v>
      </c>
      <c r="D376" s="4">
        <v>1</v>
      </c>
      <c r="E376" s="12" t="str">
        <f t="array" ref="E376">IF(D376:D4417="","",IFERROR(_xlfn.XLOOKUP(D376:D4417,'参照_勢力'!A:A,'参照_勢力'!B:B),IFERROR(_xlfn.XLOOKUP(F376:F4417,kunishuClan!A:A,kunishuClan!B:B),"浪人")))</f>
      </c>
      <c r="F376" s="4">
        <v>0</v>
      </c>
      <c r="G376" s="4">
        <v>49</v>
      </c>
      <c r="H376" s="12" t="str">
        <f t="array" ref="H376">IF(G376:G4417="","",_xlfn.XLOOKUP(G376:G4417,castles_state!A:A,castles_state!D:D,"見つかりません"))</f>
      </c>
      <c r="I376" s="4"/>
      <c r="J376" s="12" t="str">
        <f t="array" ref="J376">IF(I376:I4417="","",_xlfn.XLOOKUP(I376:I4417,'参照_姫'!A:A,'参照_姫'!B:B,"見つかりません"))</f>
      </c>
      <c r="K376" s="4">
        <v>95</v>
      </c>
      <c r="L376" s="4">
        <v>200</v>
      </c>
      <c r="M376" s="4"/>
      <c r="N376" s="4"/>
      <c r="O376" s="4"/>
      <c r="P376" s="12" t="str">
        <f t="array" ref="P376">IF(O376:O4417="","",_xlfn.XLOOKUP(O376:O4417,'参照_官位'!A:A,'参照_官位'!B:B,""))</f>
      </c>
      <c r="Q376" s="12" t="str">
        <f t="array" ref="Q376">IF(A376:A4417="","",IFERROR(_xlfn.XLOOKUP(A376:A4417,castles_state!K:K,castles_state!D:D)&amp;"主",IFERROR(_xlfn.XLOOKUP(A376:A4417,kunishuClan!D:D,kunishuClan!B:B)&amp;"当主","")))</f>
      </c>
    </row>
    <row r="377" ht="15.75" customHeight="1">
      <c r="A377" s="4">
        <v>1006019</v>
      </c>
      <c r="B377" s="12" t="str">
        <f t="array" ref="B377">IF(A377:A4418="","",_xlfn.XLOOKUP(A377:A4418,'参照_武将'!A:A,'参照_武将'!B:B,"見つかりません"))</f>
      </c>
      <c r="C377" s="4" t="s">
        <v>98</v>
      </c>
      <c r="D377" s="4">
        <v>1</v>
      </c>
      <c r="E377" s="12" t="str">
        <f t="array" ref="E377">IF(D377:D4418="","",IFERROR(_xlfn.XLOOKUP(D377:D4418,'参照_勢力'!A:A,'参照_勢力'!B:B),IFERROR(_xlfn.XLOOKUP(F377:F4418,kunishuClan!A:A,kunishuClan!B:B),"浪人")))</f>
      </c>
      <c r="F377" s="4">
        <v>0</v>
      </c>
      <c r="G377" s="4">
        <v>7</v>
      </c>
      <c r="H377" s="12" t="str">
        <f t="array" ref="H377">IF(G377:G4418="","",_xlfn.XLOOKUP(G377:G4418,castles_state!A:A,castles_state!D:D,"見つかりません"))</f>
      </c>
      <c r="I377" s="4"/>
      <c r="J377" s="12" t="str">
        <f t="array" ref="J377">IF(I377:I4418="","",_xlfn.XLOOKUP(I377:I4418,'参照_姫'!A:A,'参照_姫'!B:B,"見つかりません"))</f>
      </c>
      <c r="K377" s="4">
        <v>95</v>
      </c>
      <c r="L377" s="4">
        <v>0</v>
      </c>
      <c r="M377" s="4"/>
      <c r="N377" s="4"/>
      <c r="O377" s="4"/>
      <c r="P377" s="12" t="str">
        <f t="array" ref="P377">IF(O377:O4418="","",_xlfn.XLOOKUP(O377:O4418,'参照_官位'!A:A,'参照_官位'!B:B,""))</f>
      </c>
      <c r="Q377" s="12" t="str">
        <f t="array" ref="Q377">IF(A377:A4418="","",IFERROR(_xlfn.XLOOKUP(A377:A4418,castles_state!K:K,castles_state!D:D)&amp;"主",IFERROR(_xlfn.XLOOKUP(A377:A4418,kunishuClan!D:D,kunishuClan!B:B)&amp;"当主","")))</f>
      </c>
    </row>
    <row r="378" ht="15.75" customHeight="1">
      <c r="A378" s="4">
        <v>1006020</v>
      </c>
      <c r="B378" s="12" t="str">
        <f t="array" ref="B378">IF(A378:A4419="","",_xlfn.XLOOKUP(A378:A4419,'参照_武将'!A:A,'参照_武将'!B:B,"見つかりません"))</f>
      </c>
      <c r="C378" s="4" t="s">
        <v>98</v>
      </c>
      <c r="D378" s="4">
        <v>1</v>
      </c>
      <c r="E378" s="12" t="str">
        <f t="array" ref="E378">IF(D378:D4419="","",IFERROR(_xlfn.XLOOKUP(D378:D4419,'参照_勢力'!A:A,'参照_勢力'!B:B),IFERROR(_xlfn.XLOOKUP(F378:F4419,kunishuClan!A:A,kunishuClan!B:B),"浪人")))</f>
      </c>
      <c r="F378" s="4">
        <v>0</v>
      </c>
      <c r="G378" s="4">
        <v>7</v>
      </c>
      <c r="H378" s="12" t="str">
        <f t="array" ref="H378">IF(G378:G4419="","",_xlfn.XLOOKUP(G378:G4419,castles_state!A:A,castles_state!D:D,"見つかりません"))</f>
      </c>
      <c r="I378" s="4"/>
      <c r="J378" s="12" t="str">
        <f t="array" ref="J378">IF(I378:I4419="","",_xlfn.XLOOKUP(I378:I4419,'参照_姫'!A:A,'参照_姫'!B:B,"見つかりません"))</f>
      </c>
      <c r="K378" s="4">
        <v>95</v>
      </c>
      <c r="L378" s="4">
        <v>0</v>
      </c>
      <c r="M378" s="4"/>
      <c r="N378" s="4"/>
      <c r="O378" s="4"/>
      <c r="P378" s="12" t="str">
        <f t="array" ref="P378">IF(O378:O4419="","",_xlfn.XLOOKUP(O378:O4419,'参照_官位'!A:A,'参照_官位'!B:B,""))</f>
      </c>
      <c r="Q378" s="12" t="str">
        <f t="array" ref="Q378">IF(A378:A4419="","",IFERROR(_xlfn.XLOOKUP(A378:A4419,castles_state!K:K,castles_state!D:D)&amp;"主",IFERROR(_xlfn.XLOOKUP(A378:A4419,kunishuClan!D:D,kunishuClan!B:B)&amp;"当主","")))</f>
      </c>
    </row>
    <row r="379" ht="15.75" customHeight="1">
      <c r="A379" s="4">
        <v>1006021</v>
      </c>
      <c r="B379" s="12" t="str">
        <f t="array" ref="B379">IF(A379:A4420="","",_xlfn.XLOOKUP(A379:A4420,'参照_武将'!A:A,'参照_武将'!B:B,"見つかりません"))</f>
      </c>
      <c r="C379" s="4" t="s">
        <v>98</v>
      </c>
      <c r="D379" s="4">
        <v>1</v>
      </c>
      <c r="E379" s="12" t="str">
        <f t="array" ref="E379">IF(D379:D4420="","",IFERROR(_xlfn.XLOOKUP(D379:D4420,'参照_勢力'!A:A,'参照_勢力'!B:B),IFERROR(_xlfn.XLOOKUP(F379:F4420,kunishuClan!A:A,kunishuClan!B:B),"浪人")))</f>
      </c>
      <c r="F379" s="4">
        <v>0</v>
      </c>
      <c r="G379" s="4">
        <v>7</v>
      </c>
      <c r="H379" s="12" t="str">
        <f t="array" ref="H379">IF(G379:G4420="","",_xlfn.XLOOKUP(G379:G4420,castles_state!A:A,castles_state!D:D,"見つかりません"))</f>
      </c>
      <c r="I379" s="4"/>
      <c r="J379" s="12" t="str">
        <f t="array" ref="J379">IF(I379:I4420="","",_xlfn.XLOOKUP(I379:I4420,'参照_姫'!A:A,'参照_姫'!B:B,"見つかりません"))</f>
      </c>
      <c r="K379" s="4">
        <v>95</v>
      </c>
      <c r="L379" s="4">
        <v>0</v>
      </c>
      <c r="M379" s="4"/>
      <c r="N379" s="4"/>
      <c r="O379" s="4"/>
      <c r="P379" s="12" t="str">
        <f t="array" ref="P379">IF(O379:O4420="","",_xlfn.XLOOKUP(O379:O4420,'参照_官位'!A:A,'参照_官位'!B:B,""))</f>
      </c>
      <c r="Q379" s="12" t="str">
        <f t="array" ref="Q379">IF(A379:A4420="","",IFERROR(_xlfn.XLOOKUP(A379:A4420,castles_state!K:K,castles_state!D:D)&amp;"主",IFERROR(_xlfn.XLOOKUP(A379:A4420,kunishuClan!D:D,kunishuClan!B:B)&amp;"当主","")))</f>
      </c>
    </row>
    <row r="380" ht="15.75" customHeight="1">
      <c r="A380" s="4">
        <v>1006022</v>
      </c>
      <c r="B380" s="12" t="str">
        <f t="array" ref="B380">IF(A380:A4421="","",_xlfn.XLOOKUP(A380:A4421,'参照_武将'!A:A,'参照_武将'!B:B,"見つかりません"))</f>
      </c>
      <c r="C380" s="4" t="s">
        <v>98</v>
      </c>
      <c r="D380" s="4">
        <v>1</v>
      </c>
      <c r="E380" s="12" t="str">
        <f t="array" ref="E380">IF(D380:D4421="","",IFERROR(_xlfn.XLOOKUP(D380:D4421,'参照_勢力'!A:A,'参照_勢力'!B:B),IFERROR(_xlfn.XLOOKUP(F380:F4421,kunishuClan!A:A,kunishuClan!B:B),"浪人")))</f>
      </c>
      <c r="F380" s="4">
        <v>0</v>
      </c>
      <c r="G380" s="4">
        <v>180</v>
      </c>
      <c r="H380" s="12" t="str">
        <f t="array" ref="H380">IF(G380:G4421="","",_xlfn.XLOOKUP(G380:G4421,castles_state!A:A,castles_state!D:D,"見つかりません"))</f>
      </c>
      <c r="I380" s="4"/>
      <c r="J380" s="12" t="str">
        <f t="array" ref="J380">IF(I380:I4421="","",_xlfn.XLOOKUP(I380:I4421,'参照_姫'!A:A,'参照_姫'!B:B,"見つかりません"))</f>
      </c>
      <c r="K380" s="4">
        <v>95</v>
      </c>
      <c r="L380" s="4">
        <v>0</v>
      </c>
      <c r="M380" s="4"/>
      <c r="N380" s="4"/>
      <c r="O380" s="4"/>
      <c r="P380" s="12" t="str">
        <f t="array" ref="P380">IF(O380:O4421="","",_xlfn.XLOOKUP(O380:O4421,'参照_官位'!A:A,'参照_官位'!B:B,""))</f>
      </c>
      <c r="Q380" s="12" t="str">
        <f t="array" ref="Q380">IF(A380:A4421="","",IFERROR(_xlfn.XLOOKUP(A380:A4421,castles_state!K:K,castles_state!D:D)&amp;"主",IFERROR(_xlfn.XLOOKUP(A380:A4421,kunishuClan!D:D,kunishuClan!B:B)&amp;"当主","")))</f>
      </c>
    </row>
    <row r="381" ht="15.75" customHeight="1">
      <c r="A381" s="4">
        <v>1006023</v>
      </c>
      <c r="B381" s="12" t="str">
        <f t="array" ref="B381">IF(A381:A4422="","",_xlfn.XLOOKUP(A381:A4422,'参照_武将'!A:A,'参照_武将'!B:B,"見つかりません"))</f>
      </c>
      <c r="C381" s="4" t="s">
        <v>98</v>
      </c>
      <c r="D381" s="4">
        <v>3</v>
      </c>
      <c r="E381" s="12" t="str">
        <f t="array" ref="E381">IF(D381:D4422="","",IFERROR(_xlfn.XLOOKUP(D381:D4422,'参照_勢力'!A:A,'参照_勢力'!B:B),IFERROR(_xlfn.XLOOKUP(F381:F4422,kunishuClan!A:A,kunishuClan!B:B),"浪人")))</f>
      </c>
      <c r="F381" s="4">
        <v>0</v>
      </c>
      <c r="G381" s="4">
        <v>9</v>
      </c>
      <c r="H381" s="12" t="str">
        <f t="array" ref="H381">IF(G381:G4422="","",_xlfn.XLOOKUP(G381:G4422,castles_state!A:A,castles_state!D:D,"見つかりません"))</f>
      </c>
      <c r="I381" s="4"/>
      <c r="J381" s="12" t="str">
        <f t="array" ref="J381">IF(I381:I4422="","",_xlfn.XLOOKUP(I381:I4422,'参照_姫'!A:A,'参照_姫'!B:B,"見つかりません"))</f>
      </c>
      <c r="K381" s="4">
        <v>80</v>
      </c>
      <c r="L381" s="4">
        <v>300</v>
      </c>
      <c r="M381" s="4"/>
      <c r="N381" s="4"/>
      <c r="O381" s="4"/>
      <c r="P381" s="12" t="str">
        <f t="array" ref="P381">IF(O381:O4422="","",_xlfn.XLOOKUP(O381:O4422,'参照_官位'!A:A,'参照_官位'!B:B,""))</f>
      </c>
      <c r="Q381" s="12" t="str">
        <f t="array" ref="Q381">IF(A381:A4422="","",IFERROR(_xlfn.XLOOKUP(A381:A4422,castles_state!K:K,castles_state!D:D)&amp;"主",IFERROR(_xlfn.XLOOKUP(A381:A4422,kunishuClan!D:D,kunishuClan!B:B)&amp;"当主","")))</f>
      </c>
    </row>
    <row r="382" ht="15.75" customHeight="1">
      <c r="A382" s="4">
        <v>1006024</v>
      </c>
      <c r="B382" s="12" t="str">
        <f t="array" ref="B382">IF(A382:A4423="","",_xlfn.XLOOKUP(A382:A4423,'参照_武将'!A:A,'参照_武将'!B:B,"見つかりません"))</f>
      </c>
      <c r="C382" s="4" t="s">
        <v>98</v>
      </c>
      <c r="D382" s="4">
        <v>1</v>
      </c>
      <c r="E382" s="12" t="str">
        <f t="array" ref="E382">IF(D382:D4423="","",IFERROR(_xlfn.XLOOKUP(D382:D4423,'参照_勢力'!A:A,'参照_勢力'!B:B),IFERROR(_xlfn.XLOOKUP(F382:F4423,kunishuClan!A:A,kunishuClan!B:B),"浪人")))</f>
      </c>
      <c r="F382" s="4">
        <v>0</v>
      </c>
      <c r="G382" s="4">
        <v>73</v>
      </c>
      <c r="H382" s="12" t="str">
        <f t="array" ref="H382">IF(G382:G4423="","",_xlfn.XLOOKUP(G382:G4423,castles_state!A:A,castles_state!D:D,"見つかりません"))</f>
      </c>
      <c r="I382" s="4"/>
      <c r="J382" s="12" t="str">
        <f t="array" ref="J382">IF(I382:I4423="","",_xlfn.XLOOKUP(I382:I4423,'参照_姫'!A:A,'参照_姫'!B:B,"見つかりません"))</f>
      </c>
      <c r="K382" s="4">
        <v>90</v>
      </c>
      <c r="L382" s="4">
        <v>0</v>
      </c>
      <c r="M382" s="4"/>
      <c r="N382" s="4"/>
      <c r="O382" s="4"/>
      <c r="P382" s="12" t="str">
        <f t="array" ref="P382">IF(O382:O4423="","",_xlfn.XLOOKUP(O382:O4423,'参照_官位'!A:A,'参照_官位'!B:B,""))</f>
      </c>
      <c r="Q382" s="12" t="str">
        <f t="array" ref="Q382">IF(A382:A4423="","",IFERROR(_xlfn.XLOOKUP(A382:A4423,castles_state!K:K,castles_state!D:D)&amp;"主",IFERROR(_xlfn.XLOOKUP(A382:A4423,kunishuClan!D:D,kunishuClan!B:B)&amp;"当主","")))</f>
      </c>
    </row>
    <row r="383" ht="15.75" customHeight="1">
      <c r="A383" s="4">
        <v>1006025</v>
      </c>
      <c r="B383" s="12" t="str">
        <f t="array" ref="B383">IF(A383:A4424="","",_xlfn.XLOOKUP(A383:A4424,'参照_武将'!A:A,'参照_武将'!B:B,"見つかりません"))</f>
      </c>
      <c r="C383" s="4" t="s">
        <v>98</v>
      </c>
      <c r="D383" s="4">
        <v>1</v>
      </c>
      <c r="E383" s="12" t="str">
        <f t="array" ref="E383">IF(D383:D4424="","",IFERROR(_xlfn.XLOOKUP(D383:D4424,'参照_勢力'!A:A,'参照_勢力'!B:B),IFERROR(_xlfn.XLOOKUP(F383:F4424,kunishuClan!A:A,kunishuClan!B:B),"浪人")))</f>
      </c>
      <c r="F383" s="4">
        <v>0</v>
      </c>
      <c r="G383" s="4">
        <v>73</v>
      </c>
      <c r="H383" s="12" t="str">
        <f t="array" ref="H383">IF(G383:G4424="","",_xlfn.XLOOKUP(G383:G4424,castles_state!A:A,castles_state!D:D,"見つかりません"))</f>
      </c>
      <c r="I383" s="4"/>
      <c r="J383" s="12" t="str">
        <f t="array" ref="J383">IF(I383:I4424="","",_xlfn.XLOOKUP(I383:I4424,'参照_姫'!A:A,'参照_姫'!B:B,"見つかりません"))</f>
      </c>
      <c r="K383" s="4">
        <v>80</v>
      </c>
      <c r="L383" s="4">
        <v>0</v>
      </c>
      <c r="M383" s="4"/>
      <c r="N383" s="4"/>
      <c r="O383" s="4"/>
      <c r="P383" s="12" t="str">
        <f t="array" ref="P383">IF(O383:O4424="","",_xlfn.XLOOKUP(O383:O4424,'参照_官位'!A:A,'参照_官位'!B:B,""))</f>
      </c>
      <c r="Q383" s="12" t="str">
        <f t="array" ref="Q383">IF(A383:A4424="","",IFERROR(_xlfn.XLOOKUP(A383:A4424,castles_state!K:K,castles_state!D:D)&amp;"主",IFERROR(_xlfn.XLOOKUP(A383:A4424,kunishuClan!D:D,kunishuClan!B:B)&amp;"当主","")))</f>
      </c>
    </row>
    <row r="384" ht="15.75" customHeight="1">
      <c r="A384" s="4">
        <v>1006026</v>
      </c>
      <c r="B384" s="12" t="str">
        <f t="array" ref="B384">IF(A384:A4425="","",_xlfn.XLOOKUP(A384:A4425,'参照_武将'!A:A,'参照_武将'!B:B,"見つかりません"))</f>
      </c>
      <c r="C384" s="4" t="s">
        <v>98</v>
      </c>
      <c r="D384" s="4">
        <v>1</v>
      </c>
      <c r="E384" s="12" t="str">
        <f t="array" ref="E384">IF(D384:D4425="","",IFERROR(_xlfn.XLOOKUP(D384:D4425,'参照_勢力'!A:A,'参照_勢力'!B:B),IFERROR(_xlfn.XLOOKUP(F384:F4425,kunishuClan!A:A,kunishuClan!B:B),"浪人")))</f>
      </c>
      <c r="F384" s="4">
        <v>0</v>
      </c>
      <c r="G384" s="4">
        <v>11</v>
      </c>
      <c r="H384" s="12" t="str">
        <f t="array" ref="H384">IF(G384:G4425="","",_xlfn.XLOOKUP(G384:G4425,castles_state!A:A,castles_state!D:D,"見つかりません"))</f>
      </c>
      <c r="I384" s="4"/>
      <c r="J384" s="12" t="str">
        <f t="array" ref="J384">IF(I384:I4425="","",_xlfn.XLOOKUP(I384:I4425,'参照_姫'!A:A,'参照_姫'!B:B,"見つかりません"))</f>
      </c>
      <c r="K384" s="4">
        <v>90</v>
      </c>
      <c r="L384" s="4">
        <v>0</v>
      </c>
      <c r="M384" s="4"/>
      <c r="N384" s="4"/>
      <c r="O384" s="4"/>
      <c r="P384" s="12" t="str">
        <f t="array" ref="P384">IF(O384:O4425="","",_xlfn.XLOOKUP(O384:O4425,'参照_官位'!A:A,'参照_官位'!B:B,""))</f>
      </c>
      <c r="Q384" s="12" t="str">
        <f t="array" ref="Q384">IF(A384:A4425="","",IFERROR(_xlfn.XLOOKUP(A384:A4425,castles_state!K:K,castles_state!D:D)&amp;"主",IFERROR(_xlfn.XLOOKUP(A384:A4425,kunishuClan!D:D,kunishuClan!B:B)&amp;"当主","")))</f>
      </c>
    </row>
    <row r="385" ht="15.75" customHeight="1">
      <c r="A385" s="4">
        <v>1006027</v>
      </c>
      <c r="B385" s="12" t="str">
        <f t="array" ref="B385">IF(A385:A4426="","",_xlfn.XLOOKUP(A385:A4426,'参照_武将'!A:A,'参照_武将'!B:B,"見つかりません"))</f>
      </c>
      <c r="C385" s="4" t="s">
        <v>98</v>
      </c>
      <c r="D385" s="4">
        <v>1</v>
      </c>
      <c r="E385" s="12" t="str">
        <f t="array" ref="E385">IF(D385:D4426="","",IFERROR(_xlfn.XLOOKUP(D385:D4426,'参照_勢力'!A:A,'参照_勢力'!B:B),IFERROR(_xlfn.XLOOKUP(F385:F4426,kunishuClan!A:A,kunishuClan!B:B),"浪人")))</f>
      </c>
      <c r="F385" s="4">
        <v>0</v>
      </c>
      <c r="G385" s="4">
        <v>180</v>
      </c>
      <c r="H385" s="12" t="str">
        <f t="array" ref="H385">IF(G385:G4426="","",_xlfn.XLOOKUP(G385:G4426,castles_state!A:A,castles_state!D:D,"見つかりません"))</f>
      </c>
      <c r="I385" s="4"/>
      <c r="J385" s="12" t="str">
        <f t="array" ref="J385">IF(I385:I4426="","",_xlfn.XLOOKUP(I385:I4426,'参照_姫'!A:A,'参照_姫'!B:B,"見つかりません"))</f>
      </c>
      <c r="K385" s="4">
        <v>95</v>
      </c>
      <c r="L385" s="4">
        <v>0</v>
      </c>
      <c r="M385" s="4"/>
      <c r="N385" s="4"/>
      <c r="O385" s="4"/>
      <c r="P385" s="12" t="str">
        <f t="array" ref="P385">IF(O385:O4426="","",_xlfn.XLOOKUP(O385:O4426,'参照_官位'!A:A,'参照_官位'!B:B,""))</f>
      </c>
      <c r="Q385" s="12" t="str">
        <f t="array" ref="Q385">IF(A385:A4426="","",IFERROR(_xlfn.XLOOKUP(A385:A4426,castles_state!K:K,castles_state!D:D)&amp;"主",IFERROR(_xlfn.XLOOKUP(A385:A4426,kunishuClan!D:D,kunishuClan!B:B)&amp;"当主","")))</f>
      </c>
    </row>
    <row r="386" ht="15.75" customHeight="1">
      <c r="A386" s="4">
        <v>1006028</v>
      </c>
      <c r="B386" s="12" t="str">
        <f t="array" ref="B386">IF(A386:A4427="","",_xlfn.XLOOKUP(A386:A4427,'参照_武将'!A:A,'参照_武将'!B:B,"見つかりません"))</f>
      </c>
      <c r="C386" s="4" t="s">
        <v>98</v>
      </c>
      <c r="D386" s="4">
        <v>1</v>
      </c>
      <c r="E386" s="12" t="str">
        <f t="array" ref="E386">IF(D386:D4427="","",IFERROR(_xlfn.XLOOKUP(D386:D4427,'参照_勢力'!A:A,'参照_勢力'!B:B),IFERROR(_xlfn.XLOOKUP(F386:F4427,kunishuClan!A:A,kunishuClan!B:B),"浪人")))</f>
      </c>
      <c r="F386" s="4">
        <v>0</v>
      </c>
      <c r="G386" s="4">
        <v>7</v>
      </c>
      <c r="H386" s="12" t="str">
        <f t="array" ref="H386">IF(G386:G4427="","",_xlfn.XLOOKUP(G386:G4427,castles_state!A:A,castles_state!D:D,"見つかりません"))</f>
      </c>
      <c r="I386" s="4"/>
      <c r="J386" s="12" t="str">
        <f t="array" ref="J386">IF(I386:I4427="","",_xlfn.XLOOKUP(I386:I4427,'参照_姫'!A:A,'参照_姫'!B:B,"見つかりません"))</f>
      </c>
      <c r="K386" s="4">
        <v>95</v>
      </c>
      <c r="L386" s="4">
        <v>0</v>
      </c>
      <c r="M386" s="4"/>
      <c r="N386" s="4"/>
      <c r="O386" s="4"/>
      <c r="P386" s="12" t="str">
        <f t="array" ref="P386">IF(O386:O4427="","",_xlfn.XLOOKUP(O386:O4427,'参照_官位'!A:A,'参照_官位'!B:B,""))</f>
      </c>
      <c r="Q386" s="12" t="str">
        <f t="array" ref="Q386">IF(A386:A4427="","",IFERROR(_xlfn.XLOOKUP(A386:A4427,castles_state!K:K,castles_state!D:D)&amp;"主",IFERROR(_xlfn.XLOOKUP(A386:A4427,kunishuClan!D:D,kunishuClan!B:B)&amp;"当主","")))</f>
      </c>
    </row>
    <row r="387" ht="15.75" customHeight="1">
      <c r="A387" s="4">
        <v>1006029</v>
      </c>
      <c r="B387" s="12" t="str">
        <f t="array" ref="B387">IF(A387:A4428="","",_xlfn.XLOOKUP(A387:A4428,'参照_武将'!A:A,'参照_武将'!B:B,"見つかりません"))</f>
      </c>
      <c r="C387" s="4" t="s">
        <v>98</v>
      </c>
      <c r="D387" s="4">
        <v>1</v>
      </c>
      <c r="E387" s="12" t="str">
        <f t="array" ref="E387">IF(D387:D4428="","",IFERROR(_xlfn.XLOOKUP(D387:D4428,'参照_勢力'!A:A,'参照_勢力'!B:B),IFERROR(_xlfn.XLOOKUP(F387:F4428,kunishuClan!A:A,kunishuClan!B:B),"浪人")))</f>
      </c>
      <c r="F387" s="4">
        <v>0</v>
      </c>
      <c r="G387" s="4">
        <v>7</v>
      </c>
      <c r="H387" s="12" t="str">
        <f t="array" ref="H387">IF(G387:G4428="","",_xlfn.XLOOKUP(G387:G4428,castles_state!A:A,castles_state!D:D,"見つかりません"))</f>
      </c>
      <c r="I387" s="4"/>
      <c r="J387" s="12" t="str">
        <f t="array" ref="J387">IF(I387:I4428="","",_xlfn.XLOOKUP(I387:I4428,'参照_姫'!A:A,'参照_姫'!B:B,"見つかりません"))</f>
      </c>
      <c r="K387" s="4">
        <v>95</v>
      </c>
      <c r="L387" s="4">
        <v>0</v>
      </c>
      <c r="M387" s="4"/>
      <c r="N387" s="4"/>
      <c r="O387" s="4"/>
      <c r="P387" s="12" t="str">
        <f t="array" ref="P387">IF(O387:O4428="","",_xlfn.XLOOKUP(O387:O4428,'参照_官位'!A:A,'参照_官位'!B:B,""))</f>
      </c>
      <c r="Q387" s="12" t="str">
        <f t="array" ref="Q387">IF(A387:A4428="","",IFERROR(_xlfn.XLOOKUP(A387:A4428,castles_state!K:K,castles_state!D:D)&amp;"主",IFERROR(_xlfn.XLOOKUP(A387:A4428,kunishuClan!D:D,kunishuClan!B:B)&amp;"当主","")))</f>
      </c>
    </row>
    <row r="388" ht="15.75" customHeight="1">
      <c r="A388" s="4">
        <v>1006030</v>
      </c>
      <c r="B388" s="12" t="str">
        <f t="array" ref="B388">IF(A388:A4429="","",_xlfn.XLOOKUP(A388:A4429,'参照_武将'!A:A,'参照_武将'!B:B,"見つかりません"))</f>
      </c>
      <c r="C388" s="4" t="s">
        <v>98</v>
      </c>
      <c r="D388" s="4">
        <v>1</v>
      </c>
      <c r="E388" s="12" t="str">
        <f t="array" ref="E388">IF(D388:D4429="","",IFERROR(_xlfn.XLOOKUP(D388:D4429,'参照_勢力'!A:A,'参照_勢力'!B:B),IFERROR(_xlfn.XLOOKUP(F388:F4429,kunishuClan!A:A,kunishuClan!B:B),"浪人")))</f>
      </c>
      <c r="F388" s="4">
        <v>0</v>
      </c>
      <c r="G388" s="4">
        <v>180</v>
      </c>
      <c r="H388" s="12" t="str">
        <f t="array" ref="H388">IF(G388:G4429="","",_xlfn.XLOOKUP(G388:G4429,castles_state!A:A,castles_state!D:D,"見つかりません"))</f>
      </c>
      <c r="I388" s="4"/>
      <c r="J388" s="12" t="str">
        <f t="array" ref="J388">IF(I388:I4429="","",_xlfn.XLOOKUP(I388:I4429,'参照_姫'!A:A,'参照_姫'!B:B,"見つかりません"))</f>
      </c>
      <c r="K388" s="4">
        <v>95</v>
      </c>
      <c r="L388" s="4">
        <v>0</v>
      </c>
      <c r="M388" s="4"/>
      <c r="N388" s="4"/>
      <c r="O388" s="4"/>
      <c r="P388" s="12" t="str">
        <f t="array" ref="P388">IF(O388:O4429="","",_xlfn.XLOOKUP(O388:O4429,'参照_官位'!A:A,'参照_官位'!B:B,""))</f>
      </c>
      <c r="Q388" s="12" t="str">
        <f t="array" ref="Q388">IF(A388:A4429="","",IFERROR(_xlfn.XLOOKUP(A388:A4429,castles_state!K:K,castles_state!D:D)&amp;"主",IFERROR(_xlfn.XLOOKUP(A388:A4429,kunishuClan!D:D,kunishuClan!B:B)&amp;"当主","")))</f>
      </c>
    </row>
    <row r="389" ht="15.75" customHeight="1">
      <c r="A389" s="4">
        <v>1006031</v>
      </c>
      <c r="B389" s="12" t="str">
        <f t="array" ref="B389">IF(A389:A4430="","",_xlfn.XLOOKUP(A389:A4430,'参照_武将'!A:A,'参照_武将'!B:B,"見つかりません"))</f>
      </c>
      <c r="C389" s="4" t="s">
        <v>98</v>
      </c>
      <c r="D389" s="4">
        <v>1</v>
      </c>
      <c r="E389" s="12" t="str">
        <f t="array" ref="E389">IF(D389:D4430="","",IFERROR(_xlfn.XLOOKUP(D389:D4430,'参照_勢力'!A:A,'参照_勢力'!B:B),IFERROR(_xlfn.XLOOKUP(F389:F4430,kunishuClan!A:A,kunishuClan!B:B),"浪人")))</f>
      </c>
      <c r="F389" s="4">
        <v>0</v>
      </c>
      <c r="G389" s="4">
        <v>3</v>
      </c>
      <c r="H389" s="12" t="str">
        <f t="array" ref="H389">IF(G389:G4430="","",_xlfn.XLOOKUP(G389:G4430,castles_state!A:A,castles_state!D:D,"見つかりません"))</f>
      </c>
      <c r="I389" s="4"/>
      <c r="J389" s="12" t="str">
        <f t="array" ref="J389">IF(I389:I4430="","",_xlfn.XLOOKUP(I389:I4430,'参照_姫'!A:A,'参照_姫'!B:B,"見つかりません"))</f>
      </c>
      <c r="K389" s="4">
        <v>95</v>
      </c>
      <c r="L389" s="4">
        <v>0</v>
      </c>
      <c r="M389" s="4"/>
      <c r="N389" s="4"/>
      <c r="O389" s="4"/>
      <c r="P389" s="12" t="str">
        <f t="array" ref="P389">IF(O389:O4430="","",_xlfn.XLOOKUP(O389:O4430,'参照_官位'!A:A,'参照_官位'!B:B,""))</f>
      </c>
      <c r="Q389" s="12" t="str">
        <f t="array" ref="Q389">IF(A389:A4430="","",IFERROR(_xlfn.XLOOKUP(A389:A4430,castles_state!K:K,castles_state!D:D)&amp;"主",IFERROR(_xlfn.XLOOKUP(A389:A4430,kunishuClan!D:D,kunishuClan!B:B)&amp;"当主","")))</f>
      </c>
    </row>
    <row r="390" ht="15.75" customHeight="1">
      <c r="A390" s="4">
        <v>1006032</v>
      </c>
      <c r="B390" s="12" t="str">
        <f t="array" ref="B390">IF(A390:A4431="","",_xlfn.XLOOKUP(A390:A4431,'参照_武将'!A:A,'参照_武将'!B:B,"見つかりません"))</f>
      </c>
      <c r="C390" s="4" t="s">
        <v>98</v>
      </c>
      <c r="D390" s="4">
        <v>7</v>
      </c>
      <c r="E390" s="12" t="str">
        <f t="array" ref="E390">IF(D390:D4431="","",IFERROR(_xlfn.XLOOKUP(D390:D4431,'参照_勢力'!A:A,'参照_勢力'!B:B),IFERROR(_xlfn.XLOOKUP(F390:F4431,kunishuClan!A:A,kunishuClan!B:B),"浪人")))</f>
      </c>
      <c r="F390" s="4">
        <v>0</v>
      </c>
      <c r="G390" s="4">
        <v>16</v>
      </c>
      <c r="H390" s="12" t="str">
        <f t="array" ref="H390">IF(G390:G4431="","",_xlfn.XLOOKUP(G390:G4431,castles_state!A:A,castles_state!D:D,"見つかりません"))</f>
      </c>
      <c r="I390" s="4"/>
      <c r="J390" s="12" t="str">
        <f t="array" ref="J390">IF(I390:I4431="","",_xlfn.XLOOKUP(I390:I4431,'参照_姫'!A:A,'参照_姫'!B:B,"見つかりません"))</f>
      </c>
      <c r="K390" s="4">
        <v>95</v>
      </c>
      <c r="L390" s="4">
        <v>0</v>
      </c>
      <c r="M390" s="4"/>
      <c r="N390" s="4"/>
      <c r="O390" s="4"/>
      <c r="P390" s="12" t="str">
        <f t="array" ref="P390">IF(O390:O4431="","",_xlfn.XLOOKUP(O390:O4431,'参照_官位'!A:A,'参照_官位'!B:B,""))</f>
      </c>
      <c r="Q390" s="12" t="str">
        <f t="array" ref="Q390">IF(A390:A4431="","",IFERROR(_xlfn.XLOOKUP(A390:A4431,castles_state!K:K,castles_state!D:D)&amp;"主",IFERROR(_xlfn.XLOOKUP(A390:A4431,kunishuClan!D:D,kunishuClan!B:B)&amp;"当主","")))</f>
      </c>
    </row>
    <row r="391" ht="15.75" customHeight="1">
      <c r="A391" s="4">
        <v>1006033</v>
      </c>
      <c r="B391" s="12" t="str">
        <f t="array" ref="B391">IF(A391:A4432="","",_xlfn.XLOOKUP(A391:A4432,'参照_武将'!A:A,'参照_武将'!B:B,"見つかりません"))</f>
      </c>
      <c r="C391" s="4" t="s">
        <v>98</v>
      </c>
      <c r="D391" s="4">
        <v>7</v>
      </c>
      <c r="E391" s="12" t="str">
        <f t="array" ref="E391">IF(D391:D4432="","",IFERROR(_xlfn.XLOOKUP(D391:D4432,'参照_勢力'!A:A,'参照_勢力'!B:B),IFERROR(_xlfn.XLOOKUP(F391:F4432,kunishuClan!A:A,kunishuClan!B:B),"浪人")))</f>
      </c>
      <c r="F391" s="4">
        <v>0</v>
      </c>
      <c r="G391" s="4">
        <v>16</v>
      </c>
      <c r="H391" s="12" t="str">
        <f t="array" ref="H391">IF(G391:G4432="","",_xlfn.XLOOKUP(G391:G4432,castles_state!A:A,castles_state!D:D,"見つかりません"))</f>
      </c>
      <c r="I391" s="4"/>
      <c r="J391" s="12" t="str">
        <f t="array" ref="J391">IF(I391:I4432="","",_xlfn.XLOOKUP(I391:I4432,'参照_姫'!A:A,'参照_姫'!B:B,"見つかりません"))</f>
      </c>
      <c r="K391" s="4">
        <v>95</v>
      </c>
      <c r="L391" s="4">
        <v>0</v>
      </c>
      <c r="M391" s="4"/>
      <c r="N391" s="4"/>
      <c r="O391" s="4"/>
      <c r="P391" s="12" t="str">
        <f t="array" ref="P391">IF(O391:O4432="","",_xlfn.XLOOKUP(O391:O4432,'参照_官位'!A:A,'参照_官位'!B:B,""))</f>
      </c>
      <c r="Q391" s="12" t="str">
        <f t="array" ref="Q391">IF(A391:A4432="","",IFERROR(_xlfn.XLOOKUP(A391:A4432,castles_state!K:K,castles_state!D:D)&amp;"主",IFERROR(_xlfn.XLOOKUP(A391:A4432,kunishuClan!D:D,kunishuClan!B:B)&amp;"当主","")))</f>
      </c>
    </row>
    <row r="392" ht="15.75" customHeight="1">
      <c r="A392" s="4">
        <v>1006034</v>
      </c>
      <c r="B392" s="12" t="str">
        <f t="array" ref="B392">IF(A392:A4433="","",_xlfn.XLOOKUP(A392:A4433,'参照_武将'!A:A,'参照_武将'!B:B,"見つかりません"))</f>
      </c>
      <c r="C392" s="4" t="s">
        <v>98</v>
      </c>
      <c r="D392" s="4">
        <v>1</v>
      </c>
      <c r="E392" s="12" t="str">
        <f t="array" ref="E392">IF(D392:D4433="","",IFERROR(_xlfn.XLOOKUP(D392:D4433,'参照_勢力'!A:A,'参照_勢力'!B:B),IFERROR(_xlfn.XLOOKUP(F392:F4433,kunishuClan!A:A,kunishuClan!B:B),"浪人")))</f>
      </c>
      <c r="F392" s="4">
        <v>0</v>
      </c>
      <c r="G392" s="4">
        <v>73</v>
      </c>
      <c r="H392" s="12" t="str">
        <f t="array" ref="H392">IF(G392:G4433="","",_xlfn.XLOOKUP(G392:G4433,castles_state!A:A,castles_state!D:D,"見つかりません"))</f>
      </c>
      <c r="I392" s="4"/>
      <c r="J392" s="12" t="str">
        <f t="array" ref="J392">IF(I392:I4433="","",_xlfn.XLOOKUP(I392:I4433,'参照_姫'!A:A,'参照_姫'!B:B,"見つかりません"))</f>
      </c>
      <c r="K392" s="4">
        <v>95</v>
      </c>
      <c r="L392" s="4">
        <v>500</v>
      </c>
      <c r="M392" s="4"/>
      <c r="N392" s="4"/>
      <c r="O392" s="4"/>
      <c r="P392" s="12" t="str">
        <f t="array" ref="P392">IF(O392:O4433="","",_xlfn.XLOOKUP(O392:O4433,'参照_官位'!A:A,'参照_官位'!B:B,""))</f>
      </c>
      <c r="Q392" s="12" t="str">
        <f t="array" ref="Q392">IF(A392:A4433="","",IFERROR(_xlfn.XLOOKUP(A392:A4433,castles_state!K:K,castles_state!D:D)&amp;"主",IFERROR(_xlfn.XLOOKUP(A392:A4433,kunishuClan!D:D,kunishuClan!B:B)&amp;"当主","")))</f>
      </c>
    </row>
    <row r="393" ht="15.75" customHeight="1">
      <c r="A393" s="4">
        <v>1006035</v>
      </c>
      <c r="B393" s="12" t="str">
        <f t="array" ref="B393">IF(A393:A4434="","",_xlfn.XLOOKUP(A393:A4434,'参照_武将'!A:A,'参照_武将'!B:B,"見つかりません"))</f>
      </c>
      <c r="C393" s="4" t="s">
        <v>98</v>
      </c>
      <c r="D393" s="4">
        <v>1</v>
      </c>
      <c r="E393" s="12" t="str">
        <f t="array" ref="E393">IF(D393:D4434="","",IFERROR(_xlfn.XLOOKUP(D393:D4434,'参照_勢力'!A:A,'参照_勢力'!B:B),IFERROR(_xlfn.XLOOKUP(F393:F4434,kunishuClan!A:A,kunishuClan!B:B),"浪人")))</f>
      </c>
      <c r="F393" s="4">
        <v>0</v>
      </c>
      <c r="G393" s="4">
        <v>180</v>
      </c>
      <c r="H393" s="12" t="str">
        <f t="array" ref="H393">IF(G393:G4434="","",_xlfn.XLOOKUP(G393:G4434,castles_state!A:A,castles_state!D:D,"見つかりません"))</f>
      </c>
      <c r="I393" s="4"/>
      <c r="J393" s="12" t="str">
        <f t="array" ref="J393">IF(I393:I4434="","",_xlfn.XLOOKUP(I393:I4434,'参照_姫'!A:A,'参照_姫'!B:B,"見つかりません"))</f>
      </c>
      <c r="K393" s="4">
        <v>95</v>
      </c>
      <c r="L393" s="4">
        <v>0</v>
      </c>
      <c r="M393" s="4"/>
      <c r="N393" s="4"/>
      <c r="O393" s="4"/>
      <c r="P393" s="12" t="str">
        <f t="array" ref="P393">IF(O393:O4434="","",_xlfn.XLOOKUP(O393:O4434,'参照_官位'!A:A,'参照_官位'!B:B,""))</f>
      </c>
      <c r="Q393" s="12" t="str">
        <f t="array" ref="Q393">IF(A393:A4434="","",IFERROR(_xlfn.XLOOKUP(A393:A4434,castles_state!K:K,castles_state!D:D)&amp;"主",IFERROR(_xlfn.XLOOKUP(A393:A4434,kunishuClan!D:D,kunishuClan!B:B)&amp;"当主","")))</f>
      </c>
    </row>
    <row r="394" ht="15.75" customHeight="1">
      <c r="A394" s="4">
        <v>1006036</v>
      </c>
      <c r="B394" s="12" t="str">
        <f t="array" ref="B394">IF(A394:A4435="","",_xlfn.XLOOKUP(A394:A4435,'参照_武将'!A:A,'参照_武将'!B:B,"見つかりません"))</f>
      </c>
      <c r="C394" s="4" t="s">
        <v>98</v>
      </c>
      <c r="D394" s="4">
        <v>1</v>
      </c>
      <c r="E394" s="12" t="str">
        <f t="array" ref="E394">IF(D394:D4435="","",IFERROR(_xlfn.XLOOKUP(D394:D4435,'参照_勢力'!A:A,'参照_勢力'!B:B),IFERROR(_xlfn.XLOOKUP(F394:F4435,kunishuClan!A:A,kunishuClan!B:B),"浪人")))</f>
      </c>
      <c r="F394" s="4">
        <v>0</v>
      </c>
      <c r="G394" s="4">
        <v>180</v>
      </c>
      <c r="H394" s="12" t="str">
        <f t="array" ref="H394">IF(G394:G4435="","",_xlfn.XLOOKUP(G394:G4435,castles_state!A:A,castles_state!D:D,"見つかりません"))</f>
      </c>
      <c r="I394" s="4"/>
      <c r="J394" s="12" t="str">
        <f t="array" ref="J394">IF(I394:I4435="","",_xlfn.XLOOKUP(I394:I4435,'参照_姫'!A:A,'参照_姫'!B:B,"見つかりません"))</f>
      </c>
      <c r="K394" s="4">
        <v>95</v>
      </c>
      <c r="L394" s="4">
        <v>0</v>
      </c>
      <c r="M394" s="4"/>
      <c r="N394" s="4"/>
      <c r="O394" s="4"/>
      <c r="P394" s="12" t="str">
        <f t="array" ref="P394">IF(O394:O4435="","",_xlfn.XLOOKUP(O394:O4435,'参照_官位'!A:A,'参照_官位'!B:B,""))</f>
      </c>
      <c r="Q394" s="12" t="str">
        <f t="array" ref="Q394">IF(A394:A4435="","",IFERROR(_xlfn.XLOOKUP(A394:A4435,castles_state!K:K,castles_state!D:D)&amp;"主",IFERROR(_xlfn.XLOOKUP(A394:A4435,kunishuClan!D:D,kunishuClan!B:B)&amp;"当主","")))</f>
      </c>
    </row>
    <row r="395" ht="15.75" customHeight="1">
      <c r="A395" s="4">
        <v>1006037</v>
      </c>
      <c r="B395" s="12" t="str">
        <f t="array" ref="B395">IF(A395:A4436="","",_xlfn.XLOOKUP(A395:A4436,'参照_武将'!A:A,'参照_武将'!B:B,"見つかりません"))</f>
      </c>
      <c r="C395" s="4" t="s">
        <v>98</v>
      </c>
      <c r="D395" s="4">
        <v>1</v>
      </c>
      <c r="E395" s="12" t="str">
        <f t="array" ref="E395">IF(D395:D4436="","",IFERROR(_xlfn.XLOOKUP(D395:D4436,'参照_勢力'!A:A,'参照_勢力'!B:B),IFERROR(_xlfn.XLOOKUP(F395:F4436,kunishuClan!A:A,kunishuClan!B:B),"浪人")))</f>
      </c>
      <c r="F395" s="4">
        <v>0</v>
      </c>
      <c r="G395" s="4">
        <v>180</v>
      </c>
      <c r="H395" s="12" t="str">
        <f t="array" ref="H395">IF(G395:G4436="","",_xlfn.XLOOKUP(G395:G4436,castles_state!A:A,castles_state!D:D,"見つかりません"))</f>
      </c>
      <c r="I395" s="4"/>
      <c r="J395" s="12" t="str">
        <f t="array" ref="J395">IF(I395:I4436="","",_xlfn.XLOOKUP(I395:I4436,'参照_姫'!A:A,'参照_姫'!B:B,"見つかりません"))</f>
      </c>
      <c r="K395" s="4">
        <v>95</v>
      </c>
      <c r="L395" s="4">
        <v>0</v>
      </c>
      <c r="M395" s="4"/>
      <c r="N395" s="4"/>
      <c r="O395" s="4"/>
      <c r="P395" s="12" t="str">
        <f t="array" ref="P395">IF(O395:O4436="","",_xlfn.XLOOKUP(O395:O4436,'参照_官位'!A:A,'参照_官位'!B:B,""))</f>
      </c>
      <c r="Q395" s="12" t="str">
        <f t="array" ref="Q395">IF(A395:A4436="","",IFERROR(_xlfn.XLOOKUP(A395:A4436,castles_state!K:K,castles_state!D:D)&amp;"主",IFERROR(_xlfn.XLOOKUP(A395:A4436,kunishuClan!D:D,kunishuClan!B:B)&amp;"当主","")))</f>
      </c>
    </row>
    <row r="396" ht="15.75" customHeight="1">
      <c r="A396" s="4">
        <v>1006038</v>
      </c>
      <c r="B396" s="12" t="str">
        <f t="array" ref="B396">IF(A396:A4437="","",_xlfn.XLOOKUP(A396:A4437,'参照_武将'!A:A,'参照_武将'!B:B,"見つかりません"))</f>
      </c>
      <c r="C396" s="4" t="s">
        <v>98</v>
      </c>
      <c r="D396" s="4">
        <v>1</v>
      </c>
      <c r="E396" s="12" t="str">
        <f t="array" ref="E396">IF(D396:D4437="","",IFERROR(_xlfn.XLOOKUP(D396:D4437,'参照_勢力'!A:A,'参照_勢力'!B:B),IFERROR(_xlfn.XLOOKUP(F396:F4437,kunishuClan!A:A,kunishuClan!B:B),"浪人")))</f>
      </c>
      <c r="F396" s="4">
        <v>0</v>
      </c>
      <c r="G396" s="4">
        <v>180</v>
      </c>
      <c r="H396" s="12" t="str">
        <f t="array" ref="H396">IF(G396:G4437="","",_xlfn.XLOOKUP(G396:G4437,castles_state!A:A,castles_state!D:D,"見つかりません"))</f>
      </c>
      <c r="I396" s="4"/>
      <c r="J396" s="12" t="str">
        <f t="array" ref="J396">IF(I396:I4437="","",_xlfn.XLOOKUP(I396:I4437,'参照_姫'!A:A,'参照_姫'!B:B,"見つかりません"))</f>
      </c>
      <c r="K396" s="4">
        <v>95</v>
      </c>
      <c r="L396" s="4">
        <v>0</v>
      </c>
      <c r="M396" s="4"/>
      <c r="N396" s="4"/>
      <c r="O396" s="4"/>
      <c r="P396" s="12" t="str">
        <f t="array" ref="P396">IF(O396:O4437="","",_xlfn.XLOOKUP(O396:O4437,'参照_官位'!A:A,'参照_官位'!B:B,""))</f>
      </c>
      <c r="Q396" s="12" t="str">
        <f t="array" ref="Q396">IF(A396:A4437="","",IFERROR(_xlfn.XLOOKUP(A396:A4437,castles_state!K:K,castles_state!D:D)&amp;"主",IFERROR(_xlfn.XLOOKUP(A396:A4437,kunishuClan!D:D,kunishuClan!B:B)&amp;"当主","")))</f>
      </c>
    </row>
    <row r="397" ht="15.75" customHeight="1">
      <c r="A397" s="4">
        <v>1006039</v>
      </c>
      <c r="B397" s="12" t="str">
        <f t="array" ref="B397">IF(A397:A4438="","",_xlfn.XLOOKUP(A397:A4438,'参照_武将'!A:A,'参照_武将'!B:B,"見つかりません"))</f>
      </c>
      <c r="C397" s="4" t="s">
        <v>98</v>
      </c>
      <c r="D397" s="4">
        <v>1</v>
      </c>
      <c r="E397" s="12" t="str">
        <f t="array" ref="E397">IF(D397:D4438="","",IFERROR(_xlfn.XLOOKUP(D397:D4438,'参照_勢力'!A:A,'参照_勢力'!B:B),IFERROR(_xlfn.XLOOKUP(F397:F4438,kunishuClan!A:A,kunishuClan!B:B),"浪人")))</f>
      </c>
      <c r="F397" s="4">
        <v>0</v>
      </c>
      <c r="G397" s="4">
        <v>180</v>
      </c>
      <c r="H397" s="12" t="str">
        <f t="array" ref="H397">IF(G397:G4438="","",_xlfn.XLOOKUP(G397:G4438,castles_state!A:A,castles_state!D:D,"見つかりません"))</f>
      </c>
      <c r="I397" s="4"/>
      <c r="J397" s="12" t="str">
        <f t="array" ref="J397">IF(I397:I4438="","",_xlfn.XLOOKUP(I397:I4438,'参照_姫'!A:A,'参照_姫'!B:B,"見つかりません"))</f>
      </c>
      <c r="K397" s="4">
        <v>95</v>
      </c>
      <c r="L397" s="4">
        <v>0</v>
      </c>
      <c r="M397" s="4"/>
      <c r="N397" s="4"/>
      <c r="O397" s="4"/>
      <c r="P397" s="12" t="str">
        <f t="array" ref="P397">IF(O397:O4438="","",_xlfn.XLOOKUP(O397:O4438,'参照_官位'!A:A,'参照_官位'!B:B,""))</f>
      </c>
      <c r="Q397" s="12" t="str">
        <f t="array" ref="Q397">IF(A397:A4438="","",IFERROR(_xlfn.XLOOKUP(A397:A4438,castles_state!K:K,castles_state!D:D)&amp;"主",IFERROR(_xlfn.XLOOKUP(A397:A4438,kunishuClan!D:D,kunishuClan!B:B)&amp;"当主","")))</f>
      </c>
    </row>
    <row r="398" ht="15.75" customHeight="1">
      <c r="A398" s="4">
        <v>1006040</v>
      </c>
      <c r="B398" s="12" t="str">
        <f t="array" ref="B398">IF(A398:A4439="","",_xlfn.XLOOKUP(A398:A4439,'参照_武将'!A:A,'参照_武将'!B:B,"見つかりません"))</f>
      </c>
      <c r="C398" s="4" t="s">
        <v>98</v>
      </c>
      <c r="D398" s="4">
        <v>1</v>
      </c>
      <c r="E398" s="12" t="str">
        <f t="array" ref="E398">IF(D398:D4439="","",IFERROR(_xlfn.XLOOKUP(D398:D4439,'参照_勢力'!A:A,'参照_勢力'!B:B),IFERROR(_xlfn.XLOOKUP(F398:F4439,kunishuClan!A:A,kunishuClan!B:B),"浪人")))</f>
      </c>
      <c r="F398" s="4">
        <v>0</v>
      </c>
      <c r="G398" s="4">
        <v>180</v>
      </c>
      <c r="H398" s="12" t="str">
        <f t="array" ref="H398">IF(G398:G4439="","",_xlfn.XLOOKUP(G398:G4439,castles_state!A:A,castles_state!D:D,"見つかりません"))</f>
      </c>
      <c r="I398" s="4"/>
      <c r="J398" s="12" t="str">
        <f t="array" ref="J398">IF(I398:I4439="","",_xlfn.XLOOKUP(I398:I4439,'参照_姫'!A:A,'参照_姫'!B:B,"見つかりません"))</f>
      </c>
      <c r="K398" s="4">
        <v>95</v>
      </c>
      <c r="L398" s="4">
        <v>0</v>
      </c>
      <c r="M398" s="4"/>
      <c r="N398" s="4"/>
      <c r="O398" s="4"/>
      <c r="P398" s="12" t="str">
        <f t="array" ref="P398">IF(O398:O4439="","",_xlfn.XLOOKUP(O398:O4439,'参照_官位'!A:A,'参照_官位'!B:B,""))</f>
      </c>
      <c r="Q398" s="12" t="str">
        <f t="array" ref="Q398">IF(A398:A4439="","",IFERROR(_xlfn.XLOOKUP(A398:A4439,castles_state!K:K,castles_state!D:D)&amp;"主",IFERROR(_xlfn.XLOOKUP(A398:A4439,kunishuClan!D:D,kunishuClan!B:B)&amp;"当主","")))</f>
      </c>
    </row>
    <row r="399" ht="15.75" customHeight="1">
      <c r="A399" s="4">
        <v>1006041</v>
      </c>
      <c r="B399" s="12" t="str">
        <f t="array" ref="B399">IF(A399:A4440="","",_xlfn.XLOOKUP(A399:A4440,'参照_武将'!A:A,'参照_武将'!B:B,"見つかりません"))</f>
      </c>
      <c r="C399" s="4" t="s">
        <v>98</v>
      </c>
      <c r="D399" s="4">
        <v>1</v>
      </c>
      <c r="E399" s="12" t="str">
        <f t="array" ref="E399">IF(D399:D4440="","",IFERROR(_xlfn.XLOOKUP(D399:D4440,'参照_勢力'!A:A,'参照_勢力'!B:B),IFERROR(_xlfn.XLOOKUP(F399:F4440,kunishuClan!A:A,kunishuClan!B:B),"浪人")))</f>
      </c>
      <c r="F399" s="4">
        <v>0</v>
      </c>
      <c r="G399" s="4">
        <v>180</v>
      </c>
      <c r="H399" s="12" t="str">
        <f t="array" ref="H399">IF(G399:G4440="","",_xlfn.XLOOKUP(G399:G4440,castles_state!A:A,castles_state!D:D,"見つかりません"))</f>
      </c>
      <c r="I399" s="4"/>
      <c r="J399" s="12" t="str">
        <f t="array" ref="J399">IF(I399:I4440="","",_xlfn.XLOOKUP(I399:I4440,'参照_姫'!A:A,'参照_姫'!B:B,"見つかりません"))</f>
      </c>
      <c r="K399" s="4">
        <v>95</v>
      </c>
      <c r="L399" s="4">
        <v>0</v>
      </c>
      <c r="M399" s="4"/>
      <c r="N399" s="4"/>
      <c r="O399" s="4"/>
      <c r="P399" s="12" t="str">
        <f t="array" ref="P399">IF(O399:O4440="","",_xlfn.XLOOKUP(O399:O4440,'参照_官位'!A:A,'参照_官位'!B:B,""))</f>
      </c>
      <c r="Q399" s="12" t="str">
        <f t="array" ref="Q399">IF(A399:A4440="","",IFERROR(_xlfn.XLOOKUP(A399:A4440,castles_state!K:K,castles_state!D:D)&amp;"主",IFERROR(_xlfn.XLOOKUP(A399:A4440,kunishuClan!D:D,kunishuClan!B:B)&amp;"当主","")))</f>
      </c>
    </row>
    <row r="400" ht="15.75" customHeight="1">
      <c r="A400" s="4">
        <v>1006042</v>
      </c>
      <c r="B400" s="12" t="str">
        <f t="array" ref="B400">IF(A400:A4441="","",_xlfn.XLOOKUP(A400:A4441,'参照_武将'!A:A,'参照_武将'!B:B,"見つかりません"))</f>
      </c>
      <c r="C400" s="4" t="s">
        <v>98</v>
      </c>
      <c r="D400" s="4">
        <v>1</v>
      </c>
      <c r="E400" s="12" t="str">
        <f t="array" ref="E400">IF(D400:D4441="","",IFERROR(_xlfn.XLOOKUP(D400:D4441,'参照_勢力'!A:A,'参照_勢力'!B:B),IFERROR(_xlfn.XLOOKUP(F400:F4441,kunishuClan!A:A,kunishuClan!B:B),"浪人")))</f>
      </c>
      <c r="F400" s="4">
        <v>0</v>
      </c>
      <c r="G400" s="4">
        <v>180</v>
      </c>
      <c r="H400" s="12" t="str">
        <f t="array" ref="H400">IF(G400:G4441="","",_xlfn.XLOOKUP(G400:G4441,castles_state!A:A,castles_state!D:D,"見つかりません"))</f>
      </c>
      <c r="I400" s="4"/>
      <c r="J400" s="12" t="str">
        <f t="array" ref="J400">IF(I400:I4441="","",_xlfn.XLOOKUP(I400:I4441,'参照_姫'!A:A,'参照_姫'!B:B,"見つかりません"))</f>
      </c>
      <c r="K400" s="4">
        <v>95</v>
      </c>
      <c r="L400" s="4">
        <v>0</v>
      </c>
      <c r="M400" s="4"/>
      <c r="N400" s="4"/>
      <c r="O400" s="4"/>
      <c r="P400" s="12" t="str">
        <f t="array" ref="P400">IF(O400:O4441="","",_xlfn.XLOOKUP(O400:O4441,'参照_官位'!A:A,'参照_官位'!B:B,""))</f>
      </c>
      <c r="Q400" s="12" t="str">
        <f t="array" ref="Q400">IF(A400:A4441="","",IFERROR(_xlfn.XLOOKUP(A400:A4441,castles_state!K:K,castles_state!D:D)&amp;"主",IFERROR(_xlfn.XLOOKUP(A400:A4441,kunishuClan!D:D,kunishuClan!B:B)&amp;"当主","")))</f>
      </c>
    </row>
    <row r="401" ht="15.75" customHeight="1">
      <c r="A401" s="4">
        <v>1006043</v>
      </c>
      <c r="B401" s="12" t="str">
        <f t="array" ref="B401">IF(A401:A4442="","",_xlfn.XLOOKUP(A401:A4442,'参照_武将'!A:A,'参照_武将'!B:B,"見つかりません"))</f>
      </c>
      <c r="C401" s="4" t="s">
        <v>98</v>
      </c>
      <c r="D401" s="4">
        <v>1</v>
      </c>
      <c r="E401" s="12" t="str">
        <f t="array" ref="E401">IF(D401:D4442="","",IFERROR(_xlfn.XLOOKUP(D401:D4442,'参照_勢力'!A:A,'参照_勢力'!B:B),IFERROR(_xlfn.XLOOKUP(F401:F4442,kunishuClan!A:A,kunishuClan!B:B),"浪人")))</f>
      </c>
      <c r="F401" s="4">
        <v>0</v>
      </c>
      <c r="G401" s="4">
        <v>7</v>
      </c>
      <c r="H401" s="12" t="str">
        <f t="array" ref="H401">IF(G401:G4442="","",_xlfn.XLOOKUP(G401:G4442,castles_state!A:A,castles_state!D:D,"見つかりません"))</f>
      </c>
      <c r="I401" s="4"/>
      <c r="J401" s="12" t="str">
        <f t="array" ref="J401">IF(I401:I4442="","",_xlfn.XLOOKUP(I401:I4442,'参照_姫'!A:A,'参照_姫'!B:B,"見つかりません"))</f>
      </c>
      <c r="K401" s="4">
        <v>96</v>
      </c>
      <c r="L401" s="4">
        <v>0</v>
      </c>
      <c r="M401" s="4"/>
      <c r="N401" s="4"/>
      <c r="O401" s="4"/>
      <c r="P401" s="12" t="str">
        <f t="array" ref="P401">IF(O401:O4442="","",_xlfn.XLOOKUP(O401:O4442,'参照_官位'!A:A,'参照_官位'!B:B,""))</f>
      </c>
      <c r="Q401" s="12" t="str">
        <f t="array" ref="Q401">IF(A401:A4442="","",IFERROR(_xlfn.XLOOKUP(A401:A4442,castles_state!K:K,castles_state!D:D)&amp;"主",IFERROR(_xlfn.XLOOKUP(A401:A4442,kunishuClan!D:D,kunishuClan!B:B)&amp;"当主","")))</f>
      </c>
    </row>
    <row r="402" ht="15.75" customHeight="1">
      <c r="A402" s="4">
        <v>1006044</v>
      </c>
      <c r="B402" s="12" t="str">
        <f t="array" ref="B402">IF(A402:A4443="","",_xlfn.XLOOKUP(A402:A4443,'参照_武将'!A:A,'参照_武将'!B:B,"見つかりません"))</f>
      </c>
      <c r="C402" s="4" t="s">
        <v>98</v>
      </c>
      <c r="D402" s="4">
        <v>1</v>
      </c>
      <c r="E402" s="12" t="str">
        <f t="array" ref="E402">IF(D402:D4443="","",IFERROR(_xlfn.XLOOKUP(D402:D4443,'参照_勢力'!A:A,'参照_勢力'!B:B),IFERROR(_xlfn.XLOOKUP(F402:F4443,kunishuClan!A:A,kunishuClan!B:B),"浪人")))</f>
      </c>
      <c r="F402" s="4">
        <v>0</v>
      </c>
      <c r="G402" s="4">
        <v>35</v>
      </c>
      <c r="H402" s="12" t="str">
        <f t="array" ref="H402">IF(G402:G4443="","",_xlfn.XLOOKUP(G402:G4443,castles_state!A:A,castles_state!D:D,"見つかりません"))</f>
      </c>
      <c r="I402" s="4"/>
      <c r="J402" s="12" t="str">
        <f t="array" ref="J402">IF(I402:I4443="","",_xlfn.XLOOKUP(I402:I4443,'参照_姫'!A:A,'参照_姫'!B:B,"見つかりません"))</f>
      </c>
      <c r="K402" s="4">
        <v>90</v>
      </c>
      <c r="L402" s="4">
        <v>0</v>
      </c>
      <c r="M402" s="4"/>
      <c r="N402" s="4"/>
      <c r="O402" s="4"/>
      <c r="P402" s="12" t="str">
        <f t="array" ref="P402">IF(O402:O4443="","",_xlfn.XLOOKUP(O402:O4443,'参照_官位'!A:A,'参照_官位'!B:B,""))</f>
      </c>
      <c r="Q402" s="12" t="str">
        <f t="array" ref="Q402">IF(A402:A4443="","",IFERROR(_xlfn.XLOOKUP(A402:A4443,castles_state!K:K,castles_state!D:D)&amp;"主",IFERROR(_xlfn.XLOOKUP(A402:A4443,kunishuClan!D:D,kunishuClan!B:B)&amp;"当主","")))</f>
      </c>
    </row>
    <row r="403" ht="15.75" customHeight="1">
      <c r="A403" s="4">
        <v>1006045</v>
      </c>
      <c r="B403" s="12" t="str">
        <f t="array" ref="B403">IF(A403:A4444="","",_xlfn.XLOOKUP(A403:A4444,'参照_武将'!A:A,'参照_武将'!B:B,"見つかりません"))</f>
      </c>
      <c r="C403" s="4" t="s">
        <v>98</v>
      </c>
      <c r="D403" s="4">
        <v>1</v>
      </c>
      <c r="E403" s="12" t="str">
        <f t="array" ref="E403">IF(D403:D4444="","",IFERROR(_xlfn.XLOOKUP(D403:D4444,'参照_勢力'!A:A,'参照_勢力'!B:B),IFERROR(_xlfn.XLOOKUP(F403:F4444,kunishuClan!A:A,kunishuClan!B:B),"浪人")))</f>
      </c>
      <c r="F403" s="4">
        <v>0</v>
      </c>
      <c r="G403" s="4">
        <v>3</v>
      </c>
      <c r="H403" s="12" t="str">
        <f t="array" ref="H403">IF(G403:G4444="","",_xlfn.XLOOKUP(G403:G4444,castles_state!A:A,castles_state!D:D,"見つかりません"))</f>
      </c>
      <c r="I403" s="4"/>
      <c r="J403" s="12" t="str">
        <f t="array" ref="J403">IF(I403:I4444="","",_xlfn.XLOOKUP(I403:I4444,'参照_姫'!A:A,'参照_姫'!B:B,"見つかりません"))</f>
      </c>
      <c r="K403" s="4">
        <v>90</v>
      </c>
      <c r="L403" s="4">
        <v>0</v>
      </c>
      <c r="M403" s="4"/>
      <c r="N403" s="4"/>
      <c r="O403" s="4"/>
      <c r="P403" s="12" t="str">
        <f t="array" ref="P403">IF(O403:O4444="","",_xlfn.XLOOKUP(O403:O4444,'参照_官位'!A:A,'参照_官位'!B:B,""))</f>
      </c>
      <c r="Q403" s="12" t="str">
        <f t="array" ref="Q403">IF(A403:A4444="","",IFERROR(_xlfn.XLOOKUP(A403:A4444,castles_state!K:K,castles_state!D:D)&amp;"主",IFERROR(_xlfn.XLOOKUP(A403:A4444,kunishuClan!D:D,kunishuClan!B:B)&amp;"当主","")))</f>
      </c>
    </row>
    <row r="404" ht="15.75" customHeight="1">
      <c r="A404" s="4">
        <v>1006046</v>
      </c>
      <c r="B404" s="12" t="str">
        <f t="array" ref="B404">IF(A404:A4445="","",_xlfn.XLOOKUP(A404:A4445,'参照_武将'!A:A,'参照_武将'!B:B,"見つかりません"))</f>
      </c>
      <c r="C404" s="4" t="s">
        <v>98</v>
      </c>
      <c r="D404" s="4">
        <v>1</v>
      </c>
      <c r="E404" s="12" t="str">
        <f t="array" ref="E404">IF(D404:D4445="","",IFERROR(_xlfn.XLOOKUP(D404:D4445,'参照_勢力'!A:A,'参照_勢力'!B:B),IFERROR(_xlfn.XLOOKUP(F404:F4445,kunishuClan!A:A,kunishuClan!B:B),"浪人")))</f>
      </c>
      <c r="F404" s="4">
        <v>0</v>
      </c>
      <c r="G404" s="4">
        <v>11</v>
      </c>
      <c r="H404" s="12" t="str">
        <f t="array" ref="H404">IF(G404:G4445="","",_xlfn.XLOOKUP(G404:G4445,castles_state!A:A,castles_state!D:D,"見つかりません"))</f>
      </c>
      <c r="I404" s="4"/>
      <c r="J404" s="12" t="str">
        <f t="array" ref="J404">IF(I404:I4445="","",_xlfn.XLOOKUP(I404:I4445,'参照_姫'!A:A,'参照_姫'!B:B,"見つかりません"))</f>
      </c>
      <c r="K404" s="4">
        <v>95</v>
      </c>
      <c r="L404" s="4">
        <v>0</v>
      </c>
      <c r="M404" s="4"/>
      <c r="N404" s="4"/>
      <c r="O404" s="4"/>
      <c r="P404" s="12" t="str">
        <f t="array" ref="P404">IF(O404:O4445="","",_xlfn.XLOOKUP(O404:O4445,'参照_官位'!A:A,'参照_官位'!B:B,""))</f>
      </c>
      <c r="Q404" s="12" t="str">
        <f t="array" ref="Q404">IF(A404:A4445="","",IFERROR(_xlfn.XLOOKUP(A404:A4445,castles_state!K:K,castles_state!D:D)&amp;"主",IFERROR(_xlfn.XLOOKUP(A404:A4445,kunishuClan!D:D,kunishuClan!B:B)&amp;"当主","")))</f>
      </c>
    </row>
    <row r="405" ht="15.75" customHeight="1">
      <c r="A405" s="4">
        <v>1006047</v>
      </c>
      <c r="B405" s="12" t="str">
        <f t="array" ref="B405">IF(A405:A4446="","",_xlfn.XLOOKUP(A405:A4446,'参照_武将'!A:A,'参照_武将'!B:B,"見つかりません"))</f>
      </c>
      <c r="C405" s="4" t="s">
        <v>98</v>
      </c>
      <c r="D405" s="4">
        <v>1</v>
      </c>
      <c r="E405" s="12" t="str">
        <f t="array" ref="E405">IF(D405:D4446="","",IFERROR(_xlfn.XLOOKUP(D405:D4446,'参照_勢力'!A:A,'参照_勢力'!B:B),IFERROR(_xlfn.XLOOKUP(F405:F4446,kunishuClan!A:A,kunishuClan!B:B),"浪人")))</f>
      </c>
      <c r="F405" s="4">
        <v>0</v>
      </c>
      <c r="G405" s="4">
        <v>7</v>
      </c>
      <c r="H405" s="12" t="str">
        <f t="array" ref="H405">IF(G405:G4446="","",_xlfn.XLOOKUP(G405:G4446,castles_state!A:A,castles_state!D:D,"見つかりません"))</f>
      </c>
      <c r="I405" s="4"/>
      <c r="J405" s="12" t="str">
        <f t="array" ref="J405">IF(I405:I4446="","",_xlfn.XLOOKUP(I405:I4446,'参照_姫'!A:A,'参照_姫'!B:B,"見つかりません"))</f>
      </c>
      <c r="K405" s="4">
        <v>95</v>
      </c>
      <c r="L405" s="4">
        <v>0</v>
      </c>
      <c r="M405" s="4"/>
      <c r="N405" s="4"/>
      <c r="O405" s="4"/>
      <c r="P405" s="12" t="str">
        <f t="array" ref="P405">IF(O405:O4446="","",_xlfn.XLOOKUP(O405:O4446,'参照_官位'!A:A,'参照_官位'!B:B,""))</f>
      </c>
      <c r="Q405" s="12" t="str">
        <f t="array" ref="Q405">IF(A405:A4446="","",IFERROR(_xlfn.XLOOKUP(A405:A4446,castles_state!K:K,castles_state!D:D)&amp;"主",IFERROR(_xlfn.XLOOKUP(A405:A4446,kunishuClan!D:D,kunishuClan!B:B)&amp;"当主","")))</f>
      </c>
    </row>
    <row r="406" ht="15.75" customHeight="1">
      <c r="A406" s="4">
        <v>1006048</v>
      </c>
      <c r="B406" s="12" t="str">
        <f t="array" ref="B406">IF(A406:A4447="","",_xlfn.XLOOKUP(A406:A4447,'参照_武将'!A:A,'参照_武将'!B:B,"見つかりません"))</f>
      </c>
      <c r="C406" s="4" t="s">
        <v>98</v>
      </c>
      <c r="D406" s="4">
        <v>1</v>
      </c>
      <c r="E406" s="12" t="str">
        <f t="array" ref="E406">IF(D406:D4447="","",IFERROR(_xlfn.XLOOKUP(D406:D4447,'参照_勢力'!A:A,'参照_勢力'!B:B),IFERROR(_xlfn.XLOOKUP(F406:F4447,kunishuClan!A:A,kunishuClan!B:B),"浪人")))</f>
      </c>
      <c r="F406" s="4">
        <v>0</v>
      </c>
      <c r="G406" s="4">
        <v>7</v>
      </c>
      <c r="H406" s="12" t="str">
        <f t="array" ref="H406">IF(G406:G4447="","",_xlfn.XLOOKUP(G406:G4447,castles_state!A:A,castles_state!D:D,"見つかりません"))</f>
      </c>
      <c r="I406" s="4"/>
      <c r="J406" s="12" t="str">
        <f t="array" ref="J406">IF(I406:I4447="","",_xlfn.XLOOKUP(I406:I4447,'参照_姫'!A:A,'参照_姫'!B:B,"見つかりません"))</f>
      </c>
      <c r="K406" s="4">
        <v>95</v>
      </c>
      <c r="L406" s="4">
        <v>0</v>
      </c>
      <c r="M406" s="4"/>
      <c r="N406" s="4"/>
      <c r="O406" s="4"/>
      <c r="P406" s="12" t="str">
        <f t="array" ref="P406">IF(O406:O4447="","",_xlfn.XLOOKUP(O406:O4447,'参照_官位'!A:A,'参照_官位'!B:B,""))</f>
      </c>
      <c r="Q406" s="12" t="str">
        <f t="array" ref="Q406">IF(A406:A4447="","",IFERROR(_xlfn.XLOOKUP(A406:A4447,castles_state!K:K,castles_state!D:D)&amp;"主",IFERROR(_xlfn.XLOOKUP(A406:A4447,kunishuClan!D:D,kunishuClan!B:B)&amp;"当主","")))</f>
      </c>
    </row>
    <row r="407" ht="15.75" customHeight="1">
      <c r="A407" s="4">
        <v>1006049</v>
      </c>
      <c r="B407" s="12" t="str">
        <f t="array" ref="B407">IF(A407:A4448="","",_xlfn.XLOOKUP(A407:A4448,'参照_武将'!A:A,'参照_武将'!B:B,"見つかりません"))</f>
      </c>
      <c r="C407" s="4" t="s">
        <v>98</v>
      </c>
      <c r="D407" s="4">
        <v>1</v>
      </c>
      <c r="E407" s="12" t="str">
        <f t="array" ref="E407">IF(D407:D4448="","",IFERROR(_xlfn.XLOOKUP(D407:D4448,'参照_勢力'!A:A,'参照_勢力'!B:B),IFERROR(_xlfn.XLOOKUP(F407:F4448,kunishuClan!A:A,kunishuClan!B:B),"浪人")))</f>
      </c>
      <c r="F407" s="4">
        <v>0</v>
      </c>
      <c r="G407" s="4">
        <v>7</v>
      </c>
      <c r="H407" s="12" t="str">
        <f t="array" ref="H407">IF(G407:G4448="","",_xlfn.XLOOKUP(G407:G4448,castles_state!A:A,castles_state!D:D,"見つかりません"))</f>
      </c>
      <c r="I407" s="4"/>
      <c r="J407" s="12" t="str">
        <f t="array" ref="J407">IF(I407:I4448="","",_xlfn.XLOOKUP(I407:I4448,'参照_姫'!A:A,'参照_姫'!B:B,"見つかりません"))</f>
      </c>
      <c r="K407" s="4">
        <v>95</v>
      </c>
      <c r="L407" s="4">
        <v>0</v>
      </c>
      <c r="M407" s="4"/>
      <c r="N407" s="4"/>
      <c r="O407" s="4"/>
      <c r="P407" s="12" t="str">
        <f t="array" ref="P407">IF(O407:O4448="","",_xlfn.XLOOKUP(O407:O4448,'参照_官位'!A:A,'参照_官位'!B:B,""))</f>
      </c>
      <c r="Q407" s="12" t="str">
        <f t="array" ref="Q407">IF(A407:A4448="","",IFERROR(_xlfn.XLOOKUP(A407:A4448,castles_state!K:K,castles_state!D:D)&amp;"主",IFERROR(_xlfn.XLOOKUP(A407:A4448,kunishuClan!D:D,kunishuClan!B:B)&amp;"当主","")))</f>
      </c>
    </row>
    <row r="408" ht="15.75" customHeight="1">
      <c r="A408" s="4">
        <v>1006050</v>
      </c>
      <c r="B408" s="12" t="str">
        <f t="array" ref="B408">IF(A408:A4449="","",_xlfn.XLOOKUP(A408:A4449,'参照_武将'!A:A,'参照_武将'!B:B,"見つかりません"))</f>
      </c>
      <c r="C408" s="4" t="s">
        <v>98</v>
      </c>
      <c r="D408" s="4">
        <v>1</v>
      </c>
      <c r="E408" s="12" t="str">
        <f t="array" ref="E408">IF(D408:D4449="","",IFERROR(_xlfn.XLOOKUP(D408:D4449,'参照_勢力'!A:A,'参照_勢力'!B:B),IFERROR(_xlfn.XLOOKUP(F408:F4449,kunishuClan!A:A,kunishuClan!B:B),"浪人")))</f>
      </c>
      <c r="F408" s="4">
        <v>0</v>
      </c>
      <c r="G408" s="4">
        <v>11</v>
      </c>
      <c r="H408" s="12" t="str">
        <f t="array" ref="H408">IF(G408:G4449="","",_xlfn.XLOOKUP(G408:G4449,castles_state!A:A,castles_state!D:D,"見つかりません"))</f>
      </c>
      <c r="I408" s="4"/>
      <c r="J408" s="12" t="str">
        <f t="array" ref="J408">IF(I408:I4449="","",_xlfn.XLOOKUP(I408:I4449,'参照_姫'!A:A,'参照_姫'!B:B,"見つかりません"))</f>
      </c>
      <c r="K408" s="4">
        <v>95</v>
      </c>
      <c r="L408" s="4">
        <v>0</v>
      </c>
      <c r="M408" s="4"/>
      <c r="N408" s="4"/>
      <c r="O408" s="4"/>
      <c r="P408" s="12" t="str">
        <f t="array" ref="P408">IF(O408:O4449="","",_xlfn.XLOOKUP(O408:O4449,'参照_官位'!A:A,'参照_官位'!B:B,""))</f>
      </c>
      <c r="Q408" s="12" t="str">
        <f t="array" ref="Q408">IF(A408:A4449="","",IFERROR(_xlfn.XLOOKUP(A408:A4449,castles_state!K:K,castles_state!D:D)&amp;"主",IFERROR(_xlfn.XLOOKUP(A408:A4449,kunishuClan!D:D,kunishuClan!B:B)&amp;"当主","")))</f>
      </c>
    </row>
    <row r="409" ht="15.75" customHeight="1">
      <c r="A409" s="4">
        <v>1006051</v>
      </c>
      <c r="B409" s="12" t="str">
        <f t="array" ref="B409">IF(A409:A4450="","",_xlfn.XLOOKUP(A409:A4450,'参照_武将'!A:A,'参照_武将'!B:B,"見つかりません"))</f>
      </c>
      <c r="C409" s="4" t="s">
        <v>98</v>
      </c>
      <c r="D409" s="4">
        <v>1</v>
      </c>
      <c r="E409" s="12" t="str">
        <f t="array" ref="E409">IF(D409:D4450="","",IFERROR(_xlfn.XLOOKUP(D409:D4450,'参照_勢力'!A:A,'参照_勢力'!B:B),IFERROR(_xlfn.XLOOKUP(F409:F4450,kunishuClan!A:A,kunishuClan!B:B),"浪人")))</f>
      </c>
      <c r="F409" s="4">
        <v>0</v>
      </c>
      <c r="G409" s="4">
        <v>180</v>
      </c>
      <c r="H409" s="12" t="str">
        <f t="array" ref="H409">IF(G409:G4450="","",_xlfn.XLOOKUP(G409:G4450,castles_state!A:A,castles_state!D:D,"見つかりません"))</f>
      </c>
      <c r="I409" s="4"/>
      <c r="J409" s="12" t="str">
        <f t="array" ref="J409">IF(I409:I4450="","",_xlfn.XLOOKUP(I409:I4450,'参照_姫'!A:A,'参照_姫'!B:B,"見つかりません"))</f>
      </c>
      <c r="K409" s="4">
        <v>95</v>
      </c>
      <c r="L409" s="4">
        <v>0</v>
      </c>
      <c r="M409" s="4"/>
      <c r="N409" s="4"/>
      <c r="O409" s="4"/>
      <c r="P409" s="12" t="str">
        <f t="array" ref="P409">IF(O409:O4450="","",_xlfn.XLOOKUP(O409:O4450,'参照_官位'!A:A,'参照_官位'!B:B,""))</f>
      </c>
      <c r="Q409" s="12" t="str">
        <f t="array" ref="Q409">IF(A409:A4450="","",IFERROR(_xlfn.XLOOKUP(A409:A4450,castles_state!K:K,castles_state!D:D)&amp;"主",IFERROR(_xlfn.XLOOKUP(A409:A4450,kunishuClan!D:D,kunishuClan!B:B)&amp;"当主","")))</f>
      </c>
    </row>
    <row r="410" ht="15.75" customHeight="1">
      <c r="A410" s="4">
        <v>1006052</v>
      </c>
      <c r="B410" s="12" t="str">
        <f t="array" ref="B410">IF(A410:A4451="","",_xlfn.XLOOKUP(A410:A4451,'参照_武将'!A:A,'参照_武将'!B:B,"見つかりません"))</f>
      </c>
      <c r="C410" s="4" t="s">
        <v>98</v>
      </c>
      <c r="D410" s="4">
        <v>1</v>
      </c>
      <c r="E410" s="12" t="str">
        <f t="array" ref="E410">IF(D410:D4451="","",IFERROR(_xlfn.XLOOKUP(D410:D4451,'参照_勢力'!A:A,'参照_勢力'!B:B),IFERROR(_xlfn.XLOOKUP(F410:F4451,kunishuClan!A:A,kunishuClan!B:B),"浪人")))</f>
      </c>
      <c r="F410" s="4">
        <v>0</v>
      </c>
      <c r="G410" s="4">
        <v>180</v>
      </c>
      <c r="H410" s="12" t="str">
        <f t="array" ref="H410">IF(G410:G4451="","",_xlfn.XLOOKUP(G410:G4451,castles_state!A:A,castles_state!D:D,"見つかりません"))</f>
      </c>
      <c r="I410" s="4"/>
      <c r="J410" s="12" t="str">
        <f t="array" ref="J410">IF(I410:I4451="","",_xlfn.XLOOKUP(I410:I4451,'参照_姫'!A:A,'参照_姫'!B:B,"見つかりません"))</f>
      </c>
      <c r="K410" s="4">
        <v>95</v>
      </c>
      <c r="L410" s="4">
        <v>0</v>
      </c>
      <c r="M410" s="4"/>
      <c r="N410" s="4"/>
      <c r="O410" s="4"/>
      <c r="P410" s="12" t="str">
        <f t="array" ref="P410">IF(O410:O4451="","",_xlfn.XLOOKUP(O410:O4451,'参照_官位'!A:A,'参照_官位'!B:B,""))</f>
      </c>
      <c r="Q410" s="12" t="str">
        <f t="array" ref="Q410">IF(A410:A4451="","",IFERROR(_xlfn.XLOOKUP(A410:A4451,castles_state!K:K,castles_state!D:D)&amp;"主",IFERROR(_xlfn.XLOOKUP(A410:A4451,kunishuClan!D:D,kunishuClan!B:B)&amp;"当主","")))</f>
      </c>
    </row>
    <row r="411" ht="15.75" customHeight="1">
      <c r="A411" s="4">
        <v>1006053</v>
      </c>
      <c r="B411" s="12" t="str">
        <f t="array" ref="B411">IF(A411:A4452="","",_xlfn.XLOOKUP(A411:A4452,'参照_武将'!A:A,'参照_武将'!B:B,"見つかりません"))</f>
      </c>
      <c r="C411" s="4" t="s">
        <v>98</v>
      </c>
      <c r="D411" s="4">
        <v>1</v>
      </c>
      <c r="E411" s="12" t="str">
        <f t="array" ref="E411">IF(D411:D4452="","",IFERROR(_xlfn.XLOOKUP(D411:D4452,'参照_勢力'!A:A,'参照_勢力'!B:B),IFERROR(_xlfn.XLOOKUP(F411:F4452,kunishuClan!A:A,kunishuClan!B:B),"浪人")))</f>
      </c>
      <c r="F411" s="4">
        <v>0</v>
      </c>
      <c r="G411" s="4">
        <v>180</v>
      </c>
      <c r="H411" s="12" t="str">
        <f t="array" ref="H411">IF(G411:G4452="","",_xlfn.XLOOKUP(G411:G4452,castles_state!A:A,castles_state!D:D,"見つかりません"))</f>
      </c>
      <c r="I411" s="4"/>
      <c r="J411" s="12" t="str">
        <f t="array" ref="J411">IF(I411:I4452="","",_xlfn.XLOOKUP(I411:I4452,'参照_姫'!A:A,'参照_姫'!B:B,"見つかりません"))</f>
      </c>
      <c r="K411" s="4">
        <v>96</v>
      </c>
      <c r="L411" s="4">
        <v>0</v>
      </c>
      <c r="M411" s="4"/>
      <c r="N411" s="4"/>
      <c r="O411" s="4"/>
      <c r="P411" s="12" t="str">
        <f t="array" ref="P411">IF(O411:O4452="","",_xlfn.XLOOKUP(O411:O4452,'参照_官位'!A:A,'参照_官位'!B:B,""))</f>
      </c>
      <c r="Q411" s="12" t="str">
        <f t="array" ref="Q411">IF(A411:A4452="","",IFERROR(_xlfn.XLOOKUP(A411:A4452,castles_state!K:K,castles_state!D:D)&amp;"主",IFERROR(_xlfn.XLOOKUP(A411:A4452,kunishuClan!D:D,kunishuClan!B:B)&amp;"当主","")))</f>
      </c>
    </row>
    <row r="412" ht="15.75" customHeight="1">
      <c r="A412" s="4">
        <v>1006054</v>
      </c>
      <c r="B412" s="12" t="str">
        <f t="array" ref="B412">IF(A412:A4453="","",_xlfn.XLOOKUP(A412:A4453,'参照_武将'!A:A,'参照_武将'!B:B,"見つかりません"))</f>
      </c>
      <c r="C412" s="4" t="s">
        <v>98</v>
      </c>
      <c r="D412" s="4">
        <v>1</v>
      </c>
      <c r="E412" s="12" t="str">
        <f t="array" ref="E412">IF(D412:D4453="","",IFERROR(_xlfn.XLOOKUP(D412:D4453,'参照_勢力'!A:A,'参照_勢力'!B:B),IFERROR(_xlfn.XLOOKUP(F412:F4453,kunishuClan!A:A,kunishuClan!B:B),"浪人")))</f>
      </c>
      <c r="F412" s="4">
        <v>0</v>
      </c>
      <c r="G412" s="4">
        <v>3</v>
      </c>
      <c r="H412" s="12" t="str">
        <f t="array" ref="H412">IF(G412:G4453="","",_xlfn.XLOOKUP(G412:G4453,castles_state!A:A,castles_state!D:D,"見つかりません"))</f>
      </c>
      <c r="I412" s="4"/>
      <c r="J412" s="12" t="str">
        <f t="array" ref="J412">IF(I412:I4453="","",_xlfn.XLOOKUP(I412:I4453,'参照_姫'!A:A,'参照_姫'!B:B,"見つかりません"))</f>
      </c>
      <c r="K412" s="4">
        <v>95</v>
      </c>
      <c r="L412" s="4">
        <v>0</v>
      </c>
      <c r="M412" s="4"/>
      <c r="N412" s="4"/>
      <c r="O412" s="4"/>
      <c r="P412" s="12" t="str">
        <f t="array" ref="P412">IF(O412:O4453="","",_xlfn.XLOOKUP(O412:O4453,'参照_官位'!A:A,'参照_官位'!B:B,""))</f>
      </c>
      <c r="Q412" s="12" t="str">
        <f t="array" ref="Q412">IF(A412:A4453="","",IFERROR(_xlfn.XLOOKUP(A412:A4453,castles_state!K:K,castles_state!D:D)&amp;"主",IFERROR(_xlfn.XLOOKUP(A412:A4453,kunishuClan!D:D,kunishuClan!B:B)&amp;"当主","")))</f>
      </c>
    </row>
    <row r="413" ht="15.75" customHeight="1">
      <c r="A413" s="4">
        <v>1006055</v>
      </c>
      <c r="B413" s="12" t="str">
        <f t="array" ref="B413">IF(A413:A4454="","",_xlfn.XLOOKUP(A413:A4454,'参照_武将'!A:A,'参照_武将'!B:B,"見つかりません"))</f>
      </c>
      <c r="C413" s="4" t="s">
        <v>98</v>
      </c>
      <c r="D413" s="4">
        <v>1</v>
      </c>
      <c r="E413" s="12" t="str">
        <f t="array" ref="E413">IF(D413:D4454="","",IFERROR(_xlfn.XLOOKUP(D413:D4454,'参照_勢力'!A:A,'参照_勢力'!B:B),IFERROR(_xlfn.XLOOKUP(F413:F4454,kunishuClan!A:A,kunishuClan!B:B),"浪人")))</f>
      </c>
      <c r="F413" s="4">
        <v>0</v>
      </c>
      <c r="G413" s="4">
        <v>7</v>
      </c>
      <c r="H413" s="12" t="str">
        <f t="array" ref="H413">IF(G413:G4454="","",_xlfn.XLOOKUP(G413:G4454,castles_state!A:A,castles_state!D:D,"見つかりません"))</f>
      </c>
      <c r="I413" s="4"/>
      <c r="J413" s="12" t="str">
        <f t="array" ref="J413">IF(I413:I4454="","",_xlfn.XLOOKUP(I413:I4454,'参照_姫'!A:A,'参照_姫'!B:B,"見つかりません"))</f>
      </c>
      <c r="K413" s="4">
        <v>90</v>
      </c>
      <c r="L413" s="4">
        <v>0</v>
      </c>
      <c r="M413" s="4"/>
      <c r="N413" s="4"/>
      <c r="O413" s="4"/>
      <c r="P413" s="12" t="str">
        <f t="array" ref="P413">IF(O413:O4454="","",_xlfn.XLOOKUP(O413:O4454,'参照_官位'!A:A,'参照_官位'!B:B,""))</f>
      </c>
      <c r="Q413" s="12" t="str">
        <f t="array" ref="Q413">IF(A413:A4454="","",IFERROR(_xlfn.XLOOKUP(A413:A4454,castles_state!K:K,castles_state!D:D)&amp;"主",IFERROR(_xlfn.XLOOKUP(A413:A4454,kunishuClan!D:D,kunishuClan!B:B)&amp;"当主","")))</f>
      </c>
    </row>
    <row r="414" ht="15.75" customHeight="1">
      <c r="A414" s="4">
        <v>1006056</v>
      </c>
      <c r="B414" s="12" t="str">
        <f t="array" ref="B414">IF(A414:A4455="","",_xlfn.XLOOKUP(A414:A4455,'参照_武将'!A:A,'参照_武将'!B:B,"見つかりません"))</f>
      </c>
      <c r="C414" s="4" t="s">
        <v>98</v>
      </c>
      <c r="D414" s="4">
        <v>1</v>
      </c>
      <c r="E414" s="12" t="str">
        <f t="array" ref="E414">IF(D414:D4455="","",IFERROR(_xlfn.XLOOKUP(D414:D4455,'参照_勢力'!A:A,'参照_勢力'!B:B),IFERROR(_xlfn.XLOOKUP(F414:F4455,kunishuClan!A:A,kunishuClan!B:B),"浪人")))</f>
      </c>
      <c r="F414" s="4">
        <v>0</v>
      </c>
      <c r="G414" s="4">
        <v>3</v>
      </c>
      <c r="H414" s="12" t="str">
        <f t="array" ref="H414">IF(G414:G4455="","",_xlfn.XLOOKUP(G414:G4455,castles_state!A:A,castles_state!D:D,"見つかりません"))</f>
      </c>
      <c r="I414" s="4"/>
      <c r="J414" s="12" t="str">
        <f t="array" ref="J414">IF(I414:I4455="","",_xlfn.XLOOKUP(I414:I4455,'参照_姫'!A:A,'参照_姫'!B:B,"見つかりません"))</f>
      </c>
      <c r="K414" s="4">
        <v>95</v>
      </c>
      <c r="L414" s="4">
        <v>0</v>
      </c>
      <c r="M414" s="4"/>
      <c r="N414" s="4"/>
      <c r="O414" s="4"/>
      <c r="P414" s="12" t="str">
        <f t="array" ref="P414">IF(O414:O4455="","",_xlfn.XLOOKUP(O414:O4455,'参照_官位'!A:A,'参照_官位'!B:B,""))</f>
      </c>
      <c r="Q414" s="12" t="str">
        <f t="array" ref="Q414">IF(A414:A4455="","",IFERROR(_xlfn.XLOOKUP(A414:A4455,castles_state!K:K,castles_state!D:D)&amp;"主",IFERROR(_xlfn.XLOOKUP(A414:A4455,kunishuClan!D:D,kunishuClan!B:B)&amp;"当主","")))</f>
      </c>
    </row>
    <row r="415" ht="15.75" customHeight="1">
      <c r="A415" s="4">
        <v>1006057</v>
      </c>
      <c r="B415" s="12" t="str">
        <f t="array" ref="B415">IF(A415:A4456="","",_xlfn.XLOOKUP(A415:A4456,'参照_武将'!A:A,'参照_武将'!B:B,"見つかりません"))</f>
      </c>
      <c r="C415" s="4" t="s">
        <v>98</v>
      </c>
      <c r="D415" s="4">
        <v>1</v>
      </c>
      <c r="E415" s="12" t="str">
        <f t="array" ref="E415">IF(D415:D4456="","",IFERROR(_xlfn.XLOOKUP(D415:D4456,'参照_勢力'!A:A,'参照_勢力'!B:B),IFERROR(_xlfn.XLOOKUP(F415:F4456,kunishuClan!A:A,kunishuClan!B:B),"浪人")))</f>
      </c>
      <c r="F415" s="4">
        <v>0</v>
      </c>
      <c r="G415" s="4">
        <v>7</v>
      </c>
      <c r="H415" s="12" t="str">
        <f t="array" ref="H415">IF(G415:G4456="","",_xlfn.XLOOKUP(G415:G4456,castles_state!A:A,castles_state!D:D,"見つかりません"))</f>
      </c>
      <c r="I415" s="4"/>
      <c r="J415" s="12" t="str">
        <f t="array" ref="J415">IF(I415:I4456="","",_xlfn.XLOOKUP(I415:I4456,'参照_姫'!A:A,'参照_姫'!B:B,"見つかりません"))</f>
      </c>
      <c r="K415" s="4">
        <v>95</v>
      </c>
      <c r="L415" s="4">
        <v>0</v>
      </c>
      <c r="M415" s="4"/>
      <c r="N415" s="4"/>
      <c r="O415" s="4"/>
      <c r="P415" s="12" t="str">
        <f t="array" ref="P415">IF(O415:O4456="","",_xlfn.XLOOKUP(O415:O4456,'参照_官位'!A:A,'参照_官位'!B:B,""))</f>
      </c>
      <c r="Q415" s="12" t="str">
        <f t="array" ref="Q415">IF(A415:A4456="","",IFERROR(_xlfn.XLOOKUP(A415:A4456,castles_state!K:K,castles_state!D:D)&amp;"主",IFERROR(_xlfn.XLOOKUP(A415:A4456,kunishuClan!D:D,kunishuClan!B:B)&amp;"当主","")))</f>
      </c>
    </row>
    <row r="416" ht="15.75" customHeight="1">
      <c r="A416" s="4">
        <v>1006058</v>
      </c>
      <c r="B416" s="12" t="str">
        <f t="array" ref="B416">IF(A416:A4457="","",_xlfn.XLOOKUP(A416:A4457,'参照_武将'!A:A,'参照_武将'!B:B,"見つかりません"))</f>
      </c>
      <c r="C416" s="4" t="s">
        <v>98</v>
      </c>
      <c r="D416" s="4">
        <v>1</v>
      </c>
      <c r="E416" s="12" t="str">
        <f t="array" ref="E416">IF(D416:D4457="","",IFERROR(_xlfn.XLOOKUP(D416:D4457,'参照_勢力'!A:A,'参照_勢力'!B:B),IFERROR(_xlfn.XLOOKUP(F416:F4457,kunishuClan!A:A,kunishuClan!B:B),"浪人")))</f>
      </c>
      <c r="F416" s="4">
        <v>0</v>
      </c>
      <c r="G416" s="4">
        <v>7</v>
      </c>
      <c r="H416" s="12" t="str">
        <f t="array" ref="H416">IF(G416:G4457="","",_xlfn.XLOOKUP(G416:G4457,castles_state!A:A,castles_state!D:D,"見つかりません"))</f>
      </c>
      <c r="I416" s="4"/>
      <c r="J416" s="12" t="str">
        <f t="array" ref="J416">IF(I416:I4457="","",_xlfn.XLOOKUP(I416:I4457,'参照_姫'!A:A,'参照_姫'!B:B,"見つかりません"))</f>
      </c>
      <c r="K416" s="4">
        <v>90</v>
      </c>
      <c r="L416" s="4">
        <v>0</v>
      </c>
      <c r="M416" s="4"/>
      <c r="N416" s="4"/>
      <c r="O416" s="4"/>
      <c r="P416" s="12" t="str">
        <f t="array" ref="P416">IF(O416:O4457="","",_xlfn.XLOOKUP(O416:O4457,'参照_官位'!A:A,'参照_官位'!B:B,""))</f>
      </c>
      <c r="Q416" s="12" t="str">
        <f t="array" ref="Q416">IF(A416:A4457="","",IFERROR(_xlfn.XLOOKUP(A416:A4457,castles_state!K:K,castles_state!D:D)&amp;"主",IFERROR(_xlfn.XLOOKUP(A416:A4457,kunishuClan!D:D,kunishuClan!B:B)&amp;"当主","")))</f>
      </c>
    </row>
    <row r="417" ht="15.75" customHeight="1">
      <c r="A417" s="4">
        <v>1006059</v>
      </c>
      <c r="B417" s="12" t="str">
        <f t="array" ref="B417">IF(A417:A4458="","",_xlfn.XLOOKUP(A417:A4458,'参照_武将'!A:A,'参照_武将'!B:B,"見つかりません"))</f>
      </c>
      <c r="C417" s="4" t="s">
        <v>98</v>
      </c>
      <c r="D417" s="4">
        <v>1</v>
      </c>
      <c r="E417" s="12" t="str">
        <f t="array" ref="E417">IF(D417:D4458="","",IFERROR(_xlfn.XLOOKUP(D417:D4458,'参照_勢力'!A:A,'参照_勢力'!B:B),IFERROR(_xlfn.XLOOKUP(F417:F4458,kunishuClan!A:A,kunishuClan!B:B),"浪人")))</f>
      </c>
      <c r="F417" s="4">
        <v>0</v>
      </c>
      <c r="G417" s="4">
        <v>7</v>
      </c>
      <c r="H417" s="12" t="str">
        <f t="array" ref="H417">IF(G417:G4458="","",_xlfn.XLOOKUP(G417:G4458,castles_state!A:A,castles_state!D:D,"見つかりません"))</f>
      </c>
      <c r="I417" s="4"/>
      <c r="J417" s="12" t="str">
        <f t="array" ref="J417">IF(I417:I4458="","",_xlfn.XLOOKUP(I417:I4458,'参照_姫'!A:A,'参照_姫'!B:B,"見つかりません"))</f>
      </c>
      <c r="K417" s="4">
        <v>95</v>
      </c>
      <c r="L417" s="4">
        <v>0</v>
      </c>
      <c r="M417" s="4"/>
      <c r="N417" s="4"/>
      <c r="O417" s="4"/>
      <c r="P417" s="12" t="str">
        <f t="array" ref="P417">IF(O417:O4458="","",_xlfn.XLOOKUP(O417:O4458,'参照_官位'!A:A,'参照_官位'!B:B,""))</f>
      </c>
      <c r="Q417" s="12" t="str">
        <f t="array" ref="Q417">IF(A417:A4458="","",IFERROR(_xlfn.XLOOKUP(A417:A4458,castles_state!K:K,castles_state!D:D)&amp;"主",IFERROR(_xlfn.XLOOKUP(A417:A4458,kunishuClan!D:D,kunishuClan!B:B)&amp;"当主","")))</f>
      </c>
    </row>
    <row r="418" ht="15.75" customHeight="1">
      <c r="A418" s="4">
        <v>1006060</v>
      </c>
      <c r="B418" s="12" t="str">
        <f t="array" ref="B418">IF(A418:A4459="","",_xlfn.XLOOKUP(A418:A4459,'参照_武将'!A:A,'参照_武将'!B:B,"見つかりません"))</f>
      </c>
      <c r="C418" s="4" t="s">
        <v>98</v>
      </c>
      <c r="D418" s="4">
        <v>1</v>
      </c>
      <c r="E418" s="12" t="str">
        <f t="array" ref="E418">IF(D418:D4459="","",IFERROR(_xlfn.XLOOKUP(D418:D4459,'参照_勢力'!A:A,'参照_勢力'!B:B),IFERROR(_xlfn.XLOOKUP(F418:F4459,kunishuClan!A:A,kunishuClan!B:B),"浪人")))</f>
      </c>
      <c r="F418" s="4">
        <v>0</v>
      </c>
      <c r="G418" s="4">
        <v>7</v>
      </c>
      <c r="H418" s="12" t="str">
        <f t="array" ref="H418">IF(G418:G4459="","",_xlfn.XLOOKUP(G418:G4459,castles_state!A:A,castles_state!D:D,"見つかりません"))</f>
      </c>
      <c r="I418" s="4"/>
      <c r="J418" s="12" t="str">
        <f t="array" ref="J418">IF(I418:I4459="","",_xlfn.XLOOKUP(I418:I4459,'参照_姫'!A:A,'参照_姫'!B:B,"見つかりません"))</f>
      </c>
      <c r="K418" s="4">
        <v>95</v>
      </c>
      <c r="L418" s="4">
        <v>0</v>
      </c>
      <c r="M418" s="4"/>
      <c r="N418" s="4"/>
      <c r="O418" s="4"/>
      <c r="P418" s="12" t="str">
        <f t="array" ref="P418">IF(O418:O4459="","",_xlfn.XLOOKUP(O418:O4459,'参照_官位'!A:A,'参照_官位'!B:B,""))</f>
      </c>
      <c r="Q418" s="12" t="str">
        <f t="array" ref="Q418">IF(A418:A4459="","",IFERROR(_xlfn.XLOOKUP(A418:A4459,castles_state!K:K,castles_state!D:D)&amp;"主",IFERROR(_xlfn.XLOOKUP(A418:A4459,kunishuClan!D:D,kunishuClan!B:B)&amp;"当主","")))</f>
      </c>
    </row>
    <row r="419" ht="15.75" customHeight="1">
      <c r="A419" s="4">
        <v>1006061</v>
      </c>
      <c r="B419" s="12" t="str">
        <f t="array" ref="B419">IF(A419:A4460="","",_xlfn.XLOOKUP(A419:A4460,'参照_武将'!A:A,'参照_武将'!B:B,"見つかりません"))</f>
      </c>
      <c r="C419" s="4" t="s">
        <v>98</v>
      </c>
      <c r="D419" s="4">
        <v>1</v>
      </c>
      <c r="E419" s="12" t="str">
        <f t="array" ref="E419">IF(D419:D4460="","",IFERROR(_xlfn.XLOOKUP(D419:D4460,'参照_勢力'!A:A,'参照_勢力'!B:B),IFERROR(_xlfn.XLOOKUP(F419:F4460,kunishuClan!A:A,kunishuClan!B:B),"浪人")))</f>
      </c>
      <c r="F419" s="4">
        <v>0</v>
      </c>
      <c r="G419" s="4">
        <v>7</v>
      </c>
      <c r="H419" s="12" t="str">
        <f t="array" ref="H419">IF(G419:G4460="","",_xlfn.XLOOKUP(G419:G4460,castles_state!A:A,castles_state!D:D,"見つかりません"))</f>
      </c>
      <c r="I419" s="4"/>
      <c r="J419" s="12" t="str">
        <f t="array" ref="J419">IF(I419:I4460="","",_xlfn.XLOOKUP(I419:I4460,'参照_姫'!A:A,'参照_姫'!B:B,"見つかりません"))</f>
      </c>
      <c r="K419" s="4">
        <v>95</v>
      </c>
      <c r="L419" s="4">
        <v>0</v>
      </c>
      <c r="M419" s="4"/>
      <c r="N419" s="4"/>
      <c r="O419" s="4"/>
      <c r="P419" s="12" t="str">
        <f t="array" ref="P419">IF(O419:O4460="","",_xlfn.XLOOKUP(O419:O4460,'参照_官位'!A:A,'参照_官位'!B:B,""))</f>
      </c>
      <c r="Q419" s="12" t="str">
        <f t="array" ref="Q419">IF(A419:A4460="","",IFERROR(_xlfn.XLOOKUP(A419:A4460,castles_state!K:K,castles_state!D:D)&amp;"主",IFERROR(_xlfn.XLOOKUP(A419:A4460,kunishuClan!D:D,kunishuClan!B:B)&amp;"当主","")))</f>
      </c>
    </row>
    <row r="420" ht="15.75" customHeight="1">
      <c r="A420" s="4">
        <v>1006062</v>
      </c>
      <c r="B420" s="12" t="str">
        <f t="array" ref="B420">IF(A420:A4461="","",_xlfn.XLOOKUP(A420:A4461,'参照_武将'!A:A,'参照_武将'!B:B,"見つかりません"))</f>
      </c>
      <c r="C420" s="4" t="s">
        <v>98</v>
      </c>
      <c r="D420" s="4">
        <v>1</v>
      </c>
      <c r="E420" s="12" t="str">
        <f t="array" ref="E420">IF(D420:D4461="","",IFERROR(_xlfn.XLOOKUP(D420:D4461,'参照_勢力'!A:A,'参照_勢力'!B:B),IFERROR(_xlfn.XLOOKUP(F420:F4461,kunishuClan!A:A,kunishuClan!B:B),"浪人")))</f>
      </c>
      <c r="F420" s="4">
        <v>0</v>
      </c>
      <c r="G420" s="4">
        <v>7</v>
      </c>
      <c r="H420" s="12" t="str">
        <f t="array" ref="H420">IF(G420:G4461="","",_xlfn.XLOOKUP(G420:G4461,castles_state!A:A,castles_state!D:D,"見つかりません"))</f>
      </c>
      <c r="I420" s="4"/>
      <c r="J420" s="12" t="str">
        <f t="array" ref="J420">IF(I420:I4461="","",_xlfn.XLOOKUP(I420:I4461,'参照_姫'!A:A,'参照_姫'!B:B,"見つかりません"))</f>
      </c>
      <c r="K420" s="4">
        <v>95</v>
      </c>
      <c r="L420" s="4">
        <v>0</v>
      </c>
      <c r="M420" s="4"/>
      <c r="N420" s="4"/>
      <c r="O420" s="4"/>
      <c r="P420" s="12" t="str">
        <f t="array" ref="P420">IF(O420:O4461="","",_xlfn.XLOOKUP(O420:O4461,'参照_官位'!A:A,'参照_官位'!B:B,""))</f>
      </c>
      <c r="Q420" s="12" t="str">
        <f t="array" ref="Q420">IF(A420:A4461="","",IFERROR(_xlfn.XLOOKUP(A420:A4461,castles_state!K:K,castles_state!D:D)&amp;"主",IFERROR(_xlfn.XLOOKUP(A420:A4461,kunishuClan!D:D,kunishuClan!B:B)&amp;"当主","")))</f>
      </c>
    </row>
    <row r="421" ht="15.75" customHeight="1">
      <c r="A421" s="4">
        <v>1006063</v>
      </c>
      <c r="B421" s="12" t="str">
        <f t="array" ref="B421">IF(A421:A4462="","",_xlfn.XLOOKUP(A421:A4462,'参照_武将'!A:A,'参照_武将'!B:B,"見つかりません"))</f>
      </c>
      <c r="C421" s="4" t="s">
        <v>98</v>
      </c>
      <c r="D421" s="4">
        <v>1</v>
      </c>
      <c r="E421" s="12" t="str">
        <f t="array" ref="E421">IF(D421:D4462="","",IFERROR(_xlfn.XLOOKUP(D421:D4462,'参照_勢力'!A:A,'参照_勢力'!B:B),IFERROR(_xlfn.XLOOKUP(F421:F4462,kunishuClan!A:A,kunishuClan!B:B),"浪人")))</f>
      </c>
      <c r="F421" s="4">
        <v>0</v>
      </c>
      <c r="G421" s="4">
        <v>7</v>
      </c>
      <c r="H421" s="12" t="str">
        <f t="array" ref="H421">IF(G421:G4462="","",_xlfn.XLOOKUP(G421:G4462,castles_state!A:A,castles_state!D:D,"見つかりません"))</f>
      </c>
      <c r="I421" s="4"/>
      <c r="J421" s="12" t="str">
        <f t="array" ref="J421">IF(I421:I4462="","",_xlfn.XLOOKUP(I421:I4462,'参照_姫'!A:A,'参照_姫'!B:B,"見つかりません"))</f>
      </c>
      <c r="K421" s="4">
        <v>90</v>
      </c>
      <c r="L421" s="4">
        <v>0</v>
      </c>
      <c r="M421" s="4"/>
      <c r="N421" s="4"/>
      <c r="O421" s="4"/>
      <c r="P421" s="12" t="str">
        <f t="array" ref="P421">IF(O421:O4462="","",_xlfn.XLOOKUP(O421:O4462,'参照_官位'!A:A,'参照_官位'!B:B,""))</f>
      </c>
      <c r="Q421" s="12" t="str">
        <f t="array" ref="Q421">IF(A421:A4462="","",IFERROR(_xlfn.XLOOKUP(A421:A4462,castles_state!K:K,castles_state!D:D)&amp;"主",IFERROR(_xlfn.XLOOKUP(A421:A4462,kunishuClan!D:D,kunishuClan!B:B)&amp;"当主","")))</f>
      </c>
    </row>
    <row r="422" ht="15.75" customHeight="1">
      <c r="A422" s="4">
        <v>1006064</v>
      </c>
      <c r="B422" s="12" t="str">
        <f t="array" ref="B422">IF(A422:A4463="","",_xlfn.XLOOKUP(A422:A4463,'参照_武将'!A:A,'参照_武将'!B:B,"見つかりません"))</f>
      </c>
      <c r="C422" s="4" t="s">
        <v>98</v>
      </c>
      <c r="D422" s="4">
        <v>1</v>
      </c>
      <c r="E422" s="12" t="str">
        <f t="array" ref="E422">IF(D422:D4463="","",IFERROR(_xlfn.XLOOKUP(D422:D4463,'参照_勢力'!A:A,'参照_勢力'!B:B),IFERROR(_xlfn.XLOOKUP(F422:F4463,kunishuClan!A:A,kunishuClan!B:B),"浪人")))</f>
      </c>
      <c r="F422" s="4">
        <v>0</v>
      </c>
      <c r="G422" s="4">
        <v>180</v>
      </c>
      <c r="H422" s="12" t="str">
        <f t="array" ref="H422">IF(G422:G4463="","",_xlfn.XLOOKUP(G422:G4463,castles_state!A:A,castles_state!D:D,"見つかりません"))</f>
      </c>
      <c r="I422" s="4"/>
      <c r="J422" s="12" t="str">
        <f t="array" ref="J422">IF(I422:I4463="","",_xlfn.XLOOKUP(I422:I4463,'参照_姫'!A:A,'参照_姫'!B:B,"見つかりません"))</f>
      </c>
      <c r="K422" s="4">
        <v>95</v>
      </c>
      <c r="L422" s="4">
        <v>0</v>
      </c>
      <c r="M422" s="4"/>
      <c r="N422" s="4"/>
      <c r="O422" s="4"/>
      <c r="P422" s="12" t="str">
        <f t="array" ref="P422">IF(O422:O4463="","",_xlfn.XLOOKUP(O422:O4463,'参照_官位'!A:A,'参照_官位'!B:B,""))</f>
      </c>
      <c r="Q422" s="12" t="str">
        <f t="array" ref="Q422">IF(A422:A4463="","",IFERROR(_xlfn.XLOOKUP(A422:A4463,castles_state!K:K,castles_state!D:D)&amp;"主",IFERROR(_xlfn.XLOOKUP(A422:A4463,kunishuClan!D:D,kunishuClan!B:B)&amp;"当主","")))</f>
      </c>
    </row>
    <row r="423" ht="15.75" customHeight="1">
      <c r="A423" s="4">
        <v>1006065</v>
      </c>
      <c r="B423" s="12" t="str">
        <f t="array" ref="B423">IF(A423:A4464="","",_xlfn.XLOOKUP(A423:A4464,'参照_武将'!A:A,'参照_武将'!B:B,"見つかりません"))</f>
      </c>
      <c r="C423" s="4" t="s">
        <v>98</v>
      </c>
      <c r="D423" s="4">
        <v>1</v>
      </c>
      <c r="E423" s="12" t="str">
        <f t="array" ref="E423">IF(D423:D4464="","",IFERROR(_xlfn.XLOOKUP(D423:D4464,'参照_勢力'!A:A,'参照_勢力'!B:B),IFERROR(_xlfn.XLOOKUP(F423:F4464,kunishuClan!A:A,kunishuClan!B:B),"浪人")))</f>
      </c>
      <c r="F423" s="4">
        <v>0</v>
      </c>
      <c r="G423" s="4">
        <v>11</v>
      </c>
      <c r="H423" s="12" t="str">
        <f t="array" ref="H423">IF(G423:G4464="","",_xlfn.XLOOKUP(G423:G4464,castles_state!A:A,castles_state!D:D,"見つかりません"))</f>
      </c>
      <c r="I423" s="4"/>
      <c r="J423" s="12" t="str">
        <f t="array" ref="J423">IF(I423:I4464="","",_xlfn.XLOOKUP(I423:I4464,'参照_姫'!A:A,'参照_姫'!B:B,"見つかりません"))</f>
      </c>
      <c r="K423" s="4">
        <v>95</v>
      </c>
      <c r="L423" s="4">
        <v>0</v>
      </c>
      <c r="M423" s="4"/>
      <c r="N423" s="4"/>
      <c r="O423" s="4"/>
      <c r="P423" s="12" t="str">
        <f t="array" ref="P423">IF(O423:O4464="","",_xlfn.XLOOKUP(O423:O4464,'参照_官位'!A:A,'参照_官位'!B:B,""))</f>
      </c>
      <c r="Q423" s="12" t="str">
        <f t="array" ref="Q423">IF(A423:A4464="","",IFERROR(_xlfn.XLOOKUP(A423:A4464,castles_state!K:K,castles_state!D:D)&amp;"主",IFERROR(_xlfn.XLOOKUP(A423:A4464,kunishuClan!D:D,kunishuClan!B:B)&amp;"当主","")))</f>
      </c>
    </row>
    <row r="424" ht="15.75" customHeight="1">
      <c r="A424" s="4">
        <v>1006066</v>
      </c>
      <c r="B424" s="12" t="str">
        <f t="array" ref="B424">IF(A424:A4465="","",_xlfn.XLOOKUP(A424:A4465,'参照_武将'!A:A,'参照_武将'!B:B,"見つかりません"))</f>
      </c>
      <c r="C424" s="4" t="s">
        <v>98</v>
      </c>
      <c r="D424" s="4">
        <v>1</v>
      </c>
      <c r="E424" s="12" t="str">
        <f t="array" ref="E424">IF(D424:D4465="","",IFERROR(_xlfn.XLOOKUP(D424:D4465,'参照_勢力'!A:A,'参照_勢力'!B:B),IFERROR(_xlfn.XLOOKUP(F424:F4465,kunishuClan!A:A,kunishuClan!B:B),"浪人")))</f>
      </c>
      <c r="F424" s="4">
        <v>0</v>
      </c>
      <c r="G424" s="4">
        <v>11</v>
      </c>
      <c r="H424" s="12" t="str">
        <f t="array" ref="H424">IF(G424:G4465="","",_xlfn.XLOOKUP(G424:G4465,castles_state!A:A,castles_state!D:D,"見つかりません"))</f>
      </c>
      <c r="I424" s="4"/>
      <c r="J424" s="12" t="str">
        <f t="array" ref="J424">IF(I424:I4465="","",_xlfn.XLOOKUP(I424:I4465,'参照_姫'!A:A,'参照_姫'!B:B,"見つかりません"))</f>
      </c>
      <c r="K424" s="4">
        <v>95</v>
      </c>
      <c r="L424" s="4">
        <v>0</v>
      </c>
      <c r="M424" s="4"/>
      <c r="N424" s="4"/>
      <c r="O424" s="4"/>
      <c r="P424" s="12" t="str">
        <f t="array" ref="P424">IF(O424:O4465="","",_xlfn.XLOOKUP(O424:O4465,'参照_官位'!A:A,'参照_官位'!B:B,""))</f>
      </c>
      <c r="Q424" s="12" t="str">
        <f t="array" ref="Q424">IF(A424:A4465="","",IFERROR(_xlfn.XLOOKUP(A424:A4465,castles_state!K:K,castles_state!D:D)&amp;"主",IFERROR(_xlfn.XLOOKUP(A424:A4465,kunishuClan!D:D,kunishuClan!B:B)&amp;"当主","")))</f>
      </c>
    </row>
    <row r="425" ht="15.75" customHeight="1">
      <c r="A425" s="4">
        <v>1006067</v>
      </c>
      <c r="B425" s="12" t="str">
        <f t="array" ref="B425">IF(A425:A4466="","",_xlfn.XLOOKUP(A425:A4466,'参照_武将'!A:A,'参照_武将'!B:B,"見つかりません"))</f>
      </c>
      <c r="C425" s="4" t="s">
        <v>98</v>
      </c>
      <c r="D425" s="4">
        <v>1</v>
      </c>
      <c r="E425" s="12" t="str">
        <f t="array" ref="E425">IF(D425:D4466="","",IFERROR(_xlfn.XLOOKUP(D425:D4466,'参照_勢力'!A:A,'参照_勢力'!B:B),IFERROR(_xlfn.XLOOKUP(F425:F4466,kunishuClan!A:A,kunishuClan!B:B),"浪人")))</f>
      </c>
      <c r="F425" s="4">
        <v>0</v>
      </c>
      <c r="G425" s="4">
        <v>11</v>
      </c>
      <c r="H425" s="12" t="str">
        <f t="array" ref="H425">IF(G425:G4466="","",_xlfn.XLOOKUP(G425:G4466,castles_state!A:A,castles_state!D:D,"見つかりません"))</f>
      </c>
      <c r="I425" s="4"/>
      <c r="J425" s="12" t="str">
        <f t="array" ref="J425">IF(I425:I4466="","",_xlfn.XLOOKUP(I425:I4466,'参照_姫'!A:A,'参照_姫'!B:B,"見つかりません"))</f>
      </c>
      <c r="K425" s="4">
        <v>95</v>
      </c>
      <c r="L425" s="4">
        <v>0</v>
      </c>
      <c r="M425" s="4"/>
      <c r="N425" s="4"/>
      <c r="O425" s="4"/>
      <c r="P425" s="12" t="str">
        <f t="array" ref="P425">IF(O425:O4466="","",_xlfn.XLOOKUP(O425:O4466,'参照_官位'!A:A,'参照_官位'!B:B,""))</f>
      </c>
      <c r="Q425" s="12" t="str">
        <f t="array" ref="Q425">IF(A425:A4466="","",IFERROR(_xlfn.XLOOKUP(A425:A4466,castles_state!K:K,castles_state!D:D)&amp;"主",IFERROR(_xlfn.XLOOKUP(A425:A4466,kunishuClan!D:D,kunishuClan!B:B)&amp;"当主","")))</f>
      </c>
    </row>
    <row r="426" ht="15.75" customHeight="1">
      <c r="A426" s="4">
        <v>1006068</v>
      </c>
      <c r="B426" s="12" t="str">
        <f t="array" ref="B426">IF(A426:A4467="","",_xlfn.XLOOKUP(A426:A4467,'参照_武将'!A:A,'参照_武将'!B:B,"見つかりません"))</f>
      </c>
      <c r="C426" s="4" t="s">
        <v>98</v>
      </c>
      <c r="D426" s="4">
        <v>1</v>
      </c>
      <c r="E426" s="12" t="str">
        <f t="array" ref="E426">IF(D426:D4467="","",IFERROR(_xlfn.XLOOKUP(D426:D4467,'参照_勢力'!A:A,'参照_勢力'!B:B),IFERROR(_xlfn.XLOOKUP(F426:F4467,kunishuClan!A:A,kunishuClan!B:B),"浪人")))</f>
      </c>
      <c r="F426" s="4">
        <v>0</v>
      </c>
      <c r="G426" s="4">
        <v>11</v>
      </c>
      <c r="H426" s="12" t="str">
        <f t="array" ref="H426">IF(G426:G4467="","",_xlfn.XLOOKUP(G426:G4467,castles_state!A:A,castles_state!D:D,"見つかりません"))</f>
      </c>
      <c r="I426" s="4"/>
      <c r="J426" s="12" t="str">
        <f t="array" ref="J426">IF(I426:I4467="","",_xlfn.XLOOKUP(I426:I4467,'参照_姫'!A:A,'参照_姫'!B:B,"見つかりません"))</f>
      </c>
      <c r="K426" s="4">
        <v>95</v>
      </c>
      <c r="L426" s="4">
        <v>0</v>
      </c>
      <c r="M426" s="4"/>
      <c r="N426" s="4"/>
      <c r="O426" s="4"/>
      <c r="P426" s="12" t="str">
        <f t="array" ref="P426">IF(O426:O4467="","",_xlfn.XLOOKUP(O426:O4467,'参照_官位'!A:A,'参照_官位'!B:B,""))</f>
      </c>
      <c r="Q426" s="12" t="str">
        <f t="array" ref="Q426">IF(A426:A4467="","",IFERROR(_xlfn.XLOOKUP(A426:A4467,castles_state!K:K,castles_state!D:D)&amp;"主",IFERROR(_xlfn.XLOOKUP(A426:A4467,kunishuClan!D:D,kunishuClan!B:B)&amp;"当主","")))</f>
      </c>
    </row>
    <row r="427" ht="15.75" customHeight="1">
      <c r="A427" s="4">
        <v>1006069</v>
      </c>
      <c r="B427" s="12" t="str">
        <f t="array" ref="B427">IF(A427:A4468="","",_xlfn.XLOOKUP(A427:A4468,'参照_武将'!A:A,'参照_武将'!B:B,"見つかりません"))</f>
      </c>
      <c r="C427" s="4" t="s">
        <v>98</v>
      </c>
      <c r="D427" s="4">
        <v>1</v>
      </c>
      <c r="E427" s="12" t="str">
        <f t="array" ref="E427">IF(D427:D4468="","",IFERROR(_xlfn.XLOOKUP(D427:D4468,'参照_勢力'!A:A,'参照_勢力'!B:B),IFERROR(_xlfn.XLOOKUP(F427:F4468,kunishuClan!A:A,kunishuClan!B:B),"浪人")))</f>
      </c>
      <c r="F427" s="4">
        <v>0</v>
      </c>
      <c r="G427" s="4">
        <v>11</v>
      </c>
      <c r="H427" s="12" t="str">
        <f t="array" ref="H427">IF(G427:G4468="","",_xlfn.XLOOKUP(G427:G4468,castles_state!A:A,castles_state!D:D,"見つかりません"))</f>
      </c>
      <c r="I427" s="4"/>
      <c r="J427" s="12" t="str">
        <f t="array" ref="J427">IF(I427:I4468="","",_xlfn.XLOOKUP(I427:I4468,'参照_姫'!A:A,'参照_姫'!B:B,"見つかりません"))</f>
      </c>
      <c r="K427" s="4">
        <v>90</v>
      </c>
      <c r="L427" s="4">
        <v>500</v>
      </c>
      <c r="M427" s="4"/>
      <c r="N427" s="4"/>
      <c r="O427" s="4"/>
      <c r="P427" s="12" t="str">
        <f t="array" ref="P427">IF(O427:O4468="","",_xlfn.XLOOKUP(O427:O4468,'参照_官位'!A:A,'参照_官位'!B:B,""))</f>
      </c>
      <c r="Q427" s="12" t="str">
        <f t="array" ref="Q427">IF(A427:A4468="","",IFERROR(_xlfn.XLOOKUP(A427:A4468,castles_state!K:K,castles_state!D:D)&amp;"主",IFERROR(_xlfn.XLOOKUP(A427:A4468,kunishuClan!D:D,kunishuClan!B:B)&amp;"当主","")))</f>
      </c>
    </row>
    <row r="428" ht="15.75" customHeight="1">
      <c r="A428" s="4">
        <v>1006070</v>
      </c>
      <c r="B428" s="12" t="str">
        <f t="array" ref="B428">IF(A428:A4469="","",_xlfn.XLOOKUP(A428:A4469,'参照_武将'!A:A,'参照_武将'!B:B,"見つかりません"))</f>
      </c>
      <c r="C428" s="4" t="s">
        <v>98</v>
      </c>
      <c r="D428" s="4">
        <v>1</v>
      </c>
      <c r="E428" s="12" t="str">
        <f t="array" ref="E428">IF(D428:D4469="","",IFERROR(_xlfn.XLOOKUP(D428:D4469,'参照_勢力'!A:A,'参照_勢力'!B:B),IFERROR(_xlfn.XLOOKUP(F428:F4469,kunishuClan!A:A,kunishuClan!B:B),"浪人")))</f>
      </c>
      <c r="F428" s="4">
        <v>0</v>
      </c>
      <c r="G428" s="4">
        <v>11</v>
      </c>
      <c r="H428" s="12" t="str">
        <f t="array" ref="H428">IF(G428:G4469="","",_xlfn.XLOOKUP(G428:G4469,castles_state!A:A,castles_state!D:D,"見つかりません"))</f>
      </c>
      <c r="I428" s="4"/>
      <c r="J428" s="12" t="str">
        <f t="array" ref="J428">IF(I428:I4469="","",_xlfn.XLOOKUP(I428:I4469,'参照_姫'!A:A,'参照_姫'!B:B,"見つかりません"))</f>
      </c>
      <c r="K428" s="4">
        <v>90</v>
      </c>
      <c r="L428" s="4">
        <v>0</v>
      </c>
      <c r="M428" s="4"/>
      <c r="N428" s="4"/>
      <c r="O428" s="4"/>
      <c r="P428" s="12" t="str">
        <f t="array" ref="P428">IF(O428:O4469="","",_xlfn.XLOOKUP(O428:O4469,'参照_官位'!A:A,'参照_官位'!B:B,""))</f>
      </c>
      <c r="Q428" s="12" t="str">
        <f t="array" ref="Q428">IF(A428:A4469="","",IFERROR(_xlfn.XLOOKUP(A428:A4469,castles_state!K:K,castles_state!D:D)&amp;"主",IFERROR(_xlfn.XLOOKUP(A428:A4469,kunishuClan!D:D,kunishuClan!B:B)&amp;"当主","")))</f>
      </c>
    </row>
    <row r="429" ht="15.75" customHeight="1">
      <c r="A429" s="4">
        <v>1006071</v>
      </c>
      <c r="B429" s="12" t="str">
        <f t="array" ref="B429">IF(A429:A4470="","",_xlfn.XLOOKUP(A429:A4470,'参照_武将'!A:A,'参照_武将'!B:B,"見つかりません"))</f>
      </c>
      <c r="C429" s="4" t="s">
        <v>98</v>
      </c>
      <c r="D429" s="4">
        <v>1</v>
      </c>
      <c r="E429" s="12" t="str">
        <f t="array" ref="E429">IF(D429:D4470="","",IFERROR(_xlfn.XLOOKUP(D429:D4470,'参照_勢力'!A:A,'参照_勢力'!B:B),IFERROR(_xlfn.XLOOKUP(F429:F4470,kunishuClan!A:A,kunishuClan!B:B),"浪人")))</f>
      </c>
      <c r="F429" s="4">
        <v>0</v>
      </c>
      <c r="G429" s="4">
        <v>11</v>
      </c>
      <c r="H429" s="12" t="str">
        <f t="array" ref="H429">IF(G429:G4470="","",_xlfn.XLOOKUP(G429:G4470,castles_state!A:A,castles_state!D:D,"見つかりません"))</f>
      </c>
      <c r="I429" s="4"/>
      <c r="J429" s="12" t="str">
        <f t="array" ref="J429">IF(I429:I4470="","",_xlfn.XLOOKUP(I429:I4470,'参照_姫'!A:A,'参照_姫'!B:B,"見つかりません"))</f>
      </c>
      <c r="K429" s="4">
        <v>95</v>
      </c>
      <c r="L429" s="4">
        <v>0</v>
      </c>
      <c r="M429" s="4"/>
      <c r="N429" s="4"/>
      <c r="O429" s="4"/>
      <c r="P429" s="12" t="str">
        <f t="array" ref="P429">IF(O429:O4470="","",_xlfn.XLOOKUP(O429:O4470,'参照_官位'!A:A,'参照_官位'!B:B,""))</f>
      </c>
      <c r="Q429" s="12" t="str">
        <f t="array" ref="Q429">IF(A429:A4470="","",IFERROR(_xlfn.XLOOKUP(A429:A4470,castles_state!K:K,castles_state!D:D)&amp;"主",IFERROR(_xlfn.XLOOKUP(A429:A4470,kunishuClan!D:D,kunishuClan!B:B)&amp;"当主","")))</f>
      </c>
    </row>
    <row r="430" ht="15.75" customHeight="1">
      <c r="A430" s="4">
        <v>1006072</v>
      </c>
      <c r="B430" s="12" t="str">
        <f t="array" ref="B430">IF(A430:A4471="","",_xlfn.XLOOKUP(A430:A4471,'参照_武将'!A:A,'参照_武将'!B:B,"見つかりません"))</f>
      </c>
      <c r="C430" s="4" t="s">
        <v>98</v>
      </c>
      <c r="D430" s="4">
        <v>1</v>
      </c>
      <c r="E430" s="12" t="str">
        <f t="array" ref="E430">IF(D430:D4471="","",IFERROR(_xlfn.XLOOKUP(D430:D4471,'参照_勢力'!A:A,'参照_勢力'!B:B),IFERROR(_xlfn.XLOOKUP(F430:F4471,kunishuClan!A:A,kunishuClan!B:B),"浪人")))</f>
      </c>
      <c r="F430" s="4">
        <v>0</v>
      </c>
      <c r="G430" s="4">
        <v>11</v>
      </c>
      <c r="H430" s="12" t="str">
        <f t="array" ref="H430">IF(G430:G4471="","",_xlfn.XLOOKUP(G430:G4471,castles_state!A:A,castles_state!D:D,"見つかりません"))</f>
      </c>
      <c r="I430" s="4"/>
      <c r="J430" s="12" t="str">
        <f t="array" ref="J430">IF(I430:I4471="","",_xlfn.XLOOKUP(I430:I4471,'参照_姫'!A:A,'参照_姫'!B:B,"見つかりません"))</f>
      </c>
      <c r="K430" s="4">
        <v>95</v>
      </c>
      <c r="L430" s="4">
        <v>0</v>
      </c>
      <c r="M430" s="4"/>
      <c r="N430" s="4"/>
      <c r="O430" s="4"/>
      <c r="P430" s="12" t="str">
        <f t="array" ref="P430">IF(O430:O4471="","",_xlfn.XLOOKUP(O430:O4471,'参照_官位'!A:A,'参照_官位'!B:B,""))</f>
      </c>
      <c r="Q430" s="12" t="str">
        <f t="array" ref="Q430">IF(A430:A4471="","",IFERROR(_xlfn.XLOOKUP(A430:A4471,castles_state!K:K,castles_state!D:D)&amp;"主",IFERROR(_xlfn.XLOOKUP(A430:A4471,kunishuClan!D:D,kunishuClan!B:B)&amp;"当主","")))</f>
      </c>
    </row>
    <row r="431" ht="15.75" customHeight="1">
      <c r="A431" s="4">
        <v>1006073</v>
      </c>
      <c r="B431" s="12" t="str">
        <f t="array" ref="B431">IF(A431:A4472="","",_xlfn.XLOOKUP(A431:A4472,'参照_武将'!A:A,'参照_武将'!B:B,"見つかりません"))</f>
      </c>
      <c r="C431" s="4" t="s">
        <v>98</v>
      </c>
      <c r="D431" s="4">
        <v>1</v>
      </c>
      <c r="E431" s="12" t="str">
        <f t="array" ref="E431">IF(D431:D4472="","",IFERROR(_xlfn.XLOOKUP(D431:D4472,'参照_勢力'!A:A,'参照_勢力'!B:B),IFERROR(_xlfn.XLOOKUP(F431:F4472,kunishuClan!A:A,kunishuClan!B:B),"浪人")))</f>
      </c>
      <c r="F431" s="4">
        <v>0</v>
      </c>
      <c r="G431" s="4">
        <v>11</v>
      </c>
      <c r="H431" s="12" t="str">
        <f t="array" ref="H431">IF(G431:G4472="","",_xlfn.XLOOKUP(G431:G4472,castles_state!A:A,castles_state!D:D,"見つかりません"))</f>
      </c>
      <c r="I431" s="4"/>
      <c r="J431" s="12" t="str">
        <f t="array" ref="J431">IF(I431:I4472="","",_xlfn.XLOOKUP(I431:I4472,'参照_姫'!A:A,'参照_姫'!B:B,"見つかりません"))</f>
      </c>
      <c r="K431" s="4">
        <v>95</v>
      </c>
      <c r="L431" s="4">
        <v>0</v>
      </c>
      <c r="M431" s="4"/>
      <c r="N431" s="4"/>
      <c r="O431" s="4"/>
      <c r="P431" s="12" t="str">
        <f t="array" ref="P431">IF(O431:O4472="","",_xlfn.XLOOKUP(O431:O4472,'参照_官位'!A:A,'参照_官位'!B:B,""))</f>
      </c>
      <c r="Q431" s="12" t="str">
        <f t="array" ref="Q431">IF(A431:A4472="","",IFERROR(_xlfn.XLOOKUP(A431:A4472,castles_state!K:K,castles_state!D:D)&amp;"主",IFERROR(_xlfn.XLOOKUP(A431:A4472,kunishuClan!D:D,kunishuClan!B:B)&amp;"当主","")))</f>
      </c>
    </row>
    <row r="432" ht="15.75" customHeight="1">
      <c r="A432" s="4">
        <v>1006074</v>
      </c>
      <c r="B432" s="12" t="str">
        <f t="array" ref="B432">IF(A432:A4473="","",_xlfn.XLOOKUP(A432:A4473,'参照_武将'!A:A,'参照_武将'!B:B,"見つかりません"))</f>
      </c>
      <c r="C432" s="4" t="s">
        <v>98</v>
      </c>
      <c r="D432" s="4">
        <v>1</v>
      </c>
      <c r="E432" s="12" t="str">
        <f t="array" ref="E432">IF(D432:D4473="","",IFERROR(_xlfn.XLOOKUP(D432:D4473,'参照_勢力'!A:A,'参照_勢力'!B:B),IFERROR(_xlfn.XLOOKUP(F432:F4473,kunishuClan!A:A,kunishuClan!B:B),"浪人")))</f>
      </c>
      <c r="F432" s="4">
        <v>0</v>
      </c>
      <c r="G432" s="4">
        <v>11</v>
      </c>
      <c r="H432" s="12" t="str">
        <f t="array" ref="H432">IF(G432:G4473="","",_xlfn.XLOOKUP(G432:G4473,castles_state!A:A,castles_state!D:D,"見つかりません"))</f>
      </c>
      <c r="I432" s="4"/>
      <c r="J432" s="12" t="str">
        <f t="array" ref="J432">IF(I432:I4473="","",_xlfn.XLOOKUP(I432:I4473,'参照_姫'!A:A,'参照_姫'!B:B,"見つかりません"))</f>
      </c>
      <c r="K432" s="4">
        <v>95</v>
      </c>
      <c r="L432" s="4">
        <v>0</v>
      </c>
      <c r="M432" s="4"/>
      <c r="N432" s="4"/>
      <c r="O432" s="4"/>
      <c r="P432" s="12" t="str">
        <f t="array" ref="P432">IF(O432:O4473="","",_xlfn.XLOOKUP(O432:O4473,'参照_官位'!A:A,'参照_官位'!B:B,""))</f>
      </c>
      <c r="Q432" s="12" t="str">
        <f t="array" ref="Q432">IF(A432:A4473="","",IFERROR(_xlfn.XLOOKUP(A432:A4473,castles_state!K:K,castles_state!D:D)&amp;"主",IFERROR(_xlfn.XLOOKUP(A432:A4473,kunishuClan!D:D,kunishuClan!B:B)&amp;"当主","")))</f>
      </c>
    </row>
    <row r="433" ht="15.75" customHeight="1">
      <c r="A433" s="4">
        <v>1006075</v>
      </c>
      <c r="B433" s="12" t="str">
        <f t="array" ref="B433">IF(A433:A4474="","",_xlfn.XLOOKUP(A433:A4474,'参照_武将'!A:A,'参照_武将'!B:B,"見つかりません"))</f>
      </c>
      <c r="C433" s="4" t="s">
        <v>98</v>
      </c>
      <c r="D433" s="4">
        <v>1</v>
      </c>
      <c r="E433" s="12" t="str">
        <f t="array" ref="E433">IF(D433:D4474="","",IFERROR(_xlfn.XLOOKUP(D433:D4474,'参照_勢力'!A:A,'参照_勢力'!B:B),IFERROR(_xlfn.XLOOKUP(F433:F4474,kunishuClan!A:A,kunishuClan!B:B),"浪人")))</f>
      </c>
      <c r="F433" s="4">
        <v>0</v>
      </c>
      <c r="G433" s="4">
        <v>11</v>
      </c>
      <c r="H433" s="12" t="str">
        <f t="array" ref="H433">IF(G433:G4474="","",_xlfn.XLOOKUP(G433:G4474,castles_state!A:A,castles_state!D:D,"見つかりません"))</f>
      </c>
      <c r="I433" s="4"/>
      <c r="J433" s="12" t="str">
        <f t="array" ref="J433">IF(I433:I4474="","",_xlfn.XLOOKUP(I433:I4474,'参照_姫'!A:A,'参照_姫'!B:B,"見つかりません"))</f>
      </c>
      <c r="K433" s="4">
        <v>95</v>
      </c>
      <c r="L433" s="4">
        <v>0</v>
      </c>
      <c r="M433" s="4"/>
      <c r="N433" s="4"/>
      <c r="O433" s="4"/>
      <c r="P433" s="12" t="str">
        <f t="array" ref="P433">IF(O433:O4474="","",_xlfn.XLOOKUP(O433:O4474,'参照_官位'!A:A,'参照_官位'!B:B,""))</f>
      </c>
      <c r="Q433" s="12" t="str">
        <f t="array" ref="Q433">IF(A433:A4474="","",IFERROR(_xlfn.XLOOKUP(A433:A4474,castles_state!K:K,castles_state!D:D)&amp;"主",IFERROR(_xlfn.XLOOKUP(A433:A4474,kunishuClan!D:D,kunishuClan!B:B)&amp;"当主","")))</f>
      </c>
    </row>
    <row r="434" ht="15.75" customHeight="1">
      <c r="A434" s="4">
        <v>1006076</v>
      </c>
      <c r="B434" s="12" t="str">
        <f t="array" ref="B434">IF(A434:A4475="","",_xlfn.XLOOKUP(A434:A4475,'参照_武将'!A:A,'参照_武将'!B:B,"見つかりません"))</f>
      </c>
      <c r="C434" s="4" t="s">
        <v>98</v>
      </c>
      <c r="D434" s="4">
        <v>1</v>
      </c>
      <c r="E434" s="12" t="str">
        <f t="array" ref="E434">IF(D434:D4475="","",IFERROR(_xlfn.XLOOKUP(D434:D4475,'参照_勢力'!A:A,'参照_勢力'!B:B),IFERROR(_xlfn.XLOOKUP(F434:F4475,kunishuClan!A:A,kunishuClan!B:B),"浪人")))</f>
      </c>
      <c r="F434" s="4">
        <v>0</v>
      </c>
      <c r="G434" s="4">
        <v>11</v>
      </c>
      <c r="H434" s="12" t="str">
        <f t="array" ref="H434">IF(G434:G4475="","",_xlfn.XLOOKUP(G434:G4475,castles_state!A:A,castles_state!D:D,"見つかりません"))</f>
      </c>
      <c r="I434" s="4"/>
      <c r="J434" s="12" t="str">
        <f t="array" ref="J434">IF(I434:I4475="","",_xlfn.XLOOKUP(I434:I4475,'参照_姫'!A:A,'参照_姫'!B:B,"見つかりません"))</f>
      </c>
      <c r="K434" s="4">
        <v>95</v>
      </c>
      <c r="L434" s="4">
        <v>0</v>
      </c>
      <c r="M434" s="4"/>
      <c r="N434" s="4"/>
      <c r="O434" s="4"/>
      <c r="P434" s="12" t="str">
        <f t="array" ref="P434">IF(O434:O4475="","",_xlfn.XLOOKUP(O434:O4475,'参照_官位'!A:A,'参照_官位'!B:B,""))</f>
      </c>
      <c r="Q434" s="12" t="str">
        <f t="array" ref="Q434">IF(A434:A4475="","",IFERROR(_xlfn.XLOOKUP(A434:A4475,castles_state!K:K,castles_state!D:D)&amp;"主",IFERROR(_xlfn.XLOOKUP(A434:A4475,kunishuClan!D:D,kunishuClan!B:B)&amp;"当主","")))</f>
      </c>
    </row>
    <row r="435" ht="15.75" customHeight="1">
      <c r="A435" s="4">
        <v>1006077</v>
      </c>
      <c r="B435" s="12" t="str">
        <f t="array" ref="B435">IF(A435:A4476="","",_xlfn.XLOOKUP(A435:A4476,'参照_武将'!A:A,'参照_武将'!B:B,"見つかりません"))</f>
      </c>
      <c r="C435" s="4" t="s">
        <v>98</v>
      </c>
      <c r="D435" s="4">
        <v>1</v>
      </c>
      <c r="E435" s="12" t="str">
        <f t="array" ref="E435">IF(D435:D4476="","",IFERROR(_xlfn.XLOOKUP(D435:D4476,'参照_勢力'!A:A,'参照_勢力'!B:B),IFERROR(_xlfn.XLOOKUP(F435:F4476,kunishuClan!A:A,kunishuClan!B:B),"浪人")))</f>
      </c>
      <c r="F435" s="4">
        <v>0</v>
      </c>
      <c r="G435" s="4">
        <v>3</v>
      </c>
      <c r="H435" s="12" t="str">
        <f t="array" ref="H435">IF(G435:G4476="","",_xlfn.XLOOKUP(G435:G4476,castles_state!A:A,castles_state!D:D,"見つかりません"))</f>
      </c>
      <c r="I435" s="4"/>
      <c r="J435" s="12" t="str">
        <f t="array" ref="J435">IF(I435:I4476="","",_xlfn.XLOOKUP(I435:I4476,'参照_姫'!A:A,'参照_姫'!B:B,"見つかりません"))</f>
      </c>
      <c r="K435" s="4">
        <v>95</v>
      </c>
      <c r="L435" s="4">
        <v>0</v>
      </c>
      <c r="M435" s="4"/>
      <c r="N435" s="4"/>
      <c r="O435" s="4"/>
      <c r="P435" s="12" t="str">
        <f t="array" ref="P435">IF(O435:O4476="","",_xlfn.XLOOKUP(O435:O4476,'参照_官位'!A:A,'参照_官位'!B:B,""))</f>
      </c>
      <c r="Q435" s="12" t="str">
        <f t="array" ref="Q435">IF(A435:A4476="","",IFERROR(_xlfn.XLOOKUP(A435:A4476,castles_state!K:K,castles_state!D:D)&amp;"主",IFERROR(_xlfn.XLOOKUP(A435:A4476,kunishuClan!D:D,kunishuClan!B:B)&amp;"当主","")))</f>
      </c>
    </row>
    <row r="436" ht="15.75" customHeight="1">
      <c r="A436" s="4">
        <v>1006078</v>
      </c>
      <c r="B436" s="12" t="str">
        <f t="array" ref="B436">IF(A436:A4477="","",_xlfn.XLOOKUP(A436:A4477,'参照_武将'!A:A,'参照_武将'!B:B,"見つかりません"))</f>
      </c>
      <c r="C436" s="4" t="s">
        <v>98</v>
      </c>
      <c r="D436" s="4">
        <v>1</v>
      </c>
      <c r="E436" s="12" t="str">
        <f t="array" ref="E436">IF(D436:D4477="","",IFERROR(_xlfn.XLOOKUP(D436:D4477,'参照_勢力'!A:A,'参照_勢力'!B:B),IFERROR(_xlfn.XLOOKUP(F436:F4477,kunishuClan!A:A,kunishuClan!B:B),"浪人")))</f>
      </c>
      <c r="F436" s="4">
        <v>0</v>
      </c>
      <c r="G436" s="4">
        <v>180</v>
      </c>
      <c r="H436" s="12" t="str">
        <f t="array" ref="H436">IF(G436:G4477="","",_xlfn.XLOOKUP(G436:G4477,castles_state!A:A,castles_state!D:D,"見つかりません"))</f>
      </c>
      <c r="I436" s="4"/>
      <c r="J436" s="12" t="str">
        <f t="array" ref="J436">IF(I436:I4477="","",_xlfn.XLOOKUP(I436:I4477,'参照_姫'!A:A,'参照_姫'!B:B,"見つかりません"))</f>
      </c>
      <c r="K436" s="4">
        <v>95</v>
      </c>
      <c r="L436" s="4">
        <v>700</v>
      </c>
      <c r="M436" s="4"/>
      <c r="N436" s="4"/>
      <c r="O436" s="4"/>
      <c r="P436" s="12" t="str">
        <f t="array" ref="P436">IF(O436:O4477="","",_xlfn.XLOOKUP(O436:O4477,'参照_官位'!A:A,'参照_官位'!B:B,""))</f>
      </c>
      <c r="Q436" s="12" t="str">
        <f t="array" ref="Q436">IF(A436:A4477="","",IFERROR(_xlfn.XLOOKUP(A436:A4477,castles_state!K:K,castles_state!D:D)&amp;"主",IFERROR(_xlfn.XLOOKUP(A436:A4477,kunishuClan!D:D,kunishuClan!B:B)&amp;"当主","")))</f>
      </c>
    </row>
    <row r="437" ht="15.75" customHeight="1">
      <c r="A437" s="4">
        <v>1006079</v>
      </c>
      <c r="B437" s="12" t="str">
        <f t="array" ref="B437">IF(A437:A4478="","",_xlfn.XLOOKUP(A437:A4478,'参照_武将'!A:A,'参照_武将'!B:B,"見つかりません"))</f>
      </c>
      <c r="C437" s="4" t="s">
        <v>98</v>
      </c>
      <c r="D437" s="4">
        <v>1</v>
      </c>
      <c r="E437" s="12" t="str">
        <f t="array" ref="E437">IF(D437:D4478="","",IFERROR(_xlfn.XLOOKUP(D437:D4478,'参照_勢力'!A:A,'参照_勢力'!B:B),IFERROR(_xlfn.XLOOKUP(F437:F4478,kunishuClan!A:A,kunishuClan!B:B),"浪人")))</f>
      </c>
      <c r="F437" s="4">
        <v>0</v>
      </c>
      <c r="G437" s="4">
        <v>180</v>
      </c>
      <c r="H437" s="12" t="str">
        <f t="array" ref="H437">IF(G437:G4478="","",_xlfn.XLOOKUP(G437:G4478,castles_state!A:A,castles_state!D:D,"見つかりません"))</f>
      </c>
      <c r="I437" s="4"/>
      <c r="J437" s="12" t="str">
        <f t="array" ref="J437">IF(I437:I4478="","",_xlfn.XLOOKUP(I437:I4478,'参照_姫'!A:A,'参照_姫'!B:B,"見つかりません"))</f>
      </c>
      <c r="K437" s="4">
        <v>90</v>
      </c>
      <c r="L437" s="4">
        <v>0</v>
      </c>
      <c r="M437" s="4"/>
      <c r="N437" s="4"/>
      <c r="O437" s="4"/>
      <c r="P437" s="12" t="str">
        <f t="array" ref="P437">IF(O437:O4478="","",_xlfn.XLOOKUP(O437:O4478,'参照_官位'!A:A,'参照_官位'!B:B,""))</f>
      </c>
      <c r="Q437" s="12" t="str">
        <f t="array" ref="Q437">IF(A437:A4478="","",IFERROR(_xlfn.XLOOKUP(A437:A4478,castles_state!K:K,castles_state!D:D)&amp;"主",IFERROR(_xlfn.XLOOKUP(A437:A4478,kunishuClan!D:D,kunishuClan!B:B)&amp;"当主","")))</f>
      </c>
    </row>
    <row r="438" ht="15.75" customHeight="1">
      <c r="A438" s="4">
        <v>1006080</v>
      </c>
      <c r="B438" s="12" t="str">
        <f t="array" ref="B438">IF(A438:A4479="","",_xlfn.XLOOKUP(A438:A4479,'参照_武将'!A:A,'参照_武将'!B:B,"見つかりません"))</f>
      </c>
      <c r="C438" s="4" t="s">
        <v>98</v>
      </c>
      <c r="D438" s="4">
        <v>1</v>
      </c>
      <c r="E438" s="12" t="str">
        <f t="array" ref="E438">IF(D438:D4479="","",IFERROR(_xlfn.XLOOKUP(D438:D4479,'参照_勢力'!A:A,'参照_勢力'!B:B),IFERROR(_xlfn.XLOOKUP(F438:F4479,kunishuClan!A:A,kunishuClan!B:B),"浪人")))</f>
      </c>
      <c r="F438" s="4">
        <v>0</v>
      </c>
      <c r="G438" s="4">
        <v>3</v>
      </c>
      <c r="H438" s="12" t="str">
        <f t="array" ref="H438">IF(G438:G4479="","",_xlfn.XLOOKUP(G438:G4479,castles_state!A:A,castles_state!D:D,"見つかりません"))</f>
      </c>
      <c r="I438" s="4"/>
      <c r="J438" s="12" t="str">
        <f t="array" ref="J438">IF(I438:I4479="","",_xlfn.XLOOKUP(I438:I4479,'参照_姫'!A:A,'参照_姫'!B:B,"見つかりません"))</f>
      </c>
      <c r="K438" s="4">
        <v>95</v>
      </c>
      <c r="L438" s="4">
        <v>0</v>
      </c>
      <c r="M438" s="4"/>
      <c r="N438" s="4"/>
      <c r="O438" s="4"/>
      <c r="P438" s="12" t="str">
        <f t="array" ref="P438">IF(O438:O4479="","",_xlfn.XLOOKUP(O438:O4479,'参照_官位'!A:A,'参照_官位'!B:B,""))</f>
      </c>
      <c r="Q438" s="12" t="str">
        <f t="array" ref="Q438">IF(A438:A4479="","",IFERROR(_xlfn.XLOOKUP(A438:A4479,castles_state!K:K,castles_state!D:D)&amp;"主",IFERROR(_xlfn.XLOOKUP(A438:A4479,kunishuClan!D:D,kunishuClan!B:B)&amp;"当主","")))</f>
      </c>
    </row>
    <row r="439" ht="15.75" customHeight="1">
      <c r="A439" s="4">
        <v>1006081</v>
      </c>
      <c r="B439" s="12" t="str">
        <f t="array" ref="B439">IF(A439:A4480="","",_xlfn.XLOOKUP(A439:A4480,'参照_武将'!A:A,'参照_武将'!B:B,"見つかりません"))</f>
      </c>
      <c r="C439" s="4" t="s">
        <v>98</v>
      </c>
      <c r="D439" s="4">
        <v>1</v>
      </c>
      <c r="E439" s="12" t="str">
        <f t="array" ref="E439">IF(D439:D4480="","",IFERROR(_xlfn.XLOOKUP(D439:D4480,'参照_勢力'!A:A,'参照_勢力'!B:B),IFERROR(_xlfn.XLOOKUP(F439:F4480,kunishuClan!A:A,kunishuClan!B:B),"浪人")))</f>
      </c>
      <c r="F439" s="4">
        <v>0</v>
      </c>
      <c r="G439" s="4">
        <v>3</v>
      </c>
      <c r="H439" s="12" t="str">
        <f t="array" ref="H439">IF(G439:G4480="","",_xlfn.XLOOKUP(G439:G4480,castles_state!A:A,castles_state!D:D,"見つかりません"))</f>
      </c>
      <c r="I439" s="4"/>
      <c r="J439" s="12" t="str">
        <f t="array" ref="J439">IF(I439:I4480="","",_xlfn.XLOOKUP(I439:I4480,'参照_姫'!A:A,'参照_姫'!B:B,"見つかりません"))</f>
      </c>
      <c r="K439" s="4">
        <v>95</v>
      </c>
      <c r="L439" s="4">
        <v>0</v>
      </c>
      <c r="M439" s="4"/>
      <c r="N439" s="4"/>
      <c r="O439" s="4"/>
      <c r="P439" s="12" t="str">
        <f t="array" ref="P439">IF(O439:O4480="","",_xlfn.XLOOKUP(O439:O4480,'参照_官位'!A:A,'参照_官位'!B:B,""))</f>
      </c>
      <c r="Q439" s="12" t="str">
        <f t="array" ref="Q439">IF(A439:A4480="","",IFERROR(_xlfn.XLOOKUP(A439:A4480,castles_state!K:K,castles_state!D:D)&amp;"主",IFERROR(_xlfn.XLOOKUP(A439:A4480,kunishuClan!D:D,kunishuClan!B:B)&amp;"当主","")))</f>
      </c>
    </row>
    <row r="440" ht="15.75" customHeight="1">
      <c r="A440" s="4">
        <v>1006082</v>
      </c>
      <c r="B440" s="12" t="str">
        <f t="array" ref="B440">IF(A440:A4481="","",_xlfn.XLOOKUP(A440:A4481,'参照_武将'!A:A,'参照_武将'!B:B,"見つかりません"))</f>
      </c>
      <c r="C440" s="4" t="s">
        <v>98</v>
      </c>
      <c r="D440" s="4">
        <v>1</v>
      </c>
      <c r="E440" s="12" t="str">
        <f t="array" ref="E440">IF(D440:D4481="","",IFERROR(_xlfn.XLOOKUP(D440:D4481,'参照_勢力'!A:A,'参照_勢力'!B:B),IFERROR(_xlfn.XLOOKUP(F440:F4481,kunishuClan!A:A,kunishuClan!B:B),"浪人")))</f>
      </c>
      <c r="F440" s="4">
        <v>0</v>
      </c>
      <c r="G440" s="4">
        <v>3</v>
      </c>
      <c r="H440" s="12" t="str">
        <f t="array" ref="H440">IF(G440:G4481="","",_xlfn.XLOOKUP(G440:G4481,castles_state!A:A,castles_state!D:D,"見つかりません"))</f>
      </c>
      <c r="I440" s="4"/>
      <c r="J440" s="12" t="str">
        <f t="array" ref="J440">IF(I440:I4481="","",_xlfn.XLOOKUP(I440:I4481,'参照_姫'!A:A,'参照_姫'!B:B,"見つかりません"))</f>
      </c>
      <c r="K440" s="4">
        <v>95</v>
      </c>
      <c r="L440" s="4">
        <v>0</v>
      </c>
      <c r="M440" s="4"/>
      <c r="N440" s="4"/>
      <c r="O440" s="4"/>
      <c r="P440" s="12" t="str">
        <f t="array" ref="P440">IF(O440:O4481="","",_xlfn.XLOOKUP(O440:O4481,'参照_官位'!A:A,'参照_官位'!B:B,""))</f>
      </c>
      <c r="Q440" s="12" t="str">
        <f t="array" ref="Q440">IF(A440:A4481="","",IFERROR(_xlfn.XLOOKUP(A440:A4481,castles_state!K:K,castles_state!D:D)&amp;"主",IFERROR(_xlfn.XLOOKUP(A440:A4481,kunishuClan!D:D,kunishuClan!B:B)&amp;"当主","")))</f>
      </c>
    </row>
    <row r="441" ht="15.75" customHeight="1">
      <c r="A441" s="4">
        <v>1006083</v>
      </c>
      <c r="B441" s="12" t="str">
        <f t="array" ref="B441">IF(A441:A4482="","",_xlfn.XLOOKUP(A441:A4482,'参照_武将'!A:A,'参照_武将'!B:B,"見つかりません"))</f>
      </c>
      <c r="C441" s="4" t="s">
        <v>98</v>
      </c>
      <c r="D441" s="4">
        <v>1</v>
      </c>
      <c r="E441" s="12" t="str">
        <f t="array" ref="E441">IF(D441:D4482="","",IFERROR(_xlfn.XLOOKUP(D441:D4482,'参照_勢力'!A:A,'参照_勢力'!B:B),IFERROR(_xlfn.XLOOKUP(F441:F4482,kunishuClan!A:A,kunishuClan!B:B),"浪人")))</f>
      </c>
      <c r="F441" s="4">
        <v>0</v>
      </c>
      <c r="G441" s="4">
        <v>3</v>
      </c>
      <c r="H441" s="12" t="str">
        <f t="array" ref="H441">IF(G441:G4482="","",_xlfn.XLOOKUP(G441:G4482,castles_state!A:A,castles_state!D:D,"見つかりません"))</f>
      </c>
      <c r="I441" s="4"/>
      <c r="J441" s="12" t="str">
        <f t="array" ref="J441">IF(I441:I4482="","",_xlfn.XLOOKUP(I441:I4482,'参照_姫'!A:A,'参照_姫'!B:B,"見つかりません"))</f>
      </c>
      <c r="K441" s="4">
        <v>95</v>
      </c>
      <c r="L441" s="4">
        <v>0</v>
      </c>
      <c r="M441" s="4"/>
      <c r="N441" s="4"/>
      <c r="O441" s="4"/>
      <c r="P441" s="12" t="str">
        <f t="array" ref="P441">IF(O441:O4482="","",_xlfn.XLOOKUP(O441:O4482,'参照_官位'!A:A,'参照_官位'!B:B,""))</f>
      </c>
      <c r="Q441" s="12" t="str">
        <f t="array" ref="Q441">IF(A441:A4482="","",IFERROR(_xlfn.XLOOKUP(A441:A4482,castles_state!K:K,castles_state!D:D)&amp;"主",IFERROR(_xlfn.XLOOKUP(A441:A4482,kunishuClan!D:D,kunishuClan!B:B)&amp;"当主","")))</f>
      </c>
    </row>
    <row r="442" ht="15.75" customHeight="1">
      <c r="A442" s="4">
        <v>1006084</v>
      </c>
      <c r="B442" s="12" t="str">
        <f t="array" ref="B442">IF(A442:A4483="","",_xlfn.XLOOKUP(A442:A4483,'参照_武将'!A:A,'参照_武将'!B:B,"見つかりません"))</f>
      </c>
      <c r="C442" s="4" t="s">
        <v>98</v>
      </c>
      <c r="D442" s="4">
        <v>1</v>
      </c>
      <c r="E442" s="12" t="str">
        <f t="array" ref="E442">IF(D442:D4483="","",IFERROR(_xlfn.XLOOKUP(D442:D4483,'参照_勢力'!A:A,'参照_勢力'!B:B),IFERROR(_xlfn.XLOOKUP(F442:F4483,kunishuClan!A:A,kunishuClan!B:B),"浪人")))</f>
      </c>
      <c r="F442" s="4">
        <v>0</v>
      </c>
      <c r="G442" s="4">
        <v>57</v>
      </c>
      <c r="H442" s="12" t="str">
        <f t="array" ref="H442">IF(G442:G4483="","",_xlfn.XLOOKUP(G442:G4483,castles_state!A:A,castles_state!D:D,"見つかりません"))</f>
      </c>
      <c r="I442" s="4"/>
      <c r="J442" s="12" t="str">
        <f t="array" ref="J442">IF(I442:I4483="","",_xlfn.XLOOKUP(I442:I4483,'参照_姫'!A:A,'参照_姫'!B:B,"見つかりません"))</f>
      </c>
      <c r="K442" s="4">
        <v>95</v>
      </c>
      <c r="L442" s="4">
        <v>500</v>
      </c>
      <c r="M442" s="4"/>
      <c r="N442" s="4"/>
      <c r="O442" s="4"/>
      <c r="P442" s="12" t="str">
        <f t="array" ref="P442">IF(O442:O4483="","",_xlfn.XLOOKUP(O442:O4483,'参照_官位'!A:A,'参照_官位'!B:B,""))</f>
      </c>
      <c r="Q442" s="12" t="str">
        <f t="array" ref="Q442">IF(A442:A4483="","",IFERROR(_xlfn.XLOOKUP(A442:A4483,castles_state!K:K,castles_state!D:D)&amp;"主",IFERROR(_xlfn.XLOOKUP(A442:A4483,kunishuClan!D:D,kunishuClan!B:B)&amp;"当主","")))</f>
      </c>
    </row>
    <row r="443" ht="15.75" customHeight="1">
      <c r="A443" s="4">
        <v>1006085</v>
      </c>
      <c r="B443" s="12" t="str">
        <f t="array" ref="B443">IF(A443:A4484="","",_xlfn.XLOOKUP(A443:A4484,'参照_武将'!A:A,'参照_武将'!B:B,"見つかりません"))</f>
      </c>
      <c r="C443" s="4" t="s">
        <v>98</v>
      </c>
      <c r="D443" s="4">
        <v>1</v>
      </c>
      <c r="E443" s="12" t="str">
        <f t="array" ref="E443">IF(D443:D4484="","",IFERROR(_xlfn.XLOOKUP(D443:D4484,'参照_勢力'!A:A,'参照_勢力'!B:B),IFERROR(_xlfn.XLOOKUP(F443:F4484,kunishuClan!A:A,kunishuClan!B:B),"浪人")))</f>
      </c>
      <c r="F443" s="4">
        <v>0</v>
      </c>
      <c r="G443" s="4">
        <v>11</v>
      </c>
      <c r="H443" s="12" t="str">
        <f t="array" ref="H443">IF(G443:G4484="","",_xlfn.XLOOKUP(G443:G4484,castles_state!A:A,castles_state!D:D,"見つかりません"))</f>
      </c>
      <c r="I443" s="4"/>
      <c r="J443" s="12" t="str">
        <f t="array" ref="J443">IF(I443:I4484="","",_xlfn.XLOOKUP(I443:I4484,'参照_姫'!A:A,'参照_姫'!B:B,"見つかりません"))</f>
      </c>
      <c r="K443" s="4">
        <v>95</v>
      </c>
      <c r="L443" s="4">
        <v>0</v>
      </c>
      <c r="M443" s="4"/>
      <c r="N443" s="4"/>
      <c r="O443" s="4"/>
      <c r="P443" s="12" t="str">
        <f t="array" ref="P443">IF(O443:O4484="","",_xlfn.XLOOKUP(O443:O4484,'参照_官位'!A:A,'参照_官位'!B:B,""))</f>
      </c>
      <c r="Q443" s="12" t="str">
        <f t="array" ref="Q443">IF(A443:A4484="","",IFERROR(_xlfn.XLOOKUP(A443:A4484,castles_state!K:K,castles_state!D:D)&amp;"主",IFERROR(_xlfn.XLOOKUP(A443:A4484,kunishuClan!D:D,kunishuClan!B:B)&amp;"当主","")))</f>
      </c>
    </row>
    <row r="444" ht="15.75" customHeight="1">
      <c r="A444" s="4">
        <v>1006086</v>
      </c>
      <c r="B444" s="12" t="str">
        <f t="array" ref="B444">IF(A444:A4485="","",_xlfn.XLOOKUP(A444:A4485,'参照_武将'!A:A,'参照_武将'!B:B,"見つかりません"))</f>
      </c>
      <c r="C444" s="4" t="s">
        <v>98</v>
      </c>
      <c r="D444" s="4">
        <v>1</v>
      </c>
      <c r="E444" s="12" t="str">
        <f t="array" ref="E444">IF(D444:D4485="","",IFERROR(_xlfn.XLOOKUP(D444:D4485,'参照_勢力'!A:A,'参照_勢力'!B:B),IFERROR(_xlfn.XLOOKUP(F444:F4485,kunishuClan!A:A,kunishuClan!B:B),"浪人")))</f>
      </c>
      <c r="F444" s="4">
        <v>0</v>
      </c>
      <c r="G444" s="4">
        <v>11</v>
      </c>
      <c r="H444" s="12" t="str">
        <f t="array" ref="H444">IF(G444:G4485="","",_xlfn.XLOOKUP(G444:G4485,castles_state!A:A,castles_state!D:D,"見つかりません"))</f>
      </c>
      <c r="I444" s="4"/>
      <c r="J444" s="12" t="str">
        <f t="array" ref="J444">IF(I444:I4485="","",_xlfn.XLOOKUP(I444:I4485,'参照_姫'!A:A,'参照_姫'!B:B,"見つかりません"))</f>
      </c>
      <c r="K444" s="4">
        <v>95</v>
      </c>
      <c r="L444" s="4">
        <v>0</v>
      </c>
      <c r="M444" s="4"/>
      <c r="N444" s="4"/>
      <c r="O444" s="4"/>
      <c r="P444" s="12" t="str">
        <f t="array" ref="P444">IF(O444:O4485="","",_xlfn.XLOOKUP(O444:O4485,'参照_官位'!A:A,'参照_官位'!B:B,""))</f>
      </c>
      <c r="Q444" s="12" t="str">
        <f t="array" ref="Q444">IF(A444:A4485="","",IFERROR(_xlfn.XLOOKUP(A444:A4485,castles_state!K:K,castles_state!D:D)&amp;"主",IFERROR(_xlfn.XLOOKUP(A444:A4485,kunishuClan!D:D,kunishuClan!B:B)&amp;"当主","")))</f>
      </c>
    </row>
    <row r="445" ht="15.75" customHeight="1">
      <c r="A445" s="4">
        <v>1006087</v>
      </c>
      <c r="B445" s="12" t="str">
        <f t="array" ref="B445">IF(A445:A4486="","",_xlfn.XLOOKUP(A445:A4486,'参照_武将'!A:A,'参照_武将'!B:B,"見つかりません"))</f>
      </c>
      <c r="C445" s="4" t="s">
        <v>98</v>
      </c>
      <c r="D445" s="4">
        <v>1</v>
      </c>
      <c r="E445" s="12" t="str">
        <f t="array" ref="E445">IF(D445:D4486="","",IFERROR(_xlfn.XLOOKUP(D445:D4486,'参照_勢力'!A:A,'参照_勢力'!B:B),IFERROR(_xlfn.XLOOKUP(F445:F4486,kunishuClan!A:A,kunishuClan!B:B),"浪人")))</f>
      </c>
      <c r="F445" s="4">
        <v>0</v>
      </c>
      <c r="G445" s="4">
        <v>3</v>
      </c>
      <c r="H445" s="12" t="str">
        <f t="array" ref="H445">IF(G445:G4486="","",_xlfn.XLOOKUP(G445:G4486,castles_state!A:A,castles_state!D:D,"見つかりません"))</f>
      </c>
      <c r="I445" s="4"/>
      <c r="J445" s="12" t="str">
        <f t="array" ref="J445">IF(I445:I4486="","",_xlfn.XLOOKUP(I445:I4486,'参照_姫'!A:A,'参照_姫'!B:B,"見つかりません"))</f>
      </c>
      <c r="K445" s="4">
        <v>95</v>
      </c>
      <c r="L445" s="4">
        <v>500</v>
      </c>
      <c r="M445" s="4"/>
      <c r="N445" s="4"/>
      <c r="O445" s="4"/>
      <c r="P445" s="12" t="str">
        <f t="array" ref="P445">IF(O445:O4486="","",_xlfn.XLOOKUP(O445:O4486,'参照_官位'!A:A,'参照_官位'!B:B,""))</f>
      </c>
      <c r="Q445" s="12" t="str">
        <f t="array" ref="Q445">IF(A445:A4486="","",IFERROR(_xlfn.XLOOKUP(A445:A4486,castles_state!K:K,castles_state!D:D)&amp;"主",IFERROR(_xlfn.XLOOKUP(A445:A4486,kunishuClan!D:D,kunishuClan!B:B)&amp;"当主","")))</f>
      </c>
    </row>
    <row r="446" ht="15.75" customHeight="1">
      <c r="A446" s="4">
        <v>1006088</v>
      </c>
      <c r="B446" s="12" t="str">
        <f t="array" ref="B446">IF(A446:A4487="","",_xlfn.XLOOKUP(A446:A4487,'参照_武将'!A:A,'参照_武将'!B:B,"見つかりません"))</f>
      </c>
      <c r="C446" s="4" t="s">
        <v>98</v>
      </c>
      <c r="D446" s="4">
        <v>1</v>
      </c>
      <c r="E446" s="12" t="str">
        <f t="array" ref="E446">IF(D446:D4487="","",IFERROR(_xlfn.XLOOKUP(D446:D4487,'参照_勢力'!A:A,'参照_勢力'!B:B),IFERROR(_xlfn.XLOOKUP(F446:F4487,kunishuClan!A:A,kunishuClan!B:B),"浪人")))</f>
      </c>
      <c r="F446" s="4">
        <v>0</v>
      </c>
      <c r="G446" s="4">
        <v>11</v>
      </c>
      <c r="H446" s="12" t="str">
        <f t="array" ref="H446">IF(G446:G4487="","",_xlfn.XLOOKUP(G446:G4487,castles_state!A:A,castles_state!D:D,"見つかりません"))</f>
      </c>
      <c r="I446" s="4"/>
      <c r="J446" s="12" t="str">
        <f t="array" ref="J446">IF(I446:I4487="","",_xlfn.XLOOKUP(I446:I4487,'参照_姫'!A:A,'参照_姫'!B:B,"見つかりません"))</f>
      </c>
      <c r="K446" s="4">
        <v>95</v>
      </c>
      <c r="L446" s="4">
        <v>0</v>
      </c>
      <c r="M446" s="4"/>
      <c r="N446" s="4"/>
      <c r="O446" s="4"/>
      <c r="P446" s="12" t="str">
        <f t="array" ref="P446">IF(O446:O4487="","",_xlfn.XLOOKUP(O446:O4487,'参照_官位'!A:A,'参照_官位'!B:B,""))</f>
      </c>
      <c r="Q446" s="12" t="str">
        <f t="array" ref="Q446">IF(A446:A4487="","",IFERROR(_xlfn.XLOOKUP(A446:A4487,castles_state!K:K,castles_state!D:D)&amp;"主",IFERROR(_xlfn.XLOOKUP(A446:A4487,kunishuClan!D:D,kunishuClan!B:B)&amp;"当主","")))</f>
      </c>
    </row>
    <row r="447" ht="15.75" customHeight="1">
      <c r="A447" s="4">
        <v>1006089</v>
      </c>
      <c r="B447" s="12" t="str">
        <f t="array" ref="B447">IF(A447:A4488="","",_xlfn.XLOOKUP(A447:A4488,'参照_武将'!A:A,'参照_武将'!B:B,"見つかりません"))</f>
      </c>
      <c r="C447" s="4" t="s">
        <v>98</v>
      </c>
      <c r="D447" s="4">
        <v>1</v>
      </c>
      <c r="E447" s="12" t="str">
        <f t="array" ref="E447">IF(D447:D4488="","",IFERROR(_xlfn.XLOOKUP(D447:D4488,'参照_勢力'!A:A,'参照_勢力'!B:B),IFERROR(_xlfn.XLOOKUP(F447:F4488,kunishuClan!A:A,kunishuClan!B:B),"浪人")))</f>
      </c>
      <c r="F447" s="4">
        <v>0</v>
      </c>
      <c r="G447" s="4">
        <v>11</v>
      </c>
      <c r="H447" s="12" t="str">
        <f t="array" ref="H447">IF(G447:G4488="","",_xlfn.XLOOKUP(G447:G4488,castles_state!A:A,castles_state!D:D,"見つかりません"))</f>
      </c>
      <c r="I447" s="4"/>
      <c r="J447" s="12" t="str">
        <f t="array" ref="J447">IF(I447:I4488="","",_xlfn.XLOOKUP(I447:I4488,'参照_姫'!A:A,'参照_姫'!B:B,"見つかりません"))</f>
      </c>
      <c r="K447" s="4">
        <v>95</v>
      </c>
      <c r="L447" s="4">
        <v>0</v>
      </c>
      <c r="M447" s="4"/>
      <c r="N447" s="4"/>
      <c r="O447" s="4"/>
      <c r="P447" s="12" t="str">
        <f t="array" ref="P447">IF(O447:O4488="","",_xlfn.XLOOKUP(O447:O4488,'参照_官位'!A:A,'参照_官位'!B:B,""))</f>
      </c>
      <c r="Q447" s="12" t="str">
        <f t="array" ref="Q447">IF(A447:A4488="","",IFERROR(_xlfn.XLOOKUP(A447:A4488,castles_state!K:K,castles_state!D:D)&amp;"主",IFERROR(_xlfn.XLOOKUP(A447:A4488,kunishuClan!D:D,kunishuClan!B:B)&amp;"当主","")))</f>
      </c>
    </row>
    <row r="448" ht="15.75" customHeight="1">
      <c r="A448" s="4">
        <v>1006090</v>
      </c>
      <c r="B448" s="12" t="str">
        <f t="array" ref="B448">IF(A448:A4489="","",_xlfn.XLOOKUP(A448:A4489,'参照_武将'!A:A,'参照_武将'!B:B,"見つかりません"))</f>
      </c>
      <c r="C448" s="4" t="s">
        <v>98</v>
      </c>
      <c r="D448" s="4">
        <v>1</v>
      </c>
      <c r="E448" s="12" t="str">
        <f t="array" ref="E448">IF(D448:D4489="","",IFERROR(_xlfn.XLOOKUP(D448:D4489,'参照_勢力'!A:A,'参照_勢力'!B:B),IFERROR(_xlfn.XLOOKUP(F448:F4489,kunishuClan!A:A,kunishuClan!B:B),"浪人")))</f>
      </c>
      <c r="F448" s="4">
        <v>0</v>
      </c>
      <c r="G448" s="4">
        <v>11</v>
      </c>
      <c r="H448" s="12" t="str">
        <f t="array" ref="H448">IF(G448:G4489="","",_xlfn.XLOOKUP(G448:G4489,castles_state!A:A,castles_state!D:D,"見つかりません"))</f>
      </c>
      <c r="I448" s="4"/>
      <c r="J448" s="12" t="str">
        <f t="array" ref="J448">IF(I448:I4489="","",_xlfn.XLOOKUP(I448:I4489,'参照_姫'!A:A,'参照_姫'!B:B,"見つかりません"))</f>
      </c>
      <c r="K448" s="4">
        <v>95</v>
      </c>
      <c r="L448" s="4">
        <v>0</v>
      </c>
      <c r="M448" s="4"/>
      <c r="N448" s="4"/>
      <c r="O448" s="4"/>
      <c r="P448" s="12" t="str">
        <f t="array" ref="P448">IF(O448:O4489="","",_xlfn.XLOOKUP(O448:O4489,'参照_官位'!A:A,'参照_官位'!B:B,""))</f>
      </c>
      <c r="Q448" s="12" t="str">
        <f t="array" ref="Q448">IF(A448:A4489="","",IFERROR(_xlfn.XLOOKUP(A448:A4489,castles_state!K:K,castles_state!D:D)&amp;"主",IFERROR(_xlfn.XLOOKUP(A448:A4489,kunishuClan!D:D,kunishuClan!B:B)&amp;"当主","")))</f>
      </c>
    </row>
    <row r="449" ht="15.75" customHeight="1">
      <c r="A449" s="4">
        <v>1006091</v>
      </c>
      <c r="B449" s="12" t="str">
        <f t="array" ref="B449">IF(A449:A4490="","",_xlfn.XLOOKUP(A449:A4490,'参照_武将'!A:A,'参照_武将'!B:B,"見つかりません"))</f>
      </c>
      <c r="C449" s="4" t="s">
        <v>98</v>
      </c>
      <c r="D449" s="4">
        <v>1</v>
      </c>
      <c r="E449" s="12" t="str">
        <f t="array" ref="E449">IF(D449:D4490="","",IFERROR(_xlfn.XLOOKUP(D449:D4490,'参照_勢力'!A:A,'参照_勢力'!B:B),IFERROR(_xlfn.XLOOKUP(F449:F4490,kunishuClan!A:A,kunishuClan!B:B),"浪人")))</f>
      </c>
      <c r="F449" s="4">
        <v>0</v>
      </c>
      <c r="G449" s="4">
        <v>11</v>
      </c>
      <c r="H449" s="12" t="str">
        <f t="array" ref="H449">IF(G449:G4490="","",_xlfn.XLOOKUP(G449:G4490,castles_state!A:A,castles_state!D:D,"見つかりません"))</f>
      </c>
      <c r="I449" s="4"/>
      <c r="J449" s="12" t="str">
        <f t="array" ref="J449">IF(I449:I4490="","",_xlfn.XLOOKUP(I449:I4490,'参照_姫'!A:A,'参照_姫'!B:B,"見つかりません"))</f>
      </c>
      <c r="K449" s="4">
        <v>95</v>
      </c>
      <c r="L449" s="4">
        <v>0</v>
      </c>
      <c r="M449" s="4"/>
      <c r="N449" s="4"/>
      <c r="O449" s="4"/>
      <c r="P449" s="12" t="str">
        <f t="array" ref="P449">IF(O449:O4490="","",_xlfn.XLOOKUP(O449:O4490,'参照_官位'!A:A,'参照_官位'!B:B,""))</f>
      </c>
      <c r="Q449" s="12" t="str">
        <f t="array" ref="Q449">IF(A449:A4490="","",IFERROR(_xlfn.XLOOKUP(A449:A4490,castles_state!K:K,castles_state!D:D)&amp;"主",IFERROR(_xlfn.XLOOKUP(A449:A4490,kunishuClan!D:D,kunishuClan!B:B)&amp;"当主","")))</f>
      </c>
    </row>
    <row r="450" ht="15.75" customHeight="1">
      <c r="A450" s="4">
        <v>1006092</v>
      </c>
      <c r="B450" s="12" t="str">
        <f t="array" ref="B450">IF(A450:A4491="","",_xlfn.XLOOKUP(A450:A4491,'参照_武将'!A:A,'参照_武将'!B:B,"見つかりません"))</f>
      </c>
      <c r="C450" s="4" t="s">
        <v>98</v>
      </c>
      <c r="D450" s="4">
        <v>1</v>
      </c>
      <c r="E450" s="12" t="str">
        <f t="array" ref="E450">IF(D450:D4491="","",IFERROR(_xlfn.XLOOKUP(D450:D4491,'参照_勢力'!A:A,'参照_勢力'!B:B),IFERROR(_xlfn.XLOOKUP(F450:F4491,kunishuClan!A:A,kunishuClan!B:B),"浪人")))</f>
      </c>
      <c r="F450" s="4">
        <v>0</v>
      </c>
      <c r="G450" s="4">
        <v>11</v>
      </c>
      <c r="H450" s="12" t="str">
        <f t="array" ref="H450">IF(G450:G4491="","",_xlfn.XLOOKUP(G450:G4491,castles_state!A:A,castles_state!D:D,"見つかりません"))</f>
      </c>
      <c r="I450" s="4"/>
      <c r="J450" s="12" t="str">
        <f t="array" ref="J450">IF(I450:I4491="","",_xlfn.XLOOKUP(I450:I4491,'参照_姫'!A:A,'参照_姫'!B:B,"見つかりません"))</f>
      </c>
      <c r="K450" s="4">
        <v>95</v>
      </c>
      <c r="L450" s="4">
        <v>0</v>
      </c>
      <c r="M450" s="4"/>
      <c r="N450" s="4"/>
      <c r="O450" s="4"/>
      <c r="P450" s="12" t="str">
        <f t="array" ref="P450">IF(O450:O4491="","",_xlfn.XLOOKUP(O450:O4491,'参照_官位'!A:A,'参照_官位'!B:B,""))</f>
      </c>
      <c r="Q450" s="12" t="str">
        <f t="array" ref="Q450">IF(A450:A4491="","",IFERROR(_xlfn.XLOOKUP(A450:A4491,castles_state!K:K,castles_state!D:D)&amp;"主",IFERROR(_xlfn.XLOOKUP(A450:A4491,kunishuClan!D:D,kunishuClan!B:B)&amp;"当主","")))</f>
      </c>
    </row>
    <row r="451" ht="15.75" customHeight="1">
      <c r="A451" s="4">
        <v>1006093</v>
      </c>
      <c r="B451" s="12" t="str">
        <f t="array" ref="B451">IF(A451:A4492="","",_xlfn.XLOOKUP(A451:A4492,'参照_武将'!A:A,'参照_武将'!B:B,"見つかりません"))</f>
      </c>
      <c r="C451" s="4" t="s">
        <v>98</v>
      </c>
      <c r="D451" s="4">
        <v>1</v>
      </c>
      <c r="E451" s="12" t="str">
        <f t="array" ref="E451">IF(D451:D4492="","",IFERROR(_xlfn.XLOOKUP(D451:D4492,'参照_勢力'!A:A,'参照_勢力'!B:B),IFERROR(_xlfn.XLOOKUP(F451:F4492,kunishuClan!A:A,kunishuClan!B:B),"浪人")))</f>
      </c>
      <c r="F451" s="4">
        <v>0</v>
      </c>
      <c r="G451" s="4">
        <v>11</v>
      </c>
      <c r="H451" s="12" t="str">
        <f t="array" ref="H451">IF(G451:G4492="","",_xlfn.XLOOKUP(G451:G4492,castles_state!A:A,castles_state!D:D,"見つかりません"))</f>
      </c>
      <c r="I451" s="4"/>
      <c r="J451" s="12" t="str">
        <f t="array" ref="J451">IF(I451:I4492="","",_xlfn.XLOOKUP(I451:I4492,'参照_姫'!A:A,'参照_姫'!B:B,"見つかりません"))</f>
      </c>
      <c r="K451" s="4">
        <v>95</v>
      </c>
      <c r="L451" s="4">
        <v>0</v>
      </c>
      <c r="M451" s="4"/>
      <c r="N451" s="4"/>
      <c r="O451" s="4"/>
      <c r="P451" s="12" t="str">
        <f t="array" ref="P451">IF(O451:O4492="","",_xlfn.XLOOKUP(O451:O4492,'参照_官位'!A:A,'参照_官位'!B:B,""))</f>
      </c>
      <c r="Q451" s="12" t="str">
        <f t="array" ref="Q451">IF(A451:A4492="","",IFERROR(_xlfn.XLOOKUP(A451:A4492,castles_state!K:K,castles_state!D:D)&amp;"主",IFERROR(_xlfn.XLOOKUP(A451:A4492,kunishuClan!D:D,kunishuClan!B:B)&amp;"当主","")))</f>
      </c>
    </row>
    <row r="452" ht="15.75" customHeight="1">
      <c r="A452" s="4">
        <v>1006094</v>
      </c>
      <c r="B452" s="12" t="str">
        <f t="array" ref="B452">IF(A452:A4493="","",_xlfn.XLOOKUP(A452:A4493,'参照_武将'!A:A,'参照_武将'!B:B,"見つかりません"))</f>
      </c>
      <c r="C452" s="4" t="s">
        <v>98</v>
      </c>
      <c r="D452" s="4">
        <v>1</v>
      </c>
      <c r="E452" s="12" t="str">
        <f t="array" ref="E452">IF(D452:D4493="","",IFERROR(_xlfn.XLOOKUP(D452:D4493,'参照_勢力'!A:A,'参照_勢力'!B:B),IFERROR(_xlfn.XLOOKUP(F452:F4493,kunishuClan!A:A,kunishuClan!B:B),"浪人")))</f>
      </c>
      <c r="F452" s="4">
        <v>0</v>
      </c>
      <c r="G452" s="4">
        <v>11</v>
      </c>
      <c r="H452" s="12" t="str">
        <f t="array" ref="H452">IF(G452:G4493="","",_xlfn.XLOOKUP(G452:G4493,castles_state!A:A,castles_state!D:D,"見つかりません"))</f>
      </c>
      <c r="I452" s="4"/>
      <c r="J452" s="12" t="str">
        <f t="array" ref="J452">IF(I452:I4493="","",_xlfn.XLOOKUP(I452:I4493,'参照_姫'!A:A,'参照_姫'!B:B,"見つかりません"))</f>
      </c>
      <c r="K452" s="4">
        <v>95</v>
      </c>
      <c r="L452" s="4">
        <v>0</v>
      </c>
      <c r="M452" s="4"/>
      <c r="N452" s="4"/>
      <c r="O452" s="4"/>
      <c r="P452" s="12" t="str">
        <f t="array" ref="P452">IF(O452:O4493="","",_xlfn.XLOOKUP(O452:O4493,'参照_官位'!A:A,'参照_官位'!B:B,""))</f>
      </c>
      <c r="Q452" s="12" t="str">
        <f t="array" ref="Q452">IF(A452:A4493="","",IFERROR(_xlfn.XLOOKUP(A452:A4493,castles_state!K:K,castles_state!D:D)&amp;"主",IFERROR(_xlfn.XLOOKUP(A452:A4493,kunishuClan!D:D,kunishuClan!B:B)&amp;"当主","")))</f>
      </c>
    </row>
    <row r="453" ht="15.75" customHeight="1">
      <c r="A453" s="4">
        <v>1006095</v>
      </c>
      <c r="B453" s="12" t="str">
        <f t="array" ref="B453">IF(A453:A4494="","",_xlfn.XLOOKUP(A453:A4494,'参照_武将'!A:A,'参照_武将'!B:B,"見つかりません"))</f>
      </c>
      <c r="C453" s="4" t="s">
        <v>98</v>
      </c>
      <c r="D453" s="4">
        <v>1</v>
      </c>
      <c r="E453" s="12" t="str">
        <f t="array" ref="E453">IF(D453:D4494="","",IFERROR(_xlfn.XLOOKUP(D453:D4494,'参照_勢力'!A:A,'参照_勢力'!B:B),IFERROR(_xlfn.XLOOKUP(F453:F4494,kunishuClan!A:A,kunishuClan!B:B),"浪人")))</f>
      </c>
      <c r="F453" s="4">
        <v>0</v>
      </c>
      <c r="G453" s="4">
        <v>11</v>
      </c>
      <c r="H453" s="12" t="str">
        <f t="array" ref="H453">IF(G453:G4494="","",_xlfn.XLOOKUP(G453:G4494,castles_state!A:A,castles_state!D:D,"見つかりません"))</f>
      </c>
      <c r="I453" s="4"/>
      <c r="J453" s="12" t="str">
        <f t="array" ref="J453">IF(I453:I4494="","",_xlfn.XLOOKUP(I453:I4494,'参照_姫'!A:A,'参照_姫'!B:B,"見つかりません"))</f>
      </c>
      <c r="K453" s="4">
        <v>95</v>
      </c>
      <c r="L453" s="4">
        <v>0</v>
      </c>
      <c r="M453" s="4"/>
      <c r="N453" s="4"/>
      <c r="O453" s="4"/>
      <c r="P453" s="12" t="str">
        <f t="array" ref="P453">IF(O453:O4494="","",_xlfn.XLOOKUP(O453:O4494,'参照_官位'!A:A,'参照_官位'!B:B,""))</f>
      </c>
      <c r="Q453" s="12" t="str">
        <f t="array" ref="Q453">IF(A453:A4494="","",IFERROR(_xlfn.XLOOKUP(A453:A4494,castles_state!K:K,castles_state!D:D)&amp;"主",IFERROR(_xlfn.XLOOKUP(A453:A4494,kunishuClan!D:D,kunishuClan!B:B)&amp;"当主","")))</f>
      </c>
    </row>
    <row r="454" ht="15.75" customHeight="1">
      <c r="A454" s="4">
        <v>1006096</v>
      </c>
      <c r="B454" s="12" t="str">
        <f t="array" ref="B454">IF(A454:A4495="","",_xlfn.XLOOKUP(A454:A4495,'参照_武将'!A:A,'参照_武将'!B:B,"見つかりません"))</f>
      </c>
      <c r="C454" s="4" t="s">
        <v>98</v>
      </c>
      <c r="D454" s="4">
        <v>1</v>
      </c>
      <c r="E454" s="12" t="str">
        <f t="array" ref="E454">IF(D454:D4495="","",IFERROR(_xlfn.XLOOKUP(D454:D4495,'参照_勢力'!A:A,'参照_勢力'!B:B),IFERROR(_xlfn.XLOOKUP(F454:F4495,kunishuClan!A:A,kunishuClan!B:B),"浪人")))</f>
      </c>
      <c r="F454" s="4">
        <v>0</v>
      </c>
      <c r="G454" s="4">
        <v>11</v>
      </c>
      <c r="H454" s="12" t="str">
        <f t="array" ref="H454">IF(G454:G4495="","",_xlfn.XLOOKUP(G454:G4495,castles_state!A:A,castles_state!D:D,"見つかりません"))</f>
      </c>
      <c r="I454" s="4"/>
      <c r="J454" s="12" t="str">
        <f t="array" ref="J454">IF(I454:I4495="","",_xlfn.XLOOKUP(I454:I4495,'参照_姫'!A:A,'参照_姫'!B:B,"見つかりません"))</f>
      </c>
      <c r="K454" s="4">
        <v>95</v>
      </c>
      <c r="L454" s="4">
        <v>0</v>
      </c>
      <c r="M454" s="4"/>
      <c r="N454" s="4"/>
      <c r="O454" s="4"/>
      <c r="P454" s="12" t="str">
        <f t="array" ref="P454">IF(O454:O4495="","",_xlfn.XLOOKUP(O454:O4495,'参照_官位'!A:A,'参照_官位'!B:B,""))</f>
      </c>
      <c r="Q454" s="12" t="str">
        <f t="array" ref="Q454">IF(A454:A4495="","",IFERROR(_xlfn.XLOOKUP(A454:A4495,castles_state!K:K,castles_state!D:D)&amp;"主",IFERROR(_xlfn.XLOOKUP(A454:A4495,kunishuClan!D:D,kunishuClan!B:B)&amp;"当主","")))</f>
      </c>
    </row>
    <row r="455" ht="15.75" customHeight="1">
      <c r="A455" s="4">
        <v>1006097</v>
      </c>
      <c r="B455" s="12" t="str">
        <f t="array" ref="B455">IF(A455:A4496="","",_xlfn.XLOOKUP(A455:A4496,'参照_武将'!A:A,'参照_武将'!B:B,"見つかりません"))</f>
      </c>
      <c r="C455" s="4" t="s">
        <v>98</v>
      </c>
      <c r="D455" s="4">
        <v>15</v>
      </c>
      <c r="E455" s="12" t="str">
        <f t="array" ref="E455">IF(D455:D4496="","",IFERROR(_xlfn.XLOOKUP(D455:D4496,'参照_勢力'!A:A,'参照_勢力'!B:B),IFERROR(_xlfn.XLOOKUP(F455:F4496,kunishuClan!A:A,kunishuClan!B:B),"浪人")))</f>
      </c>
      <c r="F455" s="4">
        <v>0</v>
      </c>
      <c r="G455" s="4">
        <v>186</v>
      </c>
      <c r="H455" s="12" t="str">
        <f t="array" ref="H455">IF(G455:G4496="","",_xlfn.XLOOKUP(G455:G4496,castles_state!A:A,castles_state!D:D,"見つかりません"))</f>
      </c>
      <c r="I455" s="4"/>
      <c r="J455" s="12" t="str">
        <f t="array" ref="J455">IF(I455:I4496="","",_xlfn.XLOOKUP(I455:I4496,'参照_姫'!A:A,'参照_姫'!B:B,"見つかりません"))</f>
      </c>
      <c r="K455" s="4">
        <v>90</v>
      </c>
      <c r="L455" s="4">
        <v>0</v>
      </c>
      <c r="M455" s="4"/>
      <c r="N455" s="4"/>
      <c r="O455" s="4"/>
      <c r="P455" s="12" t="str">
        <f t="array" ref="P455">IF(O455:O4496="","",_xlfn.XLOOKUP(O455:O4496,'参照_官位'!A:A,'参照_官位'!B:B,""))</f>
      </c>
      <c r="Q455" s="12" t="str">
        <f t="array" ref="Q455">IF(A455:A4496="","",IFERROR(_xlfn.XLOOKUP(A455:A4496,castles_state!K:K,castles_state!D:D)&amp;"主",IFERROR(_xlfn.XLOOKUP(A455:A4496,kunishuClan!D:D,kunishuClan!B:B)&amp;"当主","")))</f>
      </c>
    </row>
    <row r="456" ht="15.75" customHeight="1">
      <c r="A456" s="4">
        <v>1006098</v>
      </c>
      <c r="B456" s="12" t="str">
        <f t="array" ref="B456">IF(A456:A4497="","",_xlfn.XLOOKUP(A456:A4497,'参照_武将'!A:A,'参照_武将'!B:B,"見つかりません"))</f>
      </c>
      <c r="C456" s="4" t="s">
        <v>98</v>
      </c>
      <c r="D456" s="4">
        <v>15</v>
      </c>
      <c r="E456" s="12" t="str">
        <f t="array" ref="E456">IF(D456:D4497="","",IFERROR(_xlfn.XLOOKUP(D456:D4497,'参照_勢力'!A:A,'参照_勢力'!B:B),IFERROR(_xlfn.XLOOKUP(F456:F4497,kunishuClan!A:A,kunishuClan!B:B),"浪人")))</f>
      </c>
      <c r="F456" s="4">
        <v>0</v>
      </c>
      <c r="G456" s="4">
        <v>186</v>
      </c>
      <c r="H456" s="12" t="str">
        <f t="array" ref="H456">IF(G456:G4497="","",_xlfn.XLOOKUP(G456:G4497,castles_state!A:A,castles_state!D:D,"見つかりません"))</f>
      </c>
      <c r="I456" s="4"/>
      <c r="J456" s="12" t="str">
        <f t="array" ref="J456">IF(I456:I4497="","",_xlfn.XLOOKUP(I456:I4497,'参照_姫'!A:A,'参照_姫'!B:B,"見つかりません"))</f>
      </c>
      <c r="K456" s="4">
        <v>90</v>
      </c>
      <c r="L456" s="4">
        <v>0</v>
      </c>
      <c r="M456" s="4"/>
      <c r="N456" s="4"/>
      <c r="O456" s="4"/>
      <c r="P456" s="12" t="str">
        <f t="array" ref="P456">IF(O456:O4497="","",_xlfn.XLOOKUP(O456:O4497,'参照_官位'!A:A,'参照_官位'!B:B,""))</f>
      </c>
      <c r="Q456" s="12" t="str">
        <f t="array" ref="Q456">IF(A456:A4497="","",IFERROR(_xlfn.XLOOKUP(A456:A4497,castles_state!K:K,castles_state!D:D)&amp;"主",IFERROR(_xlfn.XLOOKUP(A456:A4497,kunishuClan!D:D,kunishuClan!B:B)&amp;"当主","")))</f>
      </c>
    </row>
    <row r="457" ht="15.75" customHeight="1">
      <c r="A457" s="4">
        <v>1006099</v>
      </c>
      <c r="B457" s="12" t="str">
        <f t="array" ref="B457">IF(A457:A4498="","",_xlfn.XLOOKUP(A457:A4498,'参照_武将'!A:A,'参照_武将'!B:B,"見つかりません"))</f>
      </c>
      <c r="C457" s="4" t="s">
        <v>98</v>
      </c>
      <c r="D457" s="4">
        <v>15</v>
      </c>
      <c r="E457" s="12" t="str">
        <f t="array" ref="E457">IF(D457:D4498="","",IFERROR(_xlfn.XLOOKUP(D457:D4498,'参照_勢力'!A:A,'参照_勢力'!B:B),IFERROR(_xlfn.XLOOKUP(F457:F4498,kunishuClan!A:A,kunishuClan!B:B),"浪人")))</f>
      </c>
      <c r="F457" s="4">
        <v>0</v>
      </c>
      <c r="G457" s="4">
        <v>186</v>
      </c>
      <c r="H457" s="12" t="str">
        <f t="array" ref="H457">IF(G457:G4498="","",_xlfn.XLOOKUP(G457:G4498,castles_state!A:A,castles_state!D:D,"見つかりません"))</f>
      </c>
      <c r="I457" s="4"/>
      <c r="J457" s="12" t="str">
        <f t="array" ref="J457">IF(I457:I4498="","",_xlfn.XLOOKUP(I457:I4498,'参照_姫'!A:A,'参照_姫'!B:B,"見つかりません"))</f>
      </c>
      <c r="K457" s="4">
        <v>90</v>
      </c>
      <c r="L457" s="4">
        <v>0</v>
      </c>
      <c r="M457" s="4"/>
      <c r="N457" s="4"/>
      <c r="O457" s="4"/>
      <c r="P457" s="12" t="str">
        <f t="array" ref="P457">IF(O457:O4498="","",_xlfn.XLOOKUP(O457:O4498,'参照_官位'!A:A,'参照_官位'!B:B,""))</f>
      </c>
      <c r="Q457" s="12" t="str">
        <f t="array" ref="Q457">IF(A457:A4498="","",IFERROR(_xlfn.XLOOKUP(A457:A4498,castles_state!K:K,castles_state!D:D)&amp;"主",IFERROR(_xlfn.XLOOKUP(A457:A4498,kunishuClan!D:D,kunishuClan!B:B)&amp;"当主","")))</f>
      </c>
    </row>
    <row r="458" ht="15.75" customHeight="1">
      <c r="A458" s="4">
        <v>1006100</v>
      </c>
      <c r="B458" s="12" t="str">
        <f t="array" ref="B458">IF(A458:A4499="","",_xlfn.XLOOKUP(A458:A4499,'参照_武将'!A:A,'参照_武将'!B:B,"見つかりません"))</f>
      </c>
      <c r="C458" s="4" t="s">
        <v>98</v>
      </c>
      <c r="D458" s="4">
        <v>15</v>
      </c>
      <c r="E458" s="12" t="str">
        <f t="array" ref="E458">IF(D458:D4499="","",IFERROR(_xlfn.XLOOKUP(D458:D4499,'参照_勢力'!A:A,'参照_勢力'!B:B),IFERROR(_xlfn.XLOOKUP(F458:F4499,kunishuClan!A:A,kunishuClan!B:B),"浪人")))</f>
      </c>
      <c r="F458" s="4">
        <v>0</v>
      </c>
      <c r="G458" s="4">
        <v>186</v>
      </c>
      <c r="H458" s="12" t="str">
        <f t="array" ref="H458">IF(G458:G4499="","",_xlfn.XLOOKUP(G458:G4499,castles_state!A:A,castles_state!D:D,"見つかりません"))</f>
      </c>
      <c r="I458" s="4"/>
      <c r="J458" s="12" t="str">
        <f t="array" ref="J458">IF(I458:I4499="","",_xlfn.XLOOKUP(I458:I4499,'参照_姫'!A:A,'参照_姫'!B:B,"見つかりません"))</f>
      </c>
      <c r="K458" s="4">
        <v>90</v>
      </c>
      <c r="L458" s="4">
        <v>0</v>
      </c>
      <c r="M458" s="4"/>
      <c r="N458" s="4"/>
      <c r="O458" s="4"/>
      <c r="P458" s="12" t="str">
        <f t="array" ref="P458">IF(O458:O4499="","",_xlfn.XLOOKUP(O458:O4499,'参照_官位'!A:A,'参照_官位'!B:B,""))</f>
      </c>
      <c r="Q458" s="12" t="str">
        <f t="array" ref="Q458">IF(A458:A4499="","",IFERROR(_xlfn.XLOOKUP(A458:A4499,castles_state!K:K,castles_state!D:D)&amp;"主",IFERROR(_xlfn.XLOOKUP(A458:A4499,kunishuClan!D:D,kunishuClan!B:B)&amp;"当主","")))</f>
      </c>
    </row>
    <row r="459" ht="15.75" customHeight="1">
      <c r="A459" s="4">
        <v>1006101</v>
      </c>
      <c r="B459" s="12" t="str">
        <f t="array" ref="B459">IF(A459:A4500="","",_xlfn.XLOOKUP(A459:A4500,'参照_武将'!A:A,'参照_武将'!B:B,"見つかりません"))</f>
      </c>
      <c r="C459" s="4" t="s">
        <v>98</v>
      </c>
      <c r="D459" s="4">
        <v>1</v>
      </c>
      <c r="E459" s="12" t="str">
        <f t="array" ref="E459">IF(D459:D4500="","",IFERROR(_xlfn.XLOOKUP(D459:D4500,'参照_勢力'!A:A,'参照_勢力'!B:B),IFERROR(_xlfn.XLOOKUP(F459:F4500,kunishuClan!A:A,kunishuClan!B:B),"浪人")))</f>
      </c>
      <c r="F459" s="4">
        <v>0</v>
      </c>
      <c r="G459" s="4">
        <v>3</v>
      </c>
      <c r="H459" s="12" t="str">
        <f t="array" ref="H459">IF(G459:G4500="","",_xlfn.XLOOKUP(G459:G4500,castles_state!A:A,castles_state!D:D,"見つかりません"))</f>
      </c>
      <c r="I459" s="4"/>
      <c r="J459" s="12" t="str">
        <f t="array" ref="J459">IF(I459:I4500="","",_xlfn.XLOOKUP(I459:I4500,'参照_姫'!A:A,'参照_姫'!B:B,"見つかりません"))</f>
      </c>
      <c r="K459" s="4">
        <v>95</v>
      </c>
      <c r="L459" s="4">
        <v>0</v>
      </c>
      <c r="M459" s="4"/>
      <c r="N459" s="4"/>
      <c r="O459" s="4"/>
      <c r="P459" s="12" t="str">
        <f t="array" ref="P459">IF(O459:O4500="","",_xlfn.XLOOKUP(O459:O4500,'参照_官位'!A:A,'参照_官位'!B:B,""))</f>
      </c>
      <c r="Q459" s="12" t="str">
        <f t="array" ref="Q459">IF(A459:A4500="","",IFERROR(_xlfn.XLOOKUP(A459:A4500,castles_state!K:K,castles_state!D:D)&amp;"主",IFERROR(_xlfn.XLOOKUP(A459:A4500,kunishuClan!D:D,kunishuClan!B:B)&amp;"当主","")))</f>
      </c>
    </row>
    <row r="460" ht="15.75" customHeight="1">
      <c r="A460" s="4">
        <v>1006102</v>
      </c>
      <c r="B460" s="12" t="str">
        <f t="array" ref="B460">IF(A460:A4501="","",_xlfn.XLOOKUP(A460:A4501,'参照_武将'!A:A,'参照_武将'!B:B,"見つかりません"))</f>
      </c>
      <c r="C460" s="4" t="s">
        <v>98</v>
      </c>
      <c r="D460" s="4">
        <v>1</v>
      </c>
      <c r="E460" s="12" t="str">
        <f t="array" ref="E460">IF(D460:D4501="","",IFERROR(_xlfn.XLOOKUP(D460:D4501,'参照_勢力'!A:A,'参照_勢力'!B:B),IFERROR(_xlfn.XLOOKUP(F460:F4501,kunishuClan!A:A,kunishuClan!B:B),"浪人")))</f>
      </c>
      <c r="F460" s="4">
        <v>0</v>
      </c>
      <c r="G460" s="4">
        <v>3</v>
      </c>
      <c r="H460" s="12" t="str">
        <f t="array" ref="H460">IF(G460:G4501="","",_xlfn.XLOOKUP(G460:G4501,castles_state!A:A,castles_state!D:D,"見つかりません"))</f>
      </c>
      <c r="I460" s="4"/>
      <c r="J460" s="12" t="str">
        <f t="array" ref="J460">IF(I460:I4501="","",_xlfn.XLOOKUP(I460:I4501,'参照_姫'!A:A,'参照_姫'!B:B,"見つかりません"))</f>
      </c>
      <c r="K460" s="4">
        <v>95</v>
      </c>
      <c r="L460" s="4">
        <v>0</v>
      </c>
      <c r="M460" s="4"/>
      <c r="N460" s="4"/>
      <c r="O460" s="4"/>
      <c r="P460" s="12" t="str">
        <f t="array" ref="P460">IF(O460:O4501="","",_xlfn.XLOOKUP(O460:O4501,'参照_官位'!A:A,'参照_官位'!B:B,""))</f>
      </c>
      <c r="Q460" s="12" t="str">
        <f t="array" ref="Q460">IF(A460:A4501="","",IFERROR(_xlfn.XLOOKUP(A460:A4501,castles_state!K:K,castles_state!D:D)&amp;"主",IFERROR(_xlfn.XLOOKUP(A460:A4501,kunishuClan!D:D,kunishuClan!B:B)&amp;"当主","")))</f>
      </c>
    </row>
    <row r="461" ht="15.75" customHeight="1">
      <c r="A461" s="4">
        <v>1006103</v>
      </c>
      <c r="B461" s="12" t="str">
        <f t="array" ref="B461">IF(A461:A4502="","",_xlfn.XLOOKUP(A461:A4502,'参照_武将'!A:A,'参照_武将'!B:B,"見つかりません"))</f>
      </c>
      <c r="C461" s="4" t="s">
        <v>98</v>
      </c>
      <c r="D461" s="4">
        <v>0</v>
      </c>
      <c r="E461" s="12" t="str">
        <f t="array" ref="E461">IF(D461:D4502="","",IFERROR(_xlfn.XLOOKUP(D461:D4502,'参照_勢力'!A:A,'参照_勢力'!B:B),IFERROR(_xlfn.XLOOKUP(F461:F4502,kunishuClan!A:A,kunishuClan!B:B),"浪人")))</f>
      </c>
      <c r="F461" s="4">
        <v>0</v>
      </c>
      <c r="G461" s="4">
        <v>3</v>
      </c>
      <c r="H461" s="12" t="str">
        <f t="array" ref="H461">IF(G461:G4502="","",_xlfn.XLOOKUP(G461:G4502,castles_state!A:A,castles_state!D:D,"見つかりません"))</f>
      </c>
      <c r="I461" s="4"/>
      <c r="J461" s="12" t="str">
        <f t="array" ref="J461">IF(I461:I4502="","",_xlfn.XLOOKUP(I461:I4502,'参照_姫'!A:A,'参照_姫'!B:B,"見つかりません"))</f>
      </c>
      <c r="K461" s="4">
        <v>50</v>
      </c>
      <c r="L461" s="4">
        <v>0</v>
      </c>
      <c r="M461" s="4"/>
      <c r="N461" s="4"/>
      <c r="O461" s="4"/>
      <c r="P461" s="12" t="str">
        <f t="array" ref="P461">IF(O461:O4502="","",_xlfn.XLOOKUP(O461:O4502,'参照_官位'!A:A,'参照_官位'!B:B,""))</f>
      </c>
      <c r="Q461" s="12" t="str">
        <f t="array" ref="Q461">IF(A461:A4502="","",IFERROR(_xlfn.XLOOKUP(A461:A4502,castles_state!K:K,castles_state!D:D)&amp;"主",IFERROR(_xlfn.XLOOKUP(A461:A4502,kunishuClan!D:D,kunishuClan!B:B)&amp;"当主","")))</f>
      </c>
    </row>
    <row r="462" ht="15.75" customHeight="1">
      <c r="A462" s="4">
        <v>1006104</v>
      </c>
      <c r="B462" s="12" t="str">
        <f t="array" ref="B462">IF(A462:A4503="","",_xlfn.XLOOKUP(A462:A4503,'参照_武将'!A:A,'参照_武将'!B:B,"見つかりません"))</f>
      </c>
      <c r="C462" s="4" t="s">
        <v>98</v>
      </c>
      <c r="D462" s="4">
        <v>1</v>
      </c>
      <c r="E462" s="12" t="str">
        <f t="array" ref="E462">IF(D462:D4503="","",IFERROR(_xlfn.XLOOKUP(D462:D4503,'参照_勢力'!A:A,'参照_勢力'!B:B),IFERROR(_xlfn.XLOOKUP(F462:F4503,kunishuClan!A:A,kunishuClan!B:B),"浪人")))</f>
      </c>
      <c r="F462" s="4">
        <v>0</v>
      </c>
      <c r="G462" s="4">
        <v>3</v>
      </c>
      <c r="H462" s="12" t="str">
        <f t="array" ref="H462">IF(G462:G4503="","",_xlfn.XLOOKUP(G462:G4503,castles_state!A:A,castles_state!D:D,"見つかりません"))</f>
      </c>
      <c r="I462" s="4"/>
      <c r="J462" s="12" t="str">
        <f t="array" ref="J462">IF(I462:I4503="","",_xlfn.XLOOKUP(I462:I4503,'参照_姫'!A:A,'参照_姫'!B:B,"見つかりません"))</f>
      </c>
      <c r="K462" s="4">
        <v>90</v>
      </c>
      <c r="L462" s="4">
        <v>0</v>
      </c>
      <c r="M462" s="4"/>
      <c r="N462" s="4"/>
      <c r="O462" s="4"/>
      <c r="P462" s="12" t="str">
        <f t="array" ref="P462">IF(O462:O4503="","",_xlfn.XLOOKUP(O462:O4503,'参照_官位'!A:A,'参照_官位'!B:B,""))</f>
      </c>
      <c r="Q462" s="12" t="str">
        <f t="array" ref="Q462">IF(A462:A4503="","",IFERROR(_xlfn.XLOOKUP(A462:A4503,castles_state!K:K,castles_state!D:D)&amp;"主",IFERROR(_xlfn.XLOOKUP(A462:A4503,kunishuClan!D:D,kunishuClan!B:B)&amp;"当主","")))</f>
      </c>
    </row>
    <row r="463" ht="15.75" customHeight="1">
      <c r="A463" s="4">
        <v>1006105</v>
      </c>
      <c r="B463" s="12" t="str">
        <f t="array" ref="B463">IF(A463:A4504="","",_xlfn.XLOOKUP(A463:A4504,'参照_武将'!A:A,'参照_武将'!B:B,"見つかりません"))</f>
      </c>
      <c r="C463" s="4" t="s">
        <v>98</v>
      </c>
      <c r="D463" s="4">
        <v>1</v>
      </c>
      <c r="E463" s="12" t="str">
        <f t="array" ref="E463">IF(D463:D4504="","",IFERROR(_xlfn.XLOOKUP(D463:D4504,'参照_勢力'!A:A,'参照_勢力'!B:B),IFERROR(_xlfn.XLOOKUP(F463:F4504,kunishuClan!A:A,kunishuClan!B:B),"浪人")))</f>
      </c>
      <c r="F463" s="4">
        <v>0</v>
      </c>
      <c r="G463" s="4">
        <v>186</v>
      </c>
      <c r="H463" s="12" t="str">
        <f t="array" ref="H463">IF(G463:G4504="","",_xlfn.XLOOKUP(G463:G4504,castles_state!A:A,castles_state!D:D,"見つかりません"))</f>
      </c>
      <c r="I463" s="4"/>
      <c r="J463" s="12" t="str">
        <f t="array" ref="J463">IF(I463:I4504="","",_xlfn.XLOOKUP(I463:I4504,'参照_姫'!A:A,'参照_姫'!B:B,"見つかりません"))</f>
      </c>
      <c r="K463" s="4">
        <v>90</v>
      </c>
      <c r="L463" s="4">
        <v>0</v>
      </c>
      <c r="M463" s="4"/>
      <c r="N463" s="4"/>
      <c r="O463" s="4"/>
      <c r="P463" s="12" t="str">
        <f t="array" ref="P463">IF(O463:O4504="","",_xlfn.XLOOKUP(O463:O4504,'参照_官位'!A:A,'参照_官位'!B:B,""))</f>
      </c>
      <c r="Q463" s="12" t="str">
        <f t="array" ref="Q463">IF(A463:A4504="","",IFERROR(_xlfn.XLOOKUP(A463:A4504,castles_state!K:K,castles_state!D:D)&amp;"主",IFERROR(_xlfn.XLOOKUP(A463:A4504,kunishuClan!D:D,kunishuClan!B:B)&amp;"当主","")))</f>
      </c>
    </row>
    <row r="464" ht="15.75" customHeight="1">
      <c r="A464" s="4">
        <v>1006106</v>
      </c>
      <c r="B464" s="12" t="str">
        <f t="array" ref="B464">IF(A464:A4505="","",_xlfn.XLOOKUP(A464:A4505,'参照_武将'!A:A,'参照_武将'!B:B,"見つかりません"))</f>
      </c>
      <c r="C464" s="4" t="s">
        <v>98</v>
      </c>
      <c r="D464" s="4">
        <v>1</v>
      </c>
      <c r="E464" s="12" t="str">
        <f t="array" ref="E464">IF(D464:D4505="","",IFERROR(_xlfn.XLOOKUP(D464:D4505,'参照_勢力'!A:A,'参照_勢力'!B:B),IFERROR(_xlfn.XLOOKUP(F464:F4505,kunishuClan!A:A,kunishuClan!B:B),"浪人")))</f>
      </c>
      <c r="F464" s="4">
        <v>0</v>
      </c>
      <c r="G464" s="4">
        <v>180</v>
      </c>
      <c r="H464" s="12" t="str">
        <f t="array" ref="H464">IF(G464:G4505="","",_xlfn.XLOOKUP(G464:G4505,castles_state!A:A,castles_state!D:D,"見つかりません"))</f>
      </c>
      <c r="I464" s="4"/>
      <c r="J464" s="12" t="str">
        <f t="array" ref="J464">IF(I464:I4505="","",_xlfn.XLOOKUP(I464:I4505,'参照_姫'!A:A,'参照_姫'!B:B,"見つかりません"))</f>
      </c>
      <c r="K464" s="4">
        <v>95</v>
      </c>
      <c r="L464" s="4">
        <v>0</v>
      </c>
      <c r="M464" s="4"/>
      <c r="N464" s="4"/>
      <c r="O464" s="4"/>
      <c r="P464" s="12" t="str">
        <f t="array" ref="P464">IF(O464:O4505="","",_xlfn.XLOOKUP(O464:O4505,'参照_官位'!A:A,'参照_官位'!B:B,""))</f>
      </c>
      <c r="Q464" s="12" t="str">
        <f t="array" ref="Q464">IF(A464:A4505="","",IFERROR(_xlfn.XLOOKUP(A464:A4505,castles_state!K:K,castles_state!D:D)&amp;"主",IFERROR(_xlfn.XLOOKUP(A464:A4505,kunishuClan!D:D,kunishuClan!B:B)&amp;"当主","")))</f>
      </c>
    </row>
    <row r="465" ht="15.75" customHeight="1">
      <c r="A465" s="4">
        <v>1006107</v>
      </c>
      <c r="B465" s="12" t="str">
        <f t="array" ref="B465">IF(A465:A4506="","",_xlfn.XLOOKUP(A465:A4506,'参照_武将'!A:A,'参照_武将'!B:B,"見つかりません"))</f>
      </c>
      <c r="C465" s="4" t="s">
        <v>98</v>
      </c>
      <c r="D465" s="4">
        <v>1</v>
      </c>
      <c r="E465" s="12" t="str">
        <f t="array" ref="E465">IF(D465:D4506="","",IFERROR(_xlfn.XLOOKUP(D465:D4506,'参照_勢力'!A:A,'参照_勢力'!B:B),IFERROR(_xlfn.XLOOKUP(F465:F4506,kunishuClan!A:A,kunishuClan!B:B),"浪人")))</f>
      </c>
      <c r="F465" s="4">
        <v>0</v>
      </c>
      <c r="G465" s="4">
        <v>180</v>
      </c>
      <c r="H465" s="12" t="str">
        <f t="array" ref="H465">IF(G465:G4506="","",_xlfn.XLOOKUP(G465:G4506,castles_state!A:A,castles_state!D:D,"見つかりません"))</f>
      </c>
      <c r="I465" s="4"/>
      <c r="J465" s="12" t="str">
        <f t="array" ref="J465">IF(I465:I4506="","",_xlfn.XLOOKUP(I465:I4506,'参照_姫'!A:A,'参照_姫'!B:B,"見つかりません"))</f>
      </c>
      <c r="K465" s="4">
        <v>95</v>
      </c>
      <c r="L465" s="4">
        <v>0</v>
      </c>
      <c r="M465" s="4"/>
      <c r="N465" s="4"/>
      <c r="O465" s="4"/>
      <c r="P465" s="12" t="str">
        <f t="array" ref="P465">IF(O465:O4506="","",_xlfn.XLOOKUP(O465:O4506,'参照_官位'!A:A,'参照_官位'!B:B,""))</f>
      </c>
      <c r="Q465" s="12" t="str">
        <f t="array" ref="Q465">IF(A465:A4506="","",IFERROR(_xlfn.XLOOKUP(A465:A4506,castles_state!K:K,castles_state!D:D)&amp;"主",IFERROR(_xlfn.XLOOKUP(A465:A4506,kunishuClan!D:D,kunishuClan!B:B)&amp;"当主","")))</f>
      </c>
    </row>
    <row r="466" ht="15.75" customHeight="1">
      <c r="A466" s="4">
        <v>1006108</v>
      </c>
      <c r="B466" s="12" t="str">
        <f t="array" ref="B466">IF(A466:A4507="","",_xlfn.XLOOKUP(A466:A4507,'参照_武将'!A:A,'参照_武将'!B:B,"見つかりません"))</f>
      </c>
      <c r="C466" s="4" t="s">
        <v>98</v>
      </c>
      <c r="D466" s="4">
        <v>1</v>
      </c>
      <c r="E466" s="12" t="str">
        <f t="array" ref="E466">IF(D466:D4507="","",IFERROR(_xlfn.XLOOKUP(D466:D4507,'参照_勢力'!A:A,'参照_勢力'!B:B),IFERROR(_xlfn.XLOOKUP(F466:F4507,kunishuClan!A:A,kunishuClan!B:B),"浪人")))</f>
      </c>
      <c r="F466" s="4">
        <v>0</v>
      </c>
      <c r="G466" s="4">
        <v>180</v>
      </c>
      <c r="H466" s="12" t="str">
        <f t="array" ref="H466">IF(G466:G4507="","",_xlfn.XLOOKUP(G466:G4507,castles_state!A:A,castles_state!D:D,"見つかりません"))</f>
      </c>
      <c r="I466" s="4"/>
      <c r="J466" s="12" t="str">
        <f t="array" ref="J466">IF(I466:I4507="","",_xlfn.XLOOKUP(I466:I4507,'参照_姫'!A:A,'参照_姫'!B:B,"見つかりません"))</f>
      </c>
      <c r="K466" s="4">
        <v>96</v>
      </c>
      <c r="L466" s="4">
        <v>0</v>
      </c>
      <c r="M466" s="4"/>
      <c r="N466" s="4"/>
      <c r="O466" s="4"/>
      <c r="P466" s="12" t="str">
        <f t="array" ref="P466">IF(O466:O4507="","",_xlfn.XLOOKUP(O466:O4507,'参照_官位'!A:A,'参照_官位'!B:B,""))</f>
      </c>
      <c r="Q466" s="12" t="str">
        <f t="array" ref="Q466">IF(A466:A4507="","",IFERROR(_xlfn.XLOOKUP(A466:A4507,castles_state!K:K,castles_state!D:D)&amp;"主",IFERROR(_xlfn.XLOOKUP(A466:A4507,kunishuClan!D:D,kunishuClan!B:B)&amp;"当主","")))</f>
      </c>
    </row>
    <row r="467" ht="15.75" customHeight="1">
      <c r="A467" s="4">
        <v>1006109</v>
      </c>
      <c r="B467" s="12" t="str">
        <f t="array" ref="B467">IF(A467:A4508="","",_xlfn.XLOOKUP(A467:A4508,'参照_武将'!A:A,'参照_武将'!B:B,"見つかりません"))</f>
      </c>
      <c r="C467" s="4" t="s">
        <v>98</v>
      </c>
      <c r="D467" s="4">
        <v>1</v>
      </c>
      <c r="E467" s="12" t="str">
        <f t="array" ref="E467">IF(D467:D4508="","",IFERROR(_xlfn.XLOOKUP(D467:D4508,'参照_勢力'!A:A,'参照_勢力'!B:B),IFERROR(_xlfn.XLOOKUP(F467:F4508,kunishuClan!A:A,kunishuClan!B:B),"浪人")))</f>
      </c>
      <c r="F467" s="4">
        <v>0</v>
      </c>
      <c r="G467" s="4">
        <v>7</v>
      </c>
      <c r="H467" s="12" t="str">
        <f t="array" ref="H467">IF(G467:G4508="","",_xlfn.XLOOKUP(G467:G4508,castles_state!A:A,castles_state!D:D,"見つかりません"))</f>
      </c>
      <c r="I467" s="4"/>
      <c r="J467" s="12" t="str">
        <f t="array" ref="J467">IF(I467:I4508="","",_xlfn.XLOOKUP(I467:I4508,'参照_姫'!A:A,'参照_姫'!B:B,"見つかりません"))</f>
      </c>
      <c r="K467" s="4">
        <v>90</v>
      </c>
      <c r="L467" s="4">
        <v>0</v>
      </c>
      <c r="M467" s="4"/>
      <c r="N467" s="4"/>
      <c r="O467" s="4"/>
      <c r="P467" s="12" t="str">
        <f t="array" ref="P467">IF(O467:O4508="","",_xlfn.XLOOKUP(O467:O4508,'参照_官位'!A:A,'参照_官位'!B:B,""))</f>
      </c>
      <c r="Q467" s="12" t="str">
        <f t="array" ref="Q467">IF(A467:A4508="","",IFERROR(_xlfn.XLOOKUP(A467:A4508,castles_state!K:K,castles_state!D:D)&amp;"主",IFERROR(_xlfn.XLOOKUP(A467:A4508,kunishuClan!D:D,kunishuClan!B:B)&amp;"当主","")))</f>
      </c>
    </row>
    <row r="468" ht="15.75" customHeight="1">
      <c r="A468" s="4">
        <v>1006110</v>
      </c>
      <c r="B468" s="12" t="str">
        <f t="array" ref="B468">IF(A468:A4509="","",_xlfn.XLOOKUP(A468:A4509,'参照_武将'!A:A,'参照_武将'!B:B,"見つかりません"))</f>
      </c>
      <c r="C468" s="4" t="s">
        <v>98</v>
      </c>
      <c r="D468" s="4">
        <v>1</v>
      </c>
      <c r="E468" s="12" t="str">
        <f t="array" ref="E468">IF(D468:D4509="","",IFERROR(_xlfn.XLOOKUP(D468:D4509,'参照_勢力'!A:A,'参照_勢力'!B:B),IFERROR(_xlfn.XLOOKUP(F468:F4509,kunishuClan!A:A,kunishuClan!B:B),"浪人")))</f>
      </c>
      <c r="F468" s="4">
        <v>0</v>
      </c>
      <c r="G468" s="4">
        <v>7</v>
      </c>
      <c r="H468" s="12" t="str">
        <f t="array" ref="H468">IF(G468:G4509="","",_xlfn.XLOOKUP(G468:G4509,castles_state!A:A,castles_state!D:D,"見つかりません"))</f>
      </c>
      <c r="I468" s="4"/>
      <c r="J468" s="12" t="str">
        <f t="array" ref="J468">IF(I468:I4509="","",_xlfn.XLOOKUP(I468:I4509,'参照_姫'!A:A,'参照_姫'!B:B,"見つかりません"))</f>
      </c>
      <c r="K468" s="4">
        <v>95</v>
      </c>
      <c r="L468" s="4">
        <v>0</v>
      </c>
      <c r="M468" s="4"/>
      <c r="N468" s="4"/>
      <c r="O468" s="4"/>
      <c r="P468" s="12" t="str">
        <f t="array" ref="P468">IF(O468:O4509="","",_xlfn.XLOOKUP(O468:O4509,'参照_官位'!A:A,'参照_官位'!B:B,""))</f>
      </c>
      <c r="Q468" s="12" t="str">
        <f t="array" ref="Q468">IF(A468:A4509="","",IFERROR(_xlfn.XLOOKUP(A468:A4509,castles_state!K:K,castles_state!D:D)&amp;"主",IFERROR(_xlfn.XLOOKUP(A468:A4509,kunishuClan!D:D,kunishuClan!B:B)&amp;"当主","")))</f>
      </c>
    </row>
    <row r="469" ht="15.75" customHeight="1">
      <c r="A469" s="4">
        <v>1006111</v>
      </c>
      <c r="B469" s="12" t="str">
        <f t="array" ref="B469">IF(A469:A4510="","",_xlfn.XLOOKUP(A469:A4510,'参照_武将'!A:A,'参照_武将'!B:B,"見つかりません"))</f>
      </c>
      <c r="C469" s="4" t="s">
        <v>98</v>
      </c>
      <c r="D469" s="4">
        <v>1</v>
      </c>
      <c r="E469" s="12" t="str">
        <f t="array" ref="E469">IF(D469:D4510="","",IFERROR(_xlfn.XLOOKUP(D469:D4510,'参照_勢力'!A:A,'参照_勢力'!B:B),IFERROR(_xlfn.XLOOKUP(F469:F4510,kunishuClan!A:A,kunishuClan!B:B),"浪人")))</f>
      </c>
      <c r="F469" s="4">
        <v>0</v>
      </c>
      <c r="G469" s="4">
        <v>7</v>
      </c>
      <c r="H469" s="12" t="str">
        <f t="array" ref="H469">IF(G469:G4510="","",_xlfn.XLOOKUP(G469:G4510,castles_state!A:A,castles_state!D:D,"見つかりません"))</f>
      </c>
      <c r="I469" s="4"/>
      <c r="J469" s="12" t="str">
        <f t="array" ref="J469">IF(I469:I4510="","",_xlfn.XLOOKUP(I469:I4510,'参照_姫'!A:A,'参照_姫'!B:B,"見つかりません"))</f>
      </c>
      <c r="K469" s="4">
        <v>95</v>
      </c>
      <c r="L469" s="4">
        <v>0</v>
      </c>
      <c r="M469" s="4"/>
      <c r="N469" s="4"/>
      <c r="O469" s="4"/>
      <c r="P469" s="12" t="str">
        <f t="array" ref="P469">IF(O469:O4510="","",_xlfn.XLOOKUP(O469:O4510,'参照_官位'!A:A,'参照_官位'!B:B,""))</f>
      </c>
      <c r="Q469" s="12" t="str">
        <f t="array" ref="Q469">IF(A469:A4510="","",IFERROR(_xlfn.XLOOKUP(A469:A4510,castles_state!K:K,castles_state!D:D)&amp;"主",IFERROR(_xlfn.XLOOKUP(A469:A4510,kunishuClan!D:D,kunishuClan!B:B)&amp;"当主","")))</f>
      </c>
    </row>
    <row r="470" ht="15.75" customHeight="1">
      <c r="A470" s="4">
        <v>1006112</v>
      </c>
      <c r="B470" s="12" t="str">
        <f t="array" ref="B470">IF(A470:A4511="","",_xlfn.XLOOKUP(A470:A4511,'参照_武将'!A:A,'参照_武将'!B:B,"見つかりません"))</f>
      </c>
      <c r="C470" s="4" t="s">
        <v>98</v>
      </c>
      <c r="D470" s="4">
        <v>1</v>
      </c>
      <c r="E470" s="12" t="str">
        <f t="array" ref="E470">IF(D470:D4511="","",IFERROR(_xlfn.XLOOKUP(D470:D4511,'参照_勢力'!A:A,'参照_勢力'!B:B),IFERROR(_xlfn.XLOOKUP(F470:F4511,kunishuClan!A:A,kunishuClan!B:B),"浪人")))</f>
      </c>
      <c r="F470" s="4">
        <v>0</v>
      </c>
      <c r="G470" s="4">
        <v>11</v>
      </c>
      <c r="H470" s="12" t="str">
        <f t="array" ref="H470">IF(G470:G4511="","",_xlfn.XLOOKUP(G470:G4511,castles_state!A:A,castles_state!D:D,"見つかりません"))</f>
      </c>
      <c r="I470" s="4"/>
      <c r="J470" s="12" t="str">
        <f t="array" ref="J470">IF(I470:I4511="","",_xlfn.XLOOKUP(I470:I4511,'参照_姫'!A:A,'参照_姫'!B:B,"見つかりません"))</f>
      </c>
      <c r="K470" s="4">
        <v>95</v>
      </c>
      <c r="L470" s="4">
        <v>0</v>
      </c>
      <c r="M470" s="4"/>
      <c r="N470" s="4"/>
      <c r="O470" s="4"/>
      <c r="P470" s="12" t="str">
        <f t="array" ref="P470">IF(O470:O4511="","",_xlfn.XLOOKUP(O470:O4511,'参照_官位'!A:A,'参照_官位'!B:B,""))</f>
      </c>
      <c r="Q470" s="12" t="str">
        <f t="array" ref="Q470">IF(A470:A4511="","",IFERROR(_xlfn.XLOOKUP(A470:A4511,castles_state!K:K,castles_state!D:D)&amp;"主",IFERROR(_xlfn.XLOOKUP(A470:A4511,kunishuClan!D:D,kunishuClan!B:B)&amp;"当主","")))</f>
      </c>
    </row>
    <row r="471" ht="15.75" customHeight="1">
      <c r="A471" s="4">
        <v>1006113</v>
      </c>
      <c r="B471" s="12" t="str">
        <f t="array" ref="B471">IF(A471:A4512="","",_xlfn.XLOOKUP(A471:A4512,'参照_武将'!A:A,'参照_武将'!B:B,"見つかりません"))</f>
      </c>
      <c r="C471" s="4" t="s">
        <v>98</v>
      </c>
      <c r="D471" s="4">
        <v>1</v>
      </c>
      <c r="E471" s="12" t="str">
        <f t="array" ref="E471">IF(D471:D4512="","",IFERROR(_xlfn.XLOOKUP(D471:D4512,'参照_勢力'!A:A,'参照_勢力'!B:B),IFERROR(_xlfn.XLOOKUP(F471:F4512,kunishuClan!A:A,kunishuClan!B:B),"浪人")))</f>
      </c>
      <c r="F471" s="4">
        <v>0</v>
      </c>
      <c r="G471" s="4">
        <v>73</v>
      </c>
      <c r="H471" s="12" t="str">
        <f t="array" ref="H471">IF(G471:G4512="","",_xlfn.XLOOKUP(G471:G4512,castles_state!A:A,castles_state!D:D,"見つかりません"))</f>
      </c>
      <c r="I471" s="4"/>
      <c r="J471" s="12" t="str">
        <f t="array" ref="J471">IF(I471:I4512="","",_xlfn.XLOOKUP(I471:I4512,'参照_姫'!A:A,'参照_姫'!B:B,"見つかりません"))</f>
      </c>
      <c r="K471" s="4">
        <v>80</v>
      </c>
      <c r="L471" s="4">
        <v>0</v>
      </c>
      <c r="M471" s="4"/>
      <c r="N471" s="4"/>
      <c r="O471" s="4"/>
      <c r="P471" s="12" t="str">
        <f t="array" ref="P471">IF(O471:O4512="","",_xlfn.XLOOKUP(O471:O4512,'参照_官位'!A:A,'参照_官位'!B:B,""))</f>
      </c>
      <c r="Q471" s="12" t="str">
        <f t="array" ref="Q471">IF(A471:A4512="","",IFERROR(_xlfn.XLOOKUP(A471:A4512,castles_state!K:K,castles_state!D:D)&amp;"主",IFERROR(_xlfn.XLOOKUP(A471:A4512,kunishuClan!D:D,kunishuClan!B:B)&amp;"当主","")))</f>
      </c>
    </row>
    <row r="472" ht="15.75" customHeight="1">
      <c r="A472" s="4">
        <v>1006114</v>
      </c>
      <c r="B472" s="12" t="str">
        <f t="array" ref="B472">IF(A472:A4513="","",_xlfn.XLOOKUP(A472:A4513,'参照_武将'!A:A,'参照_武将'!B:B,"見つかりません"))</f>
      </c>
      <c r="C472" s="4" t="s">
        <v>98</v>
      </c>
      <c r="D472" s="4">
        <v>1</v>
      </c>
      <c r="E472" s="12" t="str">
        <f t="array" ref="E472">IF(D472:D4513="","",IFERROR(_xlfn.XLOOKUP(D472:D4513,'参照_勢力'!A:A,'参照_勢力'!B:B),IFERROR(_xlfn.XLOOKUP(F472:F4513,kunishuClan!A:A,kunishuClan!B:B),"浪人")))</f>
      </c>
      <c r="F472" s="4">
        <v>0</v>
      </c>
      <c r="G472" s="4">
        <v>180</v>
      </c>
      <c r="H472" s="12" t="str">
        <f t="array" ref="H472">IF(G472:G4513="","",_xlfn.XLOOKUP(G472:G4513,castles_state!A:A,castles_state!D:D,"見つかりません"))</f>
      </c>
      <c r="I472" s="4"/>
      <c r="J472" s="12" t="str">
        <f t="array" ref="J472">IF(I472:I4513="","",_xlfn.XLOOKUP(I472:I4513,'参照_姫'!A:A,'参照_姫'!B:B,"見つかりません"))</f>
      </c>
      <c r="K472" s="4">
        <v>95</v>
      </c>
      <c r="L472" s="4">
        <v>0</v>
      </c>
      <c r="M472" s="4"/>
      <c r="N472" s="4"/>
      <c r="O472" s="4"/>
      <c r="P472" s="12" t="str">
        <f t="array" ref="P472">IF(O472:O4513="","",_xlfn.XLOOKUP(O472:O4513,'参照_官位'!A:A,'参照_官位'!B:B,""))</f>
      </c>
      <c r="Q472" s="12" t="str">
        <f t="array" ref="Q472">IF(A472:A4513="","",IFERROR(_xlfn.XLOOKUP(A472:A4513,castles_state!K:K,castles_state!D:D)&amp;"主",IFERROR(_xlfn.XLOOKUP(A472:A4513,kunishuClan!D:D,kunishuClan!B:B)&amp;"当主","")))</f>
      </c>
    </row>
    <row r="473" ht="15.75" customHeight="1">
      <c r="A473" s="4">
        <v>1006115</v>
      </c>
      <c r="B473" s="12" t="str">
        <f t="array" ref="B473">IF(A473:A4514="","",_xlfn.XLOOKUP(A473:A4514,'参照_武将'!A:A,'参照_武将'!B:B,"見つかりません"))</f>
      </c>
      <c r="C473" s="4" t="s">
        <v>98</v>
      </c>
      <c r="D473" s="4">
        <v>1</v>
      </c>
      <c r="E473" s="12" t="str">
        <f t="array" ref="E473">IF(D473:D4514="","",IFERROR(_xlfn.XLOOKUP(D473:D4514,'参照_勢力'!A:A,'参照_勢力'!B:B),IFERROR(_xlfn.XLOOKUP(F473:F4514,kunishuClan!A:A,kunishuClan!B:B),"浪人")))</f>
      </c>
      <c r="F473" s="4">
        <v>0</v>
      </c>
      <c r="G473" s="4">
        <v>3</v>
      </c>
      <c r="H473" s="12" t="str">
        <f t="array" ref="H473">IF(G473:G4514="","",_xlfn.XLOOKUP(G473:G4514,castles_state!A:A,castles_state!D:D,"見つかりません"))</f>
      </c>
      <c r="I473" s="4"/>
      <c r="J473" s="12" t="str">
        <f t="array" ref="J473">IF(I473:I4514="","",_xlfn.XLOOKUP(I473:I4514,'参照_姫'!A:A,'参照_姫'!B:B,"見つかりません"))</f>
      </c>
      <c r="K473" s="4">
        <v>90</v>
      </c>
      <c r="L473" s="4">
        <v>0</v>
      </c>
      <c r="M473" s="4"/>
      <c r="N473" s="4"/>
      <c r="O473" s="4"/>
      <c r="P473" s="12" t="str">
        <f t="array" ref="P473">IF(O473:O4514="","",_xlfn.XLOOKUP(O473:O4514,'参照_官位'!A:A,'参照_官位'!B:B,""))</f>
      </c>
      <c r="Q473" s="12" t="str">
        <f t="array" ref="Q473">IF(A473:A4514="","",IFERROR(_xlfn.XLOOKUP(A473:A4514,castles_state!K:K,castles_state!D:D)&amp;"主",IFERROR(_xlfn.XLOOKUP(A473:A4514,kunishuClan!D:D,kunishuClan!B:B)&amp;"当主","")))</f>
      </c>
    </row>
    <row r="474" ht="15.75" customHeight="1">
      <c r="A474" s="4">
        <v>1006116</v>
      </c>
      <c r="B474" s="12" t="str">
        <f t="array" ref="B474">IF(A474:A4515="","",_xlfn.XLOOKUP(A474:A4515,'参照_武将'!A:A,'参照_武将'!B:B,"見つかりません"))</f>
      </c>
      <c r="C474" s="4" t="s">
        <v>98</v>
      </c>
      <c r="D474" s="4">
        <v>1</v>
      </c>
      <c r="E474" s="12" t="str">
        <f t="array" ref="E474">IF(D474:D4515="","",IFERROR(_xlfn.XLOOKUP(D474:D4515,'参照_勢力'!A:A,'参照_勢力'!B:B),IFERROR(_xlfn.XLOOKUP(F474:F4515,kunishuClan!A:A,kunishuClan!B:B),"浪人")))</f>
      </c>
      <c r="F474" s="4">
        <v>0</v>
      </c>
      <c r="G474" s="4">
        <v>186</v>
      </c>
      <c r="H474" s="12" t="str">
        <f t="array" ref="H474">IF(G474:G4515="","",_xlfn.XLOOKUP(G474:G4515,castles_state!A:A,castles_state!D:D,"見つかりません"))</f>
      </c>
      <c r="I474" s="4"/>
      <c r="J474" s="12" t="str">
        <f t="array" ref="J474">IF(I474:I4515="","",_xlfn.XLOOKUP(I474:I4515,'参照_姫'!A:A,'参照_姫'!B:B,"見つかりません"))</f>
      </c>
      <c r="K474" s="4">
        <v>95</v>
      </c>
      <c r="L474" s="4">
        <v>0</v>
      </c>
      <c r="M474" s="4"/>
      <c r="N474" s="4"/>
      <c r="O474" s="4"/>
      <c r="P474" s="12" t="str">
        <f t="array" ref="P474">IF(O474:O4515="","",_xlfn.XLOOKUP(O474:O4515,'参照_官位'!A:A,'参照_官位'!B:B,""))</f>
      </c>
      <c r="Q474" s="12" t="str">
        <f t="array" ref="Q474">IF(A474:A4515="","",IFERROR(_xlfn.XLOOKUP(A474:A4515,castles_state!K:K,castles_state!D:D)&amp;"主",IFERROR(_xlfn.XLOOKUP(A474:A4515,kunishuClan!D:D,kunishuClan!B:B)&amp;"当主","")))</f>
      </c>
    </row>
    <row r="475" ht="15.75" customHeight="1">
      <c r="A475" s="4">
        <v>1006117</v>
      </c>
      <c r="B475" s="12" t="str">
        <f t="array" ref="B475">IF(A475:A4516="","",_xlfn.XLOOKUP(A475:A4516,'参照_武将'!A:A,'参照_武将'!B:B,"見つかりません"))</f>
      </c>
      <c r="C475" s="4" t="s">
        <v>98</v>
      </c>
      <c r="D475" s="4">
        <v>1</v>
      </c>
      <c r="E475" s="12" t="str">
        <f t="array" ref="E475">IF(D475:D4516="","",IFERROR(_xlfn.XLOOKUP(D475:D4516,'参照_勢力'!A:A,'参照_勢力'!B:B),IFERROR(_xlfn.XLOOKUP(F475:F4516,kunishuClan!A:A,kunishuClan!B:B),"浪人")))</f>
      </c>
      <c r="F475" s="4">
        <v>0</v>
      </c>
      <c r="G475" s="4">
        <v>7</v>
      </c>
      <c r="H475" s="12" t="str">
        <f t="array" ref="H475">IF(G475:G4516="","",_xlfn.XLOOKUP(G475:G4516,castles_state!A:A,castles_state!D:D,"見つかりません"))</f>
      </c>
      <c r="I475" s="4"/>
      <c r="J475" s="12" t="str">
        <f t="array" ref="J475">IF(I475:I4516="","",_xlfn.XLOOKUP(I475:I4516,'参照_姫'!A:A,'参照_姫'!B:B,"見つかりません"))</f>
      </c>
      <c r="K475" s="4">
        <v>95</v>
      </c>
      <c r="L475" s="4">
        <v>700</v>
      </c>
      <c r="M475" s="4"/>
      <c r="N475" s="4"/>
      <c r="O475" s="4"/>
      <c r="P475" s="12" t="str">
        <f t="array" ref="P475">IF(O475:O4516="","",_xlfn.XLOOKUP(O475:O4516,'参照_官位'!A:A,'参照_官位'!B:B,""))</f>
      </c>
      <c r="Q475" s="12" t="str">
        <f t="array" ref="Q475">IF(A475:A4516="","",IFERROR(_xlfn.XLOOKUP(A475:A4516,castles_state!K:K,castles_state!D:D)&amp;"主",IFERROR(_xlfn.XLOOKUP(A475:A4516,kunishuClan!D:D,kunishuClan!B:B)&amp;"当主","")))</f>
      </c>
    </row>
    <row r="476" ht="15.75" customHeight="1">
      <c r="A476" s="4">
        <v>1006118</v>
      </c>
      <c r="B476" s="12" t="str">
        <f t="array" ref="B476">IF(A476:A4517="","",_xlfn.XLOOKUP(A476:A4517,'参照_武将'!A:A,'参照_武将'!B:B,"見つかりません"))</f>
      </c>
      <c r="C476" s="4" t="s">
        <v>98</v>
      </c>
      <c r="D476" s="4">
        <v>1</v>
      </c>
      <c r="E476" s="12" t="str">
        <f t="array" ref="E476">IF(D476:D4517="","",IFERROR(_xlfn.XLOOKUP(D476:D4517,'参照_勢力'!A:A,'参照_勢力'!B:B),IFERROR(_xlfn.XLOOKUP(F476:F4517,kunishuClan!A:A,kunishuClan!B:B),"浪人")))</f>
      </c>
      <c r="F476" s="4">
        <v>0</v>
      </c>
      <c r="G476" s="4">
        <v>7</v>
      </c>
      <c r="H476" s="12" t="str">
        <f t="array" ref="H476">IF(G476:G4517="","",_xlfn.XLOOKUP(G476:G4517,castles_state!A:A,castles_state!D:D,"見つかりません"))</f>
      </c>
      <c r="I476" s="4"/>
      <c r="J476" s="12" t="str">
        <f t="array" ref="J476">IF(I476:I4517="","",_xlfn.XLOOKUP(I476:I4517,'参照_姫'!A:A,'参照_姫'!B:B,"見つかりません"))</f>
      </c>
      <c r="K476" s="4">
        <v>95</v>
      </c>
      <c r="L476" s="4">
        <v>0</v>
      </c>
      <c r="M476" s="4"/>
      <c r="N476" s="4"/>
      <c r="O476" s="4"/>
      <c r="P476" s="12" t="str">
        <f t="array" ref="P476">IF(O476:O4517="","",_xlfn.XLOOKUP(O476:O4517,'参照_官位'!A:A,'参照_官位'!B:B,""))</f>
      </c>
      <c r="Q476" s="12" t="str">
        <f t="array" ref="Q476">IF(A476:A4517="","",IFERROR(_xlfn.XLOOKUP(A476:A4517,castles_state!K:K,castles_state!D:D)&amp;"主",IFERROR(_xlfn.XLOOKUP(A476:A4517,kunishuClan!D:D,kunishuClan!B:B)&amp;"当主","")))</f>
      </c>
    </row>
    <row r="477" ht="15.75" customHeight="1">
      <c r="A477" s="4">
        <v>1006119</v>
      </c>
      <c r="B477" s="12" t="str">
        <f t="array" ref="B477">IF(A477:A4518="","",_xlfn.XLOOKUP(A477:A4518,'参照_武将'!A:A,'参照_武将'!B:B,"見つかりません"))</f>
      </c>
      <c r="C477" s="4" t="s">
        <v>98</v>
      </c>
      <c r="D477" s="4">
        <v>1</v>
      </c>
      <c r="E477" s="12" t="str">
        <f t="array" ref="E477">IF(D477:D4518="","",IFERROR(_xlfn.XLOOKUP(D477:D4518,'参照_勢力'!A:A,'参照_勢力'!B:B),IFERROR(_xlfn.XLOOKUP(F477:F4518,kunishuClan!A:A,kunishuClan!B:B),"浪人")))</f>
      </c>
      <c r="F477" s="4">
        <v>0</v>
      </c>
      <c r="G477" s="4">
        <v>7</v>
      </c>
      <c r="H477" s="12" t="str">
        <f t="array" ref="H477">IF(G477:G4518="","",_xlfn.XLOOKUP(G477:G4518,castles_state!A:A,castles_state!D:D,"見つかりません"))</f>
      </c>
      <c r="I477" s="4"/>
      <c r="J477" s="12" t="str">
        <f t="array" ref="J477">IF(I477:I4518="","",_xlfn.XLOOKUP(I477:I4518,'参照_姫'!A:A,'参照_姫'!B:B,"見つかりません"))</f>
      </c>
      <c r="K477" s="4">
        <v>95</v>
      </c>
      <c r="L477" s="4">
        <v>0</v>
      </c>
      <c r="M477" s="4"/>
      <c r="N477" s="4"/>
      <c r="O477" s="4"/>
      <c r="P477" s="12" t="str">
        <f t="array" ref="P477">IF(O477:O4518="","",_xlfn.XLOOKUP(O477:O4518,'参照_官位'!A:A,'参照_官位'!B:B,""))</f>
      </c>
      <c r="Q477" s="12" t="str">
        <f t="array" ref="Q477">IF(A477:A4518="","",IFERROR(_xlfn.XLOOKUP(A477:A4518,castles_state!K:K,castles_state!D:D)&amp;"主",IFERROR(_xlfn.XLOOKUP(A477:A4518,kunishuClan!D:D,kunishuClan!B:B)&amp;"当主","")))</f>
      </c>
    </row>
    <row r="478" ht="15.75" customHeight="1">
      <c r="A478" s="4">
        <v>1006120</v>
      </c>
      <c r="B478" s="12" t="str">
        <f t="array" ref="B478">IF(A478:A4519="","",_xlfn.XLOOKUP(A478:A4519,'参照_武将'!A:A,'参照_武将'!B:B,"見つかりません"))</f>
      </c>
      <c r="C478" s="4" t="s">
        <v>98</v>
      </c>
      <c r="D478" s="4">
        <v>1</v>
      </c>
      <c r="E478" s="12" t="str">
        <f t="array" ref="E478">IF(D478:D4519="","",IFERROR(_xlfn.XLOOKUP(D478:D4519,'参照_勢力'!A:A,'参照_勢力'!B:B),IFERROR(_xlfn.XLOOKUP(F478:F4519,kunishuClan!A:A,kunishuClan!B:B),"浪人")))</f>
      </c>
      <c r="F478" s="4">
        <v>0</v>
      </c>
      <c r="G478" s="4">
        <v>7</v>
      </c>
      <c r="H478" s="12" t="str">
        <f t="array" ref="H478">IF(G478:G4519="","",_xlfn.XLOOKUP(G478:G4519,castles_state!A:A,castles_state!D:D,"見つかりません"))</f>
      </c>
      <c r="I478" s="4"/>
      <c r="J478" s="12" t="str">
        <f t="array" ref="J478">IF(I478:I4519="","",_xlfn.XLOOKUP(I478:I4519,'参照_姫'!A:A,'参照_姫'!B:B,"見つかりません"))</f>
      </c>
      <c r="K478" s="4">
        <v>95</v>
      </c>
      <c r="L478" s="4">
        <v>0</v>
      </c>
      <c r="M478" s="4"/>
      <c r="N478" s="4"/>
      <c r="O478" s="4"/>
      <c r="P478" s="12" t="str">
        <f t="array" ref="P478">IF(O478:O4519="","",_xlfn.XLOOKUP(O478:O4519,'参照_官位'!A:A,'参照_官位'!B:B,""))</f>
      </c>
      <c r="Q478" s="12" t="str">
        <f t="array" ref="Q478">IF(A478:A4519="","",IFERROR(_xlfn.XLOOKUP(A478:A4519,castles_state!K:K,castles_state!D:D)&amp;"主",IFERROR(_xlfn.XLOOKUP(A478:A4519,kunishuClan!D:D,kunishuClan!B:B)&amp;"当主","")))</f>
      </c>
    </row>
    <row r="479" ht="15.75" customHeight="1">
      <c r="A479" s="4">
        <v>1006121</v>
      </c>
      <c r="B479" s="12" t="str">
        <f t="array" ref="B479">IF(A479:A4520="","",_xlfn.XLOOKUP(A479:A4520,'参照_武将'!A:A,'参照_武将'!B:B,"見つかりません"))</f>
      </c>
      <c r="C479" s="4" t="s">
        <v>98</v>
      </c>
      <c r="D479" s="4">
        <v>1</v>
      </c>
      <c r="E479" s="12" t="str">
        <f t="array" ref="E479">IF(D479:D4520="","",IFERROR(_xlfn.XLOOKUP(D479:D4520,'参照_勢力'!A:A,'参照_勢力'!B:B),IFERROR(_xlfn.XLOOKUP(F479:F4520,kunishuClan!A:A,kunishuClan!B:B),"浪人")))</f>
      </c>
      <c r="F479" s="4">
        <v>0</v>
      </c>
      <c r="G479" s="4">
        <v>180</v>
      </c>
      <c r="H479" s="12" t="str">
        <f t="array" ref="H479">IF(G479:G4520="","",_xlfn.XLOOKUP(G479:G4520,castles_state!A:A,castles_state!D:D,"見つかりません"))</f>
      </c>
      <c r="I479" s="4"/>
      <c r="J479" s="12" t="str">
        <f t="array" ref="J479">IF(I479:I4520="","",_xlfn.XLOOKUP(I479:I4520,'参照_姫'!A:A,'参照_姫'!B:B,"見つかりません"))</f>
      </c>
      <c r="K479" s="4">
        <v>90</v>
      </c>
      <c r="L479" s="4">
        <v>0</v>
      </c>
      <c r="M479" s="4"/>
      <c r="N479" s="4"/>
      <c r="O479" s="4"/>
      <c r="P479" s="12" t="str">
        <f t="array" ref="P479">IF(O479:O4520="","",_xlfn.XLOOKUP(O479:O4520,'参照_官位'!A:A,'参照_官位'!B:B,""))</f>
      </c>
      <c r="Q479" s="12" t="str">
        <f t="array" ref="Q479">IF(A479:A4520="","",IFERROR(_xlfn.XLOOKUP(A479:A4520,castles_state!K:K,castles_state!D:D)&amp;"主",IFERROR(_xlfn.XLOOKUP(A479:A4520,kunishuClan!D:D,kunishuClan!B:B)&amp;"当主","")))</f>
      </c>
    </row>
    <row r="480" ht="15.75" customHeight="1">
      <c r="A480" s="4">
        <v>1006122</v>
      </c>
      <c r="B480" s="12" t="str">
        <f t="array" ref="B480">IF(A480:A4521="","",_xlfn.XLOOKUP(A480:A4521,'参照_武将'!A:A,'参照_武将'!B:B,"見つかりません"))</f>
      </c>
      <c r="C480" s="4" t="s">
        <v>98</v>
      </c>
      <c r="D480" s="4">
        <v>1</v>
      </c>
      <c r="E480" s="12" t="str">
        <f t="array" ref="E480">IF(D480:D4521="","",IFERROR(_xlfn.XLOOKUP(D480:D4521,'参照_勢力'!A:A,'参照_勢力'!B:B),IFERROR(_xlfn.XLOOKUP(F480:F4521,kunishuClan!A:A,kunishuClan!B:B),"浪人")))</f>
      </c>
      <c r="F480" s="4">
        <v>0</v>
      </c>
      <c r="G480" s="4">
        <v>180</v>
      </c>
      <c r="H480" s="12" t="str">
        <f t="array" ref="H480">IF(G480:G4521="","",_xlfn.XLOOKUP(G480:G4521,castles_state!A:A,castles_state!D:D,"見つかりません"))</f>
      </c>
      <c r="I480" s="4"/>
      <c r="J480" s="12" t="str">
        <f t="array" ref="J480">IF(I480:I4521="","",_xlfn.XLOOKUP(I480:I4521,'参照_姫'!A:A,'参照_姫'!B:B,"見つかりません"))</f>
      </c>
      <c r="K480" s="4">
        <v>95</v>
      </c>
      <c r="L480" s="4">
        <v>0</v>
      </c>
      <c r="M480" s="4"/>
      <c r="N480" s="4"/>
      <c r="O480" s="4"/>
      <c r="P480" s="12" t="str">
        <f t="array" ref="P480">IF(O480:O4521="","",_xlfn.XLOOKUP(O480:O4521,'参照_官位'!A:A,'参照_官位'!B:B,""))</f>
      </c>
      <c r="Q480" s="12" t="str">
        <f t="array" ref="Q480">IF(A480:A4521="","",IFERROR(_xlfn.XLOOKUP(A480:A4521,castles_state!K:K,castles_state!D:D)&amp;"主",IFERROR(_xlfn.XLOOKUP(A480:A4521,kunishuClan!D:D,kunishuClan!B:B)&amp;"当主","")))</f>
      </c>
    </row>
    <row r="481" ht="15.75" customHeight="1">
      <c r="A481" s="4">
        <v>1006123</v>
      </c>
      <c r="B481" s="12" t="str">
        <f t="array" ref="B481">IF(A481:A4522="","",_xlfn.XLOOKUP(A481:A4522,'参照_武将'!A:A,'参照_武将'!B:B,"見つかりません"))</f>
      </c>
      <c r="C481" s="4" t="s">
        <v>98</v>
      </c>
      <c r="D481" s="4">
        <v>1</v>
      </c>
      <c r="E481" s="12" t="str">
        <f t="array" ref="E481">IF(D481:D4522="","",IFERROR(_xlfn.XLOOKUP(D481:D4522,'参照_勢力'!A:A,'参照_勢力'!B:B),IFERROR(_xlfn.XLOOKUP(F481:F4522,kunishuClan!A:A,kunishuClan!B:B),"浪人")))</f>
      </c>
      <c r="F481" s="4">
        <v>0</v>
      </c>
      <c r="G481" s="4">
        <v>7</v>
      </c>
      <c r="H481" s="12" t="str">
        <f t="array" ref="H481">IF(G481:G4522="","",_xlfn.XLOOKUP(G481:G4522,castles_state!A:A,castles_state!D:D,"見つかりません"))</f>
      </c>
      <c r="I481" s="4"/>
      <c r="J481" s="12" t="str">
        <f t="array" ref="J481">IF(I481:I4522="","",_xlfn.XLOOKUP(I481:I4522,'参照_姫'!A:A,'参照_姫'!B:B,"見つかりません"))</f>
      </c>
      <c r="K481" s="4">
        <v>90</v>
      </c>
      <c r="L481" s="4">
        <v>0</v>
      </c>
      <c r="M481" s="4"/>
      <c r="N481" s="4"/>
      <c r="O481" s="4"/>
      <c r="P481" s="12" t="str">
        <f t="array" ref="P481">IF(O481:O4522="","",_xlfn.XLOOKUP(O481:O4522,'参照_官位'!A:A,'参照_官位'!B:B,""))</f>
      </c>
      <c r="Q481" s="12" t="str">
        <f t="array" ref="Q481">IF(A481:A4522="","",IFERROR(_xlfn.XLOOKUP(A481:A4522,castles_state!K:K,castles_state!D:D)&amp;"主",IFERROR(_xlfn.XLOOKUP(A481:A4522,kunishuClan!D:D,kunishuClan!B:B)&amp;"当主","")))</f>
      </c>
    </row>
    <row r="482" ht="15.75" customHeight="1">
      <c r="A482" s="4">
        <v>1006124</v>
      </c>
      <c r="B482" s="12" t="str">
        <f t="array" ref="B482">IF(A482:A4523="","",_xlfn.XLOOKUP(A482:A4523,'参照_武将'!A:A,'参照_武将'!B:B,"見つかりません"))</f>
      </c>
      <c r="C482" s="4" t="s">
        <v>98</v>
      </c>
      <c r="D482" s="4">
        <v>1</v>
      </c>
      <c r="E482" s="12" t="str">
        <f t="array" ref="E482">IF(D482:D4523="","",IFERROR(_xlfn.XLOOKUP(D482:D4523,'参照_勢力'!A:A,'参照_勢力'!B:B),IFERROR(_xlfn.XLOOKUP(F482:F4523,kunishuClan!A:A,kunishuClan!B:B),"浪人")))</f>
      </c>
      <c r="F482" s="4">
        <v>0</v>
      </c>
      <c r="G482" s="4">
        <v>11</v>
      </c>
      <c r="H482" s="12" t="str">
        <f t="array" ref="H482">IF(G482:G4523="","",_xlfn.XLOOKUP(G482:G4523,castles_state!A:A,castles_state!D:D,"見つかりません"))</f>
      </c>
      <c r="I482" s="4"/>
      <c r="J482" s="12" t="str">
        <f t="array" ref="J482">IF(I482:I4523="","",_xlfn.XLOOKUP(I482:I4523,'参照_姫'!A:A,'参照_姫'!B:B,"見つかりません"))</f>
      </c>
      <c r="K482" s="4">
        <v>90</v>
      </c>
      <c r="L482" s="4">
        <v>500</v>
      </c>
      <c r="M482" s="4"/>
      <c r="N482" s="4"/>
      <c r="O482" s="4"/>
      <c r="P482" s="12" t="str">
        <f t="array" ref="P482">IF(O482:O4523="","",_xlfn.XLOOKUP(O482:O4523,'参照_官位'!A:A,'参照_官位'!B:B,""))</f>
      </c>
      <c r="Q482" s="12" t="str">
        <f t="array" ref="Q482">IF(A482:A4523="","",IFERROR(_xlfn.XLOOKUP(A482:A4523,castles_state!K:K,castles_state!D:D)&amp;"主",IFERROR(_xlfn.XLOOKUP(A482:A4523,kunishuClan!D:D,kunishuClan!B:B)&amp;"当主","")))</f>
      </c>
    </row>
    <row r="483" ht="15.75" customHeight="1">
      <c r="A483" s="4">
        <v>1006125</v>
      </c>
      <c r="B483" s="12" t="str">
        <f t="array" ref="B483">IF(A483:A4524="","",_xlfn.XLOOKUP(A483:A4524,'参照_武将'!A:A,'参照_武将'!B:B,"見つかりません"))</f>
      </c>
      <c r="C483" s="4" t="s">
        <v>98</v>
      </c>
      <c r="D483" s="4">
        <v>1</v>
      </c>
      <c r="E483" s="12" t="str">
        <f t="array" ref="E483">IF(D483:D4524="","",IFERROR(_xlfn.XLOOKUP(D483:D4524,'参照_勢力'!A:A,'参照_勢力'!B:B),IFERROR(_xlfn.XLOOKUP(F483:F4524,kunishuClan!A:A,kunishuClan!B:B),"浪人")))</f>
      </c>
      <c r="F483" s="4">
        <v>0</v>
      </c>
      <c r="G483" s="4">
        <v>11</v>
      </c>
      <c r="H483" s="12" t="str">
        <f t="array" ref="H483">IF(G483:G4524="","",_xlfn.XLOOKUP(G483:G4524,castles_state!A:A,castles_state!D:D,"見つかりません"))</f>
      </c>
      <c r="I483" s="4"/>
      <c r="J483" s="12" t="str">
        <f t="array" ref="J483">IF(I483:I4524="","",_xlfn.XLOOKUP(I483:I4524,'参照_姫'!A:A,'参照_姫'!B:B,"見つかりません"))</f>
      </c>
      <c r="K483" s="4">
        <v>90</v>
      </c>
      <c r="L483" s="4">
        <v>0</v>
      </c>
      <c r="M483" s="4"/>
      <c r="N483" s="4"/>
      <c r="O483" s="4"/>
      <c r="P483" s="12" t="str">
        <f t="array" ref="P483">IF(O483:O4524="","",_xlfn.XLOOKUP(O483:O4524,'参照_官位'!A:A,'参照_官位'!B:B,""))</f>
      </c>
      <c r="Q483" s="12" t="str">
        <f t="array" ref="Q483">IF(A483:A4524="","",IFERROR(_xlfn.XLOOKUP(A483:A4524,castles_state!K:K,castles_state!D:D)&amp;"主",IFERROR(_xlfn.XLOOKUP(A483:A4524,kunishuClan!D:D,kunishuClan!B:B)&amp;"当主","")))</f>
      </c>
    </row>
    <row r="484" ht="15.75" customHeight="1">
      <c r="A484" s="4">
        <v>1006126</v>
      </c>
      <c r="B484" s="12" t="str">
        <f t="array" ref="B484">IF(A484:A4525="","",_xlfn.XLOOKUP(A484:A4525,'参照_武将'!A:A,'参照_武将'!B:B,"見つかりません"))</f>
      </c>
      <c r="C484" s="4" t="s">
        <v>98</v>
      </c>
      <c r="D484" s="4">
        <v>1</v>
      </c>
      <c r="E484" s="12" t="str">
        <f t="array" ref="E484">IF(D484:D4525="","",IFERROR(_xlfn.XLOOKUP(D484:D4525,'参照_勢力'!A:A,'参照_勢力'!B:B),IFERROR(_xlfn.XLOOKUP(F484:F4525,kunishuClan!A:A,kunishuClan!B:B),"浪人")))</f>
      </c>
      <c r="F484" s="4">
        <v>0</v>
      </c>
      <c r="G484" s="4">
        <v>11</v>
      </c>
      <c r="H484" s="12" t="str">
        <f t="array" ref="H484">IF(G484:G4525="","",_xlfn.XLOOKUP(G484:G4525,castles_state!A:A,castles_state!D:D,"見つかりません"))</f>
      </c>
      <c r="I484" s="4"/>
      <c r="J484" s="12" t="str">
        <f t="array" ref="J484">IF(I484:I4525="","",_xlfn.XLOOKUP(I484:I4525,'参照_姫'!A:A,'参照_姫'!B:B,"見つかりません"))</f>
      </c>
      <c r="K484" s="4">
        <v>90</v>
      </c>
      <c r="L484" s="4">
        <v>0</v>
      </c>
      <c r="M484" s="4"/>
      <c r="N484" s="4"/>
      <c r="O484" s="4"/>
      <c r="P484" s="12" t="str">
        <f t="array" ref="P484">IF(O484:O4525="","",_xlfn.XLOOKUP(O484:O4525,'参照_官位'!A:A,'参照_官位'!B:B,""))</f>
      </c>
      <c r="Q484" s="12" t="str">
        <f t="array" ref="Q484">IF(A484:A4525="","",IFERROR(_xlfn.XLOOKUP(A484:A4525,castles_state!K:K,castles_state!D:D)&amp;"主",IFERROR(_xlfn.XLOOKUP(A484:A4525,kunishuClan!D:D,kunishuClan!B:B)&amp;"当主","")))</f>
      </c>
    </row>
    <row r="485" ht="15.75" customHeight="1">
      <c r="A485" s="4">
        <v>1006127</v>
      </c>
      <c r="B485" s="12" t="str">
        <f t="array" ref="B485">IF(A485:A4526="","",_xlfn.XLOOKUP(A485:A4526,'参照_武将'!A:A,'参照_武将'!B:B,"見つかりません"))</f>
      </c>
      <c r="C485" s="4" t="s">
        <v>98</v>
      </c>
      <c r="D485" s="4">
        <v>1</v>
      </c>
      <c r="E485" s="12" t="str">
        <f t="array" ref="E485">IF(D485:D4526="","",IFERROR(_xlfn.XLOOKUP(D485:D4526,'参照_勢力'!A:A,'参照_勢力'!B:B),IFERROR(_xlfn.XLOOKUP(F485:F4526,kunishuClan!A:A,kunishuClan!B:B),"浪人")))</f>
      </c>
      <c r="F485" s="4">
        <v>0</v>
      </c>
      <c r="G485" s="4">
        <v>7</v>
      </c>
      <c r="H485" s="12" t="str">
        <f t="array" ref="H485">IF(G485:G4526="","",_xlfn.XLOOKUP(G485:G4526,castles_state!A:A,castles_state!D:D,"見つかりません"))</f>
      </c>
      <c r="I485" s="4"/>
      <c r="J485" s="12" t="str">
        <f t="array" ref="J485">IF(I485:I4526="","",_xlfn.XLOOKUP(I485:I4526,'参照_姫'!A:A,'参照_姫'!B:B,"見つかりません"))</f>
      </c>
      <c r="K485" s="4">
        <v>90</v>
      </c>
      <c r="L485" s="4">
        <v>0</v>
      </c>
      <c r="M485" s="4"/>
      <c r="N485" s="4"/>
      <c r="O485" s="4"/>
      <c r="P485" s="12" t="str">
        <f t="array" ref="P485">IF(O485:O4526="","",_xlfn.XLOOKUP(O485:O4526,'参照_官位'!A:A,'参照_官位'!B:B,""))</f>
      </c>
      <c r="Q485" s="12" t="str">
        <f t="array" ref="Q485">IF(A485:A4526="","",IFERROR(_xlfn.XLOOKUP(A485:A4526,castles_state!K:K,castles_state!D:D)&amp;"主",IFERROR(_xlfn.XLOOKUP(A485:A4526,kunishuClan!D:D,kunishuClan!B:B)&amp;"当主","")))</f>
      </c>
    </row>
    <row r="486" ht="15.75" customHeight="1">
      <c r="A486" s="4">
        <v>1006128</v>
      </c>
      <c r="B486" s="12" t="str">
        <f t="array" ref="B486">IF(A486:A4527="","",_xlfn.XLOOKUP(A486:A4527,'参照_武将'!A:A,'参照_武将'!B:B,"見つかりません"))</f>
      </c>
      <c r="C486" s="4" t="s">
        <v>98</v>
      </c>
      <c r="D486" s="4">
        <v>1</v>
      </c>
      <c r="E486" s="12" t="str">
        <f t="array" ref="E486">IF(D486:D4527="","",IFERROR(_xlfn.XLOOKUP(D486:D4527,'参照_勢力'!A:A,'参照_勢力'!B:B),IFERROR(_xlfn.XLOOKUP(F486:F4527,kunishuClan!A:A,kunishuClan!B:B),"浪人")))</f>
      </c>
      <c r="F486" s="4">
        <v>0</v>
      </c>
      <c r="G486" s="4">
        <v>11</v>
      </c>
      <c r="H486" s="12" t="str">
        <f t="array" ref="H486">IF(G486:G4527="","",_xlfn.XLOOKUP(G486:G4527,castles_state!A:A,castles_state!D:D,"見つかりません"))</f>
      </c>
      <c r="I486" s="4"/>
      <c r="J486" s="12" t="str">
        <f t="array" ref="J486">IF(I486:I4527="","",_xlfn.XLOOKUP(I486:I4527,'参照_姫'!A:A,'参照_姫'!B:B,"見つかりません"))</f>
      </c>
      <c r="K486" s="4">
        <v>95</v>
      </c>
      <c r="L486" s="4">
        <v>0</v>
      </c>
      <c r="M486" s="4"/>
      <c r="N486" s="4"/>
      <c r="O486" s="4"/>
      <c r="P486" s="12" t="str">
        <f t="array" ref="P486">IF(O486:O4527="","",_xlfn.XLOOKUP(O486:O4527,'参照_官位'!A:A,'参照_官位'!B:B,""))</f>
      </c>
      <c r="Q486" s="12" t="str">
        <f t="array" ref="Q486">IF(A486:A4527="","",IFERROR(_xlfn.XLOOKUP(A486:A4527,castles_state!K:K,castles_state!D:D)&amp;"主",IFERROR(_xlfn.XLOOKUP(A486:A4527,kunishuClan!D:D,kunishuClan!B:B)&amp;"当主","")))</f>
      </c>
    </row>
    <row r="487" ht="15.75" customHeight="1">
      <c r="A487" s="4">
        <v>1006129</v>
      </c>
      <c r="B487" s="12" t="str">
        <f t="array" ref="B487">IF(A487:A4528="","",_xlfn.XLOOKUP(A487:A4528,'参照_武将'!A:A,'参照_武将'!B:B,"見つかりません"))</f>
      </c>
      <c r="C487" s="4" t="s">
        <v>98</v>
      </c>
      <c r="D487" s="4">
        <v>1</v>
      </c>
      <c r="E487" s="12" t="str">
        <f t="array" ref="E487">IF(D487:D4528="","",IFERROR(_xlfn.XLOOKUP(D487:D4528,'参照_勢力'!A:A,'参照_勢力'!B:B),IFERROR(_xlfn.XLOOKUP(F487:F4528,kunishuClan!A:A,kunishuClan!B:B),"浪人")))</f>
      </c>
      <c r="F487" s="4">
        <v>0</v>
      </c>
      <c r="G487" s="4">
        <v>11</v>
      </c>
      <c r="H487" s="12" t="str">
        <f t="array" ref="H487">IF(G487:G4528="","",_xlfn.XLOOKUP(G487:G4528,castles_state!A:A,castles_state!D:D,"見つかりません"))</f>
      </c>
      <c r="I487" s="4"/>
      <c r="J487" s="12" t="str">
        <f t="array" ref="J487">IF(I487:I4528="","",_xlfn.XLOOKUP(I487:I4528,'参照_姫'!A:A,'参照_姫'!B:B,"見つかりません"))</f>
      </c>
      <c r="K487" s="4">
        <v>95</v>
      </c>
      <c r="L487" s="4">
        <v>0</v>
      </c>
      <c r="M487" s="4"/>
      <c r="N487" s="4"/>
      <c r="O487" s="4"/>
      <c r="P487" s="12" t="str">
        <f t="array" ref="P487">IF(O487:O4528="","",_xlfn.XLOOKUP(O487:O4528,'参照_官位'!A:A,'参照_官位'!B:B,""))</f>
      </c>
      <c r="Q487" s="12" t="str">
        <f t="array" ref="Q487">IF(A487:A4528="","",IFERROR(_xlfn.XLOOKUP(A487:A4528,castles_state!K:K,castles_state!D:D)&amp;"主",IFERROR(_xlfn.XLOOKUP(A487:A4528,kunishuClan!D:D,kunishuClan!B:B)&amp;"当主","")))</f>
      </c>
    </row>
    <row r="488" ht="15.75" customHeight="1">
      <c r="A488" s="4">
        <v>1006130</v>
      </c>
      <c r="B488" s="12" t="str">
        <f t="array" ref="B488">IF(A488:A4529="","",_xlfn.XLOOKUP(A488:A4529,'参照_武将'!A:A,'参照_武将'!B:B,"見つかりません"))</f>
      </c>
      <c r="C488" s="4" t="s">
        <v>98</v>
      </c>
      <c r="D488" s="4">
        <v>1</v>
      </c>
      <c r="E488" s="12" t="str">
        <f t="array" ref="E488">IF(D488:D4529="","",IFERROR(_xlfn.XLOOKUP(D488:D4529,'参照_勢力'!A:A,'参照_勢力'!B:B),IFERROR(_xlfn.XLOOKUP(F488:F4529,kunishuClan!A:A,kunishuClan!B:B),"浪人")))</f>
      </c>
      <c r="F488" s="4">
        <v>0</v>
      </c>
      <c r="G488" s="4">
        <v>11</v>
      </c>
      <c r="H488" s="12" t="str">
        <f t="array" ref="H488">IF(G488:G4529="","",_xlfn.XLOOKUP(G488:G4529,castles_state!A:A,castles_state!D:D,"見つかりません"))</f>
      </c>
      <c r="I488" s="4"/>
      <c r="J488" s="12" t="str">
        <f t="array" ref="J488">IF(I488:I4529="","",_xlfn.XLOOKUP(I488:I4529,'参照_姫'!A:A,'参照_姫'!B:B,"見つかりません"))</f>
      </c>
      <c r="K488" s="4">
        <v>95</v>
      </c>
      <c r="L488" s="4">
        <v>0</v>
      </c>
      <c r="M488" s="4"/>
      <c r="N488" s="4"/>
      <c r="O488" s="4"/>
      <c r="P488" s="12" t="str">
        <f t="array" ref="P488">IF(O488:O4529="","",_xlfn.XLOOKUP(O488:O4529,'参照_官位'!A:A,'参照_官位'!B:B,""))</f>
      </c>
      <c r="Q488" s="12" t="str">
        <f t="array" ref="Q488">IF(A488:A4529="","",IFERROR(_xlfn.XLOOKUP(A488:A4529,castles_state!K:K,castles_state!D:D)&amp;"主",IFERROR(_xlfn.XLOOKUP(A488:A4529,kunishuClan!D:D,kunishuClan!B:B)&amp;"当主","")))</f>
      </c>
    </row>
    <row r="489" ht="15.75" customHeight="1">
      <c r="A489" s="4">
        <v>1006131</v>
      </c>
      <c r="B489" s="12" t="str">
        <f t="array" ref="B489">IF(A489:A4530="","",_xlfn.XLOOKUP(A489:A4530,'参照_武将'!A:A,'参照_武将'!B:B,"見つかりません"))</f>
      </c>
      <c r="C489" s="4" t="s">
        <v>98</v>
      </c>
      <c r="D489" s="4">
        <v>1</v>
      </c>
      <c r="E489" s="12" t="str">
        <f t="array" ref="E489">IF(D489:D4530="","",IFERROR(_xlfn.XLOOKUP(D489:D4530,'参照_勢力'!A:A,'参照_勢力'!B:B),IFERROR(_xlfn.XLOOKUP(F489:F4530,kunishuClan!A:A,kunishuClan!B:B),"浪人")))</f>
      </c>
      <c r="F489" s="4">
        <v>0</v>
      </c>
      <c r="G489" s="4">
        <v>11</v>
      </c>
      <c r="H489" s="12" t="str">
        <f t="array" ref="H489">IF(G489:G4530="","",_xlfn.XLOOKUP(G489:G4530,castles_state!A:A,castles_state!D:D,"見つかりません"))</f>
      </c>
      <c r="I489" s="4"/>
      <c r="J489" s="12" t="str">
        <f t="array" ref="J489">IF(I489:I4530="","",_xlfn.XLOOKUP(I489:I4530,'参照_姫'!A:A,'参照_姫'!B:B,"見つかりません"))</f>
      </c>
      <c r="K489" s="4">
        <v>95</v>
      </c>
      <c r="L489" s="4">
        <v>0</v>
      </c>
      <c r="M489" s="4"/>
      <c r="N489" s="4"/>
      <c r="O489" s="4"/>
      <c r="P489" s="12" t="str">
        <f t="array" ref="P489">IF(O489:O4530="","",_xlfn.XLOOKUP(O489:O4530,'参照_官位'!A:A,'参照_官位'!B:B,""))</f>
      </c>
      <c r="Q489" s="12" t="str">
        <f t="array" ref="Q489">IF(A489:A4530="","",IFERROR(_xlfn.XLOOKUP(A489:A4530,castles_state!K:K,castles_state!D:D)&amp;"主",IFERROR(_xlfn.XLOOKUP(A489:A4530,kunishuClan!D:D,kunishuClan!B:B)&amp;"当主","")))</f>
      </c>
    </row>
    <row r="490" ht="15.75" customHeight="1">
      <c r="A490" s="4">
        <v>1006132</v>
      </c>
      <c r="B490" s="12" t="str">
        <f t="array" ref="B490">IF(A490:A4531="","",_xlfn.XLOOKUP(A490:A4531,'参照_武将'!A:A,'参照_武将'!B:B,"見つかりません"))</f>
      </c>
      <c r="C490" s="4" t="s">
        <v>98</v>
      </c>
      <c r="D490" s="4">
        <v>1</v>
      </c>
      <c r="E490" s="12" t="str">
        <f t="array" ref="E490">IF(D490:D4531="","",IFERROR(_xlfn.XLOOKUP(D490:D4531,'参照_勢力'!A:A,'参照_勢力'!B:B),IFERROR(_xlfn.XLOOKUP(F490:F4531,kunishuClan!A:A,kunishuClan!B:B),"浪人")))</f>
      </c>
      <c r="F490" s="4">
        <v>0</v>
      </c>
      <c r="G490" s="4">
        <v>11</v>
      </c>
      <c r="H490" s="12" t="str">
        <f t="array" ref="H490">IF(G490:G4531="","",_xlfn.XLOOKUP(G490:G4531,castles_state!A:A,castles_state!D:D,"見つかりません"))</f>
      </c>
      <c r="I490" s="4"/>
      <c r="J490" s="12" t="str">
        <f t="array" ref="J490">IF(I490:I4531="","",_xlfn.XLOOKUP(I490:I4531,'参照_姫'!A:A,'参照_姫'!B:B,"見つかりません"))</f>
      </c>
      <c r="K490" s="4">
        <v>95</v>
      </c>
      <c r="L490" s="4">
        <v>0</v>
      </c>
      <c r="M490" s="4"/>
      <c r="N490" s="4"/>
      <c r="O490" s="4"/>
      <c r="P490" s="12" t="str">
        <f t="array" ref="P490">IF(O490:O4531="","",_xlfn.XLOOKUP(O490:O4531,'参照_官位'!A:A,'参照_官位'!B:B,""))</f>
      </c>
      <c r="Q490" s="12" t="str">
        <f t="array" ref="Q490">IF(A490:A4531="","",IFERROR(_xlfn.XLOOKUP(A490:A4531,castles_state!K:K,castles_state!D:D)&amp;"主",IFERROR(_xlfn.XLOOKUP(A490:A4531,kunishuClan!D:D,kunishuClan!B:B)&amp;"当主","")))</f>
      </c>
    </row>
    <row r="491" ht="15.75" customHeight="1">
      <c r="A491" s="4">
        <v>1006133</v>
      </c>
      <c r="B491" s="12" t="str">
        <f t="array" ref="B491">IF(A491:A4532="","",_xlfn.XLOOKUP(A491:A4532,'参照_武将'!A:A,'参照_武将'!B:B,"見つかりません"))</f>
      </c>
      <c r="C491" s="4" t="s">
        <v>98</v>
      </c>
      <c r="D491" s="4">
        <v>1</v>
      </c>
      <c r="E491" s="12" t="str">
        <f t="array" ref="E491">IF(D491:D4532="","",IFERROR(_xlfn.XLOOKUP(D491:D4532,'参照_勢力'!A:A,'参照_勢力'!B:B),IFERROR(_xlfn.XLOOKUP(F491:F4532,kunishuClan!A:A,kunishuClan!B:B),"浪人")))</f>
      </c>
      <c r="F491" s="4">
        <v>0</v>
      </c>
      <c r="G491" s="4">
        <v>11</v>
      </c>
      <c r="H491" s="12" t="str">
        <f t="array" ref="H491">IF(G491:G4532="","",_xlfn.XLOOKUP(G491:G4532,castles_state!A:A,castles_state!D:D,"見つかりません"))</f>
      </c>
      <c r="I491" s="4"/>
      <c r="J491" s="12" t="str">
        <f t="array" ref="J491">IF(I491:I4532="","",_xlfn.XLOOKUP(I491:I4532,'参照_姫'!A:A,'参照_姫'!B:B,"見つかりません"))</f>
      </c>
      <c r="K491" s="4">
        <v>95</v>
      </c>
      <c r="L491" s="4">
        <v>0</v>
      </c>
      <c r="M491" s="4"/>
      <c r="N491" s="4"/>
      <c r="O491" s="4"/>
      <c r="P491" s="12" t="str">
        <f t="array" ref="P491">IF(O491:O4532="","",_xlfn.XLOOKUP(O491:O4532,'参照_官位'!A:A,'参照_官位'!B:B,""))</f>
      </c>
      <c r="Q491" s="12" t="str">
        <f t="array" ref="Q491">IF(A491:A4532="","",IFERROR(_xlfn.XLOOKUP(A491:A4532,castles_state!K:K,castles_state!D:D)&amp;"主",IFERROR(_xlfn.XLOOKUP(A491:A4532,kunishuClan!D:D,kunishuClan!B:B)&amp;"当主","")))</f>
      </c>
    </row>
    <row r="492" ht="15.75" customHeight="1">
      <c r="A492" s="4">
        <v>1006134</v>
      </c>
      <c r="B492" s="12" t="str">
        <f t="array" ref="B492">IF(A492:A4533="","",_xlfn.XLOOKUP(A492:A4533,'参照_武将'!A:A,'参照_武将'!B:B,"見つかりません"))</f>
      </c>
      <c r="C492" s="4" t="s">
        <v>98</v>
      </c>
      <c r="D492" s="4">
        <v>1</v>
      </c>
      <c r="E492" s="12" t="str">
        <f t="array" ref="E492">IF(D492:D4533="","",IFERROR(_xlfn.XLOOKUP(D492:D4533,'参照_勢力'!A:A,'参照_勢力'!B:B),IFERROR(_xlfn.XLOOKUP(F492:F4533,kunishuClan!A:A,kunishuClan!B:B),"浪人")))</f>
      </c>
      <c r="F492" s="4">
        <v>0</v>
      </c>
      <c r="G492" s="4">
        <v>11</v>
      </c>
      <c r="H492" s="12" t="str">
        <f t="array" ref="H492">IF(G492:G4533="","",_xlfn.XLOOKUP(G492:G4533,castles_state!A:A,castles_state!D:D,"見つかりません"))</f>
      </c>
      <c r="I492" s="4"/>
      <c r="J492" s="12" t="str">
        <f t="array" ref="J492">IF(I492:I4533="","",_xlfn.XLOOKUP(I492:I4533,'参照_姫'!A:A,'参照_姫'!B:B,"見つかりません"))</f>
      </c>
      <c r="K492" s="4">
        <v>95</v>
      </c>
      <c r="L492" s="4">
        <v>0</v>
      </c>
      <c r="M492" s="4"/>
      <c r="N492" s="4"/>
      <c r="O492" s="4"/>
      <c r="P492" s="12" t="str">
        <f t="array" ref="P492">IF(O492:O4533="","",_xlfn.XLOOKUP(O492:O4533,'参照_官位'!A:A,'参照_官位'!B:B,""))</f>
      </c>
      <c r="Q492" s="12" t="str">
        <f t="array" ref="Q492">IF(A492:A4533="","",IFERROR(_xlfn.XLOOKUP(A492:A4533,castles_state!K:K,castles_state!D:D)&amp;"主",IFERROR(_xlfn.XLOOKUP(A492:A4533,kunishuClan!D:D,kunishuClan!B:B)&amp;"当主","")))</f>
      </c>
    </row>
    <row r="493" ht="15.75" customHeight="1">
      <c r="A493" s="4">
        <v>1006135</v>
      </c>
      <c r="B493" s="12" t="str">
        <f t="array" ref="B493">IF(A493:A4534="","",_xlfn.XLOOKUP(A493:A4534,'参照_武将'!A:A,'参照_武将'!B:B,"見つかりません"))</f>
      </c>
      <c r="C493" s="4" t="s">
        <v>98</v>
      </c>
      <c r="D493" s="4">
        <v>1</v>
      </c>
      <c r="E493" s="12" t="str">
        <f t="array" ref="E493">IF(D493:D4534="","",IFERROR(_xlfn.XLOOKUP(D493:D4534,'参照_勢力'!A:A,'参照_勢力'!B:B),IFERROR(_xlfn.XLOOKUP(F493:F4534,kunishuClan!A:A,kunishuClan!B:B),"浪人")))</f>
      </c>
      <c r="F493" s="4">
        <v>0</v>
      </c>
      <c r="G493" s="4">
        <v>11</v>
      </c>
      <c r="H493" s="12" t="str">
        <f t="array" ref="H493">IF(G493:G4534="","",_xlfn.XLOOKUP(G493:G4534,castles_state!A:A,castles_state!D:D,"見つかりません"))</f>
      </c>
      <c r="I493" s="4"/>
      <c r="J493" s="12" t="str">
        <f t="array" ref="J493">IF(I493:I4534="","",_xlfn.XLOOKUP(I493:I4534,'参照_姫'!A:A,'参照_姫'!B:B,"見つかりません"))</f>
      </c>
      <c r="K493" s="4">
        <v>95</v>
      </c>
      <c r="L493" s="4">
        <v>0</v>
      </c>
      <c r="M493" s="4"/>
      <c r="N493" s="4"/>
      <c r="O493" s="4"/>
      <c r="P493" s="12" t="str">
        <f t="array" ref="P493">IF(O493:O4534="","",_xlfn.XLOOKUP(O493:O4534,'参照_官位'!A:A,'参照_官位'!B:B,""))</f>
      </c>
      <c r="Q493" s="12" t="str">
        <f t="array" ref="Q493">IF(A493:A4534="","",IFERROR(_xlfn.XLOOKUP(A493:A4534,castles_state!K:K,castles_state!D:D)&amp;"主",IFERROR(_xlfn.XLOOKUP(A493:A4534,kunishuClan!D:D,kunishuClan!B:B)&amp;"当主","")))</f>
      </c>
    </row>
    <row r="494" ht="15.75" customHeight="1">
      <c r="A494" s="4">
        <v>1006136</v>
      </c>
      <c r="B494" s="12" t="str">
        <f t="array" ref="B494">IF(A494:A4535="","",_xlfn.XLOOKUP(A494:A4535,'参照_武将'!A:A,'参照_武将'!B:B,"見つかりません"))</f>
      </c>
      <c r="C494" s="4" t="s">
        <v>98</v>
      </c>
      <c r="D494" s="4">
        <v>1</v>
      </c>
      <c r="E494" s="12" t="str">
        <f t="array" ref="E494">IF(D494:D4535="","",IFERROR(_xlfn.XLOOKUP(D494:D4535,'参照_勢力'!A:A,'参照_勢力'!B:B),IFERROR(_xlfn.XLOOKUP(F494:F4535,kunishuClan!A:A,kunishuClan!B:B),"浪人")))</f>
      </c>
      <c r="F494" s="4">
        <v>0</v>
      </c>
      <c r="G494" s="4">
        <v>3</v>
      </c>
      <c r="H494" s="12" t="str">
        <f t="array" ref="H494">IF(G494:G4535="","",_xlfn.XLOOKUP(G494:G4535,castles_state!A:A,castles_state!D:D,"見つかりません"))</f>
      </c>
      <c r="I494" s="4"/>
      <c r="J494" s="12" t="str">
        <f t="array" ref="J494">IF(I494:I4535="","",_xlfn.XLOOKUP(I494:I4535,'参照_姫'!A:A,'参照_姫'!B:B,"見つかりません"))</f>
      </c>
      <c r="K494" s="4">
        <v>90</v>
      </c>
      <c r="L494" s="4">
        <v>0</v>
      </c>
      <c r="M494" s="4"/>
      <c r="N494" s="4"/>
      <c r="O494" s="4"/>
      <c r="P494" s="12" t="str">
        <f t="array" ref="P494">IF(O494:O4535="","",_xlfn.XLOOKUP(O494:O4535,'参照_官位'!A:A,'参照_官位'!B:B,""))</f>
      </c>
      <c r="Q494" s="12" t="str">
        <f t="array" ref="Q494">IF(A494:A4535="","",IFERROR(_xlfn.XLOOKUP(A494:A4535,castles_state!K:K,castles_state!D:D)&amp;"主",IFERROR(_xlfn.XLOOKUP(A494:A4535,kunishuClan!D:D,kunishuClan!B:B)&amp;"当主","")))</f>
      </c>
    </row>
    <row r="495" ht="15.75" customHeight="1">
      <c r="A495" s="4">
        <v>1006137</v>
      </c>
      <c r="B495" s="12" t="str">
        <f t="array" ref="B495">IF(A495:A4536="","",_xlfn.XLOOKUP(A495:A4536,'参照_武将'!A:A,'参照_武将'!B:B,"見つかりません"))</f>
      </c>
      <c r="C495" s="4" t="s">
        <v>98</v>
      </c>
      <c r="D495" s="4">
        <v>0</v>
      </c>
      <c r="E495" s="12" t="str">
        <f t="array" ref="E495">IF(D495:D4536="","",IFERROR(_xlfn.XLOOKUP(D495:D4536,'参照_勢力'!A:A,'参照_勢力'!B:B),IFERROR(_xlfn.XLOOKUP(F495:F4536,kunishuClan!A:A,kunishuClan!B:B),"浪人")))</f>
      </c>
      <c r="F495" s="4">
        <v>0</v>
      </c>
      <c r="G495" s="4">
        <v>3</v>
      </c>
      <c r="H495" s="12" t="str">
        <f t="array" ref="H495">IF(G495:G4536="","",_xlfn.XLOOKUP(G495:G4536,castles_state!A:A,castles_state!D:D,"見つかりません"))</f>
      </c>
      <c r="I495" s="4"/>
      <c r="J495" s="12" t="str">
        <f t="array" ref="J495">IF(I495:I4536="","",_xlfn.XLOOKUP(I495:I4536,'参照_姫'!A:A,'参照_姫'!B:B,"見つかりません"))</f>
      </c>
      <c r="K495" s="4">
        <v>50</v>
      </c>
      <c r="L495" s="4">
        <v>0</v>
      </c>
      <c r="M495" s="4"/>
      <c r="N495" s="4"/>
      <c r="O495" s="4"/>
      <c r="P495" s="12" t="str">
        <f t="array" ref="P495">IF(O495:O4536="","",_xlfn.XLOOKUP(O495:O4536,'参照_官位'!A:A,'参照_官位'!B:B,""))</f>
      </c>
      <c r="Q495" s="12" t="str">
        <f t="array" ref="Q495">IF(A495:A4536="","",IFERROR(_xlfn.XLOOKUP(A495:A4536,castles_state!K:K,castles_state!D:D)&amp;"主",IFERROR(_xlfn.XLOOKUP(A495:A4536,kunishuClan!D:D,kunishuClan!B:B)&amp;"当主","")))</f>
      </c>
    </row>
    <row r="496" ht="15.75" customHeight="1">
      <c r="A496" s="4">
        <v>1006138</v>
      </c>
      <c r="B496" s="12" t="str">
        <f t="array" ref="B496">IF(A496:A4537="","",_xlfn.XLOOKUP(A496:A4537,'参照_武将'!A:A,'参照_武将'!B:B,"見つかりません"))</f>
      </c>
      <c r="C496" s="4" t="s">
        <v>98</v>
      </c>
      <c r="D496" s="4">
        <v>0</v>
      </c>
      <c r="E496" s="12" t="str">
        <f t="array" ref="E496">IF(D496:D4537="","",IFERROR(_xlfn.XLOOKUP(D496:D4537,'参照_勢力'!A:A,'参照_勢力'!B:B),IFERROR(_xlfn.XLOOKUP(F496:F4537,kunishuClan!A:A,kunishuClan!B:B),"浪人")))</f>
      </c>
      <c r="F496" s="4">
        <v>0</v>
      </c>
      <c r="G496" s="4">
        <v>3</v>
      </c>
      <c r="H496" s="12" t="str">
        <f t="array" ref="H496">IF(G496:G4537="","",_xlfn.XLOOKUP(G496:G4537,castles_state!A:A,castles_state!D:D,"見つかりません"))</f>
      </c>
      <c r="I496" s="4"/>
      <c r="J496" s="12" t="str">
        <f t="array" ref="J496">IF(I496:I4537="","",_xlfn.XLOOKUP(I496:I4537,'参照_姫'!A:A,'参照_姫'!B:B,"見つかりません"))</f>
      </c>
      <c r="K496" s="4">
        <v>50</v>
      </c>
      <c r="L496" s="4">
        <v>0</v>
      </c>
      <c r="M496" s="4"/>
      <c r="N496" s="4"/>
      <c r="O496" s="4"/>
      <c r="P496" s="12" t="str">
        <f t="array" ref="P496">IF(O496:O4537="","",_xlfn.XLOOKUP(O496:O4537,'参照_官位'!A:A,'参照_官位'!B:B,""))</f>
      </c>
      <c r="Q496" s="12" t="str">
        <f t="array" ref="Q496">IF(A496:A4537="","",IFERROR(_xlfn.XLOOKUP(A496:A4537,castles_state!K:K,castles_state!D:D)&amp;"主",IFERROR(_xlfn.XLOOKUP(A496:A4537,kunishuClan!D:D,kunishuClan!B:B)&amp;"当主","")))</f>
      </c>
    </row>
    <row r="497" ht="15.75" customHeight="1">
      <c r="A497" s="4">
        <v>1006139</v>
      </c>
      <c r="B497" s="12" t="str">
        <f t="array" ref="B497">IF(A497:A4538="","",_xlfn.XLOOKUP(A497:A4538,'参照_武将'!A:A,'参照_武将'!B:B,"見つかりません"))</f>
      </c>
      <c r="C497" s="4" t="s">
        <v>98</v>
      </c>
      <c r="D497" s="4">
        <v>0</v>
      </c>
      <c r="E497" s="12" t="str">
        <f t="array" ref="E497">IF(D497:D4538="","",IFERROR(_xlfn.XLOOKUP(D497:D4538,'参照_勢力'!A:A,'参照_勢力'!B:B),IFERROR(_xlfn.XLOOKUP(F497:F4538,kunishuClan!A:A,kunishuClan!B:B),"浪人")))</f>
      </c>
      <c r="F497" s="4">
        <v>0</v>
      </c>
      <c r="G497" s="4">
        <v>3</v>
      </c>
      <c r="H497" s="12" t="str">
        <f t="array" ref="H497">IF(G497:G4538="","",_xlfn.XLOOKUP(G497:G4538,castles_state!A:A,castles_state!D:D,"見つかりません"))</f>
      </c>
      <c r="I497" s="4"/>
      <c r="J497" s="12" t="str">
        <f t="array" ref="J497">IF(I497:I4538="","",_xlfn.XLOOKUP(I497:I4538,'参照_姫'!A:A,'参照_姫'!B:B,"見つかりません"))</f>
      </c>
      <c r="K497" s="4">
        <v>50</v>
      </c>
      <c r="L497" s="4">
        <v>0</v>
      </c>
      <c r="M497" s="4"/>
      <c r="N497" s="4"/>
      <c r="O497" s="4"/>
      <c r="P497" s="12" t="str">
        <f t="array" ref="P497">IF(O497:O4538="","",_xlfn.XLOOKUP(O497:O4538,'参照_官位'!A:A,'参照_官位'!B:B,""))</f>
      </c>
      <c r="Q497" s="12" t="str">
        <f t="array" ref="Q497">IF(A497:A4538="","",IFERROR(_xlfn.XLOOKUP(A497:A4538,castles_state!K:K,castles_state!D:D)&amp;"主",IFERROR(_xlfn.XLOOKUP(A497:A4538,kunishuClan!D:D,kunishuClan!B:B)&amp;"当主","")))</f>
      </c>
    </row>
    <row r="498" ht="15.75" customHeight="1">
      <c r="A498" s="4">
        <v>1006140</v>
      </c>
      <c r="B498" s="12" t="str">
        <f t="array" ref="B498">IF(A498:A4539="","",_xlfn.XLOOKUP(A498:A4539,'参照_武将'!A:A,'参照_武将'!B:B,"見つかりません"))</f>
      </c>
      <c r="C498" s="4" t="s">
        <v>98</v>
      </c>
      <c r="D498" s="4">
        <v>1</v>
      </c>
      <c r="E498" s="12" t="str">
        <f t="array" ref="E498">IF(D498:D4539="","",IFERROR(_xlfn.XLOOKUP(D498:D4539,'参照_勢力'!A:A,'参照_勢力'!B:B),IFERROR(_xlfn.XLOOKUP(F498:F4539,kunishuClan!A:A,kunishuClan!B:B),"浪人")))</f>
      </c>
      <c r="F498" s="4">
        <v>0</v>
      </c>
      <c r="G498" s="4">
        <v>7</v>
      </c>
      <c r="H498" s="12" t="str">
        <f t="array" ref="H498">IF(G498:G4539="","",_xlfn.XLOOKUP(G498:G4539,castles_state!A:A,castles_state!D:D,"見つかりません"))</f>
      </c>
      <c r="I498" s="4"/>
      <c r="J498" s="12" t="str">
        <f t="array" ref="J498">IF(I498:I4539="","",_xlfn.XLOOKUP(I498:I4539,'参照_姫'!A:A,'参照_姫'!B:B,"見つかりません"))</f>
      </c>
      <c r="K498" s="4">
        <v>95</v>
      </c>
      <c r="L498" s="4">
        <v>0</v>
      </c>
      <c r="M498" s="4"/>
      <c r="N498" s="4"/>
      <c r="O498" s="4"/>
      <c r="P498" s="12" t="str">
        <f t="array" ref="P498">IF(O498:O4539="","",_xlfn.XLOOKUP(O498:O4539,'参照_官位'!A:A,'参照_官位'!B:B,""))</f>
      </c>
      <c r="Q498" s="12" t="str">
        <f t="array" ref="Q498">IF(A498:A4539="","",IFERROR(_xlfn.XLOOKUP(A498:A4539,castles_state!K:K,castles_state!D:D)&amp;"主",IFERROR(_xlfn.XLOOKUP(A498:A4539,kunishuClan!D:D,kunishuClan!B:B)&amp;"当主","")))</f>
      </c>
    </row>
    <row r="499" ht="15.75" customHeight="1">
      <c r="A499" s="4">
        <v>1006141</v>
      </c>
      <c r="B499" s="12" t="str">
        <f t="array" ref="B499">IF(A499:A4540="","",_xlfn.XLOOKUP(A499:A4540,'参照_武将'!A:A,'参照_武将'!B:B,"見つかりません"))</f>
      </c>
      <c r="C499" s="4" t="s">
        <v>98</v>
      </c>
      <c r="D499" s="4">
        <v>1</v>
      </c>
      <c r="E499" s="12" t="str">
        <f t="array" ref="E499">IF(D499:D4540="","",IFERROR(_xlfn.XLOOKUP(D499:D4540,'参照_勢力'!A:A,'参照_勢力'!B:B),IFERROR(_xlfn.XLOOKUP(F499:F4540,kunishuClan!A:A,kunishuClan!B:B),"浪人")))</f>
      </c>
      <c r="F499" s="4">
        <v>0</v>
      </c>
      <c r="G499" s="4">
        <v>7</v>
      </c>
      <c r="H499" s="12" t="str">
        <f t="array" ref="H499">IF(G499:G4540="","",_xlfn.XLOOKUP(G499:G4540,castles_state!A:A,castles_state!D:D,"見つかりません"))</f>
      </c>
      <c r="I499" s="4"/>
      <c r="J499" s="12" t="str">
        <f t="array" ref="J499">IF(I499:I4540="","",_xlfn.XLOOKUP(I499:I4540,'参照_姫'!A:A,'参照_姫'!B:B,"見つかりません"))</f>
      </c>
      <c r="K499" s="4">
        <v>95</v>
      </c>
      <c r="L499" s="4">
        <v>0</v>
      </c>
      <c r="M499" s="4"/>
      <c r="N499" s="4"/>
      <c r="O499" s="4"/>
      <c r="P499" s="12" t="str">
        <f t="array" ref="P499">IF(O499:O4540="","",_xlfn.XLOOKUP(O499:O4540,'参照_官位'!A:A,'参照_官位'!B:B,""))</f>
      </c>
      <c r="Q499" s="12" t="str">
        <f t="array" ref="Q499">IF(A499:A4540="","",IFERROR(_xlfn.XLOOKUP(A499:A4540,castles_state!K:K,castles_state!D:D)&amp;"主",IFERROR(_xlfn.XLOOKUP(A499:A4540,kunishuClan!D:D,kunishuClan!B:B)&amp;"当主","")))</f>
      </c>
    </row>
    <row r="500" ht="15.75" customHeight="1">
      <c r="A500" s="4">
        <v>1006142</v>
      </c>
      <c r="B500" s="12" t="str">
        <f t="array" ref="B500">IF(A500:A4541="","",_xlfn.XLOOKUP(A500:A4541,'参照_武将'!A:A,'参照_武将'!B:B,"見つかりません"))</f>
      </c>
      <c r="C500" s="4" t="s">
        <v>98</v>
      </c>
      <c r="D500" s="4">
        <v>1</v>
      </c>
      <c r="E500" s="12" t="str">
        <f t="array" ref="E500">IF(D500:D4541="","",IFERROR(_xlfn.XLOOKUP(D500:D4541,'参照_勢力'!A:A,'参照_勢力'!B:B),IFERROR(_xlfn.XLOOKUP(F500:F4541,kunishuClan!A:A,kunishuClan!B:B),"浪人")))</f>
      </c>
      <c r="F500" s="4">
        <v>0</v>
      </c>
      <c r="G500" s="4">
        <v>3</v>
      </c>
      <c r="H500" s="12" t="str">
        <f t="array" ref="H500">IF(G500:G4541="","",_xlfn.XLOOKUP(G500:G4541,castles_state!A:A,castles_state!D:D,"見つかりません"))</f>
      </c>
      <c r="I500" s="4"/>
      <c r="J500" s="12" t="str">
        <f t="array" ref="J500">IF(I500:I4541="","",_xlfn.XLOOKUP(I500:I4541,'参照_姫'!A:A,'参照_姫'!B:B,"見つかりません"))</f>
      </c>
      <c r="K500" s="4">
        <v>95</v>
      </c>
      <c r="L500" s="4">
        <v>0</v>
      </c>
      <c r="M500" s="4"/>
      <c r="N500" s="4"/>
      <c r="O500" s="4"/>
      <c r="P500" s="12" t="str">
        <f t="array" ref="P500">IF(O500:O4541="","",_xlfn.XLOOKUP(O500:O4541,'参照_官位'!A:A,'参照_官位'!B:B,""))</f>
      </c>
      <c r="Q500" s="12" t="str">
        <f t="array" ref="Q500">IF(A500:A4541="","",IFERROR(_xlfn.XLOOKUP(A500:A4541,castles_state!K:K,castles_state!D:D)&amp;"主",IFERROR(_xlfn.XLOOKUP(A500:A4541,kunishuClan!D:D,kunishuClan!B:B)&amp;"当主","")))</f>
      </c>
    </row>
    <row r="501" ht="15.75" customHeight="1">
      <c r="A501" s="4">
        <v>1006143</v>
      </c>
      <c r="B501" s="12" t="str">
        <f t="array" ref="B501">IF(A501:A4542="","",_xlfn.XLOOKUP(A501:A4542,'参照_武将'!A:A,'参照_武将'!B:B,"見つかりません"))</f>
      </c>
      <c r="C501" s="4" t="s">
        <v>98</v>
      </c>
      <c r="D501" s="4">
        <v>1</v>
      </c>
      <c r="E501" s="12" t="str">
        <f t="array" ref="E501">IF(D501:D4542="","",IFERROR(_xlfn.XLOOKUP(D501:D4542,'参照_勢力'!A:A,'参照_勢力'!B:B),IFERROR(_xlfn.XLOOKUP(F501:F4542,kunishuClan!A:A,kunishuClan!B:B),"浪人")))</f>
      </c>
      <c r="F501" s="4">
        <v>0</v>
      </c>
      <c r="G501" s="4">
        <v>7</v>
      </c>
      <c r="H501" s="12" t="str">
        <f t="array" ref="H501">IF(G501:G4542="","",_xlfn.XLOOKUP(G501:G4542,castles_state!A:A,castles_state!D:D,"見つかりません"))</f>
      </c>
      <c r="I501" s="4"/>
      <c r="J501" s="12" t="str">
        <f t="array" ref="J501">IF(I501:I4542="","",_xlfn.XLOOKUP(I501:I4542,'参照_姫'!A:A,'参照_姫'!B:B,"見つかりません"))</f>
      </c>
      <c r="K501" s="4">
        <v>95</v>
      </c>
      <c r="L501" s="4">
        <v>0</v>
      </c>
      <c r="M501" s="4"/>
      <c r="N501" s="4"/>
      <c r="O501" s="4"/>
      <c r="P501" s="12" t="str">
        <f t="array" ref="P501">IF(O501:O4542="","",_xlfn.XLOOKUP(O501:O4542,'参照_官位'!A:A,'参照_官位'!B:B,""))</f>
      </c>
      <c r="Q501" s="12" t="str">
        <f t="array" ref="Q501">IF(A501:A4542="","",IFERROR(_xlfn.XLOOKUP(A501:A4542,castles_state!K:K,castles_state!D:D)&amp;"主",IFERROR(_xlfn.XLOOKUP(A501:A4542,kunishuClan!D:D,kunishuClan!B:B)&amp;"当主","")))</f>
      </c>
    </row>
    <row r="502" ht="15.75" customHeight="1">
      <c r="A502" s="4">
        <v>1006144</v>
      </c>
      <c r="B502" s="12" t="str">
        <f t="array" ref="B502">IF(A502:A4543="","",_xlfn.XLOOKUP(A502:A4543,'参照_武将'!A:A,'参照_武将'!B:B,"見つかりません"))</f>
      </c>
      <c r="C502" s="4" t="s">
        <v>98</v>
      </c>
      <c r="D502" s="4">
        <v>1</v>
      </c>
      <c r="E502" s="12" t="str">
        <f t="array" ref="E502">IF(D502:D4543="","",IFERROR(_xlfn.XLOOKUP(D502:D4543,'参照_勢力'!A:A,'参照_勢力'!B:B),IFERROR(_xlfn.XLOOKUP(F502:F4543,kunishuClan!A:A,kunishuClan!B:B),"浪人")))</f>
      </c>
      <c r="F502" s="4">
        <v>0</v>
      </c>
      <c r="G502" s="4">
        <v>7</v>
      </c>
      <c r="H502" s="12" t="str">
        <f t="array" ref="H502">IF(G502:G4543="","",_xlfn.XLOOKUP(G502:G4543,castles_state!A:A,castles_state!D:D,"見つかりません"))</f>
      </c>
      <c r="I502" s="4"/>
      <c r="J502" s="12" t="str">
        <f t="array" ref="J502">IF(I502:I4543="","",_xlfn.XLOOKUP(I502:I4543,'参照_姫'!A:A,'参照_姫'!B:B,"見つかりません"))</f>
      </c>
      <c r="K502" s="4">
        <v>95</v>
      </c>
      <c r="L502" s="4">
        <v>0</v>
      </c>
      <c r="M502" s="4"/>
      <c r="N502" s="4"/>
      <c r="O502" s="4"/>
      <c r="P502" s="12" t="str">
        <f t="array" ref="P502">IF(O502:O4543="","",_xlfn.XLOOKUP(O502:O4543,'参照_官位'!A:A,'参照_官位'!B:B,""))</f>
      </c>
      <c r="Q502" s="12" t="str">
        <f t="array" ref="Q502">IF(A502:A4543="","",IFERROR(_xlfn.XLOOKUP(A502:A4543,castles_state!K:K,castles_state!D:D)&amp;"主",IFERROR(_xlfn.XLOOKUP(A502:A4543,kunishuClan!D:D,kunishuClan!B:B)&amp;"当主","")))</f>
      </c>
    </row>
    <row r="503" ht="15.75" customHeight="1">
      <c r="A503" s="4">
        <v>1006145</v>
      </c>
      <c r="B503" s="12" t="str">
        <f t="array" ref="B503">IF(A503:A4544="","",_xlfn.XLOOKUP(A503:A4544,'参照_武将'!A:A,'参照_武将'!B:B,"見つかりません"))</f>
      </c>
      <c r="C503" s="4" t="s">
        <v>98</v>
      </c>
      <c r="D503" s="4">
        <v>1</v>
      </c>
      <c r="E503" s="12" t="str">
        <f t="array" ref="E503">IF(D503:D4544="","",IFERROR(_xlfn.XLOOKUP(D503:D4544,'参照_勢力'!A:A,'参照_勢力'!B:B),IFERROR(_xlfn.XLOOKUP(F503:F4544,kunishuClan!A:A,kunishuClan!B:B),"浪人")))</f>
      </c>
      <c r="F503" s="4">
        <v>0</v>
      </c>
      <c r="G503" s="4">
        <v>7</v>
      </c>
      <c r="H503" s="12" t="str">
        <f t="array" ref="H503">IF(G503:G4544="","",_xlfn.XLOOKUP(G503:G4544,castles_state!A:A,castles_state!D:D,"見つかりません"))</f>
      </c>
      <c r="I503" s="4"/>
      <c r="J503" s="12" t="str">
        <f t="array" ref="J503">IF(I503:I4544="","",_xlfn.XLOOKUP(I503:I4544,'参照_姫'!A:A,'参照_姫'!B:B,"見つかりません"))</f>
      </c>
      <c r="K503" s="4">
        <v>95</v>
      </c>
      <c r="L503" s="4">
        <v>0</v>
      </c>
      <c r="M503" s="4"/>
      <c r="N503" s="4"/>
      <c r="O503" s="4"/>
      <c r="P503" s="12" t="str">
        <f t="array" ref="P503">IF(O503:O4544="","",_xlfn.XLOOKUP(O503:O4544,'参照_官位'!A:A,'参照_官位'!B:B,""))</f>
      </c>
      <c r="Q503" s="12" t="str">
        <f t="array" ref="Q503">IF(A503:A4544="","",IFERROR(_xlfn.XLOOKUP(A503:A4544,castles_state!K:K,castles_state!D:D)&amp;"主",IFERROR(_xlfn.XLOOKUP(A503:A4544,kunishuClan!D:D,kunishuClan!B:B)&amp;"当主","")))</f>
      </c>
    </row>
    <row r="504" ht="15.75" customHeight="1">
      <c r="A504" s="4">
        <v>1006146</v>
      </c>
      <c r="B504" s="12" t="str">
        <f t="array" ref="B504">IF(A504:A4545="","",_xlfn.XLOOKUP(A504:A4545,'参照_武将'!A:A,'参照_武将'!B:B,"見つかりません"))</f>
      </c>
      <c r="C504" s="4" t="s">
        <v>98</v>
      </c>
      <c r="D504" s="4">
        <v>1</v>
      </c>
      <c r="E504" s="12" t="str">
        <f t="array" ref="E504">IF(D504:D4545="","",IFERROR(_xlfn.XLOOKUP(D504:D4545,'参照_勢力'!A:A,'参照_勢力'!B:B),IFERROR(_xlfn.XLOOKUP(F504:F4545,kunishuClan!A:A,kunishuClan!B:B),"浪人")))</f>
      </c>
      <c r="F504" s="4">
        <v>0</v>
      </c>
      <c r="G504" s="4">
        <v>7</v>
      </c>
      <c r="H504" s="12" t="str">
        <f t="array" ref="H504">IF(G504:G4545="","",_xlfn.XLOOKUP(G504:G4545,castles_state!A:A,castles_state!D:D,"見つかりません"))</f>
      </c>
      <c r="I504" s="4"/>
      <c r="J504" s="12" t="str">
        <f t="array" ref="J504">IF(I504:I4545="","",_xlfn.XLOOKUP(I504:I4545,'参照_姫'!A:A,'参照_姫'!B:B,"見つかりません"))</f>
      </c>
      <c r="K504" s="4">
        <v>95</v>
      </c>
      <c r="L504" s="4">
        <v>0</v>
      </c>
      <c r="M504" s="4"/>
      <c r="N504" s="4"/>
      <c r="O504" s="4"/>
      <c r="P504" s="12" t="str">
        <f t="array" ref="P504">IF(O504:O4545="","",_xlfn.XLOOKUP(O504:O4545,'参照_官位'!A:A,'参照_官位'!B:B,""))</f>
      </c>
      <c r="Q504" s="12" t="str">
        <f t="array" ref="Q504">IF(A504:A4545="","",IFERROR(_xlfn.XLOOKUP(A504:A4545,castles_state!K:K,castles_state!D:D)&amp;"主",IFERROR(_xlfn.XLOOKUP(A504:A4545,kunishuClan!D:D,kunishuClan!B:B)&amp;"当主","")))</f>
      </c>
    </row>
    <row r="505" ht="15.75" customHeight="1">
      <c r="A505" s="4">
        <v>1006147</v>
      </c>
      <c r="B505" s="12" t="str">
        <f t="array" ref="B505">IF(A505:A4546="","",_xlfn.XLOOKUP(A505:A4546,'参照_武将'!A:A,'参照_武将'!B:B,"見つかりません"))</f>
      </c>
      <c r="C505" s="4" t="s">
        <v>98</v>
      </c>
      <c r="D505" s="4">
        <v>1</v>
      </c>
      <c r="E505" s="12" t="str">
        <f t="array" ref="E505">IF(D505:D4546="","",IFERROR(_xlfn.XLOOKUP(D505:D4546,'参照_勢力'!A:A,'参照_勢力'!B:B),IFERROR(_xlfn.XLOOKUP(F505:F4546,kunishuClan!A:A,kunishuClan!B:B),"浪人")))</f>
      </c>
      <c r="F505" s="4">
        <v>0</v>
      </c>
      <c r="G505" s="4">
        <v>7</v>
      </c>
      <c r="H505" s="12" t="str">
        <f t="array" ref="H505">IF(G505:G4546="","",_xlfn.XLOOKUP(G505:G4546,castles_state!A:A,castles_state!D:D,"見つかりません"))</f>
      </c>
      <c r="I505" s="4"/>
      <c r="J505" s="12" t="str">
        <f t="array" ref="J505">IF(I505:I4546="","",_xlfn.XLOOKUP(I505:I4546,'参照_姫'!A:A,'参照_姫'!B:B,"見つかりません"))</f>
      </c>
      <c r="K505" s="4">
        <v>95</v>
      </c>
      <c r="L505" s="4">
        <v>0</v>
      </c>
      <c r="M505" s="4"/>
      <c r="N505" s="4"/>
      <c r="O505" s="4"/>
      <c r="P505" s="12" t="str">
        <f t="array" ref="P505">IF(O505:O4546="","",_xlfn.XLOOKUP(O505:O4546,'参照_官位'!A:A,'参照_官位'!B:B,""))</f>
      </c>
      <c r="Q505" s="12" t="str">
        <f t="array" ref="Q505">IF(A505:A4546="","",IFERROR(_xlfn.XLOOKUP(A505:A4546,castles_state!K:K,castles_state!D:D)&amp;"主",IFERROR(_xlfn.XLOOKUP(A505:A4546,kunishuClan!D:D,kunishuClan!B:B)&amp;"当主","")))</f>
      </c>
    </row>
    <row r="506" ht="15.75" customHeight="1">
      <c r="A506" s="4">
        <v>1006148</v>
      </c>
      <c r="B506" s="12" t="str">
        <f t="array" ref="B506">IF(A506:A4547="","",_xlfn.XLOOKUP(A506:A4547,'参照_武将'!A:A,'参照_武将'!B:B,"見つかりません"))</f>
      </c>
      <c r="C506" s="4" t="s">
        <v>98</v>
      </c>
      <c r="D506" s="4">
        <v>15</v>
      </c>
      <c r="E506" s="12" t="str">
        <f t="array" ref="E506">IF(D506:D4547="","",IFERROR(_xlfn.XLOOKUP(D506:D4547,'参照_勢力'!A:A,'参照_勢力'!B:B),IFERROR(_xlfn.XLOOKUP(F506:F4547,kunishuClan!A:A,kunishuClan!B:B),"浪人")))</f>
      </c>
      <c r="F506" s="4">
        <v>0</v>
      </c>
      <c r="G506" s="4">
        <v>23</v>
      </c>
      <c r="H506" s="12" t="str">
        <f t="array" ref="H506">IF(G506:G4547="","",_xlfn.XLOOKUP(G506:G4547,castles_state!A:A,castles_state!D:D,"見つかりません"))</f>
      </c>
      <c r="I506" s="4"/>
      <c r="J506" s="12" t="str">
        <f t="array" ref="J506">IF(I506:I4547="","",_xlfn.XLOOKUP(I506:I4547,'参照_姫'!A:A,'参照_姫'!B:B,"見つかりません"))</f>
      </c>
      <c r="K506" s="4">
        <v>90</v>
      </c>
      <c r="L506" s="4">
        <v>0</v>
      </c>
      <c r="M506" s="4"/>
      <c r="N506" s="4"/>
      <c r="O506" s="4"/>
      <c r="P506" s="12" t="str">
        <f t="array" ref="P506">IF(O506:O4547="","",_xlfn.XLOOKUP(O506:O4547,'参照_官位'!A:A,'参照_官位'!B:B,""))</f>
      </c>
      <c r="Q506" s="12" t="str">
        <f t="array" ref="Q506">IF(A506:A4547="","",IFERROR(_xlfn.XLOOKUP(A506:A4547,castles_state!K:K,castles_state!D:D)&amp;"主",IFERROR(_xlfn.XLOOKUP(A506:A4547,kunishuClan!D:D,kunishuClan!B:B)&amp;"当主","")))</f>
      </c>
    </row>
    <row r="507" ht="15.75" customHeight="1">
      <c r="A507" s="4">
        <v>1006149</v>
      </c>
      <c r="B507" s="12" t="str">
        <f t="array" ref="B507">IF(A507:A4548="","",_xlfn.XLOOKUP(A507:A4548,'参照_武将'!A:A,'参照_武将'!B:B,"見つかりません"))</f>
      </c>
      <c r="C507" s="4" t="s">
        <v>98</v>
      </c>
      <c r="D507" s="4">
        <v>1</v>
      </c>
      <c r="E507" s="12" t="str">
        <f t="array" ref="E507">IF(D507:D4548="","",IFERROR(_xlfn.XLOOKUP(D507:D4548,'参照_勢力'!A:A,'参照_勢力'!B:B),IFERROR(_xlfn.XLOOKUP(F507:F4548,kunishuClan!A:A,kunishuClan!B:B),"浪人")))</f>
      </c>
      <c r="F507" s="4">
        <v>0</v>
      </c>
      <c r="G507" s="4">
        <v>7</v>
      </c>
      <c r="H507" s="12" t="str">
        <f t="array" ref="H507">IF(G507:G4548="","",_xlfn.XLOOKUP(G507:G4548,castles_state!A:A,castles_state!D:D,"見つかりません"))</f>
      </c>
      <c r="I507" s="4"/>
      <c r="J507" s="12" t="str">
        <f t="array" ref="J507">IF(I507:I4548="","",_xlfn.XLOOKUP(I507:I4548,'参照_姫'!A:A,'参照_姫'!B:B,"見つかりません"))</f>
      </c>
      <c r="K507" s="4">
        <v>90</v>
      </c>
      <c r="L507" s="4">
        <v>0</v>
      </c>
      <c r="M507" s="4"/>
      <c r="N507" s="4"/>
      <c r="O507" s="4"/>
      <c r="P507" s="12" t="str">
        <f t="array" ref="P507">IF(O507:O4548="","",_xlfn.XLOOKUP(O507:O4548,'参照_官位'!A:A,'参照_官位'!B:B,""))</f>
      </c>
      <c r="Q507" s="12" t="str">
        <f t="array" ref="Q507">IF(A507:A4548="","",IFERROR(_xlfn.XLOOKUP(A507:A4548,castles_state!K:K,castles_state!D:D)&amp;"主",IFERROR(_xlfn.XLOOKUP(A507:A4548,kunishuClan!D:D,kunishuClan!B:B)&amp;"当主","")))</f>
      </c>
    </row>
    <row r="508" ht="15.75" customHeight="1">
      <c r="A508" s="4">
        <v>1006150</v>
      </c>
      <c r="B508" s="12" t="str">
        <f t="array" ref="B508">IF(A508:A4549="","",_xlfn.XLOOKUP(A508:A4549,'参照_武将'!A:A,'参照_武将'!B:B,"見つかりません"))</f>
      </c>
      <c r="C508" s="4" t="s">
        <v>98</v>
      </c>
      <c r="D508" s="4">
        <v>1</v>
      </c>
      <c r="E508" s="12" t="str">
        <f t="array" ref="E508">IF(D508:D4549="","",IFERROR(_xlfn.XLOOKUP(D508:D4549,'参照_勢力'!A:A,'参照_勢力'!B:B),IFERROR(_xlfn.XLOOKUP(F508:F4549,kunishuClan!A:A,kunishuClan!B:B),"浪人")))</f>
      </c>
      <c r="F508" s="4">
        <v>0</v>
      </c>
      <c r="G508" s="4">
        <v>7</v>
      </c>
      <c r="H508" s="12" t="str">
        <f t="array" ref="H508">IF(G508:G4549="","",_xlfn.XLOOKUP(G508:G4549,castles_state!A:A,castles_state!D:D,"見つかりません"))</f>
      </c>
      <c r="I508" s="4"/>
      <c r="J508" s="12" t="str">
        <f t="array" ref="J508">IF(I508:I4549="","",_xlfn.XLOOKUP(I508:I4549,'参照_姫'!A:A,'参照_姫'!B:B,"見つかりません"))</f>
      </c>
      <c r="K508" s="4">
        <v>90</v>
      </c>
      <c r="L508" s="4">
        <v>0</v>
      </c>
      <c r="M508" s="4"/>
      <c r="N508" s="4"/>
      <c r="O508" s="4"/>
      <c r="P508" s="12" t="str">
        <f t="array" ref="P508">IF(O508:O4549="","",_xlfn.XLOOKUP(O508:O4549,'参照_官位'!A:A,'参照_官位'!B:B,""))</f>
      </c>
      <c r="Q508" s="12" t="str">
        <f t="array" ref="Q508">IF(A508:A4549="","",IFERROR(_xlfn.XLOOKUP(A508:A4549,castles_state!K:K,castles_state!D:D)&amp;"主",IFERROR(_xlfn.XLOOKUP(A508:A4549,kunishuClan!D:D,kunishuClan!B:B)&amp;"当主","")))</f>
      </c>
    </row>
    <row r="509" ht="15.75" customHeight="1">
      <c r="A509" s="4">
        <v>1006151</v>
      </c>
      <c r="B509" s="12" t="str">
        <f t="array" ref="B509">IF(A509:A4550="","",_xlfn.XLOOKUP(A509:A4550,'参照_武将'!A:A,'参照_武将'!B:B,"見つかりません"))</f>
      </c>
      <c r="C509" s="4" t="s">
        <v>98</v>
      </c>
      <c r="D509" s="4">
        <v>1</v>
      </c>
      <c r="E509" s="12" t="str">
        <f t="array" ref="E509">IF(D509:D4550="","",IFERROR(_xlfn.XLOOKUP(D509:D4550,'参照_勢力'!A:A,'参照_勢力'!B:B),IFERROR(_xlfn.XLOOKUP(F509:F4550,kunishuClan!A:A,kunishuClan!B:B),"浪人")))</f>
      </c>
      <c r="F509" s="4">
        <v>0</v>
      </c>
      <c r="G509" s="4">
        <v>7</v>
      </c>
      <c r="H509" s="12" t="str">
        <f t="array" ref="H509">IF(G509:G4550="","",_xlfn.XLOOKUP(G509:G4550,castles_state!A:A,castles_state!D:D,"見つかりません"))</f>
      </c>
      <c r="I509" s="4"/>
      <c r="J509" s="12" t="str">
        <f t="array" ref="J509">IF(I509:I4550="","",_xlfn.XLOOKUP(I509:I4550,'参照_姫'!A:A,'参照_姫'!B:B,"見つかりません"))</f>
      </c>
      <c r="K509" s="4">
        <v>90</v>
      </c>
      <c r="L509" s="4">
        <v>0</v>
      </c>
      <c r="M509" s="4"/>
      <c r="N509" s="4"/>
      <c r="O509" s="4"/>
      <c r="P509" s="12" t="str">
        <f t="array" ref="P509">IF(O509:O4550="","",_xlfn.XLOOKUP(O509:O4550,'参照_官位'!A:A,'参照_官位'!B:B,""))</f>
      </c>
      <c r="Q509" s="12" t="str">
        <f t="array" ref="Q509">IF(A509:A4550="","",IFERROR(_xlfn.XLOOKUP(A509:A4550,castles_state!K:K,castles_state!D:D)&amp;"主",IFERROR(_xlfn.XLOOKUP(A509:A4550,kunishuClan!D:D,kunishuClan!B:B)&amp;"当主","")))</f>
      </c>
    </row>
    <row r="510" ht="15.75" customHeight="1">
      <c r="A510" s="4">
        <v>1006152</v>
      </c>
      <c r="B510" s="12" t="str">
        <f t="array" ref="B510">IF(A510:A4551="","",_xlfn.XLOOKUP(A510:A4551,'参照_武将'!A:A,'参照_武将'!B:B,"見つかりません"))</f>
      </c>
      <c r="C510" s="4" t="s">
        <v>98</v>
      </c>
      <c r="D510" s="4">
        <v>1</v>
      </c>
      <c r="E510" s="12" t="str">
        <f t="array" ref="E510">IF(D510:D4551="","",IFERROR(_xlfn.XLOOKUP(D510:D4551,'参照_勢力'!A:A,'参照_勢力'!B:B),IFERROR(_xlfn.XLOOKUP(F510:F4551,kunishuClan!A:A,kunishuClan!B:B),"浪人")))</f>
      </c>
      <c r="F510" s="4">
        <v>0</v>
      </c>
      <c r="G510" s="4">
        <v>36</v>
      </c>
      <c r="H510" s="12" t="str">
        <f t="array" ref="H510">IF(G510:G4551="","",_xlfn.XLOOKUP(G510:G4551,castles_state!A:A,castles_state!D:D,"見つかりません"))</f>
      </c>
      <c r="I510" s="4"/>
      <c r="J510" s="12" t="str">
        <f t="array" ref="J510">IF(I510:I4551="","",_xlfn.XLOOKUP(I510:I4551,'参照_姫'!A:A,'参照_姫'!B:B,"見つかりません"))</f>
      </c>
      <c r="K510" s="4">
        <v>90</v>
      </c>
      <c r="L510" s="4">
        <v>0</v>
      </c>
      <c r="M510" s="4"/>
      <c r="N510" s="4"/>
      <c r="O510" s="4"/>
      <c r="P510" s="12" t="str">
        <f t="array" ref="P510">IF(O510:O4551="","",_xlfn.XLOOKUP(O510:O4551,'参照_官位'!A:A,'参照_官位'!B:B,""))</f>
      </c>
      <c r="Q510" s="12" t="str">
        <f t="array" ref="Q510">IF(A510:A4551="","",IFERROR(_xlfn.XLOOKUP(A510:A4551,castles_state!K:K,castles_state!D:D)&amp;"主",IFERROR(_xlfn.XLOOKUP(A510:A4551,kunishuClan!D:D,kunishuClan!B:B)&amp;"当主","")))</f>
      </c>
    </row>
    <row r="511" ht="15.75" customHeight="1">
      <c r="A511" s="4">
        <v>1006153</v>
      </c>
      <c r="B511" s="12" t="str">
        <f t="array" ref="B511">IF(A511:A4552="","",_xlfn.XLOOKUP(A511:A4552,'参照_武将'!A:A,'参照_武将'!B:B,"見つかりません"))</f>
      </c>
      <c r="C511" s="4" t="s">
        <v>98</v>
      </c>
      <c r="D511" s="4">
        <v>1</v>
      </c>
      <c r="E511" s="12" t="str">
        <f t="array" ref="E511">IF(D511:D4552="","",IFERROR(_xlfn.XLOOKUP(D511:D4552,'参照_勢力'!A:A,'参照_勢力'!B:B),IFERROR(_xlfn.XLOOKUP(F511:F4552,kunishuClan!A:A,kunishuClan!B:B),"浪人")))</f>
      </c>
      <c r="F511" s="4">
        <v>0</v>
      </c>
      <c r="G511" s="4">
        <v>7</v>
      </c>
      <c r="H511" s="12" t="str">
        <f t="array" ref="H511">IF(G511:G4552="","",_xlfn.XLOOKUP(G511:G4552,castles_state!A:A,castles_state!D:D,"見つかりません"))</f>
      </c>
      <c r="I511" s="4"/>
      <c r="J511" s="12" t="str">
        <f t="array" ref="J511">IF(I511:I4552="","",_xlfn.XLOOKUP(I511:I4552,'参照_姫'!A:A,'参照_姫'!B:B,"見つかりません"))</f>
      </c>
      <c r="K511" s="4">
        <v>96</v>
      </c>
      <c r="L511" s="4">
        <v>0</v>
      </c>
      <c r="M511" s="4"/>
      <c r="N511" s="4"/>
      <c r="O511" s="4"/>
      <c r="P511" s="12" t="str">
        <f t="array" ref="P511">IF(O511:O4552="","",_xlfn.XLOOKUP(O511:O4552,'参照_官位'!A:A,'参照_官位'!B:B,""))</f>
      </c>
      <c r="Q511" s="12" t="str">
        <f t="array" ref="Q511">IF(A511:A4552="","",IFERROR(_xlfn.XLOOKUP(A511:A4552,castles_state!K:K,castles_state!D:D)&amp;"主",IFERROR(_xlfn.XLOOKUP(A511:A4552,kunishuClan!D:D,kunishuClan!B:B)&amp;"当主","")))</f>
      </c>
    </row>
    <row r="512" ht="15.75" customHeight="1">
      <c r="A512" s="4">
        <v>1006154</v>
      </c>
      <c r="B512" s="12" t="str">
        <f t="array" ref="B512">IF(A512:A4553="","",_xlfn.XLOOKUP(A512:A4553,'参照_武将'!A:A,'参照_武将'!B:B,"見つかりません"))</f>
      </c>
      <c r="C512" s="4" t="s">
        <v>98</v>
      </c>
      <c r="D512" s="4">
        <v>1</v>
      </c>
      <c r="E512" s="12" t="str">
        <f t="array" ref="E512">IF(D512:D4553="","",IFERROR(_xlfn.XLOOKUP(D512:D4553,'参照_勢力'!A:A,'参照_勢力'!B:B),IFERROR(_xlfn.XLOOKUP(F512:F4553,kunishuClan!A:A,kunishuClan!B:B),"浪人")))</f>
      </c>
      <c r="F512" s="4">
        <v>0</v>
      </c>
      <c r="G512" s="4">
        <v>11</v>
      </c>
      <c r="H512" s="12" t="str">
        <f t="array" ref="H512">IF(G512:G4553="","",_xlfn.XLOOKUP(G512:G4553,castles_state!A:A,castles_state!D:D,"見つかりません"))</f>
      </c>
      <c r="I512" s="4"/>
      <c r="J512" s="12" t="str">
        <f t="array" ref="J512">IF(I512:I4553="","",_xlfn.XLOOKUP(I512:I4553,'参照_姫'!A:A,'参照_姫'!B:B,"見つかりません"))</f>
      </c>
      <c r="K512" s="4">
        <v>95</v>
      </c>
      <c r="L512" s="4">
        <v>0</v>
      </c>
      <c r="M512" s="4"/>
      <c r="N512" s="4"/>
      <c r="O512" s="4"/>
      <c r="P512" s="12" t="str">
        <f t="array" ref="P512">IF(O512:O4553="","",_xlfn.XLOOKUP(O512:O4553,'参照_官位'!A:A,'参照_官位'!B:B,""))</f>
      </c>
      <c r="Q512" s="12" t="str">
        <f t="array" ref="Q512">IF(A512:A4553="","",IFERROR(_xlfn.XLOOKUP(A512:A4553,castles_state!K:K,castles_state!D:D)&amp;"主",IFERROR(_xlfn.XLOOKUP(A512:A4553,kunishuClan!D:D,kunishuClan!B:B)&amp;"当主","")))</f>
      </c>
    </row>
    <row r="513" ht="15.75" customHeight="1">
      <c r="A513" s="4">
        <v>1006155</v>
      </c>
      <c r="B513" s="12" t="str">
        <f t="array" ref="B513">IF(A513:A4554="","",_xlfn.XLOOKUP(A513:A4554,'参照_武将'!A:A,'参照_武将'!B:B,"見つかりません"))</f>
      </c>
      <c r="C513" s="4" t="s">
        <v>98</v>
      </c>
      <c r="D513" s="4">
        <v>1</v>
      </c>
      <c r="E513" s="12" t="str">
        <f t="array" ref="E513">IF(D513:D4554="","",IFERROR(_xlfn.XLOOKUP(D513:D4554,'参照_勢力'!A:A,'参照_勢力'!B:B),IFERROR(_xlfn.XLOOKUP(F513:F4554,kunishuClan!A:A,kunishuClan!B:B),"浪人")))</f>
      </c>
      <c r="F513" s="4">
        <v>0</v>
      </c>
      <c r="G513" s="4">
        <v>3</v>
      </c>
      <c r="H513" s="12" t="str">
        <f t="array" ref="H513">IF(G513:G4554="","",_xlfn.XLOOKUP(G513:G4554,castles_state!A:A,castles_state!D:D,"見つかりません"))</f>
      </c>
      <c r="I513" s="4">
        <v>9</v>
      </c>
      <c r="J513" s="12" t="str">
        <f t="array" ref="J513">IF(I513:I4554="","",_xlfn.XLOOKUP(I513:I4554,'参照_姫'!A:A,'参照_姫'!B:B,"見つかりません"))</f>
      </c>
      <c r="K513" s="4">
        <v>95</v>
      </c>
      <c r="L513" s="4">
        <v>0</v>
      </c>
      <c r="M513" s="4"/>
      <c r="N513" s="4"/>
      <c r="O513" s="4"/>
      <c r="P513" s="12" t="str">
        <f t="array" ref="P513">IF(O513:O4554="","",_xlfn.XLOOKUP(O513:O4554,'参照_官位'!A:A,'参照_官位'!B:B,""))</f>
      </c>
      <c r="Q513" s="12" t="str">
        <f t="array" ref="Q513">IF(A513:A4554="","",IFERROR(_xlfn.XLOOKUP(A513:A4554,castles_state!K:K,castles_state!D:D)&amp;"主",IFERROR(_xlfn.XLOOKUP(A513:A4554,kunishuClan!D:D,kunishuClan!B:B)&amp;"当主","")))</f>
      </c>
    </row>
    <row r="514" ht="15.75" customHeight="1">
      <c r="A514" s="4">
        <v>1006156</v>
      </c>
      <c r="B514" s="12" t="str">
        <f t="array" ref="B514">IF(A514:A4555="","",_xlfn.XLOOKUP(A514:A4555,'参照_武将'!A:A,'参照_武将'!B:B,"見つかりません"))</f>
      </c>
      <c r="C514" s="4" t="s">
        <v>98</v>
      </c>
      <c r="D514" s="4">
        <v>1</v>
      </c>
      <c r="E514" s="12" t="str">
        <f t="array" ref="E514">IF(D514:D4555="","",IFERROR(_xlfn.XLOOKUP(D514:D4555,'参照_勢力'!A:A,'参照_勢力'!B:B),IFERROR(_xlfn.XLOOKUP(F514:F4555,kunishuClan!A:A,kunishuClan!B:B),"浪人")))</f>
      </c>
      <c r="F514" s="4">
        <v>0</v>
      </c>
      <c r="G514" s="4">
        <v>7</v>
      </c>
      <c r="H514" s="12" t="str">
        <f t="array" ref="H514">IF(G514:G4555="","",_xlfn.XLOOKUP(G514:G4555,castles_state!A:A,castles_state!D:D,"見つかりません"))</f>
      </c>
      <c r="I514" s="4"/>
      <c r="J514" s="12" t="str">
        <f t="array" ref="J514">IF(I514:I4555="","",_xlfn.XLOOKUP(I514:I4555,'参照_姫'!A:A,'参照_姫'!B:B,"見つかりません"))</f>
      </c>
      <c r="K514" s="4">
        <v>96</v>
      </c>
      <c r="L514" s="4">
        <v>0</v>
      </c>
      <c r="M514" s="4"/>
      <c r="N514" s="4"/>
      <c r="O514" s="4"/>
      <c r="P514" s="12" t="str">
        <f t="array" ref="P514">IF(O514:O4555="","",_xlfn.XLOOKUP(O514:O4555,'参照_官位'!A:A,'参照_官位'!B:B,""))</f>
      </c>
      <c r="Q514" s="12" t="str">
        <f t="array" ref="Q514">IF(A514:A4555="","",IFERROR(_xlfn.XLOOKUP(A514:A4555,castles_state!K:K,castles_state!D:D)&amp;"主",IFERROR(_xlfn.XLOOKUP(A514:A4555,kunishuClan!D:D,kunishuClan!B:B)&amp;"当主","")))</f>
      </c>
    </row>
    <row r="515" ht="15.75" customHeight="1">
      <c r="A515" s="4">
        <v>1006157</v>
      </c>
      <c r="B515" s="12" t="str">
        <f t="array" ref="B515">IF(A515:A4556="","",_xlfn.XLOOKUP(A515:A4556,'参照_武将'!A:A,'参照_武将'!B:B,"見つかりません"))</f>
      </c>
      <c r="C515" s="4" t="s">
        <v>98</v>
      </c>
      <c r="D515" s="4">
        <v>1</v>
      </c>
      <c r="E515" s="12" t="str">
        <f t="array" ref="E515">IF(D515:D4556="","",IFERROR(_xlfn.XLOOKUP(D515:D4556,'参照_勢力'!A:A,'参照_勢力'!B:B),IFERROR(_xlfn.XLOOKUP(F515:F4556,kunishuClan!A:A,kunishuClan!B:B),"浪人")))</f>
      </c>
      <c r="F515" s="4">
        <v>0</v>
      </c>
      <c r="G515" s="4">
        <v>7</v>
      </c>
      <c r="H515" s="12" t="str">
        <f t="array" ref="H515">IF(G515:G4556="","",_xlfn.XLOOKUP(G515:G4556,castles_state!A:A,castles_state!D:D,"見つかりません"))</f>
      </c>
      <c r="I515" s="4"/>
      <c r="J515" s="12" t="str">
        <f t="array" ref="J515">IF(I515:I4556="","",_xlfn.XLOOKUP(I515:I4556,'参照_姫'!A:A,'参照_姫'!B:B,"見つかりません"))</f>
      </c>
      <c r="K515" s="4">
        <v>96</v>
      </c>
      <c r="L515" s="4">
        <v>0</v>
      </c>
      <c r="M515" s="4"/>
      <c r="N515" s="4"/>
      <c r="O515" s="4"/>
      <c r="P515" s="12" t="str">
        <f t="array" ref="P515">IF(O515:O4556="","",_xlfn.XLOOKUP(O515:O4556,'参照_官位'!A:A,'参照_官位'!B:B,""))</f>
      </c>
      <c r="Q515" s="12" t="str">
        <f t="array" ref="Q515">IF(A515:A4556="","",IFERROR(_xlfn.XLOOKUP(A515:A4556,castles_state!K:K,castles_state!D:D)&amp;"主",IFERROR(_xlfn.XLOOKUP(A515:A4556,kunishuClan!D:D,kunishuClan!B:B)&amp;"当主","")))</f>
      </c>
    </row>
    <row r="516" ht="15.75" customHeight="1">
      <c r="A516" s="4">
        <v>1006158</v>
      </c>
      <c r="B516" s="12" t="str">
        <f t="array" ref="B516">IF(A516:A4557="","",_xlfn.XLOOKUP(A516:A4557,'参照_武将'!A:A,'参照_武将'!B:B,"見つかりません"))</f>
      </c>
      <c r="C516" s="4" t="s">
        <v>98</v>
      </c>
      <c r="D516" s="4">
        <v>1</v>
      </c>
      <c r="E516" s="12" t="str">
        <f t="array" ref="E516">IF(D516:D4557="","",IFERROR(_xlfn.XLOOKUP(D516:D4557,'参照_勢力'!A:A,'参照_勢力'!B:B),IFERROR(_xlfn.XLOOKUP(F516:F4557,kunishuClan!A:A,kunishuClan!B:B),"浪人")))</f>
      </c>
      <c r="F516" s="4">
        <v>0</v>
      </c>
      <c r="G516" s="4">
        <v>7</v>
      </c>
      <c r="H516" s="12" t="str">
        <f t="array" ref="H516">IF(G516:G4557="","",_xlfn.XLOOKUP(G516:G4557,castles_state!A:A,castles_state!D:D,"見つかりません"))</f>
      </c>
      <c r="I516" s="4"/>
      <c r="J516" s="12" t="str">
        <f t="array" ref="J516">IF(I516:I4557="","",_xlfn.XLOOKUP(I516:I4557,'参照_姫'!A:A,'参照_姫'!B:B,"見つかりません"))</f>
      </c>
      <c r="K516" s="4">
        <v>96</v>
      </c>
      <c r="L516" s="4">
        <v>0</v>
      </c>
      <c r="M516" s="4"/>
      <c r="N516" s="4"/>
      <c r="O516" s="4"/>
      <c r="P516" s="12" t="str">
        <f t="array" ref="P516">IF(O516:O4557="","",_xlfn.XLOOKUP(O516:O4557,'参照_官位'!A:A,'参照_官位'!B:B,""))</f>
      </c>
      <c r="Q516" s="12" t="str">
        <f t="array" ref="Q516">IF(A516:A4557="","",IFERROR(_xlfn.XLOOKUP(A516:A4557,castles_state!K:K,castles_state!D:D)&amp;"主",IFERROR(_xlfn.XLOOKUP(A516:A4557,kunishuClan!D:D,kunishuClan!B:B)&amp;"当主","")))</f>
      </c>
    </row>
    <row r="517" ht="15.75" customHeight="1">
      <c r="A517" s="4">
        <v>1006159</v>
      </c>
      <c r="B517" s="12" t="str">
        <f t="array" ref="B517">IF(A517:A4558="","",_xlfn.XLOOKUP(A517:A4558,'参照_武将'!A:A,'参照_武将'!B:B,"見つかりません"))</f>
      </c>
      <c r="C517" s="4" t="s">
        <v>98</v>
      </c>
      <c r="D517" s="4">
        <v>1</v>
      </c>
      <c r="E517" s="12" t="str">
        <f t="array" ref="E517">IF(D517:D4558="","",IFERROR(_xlfn.XLOOKUP(D517:D4558,'参照_勢力'!A:A,'参照_勢力'!B:B),IFERROR(_xlfn.XLOOKUP(F517:F4558,kunishuClan!A:A,kunishuClan!B:B),"浪人")))</f>
      </c>
      <c r="F517" s="4">
        <v>0</v>
      </c>
      <c r="G517" s="4">
        <v>7</v>
      </c>
      <c r="H517" s="12" t="str">
        <f t="array" ref="H517">IF(G517:G4558="","",_xlfn.XLOOKUP(G517:G4558,castles_state!A:A,castles_state!D:D,"見つかりません"))</f>
      </c>
      <c r="I517" s="4"/>
      <c r="J517" s="12" t="str">
        <f t="array" ref="J517">IF(I517:I4558="","",_xlfn.XLOOKUP(I517:I4558,'参照_姫'!A:A,'参照_姫'!B:B,"見つかりません"))</f>
      </c>
      <c r="K517" s="4">
        <v>90</v>
      </c>
      <c r="L517" s="4">
        <v>0</v>
      </c>
      <c r="M517" s="4"/>
      <c r="N517" s="4"/>
      <c r="O517" s="4"/>
      <c r="P517" s="12" t="str">
        <f t="array" ref="P517">IF(O517:O4558="","",_xlfn.XLOOKUP(O517:O4558,'参照_官位'!A:A,'参照_官位'!B:B,""))</f>
      </c>
      <c r="Q517" s="12" t="str">
        <f t="array" ref="Q517">IF(A517:A4558="","",IFERROR(_xlfn.XLOOKUP(A517:A4558,castles_state!K:K,castles_state!D:D)&amp;"主",IFERROR(_xlfn.XLOOKUP(A517:A4558,kunishuClan!D:D,kunishuClan!B:B)&amp;"当主","")))</f>
      </c>
    </row>
    <row r="518" ht="15.75" customHeight="1">
      <c r="A518" s="4">
        <v>1006160</v>
      </c>
      <c r="B518" s="12" t="str">
        <f t="array" ref="B518">IF(A518:A4559="","",_xlfn.XLOOKUP(A518:A4559,'参照_武将'!A:A,'参照_武将'!B:B,"見つかりません"))</f>
      </c>
      <c r="C518" s="4" t="s">
        <v>98</v>
      </c>
      <c r="D518" s="4">
        <v>1</v>
      </c>
      <c r="E518" s="12" t="str">
        <f t="array" ref="E518">IF(D518:D4559="","",IFERROR(_xlfn.XLOOKUP(D518:D4559,'参照_勢力'!A:A,'参照_勢力'!B:B),IFERROR(_xlfn.XLOOKUP(F518:F4559,kunishuClan!A:A,kunishuClan!B:B),"浪人")))</f>
      </c>
      <c r="F518" s="4">
        <v>0</v>
      </c>
      <c r="G518" s="4">
        <v>7</v>
      </c>
      <c r="H518" s="12" t="str">
        <f t="array" ref="H518">IF(G518:G4559="","",_xlfn.XLOOKUP(G518:G4559,castles_state!A:A,castles_state!D:D,"見つかりません"))</f>
      </c>
      <c r="I518" s="4"/>
      <c r="J518" s="12" t="str">
        <f t="array" ref="J518">IF(I518:I4559="","",_xlfn.XLOOKUP(I518:I4559,'参照_姫'!A:A,'参照_姫'!B:B,"見つかりません"))</f>
      </c>
      <c r="K518" s="4">
        <v>90</v>
      </c>
      <c r="L518" s="4">
        <v>0</v>
      </c>
      <c r="M518" s="4"/>
      <c r="N518" s="4"/>
      <c r="O518" s="4"/>
      <c r="P518" s="12" t="str">
        <f t="array" ref="P518">IF(O518:O4559="","",_xlfn.XLOOKUP(O518:O4559,'参照_官位'!A:A,'参照_官位'!B:B,""))</f>
      </c>
      <c r="Q518" s="12" t="str">
        <f t="array" ref="Q518">IF(A518:A4559="","",IFERROR(_xlfn.XLOOKUP(A518:A4559,castles_state!K:K,castles_state!D:D)&amp;"主",IFERROR(_xlfn.XLOOKUP(A518:A4559,kunishuClan!D:D,kunishuClan!B:B)&amp;"当主","")))</f>
      </c>
    </row>
    <row r="519" ht="15.75" customHeight="1">
      <c r="A519" s="4">
        <v>1006161</v>
      </c>
      <c r="B519" s="12" t="str">
        <f t="array" ref="B519">IF(A519:A4560="","",_xlfn.XLOOKUP(A519:A4560,'参照_武将'!A:A,'参照_武将'!B:B,"見つかりません"))</f>
      </c>
      <c r="C519" s="4" t="s">
        <v>98</v>
      </c>
      <c r="D519" s="4">
        <v>1</v>
      </c>
      <c r="E519" s="12" t="str">
        <f t="array" ref="E519">IF(D519:D4560="","",IFERROR(_xlfn.XLOOKUP(D519:D4560,'参照_勢力'!A:A,'参照_勢力'!B:B),IFERROR(_xlfn.XLOOKUP(F519:F4560,kunishuClan!A:A,kunishuClan!B:B),"浪人")))</f>
      </c>
      <c r="F519" s="4">
        <v>0</v>
      </c>
      <c r="G519" s="4">
        <v>7</v>
      </c>
      <c r="H519" s="12" t="str">
        <f t="array" ref="H519">IF(G519:G4560="","",_xlfn.XLOOKUP(G519:G4560,castles_state!A:A,castles_state!D:D,"見つかりません"))</f>
      </c>
      <c r="I519" s="4"/>
      <c r="J519" s="12" t="str">
        <f t="array" ref="J519">IF(I519:I4560="","",_xlfn.XLOOKUP(I519:I4560,'参照_姫'!A:A,'参照_姫'!B:B,"見つかりません"))</f>
      </c>
      <c r="K519" s="4">
        <v>90</v>
      </c>
      <c r="L519" s="4">
        <v>0</v>
      </c>
      <c r="M519" s="4"/>
      <c r="N519" s="4"/>
      <c r="O519" s="4"/>
      <c r="P519" s="12" t="str">
        <f t="array" ref="P519">IF(O519:O4560="","",_xlfn.XLOOKUP(O519:O4560,'参照_官位'!A:A,'参照_官位'!B:B,""))</f>
      </c>
      <c r="Q519" s="12" t="str">
        <f t="array" ref="Q519">IF(A519:A4560="","",IFERROR(_xlfn.XLOOKUP(A519:A4560,castles_state!K:K,castles_state!D:D)&amp;"主",IFERROR(_xlfn.XLOOKUP(A519:A4560,kunishuClan!D:D,kunishuClan!B:B)&amp;"当主","")))</f>
      </c>
    </row>
    <row r="520" ht="15.75" customHeight="1">
      <c r="A520" s="4">
        <v>1006162</v>
      </c>
      <c r="B520" s="12" t="str">
        <f t="array" ref="B520">IF(A520:A4561="","",_xlfn.XLOOKUP(A520:A4561,'参照_武将'!A:A,'参照_武将'!B:B,"見つかりません"))</f>
      </c>
      <c r="C520" s="4" t="s">
        <v>98</v>
      </c>
      <c r="D520" s="4">
        <v>1</v>
      </c>
      <c r="E520" s="12" t="str">
        <f t="array" ref="E520">IF(D520:D4561="","",IFERROR(_xlfn.XLOOKUP(D520:D4561,'参照_勢力'!A:A,'参照_勢力'!B:B),IFERROR(_xlfn.XLOOKUP(F520:F4561,kunishuClan!A:A,kunishuClan!B:B),"浪人")))</f>
      </c>
      <c r="F520" s="4">
        <v>0</v>
      </c>
      <c r="G520" s="4">
        <v>7</v>
      </c>
      <c r="H520" s="12" t="str">
        <f t="array" ref="H520">IF(G520:G4561="","",_xlfn.XLOOKUP(G520:G4561,castles_state!A:A,castles_state!D:D,"見つかりません"))</f>
      </c>
      <c r="I520" s="4"/>
      <c r="J520" s="12" t="str">
        <f t="array" ref="J520">IF(I520:I4561="","",_xlfn.XLOOKUP(I520:I4561,'参照_姫'!A:A,'参照_姫'!B:B,"見つかりません"))</f>
      </c>
      <c r="K520" s="4">
        <v>90</v>
      </c>
      <c r="L520" s="4">
        <v>0</v>
      </c>
      <c r="M520" s="4"/>
      <c r="N520" s="4"/>
      <c r="O520" s="4"/>
      <c r="P520" s="12" t="str">
        <f t="array" ref="P520">IF(O520:O4561="","",_xlfn.XLOOKUP(O520:O4561,'参照_官位'!A:A,'参照_官位'!B:B,""))</f>
      </c>
      <c r="Q520" s="12" t="str">
        <f t="array" ref="Q520">IF(A520:A4561="","",IFERROR(_xlfn.XLOOKUP(A520:A4561,castles_state!K:K,castles_state!D:D)&amp;"主",IFERROR(_xlfn.XLOOKUP(A520:A4561,kunishuClan!D:D,kunishuClan!B:B)&amp;"当主","")))</f>
      </c>
    </row>
    <row r="521" ht="15.75" customHeight="1">
      <c r="A521" s="4">
        <v>1006163</v>
      </c>
      <c r="B521" s="12" t="str">
        <f t="array" ref="B521">IF(A521:A4562="","",_xlfn.XLOOKUP(A521:A4562,'参照_武将'!A:A,'参照_武将'!B:B,"見つかりません"))</f>
      </c>
      <c r="C521" s="4" t="s">
        <v>98</v>
      </c>
      <c r="D521" s="4">
        <v>1</v>
      </c>
      <c r="E521" s="12" t="str">
        <f t="array" ref="E521">IF(D521:D4562="","",IFERROR(_xlfn.XLOOKUP(D521:D4562,'参照_勢力'!A:A,'参照_勢力'!B:B),IFERROR(_xlfn.XLOOKUP(F521:F4562,kunishuClan!A:A,kunishuClan!B:B),"浪人")))</f>
      </c>
      <c r="F521" s="4">
        <v>0</v>
      </c>
      <c r="G521" s="4">
        <v>7</v>
      </c>
      <c r="H521" s="12" t="str">
        <f t="array" ref="H521">IF(G521:G4562="","",_xlfn.XLOOKUP(G521:G4562,castles_state!A:A,castles_state!D:D,"見つかりません"))</f>
      </c>
      <c r="I521" s="4"/>
      <c r="J521" s="12" t="str">
        <f t="array" ref="J521">IF(I521:I4562="","",_xlfn.XLOOKUP(I521:I4562,'参照_姫'!A:A,'参照_姫'!B:B,"見つかりません"))</f>
      </c>
      <c r="K521" s="4">
        <v>90</v>
      </c>
      <c r="L521" s="4">
        <v>0</v>
      </c>
      <c r="M521" s="4"/>
      <c r="N521" s="4"/>
      <c r="O521" s="4"/>
      <c r="P521" s="12" t="str">
        <f t="array" ref="P521">IF(O521:O4562="","",_xlfn.XLOOKUP(O521:O4562,'参照_官位'!A:A,'参照_官位'!B:B,""))</f>
      </c>
      <c r="Q521" s="12" t="str">
        <f t="array" ref="Q521">IF(A521:A4562="","",IFERROR(_xlfn.XLOOKUP(A521:A4562,castles_state!K:K,castles_state!D:D)&amp;"主",IFERROR(_xlfn.XLOOKUP(A521:A4562,kunishuClan!D:D,kunishuClan!B:B)&amp;"当主","")))</f>
      </c>
    </row>
    <row r="522" ht="15.75" customHeight="1">
      <c r="A522" s="4">
        <v>1006164</v>
      </c>
      <c r="B522" s="12" t="str">
        <f t="array" ref="B522">IF(A522:A4563="","",_xlfn.XLOOKUP(A522:A4563,'参照_武将'!A:A,'参照_武将'!B:B,"見つかりません"))</f>
      </c>
      <c r="C522" s="4" t="s">
        <v>98</v>
      </c>
      <c r="D522" s="4">
        <v>1</v>
      </c>
      <c r="E522" s="12" t="str">
        <f t="array" ref="E522">IF(D522:D4563="","",IFERROR(_xlfn.XLOOKUP(D522:D4563,'参照_勢力'!A:A,'参照_勢力'!B:B),IFERROR(_xlfn.XLOOKUP(F522:F4563,kunishuClan!A:A,kunishuClan!B:B),"浪人")))</f>
      </c>
      <c r="F522" s="4">
        <v>0</v>
      </c>
      <c r="G522" s="4">
        <v>3</v>
      </c>
      <c r="H522" s="12" t="str">
        <f t="array" ref="H522">IF(G522:G4563="","",_xlfn.XLOOKUP(G522:G4563,castles_state!A:A,castles_state!D:D,"見つかりません"))</f>
      </c>
      <c r="I522" s="4"/>
      <c r="J522" s="12" t="str">
        <f t="array" ref="J522">IF(I522:I4563="","",_xlfn.XLOOKUP(I522:I4563,'参照_姫'!A:A,'参照_姫'!B:B,"見つかりません"))</f>
      </c>
      <c r="K522" s="4">
        <v>95</v>
      </c>
      <c r="L522" s="4">
        <v>0</v>
      </c>
      <c r="M522" s="4"/>
      <c r="N522" s="4"/>
      <c r="O522" s="4"/>
      <c r="P522" s="12" t="str">
        <f t="array" ref="P522">IF(O522:O4563="","",_xlfn.XLOOKUP(O522:O4563,'参照_官位'!A:A,'参照_官位'!B:B,""))</f>
      </c>
      <c r="Q522" s="12" t="str">
        <f t="array" ref="Q522">IF(A522:A4563="","",IFERROR(_xlfn.XLOOKUP(A522:A4563,castles_state!K:K,castles_state!D:D)&amp;"主",IFERROR(_xlfn.XLOOKUP(A522:A4563,kunishuClan!D:D,kunishuClan!B:B)&amp;"当主","")))</f>
      </c>
    </row>
    <row r="523" ht="15.75" customHeight="1">
      <c r="A523" s="4">
        <v>1006165</v>
      </c>
      <c r="B523" s="12" t="str">
        <f t="array" ref="B523">IF(A523:A4564="","",_xlfn.XLOOKUP(A523:A4564,'参照_武将'!A:A,'参照_武将'!B:B,"見つかりません"))</f>
      </c>
      <c r="C523" s="4" t="s">
        <v>98</v>
      </c>
      <c r="D523" s="4">
        <v>1</v>
      </c>
      <c r="E523" s="12" t="str">
        <f t="array" ref="E523">IF(D523:D4564="","",IFERROR(_xlfn.XLOOKUP(D523:D4564,'参照_勢力'!A:A,'参照_勢力'!B:B),IFERROR(_xlfn.XLOOKUP(F523:F4564,kunishuClan!A:A,kunishuClan!B:B),"浪人")))</f>
      </c>
      <c r="F523" s="4">
        <v>0</v>
      </c>
      <c r="G523" s="4">
        <v>11</v>
      </c>
      <c r="H523" s="12" t="str">
        <f t="array" ref="H523">IF(G523:G4564="","",_xlfn.XLOOKUP(G523:G4564,castles_state!A:A,castles_state!D:D,"見つかりません"))</f>
      </c>
      <c r="I523" s="4"/>
      <c r="J523" s="12" t="str">
        <f t="array" ref="J523">IF(I523:I4564="","",_xlfn.XLOOKUP(I523:I4564,'参照_姫'!A:A,'参照_姫'!B:B,"見つかりません"))</f>
      </c>
      <c r="K523" s="4">
        <v>95</v>
      </c>
      <c r="L523" s="4">
        <v>0</v>
      </c>
      <c r="M523" s="4"/>
      <c r="N523" s="4"/>
      <c r="O523" s="4"/>
      <c r="P523" s="12" t="str">
        <f t="array" ref="P523">IF(O523:O4564="","",_xlfn.XLOOKUP(O523:O4564,'参照_官位'!A:A,'参照_官位'!B:B,""))</f>
      </c>
      <c r="Q523" s="12" t="str">
        <f t="array" ref="Q523">IF(A523:A4564="","",IFERROR(_xlfn.XLOOKUP(A523:A4564,castles_state!K:K,castles_state!D:D)&amp;"主",IFERROR(_xlfn.XLOOKUP(A523:A4564,kunishuClan!D:D,kunishuClan!B:B)&amp;"当主","")))</f>
      </c>
    </row>
    <row r="524" ht="15.75" customHeight="1">
      <c r="A524" s="4">
        <v>1006166</v>
      </c>
      <c r="B524" s="12" t="str">
        <f t="array" ref="B524">IF(A524:A4565="","",_xlfn.XLOOKUP(A524:A4565,'参照_武将'!A:A,'参照_武将'!B:B,"見つかりません"))</f>
      </c>
      <c r="C524" s="4" t="s">
        <v>98</v>
      </c>
      <c r="D524" s="4">
        <v>1</v>
      </c>
      <c r="E524" s="12" t="str">
        <f t="array" ref="E524">IF(D524:D4565="","",IFERROR(_xlfn.XLOOKUP(D524:D4565,'参照_勢力'!A:A,'参照_勢力'!B:B),IFERROR(_xlfn.XLOOKUP(F524:F4565,kunishuClan!A:A,kunishuClan!B:B),"浪人")))</f>
      </c>
      <c r="F524" s="4">
        <v>0</v>
      </c>
      <c r="G524" s="4">
        <v>180</v>
      </c>
      <c r="H524" s="12" t="str">
        <f t="array" ref="H524">IF(G524:G4565="","",_xlfn.XLOOKUP(G524:G4565,castles_state!A:A,castles_state!D:D,"見つかりません"))</f>
      </c>
      <c r="I524" s="4"/>
      <c r="J524" s="12" t="str">
        <f t="array" ref="J524">IF(I524:I4565="","",_xlfn.XLOOKUP(I524:I4565,'参照_姫'!A:A,'参照_姫'!B:B,"見つかりません"))</f>
      </c>
      <c r="K524" s="4">
        <v>95</v>
      </c>
      <c r="L524" s="4">
        <v>0</v>
      </c>
      <c r="M524" s="4"/>
      <c r="N524" s="4"/>
      <c r="O524" s="4"/>
      <c r="P524" s="12" t="str">
        <f t="array" ref="P524">IF(O524:O4565="","",_xlfn.XLOOKUP(O524:O4565,'参照_官位'!A:A,'参照_官位'!B:B,""))</f>
      </c>
      <c r="Q524" s="12" t="str">
        <f t="array" ref="Q524">IF(A524:A4565="","",IFERROR(_xlfn.XLOOKUP(A524:A4565,castles_state!K:K,castles_state!D:D)&amp;"主",IFERROR(_xlfn.XLOOKUP(A524:A4565,kunishuClan!D:D,kunishuClan!B:B)&amp;"当主","")))</f>
      </c>
    </row>
    <row r="525" ht="15.75" customHeight="1">
      <c r="A525" s="4">
        <v>1006167</v>
      </c>
      <c r="B525" s="12" t="str">
        <f t="array" ref="B525">IF(A525:A4566="","",_xlfn.XLOOKUP(A525:A4566,'参照_武将'!A:A,'参照_武将'!B:B,"見つかりません"))</f>
      </c>
      <c r="C525" s="4" t="s">
        <v>98</v>
      </c>
      <c r="D525" s="4">
        <v>1</v>
      </c>
      <c r="E525" s="12" t="str">
        <f t="array" ref="E525">IF(D525:D4566="","",IFERROR(_xlfn.XLOOKUP(D525:D4566,'参照_勢力'!A:A,'参照_勢力'!B:B),IFERROR(_xlfn.XLOOKUP(F525:F4566,kunishuClan!A:A,kunishuClan!B:B),"浪人")))</f>
      </c>
      <c r="F525" s="4">
        <v>0</v>
      </c>
      <c r="G525" s="4">
        <v>7</v>
      </c>
      <c r="H525" s="12" t="str">
        <f t="array" ref="H525">IF(G525:G4566="","",_xlfn.XLOOKUP(G525:G4566,castles_state!A:A,castles_state!D:D,"見つかりません"))</f>
      </c>
      <c r="I525" s="4"/>
      <c r="J525" s="12" t="str">
        <f t="array" ref="J525">IF(I525:I4566="","",_xlfn.XLOOKUP(I525:I4566,'参照_姫'!A:A,'参照_姫'!B:B,"見つかりません"))</f>
      </c>
      <c r="K525" s="4">
        <v>90</v>
      </c>
      <c r="L525" s="4">
        <v>0</v>
      </c>
      <c r="M525" s="4"/>
      <c r="N525" s="4"/>
      <c r="O525" s="4"/>
      <c r="P525" s="12" t="str">
        <f t="array" ref="P525">IF(O525:O4566="","",_xlfn.XLOOKUP(O525:O4566,'参照_官位'!A:A,'参照_官位'!B:B,""))</f>
      </c>
      <c r="Q525" s="12" t="str">
        <f t="array" ref="Q525">IF(A525:A4566="","",IFERROR(_xlfn.XLOOKUP(A525:A4566,castles_state!K:K,castles_state!D:D)&amp;"主",IFERROR(_xlfn.XLOOKUP(A525:A4566,kunishuClan!D:D,kunishuClan!B:B)&amp;"当主","")))</f>
      </c>
    </row>
    <row r="526" ht="15.75" customHeight="1">
      <c r="A526" s="4">
        <v>1006168</v>
      </c>
      <c r="B526" s="12" t="str">
        <f t="array" ref="B526">IF(A526:A4567="","",_xlfn.XLOOKUP(A526:A4567,'参照_武将'!A:A,'参照_武将'!B:B,"見つかりません"))</f>
      </c>
      <c r="C526" s="4" t="s">
        <v>98</v>
      </c>
      <c r="D526" s="4">
        <v>1</v>
      </c>
      <c r="E526" s="12" t="str">
        <f t="array" ref="E526">IF(D526:D4567="","",IFERROR(_xlfn.XLOOKUP(D526:D4567,'参照_勢力'!A:A,'参照_勢力'!B:B),IFERROR(_xlfn.XLOOKUP(F526:F4567,kunishuClan!A:A,kunishuClan!B:B),"浪人")))</f>
      </c>
      <c r="F526" s="4">
        <v>0</v>
      </c>
      <c r="G526" s="4">
        <v>7</v>
      </c>
      <c r="H526" s="12" t="str">
        <f t="array" ref="H526">IF(G526:G4567="","",_xlfn.XLOOKUP(G526:G4567,castles_state!A:A,castles_state!D:D,"見つかりません"))</f>
      </c>
      <c r="I526" s="4"/>
      <c r="J526" s="12" t="str">
        <f t="array" ref="J526">IF(I526:I4567="","",_xlfn.XLOOKUP(I526:I4567,'参照_姫'!A:A,'参照_姫'!B:B,"見つかりません"))</f>
      </c>
      <c r="K526" s="4">
        <v>90</v>
      </c>
      <c r="L526" s="4">
        <v>0</v>
      </c>
      <c r="M526" s="4"/>
      <c r="N526" s="4"/>
      <c r="O526" s="4"/>
      <c r="P526" s="12" t="str">
        <f t="array" ref="P526">IF(O526:O4567="","",_xlfn.XLOOKUP(O526:O4567,'参照_官位'!A:A,'参照_官位'!B:B,""))</f>
      </c>
      <c r="Q526" s="12" t="str">
        <f t="array" ref="Q526">IF(A526:A4567="","",IFERROR(_xlfn.XLOOKUP(A526:A4567,castles_state!K:K,castles_state!D:D)&amp;"主",IFERROR(_xlfn.XLOOKUP(A526:A4567,kunishuClan!D:D,kunishuClan!B:B)&amp;"当主","")))</f>
      </c>
    </row>
    <row r="527" ht="15.75" customHeight="1">
      <c r="A527" s="4">
        <v>1006169</v>
      </c>
      <c r="B527" s="12" t="str">
        <f t="array" ref="B527">IF(A527:A4568="","",_xlfn.XLOOKUP(A527:A4568,'参照_武将'!A:A,'参照_武将'!B:B,"見つかりません"))</f>
      </c>
      <c r="C527" s="4" t="s">
        <v>98</v>
      </c>
      <c r="D527" s="4">
        <v>1</v>
      </c>
      <c r="E527" s="12" t="str">
        <f t="array" ref="E527">IF(D527:D4568="","",IFERROR(_xlfn.XLOOKUP(D527:D4568,'参照_勢力'!A:A,'参照_勢力'!B:B),IFERROR(_xlfn.XLOOKUP(F527:F4568,kunishuClan!A:A,kunishuClan!B:B),"浪人")))</f>
      </c>
      <c r="F527" s="4">
        <v>0</v>
      </c>
      <c r="G527" s="4">
        <v>180</v>
      </c>
      <c r="H527" s="12" t="str">
        <f t="array" ref="H527">IF(G527:G4568="","",_xlfn.XLOOKUP(G527:G4568,castles_state!A:A,castles_state!D:D,"見つかりません"))</f>
      </c>
      <c r="I527" s="4"/>
      <c r="J527" s="12" t="str">
        <f t="array" ref="J527">IF(I527:I4568="","",_xlfn.XLOOKUP(I527:I4568,'参照_姫'!A:A,'参照_姫'!B:B,"見つかりません"))</f>
      </c>
      <c r="K527" s="4">
        <v>95</v>
      </c>
      <c r="L527" s="4">
        <v>0</v>
      </c>
      <c r="M527" s="4"/>
      <c r="N527" s="4"/>
      <c r="O527" s="4"/>
      <c r="P527" s="12" t="str">
        <f t="array" ref="P527">IF(O527:O4568="","",_xlfn.XLOOKUP(O527:O4568,'参照_官位'!A:A,'参照_官位'!B:B,""))</f>
      </c>
      <c r="Q527" s="12" t="str">
        <f t="array" ref="Q527">IF(A527:A4568="","",IFERROR(_xlfn.XLOOKUP(A527:A4568,castles_state!K:K,castles_state!D:D)&amp;"主",IFERROR(_xlfn.XLOOKUP(A527:A4568,kunishuClan!D:D,kunishuClan!B:B)&amp;"当主","")))</f>
      </c>
    </row>
    <row r="528" ht="15.75" customHeight="1">
      <c r="A528" s="4">
        <v>1006170</v>
      </c>
      <c r="B528" s="12" t="str">
        <f t="array" ref="B528">IF(A528:A4569="","",_xlfn.XLOOKUP(A528:A4569,'参照_武将'!A:A,'参照_武将'!B:B,"見つかりません"))</f>
      </c>
      <c r="C528" s="4" t="s">
        <v>98</v>
      </c>
      <c r="D528" s="4">
        <v>1</v>
      </c>
      <c r="E528" s="12" t="str">
        <f t="array" ref="E528">IF(D528:D4569="","",IFERROR(_xlfn.XLOOKUP(D528:D4569,'参照_勢力'!A:A,'参照_勢力'!B:B),IFERROR(_xlfn.XLOOKUP(F528:F4569,kunishuClan!A:A,kunishuClan!B:B),"浪人")))</f>
      </c>
      <c r="F528" s="4">
        <v>0</v>
      </c>
      <c r="G528" s="4">
        <v>180</v>
      </c>
      <c r="H528" s="12" t="str">
        <f t="array" ref="H528">IF(G528:G4569="","",_xlfn.XLOOKUP(G528:G4569,castles_state!A:A,castles_state!D:D,"見つかりません"))</f>
      </c>
      <c r="I528" s="4"/>
      <c r="J528" s="12" t="str">
        <f t="array" ref="J528">IF(I528:I4569="","",_xlfn.XLOOKUP(I528:I4569,'参照_姫'!A:A,'参照_姫'!B:B,"見つかりません"))</f>
      </c>
      <c r="K528" s="4">
        <v>95</v>
      </c>
      <c r="L528" s="4">
        <v>0</v>
      </c>
      <c r="M528" s="4"/>
      <c r="N528" s="4"/>
      <c r="O528" s="4"/>
      <c r="P528" s="12" t="str">
        <f t="array" ref="P528">IF(O528:O4569="","",_xlfn.XLOOKUP(O528:O4569,'参照_官位'!A:A,'参照_官位'!B:B,""))</f>
      </c>
      <c r="Q528" s="12" t="str">
        <f t="array" ref="Q528">IF(A528:A4569="","",IFERROR(_xlfn.XLOOKUP(A528:A4569,castles_state!K:K,castles_state!D:D)&amp;"主",IFERROR(_xlfn.XLOOKUP(A528:A4569,kunishuClan!D:D,kunishuClan!B:B)&amp;"当主","")))</f>
      </c>
    </row>
    <row r="529" ht="15.75" customHeight="1">
      <c r="A529" s="4">
        <v>1006171</v>
      </c>
      <c r="B529" s="12" t="str">
        <f t="array" ref="B529">IF(A529:A4570="","",_xlfn.XLOOKUP(A529:A4570,'参照_武将'!A:A,'参照_武将'!B:B,"見つかりません"))</f>
      </c>
      <c r="C529" s="4" t="s">
        <v>98</v>
      </c>
      <c r="D529" s="4">
        <v>1</v>
      </c>
      <c r="E529" s="12" t="str">
        <f t="array" ref="E529">IF(D529:D4570="","",IFERROR(_xlfn.XLOOKUP(D529:D4570,'参照_勢力'!A:A,'参照_勢力'!B:B),IFERROR(_xlfn.XLOOKUP(F529:F4570,kunishuClan!A:A,kunishuClan!B:B),"浪人")))</f>
      </c>
      <c r="F529" s="4">
        <v>0</v>
      </c>
      <c r="G529" s="4">
        <v>27</v>
      </c>
      <c r="H529" s="12" t="str">
        <f t="array" ref="H529">IF(G529:G4570="","",_xlfn.XLOOKUP(G529:G4570,castles_state!A:A,castles_state!D:D,"見つかりません"))</f>
      </c>
      <c r="I529" s="4"/>
      <c r="J529" s="12" t="str">
        <f t="array" ref="J529">IF(I529:I4570="","",_xlfn.XLOOKUP(I529:I4570,'参照_姫'!A:A,'参照_姫'!B:B,"見つかりません"))</f>
      </c>
      <c r="K529" s="4">
        <v>95</v>
      </c>
      <c r="L529" s="4">
        <v>500</v>
      </c>
      <c r="M529" s="4"/>
      <c r="N529" s="4"/>
      <c r="O529" s="4"/>
      <c r="P529" s="12" t="str">
        <f t="array" ref="P529">IF(O529:O4570="","",_xlfn.XLOOKUP(O529:O4570,'参照_官位'!A:A,'参照_官位'!B:B,""))</f>
      </c>
      <c r="Q529" s="12" t="str">
        <f t="array" ref="Q529">IF(A529:A4570="","",IFERROR(_xlfn.XLOOKUP(A529:A4570,castles_state!K:K,castles_state!D:D)&amp;"主",IFERROR(_xlfn.XLOOKUP(A529:A4570,kunishuClan!D:D,kunishuClan!B:B)&amp;"当主","")))</f>
      </c>
    </row>
    <row r="530" ht="15.75" customHeight="1">
      <c r="A530" s="4">
        <v>1006172</v>
      </c>
      <c r="B530" s="12" t="str">
        <f t="array" ref="B530">IF(A530:A4571="","",_xlfn.XLOOKUP(A530:A4571,'参照_武将'!A:A,'参照_武将'!B:B,"見つかりません"))</f>
      </c>
      <c r="C530" s="4" t="s">
        <v>98</v>
      </c>
      <c r="D530" s="4">
        <v>1</v>
      </c>
      <c r="E530" s="12" t="str">
        <f t="array" ref="E530">IF(D530:D4571="","",IFERROR(_xlfn.XLOOKUP(D530:D4571,'参照_勢力'!A:A,'参照_勢力'!B:B),IFERROR(_xlfn.XLOOKUP(F530:F4571,kunishuClan!A:A,kunishuClan!B:B),"浪人")))</f>
      </c>
      <c r="F530" s="4">
        <v>0</v>
      </c>
      <c r="G530" s="4">
        <v>180</v>
      </c>
      <c r="H530" s="12" t="str">
        <f t="array" ref="H530">IF(G530:G4571="","",_xlfn.XLOOKUP(G530:G4571,castles_state!A:A,castles_state!D:D,"見つかりません"))</f>
      </c>
      <c r="I530" s="4"/>
      <c r="J530" s="12" t="str">
        <f t="array" ref="J530">IF(I530:I4571="","",_xlfn.XLOOKUP(I530:I4571,'参照_姫'!A:A,'参照_姫'!B:B,"見つかりません"))</f>
      </c>
      <c r="K530" s="4">
        <v>95</v>
      </c>
      <c r="L530" s="4">
        <v>0</v>
      </c>
      <c r="M530" s="4"/>
      <c r="N530" s="4"/>
      <c r="O530" s="4"/>
      <c r="P530" s="12" t="str">
        <f t="array" ref="P530">IF(O530:O4571="","",_xlfn.XLOOKUP(O530:O4571,'参照_官位'!A:A,'参照_官位'!B:B,""))</f>
      </c>
      <c r="Q530" s="12" t="str">
        <f t="array" ref="Q530">IF(A530:A4571="","",IFERROR(_xlfn.XLOOKUP(A530:A4571,castles_state!K:K,castles_state!D:D)&amp;"主",IFERROR(_xlfn.XLOOKUP(A530:A4571,kunishuClan!D:D,kunishuClan!B:B)&amp;"当主","")))</f>
      </c>
    </row>
    <row r="531" ht="15.75" customHeight="1">
      <c r="A531" s="4">
        <v>1006173</v>
      </c>
      <c r="B531" s="12" t="str">
        <f t="array" ref="B531">IF(A531:A4572="","",_xlfn.XLOOKUP(A531:A4572,'参照_武将'!A:A,'参照_武将'!B:B,"見つかりません"))</f>
      </c>
      <c r="C531" s="4" t="s">
        <v>98</v>
      </c>
      <c r="D531" s="4">
        <v>1</v>
      </c>
      <c r="E531" s="12" t="str">
        <f t="array" ref="E531">IF(D531:D4572="","",IFERROR(_xlfn.XLOOKUP(D531:D4572,'参照_勢力'!A:A,'参照_勢力'!B:B),IFERROR(_xlfn.XLOOKUP(F531:F4572,kunishuClan!A:A,kunishuClan!B:B),"浪人")))</f>
      </c>
      <c r="F531" s="4">
        <v>0</v>
      </c>
      <c r="G531" s="4">
        <v>180</v>
      </c>
      <c r="H531" s="12" t="str">
        <f t="array" ref="H531">IF(G531:G4572="","",_xlfn.XLOOKUP(G531:G4572,castles_state!A:A,castles_state!D:D,"見つかりません"))</f>
      </c>
      <c r="I531" s="4"/>
      <c r="J531" s="12" t="str">
        <f t="array" ref="J531">IF(I531:I4572="","",_xlfn.XLOOKUP(I531:I4572,'参照_姫'!A:A,'参照_姫'!B:B,"見つかりません"))</f>
      </c>
      <c r="K531" s="4">
        <v>95</v>
      </c>
      <c r="L531" s="4">
        <v>0</v>
      </c>
      <c r="M531" s="4"/>
      <c r="N531" s="4"/>
      <c r="O531" s="4"/>
      <c r="P531" s="12" t="str">
        <f t="array" ref="P531">IF(O531:O4572="","",_xlfn.XLOOKUP(O531:O4572,'参照_官位'!A:A,'参照_官位'!B:B,""))</f>
      </c>
      <c r="Q531" s="12" t="str">
        <f t="array" ref="Q531">IF(A531:A4572="","",IFERROR(_xlfn.XLOOKUP(A531:A4572,castles_state!K:K,castles_state!D:D)&amp;"主",IFERROR(_xlfn.XLOOKUP(A531:A4572,kunishuClan!D:D,kunishuClan!B:B)&amp;"当主","")))</f>
      </c>
    </row>
    <row r="532" ht="15.75" customHeight="1">
      <c r="A532" s="4">
        <v>1006174</v>
      </c>
      <c r="B532" s="12" t="str">
        <f t="array" ref="B532">IF(A532:A4573="","",_xlfn.XLOOKUP(A532:A4573,'参照_武将'!A:A,'参照_武将'!B:B,"見つかりません"))</f>
      </c>
      <c r="C532" s="4" t="s">
        <v>98</v>
      </c>
      <c r="D532" s="4">
        <v>1</v>
      </c>
      <c r="E532" s="12" t="str">
        <f t="array" ref="E532">IF(D532:D4573="","",IFERROR(_xlfn.XLOOKUP(D532:D4573,'参照_勢力'!A:A,'参照_勢力'!B:B),IFERROR(_xlfn.XLOOKUP(F532:F4573,kunishuClan!A:A,kunishuClan!B:B),"浪人")))</f>
      </c>
      <c r="F532" s="4">
        <v>0</v>
      </c>
      <c r="G532" s="4">
        <v>180</v>
      </c>
      <c r="H532" s="12" t="str">
        <f t="array" ref="H532">IF(G532:G4573="","",_xlfn.XLOOKUP(G532:G4573,castles_state!A:A,castles_state!D:D,"見つかりません"))</f>
      </c>
      <c r="I532" s="4"/>
      <c r="J532" s="12" t="str">
        <f t="array" ref="J532">IF(I532:I4573="","",_xlfn.XLOOKUP(I532:I4573,'参照_姫'!A:A,'参照_姫'!B:B,"見つかりません"))</f>
      </c>
      <c r="K532" s="4">
        <v>95</v>
      </c>
      <c r="L532" s="4">
        <v>0</v>
      </c>
      <c r="M532" s="4"/>
      <c r="N532" s="4"/>
      <c r="O532" s="4"/>
      <c r="P532" s="12" t="str">
        <f t="array" ref="P532">IF(O532:O4573="","",_xlfn.XLOOKUP(O532:O4573,'参照_官位'!A:A,'参照_官位'!B:B,""))</f>
      </c>
      <c r="Q532" s="12" t="str">
        <f t="array" ref="Q532">IF(A532:A4573="","",IFERROR(_xlfn.XLOOKUP(A532:A4573,castles_state!K:K,castles_state!D:D)&amp;"主",IFERROR(_xlfn.XLOOKUP(A532:A4573,kunishuClan!D:D,kunishuClan!B:B)&amp;"当主","")))</f>
      </c>
    </row>
    <row r="533" ht="15.75" customHeight="1">
      <c r="A533" s="4">
        <v>1006175</v>
      </c>
      <c r="B533" s="12" t="str">
        <f t="array" ref="B533">IF(A533:A4574="","",_xlfn.XLOOKUP(A533:A4574,'参照_武将'!A:A,'参照_武将'!B:B,"見つかりません"))</f>
      </c>
      <c r="C533" s="4" t="s">
        <v>98</v>
      </c>
      <c r="D533" s="4">
        <v>1</v>
      </c>
      <c r="E533" s="12" t="str">
        <f t="array" ref="E533">IF(D533:D4574="","",IFERROR(_xlfn.XLOOKUP(D533:D4574,'参照_勢力'!A:A,'参照_勢力'!B:B),IFERROR(_xlfn.XLOOKUP(F533:F4574,kunishuClan!A:A,kunishuClan!B:B),"浪人")))</f>
      </c>
      <c r="F533" s="4">
        <v>0</v>
      </c>
      <c r="G533" s="4">
        <v>180</v>
      </c>
      <c r="H533" s="12" t="str">
        <f t="array" ref="H533">IF(G533:G4574="","",_xlfn.XLOOKUP(G533:G4574,castles_state!A:A,castles_state!D:D,"見つかりません"))</f>
      </c>
      <c r="I533" s="4"/>
      <c r="J533" s="12" t="str">
        <f t="array" ref="J533">IF(I533:I4574="","",_xlfn.XLOOKUP(I533:I4574,'参照_姫'!A:A,'参照_姫'!B:B,"見つかりません"))</f>
      </c>
      <c r="K533" s="4">
        <v>95</v>
      </c>
      <c r="L533" s="4">
        <v>0</v>
      </c>
      <c r="M533" s="4"/>
      <c r="N533" s="4"/>
      <c r="O533" s="4"/>
      <c r="P533" s="12" t="str">
        <f t="array" ref="P533">IF(O533:O4574="","",_xlfn.XLOOKUP(O533:O4574,'参照_官位'!A:A,'参照_官位'!B:B,""))</f>
      </c>
      <c r="Q533" s="12" t="str">
        <f t="array" ref="Q533">IF(A533:A4574="","",IFERROR(_xlfn.XLOOKUP(A533:A4574,castles_state!K:K,castles_state!D:D)&amp;"主",IFERROR(_xlfn.XLOOKUP(A533:A4574,kunishuClan!D:D,kunishuClan!B:B)&amp;"当主","")))</f>
      </c>
    </row>
    <row r="534" ht="15.75" customHeight="1">
      <c r="A534" s="4">
        <v>1006176</v>
      </c>
      <c r="B534" s="12" t="str">
        <f t="array" ref="B534">IF(A534:A4575="","",_xlfn.XLOOKUP(A534:A4575,'参照_武将'!A:A,'参照_武将'!B:B,"見つかりません"))</f>
      </c>
      <c r="C534" s="4" t="s">
        <v>98</v>
      </c>
      <c r="D534" s="4">
        <v>1</v>
      </c>
      <c r="E534" s="12" t="str">
        <f t="array" ref="E534">IF(D534:D4575="","",IFERROR(_xlfn.XLOOKUP(D534:D4575,'参照_勢力'!A:A,'参照_勢力'!B:B),IFERROR(_xlfn.XLOOKUP(F534:F4575,kunishuClan!A:A,kunishuClan!B:B),"浪人")))</f>
      </c>
      <c r="F534" s="4">
        <v>0</v>
      </c>
      <c r="G534" s="4">
        <v>180</v>
      </c>
      <c r="H534" s="12" t="str">
        <f t="array" ref="H534">IF(G534:G4575="","",_xlfn.XLOOKUP(G534:G4575,castles_state!A:A,castles_state!D:D,"見つかりません"))</f>
      </c>
      <c r="I534" s="4"/>
      <c r="J534" s="12" t="str">
        <f t="array" ref="J534">IF(I534:I4575="","",_xlfn.XLOOKUP(I534:I4575,'参照_姫'!A:A,'参照_姫'!B:B,"見つかりません"))</f>
      </c>
      <c r="K534" s="4">
        <v>95</v>
      </c>
      <c r="L534" s="4">
        <v>0</v>
      </c>
      <c r="M534" s="4"/>
      <c r="N534" s="4"/>
      <c r="O534" s="4"/>
      <c r="P534" s="12" t="str">
        <f t="array" ref="P534">IF(O534:O4575="","",_xlfn.XLOOKUP(O534:O4575,'参照_官位'!A:A,'参照_官位'!B:B,""))</f>
      </c>
      <c r="Q534" s="12" t="str">
        <f t="array" ref="Q534">IF(A534:A4575="","",IFERROR(_xlfn.XLOOKUP(A534:A4575,castles_state!K:K,castles_state!D:D)&amp;"主",IFERROR(_xlfn.XLOOKUP(A534:A4575,kunishuClan!D:D,kunishuClan!B:B)&amp;"当主","")))</f>
      </c>
    </row>
    <row r="535" ht="15.75" customHeight="1">
      <c r="A535" s="4">
        <v>1006177</v>
      </c>
      <c r="B535" s="12" t="str">
        <f t="array" ref="B535">IF(A535:A4576="","",_xlfn.XLOOKUP(A535:A4576,'参照_武将'!A:A,'参照_武将'!B:B,"見つかりません"))</f>
      </c>
      <c r="C535" s="4" t="s">
        <v>98</v>
      </c>
      <c r="D535" s="4">
        <v>1</v>
      </c>
      <c r="E535" s="12" t="str">
        <f t="array" ref="E535">IF(D535:D4576="","",IFERROR(_xlfn.XLOOKUP(D535:D4576,'参照_勢力'!A:A,'参照_勢力'!B:B),IFERROR(_xlfn.XLOOKUP(F535:F4576,kunishuClan!A:A,kunishuClan!B:B),"浪人")))</f>
      </c>
      <c r="F535" s="4">
        <v>0</v>
      </c>
      <c r="G535" s="4">
        <v>7</v>
      </c>
      <c r="H535" s="12" t="str">
        <f t="array" ref="H535">IF(G535:G4576="","",_xlfn.XLOOKUP(G535:G4576,castles_state!A:A,castles_state!D:D,"見つかりません"))</f>
      </c>
      <c r="I535" s="4"/>
      <c r="J535" s="12" t="str">
        <f t="array" ref="J535">IF(I535:I4576="","",_xlfn.XLOOKUP(I535:I4576,'参照_姫'!A:A,'参照_姫'!B:B,"見つかりません"))</f>
      </c>
      <c r="K535" s="4">
        <v>96</v>
      </c>
      <c r="L535" s="4">
        <v>0</v>
      </c>
      <c r="M535" s="4"/>
      <c r="N535" s="4"/>
      <c r="O535" s="4"/>
      <c r="P535" s="12" t="str">
        <f t="array" ref="P535">IF(O535:O4576="","",_xlfn.XLOOKUP(O535:O4576,'参照_官位'!A:A,'参照_官位'!B:B,""))</f>
      </c>
      <c r="Q535" s="12" t="str">
        <f t="array" ref="Q535">IF(A535:A4576="","",IFERROR(_xlfn.XLOOKUP(A535:A4576,castles_state!K:K,castles_state!D:D)&amp;"主",IFERROR(_xlfn.XLOOKUP(A535:A4576,kunishuClan!D:D,kunishuClan!B:B)&amp;"当主","")))</f>
      </c>
    </row>
    <row r="536" ht="15.75" customHeight="1">
      <c r="A536" s="4">
        <v>1006178</v>
      </c>
      <c r="B536" s="12" t="str">
        <f t="array" ref="B536">IF(A536:A4577="","",_xlfn.XLOOKUP(A536:A4577,'参照_武将'!A:A,'参照_武将'!B:B,"見つかりません"))</f>
      </c>
      <c r="C536" s="4" t="s">
        <v>98</v>
      </c>
      <c r="D536" s="4">
        <v>1</v>
      </c>
      <c r="E536" s="12" t="str">
        <f t="array" ref="E536">IF(D536:D4577="","",IFERROR(_xlfn.XLOOKUP(D536:D4577,'参照_勢力'!A:A,'参照_勢力'!B:B),IFERROR(_xlfn.XLOOKUP(F536:F4577,kunishuClan!A:A,kunishuClan!B:B),"浪人")))</f>
      </c>
      <c r="F536" s="4">
        <v>0</v>
      </c>
      <c r="G536" s="4">
        <v>7</v>
      </c>
      <c r="H536" s="12" t="str">
        <f t="array" ref="H536">IF(G536:G4577="","",_xlfn.XLOOKUP(G536:G4577,castles_state!A:A,castles_state!D:D,"見つかりません"))</f>
      </c>
      <c r="I536" s="4"/>
      <c r="J536" s="12" t="str">
        <f t="array" ref="J536">IF(I536:I4577="","",_xlfn.XLOOKUP(I536:I4577,'参照_姫'!A:A,'参照_姫'!B:B,"見つかりません"))</f>
      </c>
      <c r="K536" s="4">
        <v>95</v>
      </c>
      <c r="L536" s="4">
        <v>0</v>
      </c>
      <c r="M536" s="4"/>
      <c r="N536" s="4"/>
      <c r="O536" s="4"/>
      <c r="P536" s="12" t="str">
        <f t="array" ref="P536">IF(O536:O4577="","",_xlfn.XLOOKUP(O536:O4577,'参照_官位'!A:A,'参照_官位'!B:B,""))</f>
      </c>
      <c r="Q536" s="12" t="str">
        <f t="array" ref="Q536">IF(A536:A4577="","",IFERROR(_xlfn.XLOOKUP(A536:A4577,castles_state!K:K,castles_state!D:D)&amp;"主",IFERROR(_xlfn.XLOOKUP(A536:A4577,kunishuClan!D:D,kunishuClan!B:B)&amp;"当主","")))</f>
      </c>
    </row>
    <row r="537" ht="15.75" customHeight="1">
      <c r="A537" s="4">
        <v>1006179</v>
      </c>
      <c r="B537" s="12" t="str">
        <f t="array" ref="B537">IF(A537:A4578="","",_xlfn.XLOOKUP(A537:A4578,'参照_武将'!A:A,'参照_武将'!B:B,"見つかりません"))</f>
      </c>
      <c r="C537" s="4" t="s">
        <v>98</v>
      </c>
      <c r="D537" s="4">
        <v>1</v>
      </c>
      <c r="E537" s="12" t="str">
        <f t="array" ref="E537">IF(D537:D4578="","",IFERROR(_xlfn.XLOOKUP(D537:D4578,'参照_勢力'!A:A,'参照_勢力'!B:B),IFERROR(_xlfn.XLOOKUP(F537:F4578,kunishuClan!A:A,kunishuClan!B:B),"浪人")))</f>
      </c>
      <c r="F537" s="4">
        <v>0</v>
      </c>
      <c r="G537" s="4">
        <v>180</v>
      </c>
      <c r="H537" s="12" t="str">
        <f t="array" ref="H537">IF(G537:G4578="","",_xlfn.XLOOKUP(G537:G4578,castles_state!A:A,castles_state!D:D,"見つかりません"))</f>
      </c>
      <c r="I537" s="4"/>
      <c r="J537" s="12" t="str">
        <f t="array" ref="J537">IF(I537:I4578="","",_xlfn.XLOOKUP(I537:I4578,'参照_姫'!A:A,'参照_姫'!B:B,"見つかりません"))</f>
      </c>
      <c r="K537" s="4">
        <v>95</v>
      </c>
      <c r="L537" s="4">
        <v>0</v>
      </c>
      <c r="M537" s="4"/>
      <c r="N537" s="4"/>
      <c r="O537" s="4"/>
      <c r="P537" s="12" t="str">
        <f t="array" ref="P537">IF(O537:O4578="","",_xlfn.XLOOKUP(O537:O4578,'参照_官位'!A:A,'参照_官位'!B:B,""))</f>
      </c>
      <c r="Q537" s="12" t="str">
        <f t="array" ref="Q537">IF(A537:A4578="","",IFERROR(_xlfn.XLOOKUP(A537:A4578,castles_state!K:K,castles_state!D:D)&amp;"主",IFERROR(_xlfn.XLOOKUP(A537:A4578,kunishuClan!D:D,kunishuClan!B:B)&amp;"当主","")))</f>
      </c>
    </row>
    <row r="538" ht="15.75" customHeight="1">
      <c r="A538" s="4">
        <v>1006180</v>
      </c>
      <c r="B538" s="12" t="str">
        <f t="array" ref="B538">IF(A538:A4579="","",_xlfn.XLOOKUP(A538:A4579,'参照_武将'!A:A,'参照_武将'!B:B,"見つかりません"))</f>
      </c>
      <c r="C538" s="4" t="s">
        <v>98</v>
      </c>
      <c r="D538" s="4">
        <v>1</v>
      </c>
      <c r="E538" s="12" t="str">
        <f t="array" ref="E538">IF(D538:D4579="","",IFERROR(_xlfn.XLOOKUP(D538:D4579,'参照_勢力'!A:A,'参照_勢力'!B:B),IFERROR(_xlfn.XLOOKUP(F538:F4579,kunishuClan!A:A,kunishuClan!B:B),"浪人")))</f>
      </c>
      <c r="F538" s="4">
        <v>0</v>
      </c>
      <c r="G538" s="4">
        <v>180</v>
      </c>
      <c r="H538" s="12" t="str">
        <f t="array" ref="H538">IF(G538:G4579="","",_xlfn.XLOOKUP(G538:G4579,castles_state!A:A,castles_state!D:D,"見つかりません"))</f>
      </c>
      <c r="I538" s="4"/>
      <c r="J538" s="12" t="str">
        <f t="array" ref="J538">IF(I538:I4579="","",_xlfn.XLOOKUP(I538:I4579,'参照_姫'!A:A,'参照_姫'!B:B,"見つかりません"))</f>
      </c>
      <c r="K538" s="4">
        <v>95</v>
      </c>
      <c r="L538" s="4">
        <v>0</v>
      </c>
      <c r="M538" s="4"/>
      <c r="N538" s="4"/>
      <c r="O538" s="4"/>
      <c r="P538" s="12" t="str">
        <f t="array" ref="P538">IF(O538:O4579="","",_xlfn.XLOOKUP(O538:O4579,'参照_官位'!A:A,'参照_官位'!B:B,""))</f>
      </c>
      <c r="Q538" s="12" t="str">
        <f t="array" ref="Q538">IF(A538:A4579="","",IFERROR(_xlfn.XLOOKUP(A538:A4579,castles_state!K:K,castles_state!D:D)&amp;"主",IFERROR(_xlfn.XLOOKUP(A538:A4579,kunishuClan!D:D,kunishuClan!B:B)&amp;"当主","")))</f>
      </c>
    </row>
    <row r="539" ht="15.75" customHeight="1">
      <c r="A539" s="4">
        <v>1006181</v>
      </c>
      <c r="B539" s="12" t="str">
        <f t="array" ref="B539">IF(A539:A4580="","",_xlfn.XLOOKUP(A539:A4580,'参照_武将'!A:A,'参照_武将'!B:B,"見つかりません"))</f>
      </c>
      <c r="C539" s="4" t="s">
        <v>98</v>
      </c>
      <c r="D539" s="4">
        <v>1</v>
      </c>
      <c r="E539" s="12" t="str">
        <f t="array" ref="E539">IF(D539:D4580="","",IFERROR(_xlfn.XLOOKUP(D539:D4580,'参照_勢力'!A:A,'参照_勢力'!B:B),IFERROR(_xlfn.XLOOKUP(F539:F4580,kunishuClan!A:A,kunishuClan!B:B),"浪人")))</f>
      </c>
      <c r="F539" s="4">
        <v>0</v>
      </c>
      <c r="G539" s="4">
        <v>180</v>
      </c>
      <c r="H539" s="12" t="str">
        <f t="array" ref="H539">IF(G539:G4580="","",_xlfn.XLOOKUP(G539:G4580,castles_state!A:A,castles_state!D:D,"見つかりません"))</f>
      </c>
      <c r="I539" s="4"/>
      <c r="J539" s="12" t="str">
        <f t="array" ref="J539">IF(I539:I4580="","",_xlfn.XLOOKUP(I539:I4580,'参照_姫'!A:A,'参照_姫'!B:B,"見つかりません"))</f>
      </c>
      <c r="K539" s="4">
        <v>95</v>
      </c>
      <c r="L539" s="4">
        <v>0</v>
      </c>
      <c r="M539" s="4"/>
      <c r="N539" s="4"/>
      <c r="O539" s="4"/>
      <c r="P539" s="12" t="str">
        <f t="array" ref="P539">IF(O539:O4580="","",_xlfn.XLOOKUP(O539:O4580,'参照_官位'!A:A,'参照_官位'!B:B,""))</f>
      </c>
      <c r="Q539" s="12" t="str">
        <f t="array" ref="Q539">IF(A539:A4580="","",IFERROR(_xlfn.XLOOKUP(A539:A4580,castles_state!K:K,castles_state!D:D)&amp;"主",IFERROR(_xlfn.XLOOKUP(A539:A4580,kunishuClan!D:D,kunishuClan!B:B)&amp;"当主","")))</f>
      </c>
    </row>
    <row r="540" ht="15.75" customHeight="1">
      <c r="A540" s="4">
        <v>1006182</v>
      </c>
      <c r="B540" s="12" t="str">
        <f t="array" ref="B540">IF(A540:A4581="","",_xlfn.XLOOKUP(A540:A4581,'参照_武将'!A:A,'参照_武将'!B:B,"見つかりません"))</f>
      </c>
      <c r="C540" s="4" t="s">
        <v>98</v>
      </c>
      <c r="D540" s="4">
        <v>1</v>
      </c>
      <c r="E540" s="12" t="str">
        <f t="array" ref="E540">IF(D540:D4581="","",IFERROR(_xlfn.XLOOKUP(D540:D4581,'参照_勢力'!A:A,'参照_勢力'!B:B),IFERROR(_xlfn.XLOOKUP(F540:F4581,kunishuClan!A:A,kunishuClan!B:B),"浪人")))</f>
      </c>
      <c r="F540" s="4">
        <v>0</v>
      </c>
      <c r="G540" s="4">
        <v>180</v>
      </c>
      <c r="H540" s="12" t="str">
        <f t="array" ref="H540">IF(G540:G4581="","",_xlfn.XLOOKUP(G540:G4581,castles_state!A:A,castles_state!D:D,"見つかりません"))</f>
      </c>
      <c r="I540" s="4"/>
      <c r="J540" s="12" t="str">
        <f t="array" ref="J540">IF(I540:I4581="","",_xlfn.XLOOKUP(I540:I4581,'参照_姫'!A:A,'参照_姫'!B:B,"見つかりません"))</f>
      </c>
      <c r="K540" s="4">
        <v>95</v>
      </c>
      <c r="L540" s="4">
        <v>0</v>
      </c>
      <c r="M540" s="4"/>
      <c r="N540" s="4"/>
      <c r="O540" s="4"/>
      <c r="P540" s="12" t="str">
        <f t="array" ref="P540">IF(O540:O4581="","",_xlfn.XLOOKUP(O540:O4581,'参照_官位'!A:A,'参照_官位'!B:B,""))</f>
      </c>
      <c r="Q540" s="12" t="str">
        <f t="array" ref="Q540">IF(A540:A4581="","",IFERROR(_xlfn.XLOOKUP(A540:A4581,castles_state!K:K,castles_state!D:D)&amp;"主",IFERROR(_xlfn.XLOOKUP(A540:A4581,kunishuClan!D:D,kunishuClan!B:B)&amp;"当主","")))</f>
      </c>
    </row>
    <row r="541" ht="15.75" customHeight="1">
      <c r="A541" s="4">
        <v>1006183</v>
      </c>
      <c r="B541" s="12" t="str">
        <f t="array" ref="B541">IF(A541:A4582="","",_xlfn.XLOOKUP(A541:A4582,'参照_武将'!A:A,'参照_武将'!B:B,"見つかりません"))</f>
      </c>
      <c r="C541" s="4" t="s">
        <v>98</v>
      </c>
      <c r="D541" s="4">
        <v>1</v>
      </c>
      <c r="E541" s="12" t="str">
        <f t="array" ref="E541">IF(D541:D4582="","",IFERROR(_xlfn.XLOOKUP(D541:D4582,'参照_勢力'!A:A,'参照_勢力'!B:B),IFERROR(_xlfn.XLOOKUP(F541:F4582,kunishuClan!A:A,kunishuClan!B:B),"浪人")))</f>
      </c>
      <c r="F541" s="4">
        <v>0</v>
      </c>
      <c r="G541" s="4">
        <v>7</v>
      </c>
      <c r="H541" s="12" t="str">
        <f t="array" ref="H541">IF(G541:G4582="","",_xlfn.XLOOKUP(G541:G4582,castles_state!A:A,castles_state!D:D,"見つかりません"))</f>
      </c>
      <c r="I541" s="4"/>
      <c r="J541" s="12" t="str">
        <f t="array" ref="J541">IF(I541:I4582="","",_xlfn.XLOOKUP(I541:I4582,'参照_姫'!A:A,'参照_姫'!B:B,"見つかりません"))</f>
      </c>
      <c r="K541" s="4">
        <v>95</v>
      </c>
      <c r="L541" s="4">
        <v>0</v>
      </c>
      <c r="M541" s="4"/>
      <c r="N541" s="4"/>
      <c r="O541" s="4"/>
      <c r="P541" s="12" t="str">
        <f t="array" ref="P541">IF(O541:O4582="","",_xlfn.XLOOKUP(O541:O4582,'参照_官位'!A:A,'参照_官位'!B:B,""))</f>
      </c>
      <c r="Q541" s="12" t="str">
        <f t="array" ref="Q541">IF(A541:A4582="","",IFERROR(_xlfn.XLOOKUP(A541:A4582,castles_state!K:K,castles_state!D:D)&amp;"主",IFERROR(_xlfn.XLOOKUP(A541:A4582,kunishuClan!D:D,kunishuClan!B:B)&amp;"当主","")))</f>
      </c>
    </row>
    <row r="542" ht="15.75" customHeight="1">
      <c r="A542" s="4">
        <v>1006184</v>
      </c>
      <c r="B542" s="12" t="str">
        <f t="array" ref="B542">IF(A542:A4583="","",_xlfn.XLOOKUP(A542:A4583,'参照_武将'!A:A,'参照_武将'!B:B,"見つかりません"))</f>
      </c>
      <c r="C542" s="4" t="s">
        <v>98</v>
      </c>
      <c r="D542" s="4">
        <v>1</v>
      </c>
      <c r="E542" s="12" t="str">
        <f t="array" ref="E542">IF(D542:D4583="","",IFERROR(_xlfn.XLOOKUP(D542:D4583,'参照_勢力'!A:A,'参照_勢力'!B:B),IFERROR(_xlfn.XLOOKUP(F542:F4583,kunishuClan!A:A,kunishuClan!B:B),"浪人")))</f>
      </c>
      <c r="F542" s="4">
        <v>0</v>
      </c>
      <c r="G542" s="4">
        <v>7</v>
      </c>
      <c r="H542" s="12" t="str">
        <f t="array" ref="H542">IF(G542:G4583="","",_xlfn.XLOOKUP(G542:G4583,castles_state!A:A,castles_state!D:D,"見つかりません"))</f>
      </c>
      <c r="I542" s="4"/>
      <c r="J542" s="12" t="str">
        <f t="array" ref="J542">IF(I542:I4583="","",_xlfn.XLOOKUP(I542:I4583,'参照_姫'!A:A,'参照_姫'!B:B,"見つかりません"))</f>
      </c>
      <c r="K542" s="4">
        <v>95</v>
      </c>
      <c r="L542" s="4">
        <v>0</v>
      </c>
      <c r="M542" s="4"/>
      <c r="N542" s="4"/>
      <c r="O542" s="4"/>
      <c r="P542" s="12" t="str">
        <f t="array" ref="P542">IF(O542:O4583="","",_xlfn.XLOOKUP(O542:O4583,'参照_官位'!A:A,'参照_官位'!B:B,""))</f>
      </c>
      <c r="Q542" s="12" t="str">
        <f t="array" ref="Q542">IF(A542:A4583="","",IFERROR(_xlfn.XLOOKUP(A542:A4583,castles_state!K:K,castles_state!D:D)&amp;"主",IFERROR(_xlfn.XLOOKUP(A542:A4583,kunishuClan!D:D,kunishuClan!B:B)&amp;"当主","")))</f>
      </c>
    </row>
    <row r="543" ht="15.75" customHeight="1">
      <c r="A543" s="4">
        <v>1006185</v>
      </c>
      <c r="B543" s="12" t="str">
        <f t="array" ref="B543">IF(A543:A4584="","",_xlfn.XLOOKUP(A543:A4584,'参照_武将'!A:A,'参照_武将'!B:B,"見つかりません"))</f>
      </c>
      <c r="C543" s="4" t="s">
        <v>98</v>
      </c>
      <c r="D543" s="4">
        <v>1</v>
      </c>
      <c r="E543" s="12" t="str">
        <f t="array" ref="E543">IF(D543:D4584="","",IFERROR(_xlfn.XLOOKUP(D543:D4584,'参照_勢力'!A:A,'参照_勢力'!B:B),IFERROR(_xlfn.XLOOKUP(F543:F4584,kunishuClan!A:A,kunishuClan!B:B),"浪人")))</f>
      </c>
      <c r="F543" s="4">
        <v>0</v>
      </c>
      <c r="G543" s="4">
        <v>7</v>
      </c>
      <c r="H543" s="12" t="str">
        <f t="array" ref="H543">IF(G543:G4584="","",_xlfn.XLOOKUP(G543:G4584,castles_state!A:A,castles_state!D:D,"見つかりません"))</f>
      </c>
      <c r="I543" s="4"/>
      <c r="J543" s="12" t="str">
        <f t="array" ref="J543">IF(I543:I4584="","",_xlfn.XLOOKUP(I543:I4584,'参照_姫'!A:A,'参照_姫'!B:B,"見つかりません"))</f>
      </c>
      <c r="K543" s="4">
        <v>95</v>
      </c>
      <c r="L543" s="4">
        <v>0</v>
      </c>
      <c r="M543" s="4"/>
      <c r="N543" s="4"/>
      <c r="O543" s="4"/>
      <c r="P543" s="12" t="str">
        <f t="array" ref="P543">IF(O543:O4584="","",_xlfn.XLOOKUP(O543:O4584,'参照_官位'!A:A,'参照_官位'!B:B,""))</f>
      </c>
      <c r="Q543" s="12" t="str">
        <f t="array" ref="Q543">IF(A543:A4584="","",IFERROR(_xlfn.XLOOKUP(A543:A4584,castles_state!K:K,castles_state!D:D)&amp;"主",IFERROR(_xlfn.XLOOKUP(A543:A4584,kunishuClan!D:D,kunishuClan!B:B)&amp;"当主","")))</f>
      </c>
    </row>
    <row r="544" ht="15.75" customHeight="1">
      <c r="A544" s="4">
        <v>1006186</v>
      </c>
      <c r="B544" s="12" t="str">
        <f t="array" ref="B544">IF(A544:A4585="","",_xlfn.XLOOKUP(A544:A4585,'参照_武将'!A:A,'参照_武将'!B:B,"見つかりません"))</f>
      </c>
      <c r="C544" s="4" t="s">
        <v>98</v>
      </c>
      <c r="D544" s="4">
        <v>1</v>
      </c>
      <c r="E544" s="12" t="str">
        <f t="array" ref="E544">IF(D544:D4585="","",IFERROR(_xlfn.XLOOKUP(D544:D4585,'参照_勢力'!A:A,'参照_勢力'!B:B),IFERROR(_xlfn.XLOOKUP(F544:F4585,kunishuClan!A:A,kunishuClan!B:B),"浪人")))</f>
      </c>
      <c r="F544" s="4">
        <v>0</v>
      </c>
      <c r="G544" s="4">
        <v>73</v>
      </c>
      <c r="H544" s="12" t="str">
        <f t="array" ref="H544">IF(G544:G4585="","",_xlfn.XLOOKUP(G544:G4585,castles_state!A:A,castles_state!D:D,"見つかりません"))</f>
      </c>
      <c r="I544" s="4"/>
      <c r="J544" s="12" t="str">
        <f t="array" ref="J544">IF(I544:I4585="","",_xlfn.XLOOKUP(I544:I4585,'参照_姫'!A:A,'参照_姫'!B:B,"見つかりません"))</f>
      </c>
      <c r="K544" s="4">
        <v>80</v>
      </c>
      <c r="L544" s="4">
        <v>0</v>
      </c>
      <c r="M544" s="4"/>
      <c r="N544" s="4"/>
      <c r="O544" s="4"/>
      <c r="P544" s="12" t="str">
        <f t="array" ref="P544">IF(O544:O4585="","",_xlfn.XLOOKUP(O544:O4585,'参照_官位'!A:A,'参照_官位'!B:B,""))</f>
      </c>
      <c r="Q544" s="12" t="str">
        <f t="array" ref="Q544">IF(A544:A4585="","",IFERROR(_xlfn.XLOOKUP(A544:A4585,castles_state!K:K,castles_state!D:D)&amp;"主",IFERROR(_xlfn.XLOOKUP(A544:A4585,kunishuClan!D:D,kunishuClan!B:B)&amp;"当主","")))</f>
      </c>
    </row>
    <row r="545" ht="15.75" customHeight="1">
      <c r="A545" s="4">
        <v>1006187</v>
      </c>
      <c r="B545" s="12" t="str">
        <f t="array" ref="B545">IF(A545:A4586="","",_xlfn.XLOOKUP(A545:A4586,'参照_武将'!A:A,'参照_武将'!B:B,"見つかりません"))</f>
      </c>
      <c r="C545" s="4" t="s">
        <v>98</v>
      </c>
      <c r="D545" s="4">
        <v>15</v>
      </c>
      <c r="E545" s="12" t="str">
        <f t="array" ref="E545">IF(D545:D4586="","",IFERROR(_xlfn.XLOOKUP(D545:D4586,'参照_勢力'!A:A,'参照_勢力'!B:B),IFERROR(_xlfn.XLOOKUP(F545:F4586,kunishuClan!A:A,kunishuClan!B:B),"浪人")))</f>
      </c>
      <c r="F545" s="4">
        <v>0</v>
      </c>
      <c r="G545" s="4">
        <v>23</v>
      </c>
      <c r="H545" s="12" t="str">
        <f t="array" ref="H545">IF(G545:G4586="","",_xlfn.XLOOKUP(G545:G4586,castles_state!A:A,castles_state!D:D,"見つかりません"))</f>
      </c>
      <c r="I545" s="4"/>
      <c r="J545" s="12" t="str">
        <f t="array" ref="J545">IF(I545:I4586="","",_xlfn.XLOOKUP(I545:I4586,'参照_姫'!A:A,'参照_姫'!B:B,"見つかりません"))</f>
      </c>
      <c r="K545" s="4">
        <v>90</v>
      </c>
      <c r="L545" s="4">
        <v>0</v>
      </c>
      <c r="M545" s="4"/>
      <c r="N545" s="4"/>
      <c r="O545" s="4"/>
      <c r="P545" s="12" t="str">
        <f t="array" ref="P545">IF(O545:O4586="","",_xlfn.XLOOKUP(O545:O4586,'参照_官位'!A:A,'参照_官位'!B:B,""))</f>
      </c>
      <c r="Q545" s="12" t="str">
        <f t="array" ref="Q545">IF(A545:A4586="","",IFERROR(_xlfn.XLOOKUP(A545:A4586,castles_state!K:K,castles_state!D:D)&amp;"主",IFERROR(_xlfn.XLOOKUP(A545:A4586,kunishuClan!D:D,kunishuClan!B:B)&amp;"当主","")))</f>
      </c>
    </row>
    <row r="546" ht="15.75" customHeight="1">
      <c r="A546" s="4">
        <v>1007001</v>
      </c>
      <c r="B546" s="12" t="str">
        <f t="array" ref="B546">IF(A546:A4587="","",_xlfn.XLOOKUP(A546:A4587,'参照_武将'!A:A,'参照_武将'!B:B,"見つかりません"))</f>
      </c>
      <c r="C546" s="4" t="s">
        <v>123</v>
      </c>
      <c r="D546" s="4">
        <v>7</v>
      </c>
      <c r="E546" s="12" t="str">
        <f t="array" ref="E546">IF(D546:D4587="","",IFERROR(_xlfn.XLOOKUP(D546:D4587,'参照_勢力'!A:A,'参照_勢力'!B:B),IFERROR(_xlfn.XLOOKUP(F546:F4587,kunishuClan!A:A,kunishuClan!B:B),"浪人")))</f>
      </c>
      <c r="F546" s="4">
        <v>0</v>
      </c>
      <c r="G546" s="4">
        <v>16</v>
      </c>
      <c r="H546" s="12" t="str">
        <f t="array" ref="H546">IF(G546:G4587="","",_xlfn.XLOOKUP(G546:G4587,castles_state!A:A,castles_state!D:D,"見つかりません"))</f>
      </c>
      <c r="I546" s="4"/>
      <c r="J546" s="12" t="str">
        <f t="array" ref="J546">IF(I546:I4587="","",_xlfn.XLOOKUP(I546:I4587,'参照_姫'!A:A,'参照_姫'!B:B,"見つかりません"))</f>
      </c>
      <c r="K546" s="4">
        <v>95</v>
      </c>
      <c r="L546" s="4">
        <v>0</v>
      </c>
      <c r="M546" s="4"/>
      <c r="N546" s="4"/>
      <c r="O546" s="4"/>
      <c r="P546" s="12" t="str">
        <f t="array" ref="P546">IF(O546:O4587="","",_xlfn.XLOOKUP(O546:O4587,'参照_官位'!A:A,'参照_官位'!B:B,""))</f>
      </c>
      <c r="Q546" s="12" t="str">
        <f t="array" ref="Q546">IF(A546:A4587="","",IFERROR(_xlfn.XLOOKUP(A546:A4587,castles_state!K:K,castles_state!D:D)&amp;"主",IFERROR(_xlfn.XLOOKUP(A546:A4587,kunishuClan!D:D,kunishuClan!B:B)&amp;"当主","")))</f>
      </c>
    </row>
    <row r="547" ht="15.75" customHeight="1">
      <c r="A547" s="4">
        <v>1007002</v>
      </c>
      <c r="B547" s="12" t="str">
        <f t="array" ref="B547">IF(A547:A4588="","",_xlfn.XLOOKUP(A547:A4588,'参照_武将'!A:A,'参照_武将'!B:B,"見つかりません"))</f>
      </c>
      <c r="C547" s="4" t="s">
        <v>123</v>
      </c>
      <c r="D547" s="4">
        <v>7</v>
      </c>
      <c r="E547" s="12" t="str">
        <f t="array" ref="E547">IF(D547:D4588="","",IFERROR(_xlfn.XLOOKUP(D547:D4588,'参照_勢力'!A:A,'参照_勢力'!B:B),IFERROR(_xlfn.XLOOKUP(F547:F4588,kunishuClan!A:A,kunishuClan!B:B),"浪人")))</f>
      </c>
      <c r="F547" s="4">
        <v>0</v>
      </c>
      <c r="G547" s="4">
        <v>76</v>
      </c>
      <c r="H547" s="12" t="str">
        <f t="array" ref="H547">IF(G547:G4588="","",_xlfn.XLOOKUP(G547:G4588,castles_state!A:A,castles_state!D:D,"見つかりません"))</f>
      </c>
      <c r="I547" s="4"/>
      <c r="J547" s="12" t="str">
        <f t="array" ref="J547">IF(I547:I4588="","",_xlfn.XLOOKUP(I547:I4588,'参照_姫'!A:A,'参照_姫'!B:B,"見つかりません"))</f>
      </c>
      <c r="K547" s="4">
        <v>95</v>
      </c>
      <c r="L547" s="4">
        <v>0</v>
      </c>
      <c r="M547" s="4"/>
      <c r="N547" s="4"/>
      <c r="O547" s="4"/>
      <c r="P547" s="12" t="str">
        <f t="array" ref="P547">IF(O547:O4588="","",_xlfn.XLOOKUP(O547:O4588,'参照_官位'!A:A,'参照_官位'!B:B,""))</f>
      </c>
      <c r="Q547" s="12" t="str">
        <f t="array" ref="Q547">IF(A547:A4588="","",IFERROR(_xlfn.XLOOKUP(A547:A4588,castles_state!K:K,castles_state!D:D)&amp;"主",IFERROR(_xlfn.XLOOKUP(A547:A4588,kunishuClan!D:D,kunishuClan!B:B)&amp;"当主","")))</f>
      </c>
    </row>
    <row r="548" ht="15.75" customHeight="1">
      <c r="A548" s="4">
        <v>1007003</v>
      </c>
      <c r="B548" s="12" t="str">
        <f t="array" ref="B548">IF(A548:A4589="","",_xlfn.XLOOKUP(A548:A4589,'参照_武将'!A:A,'参照_武将'!B:B,"見つかりません"))</f>
      </c>
      <c r="C548" s="4" t="s">
        <v>123</v>
      </c>
      <c r="D548" s="4">
        <v>7</v>
      </c>
      <c r="E548" s="12" t="str">
        <f t="array" ref="E548">IF(D548:D4589="","",IFERROR(_xlfn.XLOOKUP(D548:D4589,'参照_勢力'!A:A,'参照_勢力'!B:B),IFERROR(_xlfn.XLOOKUP(F548:F4589,kunishuClan!A:A,kunishuClan!B:B),"浪人")))</f>
      </c>
      <c r="F548" s="4">
        <v>0</v>
      </c>
      <c r="G548" s="4">
        <v>16</v>
      </c>
      <c r="H548" s="12" t="str">
        <f t="array" ref="H548">IF(G548:G4589="","",_xlfn.XLOOKUP(G548:G4589,castles_state!A:A,castles_state!D:D,"見つかりません"))</f>
      </c>
      <c r="I548" s="4"/>
      <c r="J548" s="12" t="str">
        <f t="array" ref="J548">IF(I548:I4589="","",_xlfn.XLOOKUP(I548:I4589,'参照_姫'!A:A,'参照_姫'!B:B,"見つかりません"))</f>
      </c>
      <c r="K548" s="4">
        <v>95</v>
      </c>
      <c r="L548" s="4">
        <v>0</v>
      </c>
      <c r="M548" s="4"/>
      <c r="N548" s="4"/>
      <c r="O548" s="4"/>
      <c r="P548" s="12" t="str">
        <f t="array" ref="P548">IF(O548:O4589="","",_xlfn.XLOOKUP(O548:O4589,'参照_官位'!A:A,'参照_官位'!B:B,""))</f>
      </c>
      <c r="Q548" s="12" t="str">
        <f t="array" ref="Q548">IF(A548:A4589="","",IFERROR(_xlfn.XLOOKUP(A548:A4589,castles_state!K:K,castles_state!D:D)&amp;"主",IFERROR(_xlfn.XLOOKUP(A548:A4589,kunishuClan!D:D,kunishuClan!B:B)&amp;"当主","")))</f>
      </c>
    </row>
    <row r="549" ht="15.75" customHeight="1">
      <c r="A549" s="4">
        <v>1007004</v>
      </c>
      <c r="B549" s="12" t="str">
        <f t="array" ref="B549">IF(A549:A4590="","",_xlfn.XLOOKUP(A549:A4590,'参照_武将'!A:A,'参照_武将'!B:B,"見つかりません"))</f>
      </c>
      <c r="C549" s="4" t="s">
        <v>123</v>
      </c>
      <c r="D549" s="4">
        <v>7</v>
      </c>
      <c r="E549" s="12" t="str">
        <f t="array" ref="E549">IF(D549:D4590="","",IFERROR(_xlfn.XLOOKUP(D549:D4590,'参照_勢力'!A:A,'参照_勢力'!B:B),IFERROR(_xlfn.XLOOKUP(F549:F4590,kunishuClan!A:A,kunishuClan!B:B),"浪人")))</f>
      </c>
      <c r="F549" s="4">
        <v>0</v>
      </c>
      <c r="G549" s="4">
        <v>16</v>
      </c>
      <c r="H549" s="12" t="str">
        <f t="array" ref="H549">IF(G549:G4590="","",_xlfn.XLOOKUP(G549:G4590,castles_state!A:A,castles_state!D:D,"見つかりません"))</f>
      </c>
      <c r="I549" s="4"/>
      <c r="J549" s="12" t="str">
        <f t="array" ref="J549">IF(I549:I4590="","",_xlfn.XLOOKUP(I549:I4590,'参照_姫'!A:A,'参照_姫'!B:B,"見つかりません"))</f>
      </c>
      <c r="K549" s="4">
        <v>95</v>
      </c>
      <c r="L549" s="4">
        <v>0</v>
      </c>
      <c r="M549" s="4"/>
      <c r="N549" s="4"/>
      <c r="O549" s="4"/>
      <c r="P549" s="12" t="str">
        <f t="array" ref="P549">IF(O549:O4590="","",_xlfn.XLOOKUP(O549:O4590,'参照_官位'!A:A,'参照_官位'!B:B,""))</f>
      </c>
      <c r="Q549" s="12" t="str">
        <f t="array" ref="Q549">IF(A549:A4590="","",IFERROR(_xlfn.XLOOKUP(A549:A4590,castles_state!K:K,castles_state!D:D)&amp;"主",IFERROR(_xlfn.XLOOKUP(A549:A4590,kunishuClan!D:D,kunishuClan!B:B)&amp;"当主","")))</f>
      </c>
    </row>
    <row r="550" ht="15.75" customHeight="1">
      <c r="A550" s="4">
        <v>1007005</v>
      </c>
      <c r="B550" s="12" t="str">
        <f t="array" ref="B550">IF(A550:A4591="","",_xlfn.XLOOKUP(A550:A4591,'参照_武将'!A:A,'参照_武将'!B:B,"見つかりません"))</f>
      </c>
      <c r="C550" s="4" t="s">
        <v>123</v>
      </c>
      <c r="D550" s="4">
        <v>7</v>
      </c>
      <c r="E550" s="12" t="str">
        <f t="array" ref="E550">IF(D550:D4591="","",IFERROR(_xlfn.XLOOKUP(D550:D4591,'参照_勢力'!A:A,'参照_勢力'!B:B),IFERROR(_xlfn.XLOOKUP(F550:F4591,kunishuClan!A:A,kunishuClan!B:B),"浪人")))</f>
      </c>
      <c r="F550" s="4">
        <v>0</v>
      </c>
      <c r="G550" s="4">
        <v>16</v>
      </c>
      <c r="H550" s="12" t="str">
        <f t="array" ref="H550">IF(G550:G4591="","",_xlfn.XLOOKUP(G550:G4591,castles_state!A:A,castles_state!D:D,"見つかりません"))</f>
      </c>
      <c r="I550" s="4"/>
      <c r="J550" s="12" t="str">
        <f t="array" ref="J550">IF(I550:I4591="","",_xlfn.XLOOKUP(I550:I4591,'参照_姫'!A:A,'参照_姫'!B:B,"見つかりません"))</f>
      </c>
      <c r="K550" s="4">
        <v>95</v>
      </c>
      <c r="L550" s="4">
        <v>0</v>
      </c>
      <c r="M550" s="4"/>
      <c r="N550" s="4"/>
      <c r="O550" s="4"/>
      <c r="P550" s="12" t="str">
        <f t="array" ref="P550">IF(O550:O4591="","",_xlfn.XLOOKUP(O550:O4591,'参照_官位'!A:A,'参照_官位'!B:B,""))</f>
      </c>
      <c r="Q550" s="12" t="str">
        <f t="array" ref="Q550">IF(A550:A4591="","",IFERROR(_xlfn.XLOOKUP(A550:A4591,castles_state!K:K,castles_state!D:D)&amp;"主",IFERROR(_xlfn.XLOOKUP(A550:A4591,kunishuClan!D:D,kunishuClan!B:B)&amp;"当主","")))</f>
      </c>
    </row>
    <row r="551" ht="15.75" customHeight="1">
      <c r="A551" s="4">
        <v>1007006</v>
      </c>
      <c r="B551" s="12" t="str">
        <f t="array" ref="B551">IF(A551:A4592="","",_xlfn.XLOOKUP(A551:A4592,'参照_武将'!A:A,'参照_武将'!B:B,"見つかりません"))</f>
      </c>
      <c r="C551" s="4" t="s">
        <v>123</v>
      </c>
      <c r="D551" s="4">
        <v>7</v>
      </c>
      <c r="E551" s="12" t="str">
        <f t="array" ref="E551">IF(D551:D4592="","",IFERROR(_xlfn.XLOOKUP(D551:D4592,'参照_勢力'!A:A,'参照_勢力'!B:B),IFERROR(_xlfn.XLOOKUP(F551:F4592,kunishuClan!A:A,kunishuClan!B:B),"浪人")))</f>
      </c>
      <c r="F551" s="4">
        <v>0</v>
      </c>
      <c r="G551" s="4">
        <v>16</v>
      </c>
      <c r="H551" s="12" t="str">
        <f t="array" ref="H551">IF(G551:G4592="","",_xlfn.XLOOKUP(G551:G4592,castles_state!A:A,castles_state!D:D,"見つかりません"))</f>
      </c>
      <c r="I551" s="4"/>
      <c r="J551" s="12" t="str">
        <f t="array" ref="J551">IF(I551:I4592="","",_xlfn.XLOOKUP(I551:I4592,'参照_姫'!A:A,'参照_姫'!B:B,"見つかりません"))</f>
      </c>
      <c r="K551" s="4">
        <v>95</v>
      </c>
      <c r="L551" s="4">
        <v>0</v>
      </c>
      <c r="M551" s="4"/>
      <c r="N551" s="4"/>
      <c r="O551" s="4"/>
      <c r="P551" s="12" t="str">
        <f t="array" ref="P551">IF(O551:O4592="","",_xlfn.XLOOKUP(O551:O4592,'参照_官位'!A:A,'参照_官位'!B:B,""))</f>
      </c>
      <c r="Q551" s="12" t="str">
        <f t="array" ref="Q551">IF(A551:A4592="","",IFERROR(_xlfn.XLOOKUP(A551:A4592,castles_state!K:K,castles_state!D:D)&amp;"主",IFERROR(_xlfn.XLOOKUP(A551:A4592,kunishuClan!D:D,kunishuClan!B:B)&amp;"当主","")))</f>
      </c>
    </row>
    <row r="552" ht="15.75" customHeight="1">
      <c r="A552" s="4">
        <v>1007007</v>
      </c>
      <c r="B552" s="12" t="str">
        <f t="array" ref="B552">IF(A552:A4593="","",_xlfn.XLOOKUP(A552:A4593,'参照_武将'!A:A,'参照_武将'!B:B,"見つかりません"))</f>
      </c>
      <c r="C552" s="4" t="s">
        <v>123</v>
      </c>
      <c r="D552" s="4">
        <v>7</v>
      </c>
      <c r="E552" s="12" t="str">
        <f t="array" ref="E552">IF(D552:D4593="","",IFERROR(_xlfn.XLOOKUP(D552:D4593,'参照_勢力'!A:A,'参照_勢力'!B:B),IFERROR(_xlfn.XLOOKUP(F552:F4593,kunishuClan!A:A,kunishuClan!B:B),"浪人")))</f>
      </c>
      <c r="F552" s="4">
        <v>0</v>
      </c>
      <c r="G552" s="4">
        <v>16</v>
      </c>
      <c r="H552" s="12" t="str">
        <f t="array" ref="H552">IF(G552:G4593="","",_xlfn.XLOOKUP(G552:G4593,castles_state!A:A,castles_state!D:D,"見つかりません"))</f>
      </c>
      <c r="I552" s="4"/>
      <c r="J552" s="12" t="str">
        <f t="array" ref="J552">IF(I552:I4593="","",_xlfn.XLOOKUP(I552:I4593,'参照_姫'!A:A,'参照_姫'!B:B,"見つかりません"))</f>
      </c>
      <c r="K552" s="4">
        <v>100</v>
      </c>
      <c r="L552" s="4">
        <v>0</v>
      </c>
      <c r="M552" s="4"/>
      <c r="N552" s="4"/>
      <c r="O552" s="4"/>
      <c r="P552" s="12" t="str">
        <f t="array" ref="P552">IF(O552:O4593="","",_xlfn.XLOOKUP(O552:O4593,'参照_官位'!A:A,'参照_官位'!B:B,""))</f>
      </c>
      <c r="Q552" s="12" t="str">
        <f t="array" ref="Q552">IF(A552:A4593="","",IFERROR(_xlfn.XLOOKUP(A552:A4593,castles_state!K:K,castles_state!D:D)&amp;"主",IFERROR(_xlfn.XLOOKUP(A552:A4593,kunishuClan!D:D,kunishuClan!B:B)&amp;"当主","")))</f>
      </c>
    </row>
    <row r="553" ht="15.75" customHeight="1">
      <c r="A553" s="4">
        <v>1007008</v>
      </c>
      <c r="B553" s="12" t="str">
        <f t="array" ref="B553">IF(A553:A4594="","",_xlfn.XLOOKUP(A553:A4594,'参照_武将'!A:A,'参照_武将'!B:B,"見つかりません"))</f>
      </c>
      <c r="C553" s="4" t="s">
        <v>123</v>
      </c>
      <c r="D553" s="4">
        <v>7</v>
      </c>
      <c r="E553" s="12" t="str">
        <f t="array" ref="E553">IF(D553:D4594="","",IFERROR(_xlfn.XLOOKUP(D553:D4594,'参照_勢力'!A:A,'参照_勢力'!B:B),IFERROR(_xlfn.XLOOKUP(F553:F4594,kunishuClan!A:A,kunishuClan!B:B),"浪人")))</f>
      </c>
      <c r="F553" s="4">
        <v>0</v>
      </c>
      <c r="G553" s="4">
        <v>16</v>
      </c>
      <c r="H553" s="12" t="str">
        <f t="array" ref="H553">IF(G553:G4594="","",_xlfn.XLOOKUP(G553:G4594,castles_state!A:A,castles_state!D:D,"見つかりません"))</f>
      </c>
      <c r="I553" s="4"/>
      <c r="J553" s="12" t="str">
        <f t="array" ref="J553">IF(I553:I4594="","",_xlfn.XLOOKUP(I553:I4594,'参照_姫'!A:A,'参照_姫'!B:B,"見つかりません"))</f>
      </c>
      <c r="K553" s="4">
        <v>100</v>
      </c>
      <c r="L553" s="4">
        <v>1500</v>
      </c>
      <c r="M553" s="4"/>
      <c r="N553" s="4"/>
      <c r="O553" s="4">
        <v>55</v>
      </c>
      <c r="P553" s="12" t="str">
        <f t="array" ref="P553">IF(O553:O4594="","",_xlfn.XLOOKUP(O553:O4594,'参照_官位'!A:A,'参照_官位'!B:B,""))</f>
      </c>
      <c r="Q553" s="12" t="str">
        <f t="array" ref="Q553">IF(A553:A4594="","",IFERROR(_xlfn.XLOOKUP(A553:A4594,castles_state!K:K,castles_state!D:D)&amp;"主",IFERROR(_xlfn.XLOOKUP(A553:A4594,kunishuClan!D:D,kunishuClan!B:B)&amp;"当主","")))</f>
      </c>
    </row>
    <row r="554" ht="15.75" customHeight="1">
      <c r="A554" s="4">
        <v>1007009</v>
      </c>
      <c r="B554" s="12" t="str">
        <f t="array" ref="B554">IF(A554:A4595="","",_xlfn.XLOOKUP(A554:A4595,'参照_武将'!A:A,'参照_武将'!B:B,"見つかりません"))</f>
      </c>
      <c r="C554" s="4" t="s">
        <v>123</v>
      </c>
      <c r="D554" s="4">
        <v>7</v>
      </c>
      <c r="E554" s="12" t="str">
        <f t="array" ref="E554">IF(D554:D4595="","",IFERROR(_xlfn.XLOOKUP(D554:D4595,'参照_勢力'!A:A,'参照_勢力'!B:B),IFERROR(_xlfn.XLOOKUP(F554:F4595,kunishuClan!A:A,kunishuClan!B:B),"浪人")))</f>
      </c>
      <c r="F554" s="4">
        <v>0</v>
      </c>
      <c r="G554" s="4">
        <v>16</v>
      </c>
      <c r="H554" s="12" t="str">
        <f t="array" ref="H554">IF(G554:G4595="","",_xlfn.XLOOKUP(G554:G4595,castles_state!A:A,castles_state!D:D,"見つかりません"))</f>
      </c>
      <c r="I554" s="4"/>
      <c r="J554" s="12" t="str">
        <f t="array" ref="J554">IF(I554:I4595="","",_xlfn.XLOOKUP(I554:I4595,'参照_姫'!A:A,'参照_姫'!B:B,"見つかりません"))</f>
      </c>
      <c r="K554" s="4">
        <v>95</v>
      </c>
      <c r="L554" s="4">
        <v>0</v>
      </c>
      <c r="M554" s="4"/>
      <c r="N554" s="4"/>
      <c r="O554" s="4"/>
      <c r="P554" s="12" t="str">
        <f t="array" ref="P554">IF(O554:O4595="","",_xlfn.XLOOKUP(O554:O4595,'参照_官位'!A:A,'参照_官位'!B:B,""))</f>
      </c>
      <c r="Q554" s="12" t="str">
        <f t="array" ref="Q554">IF(A554:A4595="","",IFERROR(_xlfn.XLOOKUP(A554:A4595,castles_state!K:K,castles_state!D:D)&amp;"主",IFERROR(_xlfn.XLOOKUP(A554:A4595,kunishuClan!D:D,kunishuClan!B:B)&amp;"当主","")))</f>
      </c>
    </row>
    <row r="555" ht="15.75" customHeight="1">
      <c r="A555" s="4">
        <v>1007010</v>
      </c>
      <c r="B555" s="12" t="str">
        <f t="array" ref="B555">IF(A555:A4596="","",_xlfn.XLOOKUP(A555:A4596,'参照_武将'!A:A,'参照_武将'!B:B,"見つかりません"))</f>
      </c>
      <c r="C555" s="4" t="s">
        <v>123</v>
      </c>
      <c r="D555" s="4">
        <v>7</v>
      </c>
      <c r="E555" s="12" t="str">
        <f t="array" ref="E555">IF(D555:D4596="","",IFERROR(_xlfn.XLOOKUP(D555:D4596,'参照_勢力'!A:A,'参照_勢力'!B:B),IFERROR(_xlfn.XLOOKUP(F555:F4596,kunishuClan!A:A,kunishuClan!B:B),"浪人")))</f>
      </c>
      <c r="F555" s="4">
        <v>0</v>
      </c>
      <c r="G555" s="4">
        <v>16</v>
      </c>
      <c r="H555" s="12" t="str">
        <f t="array" ref="H555">IF(G555:G4596="","",_xlfn.XLOOKUP(G555:G4596,castles_state!A:A,castles_state!D:D,"見つかりません"))</f>
      </c>
      <c r="I555" s="4"/>
      <c r="J555" s="12" t="str">
        <f t="array" ref="J555">IF(I555:I4596="","",_xlfn.XLOOKUP(I555:I4596,'参照_姫'!A:A,'参照_姫'!B:B,"見つかりません"))</f>
      </c>
      <c r="K555" s="4">
        <v>95</v>
      </c>
      <c r="L555" s="4">
        <v>0</v>
      </c>
      <c r="M555" s="4"/>
      <c r="N555" s="4"/>
      <c r="O555" s="4"/>
      <c r="P555" s="12" t="str">
        <f t="array" ref="P555">IF(O555:O4596="","",_xlfn.XLOOKUP(O555:O4596,'参照_官位'!A:A,'参照_官位'!B:B,""))</f>
      </c>
      <c r="Q555" s="12" t="str">
        <f t="array" ref="Q555">IF(A555:A4596="","",IFERROR(_xlfn.XLOOKUP(A555:A4596,castles_state!K:K,castles_state!D:D)&amp;"主",IFERROR(_xlfn.XLOOKUP(A555:A4596,kunishuClan!D:D,kunishuClan!B:B)&amp;"当主","")))</f>
      </c>
    </row>
    <row r="556" ht="15.75" customHeight="1">
      <c r="A556" s="4">
        <v>1007011</v>
      </c>
      <c r="B556" s="12" t="str">
        <f t="array" ref="B556">IF(A556:A4597="","",_xlfn.XLOOKUP(A556:A4597,'参照_武将'!A:A,'参照_武将'!B:B,"見つかりません"))</f>
      </c>
      <c r="C556" s="4" t="s">
        <v>123</v>
      </c>
      <c r="D556" s="4">
        <v>7</v>
      </c>
      <c r="E556" s="12" t="str">
        <f t="array" ref="E556">IF(D556:D4597="","",IFERROR(_xlfn.XLOOKUP(D556:D4597,'参照_勢力'!A:A,'参照_勢力'!B:B),IFERROR(_xlfn.XLOOKUP(F556:F4597,kunishuClan!A:A,kunishuClan!B:B),"浪人")))</f>
      </c>
      <c r="F556" s="4">
        <v>0</v>
      </c>
      <c r="G556" s="4">
        <v>16</v>
      </c>
      <c r="H556" s="12" t="str">
        <f t="array" ref="H556">IF(G556:G4597="","",_xlfn.XLOOKUP(G556:G4597,castles_state!A:A,castles_state!D:D,"見つかりません"))</f>
      </c>
      <c r="I556" s="4"/>
      <c r="J556" s="12" t="str">
        <f t="array" ref="J556">IF(I556:I4597="","",_xlfn.XLOOKUP(I556:I4597,'参照_姫'!A:A,'参照_姫'!B:B,"見つかりません"))</f>
      </c>
      <c r="K556" s="4">
        <v>95</v>
      </c>
      <c r="L556" s="4">
        <v>0</v>
      </c>
      <c r="M556" s="4"/>
      <c r="N556" s="4"/>
      <c r="O556" s="4"/>
      <c r="P556" s="12" t="str">
        <f t="array" ref="P556">IF(O556:O4597="","",_xlfn.XLOOKUP(O556:O4597,'参照_官位'!A:A,'参照_官位'!B:B,""))</f>
      </c>
      <c r="Q556" s="12" t="str">
        <f t="array" ref="Q556">IF(A556:A4597="","",IFERROR(_xlfn.XLOOKUP(A556:A4597,castles_state!K:K,castles_state!D:D)&amp;"主",IFERROR(_xlfn.XLOOKUP(A556:A4597,kunishuClan!D:D,kunishuClan!B:B)&amp;"当主","")))</f>
      </c>
    </row>
    <row r="557" ht="15.75" customHeight="1">
      <c r="A557" s="4">
        <v>1007012</v>
      </c>
      <c r="B557" s="12" t="str">
        <f t="array" ref="B557">IF(A557:A4598="","",_xlfn.XLOOKUP(A557:A4598,'参照_武将'!A:A,'参照_武将'!B:B,"見つかりません"))</f>
      </c>
      <c r="C557" s="4" t="s">
        <v>123</v>
      </c>
      <c r="D557" s="4">
        <v>7</v>
      </c>
      <c r="E557" s="12" t="str">
        <f t="array" ref="E557">IF(D557:D4598="","",IFERROR(_xlfn.XLOOKUP(D557:D4598,'参照_勢力'!A:A,'参照_勢力'!B:B),IFERROR(_xlfn.XLOOKUP(F557:F4598,kunishuClan!A:A,kunishuClan!B:B),"浪人")))</f>
      </c>
      <c r="F557" s="4">
        <v>0</v>
      </c>
      <c r="G557" s="4">
        <v>16</v>
      </c>
      <c r="H557" s="12" t="str">
        <f t="array" ref="H557">IF(G557:G4598="","",_xlfn.XLOOKUP(G557:G4598,castles_state!A:A,castles_state!D:D,"見つかりません"))</f>
      </c>
      <c r="I557" s="4"/>
      <c r="J557" s="12" t="str">
        <f t="array" ref="J557">IF(I557:I4598="","",_xlfn.XLOOKUP(I557:I4598,'参照_姫'!A:A,'参照_姫'!B:B,"見つかりません"))</f>
      </c>
      <c r="K557" s="4">
        <v>80</v>
      </c>
      <c r="L557" s="4">
        <v>700</v>
      </c>
      <c r="M557" s="4" t="b">
        <v>1</v>
      </c>
      <c r="N557" s="4"/>
      <c r="O557" s="4"/>
      <c r="P557" s="12" t="str">
        <f t="array" ref="P557">IF(O557:O4598="","",_xlfn.XLOOKUP(O557:O4598,'参照_官位'!A:A,'参照_官位'!B:B,""))</f>
      </c>
      <c r="Q557" s="12" t="str">
        <f t="array" ref="Q557">IF(A557:A4598="","",IFERROR(_xlfn.XLOOKUP(A557:A4598,castles_state!K:K,castles_state!D:D)&amp;"主",IFERROR(_xlfn.XLOOKUP(A557:A4598,kunishuClan!D:D,kunishuClan!B:B)&amp;"当主","")))</f>
      </c>
    </row>
    <row r="558" ht="15.75" customHeight="1">
      <c r="A558" s="4">
        <v>1007013</v>
      </c>
      <c r="B558" s="12" t="str">
        <f t="array" ref="B558">IF(A558:A4599="","",_xlfn.XLOOKUP(A558:A4599,'参照_武将'!A:A,'参照_武将'!B:B,"見つかりません"))</f>
      </c>
      <c r="C558" s="4" t="s">
        <v>116</v>
      </c>
      <c r="D558" s="4">
        <v>3</v>
      </c>
      <c r="E558" s="12" t="str">
        <f t="array" ref="E558">IF(D558:D4599="","",IFERROR(_xlfn.XLOOKUP(D558:D4599,'参照_勢力'!A:A,'参照_勢力'!B:B),IFERROR(_xlfn.XLOOKUP(F558:F4599,kunishuClan!A:A,kunishuClan!B:B),"浪人")))</f>
      </c>
      <c r="F558" s="4">
        <v>0</v>
      </c>
      <c r="G558" s="4">
        <v>13</v>
      </c>
      <c r="H558" s="12" t="str">
        <f t="array" ref="H558">IF(G558:G4599="","",_xlfn.XLOOKUP(G558:G4599,castles_state!A:A,castles_state!D:D,"見つかりません"))</f>
      </c>
      <c r="I558" s="4"/>
      <c r="J558" s="12" t="str">
        <f t="array" ref="J558">IF(I558:I4599="","",_xlfn.XLOOKUP(I558:I4599,'参照_姫'!A:A,'参照_姫'!B:B,"見つかりません"))</f>
      </c>
      <c r="K558" s="4">
        <v>85</v>
      </c>
      <c r="L558" s="4">
        <v>0</v>
      </c>
      <c r="M558" s="4"/>
      <c r="N558" s="4"/>
      <c r="O558" s="4"/>
      <c r="P558" s="12" t="str">
        <f t="array" ref="P558">IF(O558:O4599="","",_xlfn.XLOOKUP(O558:O4599,'参照_官位'!A:A,'参照_官位'!B:B,""))</f>
      </c>
      <c r="Q558" s="12" t="str">
        <f t="array" ref="Q558">IF(A558:A4599="","",IFERROR(_xlfn.XLOOKUP(A558:A4599,castles_state!K:K,castles_state!D:D)&amp;"主",IFERROR(_xlfn.XLOOKUP(A558:A4599,kunishuClan!D:D,kunishuClan!B:B)&amp;"当主","")))</f>
      </c>
    </row>
    <row r="559" ht="15.75" customHeight="1">
      <c r="A559" s="4">
        <v>1007014</v>
      </c>
      <c r="B559" s="12" t="str">
        <f t="array" ref="B559">IF(A559:A4600="","",_xlfn.XLOOKUP(A559:A4600,'参照_武将'!A:A,'参照_武将'!B:B,"見つかりません"))</f>
      </c>
      <c r="C559" s="4" t="s">
        <v>116</v>
      </c>
      <c r="D559" s="4">
        <v>0</v>
      </c>
      <c r="E559" s="12" t="str">
        <f t="array" ref="E559">IF(D559:D4600="","",IFERROR(_xlfn.XLOOKUP(D559:D4600,'参照_勢力'!A:A,'参照_勢力'!B:B),IFERROR(_xlfn.XLOOKUP(F559:F4600,kunishuClan!A:A,kunishuClan!B:B),"浪人")))</f>
      </c>
      <c r="F559" s="4">
        <v>0</v>
      </c>
      <c r="G559" s="4">
        <v>13</v>
      </c>
      <c r="H559" s="12" t="str">
        <f t="array" ref="H559">IF(G559:G4600="","",_xlfn.XLOOKUP(G559:G4600,castles_state!A:A,castles_state!D:D,"見つかりません"))</f>
      </c>
      <c r="I559" s="4"/>
      <c r="J559" s="12" t="str">
        <f t="array" ref="J559">IF(I559:I4600="","",_xlfn.XLOOKUP(I559:I4600,'参照_姫'!A:A,'参照_姫'!B:B,"見つかりません"))</f>
      </c>
      <c r="K559" s="4">
        <v>50</v>
      </c>
      <c r="L559" s="4">
        <v>0</v>
      </c>
      <c r="M559" s="4"/>
      <c r="N559" s="4"/>
      <c r="O559" s="4"/>
      <c r="P559" s="12" t="str">
        <f t="array" ref="P559">IF(O559:O4600="","",_xlfn.XLOOKUP(O559:O4600,'参照_官位'!A:A,'参照_官位'!B:B,""))</f>
      </c>
      <c r="Q559" s="12" t="str">
        <f t="array" ref="Q559">IF(A559:A4600="","",IFERROR(_xlfn.XLOOKUP(A559:A4600,castles_state!K:K,castles_state!D:D)&amp;"主",IFERROR(_xlfn.XLOOKUP(A559:A4600,kunishuClan!D:D,kunishuClan!B:B)&amp;"当主","")))</f>
      </c>
    </row>
    <row r="560" ht="15.75" customHeight="1">
      <c r="A560" s="4">
        <v>1007015</v>
      </c>
      <c r="B560" s="12" t="str">
        <f t="array" ref="B560">IF(A560:A4601="","",_xlfn.XLOOKUP(A560:A4601,'参照_武将'!A:A,'参照_武将'!B:B,"見つかりません"))</f>
      </c>
      <c r="C560" s="4" t="s">
        <v>123</v>
      </c>
      <c r="D560" s="4">
        <v>7</v>
      </c>
      <c r="E560" s="12" t="str">
        <f t="array" ref="E560">IF(D560:D4601="","",IFERROR(_xlfn.XLOOKUP(D560:D4601,'参照_勢力'!A:A,'参照_勢力'!B:B),IFERROR(_xlfn.XLOOKUP(F560:F4601,kunishuClan!A:A,kunishuClan!B:B),"浪人")))</f>
      </c>
      <c r="F560" s="4">
        <v>0</v>
      </c>
      <c r="G560" s="4">
        <v>16</v>
      </c>
      <c r="H560" s="12" t="str">
        <f t="array" ref="H560">IF(G560:G4601="","",_xlfn.XLOOKUP(G560:G4601,castles_state!A:A,castles_state!D:D,"見つかりません"))</f>
      </c>
      <c r="I560" s="4"/>
      <c r="J560" s="12" t="str">
        <f t="array" ref="J560">IF(I560:I4601="","",_xlfn.XLOOKUP(I560:I4601,'参照_姫'!A:A,'参照_姫'!B:B,"見つかりません"))</f>
      </c>
      <c r="K560" s="4">
        <v>95</v>
      </c>
      <c r="L560" s="4">
        <v>0</v>
      </c>
      <c r="M560" s="4"/>
      <c r="N560" s="4"/>
      <c r="O560" s="4"/>
      <c r="P560" s="12" t="str">
        <f t="array" ref="P560">IF(O560:O4601="","",_xlfn.XLOOKUP(O560:O4601,'参照_官位'!A:A,'参照_官位'!B:B,""))</f>
      </c>
      <c r="Q560" s="12" t="str">
        <f t="array" ref="Q560">IF(A560:A4601="","",IFERROR(_xlfn.XLOOKUP(A560:A4601,castles_state!K:K,castles_state!D:D)&amp;"主",IFERROR(_xlfn.XLOOKUP(A560:A4601,kunishuClan!D:D,kunishuClan!B:B)&amp;"当主","")))</f>
      </c>
    </row>
    <row r="561" ht="15.75" customHeight="1">
      <c r="A561" s="4">
        <v>1007016</v>
      </c>
      <c r="B561" s="12" t="str">
        <f t="array" ref="B561">IF(A561:A4602="","",_xlfn.XLOOKUP(A561:A4602,'参照_武将'!A:A,'参照_武将'!B:B,"見つかりません"))</f>
      </c>
      <c r="C561" s="4" t="s">
        <v>123</v>
      </c>
      <c r="D561" s="4">
        <v>7</v>
      </c>
      <c r="E561" s="12" t="str">
        <f t="array" ref="E561">IF(D561:D4602="","",IFERROR(_xlfn.XLOOKUP(D561:D4602,'参照_勢力'!A:A,'参照_勢力'!B:B),IFERROR(_xlfn.XLOOKUP(F561:F4602,kunishuClan!A:A,kunishuClan!B:B),"浪人")))</f>
      </c>
      <c r="F561" s="4">
        <v>0</v>
      </c>
      <c r="G561" s="4">
        <v>76</v>
      </c>
      <c r="H561" s="12" t="str">
        <f t="array" ref="H561">IF(G561:G4602="","",_xlfn.XLOOKUP(G561:G4602,castles_state!A:A,castles_state!D:D,"見つかりません"))</f>
      </c>
      <c r="I561" s="4"/>
      <c r="J561" s="12" t="str">
        <f t="array" ref="J561">IF(I561:I4602="","",_xlfn.XLOOKUP(I561:I4602,'参照_姫'!A:A,'参照_姫'!B:B,"見つかりません"))</f>
      </c>
      <c r="K561" s="4">
        <v>95</v>
      </c>
      <c r="L561" s="4">
        <v>0</v>
      </c>
      <c r="M561" s="4"/>
      <c r="N561" s="4"/>
      <c r="O561" s="4"/>
      <c r="P561" s="12" t="str">
        <f t="array" ref="P561">IF(O561:O4602="","",_xlfn.XLOOKUP(O561:O4602,'参照_官位'!A:A,'参照_官位'!B:B,""))</f>
      </c>
      <c r="Q561" s="12" t="str">
        <f t="array" ref="Q561">IF(A561:A4602="","",IFERROR(_xlfn.XLOOKUP(A561:A4602,castles_state!K:K,castles_state!D:D)&amp;"主",IFERROR(_xlfn.XLOOKUP(A561:A4602,kunishuClan!D:D,kunishuClan!B:B)&amp;"当主","")))</f>
      </c>
    </row>
    <row r="562" ht="15.75" customHeight="1">
      <c r="A562" s="4">
        <v>1007017</v>
      </c>
      <c r="B562" s="12" t="str">
        <f t="array" ref="B562">IF(A562:A4603="","",_xlfn.XLOOKUP(A562:A4603,'参照_武将'!A:A,'参照_武将'!B:B,"見つかりません"))</f>
      </c>
      <c r="C562" s="4" t="s">
        <v>123</v>
      </c>
      <c r="D562" s="4">
        <v>7</v>
      </c>
      <c r="E562" s="12" t="str">
        <f t="array" ref="E562">IF(D562:D4603="","",IFERROR(_xlfn.XLOOKUP(D562:D4603,'参照_勢力'!A:A,'参照_勢力'!B:B),IFERROR(_xlfn.XLOOKUP(F562:F4603,kunishuClan!A:A,kunishuClan!B:B),"浪人")))</f>
      </c>
      <c r="F562" s="4">
        <v>0</v>
      </c>
      <c r="G562" s="4">
        <v>16</v>
      </c>
      <c r="H562" s="12" t="str">
        <f t="array" ref="H562">IF(G562:G4603="","",_xlfn.XLOOKUP(G562:G4603,castles_state!A:A,castles_state!D:D,"見つかりません"))</f>
      </c>
      <c r="I562" s="4"/>
      <c r="J562" s="12" t="str">
        <f t="array" ref="J562">IF(I562:I4603="","",_xlfn.XLOOKUP(I562:I4603,'参照_姫'!A:A,'参照_姫'!B:B,"見つかりません"))</f>
      </c>
      <c r="K562" s="4">
        <v>95</v>
      </c>
      <c r="L562" s="4">
        <v>0</v>
      </c>
      <c r="M562" s="4"/>
      <c r="N562" s="4"/>
      <c r="O562" s="4"/>
      <c r="P562" s="12" t="str">
        <f t="array" ref="P562">IF(O562:O4603="","",_xlfn.XLOOKUP(O562:O4603,'参照_官位'!A:A,'参照_官位'!B:B,""))</f>
      </c>
      <c r="Q562" s="12" t="str">
        <f t="array" ref="Q562">IF(A562:A4603="","",IFERROR(_xlfn.XLOOKUP(A562:A4603,castles_state!K:K,castles_state!D:D)&amp;"主",IFERROR(_xlfn.XLOOKUP(A562:A4603,kunishuClan!D:D,kunishuClan!B:B)&amp;"当主","")))</f>
      </c>
    </row>
    <row r="563" ht="15.75" customHeight="1">
      <c r="A563" s="4">
        <v>1007018</v>
      </c>
      <c r="B563" s="12" t="str">
        <f t="array" ref="B563">IF(A563:A4604="","",_xlfn.XLOOKUP(A563:A4604,'参照_武将'!A:A,'参照_武将'!B:B,"見つかりません"))</f>
      </c>
      <c r="C563" s="4" t="s">
        <v>123</v>
      </c>
      <c r="D563" s="4">
        <v>7</v>
      </c>
      <c r="E563" s="12" t="str">
        <f t="array" ref="E563">IF(D563:D4604="","",IFERROR(_xlfn.XLOOKUP(D563:D4604,'参照_勢力'!A:A,'参照_勢力'!B:B),IFERROR(_xlfn.XLOOKUP(F563:F4604,kunishuClan!A:A,kunishuClan!B:B),"浪人")))</f>
      </c>
      <c r="F563" s="4">
        <v>0</v>
      </c>
      <c r="G563" s="4">
        <v>18</v>
      </c>
      <c r="H563" s="12" t="str">
        <f t="array" ref="H563">IF(G563:G4604="","",_xlfn.XLOOKUP(G563:G4604,castles_state!A:A,castles_state!D:D,"見つかりません"))</f>
      </c>
      <c r="I563" s="4"/>
      <c r="J563" s="12" t="str">
        <f t="array" ref="J563">IF(I563:I4604="","",_xlfn.XLOOKUP(I563:I4604,'参照_姫'!A:A,'参照_姫'!B:B,"見つかりません"))</f>
      </c>
      <c r="K563" s="4">
        <v>95</v>
      </c>
      <c r="L563" s="4">
        <v>500</v>
      </c>
      <c r="M563" s="4"/>
      <c r="N563" s="4"/>
      <c r="O563" s="4"/>
      <c r="P563" s="12" t="str">
        <f t="array" ref="P563">IF(O563:O4604="","",_xlfn.XLOOKUP(O563:O4604,'参照_官位'!A:A,'参照_官位'!B:B,""))</f>
      </c>
      <c r="Q563" s="12" t="str">
        <f t="array" ref="Q563">IF(A563:A4604="","",IFERROR(_xlfn.XLOOKUP(A563:A4604,castles_state!K:K,castles_state!D:D)&amp;"主",IFERROR(_xlfn.XLOOKUP(A563:A4604,kunishuClan!D:D,kunishuClan!B:B)&amp;"当主","")))</f>
      </c>
    </row>
    <row r="564" ht="15.75" customHeight="1">
      <c r="A564" s="4">
        <v>1007019</v>
      </c>
      <c r="B564" s="12" t="str">
        <f t="array" ref="B564">IF(A564:A4605="","",_xlfn.XLOOKUP(A564:A4605,'参照_武将'!A:A,'参照_武将'!B:B,"見つかりません"))</f>
      </c>
      <c r="C564" s="4" t="s">
        <v>123</v>
      </c>
      <c r="D564" s="4">
        <v>7</v>
      </c>
      <c r="E564" s="12" t="str">
        <f t="array" ref="E564">IF(D564:D4605="","",IFERROR(_xlfn.XLOOKUP(D564:D4605,'参照_勢力'!A:A,'参照_勢力'!B:B),IFERROR(_xlfn.XLOOKUP(F564:F4605,kunishuClan!A:A,kunishuClan!B:B),"浪人")))</f>
      </c>
      <c r="F564" s="4">
        <v>0</v>
      </c>
      <c r="G564" s="4">
        <v>18</v>
      </c>
      <c r="H564" s="12" t="str">
        <f t="array" ref="H564">IF(G564:G4605="","",_xlfn.XLOOKUP(G564:G4605,castles_state!A:A,castles_state!D:D,"見つかりません"))</f>
      </c>
      <c r="I564" s="4"/>
      <c r="J564" s="12" t="str">
        <f t="array" ref="J564">IF(I564:I4605="","",_xlfn.XLOOKUP(I564:I4605,'参照_姫'!A:A,'参照_姫'!B:B,"見つかりません"))</f>
      </c>
      <c r="K564" s="4">
        <v>95</v>
      </c>
      <c r="L564" s="4">
        <v>0</v>
      </c>
      <c r="M564" s="4"/>
      <c r="N564" s="4"/>
      <c r="O564" s="4"/>
      <c r="P564" s="12" t="str">
        <f t="array" ref="P564">IF(O564:O4605="","",_xlfn.XLOOKUP(O564:O4605,'参照_官位'!A:A,'参照_官位'!B:B,""))</f>
      </c>
      <c r="Q564" s="12" t="str">
        <f t="array" ref="Q564">IF(A564:A4605="","",IFERROR(_xlfn.XLOOKUP(A564:A4605,castles_state!K:K,castles_state!D:D)&amp;"主",IFERROR(_xlfn.XLOOKUP(A564:A4605,kunishuClan!D:D,kunishuClan!B:B)&amp;"当主","")))</f>
      </c>
    </row>
    <row r="565" ht="15.75" customHeight="1">
      <c r="A565" s="4">
        <v>1007020</v>
      </c>
      <c r="B565" s="12" t="str">
        <f t="array" ref="B565">IF(A565:A4606="","",_xlfn.XLOOKUP(A565:A4606,'参照_武将'!A:A,'参照_武将'!B:B,"見つかりません"))</f>
      </c>
      <c r="C565" s="4" t="s">
        <v>123</v>
      </c>
      <c r="D565" s="4">
        <v>7</v>
      </c>
      <c r="E565" s="12" t="str">
        <f t="array" ref="E565">IF(D565:D4606="","",IFERROR(_xlfn.XLOOKUP(D565:D4606,'参照_勢力'!A:A,'参照_勢力'!B:B),IFERROR(_xlfn.XLOOKUP(F565:F4606,kunishuClan!A:A,kunishuClan!B:B),"浪人")))</f>
      </c>
      <c r="F565" s="4">
        <v>0</v>
      </c>
      <c r="G565" s="4">
        <v>76</v>
      </c>
      <c r="H565" s="12" t="str">
        <f t="array" ref="H565">IF(G565:G4606="","",_xlfn.XLOOKUP(G565:G4606,castles_state!A:A,castles_state!D:D,"見つかりません"))</f>
      </c>
      <c r="I565" s="4"/>
      <c r="J565" s="12" t="str">
        <f t="array" ref="J565">IF(I565:I4606="","",_xlfn.XLOOKUP(I565:I4606,'参照_姫'!A:A,'参照_姫'!B:B,"見つかりません"))</f>
      </c>
      <c r="K565" s="4">
        <v>95</v>
      </c>
      <c r="L565" s="4">
        <v>0</v>
      </c>
      <c r="M565" s="4"/>
      <c r="N565" s="4"/>
      <c r="O565" s="4"/>
      <c r="P565" s="12" t="str">
        <f t="array" ref="P565">IF(O565:O4606="","",_xlfn.XLOOKUP(O565:O4606,'参照_官位'!A:A,'参照_官位'!B:B,""))</f>
      </c>
      <c r="Q565" s="12" t="str">
        <f t="array" ref="Q565">IF(A565:A4606="","",IFERROR(_xlfn.XLOOKUP(A565:A4606,castles_state!K:K,castles_state!D:D)&amp;"主",IFERROR(_xlfn.XLOOKUP(A565:A4606,kunishuClan!D:D,kunishuClan!B:B)&amp;"当主","")))</f>
      </c>
    </row>
    <row r="566" ht="15.75" customHeight="1">
      <c r="A566" s="4">
        <v>1007021</v>
      </c>
      <c r="B566" s="12" t="str">
        <f t="array" ref="B566">IF(A566:A4607="","",_xlfn.XLOOKUP(A566:A4607,'参照_武将'!A:A,'参照_武将'!B:B,"見つかりません"))</f>
      </c>
      <c r="C566" s="4" t="s">
        <v>123</v>
      </c>
      <c r="D566" s="4">
        <v>7</v>
      </c>
      <c r="E566" s="12" t="str">
        <f t="array" ref="E566">IF(D566:D4607="","",IFERROR(_xlfn.XLOOKUP(D566:D4607,'参照_勢力'!A:A,'参照_勢力'!B:B),IFERROR(_xlfn.XLOOKUP(F566:F4607,kunishuClan!A:A,kunishuClan!B:B),"浪人")))</f>
      </c>
      <c r="F566" s="4">
        <v>0</v>
      </c>
      <c r="G566" s="4">
        <v>76</v>
      </c>
      <c r="H566" s="12" t="str">
        <f t="array" ref="H566">IF(G566:G4607="","",_xlfn.XLOOKUP(G566:G4607,castles_state!A:A,castles_state!D:D,"見つかりません"))</f>
      </c>
      <c r="I566" s="4"/>
      <c r="J566" s="12" t="str">
        <f t="array" ref="J566">IF(I566:I4607="","",_xlfn.XLOOKUP(I566:I4607,'参照_姫'!A:A,'参照_姫'!B:B,"見つかりません"))</f>
      </c>
      <c r="K566" s="4">
        <v>95</v>
      </c>
      <c r="L566" s="4">
        <v>0</v>
      </c>
      <c r="M566" s="4"/>
      <c r="N566" s="4"/>
      <c r="O566" s="4"/>
      <c r="P566" s="12" t="str">
        <f t="array" ref="P566">IF(O566:O4607="","",_xlfn.XLOOKUP(O566:O4607,'参照_官位'!A:A,'参照_官位'!B:B,""))</f>
      </c>
      <c r="Q566" s="12" t="str">
        <f t="array" ref="Q566">IF(A566:A4607="","",IFERROR(_xlfn.XLOOKUP(A566:A4607,castles_state!K:K,castles_state!D:D)&amp;"主",IFERROR(_xlfn.XLOOKUP(A566:A4607,kunishuClan!D:D,kunishuClan!B:B)&amp;"当主","")))</f>
      </c>
    </row>
    <row r="567" ht="15.75" customHeight="1">
      <c r="A567" s="4">
        <v>1007022</v>
      </c>
      <c r="B567" s="12" t="str">
        <f t="array" ref="B567">IF(A567:A4608="","",_xlfn.XLOOKUP(A567:A4608,'参照_武将'!A:A,'参照_武将'!B:B,"見つかりません"))</f>
      </c>
      <c r="C567" s="4" t="s">
        <v>123</v>
      </c>
      <c r="D567" s="4">
        <v>7</v>
      </c>
      <c r="E567" s="12" t="str">
        <f t="array" ref="E567">IF(D567:D4608="","",IFERROR(_xlfn.XLOOKUP(D567:D4608,'参照_勢力'!A:A,'参照_勢力'!B:B),IFERROR(_xlfn.XLOOKUP(F567:F4608,kunishuClan!A:A,kunishuClan!B:B),"浪人")))</f>
      </c>
      <c r="F567" s="4">
        <v>0</v>
      </c>
      <c r="G567" s="4">
        <v>76</v>
      </c>
      <c r="H567" s="12" t="str">
        <f t="array" ref="H567">IF(G567:G4608="","",_xlfn.XLOOKUP(G567:G4608,castles_state!A:A,castles_state!D:D,"見つかりません"))</f>
      </c>
      <c r="I567" s="4"/>
      <c r="J567" s="12" t="str">
        <f t="array" ref="J567">IF(I567:I4608="","",_xlfn.XLOOKUP(I567:I4608,'参照_姫'!A:A,'参照_姫'!B:B,"見つかりません"))</f>
      </c>
      <c r="K567" s="4">
        <v>95</v>
      </c>
      <c r="L567" s="4">
        <v>0</v>
      </c>
      <c r="M567" s="4"/>
      <c r="N567" s="4"/>
      <c r="O567" s="4"/>
      <c r="P567" s="12" t="str">
        <f t="array" ref="P567">IF(O567:O4608="","",_xlfn.XLOOKUP(O567:O4608,'参照_官位'!A:A,'参照_官位'!B:B,""))</f>
      </c>
      <c r="Q567" s="12" t="str">
        <f t="array" ref="Q567">IF(A567:A4608="","",IFERROR(_xlfn.XLOOKUP(A567:A4608,castles_state!K:K,castles_state!D:D)&amp;"主",IFERROR(_xlfn.XLOOKUP(A567:A4608,kunishuClan!D:D,kunishuClan!B:B)&amp;"当主","")))</f>
      </c>
    </row>
    <row r="568" ht="15.75" customHeight="1">
      <c r="A568" s="4">
        <v>1007023</v>
      </c>
      <c r="B568" s="12" t="str">
        <f t="array" ref="B568">IF(A568:A4609="","",_xlfn.XLOOKUP(A568:A4609,'参照_武将'!A:A,'参照_武将'!B:B,"見つかりません"))</f>
      </c>
      <c r="C568" s="4" t="s">
        <v>123</v>
      </c>
      <c r="D568" s="4">
        <v>7</v>
      </c>
      <c r="E568" s="12" t="str">
        <f t="array" ref="E568">IF(D568:D4609="","",IFERROR(_xlfn.XLOOKUP(D568:D4609,'参照_勢力'!A:A,'参照_勢力'!B:B),IFERROR(_xlfn.XLOOKUP(F568:F4609,kunishuClan!A:A,kunishuClan!B:B),"浪人")))</f>
      </c>
      <c r="F568" s="4">
        <v>0</v>
      </c>
      <c r="G568" s="4">
        <v>76</v>
      </c>
      <c r="H568" s="12" t="str">
        <f t="array" ref="H568">IF(G568:G4609="","",_xlfn.XLOOKUP(G568:G4609,castles_state!A:A,castles_state!D:D,"見つかりません"))</f>
      </c>
      <c r="I568" s="4"/>
      <c r="J568" s="12" t="str">
        <f t="array" ref="J568">IF(I568:I4609="","",_xlfn.XLOOKUP(I568:I4609,'参照_姫'!A:A,'参照_姫'!B:B,"見つかりません"))</f>
      </c>
      <c r="K568" s="4">
        <v>95</v>
      </c>
      <c r="L568" s="4">
        <v>0</v>
      </c>
      <c r="M568" s="4"/>
      <c r="N568" s="4"/>
      <c r="O568" s="4"/>
      <c r="P568" s="12" t="str">
        <f t="array" ref="P568">IF(O568:O4609="","",_xlfn.XLOOKUP(O568:O4609,'参照_官位'!A:A,'参照_官位'!B:B,""))</f>
      </c>
      <c r="Q568" s="12" t="str">
        <f t="array" ref="Q568">IF(A568:A4609="","",IFERROR(_xlfn.XLOOKUP(A568:A4609,castles_state!K:K,castles_state!D:D)&amp;"主",IFERROR(_xlfn.XLOOKUP(A568:A4609,kunishuClan!D:D,kunishuClan!B:B)&amp;"当主","")))</f>
      </c>
    </row>
    <row r="569" ht="15.75" customHeight="1">
      <c r="A569" s="4">
        <v>1007024</v>
      </c>
      <c r="B569" s="12" t="str">
        <f t="array" ref="B569">IF(A569:A4610="","",_xlfn.XLOOKUP(A569:A4610,'参照_武将'!A:A,'参照_武将'!B:B,"見つかりません"))</f>
      </c>
      <c r="C569" s="4" t="s">
        <v>123</v>
      </c>
      <c r="D569" s="4">
        <v>7</v>
      </c>
      <c r="E569" s="12" t="str">
        <f t="array" ref="E569">IF(D569:D4610="","",IFERROR(_xlfn.XLOOKUP(D569:D4610,'参照_勢力'!A:A,'参照_勢力'!B:B),IFERROR(_xlfn.XLOOKUP(F569:F4610,kunishuClan!A:A,kunishuClan!B:B),"浪人")))</f>
      </c>
      <c r="F569" s="4">
        <v>0</v>
      </c>
      <c r="G569" s="4">
        <v>75</v>
      </c>
      <c r="H569" s="12" t="str">
        <f t="array" ref="H569">IF(G569:G4610="","",_xlfn.XLOOKUP(G569:G4610,castles_state!A:A,castles_state!D:D,"見つかりません"))</f>
      </c>
      <c r="I569" s="4"/>
      <c r="J569" s="12" t="str">
        <f t="array" ref="J569">IF(I569:I4610="","",_xlfn.XLOOKUP(I569:I4610,'参照_姫'!A:A,'参照_姫'!B:B,"見つかりません"))</f>
      </c>
      <c r="K569" s="4">
        <v>95</v>
      </c>
      <c r="L569" s="4">
        <v>0</v>
      </c>
      <c r="M569" s="4"/>
      <c r="N569" s="4"/>
      <c r="O569" s="4"/>
      <c r="P569" s="12" t="str">
        <f t="array" ref="P569">IF(O569:O4610="","",_xlfn.XLOOKUP(O569:O4610,'参照_官位'!A:A,'参照_官位'!B:B,""))</f>
      </c>
      <c r="Q569" s="12" t="str">
        <f t="array" ref="Q569">IF(A569:A4610="","",IFERROR(_xlfn.XLOOKUP(A569:A4610,castles_state!K:K,castles_state!D:D)&amp;"主",IFERROR(_xlfn.XLOOKUP(A569:A4610,kunishuClan!D:D,kunishuClan!B:B)&amp;"当主","")))</f>
      </c>
    </row>
    <row r="570" ht="15.75" customHeight="1">
      <c r="A570" s="4">
        <v>1007025</v>
      </c>
      <c r="B570" s="12" t="str">
        <f t="array" ref="B570">IF(A570:A4611="","",_xlfn.XLOOKUP(A570:A4611,'参照_武将'!A:A,'参照_武将'!B:B,"見つかりません"))</f>
      </c>
      <c r="C570" s="4" t="s">
        <v>123</v>
      </c>
      <c r="D570" s="4">
        <v>7</v>
      </c>
      <c r="E570" s="12" t="str">
        <f t="array" ref="E570">IF(D570:D4611="","",IFERROR(_xlfn.XLOOKUP(D570:D4611,'参照_勢力'!A:A,'参照_勢力'!B:B),IFERROR(_xlfn.XLOOKUP(F570:F4611,kunishuClan!A:A,kunishuClan!B:B),"浪人")))</f>
      </c>
      <c r="F570" s="4">
        <v>0</v>
      </c>
      <c r="G570" s="4">
        <v>75</v>
      </c>
      <c r="H570" s="12" t="str">
        <f t="array" ref="H570">IF(G570:G4611="","",_xlfn.XLOOKUP(G570:G4611,castles_state!A:A,castles_state!D:D,"見つかりません"))</f>
      </c>
      <c r="I570" s="4"/>
      <c r="J570" s="12" t="str">
        <f t="array" ref="J570">IF(I570:I4611="","",_xlfn.XLOOKUP(I570:I4611,'参照_姫'!A:A,'参照_姫'!B:B,"見つかりません"))</f>
      </c>
      <c r="K570" s="4">
        <v>95</v>
      </c>
      <c r="L570" s="4">
        <v>0</v>
      </c>
      <c r="M570" s="4"/>
      <c r="N570" s="4"/>
      <c r="O570" s="4"/>
      <c r="P570" s="12" t="str">
        <f t="array" ref="P570">IF(O570:O4611="","",_xlfn.XLOOKUP(O570:O4611,'参照_官位'!A:A,'参照_官位'!B:B,""))</f>
      </c>
      <c r="Q570" s="12" t="str">
        <f t="array" ref="Q570">IF(A570:A4611="","",IFERROR(_xlfn.XLOOKUP(A570:A4611,castles_state!K:K,castles_state!D:D)&amp;"主",IFERROR(_xlfn.XLOOKUP(A570:A4611,kunishuClan!D:D,kunishuClan!B:B)&amp;"当主","")))</f>
      </c>
    </row>
    <row r="571" ht="15.75" customHeight="1">
      <c r="A571" s="4">
        <v>1007026</v>
      </c>
      <c r="B571" s="12" t="str">
        <f t="array" ref="B571">IF(A571:A4612="","",_xlfn.XLOOKUP(A571:A4612,'参照_武将'!A:A,'参照_武将'!B:B,"見つかりません"))</f>
      </c>
      <c r="C571" s="4" t="s">
        <v>123</v>
      </c>
      <c r="D571" s="4">
        <v>7</v>
      </c>
      <c r="E571" s="12" t="str">
        <f t="array" ref="E571">IF(D571:D4612="","",IFERROR(_xlfn.XLOOKUP(D571:D4612,'参照_勢力'!A:A,'参照_勢力'!B:B),IFERROR(_xlfn.XLOOKUP(F571:F4612,kunishuClan!A:A,kunishuClan!B:B),"浪人")))</f>
      </c>
      <c r="F571" s="4">
        <v>0</v>
      </c>
      <c r="G571" s="4">
        <v>75</v>
      </c>
      <c r="H571" s="12" t="str">
        <f t="array" ref="H571">IF(G571:G4612="","",_xlfn.XLOOKUP(G571:G4612,castles_state!A:A,castles_state!D:D,"見つかりません"))</f>
      </c>
      <c r="I571" s="4"/>
      <c r="J571" s="12" t="str">
        <f t="array" ref="J571">IF(I571:I4612="","",_xlfn.XLOOKUP(I571:I4612,'参照_姫'!A:A,'参照_姫'!B:B,"見つかりません"))</f>
      </c>
      <c r="K571" s="4">
        <v>95</v>
      </c>
      <c r="L571" s="4">
        <v>500</v>
      </c>
      <c r="M571" s="4"/>
      <c r="N571" s="4"/>
      <c r="O571" s="4"/>
      <c r="P571" s="12" t="str">
        <f t="array" ref="P571">IF(O571:O4612="","",_xlfn.XLOOKUP(O571:O4612,'参照_官位'!A:A,'参照_官位'!B:B,""))</f>
      </c>
      <c r="Q571" s="12" t="str">
        <f t="array" ref="Q571">IF(A571:A4612="","",IFERROR(_xlfn.XLOOKUP(A571:A4612,castles_state!K:K,castles_state!D:D)&amp;"主",IFERROR(_xlfn.XLOOKUP(A571:A4612,kunishuClan!D:D,kunishuClan!B:B)&amp;"当主","")))</f>
      </c>
    </row>
    <row r="572" ht="15.75" customHeight="1">
      <c r="A572" s="4">
        <v>1007027</v>
      </c>
      <c r="B572" s="12" t="str">
        <f t="array" ref="B572">IF(A572:A4613="","",_xlfn.XLOOKUP(A572:A4613,'参照_武将'!A:A,'参照_武将'!B:B,"見つかりません"))</f>
      </c>
      <c r="C572" s="4" t="s">
        <v>123</v>
      </c>
      <c r="D572" s="4">
        <v>7</v>
      </c>
      <c r="E572" s="12" t="str">
        <f t="array" ref="E572">IF(D572:D4613="","",IFERROR(_xlfn.XLOOKUP(D572:D4613,'参照_勢力'!A:A,'参照_勢力'!B:B),IFERROR(_xlfn.XLOOKUP(F572:F4613,kunishuClan!A:A,kunishuClan!B:B),"浪人")))</f>
      </c>
      <c r="F572" s="4">
        <v>0</v>
      </c>
      <c r="G572" s="4">
        <v>16</v>
      </c>
      <c r="H572" s="12" t="str">
        <f t="array" ref="H572">IF(G572:G4613="","",_xlfn.XLOOKUP(G572:G4613,castles_state!A:A,castles_state!D:D,"見つかりません"))</f>
      </c>
      <c r="I572" s="4"/>
      <c r="J572" s="12" t="str">
        <f t="array" ref="J572">IF(I572:I4613="","",_xlfn.XLOOKUP(I572:I4613,'参照_姫'!A:A,'参照_姫'!B:B,"見つかりません"))</f>
      </c>
      <c r="K572" s="4">
        <v>90</v>
      </c>
      <c r="L572" s="4">
        <v>0</v>
      </c>
      <c r="M572" s="4"/>
      <c r="N572" s="4"/>
      <c r="O572" s="4"/>
      <c r="P572" s="12" t="str">
        <f t="array" ref="P572">IF(O572:O4613="","",_xlfn.XLOOKUP(O572:O4613,'参照_官位'!A:A,'参照_官位'!B:B,""))</f>
      </c>
      <c r="Q572" s="12" t="str">
        <f t="array" ref="Q572">IF(A572:A4613="","",IFERROR(_xlfn.XLOOKUP(A572:A4613,castles_state!K:K,castles_state!D:D)&amp;"主",IFERROR(_xlfn.XLOOKUP(A572:A4613,kunishuClan!D:D,kunishuClan!B:B)&amp;"当主","")))</f>
      </c>
    </row>
    <row r="573" ht="15.75" customHeight="1">
      <c r="A573" s="4">
        <v>1007028</v>
      </c>
      <c r="B573" s="12" t="str">
        <f t="array" ref="B573">IF(A573:A4614="","",_xlfn.XLOOKUP(A573:A4614,'参照_武将'!A:A,'参照_武将'!B:B,"見つかりません"))</f>
      </c>
      <c r="C573" s="4" t="s">
        <v>123</v>
      </c>
      <c r="D573" s="4">
        <v>7</v>
      </c>
      <c r="E573" s="12" t="str">
        <f t="array" ref="E573">IF(D573:D4614="","",IFERROR(_xlfn.XLOOKUP(D573:D4614,'参照_勢力'!A:A,'参照_勢力'!B:B),IFERROR(_xlfn.XLOOKUP(F573:F4614,kunishuClan!A:A,kunishuClan!B:B),"浪人")))</f>
      </c>
      <c r="F573" s="4">
        <v>0</v>
      </c>
      <c r="G573" s="4">
        <v>16</v>
      </c>
      <c r="H573" s="12" t="str">
        <f t="array" ref="H573">IF(G573:G4614="","",_xlfn.XLOOKUP(G573:G4614,castles_state!A:A,castles_state!D:D,"見つかりません"))</f>
      </c>
      <c r="I573" s="4"/>
      <c r="J573" s="12" t="str">
        <f t="array" ref="J573">IF(I573:I4614="","",_xlfn.XLOOKUP(I573:I4614,'参照_姫'!A:A,'参照_姫'!B:B,"見つかりません"))</f>
      </c>
      <c r="K573" s="4">
        <v>95</v>
      </c>
      <c r="L573" s="4">
        <v>0</v>
      </c>
      <c r="M573" s="4"/>
      <c r="N573" s="4"/>
      <c r="O573" s="4"/>
      <c r="P573" s="12" t="str">
        <f t="array" ref="P573">IF(O573:O4614="","",_xlfn.XLOOKUP(O573:O4614,'参照_官位'!A:A,'参照_官位'!B:B,""))</f>
      </c>
      <c r="Q573" s="12" t="str">
        <f t="array" ref="Q573">IF(A573:A4614="","",IFERROR(_xlfn.XLOOKUP(A573:A4614,castles_state!K:K,castles_state!D:D)&amp;"主",IFERROR(_xlfn.XLOOKUP(A573:A4614,kunishuClan!D:D,kunishuClan!B:B)&amp;"当主","")))</f>
      </c>
    </row>
    <row r="574" ht="15.75" customHeight="1">
      <c r="A574" s="4">
        <v>1007029</v>
      </c>
      <c r="B574" s="12" t="str">
        <f t="array" ref="B574">IF(A574:A4615="","",_xlfn.XLOOKUP(A574:A4615,'参照_武将'!A:A,'参照_武将'!B:B,"見つかりません"))</f>
      </c>
      <c r="C574" s="4" t="s">
        <v>123</v>
      </c>
      <c r="D574" s="4">
        <v>7</v>
      </c>
      <c r="E574" s="12" t="str">
        <f t="array" ref="E574">IF(D574:D4615="","",IFERROR(_xlfn.XLOOKUP(D574:D4615,'参照_勢力'!A:A,'参照_勢力'!B:B),IFERROR(_xlfn.XLOOKUP(F574:F4615,kunishuClan!A:A,kunishuClan!B:B),"浪人")))</f>
      </c>
      <c r="F574" s="4">
        <v>0</v>
      </c>
      <c r="G574" s="4">
        <v>16</v>
      </c>
      <c r="H574" s="12" t="str">
        <f t="array" ref="H574">IF(G574:G4615="","",_xlfn.XLOOKUP(G574:G4615,castles_state!A:A,castles_state!D:D,"見つかりません"))</f>
      </c>
      <c r="I574" s="4"/>
      <c r="J574" s="12" t="str">
        <f t="array" ref="J574">IF(I574:I4615="","",_xlfn.XLOOKUP(I574:I4615,'参照_姫'!A:A,'参照_姫'!B:B,"見つかりません"))</f>
      </c>
      <c r="K574" s="4">
        <v>95</v>
      </c>
      <c r="L574" s="4">
        <v>0</v>
      </c>
      <c r="M574" s="4"/>
      <c r="N574" s="4"/>
      <c r="O574" s="4"/>
      <c r="P574" s="12" t="str">
        <f t="array" ref="P574">IF(O574:O4615="","",_xlfn.XLOOKUP(O574:O4615,'参照_官位'!A:A,'参照_官位'!B:B,""))</f>
      </c>
      <c r="Q574" s="12" t="str">
        <f t="array" ref="Q574">IF(A574:A4615="","",IFERROR(_xlfn.XLOOKUP(A574:A4615,castles_state!K:K,castles_state!D:D)&amp;"主",IFERROR(_xlfn.XLOOKUP(A574:A4615,kunishuClan!D:D,kunishuClan!B:B)&amp;"当主","")))</f>
      </c>
    </row>
    <row r="575" ht="15.75" customHeight="1">
      <c r="A575" s="4">
        <v>1007030</v>
      </c>
      <c r="B575" s="12" t="str">
        <f t="array" ref="B575">IF(A575:A4616="","",_xlfn.XLOOKUP(A575:A4616,'参照_武将'!A:A,'参照_武将'!B:B,"見つかりません"))</f>
      </c>
      <c r="C575" s="4" t="s">
        <v>123</v>
      </c>
      <c r="D575" s="4">
        <v>7</v>
      </c>
      <c r="E575" s="12" t="str">
        <f t="array" ref="E575">IF(D575:D4616="","",IFERROR(_xlfn.XLOOKUP(D575:D4616,'参照_勢力'!A:A,'参照_勢力'!B:B),IFERROR(_xlfn.XLOOKUP(F575:F4616,kunishuClan!A:A,kunishuClan!B:B),"浪人")))</f>
      </c>
      <c r="F575" s="4">
        <v>0</v>
      </c>
      <c r="G575" s="4">
        <v>16</v>
      </c>
      <c r="H575" s="12" t="str">
        <f t="array" ref="H575">IF(G575:G4616="","",_xlfn.XLOOKUP(G575:G4616,castles_state!A:A,castles_state!D:D,"見つかりません"))</f>
      </c>
      <c r="I575" s="4"/>
      <c r="J575" s="12" t="str">
        <f t="array" ref="J575">IF(I575:I4616="","",_xlfn.XLOOKUP(I575:I4616,'参照_姫'!A:A,'参照_姫'!B:B,"見つかりません"))</f>
      </c>
      <c r="K575" s="4">
        <v>95</v>
      </c>
      <c r="L575" s="4">
        <v>0</v>
      </c>
      <c r="M575" s="4"/>
      <c r="N575" s="4"/>
      <c r="O575" s="4"/>
      <c r="P575" s="12" t="str">
        <f t="array" ref="P575">IF(O575:O4616="","",_xlfn.XLOOKUP(O575:O4616,'参照_官位'!A:A,'参照_官位'!B:B,""))</f>
      </c>
      <c r="Q575" s="12" t="str">
        <f t="array" ref="Q575">IF(A575:A4616="","",IFERROR(_xlfn.XLOOKUP(A575:A4616,castles_state!K:K,castles_state!D:D)&amp;"主",IFERROR(_xlfn.XLOOKUP(A575:A4616,kunishuClan!D:D,kunishuClan!B:B)&amp;"当主","")))</f>
      </c>
    </row>
    <row r="576" ht="15.75" customHeight="1">
      <c r="A576" s="4">
        <v>1007031</v>
      </c>
      <c r="B576" s="12" t="str">
        <f t="array" ref="B576">IF(A576:A4617="","",_xlfn.XLOOKUP(A576:A4617,'参照_武将'!A:A,'参照_武将'!B:B,"見つかりません"))</f>
      </c>
      <c r="C576" s="4" t="s">
        <v>123</v>
      </c>
      <c r="D576" s="4">
        <v>7</v>
      </c>
      <c r="E576" s="12" t="str">
        <f t="array" ref="E576">IF(D576:D4617="","",IFERROR(_xlfn.XLOOKUP(D576:D4617,'参照_勢力'!A:A,'参照_勢力'!B:B),IFERROR(_xlfn.XLOOKUP(F576:F4617,kunishuClan!A:A,kunishuClan!B:B),"浪人")))</f>
      </c>
      <c r="F576" s="4">
        <v>0</v>
      </c>
      <c r="G576" s="4">
        <v>16</v>
      </c>
      <c r="H576" s="12" t="str">
        <f t="array" ref="H576">IF(G576:G4617="","",_xlfn.XLOOKUP(G576:G4617,castles_state!A:A,castles_state!D:D,"見つかりません"))</f>
      </c>
      <c r="I576" s="4"/>
      <c r="J576" s="12" t="str">
        <f t="array" ref="J576">IF(I576:I4617="","",_xlfn.XLOOKUP(I576:I4617,'参照_姫'!A:A,'参照_姫'!B:B,"見つかりません"))</f>
      </c>
      <c r="K576" s="4">
        <v>95</v>
      </c>
      <c r="L576" s="4">
        <v>500</v>
      </c>
      <c r="M576" s="4"/>
      <c r="N576" s="4"/>
      <c r="O576" s="4"/>
      <c r="P576" s="12" t="str">
        <f t="array" ref="P576">IF(O576:O4617="","",_xlfn.XLOOKUP(O576:O4617,'参照_官位'!A:A,'参照_官位'!B:B,""))</f>
      </c>
      <c r="Q576" s="12" t="str">
        <f t="array" ref="Q576">IF(A576:A4617="","",IFERROR(_xlfn.XLOOKUP(A576:A4617,castles_state!K:K,castles_state!D:D)&amp;"主",IFERROR(_xlfn.XLOOKUP(A576:A4617,kunishuClan!D:D,kunishuClan!B:B)&amp;"当主","")))</f>
      </c>
    </row>
    <row r="577" ht="15.75" customHeight="1">
      <c r="A577" s="4">
        <v>1007032</v>
      </c>
      <c r="B577" s="12" t="str">
        <f t="array" ref="B577">IF(A577:A4618="","",_xlfn.XLOOKUP(A577:A4618,'参照_武将'!A:A,'参照_武将'!B:B,"見つかりません"))</f>
      </c>
      <c r="C577" s="4" t="s">
        <v>123</v>
      </c>
      <c r="D577" s="4">
        <v>7</v>
      </c>
      <c r="E577" s="12" t="str">
        <f t="array" ref="E577">IF(D577:D4618="","",IFERROR(_xlfn.XLOOKUP(D577:D4618,'参照_勢力'!A:A,'参照_勢力'!B:B),IFERROR(_xlfn.XLOOKUP(F577:F4618,kunishuClan!A:A,kunishuClan!B:B),"浪人")))</f>
      </c>
      <c r="F577" s="4">
        <v>0</v>
      </c>
      <c r="G577" s="4">
        <v>16</v>
      </c>
      <c r="H577" s="12" t="str">
        <f t="array" ref="H577">IF(G577:G4618="","",_xlfn.XLOOKUP(G577:G4618,castles_state!A:A,castles_state!D:D,"見つかりません"))</f>
      </c>
      <c r="I577" s="4"/>
      <c r="J577" s="12" t="str">
        <f t="array" ref="J577">IF(I577:I4618="","",_xlfn.XLOOKUP(I577:I4618,'参照_姫'!A:A,'参照_姫'!B:B,"見つかりません"))</f>
      </c>
      <c r="K577" s="4">
        <v>95</v>
      </c>
      <c r="L577" s="4">
        <v>0</v>
      </c>
      <c r="M577" s="4"/>
      <c r="N577" s="4"/>
      <c r="O577" s="4"/>
      <c r="P577" s="12" t="str">
        <f t="array" ref="P577">IF(O577:O4618="","",_xlfn.XLOOKUP(O577:O4618,'参照_官位'!A:A,'参照_官位'!B:B,""))</f>
      </c>
      <c r="Q577" s="12" t="str">
        <f t="array" ref="Q577">IF(A577:A4618="","",IFERROR(_xlfn.XLOOKUP(A577:A4618,castles_state!K:K,castles_state!D:D)&amp;"主",IFERROR(_xlfn.XLOOKUP(A577:A4618,kunishuClan!D:D,kunishuClan!B:B)&amp;"当主","")))</f>
      </c>
    </row>
    <row r="578" ht="15.75" customHeight="1">
      <c r="A578" s="4">
        <v>1007033</v>
      </c>
      <c r="B578" s="12" t="str">
        <f t="array" ref="B578">IF(A578:A4619="","",_xlfn.XLOOKUP(A578:A4619,'参照_武将'!A:A,'参照_武将'!B:B,"見つかりません"))</f>
      </c>
      <c r="C578" s="4" t="s">
        <v>123</v>
      </c>
      <c r="D578" s="4">
        <v>7</v>
      </c>
      <c r="E578" s="12" t="str">
        <f t="array" ref="E578">IF(D578:D4619="","",IFERROR(_xlfn.XLOOKUP(D578:D4619,'参照_勢力'!A:A,'参照_勢力'!B:B),IFERROR(_xlfn.XLOOKUP(F578:F4619,kunishuClan!A:A,kunishuClan!B:B),"浪人")))</f>
      </c>
      <c r="F578" s="4">
        <v>0</v>
      </c>
      <c r="G578" s="4">
        <v>76</v>
      </c>
      <c r="H578" s="12" t="str">
        <f t="array" ref="H578">IF(G578:G4619="","",_xlfn.XLOOKUP(G578:G4619,castles_state!A:A,castles_state!D:D,"見つかりません"))</f>
      </c>
      <c r="I578" s="4"/>
      <c r="J578" s="12" t="str">
        <f t="array" ref="J578">IF(I578:I4619="","",_xlfn.XLOOKUP(I578:I4619,'参照_姫'!A:A,'参照_姫'!B:B,"見つかりません"))</f>
      </c>
      <c r="K578" s="4">
        <v>95</v>
      </c>
      <c r="L578" s="4">
        <v>0</v>
      </c>
      <c r="M578" s="4"/>
      <c r="N578" s="4"/>
      <c r="O578" s="4"/>
      <c r="P578" s="12" t="str">
        <f t="array" ref="P578">IF(O578:O4619="","",_xlfn.XLOOKUP(O578:O4619,'参照_官位'!A:A,'参照_官位'!B:B,""))</f>
      </c>
      <c r="Q578" s="12" t="str">
        <f t="array" ref="Q578">IF(A578:A4619="","",IFERROR(_xlfn.XLOOKUP(A578:A4619,castles_state!K:K,castles_state!D:D)&amp;"主",IFERROR(_xlfn.XLOOKUP(A578:A4619,kunishuClan!D:D,kunishuClan!B:B)&amp;"当主","")))</f>
      </c>
    </row>
    <row r="579" ht="15.75" customHeight="1">
      <c r="A579" s="4">
        <v>1007034</v>
      </c>
      <c r="B579" s="12" t="str">
        <f t="array" ref="B579">IF(A579:A4620="","",_xlfn.XLOOKUP(A579:A4620,'参照_武将'!A:A,'参照_武将'!B:B,"見つかりません"))</f>
      </c>
      <c r="C579" s="4" t="s">
        <v>123</v>
      </c>
      <c r="D579" s="4">
        <v>7</v>
      </c>
      <c r="E579" s="12" t="str">
        <f t="array" ref="E579">IF(D579:D4620="","",IFERROR(_xlfn.XLOOKUP(D579:D4620,'参照_勢力'!A:A,'参照_勢力'!B:B),IFERROR(_xlfn.XLOOKUP(F579:F4620,kunishuClan!A:A,kunishuClan!B:B),"浪人")))</f>
      </c>
      <c r="F579" s="4">
        <v>0</v>
      </c>
      <c r="G579" s="4">
        <v>76</v>
      </c>
      <c r="H579" s="12" t="str">
        <f t="array" ref="H579">IF(G579:G4620="","",_xlfn.XLOOKUP(G579:G4620,castles_state!A:A,castles_state!D:D,"見つかりません"))</f>
      </c>
      <c r="I579" s="4"/>
      <c r="J579" s="12" t="str">
        <f t="array" ref="J579">IF(I579:I4620="","",_xlfn.XLOOKUP(I579:I4620,'参照_姫'!A:A,'参照_姫'!B:B,"見つかりません"))</f>
      </c>
      <c r="K579" s="4">
        <v>95</v>
      </c>
      <c r="L579" s="4">
        <v>0</v>
      </c>
      <c r="M579" s="4"/>
      <c r="N579" s="4"/>
      <c r="O579" s="4"/>
      <c r="P579" s="12" t="str">
        <f t="array" ref="P579">IF(O579:O4620="","",_xlfn.XLOOKUP(O579:O4620,'参照_官位'!A:A,'参照_官位'!B:B,""))</f>
      </c>
      <c r="Q579" s="12" t="str">
        <f t="array" ref="Q579">IF(A579:A4620="","",IFERROR(_xlfn.XLOOKUP(A579:A4620,castles_state!K:K,castles_state!D:D)&amp;"主",IFERROR(_xlfn.XLOOKUP(A579:A4620,kunishuClan!D:D,kunishuClan!B:B)&amp;"当主","")))</f>
      </c>
    </row>
    <row r="580" ht="15.75" customHeight="1">
      <c r="A580" s="4">
        <v>1007035</v>
      </c>
      <c r="B580" s="12" t="str">
        <f t="array" ref="B580">IF(A580:A4621="","",_xlfn.XLOOKUP(A580:A4621,'参照_武将'!A:A,'参照_武将'!B:B,"見つかりません"))</f>
      </c>
      <c r="C580" s="4" t="s">
        <v>123</v>
      </c>
      <c r="D580" s="4">
        <v>7</v>
      </c>
      <c r="E580" s="12" t="str">
        <f t="array" ref="E580">IF(D580:D4621="","",IFERROR(_xlfn.XLOOKUP(D580:D4621,'参照_勢力'!A:A,'参照_勢力'!B:B),IFERROR(_xlfn.XLOOKUP(F580:F4621,kunishuClan!A:A,kunishuClan!B:B),"浪人")))</f>
      </c>
      <c r="F580" s="4">
        <v>0</v>
      </c>
      <c r="G580" s="4">
        <v>76</v>
      </c>
      <c r="H580" s="12" t="str">
        <f t="array" ref="H580">IF(G580:G4621="","",_xlfn.XLOOKUP(G580:G4621,castles_state!A:A,castles_state!D:D,"見つかりません"))</f>
      </c>
      <c r="I580" s="4"/>
      <c r="J580" s="12" t="str">
        <f t="array" ref="J580">IF(I580:I4621="","",_xlfn.XLOOKUP(I580:I4621,'参照_姫'!A:A,'参照_姫'!B:B,"見つかりません"))</f>
      </c>
      <c r="K580" s="4">
        <v>95</v>
      </c>
      <c r="L580" s="4">
        <v>0</v>
      </c>
      <c r="M580" s="4"/>
      <c r="N580" s="4"/>
      <c r="O580" s="4"/>
      <c r="P580" s="12" t="str">
        <f t="array" ref="P580">IF(O580:O4621="","",_xlfn.XLOOKUP(O580:O4621,'参照_官位'!A:A,'参照_官位'!B:B,""))</f>
      </c>
      <c r="Q580" s="12" t="str">
        <f t="array" ref="Q580">IF(A580:A4621="","",IFERROR(_xlfn.XLOOKUP(A580:A4621,castles_state!K:K,castles_state!D:D)&amp;"主",IFERROR(_xlfn.XLOOKUP(A580:A4621,kunishuClan!D:D,kunishuClan!B:B)&amp;"当主","")))</f>
      </c>
    </row>
    <row r="581" ht="15.75" customHeight="1">
      <c r="A581" s="4">
        <v>1007036</v>
      </c>
      <c r="B581" s="12" t="str">
        <f t="array" ref="B581">IF(A581:A4622="","",_xlfn.XLOOKUP(A581:A4622,'参照_武将'!A:A,'参照_武将'!B:B,"見つかりません"))</f>
      </c>
      <c r="C581" s="4" t="s">
        <v>123</v>
      </c>
      <c r="D581" s="4">
        <v>7</v>
      </c>
      <c r="E581" s="12" t="str">
        <f t="array" ref="E581">IF(D581:D4622="","",IFERROR(_xlfn.XLOOKUP(D581:D4622,'参照_勢力'!A:A,'参照_勢力'!B:B),IFERROR(_xlfn.XLOOKUP(F581:F4622,kunishuClan!A:A,kunishuClan!B:B),"浪人")))</f>
      </c>
      <c r="F581" s="4">
        <v>0</v>
      </c>
      <c r="G581" s="4">
        <v>76</v>
      </c>
      <c r="H581" s="12" t="str">
        <f t="array" ref="H581">IF(G581:G4622="","",_xlfn.XLOOKUP(G581:G4622,castles_state!A:A,castles_state!D:D,"見つかりません"))</f>
      </c>
      <c r="I581" s="4"/>
      <c r="J581" s="12" t="str">
        <f t="array" ref="J581">IF(I581:I4622="","",_xlfn.XLOOKUP(I581:I4622,'参照_姫'!A:A,'参照_姫'!B:B,"見つかりません"))</f>
      </c>
      <c r="K581" s="4">
        <v>95</v>
      </c>
      <c r="L581" s="4">
        <v>0</v>
      </c>
      <c r="M581" s="4"/>
      <c r="N581" s="4"/>
      <c r="O581" s="4"/>
      <c r="P581" s="12" t="str">
        <f t="array" ref="P581">IF(O581:O4622="","",_xlfn.XLOOKUP(O581:O4622,'参照_官位'!A:A,'参照_官位'!B:B,""))</f>
      </c>
      <c r="Q581" s="12" t="str">
        <f t="array" ref="Q581">IF(A581:A4622="","",IFERROR(_xlfn.XLOOKUP(A581:A4622,castles_state!K:K,castles_state!D:D)&amp;"主",IFERROR(_xlfn.XLOOKUP(A581:A4622,kunishuClan!D:D,kunishuClan!B:B)&amp;"当主","")))</f>
      </c>
    </row>
    <row r="582" ht="15.75" customHeight="1">
      <c r="A582" s="4">
        <v>1007037</v>
      </c>
      <c r="B582" s="12" t="str">
        <f t="array" ref="B582">IF(A582:A4623="","",_xlfn.XLOOKUP(A582:A4623,'参照_武将'!A:A,'参照_武将'!B:B,"見つかりません"))</f>
      </c>
      <c r="C582" s="4" t="s">
        <v>123</v>
      </c>
      <c r="D582" s="4">
        <v>7</v>
      </c>
      <c r="E582" s="12" t="str">
        <f t="array" ref="E582">IF(D582:D4623="","",IFERROR(_xlfn.XLOOKUP(D582:D4623,'参照_勢力'!A:A,'参照_勢力'!B:B),IFERROR(_xlfn.XLOOKUP(F582:F4623,kunishuClan!A:A,kunishuClan!B:B),"浪人")))</f>
      </c>
      <c r="F582" s="4">
        <v>0</v>
      </c>
      <c r="G582" s="4">
        <v>76</v>
      </c>
      <c r="H582" s="12" t="str">
        <f t="array" ref="H582">IF(G582:G4623="","",_xlfn.XLOOKUP(G582:G4623,castles_state!A:A,castles_state!D:D,"見つかりません"))</f>
      </c>
      <c r="I582" s="4"/>
      <c r="J582" s="12" t="str">
        <f t="array" ref="J582">IF(I582:I4623="","",_xlfn.XLOOKUP(I582:I4623,'参照_姫'!A:A,'参照_姫'!B:B,"見つかりません"))</f>
      </c>
      <c r="K582" s="4">
        <v>95</v>
      </c>
      <c r="L582" s="4">
        <v>0</v>
      </c>
      <c r="M582" s="4"/>
      <c r="N582" s="4"/>
      <c r="O582" s="4"/>
      <c r="P582" s="12" t="str">
        <f t="array" ref="P582">IF(O582:O4623="","",_xlfn.XLOOKUP(O582:O4623,'参照_官位'!A:A,'参照_官位'!B:B,""))</f>
      </c>
      <c r="Q582" s="12" t="str">
        <f t="array" ref="Q582">IF(A582:A4623="","",IFERROR(_xlfn.XLOOKUP(A582:A4623,castles_state!K:K,castles_state!D:D)&amp;"主",IFERROR(_xlfn.XLOOKUP(A582:A4623,kunishuClan!D:D,kunishuClan!B:B)&amp;"当主","")))</f>
      </c>
    </row>
    <row r="583" ht="15.75" customHeight="1">
      <c r="A583" s="4">
        <v>1007038</v>
      </c>
      <c r="B583" s="12" t="str">
        <f t="array" ref="B583">IF(A583:A4624="","",_xlfn.XLOOKUP(A583:A4624,'参照_武将'!A:A,'参照_武将'!B:B,"見つかりません"))</f>
      </c>
      <c r="C583" s="4" t="s">
        <v>123</v>
      </c>
      <c r="D583" s="4">
        <v>7</v>
      </c>
      <c r="E583" s="12" t="str">
        <f t="array" ref="E583">IF(D583:D4624="","",IFERROR(_xlfn.XLOOKUP(D583:D4624,'参照_勢力'!A:A,'参照_勢力'!B:B),IFERROR(_xlfn.XLOOKUP(F583:F4624,kunishuClan!A:A,kunishuClan!B:B),"浪人")))</f>
      </c>
      <c r="F583" s="4">
        <v>0</v>
      </c>
      <c r="G583" s="4">
        <v>76</v>
      </c>
      <c r="H583" s="12" t="str">
        <f t="array" ref="H583">IF(G583:G4624="","",_xlfn.XLOOKUP(G583:G4624,castles_state!A:A,castles_state!D:D,"見つかりません"))</f>
      </c>
      <c r="I583" s="4"/>
      <c r="J583" s="12" t="str">
        <f t="array" ref="J583">IF(I583:I4624="","",_xlfn.XLOOKUP(I583:I4624,'参照_姫'!A:A,'参照_姫'!B:B,"見つかりません"))</f>
      </c>
      <c r="K583" s="4">
        <v>95</v>
      </c>
      <c r="L583" s="4">
        <v>500</v>
      </c>
      <c r="M583" s="4"/>
      <c r="N583" s="4"/>
      <c r="O583" s="4"/>
      <c r="P583" s="12" t="str">
        <f t="array" ref="P583">IF(O583:O4624="","",_xlfn.XLOOKUP(O583:O4624,'参照_官位'!A:A,'参照_官位'!B:B,""))</f>
      </c>
      <c r="Q583" s="12" t="str">
        <f t="array" ref="Q583">IF(A583:A4624="","",IFERROR(_xlfn.XLOOKUP(A583:A4624,castles_state!K:K,castles_state!D:D)&amp;"主",IFERROR(_xlfn.XLOOKUP(A583:A4624,kunishuClan!D:D,kunishuClan!B:B)&amp;"当主","")))</f>
      </c>
    </row>
    <row r="584" ht="15.75" customHeight="1">
      <c r="A584" s="4">
        <v>1007039</v>
      </c>
      <c r="B584" s="12" t="str">
        <f t="array" ref="B584">IF(A584:A4625="","",_xlfn.XLOOKUP(A584:A4625,'参照_武将'!A:A,'参照_武将'!B:B,"見つかりません"))</f>
      </c>
      <c r="C584" s="4" t="s">
        <v>123</v>
      </c>
      <c r="D584" s="4">
        <v>7</v>
      </c>
      <c r="E584" s="12" t="str">
        <f t="array" ref="E584">IF(D584:D4625="","",IFERROR(_xlfn.XLOOKUP(D584:D4625,'参照_勢力'!A:A,'参照_勢力'!B:B),IFERROR(_xlfn.XLOOKUP(F584:F4625,kunishuClan!A:A,kunishuClan!B:B),"浪人")))</f>
      </c>
      <c r="F584" s="4">
        <v>0</v>
      </c>
      <c r="G584" s="4">
        <v>16</v>
      </c>
      <c r="H584" s="12" t="str">
        <f t="array" ref="H584">IF(G584:G4625="","",_xlfn.XLOOKUP(G584:G4625,castles_state!A:A,castles_state!D:D,"見つかりません"))</f>
      </c>
      <c r="I584" s="4"/>
      <c r="J584" s="12" t="str">
        <f t="array" ref="J584">IF(I584:I4625="","",_xlfn.XLOOKUP(I584:I4625,'参照_姫'!A:A,'参照_姫'!B:B,"見つかりません"))</f>
      </c>
      <c r="K584" s="4">
        <v>90</v>
      </c>
      <c r="L584" s="4">
        <v>0</v>
      </c>
      <c r="M584" s="4"/>
      <c r="N584" s="4"/>
      <c r="O584" s="4"/>
      <c r="P584" s="12" t="str">
        <f t="array" ref="P584">IF(O584:O4625="","",_xlfn.XLOOKUP(O584:O4625,'参照_官位'!A:A,'参照_官位'!B:B,""))</f>
      </c>
      <c r="Q584" s="12" t="str">
        <f t="array" ref="Q584">IF(A584:A4625="","",IFERROR(_xlfn.XLOOKUP(A584:A4625,castles_state!K:K,castles_state!D:D)&amp;"主",IFERROR(_xlfn.XLOOKUP(A584:A4625,kunishuClan!D:D,kunishuClan!B:B)&amp;"当主","")))</f>
      </c>
    </row>
    <row r="585" ht="15.75" customHeight="1">
      <c r="A585" s="4">
        <v>1007040</v>
      </c>
      <c r="B585" s="12" t="str">
        <f t="array" ref="B585">IF(A585:A4626="","",_xlfn.XLOOKUP(A585:A4626,'参照_武将'!A:A,'参照_武将'!B:B,"見つかりません"))</f>
      </c>
      <c r="C585" s="4" t="s">
        <v>123</v>
      </c>
      <c r="D585" s="4">
        <v>7</v>
      </c>
      <c r="E585" s="12" t="str">
        <f t="array" ref="E585">IF(D585:D4626="","",IFERROR(_xlfn.XLOOKUP(D585:D4626,'参照_勢力'!A:A,'参照_勢力'!B:B),IFERROR(_xlfn.XLOOKUP(F585:F4626,kunishuClan!A:A,kunishuClan!B:B),"浪人")))</f>
      </c>
      <c r="F585" s="4">
        <v>0</v>
      </c>
      <c r="G585" s="4">
        <v>76</v>
      </c>
      <c r="H585" s="12" t="str">
        <f t="array" ref="H585">IF(G585:G4626="","",_xlfn.XLOOKUP(G585:G4626,castles_state!A:A,castles_state!D:D,"見つかりません"))</f>
      </c>
      <c r="I585" s="4"/>
      <c r="J585" s="12" t="str">
        <f t="array" ref="J585">IF(I585:I4626="","",_xlfn.XLOOKUP(I585:I4626,'参照_姫'!A:A,'参照_姫'!B:B,"見つかりません"))</f>
      </c>
      <c r="K585" s="4">
        <v>95</v>
      </c>
      <c r="L585" s="4">
        <v>0</v>
      </c>
      <c r="M585" s="4"/>
      <c r="N585" s="4"/>
      <c r="O585" s="4"/>
      <c r="P585" s="12" t="str">
        <f t="array" ref="P585">IF(O585:O4626="","",_xlfn.XLOOKUP(O585:O4626,'参照_官位'!A:A,'参照_官位'!B:B,""))</f>
      </c>
      <c r="Q585" s="12" t="str">
        <f t="array" ref="Q585">IF(A585:A4626="","",IFERROR(_xlfn.XLOOKUP(A585:A4626,castles_state!K:K,castles_state!D:D)&amp;"主",IFERROR(_xlfn.XLOOKUP(A585:A4626,kunishuClan!D:D,kunishuClan!B:B)&amp;"当主","")))</f>
      </c>
    </row>
    <row r="586" ht="15.75" customHeight="1">
      <c r="A586" s="4">
        <v>1007041</v>
      </c>
      <c r="B586" s="12" t="str">
        <f t="array" ref="B586">IF(A586:A4627="","",_xlfn.XLOOKUP(A586:A4627,'参照_武将'!A:A,'参照_武将'!B:B,"見つかりません"))</f>
      </c>
      <c r="C586" s="4" t="s">
        <v>123</v>
      </c>
      <c r="D586" s="4">
        <v>7</v>
      </c>
      <c r="E586" s="12" t="str">
        <f t="array" ref="E586">IF(D586:D4627="","",IFERROR(_xlfn.XLOOKUP(D586:D4627,'参照_勢力'!A:A,'参照_勢力'!B:B),IFERROR(_xlfn.XLOOKUP(F586:F4627,kunishuClan!A:A,kunishuClan!B:B),"浪人")))</f>
      </c>
      <c r="F586" s="4">
        <v>0</v>
      </c>
      <c r="G586" s="4">
        <v>75</v>
      </c>
      <c r="H586" s="12" t="str">
        <f t="array" ref="H586">IF(G586:G4627="","",_xlfn.XLOOKUP(G586:G4627,castles_state!A:A,castles_state!D:D,"見つかりません"))</f>
      </c>
      <c r="I586" s="4"/>
      <c r="J586" s="12" t="str">
        <f t="array" ref="J586">IF(I586:I4627="","",_xlfn.XLOOKUP(I586:I4627,'参照_姫'!A:A,'参照_姫'!B:B,"見つかりません"))</f>
      </c>
      <c r="K586" s="4">
        <v>95</v>
      </c>
      <c r="L586" s="4">
        <v>0</v>
      </c>
      <c r="M586" s="4"/>
      <c r="N586" s="4"/>
      <c r="O586" s="4"/>
      <c r="P586" s="12" t="str">
        <f t="array" ref="P586">IF(O586:O4627="","",_xlfn.XLOOKUP(O586:O4627,'参照_官位'!A:A,'参照_官位'!B:B,""))</f>
      </c>
      <c r="Q586" s="12" t="str">
        <f t="array" ref="Q586">IF(A586:A4627="","",IFERROR(_xlfn.XLOOKUP(A586:A4627,castles_state!K:K,castles_state!D:D)&amp;"主",IFERROR(_xlfn.XLOOKUP(A586:A4627,kunishuClan!D:D,kunishuClan!B:B)&amp;"当主","")))</f>
      </c>
    </row>
    <row r="587" ht="15.75" customHeight="1">
      <c r="A587" s="4">
        <v>1007042</v>
      </c>
      <c r="B587" s="12" t="str">
        <f t="array" ref="B587">IF(A587:A4628="","",_xlfn.XLOOKUP(A587:A4628,'参照_武将'!A:A,'参照_武将'!B:B,"見つかりません"))</f>
      </c>
      <c r="C587" s="4" t="s">
        <v>123</v>
      </c>
      <c r="D587" s="4">
        <v>7</v>
      </c>
      <c r="E587" s="12" t="str">
        <f t="array" ref="E587">IF(D587:D4628="","",IFERROR(_xlfn.XLOOKUP(D587:D4628,'参照_勢力'!A:A,'参照_勢力'!B:B),IFERROR(_xlfn.XLOOKUP(F587:F4628,kunishuClan!A:A,kunishuClan!B:B),"浪人")))</f>
      </c>
      <c r="F587" s="4">
        <v>0</v>
      </c>
      <c r="G587" s="4">
        <v>16</v>
      </c>
      <c r="H587" s="12" t="str">
        <f t="array" ref="H587">IF(G587:G4628="","",_xlfn.XLOOKUP(G587:G4628,castles_state!A:A,castles_state!D:D,"見つかりません"))</f>
      </c>
      <c r="I587" s="4"/>
      <c r="J587" s="12" t="str">
        <f t="array" ref="J587">IF(I587:I4628="","",_xlfn.XLOOKUP(I587:I4628,'参照_姫'!A:A,'参照_姫'!B:B,"見つかりません"))</f>
      </c>
      <c r="K587" s="4">
        <v>90</v>
      </c>
      <c r="L587" s="4">
        <v>0</v>
      </c>
      <c r="M587" s="4"/>
      <c r="N587" s="4"/>
      <c r="O587" s="4"/>
      <c r="P587" s="12" t="str">
        <f t="array" ref="P587">IF(O587:O4628="","",_xlfn.XLOOKUP(O587:O4628,'参照_官位'!A:A,'参照_官位'!B:B,""))</f>
      </c>
      <c r="Q587" s="12" t="str">
        <f t="array" ref="Q587">IF(A587:A4628="","",IFERROR(_xlfn.XLOOKUP(A587:A4628,castles_state!K:K,castles_state!D:D)&amp;"主",IFERROR(_xlfn.XLOOKUP(A587:A4628,kunishuClan!D:D,kunishuClan!B:B)&amp;"当主","")))</f>
      </c>
    </row>
    <row r="588" ht="15.75" customHeight="1">
      <c r="A588" s="4">
        <v>1007043</v>
      </c>
      <c r="B588" s="12" t="str">
        <f t="array" ref="B588">IF(A588:A4629="","",_xlfn.XLOOKUP(A588:A4629,'参照_武将'!A:A,'参照_武将'!B:B,"見つかりません"))</f>
      </c>
      <c r="C588" s="4" t="s">
        <v>123</v>
      </c>
      <c r="D588" s="4">
        <v>7</v>
      </c>
      <c r="E588" s="12" t="str">
        <f t="array" ref="E588">IF(D588:D4629="","",IFERROR(_xlfn.XLOOKUP(D588:D4629,'参照_勢力'!A:A,'参照_勢力'!B:B),IFERROR(_xlfn.XLOOKUP(F588:F4629,kunishuClan!A:A,kunishuClan!B:B),"浪人")))</f>
      </c>
      <c r="F588" s="4">
        <v>0</v>
      </c>
      <c r="G588" s="4">
        <v>16</v>
      </c>
      <c r="H588" s="12" t="str">
        <f t="array" ref="H588">IF(G588:G4629="","",_xlfn.XLOOKUP(G588:G4629,castles_state!A:A,castles_state!D:D,"見つかりません"))</f>
      </c>
      <c r="I588" s="4"/>
      <c r="J588" s="12" t="str">
        <f t="array" ref="J588">IF(I588:I4629="","",_xlfn.XLOOKUP(I588:I4629,'参照_姫'!A:A,'参照_姫'!B:B,"見つかりません"))</f>
      </c>
      <c r="K588" s="4">
        <v>90</v>
      </c>
      <c r="L588" s="4">
        <v>0</v>
      </c>
      <c r="M588" s="4"/>
      <c r="N588" s="4"/>
      <c r="O588" s="4"/>
      <c r="P588" s="12" t="str">
        <f t="array" ref="P588">IF(O588:O4629="","",_xlfn.XLOOKUP(O588:O4629,'参照_官位'!A:A,'参照_官位'!B:B,""))</f>
      </c>
      <c r="Q588" s="12" t="str">
        <f t="array" ref="Q588">IF(A588:A4629="","",IFERROR(_xlfn.XLOOKUP(A588:A4629,castles_state!K:K,castles_state!D:D)&amp;"主",IFERROR(_xlfn.XLOOKUP(A588:A4629,kunishuClan!D:D,kunishuClan!B:B)&amp;"当主","")))</f>
      </c>
    </row>
    <row r="589" ht="15.75" customHeight="1">
      <c r="A589" s="4">
        <v>1007044</v>
      </c>
      <c r="B589" s="12" t="str">
        <f t="array" ref="B589">IF(A589:A4630="","",_xlfn.XLOOKUP(A589:A4630,'参照_武将'!A:A,'参照_武将'!B:B,"見つかりません"))</f>
      </c>
      <c r="C589" s="4" t="s">
        <v>123</v>
      </c>
      <c r="D589" s="4">
        <v>7</v>
      </c>
      <c r="E589" s="12" t="str">
        <f t="array" ref="E589">IF(D589:D4630="","",IFERROR(_xlfn.XLOOKUP(D589:D4630,'参照_勢力'!A:A,'参照_勢力'!B:B),IFERROR(_xlfn.XLOOKUP(F589:F4630,kunishuClan!A:A,kunishuClan!B:B),"浪人")))</f>
      </c>
      <c r="F589" s="4">
        <v>0</v>
      </c>
      <c r="G589" s="4">
        <v>16</v>
      </c>
      <c r="H589" s="12" t="str">
        <f t="array" ref="H589">IF(G589:G4630="","",_xlfn.XLOOKUP(G589:G4630,castles_state!A:A,castles_state!D:D,"見つかりません"))</f>
      </c>
      <c r="I589" s="4"/>
      <c r="J589" s="12" t="str">
        <f t="array" ref="J589">IF(I589:I4630="","",_xlfn.XLOOKUP(I589:I4630,'参照_姫'!A:A,'参照_姫'!B:B,"見つかりません"))</f>
      </c>
      <c r="K589" s="4">
        <v>90</v>
      </c>
      <c r="L589" s="4">
        <v>0</v>
      </c>
      <c r="M589" s="4"/>
      <c r="N589" s="4"/>
      <c r="O589" s="4"/>
      <c r="P589" s="12" t="str">
        <f t="array" ref="P589">IF(O589:O4630="","",_xlfn.XLOOKUP(O589:O4630,'参照_官位'!A:A,'参照_官位'!B:B,""))</f>
      </c>
      <c r="Q589" s="12" t="str">
        <f t="array" ref="Q589">IF(A589:A4630="","",IFERROR(_xlfn.XLOOKUP(A589:A4630,castles_state!K:K,castles_state!D:D)&amp;"主",IFERROR(_xlfn.XLOOKUP(A589:A4630,kunishuClan!D:D,kunishuClan!B:B)&amp;"当主","")))</f>
      </c>
    </row>
    <row r="590" ht="15.75" customHeight="1">
      <c r="A590" s="4">
        <v>1007045</v>
      </c>
      <c r="B590" s="12" t="str">
        <f t="array" ref="B590">IF(A590:A4631="","",_xlfn.XLOOKUP(A590:A4631,'参照_武将'!A:A,'参照_武将'!B:B,"見つかりません"))</f>
      </c>
      <c r="C590" s="4" t="s">
        <v>123</v>
      </c>
      <c r="D590" s="4">
        <v>7</v>
      </c>
      <c r="E590" s="12" t="str">
        <f t="array" ref="E590">IF(D590:D4631="","",IFERROR(_xlfn.XLOOKUP(D590:D4631,'参照_勢力'!A:A,'参照_勢力'!B:B),IFERROR(_xlfn.XLOOKUP(F590:F4631,kunishuClan!A:A,kunishuClan!B:B),"浪人")))</f>
      </c>
      <c r="F590" s="4">
        <v>0</v>
      </c>
      <c r="G590" s="4">
        <v>16</v>
      </c>
      <c r="H590" s="12" t="str">
        <f t="array" ref="H590">IF(G590:G4631="","",_xlfn.XLOOKUP(G590:G4631,castles_state!A:A,castles_state!D:D,"見つかりません"))</f>
      </c>
      <c r="I590" s="4"/>
      <c r="J590" s="12" t="str">
        <f t="array" ref="J590">IF(I590:I4631="","",_xlfn.XLOOKUP(I590:I4631,'参照_姫'!A:A,'参照_姫'!B:B,"見つかりません"))</f>
      </c>
      <c r="K590" s="4">
        <v>95</v>
      </c>
      <c r="L590" s="4">
        <v>0</v>
      </c>
      <c r="M590" s="4"/>
      <c r="N590" s="4"/>
      <c r="O590" s="4"/>
      <c r="P590" s="12" t="str">
        <f t="array" ref="P590">IF(O590:O4631="","",_xlfn.XLOOKUP(O590:O4631,'参照_官位'!A:A,'参照_官位'!B:B,""))</f>
      </c>
      <c r="Q590" s="12" t="str">
        <f t="array" ref="Q590">IF(A590:A4631="","",IFERROR(_xlfn.XLOOKUP(A590:A4631,castles_state!K:K,castles_state!D:D)&amp;"主",IFERROR(_xlfn.XLOOKUP(A590:A4631,kunishuClan!D:D,kunishuClan!B:B)&amp;"当主","")))</f>
      </c>
    </row>
    <row r="591" ht="15.75" customHeight="1">
      <c r="A591" s="4">
        <v>1007046</v>
      </c>
      <c r="B591" s="12" t="str">
        <f t="array" ref="B591">IF(A591:A4632="","",_xlfn.XLOOKUP(A591:A4632,'参照_武将'!A:A,'参照_武将'!B:B,"見つかりません"))</f>
      </c>
      <c r="C591" s="4" t="s">
        <v>123</v>
      </c>
      <c r="D591" s="4">
        <v>7</v>
      </c>
      <c r="E591" s="12" t="str">
        <f t="array" ref="E591">IF(D591:D4632="","",IFERROR(_xlfn.XLOOKUP(D591:D4632,'参照_勢力'!A:A,'参照_勢力'!B:B),IFERROR(_xlfn.XLOOKUP(F591:F4632,kunishuClan!A:A,kunishuClan!B:B),"浪人")))</f>
      </c>
      <c r="F591" s="4">
        <v>0</v>
      </c>
      <c r="G591" s="4">
        <v>16</v>
      </c>
      <c r="H591" s="12" t="str">
        <f t="array" ref="H591">IF(G591:G4632="","",_xlfn.XLOOKUP(G591:G4632,castles_state!A:A,castles_state!D:D,"見つかりません"))</f>
      </c>
      <c r="I591" s="4"/>
      <c r="J591" s="12" t="str">
        <f t="array" ref="J591">IF(I591:I4632="","",_xlfn.XLOOKUP(I591:I4632,'参照_姫'!A:A,'参照_姫'!B:B,"見つかりません"))</f>
      </c>
      <c r="K591" s="4">
        <v>95</v>
      </c>
      <c r="L591" s="4">
        <v>0</v>
      </c>
      <c r="M591" s="4"/>
      <c r="N591" s="4"/>
      <c r="O591" s="4"/>
      <c r="P591" s="12" t="str">
        <f t="array" ref="P591">IF(O591:O4632="","",_xlfn.XLOOKUP(O591:O4632,'参照_官位'!A:A,'参照_官位'!B:B,""))</f>
      </c>
      <c r="Q591" s="12" t="str">
        <f t="array" ref="Q591">IF(A591:A4632="","",IFERROR(_xlfn.XLOOKUP(A591:A4632,castles_state!K:K,castles_state!D:D)&amp;"主",IFERROR(_xlfn.XLOOKUP(A591:A4632,kunishuClan!D:D,kunishuClan!B:B)&amp;"当主","")))</f>
      </c>
    </row>
    <row r="592" ht="15.75" customHeight="1">
      <c r="A592" s="4">
        <v>1007047</v>
      </c>
      <c r="B592" s="12" t="str">
        <f t="array" ref="B592">IF(A592:A4633="","",_xlfn.XLOOKUP(A592:A4633,'参照_武将'!A:A,'参照_武将'!B:B,"見つかりません"))</f>
      </c>
      <c r="C592" s="4" t="s">
        <v>123</v>
      </c>
      <c r="D592" s="4">
        <v>7</v>
      </c>
      <c r="E592" s="12" t="str">
        <f t="array" ref="E592">IF(D592:D4633="","",IFERROR(_xlfn.XLOOKUP(D592:D4633,'参照_勢力'!A:A,'参照_勢力'!B:B),IFERROR(_xlfn.XLOOKUP(F592:F4633,kunishuClan!A:A,kunishuClan!B:B),"浪人")))</f>
      </c>
      <c r="F592" s="4">
        <v>0</v>
      </c>
      <c r="G592" s="4">
        <v>75</v>
      </c>
      <c r="H592" s="12" t="str">
        <f t="array" ref="H592">IF(G592:G4633="","",_xlfn.XLOOKUP(G592:G4633,castles_state!A:A,castles_state!D:D,"見つかりません"))</f>
      </c>
      <c r="I592" s="4"/>
      <c r="J592" s="12" t="str">
        <f t="array" ref="J592">IF(I592:I4633="","",_xlfn.XLOOKUP(I592:I4633,'参照_姫'!A:A,'参照_姫'!B:B,"見つかりません"))</f>
      </c>
      <c r="K592" s="4">
        <v>80</v>
      </c>
      <c r="L592" s="4">
        <v>0</v>
      </c>
      <c r="M592" s="4"/>
      <c r="N592" s="4"/>
      <c r="O592" s="4"/>
      <c r="P592" s="12" t="str">
        <f t="array" ref="P592">IF(O592:O4633="","",_xlfn.XLOOKUP(O592:O4633,'参照_官位'!A:A,'参照_官位'!B:B,""))</f>
      </c>
      <c r="Q592" s="12" t="str">
        <f t="array" ref="Q592">IF(A592:A4633="","",IFERROR(_xlfn.XLOOKUP(A592:A4633,castles_state!K:K,castles_state!D:D)&amp;"主",IFERROR(_xlfn.XLOOKUP(A592:A4633,kunishuClan!D:D,kunishuClan!B:B)&amp;"当主","")))</f>
      </c>
    </row>
    <row r="593" ht="15.75" customHeight="1">
      <c r="A593" s="4">
        <v>1007048</v>
      </c>
      <c r="B593" s="12" t="str">
        <f t="array" ref="B593">IF(A593:A4634="","",_xlfn.XLOOKUP(A593:A4634,'参照_武将'!A:A,'参照_武将'!B:B,"見つかりません"))</f>
      </c>
      <c r="C593" s="4" t="s">
        <v>123</v>
      </c>
      <c r="D593" s="4">
        <v>7</v>
      </c>
      <c r="E593" s="12" t="str">
        <f t="array" ref="E593">IF(D593:D4634="","",IFERROR(_xlfn.XLOOKUP(D593:D4634,'参照_勢力'!A:A,'参照_勢力'!B:B),IFERROR(_xlfn.XLOOKUP(F593:F4634,kunishuClan!A:A,kunishuClan!B:B),"浪人")))</f>
      </c>
      <c r="F593" s="4">
        <v>0</v>
      </c>
      <c r="G593" s="4">
        <v>16</v>
      </c>
      <c r="H593" s="12" t="str">
        <f t="array" ref="H593">IF(G593:G4634="","",_xlfn.XLOOKUP(G593:G4634,castles_state!A:A,castles_state!D:D,"見つかりません"))</f>
      </c>
      <c r="I593" s="4"/>
      <c r="J593" s="12" t="str">
        <f t="array" ref="J593">IF(I593:I4634="","",_xlfn.XLOOKUP(I593:I4634,'参照_姫'!A:A,'参照_姫'!B:B,"見つかりません"))</f>
      </c>
      <c r="K593" s="4">
        <v>85</v>
      </c>
      <c r="L593" s="4">
        <v>0</v>
      </c>
      <c r="M593" s="4"/>
      <c r="N593" s="4"/>
      <c r="O593" s="4"/>
      <c r="P593" s="12" t="str">
        <f t="array" ref="P593">IF(O593:O4634="","",_xlfn.XLOOKUP(O593:O4634,'参照_官位'!A:A,'参照_官位'!B:B,""))</f>
      </c>
      <c r="Q593" s="12" t="str">
        <f t="array" ref="Q593">IF(A593:A4634="","",IFERROR(_xlfn.XLOOKUP(A593:A4634,castles_state!K:K,castles_state!D:D)&amp;"主",IFERROR(_xlfn.XLOOKUP(A593:A4634,kunishuClan!D:D,kunishuClan!B:B)&amp;"当主","")))</f>
      </c>
    </row>
    <row r="594" ht="15.75" customHeight="1">
      <c r="A594" s="4">
        <v>1007049</v>
      </c>
      <c r="B594" s="12" t="str">
        <f t="array" ref="B594">IF(A594:A4635="","",_xlfn.XLOOKUP(A594:A4635,'参照_武将'!A:A,'参照_武将'!B:B,"見つかりません"))</f>
      </c>
      <c r="C594" s="4" t="s">
        <v>123</v>
      </c>
      <c r="D594" s="4">
        <v>7</v>
      </c>
      <c r="E594" s="12" t="str">
        <f t="array" ref="E594">IF(D594:D4635="","",IFERROR(_xlfn.XLOOKUP(D594:D4635,'参照_勢力'!A:A,'参照_勢力'!B:B),IFERROR(_xlfn.XLOOKUP(F594:F4635,kunishuClan!A:A,kunishuClan!B:B),"浪人")))</f>
      </c>
      <c r="F594" s="4">
        <v>0</v>
      </c>
      <c r="G594" s="4">
        <v>18</v>
      </c>
      <c r="H594" s="12" t="str">
        <f t="array" ref="H594">IF(G594:G4635="","",_xlfn.XLOOKUP(G594:G4635,castles_state!A:A,castles_state!D:D,"見つかりません"))</f>
      </c>
      <c r="I594" s="4"/>
      <c r="J594" s="12" t="str">
        <f t="array" ref="J594">IF(I594:I4635="","",_xlfn.XLOOKUP(I594:I4635,'参照_姫'!A:A,'参照_姫'!B:B,"見つかりません"))</f>
      </c>
      <c r="K594" s="4">
        <v>95</v>
      </c>
      <c r="L594" s="4">
        <v>200</v>
      </c>
      <c r="M594" s="4"/>
      <c r="N594" s="4"/>
      <c r="O594" s="4"/>
      <c r="P594" s="12" t="str">
        <f t="array" ref="P594">IF(O594:O4635="","",_xlfn.XLOOKUP(O594:O4635,'参照_官位'!A:A,'参照_官位'!B:B,""))</f>
      </c>
      <c r="Q594" s="12" t="str">
        <f t="array" ref="Q594">IF(A594:A4635="","",IFERROR(_xlfn.XLOOKUP(A594:A4635,castles_state!K:K,castles_state!D:D)&amp;"主",IFERROR(_xlfn.XLOOKUP(A594:A4635,kunishuClan!D:D,kunishuClan!B:B)&amp;"当主","")))</f>
      </c>
    </row>
    <row r="595" ht="15.75" customHeight="1">
      <c r="A595" s="4">
        <v>1007050</v>
      </c>
      <c r="B595" s="12" t="str">
        <f t="array" ref="B595">IF(A595:A4636="","",_xlfn.XLOOKUP(A595:A4636,'参照_武将'!A:A,'参照_武将'!B:B,"見つかりません"))</f>
      </c>
      <c r="C595" s="4" t="s">
        <v>123</v>
      </c>
      <c r="D595" s="4">
        <v>7</v>
      </c>
      <c r="E595" s="12" t="str">
        <f t="array" ref="E595">IF(D595:D4636="","",IFERROR(_xlfn.XLOOKUP(D595:D4636,'参照_勢力'!A:A,'参照_勢力'!B:B),IFERROR(_xlfn.XLOOKUP(F595:F4636,kunishuClan!A:A,kunishuClan!B:B),"浪人")))</f>
      </c>
      <c r="F595" s="4">
        <v>0</v>
      </c>
      <c r="G595" s="4">
        <v>18</v>
      </c>
      <c r="H595" s="12" t="str">
        <f t="array" ref="H595">IF(G595:G4636="","",_xlfn.XLOOKUP(G595:G4636,castles_state!A:A,castles_state!D:D,"見つかりません"))</f>
      </c>
      <c r="I595" s="4"/>
      <c r="J595" s="12" t="str">
        <f t="array" ref="J595">IF(I595:I4636="","",_xlfn.XLOOKUP(I595:I4636,'参照_姫'!A:A,'参照_姫'!B:B,"見つかりません"))</f>
      </c>
      <c r="K595" s="4">
        <v>95</v>
      </c>
      <c r="L595" s="4">
        <v>0</v>
      </c>
      <c r="M595" s="4"/>
      <c r="N595" s="4"/>
      <c r="O595" s="4"/>
      <c r="P595" s="12" t="str">
        <f t="array" ref="P595">IF(O595:O4636="","",_xlfn.XLOOKUP(O595:O4636,'参照_官位'!A:A,'参照_官位'!B:B,""))</f>
      </c>
      <c r="Q595" s="12" t="str">
        <f t="array" ref="Q595">IF(A595:A4636="","",IFERROR(_xlfn.XLOOKUP(A595:A4636,castles_state!K:K,castles_state!D:D)&amp;"主",IFERROR(_xlfn.XLOOKUP(A595:A4636,kunishuClan!D:D,kunishuClan!B:B)&amp;"当主","")))</f>
      </c>
    </row>
    <row r="596" ht="15.75" customHeight="1">
      <c r="A596" s="4">
        <v>1007051</v>
      </c>
      <c r="B596" s="12" t="str">
        <f t="array" ref="B596">IF(A596:A4637="","",_xlfn.XLOOKUP(A596:A4637,'参照_武将'!A:A,'参照_武将'!B:B,"見つかりません"))</f>
      </c>
      <c r="C596" s="4" t="s">
        <v>123</v>
      </c>
      <c r="D596" s="4">
        <v>7</v>
      </c>
      <c r="E596" s="12" t="str">
        <f t="array" ref="E596">IF(D596:D4637="","",IFERROR(_xlfn.XLOOKUP(D596:D4637,'参照_勢力'!A:A,'参照_勢力'!B:B),IFERROR(_xlfn.XLOOKUP(F596:F4637,kunishuClan!A:A,kunishuClan!B:B),"浪人")))</f>
      </c>
      <c r="F596" s="4">
        <v>0</v>
      </c>
      <c r="G596" s="4">
        <v>18</v>
      </c>
      <c r="H596" s="12" t="str">
        <f t="array" ref="H596">IF(G596:G4637="","",_xlfn.XLOOKUP(G596:G4637,castles_state!A:A,castles_state!D:D,"見つかりません"))</f>
      </c>
      <c r="I596" s="4"/>
      <c r="J596" s="12" t="str">
        <f t="array" ref="J596">IF(I596:I4637="","",_xlfn.XLOOKUP(I596:I4637,'参照_姫'!A:A,'参照_姫'!B:B,"見つかりません"))</f>
      </c>
      <c r="K596" s="4">
        <v>95</v>
      </c>
      <c r="L596" s="4">
        <v>0</v>
      </c>
      <c r="M596" s="4"/>
      <c r="N596" s="4"/>
      <c r="O596" s="4"/>
      <c r="P596" s="12" t="str">
        <f t="array" ref="P596">IF(O596:O4637="","",_xlfn.XLOOKUP(O596:O4637,'参照_官位'!A:A,'参照_官位'!B:B,""))</f>
      </c>
      <c r="Q596" s="12" t="str">
        <f t="array" ref="Q596">IF(A596:A4637="","",IFERROR(_xlfn.XLOOKUP(A596:A4637,castles_state!K:K,castles_state!D:D)&amp;"主",IFERROR(_xlfn.XLOOKUP(A596:A4637,kunishuClan!D:D,kunishuClan!B:B)&amp;"当主","")))</f>
      </c>
    </row>
    <row r="597" ht="15.75" customHeight="1">
      <c r="A597" s="4">
        <v>1007052</v>
      </c>
      <c r="B597" s="12" t="str">
        <f t="array" ref="B597">IF(A597:A4638="","",_xlfn.XLOOKUP(A597:A4638,'参照_武将'!A:A,'参照_武将'!B:B,"見つかりません"))</f>
      </c>
      <c r="C597" s="4" t="s">
        <v>123</v>
      </c>
      <c r="D597" s="4">
        <v>7</v>
      </c>
      <c r="E597" s="12" t="str">
        <f t="array" ref="E597">IF(D597:D4638="","",IFERROR(_xlfn.XLOOKUP(D597:D4638,'参照_勢力'!A:A,'参照_勢力'!B:B),IFERROR(_xlfn.XLOOKUP(F597:F4638,kunishuClan!A:A,kunishuClan!B:B),"浪人")))</f>
      </c>
      <c r="F597" s="4">
        <v>0</v>
      </c>
      <c r="G597" s="4">
        <v>16</v>
      </c>
      <c r="H597" s="12" t="str">
        <f t="array" ref="H597">IF(G597:G4638="","",_xlfn.XLOOKUP(G597:G4638,castles_state!A:A,castles_state!D:D,"見つかりません"))</f>
      </c>
      <c r="I597" s="4"/>
      <c r="J597" s="12" t="str">
        <f t="array" ref="J597">IF(I597:I4638="","",_xlfn.XLOOKUP(I597:I4638,'参照_姫'!A:A,'参照_姫'!B:B,"見つかりません"))</f>
      </c>
      <c r="K597" s="4">
        <v>95</v>
      </c>
      <c r="L597" s="4">
        <v>0</v>
      </c>
      <c r="M597" s="4"/>
      <c r="N597" s="4"/>
      <c r="O597" s="4"/>
      <c r="P597" s="12" t="str">
        <f t="array" ref="P597">IF(O597:O4638="","",_xlfn.XLOOKUP(O597:O4638,'参照_官位'!A:A,'参照_官位'!B:B,""))</f>
      </c>
      <c r="Q597" s="12" t="str">
        <f t="array" ref="Q597">IF(A597:A4638="","",IFERROR(_xlfn.XLOOKUP(A597:A4638,castles_state!K:K,castles_state!D:D)&amp;"主",IFERROR(_xlfn.XLOOKUP(A597:A4638,kunishuClan!D:D,kunishuClan!B:B)&amp;"当主","")))</f>
      </c>
    </row>
    <row r="598" ht="15.75" customHeight="1">
      <c r="A598" s="4">
        <v>1007053</v>
      </c>
      <c r="B598" s="12" t="str">
        <f t="array" ref="B598">IF(A598:A4639="","",_xlfn.XLOOKUP(A598:A4639,'参照_武将'!A:A,'参照_武将'!B:B,"見つかりません"))</f>
      </c>
      <c r="C598" s="4" t="s">
        <v>123</v>
      </c>
      <c r="D598" s="4">
        <v>7</v>
      </c>
      <c r="E598" s="12" t="str">
        <f t="array" ref="E598">IF(D598:D4639="","",IFERROR(_xlfn.XLOOKUP(D598:D4639,'参照_勢力'!A:A,'参照_勢力'!B:B),IFERROR(_xlfn.XLOOKUP(F598:F4639,kunishuClan!A:A,kunishuClan!B:B),"浪人")))</f>
      </c>
      <c r="F598" s="4">
        <v>0</v>
      </c>
      <c r="G598" s="4">
        <v>16</v>
      </c>
      <c r="H598" s="12" t="str">
        <f t="array" ref="H598">IF(G598:G4639="","",_xlfn.XLOOKUP(G598:G4639,castles_state!A:A,castles_state!D:D,"見つかりません"))</f>
      </c>
      <c r="I598" s="4"/>
      <c r="J598" s="12" t="str">
        <f t="array" ref="J598">IF(I598:I4639="","",_xlfn.XLOOKUP(I598:I4639,'参照_姫'!A:A,'参照_姫'!B:B,"見つかりません"))</f>
      </c>
      <c r="K598" s="4">
        <v>95</v>
      </c>
      <c r="L598" s="4">
        <v>0</v>
      </c>
      <c r="M598" s="4"/>
      <c r="N598" s="4"/>
      <c r="O598" s="4"/>
      <c r="P598" s="12" t="str">
        <f t="array" ref="P598">IF(O598:O4639="","",_xlfn.XLOOKUP(O598:O4639,'参照_官位'!A:A,'参照_官位'!B:B,""))</f>
      </c>
      <c r="Q598" s="12" t="str">
        <f t="array" ref="Q598">IF(A598:A4639="","",IFERROR(_xlfn.XLOOKUP(A598:A4639,castles_state!K:K,castles_state!D:D)&amp;"主",IFERROR(_xlfn.XLOOKUP(A598:A4639,kunishuClan!D:D,kunishuClan!B:B)&amp;"当主","")))</f>
      </c>
    </row>
    <row r="599" ht="15.75" customHeight="1">
      <c r="A599" s="4">
        <v>1007054</v>
      </c>
      <c r="B599" s="12" t="str">
        <f t="array" ref="B599">IF(A599:A4640="","",_xlfn.XLOOKUP(A599:A4640,'参照_武将'!A:A,'参照_武将'!B:B,"見つかりません"))</f>
      </c>
      <c r="C599" s="4" t="s">
        <v>123</v>
      </c>
      <c r="D599" s="4">
        <v>7</v>
      </c>
      <c r="E599" s="12" t="str">
        <f t="array" ref="E599">IF(D599:D4640="","",IFERROR(_xlfn.XLOOKUP(D599:D4640,'参照_勢力'!A:A,'参照_勢力'!B:B),IFERROR(_xlfn.XLOOKUP(F599:F4640,kunishuClan!A:A,kunishuClan!B:B),"浪人")))</f>
      </c>
      <c r="F599" s="4">
        <v>0</v>
      </c>
      <c r="G599" s="4">
        <v>16</v>
      </c>
      <c r="H599" s="12" t="str">
        <f t="array" ref="H599">IF(G599:G4640="","",_xlfn.XLOOKUP(G599:G4640,castles_state!A:A,castles_state!D:D,"見つかりません"))</f>
      </c>
      <c r="I599" s="4"/>
      <c r="J599" s="12" t="str">
        <f t="array" ref="J599">IF(I599:I4640="","",_xlfn.XLOOKUP(I599:I4640,'参照_姫'!A:A,'参照_姫'!B:B,"見つかりません"))</f>
      </c>
      <c r="K599" s="4">
        <v>95</v>
      </c>
      <c r="L599" s="4">
        <v>500</v>
      </c>
      <c r="M599" s="4"/>
      <c r="N599" s="4"/>
      <c r="O599" s="4"/>
      <c r="P599" s="12" t="str">
        <f t="array" ref="P599">IF(O599:O4640="","",_xlfn.XLOOKUP(O599:O4640,'参照_官位'!A:A,'参照_官位'!B:B,""))</f>
      </c>
      <c r="Q599" s="12" t="str">
        <f t="array" ref="Q599">IF(A599:A4640="","",IFERROR(_xlfn.XLOOKUP(A599:A4640,castles_state!K:K,castles_state!D:D)&amp;"主",IFERROR(_xlfn.XLOOKUP(A599:A4640,kunishuClan!D:D,kunishuClan!B:B)&amp;"当主","")))</f>
      </c>
    </row>
    <row r="600" ht="15.75" customHeight="1">
      <c r="A600" s="4">
        <v>1007055</v>
      </c>
      <c r="B600" s="12" t="str">
        <f t="array" ref="B600">IF(A600:A4641="","",_xlfn.XLOOKUP(A600:A4641,'参照_武将'!A:A,'参照_武将'!B:B,"見つかりません"))</f>
      </c>
      <c r="C600" s="4" t="s">
        <v>123</v>
      </c>
      <c r="D600" s="4">
        <v>7</v>
      </c>
      <c r="E600" s="12" t="str">
        <f t="array" ref="E600">IF(D600:D4641="","",IFERROR(_xlfn.XLOOKUP(D600:D4641,'参照_勢力'!A:A,'参照_勢力'!B:B),IFERROR(_xlfn.XLOOKUP(F600:F4641,kunishuClan!A:A,kunishuClan!B:B),"浪人")))</f>
      </c>
      <c r="F600" s="4">
        <v>0</v>
      </c>
      <c r="G600" s="4">
        <v>16</v>
      </c>
      <c r="H600" s="12" t="str">
        <f t="array" ref="H600">IF(G600:G4641="","",_xlfn.XLOOKUP(G600:G4641,castles_state!A:A,castles_state!D:D,"見つかりません"))</f>
      </c>
      <c r="I600" s="4"/>
      <c r="J600" s="12" t="str">
        <f t="array" ref="J600">IF(I600:I4641="","",_xlfn.XLOOKUP(I600:I4641,'参照_姫'!A:A,'参照_姫'!B:B,"見つかりません"))</f>
      </c>
      <c r="K600" s="4">
        <v>95</v>
      </c>
      <c r="L600" s="4">
        <v>0</v>
      </c>
      <c r="M600" s="4"/>
      <c r="N600" s="4"/>
      <c r="O600" s="4"/>
      <c r="P600" s="12" t="str">
        <f t="array" ref="P600">IF(O600:O4641="","",_xlfn.XLOOKUP(O600:O4641,'参照_官位'!A:A,'参照_官位'!B:B,""))</f>
      </c>
      <c r="Q600" s="12" t="str">
        <f t="array" ref="Q600">IF(A600:A4641="","",IFERROR(_xlfn.XLOOKUP(A600:A4641,castles_state!K:K,castles_state!D:D)&amp;"主",IFERROR(_xlfn.XLOOKUP(A600:A4641,kunishuClan!D:D,kunishuClan!B:B)&amp;"当主","")))</f>
      </c>
    </row>
    <row r="601" ht="15.75" customHeight="1">
      <c r="A601" s="4">
        <v>1007056</v>
      </c>
      <c r="B601" s="12" t="str">
        <f t="array" ref="B601">IF(A601:A4642="","",_xlfn.XLOOKUP(A601:A4642,'参照_武将'!A:A,'参照_武将'!B:B,"見つかりません"))</f>
      </c>
      <c r="C601" s="4" t="s">
        <v>123</v>
      </c>
      <c r="D601" s="4">
        <v>7</v>
      </c>
      <c r="E601" s="12" t="str">
        <f t="array" ref="E601">IF(D601:D4642="","",IFERROR(_xlfn.XLOOKUP(D601:D4642,'参照_勢力'!A:A,'参照_勢力'!B:B),IFERROR(_xlfn.XLOOKUP(F601:F4642,kunishuClan!A:A,kunishuClan!B:B),"浪人")))</f>
      </c>
      <c r="F601" s="4">
        <v>0</v>
      </c>
      <c r="G601" s="4">
        <v>16</v>
      </c>
      <c r="H601" s="12" t="str">
        <f t="array" ref="H601">IF(G601:G4642="","",_xlfn.XLOOKUP(G601:G4642,castles_state!A:A,castles_state!D:D,"見つかりません"))</f>
      </c>
      <c r="I601" s="4"/>
      <c r="J601" s="12" t="str">
        <f t="array" ref="J601">IF(I601:I4642="","",_xlfn.XLOOKUP(I601:I4642,'参照_姫'!A:A,'参照_姫'!B:B,"見つかりません"))</f>
      </c>
      <c r="K601" s="4">
        <v>95</v>
      </c>
      <c r="L601" s="4">
        <v>0</v>
      </c>
      <c r="M601" s="4"/>
      <c r="N601" s="4"/>
      <c r="O601" s="4"/>
      <c r="P601" s="12" t="str">
        <f t="array" ref="P601">IF(O601:O4642="","",_xlfn.XLOOKUP(O601:O4642,'参照_官位'!A:A,'参照_官位'!B:B,""))</f>
      </c>
      <c r="Q601" s="12" t="str">
        <f t="array" ref="Q601">IF(A601:A4642="","",IFERROR(_xlfn.XLOOKUP(A601:A4642,castles_state!K:K,castles_state!D:D)&amp;"主",IFERROR(_xlfn.XLOOKUP(A601:A4642,kunishuClan!D:D,kunishuClan!B:B)&amp;"当主","")))</f>
      </c>
    </row>
    <row r="602" ht="15.75" customHeight="1">
      <c r="A602" s="4">
        <v>1008001</v>
      </c>
      <c r="B602" s="12" t="str">
        <f t="array" ref="B602">IF(A602:A4643="","",_xlfn.XLOOKUP(A602:A4643,'参照_武将'!A:A,'参照_武将'!B:B,"見つかりません"))</f>
      </c>
      <c r="C602" s="4" t="s">
        <v>5911</v>
      </c>
      <c r="D602" s="4">
        <v>8</v>
      </c>
      <c r="E602" s="12" t="str">
        <f t="array" ref="E602">IF(D602:D4643="","",IFERROR(_xlfn.XLOOKUP(D602:D4643,'参照_勢力'!A:A,'参照_勢力'!B:B),IFERROR(_xlfn.XLOOKUP(F602:F4643,kunishuClan!A:A,kunishuClan!B:B),"浪人")))</f>
      </c>
      <c r="F602" s="4">
        <v>0</v>
      </c>
      <c r="G602" s="4">
        <v>17</v>
      </c>
      <c r="H602" s="12" t="str">
        <f t="array" ref="H602">IF(G602:G4643="","",_xlfn.XLOOKUP(G602:G4643,castles_state!A:A,castles_state!D:D,"見つかりません"))</f>
      </c>
      <c r="I602" s="4"/>
      <c r="J602" s="12" t="str">
        <f t="array" ref="J602">IF(I602:I4643="","",_xlfn.XLOOKUP(I602:I4643,'参照_姫'!A:A,'参照_姫'!B:B,"見つかりません"))</f>
      </c>
      <c r="K602" s="4">
        <v>95</v>
      </c>
      <c r="L602" s="4">
        <v>0</v>
      </c>
      <c r="M602" s="4"/>
      <c r="N602" s="4"/>
      <c r="O602" s="4"/>
      <c r="P602" s="12" t="str">
        <f t="array" ref="P602">IF(O602:O4643="","",_xlfn.XLOOKUP(O602:O4643,'参照_官位'!A:A,'参照_官位'!B:B,""))</f>
      </c>
      <c r="Q602" s="12" t="str">
        <f t="array" ref="Q602">IF(A602:A4643="","",IFERROR(_xlfn.XLOOKUP(A602:A4643,castles_state!K:K,castles_state!D:D)&amp;"主",IFERROR(_xlfn.XLOOKUP(A602:A4643,kunishuClan!D:D,kunishuClan!B:B)&amp;"当主","")))</f>
      </c>
    </row>
    <row r="603" ht="15.75" customHeight="1">
      <c r="A603" s="4">
        <v>1008002</v>
      </c>
      <c r="B603" s="12" t="str">
        <f t="array" ref="B603">IF(A603:A4644="","",_xlfn.XLOOKUP(A603:A4644,'参照_武将'!A:A,'参照_武将'!B:B,"見つかりません"))</f>
      </c>
      <c r="C603" s="4" t="s">
        <v>5911</v>
      </c>
      <c r="D603" s="4">
        <v>8</v>
      </c>
      <c r="E603" s="12" t="str">
        <f t="array" ref="E603">IF(D603:D4644="","",IFERROR(_xlfn.XLOOKUP(D603:D4644,'参照_勢力'!A:A,'参照_勢力'!B:B),IFERROR(_xlfn.XLOOKUP(F603:F4644,kunishuClan!A:A,kunishuClan!B:B),"浪人")))</f>
      </c>
      <c r="F603" s="4">
        <v>0</v>
      </c>
      <c r="G603" s="4">
        <v>17</v>
      </c>
      <c r="H603" s="12" t="str">
        <f t="array" ref="H603">IF(G603:G4644="","",_xlfn.XLOOKUP(G603:G4644,castles_state!A:A,castles_state!D:D,"見つかりません"))</f>
      </c>
      <c r="I603" s="4"/>
      <c r="J603" s="12" t="str">
        <f t="array" ref="J603">IF(I603:I4644="","",_xlfn.XLOOKUP(I603:I4644,'参照_姫'!A:A,'参照_姫'!B:B,"見つかりません"))</f>
      </c>
      <c r="K603" s="4">
        <v>95</v>
      </c>
      <c r="L603" s="4">
        <v>0</v>
      </c>
      <c r="M603" s="4"/>
      <c r="N603" s="4"/>
      <c r="O603" s="4"/>
      <c r="P603" s="12" t="str">
        <f t="array" ref="P603">IF(O603:O4644="","",_xlfn.XLOOKUP(O603:O4644,'参照_官位'!A:A,'参照_官位'!B:B,""))</f>
      </c>
      <c r="Q603" s="12" t="str">
        <f t="array" ref="Q603">IF(A603:A4644="","",IFERROR(_xlfn.XLOOKUP(A603:A4644,castles_state!K:K,castles_state!D:D)&amp;"主",IFERROR(_xlfn.XLOOKUP(A603:A4644,kunishuClan!D:D,kunishuClan!B:B)&amp;"当主","")))</f>
      </c>
    </row>
    <row r="604" ht="15.75" customHeight="1">
      <c r="A604" s="4">
        <v>1008003</v>
      </c>
      <c r="B604" s="12" t="str">
        <f t="array" ref="B604">IF(A604:A4645="","",_xlfn.XLOOKUP(A604:A4645,'参照_武将'!A:A,'参照_武将'!B:B,"見つかりません"))</f>
      </c>
      <c r="C604" s="4" t="s">
        <v>5911</v>
      </c>
      <c r="D604" s="4">
        <v>8</v>
      </c>
      <c r="E604" s="12" t="str">
        <f t="array" ref="E604">IF(D604:D4645="","",IFERROR(_xlfn.XLOOKUP(D604:D4645,'参照_勢力'!A:A,'参照_勢力'!B:B),IFERROR(_xlfn.XLOOKUP(F604:F4645,kunishuClan!A:A,kunishuClan!B:B),"浪人")))</f>
      </c>
      <c r="F604" s="4">
        <v>0</v>
      </c>
      <c r="G604" s="4">
        <v>17</v>
      </c>
      <c r="H604" s="12" t="str">
        <f t="array" ref="H604">IF(G604:G4645="","",_xlfn.XLOOKUP(G604:G4645,castles_state!A:A,castles_state!D:D,"見つかりません"))</f>
      </c>
      <c r="I604" s="4"/>
      <c r="J604" s="12" t="str">
        <f t="array" ref="J604">IF(I604:I4645="","",_xlfn.XLOOKUP(I604:I4645,'参照_姫'!A:A,'参照_姫'!B:B,"見つかりません"))</f>
      </c>
      <c r="K604" s="4">
        <v>95</v>
      </c>
      <c r="L604" s="4">
        <v>0</v>
      </c>
      <c r="M604" s="4"/>
      <c r="N604" s="4"/>
      <c r="O604" s="4"/>
      <c r="P604" s="12" t="str">
        <f t="array" ref="P604">IF(O604:O4645="","",_xlfn.XLOOKUP(O604:O4645,'参照_官位'!A:A,'参照_官位'!B:B,""))</f>
      </c>
      <c r="Q604" s="12" t="str">
        <f t="array" ref="Q604">IF(A604:A4645="","",IFERROR(_xlfn.XLOOKUP(A604:A4645,castles_state!K:K,castles_state!D:D)&amp;"主",IFERROR(_xlfn.XLOOKUP(A604:A4645,kunishuClan!D:D,kunishuClan!B:B)&amp;"当主","")))</f>
      </c>
    </row>
    <row r="605" ht="15.75" customHeight="1">
      <c r="A605" s="4">
        <v>1008004</v>
      </c>
      <c r="B605" s="12" t="str">
        <f t="array" ref="B605">IF(A605:A4646="","",_xlfn.XLOOKUP(A605:A4646,'参照_武将'!A:A,'参照_武将'!B:B,"見つかりません"))</f>
      </c>
      <c r="C605" s="4" t="s">
        <v>5911</v>
      </c>
      <c r="D605" s="4">
        <v>8</v>
      </c>
      <c r="E605" s="12" t="str">
        <f t="array" ref="E605">IF(D605:D4646="","",IFERROR(_xlfn.XLOOKUP(D605:D4646,'参照_勢力'!A:A,'参照_勢力'!B:B),IFERROR(_xlfn.XLOOKUP(F605:F4646,kunishuClan!A:A,kunishuClan!B:B),"浪人")))</f>
      </c>
      <c r="F605" s="4">
        <v>0</v>
      </c>
      <c r="G605" s="4">
        <v>17</v>
      </c>
      <c r="H605" s="12" t="str">
        <f t="array" ref="H605">IF(G605:G4646="","",_xlfn.XLOOKUP(G605:G4646,castles_state!A:A,castles_state!D:D,"見つかりません"))</f>
      </c>
      <c r="I605" s="4"/>
      <c r="J605" s="12" t="str">
        <f t="array" ref="J605">IF(I605:I4646="","",_xlfn.XLOOKUP(I605:I4646,'参照_姫'!A:A,'参照_姫'!B:B,"見つかりません"))</f>
      </c>
      <c r="K605" s="4">
        <v>95</v>
      </c>
      <c r="L605" s="4">
        <v>200</v>
      </c>
      <c r="M605" s="4"/>
      <c r="N605" s="4" t="b">
        <v>1</v>
      </c>
      <c r="O605" s="4"/>
      <c r="P605" s="12" t="str">
        <f t="array" ref="P605">IF(O605:O4646="","",_xlfn.XLOOKUP(O605:O4646,'参照_官位'!A:A,'参照_官位'!B:B,""))</f>
      </c>
      <c r="Q605" s="12" t="str">
        <f t="array" ref="Q605">IF(A605:A4646="","",IFERROR(_xlfn.XLOOKUP(A605:A4646,castles_state!K:K,castles_state!D:D)&amp;"主",IFERROR(_xlfn.XLOOKUP(A605:A4646,kunishuClan!D:D,kunishuClan!B:B)&amp;"当主","")))</f>
      </c>
    </row>
    <row r="606" ht="15.75" customHeight="1">
      <c r="A606" s="4">
        <v>1008005</v>
      </c>
      <c r="B606" s="12" t="str">
        <f t="array" ref="B606">IF(A606:A4647="","",_xlfn.XLOOKUP(A606:A4647,'参照_武将'!A:A,'参照_武将'!B:B,"見つかりません"))</f>
      </c>
      <c r="C606" s="4" t="s">
        <v>5911</v>
      </c>
      <c r="D606" s="4">
        <v>18</v>
      </c>
      <c r="E606" s="12" t="str">
        <f t="array" ref="E606">IF(D606:D4647="","",IFERROR(_xlfn.XLOOKUP(D606:D4647,'参照_勢力'!A:A,'参照_勢力'!B:B),IFERROR(_xlfn.XLOOKUP(F606:F4647,kunishuClan!A:A,kunishuClan!B:B),"浪人")))</f>
      </c>
      <c r="F606" s="4">
        <v>0</v>
      </c>
      <c r="G606" s="4">
        <v>43</v>
      </c>
      <c r="H606" s="12" t="str">
        <f t="array" ref="H606">IF(G606:G4647="","",_xlfn.XLOOKUP(G606:G4647,castles_state!A:A,castles_state!D:D,"見つかりません"))</f>
      </c>
      <c r="I606" s="4"/>
      <c r="J606" s="12" t="str">
        <f t="array" ref="J606">IF(I606:I4647="","",_xlfn.XLOOKUP(I606:I4647,'参照_姫'!A:A,'参照_姫'!B:B,"見つかりません"))</f>
      </c>
      <c r="K606" s="4">
        <v>85</v>
      </c>
      <c r="L606" s="4">
        <v>200</v>
      </c>
      <c r="M606" s="4"/>
      <c r="N606" s="4" t="b">
        <v>1</v>
      </c>
      <c r="O606" s="4">
        <v>72</v>
      </c>
      <c r="P606" s="12" t="str">
        <f t="array" ref="P606">IF(O606:O4647="","",_xlfn.XLOOKUP(O606:O4647,'参照_官位'!A:A,'参照_官位'!B:B,""))</f>
      </c>
      <c r="Q606" s="12" t="str">
        <f t="array" ref="Q606">IF(A606:A4647="","",IFERROR(_xlfn.XLOOKUP(A606:A4647,castles_state!K:K,castles_state!D:D)&amp;"主",IFERROR(_xlfn.XLOOKUP(A606:A4647,kunishuClan!D:D,kunishuClan!B:B)&amp;"当主","")))</f>
      </c>
    </row>
    <row r="607" ht="15.75" customHeight="1">
      <c r="A607" s="4">
        <v>1008006</v>
      </c>
      <c r="B607" s="12" t="str">
        <f t="array" ref="B607">IF(A607:A4648="","",_xlfn.XLOOKUP(A607:A4648,'参照_武将'!A:A,'参照_武将'!B:B,"見つかりません"))</f>
      </c>
      <c r="C607" s="4" t="s">
        <v>5911</v>
      </c>
      <c r="D607" s="4">
        <v>8</v>
      </c>
      <c r="E607" s="12" t="str">
        <f t="array" ref="E607">IF(D607:D4648="","",IFERROR(_xlfn.XLOOKUP(D607:D4648,'参照_勢力'!A:A,'参照_勢力'!B:B),IFERROR(_xlfn.XLOOKUP(F607:F4648,kunishuClan!A:A,kunishuClan!B:B),"浪人")))</f>
      </c>
      <c r="F607" s="4">
        <v>0</v>
      </c>
      <c r="G607" s="4">
        <v>17</v>
      </c>
      <c r="H607" s="12" t="str">
        <f t="array" ref="H607">IF(G607:G4648="","",_xlfn.XLOOKUP(G607:G4648,castles_state!A:A,castles_state!D:D,"見つかりません"))</f>
      </c>
      <c r="I607" s="4"/>
      <c r="J607" s="12" t="str">
        <f t="array" ref="J607">IF(I607:I4648="","",_xlfn.XLOOKUP(I607:I4648,'参照_姫'!A:A,'参照_姫'!B:B,"見つかりません"))</f>
      </c>
      <c r="K607" s="4">
        <v>100</v>
      </c>
      <c r="L607" s="4">
        <v>1500</v>
      </c>
      <c r="M607" s="4"/>
      <c r="N607" s="4"/>
      <c r="O607" s="4"/>
      <c r="P607" s="12" t="str">
        <f t="array" ref="P607">IF(O607:O4648="","",_xlfn.XLOOKUP(O607:O4648,'参照_官位'!A:A,'参照_官位'!B:B,""))</f>
      </c>
      <c r="Q607" s="12" t="str">
        <f t="array" ref="Q607">IF(A607:A4648="","",IFERROR(_xlfn.XLOOKUP(A607:A4648,castles_state!K:K,castles_state!D:D)&amp;"主",IFERROR(_xlfn.XLOOKUP(A607:A4648,kunishuClan!D:D,kunishuClan!B:B)&amp;"当主","")))</f>
      </c>
    </row>
    <row r="608" ht="15.75" customHeight="1">
      <c r="A608" s="4">
        <v>1008007</v>
      </c>
      <c r="B608" s="12" t="str">
        <f t="array" ref="B608">IF(A608:A4649="","",_xlfn.XLOOKUP(A608:A4649,'参照_武将'!A:A,'参照_武将'!B:B,"見つかりません"))</f>
      </c>
      <c r="C608" s="4" t="s">
        <v>5911</v>
      </c>
      <c r="D608" s="4">
        <v>8</v>
      </c>
      <c r="E608" s="12" t="str">
        <f t="array" ref="E608">IF(D608:D4649="","",IFERROR(_xlfn.XLOOKUP(D608:D4649,'参照_勢力'!A:A,'参照_勢力'!B:B),IFERROR(_xlfn.XLOOKUP(F608:F4649,kunishuClan!A:A,kunishuClan!B:B),"浪人")))</f>
      </c>
      <c r="F608" s="4">
        <v>0</v>
      </c>
      <c r="G608" s="4">
        <v>17</v>
      </c>
      <c r="H608" s="12" t="str">
        <f t="array" ref="H608">IF(G608:G4649="","",_xlfn.XLOOKUP(G608:G4649,castles_state!A:A,castles_state!D:D,"見つかりません"))</f>
      </c>
      <c r="I608" s="4"/>
      <c r="J608" s="12" t="str">
        <f t="array" ref="J608">IF(I608:I4649="","",_xlfn.XLOOKUP(I608:I4649,'参照_姫'!A:A,'参照_姫'!B:B,"見つかりません"))</f>
      </c>
      <c r="K608" s="4">
        <v>95</v>
      </c>
      <c r="L608" s="4">
        <v>0</v>
      </c>
      <c r="M608" s="4"/>
      <c r="N608" s="4"/>
      <c r="O608" s="4"/>
      <c r="P608" s="12" t="str">
        <f t="array" ref="P608">IF(O608:O4649="","",_xlfn.XLOOKUP(O608:O4649,'参照_官位'!A:A,'参照_官位'!B:B,""))</f>
      </c>
      <c r="Q608" s="12" t="str">
        <f t="array" ref="Q608">IF(A608:A4649="","",IFERROR(_xlfn.XLOOKUP(A608:A4649,castles_state!K:K,castles_state!D:D)&amp;"主",IFERROR(_xlfn.XLOOKUP(A608:A4649,kunishuClan!D:D,kunishuClan!B:B)&amp;"当主","")))</f>
      </c>
    </row>
    <row r="609" ht="15.75" customHeight="1">
      <c r="A609" s="4">
        <v>1008008</v>
      </c>
      <c r="B609" s="12" t="str">
        <f t="array" ref="B609">IF(A609:A4650="","",_xlfn.XLOOKUP(A609:A4650,'参照_武将'!A:A,'参照_武将'!B:B,"見つかりません"))</f>
      </c>
      <c r="C609" s="4" t="s">
        <v>5911</v>
      </c>
      <c r="D609" s="4">
        <v>2</v>
      </c>
      <c r="E609" s="12" t="str">
        <f t="array" ref="E609">IF(D609:D4650="","",IFERROR(_xlfn.XLOOKUP(D609:D4650,'参照_勢力'!A:A,'参照_勢力'!B:B),IFERROR(_xlfn.XLOOKUP(F609:F4650,kunishuClan!A:A,kunishuClan!B:B),"浪人")))</f>
      </c>
      <c r="F609" s="4">
        <v>0</v>
      </c>
      <c r="G609" s="4">
        <v>24</v>
      </c>
      <c r="H609" s="12" t="str">
        <f t="array" ref="H609">IF(G609:G4650="","",_xlfn.XLOOKUP(G609:G4650,castles_state!A:A,castles_state!D:D,"見つかりません"))</f>
      </c>
      <c r="I609" s="4"/>
      <c r="J609" s="12" t="str">
        <f t="array" ref="J609">IF(I609:I4650="","",_xlfn.XLOOKUP(I609:I4650,'参照_姫'!A:A,'参照_姫'!B:B,"見つかりません"))</f>
      </c>
      <c r="K609" s="4">
        <v>95</v>
      </c>
      <c r="L609" s="4">
        <v>0</v>
      </c>
      <c r="M609" s="4"/>
      <c r="N609" s="4"/>
      <c r="O609" s="4"/>
      <c r="P609" s="12" t="str">
        <f t="array" ref="P609">IF(O609:O4650="","",_xlfn.XLOOKUP(O609:O4650,'参照_官位'!A:A,'参照_官位'!B:B,""))</f>
      </c>
      <c r="Q609" s="12" t="str">
        <f t="array" ref="Q609">IF(A609:A4650="","",IFERROR(_xlfn.XLOOKUP(A609:A4650,castles_state!K:K,castles_state!D:D)&amp;"主",IFERROR(_xlfn.XLOOKUP(A609:A4650,kunishuClan!D:D,kunishuClan!B:B)&amp;"当主","")))</f>
      </c>
    </row>
    <row r="610" ht="15.75" customHeight="1">
      <c r="A610" s="4">
        <v>1008009</v>
      </c>
      <c r="B610" s="12" t="str">
        <f t="array" ref="B610">IF(A610:A4651="","",_xlfn.XLOOKUP(A610:A4651,'参照_武将'!A:A,'参照_武将'!B:B,"見つかりません"))</f>
      </c>
      <c r="C610" s="4" t="s">
        <v>5911</v>
      </c>
      <c r="D610" s="4">
        <v>8</v>
      </c>
      <c r="E610" s="12" t="str">
        <f t="array" ref="E610">IF(D610:D4651="","",IFERROR(_xlfn.XLOOKUP(D610:D4651,'参照_勢力'!A:A,'参照_勢力'!B:B),IFERROR(_xlfn.XLOOKUP(F610:F4651,kunishuClan!A:A,kunishuClan!B:B),"浪人")))</f>
      </c>
      <c r="F610" s="4">
        <v>0</v>
      </c>
      <c r="G610" s="4">
        <v>17</v>
      </c>
      <c r="H610" s="12" t="str">
        <f t="array" ref="H610">IF(G610:G4651="","",_xlfn.XLOOKUP(G610:G4651,castles_state!A:A,castles_state!D:D,"見つかりません"))</f>
      </c>
      <c r="I610" s="4"/>
      <c r="J610" s="12" t="str">
        <f t="array" ref="J610">IF(I610:I4651="","",_xlfn.XLOOKUP(I610:I4651,'参照_姫'!A:A,'参照_姫'!B:B,"見つかりません"))</f>
      </c>
      <c r="K610" s="4">
        <v>95</v>
      </c>
      <c r="L610" s="4">
        <v>0</v>
      </c>
      <c r="M610" s="4"/>
      <c r="N610" s="4"/>
      <c r="O610" s="4"/>
      <c r="P610" s="12" t="str">
        <f t="array" ref="P610">IF(O610:O4651="","",_xlfn.XLOOKUP(O610:O4651,'参照_官位'!A:A,'参照_官位'!B:B,""))</f>
      </c>
      <c r="Q610" s="12" t="str">
        <f t="array" ref="Q610">IF(A610:A4651="","",IFERROR(_xlfn.XLOOKUP(A610:A4651,castles_state!K:K,castles_state!D:D)&amp;"主",IFERROR(_xlfn.XLOOKUP(A610:A4651,kunishuClan!D:D,kunishuClan!B:B)&amp;"当主","")))</f>
      </c>
    </row>
    <row r="611" ht="15.75" customHeight="1">
      <c r="A611" s="4">
        <v>1008010</v>
      </c>
      <c r="B611" s="12" t="str">
        <f t="array" ref="B611">IF(A611:A4652="","",_xlfn.XLOOKUP(A611:A4652,'参照_武将'!A:A,'参照_武将'!B:B,"見つかりません"))</f>
      </c>
      <c r="C611" s="4" t="s">
        <v>5911</v>
      </c>
      <c r="D611" s="4">
        <v>8</v>
      </c>
      <c r="E611" s="12" t="str">
        <f t="array" ref="E611">IF(D611:D4652="","",IFERROR(_xlfn.XLOOKUP(D611:D4652,'参照_勢力'!A:A,'参照_勢力'!B:B),IFERROR(_xlfn.XLOOKUP(F611:F4652,kunishuClan!A:A,kunishuClan!B:B),"浪人")))</f>
      </c>
      <c r="F611" s="4">
        <v>0</v>
      </c>
      <c r="G611" s="4">
        <v>17</v>
      </c>
      <c r="H611" s="12" t="str">
        <f t="array" ref="H611">IF(G611:G4652="","",_xlfn.XLOOKUP(G611:G4652,castles_state!A:A,castles_state!D:D,"見つかりません"))</f>
      </c>
      <c r="I611" s="4"/>
      <c r="J611" s="12" t="str">
        <f t="array" ref="J611">IF(I611:I4652="","",_xlfn.XLOOKUP(I611:I4652,'参照_姫'!A:A,'参照_姫'!B:B,"見つかりません"))</f>
      </c>
      <c r="K611" s="4">
        <v>95</v>
      </c>
      <c r="L611" s="4">
        <v>0</v>
      </c>
      <c r="M611" s="4"/>
      <c r="N611" s="4"/>
      <c r="O611" s="4"/>
      <c r="P611" s="12" t="str">
        <f t="array" ref="P611">IF(O611:O4652="","",_xlfn.XLOOKUP(O611:O4652,'参照_官位'!A:A,'参照_官位'!B:B,""))</f>
      </c>
      <c r="Q611" s="12" t="str">
        <f t="array" ref="Q611">IF(A611:A4652="","",IFERROR(_xlfn.XLOOKUP(A611:A4652,castles_state!K:K,castles_state!D:D)&amp;"主",IFERROR(_xlfn.XLOOKUP(A611:A4652,kunishuClan!D:D,kunishuClan!B:B)&amp;"当主","")))</f>
      </c>
    </row>
    <row r="612" ht="15.75" customHeight="1">
      <c r="A612" s="4">
        <v>1008011</v>
      </c>
      <c r="B612" s="12" t="str">
        <f t="array" ref="B612">IF(A612:A4653="","",_xlfn.XLOOKUP(A612:A4653,'参照_武将'!A:A,'参照_武将'!B:B,"見つかりません"))</f>
      </c>
      <c r="C612" s="4" t="s">
        <v>5911</v>
      </c>
      <c r="D612" s="4">
        <v>8</v>
      </c>
      <c r="E612" s="12" t="str">
        <f t="array" ref="E612">IF(D612:D4653="","",IFERROR(_xlfn.XLOOKUP(D612:D4653,'参照_勢力'!A:A,'参照_勢力'!B:B),IFERROR(_xlfn.XLOOKUP(F612:F4653,kunishuClan!A:A,kunishuClan!B:B),"浪人")))</f>
      </c>
      <c r="F612" s="4">
        <v>0</v>
      </c>
      <c r="G612" s="4">
        <v>17</v>
      </c>
      <c r="H612" s="12" t="str">
        <f t="array" ref="H612">IF(G612:G4653="","",_xlfn.XLOOKUP(G612:G4653,castles_state!A:A,castles_state!D:D,"見つかりません"))</f>
      </c>
      <c r="I612" s="4"/>
      <c r="J612" s="12" t="str">
        <f t="array" ref="J612">IF(I612:I4653="","",_xlfn.XLOOKUP(I612:I4653,'参照_姫'!A:A,'参照_姫'!B:B,"見つかりません"))</f>
      </c>
      <c r="K612" s="4">
        <v>95</v>
      </c>
      <c r="L612" s="4">
        <v>0</v>
      </c>
      <c r="M612" s="4"/>
      <c r="N612" s="4"/>
      <c r="O612" s="4"/>
      <c r="P612" s="12" t="str">
        <f t="array" ref="P612">IF(O612:O4653="","",_xlfn.XLOOKUP(O612:O4653,'参照_官位'!A:A,'参照_官位'!B:B,""))</f>
      </c>
      <c r="Q612" s="12" t="str">
        <f t="array" ref="Q612">IF(A612:A4653="","",IFERROR(_xlfn.XLOOKUP(A612:A4653,castles_state!K:K,castles_state!D:D)&amp;"主",IFERROR(_xlfn.XLOOKUP(A612:A4653,kunishuClan!D:D,kunishuClan!B:B)&amp;"当主","")))</f>
      </c>
    </row>
    <row r="613" ht="15.75" customHeight="1">
      <c r="A613" s="4">
        <v>1008012</v>
      </c>
      <c r="B613" s="12" t="str">
        <f t="array" ref="B613">IF(A613:A4654="","",_xlfn.XLOOKUP(A613:A4654,'参照_武将'!A:A,'参照_武将'!B:B,"見つかりません"))</f>
      </c>
      <c r="C613" s="4" t="s">
        <v>5911</v>
      </c>
      <c r="D613" s="4">
        <v>8</v>
      </c>
      <c r="E613" s="12" t="str">
        <f t="array" ref="E613">IF(D613:D4654="","",IFERROR(_xlfn.XLOOKUP(D613:D4654,'参照_勢力'!A:A,'参照_勢力'!B:B),IFERROR(_xlfn.XLOOKUP(F613:F4654,kunishuClan!A:A,kunishuClan!B:B),"浪人")))</f>
      </c>
      <c r="F613" s="4">
        <v>0</v>
      </c>
      <c r="G613" s="4">
        <v>17</v>
      </c>
      <c r="H613" s="12" t="str">
        <f t="array" ref="H613">IF(G613:G4654="","",_xlfn.XLOOKUP(G613:G4654,castles_state!A:A,castles_state!D:D,"見つかりません"))</f>
      </c>
      <c r="I613" s="4"/>
      <c r="J613" s="12" t="str">
        <f t="array" ref="J613">IF(I613:I4654="","",_xlfn.XLOOKUP(I613:I4654,'参照_姫'!A:A,'参照_姫'!B:B,"見つかりません"))</f>
      </c>
      <c r="K613" s="4">
        <v>95</v>
      </c>
      <c r="L613" s="4">
        <v>0</v>
      </c>
      <c r="M613" s="4"/>
      <c r="N613" s="4"/>
      <c r="O613" s="4"/>
      <c r="P613" s="12" t="str">
        <f t="array" ref="P613">IF(O613:O4654="","",_xlfn.XLOOKUP(O613:O4654,'参照_官位'!A:A,'参照_官位'!B:B,""))</f>
      </c>
      <c r="Q613" s="12" t="str">
        <f t="array" ref="Q613">IF(A613:A4654="","",IFERROR(_xlfn.XLOOKUP(A613:A4654,castles_state!K:K,castles_state!D:D)&amp;"主",IFERROR(_xlfn.XLOOKUP(A613:A4654,kunishuClan!D:D,kunishuClan!B:B)&amp;"当主","")))</f>
      </c>
    </row>
    <row r="614" ht="15.75" customHeight="1">
      <c r="A614" s="4">
        <v>1008013</v>
      </c>
      <c r="B614" s="12" t="str">
        <f t="array" ref="B614">IF(A614:A4655="","",_xlfn.XLOOKUP(A614:A4655,'参照_武将'!A:A,'参照_武将'!B:B,"見つかりません"))</f>
      </c>
      <c r="C614" s="4" t="s">
        <v>5911</v>
      </c>
      <c r="D614" s="4">
        <v>8</v>
      </c>
      <c r="E614" s="12" t="str">
        <f t="array" ref="E614">IF(D614:D4655="","",IFERROR(_xlfn.XLOOKUP(D614:D4655,'参照_勢力'!A:A,'参照_勢力'!B:B),IFERROR(_xlfn.XLOOKUP(F614:F4655,kunishuClan!A:A,kunishuClan!B:B),"浪人")))</f>
      </c>
      <c r="F614" s="4">
        <v>0</v>
      </c>
      <c r="G614" s="4">
        <v>17</v>
      </c>
      <c r="H614" s="12" t="str">
        <f t="array" ref="H614">IF(G614:G4655="","",_xlfn.XLOOKUP(G614:G4655,castles_state!A:A,castles_state!D:D,"見つかりません"))</f>
      </c>
      <c r="I614" s="4"/>
      <c r="J614" s="12" t="str">
        <f t="array" ref="J614">IF(I614:I4655="","",_xlfn.XLOOKUP(I614:I4655,'参照_姫'!A:A,'参照_姫'!B:B,"見つかりません"))</f>
      </c>
      <c r="K614" s="4">
        <v>95</v>
      </c>
      <c r="L614" s="4">
        <v>0</v>
      </c>
      <c r="M614" s="4"/>
      <c r="N614" s="4"/>
      <c r="O614" s="4"/>
      <c r="P614" s="12" t="str">
        <f t="array" ref="P614">IF(O614:O4655="","",_xlfn.XLOOKUP(O614:O4655,'参照_官位'!A:A,'参照_官位'!B:B,""))</f>
      </c>
      <c r="Q614" s="12" t="str">
        <f t="array" ref="Q614">IF(A614:A4655="","",IFERROR(_xlfn.XLOOKUP(A614:A4655,castles_state!K:K,castles_state!D:D)&amp;"主",IFERROR(_xlfn.XLOOKUP(A614:A4655,kunishuClan!D:D,kunishuClan!B:B)&amp;"当主","")))</f>
      </c>
    </row>
    <row r="615" ht="15.75" customHeight="1">
      <c r="A615" s="4">
        <v>1008014</v>
      </c>
      <c r="B615" s="12" t="str">
        <f t="array" ref="B615">IF(A615:A4656="","",_xlfn.XLOOKUP(A615:A4656,'参照_武将'!A:A,'参照_武将'!B:B,"見つかりません"))</f>
      </c>
      <c r="C615" s="4" t="s">
        <v>5911</v>
      </c>
      <c r="D615" s="4">
        <v>8</v>
      </c>
      <c r="E615" s="12" t="str">
        <f t="array" ref="E615">IF(D615:D4656="","",IFERROR(_xlfn.XLOOKUP(D615:D4656,'参照_勢力'!A:A,'参照_勢力'!B:B),IFERROR(_xlfn.XLOOKUP(F615:F4656,kunishuClan!A:A,kunishuClan!B:B),"浪人")))</f>
      </c>
      <c r="F615" s="4">
        <v>0</v>
      </c>
      <c r="G615" s="4">
        <v>17</v>
      </c>
      <c r="H615" s="12" t="str">
        <f t="array" ref="H615">IF(G615:G4656="","",_xlfn.XLOOKUP(G615:G4656,castles_state!A:A,castles_state!D:D,"見つかりません"))</f>
      </c>
      <c r="I615" s="4"/>
      <c r="J615" s="12" t="str">
        <f t="array" ref="J615">IF(I615:I4656="","",_xlfn.XLOOKUP(I615:I4656,'参照_姫'!A:A,'参照_姫'!B:B,"見つかりません"))</f>
      </c>
      <c r="K615" s="4">
        <v>95</v>
      </c>
      <c r="L615" s="4">
        <v>0</v>
      </c>
      <c r="M615" s="4"/>
      <c r="N615" s="4"/>
      <c r="O615" s="4"/>
      <c r="P615" s="12" t="str">
        <f t="array" ref="P615">IF(O615:O4656="","",_xlfn.XLOOKUP(O615:O4656,'参照_官位'!A:A,'参照_官位'!B:B,""))</f>
      </c>
      <c r="Q615" s="12" t="str">
        <f t="array" ref="Q615">IF(A615:A4656="","",IFERROR(_xlfn.XLOOKUP(A615:A4656,castles_state!K:K,castles_state!D:D)&amp;"主",IFERROR(_xlfn.XLOOKUP(A615:A4656,kunishuClan!D:D,kunishuClan!B:B)&amp;"当主","")))</f>
      </c>
    </row>
    <row r="616" ht="15.75" customHeight="1">
      <c r="A616" s="4">
        <v>1008015</v>
      </c>
      <c r="B616" s="12" t="str">
        <f t="array" ref="B616">IF(A616:A4657="","",_xlfn.XLOOKUP(A616:A4657,'参照_武将'!A:A,'参照_武将'!B:B,"見つかりません"))</f>
      </c>
      <c r="C616" s="4" t="s">
        <v>5911</v>
      </c>
      <c r="D616" s="4">
        <v>8</v>
      </c>
      <c r="E616" s="12" t="str">
        <f t="array" ref="E616">IF(D616:D4657="","",IFERROR(_xlfn.XLOOKUP(D616:D4657,'参照_勢力'!A:A,'参照_勢力'!B:B),IFERROR(_xlfn.XLOOKUP(F616:F4657,kunishuClan!A:A,kunishuClan!B:B),"浪人")))</f>
      </c>
      <c r="F616" s="4">
        <v>0</v>
      </c>
      <c r="G616" s="4">
        <v>17</v>
      </c>
      <c r="H616" s="12" t="str">
        <f t="array" ref="H616">IF(G616:G4657="","",_xlfn.XLOOKUP(G616:G4657,castles_state!A:A,castles_state!D:D,"見つかりません"))</f>
      </c>
      <c r="I616" s="4"/>
      <c r="J616" s="12" t="str">
        <f t="array" ref="J616">IF(I616:I4657="","",_xlfn.XLOOKUP(I616:I4657,'参照_姫'!A:A,'参照_姫'!B:B,"見つかりません"))</f>
      </c>
      <c r="K616" s="4">
        <v>95</v>
      </c>
      <c r="L616" s="4">
        <v>0</v>
      </c>
      <c r="M616" s="4"/>
      <c r="N616" s="4"/>
      <c r="O616" s="4"/>
      <c r="P616" s="12" t="str">
        <f t="array" ref="P616">IF(O616:O4657="","",_xlfn.XLOOKUP(O616:O4657,'参照_官位'!A:A,'参照_官位'!B:B,""))</f>
      </c>
      <c r="Q616" s="12" t="str">
        <f t="array" ref="Q616">IF(A616:A4657="","",IFERROR(_xlfn.XLOOKUP(A616:A4657,castles_state!K:K,castles_state!D:D)&amp;"主",IFERROR(_xlfn.XLOOKUP(A616:A4657,kunishuClan!D:D,kunishuClan!B:B)&amp;"当主","")))</f>
      </c>
    </row>
    <row r="617" ht="15.75" customHeight="1">
      <c r="A617" s="4">
        <v>1008016</v>
      </c>
      <c r="B617" s="12" t="str">
        <f t="array" ref="B617">IF(A617:A4658="","",_xlfn.XLOOKUP(A617:A4658,'参照_武将'!A:A,'参照_武将'!B:B,"見つかりません"))</f>
      </c>
      <c r="C617" s="4" t="s">
        <v>5911</v>
      </c>
      <c r="D617" s="4">
        <v>8</v>
      </c>
      <c r="E617" s="12" t="str">
        <f t="array" ref="E617">IF(D617:D4658="","",IFERROR(_xlfn.XLOOKUP(D617:D4658,'参照_勢力'!A:A,'参照_勢力'!B:B),IFERROR(_xlfn.XLOOKUP(F617:F4658,kunishuClan!A:A,kunishuClan!B:B),"浪人")))</f>
      </c>
      <c r="F617" s="4">
        <v>0</v>
      </c>
      <c r="G617" s="4">
        <v>17</v>
      </c>
      <c r="H617" s="12" t="str">
        <f t="array" ref="H617">IF(G617:G4658="","",_xlfn.XLOOKUP(G617:G4658,castles_state!A:A,castles_state!D:D,"見つかりません"))</f>
      </c>
      <c r="I617" s="4"/>
      <c r="J617" s="12" t="str">
        <f t="array" ref="J617">IF(I617:I4658="","",_xlfn.XLOOKUP(I617:I4658,'参照_姫'!A:A,'参照_姫'!B:B,"見つかりません"))</f>
      </c>
      <c r="K617" s="4">
        <v>95</v>
      </c>
      <c r="L617" s="4">
        <v>0</v>
      </c>
      <c r="M617" s="4" t="b">
        <v>1</v>
      </c>
      <c r="N617" s="4"/>
      <c r="O617" s="4"/>
      <c r="P617" s="12" t="str">
        <f t="array" ref="P617">IF(O617:O4658="","",_xlfn.XLOOKUP(O617:O4658,'参照_官位'!A:A,'参照_官位'!B:B,""))</f>
      </c>
      <c r="Q617" s="12" t="str">
        <f t="array" ref="Q617">IF(A617:A4658="","",IFERROR(_xlfn.XLOOKUP(A617:A4658,castles_state!K:K,castles_state!D:D)&amp;"主",IFERROR(_xlfn.XLOOKUP(A617:A4658,kunishuClan!D:D,kunishuClan!B:B)&amp;"当主","")))</f>
      </c>
    </row>
    <row r="618" ht="15.75" customHeight="1">
      <c r="A618" s="4">
        <v>1008017</v>
      </c>
      <c r="B618" s="12" t="str">
        <f t="array" ref="B618">IF(A618:A4659="","",_xlfn.XLOOKUP(A618:A4659,'参照_武将'!A:A,'参照_武将'!B:B,"見つかりません"))</f>
      </c>
      <c r="C618" s="4" t="s">
        <v>5911</v>
      </c>
      <c r="D618" s="4">
        <v>8</v>
      </c>
      <c r="E618" s="12" t="str">
        <f t="array" ref="E618">IF(D618:D4659="","",IFERROR(_xlfn.XLOOKUP(D618:D4659,'参照_勢力'!A:A,'参照_勢力'!B:B),IFERROR(_xlfn.XLOOKUP(F618:F4659,kunishuClan!A:A,kunishuClan!B:B),"浪人")))</f>
      </c>
      <c r="F618" s="4">
        <v>0</v>
      </c>
      <c r="G618" s="4">
        <v>17</v>
      </c>
      <c r="H618" s="12" t="str">
        <f t="array" ref="H618">IF(G618:G4659="","",_xlfn.XLOOKUP(G618:G4659,castles_state!A:A,castles_state!D:D,"見つかりません"))</f>
      </c>
      <c r="I618" s="4"/>
      <c r="J618" s="12" t="str">
        <f t="array" ref="J618">IF(I618:I4659="","",_xlfn.XLOOKUP(I618:I4659,'参照_姫'!A:A,'参照_姫'!B:B,"見つかりません"))</f>
      </c>
      <c r="K618" s="4">
        <v>85</v>
      </c>
      <c r="L618" s="4">
        <v>0</v>
      </c>
      <c r="M618" s="4"/>
      <c r="N618" s="4"/>
      <c r="O618" s="4"/>
      <c r="P618" s="12" t="str">
        <f t="array" ref="P618">IF(O618:O4659="","",_xlfn.XLOOKUP(O618:O4659,'参照_官位'!A:A,'参照_官位'!B:B,""))</f>
      </c>
      <c r="Q618" s="12" t="str">
        <f t="array" ref="Q618">IF(A618:A4659="","",IFERROR(_xlfn.XLOOKUP(A618:A4659,castles_state!K:K,castles_state!D:D)&amp;"主",IFERROR(_xlfn.XLOOKUP(A618:A4659,kunishuClan!D:D,kunishuClan!B:B)&amp;"当主","")))</f>
      </c>
    </row>
    <row r="619" ht="15.75" customHeight="1">
      <c r="A619" s="4">
        <v>1008018</v>
      </c>
      <c r="B619" s="12" t="str">
        <f t="array" ref="B619">IF(A619:A4660="","",_xlfn.XLOOKUP(A619:A4660,'参照_武将'!A:A,'参照_武将'!B:B,"見つかりません"))</f>
      </c>
      <c r="C619" s="4" t="s">
        <v>5911</v>
      </c>
      <c r="D619" s="4">
        <v>8</v>
      </c>
      <c r="E619" s="12" t="str">
        <f t="array" ref="E619">IF(D619:D4660="","",IFERROR(_xlfn.XLOOKUP(D619:D4660,'参照_勢力'!A:A,'参照_勢力'!B:B),IFERROR(_xlfn.XLOOKUP(F619:F4660,kunishuClan!A:A,kunishuClan!B:B),"浪人")))</f>
      </c>
      <c r="F619" s="4">
        <v>0</v>
      </c>
      <c r="G619" s="4">
        <v>17</v>
      </c>
      <c r="H619" s="12" t="str">
        <f t="array" ref="H619">IF(G619:G4660="","",_xlfn.XLOOKUP(G619:G4660,castles_state!A:A,castles_state!D:D,"見つかりません"))</f>
      </c>
      <c r="I619" s="4"/>
      <c r="J619" s="12" t="str">
        <f t="array" ref="J619">IF(I619:I4660="","",_xlfn.XLOOKUP(I619:I4660,'参照_姫'!A:A,'参照_姫'!B:B,"見つかりません"))</f>
      </c>
      <c r="K619" s="4">
        <v>95</v>
      </c>
      <c r="L619" s="4">
        <v>0</v>
      </c>
      <c r="M619" s="4"/>
      <c r="N619" s="4"/>
      <c r="O619" s="4"/>
      <c r="P619" s="12" t="str">
        <f t="array" ref="P619">IF(O619:O4660="","",_xlfn.XLOOKUP(O619:O4660,'参照_官位'!A:A,'参照_官位'!B:B,""))</f>
      </c>
      <c r="Q619" s="12" t="str">
        <f t="array" ref="Q619">IF(A619:A4660="","",IFERROR(_xlfn.XLOOKUP(A619:A4660,castles_state!K:K,castles_state!D:D)&amp;"主",IFERROR(_xlfn.XLOOKUP(A619:A4660,kunishuClan!D:D,kunishuClan!B:B)&amp;"当主","")))</f>
      </c>
    </row>
    <row r="620" ht="15.75" customHeight="1">
      <c r="A620" s="4">
        <v>1008019</v>
      </c>
      <c r="B620" s="12" t="str">
        <f t="array" ref="B620">IF(A620:A4661="","",_xlfn.XLOOKUP(A620:A4661,'参照_武将'!A:A,'参照_武将'!B:B,"見つかりません"))</f>
      </c>
      <c r="C620" s="4" t="s">
        <v>5911</v>
      </c>
      <c r="D620" s="4">
        <v>8</v>
      </c>
      <c r="E620" s="12" t="str">
        <f t="array" ref="E620">IF(D620:D4661="","",IFERROR(_xlfn.XLOOKUP(D620:D4661,'参照_勢力'!A:A,'参照_勢力'!B:B),IFERROR(_xlfn.XLOOKUP(F620:F4661,kunishuClan!A:A,kunishuClan!B:B),"浪人")))</f>
      </c>
      <c r="F620" s="4">
        <v>0</v>
      </c>
      <c r="G620" s="4">
        <v>17</v>
      </c>
      <c r="H620" s="12" t="str">
        <f t="array" ref="H620">IF(G620:G4661="","",_xlfn.XLOOKUP(G620:G4661,castles_state!A:A,castles_state!D:D,"見つかりません"))</f>
      </c>
      <c r="I620" s="4"/>
      <c r="J620" s="12" t="str">
        <f t="array" ref="J620">IF(I620:I4661="","",_xlfn.XLOOKUP(I620:I4661,'参照_姫'!A:A,'参照_姫'!B:B,"見つかりません"))</f>
      </c>
      <c r="K620" s="4">
        <v>95</v>
      </c>
      <c r="L620" s="4">
        <v>0</v>
      </c>
      <c r="M620" s="4"/>
      <c r="N620" s="4"/>
      <c r="O620" s="4"/>
      <c r="P620" s="12" t="str">
        <f t="array" ref="P620">IF(O620:O4661="","",_xlfn.XLOOKUP(O620:O4661,'参照_官位'!A:A,'参照_官位'!B:B,""))</f>
      </c>
      <c r="Q620" s="12" t="str">
        <f t="array" ref="Q620">IF(A620:A4661="","",IFERROR(_xlfn.XLOOKUP(A620:A4661,castles_state!K:K,castles_state!D:D)&amp;"主",IFERROR(_xlfn.XLOOKUP(A620:A4661,kunishuClan!D:D,kunishuClan!B:B)&amp;"当主","")))</f>
      </c>
    </row>
    <row r="621" ht="15.75" customHeight="1">
      <c r="A621" s="4">
        <v>1008020</v>
      </c>
      <c r="B621" s="12" t="str">
        <f t="array" ref="B621">IF(A621:A4662="","",_xlfn.XLOOKUP(A621:A4662,'参照_武将'!A:A,'参照_武将'!B:B,"見つかりません"))</f>
      </c>
      <c r="C621" s="4" t="s">
        <v>5911</v>
      </c>
      <c r="D621" s="4">
        <v>8</v>
      </c>
      <c r="E621" s="12" t="str">
        <f t="array" ref="E621">IF(D621:D4662="","",IFERROR(_xlfn.XLOOKUP(D621:D4662,'参照_勢力'!A:A,'参照_勢力'!B:B),IFERROR(_xlfn.XLOOKUP(F621:F4662,kunishuClan!A:A,kunishuClan!B:B),"浪人")))</f>
      </c>
      <c r="F621" s="4">
        <v>0</v>
      </c>
      <c r="G621" s="4">
        <v>17</v>
      </c>
      <c r="H621" s="12" t="str">
        <f t="array" ref="H621">IF(G621:G4662="","",_xlfn.XLOOKUP(G621:G4662,castles_state!A:A,castles_state!D:D,"見つかりません"))</f>
      </c>
      <c r="I621" s="4"/>
      <c r="J621" s="12" t="str">
        <f t="array" ref="J621">IF(I621:I4662="","",_xlfn.XLOOKUP(I621:I4662,'参照_姫'!A:A,'参照_姫'!B:B,"見つかりません"))</f>
      </c>
      <c r="K621" s="4">
        <v>85</v>
      </c>
      <c r="L621" s="4">
        <v>0</v>
      </c>
      <c r="M621" s="4"/>
      <c r="N621" s="4"/>
      <c r="O621" s="4"/>
      <c r="P621" s="12" t="str">
        <f t="array" ref="P621">IF(O621:O4662="","",_xlfn.XLOOKUP(O621:O4662,'参照_官位'!A:A,'参照_官位'!B:B,""))</f>
      </c>
      <c r="Q621" s="12" t="str">
        <f t="array" ref="Q621">IF(A621:A4662="","",IFERROR(_xlfn.XLOOKUP(A621:A4662,castles_state!K:K,castles_state!D:D)&amp;"主",IFERROR(_xlfn.XLOOKUP(A621:A4662,kunishuClan!D:D,kunishuClan!B:B)&amp;"当主","")))</f>
      </c>
    </row>
    <row r="622" ht="15.75" customHeight="1">
      <c r="A622" s="4">
        <v>1008021</v>
      </c>
      <c r="B622" s="12" t="str">
        <f t="array" ref="B622">IF(A622:A4663="","",_xlfn.XLOOKUP(A622:A4663,'参照_武将'!A:A,'参照_武将'!B:B,"見つかりません"))</f>
      </c>
      <c r="C622" s="4" t="s">
        <v>5911</v>
      </c>
      <c r="D622" s="4">
        <v>8</v>
      </c>
      <c r="E622" s="12" t="str">
        <f t="array" ref="E622">IF(D622:D4663="","",IFERROR(_xlfn.XLOOKUP(D622:D4663,'参照_勢力'!A:A,'参照_勢力'!B:B),IFERROR(_xlfn.XLOOKUP(F622:F4663,kunishuClan!A:A,kunishuClan!B:B),"浪人")))</f>
      </c>
      <c r="F622" s="4">
        <v>0</v>
      </c>
      <c r="G622" s="4">
        <v>17</v>
      </c>
      <c r="H622" s="12" t="str">
        <f t="array" ref="H622">IF(G622:G4663="","",_xlfn.XLOOKUP(G622:G4663,castles_state!A:A,castles_state!D:D,"見つかりません"))</f>
      </c>
      <c r="I622" s="4"/>
      <c r="J622" s="12" t="str">
        <f t="array" ref="J622">IF(I622:I4663="","",_xlfn.XLOOKUP(I622:I4663,'参照_姫'!A:A,'参照_姫'!B:B,"見つかりません"))</f>
      </c>
      <c r="K622" s="4">
        <v>95</v>
      </c>
      <c r="L622" s="4">
        <v>0</v>
      </c>
      <c r="M622" s="4"/>
      <c r="N622" s="4"/>
      <c r="O622" s="4"/>
      <c r="P622" s="12" t="str">
        <f t="array" ref="P622">IF(O622:O4663="","",_xlfn.XLOOKUP(O622:O4663,'参照_官位'!A:A,'参照_官位'!B:B,""))</f>
      </c>
      <c r="Q622" s="12" t="str">
        <f t="array" ref="Q622">IF(A622:A4663="","",IFERROR(_xlfn.XLOOKUP(A622:A4663,castles_state!K:K,castles_state!D:D)&amp;"主",IFERROR(_xlfn.XLOOKUP(A622:A4663,kunishuClan!D:D,kunishuClan!B:B)&amp;"当主","")))</f>
      </c>
    </row>
    <row r="623" ht="15.75" customHeight="1">
      <c r="A623" s="4">
        <v>1008022</v>
      </c>
      <c r="B623" s="12" t="str">
        <f t="array" ref="B623">IF(A623:A4664="","",_xlfn.XLOOKUP(A623:A4664,'参照_武将'!A:A,'参照_武将'!B:B,"見つかりません"))</f>
      </c>
      <c r="C623" s="4" t="s">
        <v>5911</v>
      </c>
      <c r="D623" s="4">
        <v>8</v>
      </c>
      <c r="E623" s="12" t="str">
        <f t="array" ref="E623">IF(D623:D4664="","",IFERROR(_xlfn.XLOOKUP(D623:D4664,'参照_勢力'!A:A,'参照_勢力'!B:B),IFERROR(_xlfn.XLOOKUP(F623:F4664,kunishuClan!A:A,kunishuClan!B:B),"浪人")))</f>
      </c>
      <c r="F623" s="4">
        <v>0</v>
      </c>
      <c r="G623" s="4">
        <v>72</v>
      </c>
      <c r="H623" s="12" t="str">
        <f t="array" ref="H623">IF(G623:G4664="","",_xlfn.XLOOKUP(G623:G4664,castles_state!A:A,castles_state!D:D,"見つかりません"))</f>
      </c>
      <c r="I623" s="4"/>
      <c r="J623" s="12" t="str">
        <f t="array" ref="J623">IF(I623:I4664="","",_xlfn.XLOOKUP(I623:I4664,'参照_姫'!A:A,'参照_姫'!B:B,"見つかりません"))</f>
      </c>
      <c r="K623" s="4">
        <v>85</v>
      </c>
      <c r="L623" s="4">
        <v>500</v>
      </c>
      <c r="M623" s="4"/>
      <c r="N623" s="4"/>
      <c r="O623" s="4"/>
      <c r="P623" s="12" t="str">
        <f t="array" ref="P623">IF(O623:O4664="","",_xlfn.XLOOKUP(O623:O4664,'参照_官位'!A:A,'参照_官位'!B:B,""))</f>
      </c>
      <c r="Q623" s="12" t="str">
        <f t="array" ref="Q623">IF(A623:A4664="","",IFERROR(_xlfn.XLOOKUP(A623:A4664,castles_state!K:K,castles_state!D:D)&amp;"主",IFERROR(_xlfn.XLOOKUP(A623:A4664,kunishuClan!D:D,kunishuClan!B:B)&amp;"当主","")))</f>
      </c>
    </row>
    <row r="624" ht="15.75" customHeight="1">
      <c r="A624" s="4">
        <v>1008023</v>
      </c>
      <c r="B624" s="12" t="str">
        <f t="array" ref="B624">IF(A624:A4665="","",_xlfn.XLOOKUP(A624:A4665,'参照_武将'!A:A,'参照_武将'!B:B,"見つかりません"))</f>
      </c>
      <c r="C624" s="4" t="s">
        <v>5911</v>
      </c>
      <c r="D624" s="4">
        <v>8</v>
      </c>
      <c r="E624" s="12" t="str">
        <f t="array" ref="E624">IF(D624:D4665="","",IFERROR(_xlfn.XLOOKUP(D624:D4665,'参照_勢力'!A:A,'参照_勢力'!B:B),IFERROR(_xlfn.XLOOKUP(F624:F4665,kunishuClan!A:A,kunishuClan!B:B),"浪人")))</f>
      </c>
      <c r="F624" s="4">
        <v>0</v>
      </c>
      <c r="G624" s="4">
        <v>17</v>
      </c>
      <c r="H624" s="12" t="str">
        <f t="array" ref="H624">IF(G624:G4665="","",_xlfn.XLOOKUP(G624:G4665,castles_state!A:A,castles_state!D:D,"見つかりません"))</f>
      </c>
      <c r="I624" s="4"/>
      <c r="J624" s="12" t="str">
        <f t="array" ref="J624">IF(I624:I4665="","",_xlfn.XLOOKUP(I624:I4665,'参照_姫'!A:A,'参照_姫'!B:B,"見つかりません"))</f>
      </c>
      <c r="K624" s="4">
        <v>95</v>
      </c>
      <c r="L624" s="4">
        <v>0</v>
      </c>
      <c r="M624" s="4"/>
      <c r="N624" s="4"/>
      <c r="O624" s="4"/>
      <c r="P624" s="12" t="str">
        <f t="array" ref="P624">IF(O624:O4665="","",_xlfn.XLOOKUP(O624:O4665,'参照_官位'!A:A,'参照_官位'!B:B,""))</f>
      </c>
      <c r="Q624" s="12" t="str">
        <f t="array" ref="Q624">IF(A624:A4665="","",IFERROR(_xlfn.XLOOKUP(A624:A4665,castles_state!K:K,castles_state!D:D)&amp;"主",IFERROR(_xlfn.XLOOKUP(A624:A4665,kunishuClan!D:D,kunishuClan!B:B)&amp;"当主","")))</f>
      </c>
    </row>
    <row r="625" ht="15.75" customHeight="1">
      <c r="A625" s="4">
        <v>1008024</v>
      </c>
      <c r="B625" s="12" t="str">
        <f t="array" ref="B625">IF(A625:A4666="","",_xlfn.XLOOKUP(A625:A4666,'参照_武将'!A:A,'参照_武将'!B:B,"見つかりません"))</f>
      </c>
      <c r="C625" s="4" t="s">
        <v>5911</v>
      </c>
      <c r="D625" s="4">
        <v>8</v>
      </c>
      <c r="E625" s="12" t="str">
        <f t="array" ref="E625">IF(D625:D4666="","",IFERROR(_xlfn.XLOOKUP(D625:D4666,'参照_勢力'!A:A,'参照_勢力'!B:B),IFERROR(_xlfn.XLOOKUP(F625:F4666,kunishuClan!A:A,kunishuClan!B:B),"浪人")))</f>
      </c>
      <c r="F625" s="4">
        <v>0</v>
      </c>
      <c r="G625" s="4">
        <v>17</v>
      </c>
      <c r="H625" s="12" t="str">
        <f t="array" ref="H625">IF(G625:G4666="","",_xlfn.XLOOKUP(G625:G4666,castles_state!A:A,castles_state!D:D,"見つかりません"))</f>
      </c>
      <c r="I625" s="4"/>
      <c r="J625" s="12" t="str">
        <f t="array" ref="J625">IF(I625:I4666="","",_xlfn.XLOOKUP(I625:I4666,'参照_姫'!A:A,'参照_姫'!B:B,"見つかりません"))</f>
      </c>
      <c r="K625" s="4">
        <v>95</v>
      </c>
      <c r="L625" s="4">
        <v>0</v>
      </c>
      <c r="M625" s="4"/>
      <c r="N625" s="4"/>
      <c r="O625" s="4"/>
      <c r="P625" s="12" t="str">
        <f t="array" ref="P625">IF(O625:O4666="","",_xlfn.XLOOKUP(O625:O4666,'参照_官位'!A:A,'参照_官位'!B:B,""))</f>
      </c>
      <c r="Q625" s="12" t="str">
        <f t="array" ref="Q625">IF(A625:A4666="","",IFERROR(_xlfn.XLOOKUP(A625:A4666,castles_state!K:K,castles_state!D:D)&amp;"主",IFERROR(_xlfn.XLOOKUP(A625:A4666,kunishuClan!D:D,kunishuClan!B:B)&amp;"当主","")))</f>
      </c>
    </row>
    <row r="626" ht="15.75" customHeight="1">
      <c r="A626" s="4">
        <v>1008025</v>
      </c>
      <c r="B626" s="12" t="str">
        <f t="array" ref="B626">IF(A626:A4667="","",_xlfn.XLOOKUP(A626:A4667,'参照_武将'!A:A,'参照_武将'!B:B,"見つかりません"))</f>
      </c>
      <c r="C626" s="4" t="s">
        <v>5911</v>
      </c>
      <c r="D626" s="4">
        <v>8</v>
      </c>
      <c r="E626" s="12" t="str">
        <f t="array" ref="E626">IF(D626:D4667="","",IFERROR(_xlfn.XLOOKUP(D626:D4667,'参照_勢力'!A:A,'参照_勢力'!B:B),IFERROR(_xlfn.XLOOKUP(F626:F4667,kunishuClan!A:A,kunishuClan!B:B),"浪人")))</f>
      </c>
      <c r="F626" s="4">
        <v>0</v>
      </c>
      <c r="G626" s="4">
        <v>72</v>
      </c>
      <c r="H626" s="12" t="str">
        <f t="array" ref="H626">IF(G626:G4667="","",_xlfn.XLOOKUP(G626:G4667,castles_state!A:A,castles_state!D:D,"見つかりません"))</f>
      </c>
      <c r="I626" s="4"/>
      <c r="J626" s="12" t="str">
        <f t="array" ref="J626">IF(I626:I4667="","",_xlfn.XLOOKUP(I626:I4667,'参照_姫'!A:A,'参照_姫'!B:B,"見つかりません"))</f>
      </c>
      <c r="K626" s="4">
        <v>85</v>
      </c>
      <c r="L626" s="4">
        <v>0</v>
      </c>
      <c r="M626" s="4"/>
      <c r="N626" s="4"/>
      <c r="O626" s="4"/>
      <c r="P626" s="12" t="str">
        <f t="array" ref="P626">IF(O626:O4667="","",_xlfn.XLOOKUP(O626:O4667,'参照_官位'!A:A,'参照_官位'!B:B,""))</f>
      </c>
      <c r="Q626" s="12" t="str">
        <f t="array" ref="Q626">IF(A626:A4667="","",IFERROR(_xlfn.XLOOKUP(A626:A4667,castles_state!K:K,castles_state!D:D)&amp;"主",IFERROR(_xlfn.XLOOKUP(A626:A4667,kunishuClan!D:D,kunishuClan!B:B)&amp;"当主","")))</f>
      </c>
    </row>
    <row r="627" ht="15.75" customHeight="1">
      <c r="A627" s="4">
        <v>1008026</v>
      </c>
      <c r="B627" s="12" t="str">
        <f t="array" ref="B627">IF(A627:A4668="","",_xlfn.XLOOKUP(A627:A4668,'参照_武将'!A:A,'参照_武将'!B:B,"見つかりません"))</f>
      </c>
      <c r="C627" s="4" t="s">
        <v>5911</v>
      </c>
      <c r="D627" s="4">
        <v>8</v>
      </c>
      <c r="E627" s="12" t="str">
        <f t="array" ref="E627">IF(D627:D4668="","",IFERROR(_xlfn.XLOOKUP(D627:D4668,'参照_勢力'!A:A,'参照_勢力'!B:B),IFERROR(_xlfn.XLOOKUP(F627:F4668,kunishuClan!A:A,kunishuClan!B:B),"浪人")))</f>
      </c>
      <c r="F627" s="4">
        <v>0</v>
      </c>
      <c r="G627" s="4">
        <v>72</v>
      </c>
      <c r="H627" s="12" t="str">
        <f t="array" ref="H627">IF(G627:G4668="","",_xlfn.XLOOKUP(G627:G4668,castles_state!A:A,castles_state!D:D,"見つかりません"))</f>
      </c>
      <c r="I627" s="4"/>
      <c r="J627" s="12" t="str">
        <f t="array" ref="J627">IF(I627:I4668="","",_xlfn.XLOOKUP(I627:I4668,'参照_姫'!A:A,'参照_姫'!B:B,"見つかりません"))</f>
      </c>
      <c r="K627" s="4">
        <v>85</v>
      </c>
      <c r="L627" s="4">
        <v>0</v>
      </c>
      <c r="M627" s="4"/>
      <c r="N627" s="4"/>
      <c r="O627" s="4"/>
      <c r="P627" s="12" t="str">
        <f t="array" ref="P627">IF(O627:O4668="","",_xlfn.XLOOKUP(O627:O4668,'参照_官位'!A:A,'参照_官位'!B:B,""))</f>
      </c>
      <c r="Q627" s="12" t="str">
        <f t="array" ref="Q627">IF(A627:A4668="","",IFERROR(_xlfn.XLOOKUP(A627:A4668,castles_state!K:K,castles_state!D:D)&amp;"主",IFERROR(_xlfn.XLOOKUP(A627:A4668,kunishuClan!D:D,kunishuClan!B:B)&amp;"当主","")))</f>
      </c>
    </row>
    <row r="628" ht="15.75" customHeight="1">
      <c r="A628" s="4">
        <v>1008027</v>
      </c>
      <c r="B628" s="12" t="str">
        <f t="array" ref="B628">IF(A628:A4669="","",_xlfn.XLOOKUP(A628:A4669,'参照_武将'!A:A,'参照_武将'!B:B,"見つかりません"))</f>
      </c>
      <c r="C628" s="4" t="s">
        <v>5911</v>
      </c>
      <c r="D628" s="4">
        <v>8</v>
      </c>
      <c r="E628" s="12" t="str">
        <f t="array" ref="E628">IF(D628:D4669="","",IFERROR(_xlfn.XLOOKUP(D628:D4669,'参照_勢力'!A:A,'参照_勢力'!B:B),IFERROR(_xlfn.XLOOKUP(F628:F4669,kunishuClan!A:A,kunishuClan!B:B),"浪人")))</f>
      </c>
      <c r="F628" s="4">
        <v>0</v>
      </c>
      <c r="G628" s="4">
        <v>72</v>
      </c>
      <c r="H628" s="12" t="str">
        <f t="array" ref="H628">IF(G628:G4669="","",_xlfn.XLOOKUP(G628:G4669,castles_state!A:A,castles_state!D:D,"見つかりません"))</f>
      </c>
      <c r="I628" s="4"/>
      <c r="J628" s="12" t="str">
        <f t="array" ref="J628">IF(I628:I4669="","",_xlfn.XLOOKUP(I628:I4669,'参照_姫'!A:A,'参照_姫'!B:B,"見つかりません"))</f>
      </c>
      <c r="K628" s="4">
        <v>85</v>
      </c>
      <c r="L628" s="4">
        <v>0</v>
      </c>
      <c r="M628" s="4"/>
      <c r="N628" s="4"/>
      <c r="O628" s="4"/>
      <c r="P628" s="12" t="str">
        <f t="array" ref="P628">IF(O628:O4669="","",_xlfn.XLOOKUP(O628:O4669,'参照_官位'!A:A,'参照_官位'!B:B,""))</f>
      </c>
      <c r="Q628" s="12" t="str">
        <f t="array" ref="Q628">IF(A628:A4669="","",IFERROR(_xlfn.XLOOKUP(A628:A4669,castles_state!K:K,castles_state!D:D)&amp;"主",IFERROR(_xlfn.XLOOKUP(A628:A4669,kunishuClan!D:D,kunishuClan!B:B)&amp;"当主","")))</f>
      </c>
    </row>
    <row r="629" ht="15.75" customHeight="1">
      <c r="A629" s="4">
        <v>1008028</v>
      </c>
      <c r="B629" s="12" t="str">
        <f t="array" ref="B629">IF(A629:A4670="","",_xlfn.XLOOKUP(A629:A4670,'参照_武将'!A:A,'参照_武将'!B:B,"見つかりません"))</f>
      </c>
      <c r="C629" s="4" t="s">
        <v>5911</v>
      </c>
      <c r="D629" s="4">
        <v>8</v>
      </c>
      <c r="E629" s="12" t="str">
        <f t="array" ref="E629">IF(D629:D4670="","",IFERROR(_xlfn.XLOOKUP(D629:D4670,'参照_勢力'!A:A,'参照_勢力'!B:B),IFERROR(_xlfn.XLOOKUP(F629:F4670,kunishuClan!A:A,kunishuClan!B:B),"浪人")))</f>
      </c>
      <c r="F629" s="4">
        <v>0</v>
      </c>
      <c r="G629" s="4">
        <v>17</v>
      </c>
      <c r="H629" s="12" t="str">
        <f t="array" ref="H629">IF(G629:G4670="","",_xlfn.XLOOKUP(G629:G4670,castles_state!A:A,castles_state!D:D,"見つかりません"))</f>
      </c>
      <c r="I629" s="4"/>
      <c r="J629" s="12" t="str">
        <f t="array" ref="J629">IF(I629:I4670="","",_xlfn.XLOOKUP(I629:I4670,'参照_姫'!A:A,'参照_姫'!B:B,"見つかりません"))</f>
      </c>
      <c r="K629" s="4">
        <v>95</v>
      </c>
      <c r="L629" s="4">
        <v>0</v>
      </c>
      <c r="M629" s="4"/>
      <c r="N629" s="4"/>
      <c r="O629" s="4"/>
      <c r="P629" s="12" t="str">
        <f t="array" ref="P629">IF(O629:O4670="","",_xlfn.XLOOKUP(O629:O4670,'参照_官位'!A:A,'参照_官位'!B:B,""))</f>
      </c>
      <c r="Q629" s="12" t="str">
        <f t="array" ref="Q629">IF(A629:A4670="","",IFERROR(_xlfn.XLOOKUP(A629:A4670,castles_state!K:K,castles_state!D:D)&amp;"主",IFERROR(_xlfn.XLOOKUP(A629:A4670,kunishuClan!D:D,kunishuClan!B:B)&amp;"当主","")))</f>
      </c>
    </row>
    <row r="630" ht="15.75" customHeight="1">
      <c r="A630" s="4">
        <v>1008029</v>
      </c>
      <c r="B630" s="12" t="str">
        <f t="array" ref="B630">IF(A630:A4671="","",_xlfn.XLOOKUP(A630:A4671,'参照_武将'!A:A,'参照_武将'!B:B,"見つかりません"))</f>
      </c>
      <c r="C630" s="4" t="s">
        <v>5911</v>
      </c>
      <c r="D630" s="4">
        <v>8</v>
      </c>
      <c r="E630" s="12" t="str">
        <f t="array" ref="E630">IF(D630:D4671="","",IFERROR(_xlfn.XLOOKUP(D630:D4671,'参照_勢力'!A:A,'参照_勢力'!B:B),IFERROR(_xlfn.XLOOKUP(F630:F4671,kunishuClan!A:A,kunishuClan!B:B),"浪人")))</f>
      </c>
      <c r="F630" s="4">
        <v>0</v>
      </c>
      <c r="G630" s="4">
        <v>17</v>
      </c>
      <c r="H630" s="12" t="str">
        <f t="array" ref="H630">IF(G630:G4671="","",_xlfn.XLOOKUP(G630:G4671,castles_state!A:A,castles_state!D:D,"見つかりません"))</f>
      </c>
      <c r="I630" s="4"/>
      <c r="J630" s="12" t="str">
        <f t="array" ref="J630">IF(I630:I4671="","",_xlfn.XLOOKUP(I630:I4671,'参照_姫'!A:A,'参照_姫'!B:B,"見つかりません"))</f>
      </c>
      <c r="K630" s="4">
        <v>85</v>
      </c>
      <c r="L630" s="4">
        <v>0</v>
      </c>
      <c r="M630" s="4"/>
      <c r="N630" s="4"/>
      <c r="O630" s="4"/>
      <c r="P630" s="12" t="str">
        <f t="array" ref="P630">IF(O630:O4671="","",_xlfn.XLOOKUP(O630:O4671,'参照_官位'!A:A,'参照_官位'!B:B,""))</f>
      </c>
      <c r="Q630" s="12" t="str">
        <f t="array" ref="Q630">IF(A630:A4671="","",IFERROR(_xlfn.XLOOKUP(A630:A4671,castles_state!K:K,castles_state!D:D)&amp;"主",IFERROR(_xlfn.XLOOKUP(A630:A4671,kunishuClan!D:D,kunishuClan!B:B)&amp;"当主","")))</f>
      </c>
    </row>
    <row r="631" ht="15.75" customHeight="1">
      <c r="A631" s="4">
        <v>1008030</v>
      </c>
      <c r="B631" s="12" t="str">
        <f t="array" ref="B631">IF(A631:A4672="","",_xlfn.XLOOKUP(A631:A4672,'参照_武将'!A:A,'参照_武将'!B:B,"見つかりません"))</f>
      </c>
      <c r="C631" s="4" t="s">
        <v>5911</v>
      </c>
      <c r="D631" s="4">
        <v>8</v>
      </c>
      <c r="E631" s="12" t="str">
        <f t="array" ref="E631">IF(D631:D4672="","",IFERROR(_xlfn.XLOOKUP(D631:D4672,'参照_勢力'!A:A,'参照_勢力'!B:B),IFERROR(_xlfn.XLOOKUP(F631:F4672,kunishuClan!A:A,kunishuClan!B:B),"浪人")))</f>
      </c>
      <c r="F631" s="4">
        <v>0</v>
      </c>
      <c r="G631" s="4">
        <v>72</v>
      </c>
      <c r="H631" s="12" t="str">
        <f t="array" ref="H631">IF(G631:G4672="","",_xlfn.XLOOKUP(G631:G4672,castles_state!A:A,castles_state!D:D,"見つかりません"))</f>
      </c>
      <c r="I631" s="4"/>
      <c r="J631" s="12" t="str">
        <f t="array" ref="J631">IF(I631:I4672="","",_xlfn.XLOOKUP(I631:I4672,'参照_姫'!A:A,'参照_姫'!B:B,"見つかりません"))</f>
      </c>
      <c r="K631" s="4">
        <v>85</v>
      </c>
      <c r="L631" s="4">
        <v>0</v>
      </c>
      <c r="M631" s="4"/>
      <c r="N631" s="4"/>
      <c r="O631" s="4"/>
      <c r="P631" s="12" t="str">
        <f t="array" ref="P631">IF(O631:O4672="","",_xlfn.XLOOKUP(O631:O4672,'参照_官位'!A:A,'参照_官位'!B:B,""))</f>
      </c>
      <c r="Q631" s="12" t="str">
        <f t="array" ref="Q631">IF(A631:A4672="","",IFERROR(_xlfn.XLOOKUP(A631:A4672,castles_state!K:K,castles_state!D:D)&amp;"主",IFERROR(_xlfn.XLOOKUP(A631:A4672,kunishuClan!D:D,kunishuClan!B:B)&amp;"当主","")))</f>
      </c>
    </row>
    <row r="632" ht="15.75" customHeight="1">
      <c r="A632" s="4">
        <v>1008031</v>
      </c>
      <c r="B632" s="12" t="str">
        <f t="array" ref="B632">IF(A632:A4673="","",_xlfn.XLOOKUP(A632:A4673,'参照_武将'!A:A,'参照_武将'!B:B,"見つかりません"))</f>
      </c>
      <c r="C632" s="4" t="s">
        <v>5911</v>
      </c>
      <c r="D632" s="4">
        <v>8</v>
      </c>
      <c r="E632" s="12" t="str">
        <f t="array" ref="E632">IF(D632:D4673="","",IFERROR(_xlfn.XLOOKUP(D632:D4673,'参照_勢力'!A:A,'参照_勢力'!B:B),IFERROR(_xlfn.XLOOKUP(F632:F4673,kunishuClan!A:A,kunishuClan!B:B),"浪人")))</f>
      </c>
      <c r="F632" s="4">
        <v>0</v>
      </c>
      <c r="G632" s="4">
        <v>72</v>
      </c>
      <c r="H632" s="12" t="str">
        <f t="array" ref="H632">IF(G632:G4673="","",_xlfn.XLOOKUP(G632:G4673,castles_state!A:A,castles_state!D:D,"見つかりません"))</f>
      </c>
      <c r="I632" s="4"/>
      <c r="J632" s="12" t="str">
        <f t="array" ref="J632">IF(I632:I4673="","",_xlfn.XLOOKUP(I632:I4673,'参照_姫'!A:A,'参照_姫'!B:B,"見つかりません"))</f>
      </c>
      <c r="K632" s="4">
        <v>85</v>
      </c>
      <c r="L632" s="4">
        <v>0</v>
      </c>
      <c r="M632" s="4"/>
      <c r="N632" s="4"/>
      <c r="O632" s="4"/>
      <c r="P632" s="12" t="str">
        <f t="array" ref="P632">IF(O632:O4673="","",_xlfn.XLOOKUP(O632:O4673,'参照_官位'!A:A,'参照_官位'!B:B,""))</f>
      </c>
      <c r="Q632" s="12" t="str">
        <f t="array" ref="Q632">IF(A632:A4673="","",IFERROR(_xlfn.XLOOKUP(A632:A4673,castles_state!K:K,castles_state!D:D)&amp;"主",IFERROR(_xlfn.XLOOKUP(A632:A4673,kunishuClan!D:D,kunishuClan!B:B)&amp;"当主","")))</f>
      </c>
    </row>
    <row r="633" ht="15.75" customHeight="1">
      <c r="A633" s="4">
        <v>1008032</v>
      </c>
      <c r="B633" s="12" t="str">
        <f t="array" ref="B633">IF(A633:A4674="","",_xlfn.XLOOKUP(A633:A4674,'参照_武将'!A:A,'参照_武将'!B:B,"見つかりません"))</f>
      </c>
      <c r="C633" s="4" t="s">
        <v>5911</v>
      </c>
      <c r="D633" s="4">
        <v>8</v>
      </c>
      <c r="E633" s="12" t="str">
        <f t="array" ref="E633">IF(D633:D4674="","",IFERROR(_xlfn.XLOOKUP(D633:D4674,'参照_勢力'!A:A,'参照_勢力'!B:B),IFERROR(_xlfn.XLOOKUP(F633:F4674,kunishuClan!A:A,kunishuClan!B:B),"浪人")))</f>
      </c>
      <c r="F633" s="4">
        <v>0</v>
      </c>
      <c r="G633" s="4">
        <v>72</v>
      </c>
      <c r="H633" s="12" t="str">
        <f t="array" ref="H633">IF(G633:G4674="","",_xlfn.XLOOKUP(G633:G4674,castles_state!A:A,castles_state!D:D,"見つかりません"))</f>
      </c>
      <c r="I633" s="4"/>
      <c r="J633" s="12" t="str">
        <f t="array" ref="J633">IF(I633:I4674="","",_xlfn.XLOOKUP(I633:I4674,'参照_姫'!A:A,'参照_姫'!B:B,"見つかりません"))</f>
      </c>
      <c r="K633" s="4">
        <v>85</v>
      </c>
      <c r="L633" s="4">
        <v>0</v>
      </c>
      <c r="M633" s="4"/>
      <c r="N633" s="4"/>
      <c r="O633" s="4"/>
      <c r="P633" s="12" t="str">
        <f t="array" ref="P633">IF(O633:O4674="","",_xlfn.XLOOKUP(O633:O4674,'参照_官位'!A:A,'参照_官位'!B:B,""))</f>
      </c>
      <c r="Q633" s="12" t="str">
        <f t="array" ref="Q633">IF(A633:A4674="","",IFERROR(_xlfn.XLOOKUP(A633:A4674,castles_state!K:K,castles_state!D:D)&amp;"主",IFERROR(_xlfn.XLOOKUP(A633:A4674,kunishuClan!D:D,kunishuClan!B:B)&amp;"当主","")))</f>
      </c>
    </row>
    <row r="634" ht="15.75" customHeight="1">
      <c r="A634" s="4">
        <v>1009001</v>
      </c>
      <c r="B634" s="12" t="str">
        <f t="array" ref="B634">IF(A634:A4675="","",_xlfn.XLOOKUP(A634:A4675,'参照_武将'!A:A,'参照_武将'!B:B,"見つかりません"))</f>
      </c>
      <c r="C634" s="4" t="s">
        <v>132</v>
      </c>
      <c r="D634" s="4">
        <v>0</v>
      </c>
      <c r="E634" s="12" t="str">
        <f t="array" ref="E634">IF(D634:D4675="","",IFERROR(_xlfn.XLOOKUP(D634:D4675,'参照_勢力'!A:A,'参照_勢力'!B:B),IFERROR(_xlfn.XLOOKUP(F634:F4675,kunishuClan!A:A,kunishuClan!B:B),"浪人")))</f>
      </c>
      <c r="F634" s="4">
        <v>71</v>
      </c>
      <c r="G634" s="4">
        <v>53</v>
      </c>
      <c r="H634" s="12" t="str">
        <f t="array" ref="H634">IF(G634:G4675="","",_xlfn.XLOOKUP(G634:G4675,castles_state!A:A,castles_state!D:D,"見つかりません"))</f>
      </c>
      <c r="I634" s="4">
        <v>21</v>
      </c>
      <c r="J634" s="12" t="str">
        <f t="array" ref="J634">IF(I634:I4675="","",_xlfn.XLOOKUP(I634:I4675,'参照_姫'!A:A,'参照_姫'!B:B,"見つかりません"))</f>
      </c>
      <c r="K634" s="4">
        <v>50</v>
      </c>
      <c r="L634" s="4">
        <v>0</v>
      </c>
      <c r="M634" s="4"/>
      <c r="N634" s="4"/>
      <c r="O634" s="4"/>
      <c r="P634" s="12" t="str">
        <f t="array" ref="P634">IF(O634:O4675="","",_xlfn.XLOOKUP(O634:O4675,'参照_官位'!A:A,'参照_官位'!B:B,""))</f>
      </c>
      <c r="Q634" s="12" t="str">
        <f t="array" ref="Q634">IF(A634:A4675="","",IFERROR(_xlfn.XLOOKUP(A634:A4675,castles_state!K:K,castles_state!D:D)&amp;"主",IFERROR(_xlfn.XLOOKUP(A634:A4675,kunishuClan!D:D,kunishuClan!B:B)&amp;"当主","")))</f>
      </c>
    </row>
    <row r="635" ht="15.75" customHeight="1">
      <c r="A635" s="4">
        <v>1009002</v>
      </c>
      <c r="B635" s="12" t="str">
        <f t="array" ref="B635">IF(A635:A4676="","",_xlfn.XLOOKUP(A635:A4676,'参照_武将'!A:A,'参照_武将'!B:B,"見つかりません"))</f>
      </c>
      <c r="C635" s="4" t="s">
        <v>132</v>
      </c>
      <c r="D635" s="4">
        <v>0</v>
      </c>
      <c r="E635" s="12" t="str">
        <f t="array" ref="E635">IF(D635:D4676="","",IFERROR(_xlfn.XLOOKUP(D635:D4676,'参照_勢力'!A:A,'参照_勢力'!B:B),IFERROR(_xlfn.XLOOKUP(F635:F4676,kunishuClan!A:A,kunishuClan!B:B),"浪人")))</f>
      </c>
      <c r="F635" s="4">
        <v>71</v>
      </c>
      <c r="G635" s="4">
        <v>53</v>
      </c>
      <c r="H635" s="12" t="str">
        <f t="array" ref="H635">IF(G635:G4676="","",_xlfn.XLOOKUP(G635:G4676,castles_state!A:A,castles_state!D:D,"見つかりません"))</f>
      </c>
      <c r="I635" s="4"/>
      <c r="J635" s="12" t="str">
        <f t="array" ref="J635">IF(I635:I4676="","",_xlfn.XLOOKUP(I635:I4676,'参照_姫'!A:A,'参照_姫'!B:B,"見つかりません"))</f>
      </c>
      <c r="K635" s="4">
        <v>50</v>
      </c>
      <c r="L635" s="4">
        <v>0</v>
      </c>
      <c r="M635" s="4"/>
      <c r="N635" s="4"/>
      <c r="O635" s="4"/>
      <c r="P635" s="12" t="str">
        <f t="array" ref="P635">IF(O635:O4676="","",_xlfn.XLOOKUP(O635:O4676,'参照_官位'!A:A,'参照_官位'!B:B,""))</f>
      </c>
      <c r="Q635" s="12" t="str">
        <f t="array" ref="Q635">IF(A635:A4676="","",IFERROR(_xlfn.XLOOKUP(A635:A4676,castles_state!K:K,castles_state!D:D)&amp;"主",IFERROR(_xlfn.XLOOKUP(A635:A4676,kunishuClan!D:D,kunishuClan!B:B)&amp;"当主","")))</f>
      </c>
    </row>
    <row r="636" ht="15.75" customHeight="1">
      <c r="A636" s="4">
        <v>1009003</v>
      </c>
      <c r="B636" s="12" t="str">
        <f t="array" ref="B636">IF(A636:A4677="","",_xlfn.XLOOKUP(A636:A4677,'参照_武将'!A:A,'参照_武将'!B:B,"見つかりません"))</f>
      </c>
      <c r="C636" s="4" t="s">
        <v>132</v>
      </c>
      <c r="D636" s="4">
        <v>0</v>
      </c>
      <c r="E636" s="12" t="str">
        <f t="array" ref="E636">IF(D636:D4677="","",IFERROR(_xlfn.XLOOKUP(D636:D4677,'参照_勢力'!A:A,'参照_勢力'!B:B),IFERROR(_xlfn.XLOOKUP(F636:F4677,kunishuClan!A:A,kunishuClan!B:B),"浪人")))</f>
      </c>
      <c r="F636" s="4">
        <v>71</v>
      </c>
      <c r="G636" s="4">
        <v>53</v>
      </c>
      <c r="H636" s="12" t="str">
        <f t="array" ref="H636">IF(G636:G4677="","",_xlfn.XLOOKUP(G636:G4677,castles_state!A:A,castles_state!D:D,"見つかりません"))</f>
      </c>
      <c r="I636" s="4"/>
      <c r="J636" s="12" t="str">
        <f t="array" ref="J636">IF(I636:I4677="","",_xlfn.XLOOKUP(I636:I4677,'参照_姫'!A:A,'参照_姫'!B:B,"見つかりません"))</f>
      </c>
      <c r="K636" s="4">
        <v>50</v>
      </c>
      <c r="L636" s="4">
        <v>1000</v>
      </c>
      <c r="M636" s="4"/>
      <c r="N636" s="4"/>
      <c r="O636" s="4"/>
      <c r="P636" s="12" t="str">
        <f t="array" ref="P636">IF(O636:O4677="","",_xlfn.XLOOKUP(O636:O4677,'参照_官位'!A:A,'参照_官位'!B:B,""))</f>
      </c>
      <c r="Q636" s="12" t="str">
        <f t="array" ref="Q636">IF(A636:A4677="","",IFERROR(_xlfn.XLOOKUP(A636:A4677,castles_state!K:K,castles_state!D:D)&amp;"主",IFERROR(_xlfn.XLOOKUP(A636:A4677,kunishuClan!D:D,kunishuClan!B:B)&amp;"当主","")))</f>
      </c>
    </row>
    <row r="637" ht="15.75" customHeight="1">
      <c r="A637" s="4">
        <v>1009004</v>
      </c>
      <c r="B637" s="12" t="str">
        <f t="array" ref="B637">IF(A637:A4678="","",_xlfn.XLOOKUP(A637:A4678,'参照_武将'!A:A,'参照_武将'!B:B,"見つかりません"))</f>
      </c>
      <c r="C637" s="4" t="s">
        <v>132</v>
      </c>
      <c r="D637" s="4">
        <v>0</v>
      </c>
      <c r="E637" s="12" t="str">
        <f t="array" ref="E637">IF(D637:D4678="","",IFERROR(_xlfn.XLOOKUP(D637:D4678,'参照_勢力'!A:A,'参照_勢力'!B:B),IFERROR(_xlfn.XLOOKUP(F637:F4678,kunishuClan!A:A,kunishuClan!B:B),"浪人")))</f>
      </c>
      <c r="F637" s="4">
        <v>71</v>
      </c>
      <c r="G637" s="4">
        <v>53</v>
      </c>
      <c r="H637" s="12" t="str">
        <f t="array" ref="H637">IF(G637:G4678="","",_xlfn.XLOOKUP(G637:G4678,castles_state!A:A,castles_state!D:D,"見つかりません"))</f>
      </c>
      <c r="I637" s="4"/>
      <c r="J637" s="12" t="str">
        <f t="array" ref="J637">IF(I637:I4678="","",_xlfn.XLOOKUP(I637:I4678,'参照_姫'!A:A,'参照_姫'!B:B,"見つかりません"))</f>
      </c>
      <c r="K637" s="4">
        <v>50</v>
      </c>
      <c r="L637" s="4">
        <v>0</v>
      </c>
      <c r="M637" s="4"/>
      <c r="N637" s="4"/>
      <c r="O637" s="4"/>
      <c r="P637" s="12" t="str">
        <f t="array" ref="P637">IF(O637:O4678="","",_xlfn.XLOOKUP(O637:O4678,'参照_官位'!A:A,'参照_官位'!B:B,""))</f>
      </c>
      <c r="Q637" s="12" t="str">
        <f t="array" ref="Q637">IF(A637:A4678="","",IFERROR(_xlfn.XLOOKUP(A637:A4678,castles_state!K:K,castles_state!D:D)&amp;"主",IFERROR(_xlfn.XLOOKUP(A637:A4678,kunishuClan!D:D,kunishuClan!B:B)&amp;"当主","")))</f>
      </c>
    </row>
    <row r="638" ht="15.75" customHeight="1">
      <c r="A638" s="4">
        <v>1009005</v>
      </c>
      <c r="B638" s="12" t="str">
        <f t="array" ref="B638">IF(A638:A4679="","",_xlfn.XLOOKUP(A638:A4679,'参照_武将'!A:A,'参照_武将'!B:B,"見つかりません"))</f>
      </c>
      <c r="C638" s="4" t="s">
        <v>132</v>
      </c>
      <c r="D638" s="4">
        <v>0</v>
      </c>
      <c r="E638" s="12" t="str">
        <f t="array" ref="E638">IF(D638:D4679="","",IFERROR(_xlfn.XLOOKUP(D638:D4679,'参照_勢力'!A:A,'参照_勢力'!B:B),IFERROR(_xlfn.XLOOKUP(F638:F4679,kunishuClan!A:A,kunishuClan!B:B),"浪人")))</f>
      </c>
      <c r="F638" s="4">
        <v>71</v>
      </c>
      <c r="G638" s="4">
        <v>53</v>
      </c>
      <c r="H638" s="12" t="str">
        <f t="array" ref="H638">IF(G638:G4679="","",_xlfn.XLOOKUP(G638:G4679,castles_state!A:A,castles_state!D:D,"見つかりません"))</f>
      </c>
      <c r="I638" s="4"/>
      <c r="J638" s="12" t="str">
        <f t="array" ref="J638">IF(I638:I4679="","",_xlfn.XLOOKUP(I638:I4679,'参照_姫'!A:A,'参照_姫'!B:B,"見つかりません"))</f>
      </c>
      <c r="K638" s="4">
        <v>50</v>
      </c>
      <c r="L638" s="4">
        <v>0</v>
      </c>
      <c r="M638" s="4"/>
      <c r="N638" s="4"/>
      <c r="O638" s="4"/>
      <c r="P638" s="12" t="str">
        <f t="array" ref="P638">IF(O638:O4679="","",_xlfn.XLOOKUP(O638:O4679,'参照_官位'!A:A,'参照_官位'!B:B,""))</f>
      </c>
      <c r="Q638" s="12" t="str">
        <f t="array" ref="Q638">IF(A638:A4679="","",IFERROR(_xlfn.XLOOKUP(A638:A4679,castles_state!K:K,castles_state!D:D)&amp;"主",IFERROR(_xlfn.XLOOKUP(A638:A4679,kunishuClan!D:D,kunishuClan!B:B)&amp;"当主","")))</f>
      </c>
    </row>
    <row r="639" ht="15.75" customHeight="1">
      <c r="A639" s="4">
        <v>1009006</v>
      </c>
      <c r="B639" s="12" t="str">
        <f t="array" ref="B639">IF(A639:A4680="","",_xlfn.XLOOKUP(A639:A4680,'参照_武将'!A:A,'参照_武将'!B:B,"見つかりません"))</f>
      </c>
      <c r="C639" s="4" t="s">
        <v>132</v>
      </c>
      <c r="D639" s="4">
        <v>0</v>
      </c>
      <c r="E639" s="12" t="str">
        <f t="array" ref="E639">IF(D639:D4680="","",IFERROR(_xlfn.XLOOKUP(D639:D4680,'参照_勢力'!A:A,'参照_勢力'!B:B),IFERROR(_xlfn.XLOOKUP(F639:F4680,kunishuClan!A:A,kunishuClan!B:B),"浪人")))</f>
      </c>
      <c r="F639" s="4">
        <v>71</v>
      </c>
      <c r="G639" s="4">
        <v>53</v>
      </c>
      <c r="H639" s="12" t="str">
        <f t="array" ref="H639">IF(G639:G4680="","",_xlfn.XLOOKUP(G639:G4680,castles_state!A:A,castles_state!D:D,"見つかりません"))</f>
      </c>
      <c r="I639" s="4"/>
      <c r="J639" s="12" t="str">
        <f t="array" ref="J639">IF(I639:I4680="","",_xlfn.XLOOKUP(I639:I4680,'参照_姫'!A:A,'参照_姫'!B:B,"見つかりません"))</f>
      </c>
      <c r="K639" s="4">
        <v>50</v>
      </c>
      <c r="L639" s="4">
        <v>0</v>
      </c>
      <c r="M639" s="4"/>
      <c r="N639" s="4"/>
      <c r="O639" s="4"/>
      <c r="P639" s="12" t="str">
        <f t="array" ref="P639">IF(O639:O4680="","",_xlfn.XLOOKUP(O639:O4680,'参照_官位'!A:A,'参照_官位'!B:B,""))</f>
      </c>
      <c r="Q639" s="12" t="str">
        <f t="array" ref="Q639">IF(A639:A4680="","",IFERROR(_xlfn.XLOOKUP(A639:A4680,castles_state!K:K,castles_state!D:D)&amp;"主",IFERROR(_xlfn.XLOOKUP(A639:A4680,kunishuClan!D:D,kunishuClan!B:B)&amp;"当主","")))</f>
      </c>
    </row>
    <row r="640" ht="15.75" customHeight="1">
      <c r="A640" s="4">
        <v>1009007</v>
      </c>
      <c r="B640" s="12" t="str">
        <f t="array" ref="B640">IF(A640:A4681="","",_xlfn.XLOOKUP(A640:A4681,'参照_武将'!A:A,'参照_武将'!B:B,"見つかりません"))</f>
      </c>
      <c r="C640" s="4" t="s">
        <v>132</v>
      </c>
      <c r="D640" s="4">
        <v>0</v>
      </c>
      <c r="E640" s="12" t="str">
        <f t="array" ref="E640">IF(D640:D4681="","",IFERROR(_xlfn.XLOOKUP(D640:D4681,'参照_勢力'!A:A,'参照_勢力'!B:B),IFERROR(_xlfn.XLOOKUP(F640:F4681,kunishuClan!A:A,kunishuClan!B:B),"浪人")))</f>
      </c>
      <c r="F640" s="4">
        <v>71</v>
      </c>
      <c r="G640" s="4">
        <v>53</v>
      </c>
      <c r="H640" s="12" t="str">
        <f t="array" ref="H640">IF(G640:G4681="","",_xlfn.XLOOKUP(G640:G4681,castles_state!A:A,castles_state!D:D,"見つかりません"))</f>
      </c>
      <c r="I640" s="4"/>
      <c r="J640" s="12" t="str">
        <f t="array" ref="J640">IF(I640:I4681="","",_xlfn.XLOOKUP(I640:I4681,'参照_姫'!A:A,'参照_姫'!B:B,"見つかりません"))</f>
      </c>
      <c r="K640" s="4">
        <v>50</v>
      </c>
      <c r="L640" s="4">
        <v>0</v>
      </c>
      <c r="M640" s="4"/>
      <c r="N640" s="4"/>
      <c r="O640" s="4"/>
      <c r="P640" s="12" t="str">
        <f t="array" ref="P640">IF(O640:O4681="","",_xlfn.XLOOKUP(O640:O4681,'参照_官位'!A:A,'参照_官位'!B:B,""))</f>
      </c>
      <c r="Q640" s="12" t="str">
        <f t="array" ref="Q640">IF(A640:A4681="","",IFERROR(_xlfn.XLOOKUP(A640:A4681,castles_state!K:K,castles_state!D:D)&amp;"主",IFERROR(_xlfn.XLOOKUP(A640:A4681,kunishuClan!D:D,kunishuClan!B:B)&amp;"当主","")))</f>
      </c>
    </row>
    <row r="641" ht="15.75" customHeight="1">
      <c r="A641" s="4">
        <v>1009008</v>
      </c>
      <c r="B641" s="12" t="str">
        <f t="array" ref="B641">IF(A641:A4682="","",_xlfn.XLOOKUP(A641:A4682,'参照_武将'!A:A,'参照_武将'!B:B,"見つかりません"))</f>
      </c>
      <c r="C641" s="4" t="s">
        <v>5912</v>
      </c>
      <c r="D641" s="4">
        <v>0</v>
      </c>
      <c r="E641" s="12" t="str">
        <f t="array" ref="E641">IF(D641:D4682="","",IFERROR(_xlfn.XLOOKUP(D641:D4682,'参照_勢力'!A:A,'参照_勢力'!B:B),IFERROR(_xlfn.XLOOKUP(F641:F4682,kunishuClan!A:A,kunishuClan!B:B),"浪人")))</f>
      </c>
      <c r="F641" s="4">
        <v>71</v>
      </c>
      <c r="G641" s="4">
        <v>53</v>
      </c>
      <c r="H641" s="12" t="str">
        <f t="array" ref="H641">IF(G641:G4682="","",_xlfn.XLOOKUP(G641:G4682,castles_state!A:A,castles_state!D:D,"見つかりません"))</f>
      </c>
      <c r="I641" s="4"/>
      <c r="J641" s="12" t="str">
        <f t="array" ref="J641">IF(I641:I4682="","",_xlfn.XLOOKUP(I641:I4682,'参照_姫'!A:A,'参照_姫'!B:B,"見つかりません"))</f>
      </c>
      <c r="K641" s="4">
        <v>50</v>
      </c>
      <c r="L641" s="4">
        <v>0</v>
      </c>
      <c r="M641" s="4"/>
      <c r="N641" s="4"/>
      <c r="O641" s="4"/>
      <c r="P641" s="12" t="str">
        <f t="array" ref="P641">IF(O641:O4682="","",_xlfn.XLOOKUP(O641:O4682,'参照_官位'!A:A,'参照_官位'!B:B,""))</f>
      </c>
      <c r="Q641" s="12" t="str">
        <f t="array" ref="Q641">IF(A641:A4682="","",IFERROR(_xlfn.XLOOKUP(A641:A4682,castles_state!K:K,castles_state!D:D)&amp;"主",IFERROR(_xlfn.XLOOKUP(A641:A4682,kunishuClan!D:D,kunishuClan!B:B)&amp;"当主","")))</f>
      </c>
    </row>
    <row r="642" ht="15.75" customHeight="1">
      <c r="A642" s="4">
        <v>1009009</v>
      </c>
      <c r="B642" s="12" t="str">
        <f t="array" ref="B642">IF(A642:A4683="","",_xlfn.XLOOKUP(A642:A4683,'参照_武将'!A:A,'参照_武将'!B:B,"見つかりません"))</f>
      </c>
      <c r="C642" s="4" t="s">
        <v>132</v>
      </c>
      <c r="D642" s="4">
        <v>0</v>
      </c>
      <c r="E642" s="12" t="str">
        <f t="array" ref="E642">IF(D642:D4683="","",IFERROR(_xlfn.XLOOKUP(D642:D4683,'参照_勢力'!A:A,'参照_勢力'!B:B),IFERROR(_xlfn.XLOOKUP(F642:F4683,kunishuClan!A:A,kunishuClan!B:B),"浪人")))</f>
      </c>
      <c r="F642" s="4">
        <v>71</v>
      </c>
      <c r="G642" s="4">
        <v>53</v>
      </c>
      <c r="H642" s="12" t="str">
        <f t="array" ref="H642">IF(G642:G4683="","",_xlfn.XLOOKUP(G642:G4683,castles_state!A:A,castles_state!D:D,"見つかりません"))</f>
      </c>
      <c r="I642" s="4"/>
      <c r="J642" s="12" t="str">
        <f t="array" ref="J642">IF(I642:I4683="","",_xlfn.XLOOKUP(I642:I4683,'参照_姫'!A:A,'参照_姫'!B:B,"見つかりません"))</f>
      </c>
      <c r="K642" s="4">
        <v>50</v>
      </c>
      <c r="L642" s="4">
        <v>0</v>
      </c>
      <c r="M642" s="4"/>
      <c r="N642" s="4"/>
      <c r="O642" s="4"/>
      <c r="P642" s="12" t="str">
        <f t="array" ref="P642">IF(O642:O4683="","",_xlfn.XLOOKUP(O642:O4683,'参照_官位'!A:A,'参照_官位'!B:B,""))</f>
      </c>
      <c r="Q642" s="12" t="str">
        <f t="array" ref="Q642">IF(A642:A4683="","",IFERROR(_xlfn.XLOOKUP(A642:A4683,castles_state!K:K,castles_state!D:D)&amp;"主",IFERROR(_xlfn.XLOOKUP(A642:A4683,kunishuClan!D:D,kunishuClan!B:B)&amp;"当主","")))</f>
      </c>
    </row>
    <row r="643" ht="15.75" customHeight="1">
      <c r="A643" s="4">
        <v>1009010</v>
      </c>
      <c r="B643" s="12" t="str">
        <f t="array" ref="B643">IF(A643:A4684="","",_xlfn.XLOOKUP(A643:A4684,'参照_武将'!A:A,'参照_武将'!B:B,"見つかりません"))</f>
      </c>
      <c r="C643" s="4" t="s">
        <v>132</v>
      </c>
      <c r="D643" s="4">
        <v>0</v>
      </c>
      <c r="E643" s="12" t="str">
        <f t="array" ref="E643">IF(D643:D4684="","",IFERROR(_xlfn.XLOOKUP(D643:D4684,'参照_勢力'!A:A,'参照_勢力'!B:B),IFERROR(_xlfn.XLOOKUP(F643:F4684,kunishuClan!A:A,kunishuClan!B:B),"浪人")))</f>
      </c>
      <c r="F643" s="4">
        <v>71</v>
      </c>
      <c r="G643" s="4">
        <v>53</v>
      </c>
      <c r="H643" s="12" t="str">
        <f t="array" ref="H643">IF(G643:G4684="","",_xlfn.XLOOKUP(G643:G4684,castles_state!A:A,castles_state!D:D,"見つかりません"))</f>
      </c>
      <c r="I643" s="4"/>
      <c r="J643" s="12" t="str">
        <f t="array" ref="J643">IF(I643:I4684="","",_xlfn.XLOOKUP(I643:I4684,'参照_姫'!A:A,'参照_姫'!B:B,"見つかりません"))</f>
      </c>
      <c r="K643" s="4">
        <v>50</v>
      </c>
      <c r="L643" s="4">
        <v>0</v>
      </c>
      <c r="M643" s="4"/>
      <c r="N643" s="4"/>
      <c r="O643" s="4"/>
      <c r="P643" s="12" t="str">
        <f t="array" ref="P643">IF(O643:O4684="","",_xlfn.XLOOKUP(O643:O4684,'参照_官位'!A:A,'参照_官位'!B:B,""))</f>
      </c>
      <c r="Q643" s="12" t="str">
        <f t="array" ref="Q643">IF(A643:A4684="","",IFERROR(_xlfn.XLOOKUP(A643:A4684,castles_state!K:K,castles_state!D:D)&amp;"主",IFERROR(_xlfn.XLOOKUP(A643:A4684,kunishuClan!D:D,kunishuClan!B:B)&amp;"当主","")))</f>
      </c>
    </row>
    <row r="644" ht="15.75" customHeight="1">
      <c r="A644" s="4">
        <v>1009011</v>
      </c>
      <c r="B644" s="12" t="str">
        <f t="array" ref="B644">IF(A644:A4685="","",_xlfn.XLOOKUP(A644:A4685,'参照_武将'!A:A,'参照_武将'!B:B,"見つかりません"))</f>
      </c>
      <c r="C644" s="4" t="s">
        <v>132</v>
      </c>
      <c r="D644" s="4">
        <v>0</v>
      </c>
      <c r="E644" s="12" t="str">
        <f t="array" ref="E644">IF(D644:D4685="","",IFERROR(_xlfn.XLOOKUP(D644:D4685,'参照_勢力'!A:A,'参照_勢力'!B:B),IFERROR(_xlfn.XLOOKUP(F644:F4685,kunishuClan!A:A,kunishuClan!B:B),"浪人")))</f>
      </c>
      <c r="F644" s="4">
        <v>71</v>
      </c>
      <c r="G644" s="4">
        <v>53</v>
      </c>
      <c r="H644" s="12" t="str">
        <f t="array" ref="H644">IF(G644:G4685="","",_xlfn.XLOOKUP(G644:G4685,castles_state!A:A,castles_state!D:D,"見つかりません"))</f>
      </c>
      <c r="I644" s="4"/>
      <c r="J644" s="12" t="str">
        <f t="array" ref="J644">IF(I644:I4685="","",_xlfn.XLOOKUP(I644:I4685,'参照_姫'!A:A,'参照_姫'!B:B,"見つかりません"))</f>
      </c>
      <c r="K644" s="4">
        <v>50</v>
      </c>
      <c r="L644" s="4">
        <v>0</v>
      </c>
      <c r="M644" s="4"/>
      <c r="N644" s="4"/>
      <c r="O644" s="4"/>
      <c r="P644" s="12" t="str">
        <f t="array" ref="P644">IF(O644:O4685="","",_xlfn.XLOOKUP(O644:O4685,'参照_官位'!A:A,'参照_官位'!B:B,""))</f>
      </c>
      <c r="Q644" s="12" t="str">
        <f t="array" ref="Q644">IF(A644:A4685="","",IFERROR(_xlfn.XLOOKUP(A644:A4685,castles_state!K:K,castles_state!D:D)&amp;"主",IFERROR(_xlfn.XLOOKUP(A644:A4685,kunishuClan!D:D,kunishuClan!B:B)&amp;"当主","")))</f>
      </c>
    </row>
    <row r="645" ht="15.75" customHeight="1">
      <c r="A645" s="4">
        <v>1009012</v>
      </c>
      <c r="B645" s="12" t="str">
        <f t="array" ref="B645">IF(A645:A4686="","",_xlfn.XLOOKUP(A645:A4686,'参照_武将'!A:A,'参照_武将'!B:B,"見つかりません"))</f>
      </c>
      <c r="C645" s="4" t="s">
        <v>132</v>
      </c>
      <c r="D645" s="4">
        <v>0</v>
      </c>
      <c r="E645" s="12" t="str">
        <f t="array" ref="E645">IF(D645:D4686="","",IFERROR(_xlfn.XLOOKUP(D645:D4686,'参照_勢力'!A:A,'参照_勢力'!B:B),IFERROR(_xlfn.XLOOKUP(F645:F4686,kunishuClan!A:A,kunishuClan!B:B),"浪人")))</f>
      </c>
      <c r="F645" s="4">
        <v>71</v>
      </c>
      <c r="G645" s="4">
        <v>53</v>
      </c>
      <c r="H645" s="12" t="str">
        <f t="array" ref="H645">IF(G645:G4686="","",_xlfn.XLOOKUP(G645:G4686,castles_state!A:A,castles_state!D:D,"見つかりません"))</f>
      </c>
      <c r="I645" s="4"/>
      <c r="J645" s="12" t="str">
        <f t="array" ref="J645">IF(I645:I4686="","",_xlfn.XLOOKUP(I645:I4686,'参照_姫'!A:A,'参照_姫'!B:B,"見つかりません"))</f>
      </c>
      <c r="K645" s="4">
        <v>50</v>
      </c>
      <c r="L645" s="4">
        <v>0</v>
      </c>
      <c r="M645" s="4"/>
      <c r="N645" s="4"/>
      <c r="O645" s="4"/>
      <c r="P645" s="12" t="str">
        <f t="array" ref="P645">IF(O645:O4686="","",_xlfn.XLOOKUP(O645:O4686,'参照_官位'!A:A,'参照_官位'!B:B,""))</f>
      </c>
      <c r="Q645" s="12" t="str">
        <f t="array" ref="Q645">IF(A645:A4686="","",IFERROR(_xlfn.XLOOKUP(A645:A4686,castles_state!K:K,castles_state!D:D)&amp;"主",IFERROR(_xlfn.XLOOKUP(A645:A4686,kunishuClan!D:D,kunishuClan!B:B)&amp;"当主","")))</f>
      </c>
    </row>
    <row r="646" ht="15.75" customHeight="1">
      <c r="A646" s="4">
        <v>1009013</v>
      </c>
      <c r="B646" s="12" t="str">
        <f t="array" ref="B646">IF(A646:A4687="","",_xlfn.XLOOKUP(A646:A4687,'参照_武将'!A:A,'参照_武将'!B:B,"見つかりません"))</f>
      </c>
      <c r="C646" s="4" t="s">
        <v>132</v>
      </c>
      <c r="D646" s="4">
        <v>0</v>
      </c>
      <c r="E646" s="12" t="str">
        <f t="array" ref="E646">IF(D646:D4687="","",IFERROR(_xlfn.XLOOKUP(D646:D4687,'参照_勢力'!A:A,'参照_勢力'!B:B),IFERROR(_xlfn.XLOOKUP(F646:F4687,kunishuClan!A:A,kunishuClan!B:B),"浪人")))</f>
      </c>
      <c r="F646" s="4">
        <v>71</v>
      </c>
      <c r="G646" s="4">
        <v>53</v>
      </c>
      <c r="H646" s="12" t="str">
        <f t="array" ref="H646">IF(G646:G4687="","",_xlfn.XLOOKUP(G646:G4687,castles_state!A:A,castles_state!D:D,"見つかりません"))</f>
      </c>
      <c r="I646" s="4"/>
      <c r="J646" s="12" t="str">
        <f t="array" ref="J646">IF(I646:I4687="","",_xlfn.XLOOKUP(I646:I4687,'参照_姫'!A:A,'参照_姫'!B:B,"見つかりません"))</f>
      </c>
      <c r="K646" s="4">
        <v>50</v>
      </c>
      <c r="L646" s="4">
        <v>0</v>
      </c>
      <c r="M646" s="4"/>
      <c r="N646" s="4"/>
      <c r="O646" s="4"/>
      <c r="P646" s="12" t="str">
        <f t="array" ref="P646">IF(O646:O4687="","",_xlfn.XLOOKUP(O646:O4687,'参照_官位'!A:A,'参照_官位'!B:B,""))</f>
      </c>
      <c r="Q646" s="12" t="str">
        <f t="array" ref="Q646">IF(A646:A4687="","",IFERROR(_xlfn.XLOOKUP(A646:A4687,castles_state!K:K,castles_state!D:D)&amp;"主",IFERROR(_xlfn.XLOOKUP(A646:A4687,kunishuClan!D:D,kunishuClan!B:B)&amp;"当主","")))</f>
      </c>
    </row>
    <row r="647" ht="15.75" customHeight="1">
      <c r="A647" s="4">
        <v>1009014</v>
      </c>
      <c r="B647" s="12" t="str">
        <f t="array" ref="B647">IF(A647:A4688="","",_xlfn.XLOOKUP(A647:A4688,'参照_武将'!A:A,'参照_武将'!B:B,"見つかりません"))</f>
      </c>
      <c r="C647" s="4" t="s">
        <v>132</v>
      </c>
      <c r="D647" s="4">
        <v>0</v>
      </c>
      <c r="E647" s="12" t="str">
        <f t="array" ref="E647">IF(D647:D4688="","",IFERROR(_xlfn.XLOOKUP(D647:D4688,'参照_勢力'!A:A,'参照_勢力'!B:B),IFERROR(_xlfn.XLOOKUP(F647:F4688,kunishuClan!A:A,kunishuClan!B:B),"浪人")))</f>
      </c>
      <c r="F647" s="4">
        <v>71</v>
      </c>
      <c r="G647" s="4">
        <v>53</v>
      </c>
      <c r="H647" s="12" t="str">
        <f t="array" ref="H647">IF(G647:G4688="","",_xlfn.XLOOKUP(G647:G4688,castles_state!A:A,castles_state!D:D,"見つかりません"))</f>
      </c>
      <c r="I647" s="4"/>
      <c r="J647" s="12" t="str">
        <f t="array" ref="J647">IF(I647:I4688="","",_xlfn.XLOOKUP(I647:I4688,'参照_姫'!A:A,'参照_姫'!B:B,"見つかりません"))</f>
      </c>
      <c r="K647" s="4">
        <v>50</v>
      </c>
      <c r="L647" s="4">
        <v>0</v>
      </c>
      <c r="M647" s="4"/>
      <c r="N647" s="4"/>
      <c r="O647" s="4"/>
      <c r="P647" s="12" t="str">
        <f t="array" ref="P647">IF(O647:O4688="","",_xlfn.XLOOKUP(O647:O4688,'参照_官位'!A:A,'参照_官位'!B:B,""))</f>
      </c>
      <c r="Q647" s="12" t="str">
        <f t="array" ref="Q647">IF(A647:A4688="","",IFERROR(_xlfn.XLOOKUP(A647:A4688,castles_state!K:K,castles_state!D:D)&amp;"主",IFERROR(_xlfn.XLOOKUP(A647:A4688,kunishuClan!D:D,kunishuClan!B:B)&amp;"当主","")))</f>
      </c>
    </row>
    <row r="648" ht="15.75" customHeight="1">
      <c r="A648" s="4">
        <v>1009015</v>
      </c>
      <c r="B648" s="12" t="str">
        <f t="array" ref="B648">IF(A648:A4689="","",_xlfn.XLOOKUP(A648:A4689,'参照_武将'!A:A,'参照_武将'!B:B,"見つかりません"))</f>
      </c>
      <c r="C648" s="4" t="s">
        <v>132</v>
      </c>
      <c r="D648" s="4">
        <v>0</v>
      </c>
      <c r="E648" s="12" t="str">
        <f t="array" ref="E648">IF(D648:D4689="","",IFERROR(_xlfn.XLOOKUP(D648:D4689,'参照_勢力'!A:A,'参照_勢力'!B:B),IFERROR(_xlfn.XLOOKUP(F648:F4689,kunishuClan!A:A,kunishuClan!B:B),"浪人")))</f>
      </c>
      <c r="F648" s="4">
        <v>71</v>
      </c>
      <c r="G648" s="4">
        <v>53</v>
      </c>
      <c r="H648" s="12" t="str">
        <f t="array" ref="H648">IF(G648:G4689="","",_xlfn.XLOOKUP(G648:G4689,castles_state!A:A,castles_state!D:D,"見つかりません"))</f>
      </c>
      <c r="I648" s="4"/>
      <c r="J648" s="12" t="str">
        <f t="array" ref="J648">IF(I648:I4689="","",_xlfn.XLOOKUP(I648:I4689,'参照_姫'!A:A,'参照_姫'!B:B,"見つかりません"))</f>
      </c>
      <c r="K648" s="4">
        <v>50</v>
      </c>
      <c r="L648" s="4">
        <v>0</v>
      </c>
      <c r="M648" s="4"/>
      <c r="N648" s="4"/>
      <c r="O648" s="4"/>
      <c r="P648" s="12" t="str">
        <f t="array" ref="P648">IF(O648:O4689="","",_xlfn.XLOOKUP(O648:O4689,'参照_官位'!A:A,'参照_官位'!B:B,""))</f>
      </c>
      <c r="Q648" s="12" t="str">
        <f t="array" ref="Q648">IF(A648:A4689="","",IFERROR(_xlfn.XLOOKUP(A648:A4689,castles_state!K:K,castles_state!D:D)&amp;"主",IFERROR(_xlfn.XLOOKUP(A648:A4689,kunishuClan!D:D,kunishuClan!B:B)&amp;"当主","")))</f>
      </c>
    </row>
    <row r="649" ht="15.75" customHeight="1">
      <c r="A649" s="4">
        <v>1009016</v>
      </c>
      <c r="B649" s="12" t="str">
        <f t="array" ref="B649">IF(A649:A4690="","",_xlfn.XLOOKUP(A649:A4690,'参照_武将'!A:A,'参照_武将'!B:B,"見つかりません"))</f>
      </c>
      <c r="C649" s="4" t="s">
        <v>132</v>
      </c>
      <c r="D649" s="4">
        <v>0</v>
      </c>
      <c r="E649" s="12" t="str">
        <f t="array" ref="E649">IF(D649:D4690="","",IFERROR(_xlfn.XLOOKUP(D649:D4690,'参照_勢力'!A:A,'参照_勢力'!B:B),IFERROR(_xlfn.XLOOKUP(F649:F4690,kunishuClan!A:A,kunishuClan!B:B),"浪人")))</f>
      </c>
      <c r="F649" s="4">
        <v>71</v>
      </c>
      <c r="G649" s="4">
        <v>53</v>
      </c>
      <c r="H649" s="12" t="str">
        <f t="array" ref="H649">IF(G649:G4690="","",_xlfn.XLOOKUP(G649:G4690,castles_state!A:A,castles_state!D:D,"見つかりません"))</f>
      </c>
      <c r="I649" s="4"/>
      <c r="J649" s="12" t="str">
        <f t="array" ref="J649">IF(I649:I4690="","",_xlfn.XLOOKUP(I649:I4690,'参照_姫'!A:A,'参照_姫'!B:B,"見つかりません"))</f>
      </c>
      <c r="K649" s="4">
        <v>50</v>
      </c>
      <c r="L649" s="4">
        <v>0</v>
      </c>
      <c r="M649" s="4"/>
      <c r="N649" s="4"/>
      <c r="O649" s="4"/>
      <c r="P649" s="12" t="str">
        <f t="array" ref="P649">IF(O649:O4690="","",_xlfn.XLOOKUP(O649:O4690,'参照_官位'!A:A,'参照_官位'!B:B,""))</f>
      </c>
      <c r="Q649" s="12" t="str">
        <f t="array" ref="Q649">IF(A649:A4690="","",IFERROR(_xlfn.XLOOKUP(A649:A4690,castles_state!K:K,castles_state!D:D)&amp;"主",IFERROR(_xlfn.XLOOKUP(A649:A4690,kunishuClan!D:D,kunishuClan!B:B)&amp;"当主","")))</f>
      </c>
    </row>
    <row r="650" ht="15.75" customHeight="1">
      <c r="A650" s="4">
        <v>1009017</v>
      </c>
      <c r="B650" s="12" t="str">
        <f t="array" ref="B650">IF(A650:A4691="","",_xlfn.XLOOKUP(A650:A4691,'参照_武将'!A:A,'参照_武将'!B:B,"見つかりません"))</f>
      </c>
      <c r="C650" s="4" t="s">
        <v>132</v>
      </c>
      <c r="D650" s="4">
        <v>0</v>
      </c>
      <c r="E650" s="12" t="str">
        <f t="array" ref="E650">IF(D650:D4691="","",IFERROR(_xlfn.XLOOKUP(D650:D4691,'参照_勢力'!A:A,'参照_勢力'!B:B),IFERROR(_xlfn.XLOOKUP(F650:F4691,kunishuClan!A:A,kunishuClan!B:B),"浪人")))</f>
      </c>
      <c r="F650" s="4">
        <v>71</v>
      </c>
      <c r="G650" s="4">
        <v>53</v>
      </c>
      <c r="H650" s="12" t="str">
        <f t="array" ref="H650">IF(G650:G4691="","",_xlfn.XLOOKUP(G650:G4691,castles_state!A:A,castles_state!D:D,"見つかりません"))</f>
      </c>
      <c r="I650" s="4"/>
      <c r="J650" s="12" t="str">
        <f t="array" ref="J650">IF(I650:I4691="","",_xlfn.XLOOKUP(I650:I4691,'参照_姫'!A:A,'参照_姫'!B:B,"見つかりません"))</f>
      </c>
      <c r="K650" s="4">
        <v>50</v>
      </c>
      <c r="L650" s="4">
        <v>0</v>
      </c>
      <c r="M650" s="4"/>
      <c r="N650" s="4"/>
      <c r="O650" s="4"/>
      <c r="P650" s="12" t="str">
        <f t="array" ref="P650">IF(O650:O4691="","",_xlfn.XLOOKUP(O650:O4691,'参照_官位'!A:A,'参照_官位'!B:B,""))</f>
      </c>
      <c r="Q650" s="12" t="str">
        <f t="array" ref="Q650">IF(A650:A4691="","",IFERROR(_xlfn.XLOOKUP(A650:A4691,castles_state!K:K,castles_state!D:D)&amp;"主",IFERROR(_xlfn.XLOOKUP(A650:A4691,kunishuClan!D:D,kunishuClan!B:B)&amp;"当主","")))</f>
      </c>
    </row>
    <row r="651" ht="15.75" customHeight="1">
      <c r="A651" s="4">
        <v>1009018</v>
      </c>
      <c r="B651" s="12" t="str">
        <f t="array" ref="B651">IF(A651:A4692="","",_xlfn.XLOOKUP(A651:A4692,'参照_武将'!A:A,'参照_武将'!B:B,"見つかりません"))</f>
      </c>
      <c r="C651" s="4" t="s">
        <v>132</v>
      </c>
      <c r="D651" s="4">
        <v>0</v>
      </c>
      <c r="E651" s="12" t="str">
        <f t="array" ref="E651">IF(D651:D4692="","",IFERROR(_xlfn.XLOOKUP(D651:D4692,'参照_勢力'!A:A,'参照_勢力'!B:B),IFERROR(_xlfn.XLOOKUP(F651:F4692,kunishuClan!A:A,kunishuClan!B:B),"浪人")))</f>
      </c>
      <c r="F651" s="4">
        <v>71</v>
      </c>
      <c r="G651" s="4">
        <v>53</v>
      </c>
      <c r="H651" s="12" t="str">
        <f t="array" ref="H651">IF(G651:G4692="","",_xlfn.XLOOKUP(G651:G4692,castles_state!A:A,castles_state!D:D,"見つかりません"))</f>
      </c>
      <c r="I651" s="4"/>
      <c r="J651" s="12" t="str">
        <f t="array" ref="J651">IF(I651:I4692="","",_xlfn.XLOOKUP(I651:I4692,'参照_姫'!A:A,'参照_姫'!B:B,"見つかりません"))</f>
      </c>
      <c r="K651" s="4">
        <v>50</v>
      </c>
      <c r="L651" s="4">
        <v>0</v>
      </c>
      <c r="M651" s="4"/>
      <c r="N651" s="4"/>
      <c r="O651" s="4"/>
      <c r="P651" s="12" t="str">
        <f t="array" ref="P651">IF(O651:O4692="","",_xlfn.XLOOKUP(O651:O4692,'参照_官位'!A:A,'参照_官位'!B:B,""))</f>
      </c>
      <c r="Q651" s="12" t="str">
        <f t="array" ref="Q651">IF(A651:A4692="","",IFERROR(_xlfn.XLOOKUP(A651:A4692,castles_state!K:K,castles_state!D:D)&amp;"主",IFERROR(_xlfn.XLOOKUP(A651:A4692,kunishuClan!D:D,kunishuClan!B:B)&amp;"当主","")))</f>
      </c>
    </row>
    <row r="652" ht="15.75" customHeight="1">
      <c r="A652" s="4">
        <v>1009019</v>
      </c>
      <c r="B652" s="12" t="str">
        <f t="array" ref="B652">IF(A652:A4693="","",_xlfn.XLOOKUP(A652:A4693,'参照_武将'!A:A,'参照_武将'!B:B,"見つかりません"))</f>
      </c>
      <c r="C652" s="4" t="s">
        <v>132</v>
      </c>
      <c r="D652" s="4">
        <v>0</v>
      </c>
      <c r="E652" s="12" t="str">
        <f t="array" ref="E652">IF(D652:D4693="","",IFERROR(_xlfn.XLOOKUP(D652:D4693,'参照_勢力'!A:A,'参照_勢力'!B:B),IFERROR(_xlfn.XLOOKUP(F652:F4693,kunishuClan!A:A,kunishuClan!B:B),"浪人")))</f>
      </c>
      <c r="F652" s="4">
        <v>71</v>
      </c>
      <c r="G652" s="4">
        <v>53</v>
      </c>
      <c r="H652" s="12" t="str">
        <f t="array" ref="H652">IF(G652:G4693="","",_xlfn.XLOOKUP(G652:G4693,castles_state!A:A,castles_state!D:D,"見つかりません"))</f>
      </c>
      <c r="I652" s="4"/>
      <c r="J652" s="12" t="str">
        <f t="array" ref="J652">IF(I652:I4693="","",_xlfn.XLOOKUP(I652:I4693,'参照_姫'!A:A,'参照_姫'!B:B,"見つかりません"))</f>
      </c>
      <c r="K652" s="4">
        <v>50</v>
      </c>
      <c r="L652" s="4">
        <v>0</v>
      </c>
      <c r="M652" s="4"/>
      <c r="N652" s="4"/>
      <c r="O652" s="4"/>
      <c r="P652" s="12" t="str">
        <f t="array" ref="P652">IF(O652:O4693="","",_xlfn.XLOOKUP(O652:O4693,'参照_官位'!A:A,'参照_官位'!B:B,""))</f>
      </c>
      <c r="Q652" s="12" t="str">
        <f t="array" ref="Q652">IF(A652:A4693="","",IFERROR(_xlfn.XLOOKUP(A652:A4693,castles_state!K:K,castles_state!D:D)&amp;"主",IFERROR(_xlfn.XLOOKUP(A652:A4693,kunishuClan!D:D,kunishuClan!B:B)&amp;"当主","")))</f>
      </c>
    </row>
    <row r="653" ht="15.75" customHeight="1">
      <c r="A653" s="4">
        <v>1009020</v>
      </c>
      <c r="B653" s="12" t="str">
        <f t="array" ref="B653">IF(A653:A4694="","",_xlfn.XLOOKUP(A653:A4694,'参照_武将'!A:A,'参照_武将'!B:B,"見つかりません"))</f>
      </c>
      <c r="C653" s="4" t="s">
        <v>132</v>
      </c>
      <c r="D653" s="4">
        <v>0</v>
      </c>
      <c r="E653" s="12" t="str">
        <f t="array" ref="E653">IF(D653:D4694="","",IFERROR(_xlfn.XLOOKUP(D653:D4694,'参照_勢力'!A:A,'参照_勢力'!B:B),IFERROR(_xlfn.XLOOKUP(F653:F4694,kunishuClan!A:A,kunishuClan!B:B),"浪人")))</f>
      </c>
      <c r="F653" s="4">
        <v>71</v>
      </c>
      <c r="G653" s="4">
        <v>53</v>
      </c>
      <c r="H653" s="12" t="str">
        <f t="array" ref="H653">IF(G653:G4694="","",_xlfn.XLOOKUP(G653:G4694,castles_state!A:A,castles_state!D:D,"見つかりません"))</f>
      </c>
      <c r="I653" s="4"/>
      <c r="J653" s="12" t="str">
        <f t="array" ref="J653">IF(I653:I4694="","",_xlfn.XLOOKUP(I653:I4694,'参照_姫'!A:A,'参照_姫'!B:B,"見つかりません"))</f>
      </c>
      <c r="K653" s="4">
        <v>50</v>
      </c>
      <c r="L653" s="4">
        <v>0</v>
      </c>
      <c r="M653" s="4"/>
      <c r="N653" s="4"/>
      <c r="O653" s="4"/>
      <c r="P653" s="12" t="str">
        <f t="array" ref="P653">IF(O653:O4694="","",_xlfn.XLOOKUP(O653:O4694,'参照_官位'!A:A,'参照_官位'!B:B,""))</f>
      </c>
      <c r="Q653" s="12" t="str">
        <f t="array" ref="Q653">IF(A653:A4694="","",IFERROR(_xlfn.XLOOKUP(A653:A4694,castles_state!K:K,castles_state!D:D)&amp;"主",IFERROR(_xlfn.XLOOKUP(A653:A4694,kunishuClan!D:D,kunishuClan!B:B)&amp;"当主","")))</f>
      </c>
    </row>
    <row r="654" ht="15.75" customHeight="1">
      <c r="A654" s="4">
        <v>1009021</v>
      </c>
      <c r="B654" s="12" t="str">
        <f t="array" ref="B654">IF(A654:A4695="","",_xlfn.XLOOKUP(A654:A4695,'参照_武将'!A:A,'参照_武将'!B:B,"見つかりません"))</f>
      </c>
      <c r="C654" s="4" t="s">
        <v>132</v>
      </c>
      <c r="D654" s="4">
        <v>0</v>
      </c>
      <c r="E654" s="12" t="str">
        <f t="array" ref="E654">IF(D654:D4695="","",IFERROR(_xlfn.XLOOKUP(D654:D4695,'参照_勢力'!A:A,'参照_勢力'!B:B),IFERROR(_xlfn.XLOOKUP(F654:F4695,kunishuClan!A:A,kunishuClan!B:B),"浪人")))</f>
      </c>
      <c r="F654" s="4">
        <v>71</v>
      </c>
      <c r="G654" s="4">
        <v>53</v>
      </c>
      <c r="H654" s="12" t="str">
        <f t="array" ref="H654">IF(G654:G4695="","",_xlfn.XLOOKUP(G654:G4695,castles_state!A:A,castles_state!D:D,"見つかりません"))</f>
      </c>
      <c r="I654" s="4"/>
      <c r="J654" s="12" t="str">
        <f t="array" ref="J654">IF(I654:I4695="","",_xlfn.XLOOKUP(I654:I4695,'参照_姫'!A:A,'参照_姫'!B:B,"見つかりません"))</f>
      </c>
      <c r="K654" s="4">
        <v>50</v>
      </c>
      <c r="L654" s="4">
        <v>0</v>
      </c>
      <c r="M654" s="4"/>
      <c r="N654" s="4"/>
      <c r="O654" s="4"/>
      <c r="P654" s="12" t="str">
        <f t="array" ref="P654">IF(O654:O4695="","",_xlfn.XLOOKUP(O654:O4695,'参照_官位'!A:A,'参照_官位'!B:B,""))</f>
      </c>
      <c r="Q654" s="12" t="str">
        <f t="array" ref="Q654">IF(A654:A4695="","",IFERROR(_xlfn.XLOOKUP(A654:A4695,castles_state!K:K,castles_state!D:D)&amp;"主",IFERROR(_xlfn.XLOOKUP(A654:A4695,kunishuClan!D:D,kunishuClan!B:B)&amp;"当主","")))</f>
      </c>
    </row>
    <row r="655" ht="15.75" customHeight="1">
      <c r="A655" s="4">
        <v>1009022</v>
      </c>
      <c r="B655" s="12" t="str">
        <f t="array" ref="B655">IF(A655:A4696="","",_xlfn.XLOOKUP(A655:A4696,'参照_武将'!A:A,'参照_武将'!B:B,"見つかりません"))</f>
      </c>
      <c r="C655" s="4" t="s">
        <v>132</v>
      </c>
      <c r="D655" s="4">
        <v>0</v>
      </c>
      <c r="E655" s="12" t="str">
        <f t="array" ref="E655">IF(D655:D4696="","",IFERROR(_xlfn.XLOOKUP(D655:D4696,'参照_勢力'!A:A,'参照_勢力'!B:B),IFERROR(_xlfn.XLOOKUP(F655:F4696,kunishuClan!A:A,kunishuClan!B:B),"浪人")))</f>
      </c>
      <c r="F655" s="4">
        <v>71</v>
      </c>
      <c r="G655" s="4">
        <v>53</v>
      </c>
      <c r="H655" s="12" t="str">
        <f t="array" ref="H655">IF(G655:G4696="","",_xlfn.XLOOKUP(G655:G4696,castles_state!A:A,castles_state!D:D,"見つかりません"))</f>
      </c>
      <c r="I655" s="4"/>
      <c r="J655" s="12" t="str">
        <f t="array" ref="J655">IF(I655:I4696="","",_xlfn.XLOOKUP(I655:I4696,'参照_姫'!A:A,'参照_姫'!B:B,"見つかりません"))</f>
      </c>
      <c r="K655" s="4">
        <v>50</v>
      </c>
      <c r="L655" s="4">
        <v>0</v>
      </c>
      <c r="M655" s="4"/>
      <c r="N655" s="4"/>
      <c r="O655" s="4"/>
      <c r="P655" s="12" t="str">
        <f t="array" ref="P655">IF(O655:O4696="","",_xlfn.XLOOKUP(O655:O4696,'参照_官位'!A:A,'参照_官位'!B:B,""))</f>
      </c>
      <c r="Q655" s="12" t="str">
        <f t="array" ref="Q655">IF(A655:A4696="","",IFERROR(_xlfn.XLOOKUP(A655:A4696,castles_state!K:K,castles_state!D:D)&amp;"主",IFERROR(_xlfn.XLOOKUP(A655:A4696,kunishuClan!D:D,kunishuClan!B:B)&amp;"当主","")))</f>
      </c>
    </row>
    <row r="656" ht="15.75" customHeight="1">
      <c r="A656" s="4">
        <v>1009023</v>
      </c>
      <c r="B656" s="12" t="str">
        <f t="array" ref="B656">IF(A656:A4697="","",_xlfn.XLOOKUP(A656:A4697,'参照_武将'!A:A,'参照_武将'!B:B,"見つかりません"))</f>
      </c>
      <c r="C656" s="4" t="s">
        <v>132</v>
      </c>
      <c r="D656" s="4">
        <v>0</v>
      </c>
      <c r="E656" s="12" t="str">
        <f t="array" ref="E656">IF(D656:D4697="","",IFERROR(_xlfn.XLOOKUP(D656:D4697,'参照_勢力'!A:A,'参照_勢力'!B:B),IFERROR(_xlfn.XLOOKUP(F656:F4697,kunishuClan!A:A,kunishuClan!B:B),"浪人")))</f>
      </c>
      <c r="F656" s="4">
        <v>71</v>
      </c>
      <c r="G656" s="4">
        <v>53</v>
      </c>
      <c r="H656" s="12" t="str">
        <f t="array" ref="H656">IF(G656:G4697="","",_xlfn.XLOOKUP(G656:G4697,castles_state!A:A,castles_state!D:D,"見つかりません"))</f>
      </c>
      <c r="I656" s="4"/>
      <c r="J656" s="12" t="str">
        <f t="array" ref="J656">IF(I656:I4697="","",_xlfn.XLOOKUP(I656:I4697,'参照_姫'!A:A,'参照_姫'!B:B,"見つかりません"))</f>
      </c>
      <c r="K656" s="4">
        <v>50</v>
      </c>
      <c r="L656" s="4">
        <v>0</v>
      </c>
      <c r="M656" s="4"/>
      <c r="N656" s="4"/>
      <c r="O656" s="4"/>
      <c r="P656" s="12" t="str">
        <f t="array" ref="P656">IF(O656:O4697="","",_xlfn.XLOOKUP(O656:O4697,'参照_官位'!A:A,'参照_官位'!B:B,""))</f>
      </c>
      <c r="Q656" s="12" t="str">
        <f t="array" ref="Q656">IF(A656:A4697="","",IFERROR(_xlfn.XLOOKUP(A656:A4697,castles_state!K:K,castles_state!D:D)&amp;"主",IFERROR(_xlfn.XLOOKUP(A656:A4697,kunishuClan!D:D,kunishuClan!B:B)&amp;"当主","")))</f>
      </c>
    </row>
    <row r="657" ht="15.75" customHeight="1">
      <c r="A657" s="4">
        <v>1009024</v>
      </c>
      <c r="B657" s="12" t="str">
        <f t="array" ref="B657">IF(A657:A4698="","",_xlfn.XLOOKUP(A657:A4698,'参照_武将'!A:A,'参照_武将'!B:B,"見つかりません"))</f>
      </c>
      <c r="C657" s="4" t="s">
        <v>132</v>
      </c>
      <c r="D657" s="4">
        <v>0</v>
      </c>
      <c r="E657" s="12" t="str">
        <f t="array" ref="E657">IF(D657:D4698="","",IFERROR(_xlfn.XLOOKUP(D657:D4698,'参照_勢力'!A:A,'参照_勢力'!B:B),IFERROR(_xlfn.XLOOKUP(F657:F4698,kunishuClan!A:A,kunishuClan!B:B),"浪人")))</f>
      </c>
      <c r="F657" s="4">
        <v>71</v>
      </c>
      <c r="G657" s="4">
        <v>53</v>
      </c>
      <c r="H657" s="12" t="str">
        <f t="array" ref="H657">IF(G657:G4698="","",_xlfn.XLOOKUP(G657:G4698,castles_state!A:A,castles_state!D:D,"見つかりません"))</f>
      </c>
      <c r="I657" s="4"/>
      <c r="J657" s="12" t="str">
        <f t="array" ref="J657">IF(I657:I4698="","",_xlfn.XLOOKUP(I657:I4698,'参照_姫'!A:A,'参照_姫'!B:B,"見つかりません"))</f>
      </c>
      <c r="K657" s="4">
        <v>50</v>
      </c>
      <c r="L657" s="4">
        <v>500</v>
      </c>
      <c r="M657" s="4"/>
      <c r="N657" s="4"/>
      <c r="O657" s="4"/>
      <c r="P657" s="12" t="str">
        <f t="array" ref="P657">IF(O657:O4698="","",_xlfn.XLOOKUP(O657:O4698,'参照_官位'!A:A,'参照_官位'!B:B,""))</f>
      </c>
      <c r="Q657" s="12" t="str">
        <f t="array" ref="Q657">IF(A657:A4698="","",IFERROR(_xlfn.XLOOKUP(A657:A4698,castles_state!K:K,castles_state!D:D)&amp;"主",IFERROR(_xlfn.XLOOKUP(A657:A4698,kunishuClan!D:D,kunishuClan!B:B)&amp;"当主","")))</f>
      </c>
    </row>
    <row r="658" ht="15.75" customHeight="1">
      <c r="A658" s="4">
        <v>1009025</v>
      </c>
      <c r="B658" s="12" t="str">
        <f t="array" ref="B658">IF(A658:A4699="","",_xlfn.XLOOKUP(A658:A4699,'参照_武将'!A:A,'参照_武将'!B:B,"見つかりません"))</f>
      </c>
      <c r="C658" s="4" t="s">
        <v>132</v>
      </c>
      <c r="D658" s="4">
        <v>0</v>
      </c>
      <c r="E658" s="12" t="str">
        <f t="array" ref="E658">IF(D658:D4699="","",IFERROR(_xlfn.XLOOKUP(D658:D4699,'参照_勢力'!A:A,'参照_勢力'!B:B),IFERROR(_xlfn.XLOOKUP(F658:F4699,kunishuClan!A:A,kunishuClan!B:B),"浪人")))</f>
      </c>
      <c r="F658" s="4">
        <v>71</v>
      </c>
      <c r="G658" s="4">
        <v>53</v>
      </c>
      <c r="H658" s="12" t="str">
        <f t="array" ref="H658">IF(G658:G4699="","",_xlfn.XLOOKUP(G658:G4699,castles_state!A:A,castles_state!D:D,"見つかりません"))</f>
      </c>
      <c r="I658" s="4"/>
      <c r="J658" s="12" t="str">
        <f t="array" ref="J658">IF(I658:I4699="","",_xlfn.XLOOKUP(I658:I4699,'参照_姫'!A:A,'参照_姫'!B:B,"見つかりません"))</f>
      </c>
      <c r="K658" s="4">
        <v>50</v>
      </c>
      <c r="L658" s="4">
        <v>0</v>
      </c>
      <c r="M658" s="4"/>
      <c r="N658" s="4"/>
      <c r="O658" s="4"/>
      <c r="P658" s="12" t="str">
        <f t="array" ref="P658">IF(O658:O4699="","",_xlfn.XLOOKUP(O658:O4699,'参照_官位'!A:A,'参照_官位'!B:B,""))</f>
      </c>
      <c r="Q658" s="12" t="str">
        <f t="array" ref="Q658">IF(A658:A4699="","",IFERROR(_xlfn.XLOOKUP(A658:A4699,castles_state!K:K,castles_state!D:D)&amp;"主",IFERROR(_xlfn.XLOOKUP(A658:A4699,kunishuClan!D:D,kunishuClan!B:B)&amp;"当主","")))</f>
      </c>
    </row>
    <row r="659" ht="15.75" customHeight="1">
      <c r="A659" s="4">
        <v>1009026</v>
      </c>
      <c r="B659" s="12" t="str">
        <f t="array" ref="B659">IF(A659:A4700="","",_xlfn.XLOOKUP(A659:A4700,'参照_武将'!A:A,'参照_武将'!B:B,"見つかりません"))</f>
      </c>
      <c r="C659" s="4" t="s">
        <v>132</v>
      </c>
      <c r="D659" s="4">
        <v>0</v>
      </c>
      <c r="E659" s="12" t="str">
        <f t="array" ref="E659">IF(D659:D4700="","",IFERROR(_xlfn.XLOOKUP(D659:D4700,'参照_勢力'!A:A,'参照_勢力'!B:B),IFERROR(_xlfn.XLOOKUP(F659:F4700,kunishuClan!A:A,kunishuClan!B:B),"浪人")))</f>
      </c>
      <c r="F659" s="4">
        <v>71</v>
      </c>
      <c r="G659" s="4">
        <v>53</v>
      </c>
      <c r="H659" s="12" t="str">
        <f t="array" ref="H659">IF(G659:G4700="","",_xlfn.XLOOKUP(G659:G4700,castles_state!A:A,castles_state!D:D,"見つかりません"))</f>
      </c>
      <c r="I659" s="4"/>
      <c r="J659" s="12" t="str">
        <f t="array" ref="J659">IF(I659:I4700="","",_xlfn.XLOOKUP(I659:I4700,'参照_姫'!A:A,'参照_姫'!B:B,"見つかりません"))</f>
      </c>
      <c r="K659" s="4">
        <v>50</v>
      </c>
      <c r="L659" s="4">
        <v>0</v>
      </c>
      <c r="M659" s="4"/>
      <c r="N659" s="4"/>
      <c r="O659" s="4"/>
      <c r="P659" s="12" t="str">
        <f t="array" ref="P659">IF(O659:O4700="","",_xlfn.XLOOKUP(O659:O4700,'参照_官位'!A:A,'参照_官位'!B:B,""))</f>
      </c>
      <c r="Q659" s="12" t="str">
        <f t="array" ref="Q659">IF(A659:A4700="","",IFERROR(_xlfn.XLOOKUP(A659:A4700,castles_state!K:K,castles_state!D:D)&amp;"主",IFERROR(_xlfn.XLOOKUP(A659:A4700,kunishuClan!D:D,kunishuClan!B:B)&amp;"当主","")))</f>
      </c>
    </row>
    <row r="660" ht="15.75" customHeight="1">
      <c r="A660" s="4">
        <v>1009027</v>
      </c>
      <c r="B660" s="12" t="str">
        <f t="array" ref="B660">IF(A660:A4701="","",_xlfn.XLOOKUP(A660:A4701,'参照_武将'!A:A,'参照_武将'!B:B,"見つかりません"))</f>
      </c>
      <c r="C660" s="4" t="s">
        <v>132</v>
      </c>
      <c r="D660" s="4">
        <v>0</v>
      </c>
      <c r="E660" s="12" t="str">
        <f t="array" ref="E660">IF(D660:D4701="","",IFERROR(_xlfn.XLOOKUP(D660:D4701,'参照_勢力'!A:A,'参照_勢力'!B:B),IFERROR(_xlfn.XLOOKUP(F660:F4701,kunishuClan!A:A,kunishuClan!B:B),"浪人")))</f>
      </c>
      <c r="F660" s="4">
        <v>71</v>
      </c>
      <c r="G660" s="4">
        <v>53</v>
      </c>
      <c r="H660" s="12" t="str">
        <f t="array" ref="H660">IF(G660:G4701="","",_xlfn.XLOOKUP(G660:G4701,castles_state!A:A,castles_state!D:D,"見つかりません"))</f>
      </c>
      <c r="I660" s="4"/>
      <c r="J660" s="12" t="str">
        <f t="array" ref="J660">IF(I660:I4701="","",_xlfn.XLOOKUP(I660:I4701,'参照_姫'!A:A,'参照_姫'!B:B,"見つかりません"))</f>
      </c>
      <c r="K660" s="4">
        <v>50</v>
      </c>
      <c r="L660" s="4">
        <v>500</v>
      </c>
      <c r="M660" s="4"/>
      <c r="N660" s="4"/>
      <c r="O660" s="4"/>
      <c r="P660" s="12" t="str">
        <f t="array" ref="P660">IF(O660:O4701="","",_xlfn.XLOOKUP(O660:O4701,'参照_官位'!A:A,'参照_官位'!B:B,""))</f>
      </c>
      <c r="Q660" s="12" t="str">
        <f t="array" ref="Q660">IF(A660:A4701="","",IFERROR(_xlfn.XLOOKUP(A660:A4701,castles_state!K:K,castles_state!D:D)&amp;"主",IFERROR(_xlfn.XLOOKUP(A660:A4701,kunishuClan!D:D,kunishuClan!B:B)&amp;"当主","")))</f>
      </c>
    </row>
    <row r="661" ht="15.75" customHeight="1">
      <c r="A661" s="4">
        <v>1009028</v>
      </c>
      <c r="B661" s="12" t="str">
        <f t="array" ref="B661">IF(A661:A4702="","",_xlfn.XLOOKUP(A661:A4702,'参照_武将'!A:A,'参照_武将'!B:B,"見つかりません"))</f>
      </c>
      <c r="C661" s="4" t="s">
        <v>132</v>
      </c>
      <c r="D661" s="4">
        <v>0</v>
      </c>
      <c r="E661" s="12" t="str">
        <f t="array" ref="E661">IF(D661:D4702="","",IFERROR(_xlfn.XLOOKUP(D661:D4702,'参照_勢力'!A:A,'参照_勢力'!B:B),IFERROR(_xlfn.XLOOKUP(F661:F4702,kunishuClan!A:A,kunishuClan!B:B),"浪人")))</f>
      </c>
      <c r="F661" s="4">
        <v>71</v>
      </c>
      <c r="G661" s="4">
        <v>53</v>
      </c>
      <c r="H661" s="12" t="str">
        <f t="array" ref="H661">IF(G661:G4702="","",_xlfn.XLOOKUP(G661:G4702,castles_state!A:A,castles_state!D:D,"見つかりません"))</f>
      </c>
      <c r="I661" s="4"/>
      <c r="J661" s="12" t="str">
        <f t="array" ref="J661">IF(I661:I4702="","",_xlfn.XLOOKUP(I661:I4702,'参照_姫'!A:A,'参照_姫'!B:B,"見つかりません"))</f>
      </c>
      <c r="K661" s="4">
        <v>50</v>
      </c>
      <c r="L661" s="4">
        <v>0</v>
      </c>
      <c r="M661" s="4"/>
      <c r="N661" s="4"/>
      <c r="O661" s="4"/>
      <c r="P661" s="12" t="str">
        <f t="array" ref="P661">IF(O661:O4702="","",_xlfn.XLOOKUP(O661:O4702,'参照_官位'!A:A,'参照_官位'!B:B,""))</f>
      </c>
      <c r="Q661" s="12" t="str">
        <f t="array" ref="Q661">IF(A661:A4702="","",IFERROR(_xlfn.XLOOKUP(A661:A4702,castles_state!K:K,castles_state!D:D)&amp;"主",IFERROR(_xlfn.XLOOKUP(A661:A4702,kunishuClan!D:D,kunishuClan!B:B)&amp;"当主","")))</f>
      </c>
    </row>
    <row r="662" ht="15.75" customHeight="1">
      <c r="A662" s="4">
        <v>1010001</v>
      </c>
      <c r="B662" s="12" t="str">
        <f t="array" ref="B662">IF(A662:A4703="","",_xlfn.XLOOKUP(A662:A4703,'参照_武将'!A:A,'参照_武将'!B:B,"見つかりません"))</f>
      </c>
      <c r="C662" s="4" t="s">
        <v>135</v>
      </c>
      <c r="D662" s="4">
        <v>10</v>
      </c>
      <c r="E662" s="12" t="str">
        <f t="array" ref="E662">IF(D662:D4703="","",IFERROR(_xlfn.XLOOKUP(D662:D4703,'参照_勢力'!A:A,'参照_勢力'!B:B),IFERROR(_xlfn.XLOOKUP(F662:F4703,kunishuClan!A:A,kunishuClan!B:B),"浪人")))</f>
      </c>
      <c r="F662" s="4">
        <v>0</v>
      </c>
      <c r="G662" s="4">
        <v>29</v>
      </c>
      <c r="H662" s="12" t="str">
        <f t="array" ref="H662">IF(G662:G4703="","",_xlfn.XLOOKUP(G662:G4703,castles_state!A:A,castles_state!D:D,"見つかりません"))</f>
      </c>
      <c r="I662" s="4"/>
      <c r="J662" s="12" t="str">
        <f t="array" ref="J662">IF(I662:I4703="","",_xlfn.XLOOKUP(I662:I4703,'参照_姫'!A:A,'参照_姫'!B:B,"見つかりません"))</f>
      </c>
      <c r="K662" s="4">
        <v>95</v>
      </c>
      <c r="L662" s="4">
        <v>0</v>
      </c>
      <c r="M662" s="4"/>
      <c r="N662" s="4"/>
      <c r="O662" s="4"/>
      <c r="P662" s="12" t="str">
        <f t="array" ref="P662">IF(O662:O4703="","",_xlfn.XLOOKUP(O662:O4703,'参照_官位'!A:A,'参照_官位'!B:B,""))</f>
      </c>
      <c r="Q662" s="12" t="str">
        <f t="array" ref="Q662">IF(A662:A4703="","",IFERROR(_xlfn.XLOOKUP(A662:A4703,castles_state!K:K,castles_state!D:D)&amp;"主",IFERROR(_xlfn.XLOOKUP(A662:A4703,kunishuClan!D:D,kunishuClan!B:B)&amp;"当主","")))</f>
      </c>
    </row>
    <row r="663" ht="15.75" customHeight="1">
      <c r="A663" s="4">
        <v>1010002</v>
      </c>
      <c r="B663" s="12" t="str">
        <f t="array" ref="B663">IF(A663:A4704="","",_xlfn.XLOOKUP(A663:A4704,'参照_武将'!A:A,'参照_武将'!B:B,"見つかりません"))</f>
      </c>
      <c r="C663" s="4" t="s">
        <v>135</v>
      </c>
      <c r="D663" s="4">
        <v>10</v>
      </c>
      <c r="E663" s="12" t="str">
        <f t="array" ref="E663">IF(D663:D4704="","",IFERROR(_xlfn.XLOOKUP(D663:D4704,'参照_勢力'!A:A,'参照_勢力'!B:B),IFERROR(_xlfn.XLOOKUP(F663:F4704,kunishuClan!A:A,kunishuClan!B:B),"浪人")))</f>
      </c>
      <c r="F663" s="4">
        <v>0</v>
      </c>
      <c r="G663" s="4">
        <v>29</v>
      </c>
      <c r="H663" s="12" t="str">
        <f t="array" ref="H663">IF(G663:G4704="","",_xlfn.XLOOKUP(G663:G4704,castles_state!A:A,castles_state!D:D,"見つかりません"))</f>
      </c>
      <c r="I663" s="4"/>
      <c r="J663" s="12" t="str">
        <f t="array" ref="J663">IF(I663:I4704="","",_xlfn.XLOOKUP(I663:I4704,'参照_姫'!A:A,'参照_姫'!B:B,"見つかりません"))</f>
      </c>
      <c r="K663" s="23">
        <v>100</v>
      </c>
      <c r="L663" s="23">
        <v>1000</v>
      </c>
      <c r="M663" s="4"/>
      <c r="N663" s="4"/>
      <c r="O663" s="4"/>
      <c r="P663" s="12" t="str">
        <f t="array" ref="P663">IF(O663:O4704="","",_xlfn.XLOOKUP(O663:O4704,'参照_官位'!A:A,'参照_官位'!B:B,""))</f>
      </c>
      <c r="Q663" s="12" t="str">
        <f t="array" ref="Q663">IF(A663:A4704="","",IFERROR(_xlfn.XLOOKUP(A663:A4704,castles_state!K:K,castles_state!D:D)&amp;"主",IFERROR(_xlfn.XLOOKUP(A663:A4704,kunishuClan!D:D,kunishuClan!B:B)&amp;"当主","")))</f>
      </c>
    </row>
    <row r="664" ht="15.75" customHeight="1">
      <c r="A664" s="4">
        <v>1010003</v>
      </c>
      <c r="B664" s="12" t="str">
        <f t="array" ref="B664">IF(A664:A4705="","",_xlfn.XLOOKUP(A664:A4705,'参照_武将'!A:A,'参照_武将'!B:B,"見つかりません"))</f>
      </c>
      <c r="C664" s="4" t="s">
        <v>135</v>
      </c>
      <c r="D664" s="4">
        <v>10</v>
      </c>
      <c r="E664" s="12" t="str">
        <f t="array" ref="E664">IF(D664:D4705="","",IFERROR(_xlfn.XLOOKUP(D664:D4705,'参照_勢力'!A:A,'参照_勢力'!B:B),IFERROR(_xlfn.XLOOKUP(F664:F4705,kunishuClan!A:A,kunishuClan!B:B),"浪人")))</f>
      </c>
      <c r="F664" s="4">
        <v>0</v>
      </c>
      <c r="G664" s="4">
        <v>29</v>
      </c>
      <c r="H664" s="12" t="str">
        <f t="array" ref="H664">IF(G664:G4705="","",_xlfn.XLOOKUP(G664:G4705,castles_state!A:A,castles_state!D:D,"見つかりません"))</f>
      </c>
      <c r="I664" s="4"/>
      <c r="J664" s="12" t="str">
        <f t="array" ref="J664">IF(I664:I4705="","",_xlfn.XLOOKUP(I664:I4705,'参照_姫'!A:A,'参照_姫'!B:B,"見つかりません"))</f>
      </c>
      <c r="K664" s="23">
        <v>100</v>
      </c>
      <c r="L664" s="23">
        <v>500</v>
      </c>
      <c r="M664" s="4"/>
      <c r="N664" s="4"/>
      <c r="O664" s="4">
        <v>116</v>
      </c>
      <c r="P664" s="12" t="str">
        <f t="array" ref="P664">IF(O664:O4705="","",_xlfn.XLOOKUP(O664:O4705,'参照_官位'!A:A,'参照_官位'!B:B,""))</f>
      </c>
      <c r="Q664" s="12" t="str">
        <f t="array" ref="Q664">IF(A664:A4705="","",IFERROR(_xlfn.XLOOKUP(A664:A4705,castles_state!K:K,castles_state!D:D)&amp;"主",IFERROR(_xlfn.XLOOKUP(A664:A4705,kunishuClan!D:D,kunishuClan!B:B)&amp;"当主","")))</f>
      </c>
    </row>
    <row r="665" ht="15.75" customHeight="1">
      <c r="A665" s="4">
        <v>1010004</v>
      </c>
      <c r="B665" s="12" t="str">
        <f t="array" ref="B665">IF(A665:A4706="","",_xlfn.XLOOKUP(A665:A4706,'参照_武将'!A:A,'参照_武将'!B:B,"見つかりません"))</f>
      </c>
      <c r="C665" s="4" t="s">
        <v>135</v>
      </c>
      <c r="D665" s="4">
        <v>10</v>
      </c>
      <c r="E665" s="12" t="str">
        <f t="array" ref="E665">IF(D665:D4706="","",IFERROR(_xlfn.XLOOKUP(D665:D4706,'参照_勢力'!A:A,'参照_勢力'!B:B),IFERROR(_xlfn.XLOOKUP(F665:F4706,kunishuClan!A:A,kunishuClan!B:B),"浪人")))</f>
      </c>
      <c r="F665" s="4">
        <v>0</v>
      </c>
      <c r="G665" s="4">
        <v>29</v>
      </c>
      <c r="H665" s="12" t="str">
        <f t="array" ref="H665">IF(G665:G4706="","",_xlfn.XLOOKUP(G665:G4706,castles_state!A:A,castles_state!D:D,"見つかりません"))</f>
      </c>
      <c r="I665" s="4"/>
      <c r="J665" s="12" t="str">
        <f t="array" ref="J665">IF(I665:I4706="","",_xlfn.XLOOKUP(I665:I4706,'参照_姫'!A:A,'参照_姫'!B:B,"見つかりません"))</f>
      </c>
      <c r="K665" s="4">
        <v>95</v>
      </c>
      <c r="L665" s="23">
        <v>500</v>
      </c>
      <c r="M665" s="4"/>
      <c r="N665" s="4"/>
      <c r="O665" s="4"/>
      <c r="P665" s="12" t="str">
        <f t="array" ref="P665">IF(O665:O4706="","",_xlfn.XLOOKUP(O665:O4706,'参照_官位'!A:A,'参照_官位'!B:B,""))</f>
      </c>
      <c r="Q665" s="12" t="str">
        <f t="array" ref="Q665">IF(A665:A4706="","",IFERROR(_xlfn.XLOOKUP(A665:A4706,castles_state!K:K,castles_state!D:D)&amp;"主",IFERROR(_xlfn.XLOOKUP(A665:A4706,kunishuClan!D:D,kunishuClan!B:B)&amp;"当主","")))</f>
      </c>
    </row>
    <row r="666" ht="15.75" customHeight="1">
      <c r="A666" s="4">
        <v>1010005</v>
      </c>
      <c r="B666" s="12" t="str">
        <f t="array" ref="B666">IF(A666:A4707="","",_xlfn.XLOOKUP(A666:A4707,'参照_武将'!A:A,'参照_武将'!B:B,"見つかりません"))</f>
      </c>
      <c r="C666" s="4" t="s">
        <v>135</v>
      </c>
      <c r="D666" s="4">
        <v>10</v>
      </c>
      <c r="E666" s="12" t="str">
        <f t="array" ref="E666">IF(D666:D4707="","",IFERROR(_xlfn.XLOOKUP(D666:D4707,'参照_勢力'!A:A,'参照_勢力'!B:B),IFERROR(_xlfn.XLOOKUP(F666:F4707,kunishuClan!A:A,kunishuClan!B:B),"浪人")))</f>
      </c>
      <c r="F666" s="4">
        <v>0</v>
      </c>
      <c r="G666" s="4">
        <v>29</v>
      </c>
      <c r="H666" s="12" t="str">
        <f t="array" ref="H666">IF(G666:G4707="","",_xlfn.XLOOKUP(G666:G4707,castles_state!A:A,castles_state!D:D,"見つかりません"))</f>
      </c>
      <c r="I666" s="4"/>
      <c r="J666" s="12" t="str">
        <f t="array" ref="J666">IF(I666:I4707="","",_xlfn.XLOOKUP(I666:I4707,'参照_姫'!A:A,'参照_姫'!B:B,"見つかりません"))</f>
      </c>
      <c r="K666" s="4">
        <v>85</v>
      </c>
      <c r="L666" s="4">
        <v>0</v>
      </c>
      <c r="M666" s="4"/>
      <c r="N666" s="4"/>
      <c r="O666" s="4"/>
      <c r="P666" s="12" t="str">
        <f t="array" ref="P666">IF(O666:O4707="","",_xlfn.XLOOKUP(O666:O4707,'参照_官位'!A:A,'参照_官位'!B:B,""))</f>
      </c>
      <c r="Q666" s="12" t="str">
        <f t="array" ref="Q666">IF(A666:A4707="","",IFERROR(_xlfn.XLOOKUP(A666:A4707,castles_state!K:K,castles_state!D:D)&amp;"主",IFERROR(_xlfn.XLOOKUP(A666:A4707,kunishuClan!D:D,kunishuClan!B:B)&amp;"当主","")))</f>
      </c>
    </row>
    <row r="667" ht="15.75" customHeight="1">
      <c r="A667" s="4">
        <v>1010006</v>
      </c>
      <c r="B667" s="12" t="str">
        <f t="array" ref="B667">IF(A667:A4708="","",_xlfn.XLOOKUP(A667:A4708,'参照_武将'!A:A,'参照_武将'!B:B,"見つかりません"))</f>
      </c>
      <c r="C667" s="4" t="s">
        <v>135</v>
      </c>
      <c r="D667" s="4">
        <v>10</v>
      </c>
      <c r="E667" s="12" t="str">
        <f t="array" ref="E667">IF(D667:D4708="","",IFERROR(_xlfn.XLOOKUP(D667:D4708,'参照_勢力'!A:A,'参照_勢力'!B:B),IFERROR(_xlfn.XLOOKUP(F667:F4708,kunishuClan!A:A,kunishuClan!B:B),"浪人")))</f>
      </c>
      <c r="F667" s="4">
        <v>0</v>
      </c>
      <c r="G667" s="4">
        <v>29</v>
      </c>
      <c r="H667" s="12" t="str">
        <f t="array" ref="H667">IF(G667:G4708="","",_xlfn.XLOOKUP(G667:G4708,castles_state!A:A,castles_state!D:D,"見つかりません"))</f>
      </c>
      <c r="I667" s="4"/>
      <c r="J667" s="12" t="str">
        <f t="array" ref="J667">IF(I667:I4708="","",_xlfn.XLOOKUP(I667:I4708,'参照_姫'!A:A,'参照_姫'!B:B,"見つかりません"))</f>
      </c>
      <c r="K667" s="4">
        <v>95</v>
      </c>
      <c r="L667" s="4">
        <v>0</v>
      </c>
      <c r="M667" s="4"/>
      <c r="N667" s="4"/>
      <c r="O667" s="4"/>
      <c r="P667" s="12" t="str">
        <f t="array" ref="P667">IF(O667:O4708="","",_xlfn.XLOOKUP(O667:O4708,'参照_官位'!A:A,'参照_官位'!B:B,""))</f>
      </c>
      <c r="Q667" s="12" t="str">
        <f t="array" ref="Q667">IF(A667:A4708="","",IFERROR(_xlfn.XLOOKUP(A667:A4708,castles_state!K:K,castles_state!D:D)&amp;"主",IFERROR(_xlfn.XLOOKUP(A667:A4708,kunishuClan!D:D,kunishuClan!B:B)&amp;"当主","")))</f>
      </c>
    </row>
    <row r="668" ht="15.75" customHeight="1">
      <c r="A668" s="4">
        <v>1010007</v>
      </c>
      <c r="B668" s="12" t="str">
        <f t="array" ref="B668">IF(A668:A4709="","",_xlfn.XLOOKUP(A668:A4709,'参照_武将'!A:A,'参照_武将'!B:B,"見つかりません"))</f>
      </c>
      <c r="C668" s="4" t="s">
        <v>135</v>
      </c>
      <c r="D668" s="4">
        <v>10</v>
      </c>
      <c r="E668" s="12" t="str">
        <f t="array" ref="E668">IF(D668:D4709="","",IFERROR(_xlfn.XLOOKUP(D668:D4709,'参照_勢力'!A:A,'参照_勢力'!B:B),IFERROR(_xlfn.XLOOKUP(F668:F4709,kunishuClan!A:A,kunishuClan!B:B),"浪人")))</f>
      </c>
      <c r="F668" s="4">
        <v>0</v>
      </c>
      <c r="G668" s="4">
        <v>29</v>
      </c>
      <c r="H668" s="12" t="str">
        <f t="array" ref="H668">IF(G668:G4709="","",_xlfn.XLOOKUP(G668:G4709,castles_state!A:A,castles_state!D:D,"見つかりません"))</f>
      </c>
      <c r="I668" s="4"/>
      <c r="J668" s="12" t="str">
        <f t="array" ref="J668">IF(I668:I4709="","",_xlfn.XLOOKUP(I668:I4709,'参照_姫'!A:A,'参照_姫'!B:B,"見つかりません"))</f>
      </c>
      <c r="K668" s="4">
        <v>95</v>
      </c>
      <c r="L668" s="4">
        <v>0</v>
      </c>
      <c r="M668" s="4"/>
      <c r="N668" s="4"/>
      <c r="O668" s="4"/>
      <c r="P668" s="12" t="str">
        <f t="array" ref="P668">IF(O668:O4709="","",_xlfn.XLOOKUP(O668:O4709,'参照_官位'!A:A,'参照_官位'!B:B,""))</f>
      </c>
      <c r="Q668" s="12" t="str">
        <f t="array" ref="Q668">IF(A668:A4709="","",IFERROR(_xlfn.XLOOKUP(A668:A4709,castles_state!K:K,castles_state!D:D)&amp;"主",IFERROR(_xlfn.XLOOKUP(A668:A4709,kunishuClan!D:D,kunishuClan!B:B)&amp;"当主","")))</f>
      </c>
    </row>
    <row r="669" ht="15.75" customHeight="1">
      <c r="A669" s="4">
        <v>1010008</v>
      </c>
      <c r="B669" s="12" t="str">
        <f t="array" ref="B669">IF(A669:A4710="","",_xlfn.XLOOKUP(A669:A4710,'参照_武将'!A:A,'参照_武将'!B:B,"見つかりません"))</f>
      </c>
      <c r="C669" s="4" t="s">
        <v>135</v>
      </c>
      <c r="D669" s="4">
        <v>10</v>
      </c>
      <c r="E669" s="12" t="str">
        <f t="array" ref="E669">IF(D669:D4710="","",IFERROR(_xlfn.XLOOKUP(D669:D4710,'参照_勢力'!A:A,'参照_勢力'!B:B),IFERROR(_xlfn.XLOOKUP(F669:F4710,kunishuClan!A:A,kunishuClan!B:B),"浪人")))</f>
      </c>
      <c r="F669" s="4">
        <v>0</v>
      </c>
      <c r="G669" s="4">
        <v>29</v>
      </c>
      <c r="H669" s="12" t="str">
        <f t="array" ref="H669">IF(G669:G4710="","",_xlfn.XLOOKUP(G669:G4710,castles_state!A:A,castles_state!D:D,"見つかりません"))</f>
      </c>
      <c r="I669" s="4"/>
      <c r="J669" s="12" t="str">
        <f t="array" ref="J669">IF(I669:I4710="","",_xlfn.XLOOKUP(I669:I4710,'参照_姫'!A:A,'参照_姫'!B:B,"見つかりません"))</f>
      </c>
      <c r="K669" s="4">
        <v>95</v>
      </c>
      <c r="L669" s="4">
        <v>0</v>
      </c>
      <c r="M669" s="4"/>
      <c r="N669" s="4"/>
      <c r="O669" s="4"/>
      <c r="P669" s="12" t="str">
        <f t="array" ref="P669">IF(O669:O4710="","",_xlfn.XLOOKUP(O669:O4710,'参照_官位'!A:A,'参照_官位'!B:B,""))</f>
      </c>
      <c r="Q669" s="12" t="str">
        <f t="array" ref="Q669">IF(A669:A4710="","",IFERROR(_xlfn.XLOOKUP(A669:A4710,castles_state!K:K,castles_state!D:D)&amp;"主",IFERROR(_xlfn.XLOOKUP(A669:A4710,kunishuClan!D:D,kunishuClan!B:B)&amp;"当主","")))</f>
      </c>
    </row>
    <row r="670" ht="15.75" customHeight="1">
      <c r="A670" s="4">
        <v>1010009</v>
      </c>
      <c r="B670" s="12" t="str">
        <f t="array" ref="B670">IF(A670:A4711="","",_xlfn.XLOOKUP(A670:A4711,'参照_武将'!A:A,'参照_武将'!B:B,"見つかりません"))</f>
      </c>
      <c r="C670" s="4" t="s">
        <v>135</v>
      </c>
      <c r="D670" s="4">
        <v>10</v>
      </c>
      <c r="E670" s="12" t="str">
        <f t="array" ref="E670">IF(D670:D4711="","",IFERROR(_xlfn.XLOOKUP(D670:D4711,'参照_勢力'!A:A,'参照_勢力'!B:B),IFERROR(_xlfn.XLOOKUP(F670:F4711,kunishuClan!A:A,kunishuClan!B:B),"浪人")))</f>
      </c>
      <c r="F670" s="4">
        <v>0</v>
      </c>
      <c r="G670" s="4">
        <v>29</v>
      </c>
      <c r="H670" s="12" t="str">
        <f t="array" ref="H670">IF(G670:G4711="","",_xlfn.XLOOKUP(G670:G4711,castles_state!A:A,castles_state!D:D,"見つかりません"))</f>
      </c>
      <c r="I670" s="4"/>
      <c r="J670" s="12" t="str">
        <f t="array" ref="J670">IF(I670:I4711="","",_xlfn.XLOOKUP(I670:I4711,'参照_姫'!A:A,'参照_姫'!B:B,"見つかりません"))</f>
      </c>
      <c r="K670" s="4">
        <v>95</v>
      </c>
      <c r="L670" s="4">
        <v>0</v>
      </c>
      <c r="M670" s="4"/>
      <c r="N670" s="4"/>
      <c r="O670" s="4"/>
      <c r="P670" s="12" t="str">
        <f t="array" ref="P670">IF(O670:O4711="","",_xlfn.XLOOKUP(O670:O4711,'参照_官位'!A:A,'参照_官位'!B:B,""))</f>
      </c>
      <c r="Q670" s="12" t="str">
        <f t="array" ref="Q670">IF(A670:A4711="","",IFERROR(_xlfn.XLOOKUP(A670:A4711,castles_state!K:K,castles_state!D:D)&amp;"主",IFERROR(_xlfn.XLOOKUP(A670:A4711,kunishuClan!D:D,kunishuClan!B:B)&amp;"当主","")))</f>
      </c>
    </row>
    <row r="671" ht="15.75" customHeight="1">
      <c r="A671" s="4">
        <v>1010010</v>
      </c>
      <c r="B671" s="12" t="str">
        <f t="array" ref="B671">IF(A671:A4712="","",_xlfn.XLOOKUP(A671:A4712,'参照_武将'!A:A,'参照_武将'!B:B,"見つかりません"))</f>
      </c>
      <c r="C671" s="4" t="s">
        <v>135</v>
      </c>
      <c r="D671" s="4">
        <v>10</v>
      </c>
      <c r="E671" s="12" t="str">
        <f t="array" ref="E671">IF(D671:D4712="","",IFERROR(_xlfn.XLOOKUP(D671:D4712,'参照_勢力'!A:A,'参照_勢力'!B:B),IFERROR(_xlfn.XLOOKUP(F671:F4712,kunishuClan!A:A,kunishuClan!B:B),"浪人")))</f>
      </c>
      <c r="F671" s="4">
        <v>0</v>
      </c>
      <c r="G671" s="4">
        <v>29</v>
      </c>
      <c r="H671" s="12" t="str">
        <f t="array" ref="H671">IF(G671:G4712="","",_xlfn.XLOOKUP(G671:G4712,castles_state!A:A,castles_state!D:D,"見つかりません"))</f>
      </c>
      <c r="I671" s="4"/>
      <c r="J671" s="12" t="str">
        <f t="array" ref="J671">IF(I671:I4712="","",_xlfn.XLOOKUP(I671:I4712,'参照_姫'!A:A,'参照_姫'!B:B,"見つかりません"))</f>
      </c>
      <c r="K671" s="4">
        <v>95</v>
      </c>
      <c r="L671" s="4">
        <v>0</v>
      </c>
      <c r="M671" s="4"/>
      <c r="N671" s="4"/>
      <c r="O671" s="4"/>
      <c r="P671" s="12" t="str">
        <f t="array" ref="P671">IF(O671:O4712="","",_xlfn.XLOOKUP(O671:O4712,'参照_官位'!A:A,'参照_官位'!B:B,""))</f>
      </c>
      <c r="Q671" s="12" t="str">
        <f t="array" ref="Q671">IF(A671:A4712="","",IFERROR(_xlfn.XLOOKUP(A671:A4712,castles_state!K:K,castles_state!D:D)&amp;"主",IFERROR(_xlfn.XLOOKUP(A671:A4712,kunishuClan!D:D,kunishuClan!B:B)&amp;"当主","")))</f>
      </c>
    </row>
    <row r="672" ht="15.75" customHeight="1">
      <c r="A672" s="4">
        <v>1010011</v>
      </c>
      <c r="B672" s="12" t="str">
        <f t="array" ref="B672">IF(A672:A4713="","",_xlfn.XLOOKUP(A672:A4713,'参照_武将'!A:A,'参照_武将'!B:B,"見つかりません"))</f>
      </c>
      <c r="C672" s="4" t="s">
        <v>135</v>
      </c>
      <c r="D672" s="4">
        <v>10</v>
      </c>
      <c r="E672" s="12" t="str">
        <f t="array" ref="E672">IF(D672:D4713="","",IFERROR(_xlfn.XLOOKUP(D672:D4713,'参照_勢力'!A:A,'参照_勢力'!B:B),IFERROR(_xlfn.XLOOKUP(F672:F4713,kunishuClan!A:A,kunishuClan!B:B),"浪人")))</f>
      </c>
      <c r="F672" s="4">
        <v>0</v>
      </c>
      <c r="G672" s="4">
        <v>29</v>
      </c>
      <c r="H672" s="12" t="str">
        <f t="array" ref="H672">IF(G672:G4713="","",_xlfn.XLOOKUP(G672:G4713,castles_state!A:A,castles_state!D:D,"見つかりません"))</f>
      </c>
      <c r="I672" s="4"/>
      <c r="J672" s="12" t="str">
        <f t="array" ref="J672">IF(I672:I4713="","",_xlfn.XLOOKUP(I672:I4713,'参照_姫'!A:A,'参照_姫'!B:B,"見つかりません"))</f>
      </c>
      <c r="K672" s="4">
        <v>95</v>
      </c>
      <c r="L672" s="4">
        <v>0</v>
      </c>
      <c r="M672" s="4"/>
      <c r="N672" s="4"/>
      <c r="O672" s="4"/>
      <c r="P672" s="12" t="str">
        <f t="array" ref="P672">IF(O672:O4713="","",_xlfn.XLOOKUP(O672:O4713,'参照_官位'!A:A,'参照_官位'!B:B,""))</f>
      </c>
      <c r="Q672" s="12" t="str">
        <f t="array" ref="Q672">IF(A672:A4713="","",IFERROR(_xlfn.XLOOKUP(A672:A4713,castles_state!K:K,castles_state!D:D)&amp;"主",IFERROR(_xlfn.XLOOKUP(A672:A4713,kunishuClan!D:D,kunishuClan!B:B)&amp;"当主","")))</f>
      </c>
    </row>
    <row r="673" ht="15.75" customHeight="1">
      <c r="A673" s="4">
        <v>1010012</v>
      </c>
      <c r="B673" s="12" t="str">
        <f t="array" ref="B673">IF(A673:A4714="","",_xlfn.XLOOKUP(A673:A4714,'参照_武将'!A:A,'参照_武将'!B:B,"見つかりません"))</f>
      </c>
      <c r="C673" s="4" t="s">
        <v>135</v>
      </c>
      <c r="D673" s="4">
        <v>10</v>
      </c>
      <c r="E673" s="12" t="str">
        <f t="array" ref="E673">IF(D673:D4714="","",IFERROR(_xlfn.XLOOKUP(D673:D4714,'参照_勢力'!A:A,'参照_勢力'!B:B),IFERROR(_xlfn.XLOOKUP(F673:F4714,kunishuClan!A:A,kunishuClan!B:B),"浪人")))</f>
      </c>
      <c r="F673" s="4">
        <v>0</v>
      </c>
      <c r="G673" s="4">
        <v>29</v>
      </c>
      <c r="H673" s="12" t="str">
        <f t="array" ref="H673">IF(G673:G4714="","",_xlfn.XLOOKUP(G673:G4714,castles_state!A:A,castles_state!D:D,"見つかりません"))</f>
      </c>
      <c r="I673" s="4"/>
      <c r="J673" s="12" t="str">
        <f t="array" ref="J673">IF(I673:I4714="","",_xlfn.XLOOKUP(I673:I4714,'参照_姫'!A:A,'参照_姫'!B:B,"見つかりません"))</f>
      </c>
      <c r="K673" s="4">
        <v>95</v>
      </c>
      <c r="L673" s="4">
        <v>0</v>
      </c>
      <c r="M673" s="4"/>
      <c r="N673" s="4"/>
      <c r="O673" s="4"/>
      <c r="P673" s="12" t="str">
        <f t="array" ref="P673">IF(O673:O4714="","",_xlfn.XLOOKUP(O673:O4714,'参照_官位'!A:A,'参照_官位'!B:B,""))</f>
      </c>
      <c r="Q673" s="12" t="str">
        <f t="array" ref="Q673">IF(A673:A4714="","",IFERROR(_xlfn.XLOOKUP(A673:A4714,castles_state!K:K,castles_state!D:D)&amp;"主",IFERROR(_xlfn.XLOOKUP(A673:A4714,kunishuClan!D:D,kunishuClan!B:B)&amp;"当主","")))</f>
      </c>
    </row>
    <row r="674" ht="15.75" customHeight="1">
      <c r="A674" s="4">
        <v>1010013</v>
      </c>
      <c r="B674" s="12" t="str">
        <f t="array" ref="B674">IF(A674:A4715="","",_xlfn.XLOOKUP(A674:A4715,'参照_武将'!A:A,'参照_武将'!B:B,"見つかりません"))</f>
      </c>
      <c r="C674" s="4" t="s">
        <v>135</v>
      </c>
      <c r="D674" s="4">
        <v>10</v>
      </c>
      <c r="E674" s="12" t="str">
        <f t="array" ref="E674">IF(D674:D4715="","",IFERROR(_xlfn.XLOOKUP(D674:D4715,'参照_勢力'!A:A,'参照_勢力'!B:B),IFERROR(_xlfn.XLOOKUP(F674:F4715,kunishuClan!A:A,kunishuClan!B:B),"浪人")))</f>
      </c>
      <c r="F674" s="4">
        <v>0</v>
      </c>
      <c r="G674" s="4">
        <v>29</v>
      </c>
      <c r="H674" s="12" t="str">
        <f t="array" ref="H674">IF(G674:G4715="","",_xlfn.XLOOKUP(G674:G4715,castles_state!A:A,castles_state!D:D,"見つかりません"))</f>
      </c>
      <c r="I674" s="4"/>
      <c r="J674" s="12" t="str">
        <f t="array" ref="J674">IF(I674:I4715="","",_xlfn.XLOOKUP(I674:I4715,'参照_姫'!A:A,'参照_姫'!B:B,"見つかりません"))</f>
      </c>
      <c r="K674" s="4">
        <v>95</v>
      </c>
      <c r="L674" s="4">
        <v>0</v>
      </c>
      <c r="M674" s="4"/>
      <c r="N674" s="4"/>
      <c r="O674" s="4"/>
      <c r="P674" s="12" t="str">
        <f t="array" ref="P674">IF(O674:O4715="","",_xlfn.XLOOKUP(O674:O4715,'参照_官位'!A:A,'参照_官位'!B:B,""))</f>
      </c>
      <c r="Q674" s="12" t="str">
        <f t="array" ref="Q674">IF(A674:A4715="","",IFERROR(_xlfn.XLOOKUP(A674:A4715,castles_state!K:K,castles_state!D:D)&amp;"主",IFERROR(_xlfn.XLOOKUP(A674:A4715,kunishuClan!D:D,kunishuClan!B:B)&amp;"当主","")))</f>
      </c>
    </row>
    <row r="675" ht="15.75" customHeight="1">
      <c r="A675" s="4">
        <v>1010014</v>
      </c>
      <c r="B675" s="12" t="str">
        <f t="array" ref="B675">IF(A675:A4716="","",_xlfn.XLOOKUP(A675:A4716,'参照_武将'!A:A,'参照_武将'!B:B,"見つかりません"))</f>
      </c>
      <c r="C675" s="4" t="s">
        <v>135</v>
      </c>
      <c r="D675" s="4">
        <v>10</v>
      </c>
      <c r="E675" s="12" t="str">
        <f t="array" ref="E675">IF(D675:D4716="","",IFERROR(_xlfn.XLOOKUP(D675:D4716,'参照_勢力'!A:A,'参照_勢力'!B:B),IFERROR(_xlfn.XLOOKUP(F675:F4716,kunishuClan!A:A,kunishuClan!B:B),"浪人")))</f>
      </c>
      <c r="F675" s="4">
        <v>0</v>
      </c>
      <c r="G675" s="4">
        <v>29</v>
      </c>
      <c r="H675" s="12" t="str">
        <f t="array" ref="H675">IF(G675:G4716="","",_xlfn.XLOOKUP(G675:G4716,castles_state!A:A,castles_state!D:D,"見つかりません"))</f>
      </c>
      <c r="I675" s="4"/>
      <c r="J675" s="12" t="str">
        <f t="array" ref="J675">IF(I675:I4716="","",_xlfn.XLOOKUP(I675:I4716,'参照_姫'!A:A,'参照_姫'!B:B,"見つかりません"))</f>
      </c>
      <c r="K675" s="4">
        <v>95</v>
      </c>
      <c r="L675" s="4">
        <v>0</v>
      </c>
      <c r="M675" s="4"/>
      <c r="N675" s="4"/>
      <c r="O675" s="4"/>
      <c r="P675" s="12" t="str">
        <f t="array" ref="P675">IF(O675:O4716="","",_xlfn.XLOOKUP(O675:O4716,'参照_官位'!A:A,'参照_官位'!B:B,""))</f>
      </c>
      <c r="Q675" s="12" t="str">
        <f t="array" ref="Q675">IF(A675:A4716="","",IFERROR(_xlfn.XLOOKUP(A675:A4716,castles_state!K:K,castles_state!D:D)&amp;"主",IFERROR(_xlfn.XLOOKUP(A675:A4716,kunishuClan!D:D,kunishuClan!B:B)&amp;"当主","")))</f>
      </c>
    </row>
    <row r="676" ht="15.75" customHeight="1">
      <c r="A676" s="4">
        <v>1010015</v>
      </c>
      <c r="B676" s="12" t="str">
        <f t="array" ref="B676">IF(A676:A4717="","",_xlfn.XLOOKUP(A676:A4717,'参照_武将'!A:A,'参照_武将'!B:B,"見つかりません"))</f>
      </c>
      <c r="C676" s="4" t="s">
        <v>135</v>
      </c>
      <c r="D676" s="4">
        <v>10</v>
      </c>
      <c r="E676" s="12" t="str">
        <f t="array" ref="E676">IF(D676:D4717="","",IFERROR(_xlfn.XLOOKUP(D676:D4717,'参照_勢力'!A:A,'参照_勢力'!B:B),IFERROR(_xlfn.XLOOKUP(F676:F4717,kunishuClan!A:A,kunishuClan!B:B),"浪人")))</f>
      </c>
      <c r="F676" s="4">
        <v>0</v>
      </c>
      <c r="G676" s="4">
        <v>29</v>
      </c>
      <c r="H676" s="12" t="str">
        <f t="array" ref="H676">IF(G676:G4717="","",_xlfn.XLOOKUP(G676:G4717,castles_state!A:A,castles_state!D:D,"見つかりません"))</f>
      </c>
      <c r="I676" s="4"/>
      <c r="J676" s="12" t="str">
        <f t="array" ref="J676">IF(I676:I4717="","",_xlfn.XLOOKUP(I676:I4717,'参照_姫'!A:A,'参照_姫'!B:B,"見つかりません"))</f>
      </c>
      <c r="K676" s="4">
        <v>95</v>
      </c>
      <c r="L676" s="4">
        <v>0</v>
      </c>
      <c r="M676" s="4"/>
      <c r="N676" s="4"/>
      <c r="O676" s="4">
        <v>88</v>
      </c>
      <c r="P676" s="12" t="str">
        <f t="array" ref="P676">IF(O676:O4717="","",_xlfn.XLOOKUP(O676:O4717,'参照_官位'!A:A,'参照_官位'!B:B,""))</f>
      </c>
      <c r="Q676" s="12" t="str">
        <f t="array" ref="Q676">IF(A676:A4717="","",IFERROR(_xlfn.XLOOKUP(A676:A4717,castles_state!K:K,castles_state!D:D)&amp;"主",IFERROR(_xlfn.XLOOKUP(A676:A4717,kunishuClan!D:D,kunishuClan!B:B)&amp;"当主","")))</f>
      </c>
    </row>
    <row r="677" ht="15.75" customHeight="1">
      <c r="A677" s="4">
        <v>1010016</v>
      </c>
      <c r="B677" s="12" t="str">
        <f t="array" ref="B677">IF(A677:A4718="","",_xlfn.XLOOKUP(A677:A4718,'参照_武将'!A:A,'参照_武将'!B:B,"見つかりません"))</f>
      </c>
      <c r="C677" s="4" t="s">
        <v>135</v>
      </c>
      <c r="D677" s="4">
        <v>10</v>
      </c>
      <c r="E677" s="12" t="str">
        <f t="array" ref="E677">IF(D677:D4718="","",IFERROR(_xlfn.XLOOKUP(D677:D4718,'参照_勢力'!A:A,'参照_勢力'!B:B),IFERROR(_xlfn.XLOOKUP(F677:F4718,kunishuClan!A:A,kunishuClan!B:B),"浪人")))</f>
      </c>
      <c r="F677" s="4">
        <v>0</v>
      </c>
      <c r="G677" s="4">
        <v>29</v>
      </c>
      <c r="H677" s="12" t="str">
        <f t="array" ref="H677">IF(G677:G4718="","",_xlfn.XLOOKUP(G677:G4718,castles_state!A:A,castles_state!D:D,"見つかりません"))</f>
      </c>
      <c r="I677" s="4"/>
      <c r="J677" s="12" t="str">
        <f t="array" ref="J677">IF(I677:I4718="","",_xlfn.XLOOKUP(I677:I4718,'参照_姫'!A:A,'参照_姫'!B:B,"見つかりません"))</f>
      </c>
      <c r="K677" s="4">
        <v>95</v>
      </c>
      <c r="L677" s="4">
        <v>0</v>
      </c>
      <c r="M677" s="4"/>
      <c r="N677" s="4"/>
      <c r="O677" s="4"/>
      <c r="P677" s="12" t="str">
        <f t="array" ref="P677">IF(O677:O4718="","",_xlfn.XLOOKUP(O677:O4718,'参照_官位'!A:A,'参照_官位'!B:B,""))</f>
      </c>
      <c r="Q677" s="12" t="str">
        <f t="array" ref="Q677">IF(A677:A4718="","",IFERROR(_xlfn.XLOOKUP(A677:A4718,castles_state!K:K,castles_state!D:D)&amp;"主",IFERROR(_xlfn.XLOOKUP(A677:A4718,kunishuClan!D:D,kunishuClan!B:B)&amp;"当主","")))</f>
      </c>
    </row>
    <row r="678" ht="15.75" customHeight="1">
      <c r="A678" s="4">
        <v>1010017</v>
      </c>
      <c r="B678" s="12" t="str">
        <f t="array" ref="B678">IF(A678:A4719="","",_xlfn.XLOOKUP(A678:A4719,'参照_武将'!A:A,'参照_武将'!B:B,"見つかりません"))</f>
      </c>
      <c r="C678" s="4" t="s">
        <v>135</v>
      </c>
      <c r="D678" s="4">
        <v>10</v>
      </c>
      <c r="E678" s="12" t="str">
        <f t="array" ref="E678">IF(D678:D4719="","",IFERROR(_xlfn.XLOOKUP(D678:D4719,'参照_勢力'!A:A,'参照_勢力'!B:B),IFERROR(_xlfn.XLOOKUP(F678:F4719,kunishuClan!A:A,kunishuClan!B:B),"浪人")))</f>
      </c>
      <c r="F678" s="4">
        <v>0</v>
      </c>
      <c r="G678" s="4">
        <v>29</v>
      </c>
      <c r="H678" s="12" t="str">
        <f t="array" ref="H678">IF(G678:G4719="","",_xlfn.XLOOKUP(G678:G4719,castles_state!A:A,castles_state!D:D,"見つかりません"))</f>
      </c>
      <c r="I678" s="4"/>
      <c r="J678" s="12" t="str">
        <f t="array" ref="J678">IF(I678:I4719="","",_xlfn.XLOOKUP(I678:I4719,'参照_姫'!A:A,'参照_姫'!B:B,"見つかりません"))</f>
      </c>
      <c r="K678" s="4">
        <v>95</v>
      </c>
      <c r="L678" s="4">
        <v>500</v>
      </c>
      <c r="M678" s="4" t="b">
        <v>1</v>
      </c>
      <c r="N678" s="4"/>
      <c r="O678" s="4"/>
      <c r="P678" s="12" t="str">
        <f t="array" ref="P678">IF(O678:O4719="","",_xlfn.XLOOKUP(O678:O4719,'参照_官位'!A:A,'参照_官位'!B:B,""))</f>
      </c>
      <c r="Q678" s="12" t="str">
        <f t="array" ref="Q678">IF(A678:A4719="","",IFERROR(_xlfn.XLOOKUP(A678:A4719,castles_state!K:K,castles_state!D:D)&amp;"主",IFERROR(_xlfn.XLOOKUP(A678:A4719,kunishuClan!D:D,kunishuClan!B:B)&amp;"当主","")))</f>
      </c>
    </row>
    <row r="679" ht="15.75" customHeight="1">
      <c r="A679" s="4">
        <v>1010018</v>
      </c>
      <c r="B679" s="12" t="str">
        <f t="array" ref="B679">IF(A679:A4720="","",_xlfn.XLOOKUP(A679:A4720,'参照_武将'!A:A,'参照_武将'!B:B,"見つかりません"))</f>
      </c>
      <c r="C679" s="4" t="s">
        <v>135</v>
      </c>
      <c r="D679" s="4">
        <v>10</v>
      </c>
      <c r="E679" s="12" t="str">
        <f t="array" ref="E679">IF(D679:D4720="","",IFERROR(_xlfn.XLOOKUP(D679:D4720,'参照_勢力'!A:A,'参照_勢力'!B:B),IFERROR(_xlfn.XLOOKUP(F679:F4720,kunishuClan!A:A,kunishuClan!B:B),"浪人")))</f>
      </c>
      <c r="F679" s="4">
        <v>0</v>
      </c>
      <c r="G679" s="4">
        <v>29</v>
      </c>
      <c r="H679" s="12" t="str">
        <f t="array" ref="H679">IF(G679:G4720="","",_xlfn.XLOOKUP(G679:G4720,castles_state!A:A,castles_state!D:D,"見つかりません"))</f>
      </c>
      <c r="I679" s="4"/>
      <c r="J679" s="12" t="str">
        <f t="array" ref="J679">IF(I679:I4720="","",_xlfn.XLOOKUP(I679:I4720,'参照_姫'!A:A,'参照_姫'!B:B,"見つかりません"))</f>
      </c>
      <c r="K679" s="4">
        <v>95</v>
      </c>
      <c r="L679" s="4">
        <v>0</v>
      </c>
      <c r="M679" s="4"/>
      <c r="N679" s="4"/>
      <c r="O679" s="4"/>
      <c r="P679" s="12" t="str">
        <f t="array" ref="P679">IF(O679:O4720="","",_xlfn.XLOOKUP(O679:O4720,'参照_官位'!A:A,'参照_官位'!B:B,""))</f>
      </c>
      <c r="Q679" s="12" t="str">
        <f t="array" ref="Q679">IF(A679:A4720="","",IFERROR(_xlfn.XLOOKUP(A679:A4720,castles_state!K:K,castles_state!D:D)&amp;"主",IFERROR(_xlfn.XLOOKUP(A679:A4720,kunishuClan!D:D,kunishuClan!B:B)&amp;"当主","")))</f>
      </c>
    </row>
    <row r="680" ht="15.75" customHeight="1">
      <c r="A680" s="4">
        <v>1010019</v>
      </c>
      <c r="B680" s="12" t="str">
        <f t="array" ref="B680">IF(A680:A4721="","",_xlfn.XLOOKUP(A680:A4721,'参照_武将'!A:A,'参照_武将'!B:B,"見つかりません"))</f>
      </c>
      <c r="C680" s="4" t="s">
        <v>135</v>
      </c>
      <c r="D680" s="4">
        <v>10</v>
      </c>
      <c r="E680" s="12" t="str">
        <f t="array" ref="E680">IF(D680:D4721="","",IFERROR(_xlfn.XLOOKUP(D680:D4721,'参照_勢力'!A:A,'参照_勢力'!B:B),IFERROR(_xlfn.XLOOKUP(F680:F4721,kunishuClan!A:A,kunishuClan!B:B),"浪人")))</f>
      </c>
      <c r="F680" s="4">
        <v>0</v>
      </c>
      <c r="G680" s="4">
        <v>29</v>
      </c>
      <c r="H680" s="12" t="str">
        <f t="array" ref="H680">IF(G680:G4721="","",_xlfn.XLOOKUP(G680:G4721,castles_state!A:A,castles_state!D:D,"見つかりません"))</f>
      </c>
      <c r="I680" s="4"/>
      <c r="J680" s="12" t="str">
        <f t="array" ref="J680">IF(I680:I4721="","",_xlfn.XLOOKUP(I680:I4721,'参照_姫'!A:A,'参照_姫'!B:B,"見つかりません"))</f>
      </c>
      <c r="K680" s="4">
        <v>95</v>
      </c>
      <c r="L680" s="4">
        <v>0</v>
      </c>
      <c r="M680" s="4"/>
      <c r="N680" s="4"/>
      <c r="O680" s="4">
        <v>17</v>
      </c>
      <c r="P680" s="12" t="str">
        <f t="array" ref="P680">IF(O680:O4721="","",_xlfn.XLOOKUP(O680:O4721,'参照_官位'!A:A,'参照_官位'!B:B,""))</f>
      </c>
      <c r="Q680" s="12" t="str">
        <f t="array" ref="Q680">IF(A680:A4721="","",IFERROR(_xlfn.XLOOKUP(A680:A4721,castles_state!K:K,castles_state!D:D)&amp;"主",IFERROR(_xlfn.XLOOKUP(A680:A4721,kunishuClan!D:D,kunishuClan!B:B)&amp;"当主","")))</f>
      </c>
    </row>
    <row r="681" ht="15.75" customHeight="1">
      <c r="A681" s="4">
        <v>1010020</v>
      </c>
      <c r="B681" s="12" t="str">
        <f t="array" ref="B681">IF(A681:A4722="","",_xlfn.XLOOKUP(A681:A4722,'参照_武将'!A:A,'参照_武将'!B:B,"見つかりません"))</f>
      </c>
      <c r="C681" s="4" t="s">
        <v>135</v>
      </c>
      <c r="D681" s="4">
        <v>10</v>
      </c>
      <c r="E681" s="12" t="str">
        <f t="array" ref="E681">IF(D681:D4722="","",IFERROR(_xlfn.XLOOKUP(D681:D4722,'参照_勢力'!A:A,'参照_勢力'!B:B),IFERROR(_xlfn.XLOOKUP(F681:F4722,kunishuClan!A:A,kunishuClan!B:B),"浪人")))</f>
      </c>
      <c r="F681" s="4">
        <v>0</v>
      </c>
      <c r="G681" s="4">
        <v>29</v>
      </c>
      <c r="H681" s="12" t="str">
        <f t="array" ref="H681">IF(G681:G4722="","",_xlfn.XLOOKUP(G681:G4722,castles_state!A:A,castles_state!D:D,"見つかりません"))</f>
      </c>
      <c r="I681" s="4"/>
      <c r="J681" s="12" t="str">
        <f t="array" ref="J681">IF(I681:I4722="","",_xlfn.XLOOKUP(I681:I4722,'参照_姫'!A:A,'参照_姫'!B:B,"見つかりません"))</f>
      </c>
      <c r="K681" s="4">
        <v>95</v>
      </c>
      <c r="L681" s="4">
        <v>0</v>
      </c>
      <c r="M681" s="4"/>
      <c r="N681" s="4"/>
      <c r="O681" s="4"/>
      <c r="P681" s="12" t="str">
        <f t="array" ref="P681">IF(O681:O4722="","",_xlfn.XLOOKUP(O681:O4722,'参照_官位'!A:A,'参照_官位'!B:B,""))</f>
      </c>
      <c r="Q681" s="12" t="str">
        <f t="array" ref="Q681">IF(A681:A4722="","",IFERROR(_xlfn.XLOOKUP(A681:A4722,castles_state!K:K,castles_state!D:D)&amp;"主",IFERROR(_xlfn.XLOOKUP(A681:A4722,kunishuClan!D:D,kunishuClan!B:B)&amp;"当主","")))</f>
      </c>
    </row>
    <row r="682" ht="15.75" customHeight="1">
      <c r="A682" s="4">
        <v>1010021</v>
      </c>
      <c r="B682" s="12" t="str">
        <f t="array" ref="B682">IF(A682:A4723="","",_xlfn.XLOOKUP(A682:A4723,'参照_武将'!A:A,'参照_武将'!B:B,"見つかりません"))</f>
      </c>
      <c r="C682" s="4" t="s">
        <v>135</v>
      </c>
      <c r="D682" s="4">
        <v>10</v>
      </c>
      <c r="E682" s="12" t="str">
        <f t="array" ref="E682">IF(D682:D4723="","",IFERROR(_xlfn.XLOOKUP(D682:D4723,'参照_勢力'!A:A,'参照_勢力'!B:B),IFERROR(_xlfn.XLOOKUP(F682:F4723,kunishuClan!A:A,kunishuClan!B:B),"浪人")))</f>
      </c>
      <c r="F682" s="4">
        <v>0</v>
      </c>
      <c r="G682" s="4">
        <v>29</v>
      </c>
      <c r="H682" s="12" t="str">
        <f t="array" ref="H682">IF(G682:G4723="","",_xlfn.XLOOKUP(G682:G4723,castles_state!A:A,castles_state!D:D,"見つかりません"))</f>
      </c>
      <c r="I682" s="4"/>
      <c r="J682" s="12" t="str">
        <f t="array" ref="J682">IF(I682:I4723="","",_xlfn.XLOOKUP(I682:I4723,'参照_姫'!A:A,'参照_姫'!B:B,"見つかりません"))</f>
      </c>
      <c r="K682" s="4">
        <v>95</v>
      </c>
      <c r="L682" s="4">
        <v>0</v>
      </c>
      <c r="M682" s="4"/>
      <c r="N682" s="4"/>
      <c r="O682" s="4"/>
      <c r="P682" s="12" t="str">
        <f t="array" ref="P682">IF(O682:O4723="","",_xlfn.XLOOKUP(O682:O4723,'参照_官位'!A:A,'参照_官位'!B:B,""))</f>
      </c>
      <c r="Q682" s="12" t="str">
        <f t="array" ref="Q682">IF(A682:A4723="","",IFERROR(_xlfn.XLOOKUP(A682:A4723,castles_state!K:K,castles_state!D:D)&amp;"主",IFERROR(_xlfn.XLOOKUP(A682:A4723,kunishuClan!D:D,kunishuClan!B:B)&amp;"当主","")))</f>
      </c>
    </row>
    <row r="683" ht="15.75" customHeight="1">
      <c r="A683" s="4">
        <v>1010022</v>
      </c>
      <c r="B683" s="12" t="str">
        <f t="array" ref="B683">IF(A683:A4724="","",_xlfn.XLOOKUP(A683:A4724,'参照_武将'!A:A,'参照_武将'!B:B,"見つかりません"))</f>
      </c>
      <c r="C683" s="4" t="s">
        <v>135</v>
      </c>
      <c r="D683" s="4">
        <v>10</v>
      </c>
      <c r="E683" s="12" t="str">
        <f t="array" ref="E683">IF(D683:D4724="","",IFERROR(_xlfn.XLOOKUP(D683:D4724,'参照_勢力'!A:A,'参照_勢力'!B:B),IFERROR(_xlfn.XLOOKUP(F683:F4724,kunishuClan!A:A,kunishuClan!B:B),"浪人")))</f>
      </c>
      <c r="F683" s="4">
        <v>0</v>
      </c>
      <c r="G683" s="4">
        <v>29</v>
      </c>
      <c r="H683" s="12" t="str">
        <f t="array" ref="H683">IF(G683:G4724="","",_xlfn.XLOOKUP(G683:G4724,castles_state!A:A,castles_state!D:D,"見つかりません"))</f>
      </c>
      <c r="I683" s="4"/>
      <c r="J683" s="12" t="str">
        <f t="array" ref="J683">IF(I683:I4724="","",_xlfn.XLOOKUP(I683:I4724,'参照_姫'!A:A,'参照_姫'!B:B,"見つかりません"))</f>
      </c>
      <c r="K683" s="4">
        <v>95</v>
      </c>
      <c r="L683" s="4">
        <v>0</v>
      </c>
      <c r="M683" s="4"/>
      <c r="N683" s="4"/>
      <c r="O683" s="4"/>
      <c r="P683" s="12" t="str">
        <f t="array" ref="P683">IF(O683:O4724="","",_xlfn.XLOOKUP(O683:O4724,'参照_官位'!A:A,'参照_官位'!B:B,""))</f>
      </c>
      <c r="Q683" s="12" t="str">
        <f t="array" ref="Q683">IF(A683:A4724="","",IFERROR(_xlfn.XLOOKUP(A683:A4724,castles_state!K:K,castles_state!D:D)&amp;"主",IFERROR(_xlfn.XLOOKUP(A683:A4724,kunishuClan!D:D,kunishuClan!B:B)&amp;"当主","")))</f>
      </c>
    </row>
    <row r="684" ht="15.75" customHeight="1">
      <c r="A684" s="4">
        <v>1011001</v>
      </c>
      <c r="B684" s="12" t="str">
        <f t="array" ref="B684">IF(A684:A4725="","",_xlfn.XLOOKUP(A684:A4725,'参照_武将'!A:A,'参照_武将'!B:B,"見つかりません"))</f>
      </c>
      <c r="C684" s="4" t="s">
        <v>138</v>
      </c>
      <c r="D684" s="4">
        <v>2</v>
      </c>
      <c r="E684" s="12" t="str">
        <f t="array" ref="E684">IF(D684:D4725="","",IFERROR(_xlfn.XLOOKUP(D684:D4725,'参照_勢力'!A:A,'参照_勢力'!B:B),IFERROR(_xlfn.XLOOKUP(F684:F4725,kunishuClan!A:A,kunishuClan!B:B),"浪人")))</f>
      </c>
      <c r="F684" s="4">
        <v>0</v>
      </c>
      <c r="G684" s="4">
        <v>24</v>
      </c>
      <c r="H684" s="12" t="str">
        <f t="array" ref="H684">IF(G684:G4725="","",_xlfn.XLOOKUP(G684:G4725,castles_state!A:A,castles_state!D:D,"見つかりません"))</f>
      </c>
      <c r="I684" s="4"/>
      <c r="J684" s="12" t="str">
        <f t="array" ref="J684">IF(I684:I4725="","",_xlfn.XLOOKUP(I684:I4725,'参照_姫'!A:A,'参照_姫'!B:B,"見つかりません"))</f>
      </c>
      <c r="K684" s="4">
        <v>85</v>
      </c>
      <c r="L684" s="4">
        <v>500</v>
      </c>
      <c r="M684" s="4"/>
      <c r="N684" s="4"/>
      <c r="O684" s="4"/>
      <c r="P684" s="12" t="str">
        <f t="array" ref="P684">IF(O684:O4725="","",_xlfn.XLOOKUP(O684:O4725,'参照_官位'!A:A,'参照_官位'!B:B,""))</f>
      </c>
      <c r="Q684" s="12" t="str">
        <f t="array" ref="Q684">IF(A684:A4725="","",IFERROR(_xlfn.XLOOKUP(A684:A4725,castles_state!K:K,castles_state!D:D)&amp;"主",IFERROR(_xlfn.XLOOKUP(A684:A4725,kunishuClan!D:D,kunishuClan!B:B)&amp;"当主","")))</f>
      </c>
    </row>
    <row r="685" ht="15.75" customHeight="1">
      <c r="A685" s="4">
        <v>1011002</v>
      </c>
      <c r="B685" s="12" t="str">
        <f t="array" ref="B685">IF(A685:A4726="","",_xlfn.XLOOKUP(A685:A4726,'参照_武将'!A:A,'参照_武将'!B:B,"見つかりません"))</f>
      </c>
      <c r="C685" s="4" t="s">
        <v>138</v>
      </c>
      <c r="D685" s="4">
        <v>1</v>
      </c>
      <c r="E685" s="12" t="str">
        <f t="array" ref="E685">IF(D685:D4726="","",IFERROR(_xlfn.XLOOKUP(D685:D4726,'参照_勢力'!A:A,'参照_勢力'!B:B),IFERROR(_xlfn.XLOOKUP(F685:F4726,kunishuClan!A:A,kunishuClan!B:B),"浪人")))</f>
      </c>
      <c r="F685" s="4">
        <v>0</v>
      </c>
      <c r="G685" s="4">
        <v>3</v>
      </c>
      <c r="H685" s="12" t="str">
        <f t="array" ref="H685">IF(G685:G4726="","",_xlfn.XLOOKUP(G685:G4726,castles_state!A:A,castles_state!D:D,"見つかりません"))</f>
      </c>
      <c r="I685" s="4"/>
      <c r="J685" s="12" t="str">
        <f t="array" ref="J685">IF(I685:I4726="","",_xlfn.XLOOKUP(I685:I4726,'参照_姫'!A:A,'参照_姫'!B:B,"見つかりません"))</f>
      </c>
      <c r="K685" s="4">
        <v>95</v>
      </c>
      <c r="L685" s="4">
        <v>500</v>
      </c>
      <c r="M685" s="4"/>
      <c r="N685" s="4"/>
      <c r="O685" s="4"/>
      <c r="P685" s="12" t="str">
        <f t="array" ref="P685">IF(O685:O4726="","",_xlfn.XLOOKUP(O685:O4726,'参照_官位'!A:A,'参照_官位'!B:B,""))</f>
      </c>
      <c r="Q685" s="12" t="str">
        <f t="array" ref="Q685">IF(A685:A4726="","",IFERROR(_xlfn.XLOOKUP(A685:A4726,castles_state!K:K,castles_state!D:D)&amp;"主",IFERROR(_xlfn.XLOOKUP(A685:A4726,kunishuClan!D:D,kunishuClan!B:B)&amp;"当主","")))</f>
      </c>
    </row>
    <row r="686" ht="15.75" customHeight="1">
      <c r="A686" s="4">
        <v>1011003</v>
      </c>
      <c r="B686" s="12" t="str">
        <f t="array" ref="B686">IF(A686:A4727="","",_xlfn.XLOOKUP(A686:A4727,'参照_武将'!A:A,'参照_武将'!B:B,"見つかりません"))</f>
      </c>
      <c r="C686" s="4" t="s">
        <v>138</v>
      </c>
      <c r="D686" s="4">
        <v>2</v>
      </c>
      <c r="E686" s="12" t="str">
        <f t="array" ref="E686">IF(D686:D4727="","",IFERROR(_xlfn.XLOOKUP(D686:D4727,'参照_勢力'!A:A,'参照_勢力'!B:B),IFERROR(_xlfn.XLOOKUP(F686:F4727,kunishuClan!A:A,kunishuClan!B:B),"浪人")))</f>
      </c>
      <c r="F686" s="4">
        <v>0</v>
      </c>
      <c r="G686" s="4">
        <v>242</v>
      </c>
      <c r="H686" s="12" t="str">
        <f t="array" ref="H686">IF(G686:G4727="","",_xlfn.XLOOKUP(G686:G4727,castles_state!A:A,castles_state!D:D,"見つかりません"))</f>
      </c>
      <c r="I686" s="4"/>
      <c r="J686" s="12" t="str">
        <f t="array" ref="J686">IF(I686:I4727="","",_xlfn.XLOOKUP(I686:I4727,'参照_姫'!A:A,'参照_姫'!B:B,"見つかりません"))</f>
      </c>
      <c r="K686" s="4">
        <v>95</v>
      </c>
      <c r="L686" s="4">
        <v>0</v>
      </c>
      <c r="M686" s="4"/>
      <c r="N686" s="4"/>
      <c r="O686" s="4"/>
      <c r="P686" s="12" t="str">
        <f t="array" ref="P686">IF(O686:O4727="","",_xlfn.XLOOKUP(O686:O4727,'参照_官位'!A:A,'参照_官位'!B:B,""))</f>
      </c>
      <c r="Q686" s="12" t="str">
        <f t="array" ref="Q686">IF(A686:A4727="","",IFERROR(_xlfn.XLOOKUP(A686:A4727,castles_state!K:K,castles_state!D:D)&amp;"主",IFERROR(_xlfn.XLOOKUP(A686:A4727,kunishuClan!D:D,kunishuClan!B:B)&amp;"当主","")))</f>
      </c>
    </row>
    <row r="687" ht="15.75" customHeight="1">
      <c r="A687" s="4">
        <v>1011004</v>
      </c>
      <c r="B687" s="12" t="str">
        <f t="array" ref="B687">IF(A687:A4728="","",_xlfn.XLOOKUP(A687:A4728,'参照_武将'!A:A,'参照_武将'!B:B,"見つかりません"))</f>
      </c>
      <c r="C687" s="4" t="s">
        <v>138</v>
      </c>
      <c r="D687" s="4">
        <v>2</v>
      </c>
      <c r="E687" s="12" t="str">
        <f t="array" ref="E687">IF(D687:D4728="","",IFERROR(_xlfn.XLOOKUP(D687:D4728,'参照_勢力'!A:A,'参照_勢力'!B:B),IFERROR(_xlfn.XLOOKUP(F687:F4728,kunishuClan!A:A,kunishuClan!B:B),"浪人")))</f>
      </c>
      <c r="F687" s="4">
        <v>0</v>
      </c>
      <c r="G687" s="4">
        <v>242</v>
      </c>
      <c r="H687" s="12" t="str">
        <f t="array" ref="H687">IF(G687:G4728="","",_xlfn.XLOOKUP(G687:G4728,castles_state!A:A,castles_state!D:D,"見つかりません"))</f>
      </c>
      <c r="I687" s="4"/>
      <c r="J687" s="12" t="str">
        <f t="array" ref="J687">IF(I687:I4728="","",_xlfn.XLOOKUP(I687:I4728,'参照_姫'!A:A,'参照_姫'!B:B,"見つかりません"))</f>
      </c>
      <c r="K687" s="4">
        <v>95</v>
      </c>
      <c r="L687" s="4">
        <v>0</v>
      </c>
      <c r="M687" s="4"/>
      <c r="N687" s="4"/>
      <c r="O687" s="4"/>
      <c r="P687" s="12" t="str">
        <f t="array" ref="P687">IF(O687:O4728="","",_xlfn.XLOOKUP(O687:O4728,'参照_官位'!A:A,'参照_官位'!B:B,""))</f>
      </c>
      <c r="Q687" s="12" t="str">
        <f t="array" ref="Q687">IF(A687:A4728="","",IFERROR(_xlfn.XLOOKUP(A687:A4728,castles_state!K:K,castles_state!D:D)&amp;"主",IFERROR(_xlfn.XLOOKUP(A687:A4728,kunishuClan!D:D,kunishuClan!B:B)&amp;"当主","")))</f>
      </c>
    </row>
    <row r="688" ht="15.75" customHeight="1">
      <c r="A688" s="4">
        <v>1011005</v>
      </c>
      <c r="B688" s="12" t="str">
        <f t="array" ref="B688">IF(A688:A4729="","",_xlfn.XLOOKUP(A688:A4729,'参照_武将'!A:A,'参照_武将'!B:B,"見つかりません"))</f>
      </c>
      <c r="C688" s="4" t="s">
        <v>138</v>
      </c>
      <c r="D688" s="4">
        <v>2</v>
      </c>
      <c r="E688" s="12" t="str">
        <f t="array" ref="E688">IF(D688:D4729="","",IFERROR(_xlfn.XLOOKUP(D688:D4729,'参照_勢力'!A:A,'参照_勢力'!B:B),IFERROR(_xlfn.XLOOKUP(F688:F4729,kunishuClan!A:A,kunishuClan!B:B),"浪人")))</f>
      </c>
      <c r="F688" s="4">
        <v>0</v>
      </c>
      <c r="G688" s="4">
        <v>242</v>
      </c>
      <c r="H688" s="12" t="str">
        <f t="array" ref="H688">IF(G688:G4729="","",_xlfn.XLOOKUP(G688:G4729,castles_state!A:A,castles_state!D:D,"見つかりません"))</f>
      </c>
      <c r="I688" s="4"/>
      <c r="J688" s="12" t="str">
        <f t="array" ref="J688">IF(I688:I4729="","",_xlfn.XLOOKUP(I688:I4729,'参照_姫'!A:A,'参照_姫'!B:B,"見つかりません"))</f>
      </c>
      <c r="K688" s="4">
        <v>95</v>
      </c>
      <c r="L688" s="4">
        <v>0</v>
      </c>
      <c r="M688" s="4"/>
      <c r="N688" s="4"/>
      <c r="O688" s="4"/>
      <c r="P688" s="12" t="str">
        <f t="array" ref="P688">IF(O688:O4729="","",_xlfn.XLOOKUP(O688:O4729,'参照_官位'!A:A,'参照_官位'!B:B,""))</f>
      </c>
      <c r="Q688" s="12" t="str">
        <f t="array" ref="Q688">IF(A688:A4729="","",IFERROR(_xlfn.XLOOKUP(A688:A4729,castles_state!K:K,castles_state!D:D)&amp;"主",IFERROR(_xlfn.XLOOKUP(A688:A4729,kunishuClan!D:D,kunishuClan!B:B)&amp;"当主","")))</f>
      </c>
    </row>
    <row r="689" ht="15.75" customHeight="1">
      <c r="A689" s="4">
        <v>1011006</v>
      </c>
      <c r="B689" s="12" t="str">
        <f t="array" ref="B689">IF(A689:A4730="","",_xlfn.XLOOKUP(A689:A4730,'参照_武将'!A:A,'参照_武将'!B:B,"見つかりません"))</f>
      </c>
      <c r="C689" s="4" t="s">
        <v>138</v>
      </c>
      <c r="D689" s="4">
        <v>2</v>
      </c>
      <c r="E689" s="12" t="str">
        <f t="array" ref="E689">IF(D689:D4730="","",IFERROR(_xlfn.XLOOKUP(D689:D4730,'参照_勢力'!A:A,'参照_勢力'!B:B),IFERROR(_xlfn.XLOOKUP(F689:F4730,kunishuClan!A:A,kunishuClan!B:B),"浪人")))</f>
      </c>
      <c r="F689" s="4">
        <v>0</v>
      </c>
      <c r="G689" s="4">
        <v>242</v>
      </c>
      <c r="H689" s="12" t="str">
        <f t="array" ref="H689">IF(G689:G4730="","",_xlfn.XLOOKUP(G689:G4730,castles_state!A:A,castles_state!D:D,"見つかりません"))</f>
      </c>
      <c r="I689" s="4"/>
      <c r="J689" s="12" t="str">
        <f t="array" ref="J689">IF(I689:I4730="","",_xlfn.XLOOKUP(I689:I4730,'参照_姫'!A:A,'参照_姫'!B:B,"見つかりません"))</f>
      </c>
      <c r="K689" s="4">
        <v>95</v>
      </c>
      <c r="L689" s="4">
        <v>0</v>
      </c>
      <c r="M689" s="4"/>
      <c r="N689" s="4"/>
      <c r="O689" s="4"/>
      <c r="P689" s="12" t="str">
        <f t="array" ref="P689">IF(O689:O4730="","",_xlfn.XLOOKUP(O689:O4730,'参照_官位'!A:A,'参照_官位'!B:B,""))</f>
      </c>
      <c r="Q689" s="12" t="str">
        <f t="array" ref="Q689">IF(A689:A4730="","",IFERROR(_xlfn.XLOOKUP(A689:A4730,castles_state!K:K,castles_state!D:D)&amp;"主",IFERROR(_xlfn.XLOOKUP(A689:A4730,kunishuClan!D:D,kunishuClan!B:B)&amp;"当主","")))</f>
      </c>
    </row>
    <row r="690" ht="15.75" customHeight="1">
      <c r="A690" s="4">
        <v>1011007</v>
      </c>
      <c r="B690" s="12" t="str">
        <f t="array" ref="B690">IF(A690:A4731="","",_xlfn.XLOOKUP(A690:A4731,'参照_武将'!A:A,'参照_武将'!B:B,"見つかりません"))</f>
      </c>
      <c r="C690" s="4" t="s">
        <v>138</v>
      </c>
      <c r="D690" s="4">
        <v>2</v>
      </c>
      <c r="E690" s="12" t="str">
        <f t="array" ref="E690">IF(D690:D4731="","",IFERROR(_xlfn.XLOOKUP(D690:D4731,'参照_勢力'!A:A,'参照_勢力'!B:B),IFERROR(_xlfn.XLOOKUP(F690:F4731,kunishuClan!A:A,kunishuClan!B:B),"浪人")))</f>
      </c>
      <c r="F690" s="4">
        <v>0</v>
      </c>
      <c r="G690" s="4">
        <v>242</v>
      </c>
      <c r="H690" s="12" t="str">
        <f t="array" ref="H690">IF(G690:G4731="","",_xlfn.XLOOKUP(G690:G4731,castles_state!A:A,castles_state!D:D,"見つかりません"))</f>
      </c>
      <c r="I690" s="4"/>
      <c r="J690" s="12" t="str">
        <f t="array" ref="J690">IF(I690:I4731="","",_xlfn.XLOOKUP(I690:I4731,'参照_姫'!A:A,'参照_姫'!B:B,"見つかりません"))</f>
      </c>
      <c r="K690" s="4">
        <v>95</v>
      </c>
      <c r="L690" s="4">
        <v>0</v>
      </c>
      <c r="M690" s="4"/>
      <c r="N690" s="4"/>
      <c r="O690" s="4"/>
      <c r="P690" s="12" t="str">
        <f t="array" ref="P690">IF(O690:O4731="","",_xlfn.XLOOKUP(O690:O4731,'参照_官位'!A:A,'参照_官位'!B:B,""))</f>
      </c>
      <c r="Q690" s="12" t="str">
        <f t="array" ref="Q690">IF(A690:A4731="","",IFERROR(_xlfn.XLOOKUP(A690:A4731,castles_state!K:K,castles_state!D:D)&amp;"主",IFERROR(_xlfn.XLOOKUP(A690:A4731,kunishuClan!D:D,kunishuClan!B:B)&amp;"当主","")))</f>
      </c>
    </row>
    <row r="691" ht="15.75" customHeight="1">
      <c r="A691" s="4">
        <v>1011008</v>
      </c>
      <c r="B691" s="12" t="str">
        <f t="array" ref="B691">IF(A691:A4732="","",_xlfn.XLOOKUP(A691:A4732,'参照_武将'!A:A,'参照_武将'!B:B,"見つかりません"))</f>
      </c>
      <c r="C691" s="4" t="s">
        <v>138</v>
      </c>
      <c r="D691" s="4">
        <v>2</v>
      </c>
      <c r="E691" s="12" t="str">
        <f t="array" ref="E691">IF(D691:D4732="","",IFERROR(_xlfn.XLOOKUP(D691:D4732,'参照_勢力'!A:A,'参照_勢力'!B:B),IFERROR(_xlfn.XLOOKUP(F691:F4732,kunishuClan!A:A,kunishuClan!B:B),"浪人")))</f>
      </c>
      <c r="F691" s="4">
        <v>0</v>
      </c>
      <c r="G691" s="4">
        <v>242</v>
      </c>
      <c r="H691" s="12" t="str">
        <f t="array" ref="H691">IF(G691:G4732="","",_xlfn.XLOOKUP(G691:G4732,castles_state!A:A,castles_state!D:D,"見つかりません"))</f>
      </c>
      <c r="I691" s="4"/>
      <c r="J691" s="12" t="str">
        <f t="array" ref="J691">IF(I691:I4732="","",_xlfn.XLOOKUP(I691:I4732,'参照_姫'!A:A,'参照_姫'!B:B,"見つかりません"))</f>
      </c>
      <c r="K691" s="4">
        <v>95</v>
      </c>
      <c r="L691" s="4">
        <v>0</v>
      </c>
      <c r="M691" s="4"/>
      <c r="N691" s="4"/>
      <c r="O691" s="4"/>
      <c r="P691" s="12" t="str">
        <f t="array" ref="P691">IF(O691:O4732="","",_xlfn.XLOOKUP(O691:O4732,'参照_官位'!A:A,'参照_官位'!B:B,""))</f>
      </c>
      <c r="Q691" s="12" t="str">
        <f t="array" ref="Q691">IF(A691:A4732="","",IFERROR(_xlfn.XLOOKUP(A691:A4732,castles_state!K:K,castles_state!D:D)&amp;"主",IFERROR(_xlfn.XLOOKUP(A691:A4732,kunishuClan!D:D,kunishuClan!B:B)&amp;"当主","")))</f>
      </c>
    </row>
    <row r="692" ht="15.75" customHeight="1">
      <c r="A692" s="4">
        <v>1011009</v>
      </c>
      <c r="B692" s="12" t="str">
        <f t="array" ref="B692">IF(A692:A4733="","",_xlfn.XLOOKUP(A692:A4733,'参照_武将'!A:A,'参照_武将'!B:B,"見つかりません"))</f>
      </c>
      <c r="C692" s="4" t="s">
        <v>138</v>
      </c>
      <c r="D692" s="4">
        <v>2</v>
      </c>
      <c r="E692" s="12" t="str">
        <f t="array" ref="E692">IF(D692:D4733="","",IFERROR(_xlfn.XLOOKUP(D692:D4733,'参照_勢力'!A:A,'参照_勢力'!B:B),IFERROR(_xlfn.XLOOKUP(F692:F4733,kunishuClan!A:A,kunishuClan!B:B),"浪人")))</f>
      </c>
      <c r="F692" s="4">
        <v>0</v>
      </c>
      <c r="G692" s="4">
        <v>242</v>
      </c>
      <c r="H692" s="12" t="str">
        <f t="array" ref="H692">IF(G692:G4733="","",_xlfn.XLOOKUP(G692:G4733,castles_state!A:A,castles_state!D:D,"見つかりません"))</f>
      </c>
      <c r="I692" s="4"/>
      <c r="J692" s="12" t="str">
        <f t="array" ref="J692">IF(I692:I4733="","",_xlfn.XLOOKUP(I692:I4733,'参照_姫'!A:A,'参照_姫'!B:B,"見つかりません"))</f>
      </c>
      <c r="K692" s="4">
        <v>95</v>
      </c>
      <c r="L692" s="4">
        <v>0</v>
      </c>
      <c r="M692" s="4"/>
      <c r="N692" s="4"/>
      <c r="O692" s="4"/>
      <c r="P692" s="12" t="str">
        <f t="array" ref="P692">IF(O692:O4733="","",_xlfn.XLOOKUP(O692:O4733,'参照_官位'!A:A,'参照_官位'!B:B,""))</f>
      </c>
      <c r="Q692" s="12" t="str">
        <f t="array" ref="Q692">IF(A692:A4733="","",IFERROR(_xlfn.XLOOKUP(A692:A4733,castles_state!K:K,castles_state!D:D)&amp;"主",IFERROR(_xlfn.XLOOKUP(A692:A4733,kunishuClan!D:D,kunishuClan!B:B)&amp;"当主","")))</f>
      </c>
    </row>
    <row r="693" ht="15.75" customHeight="1">
      <c r="A693" s="4">
        <v>1011010</v>
      </c>
      <c r="B693" s="12" t="str">
        <f t="array" ref="B693">IF(A693:A4734="","",_xlfn.XLOOKUP(A693:A4734,'参照_武将'!A:A,'参照_武将'!B:B,"見つかりません"))</f>
      </c>
      <c r="C693" s="4" t="s">
        <v>138</v>
      </c>
      <c r="D693" s="4">
        <v>2</v>
      </c>
      <c r="E693" s="12" t="str">
        <f t="array" ref="E693">IF(D693:D4734="","",IFERROR(_xlfn.XLOOKUP(D693:D4734,'参照_勢力'!A:A,'参照_勢力'!B:B),IFERROR(_xlfn.XLOOKUP(F693:F4734,kunishuClan!A:A,kunishuClan!B:B),"浪人")))</f>
      </c>
      <c r="F693" s="4">
        <v>0</v>
      </c>
      <c r="G693" s="4">
        <v>242</v>
      </c>
      <c r="H693" s="12" t="str">
        <f t="array" ref="H693">IF(G693:G4734="","",_xlfn.XLOOKUP(G693:G4734,castles_state!A:A,castles_state!D:D,"見つかりません"))</f>
      </c>
      <c r="I693" s="4"/>
      <c r="J693" s="12" t="str">
        <f t="array" ref="J693">IF(I693:I4734="","",_xlfn.XLOOKUP(I693:I4734,'参照_姫'!A:A,'参照_姫'!B:B,"見つかりません"))</f>
      </c>
      <c r="K693" s="4">
        <v>95</v>
      </c>
      <c r="L693" s="4">
        <v>0</v>
      </c>
      <c r="M693" s="4"/>
      <c r="N693" s="4"/>
      <c r="O693" s="4"/>
      <c r="P693" s="12" t="str">
        <f t="array" ref="P693">IF(O693:O4734="","",_xlfn.XLOOKUP(O693:O4734,'参照_官位'!A:A,'参照_官位'!B:B,""))</f>
      </c>
      <c r="Q693" s="12" t="str">
        <f t="array" ref="Q693">IF(A693:A4734="","",IFERROR(_xlfn.XLOOKUP(A693:A4734,castles_state!K:K,castles_state!D:D)&amp;"主",IFERROR(_xlfn.XLOOKUP(A693:A4734,kunishuClan!D:D,kunishuClan!B:B)&amp;"当主","")))</f>
      </c>
    </row>
    <row r="694" ht="15.75" customHeight="1">
      <c r="A694" s="4">
        <v>1011011</v>
      </c>
      <c r="B694" s="12" t="str">
        <f t="array" ref="B694">IF(A694:A4735="","",_xlfn.XLOOKUP(A694:A4735,'参照_武将'!A:A,'参照_武将'!B:B,"見つかりません"))</f>
      </c>
      <c r="C694" s="4" t="s">
        <v>138</v>
      </c>
      <c r="D694" s="4">
        <v>2</v>
      </c>
      <c r="E694" s="12" t="str">
        <f t="array" ref="E694">IF(D694:D4735="","",IFERROR(_xlfn.XLOOKUP(D694:D4735,'参照_勢力'!A:A,'参照_勢力'!B:B),IFERROR(_xlfn.XLOOKUP(F694:F4735,kunishuClan!A:A,kunishuClan!B:B),"浪人")))</f>
      </c>
      <c r="F694" s="4">
        <v>0</v>
      </c>
      <c r="G694" s="4">
        <v>242</v>
      </c>
      <c r="H694" s="12" t="str">
        <f t="array" ref="H694">IF(G694:G4735="","",_xlfn.XLOOKUP(G694:G4735,castles_state!A:A,castles_state!D:D,"見つかりません"))</f>
      </c>
      <c r="I694" s="4"/>
      <c r="J694" s="12" t="str">
        <f t="array" ref="J694">IF(I694:I4735="","",_xlfn.XLOOKUP(I694:I4735,'参照_姫'!A:A,'参照_姫'!B:B,"見つかりません"))</f>
      </c>
      <c r="K694" s="4">
        <v>95</v>
      </c>
      <c r="L694" s="4">
        <v>300</v>
      </c>
      <c r="M694" s="4"/>
      <c r="N694" s="4" t="b">
        <v>1</v>
      </c>
      <c r="O694" s="4"/>
      <c r="P694" s="12" t="str">
        <f t="array" ref="P694">IF(O694:O4735="","",_xlfn.XLOOKUP(O694:O4735,'参照_官位'!A:A,'参照_官位'!B:B,""))</f>
      </c>
      <c r="Q694" s="12" t="str">
        <f t="array" ref="Q694">IF(A694:A4735="","",IFERROR(_xlfn.XLOOKUP(A694:A4735,castles_state!K:K,castles_state!D:D)&amp;"主",IFERROR(_xlfn.XLOOKUP(A694:A4735,kunishuClan!D:D,kunishuClan!B:B)&amp;"当主","")))</f>
      </c>
    </row>
    <row r="695" ht="15.75" customHeight="1">
      <c r="A695" s="4">
        <v>1011012</v>
      </c>
      <c r="B695" s="12" t="str">
        <f t="array" ref="B695">IF(A695:A4736="","",_xlfn.XLOOKUP(A695:A4736,'参照_武将'!A:A,'参照_武将'!B:B,"見つかりません"))</f>
      </c>
      <c r="C695" s="4" t="s">
        <v>138</v>
      </c>
      <c r="D695" s="4">
        <v>2</v>
      </c>
      <c r="E695" s="12" t="str">
        <f t="array" ref="E695">IF(D695:D4736="","",IFERROR(_xlfn.XLOOKUP(D695:D4736,'参照_勢力'!A:A,'参照_勢力'!B:B),IFERROR(_xlfn.XLOOKUP(F695:F4736,kunishuClan!A:A,kunishuClan!B:B),"浪人")))</f>
      </c>
      <c r="F695" s="4">
        <v>0</v>
      </c>
      <c r="G695" s="4">
        <v>242</v>
      </c>
      <c r="H695" s="12" t="str">
        <f t="array" ref="H695">IF(G695:G4736="","",_xlfn.XLOOKUP(G695:G4736,castles_state!A:A,castles_state!D:D,"見つかりません"))</f>
      </c>
      <c r="I695" s="4"/>
      <c r="J695" s="12" t="str">
        <f t="array" ref="J695">IF(I695:I4736="","",_xlfn.XLOOKUP(I695:I4736,'参照_姫'!A:A,'参照_姫'!B:B,"見つかりません"))</f>
      </c>
      <c r="K695" s="4">
        <v>95</v>
      </c>
      <c r="L695" s="4">
        <v>0</v>
      </c>
      <c r="M695" s="4"/>
      <c r="N695" s="4"/>
      <c r="O695" s="4"/>
      <c r="P695" s="12" t="str">
        <f t="array" ref="P695">IF(O695:O4736="","",_xlfn.XLOOKUP(O695:O4736,'参照_官位'!A:A,'参照_官位'!B:B,""))</f>
      </c>
      <c r="Q695" s="12" t="str">
        <f t="array" ref="Q695">IF(A695:A4736="","",IFERROR(_xlfn.XLOOKUP(A695:A4736,castles_state!K:K,castles_state!D:D)&amp;"主",IFERROR(_xlfn.XLOOKUP(A695:A4736,kunishuClan!D:D,kunishuClan!B:B)&amp;"当主","")))</f>
      </c>
    </row>
    <row r="696" ht="15.75" customHeight="1">
      <c r="A696" s="4">
        <v>1011013</v>
      </c>
      <c r="B696" s="12" t="str">
        <f t="array" ref="B696">IF(A696:A4737="","",_xlfn.XLOOKUP(A696:A4737,'参照_武将'!A:A,'参照_武将'!B:B,"見つかりません"))</f>
      </c>
      <c r="C696" s="4" t="s">
        <v>138</v>
      </c>
      <c r="D696" s="4">
        <v>2</v>
      </c>
      <c r="E696" s="12" t="str">
        <f t="array" ref="E696">IF(D696:D4737="","",IFERROR(_xlfn.XLOOKUP(D696:D4737,'参照_勢力'!A:A,'参照_勢力'!B:B),IFERROR(_xlfn.XLOOKUP(F696:F4737,kunishuClan!A:A,kunishuClan!B:B),"浪人")))</f>
      </c>
      <c r="F696" s="4">
        <v>0</v>
      </c>
      <c r="G696" s="4">
        <v>242</v>
      </c>
      <c r="H696" s="12" t="str">
        <f t="array" ref="H696">IF(G696:G4737="","",_xlfn.XLOOKUP(G696:G4737,castles_state!A:A,castles_state!D:D,"見つかりません"))</f>
      </c>
      <c r="I696" s="4"/>
      <c r="J696" s="12" t="str">
        <f t="array" ref="J696">IF(I696:I4737="","",_xlfn.XLOOKUP(I696:I4737,'参照_姫'!A:A,'参照_姫'!B:B,"見つかりません"))</f>
      </c>
      <c r="K696" s="4">
        <v>95</v>
      </c>
      <c r="L696" s="4">
        <v>0</v>
      </c>
      <c r="M696" s="4"/>
      <c r="N696" s="4"/>
      <c r="O696" s="4"/>
      <c r="P696" s="12" t="str">
        <f t="array" ref="P696">IF(O696:O4737="","",_xlfn.XLOOKUP(O696:O4737,'参照_官位'!A:A,'参照_官位'!B:B,""))</f>
      </c>
      <c r="Q696" s="12" t="str">
        <f t="array" ref="Q696">IF(A696:A4737="","",IFERROR(_xlfn.XLOOKUP(A696:A4737,castles_state!K:K,castles_state!D:D)&amp;"主",IFERROR(_xlfn.XLOOKUP(A696:A4737,kunishuClan!D:D,kunishuClan!B:B)&amp;"当主","")))</f>
      </c>
    </row>
    <row r="697" ht="15.75" customHeight="1">
      <c r="A697" s="4">
        <v>1011014</v>
      </c>
      <c r="B697" s="12" t="str">
        <f t="array" ref="B697">IF(A697:A4738="","",_xlfn.XLOOKUP(A697:A4738,'参照_武将'!A:A,'参照_武将'!B:B,"見つかりません"))</f>
      </c>
      <c r="C697" s="4" t="s">
        <v>138</v>
      </c>
      <c r="D697" s="4">
        <v>2</v>
      </c>
      <c r="E697" s="12" t="str">
        <f t="array" ref="E697">IF(D697:D4738="","",IFERROR(_xlfn.XLOOKUP(D697:D4738,'参照_勢力'!A:A,'参照_勢力'!B:B),IFERROR(_xlfn.XLOOKUP(F697:F4738,kunishuClan!A:A,kunishuClan!B:B),"浪人")))</f>
      </c>
      <c r="F697" s="4">
        <v>0</v>
      </c>
      <c r="G697" s="4">
        <v>242</v>
      </c>
      <c r="H697" s="12" t="str">
        <f t="array" ref="H697">IF(G697:G4738="","",_xlfn.XLOOKUP(G697:G4738,castles_state!A:A,castles_state!D:D,"見つかりません"))</f>
      </c>
      <c r="I697" s="4"/>
      <c r="J697" s="12" t="str">
        <f t="array" ref="J697">IF(I697:I4738="","",_xlfn.XLOOKUP(I697:I4738,'参照_姫'!A:A,'参照_姫'!B:B,"見つかりません"))</f>
      </c>
      <c r="K697" s="4">
        <v>95</v>
      </c>
      <c r="L697" s="4">
        <v>0</v>
      </c>
      <c r="M697" s="4"/>
      <c r="N697" s="4"/>
      <c r="O697" s="4"/>
      <c r="P697" s="12" t="str">
        <f t="array" ref="P697">IF(O697:O4738="","",_xlfn.XLOOKUP(O697:O4738,'参照_官位'!A:A,'参照_官位'!B:B,""))</f>
      </c>
      <c r="Q697" s="12" t="str">
        <f t="array" ref="Q697">IF(A697:A4738="","",IFERROR(_xlfn.XLOOKUP(A697:A4738,castles_state!K:K,castles_state!D:D)&amp;"主",IFERROR(_xlfn.XLOOKUP(A697:A4738,kunishuClan!D:D,kunishuClan!B:B)&amp;"当主","")))</f>
      </c>
    </row>
    <row r="698" ht="15.75" customHeight="1">
      <c r="A698" s="4">
        <v>1011015</v>
      </c>
      <c r="B698" s="12" t="str">
        <f t="array" ref="B698">IF(A698:A4739="","",_xlfn.XLOOKUP(A698:A4739,'参照_武将'!A:A,'参照_武将'!B:B,"見つかりません"))</f>
      </c>
      <c r="C698" s="4" t="s">
        <v>138</v>
      </c>
      <c r="D698" s="4">
        <v>2</v>
      </c>
      <c r="E698" s="12" t="str">
        <f t="array" ref="E698">IF(D698:D4739="","",IFERROR(_xlfn.XLOOKUP(D698:D4739,'参照_勢力'!A:A,'参照_勢力'!B:B),IFERROR(_xlfn.XLOOKUP(F698:F4739,kunishuClan!A:A,kunishuClan!B:B),"浪人")))</f>
      </c>
      <c r="F698" s="4">
        <v>0</v>
      </c>
      <c r="G698" s="4">
        <v>242</v>
      </c>
      <c r="H698" s="12" t="str">
        <f t="array" ref="H698">IF(G698:G4739="","",_xlfn.XLOOKUP(G698:G4739,castles_state!A:A,castles_state!D:D,"見つかりません"))</f>
      </c>
      <c r="I698" s="4"/>
      <c r="J698" s="12" t="str">
        <f t="array" ref="J698">IF(I698:I4739="","",_xlfn.XLOOKUP(I698:I4739,'参照_姫'!A:A,'参照_姫'!B:B,"見つかりません"))</f>
      </c>
      <c r="K698" s="4">
        <v>95</v>
      </c>
      <c r="L698" s="4">
        <v>0</v>
      </c>
      <c r="M698" s="4"/>
      <c r="N698" s="4"/>
      <c r="O698" s="4"/>
      <c r="P698" s="12" t="str">
        <f t="array" ref="P698">IF(O698:O4739="","",_xlfn.XLOOKUP(O698:O4739,'参照_官位'!A:A,'参照_官位'!B:B,""))</f>
      </c>
      <c r="Q698" s="12" t="str">
        <f t="array" ref="Q698">IF(A698:A4739="","",IFERROR(_xlfn.XLOOKUP(A698:A4739,castles_state!K:K,castles_state!D:D)&amp;"主",IFERROR(_xlfn.XLOOKUP(A698:A4739,kunishuClan!D:D,kunishuClan!B:B)&amp;"当主","")))</f>
      </c>
    </row>
    <row r="699" ht="15.75" customHeight="1">
      <c r="A699" s="4">
        <v>1011016</v>
      </c>
      <c r="B699" s="12" t="str">
        <f t="array" ref="B699">IF(A699:A4740="","",_xlfn.XLOOKUP(A699:A4740,'参照_武将'!A:A,'参照_武将'!B:B,"見つかりません"))</f>
      </c>
      <c r="C699" s="4" t="s">
        <v>138</v>
      </c>
      <c r="D699" s="4">
        <v>2</v>
      </c>
      <c r="E699" s="12" t="str">
        <f t="array" ref="E699">IF(D699:D4740="","",IFERROR(_xlfn.XLOOKUP(D699:D4740,'参照_勢力'!A:A,'参照_勢力'!B:B),IFERROR(_xlfn.XLOOKUP(F699:F4740,kunishuClan!A:A,kunishuClan!B:B),"浪人")))</f>
      </c>
      <c r="F699" s="4">
        <v>0</v>
      </c>
      <c r="G699" s="4">
        <v>242</v>
      </c>
      <c r="H699" s="12" t="str">
        <f t="array" ref="H699">IF(G699:G4740="","",_xlfn.XLOOKUP(G699:G4740,castles_state!A:A,castles_state!D:D,"見つかりません"))</f>
      </c>
      <c r="I699" s="4"/>
      <c r="J699" s="12" t="str">
        <f t="array" ref="J699">IF(I699:I4740="","",_xlfn.XLOOKUP(I699:I4740,'参照_姫'!A:A,'参照_姫'!B:B,"見つかりません"))</f>
      </c>
      <c r="K699" s="4">
        <v>95</v>
      </c>
      <c r="L699" s="4">
        <v>0</v>
      </c>
      <c r="M699" s="4"/>
      <c r="N699" s="4"/>
      <c r="O699" s="4"/>
      <c r="P699" s="12" t="str">
        <f t="array" ref="P699">IF(O699:O4740="","",_xlfn.XLOOKUP(O699:O4740,'参照_官位'!A:A,'参照_官位'!B:B,""))</f>
      </c>
      <c r="Q699" s="12" t="str">
        <f t="array" ref="Q699">IF(A699:A4740="","",IFERROR(_xlfn.XLOOKUP(A699:A4740,castles_state!K:K,castles_state!D:D)&amp;"主",IFERROR(_xlfn.XLOOKUP(A699:A4740,kunishuClan!D:D,kunishuClan!B:B)&amp;"当主","")))</f>
      </c>
    </row>
    <row r="700" ht="15.75" customHeight="1">
      <c r="A700" s="4">
        <v>1011017</v>
      </c>
      <c r="B700" s="12" t="str">
        <f t="array" ref="B700">IF(A700:A4741="","",_xlfn.XLOOKUP(A700:A4741,'参照_武将'!A:A,'参照_武将'!B:B,"見つかりません"))</f>
      </c>
      <c r="C700" s="4" t="s">
        <v>138</v>
      </c>
      <c r="D700" s="4">
        <v>2</v>
      </c>
      <c r="E700" s="12" t="str">
        <f t="array" ref="E700">IF(D700:D4741="","",IFERROR(_xlfn.XLOOKUP(D700:D4741,'参照_勢力'!A:A,'参照_勢力'!B:B),IFERROR(_xlfn.XLOOKUP(F700:F4741,kunishuClan!A:A,kunishuClan!B:B),"浪人")))</f>
      </c>
      <c r="F700" s="4">
        <v>0</v>
      </c>
      <c r="G700" s="4">
        <v>242</v>
      </c>
      <c r="H700" s="12" t="str">
        <f t="array" ref="H700">IF(G700:G4741="","",_xlfn.XLOOKUP(G700:G4741,castles_state!A:A,castles_state!D:D,"見つかりません"))</f>
      </c>
      <c r="I700" s="4"/>
      <c r="J700" s="12" t="str">
        <f t="array" ref="J700">IF(I700:I4741="","",_xlfn.XLOOKUP(I700:I4741,'参照_姫'!A:A,'参照_姫'!B:B,"見つかりません"))</f>
      </c>
      <c r="K700" s="4">
        <v>95</v>
      </c>
      <c r="L700" s="4">
        <v>500</v>
      </c>
      <c r="M700" s="4"/>
      <c r="N700" s="4"/>
      <c r="O700" s="4"/>
      <c r="P700" s="12" t="str">
        <f t="array" ref="P700">IF(O700:O4741="","",_xlfn.XLOOKUP(O700:O4741,'参照_官位'!A:A,'参照_官位'!B:B,""))</f>
      </c>
      <c r="Q700" s="12" t="str">
        <f t="array" ref="Q700">IF(A700:A4741="","",IFERROR(_xlfn.XLOOKUP(A700:A4741,castles_state!K:K,castles_state!D:D)&amp;"主",IFERROR(_xlfn.XLOOKUP(A700:A4741,kunishuClan!D:D,kunishuClan!B:B)&amp;"当主","")))</f>
      </c>
    </row>
    <row r="701" ht="15.75" customHeight="1">
      <c r="A701" s="4">
        <v>1011018</v>
      </c>
      <c r="B701" s="12" t="str">
        <f t="array" ref="B701">IF(A701:A4742="","",_xlfn.XLOOKUP(A701:A4742,'参照_武将'!A:A,'参照_武将'!B:B,"見つかりません"))</f>
      </c>
      <c r="C701" s="4" t="s">
        <v>138</v>
      </c>
      <c r="D701" s="4">
        <v>2</v>
      </c>
      <c r="E701" s="12" t="str">
        <f t="array" ref="E701">IF(D701:D4742="","",IFERROR(_xlfn.XLOOKUP(D701:D4742,'参照_勢力'!A:A,'参照_勢力'!B:B),IFERROR(_xlfn.XLOOKUP(F701:F4742,kunishuClan!A:A,kunishuClan!B:B),"浪人")))</f>
      </c>
      <c r="F701" s="4">
        <v>0</v>
      </c>
      <c r="G701" s="4">
        <v>242</v>
      </c>
      <c r="H701" s="12" t="str">
        <f t="array" ref="H701">IF(G701:G4742="","",_xlfn.XLOOKUP(G701:G4742,castles_state!A:A,castles_state!D:D,"見つかりません"))</f>
      </c>
      <c r="I701" s="4"/>
      <c r="J701" s="12" t="str">
        <f t="array" ref="J701">IF(I701:I4742="","",_xlfn.XLOOKUP(I701:I4742,'参照_姫'!A:A,'参照_姫'!B:B,"見つかりません"))</f>
      </c>
      <c r="K701" s="4">
        <v>95</v>
      </c>
      <c r="L701" s="4">
        <v>0</v>
      </c>
      <c r="M701" s="4"/>
      <c r="N701" s="4"/>
      <c r="O701" s="4"/>
      <c r="P701" s="12" t="str">
        <f t="array" ref="P701">IF(O701:O4742="","",_xlfn.XLOOKUP(O701:O4742,'参照_官位'!A:A,'参照_官位'!B:B,""))</f>
      </c>
      <c r="Q701" s="12" t="str">
        <f t="array" ref="Q701">IF(A701:A4742="","",IFERROR(_xlfn.XLOOKUP(A701:A4742,castles_state!K:K,castles_state!D:D)&amp;"主",IFERROR(_xlfn.XLOOKUP(A701:A4742,kunishuClan!D:D,kunishuClan!B:B)&amp;"当主","")))</f>
      </c>
    </row>
    <row r="702" ht="15.75" customHeight="1">
      <c r="A702" s="4">
        <v>1011019</v>
      </c>
      <c r="B702" s="12" t="str">
        <f t="array" ref="B702">IF(A702:A4743="","",_xlfn.XLOOKUP(A702:A4743,'参照_武将'!A:A,'参照_武将'!B:B,"見つかりません"))</f>
      </c>
      <c r="C702" s="4" t="s">
        <v>138</v>
      </c>
      <c r="D702" s="4">
        <v>2</v>
      </c>
      <c r="E702" s="12" t="str">
        <f t="array" ref="E702">IF(D702:D4743="","",IFERROR(_xlfn.XLOOKUP(D702:D4743,'参照_勢力'!A:A,'参照_勢力'!B:B),IFERROR(_xlfn.XLOOKUP(F702:F4743,kunishuClan!A:A,kunishuClan!B:B),"浪人")))</f>
      </c>
      <c r="F702" s="4">
        <v>0</v>
      </c>
      <c r="G702" s="4">
        <v>242</v>
      </c>
      <c r="H702" s="12" t="str">
        <f t="array" ref="H702">IF(G702:G4743="","",_xlfn.XLOOKUP(G702:G4743,castles_state!A:A,castles_state!D:D,"見つかりません"))</f>
      </c>
      <c r="I702" s="4"/>
      <c r="J702" s="12" t="str">
        <f t="array" ref="J702">IF(I702:I4743="","",_xlfn.XLOOKUP(I702:I4743,'参照_姫'!A:A,'参照_姫'!B:B,"見つかりません"))</f>
      </c>
      <c r="K702" s="4">
        <v>95</v>
      </c>
      <c r="L702" s="4">
        <v>0</v>
      </c>
      <c r="M702" s="4"/>
      <c r="N702" s="4"/>
      <c r="O702" s="4"/>
      <c r="P702" s="12" t="str">
        <f t="array" ref="P702">IF(O702:O4743="","",_xlfn.XLOOKUP(O702:O4743,'参照_官位'!A:A,'参照_官位'!B:B,""))</f>
      </c>
      <c r="Q702" s="12" t="str">
        <f t="array" ref="Q702">IF(A702:A4743="","",IFERROR(_xlfn.XLOOKUP(A702:A4743,castles_state!K:K,castles_state!D:D)&amp;"主",IFERROR(_xlfn.XLOOKUP(A702:A4743,kunishuClan!D:D,kunishuClan!B:B)&amp;"当主","")))</f>
      </c>
    </row>
    <row r="703" ht="15.75" customHeight="1">
      <c r="A703" s="4">
        <v>1011020</v>
      </c>
      <c r="B703" s="12" t="str">
        <f t="array" ref="B703">IF(A703:A4744="","",_xlfn.XLOOKUP(A703:A4744,'参照_武将'!A:A,'参照_武将'!B:B,"見つかりません"))</f>
      </c>
      <c r="C703" s="4" t="s">
        <v>138</v>
      </c>
      <c r="D703" s="4">
        <v>2</v>
      </c>
      <c r="E703" s="12" t="str">
        <f t="array" ref="E703">IF(D703:D4744="","",IFERROR(_xlfn.XLOOKUP(D703:D4744,'参照_勢力'!A:A,'参照_勢力'!B:B),IFERROR(_xlfn.XLOOKUP(F703:F4744,kunishuClan!A:A,kunishuClan!B:B),"浪人")))</f>
      </c>
      <c r="F703" s="4">
        <v>0</v>
      </c>
      <c r="G703" s="4">
        <v>242</v>
      </c>
      <c r="H703" s="12" t="str">
        <f t="array" ref="H703">IF(G703:G4744="","",_xlfn.XLOOKUP(G703:G4744,castles_state!A:A,castles_state!D:D,"見つかりません"))</f>
      </c>
      <c r="I703" s="4"/>
      <c r="J703" s="12" t="str">
        <f t="array" ref="J703">IF(I703:I4744="","",_xlfn.XLOOKUP(I703:I4744,'参照_姫'!A:A,'参照_姫'!B:B,"見つかりません"))</f>
      </c>
      <c r="K703" s="4">
        <v>95</v>
      </c>
      <c r="L703" s="4">
        <v>0</v>
      </c>
      <c r="M703" s="4"/>
      <c r="N703" s="4"/>
      <c r="O703" s="4"/>
      <c r="P703" s="12" t="str">
        <f t="array" ref="P703">IF(O703:O4744="","",_xlfn.XLOOKUP(O703:O4744,'参照_官位'!A:A,'参照_官位'!B:B,""))</f>
      </c>
      <c r="Q703" s="12" t="str">
        <f t="array" ref="Q703">IF(A703:A4744="","",IFERROR(_xlfn.XLOOKUP(A703:A4744,castles_state!K:K,castles_state!D:D)&amp;"主",IFERROR(_xlfn.XLOOKUP(A703:A4744,kunishuClan!D:D,kunishuClan!B:B)&amp;"当主","")))</f>
      </c>
    </row>
    <row r="704" ht="15.75" customHeight="1">
      <c r="A704" s="4">
        <v>1011021</v>
      </c>
      <c r="B704" s="12" t="str">
        <f t="array" ref="B704">IF(A704:A4745="","",_xlfn.XLOOKUP(A704:A4745,'参照_武将'!A:A,'参照_武将'!B:B,"見つかりません"))</f>
      </c>
      <c r="C704" s="4" t="s">
        <v>138</v>
      </c>
      <c r="D704" s="4">
        <v>2</v>
      </c>
      <c r="E704" s="12" t="str">
        <f t="array" ref="E704">IF(D704:D4745="","",IFERROR(_xlfn.XLOOKUP(D704:D4745,'参照_勢力'!A:A,'参照_勢力'!B:B),IFERROR(_xlfn.XLOOKUP(F704:F4745,kunishuClan!A:A,kunishuClan!B:B),"浪人")))</f>
      </c>
      <c r="F704" s="4">
        <v>0</v>
      </c>
      <c r="G704" s="4">
        <v>242</v>
      </c>
      <c r="H704" s="12" t="str">
        <f t="array" ref="H704">IF(G704:G4745="","",_xlfn.XLOOKUP(G704:G4745,castles_state!A:A,castles_state!D:D,"見つかりません"))</f>
      </c>
      <c r="I704" s="4"/>
      <c r="J704" s="12" t="str">
        <f t="array" ref="J704">IF(I704:I4745="","",_xlfn.XLOOKUP(I704:I4745,'参照_姫'!A:A,'参照_姫'!B:B,"見つかりません"))</f>
      </c>
      <c r="K704" s="4">
        <v>95</v>
      </c>
      <c r="L704" s="4">
        <v>500</v>
      </c>
      <c r="M704" s="4"/>
      <c r="N704" s="4"/>
      <c r="O704" s="4"/>
      <c r="P704" s="12" t="str">
        <f t="array" ref="P704">IF(O704:O4745="","",_xlfn.XLOOKUP(O704:O4745,'参照_官位'!A:A,'参照_官位'!B:B,""))</f>
      </c>
      <c r="Q704" s="12" t="str">
        <f t="array" ref="Q704">IF(A704:A4745="","",IFERROR(_xlfn.XLOOKUP(A704:A4745,castles_state!K:K,castles_state!D:D)&amp;"主",IFERROR(_xlfn.XLOOKUP(A704:A4745,kunishuClan!D:D,kunishuClan!B:B)&amp;"当主","")))</f>
      </c>
    </row>
    <row r="705" ht="15.75" customHeight="1">
      <c r="A705" s="4">
        <v>1011022</v>
      </c>
      <c r="B705" s="12" t="str">
        <f t="array" ref="B705">IF(A705:A4746="","",_xlfn.XLOOKUP(A705:A4746,'参照_武将'!A:A,'参照_武将'!B:B,"見つかりません"))</f>
      </c>
      <c r="C705" s="4" t="s">
        <v>138</v>
      </c>
      <c r="D705" s="4">
        <v>2</v>
      </c>
      <c r="E705" s="12" t="str">
        <f t="array" ref="E705">IF(D705:D4746="","",IFERROR(_xlfn.XLOOKUP(D705:D4746,'参照_勢力'!A:A,'参照_勢力'!B:B),IFERROR(_xlfn.XLOOKUP(F705:F4746,kunishuClan!A:A,kunishuClan!B:B),"浪人")))</f>
      </c>
      <c r="F705" s="4">
        <v>0</v>
      </c>
      <c r="G705" s="4">
        <v>242</v>
      </c>
      <c r="H705" s="12" t="str">
        <f t="array" ref="H705">IF(G705:G4746="","",_xlfn.XLOOKUP(G705:G4746,castles_state!A:A,castles_state!D:D,"見つかりません"))</f>
      </c>
      <c r="I705" s="4"/>
      <c r="J705" s="12" t="str">
        <f t="array" ref="J705">IF(I705:I4746="","",_xlfn.XLOOKUP(I705:I4746,'参照_姫'!A:A,'参照_姫'!B:B,"見つかりません"))</f>
      </c>
      <c r="K705" s="4">
        <v>95</v>
      </c>
      <c r="L705" s="4">
        <v>0</v>
      </c>
      <c r="M705" s="4"/>
      <c r="N705" s="4"/>
      <c r="O705" s="4"/>
      <c r="P705" s="12" t="str">
        <f t="array" ref="P705">IF(O705:O4746="","",_xlfn.XLOOKUP(O705:O4746,'参照_官位'!A:A,'参照_官位'!B:B,""))</f>
      </c>
      <c r="Q705" s="12" t="str">
        <f t="array" ref="Q705">IF(A705:A4746="","",IFERROR(_xlfn.XLOOKUP(A705:A4746,castles_state!K:K,castles_state!D:D)&amp;"主",IFERROR(_xlfn.XLOOKUP(A705:A4746,kunishuClan!D:D,kunishuClan!B:B)&amp;"当主","")))</f>
      </c>
    </row>
    <row r="706" ht="15.75" customHeight="1">
      <c r="A706" s="4">
        <v>1011023</v>
      </c>
      <c r="B706" s="12" t="str">
        <f t="array" ref="B706">IF(A706:A4747="","",_xlfn.XLOOKUP(A706:A4747,'参照_武将'!A:A,'参照_武将'!B:B,"見つかりません"))</f>
      </c>
      <c r="C706" s="4" t="s">
        <v>138</v>
      </c>
      <c r="D706" s="4">
        <v>2</v>
      </c>
      <c r="E706" s="12" t="str">
        <f t="array" ref="E706">IF(D706:D4747="","",IFERROR(_xlfn.XLOOKUP(D706:D4747,'参照_勢力'!A:A,'参照_勢力'!B:B),IFERROR(_xlfn.XLOOKUP(F706:F4747,kunishuClan!A:A,kunishuClan!B:B),"浪人")))</f>
      </c>
      <c r="F706" s="4">
        <v>0</v>
      </c>
      <c r="G706" s="4">
        <v>242</v>
      </c>
      <c r="H706" s="12" t="str">
        <f t="array" ref="H706">IF(G706:G4747="","",_xlfn.XLOOKUP(G706:G4747,castles_state!A:A,castles_state!D:D,"見つかりません"))</f>
      </c>
      <c r="I706" s="4"/>
      <c r="J706" s="12" t="str">
        <f t="array" ref="J706">IF(I706:I4747="","",_xlfn.XLOOKUP(I706:I4747,'参照_姫'!A:A,'参照_姫'!B:B,"見つかりません"))</f>
      </c>
      <c r="K706" s="4">
        <v>95</v>
      </c>
      <c r="L706" s="4">
        <v>0</v>
      </c>
      <c r="M706" s="4"/>
      <c r="N706" s="4"/>
      <c r="O706" s="4"/>
      <c r="P706" s="12" t="str">
        <f t="array" ref="P706">IF(O706:O4747="","",_xlfn.XLOOKUP(O706:O4747,'参照_官位'!A:A,'参照_官位'!B:B,""))</f>
      </c>
      <c r="Q706" s="12" t="str">
        <f t="array" ref="Q706">IF(A706:A4747="","",IFERROR(_xlfn.XLOOKUP(A706:A4747,castles_state!K:K,castles_state!D:D)&amp;"主",IFERROR(_xlfn.XLOOKUP(A706:A4747,kunishuClan!D:D,kunishuClan!B:B)&amp;"当主","")))</f>
      </c>
    </row>
    <row r="707" ht="15.75" customHeight="1">
      <c r="A707" s="4">
        <v>1012001</v>
      </c>
      <c r="B707" s="12" t="str">
        <f t="array" ref="B707">IF(A707:A4748="","",_xlfn.XLOOKUP(A707:A4748,'参照_武将'!A:A,'参照_武将'!B:B,"見つかりません"))</f>
      </c>
      <c r="C707" s="4" t="s">
        <v>5913</v>
      </c>
      <c r="D707" s="4">
        <v>12</v>
      </c>
      <c r="E707" s="12" t="str">
        <f t="array" ref="E707">IF(D707:D4748="","",IFERROR(_xlfn.XLOOKUP(D707:D4748,'参照_勢力'!A:A,'参照_勢力'!B:B),IFERROR(_xlfn.XLOOKUP(F707:F4748,kunishuClan!A:A,kunishuClan!B:B),"浪人")))</f>
      </c>
      <c r="F707" s="4">
        <v>0</v>
      </c>
      <c r="G707" s="4">
        <v>4</v>
      </c>
      <c r="H707" s="12" t="str">
        <f t="array" ref="H707">IF(G707:G4748="","",_xlfn.XLOOKUP(G707:G4748,castles_state!A:A,castles_state!D:D,"見つかりません"))</f>
      </c>
      <c r="I707" s="4"/>
      <c r="J707" s="12" t="str">
        <f t="array" ref="J707">IF(I707:I4748="","",_xlfn.XLOOKUP(I707:I4748,'参照_姫'!A:A,'参照_姫'!B:B,"見つかりません"))</f>
      </c>
      <c r="K707" s="4">
        <v>95</v>
      </c>
      <c r="L707" s="4">
        <v>0</v>
      </c>
      <c r="M707" s="4"/>
      <c r="N707" s="4"/>
      <c r="O707" s="4"/>
      <c r="P707" s="12" t="str">
        <f t="array" ref="P707">IF(O707:O4748="","",_xlfn.XLOOKUP(O707:O4748,'参照_官位'!A:A,'参照_官位'!B:B,""))</f>
      </c>
      <c r="Q707" s="12" t="str">
        <f t="array" ref="Q707">IF(A707:A4748="","",IFERROR(_xlfn.XLOOKUP(A707:A4748,castles_state!K:K,castles_state!D:D)&amp;"主",IFERROR(_xlfn.XLOOKUP(A707:A4748,kunishuClan!D:D,kunishuClan!B:B)&amp;"当主","")))</f>
      </c>
    </row>
    <row r="708" ht="15.75" customHeight="1">
      <c r="A708" s="4">
        <v>1012002</v>
      </c>
      <c r="B708" s="12" t="str">
        <f t="array" ref="B708">IF(A708:A4749="","",_xlfn.XLOOKUP(A708:A4749,'参照_武将'!A:A,'参照_武将'!B:B,"見つかりません"))</f>
      </c>
      <c r="C708" s="4" t="s">
        <v>5913</v>
      </c>
      <c r="D708" s="4">
        <v>12</v>
      </c>
      <c r="E708" s="12" t="str">
        <f t="array" ref="E708">IF(D708:D4749="","",IFERROR(_xlfn.XLOOKUP(D708:D4749,'参照_勢力'!A:A,'参照_勢力'!B:B),IFERROR(_xlfn.XLOOKUP(F708:F4749,kunishuClan!A:A,kunishuClan!B:B),"浪人")))</f>
      </c>
      <c r="F708" s="4">
        <v>0</v>
      </c>
      <c r="G708" s="4">
        <v>4</v>
      </c>
      <c r="H708" s="12" t="str">
        <f t="array" ref="H708">IF(G708:G4749="","",_xlfn.XLOOKUP(G708:G4749,castles_state!A:A,castles_state!D:D,"見つかりません"))</f>
      </c>
      <c r="I708" s="4"/>
      <c r="J708" s="12" t="str">
        <f t="array" ref="J708">IF(I708:I4749="","",_xlfn.XLOOKUP(I708:I4749,'参照_姫'!A:A,'参照_姫'!B:B,"見つかりません"))</f>
      </c>
      <c r="K708" s="4">
        <v>95</v>
      </c>
      <c r="L708" s="4">
        <v>0</v>
      </c>
      <c r="M708" s="4"/>
      <c r="N708" s="4"/>
      <c r="O708" s="4"/>
      <c r="P708" s="12" t="str">
        <f t="array" ref="P708">IF(O708:O4749="","",_xlfn.XLOOKUP(O708:O4749,'参照_官位'!A:A,'参照_官位'!B:B,""))</f>
      </c>
      <c r="Q708" s="12" t="str">
        <f t="array" ref="Q708">IF(A708:A4749="","",IFERROR(_xlfn.XLOOKUP(A708:A4749,castles_state!K:K,castles_state!D:D)&amp;"主",IFERROR(_xlfn.XLOOKUP(A708:A4749,kunishuClan!D:D,kunishuClan!B:B)&amp;"当主","")))</f>
      </c>
    </row>
    <row r="709" ht="15.75" customHeight="1">
      <c r="A709" s="4">
        <v>1012003</v>
      </c>
      <c r="B709" s="12" t="str">
        <f t="array" ref="B709">IF(A709:A4750="","",_xlfn.XLOOKUP(A709:A4750,'参照_武将'!A:A,'参照_武将'!B:B,"見つかりません"))</f>
      </c>
      <c r="C709" s="4" t="s">
        <v>5913</v>
      </c>
      <c r="D709" s="4">
        <v>12</v>
      </c>
      <c r="E709" s="12" t="str">
        <f t="array" ref="E709">IF(D709:D4750="","",IFERROR(_xlfn.XLOOKUP(D709:D4750,'参照_勢力'!A:A,'参照_勢力'!B:B),IFERROR(_xlfn.XLOOKUP(F709:F4750,kunishuClan!A:A,kunishuClan!B:B),"浪人")))</f>
      </c>
      <c r="F709" s="4">
        <v>0</v>
      </c>
      <c r="G709" s="4">
        <v>4</v>
      </c>
      <c r="H709" s="12" t="str">
        <f t="array" ref="H709">IF(G709:G4750="","",_xlfn.XLOOKUP(G709:G4750,castles_state!A:A,castles_state!D:D,"見つかりません"))</f>
      </c>
      <c r="I709" s="4"/>
      <c r="J709" s="12" t="str">
        <f t="array" ref="J709">IF(I709:I4750="","",_xlfn.XLOOKUP(I709:I4750,'参照_姫'!A:A,'参照_姫'!B:B,"見つかりません"))</f>
      </c>
      <c r="K709" s="4">
        <v>95</v>
      </c>
      <c r="L709" s="4">
        <v>0</v>
      </c>
      <c r="M709" s="4"/>
      <c r="N709" s="4"/>
      <c r="O709" s="4"/>
      <c r="P709" s="12" t="str">
        <f t="array" ref="P709">IF(O709:O4750="","",_xlfn.XLOOKUP(O709:O4750,'参照_官位'!A:A,'参照_官位'!B:B,""))</f>
      </c>
      <c r="Q709" s="12" t="str">
        <f t="array" ref="Q709">IF(A709:A4750="","",IFERROR(_xlfn.XLOOKUP(A709:A4750,castles_state!K:K,castles_state!D:D)&amp;"主",IFERROR(_xlfn.XLOOKUP(A709:A4750,kunishuClan!D:D,kunishuClan!B:B)&amp;"当主","")))</f>
      </c>
    </row>
    <row r="710" ht="15.75" customHeight="1">
      <c r="A710" s="4">
        <v>1012004</v>
      </c>
      <c r="B710" s="12" t="str">
        <f t="array" ref="B710">IF(A710:A4751="","",_xlfn.XLOOKUP(A710:A4751,'参照_武将'!A:A,'参照_武将'!B:B,"見つかりません"))</f>
      </c>
      <c r="C710" s="4" t="s">
        <v>5913</v>
      </c>
      <c r="D710" s="4">
        <v>12</v>
      </c>
      <c r="E710" s="12" t="str">
        <f t="array" ref="E710">IF(D710:D4751="","",IFERROR(_xlfn.XLOOKUP(D710:D4751,'参照_勢力'!A:A,'参照_勢力'!B:B),IFERROR(_xlfn.XLOOKUP(F710:F4751,kunishuClan!A:A,kunishuClan!B:B),"浪人")))</f>
      </c>
      <c r="F710" s="4">
        <v>0</v>
      </c>
      <c r="G710" s="4">
        <v>4</v>
      </c>
      <c r="H710" s="12" t="str">
        <f t="array" ref="H710">IF(G710:G4751="","",_xlfn.XLOOKUP(G710:G4751,castles_state!A:A,castles_state!D:D,"見つかりません"))</f>
      </c>
      <c r="I710" s="4"/>
      <c r="J710" s="12" t="str">
        <f t="array" ref="J710">IF(I710:I4751="","",_xlfn.XLOOKUP(I710:I4751,'参照_姫'!A:A,'参照_姫'!B:B,"見つかりません"))</f>
      </c>
      <c r="K710" s="4">
        <v>95</v>
      </c>
      <c r="L710" s="4">
        <v>0</v>
      </c>
      <c r="M710" s="4"/>
      <c r="N710" s="4"/>
      <c r="O710" s="4"/>
      <c r="P710" s="12" t="str">
        <f t="array" ref="P710">IF(O710:O4751="","",_xlfn.XLOOKUP(O710:O4751,'参照_官位'!A:A,'参照_官位'!B:B,""))</f>
      </c>
      <c r="Q710" s="12" t="str">
        <f t="array" ref="Q710">IF(A710:A4751="","",IFERROR(_xlfn.XLOOKUP(A710:A4751,castles_state!K:K,castles_state!D:D)&amp;"主",IFERROR(_xlfn.XLOOKUP(A710:A4751,kunishuClan!D:D,kunishuClan!B:B)&amp;"当主","")))</f>
      </c>
    </row>
    <row r="711" ht="15.75" customHeight="1">
      <c r="A711" s="4">
        <v>1012005</v>
      </c>
      <c r="B711" s="12" t="str">
        <f t="array" ref="B711">IF(A711:A4752="","",_xlfn.XLOOKUP(A711:A4752,'参照_武将'!A:A,'参照_武将'!B:B,"見つかりません"))</f>
      </c>
      <c r="C711" s="4" t="s">
        <v>5913</v>
      </c>
      <c r="D711" s="4">
        <v>12</v>
      </c>
      <c r="E711" s="12" t="str">
        <f t="array" ref="E711">IF(D711:D4752="","",IFERROR(_xlfn.XLOOKUP(D711:D4752,'参照_勢力'!A:A,'参照_勢力'!B:B),IFERROR(_xlfn.XLOOKUP(F711:F4752,kunishuClan!A:A,kunishuClan!B:B),"浪人")))</f>
      </c>
      <c r="F711" s="4">
        <v>0</v>
      </c>
      <c r="G711" s="4">
        <v>4</v>
      </c>
      <c r="H711" s="12" t="str">
        <f t="array" ref="H711">IF(G711:G4752="","",_xlfn.XLOOKUP(G711:G4752,castles_state!A:A,castles_state!D:D,"見つかりません"))</f>
      </c>
      <c r="I711" s="4"/>
      <c r="J711" s="12" t="str">
        <f t="array" ref="J711">IF(I711:I4752="","",_xlfn.XLOOKUP(I711:I4752,'参照_姫'!A:A,'参照_姫'!B:B,"見つかりません"))</f>
      </c>
      <c r="K711" s="4">
        <v>95</v>
      </c>
      <c r="L711" s="4">
        <v>0</v>
      </c>
      <c r="M711" s="4"/>
      <c r="N711" s="4"/>
      <c r="O711" s="4"/>
      <c r="P711" s="12" t="str">
        <f t="array" ref="P711">IF(O711:O4752="","",_xlfn.XLOOKUP(O711:O4752,'参照_官位'!A:A,'参照_官位'!B:B,""))</f>
      </c>
      <c r="Q711" s="12" t="str">
        <f t="array" ref="Q711">IF(A711:A4752="","",IFERROR(_xlfn.XLOOKUP(A711:A4752,castles_state!K:K,castles_state!D:D)&amp;"主",IFERROR(_xlfn.XLOOKUP(A711:A4752,kunishuClan!D:D,kunishuClan!B:B)&amp;"当主","")))</f>
      </c>
    </row>
    <row r="712" ht="15.75" customHeight="1">
      <c r="A712" s="4">
        <v>1012006</v>
      </c>
      <c r="B712" s="12" t="str">
        <f t="array" ref="B712">IF(A712:A4753="","",_xlfn.XLOOKUP(A712:A4753,'参照_武将'!A:A,'参照_武将'!B:B,"見つかりません"))</f>
      </c>
      <c r="C712" s="4" t="s">
        <v>5913</v>
      </c>
      <c r="D712" s="4">
        <v>12</v>
      </c>
      <c r="E712" s="12" t="str">
        <f t="array" ref="E712">IF(D712:D4753="","",IFERROR(_xlfn.XLOOKUP(D712:D4753,'参照_勢力'!A:A,'参照_勢力'!B:B),IFERROR(_xlfn.XLOOKUP(F712:F4753,kunishuClan!A:A,kunishuClan!B:B),"浪人")))</f>
      </c>
      <c r="F712" s="4">
        <v>0</v>
      </c>
      <c r="G712" s="4">
        <v>4</v>
      </c>
      <c r="H712" s="12" t="str">
        <f t="array" ref="H712">IF(G712:G4753="","",_xlfn.XLOOKUP(G712:G4753,castles_state!A:A,castles_state!D:D,"見つかりません"))</f>
      </c>
      <c r="I712" s="4"/>
      <c r="J712" s="12" t="str">
        <f t="array" ref="J712">IF(I712:I4753="","",_xlfn.XLOOKUP(I712:I4753,'参照_姫'!A:A,'参照_姫'!B:B,"見つかりません"))</f>
      </c>
      <c r="K712" s="4">
        <v>95</v>
      </c>
      <c r="L712" s="4">
        <v>200</v>
      </c>
      <c r="M712" s="4"/>
      <c r="N712" s="4" t="b">
        <v>1</v>
      </c>
      <c r="O712" s="4"/>
      <c r="P712" s="12" t="str">
        <f t="array" ref="P712">IF(O712:O4753="","",_xlfn.XLOOKUP(O712:O4753,'参照_官位'!A:A,'参照_官位'!B:B,""))</f>
      </c>
      <c r="Q712" s="12" t="str">
        <f t="array" ref="Q712">IF(A712:A4753="","",IFERROR(_xlfn.XLOOKUP(A712:A4753,castles_state!K:K,castles_state!D:D)&amp;"主",IFERROR(_xlfn.XLOOKUP(A712:A4753,kunishuClan!D:D,kunishuClan!B:B)&amp;"当主","")))</f>
      </c>
    </row>
    <row r="713" ht="15.75" customHeight="1">
      <c r="A713" s="4">
        <v>1012007</v>
      </c>
      <c r="B713" s="12" t="str">
        <f t="array" ref="B713">IF(A713:A4754="","",_xlfn.XLOOKUP(A713:A4754,'参照_武将'!A:A,'参照_武将'!B:B,"見つかりません"))</f>
      </c>
      <c r="C713" s="4" t="s">
        <v>5913</v>
      </c>
      <c r="D713" s="4">
        <v>12</v>
      </c>
      <c r="E713" s="12" t="str">
        <f t="array" ref="E713">IF(D713:D4754="","",IFERROR(_xlfn.XLOOKUP(D713:D4754,'参照_勢力'!A:A,'参照_勢力'!B:B),IFERROR(_xlfn.XLOOKUP(F713:F4754,kunishuClan!A:A,kunishuClan!B:B),"浪人")))</f>
      </c>
      <c r="F713" s="4">
        <v>0</v>
      </c>
      <c r="G713" s="4">
        <v>4</v>
      </c>
      <c r="H713" s="12" t="str">
        <f t="array" ref="H713">IF(G713:G4754="","",_xlfn.XLOOKUP(G713:G4754,castles_state!A:A,castles_state!D:D,"見つかりません"))</f>
      </c>
      <c r="I713" s="4"/>
      <c r="J713" s="12" t="str">
        <f t="array" ref="J713">IF(I713:I4754="","",_xlfn.XLOOKUP(I713:I4754,'参照_姫'!A:A,'参照_姫'!B:B,"見つかりません"))</f>
      </c>
      <c r="K713" s="4">
        <v>100</v>
      </c>
      <c r="L713" s="4">
        <v>1000</v>
      </c>
      <c r="M713" s="4"/>
      <c r="N713" s="4"/>
      <c r="O713" s="4"/>
      <c r="P713" s="12" t="str">
        <f t="array" ref="P713">IF(O713:O4754="","",_xlfn.XLOOKUP(O713:O4754,'参照_官位'!A:A,'参照_官位'!B:B,""))</f>
      </c>
      <c r="Q713" s="12" t="str">
        <f t="array" ref="Q713">IF(A713:A4754="","",IFERROR(_xlfn.XLOOKUP(A713:A4754,castles_state!K:K,castles_state!D:D)&amp;"主",IFERROR(_xlfn.XLOOKUP(A713:A4754,kunishuClan!D:D,kunishuClan!B:B)&amp;"当主","")))</f>
      </c>
    </row>
    <row r="714" ht="15.75" customHeight="1">
      <c r="A714" s="4">
        <v>1012008</v>
      </c>
      <c r="B714" s="12" t="str">
        <f t="array" ref="B714">IF(A714:A4755="","",_xlfn.XLOOKUP(A714:A4755,'参照_武将'!A:A,'参照_武将'!B:B,"見つかりません"))</f>
      </c>
      <c r="C714" s="4" t="s">
        <v>5913</v>
      </c>
      <c r="D714" s="4">
        <v>12</v>
      </c>
      <c r="E714" s="12" t="str">
        <f t="array" ref="E714">IF(D714:D4755="","",IFERROR(_xlfn.XLOOKUP(D714:D4755,'参照_勢力'!A:A,'参照_勢力'!B:B),IFERROR(_xlfn.XLOOKUP(F714:F4755,kunishuClan!A:A,kunishuClan!B:B),"浪人")))</f>
      </c>
      <c r="F714" s="4">
        <v>0</v>
      </c>
      <c r="G714" s="4">
        <v>4</v>
      </c>
      <c r="H714" s="12" t="str">
        <f t="array" ref="H714">IF(G714:G4755="","",_xlfn.XLOOKUP(G714:G4755,castles_state!A:A,castles_state!D:D,"見つかりません"))</f>
      </c>
      <c r="I714" s="4"/>
      <c r="J714" s="12" t="str">
        <f t="array" ref="J714">IF(I714:I4755="","",_xlfn.XLOOKUP(I714:I4755,'参照_姫'!A:A,'参照_姫'!B:B,"見つかりません"))</f>
      </c>
      <c r="K714" s="4">
        <v>95</v>
      </c>
      <c r="L714" s="4">
        <v>0</v>
      </c>
      <c r="M714" s="4"/>
      <c r="N714" s="4"/>
      <c r="O714" s="4"/>
      <c r="P714" s="12" t="str">
        <f t="array" ref="P714">IF(O714:O4755="","",_xlfn.XLOOKUP(O714:O4755,'参照_官位'!A:A,'参照_官位'!B:B,""))</f>
      </c>
      <c r="Q714" s="12" t="str">
        <f t="array" ref="Q714">IF(A714:A4755="","",IFERROR(_xlfn.XLOOKUP(A714:A4755,castles_state!K:K,castles_state!D:D)&amp;"主",IFERROR(_xlfn.XLOOKUP(A714:A4755,kunishuClan!D:D,kunishuClan!B:B)&amp;"当主","")))</f>
      </c>
    </row>
    <row r="715" ht="15.75" customHeight="1">
      <c r="A715" s="4">
        <v>1012009</v>
      </c>
      <c r="B715" s="12" t="str">
        <f t="array" ref="B715">IF(A715:A4756="","",_xlfn.XLOOKUP(A715:A4756,'参照_武将'!A:A,'参照_武将'!B:B,"見つかりません"))</f>
      </c>
      <c r="C715" s="4" t="s">
        <v>5914</v>
      </c>
      <c r="D715" s="4">
        <v>12</v>
      </c>
      <c r="E715" s="12" t="str">
        <f t="array" ref="E715">IF(D715:D4756="","",IFERROR(_xlfn.XLOOKUP(D715:D4756,'参照_勢力'!A:A,'参照_勢力'!B:B),IFERROR(_xlfn.XLOOKUP(F715:F4756,kunishuClan!A:A,kunishuClan!B:B),"浪人")))</f>
      </c>
      <c r="F715" s="4">
        <v>0</v>
      </c>
      <c r="G715" s="4">
        <v>4</v>
      </c>
      <c r="H715" s="12" t="str">
        <f t="array" ref="H715">IF(G715:G4756="","",_xlfn.XLOOKUP(G715:G4756,castles_state!A:A,castles_state!D:D,"見つかりません"))</f>
      </c>
      <c r="I715" s="4"/>
      <c r="J715" s="12" t="str">
        <f t="array" ref="J715">IF(I715:I4756="","",_xlfn.XLOOKUP(I715:I4756,'参照_姫'!A:A,'参照_姫'!B:B,"見つかりません"))</f>
      </c>
      <c r="K715" s="4">
        <v>95</v>
      </c>
      <c r="L715" s="4">
        <v>0</v>
      </c>
      <c r="M715" s="4"/>
      <c r="N715" s="4"/>
      <c r="O715" s="4"/>
      <c r="P715" s="12" t="str">
        <f t="array" ref="P715">IF(O715:O4756="","",_xlfn.XLOOKUP(O715:O4756,'参照_官位'!A:A,'参照_官位'!B:B,""))</f>
      </c>
      <c r="Q715" s="12" t="str">
        <f t="array" ref="Q715">IF(A715:A4756="","",IFERROR(_xlfn.XLOOKUP(A715:A4756,castles_state!K:K,castles_state!D:D)&amp;"主",IFERROR(_xlfn.XLOOKUP(A715:A4756,kunishuClan!D:D,kunishuClan!B:B)&amp;"当主","")))</f>
      </c>
    </row>
    <row r="716" ht="15.75" customHeight="1">
      <c r="A716" s="4">
        <v>1012010</v>
      </c>
      <c r="B716" s="12" t="str">
        <f t="array" ref="B716">IF(A716:A4757="","",_xlfn.XLOOKUP(A716:A4757,'参照_武将'!A:A,'参照_武将'!B:B,"見つかりません"))</f>
      </c>
      <c r="C716" s="4" t="s">
        <v>5914</v>
      </c>
      <c r="D716" s="4">
        <v>12</v>
      </c>
      <c r="E716" s="12" t="str">
        <f t="array" ref="E716">IF(D716:D4757="","",IFERROR(_xlfn.XLOOKUP(D716:D4757,'参照_勢力'!A:A,'参照_勢力'!B:B),IFERROR(_xlfn.XLOOKUP(F716:F4757,kunishuClan!A:A,kunishuClan!B:B),"浪人")))</f>
      </c>
      <c r="F716" s="4">
        <v>0</v>
      </c>
      <c r="G716" s="4">
        <v>4</v>
      </c>
      <c r="H716" s="12" t="str">
        <f t="array" ref="H716">IF(G716:G4757="","",_xlfn.XLOOKUP(G716:G4757,castles_state!A:A,castles_state!D:D,"見つかりません"))</f>
      </c>
      <c r="I716" s="4"/>
      <c r="J716" s="12" t="str">
        <f t="array" ref="J716">IF(I716:I4757="","",_xlfn.XLOOKUP(I716:I4757,'参照_姫'!A:A,'参照_姫'!B:B,"見つかりません"))</f>
      </c>
      <c r="K716" s="4">
        <v>95</v>
      </c>
      <c r="L716" s="4">
        <v>0</v>
      </c>
      <c r="M716" s="4"/>
      <c r="N716" s="4"/>
      <c r="O716" s="4"/>
      <c r="P716" s="12" t="str">
        <f t="array" ref="P716">IF(O716:O4757="","",_xlfn.XLOOKUP(O716:O4757,'参照_官位'!A:A,'参照_官位'!B:B,""))</f>
      </c>
      <c r="Q716" s="12" t="str">
        <f t="array" ref="Q716">IF(A716:A4757="","",IFERROR(_xlfn.XLOOKUP(A716:A4757,castles_state!K:K,castles_state!D:D)&amp;"主",IFERROR(_xlfn.XLOOKUP(A716:A4757,kunishuClan!D:D,kunishuClan!B:B)&amp;"当主","")))</f>
      </c>
    </row>
    <row r="717" ht="15.75" customHeight="1">
      <c r="A717" s="4">
        <v>1012011</v>
      </c>
      <c r="B717" s="12" t="str">
        <f t="array" ref="B717">IF(A717:A4758="","",_xlfn.XLOOKUP(A717:A4758,'参照_武将'!A:A,'参照_武将'!B:B,"見つかりません"))</f>
      </c>
      <c r="C717" s="4" t="s">
        <v>5915</v>
      </c>
      <c r="D717" s="4">
        <v>12</v>
      </c>
      <c r="E717" s="12" t="str">
        <f t="array" ref="E717">IF(D717:D4758="","",IFERROR(_xlfn.XLOOKUP(D717:D4758,'参照_勢力'!A:A,'参照_勢力'!B:B),IFERROR(_xlfn.XLOOKUP(F717:F4758,kunishuClan!A:A,kunishuClan!B:B),"浪人")))</f>
      </c>
      <c r="F717" s="4">
        <v>0</v>
      </c>
      <c r="G717" s="4">
        <v>4</v>
      </c>
      <c r="H717" s="12" t="str">
        <f t="array" ref="H717">IF(G717:G4758="","",_xlfn.XLOOKUP(G717:G4758,castles_state!A:A,castles_state!D:D,"見つかりません"))</f>
      </c>
      <c r="I717" s="4"/>
      <c r="J717" s="12" t="str">
        <f t="array" ref="J717">IF(I717:I4758="","",_xlfn.XLOOKUP(I717:I4758,'参照_姫'!A:A,'参照_姫'!B:B,"見つかりません"))</f>
      </c>
      <c r="K717" s="4">
        <v>90</v>
      </c>
      <c r="L717" s="4">
        <v>500</v>
      </c>
      <c r="M717" s="4" t="b">
        <v>1</v>
      </c>
      <c r="N717" s="4"/>
      <c r="O717" s="4"/>
      <c r="P717" s="12" t="str">
        <f t="array" ref="P717">IF(O717:O4758="","",_xlfn.XLOOKUP(O717:O4758,'参照_官位'!A:A,'参照_官位'!B:B,""))</f>
      </c>
      <c r="Q717" s="12" t="str">
        <f t="array" ref="Q717">IF(A717:A4758="","",IFERROR(_xlfn.XLOOKUP(A717:A4758,castles_state!K:K,castles_state!D:D)&amp;"主",IFERROR(_xlfn.XLOOKUP(A717:A4758,kunishuClan!D:D,kunishuClan!B:B)&amp;"当主","")))</f>
      </c>
    </row>
    <row r="718" ht="15.75" customHeight="1">
      <c r="A718" s="4">
        <v>1012012</v>
      </c>
      <c r="B718" s="12" t="str">
        <f t="array" ref="B718">IF(A718:A4759="","",_xlfn.XLOOKUP(A718:A4759,'参照_武将'!A:A,'参照_武将'!B:B,"見つかりません"))</f>
      </c>
      <c r="C718" s="4" t="s">
        <v>5915</v>
      </c>
      <c r="D718" s="4">
        <v>12</v>
      </c>
      <c r="E718" s="12" t="str">
        <f t="array" ref="E718">IF(D718:D4759="","",IFERROR(_xlfn.XLOOKUP(D718:D4759,'参照_勢力'!A:A,'参照_勢力'!B:B),IFERROR(_xlfn.XLOOKUP(F718:F4759,kunishuClan!A:A,kunishuClan!B:B),"浪人")))</f>
      </c>
      <c r="F718" s="4">
        <v>0</v>
      </c>
      <c r="G718" s="4">
        <v>4</v>
      </c>
      <c r="H718" s="12" t="str">
        <f t="array" ref="H718">IF(G718:G4759="","",_xlfn.XLOOKUP(G718:G4759,castles_state!A:A,castles_state!D:D,"見つかりません"))</f>
      </c>
      <c r="I718" s="4"/>
      <c r="J718" s="12" t="str">
        <f t="array" ref="J718">IF(I718:I4759="","",_xlfn.XLOOKUP(I718:I4759,'参照_姫'!A:A,'参照_姫'!B:B,"見つかりません"))</f>
      </c>
      <c r="K718" s="4">
        <v>90</v>
      </c>
      <c r="L718" s="4">
        <v>0</v>
      </c>
      <c r="M718" s="4"/>
      <c r="N718" s="4"/>
      <c r="O718" s="4"/>
      <c r="P718" s="12" t="str">
        <f t="array" ref="P718">IF(O718:O4759="","",_xlfn.XLOOKUP(O718:O4759,'参照_官位'!A:A,'参照_官位'!B:B,""))</f>
      </c>
      <c r="Q718" s="12" t="str">
        <f t="array" ref="Q718">IF(A718:A4759="","",IFERROR(_xlfn.XLOOKUP(A718:A4759,castles_state!K:K,castles_state!D:D)&amp;"主",IFERROR(_xlfn.XLOOKUP(A718:A4759,kunishuClan!D:D,kunishuClan!B:B)&amp;"当主","")))</f>
      </c>
    </row>
    <row r="719" ht="15.75" customHeight="1">
      <c r="A719" s="4">
        <v>1012013</v>
      </c>
      <c r="B719" s="12" t="str">
        <f t="array" ref="B719">IF(A719:A4760="","",_xlfn.XLOOKUP(A719:A4760,'参照_武将'!A:A,'参照_武将'!B:B,"見つかりません"))</f>
      </c>
      <c r="C719" s="4" t="s">
        <v>5915</v>
      </c>
      <c r="D719" s="4">
        <v>12</v>
      </c>
      <c r="E719" s="12" t="str">
        <f t="array" ref="E719">IF(D719:D4760="","",IFERROR(_xlfn.XLOOKUP(D719:D4760,'参照_勢力'!A:A,'参照_勢力'!B:B),IFERROR(_xlfn.XLOOKUP(F719:F4760,kunishuClan!A:A,kunishuClan!B:B),"浪人")))</f>
      </c>
      <c r="F719" s="4">
        <v>0</v>
      </c>
      <c r="G719" s="4">
        <v>4</v>
      </c>
      <c r="H719" s="12" t="str">
        <f t="array" ref="H719">IF(G719:G4760="","",_xlfn.XLOOKUP(G719:G4760,castles_state!A:A,castles_state!D:D,"見つかりません"))</f>
      </c>
      <c r="I719" s="4"/>
      <c r="J719" s="12" t="str">
        <f t="array" ref="J719">IF(I719:I4760="","",_xlfn.XLOOKUP(I719:I4760,'参照_姫'!A:A,'参照_姫'!B:B,"見つかりません"))</f>
      </c>
      <c r="K719" s="4">
        <v>90</v>
      </c>
      <c r="L719" s="4">
        <v>0</v>
      </c>
      <c r="M719" s="4"/>
      <c r="N719" s="4"/>
      <c r="O719" s="4"/>
      <c r="P719" s="12" t="str">
        <f t="array" ref="P719">IF(O719:O4760="","",_xlfn.XLOOKUP(O719:O4760,'参照_官位'!A:A,'参照_官位'!B:B,""))</f>
      </c>
      <c r="Q719" s="12" t="str">
        <f t="array" ref="Q719">IF(A719:A4760="","",IFERROR(_xlfn.XLOOKUP(A719:A4760,castles_state!K:K,castles_state!D:D)&amp;"主",IFERROR(_xlfn.XLOOKUP(A719:A4760,kunishuClan!D:D,kunishuClan!B:B)&amp;"当主","")))</f>
      </c>
    </row>
    <row r="720" ht="15.75" customHeight="1">
      <c r="A720" s="4">
        <v>1012014</v>
      </c>
      <c r="B720" s="12" t="str">
        <f t="array" ref="B720">IF(A720:A4761="","",_xlfn.XLOOKUP(A720:A4761,'参照_武将'!A:A,'参照_武将'!B:B,"見つかりません"))</f>
      </c>
      <c r="C720" s="4" t="s">
        <v>5915</v>
      </c>
      <c r="D720" s="4">
        <v>12</v>
      </c>
      <c r="E720" s="12" t="str">
        <f t="array" ref="E720">IF(D720:D4761="","",IFERROR(_xlfn.XLOOKUP(D720:D4761,'参照_勢力'!A:A,'参照_勢力'!B:B),IFERROR(_xlfn.XLOOKUP(F720:F4761,kunishuClan!A:A,kunishuClan!B:B),"浪人")))</f>
      </c>
      <c r="F720" s="4">
        <v>0</v>
      </c>
      <c r="G720" s="4">
        <v>4</v>
      </c>
      <c r="H720" s="12" t="str">
        <f t="array" ref="H720">IF(G720:G4761="","",_xlfn.XLOOKUP(G720:G4761,castles_state!A:A,castles_state!D:D,"見つかりません"))</f>
      </c>
      <c r="I720" s="4"/>
      <c r="J720" s="12" t="str">
        <f t="array" ref="J720">IF(I720:I4761="","",_xlfn.XLOOKUP(I720:I4761,'参照_姫'!A:A,'参照_姫'!B:B,"見つかりません"))</f>
      </c>
      <c r="K720" s="4">
        <v>90</v>
      </c>
      <c r="L720" s="4">
        <v>0</v>
      </c>
      <c r="M720" s="4"/>
      <c r="N720" s="4"/>
      <c r="O720" s="4"/>
      <c r="P720" s="12" t="str">
        <f t="array" ref="P720">IF(O720:O4761="","",_xlfn.XLOOKUP(O720:O4761,'参照_官位'!A:A,'参照_官位'!B:B,""))</f>
      </c>
      <c r="Q720" s="12" t="str">
        <f t="array" ref="Q720">IF(A720:A4761="","",IFERROR(_xlfn.XLOOKUP(A720:A4761,castles_state!K:K,castles_state!D:D)&amp;"主",IFERROR(_xlfn.XLOOKUP(A720:A4761,kunishuClan!D:D,kunishuClan!B:B)&amp;"当主","")))</f>
      </c>
    </row>
    <row r="721" ht="15.75" customHeight="1">
      <c r="A721" s="4">
        <v>1012015</v>
      </c>
      <c r="B721" s="12" t="str">
        <f t="array" ref="B721">IF(A721:A4762="","",_xlfn.XLOOKUP(A721:A4762,'参照_武将'!A:A,'参照_武将'!B:B,"見つかりません"))</f>
      </c>
      <c r="C721" s="4" t="s">
        <v>5916</v>
      </c>
      <c r="D721" s="4">
        <v>12</v>
      </c>
      <c r="E721" s="12" t="str">
        <f t="array" ref="E721">IF(D721:D4762="","",IFERROR(_xlfn.XLOOKUP(D721:D4762,'参照_勢力'!A:A,'参照_勢力'!B:B),IFERROR(_xlfn.XLOOKUP(F721:F4762,kunishuClan!A:A,kunishuClan!B:B),"浪人")))</f>
      </c>
      <c r="F721" s="4">
        <v>0</v>
      </c>
      <c r="G721" s="4">
        <v>4</v>
      </c>
      <c r="H721" s="12" t="str">
        <f t="array" ref="H721">IF(G721:G4762="","",_xlfn.XLOOKUP(G721:G4762,castles_state!A:A,castles_state!D:D,"見つかりません"))</f>
      </c>
      <c r="I721" s="4"/>
      <c r="J721" s="12" t="str">
        <f t="array" ref="J721">IF(I721:I4762="","",_xlfn.XLOOKUP(I721:I4762,'参照_姫'!A:A,'参照_姫'!B:B,"見つかりません"))</f>
      </c>
      <c r="K721" s="4">
        <v>95</v>
      </c>
      <c r="L721" s="4">
        <v>0</v>
      </c>
      <c r="M721" s="4"/>
      <c r="N721" s="4"/>
      <c r="O721" s="4"/>
      <c r="P721" s="12" t="str">
        <f t="array" ref="P721">IF(O721:O4762="","",_xlfn.XLOOKUP(O721:O4762,'参照_官位'!A:A,'参照_官位'!B:B,""))</f>
      </c>
      <c r="Q721" s="12" t="str">
        <f t="array" ref="Q721">IF(A721:A4762="","",IFERROR(_xlfn.XLOOKUP(A721:A4762,castles_state!K:K,castles_state!D:D)&amp;"主",IFERROR(_xlfn.XLOOKUP(A721:A4762,kunishuClan!D:D,kunishuClan!B:B)&amp;"当主","")))</f>
      </c>
    </row>
    <row r="722" ht="15.75" customHeight="1">
      <c r="A722" s="4">
        <v>1012016</v>
      </c>
      <c r="B722" s="12" t="str">
        <f t="array" ref="B722">IF(A722:A4763="","",_xlfn.XLOOKUP(A722:A4763,'参照_武将'!A:A,'参照_武将'!B:B,"見つかりません"))</f>
      </c>
      <c r="C722" s="4" t="s">
        <v>5916</v>
      </c>
      <c r="D722" s="4">
        <v>12</v>
      </c>
      <c r="E722" s="12" t="str">
        <f t="array" ref="E722">IF(D722:D4763="","",IFERROR(_xlfn.XLOOKUP(D722:D4763,'参照_勢力'!A:A,'参照_勢力'!B:B),IFERROR(_xlfn.XLOOKUP(F722:F4763,kunishuClan!A:A,kunishuClan!B:B),"浪人")))</f>
      </c>
      <c r="F722" s="4">
        <v>0</v>
      </c>
      <c r="G722" s="4">
        <v>4</v>
      </c>
      <c r="H722" s="12" t="str">
        <f t="array" ref="H722">IF(G722:G4763="","",_xlfn.XLOOKUP(G722:G4763,castles_state!A:A,castles_state!D:D,"見つかりません"))</f>
      </c>
      <c r="I722" s="4"/>
      <c r="J722" s="12" t="str">
        <f t="array" ref="J722">IF(I722:I4763="","",_xlfn.XLOOKUP(I722:I4763,'参照_姫'!A:A,'参照_姫'!B:B,"見つかりません"))</f>
      </c>
      <c r="K722" s="4">
        <v>95</v>
      </c>
      <c r="L722" s="4">
        <v>0</v>
      </c>
      <c r="M722" s="4"/>
      <c r="N722" s="4"/>
      <c r="O722" s="4"/>
      <c r="P722" s="12" t="str">
        <f t="array" ref="P722">IF(O722:O4763="","",_xlfn.XLOOKUP(O722:O4763,'参照_官位'!A:A,'参照_官位'!B:B,""))</f>
      </c>
      <c r="Q722" s="12" t="str">
        <f t="array" ref="Q722">IF(A722:A4763="","",IFERROR(_xlfn.XLOOKUP(A722:A4763,castles_state!K:K,castles_state!D:D)&amp;"主",IFERROR(_xlfn.XLOOKUP(A722:A4763,kunishuClan!D:D,kunishuClan!B:B)&amp;"当主","")))</f>
      </c>
    </row>
    <row r="723" ht="15.75" customHeight="1">
      <c r="A723" s="4">
        <v>1012017</v>
      </c>
      <c r="B723" s="12" t="str">
        <f t="array" ref="B723">IF(A723:A4764="","",_xlfn.XLOOKUP(A723:A4764,'参照_武将'!A:A,'参照_武将'!B:B,"見つかりません"))</f>
      </c>
      <c r="C723" s="4" t="s">
        <v>5916</v>
      </c>
      <c r="D723" s="4">
        <v>12</v>
      </c>
      <c r="E723" s="12" t="str">
        <f t="array" ref="E723">IF(D723:D4764="","",IFERROR(_xlfn.XLOOKUP(D723:D4764,'参照_勢力'!A:A,'参照_勢力'!B:B),IFERROR(_xlfn.XLOOKUP(F723:F4764,kunishuClan!A:A,kunishuClan!B:B),"浪人")))</f>
      </c>
      <c r="F723" s="4">
        <v>0</v>
      </c>
      <c r="G723" s="4">
        <v>4</v>
      </c>
      <c r="H723" s="12" t="str">
        <f t="array" ref="H723">IF(G723:G4764="","",_xlfn.XLOOKUP(G723:G4764,castles_state!A:A,castles_state!D:D,"見つかりません"))</f>
      </c>
      <c r="I723" s="4"/>
      <c r="J723" s="12" t="str">
        <f t="array" ref="J723">IF(I723:I4764="","",_xlfn.XLOOKUP(I723:I4764,'参照_姫'!A:A,'参照_姫'!B:B,"見つかりません"))</f>
      </c>
      <c r="K723" s="4">
        <v>95</v>
      </c>
      <c r="L723" s="4">
        <v>500</v>
      </c>
      <c r="M723" s="4"/>
      <c r="N723" s="4"/>
      <c r="O723" s="4"/>
      <c r="P723" s="12" t="str">
        <f t="array" ref="P723">IF(O723:O4764="","",_xlfn.XLOOKUP(O723:O4764,'参照_官位'!A:A,'参照_官位'!B:B,""))</f>
      </c>
      <c r="Q723" s="12" t="str">
        <f t="array" ref="Q723">IF(A723:A4764="","",IFERROR(_xlfn.XLOOKUP(A723:A4764,castles_state!K:K,castles_state!D:D)&amp;"主",IFERROR(_xlfn.XLOOKUP(A723:A4764,kunishuClan!D:D,kunishuClan!B:B)&amp;"当主","")))</f>
      </c>
    </row>
    <row r="724" ht="15.75" customHeight="1">
      <c r="A724" s="4">
        <v>1012018</v>
      </c>
      <c r="B724" s="12" t="str">
        <f t="array" ref="B724">IF(A724:A4765="","",_xlfn.XLOOKUP(A724:A4765,'参照_武将'!A:A,'参照_武将'!B:B,"見つかりません"))</f>
      </c>
      <c r="C724" s="4" t="s">
        <v>5916</v>
      </c>
      <c r="D724" s="4">
        <v>12</v>
      </c>
      <c r="E724" s="12" t="str">
        <f t="array" ref="E724">IF(D724:D4765="","",IFERROR(_xlfn.XLOOKUP(D724:D4765,'参照_勢力'!A:A,'参照_勢力'!B:B),IFERROR(_xlfn.XLOOKUP(F724:F4765,kunishuClan!A:A,kunishuClan!B:B),"浪人")))</f>
      </c>
      <c r="F724" s="4">
        <v>0</v>
      </c>
      <c r="G724" s="4">
        <v>4</v>
      </c>
      <c r="H724" s="12" t="str">
        <f t="array" ref="H724">IF(G724:G4765="","",_xlfn.XLOOKUP(G724:G4765,castles_state!A:A,castles_state!D:D,"見つかりません"))</f>
      </c>
      <c r="I724" s="4"/>
      <c r="J724" s="12" t="str">
        <f t="array" ref="J724">IF(I724:I4765="","",_xlfn.XLOOKUP(I724:I4765,'参照_姫'!A:A,'参照_姫'!B:B,"見つかりません"))</f>
      </c>
      <c r="K724" s="4">
        <v>95</v>
      </c>
      <c r="L724" s="4">
        <v>0</v>
      </c>
      <c r="M724" s="4"/>
      <c r="N724" s="4"/>
      <c r="O724" s="4"/>
      <c r="P724" s="12" t="str">
        <f t="array" ref="P724">IF(O724:O4765="","",_xlfn.XLOOKUP(O724:O4765,'参照_官位'!A:A,'参照_官位'!B:B,""))</f>
      </c>
      <c r="Q724" s="12" t="str">
        <f t="array" ref="Q724">IF(A724:A4765="","",IFERROR(_xlfn.XLOOKUP(A724:A4765,castles_state!K:K,castles_state!D:D)&amp;"主",IFERROR(_xlfn.XLOOKUP(A724:A4765,kunishuClan!D:D,kunishuClan!B:B)&amp;"当主","")))</f>
      </c>
    </row>
    <row r="725" ht="15.75" customHeight="1">
      <c r="A725" s="4">
        <v>1012019</v>
      </c>
      <c r="B725" s="12" t="str">
        <f t="array" ref="B725">IF(A725:A4766="","",_xlfn.XLOOKUP(A725:A4766,'参照_武将'!A:A,'参照_武将'!B:B,"見つかりません"))</f>
      </c>
      <c r="C725" s="4" t="s">
        <v>5916</v>
      </c>
      <c r="D725" s="4">
        <v>12</v>
      </c>
      <c r="E725" s="12" t="str">
        <f t="array" ref="E725">IF(D725:D4766="","",IFERROR(_xlfn.XLOOKUP(D725:D4766,'参照_勢力'!A:A,'参照_勢力'!B:B),IFERROR(_xlfn.XLOOKUP(F725:F4766,kunishuClan!A:A,kunishuClan!B:B),"浪人")))</f>
      </c>
      <c r="F725" s="4">
        <v>0</v>
      </c>
      <c r="G725" s="4">
        <v>4</v>
      </c>
      <c r="H725" s="12" t="str">
        <f t="array" ref="H725">IF(G725:G4766="","",_xlfn.XLOOKUP(G725:G4766,castles_state!A:A,castles_state!D:D,"見つかりません"))</f>
      </c>
      <c r="I725" s="4"/>
      <c r="J725" s="12" t="str">
        <f t="array" ref="J725">IF(I725:I4766="","",_xlfn.XLOOKUP(I725:I4766,'参照_姫'!A:A,'参照_姫'!B:B,"見つかりません"))</f>
      </c>
      <c r="K725" s="4">
        <v>95</v>
      </c>
      <c r="L725" s="4">
        <v>0</v>
      </c>
      <c r="M725" s="4"/>
      <c r="N725" s="4"/>
      <c r="O725" s="4"/>
      <c r="P725" s="12" t="str">
        <f t="array" ref="P725">IF(O725:O4766="","",_xlfn.XLOOKUP(O725:O4766,'参照_官位'!A:A,'参照_官位'!B:B,""))</f>
      </c>
      <c r="Q725" s="12" t="str">
        <f t="array" ref="Q725">IF(A725:A4766="","",IFERROR(_xlfn.XLOOKUP(A725:A4766,castles_state!K:K,castles_state!D:D)&amp;"主",IFERROR(_xlfn.XLOOKUP(A725:A4766,kunishuClan!D:D,kunishuClan!B:B)&amp;"当主","")))</f>
      </c>
    </row>
    <row r="726" ht="15.75" customHeight="1">
      <c r="A726" s="4">
        <v>1012020</v>
      </c>
      <c r="B726" s="12" t="str">
        <f t="array" ref="B726">IF(A726:A4767="","",_xlfn.XLOOKUP(A726:A4767,'参照_武将'!A:A,'参照_武将'!B:B,"見つかりません"))</f>
      </c>
      <c r="C726" s="4" t="s">
        <v>5916</v>
      </c>
      <c r="D726" s="4">
        <v>12</v>
      </c>
      <c r="E726" s="12" t="str">
        <f t="array" ref="E726">IF(D726:D4767="","",IFERROR(_xlfn.XLOOKUP(D726:D4767,'参照_勢力'!A:A,'参照_勢力'!B:B),IFERROR(_xlfn.XLOOKUP(F726:F4767,kunishuClan!A:A,kunishuClan!B:B),"浪人")))</f>
      </c>
      <c r="F726" s="4">
        <v>0</v>
      </c>
      <c r="G726" s="4">
        <v>4</v>
      </c>
      <c r="H726" s="12" t="str">
        <f t="array" ref="H726">IF(G726:G4767="","",_xlfn.XLOOKUP(G726:G4767,castles_state!A:A,castles_state!D:D,"見つかりません"))</f>
      </c>
      <c r="I726" s="4"/>
      <c r="J726" s="12" t="str">
        <f t="array" ref="J726">IF(I726:I4767="","",_xlfn.XLOOKUP(I726:I4767,'参照_姫'!A:A,'参照_姫'!B:B,"見つかりません"))</f>
      </c>
      <c r="K726" s="4">
        <v>95</v>
      </c>
      <c r="L726" s="4">
        <v>0</v>
      </c>
      <c r="M726" s="4"/>
      <c r="N726" s="4"/>
      <c r="O726" s="4"/>
      <c r="P726" s="12" t="str">
        <f t="array" ref="P726">IF(O726:O4767="","",_xlfn.XLOOKUP(O726:O4767,'参照_官位'!A:A,'参照_官位'!B:B,""))</f>
      </c>
      <c r="Q726" s="12" t="str">
        <f t="array" ref="Q726">IF(A726:A4767="","",IFERROR(_xlfn.XLOOKUP(A726:A4767,castles_state!K:K,castles_state!D:D)&amp;"主",IFERROR(_xlfn.XLOOKUP(A726:A4767,kunishuClan!D:D,kunishuClan!B:B)&amp;"当主","")))</f>
      </c>
    </row>
    <row r="727" ht="15.75" customHeight="1">
      <c r="A727" s="4">
        <v>1012021</v>
      </c>
      <c r="B727" s="12" t="str">
        <f t="array" ref="B727">IF(A727:A4768="","",_xlfn.XLOOKUP(A727:A4768,'参照_武将'!A:A,'参照_武将'!B:B,"見つかりません"))</f>
      </c>
      <c r="C727" s="4" t="s">
        <v>141</v>
      </c>
      <c r="D727" s="4">
        <v>12</v>
      </c>
      <c r="E727" s="12" t="str">
        <f t="array" ref="E727">IF(D727:D4768="","",IFERROR(_xlfn.XLOOKUP(D727:D4768,'参照_勢力'!A:A,'参照_勢力'!B:B),IFERROR(_xlfn.XLOOKUP(F727:F4768,kunishuClan!A:A,kunishuClan!B:B),"浪人")))</f>
      </c>
      <c r="F727" s="4">
        <v>0</v>
      </c>
      <c r="G727" s="4">
        <v>4</v>
      </c>
      <c r="H727" s="12" t="str">
        <f t="array" ref="H727">IF(G727:G4768="","",_xlfn.XLOOKUP(G727:G4768,castles_state!A:A,castles_state!D:D,"見つかりません"))</f>
      </c>
      <c r="I727" s="4"/>
      <c r="J727" s="12" t="str">
        <f t="array" ref="J727">IF(I727:I4768="","",_xlfn.XLOOKUP(I727:I4768,'参照_姫'!A:A,'参照_姫'!B:B,"見つかりません"))</f>
      </c>
      <c r="K727" s="4">
        <v>95</v>
      </c>
      <c r="L727" s="4">
        <v>0</v>
      </c>
      <c r="M727" s="4"/>
      <c r="N727" s="4" t="b">
        <v>1</v>
      </c>
      <c r="O727" s="4"/>
      <c r="P727" s="12" t="str">
        <f t="array" ref="P727">IF(O727:O4768="","",_xlfn.XLOOKUP(O727:O4768,'参照_官位'!A:A,'参照_官位'!B:B,""))</f>
      </c>
      <c r="Q727" s="12" t="str">
        <f t="array" ref="Q727">IF(A727:A4768="","",IFERROR(_xlfn.XLOOKUP(A727:A4768,castles_state!K:K,castles_state!D:D)&amp;"主",IFERROR(_xlfn.XLOOKUP(A727:A4768,kunishuClan!D:D,kunishuClan!B:B)&amp;"当主","")))</f>
      </c>
    </row>
    <row r="728" ht="15.75" customHeight="1">
      <c r="A728" s="4">
        <v>1012022</v>
      </c>
      <c r="B728" s="12" t="str">
        <f t="array" ref="B728">IF(A728:A4769="","",_xlfn.XLOOKUP(A728:A4769,'参照_武将'!A:A,'参照_武将'!B:B,"見つかりません"))</f>
      </c>
      <c r="C728" s="4" t="s">
        <v>141</v>
      </c>
      <c r="D728" s="4">
        <v>12</v>
      </c>
      <c r="E728" s="12" t="str">
        <f t="array" ref="E728">IF(D728:D4769="","",IFERROR(_xlfn.XLOOKUP(D728:D4769,'参照_勢力'!A:A,'参照_勢力'!B:B),IFERROR(_xlfn.XLOOKUP(F728:F4769,kunishuClan!A:A,kunishuClan!B:B),"浪人")))</f>
      </c>
      <c r="F728" s="4">
        <v>0</v>
      </c>
      <c r="G728" s="4">
        <v>4</v>
      </c>
      <c r="H728" s="12" t="str">
        <f t="array" ref="H728">IF(G728:G4769="","",_xlfn.XLOOKUP(G728:G4769,castles_state!A:A,castles_state!D:D,"見つかりません"))</f>
      </c>
      <c r="I728" s="4"/>
      <c r="J728" s="12" t="str">
        <f t="array" ref="J728">IF(I728:I4769="","",_xlfn.XLOOKUP(I728:I4769,'参照_姫'!A:A,'参照_姫'!B:B,"見つかりません"))</f>
      </c>
      <c r="K728" s="4">
        <v>95</v>
      </c>
      <c r="L728" s="4">
        <v>0</v>
      </c>
      <c r="M728" s="4"/>
      <c r="N728" s="4"/>
      <c r="O728" s="4"/>
      <c r="P728" s="12" t="str">
        <f t="array" ref="P728">IF(O728:O4769="","",_xlfn.XLOOKUP(O728:O4769,'参照_官位'!A:A,'参照_官位'!B:B,""))</f>
      </c>
      <c r="Q728" s="12" t="str">
        <f t="array" ref="Q728">IF(A728:A4769="","",IFERROR(_xlfn.XLOOKUP(A728:A4769,castles_state!K:K,castles_state!D:D)&amp;"主",IFERROR(_xlfn.XLOOKUP(A728:A4769,kunishuClan!D:D,kunishuClan!B:B)&amp;"当主","")))</f>
      </c>
    </row>
    <row r="729" ht="15.75" customHeight="1">
      <c r="A729" s="4">
        <v>1013001</v>
      </c>
      <c r="B729" s="12" t="str">
        <f t="array" ref="B729">IF(A729:A4770="","",_xlfn.XLOOKUP(A729:A4770,'参照_武将'!A:A,'参照_武将'!B:B,"見つかりません"))</f>
      </c>
      <c r="C729" s="4" t="s">
        <v>5917</v>
      </c>
      <c r="D729" s="4">
        <v>13</v>
      </c>
      <c r="E729" s="12" t="str">
        <f t="array" ref="E729">IF(D729:D4770="","",IFERROR(_xlfn.XLOOKUP(D729:D4770,'参照_勢力'!A:A,'参照_勢力'!B:B),IFERROR(_xlfn.XLOOKUP(F729:F4770,kunishuClan!A:A,kunishuClan!B:B),"浪人")))</f>
      </c>
      <c r="F729" s="4">
        <v>0</v>
      </c>
      <c r="G729" s="4">
        <v>21</v>
      </c>
      <c r="H729" s="12" t="str">
        <f t="array" ref="H729">IF(G729:G4770="","",_xlfn.XLOOKUP(G729:G4770,castles_state!A:A,castles_state!D:D,"見つかりません"))</f>
      </c>
      <c r="I729" s="4"/>
      <c r="J729" s="12" t="str">
        <f t="array" ref="J729">IF(I729:I4770="","",_xlfn.XLOOKUP(I729:I4770,'参照_姫'!A:A,'参照_姫'!B:B,"見つかりません"))</f>
      </c>
      <c r="K729" s="4">
        <v>95</v>
      </c>
      <c r="L729" s="4">
        <v>0</v>
      </c>
      <c r="M729" s="4"/>
      <c r="N729" s="4"/>
      <c r="O729" s="4"/>
      <c r="P729" s="12" t="str">
        <f t="array" ref="P729">IF(O729:O4770="","",_xlfn.XLOOKUP(O729:O4770,'参照_官位'!A:A,'参照_官位'!B:B,""))</f>
      </c>
      <c r="Q729" s="12" t="str">
        <f t="array" ref="Q729">IF(A729:A4770="","",IFERROR(_xlfn.XLOOKUP(A729:A4770,castles_state!K:K,castles_state!D:D)&amp;"主",IFERROR(_xlfn.XLOOKUP(A729:A4770,kunishuClan!D:D,kunishuClan!B:B)&amp;"当主","")))</f>
      </c>
    </row>
    <row r="730" ht="15.75" customHeight="1">
      <c r="A730" s="4">
        <v>1013002</v>
      </c>
      <c r="B730" s="12" t="str">
        <f t="array" ref="B730">IF(A730:A4771="","",_xlfn.XLOOKUP(A730:A4771,'参照_武将'!A:A,'参照_武将'!B:B,"見つかりません"))</f>
      </c>
      <c r="C730" s="4" t="s">
        <v>5917</v>
      </c>
      <c r="D730" s="4">
        <v>13</v>
      </c>
      <c r="E730" s="12" t="str">
        <f t="array" ref="E730">IF(D730:D4771="","",IFERROR(_xlfn.XLOOKUP(D730:D4771,'参照_勢力'!A:A,'参照_勢力'!B:B),IFERROR(_xlfn.XLOOKUP(F730:F4771,kunishuClan!A:A,kunishuClan!B:B),"浪人")))</f>
      </c>
      <c r="F730" s="4">
        <v>0</v>
      </c>
      <c r="G730" s="4">
        <v>21</v>
      </c>
      <c r="H730" s="12" t="str">
        <f t="array" ref="H730">IF(G730:G4771="","",_xlfn.XLOOKUP(G730:G4771,castles_state!A:A,castles_state!D:D,"見つかりません"))</f>
      </c>
      <c r="I730" s="4"/>
      <c r="J730" s="12" t="str">
        <f t="array" ref="J730">IF(I730:I4771="","",_xlfn.XLOOKUP(I730:I4771,'参照_姫'!A:A,'参照_姫'!B:B,"見つかりません"))</f>
      </c>
      <c r="K730" s="4">
        <v>95</v>
      </c>
      <c r="L730" s="4">
        <v>0</v>
      </c>
      <c r="M730" s="4"/>
      <c r="N730" s="4"/>
      <c r="O730" s="4"/>
      <c r="P730" s="12" t="str">
        <f t="array" ref="P730">IF(O730:O4771="","",_xlfn.XLOOKUP(O730:O4771,'参照_官位'!A:A,'参照_官位'!B:B,""))</f>
      </c>
      <c r="Q730" s="12" t="str">
        <f t="array" ref="Q730">IF(A730:A4771="","",IFERROR(_xlfn.XLOOKUP(A730:A4771,castles_state!K:K,castles_state!D:D)&amp;"主",IFERROR(_xlfn.XLOOKUP(A730:A4771,kunishuClan!D:D,kunishuClan!B:B)&amp;"当主","")))</f>
      </c>
    </row>
    <row r="731" ht="15.75" customHeight="1">
      <c r="A731" s="4">
        <v>1013003</v>
      </c>
      <c r="B731" s="12" t="str">
        <f t="array" ref="B731">IF(A731:A4772="","",_xlfn.XLOOKUP(A731:A4772,'参照_武将'!A:A,'参照_武将'!B:B,"見つかりません"))</f>
      </c>
      <c r="C731" s="4" t="s">
        <v>5917</v>
      </c>
      <c r="D731" s="4">
        <v>13</v>
      </c>
      <c r="E731" s="12" t="str">
        <f t="array" ref="E731">IF(D731:D4772="","",IFERROR(_xlfn.XLOOKUP(D731:D4772,'参照_勢力'!A:A,'参照_勢力'!B:B),IFERROR(_xlfn.XLOOKUP(F731:F4772,kunishuClan!A:A,kunishuClan!B:B),"浪人")))</f>
      </c>
      <c r="F731" s="4">
        <v>0</v>
      </c>
      <c r="G731" s="4">
        <v>21</v>
      </c>
      <c r="H731" s="12" t="str">
        <f t="array" ref="H731">IF(G731:G4772="","",_xlfn.XLOOKUP(G731:G4772,castles_state!A:A,castles_state!D:D,"見つかりません"))</f>
      </c>
      <c r="I731" s="4"/>
      <c r="J731" s="12" t="str">
        <f t="array" ref="J731">IF(I731:I4772="","",_xlfn.XLOOKUP(I731:I4772,'参照_姫'!A:A,'参照_姫'!B:B,"見つかりません"))</f>
      </c>
      <c r="K731" s="4">
        <v>95</v>
      </c>
      <c r="L731" s="4">
        <v>0</v>
      </c>
      <c r="M731" s="4"/>
      <c r="N731" s="4"/>
      <c r="O731" s="4"/>
      <c r="P731" s="12" t="str">
        <f t="array" ref="P731">IF(O731:O4772="","",_xlfn.XLOOKUP(O731:O4772,'参照_官位'!A:A,'参照_官位'!B:B,""))</f>
      </c>
      <c r="Q731" s="12" t="str">
        <f t="array" ref="Q731">IF(A731:A4772="","",IFERROR(_xlfn.XLOOKUP(A731:A4772,castles_state!K:K,castles_state!D:D)&amp;"主",IFERROR(_xlfn.XLOOKUP(A731:A4772,kunishuClan!D:D,kunishuClan!B:B)&amp;"当主","")))</f>
      </c>
    </row>
    <row r="732" ht="15.75" customHeight="1">
      <c r="A732" s="4">
        <v>1013004</v>
      </c>
      <c r="B732" s="12" t="str">
        <f t="array" ref="B732">IF(A732:A4773="","",_xlfn.XLOOKUP(A732:A4773,'参照_武将'!A:A,'参照_武将'!B:B,"見つかりません"))</f>
      </c>
      <c r="C732" s="4" t="s">
        <v>5917</v>
      </c>
      <c r="D732" s="4">
        <v>13</v>
      </c>
      <c r="E732" s="12" t="str">
        <f t="array" ref="E732">IF(D732:D4773="","",IFERROR(_xlfn.XLOOKUP(D732:D4773,'参照_勢力'!A:A,'参照_勢力'!B:B),IFERROR(_xlfn.XLOOKUP(F732:F4773,kunishuClan!A:A,kunishuClan!B:B),"浪人")))</f>
      </c>
      <c r="F732" s="4">
        <v>0</v>
      </c>
      <c r="G732" s="4">
        <v>21</v>
      </c>
      <c r="H732" s="12" t="str">
        <f t="array" ref="H732">IF(G732:G4773="","",_xlfn.XLOOKUP(G732:G4773,castles_state!A:A,castles_state!D:D,"見つかりません"))</f>
      </c>
      <c r="I732" s="4"/>
      <c r="J732" s="12" t="str">
        <f t="array" ref="J732">IF(I732:I4773="","",_xlfn.XLOOKUP(I732:I4773,'参照_姫'!A:A,'参照_姫'!B:B,"見つかりません"))</f>
      </c>
      <c r="K732" s="4">
        <v>95</v>
      </c>
      <c r="L732" s="4">
        <v>0</v>
      </c>
      <c r="M732" s="4"/>
      <c r="N732" s="4"/>
      <c r="O732" s="4"/>
      <c r="P732" s="12" t="str">
        <f t="array" ref="P732">IF(O732:O4773="","",_xlfn.XLOOKUP(O732:O4773,'参照_官位'!A:A,'参照_官位'!B:B,""))</f>
      </c>
      <c r="Q732" s="12" t="str">
        <f t="array" ref="Q732">IF(A732:A4773="","",IFERROR(_xlfn.XLOOKUP(A732:A4773,castles_state!K:K,castles_state!D:D)&amp;"主",IFERROR(_xlfn.XLOOKUP(A732:A4773,kunishuClan!D:D,kunishuClan!B:B)&amp;"当主","")))</f>
      </c>
    </row>
    <row r="733" ht="15.75" customHeight="1">
      <c r="A733" s="4">
        <v>1013005</v>
      </c>
      <c r="B733" s="12" t="str">
        <f t="array" ref="B733">IF(A733:A4774="","",_xlfn.XLOOKUP(A733:A4774,'参照_武将'!A:A,'参照_武将'!B:B,"見つかりません"))</f>
      </c>
      <c r="C733" s="4" t="s">
        <v>5917</v>
      </c>
      <c r="D733" s="4">
        <v>13</v>
      </c>
      <c r="E733" s="12" t="str">
        <f t="array" ref="E733">IF(D733:D4774="","",IFERROR(_xlfn.XLOOKUP(D733:D4774,'参照_勢力'!A:A,'参照_勢力'!B:B),IFERROR(_xlfn.XLOOKUP(F733:F4774,kunishuClan!A:A,kunishuClan!B:B),"浪人")))</f>
      </c>
      <c r="F733" s="4">
        <v>0</v>
      </c>
      <c r="G733" s="4">
        <v>81</v>
      </c>
      <c r="H733" s="12" t="str">
        <f t="array" ref="H733">IF(G733:G4774="","",_xlfn.XLOOKUP(G733:G4774,castles_state!A:A,castles_state!D:D,"見つかりません"))</f>
      </c>
      <c r="I733" s="4"/>
      <c r="J733" s="12" t="str">
        <f t="array" ref="J733">IF(I733:I4774="","",_xlfn.XLOOKUP(I733:I4774,'参照_姫'!A:A,'参照_姫'!B:B,"見つかりません"))</f>
      </c>
      <c r="K733" s="4">
        <v>100</v>
      </c>
      <c r="L733" s="4">
        <v>1500</v>
      </c>
      <c r="M733" s="4"/>
      <c r="N733" s="4"/>
      <c r="O733" s="23">
        <v>36</v>
      </c>
      <c r="P733" s="12" t="str">
        <f t="array" ref="P733">IF(O733:O4774="","",_xlfn.XLOOKUP(O733:O4774,'参照_官位'!A:A,'参照_官位'!B:B,""))</f>
      </c>
      <c r="Q733" s="12" t="str">
        <f t="array" ref="Q733">IF(A733:A4774="","",IFERROR(_xlfn.XLOOKUP(A733:A4774,castles_state!K:K,castles_state!D:D)&amp;"主",IFERROR(_xlfn.XLOOKUP(A733:A4774,kunishuClan!D:D,kunishuClan!B:B)&amp;"当主","")))</f>
      </c>
    </row>
    <row r="734" ht="15.75" customHeight="1">
      <c r="A734" s="4">
        <v>1013006</v>
      </c>
      <c r="B734" s="12" t="str">
        <f t="array" ref="B734">IF(A734:A4775="","",_xlfn.XLOOKUP(A734:A4775,'参照_武将'!A:A,'参照_武将'!B:B,"見つかりません"))</f>
      </c>
      <c r="C734" s="4" t="s">
        <v>5917</v>
      </c>
      <c r="D734" s="4">
        <v>13</v>
      </c>
      <c r="E734" s="12" t="str">
        <f t="array" ref="E734">IF(D734:D4775="","",IFERROR(_xlfn.XLOOKUP(D734:D4775,'参照_勢力'!A:A,'参照_勢力'!B:B),IFERROR(_xlfn.XLOOKUP(F734:F4775,kunishuClan!A:A,kunishuClan!B:B),"浪人")))</f>
      </c>
      <c r="F734" s="4">
        <v>0</v>
      </c>
      <c r="G734" s="4">
        <v>81</v>
      </c>
      <c r="H734" s="12" t="str">
        <f t="array" ref="H734">IF(G734:G4775="","",_xlfn.XLOOKUP(G734:G4775,castles_state!A:A,castles_state!D:D,"見つかりません"))</f>
      </c>
      <c r="I734" s="4"/>
      <c r="J734" s="12" t="str">
        <f t="array" ref="J734">IF(I734:I4775="","",_xlfn.XLOOKUP(I734:I4775,'参照_姫'!A:A,'参照_姫'!B:B,"見つかりません"))</f>
      </c>
      <c r="K734" s="4">
        <v>95</v>
      </c>
      <c r="L734" s="4">
        <v>500</v>
      </c>
      <c r="M734" s="4"/>
      <c r="N734" s="4"/>
      <c r="O734" s="4"/>
      <c r="P734" s="12" t="str">
        <f t="array" ref="P734">IF(O734:O4775="","",_xlfn.XLOOKUP(O734:O4775,'参照_官位'!A:A,'参照_官位'!B:B,""))</f>
      </c>
      <c r="Q734" s="12" t="str">
        <f t="array" ref="Q734">IF(A734:A4775="","",IFERROR(_xlfn.XLOOKUP(A734:A4775,castles_state!K:K,castles_state!D:D)&amp;"主",IFERROR(_xlfn.XLOOKUP(A734:A4775,kunishuClan!D:D,kunishuClan!B:B)&amp;"当主","")))</f>
      </c>
    </row>
    <row r="735" ht="15.75" customHeight="1">
      <c r="A735" s="4">
        <v>1013007</v>
      </c>
      <c r="B735" s="12" t="str">
        <f t="array" ref="B735">IF(A735:A4776="","",_xlfn.XLOOKUP(A735:A4776,'参照_武将'!A:A,'参照_武将'!B:B,"見つかりません"))</f>
      </c>
      <c r="C735" s="4" t="s">
        <v>5917</v>
      </c>
      <c r="D735" s="4">
        <v>13</v>
      </c>
      <c r="E735" s="12" t="str">
        <f t="array" ref="E735">IF(D735:D4776="","",IFERROR(_xlfn.XLOOKUP(D735:D4776,'参照_勢力'!A:A,'参照_勢力'!B:B),IFERROR(_xlfn.XLOOKUP(F735:F4776,kunishuClan!A:A,kunishuClan!B:B),"浪人")))</f>
      </c>
      <c r="F735" s="4">
        <v>0</v>
      </c>
      <c r="G735" s="4">
        <v>81</v>
      </c>
      <c r="H735" s="12" t="str">
        <f t="array" ref="H735">IF(G735:G4776="","",_xlfn.XLOOKUP(G735:G4776,castles_state!A:A,castles_state!D:D,"見つかりません"))</f>
      </c>
      <c r="I735" s="4"/>
      <c r="J735" s="12" t="str">
        <f t="array" ref="J735">IF(I735:I4776="","",_xlfn.XLOOKUP(I735:I4776,'参照_姫'!A:A,'参照_姫'!B:B,"見つかりません"))</f>
      </c>
      <c r="K735" s="4">
        <v>95</v>
      </c>
      <c r="L735" s="4">
        <v>0</v>
      </c>
      <c r="M735" s="4"/>
      <c r="N735" s="4"/>
      <c r="O735" s="4"/>
      <c r="P735" s="12" t="str">
        <f t="array" ref="P735">IF(O735:O4776="","",_xlfn.XLOOKUP(O735:O4776,'参照_官位'!A:A,'参照_官位'!B:B,""))</f>
      </c>
      <c r="Q735" s="12" t="str">
        <f t="array" ref="Q735">IF(A735:A4776="","",IFERROR(_xlfn.XLOOKUP(A735:A4776,castles_state!K:K,castles_state!D:D)&amp;"主",IFERROR(_xlfn.XLOOKUP(A735:A4776,kunishuClan!D:D,kunishuClan!B:B)&amp;"当主","")))</f>
      </c>
    </row>
    <row r="736" ht="15.75" customHeight="1">
      <c r="A736" s="4">
        <v>1013008</v>
      </c>
      <c r="B736" s="12" t="str">
        <f t="array" ref="B736">IF(A736:A4777="","",_xlfn.XLOOKUP(A736:A4777,'参照_武将'!A:A,'参照_武将'!B:B,"見つかりません"))</f>
      </c>
      <c r="C736" s="4" t="s">
        <v>5917</v>
      </c>
      <c r="D736" s="4">
        <v>13</v>
      </c>
      <c r="E736" s="12" t="str">
        <f t="array" ref="E736">IF(D736:D4777="","",IFERROR(_xlfn.XLOOKUP(D736:D4777,'参照_勢力'!A:A,'参照_勢力'!B:B),IFERROR(_xlfn.XLOOKUP(F736:F4777,kunishuClan!A:A,kunishuClan!B:B),"浪人")))</f>
      </c>
      <c r="F736" s="4">
        <v>0</v>
      </c>
      <c r="G736" s="4">
        <v>21</v>
      </c>
      <c r="H736" s="12" t="str">
        <f t="array" ref="H736">IF(G736:G4777="","",_xlfn.XLOOKUP(G736:G4777,castles_state!A:A,castles_state!D:D,"見つかりません"))</f>
      </c>
      <c r="I736" s="4"/>
      <c r="J736" s="12" t="str">
        <f t="array" ref="J736">IF(I736:I4777="","",_xlfn.XLOOKUP(I736:I4777,'参照_姫'!A:A,'参照_姫'!B:B,"見つかりません"))</f>
      </c>
      <c r="K736" s="4">
        <v>95</v>
      </c>
      <c r="L736" s="4">
        <v>0</v>
      </c>
      <c r="M736" s="4"/>
      <c r="N736" s="4"/>
      <c r="O736" s="4"/>
      <c r="P736" s="12" t="str">
        <f t="array" ref="P736">IF(O736:O4777="","",_xlfn.XLOOKUP(O736:O4777,'参照_官位'!A:A,'参照_官位'!B:B,""))</f>
      </c>
      <c r="Q736" s="12" t="str">
        <f t="array" ref="Q736">IF(A736:A4777="","",IFERROR(_xlfn.XLOOKUP(A736:A4777,castles_state!K:K,castles_state!D:D)&amp;"主",IFERROR(_xlfn.XLOOKUP(A736:A4777,kunishuClan!D:D,kunishuClan!B:B)&amp;"当主","")))</f>
      </c>
    </row>
    <row r="737" ht="15.75" customHeight="1">
      <c r="A737" s="4">
        <v>1013009</v>
      </c>
      <c r="B737" s="12" t="str">
        <f t="array" ref="B737">IF(A737:A4778="","",_xlfn.XLOOKUP(A737:A4778,'参照_武将'!A:A,'参照_武将'!B:B,"見つかりません"))</f>
      </c>
      <c r="C737" s="4" t="s">
        <v>5917</v>
      </c>
      <c r="D737" s="4">
        <v>13</v>
      </c>
      <c r="E737" s="12" t="str">
        <f t="array" ref="E737">IF(D737:D4778="","",IFERROR(_xlfn.XLOOKUP(D737:D4778,'参照_勢力'!A:A,'参照_勢力'!B:B),IFERROR(_xlfn.XLOOKUP(F737:F4778,kunishuClan!A:A,kunishuClan!B:B),"浪人")))</f>
      </c>
      <c r="F737" s="4">
        <v>0</v>
      </c>
      <c r="G737" s="4">
        <v>21</v>
      </c>
      <c r="H737" s="12" t="str">
        <f t="array" ref="H737">IF(G737:G4778="","",_xlfn.XLOOKUP(G737:G4778,castles_state!A:A,castles_state!D:D,"見つかりません"))</f>
      </c>
      <c r="I737" s="4"/>
      <c r="J737" s="12" t="str">
        <f t="array" ref="J737">IF(I737:I4778="","",_xlfn.XLOOKUP(I737:I4778,'参照_姫'!A:A,'参照_姫'!B:B,"見つかりません"))</f>
      </c>
      <c r="K737" s="4">
        <v>95</v>
      </c>
      <c r="L737" s="4">
        <v>500</v>
      </c>
      <c r="M737" s="4"/>
      <c r="N737" s="4"/>
      <c r="O737" s="4"/>
      <c r="P737" s="12" t="str">
        <f t="array" ref="P737">IF(O737:O4778="","",_xlfn.XLOOKUP(O737:O4778,'参照_官位'!A:A,'参照_官位'!B:B,""))</f>
      </c>
      <c r="Q737" s="12" t="str">
        <f t="array" ref="Q737">IF(A737:A4778="","",IFERROR(_xlfn.XLOOKUP(A737:A4778,castles_state!K:K,castles_state!D:D)&amp;"主",IFERROR(_xlfn.XLOOKUP(A737:A4778,kunishuClan!D:D,kunishuClan!B:B)&amp;"当主","")))</f>
      </c>
    </row>
    <row r="738" ht="15.75" customHeight="1">
      <c r="A738" s="4">
        <v>1013010</v>
      </c>
      <c r="B738" s="12" t="str">
        <f t="array" ref="B738">IF(A738:A4779="","",_xlfn.XLOOKUP(A738:A4779,'参照_武将'!A:A,'参照_武将'!B:B,"見つかりません"))</f>
      </c>
      <c r="C738" s="4" t="s">
        <v>5917</v>
      </c>
      <c r="D738" s="4">
        <v>13</v>
      </c>
      <c r="E738" s="12" t="str">
        <f t="array" ref="E738">IF(D738:D4779="","",IFERROR(_xlfn.XLOOKUP(D738:D4779,'参照_勢力'!A:A,'参照_勢力'!B:B),IFERROR(_xlfn.XLOOKUP(F738:F4779,kunishuClan!A:A,kunishuClan!B:B),"浪人")))</f>
      </c>
      <c r="F738" s="4">
        <v>0</v>
      </c>
      <c r="G738" s="4">
        <v>21</v>
      </c>
      <c r="H738" s="12" t="str">
        <f t="array" ref="H738">IF(G738:G4779="","",_xlfn.XLOOKUP(G738:G4779,castles_state!A:A,castles_state!D:D,"見つかりません"))</f>
      </c>
      <c r="I738" s="4"/>
      <c r="J738" s="12" t="str">
        <f t="array" ref="J738">IF(I738:I4779="","",_xlfn.XLOOKUP(I738:I4779,'参照_姫'!A:A,'参照_姫'!B:B,"見つかりません"))</f>
      </c>
      <c r="K738" s="4">
        <v>95</v>
      </c>
      <c r="L738" s="4">
        <v>0</v>
      </c>
      <c r="M738" s="4"/>
      <c r="N738" s="4"/>
      <c r="O738" s="4"/>
      <c r="P738" s="12" t="str">
        <f t="array" ref="P738">IF(O738:O4779="","",_xlfn.XLOOKUP(O738:O4779,'参照_官位'!A:A,'参照_官位'!B:B,""))</f>
      </c>
      <c r="Q738" s="12" t="str">
        <f t="array" ref="Q738">IF(A738:A4779="","",IFERROR(_xlfn.XLOOKUP(A738:A4779,castles_state!K:K,castles_state!D:D)&amp;"主",IFERROR(_xlfn.XLOOKUP(A738:A4779,kunishuClan!D:D,kunishuClan!B:B)&amp;"当主","")))</f>
      </c>
    </row>
    <row r="739" ht="15.75" customHeight="1">
      <c r="A739" s="4">
        <v>1013011</v>
      </c>
      <c r="B739" s="12" t="str">
        <f t="array" ref="B739">IF(A739:A4780="","",_xlfn.XLOOKUP(A739:A4780,'参照_武将'!A:A,'参照_武将'!B:B,"見つかりません"))</f>
      </c>
      <c r="C739" s="4" t="s">
        <v>5917</v>
      </c>
      <c r="D739" s="4">
        <v>13</v>
      </c>
      <c r="E739" s="12" t="str">
        <f t="array" ref="E739">IF(D739:D4780="","",IFERROR(_xlfn.XLOOKUP(D739:D4780,'参照_勢力'!A:A,'参照_勢力'!B:B),IFERROR(_xlfn.XLOOKUP(F739:F4780,kunishuClan!A:A,kunishuClan!B:B),"浪人")))</f>
      </c>
      <c r="F739" s="4">
        <v>0</v>
      </c>
      <c r="G739" s="4">
        <v>21</v>
      </c>
      <c r="H739" s="12" t="str">
        <f t="array" ref="H739">IF(G739:G4780="","",_xlfn.XLOOKUP(G739:G4780,castles_state!A:A,castles_state!D:D,"見つかりません"))</f>
      </c>
      <c r="I739" s="4"/>
      <c r="J739" s="12" t="str">
        <f t="array" ref="J739">IF(I739:I4780="","",_xlfn.XLOOKUP(I739:I4780,'参照_姫'!A:A,'参照_姫'!B:B,"見つかりません"))</f>
      </c>
      <c r="K739" s="4">
        <v>90</v>
      </c>
      <c r="L739" s="4">
        <v>0</v>
      </c>
      <c r="M739" s="4"/>
      <c r="N739" s="4"/>
      <c r="O739" s="4"/>
      <c r="P739" s="12" t="str">
        <f t="array" ref="P739">IF(O739:O4780="","",_xlfn.XLOOKUP(O739:O4780,'参照_官位'!A:A,'参照_官位'!B:B,""))</f>
      </c>
      <c r="Q739" s="12" t="str">
        <f t="array" ref="Q739">IF(A739:A4780="","",IFERROR(_xlfn.XLOOKUP(A739:A4780,castles_state!K:K,castles_state!D:D)&amp;"主",IFERROR(_xlfn.XLOOKUP(A739:A4780,kunishuClan!D:D,kunishuClan!B:B)&amp;"当主","")))</f>
      </c>
    </row>
    <row r="740" ht="15.75" customHeight="1">
      <c r="A740" s="4">
        <v>1013012</v>
      </c>
      <c r="B740" s="12" t="str">
        <f t="array" ref="B740">IF(A740:A4781="","",_xlfn.XLOOKUP(A740:A4781,'参照_武将'!A:A,'参照_武将'!B:B,"見つかりません"))</f>
      </c>
      <c r="C740" s="4" t="s">
        <v>5917</v>
      </c>
      <c r="D740" s="4">
        <v>13</v>
      </c>
      <c r="E740" s="12" t="str">
        <f t="array" ref="E740">IF(D740:D4781="","",IFERROR(_xlfn.XLOOKUP(D740:D4781,'参照_勢力'!A:A,'参照_勢力'!B:B),IFERROR(_xlfn.XLOOKUP(F740:F4781,kunishuClan!A:A,kunishuClan!B:B),"浪人")))</f>
      </c>
      <c r="F740" s="4">
        <v>0</v>
      </c>
      <c r="G740" s="4">
        <v>21</v>
      </c>
      <c r="H740" s="12" t="str">
        <f t="array" ref="H740">IF(G740:G4781="","",_xlfn.XLOOKUP(G740:G4781,castles_state!A:A,castles_state!D:D,"見つかりません"))</f>
      </c>
      <c r="I740" s="4"/>
      <c r="J740" s="12" t="str">
        <f t="array" ref="J740">IF(I740:I4781="","",_xlfn.XLOOKUP(I740:I4781,'参照_姫'!A:A,'参照_姫'!B:B,"見つかりません"))</f>
      </c>
      <c r="K740" s="4">
        <v>95</v>
      </c>
      <c r="L740" s="4">
        <v>0</v>
      </c>
      <c r="M740" s="4"/>
      <c r="N740" s="4"/>
      <c r="O740" s="4"/>
      <c r="P740" s="12" t="str">
        <f t="array" ref="P740">IF(O740:O4781="","",_xlfn.XLOOKUP(O740:O4781,'参照_官位'!A:A,'参照_官位'!B:B,""))</f>
      </c>
      <c r="Q740" s="12" t="str">
        <f t="array" ref="Q740">IF(A740:A4781="","",IFERROR(_xlfn.XLOOKUP(A740:A4781,castles_state!K:K,castles_state!D:D)&amp;"主",IFERROR(_xlfn.XLOOKUP(A740:A4781,kunishuClan!D:D,kunishuClan!B:B)&amp;"当主","")))</f>
      </c>
    </row>
    <row r="741" ht="15.75" customHeight="1">
      <c r="A741" s="4">
        <v>1013013</v>
      </c>
      <c r="B741" s="12" t="str">
        <f t="array" ref="B741">IF(A741:A4782="","",_xlfn.XLOOKUP(A741:A4782,'参照_武将'!A:A,'参照_武将'!B:B,"見つかりません"))</f>
      </c>
      <c r="C741" s="4" t="s">
        <v>5917</v>
      </c>
      <c r="D741" s="4">
        <v>13</v>
      </c>
      <c r="E741" s="12" t="str">
        <f t="array" ref="E741">IF(D741:D4782="","",IFERROR(_xlfn.XLOOKUP(D741:D4782,'参照_勢力'!A:A,'参照_勢力'!B:B),IFERROR(_xlfn.XLOOKUP(F741:F4782,kunishuClan!A:A,kunishuClan!B:B),"浪人")))</f>
      </c>
      <c r="F741" s="4">
        <v>0</v>
      </c>
      <c r="G741" s="4">
        <v>81</v>
      </c>
      <c r="H741" s="12" t="str">
        <f t="array" ref="H741">IF(G741:G4782="","",_xlfn.XLOOKUP(G741:G4782,castles_state!A:A,castles_state!D:D,"見つかりません"))</f>
      </c>
      <c r="I741" s="4"/>
      <c r="J741" s="12" t="str">
        <f t="array" ref="J741">IF(I741:I4782="","",_xlfn.XLOOKUP(I741:I4782,'参照_姫'!A:A,'参照_姫'!B:B,"見つかりません"))</f>
      </c>
      <c r="K741" s="4">
        <v>95</v>
      </c>
      <c r="L741" s="4">
        <v>500</v>
      </c>
      <c r="M741" s="4"/>
      <c r="N741" s="4"/>
      <c r="O741" s="4"/>
      <c r="P741" s="12" t="str">
        <f t="array" ref="P741">IF(O741:O4782="","",_xlfn.XLOOKUP(O741:O4782,'参照_官位'!A:A,'参照_官位'!B:B,""))</f>
      </c>
      <c r="Q741" s="12" t="str">
        <f t="array" ref="Q741">IF(A741:A4782="","",IFERROR(_xlfn.XLOOKUP(A741:A4782,castles_state!K:K,castles_state!D:D)&amp;"主",IFERROR(_xlfn.XLOOKUP(A741:A4782,kunishuClan!D:D,kunishuClan!B:B)&amp;"当主","")))</f>
      </c>
    </row>
    <row r="742" ht="15.75" customHeight="1">
      <c r="A742" s="4">
        <v>1013014</v>
      </c>
      <c r="B742" s="12" t="str">
        <f t="array" ref="B742">IF(A742:A4783="","",_xlfn.XLOOKUP(A742:A4783,'参照_武将'!A:A,'参照_武将'!B:B,"見つかりません"))</f>
      </c>
      <c r="C742" s="4" t="s">
        <v>5917</v>
      </c>
      <c r="D742" s="4">
        <v>13</v>
      </c>
      <c r="E742" s="12" t="str">
        <f t="array" ref="E742">IF(D742:D4783="","",IFERROR(_xlfn.XLOOKUP(D742:D4783,'参照_勢力'!A:A,'参照_勢力'!B:B),IFERROR(_xlfn.XLOOKUP(F742:F4783,kunishuClan!A:A,kunishuClan!B:B),"浪人")))</f>
      </c>
      <c r="F742" s="4">
        <v>0</v>
      </c>
      <c r="G742" s="4">
        <v>81</v>
      </c>
      <c r="H742" s="12" t="str">
        <f t="array" ref="H742">IF(G742:G4783="","",_xlfn.XLOOKUP(G742:G4783,castles_state!A:A,castles_state!D:D,"見つかりません"))</f>
      </c>
      <c r="I742" s="4"/>
      <c r="J742" s="12" t="str">
        <f t="array" ref="J742">IF(I742:I4783="","",_xlfn.XLOOKUP(I742:I4783,'参照_姫'!A:A,'参照_姫'!B:B,"見つかりません"))</f>
      </c>
      <c r="K742" s="4">
        <v>95</v>
      </c>
      <c r="L742" s="4">
        <v>0</v>
      </c>
      <c r="M742" s="4"/>
      <c r="N742" s="4"/>
      <c r="O742" s="4"/>
      <c r="P742" s="12" t="str">
        <f t="array" ref="P742">IF(O742:O4783="","",_xlfn.XLOOKUP(O742:O4783,'参照_官位'!A:A,'参照_官位'!B:B,""))</f>
      </c>
      <c r="Q742" s="12" t="str">
        <f t="array" ref="Q742">IF(A742:A4783="","",IFERROR(_xlfn.XLOOKUP(A742:A4783,castles_state!K:K,castles_state!D:D)&amp;"主",IFERROR(_xlfn.XLOOKUP(A742:A4783,kunishuClan!D:D,kunishuClan!B:B)&amp;"当主","")))</f>
      </c>
    </row>
    <row r="743" ht="15.75" customHeight="1">
      <c r="A743" s="4">
        <v>1013015</v>
      </c>
      <c r="B743" s="12" t="str">
        <f t="array" ref="B743">IF(A743:A4784="","",_xlfn.XLOOKUP(A743:A4784,'参照_武将'!A:A,'参照_武将'!B:B,"見つかりません"))</f>
      </c>
      <c r="C743" s="4" t="s">
        <v>5917</v>
      </c>
      <c r="D743" s="4">
        <v>13</v>
      </c>
      <c r="E743" s="12" t="str">
        <f t="array" ref="E743">IF(D743:D4784="","",IFERROR(_xlfn.XLOOKUP(D743:D4784,'参照_勢力'!A:A,'参照_勢力'!B:B),IFERROR(_xlfn.XLOOKUP(F743:F4784,kunishuClan!A:A,kunishuClan!B:B),"浪人")))</f>
      </c>
      <c r="F743" s="4">
        <v>0</v>
      </c>
      <c r="G743" s="4">
        <v>21</v>
      </c>
      <c r="H743" s="12" t="str">
        <f t="array" ref="H743">IF(G743:G4784="","",_xlfn.XLOOKUP(G743:G4784,castles_state!A:A,castles_state!D:D,"見つかりません"))</f>
      </c>
      <c r="I743" s="4"/>
      <c r="J743" s="12" t="str">
        <f t="array" ref="J743">IF(I743:I4784="","",_xlfn.XLOOKUP(I743:I4784,'参照_姫'!A:A,'参照_姫'!B:B,"見つかりません"))</f>
      </c>
      <c r="K743" s="4">
        <v>95</v>
      </c>
      <c r="L743" s="4">
        <v>0</v>
      </c>
      <c r="M743" s="4"/>
      <c r="N743" s="4"/>
      <c r="O743" s="4"/>
      <c r="P743" s="12" t="str">
        <f t="array" ref="P743">IF(O743:O4784="","",_xlfn.XLOOKUP(O743:O4784,'参照_官位'!A:A,'参照_官位'!B:B,""))</f>
      </c>
      <c r="Q743" s="12" t="str">
        <f t="array" ref="Q743">IF(A743:A4784="","",IFERROR(_xlfn.XLOOKUP(A743:A4784,castles_state!K:K,castles_state!D:D)&amp;"主",IFERROR(_xlfn.XLOOKUP(A743:A4784,kunishuClan!D:D,kunishuClan!B:B)&amp;"当主","")))</f>
      </c>
    </row>
    <row r="744" ht="15.75" customHeight="1">
      <c r="A744" s="4">
        <v>1013016</v>
      </c>
      <c r="B744" s="12" t="str">
        <f t="array" ref="B744">IF(A744:A4785="","",_xlfn.XLOOKUP(A744:A4785,'参照_武将'!A:A,'参照_武将'!B:B,"見つかりません"))</f>
      </c>
      <c r="C744" s="4" t="s">
        <v>5917</v>
      </c>
      <c r="D744" s="4">
        <v>13</v>
      </c>
      <c r="E744" s="12" t="str">
        <f t="array" ref="E744">IF(D744:D4785="","",IFERROR(_xlfn.XLOOKUP(D744:D4785,'参照_勢力'!A:A,'参照_勢力'!B:B),IFERROR(_xlfn.XLOOKUP(F744:F4785,kunishuClan!A:A,kunishuClan!B:B),"浪人")))</f>
      </c>
      <c r="F744" s="4">
        <v>0</v>
      </c>
      <c r="G744" s="4">
        <v>81</v>
      </c>
      <c r="H744" s="12" t="str">
        <f t="array" ref="H744">IF(G744:G4785="","",_xlfn.XLOOKUP(G744:G4785,castles_state!A:A,castles_state!D:D,"見つかりません"))</f>
      </c>
      <c r="I744" s="4"/>
      <c r="J744" s="12" t="str">
        <f t="array" ref="J744">IF(I744:I4785="","",_xlfn.XLOOKUP(I744:I4785,'参照_姫'!A:A,'参照_姫'!B:B,"見つかりません"))</f>
      </c>
      <c r="K744" s="4">
        <v>95</v>
      </c>
      <c r="L744" s="4">
        <v>500</v>
      </c>
      <c r="M744" s="4"/>
      <c r="N744" s="4"/>
      <c r="O744" s="4"/>
      <c r="P744" s="12" t="str">
        <f t="array" ref="P744">IF(O744:O4785="","",_xlfn.XLOOKUP(O744:O4785,'参照_官位'!A:A,'参照_官位'!B:B,""))</f>
      </c>
      <c r="Q744" s="12" t="str">
        <f t="array" ref="Q744">IF(A744:A4785="","",IFERROR(_xlfn.XLOOKUP(A744:A4785,castles_state!K:K,castles_state!D:D)&amp;"主",IFERROR(_xlfn.XLOOKUP(A744:A4785,kunishuClan!D:D,kunishuClan!B:B)&amp;"当主","")))</f>
      </c>
    </row>
    <row r="745" ht="15.75" customHeight="1">
      <c r="A745" s="4">
        <v>1013017</v>
      </c>
      <c r="B745" s="12" t="str">
        <f t="array" ref="B745">IF(A745:A4786="","",_xlfn.XLOOKUP(A745:A4786,'参照_武将'!A:A,'参照_武将'!B:B,"見つかりません"))</f>
      </c>
      <c r="C745" s="4" t="s">
        <v>5917</v>
      </c>
      <c r="D745" s="4">
        <v>13</v>
      </c>
      <c r="E745" s="12" t="str">
        <f t="array" ref="E745">IF(D745:D4786="","",IFERROR(_xlfn.XLOOKUP(D745:D4786,'参照_勢力'!A:A,'参照_勢力'!B:B),IFERROR(_xlfn.XLOOKUP(F745:F4786,kunishuClan!A:A,kunishuClan!B:B),"浪人")))</f>
      </c>
      <c r="F745" s="4">
        <v>0</v>
      </c>
      <c r="G745" s="4">
        <v>21</v>
      </c>
      <c r="H745" s="12" t="str">
        <f t="array" ref="H745">IF(G745:G4786="","",_xlfn.XLOOKUP(G745:G4786,castles_state!A:A,castles_state!D:D,"見つかりません"))</f>
      </c>
      <c r="I745" s="4"/>
      <c r="J745" s="12" t="str">
        <f t="array" ref="J745">IF(I745:I4786="","",_xlfn.XLOOKUP(I745:I4786,'参照_姫'!A:A,'参照_姫'!B:B,"見つかりません"))</f>
      </c>
      <c r="K745" s="4">
        <v>95</v>
      </c>
      <c r="L745" s="4">
        <v>500</v>
      </c>
      <c r="M745" s="4" t="b">
        <v>1</v>
      </c>
      <c r="N745" s="4"/>
      <c r="O745" s="4"/>
      <c r="P745" s="12" t="str">
        <f t="array" ref="P745">IF(O745:O4786="","",_xlfn.XLOOKUP(O745:O4786,'参照_官位'!A:A,'参照_官位'!B:B,""))</f>
      </c>
      <c r="Q745" s="12" t="str">
        <f t="array" ref="Q745">IF(A745:A4786="","",IFERROR(_xlfn.XLOOKUP(A745:A4786,castles_state!K:K,castles_state!D:D)&amp;"主",IFERROR(_xlfn.XLOOKUP(A745:A4786,kunishuClan!D:D,kunishuClan!B:B)&amp;"当主","")))</f>
      </c>
    </row>
    <row r="746" ht="15.75" customHeight="1">
      <c r="A746" s="4">
        <v>1014001</v>
      </c>
      <c r="B746" s="12" t="str">
        <f t="array" ref="B746">IF(A746:A4787="","",_xlfn.XLOOKUP(A746:A4787,'参照_武将'!A:A,'参照_武将'!B:B,"見つかりません"))</f>
      </c>
      <c r="C746" s="4" t="s">
        <v>147</v>
      </c>
      <c r="D746" s="4">
        <v>14</v>
      </c>
      <c r="E746" s="12" t="str">
        <f t="array" ref="E746">IF(D746:D4787="","",IFERROR(_xlfn.XLOOKUP(D746:D4787,'参照_勢力'!A:A,'参照_勢力'!B:B),IFERROR(_xlfn.XLOOKUP(F746:F4787,kunishuClan!A:A,kunishuClan!B:B),"浪人")))</f>
      </c>
      <c r="F746" s="4">
        <v>0</v>
      </c>
      <c r="G746" s="4">
        <v>82</v>
      </c>
      <c r="H746" s="12" t="str">
        <f t="array" ref="H746">IF(G746:G4787="","",_xlfn.XLOOKUP(G746:G4787,castles_state!A:A,castles_state!D:D,"見つかりません"))</f>
      </c>
      <c r="I746" s="4"/>
      <c r="J746" s="12" t="str">
        <f t="array" ref="J746">IF(I746:I4787="","",_xlfn.XLOOKUP(I746:I4787,'参照_姫'!A:A,'参照_姫'!B:B,"見つかりません"))</f>
      </c>
      <c r="K746" s="4">
        <v>95</v>
      </c>
      <c r="L746" s="4">
        <v>0</v>
      </c>
      <c r="M746" s="4"/>
      <c r="N746" s="4"/>
      <c r="O746" s="4"/>
      <c r="P746" s="12" t="str">
        <f t="array" ref="P746">IF(O746:O4787="","",_xlfn.XLOOKUP(O746:O4787,'参照_官位'!A:A,'参照_官位'!B:B,""))</f>
      </c>
      <c r="Q746" s="12" t="str">
        <f t="array" ref="Q746">IF(A746:A4787="","",IFERROR(_xlfn.XLOOKUP(A746:A4787,castles_state!K:K,castles_state!D:D)&amp;"主",IFERROR(_xlfn.XLOOKUP(A746:A4787,kunishuClan!D:D,kunishuClan!B:B)&amp;"当主","")))</f>
      </c>
    </row>
    <row r="747" ht="15.75" customHeight="1">
      <c r="A747" s="4">
        <v>1014002</v>
      </c>
      <c r="B747" s="12" t="str">
        <f t="array" ref="B747">IF(A747:A4788="","",_xlfn.XLOOKUP(A747:A4788,'参照_武将'!A:A,'参照_武将'!B:B,"見つかりません"))</f>
      </c>
      <c r="C747" s="4" t="s">
        <v>147</v>
      </c>
      <c r="D747" s="4">
        <v>14</v>
      </c>
      <c r="E747" s="12" t="str">
        <f t="array" ref="E747">IF(D747:D4788="","",IFERROR(_xlfn.XLOOKUP(D747:D4788,'参照_勢力'!A:A,'参照_勢力'!B:B),IFERROR(_xlfn.XLOOKUP(F747:F4788,kunishuClan!A:A,kunishuClan!B:B),"浪人")))</f>
      </c>
      <c r="F747" s="4">
        <v>0</v>
      </c>
      <c r="G747" s="4">
        <v>82</v>
      </c>
      <c r="H747" s="12" t="str">
        <f t="array" ref="H747">IF(G747:G4788="","",_xlfn.XLOOKUP(G747:G4788,castles_state!A:A,castles_state!D:D,"見つかりません"))</f>
      </c>
      <c r="I747" s="4"/>
      <c r="J747" s="12" t="str">
        <f t="array" ref="J747">IF(I747:I4788="","",_xlfn.XLOOKUP(I747:I4788,'参照_姫'!A:A,'参照_姫'!B:B,"見つかりません"))</f>
      </c>
      <c r="K747" s="4">
        <v>95</v>
      </c>
      <c r="L747" s="4">
        <v>0</v>
      </c>
      <c r="M747" s="4"/>
      <c r="N747" s="4"/>
      <c r="O747" s="4"/>
      <c r="P747" s="12" t="str">
        <f t="array" ref="P747">IF(O747:O4788="","",_xlfn.XLOOKUP(O747:O4788,'参照_官位'!A:A,'参照_官位'!B:B,""))</f>
      </c>
      <c r="Q747" s="12" t="str">
        <f t="array" ref="Q747">IF(A747:A4788="","",IFERROR(_xlfn.XLOOKUP(A747:A4788,castles_state!K:K,castles_state!D:D)&amp;"主",IFERROR(_xlfn.XLOOKUP(A747:A4788,kunishuClan!D:D,kunishuClan!B:B)&amp;"当主","")))</f>
      </c>
    </row>
    <row r="748" ht="15.75" customHeight="1">
      <c r="A748" s="4">
        <v>1014003</v>
      </c>
      <c r="B748" s="12" t="str">
        <f t="array" ref="B748">IF(A748:A4789="","",_xlfn.XLOOKUP(A748:A4789,'参照_武将'!A:A,'参照_武将'!B:B,"見つかりません"))</f>
      </c>
      <c r="C748" s="4" t="s">
        <v>147</v>
      </c>
      <c r="D748" s="4">
        <v>14</v>
      </c>
      <c r="E748" s="12" t="str">
        <f t="array" ref="E748">IF(D748:D4789="","",IFERROR(_xlfn.XLOOKUP(D748:D4789,'参照_勢力'!A:A,'参照_勢力'!B:B),IFERROR(_xlfn.XLOOKUP(F748:F4789,kunishuClan!A:A,kunishuClan!B:B),"浪人")))</f>
      </c>
      <c r="F748" s="4">
        <v>0</v>
      </c>
      <c r="G748" s="4">
        <v>82</v>
      </c>
      <c r="H748" s="12" t="str">
        <f t="array" ref="H748">IF(G748:G4789="","",_xlfn.XLOOKUP(G748:G4789,castles_state!A:A,castles_state!D:D,"見つかりません"))</f>
      </c>
      <c r="I748" s="4"/>
      <c r="J748" s="12" t="str">
        <f t="array" ref="J748">IF(I748:I4789="","",_xlfn.XLOOKUP(I748:I4789,'参照_姫'!A:A,'参照_姫'!B:B,"見つかりません"))</f>
      </c>
      <c r="K748" s="4">
        <v>100</v>
      </c>
      <c r="L748" s="4">
        <v>1500</v>
      </c>
      <c r="M748" s="4"/>
      <c r="N748" s="4"/>
      <c r="O748" s="4"/>
      <c r="P748" s="12" t="str">
        <f t="array" ref="P748">IF(O748:O4789="","",_xlfn.XLOOKUP(O748:O4789,'参照_官位'!A:A,'参照_官位'!B:B,""))</f>
      </c>
      <c r="Q748" s="12" t="str">
        <f t="array" ref="Q748">IF(A748:A4789="","",IFERROR(_xlfn.XLOOKUP(A748:A4789,castles_state!K:K,castles_state!D:D)&amp;"主",IFERROR(_xlfn.XLOOKUP(A748:A4789,kunishuClan!D:D,kunishuClan!B:B)&amp;"当主","")))</f>
      </c>
    </row>
    <row r="749" ht="15.75" customHeight="1">
      <c r="A749" s="4">
        <v>1014004</v>
      </c>
      <c r="B749" s="12" t="str">
        <f t="array" ref="B749">IF(A749:A4790="","",_xlfn.XLOOKUP(A749:A4790,'参照_武将'!A:A,'参照_武将'!B:B,"見つかりません"))</f>
      </c>
      <c r="C749" s="4" t="s">
        <v>147</v>
      </c>
      <c r="D749" s="4">
        <v>14</v>
      </c>
      <c r="E749" s="12" t="str">
        <f t="array" ref="E749">IF(D749:D4790="","",IFERROR(_xlfn.XLOOKUP(D749:D4790,'参照_勢力'!A:A,'参照_勢力'!B:B),IFERROR(_xlfn.XLOOKUP(F749:F4790,kunishuClan!A:A,kunishuClan!B:B),"浪人")))</f>
      </c>
      <c r="F749" s="4">
        <v>0</v>
      </c>
      <c r="G749" s="4">
        <v>22</v>
      </c>
      <c r="H749" s="12" t="str">
        <f t="array" ref="H749">IF(G749:G4790="","",_xlfn.XLOOKUP(G749:G4790,castles_state!A:A,castles_state!D:D,"見つかりません"))</f>
      </c>
      <c r="I749" s="4"/>
      <c r="J749" s="12" t="str">
        <f t="array" ref="J749">IF(I749:I4790="","",_xlfn.XLOOKUP(I749:I4790,'参照_姫'!A:A,'参照_姫'!B:B,"見つかりません"))</f>
      </c>
      <c r="K749" s="4">
        <v>100</v>
      </c>
      <c r="L749" s="4">
        <v>1500</v>
      </c>
      <c r="M749" s="4"/>
      <c r="N749" s="4"/>
      <c r="O749" s="4"/>
      <c r="P749" s="12" t="str">
        <f t="array" ref="P749">IF(O749:O4790="","",_xlfn.XLOOKUP(O749:O4790,'参照_官位'!A:A,'参照_官位'!B:B,""))</f>
      </c>
      <c r="Q749" s="12" t="str">
        <f t="array" ref="Q749">IF(A749:A4790="","",IFERROR(_xlfn.XLOOKUP(A749:A4790,castles_state!K:K,castles_state!D:D)&amp;"主",IFERROR(_xlfn.XLOOKUP(A749:A4790,kunishuClan!D:D,kunishuClan!B:B)&amp;"当主","")))</f>
      </c>
    </row>
    <row r="750" ht="15.75" customHeight="1">
      <c r="A750" s="4">
        <v>1014005</v>
      </c>
      <c r="B750" s="12" t="str">
        <f t="array" ref="B750">IF(A750:A4791="","",_xlfn.XLOOKUP(A750:A4791,'参照_武将'!A:A,'参照_武将'!B:B,"見つかりません"))</f>
      </c>
      <c r="C750" s="4" t="s">
        <v>147</v>
      </c>
      <c r="D750" s="4">
        <v>14</v>
      </c>
      <c r="E750" s="12" t="str">
        <f t="array" ref="E750">IF(D750:D4791="","",IFERROR(_xlfn.XLOOKUP(D750:D4791,'参照_勢力'!A:A,'参照_勢力'!B:B),IFERROR(_xlfn.XLOOKUP(F750:F4791,kunishuClan!A:A,kunishuClan!B:B),"浪人")))</f>
      </c>
      <c r="F750" s="4">
        <v>0</v>
      </c>
      <c r="G750" s="4">
        <v>82</v>
      </c>
      <c r="H750" s="12" t="str">
        <f t="array" ref="H750">IF(G750:G4791="","",_xlfn.XLOOKUP(G750:G4791,castles_state!A:A,castles_state!D:D,"見つかりません"))</f>
      </c>
      <c r="I750" s="4"/>
      <c r="J750" s="12" t="str">
        <f t="array" ref="J750">IF(I750:I4791="","",_xlfn.XLOOKUP(I750:I4791,'参照_姫'!A:A,'参照_姫'!B:B,"見つかりません"))</f>
      </c>
      <c r="K750" s="4">
        <v>95</v>
      </c>
      <c r="L750" s="4">
        <v>200</v>
      </c>
      <c r="M750" s="4"/>
      <c r="N750" s="4"/>
      <c r="O750" s="4"/>
      <c r="P750" s="12" t="str">
        <f t="array" ref="P750">IF(O750:O4791="","",_xlfn.XLOOKUP(O750:O4791,'参照_官位'!A:A,'参照_官位'!B:B,""))</f>
      </c>
      <c r="Q750" s="12" t="str">
        <f t="array" ref="Q750">IF(A750:A4791="","",IFERROR(_xlfn.XLOOKUP(A750:A4791,castles_state!K:K,castles_state!D:D)&amp;"主",IFERROR(_xlfn.XLOOKUP(A750:A4791,kunishuClan!D:D,kunishuClan!B:B)&amp;"当主","")))</f>
      </c>
    </row>
    <row r="751" ht="15.75" customHeight="1">
      <c r="A751" s="4">
        <v>1014006</v>
      </c>
      <c r="B751" s="12" t="str">
        <f t="array" ref="B751">IF(A751:A4792="","",_xlfn.XLOOKUP(A751:A4792,'参照_武将'!A:A,'参照_武将'!B:B,"見つかりません"))</f>
      </c>
      <c r="C751" s="4" t="s">
        <v>147</v>
      </c>
      <c r="D751" s="4">
        <v>14</v>
      </c>
      <c r="E751" s="12" t="str">
        <f t="array" ref="E751">IF(D751:D4792="","",IFERROR(_xlfn.XLOOKUP(D751:D4792,'参照_勢力'!A:A,'参照_勢力'!B:B),IFERROR(_xlfn.XLOOKUP(F751:F4792,kunishuClan!A:A,kunishuClan!B:B),"浪人")))</f>
      </c>
      <c r="F751" s="4">
        <v>0</v>
      </c>
      <c r="G751" s="4">
        <v>22</v>
      </c>
      <c r="H751" s="12" t="str">
        <f t="array" ref="H751">IF(G751:G4792="","",_xlfn.XLOOKUP(G751:G4792,castles_state!A:A,castles_state!D:D,"見つかりません"))</f>
      </c>
      <c r="I751" s="4"/>
      <c r="J751" s="12" t="str">
        <f t="array" ref="J751">IF(I751:I4792="","",_xlfn.XLOOKUP(I751:I4792,'参照_姫'!A:A,'参照_姫'!B:B,"見つかりません"))</f>
      </c>
      <c r="K751" s="4">
        <v>95</v>
      </c>
      <c r="L751" s="4">
        <v>200</v>
      </c>
      <c r="M751" s="4"/>
      <c r="N751" s="4"/>
      <c r="O751" s="4"/>
      <c r="P751" s="12" t="str">
        <f t="array" ref="P751">IF(O751:O4792="","",_xlfn.XLOOKUP(O751:O4792,'参照_官位'!A:A,'参照_官位'!B:B,""))</f>
      </c>
      <c r="Q751" s="12" t="str">
        <f t="array" ref="Q751">IF(A751:A4792="","",IFERROR(_xlfn.XLOOKUP(A751:A4792,castles_state!K:K,castles_state!D:D)&amp;"主",IFERROR(_xlfn.XLOOKUP(A751:A4792,kunishuClan!D:D,kunishuClan!B:B)&amp;"当主","")))</f>
      </c>
    </row>
    <row r="752" ht="15.75" customHeight="1">
      <c r="A752" s="4">
        <v>1014007</v>
      </c>
      <c r="B752" s="12" t="str">
        <f t="array" ref="B752">IF(A752:A4793="","",_xlfn.XLOOKUP(A752:A4793,'参照_武将'!A:A,'参照_武将'!B:B,"見つかりません"))</f>
      </c>
      <c r="C752" s="4" t="s">
        <v>147</v>
      </c>
      <c r="D752" s="4">
        <v>14</v>
      </c>
      <c r="E752" s="12" t="str">
        <f t="array" ref="E752">IF(D752:D4793="","",IFERROR(_xlfn.XLOOKUP(D752:D4793,'参照_勢力'!A:A,'参照_勢力'!B:B),IFERROR(_xlfn.XLOOKUP(F752:F4793,kunishuClan!A:A,kunishuClan!B:B),"浪人")))</f>
      </c>
      <c r="F752" s="4">
        <v>0</v>
      </c>
      <c r="G752" s="4">
        <v>22</v>
      </c>
      <c r="H752" s="12" t="str">
        <f t="array" ref="H752">IF(G752:G4793="","",_xlfn.XLOOKUP(G752:G4793,castles_state!A:A,castles_state!D:D,"見つかりません"))</f>
      </c>
      <c r="I752" s="4"/>
      <c r="J752" s="12" t="str">
        <f t="array" ref="J752">IF(I752:I4793="","",_xlfn.XLOOKUP(I752:I4793,'参照_姫'!A:A,'参照_姫'!B:B,"見つかりません"))</f>
      </c>
      <c r="K752" s="4">
        <v>95</v>
      </c>
      <c r="L752" s="4">
        <v>500</v>
      </c>
      <c r="M752" s="4" t="b">
        <v>1</v>
      </c>
      <c r="N752" s="4"/>
      <c r="O752" s="4"/>
      <c r="P752" s="12" t="str">
        <f t="array" ref="P752">IF(O752:O4793="","",_xlfn.XLOOKUP(O752:O4793,'参照_官位'!A:A,'参照_官位'!B:B,""))</f>
      </c>
      <c r="Q752" s="12" t="str">
        <f t="array" ref="Q752">IF(A752:A4793="","",IFERROR(_xlfn.XLOOKUP(A752:A4793,castles_state!K:K,castles_state!D:D)&amp;"主",IFERROR(_xlfn.XLOOKUP(A752:A4793,kunishuClan!D:D,kunishuClan!B:B)&amp;"当主","")))</f>
      </c>
    </row>
    <row r="753" ht="15.75" customHeight="1">
      <c r="A753" s="4">
        <v>1014008</v>
      </c>
      <c r="B753" s="12" t="str">
        <f t="array" ref="B753">IF(A753:A4794="","",_xlfn.XLOOKUP(A753:A4794,'参照_武将'!A:A,'参照_武将'!B:B,"見つかりません"))</f>
      </c>
      <c r="C753" s="4" t="s">
        <v>147</v>
      </c>
      <c r="D753" s="4">
        <v>14</v>
      </c>
      <c r="E753" s="12" t="str">
        <f t="array" ref="E753">IF(D753:D4794="","",IFERROR(_xlfn.XLOOKUP(D753:D4794,'参照_勢力'!A:A,'参照_勢力'!B:B),IFERROR(_xlfn.XLOOKUP(F753:F4794,kunishuClan!A:A,kunishuClan!B:B),"浪人")))</f>
      </c>
      <c r="F753" s="4">
        <v>0</v>
      </c>
      <c r="G753" s="4">
        <v>179</v>
      </c>
      <c r="H753" s="12" t="str">
        <f t="array" ref="H753">IF(G753:G4794="","",_xlfn.XLOOKUP(G753:G4794,castles_state!A:A,castles_state!D:D,"見つかりません"))</f>
      </c>
      <c r="I753" s="4"/>
      <c r="J753" s="12" t="str">
        <f t="array" ref="J753">IF(I753:I4794="","",_xlfn.XLOOKUP(I753:I4794,'参照_姫'!A:A,'参照_姫'!B:B,"見つかりません"))</f>
      </c>
      <c r="K753" s="4">
        <v>95</v>
      </c>
      <c r="L753" s="4">
        <v>200</v>
      </c>
      <c r="M753" s="4"/>
      <c r="N753" s="4" t="b">
        <v>1</v>
      </c>
      <c r="O753" s="4"/>
      <c r="P753" s="12" t="str">
        <f t="array" ref="P753">IF(O753:O4794="","",_xlfn.XLOOKUP(O753:O4794,'参照_官位'!A:A,'参照_官位'!B:B,""))</f>
      </c>
      <c r="Q753" s="12" t="str">
        <f t="array" ref="Q753">IF(A753:A4794="","",IFERROR(_xlfn.XLOOKUP(A753:A4794,castles_state!K:K,castles_state!D:D)&amp;"主",IFERROR(_xlfn.XLOOKUP(A753:A4794,kunishuClan!D:D,kunishuClan!B:B)&amp;"当主","")))</f>
      </c>
    </row>
    <row r="754" ht="15.75" customHeight="1">
      <c r="A754" s="4">
        <v>1014009</v>
      </c>
      <c r="B754" s="12" t="str">
        <f t="array" ref="B754">IF(A754:A4795="","",_xlfn.XLOOKUP(A754:A4795,'参照_武将'!A:A,'参照_武将'!B:B,"見つかりません"))</f>
      </c>
      <c r="C754" s="4" t="s">
        <v>147</v>
      </c>
      <c r="D754" s="4">
        <v>14</v>
      </c>
      <c r="E754" s="12" t="str">
        <f t="array" ref="E754">IF(D754:D4795="","",IFERROR(_xlfn.XLOOKUP(D754:D4795,'参照_勢力'!A:A,'参照_勢力'!B:B),IFERROR(_xlfn.XLOOKUP(F754:F4795,kunishuClan!A:A,kunishuClan!B:B),"浪人")))</f>
      </c>
      <c r="F754" s="4">
        <v>0</v>
      </c>
      <c r="G754" s="4">
        <v>179</v>
      </c>
      <c r="H754" s="12" t="str">
        <f t="array" ref="H754">IF(G754:G4795="","",_xlfn.XLOOKUP(G754:G4795,castles_state!A:A,castles_state!D:D,"見つかりません"))</f>
      </c>
      <c r="I754" s="4"/>
      <c r="J754" s="12" t="str">
        <f t="array" ref="J754">IF(I754:I4795="","",_xlfn.XLOOKUP(I754:I4795,'参照_姫'!A:A,'参照_姫'!B:B,"見つかりません"))</f>
      </c>
      <c r="K754" s="4">
        <v>90</v>
      </c>
      <c r="L754" s="4">
        <v>500</v>
      </c>
      <c r="M754" s="4"/>
      <c r="N754" s="4"/>
      <c r="O754" s="4"/>
      <c r="P754" s="12" t="str">
        <f t="array" ref="P754">IF(O754:O4795="","",_xlfn.XLOOKUP(O754:O4795,'参照_官位'!A:A,'参照_官位'!B:B,""))</f>
      </c>
      <c r="Q754" s="12" t="str">
        <f t="array" ref="Q754">IF(A754:A4795="","",IFERROR(_xlfn.XLOOKUP(A754:A4795,castles_state!K:K,castles_state!D:D)&amp;"主",IFERROR(_xlfn.XLOOKUP(A754:A4795,kunishuClan!D:D,kunishuClan!B:B)&amp;"当主","")))</f>
      </c>
    </row>
    <row r="755" ht="15.75" customHeight="1">
      <c r="A755" s="4">
        <v>1014010</v>
      </c>
      <c r="B755" s="12" t="str">
        <f t="array" ref="B755">IF(A755:A4796="","",_xlfn.XLOOKUP(A755:A4796,'参照_武将'!A:A,'参照_武将'!B:B,"見つかりません"))</f>
      </c>
      <c r="C755" s="4" t="s">
        <v>147</v>
      </c>
      <c r="D755" s="4">
        <v>14</v>
      </c>
      <c r="E755" s="12" t="str">
        <f t="array" ref="E755">IF(D755:D4796="","",IFERROR(_xlfn.XLOOKUP(D755:D4796,'参照_勢力'!A:A,'参照_勢力'!B:B),IFERROR(_xlfn.XLOOKUP(F755:F4796,kunishuClan!A:A,kunishuClan!B:B),"浪人")))</f>
      </c>
      <c r="F755" s="4">
        <v>0</v>
      </c>
      <c r="G755" s="4">
        <v>179</v>
      </c>
      <c r="H755" s="12" t="str">
        <f t="array" ref="H755">IF(G755:G4796="","",_xlfn.XLOOKUP(G755:G4796,castles_state!A:A,castles_state!D:D,"見つかりません"))</f>
      </c>
      <c r="I755" s="4"/>
      <c r="J755" s="12" t="str">
        <f t="array" ref="J755">IF(I755:I4796="","",_xlfn.XLOOKUP(I755:I4796,'参照_姫'!A:A,'参照_姫'!B:B,"見つかりません"))</f>
      </c>
      <c r="K755" s="4">
        <v>90</v>
      </c>
      <c r="L755" s="4">
        <v>0</v>
      </c>
      <c r="M755" s="4"/>
      <c r="N755" s="4"/>
      <c r="O755" s="4"/>
      <c r="P755" s="12" t="str">
        <f t="array" ref="P755">IF(O755:O4796="","",_xlfn.XLOOKUP(O755:O4796,'参照_官位'!A:A,'参照_官位'!B:B,""))</f>
      </c>
      <c r="Q755" s="12" t="str">
        <f t="array" ref="Q755">IF(A755:A4796="","",IFERROR(_xlfn.XLOOKUP(A755:A4796,castles_state!K:K,castles_state!D:D)&amp;"主",IFERROR(_xlfn.XLOOKUP(A755:A4796,kunishuClan!D:D,kunishuClan!B:B)&amp;"当主","")))</f>
      </c>
    </row>
    <row r="756" ht="15.75" customHeight="1">
      <c r="A756" s="4">
        <v>1014011</v>
      </c>
      <c r="B756" s="12" t="str">
        <f t="array" ref="B756">IF(A756:A4797="","",_xlfn.XLOOKUP(A756:A4797,'参照_武将'!A:A,'参照_武将'!B:B,"見つかりません"))</f>
      </c>
      <c r="C756" s="4" t="s">
        <v>147</v>
      </c>
      <c r="D756" s="4">
        <v>14</v>
      </c>
      <c r="E756" s="12" t="str">
        <f t="array" ref="E756">IF(D756:D4797="","",IFERROR(_xlfn.XLOOKUP(D756:D4797,'参照_勢力'!A:A,'参照_勢力'!B:B),IFERROR(_xlfn.XLOOKUP(F756:F4797,kunishuClan!A:A,kunishuClan!B:B),"浪人")))</f>
      </c>
      <c r="F756" s="4">
        <v>0</v>
      </c>
      <c r="G756" s="4">
        <v>179</v>
      </c>
      <c r="H756" s="12" t="str">
        <f t="array" ref="H756">IF(G756:G4797="","",_xlfn.XLOOKUP(G756:G4797,castles_state!A:A,castles_state!D:D,"見つかりません"))</f>
      </c>
      <c r="I756" s="4"/>
      <c r="J756" s="12" t="str">
        <f t="array" ref="J756">IF(I756:I4797="","",_xlfn.XLOOKUP(I756:I4797,'参照_姫'!A:A,'参照_姫'!B:B,"見つかりません"))</f>
      </c>
      <c r="K756" s="4">
        <v>95</v>
      </c>
      <c r="L756" s="4">
        <v>0</v>
      </c>
      <c r="M756" s="4"/>
      <c r="N756" s="4"/>
      <c r="O756" s="4"/>
      <c r="P756" s="12" t="str">
        <f t="array" ref="P756">IF(O756:O4797="","",_xlfn.XLOOKUP(O756:O4797,'参照_官位'!A:A,'参照_官位'!B:B,""))</f>
      </c>
      <c r="Q756" s="12" t="str">
        <f t="array" ref="Q756">IF(A756:A4797="","",IFERROR(_xlfn.XLOOKUP(A756:A4797,castles_state!K:K,castles_state!D:D)&amp;"主",IFERROR(_xlfn.XLOOKUP(A756:A4797,kunishuClan!D:D,kunishuClan!B:B)&amp;"当主","")))</f>
      </c>
    </row>
    <row r="757" ht="15.75" customHeight="1">
      <c r="A757" s="4">
        <v>1014012</v>
      </c>
      <c r="B757" s="12" t="str">
        <f t="array" ref="B757">IF(A757:A4798="","",_xlfn.XLOOKUP(A757:A4798,'参照_武将'!A:A,'参照_武将'!B:B,"見つかりません"))</f>
      </c>
      <c r="C757" s="4" t="s">
        <v>147</v>
      </c>
      <c r="D757" s="4">
        <v>14</v>
      </c>
      <c r="E757" s="12" t="str">
        <f t="array" ref="E757">IF(D757:D4798="","",IFERROR(_xlfn.XLOOKUP(D757:D4798,'参照_勢力'!A:A,'参照_勢力'!B:B),IFERROR(_xlfn.XLOOKUP(F757:F4798,kunishuClan!A:A,kunishuClan!B:B),"浪人")))</f>
      </c>
      <c r="F757" s="4">
        <v>0</v>
      </c>
      <c r="G757" s="4">
        <v>82</v>
      </c>
      <c r="H757" s="12" t="str">
        <f t="array" ref="H757">IF(G757:G4798="","",_xlfn.XLOOKUP(G757:G4798,castles_state!A:A,castles_state!D:D,"見つかりません"))</f>
      </c>
      <c r="I757" s="4"/>
      <c r="J757" s="12" t="str">
        <f t="array" ref="J757">IF(I757:I4798="","",_xlfn.XLOOKUP(I757:I4798,'参照_姫'!A:A,'参照_姫'!B:B,"見つかりません"))</f>
      </c>
      <c r="K757" s="4">
        <v>85</v>
      </c>
      <c r="L757" s="4">
        <v>0</v>
      </c>
      <c r="M757" s="4"/>
      <c r="N757" s="4"/>
      <c r="O757" s="4"/>
      <c r="P757" s="12" t="str">
        <f t="array" ref="P757">IF(O757:O4798="","",_xlfn.XLOOKUP(O757:O4798,'参照_官位'!A:A,'参照_官位'!B:B,""))</f>
      </c>
      <c r="Q757" s="12" t="str">
        <f t="array" ref="Q757">IF(A757:A4798="","",IFERROR(_xlfn.XLOOKUP(A757:A4798,castles_state!K:K,castles_state!D:D)&amp;"主",IFERROR(_xlfn.XLOOKUP(A757:A4798,kunishuClan!D:D,kunishuClan!B:B)&amp;"当主","")))</f>
      </c>
    </row>
    <row r="758" ht="15.75" customHeight="1">
      <c r="A758" s="4">
        <v>1014013</v>
      </c>
      <c r="B758" s="12" t="str">
        <f t="array" ref="B758">IF(A758:A4799="","",_xlfn.XLOOKUP(A758:A4799,'参照_武将'!A:A,'参照_武将'!B:B,"見つかりません"))</f>
      </c>
      <c r="C758" s="4" t="s">
        <v>147</v>
      </c>
      <c r="D758" s="4">
        <v>14</v>
      </c>
      <c r="E758" s="12" t="str">
        <f t="array" ref="E758">IF(D758:D4799="","",IFERROR(_xlfn.XLOOKUP(D758:D4799,'参照_勢力'!A:A,'参照_勢力'!B:B),IFERROR(_xlfn.XLOOKUP(F758:F4799,kunishuClan!A:A,kunishuClan!B:B),"浪人")))</f>
      </c>
      <c r="F758" s="4">
        <v>0</v>
      </c>
      <c r="G758" s="4">
        <v>82</v>
      </c>
      <c r="H758" s="12" t="str">
        <f t="array" ref="H758">IF(G758:G4799="","",_xlfn.XLOOKUP(G758:G4799,castles_state!A:A,castles_state!D:D,"見つかりません"))</f>
      </c>
      <c r="I758" s="4"/>
      <c r="J758" s="12" t="str">
        <f t="array" ref="J758">IF(I758:I4799="","",_xlfn.XLOOKUP(I758:I4799,'参照_姫'!A:A,'参照_姫'!B:B,"見つかりません"))</f>
      </c>
      <c r="K758" s="4">
        <v>85</v>
      </c>
      <c r="L758" s="4">
        <v>0</v>
      </c>
      <c r="M758" s="4"/>
      <c r="N758" s="4"/>
      <c r="O758" s="4"/>
      <c r="P758" s="12" t="str">
        <f t="array" ref="P758">IF(O758:O4799="","",_xlfn.XLOOKUP(O758:O4799,'参照_官位'!A:A,'参照_官位'!B:B,""))</f>
      </c>
      <c r="Q758" s="12" t="str">
        <f t="array" ref="Q758">IF(A758:A4799="","",IFERROR(_xlfn.XLOOKUP(A758:A4799,castles_state!K:K,castles_state!D:D)&amp;"主",IFERROR(_xlfn.XLOOKUP(A758:A4799,kunishuClan!D:D,kunishuClan!B:B)&amp;"当主","")))</f>
      </c>
    </row>
    <row r="759" ht="15.75" customHeight="1">
      <c r="A759" s="4">
        <v>1014014</v>
      </c>
      <c r="B759" s="12" t="str">
        <f t="array" ref="B759">IF(A759:A4800="","",_xlfn.XLOOKUP(A759:A4800,'参照_武将'!A:A,'参照_武将'!B:B,"見つかりません"))</f>
      </c>
      <c r="C759" s="4" t="s">
        <v>147</v>
      </c>
      <c r="D759" s="4">
        <v>14</v>
      </c>
      <c r="E759" s="12" t="str">
        <f t="array" ref="E759">IF(D759:D4800="","",IFERROR(_xlfn.XLOOKUP(D759:D4800,'参照_勢力'!A:A,'参照_勢力'!B:B),IFERROR(_xlfn.XLOOKUP(F759:F4800,kunishuClan!A:A,kunishuClan!B:B),"浪人")))</f>
      </c>
      <c r="F759" s="4">
        <v>0</v>
      </c>
      <c r="G759" s="4">
        <v>82</v>
      </c>
      <c r="H759" s="12" t="str">
        <f t="array" ref="H759">IF(G759:G4800="","",_xlfn.XLOOKUP(G759:G4800,castles_state!A:A,castles_state!D:D,"見つかりません"))</f>
      </c>
      <c r="I759" s="4"/>
      <c r="J759" s="12" t="str">
        <f t="array" ref="J759">IF(I759:I4800="","",_xlfn.XLOOKUP(I759:I4800,'参照_姫'!A:A,'参照_姫'!B:B,"見つかりません"))</f>
      </c>
      <c r="K759" s="4">
        <v>95</v>
      </c>
      <c r="L759" s="4">
        <v>0</v>
      </c>
      <c r="M759" s="4"/>
      <c r="N759" s="4"/>
      <c r="O759" s="4"/>
      <c r="P759" s="12" t="str">
        <f t="array" ref="P759">IF(O759:O4800="","",_xlfn.XLOOKUP(O759:O4800,'参照_官位'!A:A,'参照_官位'!B:B,""))</f>
      </c>
      <c r="Q759" s="12" t="str">
        <f t="array" ref="Q759">IF(A759:A4800="","",IFERROR(_xlfn.XLOOKUP(A759:A4800,castles_state!K:K,castles_state!D:D)&amp;"主",IFERROR(_xlfn.XLOOKUP(A759:A4800,kunishuClan!D:D,kunishuClan!B:B)&amp;"当主","")))</f>
      </c>
    </row>
    <row r="760" ht="15.75" customHeight="1">
      <c r="A760" s="4">
        <v>1014015</v>
      </c>
      <c r="B760" s="12" t="str">
        <f t="array" ref="B760">IF(A760:A4801="","",_xlfn.XLOOKUP(A760:A4801,'参照_武将'!A:A,'参照_武将'!B:B,"見つかりません"))</f>
      </c>
      <c r="C760" s="4" t="s">
        <v>5918</v>
      </c>
      <c r="D760" s="4">
        <v>14</v>
      </c>
      <c r="E760" s="12" t="str">
        <f t="array" ref="E760">IF(D760:D4801="","",IFERROR(_xlfn.XLOOKUP(D760:D4801,'参照_勢力'!A:A,'参照_勢力'!B:B),IFERROR(_xlfn.XLOOKUP(F760:F4801,kunishuClan!A:A,kunishuClan!B:B),"浪人")))</f>
      </c>
      <c r="F760" s="4">
        <v>0</v>
      </c>
      <c r="G760" s="4">
        <v>82</v>
      </c>
      <c r="H760" s="12" t="str">
        <f t="array" ref="H760">IF(G760:G4801="","",_xlfn.XLOOKUP(G760:G4801,castles_state!A:A,castles_state!D:D,"見つかりません"))</f>
      </c>
      <c r="I760" s="4"/>
      <c r="J760" s="12" t="str">
        <f t="array" ref="J760">IF(I760:I4801="","",_xlfn.XLOOKUP(I760:I4801,'参照_姫'!A:A,'参照_姫'!B:B,"見つかりません"))</f>
      </c>
      <c r="K760" s="4">
        <v>95</v>
      </c>
      <c r="L760" s="4">
        <v>0</v>
      </c>
      <c r="M760" s="4"/>
      <c r="N760" s="4"/>
      <c r="O760" s="4"/>
      <c r="P760" s="12" t="str">
        <f t="array" ref="P760">IF(O760:O4801="","",_xlfn.XLOOKUP(O760:O4801,'参照_官位'!A:A,'参照_官位'!B:B,""))</f>
      </c>
      <c r="Q760" s="12" t="str">
        <f t="array" ref="Q760">IF(A760:A4801="","",IFERROR(_xlfn.XLOOKUP(A760:A4801,castles_state!K:K,castles_state!D:D)&amp;"主",IFERROR(_xlfn.XLOOKUP(A760:A4801,kunishuClan!D:D,kunishuClan!B:B)&amp;"当主","")))</f>
      </c>
    </row>
    <row r="761" ht="15.75" customHeight="1">
      <c r="A761" s="4">
        <v>1014016</v>
      </c>
      <c r="B761" s="12" t="str">
        <f t="array" ref="B761">IF(A761:A4802="","",_xlfn.XLOOKUP(A761:A4802,'参照_武将'!A:A,'参照_武将'!B:B,"見つかりません"))</f>
      </c>
      <c r="C761" s="4" t="s">
        <v>5918</v>
      </c>
      <c r="D761" s="4">
        <v>14</v>
      </c>
      <c r="E761" s="12" t="str">
        <f t="array" ref="E761">IF(D761:D4802="","",IFERROR(_xlfn.XLOOKUP(D761:D4802,'参照_勢力'!A:A,'参照_勢力'!B:B),IFERROR(_xlfn.XLOOKUP(F761:F4802,kunishuClan!A:A,kunishuClan!B:B),"浪人")))</f>
      </c>
      <c r="F761" s="4">
        <v>0</v>
      </c>
      <c r="G761" s="4">
        <v>82</v>
      </c>
      <c r="H761" s="12" t="str">
        <f t="array" ref="H761">IF(G761:G4802="","",_xlfn.XLOOKUP(G761:G4802,castles_state!A:A,castles_state!D:D,"見つかりません"))</f>
      </c>
      <c r="I761" s="4"/>
      <c r="J761" s="12" t="str">
        <f t="array" ref="J761">IF(I761:I4802="","",_xlfn.XLOOKUP(I761:I4802,'参照_姫'!A:A,'参照_姫'!B:B,"見つかりません"))</f>
      </c>
      <c r="K761" s="4">
        <v>95</v>
      </c>
      <c r="L761" s="4">
        <v>0</v>
      </c>
      <c r="M761" s="4"/>
      <c r="N761" s="4"/>
      <c r="O761" s="4"/>
      <c r="P761" s="12" t="str">
        <f t="array" ref="P761">IF(O761:O4802="","",_xlfn.XLOOKUP(O761:O4802,'参照_官位'!A:A,'参照_官位'!B:B,""))</f>
      </c>
      <c r="Q761" s="12" t="str">
        <f t="array" ref="Q761">IF(A761:A4802="","",IFERROR(_xlfn.XLOOKUP(A761:A4802,castles_state!K:K,castles_state!D:D)&amp;"主",IFERROR(_xlfn.XLOOKUP(A761:A4802,kunishuClan!D:D,kunishuClan!B:B)&amp;"当主","")))</f>
      </c>
    </row>
    <row r="762" ht="15.75" customHeight="1">
      <c r="A762" s="4">
        <v>1014017</v>
      </c>
      <c r="B762" s="12" t="str">
        <f t="array" ref="B762">IF(A762:A4803="","",_xlfn.XLOOKUP(A762:A4803,'参照_武将'!A:A,'参照_武将'!B:B,"見つかりません"))</f>
      </c>
      <c r="C762" s="4" t="s">
        <v>5919</v>
      </c>
      <c r="D762" s="4">
        <v>14</v>
      </c>
      <c r="E762" s="12" t="str">
        <f t="array" ref="E762">IF(D762:D4803="","",IFERROR(_xlfn.XLOOKUP(D762:D4803,'参照_勢力'!A:A,'参照_勢力'!B:B),IFERROR(_xlfn.XLOOKUP(F762:F4803,kunishuClan!A:A,kunishuClan!B:B),"浪人")))</f>
      </c>
      <c r="F762" s="4">
        <v>0</v>
      </c>
      <c r="G762" s="4">
        <v>82</v>
      </c>
      <c r="H762" s="12" t="str">
        <f t="array" ref="H762">IF(G762:G4803="","",_xlfn.XLOOKUP(G762:G4803,castles_state!A:A,castles_state!D:D,"見つかりません"))</f>
      </c>
      <c r="I762" s="4"/>
      <c r="J762" s="12" t="str">
        <f t="array" ref="J762">IF(I762:I4803="","",_xlfn.XLOOKUP(I762:I4803,'参照_姫'!A:A,'参照_姫'!B:B,"見つかりません"))</f>
      </c>
      <c r="K762" s="4">
        <v>95</v>
      </c>
      <c r="L762" s="4">
        <v>0</v>
      </c>
      <c r="M762" s="4"/>
      <c r="N762" s="4"/>
      <c r="O762" s="4"/>
      <c r="P762" s="12" t="str">
        <f t="array" ref="P762">IF(O762:O4803="","",_xlfn.XLOOKUP(O762:O4803,'参照_官位'!A:A,'参照_官位'!B:B,""))</f>
      </c>
      <c r="Q762" s="12" t="str">
        <f t="array" ref="Q762">IF(A762:A4803="","",IFERROR(_xlfn.XLOOKUP(A762:A4803,castles_state!K:K,castles_state!D:D)&amp;"主",IFERROR(_xlfn.XLOOKUP(A762:A4803,kunishuClan!D:D,kunishuClan!B:B)&amp;"当主","")))</f>
      </c>
    </row>
    <row r="763" ht="15.75" customHeight="1">
      <c r="A763" s="4">
        <v>1014018</v>
      </c>
      <c r="B763" s="12" t="str">
        <f t="array" ref="B763">IF(A763:A4804="","",_xlfn.XLOOKUP(A763:A4804,'参照_武将'!A:A,'参照_武将'!B:B,"見つかりません"))</f>
      </c>
      <c r="C763" s="4" t="s">
        <v>5919</v>
      </c>
      <c r="D763" s="4">
        <v>14</v>
      </c>
      <c r="E763" s="12" t="str">
        <f t="array" ref="E763">IF(D763:D4804="","",IFERROR(_xlfn.XLOOKUP(D763:D4804,'参照_勢力'!A:A,'参照_勢力'!B:B),IFERROR(_xlfn.XLOOKUP(F763:F4804,kunishuClan!A:A,kunishuClan!B:B),"浪人")))</f>
      </c>
      <c r="F763" s="4">
        <v>0</v>
      </c>
      <c r="G763" s="4">
        <v>82</v>
      </c>
      <c r="H763" s="12" t="str">
        <f t="array" ref="H763">IF(G763:G4804="","",_xlfn.XLOOKUP(G763:G4804,castles_state!A:A,castles_state!D:D,"見つかりません"))</f>
      </c>
      <c r="I763" s="4"/>
      <c r="J763" s="12" t="str">
        <f t="array" ref="J763">IF(I763:I4804="","",_xlfn.XLOOKUP(I763:I4804,'参照_姫'!A:A,'参照_姫'!B:B,"見つかりません"))</f>
      </c>
      <c r="K763" s="4">
        <v>95</v>
      </c>
      <c r="L763" s="4">
        <v>0</v>
      </c>
      <c r="M763" s="4"/>
      <c r="N763" s="4"/>
      <c r="O763" s="4"/>
      <c r="P763" s="12" t="str">
        <f t="array" ref="P763">IF(O763:O4804="","",_xlfn.XLOOKUP(O763:O4804,'参照_官位'!A:A,'参照_官位'!B:B,""))</f>
      </c>
      <c r="Q763" s="12" t="str">
        <f t="array" ref="Q763">IF(A763:A4804="","",IFERROR(_xlfn.XLOOKUP(A763:A4804,castles_state!K:K,castles_state!D:D)&amp;"主",IFERROR(_xlfn.XLOOKUP(A763:A4804,kunishuClan!D:D,kunishuClan!B:B)&amp;"当主","")))</f>
      </c>
    </row>
    <row r="764" ht="15.75" customHeight="1">
      <c r="A764" s="4">
        <v>1014019</v>
      </c>
      <c r="B764" s="12" t="str">
        <f t="array" ref="B764">IF(A764:A4805="","",_xlfn.XLOOKUP(A764:A4805,'参照_武将'!A:A,'参照_武将'!B:B,"見つかりません"))</f>
      </c>
      <c r="C764" s="4" t="s">
        <v>5919</v>
      </c>
      <c r="D764" s="4">
        <v>14</v>
      </c>
      <c r="E764" s="12" t="str">
        <f t="array" ref="E764">IF(D764:D4805="","",IFERROR(_xlfn.XLOOKUP(D764:D4805,'参照_勢力'!A:A,'参照_勢力'!B:B),IFERROR(_xlfn.XLOOKUP(F764:F4805,kunishuClan!A:A,kunishuClan!B:B),"浪人")))</f>
      </c>
      <c r="F764" s="4">
        <v>0</v>
      </c>
      <c r="G764" s="4">
        <v>82</v>
      </c>
      <c r="H764" s="12" t="str">
        <f t="array" ref="H764">IF(G764:G4805="","",_xlfn.XLOOKUP(G764:G4805,castles_state!A:A,castles_state!D:D,"見つかりません"))</f>
      </c>
      <c r="I764" s="4"/>
      <c r="J764" s="12" t="str">
        <f t="array" ref="J764">IF(I764:I4805="","",_xlfn.XLOOKUP(I764:I4805,'参照_姫'!A:A,'参照_姫'!B:B,"見つかりません"))</f>
      </c>
      <c r="K764" s="4">
        <v>95</v>
      </c>
      <c r="L764" s="4">
        <v>0</v>
      </c>
      <c r="M764" s="4"/>
      <c r="N764" s="4"/>
      <c r="O764" s="4"/>
      <c r="P764" s="12" t="str">
        <f t="array" ref="P764">IF(O764:O4805="","",_xlfn.XLOOKUP(O764:O4805,'参照_官位'!A:A,'参照_官位'!B:B,""))</f>
      </c>
      <c r="Q764" s="12" t="str">
        <f t="array" ref="Q764">IF(A764:A4805="","",IFERROR(_xlfn.XLOOKUP(A764:A4805,castles_state!K:K,castles_state!D:D)&amp;"主",IFERROR(_xlfn.XLOOKUP(A764:A4805,kunishuClan!D:D,kunishuClan!B:B)&amp;"当主","")))</f>
      </c>
    </row>
    <row r="765" ht="15.75" customHeight="1">
      <c r="A765" s="4">
        <v>1014020</v>
      </c>
      <c r="B765" s="12" t="str">
        <f t="array" ref="B765">IF(A765:A4806="","",_xlfn.XLOOKUP(A765:A4806,'参照_武将'!A:A,'参照_武将'!B:B,"見つかりません"))</f>
      </c>
      <c r="C765" s="4" t="s">
        <v>5919</v>
      </c>
      <c r="D765" s="4">
        <v>14</v>
      </c>
      <c r="E765" s="12" t="str">
        <f t="array" ref="E765">IF(D765:D4806="","",IFERROR(_xlfn.XLOOKUP(D765:D4806,'参照_勢力'!A:A,'参照_勢力'!B:B),IFERROR(_xlfn.XLOOKUP(F765:F4806,kunishuClan!A:A,kunishuClan!B:B),"浪人")))</f>
      </c>
      <c r="F765" s="4">
        <v>0</v>
      </c>
      <c r="G765" s="4">
        <v>82</v>
      </c>
      <c r="H765" s="12" t="str">
        <f t="array" ref="H765">IF(G765:G4806="","",_xlfn.XLOOKUP(G765:G4806,castles_state!A:A,castles_state!D:D,"見つかりません"))</f>
      </c>
      <c r="I765" s="4"/>
      <c r="J765" s="12" t="str">
        <f t="array" ref="J765">IF(I765:I4806="","",_xlfn.XLOOKUP(I765:I4806,'参照_姫'!A:A,'参照_姫'!B:B,"見つかりません"))</f>
      </c>
      <c r="K765" s="4">
        <v>95</v>
      </c>
      <c r="L765" s="4">
        <v>0</v>
      </c>
      <c r="M765" s="4"/>
      <c r="N765" s="4"/>
      <c r="O765" s="4"/>
      <c r="P765" s="12" t="str">
        <f t="array" ref="P765">IF(O765:O4806="","",_xlfn.XLOOKUP(O765:O4806,'参照_官位'!A:A,'参照_官位'!B:B,""))</f>
      </c>
      <c r="Q765" s="12" t="str">
        <f t="array" ref="Q765">IF(A765:A4806="","",IFERROR(_xlfn.XLOOKUP(A765:A4806,castles_state!K:K,castles_state!D:D)&amp;"主",IFERROR(_xlfn.XLOOKUP(A765:A4806,kunishuClan!D:D,kunishuClan!B:B)&amp;"当主","")))</f>
      </c>
    </row>
    <row r="766" ht="15.75" customHeight="1">
      <c r="A766" s="4">
        <v>1014021</v>
      </c>
      <c r="B766" s="12" t="str">
        <f t="array" ref="B766">IF(A766:A4807="","",_xlfn.XLOOKUP(A766:A4807,'参照_武将'!A:A,'参照_武将'!B:B,"見つかりません"))</f>
      </c>
      <c r="C766" s="4" t="s">
        <v>5919</v>
      </c>
      <c r="D766" s="4">
        <v>14</v>
      </c>
      <c r="E766" s="12" t="str">
        <f t="array" ref="E766">IF(D766:D4807="","",IFERROR(_xlfn.XLOOKUP(D766:D4807,'参照_勢力'!A:A,'参照_勢力'!B:B),IFERROR(_xlfn.XLOOKUP(F766:F4807,kunishuClan!A:A,kunishuClan!B:B),"浪人")))</f>
      </c>
      <c r="F766" s="4">
        <v>0</v>
      </c>
      <c r="G766" s="4">
        <v>82</v>
      </c>
      <c r="H766" s="12" t="str">
        <f t="array" ref="H766">IF(G766:G4807="","",_xlfn.XLOOKUP(G766:G4807,castles_state!A:A,castles_state!D:D,"見つかりません"))</f>
      </c>
      <c r="I766" s="4"/>
      <c r="J766" s="12" t="str">
        <f t="array" ref="J766">IF(I766:I4807="","",_xlfn.XLOOKUP(I766:I4807,'参照_姫'!A:A,'参照_姫'!B:B,"見つかりません"))</f>
      </c>
      <c r="K766" s="4">
        <v>95</v>
      </c>
      <c r="L766" s="4">
        <v>0</v>
      </c>
      <c r="M766" s="4"/>
      <c r="N766" s="4"/>
      <c r="O766" s="4"/>
      <c r="P766" s="12" t="str">
        <f t="array" ref="P766">IF(O766:O4807="","",_xlfn.XLOOKUP(O766:O4807,'参照_官位'!A:A,'参照_官位'!B:B,""))</f>
      </c>
      <c r="Q766" s="12" t="str">
        <f t="array" ref="Q766">IF(A766:A4807="","",IFERROR(_xlfn.XLOOKUP(A766:A4807,castles_state!K:K,castles_state!D:D)&amp;"主",IFERROR(_xlfn.XLOOKUP(A766:A4807,kunishuClan!D:D,kunishuClan!B:B)&amp;"当主","")))</f>
      </c>
    </row>
    <row r="767" ht="15.75" customHeight="1">
      <c r="A767" s="4">
        <v>1014022</v>
      </c>
      <c r="B767" s="12" t="str">
        <f t="array" ref="B767">IF(A767:A4808="","",_xlfn.XLOOKUP(A767:A4808,'参照_武将'!A:A,'参照_武将'!B:B,"見つかりません"))</f>
      </c>
      <c r="C767" s="4" t="s">
        <v>5919</v>
      </c>
      <c r="D767" s="4">
        <v>14</v>
      </c>
      <c r="E767" s="12" t="str">
        <f t="array" ref="E767">IF(D767:D4808="","",IFERROR(_xlfn.XLOOKUP(D767:D4808,'参照_勢力'!A:A,'参照_勢力'!B:B),IFERROR(_xlfn.XLOOKUP(F767:F4808,kunishuClan!A:A,kunishuClan!B:B),"浪人")))</f>
      </c>
      <c r="F767" s="4">
        <v>0</v>
      </c>
      <c r="G767" s="4">
        <v>22</v>
      </c>
      <c r="H767" s="12" t="str">
        <f t="array" ref="H767">IF(G767:G4808="","",_xlfn.XLOOKUP(G767:G4808,castles_state!A:A,castles_state!D:D,"見つかりません"))</f>
      </c>
      <c r="I767" s="4"/>
      <c r="J767" s="12" t="str">
        <f t="array" ref="J767">IF(I767:I4808="","",_xlfn.XLOOKUP(I767:I4808,'参照_姫'!A:A,'参照_姫'!B:B,"見つかりません"))</f>
      </c>
      <c r="K767" s="4">
        <v>95</v>
      </c>
      <c r="L767" s="4">
        <v>0</v>
      </c>
      <c r="M767" s="4"/>
      <c r="N767" s="4"/>
      <c r="O767" s="4"/>
      <c r="P767" s="12" t="str">
        <f t="array" ref="P767">IF(O767:O4808="","",_xlfn.XLOOKUP(O767:O4808,'参照_官位'!A:A,'参照_官位'!B:B,""))</f>
      </c>
      <c r="Q767" s="12" t="str">
        <f t="array" ref="Q767">IF(A767:A4808="","",IFERROR(_xlfn.XLOOKUP(A767:A4808,castles_state!K:K,castles_state!D:D)&amp;"主",IFERROR(_xlfn.XLOOKUP(A767:A4808,kunishuClan!D:D,kunishuClan!B:B)&amp;"当主","")))</f>
      </c>
    </row>
    <row r="768" ht="15.75" customHeight="1">
      <c r="A768" s="4">
        <v>1014023</v>
      </c>
      <c r="B768" s="12" t="str">
        <f t="array" ref="B768">IF(A768:A4809="","",_xlfn.XLOOKUP(A768:A4809,'参照_武将'!A:A,'参照_武将'!B:B,"見つかりません"))</f>
      </c>
      <c r="C768" s="4" t="s">
        <v>5919</v>
      </c>
      <c r="D768" s="4">
        <v>14</v>
      </c>
      <c r="E768" s="12" t="str">
        <f t="array" ref="E768">IF(D768:D4809="","",IFERROR(_xlfn.XLOOKUP(D768:D4809,'参照_勢力'!A:A,'参照_勢力'!B:B),IFERROR(_xlfn.XLOOKUP(F768:F4809,kunishuClan!A:A,kunishuClan!B:B),"浪人")))</f>
      </c>
      <c r="F768" s="4">
        <v>0</v>
      </c>
      <c r="G768" s="4">
        <v>22</v>
      </c>
      <c r="H768" s="12" t="str">
        <f t="array" ref="H768">IF(G768:G4809="","",_xlfn.XLOOKUP(G768:G4809,castles_state!A:A,castles_state!D:D,"見つかりません"))</f>
      </c>
      <c r="I768" s="4"/>
      <c r="J768" s="12" t="str">
        <f t="array" ref="J768">IF(I768:I4809="","",_xlfn.XLOOKUP(I768:I4809,'参照_姫'!A:A,'参照_姫'!B:B,"見つかりません"))</f>
      </c>
      <c r="K768" s="4">
        <v>95</v>
      </c>
      <c r="L768" s="4">
        <v>0</v>
      </c>
      <c r="M768" s="4"/>
      <c r="N768" s="4"/>
      <c r="O768" s="4"/>
      <c r="P768" s="12" t="str">
        <f t="array" ref="P768">IF(O768:O4809="","",_xlfn.XLOOKUP(O768:O4809,'参照_官位'!A:A,'参照_官位'!B:B,""))</f>
      </c>
      <c r="Q768" s="12" t="str">
        <f t="array" ref="Q768">IF(A768:A4809="","",IFERROR(_xlfn.XLOOKUP(A768:A4809,castles_state!K:K,castles_state!D:D)&amp;"主",IFERROR(_xlfn.XLOOKUP(A768:A4809,kunishuClan!D:D,kunishuClan!B:B)&amp;"当主","")))</f>
      </c>
    </row>
    <row r="769" ht="15.75" customHeight="1">
      <c r="A769" s="4">
        <v>1014024</v>
      </c>
      <c r="B769" s="12" t="str">
        <f t="array" ref="B769">IF(A769:A4810="","",_xlfn.XLOOKUP(A769:A4810,'参照_武将'!A:A,'参照_武将'!B:B,"見つかりません"))</f>
      </c>
      <c r="C769" s="4" t="s">
        <v>5920</v>
      </c>
      <c r="D769" s="4">
        <v>14</v>
      </c>
      <c r="E769" s="12" t="str">
        <f t="array" ref="E769">IF(D769:D4810="","",IFERROR(_xlfn.XLOOKUP(D769:D4810,'参照_勢力'!A:A,'参照_勢力'!B:B),IFERROR(_xlfn.XLOOKUP(F769:F4810,kunishuClan!A:A,kunishuClan!B:B),"浪人")))</f>
      </c>
      <c r="F769" s="4">
        <v>0</v>
      </c>
      <c r="G769" s="4">
        <v>82</v>
      </c>
      <c r="H769" s="12" t="str">
        <f t="array" ref="H769">IF(G769:G4810="","",_xlfn.XLOOKUP(G769:G4810,castles_state!A:A,castles_state!D:D,"見つかりません"))</f>
      </c>
      <c r="I769" s="4"/>
      <c r="J769" s="12" t="str">
        <f t="array" ref="J769">IF(I769:I4810="","",_xlfn.XLOOKUP(I769:I4810,'参照_姫'!A:A,'参照_姫'!B:B,"見つかりません"))</f>
      </c>
      <c r="K769" s="4">
        <v>95</v>
      </c>
      <c r="L769" s="4">
        <v>0</v>
      </c>
      <c r="M769" s="4"/>
      <c r="N769" s="4"/>
      <c r="O769" s="4"/>
      <c r="P769" s="12" t="str">
        <f t="array" ref="P769">IF(O769:O4810="","",_xlfn.XLOOKUP(O769:O4810,'参照_官位'!A:A,'参照_官位'!B:B,""))</f>
      </c>
      <c r="Q769" s="12" t="str">
        <f t="array" ref="Q769">IF(A769:A4810="","",IFERROR(_xlfn.XLOOKUP(A769:A4810,castles_state!K:K,castles_state!D:D)&amp;"主",IFERROR(_xlfn.XLOOKUP(A769:A4810,kunishuClan!D:D,kunishuClan!B:B)&amp;"当主","")))</f>
      </c>
    </row>
    <row r="770" ht="15.75" customHeight="1">
      <c r="A770" s="4">
        <v>1014025</v>
      </c>
      <c r="B770" s="12" t="str">
        <f t="array" ref="B770">IF(A770:A4811="","",_xlfn.XLOOKUP(A770:A4811,'参照_武将'!A:A,'参照_武将'!B:B,"見つかりません"))</f>
      </c>
      <c r="C770" s="4" t="s">
        <v>5920</v>
      </c>
      <c r="D770" s="4">
        <v>14</v>
      </c>
      <c r="E770" s="12" t="str">
        <f t="array" ref="E770">IF(D770:D4811="","",IFERROR(_xlfn.XLOOKUP(D770:D4811,'参照_勢力'!A:A,'参照_勢力'!B:B),IFERROR(_xlfn.XLOOKUP(F770:F4811,kunishuClan!A:A,kunishuClan!B:B),"浪人")))</f>
      </c>
      <c r="F770" s="4">
        <v>0</v>
      </c>
      <c r="G770" s="4">
        <v>82</v>
      </c>
      <c r="H770" s="12" t="str">
        <f t="array" ref="H770">IF(G770:G4811="","",_xlfn.XLOOKUP(G770:G4811,castles_state!A:A,castles_state!D:D,"見つかりません"))</f>
      </c>
      <c r="I770" s="4"/>
      <c r="J770" s="12" t="str">
        <f t="array" ref="J770">IF(I770:I4811="","",_xlfn.XLOOKUP(I770:I4811,'参照_姫'!A:A,'参照_姫'!B:B,"見つかりません"))</f>
      </c>
      <c r="K770" s="4">
        <v>95</v>
      </c>
      <c r="L770" s="4">
        <v>0</v>
      </c>
      <c r="M770" s="4"/>
      <c r="N770" s="4"/>
      <c r="O770" s="4"/>
      <c r="P770" s="12" t="str">
        <f t="array" ref="P770">IF(O770:O4811="","",_xlfn.XLOOKUP(O770:O4811,'参照_官位'!A:A,'参照_官位'!B:B,""))</f>
      </c>
      <c r="Q770" s="12" t="str">
        <f t="array" ref="Q770">IF(A770:A4811="","",IFERROR(_xlfn.XLOOKUP(A770:A4811,castles_state!K:K,castles_state!D:D)&amp;"主",IFERROR(_xlfn.XLOOKUP(A770:A4811,kunishuClan!D:D,kunishuClan!B:B)&amp;"当主","")))</f>
      </c>
    </row>
    <row r="771" ht="15.75" customHeight="1">
      <c r="A771" s="4">
        <v>1014026</v>
      </c>
      <c r="B771" s="12" t="str">
        <f t="array" ref="B771">IF(A771:A4812="","",_xlfn.XLOOKUP(A771:A4812,'参照_武将'!A:A,'参照_武将'!B:B,"見つかりません"))</f>
      </c>
      <c r="C771" s="4" t="s">
        <v>5920</v>
      </c>
      <c r="D771" s="4">
        <v>14</v>
      </c>
      <c r="E771" s="12" t="str">
        <f t="array" ref="E771">IF(D771:D4812="","",IFERROR(_xlfn.XLOOKUP(D771:D4812,'参照_勢力'!A:A,'参照_勢力'!B:B),IFERROR(_xlfn.XLOOKUP(F771:F4812,kunishuClan!A:A,kunishuClan!B:B),"浪人")))</f>
      </c>
      <c r="F771" s="4">
        <v>0</v>
      </c>
      <c r="G771" s="4">
        <v>82</v>
      </c>
      <c r="H771" s="12" t="str">
        <f t="array" ref="H771">IF(G771:G4812="","",_xlfn.XLOOKUP(G771:G4812,castles_state!A:A,castles_state!D:D,"見つかりません"))</f>
      </c>
      <c r="I771" s="4"/>
      <c r="J771" s="12" t="str">
        <f t="array" ref="J771">IF(I771:I4812="","",_xlfn.XLOOKUP(I771:I4812,'参照_姫'!A:A,'参照_姫'!B:B,"見つかりません"))</f>
      </c>
      <c r="K771" s="4">
        <v>95</v>
      </c>
      <c r="L771" s="4">
        <v>0</v>
      </c>
      <c r="M771" s="4"/>
      <c r="N771" s="4"/>
      <c r="O771" s="4"/>
      <c r="P771" s="12" t="str">
        <f t="array" ref="P771">IF(O771:O4812="","",_xlfn.XLOOKUP(O771:O4812,'参照_官位'!A:A,'参照_官位'!B:B,""))</f>
      </c>
      <c r="Q771" s="12" t="str">
        <f t="array" ref="Q771">IF(A771:A4812="","",IFERROR(_xlfn.XLOOKUP(A771:A4812,castles_state!K:K,castles_state!D:D)&amp;"主",IFERROR(_xlfn.XLOOKUP(A771:A4812,kunishuClan!D:D,kunishuClan!B:B)&amp;"当主","")))</f>
      </c>
    </row>
    <row r="772" ht="15.75" customHeight="1">
      <c r="A772" s="4">
        <v>1014027</v>
      </c>
      <c r="B772" s="12" t="str">
        <f t="array" ref="B772">IF(A772:A4813="","",_xlfn.XLOOKUP(A772:A4813,'参照_武将'!A:A,'参照_武将'!B:B,"見つかりません"))</f>
      </c>
      <c r="C772" s="4" t="s">
        <v>5920</v>
      </c>
      <c r="D772" s="4">
        <v>14</v>
      </c>
      <c r="E772" s="12" t="str">
        <f t="array" ref="E772">IF(D772:D4813="","",IFERROR(_xlfn.XLOOKUP(D772:D4813,'参照_勢力'!A:A,'参照_勢力'!B:B),IFERROR(_xlfn.XLOOKUP(F772:F4813,kunishuClan!A:A,kunishuClan!B:B),"浪人")))</f>
      </c>
      <c r="F772" s="4">
        <v>0</v>
      </c>
      <c r="G772" s="4">
        <v>82</v>
      </c>
      <c r="H772" s="12" t="str">
        <f t="array" ref="H772">IF(G772:G4813="","",_xlfn.XLOOKUP(G772:G4813,castles_state!A:A,castles_state!D:D,"見つかりません"))</f>
      </c>
      <c r="I772" s="4"/>
      <c r="J772" s="12" t="str">
        <f t="array" ref="J772">IF(I772:I4813="","",_xlfn.XLOOKUP(I772:I4813,'参照_姫'!A:A,'参照_姫'!B:B,"見つかりません"))</f>
      </c>
      <c r="K772" s="4">
        <v>95</v>
      </c>
      <c r="L772" s="4">
        <v>0</v>
      </c>
      <c r="M772" s="4"/>
      <c r="N772" s="4"/>
      <c r="O772" s="4"/>
      <c r="P772" s="12" t="str">
        <f t="array" ref="P772">IF(O772:O4813="","",_xlfn.XLOOKUP(O772:O4813,'参照_官位'!A:A,'参照_官位'!B:B,""))</f>
      </c>
      <c r="Q772" s="12" t="str">
        <f t="array" ref="Q772">IF(A772:A4813="","",IFERROR(_xlfn.XLOOKUP(A772:A4813,castles_state!K:K,castles_state!D:D)&amp;"主",IFERROR(_xlfn.XLOOKUP(A772:A4813,kunishuClan!D:D,kunishuClan!B:B)&amp;"当主","")))</f>
      </c>
    </row>
    <row r="773" ht="15.75" customHeight="1">
      <c r="A773" s="4">
        <v>1014028</v>
      </c>
      <c r="B773" s="12" t="str">
        <f t="array" ref="B773">IF(A773:A4814="","",_xlfn.XLOOKUP(A773:A4814,'参照_武将'!A:A,'参照_武将'!B:B,"見つかりません"))</f>
      </c>
      <c r="C773" s="4" t="s">
        <v>5921</v>
      </c>
      <c r="D773" s="4">
        <v>14</v>
      </c>
      <c r="E773" s="12" t="str">
        <f t="array" ref="E773">IF(D773:D4814="","",IFERROR(_xlfn.XLOOKUP(D773:D4814,'参照_勢力'!A:A,'参照_勢力'!B:B),IFERROR(_xlfn.XLOOKUP(F773:F4814,kunishuClan!A:A,kunishuClan!B:B),"浪人")))</f>
      </c>
      <c r="F773" s="4">
        <v>0</v>
      </c>
      <c r="G773" s="4">
        <v>82</v>
      </c>
      <c r="H773" s="12" t="str">
        <f t="array" ref="H773">IF(G773:G4814="","",_xlfn.XLOOKUP(G773:G4814,castles_state!A:A,castles_state!D:D,"見つかりません"))</f>
      </c>
      <c r="I773" s="4"/>
      <c r="J773" s="12" t="str">
        <f t="array" ref="J773">IF(I773:I4814="","",_xlfn.XLOOKUP(I773:I4814,'参照_姫'!A:A,'参照_姫'!B:B,"見つかりません"))</f>
      </c>
      <c r="K773" s="4">
        <v>95</v>
      </c>
      <c r="L773" s="4">
        <v>0</v>
      </c>
      <c r="M773" s="4"/>
      <c r="N773" s="4"/>
      <c r="O773" s="4"/>
      <c r="P773" s="12" t="str">
        <f t="array" ref="P773">IF(O773:O4814="","",_xlfn.XLOOKUP(O773:O4814,'参照_官位'!A:A,'参照_官位'!B:B,""))</f>
      </c>
      <c r="Q773" s="12" t="str">
        <f t="array" ref="Q773">IF(A773:A4814="","",IFERROR(_xlfn.XLOOKUP(A773:A4814,castles_state!K:K,castles_state!D:D)&amp;"主",IFERROR(_xlfn.XLOOKUP(A773:A4814,kunishuClan!D:D,kunishuClan!B:B)&amp;"当主","")))</f>
      </c>
    </row>
    <row r="774" ht="15.75" customHeight="1">
      <c r="A774" s="4">
        <v>1014029</v>
      </c>
      <c r="B774" s="12" t="str">
        <f t="array" ref="B774">IF(A774:A4815="","",_xlfn.XLOOKUP(A774:A4815,'参照_武将'!A:A,'参照_武将'!B:B,"見つかりません"))</f>
      </c>
      <c r="C774" s="4" t="s">
        <v>5921</v>
      </c>
      <c r="D774" s="4">
        <v>14</v>
      </c>
      <c r="E774" s="12" t="str">
        <f t="array" ref="E774">IF(D774:D4815="","",IFERROR(_xlfn.XLOOKUP(D774:D4815,'参照_勢力'!A:A,'参照_勢力'!B:B),IFERROR(_xlfn.XLOOKUP(F774:F4815,kunishuClan!A:A,kunishuClan!B:B),"浪人")))</f>
      </c>
      <c r="F774" s="4">
        <v>0</v>
      </c>
      <c r="G774" s="4">
        <v>82</v>
      </c>
      <c r="H774" s="12" t="str">
        <f t="array" ref="H774">IF(G774:G4815="","",_xlfn.XLOOKUP(G774:G4815,castles_state!A:A,castles_state!D:D,"見つかりません"))</f>
      </c>
      <c r="I774" s="4"/>
      <c r="J774" s="12" t="str">
        <f t="array" ref="J774">IF(I774:I4815="","",_xlfn.XLOOKUP(I774:I4815,'参照_姫'!A:A,'参照_姫'!B:B,"見つかりません"))</f>
      </c>
      <c r="K774" s="4">
        <v>95</v>
      </c>
      <c r="L774" s="4">
        <v>0</v>
      </c>
      <c r="M774" s="4"/>
      <c r="N774" s="4"/>
      <c r="O774" s="4"/>
      <c r="P774" s="12" t="str">
        <f t="array" ref="P774">IF(O774:O4815="","",_xlfn.XLOOKUP(O774:O4815,'参照_官位'!A:A,'参照_官位'!B:B,""))</f>
      </c>
      <c r="Q774" s="12" t="str">
        <f t="array" ref="Q774">IF(A774:A4815="","",IFERROR(_xlfn.XLOOKUP(A774:A4815,castles_state!K:K,castles_state!D:D)&amp;"主",IFERROR(_xlfn.XLOOKUP(A774:A4815,kunishuClan!D:D,kunishuClan!B:B)&amp;"当主","")))</f>
      </c>
    </row>
    <row r="775" ht="15.75" customHeight="1">
      <c r="A775" s="4">
        <v>1014030</v>
      </c>
      <c r="B775" s="12" t="str">
        <f t="array" ref="B775">IF(A775:A4816="","",_xlfn.XLOOKUP(A775:A4816,'参照_武将'!A:A,'参照_武将'!B:B,"見つかりません"))</f>
      </c>
      <c r="C775" s="4" t="s">
        <v>5921</v>
      </c>
      <c r="D775" s="4">
        <v>14</v>
      </c>
      <c r="E775" s="12" t="str">
        <f t="array" ref="E775">IF(D775:D4816="","",IFERROR(_xlfn.XLOOKUP(D775:D4816,'参照_勢力'!A:A,'参照_勢力'!B:B),IFERROR(_xlfn.XLOOKUP(F775:F4816,kunishuClan!A:A,kunishuClan!B:B),"浪人")))</f>
      </c>
      <c r="F775" s="4">
        <v>0</v>
      </c>
      <c r="G775" s="4">
        <v>82</v>
      </c>
      <c r="H775" s="12" t="str">
        <f t="array" ref="H775">IF(G775:G4816="","",_xlfn.XLOOKUP(G775:G4816,castles_state!A:A,castles_state!D:D,"見つかりません"))</f>
      </c>
      <c r="I775" s="4"/>
      <c r="J775" s="12" t="str">
        <f t="array" ref="J775">IF(I775:I4816="","",_xlfn.XLOOKUP(I775:I4816,'参照_姫'!A:A,'参照_姫'!B:B,"見つかりません"))</f>
      </c>
      <c r="K775" s="4">
        <v>95</v>
      </c>
      <c r="L775" s="4">
        <v>0</v>
      </c>
      <c r="M775" s="4"/>
      <c r="N775" s="4"/>
      <c r="O775" s="4"/>
      <c r="P775" s="12" t="str">
        <f t="array" ref="P775">IF(O775:O4816="","",_xlfn.XLOOKUP(O775:O4816,'参照_官位'!A:A,'参照_官位'!B:B,""))</f>
      </c>
      <c r="Q775" s="12" t="str">
        <f t="array" ref="Q775">IF(A775:A4816="","",IFERROR(_xlfn.XLOOKUP(A775:A4816,castles_state!K:K,castles_state!D:D)&amp;"主",IFERROR(_xlfn.XLOOKUP(A775:A4816,kunishuClan!D:D,kunishuClan!B:B)&amp;"当主","")))</f>
      </c>
    </row>
    <row r="776" ht="15.75" customHeight="1">
      <c r="A776" s="4">
        <v>1014031</v>
      </c>
      <c r="B776" s="12" t="str">
        <f t="array" ref="B776">IF(A776:A4817="","",_xlfn.XLOOKUP(A776:A4817,'参照_武将'!A:A,'参照_武将'!B:B,"見つかりません"))</f>
      </c>
      <c r="C776" s="4" t="s">
        <v>5921</v>
      </c>
      <c r="D776" s="4">
        <v>14</v>
      </c>
      <c r="E776" s="12" t="str">
        <f t="array" ref="E776">IF(D776:D4817="","",IFERROR(_xlfn.XLOOKUP(D776:D4817,'参照_勢力'!A:A,'参照_勢力'!B:B),IFERROR(_xlfn.XLOOKUP(F776:F4817,kunishuClan!A:A,kunishuClan!B:B),"浪人")))</f>
      </c>
      <c r="F776" s="4">
        <v>0</v>
      </c>
      <c r="G776" s="4">
        <v>22</v>
      </c>
      <c r="H776" s="12" t="str">
        <f t="array" ref="H776">IF(G776:G4817="","",_xlfn.XLOOKUP(G776:G4817,castles_state!A:A,castles_state!D:D,"見つかりません"))</f>
      </c>
      <c r="I776" s="4"/>
      <c r="J776" s="12" t="str">
        <f t="array" ref="J776">IF(I776:I4817="","",_xlfn.XLOOKUP(I776:I4817,'参照_姫'!A:A,'参照_姫'!B:B,"見つかりません"))</f>
      </c>
      <c r="K776" s="4">
        <v>95</v>
      </c>
      <c r="L776" s="4">
        <v>500</v>
      </c>
      <c r="M776" s="4"/>
      <c r="N776" s="4"/>
      <c r="O776" s="4"/>
      <c r="P776" s="12" t="str">
        <f t="array" ref="P776">IF(O776:O4817="","",_xlfn.XLOOKUP(O776:O4817,'参照_官位'!A:A,'参照_官位'!B:B,""))</f>
      </c>
      <c r="Q776" s="12" t="str">
        <f t="array" ref="Q776">IF(A776:A4817="","",IFERROR(_xlfn.XLOOKUP(A776:A4817,castles_state!K:K,castles_state!D:D)&amp;"主",IFERROR(_xlfn.XLOOKUP(A776:A4817,kunishuClan!D:D,kunishuClan!B:B)&amp;"当主","")))</f>
      </c>
    </row>
    <row r="777" ht="15.75" customHeight="1">
      <c r="A777" s="4">
        <v>1014032</v>
      </c>
      <c r="B777" s="12" t="str">
        <f t="array" ref="B777">IF(A777:A4818="","",_xlfn.XLOOKUP(A777:A4818,'参照_武将'!A:A,'参照_武将'!B:B,"見つかりません"))</f>
      </c>
      <c r="C777" s="4" t="s">
        <v>5921</v>
      </c>
      <c r="D777" s="4">
        <v>14</v>
      </c>
      <c r="E777" s="12" t="str">
        <f t="array" ref="E777">IF(D777:D4818="","",IFERROR(_xlfn.XLOOKUP(D777:D4818,'参照_勢力'!A:A,'参照_勢力'!B:B),IFERROR(_xlfn.XLOOKUP(F777:F4818,kunishuClan!A:A,kunishuClan!B:B),"浪人")))</f>
      </c>
      <c r="F777" s="4">
        <v>0</v>
      </c>
      <c r="G777" s="4">
        <v>22</v>
      </c>
      <c r="H777" s="12" t="str">
        <f t="array" ref="H777">IF(G777:G4818="","",_xlfn.XLOOKUP(G777:G4818,castles_state!A:A,castles_state!D:D,"見つかりません"))</f>
      </c>
      <c r="I777" s="4"/>
      <c r="J777" s="12" t="str">
        <f t="array" ref="J777">IF(I777:I4818="","",_xlfn.XLOOKUP(I777:I4818,'参照_姫'!A:A,'参照_姫'!B:B,"見つかりません"))</f>
      </c>
      <c r="K777" s="4">
        <v>95</v>
      </c>
      <c r="L777" s="4">
        <v>0</v>
      </c>
      <c r="M777" s="4"/>
      <c r="N777" s="4"/>
      <c r="O777" s="4"/>
      <c r="P777" s="12" t="str">
        <f t="array" ref="P777">IF(O777:O4818="","",_xlfn.XLOOKUP(O777:O4818,'参照_官位'!A:A,'参照_官位'!B:B,""))</f>
      </c>
      <c r="Q777" s="12" t="str">
        <f t="array" ref="Q777">IF(A777:A4818="","",IFERROR(_xlfn.XLOOKUP(A777:A4818,castles_state!K:K,castles_state!D:D)&amp;"主",IFERROR(_xlfn.XLOOKUP(A777:A4818,kunishuClan!D:D,kunishuClan!B:B)&amp;"当主","")))</f>
      </c>
    </row>
    <row r="778" ht="15.75" customHeight="1">
      <c r="A778" s="4">
        <v>1014033</v>
      </c>
      <c r="B778" s="12" t="str">
        <f t="array" ref="B778">IF(A778:A4819="","",_xlfn.XLOOKUP(A778:A4819,'参照_武将'!A:A,'参照_武将'!B:B,"見つかりません"))</f>
      </c>
      <c r="C778" s="4" t="s">
        <v>5922</v>
      </c>
      <c r="D778" s="4">
        <v>14</v>
      </c>
      <c r="E778" s="12" t="str">
        <f t="array" ref="E778">IF(D778:D4819="","",IFERROR(_xlfn.XLOOKUP(D778:D4819,'参照_勢力'!A:A,'参照_勢力'!B:B),IFERROR(_xlfn.XLOOKUP(F778:F4819,kunishuClan!A:A,kunishuClan!B:B),"浪人")))</f>
      </c>
      <c r="F778" s="4">
        <v>0</v>
      </c>
      <c r="G778" s="4">
        <v>82</v>
      </c>
      <c r="H778" s="12" t="str">
        <f t="array" ref="H778">IF(G778:G4819="","",_xlfn.XLOOKUP(G778:G4819,castles_state!A:A,castles_state!D:D,"見つかりません"))</f>
      </c>
      <c r="I778" s="4"/>
      <c r="J778" s="12" t="str">
        <f t="array" ref="J778">IF(I778:I4819="","",_xlfn.XLOOKUP(I778:I4819,'参照_姫'!A:A,'参照_姫'!B:B,"見つかりません"))</f>
      </c>
      <c r="K778" s="4">
        <v>95</v>
      </c>
      <c r="L778" s="4">
        <v>0</v>
      </c>
      <c r="M778" s="4"/>
      <c r="N778" s="4"/>
      <c r="O778" s="4"/>
      <c r="P778" s="12" t="str">
        <f t="array" ref="P778">IF(O778:O4819="","",_xlfn.XLOOKUP(O778:O4819,'参照_官位'!A:A,'参照_官位'!B:B,""))</f>
      </c>
      <c r="Q778" s="12" t="str">
        <f t="array" ref="Q778">IF(A778:A4819="","",IFERROR(_xlfn.XLOOKUP(A778:A4819,castles_state!K:K,castles_state!D:D)&amp;"主",IFERROR(_xlfn.XLOOKUP(A778:A4819,kunishuClan!D:D,kunishuClan!B:B)&amp;"当主","")))</f>
      </c>
    </row>
    <row r="779" ht="15.75" customHeight="1">
      <c r="A779" s="4">
        <v>1014034</v>
      </c>
      <c r="B779" s="12" t="str">
        <f t="array" ref="B779">IF(A779:A4820="","",_xlfn.XLOOKUP(A779:A4820,'参照_武将'!A:A,'参照_武将'!B:B,"見つかりません"))</f>
      </c>
      <c r="C779" s="4" t="s">
        <v>5922</v>
      </c>
      <c r="D779" s="4">
        <v>14</v>
      </c>
      <c r="E779" s="12" t="str">
        <f t="array" ref="E779">IF(D779:D4820="","",IFERROR(_xlfn.XLOOKUP(D779:D4820,'参照_勢力'!A:A,'参照_勢力'!B:B),IFERROR(_xlfn.XLOOKUP(F779:F4820,kunishuClan!A:A,kunishuClan!B:B),"浪人")))</f>
      </c>
      <c r="F779" s="4">
        <v>0</v>
      </c>
      <c r="G779" s="4">
        <v>82</v>
      </c>
      <c r="H779" s="12" t="str">
        <f t="array" ref="H779">IF(G779:G4820="","",_xlfn.XLOOKUP(G779:G4820,castles_state!A:A,castles_state!D:D,"見つかりません"))</f>
      </c>
      <c r="I779" s="4"/>
      <c r="J779" s="12" t="str">
        <f t="array" ref="J779">IF(I779:I4820="","",_xlfn.XLOOKUP(I779:I4820,'参照_姫'!A:A,'参照_姫'!B:B,"見つかりません"))</f>
      </c>
      <c r="K779" s="4">
        <v>95</v>
      </c>
      <c r="L779" s="4">
        <v>0</v>
      </c>
      <c r="M779" s="4"/>
      <c r="N779" s="4"/>
      <c r="O779" s="4"/>
      <c r="P779" s="12" t="str">
        <f t="array" ref="P779">IF(O779:O4820="","",_xlfn.XLOOKUP(O779:O4820,'参照_官位'!A:A,'参照_官位'!B:B,""))</f>
      </c>
      <c r="Q779" s="12" t="str">
        <f t="array" ref="Q779">IF(A779:A4820="","",IFERROR(_xlfn.XLOOKUP(A779:A4820,castles_state!K:K,castles_state!D:D)&amp;"主",IFERROR(_xlfn.XLOOKUP(A779:A4820,kunishuClan!D:D,kunishuClan!B:B)&amp;"当主","")))</f>
      </c>
    </row>
    <row r="780" ht="15.75" customHeight="1">
      <c r="A780" s="4">
        <v>1014035</v>
      </c>
      <c r="B780" s="12" t="str">
        <f t="array" ref="B780">IF(A780:A4821="","",_xlfn.XLOOKUP(A780:A4821,'参照_武将'!A:A,'参照_武将'!B:B,"見つかりません"))</f>
      </c>
      <c r="C780" s="4" t="s">
        <v>5922</v>
      </c>
      <c r="D780" s="4">
        <v>14</v>
      </c>
      <c r="E780" s="12" t="str">
        <f t="array" ref="E780">IF(D780:D4821="","",IFERROR(_xlfn.XLOOKUP(D780:D4821,'参照_勢力'!A:A,'参照_勢力'!B:B),IFERROR(_xlfn.XLOOKUP(F780:F4821,kunishuClan!A:A,kunishuClan!B:B),"浪人")))</f>
      </c>
      <c r="F780" s="4">
        <v>0</v>
      </c>
      <c r="G780" s="4">
        <v>22</v>
      </c>
      <c r="H780" s="12" t="str">
        <f t="array" ref="H780">IF(G780:G4821="","",_xlfn.XLOOKUP(G780:G4821,castles_state!A:A,castles_state!D:D,"見つかりません"))</f>
      </c>
      <c r="I780" s="4"/>
      <c r="J780" s="12" t="str">
        <f t="array" ref="J780">IF(I780:I4821="","",_xlfn.XLOOKUP(I780:I4821,'参照_姫'!A:A,'参照_姫'!B:B,"見つかりません"))</f>
      </c>
      <c r="K780" s="4">
        <v>95</v>
      </c>
      <c r="L780" s="4">
        <v>0</v>
      </c>
      <c r="M780" s="4"/>
      <c r="N780" s="4"/>
      <c r="O780" s="4"/>
      <c r="P780" s="12" t="str">
        <f t="array" ref="P780">IF(O780:O4821="","",_xlfn.XLOOKUP(O780:O4821,'参照_官位'!A:A,'参照_官位'!B:B,""))</f>
      </c>
      <c r="Q780" s="12" t="str">
        <f t="array" ref="Q780">IF(A780:A4821="","",IFERROR(_xlfn.XLOOKUP(A780:A4821,castles_state!K:K,castles_state!D:D)&amp;"主",IFERROR(_xlfn.XLOOKUP(A780:A4821,kunishuClan!D:D,kunishuClan!B:B)&amp;"当主","")))</f>
      </c>
    </row>
    <row r="781" ht="15.75" customHeight="1">
      <c r="A781" s="4">
        <v>1014036</v>
      </c>
      <c r="B781" s="12" t="str">
        <f t="array" ref="B781">IF(A781:A4822="","",_xlfn.XLOOKUP(A781:A4822,'参照_武将'!A:A,'参照_武将'!B:B,"見つかりません"))</f>
      </c>
      <c r="C781" s="4" t="s">
        <v>5922</v>
      </c>
      <c r="D781" s="4">
        <v>14</v>
      </c>
      <c r="E781" s="12" t="str">
        <f t="array" ref="E781">IF(D781:D4822="","",IFERROR(_xlfn.XLOOKUP(D781:D4822,'参照_勢力'!A:A,'参照_勢力'!B:B),IFERROR(_xlfn.XLOOKUP(F781:F4822,kunishuClan!A:A,kunishuClan!B:B),"浪人")))</f>
      </c>
      <c r="F781" s="4">
        <v>0</v>
      </c>
      <c r="G781" s="4">
        <v>82</v>
      </c>
      <c r="H781" s="12" t="str">
        <f t="array" ref="H781">IF(G781:G4822="","",_xlfn.XLOOKUP(G781:G4822,castles_state!A:A,castles_state!D:D,"見つかりません"))</f>
      </c>
      <c r="I781" s="4"/>
      <c r="J781" s="12" t="str">
        <f t="array" ref="J781">IF(I781:I4822="","",_xlfn.XLOOKUP(I781:I4822,'参照_姫'!A:A,'参照_姫'!B:B,"見つかりません"))</f>
      </c>
      <c r="K781" s="4">
        <v>95</v>
      </c>
      <c r="L781" s="4">
        <v>200</v>
      </c>
      <c r="M781" s="4"/>
      <c r="N781" s="4"/>
      <c r="O781" s="4"/>
      <c r="P781" s="12" t="str">
        <f t="array" ref="P781">IF(O781:O4822="","",_xlfn.XLOOKUP(O781:O4822,'参照_官位'!A:A,'参照_官位'!B:B,""))</f>
      </c>
      <c r="Q781" s="12" t="str">
        <f t="array" ref="Q781">IF(A781:A4822="","",IFERROR(_xlfn.XLOOKUP(A781:A4822,castles_state!K:K,castles_state!D:D)&amp;"主",IFERROR(_xlfn.XLOOKUP(A781:A4822,kunishuClan!D:D,kunishuClan!B:B)&amp;"当主","")))</f>
      </c>
    </row>
    <row r="782" ht="15.75" customHeight="1">
      <c r="A782" s="4">
        <v>1014037</v>
      </c>
      <c r="B782" s="12" t="str">
        <f t="array" ref="B782">IF(A782:A4823="","",_xlfn.XLOOKUP(A782:A4823,'参照_武将'!A:A,'参照_武将'!B:B,"見つかりません"))</f>
      </c>
      <c r="C782" s="4" t="s">
        <v>147</v>
      </c>
      <c r="D782" s="4">
        <v>14</v>
      </c>
      <c r="E782" s="12" t="str">
        <f t="array" ref="E782">IF(D782:D4823="","",IFERROR(_xlfn.XLOOKUP(D782:D4823,'参照_勢力'!A:A,'参照_勢力'!B:B),IFERROR(_xlfn.XLOOKUP(F782:F4823,kunishuClan!A:A,kunishuClan!B:B),"浪人")))</f>
      </c>
      <c r="F782" s="4">
        <v>0</v>
      </c>
      <c r="G782" s="4">
        <v>82</v>
      </c>
      <c r="H782" s="12" t="str">
        <f t="array" ref="H782">IF(G782:G4823="","",_xlfn.XLOOKUP(G782:G4823,castles_state!A:A,castles_state!D:D,"見つかりません"))</f>
      </c>
      <c r="I782" s="4"/>
      <c r="J782" s="12" t="str">
        <f t="array" ref="J782">IF(I782:I4823="","",_xlfn.XLOOKUP(I782:I4823,'参照_姫'!A:A,'参照_姫'!B:B,"見つかりません"))</f>
      </c>
      <c r="K782" s="4">
        <v>95</v>
      </c>
      <c r="L782" s="4">
        <v>500</v>
      </c>
      <c r="M782" s="4"/>
      <c r="N782" s="4"/>
      <c r="O782" s="4"/>
      <c r="P782" s="12" t="str">
        <f t="array" ref="P782">IF(O782:O4823="","",_xlfn.XLOOKUP(O782:O4823,'参照_官位'!A:A,'参照_官位'!B:B,""))</f>
      </c>
      <c r="Q782" s="12" t="str">
        <f t="array" ref="Q782">IF(A782:A4823="","",IFERROR(_xlfn.XLOOKUP(A782:A4823,castles_state!K:K,castles_state!D:D)&amp;"主",IFERROR(_xlfn.XLOOKUP(A782:A4823,kunishuClan!D:D,kunishuClan!B:B)&amp;"当主","")))</f>
      </c>
    </row>
    <row r="783" ht="15.75" customHeight="1">
      <c r="A783" s="4">
        <v>1014038</v>
      </c>
      <c r="B783" s="12" t="str">
        <f t="array" ref="B783">IF(A783:A4824="","",_xlfn.XLOOKUP(A783:A4824,'参照_武将'!A:A,'参照_武将'!B:B,"見つかりません"))</f>
      </c>
      <c r="C783" s="4" t="s">
        <v>147</v>
      </c>
      <c r="D783" s="4">
        <v>14</v>
      </c>
      <c r="E783" s="12" t="str">
        <f t="array" ref="E783">IF(D783:D4824="","",IFERROR(_xlfn.XLOOKUP(D783:D4824,'参照_勢力'!A:A,'参照_勢力'!B:B),IFERROR(_xlfn.XLOOKUP(F783:F4824,kunishuClan!A:A,kunishuClan!B:B),"浪人")))</f>
      </c>
      <c r="F783" s="4">
        <v>0</v>
      </c>
      <c r="G783" s="4">
        <v>82</v>
      </c>
      <c r="H783" s="12" t="str">
        <f t="array" ref="H783">IF(G783:G4824="","",_xlfn.XLOOKUP(G783:G4824,castles_state!A:A,castles_state!D:D,"見つかりません"))</f>
      </c>
      <c r="I783" s="4"/>
      <c r="J783" s="12" t="str">
        <f t="array" ref="J783">IF(I783:I4824="","",_xlfn.XLOOKUP(I783:I4824,'参照_姫'!A:A,'参照_姫'!B:B,"見つかりません"))</f>
      </c>
      <c r="K783" s="4">
        <v>95</v>
      </c>
      <c r="L783" s="4">
        <v>200</v>
      </c>
      <c r="M783" s="4"/>
      <c r="N783" s="4"/>
      <c r="O783" s="4"/>
      <c r="P783" s="12" t="str">
        <f t="array" ref="P783">IF(O783:O4824="","",_xlfn.XLOOKUP(O783:O4824,'参照_官位'!A:A,'参照_官位'!B:B,""))</f>
      </c>
      <c r="Q783" s="12" t="str">
        <f t="array" ref="Q783">IF(A783:A4824="","",IFERROR(_xlfn.XLOOKUP(A783:A4824,castles_state!K:K,castles_state!D:D)&amp;"主",IFERROR(_xlfn.XLOOKUP(A783:A4824,kunishuClan!D:D,kunishuClan!B:B)&amp;"当主","")))</f>
      </c>
    </row>
    <row r="784" ht="15.75" customHeight="1">
      <c r="A784" s="4">
        <v>1015001</v>
      </c>
      <c r="B784" s="12" t="str">
        <f t="array" ref="B784">IF(A784:A4825="","",_xlfn.XLOOKUP(A784:A4825,'参照_武将'!A:A,'参照_武将'!B:B,"見つかりません"))</f>
      </c>
      <c r="C784" s="4" t="s">
        <v>150</v>
      </c>
      <c r="D784" s="4">
        <v>15</v>
      </c>
      <c r="E784" s="12" t="str">
        <f t="array" ref="E784">IF(D784:D4825="","",IFERROR(_xlfn.XLOOKUP(D784:D4825,'参照_勢力'!A:A,'参照_勢力'!B:B),IFERROR(_xlfn.XLOOKUP(F784:F4825,kunishuClan!A:A,kunishuClan!B:B),"浪人")))</f>
      </c>
      <c r="F784" s="4">
        <v>0</v>
      </c>
      <c r="G784" s="4">
        <v>23</v>
      </c>
      <c r="H784" s="12" t="str">
        <f t="array" ref="H784">IF(G784:G4825="","",_xlfn.XLOOKUP(G784:G4825,castles_state!A:A,castles_state!D:D,"見つかりません"))</f>
      </c>
      <c r="I784" s="4"/>
      <c r="J784" s="12" t="str">
        <f t="array" ref="J784">IF(I784:I4825="","",_xlfn.XLOOKUP(I784:I4825,'参照_姫'!A:A,'参照_姫'!B:B,"見つかりません"))</f>
      </c>
      <c r="K784" s="4">
        <v>95</v>
      </c>
      <c r="L784" s="4">
        <v>0</v>
      </c>
      <c r="M784" s="4"/>
      <c r="N784" s="4"/>
      <c r="O784" s="4"/>
      <c r="P784" s="12" t="str">
        <f t="array" ref="P784">IF(O784:O4825="","",_xlfn.XLOOKUP(O784:O4825,'参照_官位'!A:A,'参照_官位'!B:B,""))</f>
      </c>
      <c r="Q784" s="12" t="str">
        <f t="array" ref="Q784">IF(A784:A4825="","",IFERROR(_xlfn.XLOOKUP(A784:A4825,castles_state!K:K,castles_state!D:D)&amp;"主",IFERROR(_xlfn.XLOOKUP(A784:A4825,kunishuClan!D:D,kunishuClan!B:B)&amp;"当主","")))</f>
      </c>
    </row>
    <row r="785" ht="15.75" customHeight="1">
      <c r="A785" s="4">
        <v>1015002</v>
      </c>
      <c r="B785" s="12" t="str">
        <f t="array" ref="B785">IF(A785:A4826="","",_xlfn.XLOOKUP(A785:A4826,'参照_武将'!A:A,'参照_武将'!B:B,"見つかりません"))</f>
      </c>
      <c r="C785" s="4" t="s">
        <v>150</v>
      </c>
      <c r="D785" s="4">
        <v>15</v>
      </c>
      <c r="E785" s="12" t="str">
        <f t="array" ref="E785">IF(D785:D4826="","",IFERROR(_xlfn.XLOOKUP(D785:D4826,'参照_勢力'!A:A,'参照_勢力'!B:B),IFERROR(_xlfn.XLOOKUP(F785:F4826,kunishuClan!A:A,kunishuClan!B:B),"浪人")))</f>
      </c>
      <c r="F785" s="4">
        <v>0</v>
      </c>
      <c r="G785" s="4">
        <v>23</v>
      </c>
      <c r="H785" s="12" t="str">
        <f t="array" ref="H785">IF(G785:G4826="","",_xlfn.XLOOKUP(G785:G4826,castles_state!A:A,castles_state!D:D,"見つかりません"))</f>
      </c>
      <c r="I785" s="4"/>
      <c r="J785" s="12" t="str">
        <f t="array" ref="J785">IF(I785:I4826="","",_xlfn.XLOOKUP(I785:I4826,'参照_姫'!A:A,'参照_姫'!B:B,"見つかりません"))</f>
      </c>
      <c r="K785" s="4">
        <v>95</v>
      </c>
      <c r="L785" s="4">
        <v>0</v>
      </c>
      <c r="M785" s="4"/>
      <c r="N785" s="4"/>
      <c r="O785" s="4"/>
      <c r="P785" s="12" t="str">
        <f t="array" ref="P785">IF(O785:O4826="","",_xlfn.XLOOKUP(O785:O4826,'参照_官位'!A:A,'参照_官位'!B:B,""))</f>
      </c>
      <c r="Q785" s="12" t="str">
        <f t="array" ref="Q785">IF(A785:A4826="","",IFERROR(_xlfn.XLOOKUP(A785:A4826,castles_state!K:K,castles_state!D:D)&amp;"主",IFERROR(_xlfn.XLOOKUP(A785:A4826,kunishuClan!D:D,kunishuClan!B:B)&amp;"当主","")))</f>
      </c>
    </row>
    <row r="786" ht="15.75" customHeight="1">
      <c r="A786" s="4">
        <v>1015003</v>
      </c>
      <c r="B786" s="12" t="str">
        <f t="array" ref="B786">IF(A786:A4827="","",_xlfn.XLOOKUP(A786:A4827,'参照_武将'!A:A,'参照_武将'!B:B,"見つかりません"))</f>
      </c>
      <c r="C786" s="4" t="s">
        <v>150</v>
      </c>
      <c r="D786" s="4">
        <v>15</v>
      </c>
      <c r="E786" s="12" t="str">
        <f t="array" ref="E786">IF(D786:D4827="","",IFERROR(_xlfn.XLOOKUP(D786:D4827,'参照_勢力'!A:A,'参照_勢力'!B:B),IFERROR(_xlfn.XLOOKUP(F786:F4827,kunishuClan!A:A,kunishuClan!B:B),"浪人")))</f>
      </c>
      <c r="F786" s="4">
        <v>0</v>
      </c>
      <c r="G786" s="4">
        <v>23</v>
      </c>
      <c r="H786" s="12" t="str">
        <f t="array" ref="H786">IF(G786:G4827="","",_xlfn.XLOOKUP(G786:G4827,castles_state!A:A,castles_state!D:D,"見つかりません"))</f>
      </c>
      <c r="I786" s="4"/>
      <c r="J786" s="12" t="str">
        <f t="array" ref="J786">IF(I786:I4827="","",_xlfn.XLOOKUP(I786:I4827,'参照_姫'!A:A,'参照_姫'!B:B,"見つかりません"))</f>
      </c>
      <c r="K786" s="4">
        <v>95</v>
      </c>
      <c r="L786" s="4">
        <v>0</v>
      </c>
      <c r="M786" s="4"/>
      <c r="N786" s="4"/>
      <c r="O786" s="4"/>
      <c r="P786" s="12" t="str">
        <f t="array" ref="P786">IF(O786:O4827="","",_xlfn.XLOOKUP(O786:O4827,'参照_官位'!A:A,'参照_官位'!B:B,""))</f>
      </c>
      <c r="Q786" s="12" t="str">
        <f t="array" ref="Q786">IF(A786:A4827="","",IFERROR(_xlfn.XLOOKUP(A786:A4827,castles_state!K:K,castles_state!D:D)&amp;"主",IFERROR(_xlfn.XLOOKUP(A786:A4827,kunishuClan!D:D,kunishuClan!B:B)&amp;"当主","")))</f>
      </c>
    </row>
    <row r="787" ht="15.75" customHeight="1">
      <c r="A787" s="4">
        <v>1015004</v>
      </c>
      <c r="B787" s="12" t="str">
        <f t="array" ref="B787">IF(A787:A4828="","",_xlfn.XLOOKUP(A787:A4828,'参照_武将'!A:A,'参照_武将'!B:B,"見つかりません"))</f>
      </c>
      <c r="C787" s="4" t="s">
        <v>150</v>
      </c>
      <c r="D787" s="4">
        <v>15</v>
      </c>
      <c r="E787" s="12" t="str">
        <f t="array" ref="E787">IF(D787:D4828="","",IFERROR(_xlfn.XLOOKUP(D787:D4828,'参照_勢力'!A:A,'参照_勢力'!B:B),IFERROR(_xlfn.XLOOKUP(F787:F4828,kunishuClan!A:A,kunishuClan!B:B),"浪人")))</f>
      </c>
      <c r="F787" s="4">
        <v>0</v>
      </c>
      <c r="G787" s="4">
        <v>23</v>
      </c>
      <c r="H787" s="12" t="str">
        <f t="array" ref="H787">IF(G787:G4828="","",_xlfn.XLOOKUP(G787:G4828,castles_state!A:A,castles_state!D:D,"見つかりません"))</f>
      </c>
      <c r="I787" s="4"/>
      <c r="J787" s="12" t="str">
        <f t="array" ref="J787">IF(I787:I4828="","",_xlfn.XLOOKUP(I787:I4828,'参照_姫'!A:A,'参照_姫'!B:B,"見つかりません"))</f>
      </c>
      <c r="K787" s="4">
        <v>100</v>
      </c>
      <c r="L787" s="4">
        <v>200</v>
      </c>
      <c r="M787" s="4"/>
      <c r="N787" s="4" t="b">
        <v>1</v>
      </c>
      <c r="O787" s="4">
        <v>272</v>
      </c>
      <c r="P787" s="12" t="str">
        <f t="array" ref="P787">IF(O787:O4828="","",_xlfn.XLOOKUP(O787:O4828,'参照_官位'!A:A,'参照_官位'!B:B,""))</f>
      </c>
      <c r="Q787" s="12" t="str">
        <f t="array" ref="Q787">IF(A787:A4828="","",IFERROR(_xlfn.XLOOKUP(A787:A4828,castles_state!K:K,castles_state!D:D)&amp;"主",IFERROR(_xlfn.XLOOKUP(A787:A4828,kunishuClan!D:D,kunishuClan!B:B)&amp;"当主","")))</f>
      </c>
    </row>
    <row r="788" ht="15.75" customHeight="1">
      <c r="A788" s="4">
        <v>1015005</v>
      </c>
      <c r="B788" s="12" t="str">
        <f t="array" ref="B788">IF(A788:A4829="","",_xlfn.XLOOKUP(A788:A4829,'参照_武将'!A:A,'参照_武将'!B:B,"見つかりません"))</f>
      </c>
      <c r="C788" s="4" t="s">
        <v>150</v>
      </c>
      <c r="D788" s="4">
        <v>15</v>
      </c>
      <c r="E788" s="12" t="str">
        <f t="array" ref="E788">IF(D788:D4829="","",IFERROR(_xlfn.XLOOKUP(D788:D4829,'参照_勢力'!A:A,'参照_勢力'!B:B),IFERROR(_xlfn.XLOOKUP(F788:F4829,kunishuClan!A:A,kunishuClan!B:B),"浪人")))</f>
      </c>
      <c r="F788" s="4">
        <v>0</v>
      </c>
      <c r="G788" s="4">
        <v>23</v>
      </c>
      <c r="H788" s="12" t="str">
        <f t="array" ref="H788">IF(G788:G4829="","",_xlfn.XLOOKUP(G788:G4829,castles_state!A:A,castles_state!D:D,"見つかりません"))</f>
      </c>
      <c r="I788" s="4">
        <v>2</v>
      </c>
      <c r="J788" s="12" t="str">
        <f t="array" ref="J788">IF(I788:I4829="","",_xlfn.XLOOKUP(I788:I4829,'参照_姫'!A:A,'参照_姫'!B:B,"見つかりません"))</f>
      </c>
      <c r="K788" s="4">
        <v>100</v>
      </c>
      <c r="L788" s="4">
        <v>1500</v>
      </c>
      <c r="M788" s="4"/>
      <c r="N788" s="4"/>
      <c r="O788" s="4"/>
      <c r="P788" s="12" t="str">
        <f t="array" ref="P788">IF(O788:O4829="","",_xlfn.XLOOKUP(O788:O4829,'参照_官位'!A:A,'参照_官位'!B:B,""))</f>
      </c>
      <c r="Q788" s="12" t="str">
        <f t="array" ref="Q788">IF(A788:A4829="","",IFERROR(_xlfn.XLOOKUP(A788:A4829,castles_state!K:K,castles_state!D:D)&amp;"主",IFERROR(_xlfn.XLOOKUP(A788:A4829,kunishuClan!D:D,kunishuClan!B:B)&amp;"当主","")))</f>
      </c>
    </row>
    <row r="789" ht="15.75" customHeight="1">
      <c r="A789" s="4">
        <v>1015006</v>
      </c>
      <c r="B789" s="12" t="str">
        <f t="array" ref="B789">IF(A789:A4830="","",_xlfn.XLOOKUP(A789:A4830,'参照_武将'!A:A,'参照_武将'!B:B,"見つかりません"))</f>
      </c>
      <c r="C789" s="4" t="s">
        <v>150</v>
      </c>
      <c r="D789" s="4">
        <v>15</v>
      </c>
      <c r="E789" s="12" t="str">
        <f t="array" ref="E789">IF(D789:D4830="","",IFERROR(_xlfn.XLOOKUP(D789:D4830,'参照_勢力'!A:A,'参照_勢力'!B:B),IFERROR(_xlfn.XLOOKUP(F789:F4830,kunishuClan!A:A,kunishuClan!B:B),"浪人")))</f>
      </c>
      <c r="F789" s="4">
        <v>0</v>
      </c>
      <c r="G789" s="4">
        <v>23</v>
      </c>
      <c r="H789" s="12" t="str">
        <f t="array" ref="H789">IF(G789:G4830="","",_xlfn.XLOOKUP(G789:G4830,castles_state!A:A,castles_state!D:D,"見つかりません"))</f>
      </c>
      <c r="I789" s="4"/>
      <c r="J789" s="12" t="str">
        <f t="array" ref="J789">IF(I789:I4830="","",_xlfn.XLOOKUP(I789:I4830,'参照_姫'!A:A,'参照_姫'!B:B,"見つかりません"))</f>
      </c>
      <c r="K789" s="4">
        <v>95</v>
      </c>
      <c r="L789" s="4">
        <v>500</v>
      </c>
      <c r="M789" s="4"/>
      <c r="N789" s="4"/>
      <c r="O789" s="4"/>
      <c r="P789" s="12" t="str">
        <f t="array" ref="P789">IF(O789:O4830="","",_xlfn.XLOOKUP(O789:O4830,'参照_官位'!A:A,'参照_官位'!B:B,""))</f>
      </c>
      <c r="Q789" s="12" t="str">
        <f t="array" ref="Q789">IF(A789:A4830="","",IFERROR(_xlfn.XLOOKUP(A789:A4830,castles_state!K:K,castles_state!D:D)&amp;"主",IFERROR(_xlfn.XLOOKUP(A789:A4830,kunishuClan!D:D,kunishuClan!B:B)&amp;"当主","")))</f>
      </c>
    </row>
    <row r="790" ht="15.75" customHeight="1">
      <c r="A790" s="4">
        <v>1015007</v>
      </c>
      <c r="B790" s="12" t="str">
        <f t="array" ref="B790">IF(A790:A4831="","",_xlfn.XLOOKUP(A790:A4831,'参照_武将'!A:A,'参照_武将'!B:B,"見つかりません"))</f>
      </c>
      <c r="C790" s="4" t="s">
        <v>150</v>
      </c>
      <c r="D790" s="4">
        <v>15</v>
      </c>
      <c r="E790" s="12" t="str">
        <f t="array" ref="E790">IF(D790:D4831="","",IFERROR(_xlfn.XLOOKUP(D790:D4831,'参照_勢力'!A:A,'参照_勢力'!B:B),IFERROR(_xlfn.XLOOKUP(F790:F4831,kunishuClan!A:A,kunishuClan!B:B),"浪人")))</f>
      </c>
      <c r="F790" s="4">
        <v>0</v>
      </c>
      <c r="G790" s="4">
        <v>23</v>
      </c>
      <c r="H790" s="12" t="str">
        <f t="array" ref="H790">IF(G790:G4831="","",_xlfn.XLOOKUP(G790:G4831,castles_state!A:A,castles_state!D:D,"見つかりません"))</f>
      </c>
      <c r="I790" s="4"/>
      <c r="J790" s="12" t="str">
        <f t="array" ref="J790">IF(I790:I4831="","",_xlfn.XLOOKUP(I790:I4831,'参照_姫'!A:A,'参照_姫'!B:B,"見つかりません"))</f>
      </c>
      <c r="K790" s="4">
        <v>95</v>
      </c>
      <c r="L790" s="4">
        <v>0</v>
      </c>
      <c r="M790" s="4"/>
      <c r="N790" s="4"/>
      <c r="O790" s="4"/>
      <c r="P790" s="12" t="str">
        <f t="array" ref="P790">IF(O790:O4831="","",_xlfn.XLOOKUP(O790:O4831,'参照_官位'!A:A,'参照_官位'!B:B,""))</f>
      </c>
      <c r="Q790" s="12" t="str">
        <f t="array" ref="Q790">IF(A790:A4831="","",IFERROR(_xlfn.XLOOKUP(A790:A4831,castles_state!K:K,castles_state!D:D)&amp;"主",IFERROR(_xlfn.XLOOKUP(A790:A4831,kunishuClan!D:D,kunishuClan!B:B)&amp;"当主","")))</f>
      </c>
    </row>
    <row r="791" ht="15.75" customHeight="1">
      <c r="A791" s="4">
        <v>1015008</v>
      </c>
      <c r="B791" s="12" t="str">
        <f t="array" ref="B791">IF(A791:A4832="","",_xlfn.XLOOKUP(A791:A4832,'参照_武将'!A:A,'参照_武将'!B:B,"見つかりません"))</f>
      </c>
      <c r="C791" s="4" t="s">
        <v>150</v>
      </c>
      <c r="D791" s="4">
        <v>15</v>
      </c>
      <c r="E791" s="12" t="str">
        <f t="array" ref="E791">IF(D791:D4832="","",IFERROR(_xlfn.XLOOKUP(D791:D4832,'参照_勢力'!A:A,'参照_勢力'!B:B),IFERROR(_xlfn.XLOOKUP(F791:F4832,kunishuClan!A:A,kunishuClan!B:B),"浪人")))</f>
      </c>
      <c r="F791" s="4">
        <v>0</v>
      </c>
      <c r="G791" s="4">
        <v>23</v>
      </c>
      <c r="H791" s="12" t="str">
        <f t="array" ref="H791">IF(G791:G4832="","",_xlfn.XLOOKUP(G791:G4832,castles_state!A:A,castles_state!D:D,"見つかりません"))</f>
      </c>
      <c r="I791" s="4"/>
      <c r="J791" s="12" t="str">
        <f t="array" ref="J791">IF(I791:I4832="","",_xlfn.XLOOKUP(I791:I4832,'参照_姫'!A:A,'参照_姫'!B:B,"見つかりません"))</f>
      </c>
      <c r="K791" s="4">
        <v>95</v>
      </c>
      <c r="L791" s="4">
        <v>0</v>
      </c>
      <c r="M791" s="4"/>
      <c r="N791" s="4"/>
      <c r="O791" s="4"/>
      <c r="P791" s="12" t="str">
        <f t="array" ref="P791">IF(O791:O4832="","",_xlfn.XLOOKUP(O791:O4832,'参照_官位'!A:A,'参照_官位'!B:B,""))</f>
      </c>
      <c r="Q791" s="12" t="str">
        <f t="array" ref="Q791">IF(A791:A4832="","",IFERROR(_xlfn.XLOOKUP(A791:A4832,castles_state!K:K,castles_state!D:D)&amp;"主",IFERROR(_xlfn.XLOOKUP(A791:A4832,kunishuClan!D:D,kunishuClan!B:B)&amp;"当主","")))</f>
      </c>
    </row>
    <row r="792" ht="15.75" customHeight="1">
      <c r="A792" s="4">
        <v>1015009</v>
      </c>
      <c r="B792" s="12" t="str">
        <f t="array" ref="B792">IF(A792:A4833="","",_xlfn.XLOOKUP(A792:A4833,'参照_武将'!A:A,'参照_武将'!B:B,"見つかりません"))</f>
      </c>
      <c r="C792" s="4" t="s">
        <v>150</v>
      </c>
      <c r="D792" s="4">
        <v>15</v>
      </c>
      <c r="E792" s="12" t="str">
        <f t="array" ref="E792">IF(D792:D4833="","",IFERROR(_xlfn.XLOOKUP(D792:D4833,'参照_勢力'!A:A,'参照_勢力'!B:B),IFERROR(_xlfn.XLOOKUP(F792:F4833,kunishuClan!A:A,kunishuClan!B:B),"浪人")))</f>
      </c>
      <c r="F792" s="4">
        <v>0</v>
      </c>
      <c r="G792" s="4">
        <v>23</v>
      </c>
      <c r="H792" s="12" t="str">
        <f t="array" ref="H792">IF(G792:G4833="","",_xlfn.XLOOKUP(G792:G4833,castles_state!A:A,castles_state!D:D,"見つかりません"))</f>
      </c>
      <c r="I792" s="4"/>
      <c r="J792" s="12" t="str">
        <f t="array" ref="J792">IF(I792:I4833="","",_xlfn.XLOOKUP(I792:I4833,'参照_姫'!A:A,'参照_姫'!B:B,"見つかりません"))</f>
      </c>
      <c r="K792" s="4">
        <v>95</v>
      </c>
      <c r="L792" s="4">
        <v>0</v>
      </c>
      <c r="M792" s="4"/>
      <c r="N792" s="4"/>
      <c r="O792" s="4"/>
      <c r="P792" s="12" t="str">
        <f t="array" ref="P792">IF(O792:O4833="","",_xlfn.XLOOKUP(O792:O4833,'参照_官位'!A:A,'参照_官位'!B:B,""))</f>
      </c>
      <c r="Q792" s="12" t="str">
        <f t="array" ref="Q792">IF(A792:A4833="","",IFERROR(_xlfn.XLOOKUP(A792:A4833,castles_state!K:K,castles_state!D:D)&amp;"主",IFERROR(_xlfn.XLOOKUP(A792:A4833,kunishuClan!D:D,kunishuClan!B:B)&amp;"当主","")))</f>
      </c>
    </row>
    <row r="793" ht="15.75" customHeight="1">
      <c r="A793" s="4">
        <v>1015010</v>
      </c>
      <c r="B793" s="12" t="str">
        <f t="array" ref="B793">IF(A793:A4834="","",_xlfn.XLOOKUP(A793:A4834,'参照_武将'!A:A,'参照_武将'!B:B,"見つかりません"))</f>
      </c>
      <c r="C793" s="4" t="s">
        <v>150</v>
      </c>
      <c r="D793" s="4">
        <v>15</v>
      </c>
      <c r="E793" s="12" t="str">
        <f t="array" ref="E793">IF(D793:D4834="","",IFERROR(_xlfn.XLOOKUP(D793:D4834,'参照_勢力'!A:A,'参照_勢力'!B:B),IFERROR(_xlfn.XLOOKUP(F793:F4834,kunishuClan!A:A,kunishuClan!B:B),"浪人")))</f>
      </c>
      <c r="F793" s="4">
        <v>0</v>
      </c>
      <c r="G793" s="4">
        <v>23</v>
      </c>
      <c r="H793" s="12" t="str">
        <f t="array" ref="H793">IF(G793:G4834="","",_xlfn.XLOOKUP(G793:G4834,castles_state!A:A,castles_state!D:D,"見つかりません"))</f>
      </c>
      <c r="I793" s="4"/>
      <c r="J793" s="12" t="str">
        <f t="array" ref="J793">IF(I793:I4834="","",_xlfn.XLOOKUP(I793:I4834,'参照_姫'!A:A,'参照_姫'!B:B,"見つかりません"))</f>
      </c>
      <c r="K793" s="4">
        <v>95</v>
      </c>
      <c r="L793" s="4">
        <v>0</v>
      </c>
      <c r="M793" s="4"/>
      <c r="N793" s="4"/>
      <c r="O793" s="4"/>
      <c r="P793" s="12" t="str">
        <f t="array" ref="P793">IF(O793:O4834="","",_xlfn.XLOOKUP(O793:O4834,'参照_官位'!A:A,'参照_官位'!B:B,""))</f>
      </c>
      <c r="Q793" s="12" t="str">
        <f t="array" ref="Q793">IF(A793:A4834="","",IFERROR(_xlfn.XLOOKUP(A793:A4834,castles_state!K:K,castles_state!D:D)&amp;"主",IFERROR(_xlfn.XLOOKUP(A793:A4834,kunishuClan!D:D,kunishuClan!B:B)&amp;"当主","")))</f>
      </c>
    </row>
    <row r="794" ht="15.75" customHeight="1">
      <c r="A794" s="4">
        <v>1015011</v>
      </c>
      <c r="B794" s="12" t="str">
        <f t="array" ref="B794">IF(A794:A4835="","",_xlfn.XLOOKUP(A794:A4835,'参照_武将'!A:A,'参照_武将'!B:B,"見つかりません"))</f>
      </c>
      <c r="C794" s="4" t="s">
        <v>150</v>
      </c>
      <c r="D794" s="4">
        <v>15</v>
      </c>
      <c r="E794" s="12" t="str">
        <f t="array" ref="E794">IF(D794:D4835="","",IFERROR(_xlfn.XLOOKUP(D794:D4835,'参照_勢力'!A:A,'参照_勢力'!B:B),IFERROR(_xlfn.XLOOKUP(F794:F4835,kunishuClan!A:A,kunishuClan!B:B),"浪人")))</f>
      </c>
      <c r="F794" s="4">
        <v>0</v>
      </c>
      <c r="G794" s="4">
        <v>23</v>
      </c>
      <c r="H794" s="12" t="str">
        <f t="array" ref="H794">IF(G794:G4835="","",_xlfn.XLOOKUP(G794:G4835,castles_state!A:A,castles_state!D:D,"見つかりません"))</f>
      </c>
      <c r="I794" s="4"/>
      <c r="J794" s="12" t="str">
        <f t="array" ref="J794">IF(I794:I4835="","",_xlfn.XLOOKUP(I794:I4835,'参照_姫'!A:A,'参照_姫'!B:B,"見つかりません"))</f>
      </c>
      <c r="K794" s="4">
        <v>95</v>
      </c>
      <c r="L794" s="4">
        <v>700</v>
      </c>
      <c r="M794" s="4"/>
      <c r="N794" s="4"/>
      <c r="O794" s="4"/>
      <c r="P794" s="12" t="str">
        <f t="array" ref="P794">IF(O794:O4835="","",_xlfn.XLOOKUP(O794:O4835,'参照_官位'!A:A,'参照_官位'!B:B,""))</f>
      </c>
      <c r="Q794" s="12" t="str">
        <f t="array" ref="Q794">IF(A794:A4835="","",IFERROR(_xlfn.XLOOKUP(A794:A4835,castles_state!K:K,castles_state!D:D)&amp;"主",IFERROR(_xlfn.XLOOKUP(A794:A4835,kunishuClan!D:D,kunishuClan!B:B)&amp;"当主","")))</f>
      </c>
    </row>
    <row r="795" ht="15.75" customHeight="1">
      <c r="A795" s="4">
        <v>1015012</v>
      </c>
      <c r="B795" s="12" t="str">
        <f t="array" ref="B795">IF(A795:A4836="","",_xlfn.XLOOKUP(A795:A4836,'参照_武将'!A:A,'参照_武将'!B:B,"見つかりません"))</f>
      </c>
      <c r="C795" s="4" t="s">
        <v>150</v>
      </c>
      <c r="D795" s="4">
        <v>15</v>
      </c>
      <c r="E795" s="12" t="str">
        <f t="array" ref="E795">IF(D795:D4836="","",IFERROR(_xlfn.XLOOKUP(D795:D4836,'参照_勢力'!A:A,'参照_勢力'!B:B),IFERROR(_xlfn.XLOOKUP(F795:F4836,kunishuClan!A:A,kunishuClan!B:B),"浪人")))</f>
      </c>
      <c r="F795" s="4">
        <v>0</v>
      </c>
      <c r="G795" s="4">
        <v>23</v>
      </c>
      <c r="H795" s="12" t="str">
        <f t="array" ref="H795">IF(G795:G4836="","",_xlfn.XLOOKUP(G795:G4836,castles_state!A:A,castles_state!D:D,"見つかりません"))</f>
      </c>
      <c r="I795" s="4"/>
      <c r="J795" s="12" t="str">
        <f t="array" ref="J795">IF(I795:I4836="","",_xlfn.XLOOKUP(I795:I4836,'参照_姫'!A:A,'参照_姫'!B:B,"見つかりません"))</f>
      </c>
      <c r="K795" s="4">
        <v>95</v>
      </c>
      <c r="L795" s="4">
        <v>0</v>
      </c>
      <c r="M795" s="4"/>
      <c r="N795" s="4"/>
      <c r="O795" s="4"/>
      <c r="P795" s="12" t="str">
        <f t="array" ref="P795">IF(O795:O4836="","",_xlfn.XLOOKUP(O795:O4836,'参照_官位'!A:A,'参照_官位'!B:B,""))</f>
      </c>
      <c r="Q795" s="12" t="str">
        <f t="array" ref="Q795">IF(A795:A4836="","",IFERROR(_xlfn.XLOOKUP(A795:A4836,castles_state!K:K,castles_state!D:D)&amp;"主",IFERROR(_xlfn.XLOOKUP(A795:A4836,kunishuClan!D:D,kunishuClan!B:B)&amp;"当主","")))</f>
      </c>
    </row>
    <row r="796" ht="15.75" customHeight="1">
      <c r="A796" s="4">
        <v>1015013</v>
      </c>
      <c r="B796" s="12" t="str">
        <f t="array" ref="B796">IF(A796:A4837="","",_xlfn.XLOOKUP(A796:A4837,'参照_武将'!A:A,'参照_武将'!B:B,"見つかりません"))</f>
      </c>
      <c r="C796" s="4" t="s">
        <v>150</v>
      </c>
      <c r="D796" s="4">
        <v>15</v>
      </c>
      <c r="E796" s="12" t="str">
        <f t="array" ref="E796">IF(D796:D4837="","",IFERROR(_xlfn.XLOOKUP(D796:D4837,'参照_勢力'!A:A,'参照_勢力'!B:B),IFERROR(_xlfn.XLOOKUP(F796:F4837,kunishuClan!A:A,kunishuClan!B:B),"浪人")))</f>
      </c>
      <c r="F796" s="4">
        <v>0</v>
      </c>
      <c r="G796" s="4">
        <v>23</v>
      </c>
      <c r="H796" s="12" t="str">
        <f t="array" ref="H796">IF(G796:G4837="","",_xlfn.XLOOKUP(G796:G4837,castles_state!A:A,castles_state!D:D,"見つかりません"))</f>
      </c>
      <c r="I796" s="4"/>
      <c r="J796" s="12" t="str">
        <f t="array" ref="J796">IF(I796:I4837="","",_xlfn.XLOOKUP(I796:I4837,'参照_姫'!A:A,'参照_姫'!B:B,"見つかりません"))</f>
      </c>
      <c r="K796" s="4">
        <v>95</v>
      </c>
      <c r="L796" s="4">
        <v>0</v>
      </c>
      <c r="M796" s="4"/>
      <c r="N796" s="4"/>
      <c r="O796" s="4"/>
      <c r="P796" s="12" t="str">
        <f t="array" ref="P796">IF(O796:O4837="","",_xlfn.XLOOKUP(O796:O4837,'参照_官位'!A:A,'参照_官位'!B:B,""))</f>
      </c>
      <c r="Q796" s="12" t="str">
        <f t="array" ref="Q796">IF(A796:A4837="","",IFERROR(_xlfn.XLOOKUP(A796:A4837,castles_state!K:K,castles_state!D:D)&amp;"主",IFERROR(_xlfn.XLOOKUP(A796:A4837,kunishuClan!D:D,kunishuClan!B:B)&amp;"当主","")))</f>
      </c>
    </row>
    <row r="797" ht="15.75" customHeight="1">
      <c r="A797" s="4">
        <v>1015014</v>
      </c>
      <c r="B797" s="12" t="str">
        <f t="array" ref="B797">IF(A797:A4838="","",_xlfn.XLOOKUP(A797:A4838,'参照_武将'!A:A,'参照_武将'!B:B,"見つかりません"))</f>
      </c>
      <c r="C797" s="4" t="s">
        <v>150</v>
      </c>
      <c r="D797" s="4">
        <v>15</v>
      </c>
      <c r="E797" s="12" t="str">
        <f t="array" ref="E797">IF(D797:D4838="","",IFERROR(_xlfn.XLOOKUP(D797:D4838,'参照_勢力'!A:A,'参照_勢力'!B:B),IFERROR(_xlfn.XLOOKUP(F797:F4838,kunishuClan!A:A,kunishuClan!B:B),"浪人")))</f>
      </c>
      <c r="F797" s="4">
        <v>0</v>
      </c>
      <c r="G797" s="4">
        <v>23</v>
      </c>
      <c r="H797" s="12" t="str">
        <f t="array" ref="H797">IF(G797:G4838="","",_xlfn.XLOOKUP(G797:G4838,castles_state!A:A,castles_state!D:D,"見つかりません"))</f>
      </c>
      <c r="I797" s="4"/>
      <c r="J797" s="12" t="str">
        <f t="array" ref="J797">IF(I797:I4838="","",_xlfn.XLOOKUP(I797:I4838,'参照_姫'!A:A,'参照_姫'!B:B,"見つかりません"))</f>
      </c>
      <c r="K797" s="4">
        <v>95</v>
      </c>
      <c r="L797" s="4">
        <v>0</v>
      </c>
      <c r="M797" s="4"/>
      <c r="N797" s="4"/>
      <c r="O797" s="4"/>
      <c r="P797" s="12" t="str">
        <f t="array" ref="P797">IF(O797:O4838="","",_xlfn.XLOOKUP(O797:O4838,'参照_官位'!A:A,'参照_官位'!B:B,""))</f>
      </c>
      <c r="Q797" s="12" t="str">
        <f t="array" ref="Q797">IF(A797:A4838="","",IFERROR(_xlfn.XLOOKUP(A797:A4838,castles_state!K:K,castles_state!D:D)&amp;"主",IFERROR(_xlfn.XLOOKUP(A797:A4838,kunishuClan!D:D,kunishuClan!B:B)&amp;"当主","")))</f>
      </c>
    </row>
    <row r="798" ht="15.75" customHeight="1">
      <c r="A798" s="4">
        <v>1015015</v>
      </c>
      <c r="B798" s="12" t="str">
        <f t="array" ref="B798">IF(A798:A4839="","",_xlfn.XLOOKUP(A798:A4839,'参照_武将'!A:A,'参照_武将'!B:B,"見つかりません"))</f>
      </c>
      <c r="C798" s="4" t="s">
        <v>150</v>
      </c>
      <c r="D798" s="4">
        <v>15</v>
      </c>
      <c r="E798" s="12" t="str">
        <f t="array" ref="E798">IF(D798:D4839="","",IFERROR(_xlfn.XLOOKUP(D798:D4839,'参照_勢力'!A:A,'参照_勢力'!B:B),IFERROR(_xlfn.XLOOKUP(F798:F4839,kunishuClan!A:A,kunishuClan!B:B),"浪人")))</f>
      </c>
      <c r="F798" s="4">
        <v>0</v>
      </c>
      <c r="G798" s="4">
        <v>23</v>
      </c>
      <c r="H798" s="12" t="str">
        <f t="array" ref="H798">IF(G798:G4839="","",_xlfn.XLOOKUP(G798:G4839,castles_state!A:A,castles_state!D:D,"見つかりません"))</f>
      </c>
      <c r="I798" s="4"/>
      <c r="J798" s="12" t="str">
        <f t="array" ref="J798">IF(I798:I4839="","",_xlfn.XLOOKUP(I798:I4839,'参照_姫'!A:A,'参照_姫'!B:B,"見つかりません"))</f>
      </c>
      <c r="K798" s="4">
        <v>95</v>
      </c>
      <c r="L798" s="4">
        <v>0</v>
      </c>
      <c r="M798" s="4"/>
      <c r="N798" s="4"/>
      <c r="O798" s="4"/>
      <c r="P798" s="12" t="str">
        <f t="array" ref="P798">IF(O798:O4839="","",_xlfn.XLOOKUP(O798:O4839,'参照_官位'!A:A,'参照_官位'!B:B,""))</f>
      </c>
      <c r="Q798" s="12" t="str">
        <f t="array" ref="Q798">IF(A798:A4839="","",IFERROR(_xlfn.XLOOKUP(A798:A4839,castles_state!K:K,castles_state!D:D)&amp;"主",IFERROR(_xlfn.XLOOKUP(A798:A4839,kunishuClan!D:D,kunishuClan!B:B)&amp;"当主","")))</f>
      </c>
    </row>
    <row r="799" ht="15.75" customHeight="1">
      <c r="A799" s="4">
        <v>1015016</v>
      </c>
      <c r="B799" s="12" t="str">
        <f t="array" ref="B799">IF(A799:A4840="","",_xlfn.XLOOKUP(A799:A4840,'参照_武将'!A:A,'参照_武将'!B:B,"見つかりません"))</f>
      </c>
      <c r="C799" s="4" t="s">
        <v>150</v>
      </c>
      <c r="D799" s="4">
        <v>15</v>
      </c>
      <c r="E799" s="12" t="str">
        <f t="array" ref="E799">IF(D799:D4840="","",IFERROR(_xlfn.XLOOKUP(D799:D4840,'参照_勢力'!A:A,'参照_勢力'!B:B),IFERROR(_xlfn.XLOOKUP(F799:F4840,kunishuClan!A:A,kunishuClan!B:B),"浪人")))</f>
      </c>
      <c r="F799" s="4">
        <v>0</v>
      </c>
      <c r="G799" s="4">
        <v>23</v>
      </c>
      <c r="H799" s="12" t="str">
        <f t="array" ref="H799">IF(G799:G4840="","",_xlfn.XLOOKUP(G799:G4840,castles_state!A:A,castles_state!D:D,"見つかりません"))</f>
      </c>
      <c r="I799" s="4"/>
      <c r="J799" s="12" t="str">
        <f t="array" ref="J799">IF(I799:I4840="","",_xlfn.XLOOKUP(I799:I4840,'参照_姫'!A:A,'参照_姫'!B:B,"見つかりません"))</f>
      </c>
      <c r="K799" s="4">
        <v>100</v>
      </c>
      <c r="L799" s="4">
        <v>300</v>
      </c>
      <c r="M799" s="4"/>
      <c r="N799" s="4"/>
      <c r="O799" s="4"/>
      <c r="P799" s="12" t="str">
        <f t="array" ref="P799">IF(O799:O4840="","",_xlfn.XLOOKUP(O799:O4840,'参照_官位'!A:A,'参照_官位'!B:B,""))</f>
      </c>
      <c r="Q799" s="12" t="str">
        <f t="array" ref="Q799">IF(A799:A4840="","",IFERROR(_xlfn.XLOOKUP(A799:A4840,castles_state!K:K,castles_state!D:D)&amp;"主",IFERROR(_xlfn.XLOOKUP(A799:A4840,kunishuClan!D:D,kunishuClan!B:B)&amp;"当主","")))</f>
      </c>
    </row>
    <row r="800" ht="15.75" customHeight="1">
      <c r="A800" s="4">
        <v>1015017</v>
      </c>
      <c r="B800" s="12" t="str">
        <f t="array" ref="B800">IF(A800:A4841="","",_xlfn.XLOOKUP(A800:A4841,'参照_武将'!A:A,'参照_武将'!B:B,"見つかりません"))</f>
      </c>
      <c r="C800" s="4" t="s">
        <v>150</v>
      </c>
      <c r="D800" s="4">
        <v>15</v>
      </c>
      <c r="E800" s="12" t="str">
        <f t="array" ref="E800">IF(D800:D4841="","",IFERROR(_xlfn.XLOOKUP(D800:D4841,'参照_勢力'!A:A,'参照_勢力'!B:B),IFERROR(_xlfn.XLOOKUP(F800:F4841,kunishuClan!A:A,kunishuClan!B:B),"浪人")))</f>
      </c>
      <c r="F800" s="4">
        <v>0</v>
      </c>
      <c r="G800" s="4">
        <v>23</v>
      </c>
      <c r="H800" s="12" t="str">
        <f t="array" ref="H800">IF(G800:G4841="","",_xlfn.XLOOKUP(G800:G4841,castles_state!A:A,castles_state!D:D,"見つかりません"))</f>
      </c>
      <c r="I800" s="4"/>
      <c r="J800" s="12" t="str">
        <f t="array" ref="J800">IF(I800:I4841="","",_xlfn.XLOOKUP(I800:I4841,'参照_姫'!A:A,'参照_姫'!B:B,"見つかりません"))</f>
      </c>
      <c r="K800" s="4">
        <v>100</v>
      </c>
      <c r="L800" s="4">
        <v>0</v>
      </c>
      <c r="M800" s="4"/>
      <c r="N800" s="4"/>
      <c r="O800" s="4"/>
      <c r="P800" s="12" t="str">
        <f t="array" ref="P800">IF(O800:O4841="","",_xlfn.XLOOKUP(O800:O4841,'参照_官位'!A:A,'参照_官位'!B:B,""))</f>
      </c>
      <c r="Q800" s="12" t="str">
        <f t="array" ref="Q800">IF(A800:A4841="","",IFERROR(_xlfn.XLOOKUP(A800:A4841,castles_state!K:K,castles_state!D:D)&amp;"主",IFERROR(_xlfn.XLOOKUP(A800:A4841,kunishuClan!D:D,kunishuClan!B:B)&amp;"当主","")))</f>
      </c>
    </row>
    <row r="801" ht="15.75" customHeight="1">
      <c r="A801" s="4">
        <v>1015018</v>
      </c>
      <c r="B801" s="12" t="str">
        <f t="array" ref="B801">IF(A801:A4842="","",_xlfn.XLOOKUP(A801:A4842,'参照_武将'!A:A,'参照_武将'!B:B,"見つかりません"))</f>
      </c>
      <c r="C801" s="4" t="s">
        <v>150</v>
      </c>
      <c r="D801" s="4">
        <v>15</v>
      </c>
      <c r="E801" s="12" t="str">
        <f t="array" ref="E801">IF(D801:D4842="","",IFERROR(_xlfn.XLOOKUP(D801:D4842,'参照_勢力'!A:A,'参照_勢力'!B:B),IFERROR(_xlfn.XLOOKUP(F801:F4842,kunishuClan!A:A,kunishuClan!B:B),"浪人")))</f>
      </c>
      <c r="F801" s="4">
        <v>0</v>
      </c>
      <c r="G801" s="4">
        <v>23</v>
      </c>
      <c r="H801" s="12" t="str">
        <f t="array" ref="H801">IF(G801:G4842="","",_xlfn.XLOOKUP(G801:G4842,castles_state!A:A,castles_state!D:D,"見つかりません"))</f>
      </c>
      <c r="I801" s="4"/>
      <c r="J801" s="12" t="str">
        <f t="array" ref="J801">IF(I801:I4842="","",_xlfn.XLOOKUP(I801:I4842,'参照_姫'!A:A,'参照_姫'!B:B,"見つかりません"))</f>
      </c>
      <c r="K801" s="4">
        <v>90</v>
      </c>
      <c r="L801" s="4">
        <v>0</v>
      </c>
      <c r="M801" s="4"/>
      <c r="N801" s="4"/>
      <c r="O801" s="4"/>
      <c r="P801" s="12" t="str">
        <f t="array" ref="P801">IF(O801:O4842="","",_xlfn.XLOOKUP(O801:O4842,'参照_官位'!A:A,'参照_官位'!B:B,""))</f>
      </c>
      <c r="Q801" s="12" t="str">
        <f t="array" ref="Q801">IF(A801:A4842="","",IFERROR(_xlfn.XLOOKUP(A801:A4842,castles_state!K:K,castles_state!D:D)&amp;"主",IFERROR(_xlfn.XLOOKUP(A801:A4842,kunishuClan!D:D,kunishuClan!B:B)&amp;"当主","")))</f>
      </c>
    </row>
    <row r="802" ht="15.75" customHeight="1">
      <c r="A802" s="4">
        <v>1015019</v>
      </c>
      <c r="B802" s="12" t="str">
        <f t="array" ref="B802">IF(A802:A4843="","",_xlfn.XLOOKUP(A802:A4843,'参照_武将'!A:A,'参照_武将'!B:B,"見つかりません"))</f>
      </c>
      <c r="C802" s="4" t="s">
        <v>150</v>
      </c>
      <c r="D802" s="4">
        <v>15</v>
      </c>
      <c r="E802" s="12" t="str">
        <f t="array" ref="E802">IF(D802:D4843="","",IFERROR(_xlfn.XLOOKUP(D802:D4843,'参照_勢力'!A:A,'参照_勢力'!B:B),IFERROR(_xlfn.XLOOKUP(F802:F4843,kunishuClan!A:A,kunishuClan!B:B),"浪人")))</f>
      </c>
      <c r="F802" s="4">
        <v>0</v>
      </c>
      <c r="G802" s="4">
        <v>23</v>
      </c>
      <c r="H802" s="12" t="str">
        <f t="array" ref="H802">IF(G802:G4843="","",_xlfn.XLOOKUP(G802:G4843,castles_state!A:A,castles_state!D:D,"見つかりません"))</f>
      </c>
      <c r="I802" s="4"/>
      <c r="J802" s="12" t="str">
        <f t="array" ref="J802">IF(I802:I4843="","",_xlfn.XLOOKUP(I802:I4843,'参照_姫'!A:A,'参照_姫'!B:B,"見つかりません"))</f>
      </c>
      <c r="K802" s="4">
        <v>90</v>
      </c>
      <c r="L802" s="4">
        <v>0</v>
      </c>
      <c r="M802" s="4"/>
      <c r="N802" s="4"/>
      <c r="O802" s="4"/>
      <c r="P802" s="12" t="str">
        <f t="array" ref="P802">IF(O802:O4843="","",_xlfn.XLOOKUP(O802:O4843,'参照_官位'!A:A,'参照_官位'!B:B,""))</f>
      </c>
      <c r="Q802" s="12" t="str">
        <f t="array" ref="Q802">IF(A802:A4843="","",IFERROR(_xlfn.XLOOKUP(A802:A4843,castles_state!K:K,castles_state!D:D)&amp;"主",IFERROR(_xlfn.XLOOKUP(A802:A4843,kunishuClan!D:D,kunishuClan!B:B)&amp;"当主","")))</f>
      </c>
    </row>
    <row r="803" ht="15.75" customHeight="1">
      <c r="A803" s="4">
        <v>1015020</v>
      </c>
      <c r="B803" s="12" t="str">
        <f t="array" ref="B803">IF(A803:A4844="","",_xlfn.XLOOKUP(A803:A4844,'参照_武将'!A:A,'参照_武将'!B:B,"見つかりません"))</f>
      </c>
      <c r="C803" s="4" t="s">
        <v>150</v>
      </c>
      <c r="D803" s="4">
        <v>15</v>
      </c>
      <c r="E803" s="12" t="str">
        <f t="array" ref="E803">IF(D803:D4844="","",IFERROR(_xlfn.XLOOKUP(D803:D4844,'参照_勢力'!A:A,'参照_勢力'!B:B),IFERROR(_xlfn.XLOOKUP(F803:F4844,kunishuClan!A:A,kunishuClan!B:B),"浪人")))</f>
      </c>
      <c r="F803" s="4">
        <v>0</v>
      </c>
      <c r="G803" s="4">
        <v>23</v>
      </c>
      <c r="H803" s="12" t="str">
        <f t="array" ref="H803">IF(G803:G4844="","",_xlfn.XLOOKUP(G803:G4844,castles_state!A:A,castles_state!D:D,"見つかりません"))</f>
      </c>
      <c r="I803" s="4"/>
      <c r="J803" s="12" t="str">
        <f t="array" ref="J803">IF(I803:I4844="","",_xlfn.XLOOKUP(I803:I4844,'参照_姫'!A:A,'参照_姫'!B:B,"見つかりません"))</f>
      </c>
      <c r="K803" s="4">
        <v>95</v>
      </c>
      <c r="L803" s="4">
        <v>0</v>
      </c>
      <c r="M803" s="4"/>
      <c r="N803" s="4"/>
      <c r="O803" s="4"/>
      <c r="P803" s="12" t="str">
        <f t="array" ref="P803">IF(O803:O4844="","",_xlfn.XLOOKUP(O803:O4844,'参照_官位'!A:A,'参照_官位'!B:B,""))</f>
      </c>
      <c r="Q803" s="12" t="str">
        <f t="array" ref="Q803">IF(A803:A4844="","",IFERROR(_xlfn.XLOOKUP(A803:A4844,castles_state!K:K,castles_state!D:D)&amp;"主",IFERROR(_xlfn.XLOOKUP(A803:A4844,kunishuClan!D:D,kunishuClan!B:B)&amp;"当主","")))</f>
      </c>
    </row>
    <row r="804" ht="15.75" customHeight="1">
      <c r="A804" s="4">
        <v>1015021</v>
      </c>
      <c r="B804" s="12" t="str">
        <f t="array" ref="B804">IF(A804:A4845="","",_xlfn.XLOOKUP(A804:A4845,'参照_武将'!A:A,'参照_武将'!B:B,"見つかりません"))</f>
      </c>
      <c r="C804" s="4" t="s">
        <v>150</v>
      </c>
      <c r="D804" s="4">
        <v>15</v>
      </c>
      <c r="E804" s="12" t="str">
        <f t="array" ref="E804">IF(D804:D4845="","",IFERROR(_xlfn.XLOOKUP(D804:D4845,'参照_勢力'!A:A,'参照_勢力'!B:B),IFERROR(_xlfn.XLOOKUP(F804:F4845,kunishuClan!A:A,kunishuClan!B:B),"浪人")))</f>
      </c>
      <c r="F804" s="4">
        <v>0</v>
      </c>
      <c r="G804" s="4">
        <v>23</v>
      </c>
      <c r="H804" s="12" t="str">
        <f t="array" ref="H804">IF(G804:G4845="","",_xlfn.XLOOKUP(G804:G4845,castles_state!A:A,castles_state!D:D,"見つかりません"))</f>
      </c>
      <c r="I804" s="4"/>
      <c r="J804" s="12" t="str">
        <f t="array" ref="J804">IF(I804:I4845="","",_xlfn.XLOOKUP(I804:I4845,'参照_姫'!A:A,'参照_姫'!B:B,"見つかりません"))</f>
      </c>
      <c r="K804" s="4">
        <v>95</v>
      </c>
      <c r="L804" s="4">
        <v>0</v>
      </c>
      <c r="M804" s="4"/>
      <c r="N804" s="4"/>
      <c r="O804" s="4"/>
      <c r="P804" s="12" t="str">
        <f t="array" ref="P804">IF(O804:O4845="","",_xlfn.XLOOKUP(O804:O4845,'参照_官位'!A:A,'参照_官位'!B:B,""))</f>
      </c>
      <c r="Q804" s="12" t="str">
        <f t="array" ref="Q804">IF(A804:A4845="","",IFERROR(_xlfn.XLOOKUP(A804:A4845,castles_state!K:K,castles_state!D:D)&amp;"主",IFERROR(_xlfn.XLOOKUP(A804:A4845,kunishuClan!D:D,kunishuClan!B:B)&amp;"当主","")))</f>
      </c>
    </row>
    <row r="805" ht="15.75" customHeight="1">
      <c r="A805" s="4">
        <v>1015022</v>
      </c>
      <c r="B805" s="12" t="str">
        <f t="array" ref="B805">IF(A805:A4846="","",_xlfn.XLOOKUP(A805:A4846,'参照_武将'!A:A,'参照_武将'!B:B,"見つかりません"))</f>
      </c>
      <c r="C805" s="4" t="s">
        <v>150</v>
      </c>
      <c r="D805" s="4">
        <v>15</v>
      </c>
      <c r="E805" s="12" t="str">
        <f t="array" ref="E805">IF(D805:D4846="","",IFERROR(_xlfn.XLOOKUP(D805:D4846,'参照_勢力'!A:A,'参照_勢力'!B:B),IFERROR(_xlfn.XLOOKUP(F805:F4846,kunishuClan!A:A,kunishuClan!B:B),"浪人")))</f>
      </c>
      <c r="F805" s="4">
        <v>0</v>
      </c>
      <c r="G805" s="4">
        <v>23</v>
      </c>
      <c r="H805" s="12" t="str">
        <f t="array" ref="H805">IF(G805:G4846="","",_xlfn.XLOOKUP(G805:G4846,castles_state!A:A,castles_state!D:D,"見つかりません"))</f>
      </c>
      <c r="I805" s="4"/>
      <c r="J805" s="12" t="str">
        <f t="array" ref="J805">IF(I805:I4846="","",_xlfn.XLOOKUP(I805:I4846,'参照_姫'!A:A,'参照_姫'!B:B,"見つかりません"))</f>
      </c>
      <c r="K805" s="4">
        <v>95</v>
      </c>
      <c r="L805" s="4">
        <v>300</v>
      </c>
      <c r="M805" s="4"/>
      <c r="N805" s="4"/>
      <c r="O805" s="4"/>
      <c r="P805" s="12" t="str">
        <f t="array" ref="P805">IF(O805:O4846="","",_xlfn.XLOOKUP(O805:O4846,'参照_官位'!A:A,'参照_官位'!B:B,""))</f>
      </c>
      <c r="Q805" s="12" t="str">
        <f t="array" ref="Q805">IF(A805:A4846="","",IFERROR(_xlfn.XLOOKUP(A805:A4846,castles_state!K:K,castles_state!D:D)&amp;"主",IFERROR(_xlfn.XLOOKUP(A805:A4846,kunishuClan!D:D,kunishuClan!B:B)&amp;"当主","")))</f>
      </c>
    </row>
    <row r="806" ht="15.75" customHeight="1">
      <c r="A806" s="4">
        <v>1015023</v>
      </c>
      <c r="B806" s="12" t="str">
        <f t="array" ref="B806">IF(A806:A4847="","",_xlfn.XLOOKUP(A806:A4847,'参照_武将'!A:A,'参照_武将'!B:B,"見つかりません"))</f>
      </c>
      <c r="C806" s="4" t="s">
        <v>150</v>
      </c>
      <c r="D806" s="4">
        <v>15</v>
      </c>
      <c r="E806" s="12" t="str">
        <f t="array" ref="E806">IF(D806:D4847="","",IFERROR(_xlfn.XLOOKUP(D806:D4847,'参照_勢力'!A:A,'参照_勢力'!B:B),IFERROR(_xlfn.XLOOKUP(F806:F4847,kunishuClan!A:A,kunishuClan!B:B),"浪人")))</f>
      </c>
      <c r="F806" s="4">
        <v>0</v>
      </c>
      <c r="G806" s="4">
        <v>23</v>
      </c>
      <c r="H806" s="12" t="str">
        <f t="array" ref="H806">IF(G806:G4847="","",_xlfn.XLOOKUP(G806:G4847,castles_state!A:A,castles_state!D:D,"見つかりません"))</f>
      </c>
      <c r="I806" s="4"/>
      <c r="J806" s="12" t="str">
        <f t="array" ref="J806">IF(I806:I4847="","",_xlfn.XLOOKUP(I806:I4847,'参照_姫'!A:A,'参照_姫'!B:B,"見つかりません"))</f>
      </c>
      <c r="K806" s="4">
        <v>95</v>
      </c>
      <c r="L806" s="4">
        <v>0</v>
      </c>
      <c r="M806" s="4"/>
      <c r="N806" s="4"/>
      <c r="O806" s="4"/>
      <c r="P806" s="12" t="str">
        <f t="array" ref="P806">IF(O806:O4847="","",_xlfn.XLOOKUP(O806:O4847,'参照_官位'!A:A,'参照_官位'!B:B,""))</f>
      </c>
      <c r="Q806" s="12" t="str">
        <f t="array" ref="Q806">IF(A806:A4847="","",IFERROR(_xlfn.XLOOKUP(A806:A4847,castles_state!K:K,castles_state!D:D)&amp;"主",IFERROR(_xlfn.XLOOKUP(A806:A4847,kunishuClan!D:D,kunishuClan!B:B)&amp;"当主","")))</f>
      </c>
    </row>
    <row r="807" ht="15.75" customHeight="1">
      <c r="A807" s="4">
        <v>1015024</v>
      </c>
      <c r="B807" s="12" t="str">
        <f t="array" ref="B807">IF(A807:A4848="","",_xlfn.XLOOKUP(A807:A4848,'参照_武将'!A:A,'参照_武将'!B:B,"見つかりません"))</f>
      </c>
      <c r="C807" s="4" t="s">
        <v>150</v>
      </c>
      <c r="D807" s="4">
        <v>15</v>
      </c>
      <c r="E807" s="12" t="str">
        <f t="array" ref="E807">IF(D807:D4848="","",IFERROR(_xlfn.XLOOKUP(D807:D4848,'参照_勢力'!A:A,'参照_勢力'!B:B),IFERROR(_xlfn.XLOOKUP(F807:F4848,kunishuClan!A:A,kunishuClan!B:B),"浪人")))</f>
      </c>
      <c r="F807" s="4">
        <v>0</v>
      </c>
      <c r="G807" s="4">
        <v>23</v>
      </c>
      <c r="H807" s="12" t="str">
        <f t="array" ref="H807">IF(G807:G4848="","",_xlfn.XLOOKUP(G807:G4848,castles_state!A:A,castles_state!D:D,"見つかりません"))</f>
      </c>
      <c r="I807" s="4"/>
      <c r="J807" s="12" t="str">
        <f t="array" ref="J807">IF(I807:I4848="","",_xlfn.XLOOKUP(I807:I4848,'参照_姫'!A:A,'参照_姫'!B:B,"見つかりません"))</f>
      </c>
      <c r="K807" s="4">
        <v>95</v>
      </c>
      <c r="L807" s="4">
        <v>0</v>
      </c>
      <c r="M807" s="4"/>
      <c r="N807" s="4"/>
      <c r="O807" s="4"/>
      <c r="P807" s="12" t="str">
        <f t="array" ref="P807">IF(O807:O4848="","",_xlfn.XLOOKUP(O807:O4848,'参照_官位'!A:A,'参照_官位'!B:B,""))</f>
      </c>
      <c r="Q807" s="12" t="str">
        <f t="array" ref="Q807">IF(A807:A4848="","",IFERROR(_xlfn.XLOOKUP(A807:A4848,castles_state!K:K,castles_state!D:D)&amp;"主",IFERROR(_xlfn.XLOOKUP(A807:A4848,kunishuClan!D:D,kunishuClan!B:B)&amp;"当主","")))</f>
      </c>
    </row>
    <row r="808" ht="15.75" customHeight="1">
      <c r="A808" s="4">
        <v>1015025</v>
      </c>
      <c r="B808" s="12" t="str">
        <f t="array" ref="B808">IF(A808:A4849="","",_xlfn.XLOOKUP(A808:A4849,'参照_武将'!A:A,'参照_武将'!B:B,"見つかりません"))</f>
      </c>
      <c r="C808" s="4" t="s">
        <v>150</v>
      </c>
      <c r="D808" s="4">
        <v>15</v>
      </c>
      <c r="E808" s="12" t="str">
        <f t="array" ref="E808">IF(D808:D4849="","",IFERROR(_xlfn.XLOOKUP(D808:D4849,'参照_勢力'!A:A,'参照_勢力'!B:B),IFERROR(_xlfn.XLOOKUP(F808:F4849,kunishuClan!A:A,kunishuClan!B:B),"浪人")))</f>
      </c>
      <c r="F808" s="4">
        <v>0</v>
      </c>
      <c r="G808" s="4">
        <v>23</v>
      </c>
      <c r="H808" s="12" t="str">
        <f t="array" ref="H808">IF(G808:G4849="","",_xlfn.XLOOKUP(G808:G4849,castles_state!A:A,castles_state!D:D,"見つかりません"))</f>
      </c>
      <c r="I808" s="4"/>
      <c r="J808" s="12" t="str">
        <f t="array" ref="J808">IF(I808:I4849="","",_xlfn.XLOOKUP(I808:I4849,'参照_姫'!A:A,'参照_姫'!B:B,"見つかりません"))</f>
      </c>
      <c r="K808" s="4">
        <v>95</v>
      </c>
      <c r="L808" s="4">
        <v>0</v>
      </c>
      <c r="M808" s="4"/>
      <c r="N808" s="4"/>
      <c r="O808" s="4"/>
      <c r="P808" s="12" t="str">
        <f t="array" ref="P808">IF(O808:O4849="","",_xlfn.XLOOKUP(O808:O4849,'参照_官位'!A:A,'参照_官位'!B:B,""))</f>
      </c>
      <c r="Q808" s="12" t="str">
        <f t="array" ref="Q808">IF(A808:A4849="","",IFERROR(_xlfn.XLOOKUP(A808:A4849,castles_state!K:K,castles_state!D:D)&amp;"主",IFERROR(_xlfn.XLOOKUP(A808:A4849,kunishuClan!D:D,kunishuClan!B:B)&amp;"当主","")))</f>
      </c>
    </row>
    <row r="809" ht="15.75" customHeight="1">
      <c r="A809" s="4">
        <v>1015026</v>
      </c>
      <c r="B809" s="12" t="str">
        <f t="array" ref="B809">IF(A809:A4850="","",_xlfn.XLOOKUP(A809:A4850,'参照_武将'!A:A,'参照_武将'!B:B,"見つかりません"))</f>
      </c>
      <c r="C809" s="4" t="s">
        <v>150</v>
      </c>
      <c r="D809" s="4">
        <v>15</v>
      </c>
      <c r="E809" s="12" t="str">
        <f t="array" ref="E809">IF(D809:D4850="","",IFERROR(_xlfn.XLOOKUP(D809:D4850,'参照_勢力'!A:A,'参照_勢力'!B:B),IFERROR(_xlfn.XLOOKUP(F809:F4850,kunishuClan!A:A,kunishuClan!B:B),"浪人")))</f>
      </c>
      <c r="F809" s="4">
        <v>0</v>
      </c>
      <c r="G809" s="4">
        <v>23</v>
      </c>
      <c r="H809" s="12" t="str">
        <f t="array" ref="H809">IF(G809:G4850="","",_xlfn.XLOOKUP(G809:G4850,castles_state!A:A,castles_state!D:D,"見つかりません"))</f>
      </c>
      <c r="I809" s="4"/>
      <c r="J809" s="12" t="str">
        <f t="array" ref="J809">IF(I809:I4850="","",_xlfn.XLOOKUP(I809:I4850,'参照_姫'!A:A,'参照_姫'!B:B,"見つかりません"))</f>
      </c>
      <c r="K809" s="4">
        <v>95</v>
      </c>
      <c r="L809" s="4">
        <v>0</v>
      </c>
      <c r="M809" s="4"/>
      <c r="N809" s="4"/>
      <c r="O809" s="4"/>
      <c r="P809" s="12" t="str">
        <f t="array" ref="P809">IF(O809:O4850="","",_xlfn.XLOOKUP(O809:O4850,'参照_官位'!A:A,'参照_官位'!B:B,""))</f>
      </c>
      <c r="Q809" s="12" t="str">
        <f t="array" ref="Q809">IF(A809:A4850="","",IFERROR(_xlfn.XLOOKUP(A809:A4850,castles_state!K:K,castles_state!D:D)&amp;"主",IFERROR(_xlfn.XLOOKUP(A809:A4850,kunishuClan!D:D,kunishuClan!B:B)&amp;"当主","")))</f>
      </c>
    </row>
    <row r="810" ht="15.75" customHeight="1">
      <c r="A810" s="4">
        <v>1015027</v>
      </c>
      <c r="B810" s="12" t="str">
        <f t="array" ref="B810">IF(A810:A4851="","",_xlfn.XLOOKUP(A810:A4851,'参照_武将'!A:A,'参照_武将'!B:B,"見つかりません"))</f>
      </c>
      <c r="C810" s="4" t="s">
        <v>150</v>
      </c>
      <c r="D810" s="4">
        <v>15</v>
      </c>
      <c r="E810" s="12" t="str">
        <f t="array" ref="E810">IF(D810:D4851="","",IFERROR(_xlfn.XLOOKUP(D810:D4851,'参照_勢力'!A:A,'参照_勢力'!B:B),IFERROR(_xlfn.XLOOKUP(F810:F4851,kunishuClan!A:A,kunishuClan!B:B),"浪人")))</f>
      </c>
      <c r="F810" s="4">
        <v>0</v>
      </c>
      <c r="G810" s="4">
        <v>28</v>
      </c>
      <c r="H810" s="12" t="str">
        <f t="array" ref="H810">IF(G810:G4851="","",_xlfn.XLOOKUP(G810:G4851,castles_state!A:A,castles_state!D:D,"見つかりません"))</f>
      </c>
      <c r="I810" s="4"/>
      <c r="J810" s="12" t="str">
        <f t="array" ref="J810">IF(I810:I4851="","",_xlfn.XLOOKUP(I810:I4851,'参照_姫'!A:A,'参照_姫'!B:B,"見つかりません"))</f>
      </c>
      <c r="K810" s="4">
        <v>85</v>
      </c>
      <c r="L810" s="4">
        <v>0</v>
      </c>
      <c r="M810" s="4"/>
      <c r="N810" s="4"/>
      <c r="O810" s="4"/>
      <c r="P810" s="12" t="str">
        <f t="array" ref="P810">IF(O810:O4851="","",_xlfn.XLOOKUP(O810:O4851,'参照_官位'!A:A,'参照_官位'!B:B,""))</f>
      </c>
      <c r="Q810" s="12" t="str">
        <f t="array" ref="Q810">IF(A810:A4851="","",IFERROR(_xlfn.XLOOKUP(A810:A4851,castles_state!K:K,castles_state!D:D)&amp;"主",IFERROR(_xlfn.XLOOKUP(A810:A4851,kunishuClan!D:D,kunishuClan!B:B)&amp;"当主","")))</f>
      </c>
    </row>
    <row r="811" ht="15.75" customHeight="1">
      <c r="A811" s="4">
        <v>1015028</v>
      </c>
      <c r="B811" s="12" t="str">
        <f t="array" ref="B811">IF(A811:A4852="","",_xlfn.XLOOKUP(A811:A4852,'参照_武将'!A:A,'参照_武将'!B:B,"見つかりません"))</f>
      </c>
      <c r="C811" s="4" t="s">
        <v>150</v>
      </c>
      <c r="D811" s="4">
        <v>15</v>
      </c>
      <c r="E811" s="12" t="str">
        <f t="array" ref="E811">IF(D811:D4852="","",IFERROR(_xlfn.XLOOKUP(D811:D4852,'参照_勢力'!A:A,'参照_勢力'!B:B),IFERROR(_xlfn.XLOOKUP(F811:F4852,kunishuClan!A:A,kunishuClan!B:B),"浪人")))</f>
      </c>
      <c r="F811" s="4">
        <v>0</v>
      </c>
      <c r="G811" s="4">
        <v>28</v>
      </c>
      <c r="H811" s="12" t="str">
        <f t="array" ref="H811">IF(G811:G4852="","",_xlfn.XLOOKUP(G811:G4852,castles_state!A:A,castles_state!D:D,"見つかりません"))</f>
      </c>
      <c r="I811" s="4"/>
      <c r="J811" s="12" t="str">
        <f t="array" ref="J811">IF(I811:I4852="","",_xlfn.XLOOKUP(I811:I4852,'参照_姫'!A:A,'参照_姫'!B:B,"見つかりません"))</f>
      </c>
      <c r="K811" s="4">
        <v>95</v>
      </c>
      <c r="L811" s="4">
        <v>200</v>
      </c>
      <c r="M811" s="4"/>
      <c r="N811" s="4"/>
      <c r="O811" s="4"/>
      <c r="P811" s="12" t="str">
        <f t="array" ref="P811">IF(O811:O4852="","",_xlfn.XLOOKUP(O811:O4852,'参照_官位'!A:A,'参照_官位'!B:B,""))</f>
      </c>
      <c r="Q811" s="12" t="str">
        <f t="array" ref="Q811">IF(A811:A4852="","",IFERROR(_xlfn.XLOOKUP(A811:A4852,castles_state!K:K,castles_state!D:D)&amp;"主",IFERROR(_xlfn.XLOOKUP(A811:A4852,kunishuClan!D:D,kunishuClan!B:B)&amp;"当主","")))</f>
      </c>
    </row>
    <row r="812" ht="15.75" customHeight="1">
      <c r="A812" s="4">
        <v>1015029</v>
      </c>
      <c r="B812" s="12" t="str">
        <f t="array" ref="B812">IF(A812:A4853="","",_xlfn.XLOOKUP(A812:A4853,'参照_武将'!A:A,'参照_武将'!B:B,"見つかりません"))</f>
      </c>
      <c r="C812" s="4" t="s">
        <v>150</v>
      </c>
      <c r="D812" s="4">
        <v>15</v>
      </c>
      <c r="E812" s="12" t="str">
        <f t="array" ref="E812">IF(D812:D4853="","",IFERROR(_xlfn.XLOOKUP(D812:D4853,'参照_勢力'!A:A,'参照_勢力'!B:B),IFERROR(_xlfn.XLOOKUP(F812:F4853,kunishuClan!A:A,kunishuClan!B:B),"浪人")))</f>
      </c>
      <c r="F812" s="4">
        <v>0</v>
      </c>
      <c r="G812" s="4">
        <v>28</v>
      </c>
      <c r="H812" s="12" t="str">
        <f t="array" ref="H812">IF(G812:G4853="","",_xlfn.XLOOKUP(G812:G4853,castles_state!A:A,castles_state!D:D,"見つかりません"))</f>
      </c>
      <c r="I812" s="4"/>
      <c r="J812" s="12" t="str">
        <f t="array" ref="J812">IF(I812:I4853="","",_xlfn.XLOOKUP(I812:I4853,'参照_姫'!A:A,'参照_姫'!B:B,"見つかりません"))</f>
      </c>
      <c r="K812" s="4">
        <v>95</v>
      </c>
      <c r="L812" s="4">
        <v>0</v>
      </c>
      <c r="M812" s="4"/>
      <c r="N812" s="4"/>
      <c r="O812" s="4"/>
      <c r="P812" s="12" t="str">
        <f t="array" ref="P812">IF(O812:O4853="","",_xlfn.XLOOKUP(O812:O4853,'参照_官位'!A:A,'参照_官位'!B:B,""))</f>
      </c>
      <c r="Q812" s="12" t="str">
        <f t="array" ref="Q812">IF(A812:A4853="","",IFERROR(_xlfn.XLOOKUP(A812:A4853,castles_state!K:K,castles_state!D:D)&amp;"主",IFERROR(_xlfn.XLOOKUP(A812:A4853,kunishuClan!D:D,kunishuClan!B:B)&amp;"当主","")))</f>
      </c>
    </row>
    <row r="813" ht="15.75" customHeight="1">
      <c r="A813" s="4">
        <v>1015030</v>
      </c>
      <c r="B813" s="12" t="str">
        <f t="array" ref="B813">IF(A813:A4854="","",_xlfn.XLOOKUP(A813:A4854,'参照_武将'!A:A,'参照_武将'!B:B,"見つかりません"))</f>
      </c>
      <c r="C813" s="4" t="s">
        <v>150</v>
      </c>
      <c r="D813" s="4">
        <v>15</v>
      </c>
      <c r="E813" s="12" t="str">
        <f t="array" ref="E813">IF(D813:D4854="","",IFERROR(_xlfn.XLOOKUP(D813:D4854,'参照_勢力'!A:A,'参照_勢力'!B:B),IFERROR(_xlfn.XLOOKUP(F813:F4854,kunishuClan!A:A,kunishuClan!B:B),"浪人")))</f>
      </c>
      <c r="F813" s="4">
        <v>0</v>
      </c>
      <c r="G813" s="4">
        <v>28</v>
      </c>
      <c r="H813" s="12" t="str">
        <f t="array" ref="H813">IF(G813:G4854="","",_xlfn.XLOOKUP(G813:G4854,castles_state!A:A,castles_state!D:D,"見つかりません"))</f>
      </c>
      <c r="I813" s="4"/>
      <c r="J813" s="12" t="str">
        <f t="array" ref="J813">IF(I813:I4854="","",_xlfn.XLOOKUP(I813:I4854,'参照_姫'!A:A,'参照_姫'!B:B,"見つかりません"))</f>
      </c>
      <c r="K813" s="4">
        <v>95</v>
      </c>
      <c r="L813" s="4">
        <v>0</v>
      </c>
      <c r="M813" s="4"/>
      <c r="N813" s="4"/>
      <c r="O813" s="4"/>
      <c r="P813" s="12" t="str">
        <f t="array" ref="P813">IF(O813:O4854="","",_xlfn.XLOOKUP(O813:O4854,'参照_官位'!A:A,'参照_官位'!B:B,""))</f>
      </c>
      <c r="Q813" s="12" t="str">
        <f t="array" ref="Q813">IF(A813:A4854="","",IFERROR(_xlfn.XLOOKUP(A813:A4854,castles_state!K:K,castles_state!D:D)&amp;"主",IFERROR(_xlfn.XLOOKUP(A813:A4854,kunishuClan!D:D,kunishuClan!B:B)&amp;"当主","")))</f>
      </c>
    </row>
    <row r="814" ht="15.75" customHeight="1">
      <c r="A814" s="4">
        <v>1015031</v>
      </c>
      <c r="B814" s="12" t="str">
        <f t="array" ref="B814">IF(A814:A4855="","",_xlfn.XLOOKUP(A814:A4855,'参照_武将'!A:A,'参照_武将'!B:B,"見つかりません"))</f>
      </c>
      <c r="C814" s="4" t="s">
        <v>150</v>
      </c>
      <c r="D814" s="4">
        <v>15</v>
      </c>
      <c r="E814" s="12" t="str">
        <f t="array" ref="E814">IF(D814:D4855="","",IFERROR(_xlfn.XLOOKUP(D814:D4855,'参照_勢力'!A:A,'参照_勢力'!B:B),IFERROR(_xlfn.XLOOKUP(F814:F4855,kunishuClan!A:A,kunishuClan!B:B),"浪人")))</f>
      </c>
      <c r="F814" s="4">
        <v>0</v>
      </c>
      <c r="G814" s="4">
        <v>28</v>
      </c>
      <c r="H814" s="12" t="str">
        <f t="array" ref="H814">IF(G814:G4855="","",_xlfn.XLOOKUP(G814:G4855,castles_state!A:A,castles_state!D:D,"見つかりません"))</f>
      </c>
      <c r="I814" s="4"/>
      <c r="J814" s="12" t="str">
        <f t="array" ref="J814">IF(I814:I4855="","",_xlfn.XLOOKUP(I814:I4855,'参照_姫'!A:A,'参照_姫'!B:B,"見つかりません"))</f>
      </c>
      <c r="K814" s="4">
        <v>95</v>
      </c>
      <c r="L814" s="4">
        <v>0</v>
      </c>
      <c r="M814" s="4"/>
      <c r="N814" s="4"/>
      <c r="O814" s="4"/>
      <c r="P814" s="12" t="str">
        <f t="array" ref="P814">IF(O814:O4855="","",_xlfn.XLOOKUP(O814:O4855,'参照_官位'!A:A,'参照_官位'!B:B,""))</f>
      </c>
      <c r="Q814" s="12" t="str">
        <f t="array" ref="Q814">IF(A814:A4855="","",IFERROR(_xlfn.XLOOKUP(A814:A4855,castles_state!K:K,castles_state!D:D)&amp;"主",IFERROR(_xlfn.XLOOKUP(A814:A4855,kunishuClan!D:D,kunishuClan!B:B)&amp;"当主","")))</f>
      </c>
    </row>
    <row r="815" ht="15.75" customHeight="1">
      <c r="A815" s="4">
        <v>1015032</v>
      </c>
      <c r="B815" s="12" t="str">
        <f t="array" ref="B815">IF(A815:A4856="","",_xlfn.XLOOKUP(A815:A4856,'参照_武将'!A:A,'参照_武将'!B:B,"見つかりません"))</f>
      </c>
      <c r="C815" s="4" t="s">
        <v>150</v>
      </c>
      <c r="D815" s="4">
        <v>15</v>
      </c>
      <c r="E815" s="12" t="str">
        <f t="array" ref="E815">IF(D815:D4856="","",IFERROR(_xlfn.XLOOKUP(D815:D4856,'参照_勢力'!A:A,'参照_勢力'!B:B),IFERROR(_xlfn.XLOOKUP(F815:F4856,kunishuClan!A:A,kunishuClan!B:B),"浪人")))</f>
      </c>
      <c r="F815" s="4">
        <v>0</v>
      </c>
      <c r="G815" s="4">
        <v>23</v>
      </c>
      <c r="H815" s="12" t="str">
        <f t="array" ref="H815">IF(G815:G4856="","",_xlfn.XLOOKUP(G815:G4856,castles_state!A:A,castles_state!D:D,"見つかりません"))</f>
      </c>
      <c r="I815" s="4"/>
      <c r="J815" s="12" t="str">
        <f t="array" ref="J815">IF(I815:I4856="","",_xlfn.XLOOKUP(I815:I4856,'参照_姫'!A:A,'参照_姫'!B:B,"見つかりません"))</f>
      </c>
      <c r="K815" s="4">
        <v>95</v>
      </c>
      <c r="L815" s="4">
        <v>300</v>
      </c>
      <c r="M815" s="4"/>
      <c r="N815" s="4"/>
      <c r="O815" s="4"/>
      <c r="P815" s="12" t="str">
        <f t="array" ref="P815">IF(O815:O4856="","",_xlfn.XLOOKUP(O815:O4856,'参照_官位'!A:A,'参照_官位'!B:B,""))</f>
      </c>
      <c r="Q815" s="12" t="str">
        <f t="array" ref="Q815">IF(A815:A4856="","",IFERROR(_xlfn.XLOOKUP(A815:A4856,castles_state!K:K,castles_state!D:D)&amp;"主",IFERROR(_xlfn.XLOOKUP(A815:A4856,kunishuClan!D:D,kunishuClan!B:B)&amp;"当主","")))</f>
      </c>
    </row>
    <row r="816" ht="15.75" customHeight="1">
      <c r="A816" s="4">
        <v>1015033</v>
      </c>
      <c r="B816" s="12" t="str">
        <f t="array" ref="B816">IF(A816:A4857="","",_xlfn.XLOOKUP(A816:A4857,'参照_武将'!A:A,'参照_武将'!B:B,"見つかりません"))</f>
      </c>
      <c r="C816" s="4" t="s">
        <v>150</v>
      </c>
      <c r="D816" s="4">
        <v>15</v>
      </c>
      <c r="E816" s="12" t="str">
        <f t="array" ref="E816">IF(D816:D4857="","",IFERROR(_xlfn.XLOOKUP(D816:D4857,'参照_勢力'!A:A,'参照_勢力'!B:B),IFERROR(_xlfn.XLOOKUP(F816:F4857,kunishuClan!A:A,kunishuClan!B:B),"浪人")))</f>
      </c>
      <c r="F816" s="4">
        <v>0</v>
      </c>
      <c r="G816" s="4">
        <v>23</v>
      </c>
      <c r="H816" s="12" t="str">
        <f t="array" ref="H816">IF(G816:G4857="","",_xlfn.XLOOKUP(G816:G4857,castles_state!A:A,castles_state!D:D,"見つかりません"))</f>
      </c>
      <c r="I816" s="4"/>
      <c r="J816" s="12" t="str">
        <f t="array" ref="J816">IF(I816:I4857="","",_xlfn.XLOOKUP(I816:I4857,'参照_姫'!A:A,'参照_姫'!B:B,"見つかりません"))</f>
      </c>
      <c r="K816" s="4">
        <v>90</v>
      </c>
      <c r="L816" s="4">
        <v>0</v>
      </c>
      <c r="M816" s="4"/>
      <c r="N816" s="4"/>
      <c r="O816" s="4"/>
      <c r="P816" s="12" t="str">
        <f t="array" ref="P816">IF(O816:O4857="","",_xlfn.XLOOKUP(O816:O4857,'参照_官位'!A:A,'参照_官位'!B:B,""))</f>
      </c>
      <c r="Q816" s="12" t="str">
        <f t="array" ref="Q816">IF(A816:A4857="","",IFERROR(_xlfn.XLOOKUP(A816:A4857,castles_state!K:K,castles_state!D:D)&amp;"主",IFERROR(_xlfn.XLOOKUP(A816:A4857,kunishuClan!D:D,kunishuClan!B:B)&amp;"当主","")))</f>
      </c>
    </row>
    <row r="817" ht="15.75" customHeight="1">
      <c r="A817" s="4">
        <v>1015034</v>
      </c>
      <c r="B817" s="12" t="str">
        <f t="array" ref="B817">IF(A817:A4858="","",_xlfn.XLOOKUP(A817:A4858,'参照_武将'!A:A,'参照_武将'!B:B,"見つかりません"))</f>
      </c>
      <c r="C817" s="4" t="s">
        <v>150</v>
      </c>
      <c r="D817" s="4">
        <v>15</v>
      </c>
      <c r="E817" s="12" t="str">
        <f t="array" ref="E817">IF(D817:D4858="","",IFERROR(_xlfn.XLOOKUP(D817:D4858,'参照_勢力'!A:A,'参照_勢力'!B:B),IFERROR(_xlfn.XLOOKUP(F817:F4858,kunishuClan!A:A,kunishuClan!B:B),"浪人")))</f>
      </c>
      <c r="F817" s="4">
        <v>0</v>
      </c>
      <c r="G817" s="4">
        <v>23</v>
      </c>
      <c r="H817" s="12" t="str">
        <f t="array" ref="H817">IF(G817:G4858="","",_xlfn.XLOOKUP(G817:G4858,castles_state!A:A,castles_state!D:D,"見つかりません"))</f>
      </c>
      <c r="I817" s="4"/>
      <c r="J817" s="12" t="str">
        <f t="array" ref="J817">IF(I817:I4858="","",_xlfn.XLOOKUP(I817:I4858,'参照_姫'!A:A,'参照_姫'!B:B,"見つかりません"))</f>
      </c>
      <c r="K817" s="4">
        <v>95</v>
      </c>
      <c r="L817" s="4">
        <v>300</v>
      </c>
      <c r="M817" s="4" t="b">
        <v>1</v>
      </c>
      <c r="N817" s="4"/>
      <c r="O817" s="4"/>
      <c r="P817" s="12" t="str">
        <f t="array" ref="P817">IF(O817:O4858="","",_xlfn.XLOOKUP(O817:O4858,'参照_官位'!A:A,'参照_官位'!B:B,""))</f>
      </c>
      <c r="Q817" s="12" t="str">
        <f t="array" ref="Q817">IF(A817:A4858="","",IFERROR(_xlfn.XLOOKUP(A817:A4858,castles_state!K:K,castles_state!D:D)&amp;"主",IFERROR(_xlfn.XLOOKUP(A817:A4858,kunishuClan!D:D,kunishuClan!B:B)&amp;"当主","")))</f>
      </c>
    </row>
    <row r="818" ht="15.75" customHeight="1">
      <c r="A818" s="4">
        <v>1015035</v>
      </c>
      <c r="B818" s="12" t="str">
        <f t="array" ref="B818">IF(A818:A4859="","",_xlfn.XLOOKUP(A818:A4859,'参照_武将'!A:A,'参照_武将'!B:B,"見つかりません"))</f>
      </c>
      <c r="C818" s="4" t="s">
        <v>150</v>
      </c>
      <c r="D818" s="4">
        <v>15</v>
      </c>
      <c r="E818" s="12" t="str">
        <f t="array" ref="E818">IF(D818:D4859="","",IFERROR(_xlfn.XLOOKUP(D818:D4859,'参照_勢力'!A:A,'参照_勢力'!B:B),IFERROR(_xlfn.XLOOKUP(F818:F4859,kunishuClan!A:A,kunishuClan!B:B),"浪人")))</f>
      </c>
      <c r="F818" s="4">
        <v>0</v>
      </c>
      <c r="G818" s="4">
        <v>186</v>
      </c>
      <c r="H818" s="12" t="str">
        <f t="array" ref="H818">IF(G818:G4859="","",_xlfn.XLOOKUP(G818:G4859,castles_state!A:A,castles_state!D:D,"見つかりません"))</f>
      </c>
      <c r="I818" s="4"/>
      <c r="J818" s="12" t="str">
        <f t="array" ref="J818">IF(I818:I4859="","",_xlfn.XLOOKUP(I818:I4859,'参照_姫'!A:A,'参照_姫'!B:B,"見つかりません"))</f>
      </c>
      <c r="K818" s="4">
        <v>90</v>
      </c>
      <c r="L818" s="4">
        <v>0</v>
      </c>
      <c r="M818" s="4"/>
      <c r="N818" s="4"/>
      <c r="O818" s="4"/>
      <c r="P818" s="12" t="str">
        <f t="array" ref="P818">IF(O818:O4859="","",_xlfn.XLOOKUP(O818:O4859,'参照_官位'!A:A,'参照_官位'!B:B,""))</f>
      </c>
      <c r="Q818" s="12" t="str">
        <f t="array" ref="Q818">IF(A818:A4859="","",IFERROR(_xlfn.XLOOKUP(A818:A4859,castles_state!K:K,castles_state!D:D)&amp;"主",IFERROR(_xlfn.XLOOKUP(A818:A4859,kunishuClan!D:D,kunishuClan!B:B)&amp;"当主","")))</f>
      </c>
    </row>
    <row r="819" ht="15.75" customHeight="1">
      <c r="A819" s="4">
        <v>1015036</v>
      </c>
      <c r="B819" s="12" t="str">
        <f t="array" ref="B819">IF(A819:A4860="","",_xlfn.XLOOKUP(A819:A4860,'参照_武将'!A:A,'参照_武将'!B:B,"見つかりません"))</f>
      </c>
      <c r="C819" s="4" t="s">
        <v>150</v>
      </c>
      <c r="D819" s="4">
        <v>1</v>
      </c>
      <c r="E819" s="12" t="str">
        <f t="array" ref="E819">IF(D819:D4860="","",IFERROR(_xlfn.XLOOKUP(D819:D4860,'参照_勢力'!A:A,'参照_勢力'!B:B),IFERROR(_xlfn.XLOOKUP(F819:F4860,kunishuClan!A:A,kunishuClan!B:B),"浪人")))</f>
      </c>
      <c r="F819" s="4">
        <v>0</v>
      </c>
      <c r="G819" s="4">
        <v>177</v>
      </c>
      <c r="H819" s="12" t="str">
        <f t="array" ref="H819">IF(G819:G4860="","",_xlfn.XLOOKUP(G819:G4860,castles_state!A:A,castles_state!D:D,"見つかりません"))</f>
      </c>
      <c r="I819" s="4"/>
      <c r="J819" s="12" t="str">
        <f t="array" ref="J819">IF(I819:I4860="","",_xlfn.XLOOKUP(I819:I4860,'参照_姫'!A:A,'参照_姫'!B:B,"見つかりません"))</f>
      </c>
      <c r="K819" s="4">
        <v>95</v>
      </c>
      <c r="L819" s="4">
        <v>0</v>
      </c>
      <c r="M819" s="4"/>
      <c r="N819" s="4"/>
      <c r="O819" s="4"/>
      <c r="P819" s="12" t="str">
        <f t="array" ref="P819">IF(O819:O4860="","",_xlfn.XLOOKUP(O819:O4860,'参照_官位'!A:A,'参照_官位'!B:B,""))</f>
      </c>
      <c r="Q819" s="12" t="str">
        <f t="array" ref="Q819">IF(A819:A4860="","",IFERROR(_xlfn.XLOOKUP(A819:A4860,castles_state!K:K,castles_state!D:D)&amp;"主",IFERROR(_xlfn.XLOOKUP(A819:A4860,kunishuClan!D:D,kunishuClan!B:B)&amp;"当主","")))</f>
      </c>
    </row>
    <row r="820" ht="15.75" customHeight="1">
      <c r="A820" s="4">
        <v>1015037</v>
      </c>
      <c r="B820" s="12" t="str">
        <f t="array" ref="B820">IF(A820:A4861="","",_xlfn.XLOOKUP(A820:A4861,'参照_武将'!A:A,'参照_武将'!B:B,"見つかりません"))</f>
      </c>
      <c r="C820" s="4" t="s">
        <v>150</v>
      </c>
      <c r="D820" s="4">
        <v>1</v>
      </c>
      <c r="E820" s="12" t="str">
        <f t="array" ref="E820">IF(D820:D4861="","",IFERROR(_xlfn.XLOOKUP(D820:D4861,'参照_勢力'!A:A,'参照_勢力'!B:B),IFERROR(_xlfn.XLOOKUP(F820:F4861,kunishuClan!A:A,kunishuClan!B:B),"浪人")))</f>
      </c>
      <c r="F820" s="4">
        <v>0</v>
      </c>
      <c r="G820" s="4">
        <v>177</v>
      </c>
      <c r="H820" s="12" t="str">
        <f t="array" ref="H820">IF(G820:G4861="","",_xlfn.XLOOKUP(G820:G4861,castles_state!A:A,castles_state!D:D,"見つかりません"))</f>
      </c>
      <c r="I820" s="4"/>
      <c r="J820" s="12" t="str">
        <f t="array" ref="J820">IF(I820:I4861="","",_xlfn.XLOOKUP(I820:I4861,'参照_姫'!A:A,'参照_姫'!B:B,"見つかりません"))</f>
      </c>
      <c r="K820" s="4">
        <v>95</v>
      </c>
      <c r="L820" s="4">
        <v>0</v>
      </c>
      <c r="M820" s="4"/>
      <c r="N820" s="4"/>
      <c r="O820" s="4"/>
      <c r="P820" s="12" t="str">
        <f t="array" ref="P820">IF(O820:O4861="","",_xlfn.XLOOKUP(O820:O4861,'参照_官位'!A:A,'参照_官位'!B:B,""))</f>
      </c>
      <c r="Q820" s="12" t="str">
        <f t="array" ref="Q820">IF(A820:A4861="","",IFERROR(_xlfn.XLOOKUP(A820:A4861,castles_state!K:K,castles_state!D:D)&amp;"主",IFERROR(_xlfn.XLOOKUP(A820:A4861,kunishuClan!D:D,kunishuClan!B:B)&amp;"当主","")))</f>
      </c>
    </row>
    <row r="821" ht="15.75" customHeight="1">
      <c r="A821" s="4">
        <v>1015038</v>
      </c>
      <c r="B821" s="12" t="str">
        <f t="array" ref="B821">IF(A821:A4862="","",_xlfn.XLOOKUP(A821:A4862,'参照_武将'!A:A,'参照_武将'!B:B,"見つかりません"))</f>
      </c>
      <c r="C821" s="4" t="s">
        <v>150</v>
      </c>
      <c r="D821" s="4">
        <v>1</v>
      </c>
      <c r="E821" s="12" t="str">
        <f t="array" ref="E821">IF(D821:D4862="","",IFERROR(_xlfn.XLOOKUP(D821:D4862,'参照_勢力'!A:A,'参照_勢力'!B:B),IFERROR(_xlfn.XLOOKUP(F821:F4862,kunishuClan!A:A,kunishuClan!B:B),"浪人")))</f>
      </c>
      <c r="F821" s="4">
        <v>0</v>
      </c>
      <c r="G821" s="4">
        <v>177</v>
      </c>
      <c r="H821" s="12" t="str">
        <f t="array" ref="H821">IF(G821:G4862="","",_xlfn.XLOOKUP(G821:G4862,castles_state!A:A,castles_state!D:D,"見つかりません"))</f>
      </c>
      <c r="I821" s="4"/>
      <c r="J821" s="12" t="str">
        <f t="array" ref="J821">IF(I821:I4862="","",_xlfn.XLOOKUP(I821:I4862,'参照_姫'!A:A,'参照_姫'!B:B,"見つかりません"))</f>
      </c>
      <c r="K821" s="4">
        <v>95</v>
      </c>
      <c r="L821" s="4">
        <v>300</v>
      </c>
      <c r="M821" s="4"/>
      <c r="N821" s="4"/>
      <c r="O821" s="4"/>
      <c r="P821" s="12" t="str">
        <f t="array" ref="P821">IF(O821:O4862="","",_xlfn.XLOOKUP(O821:O4862,'参照_官位'!A:A,'参照_官位'!B:B,""))</f>
      </c>
      <c r="Q821" s="12" t="str">
        <f t="array" ref="Q821">IF(A821:A4862="","",IFERROR(_xlfn.XLOOKUP(A821:A4862,castles_state!K:K,castles_state!D:D)&amp;"主",IFERROR(_xlfn.XLOOKUP(A821:A4862,kunishuClan!D:D,kunishuClan!B:B)&amp;"当主","")))</f>
      </c>
    </row>
    <row r="822" ht="15.75" customHeight="1">
      <c r="A822" s="4">
        <v>1015039</v>
      </c>
      <c r="B822" s="12" t="str">
        <f t="array" ref="B822">IF(A822:A4863="","",_xlfn.XLOOKUP(A822:A4863,'参照_武将'!A:A,'参照_武将'!B:B,"見つかりません"))</f>
      </c>
      <c r="C822" s="4" t="s">
        <v>150</v>
      </c>
      <c r="D822" s="4">
        <v>1</v>
      </c>
      <c r="E822" s="12" t="str">
        <f t="array" ref="E822">IF(D822:D4863="","",IFERROR(_xlfn.XLOOKUP(D822:D4863,'参照_勢力'!A:A,'参照_勢力'!B:B),IFERROR(_xlfn.XLOOKUP(F822:F4863,kunishuClan!A:A,kunishuClan!B:B),"浪人")))</f>
      </c>
      <c r="F822" s="4">
        <v>0</v>
      </c>
      <c r="G822" s="4">
        <v>177</v>
      </c>
      <c r="H822" s="12" t="str">
        <f t="array" ref="H822">IF(G822:G4863="","",_xlfn.XLOOKUP(G822:G4863,castles_state!A:A,castles_state!D:D,"見つかりません"))</f>
      </c>
      <c r="I822" s="4"/>
      <c r="J822" s="12" t="str">
        <f t="array" ref="J822">IF(I822:I4863="","",_xlfn.XLOOKUP(I822:I4863,'参照_姫'!A:A,'参照_姫'!B:B,"見つかりません"))</f>
      </c>
      <c r="K822" s="4">
        <v>95</v>
      </c>
      <c r="L822" s="4">
        <v>0</v>
      </c>
      <c r="M822" s="4"/>
      <c r="N822" s="4"/>
      <c r="O822" s="4"/>
      <c r="P822" s="12" t="str">
        <f t="array" ref="P822">IF(O822:O4863="","",_xlfn.XLOOKUP(O822:O4863,'参照_官位'!A:A,'参照_官位'!B:B,""))</f>
      </c>
      <c r="Q822" s="12" t="str">
        <f t="array" ref="Q822">IF(A822:A4863="","",IFERROR(_xlfn.XLOOKUP(A822:A4863,castles_state!K:K,castles_state!D:D)&amp;"主",IFERROR(_xlfn.XLOOKUP(A822:A4863,kunishuClan!D:D,kunishuClan!B:B)&amp;"当主","")))</f>
      </c>
    </row>
    <row r="823" ht="15.75" customHeight="1">
      <c r="A823" s="4">
        <v>1015040</v>
      </c>
      <c r="B823" s="12" t="str">
        <f t="array" ref="B823">IF(A823:A4864="","",_xlfn.XLOOKUP(A823:A4864,'参照_武将'!A:A,'参照_武将'!B:B,"見つかりません"))</f>
      </c>
      <c r="C823" s="4" t="s">
        <v>150</v>
      </c>
      <c r="D823" s="4">
        <v>15</v>
      </c>
      <c r="E823" s="12" t="str">
        <f t="array" ref="E823">IF(D823:D4864="","",IFERROR(_xlfn.XLOOKUP(D823:D4864,'参照_勢力'!A:A,'参照_勢力'!B:B),IFERROR(_xlfn.XLOOKUP(F823:F4864,kunishuClan!A:A,kunishuClan!B:B),"浪人")))</f>
      </c>
      <c r="F823" s="4">
        <v>0</v>
      </c>
      <c r="G823" s="4">
        <v>186</v>
      </c>
      <c r="H823" s="12" t="str">
        <f t="array" ref="H823">IF(G823:G4864="","",_xlfn.XLOOKUP(G823:G4864,castles_state!A:A,castles_state!D:D,"見つかりません"))</f>
      </c>
      <c r="I823" s="4"/>
      <c r="J823" s="12" t="str">
        <f t="array" ref="J823">IF(I823:I4864="","",_xlfn.XLOOKUP(I823:I4864,'参照_姫'!A:A,'参照_姫'!B:B,"見つかりません"))</f>
      </c>
      <c r="K823" s="4">
        <v>90</v>
      </c>
      <c r="L823" s="4">
        <v>0</v>
      </c>
      <c r="M823" s="4"/>
      <c r="N823" s="4"/>
      <c r="O823" s="4"/>
      <c r="P823" s="12" t="str">
        <f t="array" ref="P823">IF(O823:O4864="","",_xlfn.XLOOKUP(O823:O4864,'参照_官位'!A:A,'参照_官位'!B:B,""))</f>
      </c>
      <c r="Q823" s="12" t="str">
        <f t="array" ref="Q823">IF(A823:A4864="","",IFERROR(_xlfn.XLOOKUP(A823:A4864,castles_state!K:K,castles_state!D:D)&amp;"主",IFERROR(_xlfn.XLOOKUP(A823:A4864,kunishuClan!D:D,kunishuClan!B:B)&amp;"当主","")))</f>
      </c>
    </row>
    <row r="824" ht="15.75" customHeight="1">
      <c r="A824" s="4">
        <v>1015041</v>
      </c>
      <c r="B824" s="12" t="str">
        <f t="array" ref="B824">IF(A824:A4865="","",_xlfn.XLOOKUP(A824:A4865,'参照_武将'!A:A,'参照_武将'!B:B,"見つかりません"))</f>
      </c>
      <c r="C824" s="4" t="s">
        <v>150</v>
      </c>
      <c r="D824" s="4">
        <v>15</v>
      </c>
      <c r="E824" s="12" t="str">
        <f t="array" ref="E824">IF(D824:D4865="","",IFERROR(_xlfn.XLOOKUP(D824:D4865,'参照_勢力'!A:A,'参照_勢力'!B:B),IFERROR(_xlfn.XLOOKUP(F824:F4865,kunishuClan!A:A,kunishuClan!B:B),"浪人")))</f>
      </c>
      <c r="F824" s="4">
        <v>0</v>
      </c>
      <c r="G824" s="4">
        <v>28</v>
      </c>
      <c r="H824" s="12" t="str">
        <f t="array" ref="H824">IF(G824:G4865="","",_xlfn.XLOOKUP(G824:G4865,castles_state!A:A,castles_state!D:D,"見つかりません"))</f>
      </c>
      <c r="I824" s="4"/>
      <c r="J824" s="12" t="str">
        <f t="array" ref="J824">IF(I824:I4865="","",_xlfn.XLOOKUP(I824:I4865,'参照_姫'!A:A,'参照_姫'!B:B,"見つかりません"))</f>
      </c>
      <c r="K824" s="4">
        <v>90</v>
      </c>
      <c r="L824" s="4">
        <v>0</v>
      </c>
      <c r="M824" s="4"/>
      <c r="N824" s="4"/>
      <c r="O824" s="4"/>
      <c r="P824" s="12" t="str">
        <f t="array" ref="P824">IF(O824:O4865="","",_xlfn.XLOOKUP(O824:O4865,'参照_官位'!A:A,'参照_官位'!B:B,""))</f>
      </c>
      <c r="Q824" s="12" t="str">
        <f t="array" ref="Q824">IF(A824:A4865="","",IFERROR(_xlfn.XLOOKUP(A824:A4865,castles_state!K:K,castles_state!D:D)&amp;"主",IFERROR(_xlfn.XLOOKUP(A824:A4865,kunishuClan!D:D,kunishuClan!B:B)&amp;"当主","")))</f>
      </c>
    </row>
    <row r="825" ht="15.75" customHeight="1">
      <c r="A825" s="4">
        <v>1015042</v>
      </c>
      <c r="B825" s="12" t="str">
        <f t="array" ref="B825">IF(A825:A4866="","",_xlfn.XLOOKUP(A825:A4866,'参照_武将'!A:A,'参照_武将'!B:B,"見つかりません"))</f>
      </c>
      <c r="C825" s="4" t="s">
        <v>150</v>
      </c>
      <c r="D825" s="4">
        <v>15</v>
      </c>
      <c r="E825" s="12" t="str">
        <f t="array" ref="E825">IF(D825:D4866="","",IFERROR(_xlfn.XLOOKUP(D825:D4866,'参照_勢力'!A:A,'参照_勢力'!B:B),IFERROR(_xlfn.XLOOKUP(F825:F4866,kunishuClan!A:A,kunishuClan!B:B),"浪人")))</f>
      </c>
      <c r="F825" s="4">
        <v>0</v>
      </c>
      <c r="G825" s="4">
        <v>28</v>
      </c>
      <c r="H825" s="12" t="str">
        <f t="array" ref="H825">IF(G825:G4866="","",_xlfn.XLOOKUP(G825:G4866,castles_state!A:A,castles_state!D:D,"見つかりません"))</f>
      </c>
      <c r="I825" s="4"/>
      <c r="J825" s="12" t="str">
        <f t="array" ref="J825">IF(I825:I4866="","",_xlfn.XLOOKUP(I825:I4866,'参照_姫'!A:A,'参照_姫'!B:B,"見つかりません"))</f>
      </c>
      <c r="K825" s="4">
        <v>90</v>
      </c>
      <c r="L825" s="4">
        <v>0</v>
      </c>
      <c r="M825" s="4"/>
      <c r="N825" s="4"/>
      <c r="O825" s="4"/>
      <c r="P825" s="12" t="str">
        <f t="array" ref="P825">IF(O825:O4866="","",_xlfn.XLOOKUP(O825:O4866,'参照_官位'!A:A,'参照_官位'!B:B,""))</f>
      </c>
      <c r="Q825" s="12" t="str">
        <f t="array" ref="Q825">IF(A825:A4866="","",IFERROR(_xlfn.XLOOKUP(A825:A4866,castles_state!K:K,castles_state!D:D)&amp;"主",IFERROR(_xlfn.XLOOKUP(A825:A4866,kunishuClan!D:D,kunishuClan!B:B)&amp;"当主","")))</f>
      </c>
    </row>
    <row r="826" ht="15.75" customHeight="1">
      <c r="A826" s="4">
        <v>1015043</v>
      </c>
      <c r="B826" s="12" t="str">
        <f t="array" ref="B826">IF(A826:A4867="","",_xlfn.XLOOKUP(A826:A4867,'参照_武将'!A:A,'参照_武将'!B:B,"見つかりません"))</f>
      </c>
      <c r="C826" s="4" t="s">
        <v>150</v>
      </c>
      <c r="D826" s="4">
        <v>15</v>
      </c>
      <c r="E826" s="12" t="str">
        <f t="array" ref="E826">IF(D826:D4867="","",IFERROR(_xlfn.XLOOKUP(D826:D4867,'参照_勢力'!A:A,'参照_勢力'!B:B),IFERROR(_xlfn.XLOOKUP(F826:F4867,kunishuClan!A:A,kunishuClan!B:B),"浪人")))</f>
      </c>
      <c r="F826" s="4">
        <v>0</v>
      </c>
      <c r="G826" s="4">
        <v>28</v>
      </c>
      <c r="H826" s="12" t="str">
        <f t="array" ref="H826">IF(G826:G4867="","",_xlfn.XLOOKUP(G826:G4867,castles_state!A:A,castles_state!D:D,"見つかりません"))</f>
      </c>
      <c r="I826" s="4"/>
      <c r="J826" s="12" t="str">
        <f t="array" ref="J826">IF(I826:I4867="","",_xlfn.XLOOKUP(I826:I4867,'参照_姫'!A:A,'参照_姫'!B:B,"見つかりません"))</f>
      </c>
      <c r="K826" s="4">
        <v>90</v>
      </c>
      <c r="L826" s="4">
        <v>0</v>
      </c>
      <c r="M826" s="4"/>
      <c r="N826" s="4"/>
      <c r="O826" s="4"/>
      <c r="P826" s="12" t="str">
        <f t="array" ref="P826">IF(O826:O4867="","",_xlfn.XLOOKUP(O826:O4867,'参照_官位'!A:A,'参照_官位'!B:B,""))</f>
      </c>
      <c r="Q826" s="12" t="str">
        <f t="array" ref="Q826">IF(A826:A4867="","",IFERROR(_xlfn.XLOOKUP(A826:A4867,castles_state!K:K,castles_state!D:D)&amp;"主",IFERROR(_xlfn.XLOOKUP(A826:A4867,kunishuClan!D:D,kunishuClan!B:B)&amp;"当主","")))</f>
      </c>
    </row>
    <row r="827" ht="15.75" customHeight="1">
      <c r="A827" s="4">
        <v>1015044</v>
      </c>
      <c r="B827" s="12" t="str">
        <f t="array" ref="B827">IF(A827:A4868="","",_xlfn.XLOOKUP(A827:A4868,'参照_武将'!A:A,'参照_武将'!B:B,"見つかりません"))</f>
      </c>
      <c r="C827" s="4" t="s">
        <v>150</v>
      </c>
      <c r="D827" s="4">
        <v>15</v>
      </c>
      <c r="E827" s="12" t="str">
        <f t="array" ref="E827">IF(D827:D4868="","",IFERROR(_xlfn.XLOOKUP(D827:D4868,'参照_勢力'!A:A,'参照_勢力'!B:B),IFERROR(_xlfn.XLOOKUP(F827:F4868,kunishuClan!A:A,kunishuClan!B:B),"浪人")))</f>
      </c>
      <c r="F827" s="4">
        <v>0</v>
      </c>
      <c r="G827" s="4">
        <v>28</v>
      </c>
      <c r="H827" s="12" t="str">
        <f t="array" ref="H827">IF(G827:G4868="","",_xlfn.XLOOKUP(G827:G4868,castles_state!A:A,castles_state!D:D,"見つかりません"))</f>
      </c>
      <c r="I827" s="4"/>
      <c r="J827" s="12" t="str">
        <f t="array" ref="J827">IF(I827:I4868="","",_xlfn.XLOOKUP(I827:I4868,'参照_姫'!A:A,'参照_姫'!B:B,"見つかりません"))</f>
      </c>
      <c r="K827" s="4">
        <v>90</v>
      </c>
      <c r="L827" s="4">
        <v>0</v>
      </c>
      <c r="M827" s="4"/>
      <c r="N827" s="4"/>
      <c r="O827" s="4"/>
      <c r="P827" s="12" t="str">
        <f t="array" ref="P827">IF(O827:O4868="","",_xlfn.XLOOKUP(O827:O4868,'参照_官位'!A:A,'参照_官位'!B:B,""))</f>
      </c>
      <c r="Q827" s="12" t="str">
        <f t="array" ref="Q827">IF(A827:A4868="","",IFERROR(_xlfn.XLOOKUP(A827:A4868,castles_state!K:K,castles_state!D:D)&amp;"主",IFERROR(_xlfn.XLOOKUP(A827:A4868,kunishuClan!D:D,kunishuClan!B:B)&amp;"当主","")))</f>
      </c>
    </row>
    <row r="828" ht="15.75" customHeight="1">
      <c r="A828" s="4">
        <v>1015045</v>
      </c>
      <c r="B828" s="12" t="str">
        <f t="array" ref="B828">IF(A828:A4869="","",_xlfn.XLOOKUP(A828:A4869,'参照_武将'!A:A,'参照_武将'!B:B,"見つかりません"))</f>
      </c>
      <c r="C828" s="4" t="s">
        <v>150</v>
      </c>
      <c r="D828" s="4">
        <v>15</v>
      </c>
      <c r="E828" s="12" t="str">
        <f t="array" ref="E828">IF(D828:D4869="","",IFERROR(_xlfn.XLOOKUP(D828:D4869,'参照_勢力'!A:A,'参照_勢力'!B:B),IFERROR(_xlfn.XLOOKUP(F828:F4869,kunishuClan!A:A,kunishuClan!B:B),"浪人")))</f>
      </c>
      <c r="F828" s="4">
        <v>0</v>
      </c>
      <c r="G828" s="4">
        <v>28</v>
      </c>
      <c r="H828" s="12" t="str">
        <f t="array" ref="H828">IF(G828:G4869="","",_xlfn.XLOOKUP(G828:G4869,castles_state!A:A,castles_state!D:D,"見つかりません"))</f>
      </c>
      <c r="I828" s="4"/>
      <c r="J828" s="12" t="str">
        <f t="array" ref="J828">IF(I828:I4869="","",_xlfn.XLOOKUP(I828:I4869,'参照_姫'!A:A,'参照_姫'!B:B,"見つかりません"))</f>
      </c>
      <c r="K828" s="4">
        <v>90</v>
      </c>
      <c r="L828" s="4">
        <v>0</v>
      </c>
      <c r="M828" s="4"/>
      <c r="N828" s="4"/>
      <c r="O828" s="4"/>
      <c r="P828" s="12" t="str">
        <f t="array" ref="P828">IF(O828:O4869="","",_xlfn.XLOOKUP(O828:O4869,'参照_官位'!A:A,'参照_官位'!B:B,""))</f>
      </c>
      <c r="Q828" s="12" t="str">
        <f t="array" ref="Q828">IF(A828:A4869="","",IFERROR(_xlfn.XLOOKUP(A828:A4869,castles_state!K:K,castles_state!D:D)&amp;"主",IFERROR(_xlfn.XLOOKUP(A828:A4869,kunishuClan!D:D,kunishuClan!B:B)&amp;"当主","")))</f>
      </c>
    </row>
    <row r="829" ht="15.75" customHeight="1">
      <c r="A829" s="4">
        <v>1015046</v>
      </c>
      <c r="B829" s="12" t="str">
        <f t="array" ref="B829">IF(A829:A4870="","",_xlfn.XLOOKUP(A829:A4870,'参照_武将'!A:A,'参照_武将'!B:B,"見つかりません"))</f>
      </c>
      <c r="C829" s="4" t="s">
        <v>150</v>
      </c>
      <c r="D829" s="4">
        <v>15</v>
      </c>
      <c r="E829" s="12" t="str">
        <f t="array" ref="E829">IF(D829:D4870="","",IFERROR(_xlfn.XLOOKUP(D829:D4870,'参照_勢力'!A:A,'参照_勢力'!B:B),IFERROR(_xlfn.XLOOKUP(F829:F4870,kunishuClan!A:A,kunishuClan!B:B),"浪人")))</f>
      </c>
      <c r="F829" s="4">
        <v>0</v>
      </c>
      <c r="G829" s="4">
        <v>23</v>
      </c>
      <c r="H829" s="12" t="str">
        <f t="array" ref="H829">IF(G829:G4870="","",_xlfn.XLOOKUP(G829:G4870,castles_state!A:A,castles_state!D:D,"見つかりません"))</f>
      </c>
      <c r="I829" s="4"/>
      <c r="J829" s="12" t="str">
        <f t="array" ref="J829">IF(I829:I4870="","",_xlfn.XLOOKUP(I829:I4870,'参照_姫'!A:A,'参照_姫'!B:B,"見つかりません"))</f>
      </c>
      <c r="K829" s="4">
        <v>90</v>
      </c>
      <c r="L829" s="4">
        <v>0</v>
      </c>
      <c r="M829" s="4"/>
      <c r="N829" s="4"/>
      <c r="O829" s="4"/>
      <c r="P829" s="12" t="str">
        <f t="array" ref="P829">IF(O829:O4870="","",_xlfn.XLOOKUP(O829:O4870,'参照_官位'!A:A,'参照_官位'!B:B,""))</f>
      </c>
      <c r="Q829" s="12" t="str">
        <f t="array" ref="Q829">IF(A829:A4870="","",IFERROR(_xlfn.XLOOKUP(A829:A4870,castles_state!K:K,castles_state!D:D)&amp;"主",IFERROR(_xlfn.XLOOKUP(A829:A4870,kunishuClan!D:D,kunishuClan!B:B)&amp;"当主","")))</f>
      </c>
    </row>
    <row r="830" ht="15.75" customHeight="1">
      <c r="A830" s="4">
        <v>1015047</v>
      </c>
      <c r="B830" s="12" t="str">
        <f t="array" ref="B830">IF(A830:A4871="","",_xlfn.XLOOKUP(A830:A4871,'参照_武将'!A:A,'参照_武将'!B:B,"見つかりません"))</f>
      </c>
      <c r="C830" s="4" t="s">
        <v>150</v>
      </c>
      <c r="D830" s="4">
        <v>15</v>
      </c>
      <c r="E830" s="12" t="str">
        <f t="array" ref="E830">IF(D830:D4871="","",IFERROR(_xlfn.XLOOKUP(D830:D4871,'参照_勢力'!A:A,'参照_勢力'!B:B),IFERROR(_xlfn.XLOOKUP(F830:F4871,kunishuClan!A:A,kunishuClan!B:B),"浪人")))</f>
      </c>
      <c r="F830" s="4">
        <v>0</v>
      </c>
      <c r="G830" s="4">
        <v>23</v>
      </c>
      <c r="H830" s="12" t="str">
        <f t="array" ref="H830">IF(G830:G4871="","",_xlfn.XLOOKUP(G830:G4871,castles_state!A:A,castles_state!D:D,"見つかりません"))</f>
      </c>
      <c r="I830" s="4"/>
      <c r="J830" s="12" t="str">
        <f t="array" ref="J830">IF(I830:I4871="","",_xlfn.XLOOKUP(I830:I4871,'参照_姫'!A:A,'参照_姫'!B:B,"見つかりません"))</f>
      </c>
      <c r="K830" s="4">
        <v>90</v>
      </c>
      <c r="L830" s="4">
        <v>0</v>
      </c>
      <c r="M830" s="4"/>
      <c r="N830" s="4"/>
      <c r="O830" s="4"/>
      <c r="P830" s="12" t="str">
        <f t="array" ref="P830">IF(O830:O4871="","",_xlfn.XLOOKUP(O830:O4871,'参照_官位'!A:A,'参照_官位'!B:B,""))</f>
      </c>
      <c r="Q830" s="12" t="str">
        <f t="array" ref="Q830">IF(A830:A4871="","",IFERROR(_xlfn.XLOOKUP(A830:A4871,castles_state!K:K,castles_state!D:D)&amp;"主",IFERROR(_xlfn.XLOOKUP(A830:A4871,kunishuClan!D:D,kunishuClan!B:B)&amp;"当主","")))</f>
      </c>
    </row>
    <row r="831" ht="15.75" customHeight="1">
      <c r="A831" s="4">
        <v>1015048</v>
      </c>
      <c r="B831" s="12" t="str">
        <f t="array" ref="B831">IF(A831:A4872="","",_xlfn.XLOOKUP(A831:A4872,'参照_武将'!A:A,'参照_武将'!B:B,"見つかりません"))</f>
      </c>
      <c r="C831" s="4" t="s">
        <v>150</v>
      </c>
      <c r="D831" s="4">
        <v>15</v>
      </c>
      <c r="E831" s="12" t="str">
        <f t="array" ref="E831">IF(D831:D4872="","",IFERROR(_xlfn.XLOOKUP(D831:D4872,'参照_勢力'!A:A,'参照_勢力'!B:B),IFERROR(_xlfn.XLOOKUP(F831:F4872,kunishuClan!A:A,kunishuClan!B:B),"浪人")))</f>
      </c>
      <c r="F831" s="4">
        <v>0</v>
      </c>
      <c r="G831" s="4">
        <v>23</v>
      </c>
      <c r="H831" s="12" t="str">
        <f t="array" ref="H831">IF(G831:G4872="","",_xlfn.XLOOKUP(G831:G4872,castles_state!A:A,castles_state!D:D,"見つかりません"))</f>
      </c>
      <c r="I831" s="4"/>
      <c r="J831" s="12" t="str">
        <f t="array" ref="J831">IF(I831:I4872="","",_xlfn.XLOOKUP(I831:I4872,'参照_姫'!A:A,'参照_姫'!B:B,"見つかりません"))</f>
      </c>
      <c r="K831" s="4">
        <v>90</v>
      </c>
      <c r="L831" s="4">
        <v>0</v>
      </c>
      <c r="M831" s="4"/>
      <c r="N831" s="4"/>
      <c r="O831" s="4"/>
      <c r="P831" s="12" t="str">
        <f t="array" ref="P831">IF(O831:O4872="","",_xlfn.XLOOKUP(O831:O4872,'参照_官位'!A:A,'参照_官位'!B:B,""))</f>
      </c>
      <c r="Q831" s="12" t="str">
        <f t="array" ref="Q831">IF(A831:A4872="","",IFERROR(_xlfn.XLOOKUP(A831:A4872,castles_state!K:K,castles_state!D:D)&amp;"主",IFERROR(_xlfn.XLOOKUP(A831:A4872,kunishuClan!D:D,kunishuClan!B:B)&amp;"当主","")))</f>
      </c>
    </row>
    <row r="832" ht="15.75" customHeight="1">
      <c r="A832" s="4">
        <v>1015049</v>
      </c>
      <c r="B832" s="12" t="str">
        <f t="array" ref="B832">IF(A832:A4873="","",_xlfn.XLOOKUP(A832:A4873,'参照_武将'!A:A,'参照_武将'!B:B,"見つかりません"))</f>
      </c>
      <c r="C832" s="4" t="s">
        <v>150</v>
      </c>
      <c r="D832" s="4">
        <v>15</v>
      </c>
      <c r="E832" s="12" t="str">
        <f t="array" ref="E832">IF(D832:D4873="","",IFERROR(_xlfn.XLOOKUP(D832:D4873,'参照_勢力'!A:A,'参照_勢力'!B:B),IFERROR(_xlfn.XLOOKUP(F832:F4873,kunishuClan!A:A,kunishuClan!B:B),"浪人")))</f>
      </c>
      <c r="F832" s="4">
        <v>0</v>
      </c>
      <c r="G832" s="4">
        <v>23</v>
      </c>
      <c r="H832" s="12" t="str">
        <f t="array" ref="H832">IF(G832:G4873="","",_xlfn.XLOOKUP(G832:G4873,castles_state!A:A,castles_state!D:D,"見つかりません"))</f>
      </c>
      <c r="I832" s="4"/>
      <c r="J832" s="12" t="str">
        <f t="array" ref="J832">IF(I832:I4873="","",_xlfn.XLOOKUP(I832:I4873,'参照_姫'!A:A,'参照_姫'!B:B,"見つかりません"))</f>
      </c>
      <c r="K832" s="4">
        <v>90</v>
      </c>
      <c r="L832" s="4">
        <v>0</v>
      </c>
      <c r="M832" s="4"/>
      <c r="N832" s="4"/>
      <c r="O832" s="4"/>
      <c r="P832" s="12" t="str">
        <f t="array" ref="P832">IF(O832:O4873="","",_xlfn.XLOOKUP(O832:O4873,'参照_官位'!A:A,'参照_官位'!B:B,""))</f>
      </c>
      <c r="Q832" s="12" t="str">
        <f t="array" ref="Q832">IF(A832:A4873="","",IFERROR(_xlfn.XLOOKUP(A832:A4873,castles_state!K:K,castles_state!D:D)&amp;"主",IFERROR(_xlfn.XLOOKUP(A832:A4873,kunishuClan!D:D,kunishuClan!B:B)&amp;"当主","")))</f>
      </c>
    </row>
    <row r="833" ht="15.75" customHeight="1">
      <c r="A833" s="4">
        <v>1015050</v>
      </c>
      <c r="B833" s="12" t="str">
        <f t="array" ref="B833">IF(A833:A4874="","",_xlfn.XLOOKUP(A833:A4874,'参照_武将'!A:A,'参照_武将'!B:B,"見つかりません"))</f>
      </c>
      <c r="C833" s="4" t="s">
        <v>150</v>
      </c>
      <c r="D833" s="4">
        <v>15</v>
      </c>
      <c r="E833" s="12" t="str">
        <f t="array" ref="E833">IF(D833:D4874="","",IFERROR(_xlfn.XLOOKUP(D833:D4874,'参照_勢力'!A:A,'参照_勢力'!B:B),IFERROR(_xlfn.XLOOKUP(F833:F4874,kunishuClan!A:A,kunishuClan!B:B),"浪人")))</f>
      </c>
      <c r="F833" s="4">
        <v>0</v>
      </c>
      <c r="G833" s="4">
        <v>23</v>
      </c>
      <c r="H833" s="12" t="str">
        <f t="array" ref="H833">IF(G833:G4874="","",_xlfn.XLOOKUP(G833:G4874,castles_state!A:A,castles_state!D:D,"見つかりません"))</f>
      </c>
      <c r="I833" s="4"/>
      <c r="J833" s="12" t="str">
        <f t="array" ref="J833">IF(I833:I4874="","",_xlfn.XLOOKUP(I833:I4874,'参照_姫'!A:A,'参照_姫'!B:B,"見つかりません"))</f>
      </c>
      <c r="K833" s="4">
        <v>90</v>
      </c>
      <c r="L833" s="4">
        <v>0</v>
      </c>
      <c r="M833" s="4"/>
      <c r="N833" s="4"/>
      <c r="O833" s="4"/>
      <c r="P833" s="12" t="str">
        <f t="array" ref="P833">IF(O833:O4874="","",_xlfn.XLOOKUP(O833:O4874,'参照_官位'!A:A,'参照_官位'!B:B,""))</f>
      </c>
      <c r="Q833" s="12" t="str">
        <f t="array" ref="Q833">IF(A833:A4874="","",IFERROR(_xlfn.XLOOKUP(A833:A4874,castles_state!K:K,castles_state!D:D)&amp;"主",IFERROR(_xlfn.XLOOKUP(A833:A4874,kunishuClan!D:D,kunishuClan!B:B)&amp;"当主","")))</f>
      </c>
    </row>
    <row r="834" ht="15.75" customHeight="1">
      <c r="A834" s="4">
        <v>1015051</v>
      </c>
      <c r="B834" s="12" t="str">
        <f t="array" ref="B834">IF(A834:A4875="","",_xlfn.XLOOKUP(A834:A4875,'参照_武将'!A:A,'参照_武将'!B:B,"見つかりません"))</f>
      </c>
      <c r="C834" s="4" t="s">
        <v>150</v>
      </c>
      <c r="D834" s="4">
        <v>15</v>
      </c>
      <c r="E834" s="12" t="str">
        <f t="array" ref="E834">IF(D834:D4875="","",IFERROR(_xlfn.XLOOKUP(D834:D4875,'参照_勢力'!A:A,'参照_勢力'!B:B),IFERROR(_xlfn.XLOOKUP(F834:F4875,kunishuClan!A:A,kunishuClan!B:B),"浪人")))</f>
      </c>
      <c r="F834" s="4">
        <v>0</v>
      </c>
      <c r="G834" s="4">
        <v>28</v>
      </c>
      <c r="H834" s="12" t="str">
        <f t="array" ref="H834">IF(G834:G4875="","",_xlfn.XLOOKUP(G834:G4875,castles_state!A:A,castles_state!D:D,"見つかりません"))</f>
      </c>
      <c r="I834" s="4"/>
      <c r="J834" s="12" t="str">
        <f t="array" ref="J834">IF(I834:I4875="","",_xlfn.XLOOKUP(I834:I4875,'参照_姫'!A:A,'参照_姫'!B:B,"見つかりません"))</f>
      </c>
      <c r="K834" s="4">
        <v>85</v>
      </c>
      <c r="L834" s="4">
        <v>0</v>
      </c>
      <c r="M834" s="4"/>
      <c r="N834" s="4"/>
      <c r="O834" s="4"/>
      <c r="P834" s="12" t="str">
        <f t="array" ref="P834">IF(O834:O4875="","",_xlfn.XLOOKUP(O834:O4875,'参照_官位'!A:A,'参照_官位'!B:B,""))</f>
      </c>
      <c r="Q834" s="12" t="str">
        <f t="array" ref="Q834">IF(A834:A4875="","",IFERROR(_xlfn.XLOOKUP(A834:A4875,castles_state!K:K,castles_state!D:D)&amp;"主",IFERROR(_xlfn.XLOOKUP(A834:A4875,kunishuClan!D:D,kunishuClan!B:B)&amp;"当主","")))</f>
      </c>
    </row>
    <row r="835" ht="15.75" customHeight="1">
      <c r="A835" s="4">
        <v>1015052</v>
      </c>
      <c r="B835" s="12" t="str">
        <f t="array" ref="B835">IF(A835:A4876="","",_xlfn.XLOOKUP(A835:A4876,'参照_武将'!A:A,'参照_武将'!B:B,"見つかりません"))</f>
      </c>
      <c r="C835" s="4" t="s">
        <v>150</v>
      </c>
      <c r="D835" s="4">
        <v>15</v>
      </c>
      <c r="E835" s="12" t="str">
        <f t="array" ref="E835">IF(D835:D4876="","",IFERROR(_xlfn.XLOOKUP(D835:D4876,'参照_勢力'!A:A,'参照_勢力'!B:B),IFERROR(_xlfn.XLOOKUP(F835:F4876,kunishuClan!A:A,kunishuClan!B:B),"浪人")))</f>
      </c>
      <c r="F835" s="4">
        <v>0</v>
      </c>
      <c r="G835" s="4">
        <v>186</v>
      </c>
      <c r="H835" s="12" t="str">
        <f t="array" ref="H835">IF(G835:G4876="","",_xlfn.XLOOKUP(G835:G4876,castles_state!A:A,castles_state!D:D,"見つかりません"))</f>
      </c>
      <c r="I835" s="4"/>
      <c r="J835" s="12" t="str">
        <f t="array" ref="J835">IF(I835:I4876="","",_xlfn.XLOOKUP(I835:I4876,'参照_姫'!A:A,'参照_姫'!B:B,"見つかりません"))</f>
      </c>
      <c r="K835" s="4">
        <v>85</v>
      </c>
      <c r="L835" s="4">
        <v>500</v>
      </c>
      <c r="M835" s="4"/>
      <c r="N835" s="4"/>
      <c r="O835" s="4"/>
      <c r="P835" s="12" t="str">
        <f t="array" ref="P835">IF(O835:O4876="","",_xlfn.XLOOKUP(O835:O4876,'参照_官位'!A:A,'参照_官位'!B:B,""))</f>
      </c>
      <c r="Q835" s="12" t="str">
        <f t="array" ref="Q835">IF(A835:A4876="","",IFERROR(_xlfn.XLOOKUP(A835:A4876,castles_state!K:K,castles_state!D:D)&amp;"主",IFERROR(_xlfn.XLOOKUP(A835:A4876,kunishuClan!D:D,kunishuClan!B:B)&amp;"当主","")))</f>
      </c>
    </row>
    <row r="836" ht="15.75" customHeight="1">
      <c r="A836" s="4">
        <v>1015053</v>
      </c>
      <c r="B836" s="12" t="str">
        <f t="array" ref="B836">IF(A836:A4877="","",_xlfn.XLOOKUP(A836:A4877,'参照_武将'!A:A,'参照_武将'!B:B,"見つかりません"))</f>
      </c>
      <c r="C836" s="4" t="s">
        <v>150</v>
      </c>
      <c r="D836" s="4">
        <v>15</v>
      </c>
      <c r="E836" s="12" t="str">
        <f t="array" ref="E836">IF(D836:D4877="","",IFERROR(_xlfn.XLOOKUP(D836:D4877,'参照_勢力'!A:A,'参照_勢力'!B:B),IFERROR(_xlfn.XLOOKUP(F836:F4877,kunishuClan!A:A,kunishuClan!B:B),"浪人")))</f>
      </c>
      <c r="F836" s="4">
        <v>0</v>
      </c>
      <c r="G836" s="4">
        <v>186</v>
      </c>
      <c r="H836" s="12" t="str">
        <f t="array" ref="H836">IF(G836:G4877="","",_xlfn.XLOOKUP(G836:G4877,castles_state!A:A,castles_state!D:D,"見つかりません"))</f>
      </c>
      <c r="I836" s="4"/>
      <c r="J836" s="12" t="str">
        <f t="array" ref="J836">IF(I836:I4877="","",_xlfn.XLOOKUP(I836:I4877,'参照_姫'!A:A,'参照_姫'!B:B,"見つかりません"))</f>
      </c>
      <c r="K836" s="4">
        <v>95</v>
      </c>
      <c r="L836" s="4">
        <v>200</v>
      </c>
      <c r="M836" s="4"/>
      <c r="N836" s="4"/>
      <c r="O836" s="4"/>
      <c r="P836" s="12" t="str">
        <f t="array" ref="P836">IF(O836:O4877="","",_xlfn.XLOOKUP(O836:O4877,'参照_官位'!A:A,'参照_官位'!B:B,""))</f>
      </c>
      <c r="Q836" s="12" t="str">
        <f t="array" ref="Q836">IF(A836:A4877="","",IFERROR(_xlfn.XLOOKUP(A836:A4877,castles_state!K:K,castles_state!D:D)&amp;"主",IFERROR(_xlfn.XLOOKUP(A836:A4877,kunishuClan!D:D,kunishuClan!B:B)&amp;"当主","")))</f>
      </c>
    </row>
    <row r="837" ht="15.75" customHeight="1">
      <c r="A837" s="4">
        <v>1015054</v>
      </c>
      <c r="B837" s="12" t="str">
        <f t="array" ref="B837">IF(A837:A4878="","",_xlfn.XLOOKUP(A837:A4878,'参照_武将'!A:A,'参照_武将'!B:B,"見つかりません"))</f>
      </c>
      <c r="C837" s="4" t="s">
        <v>150</v>
      </c>
      <c r="D837" s="4">
        <v>15</v>
      </c>
      <c r="E837" s="12" t="str">
        <f t="array" ref="E837">IF(D837:D4878="","",IFERROR(_xlfn.XLOOKUP(D837:D4878,'参照_勢力'!A:A,'参照_勢力'!B:B),IFERROR(_xlfn.XLOOKUP(F837:F4878,kunishuClan!A:A,kunishuClan!B:B),"浪人")))</f>
      </c>
      <c r="F837" s="4">
        <v>0</v>
      </c>
      <c r="G837" s="4">
        <v>186</v>
      </c>
      <c r="H837" s="12" t="str">
        <f t="array" ref="H837">IF(G837:G4878="","",_xlfn.XLOOKUP(G837:G4878,castles_state!A:A,castles_state!D:D,"見つかりません"))</f>
      </c>
      <c r="I837" s="4"/>
      <c r="J837" s="12" t="str">
        <f t="array" ref="J837">IF(I837:I4878="","",_xlfn.XLOOKUP(I837:I4878,'参照_姫'!A:A,'参照_姫'!B:B,"見つかりません"))</f>
      </c>
      <c r="K837" s="4">
        <v>85</v>
      </c>
      <c r="L837" s="4">
        <v>0</v>
      </c>
      <c r="M837" s="4"/>
      <c r="N837" s="4"/>
      <c r="O837" s="4"/>
      <c r="P837" s="12" t="str">
        <f t="array" ref="P837">IF(O837:O4878="","",_xlfn.XLOOKUP(O837:O4878,'参照_官位'!A:A,'参照_官位'!B:B,""))</f>
      </c>
      <c r="Q837" s="12" t="str">
        <f t="array" ref="Q837">IF(A837:A4878="","",IFERROR(_xlfn.XLOOKUP(A837:A4878,castles_state!K:K,castles_state!D:D)&amp;"主",IFERROR(_xlfn.XLOOKUP(A837:A4878,kunishuClan!D:D,kunishuClan!B:B)&amp;"当主","")))</f>
      </c>
    </row>
    <row r="838" ht="15.75" customHeight="1">
      <c r="A838" s="4">
        <v>1015055</v>
      </c>
      <c r="B838" s="12" t="str">
        <f t="array" ref="B838">IF(A838:A4879="","",_xlfn.XLOOKUP(A838:A4879,'参照_武将'!A:A,'参照_武将'!B:B,"見つかりません"))</f>
      </c>
      <c r="C838" s="4" t="s">
        <v>150</v>
      </c>
      <c r="D838" s="4">
        <v>15</v>
      </c>
      <c r="E838" s="12" t="str">
        <f t="array" ref="E838">IF(D838:D4879="","",IFERROR(_xlfn.XLOOKUP(D838:D4879,'参照_勢力'!A:A,'参照_勢力'!B:B),IFERROR(_xlfn.XLOOKUP(F838:F4879,kunishuClan!A:A,kunishuClan!B:B),"浪人")))</f>
      </c>
      <c r="F838" s="4">
        <v>0</v>
      </c>
      <c r="G838" s="4">
        <v>186</v>
      </c>
      <c r="H838" s="12" t="str">
        <f t="array" ref="H838">IF(G838:G4879="","",_xlfn.XLOOKUP(G838:G4879,castles_state!A:A,castles_state!D:D,"見つかりません"))</f>
      </c>
      <c r="I838" s="4"/>
      <c r="J838" s="12" t="str">
        <f t="array" ref="J838">IF(I838:I4879="","",_xlfn.XLOOKUP(I838:I4879,'参照_姫'!A:A,'参照_姫'!B:B,"見つかりません"))</f>
      </c>
      <c r="K838" s="4">
        <v>85</v>
      </c>
      <c r="L838" s="4">
        <v>0</v>
      </c>
      <c r="M838" s="4"/>
      <c r="N838" s="4"/>
      <c r="O838" s="4"/>
      <c r="P838" s="12" t="str">
        <f t="array" ref="P838">IF(O838:O4879="","",_xlfn.XLOOKUP(O838:O4879,'参照_官位'!A:A,'参照_官位'!B:B,""))</f>
      </c>
      <c r="Q838" s="12" t="str">
        <f t="array" ref="Q838">IF(A838:A4879="","",IFERROR(_xlfn.XLOOKUP(A838:A4879,castles_state!K:K,castles_state!D:D)&amp;"主",IFERROR(_xlfn.XLOOKUP(A838:A4879,kunishuClan!D:D,kunishuClan!B:B)&amp;"当主","")))</f>
      </c>
    </row>
    <row r="839" ht="15.75" customHeight="1">
      <c r="A839" s="4">
        <v>1015056</v>
      </c>
      <c r="B839" s="12" t="str">
        <f t="array" ref="B839">IF(A839:A4880="","",_xlfn.XLOOKUP(A839:A4880,'参照_武将'!A:A,'参照_武将'!B:B,"見つかりません"))</f>
      </c>
      <c r="C839" s="4" t="s">
        <v>150</v>
      </c>
      <c r="D839" s="4">
        <v>15</v>
      </c>
      <c r="E839" s="12" t="str">
        <f t="array" ref="E839">IF(D839:D4880="","",IFERROR(_xlfn.XLOOKUP(D839:D4880,'参照_勢力'!A:A,'参照_勢力'!B:B),IFERROR(_xlfn.XLOOKUP(F839:F4880,kunishuClan!A:A,kunishuClan!B:B),"浪人")))</f>
      </c>
      <c r="F839" s="4">
        <v>0</v>
      </c>
      <c r="G839" s="4">
        <v>28</v>
      </c>
      <c r="H839" s="12" t="str">
        <f t="array" ref="H839">IF(G839:G4880="","",_xlfn.XLOOKUP(G839:G4880,castles_state!A:A,castles_state!D:D,"見つかりません"))</f>
      </c>
      <c r="I839" s="4"/>
      <c r="J839" s="12" t="str">
        <f t="array" ref="J839">IF(I839:I4880="","",_xlfn.XLOOKUP(I839:I4880,'参照_姫'!A:A,'参照_姫'!B:B,"見つかりません"))</f>
      </c>
      <c r="K839" s="4">
        <v>90</v>
      </c>
      <c r="L839" s="4">
        <v>0</v>
      </c>
      <c r="M839" s="4"/>
      <c r="N839" s="4"/>
      <c r="O839" s="4"/>
      <c r="P839" s="12" t="str">
        <f t="array" ref="P839">IF(O839:O4880="","",_xlfn.XLOOKUP(O839:O4880,'参照_官位'!A:A,'参照_官位'!B:B,""))</f>
      </c>
      <c r="Q839" s="12" t="str">
        <f t="array" ref="Q839">IF(A839:A4880="","",IFERROR(_xlfn.XLOOKUP(A839:A4880,castles_state!K:K,castles_state!D:D)&amp;"主",IFERROR(_xlfn.XLOOKUP(A839:A4880,kunishuClan!D:D,kunishuClan!B:B)&amp;"当主","")))</f>
      </c>
    </row>
    <row r="840" ht="15.75" customHeight="1">
      <c r="A840" s="4">
        <v>1015057</v>
      </c>
      <c r="B840" s="12" t="str">
        <f t="array" ref="B840">IF(A840:A4881="","",_xlfn.XLOOKUP(A840:A4881,'参照_武将'!A:A,'参照_武将'!B:B,"見つかりません"))</f>
      </c>
      <c r="C840" s="4" t="s">
        <v>150</v>
      </c>
      <c r="D840" s="4">
        <v>15</v>
      </c>
      <c r="E840" s="12" t="str">
        <f t="array" ref="E840">IF(D840:D4881="","",IFERROR(_xlfn.XLOOKUP(D840:D4881,'参照_勢力'!A:A,'参照_勢力'!B:B),IFERROR(_xlfn.XLOOKUP(F840:F4881,kunishuClan!A:A,kunishuClan!B:B),"浪人")))</f>
      </c>
      <c r="F840" s="4">
        <v>0</v>
      </c>
      <c r="G840" s="4">
        <v>28</v>
      </c>
      <c r="H840" s="12" t="str">
        <f t="array" ref="H840">IF(G840:G4881="","",_xlfn.XLOOKUP(G840:G4881,castles_state!A:A,castles_state!D:D,"見つかりません"))</f>
      </c>
      <c r="I840" s="4"/>
      <c r="J840" s="12" t="str">
        <f t="array" ref="J840">IF(I840:I4881="","",_xlfn.XLOOKUP(I840:I4881,'参照_姫'!A:A,'参照_姫'!B:B,"見つかりません"))</f>
      </c>
      <c r="K840" s="4">
        <v>90</v>
      </c>
      <c r="L840" s="4">
        <v>0</v>
      </c>
      <c r="M840" s="4"/>
      <c r="N840" s="4"/>
      <c r="O840" s="4"/>
      <c r="P840" s="12" t="str">
        <f t="array" ref="P840">IF(O840:O4881="","",_xlfn.XLOOKUP(O840:O4881,'参照_官位'!A:A,'参照_官位'!B:B,""))</f>
      </c>
      <c r="Q840" s="12" t="str">
        <f t="array" ref="Q840">IF(A840:A4881="","",IFERROR(_xlfn.XLOOKUP(A840:A4881,castles_state!K:K,castles_state!D:D)&amp;"主",IFERROR(_xlfn.XLOOKUP(A840:A4881,kunishuClan!D:D,kunishuClan!B:B)&amp;"当主","")))</f>
      </c>
    </row>
    <row r="841" ht="15.75" customHeight="1">
      <c r="A841" s="4">
        <v>1016001</v>
      </c>
      <c r="B841" s="12" t="str">
        <f t="array" ref="B841">IF(A841:A4882="","",_xlfn.XLOOKUP(A841:A4882,'参照_武将'!A:A,'参照_武将'!B:B,"見つかりません"))</f>
      </c>
      <c r="C841" s="4" t="s">
        <v>152</v>
      </c>
      <c r="D841" s="4">
        <v>16</v>
      </c>
      <c r="E841" s="12" t="str">
        <f t="array" ref="E841">IF(D841:D4882="","",IFERROR(_xlfn.XLOOKUP(D841:D4882,'参照_勢力'!A:A,'参照_勢力'!B:B),IFERROR(_xlfn.XLOOKUP(F841:F4882,kunishuClan!A:A,kunishuClan!B:B),"浪人")))</f>
      </c>
      <c r="F841" s="4">
        <v>0</v>
      </c>
      <c r="G841" s="4">
        <v>25</v>
      </c>
      <c r="H841" s="12" t="str">
        <f t="array" ref="H841">IF(G841:G4882="","",_xlfn.XLOOKUP(G841:G4882,castles_state!A:A,castles_state!D:D,"見つかりません"))</f>
      </c>
      <c r="I841" s="4"/>
      <c r="J841" s="12" t="str">
        <f t="array" ref="J841">IF(I841:I4882="","",_xlfn.XLOOKUP(I841:I4882,'参照_姫'!A:A,'参照_姫'!B:B,"見つかりません"))</f>
      </c>
      <c r="K841" s="4">
        <v>95</v>
      </c>
      <c r="L841" s="4">
        <v>0</v>
      </c>
      <c r="M841" s="4"/>
      <c r="N841" s="4"/>
      <c r="O841" s="4"/>
      <c r="P841" s="12" t="str">
        <f t="array" ref="P841">IF(O841:O4882="","",_xlfn.XLOOKUP(O841:O4882,'参照_官位'!A:A,'参照_官位'!B:B,""))</f>
      </c>
      <c r="Q841" s="12" t="str">
        <f t="array" ref="Q841">IF(A841:A4882="","",IFERROR(_xlfn.XLOOKUP(A841:A4882,castles_state!K:K,castles_state!D:D)&amp;"主",IFERROR(_xlfn.XLOOKUP(A841:A4882,kunishuClan!D:D,kunishuClan!B:B)&amp;"当主","")))</f>
      </c>
    </row>
    <row r="842" ht="15.75" customHeight="1">
      <c r="A842" s="4">
        <v>1016002</v>
      </c>
      <c r="B842" s="12" t="str">
        <f t="array" ref="B842">IF(A842:A4883="","",_xlfn.XLOOKUP(A842:A4883,'参照_武将'!A:A,'参照_武将'!B:B,"見つかりません"))</f>
      </c>
      <c r="C842" s="4" t="s">
        <v>5923</v>
      </c>
      <c r="D842" s="4">
        <v>16</v>
      </c>
      <c r="E842" s="12" t="str">
        <f t="array" ref="E842">IF(D842:D4883="","",IFERROR(_xlfn.XLOOKUP(D842:D4883,'参照_勢力'!A:A,'参照_勢力'!B:B),IFERROR(_xlfn.XLOOKUP(F842:F4883,kunishuClan!A:A,kunishuClan!B:B),"浪人")))</f>
      </c>
      <c r="F842" s="4">
        <v>0</v>
      </c>
      <c r="G842" s="4">
        <v>25</v>
      </c>
      <c r="H842" s="12" t="str">
        <f t="array" ref="H842">IF(G842:G4883="","",_xlfn.XLOOKUP(G842:G4883,castles_state!A:A,castles_state!D:D,"見つかりません"))</f>
      </c>
      <c r="I842" s="4"/>
      <c r="J842" s="12" t="str">
        <f t="array" ref="J842">IF(I842:I4883="","",_xlfn.XLOOKUP(I842:I4883,'参照_姫'!A:A,'参照_姫'!B:B,"見つかりません"))</f>
      </c>
      <c r="K842" s="4">
        <v>95</v>
      </c>
      <c r="L842" s="4">
        <v>0</v>
      </c>
      <c r="M842" s="4"/>
      <c r="N842" s="4"/>
      <c r="O842" s="4"/>
      <c r="P842" s="12" t="str">
        <f t="array" ref="P842">IF(O842:O4883="","",_xlfn.XLOOKUP(O842:O4883,'参照_官位'!A:A,'参照_官位'!B:B,""))</f>
      </c>
      <c r="Q842" s="12" t="str">
        <f t="array" ref="Q842">IF(A842:A4883="","",IFERROR(_xlfn.XLOOKUP(A842:A4883,castles_state!K:K,castles_state!D:D)&amp;"主",IFERROR(_xlfn.XLOOKUP(A842:A4883,kunishuClan!D:D,kunishuClan!B:B)&amp;"当主","")))</f>
      </c>
    </row>
    <row r="843" ht="15.75" customHeight="1">
      <c r="A843" s="4">
        <v>1016003</v>
      </c>
      <c r="B843" s="12" t="str">
        <f t="array" ref="B843">IF(A843:A4884="","",_xlfn.XLOOKUP(A843:A4884,'参照_武将'!A:A,'参照_武将'!B:B,"見つかりません"))</f>
      </c>
      <c r="C843" s="4" t="s">
        <v>5923</v>
      </c>
      <c r="D843" s="4">
        <v>16</v>
      </c>
      <c r="E843" s="12" t="str">
        <f t="array" ref="E843">IF(D843:D4884="","",IFERROR(_xlfn.XLOOKUP(D843:D4884,'参照_勢力'!A:A,'参照_勢力'!B:B),IFERROR(_xlfn.XLOOKUP(F843:F4884,kunishuClan!A:A,kunishuClan!B:B),"浪人")))</f>
      </c>
      <c r="F843" s="4">
        <v>0</v>
      </c>
      <c r="G843" s="4">
        <v>25</v>
      </c>
      <c r="H843" s="12" t="str">
        <f t="array" ref="H843">IF(G843:G4884="","",_xlfn.XLOOKUP(G843:G4884,castles_state!A:A,castles_state!D:D,"見つかりません"))</f>
      </c>
      <c r="I843" s="4"/>
      <c r="J843" s="12" t="str">
        <f t="array" ref="J843">IF(I843:I4884="","",_xlfn.XLOOKUP(I843:I4884,'参照_姫'!A:A,'参照_姫'!B:B,"見つかりません"))</f>
      </c>
      <c r="K843" s="4">
        <v>95</v>
      </c>
      <c r="L843" s="4">
        <v>0</v>
      </c>
      <c r="M843" s="4"/>
      <c r="N843" s="4"/>
      <c r="O843" s="4"/>
      <c r="P843" s="12" t="str">
        <f t="array" ref="P843">IF(O843:O4884="","",_xlfn.XLOOKUP(O843:O4884,'参照_官位'!A:A,'参照_官位'!B:B,""))</f>
      </c>
      <c r="Q843" s="12" t="str">
        <f t="array" ref="Q843">IF(A843:A4884="","",IFERROR(_xlfn.XLOOKUP(A843:A4884,castles_state!K:K,castles_state!D:D)&amp;"主",IFERROR(_xlfn.XLOOKUP(A843:A4884,kunishuClan!D:D,kunishuClan!B:B)&amp;"当主","")))</f>
      </c>
    </row>
    <row r="844" ht="15.75" customHeight="1">
      <c r="A844" s="4">
        <v>1016004</v>
      </c>
      <c r="B844" s="12" t="str">
        <f t="array" ref="B844">IF(A844:A4885="","",_xlfn.XLOOKUP(A844:A4885,'参照_武将'!A:A,'参照_武将'!B:B,"見つかりません"))</f>
      </c>
      <c r="C844" s="4" t="s">
        <v>5923</v>
      </c>
      <c r="D844" s="4">
        <v>16</v>
      </c>
      <c r="E844" s="12" t="str">
        <f t="array" ref="E844">IF(D844:D4885="","",IFERROR(_xlfn.XLOOKUP(D844:D4885,'参照_勢力'!A:A,'参照_勢力'!B:B),IFERROR(_xlfn.XLOOKUP(F844:F4885,kunishuClan!A:A,kunishuClan!B:B),"浪人")))</f>
      </c>
      <c r="F844" s="4">
        <v>0</v>
      </c>
      <c r="G844" s="4">
        <v>25</v>
      </c>
      <c r="H844" s="12" t="str">
        <f t="array" ref="H844">IF(G844:G4885="","",_xlfn.XLOOKUP(G844:G4885,castles_state!A:A,castles_state!D:D,"見つかりません"))</f>
      </c>
      <c r="I844" s="4"/>
      <c r="J844" s="12" t="str">
        <f t="array" ref="J844">IF(I844:I4885="","",_xlfn.XLOOKUP(I844:I4885,'参照_姫'!A:A,'参照_姫'!B:B,"見つかりません"))</f>
      </c>
      <c r="K844" s="4">
        <v>95</v>
      </c>
      <c r="L844" s="4">
        <v>0</v>
      </c>
      <c r="M844" s="4"/>
      <c r="N844" s="4"/>
      <c r="O844" s="4"/>
      <c r="P844" s="12" t="str">
        <f t="array" ref="P844">IF(O844:O4885="","",_xlfn.XLOOKUP(O844:O4885,'参照_官位'!A:A,'参照_官位'!B:B,""))</f>
      </c>
      <c r="Q844" s="12" t="str">
        <f t="array" ref="Q844">IF(A844:A4885="","",IFERROR(_xlfn.XLOOKUP(A844:A4885,castles_state!K:K,castles_state!D:D)&amp;"主",IFERROR(_xlfn.XLOOKUP(A844:A4885,kunishuClan!D:D,kunishuClan!B:B)&amp;"当主","")))</f>
      </c>
    </row>
    <row r="845" ht="15.75" customHeight="1">
      <c r="A845" s="4">
        <v>1016005</v>
      </c>
      <c r="B845" s="12" t="str">
        <f t="array" ref="B845">IF(A845:A4886="","",_xlfn.XLOOKUP(A845:A4886,'参照_武将'!A:A,'参照_武将'!B:B,"見つかりません"))</f>
      </c>
      <c r="C845" s="4" t="s">
        <v>5923</v>
      </c>
      <c r="D845" s="4">
        <v>16</v>
      </c>
      <c r="E845" s="12" t="str">
        <f t="array" ref="E845">IF(D845:D4886="","",IFERROR(_xlfn.XLOOKUP(D845:D4886,'参照_勢力'!A:A,'参照_勢力'!B:B),IFERROR(_xlfn.XLOOKUP(F845:F4886,kunishuClan!A:A,kunishuClan!B:B),"浪人")))</f>
      </c>
      <c r="F845" s="4">
        <v>0</v>
      </c>
      <c r="G845" s="4">
        <v>25</v>
      </c>
      <c r="H845" s="12" t="str">
        <f t="array" ref="H845">IF(G845:G4886="","",_xlfn.XLOOKUP(G845:G4886,castles_state!A:A,castles_state!D:D,"見つかりません"))</f>
      </c>
      <c r="I845" s="4"/>
      <c r="J845" s="12" t="str">
        <f t="array" ref="J845">IF(I845:I4886="","",_xlfn.XLOOKUP(I845:I4886,'参照_姫'!A:A,'参照_姫'!B:B,"見つかりません"))</f>
      </c>
      <c r="K845" s="4">
        <v>95</v>
      </c>
      <c r="L845" s="4">
        <v>0</v>
      </c>
      <c r="M845" s="4"/>
      <c r="N845" s="4"/>
      <c r="O845" s="4"/>
      <c r="P845" s="12" t="str">
        <f t="array" ref="P845">IF(O845:O4886="","",_xlfn.XLOOKUP(O845:O4886,'参照_官位'!A:A,'参照_官位'!B:B,""))</f>
      </c>
      <c r="Q845" s="12" t="str">
        <f t="array" ref="Q845">IF(A845:A4886="","",IFERROR(_xlfn.XLOOKUP(A845:A4886,castles_state!K:K,castles_state!D:D)&amp;"主",IFERROR(_xlfn.XLOOKUP(A845:A4886,kunishuClan!D:D,kunishuClan!B:B)&amp;"当主","")))</f>
      </c>
    </row>
    <row r="846" ht="15.75" customHeight="1">
      <c r="A846" s="4">
        <v>1016006</v>
      </c>
      <c r="B846" s="12" t="str">
        <f t="array" ref="B846">IF(A846:A4887="","",_xlfn.XLOOKUP(A846:A4887,'参照_武将'!A:A,'参照_武将'!B:B,"見つかりません"))</f>
      </c>
      <c r="C846" s="4" t="s">
        <v>5923</v>
      </c>
      <c r="D846" s="4">
        <v>16</v>
      </c>
      <c r="E846" s="12" t="str">
        <f t="array" ref="E846">IF(D846:D4887="","",IFERROR(_xlfn.XLOOKUP(D846:D4887,'参照_勢力'!A:A,'参照_勢力'!B:B),IFERROR(_xlfn.XLOOKUP(F846:F4887,kunishuClan!A:A,kunishuClan!B:B),"浪人")))</f>
      </c>
      <c r="F846" s="4">
        <v>0</v>
      </c>
      <c r="G846" s="4">
        <v>25</v>
      </c>
      <c r="H846" s="12" t="str">
        <f t="array" ref="H846">IF(G846:G4887="","",_xlfn.XLOOKUP(G846:G4887,castles_state!A:A,castles_state!D:D,"見つかりません"))</f>
      </c>
      <c r="I846" s="4"/>
      <c r="J846" s="12" t="str">
        <f t="array" ref="J846">IF(I846:I4887="","",_xlfn.XLOOKUP(I846:I4887,'参照_姫'!A:A,'参照_姫'!B:B,"見つかりません"))</f>
      </c>
      <c r="K846" s="4">
        <v>95</v>
      </c>
      <c r="L846" s="4">
        <v>0</v>
      </c>
      <c r="M846" s="4"/>
      <c r="N846" s="4"/>
      <c r="O846" s="4"/>
      <c r="P846" s="12" t="str">
        <f t="array" ref="P846">IF(O846:O4887="","",_xlfn.XLOOKUP(O846:O4887,'参照_官位'!A:A,'参照_官位'!B:B,""))</f>
      </c>
      <c r="Q846" s="12" t="str">
        <f t="array" ref="Q846">IF(A846:A4887="","",IFERROR(_xlfn.XLOOKUP(A846:A4887,castles_state!K:K,castles_state!D:D)&amp;"主",IFERROR(_xlfn.XLOOKUP(A846:A4887,kunishuClan!D:D,kunishuClan!B:B)&amp;"当主","")))</f>
      </c>
    </row>
    <row r="847" ht="15.75" customHeight="1">
      <c r="A847" s="4">
        <v>1016007</v>
      </c>
      <c r="B847" s="12" t="str">
        <f t="array" ref="B847">IF(A847:A4888="","",_xlfn.XLOOKUP(A847:A4888,'参照_武将'!A:A,'参照_武将'!B:B,"見つかりません"))</f>
      </c>
      <c r="C847" s="4" t="s">
        <v>152</v>
      </c>
      <c r="D847" s="4">
        <v>16</v>
      </c>
      <c r="E847" s="12" t="str">
        <f t="array" ref="E847">IF(D847:D4888="","",IFERROR(_xlfn.XLOOKUP(D847:D4888,'参照_勢力'!A:A,'参照_勢力'!B:B),IFERROR(_xlfn.XLOOKUP(F847:F4888,kunishuClan!A:A,kunishuClan!B:B),"浪人")))</f>
      </c>
      <c r="F847" s="4">
        <v>0</v>
      </c>
      <c r="G847" s="4">
        <v>25</v>
      </c>
      <c r="H847" s="12" t="str">
        <f t="array" ref="H847">IF(G847:G4888="","",_xlfn.XLOOKUP(G847:G4888,castles_state!A:A,castles_state!D:D,"見つかりません"))</f>
      </c>
      <c r="I847" s="4"/>
      <c r="J847" s="12" t="str">
        <f t="array" ref="J847">IF(I847:I4888="","",_xlfn.XLOOKUP(I847:I4888,'参照_姫'!A:A,'参照_姫'!B:B,"見つかりません"))</f>
      </c>
      <c r="K847" s="4">
        <v>95</v>
      </c>
      <c r="L847" s="4">
        <v>0</v>
      </c>
      <c r="M847" s="4"/>
      <c r="N847" s="4"/>
      <c r="O847" s="4"/>
      <c r="P847" s="12" t="str">
        <f t="array" ref="P847">IF(O847:O4888="","",_xlfn.XLOOKUP(O847:O4888,'参照_官位'!A:A,'参照_官位'!B:B,""))</f>
      </c>
      <c r="Q847" s="12" t="str">
        <f t="array" ref="Q847">IF(A847:A4888="","",IFERROR(_xlfn.XLOOKUP(A847:A4888,castles_state!K:K,castles_state!D:D)&amp;"主",IFERROR(_xlfn.XLOOKUP(A847:A4888,kunishuClan!D:D,kunishuClan!B:B)&amp;"当主","")))</f>
      </c>
    </row>
    <row r="848" ht="15.75" customHeight="1">
      <c r="A848" s="4">
        <v>1016008</v>
      </c>
      <c r="B848" s="12" t="str">
        <f t="array" ref="B848">IF(A848:A4889="","",_xlfn.XLOOKUP(A848:A4889,'参照_武将'!A:A,'参照_武将'!B:B,"見つかりません"))</f>
      </c>
      <c r="C848" s="4" t="s">
        <v>152</v>
      </c>
      <c r="D848" s="4">
        <v>16</v>
      </c>
      <c r="E848" s="12" t="str">
        <f t="array" ref="E848">IF(D848:D4889="","",IFERROR(_xlfn.XLOOKUP(D848:D4889,'参照_勢力'!A:A,'参照_勢力'!B:B),IFERROR(_xlfn.XLOOKUP(F848:F4889,kunishuClan!A:A,kunishuClan!B:B),"浪人")))</f>
      </c>
      <c r="F848" s="4">
        <v>0</v>
      </c>
      <c r="G848" s="4">
        <v>25</v>
      </c>
      <c r="H848" s="12" t="str">
        <f t="array" ref="H848">IF(G848:G4889="","",_xlfn.XLOOKUP(G848:G4889,castles_state!A:A,castles_state!D:D,"見つかりません"))</f>
      </c>
      <c r="I848" s="4"/>
      <c r="J848" s="12" t="str">
        <f t="array" ref="J848">IF(I848:I4889="","",_xlfn.XLOOKUP(I848:I4889,'参照_姫'!A:A,'参照_姫'!B:B,"見つかりません"))</f>
      </c>
      <c r="K848" s="4">
        <v>95</v>
      </c>
      <c r="L848" s="4">
        <v>0</v>
      </c>
      <c r="M848" s="4"/>
      <c r="N848" s="4"/>
      <c r="O848" s="4"/>
      <c r="P848" s="12" t="str">
        <f t="array" ref="P848">IF(O848:O4889="","",_xlfn.XLOOKUP(O848:O4889,'参照_官位'!A:A,'参照_官位'!B:B,""))</f>
      </c>
      <c r="Q848" s="12" t="str">
        <f t="array" ref="Q848">IF(A848:A4889="","",IFERROR(_xlfn.XLOOKUP(A848:A4889,castles_state!K:K,castles_state!D:D)&amp;"主",IFERROR(_xlfn.XLOOKUP(A848:A4889,kunishuClan!D:D,kunishuClan!B:B)&amp;"当主","")))</f>
      </c>
    </row>
    <row r="849" ht="15.75" customHeight="1">
      <c r="A849" s="4">
        <v>1016009</v>
      </c>
      <c r="B849" s="12" t="str">
        <f t="array" ref="B849">IF(A849:A4890="","",_xlfn.XLOOKUP(A849:A4890,'参照_武将'!A:A,'参照_武将'!B:B,"見つかりません"))</f>
      </c>
      <c r="C849" s="4" t="s">
        <v>152</v>
      </c>
      <c r="D849" s="4">
        <v>16</v>
      </c>
      <c r="E849" s="12" t="str">
        <f t="array" ref="E849">IF(D849:D4890="","",IFERROR(_xlfn.XLOOKUP(D849:D4890,'参照_勢力'!A:A,'参照_勢力'!B:B),IFERROR(_xlfn.XLOOKUP(F849:F4890,kunishuClan!A:A,kunishuClan!B:B),"浪人")))</f>
      </c>
      <c r="F849" s="4">
        <v>0</v>
      </c>
      <c r="G849" s="4">
        <v>25</v>
      </c>
      <c r="H849" s="12" t="str">
        <f t="array" ref="H849">IF(G849:G4890="","",_xlfn.XLOOKUP(G849:G4890,castles_state!A:A,castles_state!D:D,"見つかりません"))</f>
      </c>
      <c r="I849" s="4"/>
      <c r="J849" s="12" t="str">
        <f t="array" ref="J849">IF(I849:I4890="","",_xlfn.XLOOKUP(I849:I4890,'参照_姫'!A:A,'参照_姫'!B:B,"見つかりません"))</f>
      </c>
      <c r="K849" s="4">
        <v>100</v>
      </c>
      <c r="L849" s="4">
        <v>1000</v>
      </c>
      <c r="M849" s="4"/>
      <c r="N849" s="4"/>
      <c r="O849" s="4"/>
      <c r="P849" s="12" t="str">
        <f t="array" ref="P849">IF(O849:O4890="","",_xlfn.XLOOKUP(O849:O4890,'参照_官位'!A:A,'参照_官位'!B:B,""))</f>
      </c>
      <c r="Q849" s="12" t="str">
        <f t="array" ref="Q849">IF(A849:A4890="","",IFERROR(_xlfn.XLOOKUP(A849:A4890,castles_state!K:K,castles_state!D:D)&amp;"主",IFERROR(_xlfn.XLOOKUP(A849:A4890,kunishuClan!D:D,kunishuClan!B:B)&amp;"当主","")))</f>
      </c>
    </row>
    <row r="850" ht="15.75" customHeight="1">
      <c r="A850" s="4">
        <v>1016010</v>
      </c>
      <c r="B850" s="12" t="str">
        <f t="array" ref="B850">IF(A850:A4891="","",_xlfn.XLOOKUP(A850:A4891,'参照_武将'!A:A,'参照_武将'!B:B,"見つかりません"))</f>
      </c>
      <c r="C850" s="4" t="s">
        <v>152</v>
      </c>
      <c r="D850" s="4">
        <v>16</v>
      </c>
      <c r="E850" s="12" t="str">
        <f t="array" ref="E850">IF(D850:D4891="","",IFERROR(_xlfn.XLOOKUP(D850:D4891,'参照_勢力'!A:A,'参照_勢力'!B:B),IFERROR(_xlfn.XLOOKUP(F850:F4891,kunishuClan!A:A,kunishuClan!B:B),"浪人")))</f>
      </c>
      <c r="F850" s="4">
        <v>0</v>
      </c>
      <c r="G850" s="4">
        <v>25</v>
      </c>
      <c r="H850" s="12" t="str">
        <f t="array" ref="H850">IF(G850:G4891="","",_xlfn.XLOOKUP(G850:G4891,castles_state!A:A,castles_state!D:D,"見つかりません"))</f>
      </c>
      <c r="I850" s="4"/>
      <c r="J850" s="12" t="str">
        <f t="array" ref="J850">IF(I850:I4891="","",_xlfn.XLOOKUP(I850:I4891,'参照_姫'!A:A,'参照_姫'!B:B,"見つかりません"))</f>
      </c>
      <c r="K850" s="4">
        <v>95</v>
      </c>
      <c r="L850" s="4">
        <v>200</v>
      </c>
      <c r="M850" s="4"/>
      <c r="N850" s="4" t="b">
        <v>1</v>
      </c>
      <c r="O850" s="4"/>
      <c r="P850" s="12" t="str">
        <f t="array" ref="P850">IF(O850:O4891="","",_xlfn.XLOOKUP(O850:O4891,'参照_官位'!A:A,'参照_官位'!B:B,""))</f>
      </c>
      <c r="Q850" s="12" t="str">
        <f t="array" ref="Q850">IF(A850:A4891="","",IFERROR(_xlfn.XLOOKUP(A850:A4891,castles_state!K:K,castles_state!D:D)&amp;"主",IFERROR(_xlfn.XLOOKUP(A850:A4891,kunishuClan!D:D,kunishuClan!B:B)&amp;"当主","")))</f>
      </c>
    </row>
    <row r="851" ht="15.75" customHeight="1">
      <c r="A851" s="4">
        <v>1016011</v>
      </c>
      <c r="B851" s="12" t="str">
        <f t="array" ref="B851">IF(A851:A4892="","",_xlfn.XLOOKUP(A851:A4892,'参照_武将'!A:A,'参照_武将'!B:B,"見つかりません"))</f>
      </c>
      <c r="C851" s="4" t="s">
        <v>152</v>
      </c>
      <c r="D851" s="4">
        <v>16</v>
      </c>
      <c r="E851" s="12" t="str">
        <f t="array" ref="E851">IF(D851:D4892="","",IFERROR(_xlfn.XLOOKUP(D851:D4892,'参照_勢力'!A:A,'参照_勢力'!B:B),IFERROR(_xlfn.XLOOKUP(F851:F4892,kunishuClan!A:A,kunishuClan!B:B),"浪人")))</f>
      </c>
      <c r="F851" s="4">
        <v>0</v>
      </c>
      <c r="G851" s="4">
        <v>25</v>
      </c>
      <c r="H851" s="12" t="str">
        <f t="array" ref="H851">IF(G851:G4892="","",_xlfn.XLOOKUP(G851:G4892,castles_state!A:A,castles_state!D:D,"見つかりません"))</f>
      </c>
      <c r="I851" s="4"/>
      <c r="J851" s="12" t="str">
        <f t="array" ref="J851">IF(I851:I4892="","",_xlfn.XLOOKUP(I851:I4892,'参照_姫'!A:A,'参照_姫'!B:B,"見つかりません"))</f>
      </c>
      <c r="K851" s="4">
        <v>100</v>
      </c>
      <c r="L851" s="4">
        <v>1000</v>
      </c>
      <c r="M851" s="4"/>
      <c r="N851" s="4"/>
      <c r="O851" s="4"/>
      <c r="P851" s="12" t="str">
        <f t="array" ref="P851">IF(O851:O4892="","",_xlfn.XLOOKUP(O851:O4892,'参照_官位'!A:A,'参照_官位'!B:B,""))</f>
      </c>
      <c r="Q851" s="12" t="str">
        <f t="array" ref="Q851">IF(A851:A4892="","",IFERROR(_xlfn.XLOOKUP(A851:A4892,castles_state!K:K,castles_state!D:D)&amp;"主",IFERROR(_xlfn.XLOOKUP(A851:A4892,kunishuClan!D:D,kunishuClan!B:B)&amp;"当主","")))</f>
      </c>
    </row>
    <row r="852" ht="15.75" customHeight="1">
      <c r="A852" s="4">
        <v>1016012</v>
      </c>
      <c r="B852" s="12" t="str">
        <f t="array" ref="B852">IF(A852:A4893="","",_xlfn.XLOOKUP(A852:A4893,'参照_武将'!A:A,'参照_武将'!B:B,"見つかりません"))</f>
      </c>
      <c r="C852" s="4" t="s">
        <v>152</v>
      </c>
      <c r="D852" s="4">
        <v>16</v>
      </c>
      <c r="E852" s="12" t="str">
        <f t="array" ref="E852">IF(D852:D4893="","",IFERROR(_xlfn.XLOOKUP(D852:D4893,'参照_勢力'!A:A,'参照_勢力'!B:B),IFERROR(_xlfn.XLOOKUP(F852:F4893,kunishuClan!A:A,kunishuClan!B:B),"浪人")))</f>
      </c>
      <c r="F852" s="4">
        <v>0</v>
      </c>
      <c r="G852" s="4">
        <v>25</v>
      </c>
      <c r="H852" s="12" t="str">
        <f t="array" ref="H852">IF(G852:G4893="","",_xlfn.XLOOKUP(G852:G4893,castles_state!A:A,castles_state!D:D,"見つかりません"))</f>
      </c>
      <c r="I852" s="4"/>
      <c r="J852" s="12" t="str">
        <f t="array" ref="J852">IF(I852:I4893="","",_xlfn.XLOOKUP(I852:I4893,'参照_姫'!A:A,'参照_姫'!B:B,"見つかりません"))</f>
      </c>
      <c r="K852" s="4">
        <v>95</v>
      </c>
      <c r="L852" s="4">
        <v>0</v>
      </c>
      <c r="M852" s="4"/>
      <c r="N852" s="4"/>
      <c r="O852" s="4"/>
      <c r="P852" s="12" t="str">
        <f t="array" ref="P852">IF(O852:O4893="","",_xlfn.XLOOKUP(O852:O4893,'参照_官位'!A:A,'参照_官位'!B:B,""))</f>
      </c>
      <c r="Q852" s="12" t="str">
        <f t="array" ref="Q852">IF(A852:A4893="","",IFERROR(_xlfn.XLOOKUP(A852:A4893,castles_state!K:K,castles_state!D:D)&amp;"主",IFERROR(_xlfn.XLOOKUP(A852:A4893,kunishuClan!D:D,kunishuClan!B:B)&amp;"当主","")))</f>
      </c>
    </row>
    <row r="853" ht="15.75" customHeight="1">
      <c r="A853" s="4">
        <v>1016013</v>
      </c>
      <c r="B853" s="12" t="str">
        <f t="array" ref="B853">IF(A853:A4894="","",_xlfn.XLOOKUP(A853:A4894,'参照_武将'!A:A,'参照_武将'!B:B,"見つかりません"))</f>
      </c>
      <c r="C853" s="4" t="s">
        <v>152</v>
      </c>
      <c r="D853" s="4">
        <v>16</v>
      </c>
      <c r="E853" s="12" t="str">
        <f t="array" ref="E853">IF(D853:D4894="","",IFERROR(_xlfn.XLOOKUP(D853:D4894,'参照_勢力'!A:A,'参照_勢力'!B:B),IFERROR(_xlfn.XLOOKUP(F853:F4894,kunishuClan!A:A,kunishuClan!B:B),"浪人")))</f>
      </c>
      <c r="F853" s="4">
        <v>0</v>
      </c>
      <c r="G853" s="4">
        <v>25</v>
      </c>
      <c r="H853" s="12" t="str">
        <f t="array" ref="H853">IF(G853:G4894="","",_xlfn.XLOOKUP(G853:G4894,castles_state!A:A,castles_state!D:D,"見つかりません"))</f>
      </c>
      <c r="I853" s="4"/>
      <c r="J853" s="12" t="str">
        <f t="array" ref="J853">IF(I853:I4894="","",_xlfn.XLOOKUP(I853:I4894,'参照_姫'!A:A,'参照_姫'!B:B,"見つかりません"))</f>
      </c>
      <c r="K853" s="4">
        <v>95</v>
      </c>
      <c r="L853" s="4">
        <v>0</v>
      </c>
      <c r="M853" s="4"/>
      <c r="N853" s="4"/>
      <c r="O853" s="4"/>
      <c r="P853" s="12" t="str">
        <f t="array" ref="P853">IF(O853:O4894="","",_xlfn.XLOOKUP(O853:O4894,'参照_官位'!A:A,'参照_官位'!B:B,""))</f>
      </c>
      <c r="Q853" s="12" t="str">
        <f t="array" ref="Q853">IF(A853:A4894="","",IFERROR(_xlfn.XLOOKUP(A853:A4894,castles_state!K:K,castles_state!D:D)&amp;"主",IFERROR(_xlfn.XLOOKUP(A853:A4894,kunishuClan!D:D,kunishuClan!B:B)&amp;"当主","")))</f>
      </c>
    </row>
    <row r="854" ht="15.75" customHeight="1">
      <c r="A854" s="4">
        <v>1016014</v>
      </c>
      <c r="B854" s="12" t="str">
        <f t="array" ref="B854">IF(A854:A4895="","",_xlfn.XLOOKUP(A854:A4895,'参照_武将'!A:A,'参照_武将'!B:B,"見つかりません"))</f>
      </c>
      <c r="C854" s="4" t="s">
        <v>152</v>
      </c>
      <c r="D854" s="4">
        <v>16</v>
      </c>
      <c r="E854" s="12" t="str">
        <f t="array" ref="E854">IF(D854:D4895="","",IFERROR(_xlfn.XLOOKUP(D854:D4895,'参照_勢力'!A:A,'参照_勢力'!B:B),IFERROR(_xlfn.XLOOKUP(F854:F4895,kunishuClan!A:A,kunishuClan!B:B),"浪人")))</f>
      </c>
      <c r="F854" s="4">
        <v>0</v>
      </c>
      <c r="G854" s="4">
        <v>25</v>
      </c>
      <c r="H854" s="12" t="str">
        <f t="array" ref="H854">IF(G854:G4895="","",_xlfn.XLOOKUP(G854:G4895,castles_state!A:A,castles_state!D:D,"見つかりません"))</f>
      </c>
      <c r="I854" s="4"/>
      <c r="J854" s="12" t="str">
        <f t="array" ref="J854">IF(I854:I4895="","",_xlfn.XLOOKUP(I854:I4895,'参照_姫'!A:A,'参照_姫'!B:B,"見つかりません"))</f>
      </c>
      <c r="K854" s="4">
        <v>95</v>
      </c>
      <c r="L854" s="4">
        <v>0</v>
      </c>
      <c r="M854" s="4"/>
      <c r="N854" s="4"/>
      <c r="O854" s="4"/>
      <c r="P854" s="12" t="str">
        <f t="array" ref="P854">IF(O854:O4895="","",_xlfn.XLOOKUP(O854:O4895,'参照_官位'!A:A,'参照_官位'!B:B,""))</f>
      </c>
      <c r="Q854" s="12" t="str">
        <f t="array" ref="Q854">IF(A854:A4895="","",IFERROR(_xlfn.XLOOKUP(A854:A4895,castles_state!K:K,castles_state!D:D)&amp;"主",IFERROR(_xlfn.XLOOKUP(A854:A4895,kunishuClan!D:D,kunishuClan!B:B)&amp;"当主","")))</f>
      </c>
    </row>
    <row r="855" ht="15.75" customHeight="1">
      <c r="A855" s="4">
        <v>1016015</v>
      </c>
      <c r="B855" s="12" t="str">
        <f t="array" ref="B855">IF(A855:A4896="","",_xlfn.XLOOKUP(A855:A4896,'参照_武将'!A:A,'参照_武将'!B:B,"見つかりません"))</f>
      </c>
      <c r="C855" s="4" t="s">
        <v>152</v>
      </c>
      <c r="D855" s="4">
        <v>16</v>
      </c>
      <c r="E855" s="12" t="str">
        <f t="array" ref="E855">IF(D855:D4896="","",IFERROR(_xlfn.XLOOKUP(D855:D4896,'参照_勢力'!A:A,'参照_勢力'!B:B),IFERROR(_xlfn.XLOOKUP(F855:F4896,kunishuClan!A:A,kunishuClan!B:B),"浪人")))</f>
      </c>
      <c r="F855" s="4">
        <v>0</v>
      </c>
      <c r="G855" s="4">
        <v>25</v>
      </c>
      <c r="H855" s="12" t="str">
        <f t="array" ref="H855">IF(G855:G4896="","",_xlfn.XLOOKUP(G855:G4896,castles_state!A:A,castles_state!D:D,"見つかりません"))</f>
      </c>
      <c r="I855" s="4"/>
      <c r="J855" s="12" t="str">
        <f t="array" ref="J855">IF(I855:I4896="","",_xlfn.XLOOKUP(I855:I4896,'参照_姫'!A:A,'参照_姫'!B:B,"見つかりません"))</f>
      </c>
      <c r="K855" s="4">
        <v>95</v>
      </c>
      <c r="L855" s="4">
        <v>0</v>
      </c>
      <c r="M855" s="4"/>
      <c r="N855" s="4"/>
      <c r="O855" s="4"/>
      <c r="P855" s="12" t="str">
        <f t="array" ref="P855">IF(O855:O4896="","",_xlfn.XLOOKUP(O855:O4896,'参照_官位'!A:A,'参照_官位'!B:B,""))</f>
      </c>
      <c r="Q855" s="12" t="str">
        <f t="array" ref="Q855">IF(A855:A4896="","",IFERROR(_xlfn.XLOOKUP(A855:A4896,castles_state!K:K,castles_state!D:D)&amp;"主",IFERROR(_xlfn.XLOOKUP(A855:A4896,kunishuClan!D:D,kunishuClan!B:B)&amp;"当主","")))</f>
      </c>
    </row>
    <row r="856" ht="15.75" customHeight="1">
      <c r="A856" s="4">
        <v>1016016</v>
      </c>
      <c r="B856" s="12" t="str">
        <f t="array" ref="B856">IF(A856:A4897="","",_xlfn.XLOOKUP(A856:A4897,'参照_武将'!A:A,'参照_武将'!B:B,"見つかりません"))</f>
      </c>
      <c r="C856" s="4" t="s">
        <v>152</v>
      </c>
      <c r="D856" s="4">
        <v>16</v>
      </c>
      <c r="E856" s="12" t="str">
        <f t="array" ref="E856">IF(D856:D4897="","",IFERROR(_xlfn.XLOOKUP(D856:D4897,'参照_勢力'!A:A,'参照_勢力'!B:B),IFERROR(_xlfn.XLOOKUP(F856:F4897,kunishuClan!A:A,kunishuClan!B:B),"浪人")))</f>
      </c>
      <c r="F856" s="4">
        <v>0</v>
      </c>
      <c r="G856" s="4">
        <v>25</v>
      </c>
      <c r="H856" s="12" t="str">
        <f t="array" ref="H856">IF(G856:G4897="","",_xlfn.XLOOKUP(G856:G4897,castles_state!A:A,castles_state!D:D,"見つかりません"))</f>
      </c>
      <c r="I856" s="4"/>
      <c r="J856" s="12" t="str">
        <f t="array" ref="J856">IF(I856:I4897="","",_xlfn.XLOOKUP(I856:I4897,'参照_姫'!A:A,'参照_姫'!B:B,"見つかりません"))</f>
      </c>
      <c r="K856" s="4">
        <v>95</v>
      </c>
      <c r="L856" s="4">
        <v>0</v>
      </c>
      <c r="M856" s="4"/>
      <c r="N856" s="4"/>
      <c r="O856" s="4"/>
      <c r="P856" s="12" t="str">
        <f t="array" ref="P856">IF(O856:O4897="","",_xlfn.XLOOKUP(O856:O4897,'参照_官位'!A:A,'参照_官位'!B:B,""))</f>
      </c>
      <c r="Q856" s="12" t="str">
        <f t="array" ref="Q856">IF(A856:A4897="","",IFERROR(_xlfn.XLOOKUP(A856:A4897,castles_state!K:K,castles_state!D:D)&amp;"主",IFERROR(_xlfn.XLOOKUP(A856:A4897,kunishuClan!D:D,kunishuClan!B:B)&amp;"当主","")))</f>
      </c>
    </row>
    <row r="857" ht="15.75" customHeight="1">
      <c r="A857" s="4">
        <v>1016017</v>
      </c>
      <c r="B857" s="12" t="str">
        <f t="array" ref="B857">IF(A857:A4898="","",_xlfn.XLOOKUP(A857:A4898,'参照_武将'!A:A,'参照_武将'!B:B,"見つかりません"))</f>
      </c>
      <c r="C857" s="4" t="s">
        <v>152</v>
      </c>
      <c r="D857" s="4">
        <v>16</v>
      </c>
      <c r="E857" s="12" t="str">
        <f t="array" ref="E857">IF(D857:D4898="","",IFERROR(_xlfn.XLOOKUP(D857:D4898,'参照_勢力'!A:A,'参照_勢力'!B:B),IFERROR(_xlfn.XLOOKUP(F857:F4898,kunishuClan!A:A,kunishuClan!B:B),"浪人")))</f>
      </c>
      <c r="F857" s="4">
        <v>0</v>
      </c>
      <c r="G857" s="4">
        <v>25</v>
      </c>
      <c r="H857" s="12" t="str">
        <f t="array" ref="H857">IF(G857:G4898="","",_xlfn.XLOOKUP(G857:G4898,castles_state!A:A,castles_state!D:D,"見つかりません"))</f>
      </c>
      <c r="I857" s="4"/>
      <c r="J857" s="12" t="str">
        <f t="array" ref="J857">IF(I857:I4898="","",_xlfn.XLOOKUP(I857:I4898,'参照_姫'!A:A,'参照_姫'!B:B,"見つかりません"))</f>
      </c>
      <c r="K857" s="4">
        <v>95</v>
      </c>
      <c r="L857" s="4">
        <v>0</v>
      </c>
      <c r="M857" s="4"/>
      <c r="N857" s="4"/>
      <c r="O857" s="4"/>
      <c r="P857" s="12" t="str">
        <f t="array" ref="P857">IF(O857:O4898="","",_xlfn.XLOOKUP(O857:O4898,'参照_官位'!A:A,'参照_官位'!B:B,""))</f>
      </c>
      <c r="Q857" s="12" t="str">
        <f t="array" ref="Q857">IF(A857:A4898="","",IFERROR(_xlfn.XLOOKUP(A857:A4898,castles_state!K:K,castles_state!D:D)&amp;"主",IFERROR(_xlfn.XLOOKUP(A857:A4898,kunishuClan!D:D,kunishuClan!B:B)&amp;"当主","")))</f>
      </c>
    </row>
    <row r="858" ht="15.75" customHeight="1">
      <c r="A858" s="4">
        <v>1016018</v>
      </c>
      <c r="B858" s="12" t="str">
        <f t="array" ref="B858">IF(A858:A4899="","",_xlfn.XLOOKUP(A858:A4899,'参照_武将'!A:A,'参照_武将'!B:B,"見つかりません"))</f>
      </c>
      <c r="C858" s="4" t="s">
        <v>152</v>
      </c>
      <c r="D858" s="4">
        <v>16</v>
      </c>
      <c r="E858" s="12" t="str">
        <f t="array" ref="E858">IF(D858:D4899="","",IFERROR(_xlfn.XLOOKUP(D858:D4899,'参照_勢力'!A:A,'参照_勢力'!B:B),IFERROR(_xlfn.XLOOKUP(F858:F4899,kunishuClan!A:A,kunishuClan!B:B),"浪人")))</f>
      </c>
      <c r="F858" s="4">
        <v>0</v>
      </c>
      <c r="G858" s="4">
        <v>103</v>
      </c>
      <c r="H858" s="12" t="str">
        <f t="array" ref="H858">IF(G858:G4899="","",_xlfn.XLOOKUP(G858:G4899,castles_state!A:A,castles_state!D:D,"見つかりません"))</f>
      </c>
      <c r="I858" s="4"/>
      <c r="J858" s="12" t="str">
        <f t="array" ref="J858">IF(I858:I4899="","",_xlfn.XLOOKUP(I858:I4899,'参照_姫'!A:A,'参照_姫'!B:B,"見つかりません"))</f>
      </c>
      <c r="K858" s="4">
        <v>95</v>
      </c>
      <c r="L858" s="4">
        <v>500</v>
      </c>
      <c r="M858" s="4"/>
      <c r="N858" s="4"/>
      <c r="O858" s="4"/>
      <c r="P858" s="12" t="str">
        <f t="array" ref="P858">IF(O858:O4899="","",_xlfn.XLOOKUP(O858:O4899,'参照_官位'!A:A,'参照_官位'!B:B,""))</f>
      </c>
      <c r="Q858" s="12" t="str">
        <f t="array" ref="Q858">IF(A858:A4899="","",IFERROR(_xlfn.XLOOKUP(A858:A4899,castles_state!K:K,castles_state!D:D)&amp;"主",IFERROR(_xlfn.XLOOKUP(A858:A4899,kunishuClan!D:D,kunishuClan!B:B)&amp;"当主","")))</f>
      </c>
    </row>
    <row r="859" ht="15.75" customHeight="1">
      <c r="A859" s="4">
        <v>1016019</v>
      </c>
      <c r="B859" s="12" t="str">
        <f t="array" ref="B859">IF(A859:A4900="","",_xlfn.XLOOKUP(A859:A4900,'参照_武将'!A:A,'参照_武将'!B:B,"見つかりません"))</f>
      </c>
      <c r="C859" s="4" t="s">
        <v>152</v>
      </c>
      <c r="D859" s="4">
        <v>16</v>
      </c>
      <c r="E859" s="12" t="str">
        <f t="array" ref="E859">IF(D859:D4900="","",IFERROR(_xlfn.XLOOKUP(D859:D4900,'参照_勢力'!A:A,'参照_勢力'!B:B),IFERROR(_xlfn.XLOOKUP(F859:F4900,kunishuClan!A:A,kunishuClan!B:B),"浪人")))</f>
      </c>
      <c r="F859" s="4">
        <v>0</v>
      </c>
      <c r="G859" s="4">
        <v>103</v>
      </c>
      <c r="H859" s="12" t="str">
        <f t="array" ref="H859">IF(G859:G4900="","",_xlfn.XLOOKUP(G859:G4900,castles_state!A:A,castles_state!D:D,"見つかりません"))</f>
      </c>
      <c r="I859" s="4"/>
      <c r="J859" s="12" t="str">
        <f t="array" ref="J859">IF(I859:I4900="","",_xlfn.XLOOKUP(I859:I4900,'参照_姫'!A:A,'参照_姫'!B:B,"見つかりません"))</f>
      </c>
      <c r="K859" s="4">
        <v>95</v>
      </c>
      <c r="L859" s="4">
        <v>300</v>
      </c>
      <c r="M859" s="4"/>
      <c r="N859" s="4"/>
      <c r="O859" s="4"/>
      <c r="P859" s="12" t="str">
        <f t="array" ref="P859">IF(O859:O4900="","",_xlfn.XLOOKUP(O859:O4900,'参照_官位'!A:A,'参照_官位'!B:B,""))</f>
      </c>
      <c r="Q859" s="12" t="str">
        <f t="array" ref="Q859">IF(A859:A4900="","",IFERROR(_xlfn.XLOOKUP(A859:A4900,castles_state!K:K,castles_state!D:D)&amp;"主",IFERROR(_xlfn.XLOOKUP(A859:A4900,kunishuClan!D:D,kunishuClan!B:B)&amp;"当主","")))</f>
      </c>
    </row>
    <row r="860" ht="15.75" customHeight="1">
      <c r="A860" s="4">
        <v>1016020</v>
      </c>
      <c r="B860" s="12" t="str">
        <f t="array" ref="B860">IF(A860:A4901="","",_xlfn.XLOOKUP(A860:A4901,'参照_武将'!A:A,'参照_武将'!B:B,"見つかりません"))</f>
      </c>
      <c r="C860" s="4" t="s">
        <v>152</v>
      </c>
      <c r="D860" s="4">
        <v>16</v>
      </c>
      <c r="E860" s="12" t="str">
        <f t="array" ref="E860">IF(D860:D4901="","",IFERROR(_xlfn.XLOOKUP(D860:D4901,'参照_勢力'!A:A,'参照_勢力'!B:B),IFERROR(_xlfn.XLOOKUP(F860:F4901,kunishuClan!A:A,kunishuClan!B:B),"浪人")))</f>
      </c>
      <c r="F860" s="4">
        <v>0</v>
      </c>
      <c r="G860" s="4">
        <v>103</v>
      </c>
      <c r="H860" s="12" t="str">
        <f t="array" ref="H860">IF(G860:G4901="","",_xlfn.XLOOKUP(G860:G4901,castles_state!A:A,castles_state!D:D,"見つかりません"))</f>
      </c>
      <c r="I860" s="4"/>
      <c r="J860" s="12" t="str">
        <f t="array" ref="J860">IF(I860:I4901="","",_xlfn.XLOOKUP(I860:I4901,'参照_姫'!A:A,'参照_姫'!B:B,"見つかりません"))</f>
      </c>
      <c r="K860" s="4">
        <v>95</v>
      </c>
      <c r="L860" s="4">
        <v>0</v>
      </c>
      <c r="M860" s="4"/>
      <c r="N860" s="4"/>
      <c r="O860" s="4"/>
      <c r="P860" s="12" t="str">
        <f t="array" ref="P860">IF(O860:O4901="","",_xlfn.XLOOKUP(O860:O4901,'参照_官位'!A:A,'参照_官位'!B:B,""))</f>
      </c>
      <c r="Q860" s="12" t="str">
        <f t="array" ref="Q860">IF(A860:A4901="","",IFERROR(_xlfn.XLOOKUP(A860:A4901,castles_state!K:K,castles_state!D:D)&amp;"主",IFERROR(_xlfn.XLOOKUP(A860:A4901,kunishuClan!D:D,kunishuClan!B:B)&amp;"当主","")))</f>
      </c>
    </row>
    <row r="861" ht="15.75" customHeight="1">
      <c r="A861" s="4">
        <v>1016021</v>
      </c>
      <c r="B861" s="12" t="str">
        <f t="array" ref="B861">IF(A861:A4902="","",_xlfn.XLOOKUP(A861:A4902,'参照_武将'!A:A,'参照_武将'!B:B,"見つかりません"))</f>
      </c>
      <c r="C861" s="4" t="s">
        <v>152</v>
      </c>
      <c r="D861" s="4">
        <v>16</v>
      </c>
      <c r="E861" s="12" t="str">
        <f t="array" ref="E861">IF(D861:D4902="","",IFERROR(_xlfn.XLOOKUP(D861:D4902,'参照_勢力'!A:A,'参照_勢力'!B:B),IFERROR(_xlfn.XLOOKUP(F861:F4902,kunishuClan!A:A,kunishuClan!B:B),"浪人")))</f>
      </c>
      <c r="F861" s="4">
        <v>0</v>
      </c>
      <c r="G861" s="4">
        <v>103</v>
      </c>
      <c r="H861" s="12" t="str">
        <f t="array" ref="H861">IF(G861:G4902="","",_xlfn.XLOOKUP(G861:G4902,castles_state!A:A,castles_state!D:D,"見つかりません"))</f>
      </c>
      <c r="I861" s="4"/>
      <c r="J861" s="12" t="str">
        <f t="array" ref="J861">IF(I861:I4902="","",_xlfn.XLOOKUP(I861:I4902,'参照_姫'!A:A,'参照_姫'!B:B,"見つかりません"))</f>
      </c>
      <c r="K861" s="4">
        <v>95</v>
      </c>
      <c r="L861" s="4">
        <v>0</v>
      </c>
      <c r="M861" s="4"/>
      <c r="N861" s="4"/>
      <c r="O861" s="4"/>
      <c r="P861" s="12" t="str">
        <f t="array" ref="P861">IF(O861:O4902="","",_xlfn.XLOOKUP(O861:O4902,'参照_官位'!A:A,'参照_官位'!B:B,""))</f>
      </c>
      <c r="Q861" s="12" t="str">
        <f t="array" ref="Q861">IF(A861:A4902="","",IFERROR(_xlfn.XLOOKUP(A861:A4902,castles_state!K:K,castles_state!D:D)&amp;"主",IFERROR(_xlfn.XLOOKUP(A861:A4902,kunishuClan!D:D,kunishuClan!B:B)&amp;"当主","")))</f>
      </c>
    </row>
    <row r="862" ht="15.75" customHeight="1">
      <c r="A862" s="4">
        <v>1016022</v>
      </c>
      <c r="B862" s="12" t="str">
        <f t="array" ref="B862">IF(A862:A4903="","",_xlfn.XLOOKUP(A862:A4903,'参照_武将'!A:A,'参照_武将'!B:B,"見つかりません"))</f>
      </c>
      <c r="C862" s="4" t="s">
        <v>152</v>
      </c>
      <c r="D862" s="4">
        <v>16</v>
      </c>
      <c r="E862" s="12" t="str">
        <f t="array" ref="E862">IF(D862:D4903="","",IFERROR(_xlfn.XLOOKUP(D862:D4903,'参照_勢力'!A:A,'参照_勢力'!B:B),IFERROR(_xlfn.XLOOKUP(F862:F4903,kunishuClan!A:A,kunishuClan!B:B),"浪人")))</f>
      </c>
      <c r="F862" s="4">
        <v>0</v>
      </c>
      <c r="G862" s="4">
        <v>25</v>
      </c>
      <c r="H862" s="12" t="str">
        <f t="array" ref="H862">IF(G862:G4903="","",_xlfn.XLOOKUP(G862:G4903,castles_state!A:A,castles_state!D:D,"見つかりません"))</f>
      </c>
      <c r="I862" s="4"/>
      <c r="J862" s="12" t="str">
        <f t="array" ref="J862">IF(I862:I4903="","",_xlfn.XLOOKUP(I862:I4903,'参照_姫'!A:A,'参照_姫'!B:B,"見つかりません"))</f>
      </c>
      <c r="K862" s="4">
        <v>95</v>
      </c>
      <c r="L862" s="4">
        <v>0</v>
      </c>
      <c r="M862" s="4"/>
      <c r="N862" s="4"/>
      <c r="O862" s="4"/>
      <c r="P862" s="12" t="str">
        <f t="array" ref="P862">IF(O862:O4903="","",_xlfn.XLOOKUP(O862:O4903,'参照_官位'!A:A,'参照_官位'!B:B,""))</f>
      </c>
      <c r="Q862" s="12" t="str">
        <f t="array" ref="Q862">IF(A862:A4903="","",IFERROR(_xlfn.XLOOKUP(A862:A4903,castles_state!K:K,castles_state!D:D)&amp;"主",IFERROR(_xlfn.XLOOKUP(A862:A4903,kunishuClan!D:D,kunishuClan!B:B)&amp;"当主","")))</f>
      </c>
    </row>
    <row r="863" ht="15.75" customHeight="1">
      <c r="A863" s="4">
        <v>1016023</v>
      </c>
      <c r="B863" s="12" t="str">
        <f t="array" ref="B863">IF(A863:A4904="","",_xlfn.XLOOKUP(A863:A4904,'参照_武将'!A:A,'参照_武将'!B:B,"見つかりません"))</f>
      </c>
      <c r="C863" s="4" t="s">
        <v>152</v>
      </c>
      <c r="D863" s="4">
        <v>16</v>
      </c>
      <c r="E863" s="12" t="str">
        <f t="array" ref="E863">IF(D863:D4904="","",IFERROR(_xlfn.XLOOKUP(D863:D4904,'参照_勢力'!A:A,'参照_勢力'!B:B),IFERROR(_xlfn.XLOOKUP(F863:F4904,kunishuClan!A:A,kunishuClan!B:B),"浪人")))</f>
      </c>
      <c r="F863" s="4">
        <v>0</v>
      </c>
      <c r="G863" s="4">
        <v>25</v>
      </c>
      <c r="H863" s="12" t="str">
        <f t="array" ref="H863">IF(G863:G4904="","",_xlfn.XLOOKUP(G863:G4904,castles_state!A:A,castles_state!D:D,"見つかりません"))</f>
      </c>
      <c r="I863" s="4"/>
      <c r="J863" s="12" t="str">
        <f t="array" ref="J863">IF(I863:I4904="","",_xlfn.XLOOKUP(I863:I4904,'参照_姫'!A:A,'参照_姫'!B:B,"見つかりません"))</f>
      </c>
      <c r="K863" s="4">
        <v>95</v>
      </c>
      <c r="L863" s="4">
        <v>300</v>
      </c>
      <c r="M863" s="4" t="b">
        <v>1</v>
      </c>
      <c r="N863" s="4"/>
      <c r="O863" s="4"/>
      <c r="P863" s="12" t="str">
        <f t="array" ref="P863">IF(O863:O4904="","",_xlfn.XLOOKUP(O863:O4904,'参照_官位'!A:A,'参照_官位'!B:B,""))</f>
      </c>
      <c r="Q863" s="12" t="str">
        <f t="array" ref="Q863">IF(A863:A4904="","",IFERROR(_xlfn.XLOOKUP(A863:A4904,castles_state!K:K,castles_state!D:D)&amp;"主",IFERROR(_xlfn.XLOOKUP(A863:A4904,kunishuClan!D:D,kunishuClan!B:B)&amp;"当主","")))</f>
      </c>
    </row>
    <row r="864" ht="15.75" customHeight="1">
      <c r="A864" s="4">
        <v>1016024</v>
      </c>
      <c r="B864" s="12" t="str">
        <f t="array" ref="B864">IF(A864:A4905="","",_xlfn.XLOOKUP(A864:A4905,'参照_武将'!A:A,'参照_武将'!B:B,"見つかりません"))</f>
      </c>
      <c r="C864" s="4" t="s">
        <v>152</v>
      </c>
      <c r="D864" s="4">
        <v>16</v>
      </c>
      <c r="E864" s="12" t="str">
        <f t="array" ref="E864">IF(D864:D4905="","",IFERROR(_xlfn.XLOOKUP(D864:D4905,'参照_勢力'!A:A,'参照_勢力'!B:B),IFERROR(_xlfn.XLOOKUP(F864:F4905,kunishuClan!A:A,kunishuClan!B:B),"浪人")))</f>
      </c>
      <c r="F864" s="4">
        <v>0</v>
      </c>
      <c r="G864" s="4">
        <v>25</v>
      </c>
      <c r="H864" s="12" t="str">
        <f t="array" ref="H864">IF(G864:G4905="","",_xlfn.XLOOKUP(G864:G4905,castles_state!A:A,castles_state!D:D,"見つかりません"))</f>
      </c>
      <c r="I864" s="4"/>
      <c r="J864" s="12" t="str">
        <f t="array" ref="J864">IF(I864:I4905="","",_xlfn.XLOOKUP(I864:I4905,'参照_姫'!A:A,'参照_姫'!B:B,"見つかりません"))</f>
      </c>
      <c r="K864" s="4">
        <v>95</v>
      </c>
      <c r="L864" s="4">
        <v>0</v>
      </c>
      <c r="M864" s="4"/>
      <c r="N864" s="4"/>
      <c r="O864" s="4"/>
      <c r="P864" s="12" t="str">
        <f t="array" ref="P864">IF(O864:O4905="","",_xlfn.XLOOKUP(O864:O4905,'参照_官位'!A:A,'参照_官位'!B:B,""))</f>
      </c>
      <c r="Q864" s="12" t="str">
        <f t="array" ref="Q864">IF(A864:A4905="","",IFERROR(_xlfn.XLOOKUP(A864:A4905,castles_state!K:K,castles_state!D:D)&amp;"主",IFERROR(_xlfn.XLOOKUP(A864:A4905,kunishuClan!D:D,kunishuClan!B:B)&amp;"当主","")))</f>
      </c>
    </row>
    <row r="865" ht="15.75" customHeight="1">
      <c r="A865" s="4">
        <v>1016025</v>
      </c>
      <c r="B865" s="12" t="str">
        <f t="array" ref="B865">IF(A865:A4906="","",_xlfn.XLOOKUP(A865:A4906,'参照_武将'!A:A,'参照_武将'!B:B,"見つかりません"))</f>
      </c>
      <c r="C865" s="4" t="s">
        <v>152</v>
      </c>
      <c r="D865" s="4">
        <v>16</v>
      </c>
      <c r="E865" s="12" t="str">
        <f t="array" ref="E865">IF(D865:D4906="","",IFERROR(_xlfn.XLOOKUP(D865:D4906,'参照_勢力'!A:A,'参照_勢力'!B:B),IFERROR(_xlfn.XLOOKUP(F865:F4906,kunishuClan!A:A,kunishuClan!B:B),"浪人")))</f>
      </c>
      <c r="F865" s="4">
        <v>0</v>
      </c>
      <c r="G865" s="4">
        <v>25</v>
      </c>
      <c r="H865" s="12" t="str">
        <f t="array" ref="H865">IF(G865:G4906="","",_xlfn.XLOOKUP(G865:G4906,castles_state!A:A,castles_state!D:D,"見つかりません"))</f>
      </c>
      <c r="I865" s="4"/>
      <c r="J865" s="12" t="str">
        <f t="array" ref="J865">IF(I865:I4906="","",_xlfn.XLOOKUP(I865:I4906,'参照_姫'!A:A,'参照_姫'!B:B,"見つかりません"))</f>
      </c>
      <c r="K865" s="4">
        <v>95</v>
      </c>
      <c r="L865" s="4">
        <v>0</v>
      </c>
      <c r="M865" s="4"/>
      <c r="N865" s="4"/>
      <c r="O865" s="4"/>
      <c r="P865" s="12" t="str">
        <f t="array" ref="P865">IF(O865:O4906="","",_xlfn.XLOOKUP(O865:O4906,'参照_官位'!A:A,'参照_官位'!B:B,""))</f>
      </c>
      <c r="Q865" s="12" t="str">
        <f t="array" ref="Q865">IF(A865:A4906="","",IFERROR(_xlfn.XLOOKUP(A865:A4906,castles_state!K:K,castles_state!D:D)&amp;"主",IFERROR(_xlfn.XLOOKUP(A865:A4906,kunishuClan!D:D,kunishuClan!B:B)&amp;"当主","")))</f>
      </c>
    </row>
    <row r="866" ht="15.75" customHeight="1">
      <c r="A866" s="4">
        <v>1016026</v>
      </c>
      <c r="B866" s="12" t="str">
        <f t="array" ref="B866">IF(A866:A4907="","",_xlfn.XLOOKUP(A866:A4907,'参照_武将'!A:A,'参照_武将'!B:B,"見つかりません"))</f>
      </c>
      <c r="C866" s="4" t="s">
        <v>152</v>
      </c>
      <c r="D866" s="4">
        <v>16</v>
      </c>
      <c r="E866" s="12" t="str">
        <f t="array" ref="E866">IF(D866:D4907="","",IFERROR(_xlfn.XLOOKUP(D866:D4907,'参照_勢力'!A:A,'参照_勢力'!B:B),IFERROR(_xlfn.XLOOKUP(F866:F4907,kunishuClan!A:A,kunishuClan!B:B),"浪人")))</f>
      </c>
      <c r="F866" s="4">
        <v>0</v>
      </c>
      <c r="G866" s="4">
        <v>103</v>
      </c>
      <c r="H866" s="12" t="str">
        <f t="array" ref="H866">IF(G866:G4907="","",_xlfn.XLOOKUP(G866:G4907,castles_state!A:A,castles_state!D:D,"見つかりません"))</f>
      </c>
      <c r="I866" s="4"/>
      <c r="J866" s="12" t="str">
        <f t="array" ref="J866">IF(I866:I4907="","",_xlfn.XLOOKUP(I866:I4907,'参照_姫'!A:A,'参照_姫'!B:B,"見つかりません"))</f>
      </c>
      <c r="K866" s="4">
        <v>95</v>
      </c>
      <c r="L866" s="4">
        <v>0</v>
      </c>
      <c r="M866" s="4"/>
      <c r="N866" s="4"/>
      <c r="O866" s="4"/>
      <c r="P866" s="12" t="str">
        <f t="array" ref="P866">IF(O866:O4907="","",_xlfn.XLOOKUP(O866:O4907,'参照_官位'!A:A,'参照_官位'!B:B,""))</f>
      </c>
      <c r="Q866" s="12" t="str">
        <f t="array" ref="Q866">IF(A866:A4907="","",IFERROR(_xlfn.XLOOKUP(A866:A4907,castles_state!K:K,castles_state!D:D)&amp;"主",IFERROR(_xlfn.XLOOKUP(A866:A4907,kunishuClan!D:D,kunishuClan!B:B)&amp;"当主","")))</f>
      </c>
    </row>
    <row r="867" ht="15.75" customHeight="1">
      <c r="A867" s="4">
        <v>1017001</v>
      </c>
      <c r="B867" s="12" t="str">
        <f t="array" ref="B867">IF(A867:A4908="","",_xlfn.XLOOKUP(A867:A4908,'参照_武将'!A:A,'参照_武将'!B:B,"見つかりません"))</f>
      </c>
      <c r="C867" s="4" t="s">
        <v>154</v>
      </c>
      <c r="D867" s="4">
        <v>17</v>
      </c>
      <c r="E867" s="12" t="str">
        <f t="array" ref="E867">IF(D867:D4908="","",IFERROR(_xlfn.XLOOKUP(D867:D4908,'参照_勢力'!A:A,'参照_勢力'!B:B),IFERROR(_xlfn.XLOOKUP(F867:F4908,kunishuClan!A:A,kunishuClan!B:B),"浪人")))</f>
      </c>
      <c r="F867" s="4">
        <v>0</v>
      </c>
      <c r="G867" s="4">
        <v>26</v>
      </c>
      <c r="H867" s="12" t="str">
        <f t="array" ref="H867">IF(G867:G4908="","",_xlfn.XLOOKUP(G867:G4908,castles_state!A:A,castles_state!D:D,"見つかりません"))</f>
      </c>
      <c r="I867" s="4"/>
      <c r="J867" s="12" t="str">
        <f t="array" ref="J867">IF(I867:I4908="","",_xlfn.XLOOKUP(I867:I4908,'参照_姫'!A:A,'参照_姫'!B:B,"見つかりません"))</f>
      </c>
      <c r="K867" s="4">
        <v>95</v>
      </c>
      <c r="L867" s="4">
        <v>0</v>
      </c>
      <c r="M867" s="4"/>
      <c r="N867" s="4"/>
      <c r="O867" s="4"/>
      <c r="P867" s="12" t="str">
        <f t="array" ref="P867">IF(O867:O4908="","",_xlfn.XLOOKUP(O867:O4908,'参照_官位'!A:A,'参照_官位'!B:B,""))</f>
      </c>
      <c r="Q867" s="12" t="str">
        <f t="array" ref="Q867">IF(A867:A4908="","",IFERROR(_xlfn.XLOOKUP(A867:A4908,castles_state!K:K,castles_state!D:D)&amp;"主",IFERROR(_xlfn.XLOOKUP(A867:A4908,kunishuClan!D:D,kunishuClan!B:B)&amp;"当主","")))</f>
      </c>
    </row>
    <row r="868" ht="15.75" customHeight="1">
      <c r="A868" s="4">
        <v>1017002</v>
      </c>
      <c r="B868" s="12" t="str">
        <f t="array" ref="B868">IF(A868:A4909="","",_xlfn.XLOOKUP(A868:A4909,'参照_武将'!A:A,'参照_武将'!B:B,"見つかりません"))</f>
      </c>
      <c r="C868" s="4" t="s">
        <v>154</v>
      </c>
      <c r="D868" s="4">
        <v>17</v>
      </c>
      <c r="E868" s="12" t="str">
        <f t="array" ref="E868">IF(D868:D4909="","",IFERROR(_xlfn.XLOOKUP(D868:D4909,'参照_勢力'!A:A,'参照_勢力'!B:B),IFERROR(_xlfn.XLOOKUP(F868:F4909,kunishuClan!A:A,kunishuClan!B:B),"浪人")))</f>
      </c>
      <c r="F868" s="4">
        <v>0</v>
      </c>
      <c r="G868" s="4">
        <v>26</v>
      </c>
      <c r="H868" s="12" t="str">
        <f t="array" ref="H868">IF(G868:G4909="","",_xlfn.XLOOKUP(G868:G4909,castles_state!A:A,castles_state!D:D,"見つかりません"))</f>
      </c>
      <c r="I868" s="4"/>
      <c r="J868" s="12" t="str">
        <f t="array" ref="J868">IF(I868:I4909="","",_xlfn.XLOOKUP(I868:I4909,'参照_姫'!A:A,'参照_姫'!B:B,"見つかりません"))</f>
      </c>
      <c r="K868" s="4">
        <v>95</v>
      </c>
      <c r="L868" s="4">
        <v>0</v>
      </c>
      <c r="M868" s="4"/>
      <c r="N868" s="4"/>
      <c r="O868" s="4"/>
      <c r="P868" s="12" t="str">
        <f t="array" ref="P868">IF(O868:O4909="","",_xlfn.XLOOKUP(O868:O4909,'参照_官位'!A:A,'参照_官位'!B:B,""))</f>
      </c>
      <c r="Q868" s="12" t="str">
        <f t="array" ref="Q868">IF(A868:A4909="","",IFERROR(_xlfn.XLOOKUP(A868:A4909,castles_state!K:K,castles_state!D:D)&amp;"主",IFERROR(_xlfn.XLOOKUP(A868:A4909,kunishuClan!D:D,kunishuClan!B:B)&amp;"当主","")))</f>
      </c>
    </row>
    <row r="869" ht="15.75" customHeight="1">
      <c r="A869" s="4">
        <v>1017003</v>
      </c>
      <c r="B869" s="12" t="str">
        <f t="array" ref="B869">IF(A869:A4910="","",_xlfn.XLOOKUP(A869:A4910,'参照_武将'!A:A,'参照_武将'!B:B,"見つかりません"))</f>
      </c>
      <c r="C869" s="4" t="s">
        <v>154</v>
      </c>
      <c r="D869" s="4">
        <v>17</v>
      </c>
      <c r="E869" s="12" t="str">
        <f t="array" ref="E869">IF(D869:D4910="","",IFERROR(_xlfn.XLOOKUP(D869:D4910,'参照_勢力'!A:A,'参照_勢力'!B:B),IFERROR(_xlfn.XLOOKUP(F869:F4910,kunishuClan!A:A,kunishuClan!B:B),"浪人")))</f>
      </c>
      <c r="F869" s="4">
        <v>0</v>
      </c>
      <c r="G869" s="4">
        <v>26</v>
      </c>
      <c r="H869" s="12" t="str">
        <f t="array" ref="H869">IF(G869:G4910="","",_xlfn.XLOOKUP(G869:G4910,castles_state!A:A,castles_state!D:D,"見つかりません"))</f>
      </c>
      <c r="I869" s="4"/>
      <c r="J869" s="12" t="str">
        <f t="array" ref="J869">IF(I869:I4910="","",_xlfn.XLOOKUP(I869:I4910,'参照_姫'!A:A,'参照_姫'!B:B,"見つかりません"))</f>
      </c>
      <c r="K869" s="4">
        <v>100</v>
      </c>
      <c r="L869" s="4">
        <v>2000</v>
      </c>
      <c r="M869" s="4"/>
      <c r="N869" s="4"/>
      <c r="O869" s="4" t="inlineStr">
        <is>
          <t>1|25</t>
        </is>
      </c>
      <c r="P869" s="12" t="str">
        <f t="array" ref="P869">IF(O869:O4910="","",_xlfn.XLOOKUP(O869:O4910,'参照_官位'!A:A,'参照_官位'!B:B,""))</f>
      </c>
      <c r="Q869" s="12" t="str">
        <f t="array" ref="Q869">IF(A869:A4910="","",IFERROR(_xlfn.XLOOKUP(A869:A4910,castles_state!K:K,castles_state!D:D)&amp;"主",IFERROR(_xlfn.XLOOKUP(A869:A4910,kunishuClan!D:D,kunishuClan!B:B)&amp;"当主","")))</f>
      </c>
    </row>
    <row r="870" ht="15.75" customHeight="1">
      <c r="A870" s="4">
        <v>1017004</v>
      </c>
      <c r="B870" s="12" t="str">
        <f t="array" ref="B870">IF(A870:A4911="","",_xlfn.XLOOKUP(A870:A4911,'参照_武将'!A:A,'参照_武将'!B:B,"見つかりません"))</f>
      </c>
      <c r="C870" s="4" t="s">
        <v>5925</v>
      </c>
      <c r="D870" s="4">
        <v>17</v>
      </c>
      <c r="E870" s="12" t="str">
        <f t="array" ref="E870">IF(D870:D4911="","",IFERROR(_xlfn.XLOOKUP(D870:D4911,'参照_勢力'!A:A,'参照_勢力'!B:B),IFERROR(_xlfn.XLOOKUP(F870:F4911,kunishuClan!A:A,kunishuClan!B:B),"浪人")))</f>
      </c>
      <c r="F870" s="4">
        <v>0</v>
      </c>
      <c r="G870" s="4">
        <v>26</v>
      </c>
      <c r="H870" s="12" t="str">
        <f t="array" ref="H870">IF(G870:G4911="","",_xlfn.XLOOKUP(G870:G4911,castles_state!A:A,castles_state!D:D,"見つかりません"))</f>
      </c>
      <c r="I870" s="4"/>
      <c r="J870" s="12" t="str">
        <f t="array" ref="J870">IF(I870:I4911="","",_xlfn.XLOOKUP(I870:I4911,'参照_姫'!A:A,'参照_姫'!B:B,"見つかりません"))</f>
      </c>
      <c r="K870" s="4">
        <v>100</v>
      </c>
      <c r="L870" s="4">
        <v>2000</v>
      </c>
      <c r="M870" s="4"/>
      <c r="N870" s="4"/>
      <c r="O870" s="4">
        <v>1</v>
      </c>
      <c r="P870" s="12" t="str">
        <f t="array" ref="P870">IF(O870:O4911="","",_xlfn.XLOOKUP(O870:O4911,'参照_官位'!A:A,'参照_官位'!B:B,""))</f>
      </c>
      <c r="Q870" s="12" t="str">
        <f t="array" ref="Q870">IF(A870:A4911="","",IFERROR(_xlfn.XLOOKUP(A870:A4911,castles_state!K:K,castles_state!D:D)&amp;"主",IFERROR(_xlfn.XLOOKUP(A870:A4911,kunishuClan!D:D,kunishuClan!B:B)&amp;"当主","")))</f>
      </c>
    </row>
    <row r="871" ht="15.75" customHeight="1">
      <c r="A871" s="4">
        <v>1017005</v>
      </c>
      <c r="B871" s="12" t="str">
        <f t="array" ref="B871">IF(A871:A4912="","",_xlfn.XLOOKUP(A871:A4912,'参照_武将'!A:A,'参照_武将'!B:B,"見つかりません"))</f>
      </c>
      <c r="C871" s="4" t="s">
        <v>5926</v>
      </c>
      <c r="D871" s="4">
        <v>0</v>
      </c>
      <c r="E871" s="12" t="str">
        <f t="array" ref="E871">IF(D871:D4912="","",IFERROR(_xlfn.XLOOKUP(D871:D4912,'参照_勢力'!A:A,'参照_勢力'!B:B),IFERROR(_xlfn.XLOOKUP(F871:F4912,kunishuClan!A:A,kunishuClan!B:B),"浪人")))</f>
      </c>
      <c r="F871" s="4">
        <v>48</v>
      </c>
      <c r="G871" s="4">
        <v>129</v>
      </c>
      <c r="H871" s="12" t="str">
        <f t="array" ref="H871">IF(G871:G4912="","",_xlfn.XLOOKUP(G871:G4912,castles_state!A:A,castles_state!D:D,"見つかりません"))</f>
      </c>
      <c r="I871" s="4"/>
      <c r="J871" s="12" t="str">
        <f t="array" ref="J871">IF(I871:I4912="","",_xlfn.XLOOKUP(I871:I4912,'参照_姫'!A:A,'参照_姫'!B:B,"見つかりません"))</f>
      </c>
      <c r="K871" s="4">
        <v>50</v>
      </c>
      <c r="L871" s="4">
        <v>700</v>
      </c>
      <c r="M871" s="4"/>
      <c r="N871" s="4"/>
      <c r="O871" s="4"/>
      <c r="P871" s="12" t="str">
        <f t="array" ref="P871">IF(O871:O4912="","",_xlfn.XLOOKUP(O871:O4912,'参照_官位'!A:A,'参照_官位'!B:B,""))</f>
      </c>
      <c r="Q871" s="12" t="str">
        <f t="array" ref="Q871">IF(A871:A4912="","",IFERROR(_xlfn.XLOOKUP(A871:A4912,castles_state!K:K,castles_state!D:D)&amp;"主",IFERROR(_xlfn.XLOOKUP(A871:A4912,kunishuClan!D:D,kunishuClan!B:B)&amp;"当主","")))</f>
      </c>
    </row>
    <row r="872" ht="15.75" customHeight="1">
      <c r="A872" s="4">
        <v>1017006</v>
      </c>
      <c r="B872" s="12" t="str">
        <f t="array" ref="B872">IF(A872:A4913="","",_xlfn.XLOOKUP(A872:A4913,'参照_武将'!A:A,'参照_武将'!B:B,"見つかりません"))</f>
      </c>
      <c r="C872" s="4" t="s">
        <v>5926</v>
      </c>
      <c r="D872" s="4">
        <v>0</v>
      </c>
      <c r="E872" s="12" t="str">
        <f t="array" ref="E872">IF(D872:D4913="","",IFERROR(_xlfn.XLOOKUP(D872:D4913,'参照_勢力'!A:A,'参照_勢力'!B:B),IFERROR(_xlfn.XLOOKUP(F872:F4913,kunishuClan!A:A,kunishuClan!B:B),"浪人")))</f>
      </c>
      <c r="F872" s="4">
        <v>48</v>
      </c>
      <c r="G872" s="4">
        <v>129</v>
      </c>
      <c r="H872" s="12" t="str">
        <f t="array" ref="H872">IF(G872:G4913="","",_xlfn.XLOOKUP(G872:G4913,castles_state!A:A,castles_state!D:D,"見つかりません"))</f>
      </c>
      <c r="I872" s="4"/>
      <c r="J872" s="12" t="str">
        <f t="array" ref="J872">IF(I872:I4913="","",_xlfn.XLOOKUP(I872:I4913,'参照_姫'!A:A,'参照_姫'!B:B,"見つかりません"))</f>
      </c>
      <c r="K872" s="4">
        <v>50</v>
      </c>
      <c r="L872" s="4">
        <v>700</v>
      </c>
      <c r="M872" s="4"/>
      <c r="N872" s="4"/>
      <c r="O872" s="4"/>
      <c r="P872" s="12" t="str">
        <f t="array" ref="P872">IF(O872:O4913="","",_xlfn.XLOOKUP(O872:O4913,'参照_官位'!A:A,'参照_官位'!B:B,""))</f>
      </c>
      <c r="Q872" s="12" t="str">
        <f t="array" ref="Q872">IF(A872:A4913="","",IFERROR(_xlfn.XLOOKUP(A872:A4913,castles_state!K:K,castles_state!D:D)&amp;"主",IFERROR(_xlfn.XLOOKUP(A872:A4913,kunishuClan!D:D,kunishuClan!B:B)&amp;"当主","")))</f>
      </c>
    </row>
    <row r="873" ht="15.75" customHeight="1">
      <c r="A873" s="4">
        <v>1017007</v>
      </c>
      <c r="B873" s="12" t="str">
        <f t="array" ref="B873">IF(A873:A4914="","",_xlfn.XLOOKUP(A873:A4914,'参照_武将'!A:A,'参照_武将'!B:B,"見つかりません"))</f>
      </c>
      <c r="C873" s="4" t="s">
        <v>154</v>
      </c>
      <c r="D873" s="4">
        <v>17</v>
      </c>
      <c r="E873" s="12" t="str">
        <f t="array" ref="E873">IF(D873:D4914="","",IFERROR(_xlfn.XLOOKUP(D873:D4914,'参照_勢力'!A:A,'参照_勢力'!B:B),IFERROR(_xlfn.XLOOKUP(F873:F4914,kunishuClan!A:A,kunishuClan!B:B),"浪人")))</f>
      </c>
      <c r="F873" s="4">
        <v>0</v>
      </c>
      <c r="G873" s="4">
        <v>26</v>
      </c>
      <c r="H873" s="12" t="str">
        <f t="array" ref="H873">IF(G873:G4914="","",_xlfn.XLOOKUP(G873:G4914,castles_state!A:A,castles_state!D:D,"見つかりません"))</f>
      </c>
      <c r="I873" s="4"/>
      <c r="J873" s="12" t="str">
        <f t="array" ref="J873">IF(I873:I4914="","",_xlfn.XLOOKUP(I873:I4914,'参照_姫'!A:A,'参照_姫'!B:B,"見つかりません"))</f>
      </c>
      <c r="K873" s="4">
        <v>95</v>
      </c>
      <c r="L873" s="4">
        <v>0</v>
      </c>
      <c r="M873" s="4"/>
      <c r="N873" s="4"/>
      <c r="O873" s="4"/>
      <c r="P873" s="12" t="str">
        <f t="array" ref="P873">IF(O873:O4914="","",_xlfn.XLOOKUP(O873:O4914,'参照_官位'!A:A,'参照_官位'!B:B,""))</f>
      </c>
      <c r="Q873" s="12" t="str">
        <f t="array" ref="Q873">IF(A873:A4914="","",IFERROR(_xlfn.XLOOKUP(A873:A4914,castles_state!K:K,castles_state!D:D)&amp;"主",IFERROR(_xlfn.XLOOKUP(A873:A4914,kunishuClan!D:D,kunishuClan!B:B)&amp;"当主","")))</f>
      </c>
    </row>
    <row r="874" ht="15.75" customHeight="1">
      <c r="A874" s="4">
        <v>1017008</v>
      </c>
      <c r="B874" s="12" t="str">
        <f t="array" ref="B874">IF(A874:A4915="","",_xlfn.XLOOKUP(A874:A4915,'参照_武将'!A:A,'参照_武将'!B:B,"見つかりません"))</f>
      </c>
      <c r="C874" s="4" t="s">
        <v>154</v>
      </c>
      <c r="D874" s="4">
        <v>17</v>
      </c>
      <c r="E874" s="12" t="str">
        <f t="array" ref="E874">IF(D874:D4915="","",IFERROR(_xlfn.XLOOKUP(D874:D4915,'参照_勢力'!A:A,'参照_勢力'!B:B),IFERROR(_xlfn.XLOOKUP(F874:F4915,kunishuClan!A:A,kunishuClan!B:B),"浪人")))</f>
      </c>
      <c r="F874" s="4">
        <v>0</v>
      </c>
      <c r="G874" s="4">
        <v>26</v>
      </c>
      <c r="H874" s="12" t="str">
        <f t="array" ref="H874">IF(G874:G4915="","",_xlfn.XLOOKUP(G874:G4915,castles_state!A:A,castles_state!D:D,"見つかりません"))</f>
      </c>
      <c r="I874" s="4"/>
      <c r="J874" s="12" t="str">
        <f t="array" ref="J874">IF(I874:I4915="","",_xlfn.XLOOKUP(I874:I4915,'参照_姫'!A:A,'参照_姫'!B:B,"見つかりません"))</f>
      </c>
      <c r="K874" s="4">
        <v>95</v>
      </c>
      <c r="L874" s="4">
        <v>0</v>
      </c>
      <c r="M874" s="4"/>
      <c r="N874" s="4"/>
      <c r="O874" s="4"/>
      <c r="P874" s="12" t="str">
        <f t="array" ref="P874">IF(O874:O4915="","",_xlfn.XLOOKUP(O874:O4915,'参照_官位'!A:A,'参照_官位'!B:B,""))</f>
      </c>
      <c r="Q874" s="12" t="str">
        <f t="array" ref="Q874">IF(A874:A4915="","",IFERROR(_xlfn.XLOOKUP(A874:A4915,castles_state!K:K,castles_state!D:D)&amp;"主",IFERROR(_xlfn.XLOOKUP(A874:A4915,kunishuClan!D:D,kunishuClan!B:B)&amp;"当主","")))</f>
      </c>
    </row>
    <row r="875" ht="15.75" customHeight="1">
      <c r="A875" s="4">
        <v>1017009</v>
      </c>
      <c r="B875" s="12" t="str">
        <f t="array" ref="B875">IF(A875:A4916="","",_xlfn.XLOOKUP(A875:A4916,'参照_武将'!A:A,'参照_武将'!B:B,"見つかりません"))</f>
      </c>
      <c r="C875" s="4" t="s">
        <v>154</v>
      </c>
      <c r="D875" s="4">
        <v>17</v>
      </c>
      <c r="E875" s="12" t="str">
        <f t="array" ref="E875">IF(D875:D4916="","",IFERROR(_xlfn.XLOOKUP(D875:D4916,'参照_勢力'!A:A,'参照_勢力'!B:B),IFERROR(_xlfn.XLOOKUP(F875:F4916,kunishuClan!A:A,kunishuClan!B:B),"浪人")))</f>
      </c>
      <c r="F875" s="4">
        <v>0</v>
      </c>
      <c r="G875" s="4">
        <v>26</v>
      </c>
      <c r="H875" s="12" t="str">
        <f t="array" ref="H875">IF(G875:G4916="","",_xlfn.XLOOKUP(G875:G4916,castles_state!A:A,castles_state!D:D,"見つかりません"))</f>
      </c>
      <c r="I875" s="4"/>
      <c r="J875" s="12" t="str">
        <f t="array" ref="J875">IF(I875:I4916="","",_xlfn.XLOOKUP(I875:I4916,'参照_姫'!A:A,'参照_姫'!B:B,"見つかりません"))</f>
      </c>
      <c r="K875" s="4">
        <v>95</v>
      </c>
      <c r="L875" s="4">
        <v>0</v>
      </c>
      <c r="M875" s="4"/>
      <c r="N875" s="4"/>
      <c r="O875" s="4"/>
      <c r="P875" s="12" t="str">
        <f t="array" ref="P875">IF(O875:O4916="","",_xlfn.XLOOKUP(O875:O4916,'参照_官位'!A:A,'参照_官位'!B:B,""))</f>
      </c>
      <c r="Q875" s="12" t="str">
        <f t="array" ref="Q875">IF(A875:A4916="","",IFERROR(_xlfn.XLOOKUP(A875:A4916,castles_state!K:K,castles_state!D:D)&amp;"主",IFERROR(_xlfn.XLOOKUP(A875:A4916,kunishuClan!D:D,kunishuClan!B:B)&amp;"当主","")))</f>
      </c>
    </row>
    <row r="876" ht="15.75" customHeight="1">
      <c r="A876" s="4">
        <v>1017010</v>
      </c>
      <c r="B876" s="12" t="str">
        <f t="array" ref="B876">IF(A876:A4917="","",_xlfn.XLOOKUP(A876:A4917,'参照_武将'!A:A,'参照_武将'!B:B,"見つかりません"))</f>
      </c>
      <c r="C876" s="4" t="s">
        <v>154</v>
      </c>
      <c r="D876" s="4">
        <v>1</v>
      </c>
      <c r="E876" s="12" t="str">
        <f t="array" ref="E876">IF(D876:D4917="","",IFERROR(_xlfn.XLOOKUP(D876:D4917,'参照_勢力'!A:A,'参照_勢力'!B:B),IFERROR(_xlfn.XLOOKUP(F876:F4917,kunishuClan!A:A,kunishuClan!B:B),"浪人")))</f>
      </c>
      <c r="F876" s="4">
        <v>0</v>
      </c>
      <c r="G876" s="4">
        <v>177</v>
      </c>
      <c r="H876" s="12" t="str">
        <f t="array" ref="H876">IF(G876:G4917="","",_xlfn.XLOOKUP(G876:G4917,castles_state!A:A,castles_state!D:D,"見つかりません"))</f>
      </c>
      <c r="I876" s="4"/>
      <c r="J876" s="12" t="str">
        <f t="array" ref="J876">IF(I876:I4917="","",_xlfn.XLOOKUP(I876:I4917,'参照_姫'!A:A,'参照_姫'!B:B,"見つかりません"))</f>
      </c>
      <c r="K876" s="4">
        <v>95</v>
      </c>
      <c r="L876" s="4">
        <v>0</v>
      </c>
      <c r="M876" s="4"/>
      <c r="N876" s="4"/>
      <c r="O876" s="4"/>
      <c r="P876" s="12" t="str">
        <f t="array" ref="P876">IF(O876:O4917="","",_xlfn.XLOOKUP(O876:O4917,'参照_官位'!A:A,'参照_官位'!B:B,""))</f>
      </c>
      <c r="Q876" s="12" t="str">
        <f t="array" ref="Q876">IF(A876:A4917="","",IFERROR(_xlfn.XLOOKUP(A876:A4917,castles_state!K:K,castles_state!D:D)&amp;"主",IFERROR(_xlfn.XLOOKUP(A876:A4917,kunishuClan!D:D,kunishuClan!B:B)&amp;"当主","")))</f>
      </c>
    </row>
    <row r="877" ht="15.75" customHeight="1">
      <c r="A877" s="4">
        <v>1017011</v>
      </c>
      <c r="B877" s="12" t="str">
        <f t="array" ref="B877">IF(A877:A4918="","",_xlfn.XLOOKUP(A877:A4918,'参照_武将'!A:A,'参照_武将'!B:B,"見つかりません"))</f>
      </c>
      <c r="C877" s="4" t="s">
        <v>154</v>
      </c>
      <c r="D877" s="4">
        <v>1</v>
      </c>
      <c r="E877" s="12" t="str">
        <f t="array" ref="E877">IF(D877:D4918="","",IFERROR(_xlfn.XLOOKUP(D877:D4918,'参照_勢力'!A:A,'参照_勢力'!B:B),IFERROR(_xlfn.XLOOKUP(F877:F4918,kunishuClan!A:A,kunishuClan!B:B),"浪人")))</f>
      </c>
      <c r="F877" s="4">
        <v>0</v>
      </c>
      <c r="G877" s="4">
        <v>177</v>
      </c>
      <c r="H877" s="12" t="str">
        <f t="array" ref="H877">IF(G877:G4918="","",_xlfn.XLOOKUP(G877:G4918,castles_state!A:A,castles_state!D:D,"見つかりません"))</f>
      </c>
      <c r="I877" s="4"/>
      <c r="J877" s="12" t="str">
        <f t="array" ref="J877">IF(I877:I4918="","",_xlfn.XLOOKUP(I877:I4918,'参照_姫'!A:A,'参照_姫'!B:B,"見つかりません"))</f>
      </c>
      <c r="K877" s="4">
        <v>95</v>
      </c>
      <c r="L877" s="4">
        <v>0</v>
      </c>
      <c r="M877" s="4"/>
      <c r="N877" s="4"/>
      <c r="O877" s="4"/>
      <c r="P877" s="12" t="str">
        <f t="array" ref="P877">IF(O877:O4918="","",_xlfn.XLOOKUP(O877:O4918,'参照_官位'!A:A,'参照_官位'!B:B,""))</f>
      </c>
      <c r="Q877" s="12" t="str">
        <f t="array" ref="Q877">IF(A877:A4918="","",IFERROR(_xlfn.XLOOKUP(A877:A4918,castles_state!K:K,castles_state!D:D)&amp;"主",IFERROR(_xlfn.XLOOKUP(A877:A4918,kunishuClan!D:D,kunishuClan!B:B)&amp;"当主","")))</f>
      </c>
    </row>
    <row r="878" ht="15.75" customHeight="1">
      <c r="A878" s="4">
        <v>1017012</v>
      </c>
      <c r="B878" s="12" t="str">
        <f t="array" ref="B878">IF(A878:A4919="","",_xlfn.XLOOKUP(A878:A4919,'参照_武将'!A:A,'参照_武将'!B:B,"見つかりません"))</f>
      </c>
      <c r="C878" s="4" t="s">
        <v>154</v>
      </c>
      <c r="D878" s="4">
        <v>1</v>
      </c>
      <c r="E878" s="12" t="str">
        <f t="array" ref="E878">IF(D878:D4919="","",IFERROR(_xlfn.XLOOKUP(D878:D4919,'参照_勢力'!A:A,'参照_勢力'!B:B),IFERROR(_xlfn.XLOOKUP(F878:F4919,kunishuClan!A:A,kunishuClan!B:B),"浪人")))</f>
      </c>
      <c r="F878" s="4">
        <v>0</v>
      </c>
      <c r="G878" s="4">
        <v>177</v>
      </c>
      <c r="H878" s="12" t="str">
        <f t="array" ref="H878">IF(G878:G4919="","",_xlfn.XLOOKUP(G878:G4919,castles_state!A:A,castles_state!D:D,"見つかりません"))</f>
      </c>
      <c r="I878" s="4"/>
      <c r="J878" s="12" t="str">
        <f t="array" ref="J878">IF(I878:I4919="","",_xlfn.XLOOKUP(I878:I4919,'参照_姫'!A:A,'参照_姫'!B:B,"見つかりません"))</f>
      </c>
      <c r="K878" s="4">
        <v>95</v>
      </c>
      <c r="L878" s="4">
        <v>0</v>
      </c>
      <c r="M878" s="4"/>
      <c r="N878" s="4"/>
      <c r="O878" s="4"/>
      <c r="P878" s="12" t="str">
        <f t="array" ref="P878">IF(O878:O4919="","",_xlfn.XLOOKUP(O878:O4919,'参照_官位'!A:A,'参照_官位'!B:B,""))</f>
      </c>
      <c r="Q878" s="12" t="str">
        <f t="array" ref="Q878">IF(A878:A4919="","",IFERROR(_xlfn.XLOOKUP(A878:A4919,castles_state!K:K,castles_state!D:D)&amp;"主",IFERROR(_xlfn.XLOOKUP(A878:A4919,kunishuClan!D:D,kunishuClan!B:B)&amp;"当主","")))</f>
      </c>
    </row>
    <row r="879" ht="15.75" customHeight="1">
      <c r="A879" s="4">
        <v>1017013</v>
      </c>
      <c r="B879" s="12" t="str">
        <f t="array" ref="B879">IF(A879:A4920="","",_xlfn.XLOOKUP(A879:A4920,'参照_武将'!A:A,'参照_武将'!B:B,"見つかりません"))</f>
      </c>
      <c r="C879" s="4" t="s">
        <v>154</v>
      </c>
      <c r="D879" s="4">
        <v>1</v>
      </c>
      <c r="E879" s="12" t="str">
        <f t="array" ref="E879">IF(D879:D4920="","",IFERROR(_xlfn.XLOOKUP(D879:D4920,'参照_勢力'!A:A,'参照_勢力'!B:B),IFERROR(_xlfn.XLOOKUP(F879:F4920,kunishuClan!A:A,kunishuClan!B:B),"浪人")))</f>
      </c>
      <c r="F879" s="4">
        <v>0</v>
      </c>
      <c r="G879" s="4">
        <v>177</v>
      </c>
      <c r="H879" s="12" t="str">
        <f t="array" ref="H879">IF(G879:G4920="","",_xlfn.XLOOKUP(G879:G4920,castles_state!A:A,castles_state!D:D,"見つかりません"))</f>
      </c>
      <c r="I879" s="4"/>
      <c r="J879" s="12" t="str">
        <f t="array" ref="J879">IF(I879:I4920="","",_xlfn.XLOOKUP(I879:I4920,'参照_姫'!A:A,'参照_姫'!B:B,"見つかりません"))</f>
      </c>
      <c r="K879" s="4">
        <v>95</v>
      </c>
      <c r="L879" s="4">
        <v>0</v>
      </c>
      <c r="M879" s="4"/>
      <c r="N879" s="4"/>
      <c r="O879" s="4"/>
      <c r="P879" s="12" t="str">
        <f t="array" ref="P879">IF(O879:O4920="","",_xlfn.XLOOKUP(O879:O4920,'参照_官位'!A:A,'参照_官位'!B:B,""))</f>
      </c>
      <c r="Q879" s="12" t="str">
        <f t="array" ref="Q879">IF(A879:A4920="","",IFERROR(_xlfn.XLOOKUP(A879:A4920,castles_state!K:K,castles_state!D:D)&amp;"主",IFERROR(_xlfn.XLOOKUP(A879:A4920,kunishuClan!D:D,kunishuClan!B:B)&amp;"当主","")))</f>
      </c>
    </row>
    <row r="880" ht="15.75" customHeight="1">
      <c r="A880" s="4">
        <v>1017014</v>
      </c>
      <c r="B880" s="12" t="str">
        <f t="array" ref="B880">IF(A880:A4921="","",_xlfn.XLOOKUP(A880:A4921,'参照_武将'!A:A,'参照_武将'!B:B,"見つかりません"))</f>
      </c>
      <c r="C880" s="4" t="s">
        <v>154</v>
      </c>
      <c r="D880" s="4">
        <v>1</v>
      </c>
      <c r="E880" s="12" t="str">
        <f t="array" ref="E880">IF(D880:D4921="","",IFERROR(_xlfn.XLOOKUP(D880:D4921,'参照_勢力'!A:A,'参照_勢力'!B:B),IFERROR(_xlfn.XLOOKUP(F880:F4921,kunishuClan!A:A,kunishuClan!B:B),"浪人")))</f>
      </c>
      <c r="F880" s="4">
        <v>0</v>
      </c>
      <c r="G880" s="4">
        <v>177</v>
      </c>
      <c r="H880" s="12" t="str">
        <f t="array" ref="H880">IF(G880:G4921="","",_xlfn.XLOOKUP(G880:G4921,castles_state!A:A,castles_state!D:D,"見つかりません"))</f>
      </c>
      <c r="I880" s="4"/>
      <c r="J880" s="12" t="str">
        <f t="array" ref="J880">IF(I880:I4921="","",_xlfn.XLOOKUP(I880:I4921,'参照_姫'!A:A,'参照_姫'!B:B,"見つかりません"))</f>
      </c>
      <c r="K880" s="4">
        <v>95</v>
      </c>
      <c r="L880" s="4">
        <v>0</v>
      </c>
      <c r="M880" s="4"/>
      <c r="N880" s="4"/>
      <c r="O880" s="4"/>
      <c r="P880" s="12" t="str">
        <f t="array" ref="P880">IF(O880:O4921="","",_xlfn.XLOOKUP(O880:O4921,'参照_官位'!A:A,'参照_官位'!B:B,""))</f>
      </c>
      <c r="Q880" s="12" t="str">
        <f t="array" ref="Q880">IF(A880:A4921="","",IFERROR(_xlfn.XLOOKUP(A880:A4921,castles_state!K:K,castles_state!D:D)&amp;"主",IFERROR(_xlfn.XLOOKUP(A880:A4921,kunishuClan!D:D,kunishuClan!B:B)&amp;"当主","")))</f>
      </c>
    </row>
    <row r="881" ht="15.75" customHeight="1">
      <c r="A881" s="4">
        <v>1017015</v>
      </c>
      <c r="B881" s="12" t="str">
        <f t="array" ref="B881">IF(A881:A4922="","",_xlfn.XLOOKUP(A881:A4922,'参照_武将'!A:A,'参照_武将'!B:B,"見つかりません"))</f>
      </c>
      <c r="C881" s="4" t="s">
        <v>154</v>
      </c>
      <c r="D881" s="4">
        <v>1</v>
      </c>
      <c r="E881" s="12" t="str">
        <f t="array" ref="E881">IF(D881:D4922="","",IFERROR(_xlfn.XLOOKUP(D881:D4922,'参照_勢力'!A:A,'参照_勢力'!B:B),IFERROR(_xlfn.XLOOKUP(F881:F4922,kunishuClan!A:A,kunishuClan!B:B),"浪人")))</f>
      </c>
      <c r="F881" s="4">
        <v>0</v>
      </c>
      <c r="G881" s="4">
        <v>177</v>
      </c>
      <c r="H881" s="12" t="str">
        <f t="array" ref="H881">IF(G881:G4922="","",_xlfn.XLOOKUP(G881:G4922,castles_state!A:A,castles_state!D:D,"見つかりません"))</f>
      </c>
      <c r="I881" s="4"/>
      <c r="J881" s="12" t="str">
        <f t="array" ref="J881">IF(I881:I4922="","",_xlfn.XLOOKUP(I881:I4922,'参照_姫'!A:A,'参照_姫'!B:B,"見つかりません"))</f>
      </c>
      <c r="K881" s="4">
        <v>95</v>
      </c>
      <c r="L881" s="4">
        <v>0</v>
      </c>
      <c r="M881" s="4"/>
      <c r="N881" s="4"/>
      <c r="O881" s="4"/>
      <c r="P881" s="12" t="str">
        <f t="array" ref="P881">IF(O881:O4922="","",_xlfn.XLOOKUP(O881:O4922,'参照_官位'!A:A,'参照_官位'!B:B,""))</f>
      </c>
      <c r="Q881" s="12" t="str">
        <f t="array" ref="Q881">IF(A881:A4922="","",IFERROR(_xlfn.XLOOKUP(A881:A4922,castles_state!K:K,castles_state!D:D)&amp;"主",IFERROR(_xlfn.XLOOKUP(A881:A4922,kunishuClan!D:D,kunishuClan!B:B)&amp;"当主","")))</f>
      </c>
    </row>
    <row r="882" ht="15.75" customHeight="1">
      <c r="A882" s="4">
        <v>1017016</v>
      </c>
      <c r="B882" s="12" t="str">
        <f t="array" ref="B882">IF(A882:A4923="","",_xlfn.XLOOKUP(A882:A4923,'参照_武将'!A:A,'参照_武将'!B:B,"見つかりません"))</f>
      </c>
      <c r="C882" s="4" t="s">
        <v>154</v>
      </c>
      <c r="D882" s="4">
        <v>17</v>
      </c>
      <c r="E882" s="12" t="str">
        <f t="array" ref="E882">IF(D882:D4923="","",IFERROR(_xlfn.XLOOKUP(D882:D4923,'参照_勢力'!A:A,'参照_勢力'!B:B),IFERROR(_xlfn.XLOOKUP(F882:F4923,kunishuClan!A:A,kunishuClan!B:B),"浪人")))</f>
      </c>
      <c r="F882" s="4">
        <v>0</v>
      </c>
      <c r="G882" s="4">
        <v>26</v>
      </c>
      <c r="H882" s="12" t="str">
        <f t="array" ref="H882">IF(G882:G4923="","",_xlfn.XLOOKUP(G882:G4923,castles_state!A:A,castles_state!D:D,"見つかりません"))</f>
      </c>
      <c r="I882" s="4"/>
      <c r="J882" s="12" t="str">
        <f t="array" ref="J882">IF(I882:I4923="","",_xlfn.XLOOKUP(I882:I4923,'参照_姫'!A:A,'参照_姫'!B:B,"見つかりません"))</f>
      </c>
      <c r="K882" s="4">
        <v>90</v>
      </c>
      <c r="L882" s="4">
        <v>0</v>
      </c>
      <c r="M882" s="4"/>
      <c r="N882" s="4"/>
      <c r="O882" s="4"/>
      <c r="P882" s="12" t="str">
        <f t="array" ref="P882">IF(O882:O4923="","",_xlfn.XLOOKUP(O882:O4923,'参照_官位'!A:A,'参照_官位'!B:B,""))</f>
      </c>
      <c r="Q882" s="12" t="str">
        <f t="array" ref="Q882">IF(A882:A4923="","",IFERROR(_xlfn.XLOOKUP(A882:A4923,castles_state!K:K,castles_state!D:D)&amp;"主",IFERROR(_xlfn.XLOOKUP(A882:A4923,kunishuClan!D:D,kunishuClan!B:B)&amp;"当主","")))</f>
      </c>
    </row>
    <row r="883" ht="15.75" customHeight="1">
      <c r="A883" s="4">
        <v>1017017</v>
      </c>
      <c r="B883" s="12" t="str">
        <f t="array" ref="B883">IF(A883:A4924="","",_xlfn.XLOOKUP(A883:A4924,'参照_武将'!A:A,'参照_武将'!B:B,"見つかりません"))</f>
      </c>
      <c r="C883" s="4" t="s">
        <v>465</v>
      </c>
      <c r="D883" s="4">
        <v>44</v>
      </c>
      <c r="E883" s="12" t="str">
        <f t="array" ref="E883">IF(D883:D4924="","",IFERROR(_xlfn.XLOOKUP(D883:D4924,'参照_勢力'!A:A,'参照_勢力'!B:B),IFERROR(_xlfn.XLOOKUP(F883:F4924,kunishuClan!A:A,kunishuClan!B:B),"浪人")))</f>
      </c>
      <c r="F883" s="4">
        <v>0</v>
      </c>
      <c r="G883" s="4">
        <v>115</v>
      </c>
      <c r="H883" s="12" t="str">
        <f t="array" ref="H883">IF(G883:G4924="","",_xlfn.XLOOKUP(G883:G4924,castles_state!A:A,castles_state!D:D,"見つかりません"))</f>
      </c>
      <c r="I883" s="4"/>
      <c r="J883" s="12" t="str">
        <f t="array" ref="J883">IF(I883:I4924="","",_xlfn.XLOOKUP(I883:I4924,'参照_姫'!A:A,'参照_姫'!B:B,"見つかりません"))</f>
      </c>
      <c r="K883" s="4">
        <v>90</v>
      </c>
      <c r="L883" s="4">
        <v>0</v>
      </c>
      <c r="M883" s="4"/>
      <c r="N883" s="4"/>
      <c r="O883" s="4"/>
      <c r="P883" s="12" t="str">
        <f t="array" ref="P883">IF(O883:O4924="","",_xlfn.XLOOKUP(O883:O4924,'参照_官位'!A:A,'参照_官位'!B:B,""))</f>
      </c>
      <c r="Q883" s="12" t="str">
        <f t="array" ref="Q883">IF(A883:A4924="","",IFERROR(_xlfn.XLOOKUP(A883:A4924,castles_state!K:K,castles_state!D:D)&amp;"主",IFERROR(_xlfn.XLOOKUP(A883:A4924,kunishuClan!D:D,kunishuClan!B:B)&amp;"当主","")))</f>
      </c>
    </row>
    <row r="884" ht="15.75" customHeight="1">
      <c r="A884" s="4">
        <v>1017018</v>
      </c>
      <c r="B884" s="12" t="str">
        <f t="array" ref="B884">IF(A884:A4925="","",_xlfn.XLOOKUP(A884:A4925,'参照_武将'!A:A,'参照_武将'!B:B,"見つかりません"))</f>
      </c>
      <c r="C884" s="4" t="s">
        <v>154</v>
      </c>
      <c r="D884" s="4">
        <v>17</v>
      </c>
      <c r="E884" s="12" t="str">
        <f t="array" ref="E884">IF(D884:D4925="","",IFERROR(_xlfn.XLOOKUP(D884:D4925,'参照_勢力'!A:A,'参照_勢力'!B:B),IFERROR(_xlfn.XLOOKUP(F884:F4925,kunishuClan!A:A,kunishuClan!B:B),"浪人")))</f>
      </c>
      <c r="F884" s="4">
        <v>0</v>
      </c>
      <c r="G884" s="4">
        <v>26</v>
      </c>
      <c r="H884" s="12" t="str">
        <f t="array" ref="H884">IF(G884:G4925="","",_xlfn.XLOOKUP(G884:G4925,castles_state!A:A,castles_state!D:D,"見つかりません"))</f>
      </c>
      <c r="I884" s="4"/>
      <c r="J884" s="12" t="str">
        <f t="array" ref="J884">IF(I884:I4925="","",_xlfn.XLOOKUP(I884:I4925,'参照_姫'!A:A,'参照_姫'!B:B,"見つかりません"))</f>
      </c>
      <c r="K884" s="4">
        <v>90</v>
      </c>
      <c r="L884" s="4">
        <v>0</v>
      </c>
      <c r="M884" s="4"/>
      <c r="N884" s="4"/>
      <c r="O884" s="4"/>
      <c r="P884" s="12" t="str">
        <f t="array" ref="P884">IF(O884:O4925="","",_xlfn.XLOOKUP(O884:O4925,'参照_官位'!A:A,'参照_官位'!B:B,""))</f>
      </c>
      <c r="Q884" s="12" t="str">
        <f t="array" ref="Q884">IF(A884:A4925="","",IFERROR(_xlfn.XLOOKUP(A884:A4925,castles_state!K:K,castles_state!D:D)&amp;"主",IFERROR(_xlfn.XLOOKUP(A884:A4925,kunishuClan!D:D,kunishuClan!B:B)&amp;"当主","")))</f>
      </c>
    </row>
    <row r="885" ht="15.75" customHeight="1">
      <c r="A885" s="4">
        <v>1017019</v>
      </c>
      <c r="B885" s="12" t="str">
        <f t="array" ref="B885">IF(A885:A4926="","",_xlfn.XLOOKUP(A885:A4926,'参照_武将'!A:A,'参照_武将'!B:B,"見つかりません"))</f>
      </c>
      <c r="C885" s="4" t="s">
        <v>154</v>
      </c>
      <c r="D885" s="4">
        <v>17</v>
      </c>
      <c r="E885" s="12" t="str">
        <f t="array" ref="E885">IF(D885:D4926="","",IFERROR(_xlfn.XLOOKUP(D885:D4926,'参照_勢力'!A:A,'参照_勢力'!B:B),IFERROR(_xlfn.XLOOKUP(F885:F4926,kunishuClan!A:A,kunishuClan!B:B),"浪人")))</f>
      </c>
      <c r="F885" s="4">
        <v>0</v>
      </c>
      <c r="G885" s="4">
        <v>90</v>
      </c>
      <c r="H885" s="12" t="str">
        <f t="array" ref="H885">IF(G885:G4926="","",_xlfn.XLOOKUP(G885:G4926,castles_state!A:A,castles_state!D:D,"見つかりません"))</f>
      </c>
      <c r="I885" s="4"/>
      <c r="J885" s="12" t="str">
        <f t="array" ref="J885">IF(I885:I4926="","",_xlfn.XLOOKUP(I885:I4926,'参照_姫'!A:A,'参照_姫'!B:B,"見つかりません"))</f>
      </c>
      <c r="K885" s="4">
        <v>90</v>
      </c>
      <c r="L885" s="4">
        <v>0</v>
      </c>
      <c r="M885" s="4"/>
      <c r="N885" s="4"/>
      <c r="O885" s="4"/>
      <c r="P885" s="12" t="str">
        <f t="array" ref="P885">IF(O885:O4926="","",_xlfn.XLOOKUP(O885:O4926,'参照_官位'!A:A,'参照_官位'!B:B,""))</f>
      </c>
      <c r="Q885" s="12" t="str">
        <f t="array" ref="Q885">IF(A885:A4926="","",IFERROR(_xlfn.XLOOKUP(A885:A4926,castles_state!K:K,castles_state!D:D)&amp;"主",IFERROR(_xlfn.XLOOKUP(A885:A4926,kunishuClan!D:D,kunishuClan!B:B)&amp;"当主","")))</f>
      </c>
    </row>
    <row r="886" ht="15.75" customHeight="1">
      <c r="A886" s="4">
        <v>1017020</v>
      </c>
      <c r="B886" s="12" t="str">
        <f t="array" ref="B886">IF(A886:A4927="","",_xlfn.XLOOKUP(A886:A4927,'参照_武将'!A:A,'参照_武将'!B:B,"見つかりません"))</f>
      </c>
      <c r="C886" s="4" t="s">
        <v>154</v>
      </c>
      <c r="D886" s="4">
        <v>17</v>
      </c>
      <c r="E886" s="12" t="str">
        <f t="array" ref="E886">IF(D886:D4927="","",IFERROR(_xlfn.XLOOKUP(D886:D4927,'参照_勢力'!A:A,'参照_勢力'!B:B),IFERROR(_xlfn.XLOOKUP(F886:F4927,kunishuClan!A:A,kunishuClan!B:B),"浪人")))</f>
      </c>
      <c r="F886" s="4">
        <v>0</v>
      </c>
      <c r="G886" s="4">
        <v>26</v>
      </c>
      <c r="H886" s="12" t="str">
        <f t="array" ref="H886">IF(G886:G4927="","",_xlfn.XLOOKUP(G886:G4927,castles_state!A:A,castles_state!D:D,"見つかりません"))</f>
      </c>
      <c r="I886" s="4"/>
      <c r="J886" s="12" t="str">
        <f t="array" ref="J886">IF(I886:I4927="","",_xlfn.XLOOKUP(I886:I4927,'参照_姫'!A:A,'参照_姫'!B:B,"見つかりません"))</f>
      </c>
      <c r="K886" s="4">
        <v>90</v>
      </c>
      <c r="L886" s="4">
        <v>0</v>
      </c>
      <c r="M886" s="4"/>
      <c r="N886" s="4"/>
      <c r="O886" s="4"/>
      <c r="P886" s="12" t="str">
        <f t="array" ref="P886">IF(O886:O4927="","",_xlfn.XLOOKUP(O886:O4927,'参照_官位'!A:A,'参照_官位'!B:B,""))</f>
      </c>
      <c r="Q886" s="12" t="str">
        <f t="array" ref="Q886">IF(A886:A4927="","",IFERROR(_xlfn.XLOOKUP(A886:A4927,castles_state!K:K,castles_state!D:D)&amp;"主",IFERROR(_xlfn.XLOOKUP(A886:A4927,kunishuClan!D:D,kunishuClan!B:B)&amp;"当主","")))</f>
      </c>
    </row>
    <row r="887" ht="15.75" customHeight="1">
      <c r="A887" s="4">
        <v>1017021</v>
      </c>
      <c r="B887" s="12" t="str">
        <f t="array" ref="B887">IF(A887:A4928="","",_xlfn.XLOOKUP(A887:A4928,'参照_武将'!A:A,'参照_武将'!B:B,"見つかりません"))</f>
      </c>
      <c r="C887" s="4" t="s">
        <v>154</v>
      </c>
      <c r="D887" s="4">
        <v>17</v>
      </c>
      <c r="E887" s="12" t="str">
        <f t="array" ref="E887">IF(D887:D4928="","",IFERROR(_xlfn.XLOOKUP(D887:D4928,'参照_勢力'!A:A,'参照_勢力'!B:B),IFERROR(_xlfn.XLOOKUP(F887:F4928,kunishuClan!A:A,kunishuClan!B:B),"浪人")))</f>
      </c>
      <c r="F887" s="4">
        <v>0</v>
      </c>
      <c r="G887" s="4">
        <v>90</v>
      </c>
      <c r="H887" s="12" t="str">
        <f t="array" ref="H887">IF(G887:G4928="","",_xlfn.XLOOKUP(G887:G4928,castles_state!A:A,castles_state!D:D,"見つかりません"))</f>
      </c>
      <c r="I887" s="4"/>
      <c r="J887" s="12" t="str">
        <f t="array" ref="J887">IF(I887:I4928="","",_xlfn.XLOOKUP(I887:I4928,'参照_姫'!A:A,'参照_姫'!B:B,"見つかりません"))</f>
      </c>
      <c r="K887" s="4">
        <v>95</v>
      </c>
      <c r="L887" s="4">
        <v>0</v>
      </c>
      <c r="M887" s="4"/>
      <c r="N887" s="4"/>
      <c r="O887" s="4"/>
      <c r="P887" s="12" t="str">
        <f t="array" ref="P887">IF(O887:O4928="","",_xlfn.XLOOKUP(O887:O4928,'参照_官位'!A:A,'参照_官位'!B:B,""))</f>
      </c>
      <c r="Q887" s="12" t="str">
        <f t="array" ref="Q887">IF(A887:A4928="","",IFERROR(_xlfn.XLOOKUP(A887:A4928,castles_state!K:K,castles_state!D:D)&amp;"主",IFERROR(_xlfn.XLOOKUP(A887:A4928,kunishuClan!D:D,kunishuClan!B:B)&amp;"当主","")))</f>
      </c>
    </row>
    <row r="888" ht="15.75" customHeight="1">
      <c r="A888" s="4">
        <v>1017022</v>
      </c>
      <c r="B888" s="12" t="str">
        <f t="array" ref="B888">IF(A888:A4929="","",_xlfn.XLOOKUP(A888:A4929,'参照_武将'!A:A,'参照_武将'!B:B,"見つかりません"))</f>
      </c>
      <c r="C888" s="4" t="s">
        <v>154</v>
      </c>
      <c r="D888" s="4">
        <v>17</v>
      </c>
      <c r="E888" s="12" t="str">
        <f t="array" ref="E888">IF(D888:D4929="","",IFERROR(_xlfn.XLOOKUP(D888:D4929,'参照_勢力'!A:A,'参照_勢力'!B:B),IFERROR(_xlfn.XLOOKUP(F888:F4929,kunishuClan!A:A,kunishuClan!B:B),"浪人")))</f>
      </c>
      <c r="F888" s="4">
        <v>0</v>
      </c>
      <c r="G888" s="4">
        <v>90</v>
      </c>
      <c r="H888" s="12" t="str">
        <f t="array" ref="H888">IF(G888:G4929="","",_xlfn.XLOOKUP(G888:G4929,castles_state!A:A,castles_state!D:D,"見つかりません"))</f>
      </c>
      <c r="I888" s="4"/>
      <c r="J888" s="12" t="str">
        <f t="array" ref="J888">IF(I888:I4929="","",_xlfn.XLOOKUP(I888:I4929,'参照_姫'!A:A,'参照_姫'!B:B,"見つかりません"))</f>
      </c>
      <c r="K888" s="4">
        <v>95</v>
      </c>
      <c r="L888" s="4">
        <v>0</v>
      </c>
      <c r="M888" s="4"/>
      <c r="N888" s="4"/>
      <c r="O888" s="4"/>
      <c r="P888" s="12" t="str">
        <f t="array" ref="P888">IF(O888:O4929="","",_xlfn.XLOOKUP(O888:O4929,'参照_官位'!A:A,'参照_官位'!B:B,""))</f>
      </c>
      <c r="Q888" s="12" t="str">
        <f t="array" ref="Q888">IF(A888:A4929="","",IFERROR(_xlfn.XLOOKUP(A888:A4929,castles_state!K:K,castles_state!D:D)&amp;"主",IFERROR(_xlfn.XLOOKUP(A888:A4929,kunishuClan!D:D,kunishuClan!B:B)&amp;"当主","")))</f>
      </c>
    </row>
    <row r="889" ht="15.75" customHeight="1">
      <c r="A889" s="4">
        <v>1017023</v>
      </c>
      <c r="B889" s="12" t="str">
        <f t="array" ref="B889">IF(A889:A4930="","",_xlfn.XLOOKUP(A889:A4930,'参照_武将'!A:A,'参照_武将'!B:B,"見つかりません"))</f>
      </c>
      <c r="C889" s="4" t="s">
        <v>154</v>
      </c>
      <c r="D889" s="4">
        <v>17</v>
      </c>
      <c r="E889" s="12" t="str">
        <f t="array" ref="E889">IF(D889:D4930="","",IFERROR(_xlfn.XLOOKUP(D889:D4930,'参照_勢力'!A:A,'参照_勢力'!B:B),IFERROR(_xlfn.XLOOKUP(F889:F4930,kunishuClan!A:A,kunishuClan!B:B),"浪人")))</f>
      </c>
      <c r="F889" s="4">
        <v>0</v>
      </c>
      <c r="G889" s="4">
        <v>26</v>
      </c>
      <c r="H889" s="12" t="str">
        <f t="array" ref="H889">IF(G889:G4930="","",_xlfn.XLOOKUP(G889:G4930,castles_state!A:A,castles_state!D:D,"見つかりません"))</f>
      </c>
      <c r="I889" s="4"/>
      <c r="J889" s="12" t="str">
        <f t="array" ref="J889">IF(I889:I4930="","",_xlfn.XLOOKUP(I889:I4930,'参照_姫'!A:A,'参照_姫'!B:B,"見つかりません"))</f>
      </c>
      <c r="K889" s="4">
        <v>95</v>
      </c>
      <c r="L889" s="4">
        <v>0</v>
      </c>
      <c r="M889" s="4"/>
      <c r="N889" s="4"/>
      <c r="O889" s="4"/>
      <c r="P889" s="12" t="str">
        <f t="array" ref="P889">IF(O889:O4930="","",_xlfn.XLOOKUP(O889:O4930,'参照_官位'!A:A,'参照_官位'!B:B,""))</f>
      </c>
      <c r="Q889" s="12" t="str">
        <f t="array" ref="Q889">IF(A889:A4930="","",IFERROR(_xlfn.XLOOKUP(A889:A4930,castles_state!K:K,castles_state!D:D)&amp;"主",IFERROR(_xlfn.XLOOKUP(A889:A4930,kunishuClan!D:D,kunishuClan!B:B)&amp;"当主","")))</f>
      </c>
    </row>
    <row r="890" ht="15.75" customHeight="1">
      <c r="A890" s="4">
        <v>1017024</v>
      </c>
      <c r="B890" s="12" t="str">
        <f t="array" ref="B890">IF(A890:A4931="","",_xlfn.XLOOKUP(A890:A4931,'参照_武将'!A:A,'参照_武将'!B:B,"見つかりません"))</f>
      </c>
      <c r="C890" s="4" t="s">
        <v>154</v>
      </c>
      <c r="D890" s="4">
        <v>17</v>
      </c>
      <c r="E890" s="12" t="str">
        <f t="array" ref="E890">IF(D890:D4931="","",IFERROR(_xlfn.XLOOKUP(D890:D4931,'参照_勢力'!A:A,'参照_勢力'!B:B),IFERROR(_xlfn.XLOOKUP(F890:F4931,kunishuClan!A:A,kunishuClan!B:B),"浪人")))</f>
      </c>
      <c r="F890" s="4">
        <v>0</v>
      </c>
      <c r="G890" s="4">
        <v>26</v>
      </c>
      <c r="H890" s="12" t="str">
        <f t="array" ref="H890">IF(G890:G4931="","",_xlfn.XLOOKUP(G890:G4931,castles_state!A:A,castles_state!D:D,"見つかりません"))</f>
      </c>
      <c r="I890" s="4"/>
      <c r="J890" s="12" t="str">
        <f t="array" ref="J890">IF(I890:I4931="","",_xlfn.XLOOKUP(I890:I4931,'参照_姫'!A:A,'参照_姫'!B:B,"見つかりません"))</f>
      </c>
      <c r="K890" s="4">
        <v>95</v>
      </c>
      <c r="L890" s="4">
        <v>0</v>
      </c>
      <c r="M890" s="4"/>
      <c r="N890" s="4"/>
      <c r="O890" s="4"/>
      <c r="P890" s="12" t="str">
        <f t="array" ref="P890">IF(O890:O4931="","",_xlfn.XLOOKUP(O890:O4931,'参照_官位'!A:A,'参照_官位'!B:B,""))</f>
      </c>
      <c r="Q890" s="12" t="str">
        <f t="array" ref="Q890">IF(A890:A4931="","",IFERROR(_xlfn.XLOOKUP(A890:A4931,castles_state!K:K,castles_state!D:D)&amp;"主",IFERROR(_xlfn.XLOOKUP(A890:A4931,kunishuClan!D:D,kunishuClan!B:B)&amp;"当主","")))</f>
      </c>
    </row>
    <row r="891" ht="15.75" customHeight="1">
      <c r="A891" s="4">
        <v>1017025</v>
      </c>
      <c r="B891" s="12" t="str">
        <f t="array" ref="B891">IF(A891:A4932="","",_xlfn.XLOOKUP(A891:A4932,'参照_武将'!A:A,'参照_武将'!B:B,"見つかりません"))</f>
      </c>
      <c r="C891" s="4" t="s">
        <v>154</v>
      </c>
      <c r="D891" s="4">
        <v>17</v>
      </c>
      <c r="E891" s="12" t="str">
        <f t="array" ref="E891">IF(D891:D4932="","",IFERROR(_xlfn.XLOOKUP(D891:D4932,'参照_勢力'!A:A,'参照_勢力'!B:B),IFERROR(_xlfn.XLOOKUP(F891:F4932,kunishuClan!A:A,kunishuClan!B:B),"浪人")))</f>
      </c>
      <c r="F891" s="4">
        <v>0</v>
      </c>
      <c r="G891" s="4">
        <v>26</v>
      </c>
      <c r="H891" s="12" t="str">
        <f t="array" ref="H891">IF(G891:G4932="","",_xlfn.XLOOKUP(G891:G4932,castles_state!A:A,castles_state!D:D,"見つかりません"))</f>
      </c>
      <c r="I891" s="4"/>
      <c r="J891" s="12" t="str">
        <f t="array" ref="J891">IF(I891:I4932="","",_xlfn.XLOOKUP(I891:I4932,'参照_姫'!A:A,'参照_姫'!B:B,"見つかりません"))</f>
      </c>
      <c r="K891" s="4">
        <v>90</v>
      </c>
      <c r="L891" s="4">
        <v>0</v>
      </c>
      <c r="M891" s="4"/>
      <c r="N891" s="4"/>
      <c r="O891" s="4"/>
      <c r="P891" s="12" t="str">
        <f t="array" ref="P891">IF(O891:O4932="","",_xlfn.XLOOKUP(O891:O4932,'参照_官位'!A:A,'参照_官位'!B:B,""))</f>
      </c>
      <c r="Q891" s="12" t="str">
        <f t="array" ref="Q891">IF(A891:A4932="","",IFERROR(_xlfn.XLOOKUP(A891:A4932,castles_state!K:K,castles_state!D:D)&amp;"主",IFERROR(_xlfn.XLOOKUP(A891:A4932,kunishuClan!D:D,kunishuClan!B:B)&amp;"当主","")))</f>
      </c>
    </row>
    <row r="892" ht="15.75" customHeight="1">
      <c r="A892" s="4">
        <v>1017026</v>
      </c>
      <c r="B892" s="12" t="str">
        <f t="array" ref="B892">IF(A892:A4933="","",_xlfn.XLOOKUP(A892:A4933,'参照_武将'!A:A,'参照_武将'!B:B,"見つかりません"))</f>
      </c>
      <c r="C892" s="4" t="s">
        <v>154</v>
      </c>
      <c r="D892" s="4">
        <v>17</v>
      </c>
      <c r="E892" s="12" t="str">
        <f t="array" ref="E892">IF(D892:D4933="","",IFERROR(_xlfn.XLOOKUP(D892:D4933,'参照_勢力'!A:A,'参照_勢力'!B:B),IFERROR(_xlfn.XLOOKUP(F892:F4933,kunishuClan!A:A,kunishuClan!B:B),"浪人")))</f>
      </c>
      <c r="F892" s="4">
        <v>0</v>
      </c>
      <c r="G892" s="4">
        <v>26</v>
      </c>
      <c r="H892" s="12" t="str">
        <f t="array" ref="H892">IF(G892:G4933="","",_xlfn.XLOOKUP(G892:G4933,castles_state!A:A,castles_state!D:D,"見つかりません"))</f>
      </c>
      <c r="I892" s="4"/>
      <c r="J892" s="12" t="str">
        <f t="array" ref="J892">IF(I892:I4933="","",_xlfn.XLOOKUP(I892:I4933,'参照_姫'!A:A,'参照_姫'!B:B,"見つかりません"))</f>
      </c>
      <c r="K892" s="4">
        <v>95</v>
      </c>
      <c r="L892" s="4">
        <v>0</v>
      </c>
      <c r="M892" s="4"/>
      <c r="N892" s="4"/>
      <c r="O892" s="4"/>
      <c r="P892" s="12" t="str">
        <f t="array" ref="P892">IF(O892:O4933="","",_xlfn.XLOOKUP(O892:O4933,'参照_官位'!A:A,'参照_官位'!B:B,""))</f>
      </c>
      <c r="Q892" s="12" t="str">
        <f t="array" ref="Q892">IF(A892:A4933="","",IFERROR(_xlfn.XLOOKUP(A892:A4933,castles_state!K:K,castles_state!D:D)&amp;"主",IFERROR(_xlfn.XLOOKUP(A892:A4933,kunishuClan!D:D,kunishuClan!B:B)&amp;"当主","")))</f>
      </c>
    </row>
    <row r="893" ht="15.75" customHeight="1">
      <c r="A893" s="4">
        <v>1017027</v>
      </c>
      <c r="B893" s="12" t="str">
        <f t="array" ref="B893">IF(A893:A4934="","",_xlfn.XLOOKUP(A893:A4934,'参照_武将'!A:A,'参照_武将'!B:B,"見つかりません"))</f>
      </c>
      <c r="C893" s="4" t="s">
        <v>154</v>
      </c>
      <c r="D893" s="4">
        <v>17</v>
      </c>
      <c r="E893" s="12" t="str">
        <f t="array" ref="E893">IF(D893:D4934="","",IFERROR(_xlfn.XLOOKUP(D893:D4934,'参照_勢力'!A:A,'参照_勢力'!B:B),IFERROR(_xlfn.XLOOKUP(F893:F4934,kunishuClan!A:A,kunishuClan!B:B),"浪人")))</f>
      </c>
      <c r="F893" s="4">
        <v>0</v>
      </c>
      <c r="G893" s="4">
        <v>90</v>
      </c>
      <c r="H893" s="12" t="str">
        <f t="array" ref="H893">IF(G893:G4934="","",_xlfn.XLOOKUP(G893:G4934,castles_state!A:A,castles_state!D:D,"見つかりません"))</f>
      </c>
      <c r="I893" s="4"/>
      <c r="J893" s="12" t="str">
        <f t="array" ref="J893">IF(I893:I4934="","",_xlfn.XLOOKUP(I893:I4934,'参照_姫'!A:A,'参照_姫'!B:B,"見つかりません"))</f>
      </c>
      <c r="K893" s="4">
        <v>95</v>
      </c>
      <c r="L893" s="4">
        <v>500</v>
      </c>
      <c r="M893" s="4"/>
      <c r="N893" s="4"/>
      <c r="O893" s="4"/>
      <c r="P893" s="12" t="str">
        <f t="array" ref="P893">IF(O893:O4934="","",_xlfn.XLOOKUP(O893:O4934,'参照_官位'!A:A,'参照_官位'!B:B,""))</f>
      </c>
      <c r="Q893" s="12" t="str">
        <f t="array" ref="Q893">IF(A893:A4934="","",IFERROR(_xlfn.XLOOKUP(A893:A4934,castles_state!K:K,castles_state!D:D)&amp;"主",IFERROR(_xlfn.XLOOKUP(A893:A4934,kunishuClan!D:D,kunishuClan!B:B)&amp;"当主","")))</f>
      </c>
    </row>
    <row r="894" ht="15.75" customHeight="1">
      <c r="A894" s="4">
        <v>1017028</v>
      </c>
      <c r="B894" s="12" t="str">
        <f t="array" ref="B894">IF(A894:A4935="","",_xlfn.XLOOKUP(A894:A4935,'参照_武将'!A:A,'参照_武将'!B:B,"見つかりません"))</f>
      </c>
      <c r="C894" s="4" t="s">
        <v>154</v>
      </c>
      <c r="D894" s="4">
        <v>17</v>
      </c>
      <c r="E894" s="12" t="str">
        <f t="array" ref="E894">IF(D894:D4935="","",IFERROR(_xlfn.XLOOKUP(D894:D4935,'参照_勢力'!A:A,'参照_勢力'!B:B),IFERROR(_xlfn.XLOOKUP(F894:F4935,kunishuClan!A:A,kunishuClan!B:B),"浪人")))</f>
      </c>
      <c r="F894" s="4">
        <v>0</v>
      </c>
      <c r="G894" s="4">
        <v>26</v>
      </c>
      <c r="H894" s="12" t="str">
        <f t="array" ref="H894">IF(G894:G4935="","",_xlfn.XLOOKUP(G894:G4935,castles_state!A:A,castles_state!D:D,"見つかりません"))</f>
      </c>
      <c r="I894" s="4"/>
      <c r="J894" s="12" t="str">
        <f t="array" ref="J894">IF(I894:I4935="","",_xlfn.XLOOKUP(I894:I4935,'参照_姫'!A:A,'参照_姫'!B:B,"見つかりません"))</f>
      </c>
      <c r="K894" s="4">
        <v>90</v>
      </c>
      <c r="L894" s="4">
        <v>0</v>
      </c>
      <c r="M894" s="4"/>
      <c r="N894" s="4"/>
      <c r="O894" s="4"/>
      <c r="P894" s="12" t="str">
        <f t="array" ref="P894">IF(O894:O4935="","",_xlfn.XLOOKUP(O894:O4935,'参照_官位'!A:A,'参照_官位'!B:B,""))</f>
      </c>
      <c r="Q894" s="12" t="str">
        <f t="array" ref="Q894">IF(A894:A4935="","",IFERROR(_xlfn.XLOOKUP(A894:A4935,castles_state!K:K,castles_state!D:D)&amp;"主",IFERROR(_xlfn.XLOOKUP(A894:A4935,kunishuClan!D:D,kunishuClan!B:B)&amp;"当主","")))</f>
      </c>
    </row>
    <row r="895" ht="15.75" customHeight="1">
      <c r="A895" s="4">
        <v>1017029</v>
      </c>
      <c r="B895" s="12" t="str">
        <f t="array" ref="B895">IF(A895:A4936="","",_xlfn.XLOOKUP(A895:A4936,'参照_武将'!A:A,'参照_武将'!B:B,"見つかりません"))</f>
      </c>
      <c r="C895" s="4" t="s">
        <v>154</v>
      </c>
      <c r="D895" s="4">
        <v>17</v>
      </c>
      <c r="E895" s="12" t="str">
        <f t="array" ref="E895">IF(D895:D4936="","",IFERROR(_xlfn.XLOOKUP(D895:D4936,'参照_勢力'!A:A,'参照_勢力'!B:B),IFERROR(_xlfn.XLOOKUP(F895:F4936,kunishuClan!A:A,kunishuClan!B:B),"浪人")))</f>
      </c>
      <c r="F895" s="4">
        <v>0</v>
      </c>
      <c r="G895" s="4">
        <v>26</v>
      </c>
      <c r="H895" s="12" t="str">
        <f t="array" ref="H895">IF(G895:G4936="","",_xlfn.XLOOKUP(G895:G4936,castles_state!A:A,castles_state!D:D,"見つかりません"))</f>
      </c>
      <c r="I895" s="4"/>
      <c r="J895" s="12" t="str">
        <f t="array" ref="J895">IF(I895:I4936="","",_xlfn.XLOOKUP(I895:I4936,'参照_姫'!A:A,'参照_姫'!B:B,"見つかりません"))</f>
      </c>
      <c r="K895" s="4">
        <v>90</v>
      </c>
      <c r="L895" s="4">
        <v>500</v>
      </c>
      <c r="M895" s="4" t="b">
        <v>1</v>
      </c>
      <c r="N895" s="4"/>
      <c r="O895" s="4">
        <v>78</v>
      </c>
      <c r="P895" s="12" t="str">
        <f t="array" ref="P895">IF(O895:O4936="","",_xlfn.XLOOKUP(O895:O4936,'参照_官位'!A:A,'参照_官位'!B:B,""))</f>
      </c>
      <c r="Q895" s="12" t="str">
        <f t="array" ref="Q895">IF(A895:A4936="","",IFERROR(_xlfn.XLOOKUP(A895:A4936,castles_state!K:K,castles_state!D:D)&amp;"主",IFERROR(_xlfn.XLOOKUP(A895:A4936,kunishuClan!D:D,kunishuClan!B:B)&amp;"当主","")))</f>
      </c>
    </row>
    <row r="896" ht="15.75" customHeight="1">
      <c r="A896" s="4">
        <v>1017030</v>
      </c>
      <c r="B896" s="12" t="str">
        <f t="array" ref="B896">IF(A896:A4937="","",_xlfn.XLOOKUP(A896:A4937,'参照_武将'!A:A,'参照_武将'!B:B,"見つかりません"))</f>
      </c>
      <c r="C896" s="4" t="s">
        <v>154</v>
      </c>
      <c r="D896" s="4">
        <v>17</v>
      </c>
      <c r="E896" s="12" t="str">
        <f t="array" ref="E896">IF(D896:D4937="","",IFERROR(_xlfn.XLOOKUP(D896:D4937,'参照_勢力'!A:A,'参照_勢力'!B:B),IFERROR(_xlfn.XLOOKUP(F896:F4937,kunishuClan!A:A,kunishuClan!B:B),"浪人")))</f>
      </c>
      <c r="F896" s="4">
        <v>0</v>
      </c>
      <c r="G896" s="4">
        <v>26</v>
      </c>
      <c r="H896" s="12" t="str">
        <f t="array" ref="H896">IF(G896:G4937="","",_xlfn.XLOOKUP(G896:G4937,castles_state!A:A,castles_state!D:D,"見つかりません"))</f>
      </c>
      <c r="I896" s="4"/>
      <c r="J896" s="12" t="str">
        <f t="array" ref="J896">IF(I896:I4937="","",_xlfn.XLOOKUP(I896:I4937,'参照_姫'!A:A,'参照_姫'!B:B,"見つかりません"))</f>
      </c>
      <c r="K896" s="4">
        <v>90</v>
      </c>
      <c r="L896" s="4">
        <v>0</v>
      </c>
      <c r="M896" s="4"/>
      <c r="N896" s="4"/>
      <c r="O896" s="4"/>
      <c r="P896" s="12" t="str">
        <f t="array" ref="P896">IF(O896:O4937="","",_xlfn.XLOOKUP(O896:O4937,'参照_官位'!A:A,'参照_官位'!B:B,""))</f>
      </c>
      <c r="Q896" s="12" t="str">
        <f t="array" ref="Q896">IF(A896:A4937="","",IFERROR(_xlfn.XLOOKUP(A896:A4937,castles_state!K:K,castles_state!D:D)&amp;"主",IFERROR(_xlfn.XLOOKUP(A896:A4937,kunishuClan!D:D,kunishuClan!B:B)&amp;"当主","")))</f>
      </c>
    </row>
    <row r="897" ht="15.75" customHeight="1">
      <c r="A897" s="4">
        <v>1017031</v>
      </c>
      <c r="B897" s="12" t="str">
        <f t="array" ref="B897">IF(A897:A4938="","",_xlfn.XLOOKUP(A897:A4938,'参照_武将'!A:A,'参照_武将'!B:B,"見つかりません"))</f>
      </c>
      <c r="C897" s="4" t="s">
        <v>154</v>
      </c>
      <c r="D897" s="4">
        <v>17</v>
      </c>
      <c r="E897" s="12" t="str">
        <f t="array" ref="E897">IF(D897:D4938="","",IFERROR(_xlfn.XLOOKUP(D897:D4938,'参照_勢力'!A:A,'参照_勢力'!B:B),IFERROR(_xlfn.XLOOKUP(F897:F4938,kunishuClan!A:A,kunishuClan!B:B),"浪人")))</f>
      </c>
      <c r="F897" s="4">
        <v>0</v>
      </c>
      <c r="G897" s="4">
        <v>26</v>
      </c>
      <c r="H897" s="12" t="str">
        <f t="array" ref="H897">IF(G897:G4938="","",_xlfn.XLOOKUP(G897:G4938,castles_state!A:A,castles_state!D:D,"見つかりません"))</f>
      </c>
      <c r="I897" s="4"/>
      <c r="J897" s="12" t="str">
        <f t="array" ref="J897">IF(I897:I4938="","",_xlfn.XLOOKUP(I897:I4938,'参照_姫'!A:A,'参照_姫'!B:B,"見つかりません"))</f>
      </c>
      <c r="K897" s="4">
        <v>90</v>
      </c>
      <c r="L897" s="4">
        <v>0</v>
      </c>
      <c r="M897" s="4"/>
      <c r="N897" s="4"/>
      <c r="O897" s="4"/>
      <c r="P897" s="12" t="str">
        <f t="array" ref="P897">IF(O897:O4938="","",_xlfn.XLOOKUP(O897:O4938,'参照_官位'!A:A,'参照_官位'!B:B,""))</f>
      </c>
      <c r="Q897" s="12" t="str">
        <f t="array" ref="Q897">IF(A897:A4938="","",IFERROR(_xlfn.XLOOKUP(A897:A4938,castles_state!K:K,castles_state!D:D)&amp;"主",IFERROR(_xlfn.XLOOKUP(A897:A4938,kunishuClan!D:D,kunishuClan!B:B)&amp;"当主","")))</f>
      </c>
    </row>
    <row r="898" ht="15.75" customHeight="1">
      <c r="A898" s="4">
        <v>1017032</v>
      </c>
      <c r="B898" s="12" t="str">
        <f t="array" ref="B898">IF(A898:A4939="","",_xlfn.XLOOKUP(A898:A4939,'参照_武将'!A:A,'参照_武将'!B:B,"見つかりません"))</f>
      </c>
      <c r="C898" s="4" t="s">
        <v>154</v>
      </c>
      <c r="D898" s="4">
        <v>17</v>
      </c>
      <c r="E898" s="12" t="str">
        <f t="array" ref="E898">IF(D898:D4939="","",IFERROR(_xlfn.XLOOKUP(D898:D4939,'参照_勢力'!A:A,'参照_勢力'!B:B),IFERROR(_xlfn.XLOOKUP(F898:F4939,kunishuClan!A:A,kunishuClan!B:B),"浪人")))</f>
      </c>
      <c r="F898" s="4">
        <v>0</v>
      </c>
      <c r="G898" s="4">
        <v>26</v>
      </c>
      <c r="H898" s="12" t="str">
        <f t="array" ref="H898">IF(G898:G4939="","",_xlfn.XLOOKUP(G898:G4939,castles_state!A:A,castles_state!D:D,"見つかりません"))</f>
      </c>
      <c r="I898" s="4"/>
      <c r="J898" s="12" t="str">
        <f t="array" ref="J898">IF(I898:I4939="","",_xlfn.XLOOKUP(I898:I4939,'参照_姫'!A:A,'参照_姫'!B:B,"見つかりません"))</f>
      </c>
      <c r="K898" s="4">
        <v>90</v>
      </c>
      <c r="L898" s="4">
        <v>0</v>
      </c>
      <c r="M898" s="4"/>
      <c r="N898" s="4"/>
      <c r="O898" s="4"/>
      <c r="P898" s="12" t="str">
        <f t="array" ref="P898">IF(O898:O4939="","",_xlfn.XLOOKUP(O898:O4939,'参照_官位'!A:A,'参照_官位'!B:B,""))</f>
      </c>
      <c r="Q898" s="12" t="str">
        <f t="array" ref="Q898">IF(A898:A4939="","",IFERROR(_xlfn.XLOOKUP(A898:A4939,castles_state!K:K,castles_state!D:D)&amp;"主",IFERROR(_xlfn.XLOOKUP(A898:A4939,kunishuClan!D:D,kunishuClan!B:B)&amp;"当主","")))</f>
      </c>
    </row>
    <row r="899" ht="15.75" customHeight="1">
      <c r="A899" s="4">
        <v>1017033</v>
      </c>
      <c r="B899" s="12" t="str">
        <f t="array" ref="B899">IF(A899:A4940="","",_xlfn.XLOOKUP(A899:A4940,'参照_武将'!A:A,'参照_武将'!B:B,"見つかりません"))</f>
      </c>
      <c r="C899" s="4" t="s">
        <v>154</v>
      </c>
      <c r="D899" s="4">
        <v>17</v>
      </c>
      <c r="E899" s="12" t="str">
        <f t="array" ref="E899">IF(D899:D4940="","",IFERROR(_xlfn.XLOOKUP(D899:D4940,'参照_勢力'!A:A,'参照_勢力'!B:B),IFERROR(_xlfn.XLOOKUP(F899:F4940,kunishuClan!A:A,kunishuClan!B:B),"浪人")))</f>
      </c>
      <c r="F899" s="4">
        <v>0</v>
      </c>
      <c r="G899" s="4">
        <v>26</v>
      </c>
      <c r="H899" s="12" t="str">
        <f t="array" ref="H899">IF(G899:G4940="","",_xlfn.XLOOKUP(G899:G4940,castles_state!A:A,castles_state!D:D,"見つかりません"))</f>
      </c>
      <c r="I899" s="4"/>
      <c r="J899" s="12" t="str">
        <f t="array" ref="J899">IF(I899:I4940="","",_xlfn.XLOOKUP(I899:I4940,'参照_姫'!A:A,'参照_姫'!B:B,"見つかりません"))</f>
      </c>
      <c r="K899" s="4">
        <v>90</v>
      </c>
      <c r="L899" s="4">
        <v>0</v>
      </c>
      <c r="M899" s="4"/>
      <c r="N899" s="4"/>
      <c r="O899" s="4"/>
      <c r="P899" s="12" t="str">
        <f t="array" ref="P899">IF(O899:O4940="","",_xlfn.XLOOKUP(O899:O4940,'参照_官位'!A:A,'参照_官位'!B:B,""))</f>
      </c>
      <c r="Q899" s="12" t="str">
        <f t="array" ref="Q899">IF(A899:A4940="","",IFERROR(_xlfn.XLOOKUP(A899:A4940,castles_state!K:K,castles_state!D:D)&amp;"主",IFERROR(_xlfn.XLOOKUP(A899:A4940,kunishuClan!D:D,kunishuClan!B:B)&amp;"当主","")))</f>
      </c>
    </row>
    <row r="900" ht="15.75" customHeight="1">
      <c r="A900" s="4">
        <v>1017034</v>
      </c>
      <c r="B900" s="12" t="str">
        <f t="array" ref="B900">IF(A900:A4941="","",_xlfn.XLOOKUP(A900:A4941,'参照_武将'!A:A,'参照_武将'!B:B,"見つかりません"))</f>
      </c>
      <c r="C900" s="4" t="s">
        <v>154</v>
      </c>
      <c r="D900" s="4">
        <v>17</v>
      </c>
      <c r="E900" s="12" t="str">
        <f t="array" ref="E900">IF(D900:D4941="","",IFERROR(_xlfn.XLOOKUP(D900:D4941,'参照_勢力'!A:A,'参照_勢力'!B:B),IFERROR(_xlfn.XLOOKUP(F900:F4941,kunishuClan!A:A,kunishuClan!B:B),"浪人")))</f>
      </c>
      <c r="F900" s="4">
        <v>0</v>
      </c>
      <c r="G900" s="4">
        <v>26</v>
      </c>
      <c r="H900" s="12" t="str">
        <f t="array" ref="H900">IF(G900:G4941="","",_xlfn.XLOOKUP(G900:G4941,castles_state!A:A,castles_state!D:D,"見つかりません"))</f>
      </c>
      <c r="I900" s="4"/>
      <c r="J900" s="12" t="str">
        <f t="array" ref="J900">IF(I900:I4941="","",_xlfn.XLOOKUP(I900:I4941,'参照_姫'!A:A,'参照_姫'!B:B,"見つかりません"))</f>
      </c>
      <c r="K900" s="4">
        <v>95</v>
      </c>
      <c r="L900" s="4">
        <v>0</v>
      </c>
      <c r="M900" s="4"/>
      <c r="N900" s="4"/>
      <c r="O900" s="4"/>
      <c r="P900" s="12" t="str">
        <f t="array" ref="P900">IF(O900:O4941="","",_xlfn.XLOOKUP(O900:O4941,'参照_官位'!A:A,'参照_官位'!B:B,""))</f>
      </c>
      <c r="Q900" s="12" t="str">
        <f t="array" ref="Q900">IF(A900:A4941="","",IFERROR(_xlfn.XLOOKUP(A900:A4941,castles_state!K:K,castles_state!D:D)&amp;"主",IFERROR(_xlfn.XLOOKUP(A900:A4941,kunishuClan!D:D,kunishuClan!B:B)&amp;"当主","")))</f>
      </c>
    </row>
    <row r="901" ht="15.75" customHeight="1">
      <c r="A901" s="4">
        <v>1017035</v>
      </c>
      <c r="B901" s="12" t="str">
        <f t="array" ref="B901">IF(A901:A4942="","",_xlfn.XLOOKUP(A901:A4942,'参照_武将'!A:A,'参照_武将'!B:B,"見つかりません"))</f>
      </c>
      <c r="C901" s="4" t="s">
        <v>154</v>
      </c>
      <c r="D901" s="4">
        <v>17</v>
      </c>
      <c r="E901" s="12" t="str">
        <f t="array" ref="E901">IF(D901:D4942="","",IFERROR(_xlfn.XLOOKUP(D901:D4942,'参照_勢力'!A:A,'参照_勢力'!B:B),IFERROR(_xlfn.XLOOKUP(F901:F4942,kunishuClan!A:A,kunishuClan!B:B),"浪人")))</f>
      </c>
      <c r="F901" s="4">
        <v>0</v>
      </c>
      <c r="G901" s="4">
        <v>181</v>
      </c>
      <c r="H901" s="12" t="str">
        <f t="array" ref="H901">IF(G901:G4942="","",_xlfn.XLOOKUP(G901:G4942,castles_state!A:A,castles_state!D:D,"見つかりません"))</f>
      </c>
      <c r="I901" s="4"/>
      <c r="J901" s="12" t="str">
        <f t="array" ref="J901">IF(I901:I4942="","",_xlfn.XLOOKUP(I901:I4942,'参照_姫'!A:A,'参照_姫'!B:B,"見つかりません"))</f>
      </c>
      <c r="K901" s="4">
        <v>95</v>
      </c>
      <c r="L901" s="4">
        <v>500</v>
      </c>
      <c r="M901" s="4"/>
      <c r="N901" s="4"/>
      <c r="O901" s="4">
        <v>254</v>
      </c>
      <c r="P901" s="12" t="str">
        <f t="array" ref="P901">IF(O901:O4942="","",_xlfn.XLOOKUP(O901:O4942,'参照_官位'!A:A,'参照_官位'!B:B,""))</f>
      </c>
      <c r="Q901" s="12" t="str">
        <f t="array" ref="Q901">IF(A901:A4942="","",IFERROR(_xlfn.XLOOKUP(A901:A4942,castles_state!K:K,castles_state!D:D)&amp;"主",IFERROR(_xlfn.XLOOKUP(A901:A4942,kunishuClan!D:D,kunishuClan!B:B)&amp;"当主","")))</f>
      </c>
    </row>
    <row r="902" ht="15.75" customHeight="1">
      <c r="A902" s="4">
        <v>1017036</v>
      </c>
      <c r="B902" s="12" t="str">
        <f t="array" ref="B902">IF(A902:A4943="","",_xlfn.XLOOKUP(A902:A4943,'参照_武将'!A:A,'参照_武将'!B:B,"見つかりません"))</f>
      </c>
      <c r="C902" s="4" t="s">
        <v>154</v>
      </c>
      <c r="D902" s="4">
        <v>17</v>
      </c>
      <c r="E902" s="12" t="str">
        <f t="array" ref="E902">IF(D902:D4943="","",IFERROR(_xlfn.XLOOKUP(D902:D4943,'参照_勢力'!A:A,'参照_勢力'!B:B),IFERROR(_xlfn.XLOOKUP(F902:F4943,kunishuClan!A:A,kunishuClan!B:B),"浪人")))</f>
      </c>
      <c r="F902" s="4">
        <v>0</v>
      </c>
      <c r="G902" s="4">
        <v>90</v>
      </c>
      <c r="H902" s="12" t="str">
        <f t="array" ref="H902">IF(G902:G4943="","",_xlfn.XLOOKUP(G902:G4943,castles_state!A:A,castles_state!D:D,"見つかりません"))</f>
      </c>
      <c r="I902" s="4"/>
      <c r="J902" s="12" t="str">
        <f t="array" ref="J902">IF(I902:I4943="","",_xlfn.XLOOKUP(I902:I4943,'参照_姫'!A:A,'参照_姫'!B:B,"見つかりません"))</f>
      </c>
      <c r="K902" s="4">
        <v>95</v>
      </c>
      <c r="L902" s="4">
        <v>0</v>
      </c>
      <c r="M902" s="4"/>
      <c r="N902" s="4"/>
      <c r="O902" s="4"/>
      <c r="P902" s="12" t="str">
        <f t="array" ref="P902">IF(O902:O4943="","",_xlfn.XLOOKUP(O902:O4943,'参照_官位'!A:A,'参照_官位'!B:B,""))</f>
      </c>
      <c r="Q902" s="12" t="str">
        <f t="array" ref="Q902">IF(A902:A4943="","",IFERROR(_xlfn.XLOOKUP(A902:A4943,castles_state!K:K,castles_state!D:D)&amp;"主",IFERROR(_xlfn.XLOOKUP(A902:A4943,kunishuClan!D:D,kunishuClan!B:B)&amp;"当主","")))</f>
      </c>
    </row>
    <row r="903" ht="15.75" customHeight="1">
      <c r="A903" s="4">
        <v>1018001</v>
      </c>
      <c r="B903" s="12" t="str">
        <f t="array" ref="B903">IF(A903:A4942="","",_xlfn.XLOOKUP(A903:A4942,'参照_武将'!A:A,'参照_武将'!B:B,"見つかりません"))</f>
      </c>
      <c r="C903" s="4" t="s">
        <v>156</v>
      </c>
      <c r="D903" s="4">
        <v>18</v>
      </c>
      <c r="E903" s="12" t="str">
        <f t="array" ref="E903">IF(D903:D4942="","",IFERROR(_xlfn.XLOOKUP(D903:D4942,'参照_勢力'!A:A,'参照_勢力'!B:B),IFERROR(_xlfn.XLOOKUP(F903:F4942,kunishuClan!A:A,kunishuClan!B:B),"浪人")))</f>
      </c>
      <c r="F903" s="4">
        <v>0</v>
      </c>
      <c r="G903" s="4">
        <v>43</v>
      </c>
      <c r="H903" s="12" t="str">
        <f t="array" ref="H903">IF(G903:G4942="","",_xlfn.XLOOKUP(G903:G4942,castles_state!A:A,castles_state!D:D,"見つかりません"))</f>
      </c>
      <c r="I903" s="4"/>
      <c r="J903" s="12" t="str">
        <f t="array" ref="J903">IF(I903:I4942="","",_xlfn.XLOOKUP(I903:I4942,'参照_姫'!A:A,'参照_姫'!B:B,"見つかりません"))</f>
      </c>
      <c r="K903" s="4">
        <v>50</v>
      </c>
      <c r="L903" s="4">
        <v>0</v>
      </c>
      <c r="M903" s="4"/>
      <c r="N903" s="4"/>
      <c r="O903" s="4"/>
      <c r="P903" s="12" t="str">
        <f t="array" ref="P903">IF(O903:O4942="","",_xlfn.XLOOKUP(O903:O4942,'参照_官位'!A:A,'参照_官位'!B:B,""))</f>
      </c>
      <c r="Q903" s="12" t="str">
        <f t="array" ref="Q903">IF(A903:A4942="","",IFERROR(_xlfn.XLOOKUP(A903:A4942,castles_state!K:K,castles_state!D:D)&amp;"主",IFERROR(_xlfn.XLOOKUP(A903:A4942,kunishuClan!D:D,kunishuClan!B:B)&amp;"当主","")))</f>
      </c>
    </row>
    <row r="904" ht="15.75" customHeight="1">
      <c r="A904" s="4">
        <v>1018002</v>
      </c>
      <c r="B904" s="12" t="str">
        <f t="array" ref="B904">IF(A904:A4943="","",_xlfn.XLOOKUP(A904:A4943,'参照_武将'!A:A,'参照_武将'!B:B,"見つかりません"))</f>
      </c>
      <c r="C904" s="4" t="s">
        <v>156</v>
      </c>
      <c r="D904" s="4">
        <v>18</v>
      </c>
      <c r="E904" s="12" t="str">
        <f t="array" ref="E904">IF(D904:D4943="","",IFERROR(_xlfn.XLOOKUP(D904:D4943,'参照_勢力'!A:A,'参照_勢力'!B:B),IFERROR(_xlfn.XLOOKUP(F904:F4943,kunishuClan!A:A,kunishuClan!B:B),"浪人")))</f>
      </c>
      <c r="F904" s="4">
        <v>0</v>
      </c>
      <c r="G904" s="4">
        <v>43</v>
      </c>
      <c r="H904" s="12" t="str">
        <f t="array" ref="H904">IF(G904:G4943="","",_xlfn.XLOOKUP(G904:G4943,castles_state!A:A,castles_state!D:D,"見つかりません"))</f>
      </c>
      <c r="I904" s="4"/>
      <c r="J904" s="12" t="str">
        <f t="array" ref="J904">IF(I904:I4943="","",_xlfn.XLOOKUP(I904:I4943,'参照_姫'!A:A,'参照_姫'!B:B,"見つかりません"))</f>
      </c>
      <c r="K904" s="4">
        <v>50</v>
      </c>
      <c r="L904" s="4">
        <v>0</v>
      </c>
      <c r="M904" s="4"/>
      <c r="N904" s="4"/>
      <c r="O904" s="4"/>
      <c r="P904" s="12" t="str">
        <f t="array" ref="P904">IF(O904:O4943="","",_xlfn.XLOOKUP(O904:O4943,'参照_官位'!A:A,'参照_官位'!B:B,""))</f>
      </c>
      <c r="Q904" s="12" t="str">
        <f t="array" ref="Q904">IF(A904:A4943="","",IFERROR(_xlfn.XLOOKUP(A904:A4943,castles_state!K:K,castles_state!D:D)&amp;"主",IFERROR(_xlfn.XLOOKUP(A904:A4943,kunishuClan!D:D,kunishuClan!B:B)&amp;"当主","")))</f>
      </c>
    </row>
    <row r="905" ht="15.75" customHeight="1">
      <c r="A905" s="4">
        <v>1018003</v>
      </c>
      <c r="B905" s="12" t="str">
        <f t="array" ref="B905">IF(A905:A4944="","",_xlfn.XLOOKUP(A905:A4944,'参照_武将'!A:A,'参照_武将'!B:B,"見つかりません"))</f>
      </c>
      <c r="C905" s="4" t="s">
        <v>156</v>
      </c>
      <c r="D905" s="4">
        <v>18</v>
      </c>
      <c r="E905" s="12" t="str">
        <f t="array" ref="E905">IF(D905:D4944="","",IFERROR(_xlfn.XLOOKUP(D905:D4944,'参照_勢力'!A:A,'参照_勢力'!B:B),IFERROR(_xlfn.XLOOKUP(F905:F4944,kunishuClan!A:A,kunishuClan!B:B),"浪人")))</f>
      </c>
      <c r="F905" s="4">
        <v>0</v>
      </c>
      <c r="G905" s="4">
        <v>43</v>
      </c>
      <c r="H905" s="12" t="str">
        <f t="array" ref="H905">IF(G905:G4944="","",_xlfn.XLOOKUP(G905:G4944,castles_state!A:A,castles_state!D:D,"見つかりません"))</f>
      </c>
      <c r="I905" s="4"/>
      <c r="J905" s="12" t="str">
        <f t="array" ref="J905">IF(I905:I4944="","",_xlfn.XLOOKUP(I905:I4944,'参照_姫'!A:A,'参照_姫'!B:B,"見つかりません"))</f>
      </c>
      <c r="K905" s="4">
        <v>100</v>
      </c>
      <c r="L905" s="4">
        <v>200</v>
      </c>
      <c r="M905" s="4"/>
      <c r="N905" s="4" t="b">
        <v>1</v>
      </c>
      <c r="O905" s="23">
        <v>37</v>
      </c>
      <c r="P905" s="12" t="str">
        <f t="array" ref="P905">IF(O905:O4944="","",_xlfn.XLOOKUP(O905:O4944,'参照_官位'!A:A,'参照_官位'!B:B,""))</f>
      </c>
      <c r="Q905" s="12" t="str">
        <f t="array" ref="Q905">IF(A905:A4944="","",IFERROR(_xlfn.XLOOKUP(A905:A4944,castles_state!K:K,castles_state!D:D)&amp;"主",IFERROR(_xlfn.XLOOKUP(A905:A4944,kunishuClan!D:D,kunishuClan!B:B)&amp;"当主","")))</f>
      </c>
    </row>
    <row r="906" ht="15.75" customHeight="1">
      <c r="A906" s="4">
        <v>1018004</v>
      </c>
      <c r="B906" s="12" t="str">
        <f t="array" ref="B906">IF(A906:A4945="","",_xlfn.XLOOKUP(A906:A4945,'参照_武将'!A:A,'参照_武将'!B:B,"見つかりません"))</f>
      </c>
      <c r="C906" s="4" t="s">
        <v>156</v>
      </c>
      <c r="D906" s="4">
        <v>18</v>
      </c>
      <c r="E906" s="12" t="str">
        <f t="array" ref="E906">IF(D906:D4945="","",IFERROR(_xlfn.XLOOKUP(D906:D4945,'参照_勢力'!A:A,'参照_勢力'!B:B),IFERROR(_xlfn.XLOOKUP(F906:F4945,kunishuClan!A:A,kunishuClan!B:B),"浪人")))</f>
      </c>
      <c r="F906" s="4">
        <v>0</v>
      </c>
      <c r="G906" s="4">
        <v>43</v>
      </c>
      <c r="H906" s="12" t="str">
        <f t="array" ref="H906">IF(G906:G4945="","",_xlfn.XLOOKUP(G906:G4945,castles_state!A:A,castles_state!D:D,"見つかりません"))</f>
      </c>
      <c r="I906" s="4"/>
      <c r="J906" s="12" t="str">
        <f t="array" ref="J906">IF(I906:I4945="","",_xlfn.XLOOKUP(I906:I4945,'参照_姫'!A:A,'参照_姫'!B:B,"見つかりません"))</f>
      </c>
      <c r="K906" s="4">
        <v>100</v>
      </c>
      <c r="L906" s="4">
        <v>300</v>
      </c>
      <c r="M906" s="4"/>
      <c r="N906" s="4"/>
      <c r="O906" s="4"/>
      <c r="P906" s="12" t="str">
        <f t="array" ref="P906">IF(O906:O4945="","",_xlfn.XLOOKUP(O906:O4945,'参照_官位'!A:A,'参照_官位'!B:B,""))</f>
      </c>
      <c r="Q906" s="12" t="str">
        <f t="array" ref="Q906">IF(A906:A4945="","",IFERROR(_xlfn.XLOOKUP(A906:A4945,castles_state!K:K,castles_state!D:D)&amp;"主",IFERROR(_xlfn.XLOOKUP(A906:A4945,kunishuClan!D:D,kunishuClan!B:B)&amp;"当主","")))</f>
      </c>
    </row>
    <row r="907" ht="15.75" customHeight="1">
      <c r="A907" s="4">
        <v>1018005</v>
      </c>
      <c r="B907" s="12" t="str">
        <f t="array" ref="B907">IF(A907:A4946="","",_xlfn.XLOOKUP(A907:A4946,'参照_武将'!A:A,'参照_武将'!B:B,"見つかりません"))</f>
      </c>
      <c r="C907" s="4" t="s">
        <v>156</v>
      </c>
      <c r="D907" s="4">
        <v>18</v>
      </c>
      <c r="E907" s="12" t="str">
        <f t="array" ref="E907">IF(D907:D4946="","",IFERROR(_xlfn.XLOOKUP(D907:D4946,'参照_勢力'!A:A,'参照_勢力'!B:B),IFERROR(_xlfn.XLOOKUP(F907:F4946,kunishuClan!A:A,kunishuClan!B:B),"浪人")))</f>
      </c>
      <c r="F907" s="4">
        <v>0</v>
      </c>
      <c r="G907" s="4">
        <v>43</v>
      </c>
      <c r="H907" s="12" t="str">
        <f t="array" ref="H907">IF(G907:G4946="","",_xlfn.XLOOKUP(G907:G4946,castles_state!A:A,castles_state!D:D,"見つかりません"))</f>
      </c>
      <c r="I907" s="4"/>
      <c r="J907" s="12" t="str">
        <f t="array" ref="J907">IF(I907:I4946="","",_xlfn.XLOOKUP(I907:I4946,'参照_姫'!A:A,'参照_姫'!B:B,"見つかりません"))</f>
      </c>
      <c r="K907" s="4">
        <v>100</v>
      </c>
      <c r="L907" s="4">
        <v>1000</v>
      </c>
      <c r="M907" s="4"/>
      <c r="N907" s="4"/>
      <c r="O907" s="4"/>
      <c r="P907" s="12" t="str">
        <f t="array" ref="P907">IF(O907:O4946="","",_xlfn.XLOOKUP(O907:O4946,'参照_官位'!A:A,'参照_官位'!B:B,""))</f>
      </c>
      <c r="Q907" s="12" t="str">
        <f t="array" ref="Q907">IF(A907:A4946="","",IFERROR(_xlfn.XLOOKUP(A907:A4946,castles_state!K:K,castles_state!D:D)&amp;"主",IFERROR(_xlfn.XLOOKUP(A907:A4946,kunishuClan!D:D,kunishuClan!B:B)&amp;"当主","")))</f>
      </c>
    </row>
    <row r="908" ht="15.75" customHeight="1">
      <c r="A908" s="4">
        <v>1018006</v>
      </c>
      <c r="B908" s="12" t="str">
        <f t="array" ref="B908">IF(A908:A4947="","",_xlfn.XLOOKUP(A908:A4947,'参照_武将'!A:A,'参照_武将'!B:B,"見つかりません"))</f>
      </c>
      <c r="C908" s="4" t="s">
        <v>156</v>
      </c>
      <c r="D908" s="4">
        <v>1</v>
      </c>
      <c r="E908" s="12" t="str">
        <f t="array" ref="E908">IF(D908:D4947="","",IFERROR(_xlfn.XLOOKUP(D908:D4947,'参照_勢力'!A:A,'参照_勢力'!B:B),IFERROR(_xlfn.XLOOKUP(F908:F4947,kunishuClan!A:A,kunishuClan!B:B),"浪人")))</f>
      </c>
      <c r="F908" s="4">
        <v>0</v>
      </c>
      <c r="G908" s="4">
        <v>35</v>
      </c>
      <c r="H908" s="12" t="str">
        <f t="array" ref="H908">IF(G908:G4947="","",_xlfn.XLOOKUP(G908:G4947,castles_state!A:A,castles_state!D:D,"見つかりません"))</f>
      </c>
      <c r="I908" s="4"/>
      <c r="J908" s="12" t="str">
        <f t="array" ref="J908">IF(I908:I4947="","",_xlfn.XLOOKUP(I908:I4947,'参照_姫'!A:A,'参照_姫'!B:B,"見つかりません"))</f>
      </c>
      <c r="K908" s="4">
        <v>100</v>
      </c>
      <c r="L908" s="4">
        <v>0</v>
      </c>
      <c r="M908" s="4"/>
      <c r="N908" s="4"/>
      <c r="O908" s="4"/>
      <c r="P908" s="12" t="str">
        <f t="array" ref="P908">IF(O908:O4947="","",_xlfn.XLOOKUP(O908:O4947,'参照_官位'!A:A,'参照_官位'!B:B,""))</f>
      </c>
      <c r="Q908" s="12" t="str">
        <f t="array" ref="Q908">IF(A908:A4947="","",IFERROR(_xlfn.XLOOKUP(A908:A4947,castles_state!K:K,castles_state!D:D)&amp;"主",IFERROR(_xlfn.XLOOKUP(A908:A4947,kunishuClan!D:D,kunishuClan!B:B)&amp;"当主","")))</f>
      </c>
    </row>
    <row r="909" ht="15.75" customHeight="1">
      <c r="A909" s="4">
        <v>1018007</v>
      </c>
      <c r="B909" s="12" t="str">
        <f t="array" ref="B909">IF(A909:A4948="","",_xlfn.XLOOKUP(A909:A4948,'参照_武将'!A:A,'参照_武将'!B:B,"見つかりません"))</f>
      </c>
      <c r="C909" s="4" t="s">
        <v>156</v>
      </c>
      <c r="D909" s="4">
        <v>1</v>
      </c>
      <c r="E909" s="12" t="str">
        <f t="array" ref="E909">IF(D909:D4948="","",IFERROR(_xlfn.XLOOKUP(D909:D4948,'参照_勢力'!A:A,'参照_勢力'!B:B),IFERROR(_xlfn.XLOOKUP(F909:F4948,kunishuClan!A:A,kunishuClan!B:B),"浪人")))</f>
      </c>
      <c r="F909" s="4">
        <v>0</v>
      </c>
      <c r="G909" s="4">
        <v>35</v>
      </c>
      <c r="H909" s="12" t="str">
        <f t="array" ref="H909">IF(G909:G4948="","",_xlfn.XLOOKUP(G909:G4948,castles_state!A:A,castles_state!D:D,"見つかりません"))</f>
      </c>
      <c r="I909" s="4"/>
      <c r="J909" s="12" t="str">
        <f t="array" ref="J909">IF(I909:I4948="","",_xlfn.XLOOKUP(I909:I4948,'参照_姫'!A:A,'参照_姫'!B:B,"見つかりません"))</f>
      </c>
      <c r="K909" s="4">
        <v>100</v>
      </c>
      <c r="L909" s="4">
        <v>0</v>
      </c>
      <c r="M909" s="4"/>
      <c r="N909" s="4"/>
      <c r="O909" s="4"/>
      <c r="P909" s="12" t="str">
        <f t="array" ref="P909">IF(O909:O4948="","",_xlfn.XLOOKUP(O909:O4948,'参照_官位'!A:A,'参照_官位'!B:B,""))</f>
      </c>
      <c r="Q909" s="12" t="str">
        <f t="array" ref="Q909">IF(A909:A4948="","",IFERROR(_xlfn.XLOOKUP(A909:A4948,castles_state!K:K,castles_state!D:D)&amp;"主",IFERROR(_xlfn.XLOOKUP(A909:A4948,kunishuClan!D:D,kunishuClan!B:B)&amp;"当主","")))</f>
      </c>
    </row>
    <row r="910" ht="15.75" customHeight="1">
      <c r="A910" s="4">
        <v>1018008</v>
      </c>
      <c r="B910" s="12" t="str">
        <f t="array" ref="B910">IF(A910:A4949="","",_xlfn.XLOOKUP(A910:A4949,'参照_武将'!A:A,'参照_武将'!B:B,"見つかりません"))</f>
      </c>
      <c r="C910" s="4" t="s">
        <v>156</v>
      </c>
      <c r="D910" s="4">
        <v>1</v>
      </c>
      <c r="E910" s="12" t="str">
        <f t="array" ref="E910">IF(D910:D4949="","",IFERROR(_xlfn.XLOOKUP(D910:D4949,'参照_勢力'!A:A,'参照_勢力'!B:B),IFERROR(_xlfn.XLOOKUP(F910:F4949,kunishuClan!A:A,kunishuClan!B:B),"浪人")))</f>
      </c>
      <c r="F910" s="4">
        <v>0</v>
      </c>
      <c r="G910" s="4">
        <v>77</v>
      </c>
      <c r="H910" s="12" t="str">
        <f t="array" ref="H910">IF(G910:G4949="","",_xlfn.XLOOKUP(G910:G4949,castles_state!A:A,castles_state!D:D,"見つかりません"))</f>
      </c>
      <c r="I910" s="4"/>
      <c r="J910" s="12" t="str">
        <f t="array" ref="J910">IF(I910:I4949="","",_xlfn.XLOOKUP(I910:I4949,'参照_姫'!A:A,'参照_姫'!B:B,"見つかりません"))</f>
      </c>
      <c r="K910" s="4">
        <v>90</v>
      </c>
      <c r="L910" s="4">
        <v>200</v>
      </c>
      <c r="M910" s="4"/>
      <c r="N910" s="4" t="b">
        <v>1</v>
      </c>
      <c r="O910" s="4"/>
      <c r="P910" s="12" t="str">
        <f t="array" ref="P910">IF(O910:O4949="","",_xlfn.XLOOKUP(O910:O4949,'参照_官位'!A:A,'参照_官位'!B:B,""))</f>
      </c>
      <c r="Q910" s="12" t="str">
        <f t="array" ref="Q910">IF(A910:A4949="","",IFERROR(_xlfn.XLOOKUP(A910:A4949,castles_state!K:K,castles_state!D:D)&amp;"主",IFERROR(_xlfn.XLOOKUP(A910:A4949,kunishuClan!D:D,kunishuClan!B:B)&amp;"当主","")))</f>
      </c>
    </row>
    <row r="911" ht="15.75" customHeight="1">
      <c r="A911" s="4">
        <v>1018009</v>
      </c>
      <c r="B911" s="12" t="str">
        <f t="array" ref="B911">IF(A911:A4950="","",_xlfn.XLOOKUP(A911:A4950,'参照_武将'!A:A,'参照_武将'!B:B,"見つかりません"))</f>
      </c>
      <c r="C911" s="4" t="s">
        <v>156</v>
      </c>
      <c r="D911" s="4">
        <v>18</v>
      </c>
      <c r="E911" s="12" t="str">
        <f t="array" ref="E911">IF(D911:D4950="","",IFERROR(_xlfn.XLOOKUP(D911:D4950,'参照_勢力'!A:A,'参照_勢力'!B:B),IFERROR(_xlfn.XLOOKUP(F911:F4950,kunishuClan!A:A,kunishuClan!B:B),"浪人")))</f>
      </c>
      <c r="F911" s="4">
        <v>0</v>
      </c>
      <c r="G911" s="4">
        <v>43</v>
      </c>
      <c r="H911" s="12" t="str">
        <f t="array" ref="H911">IF(G911:G4950="","",_xlfn.XLOOKUP(G911:G4950,castles_state!A:A,castles_state!D:D,"見つかりません"))</f>
      </c>
      <c r="I911" s="4"/>
      <c r="J911" s="12" t="str">
        <f t="array" ref="J911">IF(I911:I4950="","",_xlfn.XLOOKUP(I911:I4950,'参照_姫'!A:A,'参照_姫'!B:B,"見つかりません"))</f>
      </c>
      <c r="K911" s="4">
        <v>50</v>
      </c>
      <c r="L911" s="4">
        <v>500</v>
      </c>
      <c r="M911" s="4"/>
      <c r="N911" s="4"/>
      <c r="O911" s="4"/>
      <c r="P911" s="12" t="str">
        <f t="array" ref="P911">IF(O911:O4950="","",_xlfn.XLOOKUP(O911:O4950,'参照_官位'!A:A,'参照_官位'!B:B,""))</f>
      </c>
      <c r="Q911" s="12" t="str">
        <f t="array" ref="Q911">IF(A911:A4950="","",IFERROR(_xlfn.XLOOKUP(A911:A4950,castles_state!K:K,castles_state!D:D)&amp;"主",IFERROR(_xlfn.XLOOKUP(A911:A4950,kunishuClan!D:D,kunishuClan!B:B)&amp;"当主","")))</f>
      </c>
    </row>
    <row r="912" ht="15.75" customHeight="1">
      <c r="A912" s="4">
        <v>1018010</v>
      </c>
      <c r="B912" s="12" t="str">
        <f t="array" ref="B912">IF(A912:A4951="","",_xlfn.XLOOKUP(A912:A4951,'参照_武将'!A:A,'参照_武将'!B:B,"見つかりません"))</f>
      </c>
      <c r="C912" s="4" t="s">
        <v>5927</v>
      </c>
      <c r="D912" s="4">
        <v>1</v>
      </c>
      <c r="E912" s="12" t="str">
        <f t="array" ref="E912">IF(D912:D4951="","",IFERROR(_xlfn.XLOOKUP(D912:D4951,'参照_勢力'!A:A,'参照_勢力'!B:B),IFERROR(_xlfn.XLOOKUP(F912:F4951,kunishuClan!A:A,kunishuClan!B:B),"浪人")))</f>
      </c>
      <c r="F912" s="4">
        <v>0</v>
      </c>
      <c r="G912" s="4">
        <v>40</v>
      </c>
      <c r="H912" s="12" t="str">
        <f t="array" ref="H912">IF(G912:G4951="","",_xlfn.XLOOKUP(G912:G4951,castles_state!A:A,castles_state!D:D,"見つかりません"))</f>
      </c>
      <c r="I912" s="4"/>
      <c r="J912" s="12" t="str">
        <f t="array" ref="J912">IF(I912:I4951="","",_xlfn.XLOOKUP(I912:I4951,'参照_姫'!A:A,'参照_姫'!B:B,"見つかりません"))</f>
      </c>
      <c r="K912" s="4">
        <v>95</v>
      </c>
      <c r="L912" s="4">
        <v>0</v>
      </c>
      <c r="M912" s="4"/>
      <c r="N912" s="4"/>
      <c r="O912" s="4"/>
      <c r="P912" s="12" t="str">
        <f t="array" ref="P912">IF(O912:O4951="","",_xlfn.XLOOKUP(O912:O4951,'参照_官位'!A:A,'参照_官位'!B:B,""))</f>
      </c>
      <c r="Q912" s="12" t="str">
        <f t="array" ref="Q912">IF(A912:A4951="","",IFERROR(_xlfn.XLOOKUP(A912:A4951,castles_state!K:K,castles_state!D:D)&amp;"主",IFERROR(_xlfn.XLOOKUP(A912:A4951,kunishuClan!D:D,kunishuClan!B:B)&amp;"当主","")))</f>
      </c>
    </row>
    <row r="913" ht="15.75" customHeight="1">
      <c r="A913" s="4">
        <v>1018011</v>
      </c>
      <c r="B913" s="12" t="str">
        <f t="array" ref="B913">IF(A913:A4952="","",_xlfn.XLOOKUP(A913:A4952,'参照_武将'!A:A,'参照_武将'!B:B,"見つかりません"))</f>
      </c>
      <c r="C913" s="4" t="s">
        <v>5927</v>
      </c>
      <c r="D913" s="4">
        <v>1</v>
      </c>
      <c r="E913" s="12" t="str">
        <f t="array" ref="E913">IF(D913:D4952="","",IFERROR(_xlfn.XLOOKUP(D913:D4952,'参照_勢力'!A:A,'参照_勢力'!B:B),IFERROR(_xlfn.XLOOKUP(F913:F4952,kunishuClan!A:A,kunishuClan!B:B),"浪人")))</f>
      </c>
      <c r="F913" s="4">
        <v>0</v>
      </c>
      <c r="G913" s="4">
        <v>40</v>
      </c>
      <c r="H913" s="12" t="str">
        <f t="array" ref="H913">IF(G913:G4952="","",_xlfn.XLOOKUP(G913:G4952,castles_state!A:A,castles_state!D:D,"見つかりません"))</f>
      </c>
      <c r="I913" s="4"/>
      <c r="J913" s="12" t="str">
        <f t="array" ref="J913">IF(I913:I4952="","",_xlfn.XLOOKUP(I913:I4952,'参照_姫'!A:A,'参照_姫'!B:B,"見つかりません"))</f>
      </c>
      <c r="K913" s="4">
        <v>90</v>
      </c>
      <c r="L913" s="4">
        <v>200</v>
      </c>
      <c r="M913" s="4"/>
      <c r="N913" s="4" t="b">
        <v>1</v>
      </c>
      <c r="O913" s="4"/>
      <c r="P913" s="12" t="str">
        <f t="array" ref="P913">IF(O913:O4952="","",_xlfn.XLOOKUP(O913:O4952,'参照_官位'!A:A,'参照_官位'!B:B,""))</f>
      </c>
      <c r="Q913" s="12" t="str">
        <f t="array" ref="Q913">IF(A913:A4952="","",IFERROR(_xlfn.XLOOKUP(A913:A4952,castles_state!K:K,castles_state!D:D)&amp;"主",IFERROR(_xlfn.XLOOKUP(A913:A4952,kunishuClan!D:D,kunishuClan!B:B)&amp;"当主","")))</f>
      </c>
    </row>
    <row r="914" ht="15.75" customHeight="1">
      <c r="A914" s="4">
        <v>1018012</v>
      </c>
      <c r="B914" s="12" t="str">
        <f t="array" ref="B914">IF(A914:A4953="","",_xlfn.XLOOKUP(A914:A4953,'参照_武将'!A:A,'参照_武将'!B:B,"見つかりません"))</f>
      </c>
      <c r="C914" s="4" t="s">
        <v>5927</v>
      </c>
      <c r="D914" s="4">
        <v>1</v>
      </c>
      <c r="E914" s="12" t="str">
        <f t="array" ref="E914">IF(D914:D4953="","",IFERROR(_xlfn.XLOOKUP(D914:D4953,'参照_勢力'!A:A,'参照_勢力'!B:B),IFERROR(_xlfn.XLOOKUP(F914:F4953,kunishuClan!A:A,kunishuClan!B:B),"浪人")))</f>
      </c>
      <c r="F914" s="4">
        <v>0</v>
      </c>
      <c r="G914" s="4">
        <v>40</v>
      </c>
      <c r="H914" s="12" t="str">
        <f t="array" ref="H914">IF(G914:G4953="","",_xlfn.XLOOKUP(G914:G4953,castles_state!A:A,castles_state!D:D,"見つかりません"))</f>
      </c>
      <c r="I914" s="4"/>
      <c r="J914" s="12" t="str">
        <f t="array" ref="J914">IF(I914:I4953="","",_xlfn.XLOOKUP(I914:I4953,'参照_姫'!A:A,'参照_姫'!B:B,"見つかりません"))</f>
      </c>
      <c r="K914" s="4">
        <v>90</v>
      </c>
      <c r="L914" s="4">
        <v>0</v>
      </c>
      <c r="M914" s="4"/>
      <c r="N914" s="4"/>
      <c r="O914" s="4"/>
      <c r="P914" s="12" t="str">
        <f t="array" ref="P914">IF(O914:O4953="","",_xlfn.XLOOKUP(O914:O4953,'参照_官位'!A:A,'参照_官位'!B:B,""))</f>
      </c>
      <c r="Q914" s="12" t="str">
        <f t="array" ref="Q914">IF(A914:A4953="","",IFERROR(_xlfn.XLOOKUP(A914:A4953,castles_state!K:K,castles_state!D:D)&amp;"主",IFERROR(_xlfn.XLOOKUP(A914:A4953,kunishuClan!D:D,kunishuClan!B:B)&amp;"当主","")))</f>
      </c>
    </row>
    <row r="915" ht="15.75" customHeight="1">
      <c r="A915" s="4">
        <v>1018013</v>
      </c>
      <c r="B915" s="12" t="str">
        <f t="array" ref="B915">IF(A915:A4954="","",_xlfn.XLOOKUP(A915:A4954,'参照_武将'!A:A,'参照_武将'!B:B,"見つかりません"))</f>
      </c>
      <c r="C915" s="4" t="s">
        <v>5927</v>
      </c>
      <c r="D915" s="4">
        <v>1</v>
      </c>
      <c r="E915" s="12" t="str">
        <f t="array" ref="E915">IF(D915:D4954="","",IFERROR(_xlfn.XLOOKUP(D915:D4954,'参照_勢力'!A:A,'参照_勢力'!B:B),IFERROR(_xlfn.XLOOKUP(F915:F4954,kunishuClan!A:A,kunishuClan!B:B),"浪人")))</f>
      </c>
      <c r="F915" s="4">
        <v>0</v>
      </c>
      <c r="G915" s="4">
        <v>40</v>
      </c>
      <c r="H915" s="12" t="str">
        <f t="array" ref="H915">IF(G915:G4954="","",_xlfn.XLOOKUP(G915:G4954,castles_state!A:A,castles_state!D:D,"見つかりません"))</f>
      </c>
      <c r="I915" s="4"/>
      <c r="J915" s="12" t="str">
        <f t="array" ref="J915">IF(I915:I4954="","",_xlfn.XLOOKUP(I915:I4954,'参照_姫'!A:A,'参照_姫'!B:B,"見つかりません"))</f>
      </c>
      <c r="K915" s="4">
        <v>90</v>
      </c>
      <c r="L915" s="4">
        <v>0</v>
      </c>
      <c r="M915" s="4"/>
      <c r="N915" s="4"/>
      <c r="O915" s="4"/>
      <c r="P915" s="12" t="str">
        <f t="array" ref="P915">IF(O915:O4954="","",_xlfn.XLOOKUP(O915:O4954,'参照_官位'!A:A,'参照_官位'!B:B,""))</f>
      </c>
      <c r="Q915" s="12" t="str">
        <f t="array" ref="Q915">IF(A915:A4954="","",IFERROR(_xlfn.XLOOKUP(A915:A4954,castles_state!K:K,castles_state!D:D)&amp;"主",IFERROR(_xlfn.XLOOKUP(A915:A4954,kunishuClan!D:D,kunishuClan!B:B)&amp;"当主","")))</f>
      </c>
    </row>
    <row r="916" ht="15.75" customHeight="1">
      <c r="A916" s="4">
        <v>1018014</v>
      </c>
      <c r="B916" s="12" t="str">
        <f t="array" ref="B916">IF(A916:A4955="","",_xlfn.XLOOKUP(A916:A4955,'参照_武将'!A:A,'参照_武将'!B:B,"見つかりません"))</f>
      </c>
      <c r="C916" s="4" t="s">
        <v>5927</v>
      </c>
      <c r="D916" s="4">
        <v>1</v>
      </c>
      <c r="E916" s="12" t="str">
        <f t="array" ref="E916">IF(D916:D4955="","",IFERROR(_xlfn.XLOOKUP(D916:D4955,'参照_勢力'!A:A,'参照_勢力'!B:B),IFERROR(_xlfn.XLOOKUP(F916:F4955,kunishuClan!A:A,kunishuClan!B:B),"浪人")))</f>
      </c>
      <c r="F916" s="4">
        <v>0</v>
      </c>
      <c r="G916" s="4">
        <v>40</v>
      </c>
      <c r="H916" s="12" t="str">
        <f t="array" ref="H916">IF(G916:G4955="","",_xlfn.XLOOKUP(G916:G4955,castles_state!A:A,castles_state!D:D,"見つかりません"))</f>
      </c>
      <c r="I916" s="4"/>
      <c r="J916" s="12" t="str">
        <f t="array" ref="J916">IF(I916:I4955="","",_xlfn.XLOOKUP(I916:I4955,'参照_姫'!A:A,'参照_姫'!B:B,"見つかりません"))</f>
      </c>
      <c r="K916" s="4">
        <v>90</v>
      </c>
      <c r="L916" s="4">
        <v>500</v>
      </c>
      <c r="M916" s="4"/>
      <c r="N916" s="4"/>
      <c r="O916" s="4"/>
      <c r="P916" s="12" t="str">
        <f t="array" ref="P916">IF(O916:O4955="","",_xlfn.XLOOKUP(O916:O4955,'参照_官位'!A:A,'参照_官位'!B:B,""))</f>
      </c>
      <c r="Q916" s="12" t="str">
        <f t="array" ref="Q916">IF(A916:A4955="","",IFERROR(_xlfn.XLOOKUP(A916:A4955,castles_state!K:K,castles_state!D:D)&amp;"主",IFERROR(_xlfn.XLOOKUP(A916:A4955,kunishuClan!D:D,kunishuClan!B:B)&amp;"当主","")))</f>
      </c>
    </row>
    <row r="917" ht="15.75" customHeight="1">
      <c r="A917" s="4">
        <v>1018015</v>
      </c>
      <c r="B917" s="12" t="str">
        <f t="array" ref="B917">IF(A917:A4956="","",_xlfn.XLOOKUP(A917:A4956,'参照_武将'!A:A,'参照_武将'!B:B,"見つかりません"))</f>
      </c>
      <c r="C917" s="4" t="s">
        <v>5927</v>
      </c>
      <c r="D917" s="4">
        <v>1</v>
      </c>
      <c r="E917" s="12" t="str">
        <f t="array" ref="E917">IF(D917:D4956="","",IFERROR(_xlfn.XLOOKUP(D917:D4956,'参照_勢力'!A:A,'参照_勢力'!B:B),IFERROR(_xlfn.XLOOKUP(F917:F4956,kunishuClan!A:A,kunishuClan!B:B),"浪人")))</f>
      </c>
      <c r="F917" s="4">
        <v>0</v>
      </c>
      <c r="G917" s="4">
        <v>40</v>
      </c>
      <c r="H917" s="12" t="str">
        <f t="array" ref="H917">IF(G917:G4956="","",_xlfn.XLOOKUP(G917:G4956,castles_state!A:A,castles_state!D:D,"見つかりません"))</f>
      </c>
      <c r="I917" s="4"/>
      <c r="J917" s="12" t="str">
        <f t="array" ref="J917">IF(I917:I4956="","",_xlfn.XLOOKUP(I917:I4956,'参照_姫'!A:A,'参照_姫'!B:B,"見つかりません"))</f>
      </c>
      <c r="K917" s="4">
        <v>90</v>
      </c>
      <c r="L917" s="4">
        <v>0</v>
      </c>
      <c r="M917" s="4"/>
      <c r="N917" s="4"/>
      <c r="O917" s="4"/>
      <c r="P917" s="12" t="str">
        <f t="array" ref="P917">IF(O917:O4956="","",_xlfn.XLOOKUP(O917:O4956,'参照_官位'!A:A,'参照_官位'!B:B,""))</f>
      </c>
      <c r="Q917" s="12" t="str">
        <f t="array" ref="Q917">IF(A917:A4956="","",IFERROR(_xlfn.XLOOKUP(A917:A4956,castles_state!K:K,castles_state!D:D)&amp;"主",IFERROR(_xlfn.XLOOKUP(A917:A4956,kunishuClan!D:D,kunishuClan!B:B)&amp;"当主","")))</f>
      </c>
    </row>
    <row r="918" ht="15.75" customHeight="1">
      <c r="A918" s="4">
        <v>1018016</v>
      </c>
      <c r="B918" s="12" t="str">
        <f t="array" ref="B918">IF(A918:A4957="","",_xlfn.XLOOKUP(A918:A4957,'参照_武将'!A:A,'参照_武将'!B:B,"見つかりません"))</f>
      </c>
      <c r="C918" s="4" t="s">
        <v>5927</v>
      </c>
      <c r="D918" s="4">
        <v>1</v>
      </c>
      <c r="E918" s="12" t="str">
        <f t="array" ref="E918">IF(D918:D4957="","",IFERROR(_xlfn.XLOOKUP(D918:D4957,'参照_勢力'!A:A,'参照_勢力'!B:B),IFERROR(_xlfn.XLOOKUP(F918:F4957,kunishuClan!A:A,kunishuClan!B:B),"浪人")))</f>
      </c>
      <c r="F918" s="4">
        <v>0</v>
      </c>
      <c r="G918" s="4">
        <v>40</v>
      </c>
      <c r="H918" s="12" t="str">
        <f t="array" ref="H918">IF(G918:G4957="","",_xlfn.XLOOKUP(G918:G4957,castles_state!A:A,castles_state!D:D,"見つかりません"))</f>
      </c>
      <c r="I918" s="4"/>
      <c r="J918" s="12" t="str">
        <f t="array" ref="J918">IF(I918:I4957="","",_xlfn.XLOOKUP(I918:I4957,'参照_姫'!A:A,'参照_姫'!B:B,"見つかりません"))</f>
      </c>
      <c r="K918" s="4">
        <v>90</v>
      </c>
      <c r="L918" s="4">
        <v>0</v>
      </c>
      <c r="M918" s="4"/>
      <c r="N918" s="4"/>
      <c r="O918" s="4"/>
      <c r="P918" s="12" t="str">
        <f t="array" ref="P918">IF(O918:O4957="","",_xlfn.XLOOKUP(O918:O4957,'参照_官位'!A:A,'参照_官位'!B:B,""))</f>
      </c>
      <c r="Q918" s="12" t="str">
        <f t="array" ref="Q918">IF(A918:A4957="","",IFERROR(_xlfn.XLOOKUP(A918:A4957,castles_state!K:K,castles_state!D:D)&amp;"主",IFERROR(_xlfn.XLOOKUP(A918:A4957,kunishuClan!D:D,kunishuClan!B:B)&amp;"当主","")))</f>
      </c>
    </row>
    <row r="919" ht="15.75" customHeight="1">
      <c r="A919" s="4">
        <v>1018017</v>
      </c>
      <c r="B919" s="12" t="str">
        <f t="array" ref="B919">IF(A919:A4958="","",_xlfn.XLOOKUP(A919:A4958,'参照_武将'!A:A,'参照_武将'!B:B,"見つかりません"))</f>
      </c>
      <c r="C919" s="4" t="s">
        <v>5927</v>
      </c>
      <c r="D919" s="4">
        <v>1</v>
      </c>
      <c r="E919" s="12" t="str">
        <f t="array" ref="E919">IF(D919:D4958="","",IFERROR(_xlfn.XLOOKUP(D919:D4958,'参照_勢力'!A:A,'参照_勢力'!B:B),IFERROR(_xlfn.XLOOKUP(F919:F4958,kunishuClan!A:A,kunishuClan!B:B),"浪人")))</f>
      </c>
      <c r="F919" s="4">
        <v>0</v>
      </c>
      <c r="G919" s="4">
        <v>40</v>
      </c>
      <c r="H919" s="12" t="str">
        <f t="array" ref="H919">IF(G919:G4958="","",_xlfn.XLOOKUP(G919:G4958,castles_state!A:A,castles_state!D:D,"見つかりません"))</f>
      </c>
      <c r="I919" s="4"/>
      <c r="J919" s="12" t="str">
        <f t="array" ref="J919">IF(I919:I4958="","",_xlfn.XLOOKUP(I919:I4958,'参照_姫'!A:A,'参照_姫'!B:B,"見つかりません"))</f>
      </c>
      <c r="K919" s="4">
        <v>90</v>
      </c>
      <c r="L919" s="4">
        <v>0</v>
      </c>
      <c r="M919" s="4"/>
      <c r="N919" s="4"/>
      <c r="O919" s="4"/>
      <c r="P919" s="12" t="str">
        <f t="array" ref="P919">IF(O919:O4958="","",_xlfn.XLOOKUP(O919:O4958,'参照_官位'!A:A,'参照_官位'!B:B,""))</f>
      </c>
      <c r="Q919" s="12" t="str">
        <f t="array" ref="Q919">IF(A919:A4958="","",IFERROR(_xlfn.XLOOKUP(A919:A4958,castles_state!K:K,castles_state!D:D)&amp;"主",IFERROR(_xlfn.XLOOKUP(A919:A4958,kunishuClan!D:D,kunishuClan!B:B)&amp;"当主","")))</f>
      </c>
    </row>
    <row r="920" ht="15.75" customHeight="1">
      <c r="A920" s="4">
        <v>1018018</v>
      </c>
      <c r="B920" s="12" t="str">
        <f t="array" ref="B920">IF(A920:A4959="","",_xlfn.XLOOKUP(A920:A4959,'参照_武将'!A:A,'参照_武将'!B:B,"見つかりません"))</f>
      </c>
      <c r="C920" s="4" t="s">
        <v>5927</v>
      </c>
      <c r="D920" s="4">
        <v>1</v>
      </c>
      <c r="E920" s="12" t="str">
        <f t="array" ref="E920">IF(D920:D4959="","",IFERROR(_xlfn.XLOOKUP(D920:D4959,'参照_勢力'!A:A,'参照_勢力'!B:B),IFERROR(_xlfn.XLOOKUP(F920:F4959,kunishuClan!A:A,kunishuClan!B:B),"浪人")))</f>
      </c>
      <c r="F920" s="4">
        <v>0</v>
      </c>
      <c r="G920" s="4">
        <v>40</v>
      </c>
      <c r="H920" s="12" t="str">
        <f t="array" ref="H920">IF(G920:G4959="","",_xlfn.XLOOKUP(G920:G4959,castles_state!A:A,castles_state!D:D,"見つかりません"))</f>
      </c>
      <c r="I920" s="4"/>
      <c r="J920" s="12" t="str">
        <f t="array" ref="J920">IF(I920:I4959="","",_xlfn.XLOOKUP(I920:I4959,'参照_姫'!A:A,'参照_姫'!B:B,"見つかりません"))</f>
      </c>
      <c r="K920" s="4">
        <v>90</v>
      </c>
      <c r="L920" s="4">
        <v>0</v>
      </c>
      <c r="M920" s="4"/>
      <c r="N920" s="4"/>
      <c r="O920" s="4"/>
      <c r="P920" s="12" t="str">
        <f t="array" ref="P920">IF(O920:O4959="","",_xlfn.XLOOKUP(O920:O4959,'参照_官位'!A:A,'参照_官位'!B:B,""))</f>
      </c>
      <c r="Q920" s="12" t="str">
        <f t="array" ref="Q920">IF(A920:A4959="","",IFERROR(_xlfn.XLOOKUP(A920:A4959,castles_state!K:K,castles_state!D:D)&amp;"主",IFERROR(_xlfn.XLOOKUP(A920:A4959,kunishuClan!D:D,kunishuClan!B:B)&amp;"当主","")))</f>
      </c>
    </row>
    <row r="921" ht="15.75" customHeight="1">
      <c r="A921" s="4">
        <v>1018019</v>
      </c>
      <c r="B921" s="12" t="str">
        <f t="array" ref="B921">IF(A921:A4960="","",_xlfn.XLOOKUP(A921:A4960,'参照_武将'!A:A,'参照_武将'!B:B,"見つかりません"))</f>
      </c>
      <c r="C921" s="4" t="s">
        <v>156</v>
      </c>
      <c r="D921" s="4">
        <v>18</v>
      </c>
      <c r="E921" s="12" t="str">
        <f t="array" ref="E921">IF(D921:D4960="","",IFERROR(_xlfn.XLOOKUP(D921:D4960,'参照_勢力'!A:A,'参照_勢力'!B:B),IFERROR(_xlfn.XLOOKUP(F921:F4960,kunishuClan!A:A,kunishuClan!B:B),"浪人")))</f>
      </c>
      <c r="F921" s="4">
        <v>0</v>
      </c>
      <c r="G921" s="4">
        <v>43</v>
      </c>
      <c r="H921" s="12" t="str">
        <f t="array" ref="H921">IF(G921:G4960="","",_xlfn.XLOOKUP(G921:G4960,castles_state!A:A,castles_state!D:D,"見つかりません"))</f>
      </c>
      <c r="I921" s="4"/>
      <c r="J921" s="12" t="str">
        <f t="array" ref="J921">IF(I921:I4960="","",_xlfn.XLOOKUP(I921:I4960,'参照_姫'!A:A,'参照_姫'!B:B,"見つかりません"))</f>
      </c>
      <c r="K921" s="4">
        <v>50</v>
      </c>
      <c r="L921" s="4">
        <v>500</v>
      </c>
      <c r="M921" s="4"/>
      <c r="N921" s="4"/>
      <c r="O921" s="4"/>
      <c r="P921" s="12" t="str">
        <f t="array" ref="P921">IF(O921:O4960="","",_xlfn.XLOOKUP(O921:O4960,'参照_官位'!A:A,'参照_官位'!B:B,""))</f>
      </c>
      <c r="Q921" s="12" t="str">
        <f t="array" ref="Q921">IF(A921:A4960="","",IFERROR(_xlfn.XLOOKUP(A921:A4960,castles_state!K:K,castles_state!D:D)&amp;"主",IFERROR(_xlfn.XLOOKUP(A921:A4960,kunishuClan!D:D,kunishuClan!B:B)&amp;"当主","")))</f>
      </c>
    </row>
    <row r="922" ht="15.75" customHeight="1">
      <c r="A922" s="4">
        <v>1018020</v>
      </c>
      <c r="B922" s="12" t="str">
        <f t="array" ref="B922">IF(A922:A4961="","",_xlfn.XLOOKUP(A922:A4961,'参照_武将'!A:A,'参照_武将'!B:B,"見つかりません"))</f>
      </c>
      <c r="C922" s="4" t="s">
        <v>156</v>
      </c>
      <c r="D922" s="4">
        <v>1</v>
      </c>
      <c r="E922" s="12" t="str">
        <f t="array" ref="E922">IF(D922:D4961="","",IFERROR(_xlfn.XLOOKUP(D922:D4961,'参照_勢力'!A:A,'参照_勢力'!B:B),IFERROR(_xlfn.XLOOKUP(F922:F4961,kunishuClan!A:A,kunishuClan!B:B),"浪人")))</f>
      </c>
      <c r="F922" s="4">
        <v>0</v>
      </c>
      <c r="G922" s="4">
        <v>35</v>
      </c>
      <c r="H922" s="12" t="str">
        <f t="array" ref="H922">IF(G922:G4961="","",_xlfn.XLOOKUP(G922:G4961,castles_state!A:A,castles_state!D:D,"見つかりません"))</f>
      </c>
      <c r="I922" s="4"/>
      <c r="J922" s="12" t="str">
        <f t="array" ref="J922">IF(I922:I4961="","",_xlfn.XLOOKUP(I922:I4961,'参照_姫'!A:A,'参照_姫'!B:B,"見つかりません"))</f>
      </c>
      <c r="K922" s="4">
        <v>90</v>
      </c>
      <c r="L922" s="4">
        <v>0</v>
      </c>
      <c r="M922" s="4"/>
      <c r="N922" s="4"/>
      <c r="O922" s="4"/>
      <c r="P922" s="12" t="str">
        <f t="array" ref="P922">IF(O922:O4961="","",_xlfn.XLOOKUP(O922:O4961,'参照_官位'!A:A,'参照_官位'!B:B,""))</f>
      </c>
      <c r="Q922" s="12" t="str">
        <f t="array" ref="Q922">IF(A922:A4961="","",IFERROR(_xlfn.XLOOKUP(A922:A4961,castles_state!K:K,castles_state!D:D)&amp;"主",IFERROR(_xlfn.XLOOKUP(A922:A4961,kunishuClan!D:D,kunishuClan!B:B)&amp;"当主","")))</f>
      </c>
    </row>
    <row r="923" ht="15.75" customHeight="1">
      <c r="A923" s="4">
        <v>1018021</v>
      </c>
      <c r="B923" s="12" t="str">
        <f t="array" ref="B923">IF(A923:A4962="","",_xlfn.XLOOKUP(A923:A4962,'参照_武将'!A:A,'参照_武将'!B:B,"見つかりません"))</f>
      </c>
      <c r="C923" s="4" t="s">
        <v>156</v>
      </c>
      <c r="D923" s="4">
        <v>1</v>
      </c>
      <c r="E923" s="12" t="str">
        <f t="array" ref="E923">IF(D923:D4962="","",IFERROR(_xlfn.XLOOKUP(D923:D4962,'参照_勢力'!A:A,'参照_勢力'!B:B),IFERROR(_xlfn.XLOOKUP(F923:F4962,kunishuClan!A:A,kunishuClan!B:B),"浪人")))</f>
      </c>
      <c r="F923" s="4">
        <v>0</v>
      </c>
      <c r="G923" s="4">
        <v>27</v>
      </c>
      <c r="H923" s="12" t="str">
        <f t="array" ref="H923">IF(G923:G4962="","",_xlfn.XLOOKUP(G923:G4962,castles_state!A:A,castles_state!D:D,"見つかりません"))</f>
      </c>
      <c r="I923" s="4"/>
      <c r="J923" s="12" t="str">
        <f t="array" ref="J923">IF(I923:I4962="","",_xlfn.XLOOKUP(I923:I4962,'参照_姫'!A:A,'参照_姫'!B:B,"見つかりません"))</f>
      </c>
      <c r="K923" s="4">
        <v>90</v>
      </c>
      <c r="L923" s="4">
        <v>0</v>
      </c>
      <c r="M923" s="4"/>
      <c r="N923" s="4"/>
      <c r="O923" s="4"/>
      <c r="P923" s="12" t="str">
        <f t="array" ref="P923">IF(O923:O4962="","",_xlfn.XLOOKUP(O923:O4962,'参照_官位'!A:A,'参照_官位'!B:B,""))</f>
      </c>
      <c r="Q923" s="12" t="str">
        <f t="array" ref="Q923">IF(A923:A4962="","",IFERROR(_xlfn.XLOOKUP(A923:A4962,castles_state!K:K,castles_state!D:D)&amp;"主",IFERROR(_xlfn.XLOOKUP(A923:A4962,kunishuClan!D:D,kunishuClan!B:B)&amp;"当主","")))</f>
      </c>
    </row>
    <row r="924" ht="15.75" customHeight="1">
      <c r="A924" s="4">
        <v>1018022</v>
      </c>
      <c r="B924" s="12" t="str">
        <f t="array" ref="B924">IF(A924:A4963="","",_xlfn.XLOOKUP(A924:A4963,'参照_武将'!A:A,'参照_武将'!B:B,"見つかりません"))</f>
      </c>
      <c r="C924" s="4" t="s">
        <v>156</v>
      </c>
      <c r="D924" s="4">
        <v>18</v>
      </c>
      <c r="E924" s="12" t="str">
        <f t="array" ref="E924">IF(D924:D4963="","",IFERROR(_xlfn.XLOOKUP(D924:D4963,'参照_勢力'!A:A,'参照_勢力'!B:B),IFERROR(_xlfn.XLOOKUP(F924:F4963,kunishuClan!A:A,kunishuClan!B:B),"浪人")))</f>
      </c>
      <c r="F924" s="4">
        <v>0</v>
      </c>
      <c r="G924" s="4">
        <v>43</v>
      </c>
      <c r="H924" s="12" t="str">
        <f t="array" ref="H924">IF(G924:G4963="","",_xlfn.XLOOKUP(G924:G4963,castles_state!A:A,castles_state!D:D,"見つかりません"))</f>
      </c>
      <c r="I924" s="4"/>
      <c r="J924" s="12" t="str">
        <f t="array" ref="J924">IF(I924:I4963="","",_xlfn.XLOOKUP(I924:I4963,'参照_姫'!A:A,'参照_姫'!B:B,"見つかりません"))</f>
      </c>
      <c r="K924" s="4">
        <v>50</v>
      </c>
      <c r="L924" s="4">
        <v>0</v>
      </c>
      <c r="M924" s="4"/>
      <c r="N924" s="4"/>
      <c r="O924" s="4"/>
      <c r="P924" s="12" t="str">
        <f t="array" ref="P924">IF(O924:O4963="","",_xlfn.XLOOKUP(O924:O4963,'参照_官位'!A:A,'参照_官位'!B:B,""))</f>
      </c>
      <c r="Q924" s="12" t="str">
        <f t="array" ref="Q924">IF(A924:A4963="","",IFERROR(_xlfn.XLOOKUP(A924:A4963,castles_state!K:K,castles_state!D:D)&amp;"主",IFERROR(_xlfn.XLOOKUP(A924:A4963,kunishuClan!D:D,kunishuClan!B:B)&amp;"当主","")))</f>
      </c>
    </row>
    <row r="925" ht="15.75" customHeight="1">
      <c r="A925" s="4">
        <v>1018023</v>
      </c>
      <c r="B925" s="12" t="str">
        <f t="array" ref="B925">IF(A925:A4964="","",_xlfn.XLOOKUP(A925:A4964,'参照_武将'!A:A,'参照_武将'!B:B,"見つかりません"))</f>
      </c>
      <c r="C925" s="4" t="s">
        <v>156</v>
      </c>
      <c r="D925" s="4">
        <v>1</v>
      </c>
      <c r="E925" s="12" t="str">
        <f t="array" ref="E925">IF(D925:D4964="","",IFERROR(_xlfn.XLOOKUP(D925:D4964,'参照_勢力'!A:A,'参照_勢力'!B:B),IFERROR(_xlfn.XLOOKUP(F925:F4964,kunishuClan!A:A,kunishuClan!B:B),"浪人")))</f>
      </c>
      <c r="F925" s="4">
        <v>0</v>
      </c>
      <c r="G925" s="4">
        <v>35</v>
      </c>
      <c r="H925" s="12" t="str">
        <f t="array" ref="H925">IF(G925:G4964="","",_xlfn.XLOOKUP(G925:G4964,castles_state!A:A,castles_state!D:D,"見つかりません"))</f>
      </c>
      <c r="I925" s="4"/>
      <c r="J925" s="12" t="str">
        <f t="array" ref="J925">IF(I925:I4964="","",_xlfn.XLOOKUP(I925:I4964,'参照_姫'!A:A,'参照_姫'!B:B,"見つかりません"))</f>
      </c>
      <c r="K925" s="4">
        <v>90</v>
      </c>
      <c r="L925" s="4">
        <v>500</v>
      </c>
      <c r="M925" s="4"/>
      <c r="N925" s="4"/>
      <c r="O925" s="4"/>
      <c r="P925" s="12" t="str">
        <f t="array" ref="P925">IF(O925:O4964="","",_xlfn.XLOOKUP(O925:O4964,'参照_官位'!A:A,'参照_官位'!B:B,""))</f>
      </c>
      <c r="Q925" s="12" t="str">
        <f t="array" ref="Q925">IF(A925:A4964="","",IFERROR(_xlfn.XLOOKUP(A925:A4964,castles_state!K:K,castles_state!D:D)&amp;"主",IFERROR(_xlfn.XLOOKUP(A925:A4964,kunishuClan!D:D,kunishuClan!B:B)&amp;"当主","")))</f>
      </c>
    </row>
    <row r="926" ht="15.75" customHeight="1">
      <c r="A926" s="4">
        <v>1018024</v>
      </c>
      <c r="B926" s="12" t="str">
        <f t="array" ref="B926">IF(A926:A4965="","",_xlfn.XLOOKUP(A926:A4965,'参照_武将'!A:A,'参照_武将'!B:B,"見つかりません"))</f>
      </c>
      <c r="C926" s="4" t="s">
        <v>5927</v>
      </c>
      <c r="D926" s="4">
        <v>18</v>
      </c>
      <c r="E926" s="12" t="str">
        <f t="array" ref="E926">IF(D926:D4965="","",IFERROR(_xlfn.XLOOKUP(D926:D4965,'参照_勢力'!A:A,'参照_勢力'!B:B),IFERROR(_xlfn.XLOOKUP(F926:F4965,kunishuClan!A:A,kunishuClan!B:B),"浪人")))</f>
      </c>
      <c r="F926" s="4">
        <v>0</v>
      </c>
      <c r="G926" s="4">
        <v>43</v>
      </c>
      <c r="H926" s="12" t="str">
        <f t="array" ref="H926">IF(G926:G4965="","",_xlfn.XLOOKUP(G926:G4965,castles_state!A:A,castles_state!D:D,"見つかりません"))</f>
      </c>
      <c r="I926" s="4"/>
      <c r="J926" s="12" t="str">
        <f t="array" ref="J926">IF(I926:I4965="","",_xlfn.XLOOKUP(I926:I4965,'参照_姫'!A:A,'参照_姫'!B:B,"見つかりません"))</f>
      </c>
      <c r="K926" s="4">
        <v>50</v>
      </c>
      <c r="L926" s="4">
        <v>0</v>
      </c>
      <c r="M926" s="4"/>
      <c r="N926" s="4"/>
      <c r="O926" s="4"/>
      <c r="P926" s="12" t="str">
        <f t="array" ref="P926">IF(O926:O4965="","",_xlfn.XLOOKUP(O926:O4965,'参照_官位'!A:A,'参照_官位'!B:B,""))</f>
      </c>
      <c r="Q926" s="12" t="str">
        <f t="array" ref="Q926">IF(A926:A4965="","",IFERROR(_xlfn.XLOOKUP(A926:A4965,castles_state!K:K,castles_state!D:D)&amp;"主",IFERROR(_xlfn.XLOOKUP(A926:A4965,kunishuClan!D:D,kunishuClan!B:B)&amp;"当主","")))</f>
      </c>
    </row>
    <row r="927" ht="15.75" customHeight="1">
      <c r="A927" s="4">
        <v>1018025</v>
      </c>
      <c r="B927" s="12" t="str">
        <f t="array" ref="B927">IF(A927:A4966="","",_xlfn.XLOOKUP(A927:A4966,'参照_武将'!A:A,'参照_武将'!B:B,"見つかりません"))</f>
      </c>
      <c r="C927" s="4" t="s">
        <v>5927</v>
      </c>
      <c r="D927" s="4">
        <v>1</v>
      </c>
      <c r="E927" s="12" t="str">
        <f t="array" ref="E927">IF(D927:D4966="","",IFERROR(_xlfn.XLOOKUP(D927:D4966,'参照_勢力'!A:A,'参照_勢力'!B:B),IFERROR(_xlfn.XLOOKUP(F927:F4966,kunishuClan!A:A,kunishuClan!B:B),"浪人")))</f>
      </c>
      <c r="F927" s="4">
        <v>0</v>
      </c>
      <c r="G927" s="4">
        <v>77</v>
      </c>
      <c r="H927" s="12" t="str">
        <f t="array" ref="H927">IF(G927:G4966="","",_xlfn.XLOOKUP(G927:G4966,castles_state!A:A,castles_state!D:D,"見つかりません"))</f>
      </c>
      <c r="I927" s="4"/>
      <c r="J927" s="12" t="str">
        <f t="array" ref="J927">IF(I927:I4966="","",_xlfn.XLOOKUP(I927:I4966,'参照_姫'!A:A,'参照_姫'!B:B,"見つかりません"))</f>
      </c>
      <c r="K927" s="4">
        <v>95</v>
      </c>
      <c r="L927" s="4">
        <v>200</v>
      </c>
      <c r="M927" s="4"/>
      <c r="N927" s="4"/>
      <c r="O927" s="4"/>
      <c r="P927" s="12" t="str">
        <f t="array" ref="P927">IF(O927:O4966="","",_xlfn.XLOOKUP(O927:O4966,'参照_官位'!A:A,'参照_官位'!B:B,""))</f>
      </c>
      <c r="Q927" s="12" t="str">
        <f t="array" ref="Q927">IF(A927:A4966="","",IFERROR(_xlfn.XLOOKUP(A927:A4966,castles_state!K:K,castles_state!D:D)&amp;"主",IFERROR(_xlfn.XLOOKUP(A927:A4966,kunishuClan!D:D,kunishuClan!B:B)&amp;"当主","")))</f>
      </c>
    </row>
    <row r="928" ht="15.75" customHeight="1">
      <c r="A928" s="4">
        <v>1018026</v>
      </c>
      <c r="B928" s="12" t="str">
        <f t="array" ref="B928">IF(A928:A4967="","",_xlfn.XLOOKUP(A928:A4967,'参照_武将'!A:A,'参照_武将'!B:B,"見つかりません"))</f>
      </c>
      <c r="C928" s="4" t="s">
        <v>5927</v>
      </c>
      <c r="D928" s="4">
        <v>1</v>
      </c>
      <c r="E928" s="12" t="str">
        <f t="array" ref="E928">IF(D928:D4967="","",IFERROR(_xlfn.XLOOKUP(D928:D4967,'参照_勢力'!A:A,'参照_勢力'!B:B),IFERROR(_xlfn.XLOOKUP(F928:F4967,kunishuClan!A:A,kunishuClan!B:B),"浪人")))</f>
      </c>
      <c r="F928" s="4">
        <v>0</v>
      </c>
      <c r="G928" s="4">
        <v>77</v>
      </c>
      <c r="H928" s="12" t="str">
        <f t="array" ref="H928">IF(G928:G4967="","",_xlfn.XLOOKUP(G928:G4967,castles_state!A:A,castles_state!D:D,"見つかりません"))</f>
      </c>
      <c r="I928" s="4"/>
      <c r="J928" s="12" t="str">
        <f t="array" ref="J928">IF(I928:I4967="","",_xlfn.XLOOKUP(I928:I4967,'参照_姫'!A:A,'参照_姫'!B:B,"見つかりません"))</f>
      </c>
      <c r="K928" s="4">
        <v>95</v>
      </c>
      <c r="L928" s="4">
        <v>0</v>
      </c>
      <c r="M928" s="4"/>
      <c r="N928" s="4"/>
      <c r="O928" s="4"/>
      <c r="P928" s="12" t="str">
        <f t="array" ref="P928">IF(O928:O4967="","",_xlfn.XLOOKUP(O928:O4967,'参照_官位'!A:A,'参照_官位'!B:B,""))</f>
      </c>
      <c r="Q928" s="12" t="str">
        <f t="array" ref="Q928">IF(A928:A4967="","",IFERROR(_xlfn.XLOOKUP(A928:A4967,castles_state!K:K,castles_state!D:D)&amp;"主",IFERROR(_xlfn.XLOOKUP(A928:A4967,kunishuClan!D:D,kunishuClan!B:B)&amp;"当主","")))</f>
      </c>
    </row>
    <row r="929" ht="15.75" customHeight="1">
      <c r="A929" s="4">
        <v>1018027</v>
      </c>
      <c r="B929" s="12" t="str">
        <f t="array" ref="B929">IF(A929:A4968="","",_xlfn.XLOOKUP(A929:A4968,'参照_武将'!A:A,'参照_武将'!B:B,"見つかりません"))</f>
      </c>
      <c r="C929" s="4" t="s">
        <v>156</v>
      </c>
      <c r="D929" s="4">
        <v>1</v>
      </c>
      <c r="E929" s="12" t="str">
        <f t="array" ref="E929">IF(D929:D4968="","",IFERROR(_xlfn.XLOOKUP(D929:D4968,'参照_勢力'!A:A,'参照_勢力'!B:B),IFERROR(_xlfn.XLOOKUP(F929:F4968,kunishuClan!A:A,kunishuClan!B:B),"浪人")))</f>
      </c>
      <c r="F929" s="4">
        <v>0</v>
      </c>
      <c r="G929" s="4">
        <v>77</v>
      </c>
      <c r="H929" s="12" t="str">
        <f t="array" ref="H929">IF(G929:G4968="","",_xlfn.XLOOKUP(G929:G4968,castles_state!A:A,castles_state!D:D,"見つかりません"))</f>
      </c>
      <c r="I929" s="4"/>
      <c r="J929" s="12" t="str">
        <f t="array" ref="J929">IF(I929:I4968="","",_xlfn.XLOOKUP(I929:I4968,'参照_姫'!A:A,'参照_姫'!B:B,"見つかりません"))</f>
      </c>
      <c r="K929" s="4">
        <v>95</v>
      </c>
      <c r="L929" s="4">
        <v>0</v>
      </c>
      <c r="M929" s="4"/>
      <c r="N929" s="4"/>
      <c r="O929" s="4"/>
      <c r="P929" s="12" t="str">
        <f t="array" ref="P929">IF(O929:O4968="","",_xlfn.XLOOKUP(O929:O4968,'参照_官位'!A:A,'参照_官位'!B:B,""))</f>
      </c>
      <c r="Q929" s="12" t="str">
        <f t="array" ref="Q929">IF(A929:A4968="","",IFERROR(_xlfn.XLOOKUP(A929:A4968,castles_state!K:K,castles_state!D:D)&amp;"主",IFERROR(_xlfn.XLOOKUP(A929:A4968,kunishuClan!D:D,kunishuClan!B:B)&amp;"当主","")))</f>
      </c>
    </row>
    <row r="930" ht="15.75" customHeight="1">
      <c r="A930" s="4">
        <v>1018028</v>
      </c>
      <c r="B930" s="12" t="str">
        <f t="array" ref="B930">IF(A930:A4969="","",_xlfn.XLOOKUP(A930:A4969,'参照_武将'!A:A,'参照_武将'!B:B,"見つかりません"))</f>
      </c>
      <c r="C930" s="4" t="s">
        <v>156</v>
      </c>
      <c r="D930" s="4">
        <v>18</v>
      </c>
      <c r="E930" s="12" t="str">
        <f t="array" ref="E930">IF(D930:D4969="","",IFERROR(_xlfn.XLOOKUP(D930:D4969,'参照_勢力'!A:A,'参照_勢力'!B:B),IFERROR(_xlfn.XLOOKUP(F930:F4969,kunishuClan!A:A,kunishuClan!B:B),"浪人")))</f>
      </c>
      <c r="F930" s="4">
        <v>0</v>
      </c>
      <c r="G930" s="4">
        <v>43</v>
      </c>
      <c r="H930" s="12" t="str">
        <f t="array" ref="H930">IF(G930:G4969="","",_xlfn.XLOOKUP(G930:G4969,castles_state!A:A,castles_state!D:D,"見つかりません"))</f>
      </c>
      <c r="I930" s="4"/>
      <c r="J930" s="12" t="str">
        <f t="array" ref="J930">IF(I930:I4969="","",_xlfn.XLOOKUP(I930:I4969,'参照_姫'!A:A,'参照_姫'!B:B,"見つかりません"))</f>
      </c>
      <c r="K930" s="4">
        <v>50</v>
      </c>
      <c r="L930" s="4">
        <v>0</v>
      </c>
      <c r="M930" s="4"/>
      <c r="N930" s="4"/>
      <c r="O930" s="4"/>
      <c r="P930" s="12" t="str">
        <f t="array" ref="P930">IF(O930:O4969="","",_xlfn.XLOOKUP(O930:O4969,'参照_官位'!A:A,'参照_官位'!B:B,""))</f>
      </c>
      <c r="Q930" s="12" t="str">
        <f t="array" ref="Q930">IF(A930:A4969="","",IFERROR(_xlfn.XLOOKUP(A930:A4969,castles_state!K:K,castles_state!D:D)&amp;"主",IFERROR(_xlfn.XLOOKUP(A930:A4969,kunishuClan!D:D,kunishuClan!B:B)&amp;"当主","")))</f>
      </c>
    </row>
    <row r="931" ht="15.75" customHeight="1">
      <c r="A931" s="4">
        <v>1018029</v>
      </c>
      <c r="B931" s="12" t="str">
        <f t="array" ref="B931">IF(A931:A4970="","",_xlfn.XLOOKUP(A931:A4970,'参照_武将'!A:A,'参照_武将'!B:B,"見つかりません"))</f>
      </c>
      <c r="C931" s="4" t="s">
        <v>156</v>
      </c>
      <c r="D931" s="4">
        <v>18</v>
      </c>
      <c r="E931" s="12" t="str">
        <f t="array" ref="E931">IF(D931:D4970="","",IFERROR(_xlfn.XLOOKUP(D931:D4970,'参照_勢力'!A:A,'参照_勢力'!B:B),IFERROR(_xlfn.XLOOKUP(F931:F4970,kunishuClan!A:A,kunishuClan!B:B),"浪人")))</f>
      </c>
      <c r="F931" s="4">
        <v>0</v>
      </c>
      <c r="G931" s="4">
        <v>43</v>
      </c>
      <c r="H931" s="12" t="str">
        <f t="array" ref="H931">IF(G931:G4970="","",_xlfn.XLOOKUP(G931:G4970,castles_state!A:A,castles_state!D:D,"見つかりません"))</f>
      </c>
      <c r="I931" s="4"/>
      <c r="J931" s="12" t="str">
        <f t="array" ref="J931">IF(I931:I4970="","",_xlfn.XLOOKUP(I931:I4970,'参照_姫'!A:A,'参照_姫'!B:B,"見つかりません"))</f>
      </c>
      <c r="K931" s="4">
        <v>50</v>
      </c>
      <c r="L931" s="4">
        <v>300</v>
      </c>
      <c r="M931" s="4"/>
      <c r="N931" s="4"/>
      <c r="O931" s="4"/>
      <c r="P931" s="12" t="str">
        <f t="array" ref="P931">IF(O931:O4970="","",_xlfn.XLOOKUP(O931:O4970,'参照_官位'!A:A,'参照_官位'!B:B,""))</f>
      </c>
      <c r="Q931" s="12" t="str">
        <f t="array" ref="Q931">IF(A931:A4970="","",IFERROR(_xlfn.XLOOKUP(A931:A4970,castles_state!K:K,castles_state!D:D)&amp;"主",IFERROR(_xlfn.XLOOKUP(A931:A4970,kunishuClan!D:D,kunishuClan!B:B)&amp;"当主","")))</f>
      </c>
    </row>
    <row r="932" ht="15.75" customHeight="1">
      <c r="A932" s="4">
        <v>1018030</v>
      </c>
      <c r="B932" s="12" t="str">
        <f t="array" ref="B932">IF(A932:A4971="","",_xlfn.XLOOKUP(A932:A4971,'参照_武将'!A:A,'参照_武将'!B:B,"見つかりません"))</f>
      </c>
      <c r="C932" s="4" t="s">
        <v>156</v>
      </c>
      <c r="D932" s="4">
        <v>18</v>
      </c>
      <c r="E932" s="12" t="str">
        <f t="array" ref="E932">IF(D932:D4971="","",IFERROR(_xlfn.XLOOKUP(D932:D4971,'参照_勢力'!A:A,'参照_勢力'!B:B),IFERROR(_xlfn.XLOOKUP(F932:F4971,kunishuClan!A:A,kunishuClan!B:B),"浪人")))</f>
      </c>
      <c r="F932" s="4">
        <v>0</v>
      </c>
      <c r="G932" s="4">
        <v>43</v>
      </c>
      <c r="H932" s="12" t="str">
        <f t="array" ref="H932">IF(G932:G4971="","",_xlfn.XLOOKUP(G932:G4971,castles_state!A:A,castles_state!D:D,"見つかりません"))</f>
      </c>
      <c r="I932" s="4"/>
      <c r="J932" s="12" t="str">
        <f t="array" ref="J932">IF(I932:I4971="","",_xlfn.XLOOKUP(I932:I4971,'参照_姫'!A:A,'参照_姫'!B:B,"見つかりません"))</f>
      </c>
      <c r="K932" s="4">
        <v>50</v>
      </c>
      <c r="L932" s="4">
        <v>0</v>
      </c>
      <c r="M932" s="4"/>
      <c r="N932" s="4"/>
      <c r="O932" s="4"/>
      <c r="P932" s="12" t="str">
        <f t="array" ref="P932">IF(O932:O4971="","",_xlfn.XLOOKUP(O932:O4971,'参照_官位'!A:A,'参照_官位'!B:B,""))</f>
      </c>
      <c r="Q932" s="12" t="str">
        <f t="array" ref="Q932">IF(A932:A4971="","",IFERROR(_xlfn.XLOOKUP(A932:A4971,castles_state!K:K,castles_state!D:D)&amp;"主",IFERROR(_xlfn.XLOOKUP(A932:A4971,kunishuClan!D:D,kunishuClan!B:B)&amp;"当主","")))</f>
      </c>
    </row>
    <row r="933" ht="15.75" customHeight="1">
      <c r="A933" s="4">
        <v>1018031</v>
      </c>
      <c r="B933" s="12" t="str">
        <f t="array" ref="B933">IF(A933:A4972="","",_xlfn.XLOOKUP(A933:A4972,'参照_武将'!A:A,'参照_武将'!B:B,"見つかりません"))</f>
      </c>
      <c r="C933" s="4" t="s">
        <v>156</v>
      </c>
      <c r="D933" s="4">
        <v>1</v>
      </c>
      <c r="E933" s="12" t="str">
        <f t="array" ref="E933">IF(D933:D4972="","",IFERROR(_xlfn.XLOOKUP(D933:D4972,'参照_勢力'!A:A,'参照_勢力'!B:B),IFERROR(_xlfn.XLOOKUP(F933:F4972,kunishuClan!A:A,kunishuClan!B:B),"浪人")))</f>
      </c>
      <c r="F933" s="4">
        <v>0</v>
      </c>
      <c r="G933" s="4">
        <v>35</v>
      </c>
      <c r="H933" s="12" t="str">
        <f t="array" ref="H933">IF(G933:G4972="","",_xlfn.XLOOKUP(G933:G4972,castles_state!A:A,castles_state!D:D,"見つかりません"))</f>
      </c>
      <c r="I933" s="4"/>
      <c r="J933" s="12" t="str">
        <f t="array" ref="J933">IF(I933:I4972="","",_xlfn.XLOOKUP(I933:I4972,'参照_姫'!A:A,'参照_姫'!B:B,"見つかりません"))</f>
      </c>
      <c r="K933" s="4">
        <v>95</v>
      </c>
      <c r="L933" s="4">
        <v>0</v>
      </c>
      <c r="M933" s="4"/>
      <c r="N933" s="4"/>
      <c r="O933" s="4"/>
      <c r="P933" s="12" t="str">
        <f t="array" ref="P933">IF(O933:O4972="","",_xlfn.XLOOKUP(O933:O4972,'参照_官位'!A:A,'参照_官位'!B:B,""))</f>
      </c>
      <c r="Q933" s="12" t="str">
        <f t="array" ref="Q933">IF(A933:A4972="","",IFERROR(_xlfn.XLOOKUP(A933:A4972,castles_state!K:K,castles_state!D:D)&amp;"主",IFERROR(_xlfn.XLOOKUP(A933:A4972,kunishuClan!D:D,kunishuClan!B:B)&amp;"当主","")))</f>
      </c>
    </row>
    <row r="934" ht="15.75" customHeight="1">
      <c r="A934" s="4">
        <v>1018032</v>
      </c>
      <c r="B934" s="12" t="str">
        <f t="array" ref="B934">IF(A934:A4973="","",_xlfn.XLOOKUP(A934:A4973,'参照_武将'!A:A,'参照_武将'!B:B,"見つかりません"))</f>
      </c>
      <c r="C934" s="4" t="s">
        <v>156</v>
      </c>
      <c r="D934" s="4">
        <v>1</v>
      </c>
      <c r="E934" s="12" t="str">
        <f t="array" ref="E934">IF(D934:D4973="","",IFERROR(_xlfn.XLOOKUP(D934:D4973,'参照_勢力'!A:A,'参照_勢力'!B:B),IFERROR(_xlfn.XLOOKUP(F934:F4973,kunishuClan!A:A,kunishuClan!B:B),"浪人")))</f>
      </c>
      <c r="F934" s="4">
        <v>0</v>
      </c>
      <c r="G934" s="4">
        <v>35</v>
      </c>
      <c r="H934" s="12" t="str">
        <f t="array" ref="H934">IF(G934:G4973="","",_xlfn.XLOOKUP(G934:G4973,castles_state!A:A,castles_state!D:D,"見つかりません"))</f>
      </c>
      <c r="I934" s="4"/>
      <c r="J934" s="12" t="str">
        <f t="array" ref="J934">IF(I934:I4973="","",_xlfn.XLOOKUP(I934:I4973,'参照_姫'!A:A,'参照_姫'!B:B,"見つかりません"))</f>
      </c>
      <c r="K934" s="4">
        <v>90</v>
      </c>
      <c r="L934" s="4">
        <v>0</v>
      </c>
      <c r="M934" s="4"/>
      <c r="N934" s="4"/>
      <c r="O934" s="4"/>
      <c r="P934" s="12" t="str">
        <f t="array" ref="P934">IF(O934:O4973="","",_xlfn.XLOOKUP(O934:O4973,'参照_官位'!A:A,'参照_官位'!B:B,""))</f>
      </c>
      <c r="Q934" s="12" t="str">
        <f t="array" ref="Q934">IF(A934:A4973="","",IFERROR(_xlfn.XLOOKUP(A934:A4973,castles_state!K:K,castles_state!D:D)&amp;"主",IFERROR(_xlfn.XLOOKUP(A934:A4973,kunishuClan!D:D,kunishuClan!B:B)&amp;"当主","")))</f>
      </c>
    </row>
    <row r="935" ht="15.75" customHeight="1">
      <c r="A935" s="4">
        <v>1018033</v>
      </c>
      <c r="B935" s="12" t="str">
        <f t="array" ref="B935">IF(A935:A4974="","",_xlfn.XLOOKUP(A935:A4974,'参照_武将'!A:A,'参照_武将'!B:B,"見つかりません"))</f>
      </c>
      <c r="C935" s="4" t="s">
        <v>156</v>
      </c>
      <c r="D935" s="4">
        <v>1</v>
      </c>
      <c r="E935" s="12" t="str">
        <f t="array" ref="E935">IF(D935:D4974="","",IFERROR(_xlfn.XLOOKUP(D935:D4974,'参照_勢力'!A:A,'参照_勢力'!B:B),IFERROR(_xlfn.XLOOKUP(F935:F4974,kunishuClan!A:A,kunishuClan!B:B),"浪人")))</f>
      </c>
      <c r="F935" s="4">
        <v>0</v>
      </c>
      <c r="G935" s="4">
        <v>35</v>
      </c>
      <c r="H935" s="12" t="str">
        <f t="array" ref="H935">IF(G935:G4974="","",_xlfn.XLOOKUP(G935:G4974,castles_state!A:A,castles_state!D:D,"見つかりません"))</f>
      </c>
      <c r="I935" s="4"/>
      <c r="J935" s="12" t="str">
        <f t="array" ref="J935">IF(I935:I4974="","",_xlfn.XLOOKUP(I935:I4974,'参照_姫'!A:A,'参照_姫'!B:B,"見つかりません"))</f>
      </c>
      <c r="K935" s="4">
        <v>90</v>
      </c>
      <c r="L935" s="4">
        <v>0</v>
      </c>
      <c r="M935" s="4"/>
      <c r="N935" s="4"/>
      <c r="O935" s="4"/>
      <c r="P935" s="12" t="str">
        <f t="array" ref="P935">IF(O935:O4974="","",_xlfn.XLOOKUP(O935:O4974,'参照_官位'!A:A,'参照_官位'!B:B,""))</f>
      </c>
      <c r="Q935" s="12" t="str">
        <f t="array" ref="Q935">IF(A935:A4974="","",IFERROR(_xlfn.XLOOKUP(A935:A4974,castles_state!K:K,castles_state!D:D)&amp;"主",IFERROR(_xlfn.XLOOKUP(A935:A4974,kunishuClan!D:D,kunishuClan!B:B)&amp;"当主","")))</f>
      </c>
    </row>
    <row r="936" ht="15.75" customHeight="1">
      <c r="A936" s="4">
        <v>1018034</v>
      </c>
      <c r="B936" s="12" t="str">
        <f t="array" ref="B936">IF(A936:A4975="","",_xlfn.XLOOKUP(A936:A4975,'参照_武将'!A:A,'参照_武将'!B:B,"見つかりません"))</f>
      </c>
      <c r="C936" s="4" t="s">
        <v>156</v>
      </c>
      <c r="D936" s="4">
        <v>18</v>
      </c>
      <c r="E936" s="12" t="str">
        <f t="array" ref="E936">IF(D936:D4975="","",IFERROR(_xlfn.XLOOKUP(D936:D4975,'参照_勢力'!A:A,'参照_勢力'!B:B),IFERROR(_xlfn.XLOOKUP(F936:F4975,kunishuClan!A:A,kunishuClan!B:B),"浪人")))</f>
      </c>
      <c r="F936" s="4">
        <v>0</v>
      </c>
      <c r="G936" s="4">
        <v>43</v>
      </c>
      <c r="H936" s="12" t="str">
        <f t="array" ref="H936">IF(G936:G4975="","",_xlfn.XLOOKUP(G936:G4975,castles_state!A:A,castles_state!D:D,"見つかりません"))</f>
      </c>
      <c r="I936" s="4"/>
      <c r="J936" s="12" t="str">
        <f t="array" ref="J936">IF(I936:I4975="","",_xlfn.XLOOKUP(I936:I4975,'参照_姫'!A:A,'参照_姫'!B:B,"見つかりません"))</f>
      </c>
      <c r="K936" s="4">
        <v>100</v>
      </c>
      <c r="L936" s="4">
        <v>300</v>
      </c>
      <c r="M936" s="4" t="b">
        <v>1</v>
      </c>
      <c r="N936" s="4"/>
      <c r="O936" s="4"/>
      <c r="P936" s="12" t="str">
        <f t="array" ref="P936">IF(O936:O4975="","",_xlfn.XLOOKUP(O936:O4975,'参照_官位'!A:A,'参照_官位'!B:B,""))</f>
      </c>
      <c r="Q936" s="12" t="str">
        <f t="array" ref="Q936">IF(A936:A4975="","",IFERROR(_xlfn.XLOOKUP(A936:A4975,castles_state!K:K,castles_state!D:D)&amp;"主",IFERROR(_xlfn.XLOOKUP(A936:A4975,kunishuClan!D:D,kunishuClan!B:B)&amp;"当主","")))</f>
      </c>
    </row>
    <row r="937" ht="15.75" customHeight="1">
      <c r="A937" s="4">
        <v>1018035</v>
      </c>
      <c r="B937" s="12" t="str">
        <f t="array" ref="B937">IF(A937:A4976="","",_xlfn.XLOOKUP(A937:A4976,'参照_武将'!A:A,'参照_武将'!B:B,"見つかりません"))</f>
      </c>
      <c r="C937" s="4" t="s">
        <v>156</v>
      </c>
      <c r="D937" s="4">
        <v>18</v>
      </c>
      <c r="E937" s="12" t="str">
        <f t="array" ref="E937">IF(D937:D4976="","",IFERROR(_xlfn.XLOOKUP(D937:D4976,'参照_勢力'!A:A,'参照_勢力'!B:B),IFERROR(_xlfn.XLOOKUP(F937:F4976,kunishuClan!A:A,kunishuClan!B:B),"浪人")))</f>
      </c>
      <c r="F937" s="4">
        <v>0</v>
      </c>
      <c r="G937" s="4">
        <v>43</v>
      </c>
      <c r="H937" s="12" t="str">
        <f t="array" ref="H937">IF(G937:G4976="","",_xlfn.XLOOKUP(G937:G4976,castles_state!A:A,castles_state!D:D,"見つかりません"))</f>
      </c>
      <c r="I937" s="4"/>
      <c r="J937" s="12" t="str">
        <f t="array" ref="J937">IF(I937:I4976="","",_xlfn.XLOOKUP(I937:I4976,'参照_姫'!A:A,'参照_姫'!B:B,"見つかりません"))</f>
      </c>
      <c r="K937" s="4">
        <v>50</v>
      </c>
      <c r="L937" s="4">
        <v>0</v>
      </c>
      <c r="M937" s="4"/>
      <c r="N937" s="4"/>
      <c r="O937" s="4"/>
      <c r="P937" s="12" t="str">
        <f t="array" ref="P937">IF(O937:O4976="","",_xlfn.XLOOKUP(O937:O4976,'参照_官位'!A:A,'参照_官位'!B:B,""))</f>
      </c>
      <c r="Q937" s="12" t="str">
        <f t="array" ref="Q937">IF(A937:A4976="","",IFERROR(_xlfn.XLOOKUP(A937:A4976,castles_state!K:K,castles_state!D:D)&amp;"主",IFERROR(_xlfn.XLOOKUP(A937:A4976,kunishuClan!D:D,kunishuClan!B:B)&amp;"当主","")))</f>
      </c>
    </row>
    <row r="938" ht="15.75" customHeight="1">
      <c r="A938" s="4">
        <v>1018036</v>
      </c>
      <c r="B938" s="12" t="str">
        <f t="array" ref="B938">IF(A938:A4977="","",_xlfn.XLOOKUP(A938:A4977,'参照_武将'!A:A,'参照_武将'!B:B,"見つかりません"))</f>
      </c>
      <c r="C938" s="4" t="s">
        <v>156</v>
      </c>
      <c r="D938" s="4">
        <v>1</v>
      </c>
      <c r="E938" s="12" t="str">
        <f t="array" ref="E938">IF(D938:D4977="","",IFERROR(_xlfn.XLOOKUP(D938:D4977,'参照_勢力'!A:A,'参照_勢力'!B:B),IFERROR(_xlfn.XLOOKUP(F938:F4977,kunishuClan!A:A,kunishuClan!B:B),"浪人")))</f>
      </c>
      <c r="F938" s="4">
        <v>0</v>
      </c>
      <c r="G938" s="4">
        <v>27</v>
      </c>
      <c r="H938" s="12" t="str">
        <f t="array" ref="H938">IF(G938:G4977="","",_xlfn.XLOOKUP(G938:G4977,castles_state!A:A,castles_state!D:D,"見つかりません"))</f>
      </c>
      <c r="I938" s="4"/>
      <c r="J938" s="12" t="str">
        <f t="array" ref="J938">IF(I938:I4977="","",_xlfn.XLOOKUP(I938:I4977,'参照_姫'!A:A,'参照_姫'!B:B,"見つかりません"))</f>
      </c>
      <c r="K938" s="4">
        <v>100</v>
      </c>
      <c r="L938" s="4">
        <v>0</v>
      </c>
      <c r="M938" s="4"/>
      <c r="N938" s="4"/>
      <c r="O938" s="4"/>
      <c r="P938" s="12" t="str">
        <f t="array" ref="P938">IF(O938:O4977="","",_xlfn.XLOOKUP(O938:O4977,'参照_官位'!A:A,'参照_官位'!B:B,""))</f>
      </c>
      <c r="Q938" s="12" t="str">
        <f t="array" ref="Q938">IF(A938:A4977="","",IFERROR(_xlfn.XLOOKUP(A938:A4977,castles_state!K:K,castles_state!D:D)&amp;"主",IFERROR(_xlfn.XLOOKUP(A938:A4977,kunishuClan!D:D,kunishuClan!B:B)&amp;"当主","")))</f>
      </c>
    </row>
    <row r="939" ht="15.75" customHeight="1">
      <c r="A939" s="4">
        <v>1018037</v>
      </c>
      <c r="B939" s="12" t="str">
        <f t="array" ref="B939">IF(A939:A4978="","",_xlfn.XLOOKUP(A939:A4978,'参照_武将'!A:A,'参照_武将'!B:B,"見つかりません"))</f>
      </c>
      <c r="C939" s="4" t="s">
        <v>156</v>
      </c>
      <c r="D939" s="4">
        <v>18</v>
      </c>
      <c r="E939" s="12" t="str">
        <f t="array" ref="E939">IF(D939:D4978="","",IFERROR(_xlfn.XLOOKUP(D939:D4978,'参照_勢力'!A:A,'参照_勢力'!B:B),IFERROR(_xlfn.XLOOKUP(F939:F4978,kunishuClan!A:A,kunishuClan!B:B),"浪人")))</f>
      </c>
      <c r="F939" s="4">
        <v>0</v>
      </c>
      <c r="G939" s="4">
        <v>43</v>
      </c>
      <c r="H939" s="12" t="str">
        <f t="array" ref="H939">IF(G939:G4978="","",_xlfn.XLOOKUP(G939:G4978,castles_state!A:A,castles_state!D:D,"見つかりません"))</f>
      </c>
      <c r="I939" s="4"/>
      <c r="J939" s="12" t="str">
        <f t="array" ref="J939">IF(I939:I4978="","",_xlfn.XLOOKUP(I939:I4978,'参照_姫'!A:A,'参照_姫'!B:B,"見つかりません"))</f>
      </c>
      <c r="K939" s="4">
        <v>100</v>
      </c>
      <c r="L939" s="4">
        <v>0</v>
      </c>
      <c r="M939" s="4"/>
      <c r="N939" s="4"/>
      <c r="O939" s="4"/>
      <c r="P939" s="12" t="str">
        <f t="array" ref="P939">IF(O939:O4978="","",_xlfn.XLOOKUP(O939:O4978,'参照_官位'!A:A,'参照_官位'!B:B,""))</f>
      </c>
      <c r="Q939" s="12" t="str">
        <f t="array" ref="Q939">IF(A939:A4978="","",IFERROR(_xlfn.XLOOKUP(A939:A4978,castles_state!K:K,castles_state!D:D)&amp;"主",IFERROR(_xlfn.XLOOKUP(A939:A4978,kunishuClan!D:D,kunishuClan!B:B)&amp;"当主","")))</f>
      </c>
    </row>
    <row r="940" ht="15.75" customHeight="1">
      <c r="A940" s="4">
        <v>1018038</v>
      </c>
      <c r="B940" s="12" t="str">
        <f t="array" ref="B940">IF(A940:A4979="","",_xlfn.XLOOKUP(A940:A4979,'参照_武将'!A:A,'参照_武将'!B:B,"見つかりません"))</f>
      </c>
      <c r="C940" s="4" t="s">
        <v>156</v>
      </c>
      <c r="D940" s="4">
        <v>18</v>
      </c>
      <c r="E940" s="12" t="str">
        <f t="array" ref="E940">IF(D940:D4979="","",IFERROR(_xlfn.XLOOKUP(D940:D4979,'参照_勢力'!A:A,'参照_勢力'!B:B),IFERROR(_xlfn.XLOOKUP(F940:F4979,kunishuClan!A:A,kunishuClan!B:B),"浪人")))</f>
      </c>
      <c r="F940" s="4">
        <v>0</v>
      </c>
      <c r="G940" s="4">
        <v>43</v>
      </c>
      <c r="H940" s="12" t="str">
        <f t="array" ref="H940">IF(G940:G4979="","",_xlfn.XLOOKUP(G940:G4979,castles_state!A:A,castles_state!D:D,"見つかりません"))</f>
      </c>
      <c r="I940" s="4"/>
      <c r="J940" s="12" t="str">
        <f t="array" ref="J940">IF(I940:I4979="","",_xlfn.XLOOKUP(I940:I4979,'参照_姫'!A:A,'参照_姫'!B:B,"見つかりません"))</f>
      </c>
      <c r="K940" s="4">
        <v>50</v>
      </c>
      <c r="L940" s="4">
        <v>200</v>
      </c>
      <c r="M940" s="4"/>
      <c r="N940" s="4"/>
      <c r="O940" s="4"/>
      <c r="P940" s="12" t="str">
        <f t="array" ref="P940">IF(O940:O4979="","",_xlfn.XLOOKUP(O940:O4979,'参照_官位'!A:A,'参照_官位'!B:B,""))</f>
      </c>
      <c r="Q940" s="12" t="str">
        <f t="array" ref="Q940">IF(A940:A4979="","",IFERROR(_xlfn.XLOOKUP(A940:A4979,castles_state!K:K,castles_state!D:D)&amp;"主",IFERROR(_xlfn.XLOOKUP(A940:A4979,kunishuClan!D:D,kunishuClan!B:B)&amp;"当主","")))</f>
      </c>
    </row>
    <row r="941" ht="15.75" customHeight="1">
      <c r="A941" s="4">
        <v>1018039</v>
      </c>
      <c r="B941" s="12" t="str">
        <f t="array" ref="B941">IF(A941:A4980="","",_xlfn.XLOOKUP(A941:A4980,'参照_武将'!A:A,'参照_武将'!B:B,"見つかりません"))</f>
      </c>
      <c r="C941" s="4" t="s">
        <v>156</v>
      </c>
      <c r="D941" s="4">
        <v>1</v>
      </c>
      <c r="E941" s="12" t="str">
        <f t="array" ref="E941">IF(D941:D4980="","",IFERROR(_xlfn.XLOOKUP(D941:D4980,'参照_勢力'!A:A,'参照_勢力'!B:B),IFERROR(_xlfn.XLOOKUP(F941:F4980,kunishuClan!A:A,kunishuClan!B:B),"浪人")))</f>
      </c>
      <c r="F941" s="4">
        <v>0</v>
      </c>
      <c r="G941" s="4">
        <v>246</v>
      </c>
      <c r="H941" s="12" t="str">
        <f t="array" ref="H941">IF(G941:G4980="","",_xlfn.XLOOKUP(G941:G4980,castles_state!A:A,castles_state!D:D,"見つかりません"))</f>
      </c>
      <c r="I941" s="4"/>
      <c r="J941" s="12" t="str">
        <f t="array" ref="J941">IF(I941:I4980="","",_xlfn.XLOOKUP(I941:I4980,'参照_姫'!A:A,'参照_姫'!B:B,"見つかりません"))</f>
      </c>
      <c r="K941" s="4">
        <v>95</v>
      </c>
      <c r="L941" s="4">
        <v>0</v>
      </c>
      <c r="M941" s="4"/>
      <c r="N941" s="4"/>
      <c r="O941" s="4"/>
      <c r="P941" s="12" t="str">
        <f t="array" ref="P941">IF(O941:O4980="","",_xlfn.XLOOKUP(O941:O4980,'参照_官位'!A:A,'参照_官位'!B:B,""))</f>
      </c>
      <c r="Q941" s="12" t="str">
        <f t="array" ref="Q941">IF(A941:A4980="","",IFERROR(_xlfn.XLOOKUP(A941:A4980,castles_state!K:K,castles_state!D:D)&amp;"主",IFERROR(_xlfn.XLOOKUP(A941:A4980,kunishuClan!D:D,kunishuClan!B:B)&amp;"当主","")))</f>
      </c>
    </row>
    <row r="942" ht="15.75" customHeight="1">
      <c r="A942" s="4">
        <v>1018040</v>
      </c>
      <c r="B942" s="12" t="str">
        <f t="array" ref="B942">IF(A942:A4981="","",_xlfn.XLOOKUP(A942:A4981,'参照_武将'!A:A,'参照_武将'!B:B,"見つかりません"))</f>
      </c>
      <c r="C942" s="4" t="s">
        <v>156</v>
      </c>
      <c r="D942" s="4">
        <v>1</v>
      </c>
      <c r="E942" s="12" t="str">
        <f t="array" ref="E942">IF(D942:D4981="","",IFERROR(_xlfn.XLOOKUP(D942:D4981,'参照_勢力'!A:A,'参照_勢力'!B:B),IFERROR(_xlfn.XLOOKUP(F942:F4981,kunishuClan!A:A,kunishuClan!B:B),"浪人")))</f>
      </c>
      <c r="F942" s="4">
        <v>0</v>
      </c>
      <c r="G942" s="4">
        <v>246</v>
      </c>
      <c r="H942" s="12" t="str">
        <f t="array" ref="H942">IF(G942:G4981="","",_xlfn.XLOOKUP(G942:G4981,castles_state!A:A,castles_state!D:D,"見つかりません"))</f>
      </c>
      <c r="I942" s="4"/>
      <c r="J942" s="12" t="str">
        <f t="array" ref="J942">IF(I942:I4981="","",_xlfn.XLOOKUP(I942:I4981,'参照_姫'!A:A,'参照_姫'!B:B,"見つかりません"))</f>
      </c>
      <c r="K942" s="4">
        <v>95</v>
      </c>
      <c r="L942" s="4">
        <v>0</v>
      </c>
      <c r="M942" s="4"/>
      <c r="N942" s="4"/>
      <c r="O942" s="4"/>
      <c r="P942" s="12" t="str">
        <f t="array" ref="P942">IF(O942:O4981="","",_xlfn.XLOOKUP(O942:O4981,'参照_官位'!A:A,'参照_官位'!B:B,""))</f>
      </c>
      <c r="Q942" s="12" t="str">
        <f t="array" ref="Q942">IF(A942:A4981="","",IFERROR(_xlfn.XLOOKUP(A942:A4981,castles_state!K:K,castles_state!D:D)&amp;"主",IFERROR(_xlfn.XLOOKUP(A942:A4981,kunishuClan!D:D,kunishuClan!B:B)&amp;"当主","")))</f>
      </c>
    </row>
    <row r="943" ht="15.75" customHeight="1">
      <c r="A943" s="4">
        <v>1018041</v>
      </c>
      <c r="B943" s="12" t="str">
        <f t="array" ref="B943">IF(A943:A4982="","",_xlfn.XLOOKUP(A943:A4982,'参照_武将'!A:A,'参照_武将'!B:B,"見つかりません"))</f>
      </c>
      <c r="C943" s="4" t="s">
        <v>156</v>
      </c>
      <c r="D943" s="4">
        <v>1</v>
      </c>
      <c r="E943" s="12" t="str">
        <f t="array" ref="E943">IF(D943:D4982="","",IFERROR(_xlfn.XLOOKUP(D943:D4982,'参照_勢力'!A:A,'参照_勢力'!B:B),IFERROR(_xlfn.XLOOKUP(F943:F4982,kunishuClan!A:A,kunishuClan!B:B),"浪人")))</f>
      </c>
      <c r="F943" s="4">
        <v>0</v>
      </c>
      <c r="G943" s="4">
        <v>246</v>
      </c>
      <c r="H943" s="12" t="str">
        <f t="array" ref="H943">IF(G943:G4982="","",_xlfn.XLOOKUP(G943:G4982,castles_state!A:A,castles_state!D:D,"見つかりません"))</f>
      </c>
      <c r="I943" s="4"/>
      <c r="J943" s="12" t="str">
        <f t="array" ref="J943">IF(I943:I4982="","",_xlfn.XLOOKUP(I943:I4982,'参照_姫'!A:A,'参照_姫'!B:B,"見つかりません"))</f>
      </c>
      <c r="K943" s="4">
        <v>95</v>
      </c>
      <c r="L943" s="4">
        <v>0</v>
      </c>
      <c r="M943" s="4"/>
      <c r="N943" s="4"/>
      <c r="O943" s="4"/>
      <c r="P943" s="12" t="str">
        <f t="array" ref="P943">IF(O943:O4982="","",_xlfn.XLOOKUP(O943:O4982,'参照_官位'!A:A,'参照_官位'!B:B,""))</f>
      </c>
      <c r="Q943" s="12" t="str">
        <f t="array" ref="Q943">IF(A943:A4982="","",IFERROR(_xlfn.XLOOKUP(A943:A4982,castles_state!K:K,castles_state!D:D)&amp;"主",IFERROR(_xlfn.XLOOKUP(A943:A4982,kunishuClan!D:D,kunishuClan!B:B)&amp;"当主","")))</f>
      </c>
    </row>
    <row r="944" ht="15.75" customHeight="1">
      <c r="A944" s="4">
        <v>1018042</v>
      </c>
      <c r="B944" s="12" t="str">
        <f t="array" ref="B944">IF(A944:A4983="","",_xlfn.XLOOKUP(A944:A4983,'参照_武将'!A:A,'参照_武将'!B:B,"見つかりません"))</f>
      </c>
      <c r="C944" s="4" t="s">
        <v>156</v>
      </c>
      <c r="D944" s="4">
        <v>1</v>
      </c>
      <c r="E944" s="12" t="str">
        <f t="array" ref="E944">IF(D944:D4983="","",IFERROR(_xlfn.XLOOKUP(D944:D4983,'参照_勢力'!A:A,'参照_勢力'!B:B),IFERROR(_xlfn.XLOOKUP(F944:F4983,kunishuClan!A:A,kunishuClan!B:B),"浪人")))</f>
      </c>
      <c r="F944" s="4">
        <v>0</v>
      </c>
      <c r="G944" s="4">
        <v>246</v>
      </c>
      <c r="H944" s="12" t="str">
        <f t="array" ref="H944">IF(G944:G4983="","",_xlfn.XLOOKUP(G944:G4983,castles_state!A:A,castles_state!D:D,"見つかりません"))</f>
      </c>
      <c r="I944" s="4"/>
      <c r="J944" s="12" t="str">
        <f t="array" ref="J944">IF(I944:I4983="","",_xlfn.XLOOKUP(I944:I4983,'参照_姫'!A:A,'参照_姫'!B:B,"見つかりません"))</f>
      </c>
      <c r="K944" s="4">
        <v>95</v>
      </c>
      <c r="L944" s="4">
        <v>0</v>
      </c>
      <c r="M944" s="4"/>
      <c r="N944" s="4"/>
      <c r="O944" s="4"/>
      <c r="P944" s="12" t="str">
        <f t="array" ref="P944">IF(O944:O4983="","",_xlfn.XLOOKUP(O944:O4983,'参照_官位'!A:A,'参照_官位'!B:B,""))</f>
      </c>
      <c r="Q944" s="12" t="str">
        <f t="array" ref="Q944">IF(A944:A4983="","",IFERROR(_xlfn.XLOOKUP(A944:A4983,castles_state!K:K,castles_state!D:D)&amp;"主",IFERROR(_xlfn.XLOOKUP(A944:A4983,kunishuClan!D:D,kunishuClan!B:B)&amp;"当主","")))</f>
      </c>
    </row>
    <row r="945" ht="15.75" customHeight="1">
      <c r="A945" s="4">
        <v>1018043</v>
      </c>
      <c r="B945" s="12" t="str">
        <f t="array" ref="B945">IF(A945:A4984="","",_xlfn.XLOOKUP(A945:A4984,'参照_武将'!A:A,'参照_武将'!B:B,"見つかりません"))</f>
      </c>
      <c r="C945" s="4" t="s">
        <v>156</v>
      </c>
      <c r="D945" s="4">
        <v>1</v>
      </c>
      <c r="E945" s="12" t="str">
        <f t="array" ref="E945">IF(D945:D4984="","",IFERROR(_xlfn.XLOOKUP(D945:D4984,'参照_勢力'!A:A,'参照_勢力'!B:B),IFERROR(_xlfn.XLOOKUP(F945:F4984,kunishuClan!A:A,kunishuClan!B:B),"浪人")))</f>
      </c>
      <c r="F945" s="4">
        <v>0</v>
      </c>
      <c r="G945" s="4">
        <v>246</v>
      </c>
      <c r="H945" s="12" t="str">
        <f t="array" ref="H945">IF(G945:G4984="","",_xlfn.XLOOKUP(G945:G4984,castles_state!A:A,castles_state!D:D,"見つかりません"))</f>
      </c>
      <c r="I945" s="4"/>
      <c r="J945" s="12" t="str">
        <f t="array" ref="J945">IF(I945:I4984="","",_xlfn.XLOOKUP(I945:I4984,'参照_姫'!A:A,'参照_姫'!B:B,"見つかりません"))</f>
      </c>
      <c r="K945" s="4">
        <v>95</v>
      </c>
      <c r="L945" s="4">
        <v>0</v>
      </c>
      <c r="M945" s="4"/>
      <c r="N945" s="4"/>
      <c r="O945" s="4"/>
      <c r="P945" s="12" t="str">
        <f t="array" ref="P945">IF(O945:O4984="","",_xlfn.XLOOKUP(O945:O4984,'参照_官位'!A:A,'参照_官位'!B:B,""))</f>
      </c>
      <c r="Q945" s="12" t="str">
        <f t="array" ref="Q945">IF(A945:A4984="","",IFERROR(_xlfn.XLOOKUP(A945:A4984,castles_state!K:K,castles_state!D:D)&amp;"主",IFERROR(_xlfn.XLOOKUP(A945:A4984,kunishuClan!D:D,kunishuClan!B:B)&amp;"当主","")))</f>
      </c>
    </row>
    <row r="946" ht="15.75" customHeight="1">
      <c r="A946" s="4">
        <v>1018044</v>
      </c>
      <c r="B946" s="12" t="str">
        <f t="array" ref="B946">IF(A946:A4985="","",_xlfn.XLOOKUP(A946:A4985,'参照_武将'!A:A,'参照_武将'!B:B,"見つかりません"))</f>
      </c>
      <c r="C946" s="4" t="s">
        <v>156</v>
      </c>
      <c r="D946" s="4">
        <v>1</v>
      </c>
      <c r="E946" s="12" t="str">
        <f t="array" ref="E946">IF(D946:D4985="","",IFERROR(_xlfn.XLOOKUP(D946:D4985,'参照_勢力'!A:A,'参照_勢力'!B:B),IFERROR(_xlfn.XLOOKUP(F946:F4985,kunishuClan!A:A,kunishuClan!B:B),"浪人")))</f>
      </c>
      <c r="F946" s="4">
        <v>0</v>
      </c>
      <c r="G946" s="4">
        <v>35</v>
      </c>
      <c r="H946" s="12" t="str">
        <f t="array" ref="H946">IF(G946:G4985="","",_xlfn.XLOOKUP(G946:G4985,castles_state!A:A,castles_state!D:D,"見つかりません"))</f>
      </c>
      <c r="I946" s="4"/>
      <c r="J946" s="12" t="str">
        <f t="array" ref="J946">IF(I946:I4985="","",_xlfn.XLOOKUP(I946:I4985,'参照_姫'!A:A,'参照_姫'!B:B,"見つかりません"))</f>
      </c>
      <c r="K946" s="4">
        <v>95</v>
      </c>
      <c r="L946" s="4">
        <v>0</v>
      </c>
      <c r="M946" s="4"/>
      <c r="N946" s="4"/>
      <c r="O946" s="4"/>
      <c r="P946" s="12" t="str">
        <f t="array" ref="P946">IF(O946:O4985="","",_xlfn.XLOOKUP(O946:O4985,'参照_官位'!A:A,'参照_官位'!B:B,""))</f>
      </c>
      <c r="Q946" s="12" t="str">
        <f t="array" ref="Q946">IF(A946:A4985="","",IFERROR(_xlfn.XLOOKUP(A946:A4985,castles_state!K:K,castles_state!D:D)&amp;"主",IFERROR(_xlfn.XLOOKUP(A946:A4985,kunishuClan!D:D,kunishuClan!B:B)&amp;"当主","")))</f>
      </c>
    </row>
    <row r="947" ht="15.75" customHeight="1">
      <c r="A947" s="4">
        <v>1018045</v>
      </c>
      <c r="B947" s="12" t="str">
        <f t="array" ref="B947">IF(A947:A4986="","",_xlfn.XLOOKUP(A947:A4986,'参照_武将'!A:A,'参照_武将'!B:B,"見つかりません"))</f>
      </c>
      <c r="C947" s="4" t="s">
        <v>156</v>
      </c>
      <c r="D947" s="4">
        <v>1</v>
      </c>
      <c r="E947" s="12" t="str">
        <f t="array" ref="E947">IF(D947:D4986="","",IFERROR(_xlfn.XLOOKUP(D947:D4986,'参照_勢力'!A:A,'参照_勢力'!B:B),IFERROR(_xlfn.XLOOKUP(F947:F4986,kunishuClan!A:A,kunishuClan!B:B),"浪人")))</f>
      </c>
      <c r="F947" s="4">
        <v>0</v>
      </c>
      <c r="G947" s="4">
        <v>27</v>
      </c>
      <c r="H947" s="12" t="str">
        <f t="array" ref="H947">IF(G947:G4986="","",_xlfn.XLOOKUP(G947:G4986,castles_state!A:A,castles_state!D:D,"見つかりません"))</f>
      </c>
      <c r="I947" s="4"/>
      <c r="J947" s="12" t="str">
        <f t="array" ref="J947">IF(I947:I4986="","",_xlfn.XLOOKUP(I947:I4986,'参照_姫'!A:A,'参照_姫'!B:B,"見つかりません"))</f>
      </c>
      <c r="K947" s="4">
        <v>95</v>
      </c>
      <c r="L947" s="4">
        <v>0</v>
      </c>
      <c r="M947" s="4"/>
      <c r="N947" s="4"/>
      <c r="O947" s="4"/>
      <c r="P947" s="12" t="str">
        <f t="array" ref="P947">IF(O947:O4986="","",_xlfn.XLOOKUP(O947:O4986,'参照_官位'!A:A,'参照_官位'!B:B,""))</f>
      </c>
      <c r="Q947" s="12" t="str">
        <f t="array" ref="Q947">IF(A947:A4986="","",IFERROR(_xlfn.XLOOKUP(A947:A4986,castles_state!K:K,castles_state!D:D)&amp;"主",IFERROR(_xlfn.XLOOKUP(A947:A4986,kunishuClan!D:D,kunishuClan!B:B)&amp;"当主","")))</f>
      </c>
    </row>
    <row r="948" ht="15.75" customHeight="1">
      <c r="A948" s="4">
        <v>1018046</v>
      </c>
      <c r="B948" s="12" t="str">
        <f t="array" ref="B948">IF(A948:A4987="","",_xlfn.XLOOKUP(A948:A4987,'参照_武将'!A:A,'参照_武将'!B:B,"見つかりません"))</f>
      </c>
      <c r="C948" s="4" t="s">
        <v>156</v>
      </c>
      <c r="D948" s="4">
        <v>1</v>
      </c>
      <c r="E948" s="12" t="str">
        <f t="array" ref="E948">IF(D948:D4987="","",IFERROR(_xlfn.XLOOKUP(D948:D4987,'参照_勢力'!A:A,'参照_勢力'!B:B),IFERROR(_xlfn.XLOOKUP(F948:F4987,kunishuClan!A:A,kunishuClan!B:B),"浪人")))</f>
      </c>
      <c r="F948" s="4">
        <v>0</v>
      </c>
      <c r="G948" s="4">
        <v>27</v>
      </c>
      <c r="H948" s="12" t="str">
        <f t="array" ref="H948">IF(G948:G4987="","",_xlfn.XLOOKUP(G948:G4987,castles_state!A:A,castles_state!D:D,"見つかりません"))</f>
      </c>
      <c r="I948" s="4"/>
      <c r="J948" s="12" t="str">
        <f t="array" ref="J948">IF(I948:I4987="","",_xlfn.XLOOKUP(I948:I4987,'参照_姫'!A:A,'参照_姫'!B:B,"見つかりません"))</f>
      </c>
      <c r="K948" s="4">
        <v>95</v>
      </c>
      <c r="L948" s="4">
        <v>0</v>
      </c>
      <c r="M948" s="4"/>
      <c r="N948" s="4"/>
      <c r="O948" s="4"/>
      <c r="P948" s="12" t="str">
        <f t="array" ref="P948">IF(O948:O4987="","",_xlfn.XLOOKUP(O948:O4987,'参照_官位'!A:A,'参照_官位'!B:B,""))</f>
      </c>
      <c r="Q948" s="12" t="str">
        <f t="array" ref="Q948">IF(A948:A4987="","",IFERROR(_xlfn.XLOOKUP(A948:A4987,castles_state!K:K,castles_state!D:D)&amp;"主",IFERROR(_xlfn.XLOOKUP(A948:A4987,kunishuClan!D:D,kunishuClan!B:B)&amp;"当主","")))</f>
      </c>
    </row>
    <row r="949" ht="15.75" customHeight="1">
      <c r="A949" s="4">
        <v>1018047</v>
      </c>
      <c r="B949" s="12" t="str">
        <f t="array" ref="B949">IF(A949:A4988="","",_xlfn.XLOOKUP(A949:A4988,'参照_武将'!A:A,'参照_武将'!B:B,"見つかりません"))</f>
      </c>
      <c r="C949" s="4" t="s">
        <v>156</v>
      </c>
      <c r="D949" s="4">
        <v>1</v>
      </c>
      <c r="E949" s="12" t="str">
        <f t="array" ref="E949">IF(D949:D4988="","",IFERROR(_xlfn.XLOOKUP(D949:D4988,'参照_勢力'!A:A,'参照_勢力'!B:B),IFERROR(_xlfn.XLOOKUP(F949:F4988,kunishuClan!A:A,kunishuClan!B:B),"浪人")))</f>
      </c>
      <c r="F949" s="4">
        <v>0</v>
      </c>
      <c r="G949" s="4">
        <v>40</v>
      </c>
      <c r="H949" s="12" t="str">
        <f t="array" ref="H949">IF(G949:G4988="","",_xlfn.XLOOKUP(G949:G4988,castles_state!A:A,castles_state!D:D,"見つかりません"))</f>
      </c>
      <c r="I949" s="4"/>
      <c r="J949" s="12" t="str">
        <f t="array" ref="J949">IF(I949:I4988="","",_xlfn.XLOOKUP(I949:I4988,'参照_姫'!A:A,'参照_姫'!B:B,"見つかりません"))</f>
      </c>
      <c r="K949" s="4">
        <v>95</v>
      </c>
      <c r="L949" s="4">
        <v>300</v>
      </c>
      <c r="M949" s="4"/>
      <c r="N949" s="4"/>
      <c r="O949" s="4"/>
      <c r="P949" s="12" t="str">
        <f t="array" ref="P949">IF(O949:O4988="","",_xlfn.XLOOKUP(O949:O4988,'参照_官位'!A:A,'参照_官位'!B:B,""))</f>
      </c>
      <c r="Q949" s="12" t="str">
        <f t="array" ref="Q949">IF(A949:A4988="","",IFERROR(_xlfn.XLOOKUP(A949:A4988,castles_state!K:K,castles_state!D:D)&amp;"主",IFERROR(_xlfn.XLOOKUP(A949:A4988,kunishuClan!D:D,kunishuClan!B:B)&amp;"当主","")))</f>
      </c>
    </row>
    <row r="950" ht="15.75" customHeight="1">
      <c r="A950" s="4">
        <v>1018048</v>
      </c>
      <c r="B950" s="12" t="str">
        <f t="array" ref="B950">IF(A950:A4989="","",_xlfn.XLOOKUP(A950:A4989,'参照_武将'!A:A,'参照_武将'!B:B,"見つかりません"))</f>
      </c>
      <c r="C950" s="4" t="s">
        <v>156</v>
      </c>
      <c r="D950" s="4">
        <v>1</v>
      </c>
      <c r="E950" s="12" t="str">
        <f t="array" ref="E950">IF(D950:D4989="","",IFERROR(_xlfn.XLOOKUP(D950:D4989,'参照_勢力'!A:A,'参照_勢力'!B:B),IFERROR(_xlfn.XLOOKUP(F950:F4989,kunishuClan!A:A,kunishuClan!B:B),"浪人")))</f>
      </c>
      <c r="F950" s="4">
        <v>0</v>
      </c>
      <c r="G950" s="4">
        <v>40</v>
      </c>
      <c r="H950" s="12" t="str">
        <f t="array" ref="H950">IF(G950:G4989="","",_xlfn.XLOOKUP(G950:G4989,castles_state!A:A,castles_state!D:D,"見つかりません"))</f>
      </c>
      <c r="I950" s="4"/>
      <c r="J950" s="12" t="str">
        <f t="array" ref="J950">IF(I950:I4989="","",_xlfn.XLOOKUP(I950:I4989,'参照_姫'!A:A,'参照_姫'!B:B,"見つかりません"))</f>
      </c>
      <c r="K950" s="4">
        <v>90</v>
      </c>
      <c r="L950" s="4">
        <v>0</v>
      </c>
      <c r="M950" s="4"/>
      <c r="N950" s="4"/>
      <c r="O950" s="4"/>
      <c r="P950" s="12" t="str">
        <f t="array" ref="P950">IF(O950:O4989="","",_xlfn.XLOOKUP(O950:O4989,'参照_官位'!A:A,'参照_官位'!B:B,""))</f>
      </c>
      <c r="Q950" s="12" t="str">
        <f t="array" ref="Q950">IF(A950:A4989="","",IFERROR(_xlfn.XLOOKUP(A950:A4989,castles_state!K:K,castles_state!D:D)&amp;"主",IFERROR(_xlfn.XLOOKUP(A950:A4989,kunishuClan!D:D,kunishuClan!B:B)&amp;"当主","")))</f>
      </c>
    </row>
    <row r="951" ht="15.75" customHeight="1">
      <c r="A951" s="4">
        <v>1018049</v>
      </c>
      <c r="B951" s="12" t="str">
        <f t="array" ref="B951">IF(A951:A4990="","",_xlfn.XLOOKUP(A951:A4990,'参照_武将'!A:A,'参照_武将'!B:B,"見つかりません"))</f>
      </c>
      <c r="C951" s="4" t="s">
        <v>5927</v>
      </c>
      <c r="D951" s="4">
        <v>1</v>
      </c>
      <c r="E951" s="12" t="str">
        <f t="array" ref="E951">IF(D951:D4990="","",IFERROR(_xlfn.XLOOKUP(D951:D4990,'参照_勢力'!A:A,'参照_勢力'!B:B),IFERROR(_xlfn.XLOOKUP(F951:F4990,kunishuClan!A:A,kunishuClan!B:B),"浪人")))</f>
      </c>
      <c r="F951" s="4">
        <v>0</v>
      </c>
      <c r="G951" s="4">
        <v>40</v>
      </c>
      <c r="H951" s="12" t="str">
        <f t="array" ref="H951">IF(G951:G4990="","",_xlfn.XLOOKUP(G951:G4990,castles_state!A:A,castles_state!D:D,"見つかりません"))</f>
      </c>
      <c r="I951" s="4"/>
      <c r="J951" s="12" t="str">
        <f t="array" ref="J951">IF(I951:I4990="","",_xlfn.XLOOKUP(I951:I4990,'参照_姫'!A:A,'参照_姫'!B:B,"見つかりません"))</f>
      </c>
      <c r="K951" s="4">
        <v>90</v>
      </c>
      <c r="L951" s="4">
        <v>0</v>
      </c>
      <c r="M951" s="4"/>
      <c r="N951" s="4"/>
      <c r="O951" s="4"/>
      <c r="P951" s="12" t="str">
        <f t="array" ref="P951">IF(O951:O4990="","",_xlfn.XLOOKUP(O951:O4990,'参照_官位'!A:A,'参照_官位'!B:B,""))</f>
      </c>
      <c r="Q951" s="12" t="str">
        <f t="array" ref="Q951">IF(A951:A4990="","",IFERROR(_xlfn.XLOOKUP(A951:A4990,castles_state!K:K,castles_state!D:D)&amp;"主",IFERROR(_xlfn.XLOOKUP(A951:A4990,kunishuClan!D:D,kunishuClan!B:B)&amp;"当主","")))</f>
      </c>
    </row>
    <row r="952" ht="15.75" customHeight="1">
      <c r="A952" s="4">
        <v>1018050</v>
      </c>
      <c r="B952" s="12" t="str">
        <f t="array" ref="B952">IF(A952:A4991="","",_xlfn.XLOOKUP(A952:A4991,'参照_武将'!A:A,'参照_武将'!B:B,"見つかりません"))</f>
      </c>
      <c r="C952" s="4" t="s">
        <v>156</v>
      </c>
      <c r="D952" s="4">
        <v>18</v>
      </c>
      <c r="E952" s="12" t="str">
        <f t="array" ref="E952">IF(D952:D4991="","",IFERROR(_xlfn.XLOOKUP(D952:D4991,'参照_勢力'!A:A,'参照_勢力'!B:B),IFERROR(_xlfn.XLOOKUP(F952:F4991,kunishuClan!A:A,kunishuClan!B:B),"浪人")))</f>
      </c>
      <c r="F952" s="4">
        <v>0</v>
      </c>
      <c r="G952" s="4">
        <v>43</v>
      </c>
      <c r="H952" s="12" t="str">
        <f t="array" ref="H952">IF(G952:G4991="","",_xlfn.XLOOKUP(G952:G4991,castles_state!A:A,castles_state!D:D,"見つかりません"))</f>
      </c>
      <c r="I952" s="4"/>
      <c r="J952" s="12" t="str">
        <f t="array" ref="J952">IF(I952:I4991="","",_xlfn.XLOOKUP(I952:I4991,'参照_姫'!A:A,'参照_姫'!B:B,"見つかりません"))</f>
      </c>
      <c r="K952" s="4">
        <v>50</v>
      </c>
      <c r="L952" s="4">
        <v>0</v>
      </c>
      <c r="M952" s="4"/>
      <c r="N952" s="4"/>
      <c r="O952" s="4"/>
      <c r="P952" s="12" t="str">
        <f t="array" ref="P952">IF(O952:O4991="","",_xlfn.XLOOKUP(O952:O4991,'参照_官位'!A:A,'参照_官位'!B:B,""))</f>
      </c>
      <c r="Q952" s="12" t="str">
        <f t="array" ref="Q952">IF(A952:A4991="","",IFERROR(_xlfn.XLOOKUP(A952:A4991,castles_state!K:K,castles_state!D:D)&amp;"主",IFERROR(_xlfn.XLOOKUP(A952:A4991,kunishuClan!D:D,kunishuClan!B:B)&amp;"当主","")))</f>
      </c>
    </row>
    <row r="953" ht="15.75" customHeight="1">
      <c r="A953" s="4">
        <v>1018051</v>
      </c>
      <c r="B953" s="12" t="str">
        <f t="array" ref="B953">IF(A953:A4992="","",_xlfn.XLOOKUP(A953:A4992,'参照_武将'!A:A,'参照_武将'!B:B,"見つかりません"))</f>
      </c>
      <c r="C953" s="4" t="s">
        <v>156</v>
      </c>
      <c r="D953" s="4">
        <v>18</v>
      </c>
      <c r="E953" s="12" t="str">
        <f t="array" ref="E953">IF(D953:D4992="","",IFERROR(_xlfn.XLOOKUP(D953:D4992,'参照_勢力'!A:A,'参照_勢力'!B:B),IFERROR(_xlfn.XLOOKUP(F953:F4992,kunishuClan!A:A,kunishuClan!B:B),"浪人")))</f>
      </c>
      <c r="F953" s="4">
        <v>0</v>
      </c>
      <c r="G953" s="4">
        <v>43</v>
      </c>
      <c r="H953" s="12" t="str">
        <f t="array" ref="H953">IF(G953:G4992="","",_xlfn.XLOOKUP(G953:G4992,castles_state!A:A,castles_state!D:D,"見つかりません"))</f>
      </c>
      <c r="I953" s="4"/>
      <c r="J953" s="12" t="str">
        <f t="array" ref="J953">IF(I953:I4992="","",_xlfn.XLOOKUP(I953:I4992,'参照_姫'!A:A,'参照_姫'!B:B,"見つかりません"))</f>
      </c>
      <c r="K953" s="4">
        <v>50</v>
      </c>
      <c r="L953" s="4">
        <v>0</v>
      </c>
      <c r="M953" s="4"/>
      <c r="N953" s="4"/>
      <c r="O953" s="4"/>
      <c r="P953" s="12" t="str">
        <f t="array" ref="P953">IF(O953:O4992="","",_xlfn.XLOOKUP(O953:O4992,'参照_官位'!A:A,'参照_官位'!B:B,""))</f>
      </c>
      <c r="Q953" s="12" t="str">
        <f t="array" ref="Q953">IF(A953:A4992="","",IFERROR(_xlfn.XLOOKUP(A953:A4992,castles_state!K:K,castles_state!D:D)&amp;"主",IFERROR(_xlfn.XLOOKUP(A953:A4992,kunishuClan!D:D,kunishuClan!B:B)&amp;"当主","")))</f>
      </c>
    </row>
    <row r="954" ht="15.75" customHeight="1">
      <c r="A954" s="4">
        <v>1019001</v>
      </c>
      <c r="B954" s="12" t="str">
        <f t="array" ref="B954">IF(A954:A4995="","",_xlfn.XLOOKUP(A954:A4995,'参照_武将'!A:A,'参照_武将'!B:B,"見つかりません"))</f>
      </c>
      <c r="C954" s="4" t="s">
        <v>158</v>
      </c>
      <c r="D954" s="4">
        <v>19</v>
      </c>
      <c r="E954" s="12" t="str">
        <f t="array" ref="E954">IF(D954:D4995="","",IFERROR(_xlfn.XLOOKUP(D954:D4995,'参照_勢力'!A:A,'参照_勢力'!B:B),IFERROR(_xlfn.XLOOKUP(F954:F4995,kunishuClan!A:A,kunishuClan!B:B),"浪人")))</f>
      </c>
      <c r="F954" s="4">
        <v>0</v>
      </c>
      <c r="G954" s="4">
        <v>33</v>
      </c>
      <c r="H954" s="12" t="str">
        <f t="array" ref="H954">IF(G954:G4995="","",_xlfn.XLOOKUP(G954:G4995,castles_state!A:A,castles_state!D:D,"見つかりません"))</f>
      </c>
      <c r="I954" s="4"/>
      <c r="J954" s="12" t="str">
        <f t="array" ref="J954">IF(I954:I4995="","",_xlfn.XLOOKUP(I954:I4995,'参照_姫'!A:A,'参照_姫'!B:B,"見つかりません"))</f>
      </c>
      <c r="K954" s="4">
        <v>95</v>
      </c>
      <c r="L954" s="4">
        <v>0</v>
      </c>
      <c r="M954" s="4"/>
      <c r="N954" s="4"/>
      <c r="O954" s="4"/>
      <c r="P954" s="12" t="str">
        <f t="array" ref="P954">IF(O954:O4995="","",_xlfn.XLOOKUP(O954:O4995,'参照_官位'!A:A,'参照_官位'!B:B,""))</f>
      </c>
      <c r="Q954" s="12" t="str">
        <f t="array" ref="Q954">IF(A954:A4995="","",IFERROR(_xlfn.XLOOKUP(A954:A4995,castles_state!K:K,castles_state!D:D)&amp;"主",IFERROR(_xlfn.XLOOKUP(A954:A4995,kunishuClan!D:D,kunishuClan!B:B)&amp;"当主","")))</f>
      </c>
    </row>
    <row r="955" ht="15.75" customHeight="1">
      <c r="A955" s="4">
        <v>1019002</v>
      </c>
      <c r="B955" s="12" t="str">
        <f t="array" ref="B955">IF(A955:A4996="","",_xlfn.XLOOKUP(A955:A4996,'参照_武将'!A:A,'参照_武将'!B:B,"見つかりません"))</f>
      </c>
      <c r="C955" s="4" t="s">
        <v>158</v>
      </c>
      <c r="D955" s="4">
        <v>19</v>
      </c>
      <c r="E955" s="12" t="str">
        <f t="array" ref="E955">IF(D955:D4996="","",IFERROR(_xlfn.XLOOKUP(D955:D4996,'参照_勢力'!A:A,'参照_勢力'!B:B),IFERROR(_xlfn.XLOOKUP(F955:F4996,kunishuClan!A:A,kunishuClan!B:B),"浪人")))</f>
      </c>
      <c r="F955" s="4">
        <v>0</v>
      </c>
      <c r="G955" s="4">
        <v>33</v>
      </c>
      <c r="H955" s="12" t="str">
        <f t="array" ref="H955">IF(G955:G4996="","",_xlfn.XLOOKUP(G955:G4996,castles_state!A:A,castles_state!D:D,"見つかりません"))</f>
      </c>
      <c r="I955" s="4"/>
      <c r="J955" s="12" t="str">
        <f t="array" ref="J955">IF(I955:I4996="","",_xlfn.XLOOKUP(I955:I4996,'参照_姫'!A:A,'参照_姫'!B:B,"見つかりません"))</f>
      </c>
      <c r="K955" s="4">
        <v>95</v>
      </c>
      <c r="L955" s="4">
        <v>0</v>
      </c>
      <c r="M955" s="4"/>
      <c r="N955" s="4"/>
      <c r="O955" s="4"/>
      <c r="P955" s="12" t="str">
        <f t="array" ref="P955">IF(O955:O4996="","",_xlfn.XLOOKUP(O955:O4996,'参照_官位'!A:A,'参照_官位'!B:B,""))</f>
      </c>
      <c r="Q955" s="12" t="str">
        <f t="array" ref="Q955">IF(A955:A4996="","",IFERROR(_xlfn.XLOOKUP(A955:A4996,castles_state!K:K,castles_state!D:D)&amp;"主",IFERROR(_xlfn.XLOOKUP(A955:A4996,kunishuClan!D:D,kunishuClan!B:B)&amp;"当主","")))</f>
      </c>
    </row>
    <row r="956" ht="15.75" customHeight="1">
      <c r="A956" s="4">
        <v>1019003</v>
      </c>
      <c r="B956" s="12" t="str">
        <f t="array" ref="B956">IF(A956:A4997="","",_xlfn.XLOOKUP(A956:A4997,'参照_武将'!A:A,'参照_武将'!B:B,"見つかりません"))</f>
      </c>
      <c r="C956" s="4" t="s">
        <v>158</v>
      </c>
      <c r="D956" s="4">
        <v>19</v>
      </c>
      <c r="E956" s="12" t="str">
        <f t="array" ref="E956">IF(D956:D4997="","",IFERROR(_xlfn.XLOOKUP(D956:D4997,'参照_勢力'!A:A,'参照_勢力'!B:B),IFERROR(_xlfn.XLOOKUP(F956:F4997,kunishuClan!A:A,kunishuClan!B:B),"浪人")))</f>
      </c>
      <c r="F956" s="4">
        <v>0</v>
      </c>
      <c r="G956" s="4">
        <v>33</v>
      </c>
      <c r="H956" s="12" t="str">
        <f t="array" ref="H956">IF(G956:G4997="","",_xlfn.XLOOKUP(G956:G4997,castles_state!A:A,castles_state!D:D,"見つかりません"))</f>
      </c>
      <c r="I956" s="4"/>
      <c r="J956" s="12" t="str">
        <f t="array" ref="J956">IF(I956:I4997="","",_xlfn.XLOOKUP(I956:I4997,'参照_姫'!A:A,'参照_姫'!B:B,"見つかりません"))</f>
      </c>
      <c r="K956" s="4">
        <v>95</v>
      </c>
      <c r="L956" s="4">
        <v>0</v>
      </c>
      <c r="M956" s="4"/>
      <c r="N956" s="4"/>
      <c r="O956" s="4"/>
      <c r="P956" s="12" t="str">
        <f t="array" ref="P956">IF(O956:O4997="","",_xlfn.XLOOKUP(O956:O4997,'参照_官位'!A:A,'参照_官位'!B:B,""))</f>
      </c>
      <c r="Q956" s="12" t="str">
        <f t="array" ref="Q956">IF(A956:A4997="","",IFERROR(_xlfn.XLOOKUP(A956:A4997,castles_state!K:K,castles_state!D:D)&amp;"主",IFERROR(_xlfn.XLOOKUP(A956:A4997,kunishuClan!D:D,kunishuClan!B:B)&amp;"当主","")))</f>
      </c>
    </row>
    <row r="957" ht="15.75" customHeight="1">
      <c r="A957" s="4">
        <v>1019004</v>
      </c>
      <c r="B957" s="12" t="str">
        <f t="array" ref="B957">IF(A957:A4998="","",_xlfn.XLOOKUP(A957:A4998,'参照_武将'!A:A,'参照_武将'!B:B,"見つかりません"))</f>
      </c>
      <c r="C957" s="4" t="s">
        <v>158</v>
      </c>
      <c r="D957" s="4">
        <v>19</v>
      </c>
      <c r="E957" s="12" t="str">
        <f t="array" ref="E957">IF(D957:D4998="","",IFERROR(_xlfn.XLOOKUP(D957:D4998,'参照_勢力'!A:A,'参照_勢力'!B:B),IFERROR(_xlfn.XLOOKUP(F957:F4998,kunishuClan!A:A,kunishuClan!B:B),"浪人")))</f>
      </c>
      <c r="F957" s="4">
        <v>0</v>
      </c>
      <c r="G957" s="4">
        <v>33</v>
      </c>
      <c r="H957" s="12" t="str">
        <f t="array" ref="H957">IF(G957:G4998="","",_xlfn.XLOOKUP(G957:G4998,castles_state!A:A,castles_state!D:D,"見つかりません"))</f>
      </c>
      <c r="I957" s="4"/>
      <c r="J957" s="12" t="str">
        <f t="array" ref="J957">IF(I957:I4998="","",_xlfn.XLOOKUP(I957:I4998,'参照_姫'!A:A,'参照_姫'!B:B,"見つかりません"))</f>
      </c>
      <c r="K957" s="4">
        <v>95</v>
      </c>
      <c r="L957" s="4">
        <v>0</v>
      </c>
      <c r="M957" s="4"/>
      <c r="N957" s="4"/>
      <c r="O957" s="4"/>
      <c r="P957" s="12" t="str">
        <f t="array" ref="P957">IF(O957:O4998="","",_xlfn.XLOOKUP(O957:O4998,'参照_官位'!A:A,'参照_官位'!B:B,""))</f>
      </c>
      <c r="Q957" s="12" t="str">
        <f t="array" ref="Q957">IF(A957:A4998="","",IFERROR(_xlfn.XLOOKUP(A957:A4998,castles_state!K:K,castles_state!D:D)&amp;"主",IFERROR(_xlfn.XLOOKUP(A957:A4998,kunishuClan!D:D,kunishuClan!B:B)&amp;"当主","")))</f>
      </c>
    </row>
    <row r="958" ht="15.75" customHeight="1">
      <c r="A958" s="4">
        <v>1019005</v>
      </c>
      <c r="B958" s="12" t="str">
        <f t="array" ref="B958">IF(A958:A4999="","",_xlfn.XLOOKUP(A958:A4999,'参照_武将'!A:A,'参照_武将'!B:B,"見つかりません"))</f>
      </c>
      <c r="C958" s="4" t="s">
        <v>158</v>
      </c>
      <c r="D958" s="4">
        <v>19</v>
      </c>
      <c r="E958" s="12" t="str">
        <f t="array" ref="E958">IF(D958:D4999="","",IFERROR(_xlfn.XLOOKUP(D958:D4999,'参照_勢力'!A:A,'参照_勢力'!B:B),IFERROR(_xlfn.XLOOKUP(F958:F4999,kunishuClan!A:A,kunishuClan!B:B),"浪人")))</f>
      </c>
      <c r="F958" s="4">
        <v>0</v>
      </c>
      <c r="G958" s="4">
        <v>33</v>
      </c>
      <c r="H958" s="12" t="str">
        <f t="array" ref="H958">IF(G958:G4999="","",_xlfn.XLOOKUP(G958:G4999,castles_state!A:A,castles_state!D:D,"見つかりません"))</f>
      </c>
      <c r="I958" s="4"/>
      <c r="J958" s="12" t="str">
        <f t="array" ref="J958">IF(I958:I4999="","",_xlfn.XLOOKUP(I958:I4999,'参照_姫'!A:A,'参照_姫'!B:B,"見つかりません"))</f>
      </c>
      <c r="K958" s="4">
        <v>100</v>
      </c>
      <c r="L958" s="4">
        <v>1500</v>
      </c>
      <c r="M958" s="4"/>
      <c r="N958" s="4"/>
      <c r="O958" s="4"/>
      <c r="P958" s="12" t="str">
        <f t="array" ref="P958">IF(O958:O4999="","",_xlfn.XLOOKUP(O958:O4999,'参照_官位'!A:A,'参照_官位'!B:B,""))</f>
      </c>
      <c r="Q958" s="12" t="str">
        <f t="array" ref="Q958">IF(A958:A4999="","",IFERROR(_xlfn.XLOOKUP(A958:A4999,castles_state!K:K,castles_state!D:D)&amp;"主",IFERROR(_xlfn.XLOOKUP(A958:A4999,kunishuClan!D:D,kunishuClan!B:B)&amp;"当主","")))</f>
      </c>
    </row>
    <row r="959" ht="15.75" customHeight="1">
      <c r="A959" s="4">
        <v>1019006</v>
      </c>
      <c r="B959" s="12" t="str">
        <f t="array" ref="B959">IF(A959:A5000="","",_xlfn.XLOOKUP(A959:A5000,'参照_武将'!A:A,'参照_武将'!B:B,"見つかりません"))</f>
      </c>
      <c r="C959" s="4" t="s">
        <v>158</v>
      </c>
      <c r="D959" s="4">
        <v>19</v>
      </c>
      <c r="E959" s="12" t="str">
        <f t="array" ref="E959">IF(D959:D5000="","",IFERROR(_xlfn.XLOOKUP(D959:D5000,'参照_勢力'!A:A,'参照_勢力'!B:B),IFERROR(_xlfn.XLOOKUP(F959:F5000,kunishuClan!A:A,kunishuClan!B:B),"浪人")))</f>
      </c>
      <c r="F959" s="4">
        <v>0</v>
      </c>
      <c r="G959" s="4">
        <v>33</v>
      </c>
      <c r="H959" s="12" t="str">
        <f t="array" ref="H959">IF(G959:G5000="","",_xlfn.XLOOKUP(G959:G5000,castles_state!A:A,castles_state!D:D,"見つかりません"))</f>
      </c>
      <c r="I959" s="4"/>
      <c r="J959" s="12" t="str">
        <f t="array" ref="J959">IF(I959:I5000="","",_xlfn.XLOOKUP(I959:I5000,'参照_姫'!A:A,'参照_姫'!B:B,"見つかりません"))</f>
      </c>
      <c r="K959" s="4">
        <v>95</v>
      </c>
      <c r="L959" s="4">
        <v>500</v>
      </c>
      <c r="M959" s="4"/>
      <c r="N959" s="4"/>
      <c r="O959" s="4"/>
      <c r="P959" s="12" t="str">
        <f t="array" ref="P959">IF(O959:O5000="","",_xlfn.XLOOKUP(O959:O5000,'参照_官位'!A:A,'参照_官位'!B:B,""))</f>
      </c>
      <c r="Q959" s="12" t="str">
        <f t="array" ref="Q959">IF(A959:A5000="","",IFERROR(_xlfn.XLOOKUP(A959:A5000,castles_state!K:K,castles_state!D:D)&amp;"主",IFERROR(_xlfn.XLOOKUP(A959:A5000,kunishuClan!D:D,kunishuClan!B:B)&amp;"当主","")))</f>
      </c>
    </row>
    <row r="960" ht="15.75" customHeight="1">
      <c r="A960" s="4">
        <v>1019007</v>
      </c>
      <c r="B960" s="12" t="str">
        <f t="array" ref="B960">IF(A960:A5001="","",_xlfn.XLOOKUP(A960:A5001,'参照_武将'!A:A,'参照_武将'!B:B,"見つかりません"))</f>
      </c>
      <c r="C960" s="4" t="s">
        <v>158</v>
      </c>
      <c r="D960" s="4">
        <v>19</v>
      </c>
      <c r="E960" s="12" t="str">
        <f t="array" ref="E960">IF(D960:D5001="","",IFERROR(_xlfn.XLOOKUP(D960:D5001,'参照_勢力'!A:A,'参照_勢力'!B:B),IFERROR(_xlfn.XLOOKUP(F960:F5001,kunishuClan!A:A,kunishuClan!B:B),"浪人")))</f>
      </c>
      <c r="F960" s="4">
        <v>0</v>
      </c>
      <c r="G960" s="4">
        <v>33</v>
      </c>
      <c r="H960" s="12" t="str">
        <f t="array" ref="H960">IF(G960:G5001="","",_xlfn.XLOOKUP(G960:G5001,castles_state!A:A,castles_state!D:D,"見つかりません"))</f>
      </c>
      <c r="I960" s="4"/>
      <c r="J960" s="12" t="str">
        <f t="array" ref="J960">IF(I960:I5001="","",_xlfn.XLOOKUP(I960:I5001,'参照_姫'!A:A,'参照_姫'!B:B,"見つかりません"))</f>
      </c>
      <c r="K960" s="4">
        <v>95</v>
      </c>
      <c r="L960" s="4">
        <v>500</v>
      </c>
      <c r="M960" s="4"/>
      <c r="N960" s="4"/>
      <c r="O960" s="4"/>
      <c r="P960" s="12" t="str">
        <f t="array" ref="P960">IF(O960:O5001="","",_xlfn.XLOOKUP(O960:O5001,'参照_官位'!A:A,'参照_官位'!B:B,""))</f>
      </c>
      <c r="Q960" s="12" t="str">
        <f t="array" ref="Q960">IF(A960:A5001="","",IFERROR(_xlfn.XLOOKUP(A960:A5001,castles_state!K:K,castles_state!D:D)&amp;"主",IFERROR(_xlfn.XLOOKUP(A960:A5001,kunishuClan!D:D,kunishuClan!B:B)&amp;"当主","")))</f>
      </c>
    </row>
    <row r="961" ht="15.75" customHeight="1">
      <c r="A961" s="4">
        <v>1019008</v>
      </c>
      <c r="B961" s="12" t="str">
        <f t="array" ref="B961">IF(A961:A5002="","",_xlfn.XLOOKUP(A961:A5002,'参照_武将'!A:A,'参照_武将'!B:B,"見つかりません"))</f>
      </c>
      <c r="C961" s="4" t="s">
        <v>158</v>
      </c>
      <c r="D961" s="4">
        <v>19</v>
      </c>
      <c r="E961" s="12" t="str">
        <f t="array" ref="E961">IF(D961:D5002="","",IFERROR(_xlfn.XLOOKUP(D961:D5002,'参照_勢力'!A:A,'参照_勢力'!B:B),IFERROR(_xlfn.XLOOKUP(F961:F5002,kunishuClan!A:A,kunishuClan!B:B),"浪人")))</f>
      </c>
      <c r="F961" s="4">
        <v>0</v>
      </c>
      <c r="G961" s="4">
        <v>33</v>
      </c>
      <c r="H961" s="12" t="str">
        <f t="array" ref="H961">IF(G961:G5002="","",_xlfn.XLOOKUP(G961:G5002,castles_state!A:A,castles_state!D:D,"見つかりません"))</f>
      </c>
      <c r="I961" s="4"/>
      <c r="J961" s="12" t="str">
        <f t="array" ref="J961">IF(I961:I5002="","",_xlfn.XLOOKUP(I961:I5002,'参照_姫'!A:A,'参照_姫'!B:B,"見つかりません"))</f>
      </c>
      <c r="K961" s="4">
        <v>95</v>
      </c>
      <c r="L961" s="4">
        <v>1000</v>
      </c>
      <c r="M961" s="4"/>
      <c r="N961" s="4"/>
      <c r="O961" s="4"/>
      <c r="P961" s="12" t="str">
        <f t="array" ref="P961">IF(O961:O5002="","",_xlfn.XLOOKUP(O961:O5002,'参照_官位'!A:A,'参照_官位'!B:B,""))</f>
      </c>
      <c r="Q961" s="12" t="str">
        <f t="array" ref="Q961">IF(A961:A5002="","",IFERROR(_xlfn.XLOOKUP(A961:A5002,castles_state!K:K,castles_state!D:D)&amp;"主",IFERROR(_xlfn.XLOOKUP(A961:A5002,kunishuClan!D:D,kunishuClan!B:B)&amp;"当主","")))</f>
      </c>
    </row>
    <row r="962" ht="15.75" customHeight="1">
      <c r="A962" s="4">
        <v>1019009</v>
      </c>
      <c r="B962" s="12" t="str">
        <f t="array" ref="B962">IF(A962:A5003="","",_xlfn.XLOOKUP(A962:A5003,'参照_武将'!A:A,'参照_武将'!B:B,"見つかりません"))</f>
      </c>
      <c r="C962" s="4" t="s">
        <v>158</v>
      </c>
      <c r="D962" s="4">
        <v>19</v>
      </c>
      <c r="E962" s="12" t="str">
        <f t="array" ref="E962">IF(D962:D5003="","",IFERROR(_xlfn.XLOOKUP(D962:D5003,'参照_勢力'!A:A,'参照_勢力'!B:B),IFERROR(_xlfn.XLOOKUP(F962:F5003,kunishuClan!A:A,kunishuClan!B:B),"浪人")))</f>
      </c>
      <c r="F962" s="4">
        <v>0</v>
      </c>
      <c r="G962" s="4">
        <v>33</v>
      </c>
      <c r="H962" s="12" t="str">
        <f t="array" ref="H962">IF(G962:G5003="","",_xlfn.XLOOKUP(G962:G5003,castles_state!A:A,castles_state!D:D,"見つかりません"))</f>
      </c>
      <c r="I962" s="4"/>
      <c r="J962" s="12" t="str">
        <f t="array" ref="J962">IF(I962:I5003="","",_xlfn.XLOOKUP(I962:I5003,'参照_姫'!A:A,'参照_姫'!B:B,"見つかりません"))</f>
      </c>
      <c r="K962" s="4">
        <v>95</v>
      </c>
      <c r="L962" s="4">
        <v>500</v>
      </c>
      <c r="M962" s="4"/>
      <c r="N962" s="4"/>
      <c r="O962" s="4"/>
      <c r="P962" s="12" t="str">
        <f t="array" ref="P962">IF(O962:O5003="","",_xlfn.XLOOKUP(O962:O5003,'参照_官位'!A:A,'参照_官位'!B:B,""))</f>
      </c>
      <c r="Q962" s="12" t="str">
        <f t="array" ref="Q962">IF(A962:A5003="","",IFERROR(_xlfn.XLOOKUP(A962:A5003,castles_state!K:K,castles_state!D:D)&amp;"主",IFERROR(_xlfn.XLOOKUP(A962:A5003,kunishuClan!D:D,kunishuClan!B:B)&amp;"当主","")))</f>
      </c>
    </row>
    <row r="963" ht="15.75" customHeight="1">
      <c r="A963" s="4">
        <v>1019010</v>
      </c>
      <c r="B963" s="12" t="str">
        <f t="array" ref="B963">IF(A963:A5004="","",_xlfn.XLOOKUP(A963:A5004,'参照_武将'!A:A,'参照_武将'!B:B,"見つかりません"))</f>
      </c>
      <c r="C963" s="4" t="s">
        <v>158</v>
      </c>
      <c r="D963" s="4">
        <v>19</v>
      </c>
      <c r="E963" s="12" t="str">
        <f t="array" ref="E963">IF(D963:D5004="","",IFERROR(_xlfn.XLOOKUP(D963:D5004,'参照_勢力'!A:A,'参照_勢力'!B:B),IFERROR(_xlfn.XLOOKUP(F963:F5004,kunishuClan!A:A,kunishuClan!B:B),"浪人")))</f>
      </c>
      <c r="F963" s="4">
        <v>0</v>
      </c>
      <c r="G963" s="4">
        <v>33</v>
      </c>
      <c r="H963" s="12" t="str">
        <f t="array" ref="H963">IF(G963:G5004="","",_xlfn.XLOOKUP(G963:G5004,castles_state!A:A,castles_state!D:D,"見つかりません"))</f>
      </c>
      <c r="I963" s="4"/>
      <c r="J963" s="12" t="str">
        <f t="array" ref="J963">IF(I963:I5004="","",_xlfn.XLOOKUP(I963:I5004,'参照_姫'!A:A,'参照_姫'!B:B,"見つかりません"))</f>
      </c>
      <c r="K963" s="4">
        <v>95</v>
      </c>
      <c r="L963" s="4">
        <v>500</v>
      </c>
      <c r="M963" s="4"/>
      <c r="N963" s="4"/>
      <c r="O963" s="4"/>
      <c r="P963" s="12" t="str">
        <f t="array" ref="P963">IF(O963:O5004="","",_xlfn.XLOOKUP(O963:O5004,'参照_官位'!A:A,'参照_官位'!B:B,""))</f>
      </c>
      <c r="Q963" s="12" t="str">
        <f t="array" ref="Q963">IF(A963:A5004="","",IFERROR(_xlfn.XLOOKUP(A963:A5004,castles_state!K:K,castles_state!D:D)&amp;"主",IFERROR(_xlfn.XLOOKUP(A963:A5004,kunishuClan!D:D,kunishuClan!B:B)&amp;"当主","")))</f>
      </c>
    </row>
    <row r="964" ht="15.75" customHeight="1">
      <c r="A964" s="4">
        <v>1019011</v>
      </c>
      <c r="B964" s="12" t="str">
        <f t="array" ref="B964">IF(A964:A5005="","",_xlfn.XLOOKUP(A964:A5005,'参照_武将'!A:A,'参照_武将'!B:B,"見つかりません"))</f>
      </c>
      <c r="C964" s="4" t="s">
        <v>158</v>
      </c>
      <c r="D964" s="4">
        <v>19</v>
      </c>
      <c r="E964" s="12" t="str">
        <f t="array" ref="E964">IF(D964:D5005="","",IFERROR(_xlfn.XLOOKUP(D964:D5005,'参照_勢力'!A:A,'参照_勢力'!B:B),IFERROR(_xlfn.XLOOKUP(F964:F5005,kunishuClan!A:A,kunishuClan!B:B),"浪人")))</f>
      </c>
      <c r="F964" s="4">
        <v>0</v>
      </c>
      <c r="G964" s="4">
        <v>33</v>
      </c>
      <c r="H964" s="12" t="str">
        <f t="array" ref="H964">IF(G964:G5005="","",_xlfn.XLOOKUP(G964:G5005,castles_state!A:A,castles_state!D:D,"見つかりません"))</f>
      </c>
      <c r="I964" s="4"/>
      <c r="J964" s="12" t="str">
        <f t="array" ref="J964">IF(I964:I5005="","",_xlfn.XLOOKUP(I964:I5005,'参照_姫'!A:A,'参照_姫'!B:B,"見つかりません"))</f>
      </c>
      <c r="K964" s="4">
        <v>95</v>
      </c>
      <c r="L964" s="4">
        <v>500</v>
      </c>
      <c r="M964" s="4"/>
      <c r="N964" s="4"/>
      <c r="O964" s="4"/>
      <c r="P964" s="12" t="str">
        <f t="array" ref="P964">IF(O964:O5005="","",_xlfn.XLOOKUP(O964:O5005,'参照_官位'!A:A,'参照_官位'!B:B,""))</f>
      </c>
      <c r="Q964" s="12" t="str">
        <f t="array" ref="Q964">IF(A964:A5005="","",IFERROR(_xlfn.XLOOKUP(A964:A5005,castles_state!K:K,castles_state!D:D)&amp;"主",IFERROR(_xlfn.XLOOKUP(A964:A5005,kunishuClan!D:D,kunishuClan!B:B)&amp;"当主","")))</f>
      </c>
    </row>
    <row r="965" ht="15.75" customHeight="1">
      <c r="A965" s="4">
        <v>1019012</v>
      </c>
      <c r="B965" s="12" t="str">
        <f t="array" ref="B965">IF(A965:A5006="","",_xlfn.XLOOKUP(A965:A5006,'参照_武将'!A:A,'参照_武将'!B:B,"見つかりません"))</f>
      </c>
      <c r="C965" s="4" t="s">
        <v>158</v>
      </c>
      <c r="D965" s="4">
        <v>19</v>
      </c>
      <c r="E965" s="12" t="str">
        <f t="array" ref="E965">IF(D965:D5006="","",IFERROR(_xlfn.XLOOKUP(D965:D5006,'参照_勢力'!A:A,'参照_勢力'!B:B),IFERROR(_xlfn.XLOOKUP(F965:F5006,kunishuClan!A:A,kunishuClan!B:B),"浪人")))</f>
      </c>
      <c r="F965" s="4">
        <v>0</v>
      </c>
      <c r="G965" s="4">
        <v>44</v>
      </c>
      <c r="H965" s="12" t="str">
        <f t="array" ref="H965">IF(G965:G5006="","",_xlfn.XLOOKUP(G965:G5006,castles_state!A:A,castles_state!D:D,"見つかりません"))</f>
      </c>
      <c r="I965" s="4"/>
      <c r="J965" s="12" t="str">
        <f t="array" ref="J965">IF(I965:I5006="","",_xlfn.XLOOKUP(I965:I5006,'参照_姫'!A:A,'参照_姫'!B:B,"見つかりません"))</f>
      </c>
      <c r="K965" s="4">
        <v>50</v>
      </c>
      <c r="L965" s="4">
        <v>0</v>
      </c>
      <c r="M965" s="4"/>
      <c r="N965" s="4"/>
      <c r="O965" s="4"/>
      <c r="P965" s="12" t="str">
        <f t="array" ref="P965">IF(O965:O5006="","",_xlfn.XLOOKUP(O965:O5006,'参照_官位'!A:A,'参照_官位'!B:B,""))</f>
      </c>
      <c r="Q965" s="12" t="str">
        <f t="array" ref="Q965">IF(A965:A5006="","",IFERROR(_xlfn.XLOOKUP(A965:A5006,castles_state!K:K,castles_state!D:D)&amp;"主",IFERROR(_xlfn.XLOOKUP(A965:A5006,kunishuClan!D:D,kunishuClan!B:B)&amp;"当主","")))</f>
      </c>
    </row>
    <row r="966" ht="15.75" customHeight="1">
      <c r="A966" s="4">
        <v>1019013</v>
      </c>
      <c r="B966" s="12" t="str">
        <f t="array" ref="B966">IF(A966:A5007="","",_xlfn.XLOOKUP(A966:A5007,'参照_武将'!A:A,'参照_武将'!B:B,"見つかりません"))</f>
      </c>
      <c r="C966" s="4" t="s">
        <v>158</v>
      </c>
      <c r="D966" s="4">
        <v>19</v>
      </c>
      <c r="E966" s="12" t="str">
        <f t="array" ref="E966">IF(D966:D5007="","",IFERROR(_xlfn.XLOOKUP(D966:D5007,'参照_勢力'!A:A,'参照_勢力'!B:B),IFERROR(_xlfn.XLOOKUP(F966:F5007,kunishuClan!A:A,kunishuClan!B:B),"浪人")))</f>
      </c>
      <c r="F966" s="4">
        <v>0</v>
      </c>
      <c r="G966" s="4">
        <v>44</v>
      </c>
      <c r="H966" s="12" t="str">
        <f t="array" ref="H966">IF(G966:G5007="","",_xlfn.XLOOKUP(G966:G5007,castles_state!A:A,castles_state!D:D,"見つかりません"))</f>
      </c>
      <c r="I966" s="4"/>
      <c r="J966" s="12" t="str">
        <f t="array" ref="J966">IF(I966:I5007="","",_xlfn.XLOOKUP(I966:I5007,'参照_姫'!A:A,'参照_姫'!B:B,"見つかりません"))</f>
      </c>
      <c r="K966" s="4">
        <v>50</v>
      </c>
      <c r="L966" s="4">
        <v>0</v>
      </c>
      <c r="M966" s="4"/>
      <c r="N966" s="4"/>
      <c r="O966" s="4"/>
      <c r="P966" s="12" t="str">
        <f t="array" ref="P966">IF(O966:O5007="","",_xlfn.XLOOKUP(O966:O5007,'参照_官位'!A:A,'参照_官位'!B:B,""))</f>
      </c>
      <c r="Q966" s="12" t="str">
        <f t="array" ref="Q966">IF(A966:A5007="","",IFERROR(_xlfn.XLOOKUP(A966:A5007,castles_state!K:K,castles_state!D:D)&amp;"主",IFERROR(_xlfn.XLOOKUP(A966:A5007,kunishuClan!D:D,kunishuClan!B:B)&amp;"当主","")))</f>
      </c>
    </row>
    <row r="967" ht="15.75" customHeight="1">
      <c r="A967" s="4">
        <v>1019014</v>
      </c>
      <c r="B967" s="12" t="str">
        <f t="array" ref="B967">IF(A967:A5008="","",_xlfn.XLOOKUP(A967:A5008,'参照_武将'!A:A,'参照_武将'!B:B,"見つかりません"))</f>
      </c>
      <c r="C967" s="4" t="s">
        <v>158</v>
      </c>
      <c r="D967" s="4">
        <v>19</v>
      </c>
      <c r="E967" s="12" t="str">
        <f t="array" ref="E967">IF(D967:D5008="","",IFERROR(_xlfn.XLOOKUP(D967:D5008,'参照_勢力'!A:A,'参照_勢力'!B:B),IFERROR(_xlfn.XLOOKUP(F967:F5008,kunishuClan!A:A,kunishuClan!B:B),"浪人")))</f>
      </c>
      <c r="F967" s="4">
        <v>0</v>
      </c>
      <c r="G967" s="4">
        <v>44</v>
      </c>
      <c r="H967" s="12" t="str">
        <f t="array" ref="H967">IF(G967:G5008="","",_xlfn.XLOOKUP(G967:G5008,castles_state!A:A,castles_state!D:D,"見つかりません"))</f>
      </c>
      <c r="I967" s="4"/>
      <c r="J967" s="12" t="str">
        <f t="array" ref="J967">IF(I967:I5008="","",_xlfn.XLOOKUP(I967:I5008,'参照_姫'!A:A,'参照_姫'!B:B,"見つかりません"))</f>
      </c>
      <c r="K967" s="4">
        <v>50</v>
      </c>
      <c r="L967" s="4">
        <v>300</v>
      </c>
      <c r="M967" s="4"/>
      <c r="N967" s="4"/>
      <c r="O967" s="4"/>
      <c r="P967" s="12" t="str">
        <f t="array" ref="P967">IF(O967:O5008="","",_xlfn.XLOOKUP(O967:O5008,'参照_官位'!A:A,'参照_官位'!B:B,""))</f>
      </c>
      <c r="Q967" s="12" t="str">
        <f t="array" ref="Q967">IF(A967:A5008="","",IFERROR(_xlfn.XLOOKUP(A967:A5008,castles_state!K:K,castles_state!D:D)&amp;"主",IFERROR(_xlfn.XLOOKUP(A967:A5008,kunishuClan!D:D,kunishuClan!B:B)&amp;"当主","")))</f>
      </c>
    </row>
    <row r="968" ht="15.75" customHeight="1">
      <c r="A968" s="4">
        <v>1019015</v>
      </c>
      <c r="B968" s="12" t="str">
        <f t="array" ref="B968">IF(A968:A5009="","",_xlfn.XLOOKUP(A968:A5009,'参照_武将'!A:A,'参照_武将'!B:B,"見つかりません"))</f>
      </c>
      <c r="C968" s="4" t="s">
        <v>158</v>
      </c>
      <c r="D968" s="4">
        <v>19</v>
      </c>
      <c r="E968" s="12" t="str">
        <f t="array" ref="E968">IF(D968:D5009="","",IFERROR(_xlfn.XLOOKUP(D968:D5009,'参照_勢力'!A:A,'参照_勢力'!B:B),IFERROR(_xlfn.XLOOKUP(F968:F5009,kunishuClan!A:A,kunishuClan!B:B),"浪人")))</f>
      </c>
      <c r="F968" s="4">
        <v>0</v>
      </c>
      <c r="G968" s="4">
        <v>44</v>
      </c>
      <c r="H968" s="12" t="str">
        <f t="array" ref="H968">IF(G968:G5009="","",_xlfn.XLOOKUP(G968:G5009,castles_state!A:A,castles_state!D:D,"見つかりません"))</f>
      </c>
      <c r="I968" s="4"/>
      <c r="J968" s="12" t="str">
        <f t="array" ref="J968">IF(I968:I5009="","",_xlfn.XLOOKUP(I968:I5009,'参照_姫'!A:A,'参照_姫'!B:B,"見つかりません"))</f>
      </c>
      <c r="K968" s="4">
        <v>90</v>
      </c>
      <c r="L968" s="4">
        <v>0</v>
      </c>
      <c r="M968" s="4"/>
      <c r="N968" s="4"/>
      <c r="O968" s="4"/>
      <c r="P968" s="12" t="str">
        <f t="array" ref="P968">IF(O968:O5009="","",_xlfn.XLOOKUP(O968:O5009,'参照_官位'!A:A,'参照_官位'!B:B,""))</f>
      </c>
      <c r="Q968" s="12" t="str">
        <f t="array" ref="Q968">IF(A968:A5009="","",IFERROR(_xlfn.XLOOKUP(A968:A5009,castles_state!K:K,castles_state!D:D)&amp;"主",IFERROR(_xlfn.XLOOKUP(A968:A5009,kunishuClan!D:D,kunishuClan!B:B)&amp;"当主","")))</f>
      </c>
    </row>
    <row r="969" ht="15.75" customHeight="1">
      <c r="A969" s="4">
        <v>1019016</v>
      </c>
      <c r="B969" s="12" t="str">
        <f t="array" ref="B969">IF(A969:A5010="","",_xlfn.XLOOKUP(A969:A5010,'参照_武将'!A:A,'参照_武将'!B:B,"見つかりません"))</f>
      </c>
      <c r="C969" s="4" t="s">
        <v>158</v>
      </c>
      <c r="D969" s="4">
        <v>19</v>
      </c>
      <c r="E969" s="12" t="str">
        <f t="array" ref="E969">IF(D969:D5010="","",IFERROR(_xlfn.XLOOKUP(D969:D5010,'参照_勢力'!A:A,'参照_勢力'!B:B),IFERROR(_xlfn.XLOOKUP(F969:F5010,kunishuClan!A:A,kunishuClan!B:B),"浪人")))</f>
      </c>
      <c r="F969" s="4">
        <v>0</v>
      </c>
      <c r="G969" s="4">
        <v>33</v>
      </c>
      <c r="H969" s="12" t="str">
        <f t="array" ref="H969">IF(G969:G5010="","",_xlfn.XLOOKUP(G969:G5010,castles_state!A:A,castles_state!D:D,"見つかりません"))</f>
      </c>
      <c r="I969" s="4"/>
      <c r="J969" s="12" t="str">
        <f t="array" ref="J969">IF(I969:I5010="","",_xlfn.XLOOKUP(I969:I5010,'参照_姫'!A:A,'参照_姫'!B:B,"見つかりません"))</f>
      </c>
      <c r="K969" s="4">
        <v>95</v>
      </c>
      <c r="L969" s="4">
        <v>0</v>
      </c>
      <c r="M969" s="4"/>
      <c r="N969" s="4"/>
      <c r="O969" s="4"/>
      <c r="P969" s="12" t="str">
        <f t="array" ref="P969">IF(O969:O5010="","",_xlfn.XLOOKUP(O969:O5010,'参照_官位'!A:A,'参照_官位'!B:B,""))</f>
      </c>
      <c r="Q969" s="12" t="str">
        <f t="array" ref="Q969">IF(A969:A5010="","",IFERROR(_xlfn.XLOOKUP(A969:A5010,castles_state!K:K,castles_state!D:D)&amp;"主",IFERROR(_xlfn.XLOOKUP(A969:A5010,kunishuClan!D:D,kunishuClan!B:B)&amp;"当主","")))</f>
      </c>
    </row>
    <row r="970" ht="15.75" customHeight="1">
      <c r="A970" s="4">
        <v>1019017</v>
      </c>
      <c r="B970" s="12" t="str">
        <f t="array" ref="B970">IF(A970:A5011="","",_xlfn.XLOOKUP(A970:A5011,'参照_武将'!A:A,'参照_武将'!B:B,"見つかりません"))</f>
      </c>
      <c r="C970" s="4" t="s">
        <v>158</v>
      </c>
      <c r="D970" s="4">
        <v>19</v>
      </c>
      <c r="E970" s="12" t="str">
        <f t="array" ref="E970">IF(D970:D5011="","",IFERROR(_xlfn.XLOOKUP(D970:D5011,'参照_勢力'!A:A,'参照_勢力'!B:B),IFERROR(_xlfn.XLOOKUP(F970:F5011,kunishuClan!A:A,kunishuClan!B:B),"浪人")))</f>
      </c>
      <c r="F970" s="4">
        <v>0</v>
      </c>
      <c r="G970" s="4">
        <v>33</v>
      </c>
      <c r="H970" s="12" t="str">
        <f t="array" ref="H970">IF(G970:G5011="","",_xlfn.XLOOKUP(G970:G5011,castles_state!A:A,castles_state!D:D,"見つかりません"))</f>
      </c>
      <c r="I970" s="4"/>
      <c r="J970" s="12" t="str">
        <f t="array" ref="J970">IF(I970:I5011="","",_xlfn.XLOOKUP(I970:I5011,'参照_姫'!A:A,'参照_姫'!B:B,"見つかりません"))</f>
      </c>
      <c r="K970" s="4">
        <v>100</v>
      </c>
      <c r="L970" s="4">
        <v>500</v>
      </c>
      <c r="M970" s="4"/>
      <c r="N970" s="4"/>
      <c r="O970" s="4"/>
      <c r="P970" s="12" t="str">
        <f t="array" ref="P970">IF(O970:O5011="","",_xlfn.XLOOKUP(O970:O5011,'参照_官位'!A:A,'参照_官位'!B:B,""))</f>
      </c>
      <c r="Q970" s="12" t="str">
        <f t="array" ref="Q970">IF(A970:A5011="","",IFERROR(_xlfn.XLOOKUP(A970:A5011,castles_state!K:K,castles_state!D:D)&amp;"主",IFERROR(_xlfn.XLOOKUP(A970:A5011,kunishuClan!D:D,kunishuClan!B:B)&amp;"当主","")))</f>
      </c>
    </row>
    <row r="971" ht="15.75" customHeight="1">
      <c r="A971" s="4">
        <v>1019018</v>
      </c>
      <c r="B971" s="12" t="str">
        <f t="array" ref="B971">IF(A971:A5012="","",_xlfn.XLOOKUP(A971:A5012,'参照_武将'!A:A,'参照_武将'!B:B,"見つかりません"))</f>
      </c>
      <c r="C971" s="4" t="s">
        <v>158</v>
      </c>
      <c r="D971" s="4">
        <v>19</v>
      </c>
      <c r="E971" s="12" t="str">
        <f t="array" ref="E971">IF(D971:D5012="","",IFERROR(_xlfn.XLOOKUP(D971:D5012,'参照_勢力'!A:A,'参照_勢力'!B:B),IFERROR(_xlfn.XLOOKUP(F971:F5012,kunishuClan!A:A,kunishuClan!B:B),"浪人")))</f>
      </c>
      <c r="F971" s="4">
        <v>0</v>
      </c>
      <c r="G971" s="4">
        <v>33</v>
      </c>
      <c r="H971" s="12" t="str">
        <f t="array" ref="H971">IF(G971:G5012="","",_xlfn.XLOOKUP(G971:G5012,castles_state!A:A,castles_state!D:D,"見つかりません"))</f>
      </c>
      <c r="I971" s="4"/>
      <c r="J971" s="12" t="str">
        <f t="array" ref="J971">IF(I971:I5012="","",_xlfn.XLOOKUP(I971:I5012,'参照_姫'!A:A,'参照_姫'!B:B,"見つかりません"))</f>
      </c>
      <c r="K971" s="4">
        <v>95</v>
      </c>
      <c r="L971" s="4">
        <v>0</v>
      </c>
      <c r="M971" s="4"/>
      <c r="N971" s="4"/>
      <c r="O971" s="4"/>
      <c r="P971" s="12" t="str">
        <f t="array" ref="P971">IF(O971:O5012="","",_xlfn.XLOOKUP(O971:O5012,'参照_官位'!A:A,'参照_官位'!B:B,""))</f>
      </c>
      <c r="Q971" s="12" t="str">
        <f t="array" ref="Q971">IF(A971:A5012="","",IFERROR(_xlfn.XLOOKUP(A971:A5012,castles_state!K:K,castles_state!D:D)&amp;"主",IFERROR(_xlfn.XLOOKUP(A971:A5012,kunishuClan!D:D,kunishuClan!B:B)&amp;"当主","")))</f>
      </c>
    </row>
    <row r="972" ht="15.75" customHeight="1">
      <c r="A972" s="4">
        <v>1019019</v>
      </c>
      <c r="B972" s="12" t="str">
        <f t="array" ref="B972">IF(A972:A5013="","",_xlfn.XLOOKUP(A972:A5013,'参照_武将'!A:A,'参照_武将'!B:B,"見つかりません"))</f>
      </c>
      <c r="C972" s="4" t="s">
        <v>158</v>
      </c>
      <c r="D972" s="4">
        <v>19</v>
      </c>
      <c r="E972" s="12" t="str">
        <f t="array" ref="E972">IF(D972:D5013="","",IFERROR(_xlfn.XLOOKUP(D972:D5013,'参照_勢力'!A:A,'参照_勢力'!B:B),IFERROR(_xlfn.XLOOKUP(F972:F5013,kunishuClan!A:A,kunishuClan!B:B),"浪人")))</f>
      </c>
      <c r="F972" s="4">
        <v>0</v>
      </c>
      <c r="G972" s="4">
        <v>33</v>
      </c>
      <c r="H972" s="12" t="str">
        <f t="array" ref="H972">IF(G972:G5013="","",_xlfn.XLOOKUP(G972:G5013,castles_state!A:A,castles_state!D:D,"見つかりません"))</f>
      </c>
      <c r="I972" s="4"/>
      <c r="J972" s="12" t="str">
        <f t="array" ref="J972">IF(I972:I5013="","",_xlfn.XLOOKUP(I972:I5013,'参照_姫'!A:A,'参照_姫'!B:B,"見つかりません"))</f>
      </c>
      <c r="K972" s="4">
        <v>95</v>
      </c>
      <c r="L972" s="4">
        <v>0</v>
      </c>
      <c r="M972" s="4"/>
      <c r="N972" s="4"/>
      <c r="O972" s="4"/>
      <c r="P972" s="12" t="str">
        <f t="array" ref="P972">IF(O972:O5013="","",_xlfn.XLOOKUP(O972:O5013,'参照_官位'!A:A,'参照_官位'!B:B,""))</f>
      </c>
      <c r="Q972" s="12" t="str">
        <f t="array" ref="Q972">IF(A972:A5013="","",IFERROR(_xlfn.XLOOKUP(A972:A5013,castles_state!K:K,castles_state!D:D)&amp;"主",IFERROR(_xlfn.XLOOKUP(A972:A5013,kunishuClan!D:D,kunishuClan!B:B)&amp;"当主","")))</f>
      </c>
    </row>
    <row r="973" ht="15.75" customHeight="1">
      <c r="A973" s="4">
        <v>1019020</v>
      </c>
      <c r="B973" s="12" t="str">
        <f t="array" ref="B973">IF(A973:A5014="","",_xlfn.XLOOKUP(A973:A5014,'参照_武将'!A:A,'参照_武将'!B:B,"見つかりません"))</f>
      </c>
      <c r="C973" s="4" t="s">
        <v>158</v>
      </c>
      <c r="D973" s="4">
        <v>19</v>
      </c>
      <c r="E973" s="12" t="str">
        <f t="array" ref="E973">IF(D973:D5014="","",IFERROR(_xlfn.XLOOKUP(D973:D5014,'参照_勢力'!A:A,'参照_勢力'!B:B),IFERROR(_xlfn.XLOOKUP(F973:F5014,kunishuClan!A:A,kunishuClan!B:B),"浪人")))</f>
      </c>
      <c r="F973" s="4">
        <v>0</v>
      </c>
      <c r="G973" s="4">
        <v>33</v>
      </c>
      <c r="H973" s="12" t="str">
        <f t="array" ref="H973">IF(G973:G5014="","",_xlfn.XLOOKUP(G973:G5014,castles_state!A:A,castles_state!D:D,"見つかりません"))</f>
      </c>
      <c r="I973" s="4"/>
      <c r="J973" s="12" t="str">
        <f t="array" ref="J973">IF(I973:I5014="","",_xlfn.XLOOKUP(I973:I5014,'参照_姫'!A:A,'参照_姫'!B:B,"見つかりません"))</f>
      </c>
      <c r="K973" s="4">
        <v>95</v>
      </c>
      <c r="L973" s="4">
        <v>0</v>
      </c>
      <c r="M973" s="4"/>
      <c r="N973" s="4"/>
      <c r="O973" s="4"/>
      <c r="P973" s="12" t="str">
        <f t="array" ref="P973">IF(O973:O5014="","",_xlfn.XLOOKUP(O973:O5014,'参照_官位'!A:A,'参照_官位'!B:B,""))</f>
      </c>
      <c r="Q973" s="12" t="str">
        <f t="array" ref="Q973">IF(A973:A5014="","",IFERROR(_xlfn.XLOOKUP(A973:A5014,castles_state!K:K,castles_state!D:D)&amp;"主",IFERROR(_xlfn.XLOOKUP(A973:A5014,kunishuClan!D:D,kunishuClan!B:B)&amp;"当主","")))</f>
      </c>
    </row>
    <row r="974" ht="15.75" customHeight="1">
      <c r="A974" s="4">
        <v>1019021</v>
      </c>
      <c r="B974" s="12" t="str">
        <f t="array" ref="B974">IF(A974:A5015="","",_xlfn.XLOOKUP(A974:A5015,'参照_武将'!A:A,'参照_武将'!B:B,"見つかりません"))</f>
      </c>
      <c r="C974" s="4" t="s">
        <v>158</v>
      </c>
      <c r="D974" s="4">
        <v>19</v>
      </c>
      <c r="E974" s="12" t="str">
        <f t="array" ref="E974">IF(D974:D5015="","",IFERROR(_xlfn.XLOOKUP(D974:D5015,'参照_勢力'!A:A,'参照_勢力'!B:B),IFERROR(_xlfn.XLOOKUP(F974:F5015,kunishuClan!A:A,kunishuClan!B:B),"浪人")))</f>
      </c>
      <c r="F974" s="4">
        <v>0</v>
      </c>
      <c r="G974" s="4">
        <v>74</v>
      </c>
      <c r="H974" s="12" t="str">
        <f t="array" ref="H974">IF(G974:G5015="","",_xlfn.XLOOKUP(G974:G5015,castles_state!A:A,castles_state!D:D,"見つかりません"))</f>
      </c>
      <c r="I974" s="4"/>
      <c r="J974" s="12" t="str">
        <f t="array" ref="J974">IF(I974:I5015="","",_xlfn.XLOOKUP(I974:I5015,'参照_姫'!A:A,'参照_姫'!B:B,"見つかりません"))</f>
      </c>
      <c r="K974" s="4">
        <v>95</v>
      </c>
      <c r="L974" s="4">
        <v>500</v>
      </c>
      <c r="M974" s="4"/>
      <c r="N974" s="4"/>
      <c r="O974" s="4"/>
      <c r="P974" s="12" t="str">
        <f t="array" ref="P974">IF(O974:O5015="","",_xlfn.XLOOKUP(O974:O5015,'参照_官位'!A:A,'参照_官位'!B:B,""))</f>
      </c>
      <c r="Q974" s="12" t="str">
        <f t="array" ref="Q974">IF(A974:A5015="","",IFERROR(_xlfn.XLOOKUP(A974:A5015,castles_state!K:K,castles_state!D:D)&amp;"主",IFERROR(_xlfn.XLOOKUP(A974:A5015,kunishuClan!D:D,kunishuClan!B:B)&amp;"当主","")))</f>
      </c>
    </row>
    <row r="975" ht="15.75" customHeight="1">
      <c r="A975" s="4">
        <v>1019022</v>
      </c>
      <c r="B975" s="12" t="str">
        <f t="array" ref="B975">IF(A975:A5016="","",_xlfn.XLOOKUP(A975:A5016,'参照_武将'!A:A,'参照_武将'!B:B,"見つかりません"))</f>
      </c>
      <c r="C975" s="4" t="s">
        <v>158</v>
      </c>
      <c r="D975" s="4">
        <v>19</v>
      </c>
      <c r="E975" s="12" t="str">
        <f t="array" ref="E975">IF(D975:D5016="","",IFERROR(_xlfn.XLOOKUP(D975:D5016,'参照_勢力'!A:A,'参照_勢力'!B:B),IFERROR(_xlfn.XLOOKUP(F975:F5016,kunishuClan!A:A,kunishuClan!B:B),"浪人")))</f>
      </c>
      <c r="F975" s="4">
        <v>0</v>
      </c>
      <c r="G975" s="4">
        <v>33</v>
      </c>
      <c r="H975" s="12" t="str">
        <f t="array" ref="H975">IF(G975:G5016="","",_xlfn.XLOOKUP(G975:G5016,castles_state!A:A,castles_state!D:D,"見つかりません"))</f>
      </c>
      <c r="I975" s="4"/>
      <c r="J975" s="12" t="str">
        <f t="array" ref="J975">IF(I975:I5016="","",_xlfn.XLOOKUP(I975:I5016,'参照_姫'!A:A,'参照_姫'!B:B,"見つかりません"))</f>
      </c>
      <c r="K975" s="4">
        <v>95</v>
      </c>
      <c r="L975" s="4">
        <v>0</v>
      </c>
      <c r="M975" s="4"/>
      <c r="N975" s="4"/>
      <c r="O975" s="4"/>
      <c r="P975" s="12" t="str">
        <f t="array" ref="P975">IF(O975:O5016="","",_xlfn.XLOOKUP(O975:O5016,'参照_官位'!A:A,'参照_官位'!B:B,""))</f>
      </c>
      <c r="Q975" s="12" t="str">
        <f t="array" ref="Q975">IF(A975:A5016="","",IFERROR(_xlfn.XLOOKUP(A975:A5016,castles_state!K:K,castles_state!D:D)&amp;"主",IFERROR(_xlfn.XLOOKUP(A975:A5016,kunishuClan!D:D,kunishuClan!B:B)&amp;"当主","")))</f>
      </c>
    </row>
    <row r="976" ht="15.75" customHeight="1">
      <c r="A976" s="4">
        <v>1019023</v>
      </c>
      <c r="B976" s="12" t="str">
        <f t="array" ref="B976">IF(A976:A5017="","",_xlfn.XLOOKUP(A976:A5017,'参照_武将'!A:A,'参照_武将'!B:B,"見つかりません"))</f>
      </c>
      <c r="C976" s="4" t="s">
        <v>158</v>
      </c>
      <c r="D976" s="4">
        <v>19</v>
      </c>
      <c r="E976" s="12" t="str">
        <f t="array" ref="E976">IF(D976:D5017="","",IFERROR(_xlfn.XLOOKUP(D976:D5017,'参照_勢力'!A:A,'参照_勢力'!B:B),IFERROR(_xlfn.XLOOKUP(F976:F5017,kunishuClan!A:A,kunishuClan!B:B),"浪人")))</f>
      </c>
      <c r="F976" s="4">
        <v>0</v>
      </c>
      <c r="G976" s="4">
        <v>33</v>
      </c>
      <c r="H976" s="12" t="str">
        <f t="array" ref="H976">IF(G976:G5017="","",_xlfn.XLOOKUP(G976:G5017,castles_state!A:A,castles_state!D:D,"見つかりません"))</f>
      </c>
      <c r="I976" s="4"/>
      <c r="J976" s="12" t="str">
        <f t="array" ref="J976">IF(I976:I5017="","",_xlfn.XLOOKUP(I976:I5017,'参照_姫'!A:A,'参照_姫'!B:B,"見つかりません"))</f>
      </c>
      <c r="K976" s="4">
        <v>95</v>
      </c>
      <c r="L976" s="4">
        <v>0</v>
      </c>
      <c r="M976" s="4"/>
      <c r="N976" s="4"/>
      <c r="O976" s="4"/>
      <c r="P976" s="12" t="str">
        <f t="array" ref="P976">IF(O976:O5017="","",_xlfn.XLOOKUP(O976:O5017,'参照_官位'!A:A,'参照_官位'!B:B,""))</f>
      </c>
      <c r="Q976" s="12" t="str">
        <f t="array" ref="Q976">IF(A976:A5017="","",IFERROR(_xlfn.XLOOKUP(A976:A5017,castles_state!K:K,castles_state!D:D)&amp;"主",IFERROR(_xlfn.XLOOKUP(A976:A5017,kunishuClan!D:D,kunishuClan!B:B)&amp;"当主","")))</f>
      </c>
    </row>
    <row r="977" ht="15.75" customHeight="1">
      <c r="A977" s="4">
        <v>1019024</v>
      </c>
      <c r="B977" s="12" t="str">
        <f t="array" ref="B977">IF(A977:A5018="","",_xlfn.XLOOKUP(A977:A5018,'参照_武将'!A:A,'参照_武将'!B:B,"見つかりません"))</f>
      </c>
      <c r="C977" s="4" t="s">
        <v>158</v>
      </c>
      <c r="D977" s="4">
        <v>19</v>
      </c>
      <c r="E977" s="12" t="str">
        <f t="array" ref="E977">IF(D977:D5018="","",IFERROR(_xlfn.XLOOKUP(D977:D5018,'参照_勢力'!A:A,'参照_勢力'!B:B),IFERROR(_xlfn.XLOOKUP(F977:F5018,kunishuClan!A:A,kunishuClan!B:B),"浪人")))</f>
      </c>
      <c r="F977" s="4">
        <v>0</v>
      </c>
      <c r="G977" s="4">
        <v>33</v>
      </c>
      <c r="H977" s="12" t="str">
        <f t="array" ref="H977">IF(G977:G5018="","",_xlfn.XLOOKUP(G977:G5018,castles_state!A:A,castles_state!D:D,"見つかりません"))</f>
      </c>
      <c r="I977" s="4"/>
      <c r="J977" s="12" t="str">
        <f t="array" ref="J977">IF(I977:I5018="","",_xlfn.XLOOKUP(I977:I5018,'参照_姫'!A:A,'参照_姫'!B:B,"見つかりません"))</f>
      </c>
      <c r="K977" s="4">
        <v>95</v>
      </c>
      <c r="L977" s="4">
        <v>0</v>
      </c>
      <c r="M977" s="4"/>
      <c r="N977" s="4"/>
      <c r="O977" s="4"/>
      <c r="P977" s="12" t="str">
        <f t="array" ref="P977">IF(O977:O5018="","",_xlfn.XLOOKUP(O977:O5018,'参照_官位'!A:A,'参照_官位'!B:B,""))</f>
      </c>
      <c r="Q977" s="12" t="str">
        <f t="array" ref="Q977">IF(A977:A5018="","",IFERROR(_xlfn.XLOOKUP(A977:A5018,castles_state!K:K,castles_state!D:D)&amp;"主",IFERROR(_xlfn.XLOOKUP(A977:A5018,kunishuClan!D:D,kunishuClan!B:B)&amp;"当主","")))</f>
      </c>
    </row>
    <row r="978" ht="15.75" customHeight="1">
      <c r="A978" s="4">
        <v>1019025</v>
      </c>
      <c r="B978" s="12" t="str">
        <f t="array" ref="B978">IF(A978:A5019="","",_xlfn.XLOOKUP(A978:A5019,'参照_武将'!A:A,'参照_武将'!B:B,"見つかりません"))</f>
      </c>
      <c r="C978" s="4" t="s">
        <v>158</v>
      </c>
      <c r="D978" s="4">
        <v>19</v>
      </c>
      <c r="E978" s="12" t="str">
        <f t="array" ref="E978">IF(D978:D5019="","",IFERROR(_xlfn.XLOOKUP(D978:D5019,'参照_勢力'!A:A,'参照_勢力'!B:B),IFERROR(_xlfn.XLOOKUP(F978:F5019,kunishuClan!A:A,kunishuClan!B:B),"浪人")))</f>
      </c>
      <c r="F978" s="4">
        <v>0</v>
      </c>
      <c r="G978" s="4">
        <v>33</v>
      </c>
      <c r="H978" s="12" t="str">
        <f t="array" ref="H978">IF(G978:G5019="","",_xlfn.XLOOKUP(G978:G5019,castles_state!A:A,castles_state!D:D,"見つかりません"))</f>
      </c>
      <c r="I978" s="4"/>
      <c r="J978" s="12" t="str">
        <f t="array" ref="J978">IF(I978:I5019="","",_xlfn.XLOOKUP(I978:I5019,'参照_姫'!A:A,'参照_姫'!B:B,"見つかりません"))</f>
      </c>
      <c r="K978" s="4">
        <v>95</v>
      </c>
      <c r="L978" s="4">
        <v>0</v>
      </c>
      <c r="M978" s="4"/>
      <c r="N978" s="4"/>
      <c r="O978" s="4"/>
      <c r="P978" s="12" t="str">
        <f t="array" ref="P978">IF(O978:O5019="","",_xlfn.XLOOKUP(O978:O5019,'参照_官位'!A:A,'参照_官位'!B:B,""))</f>
      </c>
      <c r="Q978" s="12" t="str">
        <f t="array" ref="Q978">IF(A978:A5019="","",IFERROR(_xlfn.XLOOKUP(A978:A5019,castles_state!K:K,castles_state!D:D)&amp;"主",IFERROR(_xlfn.XLOOKUP(A978:A5019,kunishuClan!D:D,kunishuClan!B:B)&amp;"当主","")))</f>
      </c>
    </row>
    <row r="979" ht="15.75" customHeight="1">
      <c r="A979" s="4">
        <v>1019026</v>
      </c>
      <c r="B979" s="12" t="str">
        <f t="array" ref="B979">IF(A979:A5020="","",_xlfn.XLOOKUP(A979:A5020,'参照_武将'!A:A,'参照_武将'!B:B,"見つかりません"))</f>
      </c>
      <c r="C979" s="4" t="s">
        <v>158</v>
      </c>
      <c r="D979" s="4">
        <v>19</v>
      </c>
      <c r="E979" s="12" t="str">
        <f t="array" ref="E979">IF(D979:D5020="","",IFERROR(_xlfn.XLOOKUP(D979:D5020,'参照_勢力'!A:A,'参照_勢力'!B:B),IFERROR(_xlfn.XLOOKUP(F979:F5020,kunishuClan!A:A,kunishuClan!B:B),"浪人")))</f>
      </c>
      <c r="F979" s="4">
        <v>0</v>
      </c>
      <c r="G979" s="4">
        <v>33</v>
      </c>
      <c r="H979" s="12" t="str">
        <f t="array" ref="H979">IF(G979:G5020="","",_xlfn.XLOOKUP(G979:G5020,castles_state!A:A,castles_state!D:D,"見つかりません"))</f>
      </c>
      <c r="I979" s="4"/>
      <c r="J979" s="12" t="str">
        <f t="array" ref="J979">IF(I979:I5020="","",_xlfn.XLOOKUP(I979:I5020,'参照_姫'!A:A,'参照_姫'!B:B,"見つかりません"))</f>
      </c>
      <c r="K979" s="4">
        <v>95</v>
      </c>
      <c r="L979" s="4">
        <v>0</v>
      </c>
      <c r="M979" s="4"/>
      <c r="N979" s="4"/>
      <c r="O979" s="4"/>
      <c r="P979" s="12" t="str">
        <f t="array" ref="P979">IF(O979:O5020="","",_xlfn.XLOOKUP(O979:O5020,'参照_官位'!A:A,'参照_官位'!B:B,""))</f>
      </c>
      <c r="Q979" s="12" t="str">
        <f t="array" ref="Q979">IF(A979:A5020="","",IFERROR(_xlfn.XLOOKUP(A979:A5020,castles_state!K:K,castles_state!D:D)&amp;"主",IFERROR(_xlfn.XLOOKUP(A979:A5020,kunishuClan!D:D,kunishuClan!B:B)&amp;"当主","")))</f>
      </c>
    </row>
    <row r="980" ht="15.75" customHeight="1">
      <c r="A980" s="4">
        <v>1019027</v>
      </c>
      <c r="B980" s="12" t="str">
        <f t="array" ref="B980">IF(A980:A5021="","",_xlfn.XLOOKUP(A980:A5021,'参照_武将'!A:A,'参照_武将'!B:B,"見つかりません"))</f>
      </c>
      <c r="C980" s="4" t="s">
        <v>158</v>
      </c>
      <c r="D980" s="4">
        <v>19</v>
      </c>
      <c r="E980" s="12" t="str">
        <f t="array" ref="E980">IF(D980:D5021="","",IFERROR(_xlfn.XLOOKUP(D980:D5021,'参照_勢力'!A:A,'参照_勢力'!B:B),IFERROR(_xlfn.XLOOKUP(F980:F5021,kunishuClan!A:A,kunishuClan!B:B),"浪人")))</f>
      </c>
      <c r="F980" s="4">
        <v>0</v>
      </c>
      <c r="G980" s="4">
        <v>74</v>
      </c>
      <c r="H980" s="12" t="str">
        <f t="array" ref="H980">IF(G980:G5021="","",_xlfn.XLOOKUP(G980:G5021,castles_state!A:A,castles_state!D:D,"見つかりません"))</f>
      </c>
      <c r="I980" s="4"/>
      <c r="J980" s="12" t="str">
        <f t="array" ref="J980">IF(I980:I5021="","",_xlfn.XLOOKUP(I980:I5021,'参照_姫'!A:A,'参照_姫'!B:B,"見つかりません"))</f>
      </c>
      <c r="K980" s="4">
        <v>95</v>
      </c>
      <c r="L980" s="4">
        <v>500</v>
      </c>
      <c r="M980" s="4"/>
      <c r="N980" s="4"/>
      <c r="O980" s="4"/>
      <c r="P980" s="12" t="str">
        <f t="array" ref="P980">IF(O980:O5021="","",_xlfn.XLOOKUP(O980:O5021,'参照_官位'!A:A,'参照_官位'!B:B,""))</f>
      </c>
      <c r="Q980" s="12" t="str">
        <f t="array" ref="Q980">IF(A980:A5021="","",IFERROR(_xlfn.XLOOKUP(A980:A5021,castles_state!K:K,castles_state!D:D)&amp;"主",IFERROR(_xlfn.XLOOKUP(A980:A5021,kunishuClan!D:D,kunishuClan!B:B)&amp;"当主","")))</f>
      </c>
    </row>
    <row r="981" ht="15.75" customHeight="1">
      <c r="A981" s="4">
        <v>1019028</v>
      </c>
      <c r="B981" s="12" t="str">
        <f t="array" ref="B981">IF(A981:A5022="","",_xlfn.XLOOKUP(A981:A5022,'参照_武将'!A:A,'参照_武将'!B:B,"見つかりません"))</f>
      </c>
      <c r="C981" s="4" t="s">
        <v>158</v>
      </c>
      <c r="D981" s="4">
        <v>19</v>
      </c>
      <c r="E981" s="12" t="str">
        <f t="array" ref="E981">IF(D981:D5022="","",IFERROR(_xlfn.XLOOKUP(D981:D5022,'参照_勢力'!A:A,'参照_勢力'!B:B),IFERROR(_xlfn.XLOOKUP(F981:F5022,kunishuClan!A:A,kunishuClan!B:B),"浪人")))</f>
      </c>
      <c r="F981" s="4">
        <v>0</v>
      </c>
      <c r="G981" s="4">
        <v>33</v>
      </c>
      <c r="H981" s="12" t="str">
        <f t="array" ref="H981">IF(G981:G5022="","",_xlfn.XLOOKUP(G981:G5022,castles_state!A:A,castles_state!D:D,"見つかりません"))</f>
      </c>
      <c r="I981" s="4"/>
      <c r="J981" s="12" t="str">
        <f t="array" ref="J981">IF(I981:I5022="","",_xlfn.XLOOKUP(I981:I5022,'参照_姫'!A:A,'参照_姫'!B:B,"見つかりません"))</f>
      </c>
      <c r="K981" s="4">
        <v>95</v>
      </c>
      <c r="L981" s="4">
        <v>0</v>
      </c>
      <c r="M981" s="4"/>
      <c r="N981" s="4"/>
      <c r="O981" s="4"/>
      <c r="P981" s="12" t="str">
        <f t="array" ref="P981">IF(O981:O5022="","",_xlfn.XLOOKUP(O981:O5022,'参照_官位'!A:A,'参照_官位'!B:B,""))</f>
      </c>
      <c r="Q981" s="12" t="str">
        <f t="array" ref="Q981">IF(A981:A5022="","",IFERROR(_xlfn.XLOOKUP(A981:A5022,castles_state!K:K,castles_state!D:D)&amp;"主",IFERROR(_xlfn.XLOOKUP(A981:A5022,kunishuClan!D:D,kunishuClan!B:B)&amp;"当主","")))</f>
      </c>
    </row>
    <row r="982" ht="15.75" customHeight="1">
      <c r="A982" s="4">
        <v>1019029</v>
      </c>
      <c r="B982" s="12" t="str">
        <f t="array" ref="B982">IF(A982:A5023="","",_xlfn.XLOOKUP(A982:A5023,'参照_武将'!A:A,'参照_武将'!B:B,"見つかりません"))</f>
      </c>
      <c r="C982" s="4" t="s">
        <v>158</v>
      </c>
      <c r="D982" s="4">
        <v>19</v>
      </c>
      <c r="E982" s="12" t="str">
        <f t="array" ref="E982">IF(D982:D5023="","",IFERROR(_xlfn.XLOOKUP(D982:D5023,'参照_勢力'!A:A,'参照_勢力'!B:B),IFERROR(_xlfn.XLOOKUP(F982:F5023,kunishuClan!A:A,kunishuClan!B:B),"浪人")))</f>
      </c>
      <c r="F982" s="4">
        <v>0</v>
      </c>
      <c r="G982" s="4">
        <v>33</v>
      </c>
      <c r="H982" s="12" t="str">
        <f t="array" ref="H982">IF(G982:G5023="","",_xlfn.XLOOKUP(G982:G5023,castles_state!A:A,castles_state!D:D,"見つかりません"))</f>
      </c>
      <c r="I982" s="4"/>
      <c r="J982" s="12" t="str">
        <f t="array" ref="J982">IF(I982:I5023="","",_xlfn.XLOOKUP(I982:I5023,'参照_姫'!A:A,'参照_姫'!B:B,"見つかりません"))</f>
      </c>
      <c r="K982" s="4">
        <v>95</v>
      </c>
      <c r="L982" s="4">
        <v>0</v>
      </c>
      <c r="M982" s="4"/>
      <c r="N982" s="4"/>
      <c r="O982" s="4"/>
      <c r="P982" s="12" t="str">
        <f t="array" ref="P982">IF(O982:O5023="","",_xlfn.XLOOKUP(O982:O5023,'参照_官位'!A:A,'参照_官位'!B:B,""))</f>
      </c>
      <c r="Q982" s="12" t="str">
        <f t="array" ref="Q982">IF(A982:A5023="","",IFERROR(_xlfn.XLOOKUP(A982:A5023,castles_state!K:K,castles_state!D:D)&amp;"主",IFERROR(_xlfn.XLOOKUP(A982:A5023,kunishuClan!D:D,kunishuClan!B:B)&amp;"当主","")))</f>
      </c>
    </row>
    <row r="983" ht="15.75" customHeight="1">
      <c r="A983" s="4">
        <v>1019030</v>
      </c>
      <c r="B983" s="12" t="str">
        <f t="array" ref="B983">IF(A983:A5024="","",_xlfn.XLOOKUP(A983:A5024,'参照_武将'!A:A,'参照_武将'!B:B,"見つかりません"))</f>
      </c>
      <c r="C983" s="4" t="s">
        <v>158</v>
      </c>
      <c r="D983" s="4">
        <v>19</v>
      </c>
      <c r="E983" s="12" t="str">
        <f t="array" ref="E983">IF(D983:D5024="","",IFERROR(_xlfn.XLOOKUP(D983:D5024,'参照_勢力'!A:A,'参照_勢力'!B:B),IFERROR(_xlfn.XLOOKUP(F983:F5024,kunishuClan!A:A,kunishuClan!B:B),"浪人")))</f>
      </c>
      <c r="F983" s="4">
        <v>0</v>
      </c>
      <c r="G983" s="4">
        <v>33</v>
      </c>
      <c r="H983" s="12" t="str">
        <f t="array" ref="H983">IF(G983:G5024="","",_xlfn.XLOOKUP(G983:G5024,castles_state!A:A,castles_state!D:D,"見つかりません"))</f>
      </c>
      <c r="I983" s="4"/>
      <c r="J983" s="12" t="str">
        <f t="array" ref="J983">IF(I983:I5024="","",_xlfn.XLOOKUP(I983:I5024,'参照_姫'!A:A,'参照_姫'!B:B,"見つかりません"))</f>
      </c>
      <c r="K983" s="4">
        <v>95</v>
      </c>
      <c r="L983" s="4">
        <v>0</v>
      </c>
      <c r="M983" s="4"/>
      <c r="N983" s="4"/>
      <c r="O983" s="4"/>
      <c r="P983" s="12" t="str">
        <f t="array" ref="P983">IF(O983:O5024="","",_xlfn.XLOOKUP(O983:O5024,'参照_官位'!A:A,'参照_官位'!B:B,""))</f>
      </c>
      <c r="Q983" s="12" t="str">
        <f t="array" ref="Q983">IF(A983:A5024="","",IFERROR(_xlfn.XLOOKUP(A983:A5024,castles_state!K:K,castles_state!D:D)&amp;"主",IFERROR(_xlfn.XLOOKUP(A983:A5024,kunishuClan!D:D,kunishuClan!B:B)&amp;"当主","")))</f>
      </c>
    </row>
    <row r="984" ht="15.75" customHeight="1">
      <c r="A984" s="4">
        <v>1019031</v>
      </c>
      <c r="B984" s="12" t="str">
        <f t="array" ref="B984">IF(A984:A5025="","",_xlfn.XLOOKUP(A984:A5025,'参照_武将'!A:A,'参照_武将'!B:B,"見つかりません"))</f>
      </c>
      <c r="C984" s="4" t="s">
        <v>158</v>
      </c>
      <c r="D984" s="4">
        <v>19</v>
      </c>
      <c r="E984" s="12" t="str">
        <f t="array" ref="E984">IF(D984:D5025="","",IFERROR(_xlfn.XLOOKUP(D984:D5025,'参照_勢力'!A:A,'参照_勢力'!B:B),IFERROR(_xlfn.XLOOKUP(F984:F5025,kunishuClan!A:A,kunishuClan!B:B),"浪人")))</f>
      </c>
      <c r="F984" s="4">
        <v>0</v>
      </c>
      <c r="G984" s="4">
        <v>33</v>
      </c>
      <c r="H984" s="12" t="str">
        <f t="array" ref="H984">IF(G984:G5025="","",_xlfn.XLOOKUP(G984:G5025,castles_state!A:A,castles_state!D:D,"見つかりません"))</f>
      </c>
      <c r="I984" s="4"/>
      <c r="J984" s="12" t="str">
        <f t="array" ref="J984">IF(I984:I5025="","",_xlfn.XLOOKUP(I984:I5025,'参照_姫'!A:A,'参照_姫'!B:B,"見つかりません"))</f>
      </c>
      <c r="K984" s="4">
        <v>95</v>
      </c>
      <c r="L984" s="4">
        <v>0</v>
      </c>
      <c r="M984" s="4"/>
      <c r="N984" s="4"/>
      <c r="O984" s="4"/>
      <c r="P984" s="12" t="str">
        <f t="array" ref="P984">IF(O984:O5025="","",_xlfn.XLOOKUP(O984:O5025,'参照_官位'!A:A,'参照_官位'!B:B,""))</f>
      </c>
      <c r="Q984" s="12" t="str">
        <f t="array" ref="Q984">IF(A984:A5025="","",IFERROR(_xlfn.XLOOKUP(A984:A5025,castles_state!K:K,castles_state!D:D)&amp;"主",IFERROR(_xlfn.XLOOKUP(A984:A5025,kunishuClan!D:D,kunishuClan!B:B)&amp;"当主","")))</f>
      </c>
    </row>
    <row r="985" ht="15.75" customHeight="1">
      <c r="A985" s="4">
        <v>1019032</v>
      </c>
      <c r="B985" s="12" t="str">
        <f t="array" ref="B985">IF(A985:A5026="","",_xlfn.XLOOKUP(A985:A5026,'参照_武将'!A:A,'参照_武将'!B:B,"見つかりません"))</f>
      </c>
      <c r="C985" s="4" t="s">
        <v>158</v>
      </c>
      <c r="D985" s="4">
        <v>19</v>
      </c>
      <c r="E985" s="12" t="str">
        <f t="array" ref="E985">IF(D985:D5026="","",IFERROR(_xlfn.XLOOKUP(D985:D5026,'参照_勢力'!A:A,'参照_勢力'!B:B),IFERROR(_xlfn.XLOOKUP(F985:F5026,kunishuClan!A:A,kunishuClan!B:B),"浪人")))</f>
      </c>
      <c r="F985" s="4">
        <v>0</v>
      </c>
      <c r="G985" s="4">
        <v>33</v>
      </c>
      <c r="H985" s="12" t="str">
        <f t="array" ref="H985">IF(G985:G5026="","",_xlfn.XLOOKUP(G985:G5026,castles_state!A:A,castles_state!D:D,"見つかりません"))</f>
      </c>
      <c r="I985" s="4"/>
      <c r="J985" s="12" t="str">
        <f t="array" ref="J985">IF(I985:I5026="","",_xlfn.XLOOKUP(I985:I5026,'参照_姫'!A:A,'参照_姫'!B:B,"見つかりません"))</f>
      </c>
      <c r="K985" s="4">
        <v>80</v>
      </c>
      <c r="L985" s="4">
        <v>0</v>
      </c>
      <c r="M985" s="4"/>
      <c r="N985" s="4"/>
      <c r="O985" s="4"/>
      <c r="P985" s="12" t="str">
        <f t="array" ref="P985">IF(O985:O5026="","",_xlfn.XLOOKUP(O985:O5026,'参照_官位'!A:A,'参照_官位'!B:B,""))</f>
      </c>
      <c r="Q985" s="12" t="str">
        <f t="array" ref="Q985">IF(A985:A5026="","",IFERROR(_xlfn.XLOOKUP(A985:A5026,castles_state!K:K,castles_state!D:D)&amp;"主",IFERROR(_xlfn.XLOOKUP(A985:A5026,kunishuClan!D:D,kunishuClan!B:B)&amp;"当主","")))</f>
      </c>
    </row>
    <row r="986" ht="15.75" customHeight="1">
      <c r="A986" s="4">
        <v>1019033</v>
      </c>
      <c r="B986" s="12" t="str">
        <f t="array" ref="B986">IF(A986:A5027="","",_xlfn.XLOOKUP(A986:A5027,'参照_武将'!A:A,'参照_武将'!B:B,"見つかりません"))</f>
      </c>
      <c r="C986" s="4" t="s">
        <v>158</v>
      </c>
      <c r="D986" s="4">
        <v>19</v>
      </c>
      <c r="E986" s="12" t="str">
        <f t="array" ref="E986">IF(D986:D5027="","",IFERROR(_xlfn.XLOOKUP(D986:D5027,'参照_勢力'!A:A,'参照_勢力'!B:B),IFERROR(_xlfn.XLOOKUP(F986:F5027,kunishuClan!A:A,kunishuClan!B:B),"浪人")))</f>
      </c>
      <c r="F986" s="4">
        <v>0</v>
      </c>
      <c r="G986" s="4">
        <v>33</v>
      </c>
      <c r="H986" s="12" t="str">
        <f t="array" ref="H986">IF(G986:G5027="","",_xlfn.XLOOKUP(G986:G5027,castles_state!A:A,castles_state!D:D,"見つかりません"))</f>
      </c>
      <c r="I986" s="4"/>
      <c r="J986" s="12" t="str">
        <f t="array" ref="J986">IF(I986:I5027="","",_xlfn.XLOOKUP(I986:I5027,'参照_姫'!A:A,'参照_姫'!B:B,"見つかりません"))</f>
      </c>
      <c r="K986" s="4">
        <v>95</v>
      </c>
      <c r="L986" s="4">
        <v>0</v>
      </c>
      <c r="M986" s="4"/>
      <c r="N986" s="4"/>
      <c r="O986" s="4"/>
      <c r="P986" s="12" t="str">
        <f t="array" ref="P986">IF(O986:O5027="","",_xlfn.XLOOKUP(O986:O5027,'参照_官位'!A:A,'参照_官位'!B:B,""))</f>
      </c>
      <c r="Q986" s="12" t="str">
        <f t="array" ref="Q986">IF(A986:A5027="","",IFERROR(_xlfn.XLOOKUP(A986:A5027,castles_state!K:K,castles_state!D:D)&amp;"主",IFERROR(_xlfn.XLOOKUP(A986:A5027,kunishuClan!D:D,kunishuClan!B:B)&amp;"当主","")))</f>
      </c>
    </row>
    <row r="987" ht="15.75" customHeight="1">
      <c r="A987" s="4">
        <v>1019034</v>
      </c>
      <c r="B987" s="12" t="str">
        <f t="array" ref="B987">IF(A987:A5028="","",_xlfn.XLOOKUP(A987:A5028,'参照_武将'!A:A,'参照_武将'!B:B,"見つかりません"))</f>
      </c>
      <c r="C987" s="4" t="s">
        <v>158</v>
      </c>
      <c r="D987" s="4">
        <v>19</v>
      </c>
      <c r="E987" s="12" t="str">
        <f t="array" ref="E987">IF(D987:D5028="","",IFERROR(_xlfn.XLOOKUP(D987:D5028,'参照_勢力'!A:A,'参照_勢力'!B:B),IFERROR(_xlfn.XLOOKUP(F987:F5028,kunishuClan!A:A,kunishuClan!B:B),"浪人")))</f>
      </c>
      <c r="F987" s="4">
        <v>0</v>
      </c>
      <c r="G987" s="4">
        <v>33</v>
      </c>
      <c r="H987" s="12" t="str">
        <f t="array" ref="H987">IF(G987:G5028="","",_xlfn.XLOOKUP(G987:G5028,castles_state!A:A,castles_state!D:D,"見つかりません"))</f>
      </c>
      <c r="I987" s="4"/>
      <c r="J987" s="12" t="str">
        <f t="array" ref="J987">IF(I987:I5028="","",_xlfn.XLOOKUP(I987:I5028,'参照_姫'!A:A,'参照_姫'!B:B,"見つかりません"))</f>
      </c>
      <c r="K987" s="4">
        <v>95</v>
      </c>
      <c r="L987" s="4">
        <v>500</v>
      </c>
      <c r="M987" s="4" t="b">
        <v>1</v>
      </c>
      <c r="N987" s="4"/>
      <c r="O987" s="4"/>
      <c r="P987" s="12" t="str">
        <f t="array" ref="P987">IF(O987:O5028="","",_xlfn.XLOOKUP(O987:O5028,'参照_官位'!A:A,'参照_官位'!B:B,""))</f>
      </c>
      <c r="Q987" s="12" t="str">
        <f t="array" ref="Q987">IF(A987:A5028="","",IFERROR(_xlfn.XLOOKUP(A987:A5028,castles_state!K:K,castles_state!D:D)&amp;"主",IFERROR(_xlfn.XLOOKUP(A987:A5028,kunishuClan!D:D,kunishuClan!B:B)&amp;"当主","")))</f>
      </c>
    </row>
    <row r="988" ht="15.75" customHeight="1">
      <c r="A988" s="4">
        <v>1019035</v>
      </c>
      <c r="B988" s="12" t="str">
        <f t="array" ref="B988">IF(A988:A5029="","",_xlfn.XLOOKUP(A988:A5029,'参照_武将'!A:A,'参照_武将'!B:B,"見つかりません"))</f>
      </c>
      <c r="C988" s="4" t="s">
        <v>158</v>
      </c>
      <c r="D988" s="4">
        <v>19</v>
      </c>
      <c r="E988" s="12" t="str">
        <f t="array" ref="E988">IF(D988:D5029="","",IFERROR(_xlfn.XLOOKUP(D988:D5029,'参照_勢力'!A:A,'参照_勢力'!B:B),IFERROR(_xlfn.XLOOKUP(F988:F5029,kunishuClan!A:A,kunishuClan!B:B),"浪人")))</f>
      </c>
      <c r="F988" s="4">
        <v>0</v>
      </c>
      <c r="G988" s="4">
        <v>33</v>
      </c>
      <c r="H988" s="12" t="str">
        <f t="array" ref="H988">IF(G988:G5029="","",_xlfn.XLOOKUP(G988:G5029,castles_state!A:A,castles_state!D:D,"見つかりません"))</f>
      </c>
      <c r="I988" s="4"/>
      <c r="J988" s="12" t="str">
        <f t="array" ref="J988">IF(I988:I5029="","",_xlfn.XLOOKUP(I988:I5029,'参照_姫'!A:A,'参照_姫'!B:B,"見つかりません"))</f>
      </c>
      <c r="K988" s="4">
        <v>95</v>
      </c>
      <c r="L988" s="4">
        <v>0</v>
      </c>
      <c r="M988" s="4"/>
      <c r="N988" s="4"/>
      <c r="O988" s="4"/>
      <c r="P988" s="12" t="str">
        <f t="array" ref="P988">IF(O988:O5029="","",_xlfn.XLOOKUP(O988:O5029,'参照_官位'!A:A,'参照_官位'!B:B,""))</f>
      </c>
      <c r="Q988" s="12" t="str">
        <f t="array" ref="Q988">IF(A988:A5029="","",IFERROR(_xlfn.XLOOKUP(A988:A5029,castles_state!K:K,castles_state!D:D)&amp;"主",IFERROR(_xlfn.XLOOKUP(A988:A5029,kunishuClan!D:D,kunishuClan!B:B)&amp;"当主","")))</f>
      </c>
    </row>
    <row r="989" ht="15.75" customHeight="1">
      <c r="A989" s="4">
        <v>1019036</v>
      </c>
      <c r="B989" s="12" t="str">
        <f t="array" ref="B989">IF(A989:A5030="","",_xlfn.XLOOKUP(A989:A5030,'参照_武将'!A:A,'参照_武将'!B:B,"見つかりません"))</f>
      </c>
      <c r="C989" s="4" t="s">
        <v>158</v>
      </c>
      <c r="D989" s="4">
        <v>19</v>
      </c>
      <c r="E989" s="12" t="str">
        <f t="array" ref="E989">IF(D989:D5030="","",IFERROR(_xlfn.XLOOKUP(D989:D5030,'参照_勢力'!A:A,'参照_勢力'!B:B),IFERROR(_xlfn.XLOOKUP(F989:F5030,kunishuClan!A:A,kunishuClan!B:B),"浪人")))</f>
      </c>
      <c r="F989" s="4">
        <v>0</v>
      </c>
      <c r="G989" s="4">
        <v>33</v>
      </c>
      <c r="H989" s="12" t="str">
        <f t="array" ref="H989">IF(G989:G5030="","",_xlfn.XLOOKUP(G989:G5030,castles_state!A:A,castles_state!D:D,"見つかりません"))</f>
      </c>
      <c r="I989" s="4"/>
      <c r="J989" s="12" t="str">
        <f t="array" ref="J989">IF(I989:I5030="","",_xlfn.XLOOKUP(I989:I5030,'参照_姫'!A:A,'参照_姫'!B:B,"見つかりません"))</f>
      </c>
      <c r="K989" s="4">
        <v>95</v>
      </c>
      <c r="L989" s="4">
        <v>0</v>
      </c>
      <c r="M989" s="4"/>
      <c r="N989" s="4"/>
      <c r="O989" s="4"/>
      <c r="P989" s="12" t="str">
        <f t="array" ref="P989">IF(O989:O5030="","",_xlfn.XLOOKUP(O989:O5030,'参照_官位'!A:A,'参照_官位'!B:B,""))</f>
      </c>
      <c r="Q989" s="12" t="str">
        <f t="array" ref="Q989">IF(A989:A5030="","",IFERROR(_xlfn.XLOOKUP(A989:A5030,castles_state!K:K,castles_state!D:D)&amp;"主",IFERROR(_xlfn.XLOOKUP(A989:A5030,kunishuClan!D:D,kunishuClan!B:B)&amp;"当主","")))</f>
      </c>
    </row>
    <row r="990" ht="15.75" customHeight="1">
      <c r="A990" s="4">
        <v>1019037</v>
      </c>
      <c r="B990" s="12" t="str">
        <f t="array" ref="B990">IF(A990:A5031="","",_xlfn.XLOOKUP(A990:A5031,'参照_武将'!A:A,'参照_武将'!B:B,"見つかりません"))</f>
      </c>
      <c r="C990" s="4" t="s">
        <v>158</v>
      </c>
      <c r="D990" s="4">
        <v>19</v>
      </c>
      <c r="E990" s="12" t="str">
        <f t="array" ref="E990">IF(D990:D5031="","",IFERROR(_xlfn.XLOOKUP(D990:D5031,'参照_勢力'!A:A,'参照_勢力'!B:B),IFERROR(_xlfn.XLOOKUP(F990:F5031,kunishuClan!A:A,kunishuClan!B:B),"浪人")))</f>
      </c>
      <c r="F990" s="4">
        <v>0</v>
      </c>
      <c r="G990" s="4">
        <v>33</v>
      </c>
      <c r="H990" s="12" t="str">
        <f t="array" ref="H990">IF(G990:G5031="","",_xlfn.XLOOKUP(G990:G5031,castles_state!A:A,castles_state!D:D,"見つかりません"))</f>
      </c>
      <c r="I990" s="4"/>
      <c r="J990" s="12" t="str">
        <f t="array" ref="J990">IF(I990:I5031="","",_xlfn.XLOOKUP(I990:I5031,'参照_姫'!A:A,'参照_姫'!B:B,"見つかりません"))</f>
      </c>
      <c r="K990" s="4">
        <v>95</v>
      </c>
      <c r="L990" s="4">
        <v>0</v>
      </c>
      <c r="M990" s="4"/>
      <c r="N990" s="4"/>
      <c r="O990" s="4"/>
      <c r="P990" s="12" t="str">
        <f t="array" ref="P990">IF(O990:O5031="","",_xlfn.XLOOKUP(O990:O5031,'参照_官位'!A:A,'参照_官位'!B:B,""))</f>
      </c>
      <c r="Q990" s="12" t="str">
        <f t="array" ref="Q990">IF(A990:A5031="","",IFERROR(_xlfn.XLOOKUP(A990:A5031,castles_state!K:K,castles_state!D:D)&amp;"主",IFERROR(_xlfn.XLOOKUP(A990:A5031,kunishuClan!D:D,kunishuClan!B:B)&amp;"当主","")))</f>
      </c>
    </row>
    <row r="991" ht="15.75" customHeight="1">
      <c r="A991" s="4">
        <v>1019038</v>
      </c>
      <c r="B991" s="12" t="str">
        <f t="array" ref="B991">IF(A991:A5032="","",_xlfn.XLOOKUP(A991:A5032,'参照_武将'!A:A,'参照_武将'!B:B,"見つかりません"))</f>
      </c>
      <c r="C991" s="4" t="s">
        <v>158</v>
      </c>
      <c r="D991" s="4">
        <v>19</v>
      </c>
      <c r="E991" s="12" t="str">
        <f t="array" ref="E991">IF(D991:D5032="","",IFERROR(_xlfn.XLOOKUP(D991:D5032,'参照_勢力'!A:A,'参照_勢力'!B:B),IFERROR(_xlfn.XLOOKUP(F991:F5032,kunishuClan!A:A,kunishuClan!B:B),"浪人")))</f>
      </c>
      <c r="F991" s="4">
        <v>0</v>
      </c>
      <c r="G991" s="4">
        <v>33</v>
      </c>
      <c r="H991" s="12" t="str">
        <f t="array" ref="H991">IF(G991:G5032="","",_xlfn.XLOOKUP(G991:G5032,castles_state!A:A,castles_state!D:D,"見つかりません"))</f>
      </c>
      <c r="I991" s="4"/>
      <c r="J991" s="12" t="str">
        <f t="array" ref="J991">IF(I991:I5032="","",_xlfn.XLOOKUP(I991:I5032,'参照_姫'!A:A,'参照_姫'!B:B,"見つかりません"))</f>
      </c>
      <c r="K991" s="4">
        <v>95</v>
      </c>
      <c r="L991" s="4">
        <v>500</v>
      </c>
      <c r="M991" s="4"/>
      <c r="N991" s="4"/>
      <c r="O991" s="4"/>
      <c r="P991" s="12" t="str">
        <f t="array" ref="P991">IF(O991:O5032="","",_xlfn.XLOOKUP(O991:O5032,'参照_官位'!A:A,'参照_官位'!B:B,""))</f>
      </c>
      <c r="Q991" s="12" t="str">
        <f t="array" ref="Q991">IF(A991:A5032="","",IFERROR(_xlfn.XLOOKUP(A991:A5032,castles_state!K:K,castles_state!D:D)&amp;"主",IFERROR(_xlfn.XLOOKUP(A991:A5032,kunishuClan!D:D,kunishuClan!B:B)&amp;"当主","")))</f>
      </c>
    </row>
    <row r="992" ht="15.75" customHeight="1">
      <c r="A992" s="4">
        <v>1019039</v>
      </c>
      <c r="B992" s="12" t="str">
        <f t="array" ref="B992">IF(A992:A5033="","",_xlfn.XLOOKUP(A992:A5033,'参照_武将'!A:A,'参照_武将'!B:B,"見つかりません"))</f>
      </c>
      <c r="C992" s="4" t="s">
        <v>158</v>
      </c>
      <c r="D992" s="4">
        <v>19</v>
      </c>
      <c r="E992" s="12" t="str">
        <f t="array" ref="E992">IF(D992:D5033="","",IFERROR(_xlfn.XLOOKUP(D992:D5033,'参照_勢力'!A:A,'参照_勢力'!B:B),IFERROR(_xlfn.XLOOKUP(F992:F5033,kunishuClan!A:A,kunishuClan!B:B),"浪人")))</f>
      </c>
      <c r="F992" s="4">
        <v>0</v>
      </c>
      <c r="G992" s="4">
        <v>33</v>
      </c>
      <c r="H992" s="12" t="str">
        <f t="array" ref="H992">IF(G992:G5033="","",_xlfn.XLOOKUP(G992:G5033,castles_state!A:A,castles_state!D:D,"見つかりません"))</f>
      </c>
      <c r="I992" s="4"/>
      <c r="J992" s="12" t="str">
        <f t="array" ref="J992">IF(I992:I5033="","",_xlfn.XLOOKUP(I992:I5033,'参照_姫'!A:A,'参照_姫'!B:B,"見つかりません"))</f>
      </c>
      <c r="K992" s="4">
        <v>95</v>
      </c>
      <c r="L992" s="4">
        <v>0</v>
      </c>
      <c r="M992" s="4"/>
      <c r="N992" s="4"/>
      <c r="O992" s="4"/>
      <c r="P992" s="12" t="str">
        <f t="array" ref="P992">IF(O992:O5033="","",_xlfn.XLOOKUP(O992:O5033,'参照_官位'!A:A,'参照_官位'!B:B,""))</f>
      </c>
      <c r="Q992" s="12" t="str">
        <f t="array" ref="Q992">IF(A992:A5033="","",IFERROR(_xlfn.XLOOKUP(A992:A5033,castles_state!K:K,castles_state!D:D)&amp;"主",IFERROR(_xlfn.XLOOKUP(A992:A5033,kunishuClan!D:D,kunishuClan!B:B)&amp;"当主","")))</f>
      </c>
    </row>
    <row r="993" ht="15.75" customHeight="1">
      <c r="A993" s="4">
        <v>1019040</v>
      </c>
      <c r="B993" s="12" t="str">
        <f t="array" ref="B993">IF(A993:A5034="","",_xlfn.XLOOKUP(A993:A5034,'参照_武将'!A:A,'参照_武将'!B:B,"見つかりません"))</f>
      </c>
      <c r="C993" s="4" t="s">
        <v>158</v>
      </c>
      <c r="D993" s="4">
        <v>19</v>
      </c>
      <c r="E993" s="12" t="str">
        <f t="array" ref="E993">IF(D993:D5034="","",IFERROR(_xlfn.XLOOKUP(D993:D5034,'参照_勢力'!A:A,'参照_勢力'!B:B),IFERROR(_xlfn.XLOOKUP(F993:F5034,kunishuClan!A:A,kunishuClan!B:B),"浪人")))</f>
      </c>
      <c r="F993" s="4">
        <v>0</v>
      </c>
      <c r="G993" s="4">
        <v>33</v>
      </c>
      <c r="H993" s="12" t="str">
        <f t="array" ref="H993">IF(G993:G5034="","",_xlfn.XLOOKUP(G993:G5034,castles_state!A:A,castles_state!D:D,"見つかりません"))</f>
      </c>
      <c r="I993" s="4"/>
      <c r="J993" s="12" t="str">
        <f t="array" ref="J993">IF(I993:I5034="","",_xlfn.XLOOKUP(I993:I5034,'参照_姫'!A:A,'参照_姫'!B:B,"見つかりません"))</f>
      </c>
      <c r="K993" s="4">
        <v>95</v>
      </c>
      <c r="L993" s="4">
        <v>0</v>
      </c>
      <c r="M993" s="4"/>
      <c r="N993" s="4"/>
      <c r="O993" s="4"/>
      <c r="P993" s="12" t="str">
        <f t="array" ref="P993">IF(O993:O5034="","",_xlfn.XLOOKUP(O993:O5034,'参照_官位'!A:A,'参照_官位'!B:B,""))</f>
      </c>
      <c r="Q993" s="12" t="str">
        <f t="array" ref="Q993">IF(A993:A5034="","",IFERROR(_xlfn.XLOOKUP(A993:A5034,castles_state!K:K,castles_state!D:D)&amp;"主",IFERROR(_xlfn.XLOOKUP(A993:A5034,kunishuClan!D:D,kunishuClan!B:B)&amp;"当主","")))</f>
      </c>
    </row>
    <row r="994" ht="15.75" customHeight="1">
      <c r="A994" s="4">
        <v>1019041</v>
      </c>
      <c r="B994" s="12" t="str">
        <f t="array" ref="B994">IF(A994:A5035="","",_xlfn.XLOOKUP(A994:A5035,'参照_武将'!A:A,'参照_武将'!B:B,"見つかりません"))</f>
      </c>
      <c r="C994" s="4" t="s">
        <v>158</v>
      </c>
      <c r="D994" s="4">
        <v>19</v>
      </c>
      <c r="E994" s="12" t="str">
        <f t="array" ref="E994">IF(D994:D5035="","",IFERROR(_xlfn.XLOOKUP(D994:D5035,'参照_勢力'!A:A,'参照_勢力'!B:B),IFERROR(_xlfn.XLOOKUP(F994:F5035,kunishuClan!A:A,kunishuClan!B:B),"浪人")))</f>
      </c>
      <c r="F994" s="4">
        <v>0</v>
      </c>
      <c r="G994" s="4">
        <v>33</v>
      </c>
      <c r="H994" s="12" t="str">
        <f t="array" ref="H994">IF(G994:G5035="","",_xlfn.XLOOKUP(G994:G5035,castles_state!A:A,castles_state!D:D,"見つかりません"))</f>
      </c>
      <c r="I994" s="4"/>
      <c r="J994" s="12" t="str">
        <f t="array" ref="J994">IF(I994:I5035="","",_xlfn.XLOOKUP(I994:I5035,'参照_姫'!A:A,'参照_姫'!B:B,"見つかりません"))</f>
      </c>
      <c r="K994" s="4">
        <v>95</v>
      </c>
      <c r="L994" s="4">
        <v>0</v>
      </c>
      <c r="M994" s="4"/>
      <c r="N994" s="4"/>
      <c r="O994" s="4"/>
      <c r="P994" s="12" t="str">
        <f t="array" ref="P994">IF(O994:O5035="","",_xlfn.XLOOKUP(O994:O5035,'参照_官位'!A:A,'参照_官位'!B:B,""))</f>
      </c>
      <c r="Q994" s="12" t="str">
        <f t="array" ref="Q994">IF(A994:A5035="","",IFERROR(_xlfn.XLOOKUP(A994:A5035,castles_state!K:K,castles_state!D:D)&amp;"主",IFERROR(_xlfn.XLOOKUP(A994:A5035,kunishuClan!D:D,kunishuClan!B:B)&amp;"当主","")))</f>
      </c>
    </row>
    <row r="995" ht="15.75" customHeight="1">
      <c r="A995" s="4">
        <v>1019042</v>
      </c>
      <c r="B995" s="12" t="str">
        <f t="array" ref="B995">IF(A995:A5036="","",_xlfn.XLOOKUP(A995:A5036,'参照_武将'!A:A,'参照_武将'!B:B,"見つかりません"))</f>
      </c>
      <c r="C995" s="4" t="s">
        <v>158</v>
      </c>
      <c r="D995" s="4">
        <v>19</v>
      </c>
      <c r="E995" s="12" t="str">
        <f t="array" ref="E995">IF(D995:D5036="","",IFERROR(_xlfn.XLOOKUP(D995:D5036,'参照_勢力'!A:A,'参照_勢力'!B:B),IFERROR(_xlfn.XLOOKUP(F995:F5036,kunishuClan!A:A,kunishuClan!B:B),"浪人")))</f>
      </c>
      <c r="F995" s="4">
        <v>0</v>
      </c>
      <c r="G995" s="4">
        <v>74</v>
      </c>
      <c r="H995" s="12" t="str">
        <f t="array" ref="H995">IF(G995:G5036="","",_xlfn.XLOOKUP(G995:G5036,castles_state!A:A,castles_state!D:D,"見つかりません"))</f>
      </c>
      <c r="I995" s="4"/>
      <c r="J995" s="12" t="str">
        <f t="array" ref="J995">IF(I995:I5036="","",_xlfn.XLOOKUP(I995:I5036,'参照_姫'!A:A,'参照_姫'!B:B,"見つかりません"))</f>
      </c>
      <c r="K995" s="4">
        <v>95</v>
      </c>
      <c r="L995" s="4">
        <v>0</v>
      </c>
      <c r="M995" s="4"/>
      <c r="N995" s="4"/>
      <c r="O995" s="4"/>
      <c r="P995" s="12" t="str">
        <f t="array" ref="P995">IF(O995:O5036="","",_xlfn.XLOOKUP(O995:O5036,'参照_官位'!A:A,'参照_官位'!B:B,""))</f>
      </c>
      <c r="Q995" s="12" t="str">
        <f t="array" ref="Q995">IF(A995:A5036="","",IFERROR(_xlfn.XLOOKUP(A995:A5036,castles_state!K:K,castles_state!D:D)&amp;"主",IFERROR(_xlfn.XLOOKUP(A995:A5036,kunishuClan!D:D,kunishuClan!B:B)&amp;"当主","")))</f>
      </c>
    </row>
    <row r="996" ht="15.75" customHeight="1">
      <c r="A996" s="4">
        <v>1019043</v>
      </c>
      <c r="B996" s="12" t="str">
        <f t="array" ref="B996">IF(A996:A5037="","",_xlfn.XLOOKUP(A996:A5037,'参照_武将'!A:A,'参照_武将'!B:B,"見つかりません"))</f>
      </c>
      <c r="C996" s="4" t="s">
        <v>158</v>
      </c>
      <c r="D996" s="4">
        <v>19</v>
      </c>
      <c r="E996" s="12" t="str">
        <f t="array" ref="E996">IF(D996:D5037="","",IFERROR(_xlfn.XLOOKUP(D996:D5037,'参照_勢力'!A:A,'参照_勢力'!B:B),IFERROR(_xlfn.XLOOKUP(F996:F5037,kunishuClan!A:A,kunishuClan!B:B),"浪人")))</f>
      </c>
      <c r="F996" s="4">
        <v>0</v>
      </c>
      <c r="G996" s="4">
        <v>74</v>
      </c>
      <c r="H996" s="12" t="str">
        <f t="array" ref="H996">IF(G996:G5037="","",_xlfn.XLOOKUP(G996:G5037,castles_state!A:A,castles_state!D:D,"見つかりません"))</f>
      </c>
      <c r="I996" s="4"/>
      <c r="J996" s="12" t="str">
        <f t="array" ref="J996">IF(I996:I5037="","",_xlfn.XLOOKUP(I996:I5037,'参照_姫'!A:A,'参照_姫'!B:B,"見つかりません"))</f>
      </c>
      <c r="K996" s="4">
        <v>95</v>
      </c>
      <c r="L996" s="4">
        <v>0</v>
      </c>
      <c r="M996" s="4"/>
      <c r="N996" s="4"/>
      <c r="O996" s="4"/>
      <c r="P996" s="12" t="str">
        <f t="array" ref="P996">IF(O996:O5037="","",_xlfn.XLOOKUP(O996:O5037,'参照_官位'!A:A,'参照_官位'!B:B,""))</f>
      </c>
      <c r="Q996" s="12" t="str">
        <f t="array" ref="Q996">IF(A996:A5037="","",IFERROR(_xlfn.XLOOKUP(A996:A5037,castles_state!K:K,castles_state!D:D)&amp;"主",IFERROR(_xlfn.XLOOKUP(A996:A5037,kunishuClan!D:D,kunishuClan!B:B)&amp;"当主","")))</f>
      </c>
    </row>
    <row r="997" ht="15.75" customHeight="1">
      <c r="A997" s="4">
        <v>1019044</v>
      </c>
      <c r="B997" s="12" t="str">
        <f t="array" ref="B997">IF(A997:A5038="","",_xlfn.XLOOKUP(A997:A5038,'参照_武将'!A:A,'参照_武将'!B:B,"見つかりません"))</f>
      </c>
      <c r="C997" s="4" t="s">
        <v>158</v>
      </c>
      <c r="D997" s="4">
        <v>19</v>
      </c>
      <c r="E997" s="12" t="str">
        <f t="array" ref="E997">IF(D997:D5038="","",IFERROR(_xlfn.XLOOKUP(D997:D5038,'参照_勢力'!A:A,'参照_勢力'!B:B),IFERROR(_xlfn.XLOOKUP(F997:F5038,kunishuClan!A:A,kunishuClan!B:B),"浪人")))</f>
      </c>
      <c r="F997" s="4">
        <v>0</v>
      </c>
      <c r="G997" s="4">
        <v>74</v>
      </c>
      <c r="H997" s="12" t="str">
        <f t="array" ref="H997">IF(G997:G5038="","",_xlfn.XLOOKUP(G997:G5038,castles_state!A:A,castles_state!D:D,"見つかりません"))</f>
      </c>
      <c r="I997" s="4"/>
      <c r="J997" s="12" t="str">
        <f t="array" ref="J997">IF(I997:I5038="","",_xlfn.XLOOKUP(I997:I5038,'参照_姫'!A:A,'参照_姫'!B:B,"見つかりません"))</f>
      </c>
      <c r="K997" s="4">
        <v>95</v>
      </c>
      <c r="L997" s="4">
        <v>500</v>
      </c>
      <c r="M997" s="4"/>
      <c r="N997" s="4"/>
      <c r="O997" s="4"/>
      <c r="P997" s="12" t="str">
        <f t="array" ref="P997">IF(O997:O5038="","",_xlfn.XLOOKUP(O997:O5038,'参照_官位'!A:A,'参照_官位'!B:B,""))</f>
      </c>
      <c r="Q997" s="12" t="str">
        <f t="array" ref="Q997">IF(A997:A5038="","",IFERROR(_xlfn.XLOOKUP(A997:A5038,castles_state!K:K,castles_state!D:D)&amp;"主",IFERROR(_xlfn.XLOOKUP(A997:A5038,kunishuClan!D:D,kunishuClan!B:B)&amp;"当主","")))</f>
      </c>
    </row>
    <row r="998" ht="15.75" customHeight="1">
      <c r="A998" s="4">
        <v>1019045</v>
      </c>
      <c r="B998" s="12" t="str">
        <f t="array" ref="B998">IF(A998:A5039="","",_xlfn.XLOOKUP(A998:A5039,'参照_武将'!A:A,'参照_武将'!B:B,"見つかりません"))</f>
      </c>
      <c r="C998" s="4" t="s">
        <v>158</v>
      </c>
      <c r="D998" s="4">
        <v>19</v>
      </c>
      <c r="E998" s="12" t="str">
        <f t="array" ref="E998">IF(D998:D5039="","",IFERROR(_xlfn.XLOOKUP(D998:D5039,'参照_勢力'!A:A,'参照_勢力'!B:B),IFERROR(_xlfn.XLOOKUP(F998:F5039,kunishuClan!A:A,kunishuClan!B:B),"浪人")))</f>
      </c>
      <c r="F998" s="4">
        <v>0</v>
      </c>
      <c r="G998" s="4">
        <v>33</v>
      </c>
      <c r="H998" s="12" t="str">
        <f t="array" ref="H998">IF(G998:G5039="","",_xlfn.XLOOKUP(G998:G5039,castles_state!A:A,castles_state!D:D,"見つかりません"))</f>
      </c>
      <c r="I998" s="4"/>
      <c r="J998" s="12" t="str">
        <f t="array" ref="J998">IF(I998:I5039="","",_xlfn.XLOOKUP(I998:I5039,'参照_姫'!A:A,'参照_姫'!B:B,"見つかりません"))</f>
      </c>
      <c r="K998" s="4">
        <v>95</v>
      </c>
      <c r="L998" s="4">
        <v>0</v>
      </c>
      <c r="M998" s="4"/>
      <c r="N998" s="4"/>
      <c r="O998" s="4"/>
      <c r="P998" s="12" t="str">
        <f t="array" ref="P998">IF(O998:O5039="","",_xlfn.XLOOKUP(O998:O5039,'参照_官位'!A:A,'参照_官位'!B:B,""))</f>
      </c>
      <c r="Q998" s="12" t="str">
        <f t="array" ref="Q998">IF(A998:A5039="","",IFERROR(_xlfn.XLOOKUP(A998:A5039,castles_state!K:K,castles_state!D:D)&amp;"主",IFERROR(_xlfn.XLOOKUP(A998:A5039,kunishuClan!D:D,kunishuClan!B:B)&amp;"当主","")))</f>
      </c>
    </row>
    <row r="999" ht="15.75" customHeight="1">
      <c r="A999" s="4">
        <v>1019046</v>
      </c>
      <c r="B999" s="12" t="str">
        <f t="array" ref="B999">IF(A999:A5040="","",_xlfn.XLOOKUP(A999:A5040,'参照_武将'!A:A,'参照_武将'!B:B,"見つかりません"))</f>
      </c>
      <c r="C999" s="4" t="s">
        <v>158</v>
      </c>
      <c r="D999" s="4">
        <v>19</v>
      </c>
      <c r="E999" s="12" t="str">
        <f t="array" ref="E999">IF(D999:D5040="","",IFERROR(_xlfn.XLOOKUP(D999:D5040,'参照_勢力'!A:A,'参照_勢力'!B:B),IFERROR(_xlfn.XLOOKUP(F999:F5040,kunishuClan!A:A,kunishuClan!B:B),"浪人")))</f>
      </c>
      <c r="F999" s="4">
        <v>0</v>
      </c>
      <c r="G999" s="4">
        <v>74</v>
      </c>
      <c r="H999" s="12" t="str">
        <f t="array" ref="H999">IF(G999:G5040="","",_xlfn.XLOOKUP(G999:G5040,castles_state!A:A,castles_state!D:D,"見つかりません"))</f>
      </c>
      <c r="I999" s="4"/>
      <c r="J999" s="12" t="str">
        <f t="array" ref="J999">IF(I999:I5040="","",_xlfn.XLOOKUP(I999:I5040,'参照_姫'!A:A,'参照_姫'!B:B,"見つかりません"))</f>
      </c>
      <c r="K999" s="4">
        <v>95</v>
      </c>
      <c r="L999" s="4">
        <v>0</v>
      </c>
      <c r="M999" s="4"/>
      <c r="N999" s="4"/>
      <c r="O999" s="4"/>
      <c r="P999" s="12" t="str">
        <f t="array" ref="P999">IF(O999:O5040="","",_xlfn.XLOOKUP(O999:O5040,'参照_官位'!A:A,'参照_官位'!B:B,""))</f>
      </c>
      <c r="Q999" s="12" t="str">
        <f t="array" ref="Q999">IF(A999:A5040="","",IFERROR(_xlfn.XLOOKUP(A999:A5040,castles_state!K:K,castles_state!D:D)&amp;"主",IFERROR(_xlfn.XLOOKUP(A999:A5040,kunishuClan!D:D,kunishuClan!B:B)&amp;"当主","")))</f>
      </c>
    </row>
    <row r="1000" ht="15.75" customHeight="1">
      <c r="A1000" s="4">
        <v>1019047</v>
      </c>
      <c r="B1000" s="12" t="str">
        <f t="array" ref="B1000">IF(A1000:A5041="","",_xlfn.XLOOKUP(A1000:A5041,'参照_武将'!A:A,'参照_武将'!B:B,"見つかりません"))</f>
      </c>
      <c r="C1000" s="4" t="s">
        <v>158</v>
      </c>
      <c r="D1000" s="4">
        <v>19</v>
      </c>
      <c r="E1000" s="12" t="str">
        <f t="array" ref="E1000">IF(D1000:D5041="","",IFERROR(_xlfn.XLOOKUP(D1000:D5041,'参照_勢力'!A:A,'参照_勢力'!B:B),IFERROR(_xlfn.XLOOKUP(F1000:F5041,kunishuClan!A:A,kunishuClan!B:B),"浪人")))</f>
      </c>
      <c r="F1000" s="4">
        <v>0</v>
      </c>
      <c r="G1000" s="4">
        <v>74</v>
      </c>
      <c r="H1000" s="12" t="str">
        <f t="array" ref="H1000">IF(G1000:G5041="","",_xlfn.XLOOKUP(G1000:G5041,castles_state!A:A,castles_state!D:D,"見つかりません"))</f>
      </c>
      <c r="I1000" s="4"/>
      <c r="J1000" s="12" t="str">
        <f t="array" ref="J1000">IF(I1000:I5041="","",_xlfn.XLOOKUP(I1000:I5041,'参照_姫'!A:A,'参照_姫'!B:B,"見つかりません"))</f>
      </c>
      <c r="K1000" s="4">
        <v>95</v>
      </c>
      <c r="L1000" s="4">
        <v>0</v>
      </c>
      <c r="M1000" s="4"/>
      <c r="N1000" s="4"/>
      <c r="O1000" s="4"/>
      <c r="P1000" s="12" t="str">
        <f t="array" ref="P1000">IF(O1000:O5041="","",_xlfn.XLOOKUP(O1000:O5041,'参照_官位'!A:A,'参照_官位'!B:B,""))</f>
      </c>
      <c r="Q1000" s="12" t="str">
        <f t="array" ref="Q1000">IF(A1000:A5041="","",IFERROR(_xlfn.XLOOKUP(A1000:A5041,castles_state!K:K,castles_state!D:D)&amp;"主",IFERROR(_xlfn.XLOOKUP(A1000:A5041,kunishuClan!D:D,kunishuClan!B:B)&amp;"当主","")))</f>
      </c>
    </row>
    <row r="1001" ht="15.75" customHeight="1">
      <c r="A1001" s="4">
        <v>1019048</v>
      </c>
      <c r="B1001" s="12" t="str">
        <f t="array" ref="B1001">IF(A1001:A5042="","",_xlfn.XLOOKUP(A1001:A5042,'参照_武将'!A:A,'参照_武将'!B:B,"見つかりません"))</f>
      </c>
      <c r="C1001" s="4" t="s">
        <v>158</v>
      </c>
      <c r="D1001" s="4">
        <v>19</v>
      </c>
      <c r="E1001" s="12" t="str">
        <f t="array" ref="E1001">IF(D1001:D5042="","",IFERROR(_xlfn.XLOOKUP(D1001:D5042,'参照_勢力'!A:A,'参照_勢力'!B:B),IFERROR(_xlfn.XLOOKUP(F1001:F5042,kunishuClan!A:A,kunishuClan!B:B),"浪人")))</f>
      </c>
      <c r="F1001" s="4">
        <v>0</v>
      </c>
      <c r="G1001" s="4">
        <v>74</v>
      </c>
      <c r="H1001" s="12" t="str">
        <f t="array" ref="H1001">IF(G1001:G5042="","",_xlfn.XLOOKUP(G1001:G5042,castles_state!A:A,castles_state!D:D,"見つかりません"))</f>
      </c>
      <c r="I1001" s="4"/>
      <c r="J1001" s="12" t="str">
        <f t="array" ref="J1001">IF(I1001:I5042="","",_xlfn.XLOOKUP(I1001:I5042,'参照_姫'!A:A,'参照_姫'!B:B,"見つかりません"))</f>
      </c>
      <c r="K1001" s="4">
        <v>80</v>
      </c>
      <c r="L1001" s="4">
        <v>0</v>
      </c>
      <c r="M1001" s="4"/>
      <c r="N1001" s="4"/>
      <c r="O1001" s="4"/>
      <c r="P1001" s="12" t="str">
        <f t="array" ref="P1001">IF(O1001:O5042="","",_xlfn.XLOOKUP(O1001:O5042,'参照_官位'!A:A,'参照_官位'!B:B,""))</f>
      </c>
      <c r="Q1001" s="12" t="str">
        <f t="array" ref="Q1001">IF(A1001:A5042="","",IFERROR(_xlfn.XLOOKUP(A1001:A5042,castles_state!K:K,castles_state!D:D)&amp;"主",IFERROR(_xlfn.XLOOKUP(A1001:A5042,kunishuClan!D:D,kunishuClan!B:B)&amp;"当主","")))</f>
      </c>
    </row>
    <row r="1002" ht="15.75" customHeight="1">
      <c r="A1002" s="4">
        <v>1020001</v>
      </c>
      <c r="B1002" s="12" t="str">
        <f t="array" ref="B1002">IF(A1002:A5043="","",_xlfn.XLOOKUP(A1002:A5043,'参照_武将'!A:A,'参照_武将'!B:B,"見つかりません"))</f>
      </c>
      <c r="C1002" s="4" t="s">
        <v>160</v>
      </c>
      <c r="D1002" s="4">
        <v>20</v>
      </c>
      <c r="E1002" s="12" t="str">
        <f t="array" ref="E1002">IF(D1002:D5043="","",IFERROR(_xlfn.XLOOKUP(D1002:D5043,'参照_勢力'!A:A,'参照_勢力'!B:B),IFERROR(_xlfn.XLOOKUP(F1002:F5043,kunishuClan!A:A,kunishuClan!B:B),"浪人")))</f>
      </c>
      <c r="F1002" s="4">
        <v>0</v>
      </c>
      <c r="G1002" s="4">
        <v>181</v>
      </c>
      <c r="H1002" s="12" t="str">
        <f t="array" ref="H1002">IF(G1002:G5043="","",_xlfn.XLOOKUP(G1002:G5043,castles_state!A:A,castles_state!D:D,"見つかりません"))</f>
      </c>
      <c r="I1002" s="4"/>
      <c r="J1002" s="12" t="str">
        <f t="array" ref="J1002">IF(I1002:I5043="","",_xlfn.XLOOKUP(I1002:I5043,'参照_姫'!A:A,'参照_姫'!B:B,"見つかりません"))</f>
      </c>
      <c r="K1002" s="4">
        <v>95</v>
      </c>
      <c r="L1002" s="4">
        <v>0</v>
      </c>
      <c r="M1002" s="4"/>
      <c r="N1002" s="4"/>
      <c r="O1002" s="4"/>
      <c r="P1002" s="12" t="str">
        <f t="array" ref="P1002">IF(O1002:O5043="","",_xlfn.XLOOKUP(O1002:O5043,'参照_官位'!A:A,'参照_官位'!B:B,""))</f>
      </c>
      <c r="Q1002" s="12" t="str">
        <f t="array" ref="Q1002">IF(A1002:A5043="","",IFERROR(_xlfn.XLOOKUP(A1002:A5043,castles_state!K:K,castles_state!D:D)&amp;"主",IFERROR(_xlfn.XLOOKUP(A1002:A5043,kunishuClan!D:D,kunishuClan!B:B)&amp;"当主","")))</f>
      </c>
    </row>
    <row r="1003" ht="15.75" customHeight="1">
      <c r="A1003" s="4">
        <v>1020002</v>
      </c>
      <c r="B1003" s="12" t="str">
        <f t="array" ref="B1003">IF(A1003:A5044="","",_xlfn.XLOOKUP(A1003:A5044,'参照_武将'!A:A,'参照_武将'!B:B,"見つかりません"))</f>
      </c>
      <c r="C1003" s="4" t="s">
        <v>160</v>
      </c>
      <c r="D1003" s="4">
        <v>20</v>
      </c>
      <c r="E1003" s="12" t="str">
        <f t="array" ref="E1003">IF(D1003:D5044="","",IFERROR(_xlfn.XLOOKUP(D1003:D5044,'参照_勢力'!A:A,'参照_勢力'!B:B),IFERROR(_xlfn.XLOOKUP(F1003:F5044,kunishuClan!A:A,kunishuClan!B:B),"浪人")))</f>
      </c>
      <c r="F1003" s="4">
        <v>0</v>
      </c>
      <c r="G1003" s="4">
        <v>181</v>
      </c>
      <c r="H1003" s="12" t="str">
        <f t="array" ref="H1003">IF(G1003:G5044="","",_xlfn.XLOOKUP(G1003:G5044,castles_state!A:A,castles_state!D:D,"見つかりません"))</f>
      </c>
      <c r="I1003" s="4"/>
      <c r="J1003" s="12" t="str">
        <f t="array" ref="J1003">IF(I1003:I5044="","",_xlfn.XLOOKUP(I1003:I5044,'参照_姫'!A:A,'参照_姫'!B:B,"見つかりません"))</f>
      </c>
      <c r="K1003" s="4">
        <v>95</v>
      </c>
      <c r="L1003" s="4">
        <v>0</v>
      </c>
      <c r="M1003" s="4"/>
      <c r="N1003" s="4"/>
      <c r="O1003" s="4"/>
      <c r="P1003" s="12" t="str">
        <f t="array" ref="P1003">IF(O1003:O5044="","",_xlfn.XLOOKUP(O1003:O5044,'参照_官位'!A:A,'参照_官位'!B:B,""))</f>
      </c>
      <c r="Q1003" s="12" t="str">
        <f t="array" ref="Q1003">IF(A1003:A5044="","",IFERROR(_xlfn.XLOOKUP(A1003:A5044,castles_state!K:K,castles_state!D:D)&amp;"主",IFERROR(_xlfn.XLOOKUP(A1003:A5044,kunishuClan!D:D,kunishuClan!B:B)&amp;"当主","")))</f>
      </c>
    </row>
    <row r="1004" ht="15.75" customHeight="1">
      <c r="A1004" s="4">
        <v>1020003</v>
      </c>
      <c r="B1004" s="12" t="str">
        <f t="array" ref="B1004">IF(A1004:A5045="","",_xlfn.XLOOKUP(A1004:A5045,'参照_武将'!A:A,'参照_武将'!B:B,"見つかりません"))</f>
      </c>
      <c r="C1004" s="4" t="s">
        <v>160</v>
      </c>
      <c r="D1004" s="4">
        <v>20</v>
      </c>
      <c r="E1004" s="12" t="str">
        <f t="array" ref="E1004">IF(D1004:D5045="","",IFERROR(_xlfn.XLOOKUP(D1004:D5045,'参照_勢力'!A:A,'参照_勢力'!B:B),IFERROR(_xlfn.XLOOKUP(F1004:F5045,kunishuClan!A:A,kunishuClan!B:B),"浪人")))</f>
      </c>
      <c r="F1004" s="4">
        <v>0</v>
      </c>
      <c r="G1004" s="4">
        <v>181</v>
      </c>
      <c r="H1004" s="12" t="str">
        <f t="array" ref="H1004">IF(G1004:G5045="","",_xlfn.XLOOKUP(G1004:G5045,castles_state!A:A,castles_state!D:D,"見つかりません"))</f>
      </c>
      <c r="I1004" s="4"/>
      <c r="J1004" s="12" t="str">
        <f t="array" ref="J1004">IF(I1004:I5045="","",_xlfn.XLOOKUP(I1004:I5045,'参照_姫'!A:A,'参照_姫'!B:B,"見つかりません"))</f>
      </c>
      <c r="K1004" s="4">
        <v>95</v>
      </c>
      <c r="L1004" s="4">
        <v>0</v>
      </c>
      <c r="M1004" s="4"/>
      <c r="N1004" s="4"/>
      <c r="O1004" s="4"/>
      <c r="P1004" s="12" t="str">
        <f t="array" ref="P1004">IF(O1004:O5045="","",_xlfn.XLOOKUP(O1004:O5045,'参照_官位'!A:A,'参照_官位'!B:B,""))</f>
      </c>
      <c r="Q1004" s="12" t="str">
        <f t="array" ref="Q1004">IF(A1004:A5045="","",IFERROR(_xlfn.XLOOKUP(A1004:A5045,castles_state!K:K,castles_state!D:D)&amp;"主",IFERROR(_xlfn.XLOOKUP(A1004:A5045,kunishuClan!D:D,kunishuClan!B:B)&amp;"当主","")))</f>
      </c>
    </row>
    <row r="1005" ht="15.75" customHeight="1">
      <c r="A1005" s="4">
        <v>1020004</v>
      </c>
      <c r="B1005" s="12" t="str">
        <f t="array" ref="B1005">IF(A1005:A5046="","",_xlfn.XLOOKUP(A1005:A5046,'参照_武将'!A:A,'参照_武将'!B:B,"見つかりません"))</f>
      </c>
      <c r="C1005" s="4" t="s">
        <v>160</v>
      </c>
      <c r="D1005" s="4">
        <v>20</v>
      </c>
      <c r="E1005" s="12" t="str">
        <f t="array" ref="E1005">IF(D1005:D5046="","",IFERROR(_xlfn.XLOOKUP(D1005:D5046,'参照_勢力'!A:A,'参照_勢力'!B:B),IFERROR(_xlfn.XLOOKUP(F1005:F5046,kunishuClan!A:A,kunishuClan!B:B),"浪人")))</f>
      </c>
      <c r="F1005" s="4">
        <v>0</v>
      </c>
      <c r="G1005" s="4">
        <v>181</v>
      </c>
      <c r="H1005" s="12" t="str">
        <f t="array" ref="H1005">IF(G1005:G5046="","",_xlfn.XLOOKUP(G1005:G5046,castles_state!A:A,castles_state!D:D,"見つかりません"))</f>
      </c>
      <c r="I1005" s="4"/>
      <c r="J1005" s="12" t="str">
        <f t="array" ref="J1005">IF(I1005:I5046="","",_xlfn.XLOOKUP(I1005:I5046,'参照_姫'!A:A,'参照_姫'!B:B,"見つかりません"))</f>
      </c>
      <c r="K1005" s="4">
        <v>95</v>
      </c>
      <c r="L1005" s="4">
        <v>0</v>
      </c>
      <c r="M1005" s="4"/>
      <c r="N1005" s="4"/>
      <c r="O1005" s="4"/>
      <c r="P1005" s="12" t="str">
        <f t="array" ref="P1005">IF(O1005:O5046="","",_xlfn.XLOOKUP(O1005:O5046,'参照_官位'!A:A,'参照_官位'!B:B,""))</f>
      </c>
      <c r="Q1005" s="12" t="str">
        <f t="array" ref="Q1005">IF(A1005:A5046="","",IFERROR(_xlfn.XLOOKUP(A1005:A5046,castles_state!K:K,castles_state!D:D)&amp;"主",IFERROR(_xlfn.XLOOKUP(A1005:A5046,kunishuClan!D:D,kunishuClan!B:B)&amp;"当主","")))</f>
      </c>
    </row>
    <row r="1006" ht="15.75" customHeight="1">
      <c r="A1006" s="4">
        <v>1020005</v>
      </c>
      <c r="B1006" s="12" t="str">
        <f t="array" ref="B1006">IF(A1006:A5047="","",_xlfn.XLOOKUP(A1006:A5047,'参照_武将'!A:A,'参照_武将'!B:B,"見つかりません"))</f>
      </c>
      <c r="C1006" s="4" t="s">
        <v>160</v>
      </c>
      <c r="D1006" s="4">
        <v>20</v>
      </c>
      <c r="E1006" s="12" t="str">
        <f t="array" ref="E1006">IF(D1006:D5047="","",IFERROR(_xlfn.XLOOKUP(D1006:D5047,'参照_勢力'!A:A,'参照_勢力'!B:B),IFERROR(_xlfn.XLOOKUP(F1006:F5047,kunishuClan!A:A,kunishuClan!B:B),"浪人")))</f>
      </c>
      <c r="F1006" s="4">
        <v>0</v>
      </c>
      <c r="G1006" s="4">
        <v>181</v>
      </c>
      <c r="H1006" s="12" t="str">
        <f t="array" ref="H1006">IF(G1006:G5047="","",_xlfn.XLOOKUP(G1006:G5047,castles_state!A:A,castles_state!D:D,"見つかりません"))</f>
      </c>
      <c r="I1006" s="4"/>
      <c r="J1006" s="12" t="str">
        <f t="array" ref="J1006">IF(I1006:I5047="","",_xlfn.XLOOKUP(I1006:I5047,'参照_姫'!A:A,'参照_姫'!B:B,"見つかりません"))</f>
      </c>
      <c r="K1006" s="4">
        <v>100</v>
      </c>
      <c r="L1006" s="4">
        <v>1500</v>
      </c>
      <c r="M1006" s="4"/>
      <c r="N1006" s="4"/>
      <c r="O1006" s="4">
        <v>73</v>
      </c>
      <c r="P1006" s="12" t="str">
        <f t="array" ref="P1006">IF(O1006:O5047="","",_xlfn.XLOOKUP(O1006:O5047,'参照_官位'!A:A,'参照_官位'!B:B,""))</f>
      </c>
      <c r="Q1006" s="12" t="str">
        <f t="array" ref="Q1006">IF(A1006:A5047="","",IFERROR(_xlfn.XLOOKUP(A1006:A5047,castles_state!K:K,castles_state!D:D)&amp;"主",IFERROR(_xlfn.XLOOKUP(A1006:A5047,kunishuClan!D:D,kunishuClan!B:B)&amp;"当主","")))</f>
      </c>
    </row>
    <row r="1007" ht="15.75" customHeight="1">
      <c r="A1007" s="4">
        <v>1020006</v>
      </c>
      <c r="B1007" s="12" t="str">
        <f t="array" ref="B1007">IF(A1007:A5048="","",_xlfn.XLOOKUP(A1007:A5048,'参照_武将'!A:A,'参照_武将'!B:B,"見つかりません"))</f>
      </c>
      <c r="C1007" s="4" t="s">
        <v>160</v>
      </c>
      <c r="D1007" s="4">
        <v>20</v>
      </c>
      <c r="E1007" s="12" t="str">
        <f t="array" ref="E1007">IF(D1007:D5048="","",IFERROR(_xlfn.XLOOKUP(D1007:D5048,'参照_勢力'!A:A,'参照_勢力'!B:B),IFERROR(_xlfn.XLOOKUP(F1007:F5048,kunishuClan!A:A,kunishuClan!B:B),"浪人")))</f>
      </c>
      <c r="F1007" s="4">
        <v>0</v>
      </c>
      <c r="G1007" s="4">
        <v>181</v>
      </c>
      <c r="H1007" s="12" t="str">
        <f t="array" ref="H1007">IF(G1007:G5048="","",_xlfn.XLOOKUP(G1007:G5048,castles_state!A:A,castles_state!D:D,"見つかりません"))</f>
      </c>
      <c r="I1007" s="4"/>
      <c r="J1007" s="12" t="str">
        <f t="array" ref="J1007">IF(I1007:I5048="","",_xlfn.XLOOKUP(I1007:I5048,'参照_姫'!A:A,'参照_姫'!B:B,"見つかりません"))</f>
      </c>
      <c r="K1007" s="4">
        <v>100</v>
      </c>
      <c r="L1007" s="4">
        <v>0</v>
      </c>
      <c r="M1007" s="4"/>
      <c r="N1007" s="4"/>
      <c r="O1007" s="4"/>
      <c r="P1007" s="12" t="str">
        <f t="array" ref="P1007">IF(O1007:O5048="","",_xlfn.XLOOKUP(O1007:O5048,'参照_官位'!A:A,'参照_官位'!B:B,""))</f>
      </c>
      <c r="Q1007" s="12" t="str">
        <f t="array" ref="Q1007">IF(A1007:A5048="","",IFERROR(_xlfn.XLOOKUP(A1007:A5048,castles_state!K:K,castles_state!D:D)&amp;"主",IFERROR(_xlfn.XLOOKUP(A1007:A5048,kunishuClan!D:D,kunishuClan!B:B)&amp;"当主","")))</f>
      </c>
    </row>
    <row r="1008" ht="15.75" customHeight="1">
      <c r="A1008" s="4">
        <v>1020008</v>
      </c>
      <c r="B1008" s="12" t="str">
        <f t="array" ref="B1008">IF(A1008:A5050="","",_xlfn.XLOOKUP(A1008:A5050,'参照_武将'!A:A,'参照_武将'!B:B,"見つかりません"))</f>
      </c>
      <c r="C1008" s="4" t="s">
        <v>160</v>
      </c>
      <c r="D1008" s="4">
        <v>20</v>
      </c>
      <c r="E1008" s="12" t="str">
        <f t="array" ref="E1008">IF(D1008:D5050="","",IFERROR(_xlfn.XLOOKUP(D1008:D5050,'参照_勢力'!A:A,'参照_勢力'!B:B),IFERROR(_xlfn.XLOOKUP(F1008:F5050,kunishuClan!A:A,kunishuClan!B:B),"浪人")))</f>
      </c>
      <c r="F1008" s="4">
        <v>0</v>
      </c>
      <c r="G1008" s="4">
        <v>129</v>
      </c>
      <c r="H1008" s="12" t="str">
        <f t="array" ref="H1008">IF(G1008:G5050="","",_xlfn.XLOOKUP(G1008:G5050,castles_state!A:A,castles_state!D:D,"見つかりません"))</f>
      </c>
      <c r="I1008" s="4">
        <v>19</v>
      </c>
      <c r="J1008" s="12" t="str">
        <f t="array" ref="J1008">IF(I1008:I5050="","",_xlfn.XLOOKUP(I1008:I5050,'参照_姫'!A:A,'参照_姫'!B:B,"見つかりません"))</f>
      </c>
      <c r="K1008" s="4">
        <v>100</v>
      </c>
      <c r="L1008" s="4">
        <v>700</v>
      </c>
      <c r="M1008" s="4"/>
      <c r="N1008" s="4"/>
      <c r="O1008" s="4"/>
      <c r="P1008" s="12" t="str">
        <f t="array" ref="P1008">IF(O1008:O5050="","",_xlfn.XLOOKUP(O1008:O5050,'参照_官位'!A:A,'参照_官位'!B:B,""))</f>
      </c>
      <c r="Q1008" s="12" t="str">
        <f t="array" ref="Q1008">IF(A1008:A5050="","",IFERROR(_xlfn.XLOOKUP(A1008:A5050,castles_state!K:K,castles_state!D:D)&amp;"主",IFERROR(_xlfn.XLOOKUP(A1008:A5050,kunishuClan!D:D,kunishuClan!B:B)&amp;"当主","")))</f>
      </c>
    </row>
    <row r="1009" ht="15.75" customHeight="1">
      <c r="A1009" s="4">
        <v>1020009</v>
      </c>
      <c r="B1009" s="12" t="str">
        <f t="array" ref="B1009">IF(A1009:A5051="","",_xlfn.XLOOKUP(A1009:A5051,'参照_武将'!A:A,'参照_武将'!B:B,"見つかりません"))</f>
      </c>
      <c r="C1009" s="4" t="s">
        <v>160</v>
      </c>
      <c r="D1009" s="4">
        <v>20</v>
      </c>
      <c r="E1009" s="12" t="str">
        <f t="array" ref="E1009">IF(D1009:D5051="","",IFERROR(_xlfn.XLOOKUP(D1009:D5051,'参照_勢力'!A:A,'参照_勢力'!B:B),IFERROR(_xlfn.XLOOKUP(F1009:F5051,kunishuClan!A:A,kunishuClan!B:B),"浪人")))</f>
      </c>
      <c r="F1009" s="4">
        <v>0</v>
      </c>
      <c r="G1009" s="4">
        <v>129</v>
      </c>
      <c r="H1009" s="12" t="str">
        <f t="array" ref="H1009">IF(G1009:G5051="","",_xlfn.XLOOKUP(G1009:G5051,castles_state!A:A,castles_state!D:D,"見つかりません"))</f>
      </c>
      <c r="I1009" s="4"/>
      <c r="J1009" s="12" t="str">
        <f t="array" ref="J1009">IF(I1009:I5051="","",_xlfn.XLOOKUP(I1009:I5051,'参照_姫'!A:A,'参照_姫'!B:B,"見つかりません"))</f>
      </c>
      <c r="K1009" s="4">
        <v>100</v>
      </c>
      <c r="L1009" s="4">
        <v>700</v>
      </c>
      <c r="M1009" s="4"/>
      <c r="N1009" s="4"/>
      <c r="O1009" s="4"/>
      <c r="P1009" s="12" t="str">
        <f t="array" ref="P1009">IF(O1009:O5051="","",_xlfn.XLOOKUP(O1009:O5051,'参照_官位'!A:A,'参照_官位'!B:B,""))</f>
      </c>
      <c r="Q1009" s="12" t="str">
        <f t="array" ref="Q1009">IF(A1009:A5051="","",IFERROR(_xlfn.XLOOKUP(A1009:A5051,castles_state!K:K,castles_state!D:D)&amp;"主",IFERROR(_xlfn.XLOOKUP(A1009:A5051,kunishuClan!D:D,kunishuClan!B:B)&amp;"当主","")))</f>
      </c>
    </row>
    <row r="1010" ht="15.75" customHeight="1">
      <c r="A1010" s="4">
        <v>1020010</v>
      </c>
      <c r="B1010" s="12" t="str">
        <f t="array" ref="B1010">IF(A1010:A5052="","",_xlfn.XLOOKUP(A1010:A5052,'参照_武将'!A:A,'参照_武将'!B:B,"見つかりません"))</f>
      </c>
      <c r="C1010" s="4" t="s">
        <v>160</v>
      </c>
      <c r="D1010" s="4">
        <v>20</v>
      </c>
      <c r="E1010" s="12" t="str">
        <f t="array" ref="E1010">IF(D1010:D5052="","",IFERROR(_xlfn.XLOOKUP(D1010:D5052,'参照_勢力'!A:A,'参照_勢力'!B:B),IFERROR(_xlfn.XLOOKUP(F1010:F5052,kunishuClan!A:A,kunishuClan!B:B),"浪人")))</f>
      </c>
      <c r="F1010" s="4">
        <v>0</v>
      </c>
      <c r="G1010" s="4">
        <v>129</v>
      </c>
      <c r="H1010" s="12" t="str">
        <f t="array" ref="H1010">IF(G1010:G5052="","",_xlfn.XLOOKUP(G1010:G5052,castles_state!A:A,castles_state!D:D,"見つかりません"))</f>
      </c>
      <c r="I1010" s="4"/>
      <c r="J1010" s="12" t="str">
        <f t="array" ref="J1010">IF(I1010:I5052="","",_xlfn.XLOOKUP(I1010:I5052,'参照_姫'!A:A,'参照_姫'!B:B,"見つかりません"))</f>
      </c>
      <c r="K1010" s="4">
        <v>100</v>
      </c>
      <c r="L1010" s="4">
        <v>0</v>
      </c>
      <c r="M1010" s="4"/>
      <c r="N1010" s="4"/>
      <c r="O1010" s="4"/>
      <c r="P1010" s="12" t="str">
        <f t="array" ref="P1010">IF(O1010:O5052="","",_xlfn.XLOOKUP(O1010:O5052,'参照_官位'!A:A,'参照_官位'!B:B,""))</f>
      </c>
      <c r="Q1010" s="12" t="str">
        <f t="array" ref="Q1010">IF(A1010:A5052="","",IFERROR(_xlfn.XLOOKUP(A1010:A5052,castles_state!K:K,castles_state!D:D)&amp;"主",IFERROR(_xlfn.XLOOKUP(A1010:A5052,kunishuClan!D:D,kunishuClan!B:B)&amp;"当主","")))</f>
      </c>
    </row>
    <row r="1011" ht="15.75" customHeight="1">
      <c r="A1011" s="4">
        <v>1020011</v>
      </c>
      <c r="B1011" s="12" t="str">
        <f t="array" ref="B1011">IF(A1011:A5053="","",_xlfn.XLOOKUP(A1011:A5053,'参照_武将'!A:A,'参照_武将'!B:B,"見つかりません"))</f>
      </c>
      <c r="C1011" s="4" t="s">
        <v>160</v>
      </c>
      <c r="D1011" s="4">
        <v>20</v>
      </c>
      <c r="E1011" s="12" t="str">
        <f t="array" ref="E1011">IF(D1011:D5053="","",IFERROR(_xlfn.XLOOKUP(D1011:D5053,'参照_勢力'!A:A,'参照_勢力'!B:B),IFERROR(_xlfn.XLOOKUP(F1011:F5053,kunishuClan!A:A,kunishuClan!B:B),"浪人")))</f>
      </c>
      <c r="F1011" s="4">
        <v>0</v>
      </c>
      <c r="G1011" s="4">
        <v>87</v>
      </c>
      <c r="H1011" s="12" t="str">
        <f t="array" ref="H1011">IF(G1011:G5053="","",_xlfn.XLOOKUP(G1011:G5053,castles_state!A:A,castles_state!D:D,"見つかりません"))</f>
      </c>
      <c r="I1011" s="4"/>
      <c r="J1011" s="12" t="str">
        <f t="array" ref="J1011">IF(I1011:I5053="","",_xlfn.XLOOKUP(I1011:I5053,'参照_姫'!A:A,'参照_姫'!B:B,"見つかりません"))</f>
      </c>
      <c r="K1011" s="4">
        <v>100</v>
      </c>
      <c r="L1011" s="4">
        <v>200</v>
      </c>
      <c r="M1011" s="4"/>
      <c r="N1011" s="4"/>
      <c r="O1011" s="4">
        <v>140</v>
      </c>
      <c r="P1011" s="12" t="str">
        <f t="array" ref="P1011">IF(O1011:O5053="","",_xlfn.XLOOKUP(O1011:O5053,'参照_官位'!A:A,'参照_官位'!B:B,""))</f>
      </c>
      <c r="Q1011" s="12" t="str">
        <f t="array" ref="Q1011">IF(A1011:A5053="","",IFERROR(_xlfn.XLOOKUP(A1011:A5053,castles_state!K:K,castles_state!D:D)&amp;"主",IFERROR(_xlfn.XLOOKUP(A1011:A5053,kunishuClan!D:D,kunishuClan!B:B)&amp;"当主","")))</f>
      </c>
    </row>
    <row r="1012" ht="15.75" customHeight="1">
      <c r="A1012" s="4">
        <v>1020012</v>
      </c>
      <c r="B1012" s="12" t="str">
        <f t="array" ref="B1012">IF(A1012:A5054="","",_xlfn.XLOOKUP(A1012:A5054,'参照_武将'!A:A,'参照_武将'!B:B,"見つかりません"))</f>
      </c>
      <c r="C1012" s="4" t="s">
        <v>160</v>
      </c>
      <c r="D1012" s="4">
        <v>20</v>
      </c>
      <c r="E1012" s="12" t="str">
        <f t="array" ref="E1012">IF(D1012:D5054="","",IFERROR(_xlfn.XLOOKUP(D1012:D5054,'参照_勢力'!A:A,'参照_勢力'!B:B),IFERROR(_xlfn.XLOOKUP(F1012:F5054,kunishuClan!A:A,kunishuClan!B:B),"浪人")))</f>
      </c>
      <c r="F1012" s="4">
        <v>0</v>
      </c>
      <c r="G1012" s="4">
        <v>87</v>
      </c>
      <c r="H1012" s="12" t="str">
        <f t="array" ref="H1012">IF(G1012:G5054="","",_xlfn.XLOOKUP(G1012:G5054,castles_state!A:A,castles_state!D:D,"見つかりません"))</f>
      </c>
      <c r="I1012" s="4"/>
      <c r="J1012" s="12" t="str">
        <f t="array" ref="J1012">IF(I1012:I5054="","",_xlfn.XLOOKUP(I1012:I5054,'参照_姫'!A:A,'参照_姫'!B:B,"見つかりません"))</f>
      </c>
      <c r="K1012" s="4">
        <v>100</v>
      </c>
      <c r="L1012" s="4">
        <v>500</v>
      </c>
      <c r="M1012" s="4"/>
      <c r="N1012" s="4"/>
      <c r="O1012" s="4"/>
      <c r="P1012" s="12" t="str">
        <f t="array" ref="P1012">IF(O1012:O5054="","",_xlfn.XLOOKUP(O1012:O5054,'参照_官位'!A:A,'参照_官位'!B:B,""))</f>
      </c>
      <c r="Q1012" s="12" t="str">
        <f t="array" ref="Q1012">IF(A1012:A5054="","",IFERROR(_xlfn.XLOOKUP(A1012:A5054,castles_state!K:K,castles_state!D:D)&amp;"主",IFERROR(_xlfn.XLOOKUP(A1012:A5054,kunishuClan!D:D,kunishuClan!B:B)&amp;"当主","")))</f>
      </c>
    </row>
    <row r="1013" ht="15.75" customHeight="1">
      <c r="A1013" s="4">
        <v>1020013</v>
      </c>
      <c r="B1013" s="12" t="str">
        <f t="array" ref="B1013">IF(A1013:A5055="","",_xlfn.XLOOKUP(A1013:A5055,'参照_武将'!A:A,'参照_武将'!B:B,"見つかりません"))</f>
      </c>
      <c r="C1013" s="4" t="s">
        <v>160</v>
      </c>
      <c r="D1013" s="4">
        <v>20</v>
      </c>
      <c r="E1013" s="12" t="str">
        <f t="array" ref="E1013">IF(D1013:D5055="","",IFERROR(_xlfn.XLOOKUP(D1013:D5055,'参照_勢力'!A:A,'参照_勢力'!B:B),IFERROR(_xlfn.XLOOKUP(F1013:F5055,kunishuClan!A:A,kunishuClan!B:B),"浪人")))</f>
      </c>
      <c r="F1013" s="4">
        <v>0</v>
      </c>
      <c r="G1013" s="4">
        <v>127</v>
      </c>
      <c r="H1013" s="12" t="str">
        <f t="array" ref="H1013">IF(G1013:G5055="","",_xlfn.XLOOKUP(G1013:G5055,castles_state!A:A,castles_state!D:D,"見つかりません"))</f>
      </c>
      <c r="I1013" s="4"/>
      <c r="J1013" s="12" t="str">
        <f t="array" ref="J1013">IF(I1013:I5055="","",_xlfn.XLOOKUP(I1013:I5055,'参照_姫'!A:A,'参照_姫'!B:B,"見つかりません"))</f>
      </c>
      <c r="K1013" s="4">
        <v>100</v>
      </c>
      <c r="L1013" s="4">
        <v>200</v>
      </c>
      <c r="M1013" s="4"/>
      <c r="N1013" s="4"/>
      <c r="O1013" s="4">
        <v>167</v>
      </c>
      <c r="P1013" s="12" t="str">
        <f t="array" ref="P1013">IF(O1013:O5055="","",_xlfn.XLOOKUP(O1013:O5055,'参照_官位'!A:A,'参照_官位'!B:B,""))</f>
      </c>
      <c r="Q1013" s="12" t="str">
        <f t="array" ref="Q1013">IF(A1013:A5055="","",IFERROR(_xlfn.XLOOKUP(A1013:A5055,castles_state!K:K,castles_state!D:D)&amp;"主",IFERROR(_xlfn.XLOOKUP(A1013:A5055,kunishuClan!D:D,kunishuClan!B:B)&amp;"当主","")))</f>
      </c>
    </row>
    <row r="1014" ht="15.75" customHeight="1">
      <c r="A1014" s="4">
        <v>1020014</v>
      </c>
      <c r="B1014" s="12" t="str">
        <f t="array" ref="B1014">IF(A1014:A5056="","",_xlfn.XLOOKUP(A1014:A5056,'参照_武将'!A:A,'参照_武将'!B:B,"見つかりません"))</f>
      </c>
      <c r="C1014" s="4" t="s">
        <v>160</v>
      </c>
      <c r="D1014" s="4">
        <v>1</v>
      </c>
      <c r="E1014" s="12" t="str">
        <f t="array" ref="E1014">IF(D1014:D5056="","",IFERROR(_xlfn.XLOOKUP(D1014:D5056,'参照_勢力'!A:A,'参照_勢力'!B:B),IFERROR(_xlfn.XLOOKUP(F1014:F5056,kunishuClan!A:A,kunishuClan!B:B),"浪人")))</f>
      </c>
      <c r="F1014" s="4">
        <v>0</v>
      </c>
      <c r="G1014" s="4">
        <v>34</v>
      </c>
      <c r="H1014" s="12" t="str">
        <f t="array" ref="H1014">IF(G1014:G5056="","",_xlfn.XLOOKUP(G1014:G5056,castles_state!A:A,castles_state!D:D,"見つかりません"))</f>
      </c>
      <c r="I1014" s="4"/>
      <c r="J1014" s="12" t="str">
        <f t="array" ref="J1014">IF(I1014:I5056="","",_xlfn.XLOOKUP(I1014:I5056,'参照_姫'!A:A,'参照_姫'!B:B,"見つかりません"))</f>
      </c>
      <c r="K1014" s="4">
        <v>90</v>
      </c>
      <c r="L1014" s="4">
        <v>500</v>
      </c>
      <c r="M1014" s="4"/>
      <c r="N1014" s="4"/>
      <c r="O1014" s="4"/>
      <c r="P1014" s="12" t="str">
        <f t="array" ref="P1014">IF(O1014:O5056="","",_xlfn.XLOOKUP(O1014:O5056,'参照_官位'!A:A,'参照_官位'!B:B,""))</f>
      </c>
      <c r="Q1014" s="12" t="str">
        <f t="array" ref="Q1014">IF(A1014:A5056="","",IFERROR(_xlfn.XLOOKUP(A1014:A5056,castles_state!K:K,castles_state!D:D)&amp;"主",IFERROR(_xlfn.XLOOKUP(A1014:A5056,kunishuClan!D:D,kunishuClan!B:B)&amp;"当主","")))</f>
      </c>
    </row>
    <row r="1015" ht="15.75" customHeight="1">
      <c r="A1015" s="4">
        <v>1020015</v>
      </c>
      <c r="B1015" s="12" t="str">
        <f t="array" ref="B1015">IF(A1015:A5057="","",_xlfn.XLOOKUP(A1015:A5057,'参照_武将'!A:A,'参照_武将'!B:B,"見つかりません"))</f>
      </c>
      <c r="C1015" s="4" t="s">
        <v>160</v>
      </c>
      <c r="D1015" s="4">
        <v>20</v>
      </c>
      <c r="E1015" s="12" t="str">
        <f t="array" ref="E1015">IF(D1015:D5057="","",IFERROR(_xlfn.XLOOKUP(D1015:D5057,'参照_勢力'!A:A,'参照_勢力'!B:B),IFERROR(_xlfn.XLOOKUP(F1015:F5057,kunishuClan!A:A,kunishuClan!B:B),"浪人")))</f>
      </c>
      <c r="F1015" s="4">
        <v>0</v>
      </c>
      <c r="G1015" s="4">
        <v>127</v>
      </c>
      <c r="H1015" s="12" t="str">
        <f t="array" ref="H1015">IF(G1015:G5057="","",_xlfn.XLOOKUP(G1015:G5057,castles_state!A:A,castles_state!D:D,"見つかりません"))</f>
      </c>
      <c r="I1015" s="4"/>
      <c r="J1015" s="12" t="str">
        <f t="array" ref="J1015">IF(I1015:I5057="","",_xlfn.XLOOKUP(I1015:I5057,'参照_姫'!A:A,'参照_姫'!B:B,"見つかりません"))</f>
      </c>
      <c r="K1015" s="4">
        <v>100</v>
      </c>
      <c r="L1015" s="4">
        <v>500</v>
      </c>
      <c r="M1015" s="4"/>
      <c r="N1015" s="4"/>
      <c r="O1015" s="4"/>
      <c r="P1015" s="12" t="str">
        <f t="array" ref="P1015">IF(O1015:O5057="","",_xlfn.XLOOKUP(O1015:O5057,'参照_官位'!A:A,'参照_官位'!B:B,""))</f>
      </c>
      <c r="Q1015" s="12" t="str">
        <f t="array" ref="Q1015">IF(A1015:A5057="","",IFERROR(_xlfn.XLOOKUP(A1015:A5057,castles_state!K:K,castles_state!D:D)&amp;"主",IFERROR(_xlfn.XLOOKUP(A1015:A5057,kunishuClan!D:D,kunishuClan!B:B)&amp;"当主","")))</f>
      </c>
    </row>
    <row r="1016" ht="15.75" customHeight="1">
      <c r="A1016" s="4">
        <v>1020016</v>
      </c>
      <c r="B1016" s="12" t="str">
        <f t="array" ref="B1016">IF(A1016:A5058="","",_xlfn.XLOOKUP(A1016:A5058,'参照_武将'!A:A,'参照_武将'!B:B,"見つかりません"))</f>
      </c>
      <c r="C1016" s="4" t="s">
        <v>160</v>
      </c>
      <c r="D1016" s="4">
        <v>20</v>
      </c>
      <c r="E1016" s="12" t="str">
        <f t="array" ref="E1016">IF(D1016:D5058="","",IFERROR(_xlfn.XLOOKUP(D1016:D5058,'参照_勢力'!A:A,'参照_勢力'!B:B),IFERROR(_xlfn.XLOOKUP(F1016:F5058,kunishuClan!A:A,kunishuClan!B:B),"浪人")))</f>
      </c>
      <c r="F1016" s="4">
        <v>0</v>
      </c>
      <c r="G1016" s="4">
        <v>129</v>
      </c>
      <c r="H1016" s="12" t="str">
        <f t="array" ref="H1016">IF(G1016:G5058="","",_xlfn.XLOOKUP(G1016:G5058,castles_state!A:A,castles_state!D:D,"見つかりません"))</f>
      </c>
      <c r="I1016" s="4"/>
      <c r="J1016" s="12" t="str">
        <f t="array" ref="J1016">IF(I1016:I5058="","",_xlfn.XLOOKUP(I1016:I5058,'参照_姫'!A:A,'参照_姫'!B:B,"見つかりません"))</f>
      </c>
      <c r="K1016" s="4">
        <v>95</v>
      </c>
      <c r="L1016" s="4">
        <v>0</v>
      </c>
      <c r="M1016" s="4"/>
      <c r="N1016" s="4"/>
      <c r="O1016" s="4"/>
      <c r="P1016" s="12" t="str">
        <f t="array" ref="P1016">IF(O1016:O5058="","",_xlfn.XLOOKUP(O1016:O5058,'参照_官位'!A:A,'参照_官位'!B:B,""))</f>
      </c>
      <c r="Q1016" s="12" t="str">
        <f t="array" ref="Q1016">IF(A1016:A5058="","",IFERROR(_xlfn.XLOOKUP(A1016:A5058,castles_state!K:K,castles_state!D:D)&amp;"主",IFERROR(_xlfn.XLOOKUP(A1016:A5058,kunishuClan!D:D,kunishuClan!B:B)&amp;"当主","")))</f>
      </c>
    </row>
    <row r="1017" ht="15.75" customHeight="1">
      <c r="A1017" s="4">
        <v>1020017</v>
      </c>
      <c r="B1017" s="12" t="str">
        <f t="array" ref="B1017">IF(A1017:A5059="","",_xlfn.XLOOKUP(A1017:A5059,'参照_武将'!A:A,'参照_武将'!B:B,"見つかりません"))</f>
      </c>
      <c r="C1017" s="4" t="s">
        <v>160</v>
      </c>
      <c r="D1017" s="4">
        <v>20</v>
      </c>
      <c r="E1017" s="12" t="str">
        <f t="array" ref="E1017">IF(D1017:D5059="","",IFERROR(_xlfn.XLOOKUP(D1017:D5059,'参照_勢力'!A:A,'参照_勢力'!B:B),IFERROR(_xlfn.XLOOKUP(F1017:F5059,kunishuClan!A:A,kunishuClan!B:B),"浪人")))</f>
      </c>
      <c r="F1017" s="4">
        <v>0</v>
      </c>
      <c r="G1017" s="4">
        <v>38</v>
      </c>
      <c r="H1017" s="12" t="str">
        <f t="array" ref="H1017">IF(G1017:G5059="","",_xlfn.XLOOKUP(G1017:G5059,castles_state!A:A,castles_state!D:D,"見つかりません"))</f>
      </c>
      <c r="I1017" s="4"/>
      <c r="J1017" s="12" t="str">
        <f t="array" ref="J1017">IF(I1017:I5059="","",_xlfn.XLOOKUP(I1017:I5059,'参照_姫'!A:A,'参照_姫'!B:B,"見つかりません"))</f>
      </c>
      <c r="K1017" s="4">
        <v>100</v>
      </c>
      <c r="L1017" s="4">
        <v>500</v>
      </c>
      <c r="M1017" s="4"/>
      <c r="N1017" s="4"/>
      <c r="O1017" s="4"/>
      <c r="P1017" s="12" t="str">
        <f t="array" ref="P1017">IF(O1017:O5059="","",_xlfn.XLOOKUP(O1017:O5059,'参照_官位'!A:A,'参照_官位'!B:B,""))</f>
      </c>
      <c r="Q1017" s="12" t="str">
        <f t="array" ref="Q1017">IF(A1017:A5059="","",IFERROR(_xlfn.XLOOKUP(A1017:A5059,castles_state!K:K,castles_state!D:D)&amp;"主",IFERROR(_xlfn.XLOOKUP(A1017:A5059,kunishuClan!D:D,kunishuClan!B:B)&amp;"当主","")))</f>
      </c>
    </row>
    <row r="1018" ht="15.75" customHeight="1">
      <c r="A1018" s="4">
        <v>1020018</v>
      </c>
      <c r="B1018" s="12" t="str">
        <f t="array" ref="B1018">IF(A1018:A5060="","",_xlfn.XLOOKUP(A1018:A5060,'参照_武将'!A:A,'参照_武将'!B:B,"見つかりません"))</f>
      </c>
      <c r="C1018" s="4" t="s">
        <v>160</v>
      </c>
      <c r="D1018" s="4">
        <v>20</v>
      </c>
      <c r="E1018" s="12" t="str">
        <f t="array" ref="E1018">IF(D1018:D5060="","",IFERROR(_xlfn.XLOOKUP(D1018:D5060,'参照_勢力'!A:A,'参照_勢力'!B:B),IFERROR(_xlfn.XLOOKUP(F1018:F5060,kunishuClan!A:A,kunishuClan!B:B),"浪人")))</f>
      </c>
      <c r="F1018" s="4">
        <v>0</v>
      </c>
      <c r="G1018" s="4">
        <v>129</v>
      </c>
      <c r="H1018" s="12" t="str">
        <f t="array" ref="H1018">IF(G1018:G5060="","",_xlfn.XLOOKUP(G1018:G5060,castles_state!A:A,castles_state!D:D,"見つかりません"))</f>
      </c>
      <c r="I1018" s="4"/>
      <c r="J1018" s="12" t="str">
        <f t="array" ref="J1018">IF(I1018:I5060="","",_xlfn.XLOOKUP(I1018:I5060,'参照_姫'!A:A,'参照_姫'!B:B,"見つかりません"))</f>
      </c>
      <c r="K1018" s="4">
        <v>100</v>
      </c>
      <c r="L1018" s="4">
        <v>0</v>
      </c>
      <c r="M1018" s="4"/>
      <c r="N1018" s="4"/>
      <c r="O1018" s="4"/>
      <c r="P1018" s="12" t="str">
        <f t="array" ref="P1018">IF(O1018:O5060="","",_xlfn.XLOOKUP(O1018:O5060,'参照_官位'!A:A,'参照_官位'!B:B,""))</f>
      </c>
      <c r="Q1018" s="12" t="str">
        <f t="array" ref="Q1018">IF(A1018:A5060="","",IFERROR(_xlfn.XLOOKUP(A1018:A5060,castles_state!K:K,castles_state!D:D)&amp;"主",IFERROR(_xlfn.XLOOKUP(A1018:A5060,kunishuClan!D:D,kunishuClan!B:B)&amp;"当主","")))</f>
      </c>
    </row>
    <row r="1019" ht="15.75" customHeight="1">
      <c r="A1019" s="4">
        <v>1020019</v>
      </c>
      <c r="B1019" s="12" t="str">
        <f t="array" ref="B1019">IF(A1019:A5061="","",_xlfn.XLOOKUP(A1019:A5061,'参照_武将'!A:A,'参照_武将'!B:B,"見つかりません"))</f>
      </c>
      <c r="C1019" s="4" t="s">
        <v>160</v>
      </c>
      <c r="D1019" s="4">
        <v>20</v>
      </c>
      <c r="E1019" s="12" t="str">
        <f t="array" ref="E1019">IF(D1019:D5061="","",IFERROR(_xlfn.XLOOKUP(D1019:D5061,'参照_勢力'!A:A,'参照_勢力'!B:B),IFERROR(_xlfn.XLOOKUP(F1019:F5061,kunishuClan!A:A,kunishuClan!B:B),"浪人")))</f>
      </c>
      <c r="F1019" s="4">
        <v>0</v>
      </c>
      <c r="G1019" s="4">
        <v>129</v>
      </c>
      <c r="H1019" s="12" t="str">
        <f t="array" ref="H1019">IF(G1019:G5061="","",_xlfn.XLOOKUP(G1019:G5061,castles_state!A:A,castles_state!D:D,"見つかりません"))</f>
      </c>
      <c r="I1019" s="4"/>
      <c r="J1019" s="12" t="str">
        <f t="array" ref="J1019">IF(I1019:I5061="","",_xlfn.XLOOKUP(I1019:I5061,'参照_姫'!A:A,'参照_姫'!B:B,"見つかりません"))</f>
      </c>
      <c r="K1019" s="4">
        <v>95</v>
      </c>
      <c r="L1019" s="4">
        <v>0</v>
      </c>
      <c r="M1019" s="4"/>
      <c r="N1019" s="4"/>
      <c r="O1019" s="4"/>
      <c r="P1019" s="12" t="str">
        <f t="array" ref="P1019">IF(O1019:O5061="","",_xlfn.XLOOKUP(O1019:O5061,'参照_官位'!A:A,'参照_官位'!B:B,""))</f>
      </c>
      <c r="Q1019" s="12" t="str">
        <f t="array" ref="Q1019">IF(A1019:A5061="","",IFERROR(_xlfn.XLOOKUP(A1019:A5061,castles_state!K:K,castles_state!D:D)&amp;"主",IFERROR(_xlfn.XLOOKUP(A1019:A5061,kunishuClan!D:D,kunishuClan!B:B)&amp;"当主","")))</f>
      </c>
    </row>
    <row r="1020" ht="15.75" customHeight="1">
      <c r="A1020" s="4">
        <v>1020020</v>
      </c>
      <c r="B1020" s="12" t="str">
        <f t="array" ref="B1020">IF(A1020:A5062="","",_xlfn.XLOOKUP(A1020:A5062,'参照_武将'!A:A,'参照_武将'!B:B,"見つかりません"))</f>
      </c>
      <c r="C1020" s="4" t="s">
        <v>160</v>
      </c>
      <c r="D1020" s="4">
        <v>20</v>
      </c>
      <c r="E1020" s="12" t="str">
        <f t="array" ref="E1020">IF(D1020:D5062="","",IFERROR(_xlfn.XLOOKUP(D1020:D5062,'参照_勢力'!A:A,'参照_勢力'!B:B),IFERROR(_xlfn.XLOOKUP(F1020:F5062,kunishuClan!A:A,kunishuClan!B:B),"浪人")))</f>
      </c>
      <c r="F1020" s="4">
        <v>0</v>
      </c>
      <c r="G1020" s="4">
        <v>129</v>
      </c>
      <c r="H1020" s="12" t="str">
        <f t="array" ref="H1020">IF(G1020:G5062="","",_xlfn.XLOOKUP(G1020:G5062,castles_state!A:A,castles_state!D:D,"見つかりません"))</f>
      </c>
      <c r="I1020" s="4"/>
      <c r="J1020" s="12" t="str">
        <f t="array" ref="J1020">IF(I1020:I5062="","",_xlfn.XLOOKUP(I1020:I5062,'参照_姫'!A:A,'参照_姫'!B:B,"見つかりません"))</f>
      </c>
      <c r="K1020" s="4">
        <v>95</v>
      </c>
      <c r="L1020" s="4">
        <v>0</v>
      </c>
      <c r="M1020" s="4"/>
      <c r="N1020" s="4"/>
      <c r="O1020" s="4"/>
      <c r="P1020" s="12" t="str">
        <f t="array" ref="P1020">IF(O1020:O5062="","",_xlfn.XLOOKUP(O1020:O5062,'参照_官位'!A:A,'参照_官位'!B:B,""))</f>
      </c>
      <c r="Q1020" s="12" t="str">
        <f t="array" ref="Q1020">IF(A1020:A5062="","",IFERROR(_xlfn.XLOOKUP(A1020:A5062,castles_state!K:K,castles_state!D:D)&amp;"主",IFERROR(_xlfn.XLOOKUP(A1020:A5062,kunishuClan!D:D,kunishuClan!B:B)&amp;"当主","")))</f>
      </c>
    </row>
    <row r="1021" ht="15.75" customHeight="1">
      <c r="A1021" s="4">
        <v>1020021</v>
      </c>
      <c r="B1021" s="12" t="str">
        <f t="array" ref="B1021">IF(A1021:A5063="","",_xlfn.XLOOKUP(A1021:A5063,'参照_武将'!A:A,'参照_武将'!B:B,"見つかりません"))</f>
      </c>
      <c r="C1021" s="4" t="s">
        <v>160</v>
      </c>
      <c r="D1021" s="4">
        <v>20</v>
      </c>
      <c r="E1021" s="12" t="str">
        <f t="array" ref="E1021">IF(D1021:D5063="","",IFERROR(_xlfn.XLOOKUP(D1021:D5063,'参照_勢力'!A:A,'参照_勢力'!B:B),IFERROR(_xlfn.XLOOKUP(F1021:F5063,kunishuClan!A:A,kunishuClan!B:B),"浪人")))</f>
      </c>
      <c r="F1021" s="4">
        <v>0</v>
      </c>
      <c r="G1021" s="4">
        <v>38</v>
      </c>
      <c r="H1021" s="12" t="str">
        <f t="array" ref="H1021">IF(G1021:G5063="","",_xlfn.XLOOKUP(G1021:G5063,castles_state!A:A,castles_state!D:D,"見つかりません"))</f>
      </c>
      <c r="I1021" s="4"/>
      <c r="J1021" s="12" t="str">
        <f t="array" ref="J1021">IF(I1021:I5063="","",_xlfn.XLOOKUP(I1021:I5063,'参照_姫'!A:A,'参照_姫'!B:B,"見つかりません"))</f>
      </c>
      <c r="K1021" s="4">
        <v>100</v>
      </c>
      <c r="L1021" s="4">
        <v>1500</v>
      </c>
      <c r="M1021" s="4"/>
      <c r="N1021" s="4"/>
      <c r="O1021" s="4">
        <v>214</v>
      </c>
      <c r="P1021" s="12" t="str">
        <f t="array" ref="P1021">IF(O1021:O5063="","",_xlfn.XLOOKUP(O1021:O5063,'参照_官位'!A:A,'参照_官位'!B:B,""))</f>
      </c>
      <c r="Q1021" s="12" t="str">
        <f t="array" ref="Q1021">IF(A1021:A5063="","",IFERROR(_xlfn.XLOOKUP(A1021:A5063,castles_state!K:K,castles_state!D:D)&amp;"主",IFERROR(_xlfn.XLOOKUP(A1021:A5063,kunishuClan!D:D,kunishuClan!B:B)&amp;"当主","")))</f>
      </c>
    </row>
    <row r="1022" ht="15.75" customHeight="1">
      <c r="A1022" s="4">
        <v>1020022</v>
      </c>
      <c r="B1022" s="12" t="str">
        <f t="array" ref="B1022">IF(A1022:A5064="","",_xlfn.XLOOKUP(A1022:A5064,'参照_武将'!A:A,'参照_武将'!B:B,"見つかりません"))</f>
      </c>
      <c r="C1022" s="4" t="s">
        <v>160</v>
      </c>
      <c r="D1022" s="4">
        <v>20</v>
      </c>
      <c r="E1022" s="12" t="str">
        <f t="array" ref="E1022">IF(D1022:D5064="","",IFERROR(_xlfn.XLOOKUP(D1022:D5064,'参照_勢力'!A:A,'参照_勢力'!B:B),IFERROR(_xlfn.XLOOKUP(F1022:F5064,kunishuClan!A:A,kunishuClan!B:B),"浪人")))</f>
      </c>
      <c r="F1022" s="4">
        <v>0</v>
      </c>
      <c r="G1022" s="4">
        <v>38</v>
      </c>
      <c r="H1022" s="12" t="str">
        <f t="array" ref="H1022">IF(G1022:G5064="","",_xlfn.XLOOKUP(G1022:G5064,castles_state!A:A,castles_state!D:D,"見つかりません"))</f>
      </c>
      <c r="I1022" s="4"/>
      <c r="J1022" s="12" t="str">
        <f t="array" ref="J1022">IF(I1022:I5064="","",_xlfn.XLOOKUP(I1022:I5064,'参照_姫'!A:A,'参照_姫'!B:B,"見つかりません"))</f>
      </c>
      <c r="K1022" s="4">
        <v>100</v>
      </c>
      <c r="L1022" s="4">
        <v>0</v>
      </c>
      <c r="M1022" s="4"/>
      <c r="N1022" s="4"/>
      <c r="O1022" s="4"/>
      <c r="P1022" s="12" t="str">
        <f t="array" ref="P1022">IF(O1022:O5064="","",_xlfn.XLOOKUP(O1022:O5064,'参照_官位'!A:A,'参照_官位'!B:B,""))</f>
      </c>
      <c r="Q1022" s="12" t="str">
        <f t="array" ref="Q1022">IF(A1022:A5064="","",IFERROR(_xlfn.XLOOKUP(A1022:A5064,castles_state!K:K,castles_state!D:D)&amp;"主",IFERROR(_xlfn.XLOOKUP(A1022:A5064,kunishuClan!D:D,kunishuClan!B:B)&amp;"当主","")))</f>
      </c>
    </row>
    <row r="1023" ht="15.75" customHeight="1">
      <c r="A1023" s="4">
        <v>1020023</v>
      </c>
      <c r="B1023" s="12" t="str">
        <f t="array" ref="B1023">IF(A1023:A5065="","",_xlfn.XLOOKUP(A1023:A5065,'参照_武将'!A:A,'参照_武将'!B:B,"見つかりません"))</f>
      </c>
      <c r="C1023" s="4" t="s">
        <v>160</v>
      </c>
      <c r="D1023" s="4">
        <v>20</v>
      </c>
      <c r="E1023" s="12" t="str">
        <f t="array" ref="E1023">IF(D1023:D5065="","",IFERROR(_xlfn.XLOOKUP(D1023:D5065,'参照_勢力'!A:A,'参照_勢力'!B:B),IFERROR(_xlfn.XLOOKUP(F1023:F5065,kunishuClan!A:A,kunishuClan!B:B),"浪人")))</f>
      </c>
      <c r="F1023" s="4">
        <v>0</v>
      </c>
      <c r="G1023" s="4">
        <v>129</v>
      </c>
      <c r="H1023" s="12" t="str">
        <f t="array" ref="H1023">IF(G1023:G5065="","",_xlfn.XLOOKUP(G1023:G5065,castles_state!A:A,castles_state!D:D,"見つかりません"))</f>
      </c>
      <c r="I1023" s="4"/>
      <c r="J1023" s="12" t="str">
        <f t="array" ref="J1023">IF(I1023:I5065="","",_xlfn.XLOOKUP(I1023:I5065,'参照_姫'!A:A,'参照_姫'!B:B,"見つかりません"))</f>
      </c>
      <c r="K1023" s="4">
        <v>95</v>
      </c>
      <c r="L1023" s="4">
        <v>0</v>
      </c>
      <c r="M1023" s="4"/>
      <c r="N1023" s="4"/>
      <c r="O1023" s="4"/>
      <c r="P1023" s="12" t="str">
        <f t="array" ref="P1023">IF(O1023:O5065="","",_xlfn.XLOOKUP(O1023:O5065,'参照_官位'!A:A,'参照_官位'!B:B,""))</f>
      </c>
      <c r="Q1023" s="12" t="str">
        <f t="array" ref="Q1023">IF(A1023:A5065="","",IFERROR(_xlfn.XLOOKUP(A1023:A5065,castles_state!K:K,castles_state!D:D)&amp;"主",IFERROR(_xlfn.XLOOKUP(A1023:A5065,kunishuClan!D:D,kunishuClan!B:B)&amp;"当主","")))</f>
      </c>
    </row>
    <row r="1024" ht="15.75" customHeight="1">
      <c r="A1024" s="4">
        <v>1020024</v>
      </c>
      <c r="B1024" s="12" t="str">
        <f t="array" ref="B1024">IF(A1024:A5066="","",_xlfn.XLOOKUP(A1024:A5066,'参照_武将'!A:A,'参照_武将'!B:B,"見つかりません"))</f>
      </c>
      <c r="C1024" s="4" t="s">
        <v>160</v>
      </c>
      <c r="D1024" s="4">
        <v>20</v>
      </c>
      <c r="E1024" s="12" t="str">
        <f t="array" ref="E1024">IF(D1024:D5066="","",IFERROR(_xlfn.XLOOKUP(D1024:D5066,'参照_勢力'!A:A,'参照_勢力'!B:B),IFERROR(_xlfn.XLOOKUP(F1024:F5066,kunishuClan!A:A,kunishuClan!B:B),"浪人")))</f>
      </c>
      <c r="F1024" s="4">
        <v>0</v>
      </c>
      <c r="G1024" s="4">
        <v>38</v>
      </c>
      <c r="H1024" s="12" t="str">
        <f t="array" ref="H1024">IF(G1024:G5066="","",_xlfn.XLOOKUP(G1024:G5066,castles_state!A:A,castles_state!D:D,"見つかりません"))</f>
      </c>
      <c r="I1024" s="4"/>
      <c r="J1024" s="12" t="str">
        <f t="array" ref="J1024">IF(I1024:I5066="","",_xlfn.XLOOKUP(I1024:I5066,'参照_姫'!A:A,'参照_姫'!B:B,"見つかりません"))</f>
      </c>
      <c r="K1024" s="4">
        <v>100</v>
      </c>
      <c r="L1024" s="4">
        <v>300</v>
      </c>
      <c r="M1024" s="4"/>
      <c r="N1024" s="4"/>
      <c r="O1024" s="4"/>
      <c r="P1024" s="12" t="str">
        <f t="array" ref="P1024">IF(O1024:O5066="","",_xlfn.XLOOKUP(O1024:O5066,'参照_官位'!A:A,'参照_官位'!B:B,""))</f>
      </c>
      <c r="Q1024" s="12" t="str">
        <f t="array" ref="Q1024">IF(A1024:A5066="","",IFERROR(_xlfn.XLOOKUP(A1024:A5066,castles_state!K:K,castles_state!D:D)&amp;"主",IFERROR(_xlfn.XLOOKUP(A1024:A5066,kunishuClan!D:D,kunishuClan!B:B)&amp;"当主","")))</f>
      </c>
    </row>
    <row r="1025" ht="15.75" customHeight="1">
      <c r="A1025" s="4">
        <v>1020025</v>
      </c>
      <c r="B1025" s="12" t="str">
        <f t="array" ref="B1025">IF(A1025:A5067="","",_xlfn.XLOOKUP(A1025:A5067,'参照_武将'!A:A,'参照_武将'!B:B,"見つかりません"))</f>
      </c>
      <c r="C1025" s="4" t="s">
        <v>160</v>
      </c>
      <c r="D1025" s="4">
        <v>20</v>
      </c>
      <c r="E1025" s="12" t="str">
        <f t="array" ref="E1025">IF(D1025:D5067="","",IFERROR(_xlfn.XLOOKUP(D1025:D5067,'参照_勢力'!A:A,'参照_勢力'!B:B),IFERROR(_xlfn.XLOOKUP(F1025:F5067,kunishuClan!A:A,kunishuClan!B:B),"浪人")))</f>
      </c>
      <c r="F1025" s="4">
        <v>0</v>
      </c>
      <c r="G1025" s="4">
        <v>38</v>
      </c>
      <c r="H1025" s="12" t="str">
        <f t="array" ref="H1025">IF(G1025:G5067="","",_xlfn.XLOOKUP(G1025:G5067,castles_state!A:A,castles_state!D:D,"見つかりません"))</f>
      </c>
      <c r="I1025" s="4"/>
      <c r="J1025" s="12" t="str">
        <f t="array" ref="J1025">IF(I1025:I5067="","",_xlfn.XLOOKUP(I1025:I5067,'参照_姫'!A:A,'参照_姫'!B:B,"見つかりません"))</f>
      </c>
      <c r="K1025" s="4">
        <v>100</v>
      </c>
      <c r="L1025" s="4">
        <v>300</v>
      </c>
      <c r="M1025" s="4"/>
      <c r="N1025" s="4"/>
      <c r="O1025" s="4"/>
      <c r="P1025" s="12" t="str">
        <f t="array" ref="P1025">IF(O1025:O5067="","",_xlfn.XLOOKUP(O1025:O5067,'参照_官位'!A:A,'参照_官位'!B:B,""))</f>
      </c>
      <c r="Q1025" s="12" t="str">
        <f t="array" ref="Q1025">IF(A1025:A5067="","",IFERROR(_xlfn.XLOOKUP(A1025:A5067,castles_state!K:K,castles_state!D:D)&amp;"主",IFERROR(_xlfn.XLOOKUP(A1025:A5067,kunishuClan!D:D,kunishuClan!B:B)&amp;"当主","")))</f>
      </c>
    </row>
    <row r="1026" ht="15.75" customHeight="1">
      <c r="A1026" s="4">
        <v>1020026</v>
      </c>
      <c r="B1026" s="12" t="str">
        <f t="array" ref="B1026">IF(A1026:A5068="","",_xlfn.XLOOKUP(A1026:A5068,'参照_武将'!A:A,'参照_武将'!B:B,"見つかりません"))</f>
      </c>
      <c r="C1026" s="4" t="s">
        <v>160</v>
      </c>
      <c r="D1026" s="4">
        <v>20</v>
      </c>
      <c r="E1026" s="12" t="str">
        <f t="array" ref="E1026">IF(D1026:D5068="","",IFERROR(_xlfn.XLOOKUP(D1026:D5068,'参照_勢力'!A:A,'参照_勢力'!B:B),IFERROR(_xlfn.XLOOKUP(F1026:F5068,kunishuClan!A:A,kunishuClan!B:B),"浪人")))</f>
      </c>
      <c r="F1026" s="4">
        <v>0</v>
      </c>
      <c r="G1026" s="4">
        <v>38</v>
      </c>
      <c r="H1026" s="12" t="str">
        <f t="array" ref="H1026">IF(G1026:G5068="","",_xlfn.XLOOKUP(G1026:G5068,castles_state!A:A,castles_state!D:D,"見つかりません"))</f>
      </c>
      <c r="I1026" s="4"/>
      <c r="J1026" s="12" t="str">
        <f t="array" ref="J1026">IF(I1026:I5068="","",_xlfn.XLOOKUP(I1026:I5068,'参照_姫'!A:A,'参照_姫'!B:B,"見つかりません"))</f>
      </c>
      <c r="K1026" s="4">
        <v>100</v>
      </c>
      <c r="L1026" s="4">
        <v>0</v>
      </c>
      <c r="M1026" s="4"/>
      <c r="N1026" s="4"/>
      <c r="O1026" s="4"/>
      <c r="P1026" s="12" t="str">
        <f t="array" ref="P1026">IF(O1026:O5068="","",_xlfn.XLOOKUP(O1026:O5068,'参照_官位'!A:A,'参照_官位'!B:B,""))</f>
      </c>
      <c r="Q1026" s="12" t="str">
        <f t="array" ref="Q1026">IF(A1026:A5068="","",IFERROR(_xlfn.XLOOKUP(A1026:A5068,castles_state!K:K,castles_state!D:D)&amp;"主",IFERROR(_xlfn.XLOOKUP(A1026:A5068,kunishuClan!D:D,kunishuClan!B:B)&amp;"当主","")))</f>
      </c>
    </row>
    <row r="1027" ht="15.75" customHeight="1">
      <c r="A1027" s="4">
        <v>1020027</v>
      </c>
      <c r="B1027" s="12" t="str">
        <f t="array" ref="B1027">IF(A1027:A5069="","",_xlfn.XLOOKUP(A1027:A5069,'参照_武将'!A:A,'参照_武将'!B:B,"見つかりません"))</f>
      </c>
      <c r="C1027" s="4" t="s">
        <v>160</v>
      </c>
      <c r="D1027" s="4">
        <v>20</v>
      </c>
      <c r="E1027" s="12" t="str">
        <f t="array" ref="E1027">IF(D1027:D5069="","",IFERROR(_xlfn.XLOOKUP(D1027:D5069,'参照_勢力'!A:A,'参照_勢力'!B:B),IFERROR(_xlfn.XLOOKUP(F1027:F5069,kunishuClan!A:A,kunishuClan!B:B),"浪人")))</f>
      </c>
      <c r="F1027" s="4">
        <v>0</v>
      </c>
      <c r="G1027" s="4">
        <v>38</v>
      </c>
      <c r="H1027" s="12" t="str">
        <f t="array" ref="H1027">IF(G1027:G5069="","",_xlfn.XLOOKUP(G1027:G5069,castles_state!A:A,castles_state!D:D,"見つかりません"))</f>
      </c>
      <c r="I1027" s="4"/>
      <c r="J1027" s="12" t="str">
        <f t="array" ref="J1027">IF(I1027:I5069="","",_xlfn.XLOOKUP(I1027:I5069,'参照_姫'!A:A,'参照_姫'!B:B,"見つかりません"))</f>
      </c>
      <c r="K1027" s="4">
        <v>95</v>
      </c>
      <c r="L1027" s="4">
        <v>0</v>
      </c>
      <c r="M1027" s="4"/>
      <c r="N1027" s="4"/>
      <c r="O1027" s="4"/>
      <c r="P1027" s="12" t="str">
        <f t="array" ref="P1027">IF(O1027:O5069="","",_xlfn.XLOOKUP(O1027:O5069,'参照_官位'!A:A,'参照_官位'!B:B,""))</f>
      </c>
      <c r="Q1027" s="12" t="str">
        <f t="array" ref="Q1027">IF(A1027:A5069="","",IFERROR(_xlfn.XLOOKUP(A1027:A5069,castles_state!K:K,castles_state!D:D)&amp;"主",IFERROR(_xlfn.XLOOKUP(A1027:A5069,kunishuClan!D:D,kunishuClan!B:B)&amp;"当主","")))</f>
      </c>
    </row>
    <row r="1028" ht="15.75" customHeight="1">
      <c r="A1028" s="4">
        <v>1020028</v>
      </c>
      <c r="B1028" s="12" t="str">
        <f t="array" ref="B1028">IF(A1028:A5070="","",_xlfn.XLOOKUP(A1028:A5070,'参照_武将'!A:A,'参照_武将'!B:B,"見つかりません"))</f>
      </c>
      <c r="C1028" s="4" t="s">
        <v>160</v>
      </c>
      <c r="D1028" s="4">
        <v>20</v>
      </c>
      <c r="E1028" s="12" t="str">
        <f t="array" ref="E1028">IF(D1028:D5070="","",IFERROR(_xlfn.XLOOKUP(D1028:D5070,'参照_勢力'!A:A,'参照_勢力'!B:B),IFERROR(_xlfn.XLOOKUP(F1028:F5070,kunishuClan!A:A,kunishuClan!B:B),"浪人")))</f>
      </c>
      <c r="F1028" s="4">
        <v>0</v>
      </c>
      <c r="G1028" s="4">
        <v>130</v>
      </c>
      <c r="H1028" s="12" t="str">
        <f t="array" ref="H1028">IF(G1028:G5070="","",_xlfn.XLOOKUP(G1028:G5070,castles_state!A:A,castles_state!D:D,"見つかりません"))</f>
      </c>
      <c r="I1028" s="4"/>
      <c r="J1028" s="12" t="str">
        <f t="array" ref="J1028">IF(I1028:I5070="","",_xlfn.XLOOKUP(I1028:I5070,'参照_姫'!A:A,'参照_姫'!B:B,"見つかりません"))</f>
      </c>
      <c r="K1028" s="4">
        <v>95</v>
      </c>
      <c r="L1028" s="4">
        <v>0</v>
      </c>
      <c r="M1028" s="4"/>
      <c r="N1028" s="4"/>
      <c r="O1028" s="4"/>
      <c r="P1028" s="12" t="str">
        <f t="array" ref="P1028">IF(O1028:O5070="","",_xlfn.XLOOKUP(O1028:O5070,'参照_官位'!A:A,'参照_官位'!B:B,""))</f>
      </c>
      <c r="Q1028" s="12" t="str">
        <f t="array" ref="Q1028">IF(A1028:A5070="","",IFERROR(_xlfn.XLOOKUP(A1028:A5070,castles_state!K:K,castles_state!D:D)&amp;"主",IFERROR(_xlfn.XLOOKUP(A1028:A5070,kunishuClan!D:D,kunishuClan!B:B)&amp;"当主","")))</f>
      </c>
    </row>
    <row r="1029" ht="15.75" customHeight="1">
      <c r="A1029" s="4">
        <v>1020029</v>
      </c>
      <c r="B1029" s="12" t="str">
        <f t="array" ref="B1029">IF(A1029:A5071="","",_xlfn.XLOOKUP(A1029:A5071,'参照_武将'!A:A,'参照_武将'!B:B,"見つかりません"))</f>
      </c>
      <c r="C1029" s="4" t="s">
        <v>160</v>
      </c>
      <c r="D1029" s="4">
        <v>20</v>
      </c>
      <c r="E1029" s="12" t="str">
        <f t="array" ref="E1029">IF(D1029:D5071="","",IFERROR(_xlfn.XLOOKUP(D1029:D5071,'参照_勢力'!A:A,'参照_勢力'!B:B),IFERROR(_xlfn.XLOOKUP(F1029:F5071,kunishuClan!A:A,kunishuClan!B:B),"浪人")))</f>
      </c>
      <c r="F1029" s="4">
        <v>0</v>
      </c>
      <c r="G1029" s="4">
        <v>38</v>
      </c>
      <c r="H1029" s="12" t="str">
        <f t="array" ref="H1029">IF(G1029:G5071="","",_xlfn.XLOOKUP(G1029:G5071,castles_state!A:A,castles_state!D:D,"見つかりません"))</f>
      </c>
      <c r="I1029" s="4"/>
      <c r="J1029" s="12" t="str">
        <f t="array" ref="J1029">IF(I1029:I5071="","",_xlfn.XLOOKUP(I1029:I5071,'参照_姫'!A:A,'参照_姫'!B:B,"見つかりません"))</f>
      </c>
      <c r="K1029" s="4">
        <v>100</v>
      </c>
      <c r="L1029" s="4">
        <v>200</v>
      </c>
      <c r="M1029" s="4"/>
      <c r="N1029" s="4"/>
      <c r="O1029" s="4"/>
      <c r="P1029" s="12" t="str">
        <f t="array" ref="P1029">IF(O1029:O5071="","",_xlfn.XLOOKUP(O1029:O5071,'参照_官位'!A:A,'参照_官位'!B:B,""))</f>
      </c>
      <c r="Q1029" s="12" t="str">
        <f t="array" ref="Q1029">IF(A1029:A5071="","",IFERROR(_xlfn.XLOOKUP(A1029:A5071,castles_state!K:K,castles_state!D:D)&amp;"主",IFERROR(_xlfn.XLOOKUP(A1029:A5071,kunishuClan!D:D,kunishuClan!B:B)&amp;"当主","")))</f>
      </c>
    </row>
    <row r="1030" ht="15.75" customHeight="1">
      <c r="A1030" s="4">
        <v>1020030</v>
      </c>
      <c r="B1030" s="12" t="str">
        <f t="array" ref="B1030">IF(A1030:A5072="","",_xlfn.XLOOKUP(A1030:A5072,'参照_武将'!A:A,'参照_武将'!B:B,"見つかりません"))</f>
      </c>
      <c r="C1030" s="4" t="s">
        <v>160</v>
      </c>
      <c r="D1030" s="4">
        <v>20</v>
      </c>
      <c r="E1030" s="12" t="str">
        <f t="array" ref="E1030">IF(D1030:D5072="","",IFERROR(_xlfn.XLOOKUP(D1030:D5072,'参照_勢力'!A:A,'参照_勢力'!B:B),IFERROR(_xlfn.XLOOKUP(F1030:F5072,kunishuClan!A:A,kunishuClan!B:B),"浪人")))</f>
      </c>
      <c r="F1030" s="4">
        <v>0</v>
      </c>
      <c r="G1030" s="4">
        <v>129</v>
      </c>
      <c r="H1030" s="12" t="str">
        <f t="array" ref="H1030">IF(G1030:G5072="","",_xlfn.XLOOKUP(G1030:G5072,castles_state!A:A,castles_state!D:D,"見つかりません"))</f>
      </c>
      <c r="I1030" s="4"/>
      <c r="J1030" s="12" t="str">
        <f t="array" ref="J1030">IF(I1030:I5072="","",_xlfn.XLOOKUP(I1030:I5072,'参照_姫'!A:A,'参照_姫'!B:B,"見つかりません"))</f>
      </c>
      <c r="K1030" s="4">
        <v>100</v>
      </c>
      <c r="L1030" s="4">
        <v>0</v>
      </c>
      <c r="M1030" s="4"/>
      <c r="N1030" s="4"/>
      <c r="O1030" s="4"/>
      <c r="P1030" s="12" t="str">
        <f t="array" ref="P1030">IF(O1030:O5072="","",_xlfn.XLOOKUP(O1030:O5072,'参照_官位'!A:A,'参照_官位'!B:B,""))</f>
      </c>
      <c r="Q1030" s="12" t="str">
        <f t="array" ref="Q1030">IF(A1030:A5072="","",IFERROR(_xlfn.XLOOKUP(A1030:A5072,castles_state!K:K,castles_state!D:D)&amp;"主",IFERROR(_xlfn.XLOOKUP(A1030:A5072,kunishuClan!D:D,kunishuClan!B:B)&amp;"当主","")))</f>
      </c>
    </row>
    <row r="1031" ht="15.75" customHeight="1">
      <c r="A1031" s="4">
        <v>1020031</v>
      </c>
      <c r="B1031" s="12" t="str">
        <f t="array" ref="B1031">IF(A1031:A5073="","",_xlfn.XLOOKUP(A1031:A5073,'参照_武将'!A:A,'参照_武将'!B:B,"見つかりません"))</f>
      </c>
      <c r="C1031" s="4" t="s">
        <v>160</v>
      </c>
      <c r="D1031" s="4">
        <v>20</v>
      </c>
      <c r="E1031" s="12" t="str">
        <f t="array" ref="E1031">IF(D1031:D5073="","",IFERROR(_xlfn.XLOOKUP(D1031:D5073,'参照_勢力'!A:A,'参照_勢力'!B:B),IFERROR(_xlfn.XLOOKUP(F1031:F5073,kunishuClan!A:A,kunishuClan!B:B),"浪人")))</f>
      </c>
      <c r="F1031" s="4">
        <v>0</v>
      </c>
      <c r="G1031" s="4">
        <v>38</v>
      </c>
      <c r="H1031" s="12" t="str">
        <f t="array" ref="H1031">IF(G1031:G5073="","",_xlfn.XLOOKUP(G1031:G5073,castles_state!A:A,castles_state!D:D,"見つかりません"))</f>
      </c>
      <c r="I1031" s="4"/>
      <c r="J1031" s="12" t="str">
        <f t="array" ref="J1031">IF(I1031:I5073="","",_xlfn.XLOOKUP(I1031:I5073,'参照_姫'!A:A,'参照_姫'!B:B,"見つかりません"))</f>
      </c>
      <c r="K1031" s="4">
        <v>95</v>
      </c>
      <c r="L1031" s="4">
        <v>0</v>
      </c>
      <c r="M1031" s="4"/>
      <c r="N1031" s="4"/>
      <c r="O1031" s="4"/>
      <c r="P1031" s="12" t="str">
        <f t="array" ref="P1031">IF(O1031:O5073="","",_xlfn.XLOOKUP(O1031:O5073,'参照_官位'!A:A,'参照_官位'!B:B,""))</f>
      </c>
      <c r="Q1031" s="12" t="str">
        <f t="array" ref="Q1031">IF(A1031:A5073="","",IFERROR(_xlfn.XLOOKUP(A1031:A5073,castles_state!K:K,castles_state!D:D)&amp;"主",IFERROR(_xlfn.XLOOKUP(A1031:A5073,kunishuClan!D:D,kunishuClan!B:B)&amp;"当主","")))</f>
      </c>
    </row>
    <row r="1032" ht="15.75" customHeight="1">
      <c r="A1032" s="4">
        <v>1020032</v>
      </c>
      <c r="B1032" s="12" t="str">
        <f t="array" ref="B1032">IF(A1032:A5074="","",_xlfn.XLOOKUP(A1032:A5074,'参照_武将'!A:A,'参照_武将'!B:B,"見つかりません"))</f>
      </c>
      <c r="C1032" s="4" t="s">
        <v>160</v>
      </c>
      <c r="D1032" s="4">
        <v>20</v>
      </c>
      <c r="E1032" s="12" t="str">
        <f t="array" ref="E1032">IF(D1032:D5074="","",IFERROR(_xlfn.XLOOKUP(D1032:D5074,'参照_勢力'!A:A,'参照_勢力'!B:B),IFERROR(_xlfn.XLOOKUP(F1032:F5074,kunishuClan!A:A,kunishuClan!B:B),"浪人")))</f>
      </c>
      <c r="F1032" s="4">
        <v>0</v>
      </c>
      <c r="G1032" s="4">
        <v>129</v>
      </c>
      <c r="H1032" s="12" t="str">
        <f t="array" ref="H1032">IF(G1032:G5074="","",_xlfn.XLOOKUP(G1032:G5074,castles_state!A:A,castles_state!D:D,"見つかりません"))</f>
      </c>
      <c r="I1032" s="4"/>
      <c r="J1032" s="12" t="str">
        <f t="array" ref="J1032">IF(I1032:I5074="","",_xlfn.XLOOKUP(I1032:I5074,'参照_姫'!A:A,'参照_姫'!B:B,"見つかりません"))</f>
      </c>
      <c r="K1032" s="4">
        <v>95</v>
      </c>
      <c r="L1032" s="4">
        <v>0</v>
      </c>
      <c r="M1032" s="4"/>
      <c r="N1032" s="4"/>
      <c r="O1032" s="4"/>
      <c r="P1032" s="12" t="str">
        <f t="array" ref="P1032">IF(O1032:O5074="","",_xlfn.XLOOKUP(O1032:O5074,'参照_官位'!A:A,'参照_官位'!B:B,""))</f>
      </c>
      <c r="Q1032" s="12" t="str">
        <f t="array" ref="Q1032">IF(A1032:A5074="","",IFERROR(_xlfn.XLOOKUP(A1032:A5074,castles_state!K:K,castles_state!D:D)&amp;"主",IFERROR(_xlfn.XLOOKUP(A1032:A5074,kunishuClan!D:D,kunishuClan!B:B)&amp;"当主","")))</f>
      </c>
    </row>
    <row r="1033" ht="15.75" customHeight="1">
      <c r="A1033" s="4">
        <v>1020033</v>
      </c>
      <c r="B1033" s="12" t="str">
        <f t="array" ref="B1033">IF(A1033:A5075="","",_xlfn.XLOOKUP(A1033:A5075,'参照_武将'!A:A,'参照_武将'!B:B,"見つかりません"))</f>
      </c>
      <c r="C1033" s="4" t="s">
        <v>160</v>
      </c>
      <c r="D1033" s="4">
        <v>20</v>
      </c>
      <c r="E1033" s="12" t="str">
        <f t="array" ref="E1033">IF(D1033:D5075="","",IFERROR(_xlfn.XLOOKUP(D1033:D5075,'参照_勢力'!A:A,'参照_勢力'!B:B),IFERROR(_xlfn.XLOOKUP(F1033:F5075,kunishuClan!A:A,kunishuClan!B:B),"浪人")))</f>
      </c>
      <c r="F1033" s="4">
        <v>0</v>
      </c>
      <c r="G1033" s="4">
        <v>127</v>
      </c>
      <c r="H1033" s="12" t="str">
        <f t="array" ref="H1033">IF(G1033:G5075="","",_xlfn.XLOOKUP(G1033:G5075,castles_state!A:A,castles_state!D:D,"見つかりません"))</f>
      </c>
      <c r="I1033" s="4"/>
      <c r="J1033" s="12" t="str">
        <f t="array" ref="J1033">IF(I1033:I5075="","",_xlfn.XLOOKUP(I1033:I5075,'参照_姫'!A:A,'参照_姫'!B:B,"見つかりません"))</f>
      </c>
      <c r="K1033" s="4">
        <v>95</v>
      </c>
      <c r="L1033" s="4">
        <v>0</v>
      </c>
      <c r="M1033" s="4"/>
      <c r="N1033" s="4"/>
      <c r="O1033" s="4"/>
      <c r="P1033" s="12" t="str">
        <f t="array" ref="P1033">IF(O1033:O5075="","",_xlfn.XLOOKUP(O1033:O5075,'参照_官位'!A:A,'参照_官位'!B:B,""))</f>
      </c>
      <c r="Q1033" s="12" t="str">
        <f t="array" ref="Q1033">IF(A1033:A5075="","",IFERROR(_xlfn.XLOOKUP(A1033:A5075,castles_state!K:K,castles_state!D:D)&amp;"主",IFERROR(_xlfn.XLOOKUP(A1033:A5075,kunishuClan!D:D,kunishuClan!B:B)&amp;"当主","")))</f>
      </c>
    </row>
    <row r="1034" ht="15.75" customHeight="1">
      <c r="A1034" s="4">
        <v>1020034</v>
      </c>
      <c r="B1034" s="12" t="str">
        <f t="array" ref="B1034">IF(A1034:A5076="","",_xlfn.XLOOKUP(A1034:A5076,'参照_武将'!A:A,'参照_武将'!B:B,"見つかりません"))</f>
      </c>
      <c r="C1034" s="4" t="s">
        <v>160</v>
      </c>
      <c r="D1034" s="4">
        <v>20</v>
      </c>
      <c r="E1034" s="12" t="str">
        <f t="array" ref="E1034">IF(D1034:D5076="","",IFERROR(_xlfn.XLOOKUP(D1034:D5076,'参照_勢力'!A:A,'参照_勢力'!B:B),IFERROR(_xlfn.XLOOKUP(F1034:F5076,kunishuClan!A:A,kunishuClan!B:B),"浪人")))</f>
      </c>
      <c r="F1034" s="4">
        <v>0</v>
      </c>
      <c r="G1034" s="4">
        <v>127</v>
      </c>
      <c r="H1034" s="12" t="str">
        <f t="array" ref="H1034">IF(G1034:G5076="","",_xlfn.XLOOKUP(G1034:G5076,castles_state!A:A,castles_state!D:D,"見つかりません"))</f>
      </c>
      <c r="I1034" s="4"/>
      <c r="J1034" s="12" t="str">
        <f t="array" ref="J1034">IF(I1034:I5076="","",_xlfn.XLOOKUP(I1034:I5076,'参照_姫'!A:A,'参照_姫'!B:B,"見つかりません"))</f>
      </c>
      <c r="K1034" s="4">
        <v>90</v>
      </c>
      <c r="L1034" s="4">
        <v>0</v>
      </c>
      <c r="M1034" s="4"/>
      <c r="N1034" s="4"/>
      <c r="O1034" s="4"/>
      <c r="P1034" s="12" t="str">
        <f t="array" ref="P1034">IF(O1034:O5076="","",_xlfn.XLOOKUP(O1034:O5076,'参照_官位'!A:A,'参照_官位'!B:B,""))</f>
      </c>
      <c r="Q1034" s="12" t="str">
        <f t="array" ref="Q1034">IF(A1034:A5076="","",IFERROR(_xlfn.XLOOKUP(A1034:A5076,castles_state!K:K,castles_state!D:D)&amp;"主",IFERROR(_xlfn.XLOOKUP(A1034:A5076,kunishuClan!D:D,kunishuClan!B:B)&amp;"当主","")))</f>
      </c>
    </row>
    <row r="1035" ht="15.75" customHeight="1">
      <c r="A1035" s="4">
        <v>1020035</v>
      </c>
      <c r="B1035" s="12" t="str">
        <f t="array" ref="B1035">IF(A1035:A5077="","",_xlfn.XLOOKUP(A1035:A5077,'参照_武将'!A:A,'参照_武将'!B:B,"見つかりません"))</f>
      </c>
      <c r="C1035" s="4" t="s">
        <v>160</v>
      </c>
      <c r="D1035" s="4">
        <v>20</v>
      </c>
      <c r="E1035" s="12" t="str">
        <f t="array" ref="E1035">IF(D1035:D5077="","",IFERROR(_xlfn.XLOOKUP(D1035:D5077,'参照_勢力'!A:A,'参照_勢力'!B:B),IFERROR(_xlfn.XLOOKUP(F1035:F5077,kunishuClan!A:A,kunishuClan!B:B),"浪人")))</f>
      </c>
      <c r="F1035" s="4">
        <v>0</v>
      </c>
      <c r="G1035" s="4">
        <v>129</v>
      </c>
      <c r="H1035" s="12" t="str">
        <f t="array" ref="H1035">IF(G1035:G5077="","",_xlfn.XLOOKUP(G1035:G5077,castles_state!A:A,castles_state!D:D,"見つかりません"))</f>
      </c>
      <c r="I1035" s="4"/>
      <c r="J1035" s="12" t="str">
        <f t="array" ref="J1035">IF(I1035:I5077="","",_xlfn.XLOOKUP(I1035:I5077,'参照_姫'!A:A,'参照_姫'!B:B,"見つかりません"))</f>
      </c>
      <c r="K1035" s="4">
        <v>95</v>
      </c>
      <c r="L1035" s="4">
        <v>0</v>
      </c>
      <c r="M1035" s="4"/>
      <c r="N1035" s="4"/>
      <c r="O1035" s="4"/>
      <c r="P1035" s="12" t="str">
        <f t="array" ref="P1035">IF(O1035:O5077="","",_xlfn.XLOOKUP(O1035:O5077,'参照_官位'!A:A,'参照_官位'!B:B,""))</f>
      </c>
      <c r="Q1035" s="12" t="str">
        <f t="array" ref="Q1035">IF(A1035:A5077="","",IFERROR(_xlfn.XLOOKUP(A1035:A5077,castles_state!K:K,castles_state!D:D)&amp;"主",IFERROR(_xlfn.XLOOKUP(A1035:A5077,kunishuClan!D:D,kunishuClan!B:B)&amp;"当主","")))</f>
      </c>
    </row>
    <row r="1036" ht="15.75" customHeight="1">
      <c r="A1036" s="4">
        <v>1020036</v>
      </c>
      <c r="B1036" s="12" t="str">
        <f t="array" ref="B1036">IF(A1036:A5078="","",_xlfn.XLOOKUP(A1036:A5078,'参照_武将'!A:A,'参照_武将'!B:B,"見つかりません"))</f>
      </c>
      <c r="C1036" s="4" t="s">
        <v>160</v>
      </c>
      <c r="D1036" s="4">
        <v>20</v>
      </c>
      <c r="E1036" s="12" t="str">
        <f t="array" ref="E1036">IF(D1036:D5078="","",IFERROR(_xlfn.XLOOKUP(D1036:D5078,'参照_勢力'!A:A,'参照_勢力'!B:B),IFERROR(_xlfn.XLOOKUP(F1036:F5078,kunishuClan!A:A,kunishuClan!B:B),"浪人")))</f>
      </c>
      <c r="F1036" s="4">
        <v>0</v>
      </c>
      <c r="G1036" s="4">
        <v>129</v>
      </c>
      <c r="H1036" s="12" t="str">
        <f t="array" ref="H1036">IF(G1036:G5078="","",_xlfn.XLOOKUP(G1036:G5078,castles_state!A:A,castles_state!D:D,"見つかりません"))</f>
      </c>
      <c r="I1036" s="4"/>
      <c r="J1036" s="12" t="str">
        <f t="array" ref="J1036">IF(I1036:I5078="","",_xlfn.XLOOKUP(I1036:I5078,'参照_姫'!A:A,'参照_姫'!B:B,"見つかりません"))</f>
      </c>
      <c r="K1036" s="4">
        <v>95</v>
      </c>
      <c r="L1036" s="4">
        <v>300</v>
      </c>
      <c r="M1036" s="4" t="b">
        <v>1</v>
      </c>
      <c r="N1036" s="4"/>
      <c r="O1036" s="4"/>
      <c r="P1036" s="12" t="str">
        <f t="array" ref="P1036">IF(O1036:O5078="","",_xlfn.XLOOKUP(O1036:O5078,'参照_官位'!A:A,'参照_官位'!B:B,""))</f>
      </c>
      <c r="Q1036" s="12" t="str">
        <f t="array" ref="Q1036">IF(A1036:A5078="","",IFERROR(_xlfn.XLOOKUP(A1036:A5078,castles_state!K:K,castles_state!D:D)&amp;"主",IFERROR(_xlfn.XLOOKUP(A1036:A5078,kunishuClan!D:D,kunishuClan!B:B)&amp;"当主","")))</f>
      </c>
    </row>
    <row r="1037" ht="15.75" customHeight="1">
      <c r="A1037" s="4">
        <v>1020037</v>
      </c>
      <c r="B1037" s="12" t="str">
        <f t="array" ref="B1037">IF(A1037:A5079="","",_xlfn.XLOOKUP(A1037:A5079,'参照_武将'!A:A,'参照_武将'!B:B,"見つかりません"))</f>
      </c>
      <c r="C1037" s="4" t="s">
        <v>160</v>
      </c>
      <c r="D1037" s="4">
        <v>20</v>
      </c>
      <c r="E1037" s="12" t="str">
        <f t="array" ref="E1037">IF(D1037:D5079="","",IFERROR(_xlfn.XLOOKUP(D1037:D5079,'参照_勢力'!A:A,'参照_勢力'!B:B),IFERROR(_xlfn.XLOOKUP(F1037:F5079,kunishuClan!A:A,kunishuClan!B:B),"浪人")))</f>
      </c>
      <c r="F1037" s="4">
        <v>0</v>
      </c>
      <c r="G1037" s="4">
        <v>129</v>
      </c>
      <c r="H1037" s="12" t="str">
        <f t="array" ref="H1037">IF(G1037:G5079="","",_xlfn.XLOOKUP(G1037:G5079,castles_state!A:A,castles_state!D:D,"見つかりません"))</f>
      </c>
      <c r="I1037" s="4"/>
      <c r="J1037" s="12" t="str">
        <f t="array" ref="J1037">IF(I1037:I5079="","",_xlfn.XLOOKUP(I1037:I5079,'参照_姫'!A:A,'参照_姫'!B:B,"見つかりません"))</f>
      </c>
      <c r="K1037" s="4">
        <v>95</v>
      </c>
      <c r="L1037" s="4">
        <v>0</v>
      </c>
      <c r="M1037" s="4"/>
      <c r="N1037" s="4"/>
      <c r="O1037" s="4"/>
      <c r="P1037" s="12" t="str">
        <f t="array" ref="P1037">IF(O1037:O5079="","",_xlfn.XLOOKUP(O1037:O5079,'参照_官位'!A:A,'参照_官位'!B:B,""))</f>
      </c>
      <c r="Q1037" s="12" t="str">
        <f t="array" ref="Q1037">IF(A1037:A5079="","",IFERROR(_xlfn.XLOOKUP(A1037:A5079,castles_state!K:K,castles_state!D:D)&amp;"主",IFERROR(_xlfn.XLOOKUP(A1037:A5079,kunishuClan!D:D,kunishuClan!B:B)&amp;"当主","")))</f>
      </c>
    </row>
    <row r="1038" ht="15.75" customHeight="1">
      <c r="A1038" s="4">
        <v>1020038</v>
      </c>
      <c r="B1038" s="12" t="str">
        <f t="array" ref="B1038">IF(A1038:A5080="","",_xlfn.XLOOKUP(A1038:A5080,'参照_武将'!A:A,'参照_武将'!B:B,"見つかりません"))</f>
      </c>
      <c r="C1038" s="4" t="s">
        <v>160</v>
      </c>
      <c r="D1038" s="4">
        <v>20</v>
      </c>
      <c r="E1038" s="12" t="str">
        <f t="array" ref="E1038">IF(D1038:D5080="","",IFERROR(_xlfn.XLOOKUP(D1038:D5080,'参照_勢力'!A:A,'参照_勢力'!B:B),IFERROR(_xlfn.XLOOKUP(F1038:F5080,kunishuClan!A:A,kunishuClan!B:B),"浪人")))</f>
      </c>
      <c r="F1038" s="4">
        <v>0</v>
      </c>
      <c r="G1038" s="4">
        <v>129</v>
      </c>
      <c r="H1038" s="12" t="str">
        <f t="array" ref="H1038">IF(G1038:G5080="","",_xlfn.XLOOKUP(G1038:G5080,castles_state!A:A,castles_state!D:D,"見つかりません"))</f>
      </c>
      <c r="I1038" s="4"/>
      <c r="J1038" s="12" t="str">
        <f t="array" ref="J1038">IF(I1038:I5080="","",_xlfn.XLOOKUP(I1038:I5080,'参照_姫'!A:A,'参照_姫'!B:B,"見つかりません"))</f>
      </c>
      <c r="K1038" s="4">
        <v>95</v>
      </c>
      <c r="L1038" s="4">
        <v>0</v>
      </c>
      <c r="M1038" s="4"/>
      <c r="N1038" s="4"/>
      <c r="O1038" s="4"/>
      <c r="P1038" s="12" t="str">
        <f t="array" ref="P1038">IF(O1038:O5080="","",_xlfn.XLOOKUP(O1038:O5080,'参照_官位'!A:A,'参照_官位'!B:B,""))</f>
      </c>
      <c r="Q1038" s="12" t="str">
        <f t="array" ref="Q1038">IF(A1038:A5080="","",IFERROR(_xlfn.XLOOKUP(A1038:A5080,castles_state!K:K,castles_state!D:D)&amp;"主",IFERROR(_xlfn.XLOOKUP(A1038:A5080,kunishuClan!D:D,kunishuClan!B:B)&amp;"当主","")))</f>
      </c>
    </row>
    <row r="1039" ht="15.75" customHeight="1">
      <c r="A1039" s="4">
        <v>1020039</v>
      </c>
      <c r="B1039" s="12" t="str">
        <f t="array" ref="B1039">IF(A1039:A5081="","",_xlfn.XLOOKUP(A1039:A5081,'参照_武将'!A:A,'参照_武将'!B:B,"見つかりません"))</f>
      </c>
      <c r="C1039" s="4" t="s">
        <v>160</v>
      </c>
      <c r="D1039" s="4">
        <v>20</v>
      </c>
      <c r="E1039" s="12" t="str">
        <f t="array" ref="E1039">IF(D1039:D5081="","",IFERROR(_xlfn.XLOOKUP(D1039:D5081,'参照_勢力'!A:A,'参照_勢力'!B:B),IFERROR(_xlfn.XLOOKUP(F1039:F5081,kunishuClan!A:A,kunishuClan!B:B),"浪人")))</f>
      </c>
      <c r="F1039" s="4">
        <v>0</v>
      </c>
      <c r="G1039" s="4">
        <v>129</v>
      </c>
      <c r="H1039" s="12" t="str">
        <f t="array" ref="H1039">IF(G1039:G5081="","",_xlfn.XLOOKUP(G1039:G5081,castles_state!A:A,castles_state!D:D,"見つかりません"))</f>
      </c>
      <c r="I1039" s="4"/>
      <c r="J1039" s="12" t="str">
        <f t="array" ref="J1039">IF(I1039:I5081="","",_xlfn.XLOOKUP(I1039:I5081,'参照_姫'!A:A,'参照_姫'!B:B,"見つかりません"))</f>
      </c>
      <c r="K1039" s="4">
        <v>95</v>
      </c>
      <c r="L1039" s="4">
        <v>0</v>
      </c>
      <c r="M1039" s="4"/>
      <c r="N1039" s="4"/>
      <c r="O1039" s="4"/>
      <c r="P1039" s="12" t="str">
        <f t="array" ref="P1039">IF(O1039:O5081="","",_xlfn.XLOOKUP(O1039:O5081,'参照_官位'!A:A,'参照_官位'!B:B,""))</f>
      </c>
      <c r="Q1039" s="12" t="str">
        <f t="array" ref="Q1039">IF(A1039:A5081="","",IFERROR(_xlfn.XLOOKUP(A1039:A5081,castles_state!K:K,castles_state!D:D)&amp;"主",IFERROR(_xlfn.XLOOKUP(A1039:A5081,kunishuClan!D:D,kunishuClan!B:B)&amp;"当主","")))</f>
      </c>
    </row>
    <row r="1040" ht="15.75" customHeight="1">
      <c r="A1040" s="4">
        <v>1020040</v>
      </c>
      <c r="B1040" s="12" t="str">
        <f t="array" ref="B1040">IF(A1040:A5082="","",_xlfn.XLOOKUP(A1040:A5082,'参照_武将'!A:A,'参照_武将'!B:B,"見つかりません"))</f>
      </c>
      <c r="C1040" s="4" t="s">
        <v>160</v>
      </c>
      <c r="D1040" s="4">
        <v>20</v>
      </c>
      <c r="E1040" s="12" t="str">
        <f t="array" ref="E1040">IF(D1040:D5082="","",IFERROR(_xlfn.XLOOKUP(D1040:D5082,'参照_勢力'!A:A,'参照_勢力'!B:B),IFERROR(_xlfn.XLOOKUP(F1040:F5082,kunishuClan!A:A,kunishuClan!B:B),"浪人")))</f>
      </c>
      <c r="F1040" s="4">
        <v>0</v>
      </c>
      <c r="G1040" s="4">
        <v>130</v>
      </c>
      <c r="H1040" s="12" t="str">
        <f t="array" ref="H1040">IF(G1040:G5082="","",_xlfn.XLOOKUP(G1040:G5082,castles_state!A:A,castles_state!D:D,"見つかりません"))</f>
      </c>
      <c r="I1040" s="4"/>
      <c r="J1040" s="12" t="str">
        <f t="array" ref="J1040">IF(I1040:I5082="","",_xlfn.XLOOKUP(I1040:I5082,'参照_姫'!A:A,'参照_姫'!B:B,"見つかりません"))</f>
      </c>
      <c r="K1040" s="4">
        <v>95</v>
      </c>
      <c r="L1040" s="4">
        <v>200</v>
      </c>
      <c r="M1040" s="4"/>
      <c r="N1040" s="4"/>
      <c r="O1040" s="4"/>
      <c r="P1040" s="12" t="str">
        <f t="array" ref="P1040">IF(O1040:O5082="","",_xlfn.XLOOKUP(O1040:O5082,'参照_官位'!A:A,'参照_官位'!B:B,""))</f>
      </c>
      <c r="Q1040" s="12" t="str">
        <f t="array" ref="Q1040">IF(A1040:A5082="","",IFERROR(_xlfn.XLOOKUP(A1040:A5082,castles_state!K:K,castles_state!D:D)&amp;"主",IFERROR(_xlfn.XLOOKUP(A1040:A5082,kunishuClan!D:D,kunishuClan!B:B)&amp;"当主","")))</f>
      </c>
    </row>
    <row r="1041" ht="15.75" customHeight="1">
      <c r="A1041" s="4">
        <v>1020041</v>
      </c>
      <c r="B1041" s="12" t="str">
        <f t="array" ref="B1041">IF(A1041:A5083="","",_xlfn.XLOOKUP(A1041:A5083,'参照_武将'!A:A,'参照_武将'!B:B,"見つかりません"))</f>
      </c>
      <c r="C1041" s="4" t="s">
        <v>160</v>
      </c>
      <c r="D1041" s="4">
        <v>20</v>
      </c>
      <c r="E1041" s="12" t="str">
        <f t="array" ref="E1041">IF(D1041:D5083="","",IFERROR(_xlfn.XLOOKUP(D1041:D5083,'参照_勢力'!A:A,'参照_勢力'!B:B),IFERROR(_xlfn.XLOOKUP(F1041:F5083,kunishuClan!A:A,kunishuClan!B:B),"浪人")))</f>
      </c>
      <c r="F1041" s="4">
        <v>0</v>
      </c>
      <c r="G1041" s="4">
        <v>127</v>
      </c>
      <c r="H1041" s="12" t="str">
        <f t="array" ref="H1041">IF(G1041:G5083="","",_xlfn.XLOOKUP(G1041:G5083,castles_state!A:A,castles_state!D:D,"見つかりません"))</f>
      </c>
      <c r="I1041" s="4"/>
      <c r="J1041" s="12" t="str">
        <f t="array" ref="J1041">IF(I1041:I5083="","",_xlfn.XLOOKUP(I1041:I5083,'参照_姫'!A:A,'参照_姫'!B:B,"見つかりません"))</f>
      </c>
      <c r="K1041" s="4">
        <v>100</v>
      </c>
      <c r="L1041" s="4">
        <v>0</v>
      </c>
      <c r="M1041" s="4"/>
      <c r="N1041" s="4"/>
      <c r="O1041" s="4"/>
      <c r="P1041" s="12" t="str">
        <f t="array" ref="P1041">IF(O1041:O5083="","",_xlfn.XLOOKUP(O1041:O5083,'参照_官位'!A:A,'参照_官位'!B:B,""))</f>
      </c>
      <c r="Q1041" s="12" t="str">
        <f t="array" ref="Q1041">IF(A1041:A5083="","",IFERROR(_xlfn.XLOOKUP(A1041:A5083,castles_state!K:K,castles_state!D:D)&amp;"主",IFERROR(_xlfn.XLOOKUP(A1041:A5083,kunishuClan!D:D,kunishuClan!B:B)&amp;"当主","")))</f>
      </c>
    </row>
    <row r="1042" ht="15.75" customHeight="1">
      <c r="A1042" s="4">
        <v>1020042</v>
      </c>
      <c r="B1042" s="12" t="str">
        <f t="array" ref="B1042">IF(A1042:A5084="","",_xlfn.XLOOKUP(A1042:A5084,'参照_武将'!A:A,'参照_武将'!B:B,"見つかりません"))</f>
      </c>
      <c r="C1042" s="4" t="s">
        <v>160</v>
      </c>
      <c r="D1042" s="4">
        <v>20</v>
      </c>
      <c r="E1042" s="12" t="str">
        <f t="array" ref="E1042">IF(D1042:D5084="","",IFERROR(_xlfn.XLOOKUP(D1042:D5084,'参照_勢力'!A:A,'参照_勢力'!B:B),IFERROR(_xlfn.XLOOKUP(F1042:F5084,kunishuClan!A:A,kunishuClan!B:B),"浪人")))</f>
      </c>
      <c r="F1042" s="4">
        <v>0</v>
      </c>
      <c r="G1042" s="4">
        <v>181</v>
      </c>
      <c r="H1042" s="12" t="str">
        <f t="array" ref="H1042">IF(G1042:G5084="","",_xlfn.XLOOKUP(G1042:G5084,castles_state!A:A,castles_state!D:D,"見つかりません"))</f>
      </c>
      <c r="I1042" s="4"/>
      <c r="J1042" s="12" t="str">
        <f t="array" ref="J1042">IF(I1042:I5084="","",_xlfn.XLOOKUP(I1042:I5084,'参照_姫'!A:A,'参照_姫'!B:B,"見つかりません"))</f>
      </c>
      <c r="K1042" s="4">
        <v>95</v>
      </c>
      <c r="L1042" s="4">
        <v>300</v>
      </c>
      <c r="M1042" s="4"/>
      <c r="N1042" s="4"/>
      <c r="O1042" s="4"/>
      <c r="P1042" s="12" t="str">
        <f t="array" ref="P1042">IF(O1042:O5084="","",_xlfn.XLOOKUP(O1042:O5084,'参照_官位'!A:A,'参照_官位'!B:B,""))</f>
      </c>
      <c r="Q1042" s="12" t="str">
        <f t="array" ref="Q1042">IF(A1042:A5084="","",IFERROR(_xlfn.XLOOKUP(A1042:A5084,castles_state!K:K,castles_state!D:D)&amp;"主",IFERROR(_xlfn.XLOOKUP(A1042:A5084,kunishuClan!D:D,kunishuClan!B:B)&amp;"当主","")))</f>
      </c>
    </row>
    <row r="1043" ht="15.75" customHeight="1">
      <c r="A1043" s="4">
        <v>1020043</v>
      </c>
      <c r="B1043" s="12" t="str">
        <f t="array" ref="B1043">IF(A1043:A5085="","",_xlfn.XLOOKUP(A1043:A5085,'参照_武将'!A:A,'参照_武将'!B:B,"見つかりません"))</f>
      </c>
      <c r="C1043" s="4" t="s">
        <v>160</v>
      </c>
      <c r="D1043" s="4">
        <v>20</v>
      </c>
      <c r="E1043" s="12" t="str">
        <f t="array" ref="E1043">IF(D1043:D5085="","",IFERROR(_xlfn.XLOOKUP(D1043:D5085,'参照_勢力'!A:A,'参照_勢力'!B:B),IFERROR(_xlfn.XLOOKUP(F1043:F5085,kunishuClan!A:A,kunishuClan!B:B),"浪人")))</f>
      </c>
      <c r="F1043" s="4">
        <v>0</v>
      </c>
      <c r="G1043" s="4">
        <v>38</v>
      </c>
      <c r="H1043" s="12" t="str">
        <f t="array" ref="H1043">IF(G1043:G5085="","",_xlfn.XLOOKUP(G1043:G5085,castles_state!A:A,castles_state!D:D,"見つかりません"))</f>
      </c>
      <c r="I1043" s="4"/>
      <c r="J1043" s="12" t="str">
        <f t="array" ref="J1043">IF(I1043:I5085="","",_xlfn.XLOOKUP(I1043:I5085,'参照_姫'!A:A,'参照_姫'!B:B,"見つかりません"))</f>
      </c>
      <c r="K1043" s="4">
        <v>95</v>
      </c>
      <c r="L1043" s="4">
        <v>0</v>
      </c>
      <c r="M1043" s="4"/>
      <c r="N1043" s="4"/>
      <c r="O1043" s="4"/>
      <c r="P1043" s="12" t="str">
        <f t="array" ref="P1043">IF(O1043:O5085="","",_xlfn.XLOOKUP(O1043:O5085,'参照_官位'!A:A,'参照_官位'!B:B,""))</f>
      </c>
      <c r="Q1043" s="12" t="str">
        <f t="array" ref="Q1043">IF(A1043:A5085="","",IFERROR(_xlfn.XLOOKUP(A1043:A5085,castles_state!K:K,castles_state!D:D)&amp;"主",IFERROR(_xlfn.XLOOKUP(A1043:A5085,kunishuClan!D:D,kunishuClan!B:B)&amp;"当主","")))</f>
      </c>
    </row>
    <row r="1044" ht="15.75" customHeight="1">
      <c r="A1044" s="4">
        <v>1020044</v>
      </c>
      <c r="B1044" s="12" t="str">
        <f t="array" ref="B1044">IF(A1044:A5086="","",_xlfn.XLOOKUP(A1044:A5086,'参照_武将'!A:A,'参照_武将'!B:B,"見つかりません"))</f>
      </c>
      <c r="C1044" s="4" t="s">
        <v>160</v>
      </c>
      <c r="D1044" s="4">
        <v>20</v>
      </c>
      <c r="E1044" s="12" t="str">
        <f t="array" ref="E1044">IF(D1044:D5086="","",IFERROR(_xlfn.XLOOKUP(D1044:D5086,'参照_勢力'!A:A,'参照_勢力'!B:B),IFERROR(_xlfn.XLOOKUP(F1044:F5086,kunishuClan!A:A,kunishuClan!B:B),"浪人")))</f>
      </c>
      <c r="F1044" s="4">
        <v>0</v>
      </c>
      <c r="G1044" s="4">
        <v>38</v>
      </c>
      <c r="H1044" s="12" t="str">
        <f t="array" ref="H1044">IF(G1044:G5086="","",_xlfn.XLOOKUP(G1044:G5086,castles_state!A:A,castles_state!D:D,"見つかりません"))</f>
      </c>
      <c r="I1044" s="4"/>
      <c r="J1044" s="12" t="str">
        <f t="array" ref="J1044">IF(I1044:I5086="","",_xlfn.XLOOKUP(I1044:I5086,'参照_姫'!A:A,'参照_姫'!B:B,"見つかりません"))</f>
      </c>
      <c r="K1044" s="4">
        <v>90</v>
      </c>
      <c r="L1044" s="4">
        <v>0</v>
      </c>
      <c r="M1044" s="4"/>
      <c r="N1044" s="4"/>
      <c r="O1044" s="4"/>
      <c r="P1044" s="12" t="str">
        <f t="array" ref="P1044">IF(O1044:O5086="","",_xlfn.XLOOKUP(O1044:O5086,'参照_官位'!A:A,'参照_官位'!B:B,""))</f>
      </c>
      <c r="Q1044" s="12" t="str">
        <f t="array" ref="Q1044">IF(A1044:A5086="","",IFERROR(_xlfn.XLOOKUP(A1044:A5086,castles_state!K:K,castles_state!D:D)&amp;"主",IFERROR(_xlfn.XLOOKUP(A1044:A5086,kunishuClan!D:D,kunishuClan!B:B)&amp;"当主","")))</f>
      </c>
    </row>
    <row r="1045" ht="15.75" customHeight="1">
      <c r="A1045" s="4">
        <v>1020045</v>
      </c>
      <c r="B1045" s="12" t="str">
        <f t="array" ref="B1045">IF(A1045:A5087="","",_xlfn.XLOOKUP(A1045:A5087,'参照_武将'!A:A,'参照_武将'!B:B,"見つかりません"))</f>
      </c>
      <c r="C1045" s="4" t="s">
        <v>160</v>
      </c>
      <c r="D1045" s="4">
        <v>20</v>
      </c>
      <c r="E1045" s="12" t="str">
        <f t="array" ref="E1045">IF(D1045:D5087="","",IFERROR(_xlfn.XLOOKUP(D1045:D5087,'参照_勢力'!A:A,'参照_勢力'!B:B),IFERROR(_xlfn.XLOOKUP(F1045:F5087,kunishuClan!A:A,kunishuClan!B:B),"浪人")))</f>
      </c>
      <c r="F1045" s="4">
        <v>0</v>
      </c>
      <c r="G1045" s="4">
        <v>129</v>
      </c>
      <c r="H1045" s="12" t="str">
        <f t="array" ref="H1045">IF(G1045:G5087="","",_xlfn.XLOOKUP(G1045:G5087,castles_state!A:A,castles_state!D:D,"見つかりません"))</f>
      </c>
      <c r="I1045" s="4"/>
      <c r="J1045" s="12" t="str">
        <f t="array" ref="J1045">IF(I1045:I5087="","",_xlfn.XLOOKUP(I1045:I5087,'参照_姫'!A:A,'参照_姫'!B:B,"見つかりません"))</f>
      </c>
      <c r="K1045" s="4">
        <v>95</v>
      </c>
      <c r="L1045" s="4">
        <v>0</v>
      </c>
      <c r="M1045" s="4"/>
      <c r="N1045" s="4"/>
      <c r="O1045" s="4"/>
      <c r="P1045" s="12" t="str">
        <f t="array" ref="P1045">IF(O1045:O5087="","",_xlfn.XLOOKUP(O1045:O5087,'参照_官位'!A:A,'参照_官位'!B:B,""))</f>
      </c>
      <c r="Q1045" s="12" t="str">
        <f t="array" ref="Q1045">IF(A1045:A5087="","",IFERROR(_xlfn.XLOOKUP(A1045:A5087,castles_state!K:K,castles_state!D:D)&amp;"主",IFERROR(_xlfn.XLOOKUP(A1045:A5087,kunishuClan!D:D,kunishuClan!B:B)&amp;"当主","")))</f>
      </c>
    </row>
    <row r="1046" ht="15.75" customHeight="1">
      <c r="A1046" s="4">
        <v>1020046</v>
      </c>
      <c r="B1046" s="12" t="str">
        <f t="array" ref="B1046">IF(A1046:A5088="","",_xlfn.XLOOKUP(A1046:A5088,'参照_武将'!A:A,'参照_武将'!B:B,"見つかりません"))</f>
      </c>
      <c r="C1046" s="4" t="s">
        <v>160</v>
      </c>
      <c r="D1046" s="4">
        <v>20</v>
      </c>
      <c r="E1046" s="12" t="str">
        <f t="array" ref="E1046">IF(D1046:D5088="","",IFERROR(_xlfn.XLOOKUP(D1046:D5088,'参照_勢力'!A:A,'参照_勢力'!B:B),IFERROR(_xlfn.XLOOKUP(F1046:F5088,kunishuClan!A:A,kunishuClan!B:B),"浪人")))</f>
      </c>
      <c r="F1046" s="4">
        <v>0</v>
      </c>
      <c r="G1046" s="4">
        <v>129</v>
      </c>
      <c r="H1046" s="12" t="str">
        <f t="array" ref="H1046">IF(G1046:G5088="","",_xlfn.XLOOKUP(G1046:G5088,castles_state!A:A,castles_state!D:D,"見つかりません"))</f>
      </c>
      <c r="I1046" s="4"/>
      <c r="J1046" s="12" t="str">
        <f t="array" ref="J1046">IF(I1046:I5088="","",_xlfn.XLOOKUP(I1046:I5088,'参照_姫'!A:A,'参照_姫'!B:B,"見つかりません"))</f>
      </c>
      <c r="K1046" s="4">
        <v>95</v>
      </c>
      <c r="L1046" s="4">
        <v>0</v>
      </c>
      <c r="M1046" s="4"/>
      <c r="N1046" s="4"/>
      <c r="O1046" s="4"/>
      <c r="P1046" s="12" t="str">
        <f t="array" ref="P1046">IF(O1046:O5088="","",_xlfn.XLOOKUP(O1046:O5088,'参照_官位'!A:A,'参照_官位'!B:B,""))</f>
      </c>
      <c r="Q1046" s="12" t="str">
        <f t="array" ref="Q1046">IF(A1046:A5088="","",IFERROR(_xlfn.XLOOKUP(A1046:A5088,castles_state!K:K,castles_state!D:D)&amp;"主",IFERROR(_xlfn.XLOOKUP(A1046:A5088,kunishuClan!D:D,kunishuClan!B:B)&amp;"当主","")))</f>
      </c>
    </row>
    <row r="1047" ht="15.75" customHeight="1">
      <c r="A1047" s="4">
        <v>1020047</v>
      </c>
      <c r="B1047" s="12" t="str">
        <f t="array" ref="B1047">IF(A1047:A5089="","",_xlfn.XLOOKUP(A1047:A5089,'参照_武将'!A:A,'参照_武将'!B:B,"見つかりません"))</f>
      </c>
      <c r="C1047" s="4" t="s">
        <v>160</v>
      </c>
      <c r="D1047" s="4">
        <v>20</v>
      </c>
      <c r="E1047" s="12" t="str">
        <f t="array" ref="E1047">IF(D1047:D5089="","",IFERROR(_xlfn.XLOOKUP(D1047:D5089,'参照_勢力'!A:A,'参照_勢力'!B:B),IFERROR(_xlfn.XLOOKUP(F1047:F5089,kunishuClan!A:A,kunishuClan!B:B),"浪人")))</f>
      </c>
      <c r="F1047" s="4">
        <v>0</v>
      </c>
      <c r="G1047" s="4">
        <v>127</v>
      </c>
      <c r="H1047" s="12" t="str">
        <f t="array" ref="H1047">IF(G1047:G5089="","",_xlfn.XLOOKUP(G1047:G5089,castles_state!A:A,castles_state!D:D,"見つかりません"))</f>
      </c>
      <c r="I1047" s="4"/>
      <c r="J1047" s="12" t="str">
        <f t="array" ref="J1047">IF(I1047:I5089="","",_xlfn.XLOOKUP(I1047:I5089,'参照_姫'!A:A,'参照_姫'!B:B,"見つかりません"))</f>
      </c>
      <c r="K1047" s="4">
        <v>90</v>
      </c>
      <c r="L1047" s="4">
        <v>0</v>
      </c>
      <c r="M1047" s="4"/>
      <c r="N1047" s="4"/>
      <c r="O1047" s="4"/>
      <c r="P1047" s="12" t="str">
        <f t="array" ref="P1047">IF(O1047:O5089="","",_xlfn.XLOOKUP(O1047:O5089,'参照_官位'!A:A,'参照_官位'!B:B,""))</f>
      </c>
      <c r="Q1047" s="12" t="str">
        <f t="array" ref="Q1047">IF(A1047:A5089="","",IFERROR(_xlfn.XLOOKUP(A1047:A5089,castles_state!K:K,castles_state!D:D)&amp;"主",IFERROR(_xlfn.XLOOKUP(A1047:A5089,kunishuClan!D:D,kunishuClan!B:B)&amp;"当主","")))</f>
      </c>
    </row>
    <row r="1048" ht="15.75" customHeight="1">
      <c r="A1048" s="4">
        <v>1020048</v>
      </c>
      <c r="B1048" s="12" t="str">
        <f t="array" ref="B1048">IF(A1048:A5090="","",_xlfn.XLOOKUP(A1048:A5090,'参照_武将'!A:A,'参照_武将'!B:B,"見つかりません"))</f>
      </c>
      <c r="C1048" s="4" t="s">
        <v>160</v>
      </c>
      <c r="D1048" s="4">
        <v>20</v>
      </c>
      <c r="E1048" s="12" t="str">
        <f t="array" ref="E1048">IF(D1048:D5090="","",IFERROR(_xlfn.XLOOKUP(D1048:D5090,'参照_勢力'!A:A,'参照_勢力'!B:B),IFERROR(_xlfn.XLOOKUP(F1048:F5090,kunishuClan!A:A,kunishuClan!B:B),"浪人")))</f>
      </c>
      <c r="F1048" s="4">
        <v>0</v>
      </c>
      <c r="G1048" s="4">
        <v>38</v>
      </c>
      <c r="H1048" s="12" t="str">
        <f t="array" ref="H1048">IF(G1048:G5090="","",_xlfn.XLOOKUP(G1048:G5090,castles_state!A:A,castles_state!D:D,"見つかりません"))</f>
      </c>
      <c r="I1048" s="4"/>
      <c r="J1048" s="12" t="str">
        <f t="array" ref="J1048">IF(I1048:I5090="","",_xlfn.XLOOKUP(I1048:I5090,'参照_姫'!A:A,'参照_姫'!B:B,"見つかりません"))</f>
      </c>
      <c r="K1048" s="4">
        <v>90</v>
      </c>
      <c r="L1048" s="4">
        <v>0</v>
      </c>
      <c r="M1048" s="4"/>
      <c r="N1048" s="4"/>
      <c r="O1048" s="4"/>
      <c r="P1048" s="12" t="str">
        <f t="array" ref="P1048">IF(O1048:O5090="","",_xlfn.XLOOKUP(O1048:O5090,'参照_官位'!A:A,'参照_官位'!B:B,""))</f>
      </c>
      <c r="Q1048" s="12" t="str">
        <f t="array" ref="Q1048">IF(A1048:A5090="","",IFERROR(_xlfn.XLOOKUP(A1048:A5090,castles_state!K:K,castles_state!D:D)&amp;"主",IFERROR(_xlfn.XLOOKUP(A1048:A5090,kunishuClan!D:D,kunishuClan!B:B)&amp;"当主","")))</f>
      </c>
    </row>
    <row r="1049" ht="15.75" customHeight="1">
      <c r="A1049" s="4">
        <v>1021001</v>
      </c>
      <c r="B1049" s="12" t="str">
        <f t="array" ref="B1049">IF(A1049:A5091="","",_xlfn.XLOOKUP(A1049:A5091,'参照_武将'!A:A,'参照_武将'!B:B,"見つかりません"))</f>
      </c>
      <c r="C1049" s="4" t="s">
        <v>162</v>
      </c>
      <c r="D1049" s="4">
        <v>21</v>
      </c>
      <c r="E1049" s="12" t="str">
        <f t="array" ref="E1049">IF(D1049:D5091="","",IFERROR(_xlfn.XLOOKUP(D1049:D5091,'参照_勢力'!A:A,'参照_勢力'!B:B),IFERROR(_xlfn.XLOOKUP(F1049:F5091,kunishuClan!A:A,kunishuClan!B:B),"浪人")))</f>
      </c>
      <c r="F1049" s="4">
        <v>0</v>
      </c>
      <c r="G1049" s="4">
        <v>42</v>
      </c>
      <c r="H1049" s="12" t="str">
        <f t="array" ref="H1049">IF(G1049:G5091="","",_xlfn.XLOOKUP(G1049:G5091,castles_state!A:A,castles_state!D:D,"見つかりません"))</f>
      </c>
      <c r="I1049" s="4"/>
      <c r="J1049" s="12" t="str">
        <f t="array" ref="J1049">IF(I1049:I5091="","",_xlfn.XLOOKUP(I1049:I5091,'参照_姫'!A:A,'参照_姫'!B:B,"見つかりません"))</f>
      </c>
      <c r="K1049" s="4">
        <v>95</v>
      </c>
      <c r="L1049" s="4">
        <v>200</v>
      </c>
      <c r="M1049" s="4"/>
      <c r="N1049" s="4" t="b">
        <v>1</v>
      </c>
      <c r="O1049" s="4"/>
      <c r="P1049" s="12" t="str">
        <f t="array" ref="P1049">IF(O1049:O5091="","",_xlfn.XLOOKUP(O1049:O5091,'参照_官位'!A:A,'参照_官位'!B:B,""))</f>
      </c>
      <c r="Q1049" s="12" t="str">
        <f t="array" ref="Q1049">IF(A1049:A5091="","",IFERROR(_xlfn.XLOOKUP(A1049:A5091,castles_state!K:K,castles_state!D:D)&amp;"主",IFERROR(_xlfn.XLOOKUP(A1049:A5091,kunishuClan!D:D,kunishuClan!B:B)&amp;"当主","")))</f>
      </c>
    </row>
    <row r="1050" ht="15.75" customHeight="1">
      <c r="A1050" s="4">
        <v>1021002</v>
      </c>
      <c r="B1050" s="12" t="str">
        <f t="array" ref="B1050">IF(A1050:A5092="","",_xlfn.XLOOKUP(A1050:A5092,'参照_武将'!A:A,'参照_武将'!B:B,"見つかりません"))</f>
      </c>
      <c r="C1050" s="4" t="s">
        <v>162</v>
      </c>
      <c r="D1050" s="4">
        <v>21</v>
      </c>
      <c r="E1050" s="12" t="str">
        <f t="array" ref="E1050">IF(D1050:D5092="","",IFERROR(_xlfn.XLOOKUP(D1050:D5092,'参照_勢力'!A:A,'参照_勢力'!B:B),IFERROR(_xlfn.XLOOKUP(F1050:F5092,kunishuClan!A:A,kunishuClan!B:B),"浪人")))</f>
      </c>
      <c r="F1050" s="4">
        <v>0</v>
      </c>
      <c r="G1050" s="4">
        <v>42</v>
      </c>
      <c r="H1050" s="12" t="str">
        <f t="array" ref="H1050">IF(G1050:G5092="","",_xlfn.XLOOKUP(G1050:G5092,castles_state!A:A,castles_state!D:D,"見つかりません"))</f>
      </c>
      <c r="I1050" s="4"/>
      <c r="J1050" s="12" t="str">
        <f t="array" ref="J1050">IF(I1050:I5092="","",_xlfn.XLOOKUP(I1050:I5092,'参照_姫'!A:A,'参照_姫'!B:B,"見つかりません"))</f>
      </c>
      <c r="K1050" s="4">
        <v>95</v>
      </c>
      <c r="L1050" s="4">
        <v>200</v>
      </c>
      <c r="M1050" s="4"/>
      <c r="N1050" s="4" t="b">
        <v>1</v>
      </c>
      <c r="O1050" s="4"/>
      <c r="P1050" s="12" t="str">
        <f t="array" ref="P1050">IF(O1050:O5092="","",_xlfn.XLOOKUP(O1050:O5092,'参照_官位'!A:A,'参照_官位'!B:B,""))</f>
      </c>
      <c r="Q1050" s="12" t="str">
        <f t="array" ref="Q1050">IF(A1050:A5092="","",IFERROR(_xlfn.XLOOKUP(A1050:A5092,castles_state!K:K,castles_state!D:D)&amp;"主",IFERROR(_xlfn.XLOOKUP(A1050:A5092,kunishuClan!D:D,kunishuClan!B:B)&amp;"当主","")))</f>
      </c>
    </row>
    <row r="1051" ht="15.75" customHeight="1">
      <c r="A1051" s="4">
        <v>1021003</v>
      </c>
      <c r="B1051" s="12" t="str">
        <f t="array" ref="B1051">IF(A1051:A5093="","",_xlfn.XLOOKUP(A1051:A5093,'参照_武将'!A:A,'参照_武将'!B:B,"見つかりません"))</f>
      </c>
      <c r="C1051" s="4" t="s">
        <v>162</v>
      </c>
      <c r="D1051" s="4">
        <v>21</v>
      </c>
      <c r="E1051" s="12" t="str">
        <f t="array" ref="E1051">IF(D1051:D5093="","",IFERROR(_xlfn.XLOOKUP(D1051:D5093,'参照_勢力'!A:A,'参照_勢力'!B:B),IFERROR(_xlfn.XLOOKUP(F1051:F5093,kunishuClan!A:A,kunishuClan!B:B),"浪人")))</f>
      </c>
      <c r="F1051" s="4">
        <v>0</v>
      </c>
      <c r="G1051" s="4">
        <v>42</v>
      </c>
      <c r="H1051" s="12" t="str">
        <f t="array" ref="H1051">IF(G1051:G5093="","",_xlfn.XLOOKUP(G1051:G5093,castles_state!A:A,castles_state!D:D,"見つかりません"))</f>
      </c>
      <c r="I1051" s="4"/>
      <c r="J1051" s="12" t="str">
        <f t="array" ref="J1051">IF(I1051:I5093="","",_xlfn.XLOOKUP(I1051:I5093,'参照_姫'!A:A,'参照_姫'!B:B,"見つかりません"))</f>
      </c>
      <c r="K1051" s="4">
        <v>95</v>
      </c>
      <c r="L1051" s="4">
        <v>0</v>
      </c>
      <c r="M1051" s="4"/>
      <c r="N1051" s="4" t="b">
        <v>1</v>
      </c>
      <c r="O1051" s="4"/>
      <c r="P1051" s="12" t="str">
        <f t="array" ref="P1051">IF(O1051:O5093="","",_xlfn.XLOOKUP(O1051:O5093,'参照_官位'!A:A,'参照_官位'!B:B,""))</f>
      </c>
      <c r="Q1051" s="12" t="str">
        <f t="array" ref="Q1051">IF(A1051:A5093="","",IFERROR(_xlfn.XLOOKUP(A1051:A5093,castles_state!K:K,castles_state!D:D)&amp;"主",IFERROR(_xlfn.XLOOKUP(A1051:A5093,kunishuClan!D:D,kunishuClan!B:B)&amp;"当主","")))</f>
      </c>
    </row>
    <row r="1052" ht="15.75" customHeight="1">
      <c r="A1052" s="4">
        <v>1021004</v>
      </c>
      <c r="B1052" s="12" t="str">
        <f t="array" ref="B1052">IF(A1052:A5094="","",_xlfn.XLOOKUP(A1052:A5094,'参照_武将'!A:A,'参照_武将'!B:B,"見つかりません"))</f>
      </c>
      <c r="C1052" s="4" t="s">
        <v>162</v>
      </c>
      <c r="D1052" s="4">
        <v>21</v>
      </c>
      <c r="E1052" s="12" t="str">
        <f t="array" ref="E1052">IF(D1052:D5094="","",IFERROR(_xlfn.XLOOKUP(D1052:D5094,'参照_勢力'!A:A,'参照_勢力'!B:B),IFERROR(_xlfn.XLOOKUP(F1052:F5094,kunishuClan!A:A,kunishuClan!B:B),"浪人")))</f>
      </c>
      <c r="F1052" s="4">
        <v>0</v>
      </c>
      <c r="G1052" s="4">
        <v>42</v>
      </c>
      <c r="H1052" s="12" t="str">
        <f t="array" ref="H1052">IF(G1052:G5094="","",_xlfn.XLOOKUP(G1052:G5094,castles_state!A:A,castles_state!D:D,"見つかりません"))</f>
      </c>
      <c r="I1052" s="4"/>
      <c r="J1052" s="12" t="str">
        <f t="array" ref="J1052">IF(I1052:I5094="","",_xlfn.XLOOKUP(I1052:I5094,'参照_姫'!A:A,'参照_姫'!B:B,"見つかりません"))</f>
      </c>
      <c r="K1052" s="4">
        <v>100</v>
      </c>
      <c r="L1052" s="4">
        <v>1000</v>
      </c>
      <c r="M1052" s="4"/>
      <c r="N1052" s="4"/>
      <c r="O1052" s="4"/>
      <c r="P1052" s="12" t="str">
        <f t="array" ref="P1052">IF(O1052:O5094="","",_xlfn.XLOOKUP(O1052:O5094,'参照_官位'!A:A,'参照_官位'!B:B,""))</f>
      </c>
      <c r="Q1052" s="12" t="str">
        <f t="array" ref="Q1052">IF(A1052:A5094="","",IFERROR(_xlfn.XLOOKUP(A1052:A5094,castles_state!K:K,castles_state!D:D)&amp;"主",IFERROR(_xlfn.XLOOKUP(A1052:A5094,kunishuClan!D:D,kunishuClan!B:B)&amp;"当主","")))</f>
      </c>
    </row>
    <row r="1053" ht="15.75" customHeight="1">
      <c r="A1053" s="4">
        <v>1021005</v>
      </c>
      <c r="B1053" s="12" t="str">
        <f t="array" ref="B1053">IF(A1053:A5095="","",_xlfn.XLOOKUP(A1053:A5095,'参照_武将'!A:A,'参照_武将'!B:B,"見つかりません"))</f>
      </c>
      <c r="C1053" s="4" t="s">
        <v>162</v>
      </c>
      <c r="D1053" s="4">
        <v>21</v>
      </c>
      <c r="E1053" s="12" t="str">
        <f t="array" ref="E1053">IF(D1053:D5095="","",IFERROR(_xlfn.XLOOKUP(D1053:D5095,'参照_勢力'!A:A,'参照_勢力'!B:B),IFERROR(_xlfn.XLOOKUP(F1053:F5095,kunishuClan!A:A,kunishuClan!B:B),"浪人")))</f>
      </c>
      <c r="F1053" s="4">
        <v>0</v>
      </c>
      <c r="G1053" s="4">
        <v>42</v>
      </c>
      <c r="H1053" s="12" t="str">
        <f t="array" ref="H1053">IF(G1053:G5095="","",_xlfn.XLOOKUP(G1053:G5095,castles_state!A:A,castles_state!D:D,"見つかりません"))</f>
      </c>
      <c r="I1053" s="4"/>
      <c r="J1053" s="12" t="str">
        <f t="array" ref="J1053">IF(I1053:I5095="","",_xlfn.XLOOKUP(I1053:I5095,'参照_姫'!A:A,'参照_姫'!B:B,"見つかりません"))</f>
      </c>
      <c r="K1053" s="4">
        <v>95</v>
      </c>
      <c r="L1053" s="4">
        <v>500</v>
      </c>
      <c r="M1053" s="4"/>
      <c r="N1053" s="4"/>
      <c r="O1053" s="4"/>
      <c r="P1053" s="12" t="str">
        <f t="array" ref="P1053">IF(O1053:O5095="","",_xlfn.XLOOKUP(O1053:O5095,'参照_官位'!A:A,'参照_官位'!B:B,""))</f>
      </c>
      <c r="Q1053" s="12" t="str">
        <f t="array" ref="Q1053">IF(A1053:A5095="","",IFERROR(_xlfn.XLOOKUP(A1053:A5095,castles_state!K:K,castles_state!D:D)&amp;"主",IFERROR(_xlfn.XLOOKUP(A1053:A5095,kunishuClan!D:D,kunishuClan!B:B)&amp;"当主","")))</f>
      </c>
    </row>
    <row r="1054" ht="15.75" customHeight="1">
      <c r="A1054" s="4">
        <v>1021006</v>
      </c>
      <c r="B1054" s="12" t="str">
        <f t="array" ref="B1054">IF(A1054:A5096="","",_xlfn.XLOOKUP(A1054:A5096,'参照_武将'!A:A,'参照_武将'!B:B,"見つかりません"))</f>
      </c>
      <c r="C1054" s="4" t="s">
        <v>162</v>
      </c>
      <c r="D1054" s="4">
        <v>21</v>
      </c>
      <c r="E1054" s="12" t="str">
        <f t="array" ref="E1054">IF(D1054:D5096="","",IFERROR(_xlfn.XLOOKUP(D1054:D5096,'参照_勢力'!A:A,'参照_勢力'!B:B),IFERROR(_xlfn.XLOOKUP(F1054:F5096,kunishuClan!A:A,kunishuClan!B:B),"浪人")))</f>
      </c>
      <c r="F1054" s="4">
        <v>0</v>
      </c>
      <c r="G1054" s="4">
        <v>42</v>
      </c>
      <c r="H1054" s="12" t="str">
        <f t="array" ref="H1054">IF(G1054:G5096="","",_xlfn.XLOOKUP(G1054:G5096,castles_state!A:A,castles_state!D:D,"見つかりません"))</f>
      </c>
      <c r="I1054" s="4"/>
      <c r="J1054" s="12" t="str">
        <f t="array" ref="J1054">IF(I1054:I5096="","",_xlfn.XLOOKUP(I1054:I5096,'参照_姫'!A:A,'参照_姫'!B:B,"見つかりません"))</f>
      </c>
      <c r="K1054" s="4">
        <v>95</v>
      </c>
      <c r="L1054" s="4">
        <v>0</v>
      </c>
      <c r="M1054" s="4"/>
      <c r="N1054" s="4"/>
      <c r="O1054" s="4"/>
      <c r="P1054" s="12" t="str">
        <f t="array" ref="P1054">IF(O1054:O5096="","",_xlfn.XLOOKUP(O1054:O5096,'参照_官位'!A:A,'参照_官位'!B:B,""))</f>
      </c>
      <c r="Q1054" s="12" t="str">
        <f t="array" ref="Q1054">IF(A1054:A5096="","",IFERROR(_xlfn.XLOOKUP(A1054:A5096,castles_state!K:K,castles_state!D:D)&amp;"主",IFERROR(_xlfn.XLOOKUP(A1054:A5096,kunishuClan!D:D,kunishuClan!B:B)&amp;"当主","")))</f>
      </c>
    </row>
    <row r="1055" ht="15.75" customHeight="1">
      <c r="A1055" s="4">
        <v>1021007</v>
      </c>
      <c r="B1055" s="12" t="str">
        <f t="array" ref="B1055">IF(A1055:A5097="","",_xlfn.XLOOKUP(A1055:A5097,'参照_武将'!A:A,'参照_武将'!B:B,"見つかりません"))</f>
      </c>
      <c r="C1055" s="4" t="s">
        <v>162</v>
      </c>
      <c r="D1055" s="4">
        <v>21</v>
      </c>
      <c r="E1055" s="12" t="str">
        <f t="array" ref="E1055">IF(D1055:D5097="","",IFERROR(_xlfn.XLOOKUP(D1055:D5097,'参照_勢力'!A:A,'参照_勢力'!B:B),IFERROR(_xlfn.XLOOKUP(F1055:F5097,kunishuClan!A:A,kunishuClan!B:B),"浪人")))</f>
      </c>
      <c r="F1055" s="4">
        <v>0</v>
      </c>
      <c r="G1055" s="4">
        <v>42</v>
      </c>
      <c r="H1055" s="12" t="str">
        <f t="array" ref="H1055">IF(G1055:G5097="","",_xlfn.XLOOKUP(G1055:G5097,castles_state!A:A,castles_state!D:D,"見つかりません"))</f>
      </c>
      <c r="I1055" s="4"/>
      <c r="J1055" s="12" t="str">
        <f t="array" ref="J1055">IF(I1055:I5097="","",_xlfn.XLOOKUP(I1055:I5097,'参照_姫'!A:A,'参照_姫'!B:B,"見つかりません"))</f>
      </c>
      <c r="K1055" s="4">
        <v>95</v>
      </c>
      <c r="L1055" s="4">
        <v>0</v>
      </c>
      <c r="M1055" s="4"/>
      <c r="N1055" s="4"/>
      <c r="O1055" s="4"/>
      <c r="P1055" s="12" t="str">
        <f t="array" ref="P1055">IF(O1055:O5097="","",_xlfn.XLOOKUP(O1055:O5097,'参照_官位'!A:A,'参照_官位'!B:B,""))</f>
      </c>
      <c r="Q1055" s="12" t="str">
        <f t="array" ref="Q1055">IF(A1055:A5097="","",IFERROR(_xlfn.XLOOKUP(A1055:A5097,castles_state!K:K,castles_state!D:D)&amp;"主",IFERROR(_xlfn.XLOOKUP(A1055:A5097,kunishuClan!D:D,kunishuClan!B:B)&amp;"当主","")))</f>
      </c>
    </row>
    <row r="1056" ht="15.75" customHeight="1">
      <c r="A1056" s="4">
        <v>1021008</v>
      </c>
      <c r="B1056" s="12" t="str">
        <f t="array" ref="B1056">IF(A1056:A5098="","",_xlfn.XLOOKUP(A1056:A5098,'参照_武将'!A:A,'参照_武将'!B:B,"見つかりません"))</f>
      </c>
      <c r="C1056" s="4" t="s">
        <v>162</v>
      </c>
      <c r="D1056" s="4">
        <v>21</v>
      </c>
      <c r="E1056" s="12" t="str">
        <f t="array" ref="E1056">IF(D1056:D5098="","",IFERROR(_xlfn.XLOOKUP(D1056:D5098,'参照_勢力'!A:A,'参照_勢力'!B:B),IFERROR(_xlfn.XLOOKUP(F1056:F5098,kunishuClan!A:A,kunishuClan!B:B),"浪人")))</f>
      </c>
      <c r="F1056" s="4">
        <v>0</v>
      </c>
      <c r="G1056" s="4">
        <v>42</v>
      </c>
      <c r="H1056" s="12" t="str">
        <f t="array" ref="H1056">IF(G1056:G5098="","",_xlfn.XLOOKUP(G1056:G5098,castles_state!A:A,castles_state!D:D,"見つかりません"))</f>
      </c>
      <c r="I1056" s="4"/>
      <c r="J1056" s="12" t="str">
        <f t="array" ref="J1056">IF(I1056:I5098="","",_xlfn.XLOOKUP(I1056:I5098,'参照_姫'!A:A,'参照_姫'!B:B,"見つかりません"))</f>
      </c>
      <c r="K1056" s="4">
        <v>95</v>
      </c>
      <c r="L1056" s="4">
        <v>300</v>
      </c>
      <c r="M1056" s="4" t="b">
        <v>1</v>
      </c>
      <c r="N1056" s="4"/>
      <c r="O1056" s="4"/>
      <c r="P1056" s="12" t="str">
        <f t="array" ref="P1056">IF(O1056:O5098="","",_xlfn.XLOOKUP(O1056:O5098,'参照_官位'!A:A,'参照_官位'!B:B,""))</f>
      </c>
      <c r="Q1056" s="12" t="str">
        <f t="array" ref="Q1056">IF(A1056:A5098="","",IFERROR(_xlfn.XLOOKUP(A1056:A5098,castles_state!K:K,castles_state!D:D)&amp;"主",IFERROR(_xlfn.XLOOKUP(A1056:A5098,kunishuClan!D:D,kunishuClan!B:B)&amp;"当主","")))</f>
      </c>
    </row>
    <row r="1057" ht="15.75" customHeight="1">
      <c r="A1057" s="4">
        <v>1021009</v>
      </c>
      <c r="B1057" s="12" t="str">
        <f t="array" ref="B1057">IF(A1057:A5099="","",_xlfn.XLOOKUP(A1057:A5099,'参照_武将'!A:A,'参照_武将'!B:B,"見つかりません"))</f>
      </c>
      <c r="C1057" s="4" t="s">
        <v>162</v>
      </c>
      <c r="D1057" s="4">
        <v>21</v>
      </c>
      <c r="E1057" s="12" t="str">
        <f t="array" ref="E1057">IF(D1057:D5099="","",IFERROR(_xlfn.XLOOKUP(D1057:D5099,'参照_勢力'!A:A,'参照_勢力'!B:B),IFERROR(_xlfn.XLOOKUP(F1057:F5099,kunishuClan!A:A,kunishuClan!B:B),"浪人")))</f>
      </c>
      <c r="F1057" s="4">
        <v>0</v>
      </c>
      <c r="G1057" s="4">
        <v>42</v>
      </c>
      <c r="H1057" s="12" t="str">
        <f t="array" ref="H1057">IF(G1057:G5099="","",_xlfn.XLOOKUP(G1057:G5099,castles_state!A:A,castles_state!D:D,"見つかりません"))</f>
      </c>
      <c r="I1057" s="4"/>
      <c r="J1057" s="12" t="str">
        <f t="array" ref="J1057">IF(I1057:I5099="","",_xlfn.XLOOKUP(I1057:I5099,'参照_姫'!A:A,'参照_姫'!B:B,"見つかりません"))</f>
      </c>
      <c r="K1057" s="4">
        <v>95</v>
      </c>
      <c r="L1057" s="4">
        <v>0</v>
      </c>
      <c r="M1057" s="4"/>
      <c r="N1057" s="4"/>
      <c r="O1057" s="4"/>
      <c r="P1057" s="12" t="str">
        <f t="array" ref="P1057">IF(O1057:O5099="","",_xlfn.XLOOKUP(O1057:O5099,'参照_官位'!A:A,'参照_官位'!B:B,""))</f>
      </c>
      <c r="Q1057" s="12" t="str">
        <f t="array" ref="Q1057">IF(A1057:A5099="","",IFERROR(_xlfn.XLOOKUP(A1057:A5099,castles_state!K:K,castles_state!D:D)&amp;"主",IFERROR(_xlfn.XLOOKUP(A1057:A5099,kunishuClan!D:D,kunishuClan!B:B)&amp;"当主","")))</f>
      </c>
    </row>
    <row r="1058" ht="15.75" customHeight="1">
      <c r="A1058" s="4">
        <v>1021010</v>
      </c>
      <c r="B1058" s="12" t="str">
        <f t="array" ref="B1058">IF(A1058:A5100="","",_xlfn.XLOOKUP(A1058:A5100,'参照_武将'!A:A,'参照_武将'!B:B,"見つかりません"))</f>
      </c>
      <c r="C1058" s="4" t="s">
        <v>162</v>
      </c>
      <c r="D1058" s="4">
        <v>21</v>
      </c>
      <c r="E1058" s="12" t="str">
        <f t="array" ref="E1058">IF(D1058:D5100="","",IFERROR(_xlfn.XLOOKUP(D1058:D5100,'参照_勢力'!A:A,'参照_勢力'!B:B),IFERROR(_xlfn.XLOOKUP(F1058:F5100,kunishuClan!A:A,kunishuClan!B:B),"浪人")))</f>
      </c>
      <c r="F1058" s="4">
        <v>0</v>
      </c>
      <c r="G1058" s="4">
        <v>42</v>
      </c>
      <c r="H1058" s="12" t="str">
        <f t="array" ref="H1058">IF(G1058:G5100="","",_xlfn.XLOOKUP(G1058:G5100,castles_state!A:A,castles_state!D:D,"見つかりません"))</f>
      </c>
      <c r="I1058" s="4"/>
      <c r="J1058" s="12" t="str">
        <f t="array" ref="J1058">IF(I1058:I5100="","",_xlfn.XLOOKUP(I1058:I5100,'参照_姫'!A:A,'参照_姫'!B:B,"見つかりません"))</f>
      </c>
      <c r="K1058" s="4">
        <v>95</v>
      </c>
      <c r="L1058" s="4">
        <v>0</v>
      </c>
      <c r="M1058" s="4"/>
      <c r="N1058" s="4"/>
      <c r="O1058" s="4"/>
      <c r="P1058" s="12" t="str">
        <f t="array" ref="P1058">IF(O1058:O5100="","",_xlfn.XLOOKUP(O1058:O5100,'参照_官位'!A:A,'参照_官位'!B:B,""))</f>
      </c>
      <c r="Q1058" s="12" t="str">
        <f t="array" ref="Q1058">IF(A1058:A5100="","",IFERROR(_xlfn.XLOOKUP(A1058:A5100,castles_state!K:K,castles_state!D:D)&amp;"主",IFERROR(_xlfn.XLOOKUP(A1058:A5100,kunishuClan!D:D,kunishuClan!B:B)&amp;"当主","")))</f>
      </c>
    </row>
    <row r="1059" ht="15.75" customHeight="1">
      <c r="A1059" s="4">
        <v>1021011</v>
      </c>
      <c r="B1059" s="12" t="str">
        <f t="array" ref="B1059">IF(A1059:A5101="","",_xlfn.XLOOKUP(A1059:A5101,'参照_武将'!A:A,'参照_武将'!B:B,"見つかりません"))</f>
      </c>
      <c r="C1059" s="4" t="s">
        <v>162</v>
      </c>
      <c r="D1059" s="4">
        <v>21</v>
      </c>
      <c r="E1059" s="12" t="str">
        <f t="array" ref="E1059">IF(D1059:D5101="","",IFERROR(_xlfn.XLOOKUP(D1059:D5101,'参照_勢力'!A:A,'参照_勢力'!B:B),IFERROR(_xlfn.XLOOKUP(F1059:F5101,kunishuClan!A:A,kunishuClan!B:B),"浪人")))</f>
      </c>
      <c r="F1059" s="4">
        <v>0</v>
      </c>
      <c r="G1059" s="4">
        <v>42</v>
      </c>
      <c r="H1059" s="12" t="str">
        <f t="array" ref="H1059">IF(G1059:G5101="","",_xlfn.XLOOKUP(G1059:G5101,castles_state!A:A,castles_state!D:D,"見つかりません"))</f>
      </c>
      <c r="I1059" s="4"/>
      <c r="J1059" s="12" t="str">
        <f t="array" ref="J1059">IF(I1059:I5101="","",_xlfn.XLOOKUP(I1059:I5101,'参照_姫'!A:A,'参照_姫'!B:B,"見つかりません"))</f>
      </c>
      <c r="K1059" s="4">
        <v>95</v>
      </c>
      <c r="L1059" s="4">
        <v>0</v>
      </c>
      <c r="M1059" s="4"/>
      <c r="N1059" s="4"/>
      <c r="O1059" s="4"/>
      <c r="P1059" s="12" t="str">
        <f t="array" ref="P1059">IF(O1059:O5101="","",_xlfn.XLOOKUP(O1059:O5101,'参照_官位'!A:A,'参照_官位'!B:B,""))</f>
      </c>
      <c r="Q1059" s="12" t="str">
        <f t="array" ref="Q1059">IF(A1059:A5101="","",IFERROR(_xlfn.XLOOKUP(A1059:A5101,castles_state!K:K,castles_state!D:D)&amp;"主",IFERROR(_xlfn.XLOOKUP(A1059:A5101,kunishuClan!D:D,kunishuClan!B:B)&amp;"当主","")))</f>
      </c>
    </row>
    <row r="1060" ht="15.75" customHeight="1">
      <c r="A1060" s="4">
        <v>1021012</v>
      </c>
      <c r="B1060" s="12" t="str">
        <f t="array" ref="B1060">IF(A1060:A5102="","",_xlfn.XLOOKUP(A1060:A5102,'参照_武将'!A:A,'参照_武将'!B:B,"見つかりません"))</f>
      </c>
      <c r="C1060" s="4" t="s">
        <v>162</v>
      </c>
      <c r="D1060" s="4">
        <v>21</v>
      </c>
      <c r="E1060" s="12" t="str">
        <f t="array" ref="E1060">IF(D1060:D5102="","",IFERROR(_xlfn.XLOOKUP(D1060:D5102,'参照_勢力'!A:A,'参照_勢力'!B:B),IFERROR(_xlfn.XLOOKUP(F1060:F5102,kunishuClan!A:A,kunishuClan!B:B),"浪人")))</f>
      </c>
      <c r="F1060" s="4">
        <v>0</v>
      </c>
      <c r="G1060" s="4">
        <v>42</v>
      </c>
      <c r="H1060" s="12" t="str">
        <f t="array" ref="H1060">IF(G1060:G5102="","",_xlfn.XLOOKUP(G1060:G5102,castles_state!A:A,castles_state!D:D,"見つかりません"))</f>
      </c>
      <c r="I1060" s="4"/>
      <c r="J1060" s="12" t="str">
        <f t="array" ref="J1060">IF(I1060:I5102="","",_xlfn.XLOOKUP(I1060:I5102,'参照_姫'!A:A,'参照_姫'!B:B,"見つかりません"))</f>
      </c>
      <c r="K1060" s="4">
        <v>95</v>
      </c>
      <c r="L1060" s="4">
        <v>0</v>
      </c>
      <c r="M1060" s="4"/>
      <c r="N1060" s="4"/>
      <c r="O1060" s="4"/>
      <c r="P1060" s="12" t="str">
        <f t="array" ref="P1060">IF(O1060:O5102="","",_xlfn.XLOOKUP(O1060:O5102,'参照_官位'!A:A,'参照_官位'!B:B,""))</f>
      </c>
      <c r="Q1060" s="12" t="str">
        <f t="array" ref="Q1060">IF(A1060:A5102="","",IFERROR(_xlfn.XLOOKUP(A1060:A5102,castles_state!K:K,castles_state!D:D)&amp;"主",IFERROR(_xlfn.XLOOKUP(A1060:A5102,kunishuClan!D:D,kunishuClan!B:B)&amp;"当主","")))</f>
      </c>
    </row>
    <row r="1061" ht="15.75" customHeight="1">
      <c r="A1061" s="4">
        <v>1021013</v>
      </c>
      <c r="B1061" s="12" t="str">
        <f t="array" ref="B1061">IF(A1061:A5103="","",_xlfn.XLOOKUP(A1061:A5103,'参照_武将'!A:A,'参照_武将'!B:B,"見つかりません"))</f>
      </c>
      <c r="C1061" s="4" t="s">
        <v>162</v>
      </c>
      <c r="D1061" s="4">
        <v>21</v>
      </c>
      <c r="E1061" s="12" t="str">
        <f t="array" ref="E1061">IF(D1061:D5103="","",IFERROR(_xlfn.XLOOKUP(D1061:D5103,'参照_勢力'!A:A,'参照_勢力'!B:B),IFERROR(_xlfn.XLOOKUP(F1061:F5103,kunishuClan!A:A,kunishuClan!B:B),"浪人")))</f>
      </c>
      <c r="F1061" s="4">
        <v>0</v>
      </c>
      <c r="G1061" s="4">
        <v>42</v>
      </c>
      <c r="H1061" s="12" t="str">
        <f t="array" ref="H1061">IF(G1061:G5103="","",_xlfn.XLOOKUP(G1061:G5103,castles_state!A:A,castles_state!D:D,"見つかりません"))</f>
      </c>
      <c r="I1061" s="4"/>
      <c r="J1061" s="12" t="str">
        <f t="array" ref="J1061">IF(I1061:I5103="","",_xlfn.XLOOKUP(I1061:I5103,'参照_姫'!A:A,'参照_姫'!B:B,"見つかりません"))</f>
      </c>
      <c r="K1061" s="4">
        <v>95</v>
      </c>
      <c r="L1061" s="4">
        <v>0</v>
      </c>
      <c r="M1061" s="4"/>
      <c r="N1061" s="4"/>
      <c r="O1061" s="4"/>
      <c r="P1061" s="12" t="str">
        <f t="array" ref="P1061">IF(O1061:O5103="","",_xlfn.XLOOKUP(O1061:O5103,'参照_官位'!A:A,'参照_官位'!B:B,""))</f>
      </c>
      <c r="Q1061" s="12" t="str">
        <f t="array" ref="Q1061">IF(A1061:A5103="","",IFERROR(_xlfn.XLOOKUP(A1061:A5103,castles_state!K:K,castles_state!D:D)&amp;"主",IFERROR(_xlfn.XLOOKUP(A1061:A5103,kunishuClan!D:D,kunishuClan!B:B)&amp;"当主","")))</f>
      </c>
    </row>
    <row r="1062" ht="15.75" customHeight="1">
      <c r="A1062" s="4">
        <v>1021014</v>
      </c>
      <c r="B1062" s="12" t="str">
        <f t="array" ref="B1062">IF(A1062:A5104="","",_xlfn.XLOOKUP(A1062:A5104,'参照_武将'!A:A,'参照_武将'!B:B,"見つかりません"))</f>
      </c>
      <c r="C1062" s="4" t="s">
        <v>162</v>
      </c>
      <c r="D1062" s="4">
        <v>21</v>
      </c>
      <c r="E1062" s="12" t="str">
        <f t="array" ref="E1062">IF(D1062:D5104="","",IFERROR(_xlfn.XLOOKUP(D1062:D5104,'参照_勢力'!A:A,'参照_勢力'!B:B),IFERROR(_xlfn.XLOOKUP(F1062:F5104,kunishuClan!A:A,kunishuClan!B:B),"浪人")))</f>
      </c>
      <c r="F1062" s="4">
        <v>0</v>
      </c>
      <c r="G1062" s="4">
        <v>42</v>
      </c>
      <c r="H1062" s="12" t="str">
        <f t="array" ref="H1062">IF(G1062:G5104="","",_xlfn.XLOOKUP(G1062:G5104,castles_state!A:A,castles_state!D:D,"見つかりません"))</f>
      </c>
      <c r="I1062" s="4"/>
      <c r="J1062" s="12" t="str">
        <f t="array" ref="J1062">IF(I1062:I5104="","",_xlfn.XLOOKUP(I1062:I5104,'参照_姫'!A:A,'参照_姫'!B:B,"見つかりません"))</f>
      </c>
      <c r="K1062" s="4">
        <v>95</v>
      </c>
      <c r="L1062" s="4">
        <v>300</v>
      </c>
      <c r="M1062" s="4"/>
      <c r="N1062" s="4"/>
      <c r="O1062" s="4"/>
      <c r="P1062" s="12" t="str">
        <f t="array" ref="P1062">IF(O1062:O5104="","",_xlfn.XLOOKUP(O1062:O5104,'参照_官位'!A:A,'参照_官位'!B:B,""))</f>
      </c>
      <c r="Q1062" s="12" t="str">
        <f t="array" ref="Q1062">IF(A1062:A5104="","",IFERROR(_xlfn.XLOOKUP(A1062:A5104,castles_state!K:K,castles_state!D:D)&amp;"主",IFERROR(_xlfn.XLOOKUP(A1062:A5104,kunishuClan!D:D,kunishuClan!B:B)&amp;"当主","")))</f>
      </c>
    </row>
    <row r="1063" ht="15.75" customHeight="1">
      <c r="A1063" s="4">
        <v>1021015</v>
      </c>
      <c r="B1063" s="12" t="str">
        <f t="array" ref="B1063">IF(A1063:A5105="","",_xlfn.XLOOKUP(A1063:A5105,'参照_武将'!A:A,'参照_武将'!B:B,"見つかりません"))</f>
      </c>
      <c r="C1063" s="4" t="s">
        <v>162</v>
      </c>
      <c r="D1063" s="4">
        <v>21</v>
      </c>
      <c r="E1063" s="12" t="str">
        <f t="array" ref="E1063">IF(D1063:D5105="","",IFERROR(_xlfn.XLOOKUP(D1063:D5105,'参照_勢力'!A:A,'参照_勢力'!B:B),IFERROR(_xlfn.XLOOKUP(F1063:F5105,kunishuClan!A:A,kunishuClan!B:B),"浪人")))</f>
      </c>
      <c r="F1063" s="4">
        <v>0</v>
      </c>
      <c r="G1063" s="4">
        <v>42</v>
      </c>
      <c r="H1063" s="12" t="str">
        <f t="array" ref="H1063">IF(G1063:G5105="","",_xlfn.XLOOKUP(G1063:G5105,castles_state!A:A,castles_state!D:D,"見つかりません"))</f>
      </c>
      <c r="I1063" s="4"/>
      <c r="J1063" s="12" t="str">
        <f t="array" ref="J1063">IF(I1063:I5105="","",_xlfn.XLOOKUP(I1063:I5105,'参照_姫'!A:A,'参照_姫'!B:B,"見つかりません"))</f>
      </c>
      <c r="K1063" s="4">
        <v>95</v>
      </c>
      <c r="L1063" s="4">
        <v>0</v>
      </c>
      <c r="M1063" s="4"/>
      <c r="N1063" s="4"/>
      <c r="O1063" s="4"/>
      <c r="P1063" s="12" t="str">
        <f t="array" ref="P1063">IF(O1063:O5105="","",_xlfn.XLOOKUP(O1063:O5105,'参照_官位'!A:A,'参照_官位'!B:B,""))</f>
      </c>
      <c r="Q1063" s="12" t="str">
        <f t="array" ref="Q1063">IF(A1063:A5105="","",IFERROR(_xlfn.XLOOKUP(A1063:A5105,castles_state!K:K,castles_state!D:D)&amp;"主",IFERROR(_xlfn.XLOOKUP(A1063:A5105,kunishuClan!D:D,kunishuClan!B:B)&amp;"当主","")))</f>
      </c>
    </row>
    <row r="1064" ht="15.75" customHeight="1">
      <c r="A1064" s="4">
        <v>1021016</v>
      </c>
      <c r="B1064" s="12" t="str">
        <f t="array" ref="B1064">IF(A1064:A5106="","",_xlfn.XLOOKUP(A1064:A5106,'参照_武将'!A:A,'参照_武将'!B:B,"見つかりません"))</f>
      </c>
      <c r="C1064" s="4" t="s">
        <v>162</v>
      </c>
      <c r="D1064" s="4">
        <v>21</v>
      </c>
      <c r="E1064" s="12" t="str">
        <f t="array" ref="E1064">IF(D1064:D5106="","",IFERROR(_xlfn.XLOOKUP(D1064:D5106,'参照_勢力'!A:A,'参照_勢力'!B:B),IFERROR(_xlfn.XLOOKUP(F1064:F5106,kunishuClan!A:A,kunishuClan!B:B),"浪人")))</f>
      </c>
      <c r="F1064" s="4">
        <v>0</v>
      </c>
      <c r="G1064" s="4">
        <v>42</v>
      </c>
      <c r="H1064" s="12" t="str">
        <f t="array" ref="H1064">IF(G1064:G5106="","",_xlfn.XLOOKUP(G1064:G5106,castles_state!A:A,castles_state!D:D,"見つかりません"))</f>
      </c>
      <c r="I1064" s="4"/>
      <c r="J1064" s="12" t="str">
        <f t="array" ref="J1064">IF(I1064:I5106="","",_xlfn.XLOOKUP(I1064:I5106,'参照_姫'!A:A,'参照_姫'!B:B,"見つかりません"))</f>
      </c>
      <c r="K1064" s="4">
        <v>95</v>
      </c>
      <c r="L1064" s="4">
        <v>0</v>
      </c>
      <c r="M1064" s="4"/>
      <c r="N1064" s="4"/>
      <c r="O1064" s="4"/>
      <c r="P1064" s="12" t="str">
        <f t="array" ref="P1064">IF(O1064:O5106="","",_xlfn.XLOOKUP(O1064:O5106,'参照_官位'!A:A,'参照_官位'!B:B,""))</f>
      </c>
      <c r="Q1064" s="12" t="str">
        <f t="array" ref="Q1064">IF(A1064:A5106="","",IFERROR(_xlfn.XLOOKUP(A1064:A5106,castles_state!K:K,castles_state!D:D)&amp;"主",IFERROR(_xlfn.XLOOKUP(A1064:A5106,kunishuClan!D:D,kunishuClan!B:B)&amp;"当主","")))</f>
      </c>
    </row>
    <row r="1065" ht="15.75" customHeight="1">
      <c r="A1065" s="4">
        <v>1021017</v>
      </c>
      <c r="B1065" s="12" t="str">
        <f t="array" ref="B1065">IF(A1065:A5107="","",_xlfn.XLOOKUP(A1065:A5107,'参照_武将'!A:A,'参照_武将'!B:B,"見つかりません"))</f>
      </c>
      <c r="C1065" s="4" t="s">
        <v>162</v>
      </c>
      <c r="D1065" s="4">
        <v>21</v>
      </c>
      <c r="E1065" s="12" t="str">
        <f t="array" ref="E1065">IF(D1065:D5107="","",IFERROR(_xlfn.XLOOKUP(D1065:D5107,'参照_勢力'!A:A,'参照_勢力'!B:B),IFERROR(_xlfn.XLOOKUP(F1065:F5107,kunishuClan!A:A,kunishuClan!B:B),"浪人")))</f>
      </c>
      <c r="F1065" s="4">
        <v>0</v>
      </c>
      <c r="G1065" s="4">
        <v>42</v>
      </c>
      <c r="H1065" s="12" t="str">
        <f t="array" ref="H1065">IF(G1065:G5107="","",_xlfn.XLOOKUP(G1065:G5107,castles_state!A:A,castles_state!D:D,"見つかりません"))</f>
      </c>
      <c r="I1065" s="4"/>
      <c r="J1065" s="12" t="str">
        <f t="array" ref="J1065">IF(I1065:I5107="","",_xlfn.XLOOKUP(I1065:I5107,'参照_姫'!A:A,'参照_姫'!B:B,"見つかりません"))</f>
      </c>
      <c r="K1065" s="4">
        <v>95</v>
      </c>
      <c r="L1065" s="4">
        <v>0</v>
      </c>
      <c r="M1065" s="4"/>
      <c r="N1065" s="4"/>
      <c r="O1065" s="4"/>
      <c r="P1065" s="12" t="str">
        <f t="array" ref="P1065">IF(O1065:O5107="","",_xlfn.XLOOKUP(O1065:O5107,'参照_官位'!A:A,'参照_官位'!B:B,""))</f>
      </c>
      <c r="Q1065" s="12" t="str">
        <f t="array" ref="Q1065">IF(A1065:A5107="","",IFERROR(_xlfn.XLOOKUP(A1065:A5107,castles_state!K:K,castles_state!D:D)&amp;"主",IFERROR(_xlfn.XLOOKUP(A1065:A5107,kunishuClan!D:D,kunishuClan!B:B)&amp;"当主","")))</f>
      </c>
    </row>
    <row r="1066" ht="15.75" customHeight="1">
      <c r="A1066" s="4">
        <v>1021018</v>
      </c>
      <c r="B1066" s="12" t="str">
        <f t="array" ref="B1066">IF(A1066:A5108="","",_xlfn.XLOOKUP(A1066:A5108,'参照_武将'!A:A,'参照_武将'!B:B,"見つかりません"))</f>
      </c>
      <c r="C1066" s="4" t="s">
        <v>162</v>
      </c>
      <c r="D1066" s="4">
        <v>21</v>
      </c>
      <c r="E1066" s="12" t="str">
        <f t="array" ref="E1066">IF(D1066:D5108="","",IFERROR(_xlfn.XLOOKUP(D1066:D5108,'参照_勢力'!A:A,'参照_勢力'!B:B),IFERROR(_xlfn.XLOOKUP(F1066:F5108,kunishuClan!A:A,kunishuClan!B:B),"浪人")))</f>
      </c>
      <c r="F1066" s="4">
        <v>0</v>
      </c>
      <c r="G1066" s="4">
        <v>42</v>
      </c>
      <c r="H1066" s="12" t="str">
        <f t="array" ref="H1066">IF(G1066:G5108="","",_xlfn.XLOOKUP(G1066:G5108,castles_state!A:A,castles_state!D:D,"見つかりません"))</f>
      </c>
      <c r="I1066" s="4"/>
      <c r="J1066" s="12" t="str">
        <f t="array" ref="J1066">IF(I1066:I5108="","",_xlfn.XLOOKUP(I1066:I5108,'参照_姫'!A:A,'参照_姫'!B:B,"見つかりません"))</f>
      </c>
      <c r="K1066" s="4">
        <v>95</v>
      </c>
      <c r="L1066" s="4">
        <v>0</v>
      </c>
      <c r="M1066" s="4"/>
      <c r="N1066" s="4"/>
      <c r="O1066" s="4"/>
      <c r="P1066" s="12" t="str">
        <f t="array" ref="P1066">IF(O1066:O5108="","",_xlfn.XLOOKUP(O1066:O5108,'参照_官位'!A:A,'参照_官位'!B:B,""))</f>
      </c>
      <c r="Q1066" s="12" t="str">
        <f t="array" ref="Q1066">IF(A1066:A5108="","",IFERROR(_xlfn.XLOOKUP(A1066:A5108,castles_state!K:K,castles_state!D:D)&amp;"主",IFERROR(_xlfn.XLOOKUP(A1066:A5108,kunishuClan!D:D,kunishuClan!B:B)&amp;"当主","")))</f>
      </c>
    </row>
    <row r="1067" ht="15.75" customHeight="1">
      <c r="A1067" s="4">
        <v>1022001</v>
      </c>
      <c r="B1067" s="12" t="str">
        <f t="array" ref="B1067">IF(A1067:A5109="","",_xlfn.XLOOKUP(A1067:A5109,'参照_武将'!A:A,'参照_武将'!B:B,"見つかりません"))</f>
      </c>
      <c r="C1067" s="4" t="s">
        <v>164</v>
      </c>
      <c r="D1067" s="4">
        <v>22</v>
      </c>
      <c r="E1067" s="12" t="str">
        <f t="array" ref="E1067">IF(D1067:D5109="","",IFERROR(_xlfn.XLOOKUP(D1067:D5109,'参照_勢力'!A:A,'参照_勢力'!B:B),IFERROR(_xlfn.XLOOKUP(F1067:F5109,kunishuClan!A:A,kunishuClan!B:B),"浪人")))</f>
      </c>
      <c r="F1067" s="4">
        <v>0</v>
      </c>
      <c r="G1067" s="4">
        <v>91</v>
      </c>
      <c r="H1067" s="12" t="str">
        <f t="array" ref="H1067">IF(G1067:G5109="","",_xlfn.XLOOKUP(G1067:G5109,castles_state!A:A,castles_state!D:D,"見つかりません"))</f>
      </c>
      <c r="I1067" s="4"/>
      <c r="J1067" s="12" t="str">
        <f t="array" ref="J1067">IF(I1067:I5109="","",_xlfn.XLOOKUP(I1067:I5109,'参照_姫'!A:A,'参照_姫'!B:B,"見つかりません"))</f>
      </c>
      <c r="K1067" s="4">
        <v>95</v>
      </c>
      <c r="L1067" s="4">
        <v>0</v>
      </c>
      <c r="M1067" s="4"/>
      <c r="N1067" s="4"/>
      <c r="O1067" s="4"/>
      <c r="P1067" s="12" t="str">
        <f t="array" ref="P1067">IF(O1067:O5109="","",_xlfn.XLOOKUP(O1067:O5109,'参照_官位'!A:A,'参照_官位'!B:B,""))</f>
      </c>
      <c r="Q1067" s="12" t="str">
        <f t="array" ref="Q1067">IF(A1067:A5109="","",IFERROR(_xlfn.XLOOKUP(A1067:A5109,castles_state!K:K,castles_state!D:D)&amp;"主",IFERROR(_xlfn.XLOOKUP(A1067:A5109,kunishuClan!D:D,kunishuClan!B:B)&amp;"当主","")))</f>
      </c>
    </row>
    <row r="1068" ht="15.75" customHeight="1">
      <c r="A1068" s="4">
        <v>1022002</v>
      </c>
      <c r="B1068" s="12" t="str">
        <f t="array" ref="B1068">IF(A1068:A5110="","",_xlfn.XLOOKUP(A1068:A5110,'参照_武将'!A:A,'参照_武将'!B:B,"見つかりません"))</f>
      </c>
      <c r="C1068" s="4" t="s">
        <v>164</v>
      </c>
      <c r="D1068" s="4">
        <v>22</v>
      </c>
      <c r="E1068" s="12" t="str">
        <f t="array" ref="E1068">IF(D1068:D5110="","",IFERROR(_xlfn.XLOOKUP(D1068:D5110,'参照_勢力'!A:A,'参照_勢力'!B:B),IFERROR(_xlfn.XLOOKUP(F1068:F5110,kunishuClan!A:A,kunishuClan!B:B),"浪人")))</f>
      </c>
      <c r="F1068" s="4">
        <v>0</v>
      </c>
      <c r="G1068" s="4">
        <v>91</v>
      </c>
      <c r="H1068" s="12" t="str">
        <f t="array" ref="H1068">IF(G1068:G5110="","",_xlfn.XLOOKUP(G1068:G5110,castles_state!A:A,castles_state!D:D,"見つかりません"))</f>
      </c>
      <c r="I1068" s="4"/>
      <c r="J1068" s="12" t="str">
        <f t="array" ref="J1068">IF(I1068:I5110="","",_xlfn.XLOOKUP(I1068:I5110,'参照_姫'!A:A,'参照_姫'!B:B,"見つかりません"))</f>
      </c>
      <c r="K1068" s="4">
        <v>100</v>
      </c>
      <c r="L1068" s="4">
        <v>1000</v>
      </c>
      <c r="M1068" s="4"/>
      <c r="N1068" s="4"/>
      <c r="O1068" s="4"/>
      <c r="P1068" s="12" t="str">
        <f t="array" ref="P1068">IF(O1068:O5110="","",_xlfn.XLOOKUP(O1068:O5110,'参照_官位'!A:A,'参照_官位'!B:B,""))</f>
      </c>
      <c r="Q1068" s="12" t="str">
        <f t="array" ref="Q1068">IF(A1068:A5110="","",IFERROR(_xlfn.XLOOKUP(A1068:A5110,castles_state!K:K,castles_state!D:D)&amp;"主",IFERROR(_xlfn.XLOOKUP(A1068:A5110,kunishuClan!D:D,kunishuClan!B:B)&amp;"当主","")))</f>
      </c>
    </row>
    <row r="1069" ht="15.75" customHeight="1">
      <c r="A1069" s="4">
        <v>1022003</v>
      </c>
      <c r="B1069" s="12" t="str">
        <f t="array" ref="B1069">IF(A1069:A5111="","",_xlfn.XLOOKUP(A1069:A5111,'参照_武将'!A:A,'参照_武将'!B:B,"見つかりません"))</f>
      </c>
      <c r="C1069" s="4" t="s">
        <v>164</v>
      </c>
      <c r="D1069" s="4">
        <v>22</v>
      </c>
      <c r="E1069" s="12" t="str">
        <f t="array" ref="E1069">IF(D1069:D5111="","",IFERROR(_xlfn.XLOOKUP(D1069:D5111,'参照_勢力'!A:A,'参照_勢力'!B:B),IFERROR(_xlfn.XLOOKUP(F1069:F5111,kunishuClan!A:A,kunishuClan!B:B),"浪人")))</f>
      </c>
      <c r="F1069" s="4">
        <v>0</v>
      </c>
      <c r="G1069" s="4">
        <v>91</v>
      </c>
      <c r="H1069" s="12" t="str">
        <f t="array" ref="H1069">IF(G1069:G5111="","",_xlfn.XLOOKUP(G1069:G5111,castles_state!A:A,castles_state!D:D,"見つかりません"))</f>
      </c>
      <c r="I1069" s="4"/>
      <c r="J1069" s="12" t="str">
        <f t="array" ref="J1069">IF(I1069:I5111="","",_xlfn.XLOOKUP(I1069:I5111,'参照_姫'!A:A,'参照_姫'!B:B,"見つかりません"))</f>
      </c>
      <c r="K1069" s="4">
        <v>80</v>
      </c>
      <c r="L1069" s="4">
        <v>500</v>
      </c>
      <c r="M1069" s="4" t="b">
        <v>1</v>
      </c>
      <c r="N1069" s="4"/>
      <c r="O1069" s="4"/>
      <c r="P1069" s="12" t="str">
        <f t="array" ref="P1069">IF(O1069:O5111="","",_xlfn.XLOOKUP(O1069:O5111,'参照_官位'!A:A,'参照_官位'!B:B,""))</f>
      </c>
      <c r="Q1069" s="12" t="str">
        <f t="array" ref="Q1069">IF(A1069:A5111="","",IFERROR(_xlfn.XLOOKUP(A1069:A5111,castles_state!K:K,castles_state!D:D)&amp;"主",IFERROR(_xlfn.XLOOKUP(A1069:A5111,kunishuClan!D:D,kunishuClan!B:B)&amp;"当主","")))</f>
      </c>
    </row>
    <row r="1070" ht="15.75" customHeight="1">
      <c r="A1070" s="4">
        <v>1022004</v>
      </c>
      <c r="B1070" s="12" t="str">
        <f t="array" ref="B1070">IF(A1070:A5112="","",_xlfn.XLOOKUP(A1070:A5112,'参照_武将'!A:A,'参照_武将'!B:B,"見つかりません"))</f>
      </c>
      <c r="C1070" s="4" t="s">
        <v>164</v>
      </c>
      <c r="D1070" s="4">
        <v>22</v>
      </c>
      <c r="E1070" s="12" t="str">
        <f t="array" ref="E1070">IF(D1070:D5112="","",IFERROR(_xlfn.XLOOKUP(D1070:D5112,'参照_勢力'!A:A,'参照_勢力'!B:B),IFERROR(_xlfn.XLOOKUP(F1070:F5112,kunishuClan!A:A,kunishuClan!B:B),"浪人")))</f>
      </c>
      <c r="F1070" s="4">
        <v>0</v>
      </c>
      <c r="G1070" s="4">
        <v>91</v>
      </c>
      <c r="H1070" s="12" t="str">
        <f t="array" ref="H1070">IF(G1070:G5112="","",_xlfn.XLOOKUP(G1070:G5112,castles_state!A:A,castles_state!D:D,"見つかりません"))</f>
      </c>
      <c r="I1070" s="4"/>
      <c r="J1070" s="12" t="str">
        <f t="array" ref="J1070">IF(I1070:I5112="","",_xlfn.XLOOKUP(I1070:I5112,'参照_姫'!A:A,'参照_姫'!B:B,"見つかりません"))</f>
      </c>
      <c r="K1070" s="4">
        <v>80</v>
      </c>
      <c r="L1070" s="4">
        <v>0</v>
      </c>
      <c r="M1070" s="4"/>
      <c r="N1070" s="4"/>
      <c r="O1070" s="4"/>
      <c r="P1070" s="12" t="str">
        <f t="array" ref="P1070">IF(O1070:O5112="","",_xlfn.XLOOKUP(O1070:O5112,'参照_官位'!A:A,'参照_官位'!B:B,""))</f>
      </c>
      <c r="Q1070" s="12" t="str">
        <f t="array" ref="Q1070">IF(A1070:A5112="","",IFERROR(_xlfn.XLOOKUP(A1070:A5112,castles_state!K:K,castles_state!D:D)&amp;"主",IFERROR(_xlfn.XLOOKUP(A1070:A5112,kunishuClan!D:D,kunishuClan!B:B)&amp;"当主","")))</f>
      </c>
    </row>
    <row r="1071" ht="15.75" customHeight="1">
      <c r="A1071" s="4">
        <v>1022005</v>
      </c>
      <c r="B1071" s="12" t="str">
        <f t="array" ref="B1071">IF(A1071:A5113="","",_xlfn.XLOOKUP(A1071:A5113,'参照_武将'!A:A,'参照_武将'!B:B,"見つかりません"))</f>
      </c>
      <c r="C1071" s="4" t="s">
        <v>164</v>
      </c>
      <c r="D1071" s="4">
        <v>22</v>
      </c>
      <c r="E1071" s="12" t="str">
        <f t="array" ref="E1071">IF(D1071:D5113="","",IFERROR(_xlfn.XLOOKUP(D1071:D5113,'参照_勢力'!A:A,'参照_勢力'!B:B),IFERROR(_xlfn.XLOOKUP(F1071:F5113,kunishuClan!A:A,kunishuClan!B:B),"浪人")))</f>
      </c>
      <c r="F1071" s="4">
        <v>0</v>
      </c>
      <c r="G1071" s="4">
        <v>91</v>
      </c>
      <c r="H1071" s="12" t="str">
        <f t="array" ref="H1071">IF(G1071:G5113="","",_xlfn.XLOOKUP(G1071:G5113,castles_state!A:A,castles_state!D:D,"見つかりません"))</f>
      </c>
      <c r="I1071" s="4"/>
      <c r="J1071" s="12" t="str">
        <f t="array" ref="J1071">IF(I1071:I5113="","",_xlfn.XLOOKUP(I1071:I5113,'参照_姫'!A:A,'参照_姫'!B:B,"見つかりません"))</f>
      </c>
      <c r="K1071" s="4">
        <v>95</v>
      </c>
      <c r="L1071" s="4">
        <v>0</v>
      </c>
      <c r="M1071" s="4"/>
      <c r="N1071" s="4"/>
      <c r="O1071" s="4"/>
      <c r="P1071" s="12" t="str">
        <f t="array" ref="P1071">IF(O1071:O5113="","",_xlfn.XLOOKUP(O1071:O5113,'参照_官位'!A:A,'参照_官位'!B:B,""))</f>
      </c>
      <c r="Q1071" s="12" t="str">
        <f t="array" ref="Q1071">IF(A1071:A5113="","",IFERROR(_xlfn.XLOOKUP(A1071:A5113,castles_state!K:K,castles_state!D:D)&amp;"主",IFERROR(_xlfn.XLOOKUP(A1071:A5113,kunishuClan!D:D,kunishuClan!B:B)&amp;"当主","")))</f>
      </c>
    </row>
    <row r="1072" ht="15.75" customHeight="1">
      <c r="A1072" s="4">
        <v>1022006</v>
      </c>
      <c r="B1072" s="12" t="str">
        <f t="array" ref="B1072">IF(A1072:A5114="","",_xlfn.XLOOKUP(A1072:A5114,'参照_武将'!A:A,'参照_武将'!B:B,"見つかりません"))</f>
      </c>
      <c r="C1072" s="4" t="s">
        <v>108</v>
      </c>
      <c r="D1072" s="4">
        <v>3</v>
      </c>
      <c r="E1072" s="12" t="str">
        <f t="array" ref="E1072">IF(D1072:D5114="","",IFERROR(_xlfn.XLOOKUP(D1072:D5114,'参照_勢力'!A:A,'参照_勢力'!B:B),IFERROR(_xlfn.XLOOKUP(F1072:F5114,kunishuClan!A:A,kunishuClan!B:B),"浪人")))</f>
      </c>
      <c r="F1072" s="4">
        <v>0</v>
      </c>
      <c r="G1072" s="4">
        <v>52</v>
      </c>
      <c r="H1072" s="12" t="str">
        <f t="array" ref="H1072">IF(G1072:G5114="","",_xlfn.XLOOKUP(G1072:G5114,castles_state!A:A,castles_state!D:D,"見つかりません"))</f>
      </c>
      <c r="I1072" s="4"/>
      <c r="J1072" s="12" t="str">
        <f t="array" ref="J1072">IF(I1072:I5114="","",_xlfn.XLOOKUP(I1072:I5114,'参照_姫'!A:A,'参照_姫'!B:B,"見つかりません"))</f>
      </c>
      <c r="K1072" s="4">
        <v>95</v>
      </c>
      <c r="L1072" s="4">
        <v>0</v>
      </c>
      <c r="M1072" s="4"/>
      <c r="N1072" s="4"/>
      <c r="O1072" s="4"/>
      <c r="P1072" s="12" t="str">
        <f t="array" ref="P1072">IF(O1072:O5114="","",_xlfn.XLOOKUP(O1072:O5114,'参照_官位'!A:A,'参照_官位'!B:B,""))</f>
      </c>
      <c r="Q1072" s="12" t="str">
        <f t="array" ref="Q1072">IF(A1072:A5114="","",IFERROR(_xlfn.XLOOKUP(A1072:A5114,castles_state!K:K,castles_state!D:D)&amp;"主",IFERROR(_xlfn.XLOOKUP(A1072:A5114,kunishuClan!D:D,kunishuClan!B:B)&amp;"当主","")))</f>
      </c>
    </row>
    <row r="1073" ht="15.75" customHeight="1">
      <c r="A1073" s="4">
        <v>1022007</v>
      </c>
      <c r="B1073" s="12" t="str">
        <f t="array" ref="B1073">IF(A1073:A5115="","",_xlfn.XLOOKUP(A1073:A5115,'参照_武将'!A:A,'参照_武将'!B:B,"見つかりません"))</f>
      </c>
      <c r="C1073" s="4" t="s">
        <v>164</v>
      </c>
      <c r="D1073" s="4">
        <v>22</v>
      </c>
      <c r="E1073" s="12" t="str">
        <f t="array" ref="E1073">IF(D1073:D5115="","",IFERROR(_xlfn.XLOOKUP(D1073:D5115,'参照_勢力'!A:A,'参照_勢力'!B:B),IFERROR(_xlfn.XLOOKUP(F1073:F5115,kunishuClan!A:A,kunishuClan!B:B),"浪人")))</f>
      </c>
      <c r="F1073" s="4">
        <v>0</v>
      </c>
      <c r="G1073" s="4">
        <v>91</v>
      </c>
      <c r="H1073" s="12" t="str">
        <f t="array" ref="H1073">IF(G1073:G5115="","",_xlfn.XLOOKUP(G1073:G5115,castles_state!A:A,castles_state!D:D,"見つかりません"))</f>
      </c>
      <c r="I1073" s="4"/>
      <c r="J1073" s="12" t="str">
        <f t="array" ref="J1073">IF(I1073:I5115="","",_xlfn.XLOOKUP(I1073:I5115,'参照_姫'!A:A,'参照_姫'!B:B,"見つかりません"))</f>
      </c>
      <c r="K1073" s="4">
        <v>95</v>
      </c>
      <c r="L1073" s="4">
        <v>300</v>
      </c>
      <c r="M1073" s="4"/>
      <c r="N1073" s="4"/>
      <c r="O1073" s="4"/>
      <c r="P1073" s="12" t="str">
        <f t="array" ref="P1073">IF(O1073:O5115="","",_xlfn.XLOOKUP(O1073:O5115,'参照_官位'!A:A,'参照_官位'!B:B,""))</f>
      </c>
      <c r="Q1073" s="12" t="str">
        <f t="array" ref="Q1073">IF(A1073:A5115="","",IFERROR(_xlfn.XLOOKUP(A1073:A5115,castles_state!K:K,castles_state!D:D)&amp;"主",IFERROR(_xlfn.XLOOKUP(A1073:A5115,kunishuClan!D:D,kunishuClan!B:B)&amp;"当主","")))</f>
      </c>
    </row>
    <row r="1074" ht="15.75" customHeight="1">
      <c r="A1074" s="4">
        <v>1022008</v>
      </c>
      <c r="B1074" s="12" t="str">
        <f t="array" ref="B1074">IF(A1074:A5116="","",_xlfn.XLOOKUP(A1074:A5116,'参照_武将'!A:A,'参照_武将'!B:B,"見つかりません"))</f>
      </c>
      <c r="C1074" s="4" t="s">
        <v>164</v>
      </c>
      <c r="D1074" s="4">
        <v>22</v>
      </c>
      <c r="E1074" s="12" t="str">
        <f t="array" ref="E1074">IF(D1074:D5116="","",IFERROR(_xlfn.XLOOKUP(D1074:D5116,'参照_勢力'!A:A,'参照_勢力'!B:B),IFERROR(_xlfn.XLOOKUP(F1074:F5116,kunishuClan!A:A,kunishuClan!B:B),"浪人")))</f>
      </c>
      <c r="F1074" s="4">
        <v>0</v>
      </c>
      <c r="G1074" s="4">
        <v>91</v>
      </c>
      <c r="H1074" s="12" t="str">
        <f t="array" ref="H1074">IF(G1074:G5116="","",_xlfn.XLOOKUP(G1074:G5116,castles_state!A:A,castles_state!D:D,"見つかりません"))</f>
      </c>
      <c r="I1074" s="4"/>
      <c r="J1074" s="12" t="str">
        <f t="array" ref="J1074">IF(I1074:I5116="","",_xlfn.XLOOKUP(I1074:I5116,'参照_姫'!A:A,'参照_姫'!B:B,"見つかりません"))</f>
      </c>
      <c r="K1074" s="4">
        <v>95</v>
      </c>
      <c r="L1074" s="4">
        <v>0</v>
      </c>
      <c r="M1074" s="4"/>
      <c r="N1074" s="4"/>
      <c r="O1074" s="4"/>
      <c r="P1074" s="12" t="str">
        <f t="array" ref="P1074">IF(O1074:O5116="","",_xlfn.XLOOKUP(O1074:O5116,'参照_官位'!A:A,'参照_官位'!B:B,""))</f>
      </c>
      <c r="Q1074" s="12" t="str">
        <f t="array" ref="Q1074">IF(A1074:A5116="","",IFERROR(_xlfn.XLOOKUP(A1074:A5116,castles_state!K:K,castles_state!D:D)&amp;"主",IFERROR(_xlfn.XLOOKUP(A1074:A5116,kunishuClan!D:D,kunishuClan!B:B)&amp;"当主","")))</f>
      </c>
    </row>
    <row r="1075" ht="15.75" customHeight="1">
      <c r="A1075" s="4">
        <v>1022009</v>
      </c>
      <c r="B1075" s="12" t="str">
        <f t="array" ref="B1075">IF(A1075:A5117="","",_xlfn.XLOOKUP(A1075:A5117,'参照_武将'!A:A,'参照_武将'!B:B,"見つかりません"))</f>
      </c>
      <c r="C1075" s="4" t="s">
        <v>164</v>
      </c>
      <c r="D1075" s="4">
        <v>22</v>
      </c>
      <c r="E1075" s="12" t="str">
        <f t="array" ref="E1075">IF(D1075:D5117="","",IFERROR(_xlfn.XLOOKUP(D1075:D5117,'参照_勢力'!A:A,'参照_勢力'!B:B),IFERROR(_xlfn.XLOOKUP(F1075:F5117,kunishuClan!A:A,kunishuClan!B:B),"浪人")))</f>
      </c>
      <c r="F1075" s="4">
        <v>0</v>
      </c>
      <c r="G1075" s="4">
        <v>91</v>
      </c>
      <c r="H1075" s="12" t="str">
        <f t="array" ref="H1075">IF(G1075:G5117="","",_xlfn.XLOOKUP(G1075:G5117,castles_state!A:A,castles_state!D:D,"見つかりません"))</f>
      </c>
      <c r="I1075" s="4"/>
      <c r="J1075" s="12" t="str">
        <f t="array" ref="J1075">IF(I1075:I5117="","",_xlfn.XLOOKUP(I1075:I5117,'参照_姫'!A:A,'参照_姫'!B:B,"見つかりません"))</f>
      </c>
      <c r="K1075" s="4">
        <v>95</v>
      </c>
      <c r="L1075" s="4">
        <v>0</v>
      </c>
      <c r="M1075" s="4"/>
      <c r="N1075" s="4"/>
      <c r="O1075" s="4"/>
      <c r="P1075" s="12" t="str">
        <f t="array" ref="P1075">IF(O1075:O5117="","",_xlfn.XLOOKUP(O1075:O5117,'参照_官位'!A:A,'参照_官位'!B:B,""))</f>
      </c>
      <c r="Q1075" s="12" t="str">
        <f t="array" ref="Q1075">IF(A1075:A5117="","",IFERROR(_xlfn.XLOOKUP(A1075:A5117,castles_state!K:K,castles_state!D:D)&amp;"主",IFERROR(_xlfn.XLOOKUP(A1075:A5117,kunishuClan!D:D,kunishuClan!B:B)&amp;"当主","")))</f>
      </c>
    </row>
    <row r="1076" ht="15.75" customHeight="1">
      <c r="A1076" s="4">
        <v>1022010</v>
      </c>
      <c r="B1076" s="12" t="str">
        <f t="array" ref="B1076">IF(A1076:A5118="","",_xlfn.XLOOKUP(A1076:A5118,'参照_武将'!A:A,'参照_武将'!B:B,"見つかりません"))</f>
      </c>
      <c r="C1076" s="4" t="s">
        <v>164</v>
      </c>
      <c r="D1076" s="4">
        <v>22</v>
      </c>
      <c r="E1076" s="12" t="str">
        <f t="array" ref="E1076">IF(D1076:D5118="","",IFERROR(_xlfn.XLOOKUP(D1076:D5118,'参照_勢力'!A:A,'参照_勢力'!B:B),IFERROR(_xlfn.XLOOKUP(F1076:F5118,kunishuClan!A:A,kunishuClan!B:B),"浪人")))</f>
      </c>
      <c r="F1076" s="4">
        <v>0</v>
      </c>
      <c r="G1076" s="4">
        <v>91</v>
      </c>
      <c r="H1076" s="12" t="str">
        <f t="array" ref="H1076">IF(G1076:G5118="","",_xlfn.XLOOKUP(G1076:G5118,castles_state!A:A,castles_state!D:D,"見つかりません"))</f>
      </c>
      <c r="I1076" s="4"/>
      <c r="J1076" s="12" t="str">
        <f t="array" ref="J1076">IF(I1076:I5118="","",_xlfn.XLOOKUP(I1076:I5118,'参照_姫'!A:A,'参照_姫'!B:B,"見つかりません"))</f>
      </c>
      <c r="K1076" s="4">
        <v>95</v>
      </c>
      <c r="L1076" s="4">
        <v>0</v>
      </c>
      <c r="M1076" s="4"/>
      <c r="N1076" s="4"/>
      <c r="O1076" s="4"/>
      <c r="P1076" s="12" t="str">
        <f t="array" ref="P1076">IF(O1076:O5118="","",_xlfn.XLOOKUP(O1076:O5118,'参照_官位'!A:A,'参照_官位'!B:B,""))</f>
      </c>
      <c r="Q1076" s="12" t="str">
        <f t="array" ref="Q1076">IF(A1076:A5118="","",IFERROR(_xlfn.XLOOKUP(A1076:A5118,castles_state!K:K,castles_state!D:D)&amp;"主",IFERROR(_xlfn.XLOOKUP(A1076:A5118,kunishuClan!D:D,kunishuClan!B:B)&amp;"当主","")))</f>
      </c>
    </row>
    <row r="1077" ht="15.75" customHeight="1">
      <c r="A1077" s="4">
        <v>1022011</v>
      </c>
      <c r="B1077" s="12" t="str">
        <f t="array" ref="B1077">IF(A1077:A5119="","",_xlfn.XLOOKUP(A1077:A5119,'参照_武将'!A:A,'参照_武将'!B:B,"見つかりません"))</f>
      </c>
      <c r="C1077" s="4" t="s">
        <v>164</v>
      </c>
      <c r="D1077" s="4">
        <v>22</v>
      </c>
      <c r="E1077" s="12" t="str">
        <f t="array" ref="E1077">IF(D1077:D5119="","",IFERROR(_xlfn.XLOOKUP(D1077:D5119,'参照_勢力'!A:A,'参照_勢力'!B:B),IFERROR(_xlfn.XLOOKUP(F1077:F5119,kunishuClan!A:A,kunishuClan!B:B),"浪人")))</f>
      </c>
      <c r="F1077" s="4">
        <v>0</v>
      </c>
      <c r="G1077" s="4">
        <v>91</v>
      </c>
      <c r="H1077" s="12" t="str">
        <f t="array" ref="H1077">IF(G1077:G5119="","",_xlfn.XLOOKUP(G1077:G5119,castles_state!A:A,castles_state!D:D,"見つかりません"))</f>
      </c>
      <c r="I1077" s="4"/>
      <c r="J1077" s="12" t="str">
        <f t="array" ref="J1077">IF(I1077:I5119="","",_xlfn.XLOOKUP(I1077:I5119,'参照_姫'!A:A,'参照_姫'!B:B,"見つかりません"))</f>
      </c>
      <c r="K1077" s="4">
        <v>95</v>
      </c>
      <c r="L1077" s="4">
        <v>0</v>
      </c>
      <c r="M1077" s="4"/>
      <c r="N1077" s="4"/>
      <c r="O1077" s="4"/>
      <c r="P1077" s="12" t="str">
        <f t="array" ref="P1077">IF(O1077:O5119="","",_xlfn.XLOOKUP(O1077:O5119,'参照_官位'!A:A,'参照_官位'!B:B,""))</f>
      </c>
      <c r="Q1077" s="12" t="str">
        <f t="array" ref="Q1077">IF(A1077:A5119="","",IFERROR(_xlfn.XLOOKUP(A1077:A5119,castles_state!K:K,castles_state!D:D)&amp;"主",IFERROR(_xlfn.XLOOKUP(A1077:A5119,kunishuClan!D:D,kunishuClan!B:B)&amp;"当主","")))</f>
      </c>
    </row>
    <row r="1078" ht="15.75" customHeight="1">
      <c r="A1078" s="4">
        <v>1022012</v>
      </c>
      <c r="B1078" s="12" t="str">
        <f t="array" ref="B1078">IF(A1078:A5120="","",_xlfn.XLOOKUP(A1078:A5120,'参照_武将'!A:A,'参照_武将'!B:B,"見つかりません"))</f>
      </c>
      <c r="C1078" s="4" t="s">
        <v>164</v>
      </c>
      <c r="D1078" s="4">
        <v>22</v>
      </c>
      <c r="E1078" s="12" t="str">
        <f t="array" ref="E1078">IF(D1078:D5120="","",IFERROR(_xlfn.XLOOKUP(D1078:D5120,'参照_勢力'!A:A,'参照_勢力'!B:B),IFERROR(_xlfn.XLOOKUP(F1078:F5120,kunishuClan!A:A,kunishuClan!B:B),"浪人")))</f>
      </c>
      <c r="F1078" s="4">
        <v>0</v>
      </c>
      <c r="G1078" s="4">
        <v>91</v>
      </c>
      <c r="H1078" s="12" t="str">
        <f t="array" ref="H1078">IF(G1078:G5120="","",_xlfn.XLOOKUP(G1078:G5120,castles_state!A:A,castles_state!D:D,"見つかりません"))</f>
      </c>
      <c r="I1078" s="4"/>
      <c r="J1078" s="12" t="str">
        <f t="array" ref="J1078">IF(I1078:I5120="","",_xlfn.XLOOKUP(I1078:I5120,'参照_姫'!A:A,'参照_姫'!B:B,"見つかりません"))</f>
      </c>
      <c r="K1078" s="4">
        <v>95</v>
      </c>
      <c r="L1078" s="4">
        <v>0</v>
      </c>
      <c r="M1078" s="4"/>
      <c r="N1078" s="4"/>
      <c r="O1078" s="4"/>
      <c r="P1078" s="12" t="str">
        <f t="array" ref="P1078">IF(O1078:O5120="","",_xlfn.XLOOKUP(O1078:O5120,'参照_官位'!A:A,'参照_官位'!B:B,""))</f>
      </c>
      <c r="Q1078" s="12" t="str">
        <f t="array" ref="Q1078">IF(A1078:A5120="","",IFERROR(_xlfn.XLOOKUP(A1078:A5120,castles_state!K:K,castles_state!D:D)&amp;"主",IFERROR(_xlfn.XLOOKUP(A1078:A5120,kunishuClan!D:D,kunishuClan!B:B)&amp;"当主","")))</f>
      </c>
    </row>
    <row r="1079" ht="15.75" customHeight="1">
      <c r="A1079" s="4">
        <v>1022013</v>
      </c>
      <c r="B1079" s="12" t="str">
        <f t="array" ref="B1079">IF(A1079:A5121="","",_xlfn.XLOOKUP(A1079:A5121,'参照_武将'!A:A,'参照_武将'!B:B,"見つかりません"))</f>
      </c>
      <c r="C1079" s="4" t="s">
        <v>164</v>
      </c>
      <c r="D1079" s="4">
        <v>22</v>
      </c>
      <c r="E1079" s="12" t="str">
        <f t="array" ref="E1079">IF(D1079:D5121="","",IFERROR(_xlfn.XLOOKUP(D1079:D5121,'参照_勢力'!A:A,'参照_勢力'!B:B),IFERROR(_xlfn.XLOOKUP(F1079:F5121,kunishuClan!A:A,kunishuClan!B:B),"浪人")))</f>
      </c>
      <c r="F1079" s="4">
        <v>0</v>
      </c>
      <c r="G1079" s="4">
        <v>91</v>
      </c>
      <c r="H1079" s="12" t="str">
        <f t="array" ref="H1079">IF(G1079:G5121="","",_xlfn.XLOOKUP(G1079:G5121,castles_state!A:A,castles_state!D:D,"見つかりません"))</f>
      </c>
      <c r="I1079" s="4"/>
      <c r="J1079" s="12" t="str">
        <f t="array" ref="J1079">IF(I1079:I5121="","",_xlfn.XLOOKUP(I1079:I5121,'参照_姫'!A:A,'参照_姫'!B:B,"見つかりません"))</f>
      </c>
      <c r="K1079" s="4">
        <v>95</v>
      </c>
      <c r="L1079" s="4">
        <v>0</v>
      </c>
      <c r="M1079" s="4"/>
      <c r="N1079" s="4"/>
      <c r="O1079" s="4"/>
      <c r="P1079" s="12" t="str">
        <f t="array" ref="P1079">IF(O1079:O5121="","",_xlfn.XLOOKUP(O1079:O5121,'参照_官位'!A:A,'参照_官位'!B:B,""))</f>
      </c>
      <c r="Q1079" s="12" t="str">
        <f t="array" ref="Q1079">IF(A1079:A5121="","",IFERROR(_xlfn.XLOOKUP(A1079:A5121,castles_state!K:K,castles_state!D:D)&amp;"主",IFERROR(_xlfn.XLOOKUP(A1079:A5121,kunishuClan!D:D,kunishuClan!B:B)&amp;"当主","")))</f>
      </c>
    </row>
    <row r="1080" ht="15.75" customHeight="1">
      <c r="A1080" s="4">
        <v>1022014</v>
      </c>
      <c r="B1080" s="12" t="str">
        <f t="array" ref="B1080">IF(A1080:A5122="","",_xlfn.XLOOKUP(A1080:A5122,'参照_武将'!A:A,'参照_武将'!B:B,"見つかりません"))</f>
      </c>
      <c r="C1080" s="4" t="s">
        <v>164</v>
      </c>
      <c r="D1080" s="4">
        <v>22</v>
      </c>
      <c r="E1080" s="12" t="str">
        <f t="array" ref="E1080">IF(D1080:D5122="","",IFERROR(_xlfn.XLOOKUP(D1080:D5122,'参照_勢力'!A:A,'参照_勢力'!B:B),IFERROR(_xlfn.XLOOKUP(F1080:F5122,kunishuClan!A:A,kunishuClan!B:B),"浪人")))</f>
      </c>
      <c r="F1080" s="4">
        <v>0</v>
      </c>
      <c r="G1080" s="4">
        <v>91</v>
      </c>
      <c r="H1080" s="12" t="str">
        <f t="array" ref="H1080">IF(G1080:G5122="","",_xlfn.XLOOKUP(G1080:G5122,castles_state!A:A,castles_state!D:D,"見つかりません"))</f>
      </c>
      <c r="I1080" s="4"/>
      <c r="J1080" s="12" t="str">
        <f t="array" ref="J1080">IF(I1080:I5122="","",_xlfn.XLOOKUP(I1080:I5122,'参照_姫'!A:A,'参照_姫'!B:B,"見つかりません"))</f>
      </c>
      <c r="K1080" s="4">
        <v>95</v>
      </c>
      <c r="L1080" s="4">
        <v>0</v>
      </c>
      <c r="M1080" s="4"/>
      <c r="N1080" s="4"/>
      <c r="O1080" s="4"/>
      <c r="P1080" s="12" t="str">
        <f t="array" ref="P1080">IF(O1080:O5122="","",_xlfn.XLOOKUP(O1080:O5122,'参照_官位'!A:A,'参照_官位'!B:B,""))</f>
      </c>
      <c r="Q1080" s="12" t="str">
        <f t="array" ref="Q1080">IF(A1080:A5122="","",IFERROR(_xlfn.XLOOKUP(A1080:A5122,castles_state!K:K,castles_state!D:D)&amp;"主",IFERROR(_xlfn.XLOOKUP(A1080:A5122,kunishuClan!D:D,kunishuClan!B:B)&amp;"当主","")))</f>
      </c>
    </row>
    <row r="1081" ht="15.75" customHeight="1">
      <c r="A1081" s="4">
        <v>1022015</v>
      </c>
      <c r="B1081" s="12" t="str">
        <f t="array" ref="B1081">IF(A1081:A5123="","",_xlfn.XLOOKUP(A1081:A5123,'参照_武将'!A:A,'参照_武将'!B:B,"見つかりません"))</f>
      </c>
      <c r="C1081" s="4" t="s">
        <v>164</v>
      </c>
      <c r="D1081" s="4">
        <v>22</v>
      </c>
      <c r="E1081" s="12" t="str">
        <f t="array" ref="E1081">IF(D1081:D5123="","",IFERROR(_xlfn.XLOOKUP(D1081:D5123,'参照_勢力'!A:A,'参照_勢力'!B:B),IFERROR(_xlfn.XLOOKUP(F1081:F5123,kunishuClan!A:A,kunishuClan!B:B),"浪人")))</f>
      </c>
      <c r="F1081" s="4">
        <v>0</v>
      </c>
      <c r="G1081" s="4">
        <v>91</v>
      </c>
      <c r="H1081" s="12" t="str">
        <f t="array" ref="H1081">IF(G1081:G5123="","",_xlfn.XLOOKUP(G1081:G5123,castles_state!A:A,castles_state!D:D,"見つかりません"))</f>
      </c>
      <c r="I1081" s="4"/>
      <c r="J1081" s="12" t="str">
        <f t="array" ref="J1081">IF(I1081:I5123="","",_xlfn.XLOOKUP(I1081:I5123,'参照_姫'!A:A,'参照_姫'!B:B,"見つかりません"))</f>
      </c>
      <c r="K1081" s="4">
        <v>95</v>
      </c>
      <c r="L1081" s="4">
        <v>300</v>
      </c>
      <c r="M1081" s="4"/>
      <c r="N1081" s="4"/>
      <c r="O1081" s="4"/>
      <c r="P1081" s="12" t="str">
        <f t="array" ref="P1081">IF(O1081:O5123="","",_xlfn.XLOOKUP(O1081:O5123,'参照_官位'!A:A,'参照_官位'!B:B,""))</f>
      </c>
      <c r="Q1081" s="12" t="str">
        <f t="array" ref="Q1081">IF(A1081:A5123="","",IFERROR(_xlfn.XLOOKUP(A1081:A5123,castles_state!K:K,castles_state!D:D)&amp;"主",IFERROR(_xlfn.XLOOKUP(A1081:A5123,kunishuClan!D:D,kunishuClan!B:B)&amp;"当主","")))</f>
      </c>
    </row>
    <row r="1082" ht="15.75" customHeight="1">
      <c r="A1082" s="4">
        <v>1022016</v>
      </c>
      <c r="B1082" s="12" t="str">
        <f t="array" ref="B1082">IF(A1082:A5124="","",_xlfn.XLOOKUP(A1082:A5124,'参照_武将'!A:A,'参照_武将'!B:B,"見つかりません"))</f>
      </c>
      <c r="C1082" s="4" t="s">
        <v>164</v>
      </c>
      <c r="D1082" s="4">
        <v>22</v>
      </c>
      <c r="E1082" s="12" t="str">
        <f t="array" ref="E1082">IF(D1082:D5124="","",IFERROR(_xlfn.XLOOKUP(D1082:D5124,'参照_勢力'!A:A,'参照_勢力'!B:B),IFERROR(_xlfn.XLOOKUP(F1082:F5124,kunishuClan!A:A,kunishuClan!B:B),"浪人")))</f>
      </c>
      <c r="F1082" s="4">
        <v>0</v>
      </c>
      <c r="G1082" s="4">
        <v>91</v>
      </c>
      <c r="H1082" s="12" t="str">
        <f t="array" ref="H1082">IF(G1082:G5124="","",_xlfn.XLOOKUP(G1082:G5124,castles_state!A:A,castles_state!D:D,"見つかりません"))</f>
      </c>
      <c r="I1082" s="4"/>
      <c r="J1082" s="12" t="str">
        <f t="array" ref="J1082">IF(I1082:I5124="","",_xlfn.XLOOKUP(I1082:I5124,'参照_姫'!A:A,'参照_姫'!B:B,"見つかりません"))</f>
      </c>
      <c r="K1082" s="4">
        <v>95</v>
      </c>
      <c r="L1082" s="4">
        <v>0</v>
      </c>
      <c r="M1082" s="4"/>
      <c r="N1082" s="4"/>
      <c r="O1082" s="4"/>
      <c r="P1082" s="12" t="str">
        <f t="array" ref="P1082">IF(O1082:O5124="","",_xlfn.XLOOKUP(O1082:O5124,'参照_官位'!A:A,'参照_官位'!B:B,""))</f>
      </c>
      <c r="Q1082" s="12" t="str">
        <f t="array" ref="Q1082">IF(A1082:A5124="","",IFERROR(_xlfn.XLOOKUP(A1082:A5124,castles_state!K:K,castles_state!D:D)&amp;"主",IFERROR(_xlfn.XLOOKUP(A1082:A5124,kunishuClan!D:D,kunishuClan!B:B)&amp;"当主","")))</f>
      </c>
    </row>
    <row r="1083" ht="15.75" customHeight="1">
      <c r="A1083" s="4">
        <v>1023001</v>
      </c>
      <c r="B1083" s="12" t="str">
        <f t="array" ref="B1083">IF(A1083:A5125="","",_xlfn.XLOOKUP(A1083:A5125,'参照_武将'!A:A,'参照_武将'!B:B,"見つかりません"))</f>
      </c>
      <c r="C1083" s="4" t="s">
        <v>166</v>
      </c>
      <c r="D1083" s="4">
        <v>23</v>
      </c>
      <c r="E1083" s="12" t="str">
        <f t="array" ref="E1083">IF(D1083:D5125="","",IFERROR(_xlfn.XLOOKUP(D1083:D5125,'参照_勢力'!A:A,'参照_勢力'!B:B),IFERROR(_xlfn.XLOOKUP(F1083:F5125,kunishuClan!A:A,kunishuClan!B:B),"浪人")))</f>
      </c>
      <c r="F1083" s="4">
        <v>0</v>
      </c>
      <c r="G1083" s="4">
        <v>92</v>
      </c>
      <c r="H1083" s="12" t="str">
        <f t="array" ref="H1083">IF(G1083:G5125="","",_xlfn.XLOOKUP(G1083:G5125,castles_state!A:A,castles_state!D:D,"見つかりません"))</f>
      </c>
      <c r="I1083" s="4"/>
      <c r="J1083" s="12" t="str">
        <f t="array" ref="J1083">IF(I1083:I5125="","",_xlfn.XLOOKUP(I1083:I5125,'参照_姫'!A:A,'参照_姫'!B:B,"見つかりません"))</f>
      </c>
      <c r="K1083" s="4">
        <v>95</v>
      </c>
      <c r="L1083" s="4">
        <v>0</v>
      </c>
      <c r="M1083" s="4"/>
      <c r="N1083" s="4"/>
      <c r="O1083" s="4"/>
      <c r="P1083" s="12" t="str">
        <f t="array" ref="P1083">IF(O1083:O5125="","",_xlfn.XLOOKUP(O1083:O5125,'参照_官位'!A:A,'参照_官位'!B:B,""))</f>
      </c>
      <c r="Q1083" s="12" t="str">
        <f t="array" ref="Q1083">IF(A1083:A5125="","",IFERROR(_xlfn.XLOOKUP(A1083:A5125,castles_state!K:K,castles_state!D:D)&amp;"主",IFERROR(_xlfn.XLOOKUP(A1083:A5125,kunishuClan!D:D,kunishuClan!B:B)&amp;"当主","")))</f>
      </c>
    </row>
    <row r="1084" ht="15.75" customHeight="1">
      <c r="A1084" s="4">
        <v>1023002</v>
      </c>
      <c r="B1084" s="12" t="str">
        <f t="array" ref="B1084">IF(A1084:A5126="","",_xlfn.XLOOKUP(A1084:A5126,'参照_武将'!A:A,'参照_武将'!B:B,"見つかりません"))</f>
      </c>
      <c r="C1084" s="4" t="s">
        <v>166</v>
      </c>
      <c r="D1084" s="4">
        <v>23</v>
      </c>
      <c r="E1084" s="12" t="str">
        <f t="array" ref="E1084">IF(D1084:D5126="","",IFERROR(_xlfn.XLOOKUP(D1084:D5126,'参照_勢力'!A:A,'参照_勢力'!B:B),IFERROR(_xlfn.XLOOKUP(F1084:F5126,kunishuClan!A:A,kunishuClan!B:B),"浪人")))</f>
      </c>
      <c r="F1084" s="4">
        <v>0</v>
      </c>
      <c r="G1084" s="4">
        <v>92</v>
      </c>
      <c r="H1084" s="12" t="str">
        <f t="array" ref="H1084">IF(G1084:G5126="","",_xlfn.XLOOKUP(G1084:G5126,castles_state!A:A,castles_state!D:D,"見つかりません"))</f>
      </c>
      <c r="I1084" s="4"/>
      <c r="J1084" s="12" t="str">
        <f t="array" ref="J1084">IF(I1084:I5126="","",_xlfn.XLOOKUP(I1084:I5126,'参照_姫'!A:A,'参照_姫'!B:B,"見つかりません"))</f>
      </c>
      <c r="K1084" s="4">
        <v>95</v>
      </c>
      <c r="L1084" s="4">
        <v>0</v>
      </c>
      <c r="M1084" s="4"/>
      <c r="N1084" s="4"/>
      <c r="O1084" s="4"/>
      <c r="P1084" s="12" t="str">
        <f t="array" ref="P1084">IF(O1084:O5126="","",_xlfn.XLOOKUP(O1084:O5126,'参照_官位'!A:A,'参照_官位'!B:B,""))</f>
      </c>
      <c r="Q1084" s="12" t="str">
        <f t="array" ref="Q1084">IF(A1084:A5126="","",IFERROR(_xlfn.XLOOKUP(A1084:A5126,castles_state!K:K,castles_state!D:D)&amp;"主",IFERROR(_xlfn.XLOOKUP(A1084:A5126,kunishuClan!D:D,kunishuClan!B:B)&amp;"当主","")))</f>
      </c>
    </row>
    <row r="1085" ht="15.75" customHeight="1">
      <c r="A1085" s="4">
        <v>1023003</v>
      </c>
      <c r="B1085" s="12" t="str">
        <f t="array" ref="B1085">IF(A1085:A5127="","",_xlfn.XLOOKUP(A1085:A5127,'参照_武将'!A:A,'参照_武将'!B:B,"見つかりません"))</f>
      </c>
      <c r="C1085" s="4" t="s">
        <v>166</v>
      </c>
      <c r="D1085" s="4">
        <v>23</v>
      </c>
      <c r="E1085" s="12" t="str">
        <f t="array" ref="E1085">IF(D1085:D5127="","",IFERROR(_xlfn.XLOOKUP(D1085:D5127,'参照_勢力'!A:A,'参照_勢力'!B:B),IFERROR(_xlfn.XLOOKUP(F1085:F5127,kunishuClan!A:A,kunishuClan!B:B),"浪人")))</f>
      </c>
      <c r="F1085" s="4">
        <v>0</v>
      </c>
      <c r="G1085" s="4">
        <v>92</v>
      </c>
      <c r="H1085" s="12" t="str">
        <f t="array" ref="H1085">IF(G1085:G5127="","",_xlfn.XLOOKUP(G1085:G5127,castles_state!A:A,castles_state!D:D,"見つかりません"))</f>
      </c>
      <c r="I1085" s="4"/>
      <c r="J1085" s="12" t="str">
        <f t="array" ref="J1085">IF(I1085:I5127="","",_xlfn.XLOOKUP(I1085:I5127,'参照_姫'!A:A,'参照_姫'!B:B,"見つかりません"))</f>
      </c>
      <c r="K1085" s="4">
        <v>95</v>
      </c>
      <c r="L1085" s="4">
        <v>0</v>
      </c>
      <c r="M1085" s="4"/>
      <c r="N1085" s="4"/>
      <c r="O1085" s="4"/>
      <c r="P1085" s="12" t="str">
        <f t="array" ref="P1085">IF(O1085:O5127="","",_xlfn.XLOOKUP(O1085:O5127,'参照_官位'!A:A,'参照_官位'!B:B,""))</f>
      </c>
      <c r="Q1085" s="12" t="str">
        <f t="array" ref="Q1085">IF(A1085:A5127="","",IFERROR(_xlfn.XLOOKUP(A1085:A5127,castles_state!K:K,castles_state!D:D)&amp;"主",IFERROR(_xlfn.XLOOKUP(A1085:A5127,kunishuClan!D:D,kunishuClan!B:B)&amp;"当主","")))</f>
      </c>
    </row>
    <row r="1086" ht="15.75" customHeight="1">
      <c r="A1086" s="4">
        <v>1023004</v>
      </c>
      <c r="B1086" s="12" t="str">
        <f t="array" ref="B1086">IF(A1086:A5128="","",_xlfn.XLOOKUP(A1086:A5128,'参照_武将'!A:A,'参照_武将'!B:B,"見つかりません"))</f>
      </c>
      <c r="C1086" s="4" t="s">
        <v>166</v>
      </c>
      <c r="D1086" s="4">
        <v>23</v>
      </c>
      <c r="E1086" s="12" t="str">
        <f t="array" ref="E1086">IF(D1086:D5128="","",IFERROR(_xlfn.XLOOKUP(D1086:D5128,'参照_勢力'!A:A,'参照_勢力'!B:B),IFERROR(_xlfn.XLOOKUP(F1086:F5128,kunishuClan!A:A,kunishuClan!B:B),"浪人")))</f>
      </c>
      <c r="F1086" s="4">
        <v>0</v>
      </c>
      <c r="G1086" s="4">
        <v>92</v>
      </c>
      <c r="H1086" s="12" t="str">
        <f t="array" ref="H1086">IF(G1086:G5128="","",_xlfn.XLOOKUP(G1086:G5128,castles_state!A:A,castles_state!D:D,"見つかりません"))</f>
      </c>
      <c r="I1086" s="4"/>
      <c r="J1086" s="12" t="str">
        <f t="array" ref="J1086">IF(I1086:I5128="","",_xlfn.XLOOKUP(I1086:I5128,'参照_姫'!A:A,'参照_姫'!B:B,"見つかりません"))</f>
      </c>
      <c r="K1086" s="4">
        <v>100</v>
      </c>
      <c r="L1086" s="4">
        <v>1000</v>
      </c>
      <c r="M1086" s="4"/>
      <c r="N1086" s="4"/>
      <c r="O1086" s="4"/>
      <c r="P1086" s="12" t="str">
        <f t="array" ref="P1086">IF(O1086:O5128="","",_xlfn.XLOOKUP(O1086:O5128,'参照_官位'!A:A,'参照_官位'!B:B,""))</f>
      </c>
      <c r="Q1086" s="12" t="str">
        <f t="array" ref="Q1086">IF(A1086:A5128="","",IFERROR(_xlfn.XLOOKUP(A1086:A5128,castles_state!K:K,castles_state!D:D)&amp;"主",IFERROR(_xlfn.XLOOKUP(A1086:A5128,kunishuClan!D:D,kunishuClan!B:B)&amp;"当主","")))</f>
      </c>
    </row>
    <row r="1087" ht="15.75" customHeight="1">
      <c r="A1087" s="4">
        <v>1023005</v>
      </c>
      <c r="B1087" s="12" t="str">
        <f t="array" ref="B1087">IF(A1087:A5129="","",_xlfn.XLOOKUP(A1087:A5129,'参照_武将'!A:A,'参照_武将'!B:B,"見つかりません"))</f>
      </c>
      <c r="C1087" s="4" t="s">
        <v>166</v>
      </c>
      <c r="D1087" s="4">
        <v>23</v>
      </c>
      <c r="E1087" s="12" t="str">
        <f t="array" ref="E1087">IF(D1087:D5129="","",IFERROR(_xlfn.XLOOKUP(D1087:D5129,'参照_勢力'!A:A,'参照_勢力'!B:B),IFERROR(_xlfn.XLOOKUP(F1087:F5129,kunishuClan!A:A,kunishuClan!B:B),"浪人")))</f>
      </c>
      <c r="F1087" s="4">
        <v>0</v>
      </c>
      <c r="G1087" s="4">
        <v>92</v>
      </c>
      <c r="H1087" s="12" t="str">
        <f t="array" ref="H1087">IF(G1087:G5129="","",_xlfn.XLOOKUP(G1087:G5129,castles_state!A:A,castles_state!D:D,"見つかりません"))</f>
      </c>
      <c r="I1087" s="4"/>
      <c r="J1087" s="12" t="str">
        <f t="array" ref="J1087">IF(I1087:I5129="","",_xlfn.XLOOKUP(I1087:I5129,'参照_姫'!A:A,'参照_姫'!B:B,"見つかりません"))</f>
      </c>
      <c r="K1087" s="4">
        <v>95</v>
      </c>
      <c r="L1087" s="4">
        <v>500</v>
      </c>
      <c r="M1087" s="4"/>
      <c r="N1087" s="4"/>
      <c r="O1087" s="4"/>
      <c r="P1087" s="12" t="str">
        <f t="array" ref="P1087">IF(O1087:O5129="","",_xlfn.XLOOKUP(O1087:O5129,'参照_官位'!A:A,'参照_官位'!B:B,""))</f>
      </c>
      <c r="Q1087" s="12" t="str">
        <f t="array" ref="Q1087">IF(A1087:A5129="","",IFERROR(_xlfn.XLOOKUP(A1087:A5129,castles_state!K:K,castles_state!D:D)&amp;"主",IFERROR(_xlfn.XLOOKUP(A1087:A5129,kunishuClan!D:D,kunishuClan!B:B)&amp;"当主","")))</f>
      </c>
    </row>
    <row r="1088" ht="15.75" customHeight="1">
      <c r="A1088" s="4">
        <v>1023006</v>
      </c>
      <c r="B1088" s="12" t="str">
        <f t="array" ref="B1088">IF(A1088:A5130="","",_xlfn.XLOOKUP(A1088:A5130,'参照_武将'!A:A,'参照_武将'!B:B,"見つかりません"))</f>
      </c>
      <c r="C1088" s="4" t="s">
        <v>166</v>
      </c>
      <c r="D1088" s="4">
        <v>23</v>
      </c>
      <c r="E1088" s="12" t="str">
        <f t="array" ref="E1088">IF(D1088:D5130="","",IFERROR(_xlfn.XLOOKUP(D1088:D5130,'参照_勢力'!A:A,'参照_勢力'!B:B),IFERROR(_xlfn.XLOOKUP(F1088:F5130,kunishuClan!A:A,kunishuClan!B:B),"浪人")))</f>
      </c>
      <c r="F1088" s="4">
        <v>0</v>
      </c>
      <c r="G1088" s="4">
        <v>92</v>
      </c>
      <c r="H1088" s="12" t="str">
        <f t="array" ref="H1088">IF(G1088:G5130="","",_xlfn.XLOOKUP(G1088:G5130,castles_state!A:A,castles_state!D:D,"見つかりません"))</f>
      </c>
      <c r="I1088" s="4"/>
      <c r="J1088" s="12" t="str">
        <f t="array" ref="J1088">IF(I1088:I5130="","",_xlfn.XLOOKUP(I1088:I5130,'参照_姫'!A:A,'参照_姫'!B:B,"見つかりません"))</f>
      </c>
      <c r="K1088" s="4">
        <v>95</v>
      </c>
      <c r="L1088" s="4">
        <v>0</v>
      </c>
      <c r="M1088" s="4"/>
      <c r="N1088" s="4"/>
      <c r="O1088" s="4"/>
      <c r="P1088" s="12" t="str">
        <f t="array" ref="P1088">IF(O1088:O5130="","",_xlfn.XLOOKUP(O1088:O5130,'参照_官位'!A:A,'参照_官位'!B:B,""))</f>
      </c>
      <c r="Q1088" s="12" t="str">
        <f t="array" ref="Q1088">IF(A1088:A5130="","",IFERROR(_xlfn.XLOOKUP(A1088:A5130,castles_state!K:K,castles_state!D:D)&amp;"主",IFERROR(_xlfn.XLOOKUP(A1088:A5130,kunishuClan!D:D,kunishuClan!B:B)&amp;"当主","")))</f>
      </c>
    </row>
    <row r="1089" ht="15.75" customHeight="1">
      <c r="A1089" s="4">
        <v>1023007</v>
      </c>
      <c r="B1089" s="12" t="str">
        <f t="array" ref="B1089">IF(A1089:A5131="","",_xlfn.XLOOKUP(A1089:A5131,'参照_武将'!A:A,'参照_武将'!B:B,"見つかりません"))</f>
      </c>
      <c r="C1089" s="4" t="s">
        <v>166</v>
      </c>
      <c r="D1089" s="4">
        <v>23</v>
      </c>
      <c r="E1089" s="12" t="str">
        <f t="array" ref="E1089">IF(D1089:D5131="","",IFERROR(_xlfn.XLOOKUP(D1089:D5131,'参照_勢力'!A:A,'参照_勢力'!B:B),IFERROR(_xlfn.XLOOKUP(F1089:F5131,kunishuClan!A:A,kunishuClan!B:B),"浪人")))</f>
      </c>
      <c r="F1089" s="4">
        <v>0</v>
      </c>
      <c r="G1089" s="4">
        <v>92</v>
      </c>
      <c r="H1089" s="12" t="str">
        <f t="array" ref="H1089">IF(G1089:G5131="","",_xlfn.XLOOKUP(G1089:G5131,castles_state!A:A,castles_state!D:D,"見つかりません"))</f>
      </c>
      <c r="I1089" s="4"/>
      <c r="J1089" s="12" t="str">
        <f t="array" ref="J1089">IF(I1089:I5131="","",_xlfn.XLOOKUP(I1089:I5131,'参照_姫'!A:A,'参照_姫'!B:B,"見つかりません"))</f>
      </c>
      <c r="K1089" s="4">
        <v>95</v>
      </c>
      <c r="L1089" s="4">
        <v>0</v>
      </c>
      <c r="M1089" s="4"/>
      <c r="N1089" s="4"/>
      <c r="O1089" s="4"/>
      <c r="P1089" s="12" t="str">
        <f t="array" ref="P1089">IF(O1089:O5131="","",_xlfn.XLOOKUP(O1089:O5131,'参照_官位'!A:A,'参照_官位'!B:B,""))</f>
      </c>
      <c r="Q1089" s="12" t="str">
        <f t="array" ref="Q1089">IF(A1089:A5131="","",IFERROR(_xlfn.XLOOKUP(A1089:A5131,castles_state!K:K,castles_state!D:D)&amp;"主",IFERROR(_xlfn.XLOOKUP(A1089:A5131,kunishuClan!D:D,kunishuClan!B:B)&amp;"当主","")))</f>
      </c>
    </row>
    <row r="1090" ht="15.75" customHeight="1">
      <c r="A1090" s="4">
        <v>1023008</v>
      </c>
      <c r="B1090" s="12" t="str">
        <f t="array" ref="B1090">IF(A1090:A5132="","",_xlfn.XLOOKUP(A1090:A5132,'参照_武将'!A:A,'参照_武将'!B:B,"見つかりません"))</f>
      </c>
      <c r="C1090" s="4" t="s">
        <v>166</v>
      </c>
      <c r="D1090" s="4">
        <v>23</v>
      </c>
      <c r="E1090" s="12" t="str">
        <f t="array" ref="E1090">IF(D1090:D5132="","",IFERROR(_xlfn.XLOOKUP(D1090:D5132,'参照_勢力'!A:A,'参照_勢力'!B:B),IFERROR(_xlfn.XLOOKUP(F1090:F5132,kunishuClan!A:A,kunishuClan!B:B),"浪人")))</f>
      </c>
      <c r="F1090" s="4">
        <v>0</v>
      </c>
      <c r="G1090" s="4">
        <v>92</v>
      </c>
      <c r="H1090" s="12" t="str">
        <f t="array" ref="H1090">IF(G1090:G5132="","",_xlfn.XLOOKUP(G1090:G5132,castles_state!A:A,castles_state!D:D,"見つかりません"))</f>
      </c>
      <c r="I1090" s="4"/>
      <c r="J1090" s="12" t="str">
        <f t="array" ref="J1090">IF(I1090:I5132="","",_xlfn.XLOOKUP(I1090:I5132,'参照_姫'!A:A,'参照_姫'!B:B,"見つかりません"))</f>
      </c>
      <c r="K1090" s="4">
        <v>95</v>
      </c>
      <c r="L1090" s="4">
        <v>0</v>
      </c>
      <c r="M1090" s="4"/>
      <c r="N1090" s="4"/>
      <c r="O1090" s="4"/>
      <c r="P1090" s="12" t="str">
        <f t="array" ref="P1090">IF(O1090:O5132="","",_xlfn.XLOOKUP(O1090:O5132,'参照_官位'!A:A,'参照_官位'!B:B,""))</f>
      </c>
      <c r="Q1090" s="12" t="str">
        <f t="array" ref="Q1090">IF(A1090:A5132="","",IFERROR(_xlfn.XLOOKUP(A1090:A5132,castles_state!K:K,castles_state!D:D)&amp;"主",IFERROR(_xlfn.XLOOKUP(A1090:A5132,kunishuClan!D:D,kunishuClan!B:B)&amp;"当主","")))</f>
      </c>
    </row>
    <row r="1091" ht="15.75" customHeight="1">
      <c r="A1091" s="4">
        <v>1023009</v>
      </c>
      <c r="B1091" s="12" t="str">
        <f t="array" ref="B1091">IF(A1091:A5133="","",_xlfn.XLOOKUP(A1091:A5133,'参照_武将'!A:A,'参照_武将'!B:B,"見つかりません"))</f>
      </c>
      <c r="C1091" s="4" t="s">
        <v>166</v>
      </c>
      <c r="D1091" s="4">
        <v>23</v>
      </c>
      <c r="E1091" s="12" t="str">
        <f t="array" ref="E1091">IF(D1091:D5133="","",IFERROR(_xlfn.XLOOKUP(D1091:D5133,'参照_勢力'!A:A,'参照_勢力'!B:B),IFERROR(_xlfn.XLOOKUP(F1091:F5133,kunishuClan!A:A,kunishuClan!B:B),"浪人")))</f>
      </c>
      <c r="F1091" s="4">
        <v>0</v>
      </c>
      <c r="G1091" s="4">
        <v>92</v>
      </c>
      <c r="H1091" s="12" t="str">
        <f t="array" ref="H1091">IF(G1091:G5133="","",_xlfn.XLOOKUP(G1091:G5133,castles_state!A:A,castles_state!D:D,"見つかりません"))</f>
      </c>
      <c r="I1091" s="4"/>
      <c r="J1091" s="12" t="str">
        <f t="array" ref="J1091">IF(I1091:I5133="","",_xlfn.XLOOKUP(I1091:I5133,'参照_姫'!A:A,'参照_姫'!B:B,"見つかりません"))</f>
      </c>
      <c r="K1091" s="4">
        <v>95</v>
      </c>
      <c r="L1091" s="4">
        <v>0</v>
      </c>
      <c r="M1091" s="4"/>
      <c r="N1091" s="4"/>
      <c r="O1091" s="4"/>
      <c r="P1091" s="12" t="str">
        <f t="array" ref="P1091">IF(O1091:O5133="","",_xlfn.XLOOKUP(O1091:O5133,'参照_官位'!A:A,'参照_官位'!B:B,""))</f>
      </c>
      <c r="Q1091" s="12" t="str">
        <f t="array" ref="Q1091">IF(A1091:A5133="","",IFERROR(_xlfn.XLOOKUP(A1091:A5133,castles_state!K:K,castles_state!D:D)&amp;"主",IFERROR(_xlfn.XLOOKUP(A1091:A5133,kunishuClan!D:D,kunishuClan!B:B)&amp;"当主","")))</f>
      </c>
    </row>
    <row r="1092" ht="15.75" customHeight="1">
      <c r="A1092" s="4">
        <v>1023010</v>
      </c>
      <c r="B1092" s="12" t="str">
        <f t="array" ref="B1092">IF(A1092:A5134="","",_xlfn.XLOOKUP(A1092:A5134,'参照_武将'!A:A,'参照_武将'!B:B,"見つかりません"))</f>
      </c>
      <c r="C1092" s="4" t="s">
        <v>166</v>
      </c>
      <c r="D1092" s="4">
        <v>23</v>
      </c>
      <c r="E1092" s="12" t="str">
        <f t="array" ref="E1092">IF(D1092:D5134="","",IFERROR(_xlfn.XLOOKUP(D1092:D5134,'参照_勢力'!A:A,'参照_勢力'!B:B),IFERROR(_xlfn.XLOOKUP(F1092:F5134,kunishuClan!A:A,kunishuClan!B:B),"浪人")))</f>
      </c>
      <c r="F1092" s="4">
        <v>0</v>
      </c>
      <c r="G1092" s="4">
        <v>92</v>
      </c>
      <c r="H1092" s="12" t="str">
        <f t="array" ref="H1092">IF(G1092:G5134="","",_xlfn.XLOOKUP(G1092:G5134,castles_state!A:A,castles_state!D:D,"見つかりません"))</f>
      </c>
      <c r="I1092" s="4"/>
      <c r="J1092" s="12" t="str">
        <f t="array" ref="J1092">IF(I1092:I5134="","",_xlfn.XLOOKUP(I1092:I5134,'参照_姫'!A:A,'参照_姫'!B:B,"見つかりません"))</f>
      </c>
      <c r="K1092" s="4">
        <v>95</v>
      </c>
      <c r="L1092" s="4">
        <v>200</v>
      </c>
      <c r="M1092" s="4"/>
      <c r="N1092" s="4"/>
      <c r="O1092" s="4"/>
      <c r="P1092" s="12" t="str">
        <f t="array" ref="P1092">IF(O1092:O5134="","",_xlfn.XLOOKUP(O1092:O5134,'参照_官位'!A:A,'参照_官位'!B:B,""))</f>
      </c>
      <c r="Q1092" s="12" t="str">
        <f t="array" ref="Q1092">IF(A1092:A5134="","",IFERROR(_xlfn.XLOOKUP(A1092:A5134,castles_state!K:K,castles_state!D:D)&amp;"主",IFERROR(_xlfn.XLOOKUP(A1092:A5134,kunishuClan!D:D,kunishuClan!B:B)&amp;"当主","")))</f>
      </c>
    </row>
    <row r="1093" ht="15.75" customHeight="1">
      <c r="A1093" s="4">
        <v>1023011</v>
      </c>
      <c r="B1093" s="12" t="str">
        <f t="array" ref="B1093">IF(A1093:A5135="","",_xlfn.XLOOKUP(A1093:A5135,'参照_武将'!A:A,'参照_武将'!B:B,"見つかりません"))</f>
      </c>
      <c r="C1093" s="4" t="s">
        <v>166</v>
      </c>
      <c r="D1093" s="4">
        <v>23</v>
      </c>
      <c r="E1093" s="12" t="str">
        <f t="array" ref="E1093">IF(D1093:D5135="","",IFERROR(_xlfn.XLOOKUP(D1093:D5135,'参照_勢力'!A:A,'参照_勢力'!B:B),IFERROR(_xlfn.XLOOKUP(F1093:F5135,kunishuClan!A:A,kunishuClan!B:B),"浪人")))</f>
      </c>
      <c r="F1093" s="4">
        <v>0</v>
      </c>
      <c r="G1093" s="4">
        <v>92</v>
      </c>
      <c r="H1093" s="12" t="str">
        <f t="array" ref="H1093">IF(G1093:G5135="","",_xlfn.XLOOKUP(G1093:G5135,castles_state!A:A,castles_state!D:D,"見つかりません"))</f>
      </c>
      <c r="I1093" s="4"/>
      <c r="J1093" s="12" t="str">
        <f t="array" ref="J1093">IF(I1093:I5135="","",_xlfn.XLOOKUP(I1093:I5135,'参照_姫'!A:A,'参照_姫'!B:B,"見つかりません"))</f>
      </c>
      <c r="K1093" s="4">
        <v>95</v>
      </c>
      <c r="L1093" s="4">
        <v>300</v>
      </c>
      <c r="M1093" s="4" t="b">
        <v>1</v>
      </c>
      <c r="N1093" s="4"/>
      <c r="O1093" s="4"/>
      <c r="P1093" s="12" t="str">
        <f t="array" ref="P1093">IF(O1093:O5135="","",_xlfn.XLOOKUP(O1093:O5135,'参照_官位'!A:A,'参照_官位'!B:B,""))</f>
      </c>
      <c r="Q1093" s="12" t="str">
        <f t="array" ref="Q1093">IF(A1093:A5135="","",IFERROR(_xlfn.XLOOKUP(A1093:A5135,castles_state!K:K,castles_state!D:D)&amp;"主",IFERROR(_xlfn.XLOOKUP(A1093:A5135,kunishuClan!D:D,kunishuClan!B:B)&amp;"当主","")))</f>
      </c>
    </row>
    <row r="1094" ht="15.75" customHeight="1">
      <c r="A1094" s="4">
        <v>1023012</v>
      </c>
      <c r="B1094" s="12" t="str">
        <f t="array" ref="B1094">IF(A1094:A5136="","",_xlfn.XLOOKUP(A1094:A5136,'参照_武将'!A:A,'参照_武将'!B:B,"見つかりません"))</f>
      </c>
      <c r="C1094" s="4" t="s">
        <v>166</v>
      </c>
      <c r="D1094" s="4">
        <v>23</v>
      </c>
      <c r="E1094" s="12" t="str">
        <f t="array" ref="E1094">IF(D1094:D5136="","",IFERROR(_xlfn.XLOOKUP(D1094:D5136,'参照_勢力'!A:A,'参照_勢力'!B:B),IFERROR(_xlfn.XLOOKUP(F1094:F5136,kunishuClan!A:A,kunishuClan!B:B),"浪人")))</f>
      </c>
      <c r="F1094" s="4">
        <v>0</v>
      </c>
      <c r="G1094" s="4">
        <v>92</v>
      </c>
      <c r="H1094" s="12" t="str">
        <f t="array" ref="H1094">IF(G1094:G5136="","",_xlfn.XLOOKUP(G1094:G5136,castles_state!A:A,castles_state!D:D,"見つかりません"))</f>
      </c>
      <c r="I1094" s="4"/>
      <c r="J1094" s="12" t="str">
        <f t="array" ref="J1094">IF(I1094:I5136="","",_xlfn.XLOOKUP(I1094:I5136,'参照_姫'!A:A,'参照_姫'!B:B,"見つかりません"))</f>
      </c>
      <c r="K1094" s="4">
        <v>95</v>
      </c>
      <c r="L1094" s="4">
        <v>0</v>
      </c>
      <c r="M1094" s="4"/>
      <c r="N1094" s="4"/>
      <c r="O1094" s="4"/>
      <c r="P1094" s="12" t="str">
        <f t="array" ref="P1094">IF(O1094:O5136="","",_xlfn.XLOOKUP(O1094:O5136,'参照_官位'!A:A,'参照_官位'!B:B,""))</f>
      </c>
      <c r="Q1094" s="12" t="str">
        <f t="array" ref="Q1094">IF(A1094:A5136="","",IFERROR(_xlfn.XLOOKUP(A1094:A5136,castles_state!K:K,castles_state!D:D)&amp;"主",IFERROR(_xlfn.XLOOKUP(A1094:A5136,kunishuClan!D:D,kunishuClan!B:B)&amp;"当主","")))</f>
      </c>
    </row>
    <row r="1095" ht="15.75" customHeight="1">
      <c r="A1095" s="4">
        <v>1023013</v>
      </c>
      <c r="B1095" s="12" t="str">
        <f t="array" ref="B1095">IF(A1095:A5137="","",_xlfn.XLOOKUP(A1095:A5137,'参照_武将'!A:A,'参照_武将'!B:B,"見つかりません"))</f>
      </c>
      <c r="C1095" s="4" t="s">
        <v>5928</v>
      </c>
      <c r="D1095" s="4">
        <v>0</v>
      </c>
      <c r="E1095" s="12" t="str">
        <f t="array" ref="E1095">IF(D1095:D5137="","",IFERROR(_xlfn.XLOOKUP(D1095:D5137,'参照_勢力'!A:A,'参照_勢力'!B:B),IFERROR(_xlfn.XLOOKUP(F1095:F5137,kunishuClan!A:A,kunishuClan!B:B),"浪人")))</f>
      </c>
      <c r="F1095" s="4">
        <v>0</v>
      </c>
      <c r="G1095" s="4">
        <v>50</v>
      </c>
      <c r="H1095" s="12" t="str">
        <f t="array" ref="H1095">IF(G1095:G5137="","",_xlfn.XLOOKUP(G1095:G5137,castles_state!A:A,castles_state!D:D,"見つかりません"))</f>
      </c>
      <c r="I1095" s="4"/>
      <c r="J1095" s="12" t="str">
        <f t="array" ref="J1095">IF(I1095:I5137="","",_xlfn.XLOOKUP(I1095:I5137,'参照_姫'!A:A,'参照_姫'!B:B,"見つかりません"))</f>
      </c>
      <c r="K1095" s="4">
        <v>50</v>
      </c>
      <c r="L1095" s="4">
        <v>0</v>
      </c>
      <c r="M1095" s="4"/>
      <c r="N1095" s="4"/>
      <c r="O1095" s="4"/>
      <c r="P1095" s="12" t="str">
        <f t="array" ref="P1095">IF(O1095:O5137="","",_xlfn.XLOOKUP(O1095:O5137,'参照_官位'!A:A,'参照_官位'!B:B,""))</f>
      </c>
      <c r="Q1095" s="12" t="str">
        <f t="array" ref="Q1095">IF(A1095:A5137="","",IFERROR(_xlfn.XLOOKUP(A1095:A5137,castles_state!K:K,castles_state!D:D)&amp;"主",IFERROR(_xlfn.XLOOKUP(A1095:A5137,kunishuClan!D:D,kunishuClan!B:B)&amp;"当主","")))</f>
      </c>
    </row>
    <row r="1096" ht="15.75" customHeight="1">
      <c r="A1096" s="4">
        <v>1023014</v>
      </c>
      <c r="B1096" s="12" t="str">
        <f t="array" ref="B1096">IF(A1096:A5138="","",_xlfn.XLOOKUP(A1096:A5138,'参照_武将'!A:A,'参照_武将'!B:B,"見つかりません"))</f>
      </c>
      <c r="C1096" s="4" t="s">
        <v>5928</v>
      </c>
      <c r="D1096" s="4">
        <v>23</v>
      </c>
      <c r="E1096" s="12" t="str">
        <f t="array" ref="E1096">IF(D1096:D5138="","",IFERROR(_xlfn.XLOOKUP(D1096:D5138,'参照_勢力'!A:A,'参照_勢力'!B:B),IFERROR(_xlfn.XLOOKUP(F1096:F5138,kunishuClan!A:A,kunishuClan!B:B),"浪人")))</f>
      </c>
      <c r="F1096" s="4">
        <v>0</v>
      </c>
      <c r="G1096" s="4">
        <v>92</v>
      </c>
      <c r="H1096" s="12" t="str">
        <f t="array" ref="H1096">IF(G1096:G5138="","",_xlfn.XLOOKUP(G1096:G5138,castles_state!A:A,castles_state!D:D,"見つかりません"))</f>
      </c>
      <c r="I1096" s="4"/>
      <c r="J1096" s="12" t="str">
        <f t="array" ref="J1096">IF(I1096:I5138="","",_xlfn.XLOOKUP(I1096:I5138,'参照_姫'!A:A,'参照_姫'!B:B,"見つかりません"))</f>
      </c>
      <c r="K1096" s="4">
        <v>95</v>
      </c>
      <c r="L1096" s="4">
        <v>0</v>
      </c>
      <c r="M1096" s="4"/>
      <c r="N1096" s="4"/>
      <c r="O1096" s="4"/>
      <c r="P1096" s="12" t="str">
        <f t="array" ref="P1096">IF(O1096:O5138="","",_xlfn.XLOOKUP(O1096:O5138,'参照_官位'!A:A,'参照_官位'!B:B,""))</f>
      </c>
      <c r="Q1096" s="12" t="str">
        <f t="array" ref="Q1096">IF(A1096:A5138="","",IFERROR(_xlfn.XLOOKUP(A1096:A5138,castles_state!K:K,castles_state!D:D)&amp;"主",IFERROR(_xlfn.XLOOKUP(A1096:A5138,kunishuClan!D:D,kunishuClan!B:B)&amp;"当主","")))</f>
      </c>
    </row>
    <row r="1097" ht="15.75" customHeight="1">
      <c r="A1097" s="4">
        <v>1023015</v>
      </c>
      <c r="B1097" s="12" t="str">
        <f t="array" ref="B1097">IF(A1097:A5139="","",_xlfn.XLOOKUP(A1097:A5139,'参照_武将'!A:A,'参照_武将'!B:B,"見つかりません"))</f>
      </c>
      <c r="C1097" s="4" t="s">
        <v>166</v>
      </c>
      <c r="D1097" s="4">
        <v>23</v>
      </c>
      <c r="E1097" s="12" t="str">
        <f t="array" ref="E1097">IF(D1097:D5139="","",IFERROR(_xlfn.XLOOKUP(D1097:D5139,'参照_勢力'!A:A,'参照_勢力'!B:B),IFERROR(_xlfn.XLOOKUP(F1097:F5139,kunishuClan!A:A,kunishuClan!B:B),"浪人")))</f>
      </c>
      <c r="F1097" s="4">
        <v>0</v>
      </c>
      <c r="G1097" s="4">
        <v>92</v>
      </c>
      <c r="H1097" s="12" t="str">
        <f t="array" ref="H1097">IF(G1097:G5139="","",_xlfn.XLOOKUP(G1097:G5139,castles_state!A:A,castles_state!D:D,"見つかりません"))</f>
      </c>
      <c r="I1097" s="4"/>
      <c r="J1097" s="12" t="str">
        <f t="array" ref="J1097">IF(I1097:I5139="","",_xlfn.XLOOKUP(I1097:I5139,'参照_姫'!A:A,'参照_姫'!B:B,"見つかりません"))</f>
      </c>
      <c r="K1097" s="4">
        <v>95</v>
      </c>
      <c r="L1097" s="4">
        <v>200</v>
      </c>
      <c r="M1097" s="4"/>
      <c r="N1097" s="4"/>
      <c r="O1097" s="4"/>
      <c r="P1097" s="12" t="str">
        <f t="array" ref="P1097">IF(O1097:O5139="","",_xlfn.XLOOKUP(O1097:O5139,'参照_官位'!A:A,'参照_官位'!B:B,""))</f>
      </c>
      <c r="Q1097" s="12" t="str">
        <f t="array" ref="Q1097">IF(A1097:A5139="","",IFERROR(_xlfn.XLOOKUP(A1097:A5139,castles_state!K:K,castles_state!D:D)&amp;"主",IFERROR(_xlfn.XLOOKUP(A1097:A5139,kunishuClan!D:D,kunishuClan!B:B)&amp;"当主","")))</f>
      </c>
    </row>
    <row r="1098" ht="15.75" customHeight="1">
      <c r="A1098" s="4">
        <v>1023016</v>
      </c>
      <c r="B1098" s="12" t="str">
        <f t="array" ref="B1098">IF(A1098:A5140="","",_xlfn.XLOOKUP(A1098:A5140,'参照_武将'!A:A,'参照_武将'!B:B,"見つかりません"))</f>
      </c>
      <c r="C1098" s="4" t="s">
        <v>166</v>
      </c>
      <c r="D1098" s="4">
        <v>23</v>
      </c>
      <c r="E1098" s="12" t="str">
        <f t="array" ref="E1098">IF(D1098:D5140="","",IFERROR(_xlfn.XLOOKUP(D1098:D5140,'参照_勢力'!A:A,'参照_勢力'!B:B),IFERROR(_xlfn.XLOOKUP(F1098:F5140,kunishuClan!A:A,kunishuClan!B:B),"浪人")))</f>
      </c>
      <c r="F1098" s="4">
        <v>0</v>
      </c>
      <c r="G1098" s="4">
        <v>92</v>
      </c>
      <c r="H1098" s="12" t="str">
        <f t="array" ref="H1098">IF(G1098:G5140="","",_xlfn.XLOOKUP(G1098:G5140,castles_state!A:A,castles_state!D:D,"見つかりません"))</f>
      </c>
      <c r="I1098" s="4"/>
      <c r="J1098" s="12" t="str">
        <f t="array" ref="J1098">IF(I1098:I5140="","",_xlfn.XLOOKUP(I1098:I5140,'参照_姫'!A:A,'参照_姫'!B:B,"見つかりません"))</f>
      </c>
      <c r="K1098" s="4">
        <v>95</v>
      </c>
      <c r="L1098" s="4">
        <v>0</v>
      </c>
      <c r="M1098" s="4"/>
      <c r="N1098" s="4"/>
      <c r="O1098" s="4"/>
      <c r="P1098" s="12" t="str">
        <f t="array" ref="P1098">IF(O1098:O5140="","",_xlfn.XLOOKUP(O1098:O5140,'参照_官位'!A:A,'参照_官位'!B:B,""))</f>
      </c>
      <c r="Q1098" s="12" t="str">
        <f t="array" ref="Q1098">IF(A1098:A5140="","",IFERROR(_xlfn.XLOOKUP(A1098:A5140,castles_state!K:K,castles_state!D:D)&amp;"主",IFERROR(_xlfn.XLOOKUP(A1098:A5140,kunishuClan!D:D,kunishuClan!B:B)&amp;"当主","")))</f>
      </c>
    </row>
    <row r="1099" ht="15.75" customHeight="1">
      <c r="A1099" s="4">
        <v>1023017</v>
      </c>
      <c r="B1099" s="12" t="str">
        <f t="array" ref="B1099">IF(A1099:A5141="","",_xlfn.XLOOKUP(A1099:A5141,'参照_武将'!A:A,'参照_武将'!B:B,"見つかりません"))</f>
      </c>
      <c r="C1099" s="4" t="s">
        <v>166</v>
      </c>
      <c r="D1099" s="4">
        <v>23</v>
      </c>
      <c r="E1099" s="12" t="str">
        <f t="array" ref="E1099">IF(D1099:D5141="","",IFERROR(_xlfn.XLOOKUP(D1099:D5141,'参照_勢力'!A:A,'参照_勢力'!B:B),IFERROR(_xlfn.XLOOKUP(F1099:F5141,kunishuClan!A:A,kunishuClan!B:B),"浪人")))</f>
      </c>
      <c r="F1099" s="4">
        <v>0</v>
      </c>
      <c r="G1099" s="4">
        <v>92</v>
      </c>
      <c r="H1099" s="12" t="str">
        <f t="array" ref="H1099">IF(G1099:G5141="","",_xlfn.XLOOKUP(G1099:G5141,castles_state!A:A,castles_state!D:D,"見つかりません"))</f>
      </c>
      <c r="I1099" s="4"/>
      <c r="J1099" s="12" t="str">
        <f t="array" ref="J1099">IF(I1099:I5141="","",_xlfn.XLOOKUP(I1099:I5141,'参照_姫'!A:A,'参照_姫'!B:B,"見つかりません"))</f>
      </c>
      <c r="K1099" s="4">
        <v>95</v>
      </c>
      <c r="L1099" s="4">
        <v>0</v>
      </c>
      <c r="M1099" s="4"/>
      <c r="N1099" s="4"/>
      <c r="O1099" s="4"/>
      <c r="P1099" s="12" t="str">
        <f t="array" ref="P1099">IF(O1099:O5141="","",_xlfn.XLOOKUP(O1099:O5141,'参照_官位'!A:A,'参照_官位'!B:B,""))</f>
      </c>
      <c r="Q1099" s="12" t="str">
        <f t="array" ref="Q1099">IF(A1099:A5141="","",IFERROR(_xlfn.XLOOKUP(A1099:A5141,castles_state!K:K,castles_state!D:D)&amp;"主",IFERROR(_xlfn.XLOOKUP(A1099:A5141,kunishuClan!D:D,kunishuClan!B:B)&amp;"当主","")))</f>
      </c>
    </row>
    <row r="1100" ht="15.75" customHeight="1">
      <c r="A1100" s="4">
        <v>1024001</v>
      </c>
      <c r="B1100" s="12" t="str">
        <f t="array" ref="B1100">IF(A1100:A5142="","",_xlfn.XLOOKUP(A1100:A5142,'参照_武将'!A:A,'参照_武将'!B:B,"見つかりません"))</f>
      </c>
      <c r="C1100" s="4" t="s">
        <v>168</v>
      </c>
      <c r="D1100" s="4">
        <v>1</v>
      </c>
      <c r="E1100" s="12" t="str">
        <f t="array" ref="E1100">IF(D1100:D5142="","",IFERROR(_xlfn.XLOOKUP(D1100:D5142,'参照_勢力'!A:A,'参照_勢力'!B:B),IFERROR(_xlfn.XLOOKUP(F1100:F5142,kunishuClan!A:A,kunishuClan!B:B),"浪人")))</f>
      </c>
      <c r="F1100" s="4">
        <v>0</v>
      </c>
      <c r="G1100" s="4">
        <v>47</v>
      </c>
      <c r="H1100" s="12" t="str">
        <f t="array" ref="H1100">IF(G1100:G5142="","",_xlfn.XLOOKUP(G1100:G5142,castles_state!A:A,castles_state!D:D,"見つかりません"))</f>
      </c>
      <c r="I1100" s="4"/>
      <c r="J1100" s="12" t="str">
        <f t="array" ref="J1100">IF(I1100:I5142="","",_xlfn.XLOOKUP(I1100:I5142,'参照_姫'!A:A,'参照_姫'!B:B,"見つかりません"))</f>
      </c>
      <c r="K1100" s="4">
        <v>95</v>
      </c>
      <c r="L1100" s="4">
        <v>0</v>
      </c>
      <c r="M1100" s="4"/>
      <c r="N1100" s="4"/>
      <c r="O1100" s="4"/>
      <c r="P1100" s="12" t="str">
        <f t="array" ref="P1100">IF(O1100:O5142="","",_xlfn.XLOOKUP(O1100:O5142,'参照_官位'!A:A,'参照_官位'!B:B,""))</f>
      </c>
      <c r="Q1100" s="12" t="str">
        <f t="array" ref="Q1100">IF(A1100:A5142="","",IFERROR(_xlfn.XLOOKUP(A1100:A5142,castles_state!K:K,castles_state!D:D)&amp;"主",IFERROR(_xlfn.XLOOKUP(A1100:A5142,kunishuClan!D:D,kunishuClan!B:B)&amp;"当主","")))</f>
      </c>
    </row>
    <row r="1101" ht="15.75" customHeight="1">
      <c r="A1101" s="4">
        <v>1024002</v>
      </c>
      <c r="B1101" s="12" t="str">
        <f t="array" ref="B1101">IF(A1101:A5143="","",_xlfn.XLOOKUP(A1101:A5143,'参照_武将'!A:A,'参照_武将'!B:B,"見つかりません"))</f>
      </c>
      <c r="C1101" s="4" t="s">
        <v>168</v>
      </c>
      <c r="D1101" s="4">
        <v>1</v>
      </c>
      <c r="E1101" s="12" t="str">
        <f t="array" ref="E1101">IF(D1101:D5143="","",IFERROR(_xlfn.XLOOKUP(D1101:D5143,'参照_勢力'!A:A,'参照_勢力'!B:B),IFERROR(_xlfn.XLOOKUP(F1101:F5143,kunishuClan!A:A,kunishuClan!B:B),"浪人")))</f>
      </c>
      <c r="F1101" s="4">
        <v>0</v>
      </c>
      <c r="G1101" s="4">
        <v>47</v>
      </c>
      <c r="H1101" s="12" t="str">
        <f t="array" ref="H1101">IF(G1101:G5143="","",_xlfn.XLOOKUP(G1101:G5143,castles_state!A:A,castles_state!D:D,"見つかりません"))</f>
      </c>
      <c r="I1101" s="4"/>
      <c r="J1101" s="12" t="str">
        <f t="array" ref="J1101">IF(I1101:I5143="","",_xlfn.XLOOKUP(I1101:I5143,'参照_姫'!A:A,'参照_姫'!B:B,"見つかりません"))</f>
      </c>
      <c r="K1101" s="4">
        <v>95</v>
      </c>
      <c r="L1101" s="4">
        <v>0</v>
      </c>
      <c r="M1101" s="4"/>
      <c r="N1101" s="4"/>
      <c r="O1101" s="4"/>
      <c r="P1101" s="12" t="str">
        <f t="array" ref="P1101">IF(O1101:O5143="","",_xlfn.XLOOKUP(O1101:O5143,'参照_官位'!A:A,'参照_官位'!B:B,""))</f>
      </c>
      <c r="Q1101" s="12" t="str">
        <f t="array" ref="Q1101">IF(A1101:A5143="","",IFERROR(_xlfn.XLOOKUP(A1101:A5143,castles_state!K:K,castles_state!D:D)&amp;"主",IFERROR(_xlfn.XLOOKUP(A1101:A5143,kunishuClan!D:D,kunishuClan!B:B)&amp;"当主","")))</f>
      </c>
    </row>
    <row r="1102" ht="15.75" customHeight="1">
      <c r="A1102" s="4">
        <v>1024003</v>
      </c>
      <c r="B1102" s="12" t="str">
        <f t="array" ref="B1102">IF(A1102:A5144="","",_xlfn.XLOOKUP(A1102:A5144,'参照_武将'!A:A,'参照_武将'!B:B,"見つかりません"))</f>
      </c>
      <c r="C1102" s="4" t="s">
        <v>168</v>
      </c>
      <c r="D1102" s="4">
        <v>1</v>
      </c>
      <c r="E1102" s="12" t="str">
        <f t="array" ref="E1102">IF(D1102:D5144="","",IFERROR(_xlfn.XLOOKUP(D1102:D5144,'参照_勢力'!A:A,'参照_勢力'!B:B),IFERROR(_xlfn.XLOOKUP(F1102:F5144,kunishuClan!A:A,kunishuClan!B:B),"浪人")))</f>
      </c>
      <c r="F1102" s="4">
        <v>0</v>
      </c>
      <c r="G1102" s="4">
        <v>47</v>
      </c>
      <c r="H1102" s="12" t="str">
        <f t="array" ref="H1102">IF(G1102:G5144="","",_xlfn.XLOOKUP(G1102:G5144,castles_state!A:A,castles_state!D:D,"見つかりません"))</f>
      </c>
      <c r="I1102" s="4"/>
      <c r="J1102" s="12" t="str">
        <f t="array" ref="J1102">IF(I1102:I5144="","",_xlfn.XLOOKUP(I1102:I5144,'参照_姫'!A:A,'参照_姫'!B:B,"見つかりません"))</f>
      </c>
      <c r="K1102" s="4">
        <v>95</v>
      </c>
      <c r="L1102" s="4">
        <v>200</v>
      </c>
      <c r="M1102" s="4"/>
      <c r="N1102" s="4" t="b">
        <v>1</v>
      </c>
      <c r="O1102" s="4"/>
      <c r="P1102" s="12" t="str">
        <f t="array" ref="P1102">IF(O1102:O5144="","",_xlfn.XLOOKUP(O1102:O5144,'参照_官位'!A:A,'参照_官位'!B:B,""))</f>
      </c>
      <c r="Q1102" s="12" t="str">
        <f t="array" ref="Q1102">IF(A1102:A5144="","",IFERROR(_xlfn.XLOOKUP(A1102:A5144,castles_state!K:K,castles_state!D:D)&amp;"主",IFERROR(_xlfn.XLOOKUP(A1102:A5144,kunishuClan!D:D,kunishuClan!B:B)&amp;"当主","")))</f>
      </c>
    </row>
    <row r="1103" ht="15.75" customHeight="1">
      <c r="A1103" s="4">
        <v>1024004</v>
      </c>
      <c r="B1103" s="12" t="str">
        <f t="array" ref="B1103">IF(A1103:A5145="","",_xlfn.XLOOKUP(A1103:A5145,'参照_武将'!A:A,'参照_武将'!B:B,"見つかりません"))</f>
      </c>
      <c r="C1103" s="4" t="s">
        <v>168</v>
      </c>
      <c r="D1103" s="4">
        <v>1</v>
      </c>
      <c r="E1103" s="12" t="str">
        <f t="array" ref="E1103">IF(D1103:D5145="","",IFERROR(_xlfn.XLOOKUP(D1103:D5145,'参照_勢力'!A:A,'参照_勢力'!B:B),IFERROR(_xlfn.XLOOKUP(F1103:F5145,kunishuClan!A:A,kunishuClan!B:B),"浪人")))</f>
      </c>
      <c r="F1103" s="4">
        <v>0</v>
      </c>
      <c r="G1103" s="4">
        <v>47</v>
      </c>
      <c r="H1103" s="12" t="str">
        <f t="array" ref="H1103">IF(G1103:G5145="","",_xlfn.XLOOKUP(G1103:G5145,castles_state!A:A,castles_state!D:D,"見つかりません"))</f>
      </c>
      <c r="I1103" s="4"/>
      <c r="J1103" s="12" t="str">
        <f t="array" ref="J1103">IF(I1103:I5145="","",_xlfn.XLOOKUP(I1103:I5145,'参照_姫'!A:A,'参照_姫'!B:B,"見つかりません"))</f>
      </c>
      <c r="K1103" s="4">
        <v>85</v>
      </c>
      <c r="L1103" s="4">
        <v>200</v>
      </c>
      <c r="M1103" s="4"/>
      <c r="N1103" s="4" t="b">
        <v>1</v>
      </c>
      <c r="O1103" s="4">
        <v>13</v>
      </c>
      <c r="P1103" s="12" t="str">
        <f t="array" ref="P1103">IF(O1103:O5145="","",_xlfn.XLOOKUP(O1103:O5145,'参照_官位'!A:A,'参照_官位'!B:B,""))</f>
      </c>
      <c r="Q1103" s="12" t="str">
        <f t="array" ref="Q1103">IF(A1103:A5145="","",IFERROR(_xlfn.XLOOKUP(A1103:A5145,castles_state!K:K,castles_state!D:D)&amp;"主",IFERROR(_xlfn.XLOOKUP(A1103:A5145,kunishuClan!D:D,kunishuClan!B:B)&amp;"当主","")))</f>
      </c>
    </row>
    <row r="1104" ht="15.75" customHeight="1">
      <c r="A1104" s="4">
        <v>1024005</v>
      </c>
      <c r="B1104" s="12" t="str">
        <f t="array" ref="B1104">IF(A1104:A5146="","",_xlfn.XLOOKUP(A1104:A5146,'参照_武将'!A:A,'参照_武将'!B:B,"見つかりません"))</f>
      </c>
      <c r="C1104" s="4" t="s">
        <v>168</v>
      </c>
      <c r="D1104" s="4">
        <v>1</v>
      </c>
      <c r="E1104" s="12" t="str">
        <f t="array" ref="E1104">IF(D1104:D5146="","",IFERROR(_xlfn.XLOOKUP(D1104:D5146,'参照_勢力'!A:A,'参照_勢力'!B:B),IFERROR(_xlfn.XLOOKUP(F1104:F5146,kunishuClan!A:A,kunishuClan!B:B),"浪人")))</f>
      </c>
      <c r="F1104" s="4">
        <v>0</v>
      </c>
      <c r="G1104" s="4">
        <v>47</v>
      </c>
      <c r="H1104" s="12" t="str">
        <f t="array" ref="H1104">IF(G1104:G5146="","",_xlfn.XLOOKUP(G1104:G5146,castles_state!A:A,castles_state!D:D,"見つかりません"))</f>
      </c>
      <c r="I1104" s="4"/>
      <c r="J1104" s="12" t="str">
        <f t="array" ref="J1104">IF(I1104:I5146="","",_xlfn.XLOOKUP(I1104:I5146,'参照_姫'!A:A,'参照_姫'!B:B,"見つかりません"))</f>
      </c>
      <c r="K1104" s="4">
        <v>95</v>
      </c>
      <c r="L1104" s="4">
        <v>500</v>
      </c>
      <c r="M1104" s="4"/>
      <c r="N1104" s="4"/>
      <c r="O1104" s="4">
        <v>179</v>
      </c>
      <c r="P1104" s="12" t="str">
        <f t="array" ref="P1104">IF(O1104:O5146="","",_xlfn.XLOOKUP(O1104:O5146,'参照_官位'!A:A,'参照_官位'!B:B,""))</f>
      </c>
      <c r="Q1104" s="12" t="str">
        <f t="array" ref="Q1104">IF(A1104:A5146="","",IFERROR(_xlfn.XLOOKUP(A1104:A5146,castles_state!K:K,castles_state!D:D)&amp;"主",IFERROR(_xlfn.XLOOKUP(A1104:A5146,kunishuClan!D:D,kunishuClan!B:B)&amp;"当主","")))</f>
      </c>
    </row>
    <row r="1105" ht="15.75" customHeight="1">
      <c r="A1105" s="4">
        <v>1024006</v>
      </c>
      <c r="B1105" s="12" t="str">
        <f t="array" ref="B1105">IF(A1105:A5147="","",_xlfn.XLOOKUP(A1105:A5147,'参照_武将'!A:A,'参照_武将'!B:B,"見つかりません"))</f>
      </c>
      <c r="C1105" s="4" t="s">
        <v>517</v>
      </c>
      <c r="D1105" s="4">
        <v>1</v>
      </c>
      <c r="E1105" s="12" t="str">
        <f t="array" ref="E1105">IF(D1105:D5147="","",IFERROR(_xlfn.XLOOKUP(D1105:D5147,'参照_勢力'!A:A,'参照_勢力'!B:B),IFERROR(_xlfn.XLOOKUP(F1105:F5147,kunishuClan!A:A,kunishuClan!B:B),"浪人")))</f>
      </c>
      <c r="F1105" s="4">
        <v>0</v>
      </c>
      <c r="G1105" s="4">
        <v>49</v>
      </c>
      <c r="H1105" s="12" t="str">
        <f t="array" ref="H1105">IF(G1105:G5147="","",_xlfn.XLOOKUP(G1105:G5147,castles_state!A:A,castles_state!D:D,"見つかりません"))</f>
      </c>
      <c r="I1105" s="4"/>
      <c r="J1105" s="12" t="str">
        <f t="array" ref="J1105">IF(I1105:I5147="","",_xlfn.XLOOKUP(I1105:I5147,'参照_姫'!A:A,'参照_姫'!B:B,"見つかりません"))</f>
      </c>
      <c r="K1105" s="4">
        <v>95</v>
      </c>
      <c r="L1105" s="4">
        <v>0</v>
      </c>
      <c r="M1105" s="4"/>
      <c r="N1105" s="4"/>
      <c r="O1105" s="4"/>
      <c r="P1105" s="12" t="str">
        <f t="array" ref="P1105">IF(O1105:O5147="","",_xlfn.XLOOKUP(O1105:O5147,'参照_官位'!A:A,'参照_官位'!B:B,""))</f>
      </c>
      <c r="Q1105" s="12" t="str">
        <f t="array" ref="Q1105">IF(A1105:A5147="","",IFERROR(_xlfn.XLOOKUP(A1105:A5147,castles_state!K:K,castles_state!D:D)&amp;"主",IFERROR(_xlfn.XLOOKUP(A1105:A5147,kunishuClan!D:D,kunishuClan!B:B)&amp;"当主","")))</f>
      </c>
    </row>
    <row r="1106" ht="15.75" customHeight="1">
      <c r="A1106" s="4">
        <v>1024007</v>
      </c>
      <c r="B1106" s="12" t="str">
        <f t="array" ref="B1106">IF(A1106:A5148="","",_xlfn.XLOOKUP(A1106:A5148,'参照_武将'!A:A,'参照_武将'!B:B,"見つかりません"))</f>
      </c>
      <c r="C1106" s="4" t="s">
        <v>168</v>
      </c>
      <c r="D1106" s="4">
        <v>1</v>
      </c>
      <c r="E1106" s="12" t="str">
        <f t="array" ref="E1106">IF(D1106:D5148="","",IFERROR(_xlfn.XLOOKUP(D1106:D5148,'参照_勢力'!A:A,'参照_勢力'!B:B),IFERROR(_xlfn.XLOOKUP(F1106:F5148,kunishuClan!A:A,kunishuClan!B:B),"浪人")))</f>
      </c>
      <c r="F1106" s="4">
        <v>0</v>
      </c>
      <c r="G1106" s="4">
        <v>251</v>
      </c>
      <c r="H1106" s="12" t="str">
        <f t="array" ref="H1106">IF(G1106:G5148="","",_xlfn.XLOOKUP(G1106:G5148,castles_state!A:A,castles_state!D:D,"見つかりません"))</f>
      </c>
      <c r="I1106" s="4"/>
      <c r="J1106" s="12" t="str">
        <f t="array" ref="J1106">IF(I1106:I5148="","",_xlfn.XLOOKUP(I1106:I5148,'参照_姫'!A:A,'参照_姫'!B:B,"見つかりません"))</f>
      </c>
      <c r="K1106" s="4">
        <v>95</v>
      </c>
      <c r="L1106" s="4">
        <v>300</v>
      </c>
      <c r="M1106" s="4"/>
      <c r="N1106" s="4"/>
      <c r="O1106" s="4"/>
      <c r="P1106" s="12" t="str">
        <f t="array" ref="P1106">IF(O1106:O5148="","",_xlfn.XLOOKUP(O1106:O5148,'参照_官位'!A:A,'参照_官位'!B:B,""))</f>
      </c>
      <c r="Q1106" s="12" t="str">
        <f t="array" ref="Q1106">IF(A1106:A5148="","",IFERROR(_xlfn.XLOOKUP(A1106:A5148,castles_state!K:K,castles_state!D:D)&amp;"主",IFERROR(_xlfn.XLOOKUP(A1106:A5148,kunishuClan!D:D,kunishuClan!B:B)&amp;"当主","")))</f>
      </c>
    </row>
    <row r="1107" ht="15.75" customHeight="1">
      <c r="A1107" s="4">
        <v>1024008</v>
      </c>
      <c r="B1107" s="12" t="str">
        <f t="array" ref="B1107">IF(A1107:A5149="","",_xlfn.XLOOKUP(A1107:A5149,'参照_武将'!A:A,'参照_武将'!B:B,"見つかりません"))</f>
      </c>
      <c r="C1107" s="4" t="s">
        <v>168</v>
      </c>
      <c r="D1107" s="4">
        <v>1</v>
      </c>
      <c r="E1107" s="12" t="str">
        <f t="array" ref="E1107">IF(D1107:D5149="","",IFERROR(_xlfn.XLOOKUP(D1107:D5149,'参照_勢力'!A:A,'参照_勢力'!B:B),IFERROR(_xlfn.XLOOKUP(F1107:F5149,kunishuClan!A:A,kunishuClan!B:B),"浪人")))</f>
      </c>
      <c r="F1107" s="4">
        <v>0</v>
      </c>
      <c r="G1107" s="4">
        <v>11</v>
      </c>
      <c r="H1107" s="12" t="str">
        <f t="array" ref="H1107">IF(G1107:G5149="","",_xlfn.XLOOKUP(G1107:G5149,castles_state!A:A,castles_state!D:D,"見つかりません"))</f>
      </c>
      <c r="I1107" s="4"/>
      <c r="J1107" s="12" t="str">
        <f t="array" ref="J1107">IF(I1107:I5149="","",_xlfn.XLOOKUP(I1107:I5149,'参照_姫'!A:A,'参照_姫'!B:B,"見つかりません"))</f>
      </c>
      <c r="K1107" s="4">
        <v>95</v>
      </c>
      <c r="L1107" s="4">
        <v>0</v>
      </c>
      <c r="M1107" s="4"/>
      <c r="N1107" s="4"/>
      <c r="O1107" s="4"/>
      <c r="P1107" s="12" t="str">
        <f t="array" ref="P1107">IF(O1107:O5149="","",_xlfn.XLOOKUP(O1107:O5149,'参照_官位'!A:A,'参照_官位'!B:B,""))</f>
      </c>
      <c r="Q1107" s="12" t="str">
        <f t="array" ref="Q1107">IF(A1107:A5149="","",IFERROR(_xlfn.XLOOKUP(A1107:A5149,castles_state!K:K,castles_state!D:D)&amp;"主",IFERROR(_xlfn.XLOOKUP(A1107:A5149,kunishuClan!D:D,kunishuClan!B:B)&amp;"当主","")))</f>
      </c>
    </row>
    <row r="1108" ht="15.75" customHeight="1">
      <c r="A1108" s="4">
        <v>1024009</v>
      </c>
      <c r="B1108" s="12" t="str">
        <f t="array" ref="B1108">IF(A1108:A5150="","",_xlfn.XLOOKUP(A1108:A5150,'参照_武将'!A:A,'参照_武将'!B:B,"見つかりません"))</f>
      </c>
      <c r="C1108" s="4" t="s">
        <v>168</v>
      </c>
      <c r="D1108" s="4">
        <v>1</v>
      </c>
      <c r="E1108" s="12" t="str">
        <f t="array" ref="E1108">IF(D1108:D5150="","",IFERROR(_xlfn.XLOOKUP(D1108:D5150,'参照_勢力'!A:A,'参照_勢力'!B:B),IFERROR(_xlfn.XLOOKUP(F1108:F5150,kunishuClan!A:A,kunishuClan!B:B),"浪人")))</f>
      </c>
      <c r="F1108" s="4">
        <v>0</v>
      </c>
      <c r="G1108" s="4">
        <v>47</v>
      </c>
      <c r="H1108" s="12" t="str">
        <f t="array" ref="H1108">IF(G1108:G5150="","",_xlfn.XLOOKUP(G1108:G5150,castles_state!A:A,castles_state!D:D,"見つかりません"))</f>
      </c>
      <c r="I1108" s="4"/>
      <c r="J1108" s="12" t="str">
        <f t="array" ref="J1108">IF(I1108:I5150="","",_xlfn.XLOOKUP(I1108:I5150,'参照_姫'!A:A,'参照_姫'!B:B,"見つかりません"))</f>
      </c>
      <c r="K1108" s="4">
        <v>95</v>
      </c>
      <c r="L1108" s="4">
        <v>0</v>
      </c>
      <c r="M1108" s="4"/>
      <c r="N1108" s="4"/>
      <c r="O1108" s="4"/>
      <c r="P1108" s="12" t="str">
        <f t="array" ref="P1108">IF(O1108:O5150="","",_xlfn.XLOOKUP(O1108:O5150,'参照_官位'!A:A,'参照_官位'!B:B,""))</f>
      </c>
      <c r="Q1108" s="12" t="str">
        <f t="array" ref="Q1108">IF(A1108:A5150="","",IFERROR(_xlfn.XLOOKUP(A1108:A5150,castles_state!K:K,castles_state!D:D)&amp;"主",IFERROR(_xlfn.XLOOKUP(A1108:A5150,kunishuClan!D:D,kunishuClan!B:B)&amp;"当主","")))</f>
      </c>
    </row>
    <row r="1109" ht="15.75" customHeight="1">
      <c r="A1109" s="4">
        <v>1024010</v>
      </c>
      <c r="B1109" s="12" t="str">
        <f t="array" ref="B1109">IF(A1109:A5151="","",_xlfn.XLOOKUP(A1109:A5151,'参照_武将'!A:A,'参照_武将'!B:B,"見つかりません"))</f>
      </c>
      <c r="C1109" s="4" t="s">
        <v>168</v>
      </c>
      <c r="D1109" s="4">
        <v>1</v>
      </c>
      <c r="E1109" s="12" t="str">
        <f t="array" ref="E1109">IF(D1109:D5151="","",IFERROR(_xlfn.XLOOKUP(D1109:D5151,'参照_勢力'!A:A,'参照_勢力'!B:B),IFERROR(_xlfn.XLOOKUP(F1109:F5151,kunishuClan!A:A,kunishuClan!B:B),"浪人")))</f>
      </c>
      <c r="F1109" s="4">
        <v>0</v>
      </c>
      <c r="G1109" s="4">
        <v>47</v>
      </c>
      <c r="H1109" s="12" t="str">
        <f t="array" ref="H1109">IF(G1109:G5151="","",_xlfn.XLOOKUP(G1109:G5151,castles_state!A:A,castles_state!D:D,"見つかりません"))</f>
      </c>
      <c r="I1109" s="4"/>
      <c r="J1109" s="12" t="str">
        <f t="array" ref="J1109">IF(I1109:I5151="","",_xlfn.XLOOKUP(I1109:I5151,'参照_姫'!A:A,'参照_姫'!B:B,"見つかりません"))</f>
      </c>
      <c r="K1109" s="4">
        <v>95</v>
      </c>
      <c r="L1109" s="4">
        <v>0</v>
      </c>
      <c r="M1109" s="4"/>
      <c r="N1109" s="4"/>
      <c r="O1109" s="4"/>
      <c r="P1109" s="12" t="str">
        <f t="array" ref="P1109">IF(O1109:O5151="","",_xlfn.XLOOKUP(O1109:O5151,'参照_官位'!A:A,'参照_官位'!B:B,""))</f>
      </c>
      <c r="Q1109" s="12" t="str">
        <f t="array" ref="Q1109">IF(A1109:A5151="","",IFERROR(_xlfn.XLOOKUP(A1109:A5151,castles_state!K:K,castles_state!D:D)&amp;"主",IFERROR(_xlfn.XLOOKUP(A1109:A5151,kunishuClan!D:D,kunishuClan!B:B)&amp;"当主","")))</f>
      </c>
    </row>
    <row r="1110" ht="15.75" customHeight="1">
      <c r="A1110" s="4">
        <v>1024011</v>
      </c>
      <c r="B1110" s="12" t="str">
        <f t="array" ref="B1110">IF(A1110:A5152="","",_xlfn.XLOOKUP(A1110:A5152,'参照_武将'!A:A,'参照_武将'!B:B,"見つかりません"))</f>
      </c>
      <c r="C1110" s="4" t="s">
        <v>168</v>
      </c>
      <c r="D1110" s="4">
        <v>1</v>
      </c>
      <c r="E1110" s="12" t="str">
        <f t="array" ref="E1110">IF(D1110:D5152="","",IFERROR(_xlfn.XLOOKUP(D1110:D5152,'参照_勢力'!A:A,'参照_勢力'!B:B),IFERROR(_xlfn.XLOOKUP(F1110:F5152,kunishuClan!A:A,kunishuClan!B:B),"浪人")))</f>
      </c>
      <c r="F1110" s="4">
        <v>0</v>
      </c>
      <c r="G1110" s="4">
        <v>47</v>
      </c>
      <c r="H1110" s="12" t="str">
        <f t="array" ref="H1110">IF(G1110:G5152="","",_xlfn.XLOOKUP(G1110:G5152,castles_state!A:A,castles_state!D:D,"見つかりません"))</f>
      </c>
      <c r="I1110" s="4"/>
      <c r="J1110" s="12" t="str">
        <f t="array" ref="J1110">IF(I1110:I5152="","",_xlfn.XLOOKUP(I1110:I5152,'参照_姫'!A:A,'参照_姫'!B:B,"見つかりません"))</f>
      </c>
      <c r="K1110" s="4">
        <v>95</v>
      </c>
      <c r="L1110" s="4">
        <v>0</v>
      </c>
      <c r="M1110" s="4"/>
      <c r="N1110" s="4"/>
      <c r="O1110" s="4"/>
      <c r="P1110" s="12" t="str">
        <f t="array" ref="P1110">IF(O1110:O5152="","",_xlfn.XLOOKUP(O1110:O5152,'参照_官位'!A:A,'参照_官位'!B:B,""))</f>
      </c>
      <c r="Q1110" s="12" t="str">
        <f t="array" ref="Q1110">IF(A1110:A5152="","",IFERROR(_xlfn.XLOOKUP(A1110:A5152,castles_state!K:K,castles_state!D:D)&amp;"主",IFERROR(_xlfn.XLOOKUP(A1110:A5152,kunishuClan!D:D,kunishuClan!B:B)&amp;"当主","")))</f>
      </c>
    </row>
    <row r="1111" ht="15.75" customHeight="1">
      <c r="A1111" s="4">
        <v>1024012</v>
      </c>
      <c r="B1111" s="12" t="str">
        <f t="array" ref="B1111">IF(A1111:A5153="","",_xlfn.XLOOKUP(A1111:A5153,'参照_武将'!A:A,'参照_武将'!B:B,"見つかりません"))</f>
      </c>
      <c r="C1111" s="4" t="s">
        <v>168</v>
      </c>
      <c r="D1111" s="4">
        <v>1</v>
      </c>
      <c r="E1111" s="12" t="str">
        <f t="array" ref="E1111">IF(D1111:D5153="","",IFERROR(_xlfn.XLOOKUP(D1111:D5153,'参照_勢力'!A:A,'参照_勢力'!B:B),IFERROR(_xlfn.XLOOKUP(F1111:F5153,kunishuClan!A:A,kunishuClan!B:B),"浪人")))</f>
      </c>
      <c r="F1111" s="4">
        <v>0</v>
      </c>
      <c r="G1111" s="4">
        <v>47</v>
      </c>
      <c r="H1111" s="12" t="str">
        <f t="array" ref="H1111">IF(G1111:G5153="","",_xlfn.XLOOKUP(G1111:G5153,castles_state!A:A,castles_state!D:D,"見つかりません"))</f>
      </c>
      <c r="I1111" s="4"/>
      <c r="J1111" s="12" t="str">
        <f t="array" ref="J1111">IF(I1111:I5153="","",_xlfn.XLOOKUP(I1111:I5153,'参照_姫'!A:A,'参照_姫'!B:B,"見つかりません"))</f>
      </c>
      <c r="K1111" s="4">
        <v>95</v>
      </c>
      <c r="L1111" s="4">
        <v>300</v>
      </c>
      <c r="M1111" s="4"/>
      <c r="N1111" s="4"/>
      <c r="O1111" s="4"/>
      <c r="P1111" s="12" t="str">
        <f t="array" ref="P1111">IF(O1111:O5153="","",_xlfn.XLOOKUP(O1111:O5153,'参照_官位'!A:A,'参照_官位'!B:B,""))</f>
      </c>
      <c r="Q1111" s="12" t="str">
        <f t="array" ref="Q1111">IF(A1111:A5153="","",IFERROR(_xlfn.XLOOKUP(A1111:A5153,castles_state!K:K,castles_state!D:D)&amp;"主",IFERROR(_xlfn.XLOOKUP(A1111:A5153,kunishuClan!D:D,kunishuClan!B:B)&amp;"当主","")))</f>
      </c>
    </row>
    <row r="1112" ht="15.75" customHeight="1">
      <c r="A1112" s="4">
        <v>1024013</v>
      </c>
      <c r="B1112" s="12" t="str">
        <f t="array" ref="B1112">IF(A1112:A5154="","",_xlfn.XLOOKUP(A1112:A5154,'参照_武将'!A:A,'参照_武将'!B:B,"見つかりません"))</f>
      </c>
      <c r="C1112" s="4" t="s">
        <v>168</v>
      </c>
      <c r="D1112" s="4">
        <v>1</v>
      </c>
      <c r="E1112" s="12" t="str">
        <f t="array" ref="E1112">IF(D1112:D5154="","",IFERROR(_xlfn.XLOOKUP(D1112:D5154,'参照_勢力'!A:A,'参照_勢力'!B:B),IFERROR(_xlfn.XLOOKUP(F1112:F5154,kunishuClan!A:A,kunishuClan!B:B),"浪人")))</f>
      </c>
      <c r="F1112" s="4">
        <v>0</v>
      </c>
      <c r="G1112" s="4">
        <v>47</v>
      </c>
      <c r="H1112" s="12" t="str">
        <f t="array" ref="H1112">IF(G1112:G5154="","",_xlfn.XLOOKUP(G1112:G5154,castles_state!A:A,castles_state!D:D,"見つかりません"))</f>
      </c>
      <c r="I1112" s="4"/>
      <c r="J1112" s="12" t="str">
        <f t="array" ref="J1112">IF(I1112:I5154="","",_xlfn.XLOOKUP(I1112:I5154,'参照_姫'!A:A,'参照_姫'!B:B,"見つかりません"))</f>
      </c>
      <c r="K1112" s="4">
        <v>95</v>
      </c>
      <c r="L1112" s="4">
        <v>0</v>
      </c>
      <c r="M1112" s="4"/>
      <c r="N1112" s="4"/>
      <c r="O1112" s="4"/>
      <c r="P1112" s="12" t="str">
        <f t="array" ref="P1112">IF(O1112:O5154="","",_xlfn.XLOOKUP(O1112:O5154,'参照_官位'!A:A,'参照_官位'!B:B,""))</f>
      </c>
      <c r="Q1112" s="12" t="str">
        <f t="array" ref="Q1112">IF(A1112:A5154="","",IFERROR(_xlfn.XLOOKUP(A1112:A5154,castles_state!K:K,castles_state!D:D)&amp;"主",IFERROR(_xlfn.XLOOKUP(A1112:A5154,kunishuClan!D:D,kunishuClan!B:B)&amp;"当主","")))</f>
      </c>
    </row>
    <row r="1113" ht="15.75" customHeight="1">
      <c r="A1113" s="4">
        <v>1024014</v>
      </c>
      <c r="B1113" s="12" t="str">
        <f t="array" ref="B1113">IF(A1113:A5155="","",_xlfn.XLOOKUP(A1113:A5155,'参照_武将'!A:A,'参照_武将'!B:B,"見つかりません"))</f>
      </c>
      <c r="C1113" s="4" t="s">
        <v>168</v>
      </c>
      <c r="D1113" s="4">
        <v>1</v>
      </c>
      <c r="E1113" s="12" t="str">
        <f t="array" ref="E1113">IF(D1113:D5155="","",IFERROR(_xlfn.XLOOKUP(D1113:D5155,'参照_勢力'!A:A,'参照_勢力'!B:B),IFERROR(_xlfn.XLOOKUP(F1113:F5155,kunishuClan!A:A,kunishuClan!B:B),"浪人")))</f>
      </c>
      <c r="F1113" s="4">
        <v>0</v>
      </c>
      <c r="G1113" s="4">
        <v>47</v>
      </c>
      <c r="H1113" s="12" t="str">
        <f t="array" ref="H1113">IF(G1113:G5155="","",_xlfn.XLOOKUP(G1113:G5155,castles_state!A:A,castles_state!D:D,"見つかりません"))</f>
      </c>
      <c r="I1113" s="4"/>
      <c r="J1113" s="12" t="str">
        <f t="array" ref="J1113">IF(I1113:I5155="","",_xlfn.XLOOKUP(I1113:I5155,'参照_姫'!A:A,'参照_姫'!B:B,"見つかりません"))</f>
      </c>
      <c r="K1113" s="4">
        <v>95</v>
      </c>
      <c r="L1113" s="4">
        <v>0</v>
      </c>
      <c r="M1113" s="4"/>
      <c r="N1113" s="4"/>
      <c r="O1113" s="4"/>
      <c r="P1113" s="12" t="str">
        <f t="array" ref="P1113">IF(O1113:O5155="","",_xlfn.XLOOKUP(O1113:O5155,'参照_官位'!A:A,'参照_官位'!B:B,""))</f>
      </c>
      <c r="Q1113" s="12" t="str">
        <f t="array" ref="Q1113">IF(A1113:A5155="","",IFERROR(_xlfn.XLOOKUP(A1113:A5155,castles_state!K:K,castles_state!D:D)&amp;"主",IFERROR(_xlfn.XLOOKUP(A1113:A5155,kunishuClan!D:D,kunishuClan!B:B)&amp;"当主","")))</f>
      </c>
    </row>
    <row r="1114" ht="15.75" customHeight="1">
      <c r="A1114" s="4">
        <v>1024015</v>
      </c>
      <c r="B1114" s="12" t="str">
        <f t="array" ref="B1114">IF(A1114:A5156="","",_xlfn.XLOOKUP(A1114:A5156,'参照_武将'!A:A,'参照_武将'!B:B,"見つかりません"))</f>
      </c>
      <c r="C1114" s="4" t="s">
        <v>168</v>
      </c>
      <c r="D1114" s="4">
        <v>1</v>
      </c>
      <c r="E1114" s="12" t="str">
        <f t="array" ref="E1114">IF(D1114:D5156="","",IFERROR(_xlfn.XLOOKUP(D1114:D5156,'参照_勢力'!A:A,'参照_勢力'!B:B),IFERROR(_xlfn.XLOOKUP(F1114:F5156,kunishuClan!A:A,kunishuClan!B:B),"浪人")))</f>
      </c>
      <c r="F1114" s="4">
        <v>0</v>
      </c>
      <c r="G1114" s="4">
        <v>78</v>
      </c>
      <c r="H1114" s="12" t="str">
        <f t="array" ref="H1114">IF(G1114:G5156="","",_xlfn.XLOOKUP(G1114:G5156,castles_state!A:A,castles_state!D:D,"見つかりません"))</f>
      </c>
      <c r="I1114" s="4"/>
      <c r="J1114" s="12" t="str">
        <f t="array" ref="J1114">IF(I1114:I5156="","",_xlfn.XLOOKUP(I1114:I5156,'参照_姫'!A:A,'参照_姫'!B:B,"見つかりません"))</f>
      </c>
      <c r="K1114" s="4">
        <v>95</v>
      </c>
      <c r="L1114" s="4">
        <v>0</v>
      </c>
      <c r="M1114" s="4"/>
      <c r="N1114" s="4"/>
      <c r="O1114" s="4"/>
      <c r="P1114" s="12" t="str">
        <f t="array" ref="P1114">IF(O1114:O5156="","",_xlfn.XLOOKUP(O1114:O5156,'参照_官位'!A:A,'参照_官位'!B:B,""))</f>
      </c>
      <c r="Q1114" s="12" t="str">
        <f t="array" ref="Q1114">IF(A1114:A5156="","",IFERROR(_xlfn.XLOOKUP(A1114:A5156,castles_state!K:K,castles_state!D:D)&amp;"主",IFERROR(_xlfn.XLOOKUP(A1114:A5156,kunishuClan!D:D,kunishuClan!B:B)&amp;"当主","")))</f>
      </c>
    </row>
    <row r="1115" ht="15.75" customHeight="1">
      <c r="A1115" s="4">
        <v>1024016</v>
      </c>
      <c r="B1115" s="12" t="str">
        <f t="array" ref="B1115">IF(A1115:A5157="","",_xlfn.XLOOKUP(A1115:A5157,'参照_武将'!A:A,'参照_武将'!B:B,"見つかりません"))</f>
      </c>
      <c r="C1115" s="4" t="s">
        <v>168</v>
      </c>
      <c r="D1115" s="4">
        <v>1</v>
      </c>
      <c r="E1115" s="12" t="str">
        <f t="array" ref="E1115">IF(D1115:D5157="","",IFERROR(_xlfn.XLOOKUP(D1115:D5157,'参照_勢力'!A:A,'参照_勢力'!B:B),IFERROR(_xlfn.XLOOKUP(F1115:F5157,kunishuClan!A:A,kunishuClan!B:B),"浪人")))</f>
      </c>
      <c r="F1115" s="4">
        <v>0</v>
      </c>
      <c r="G1115" s="4">
        <v>78</v>
      </c>
      <c r="H1115" s="12" t="str">
        <f t="array" ref="H1115">IF(G1115:G5157="","",_xlfn.XLOOKUP(G1115:G5157,castles_state!A:A,castles_state!D:D,"見つかりません"))</f>
      </c>
      <c r="I1115" s="4"/>
      <c r="J1115" s="12" t="str">
        <f t="array" ref="J1115">IF(I1115:I5157="","",_xlfn.XLOOKUP(I1115:I5157,'参照_姫'!A:A,'参照_姫'!B:B,"見つかりません"))</f>
      </c>
      <c r="K1115" s="4">
        <v>95</v>
      </c>
      <c r="L1115" s="4">
        <v>0</v>
      </c>
      <c r="M1115" s="4"/>
      <c r="N1115" s="4"/>
      <c r="O1115" s="4"/>
      <c r="P1115" s="12" t="str">
        <f t="array" ref="P1115">IF(O1115:O5157="","",_xlfn.XLOOKUP(O1115:O5157,'参照_官位'!A:A,'参照_官位'!B:B,""))</f>
      </c>
      <c r="Q1115" s="12" t="str">
        <f t="array" ref="Q1115">IF(A1115:A5157="","",IFERROR(_xlfn.XLOOKUP(A1115:A5157,castles_state!K:K,castles_state!D:D)&amp;"主",IFERROR(_xlfn.XLOOKUP(A1115:A5157,kunishuClan!D:D,kunishuClan!B:B)&amp;"当主","")))</f>
      </c>
    </row>
    <row r="1116" ht="15.75" customHeight="1">
      <c r="A1116" s="4">
        <v>1024017</v>
      </c>
      <c r="B1116" s="12" t="str">
        <f t="array" ref="B1116">IF(A1116:A5158="","",_xlfn.XLOOKUP(A1116:A5158,'参照_武将'!A:A,'参照_武将'!B:B,"見つかりません"))</f>
      </c>
      <c r="C1116" s="4" t="s">
        <v>168</v>
      </c>
      <c r="D1116" s="4">
        <v>1</v>
      </c>
      <c r="E1116" s="12" t="str">
        <f t="array" ref="E1116">IF(D1116:D5158="","",IFERROR(_xlfn.XLOOKUP(D1116:D5158,'参照_勢力'!A:A,'参照_勢力'!B:B),IFERROR(_xlfn.XLOOKUP(F1116:F5158,kunishuClan!A:A,kunishuClan!B:B),"浪人")))</f>
      </c>
      <c r="F1116" s="4">
        <v>0</v>
      </c>
      <c r="G1116" s="4">
        <v>47</v>
      </c>
      <c r="H1116" s="12" t="str">
        <f t="array" ref="H1116">IF(G1116:G5158="","",_xlfn.XLOOKUP(G1116:G5158,castles_state!A:A,castles_state!D:D,"見つかりません"))</f>
      </c>
      <c r="I1116" s="4"/>
      <c r="J1116" s="12" t="str">
        <f t="array" ref="J1116">IF(I1116:I5158="","",_xlfn.XLOOKUP(I1116:I5158,'参照_姫'!A:A,'参照_姫'!B:B,"見つかりません"))</f>
      </c>
      <c r="K1116" s="4">
        <v>95</v>
      </c>
      <c r="L1116" s="4">
        <v>0</v>
      </c>
      <c r="M1116" s="4"/>
      <c r="N1116" s="4"/>
      <c r="O1116" s="4"/>
      <c r="P1116" s="12" t="str">
        <f t="array" ref="P1116">IF(O1116:O5158="","",_xlfn.XLOOKUP(O1116:O5158,'参照_官位'!A:A,'参照_官位'!B:B,""))</f>
      </c>
      <c r="Q1116" s="12" t="str">
        <f t="array" ref="Q1116">IF(A1116:A5158="","",IFERROR(_xlfn.XLOOKUP(A1116:A5158,castles_state!K:K,castles_state!D:D)&amp;"主",IFERROR(_xlfn.XLOOKUP(A1116:A5158,kunishuClan!D:D,kunishuClan!B:B)&amp;"当主","")))</f>
      </c>
    </row>
    <row r="1117" ht="15.75" customHeight="1">
      <c r="A1117" s="4">
        <v>1024018</v>
      </c>
      <c r="B1117" s="12" t="str">
        <f t="array" ref="B1117">IF(A1117:A5159="","",_xlfn.XLOOKUP(A1117:A5159,'参照_武将'!A:A,'参照_武将'!B:B,"見つかりません"))</f>
      </c>
      <c r="C1117" s="4" t="s">
        <v>168</v>
      </c>
      <c r="D1117" s="4">
        <v>15</v>
      </c>
      <c r="E1117" s="12" t="str">
        <f t="array" ref="E1117">IF(D1117:D5159="","",IFERROR(_xlfn.XLOOKUP(D1117:D5159,'参照_勢力'!A:A,'参照_勢力'!B:B),IFERROR(_xlfn.XLOOKUP(F1117:F5159,kunishuClan!A:A,kunishuClan!B:B),"浪人")))</f>
      </c>
      <c r="F1117" s="4">
        <v>0</v>
      </c>
      <c r="G1117" s="4">
        <v>23</v>
      </c>
      <c r="H1117" s="12" t="str">
        <f t="array" ref="H1117">IF(G1117:G5159="","",_xlfn.XLOOKUP(G1117:G5159,castles_state!A:A,castles_state!D:D,"見つかりません"))</f>
      </c>
      <c r="I1117" s="4"/>
      <c r="J1117" s="12" t="str">
        <f t="array" ref="J1117">IF(I1117:I5159="","",_xlfn.XLOOKUP(I1117:I5159,'参照_姫'!A:A,'参照_姫'!B:B,"見つかりません"))</f>
      </c>
      <c r="K1117" s="4">
        <v>95</v>
      </c>
      <c r="L1117" s="4">
        <v>0</v>
      </c>
      <c r="M1117" s="4"/>
      <c r="N1117" s="4"/>
      <c r="O1117" s="4"/>
      <c r="P1117" s="12" t="str">
        <f t="array" ref="P1117">IF(O1117:O5159="","",_xlfn.XLOOKUP(O1117:O5159,'参照_官位'!A:A,'参照_官位'!B:B,""))</f>
      </c>
      <c r="Q1117" s="12" t="str">
        <f t="array" ref="Q1117">IF(A1117:A5159="","",IFERROR(_xlfn.XLOOKUP(A1117:A5159,castles_state!K:K,castles_state!D:D)&amp;"主",IFERROR(_xlfn.XLOOKUP(A1117:A5159,kunishuClan!D:D,kunishuClan!B:B)&amp;"当主","")))</f>
      </c>
    </row>
    <row r="1118" ht="15.75" customHeight="1">
      <c r="A1118" s="4">
        <v>1024019</v>
      </c>
      <c r="B1118" s="12" t="str">
        <f t="array" ref="B1118">IF(A1118:A5160="","",_xlfn.XLOOKUP(A1118:A5160,'参照_武将'!A:A,'参照_武将'!B:B,"見つかりません"))</f>
      </c>
      <c r="C1118" s="4" t="s">
        <v>168</v>
      </c>
      <c r="D1118" s="4">
        <v>1</v>
      </c>
      <c r="E1118" s="12" t="str">
        <f t="array" ref="E1118">IF(D1118:D5160="","",IFERROR(_xlfn.XLOOKUP(D1118:D5160,'参照_勢力'!A:A,'参照_勢力'!B:B),IFERROR(_xlfn.XLOOKUP(F1118:F5160,kunishuClan!A:A,kunishuClan!B:B),"浪人")))</f>
      </c>
      <c r="F1118" s="4">
        <v>0</v>
      </c>
      <c r="G1118" s="4">
        <v>47</v>
      </c>
      <c r="H1118" s="12" t="str">
        <f t="array" ref="H1118">IF(G1118:G5160="","",_xlfn.XLOOKUP(G1118:G5160,castles_state!A:A,castles_state!D:D,"見つかりません"))</f>
      </c>
      <c r="I1118" s="4"/>
      <c r="J1118" s="12" t="str">
        <f t="array" ref="J1118">IF(I1118:I5160="","",_xlfn.XLOOKUP(I1118:I5160,'参照_姫'!A:A,'参照_姫'!B:B,"見つかりません"))</f>
      </c>
      <c r="K1118" s="4">
        <v>95</v>
      </c>
      <c r="L1118" s="4">
        <v>0</v>
      </c>
      <c r="M1118" s="4"/>
      <c r="N1118" s="4"/>
      <c r="O1118" s="4"/>
      <c r="P1118" s="12" t="str">
        <f t="array" ref="P1118">IF(O1118:O5160="","",_xlfn.XLOOKUP(O1118:O5160,'参照_官位'!A:A,'参照_官位'!B:B,""))</f>
      </c>
      <c r="Q1118" s="12" t="str">
        <f t="array" ref="Q1118">IF(A1118:A5160="","",IFERROR(_xlfn.XLOOKUP(A1118:A5160,castles_state!K:K,castles_state!D:D)&amp;"主",IFERROR(_xlfn.XLOOKUP(A1118:A5160,kunishuClan!D:D,kunishuClan!B:B)&amp;"当主","")))</f>
      </c>
    </row>
    <row r="1119" ht="15.75" customHeight="1">
      <c r="A1119" s="4">
        <v>1024020</v>
      </c>
      <c r="B1119" s="12" t="str">
        <f t="array" ref="B1119">IF(A1119:A5161="","",_xlfn.XLOOKUP(A1119:A5161,'参照_武将'!A:A,'参照_武将'!B:B,"見つかりません"))</f>
      </c>
      <c r="C1119" s="4" t="s">
        <v>168</v>
      </c>
      <c r="D1119" s="4">
        <v>1</v>
      </c>
      <c r="E1119" s="12" t="str">
        <f t="array" ref="E1119">IF(D1119:D5161="","",IFERROR(_xlfn.XLOOKUP(D1119:D5161,'参照_勢力'!A:A,'参照_勢力'!B:B),IFERROR(_xlfn.XLOOKUP(F1119:F5161,kunishuClan!A:A,kunishuClan!B:B),"浪人")))</f>
      </c>
      <c r="F1119" s="4">
        <v>0</v>
      </c>
      <c r="G1119" s="4">
        <v>47</v>
      </c>
      <c r="H1119" s="12" t="str">
        <f t="array" ref="H1119">IF(G1119:G5161="","",_xlfn.XLOOKUP(G1119:G5161,castles_state!A:A,castles_state!D:D,"見つかりません"))</f>
      </c>
      <c r="I1119" s="4"/>
      <c r="J1119" s="12" t="str">
        <f t="array" ref="J1119">IF(I1119:I5161="","",_xlfn.XLOOKUP(I1119:I5161,'参照_姫'!A:A,'参照_姫'!B:B,"見つかりません"))</f>
      </c>
      <c r="K1119" s="4">
        <v>95</v>
      </c>
      <c r="L1119" s="4">
        <v>0</v>
      </c>
      <c r="M1119" s="4"/>
      <c r="N1119" s="4"/>
      <c r="O1119" s="4"/>
      <c r="P1119" s="12" t="str">
        <f t="array" ref="P1119">IF(O1119:O5161="","",_xlfn.XLOOKUP(O1119:O5161,'参照_官位'!A:A,'参照_官位'!B:B,""))</f>
      </c>
      <c r="Q1119" s="12" t="str">
        <f t="array" ref="Q1119">IF(A1119:A5161="","",IFERROR(_xlfn.XLOOKUP(A1119:A5161,castles_state!K:K,castles_state!D:D)&amp;"主",IFERROR(_xlfn.XLOOKUP(A1119:A5161,kunishuClan!D:D,kunishuClan!B:B)&amp;"当主","")))</f>
      </c>
    </row>
    <row r="1120" ht="15.75" customHeight="1">
      <c r="A1120" s="4">
        <v>1024021</v>
      </c>
      <c r="B1120" s="12" t="str">
        <f t="array" ref="B1120">IF(A1120:A5162="","",_xlfn.XLOOKUP(A1120:A5162,'参照_武将'!A:A,'参照_武将'!B:B,"見つかりません"))</f>
      </c>
      <c r="C1120" s="4" t="s">
        <v>168</v>
      </c>
      <c r="D1120" s="4">
        <v>1</v>
      </c>
      <c r="E1120" s="12" t="str">
        <f t="array" ref="E1120">IF(D1120:D5162="","",IFERROR(_xlfn.XLOOKUP(D1120:D5162,'参照_勢力'!A:A,'参照_勢力'!B:B),IFERROR(_xlfn.XLOOKUP(F1120:F5162,kunishuClan!A:A,kunishuClan!B:B),"浪人")))</f>
      </c>
      <c r="F1120" s="4">
        <v>0</v>
      </c>
      <c r="G1120" s="4">
        <v>47</v>
      </c>
      <c r="H1120" s="12" t="str">
        <f t="array" ref="H1120">IF(G1120:G5162="","",_xlfn.XLOOKUP(G1120:G5162,castles_state!A:A,castles_state!D:D,"見つかりません"))</f>
      </c>
      <c r="I1120" s="4"/>
      <c r="J1120" s="12" t="str">
        <f t="array" ref="J1120">IF(I1120:I5162="","",_xlfn.XLOOKUP(I1120:I5162,'参照_姫'!A:A,'参照_姫'!B:B,"見つかりません"))</f>
      </c>
      <c r="K1120" s="4">
        <v>95</v>
      </c>
      <c r="L1120" s="4">
        <v>0</v>
      </c>
      <c r="M1120" s="4"/>
      <c r="N1120" s="4"/>
      <c r="O1120" s="4"/>
      <c r="P1120" s="12" t="str">
        <f t="array" ref="P1120">IF(O1120:O5162="","",_xlfn.XLOOKUP(O1120:O5162,'参照_官位'!A:A,'参照_官位'!B:B,""))</f>
      </c>
      <c r="Q1120" s="12" t="str">
        <f t="array" ref="Q1120">IF(A1120:A5162="","",IFERROR(_xlfn.XLOOKUP(A1120:A5162,castles_state!K:K,castles_state!D:D)&amp;"主",IFERROR(_xlfn.XLOOKUP(A1120:A5162,kunishuClan!D:D,kunishuClan!B:B)&amp;"当主","")))</f>
      </c>
    </row>
    <row r="1121" ht="15.75" customHeight="1">
      <c r="A1121" s="4">
        <v>1024022</v>
      </c>
      <c r="B1121" s="12" t="str">
        <f t="array" ref="B1121">IF(A1121:A5163="","",_xlfn.XLOOKUP(A1121:A5163,'参照_武将'!A:A,'参照_武将'!B:B,"見つかりません"))</f>
      </c>
      <c r="C1121" s="4" t="s">
        <v>168</v>
      </c>
      <c r="D1121" s="4">
        <v>1</v>
      </c>
      <c r="E1121" s="12" t="str">
        <f t="array" ref="E1121">IF(D1121:D5163="","",IFERROR(_xlfn.XLOOKUP(D1121:D5163,'参照_勢力'!A:A,'参照_勢力'!B:B),IFERROR(_xlfn.XLOOKUP(F1121:F5163,kunishuClan!A:A,kunishuClan!B:B),"浪人")))</f>
      </c>
      <c r="F1121" s="4">
        <v>0</v>
      </c>
      <c r="G1121" s="4">
        <v>49</v>
      </c>
      <c r="H1121" s="12" t="str">
        <f t="array" ref="H1121">IF(G1121:G5163="","",_xlfn.XLOOKUP(G1121:G5163,castles_state!A:A,castles_state!D:D,"見つかりません"))</f>
      </c>
      <c r="I1121" s="4"/>
      <c r="J1121" s="12" t="str">
        <f t="array" ref="J1121">IF(I1121:I5163="","",_xlfn.XLOOKUP(I1121:I5163,'参照_姫'!A:A,'参照_姫'!B:B,"見つかりません"))</f>
      </c>
      <c r="K1121" s="4">
        <v>95</v>
      </c>
      <c r="L1121" s="4">
        <v>0</v>
      </c>
      <c r="M1121" s="4"/>
      <c r="N1121" s="4"/>
      <c r="O1121" s="4"/>
      <c r="P1121" s="12" t="str">
        <f t="array" ref="P1121">IF(O1121:O5163="","",_xlfn.XLOOKUP(O1121:O5163,'参照_官位'!A:A,'参照_官位'!B:B,""))</f>
      </c>
      <c r="Q1121" s="12" t="str">
        <f t="array" ref="Q1121">IF(A1121:A5163="","",IFERROR(_xlfn.XLOOKUP(A1121:A5163,castles_state!K:K,castles_state!D:D)&amp;"主",IFERROR(_xlfn.XLOOKUP(A1121:A5163,kunishuClan!D:D,kunishuClan!B:B)&amp;"当主","")))</f>
      </c>
    </row>
    <row r="1122" ht="15.75" customHeight="1">
      <c r="A1122" s="4">
        <v>1024023</v>
      </c>
      <c r="B1122" s="12" t="str">
        <f t="array" ref="B1122">IF(A1122:A5164="","",_xlfn.XLOOKUP(A1122:A5164,'参照_武将'!A:A,'参照_武将'!B:B,"見つかりません"))</f>
      </c>
      <c r="C1122" s="4" t="s">
        <v>168</v>
      </c>
      <c r="D1122" s="4">
        <v>1</v>
      </c>
      <c r="E1122" s="12" t="str">
        <f t="array" ref="E1122">IF(D1122:D5164="","",IFERROR(_xlfn.XLOOKUP(D1122:D5164,'参照_勢力'!A:A,'参照_勢力'!B:B),IFERROR(_xlfn.XLOOKUP(F1122:F5164,kunishuClan!A:A,kunishuClan!B:B),"浪人")))</f>
      </c>
      <c r="F1122" s="4">
        <v>0</v>
      </c>
      <c r="G1122" s="4">
        <v>47</v>
      </c>
      <c r="H1122" s="12" t="str">
        <f t="array" ref="H1122">IF(G1122:G5164="","",_xlfn.XLOOKUP(G1122:G5164,castles_state!A:A,castles_state!D:D,"見つかりません"))</f>
      </c>
      <c r="I1122" s="4"/>
      <c r="J1122" s="12" t="str">
        <f t="array" ref="J1122">IF(I1122:I5164="","",_xlfn.XLOOKUP(I1122:I5164,'参照_姫'!A:A,'参照_姫'!B:B,"見つかりません"))</f>
      </c>
      <c r="K1122" s="4">
        <v>95</v>
      </c>
      <c r="L1122" s="4">
        <v>0</v>
      </c>
      <c r="M1122" s="4"/>
      <c r="N1122" s="4"/>
      <c r="O1122" s="4"/>
      <c r="P1122" s="12" t="str">
        <f t="array" ref="P1122">IF(O1122:O5164="","",_xlfn.XLOOKUP(O1122:O5164,'参照_官位'!A:A,'参照_官位'!B:B,""))</f>
      </c>
      <c r="Q1122" s="12" t="str">
        <f t="array" ref="Q1122">IF(A1122:A5164="","",IFERROR(_xlfn.XLOOKUP(A1122:A5164,castles_state!K:K,castles_state!D:D)&amp;"主",IFERROR(_xlfn.XLOOKUP(A1122:A5164,kunishuClan!D:D,kunishuClan!B:B)&amp;"当主","")))</f>
      </c>
    </row>
    <row r="1123" ht="15.75" customHeight="1">
      <c r="A1123" s="4">
        <v>1024024</v>
      </c>
      <c r="B1123" s="12" t="str">
        <f t="array" ref="B1123">IF(A1123:A5165="","",_xlfn.XLOOKUP(A1123:A5165,'参照_武将'!A:A,'参照_武将'!B:B,"見つかりません"))</f>
      </c>
      <c r="C1123" s="4" t="s">
        <v>168</v>
      </c>
      <c r="D1123" s="4">
        <v>1</v>
      </c>
      <c r="E1123" s="12" t="str">
        <f t="array" ref="E1123">IF(D1123:D5165="","",IFERROR(_xlfn.XLOOKUP(D1123:D5165,'参照_勢力'!A:A,'参照_勢力'!B:B),IFERROR(_xlfn.XLOOKUP(F1123:F5165,kunishuClan!A:A,kunishuClan!B:B),"浪人")))</f>
      </c>
      <c r="F1123" s="4">
        <v>0</v>
      </c>
      <c r="G1123" s="4">
        <v>47</v>
      </c>
      <c r="H1123" s="12" t="str">
        <f t="array" ref="H1123">IF(G1123:G5165="","",_xlfn.XLOOKUP(G1123:G5165,castles_state!A:A,castles_state!D:D,"見つかりません"))</f>
      </c>
      <c r="I1123" s="4"/>
      <c r="J1123" s="12" t="str">
        <f t="array" ref="J1123">IF(I1123:I5165="","",_xlfn.XLOOKUP(I1123:I5165,'参照_姫'!A:A,'参照_姫'!B:B,"見つかりません"))</f>
      </c>
      <c r="K1123" s="4">
        <v>95</v>
      </c>
      <c r="L1123" s="4">
        <v>0</v>
      </c>
      <c r="M1123" s="4"/>
      <c r="N1123" s="4"/>
      <c r="O1123" s="4"/>
      <c r="P1123" s="12" t="str">
        <f t="array" ref="P1123">IF(O1123:O5165="","",_xlfn.XLOOKUP(O1123:O5165,'参照_官位'!A:A,'参照_官位'!B:B,""))</f>
      </c>
      <c r="Q1123" s="12" t="str">
        <f t="array" ref="Q1123">IF(A1123:A5165="","",IFERROR(_xlfn.XLOOKUP(A1123:A5165,castles_state!K:K,castles_state!D:D)&amp;"主",IFERROR(_xlfn.XLOOKUP(A1123:A5165,kunishuClan!D:D,kunishuClan!B:B)&amp;"当主","")))</f>
      </c>
    </row>
    <row r="1124" ht="15.75" customHeight="1">
      <c r="A1124" s="4">
        <v>1024025</v>
      </c>
      <c r="B1124" s="12" t="str">
        <f t="array" ref="B1124">IF(A1124:A5166="","",_xlfn.XLOOKUP(A1124:A5166,'参照_武将'!A:A,'参照_武将'!B:B,"見つかりません"))</f>
      </c>
      <c r="C1124" s="4" t="s">
        <v>168</v>
      </c>
      <c r="D1124" s="4">
        <v>1</v>
      </c>
      <c r="E1124" s="12" t="str">
        <f t="array" ref="E1124">IF(D1124:D5166="","",IFERROR(_xlfn.XLOOKUP(D1124:D5166,'参照_勢力'!A:A,'参照_勢力'!B:B),IFERROR(_xlfn.XLOOKUP(F1124:F5166,kunishuClan!A:A,kunishuClan!B:B),"浪人")))</f>
      </c>
      <c r="F1124" s="4">
        <v>0</v>
      </c>
      <c r="G1124" s="4">
        <v>47</v>
      </c>
      <c r="H1124" s="12" t="str">
        <f t="array" ref="H1124">IF(G1124:G5166="","",_xlfn.XLOOKUP(G1124:G5166,castles_state!A:A,castles_state!D:D,"見つかりません"))</f>
      </c>
      <c r="I1124" s="4"/>
      <c r="J1124" s="12" t="str">
        <f t="array" ref="J1124">IF(I1124:I5166="","",_xlfn.XLOOKUP(I1124:I5166,'参照_姫'!A:A,'参照_姫'!B:B,"見つかりません"))</f>
      </c>
      <c r="K1124" s="4">
        <v>90</v>
      </c>
      <c r="L1124" s="4">
        <v>0</v>
      </c>
      <c r="M1124" s="4"/>
      <c r="N1124" s="4"/>
      <c r="O1124" s="4"/>
      <c r="P1124" s="12" t="str">
        <f t="array" ref="P1124">IF(O1124:O5166="","",_xlfn.XLOOKUP(O1124:O5166,'参照_官位'!A:A,'参照_官位'!B:B,""))</f>
      </c>
      <c r="Q1124" s="12" t="str">
        <f t="array" ref="Q1124">IF(A1124:A5166="","",IFERROR(_xlfn.XLOOKUP(A1124:A5166,castles_state!K:K,castles_state!D:D)&amp;"主",IFERROR(_xlfn.XLOOKUP(A1124:A5166,kunishuClan!D:D,kunishuClan!B:B)&amp;"当主","")))</f>
      </c>
    </row>
    <row r="1125" ht="15.75" customHeight="1">
      <c r="A1125" s="4">
        <v>1024026</v>
      </c>
      <c r="B1125" s="12" t="str">
        <f t="array" ref="B1125">IF(A1125:A5167="","",_xlfn.XLOOKUP(A1125:A5167,'参照_武将'!A:A,'参照_武将'!B:B,"見つかりません"))</f>
      </c>
      <c r="C1125" s="4" t="s">
        <v>168</v>
      </c>
      <c r="D1125" s="4">
        <v>1</v>
      </c>
      <c r="E1125" s="12" t="str">
        <f t="array" ref="E1125">IF(D1125:D5167="","",IFERROR(_xlfn.XLOOKUP(D1125:D5167,'参照_勢力'!A:A,'参照_勢力'!B:B),IFERROR(_xlfn.XLOOKUP(F1125:F5167,kunishuClan!A:A,kunishuClan!B:B),"浪人")))</f>
      </c>
      <c r="F1125" s="4">
        <v>0</v>
      </c>
      <c r="G1125" s="4">
        <v>47</v>
      </c>
      <c r="H1125" s="12" t="str">
        <f t="array" ref="H1125">IF(G1125:G5167="","",_xlfn.XLOOKUP(G1125:G5167,castles_state!A:A,castles_state!D:D,"見つかりません"))</f>
      </c>
      <c r="I1125" s="4"/>
      <c r="J1125" s="12" t="str">
        <f t="array" ref="J1125">IF(I1125:I5167="","",_xlfn.XLOOKUP(I1125:I5167,'参照_姫'!A:A,'参照_姫'!B:B,"見つかりません"))</f>
      </c>
      <c r="K1125" s="4">
        <v>90</v>
      </c>
      <c r="L1125" s="4">
        <v>0</v>
      </c>
      <c r="M1125" s="4"/>
      <c r="N1125" s="4"/>
      <c r="O1125" s="4"/>
      <c r="P1125" s="12" t="str">
        <f t="array" ref="P1125">IF(O1125:O5167="","",_xlfn.XLOOKUP(O1125:O5167,'参照_官位'!A:A,'参照_官位'!B:B,""))</f>
      </c>
      <c r="Q1125" s="12" t="str">
        <f t="array" ref="Q1125">IF(A1125:A5167="","",IFERROR(_xlfn.XLOOKUP(A1125:A5167,castles_state!K:K,castles_state!D:D)&amp;"主",IFERROR(_xlfn.XLOOKUP(A1125:A5167,kunishuClan!D:D,kunishuClan!B:B)&amp;"当主","")))</f>
      </c>
    </row>
    <row r="1126" ht="15.75" customHeight="1">
      <c r="A1126" s="4">
        <v>1024027</v>
      </c>
      <c r="B1126" s="12" t="str">
        <f t="array" ref="B1126">IF(A1126:A5168="","",_xlfn.XLOOKUP(A1126:A5168,'参照_武将'!A:A,'参照_武将'!B:B,"見つかりません"))</f>
      </c>
      <c r="C1126" s="4" t="s">
        <v>168</v>
      </c>
      <c r="D1126" s="4">
        <v>1</v>
      </c>
      <c r="E1126" s="12" t="str">
        <f t="array" ref="E1126">IF(D1126:D5168="","",IFERROR(_xlfn.XLOOKUP(D1126:D5168,'参照_勢力'!A:A,'参照_勢力'!B:B),IFERROR(_xlfn.XLOOKUP(F1126:F5168,kunishuClan!A:A,kunishuClan!B:B),"浪人")))</f>
      </c>
      <c r="F1126" s="4">
        <v>0</v>
      </c>
      <c r="G1126" s="4">
        <v>78</v>
      </c>
      <c r="H1126" s="12" t="str">
        <f t="array" ref="H1126">IF(G1126:G5168="","",_xlfn.XLOOKUP(G1126:G5168,castles_state!A:A,castles_state!D:D,"見つかりません"))</f>
      </c>
      <c r="I1126" s="4"/>
      <c r="J1126" s="12" t="str">
        <f t="array" ref="J1126">IF(I1126:I5168="","",_xlfn.XLOOKUP(I1126:I5168,'参照_姫'!A:A,'参照_姫'!B:B,"見つかりません"))</f>
      </c>
      <c r="K1126" s="4">
        <v>95</v>
      </c>
      <c r="L1126" s="4">
        <v>0</v>
      </c>
      <c r="M1126" s="4"/>
      <c r="N1126" s="4"/>
      <c r="O1126" s="4"/>
      <c r="P1126" s="12" t="str">
        <f t="array" ref="P1126">IF(O1126:O5168="","",_xlfn.XLOOKUP(O1126:O5168,'参照_官位'!A:A,'参照_官位'!B:B,""))</f>
      </c>
      <c r="Q1126" s="12" t="str">
        <f t="array" ref="Q1126">IF(A1126:A5168="","",IFERROR(_xlfn.XLOOKUP(A1126:A5168,castles_state!K:K,castles_state!D:D)&amp;"主",IFERROR(_xlfn.XLOOKUP(A1126:A5168,kunishuClan!D:D,kunishuClan!B:B)&amp;"当主","")))</f>
      </c>
    </row>
    <row r="1127" ht="15.75" customHeight="1">
      <c r="A1127" s="4">
        <v>1024028</v>
      </c>
      <c r="B1127" s="12" t="str">
        <f t="array" ref="B1127">IF(A1127:A5169="","",_xlfn.XLOOKUP(A1127:A5169,'参照_武将'!A:A,'参照_武将'!B:B,"見つかりません"))</f>
      </c>
      <c r="C1127" s="4" t="s">
        <v>168</v>
      </c>
      <c r="D1127" s="4">
        <v>1</v>
      </c>
      <c r="E1127" s="12" t="str">
        <f t="array" ref="E1127">IF(D1127:D5169="","",IFERROR(_xlfn.XLOOKUP(D1127:D5169,'参照_勢力'!A:A,'参照_勢力'!B:B),IFERROR(_xlfn.XLOOKUP(F1127:F5169,kunishuClan!A:A,kunishuClan!B:B),"浪人")))</f>
      </c>
      <c r="F1127" s="4">
        <v>0</v>
      </c>
      <c r="G1127" s="4">
        <v>78</v>
      </c>
      <c r="H1127" s="12" t="str">
        <f t="array" ref="H1127">IF(G1127:G5169="","",_xlfn.XLOOKUP(G1127:G5169,castles_state!A:A,castles_state!D:D,"見つかりません"))</f>
      </c>
      <c r="I1127" s="4"/>
      <c r="J1127" s="12" t="str">
        <f t="array" ref="J1127">IF(I1127:I5169="","",_xlfn.XLOOKUP(I1127:I5169,'参照_姫'!A:A,'参照_姫'!B:B,"見つかりません"))</f>
      </c>
      <c r="K1127" s="4">
        <v>90</v>
      </c>
      <c r="L1127" s="4">
        <v>0</v>
      </c>
      <c r="M1127" s="4"/>
      <c r="N1127" s="4"/>
      <c r="O1127" s="4"/>
      <c r="P1127" s="12" t="str">
        <f t="array" ref="P1127">IF(O1127:O5169="","",_xlfn.XLOOKUP(O1127:O5169,'参照_官位'!A:A,'参照_官位'!B:B,""))</f>
      </c>
      <c r="Q1127" s="12" t="str">
        <f t="array" ref="Q1127">IF(A1127:A5169="","",IFERROR(_xlfn.XLOOKUP(A1127:A5169,castles_state!K:K,castles_state!D:D)&amp;"主",IFERROR(_xlfn.XLOOKUP(A1127:A5169,kunishuClan!D:D,kunishuClan!B:B)&amp;"当主","")))</f>
      </c>
    </row>
    <row r="1128" ht="15.75" customHeight="1">
      <c r="A1128" s="4">
        <v>1024029</v>
      </c>
      <c r="B1128" s="12" t="str">
        <f t="array" ref="B1128">IF(A1128:A5170="","",_xlfn.XLOOKUP(A1128:A5170,'参照_武将'!A:A,'参照_武将'!B:B,"見つかりません"))</f>
      </c>
      <c r="C1128" s="4" t="s">
        <v>168</v>
      </c>
      <c r="D1128" s="4">
        <v>1</v>
      </c>
      <c r="E1128" s="12" t="str">
        <f t="array" ref="E1128">IF(D1128:D5170="","",IFERROR(_xlfn.XLOOKUP(D1128:D5170,'参照_勢力'!A:A,'参照_勢力'!B:B),IFERROR(_xlfn.XLOOKUP(F1128:F5170,kunishuClan!A:A,kunishuClan!B:B),"浪人")))</f>
      </c>
      <c r="F1128" s="4">
        <v>0</v>
      </c>
      <c r="G1128" s="4">
        <v>47</v>
      </c>
      <c r="H1128" s="12" t="str">
        <f t="array" ref="H1128">IF(G1128:G5170="","",_xlfn.XLOOKUP(G1128:G5170,castles_state!A:A,castles_state!D:D,"見つかりません"))</f>
      </c>
      <c r="I1128" s="4"/>
      <c r="J1128" s="12" t="str">
        <f t="array" ref="J1128">IF(I1128:I5170="","",_xlfn.XLOOKUP(I1128:I5170,'参照_姫'!A:A,'参照_姫'!B:B,"見つかりません"))</f>
      </c>
      <c r="K1128" s="4">
        <v>85</v>
      </c>
      <c r="L1128" s="4">
        <v>0</v>
      </c>
      <c r="M1128" s="4"/>
      <c r="N1128" s="4"/>
      <c r="O1128" s="4"/>
      <c r="P1128" s="12" t="str">
        <f t="array" ref="P1128">IF(O1128:O5170="","",_xlfn.XLOOKUP(O1128:O5170,'参照_官位'!A:A,'参照_官位'!B:B,""))</f>
      </c>
      <c r="Q1128" s="12" t="str">
        <f t="array" ref="Q1128">IF(A1128:A5170="","",IFERROR(_xlfn.XLOOKUP(A1128:A5170,castles_state!K:K,castles_state!D:D)&amp;"主",IFERROR(_xlfn.XLOOKUP(A1128:A5170,kunishuClan!D:D,kunishuClan!B:B)&amp;"当主","")))</f>
      </c>
    </row>
    <row r="1129" ht="15.75" customHeight="1">
      <c r="A1129" s="4">
        <v>1024030</v>
      </c>
      <c r="B1129" s="12" t="str">
        <f t="array" ref="B1129">IF(A1129:A5171="","",_xlfn.XLOOKUP(A1129:A5171,'参照_武将'!A:A,'参照_武将'!B:B,"見つかりません"))</f>
      </c>
      <c r="C1129" s="4" t="s">
        <v>168</v>
      </c>
      <c r="D1129" s="4">
        <v>1</v>
      </c>
      <c r="E1129" s="12" t="str">
        <f t="array" ref="E1129">IF(D1129:D5171="","",IFERROR(_xlfn.XLOOKUP(D1129:D5171,'参照_勢力'!A:A,'参照_勢力'!B:B),IFERROR(_xlfn.XLOOKUP(F1129:F5171,kunishuClan!A:A,kunishuClan!B:B),"浪人")))</f>
      </c>
      <c r="F1129" s="4">
        <v>0</v>
      </c>
      <c r="G1129" s="4">
        <v>78</v>
      </c>
      <c r="H1129" s="12" t="str">
        <f t="array" ref="H1129">IF(G1129:G5171="","",_xlfn.XLOOKUP(G1129:G5171,castles_state!A:A,castles_state!D:D,"見つかりません"))</f>
      </c>
      <c r="I1129" s="4"/>
      <c r="J1129" s="12" t="str">
        <f t="array" ref="J1129">IF(I1129:I5171="","",_xlfn.XLOOKUP(I1129:I5171,'参照_姫'!A:A,'参照_姫'!B:B,"見つかりません"))</f>
      </c>
      <c r="K1129" s="4">
        <v>95</v>
      </c>
      <c r="L1129" s="4">
        <v>200</v>
      </c>
      <c r="M1129" s="4"/>
      <c r="N1129" s="4"/>
      <c r="O1129" s="4"/>
      <c r="P1129" s="12" t="str">
        <f t="array" ref="P1129">IF(O1129:O5171="","",_xlfn.XLOOKUP(O1129:O5171,'参照_官位'!A:A,'参照_官位'!B:B,""))</f>
      </c>
      <c r="Q1129" s="12" t="str">
        <f t="array" ref="Q1129">IF(A1129:A5171="","",IFERROR(_xlfn.XLOOKUP(A1129:A5171,castles_state!K:K,castles_state!D:D)&amp;"主",IFERROR(_xlfn.XLOOKUP(A1129:A5171,kunishuClan!D:D,kunishuClan!B:B)&amp;"当主","")))</f>
      </c>
    </row>
    <row r="1130" ht="15.75" customHeight="1">
      <c r="A1130" s="4">
        <v>1024031</v>
      </c>
      <c r="B1130" s="12" t="str">
        <f t="array" ref="B1130">IF(A1130:A5172="","",_xlfn.XLOOKUP(A1130:A5172,'参照_武将'!A:A,'参照_武将'!B:B,"見つかりません"))</f>
      </c>
      <c r="C1130" s="4" t="s">
        <v>168</v>
      </c>
      <c r="D1130" s="4">
        <v>1</v>
      </c>
      <c r="E1130" s="12" t="str">
        <f t="array" ref="E1130">IF(D1130:D5172="","",IFERROR(_xlfn.XLOOKUP(D1130:D5172,'参照_勢力'!A:A,'参照_勢力'!B:B),IFERROR(_xlfn.XLOOKUP(F1130:F5172,kunishuClan!A:A,kunishuClan!B:B),"浪人")))</f>
      </c>
      <c r="F1130" s="4">
        <v>0</v>
      </c>
      <c r="G1130" s="4">
        <v>78</v>
      </c>
      <c r="H1130" s="12" t="str">
        <f t="array" ref="H1130">IF(G1130:G5172="","",_xlfn.XLOOKUP(G1130:G5172,castles_state!A:A,castles_state!D:D,"見つかりません"))</f>
      </c>
      <c r="I1130" s="4"/>
      <c r="J1130" s="12" t="str">
        <f t="array" ref="J1130">IF(I1130:I5172="","",_xlfn.XLOOKUP(I1130:I5172,'参照_姫'!A:A,'参照_姫'!B:B,"見つかりません"))</f>
      </c>
      <c r="K1130" s="4">
        <v>90</v>
      </c>
      <c r="L1130" s="4">
        <v>0</v>
      </c>
      <c r="M1130" s="4"/>
      <c r="N1130" s="4"/>
      <c r="O1130" s="4"/>
      <c r="P1130" s="12" t="str">
        <f t="array" ref="P1130">IF(O1130:O5172="","",_xlfn.XLOOKUP(O1130:O5172,'参照_官位'!A:A,'参照_官位'!B:B,""))</f>
      </c>
      <c r="Q1130" s="12" t="str">
        <f t="array" ref="Q1130">IF(A1130:A5172="","",IFERROR(_xlfn.XLOOKUP(A1130:A5172,castles_state!K:K,castles_state!D:D)&amp;"主",IFERROR(_xlfn.XLOOKUP(A1130:A5172,kunishuClan!D:D,kunishuClan!B:B)&amp;"当主","")))</f>
      </c>
    </row>
    <row r="1131" ht="15.75" customHeight="1">
      <c r="A1131" s="4">
        <v>1024032</v>
      </c>
      <c r="B1131" s="12" t="str">
        <f t="array" ref="B1131">IF(A1131:A5173="","",_xlfn.XLOOKUP(A1131:A5173,'参照_武将'!A:A,'参照_武将'!B:B,"見つかりません"))</f>
      </c>
      <c r="C1131" s="4" t="s">
        <v>168</v>
      </c>
      <c r="D1131" s="4">
        <v>1</v>
      </c>
      <c r="E1131" s="12" t="str">
        <f t="array" ref="E1131">IF(D1131:D5173="","",IFERROR(_xlfn.XLOOKUP(D1131:D5173,'参照_勢力'!A:A,'参照_勢力'!B:B),IFERROR(_xlfn.XLOOKUP(F1131:F5173,kunishuClan!A:A,kunishuClan!B:B),"浪人")))</f>
      </c>
      <c r="F1131" s="4">
        <v>0</v>
      </c>
      <c r="G1131" s="4">
        <v>78</v>
      </c>
      <c r="H1131" s="12" t="str">
        <f t="array" ref="H1131">IF(G1131:G5173="","",_xlfn.XLOOKUP(G1131:G5173,castles_state!A:A,castles_state!D:D,"見つかりません"))</f>
      </c>
      <c r="I1131" s="4"/>
      <c r="J1131" s="12" t="str">
        <f t="array" ref="J1131">IF(I1131:I5173="","",_xlfn.XLOOKUP(I1131:I5173,'参照_姫'!A:A,'参照_姫'!B:B,"見つかりません"))</f>
      </c>
      <c r="K1131" s="4">
        <v>90</v>
      </c>
      <c r="L1131" s="4">
        <v>0</v>
      </c>
      <c r="M1131" s="4"/>
      <c r="N1131" s="4"/>
      <c r="O1131" s="4"/>
      <c r="P1131" s="12" t="str">
        <f t="array" ref="P1131">IF(O1131:O5173="","",_xlfn.XLOOKUP(O1131:O5173,'参照_官位'!A:A,'参照_官位'!B:B,""))</f>
      </c>
      <c r="Q1131" s="12" t="str">
        <f t="array" ref="Q1131">IF(A1131:A5173="","",IFERROR(_xlfn.XLOOKUP(A1131:A5173,castles_state!K:K,castles_state!D:D)&amp;"主",IFERROR(_xlfn.XLOOKUP(A1131:A5173,kunishuClan!D:D,kunishuClan!B:B)&amp;"当主","")))</f>
      </c>
    </row>
    <row r="1132" ht="15.75" customHeight="1">
      <c r="A1132" s="4">
        <v>1024033</v>
      </c>
      <c r="B1132" s="12" t="str">
        <f t="array" ref="B1132">IF(A1132:A5174="","",_xlfn.XLOOKUP(A1132:A5174,'参照_武将'!A:A,'参照_武将'!B:B,"見つかりません"))</f>
      </c>
      <c r="C1132" s="4" t="s">
        <v>168</v>
      </c>
      <c r="D1132" s="4">
        <v>1</v>
      </c>
      <c r="E1132" s="12" t="str">
        <f t="array" ref="E1132">IF(D1132:D5174="","",IFERROR(_xlfn.XLOOKUP(D1132:D5174,'参照_勢力'!A:A,'参照_勢力'!B:B),IFERROR(_xlfn.XLOOKUP(F1132:F5174,kunishuClan!A:A,kunishuClan!B:B),"浪人")))</f>
      </c>
      <c r="F1132" s="4">
        <v>0</v>
      </c>
      <c r="G1132" s="4">
        <v>47</v>
      </c>
      <c r="H1132" s="12" t="str">
        <f t="array" ref="H1132">IF(G1132:G5174="","",_xlfn.XLOOKUP(G1132:G5174,castles_state!A:A,castles_state!D:D,"見つかりません"))</f>
      </c>
      <c r="I1132" s="4"/>
      <c r="J1132" s="12" t="str">
        <f t="array" ref="J1132">IF(I1132:I5174="","",_xlfn.XLOOKUP(I1132:I5174,'参照_姫'!A:A,'参照_姫'!B:B,"見つかりません"))</f>
      </c>
      <c r="K1132" s="4">
        <v>95</v>
      </c>
      <c r="L1132" s="4">
        <v>0</v>
      </c>
      <c r="M1132" s="4"/>
      <c r="N1132" s="4"/>
      <c r="O1132" s="4"/>
      <c r="P1132" s="12" t="str">
        <f t="array" ref="P1132">IF(O1132:O5174="","",_xlfn.XLOOKUP(O1132:O5174,'参照_官位'!A:A,'参照_官位'!B:B,""))</f>
      </c>
      <c r="Q1132" s="12" t="str">
        <f t="array" ref="Q1132">IF(A1132:A5174="","",IFERROR(_xlfn.XLOOKUP(A1132:A5174,castles_state!K:K,castles_state!D:D)&amp;"主",IFERROR(_xlfn.XLOOKUP(A1132:A5174,kunishuClan!D:D,kunishuClan!B:B)&amp;"当主","")))</f>
      </c>
    </row>
    <row r="1133" ht="15.75" customHeight="1">
      <c r="A1133" s="4">
        <v>1024034</v>
      </c>
      <c r="B1133" s="12" t="str">
        <f t="array" ref="B1133">IF(A1133:A5175="","",_xlfn.XLOOKUP(A1133:A5175,'参照_武将'!A:A,'参照_武将'!B:B,"見つかりません"))</f>
      </c>
      <c r="C1133" s="4" t="s">
        <v>168</v>
      </c>
      <c r="D1133" s="4">
        <v>1</v>
      </c>
      <c r="E1133" s="12" t="str">
        <f t="array" ref="E1133">IF(D1133:D5175="","",IFERROR(_xlfn.XLOOKUP(D1133:D5175,'参照_勢力'!A:A,'参照_勢力'!B:B),IFERROR(_xlfn.XLOOKUP(F1133:F5175,kunishuClan!A:A,kunishuClan!B:B),"浪人")))</f>
      </c>
      <c r="F1133" s="4">
        <v>0</v>
      </c>
      <c r="G1133" s="4">
        <v>47</v>
      </c>
      <c r="H1133" s="12" t="str">
        <f t="array" ref="H1133">IF(G1133:G5175="","",_xlfn.XLOOKUP(G1133:G5175,castles_state!A:A,castles_state!D:D,"見つかりません"))</f>
      </c>
      <c r="I1133" s="4"/>
      <c r="J1133" s="12" t="str">
        <f t="array" ref="J1133">IF(I1133:I5175="","",_xlfn.XLOOKUP(I1133:I5175,'参照_姫'!A:A,'参照_姫'!B:B,"見つかりません"))</f>
      </c>
      <c r="K1133" s="4">
        <v>85</v>
      </c>
      <c r="L1133" s="4">
        <v>0</v>
      </c>
      <c r="M1133" s="4"/>
      <c r="N1133" s="4"/>
      <c r="O1133" s="4"/>
      <c r="P1133" s="12" t="str">
        <f t="array" ref="P1133">IF(O1133:O5175="","",_xlfn.XLOOKUP(O1133:O5175,'参照_官位'!A:A,'参照_官位'!B:B,""))</f>
      </c>
      <c r="Q1133" s="12" t="str">
        <f t="array" ref="Q1133">IF(A1133:A5175="","",IFERROR(_xlfn.XLOOKUP(A1133:A5175,castles_state!K:K,castles_state!D:D)&amp;"主",IFERROR(_xlfn.XLOOKUP(A1133:A5175,kunishuClan!D:D,kunishuClan!B:B)&amp;"当主","")))</f>
      </c>
    </row>
    <row r="1134" ht="15.75" customHeight="1">
      <c r="A1134" s="4">
        <v>1024035</v>
      </c>
      <c r="B1134" s="12" t="str">
        <f t="array" ref="B1134">IF(A1134:A5176="","",_xlfn.XLOOKUP(A1134:A5176,'参照_武将'!A:A,'参照_武将'!B:B,"見つかりません"))</f>
      </c>
      <c r="C1134" s="4" t="s">
        <v>168</v>
      </c>
      <c r="D1134" s="4">
        <v>1</v>
      </c>
      <c r="E1134" s="12" t="str">
        <f t="array" ref="E1134">IF(D1134:D5176="","",IFERROR(_xlfn.XLOOKUP(D1134:D5176,'参照_勢力'!A:A,'参照_勢力'!B:B),IFERROR(_xlfn.XLOOKUP(F1134:F5176,kunishuClan!A:A,kunishuClan!B:B),"浪人")))</f>
      </c>
      <c r="F1134" s="4">
        <v>0</v>
      </c>
      <c r="G1134" s="4">
        <v>47</v>
      </c>
      <c r="H1134" s="12" t="str">
        <f t="array" ref="H1134">IF(G1134:G5176="","",_xlfn.XLOOKUP(G1134:G5176,castles_state!A:A,castles_state!D:D,"見つかりません"))</f>
      </c>
      <c r="I1134" s="4"/>
      <c r="J1134" s="12" t="str">
        <f t="array" ref="J1134">IF(I1134:I5176="","",_xlfn.XLOOKUP(I1134:I5176,'参照_姫'!A:A,'参照_姫'!B:B,"見つかりません"))</f>
      </c>
      <c r="K1134" s="4">
        <v>85</v>
      </c>
      <c r="L1134" s="4">
        <v>0</v>
      </c>
      <c r="M1134" s="4"/>
      <c r="N1134" s="4"/>
      <c r="O1134" s="4"/>
      <c r="P1134" s="12" t="str">
        <f t="array" ref="P1134">IF(O1134:O5176="","",_xlfn.XLOOKUP(O1134:O5176,'参照_官位'!A:A,'参照_官位'!B:B,""))</f>
      </c>
      <c r="Q1134" s="12" t="str">
        <f t="array" ref="Q1134">IF(A1134:A5176="","",IFERROR(_xlfn.XLOOKUP(A1134:A5176,castles_state!K:K,castles_state!D:D)&amp;"主",IFERROR(_xlfn.XLOOKUP(A1134:A5176,kunishuClan!D:D,kunishuClan!B:B)&amp;"当主","")))</f>
      </c>
    </row>
    <row r="1135" ht="15.75" customHeight="1">
      <c r="A1135" s="4">
        <v>1024036</v>
      </c>
      <c r="B1135" s="12" t="str">
        <f t="array" ref="B1135">IF(A1135:A5177="","",_xlfn.XLOOKUP(A1135:A5177,'参照_武将'!A:A,'参照_武将'!B:B,"見つかりません"))</f>
      </c>
      <c r="C1135" s="4" t="s">
        <v>168</v>
      </c>
      <c r="D1135" s="4">
        <v>1</v>
      </c>
      <c r="E1135" s="12" t="str">
        <f t="array" ref="E1135">IF(D1135:D5177="","",IFERROR(_xlfn.XLOOKUP(D1135:D5177,'参照_勢力'!A:A,'参照_勢力'!B:B),IFERROR(_xlfn.XLOOKUP(F1135:F5177,kunishuClan!A:A,kunishuClan!B:B),"浪人")))</f>
      </c>
      <c r="F1135" s="4">
        <v>0</v>
      </c>
      <c r="G1135" s="4">
        <v>47</v>
      </c>
      <c r="H1135" s="12" t="str">
        <f t="array" ref="H1135">IF(G1135:G5177="","",_xlfn.XLOOKUP(G1135:G5177,castles_state!A:A,castles_state!D:D,"見つかりません"))</f>
      </c>
      <c r="I1135" s="4"/>
      <c r="J1135" s="12" t="str">
        <f t="array" ref="J1135">IF(I1135:I5177="","",_xlfn.XLOOKUP(I1135:I5177,'参照_姫'!A:A,'参照_姫'!B:B,"見つかりません"))</f>
      </c>
      <c r="K1135" s="4">
        <v>95</v>
      </c>
      <c r="L1135" s="4">
        <v>0</v>
      </c>
      <c r="M1135" s="4"/>
      <c r="N1135" s="4"/>
      <c r="O1135" s="4"/>
      <c r="P1135" s="12" t="str">
        <f t="array" ref="P1135">IF(O1135:O5177="","",_xlfn.XLOOKUP(O1135:O5177,'参照_官位'!A:A,'参照_官位'!B:B,""))</f>
      </c>
      <c r="Q1135" s="12" t="str">
        <f t="array" ref="Q1135">IF(A1135:A5177="","",IFERROR(_xlfn.XLOOKUP(A1135:A5177,castles_state!K:K,castles_state!D:D)&amp;"主",IFERROR(_xlfn.XLOOKUP(A1135:A5177,kunishuClan!D:D,kunishuClan!B:B)&amp;"当主","")))</f>
      </c>
    </row>
    <row r="1136" ht="15.75" customHeight="1">
      <c r="A1136" s="4">
        <v>1024037</v>
      </c>
      <c r="B1136" s="12" t="str">
        <f t="array" ref="B1136">IF(A1136:A5178="","",_xlfn.XLOOKUP(A1136:A5178,'参照_武将'!A:A,'参照_武将'!B:B,"見つかりません"))</f>
      </c>
      <c r="C1136" s="4" t="s">
        <v>168</v>
      </c>
      <c r="D1136" s="4">
        <v>1</v>
      </c>
      <c r="E1136" s="12" t="str">
        <f t="array" ref="E1136">IF(D1136:D5178="","",IFERROR(_xlfn.XLOOKUP(D1136:D5178,'参照_勢力'!A:A,'参照_勢力'!B:B),IFERROR(_xlfn.XLOOKUP(F1136:F5178,kunishuClan!A:A,kunishuClan!B:B),"浪人")))</f>
      </c>
      <c r="F1136" s="4">
        <v>0</v>
      </c>
      <c r="G1136" s="4">
        <v>47</v>
      </c>
      <c r="H1136" s="12" t="str">
        <f t="array" ref="H1136">IF(G1136:G5178="","",_xlfn.XLOOKUP(G1136:G5178,castles_state!A:A,castles_state!D:D,"見つかりません"))</f>
      </c>
      <c r="I1136" s="4"/>
      <c r="J1136" s="12" t="str">
        <f t="array" ref="J1136">IF(I1136:I5178="","",_xlfn.XLOOKUP(I1136:I5178,'参照_姫'!A:A,'参照_姫'!B:B,"見つかりません"))</f>
      </c>
      <c r="K1136" s="4">
        <v>95</v>
      </c>
      <c r="L1136" s="4">
        <v>0</v>
      </c>
      <c r="M1136" s="4"/>
      <c r="N1136" s="4"/>
      <c r="O1136" s="4"/>
      <c r="P1136" s="12" t="str">
        <f t="array" ref="P1136">IF(O1136:O5178="","",_xlfn.XLOOKUP(O1136:O5178,'参照_官位'!A:A,'参照_官位'!B:B,""))</f>
      </c>
      <c r="Q1136" s="12" t="str">
        <f t="array" ref="Q1136">IF(A1136:A5178="","",IFERROR(_xlfn.XLOOKUP(A1136:A5178,castles_state!K:K,castles_state!D:D)&amp;"主",IFERROR(_xlfn.XLOOKUP(A1136:A5178,kunishuClan!D:D,kunishuClan!B:B)&amp;"当主","")))</f>
      </c>
    </row>
    <row r="1137" ht="15.75" customHeight="1">
      <c r="A1137" s="4">
        <v>1024038</v>
      </c>
      <c r="B1137" s="12" t="str">
        <f t="array" ref="B1137">IF(A1137:A5179="","",_xlfn.XLOOKUP(A1137:A5179,'参照_武将'!A:A,'参照_武将'!B:B,"見つかりません"))</f>
      </c>
      <c r="C1137" s="4" t="s">
        <v>168</v>
      </c>
      <c r="D1137" s="4">
        <v>1</v>
      </c>
      <c r="E1137" s="12" t="str">
        <f t="array" ref="E1137">IF(D1137:D5179="","",IFERROR(_xlfn.XLOOKUP(D1137:D5179,'参照_勢力'!A:A,'参照_勢力'!B:B),IFERROR(_xlfn.XLOOKUP(F1137:F5179,kunishuClan!A:A,kunishuClan!B:B),"浪人")))</f>
      </c>
      <c r="F1137" s="4">
        <v>0</v>
      </c>
      <c r="G1137" s="4">
        <v>47</v>
      </c>
      <c r="H1137" s="12" t="str">
        <f t="array" ref="H1137">IF(G1137:G5179="","",_xlfn.XLOOKUP(G1137:G5179,castles_state!A:A,castles_state!D:D,"見つかりません"))</f>
      </c>
      <c r="I1137" s="4"/>
      <c r="J1137" s="12" t="str">
        <f t="array" ref="J1137">IF(I1137:I5179="","",_xlfn.XLOOKUP(I1137:I5179,'参照_姫'!A:A,'参照_姫'!B:B,"見つかりません"))</f>
      </c>
      <c r="K1137" s="4">
        <v>95</v>
      </c>
      <c r="L1137" s="4">
        <v>0</v>
      </c>
      <c r="M1137" s="4"/>
      <c r="N1137" s="4"/>
      <c r="O1137" s="4"/>
      <c r="P1137" s="12" t="str">
        <f t="array" ref="P1137">IF(O1137:O5179="","",_xlfn.XLOOKUP(O1137:O5179,'参照_官位'!A:A,'参照_官位'!B:B,""))</f>
      </c>
      <c r="Q1137" s="12" t="str">
        <f t="array" ref="Q1137">IF(A1137:A5179="","",IFERROR(_xlfn.XLOOKUP(A1137:A5179,castles_state!K:K,castles_state!D:D)&amp;"主",IFERROR(_xlfn.XLOOKUP(A1137:A5179,kunishuClan!D:D,kunishuClan!B:B)&amp;"当主","")))</f>
      </c>
    </row>
    <row r="1138" ht="15.75" customHeight="1">
      <c r="A1138" s="4">
        <v>1024039</v>
      </c>
      <c r="B1138" s="12" t="str">
        <f t="array" ref="B1138">IF(A1138:A5180="","",_xlfn.XLOOKUP(A1138:A5180,'参照_武将'!A:A,'参照_武将'!B:B,"見つかりません"))</f>
      </c>
      <c r="C1138" s="4" t="s">
        <v>168</v>
      </c>
      <c r="D1138" s="4">
        <v>1</v>
      </c>
      <c r="E1138" s="12" t="str">
        <f t="array" ref="E1138">IF(D1138:D5180="","",IFERROR(_xlfn.XLOOKUP(D1138:D5180,'参照_勢力'!A:A,'参照_勢力'!B:B),IFERROR(_xlfn.XLOOKUP(F1138:F5180,kunishuClan!A:A,kunishuClan!B:B),"浪人")))</f>
      </c>
      <c r="F1138" s="4">
        <v>0</v>
      </c>
      <c r="G1138" s="4">
        <v>47</v>
      </c>
      <c r="H1138" s="12" t="str">
        <f t="array" ref="H1138">IF(G1138:G5180="","",_xlfn.XLOOKUP(G1138:G5180,castles_state!A:A,castles_state!D:D,"見つかりません"))</f>
      </c>
      <c r="I1138" s="4"/>
      <c r="J1138" s="12" t="str">
        <f t="array" ref="J1138">IF(I1138:I5180="","",_xlfn.XLOOKUP(I1138:I5180,'参照_姫'!A:A,'参照_姫'!B:B,"見つかりません"))</f>
      </c>
      <c r="K1138" s="4">
        <v>90</v>
      </c>
      <c r="L1138" s="4">
        <v>0</v>
      </c>
      <c r="M1138" s="4"/>
      <c r="N1138" s="4"/>
      <c r="O1138" s="4"/>
      <c r="P1138" s="12" t="str">
        <f t="array" ref="P1138">IF(O1138:O5180="","",_xlfn.XLOOKUP(O1138:O5180,'参照_官位'!A:A,'参照_官位'!B:B,""))</f>
      </c>
      <c r="Q1138" s="12" t="str">
        <f t="array" ref="Q1138">IF(A1138:A5180="","",IFERROR(_xlfn.XLOOKUP(A1138:A5180,castles_state!K:K,castles_state!D:D)&amp;"主",IFERROR(_xlfn.XLOOKUP(A1138:A5180,kunishuClan!D:D,kunishuClan!B:B)&amp;"当主","")))</f>
      </c>
    </row>
    <row r="1139" ht="15.75" customHeight="1">
      <c r="A1139" s="4">
        <v>1025001</v>
      </c>
      <c r="B1139" s="12" t="str">
        <f t="array" ref="B1139">IF(A1139:A5179="","",_xlfn.XLOOKUP(A1139:A5179,'参照_武将'!A:A,'参照_武将'!B:B,"見つかりません"))</f>
      </c>
      <c r="C1139" s="4" t="s">
        <v>170</v>
      </c>
      <c r="D1139" s="4">
        <v>25</v>
      </c>
      <c r="E1139" s="12" t="str">
        <f t="array" ref="E1139">IF(D1139:D5179="","",IFERROR(_xlfn.XLOOKUP(D1139:D5179,'参照_勢力'!A:A,'参照_勢力'!B:B),IFERROR(_xlfn.XLOOKUP(F1139:F5179,kunishuClan!A:A,kunishuClan!B:B),"浪人")))</f>
      </c>
      <c r="F1139" s="4">
        <v>0</v>
      </c>
      <c r="G1139" s="4">
        <v>120</v>
      </c>
      <c r="H1139" s="12" t="str">
        <f t="array" ref="H1139">IF(G1139:G5179="","",_xlfn.XLOOKUP(G1139:G5179,castles_state!A:A,castles_state!D:D,"見つかりません"))</f>
      </c>
      <c r="I1139" s="4"/>
      <c r="J1139" s="12" t="str">
        <f t="array" ref="J1139">IF(I1139:I5179="","",_xlfn.XLOOKUP(I1139:I5179,'参照_姫'!A:A,'参照_姫'!B:B,"見つかりません"))</f>
      </c>
      <c r="K1139" s="4">
        <v>95</v>
      </c>
      <c r="L1139" s="4">
        <v>0</v>
      </c>
      <c r="M1139" s="4"/>
      <c r="N1139" s="4"/>
      <c r="O1139" s="4"/>
      <c r="P1139" s="12" t="str">
        <f t="array" ref="P1139">IF(O1139:O5179="","",_xlfn.XLOOKUP(O1139:O5179,'参照_官位'!A:A,'参照_官位'!B:B,""))</f>
      </c>
      <c r="Q1139" s="12" t="str">
        <f t="array" ref="Q1139">IF(A1139:A5179="","",IFERROR(_xlfn.XLOOKUP(A1139:A5179,castles_state!K:K,castles_state!D:D)&amp;"主",IFERROR(_xlfn.XLOOKUP(A1139:A5179,kunishuClan!D:D,kunishuClan!B:B)&amp;"当主","")))</f>
      </c>
    </row>
    <row r="1140" ht="15.75" customHeight="1">
      <c r="A1140" s="4">
        <v>1025002</v>
      </c>
      <c r="B1140" s="12" t="str">
        <f t="array" ref="B1140">IF(A1140:A5180="","",_xlfn.XLOOKUP(A1140:A5180,'参照_武将'!A:A,'参照_武将'!B:B,"見つかりません"))</f>
      </c>
      <c r="C1140" s="4" t="s">
        <v>170</v>
      </c>
      <c r="D1140" s="4">
        <v>25</v>
      </c>
      <c r="E1140" s="12" t="str">
        <f t="array" ref="E1140">IF(D1140:D5180="","",IFERROR(_xlfn.XLOOKUP(D1140:D5180,'参照_勢力'!A:A,'参照_勢力'!B:B),IFERROR(_xlfn.XLOOKUP(F1140:F5180,kunishuClan!A:A,kunishuClan!B:B),"浪人")))</f>
      </c>
      <c r="F1140" s="4">
        <v>0</v>
      </c>
      <c r="G1140" s="4">
        <v>120</v>
      </c>
      <c r="H1140" s="12" t="str">
        <f t="array" ref="H1140">IF(G1140:G5180="","",_xlfn.XLOOKUP(G1140:G5180,castles_state!A:A,castles_state!D:D,"見つかりません"))</f>
      </c>
      <c r="I1140" s="4">
        <v>22</v>
      </c>
      <c r="J1140" s="12" t="str">
        <f t="array" ref="J1140">IF(I1140:I5180="","",_xlfn.XLOOKUP(I1140:I5180,'参照_姫'!A:A,'参照_姫'!B:B,"見つかりません"))</f>
      </c>
      <c r="K1140" s="4">
        <v>100</v>
      </c>
      <c r="L1140" s="4">
        <v>1000</v>
      </c>
      <c r="M1140" s="4"/>
      <c r="N1140" s="4" t="b">
        <v>1</v>
      </c>
      <c r="O1140" s="4">
        <v>101</v>
      </c>
      <c r="P1140" s="12" t="str">
        <f t="array" ref="P1140">IF(O1140:O5180="","",_xlfn.XLOOKUP(O1140:O5180,'参照_官位'!A:A,'参照_官位'!B:B,""))</f>
      </c>
      <c r="Q1140" s="12" t="str">
        <f t="array" ref="Q1140">IF(A1140:A5180="","",IFERROR(_xlfn.XLOOKUP(A1140:A5180,castles_state!K:K,castles_state!D:D)&amp;"主",IFERROR(_xlfn.XLOOKUP(A1140:A5180,kunishuClan!D:D,kunishuClan!B:B)&amp;"当主","")))</f>
      </c>
    </row>
    <row r="1141" ht="15.75" customHeight="1">
      <c r="A1141" s="4">
        <v>1025003</v>
      </c>
      <c r="B1141" s="12" t="str">
        <f t="array" ref="B1141">IF(A1141:A5181="","",_xlfn.XLOOKUP(A1141:A5181,'参照_武将'!A:A,'参照_武将'!B:B,"見つかりません"))</f>
      </c>
      <c r="C1141" s="4" t="s">
        <v>170</v>
      </c>
      <c r="D1141" s="4">
        <v>25</v>
      </c>
      <c r="E1141" s="12" t="str">
        <f t="array" ref="E1141">IF(D1141:D5181="","",IFERROR(_xlfn.XLOOKUP(D1141:D5181,'参照_勢力'!A:A,'参照_勢力'!B:B),IFERROR(_xlfn.XLOOKUP(F1141:F5181,kunishuClan!A:A,kunishuClan!B:B),"浪人")))</f>
      </c>
      <c r="F1141" s="4">
        <v>0</v>
      </c>
      <c r="G1141" s="4">
        <v>120</v>
      </c>
      <c r="H1141" s="12" t="str">
        <f t="array" ref="H1141">IF(G1141:G5181="","",_xlfn.XLOOKUP(G1141:G5181,castles_state!A:A,castles_state!D:D,"見つかりません"))</f>
      </c>
      <c r="I1141" s="4"/>
      <c r="J1141" s="12" t="str">
        <f t="array" ref="J1141">IF(I1141:I5181="","",_xlfn.XLOOKUP(I1141:I5181,'参照_姫'!A:A,'参照_姫'!B:B,"見つかりません"))</f>
      </c>
      <c r="K1141" s="4">
        <v>95</v>
      </c>
      <c r="L1141" s="4">
        <v>500</v>
      </c>
      <c r="M1141" s="4"/>
      <c r="N1141" s="4"/>
      <c r="O1141" s="4"/>
      <c r="P1141" s="12" t="str">
        <f t="array" ref="P1141">IF(O1141:O5181="","",_xlfn.XLOOKUP(O1141:O5181,'参照_官位'!A:A,'参照_官位'!B:B,""))</f>
      </c>
      <c r="Q1141" s="12" t="str">
        <f t="array" ref="Q1141">IF(A1141:A5181="","",IFERROR(_xlfn.XLOOKUP(A1141:A5181,castles_state!K:K,castles_state!D:D)&amp;"主",IFERROR(_xlfn.XLOOKUP(A1141:A5181,kunishuClan!D:D,kunishuClan!B:B)&amp;"当主","")))</f>
      </c>
    </row>
    <row r="1142" ht="15.75" customHeight="1">
      <c r="A1142" s="4">
        <v>1025004</v>
      </c>
      <c r="B1142" s="12" t="str">
        <f t="array" ref="B1142">IF(A1142:A5182="","",_xlfn.XLOOKUP(A1142:A5182,'参照_武将'!A:A,'参照_武将'!B:B,"見つかりません"))</f>
      </c>
      <c r="C1142" s="4" t="s">
        <v>170</v>
      </c>
      <c r="D1142" s="4">
        <v>25</v>
      </c>
      <c r="E1142" s="12" t="str">
        <f t="array" ref="E1142">IF(D1142:D5182="","",IFERROR(_xlfn.XLOOKUP(D1142:D5182,'参照_勢力'!A:A,'参照_勢力'!B:B),IFERROR(_xlfn.XLOOKUP(F1142:F5182,kunishuClan!A:A,kunishuClan!B:B),"浪人")))</f>
      </c>
      <c r="F1142" s="4">
        <v>0</v>
      </c>
      <c r="G1142" s="4">
        <v>120</v>
      </c>
      <c r="H1142" s="12" t="str">
        <f t="array" ref="H1142">IF(G1142:G5182="","",_xlfn.XLOOKUP(G1142:G5182,castles_state!A:A,castles_state!D:D,"見つかりません"))</f>
      </c>
      <c r="I1142" s="4"/>
      <c r="J1142" s="12" t="str">
        <f t="array" ref="J1142">IF(I1142:I5182="","",_xlfn.XLOOKUP(I1142:I5182,'参照_姫'!A:A,'参照_姫'!B:B,"見つかりません"))</f>
      </c>
      <c r="K1142" s="4">
        <v>100</v>
      </c>
      <c r="L1142" s="4">
        <v>1500</v>
      </c>
      <c r="M1142" s="4"/>
      <c r="N1142" s="4"/>
      <c r="O1142" s="4"/>
      <c r="P1142" s="12" t="str">
        <f t="array" ref="P1142">IF(O1142:O5182="","",_xlfn.XLOOKUP(O1142:O5182,'参照_官位'!A:A,'参照_官位'!B:B,""))</f>
      </c>
      <c r="Q1142" s="12" t="str">
        <f t="array" ref="Q1142">IF(A1142:A5182="","",IFERROR(_xlfn.XLOOKUP(A1142:A5182,castles_state!K:K,castles_state!D:D)&amp;"主",IFERROR(_xlfn.XLOOKUP(A1142:A5182,kunishuClan!D:D,kunishuClan!B:B)&amp;"当主","")))</f>
      </c>
    </row>
    <row r="1143" ht="15.75" customHeight="1">
      <c r="A1143" s="4">
        <v>1025005</v>
      </c>
      <c r="B1143" s="12" t="str">
        <f t="array" ref="B1143">IF(A1143:A5183="","",_xlfn.XLOOKUP(A1143:A5183,'参照_武将'!A:A,'参照_武将'!B:B,"見つかりません"))</f>
      </c>
      <c r="C1143" s="4" t="s">
        <v>170</v>
      </c>
      <c r="D1143" s="4">
        <v>25</v>
      </c>
      <c r="E1143" s="12" t="str">
        <f t="array" ref="E1143">IF(D1143:D5183="","",IFERROR(_xlfn.XLOOKUP(D1143:D5183,'参照_勢力'!A:A,'参照_勢力'!B:B),IFERROR(_xlfn.XLOOKUP(F1143:F5183,kunishuClan!A:A,kunishuClan!B:B),"浪人")))</f>
      </c>
      <c r="F1143" s="4">
        <v>0</v>
      </c>
      <c r="G1143" s="4">
        <v>120</v>
      </c>
      <c r="H1143" s="12" t="str">
        <f t="array" ref="H1143">IF(G1143:G5183="","",_xlfn.XLOOKUP(G1143:G5183,castles_state!A:A,castles_state!D:D,"見つかりません"))</f>
      </c>
      <c r="I1143" s="4"/>
      <c r="J1143" s="12" t="str">
        <f t="array" ref="J1143">IF(I1143:I5183="","",_xlfn.XLOOKUP(I1143:I5183,'参照_姫'!A:A,'参照_姫'!B:B,"見つかりません"))</f>
      </c>
      <c r="K1143" s="4">
        <v>95</v>
      </c>
      <c r="L1143" s="4">
        <v>500</v>
      </c>
      <c r="M1143" s="4"/>
      <c r="N1143" s="4"/>
      <c r="O1143" s="4"/>
      <c r="P1143" s="12" t="str">
        <f t="array" ref="P1143">IF(O1143:O5183="","",_xlfn.XLOOKUP(O1143:O5183,'参照_官位'!A:A,'参照_官位'!B:B,""))</f>
      </c>
      <c r="Q1143" s="12" t="str">
        <f t="array" ref="Q1143">IF(A1143:A5183="","",IFERROR(_xlfn.XLOOKUP(A1143:A5183,castles_state!K:K,castles_state!D:D)&amp;"主",IFERROR(_xlfn.XLOOKUP(A1143:A5183,kunishuClan!D:D,kunishuClan!B:B)&amp;"当主","")))</f>
      </c>
    </row>
    <row r="1144" ht="15.75" customHeight="1">
      <c r="A1144" s="4">
        <v>1025006</v>
      </c>
      <c r="B1144" s="12" t="str">
        <f t="array" ref="B1144">IF(A1144:A5184="","",_xlfn.XLOOKUP(A1144:A5184,'参照_武将'!A:A,'参照_武将'!B:B,"見つかりません"))</f>
      </c>
      <c r="C1144" s="4" t="s">
        <v>5929</v>
      </c>
      <c r="D1144" s="4">
        <v>25</v>
      </c>
      <c r="E1144" s="12" t="str">
        <f t="array" ref="E1144">IF(D1144:D5184="","",IFERROR(_xlfn.XLOOKUP(D1144:D5184,'参照_勢力'!A:A,'参照_勢力'!B:B),IFERROR(_xlfn.XLOOKUP(F1144:F5184,kunishuClan!A:A,kunishuClan!B:B),"浪人")))</f>
      </c>
      <c r="F1144" s="4">
        <v>0</v>
      </c>
      <c r="G1144" s="4">
        <v>250</v>
      </c>
      <c r="H1144" s="12" t="str">
        <f t="array" ref="H1144">IF(G1144:G5184="","",_xlfn.XLOOKUP(G1144:G5184,castles_state!A:A,castles_state!D:D,"見つかりません"))</f>
      </c>
      <c r="I1144" s="4"/>
      <c r="J1144" s="12" t="str">
        <f t="array" ref="J1144">IF(I1144:I5184="","",_xlfn.XLOOKUP(I1144:I5184,'参照_姫'!A:A,'参照_姫'!B:B,"見つかりません"))</f>
      </c>
      <c r="K1144" s="4">
        <v>95</v>
      </c>
      <c r="L1144" s="4">
        <v>700</v>
      </c>
      <c r="M1144" s="4"/>
      <c r="N1144" s="4"/>
      <c r="O1144" s="4"/>
      <c r="P1144" s="12" t="str">
        <f t="array" ref="P1144">IF(O1144:O5184="","",_xlfn.XLOOKUP(O1144:O5184,'参照_官位'!A:A,'参照_官位'!B:B,""))</f>
      </c>
      <c r="Q1144" s="12" t="str">
        <f t="array" ref="Q1144">IF(A1144:A5184="","",IFERROR(_xlfn.XLOOKUP(A1144:A5184,castles_state!K:K,castles_state!D:D)&amp;"主",IFERROR(_xlfn.XLOOKUP(A1144:A5184,kunishuClan!D:D,kunishuClan!B:B)&amp;"当主","")))</f>
      </c>
    </row>
    <row r="1145" ht="15.75" customHeight="1">
      <c r="A1145" s="4">
        <v>1025007</v>
      </c>
      <c r="B1145" s="12" t="str">
        <f t="array" ref="B1145">IF(A1145:A5185="","",_xlfn.XLOOKUP(A1145:A5185,'参照_武将'!A:A,'参照_武将'!B:B,"見つかりません"))</f>
      </c>
      <c r="C1145" s="4" t="s">
        <v>5930</v>
      </c>
      <c r="D1145" s="4">
        <v>25</v>
      </c>
      <c r="E1145" s="12" t="str">
        <f t="array" ref="E1145">IF(D1145:D5185="","",IFERROR(_xlfn.XLOOKUP(D1145:D5185,'参照_勢力'!A:A,'参照_勢力'!B:B),IFERROR(_xlfn.XLOOKUP(F1145:F5185,kunishuClan!A:A,kunishuClan!B:B),"浪人")))</f>
      </c>
      <c r="F1145" s="4">
        <v>0</v>
      </c>
      <c r="G1145" s="4">
        <v>250</v>
      </c>
      <c r="H1145" s="12" t="str">
        <f t="array" ref="H1145">IF(G1145:G5185="","",_xlfn.XLOOKUP(G1145:G5185,castles_state!A:A,castles_state!D:D,"見つかりません"))</f>
      </c>
      <c r="I1145" s="4"/>
      <c r="J1145" s="12" t="str">
        <f t="array" ref="J1145">IF(I1145:I5185="","",_xlfn.XLOOKUP(I1145:I5185,'参照_姫'!A:A,'参照_姫'!B:B,"見つかりません"))</f>
      </c>
      <c r="K1145" s="4">
        <v>95</v>
      </c>
      <c r="L1145" s="4">
        <v>200</v>
      </c>
      <c r="M1145" s="4"/>
      <c r="N1145" s="4"/>
      <c r="O1145" s="4"/>
      <c r="P1145" s="12" t="str">
        <f t="array" ref="P1145">IF(O1145:O5185="","",_xlfn.XLOOKUP(O1145:O5185,'参照_官位'!A:A,'参照_官位'!B:B,""))</f>
      </c>
      <c r="Q1145" s="12" t="str">
        <f t="array" ref="Q1145">IF(A1145:A5185="","",IFERROR(_xlfn.XLOOKUP(A1145:A5185,castles_state!K:K,castles_state!D:D)&amp;"主",IFERROR(_xlfn.XLOOKUP(A1145:A5185,kunishuClan!D:D,kunishuClan!B:B)&amp;"当主","")))</f>
      </c>
    </row>
    <row r="1146" ht="15.75" customHeight="1">
      <c r="A1146" s="4">
        <v>1025008</v>
      </c>
      <c r="B1146" s="12" t="str">
        <f t="array" ref="B1146">IF(A1146:A5186="","",_xlfn.XLOOKUP(A1146:A5186,'参照_武将'!A:A,'参照_武将'!B:B,"見つかりません"))</f>
      </c>
      <c r="C1146" s="4" t="s">
        <v>170</v>
      </c>
      <c r="D1146" s="4">
        <v>25</v>
      </c>
      <c r="E1146" s="12" t="str">
        <f t="array" ref="E1146">IF(D1146:D5186="","",IFERROR(_xlfn.XLOOKUP(D1146:D5186,'参照_勢力'!A:A,'参照_勢力'!B:B),IFERROR(_xlfn.XLOOKUP(F1146:F5186,kunishuClan!A:A,kunishuClan!B:B),"浪人")))</f>
      </c>
      <c r="F1146" s="4">
        <v>0</v>
      </c>
      <c r="G1146" s="4">
        <v>250</v>
      </c>
      <c r="H1146" s="12" t="str">
        <f t="array" ref="H1146">IF(G1146:G5186="","",_xlfn.XLOOKUP(G1146:G5186,castles_state!A:A,castles_state!D:D,"見つかりません"))</f>
      </c>
      <c r="I1146" s="4"/>
      <c r="J1146" s="12" t="str">
        <f t="array" ref="J1146">IF(I1146:I5186="","",_xlfn.XLOOKUP(I1146:I5186,'参照_姫'!A:A,'参照_姫'!B:B,"見つかりません"))</f>
      </c>
      <c r="K1146" s="4">
        <v>95</v>
      </c>
      <c r="L1146" s="4">
        <v>0</v>
      </c>
      <c r="M1146" s="4"/>
      <c r="N1146" s="4"/>
      <c r="O1146" s="4"/>
      <c r="P1146" s="12" t="str">
        <f t="array" ref="P1146">IF(O1146:O5186="","",_xlfn.XLOOKUP(O1146:O5186,'参照_官位'!A:A,'参照_官位'!B:B,""))</f>
      </c>
      <c r="Q1146" s="12" t="str">
        <f t="array" ref="Q1146">IF(A1146:A5186="","",IFERROR(_xlfn.XLOOKUP(A1146:A5186,castles_state!K:K,castles_state!D:D)&amp;"主",IFERROR(_xlfn.XLOOKUP(A1146:A5186,kunishuClan!D:D,kunishuClan!B:B)&amp;"当主","")))</f>
      </c>
    </row>
    <row r="1147" ht="15.75" customHeight="1">
      <c r="A1147" s="4">
        <v>1025009</v>
      </c>
      <c r="B1147" s="12" t="str">
        <f t="array" ref="B1147">IF(A1147:A5187="","",_xlfn.XLOOKUP(A1147:A5187,'参照_武将'!A:A,'参照_武将'!B:B,"見つかりません"))</f>
      </c>
      <c r="C1147" s="4" t="s">
        <v>5930</v>
      </c>
      <c r="D1147" s="4">
        <v>25</v>
      </c>
      <c r="E1147" s="12" t="str">
        <f t="array" ref="E1147">IF(D1147:D5187="","",IFERROR(_xlfn.XLOOKUP(D1147:D5187,'参照_勢力'!A:A,'参照_勢力'!B:B),IFERROR(_xlfn.XLOOKUP(F1147:F5187,kunishuClan!A:A,kunishuClan!B:B),"浪人")))</f>
      </c>
      <c r="F1147" s="4">
        <v>0</v>
      </c>
      <c r="G1147" s="4">
        <v>250</v>
      </c>
      <c r="H1147" s="12" t="str">
        <f t="array" ref="H1147">IF(G1147:G5187="","",_xlfn.XLOOKUP(G1147:G5187,castles_state!A:A,castles_state!D:D,"見つかりません"))</f>
      </c>
      <c r="I1147" s="4"/>
      <c r="J1147" s="12" t="str">
        <f t="array" ref="J1147">IF(I1147:I5187="","",_xlfn.XLOOKUP(I1147:I5187,'参照_姫'!A:A,'参照_姫'!B:B,"見つかりません"))</f>
      </c>
      <c r="K1147" s="4">
        <v>95</v>
      </c>
      <c r="L1147" s="4">
        <v>0</v>
      </c>
      <c r="M1147" s="4"/>
      <c r="N1147" s="4"/>
      <c r="O1147" s="4"/>
      <c r="P1147" s="12" t="str">
        <f t="array" ref="P1147">IF(O1147:O5187="","",_xlfn.XLOOKUP(O1147:O5187,'参照_官位'!A:A,'参照_官位'!B:B,""))</f>
      </c>
      <c r="Q1147" s="12" t="str">
        <f t="array" ref="Q1147">IF(A1147:A5187="","",IFERROR(_xlfn.XLOOKUP(A1147:A5187,castles_state!K:K,castles_state!D:D)&amp;"主",IFERROR(_xlfn.XLOOKUP(A1147:A5187,kunishuClan!D:D,kunishuClan!B:B)&amp;"当主","")))</f>
      </c>
    </row>
    <row r="1148" ht="15.75" customHeight="1">
      <c r="A1148" s="4">
        <v>1025010</v>
      </c>
      <c r="B1148" s="12" t="str">
        <f t="array" ref="B1148">IF(A1148:A5188="","",_xlfn.XLOOKUP(A1148:A5188,'参照_武将'!A:A,'参照_武将'!B:B,"見つかりません"))</f>
      </c>
      <c r="C1148" s="4" t="s">
        <v>5930</v>
      </c>
      <c r="D1148" s="4">
        <v>25</v>
      </c>
      <c r="E1148" s="12" t="str">
        <f t="array" ref="E1148">IF(D1148:D5188="","",IFERROR(_xlfn.XLOOKUP(D1148:D5188,'参照_勢力'!A:A,'参照_勢力'!B:B),IFERROR(_xlfn.XLOOKUP(F1148:F5188,kunishuClan!A:A,kunishuClan!B:B),"浪人")))</f>
      </c>
      <c r="F1148" s="4">
        <v>0</v>
      </c>
      <c r="G1148" s="4">
        <v>250</v>
      </c>
      <c r="H1148" s="12" t="str">
        <f t="array" ref="H1148">IF(G1148:G5188="","",_xlfn.XLOOKUP(G1148:G5188,castles_state!A:A,castles_state!D:D,"見つかりません"))</f>
      </c>
      <c r="I1148" s="4"/>
      <c r="J1148" s="12" t="str">
        <f t="array" ref="J1148">IF(I1148:I5188="","",_xlfn.XLOOKUP(I1148:I5188,'参照_姫'!A:A,'参照_姫'!B:B,"見つかりません"))</f>
      </c>
      <c r="K1148" s="4">
        <v>95</v>
      </c>
      <c r="L1148" s="4">
        <v>0</v>
      </c>
      <c r="M1148" s="4"/>
      <c r="N1148" s="4"/>
      <c r="O1148" s="4"/>
      <c r="P1148" s="12" t="str">
        <f t="array" ref="P1148">IF(O1148:O5188="","",_xlfn.XLOOKUP(O1148:O5188,'参照_官位'!A:A,'参照_官位'!B:B,""))</f>
      </c>
      <c r="Q1148" s="12" t="str">
        <f t="array" ref="Q1148">IF(A1148:A5188="","",IFERROR(_xlfn.XLOOKUP(A1148:A5188,castles_state!K:K,castles_state!D:D)&amp;"主",IFERROR(_xlfn.XLOOKUP(A1148:A5188,kunishuClan!D:D,kunishuClan!B:B)&amp;"当主","")))</f>
      </c>
    </row>
    <row r="1149" ht="15.75" customHeight="1">
      <c r="A1149" s="4">
        <v>1025011</v>
      </c>
      <c r="B1149" s="12" t="str">
        <f t="array" ref="B1149">IF(A1149:A5189="","",_xlfn.XLOOKUP(A1149:A5189,'参照_武将'!A:A,'参照_武将'!B:B,"見つかりません"))</f>
      </c>
      <c r="C1149" s="4" t="s">
        <v>5931</v>
      </c>
      <c r="D1149" s="4">
        <v>25</v>
      </c>
      <c r="E1149" s="12" t="str">
        <f t="array" ref="E1149">IF(D1149:D5189="","",IFERROR(_xlfn.XLOOKUP(D1149:D5189,'参照_勢力'!A:A,'参照_勢力'!B:B),IFERROR(_xlfn.XLOOKUP(F1149:F5189,kunishuClan!A:A,kunishuClan!B:B),"浪人")))</f>
      </c>
      <c r="F1149" s="4">
        <v>0</v>
      </c>
      <c r="G1149" s="4">
        <v>121</v>
      </c>
      <c r="H1149" s="12" t="str">
        <f t="array" ref="H1149">IF(G1149:G5189="","",_xlfn.XLOOKUP(G1149:G5189,castles_state!A:A,castles_state!D:D,"見つかりません"))</f>
      </c>
      <c r="I1149" s="4"/>
      <c r="J1149" s="12" t="str">
        <f t="array" ref="J1149">IF(I1149:I5189="","",_xlfn.XLOOKUP(I1149:I5189,'参照_姫'!A:A,'参照_姫'!B:B,"見つかりません"))</f>
      </c>
      <c r="K1149" s="4">
        <v>95</v>
      </c>
      <c r="L1149" s="4">
        <v>700</v>
      </c>
      <c r="M1149" s="4"/>
      <c r="N1149" s="4"/>
      <c r="O1149" s="4"/>
      <c r="P1149" s="12" t="str">
        <f t="array" ref="P1149">IF(O1149:O5189="","",_xlfn.XLOOKUP(O1149:O5189,'参照_官位'!A:A,'参照_官位'!B:B,""))</f>
      </c>
      <c r="Q1149" s="12" t="str">
        <f t="array" ref="Q1149">IF(A1149:A5189="","",IFERROR(_xlfn.XLOOKUP(A1149:A5189,castles_state!K:K,castles_state!D:D)&amp;"主",IFERROR(_xlfn.XLOOKUP(A1149:A5189,kunishuClan!D:D,kunishuClan!B:B)&amp;"当主","")))</f>
      </c>
    </row>
    <row r="1150" ht="15.75" customHeight="1">
      <c r="A1150" s="4">
        <v>1025012</v>
      </c>
      <c r="B1150" s="12" t="str">
        <f t="array" ref="B1150">IF(A1150:A5190="","",_xlfn.XLOOKUP(A1150:A5190,'参照_武将'!A:A,'参照_武将'!B:B,"見つかりません"))</f>
      </c>
      <c r="C1150" s="4" t="s">
        <v>170</v>
      </c>
      <c r="D1150" s="4">
        <v>45</v>
      </c>
      <c r="E1150" s="12" t="str">
        <f t="array" ref="E1150">IF(D1150:D5190="","",IFERROR(_xlfn.XLOOKUP(D1150:D5190,'参照_勢力'!A:A,'参照_勢力'!B:B),IFERROR(_xlfn.XLOOKUP(F1150:F5190,kunishuClan!A:A,kunishuClan!B:B),"浪人")))</f>
      </c>
      <c r="F1150" s="4">
        <v>0</v>
      </c>
      <c r="G1150" s="4">
        <v>117</v>
      </c>
      <c r="H1150" s="12" t="str">
        <f t="array" ref="H1150">IF(G1150:G5190="","",_xlfn.XLOOKUP(G1150:G5190,castles_state!A:A,castles_state!D:D,"見つかりません"))</f>
      </c>
      <c r="I1150" s="4"/>
      <c r="J1150" s="12" t="str">
        <f t="array" ref="J1150">IF(I1150:I5190="","",_xlfn.XLOOKUP(I1150:I5190,'参照_姫'!A:A,'参照_姫'!B:B,"見つかりません"))</f>
      </c>
      <c r="K1150" s="4">
        <v>95</v>
      </c>
      <c r="L1150" s="4">
        <v>0</v>
      </c>
      <c r="M1150" s="4"/>
      <c r="N1150" s="4"/>
      <c r="O1150" s="4"/>
      <c r="P1150" s="12" t="str">
        <f t="array" ref="P1150">IF(O1150:O5190="","",_xlfn.XLOOKUP(O1150:O5190,'参照_官位'!A:A,'参照_官位'!B:B,""))</f>
      </c>
      <c r="Q1150" s="12" t="str">
        <f t="array" ref="Q1150">IF(A1150:A5190="","",IFERROR(_xlfn.XLOOKUP(A1150:A5190,castles_state!K:K,castles_state!D:D)&amp;"主",IFERROR(_xlfn.XLOOKUP(A1150:A5190,kunishuClan!D:D,kunishuClan!B:B)&amp;"当主","")))</f>
      </c>
    </row>
    <row r="1151" ht="15.75" customHeight="1">
      <c r="A1151" s="4">
        <v>1025013</v>
      </c>
      <c r="B1151" s="12" t="str">
        <f t="array" ref="B1151">IF(A1151:A5191="","",_xlfn.XLOOKUP(A1151:A5191,'参照_武将'!A:A,'参照_武将'!B:B,"見つかりません"))</f>
      </c>
      <c r="C1151" s="4" t="s">
        <v>170</v>
      </c>
      <c r="D1151" s="4">
        <v>25</v>
      </c>
      <c r="E1151" s="12" t="str">
        <f t="array" ref="E1151">IF(D1151:D5191="","",IFERROR(_xlfn.XLOOKUP(D1151:D5191,'参照_勢力'!A:A,'参照_勢力'!B:B),IFERROR(_xlfn.XLOOKUP(F1151:F5191,kunishuClan!A:A,kunishuClan!B:B),"浪人")))</f>
      </c>
      <c r="F1151" s="4">
        <v>0</v>
      </c>
      <c r="G1151" s="4">
        <v>120</v>
      </c>
      <c r="H1151" s="12" t="str">
        <f t="array" ref="H1151">IF(G1151:G5191="","",_xlfn.XLOOKUP(G1151:G5191,castles_state!A:A,castles_state!D:D,"見つかりません"))</f>
      </c>
      <c r="I1151" s="4"/>
      <c r="J1151" s="12" t="str">
        <f t="array" ref="J1151">IF(I1151:I5191="","",_xlfn.XLOOKUP(I1151:I5191,'参照_姫'!A:A,'参照_姫'!B:B,"見つかりません"))</f>
      </c>
      <c r="K1151" s="4">
        <v>95</v>
      </c>
      <c r="L1151" s="4">
        <v>0</v>
      </c>
      <c r="M1151" s="4"/>
      <c r="N1151" s="4"/>
      <c r="O1151" s="4"/>
      <c r="P1151" s="12" t="str">
        <f t="array" ref="P1151">IF(O1151:O5191="","",_xlfn.XLOOKUP(O1151:O5191,'参照_官位'!A:A,'参照_官位'!B:B,""))</f>
      </c>
      <c r="Q1151" s="12" t="str">
        <f t="array" ref="Q1151">IF(A1151:A5191="","",IFERROR(_xlfn.XLOOKUP(A1151:A5191,castles_state!K:K,castles_state!D:D)&amp;"主",IFERROR(_xlfn.XLOOKUP(A1151:A5191,kunishuClan!D:D,kunishuClan!B:B)&amp;"当主","")))</f>
      </c>
    </row>
    <row r="1152" ht="15.75" customHeight="1">
      <c r="A1152" s="4">
        <v>1025014</v>
      </c>
      <c r="B1152" s="12" t="str">
        <f t="array" ref="B1152">IF(A1152:A5192="","",_xlfn.XLOOKUP(A1152:A5192,'参照_武将'!A:A,'参照_武将'!B:B,"見つかりません"))</f>
      </c>
      <c r="C1152" s="4" t="s">
        <v>170</v>
      </c>
      <c r="D1152" s="4">
        <v>25</v>
      </c>
      <c r="E1152" s="12" t="str">
        <f t="array" ref="E1152">IF(D1152:D5192="","",IFERROR(_xlfn.XLOOKUP(D1152:D5192,'参照_勢力'!A:A,'参照_勢力'!B:B),IFERROR(_xlfn.XLOOKUP(F1152:F5192,kunishuClan!A:A,kunishuClan!B:B),"浪人")))</f>
      </c>
      <c r="F1152" s="4">
        <v>0</v>
      </c>
      <c r="G1152" s="4">
        <v>120</v>
      </c>
      <c r="H1152" s="12" t="str">
        <f t="array" ref="H1152">IF(G1152:G5192="","",_xlfn.XLOOKUP(G1152:G5192,castles_state!A:A,castles_state!D:D,"見つかりません"))</f>
      </c>
      <c r="I1152" s="4"/>
      <c r="J1152" s="12" t="str">
        <f t="array" ref="J1152">IF(I1152:I5192="","",_xlfn.XLOOKUP(I1152:I5192,'参照_姫'!A:A,'参照_姫'!B:B,"見つかりません"))</f>
      </c>
      <c r="K1152" s="4">
        <v>95</v>
      </c>
      <c r="L1152" s="4">
        <v>0</v>
      </c>
      <c r="M1152" s="4"/>
      <c r="N1152" s="4"/>
      <c r="O1152" s="4"/>
      <c r="P1152" s="12" t="str">
        <f t="array" ref="P1152">IF(O1152:O5192="","",_xlfn.XLOOKUP(O1152:O5192,'参照_官位'!A:A,'参照_官位'!B:B,""))</f>
      </c>
      <c r="Q1152" s="12" t="str">
        <f t="array" ref="Q1152">IF(A1152:A5192="","",IFERROR(_xlfn.XLOOKUP(A1152:A5192,castles_state!K:K,castles_state!D:D)&amp;"主",IFERROR(_xlfn.XLOOKUP(A1152:A5192,kunishuClan!D:D,kunishuClan!B:B)&amp;"当主","")))</f>
      </c>
    </row>
    <row r="1153" ht="15.75" customHeight="1">
      <c r="A1153" s="4">
        <v>1025015</v>
      </c>
      <c r="B1153" s="12" t="str">
        <f t="array" ref="B1153">IF(A1153:A5193="","",_xlfn.XLOOKUP(A1153:A5193,'参照_武将'!A:A,'参照_武将'!B:B,"見つかりません"))</f>
      </c>
      <c r="C1153" s="4" t="s">
        <v>5932</v>
      </c>
      <c r="D1153" s="4">
        <v>25</v>
      </c>
      <c r="E1153" s="12" t="str">
        <f t="array" ref="E1153">IF(D1153:D5193="","",IFERROR(_xlfn.XLOOKUP(D1153:D5193,'参照_勢力'!A:A,'参照_勢力'!B:B),IFERROR(_xlfn.XLOOKUP(F1153:F5193,kunishuClan!A:A,kunishuClan!B:B),"浪人")))</f>
      </c>
      <c r="F1153" s="4">
        <v>0</v>
      </c>
      <c r="G1153" s="4">
        <v>121</v>
      </c>
      <c r="H1153" s="12" t="str">
        <f t="array" ref="H1153">IF(G1153:G5193="","",_xlfn.XLOOKUP(G1153:G5193,castles_state!A:A,castles_state!D:D,"見つかりません"))</f>
      </c>
      <c r="I1153" s="4"/>
      <c r="J1153" s="12" t="str">
        <f t="array" ref="J1153">IF(I1153:I5193="","",_xlfn.XLOOKUP(I1153:I5193,'参照_姫'!A:A,'参照_姫'!B:B,"見つかりません"))</f>
      </c>
      <c r="K1153" s="4">
        <v>95</v>
      </c>
      <c r="L1153" s="4">
        <v>0</v>
      </c>
      <c r="M1153" s="4"/>
      <c r="N1153" s="4"/>
      <c r="O1153" s="4"/>
      <c r="P1153" s="12" t="str">
        <f t="array" ref="P1153">IF(O1153:O5193="","",_xlfn.XLOOKUP(O1153:O5193,'参照_官位'!A:A,'参照_官位'!B:B,""))</f>
      </c>
      <c r="Q1153" s="12" t="str">
        <f t="array" ref="Q1153">IF(A1153:A5193="","",IFERROR(_xlfn.XLOOKUP(A1153:A5193,castles_state!K:K,castles_state!D:D)&amp;"主",IFERROR(_xlfn.XLOOKUP(A1153:A5193,kunishuClan!D:D,kunishuClan!B:B)&amp;"当主","")))</f>
      </c>
    </row>
    <row r="1154" ht="15.75" customHeight="1">
      <c r="A1154" s="4">
        <v>1025016</v>
      </c>
      <c r="B1154" s="12" t="str">
        <f t="array" ref="B1154">IF(A1154:A5194="","",_xlfn.XLOOKUP(A1154:A5194,'参照_武将'!A:A,'参照_武将'!B:B,"見つかりません"))</f>
      </c>
      <c r="C1154" s="4" t="s">
        <v>5932</v>
      </c>
      <c r="D1154" s="4">
        <v>25</v>
      </c>
      <c r="E1154" s="12" t="str">
        <f t="array" ref="E1154">IF(D1154:D5194="","",IFERROR(_xlfn.XLOOKUP(D1154:D5194,'参照_勢力'!A:A,'参照_勢力'!B:B),IFERROR(_xlfn.XLOOKUP(F1154:F5194,kunishuClan!A:A,kunishuClan!B:B),"浪人")))</f>
      </c>
      <c r="F1154" s="4">
        <v>0</v>
      </c>
      <c r="G1154" s="4">
        <v>121</v>
      </c>
      <c r="H1154" s="12" t="str">
        <f t="array" ref="H1154">IF(G1154:G5194="","",_xlfn.XLOOKUP(G1154:G5194,castles_state!A:A,castles_state!D:D,"見つかりません"))</f>
      </c>
      <c r="I1154" s="4"/>
      <c r="J1154" s="12" t="str">
        <f t="array" ref="J1154">IF(I1154:I5194="","",_xlfn.XLOOKUP(I1154:I5194,'参照_姫'!A:A,'参照_姫'!B:B,"見つかりません"))</f>
      </c>
      <c r="K1154" s="4">
        <v>95</v>
      </c>
      <c r="L1154" s="4">
        <v>0</v>
      </c>
      <c r="M1154" s="4"/>
      <c r="N1154" s="4"/>
      <c r="O1154" s="4"/>
      <c r="P1154" s="12" t="str">
        <f t="array" ref="P1154">IF(O1154:O5194="","",_xlfn.XLOOKUP(O1154:O5194,'参照_官位'!A:A,'参照_官位'!B:B,""))</f>
      </c>
      <c r="Q1154" s="12" t="str">
        <f t="array" ref="Q1154">IF(A1154:A5194="","",IFERROR(_xlfn.XLOOKUP(A1154:A5194,castles_state!K:K,castles_state!D:D)&amp;"主",IFERROR(_xlfn.XLOOKUP(A1154:A5194,kunishuClan!D:D,kunishuClan!B:B)&amp;"当主","")))</f>
      </c>
    </row>
    <row r="1155" ht="15.75" customHeight="1">
      <c r="A1155" s="4">
        <v>1025017</v>
      </c>
      <c r="B1155" s="12" t="str">
        <f t="array" ref="B1155">IF(A1155:A5195="","",_xlfn.XLOOKUP(A1155:A5195,'参照_武将'!A:A,'参照_武将'!B:B,"見つかりません"))</f>
      </c>
      <c r="C1155" s="4" t="s">
        <v>5929</v>
      </c>
      <c r="D1155" s="4">
        <v>25</v>
      </c>
      <c r="E1155" s="12" t="str">
        <f t="array" ref="E1155">IF(D1155:D5195="","",IFERROR(_xlfn.XLOOKUP(D1155:D5195,'参照_勢力'!A:A,'参照_勢力'!B:B),IFERROR(_xlfn.XLOOKUP(F1155:F5195,kunishuClan!A:A,kunishuClan!B:B),"浪人")))</f>
      </c>
      <c r="F1155" s="4">
        <v>0</v>
      </c>
      <c r="G1155" s="4">
        <v>250</v>
      </c>
      <c r="H1155" s="12" t="str">
        <f t="array" ref="H1155">IF(G1155:G5195="","",_xlfn.XLOOKUP(G1155:G5195,castles_state!A:A,castles_state!D:D,"見つかりません"))</f>
      </c>
      <c r="I1155" s="4"/>
      <c r="J1155" s="12" t="str">
        <f t="array" ref="J1155">IF(I1155:I5195="","",_xlfn.XLOOKUP(I1155:I5195,'参照_姫'!A:A,'参照_姫'!B:B,"見つかりません"))</f>
      </c>
      <c r="K1155" s="4">
        <v>95</v>
      </c>
      <c r="L1155" s="4">
        <v>0</v>
      </c>
      <c r="M1155" s="4"/>
      <c r="N1155" s="4"/>
      <c r="O1155" s="4"/>
      <c r="P1155" s="12" t="str">
        <f t="array" ref="P1155">IF(O1155:O5195="","",_xlfn.XLOOKUP(O1155:O5195,'参照_官位'!A:A,'参照_官位'!B:B,""))</f>
      </c>
      <c r="Q1155" s="12" t="str">
        <f t="array" ref="Q1155">IF(A1155:A5195="","",IFERROR(_xlfn.XLOOKUP(A1155:A5195,castles_state!K:K,castles_state!D:D)&amp;"主",IFERROR(_xlfn.XLOOKUP(A1155:A5195,kunishuClan!D:D,kunishuClan!B:B)&amp;"当主","")))</f>
      </c>
    </row>
    <row r="1156" ht="15.75" customHeight="1">
      <c r="A1156" s="4">
        <v>1025018</v>
      </c>
      <c r="B1156" s="12" t="str">
        <f t="array" ref="B1156">IF(A1156:A5196="","",_xlfn.XLOOKUP(A1156:A5196,'参照_武将'!A:A,'参照_武将'!B:B,"見つかりません"))</f>
      </c>
      <c r="C1156" s="4" t="s">
        <v>5929</v>
      </c>
      <c r="D1156" s="4">
        <v>25</v>
      </c>
      <c r="E1156" s="12" t="str">
        <f t="array" ref="E1156">IF(D1156:D5196="","",IFERROR(_xlfn.XLOOKUP(D1156:D5196,'参照_勢力'!A:A,'参照_勢力'!B:B),IFERROR(_xlfn.XLOOKUP(F1156:F5196,kunishuClan!A:A,kunishuClan!B:B),"浪人")))</f>
      </c>
      <c r="F1156" s="4">
        <v>0</v>
      </c>
      <c r="G1156" s="4">
        <v>250</v>
      </c>
      <c r="H1156" s="12" t="str">
        <f t="array" ref="H1156">IF(G1156:G5196="","",_xlfn.XLOOKUP(G1156:G5196,castles_state!A:A,castles_state!D:D,"見つかりません"))</f>
      </c>
      <c r="I1156" s="4"/>
      <c r="J1156" s="12" t="str">
        <f t="array" ref="J1156">IF(I1156:I5196="","",_xlfn.XLOOKUP(I1156:I5196,'参照_姫'!A:A,'参照_姫'!B:B,"見つかりません"))</f>
      </c>
      <c r="K1156" s="4">
        <v>95</v>
      </c>
      <c r="L1156" s="4">
        <v>0</v>
      </c>
      <c r="M1156" s="4"/>
      <c r="N1156" s="4"/>
      <c r="O1156" s="4"/>
      <c r="P1156" s="12" t="str">
        <f t="array" ref="P1156">IF(O1156:O5196="","",_xlfn.XLOOKUP(O1156:O5196,'参照_官位'!A:A,'参照_官位'!B:B,""))</f>
      </c>
      <c r="Q1156" s="12" t="str">
        <f t="array" ref="Q1156">IF(A1156:A5196="","",IFERROR(_xlfn.XLOOKUP(A1156:A5196,castles_state!K:K,castles_state!D:D)&amp;"主",IFERROR(_xlfn.XLOOKUP(A1156:A5196,kunishuClan!D:D,kunishuClan!B:B)&amp;"当主","")))</f>
      </c>
    </row>
    <row r="1157" ht="15.75" customHeight="1">
      <c r="A1157" s="4">
        <v>1025019</v>
      </c>
      <c r="B1157" s="12" t="str">
        <f t="array" ref="B1157">IF(A1157:A5197="","",_xlfn.XLOOKUP(A1157:A5197,'参照_武将'!A:A,'参照_武将'!B:B,"見つかりません"))</f>
      </c>
      <c r="C1157" s="4" t="s">
        <v>5929</v>
      </c>
      <c r="D1157" s="4">
        <v>25</v>
      </c>
      <c r="E1157" s="12" t="str">
        <f t="array" ref="E1157">IF(D1157:D5197="","",IFERROR(_xlfn.XLOOKUP(D1157:D5197,'参照_勢力'!A:A,'参照_勢力'!B:B),IFERROR(_xlfn.XLOOKUP(F1157:F5197,kunishuClan!A:A,kunishuClan!B:B),"浪人")))</f>
      </c>
      <c r="F1157" s="4">
        <v>0</v>
      </c>
      <c r="G1157" s="4">
        <v>250</v>
      </c>
      <c r="H1157" s="12" t="str">
        <f t="array" ref="H1157">IF(G1157:G5197="","",_xlfn.XLOOKUP(G1157:G5197,castles_state!A:A,castles_state!D:D,"見つかりません"))</f>
      </c>
      <c r="I1157" s="4"/>
      <c r="J1157" s="12" t="str">
        <f t="array" ref="J1157">IF(I1157:I5197="","",_xlfn.XLOOKUP(I1157:I5197,'参照_姫'!A:A,'参照_姫'!B:B,"見つかりません"))</f>
      </c>
      <c r="K1157" s="4">
        <v>95</v>
      </c>
      <c r="L1157" s="4">
        <v>0</v>
      </c>
      <c r="M1157" s="4"/>
      <c r="N1157" s="4"/>
      <c r="O1157" s="4"/>
      <c r="P1157" s="12" t="str">
        <f t="array" ref="P1157">IF(O1157:O5197="","",_xlfn.XLOOKUP(O1157:O5197,'参照_官位'!A:A,'参照_官位'!B:B,""))</f>
      </c>
      <c r="Q1157" s="12" t="str">
        <f t="array" ref="Q1157">IF(A1157:A5197="","",IFERROR(_xlfn.XLOOKUP(A1157:A5197,castles_state!K:K,castles_state!D:D)&amp;"主",IFERROR(_xlfn.XLOOKUP(A1157:A5197,kunishuClan!D:D,kunishuClan!B:B)&amp;"当主","")))</f>
      </c>
    </row>
    <row r="1158" ht="15.75" customHeight="1">
      <c r="A1158" s="4">
        <v>1025020</v>
      </c>
      <c r="B1158" s="12" t="str">
        <f t="array" ref="B1158">IF(A1158:A5198="","",_xlfn.XLOOKUP(A1158:A5198,'参照_武将'!A:A,'参照_武将'!B:B,"見つかりません"))</f>
      </c>
      <c r="C1158" s="4" t="s">
        <v>5929</v>
      </c>
      <c r="D1158" s="4">
        <v>25</v>
      </c>
      <c r="E1158" s="12" t="str">
        <f t="array" ref="E1158">IF(D1158:D5198="","",IFERROR(_xlfn.XLOOKUP(D1158:D5198,'参照_勢力'!A:A,'参照_勢力'!B:B),IFERROR(_xlfn.XLOOKUP(F1158:F5198,kunishuClan!A:A,kunishuClan!B:B),"浪人")))</f>
      </c>
      <c r="F1158" s="4">
        <v>0</v>
      </c>
      <c r="G1158" s="4">
        <v>250</v>
      </c>
      <c r="H1158" s="12" t="str">
        <f t="array" ref="H1158">IF(G1158:G5198="","",_xlfn.XLOOKUP(G1158:G5198,castles_state!A:A,castles_state!D:D,"見つかりません"))</f>
      </c>
      <c r="I1158" s="4"/>
      <c r="J1158" s="12" t="str">
        <f t="array" ref="J1158">IF(I1158:I5198="","",_xlfn.XLOOKUP(I1158:I5198,'参照_姫'!A:A,'参照_姫'!B:B,"見つかりません"))</f>
      </c>
      <c r="K1158" s="4">
        <v>95</v>
      </c>
      <c r="L1158" s="4">
        <v>0</v>
      </c>
      <c r="M1158" s="4"/>
      <c r="N1158" s="4"/>
      <c r="O1158" s="4"/>
      <c r="P1158" s="12" t="str">
        <f t="array" ref="P1158">IF(O1158:O5198="","",_xlfn.XLOOKUP(O1158:O5198,'参照_官位'!A:A,'参照_官位'!B:B,""))</f>
      </c>
      <c r="Q1158" s="12" t="str">
        <f t="array" ref="Q1158">IF(A1158:A5198="","",IFERROR(_xlfn.XLOOKUP(A1158:A5198,castles_state!K:K,castles_state!D:D)&amp;"主",IFERROR(_xlfn.XLOOKUP(A1158:A5198,kunishuClan!D:D,kunishuClan!B:B)&amp;"当主","")))</f>
      </c>
    </row>
    <row r="1159" ht="15.75" customHeight="1">
      <c r="A1159" s="4">
        <v>1025021</v>
      </c>
      <c r="B1159" s="12" t="str">
        <f t="array" ref="B1159">IF(A1159:A5199="","",_xlfn.XLOOKUP(A1159:A5199,'参照_武将'!A:A,'参照_武将'!B:B,"見つかりません"))</f>
      </c>
      <c r="C1159" s="4" t="s">
        <v>5929</v>
      </c>
      <c r="D1159" s="4">
        <v>25</v>
      </c>
      <c r="E1159" s="12" t="str">
        <f t="array" ref="E1159">IF(D1159:D5199="","",IFERROR(_xlfn.XLOOKUP(D1159:D5199,'参照_勢力'!A:A,'参照_勢力'!B:B),IFERROR(_xlfn.XLOOKUP(F1159:F5199,kunishuClan!A:A,kunishuClan!B:B),"浪人")))</f>
      </c>
      <c r="F1159" s="4">
        <v>0</v>
      </c>
      <c r="G1159" s="4">
        <v>250</v>
      </c>
      <c r="H1159" s="12" t="str">
        <f t="array" ref="H1159">IF(G1159:G5199="","",_xlfn.XLOOKUP(G1159:G5199,castles_state!A:A,castles_state!D:D,"見つかりません"))</f>
      </c>
      <c r="I1159" s="4"/>
      <c r="J1159" s="12" t="str">
        <f t="array" ref="J1159">IF(I1159:I5199="","",_xlfn.XLOOKUP(I1159:I5199,'参照_姫'!A:A,'参照_姫'!B:B,"見つかりません"))</f>
      </c>
      <c r="K1159" s="4">
        <v>95</v>
      </c>
      <c r="L1159" s="4">
        <v>0</v>
      </c>
      <c r="M1159" s="4"/>
      <c r="N1159" s="4"/>
      <c r="O1159" s="4"/>
      <c r="P1159" s="12" t="str">
        <f t="array" ref="P1159">IF(O1159:O5199="","",_xlfn.XLOOKUP(O1159:O5199,'参照_官位'!A:A,'参照_官位'!B:B,""))</f>
      </c>
      <c r="Q1159" s="12" t="str">
        <f t="array" ref="Q1159">IF(A1159:A5199="","",IFERROR(_xlfn.XLOOKUP(A1159:A5199,castles_state!K:K,castles_state!D:D)&amp;"主",IFERROR(_xlfn.XLOOKUP(A1159:A5199,kunishuClan!D:D,kunishuClan!B:B)&amp;"当主","")))</f>
      </c>
    </row>
    <row r="1160" ht="15.75" customHeight="1">
      <c r="A1160" s="4">
        <v>1025022</v>
      </c>
      <c r="B1160" s="12" t="str">
        <f t="array" ref="B1160">IF(A1160:A5200="","",_xlfn.XLOOKUP(A1160:A5200,'参照_武将'!A:A,'参照_武将'!B:B,"見つかりません"))</f>
      </c>
      <c r="C1160" s="4" t="s">
        <v>5929</v>
      </c>
      <c r="D1160" s="4">
        <v>25</v>
      </c>
      <c r="E1160" s="12" t="str">
        <f t="array" ref="E1160">IF(D1160:D5200="","",IFERROR(_xlfn.XLOOKUP(D1160:D5200,'参照_勢力'!A:A,'参照_勢力'!B:B),IFERROR(_xlfn.XLOOKUP(F1160:F5200,kunishuClan!A:A,kunishuClan!B:B),"浪人")))</f>
      </c>
      <c r="F1160" s="4">
        <v>0</v>
      </c>
      <c r="G1160" s="4">
        <v>250</v>
      </c>
      <c r="H1160" s="12" t="str">
        <f t="array" ref="H1160">IF(G1160:G5200="","",_xlfn.XLOOKUP(G1160:G5200,castles_state!A:A,castles_state!D:D,"見つかりません"))</f>
      </c>
      <c r="I1160" s="4"/>
      <c r="J1160" s="12" t="str">
        <f t="array" ref="J1160">IF(I1160:I5200="","",_xlfn.XLOOKUP(I1160:I5200,'参照_姫'!A:A,'参照_姫'!B:B,"見つかりません"))</f>
      </c>
      <c r="K1160" s="4">
        <v>95</v>
      </c>
      <c r="L1160" s="4">
        <v>0</v>
      </c>
      <c r="M1160" s="4"/>
      <c r="N1160" s="4"/>
      <c r="O1160" s="4"/>
      <c r="P1160" s="12" t="str">
        <f t="array" ref="P1160">IF(O1160:O5200="","",_xlfn.XLOOKUP(O1160:O5200,'参照_官位'!A:A,'参照_官位'!B:B,""))</f>
      </c>
      <c r="Q1160" s="12" t="str">
        <f t="array" ref="Q1160">IF(A1160:A5200="","",IFERROR(_xlfn.XLOOKUP(A1160:A5200,castles_state!K:K,castles_state!D:D)&amp;"主",IFERROR(_xlfn.XLOOKUP(A1160:A5200,kunishuClan!D:D,kunishuClan!B:B)&amp;"当主","")))</f>
      </c>
    </row>
    <row r="1161" ht="15.75" customHeight="1">
      <c r="A1161" s="4">
        <v>1025023</v>
      </c>
      <c r="B1161" s="12" t="str">
        <f t="array" ref="B1161">IF(A1161:A5201="","",_xlfn.XLOOKUP(A1161:A5201,'参照_武将'!A:A,'参照_武将'!B:B,"見つかりません"))</f>
      </c>
      <c r="C1161" s="4" t="s">
        <v>5929</v>
      </c>
      <c r="D1161" s="4">
        <v>25</v>
      </c>
      <c r="E1161" s="12" t="str">
        <f t="array" ref="E1161">IF(D1161:D5201="","",IFERROR(_xlfn.XLOOKUP(D1161:D5201,'参照_勢力'!A:A,'参照_勢力'!B:B),IFERROR(_xlfn.XLOOKUP(F1161:F5201,kunishuClan!A:A,kunishuClan!B:B),"浪人")))</f>
      </c>
      <c r="F1161" s="4">
        <v>0</v>
      </c>
      <c r="G1161" s="4">
        <v>111</v>
      </c>
      <c r="H1161" s="12" t="str">
        <f t="array" ref="H1161">IF(G1161:G5201="","",_xlfn.XLOOKUP(G1161:G5201,castles_state!A:A,castles_state!D:D,"見つかりません"))</f>
      </c>
      <c r="I1161" s="4"/>
      <c r="J1161" s="12" t="str">
        <f t="array" ref="J1161">IF(I1161:I5201="","",_xlfn.XLOOKUP(I1161:I5201,'参照_姫'!A:A,'参照_姫'!B:B,"見つかりません"))</f>
      </c>
      <c r="K1161" s="4">
        <v>95</v>
      </c>
      <c r="L1161" s="4">
        <v>500</v>
      </c>
      <c r="M1161" s="4"/>
      <c r="N1161" s="4"/>
      <c r="O1161" s="4"/>
      <c r="P1161" s="12" t="str">
        <f t="array" ref="P1161">IF(O1161:O5201="","",_xlfn.XLOOKUP(O1161:O5201,'参照_官位'!A:A,'参照_官位'!B:B,""))</f>
      </c>
      <c r="Q1161" s="12" t="str">
        <f t="array" ref="Q1161">IF(A1161:A5201="","",IFERROR(_xlfn.XLOOKUP(A1161:A5201,castles_state!K:K,castles_state!D:D)&amp;"主",IFERROR(_xlfn.XLOOKUP(A1161:A5201,kunishuClan!D:D,kunishuClan!B:B)&amp;"当主","")))</f>
      </c>
    </row>
    <row r="1162" ht="15.75" customHeight="1">
      <c r="A1162" s="4">
        <v>1025024</v>
      </c>
      <c r="B1162" s="12" t="str">
        <f t="array" ref="B1162">IF(A1162:A5202="","",_xlfn.XLOOKUP(A1162:A5202,'参照_武将'!A:A,'参照_武将'!B:B,"見つかりません"))</f>
      </c>
      <c r="C1162" s="4" t="s">
        <v>5929</v>
      </c>
      <c r="D1162" s="4">
        <v>25</v>
      </c>
      <c r="E1162" s="12" t="str">
        <f t="array" ref="E1162">IF(D1162:D5202="","",IFERROR(_xlfn.XLOOKUP(D1162:D5202,'参照_勢力'!A:A,'参照_勢力'!B:B),IFERROR(_xlfn.XLOOKUP(F1162:F5202,kunishuClan!A:A,kunishuClan!B:B),"浪人")))</f>
      </c>
      <c r="F1162" s="4">
        <v>0</v>
      </c>
      <c r="G1162" s="4">
        <v>111</v>
      </c>
      <c r="H1162" s="12" t="str">
        <f t="array" ref="H1162">IF(G1162:G5202="","",_xlfn.XLOOKUP(G1162:G5202,castles_state!A:A,castles_state!D:D,"見つかりません"))</f>
      </c>
      <c r="I1162" s="4"/>
      <c r="J1162" s="12" t="str">
        <f t="array" ref="J1162">IF(I1162:I5202="","",_xlfn.XLOOKUP(I1162:I5202,'参照_姫'!A:A,'参照_姫'!B:B,"見つかりません"))</f>
      </c>
      <c r="K1162" s="4">
        <v>95</v>
      </c>
      <c r="L1162" s="4">
        <v>0</v>
      </c>
      <c r="M1162" s="4"/>
      <c r="N1162" s="4"/>
      <c r="O1162" s="4"/>
      <c r="P1162" s="12" t="str">
        <f t="array" ref="P1162">IF(O1162:O5202="","",_xlfn.XLOOKUP(O1162:O5202,'参照_官位'!A:A,'参照_官位'!B:B,""))</f>
      </c>
      <c r="Q1162" s="12" t="str">
        <f t="array" ref="Q1162">IF(A1162:A5202="","",IFERROR(_xlfn.XLOOKUP(A1162:A5202,castles_state!K:K,castles_state!D:D)&amp;"主",IFERROR(_xlfn.XLOOKUP(A1162:A5202,kunishuClan!D:D,kunishuClan!B:B)&amp;"当主","")))</f>
      </c>
    </row>
    <row r="1163" ht="15.75" customHeight="1">
      <c r="A1163" s="4">
        <v>1025025</v>
      </c>
      <c r="B1163" s="12" t="str">
        <f t="array" ref="B1163">IF(A1163:A5203="","",_xlfn.XLOOKUP(A1163:A5203,'参照_武将'!A:A,'参照_武将'!B:B,"見つかりません"))</f>
      </c>
      <c r="C1163" s="4" t="s">
        <v>5933</v>
      </c>
      <c r="D1163" s="4">
        <v>25</v>
      </c>
      <c r="E1163" s="12" t="str">
        <f t="array" ref="E1163">IF(D1163:D5203="","",IFERROR(_xlfn.XLOOKUP(D1163:D5203,'参照_勢力'!A:A,'参照_勢力'!B:B),IFERROR(_xlfn.XLOOKUP(F1163:F5203,kunishuClan!A:A,kunishuClan!B:B),"浪人")))</f>
      </c>
      <c r="F1163" s="4">
        <v>0</v>
      </c>
      <c r="G1163" s="4">
        <v>111</v>
      </c>
      <c r="H1163" s="12" t="str">
        <f t="array" ref="H1163">IF(G1163:G5203="","",_xlfn.XLOOKUP(G1163:G5203,castles_state!A:A,castles_state!D:D,"見つかりません"))</f>
      </c>
      <c r="I1163" s="4"/>
      <c r="J1163" s="12" t="str">
        <f t="array" ref="J1163">IF(I1163:I5203="","",_xlfn.XLOOKUP(I1163:I5203,'参照_姫'!A:A,'参照_姫'!B:B,"見つかりません"))</f>
      </c>
      <c r="K1163" s="4">
        <v>95</v>
      </c>
      <c r="L1163" s="4">
        <v>0</v>
      </c>
      <c r="M1163" s="4"/>
      <c r="N1163" s="4"/>
      <c r="O1163" s="4"/>
      <c r="P1163" s="12" t="str">
        <f t="array" ref="P1163">IF(O1163:O5203="","",_xlfn.XLOOKUP(O1163:O5203,'参照_官位'!A:A,'参照_官位'!B:B,""))</f>
      </c>
      <c r="Q1163" s="12" t="str">
        <f t="array" ref="Q1163">IF(A1163:A5203="","",IFERROR(_xlfn.XLOOKUP(A1163:A5203,castles_state!K:K,castles_state!D:D)&amp;"主",IFERROR(_xlfn.XLOOKUP(A1163:A5203,kunishuClan!D:D,kunishuClan!B:B)&amp;"当主","")))</f>
      </c>
    </row>
    <row r="1164" ht="15.75" customHeight="1">
      <c r="A1164" s="4">
        <v>1025026</v>
      </c>
      <c r="B1164" s="12" t="str">
        <f t="array" ref="B1164">IF(A1164:A5204="","",_xlfn.XLOOKUP(A1164:A5204,'参照_武将'!A:A,'参照_武将'!B:B,"見つかりません"))</f>
      </c>
      <c r="C1164" s="4" t="s">
        <v>5933</v>
      </c>
      <c r="D1164" s="4">
        <v>25</v>
      </c>
      <c r="E1164" s="12" t="str">
        <f t="array" ref="E1164">IF(D1164:D5204="","",IFERROR(_xlfn.XLOOKUP(D1164:D5204,'参照_勢力'!A:A,'参照_勢力'!B:B),IFERROR(_xlfn.XLOOKUP(F1164:F5204,kunishuClan!A:A,kunishuClan!B:B),"浪人")))</f>
      </c>
      <c r="F1164" s="4">
        <v>0</v>
      </c>
      <c r="G1164" s="4">
        <v>111</v>
      </c>
      <c r="H1164" s="12" t="str">
        <f t="array" ref="H1164">IF(G1164:G5204="","",_xlfn.XLOOKUP(G1164:G5204,castles_state!A:A,castles_state!D:D,"見つかりません"))</f>
      </c>
      <c r="I1164" s="4"/>
      <c r="J1164" s="12" t="str">
        <f t="array" ref="J1164">IF(I1164:I5204="","",_xlfn.XLOOKUP(I1164:I5204,'参照_姫'!A:A,'参照_姫'!B:B,"見つかりません"))</f>
      </c>
      <c r="K1164" s="4">
        <v>95</v>
      </c>
      <c r="L1164" s="4">
        <v>0</v>
      </c>
      <c r="M1164" s="4"/>
      <c r="N1164" s="4"/>
      <c r="O1164" s="4"/>
      <c r="P1164" s="12" t="str">
        <f t="array" ref="P1164">IF(O1164:O5204="","",_xlfn.XLOOKUP(O1164:O5204,'参照_官位'!A:A,'参照_官位'!B:B,""))</f>
      </c>
      <c r="Q1164" s="12" t="str">
        <f t="array" ref="Q1164">IF(A1164:A5204="","",IFERROR(_xlfn.XLOOKUP(A1164:A5204,castles_state!K:K,castles_state!D:D)&amp;"主",IFERROR(_xlfn.XLOOKUP(A1164:A5204,kunishuClan!D:D,kunishuClan!B:B)&amp;"当主","")))</f>
      </c>
    </row>
    <row r="1165" ht="15.75" customHeight="1">
      <c r="A1165" s="4">
        <v>1025027</v>
      </c>
      <c r="B1165" s="12" t="str">
        <f t="array" ref="B1165">IF(A1165:A5205="","",_xlfn.XLOOKUP(A1165:A5205,'参照_武将'!A:A,'参照_武将'!B:B,"見つかりません"))</f>
      </c>
      <c r="C1165" s="4" t="s">
        <v>5933</v>
      </c>
      <c r="D1165" s="4">
        <v>25</v>
      </c>
      <c r="E1165" s="12" t="str">
        <f t="array" ref="E1165">IF(D1165:D5205="","",IFERROR(_xlfn.XLOOKUP(D1165:D5205,'参照_勢力'!A:A,'参照_勢力'!B:B),IFERROR(_xlfn.XLOOKUP(F1165:F5205,kunishuClan!A:A,kunishuClan!B:B),"浪人")))</f>
      </c>
      <c r="F1165" s="4">
        <v>0</v>
      </c>
      <c r="G1165" s="4">
        <v>110</v>
      </c>
      <c r="H1165" s="12" t="str">
        <f t="array" ref="H1165">IF(G1165:G5205="","",_xlfn.XLOOKUP(G1165:G5205,castles_state!A:A,castles_state!D:D,"見つかりません"))</f>
      </c>
      <c r="I1165" s="4"/>
      <c r="J1165" s="12" t="str">
        <f t="array" ref="J1165">IF(I1165:I5205="","",_xlfn.XLOOKUP(I1165:I5205,'参照_姫'!A:A,'参照_姫'!B:B,"見つかりません"))</f>
      </c>
      <c r="K1165" s="4">
        <v>95</v>
      </c>
      <c r="L1165" s="4">
        <v>500</v>
      </c>
      <c r="M1165" s="4"/>
      <c r="N1165" s="4"/>
      <c r="O1165" s="4"/>
      <c r="P1165" s="12" t="str">
        <f t="array" ref="P1165">IF(O1165:O5205="","",_xlfn.XLOOKUP(O1165:O5205,'参照_官位'!A:A,'参照_官位'!B:B,""))</f>
      </c>
      <c r="Q1165" s="12" t="str">
        <f t="array" ref="Q1165">IF(A1165:A5205="","",IFERROR(_xlfn.XLOOKUP(A1165:A5205,castles_state!K:K,castles_state!D:D)&amp;"主",IFERROR(_xlfn.XLOOKUP(A1165:A5205,kunishuClan!D:D,kunishuClan!B:B)&amp;"当主","")))</f>
      </c>
    </row>
    <row r="1166" ht="15.75" customHeight="1">
      <c r="A1166" s="4">
        <v>1025028</v>
      </c>
      <c r="B1166" s="12" t="str">
        <f t="array" ref="B1166">IF(A1166:A5206="","",_xlfn.XLOOKUP(A1166:A5206,'参照_武将'!A:A,'参照_武将'!B:B,"見つかりません"))</f>
      </c>
      <c r="C1166" s="4" t="s">
        <v>5933</v>
      </c>
      <c r="D1166" s="4">
        <v>25</v>
      </c>
      <c r="E1166" s="12" t="str">
        <f t="array" ref="E1166">IF(D1166:D5206="","",IFERROR(_xlfn.XLOOKUP(D1166:D5206,'参照_勢力'!A:A,'参照_勢力'!B:B),IFERROR(_xlfn.XLOOKUP(F1166:F5206,kunishuClan!A:A,kunishuClan!B:B),"浪人")))</f>
      </c>
      <c r="F1166" s="4">
        <v>0</v>
      </c>
      <c r="G1166" s="4">
        <v>111</v>
      </c>
      <c r="H1166" s="12" t="str">
        <f t="array" ref="H1166">IF(G1166:G5206="","",_xlfn.XLOOKUP(G1166:G5206,castles_state!A:A,castles_state!D:D,"見つかりません"))</f>
      </c>
      <c r="I1166" s="4"/>
      <c r="J1166" s="12" t="str">
        <f t="array" ref="J1166">IF(I1166:I5206="","",_xlfn.XLOOKUP(I1166:I5206,'参照_姫'!A:A,'参照_姫'!B:B,"見つかりません"))</f>
      </c>
      <c r="K1166" s="4">
        <v>95</v>
      </c>
      <c r="L1166" s="4">
        <v>0</v>
      </c>
      <c r="M1166" s="4"/>
      <c r="N1166" s="4"/>
      <c r="O1166" s="4"/>
      <c r="P1166" s="12" t="str">
        <f t="array" ref="P1166">IF(O1166:O5206="","",_xlfn.XLOOKUP(O1166:O5206,'参照_官位'!A:A,'参照_官位'!B:B,""))</f>
      </c>
      <c r="Q1166" s="12" t="str">
        <f t="array" ref="Q1166">IF(A1166:A5206="","",IFERROR(_xlfn.XLOOKUP(A1166:A5206,castles_state!K:K,castles_state!D:D)&amp;"主",IFERROR(_xlfn.XLOOKUP(A1166:A5206,kunishuClan!D:D,kunishuClan!B:B)&amp;"当主","")))</f>
      </c>
    </row>
    <row r="1167" ht="15.75" customHeight="1">
      <c r="A1167" s="4">
        <v>1025029</v>
      </c>
      <c r="B1167" s="12" t="str">
        <f t="array" ref="B1167">IF(A1167:A5207="","",_xlfn.XLOOKUP(A1167:A5207,'参照_武将'!A:A,'参照_武将'!B:B,"見つかりません"))</f>
      </c>
      <c r="C1167" s="4" t="s">
        <v>5934</v>
      </c>
      <c r="D1167" s="4">
        <v>25</v>
      </c>
      <c r="E1167" s="12" t="str">
        <f t="array" ref="E1167">IF(D1167:D5207="","",IFERROR(_xlfn.XLOOKUP(D1167:D5207,'参照_勢力'!A:A,'参照_勢力'!B:B),IFERROR(_xlfn.XLOOKUP(F1167:F5207,kunishuClan!A:A,kunishuClan!B:B),"浪人")))</f>
      </c>
      <c r="F1167" s="4">
        <v>0</v>
      </c>
      <c r="G1167" s="4">
        <v>250</v>
      </c>
      <c r="H1167" s="12" t="str">
        <f t="array" ref="H1167">IF(G1167:G5207="","",_xlfn.XLOOKUP(G1167:G5207,castles_state!A:A,castles_state!D:D,"見つかりません"))</f>
      </c>
      <c r="I1167" s="4"/>
      <c r="J1167" s="12" t="str">
        <f t="array" ref="J1167">IF(I1167:I5207="","",_xlfn.XLOOKUP(I1167:I5207,'参照_姫'!A:A,'参照_姫'!B:B,"見つかりません"))</f>
      </c>
      <c r="K1167" s="4">
        <v>95</v>
      </c>
      <c r="L1167" s="4">
        <v>0</v>
      </c>
      <c r="M1167" s="4"/>
      <c r="N1167" s="4"/>
      <c r="O1167" s="4"/>
      <c r="P1167" s="12" t="str">
        <f t="array" ref="P1167">IF(O1167:O5207="","",_xlfn.XLOOKUP(O1167:O5207,'参照_官位'!A:A,'参照_官位'!B:B,""))</f>
      </c>
      <c r="Q1167" s="12" t="str">
        <f t="array" ref="Q1167">IF(A1167:A5207="","",IFERROR(_xlfn.XLOOKUP(A1167:A5207,castles_state!K:K,castles_state!D:D)&amp;"主",IFERROR(_xlfn.XLOOKUP(A1167:A5207,kunishuClan!D:D,kunishuClan!B:B)&amp;"当主","")))</f>
      </c>
    </row>
    <row r="1168" ht="15.75" customHeight="1">
      <c r="A1168" s="4">
        <v>1025030</v>
      </c>
      <c r="B1168" s="12" t="str">
        <f t="array" ref="B1168">IF(A1168:A5208="","",_xlfn.XLOOKUP(A1168:A5208,'参照_武将'!A:A,'参照_武将'!B:B,"見つかりません"))</f>
      </c>
      <c r="C1168" s="4" t="s">
        <v>5934</v>
      </c>
      <c r="D1168" s="4">
        <v>25</v>
      </c>
      <c r="E1168" s="12" t="str">
        <f t="array" ref="E1168">IF(D1168:D5208="","",IFERROR(_xlfn.XLOOKUP(D1168:D5208,'参照_勢力'!A:A,'参照_勢力'!B:B),IFERROR(_xlfn.XLOOKUP(F1168:F5208,kunishuClan!A:A,kunishuClan!B:B),"浪人")))</f>
      </c>
      <c r="F1168" s="4">
        <v>0</v>
      </c>
      <c r="G1168" s="4">
        <v>250</v>
      </c>
      <c r="H1168" s="12" t="str">
        <f t="array" ref="H1168">IF(G1168:G5208="","",_xlfn.XLOOKUP(G1168:G5208,castles_state!A:A,castles_state!D:D,"見つかりません"))</f>
      </c>
      <c r="I1168" s="4"/>
      <c r="J1168" s="12" t="str">
        <f t="array" ref="J1168">IF(I1168:I5208="","",_xlfn.XLOOKUP(I1168:I5208,'参照_姫'!A:A,'参照_姫'!B:B,"見つかりません"))</f>
      </c>
      <c r="K1168" s="4">
        <v>95</v>
      </c>
      <c r="L1168" s="4">
        <v>0</v>
      </c>
      <c r="M1168" s="4"/>
      <c r="N1168" s="4"/>
      <c r="O1168" s="4"/>
      <c r="P1168" s="12" t="str">
        <f t="array" ref="P1168">IF(O1168:O5208="","",_xlfn.XLOOKUP(O1168:O5208,'参照_官位'!A:A,'参照_官位'!B:B,""))</f>
      </c>
      <c r="Q1168" s="12" t="str">
        <f t="array" ref="Q1168">IF(A1168:A5208="","",IFERROR(_xlfn.XLOOKUP(A1168:A5208,castles_state!K:K,castles_state!D:D)&amp;"主",IFERROR(_xlfn.XLOOKUP(A1168:A5208,kunishuClan!D:D,kunishuClan!B:B)&amp;"当主","")))</f>
      </c>
    </row>
    <row r="1169" ht="15.75" customHeight="1">
      <c r="A1169" s="4">
        <v>1025031</v>
      </c>
      <c r="B1169" s="12" t="str">
        <f t="array" ref="B1169">IF(A1169:A5209="","",_xlfn.XLOOKUP(A1169:A5209,'参照_武将'!A:A,'参照_武将'!B:B,"見つかりません"))</f>
      </c>
      <c r="C1169" s="4" t="s">
        <v>5934</v>
      </c>
      <c r="D1169" s="4">
        <v>25</v>
      </c>
      <c r="E1169" s="12" t="str">
        <f t="array" ref="E1169">IF(D1169:D5209="","",IFERROR(_xlfn.XLOOKUP(D1169:D5209,'参照_勢力'!A:A,'参照_勢力'!B:B),IFERROR(_xlfn.XLOOKUP(F1169:F5209,kunishuClan!A:A,kunishuClan!B:B),"浪人")))</f>
      </c>
      <c r="F1169" s="4">
        <v>0</v>
      </c>
      <c r="G1169" s="4">
        <v>250</v>
      </c>
      <c r="H1169" s="12" t="str">
        <f t="array" ref="H1169">IF(G1169:G5209="","",_xlfn.XLOOKUP(G1169:G5209,castles_state!A:A,castles_state!D:D,"見つかりません"))</f>
      </c>
      <c r="I1169" s="4"/>
      <c r="J1169" s="12" t="str">
        <f t="array" ref="J1169">IF(I1169:I5209="","",_xlfn.XLOOKUP(I1169:I5209,'参照_姫'!A:A,'参照_姫'!B:B,"見つかりません"))</f>
      </c>
      <c r="K1169" s="4">
        <v>95</v>
      </c>
      <c r="L1169" s="4">
        <v>0</v>
      </c>
      <c r="M1169" s="4"/>
      <c r="N1169" s="4"/>
      <c r="O1169" s="4"/>
      <c r="P1169" s="12" t="str">
        <f t="array" ref="P1169">IF(O1169:O5209="","",_xlfn.XLOOKUP(O1169:O5209,'参照_官位'!A:A,'参照_官位'!B:B,""))</f>
      </c>
      <c r="Q1169" s="12" t="str">
        <f t="array" ref="Q1169">IF(A1169:A5209="","",IFERROR(_xlfn.XLOOKUP(A1169:A5209,castles_state!K:K,castles_state!D:D)&amp;"主",IFERROR(_xlfn.XLOOKUP(A1169:A5209,kunishuClan!D:D,kunishuClan!B:B)&amp;"当主","")))</f>
      </c>
    </row>
    <row r="1170" ht="15.75" customHeight="1">
      <c r="A1170" s="4">
        <v>1025032</v>
      </c>
      <c r="B1170" s="12" t="str">
        <f t="array" ref="B1170">IF(A1170:A5210="","",_xlfn.XLOOKUP(A1170:A5210,'参照_武将'!A:A,'参照_武将'!B:B,"見つかりません"))</f>
      </c>
      <c r="C1170" s="4" t="s">
        <v>5934</v>
      </c>
      <c r="D1170" s="4">
        <v>25</v>
      </c>
      <c r="E1170" s="12" t="str">
        <f t="array" ref="E1170">IF(D1170:D5210="","",IFERROR(_xlfn.XLOOKUP(D1170:D5210,'参照_勢力'!A:A,'参照_勢力'!B:B),IFERROR(_xlfn.XLOOKUP(F1170:F5210,kunishuClan!A:A,kunishuClan!B:B),"浪人")))</f>
      </c>
      <c r="F1170" s="4">
        <v>0</v>
      </c>
      <c r="G1170" s="4">
        <v>250</v>
      </c>
      <c r="H1170" s="12" t="str">
        <f t="array" ref="H1170">IF(G1170:G5210="","",_xlfn.XLOOKUP(G1170:G5210,castles_state!A:A,castles_state!D:D,"見つかりません"))</f>
      </c>
      <c r="I1170" s="4"/>
      <c r="J1170" s="12" t="str">
        <f t="array" ref="J1170">IF(I1170:I5210="","",_xlfn.XLOOKUP(I1170:I5210,'参照_姫'!A:A,'参照_姫'!B:B,"見つかりません"))</f>
      </c>
      <c r="K1170" s="4">
        <v>95</v>
      </c>
      <c r="L1170" s="4">
        <v>0</v>
      </c>
      <c r="M1170" s="4"/>
      <c r="N1170" s="4"/>
      <c r="O1170" s="4"/>
      <c r="P1170" s="12" t="str">
        <f t="array" ref="P1170">IF(O1170:O5210="","",_xlfn.XLOOKUP(O1170:O5210,'参照_官位'!A:A,'参照_官位'!B:B,""))</f>
      </c>
      <c r="Q1170" s="12" t="str">
        <f t="array" ref="Q1170">IF(A1170:A5210="","",IFERROR(_xlfn.XLOOKUP(A1170:A5210,castles_state!K:K,castles_state!D:D)&amp;"主",IFERROR(_xlfn.XLOOKUP(A1170:A5210,kunishuClan!D:D,kunishuClan!B:B)&amp;"当主","")))</f>
      </c>
    </row>
    <row r="1171" ht="15.75" customHeight="1">
      <c r="A1171" s="4">
        <v>1025033</v>
      </c>
      <c r="B1171" s="12" t="str">
        <f t="array" ref="B1171">IF(A1171:A5211="","",_xlfn.XLOOKUP(A1171:A5211,'参照_武将'!A:A,'参照_武将'!B:B,"見つかりません"))</f>
      </c>
      <c r="C1171" s="4" t="s">
        <v>5934</v>
      </c>
      <c r="D1171" s="4">
        <v>25</v>
      </c>
      <c r="E1171" s="12" t="str">
        <f t="array" ref="E1171">IF(D1171:D5211="","",IFERROR(_xlfn.XLOOKUP(D1171:D5211,'参照_勢力'!A:A,'参照_勢力'!B:B),IFERROR(_xlfn.XLOOKUP(F1171:F5211,kunishuClan!A:A,kunishuClan!B:B),"浪人")))</f>
      </c>
      <c r="F1171" s="4">
        <v>0</v>
      </c>
      <c r="G1171" s="4">
        <v>250</v>
      </c>
      <c r="H1171" s="12" t="str">
        <f t="array" ref="H1171">IF(G1171:G5211="","",_xlfn.XLOOKUP(G1171:G5211,castles_state!A:A,castles_state!D:D,"見つかりません"))</f>
      </c>
      <c r="I1171" s="4"/>
      <c r="J1171" s="12" t="str">
        <f t="array" ref="J1171">IF(I1171:I5211="","",_xlfn.XLOOKUP(I1171:I5211,'参照_姫'!A:A,'参照_姫'!B:B,"見つかりません"))</f>
      </c>
      <c r="K1171" s="4">
        <v>95</v>
      </c>
      <c r="L1171" s="4">
        <v>0</v>
      </c>
      <c r="M1171" s="4"/>
      <c r="N1171" s="4"/>
      <c r="O1171" s="4"/>
      <c r="P1171" s="12" t="str">
        <f t="array" ref="P1171">IF(O1171:O5211="","",_xlfn.XLOOKUP(O1171:O5211,'参照_官位'!A:A,'参照_官位'!B:B,""))</f>
      </c>
      <c r="Q1171" s="12" t="str">
        <f t="array" ref="Q1171">IF(A1171:A5211="","",IFERROR(_xlfn.XLOOKUP(A1171:A5211,castles_state!K:K,castles_state!D:D)&amp;"主",IFERROR(_xlfn.XLOOKUP(A1171:A5211,kunishuClan!D:D,kunishuClan!B:B)&amp;"当主","")))</f>
      </c>
    </row>
    <row r="1172" ht="15.75" customHeight="1">
      <c r="A1172" s="4">
        <v>1025034</v>
      </c>
      <c r="B1172" s="12" t="str">
        <f t="array" ref="B1172">IF(A1172:A5212="","",_xlfn.XLOOKUP(A1172:A5212,'参照_武将'!A:A,'参照_武将'!B:B,"見つかりません"))</f>
      </c>
      <c r="C1172" s="4" t="s">
        <v>5935</v>
      </c>
      <c r="D1172" s="4">
        <v>25</v>
      </c>
      <c r="E1172" s="12" t="str">
        <f t="array" ref="E1172">IF(D1172:D5212="","",IFERROR(_xlfn.XLOOKUP(D1172:D5212,'参照_勢力'!A:A,'参照_勢力'!B:B),IFERROR(_xlfn.XLOOKUP(F1172:F5212,kunishuClan!A:A,kunishuClan!B:B),"浪人")))</f>
      </c>
      <c r="F1172" s="4">
        <v>0</v>
      </c>
      <c r="G1172" s="4">
        <v>121</v>
      </c>
      <c r="H1172" s="12" t="str">
        <f t="array" ref="H1172">IF(G1172:G5212="","",_xlfn.XLOOKUP(G1172:G5212,castles_state!A:A,castles_state!D:D,"見つかりません"))</f>
      </c>
      <c r="I1172" s="4"/>
      <c r="J1172" s="12" t="str">
        <f t="array" ref="J1172">IF(I1172:I5212="","",_xlfn.XLOOKUP(I1172:I5212,'参照_姫'!A:A,'参照_姫'!B:B,"見つかりません"))</f>
      </c>
      <c r="K1172" s="4">
        <v>95</v>
      </c>
      <c r="L1172" s="4">
        <v>0</v>
      </c>
      <c r="M1172" s="4"/>
      <c r="N1172" s="4"/>
      <c r="O1172" s="4"/>
      <c r="P1172" s="12" t="str">
        <f t="array" ref="P1172">IF(O1172:O5212="","",_xlfn.XLOOKUP(O1172:O5212,'参照_官位'!A:A,'参照_官位'!B:B,""))</f>
      </c>
      <c r="Q1172" s="12" t="str">
        <f t="array" ref="Q1172">IF(A1172:A5212="","",IFERROR(_xlfn.XLOOKUP(A1172:A5212,castles_state!K:K,castles_state!D:D)&amp;"主",IFERROR(_xlfn.XLOOKUP(A1172:A5212,kunishuClan!D:D,kunishuClan!B:B)&amp;"当主","")))</f>
      </c>
    </row>
    <row r="1173" ht="15.75" customHeight="1">
      <c r="A1173" s="4">
        <v>1025035</v>
      </c>
      <c r="B1173" s="12" t="str">
        <f t="array" ref="B1173">IF(A1173:A5213="","",_xlfn.XLOOKUP(A1173:A5213,'参照_武将'!A:A,'参照_武将'!B:B,"見つかりません"))</f>
      </c>
      <c r="C1173" s="4" t="s">
        <v>5935</v>
      </c>
      <c r="D1173" s="4">
        <v>25</v>
      </c>
      <c r="E1173" s="12" t="str">
        <f t="array" ref="E1173">IF(D1173:D5213="","",IFERROR(_xlfn.XLOOKUP(D1173:D5213,'参照_勢力'!A:A,'参照_勢力'!B:B),IFERROR(_xlfn.XLOOKUP(F1173:F5213,kunishuClan!A:A,kunishuClan!B:B),"浪人")))</f>
      </c>
      <c r="F1173" s="4">
        <v>0</v>
      </c>
      <c r="G1173" s="4">
        <v>121</v>
      </c>
      <c r="H1173" s="12" t="str">
        <f t="array" ref="H1173">IF(G1173:G5213="","",_xlfn.XLOOKUP(G1173:G5213,castles_state!A:A,castles_state!D:D,"見つかりません"))</f>
      </c>
      <c r="I1173" s="4"/>
      <c r="J1173" s="12" t="str">
        <f t="array" ref="J1173">IF(I1173:I5213="","",_xlfn.XLOOKUP(I1173:I5213,'参照_姫'!A:A,'参照_姫'!B:B,"見つかりません"))</f>
      </c>
      <c r="K1173" s="4">
        <v>95</v>
      </c>
      <c r="L1173" s="4">
        <v>0</v>
      </c>
      <c r="M1173" s="4"/>
      <c r="N1173" s="4"/>
      <c r="O1173" s="4"/>
      <c r="P1173" s="12" t="str">
        <f t="array" ref="P1173">IF(O1173:O5213="","",_xlfn.XLOOKUP(O1173:O5213,'参照_官位'!A:A,'参照_官位'!B:B,""))</f>
      </c>
      <c r="Q1173" s="12" t="str">
        <f t="array" ref="Q1173">IF(A1173:A5213="","",IFERROR(_xlfn.XLOOKUP(A1173:A5213,castles_state!K:K,castles_state!D:D)&amp;"主",IFERROR(_xlfn.XLOOKUP(A1173:A5213,kunishuClan!D:D,kunishuClan!B:B)&amp;"当主","")))</f>
      </c>
    </row>
    <row r="1174" ht="15.75" customHeight="1">
      <c r="A1174" s="4">
        <v>1025036</v>
      </c>
      <c r="B1174" s="12" t="str">
        <f t="array" ref="B1174">IF(A1174:A5214="","",_xlfn.XLOOKUP(A1174:A5214,'参照_武将'!A:A,'参照_武将'!B:B,"見つかりません"))</f>
      </c>
      <c r="C1174" s="4" t="s">
        <v>5935</v>
      </c>
      <c r="D1174" s="4">
        <v>25</v>
      </c>
      <c r="E1174" s="12" t="str">
        <f t="array" ref="E1174">IF(D1174:D5214="","",IFERROR(_xlfn.XLOOKUP(D1174:D5214,'参照_勢力'!A:A,'参照_勢力'!B:B),IFERROR(_xlfn.XLOOKUP(F1174:F5214,kunishuClan!A:A,kunishuClan!B:B),"浪人")))</f>
      </c>
      <c r="F1174" s="4">
        <v>0</v>
      </c>
      <c r="G1174" s="4">
        <v>121</v>
      </c>
      <c r="H1174" s="12" t="str">
        <f t="array" ref="H1174">IF(G1174:G5214="","",_xlfn.XLOOKUP(G1174:G5214,castles_state!A:A,castles_state!D:D,"見つかりません"))</f>
      </c>
      <c r="I1174" s="4"/>
      <c r="J1174" s="12" t="str">
        <f t="array" ref="J1174">IF(I1174:I5214="","",_xlfn.XLOOKUP(I1174:I5214,'参照_姫'!A:A,'参照_姫'!B:B,"見つかりません"))</f>
      </c>
      <c r="K1174" s="4">
        <v>95</v>
      </c>
      <c r="L1174" s="4">
        <v>0</v>
      </c>
      <c r="M1174" s="4"/>
      <c r="N1174" s="4"/>
      <c r="O1174" s="4"/>
      <c r="P1174" s="12" t="str">
        <f t="array" ref="P1174">IF(O1174:O5214="","",_xlfn.XLOOKUP(O1174:O5214,'参照_官位'!A:A,'参照_官位'!B:B,""))</f>
      </c>
      <c r="Q1174" s="12" t="str">
        <f t="array" ref="Q1174">IF(A1174:A5214="","",IFERROR(_xlfn.XLOOKUP(A1174:A5214,castles_state!K:K,castles_state!D:D)&amp;"主",IFERROR(_xlfn.XLOOKUP(A1174:A5214,kunishuClan!D:D,kunishuClan!B:B)&amp;"当主","")))</f>
      </c>
    </row>
    <row r="1175" ht="15.75" customHeight="1">
      <c r="A1175" s="4">
        <v>1025037</v>
      </c>
      <c r="B1175" s="12" t="str">
        <f t="array" ref="B1175">IF(A1175:A5215="","",_xlfn.XLOOKUP(A1175:A5215,'参照_武将'!A:A,'参照_武将'!B:B,"見つかりません"))</f>
      </c>
      <c r="C1175" s="4" t="s">
        <v>5935</v>
      </c>
      <c r="D1175" s="4">
        <v>25</v>
      </c>
      <c r="E1175" s="12" t="str">
        <f t="array" ref="E1175">IF(D1175:D5215="","",IFERROR(_xlfn.XLOOKUP(D1175:D5215,'参照_勢力'!A:A,'参照_勢力'!B:B),IFERROR(_xlfn.XLOOKUP(F1175:F5215,kunishuClan!A:A,kunishuClan!B:B),"浪人")))</f>
      </c>
      <c r="F1175" s="4">
        <v>0</v>
      </c>
      <c r="G1175" s="4">
        <v>121</v>
      </c>
      <c r="H1175" s="12" t="str">
        <f t="array" ref="H1175">IF(G1175:G5215="","",_xlfn.XLOOKUP(G1175:G5215,castles_state!A:A,castles_state!D:D,"見つかりません"))</f>
      </c>
      <c r="I1175" s="4"/>
      <c r="J1175" s="12" t="str">
        <f t="array" ref="J1175">IF(I1175:I5215="","",_xlfn.XLOOKUP(I1175:I5215,'参照_姫'!A:A,'参照_姫'!B:B,"見つかりません"))</f>
      </c>
      <c r="K1175" s="4">
        <v>95</v>
      </c>
      <c r="L1175" s="4">
        <v>0</v>
      </c>
      <c r="M1175" s="4"/>
      <c r="N1175" s="4"/>
      <c r="O1175" s="4"/>
      <c r="P1175" s="12" t="str">
        <f t="array" ref="P1175">IF(O1175:O5215="","",_xlfn.XLOOKUP(O1175:O5215,'参照_官位'!A:A,'参照_官位'!B:B,""))</f>
      </c>
      <c r="Q1175" s="12" t="str">
        <f t="array" ref="Q1175">IF(A1175:A5215="","",IFERROR(_xlfn.XLOOKUP(A1175:A5215,castles_state!K:K,castles_state!D:D)&amp;"主",IFERROR(_xlfn.XLOOKUP(A1175:A5215,kunishuClan!D:D,kunishuClan!B:B)&amp;"当主","")))</f>
      </c>
    </row>
    <row r="1176" ht="15.75" customHeight="1">
      <c r="A1176" s="4">
        <v>1025038</v>
      </c>
      <c r="B1176" s="12" t="str">
        <f t="array" ref="B1176">IF(A1176:A5216="","",_xlfn.XLOOKUP(A1176:A5216,'参照_武将'!A:A,'参照_武将'!B:B,"見つかりません"))</f>
      </c>
      <c r="C1176" s="4" t="s">
        <v>5935</v>
      </c>
      <c r="D1176" s="4">
        <v>25</v>
      </c>
      <c r="E1176" s="12" t="str">
        <f t="array" ref="E1176">IF(D1176:D5216="","",IFERROR(_xlfn.XLOOKUP(D1176:D5216,'参照_勢力'!A:A,'参照_勢力'!B:B),IFERROR(_xlfn.XLOOKUP(F1176:F5216,kunishuClan!A:A,kunishuClan!B:B),"浪人")))</f>
      </c>
      <c r="F1176" s="4">
        <v>0</v>
      </c>
      <c r="G1176" s="4">
        <v>121</v>
      </c>
      <c r="H1176" s="12" t="str">
        <f t="array" ref="H1176">IF(G1176:G5216="","",_xlfn.XLOOKUP(G1176:G5216,castles_state!A:A,castles_state!D:D,"見つかりません"))</f>
      </c>
      <c r="I1176" s="4"/>
      <c r="J1176" s="12" t="str">
        <f t="array" ref="J1176">IF(I1176:I5216="","",_xlfn.XLOOKUP(I1176:I5216,'参照_姫'!A:A,'参照_姫'!B:B,"見つかりません"))</f>
      </c>
      <c r="K1176" s="4">
        <v>95</v>
      </c>
      <c r="L1176" s="4">
        <v>0</v>
      </c>
      <c r="M1176" s="4"/>
      <c r="N1176" s="4"/>
      <c r="O1176" s="4"/>
      <c r="P1176" s="12" t="str">
        <f t="array" ref="P1176">IF(O1176:O5216="","",_xlfn.XLOOKUP(O1176:O5216,'参照_官位'!A:A,'参照_官位'!B:B,""))</f>
      </c>
      <c r="Q1176" s="12" t="str">
        <f t="array" ref="Q1176">IF(A1176:A5216="","",IFERROR(_xlfn.XLOOKUP(A1176:A5216,castles_state!K:K,castles_state!D:D)&amp;"主",IFERROR(_xlfn.XLOOKUP(A1176:A5216,kunishuClan!D:D,kunishuClan!B:B)&amp;"当主","")))</f>
      </c>
    </row>
    <row r="1177" ht="15.75" customHeight="1">
      <c r="A1177" s="4">
        <v>1025039</v>
      </c>
      <c r="B1177" s="12" t="str">
        <f t="array" ref="B1177">IF(A1177:A5217="","",_xlfn.XLOOKUP(A1177:A5217,'参照_武将'!A:A,'参照_武将'!B:B,"見つかりません"))</f>
      </c>
      <c r="C1177" s="4" t="s">
        <v>5931</v>
      </c>
      <c r="D1177" s="4">
        <v>25</v>
      </c>
      <c r="E1177" s="12" t="str">
        <f t="array" ref="E1177">IF(D1177:D5217="","",IFERROR(_xlfn.XLOOKUP(D1177:D5217,'参照_勢力'!A:A,'参照_勢力'!B:B),IFERROR(_xlfn.XLOOKUP(F1177:F5217,kunishuClan!A:A,kunishuClan!B:B),"浪人")))</f>
      </c>
      <c r="F1177" s="4">
        <v>0</v>
      </c>
      <c r="G1177" s="4">
        <v>121</v>
      </c>
      <c r="H1177" s="12" t="str">
        <f t="array" ref="H1177">IF(G1177:G5217="","",_xlfn.XLOOKUP(G1177:G5217,castles_state!A:A,castles_state!D:D,"見つかりません"))</f>
      </c>
      <c r="I1177" s="4"/>
      <c r="J1177" s="12" t="str">
        <f t="array" ref="J1177">IF(I1177:I5217="","",_xlfn.XLOOKUP(I1177:I5217,'参照_姫'!A:A,'参照_姫'!B:B,"見つかりません"))</f>
      </c>
      <c r="K1177" s="4">
        <v>95</v>
      </c>
      <c r="L1177" s="4">
        <v>0</v>
      </c>
      <c r="M1177" s="4"/>
      <c r="N1177" s="4"/>
      <c r="O1177" s="4"/>
      <c r="P1177" s="12" t="str">
        <f t="array" ref="P1177">IF(O1177:O5217="","",_xlfn.XLOOKUP(O1177:O5217,'参照_官位'!A:A,'参照_官位'!B:B,""))</f>
      </c>
      <c r="Q1177" s="12" t="str">
        <f t="array" ref="Q1177">IF(A1177:A5217="","",IFERROR(_xlfn.XLOOKUP(A1177:A5217,castles_state!K:K,castles_state!D:D)&amp;"主",IFERROR(_xlfn.XLOOKUP(A1177:A5217,kunishuClan!D:D,kunishuClan!B:B)&amp;"当主","")))</f>
      </c>
    </row>
    <row r="1178" ht="15.75" customHeight="1">
      <c r="A1178" s="4">
        <v>1025040</v>
      </c>
      <c r="B1178" s="12" t="str">
        <f t="array" ref="B1178">IF(A1178:A5218="","",_xlfn.XLOOKUP(A1178:A5218,'参照_武将'!A:A,'参照_武将'!B:B,"見つかりません"))</f>
      </c>
      <c r="C1178" s="4" t="s">
        <v>5931</v>
      </c>
      <c r="D1178" s="4">
        <v>25</v>
      </c>
      <c r="E1178" s="12" t="str">
        <f t="array" ref="E1178">IF(D1178:D5218="","",IFERROR(_xlfn.XLOOKUP(D1178:D5218,'参照_勢力'!A:A,'参照_勢力'!B:B),IFERROR(_xlfn.XLOOKUP(F1178:F5218,kunishuClan!A:A,kunishuClan!B:B),"浪人")))</f>
      </c>
      <c r="F1178" s="4">
        <v>0</v>
      </c>
      <c r="G1178" s="4">
        <v>121</v>
      </c>
      <c r="H1178" s="12" t="str">
        <f t="array" ref="H1178">IF(G1178:G5218="","",_xlfn.XLOOKUP(G1178:G5218,castles_state!A:A,castles_state!D:D,"見つかりません"))</f>
      </c>
      <c r="I1178" s="4"/>
      <c r="J1178" s="12" t="str">
        <f t="array" ref="J1178">IF(I1178:I5218="","",_xlfn.XLOOKUP(I1178:I5218,'参照_姫'!A:A,'参照_姫'!B:B,"見つかりません"))</f>
      </c>
      <c r="K1178" s="4">
        <v>95</v>
      </c>
      <c r="L1178" s="4">
        <v>0</v>
      </c>
      <c r="M1178" s="4"/>
      <c r="N1178" s="4"/>
      <c r="O1178" s="4"/>
      <c r="P1178" s="12" t="str">
        <f t="array" ref="P1178">IF(O1178:O5218="","",_xlfn.XLOOKUP(O1178:O5218,'参照_官位'!A:A,'参照_官位'!B:B,""))</f>
      </c>
      <c r="Q1178" s="12" t="str">
        <f t="array" ref="Q1178">IF(A1178:A5218="","",IFERROR(_xlfn.XLOOKUP(A1178:A5218,castles_state!K:K,castles_state!D:D)&amp;"主",IFERROR(_xlfn.XLOOKUP(A1178:A5218,kunishuClan!D:D,kunishuClan!B:B)&amp;"当主","")))</f>
      </c>
    </row>
    <row r="1179" ht="15.75" customHeight="1">
      <c r="A1179" s="4">
        <v>1025041</v>
      </c>
      <c r="B1179" s="12" t="str">
        <f t="array" ref="B1179">IF(A1179:A5219="","",_xlfn.XLOOKUP(A1179:A5219,'参照_武将'!A:A,'参照_武将'!B:B,"見つかりません"))</f>
      </c>
      <c r="C1179" s="4" t="s">
        <v>5931</v>
      </c>
      <c r="D1179" s="4">
        <v>25</v>
      </c>
      <c r="E1179" s="12" t="str">
        <f t="array" ref="E1179">IF(D1179:D5219="","",IFERROR(_xlfn.XLOOKUP(D1179:D5219,'参照_勢力'!A:A,'参照_勢力'!B:B),IFERROR(_xlfn.XLOOKUP(F1179:F5219,kunishuClan!A:A,kunishuClan!B:B),"浪人")))</f>
      </c>
      <c r="F1179" s="4">
        <v>0</v>
      </c>
      <c r="G1179" s="4">
        <v>121</v>
      </c>
      <c r="H1179" s="12" t="str">
        <f t="array" ref="H1179">IF(G1179:G5219="","",_xlfn.XLOOKUP(G1179:G5219,castles_state!A:A,castles_state!D:D,"見つかりません"))</f>
      </c>
      <c r="I1179" s="4"/>
      <c r="J1179" s="12" t="str">
        <f t="array" ref="J1179">IF(I1179:I5219="","",_xlfn.XLOOKUP(I1179:I5219,'参照_姫'!A:A,'参照_姫'!B:B,"見つかりません"))</f>
      </c>
      <c r="K1179" s="4">
        <v>95</v>
      </c>
      <c r="L1179" s="4">
        <v>0</v>
      </c>
      <c r="M1179" s="4"/>
      <c r="N1179" s="4"/>
      <c r="O1179" s="4"/>
      <c r="P1179" s="12" t="str">
        <f t="array" ref="P1179">IF(O1179:O5219="","",_xlfn.XLOOKUP(O1179:O5219,'参照_官位'!A:A,'参照_官位'!B:B,""))</f>
      </c>
      <c r="Q1179" s="12" t="str">
        <f t="array" ref="Q1179">IF(A1179:A5219="","",IFERROR(_xlfn.XLOOKUP(A1179:A5219,castles_state!K:K,castles_state!D:D)&amp;"主",IFERROR(_xlfn.XLOOKUP(A1179:A5219,kunishuClan!D:D,kunishuClan!B:B)&amp;"当主","")))</f>
      </c>
    </row>
    <row r="1180" ht="15.75" customHeight="1">
      <c r="A1180" s="4">
        <v>1025042</v>
      </c>
      <c r="B1180" s="12" t="str">
        <f t="array" ref="B1180">IF(A1180:A5220="","",_xlfn.XLOOKUP(A1180:A5220,'参照_武将'!A:A,'参照_武将'!B:B,"見つかりません"))</f>
      </c>
      <c r="C1180" s="4" t="s">
        <v>5931</v>
      </c>
      <c r="D1180" s="4">
        <v>25</v>
      </c>
      <c r="E1180" s="12" t="str">
        <f t="array" ref="E1180">IF(D1180:D5220="","",IFERROR(_xlfn.XLOOKUP(D1180:D5220,'参照_勢力'!A:A,'参照_勢力'!B:B),IFERROR(_xlfn.XLOOKUP(F1180:F5220,kunishuClan!A:A,kunishuClan!B:B),"浪人")))</f>
      </c>
      <c r="F1180" s="4">
        <v>0</v>
      </c>
      <c r="G1180" s="4">
        <v>121</v>
      </c>
      <c r="H1180" s="12" t="str">
        <f t="array" ref="H1180">IF(G1180:G5220="","",_xlfn.XLOOKUP(G1180:G5220,castles_state!A:A,castles_state!D:D,"見つかりません"))</f>
      </c>
      <c r="I1180" s="4"/>
      <c r="J1180" s="12" t="str">
        <f t="array" ref="J1180">IF(I1180:I5220="","",_xlfn.XLOOKUP(I1180:I5220,'参照_姫'!A:A,'参照_姫'!B:B,"見つかりません"))</f>
      </c>
      <c r="K1180" s="4">
        <v>95</v>
      </c>
      <c r="L1180" s="4">
        <v>0</v>
      </c>
      <c r="M1180" s="4"/>
      <c r="N1180" s="4"/>
      <c r="O1180" s="4"/>
      <c r="P1180" s="12" t="str">
        <f t="array" ref="P1180">IF(O1180:O5220="","",_xlfn.XLOOKUP(O1180:O5220,'参照_官位'!A:A,'参照_官位'!B:B,""))</f>
      </c>
      <c r="Q1180" s="12" t="str">
        <f t="array" ref="Q1180">IF(A1180:A5220="","",IFERROR(_xlfn.XLOOKUP(A1180:A5220,castles_state!K:K,castles_state!D:D)&amp;"主",IFERROR(_xlfn.XLOOKUP(A1180:A5220,kunishuClan!D:D,kunishuClan!B:B)&amp;"当主","")))</f>
      </c>
    </row>
    <row r="1181" ht="15.75" customHeight="1">
      <c r="A1181" s="4">
        <v>1025043</v>
      </c>
      <c r="B1181" s="12" t="str">
        <f t="array" ref="B1181">IF(A1181:A5221="","",_xlfn.XLOOKUP(A1181:A5221,'参照_武将'!A:A,'参照_武将'!B:B,"見つかりません"))</f>
      </c>
      <c r="C1181" s="4" t="s">
        <v>5932</v>
      </c>
      <c r="D1181" s="4">
        <v>25</v>
      </c>
      <c r="E1181" s="12" t="str">
        <f t="array" ref="E1181">IF(D1181:D5221="","",IFERROR(_xlfn.XLOOKUP(D1181:D5221,'参照_勢力'!A:A,'参照_勢力'!B:B),IFERROR(_xlfn.XLOOKUP(F1181:F5221,kunishuClan!A:A,kunishuClan!B:B),"浪人")))</f>
      </c>
      <c r="F1181" s="4">
        <v>0</v>
      </c>
      <c r="G1181" s="4">
        <v>121</v>
      </c>
      <c r="H1181" s="12" t="str">
        <f t="array" ref="H1181">IF(G1181:G5221="","",_xlfn.XLOOKUP(G1181:G5221,castles_state!A:A,castles_state!D:D,"見つかりません"))</f>
      </c>
      <c r="I1181" s="4"/>
      <c r="J1181" s="12" t="str">
        <f t="array" ref="J1181">IF(I1181:I5221="","",_xlfn.XLOOKUP(I1181:I5221,'参照_姫'!A:A,'参照_姫'!B:B,"見つかりません"))</f>
      </c>
      <c r="K1181" s="4">
        <v>95</v>
      </c>
      <c r="L1181" s="4">
        <v>0</v>
      </c>
      <c r="M1181" s="4"/>
      <c r="N1181" s="4"/>
      <c r="O1181" s="4"/>
      <c r="P1181" s="12" t="str">
        <f t="array" ref="P1181">IF(O1181:O5221="","",_xlfn.XLOOKUP(O1181:O5221,'参照_官位'!A:A,'参照_官位'!B:B,""))</f>
      </c>
      <c r="Q1181" s="12" t="str">
        <f t="array" ref="Q1181">IF(A1181:A5221="","",IFERROR(_xlfn.XLOOKUP(A1181:A5221,castles_state!K:K,castles_state!D:D)&amp;"主",IFERROR(_xlfn.XLOOKUP(A1181:A5221,kunishuClan!D:D,kunishuClan!B:B)&amp;"当主","")))</f>
      </c>
    </row>
    <row r="1182" ht="15.75" customHeight="1">
      <c r="A1182" s="4">
        <v>1025044</v>
      </c>
      <c r="B1182" s="12" t="str">
        <f t="array" ref="B1182">IF(A1182:A5222="","",_xlfn.XLOOKUP(A1182:A5222,'参照_武将'!A:A,'参照_武将'!B:B,"見つかりません"))</f>
      </c>
      <c r="C1182" s="4" t="s">
        <v>5932</v>
      </c>
      <c r="D1182" s="4">
        <v>25</v>
      </c>
      <c r="E1182" s="12" t="str">
        <f t="array" ref="E1182">IF(D1182:D5222="","",IFERROR(_xlfn.XLOOKUP(D1182:D5222,'参照_勢力'!A:A,'参照_勢力'!B:B),IFERROR(_xlfn.XLOOKUP(F1182:F5222,kunishuClan!A:A,kunishuClan!B:B),"浪人")))</f>
      </c>
      <c r="F1182" s="4">
        <v>0</v>
      </c>
      <c r="G1182" s="4">
        <v>121</v>
      </c>
      <c r="H1182" s="12" t="str">
        <f t="array" ref="H1182">IF(G1182:G5222="","",_xlfn.XLOOKUP(G1182:G5222,castles_state!A:A,castles_state!D:D,"見つかりません"))</f>
      </c>
      <c r="I1182" s="4"/>
      <c r="J1182" s="12" t="str">
        <f t="array" ref="J1182">IF(I1182:I5222="","",_xlfn.XLOOKUP(I1182:I5222,'参照_姫'!A:A,'参照_姫'!B:B,"見つかりません"))</f>
      </c>
      <c r="K1182" s="4">
        <v>95</v>
      </c>
      <c r="L1182" s="4">
        <v>0</v>
      </c>
      <c r="M1182" s="4"/>
      <c r="N1182" s="4"/>
      <c r="O1182" s="4"/>
      <c r="P1182" s="12" t="str">
        <f t="array" ref="P1182">IF(O1182:O5222="","",_xlfn.XLOOKUP(O1182:O5222,'参照_官位'!A:A,'参照_官位'!B:B,""))</f>
      </c>
      <c r="Q1182" s="12" t="str">
        <f t="array" ref="Q1182">IF(A1182:A5222="","",IFERROR(_xlfn.XLOOKUP(A1182:A5222,castles_state!K:K,castles_state!D:D)&amp;"主",IFERROR(_xlfn.XLOOKUP(A1182:A5222,kunishuClan!D:D,kunishuClan!B:B)&amp;"当主","")))</f>
      </c>
    </row>
    <row r="1183" ht="15.75" customHeight="1">
      <c r="A1183" s="4">
        <v>1025045</v>
      </c>
      <c r="B1183" s="12" t="str">
        <f t="array" ref="B1183">IF(A1183:A5223="","",_xlfn.XLOOKUP(A1183:A5223,'参照_武将'!A:A,'参照_武将'!B:B,"見つかりません"))</f>
      </c>
      <c r="C1183" s="4" t="s">
        <v>5932</v>
      </c>
      <c r="D1183" s="4">
        <v>25</v>
      </c>
      <c r="E1183" s="12" t="str">
        <f t="array" ref="E1183">IF(D1183:D5223="","",IFERROR(_xlfn.XLOOKUP(D1183:D5223,'参照_勢力'!A:A,'参照_勢力'!B:B),IFERROR(_xlfn.XLOOKUP(F1183:F5223,kunishuClan!A:A,kunishuClan!B:B),"浪人")))</f>
      </c>
      <c r="F1183" s="4">
        <v>0</v>
      </c>
      <c r="G1183" s="4">
        <v>121</v>
      </c>
      <c r="H1183" s="12" t="str">
        <f t="array" ref="H1183">IF(G1183:G5223="","",_xlfn.XLOOKUP(G1183:G5223,castles_state!A:A,castles_state!D:D,"見つかりません"))</f>
      </c>
      <c r="I1183" s="4"/>
      <c r="J1183" s="12" t="str">
        <f t="array" ref="J1183">IF(I1183:I5223="","",_xlfn.XLOOKUP(I1183:I5223,'参照_姫'!A:A,'参照_姫'!B:B,"見つかりません"))</f>
      </c>
      <c r="K1183" s="4">
        <v>95</v>
      </c>
      <c r="L1183" s="4">
        <v>0</v>
      </c>
      <c r="M1183" s="4"/>
      <c r="N1183" s="4"/>
      <c r="O1183" s="4"/>
      <c r="P1183" s="12" t="str">
        <f t="array" ref="P1183">IF(O1183:O5223="","",_xlfn.XLOOKUP(O1183:O5223,'参照_官位'!A:A,'参照_官位'!B:B,""))</f>
      </c>
      <c r="Q1183" s="12" t="str">
        <f t="array" ref="Q1183">IF(A1183:A5223="","",IFERROR(_xlfn.XLOOKUP(A1183:A5223,castles_state!K:K,castles_state!D:D)&amp;"主",IFERROR(_xlfn.XLOOKUP(A1183:A5223,kunishuClan!D:D,kunishuClan!B:B)&amp;"当主","")))</f>
      </c>
    </row>
    <row r="1184" ht="15.75" customHeight="1">
      <c r="A1184" s="4">
        <v>1025046</v>
      </c>
      <c r="B1184" s="12" t="str">
        <f t="array" ref="B1184">IF(A1184:A5224="","",_xlfn.XLOOKUP(A1184:A5224,'参照_武将'!A:A,'参照_武将'!B:B,"見つかりません"))</f>
      </c>
      <c r="C1184" s="4" t="s">
        <v>5932</v>
      </c>
      <c r="D1184" s="4">
        <v>25</v>
      </c>
      <c r="E1184" s="12" t="str">
        <f t="array" ref="E1184">IF(D1184:D5224="","",IFERROR(_xlfn.XLOOKUP(D1184:D5224,'参照_勢力'!A:A,'参照_勢力'!B:B),IFERROR(_xlfn.XLOOKUP(F1184:F5224,kunishuClan!A:A,kunishuClan!B:B),"浪人")))</f>
      </c>
      <c r="F1184" s="4">
        <v>0</v>
      </c>
      <c r="G1184" s="4">
        <v>121</v>
      </c>
      <c r="H1184" s="12" t="str">
        <f t="array" ref="H1184">IF(G1184:G5224="","",_xlfn.XLOOKUP(G1184:G5224,castles_state!A:A,castles_state!D:D,"見つかりません"))</f>
      </c>
      <c r="I1184" s="4"/>
      <c r="J1184" s="12" t="str">
        <f t="array" ref="J1184">IF(I1184:I5224="","",_xlfn.XLOOKUP(I1184:I5224,'参照_姫'!A:A,'参照_姫'!B:B,"見つかりません"))</f>
      </c>
      <c r="K1184" s="4">
        <v>95</v>
      </c>
      <c r="L1184" s="4">
        <v>0</v>
      </c>
      <c r="M1184" s="4"/>
      <c r="N1184" s="4"/>
      <c r="O1184" s="4"/>
      <c r="P1184" s="12" t="str">
        <f t="array" ref="P1184">IF(O1184:O5224="","",_xlfn.XLOOKUP(O1184:O5224,'参照_官位'!A:A,'参照_官位'!B:B,""))</f>
      </c>
      <c r="Q1184" s="12" t="str">
        <f t="array" ref="Q1184">IF(A1184:A5224="","",IFERROR(_xlfn.XLOOKUP(A1184:A5224,castles_state!K:K,castles_state!D:D)&amp;"主",IFERROR(_xlfn.XLOOKUP(A1184:A5224,kunishuClan!D:D,kunishuClan!B:B)&amp;"当主","")))</f>
      </c>
    </row>
    <row r="1185" ht="15.75" customHeight="1">
      <c r="A1185" s="4">
        <v>1025047</v>
      </c>
      <c r="B1185" s="12" t="str">
        <f t="array" ref="B1185">IF(A1185:A5225="","",_xlfn.XLOOKUP(A1185:A5225,'参照_武将'!A:A,'参照_武将'!B:B,"見つかりません"))</f>
      </c>
      <c r="C1185" s="4" t="s">
        <v>5932</v>
      </c>
      <c r="D1185" s="4">
        <v>25</v>
      </c>
      <c r="E1185" s="12" t="str">
        <f t="array" ref="E1185">IF(D1185:D5225="","",IFERROR(_xlfn.XLOOKUP(D1185:D5225,'参照_勢力'!A:A,'参照_勢力'!B:B),IFERROR(_xlfn.XLOOKUP(F1185:F5225,kunishuClan!A:A,kunishuClan!B:B),"浪人")))</f>
      </c>
      <c r="F1185" s="4">
        <v>0</v>
      </c>
      <c r="G1185" s="4">
        <v>121</v>
      </c>
      <c r="H1185" s="12" t="str">
        <f t="array" ref="H1185">IF(G1185:G5225="","",_xlfn.XLOOKUP(G1185:G5225,castles_state!A:A,castles_state!D:D,"見つかりません"))</f>
      </c>
      <c r="I1185" s="4"/>
      <c r="J1185" s="12" t="str">
        <f t="array" ref="J1185">IF(I1185:I5225="","",_xlfn.XLOOKUP(I1185:I5225,'参照_姫'!A:A,'参照_姫'!B:B,"見つかりません"))</f>
      </c>
      <c r="K1185" s="4">
        <v>95</v>
      </c>
      <c r="L1185" s="4">
        <v>200</v>
      </c>
      <c r="M1185" s="4"/>
      <c r="N1185" s="4"/>
      <c r="O1185" s="4"/>
      <c r="P1185" s="12" t="str">
        <f t="array" ref="P1185">IF(O1185:O5225="","",_xlfn.XLOOKUP(O1185:O5225,'参照_官位'!A:A,'参照_官位'!B:B,""))</f>
      </c>
      <c r="Q1185" s="12" t="str">
        <f t="array" ref="Q1185">IF(A1185:A5225="","",IFERROR(_xlfn.XLOOKUP(A1185:A5225,castles_state!K:K,castles_state!D:D)&amp;"主",IFERROR(_xlfn.XLOOKUP(A1185:A5225,kunishuClan!D:D,kunishuClan!B:B)&amp;"当主","")))</f>
      </c>
    </row>
    <row r="1186" ht="15.75" customHeight="1">
      <c r="A1186" s="4">
        <v>1025048</v>
      </c>
      <c r="B1186" s="12" t="str">
        <f t="array" ref="B1186">IF(A1186:A5226="","",_xlfn.XLOOKUP(A1186:A5226,'参照_武将'!A:A,'参照_武将'!B:B,"見つかりません"))</f>
      </c>
      <c r="C1186" s="4" t="s">
        <v>5932</v>
      </c>
      <c r="D1186" s="4">
        <v>25</v>
      </c>
      <c r="E1186" s="12" t="str">
        <f t="array" ref="E1186">IF(D1186:D5226="","",IFERROR(_xlfn.XLOOKUP(D1186:D5226,'参照_勢力'!A:A,'参照_勢力'!B:B),IFERROR(_xlfn.XLOOKUP(F1186:F5226,kunishuClan!A:A,kunishuClan!B:B),"浪人")))</f>
      </c>
      <c r="F1186" s="4">
        <v>0</v>
      </c>
      <c r="G1186" s="4">
        <v>121</v>
      </c>
      <c r="H1186" s="12" t="str">
        <f t="array" ref="H1186">IF(G1186:G5226="","",_xlfn.XLOOKUP(G1186:G5226,castles_state!A:A,castles_state!D:D,"見つかりません"))</f>
      </c>
      <c r="I1186" s="4"/>
      <c r="J1186" s="12" t="str">
        <f t="array" ref="J1186">IF(I1186:I5226="","",_xlfn.XLOOKUP(I1186:I5226,'参照_姫'!A:A,'参照_姫'!B:B,"見つかりません"))</f>
      </c>
      <c r="K1186" s="4">
        <v>95</v>
      </c>
      <c r="L1186" s="4">
        <v>0</v>
      </c>
      <c r="M1186" s="4"/>
      <c r="N1186" s="4"/>
      <c r="O1186" s="4"/>
      <c r="P1186" s="12" t="str">
        <f t="array" ref="P1186">IF(O1186:O5226="","",_xlfn.XLOOKUP(O1186:O5226,'参照_官位'!A:A,'参照_官位'!B:B,""))</f>
      </c>
      <c r="Q1186" s="12" t="str">
        <f t="array" ref="Q1186">IF(A1186:A5226="","",IFERROR(_xlfn.XLOOKUP(A1186:A5226,castles_state!K:K,castles_state!D:D)&amp;"主",IFERROR(_xlfn.XLOOKUP(A1186:A5226,kunishuClan!D:D,kunishuClan!B:B)&amp;"当主","")))</f>
      </c>
    </row>
    <row r="1187" ht="15.75" customHeight="1">
      <c r="A1187" s="4">
        <v>1025049</v>
      </c>
      <c r="B1187" s="12" t="str">
        <f t="array" ref="B1187">IF(A1187:A5227="","",_xlfn.XLOOKUP(A1187:A5227,'参照_武将'!A:A,'参照_武将'!B:B,"見つかりません"))</f>
      </c>
      <c r="C1187" s="4" t="s">
        <v>5932</v>
      </c>
      <c r="D1187" s="4">
        <v>25</v>
      </c>
      <c r="E1187" s="12" t="str">
        <f t="array" ref="E1187">IF(D1187:D5227="","",IFERROR(_xlfn.XLOOKUP(D1187:D5227,'参照_勢力'!A:A,'参照_勢力'!B:B),IFERROR(_xlfn.XLOOKUP(F1187:F5227,kunishuClan!A:A,kunishuClan!B:B),"浪人")))</f>
      </c>
      <c r="F1187" s="4">
        <v>0</v>
      </c>
      <c r="G1187" s="4">
        <v>121</v>
      </c>
      <c r="H1187" s="12" t="str">
        <f t="array" ref="H1187">IF(G1187:G5227="","",_xlfn.XLOOKUP(G1187:G5227,castles_state!A:A,castles_state!D:D,"見つかりません"))</f>
      </c>
      <c r="I1187" s="4"/>
      <c r="J1187" s="12" t="str">
        <f t="array" ref="J1187">IF(I1187:I5227="","",_xlfn.XLOOKUP(I1187:I5227,'参照_姫'!A:A,'参照_姫'!B:B,"見つかりません"))</f>
      </c>
      <c r="K1187" s="4">
        <v>95</v>
      </c>
      <c r="L1187" s="4">
        <v>0</v>
      </c>
      <c r="M1187" s="4"/>
      <c r="N1187" s="4"/>
      <c r="O1187" s="4"/>
      <c r="P1187" s="12" t="str">
        <f t="array" ref="P1187">IF(O1187:O5227="","",_xlfn.XLOOKUP(O1187:O5227,'参照_官位'!A:A,'参照_官位'!B:B,""))</f>
      </c>
      <c r="Q1187" s="12" t="str">
        <f t="array" ref="Q1187">IF(A1187:A5227="","",IFERROR(_xlfn.XLOOKUP(A1187:A5227,castles_state!K:K,castles_state!D:D)&amp;"主",IFERROR(_xlfn.XLOOKUP(A1187:A5227,kunishuClan!D:D,kunishuClan!B:B)&amp;"当主","")))</f>
      </c>
    </row>
    <row r="1188" ht="15.75" customHeight="1">
      <c r="A1188" s="4">
        <v>1025050</v>
      </c>
      <c r="B1188" s="12" t="str">
        <f t="array" ref="B1188">IF(A1188:A5228="","",_xlfn.XLOOKUP(A1188:A5228,'参照_武将'!A:A,'参照_武将'!B:B,"見つかりません"))</f>
      </c>
      <c r="C1188" s="4" t="s">
        <v>170</v>
      </c>
      <c r="D1188" s="4">
        <v>25</v>
      </c>
      <c r="E1188" s="12" t="str">
        <f t="array" ref="E1188">IF(D1188:D5228="","",IFERROR(_xlfn.XLOOKUP(D1188:D5228,'参照_勢力'!A:A,'参照_勢力'!B:B),IFERROR(_xlfn.XLOOKUP(F1188:F5228,kunishuClan!A:A,kunishuClan!B:B),"浪人")))</f>
      </c>
      <c r="F1188" s="4">
        <v>0</v>
      </c>
      <c r="G1188" s="4">
        <v>120</v>
      </c>
      <c r="H1188" s="12" t="str">
        <f t="array" ref="H1188">IF(G1188:G5228="","",_xlfn.XLOOKUP(G1188:G5228,castles_state!A:A,castles_state!D:D,"見つかりません"))</f>
      </c>
      <c r="I1188" s="4"/>
      <c r="J1188" s="12" t="str">
        <f t="array" ref="J1188">IF(I1188:I5228="","",_xlfn.XLOOKUP(I1188:I5228,'参照_姫'!A:A,'参照_姫'!B:B,"見つかりません"))</f>
      </c>
      <c r="K1188" s="4">
        <v>95</v>
      </c>
      <c r="L1188" s="4">
        <v>0</v>
      </c>
      <c r="M1188" s="4"/>
      <c r="N1188" s="4"/>
      <c r="O1188" s="4"/>
      <c r="P1188" s="12" t="str">
        <f t="array" ref="P1188">IF(O1188:O5228="","",_xlfn.XLOOKUP(O1188:O5228,'参照_官位'!A:A,'参照_官位'!B:B,""))</f>
      </c>
      <c r="Q1188" s="12" t="str">
        <f t="array" ref="Q1188">IF(A1188:A5228="","",IFERROR(_xlfn.XLOOKUP(A1188:A5228,castles_state!K:K,castles_state!D:D)&amp;"主",IFERROR(_xlfn.XLOOKUP(A1188:A5228,kunishuClan!D:D,kunishuClan!B:B)&amp;"当主","")))</f>
      </c>
    </row>
    <row r="1189" ht="15.75" customHeight="1">
      <c r="A1189" s="4">
        <v>1025051</v>
      </c>
      <c r="B1189" s="12" t="str">
        <f t="array" ref="B1189">IF(A1189:A5229="","",_xlfn.XLOOKUP(A1189:A5229,'参照_武将'!A:A,'参照_武将'!B:B,"見つかりません"))</f>
      </c>
      <c r="C1189" s="4" t="s">
        <v>170</v>
      </c>
      <c r="D1189" s="4">
        <v>25</v>
      </c>
      <c r="E1189" s="12" t="str">
        <f t="array" ref="E1189">IF(D1189:D5229="","",IFERROR(_xlfn.XLOOKUP(D1189:D5229,'参照_勢力'!A:A,'参照_勢力'!B:B),IFERROR(_xlfn.XLOOKUP(F1189:F5229,kunishuClan!A:A,kunishuClan!B:B),"浪人")))</f>
      </c>
      <c r="F1189" s="4">
        <v>0</v>
      </c>
      <c r="G1189" s="4">
        <v>108</v>
      </c>
      <c r="H1189" s="12" t="str">
        <f t="array" ref="H1189">IF(G1189:G5229="","",_xlfn.XLOOKUP(G1189:G5229,castles_state!A:A,castles_state!D:D,"見つかりません"))</f>
      </c>
      <c r="I1189" s="4"/>
      <c r="J1189" s="12" t="str">
        <f t="array" ref="J1189">IF(I1189:I5229="","",_xlfn.XLOOKUP(I1189:I5229,'参照_姫'!A:A,'参照_姫'!B:B,"見つかりません"))</f>
      </c>
      <c r="K1189" s="4">
        <v>95</v>
      </c>
      <c r="L1189" s="4">
        <v>500</v>
      </c>
      <c r="M1189" s="4"/>
      <c r="N1189" s="4"/>
      <c r="O1189" s="4"/>
      <c r="P1189" s="12" t="str">
        <f t="array" ref="P1189">IF(O1189:O5229="","",_xlfn.XLOOKUP(O1189:O5229,'参照_官位'!A:A,'参照_官位'!B:B,""))</f>
      </c>
      <c r="Q1189" s="12" t="str">
        <f t="array" ref="Q1189">IF(A1189:A5229="","",IFERROR(_xlfn.XLOOKUP(A1189:A5229,castles_state!K:K,castles_state!D:D)&amp;"主",IFERROR(_xlfn.XLOOKUP(A1189:A5229,kunishuClan!D:D,kunishuClan!B:B)&amp;"当主","")))</f>
      </c>
    </row>
    <row r="1190" ht="15.75" customHeight="1">
      <c r="A1190" s="4">
        <v>1025052</v>
      </c>
      <c r="B1190" s="12" t="str">
        <f t="array" ref="B1190">IF(A1190:A5230="","",_xlfn.XLOOKUP(A1190:A5230,'参照_武将'!A:A,'参照_武将'!B:B,"見つかりません"))</f>
      </c>
      <c r="C1190" s="4" t="s">
        <v>170</v>
      </c>
      <c r="D1190" s="4">
        <v>25</v>
      </c>
      <c r="E1190" s="12" t="str">
        <f t="array" ref="E1190">IF(D1190:D5230="","",IFERROR(_xlfn.XLOOKUP(D1190:D5230,'参照_勢力'!A:A,'参照_勢力'!B:B),IFERROR(_xlfn.XLOOKUP(F1190:F5230,kunishuClan!A:A,kunishuClan!B:B),"浪人")))</f>
      </c>
      <c r="F1190" s="4">
        <v>0</v>
      </c>
      <c r="G1190" s="4">
        <v>120</v>
      </c>
      <c r="H1190" s="12" t="str">
        <f t="array" ref="H1190">IF(G1190:G5230="","",_xlfn.XLOOKUP(G1190:G5230,castles_state!A:A,castles_state!D:D,"見つかりません"))</f>
      </c>
      <c r="I1190" s="4"/>
      <c r="J1190" s="12" t="str">
        <f t="array" ref="J1190">IF(I1190:I5230="","",_xlfn.XLOOKUP(I1190:I5230,'参照_姫'!A:A,'参照_姫'!B:B,"見つかりません"))</f>
      </c>
      <c r="K1190" s="4">
        <v>95</v>
      </c>
      <c r="L1190" s="4">
        <v>0</v>
      </c>
      <c r="M1190" s="4"/>
      <c r="N1190" s="4"/>
      <c r="O1190" s="4"/>
      <c r="P1190" s="12" t="str">
        <f t="array" ref="P1190">IF(O1190:O5230="","",_xlfn.XLOOKUP(O1190:O5230,'参照_官位'!A:A,'参照_官位'!B:B,""))</f>
      </c>
      <c r="Q1190" s="12" t="str">
        <f t="array" ref="Q1190">IF(A1190:A5230="","",IFERROR(_xlfn.XLOOKUP(A1190:A5230,castles_state!K:K,castles_state!D:D)&amp;"主",IFERROR(_xlfn.XLOOKUP(A1190:A5230,kunishuClan!D:D,kunishuClan!B:B)&amp;"当主","")))</f>
      </c>
    </row>
    <row r="1191" ht="15.75" customHeight="1">
      <c r="A1191" s="4">
        <v>1025053</v>
      </c>
      <c r="B1191" s="12" t="str">
        <f t="array" ref="B1191">IF(A1191:A5231="","",_xlfn.XLOOKUP(A1191:A5231,'参照_武将'!A:A,'参照_武将'!B:B,"見つかりません"))</f>
      </c>
      <c r="C1191" s="4" t="s">
        <v>170</v>
      </c>
      <c r="D1191" s="4">
        <v>25</v>
      </c>
      <c r="E1191" s="12" t="str">
        <f t="array" ref="E1191">IF(D1191:D5231="","",IFERROR(_xlfn.XLOOKUP(D1191:D5231,'参照_勢力'!A:A,'参照_勢力'!B:B),IFERROR(_xlfn.XLOOKUP(F1191:F5231,kunishuClan!A:A,kunishuClan!B:B),"浪人")))</f>
      </c>
      <c r="F1191" s="4">
        <v>0</v>
      </c>
      <c r="G1191" s="4">
        <v>120</v>
      </c>
      <c r="H1191" s="12" t="str">
        <f t="array" ref="H1191">IF(G1191:G5231="","",_xlfn.XLOOKUP(G1191:G5231,castles_state!A:A,castles_state!D:D,"見つかりません"))</f>
      </c>
      <c r="I1191" s="4"/>
      <c r="J1191" s="12" t="str">
        <f t="array" ref="J1191">IF(I1191:I5231="","",_xlfn.XLOOKUP(I1191:I5231,'参照_姫'!A:A,'参照_姫'!B:B,"見つかりません"))</f>
      </c>
      <c r="K1191" s="4">
        <v>95</v>
      </c>
      <c r="L1191" s="4">
        <v>0</v>
      </c>
      <c r="M1191" s="4"/>
      <c r="N1191" s="4"/>
      <c r="O1191" s="4"/>
      <c r="P1191" s="12" t="str">
        <f t="array" ref="P1191">IF(O1191:O5231="","",_xlfn.XLOOKUP(O1191:O5231,'参照_官位'!A:A,'参照_官位'!B:B,""))</f>
      </c>
      <c r="Q1191" s="12" t="str">
        <f t="array" ref="Q1191">IF(A1191:A5231="","",IFERROR(_xlfn.XLOOKUP(A1191:A5231,castles_state!K:K,castles_state!D:D)&amp;"主",IFERROR(_xlfn.XLOOKUP(A1191:A5231,kunishuClan!D:D,kunishuClan!B:B)&amp;"当主","")))</f>
      </c>
    </row>
    <row r="1192" ht="15.75" customHeight="1">
      <c r="A1192" s="4">
        <v>1025054</v>
      </c>
      <c r="B1192" s="12" t="str">
        <f t="array" ref="B1192">IF(A1192:A5232="","",_xlfn.XLOOKUP(A1192:A5232,'参照_武将'!A:A,'参照_武将'!B:B,"見つかりません"))</f>
      </c>
      <c r="C1192" s="4" t="s">
        <v>170</v>
      </c>
      <c r="D1192" s="4">
        <v>25</v>
      </c>
      <c r="E1192" s="12" t="str">
        <f t="array" ref="E1192">IF(D1192:D5232="","",IFERROR(_xlfn.XLOOKUP(D1192:D5232,'参照_勢力'!A:A,'参照_勢力'!B:B),IFERROR(_xlfn.XLOOKUP(F1192:F5232,kunishuClan!A:A,kunishuClan!B:B),"浪人")))</f>
      </c>
      <c r="F1192" s="4">
        <v>0</v>
      </c>
      <c r="G1192" s="4">
        <v>123</v>
      </c>
      <c r="H1192" s="12" t="str">
        <f t="array" ref="H1192">IF(G1192:G5232="","",_xlfn.XLOOKUP(G1192:G5232,castles_state!A:A,castles_state!D:D,"見つかりません"))</f>
      </c>
      <c r="I1192" s="4"/>
      <c r="J1192" s="12" t="str">
        <f t="array" ref="J1192">IF(I1192:I5232="","",_xlfn.XLOOKUP(I1192:I5232,'参照_姫'!A:A,'参照_姫'!B:B,"見つかりません"))</f>
      </c>
      <c r="K1192" s="4">
        <v>95</v>
      </c>
      <c r="L1192" s="4">
        <v>0</v>
      </c>
      <c r="M1192" s="4"/>
      <c r="N1192" s="4"/>
      <c r="O1192" s="4"/>
      <c r="P1192" s="12" t="str">
        <f t="array" ref="P1192">IF(O1192:O5232="","",_xlfn.XLOOKUP(O1192:O5232,'参照_官位'!A:A,'参照_官位'!B:B,""))</f>
      </c>
      <c r="Q1192" s="12" t="str">
        <f t="array" ref="Q1192">IF(A1192:A5232="","",IFERROR(_xlfn.XLOOKUP(A1192:A5232,castles_state!K:K,castles_state!D:D)&amp;"主",IFERROR(_xlfn.XLOOKUP(A1192:A5232,kunishuClan!D:D,kunishuClan!B:B)&amp;"当主","")))</f>
      </c>
    </row>
    <row r="1193" ht="15.75" customHeight="1">
      <c r="A1193" s="4">
        <v>1025055</v>
      </c>
      <c r="B1193" s="12" t="str">
        <f t="array" ref="B1193">IF(A1193:A5233="","",_xlfn.XLOOKUP(A1193:A5233,'参照_武将'!A:A,'参照_武将'!B:B,"見つかりません"))</f>
      </c>
      <c r="C1193" s="4" t="s">
        <v>170</v>
      </c>
      <c r="D1193" s="4">
        <v>25</v>
      </c>
      <c r="E1193" s="12" t="str">
        <f t="array" ref="E1193">IF(D1193:D5233="","",IFERROR(_xlfn.XLOOKUP(D1193:D5233,'参照_勢力'!A:A,'参照_勢力'!B:B),IFERROR(_xlfn.XLOOKUP(F1193:F5233,kunishuClan!A:A,kunishuClan!B:B),"浪人")))</f>
      </c>
      <c r="F1193" s="4">
        <v>0</v>
      </c>
      <c r="G1193" s="4">
        <v>122</v>
      </c>
      <c r="H1193" s="12" t="str">
        <f t="array" ref="H1193">IF(G1193:G5233="","",_xlfn.XLOOKUP(G1193:G5233,castles_state!A:A,castles_state!D:D,"見つかりません"))</f>
      </c>
      <c r="I1193" s="4"/>
      <c r="J1193" s="12" t="str">
        <f t="array" ref="J1193">IF(I1193:I5233="","",_xlfn.XLOOKUP(I1193:I5233,'参照_姫'!A:A,'参照_姫'!B:B,"見つかりません"))</f>
      </c>
      <c r="K1193" s="4">
        <v>95</v>
      </c>
      <c r="L1193" s="4">
        <v>0</v>
      </c>
      <c r="M1193" s="4"/>
      <c r="N1193" s="4"/>
      <c r="O1193" s="4"/>
      <c r="P1193" s="12" t="str">
        <f t="array" ref="P1193">IF(O1193:O5233="","",_xlfn.XLOOKUP(O1193:O5233,'参照_官位'!A:A,'参照_官位'!B:B,""))</f>
      </c>
      <c r="Q1193" s="12" t="str">
        <f t="array" ref="Q1193">IF(A1193:A5233="","",IFERROR(_xlfn.XLOOKUP(A1193:A5233,castles_state!K:K,castles_state!D:D)&amp;"主",IFERROR(_xlfn.XLOOKUP(A1193:A5233,kunishuClan!D:D,kunishuClan!B:B)&amp;"当主","")))</f>
      </c>
    </row>
    <row r="1194" ht="15.75" customHeight="1">
      <c r="A1194" s="4">
        <v>1025056</v>
      </c>
      <c r="B1194" s="12" t="str">
        <f t="array" ref="B1194">IF(A1194:A5234="","",_xlfn.XLOOKUP(A1194:A5234,'参照_武将'!A:A,'参照_武将'!B:B,"見つかりません"))</f>
      </c>
      <c r="C1194" s="4" t="s">
        <v>170</v>
      </c>
      <c r="D1194" s="4">
        <v>25</v>
      </c>
      <c r="E1194" s="12" t="str">
        <f t="array" ref="E1194">IF(D1194:D5234="","",IFERROR(_xlfn.XLOOKUP(D1194:D5234,'参照_勢力'!A:A,'参照_勢力'!B:B),IFERROR(_xlfn.XLOOKUP(F1194:F5234,kunishuClan!A:A,kunishuClan!B:B),"浪人")))</f>
      </c>
      <c r="F1194" s="4">
        <v>0</v>
      </c>
      <c r="G1194" s="4">
        <v>122</v>
      </c>
      <c r="H1194" s="12" t="str">
        <f t="array" ref="H1194">IF(G1194:G5234="","",_xlfn.XLOOKUP(G1194:G5234,castles_state!A:A,castles_state!D:D,"見つかりません"))</f>
      </c>
      <c r="I1194" s="4"/>
      <c r="J1194" s="12" t="str">
        <f t="array" ref="J1194">IF(I1194:I5234="","",_xlfn.XLOOKUP(I1194:I5234,'参照_姫'!A:A,'参照_姫'!B:B,"見つかりません"))</f>
      </c>
      <c r="K1194" s="4">
        <v>95</v>
      </c>
      <c r="L1194" s="4">
        <v>300</v>
      </c>
      <c r="M1194" s="4"/>
      <c r="N1194" s="4"/>
      <c r="O1194" s="4"/>
      <c r="P1194" s="12" t="str">
        <f t="array" ref="P1194">IF(O1194:O5234="","",_xlfn.XLOOKUP(O1194:O5234,'参照_官位'!A:A,'参照_官位'!B:B,""))</f>
      </c>
      <c r="Q1194" s="12" t="str">
        <f t="array" ref="Q1194">IF(A1194:A5234="","",IFERROR(_xlfn.XLOOKUP(A1194:A5234,castles_state!K:K,castles_state!D:D)&amp;"主",IFERROR(_xlfn.XLOOKUP(A1194:A5234,kunishuClan!D:D,kunishuClan!B:B)&amp;"当主","")))</f>
      </c>
    </row>
    <row r="1195" ht="15.75" customHeight="1">
      <c r="A1195" s="4">
        <v>1025057</v>
      </c>
      <c r="B1195" s="12" t="str">
        <f t="array" ref="B1195">IF(A1195:A5235="","",_xlfn.XLOOKUP(A1195:A5235,'参照_武将'!A:A,'参照_武将'!B:B,"見つかりません"))</f>
      </c>
      <c r="C1195" s="4" t="s">
        <v>170</v>
      </c>
      <c r="D1195" s="4">
        <v>25</v>
      </c>
      <c r="E1195" s="12" t="str">
        <f t="array" ref="E1195">IF(D1195:D5235="","",IFERROR(_xlfn.XLOOKUP(D1195:D5235,'参照_勢力'!A:A,'参照_勢力'!B:B),IFERROR(_xlfn.XLOOKUP(F1195:F5235,kunishuClan!A:A,kunishuClan!B:B),"浪人")))</f>
      </c>
      <c r="F1195" s="4">
        <v>0</v>
      </c>
      <c r="G1195" s="4">
        <v>122</v>
      </c>
      <c r="H1195" s="12" t="str">
        <f t="array" ref="H1195">IF(G1195:G5235="","",_xlfn.XLOOKUP(G1195:G5235,castles_state!A:A,castles_state!D:D,"見つかりません"))</f>
      </c>
      <c r="I1195" s="4"/>
      <c r="J1195" s="12" t="str">
        <f t="array" ref="J1195">IF(I1195:I5235="","",_xlfn.XLOOKUP(I1195:I5235,'参照_姫'!A:A,'参照_姫'!B:B,"見つかりません"))</f>
      </c>
      <c r="K1195" s="4">
        <v>95</v>
      </c>
      <c r="L1195" s="4">
        <v>0</v>
      </c>
      <c r="M1195" s="4"/>
      <c r="N1195" s="4"/>
      <c r="O1195" s="4"/>
      <c r="P1195" s="12" t="str">
        <f t="array" ref="P1195">IF(O1195:O5235="","",_xlfn.XLOOKUP(O1195:O5235,'参照_官位'!A:A,'参照_官位'!B:B,""))</f>
      </c>
      <c r="Q1195" s="12" t="str">
        <f t="array" ref="Q1195">IF(A1195:A5235="","",IFERROR(_xlfn.XLOOKUP(A1195:A5235,castles_state!K:K,castles_state!D:D)&amp;"主",IFERROR(_xlfn.XLOOKUP(A1195:A5235,kunishuClan!D:D,kunishuClan!B:B)&amp;"当主","")))</f>
      </c>
    </row>
    <row r="1196" ht="15.75" customHeight="1">
      <c r="A1196" s="4">
        <v>1025058</v>
      </c>
      <c r="B1196" s="12" t="str">
        <f t="array" ref="B1196">IF(A1196:A5236="","",_xlfn.XLOOKUP(A1196:A5236,'参照_武将'!A:A,'参照_武将'!B:B,"見つかりません"))</f>
      </c>
      <c r="C1196" s="4" t="s">
        <v>5932</v>
      </c>
      <c r="D1196" s="4">
        <v>25</v>
      </c>
      <c r="E1196" s="12" t="str">
        <f t="array" ref="E1196">IF(D1196:D5236="","",IFERROR(_xlfn.XLOOKUP(D1196:D5236,'参照_勢力'!A:A,'参照_勢力'!B:B),IFERROR(_xlfn.XLOOKUP(F1196:F5236,kunishuClan!A:A,kunishuClan!B:B),"浪人")))</f>
      </c>
      <c r="F1196" s="4">
        <v>0</v>
      </c>
      <c r="G1196" s="4">
        <v>121</v>
      </c>
      <c r="H1196" s="12" t="str">
        <f t="array" ref="H1196">IF(G1196:G5236="","",_xlfn.XLOOKUP(G1196:G5236,castles_state!A:A,castles_state!D:D,"見つかりません"))</f>
      </c>
      <c r="I1196" s="4"/>
      <c r="J1196" s="12" t="str">
        <f t="array" ref="J1196">IF(I1196:I5236="","",_xlfn.XLOOKUP(I1196:I5236,'参照_姫'!A:A,'参照_姫'!B:B,"見つかりません"))</f>
      </c>
      <c r="K1196" s="4">
        <v>95</v>
      </c>
      <c r="L1196" s="4">
        <v>0</v>
      </c>
      <c r="M1196" s="4"/>
      <c r="N1196" s="4"/>
      <c r="O1196" s="4"/>
      <c r="P1196" s="12" t="str">
        <f t="array" ref="P1196">IF(O1196:O5236="","",_xlfn.XLOOKUP(O1196:O5236,'参照_官位'!A:A,'参照_官位'!B:B,""))</f>
      </c>
      <c r="Q1196" s="12" t="str">
        <f t="array" ref="Q1196">IF(A1196:A5236="","",IFERROR(_xlfn.XLOOKUP(A1196:A5236,castles_state!K:K,castles_state!D:D)&amp;"主",IFERROR(_xlfn.XLOOKUP(A1196:A5236,kunishuClan!D:D,kunishuClan!B:B)&amp;"当主","")))</f>
      </c>
    </row>
    <row r="1197" ht="15.75" customHeight="1">
      <c r="A1197" s="4">
        <v>1025059</v>
      </c>
      <c r="B1197" s="12" t="str">
        <f t="array" ref="B1197">IF(A1197:A5237="","",_xlfn.XLOOKUP(A1197:A5237,'参照_武将'!A:A,'参照_武将'!B:B,"見つかりません"))</f>
      </c>
      <c r="C1197" s="4" t="s">
        <v>170</v>
      </c>
      <c r="D1197" s="4">
        <v>25</v>
      </c>
      <c r="E1197" s="12" t="str">
        <f t="array" ref="E1197">IF(D1197:D5237="","",IFERROR(_xlfn.XLOOKUP(D1197:D5237,'参照_勢力'!A:A,'参照_勢力'!B:B),IFERROR(_xlfn.XLOOKUP(F1197:F5237,kunishuClan!A:A,kunishuClan!B:B),"浪人")))</f>
      </c>
      <c r="F1197" s="4">
        <v>0</v>
      </c>
      <c r="G1197" s="4">
        <v>122</v>
      </c>
      <c r="H1197" s="12" t="str">
        <f t="array" ref="H1197">IF(G1197:G5237="","",_xlfn.XLOOKUP(G1197:G5237,castles_state!A:A,castles_state!D:D,"見つかりません"))</f>
      </c>
      <c r="I1197" s="4"/>
      <c r="J1197" s="12" t="str">
        <f t="array" ref="J1197">IF(I1197:I5237="","",_xlfn.XLOOKUP(I1197:I5237,'参照_姫'!A:A,'参照_姫'!B:B,"見つかりません"))</f>
      </c>
      <c r="K1197" s="4">
        <v>95</v>
      </c>
      <c r="L1197" s="4">
        <v>0</v>
      </c>
      <c r="M1197" s="4"/>
      <c r="N1197" s="4"/>
      <c r="O1197" s="4"/>
      <c r="P1197" s="12" t="str">
        <f t="array" ref="P1197">IF(O1197:O5237="","",_xlfn.XLOOKUP(O1197:O5237,'参照_官位'!A:A,'参照_官位'!B:B,""))</f>
      </c>
      <c r="Q1197" s="12" t="str">
        <f t="array" ref="Q1197">IF(A1197:A5237="","",IFERROR(_xlfn.XLOOKUP(A1197:A5237,castles_state!K:K,castles_state!D:D)&amp;"主",IFERROR(_xlfn.XLOOKUP(A1197:A5237,kunishuClan!D:D,kunishuClan!B:B)&amp;"当主","")))</f>
      </c>
    </row>
    <row r="1198" ht="15.75" customHeight="1">
      <c r="A1198" s="4">
        <v>1025060</v>
      </c>
      <c r="B1198" s="12" t="str">
        <f t="array" ref="B1198">IF(A1198:A5238="","",_xlfn.XLOOKUP(A1198:A5238,'参照_武将'!A:A,'参照_武将'!B:B,"見つかりません"))</f>
      </c>
      <c r="C1198" s="4" t="s">
        <v>170</v>
      </c>
      <c r="D1198" s="4">
        <v>25</v>
      </c>
      <c r="E1198" s="12" t="str">
        <f t="array" ref="E1198">IF(D1198:D5238="","",IFERROR(_xlfn.XLOOKUP(D1198:D5238,'参照_勢力'!A:A,'参照_勢力'!B:B),IFERROR(_xlfn.XLOOKUP(F1198:F5238,kunishuClan!A:A,kunishuClan!B:B),"浪人")))</f>
      </c>
      <c r="F1198" s="4">
        <v>0</v>
      </c>
      <c r="G1198" s="4">
        <v>111</v>
      </c>
      <c r="H1198" s="12" t="str">
        <f t="array" ref="H1198">IF(G1198:G5238="","",_xlfn.XLOOKUP(G1198:G5238,castles_state!A:A,castles_state!D:D,"見つかりません"))</f>
      </c>
      <c r="I1198" s="4"/>
      <c r="J1198" s="12" t="str">
        <f t="array" ref="J1198">IF(I1198:I5238="","",_xlfn.XLOOKUP(I1198:I5238,'参照_姫'!A:A,'参照_姫'!B:B,"見つかりません"))</f>
      </c>
      <c r="K1198" s="4">
        <v>90</v>
      </c>
      <c r="L1198" s="4">
        <v>0</v>
      </c>
      <c r="M1198" s="4"/>
      <c r="N1198" s="4"/>
      <c r="O1198" s="4"/>
      <c r="P1198" s="12" t="str">
        <f t="array" ref="P1198">IF(O1198:O5238="","",_xlfn.XLOOKUP(O1198:O5238,'参照_官位'!A:A,'参照_官位'!B:B,""))</f>
      </c>
      <c r="Q1198" s="12" t="str">
        <f t="array" ref="Q1198">IF(A1198:A5238="","",IFERROR(_xlfn.XLOOKUP(A1198:A5238,castles_state!K:K,castles_state!D:D)&amp;"主",IFERROR(_xlfn.XLOOKUP(A1198:A5238,kunishuClan!D:D,kunishuClan!B:B)&amp;"当主","")))</f>
      </c>
    </row>
    <row r="1199" ht="15.75" customHeight="1">
      <c r="A1199" s="4">
        <v>1025061</v>
      </c>
      <c r="B1199" s="12" t="str">
        <f t="array" ref="B1199">IF(A1199:A5239="","",_xlfn.XLOOKUP(A1199:A5239,'参照_武将'!A:A,'参照_武将'!B:B,"見つかりません"))</f>
      </c>
      <c r="C1199" s="4" t="s">
        <v>170</v>
      </c>
      <c r="D1199" s="4">
        <v>25</v>
      </c>
      <c r="E1199" s="12" t="str">
        <f t="array" ref="E1199">IF(D1199:D5239="","",IFERROR(_xlfn.XLOOKUP(D1199:D5239,'参照_勢力'!A:A,'参照_勢力'!B:B),IFERROR(_xlfn.XLOOKUP(F1199:F5239,kunishuClan!A:A,kunishuClan!B:B),"浪人")))</f>
      </c>
      <c r="F1199" s="4">
        <v>0</v>
      </c>
      <c r="G1199" s="4">
        <v>120</v>
      </c>
      <c r="H1199" s="12" t="str">
        <f t="array" ref="H1199">IF(G1199:G5239="","",_xlfn.XLOOKUP(G1199:G5239,castles_state!A:A,castles_state!D:D,"見つかりません"))</f>
      </c>
      <c r="I1199" s="4"/>
      <c r="J1199" s="12" t="str">
        <f t="array" ref="J1199">IF(I1199:I5239="","",_xlfn.XLOOKUP(I1199:I5239,'参照_姫'!A:A,'参照_姫'!B:B,"見つかりません"))</f>
      </c>
      <c r="K1199" s="4">
        <v>95</v>
      </c>
      <c r="L1199" s="4">
        <v>0</v>
      </c>
      <c r="M1199" s="4"/>
      <c r="N1199" s="4"/>
      <c r="O1199" s="4"/>
      <c r="P1199" s="12" t="str">
        <f t="array" ref="P1199">IF(O1199:O5239="","",_xlfn.XLOOKUP(O1199:O5239,'参照_官位'!A:A,'参照_官位'!B:B,""))</f>
      </c>
      <c r="Q1199" s="12" t="str">
        <f t="array" ref="Q1199">IF(A1199:A5239="","",IFERROR(_xlfn.XLOOKUP(A1199:A5239,castles_state!K:K,castles_state!D:D)&amp;"主",IFERROR(_xlfn.XLOOKUP(A1199:A5239,kunishuClan!D:D,kunishuClan!B:B)&amp;"当主","")))</f>
      </c>
    </row>
    <row r="1200" ht="15.75" customHeight="1">
      <c r="A1200" s="4">
        <v>1025062</v>
      </c>
      <c r="B1200" s="12" t="str">
        <f t="array" ref="B1200">IF(A1200:A5240="","",_xlfn.XLOOKUP(A1200:A5240,'参照_武将'!A:A,'参照_武将'!B:B,"見つかりません"))</f>
      </c>
      <c r="C1200" s="4" t="s">
        <v>170</v>
      </c>
      <c r="D1200" s="4">
        <v>25</v>
      </c>
      <c r="E1200" s="12" t="str">
        <f t="array" ref="E1200">IF(D1200:D5240="","",IFERROR(_xlfn.XLOOKUP(D1200:D5240,'参照_勢力'!A:A,'参照_勢力'!B:B),IFERROR(_xlfn.XLOOKUP(F1200:F5240,kunishuClan!A:A,kunishuClan!B:B),"浪人")))</f>
      </c>
      <c r="F1200" s="4">
        <v>0</v>
      </c>
      <c r="G1200" s="4">
        <v>124</v>
      </c>
      <c r="H1200" s="12" t="str">
        <f t="array" ref="H1200">IF(G1200:G5240="","",_xlfn.XLOOKUP(G1200:G5240,castles_state!A:A,castles_state!D:D,"見つかりません"))</f>
      </c>
      <c r="I1200" s="4"/>
      <c r="J1200" s="12" t="str">
        <f t="array" ref="J1200">IF(I1200:I5240="","",_xlfn.XLOOKUP(I1200:I5240,'参照_姫'!A:A,'参照_姫'!B:B,"見つかりません"))</f>
      </c>
      <c r="K1200" s="4">
        <v>95</v>
      </c>
      <c r="L1200" s="4">
        <v>0</v>
      </c>
      <c r="M1200" s="4"/>
      <c r="N1200" s="4"/>
      <c r="O1200" s="4"/>
      <c r="P1200" s="12" t="str">
        <f t="array" ref="P1200">IF(O1200:O5240="","",_xlfn.XLOOKUP(O1200:O5240,'参照_官位'!A:A,'参照_官位'!B:B,""))</f>
      </c>
      <c r="Q1200" s="12" t="str">
        <f t="array" ref="Q1200">IF(A1200:A5240="","",IFERROR(_xlfn.XLOOKUP(A1200:A5240,castles_state!K:K,castles_state!D:D)&amp;"主",IFERROR(_xlfn.XLOOKUP(A1200:A5240,kunishuClan!D:D,kunishuClan!B:B)&amp;"当主","")))</f>
      </c>
    </row>
    <row r="1201" ht="15.75" customHeight="1">
      <c r="A1201" s="4">
        <v>1025063</v>
      </c>
      <c r="B1201" s="12" t="str">
        <f t="array" ref="B1201">IF(A1201:A5241="","",_xlfn.XLOOKUP(A1201:A5241,'参照_武将'!A:A,'参照_武将'!B:B,"見つかりません"))</f>
      </c>
      <c r="C1201" s="4" t="s">
        <v>170</v>
      </c>
      <c r="D1201" s="4">
        <v>25</v>
      </c>
      <c r="E1201" s="12" t="str">
        <f t="array" ref="E1201">IF(D1201:D5241="","",IFERROR(_xlfn.XLOOKUP(D1201:D5241,'参照_勢力'!A:A,'参照_勢力'!B:B),IFERROR(_xlfn.XLOOKUP(F1201:F5241,kunishuClan!A:A,kunishuClan!B:B),"浪人")))</f>
      </c>
      <c r="F1201" s="4">
        <v>0</v>
      </c>
      <c r="G1201" s="4">
        <v>124</v>
      </c>
      <c r="H1201" s="12" t="str">
        <f t="array" ref="H1201">IF(G1201:G5241="","",_xlfn.XLOOKUP(G1201:G5241,castles_state!A:A,castles_state!D:D,"見つかりません"))</f>
      </c>
      <c r="I1201" s="4"/>
      <c r="J1201" s="12" t="str">
        <f t="array" ref="J1201">IF(I1201:I5241="","",_xlfn.XLOOKUP(I1201:I5241,'参照_姫'!A:A,'参照_姫'!B:B,"見つかりません"))</f>
      </c>
      <c r="K1201" s="4">
        <v>95</v>
      </c>
      <c r="L1201" s="4">
        <v>200</v>
      </c>
      <c r="M1201" s="4"/>
      <c r="N1201" s="4"/>
      <c r="O1201" s="4"/>
      <c r="P1201" s="12" t="str">
        <f t="array" ref="P1201">IF(O1201:O5241="","",_xlfn.XLOOKUP(O1201:O5241,'参照_官位'!A:A,'参照_官位'!B:B,""))</f>
      </c>
      <c r="Q1201" s="12" t="str">
        <f t="array" ref="Q1201">IF(A1201:A5241="","",IFERROR(_xlfn.XLOOKUP(A1201:A5241,castles_state!K:K,castles_state!D:D)&amp;"主",IFERROR(_xlfn.XLOOKUP(A1201:A5241,kunishuClan!D:D,kunishuClan!B:B)&amp;"当主","")))</f>
      </c>
    </row>
    <row r="1202" ht="15.75" customHeight="1">
      <c r="A1202" s="4">
        <v>1025064</v>
      </c>
      <c r="B1202" s="12" t="str">
        <f t="array" ref="B1202">IF(A1202:A5242="","",_xlfn.XLOOKUP(A1202:A5242,'参照_武将'!A:A,'参照_武将'!B:B,"見つかりません"))</f>
      </c>
      <c r="C1202" s="4" t="s">
        <v>170</v>
      </c>
      <c r="D1202" s="4">
        <v>25</v>
      </c>
      <c r="E1202" s="12" t="str">
        <f t="array" ref="E1202">IF(D1202:D5242="","",IFERROR(_xlfn.XLOOKUP(D1202:D5242,'参照_勢力'!A:A,'参照_勢力'!B:B),IFERROR(_xlfn.XLOOKUP(F1202:F5242,kunishuClan!A:A,kunishuClan!B:B),"浪人")))</f>
      </c>
      <c r="F1202" s="4">
        <v>0</v>
      </c>
      <c r="G1202" s="4">
        <v>124</v>
      </c>
      <c r="H1202" s="12" t="str">
        <f t="array" ref="H1202">IF(G1202:G5242="","",_xlfn.XLOOKUP(G1202:G5242,castles_state!A:A,castles_state!D:D,"見つかりません"))</f>
      </c>
      <c r="I1202" s="4"/>
      <c r="J1202" s="12" t="str">
        <f t="array" ref="J1202">IF(I1202:I5242="","",_xlfn.XLOOKUP(I1202:I5242,'参照_姫'!A:A,'参照_姫'!B:B,"見つかりません"))</f>
      </c>
      <c r="K1202" s="4">
        <v>95</v>
      </c>
      <c r="L1202" s="4">
        <v>0</v>
      </c>
      <c r="M1202" s="4"/>
      <c r="N1202" s="4"/>
      <c r="O1202" s="4"/>
      <c r="P1202" s="12" t="str">
        <f t="array" ref="P1202">IF(O1202:O5242="","",_xlfn.XLOOKUP(O1202:O5242,'参照_官位'!A:A,'参照_官位'!B:B,""))</f>
      </c>
      <c r="Q1202" s="12" t="str">
        <f t="array" ref="Q1202">IF(A1202:A5242="","",IFERROR(_xlfn.XLOOKUP(A1202:A5242,castles_state!K:K,castles_state!D:D)&amp;"主",IFERROR(_xlfn.XLOOKUP(A1202:A5242,kunishuClan!D:D,kunishuClan!B:B)&amp;"当主","")))</f>
      </c>
    </row>
    <row r="1203" ht="15.75" customHeight="1">
      <c r="A1203" s="4">
        <v>1025065</v>
      </c>
      <c r="B1203" s="12" t="str">
        <f t="array" ref="B1203">IF(A1203:A5243="","",_xlfn.XLOOKUP(A1203:A5243,'参照_武将'!A:A,'参照_武将'!B:B,"見つかりません"))</f>
      </c>
      <c r="C1203" s="4" t="s">
        <v>170</v>
      </c>
      <c r="D1203" s="4">
        <v>25</v>
      </c>
      <c r="E1203" s="12" t="str">
        <f t="array" ref="E1203">IF(D1203:D5243="","",IFERROR(_xlfn.XLOOKUP(D1203:D5243,'参照_勢力'!A:A,'参照_勢力'!B:B),IFERROR(_xlfn.XLOOKUP(F1203:F5243,kunishuClan!A:A,kunishuClan!B:B),"浪人")))</f>
      </c>
      <c r="F1203" s="4">
        <v>0</v>
      </c>
      <c r="G1203" s="4">
        <v>120</v>
      </c>
      <c r="H1203" s="12" t="str">
        <f t="array" ref="H1203">IF(G1203:G5243="","",_xlfn.XLOOKUP(G1203:G5243,castles_state!A:A,castles_state!D:D,"見つかりません"))</f>
      </c>
      <c r="I1203" s="4"/>
      <c r="J1203" s="12" t="str">
        <f t="array" ref="J1203">IF(I1203:I5243="","",_xlfn.XLOOKUP(I1203:I5243,'参照_姫'!A:A,'参照_姫'!B:B,"見つかりません"))</f>
      </c>
      <c r="K1203" s="4">
        <v>95</v>
      </c>
      <c r="L1203" s="4">
        <v>0</v>
      </c>
      <c r="M1203" s="4"/>
      <c r="N1203" s="4"/>
      <c r="O1203" s="4"/>
      <c r="P1203" s="12" t="str">
        <f t="array" ref="P1203">IF(O1203:O5243="","",_xlfn.XLOOKUP(O1203:O5243,'参照_官位'!A:A,'参照_官位'!B:B,""))</f>
      </c>
      <c r="Q1203" s="12" t="str">
        <f t="array" ref="Q1203">IF(A1203:A5243="","",IFERROR(_xlfn.XLOOKUP(A1203:A5243,castles_state!K:K,castles_state!D:D)&amp;"主",IFERROR(_xlfn.XLOOKUP(A1203:A5243,kunishuClan!D:D,kunishuClan!B:B)&amp;"当主","")))</f>
      </c>
    </row>
    <row r="1204" ht="15.75" customHeight="1">
      <c r="A1204" s="4">
        <v>1025066</v>
      </c>
      <c r="B1204" s="12" t="str">
        <f t="array" ref="B1204">IF(A1204:A5244="","",_xlfn.XLOOKUP(A1204:A5244,'参照_武将'!A:A,'参照_武将'!B:B,"見つかりません"))</f>
      </c>
      <c r="C1204" s="4" t="s">
        <v>170</v>
      </c>
      <c r="D1204" s="4">
        <v>25</v>
      </c>
      <c r="E1204" s="12" t="str">
        <f t="array" ref="E1204">IF(D1204:D5244="","",IFERROR(_xlfn.XLOOKUP(D1204:D5244,'参照_勢力'!A:A,'参照_勢力'!B:B),IFERROR(_xlfn.XLOOKUP(F1204:F5244,kunishuClan!A:A,kunishuClan!B:B),"浪人")))</f>
      </c>
      <c r="F1204" s="4">
        <v>0</v>
      </c>
      <c r="G1204" s="4">
        <v>124</v>
      </c>
      <c r="H1204" s="12" t="str">
        <f t="array" ref="H1204">IF(G1204:G5244="","",_xlfn.XLOOKUP(G1204:G5244,castles_state!A:A,castles_state!D:D,"見つかりません"))</f>
      </c>
      <c r="I1204" s="4"/>
      <c r="J1204" s="12" t="str">
        <f t="array" ref="J1204">IF(I1204:I5244="","",_xlfn.XLOOKUP(I1204:I5244,'参照_姫'!A:A,'参照_姫'!B:B,"見つかりません"))</f>
      </c>
      <c r="K1204" s="4">
        <v>95</v>
      </c>
      <c r="L1204" s="4">
        <v>500</v>
      </c>
      <c r="M1204" s="4"/>
      <c r="N1204" s="4"/>
      <c r="O1204" s="4"/>
      <c r="P1204" s="12" t="str">
        <f t="array" ref="P1204">IF(O1204:O5244="","",_xlfn.XLOOKUP(O1204:O5244,'参照_官位'!A:A,'参照_官位'!B:B,""))</f>
      </c>
      <c r="Q1204" s="12" t="str">
        <f t="array" ref="Q1204">IF(A1204:A5244="","",IFERROR(_xlfn.XLOOKUP(A1204:A5244,castles_state!K:K,castles_state!D:D)&amp;"主",IFERROR(_xlfn.XLOOKUP(A1204:A5244,kunishuClan!D:D,kunishuClan!B:B)&amp;"当主","")))</f>
      </c>
    </row>
    <row r="1205" ht="15.75" customHeight="1">
      <c r="A1205" s="4">
        <v>1025067</v>
      </c>
      <c r="B1205" s="12" t="str">
        <f t="array" ref="B1205">IF(A1205:A5245="","",_xlfn.XLOOKUP(A1205:A5245,'参照_武将'!A:A,'参照_武将'!B:B,"見つかりません"))</f>
      </c>
      <c r="C1205" s="4" t="s">
        <v>170</v>
      </c>
      <c r="D1205" s="4">
        <v>25</v>
      </c>
      <c r="E1205" s="12" t="str">
        <f t="array" ref="E1205">IF(D1205:D5245="","",IFERROR(_xlfn.XLOOKUP(D1205:D5245,'参照_勢力'!A:A,'参照_勢力'!B:B),IFERROR(_xlfn.XLOOKUP(F1205:F5245,kunishuClan!A:A,kunishuClan!B:B),"浪人")))</f>
      </c>
      <c r="F1205" s="4">
        <v>0</v>
      </c>
      <c r="G1205" s="4">
        <v>124</v>
      </c>
      <c r="H1205" s="12" t="str">
        <f t="array" ref="H1205">IF(G1205:G5245="","",_xlfn.XLOOKUP(G1205:G5245,castles_state!A:A,castles_state!D:D,"見つかりません"))</f>
      </c>
      <c r="I1205" s="4"/>
      <c r="J1205" s="12" t="str">
        <f t="array" ref="J1205">IF(I1205:I5245="","",_xlfn.XLOOKUP(I1205:I5245,'参照_姫'!A:A,'参照_姫'!B:B,"見つかりません"))</f>
      </c>
      <c r="K1205" s="4">
        <v>95</v>
      </c>
      <c r="L1205" s="4">
        <v>0</v>
      </c>
      <c r="M1205" s="4"/>
      <c r="N1205" s="4"/>
      <c r="O1205" s="4"/>
      <c r="P1205" s="12" t="str">
        <f t="array" ref="P1205">IF(O1205:O5245="","",_xlfn.XLOOKUP(O1205:O5245,'参照_官位'!A:A,'参照_官位'!B:B,""))</f>
      </c>
      <c r="Q1205" s="12" t="str">
        <f t="array" ref="Q1205">IF(A1205:A5245="","",IFERROR(_xlfn.XLOOKUP(A1205:A5245,castles_state!K:K,castles_state!D:D)&amp;"主",IFERROR(_xlfn.XLOOKUP(A1205:A5245,kunishuClan!D:D,kunishuClan!B:B)&amp;"当主","")))</f>
      </c>
    </row>
    <row r="1206" ht="15.75" customHeight="1">
      <c r="A1206" s="4">
        <v>1025068</v>
      </c>
      <c r="B1206" s="12" t="str">
        <f t="array" ref="B1206">IF(A1206:A5246="","",_xlfn.XLOOKUP(A1206:A5246,'参照_武将'!A:A,'参照_武将'!B:B,"見つかりません"))</f>
      </c>
      <c r="C1206" s="4" t="s">
        <v>170</v>
      </c>
      <c r="D1206" s="4">
        <v>25</v>
      </c>
      <c r="E1206" s="12" t="str">
        <f t="array" ref="E1206">IF(D1206:D5246="","",IFERROR(_xlfn.XLOOKUP(D1206:D5246,'参照_勢力'!A:A,'参照_勢力'!B:B),IFERROR(_xlfn.XLOOKUP(F1206:F5246,kunishuClan!A:A,kunishuClan!B:B),"浪人")))</f>
      </c>
      <c r="F1206" s="4">
        <v>0</v>
      </c>
      <c r="G1206" s="4">
        <v>124</v>
      </c>
      <c r="H1206" s="12" t="str">
        <f t="array" ref="H1206">IF(G1206:G5246="","",_xlfn.XLOOKUP(G1206:G5246,castles_state!A:A,castles_state!D:D,"見つかりません"))</f>
      </c>
      <c r="I1206" s="4"/>
      <c r="J1206" s="12" t="str">
        <f t="array" ref="J1206">IF(I1206:I5246="","",_xlfn.XLOOKUP(I1206:I5246,'参照_姫'!A:A,'参照_姫'!B:B,"見つかりません"))</f>
      </c>
      <c r="K1206" s="4">
        <v>95</v>
      </c>
      <c r="L1206" s="4">
        <v>0</v>
      </c>
      <c r="M1206" s="4"/>
      <c r="N1206" s="4"/>
      <c r="O1206" s="4"/>
      <c r="P1206" s="12" t="str">
        <f t="array" ref="P1206">IF(O1206:O5246="","",_xlfn.XLOOKUP(O1206:O5246,'参照_官位'!A:A,'参照_官位'!B:B,""))</f>
      </c>
      <c r="Q1206" s="12" t="str">
        <f t="array" ref="Q1206">IF(A1206:A5246="","",IFERROR(_xlfn.XLOOKUP(A1206:A5246,castles_state!K:K,castles_state!D:D)&amp;"主",IFERROR(_xlfn.XLOOKUP(A1206:A5246,kunishuClan!D:D,kunishuClan!B:B)&amp;"当主","")))</f>
      </c>
    </row>
    <row r="1207" ht="15.75" customHeight="1">
      <c r="A1207" s="4">
        <v>1025069</v>
      </c>
      <c r="B1207" s="12" t="str">
        <f t="array" ref="B1207">IF(A1207:A5247="","",_xlfn.XLOOKUP(A1207:A5247,'参照_武将'!A:A,'参照_武将'!B:B,"見つかりません"))</f>
      </c>
      <c r="C1207" s="4" t="s">
        <v>170</v>
      </c>
      <c r="D1207" s="4">
        <v>25</v>
      </c>
      <c r="E1207" s="12" t="str">
        <f t="array" ref="E1207">IF(D1207:D5247="","",IFERROR(_xlfn.XLOOKUP(D1207:D5247,'参照_勢力'!A:A,'参照_勢力'!B:B),IFERROR(_xlfn.XLOOKUP(F1207:F5247,kunishuClan!A:A,kunishuClan!B:B),"浪人")))</f>
      </c>
      <c r="F1207" s="4">
        <v>0</v>
      </c>
      <c r="G1207" s="4">
        <v>124</v>
      </c>
      <c r="H1207" s="12" t="str">
        <f t="array" ref="H1207">IF(G1207:G5247="","",_xlfn.XLOOKUP(G1207:G5247,castles_state!A:A,castles_state!D:D,"見つかりません"))</f>
      </c>
      <c r="I1207" s="4"/>
      <c r="J1207" s="12" t="str">
        <f t="array" ref="J1207">IF(I1207:I5247="","",_xlfn.XLOOKUP(I1207:I5247,'参照_姫'!A:A,'参照_姫'!B:B,"見つかりません"))</f>
      </c>
      <c r="K1207" s="4">
        <v>90</v>
      </c>
      <c r="L1207" s="4">
        <v>0</v>
      </c>
      <c r="M1207" s="4"/>
      <c r="N1207" s="4"/>
      <c r="O1207" s="4"/>
      <c r="P1207" s="12" t="str">
        <f t="array" ref="P1207">IF(O1207:O5247="","",_xlfn.XLOOKUP(O1207:O5247,'参照_官位'!A:A,'参照_官位'!B:B,""))</f>
      </c>
      <c r="Q1207" s="12" t="str">
        <f t="array" ref="Q1207">IF(A1207:A5247="","",IFERROR(_xlfn.XLOOKUP(A1207:A5247,castles_state!K:K,castles_state!D:D)&amp;"主",IFERROR(_xlfn.XLOOKUP(A1207:A5247,kunishuClan!D:D,kunishuClan!B:B)&amp;"当主","")))</f>
      </c>
    </row>
    <row r="1208" ht="15.75" customHeight="1">
      <c r="A1208" s="4">
        <v>1025070</v>
      </c>
      <c r="B1208" s="12" t="str">
        <f t="array" ref="B1208">IF(A1208:A5248="","",_xlfn.XLOOKUP(A1208:A5248,'参照_武将'!A:A,'参照_武将'!B:B,"見つかりません"))</f>
      </c>
      <c r="C1208" s="4" t="s">
        <v>170</v>
      </c>
      <c r="D1208" s="4">
        <v>25</v>
      </c>
      <c r="E1208" s="12" t="str">
        <f t="array" ref="E1208">IF(D1208:D5248="","",IFERROR(_xlfn.XLOOKUP(D1208:D5248,'参照_勢力'!A:A,'参照_勢力'!B:B),IFERROR(_xlfn.XLOOKUP(F1208:F5248,kunishuClan!A:A,kunishuClan!B:B),"浪人")))</f>
      </c>
      <c r="F1208" s="4">
        <v>0</v>
      </c>
      <c r="G1208" s="4">
        <v>121</v>
      </c>
      <c r="H1208" s="12" t="str">
        <f t="array" ref="H1208">IF(G1208:G5248="","",_xlfn.XLOOKUP(G1208:G5248,castles_state!A:A,castles_state!D:D,"見つかりません"))</f>
      </c>
      <c r="I1208" s="4"/>
      <c r="J1208" s="12" t="str">
        <f t="array" ref="J1208">IF(I1208:I5248="","",_xlfn.XLOOKUP(I1208:I5248,'参照_姫'!A:A,'参照_姫'!B:B,"見つかりません"))</f>
      </c>
      <c r="K1208" s="4">
        <v>95</v>
      </c>
      <c r="L1208" s="4">
        <v>0</v>
      </c>
      <c r="M1208" s="4"/>
      <c r="N1208" s="4"/>
      <c r="O1208" s="4"/>
      <c r="P1208" s="12" t="str">
        <f t="array" ref="P1208">IF(O1208:O5248="","",_xlfn.XLOOKUP(O1208:O5248,'参照_官位'!A:A,'参照_官位'!B:B,""))</f>
      </c>
      <c r="Q1208" s="12" t="str">
        <f t="array" ref="Q1208">IF(A1208:A5248="","",IFERROR(_xlfn.XLOOKUP(A1208:A5248,castles_state!K:K,castles_state!D:D)&amp;"主",IFERROR(_xlfn.XLOOKUP(A1208:A5248,kunishuClan!D:D,kunishuClan!B:B)&amp;"当主","")))</f>
      </c>
    </row>
    <row r="1209" ht="15.75" customHeight="1">
      <c r="A1209" s="4">
        <v>1025071</v>
      </c>
      <c r="B1209" s="12" t="str">
        <f t="array" ref="B1209">IF(A1209:A5249="","",_xlfn.XLOOKUP(A1209:A5249,'参照_武将'!A:A,'参照_武将'!B:B,"見つかりません"))</f>
      </c>
      <c r="C1209" s="4" t="s">
        <v>170</v>
      </c>
      <c r="D1209" s="4">
        <v>25</v>
      </c>
      <c r="E1209" s="12" t="str">
        <f t="array" ref="E1209">IF(D1209:D5249="","",IFERROR(_xlfn.XLOOKUP(D1209:D5249,'参照_勢力'!A:A,'参照_勢力'!B:B),IFERROR(_xlfn.XLOOKUP(F1209:F5249,kunishuClan!A:A,kunishuClan!B:B),"浪人")))</f>
      </c>
      <c r="F1209" s="4">
        <v>0</v>
      </c>
      <c r="G1209" s="4">
        <v>121</v>
      </c>
      <c r="H1209" s="12" t="str">
        <f t="array" ref="H1209">IF(G1209:G5249="","",_xlfn.XLOOKUP(G1209:G5249,castles_state!A:A,castles_state!D:D,"見つかりません"))</f>
      </c>
      <c r="I1209" s="4"/>
      <c r="J1209" s="12" t="str">
        <f t="array" ref="J1209">IF(I1209:I5249="","",_xlfn.XLOOKUP(I1209:I5249,'参照_姫'!A:A,'参照_姫'!B:B,"見つかりません"))</f>
      </c>
      <c r="K1209" s="4">
        <v>95</v>
      </c>
      <c r="L1209" s="4">
        <v>0</v>
      </c>
      <c r="M1209" s="4"/>
      <c r="N1209" s="4"/>
      <c r="O1209" s="4"/>
      <c r="P1209" s="12" t="str">
        <f t="array" ref="P1209">IF(O1209:O5249="","",_xlfn.XLOOKUP(O1209:O5249,'参照_官位'!A:A,'参照_官位'!B:B,""))</f>
      </c>
      <c r="Q1209" s="12" t="str">
        <f t="array" ref="Q1209">IF(A1209:A5249="","",IFERROR(_xlfn.XLOOKUP(A1209:A5249,castles_state!K:K,castles_state!D:D)&amp;"主",IFERROR(_xlfn.XLOOKUP(A1209:A5249,kunishuClan!D:D,kunishuClan!B:B)&amp;"当主","")))</f>
      </c>
    </row>
    <row r="1210" ht="15.75" customHeight="1">
      <c r="A1210" s="4">
        <v>1025072</v>
      </c>
      <c r="B1210" s="12" t="str">
        <f t="array" ref="B1210">IF(A1210:A5250="","",_xlfn.XLOOKUP(A1210:A5250,'参照_武将'!A:A,'参照_武将'!B:B,"見つかりません"))</f>
      </c>
      <c r="C1210" s="4" t="s">
        <v>170</v>
      </c>
      <c r="D1210" s="4">
        <v>25</v>
      </c>
      <c r="E1210" s="12" t="str">
        <f t="array" ref="E1210">IF(D1210:D5250="","",IFERROR(_xlfn.XLOOKUP(D1210:D5250,'参照_勢力'!A:A,'参照_勢力'!B:B),IFERROR(_xlfn.XLOOKUP(F1210:F5250,kunishuClan!A:A,kunishuClan!B:B),"浪人")))</f>
      </c>
      <c r="F1210" s="4">
        <v>0</v>
      </c>
      <c r="G1210" s="4">
        <v>121</v>
      </c>
      <c r="H1210" s="12" t="str">
        <f t="array" ref="H1210">IF(G1210:G5250="","",_xlfn.XLOOKUP(G1210:G5250,castles_state!A:A,castles_state!D:D,"見つかりません"))</f>
      </c>
      <c r="I1210" s="4"/>
      <c r="J1210" s="12" t="str">
        <f t="array" ref="J1210">IF(I1210:I5250="","",_xlfn.XLOOKUP(I1210:I5250,'参照_姫'!A:A,'参照_姫'!B:B,"見つかりません"))</f>
      </c>
      <c r="K1210" s="4">
        <v>95</v>
      </c>
      <c r="L1210" s="4">
        <v>0</v>
      </c>
      <c r="M1210" s="4"/>
      <c r="N1210" s="4"/>
      <c r="O1210" s="4"/>
      <c r="P1210" s="12" t="str">
        <f t="array" ref="P1210">IF(O1210:O5250="","",_xlfn.XLOOKUP(O1210:O5250,'参照_官位'!A:A,'参照_官位'!B:B,""))</f>
      </c>
      <c r="Q1210" s="12" t="str">
        <f t="array" ref="Q1210">IF(A1210:A5250="","",IFERROR(_xlfn.XLOOKUP(A1210:A5250,castles_state!K:K,castles_state!D:D)&amp;"主",IFERROR(_xlfn.XLOOKUP(A1210:A5250,kunishuClan!D:D,kunishuClan!B:B)&amp;"当主","")))</f>
      </c>
    </row>
    <row r="1211" ht="15.75" customHeight="1">
      <c r="A1211" s="4">
        <v>1025073</v>
      </c>
      <c r="B1211" s="12" t="str">
        <f t="array" ref="B1211">IF(A1211:A5251="","",_xlfn.XLOOKUP(A1211:A5251,'参照_武将'!A:A,'参照_武将'!B:B,"見つかりません"))</f>
      </c>
      <c r="C1211" s="4" t="s">
        <v>170</v>
      </c>
      <c r="D1211" s="4">
        <v>25</v>
      </c>
      <c r="E1211" s="12" t="str">
        <f t="array" ref="E1211">IF(D1211:D5251="","",IFERROR(_xlfn.XLOOKUP(D1211:D5251,'参照_勢力'!A:A,'参照_勢力'!B:B),IFERROR(_xlfn.XLOOKUP(F1211:F5251,kunishuClan!A:A,kunishuClan!B:B),"浪人")))</f>
      </c>
      <c r="F1211" s="4">
        <v>0</v>
      </c>
      <c r="G1211" s="4">
        <v>120</v>
      </c>
      <c r="H1211" s="12" t="str">
        <f t="array" ref="H1211">IF(G1211:G5251="","",_xlfn.XLOOKUP(G1211:G5251,castles_state!A:A,castles_state!D:D,"見つかりません"))</f>
      </c>
      <c r="I1211" s="4"/>
      <c r="J1211" s="12" t="str">
        <f t="array" ref="J1211">IF(I1211:I5251="","",_xlfn.XLOOKUP(I1211:I5251,'参照_姫'!A:A,'参照_姫'!B:B,"見つかりません"))</f>
      </c>
      <c r="K1211" s="4">
        <v>95</v>
      </c>
      <c r="L1211" s="4">
        <v>500</v>
      </c>
      <c r="M1211" s="4"/>
      <c r="N1211" s="4"/>
      <c r="O1211" s="4"/>
      <c r="P1211" s="12" t="str">
        <f t="array" ref="P1211">IF(O1211:O5251="","",_xlfn.XLOOKUP(O1211:O5251,'参照_官位'!A:A,'参照_官位'!B:B,""))</f>
      </c>
      <c r="Q1211" s="12" t="str">
        <f t="array" ref="Q1211">IF(A1211:A5251="","",IFERROR(_xlfn.XLOOKUP(A1211:A5251,castles_state!K:K,castles_state!D:D)&amp;"主",IFERROR(_xlfn.XLOOKUP(A1211:A5251,kunishuClan!D:D,kunishuClan!B:B)&amp;"当主","")))</f>
      </c>
    </row>
    <row r="1212" ht="15.75" customHeight="1">
      <c r="A1212" s="4">
        <v>1025074</v>
      </c>
      <c r="B1212" s="12" t="str">
        <f t="array" ref="B1212">IF(A1212:A5252="","",_xlfn.XLOOKUP(A1212:A5252,'参照_武将'!A:A,'参照_武将'!B:B,"見つかりません"))</f>
      </c>
      <c r="C1212" s="4" t="s">
        <v>170</v>
      </c>
      <c r="D1212" s="4">
        <v>25</v>
      </c>
      <c r="E1212" s="12" t="str">
        <f t="array" ref="E1212">IF(D1212:D5252="","",IFERROR(_xlfn.XLOOKUP(D1212:D5252,'参照_勢力'!A:A,'参照_勢力'!B:B),IFERROR(_xlfn.XLOOKUP(F1212:F5252,kunishuClan!A:A,kunishuClan!B:B),"浪人")))</f>
      </c>
      <c r="F1212" s="4">
        <v>0</v>
      </c>
      <c r="G1212" s="4">
        <v>120</v>
      </c>
      <c r="H1212" s="12" t="str">
        <f t="array" ref="H1212">IF(G1212:G5252="","",_xlfn.XLOOKUP(G1212:G5252,castles_state!A:A,castles_state!D:D,"見つかりません"))</f>
      </c>
      <c r="I1212" s="4"/>
      <c r="J1212" s="12" t="str">
        <f t="array" ref="J1212">IF(I1212:I5252="","",_xlfn.XLOOKUP(I1212:I5252,'参照_姫'!A:A,'参照_姫'!B:B,"見つかりません"))</f>
      </c>
      <c r="K1212" s="4">
        <v>95</v>
      </c>
      <c r="L1212" s="4">
        <v>0</v>
      </c>
      <c r="M1212" s="4"/>
      <c r="N1212" s="4"/>
      <c r="O1212" s="4"/>
      <c r="P1212" s="12" t="str">
        <f t="array" ref="P1212">IF(O1212:O5252="","",_xlfn.XLOOKUP(O1212:O5252,'参照_官位'!A:A,'参照_官位'!B:B,""))</f>
      </c>
      <c r="Q1212" s="12" t="str">
        <f t="array" ref="Q1212">IF(A1212:A5252="","",IFERROR(_xlfn.XLOOKUP(A1212:A5252,castles_state!K:K,castles_state!D:D)&amp;"主",IFERROR(_xlfn.XLOOKUP(A1212:A5252,kunishuClan!D:D,kunishuClan!B:B)&amp;"当主","")))</f>
      </c>
    </row>
    <row r="1213" ht="15.75" customHeight="1">
      <c r="A1213" s="4">
        <v>1025075</v>
      </c>
      <c r="B1213" s="12" t="str">
        <f t="array" ref="B1213">IF(A1213:A5253="","",_xlfn.XLOOKUP(A1213:A5253,'参照_武将'!A:A,'参照_武将'!B:B,"見つかりません"))</f>
      </c>
      <c r="C1213" s="4" t="s">
        <v>170</v>
      </c>
      <c r="D1213" s="4">
        <v>25</v>
      </c>
      <c r="E1213" s="12" t="str">
        <f t="array" ref="E1213">IF(D1213:D5253="","",IFERROR(_xlfn.XLOOKUP(D1213:D5253,'参照_勢力'!A:A,'参照_勢力'!B:B),IFERROR(_xlfn.XLOOKUP(F1213:F5253,kunishuClan!A:A,kunishuClan!B:B),"浪人")))</f>
      </c>
      <c r="F1213" s="4">
        <v>0</v>
      </c>
      <c r="G1213" s="4">
        <v>120</v>
      </c>
      <c r="H1213" s="12" t="str">
        <f t="array" ref="H1213">IF(G1213:G5253="","",_xlfn.XLOOKUP(G1213:G5253,castles_state!A:A,castles_state!D:D,"見つかりません"))</f>
      </c>
      <c r="I1213" s="4"/>
      <c r="J1213" s="12" t="str">
        <f t="array" ref="J1213">IF(I1213:I5253="","",_xlfn.XLOOKUP(I1213:I5253,'参照_姫'!A:A,'参照_姫'!B:B,"見つかりません"))</f>
      </c>
      <c r="K1213" s="4">
        <v>95</v>
      </c>
      <c r="L1213" s="4">
        <v>0</v>
      </c>
      <c r="M1213" s="4"/>
      <c r="N1213" s="4"/>
      <c r="O1213" s="4"/>
      <c r="P1213" s="12" t="str">
        <f t="array" ref="P1213">IF(O1213:O5253="","",_xlfn.XLOOKUP(O1213:O5253,'参照_官位'!A:A,'参照_官位'!B:B,""))</f>
      </c>
      <c r="Q1213" s="12" t="str">
        <f t="array" ref="Q1213">IF(A1213:A5253="","",IFERROR(_xlfn.XLOOKUP(A1213:A5253,castles_state!K:K,castles_state!D:D)&amp;"主",IFERROR(_xlfn.XLOOKUP(A1213:A5253,kunishuClan!D:D,kunishuClan!B:B)&amp;"当主","")))</f>
      </c>
    </row>
    <row r="1214" ht="15.75" customHeight="1">
      <c r="A1214" s="4">
        <v>1025076</v>
      </c>
      <c r="B1214" s="12" t="str">
        <f t="array" ref="B1214">IF(A1214:A5254="","",_xlfn.XLOOKUP(A1214:A5254,'参照_武将'!A:A,'参照_武将'!B:B,"見つかりません"))</f>
      </c>
      <c r="C1214" s="4" t="s">
        <v>170</v>
      </c>
      <c r="D1214" s="4">
        <v>25</v>
      </c>
      <c r="E1214" s="12" t="str">
        <f t="array" ref="E1214">IF(D1214:D5254="","",IFERROR(_xlfn.XLOOKUP(D1214:D5254,'参照_勢力'!A:A,'参照_勢力'!B:B),IFERROR(_xlfn.XLOOKUP(F1214:F5254,kunishuClan!A:A,kunishuClan!B:B),"浪人")))</f>
      </c>
      <c r="F1214" s="4">
        <v>0</v>
      </c>
      <c r="G1214" s="4">
        <v>118</v>
      </c>
      <c r="H1214" s="12" t="str">
        <f t="array" ref="H1214">IF(G1214:G5254="","",_xlfn.XLOOKUP(G1214:G5254,castles_state!A:A,castles_state!D:D,"見つかりません"))</f>
      </c>
      <c r="I1214" s="4"/>
      <c r="J1214" s="12" t="str">
        <f t="array" ref="J1214">IF(I1214:I5254="","",_xlfn.XLOOKUP(I1214:I5254,'参照_姫'!A:A,'参照_姫'!B:B,"見つかりません"))</f>
      </c>
      <c r="K1214" s="4">
        <v>90</v>
      </c>
      <c r="L1214" s="4">
        <v>0</v>
      </c>
      <c r="M1214" s="4"/>
      <c r="N1214" s="4"/>
      <c r="O1214" s="4"/>
      <c r="P1214" s="12" t="str">
        <f t="array" ref="P1214">IF(O1214:O5254="","",_xlfn.XLOOKUP(O1214:O5254,'参照_官位'!A:A,'参照_官位'!B:B,""))</f>
      </c>
      <c r="Q1214" s="12" t="str">
        <f t="array" ref="Q1214">IF(A1214:A5254="","",IFERROR(_xlfn.XLOOKUP(A1214:A5254,castles_state!K:K,castles_state!D:D)&amp;"主",IFERROR(_xlfn.XLOOKUP(A1214:A5254,kunishuClan!D:D,kunishuClan!B:B)&amp;"当主","")))</f>
      </c>
    </row>
    <row r="1215" ht="15.75" customHeight="1">
      <c r="A1215" s="4">
        <v>1025077</v>
      </c>
      <c r="B1215" s="12" t="str">
        <f t="array" ref="B1215">IF(A1215:A5255="","",_xlfn.XLOOKUP(A1215:A5255,'参照_武将'!A:A,'参照_武将'!B:B,"見つかりません"))</f>
      </c>
      <c r="C1215" s="4" t="s">
        <v>170</v>
      </c>
      <c r="D1215" s="4">
        <v>25</v>
      </c>
      <c r="E1215" s="12" t="str">
        <f t="array" ref="E1215">IF(D1215:D5255="","",IFERROR(_xlfn.XLOOKUP(D1215:D5255,'参照_勢力'!A:A,'参照_勢力'!B:B),IFERROR(_xlfn.XLOOKUP(F1215:F5255,kunishuClan!A:A,kunishuClan!B:B),"浪人")))</f>
      </c>
      <c r="F1215" s="4">
        <v>0</v>
      </c>
      <c r="G1215" s="4">
        <v>107</v>
      </c>
      <c r="H1215" s="12" t="str">
        <f t="array" ref="H1215">IF(G1215:G5255="","",_xlfn.XLOOKUP(G1215:G5255,castles_state!A:A,castles_state!D:D,"見つかりません"))</f>
      </c>
      <c r="I1215" s="4"/>
      <c r="J1215" s="12" t="str">
        <f t="array" ref="J1215">IF(I1215:I5255="","",_xlfn.XLOOKUP(I1215:I5255,'参照_姫'!A:A,'参照_姫'!B:B,"見つかりません"))</f>
      </c>
      <c r="K1215" s="4">
        <v>90</v>
      </c>
      <c r="L1215" s="4">
        <v>200</v>
      </c>
      <c r="M1215" s="4"/>
      <c r="N1215" s="4"/>
      <c r="O1215" s="4"/>
      <c r="P1215" s="12" t="str">
        <f t="array" ref="P1215">IF(O1215:O5255="","",_xlfn.XLOOKUP(O1215:O5255,'参照_官位'!A:A,'参照_官位'!B:B,""))</f>
      </c>
      <c r="Q1215" s="12" t="str">
        <f t="array" ref="Q1215">IF(A1215:A5255="","",IFERROR(_xlfn.XLOOKUP(A1215:A5255,castles_state!K:K,castles_state!D:D)&amp;"主",IFERROR(_xlfn.XLOOKUP(A1215:A5255,kunishuClan!D:D,kunishuClan!B:B)&amp;"当主","")))</f>
      </c>
    </row>
    <row r="1216" ht="15.75" customHeight="1">
      <c r="A1216" s="4">
        <v>1025078</v>
      </c>
      <c r="B1216" s="12" t="str">
        <f t="array" ref="B1216">IF(A1216:A5256="","",_xlfn.XLOOKUP(A1216:A5256,'参照_武将'!A:A,'参照_武将'!B:B,"見つかりません"))</f>
      </c>
      <c r="C1216" s="4" t="s">
        <v>170</v>
      </c>
      <c r="D1216" s="4">
        <v>25</v>
      </c>
      <c r="E1216" s="12" t="str">
        <f t="array" ref="E1216">IF(D1216:D5256="","",IFERROR(_xlfn.XLOOKUP(D1216:D5256,'参照_勢力'!A:A,'参照_勢力'!B:B),IFERROR(_xlfn.XLOOKUP(F1216:F5256,kunishuClan!A:A,kunishuClan!B:B),"浪人")))</f>
      </c>
      <c r="F1216" s="4">
        <v>0</v>
      </c>
      <c r="G1216" s="4">
        <v>118</v>
      </c>
      <c r="H1216" s="12" t="str">
        <f t="array" ref="H1216">IF(G1216:G5256="","",_xlfn.XLOOKUP(G1216:G5256,castles_state!A:A,castles_state!D:D,"見つかりません"))</f>
      </c>
      <c r="I1216" s="4"/>
      <c r="J1216" s="12" t="str">
        <f t="array" ref="J1216">IF(I1216:I5256="","",_xlfn.XLOOKUP(I1216:I5256,'参照_姫'!A:A,'参照_姫'!B:B,"見つかりません"))</f>
      </c>
      <c r="K1216" s="4">
        <v>90</v>
      </c>
      <c r="L1216" s="4">
        <v>500</v>
      </c>
      <c r="M1216" s="4"/>
      <c r="N1216" s="4"/>
      <c r="O1216" s="4"/>
      <c r="P1216" s="12" t="str">
        <f t="array" ref="P1216">IF(O1216:O5256="","",_xlfn.XLOOKUP(O1216:O5256,'参照_官位'!A:A,'参照_官位'!B:B,""))</f>
      </c>
      <c r="Q1216" s="12" t="str">
        <f t="array" ref="Q1216">IF(A1216:A5256="","",IFERROR(_xlfn.XLOOKUP(A1216:A5256,castles_state!K:K,castles_state!D:D)&amp;"主",IFERROR(_xlfn.XLOOKUP(A1216:A5256,kunishuClan!D:D,kunishuClan!B:B)&amp;"当主","")))</f>
      </c>
    </row>
    <row r="1217" ht="15.75" customHeight="1">
      <c r="A1217" s="4">
        <v>1025079</v>
      </c>
      <c r="B1217" s="12" t="str">
        <f t="array" ref="B1217">IF(A1217:A5257="","",_xlfn.XLOOKUP(A1217:A5257,'参照_武将'!A:A,'参照_武将'!B:B,"見つかりません"))</f>
      </c>
      <c r="C1217" s="4" t="s">
        <v>170</v>
      </c>
      <c r="D1217" s="4">
        <v>25</v>
      </c>
      <c r="E1217" s="12" t="str">
        <f t="array" ref="E1217">IF(D1217:D5257="","",IFERROR(_xlfn.XLOOKUP(D1217:D5257,'参照_勢力'!A:A,'参照_勢力'!B:B),IFERROR(_xlfn.XLOOKUP(F1217:F5257,kunishuClan!A:A,kunishuClan!B:B),"浪人")))</f>
      </c>
      <c r="F1217" s="4">
        <v>0</v>
      </c>
      <c r="G1217" s="4">
        <v>126</v>
      </c>
      <c r="H1217" s="12" t="str">
        <f t="array" ref="H1217">IF(G1217:G5257="","",_xlfn.XLOOKUP(G1217:G5257,castles_state!A:A,castles_state!D:D,"見つかりません"))</f>
      </c>
      <c r="I1217" s="4"/>
      <c r="J1217" s="12" t="str">
        <f t="array" ref="J1217">IF(I1217:I5257="","",_xlfn.XLOOKUP(I1217:I5257,'参照_姫'!A:A,'参照_姫'!B:B,"見つかりません"))</f>
      </c>
      <c r="K1217" s="4">
        <v>90</v>
      </c>
      <c r="L1217" s="4">
        <v>200</v>
      </c>
      <c r="M1217" s="4"/>
      <c r="N1217" s="4"/>
      <c r="O1217" s="4"/>
      <c r="P1217" s="12" t="str">
        <f t="array" ref="P1217">IF(O1217:O5257="","",_xlfn.XLOOKUP(O1217:O5257,'参照_官位'!A:A,'参照_官位'!B:B,""))</f>
      </c>
      <c r="Q1217" s="12" t="str">
        <f t="array" ref="Q1217">IF(A1217:A5257="","",IFERROR(_xlfn.XLOOKUP(A1217:A5257,castles_state!K:K,castles_state!D:D)&amp;"主",IFERROR(_xlfn.XLOOKUP(A1217:A5257,kunishuClan!D:D,kunishuClan!B:B)&amp;"当主","")))</f>
      </c>
    </row>
    <row r="1218" ht="15.75" customHeight="1">
      <c r="A1218" s="4">
        <v>1025080</v>
      </c>
      <c r="B1218" s="12" t="str">
        <f t="array" ref="B1218">IF(A1218:A5258="","",_xlfn.XLOOKUP(A1218:A5258,'参照_武将'!A:A,'参照_武将'!B:B,"見つかりません"))</f>
      </c>
      <c r="C1218" s="4" t="s">
        <v>170</v>
      </c>
      <c r="D1218" s="4">
        <v>25</v>
      </c>
      <c r="E1218" s="12" t="str">
        <f t="array" ref="E1218">IF(D1218:D5258="","",IFERROR(_xlfn.XLOOKUP(D1218:D5258,'参照_勢力'!A:A,'参照_勢力'!B:B),IFERROR(_xlfn.XLOOKUP(F1218:F5258,kunishuClan!A:A,kunishuClan!B:B),"浪人")))</f>
      </c>
      <c r="F1218" s="4">
        <v>0</v>
      </c>
      <c r="G1218" s="4">
        <v>106</v>
      </c>
      <c r="H1218" s="12" t="str">
        <f t="array" ref="H1218">IF(G1218:G5258="","",_xlfn.XLOOKUP(G1218:G5258,castles_state!A:A,castles_state!D:D,"見つかりません"))</f>
      </c>
      <c r="I1218" s="4"/>
      <c r="J1218" s="12" t="str">
        <f t="array" ref="J1218">IF(I1218:I5258="","",_xlfn.XLOOKUP(I1218:I5258,'参照_姫'!A:A,'参照_姫'!B:B,"見つかりません"))</f>
      </c>
      <c r="K1218" s="4">
        <v>90</v>
      </c>
      <c r="L1218" s="4">
        <v>500</v>
      </c>
      <c r="M1218" s="4"/>
      <c r="N1218" s="4"/>
      <c r="O1218" s="4"/>
      <c r="P1218" s="12" t="str">
        <f t="array" ref="P1218">IF(O1218:O5258="","",_xlfn.XLOOKUP(O1218:O5258,'参照_官位'!A:A,'参照_官位'!B:B,""))</f>
      </c>
      <c r="Q1218" s="12" t="str">
        <f t="array" ref="Q1218">IF(A1218:A5258="","",IFERROR(_xlfn.XLOOKUP(A1218:A5258,castles_state!K:K,castles_state!D:D)&amp;"主",IFERROR(_xlfn.XLOOKUP(A1218:A5258,kunishuClan!D:D,kunishuClan!B:B)&amp;"当主","")))</f>
      </c>
    </row>
    <row r="1219" ht="15.75" customHeight="1">
      <c r="A1219" s="4">
        <v>1025081</v>
      </c>
      <c r="B1219" s="12" t="str">
        <f t="array" ref="B1219">IF(A1219:A5259="","",_xlfn.XLOOKUP(A1219:A5259,'参照_武将'!A:A,'参照_武将'!B:B,"見つかりません"))</f>
      </c>
      <c r="C1219" s="4" t="s">
        <v>170</v>
      </c>
      <c r="D1219" s="4">
        <v>25</v>
      </c>
      <c r="E1219" s="12" t="str">
        <f t="array" ref="E1219">IF(D1219:D5259="","",IFERROR(_xlfn.XLOOKUP(D1219:D5259,'参照_勢力'!A:A,'参照_勢力'!B:B),IFERROR(_xlfn.XLOOKUP(F1219:F5259,kunishuClan!A:A,kunishuClan!B:B),"浪人")))</f>
      </c>
      <c r="F1219" s="4">
        <v>0</v>
      </c>
      <c r="G1219" s="4">
        <v>125</v>
      </c>
      <c r="H1219" s="12" t="str">
        <f t="array" ref="H1219">IF(G1219:G5259="","",_xlfn.XLOOKUP(G1219:G5259,castles_state!A:A,castles_state!D:D,"見つかりません"))</f>
      </c>
      <c r="I1219" s="4"/>
      <c r="J1219" s="12" t="str">
        <f t="array" ref="J1219">IF(I1219:I5259="","",_xlfn.XLOOKUP(I1219:I5259,'参照_姫'!A:A,'参照_姫'!B:B,"見つかりません"))</f>
      </c>
      <c r="K1219" s="4">
        <v>90</v>
      </c>
      <c r="L1219" s="4">
        <v>0</v>
      </c>
      <c r="M1219" s="4"/>
      <c r="N1219" s="4"/>
      <c r="O1219" s="4"/>
      <c r="P1219" s="12" t="str">
        <f t="array" ref="P1219">IF(O1219:O5259="","",_xlfn.XLOOKUP(O1219:O5259,'参照_官位'!A:A,'参照_官位'!B:B,""))</f>
      </c>
      <c r="Q1219" s="12" t="str">
        <f t="array" ref="Q1219">IF(A1219:A5259="","",IFERROR(_xlfn.XLOOKUP(A1219:A5259,castles_state!K:K,castles_state!D:D)&amp;"主",IFERROR(_xlfn.XLOOKUP(A1219:A5259,kunishuClan!D:D,kunishuClan!B:B)&amp;"当主","")))</f>
      </c>
    </row>
    <row r="1220" ht="15.75" customHeight="1">
      <c r="A1220" s="4">
        <v>1025082</v>
      </c>
      <c r="B1220" s="12" t="str">
        <f t="array" ref="B1220">IF(A1220:A5260="","",_xlfn.XLOOKUP(A1220:A5260,'参照_武将'!A:A,'参照_武将'!B:B,"見つかりません"))</f>
      </c>
      <c r="C1220" s="4" t="s">
        <v>170</v>
      </c>
      <c r="D1220" s="4">
        <v>25</v>
      </c>
      <c r="E1220" s="12" t="str">
        <f t="array" ref="E1220">IF(D1220:D5260="","",IFERROR(_xlfn.XLOOKUP(D1220:D5260,'参照_勢力'!A:A,'参照_勢力'!B:B),IFERROR(_xlfn.XLOOKUP(F1220:F5260,kunishuClan!A:A,kunishuClan!B:B),"浪人")))</f>
      </c>
      <c r="F1220" s="4">
        <v>0</v>
      </c>
      <c r="G1220" s="4">
        <v>125</v>
      </c>
      <c r="H1220" s="12" t="str">
        <f t="array" ref="H1220">IF(G1220:G5260="","",_xlfn.XLOOKUP(G1220:G5260,castles_state!A:A,castles_state!D:D,"見つかりません"))</f>
      </c>
      <c r="I1220" s="4"/>
      <c r="J1220" s="12" t="str">
        <f t="array" ref="J1220">IF(I1220:I5260="","",_xlfn.XLOOKUP(I1220:I5260,'参照_姫'!A:A,'参照_姫'!B:B,"見つかりません"))</f>
      </c>
      <c r="K1220" s="4">
        <v>90</v>
      </c>
      <c r="L1220" s="4">
        <v>0</v>
      </c>
      <c r="M1220" s="4"/>
      <c r="N1220" s="4"/>
      <c r="O1220" s="4"/>
      <c r="P1220" s="12" t="str">
        <f t="array" ref="P1220">IF(O1220:O5260="","",_xlfn.XLOOKUP(O1220:O5260,'参照_官位'!A:A,'参照_官位'!B:B,""))</f>
      </c>
      <c r="Q1220" s="12" t="str">
        <f t="array" ref="Q1220">IF(A1220:A5260="","",IFERROR(_xlfn.XLOOKUP(A1220:A5260,castles_state!K:K,castles_state!D:D)&amp;"主",IFERROR(_xlfn.XLOOKUP(A1220:A5260,kunishuClan!D:D,kunishuClan!B:B)&amp;"当主","")))</f>
      </c>
    </row>
    <row r="1221" ht="15.75" customHeight="1">
      <c r="A1221" s="4">
        <v>1025083</v>
      </c>
      <c r="B1221" s="12" t="str">
        <f t="array" ref="B1221">IF(A1221:A5261="","",_xlfn.XLOOKUP(A1221:A5261,'参照_武将'!A:A,'参照_武将'!B:B,"見つかりません"))</f>
      </c>
      <c r="C1221" s="4" t="s">
        <v>170</v>
      </c>
      <c r="D1221" s="4">
        <v>25</v>
      </c>
      <c r="E1221" s="12" t="str">
        <f t="array" ref="E1221">IF(D1221:D5261="","",IFERROR(_xlfn.XLOOKUP(D1221:D5261,'参照_勢力'!A:A,'参照_勢力'!B:B),IFERROR(_xlfn.XLOOKUP(F1221:F5261,kunishuClan!A:A,kunishuClan!B:B),"浪人")))</f>
      </c>
      <c r="F1221" s="4">
        <v>0</v>
      </c>
      <c r="G1221" s="4">
        <v>120</v>
      </c>
      <c r="H1221" s="12" t="str">
        <f t="array" ref="H1221">IF(G1221:G5261="","",_xlfn.XLOOKUP(G1221:G5261,castles_state!A:A,castles_state!D:D,"見つかりません"))</f>
      </c>
      <c r="I1221" s="4"/>
      <c r="J1221" s="12" t="str">
        <f t="array" ref="J1221">IF(I1221:I5261="","",_xlfn.XLOOKUP(I1221:I5261,'参照_姫'!A:A,'参照_姫'!B:B,"見つかりません"))</f>
      </c>
      <c r="K1221" s="4">
        <v>95</v>
      </c>
      <c r="L1221" s="4">
        <v>0</v>
      </c>
      <c r="M1221" s="4"/>
      <c r="N1221" s="4"/>
      <c r="O1221" s="4"/>
      <c r="P1221" s="12" t="str">
        <f t="array" ref="P1221">IF(O1221:O5261="","",_xlfn.XLOOKUP(O1221:O5261,'参照_官位'!A:A,'参照_官位'!B:B,""))</f>
      </c>
      <c r="Q1221" s="12" t="str">
        <f t="array" ref="Q1221">IF(A1221:A5261="","",IFERROR(_xlfn.XLOOKUP(A1221:A5261,castles_state!K:K,castles_state!D:D)&amp;"主",IFERROR(_xlfn.XLOOKUP(A1221:A5261,kunishuClan!D:D,kunishuClan!B:B)&amp;"当主","")))</f>
      </c>
    </row>
    <row r="1222" ht="15.75" customHeight="1">
      <c r="A1222" s="4">
        <v>1025084</v>
      </c>
      <c r="B1222" s="12" t="str">
        <f t="array" ref="B1222">IF(A1222:A5262="","",_xlfn.XLOOKUP(A1222:A5262,'参照_武将'!A:A,'参照_武将'!B:B,"見つかりません"))</f>
      </c>
      <c r="C1222" s="4" t="s">
        <v>170</v>
      </c>
      <c r="D1222" s="4">
        <v>25</v>
      </c>
      <c r="E1222" s="12" t="str">
        <f t="array" ref="E1222">IF(D1222:D5262="","",IFERROR(_xlfn.XLOOKUP(D1222:D5262,'参照_勢力'!A:A,'参照_勢力'!B:B),IFERROR(_xlfn.XLOOKUP(F1222:F5262,kunishuClan!A:A,kunishuClan!B:B),"浪人")))</f>
      </c>
      <c r="F1222" s="4">
        <v>0</v>
      </c>
      <c r="G1222" s="4">
        <v>126</v>
      </c>
      <c r="H1222" s="12" t="str">
        <f t="array" ref="H1222">IF(G1222:G5262="","",_xlfn.XLOOKUP(G1222:G5262,castles_state!A:A,castles_state!D:D,"見つかりません"))</f>
      </c>
      <c r="I1222" s="4"/>
      <c r="J1222" s="12" t="str">
        <f t="array" ref="J1222">IF(I1222:I5262="","",_xlfn.XLOOKUP(I1222:I5262,'参照_姫'!A:A,'参照_姫'!B:B,"見つかりません"))</f>
      </c>
      <c r="K1222" s="4">
        <v>95</v>
      </c>
      <c r="L1222" s="4">
        <v>0</v>
      </c>
      <c r="M1222" s="4"/>
      <c r="N1222" s="4"/>
      <c r="O1222" s="4"/>
      <c r="P1222" s="12" t="str">
        <f t="array" ref="P1222">IF(O1222:O5262="","",_xlfn.XLOOKUP(O1222:O5262,'参照_官位'!A:A,'参照_官位'!B:B,""))</f>
      </c>
      <c r="Q1222" s="12" t="str">
        <f t="array" ref="Q1222">IF(A1222:A5262="","",IFERROR(_xlfn.XLOOKUP(A1222:A5262,castles_state!K:K,castles_state!D:D)&amp;"主",IFERROR(_xlfn.XLOOKUP(A1222:A5262,kunishuClan!D:D,kunishuClan!B:B)&amp;"当主","")))</f>
      </c>
    </row>
    <row r="1223" ht="15.75" customHeight="1">
      <c r="A1223" s="4">
        <v>1025085</v>
      </c>
      <c r="B1223" s="12" t="str">
        <f t="array" ref="B1223">IF(A1223:A5263="","",_xlfn.XLOOKUP(A1223:A5263,'参照_武将'!A:A,'参照_武将'!B:B,"見つかりません"))</f>
      </c>
      <c r="C1223" s="4" t="s">
        <v>170</v>
      </c>
      <c r="D1223" s="4">
        <v>25</v>
      </c>
      <c r="E1223" s="12" t="str">
        <f t="array" ref="E1223">IF(D1223:D5263="","",IFERROR(_xlfn.XLOOKUP(D1223:D5263,'参照_勢力'!A:A,'参照_勢力'!B:B),IFERROR(_xlfn.XLOOKUP(F1223:F5263,kunishuClan!A:A,kunishuClan!B:B),"浪人")))</f>
      </c>
      <c r="F1223" s="4">
        <v>0</v>
      </c>
      <c r="G1223" s="4">
        <v>121</v>
      </c>
      <c r="H1223" s="12" t="str">
        <f t="array" ref="H1223">IF(G1223:G5263="","",_xlfn.XLOOKUP(G1223:G5263,castles_state!A:A,castles_state!D:D,"見つかりません"))</f>
      </c>
      <c r="I1223" s="4"/>
      <c r="J1223" s="12" t="str">
        <f t="array" ref="J1223">IF(I1223:I5263="","",_xlfn.XLOOKUP(I1223:I5263,'参照_姫'!A:A,'参照_姫'!B:B,"見つかりません"))</f>
      </c>
      <c r="K1223" s="4">
        <v>95</v>
      </c>
      <c r="L1223" s="4">
        <v>0</v>
      </c>
      <c r="M1223" s="4"/>
      <c r="N1223" s="4"/>
      <c r="O1223" s="4"/>
      <c r="P1223" s="12" t="str">
        <f t="array" ref="P1223">IF(O1223:O5263="","",_xlfn.XLOOKUP(O1223:O5263,'参照_官位'!A:A,'参照_官位'!B:B,""))</f>
      </c>
      <c r="Q1223" s="12" t="str">
        <f t="array" ref="Q1223">IF(A1223:A5263="","",IFERROR(_xlfn.XLOOKUP(A1223:A5263,castles_state!K:K,castles_state!D:D)&amp;"主",IFERROR(_xlfn.XLOOKUP(A1223:A5263,kunishuClan!D:D,kunishuClan!B:B)&amp;"当主","")))</f>
      </c>
    </row>
    <row r="1224" ht="15.75" customHeight="1">
      <c r="A1224" s="4">
        <v>1025086</v>
      </c>
      <c r="B1224" s="12" t="str">
        <f t="array" ref="B1224">IF(A1224:A5264="","",_xlfn.XLOOKUP(A1224:A5264,'参照_武将'!A:A,'参照_武将'!B:B,"見つかりません"))</f>
      </c>
      <c r="C1224" s="4" t="s">
        <v>170</v>
      </c>
      <c r="D1224" s="4">
        <v>25</v>
      </c>
      <c r="E1224" s="12" t="str">
        <f t="array" ref="E1224">IF(D1224:D5264="","",IFERROR(_xlfn.XLOOKUP(D1224:D5264,'参照_勢力'!A:A,'参照_勢力'!B:B),IFERROR(_xlfn.XLOOKUP(F1224:F5264,kunishuClan!A:A,kunishuClan!B:B),"浪人")))</f>
      </c>
      <c r="F1224" s="4">
        <v>0</v>
      </c>
      <c r="G1224" s="4">
        <v>121</v>
      </c>
      <c r="H1224" s="12" t="str">
        <f t="array" ref="H1224">IF(G1224:G5264="","",_xlfn.XLOOKUP(G1224:G5264,castles_state!A:A,castles_state!D:D,"見つかりません"))</f>
      </c>
      <c r="I1224" s="4"/>
      <c r="J1224" s="12" t="str">
        <f t="array" ref="J1224">IF(I1224:I5264="","",_xlfn.XLOOKUP(I1224:I5264,'参照_姫'!A:A,'参照_姫'!B:B,"見つかりません"))</f>
      </c>
      <c r="K1224" s="4">
        <v>95</v>
      </c>
      <c r="L1224" s="4">
        <v>0</v>
      </c>
      <c r="M1224" s="4"/>
      <c r="N1224" s="4"/>
      <c r="O1224" s="4"/>
      <c r="P1224" s="12" t="str">
        <f t="array" ref="P1224">IF(O1224:O5264="","",_xlfn.XLOOKUP(O1224:O5264,'参照_官位'!A:A,'参照_官位'!B:B,""))</f>
      </c>
      <c r="Q1224" s="12" t="str">
        <f t="array" ref="Q1224">IF(A1224:A5264="","",IFERROR(_xlfn.XLOOKUP(A1224:A5264,castles_state!K:K,castles_state!D:D)&amp;"主",IFERROR(_xlfn.XLOOKUP(A1224:A5264,kunishuClan!D:D,kunishuClan!B:B)&amp;"当主","")))</f>
      </c>
    </row>
    <row r="1225" ht="15.75" customHeight="1">
      <c r="A1225" s="4">
        <v>1025087</v>
      </c>
      <c r="B1225" s="12" t="str">
        <f t="array" ref="B1225">IF(A1225:A5265="","",_xlfn.XLOOKUP(A1225:A5265,'参照_武将'!A:A,'参照_武将'!B:B,"見つかりません"))</f>
      </c>
      <c r="C1225" s="4" t="s">
        <v>170</v>
      </c>
      <c r="D1225" s="4">
        <v>25</v>
      </c>
      <c r="E1225" s="12" t="str">
        <f t="array" ref="E1225">IF(D1225:D5265="","",IFERROR(_xlfn.XLOOKUP(D1225:D5265,'参照_勢力'!A:A,'参照_勢力'!B:B),IFERROR(_xlfn.XLOOKUP(F1225:F5265,kunishuClan!A:A,kunishuClan!B:B),"浪人")))</f>
      </c>
      <c r="F1225" s="4">
        <v>0</v>
      </c>
      <c r="G1225" s="4">
        <v>175</v>
      </c>
      <c r="H1225" s="12" t="str">
        <f t="array" ref="H1225">IF(G1225:G5265="","",_xlfn.XLOOKUP(G1225:G5265,castles_state!A:A,castles_state!D:D,"見つかりません"))</f>
      </c>
      <c r="I1225" s="4"/>
      <c r="J1225" s="12" t="str">
        <f t="array" ref="J1225">IF(I1225:I5265="","",_xlfn.XLOOKUP(I1225:I5265,'参照_姫'!A:A,'参照_姫'!B:B,"見つかりません"))</f>
      </c>
      <c r="K1225" s="4">
        <v>95</v>
      </c>
      <c r="L1225" s="4">
        <v>0</v>
      </c>
      <c r="M1225" s="4"/>
      <c r="N1225" s="4"/>
      <c r="O1225" s="4"/>
      <c r="P1225" s="12" t="str">
        <f t="array" ref="P1225">IF(O1225:O5265="","",_xlfn.XLOOKUP(O1225:O5265,'参照_官位'!A:A,'参照_官位'!B:B,""))</f>
      </c>
      <c r="Q1225" s="12" t="str">
        <f t="array" ref="Q1225">IF(A1225:A5265="","",IFERROR(_xlfn.XLOOKUP(A1225:A5265,castles_state!K:K,castles_state!D:D)&amp;"主",IFERROR(_xlfn.XLOOKUP(A1225:A5265,kunishuClan!D:D,kunishuClan!B:B)&amp;"当主","")))</f>
      </c>
    </row>
    <row r="1226" ht="15.75" customHeight="1">
      <c r="A1226" s="4">
        <v>1025088</v>
      </c>
      <c r="B1226" s="12" t="str">
        <f t="array" ref="B1226">IF(A1226:A5266="","",_xlfn.XLOOKUP(A1226:A5266,'参照_武将'!A:A,'参照_武将'!B:B,"見つかりません"))</f>
      </c>
      <c r="C1226" s="4" t="s">
        <v>170</v>
      </c>
      <c r="D1226" s="4">
        <v>25</v>
      </c>
      <c r="E1226" s="12" t="str">
        <f t="array" ref="E1226">IF(D1226:D5266="","",IFERROR(_xlfn.XLOOKUP(D1226:D5266,'参照_勢力'!A:A,'参照_勢力'!B:B),IFERROR(_xlfn.XLOOKUP(F1226:F5266,kunishuClan!A:A,kunishuClan!B:B),"浪人")))</f>
      </c>
      <c r="F1226" s="4">
        <v>0</v>
      </c>
      <c r="G1226" s="4">
        <v>175</v>
      </c>
      <c r="H1226" s="12" t="str">
        <f t="array" ref="H1226">IF(G1226:G5266="","",_xlfn.XLOOKUP(G1226:G5266,castles_state!A:A,castles_state!D:D,"見つかりません"))</f>
      </c>
      <c r="I1226" s="4"/>
      <c r="J1226" s="12" t="str">
        <f t="array" ref="J1226">IF(I1226:I5266="","",_xlfn.XLOOKUP(I1226:I5266,'参照_姫'!A:A,'参照_姫'!B:B,"見つかりません"))</f>
      </c>
      <c r="K1226" s="4">
        <v>95</v>
      </c>
      <c r="L1226" s="4">
        <v>0</v>
      </c>
      <c r="M1226" s="4"/>
      <c r="N1226" s="4"/>
      <c r="O1226" s="4"/>
      <c r="P1226" s="12" t="str">
        <f t="array" ref="P1226">IF(O1226:O5266="","",_xlfn.XLOOKUP(O1226:O5266,'参照_官位'!A:A,'参照_官位'!B:B,""))</f>
      </c>
      <c r="Q1226" s="12" t="str">
        <f t="array" ref="Q1226">IF(A1226:A5266="","",IFERROR(_xlfn.XLOOKUP(A1226:A5266,castles_state!K:K,castles_state!D:D)&amp;"主",IFERROR(_xlfn.XLOOKUP(A1226:A5266,kunishuClan!D:D,kunishuClan!B:B)&amp;"当主","")))</f>
      </c>
    </row>
    <row r="1227" ht="15.75" customHeight="1">
      <c r="A1227" s="4">
        <v>1025089</v>
      </c>
      <c r="B1227" s="12" t="str">
        <f t="array" ref="B1227">IF(A1227:A5267="","",_xlfn.XLOOKUP(A1227:A5267,'参照_武将'!A:A,'参照_武将'!B:B,"見つかりません"))</f>
      </c>
      <c r="C1227" s="4" t="s">
        <v>170</v>
      </c>
      <c r="D1227" s="4">
        <v>25</v>
      </c>
      <c r="E1227" s="12" t="str">
        <f t="array" ref="E1227">IF(D1227:D5267="","",IFERROR(_xlfn.XLOOKUP(D1227:D5267,'参照_勢力'!A:A,'参照_勢力'!B:B),IFERROR(_xlfn.XLOOKUP(F1227:F5267,kunishuClan!A:A,kunishuClan!B:B),"浪人")))</f>
      </c>
      <c r="F1227" s="4">
        <v>0</v>
      </c>
      <c r="G1227" s="4">
        <v>123</v>
      </c>
      <c r="H1227" s="12" t="str">
        <f t="array" ref="H1227">IF(G1227:G5267="","",_xlfn.XLOOKUP(G1227:G5267,castles_state!A:A,castles_state!D:D,"見つかりません"))</f>
      </c>
      <c r="I1227" s="4"/>
      <c r="J1227" s="12" t="str">
        <f t="array" ref="J1227">IF(I1227:I5267="","",_xlfn.XLOOKUP(I1227:I5267,'参照_姫'!A:A,'参照_姫'!B:B,"見つかりません"))</f>
      </c>
      <c r="K1227" s="4">
        <v>95</v>
      </c>
      <c r="L1227" s="4">
        <v>500</v>
      </c>
      <c r="M1227" s="4"/>
      <c r="N1227" s="4"/>
      <c r="O1227" s="4"/>
      <c r="P1227" s="12" t="str">
        <f t="array" ref="P1227">IF(O1227:O5267="","",_xlfn.XLOOKUP(O1227:O5267,'参照_官位'!A:A,'参照_官位'!B:B,""))</f>
      </c>
      <c r="Q1227" s="12" t="str">
        <f t="array" ref="Q1227">IF(A1227:A5267="","",IFERROR(_xlfn.XLOOKUP(A1227:A5267,castles_state!K:K,castles_state!D:D)&amp;"主",IFERROR(_xlfn.XLOOKUP(A1227:A5267,kunishuClan!D:D,kunishuClan!B:B)&amp;"当主","")))</f>
      </c>
    </row>
    <row r="1228" ht="15.75" customHeight="1">
      <c r="A1228" s="4">
        <v>1025090</v>
      </c>
      <c r="B1228" s="12" t="str">
        <f t="array" ref="B1228">IF(A1228:A5268="","",_xlfn.XLOOKUP(A1228:A5268,'参照_武将'!A:A,'参照_武将'!B:B,"見つかりません"))</f>
      </c>
      <c r="C1228" s="4" t="s">
        <v>170</v>
      </c>
      <c r="D1228" s="4">
        <v>25</v>
      </c>
      <c r="E1228" s="12" t="str">
        <f t="array" ref="E1228">IF(D1228:D5268="","",IFERROR(_xlfn.XLOOKUP(D1228:D5268,'参照_勢力'!A:A,'参照_勢力'!B:B),IFERROR(_xlfn.XLOOKUP(F1228:F5268,kunishuClan!A:A,kunishuClan!B:B),"浪人")))</f>
      </c>
      <c r="F1228" s="4">
        <v>0</v>
      </c>
      <c r="G1228" s="4">
        <v>123</v>
      </c>
      <c r="H1228" s="12" t="str">
        <f t="array" ref="H1228">IF(G1228:G5268="","",_xlfn.XLOOKUP(G1228:G5268,castles_state!A:A,castles_state!D:D,"見つかりません"))</f>
      </c>
      <c r="I1228" s="4"/>
      <c r="J1228" s="12" t="str">
        <f t="array" ref="J1228">IF(I1228:I5268="","",_xlfn.XLOOKUP(I1228:I5268,'参照_姫'!A:A,'参照_姫'!B:B,"見つかりません"))</f>
      </c>
      <c r="K1228" s="4">
        <v>95</v>
      </c>
      <c r="L1228" s="4">
        <v>0</v>
      </c>
      <c r="M1228" s="4"/>
      <c r="N1228" s="4"/>
      <c r="O1228" s="4"/>
      <c r="P1228" s="12" t="str">
        <f t="array" ref="P1228">IF(O1228:O5268="","",_xlfn.XLOOKUP(O1228:O5268,'参照_官位'!A:A,'参照_官位'!B:B,""))</f>
      </c>
      <c r="Q1228" s="12" t="str">
        <f t="array" ref="Q1228">IF(A1228:A5268="","",IFERROR(_xlfn.XLOOKUP(A1228:A5268,castles_state!K:K,castles_state!D:D)&amp;"主",IFERROR(_xlfn.XLOOKUP(A1228:A5268,kunishuClan!D:D,kunishuClan!B:B)&amp;"当主","")))</f>
      </c>
    </row>
    <row r="1229" ht="15.75" customHeight="1">
      <c r="A1229" s="4">
        <v>1025091</v>
      </c>
      <c r="B1229" s="12" t="str">
        <f t="array" ref="B1229">IF(A1229:A5269="","",_xlfn.XLOOKUP(A1229:A5269,'参照_武将'!A:A,'参照_武将'!B:B,"見つかりません"))</f>
      </c>
      <c r="C1229" s="4" t="s">
        <v>170</v>
      </c>
      <c r="D1229" s="4">
        <v>25</v>
      </c>
      <c r="E1229" s="12" t="str">
        <f t="array" ref="E1229">IF(D1229:D5269="","",IFERROR(_xlfn.XLOOKUP(D1229:D5269,'参照_勢力'!A:A,'参照_勢力'!B:B),IFERROR(_xlfn.XLOOKUP(F1229:F5269,kunishuClan!A:A,kunishuClan!B:B),"浪人")))</f>
      </c>
      <c r="F1229" s="4">
        <v>0</v>
      </c>
      <c r="G1229" s="4">
        <v>123</v>
      </c>
      <c r="H1229" s="12" t="str">
        <f t="array" ref="H1229">IF(G1229:G5269="","",_xlfn.XLOOKUP(G1229:G5269,castles_state!A:A,castles_state!D:D,"見つかりません"))</f>
      </c>
      <c r="I1229" s="4"/>
      <c r="J1229" s="12" t="str">
        <f t="array" ref="J1229">IF(I1229:I5269="","",_xlfn.XLOOKUP(I1229:I5269,'参照_姫'!A:A,'参照_姫'!B:B,"見つかりません"))</f>
      </c>
      <c r="K1229" s="4">
        <v>95</v>
      </c>
      <c r="L1229" s="4">
        <v>0</v>
      </c>
      <c r="M1229" s="4"/>
      <c r="N1229" s="4"/>
      <c r="O1229" s="4"/>
      <c r="P1229" s="12" t="str">
        <f t="array" ref="P1229">IF(O1229:O5269="","",_xlfn.XLOOKUP(O1229:O5269,'参照_官位'!A:A,'参照_官位'!B:B,""))</f>
      </c>
      <c r="Q1229" s="12" t="str">
        <f t="array" ref="Q1229">IF(A1229:A5269="","",IFERROR(_xlfn.XLOOKUP(A1229:A5269,castles_state!K:K,castles_state!D:D)&amp;"主",IFERROR(_xlfn.XLOOKUP(A1229:A5269,kunishuClan!D:D,kunishuClan!B:B)&amp;"当主","")))</f>
      </c>
    </row>
    <row r="1230" ht="15.75" customHeight="1">
      <c r="A1230" s="4">
        <v>1025092</v>
      </c>
      <c r="B1230" s="12" t="str">
        <f t="array" ref="B1230">IF(A1230:A5270="","",_xlfn.XLOOKUP(A1230:A5270,'参照_武将'!A:A,'参照_武将'!B:B,"見つかりません"))</f>
      </c>
      <c r="C1230" s="4" t="s">
        <v>170</v>
      </c>
      <c r="D1230" s="4">
        <v>25</v>
      </c>
      <c r="E1230" s="12" t="str">
        <f t="array" ref="E1230">IF(D1230:D5270="","",IFERROR(_xlfn.XLOOKUP(D1230:D5270,'参照_勢力'!A:A,'参照_勢力'!B:B),IFERROR(_xlfn.XLOOKUP(F1230:F5270,kunishuClan!A:A,kunishuClan!B:B),"浪人")))</f>
      </c>
      <c r="F1230" s="4">
        <v>0</v>
      </c>
      <c r="G1230" s="4">
        <v>123</v>
      </c>
      <c r="H1230" s="12" t="str">
        <f t="array" ref="H1230">IF(G1230:G5270="","",_xlfn.XLOOKUP(G1230:G5270,castles_state!A:A,castles_state!D:D,"見つかりません"))</f>
      </c>
      <c r="I1230" s="4"/>
      <c r="J1230" s="12" t="str">
        <f t="array" ref="J1230">IF(I1230:I5270="","",_xlfn.XLOOKUP(I1230:I5270,'参照_姫'!A:A,'参照_姫'!B:B,"見つかりません"))</f>
      </c>
      <c r="K1230" s="4">
        <v>95</v>
      </c>
      <c r="L1230" s="4">
        <v>0</v>
      </c>
      <c r="M1230" s="4"/>
      <c r="N1230" s="4"/>
      <c r="O1230" s="4"/>
      <c r="P1230" s="12" t="str">
        <f t="array" ref="P1230">IF(O1230:O5270="","",_xlfn.XLOOKUP(O1230:O5270,'参照_官位'!A:A,'参照_官位'!B:B,""))</f>
      </c>
      <c r="Q1230" s="12" t="str">
        <f t="array" ref="Q1230">IF(A1230:A5270="","",IFERROR(_xlfn.XLOOKUP(A1230:A5270,castles_state!K:K,castles_state!D:D)&amp;"主",IFERROR(_xlfn.XLOOKUP(A1230:A5270,kunishuClan!D:D,kunishuClan!B:B)&amp;"当主","")))</f>
      </c>
    </row>
    <row r="1231" ht="15.75" customHeight="1">
      <c r="A1231" s="4">
        <v>1025093</v>
      </c>
      <c r="B1231" s="12" t="str">
        <f t="array" ref="B1231">IF(A1231:A5271="","",_xlfn.XLOOKUP(A1231:A5271,'参照_武将'!A:A,'参照_武将'!B:B,"見つかりません"))</f>
      </c>
      <c r="C1231" s="4" t="s">
        <v>170</v>
      </c>
      <c r="D1231" s="4">
        <v>25</v>
      </c>
      <c r="E1231" s="12" t="str">
        <f t="array" ref="E1231">IF(D1231:D5271="","",IFERROR(_xlfn.XLOOKUP(D1231:D5271,'参照_勢力'!A:A,'参照_勢力'!B:B),IFERROR(_xlfn.XLOOKUP(F1231:F5271,kunishuClan!A:A,kunishuClan!B:B),"浪人")))</f>
      </c>
      <c r="F1231" s="4">
        <v>0</v>
      </c>
      <c r="G1231" s="4">
        <v>123</v>
      </c>
      <c r="H1231" s="12" t="str">
        <f t="array" ref="H1231">IF(G1231:G5271="","",_xlfn.XLOOKUP(G1231:G5271,castles_state!A:A,castles_state!D:D,"見つかりません"))</f>
      </c>
      <c r="I1231" s="4"/>
      <c r="J1231" s="12" t="str">
        <f t="array" ref="J1231">IF(I1231:I5271="","",_xlfn.XLOOKUP(I1231:I5271,'参照_姫'!A:A,'参照_姫'!B:B,"見つかりません"))</f>
      </c>
      <c r="K1231" s="4">
        <v>95</v>
      </c>
      <c r="L1231" s="4">
        <v>0</v>
      </c>
      <c r="M1231" s="4"/>
      <c r="N1231" s="4"/>
      <c r="O1231" s="4"/>
      <c r="P1231" s="12" t="str">
        <f t="array" ref="P1231">IF(O1231:O5271="","",_xlfn.XLOOKUP(O1231:O5271,'参照_官位'!A:A,'参照_官位'!B:B,""))</f>
      </c>
      <c r="Q1231" s="12" t="str">
        <f t="array" ref="Q1231">IF(A1231:A5271="","",IFERROR(_xlfn.XLOOKUP(A1231:A5271,castles_state!K:K,castles_state!D:D)&amp;"主",IFERROR(_xlfn.XLOOKUP(A1231:A5271,kunishuClan!D:D,kunishuClan!B:B)&amp;"当主","")))</f>
      </c>
    </row>
    <row r="1232" ht="15.75" customHeight="1">
      <c r="A1232" s="4">
        <v>1025094</v>
      </c>
      <c r="B1232" s="12" t="str">
        <f t="array" ref="B1232">IF(A1232:A5272="","",_xlfn.XLOOKUP(A1232:A5272,'参照_武将'!A:A,'参照_武将'!B:B,"見つかりません"))</f>
      </c>
      <c r="C1232" s="4" t="s">
        <v>170</v>
      </c>
      <c r="D1232" s="4">
        <v>25</v>
      </c>
      <c r="E1232" s="12" t="str">
        <f t="array" ref="E1232">IF(D1232:D5272="","",IFERROR(_xlfn.XLOOKUP(D1232:D5272,'参照_勢力'!A:A,'参照_勢力'!B:B),IFERROR(_xlfn.XLOOKUP(F1232:F5272,kunishuClan!A:A,kunishuClan!B:B),"浪人")))</f>
      </c>
      <c r="F1232" s="4">
        <v>0</v>
      </c>
      <c r="G1232" s="4">
        <v>119</v>
      </c>
      <c r="H1232" s="12" t="str">
        <f t="array" ref="H1232">IF(G1232:G5272="","",_xlfn.XLOOKUP(G1232:G5272,castles_state!A:A,castles_state!D:D,"見つかりません"))</f>
      </c>
      <c r="I1232" s="4"/>
      <c r="J1232" s="12" t="str">
        <f t="array" ref="J1232">IF(I1232:I5272="","",_xlfn.XLOOKUP(I1232:I5272,'参照_姫'!A:A,'参照_姫'!B:B,"見つかりません"))</f>
      </c>
      <c r="K1232" s="4">
        <v>90</v>
      </c>
      <c r="L1232" s="4">
        <v>500</v>
      </c>
      <c r="M1232" s="4"/>
      <c r="N1232" s="4"/>
      <c r="O1232" s="4"/>
      <c r="P1232" s="12" t="str">
        <f t="array" ref="P1232">IF(O1232:O5272="","",_xlfn.XLOOKUP(O1232:O5272,'参照_官位'!A:A,'参照_官位'!B:B,""))</f>
      </c>
      <c r="Q1232" s="12" t="str">
        <f t="array" ref="Q1232">IF(A1232:A5272="","",IFERROR(_xlfn.XLOOKUP(A1232:A5272,castles_state!K:K,castles_state!D:D)&amp;"主",IFERROR(_xlfn.XLOOKUP(A1232:A5272,kunishuClan!D:D,kunishuClan!B:B)&amp;"当主","")))</f>
      </c>
    </row>
    <row r="1233" ht="15.75" customHeight="1">
      <c r="A1233" s="4">
        <v>1025095</v>
      </c>
      <c r="B1233" s="12" t="str">
        <f t="array" ref="B1233">IF(A1233:A5273="","",_xlfn.XLOOKUP(A1233:A5273,'参照_武将'!A:A,'参照_武将'!B:B,"見つかりません"))</f>
      </c>
      <c r="C1233" s="4" t="s">
        <v>170</v>
      </c>
      <c r="D1233" s="4">
        <v>25</v>
      </c>
      <c r="E1233" s="12" t="str">
        <f t="array" ref="E1233">IF(D1233:D5273="","",IFERROR(_xlfn.XLOOKUP(D1233:D5273,'参照_勢力'!A:A,'参照_勢力'!B:B),IFERROR(_xlfn.XLOOKUP(F1233:F5273,kunishuClan!A:A,kunishuClan!B:B),"浪人")))</f>
      </c>
      <c r="F1233" s="4">
        <v>0</v>
      </c>
      <c r="G1233" s="4">
        <v>120</v>
      </c>
      <c r="H1233" s="12" t="str">
        <f t="array" ref="H1233">IF(G1233:G5273="","",_xlfn.XLOOKUP(G1233:G5273,castles_state!A:A,castles_state!D:D,"見つかりません"))</f>
      </c>
      <c r="I1233" s="4"/>
      <c r="J1233" s="12" t="str">
        <f t="array" ref="J1233">IF(I1233:I5273="","",_xlfn.XLOOKUP(I1233:I5273,'参照_姫'!A:A,'参照_姫'!B:B,"見つかりません"))</f>
      </c>
      <c r="K1233" s="4">
        <v>90</v>
      </c>
      <c r="L1233" s="4">
        <v>0</v>
      </c>
      <c r="M1233" s="4"/>
      <c r="N1233" s="4"/>
      <c r="O1233" s="4"/>
      <c r="P1233" s="12" t="str">
        <f t="array" ref="P1233">IF(O1233:O5273="","",_xlfn.XLOOKUP(O1233:O5273,'参照_官位'!A:A,'参照_官位'!B:B,""))</f>
      </c>
      <c r="Q1233" s="12" t="str">
        <f t="array" ref="Q1233">IF(A1233:A5273="","",IFERROR(_xlfn.XLOOKUP(A1233:A5273,castles_state!K:K,castles_state!D:D)&amp;"主",IFERROR(_xlfn.XLOOKUP(A1233:A5273,kunishuClan!D:D,kunishuClan!B:B)&amp;"当主","")))</f>
      </c>
    </row>
    <row r="1234" ht="15.75" customHeight="1">
      <c r="A1234" s="4">
        <v>1025096</v>
      </c>
      <c r="B1234" s="12" t="str">
        <f t="array" ref="B1234">IF(A1234:A5274="","",_xlfn.XLOOKUP(A1234:A5274,'参照_武将'!A:A,'参照_武将'!B:B,"見つかりません"))</f>
      </c>
      <c r="C1234" s="4" t="s">
        <v>170</v>
      </c>
      <c r="D1234" s="4">
        <v>25</v>
      </c>
      <c r="E1234" s="12" t="str">
        <f t="array" ref="E1234">IF(D1234:D5274="","",IFERROR(_xlfn.XLOOKUP(D1234:D5274,'参照_勢力'!A:A,'参照_勢力'!B:B),IFERROR(_xlfn.XLOOKUP(F1234:F5274,kunishuClan!A:A,kunishuClan!B:B),"浪人")))</f>
      </c>
      <c r="F1234" s="4">
        <v>0</v>
      </c>
      <c r="G1234" s="4">
        <v>125</v>
      </c>
      <c r="H1234" s="12" t="str">
        <f t="array" ref="H1234">IF(G1234:G5274="","",_xlfn.XLOOKUP(G1234:G5274,castles_state!A:A,castles_state!D:D,"見つかりません"))</f>
      </c>
      <c r="I1234" s="4"/>
      <c r="J1234" s="12" t="str">
        <f t="array" ref="J1234">IF(I1234:I5274="","",_xlfn.XLOOKUP(I1234:I5274,'参照_姫'!A:A,'参照_姫'!B:B,"見つかりません"))</f>
      </c>
      <c r="K1234" s="4">
        <v>90</v>
      </c>
      <c r="L1234" s="4">
        <v>0</v>
      </c>
      <c r="M1234" s="4"/>
      <c r="N1234" s="4"/>
      <c r="O1234" s="4"/>
      <c r="P1234" s="12" t="str">
        <f t="array" ref="P1234">IF(O1234:O5274="","",_xlfn.XLOOKUP(O1234:O5274,'参照_官位'!A:A,'参照_官位'!B:B,""))</f>
      </c>
      <c r="Q1234" s="12" t="str">
        <f t="array" ref="Q1234">IF(A1234:A5274="","",IFERROR(_xlfn.XLOOKUP(A1234:A5274,castles_state!K:K,castles_state!D:D)&amp;"主",IFERROR(_xlfn.XLOOKUP(A1234:A5274,kunishuClan!D:D,kunishuClan!B:B)&amp;"当主","")))</f>
      </c>
    </row>
    <row r="1235" ht="15.75" customHeight="1">
      <c r="A1235" s="4">
        <v>1025097</v>
      </c>
      <c r="B1235" s="12" t="str">
        <f t="array" ref="B1235">IF(A1235:A5275="","",_xlfn.XLOOKUP(A1235:A5275,'参照_武将'!A:A,'参照_武将'!B:B,"見つかりません"))</f>
      </c>
      <c r="C1235" s="4" t="s">
        <v>170</v>
      </c>
      <c r="D1235" s="4">
        <v>25</v>
      </c>
      <c r="E1235" s="12" t="str">
        <f t="array" ref="E1235">IF(D1235:D5275="","",IFERROR(_xlfn.XLOOKUP(D1235:D5275,'参照_勢力'!A:A,'参照_勢力'!B:B),IFERROR(_xlfn.XLOOKUP(F1235:F5275,kunishuClan!A:A,kunishuClan!B:B),"浪人")))</f>
      </c>
      <c r="F1235" s="4">
        <v>0</v>
      </c>
      <c r="G1235" s="4">
        <v>240</v>
      </c>
      <c r="H1235" s="12" t="str">
        <f t="array" ref="H1235">IF(G1235:G5275="","",_xlfn.XLOOKUP(G1235:G5275,castles_state!A:A,castles_state!D:D,"見つかりません"))</f>
      </c>
      <c r="I1235" s="4"/>
      <c r="J1235" s="12" t="str">
        <f t="array" ref="J1235">IF(I1235:I5275="","",_xlfn.XLOOKUP(I1235:I5275,'参照_姫'!A:A,'参照_姫'!B:B,"見つかりません"))</f>
      </c>
      <c r="K1235" s="4">
        <v>95</v>
      </c>
      <c r="L1235" s="4">
        <v>500</v>
      </c>
      <c r="M1235" s="4"/>
      <c r="N1235" s="4"/>
      <c r="O1235" s="4"/>
      <c r="P1235" s="12" t="str">
        <f t="array" ref="P1235">IF(O1235:O5275="","",_xlfn.XLOOKUP(O1235:O5275,'参照_官位'!A:A,'参照_官位'!B:B,""))</f>
      </c>
      <c r="Q1235" s="12" t="str">
        <f t="array" ref="Q1235">IF(A1235:A5275="","",IFERROR(_xlfn.XLOOKUP(A1235:A5275,castles_state!K:K,castles_state!D:D)&amp;"主",IFERROR(_xlfn.XLOOKUP(A1235:A5275,kunishuClan!D:D,kunishuClan!B:B)&amp;"当主","")))</f>
      </c>
    </row>
    <row r="1236" ht="15.75" customHeight="1">
      <c r="A1236" s="4">
        <v>1025098</v>
      </c>
      <c r="B1236" s="12" t="str">
        <f t="array" ref="B1236">IF(A1236:A5276="","",_xlfn.XLOOKUP(A1236:A5276,'参照_武将'!A:A,'参照_武将'!B:B,"見つかりません"))</f>
      </c>
      <c r="C1236" s="4" t="s">
        <v>170</v>
      </c>
      <c r="D1236" s="4">
        <v>25</v>
      </c>
      <c r="E1236" s="12" t="str">
        <f t="array" ref="E1236">IF(D1236:D5276="","",IFERROR(_xlfn.XLOOKUP(D1236:D5276,'参照_勢力'!A:A,'参照_勢力'!B:B),IFERROR(_xlfn.XLOOKUP(F1236:F5276,kunishuClan!A:A,kunishuClan!B:B),"浪人")))</f>
      </c>
      <c r="F1236" s="4">
        <v>0</v>
      </c>
      <c r="G1236" s="4">
        <v>125</v>
      </c>
      <c r="H1236" s="12" t="str">
        <f t="array" ref="H1236">IF(G1236:G5276="","",_xlfn.XLOOKUP(G1236:G5276,castles_state!A:A,castles_state!D:D,"見つかりません"))</f>
      </c>
      <c r="I1236" s="4"/>
      <c r="J1236" s="12" t="str">
        <f t="array" ref="J1236">IF(I1236:I5276="","",_xlfn.XLOOKUP(I1236:I5276,'参照_姫'!A:A,'参照_姫'!B:B,"見つかりません"))</f>
      </c>
      <c r="K1236" s="4">
        <v>90</v>
      </c>
      <c r="L1236" s="4">
        <v>300</v>
      </c>
      <c r="M1236" s="4"/>
      <c r="N1236" s="4"/>
      <c r="O1236" s="4"/>
      <c r="P1236" s="12" t="str">
        <f t="array" ref="P1236">IF(O1236:O5276="","",_xlfn.XLOOKUP(O1236:O5276,'参照_官位'!A:A,'参照_官位'!B:B,""))</f>
      </c>
      <c r="Q1236" s="12" t="str">
        <f t="array" ref="Q1236">IF(A1236:A5276="","",IFERROR(_xlfn.XLOOKUP(A1236:A5276,castles_state!K:K,castles_state!D:D)&amp;"主",IFERROR(_xlfn.XLOOKUP(A1236:A5276,kunishuClan!D:D,kunishuClan!B:B)&amp;"当主","")))</f>
      </c>
    </row>
    <row r="1237" ht="15.75" customHeight="1">
      <c r="A1237" s="4">
        <v>1025099</v>
      </c>
      <c r="B1237" s="12" t="str">
        <f t="array" ref="B1237">IF(A1237:A5277="","",_xlfn.XLOOKUP(A1237:A5277,'参照_武将'!A:A,'参照_武将'!B:B,"見つかりません"))</f>
      </c>
      <c r="C1237" s="4" t="s">
        <v>170</v>
      </c>
      <c r="D1237" s="4">
        <v>25</v>
      </c>
      <c r="E1237" s="12" t="str">
        <f t="array" ref="E1237">IF(D1237:D5277="","",IFERROR(_xlfn.XLOOKUP(D1237:D5277,'参照_勢力'!A:A,'参照_勢力'!B:B),IFERROR(_xlfn.XLOOKUP(F1237:F5277,kunishuClan!A:A,kunishuClan!B:B),"浪人")))</f>
      </c>
      <c r="F1237" s="4">
        <v>0</v>
      </c>
      <c r="G1237" s="4">
        <v>125</v>
      </c>
      <c r="H1237" s="12" t="str">
        <f t="array" ref="H1237">IF(G1237:G5277="","",_xlfn.XLOOKUP(G1237:G5277,castles_state!A:A,castles_state!D:D,"見つかりません"))</f>
      </c>
      <c r="I1237" s="4"/>
      <c r="J1237" s="12" t="str">
        <f t="array" ref="J1237">IF(I1237:I5277="","",_xlfn.XLOOKUP(I1237:I5277,'参照_姫'!A:A,'参照_姫'!B:B,"見つかりません"))</f>
      </c>
      <c r="K1237" s="4">
        <v>90</v>
      </c>
      <c r="L1237" s="4">
        <v>0</v>
      </c>
      <c r="M1237" s="4"/>
      <c r="N1237" s="4"/>
      <c r="O1237" s="4"/>
      <c r="P1237" s="12" t="str">
        <f t="array" ref="P1237">IF(O1237:O5277="","",_xlfn.XLOOKUP(O1237:O5277,'参照_官位'!A:A,'参照_官位'!B:B,""))</f>
      </c>
      <c r="Q1237" s="12" t="str">
        <f t="array" ref="Q1237">IF(A1237:A5277="","",IFERROR(_xlfn.XLOOKUP(A1237:A5277,castles_state!K:K,castles_state!D:D)&amp;"主",IFERROR(_xlfn.XLOOKUP(A1237:A5277,kunishuClan!D:D,kunishuClan!B:B)&amp;"当主","")))</f>
      </c>
    </row>
    <row r="1238" ht="15.75" customHeight="1">
      <c r="A1238" s="4">
        <v>1025100</v>
      </c>
      <c r="B1238" s="12" t="str">
        <f t="array" ref="B1238">IF(A1238:A5278="","",_xlfn.XLOOKUP(A1238:A5278,'参照_武将'!A:A,'参照_武将'!B:B,"見つかりません"))</f>
      </c>
      <c r="C1238" s="4" t="s">
        <v>170</v>
      </c>
      <c r="D1238" s="4">
        <v>25</v>
      </c>
      <c r="E1238" s="12" t="str">
        <f t="array" ref="E1238">IF(D1238:D5278="","",IFERROR(_xlfn.XLOOKUP(D1238:D5278,'参照_勢力'!A:A,'参照_勢力'!B:B),IFERROR(_xlfn.XLOOKUP(F1238:F5278,kunishuClan!A:A,kunishuClan!B:B),"浪人")))</f>
      </c>
      <c r="F1238" s="4">
        <v>0</v>
      </c>
      <c r="G1238" s="4">
        <v>125</v>
      </c>
      <c r="H1238" s="12" t="str">
        <f t="array" ref="H1238">IF(G1238:G5278="","",_xlfn.XLOOKUP(G1238:G5278,castles_state!A:A,castles_state!D:D,"見つかりません"))</f>
      </c>
      <c r="I1238" s="4"/>
      <c r="J1238" s="12" t="str">
        <f t="array" ref="J1238">IF(I1238:I5278="","",_xlfn.XLOOKUP(I1238:I5278,'参照_姫'!A:A,'参照_姫'!B:B,"見つかりません"))</f>
      </c>
      <c r="K1238" s="4">
        <v>90</v>
      </c>
      <c r="L1238" s="4">
        <v>0</v>
      </c>
      <c r="M1238" s="4"/>
      <c r="N1238" s="4"/>
      <c r="O1238" s="4"/>
      <c r="P1238" s="12" t="str">
        <f t="array" ref="P1238">IF(O1238:O5278="","",_xlfn.XLOOKUP(O1238:O5278,'参照_官位'!A:A,'参照_官位'!B:B,""))</f>
      </c>
      <c r="Q1238" s="12" t="str">
        <f t="array" ref="Q1238">IF(A1238:A5278="","",IFERROR(_xlfn.XLOOKUP(A1238:A5278,castles_state!K:K,castles_state!D:D)&amp;"主",IFERROR(_xlfn.XLOOKUP(A1238:A5278,kunishuClan!D:D,kunishuClan!B:B)&amp;"当主","")))</f>
      </c>
    </row>
    <row r="1239" ht="15.75" customHeight="1">
      <c r="A1239" s="4">
        <v>1025101</v>
      </c>
      <c r="B1239" s="12" t="str">
        <f t="array" ref="B1239">IF(A1239:A5279="","",_xlfn.XLOOKUP(A1239:A5279,'参照_武将'!A:A,'参照_武将'!B:B,"見つかりません"))</f>
      </c>
      <c r="C1239" s="4" t="s">
        <v>170</v>
      </c>
      <c r="D1239" s="4">
        <v>25</v>
      </c>
      <c r="E1239" s="12" t="str">
        <f t="array" ref="E1239">IF(D1239:D5279="","",IFERROR(_xlfn.XLOOKUP(D1239:D5279,'参照_勢力'!A:A,'参照_勢力'!B:B),IFERROR(_xlfn.XLOOKUP(F1239:F5279,kunishuClan!A:A,kunishuClan!B:B),"浪人")))</f>
      </c>
      <c r="F1239" s="4">
        <v>0</v>
      </c>
      <c r="G1239" s="4">
        <v>120</v>
      </c>
      <c r="H1239" s="12" t="str">
        <f t="array" ref="H1239">IF(G1239:G5279="","",_xlfn.XLOOKUP(G1239:G5279,castles_state!A:A,castles_state!D:D,"見つかりません"))</f>
      </c>
      <c r="I1239" s="4"/>
      <c r="J1239" s="12" t="str">
        <f t="array" ref="J1239">IF(I1239:I5279="","",_xlfn.XLOOKUP(I1239:I5279,'参照_姫'!A:A,'参照_姫'!B:B,"見つかりません"))</f>
      </c>
      <c r="K1239" s="4">
        <v>95</v>
      </c>
      <c r="L1239" s="4">
        <v>0</v>
      </c>
      <c r="M1239" s="4"/>
      <c r="N1239" s="4"/>
      <c r="O1239" s="4"/>
      <c r="P1239" s="12" t="str">
        <f t="array" ref="P1239">IF(O1239:O5279="","",_xlfn.XLOOKUP(O1239:O5279,'参照_官位'!A:A,'参照_官位'!B:B,""))</f>
      </c>
      <c r="Q1239" s="12" t="str">
        <f t="array" ref="Q1239">IF(A1239:A5279="","",IFERROR(_xlfn.XLOOKUP(A1239:A5279,castles_state!K:K,castles_state!D:D)&amp;"主",IFERROR(_xlfn.XLOOKUP(A1239:A5279,kunishuClan!D:D,kunishuClan!B:B)&amp;"当主","")))</f>
      </c>
    </row>
    <row r="1240" ht="15.75" customHeight="1">
      <c r="A1240" s="4">
        <v>1025102</v>
      </c>
      <c r="B1240" s="12" t="str">
        <f t="array" ref="B1240">IF(A1240:A5280="","",_xlfn.XLOOKUP(A1240:A5280,'参照_武将'!A:A,'参照_武将'!B:B,"見つかりません"))</f>
      </c>
      <c r="C1240" s="4" t="s">
        <v>170</v>
      </c>
      <c r="D1240" s="4">
        <v>25</v>
      </c>
      <c r="E1240" s="12" t="str">
        <f t="array" ref="E1240">IF(D1240:D5280="","",IFERROR(_xlfn.XLOOKUP(D1240:D5280,'参照_勢力'!A:A,'参照_勢力'!B:B),IFERROR(_xlfn.XLOOKUP(F1240:F5280,kunishuClan!A:A,kunishuClan!B:B),"浪人")))</f>
      </c>
      <c r="F1240" s="4">
        <v>0</v>
      </c>
      <c r="G1240" s="4">
        <v>118</v>
      </c>
      <c r="H1240" s="12" t="str">
        <f t="array" ref="H1240">IF(G1240:G5280="","",_xlfn.XLOOKUP(G1240:G5280,castles_state!A:A,castles_state!D:D,"見つかりません"))</f>
      </c>
      <c r="I1240" s="4"/>
      <c r="J1240" s="12" t="str">
        <f t="array" ref="J1240">IF(I1240:I5280="","",_xlfn.XLOOKUP(I1240:I5280,'参照_姫'!A:A,'参照_姫'!B:B,"見つかりません"))</f>
      </c>
      <c r="K1240" s="4">
        <v>90</v>
      </c>
      <c r="L1240" s="4">
        <v>0</v>
      </c>
      <c r="M1240" s="4"/>
      <c r="N1240" s="4"/>
      <c r="O1240" s="4"/>
      <c r="P1240" s="12" t="str">
        <f t="array" ref="P1240">IF(O1240:O5280="","",_xlfn.XLOOKUP(O1240:O5280,'参照_官位'!A:A,'参照_官位'!B:B,""))</f>
      </c>
      <c r="Q1240" s="12" t="str">
        <f t="array" ref="Q1240">IF(A1240:A5280="","",IFERROR(_xlfn.XLOOKUP(A1240:A5280,castles_state!K:K,castles_state!D:D)&amp;"主",IFERROR(_xlfn.XLOOKUP(A1240:A5280,kunishuClan!D:D,kunishuClan!B:B)&amp;"当主","")))</f>
      </c>
    </row>
    <row r="1241" ht="15.75" customHeight="1">
      <c r="A1241" s="4">
        <v>1026001</v>
      </c>
      <c r="B1241" s="12" t="str">
        <f t="array" ref="B1241">IF(A1241:A5283="","",_xlfn.XLOOKUP(A1241:A5283,'参照_武将'!A:A,'参照_武将'!B:B,"見つかりません"))</f>
      </c>
      <c r="C1241" s="4" t="s">
        <v>172</v>
      </c>
      <c r="D1241" s="4">
        <v>26</v>
      </c>
      <c r="E1241" s="12" t="str">
        <f t="array" ref="E1241">IF(D1241:D5283="","",IFERROR(_xlfn.XLOOKUP(D1241:D5283,'参照_勢力'!A:A,'参照_勢力'!B:B),IFERROR(_xlfn.XLOOKUP(F1241:F5283,kunishuClan!A:A,kunishuClan!B:B),"浪人")))</f>
      </c>
      <c r="F1241" s="4">
        <v>0</v>
      </c>
      <c r="G1241" s="4">
        <v>169</v>
      </c>
      <c r="H1241" s="12" t="str">
        <f t="array" ref="H1241">IF(G1241:G5283="","",_xlfn.XLOOKUP(G1241:G5283,castles_state!A:A,castles_state!D:D,"見つかりません"))</f>
      </c>
      <c r="I1241" s="4"/>
      <c r="J1241" s="12" t="str">
        <f t="array" ref="J1241">IF(I1241:I5283="","",_xlfn.XLOOKUP(I1241:I5283,'参照_姫'!A:A,'参照_姫'!B:B,"見つかりません"))</f>
      </c>
      <c r="K1241" s="4">
        <v>95</v>
      </c>
      <c r="L1241" s="4">
        <v>0</v>
      </c>
      <c r="M1241" s="4"/>
      <c r="N1241" s="4"/>
      <c r="O1241" s="4"/>
      <c r="P1241" s="12" t="str">
        <f t="array" ref="P1241">IF(O1241:O5283="","",_xlfn.XLOOKUP(O1241:O5283,'参照_官位'!A:A,'参照_官位'!B:B,""))</f>
      </c>
      <c r="Q1241" s="12" t="str">
        <f t="array" ref="Q1241">IF(A1241:A5283="","",IFERROR(_xlfn.XLOOKUP(A1241:A5283,castles_state!K:K,castles_state!D:D)&amp;"主",IFERROR(_xlfn.XLOOKUP(A1241:A5283,kunishuClan!D:D,kunishuClan!B:B)&amp;"当主","")))</f>
      </c>
    </row>
    <row r="1242" ht="15.75" customHeight="1">
      <c r="A1242" s="4">
        <v>1026002</v>
      </c>
      <c r="B1242" s="12" t="str">
        <f t="array" ref="B1242">IF(A1242:A5284="","",_xlfn.XLOOKUP(A1242:A5284,'参照_武将'!A:A,'参照_武将'!B:B,"見つかりません"))</f>
      </c>
      <c r="C1242" s="4" t="s">
        <v>172</v>
      </c>
      <c r="D1242" s="4">
        <v>26</v>
      </c>
      <c r="E1242" s="12" t="str">
        <f t="array" ref="E1242">IF(D1242:D5284="","",IFERROR(_xlfn.XLOOKUP(D1242:D5284,'参照_勢力'!A:A,'参照_勢力'!B:B),IFERROR(_xlfn.XLOOKUP(F1242:F5284,kunishuClan!A:A,kunishuClan!B:B),"浪人")))</f>
      </c>
      <c r="F1242" s="4">
        <v>0</v>
      </c>
      <c r="G1242" s="4">
        <v>169</v>
      </c>
      <c r="H1242" s="12" t="str">
        <f t="array" ref="H1242">IF(G1242:G5284="","",_xlfn.XLOOKUP(G1242:G5284,castles_state!A:A,castles_state!D:D,"見つかりません"))</f>
      </c>
      <c r="I1242" s="4"/>
      <c r="J1242" s="12" t="str">
        <f t="array" ref="J1242">IF(I1242:I5284="","",_xlfn.XLOOKUP(I1242:I5284,'参照_姫'!A:A,'参照_姫'!B:B,"見つかりません"))</f>
      </c>
      <c r="K1242" s="4">
        <v>95</v>
      </c>
      <c r="L1242" s="4">
        <v>0</v>
      </c>
      <c r="M1242" s="4"/>
      <c r="N1242" s="4"/>
      <c r="O1242" s="4"/>
      <c r="P1242" s="12" t="str">
        <f t="array" ref="P1242">IF(O1242:O5284="","",_xlfn.XLOOKUP(O1242:O5284,'参照_官位'!A:A,'参照_官位'!B:B,""))</f>
      </c>
      <c r="Q1242" s="12" t="str">
        <f t="array" ref="Q1242">IF(A1242:A5284="","",IFERROR(_xlfn.XLOOKUP(A1242:A5284,castles_state!K:K,castles_state!D:D)&amp;"主",IFERROR(_xlfn.XLOOKUP(A1242:A5284,kunishuClan!D:D,kunishuClan!B:B)&amp;"当主","")))</f>
      </c>
    </row>
    <row r="1243" ht="15.75" customHeight="1">
      <c r="A1243" s="4">
        <v>1026003</v>
      </c>
      <c r="B1243" s="12" t="str">
        <f t="array" ref="B1243">IF(A1243:A5285="","",_xlfn.XLOOKUP(A1243:A5285,'参照_武将'!A:A,'参照_武将'!B:B,"見つかりません"))</f>
      </c>
      <c r="C1243" s="4" t="s">
        <v>172</v>
      </c>
      <c r="D1243" s="4">
        <v>26</v>
      </c>
      <c r="E1243" s="12" t="str">
        <f t="array" ref="E1243">IF(D1243:D5285="","",IFERROR(_xlfn.XLOOKUP(D1243:D5285,'参照_勢力'!A:A,'参照_勢力'!B:B),IFERROR(_xlfn.XLOOKUP(F1243:F5285,kunishuClan!A:A,kunishuClan!B:B),"浪人")))</f>
      </c>
      <c r="F1243" s="4">
        <v>0</v>
      </c>
      <c r="G1243" s="4">
        <v>169</v>
      </c>
      <c r="H1243" s="12" t="str">
        <f t="array" ref="H1243">IF(G1243:G5285="","",_xlfn.XLOOKUP(G1243:G5285,castles_state!A:A,castles_state!D:D,"見つかりません"))</f>
      </c>
      <c r="I1243" s="4"/>
      <c r="J1243" s="12" t="str">
        <f t="array" ref="J1243">IF(I1243:I5285="","",_xlfn.XLOOKUP(I1243:I5285,'参照_姫'!A:A,'参照_姫'!B:B,"見つかりません"))</f>
      </c>
      <c r="K1243" s="4">
        <v>95</v>
      </c>
      <c r="L1243" s="4">
        <v>0</v>
      </c>
      <c r="M1243" s="4"/>
      <c r="N1243" s="4"/>
      <c r="O1243" s="4"/>
      <c r="P1243" s="12" t="str">
        <f t="array" ref="P1243">IF(O1243:O5285="","",_xlfn.XLOOKUP(O1243:O5285,'参照_官位'!A:A,'参照_官位'!B:B,""))</f>
      </c>
      <c r="Q1243" s="12" t="str">
        <f t="array" ref="Q1243">IF(A1243:A5285="","",IFERROR(_xlfn.XLOOKUP(A1243:A5285,castles_state!K:K,castles_state!D:D)&amp;"主",IFERROR(_xlfn.XLOOKUP(A1243:A5285,kunishuClan!D:D,kunishuClan!B:B)&amp;"当主","")))</f>
      </c>
    </row>
    <row r="1244" ht="15.75" customHeight="1">
      <c r="A1244" s="4">
        <v>1026004</v>
      </c>
      <c r="B1244" s="12" t="str">
        <f t="array" ref="B1244">IF(A1244:A5286="","",_xlfn.XLOOKUP(A1244:A5286,'参照_武将'!A:A,'参照_武将'!B:B,"見つかりません"))</f>
      </c>
      <c r="C1244" s="4" t="s">
        <v>172</v>
      </c>
      <c r="D1244" s="4">
        <v>26</v>
      </c>
      <c r="E1244" s="12" t="str">
        <f t="array" ref="E1244">IF(D1244:D5286="","",IFERROR(_xlfn.XLOOKUP(D1244:D5286,'参照_勢力'!A:A,'参照_勢力'!B:B),IFERROR(_xlfn.XLOOKUP(F1244:F5286,kunishuClan!A:A,kunishuClan!B:B),"浪人")))</f>
      </c>
      <c r="F1244" s="4">
        <v>0</v>
      </c>
      <c r="G1244" s="4">
        <v>169</v>
      </c>
      <c r="H1244" s="12" t="str">
        <f t="array" ref="H1244">IF(G1244:G5286="","",_xlfn.XLOOKUP(G1244:G5286,castles_state!A:A,castles_state!D:D,"見つかりません"))</f>
      </c>
      <c r="I1244" s="4"/>
      <c r="J1244" s="12" t="str">
        <f t="array" ref="J1244">IF(I1244:I5286="","",_xlfn.XLOOKUP(I1244:I5286,'参照_姫'!A:A,'参照_姫'!B:B,"見つかりません"))</f>
      </c>
      <c r="K1244" s="4">
        <v>95</v>
      </c>
      <c r="L1244" s="4">
        <v>0</v>
      </c>
      <c r="M1244" s="4"/>
      <c r="N1244" s="4"/>
      <c r="O1244" s="4"/>
      <c r="P1244" s="12" t="str">
        <f t="array" ref="P1244">IF(O1244:O5286="","",_xlfn.XLOOKUP(O1244:O5286,'参照_官位'!A:A,'参照_官位'!B:B,""))</f>
      </c>
      <c r="Q1244" s="12" t="str">
        <f t="array" ref="Q1244">IF(A1244:A5286="","",IFERROR(_xlfn.XLOOKUP(A1244:A5286,castles_state!K:K,castles_state!D:D)&amp;"主",IFERROR(_xlfn.XLOOKUP(A1244:A5286,kunishuClan!D:D,kunishuClan!B:B)&amp;"当主","")))</f>
      </c>
    </row>
    <row r="1245" ht="15.75" customHeight="1">
      <c r="A1245" s="4">
        <v>1026005</v>
      </c>
      <c r="B1245" s="12" t="str">
        <f t="array" ref="B1245">IF(A1245:A5287="","",_xlfn.XLOOKUP(A1245:A5287,'参照_武将'!A:A,'参照_武将'!B:B,"見つかりません"))</f>
      </c>
      <c r="C1245" s="4" t="s">
        <v>172</v>
      </c>
      <c r="D1245" s="4">
        <v>26</v>
      </c>
      <c r="E1245" s="12" t="str">
        <f t="array" ref="E1245">IF(D1245:D5287="","",IFERROR(_xlfn.XLOOKUP(D1245:D5287,'参照_勢力'!A:A,'参照_勢力'!B:B),IFERROR(_xlfn.XLOOKUP(F1245:F5287,kunishuClan!A:A,kunishuClan!B:B),"浪人")))</f>
      </c>
      <c r="F1245" s="4">
        <v>0</v>
      </c>
      <c r="G1245" s="4">
        <v>169</v>
      </c>
      <c r="H1245" s="12" t="str">
        <f t="array" ref="H1245">IF(G1245:G5287="","",_xlfn.XLOOKUP(G1245:G5287,castles_state!A:A,castles_state!D:D,"見つかりません"))</f>
      </c>
      <c r="I1245" s="4"/>
      <c r="J1245" s="12" t="str">
        <f t="array" ref="J1245">IF(I1245:I5287="","",_xlfn.XLOOKUP(I1245:I5287,'参照_姫'!A:A,'参照_姫'!B:B,"見つかりません"))</f>
      </c>
      <c r="K1245" s="4">
        <v>95</v>
      </c>
      <c r="L1245" s="4">
        <v>700</v>
      </c>
      <c r="M1245" s="4"/>
      <c r="N1245" s="4"/>
      <c r="O1245" s="4"/>
      <c r="P1245" s="12" t="str">
        <f t="array" ref="P1245">IF(O1245:O5287="","",_xlfn.XLOOKUP(O1245:O5287,'参照_官位'!A:A,'参照_官位'!B:B,""))</f>
      </c>
      <c r="Q1245" s="12" t="str">
        <f t="array" ref="Q1245">IF(A1245:A5287="","",IFERROR(_xlfn.XLOOKUP(A1245:A5287,castles_state!K:K,castles_state!D:D)&amp;"主",IFERROR(_xlfn.XLOOKUP(A1245:A5287,kunishuClan!D:D,kunishuClan!B:B)&amp;"当主","")))</f>
      </c>
    </row>
    <row r="1246" ht="15.75" customHeight="1">
      <c r="A1246" s="4">
        <v>1026006</v>
      </c>
      <c r="B1246" s="12" t="str">
        <f t="array" ref="B1246">IF(A1246:A5288="","",_xlfn.XLOOKUP(A1246:A5288,'参照_武将'!A:A,'参照_武将'!B:B,"見つかりません"))</f>
      </c>
      <c r="C1246" s="4" t="s">
        <v>5936</v>
      </c>
      <c r="D1246" s="4">
        <v>26</v>
      </c>
      <c r="E1246" s="12" t="str">
        <f t="array" ref="E1246">IF(D1246:D5288="","",IFERROR(_xlfn.XLOOKUP(D1246:D5288,'参照_勢力'!A:A,'参照_勢力'!B:B),IFERROR(_xlfn.XLOOKUP(F1246:F5288,kunishuClan!A:A,kunishuClan!B:B),"浪人")))</f>
      </c>
      <c r="F1246" s="4">
        <v>0</v>
      </c>
      <c r="G1246" s="4">
        <v>169</v>
      </c>
      <c r="H1246" s="12" t="str">
        <f t="array" ref="H1246">IF(G1246:G5288="","",_xlfn.XLOOKUP(G1246:G5288,castles_state!A:A,castles_state!D:D,"見つかりません"))</f>
      </c>
      <c r="I1246" s="4"/>
      <c r="J1246" s="12" t="str">
        <f t="array" ref="J1246">IF(I1246:I5288="","",_xlfn.XLOOKUP(I1246:I5288,'参照_姫'!A:A,'参照_姫'!B:B,"見つかりません"))</f>
      </c>
      <c r="K1246" s="4">
        <v>95</v>
      </c>
      <c r="L1246" s="4">
        <v>0</v>
      </c>
      <c r="M1246" s="4"/>
      <c r="N1246" s="4"/>
      <c r="O1246" s="4"/>
      <c r="P1246" s="12" t="str">
        <f t="array" ref="P1246">IF(O1246:O5288="","",_xlfn.XLOOKUP(O1246:O5288,'参照_官位'!A:A,'参照_官位'!B:B,""))</f>
      </c>
      <c r="Q1246" s="12" t="str">
        <f t="array" ref="Q1246">IF(A1246:A5288="","",IFERROR(_xlfn.XLOOKUP(A1246:A5288,castles_state!K:K,castles_state!D:D)&amp;"主",IFERROR(_xlfn.XLOOKUP(A1246:A5288,kunishuClan!D:D,kunishuClan!B:B)&amp;"当主","")))</f>
      </c>
    </row>
    <row r="1247" ht="15.75" customHeight="1">
      <c r="A1247" s="4">
        <v>1026007</v>
      </c>
      <c r="B1247" s="12" t="str">
        <f t="array" ref="B1247">IF(A1247:A5289="","",_xlfn.XLOOKUP(A1247:A5289,'参照_武将'!A:A,'参照_武将'!B:B,"見つかりません"))</f>
      </c>
      <c r="C1247" s="4" t="s">
        <v>5936</v>
      </c>
      <c r="D1247" s="4">
        <v>26</v>
      </c>
      <c r="E1247" s="12" t="str">
        <f t="array" ref="E1247">IF(D1247:D5289="","",IFERROR(_xlfn.XLOOKUP(D1247:D5289,'参照_勢力'!A:A,'参照_勢力'!B:B),IFERROR(_xlfn.XLOOKUP(F1247:F5289,kunishuClan!A:A,kunishuClan!B:B),"浪人")))</f>
      </c>
      <c r="F1247" s="4">
        <v>0</v>
      </c>
      <c r="G1247" s="4">
        <v>169</v>
      </c>
      <c r="H1247" s="12" t="str">
        <f t="array" ref="H1247">IF(G1247:G5289="","",_xlfn.XLOOKUP(G1247:G5289,castles_state!A:A,castles_state!D:D,"見つかりません"))</f>
      </c>
      <c r="I1247" s="4"/>
      <c r="J1247" s="12" t="str">
        <f t="array" ref="J1247">IF(I1247:I5289="","",_xlfn.XLOOKUP(I1247:I5289,'参照_姫'!A:A,'参照_姫'!B:B,"見つかりません"))</f>
      </c>
      <c r="K1247" s="4">
        <v>95</v>
      </c>
      <c r="L1247" s="4">
        <v>0</v>
      </c>
      <c r="M1247" s="4"/>
      <c r="N1247" s="4"/>
      <c r="O1247" s="4"/>
      <c r="P1247" s="12" t="str">
        <f t="array" ref="P1247">IF(O1247:O5289="","",_xlfn.XLOOKUP(O1247:O5289,'参照_官位'!A:A,'参照_官位'!B:B,""))</f>
      </c>
      <c r="Q1247" s="12" t="str">
        <f t="array" ref="Q1247">IF(A1247:A5289="","",IFERROR(_xlfn.XLOOKUP(A1247:A5289,castles_state!K:K,castles_state!D:D)&amp;"主",IFERROR(_xlfn.XLOOKUP(A1247:A5289,kunishuClan!D:D,kunishuClan!B:B)&amp;"当主","")))</f>
      </c>
    </row>
    <row r="1248" ht="15.75" customHeight="1">
      <c r="A1248" s="4">
        <v>1026008</v>
      </c>
      <c r="B1248" s="12" t="str">
        <f t="array" ref="B1248">IF(A1248:A5290="","",_xlfn.XLOOKUP(A1248:A5290,'参照_武将'!A:A,'参照_武将'!B:B,"見つかりません"))</f>
      </c>
      <c r="C1248" s="4" t="s">
        <v>5936</v>
      </c>
      <c r="D1248" s="4">
        <v>26</v>
      </c>
      <c r="E1248" s="12" t="str">
        <f t="array" ref="E1248">IF(D1248:D5290="","",IFERROR(_xlfn.XLOOKUP(D1248:D5290,'参照_勢力'!A:A,'参照_勢力'!B:B),IFERROR(_xlfn.XLOOKUP(F1248:F5290,kunishuClan!A:A,kunishuClan!B:B),"浪人")))</f>
      </c>
      <c r="F1248" s="4">
        <v>0</v>
      </c>
      <c r="G1248" s="4">
        <v>169</v>
      </c>
      <c r="H1248" s="12" t="str">
        <f t="array" ref="H1248">IF(G1248:G5290="","",_xlfn.XLOOKUP(G1248:G5290,castles_state!A:A,castles_state!D:D,"見つかりません"))</f>
      </c>
      <c r="I1248" s="4"/>
      <c r="J1248" s="12" t="str">
        <f t="array" ref="J1248">IF(I1248:I5290="","",_xlfn.XLOOKUP(I1248:I5290,'参照_姫'!A:A,'参照_姫'!B:B,"見つかりません"))</f>
      </c>
      <c r="K1248" s="4">
        <v>95</v>
      </c>
      <c r="L1248" s="4">
        <v>0</v>
      </c>
      <c r="M1248" s="4"/>
      <c r="N1248" s="4"/>
      <c r="O1248" s="4"/>
      <c r="P1248" s="12" t="str">
        <f t="array" ref="P1248">IF(O1248:O5290="","",_xlfn.XLOOKUP(O1248:O5290,'参照_官位'!A:A,'参照_官位'!B:B,""))</f>
      </c>
      <c r="Q1248" s="12" t="str">
        <f t="array" ref="Q1248">IF(A1248:A5290="","",IFERROR(_xlfn.XLOOKUP(A1248:A5290,castles_state!K:K,castles_state!D:D)&amp;"主",IFERROR(_xlfn.XLOOKUP(A1248:A5290,kunishuClan!D:D,kunishuClan!B:B)&amp;"当主","")))</f>
      </c>
    </row>
    <row r="1249" ht="15.75" customHeight="1">
      <c r="A1249" s="4">
        <v>1026009</v>
      </c>
      <c r="B1249" s="12" t="str">
        <f t="array" ref="B1249">IF(A1249:A5291="","",_xlfn.XLOOKUP(A1249:A5291,'参照_武将'!A:A,'参照_武将'!B:B,"見つかりません"))</f>
      </c>
      <c r="C1249" s="4" t="s">
        <v>5936</v>
      </c>
      <c r="D1249" s="4">
        <v>26</v>
      </c>
      <c r="E1249" s="12" t="str">
        <f t="array" ref="E1249">IF(D1249:D5291="","",IFERROR(_xlfn.XLOOKUP(D1249:D5291,'参照_勢力'!A:A,'参照_勢力'!B:B),IFERROR(_xlfn.XLOOKUP(F1249:F5291,kunishuClan!A:A,kunishuClan!B:B),"浪人")))</f>
      </c>
      <c r="F1249" s="4">
        <v>0</v>
      </c>
      <c r="G1249" s="4">
        <v>169</v>
      </c>
      <c r="H1249" s="12" t="str">
        <f t="array" ref="H1249">IF(G1249:G5291="","",_xlfn.XLOOKUP(G1249:G5291,castles_state!A:A,castles_state!D:D,"見つかりません"))</f>
      </c>
      <c r="I1249" s="4"/>
      <c r="J1249" s="12" t="str">
        <f t="array" ref="J1249">IF(I1249:I5291="","",_xlfn.XLOOKUP(I1249:I5291,'参照_姫'!A:A,'参照_姫'!B:B,"見つかりません"))</f>
      </c>
      <c r="K1249" s="4">
        <v>95</v>
      </c>
      <c r="L1249" s="4">
        <v>0</v>
      </c>
      <c r="M1249" s="4"/>
      <c r="N1249" s="4"/>
      <c r="O1249" s="4"/>
      <c r="P1249" s="12" t="str">
        <f t="array" ref="P1249">IF(O1249:O5291="","",_xlfn.XLOOKUP(O1249:O5291,'参照_官位'!A:A,'参照_官位'!B:B,""))</f>
      </c>
      <c r="Q1249" s="12" t="str">
        <f t="array" ref="Q1249">IF(A1249:A5291="","",IFERROR(_xlfn.XLOOKUP(A1249:A5291,castles_state!K:K,castles_state!D:D)&amp;"主",IFERROR(_xlfn.XLOOKUP(A1249:A5291,kunishuClan!D:D,kunishuClan!B:B)&amp;"当主","")))</f>
      </c>
    </row>
    <row r="1250" ht="15.75" customHeight="1">
      <c r="A1250" s="4">
        <v>1026010</v>
      </c>
      <c r="B1250" s="12" t="str">
        <f t="array" ref="B1250">IF(A1250:A5292="","",_xlfn.XLOOKUP(A1250:A5292,'参照_武将'!A:A,'参照_武将'!B:B,"見つかりません"))</f>
      </c>
      <c r="C1250" s="4" t="s">
        <v>5937</v>
      </c>
      <c r="D1250" s="4">
        <v>26</v>
      </c>
      <c r="E1250" s="12" t="str">
        <f t="array" ref="E1250">IF(D1250:D5292="","",IFERROR(_xlfn.XLOOKUP(D1250:D5292,'参照_勢力'!A:A,'参照_勢力'!B:B),IFERROR(_xlfn.XLOOKUP(F1250:F5292,kunishuClan!A:A,kunishuClan!B:B),"浪人")))</f>
      </c>
      <c r="F1250" s="4">
        <v>0</v>
      </c>
      <c r="G1250" s="4">
        <v>169</v>
      </c>
      <c r="H1250" s="12" t="str">
        <f t="array" ref="H1250">IF(G1250:G5292="","",_xlfn.XLOOKUP(G1250:G5292,castles_state!A:A,castles_state!D:D,"見つかりません"))</f>
      </c>
      <c r="I1250" s="4"/>
      <c r="J1250" s="12" t="str">
        <f t="array" ref="J1250">IF(I1250:I5292="","",_xlfn.XLOOKUP(I1250:I5292,'参照_姫'!A:A,'参照_姫'!B:B,"見つかりません"))</f>
      </c>
      <c r="K1250" s="4">
        <v>95</v>
      </c>
      <c r="L1250" s="4">
        <v>0</v>
      </c>
      <c r="M1250" s="4"/>
      <c r="N1250" s="4"/>
      <c r="O1250" s="4"/>
      <c r="P1250" s="12" t="str">
        <f t="array" ref="P1250">IF(O1250:O5292="","",_xlfn.XLOOKUP(O1250:O5292,'参照_官位'!A:A,'参照_官位'!B:B,""))</f>
      </c>
      <c r="Q1250" s="12" t="str">
        <f t="array" ref="Q1250">IF(A1250:A5292="","",IFERROR(_xlfn.XLOOKUP(A1250:A5292,castles_state!K:K,castles_state!D:D)&amp;"主",IFERROR(_xlfn.XLOOKUP(A1250:A5292,kunishuClan!D:D,kunishuClan!B:B)&amp;"当主","")))</f>
      </c>
    </row>
    <row r="1251" ht="15.75" customHeight="1">
      <c r="A1251" s="4">
        <v>1026011</v>
      </c>
      <c r="B1251" s="12" t="str">
        <f t="array" ref="B1251">IF(A1251:A5293="","",_xlfn.XLOOKUP(A1251:A5293,'参照_武将'!A:A,'参照_武将'!B:B,"見つかりません"))</f>
      </c>
      <c r="C1251" s="4" t="s">
        <v>172</v>
      </c>
      <c r="D1251" s="4">
        <v>26</v>
      </c>
      <c r="E1251" s="12" t="str">
        <f t="array" ref="E1251">IF(D1251:D5293="","",IFERROR(_xlfn.XLOOKUP(D1251:D5293,'参照_勢力'!A:A,'参照_勢力'!B:B),IFERROR(_xlfn.XLOOKUP(F1251:F5293,kunishuClan!A:A,kunishuClan!B:B),"浪人")))</f>
      </c>
      <c r="F1251" s="4">
        <v>0</v>
      </c>
      <c r="G1251" s="4">
        <v>169</v>
      </c>
      <c r="H1251" s="12" t="str">
        <f t="array" ref="H1251">IF(G1251:G5293="","",_xlfn.XLOOKUP(G1251:G5293,castles_state!A:A,castles_state!D:D,"見つかりません"))</f>
      </c>
      <c r="I1251" s="4"/>
      <c r="J1251" s="12" t="str">
        <f t="array" ref="J1251">IF(I1251:I5293="","",_xlfn.XLOOKUP(I1251:I5293,'参照_姫'!A:A,'参照_姫'!B:B,"見つかりません"))</f>
      </c>
      <c r="K1251" s="4">
        <v>100</v>
      </c>
      <c r="L1251" s="4">
        <v>200</v>
      </c>
      <c r="M1251" s="4" t="b">
        <v>1</v>
      </c>
      <c r="N1251" s="4" t="b">
        <v>1</v>
      </c>
      <c r="O1251" s="4">
        <v>70</v>
      </c>
      <c r="P1251" s="12" t="str">
        <f t="array" ref="P1251">IF(O1251:O5293="","",_xlfn.XLOOKUP(O1251:O5293,'参照_官位'!A:A,'参照_官位'!B:B,""))</f>
      </c>
      <c r="Q1251" s="12" t="str">
        <f t="array" ref="Q1251">IF(A1251:A5293="","",IFERROR(_xlfn.XLOOKUP(A1251:A5293,castles_state!K:K,castles_state!D:D)&amp;"主",IFERROR(_xlfn.XLOOKUP(A1251:A5293,kunishuClan!D:D,kunishuClan!B:B)&amp;"当主","")))</f>
      </c>
    </row>
    <row r="1252" ht="15.75" customHeight="1">
      <c r="A1252" s="4">
        <v>1026012</v>
      </c>
      <c r="B1252" s="12" t="str">
        <f t="array" ref="B1252">IF(A1252:A5294="","",_xlfn.XLOOKUP(A1252:A5294,'参照_武将'!A:A,'参照_武将'!B:B,"見つかりません"))</f>
      </c>
      <c r="C1252" s="4" t="s">
        <v>172</v>
      </c>
      <c r="D1252" s="4">
        <v>26</v>
      </c>
      <c r="E1252" s="12" t="str">
        <f t="array" ref="E1252">IF(D1252:D5294="","",IFERROR(_xlfn.XLOOKUP(D1252:D5294,'参照_勢力'!A:A,'参照_勢力'!B:B),IFERROR(_xlfn.XLOOKUP(F1252:F5294,kunishuClan!A:A,kunishuClan!B:B),"浪人")))</f>
      </c>
      <c r="F1252" s="4">
        <v>0</v>
      </c>
      <c r="G1252" s="4">
        <v>169</v>
      </c>
      <c r="H1252" s="12" t="str">
        <f t="array" ref="H1252">IF(G1252:G5294="","",_xlfn.XLOOKUP(G1252:G5294,castles_state!A:A,castles_state!D:D,"見つかりません"))</f>
      </c>
      <c r="I1252" s="4"/>
      <c r="J1252" s="12" t="str">
        <f t="array" ref="J1252">IF(I1252:I5294="","",_xlfn.XLOOKUP(I1252:I5294,'参照_姫'!A:A,'参照_姫'!B:B,"見つかりません"))</f>
      </c>
      <c r="K1252" s="4">
        <v>100</v>
      </c>
      <c r="L1252" s="4">
        <v>1500</v>
      </c>
      <c r="M1252" s="4"/>
      <c r="N1252" s="4"/>
      <c r="O1252" s="4"/>
      <c r="P1252" s="12" t="str">
        <f t="array" ref="P1252">IF(O1252:O5294="","",_xlfn.XLOOKUP(O1252:O5294,'参照_官位'!A:A,'参照_官位'!B:B,""))</f>
      </c>
      <c r="Q1252" s="12" t="str">
        <f t="array" ref="Q1252">IF(A1252:A5294="","",IFERROR(_xlfn.XLOOKUP(A1252:A5294,castles_state!K:K,castles_state!D:D)&amp;"主",IFERROR(_xlfn.XLOOKUP(A1252:A5294,kunishuClan!D:D,kunishuClan!B:B)&amp;"当主","")))</f>
      </c>
    </row>
    <row r="1253" ht="15.75" customHeight="1">
      <c r="A1253" s="4">
        <v>1026013</v>
      </c>
      <c r="B1253" s="12" t="str">
        <f t="array" ref="B1253">IF(A1253:A5295="","",_xlfn.XLOOKUP(A1253:A5295,'参照_武将'!A:A,'参照_武将'!B:B,"見つかりません"))</f>
      </c>
      <c r="C1253" s="4" t="s">
        <v>172</v>
      </c>
      <c r="D1253" s="4">
        <v>26</v>
      </c>
      <c r="E1253" s="12" t="str">
        <f t="array" ref="E1253">IF(D1253:D5295="","",IFERROR(_xlfn.XLOOKUP(D1253:D5295,'参照_勢力'!A:A,'参照_勢力'!B:B),IFERROR(_xlfn.XLOOKUP(F1253:F5295,kunishuClan!A:A,kunishuClan!B:B),"浪人")))</f>
      </c>
      <c r="F1253" s="4">
        <v>0</v>
      </c>
      <c r="G1253" s="4">
        <v>167</v>
      </c>
      <c r="H1253" s="12" t="str">
        <f t="array" ref="H1253">IF(G1253:G5295="","",_xlfn.XLOOKUP(G1253:G5295,castles_state!A:A,castles_state!D:D,"見つかりません"))</f>
      </c>
      <c r="I1253" s="4"/>
      <c r="J1253" s="12" t="str">
        <f t="array" ref="J1253">IF(I1253:I5295="","",_xlfn.XLOOKUP(I1253:I5295,'参照_姫'!A:A,'参照_姫'!B:B,"見つかりません"))</f>
      </c>
      <c r="K1253" s="4">
        <v>95</v>
      </c>
      <c r="L1253" s="4">
        <v>500</v>
      </c>
      <c r="M1253" s="4"/>
      <c r="N1253" s="4"/>
      <c r="O1253" s="4"/>
      <c r="P1253" s="12" t="str">
        <f t="array" ref="P1253">IF(O1253:O5295="","",_xlfn.XLOOKUP(O1253:O5295,'参照_官位'!A:A,'参照_官位'!B:B,""))</f>
      </c>
      <c r="Q1253" s="12" t="str">
        <f t="array" ref="Q1253">IF(A1253:A5295="","",IFERROR(_xlfn.XLOOKUP(A1253:A5295,castles_state!K:K,castles_state!D:D)&amp;"主",IFERROR(_xlfn.XLOOKUP(A1253:A5295,kunishuClan!D:D,kunishuClan!B:B)&amp;"当主","")))</f>
      </c>
    </row>
    <row r="1254" ht="15.75" customHeight="1">
      <c r="A1254" s="4">
        <v>1026014</v>
      </c>
      <c r="B1254" s="12" t="str">
        <f t="array" ref="B1254">IF(A1254:A5296="","",_xlfn.XLOOKUP(A1254:A5296,'参照_武将'!A:A,'参照_武将'!B:B,"見つかりません"))</f>
      </c>
      <c r="C1254" s="4" t="s">
        <v>172</v>
      </c>
      <c r="D1254" s="4">
        <v>26</v>
      </c>
      <c r="E1254" s="12" t="str">
        <f t="array" ref="E1254">IF(D1254:D5296="","",IFERROR(_xlfn.XLOOKUP(D1254:D5296,'参照_勢力'!A:A,'参照_勢力'!B:B),IFERROR(_xlfn.XLOOKUP(F1254:F5296,kunishuClan!A:A,kunishuClan!B:B),"浪人")))</f>
      </c>
      <c r="F1254" s="4">
        <v>0</v>
      </c>
      <c r="G1254" s="4">
        <v>167</v>
      </c>
      <c r="H1254" s="12" t="str">
        <f t="array" ref="H1254">IF(G1254:G5296="","",_xlfn.XLOOKUP(G1254:G5296,castles_state!A:A,castles_state!D:D,"見つかりません"))</f>
      </c>
      <c r="I1254" s="4"/>
      <c r="J1254" s="12" t="str">
        <f t="array" ref="J1254">IF(I1254:I5296="","",_xlfn.XLOOKUP(I1254:I5296,'参照_姫'!A:A,'参照_姫'!B:B,"見つかりません"))</f>
      </c>
      <c r="K1254" s="4">
        <v>95</v>
      </c>
      <c r="L1254" s="4">
        <v>0</v>
      </c>
      <c r="M1254" s="4"/>
      <c r="N1254" s="4"/>
      <c r="O1254" s="4"/>
      <c r="P1254" s="12" t="str">
        <f t="array" ref="P1254">IF(O1254:O5296="","",_xlfn.XLOOKUP(O1254:O5296,'参照_官位'!A:A,'参照_官位'!B:B,""))</f>
      </c>
      <c r="Q1254" s="12" t="str">
        <f t="array" ref="Q1254">IF(A1254:A5296="","",IFERROR(_xlfn.XLOOKUP(A1254:A5296,castles_state!K:K,castles_state!D:D)&amp;"主",IFERROR(_xlfn.XLOOKUP(A1254:A5296,kunishuClan!D:D,kunishuClan!B:B)&amp;"当主","")))</f>
      </c>
    </row>
    <row r="1255" ht="15.75" customHeight="1">
      <c r="A1255" s="4">
        <v>1026015</v>
      </c>
      <c r="B1255" s="12" t="str">
        <f t="array" ref="B1255">IF(A1255:A5297="","",_xlfn.XLOOKUP(A1255:A5297,'参照_武将'!A:A,'参照_武将'!B:B,"見つかりません"))</f>
      </c>
      <c r="C1255" s="4" t="s">
        <v>172</v>
      </c>
      <c r="D1255" s="4">
        <v>26</v>
      </c>
      <c r="E1255" s="12" t="str">
        <f t="array" ref="E1255">IF(D1255:D5297="","",IFERROR(_xlfn.XLOOKUP(D1255:D5297,'参照_勢力'!A:A,'参照_勢力'!B:B),IFERROR(_xlfn.XLOOKUP(F1255:F5297,kunishuClan!A:A,kunishuClan!B:B),"浪人")))</f>
      </c>
      <c r="F1255" s="4">
        <v>0</v>
      </c>
      <c r="G1255" s="4">
        <v>171</v>
      </c>
      <c r="H1255" s="12" t="str">
        <f t="array" ref="H1255">IF(G1255:G5297="","",_xlfn.XLOOKUP(G1255:G5297,castles_state!A:A,castles_state!D:D,"見つかりません"))</f>
      </c>
      <c r="I1255" s="4"/>
      <c r="J1255" s="12" t="str">
        <f t="array" ref="J1255">IF(I1255:I5297="","",_xlfn.XLOOKUP(I1255:I5297,'参照_姫'!A:A,'参照_姫'!B:B,"見つかりません"))</f>
      </c>
      <c r="K1255" s="4">
        <v>95</v>
      </c>
      <c r="L1255" s="4">
        <v>300</v>
      </c>
      <c r="M1255" s="4"/>
      <c r="N1255" s="4"/>
      <c r="O1255" s="4"/>
      <c r="P1255" s="12" t="str">
        <f t="array" ref="P1255">IF(O1255:O5297="","",_xlfn.XLOOKUP(O1255:O5297,'参照_官位'!A:A,'参照_官位'!B:B,""))</f>
      </c>
      <c r="Q1255" s="12" t="str">
        <f t="array" ref="Q1255">IF(A1255:A5297="","",IFERROR(_xlfn.XLOOKUP(A1255:A5297,castles_state!K:K,castles_state!D:D)&amp;"主",IFERROR(_xlfn.XLOOKUP(A1255:A5297,kunishuClan!D:D,kunishuClan!B:B)&amp;"当主","")))</f>
      </c>
    </row>
    <row r="1256" ht="15.75" customHeight="1">
      <c r="A1256" s="4">
        <v>1026016</v>
      </c>
      <c r="B1256" s="12" t="str">
        <f t="array" ref="B1256">IF(A1256:A5298="","",_xlfn.XLOOKUP(A1256:A5298,'参照_武将'!A:A,'参照_武将'!B:B,"見つかりません"))</f>
      </c>
      <c r="C1256" s="4" t="s">
        <v>172</v>
      </c>
      <c r="D1256" s="4">
        <v>26</v>
      </c>
      <c r="E1256" s="12" t="str">
        <f t="array" ref="E1256">IF(D1256:D5298="","",IFERROR(_xlfn.XLOOKUP(D1256:D5298,'参照_勢力'!A:A,'参照_勢力'!B:B),IFERROR(_xlfn.XLOOKUP(F1256:F5298,kunishuClan!A:A,kunishuClan!B:B),"浪人")))</f>
      </c>
      <c r="F1256" s="4">
        <v>0</v>
      </c>
      <c r="G1256" s="4">
        <v>169</v>
      </c>
      <c r="H1256" s="12" t="str">
        <f t="array" ref="H1256">IF(G1256:G5298="","",_xlfn.XLOOKUP(G1256:G5298,castles_state!A:A,castles_state!D:D,"見つかりません"))</f>
      </c>
      <c r="I1256" s="4"/>
      <c r="J1256" s="12" t="str">
        <f t="array" ref="J1256">IF(I1256:I5298="","",_xlfn.XLOOKUP(I1256:I5298,'参照_姫'!A:A,'参照_姫'!B:B,"見つかりません"))</f>
      </c>
      <c r="K1256" s="4">
        <v>95</v>
      </c>
      <c r="L1256" s="4">
        <v>300</v>
      </c>
      <c r="M1256" s="4"/>
      <c r="N1256" s="4"/>
      <c r="O1256" s="4"/>
      <c r="P1256" s="12" t="str">
        <f t="array" ref="P1256">IF(O1256:O5298="","",_xlfn.XLOOKUP(O1256:O5298,'参照_官位'!A:A,'参照_官位'!B:B,""))</f>
      </c>
      <c r="Q1256" s="12" t="str">
        <f t="array" ref="Q1256">IF(A1256:A5298="","",IFERROR(_xlfn.XLOOKUP(A1256:A5298,castles_state!K:K,castles_state!D:D)&amp;"主",IFERROR(_xlfn.XLOOKUP(A1256:A5298,kunishuClan!D:D,kunishuClan!B:B)&amp;"当主","")))</f>
      </c>
    </row>
    <row r="1257" ht="15.75" customHeight="1">
      <c r="A1257" s="4">
        <v>1026017</v>
      </c>
      <c r="B1257" s="12" t="str">
        <f t="array" ref="B1257">IF(A1257:A5299="","",_xlfn.XLOOKUP(A1257:A5299,'参照_武将'!A:A,'参照_武将'!B:B,"見つかりません"))</f>
      </c>
      <c r="C1257" s="4" t="s">
        <v>172</v>
      </c>
      <c r="D1257" s="4">
        <v>26</v>
      </c>
      <c r="E1257" s="12" t="str">
        <f t="array" ref="E1257">IF(D1257:D5299="","",IFERROR(_xlfn.XLOOKUP(D1257:D5299,'参照_勢力'!A:A,'参照_勢力'!B:B),IFERROR(_xlfn.XLOOKUP(F1257:F5299,kunishuClan!A:A,kunishuClan!B:B),"浪人")))</f>
      </c>
      <c r="F1257" s="4">
        <v>0</v>
      </c>
      <c r="G1257" s="4">
        <v>169</v>
      </c>
      <c r="H1257" s="12" t="str">
        <f t="array" ref="H1257">IF(G1257:G5299="","",_xlfn.XLOOKUP(G1257:G5299,castles_state!A:A,castles_state!D:D,"見つかりません"))</f>
      </c>
      <c r="I1257" s="4"/>
      <c r="J1257" s="12" t="str">
        <f t="array" ref="J1257">IF(I1257:I5299="","",_xlfn.XLOOKUP(I1257:I5299,'参照_姫'!A:A,'参照_姫'!B:B,"見つかりません"))</f>
      </c>
      <c r="K1257" s="4">
        <v>95</v>
      </c>
      <c r="L1257" s="4">
        <v>0</v>
      </c>
      <c r="M1257" s="4"/>
      <c r="N1257" s="4"/>
      <c r="O1257" s="4"/>
      <c r="P1257" s="12" t="str">
        <f t="array" ref="P1257">IF(O1257:O5299="","",_xlfn.XLOOKUP(O1257:O5299,'参照_官位'!A:A,'参照_官位'!B:B,""))</f>
      </c>
      <c r="Q1257" s="12" t="str">
        <f t="array" ref="Q1257">IF(A1257:A5299="","",IFERROR(_xlfn.XLOOKUP(A1257:A5299,castles_state!K:K,castles_state!D:D)&amp;"主",IFERROR(_xlfn.XLOOKUP(A1257:A5299,kunishuClan!D:D,kunishuClan!B:B)&amp;"当主","")))</f>
      </c>
    </row>
    <row r="1258" ht="15.75" customHeight="1">
      <c r="A1258" s="4">
        <v>1026018</v>
      </c>
      <c r="B1258" s="12" t="str">
        <f t="array" ref="B1258">IF(A1258:A5300="","",_xlfn.XLOOKUP(A1258:A5300,'参照_武将'!A:A,'参照_武将'!B:B,"見つかりません"))</f>
      </c>
      <c r="C1258" s="4" t="s">
        <v>5938</v>
      </c>
      <c r="D1258" s="4">
        <v>26</v>
      </c>
      <c r="E1258" s="12" t="str">
        <f t="array" ref="E1258">IF(D1258:D5300="","",IFERROR(_xlfn.XLOOKUP(D1258:D5300,'参照_勢力'!A:A,'参照_勢力'!B:B),IFERROR(_xlfn.XLOOKUP(F1258:F5300,kunishuClan!A:A,kunishuClan!B:B),"浪人")))</f>
      </c>
      <c r="F1258" s="4">
        <v>0</v>
      </c>
      <c r="G1258" s="4">
        <v>169</v>
      </c>
      <c r="H1258" s="12" t="str">
        <f t="array" ref="H1258">IF(G1258:G5300="","",_xlfn.XLOOKUP(G1258:G5300,castles_state!A:A,castles_state!D:D,"見つかりません"))</f>
      </c>
      <c r="I1258" s="4"/>
      <c r="J1258" s="12" t="str">
        <f t="array" ref="J1258">IF(I1258:I5300="","",_xlfn.XLOOKUP(I1258:I5300,'参照_姫'!A:A,'参照_姫'!B:B,"見つかりません"))</f>
      </c>
      <c r="K1258" s="4">
        <v>95</v>
      </c>
      <c r="L1258" s="4">
        <v>200</v>
      </c>
      <c r="M1258" s="4"/>
      <c r="N1258" s="4"/>
      <c r="O1258" s="4"/>
      <c r="P1258" s="12" t="str">
        <f t="array" ref="P1258">IF(O1258:O5300="","",_xlfn.XLOOKUP(O1258:O5300,'参照_官位'!A:A,'参照_官位'!B:B,""))</f>
      </c>
      <c r="Q1258" s="12" t="str">
        <f t="array" ref="Q1258">IF(A1258:A5300="","",IFERROR(_xlfn.XLOOKUP(A1258:A5300,castles_state!K:K,castles_state!D:D)&amp;"主",IFERROR(_xlfn.XLOOKUP(A1258:A5300,kunishuClan!D:D,kunishuClan!B:B)&amp;"当主","")))</f>
      </c>
    </row>
    <row r="1259" ht="15.75" customHeight="1">
      <c r="A1259" s="4">
        <v>1026019</v>
      </c>
      <c r="B1259" s="12" t="str">
        <f t="array" ref="B1259">IF(A1259:A5301="","",_xlfn.XLOOKUP(A1259:A5301,'参照_武将'!A:A,'参照_武将'!B:B,"見つかりません"))</f>
      </c>
      <c r="C1259" s="4" t="s">
        <v>5938</v>
      </c>
      <c r="D1259" s="4">
        <v>26</v>
      </c>
      <c r="E1259" s="12" t="str">
        <f t="array" ref="E1259">IF(D1259:D5301="","",IFERROR(_xlfn.XLOOKUP(D1259:D5301,'参照_勢力'!A:A,'参照_勢力'!B:B),IFERROR(_xlfn.XLOOKUP(F1259:F5301,kunishuClan!A:A,kunishuClan!B:B),"浪人")))</f>
      </c>
      <c r="F1259" s="4">
        <v>0</v>
      </c>
      <c r="G1259" s="4">
        <v>169</v>
      </c>
      <c r="H1259" s="12" t="str">
        <f t="array" ref="H1259">IF(G1259:G5301="","",_xlfn.XLOOKUP(G1259:G5301,castles_state!A:A,castles_state!D:D,"見つかりません"))</f>
      </c>
      <c r="I1259" s="4"/>
      <c r="J1259" s="12" t="str">
        <f t="array" ref="J1259">IF(I1259:I5301="","",_xlfn.XLOOKUP(I1259:I5301,'参照_姫'!A:A,'参照_姫'!B:B,"見つかりません"))</f>
      </c>
      <c r="K1259" s="4">
        <v>95</v>
      </c>
      <c r="L1259" s="4">
        <v>0</v>
      </c>
      <c r="M1259" s="4"/>
      <c r="N1259" s="4"/>
      <c r="O1259" s="4"/>
      <c r="P1259" s="12" t="str">
        <f t="array" ref="P1259">IF(O1259:O5301="","",_xlfn.XLOOKUP(O1259:O5301,'参照_官位'!A:A,'参照_官位'!B:B,""))</f>
      </c>
      <c r="Q1259" s="12" t="str">
        <f t="array" ref="Q1259">IF(A1259:A5301="","",IFERROR(_xlfn.XLOOKUP(A1259:A5301,castles_state!K:K,castles_state!D:D)&amp;"主",IFERROR(_xlfn.XLOOKUP(A1259:A5301,kunishuClan!D:D,kunishuClan!B:B)&amp;"当主","")))</f>
      </c>
    </row>
    <row r="1260" ht="15.75" customHeight="1">
      <c r="A1260" s="4">
        <v>1026020</v>
      </c>
      <c r="B1260" s="12" t="str">
        <f t="array" ref="B1260">IF(A1260:A5302="","",_xlfn.XLOOKUP(A1260:A5302,'参照_武将'!A:A,'参照_武将'!B:B,"見つかりません"))</f>
      </c>
      <c r="C1260" s="4" t="s">
        <v>5938</v>
      </c>
      <c r="D1260" s="4">
        <v>26</v>
      </c>
      <c r="E1260" s="12" t="str">
        <f t="array" ref="E1260">IF(D1260:D5302="","",IFERROR(_xlfn.XLOOKUP(D1260:D5302,'参照_勢力'!A:A,'参照_勢力'!B:B),IFERROR(_xlfn.XLOOKUP(F1260:F5302,kunishuClan!A:A,kunishuClan!B:B),"浪人")))</f>
      </c>
      <c r="F1260" s="4">
        <v>0</v>
      </c>
      <c r="G1260" s="4">
        <v>169</v>
      </c>
      <c r="H1260" s="12" t="str">
        <f t="array" ref="H1260">IF(G1260:G5302="","",_xlfn.XLOOKUP(G1260:G5302,castles_state!A:A,castles_state!D:D,"見つかりません"))</f>
      </c>
      <c r="I1260" s="4"/>
      <c r="J1260" s="12" t="str">
        <f t="array" ref="J1260">IF(I1260:I5302="","",_xlfn.XLOOKUP(I1260:I5302,'参照_姫'!A:A,'参照_姫'!B:B,"見つかりません"))</f>
      </c>
      <c r="K1260" s="4">
        <v>95</v>
      </c>
      <c r="L1260" s="4">
        <v>0</v>
      </c>
      <c r="M1260" s="4"/>
      <c r="N1260" s="4"/>
      <c r="O1260" s="4"/>
      <c r="P1260" s="12" t="str">
        <f t="array" ref="P1260">IF(O1260:O5302="","",_xlfn.XLOOKUP(O1260:O5302,'参照_官位'!A:A,'参照_官位'!B:B,""))</f>
      </c>
      <c r="Q1260" s="12" t="str">
        <f t="array" ref="Q1260">IF(A1260:A5302="","",IFERROR(_xlfn.XLOOKUP(A1260:A5302,castles_state!K:K,castles_state!D:D)&amp;"主",IFERROR(_xlfn.XLOOKUP(A1260:A5302,kunishuClan!D:D,kunishuClan!B:B)&amp;"当主","")))</f>
      </c>
    </row>
    <row r="1261" ht="15.75" customHeight="1">
      <c r="A1261" s="4">
        <v>1026021</v>
      </c>
      <c r="B1261" s="12" t="str">
        <f t="array" ref="B1261">IF(A1261:A5303="","",_xlfn.XLOOKUP(A1261:A5303,'参照_武将'!A:A,'参照_武将'!B:B,"見つかりません"))</f>
      </c>
      <c r="C1261" s="4" t="s">
        <v>5508</v>
      </c>
      <c r="D1261" s="4">
        <v>26</v>
      </c>
      <c r="E1261" s="12" t="str">
        <f t="array" ref="E1261">IF(D1261:D5303="","",IFERROR(_xlfn.XLOOKUP(D1261:D5303,'参照_勢力'!A:A,'参照_勢力'!B:B),IFERROR(_xlfn.XLOOKUP(F1261:F5303,kunishuClan!A:A,kunishuClan!B:B),"浪人")))</f>
      </c>
      <c r="F1261" s="4">
        <v>0</v>
      </c>
      <c r="G1261" s="4">
        <v>168</v>
      </c>
      <c r="H1261" s="12" t="str">
        <f t="array" ref="H1261">IF(G1261:G5303="","",_xlfn.XLOOKUP(G1261:G5303,castles_state!A:A,castles_state!D:D,"見つかりません"))</f>
      </c>
      <c r="I1261" s="4"/>
      <c r="J1261" s="12" t="str">
        <f t="array" ref="J1261">IF(I1261:I5303="","",_xlfn.XLOOKUP(I1261:I5303,'参照_姫'!A:A,'参照_姫'!B:B,"見つかりません"))</f>
      </c>
      <c r="K1261" s="4">
        <v>95</v>
      </c>
      <c r="L1261" s="4">
        <v>0</v>
      </c>
      <c r="M1261" s="4"/>
      <c r="N1261" s="4"/>
      <c r="O1261" s="4"/>
      <c r="P1261" s="12" t="str">
        <f t="array" ref="P1261">IF(O1261:O5303="","",_xlfn.XLOOKUP(O1261:O5303,'参照_官位'!A:A,'参照_官位'!B:B,""))</f>
      </c>
      <c r="Q1261" s="12" t="str">
        <f t="array" ref="Q1261">IF(A1261:A5303="","",IFERROR(_xlfn.XLOOKUP(A1261:A5303,castles_state!K:K,castles_state!D:D)&amp;"主",IFERROR(_xlfn.XLOOKUP(A1261:A5303,kunishuClan!D:D,kunishuClan!B:B)&amp;"当主","")))</f>
      </c>
    </row>
    <row r="1262" ht="15.75" customHeight="1">
      <c r="A1262" s="4">
        <v>1026022</v>
      </c>
      <c r="B1262" s="12" t="str">
        <f t="array" ref="B1262">IF(A1262:A5304="","",_xlfn.XLOOKUP(A1262:A5304,'参照_武将'!A:A,'参照_武将'!B:B,"見つかりません"))</f>
      </c>
      <c r="C1262" s="4" t="s">
        <v>5939</v>
      </c>
      <c r="D1262" s="4">
        <v>26</v>
      </c>
      <c r="E1262" s="12" t="str">
        <f t="array" ref="E1262">IF(D1262:D5304="","",IFERROR(_xlfn.XLOOKUP(D1262:D5304,'参照_勢力'!A:A,'参照_勢力'!B:B),IFERROR(_xlfn.XLOOKUP(F1262:F5304,kunishuClan!A:A,kunishuClan!B:B),"浪人")))</f>
      </c>
      <c r="F1262" s="4">
        <v>0</v>
      </c>
      <c r="G1262" s="4">
        <v>169</v>
      </c>
      <c r="H1262" s="12" t="str">
        <f t="array" ref="H1262">IF(G1262:G5304="","",_xlfn.XLOOKUP(G1262:G5304,castles_state!A:A,castles_state!D:D,"見つかりません"))</f>
      </c>
      <c r="I1262" s="4"/>
      <c r="J1262" s="12" t="str">
        <f t="array" ref="J1262">IF(I1262:I5304="","",_xlfn.XLOOKUP(I1262:I5304,'参照_姫'!A:A,'参照_姫'!B:B,"見つかりません"))</f>
      </c>
      <c r="K1262" s="4">
        <v>95</v>
      </c>
      <c r="L1262" s="4">
        <v>0</v>
      </c>
      <c r="M1262" s="4"/>
      <c r="N1262" s="4"/>
      <c r="O1262" s="4"/>
      <c r="P1262" s="12" t="str">
        <f t="array" ref="P1262">IF(O1262:O5304="","",_xlfn.XLOOKUP(O1262:O5304,'参照_官位'!A:A,'参照_官位'!B:B,""))</f>
      </c>
      <c r="Q1262" s="12" t="str">
        <f t="array" ref="Q1262">IF(A1262:A5304="","",IFERROR(_xlfn.XLOOKUP(A1262:A5304,castles_state!K:K,castles_state!D:D)&amp;"主",IFERROR(_xlfn.XLOOKUP(A1262:A5304,kunishuClan!D:D,kunishuClan!B:B)&amp;"当主","")))</f>
      </c>
    </row>
    <row r="1263" ht="15.75" customHeight="1">
      <c r="A1263" s="4">
        <v>1026023</v>
      </c>
      <c r="B1263" s="12" t="str">
        <f t="array" ref="B1263">IF(A1263:A5305="","",_xlfn.XLOOKUP(A1263:A5305,'参照_武将'!A:A,'参照_武将'!B:B,"見つかりません"))</f>
      </c>
      <c r="C1263" s="4" t="s">
        <v>5940</v>
      </c>
      <c r="D1263" s="4">
        <v>26</v>
      </c>
      <c r="E1263" s="12" t="str">
        <f t="array" ref="E1263">IF(D1263:D5305="","",IFERROR(_xlfn.XLOOKUP(D1263:D5305,'参照_勢力'!A:A,'参照_勢力'!B:B),IFERROR(_xlfn.XLOOKUP(F1263:F5305,kunishuClan!A:A,kunishuClan!B:B),"浪人")))</f>
      </c>
      <c r="F1263" s="4">
        <v>0</v>
      </c>
      <c r="G1263" s="4">
        <v>168</v>
      </c>
      <c r="H1263" s="12" t="str">
        <f t="array" ref="H1263">IF(G1263:G5305="","",_xlfn.XLOOKUP(G1263:G5305,castles_state!A:A,castles_state!D:D,"見つかりません"))</f>
      </c>
      <c r="I1263" s="4"/>
      <c r="J1263" s="12" t="str">
        <f t="array" ref="J1263">IF(I1263:I5305="","",_xlfn.XLOOKUP(I1263:I5305,'参照_姫'!A:A,'参照_姫'!B:B,"見つかりません"))</f>
      </c>
      <c r="K1263" s="4">
        <v>95</v>
      </c>
      <c r="L1263" s="4">
        <v>0</v>
      </c>
      <c r="M1263" s="4"/>
      <c r="N1263" s="4"/>
      <c r="O1263" s="4"/>
      <c r="P1263" s="12" t="str">
        <f t="array" ref="P1263">IF(O1263:O5305="","",_xlfn.XLOOKUP(O1263:O5305,'参照_官位'!A:A,'参照_官位'!B:B,""))</f>
      </c>
      <c r="Q1263" s="12" t="str">
        <f t="array" ref="Q1263">IF(A1263:A5305="","",IFERROR(_xlfn.XLOOKUP(A1263:A5305,castles_state!K:K,castles_state!D:D)&amp;"主",IFERROR(_xlfn.XLOOKUP(A1263:A5305,kunishuClan!D:D,kunishuClan!B:B)&amp;"当主","")))</f>
      </c>
    </row>
    <row r="1264" ht="15.75" customHeight="1">
      <c r="A1264" s="4">
        <v>1026024</v>
      </c>
      <c r="B1264" s="12" t="str">
        <f t="array" ref="B1264">IF(A1264:A5306="","",_xlfn.XLOOKUP(A1264:A5306,'参照_武将'!A:A,'参照_武将'!B:B,"見つかりません"))</f>
      </c>
      <c r="C1264" s="4" t="s">
        <v>5940</v>
      </c>
      <c r="D1264" s="4">
        <v>26</v>
      </c>
      <c r="E1264" s="12" t="str">
        <f t="array" ref="E1264">IF(D1264:D5306="","",IFERROR(_xlfn.XLOOKUP(D1264:D5306,'参照_勢力'!A:A,'参照_勢力'!B:B),IFERROR(_xlfn.XLOOKUP(F1264:F5306,kunishuClan!A:A,kunishuClan!B:B),"浪人")))</f>
      </c>
      <c r="F1264" s="4">
        <v>0</v>
      </c>
      <c r="G1264" s="4">
        <v>168</v>
      </c>
      <c r="H1264" s="12" t="str">
        <f t="array" ref="H1264">IF(G1264:G5306="","",_xlfn.XLOOKUP(G1264:G5306,castles_state!A:A,castles_state!D:D,"見つかりません"))</f>
      </c>
      <c r="I1264" s="4"/>
      <c r="J1264" s="12" t="str">
        <f t="array" ref="J1264">IF(I1264:I5306="","",_xlfn.XLOOKUP(I1264:I5306,'参照_姫'!A:A,'参照_姫'!B:B,"見つかりません"))</f>
      </c>
      <c r="K1264" s="4">
        <v>95</v>
      </c>
      <c r="L1264" s="4">
        <v>0</v>
      </c>
      <c r="M1264" s="4"/>
      <c r="N1264" s="4"/>
      <c r="O1264" s="4"/>
      <c r="P1264" s="12" t="str">
        <f t="array" ref="P1264">IF(O1264:O5306="","",_xlfn.XLOOKUP(O1264:O5306,'参照_官位'!A:A,'参照_官位'!B:B,""))</f>
      </c>
      <c r="Q1264" s="12" t="str">
        <f t="array" ref="Q1264">IF(A1264:A5306="","",IFERROR(_xlfn.XLOOKUP(A1264:A5306,castles_state!K:K,castles_state!D:D)&amp;"主",IFERROR(_xlfn.XLOOKUP(A1264:A5306,kunishuClan!D:D,kunishuClan!B:B)&amp;"当主","")))</f>
      </c>
    </row>
    <row r="1265" ht="15.75" customHeight="1">
      <c r="A1265" s="4">
        <v>1026025</v>
      </c>
      <c r="B1265" s="12" t="str">
        <f t="array" ref="B1265">IF(A1265:A5307="","",_xlfn.XLOOKUP(A1265:A5307,'参照_武将'!A:A,'参照_武将'!B:B,"見つかりません"))</f>
      </c>
      <c r="C1265" s="4" t="s">
        <v>5940</v>
      </c>
      <c r="D1265" s="4">
        <v>26</v>
      </c>
      <c r="E1265" s="12" t="str">
        <f t="array" ref="E1265">IF(D1265:D5307="","",IFERROR(_xlfn.XLOOKUP(D1265:D5307,'参照_勢力'!A:A,'参照_勢力'!B:B),IFERROR(_xlfn.XLOOKUP(F1265:F5307,kunishuClan!A:A,kunishuClan!B:B),"浪人")))</f>
      </c>
      <c r="F1265" s="4">
        <v>0</v>
      </c>
      <c r="G1265" s="4">
        <v>168</v>
      </c>
      <c r="H1265" s="12" t="str">
        <f t="array" ref="H1265">IF(G1265:G5307="","",_xlfn.XLOOKUP(G1265:G5307,castles_state!A:A,castles_state!D:D,"見つかりません"))</f>
      </c>
      <c r="I1265" s="4"/>
      <c r="J1265" s="12" t="str">
        <f t="array" ref="J1265">IF(I1265:I5307="","",_xlfn.XLOOKUP(I1265:I5307,'参照_姫'!A:A,'参照_姫'!B:B,"見つかりません"))</f>
      </c>
      <c r="K1265" s="4">
        <v>95</v>
      </c>
      <c r="L1265" s="4">
        <v>0</v>
      </c>
      <c r="M1265" s="4"/>
      <c r="N1265" s="4"/>
      <c r="O1265" s="4"/>
      <c r="P1265" s="12" t="str">
        <f t="array" ref="P1265">IF(O1265:O5307="","",_xlfn.XLOOKUP(O1265:O5307,'参照_官位'!A:A,'参照_官位'!B:B,""))</f>
      </c>
      <c r="Q1265" s="12" t="str">
        <f t="array" ref="Q1265">IF(A1265:A5307="","",IFERROR(_xlfn.XLOOKUP(A1265:A5307,castles_state!K:K,castles_state!D:D)&amp;"主",IFERROR(_xlfn.XLOOKUP(A1265:A5307,kunishuClan!D:D,kunishuClan!B:B)&amp;"当主","")))</f>
      </c>
    </row>
    <row r="1266" ht="15.75" customHeight="1">
      <c r="A1266" s="4">
        <v>1026026</v>
      </c>
      <c r="B1266" s="12" t="str">
        <f t="array" ref="B1266">IF(A1266:A5308="","",_xlfn.XLOOKUP(A1266:A5308,'参照_武将'!A:A,'参照_武将'!B:B,"見つかりません"))</f>
      </c>
      <c r="C1266" s="4" t="s">
        <v>5940</v>
      </c>
      <c r="D1266" s="4">
        <v>26</v>
      </c>
      <c r="E1266" s="12" t="str">
        <f t="array" ref="E1266">IF(D1266:D5308="","",IFERROR(_xlfn.XLOOKUP(D1266:D5308,'参照_勢力'!A:A,'参照_勢力'!B:B),IFERROR(_xlfn.XLOOKUP(F1266:F5308,kunishuClan!A:A,kunishuClan!B:B),"浪人")))</f>
      </c>
      <c r="F1266" s="4">
        <v>0</v>
      </c>
      <c r="G1266" s="4">
        <v>168</v>
      </c>
      <c r="H1266" s="12" t="str">
        <f t="array" ref="H1266">IF(G1266:G5308="","",_xlfn.XLOOKUP(G1266:G5308,castles_state!A:A,castles_state!D:D,"見つかりません"))</f>
      </c>
      <c r="I1266" s="4"/>
      <c r="J1266" s="12" t="str">
        <f t="array" ref="J1266">IF(I1266:I5308="","",_xlfn.XLOOKUP(I1266:I5308,'参照_姫'!A:A,'参照_姫'!B:B,"見つかりません"))</f>
      </c>
      <c r="K1266" s="4">
        <v>95</v>
      </c>
      <c r="L1266" s="4">
        <v>200</v>
      </c>
      <c r="M1266" s="4"/>
      <c r="N1266" s="4"/>
      <c r="O1266" s="4"/>
      <c r="P1266" s="12" t="str">
        <f t="array" ref="P1266">IF(O1266:O5308="","",_xlfn.XLOOKUP(O1266:O5308,'参照_官位'!A:A,'参照_官位'!B:B,""))</f>
      </c>
      <c r="Q1266" s="12" t="str">
        <f t="array" ref="Q1266">IF(A1266:A5308="","",IFERROR(_xlfn.XLOOKUP(A1266:A5308,castles_state!K:K,castles_state!D:D)&amp;"主",IFERROR(_xlfn.XLOOKUP(A1266:A5308,kunishuClan!D:D,kunishuClan!B:B)&amp;"当主","")))</f>
      </c>
    </row>
    <row r="1267" ht="15.75" customHeight="1">
      <c r="A1267" s="4">
        <v>1026027</v>
      </c>
      <c r="B1267" s="12" t="str">
        <f t="array" ref="B1267">IF(A1267:A5309="","",_xlfn.XLOOKUP(A1267:A5309,'参照_武将'!A:A,'参照_武将'!B:B,"見つかりません"))</f>
      </c>
      <c r="C1267" s="4" t="s">
        <v>5940</v>
      </c>
      <c r="D1267" s="4">
        <v>26</v>
      </c>
      <c r="E1267" s="12" t="str">
        <f t="array" ref="E1267">IF(D1267:D5309="","",IFERROR(_xlfn.XLOOKUP(D1267:D5309,'参照_勢力'!A:A,'参照_勢力'!B:B),IFERROR(_xlfn.XLOOKUP(F1267:F5309,kunishuClan!A:A,kunishuClan!B:B),"浪人")))</f>
      </c>
      <c r="F1267" s="4">
        <v>0</v>
      </c>
      <c r="G1267" s="4">
        <v>168</v>
      </c>
      <c r="H1267" s="12" t="str">
        <f t="array" ref="H1267">IF(G1267:G5309="","",_xlfn.XLOOKUP(G1267:G5309,castles_state!A:A,castles_state!D:D,"見つかりません"))</f>
      </c>
      <c r="I1267" s="4"/>
      <c r="J1267" s="12" t="str">
        <f t="array" ref="J1267">IF(I1267:I5309="","",_xlfn.XLOOKUP(I1267:I5309,'参照_姫'!A:A,'参照_姫'!B:B,"見つかりません"))</f>
      </c>
      <c r="K1267" s="4">
        <v>95</v>
      </c>
      <c r="L1267" s="4">
        <v>0</v>
      </c>
      <c r="M1267" s="4"/>
      <c r="N1267" s="4"/>
      <c r="O1267" s="4"/>
      <c r="P1267" s="12" t="str">
        <f t="array" ref="P1267">IF(O1267:O5309="","",_xlfn.XLOOKUP(O1267:O5309,'参照_官位'!A:A,'参照_官位'!B:B,""))</f>
      </c>
      <c r="Q1267" s="12" t="str">
        <f t="array" ref="Q1267">IF(A1267:A5309="","",IFERROR(_xlfn.XLOOKUP(A1267:A5309,castles_state!K:K,castles_state!D:D)&amp;"主",IFERROR(_xlfn.XLOOKUP(A1267:A5309,kunishuClan!D:D,kunishuClan!B:B)&amp;"当主","")))</f>
      </c>
    </row>
    <row r="1268" ht="15.75" customHeight="1">
      <c r="A1268" s="4">
        <v>1026028</v>
      </c>
      <c r="B1268" s="12" t="str">
        <f t="array" ref="B1268">IF(A1268:A5310="","",_xlfn.XLOOKUP(A1268:A5310,'参照_武将'!A:A,'参照_武将'!B:B,"見つかりません"))</f>
      </c>
      <c r="C1268" s="4" t="s">
        <v>5937</v>
      </c>
      <c r="D1268" s="4">
        <v>26</v>
      </c>
      <c r="E1268" s="12" t="str">
        <f t="array" ref="E1268">IF(D1268:D5310="","",IFERROR(_xlfn.XLOOKUP(D1268:D5310,'参照_勢力'!A:A,'参照_勢力'!B:B),IFERROR(_xlfn.XLOOKUP(F1268:F5310,kunishuClan!A:A,kunishuClan!B:B),"浪人")))</f>
      </c>
      <c r="F1268" s="4">
        <v>0</v>
      </c>
      <c r="G1268" s="4">
        <v>169</v>
      </c>
      <c r="H1268" s="12" t="str">
        <f t="array" ref="H1268">IF(G1268:G5310="","",_xlfn.XLOOKUP(G1268:G5310,castles_state!A:A,castles_state!D:D,"見つかりません"))</f>
      </c>
      <c r="I1268" s="4"/>
      <c r="J1268" s="12" t="str">
        <f t="array" ref="J1268">IF(I1268:I5310="","",_xlfn.XLOOKUP(I1268:I5310,'参照_姫'!A:A,'参照_姫'!B:B,"見つかりません"))</f>
      </c>
      <c r="K1268" s="4">
        <v>95</v>
      </c>
      <c r="L1268" s="4">
        <v>200</v>
      </c>
      <c r="M1268" s="4"/>
      <c r="N1268" s="4"/>
      <c r="O1268" s="4"/>
      <c r="P1268" s="12" t="str">
        <f t="array" ref="P1268">IF(O1268:O5310="","",_xlfn.XLOOKUP(O1268:O5310,'参照_官位'!A:A,'参照_官位'!B:B,""))</f>
      </c>
      <c r="Q1268" s="12" t="str">
        <f t="array" ref="Q1268">IF(A1268:A5310="","",IFERROR(_xlfn.XLOOKUP(A1268:A5310,castles_state!K:K,castles_state!D:D)&amp;"主",IFERROR(_xlfn.XLOOKUP(A1268:A5310,kunishuClan!D:D,kunishuClan!B:B)&amp;"当主","")))</f>
      </c>
    </row>
    <row r="1269" ht="15.75" customHeight="1">
      <c r="A1269" s="4">
        <v>1026029</v>
      </c>
      <c r="B1269" s="12" t="str">
        <f t="array" ref="B1269">IF(A1269:A5311="","",_xlfn.XLOOKUP(A1269:A5311,'参照_武将'!A:A,'参照_武将'!B:B,"見つかりません"))</f>
      </c>
      <c r="C1269" s="4" t="s">
        <v>5937</v>
      </c>
      <c r="D1269" s="4">
        <v>26</v>
      </c>
      <c r="E1269" s="12" t="str">
        <f t="array" ref="E1269">IF(D1269:D5311="","",IFERROR(_xlfn.XLOOKUP(D1269:D5311,'参照_勢力'!A:A,'参照_勢力'!B:B),IFERROR(_xlfn.XLOOKUP(F1269:F5311,kunishuClan!A:A,kunishuClan!B:B),"浪人")))</f>
      </c>
      <c r="F1269" s="4">
        <v>0</v>
      </c>
      <c r="G1269" s="4">
        <v>169</v>
      </c>
      <c r="H1269" s="12" t="str">
        <f t="array" ref="H1269">IF(G1269:G5311="","",_xlfn.XLOOKUP(G1269:G5311,castles_state!A:A,castles_state!D:D,"見つかりません"))</f>
      </c>
      <c r="I1269" s="4"/>
      <c r="J1269" s="12" t="str">
        <f t="array" ref="J1269">IF(I1269:I5311="","",_xlfn.XLOOKUP(I1269:I5311,'参照_姫'!A:A,'参照_姫'!B:B,"見つかりません"))</f>
      </c>
      <c r="K1269" s="4">
        <v>95</v>
      </c>
      <c r="L1269" s="4">
        <v>0</v>
      </c>
      <c r="M1269" s="4"/>
      <c r="N1269" s="4"/>
      <c r="O1269" s="4"/>
      <c r="P1269" s="12" t="str">
        <f t="array" ref="P1269">IF(O1269:O5311="","",_xlfn.XLOOKUP(O1269:O5311,'参照_官位'!A:A,'参照_官位'!B:B,""))</f>
      </c>
      <c r="Q1269" s="12" t="str">
        <f t="array" ref="Q1269">IF(A1269:A5311="","",IFERROR(_xlfn.XLOOKUP(A1269:A5311,castles_state!K:K,castles_state!D:D)&amp;"主",IFERROR(_xlfn.XLOOKUP(A1269:A5311,kunishuClan!D:D,kunishuClan!B:B)&amp;"当主","")))</f>
      </c>
    </row>
    <row r="1270" ht="15.75" customHeight="1">
      <c r="A1270" s="4">
        <v>1026030</v>
      </c>
      <c r="B1270" s="12" t="str">
        <f t="array" ref="B1270">IF(A1270:A5312="","",_xlfn.XLOOKUP(A1270:A5312,'参照_武将'!A:A,'参照_武将'!B:B,"見つかりません"))</f>
      </c>
      <c r="C1270" s="4" t="s">
        <v>5937</v>
      </c>
      <c r="D1270" s="4">
        <v>26</v>
      </c>
      <c r="E1270" s="12" t="str">
        <f t="array" ref="E1270">IF(D1270:D5312="","",IFERROR(_xlfn.XLOOKUP(D1270:D5312,'参照_勢力'!A:A,'参照_勢力'!B:B),IFERROR(_xlfn.XLOOKUP(F1270:F5312,kunishuClan!A:A,kunishuClan!B:B),"浪人")))</f>
      </c>
      <c r="F1270" s="4">
        <v>0</v>
      </c>
      <c r="G1270" s="4">
        <v>169</v>
      </c>
      <c r="H1270" s="12" t="str">
        <f t="array" ref="H1270">IF(G1270:G5312="","",_xlfn.XLOOKUP(G1270:G5312,castles_state!A:A,castles_state!D:D,"見つかりません"))</f>
      </c>
      <c r="I1270" s="4"/>
      <c r="J1270" s="12" t="str">
        <f t="array" ref="J1270">IF(I1270:I5312="","",_xlfn.XLOOKUP(I1270:I5312,'参照_姫'!A:A,'参照_姫'!B:B,"見つかりません"))</f>
      </c>
      <c r="K1270" s="4">
        <v>95</v>
      </c>
      <c r="L1270" s="4">
        <v>0</v>
      </c>
      <c r="M1270" s="4"/>
      <c r="N1270" s="4"/>
      <c r="O1270" s="4"/>
      <c r="P1270" s="12" t="str">
        <f t="array" ref="P1270">IF(O1270:O5312="","",_xlfn.XLOOKUP(O1270:O5312,'参照_官位'!A:A,'参照_官位'!B:B,""))</f>
      </c>
      <c r="Q1270" s="12" t="str">
        <f t="array" ref="Q1270">IF(A1270:A5312="","",IFERROR(_xlfn.XLOOKUP(A1270:A5312,castles_state!K:K,castles_state!D:D)&amp;"主",IFERROR(_xlfn.XLOOKUP(A1270:A5312,kunishuClan!D:D,kunishuClan!B:B)&amp;"当主","")))</f>
      </c>
    </row>
    <row r="1271" ht="15.75" customHeight="1">
      <c r="A1271" s="4">
        <v>1026031</v>
      </c>
      <c r="B1271" s="12" t="str">
        <f t="array" ref="B1271">IF(A1271:A5313="","",_xlfn.XLOOKUP(A1271:A5313,'参照_武将'!A:A,'参照_武将'!B:B,"見つかりません"))</f>
      </c>
      <c r="C1271" s="4" t="s">
        <v>5941</v>
      </c>
      <c r="D1271" s="4">
        <v>26</v>
      </c>
      <c r="E1271" s="12" t="str">
        <f t="array" ref="E1271">IF(D1271:D5313="","",IFERROR(_xlfn.XLOOKUP(D1271:D5313,'参照_勢力'!A:A,'参照_勢力'!B:B),IFERROR(_xlfn.XLOOKUP(F1271:F5313,kunishuClan!A:A,kunishuClan!B:B),"浪人")))</f>
      </c>
      <c r="F1271" s="4">
        <v>0</v>
      </c>
      <c r="G1271" s="4">
        <v>166</v>
      </c>
      <c r="H1271" s="12" t="str">
        <f t="array" ref="H1271">IF(G1271:G5313="","",_xlfn.XLOOKUP(G1271:G5313,castles_state!A:A,castles_state!D:D,"見つかりません"))</f>
      </c>
      <c r="I1271" s="4"/>
      <c r="J1271" s="12" t="str">
        <f t="array" ref="J1271">IF(I1271:I5313="","",_xlfn.XLOOKUP(I1271:I5313,'参照_姫'!A:A,'参照_姫'!B:B,"見つかりません"))</f>
      </c>
      <c r="K1271" s="4">
        <v>90</v>
      </c>
      <c r="L1271" s="4">
        <v>0</v>
      </c>
      <c r="M1271" s="4"/>
      <c r="N1271" s="4"/>
      <c r="O1271" s="4"/>
      <c r="P1271" s="12" t="str">
        <f t="array" ref="P1271">IF(O1271:O5313="","",_xlfn.XLOOKUP(O1271:O5313,'参照_官位'!A:A,'参照_官位'!B:B,""))</f>
      </c>
      <c r="Q1271" s="12" t="str">
        <f t="array" ref="Q1271">IF(A1271:A5313="","",IFERROR(_xlfn.XLOOKUP(A1271:A5313,castles_state!K:K,castles_state!D:D)&amp;"主",IFERROR(_xlfn.XLOOKUP(A1271:A5313,kunishuClan!D:D,kunishuClan!B:B)&amp;"当主","")))</f>
      </c>
    </row>
    <row r="1272" ht="15.75" customHeight="1">
      <c r="A1272" s="4">
        <v>1026032</v>
      </c>
      <c r="B1272" s="12" t="str">
        <f t="array" ref="B1272">IF(A1272:A5314="","",_xlfn.XLOOKUP(A1272:A5314,'参照_武将'!A:A,'参照_武将'!B:B,"見つかりません"))</f>
      </c>
      <c r="C1272" s="4" t="s">
        <v>5941</v>
      </c>
      <c r="D1272" s="4">
        <v>26</v>
      </c>
      <c r="E1272" s="12" t="str">
        <f t="array" ref="E1272">IF(D1272:D5314="","",IFERROR(_xlfn.XLOOKUP(D1272:D5314,'参照_勢力'!A:A,'参照_勢力'!B:B),IFERROR(_xlfn.XLOOKUP(F1272:F5314,kunishuClan!A:A,kunishuClan!B:B),"浪人")))</f>
      </c>
      <c r="F1272" s="4">
        <v>0</v>
      </c>
      <c r="G1272" s="4">
        <v>166</v>
      </c>
      <c r="H1272" s="12" t="str">
        <f t="array" ref="H1272">IF(G1272:G5314="","",_xlfn.XLOOKUP(G1272:G5314,castles_state!A:A,castles_state!D:D,"見つかりません"))</f>
      </c>
      <c r="I1272" s="4"/>
      <c r="J1272" s="12" t="str">
        <f t="array" ref="J1272">IF(I1272:I5314="","",_xlfn.XLOOKUP(I1272:I5314,'参照_姫'!A:A,'参照_姫'!B:B,"見つかりません"))</f>
      </c>
      <c r="K1272" s="4">
        <v>90</v>
      </c>
      <c r="L1272" s="4">
        <v>200</v>
      </c>
      <c r="M1272" s="4"/>
      <c r="N1272" s="4"/>
      <c r="O1272" s="4"/>
      <c r="P1272" s="12" t="str">
        <f t="array" ref="P1272">IF(O1272:O5314="","",_xlfn.XLOOKUP(O1272:O5314,'参照_官位'!A:A,'参照_官位'!B:B,""))</f>
      </c>
      <c r="Q1272" s="12" t="str">
        <f t="array" ref="Q1272">IF(A1272:A5314="","",IFERROR(_xlfn.XLOOKUP(A1272:A5314,castles_state!K:K,castles_state!D:D)&amp;"主",IFERROR(_xlfn.XLOOKUP(A1272:A5314,kunishuClan!D:D,kunishuClan!B:B)&amp;"当主","")))</f>
      </c>
    </row>
    <row r="1273" ht="15.75" customHeight="1">
      <c r="A1273" s="4">
        <v>1026033</v>
      </c>
      <c r="B1273" s="12" t="str">
        <f t="array" ref="B1273">IF(A1273:A5315="","",_xlfn.XLOOKUP(A1273:A5315,'参照_武将'!A:A,'参照_武将'!B:B,"見つかりません"))</f>
      </c>
      <c r="C1273" s="4" t="s">
        <v>5941</v>
      </c>
      <c r="D1273" s="4">
        <v>26</v>
      </c>
      <c r="E1273" s="12" t="str">
        <f t="array" ref="E1273">IF(D1273:D5315="","",IFERROR(_xlfn.XLOOKUP(D1273:D5315,'参照_勢力'!A:A,'参照_勢力'!B:B),IFERROR(_xlfn.XLOOKUP(F1273:F5315,kunishuClan!A:A,kunishuClan!B:B),"浪人")))</f>
      </c>
      <c r="F1273" s="4">
        <v>0</v>
      </c>
      <c r="G1273" s="4">
        <v>166</v>
      </c>
      <c r="H1273" s="12" t="str">
        <f t="array" ref="H1273">IF(G1273:G5315="","",_xlfn.XLOOKUP(G1273:G5315,castles_state!A:A,castles_state!D:D,"見つかりません"))</f>
      </c>
      <c r="I1273" s="4"/>
      <c r="J1273" s="12" t="str">
        <f t="array" ref="J1273">IF(I1273:I5315="","",_xlfn.XLOOKUP(I1273:I5315,'参照_姫'!A:A,'参照_姫'!B:B,"見つかりません"))</f>
      </c>
      <c r="K1273" s="4">
        <v>90</v>
      </c>
      <c r="L1273" s="4">
        <v>500</v>
      </c>
      <c r="M1273" s="4"/>
      <c r="N1273" s="4"/>
      <c r="O1273" s="4"/>
      <c r="P1273" s="12" t="str">
        <f t="array" ref="P1273">IF(O1273:O5315="","",_xlfn.XLOOKUP(O1273:O5315,'参照_官位'!A:A,'参照_官位'!B:B,""))</f>
      </c>
      <c r="Q1273" s="12" t="str">
        <f t="array" ref="Q1273">IF(A1273:A5315="","",IFERROR(_xlfn.XLOOKUP(A1273:A5315,castles_state!K:K,castles_state!D:D)&amp;"主",IFERROR(_xlfn.XLOOKUP(A1273:A5315,kunishuClan!D:D,kunishuClan!B:B)&amp;"当主","")))</f>
      </c>
    </row>
    <row r="1274" ht="15.75" customHeight="1">
      <c r="A1274" s="4">
        <v>1026034</v>
      </c>
      <c r="B1274" s="12" t="str">
        <f t="array" ref="B1274">IF(A1274:A5316="","",_xlfn.XLOOKUP(A1274:A5316,'参照_武将'!A:A,'参照_武将'!B:B,"見つかりません"))</f>
      </c>
      <c r="C1274" s="4" t="s">
        <v>5941</v>
      </c>
      <c r="D1274" s="4">
        <v>26</v>
      </c>
      <c r="E1274" s="12" t="str">
        <f t="array" ref="E1274">IF(D1274:D5316="","",IFERROR(_xlfn.XLOOKUP(D1274:D5316,'参照_勢力'!A:A,'参照_勢力'!B:B),IFERROR(_xlfn.XLOOKUP(F1274:F5316,kunishuClan!A:A,kunishuClan!B:B),"浪人")))</f>
      </c>
      <c r="F1274" s="4">
        <v>0</v>
      </c>
      <c r="G1274" s="4">
        <v>166</v>
      </c>
      <c r="H1274" s="12" t="str">
        <f t="array" ref="H1274">IF(G1274:G5316="","",_xlfn.XLOOKUP(G1274:G5316,castles_state!A:A,castles_state!D:D,"見つかりません"))</f>
      </c>
      <c r="I1274" s="4"/>
      <c r="J1274" s="12" t="str">
        <f t="array" ref="J1274">IF(I1274:I5316="","",_xlfn.XLOOKUP(I1274:I5316,'参照_姫'!A:A,'参照_姫'!B:B,"見つかりません"))</f>
      </c>
      <c r="K1274" s="4">
        <v>90</v>
      </c>
      <c r="L1274" s="4">
        <v>0</v>
      </c>
      <c r="M1274" s="4"/>
      <c r="N1274" s="4"/>
      <c r="O1274" s="4"/>
      <c r="P1274" s="12" t="str">
        <f t="array" ref="P1274">IF(O1274:O5316="","",_xlfn.XLOOKUP(O1274:O5316,'参照_官位'!A:A,'参照_官位'!B:B,""))</f>
      </c>
      <c r="Q1274" s="12" t="str">
        <f t="array" ref="Q1274">IF(A1274:A5316="","",IFERROR(_xlfn.XLOOKUP(A1274:A5316,castles_state!K:K,castles_state!D:D)&amp;"主",IFERROR(_xlfn.XLOOKUP(A1274:A5316,kunishuClan!D:D,kunishuClan!B:B)&amp;"当主","")))</f>
      </c>
    </row>
    <row r="1275" ht="15.75" customHeight="1">
      <c r="A1275" s="4">
        <v>1026035</v>
      </c>
      <c r="B1275" s="12" t="str">
        <f t="array" ref="B1275">IF(A1275:A5317="","",_xlfn.XLOOKUP(A1275:A5317,'参照_武将'!A:A,'参照_武将'!B:B,"見つかりません"))</f>
      </c>
      <c r="C1275" s="4" t="s">
        <v>5936</v>
      </c>
      <c r="D1275" s="4">
        <v>26</v>
      </c>
      <c r="E1275" s="12" t="str">
        <f t="array" ref="E1275">IF(D1275:D5317="","",IFERROR(_xlfn.XLOOKUP(D1275:D5317,'参照_勢力'!A:A,'参照_勢力'!B:B),IFERROR(_xlfn.XLOOKUP(F1275:F5317,kunishuClan!A:A,kunishuClan!B:B),"浪人")))</f>
      </c>
      <c r="F1275" s="4">
        <v>0</v>
      </c>
      <c r="G1275" s="4">
        <v>169</v>
      </c>
      <c r="H1275" s="12" t="str">
        <f t="array" ref="H1275">IF(G1275:G5317="","",_xlfn.XLOOKUP(G1275:G5317,castles_state!A:A,castles_state!D:D,"見つかりません"))</f>
      </c>
      <c r="I1275" s="4"/>
      <c r="J1275" s="12" t="str">
        <f t="array" ref="J1275">IF(I1275:I5317="","",_xlfn.XLOOKUP(I1275:I5317,'参照_姫'!A:A,'参照_姫'!B:B,"見つかりません"))</f>
      </c>
      <c r="K1275" s="4">
        <v>95</v>
      </c>
      <c r="L1275" s="4">
        <v>0</v>
      </c>
      <c r="M1275" s="4"/>
      <c r="N1275" s="4"/>
      <c r="O1275" s="4"/>
      <c r="P1275" s="12" t="str">
        <f t="array" ref="P1275">IF(O1275:O5317="","",_xlfn.XLOOKUP(O1275:O5317,'参照_官位'!A:A,'参照_官位'!B:B,""))</f>
      </c>
      <c r="Q1275" s="12" t="str">
        <f t="array" ref="Q1275">IF(A1275:A5317="","",IFERROR(_xlfn.XLOOKUP(A1275:A5317,castles_state!K:K,castles_state!D:D)&amp;"主",IFERROR(_xlfn.XLOOKUP(A1275:A5317,kunishuClan!D:D,kunishuClan!B:B)&amp;"当主","")))</f>
      </c>
    </row>
    <row r="1276" ht="15.75" customHeight="1">
      <c r="A1276" s="4">
        <v>1026036</v>
      </c>
      <c r="B1276" s="12" t="str">
        <f t="array" ref="B1276">IF(A1276:A5318="","",_xlfn.XLOOKUP(A1276:A5318,'参照_武将'!A:A,'参照_武将'!B:B,"見つかりません"))</f>
      </c>
      <c r="C1276" s="4" t="s">
        <v>5936</v>
      </c>
      <c r="D1276" s="4">
        <v>26</v>
      </c>
      <c r="E1276" s="12" t="str">
        <f t="array" ref="E1276">IF(D1276:D5318="","",IFERROR(_xlfn.XLOOKUP(D1276:D5318,'参照_勢力'!A:A,'参照_勢力'!B:B),IFERROR(_xlfn.XLOOKUP(F1276:F5318,kunishuClan!A:A,kunishuClan!B:B),"浪人")))</f>
      </c>
      <c r="F1276" s="4">
        <v>0</v>
      </c>
      <c r="G1276" s="4">
        <v>169</v>
      </c>
      <c r="H1276" s="12" t="str">
        <f t="array" ref="H1276">IF(G1276:G5318="","",_xlfn.XLOOKUP(G1276:G5318,castles_state!A:A,castles_state!D:D,"見つかりません"))</f>
      </c>
      <c r="I1276" s="4"/>
      <c r="J1276" s="12" t="str">
        <f t="array" ref="J1276">IF(I1276:I5318="","",_xlfn.XLOOKUP(I1276:I5318,'参照_姫'!A:A,'参照_姫'!B:B,"見つかりません"))</f>
      </c>
      <c r="K1276" s="4">
        <v>95</v>
      </c>
      <c r="L1276" s="4">
        <v>0</v>
      </c>
      <c r="M1276" s="4"/>
      <c r="N1276" s="4"/>
      <c r="O1276" s="4"/>
      <c r="P1276" s="12" t="str">
        <f t="array" ref="P1276">IF(O1276:O5318="","",_xlfn.XLOOKUP(O1276:O5318,'参照_官位'!A:A,'参照_官位'!B:B,""))</f>
      </c>
      <c r="Q1276" s="12" t="str">
        <f t="array" ref="Q1276">IF(A1276:A5318="","",IFERROR(_xlfn.XLOOKUP(A1276:A5318,castles_state!K:K,castles_state!D:D)&amp;"主",IFERROR(_xlfn.XLOOKUP(A1276:A5318,kunishuClan!D:D,kunishuClan!B:B)&amp;"当主","")))</f>
      </c>
    </row>
    <row r="1277" ht="15.75" customHeight="1">
      <c r="A1277" s="4">
        <v>1026037</v>
      </c>
      <c r="B1277" s="12" t="str">
        <f t="array" ref="B1277">IF(A1277:A5319="","",_xlfn.XLOOKUP(A1277:A5319,'参照_武将'!A:A,'参照_武将'!B:B,"見つかりません"))</f>
      </c>
      <c r="C1277" s="4" t="s">
        <v>172</v>
      </c>
      <c r="D1277" s="4">
        <v>26</v>
      </c>
      <c r="E1277" s="12" t="str">
        <f t="array" ref="E1277">IF(D1277:D5319="","",IFERROR(_xlfn.XLOOKUP(D1277:D5319,'参照_勢力'!A:A,'参照_勢力'!B:B),IFERROR(_xlfn.XLOOKUP(F1277:F5319,kunishuClan!A:A,kunishuClan!B:B),"浪人")))</f>
      </c>
      <c r="F1277" s="4">
        <v>0</v>
      </c>
      <c r="G1277" s="4">
        <v>169</v>
      </c>
      <c r="H1277" s="12" t="str">
        <f t="array" ref="H1277">IF(G1277:G5319="","",_xlfn.XLOOKUP(G1277:G5319,castles_state!A:A,castles_state!D:D,"見つかりません"))</f>
      </c>
      <c r="I1277" s="4"/>
      <c r="J1277" s="12" t="str">
        <f t="array" ref="J1277">IF(I1277:I5319="","",_xlfn.XLOOKUP(I1277:I5319,'参照_姫'!A:A,'参照_姫'!B:B,"見つかりません"))</f>
      </c>
      <c r="K1277" s="4">
        <v>95</v>
      </c>
      <c r="L1277" s="4">
        <v>0</v>
      </c>
      <c r="M1277" s="4"/>
      <c r="N1277" s="4"/>
      <c r="O1277" s="4"/>
      <c r="P1277" s="12" t="str">
        <f t="array" ref="P1277">IF(O1277:O5319="","",_xlfn.XLOOKUP(O1277:O5319,'参照_官位'!A:A,'参照_官位'!B:B,""))</f>
      </c>
      <c r="Q1277" s="12" t="str">
        <f t="array" ref="Q1277">IF(A1277:A5319="","",IFERROR(_xlfn.XLOOKUP(A1277:A5319,castles_state!K:K,castles_state!D:D)&amp;"主",IFERROR(_xlfn.XLOOKUP(A1277:A5319,kunishuClan!D:D,kunishuClan!B:B)&amp;"当主","")))</f>
      </c>
    </row>
    <row r="1278" ht="15.75" customHeight="1">
      <c r="A1278" s="4">
        <v>1026038</v>
      </c>
      <c r="B1278" s="12" t="str">
        <f t="array" ref="B1278">IF(A1278:A5320="","",_xlfn.XLOOKUP(A1278:A5320,'参照_武将'!A:A,'参照_武将'!B:B,"見つかりません"))</f>
      </c>
      <c r="C1278" s="4" t="s">
        <v>172</v>
      </c>
      <c r="D1278" s="4">
        <v>26</v>
      </c>
      <c r="E1278" s="12" t="str">
        <f t="array" ref="E1278">IF(D1278:D5320="","",IFERROR(_xlfn.XLOOKUP(D1278:D5320,'参照_勢力'!A:A,'参照_勢力'!B:B),IFERROR(_xlfn.XLOOKUP(F1278:F5320,kunishuClan!A:A,kunishuClan!B:B),"浪人")))</f>
      </c>
      <c r="F1278" s="4">
        <v>0</v>
      </c>
      <c r="G1278" s="4">
        <v>169</v>
      </c>
      <c r="H1278" s="12" t="str">
        <f t="array" ref="H1278">IF(G1278:G5320="","",_xlfn.XLOOKUP(G1278:G5320,castles_state!A:A,castles_state!D:D,"見つかりません"))</f>
      </c>
      <c r="I1278" s="4"/>
      <c r="J1278" s="12" t="str">
        <f t="array" ref="J1278">IF(I1278:I5320="","",_xlfn.XLOOKUP(I1278:I5320,'参照_姫'!A:A,'参照_姫'!B:B,"見つかりません"))</f>
      </c>
      <c r="K1278" s="4">
        <v>95</v>
      </c>
      <c r="L1278" s="4">
        <v>0</v>
      </c>
      <c r="M1278" s="4"/>
      <c r="N1278" s="4"/>
      <c r="O1278" s="4"/>
      <c r="P1278" s="12" t="str">
        <f t="array" ref="P1278">IF(O1278:O5320="","",_xlfn.XLOOKUP(O1278:O5320,'参照_官位'!A:A,'参照_官位'!B:B,""))</f>
      </c>
      <c r="Q1278" s="12" t="str">
        <f t="array" ref="Q1278">IF(A1278:A5320="","",IFERROR(_xlfn.XLOOKUP(A1278:A5320,castles_state!K:K,castles_state!D:D)&amp;"主",IFERROR(_xlfn.XLOOKUP(A1278:A5320,kunishuClan!D:D,kunishuClan!B:B)&amp;"当主","")))</f>
      </c>
    </row>
    <row r="1279" ht="15.75" customHeight="1">
      <c r="A1279" s="4">
        <v>1026039</v>
      </c>
      <c r="B1279" s="12" t="str">
        <f t="array" ref="B1279">IF(A1279:A5321="","",_xlfn.XLOOKUP(A1279:A5321,'参照_武将'!A:A,'参照_武将'!B:B,"見つかりません"))</f>
      </c>
      <c r="C1279" s="4" t="s">
        <v>172</v>
      </c>
      <c r="D1279" s="4">
        <v>26</v>
      </c>
      <c r="E1279" s="12" t="str">
        <f t="array" ref="E1279">IF(D1279:D5321="","",IFERROR(_xlfn.XLOOKUP(D1279:D5321,'参照_勢力'!A:A,'参照_勢力'!B:B),IFERROR(_xlfn.XLOOKUP(F1279:F5321,kunishuClan!A:A,kunishuClan!B:B),"浪人")))</f>
      </c>
      <c r="F1279" s="4">
        <v>0</v>
      </c>
      <c r="G1279" s="4">
        <v>169</v>
      </c>
      <c r="H1279" s="12" t="str">
        <f t="array" ref="H1279">IF(G1279:G5321="","",_xlfn.XLOOKUP(G1279:G5321,castles_state!A:A,castles_state!D:D,"見つかりません"))</f>
      </c>
      <c r="I1279" s="4"/>
      <c r="J1279" s="12" t="str">
        <f t="array" ref="J1279">IF(I1279:I5321="","",_xlfn.XLOOKUP(I1279:I5321,'参照_姫'!A:A,'参照_姫'!B:B,"見つかりません"))</f>
      </c>
      <c r="K1279" s="4">
        <v>90</v>
      </c>
      <c r="L1279" s="4">
        <v>0</v>
      </c>
      <c r="M1279" s="4"/>
      <c r="N1279" s="4"/>
      <c r="O1279" s="4"/>
      <c r="P1279" s="12" t="str">
        <f t="array" ref="P1279">IF(O1279:O5321="","",_xlfn.XLOOKUP(O1279:O5321,'参照_官位'!A:A,'参照_官位'!B:B,""))</f>
      </c>
      <c r="Q1279" s="12" t="str">
        <f t="array" ref="Q1279">IF(A1279:A5321="","",IFERROR(_xlfn.XLOOKUP(A1279:A5321,castles_state!K:K,castles_state!D:D)&amp;"主",IFERROR(_xlfn.XLOOKUP(A1279:A5321,kunishuClan!D:D,kunishuClan!B:B)&amp;"当主","")))</f>
      </c>
    </row>
    <row r="1280" ht="15.75" customHeight="1">
      <c r="A1280" s="4">
        <v>1026040</v>
      </c>
      <c r="B1280" s="12" t="str">
        <f t="array" ref="B1280">IF(A1280:A5322="","",_xlfn.XLOOKUP(A1280:A5322,'参照_武将'!A:A,'参照_武将'!B:B,"見つかりません"))</f>
      </c>
      <c r="C1280" s="4" t="s">
        <v>172</v>
      </c>
      <c r="D1280" s="4">
        <v>26</v>
      </c>
      <c r="E1280" s="12" t="str">
        <f t="array" ref="E1280">IF(D1280:D5322="","",IFERROR(_xlfn.XLOOKUP(D1280:D5322,'参照_勢力'!A:A,'参照_勢力'!B:B),IFERROR(_xlfn.XLOOKUP(F1280:F5322,kunishuClan!A:A,kunishuClan!B:B),"浪人")))</f>
      </c>
      <c r="F1280" s="4">
        <v>0</v>
      </c>
      <c r="G1280" s="4">
        <v>169</v>
      </c>
      <c r="H1280" s="12" t="str">
        <f t="array" ref="H1280">IF(G1280:G5322="","",_xlfn.XLOOKUP(G1280:G5322,castles_state!A:A,castles_state!D:D,"見つかりません"))</f>
      </c>
      <c r="I1280" s="4"/>
      <c r="J1280" s="12" t="str">
        <f t="array" ref="J1280">IF(I1280:I5322="","",_xlfn.XLOOKUP(I1280:I5322,'参照_姫'!A:A,'参照_姫'!B:B,"見つかりません"))</f>
      </c>
      <c r="K1280" s="4">
        <v>90</v>
      </c>
      <c r="L1280" s="4">
        <v>500</v>
      </c>
      <c r="M1280" s="4"/>
      <c r="N1280" s="4"/>
      <c r="O1280" s="4"/>
      <c r="P1280" s="12" t="str">
        <f t="array" ref="P1280">IF(O1280:O5322="","",_xlfn.XLOOKUP(O1280:O5322,'参照_官位'!A:A,'参照_官位'!B:B,""))</f>
      </c>
      <c r="Q1280" s="12" t="str">
        <f t="array" ref="Q1280">IF(A1280:A5322="","",IFERROR(_xlfn.XLOOKUP(A1280:A5322,castles_state!K:K,castles_state!D:D)&amp;"主",IFERROR(_xlfn.XLOOKUP(A1280:A5322,kunishuClan!D:D,kunishuClan!B:B)&amp;"当主","")))</f>
      </c>
    </row>
    <row r="1281" ht="15.75" customHeight="1">
      <c r="A1281" s="4">
        <v>1026041</v>
      </c>
      <c r="B1281" s="12" t="str">
        <f t="array" ref="B1281">IF(A1281:A5323="","",_xlfn.XLOOKUP(A1281:A5323,'参照_武将'!A:A,'参照_武将'!B:B,"見つかりません"))</f>
      </c>
      <c r="C1281" s="4" t="s">
        <v>172</v>
      </c>
      <c r="D1281" s="4">
        <v>26</v>
      </c>
      <c r="E1281" s="12" t="str">
        <f t="array" ref="E1281">IF(D1281:D5323="","",IFERROR(_xlfn.XLOOKUP(D1281:D5323,'参照_勢力'!A:A,'参照_勢力'!B:B),IFERROR(_xlfn.XLOOKUP(F1281:F5323,kunishuClan!A:A,kunishuClan!B:B),"浪人")))</f>
      </c>
      <c r="F1281" s="4">
        <v>0</v>
      </c>
      <c r="G1281" s="4">
        <v>169</v>
      </c>
      <c r="H1281" s="12" t="str">
        <f t="array" ref="H1281">IF(G1281:G5323="","",_xlfn.XLOOKUP(G1281:G5323,castles_state!A:A,castles_state!D:D,"見つかりません"))</f>
      </c>
      <c r="I1281" s="4"/>
      <c r="J1281" s="12" t="str">
        <f t="array" ref="J1281">IF(I1281:I5323="","",_xlfn.XLOOKUP(I1281:I5323,'参照_姫'!A:A,'参照_姫'!B:B,"見つかりません"))</f>
      </c>
      <c r="K1281" s="4">
        <v>80</v>
      </c>
      <c r="L1281" s="4">
        <v>0</v>
      </c>
      <c r="M1281" s="4"/>
      <c r="N1281" s="4"/>
      <c r="O1281" s="4"/>
      <c r="P1281" s="12" t="str">
        <f t="array" ref="P1281">IF(O1281:O5323="","",_xlfn.XLOOKUP(O1281:O5323,'参照_官位'!A:A,'参照_官位'!B:B,""))</f>
      </c>
      <c r="Q1281" s="12" t="str">
        <f t="array" ref="Q1281">IF(A1281:A5323="","",IFERROR(_xlfn.XLOOKUP(A1281:A5323,castles_state!K:K,castles_state!D:D)&amp;"主",IFERROR(_xlfn.XLOOKUP(A1281:A5323,kunishuClan!D:D,kunishuClan!B:B)&amp;"当主","")))</f>
      </c>
    </row>
    <row r="1282" ht="15.75" customHeight="1">
      <c r="A1282" s="4">
        <v>1026042</v>
      </c>
      <c r="B1282" s="12" t="str">
        <f t="array" ref="B1282">IF(A1282:A5324="","",_xlfn.XLOOKUP(A1282:A5324,'参照_武将'!A:A,'参照_武将'!B:B,"見つかりません"))</f>
      </c>
      <c r="C1282" s="4" t="s">
        <v>172</v>
      </c>
      <c r="D1282" s="4">
        <v>26</v>
      </c>
      <c r="E1282" s="12" t="str">
        <f t="array" ref="E1282">IF(D1282:D5324="","",IFERROR(_xlfn.XLOOKUP(D1282:D5324,'参照_勢力'!A:A,'参照_勢力'!B:B),IFERROR(_xlfn.XLOOKUP(F1282:F5324,kunishuClan!A:A,kunishuClan!B:B),"浪人")))</f>
      </c>
      <c r="F1282" s="4">
        <v>0</v>
      </c>
      <c r="G1282" s="4">
        <v>169</v>
      </c>
      <c r="H1282" s="12" t="str">
        <f t="array" ref="H1282">IF(G1282:G5324="","",_xlfn.XLOOKUP(G1282:G5324,castles_state!A:A,castles_state!D:D,"見つかりません"))</f>
      </c>
      <c r="I1282" s="4"/>
      <c r="J1282" s="12" t="str">
        <f t="array" ref="J1282">IF(I1282:I5324="","",_xlfn.XLOOKUP(I1282:I5324,'参照_姫'!A:A,'参照_姫'!B:B,"見つかりません"))</f>
      </c>
      <c r="K1282" s="4">
        <v>80</v>
      </c>
      <c r="L1282" s="4">
        <v>0</v>
      </c>
      <c r="M1282" s="4"/>
      <c r="N1282" s="4"/>
      <c r="O1282" s="4"/>
      <c r="P1282" s="12" t="str">
        <f t="array" ref="P1282">IF(O1282:O5324="","",_xlfn.XLOOKUP(O1282:O5324,'参照_官位'!A:A,'参照_官位'!B:B,""))</f>
      </c>
      <c r="Q1282" s="12" t="str">
        <f t="array" ref="Q1282">IF(A1282:A5324="","",IFERROR(_xlfn.XLOOKUP(A1282:A5324,castles_state!K:K,castles_state!D:D)&amp;"主",IFERROR(_xlfn.XLOOKUP(A1282:A5324,kunishuClan!D:D,kunishuClan!B:B)&amp;"当主","")))</f>
      </c>
    </row>
    <row r="1283" ht="15.75" customHeight="1">
      <c r="A1283" s="4">
        <v>1026043</v>
      </c>
      <c r="B1283" s="12" t="str">
        <f t="array" ref="B1283">IF(A1283:A5325="","",_xlfn.XLOOKUP(A1283:A5325,'参照_武将'!A:A,'参照_武将'!B:B,"見つかりません"))</f>
      </c>
      <c r="C1283" s="4" t="s">
        <v>172</v>
      </c>
      <c r="D1283" s="4">
        <v>26</v>
      </c>
      <c r="E1283" s="12" t="str">
        <f t="array" ref="E1283">IF(D1283:D5325="","",IFERROR(_xlfn.XLOOKUP(D1283:D5325,'参照_勢力'!A:A,'参照_勢力'!B:B),IFERROR(_xlfn.XLOOKUP(F1283:F5325,kunishuClan!A:A,kunishuClan!B:B),"浪人")))</f>
      </c>
      <c r="F1283" s="4">
        <v>0</v>
      </c>
      <c r="G1283" s="4">
        <v>171</v>
      </c>
      <c r="H1283" s="12" t="str">
        <f t="array" ref="H1283">IF(G1283:G5325="","",_xlfn.XLOOKUP(G1283:G5325,castles_state!A:A,castles_state!D:D,"見つかりません"))</f>
      </c>
      <c r="I1283" s="4"/>
      <c r="J1283" s="12" t="str">
        <f t="array" ref="J1283">IF(I1283:I5325="","",_xlfn.XLOOKUP(I1283:I5325,'参照_姫'!A:A,'参照_姫'!B:B,"見つかりません"))</f>
      </c>
      <c r="K1283" s="4">
        <v>80</v>
      </c>
      <c r="L1283" s="4">
        <v>0</v>
      </c>
      <c r="M1283" s="4"/>
      <c r="N1283" s="4"/>
      <c r="O1283" s="4"/>
      <c r="P1283" s="12" t="str">
        <f t="array" ref="P1283">IF(O1283:O5325="","",_xlfn.XLOOKUP(O1283:O5325,'参照_官位'!A:A,'参照_官位'!B:B,""))</f>
      </c>
      <c r="Q1283" s="12" t="str">
        <f t="array" ref="Q1283">IF(A1283:A5325="","",IFERROR(_xlfn.XLOOKUP(A1283:A5325,castles_state!K:K,castles_state!D:D)&amp;"主",IFERROR(_xlfn.XLOOKUP(A1283:A5325,kunishuClan!D:D,kunishuClan!B:B)&amp;"当主","")))</f>
      </c>
    </row>
    <row r="1284" ht="15.75" customHeight="1">
      <c r="A1284" s="4">
        <v>1026044</v>
      </c>
      <c r="B1284" s="12" t="str">
        <f t="array" ref="B1284">IF(A1284:A5326="","",_xlfn.XLOOKUP(A1284:A5326,'参照_武将'!A:A,'参照_武将'!B:B,"見つかりません"))</f>
      </c>
      <c r="C1284" s="4" t="s">
        <v>172</v>
      </c>
      <c r="D1284" s="4">
        <v>26</v>
      </c>
      <c r="E1284" s="12" t="str">
        <f t="array" ref="E1284">IF(D1284:D5326="","",IFERROR(_xlfn.XLOOKUP(D1284:D5326,'参照_勢力'!A:A,'参照_勢力'!B:B),IFERROR(_xlfn.XLOOKUP(F1284:F5326,kunishuClan!A:A,kunishuClan!B:B),"浪人")))</f>
      </c>
      <c r="F1284" s="4">
        <v>0</v>
      </c>
      <c r="G1284" s="4">
        <v>166</v>
      </c>
      <c r="H1284" s="12" t="str">
        <f t="array" ref="H1284">IF(G1284:G5326="","",_xlfn.XLOOKUP(G1284:G5326,castles_state!A:A,castles_state!D:D,"見つかりません"))</f>
      </c>
      <c r="I1284" s="4"/>
      <c r="J1284" s="12" t="str">
        <f t="array" ref="J1284">IF(I1284:I5326="","",_xlfn.XLOOKUP(I1284:I5326,'参照_姫'!A:A,'参照_姫'!B:B,"見つかりません"))</f>
      </c>
      <c r="K1284" s="4">
        <v>95</v>
      </c>
      <c r="L1284" s="4">
        <v>0</v>
      </c>
      <c r="M1284" s="4"/>
      <c r="N1284" s="4"/>
      <c r="O1284" s="4"/>
      <c r="P1284" s="12" t="str">
        <f t="array" ref="P1284">IF(O1284:O5326="","",_xlfn.XLOOKUP(O1284:O5326,'参照_官位'!A:A,'参照_官位'!B:B,""))</f>
      </c>
      <c r="Q1284" s="12" t="str">
        <f t="array" ref="Q1284">IF(A1284:A5326="","",IFERROR(_xlfn.XLOOKUP(A1284:A5326,castles_state!K:K,castles_state!D:D)&amp;"主",IFERROR(_xlfn.XLOOKUP(A1284:A5326,kunishuClan!D:D,kunishuClan!B:B)&amp;"当主","")))</f>
      </c>
    </row>
    <row r="1285" ht="15.75" customHeight="1">
      <c r="A1285" s="4">
        <v>1026045</v>
      </c>
      <c r="B1285" s="12" t="str">
        <f t="array" ref="B1285">IF(A1285:A5327="","",_xlfn.XLOOKUP(A1285:A5327,'参照_武将'!A:A,'参照_武将'!B:B,"見つかりません"))</f>
      </c>
      <c r="C1285" s="4" t="s">
        <v>172</v>
      </c>
      <c r="D1285" s="4">
        <v>26</v>
      </c>
      <c r="E1285" s="12" t="str">
        <f t="array" ref="E1285">IF(D1285:D5327="","",IFERROR(_xlfn.XLOOKUP(D1285:D5327,'参照_勢力'!A:A,'参照_勢力'!B:B),IFERROR(_xlfn.XLOOKUP(F1285:F5327,kunishuClan!A:A,kunishuClan!B:B),"浪人")))</f>
      </c>
      <c r="F1285" s="4">
        <v>0</v>
      </c>
      <c r="G1285" s="4">
        <v>170</v>
      </c>
      <c r="H1285" s="12" t="str">
        <f t="array" ref="H1285">IF(G1285:G5327="","",_xlfn.XLOOKUP(G1285:G5327,castles_state!A:A,castles_state!D:D,"見つかりません"))</f>
      </c>
      <c r="I1285" s="4"/>
      <c r="J1285" s="12" t="str">
        <f t="array" ref="J1285">IF(I1285:I5327="","",_xlfn.XLOOKUP(I1285:I5327,'参照_姫'!A:A,'参照_姫'!B:B,"見つかりません"))</f>
      </c>
      <c r="K1285" s="4">
        <v>95</v>
      </c>
      <c r="L1285" s="4">
        <v>200</v>
      </c>
      <c r="M1285" s="4"/>
      <c r="N1285" s="4"/>
      <c r="O1285" s="4"/>
      <c r="P1285" s="12" t="str">
        <f t="array" ref="P1285">IF(O1285:O5327="","",_xlfn.XLOOKUP(O1285:O5327,'参照_官位'!A:A,'参照_官位'!B:B,""))</f>
      </c>
      <c r="Q1285" s="12" t="str">
        <f t="array" ref="Q1285">IF(A1285:A5327="","",IFERROR(_xlfn.XLOOKUP(A1285:A5327,castles_state!K:K,castles_state!D:D)&amp;"主",IFERROR(_xlfn.XLOOKUP(A1285:A5327,kunishuClan!D:D,kunishuClan!B:B)&amp;"当主","")))</f>
      </c>
    </row>
    <row r="1286" ht="15.75" customHeight="1">
      <c r="A1286" s="4">
        <v>1026046</v>
      </c>
      <c r="B1286" s="12" t="str">
        <f t="array" ref="B1286">IF(A1286:A5328="","",_xlfn.XLOOKUP(A1286:A5328,'参照_武将'!A:A,'参照_武将'!B:B,"見つかりません"))</f>
      </c>
      <c r="C1286" s="4" t="s">
        <v>172</v>
      </c>
      <c r="D1286" s="4">
        <v>26</v>
      </c>
      <c r="E1286" s="12" t="str">
        <f t="array" ref="E1286">IF(D1286:D5328="","",IFERROR(_xlfn.XLOOKUP(D1286:D5328,'参照_勢力'!A:A,'参照_勢力'!B:B),IFERROR(_xlfn.XLOOKUP(F1286:F5328,kunishuClan!A:A,kunishuClan!B:B),"浪人")))</f>
      </c>
      <c r="F1286" s="4">
        <v>0</v>
      </c>
      <c r="G1286" s="4">
        <v>170</v>
      </c>
      <c r="H1286" s="12" t="str">
        <f t="array" ref="H1286">IF(G1286:G5328="","",_xlfn.XLOOKUP(G1286:G5328,castles_state!A:A,castles_state!D:D,"見つかりません"))</f>
      </c>
      <c r="I1286" s="4"/>
      <c r="J1286" s="12" t="str">
        <f t="array" ref="J1286">IF(I1286:I5328="","",_xlfn.XLOOKUP(I1286:I5328,'参照_姫'!A:A,'参照_姫'!B:B,"見つかりません"))</f>
      </c>
      <c r="K1286" s="4">
        <v>80</v>
      </c>
      <c r="L1286" s="4">
        <v>0</v>
      </c>
      <c r="M1286" s="4"/>
      <c r="N1286" s="4"/>
      <c r="O1286" s="4"/>
      <c r="P1286" s="12" t="str">
        <f t="array" ref="P1286">IF(O1286:O5328="","",_xlfn.XLOOKUP(O1286:O5328,'参照_官位'!A:A,'参照_官位'!B:B,""))</f>
      </c>
      <c r="Q1286" s="12" t="str">
        <f t="array" ref="Q1286">IF(A1286:A5328="","",IFERROR(_xlfn.XLOOKUP(A1286:A5328,castles_state!K:K,castles_state!D:D)&amp;"主",IFERROR(_xlfn.XLOOKUP(A1286:A5328,kunishuClan!D:D,kunishuClan!B:B)&amp;"当主","")))</f>
      </c>
    </row>
    <row r="1287" ht="15.75" customHeight="1">
      <c r="A1287" s="4">
        <v>1026047</v>
      </c>
      <c r="B1287" s="12" t="str">
        <f t="array" ref="B1287">IF(A1287:A5329="","",_xlfn.XLOOKUP(A1287:A5329,'参照_武将'!A:A,'参照_武将'!B:B,"見つかりません"))</f>
      </c>
      <c r="C1287" s="4" t="s">
        <v>172</v>
      </c>
      <c r="D1287" s="4">
        <v>26</v>
      </c>
      <c r="E1287" s="12" t="str">
        <f t="array" ref="E1287">IF(D1287:D5329="","",IFERROR(_xlfn.XLOOKUP(D1287:D5329,'参照_勢力'!A:A,'参照_勢力'!B:B),IFERROR(_xlfn.XLOOKUP(F1287:F5329,kunishuClan!A:A,kunishuClan!B:B),"浪人")))</f>
      </c>
      <c r="F1287" s="4">
        <v>0</v>
      </c>
      <c r="G1287" s="4">
        <v>170</v>
      </c>
      <c r="H1287" s="12" t="str">
        <f t="array" ref="H1287">IF(G1287:G5329="","",_xlfn.XLOOKUP(G1287:G5329,castles_state!A:A,castles_state!D:D,"見つかりません"))</f>
      </c>
      <c r="I1287" s="4"/>
      <c r="J1287" s="12" t="str">
        <f t="array" ref="J1287">IF(I1287:I5329="","",_xlfn.XLOOKUP(I1287:I5329,'参照_姫'!A:A,'参照_姫'!B:B,"見つかりません"))</f>
      </c>
      <c r="K1287" s="4">
        <v>95</v>
      </c>
      <c r="L1287" s="4">
        <v>0</v>
      </c>
      <c r="M1287" s="4"/>
      <c r="N1287" s="4"/>
      <c r="O1287" s="4"/>
      <c r="P1287" s="12" t="str">
        <f t="array" ref="P1287">IF(O1287:O5329="","",_xlfn.XLOOKUP(O1287:O5329,'参照_官位'!A:A,'参照_官位'!B:B,""))</f>
      </c>
      <c r="Q1287" s="12" t="str">
        <f t="array" ref="Q1287">IF(A1287:A5329="","",IFERROR(_xlfn.XLOOKUP(A1287:A5329,castles_state!K:K,castles_state!D:D)&amp;"主",IFERROR(_xlfn.XLOOKUP(A1287:A5329,kunishuClan!D:D,kunishuClan!B:B)&amp;"当主","")))</f>
      </c>
    </row>
    <row r="1288" ht="15.75" customHeight="1">
      <c r="A1288" s="4">
        <v>1026048</v>
      </c>
      <c r="B1288" s="12" t="str">
        <f t="array" ref="B1288">IF(A1288:A5330="","",_xlfn.XLOOKUP(A1288:A5330,'参照_武将'!A:A,'参照_武将'!B:B,"見つかりません"))</f>
      </c>
      <c r="C1288" s="4" t="s">
        <v>172</v>
      </c>
      <c r="D1288" s="4">
        <v>26</v>
      </c>
      <c r="E1288" s="12" t="str">
        <f t="array" ref="E1288">IF(D1288:D5330="","",IFERROR(_xlfn.XLOOKUP(D1288:D5330,'参照_勢力'!A:A,'参照_勢力'!B:B),IFERROR(_xlfn.XLOOKUP(F1288:F5330,kunishuClan!A:A,kunishuClan!B:B),"浪人")))</f>
      </c>
      <c r="F1288" s="4">
        <v>0</v>
      </c>
      <c r="G1288" s="4">
        <v>170</v>
      </c>
      <c r="H1288" s="12" t="str">
        <f t="array" ref="H1288">IF(G1288:G5330="","",_xlfn.XLOOKUP(G1288:G5330,castles_state!A:A,castles_state!D:D,"見つかりません"))</f>
      </c>
      <c r="I1288" s="4"/>
      <c r="J1288" s="12" t="str">
        <f t="array" ref="J1288">IF(I1288:I5330="","",_xlfn.XLOOKUP(I1288:I5330,'参照_姫'!A:A,'参照_姫'!B:B,"見つかりません"))</f>
      </c>
      <c r="K1288" s="4">
        <v>95</v>
      </c>
      <c r="L1288" s="4">
        <v>500</v>
      </c>
      <c r="M1288" s="4"/>
      <c r="N1288" s="4"/>
      <c r="O1288" s="4"/>
      <c r="P1288" s="12" t="str">
        <f t="array" ref="P1288">IF(O1288:O5330="","",_xlfn.XLOOKUP(O1288:O5330,'参照_官位'!A:A,'参照_官位'!B:B,""))</f>
      </c>
      <c r="Q1288" s="12" t="str">
        <f t="array" ref="Q1288">IF(A1288:A5330="","",IFERROR(_xlfn.XLOOKUP(A1288:A5330,castles_state!K:K,castles_state!D:D)&amp;"主",IFERROR(_xlfn.XLOOKUP(A1288:A5330,kunishuClan!D:D,kunishuClan!B:B)&amp;"当主","")))</f>
      </c>
    </row>
    <row r="1289" ht="15.75" customHeight="1">
      <c r="A1289" s="4">
        <v>1026049</v>
      </c>
      <c r="B1289" s="12" t="str">
        <f t="array" ref="B1289">IF(A1289:A5331="","",_xlfn.XLOOKUP(A1289:A5331,'参照_武将'!A:A,'参照_武将'!B:B,"見つかりません"))</f>
      </c>
      <c r="C1289" s="4" t="s">
        <v>172</v>
      </c>
      <c r="D1289" s="4">
        <v>26</v>
      </c>
      <c r="E1289" s="12" t="str">
        <f t="array" ref="E1289">IF(D1289:D5331="","",IFERROR(_xlfn.XLOOKUP(D1289:D5331,'参照_勢力'!A:A,'参照_勢力'!B:B),IFERROR(_xlfn.XLOOKUP(F1289:F5331,kunishuClan!A:A,kunishuClan!B:B),"浪人")))</f>
      </c>
      <c r="F1289" s="4">
        <v>0</v>
      </c>
      <c r="G1289" s="4">
        <v>170</v>
      </c>
      <c r="H1289" s="12" t="str">
        <f t="array" ref="H1289">IF(G1289:G5331="","",_xlfn.XLOOKUP(G1289:G5331,castles_state!A:A,castles_state!D:D,"見つかりません"))</f>
      </c>
      <c r="I1289" s="4"/>
      <c r="J1289" s="12" t="str">
        <f t="array" ref="J1289">IF(I1289:I5331="","",_xlfn.XLOOKUP(I1289:I5331,'参照_姫'!A:A,'参照_姫'!B:B,"見つかりません"))</f>
      </c>
      <c r="K1289" s="4">
        <v>95</v>
      </c>
      <c r="L1289" s="4">
        <v>0</v>
      </c>
      <c r="M1289" s="4"/>
      <c r="N1289" s="4"/>
      <c r="O1289" s="4"/>
      <c r="P1289" s="12" t="str">
        <f t="array" ref="P1289">IF(O1289:O5331="","",_xlfn.XLOOKUP(O1289:O5331,'参照_官位'!A:A,'参照_官位'!B:B,""))</f>
      </c>
      <c r="Q1289" s="12" t="str">
        <f t="array" ref="Q1289">IF(A1289:A5331="","",IFERROR(_xlfn.XLOOKUP(A1289:A5331,castles_state!K:K,castles_state!D:D)&amp;"主",IFERROR(_xlfn.XLOOKUP(A1289:A5331,kunishuClan!D:D,kunishuClan!B:B)&amp;"当主","")))</f>
      </c>
    </row>
    <row r="1290" ht="15.75" customHeight="1">
      <c r="A1290" s="4">
        <v>1026050</v>
      </c>
      <c r="B1290" s="12" t="str">
        <f t="array" ref="B1290">IF(A1290:A5332="","",_xlfn.XLOOKUP(A1290:A5332,'参照_武将'!A:A,'参照_武将'!B:B,"見つかりません"))</f>
      </c>
      <c r="C1290" s="4" t="s">
        <v>172</v>
      </c>
      <c r="D1290" s="4">
        <v>26</v>
      </c>
      <c r="E1290" s="12" t="str">
        <f t="array" ref="E1290">IF(D1290:D5332="","",IFERROR(_xlfn.XLOOKUP(D1290:D5332,'参照_勢力'!A:A,'参照_勢力'!B:B),IFERROR(_xlfn.XLOOKUP(F1290:F5332,kunishuClan!A:A,kunishuClan!B:B),"浪人")))</f>
      </c>
      <c r="F1290" s="4">
        <v>0</v>
      </c>
      <c r="G1290" s="4">
        <v>170</v>
      </c>
      <c r="H1290" s="12" t="str">
        <f t="array" ref="H1290">IF(G1290:G5332="","",_xlfn.XLOOKUP(G1290:G5332,castles_state!A:A,castles_state!D:D,"見つかりません"))</f>
      </c>
      <c r="I1290" s="4"/>
      <c r="J1290" s="12" t="str">
        <f t="array" ref="J1290">IF(I1290:I5332="","",_xlfn.XLOOKUP(I1290:I5332,'参照_姫'!A:A,'参照_姫'!B:B,"見つかりません"))</f>
      </c>
      <c r="K1290" s="4">
        <v>80</v>
      </c>
      <c r="L1290" s="4">
        <v>0</v>
      </c>
      <c r="M1290" s="4"/>
      <c r="N1290" s="4"/>
      <c r="O1290" s="4"/>
      <c r="P1290" s="12" t="str">
        <f t="array" ref="P1290">IF(O1290:O5332="","",_xlfn.XLOOKUP(O1290:O5332,'参照_官位'!A:A,'参照_官位'!B:B,""))</f>
      </c>
      <c r="Q1290" s="12" t="str">
        <f t="array" ref="Q1290">IF(A1290:A5332="","",IFERROR(_xlfn.XLOOKUP(A1290:A5332,castles_state!K:K,castles_state!D:D)&amp;"主",IFERROR(_xlfn.XLOOKUP(A1290:A5332,kunishuClan!D:D,kunishuClan!B:B)&amp;"当主","")))</f>
      </c>
    </row>
    <row r="1291" ht="15.75" customHeight="1">
      <c r="A1291" s="4">
        <v>1026051</v>
      </c>
      <c r="B1291" s="12" t="str">
        <f t="array" ref="B1291">IF(A1291:A5333="","",_xlfn.XLOOKUP(A1291:A5333,'参照_武将'!A:A,'参照_武将'!B:B,"見つかりません"))</f>
      </c>
      <c r="C1291" s="4" t="s">
        <v>172</v>
      </c>
      <c r="D1291" s="4">
        <v>26</v>
      </c>
      <c r="E1291" s="12" t="str">
        <f t="array" ref="E1291">IF(D1291:D5333="","",IFERROR(_xlfn.XLOOKUP(D1291:D5333,'参照_勢力'!A:A,'参照_勢力'!B:B),IFERROR(_xlfn.XLOOKUP(F1291:F5333,kunishuClan!A:A,kunishuClan!B:B),"浪人")))</f>
      </c>
      <c r="F1291" s="4">
        <v>0</v>
      </c>
      <c r="G1291" s="4">
        <v>166</v>
      </c>
      <c r="H1291" s="12" t="str">
        <f t="array" ref="H1291">IF(G1291:G5333="","",_xlfn.XLOOKUP(G1291:G5333,castles_state!A:A,castles_state!D:D,"見つかりません"))</f>
      </c>
      <c r="I1291" s="4"/>
      <c r="J1291" s="12" t="str">
        <f t="array" ref="J1291">IF(I1291:I5333="","",_xlfn.XLOOKUP(I1291:I5333,'参照_姫'!A:A,'参照_姫'!B:B,"見つかりません"))</f>
      </c>
      <c r="K1291" s="4">
        <v>95</v>
      </c>
      <c r="L1291" s="4">
        <v>0</v>
      </c>
      <c r="M1291" s="4"/>
      <c r="N1291" s="4"/>
      <c r="O1291" s="4"/>
      <c r="P1291" s="12" t="str">
        <f t="array" ref="P1291">IF(O1291:O5333="","",_xlfn.XLOOKUP(O1291:O5333,'参照_官位'!A:A,'参照_官位'!B:B,""))</f>
      </c>
      <c r="Q1291" s="12" t="str">
        <f t="array" ref="Q1291">IF(A1291:A5333="","",IFERROR(_xlfn.XLOOKUP(A1291:A5333,castles_state!K:K,castles_state!D:D)&amp;"主",IFERROR(_xlfn.XLOOKUP(A1291:A5333,kunishuClan!D:D,kunishuClan!B:B)&amp;"当主","")))</f>
      </c>
    </row>
    <row r="1292" ht="15.75" customHeight="1">
      <c r="A1292" s="4">
        <v>1026052</v>
      </c>
      <c r="B1292" s="12" t="str">
        <f t="array" ref="B1292">IF(A1292:A5334="","",_xlfn.XLOOKUP(A1292:A5334,'参照_武将'!A:A,'参照_武将'!B:B,"見つかりません"))</f>
      </c>
      <c r="C1292" s="4" t="s">
        <v>172</v>
      </c>
      <c r="D1292" s="4">
        <v>26</v>
      </c>
      <c r="E1292" s="12" t="str">
        <f t="array" ref="E1292">IF(D1292:D5334="","",IFERROR(_xlfn.XLOOKUP(D1292:D5334,'参照_勢力'!A:A,'参照_勢力'!B:B),IFERROR(_xlfn.XLOOKUP(F1292:F5334,kunishuClan!A:A,kunishuClan!B:B),"浪人")))</f>
      </c>
      <c r="F1292" s="4">
        <v>0</v>
      </c>
      <c r="G1292" s="4">
        <v>166</v>
      </c>
      <c r="H1292" s="12" t="str">
        <f t="array" ref="H1292">IF(G1292:G5334="","",_xlfn.XLOOKUP(G1292:G5334,castles_state!A:A,castles_state!D:D,"見つかりません"))</f>
      </c>
      <c r="I1292" s="4"/>
      <c r="J1292" s="12" t="str">
        <f t="array" ref="J1292">IF(I1292:I5334="","",_xlfn.XLOOKUP(I1292:I5334,'参照_姫'!A:A,'参照_姫'!B:B,"見つかりません"))</f>
      </c>
      <c r="K1292" s="4">
        <v>95</v>
      </c>
      <c r="L1292" s="4">
        <v>0</v>
      </c>
      <c r="M1292" s="4"/>
      <c r="N1292" s="4"/>
      <c r="O1292" s="4"/>
      <c r="P1292" s="12" t="str">
        <f t="array" ref="P1292">IF(O1292:O5334="","",_xlfn.XLOOKUP(O1292:O5334,'参照_官位'!A:A,'参照_官位'!B:B,""))</f>
      </c>
      <c r="Q1292" s="12" t="str">
        <f t="array" ref="Q1292">IF(A1292:A5334="","",IFERROR(_xlfn.XLOOKUP(A1292:A5334,castles_state!K:K,castles_state!D:D)&amp;"主",IFERROR(_xlfn.XLOOKUP(A1292:A5334,kunishuClan!D:D,kunishuClan!B:B)&amp;"当主","")))</f>
      </c>
    </row>
    <row r="1293" ht="15.75" customHeight="1">
      <c r="A1293" s="4">
        <v>1026053</v>
      </c>
      <c r="B1293" s="12" t="str">
        <f t="array" ref="B1293">IF(A1293:A5335="","",_xlfn.XLOOKUP(A1293:A5335,'参照_武将'!A:A,'参照_武将'!B:B,"見つかりません"))</f>
      </c>
      <c r="C1293" s="4" t="s">
        <v>172</v>
      </c>
      <c r="D1293" s="4">
        <v>26</v>
      </c>
      <c r="E1293" s="12" t="str">
        <f t="array" ref="E1293">IF(D1293:D5335="","",IFERROR(_xlfn.XLOOKUP(D1293:D5335,'参照_勢力'!A:A,'参照_勢力'!B:B),IFERROR(_xlfn.XLOOKUP(F1293:F5335,kunishuClan!A:A,kunishuClan!B:B),"浪人")))</f>
      </c>
      <c r="F1293" s="4">
        <v>0</v>
      </c>
      <c r="G1293" s="4">
        <v>166</v>
      </c>
      <c r="H1293" s="12" t="str">
        <f t="array" ref="H1293">IF(G1293:G5335="","",_xlfn.XLOOKUP(G1293:G5335,castles_state!A:A,castles_state!D:D,"見つかりません"))</f>
      </c>
      <c r="I1293" s="4"/>
      <c r="J1293" s="12" t="str">
        <f t="array" ref="J1293">IF(I1293:I5335="","",_xlfn.XLOOKUP(I1293:I5335,'参照_姫'!A:A,'参照_姫'!B:B,"見つかりません"))</f>
      </c>
      <c r="K1293" s="4">
        <v>95</v>
      </c>
      <c r="L1293" s="4">
        <v>0</v>
      </c>
      <c r="M1293" s="4"/>
      <c r="N1293" s="4"/>
      <c r="O1293" s="4"/>
      <c r="P1293" s="12" t="str">
        <f t="array" ref="P1293">IF(O1293:O5335="","",_xlfn.XLOOKUP(O1293:O5335,'参照_官位'!A:A,'参照_官位'!B:B,""))</f>
      </c>
      <c r="Q1293" s="12" t="str">
        <f t="array" ref="Q1293">IF(A1293:A5335="","",IFERROR(_xlfn.XLOOKUP(A1293:A5335,castles_state!K:K,castles_state!D:D)&amp;"主",IFERROR(_xlfn.XLOOKUP(A1293:A5335,kunishuClan!D:D,kunishuClan!B:B)&amp;"当主","")))</f>
      </c>
    </row>
    <row r="1294" ht="15.75" customHeight="1">
      <c r="A1294" s="4">
        <v>1026054</v>
      </c>
      <c r="B1294" s="12" t="str">
        <f t="array" ref="B1294">IF(A1294:A5336="","",_xlfn.XLOOKUP(A1294:A5336,'参照_武将'!A:A,'参照_武将'!B:B,"見つかりません"))</f>
      </c>
      <c r="C1294" s="4" t="s">
        <v>172</v>
      </c>
      <c r="D1294" s="4">
        <v>26</v>
      </c>
      <c r="E1294" s="12" t="str">
        <f t="array" ref="E1294">IF(D1294:D5336="","",IFERROR(_xlfn.XLOOKUP(D1294:D5336,'参照_勢力'!A:A,'参照_勢力'!B:B),IFERROR(_xlfn.XLOOKUP(F1294:F5336,kunishuClan!A:A,kunishuClan!B:B),"浪人")))</f>
      </c>
      <c r="F1294" s="4">
        <v>0</v>
      </c>
      <c r="G1294" s="4">
        <v>167</v>
      </c>
      <c r="H1294" s="12" t="str">
        <f t="array" ref="H1294">IF(G1294:G5336="","",_xlfn.XLOOKUP(G1294:G5336,castles_state!A:A,castles_state!D:D,"見つかりません"))</f>
      </c>
      <c r="I1294" s="4"/>
      <c r="J1294" s="12" t="str">
        <f t="array" ref="J1294">IF(I1294:I5336="","",_xlfn.XLOOKUP(I1294:I5336,'参照_姫'!A:A,'参照_姫'!B:B,"見つかりません"))</f>
      </c>
      <c r="K1294" s="4">
        <v>95</v>
      </c>
      <c r="L1294" s="4">
        <v>0</v>
      </c>
      <c r="M1294" s="4"/>
      <c r="N1294" s="4"/>
      <c r="O1294" s="4"/>
      <c r="P1294" s="12" t="str">
        <f t="array" ref="P1294">IF(O1294:O5336="","",_xlfn.XLOOKUP(O1294:O5336,'参照_官位'!A:A,'参照_官位'!B:B,""))</f>
      </c>
      <c r="Q1294" s="12" t="str">
        <f t="array" ref="Q1294">IF(A1294:A5336="","",IFERROR(_xlfn.XLOOKUP(A1294:A5336,castles_state!K:K,castles_state!D:D)&amp;"主",IFERROR(_xlfn.XLOOKUP(A1294:A5336,kunishuClan!D:D,kunishuClan!B:B)&amp;"当主","")))</f>
      </c>
    </row>
    <row r="1295" ht="15.75" customHeight="1">
      <c r="A1295" s="4">
        <v>1026055</v>
      </c>
      <c r="B1295" s="12" t="str">
        <f t="array" ref="B1295">IF(A1295:A5337="","",_xlfn.XLOOKUP(A1295:A5337,'参照_武将'!A:A,'参照_武将'!B:B,"見つかりません"))</f>
      </c>
      <c r="C1295" s="4" t="s">
        <v>172</v>
      </c>
      <c r="D1295" s="4">
        <v>26</v>
      </c>
      <c r="E1295" s="12" t="str">
        <f t="array" ref="E1295">IF(D1295:D5337="","",IFERROR(_xlfn.XLOOKUP(D1295:D5337,'参照_勢力'!A:A,'参照_勢力'!B:B),IFERROR(_xlfn.XLOOKUP(F1295:F5337,kunishuClan!A:A,kunishuClan!B:B),"浪人")))</f>
      </c>
      <c r="F1295" s="4">
        <v>0</v>
      </c>
      <c r="G1295" s="4">
        <v>167</v>
      </c>
      <c r="H1295" s="12" t="str">
        <f t="array" ref="H1295">IF(G1295:G5337="","",_xlfn.XLOOKUP(G1295:G5337,castles_state!A:A,castles_state!D:D,"見つかりません"))</f>
      </c>
      <c r="I1295" s="4"/>
      <c r="J1295" s="12" t="str">
        <f t="array" ref="J1295">IF(I1295:I5337="","",_xlfn.XLOOKUP(I1295:I5337,'参照_姫'!A:A,'参照_姫'!B:B,"見つかりません"))</f>
      </c>
      <c r="K1295" s="4">
        <v>95</v>
      </c>
      <c r="L1295" s="4">
        <v>0</v>
      </c>
      <c r="M1295" s="4"/>
      <c r="N1295" s="4"/>
      <c r="O1295" s="4"/>
      <c r="P1295" s="12" t="str">
        <f t="array" ref="P1295">IF(O1295:O5337="","",_xlfn.XLOOKUP(O1295:O5337,'参照_官位'!A:A,'参照_官位'!B:B,""))</f>
      </c>
      <c r="Q1295" s="12" t="str">
        <f t="array" ref="Q1295">IF(A1295:A5337="","",IFERROR(_xlfn.XLOOKUP(A1295:A5337,castles_state!K:K,castles_state!D:D)&amp;"主",IFERROR(_xlfn.XLOOKUP(A1295:A5337,kunishuClan!D:D,kunishuClan!B:B)&amp;"当主","")))</f>
      </c>
    </row>
    <row r="1296" ht="15.75" customHeight="1">
      <c r="A1296" s="4">
        <v>1026056</v>
      </c>
      <c r="B1296" s="12" t="str">
        <f t="array" ref="B1296">IF(A1296:A5338="","",_xlfn.XLOOKUP(A1296:A5338,'参照_武将'!A:A,'参照_武将'!B:B,"見つかりません"))</f>
      </c>
      <c r="C1296" s="4" t="s">
        <v>172</v>
      </c>
      <c r="D1296" s="4">
        <v>26</v>
      </c>
      <c r="E1296" s="12" t="str">
        <f t="array" ref="E1296">IF(D1296:D5338="","",IFERROR(_xlfn.XLOOKUP(D1296:D5338,'参照_勢力'!A:A,'参照_勢力'!B:B),IFERROR(_xlfn.XLOOKUP(F1296:F5338,kunishuClan!A:A,kunishuClan!B:B),"浪人")))</f>
      </c>
      <c r="F1296" s="4">
        <v>0</v>
      </c>
      <c r="G1296" s="4">
        <v>168</v>
      </c>
      <c r="H1296" s="12" t="str">
        <f t="array" ref="H1296">IF(G1296:G5338="","",_xlfn.XLOOKUP(G1296:G5338,castles_state!A:A,castles_state!D:D,"見つかりません"))</f>
      </c>
      <c r="I1296" s="4"/>
      <c r="J1296" s="12" t="str">
        <f t="array" ref="J1296">IF(I1296:I5338="","",_xlfn.XLOOKUP(I1296:I5338,'参照_姫'!A:A,'参照_姫'!B:B,"見つかりません"))</f>
      </c>
      <c r="K1296" s="4">
        <v>90</v>
      </c>
      <c r="L1296" s="4">
        <v>0</v>
      </c>
      <c r="M1296" s="4"/>
      <c r="N1296" s="4"/>
      <c r="O1296" s="4"/>
      <c r="P1296" s="12" t="str">
        <f t="array" ref="P1296">IF(O1296:O5338="","",_xlfn.XLOOKUP(O1296:O5338,'参照_官位'!A:A,'参照_官位'!B:B,""))</f>
      </c>
      <c r="Q1296" s="12" t="str">
        <f t="array" ref="Q1296">IF(A1296:A5338="","",IFERROR(_xlfn.XLOOKUP(A1296:A5338,castles_state!K:K,castles_state!D:D)&amp;"主",IFERROR(_xlfn.XLOOKUP(A1296:A5338,kunishuClan!D:D,kunishuClan!B:B)&amp;"当主","")))</f>
      </c>
    </row>
    <row r="1297" ht="15.75" customHeight="1">
      <c r="A1297" s="4">
        <v>1026057</v>
      </c>
      <c r="B1297" s="12" t="str">
        <f t="array" ref="B1297">IF(A1297:A5339="","",_xlfn.XLOOKUP(A1297:A5339,'参照_武将'!A:A,'参照_武将'!B:B,"見つかりません"))</f>
      </c>
      <c r="C1297" s="4" t="s">
        <v>172</v>
      </c>
      <c r="D1297" s="4">
        <v>26</v>
      </c>
      <c r="E1297" s="12" t="str">
        <f t="array" ref="E1297">IF(D1297:D5339="","",IFERROR(_xlfn.XLOOKUP(D1297:D5339,'参照_勢力'!A:A,'参照_勢力'!B:B),IFERROR(_xlfn.XLOOKUP(F1297:F5339,kunishuClan!A:A,kunishuClan!B:B),"浪人")))</f>
      </c>
      <c r="F1297" s="4">
        <v>0</v>
      </c>
      <c r="G1297" s="4">
        <v>168</v>
      </c>
      <c r="H1297" s="12" t="str">
        <f t="array" ref="H1297">IF(G1297:G5339="","",_xlfn.XLOOKUP(G1297:G5339,castles_state!A:A,castles_state!D:D,"見つかりません"))</f>
      </c>
      <c r="I1297" s="4"/>
      <c r="J1297" s="12" t="str">
        <f t="array" ref="J1297">IF(I1297:I5339="","",_xlfn.XLOOKUP(I1297:I5339,'参照_姫'!A:A,'参照_姫'!B:B,"見つかりません"))</f>
      </c>
      <c r="K1297" s="4">
        <v>90</v>
      </c>
      <c r="L1297" s="4">
        <v>0</v>
      </c>
      <c r="M1297" s="4"/>
      <c r="N1297" s="4"/>
      <c r="O1297" s="4"/>
      <c r="P1297" s="12" t="str">
        <f t="array" ref="P1297">IF(O1297:O5339="","",_xlfn.XLOOKUP(O1297:O5339,'参照_官位'!A:A,'参照_官位'!B:B,""))</f>
      </c>
      <c r="Q1297" s="12" t="str">
        <f t="array" ref="Q1297">IF(A1297:A5339="","",IFERROR(_xlfn.XLOOKUP(A1297:A5339,castles_state!K:K,castles_state!D:D)&amp;"主",IFERROR(_xlfn.XLOOKUP(A1297:A5339,kunishuClan!D:D,kunishuClan!B:B)&amp;"当主","")))</f>
      </c>
    </row>
    <row r="1298" ht="15.75" customHeight="1">
      <c r="A1298" s="4">
        <v>1026058</v>
      </c>
      <c r="B1298" s="12" t="str">
        <f t="array" ref="B1298">IF(A1298:A5340="","",_xlfn.XLOOKUP(A1298:A5340,'参照_武将'!A:A,'参照_武将'!B:B,"見つかりません"))</f>
      </c>
      <c r="C1298" s="4" t="s">
        <v>172</v>
      </c>
      <c r="D1298" s="4">
        <v>26</v>
      </c>
      <c r="E1298" s="12" t="str">
        <f t="array" ref="E1298">IF(D1298:D5340="","",IFERROR(_xlfn.XLOOKUP(D1298:D5340,'参照_勢力'!A:A,'参照_勢力'!B:B),IFERROR(_xlfn.XLOOKUP(F1298:F5340,kunishuClan!A:A,kunishuClan!B:B),"浪人")))</f>
      </c>
      <c r="F1298" s="4">
        <v>0</v>
      </c>
      <c r="G1298" s="4">
        <v>168</v>
      </c>
      <c r="H1298" s="12" t="str">
        <f t="array" ref="H1298">IF(G1298:G5340="","",_xlfn.XLOOKUP(G1298:G5340,castles_state!A:A,castles_state!D:D,"見つかりません"))</f>
      </c>
      <c r="I1298" s="4"/>
      <c r="J1298" s="12" t="str">
        <f t="array" ref="J1298">IF(I1298:I5340="","",_xlfn.XLOOKUP(I1298:I5340,'参照_姫'!A:A,'参照_姫'!B:B,"見つかりません"))</f>
      </c>
      <c r="K1298" s="4">
        <v>90</v>
      </c>
      <c r="L1298" s="4">
        <v>0</v>
      </c>
      <c r="M1298" s="4"/>
      <c r="N1298" s="4"/>
      <c r="O1298" s="4"/>
      <c r="P1298" s="12" t="str">
        <f t="array" ref="P1298">IF(O1298:O5340="","",_xlfn.XLOOKUP(O1298:O5340,'参照_官位'!A:A,'参照_官位'!B:B,""))</f>
      </c>
      <c r="Q1298" s="12" t="str">
        <f t="array" ref="Q1298">IF(A1298:A5340="","",IFERROR(_xlfn.XLOOKUP(A1298:A5340,castles_state!K:K,castles_state!D:D)&amp;"主",IFERROR(_xlfn.XLOOKUP(A1298:A5340,kunishuClan!D:D,kunishuClan!B:B)&amp;"当主","")))</f>
      </c>
    </row>
    <row r="1299" ht="15.75" customHeight="1">
      <c r="A1299" s="4">
        <v>1026059</v>
      </c>
      <c r="B1299" s="12" t="str">
        <f t="array" ref="B1299">IF(A1299:A5341="","",_xlfn.XLOOKUP(A1299:A5341,'参照_武将'!A:A,'参照_武将'!B:B,"見つかりません"))</f>
      </c>
      <c r="C1299" s="4" t="s">
        <v>172</v>
      </c>
      <c r="D1299" s="4">
        <v>26</v>
      </c>
      <c r="E1299" s="12" t="str">
        <f t="array" ref="E1299">IF(D1299:D5341="","",IFERROR(_xlfn.XLOOKUP(D1299:D5341,'参照_勢力'!A:A,'参照_勢力'!B:B),IFERROR(_xlfn.XLOOKUP(F1299:F5341,kunishuClan!A:A,kunishuClan!B:B),"浪人")))</f>
      </c>
      <c r="F1299" s="4">
        <v>0</v>
      </c>
      <c r="G1299" s="4">
        <v>167</v>
      </c>
      <c r="H1299" s="12" t="str">
        <f t="array" ref="H1299">IF(G1299:G5341="","",_xlfn.XLOOKUP(G1299:G5341,castles_state!A:A,castles_state!D:D,"見つかりません"))</f>
      </c>
      <c r="I1299" s="4"/>
      <c r="J1299" s="12" t="str">
        <f t="array" ref="J1299">IF(I1299:I5341="","",_xlfn.XLOOKUP(I1299:I5341,'参照_姫'!A:A,'参照_姫'!B:B,"見つかりません"))</f>
      </c>
      <c r="K1299" s="4">
        <v>95</v>
      </c>
      <c r="L1299" s="4">
        <v>0</v>
      </c>
      <c r="M1299" s="4"/>
      <c r="N1299" s="4"/>
      <c r="O1299" s="4"/>
      <c r="P1299" s="12" t="str">
        <f t="array" ref="P1299">IF(O1299:O5341="","",_xlfn.XLOOKUP(O1299:O5341,'参照_官位'!A:A,'参照_官位'!B:B,""))</f>
      </c>
      <c r="Q1299" s="12" t="str">
        <f t="array" ref="Q1299">IF(A1299:A5341="","",IFERROR(_xlfn.XLOOKUP(A1299:A5341,castles_state!K:K,castles_state!D:D)&amp;"主",IFERROR(_xlfn.XLOOKUP(A1299:A5341,kunishuClan!D:D,kunishuClan!B:B)&amp;"当主","")))</f>
      </c>
    </row>
    <row r="1300" ht="15.75" customHeight="1">
      <c r="A1300" s="4">
        <v>1026060</v>
      </c>
      <c r="B1300" s="12" t="str">
        <f t="array" ref="B1300">IF(A1300:A5342="","",_xlfn.XLOOKUP(A1300:A5342,'参照_武将'!A:A,'参照_武将'!B:B,"見つかりません"))</f>
      </c>
      <c r="C1300" s="4" t="s">
        <v>172</v>
      </c>
      <c r="D1300" s="4">
        <v>26</v>
      </c>
      <c r="E1300" s="12" t="str">
        <f t="array" ref="E1300">IF(D1300:D5342="","",IFERROR(_xlfn.XLOOKUP(D1300:D5342,'参照_勢力'!A:A,'参照_勢力'!B:B),IFERROR(_xlfn.XLOOKUP(F1300:F5342,kunishuClan!A:A,kunishuClan!B:B),"浪人")))</f>
      </c>
      <c r="F1300" s="4">
        <v>0</v>
      </c>
      <c r="G1300" s="4">
        <v>166</v>
      </c>
      <c r="H1300" s="12" t="str">
        <f t="array" ref="H1300">IF(G1300:G5342="","",_xlfn.XLOOKUP(G1300:G5342,castles_state!A:A,castles_state!D:D,"見つかりません"))</f>
      </c>
      <c r="I1300" s="4"/>
      <c r="J1300" s="12" t="str">
        <f t="array" ref="J1300">IF(I1300:I5342="","",_xlfn.XLOOKUP(I1300:I5342,'参照_姫'!A:A,'参照_姫'!B:B,"見つかりません"))</f>
      </c>
      <c r="K1300" s="4">
        <v>95</v>
      </c>
      <c r="L1300" s="4">
        <v>0</v>
      </c>
      <c r="M1300" s="4"/>
      <c r="N1300" s="4"/>
      <c r="O1300" s="4"/>
      <c r="P1300" s="12" t="str">
        <f t="array" ref="P1300">IF(O1300:O5342="","",_xlfn.XLOOKUP(O1300:O5342,'参照_官位'!A:A,'参照_官位'!B:B,""))</f>
      </c>
      <c r="Q1300" s="12" t="str">
        <f t="array" ref="Q1300">IF(A1300:A5342="","",IFERROR(_xlfn.XLOOKUP(A1300:A5342,castles_state!K:K,castles_state!D:D)&amp;"主",IFERROR(_xlfn.XLOOKUP(A1300:A5342,kunishuClan!D:D,kunishuClan!B:B)&amp;"当主","")))</f>
      </c>
    </row>
    <row r="1301" ht="15.75" customHeight="1">
      <c r="A1301" s="4">
        <v>1026061</v>
      </c>
      <c r="B1301" s="12" t="str">
        <f t="array" ref="B1301">IF(A1301:A5343="","",_xlfn.XLOOKUP(A1301:A5343,'参照_武将'!A:A,'参照_武将'!B:B,"見つかりません"))</f>
      </c>
      <c r="C1301" s="4" t="s">
        <v>172</v>
      </c>
      <c r="D1301" s="4">
        <v>26</v>
      </c>
      <c r="E1301" s="12" t="str">
        <f t="array" ref="E1301">IF(D1301:D5343="","",IFERROR(_xlfn.XLOOKUP(D1301:D5343,'参照_勢力'!A:A,'参照_勢力'!B:B),IFERROR(_xlfn.XLOOKUP(F1301:F5343,kunishuClan!A:A,kunishuClan!B:B),"浪人")))</f>
      </c>
      <c r="F1301" s="4">
        <v>0</v>
      </c>
      <c r="G1301" s="4">
        <v>169</v>
      </c>
      <c r="H1301" s="12" t="str">
        <f t="array" ref="H1301">IF(G1301:G5343="","",_xlfn.XLOOKUP(G1301:G5343,castles_state!A:A,castles_state!D:D,"見つかりません"))</f>
      </c>
      <c r="I1301" s="4"/>
      <c r="J1301" s="12" t="str">
        <f t="array" ref="J1301">IF(I1301:I5343="","",_xlfn.XLOOKUP(I1301:I5343,'参照_姫'!A:A,'参照_姫'!B:B,"見つかりません"))</f>
      </c>
      <c r="K1301" s="4">
        <v>95</v>
      </c>
      <c r="L1301" s="4">
        <v>0</v>
      </c>
      <c r="M1301" s="4"/>
      <c r="N1301" s="4"/>
      <c r="O1301" s="4"/>
      <c r="P1301" s="12" t="str">
        <f t="array" ref="P1301">IF(O1301:O5343="","",_xlfn.XLOOKUP(O1301:O5343,'参照_官位'!A:A,'参照_官位'!B:B,""))</f>
      </c>
      <c r="Q1301" s="12" t="str">
        <f t="array" ref="Q1301">IF(A1301:A5343="","",IFERROR(_xlfn.XLOOKUP(A1301:A5343,castles_state!K:K,castles_state!D:D)&amp;"主",IFERROR(_xlfn.XLOOKUP(A1301:A5343,kunishuClan!D:D,kunishuClan!B:B)&amp;"当主","")))</f>
      </c>
    </row>
    <row r="1302" ht="15.75" customHeight="1">
      <c r="A1302" s="4">
        <v>1026062</v>
      </c>
      <c r="B1302" s="12" t="str">
        <f t="array" ref="B1302">IF(A1302:A5344="","",_xlfn.XLOOKUP(A1302:A5344,'参照_武将'!A:A,'参照_武将'!B:B,"見つかりません"))</f>
      </c>
      <c r="C1302" s="4" t="s">
        <v>172</v>
      </c>
      <c r="D1302" s="4">
        <v>26</v>
      </c>
      <c r="E1302" s="12" t="str">
        <f t="array" ref="E1302">IF(D1302:D5344="","",IFERROR(_xlfn.XLOOKUP(D1302:D5344,'参照_勢力'!A:A,'参照_勢力'!B:B),IFERROR(_xlfn.XLOOKUP(F1302:F5344,kunishuClan!A:A,kunishuClan!B:B),"浪人")))</f>
      </c>
      <c r="F1302" s="4">
        <v>0</v>
      </c>
      <c r="G1302" s="4">
        <v>170</v>
      </c>
      <c r="H1302" s="12" t="str">
        <f t="array" ref="H1302">IF(G1302:G5344="","",_xlfn.XLOOKUP(G1302:G5344,castles_state!A:A,castles_state!D:D,"見つかりません"))</f>
      </c>
      <c r="I1302" s="4"/>
      <c r="J1302" s="12" t="str">
        <f t="array" ref="J1302">IF(I1302:I5344="","",_xlfn.XLOOKUP(I1302:I5344,'参照_姫'!A:A,'参照_姫'!B:B,"見つかりません"))</f>
      </c>
      <c r="K1302" s="4">
        <v>80</v>
      </c>
      <c r="L1302" s="4">
        <v>0</v>
      </c>
      <c r="M1302" s="4"/>
      <c r="N1302" s="4"/>
      <c r="O1302" s="4"/>
      <c r="P1302" s="12" t="str">
        <f t="array" ref="P1302">IF(O1302:O5344="","",_xlfn.XLOOKUP(O1302:O5344,'参照_官位'!A:A,'参照_官位'!B:B,""))</f>
      </c>
      <c r="Q1302" s="12" t="str">
        <f t="array" ref="Q1302">IF(A1302:A5344="","",IFERROR(_xlfn.XLOOKUP(A1302:A5344,castles_state!K:K,castles_state!D:D)&amp;"主",IFERROR(_xlfn.XLOOKUP(A1302:A5344,kunishuClan!D:D,kunishuClan!B:B)&amp;"当主","")))</f>
      </c>
    </row>
    <row r="1303" ht="15.75" customHeight="1">
      <c r="A1303" s="4">
        <v>1026063</v>
      </c>
      <c r="B1303" s="12" t="str">
        <f t="array" ref="B1303">IF(A1303:A5345="","",_xlfn.XLOOKUP(A1303:A5345,'参照_武将'!A:A,'参照_武将'!B:B,"見つかりません"))</f>
      </c>
      <c r="C1303" s="4" t="s">
        <v>172</v>
      </c>
      <c r="D1303" s="4">
        <v>26</v>
      </c>
      <c r="E1303" s="12" t="str">
        <f t="array" ref="E1303">IF(D1303:D5345="","",IFERROR(_xlfn.XLOOKUP(D1303:D5345,'参照_勢力'!A:A,'参照_勢力'!B:B),IFERROR(_xlfn.XLOOKUP(F1303:F5345,kunishuClan!A:A,kunishuClan!B:B),"浪人")))</f>
      </c>
      <c r="F1303" s="4">
        <v>0</v>
      </c>
      <c r="G1303" s="4">
        <v>185</v>
      </c>
      <c r="H1303" s="12" t="str">
        <f t="array" ref="H1303">IF(G1303:G5345="","",_xlfn.XLOOKUP(G1303:G5345,castles_state!A:A,castles_state!D:D,"見つかりません"))</f>
      </c>
      <c r="I1303" s="4"/>
      <c r="J1303" s="12" t="str">
        <f t="array" ref="J1303">IF(I1303:I5345="","",_xlfn.XLOOKUP(I1303:I5345,'参照_姫'!A:A,'参照_姫'!B:B,"見つかりません"))</f>
      </c>
      <c r="K1303" s="4">
        <v>90</v>
      </c>
      <c r="L1303" s="4">
        <v>200</v>
      </c>
      <c r="M1303" s="4"/>
      <c r="N1303" s="4"/>
      <c r="O1303" s="4"/>
      <c r="P1303" s="12" t="str">
        <f t="array" ref="P1303">IF(O1303:O5345="","",_xlfn.XLOOKUP(O1303:O5345,'参照_官位'!A:A,'参照_官位'!B:B,""))</f>
      </c>
      <c r="Q1303" s="12" t="str">
        <f t="array" ref="Q1303">IF(A1303:A5345="","",IFERROR(_xlfn.XLOOKUP(A1303:A5345,castles_state!K:K,castles_state!D:D)&amp;"主",IFERROR(_xlfn.XLOOKUP(A1303:A5345,kunishuClan!D:D,kunishuClan!B:B)&amp;"当主","")))</f>
      </c>
    </row>
    <row r="1304" ht="15.75" customHeight="1">
      <c r="A1304" s="4">
        <v>1026064</v>
      </c>
      <c r="B1304" s="12" t="str">
        <f t="array" ref="B1304">IF(A1304:A5346="","",_xlfn.XLOOKUP(A1304:A5346,'参照_武将'!A:A,'参照_武将'!B:B,"見つかりません"))</f>
      </c>
      <c r="C1304" s="4" t="s">
        <v>172</v>
      </c>
      <c r="D1304" s="4">
        <v>26</v>
      </c>
      <c r="E1304" s="12" t="str">
        <f t="array" ref="E1304">IF(D1304:D5346="","",IFERROR(_xlfn.XLOOKUP(D1304:D5346,'参照_勢力'!A:A,'参照_勢力'!B:B),IFERROR(_xlfn.XLOOKUP(F1304:F5346,kunishuClan!A:A,kunishuClan!B:B),"浪人")))</f>
      </c>
      <c r="F1304" s="4">
        <v>0</v>
      </c>
      <c r="G1304" s="4">
        <v>185</v>
      </c>
      <c r="H1304" s="12" t="str">
        <f t="array" ref="H1304">IF(G1304:G5346="","",_xlfn.XLOOKUP(G1304:G5346,castles_state!A:A,castles_state!D:D,"見つかりません"))</f>
      </c>
      <c r="I1304" s="4"/>
      <c r="J1304" s="12" t="str">
        <f t="array" ref="J1304">IF(I1304:I5346="","",_xlfn.XLOOKUP(I1304:I5346,'参照_姫'!A:A,'参照_姫'!B:B,"見つかりません"))</f>
      </c>
      <c r="K1304" s="4">
        <v>90</v>
      </c>
      <c r="L1304" s="4">
        <v>500</v>
      </c>
      <c r="M1304" s="4"/>
      <c r="N1304" s="4"/>
      <c r="O1304" s="4"/>
      <c r="P1304" s="12" t="str">
        <f t="array" ref="P1304">IF(O1304:O5346="","",_xlfn.XLOOKUP(O1304:O5346,'参照_官位'!A:A,'参照_官位'!B:B,""))</f>
      </c>
      <c r="Q1304" s="12" t="str">
        <f t="array" ref="Q1304">IF(A1304:A5346="","",IFERROR(_xlfn.XLOOKUP(A1304:A5346,castles_state!K:K,castles_state!D:D)&amp;"主",IFERROR(_xlfn.XLOOKUP(A1304:A5346,kunishuClan!D:D,kunishuClan!B:B)&amp;"当主","")))</f>
      </c>
    </row>
    <row r="1305" ht="15.75" customHeight="1">
      <c r="A1305" s="4">
        <v>1026065</v>
      </c>
      <c r="B1305" s="12" t="str">
        <f t="array" ref="B1305">IF(A1305:A5347="","",_xlfn.XLOOKUP(A1305:A5347,'参照_武将'!A:A,'参照_武将'!B:B,"見つかりません"))</f>
      </c>
      <c r="C1305" s="4" t="s">
        <v>172</v>
      </c>
      <c r="D1305" s="4">
        <v>26</v>
      </c>
      <c r="E1305" s="12" t="str">
        <f t="array" ref="E1305">IF(D1305:D5347="","",IFERROR(_xlfn.XLOOKUP(D1305:D5347,'参照_勢力'!A:A,'参照_勢力'!B:B),IFERROR(_xlfn.XLOOKUP(F1305:F5347,kunishuClan!A:A,kunishuClan!B:B),"浪人")))</f>
      </c>
      <c r="F1305" s="4">
        <v>0</v>
      </c>
      <c r="G1305" s="4">
        <v>185</v>
      </c>
      <c r="H1305" s="12" t="str">
        <f t="array" ref="H1305">IF(G1305:G5347="","",_xlfn.XLOOKUP(G1305:G5347,castles_state!A:A,castles_state!D:D,"見つかりません"))</f>
      </c>
      <c r="I1305" s="4"/>
      <c r="J1305" s="12" t="str">
        <f t="array" ref="J1305">IF(I1305:I5347="","",_xlfn.XLOOKUP(I1305:I5347,'参照_姫'!A:A,'参照_姫'!B:B,"見つかりません"))</f>
      </c>
      <c r="K1305" s="4">
        <v>90</v>
      </c>
      <c r="L1305" s="4">
        <v>0</v>
      </c>
      <c r="M1305" s="4"/>
      <c r="N1305" s="4"/>
      <c r="O1305" s="4"/>
      <c r="P1305" s="12" t="str">
        <f t="array" ref="P1305">IF(O1305:O5347="","",_xlfn.XLOOKUP(O1305:O5347,'参照_官位'!A:A,'参照_官位'!B:B,""))</f>
      </c>
      <c r="Q1305" s="12" t="str">
        <f t="array" ref="Q1305">IF(A1305:A5347="","",IFERROR(_xlfn.XLOOKUP(A1305:A5347,castles_state!K:K,castles_state!D:D)&amp;"主",IFERROR(_xlfn.XLOOKUP(A1305:A5347,kunishuClan!D:D,kunishuClan!B:B)&amp;"当主","")))</f>
      </c>
    </row>
    <row r="1306" ht="15.75" customHeight="1">
      <c r="A1306" s="4">
        <v>1026066</v>
      </c>
      <c r="B1306" s="12" t="str">
        <f t="array" ref="B1306">IF(A1306:A5348="","",_xlfn.XLOOKUP(A1306:A5348,'参照_武将'!A:A,'参照_武将'!B:B,"見つかりません"))</f>
      </c>
      <c r="C1306" s="4" t="s">
        <v>172</v>
      </c>
      <c r="D1306" s="4">
        <v>26</v>
      </c>
      <c r="E1306" s="12" t="str">
        <f t="array" ref="E1306">IF(D1306:D5348="","",IFERROR(_xlfn.XLOOKUP(D1306:D5348,'参照_勢力'!A:A,'参照_勢力'!B:B),IFERROR(_xlfn.XLOOKUP(F1306:F5348,kunishuClan!A:A,kunishuClan!B:B),"浪人")))</f>
      </c>
      <c r="F1306" s="4">
        <v>0</v>
      </c>
      <c r="G1306" s="4">
        <v>167</v>
      </c>
      <c r="H1306" s="12" t="str">
        <f t="array" ref="H1306">IF(G1306:G5348="","",_xlfn.XLOOKUP(G1306:G5348,castles_state!A:A,castles_state!D:D,"見つかりません"))</f>
      </c>
      <c r="I1306" s="4"/>
      <c r="J1306" s="12" t="str">
        <f t="array" ref="J1306">IF(I1306:I5348="","",_xlfn.XLOOKUP(I1306:I5348,'参照_姫'!A:A,'参照_姫'!B:B,"見つかりません"))</f>
      </c>
      <c r="K1306" s="4">
        <v>95</v>
      </c>
      <c r="L1306" s="4">
        <v>0</v>
      </c>
      <c r="M1306" s="4"/>
      <c r="N1306" s="4"/>
      <c r="O1306" s="4"/>
      <c r="P1306" s="12" t="str">
        <f t="array" ref="P1306">IF(O1306:O5348="","",_xlfn.XLOOKUP(O1306:O5348,'参照_官位'!A:A,'参照_官位'!B:B,""))</f>
      </c>
      <c r="Q1306" s="12" t="str">
        <f t="array" ref="Q1306">IF(A1306:A5348="","",IFERROR(_xlfn.XLOOKUP(A1306:A5348,castles_state!K:K,castles_state!D:D)&amp;"主",IFERROR(_xlfn.XLOOKUP(A1306:A5348,kunishuClan!D:D,kunishuClan!B:B)&amp;"当主","")))</f>
      </c>
    </row>
    <row r="1307" ht="15.75" customHeight="1">
      <c r="A1307" s="4">
        <v>1026067</v>
      </c>
      <c r="B1307" s="12" t="str">
        <f t="array" ref="B1307">IF(A1307:A5349="","",_xlfn.XLOOKUP(A1307:A5349,'参照_武将'!A:A,'参照_武将'!B:B,"見つかりません"))</f>
      </c>
      <c r="C1307" s="4" t="s">
        <v>172</v>
      </c>
      <c r="D1307" s="4">
        <v>26</v>
      </c>
      <c r="E1307" s="12" t="str">
        <f t="array" ref="E1307">IF(D1307:D5349="","",IFERROR(_xlfn.XLOOKUP(D1307:D5349,'参照_勢力'!A:A,'参照_勢力'!B:B),IFERROR(_xlfn.XLOOKUP(F1307:F5349,kunishuClan!A:A,kunishuClan!B:B),"浪人")))</f>
      </c>
      <c r="F1307" s="4">
        <v>0</v>
      </c>
      <c r="G1307" s="4">
        <v>167</v>
      </c>
      <c r="H1307" s="12" t="str">
        <f t="array" ref="H1307">IF(G1307:G5349="","",_xlfn.XLOOKUP(G1307:G5349,castles_state!A:A,castles_state!D:D,"見つかりません"))</f>
      </c>
      <c r="I1307" s="4"/>
      <c r="J1307" s="12" t="str">
        <f t="array" ref="J1307">IF(I1307:I5349="","",_xlfn.XLOOKUP(I1307:I5349,'参照_姫'!A:A,'参照_姫'!B:B,"見つかりません"))</f>
      </c>
      <c r="K1307" s="4">
        <v>95</v>
      </c>
      <c r="L1307" s="4">
        <v>0</v>
      </c>
      <c r="M1307" s="4"/>
      <c r="N1307" s="4"/>
      <c r="O1307" s="4"/>
      <c r="P1307" s="12" t="str">
        <f t="array" ref="P1307">IF(O1307:O5349="","",_xlfn.XLOOKUP(O1307:O5349,'参照_官位'!A:A,'参照_官位'!B:B,""))</f>
      </c>
      <c r="Q1307" s="12" t="str">
        <f t="array" ref="Q1307">IF(A1307:A5349="","",IFERROR(_xlfn.XLOOKUP(A1307:A5349,castles_state!K:K,castles_state!D:D)&amp;"主",IFERROR(_xlfn.XLOOKUP(A1307:A5349,kunishuClan!D:D,kunishuClan!B:B)&amp;"当主","")))</f>
      </c>
    </row>
    <row r="1308" ht="15.75" customHeight="1">
      <c r="A1308" s="4">
        <v>1026068</v>
      </c>
      <c r="B1308" s="12" t="str">
        <f t="array" ref="B1308">IF(A1308:A5350="","",_xlfn.XLOOKUP(A1308:A5350,'参照_武将'!A:A,'参照_武将'!B:B,"見つかりません"))</f>
      </c>
      <c r="C1308" s="4" t="s">
        <v>172</v>
      </c>
      <c r="D1308" s="4">
        <v>26</v>
      </c>
      <c r="E1308" s="12" t="str">
        <f t="array" ref="E1308">IF(D1308:D5350="","",IFERROR(_xlfn.XLOOKUP(D1308:D5350,'参照_勢力'!A:A,'参照_勢力'!B:B),IFERROR(_xlfn.XLOOKUP(F1308:F5350,kunishuClan!A:A,kunishuClan!B:B),"浪人")))</f>
      </c>
      <c r="F1308" s="4">
        <v>0</v>
      </c>
      <c r="G1308" s="4">
        <v>170</v>
      </c>
      <c r="H1308" s="12" t="str">
        <f t="array" ref="H1308">IF(G1308:G5350="","",_xlfn.XLOOKUP(G1308:G5350,castles_state!A:A,castles_state!D:D,"見つかりません"))</f>
      </c>
      <c r="I1308" s="4"/>
      <c r="J1308" s="12" t="str">
        <f t="array" ref="J1308">IF(I1308:I5350="","",_xlfn.XLOOKUP(I1308:I5350,'参照_姫'!A:A,'参照_姫'!B:B,"見つかりません"))</f>
      </c>
      <c r="K1308" s="4">
        <v>75</v>
      </c>
      <c r="L1308" s="4">
        <v>0</v>
      </c>
      <c r="M1308" s="4"/>
      <c r="N1308" s="4"/>
      <c r="O1308" s="4"/>
      <c r="P1308" s="12" t="str">
        <f t="array" ref="P1308">IF(O1308:O5350="","",_xlfn.XLOOKUP(O1308:O5350,'参照_官位'!A:A,'参照_官位'!B:B,""))</f>
      </c>
      <c r="Q1308" s="12" t="str">
        <f t="array" ref="Q1308">IF(A1308:A5350="","",IFERROR(_xlfn.XLOOKUP(A1308:A5350,castles_state!K:K,castles_state!D:D)&amp;"主",IFERROR(_xlfn.XLOOKUP(A1308:A5350,kunishuClan!D:D,kunishuClan!B:B)&amp;"当主","")))</f>
      </c>
    </row>
    <row r="1309" ht="15.75" customHeight="1">
      <c r="A1309" s="4">
        <v>1026069</v>
      </c>
      <c r="B1309" s="12" t="str">
        <f t="array" ref="B1309">IF(A1309:A5351="","",_xlfn.XLOOKUP(A1309:A5351,'参照_武将'!A:A,'参照_武将'!B:B,"見つかりません"))</f>
      </c>
      <c r="C1309" s="4" t="s">
        <v>172</v>
      </c>
      <c r="D1309" s="4">
        <v>26</v>
      </c>
      <c r="E1309" s="12" t="str">
        <f t="array" ref="E1309">IF(D1309:D5351="","",IFERROR(_xlfn.XLOOKUP(D1309:D5351,'参照_勢力'!A:A,'参照_勢力'!B:B),IFERROR(_xlfn.XLOOKUP(F1309:F5351,kunishuClan!A:A,kunishuClan!B:B),"浪人")))</f>
      </c>
      <c r="F1309" s="4">
        <v>0</v>
      </c>
      <c r="G1309" s="4">
        <v>169</v>
      </c>
      <c r="H1309" s="12" t="str">
        <f t="array" ref="H1309">IF(G1309:G5351="","",_xlfn.XLOOKUP(G1309:G5351,castles_state!A:A,castles_state!D:D,"見つかりません"))</f>
      </c>
      <c r="I1309" s="4"/>
      <c r="J1309" s="12" t="str">
        <f t="array" ref="J1309">IF(I1309:I5351="","",_xlfn.XLOOKUP(I1309:I5351,'参照_姫'!A:A,'参照_姫'!B:B,"見つかりません"))</f>
      </c>
      <c r="K1309" s="4">
        <v>95</v>
      </c>
      <c r="L1309" s="4">
        <v>0</v>
      </c>
      <c r="M1309" s="4"/>
      <c r="N1309" s="4"/>
      <c r="O1309" s="4"/>
      <c r="P1309" s="12" t="str">
        <f t="array" ref="P1309">IF(O1309:O5351="","",_xlfn.XLOOKUP(O1309:O5351,'参照_官位'!A:A,'参照_官位'!B:B,""))</f>
      </c>
      <c r="Q1309" s="12" t="str">
        <f t="array" ref="Q1309">IF(A1309:A5351="","",IFERROR(_xlfn.XLOOKUP(A1309:A5351,castles_state!K:K,castles_state!D:D)&amp;"主",IFERROR(_xlfn.XLOOKUP(A1309:A5351,kunishuClan!D:D,kunishuClan!B:B)&amp;"当主","")))</f>
      </c>
    </row>
    <row r="1310" ht="15.75" customHeight="1">
      <c r="A1310" s="4">
        <v>1026070</v>
      </c>
      <c r="B1310" s="12" t="str">
        <f t="array" ref="B1310">IF(A1310:A5352="","",_xlfn.XLOOKUP(A1310:A5352,'参照_武将'!A:A,'参照_武将'!B:B,"見つかりません"))</f>
      </c>
      <c r="C1310" s="4" t="s">
        <v>172</v>
      </c>
      <c r="D1310" s="4">
        <v>26</v>
      </c>
      <c r="E1310" s="12" t="str">
        <f t="array" ref="E1310">IF(D1310:D5352="","",IFERROR(_xlfn.XLOOKUP(D1310:D5352,'参照_勢力'!A:A,'参照_勢力'!B:B),IFERROR(_xlfn.XLOOKUP(F1310:F5352,kunishuClan!A:A,kunishuClan!B:B),"浪人")))</f>
      </c>
      <c r="F1310" s="4">
        <v>0</v>
      </c>
      <c r="G1310" s="4">
        <v>169</v>
      </c>
      <c r="H1310" s="12" t="str">
        <f t="array" ref="H1310">IF(G1310:G5352="","",_xlfn.XLOOKUP(G1310:G5352,castles_state!A:A,castles_state!D:D,"見つかりません"))</f>
      </c>
      <c r="I1310" s="4"/>
      <c r="J1310" s="12" t="str">
        <f t="array" ref="J1310">IF(I1310:I5352="","",_xlfn.XLOOKUP(I1310:I5352,'参照_姫'!A:A,'参照_姫'!B:B,"見つかりません"))</f>
      </c>
      <c r="K1310" s="4">
        <v>95</v>
      </c>
      <c r="L1310" s="4">
        <v>0</v>
      </c>
      <c r="M1310" s="4"/>
      <c r="N1310" s="4"/>
      <c r="O1310" s="4"/>
      <c r="P1310" s="12" t="str">
        <f t="array" ref="P1310">IF(O1310:O5352="","",_xlfn.XLOOKUP(O1310:O5352,'参照_官位'!A:A,'参照_官位'!B:B,""))</f>
      </c>
      <c r="Q1310" s="12" t="str">
        <f t="array" ref="Q1310">IF(A1310:A5352="","",IFERROR(_xlfn.XLOOKUP(A1310:A5352,castles_state!K:K,castles_state!D:D)&amp;"主",IFERROR(_xlfn.XLOOKUP(A1310:A5352,kunishuClan!D:D,kunishuClan!B:B)&amp;"当主","")))</f>
      </c>
    </row>
    <row r="1311" ht="15.75" customHeight="1">
      <c r="A1311" s="4">
        <v>1026071</v>
      </c>
      <c r="B1311" s="12" t="str">
        <f t="array" ref="B1311">IF(A1311:A5353="","",_xlfn.XLOOKUP(A1311:A5353,'参照_武将'!A:A,'参照_武将'!B:B,"見つかりません"))</f>
      </c>
      <c r="C1311" s="4" t="s">
        <v>172</v>
      </c>
      <c r="D1311" s="4">
        <v>26</v>
      </c>
      <c r="E1311" s="12" t="str">
        <f t="array" ref="E1311">IF(D1311:D5353="","",IFERROR(_xlfn.XLOOKUP(D1311:D5353,'参照_勢力'!A:A,'参照_勢力'!B:B),IFERROR(_xlfn.XLOOKUP(F1311:F5353,kunishuClan!A:A,kunishuClan!B:B),"浪人")))</f>
      </c>
      <c r="F1311" s="4">
        <v>0</v>
      </c>
      <c r="G1311" s="4">
        <v>169</v>
      </c>
      <c r="H1311" s="12" t="str">
        <f t="array" ref="H1311">IF(G1311:G5353="","",_xlfn.XLOOKUP(G1311:G5353,castles_state!A:A,castles_state!D:D,"見つかりません"))</f>
      </c>
      <c r="I1311" s="4"/>
      <c r="J1311" s="12" t="str">
        <f t="array" ref="J1311">IF(I1311:I5353="","",_xlfn.XLOOKUP(I1311:I5353,'参照_姫'!A:A,'参照_姫'!B:B,"見つかりません"))</f>
      </c>
      <c r="K1311" s="4">
        <v>95</v>
      </c>
      <c r="L1311" s="4">
        <v>0</v>
      </c>
      <c r="M1311" s="4"/>
      <c r="N1311" s="4"/>
      <c r="O1311" s="4"/>
      <c r="P1311" s="12" t="str">
        <f t="array" ref="P1311">IF(O1311:O5353="","",_xlfn.XLOOKUP(O1311:O5353,'参照_官位'!A:A,'参照_官位'!B:B,""))</f>
      </c>
      <c r="Q1311" s="12" t="str">
        <f t="array" ref="Q1311">IF(A1311:A5353="","",IFERROR(_xlfn.XLOOKUP(A1311:A5353,castles_state!K:K,castles_state!D:D)&amp;"主",IFERROR(_xlfn.XLOOKUP(A1311:A5353,kunishuClan!D:D,kunishuClan!B:B)&amp;"当主","")))</f>
      </c>
    </row>
    <row r="1312" ht="15.75" customHeight="1">
      <c r="A1312" s="4">
        <v>1026072</v>
      </c>
      <c r="B1312" s="12" t="str">
        <f t="array" ref="B1312">IF(A1312:A5354="","",_xlfn.XLOOKUP(A1312:A5354,'参照_武将'!A:A,'参照_武将'!B:B,"見つかりません"))</f>
      </c>
      <c r="C1312" s="4" t="s">
        <v>172</v>
      </c>
      <c r="D1312" s="4">
        <v>26</v>
      </c>
      <c r="E1312" s="12" t="str">
        <f t="array" ref="E1312">IF(D1312:D5354="","",IFERROR(_xlfn.XLOOKUP(D1312:D5354,'参照_勢力'!A:A,'参照_勢力'!B:B),IFERROR(_xlfn.XLOOKUP(F1312:F5354,kunishuClan!A:A,kunishuClan!B:B),"浪人")))</f>
      </c>
      <c r="F1312" s="4">
        <v>0</v>
      </c>
      <c r="G1312" s="4">
        <v>171</v>
      </c>
      <c r="H1312" s="12" t="str">
        <f t="array" ref="H1312">IF(G1312:G5354="","",_xlfn.XLOOKUP(G1312:G5354,castles_state!A:A,castles_state!D:D,"見つかりません"))</f>
      </c>
      <c r="I1312" s="4"/>
      <c r="J1312" s="12" t="str">
        <f t="array" ref="J1312">IF(I1312:I5354="","",_xlfn.XLOOKUP(I1312:I5354,'参照_姫'!A:A,'参照_姫'!B:B,"見つかりません"))</f>
      </c>
      <c r="K1312" s="4">
        <v>80</v>
      </c>
      <c r="L1312" s="4">
        <v>0</v>
      </c>
      <c r="M1312" s="4"/>
      <c r="N1312" s="4"/>
      <c r="O1312" s="4"/>
      <c r="P1312" s="12" t="str">
        <f t="array" ref="P1312">IF(O1312:O5354="","",_xlfn.XLOOKUP(O1312:O5354,'参照_官位'!A:A,'参照_官位'!B:B,""))</f>
      </c>
      <c r="Q1312" s="12" t="str">
        <f t="array" ref="Q1312">IF(A1312:A5354="","",IFERROR(_xlfn.XLOOKUP(A1312:A5354,castles_state!K:K,castles_state!D:D)&amp;"主",IFERROR(_xlfn.XLOOKUP(A1312:A5354,kunishuClan!D:D,kunishuClan!B:B)&amp;"当主","")))</f>
      </c>
    </row>
    <row r="1313" ht="15.75" customHeight="1">
      <c r="A1313" s="4">
        <v>1026073</v>
      </c>
      <c r="B1313" s="12" t="str">
        <f t="array" ref="B1313">IF(A1313:A5355="","",_xlfn.XLOOKUP(A1313:A5355,'参照_武将'!A:A,'参照_武将'!B:B,"見つかりません"))</f>
      </c>
      <c r="C1313" s="4" t="s">
        <v>172</v>
      </c>
      <c r="D1313" s="4">
        <v>26</v>
      </c>
      <c r="E1313" s="12" t="str">
        <f t="array" ref="E1313">IF(D1313:D5355="","",IFERROR(_xlfn.XLOOKUP(D1313:D5355,'参照_勢力'!A:A,'参照_勢力'!B:B),IFERROR(_xlfn.XLOOKUP(F1313:F5355,kunishuClan!A:A,kunishuClan!B:B),"浪人")))</f>
      </c>
      <c r="F1313" s="4">
        <v>0</v>
      </c>
      <c r="G1313" s="4">
        <v>171</v>
      </c>
      <c r="H1313" s="12" t="str">
        <f t="array" ref="H1313">IF(G1313:G5355="","",_xlfn.XLOOKUP(G1313:G5355,castles_state!A:A,castles_state!D:D,"見つかりません"))</f>
      </c>
      <c r="I1313" s="4"/>
      <c r="J1313" s="12" t="str">
        <f t="array" ref="J1313">IF(I1313:I5355="","",_xlfn.XLOOKUP(I1313:I5355,'参照_姫'!A:A,'参照_姫'!B:B,"見つかりません"))</f>
      </c>
      <c r="K1313" s="4">
        <v>90</v>
      </c>
      <c r="L1313" s="4">
        <v>0</v>
      </c>
      <c r="M1313" s="4"/>
      <c r="N1313" s="4"/>
      <c r="O1313" s="4"/>
      <c r="P1313" s="12" t="str">
        <f t="array" ref="P1313">IF(O1313:O5355="","",_xlfn.XLOOKUP(O1313:O5355,'参照_官位'!A:A,'参照_官位'!B:B,""))</f>
      </c>
      <c r="Q1313" s="12" t="str">
        <f t="array" ref="Q1313">IF(A1313:A5355="","",IFERROR(_xlfn.XLOOKUP(A1313:A5355,castles_state!K:K,castles_state!D:D)&amp;"主",IFERROR(_xlfn.XLOOKUP(A1313:A5355,kunishuClan!D:D,kunishuClan!B:B)&amp;"当主","")))</f>
      </c>
    </row>
    <row r="1314" ht="15.75" customHeight="1">
      <c r="A1314" s="4">
        <v>1026074</v>
      </c>
      <c r="B1314" s="12" t="str">
        <f t="array" ref="B1314">IF(A1314:A5356="","",_xlfn.XLOOKUP(A1314:A5356,'参照_武将'!A:A,'参照_武将'!B:B,"見つかりません"))</f>
      </c>
      <c r="C1314" s="4" t="s">
        <v>172</v>
      </c>
      <c r="D1314" s="4">
        <v>26</v>
      </c>
      <c r="E1314" s="12" t="str">
        <f t="array" ref="E1314">IF(D1314:D5356="","",IFERROR(_xlfn.XLOOKUP(D1314:D5356,'参照_勢力'!A:A,'参照_勢力'!B:B),IFERROR(_xlfn.XLOOKUP(F1314:F5356,kunishuClan!A:A,kunishuClan!B:B),"浪人")))</f>
      </c>
      <c r="F1314" s="4">
        <v>0</v>
      </c>
      <c r="G1314" s="4">
        <v>171</v>
      </c>
      <c r="H1314" s="12" t="str">
        <f t="array" ref="H1314">IF(G1314:G5356="","",_xlfn.XLOOKUP(G1314:G5356,castles_state!A:A,castles_state!D:D,"見つかりません"))</f>
      </c>
      <c r="I1314" s="4"/>
      <c r="J1314" s="12" t="str">
        <f t="array" ref="J1314">IF(I1314:I5356="","",_xlfn.XLOOKUP(I1314:I5356,'参照_姫'!A:A,'参照_姫'!B:B,"見つかりません"))</f>
      </c>
      <c r="K1314" s="4">
        <v>95</v>
      </c>
      <c r="L1314" s="4">
        <v>0</v>
      </c>
      <c r="M1314" s="4"/>
      <c r="N1314" s="4"/>
      <c r="O1314" s="4"/>
      <c r="P1314" s="12" t="str">
        <f t="array" ref="P1314">IF(O1314:O5356="","",_xlfn.XLOOKUP(O1314:O5356,'参照_官位'!A:A,'参照_官位'!B:B,""))</f>
      </c>
      <c r="Q1314" s="12" t="str">
        <f t="array" ref="Q1314">IF(A1314:A5356="","",IFERROR(_xlfn.XLOOKUP(A1314:A5356,castles_state!K:K,castles_state!D:D)&amp;"主",IFERROR(_xlfn.XLOOKUP(A1314:A5356,kunishuClan!D:D,kunishuClan!B:B)&amp;"当主","")))</f>
      </c>
    </row>
    <row r="1315" ht="15.75" customHeight="1">
      <c r="A1315" s="4">
        <v>1026075</v>
      </c>
      <c r="B1315" s="12" t="str">
        <f t="array" ref="B1315">IF(A1315:A5357="","",_xlfn.XLOOKUP(A1315:A5357,'参照_武将'!A:A,'参照_武将'!B:B,"見つかりません"))</f>
      </c>
      <c r="C1315" s="4" t="s">
        <v>172</v>
      </c>
      <c r="D1315" s="4">
        <v>26</v>
      </c>
      <c r="E1315" s="12" t="str">
        <f t="array" ref="E1315">IF(D1315:D5357="","",IFERROR(_xlfn.XLOOKUP(D1315:D5357,'参照_勢力'!A:A,'参照_勢力'!B:B),IFERROR(_xlfn.XLOOKUP(F1315:F5357,kunishuClan!A:A,kunishuClan!B:B),"浪人")))</f>
      </c>
      <c r="F1315" s="4">
        <v>0</v>
      </c>
      <c r="G1315" s="4">
        <v>166</v>
      </c>
      <c r="H1315" s="12" t="str">
        <f t="array" ref="H1315">IF(G1315:G5357="","",_xlfn.XLOOKUP(G1315:G5357,castles_state!A:A,castles_state!D:D,"見つかりません"))</f>
      </c>
      <c r="I1315" s="4"/>
      <c r="J1315" s="12" t="str">
        <f t="array" ref="J1315">IF(I1315:I5357="","",_xlfn.XLOOKUP(I1315:I5357,'参照_姫'!A:A,'参照_姫'!B:B,"見つかりません"))</f>
      </c>
      <c r="K1315" s="4">
        <v>95</v>
      </c>
      <c r="L1315" s="4">
        <v>200</v>
      </c>
      <c r="M1315" s="4"/>
      <c r="N1315" s="4"/>
      <c r="O1315" s="4"/>
      <c r="P1315" s="12" t="str">
        <f t="array" ref="P1315">IF(O1315:O5357="","",_xlfn.XLOOKUP(O1315:O5357,'参照_官位'!A:A,'参照_官位'!B:B,""))</f>
      </c>
      <c r="Q1315" s="12" t="str">
        <f t="array" ref="Q1315">IF(A1315:A5357="","",IFERROR(_xlfn.XLOOKUP(A1315:A5357,castles_state!K:K,castles_state!D:D)&amp;"主",IFERROR(_xlfn.XLOOKUP(A1315:A5357,kunishuClan!D:D,kunishuClan!B:B)&amp;"当主","")))</f>
      </c>
    </row>
    <row r="1316" ht="15.75" customHeight="1">
      <c r="A1316" s="4">
        <v>1026076</v>
      </c>
      <c r="B1316" s="12" t="str">
        <f t="array" ref="B1316">IF(A1316:A5358="","",_xlfn.XLOOKUP(A1316:A5358,'参照_武将'!A:A,'参照_武将'!B:B,"見つかりません"))</f>
      </c>
      <c r="C1316" s="4" t="s">
        <v>172</v>
      </c>
      <c r="D1316" s="4">
        <v>26</v>
      </c>
      <c r="E1316" s="12" t="str">
        <f t="array" ref="E1316">IF(D1316:D5358="","",IFERROR(_xlfn.XLOOKUP(D1316:D5358,'参照_勢力'!A:A,'参照_勢力'!B:B),IFERROR(_xlfn.XLOOKUP(F1316:F5358,kunishuClan!A:A,kunishuClan!B:B),"浪人")))</f>
      </c>
      <c r="F1316" s="4">
        <v>0</v>
      </c>
      <c r="G1316" s="4">
        <v>166</v>
      </c>
      <c r="H1316" s="12" t="str">
        <f t="array" ref="H1316">IF(G1316:G5358="","",_xlfn.XLOOKUP(G1316:G5358,castles_state!A:A,castles_state!D:D,"見つかりません"))</f>
      </c>
      <c r="I1316" s="4"/>
      <c r="J1316" s="12" t="str">
        <f t="array" ref="J1316">IF(I1316:I5358="","",_xlfn.XLOOKUP(I1316:I5358,'参照_姫'!A:A,'参照_姫'!B:B,"見つかりません"))</f>
      </c>
      <c r="K1316" s="4">
        <v>95</v>
      </c>
      <c r="L1316" s="4">
        <v>0</v>
      </c>
      <c r="M1316" s="4"/>
      <c r="N1316" s="4"/>
      <c r="O1316" s="4"/>
      <c r="P1316" s="12" t="str">
        <f t="array" ref="P1316">IF(O1316:O5358="","",_xlfn.XLOOKUP(O1316:O5358,'参照_官位'!A:A,'参照_官位'!B:B,""))</f>
      </c>
      <c r="Q1316" s="12" t="str">
        <f t="array" ref="Q1316">IF(A1316:A5358="","",IFERROR(_xlfn.XLOOKUP(A1316:A5358,castles_state!K:K,castles_state!D:D)&amp;"主",IFERROR(_xlfn.XLOOKUP(A1316:A5358,kunishuClan!D:D,kunishuClan!B:B)&amp;"当主","")))</f>
      </c>
    </row>
    <row r="1317" ht="15.75" customHeight="1">
      <c r="A1317" s="4">
        <v>1027001</v>
      </c>
      <c r="B1317" s="12" t="str">
        <f t="array" ref="B1317">IF(A1317:A5359="","",_xlfn.XLOOKUP(A1317:A5359,'参照_武将'!A:A,'参照_武将'!B:B,"見つかりません"))</f>
      </c>
      <c r="C1317" s="4" t="s">
        <v>175</v>
      </c>
      <c r="D1317" s="4">
        <v>27</v>
      </c>
      <c r="E1317" s="12" t="str">
        <f t="array" ref="E1317">IF(D1317:D5359="","",IFERROR(_xlfn.XLOOKUP(D1317:D5359,'参照_勢力'!A:A,'参照_勢力'!B:B),IFERROR(_xlfn.XLOOKUP(F1317:F5359,kunishuClan!A:A,kunishuClan!B:B),"浪人")))</f>
      </c>
      <c r="F1317" s="4">
        <v>0</v>
      </c>
      <c r="G1317" s="4">
        <v>46</v>
      </c>
      <c r="H1317" s="12" t="str">
        <f t="array" ref="H1317">IF(G1317:G5359="","",_xlfn.XLOOKUP(G1317:G5359,castles_state!A:A,castles_state!D:D,"見つかりません"))</f>
      </c>
      <c r="I1317" s="4"/>
      <c r="J1317" s="12" t="str">
        <f t="array" ref="J1317">IF(I1317:I5359="","",_xlfn.XLOOKUP(I1317:I5359,'参照_姫'!A:A,'参照_姫'!B:B,"見つかりません"))</f>
      </c>
      <c r="K1317" s="4">
        <v>100</v>
      </c>
      <c r="L1317" s="4">
        <v>700</v>
      </c>
      <c r="M1317" s="4"/>
      <c r="N1317" s="4" t="b">
        <v>1</v>
      </c>
      <c r="O1317" s="4">
        <v>126</v>
      </c>
      <c r="P1317" s="12" t="str">
        <f t="array" ref="P1317">IF(O1317:O5359="","",_xlfn.XLOOKUP(O1317:O5359,'参照_官位'!A:A,'参照_官位'!B:B,""))</f>
      </c>
      <c r="Q1317" s="12" t="str">
        <f t="array" ref="Q1317">IF(A1317:A5359="","",IFERROR(_xlfn.XLOOKUP(A1317:A5359,castles_state!K:K,castles_state!D:D)&amp;"主",IFERROR(_xlfn.XLOOKUP(A1317:A5359,kunishuClan!D:D,kunishuClan!B:B)&amp;"当主","")))</f>
      </c>
    </row>
    <row r="1318" ht="15.75" customHeight="1">
      <c r="A1318" s="4">
        <v>1027002</v>
      </c>
      <c r="B1318" s="12" t="str">
        <f t="array" ref="B1318">IF(A1318:A5360="","",_xlfn.XLOOKUP(A1318:A5360,'参照_武将'!A:A,'参照_武将'!B:B,"見つかりません"))</f>
      </c>
      <c r="C1318" s="4" t="s">
        <v>175</v>
      </c>
      <c r="D1318" s="4">
        <v>27</v>
      </c>
      <c r="E1318" s="12" t="str">
        <f t="array" ref="E1318">IF(D1318:D5360="","",IFERROR(_xlfn.XLOOKUP(D1318:D5360,'参照_勢力'!A:A,'参照_勢力'!B:B),IFERROR(_xlfn.XLOOKUP(F1318:F5360,kunishuClan!A:A,kunishuClan!B:B),"浪人")))</f>
      </c>
      <c r="F1318" s="4">
        <v>0</v>
      </c>
      <c r="G1318" s="4">
        <v>46</v>
      </c>
      <c r="H1318" s="12" t="str">
        <f t="array" ref="H1318">IF(G1318:G5360="","",_xlfn.XLOOKUP(G1318:G5360,castles_state!A:A,castles_state!D:D,"見つかりません"))</f>
      </c>
      <c r="I1318" s="4"/>
      <c r="J1318" s="12" t="str">
        <f t="array" ref="J1318">IF(I1318:I5360="","",_xlfn.XLOOKUP(I1318:I5360,'参照_姫'!A:A,'参照_姫'!B:B,"見つかりません"))</f>
      </c>
      <c r="K1318" s="4">
        <v>100</v>
      </c>
      <c r="L1318" s="4">
        <v>1500</v>
      </c>
      <c r="M1318" s="4"/>
      <c r="N1318" s="4"/>
      <c r="O1318" s="4"/>
      <c r="P1318" s="12" t="str">
        <f t="array" ref="P1318">IF(O1318:O5360="","",_xlfn.XLOOKUP(O1318:O5360,'参照_官位'!A:A,'参照_官位'!B:B,""))</f>
      </c>
      <c r="Q1318" s="12" t="str">
        <f t="array" ref="Q1318">IF(A1318:A5360="","",IFERROR(_xlfn.XLOOKUP(A1318:A5360,castles_state!K:K,castles_state!D:D)&amp;"主",IFERROR(_xlfn.XLOOKUP(A1318:A5360,kunishuClan!D:D,kunishuClan!B:B)&amp;"当主","")))</f>
      </c>
    </row>
    <row r="1319" ht="15.75" customHeight="1">
      <c r="A1319" s="4">
        <v>1027003</v>
      </c>
      <c r="B1319" s="12" t="str">
        <f t="array" ref="B1319">IF(A1319:A5361="","",_xlfn.XLOOKUP(A1319:A5361,'参照_武将'!A:A,'参照_武将'!B:B,"見つかりません"))</f>
      </c>
      <c r="C1319" s="4" t="s">
        <v>175</v>
      </c>
      <c r="D1319" s="4">
        <v>27</v>
      </c>
      <c r="E1319" s="12" t="str">
        <f t="array" ref="E1319">IF(D1319:D5361="","",IFERROR(_xlfn.XLOOKUP(D1319:D5361,'参照_勢力'!A:A,'参照_勢力'!B:B),IFERROR(_xlfn.XLOOKUP(F1319:F5361,kunishuClan!A:A,kunishuClan!B:B),"浪人")))</f>
      </c>
      <c r="F1319" s="4">
        <v>0</v>
      </c>
      <c r="G1319" s="4">
        <v>46</v>
      </c>
      <c r="H1319" s="12" t="str">
        <f t="array" ref="H1319">IF(G1319:G5361="","",_xlfn.XLOOKUP(G1319:G5361,castles_state!A:A,castles_state!D:D,"見つかりません"))</f>
      </c>
      <c r="I1319" s="4"/>
      <c r="J1319" s="12" t="str">
        <f t="array" ref="J1319">IF(I1319:I5361="","",_xlfn.XLOOKUP(I1319:I5361,'参照_姫'!A:A,'参照_姫'!B:B,"見つかりません"))</f>
      </c>
      <c r="K1319" s="4">
        <v>95</v>
      </c>
      <c r="L1319" s="4">
        <v>0</v>
      </c>
      <c r="M1319" s="4"/>
      <c r="N1319" s="4"/>
      <c r="O1319" s="4"/>
      <c r="P1319" s="12" t="str">
        <f t="array" ref="P1319">IF(O1319:O5361="","",_xlfn.XLOOKUP(O1319:O5361,'参照_官位'!A:A,'参照_官位'!B:B,""))</f>
      </c>
      <c r="Q1319" s="12" t="str">
        <f t="array" ref="Q1319">IF(A1319:A5361="","",IFERROR(_xlfn.XLOOKUP(A1319:A5361,castles_state!K:K,castles_state!D:D)&amp;"主",IFERROR(_xlfn.XLOOKUP(A1319:A5361,kunishuClan!D:D,kunishuClan!B:B)&amp;"当主","")))</f>
      </c>
    </row>
    <row r="1320" ht="15.75" customHeight="1">
      <c r="A1320" s="4">
        <v>1027004</v>
      </c>
      <c r="B1320" s="12" t="str">
        <f t="array" ref="B1320">IF(A1320:A5362="","",_xlfn.XLOOKUP(A1320:A5362,'参照_武将'!A:A,'参照_武将'!B:B,"見つかりません"))</f>
      </c>
      <c r="C1320" s="4" t="s">
        <v>175</v>
      </c>
      <c r="D1320" s="4">
        <v>27</v>
      </c>
      <c r="E1320" s="12" t="str">
        <f t="array" ref="E1320">IF(D1320:D5362="","",IFERROR(_xlfn.XLOOKUP(D1320:D5362,'参照_勢力'!A:A,'参照_勢力'!B:B),IFERROR(_xlfn.XLOOKUP(F1320:F5362,kunishuClan!A:A,kunishuClan!B:B),"浪人")))</f>
      </c>
      <c r="F1320" s="4">
        <v>0</v>
      </c>
      <c r="G1320" s="4">
        <v>46</v>
      </c>
      <c r="H1320" s="12" t="str">
        <f t="array" ref="H1320">IF(G1320:G5362="","",_xlfn.XLOOKUP(G1320:G5362,castles_state!A:A,castles_state!D:D,"見つかりません"))</f>
      </c>
      <c r="I1320" s="4"/>
      <c r="J1320" s="12" t="str">
        <f t="array" ref="J1320">IF(I1320:I5362="","",_xlfn.XLOOKUP(I1320:I5362,'参照_姫'!A:A,'参照_姫'!B:B,"見つかりません"))</f>
      </c>
      <c r="K1320" s="4">
        <v>95</v>
      </c>
      <c r="L1320" s="4">
        <v>0</v>
      </c>
      <c r="M1320" s="4"/>
      <c r="N1320" s="4"/>
      <c r="O1320" s="4"/>
      <c r="P1320" s="12" t="str">
        <f t="array" ref="P1320">IF(O1320:O5362="","",_xlfn.XLOOKUP(O1320:O5362,'参照_官位'!A:A,'参照_官位'!B:B,""))</f>
      </c>
      <c r="Q1320" s="12" t="str">
        <f t="array" ref="Q1320">IF(A1320:A5362="","",IFERROR(_xlfn.XLOOKUP(A1320:A5362,castles_state!K:K,castles_state!D:D)&amp;"主",IFERROR(_xlfn.XLOOKUP(A1320:A5362,kunishuClan!D:D,kunishuClan!B:B)&amp;"当主","")))</f>
      </c>
    </row>
    <row r="1321" ht="15.75" customHeight="1">
      <c r="A1321" s="4">
        <v>1027005</v>
      </c>
      <c r="B1321" s="12" t="str">
        <f t="array" ref="B1321">IF(A1321:A5363="","",_xlfn.XLOOKUP(A1321:A5363,'参照_武将'!A:A,'参照_武将'!B:B,"見つかりません"))</f>
      </c>
      <c r="C1321" s="4" t="s">
        <v>175</v>
      </c>
      <c r="D1321" s="4">
        <v>27</v>
      </c>
      <c r="E1321" s="12" t="str">
        <f t="array" ref="E1321">IF(D1321:D5363="","",IFERROR(_xlfn.XLOOKUP(D1321:D5363,'参照_勢力'!A:A,'参照_勢力'!B:B),IFERROR(_xlfn.XLOOKUP(F1321:F5363,kunishuClan!A:A,kunishuClan!B:B),"浪人")))</f>
      </c>
      <c r="F1321" s="4">
        <v>0</v>
      </c>
      <c r="G1321" s="4">
        <v>46</v>
      </c>
      <c r="H1321" s="12" t="str">
        <f t="array" ref="H1321">IF(G1321:G5363="","",_xlfn.XLOOKUP(G1321:G5363,castles_state!A:A,castles_state!D:D,"見つかりません"))</f>
      </c>
      <c r="I1321" s="4"/>
      <c r="J1321" s="12" t="str">
        <f t="array" ref="J1321">IF(I1321:I5363="","",_xlfn.XLOOKUP(I1321:I5363,'参照_姫'!A:A,'参照_姫'!B:B,"見つかりません"))</f>
      </c>
      <c r="K1321" s="4">
        <v>95</v>
      </c>
      <c r="L1321" s="4">
        <v>0</v>
      </c>
      <c r="M1321" s="4"/>
      <c r="N1321" s="4"/>
      <c r="O1321" s="4"/>
      <c r="P1321" s="12" t="str">
        <f t="array" ref="P1321">IF(O1321:O5363="","",_xlfn.XLOOKUP(O1321:O5363,'参照_官位'!A:A,'参照_官位'!B:B,""))</f>
      </c>
      <c r="Q1321" s="12" t="str">
        <f t="array" ref="Q1321">IF(A1321:A5363="","",IFERROR(_xlfn.XLOOKUP(A1321:A5363,castles_state!K:K,castles_state!D:D)&amp;"主",IFERROR(_xlfn.XLOOKUP(A1321:A5363,kunishuClan!D:D,kunishuClan!B:B)&amp;"当主","")))</f>
      </c>
    </row>
    <row r="1322" ht="15.75" customHeight="1">
      <c r="A1322" s="4">
        <v>1027006</v>
      </c>
      <c r="B1322" s="12" t="str">
        <f t="array" ref="B1322">IF(A1322:A5364="","",_xlfn.XLOOKUP(A1322:A5364,'参照_武将'!A:A,'参照_武将'!B:B,"見つかりません"))</f>
      </c>
      <c r="C1322" s="4" t="s">
        <v>175</v>
      </c>
      <c r="D1322" s="4">
        <v>27</v>
      </c>
      <c r="E1322" s="12" t="str">
        <f t="array" ref="E1322">IF(D1322:D5364="","",IFERROR(_xlfn.XLOOKUP(D1322:D5364,'参照_勢力'!A:A,'参照_勢力'!B:B),IFERROR(_xlfn.XLOOKUP(F1322:F5364,kunishuClan!A:A,kunishuClan!B:B),"浪人")))</f>
      </c>
      <c r="F1322" s="4">
        <v>0</v>
      </c>
      <c r="G1322" s="4">
        <v>46</v>
      </c>
      <c r="H1322" s="12" t="str">
        <f t="array" ref="H1322">IF(G1322:G5364="","",_xlfn.XLOOKUP(G1322:G5364,castles_state!A:A,castles_state!D:D,"見つかりません"))</f>
      </c>
      <c r="I1322" s="4"/>
      <c r="J1322" s="12" t="str">
        <f t="array" ref="J1322">IF(I1322:I5364="","",_xlfn.XLOOKUP(I1322:I5364,'参照_姫'!A:A,'参照_姫'!B:B,"見つかりません"))</f>
      </c>
      <c r="K1322" s="4">
        <v>95</v>
      </c>
      <c r="L1322" s="4">
        <v>0</v>
      </c>
      <c r="M1322" s="4"/>
      <c r="N1322" s="4"/>
      <c r="O1322" s="4"/>
      <c r="P1322" s="12" t="str">
        <f t="array" ref="P1322">IF(O1322:O5364="","",_xlfn.XLOOKUP(O1322:O5364,'参照_官位'!A:A,'参照_官位'!B:B,""))</f>
      </c>
      <c r="Q1322" s="12" t="str">
        <f t="array" ref="Q1322">IF(A1322:A5364="","",IFERROR(_xlfn.XLOOKUP(A1322:A5364,castles_state!K:K,castles_state!D:D)&amp;"主",IFERROR(_xlfn.XLOOKUP(A1322:A5364,kunishuClan!D:D,kunishuClan!B:B)&amp;"当主","")))</f>
      </c>
    </row>
    <row r="1323" ht="15.75" customHeight="1">
      <c r="A1323" s="4">
        <v>1027007</v>
      </c>
      <c r="B1323" s="12" t="str">
        <f t="array" ref="B1323">IF(A1323:A5365="","",_xlfn.XLOOKUP(A1323:A5365,'参照_武将'!A:A,'参照_武将'!B:B,"見つかりません"))</f>
      </c>
      <c r="C1323" s="4" t="s">
        <v>175</v>
      </c>
      <c r="D1323" s="4">
        <v>27</v>
      </c>
      <c r="E1323" s="12" t="str">
        <f t="array" ref="E1323">IF(D1323:D5365="","",IFERROR(_xlfn.XLOOKUP(D1323:D5365,'参照_勢力'!A:A,'参照_勢力'!B:B),IFERROR(_xlfn.XLOOKUP(F1323:F5365,kunishuClan!A:A,kunishuClan!B:B),"浪人")))</f>
      </c>
      <c r="F1323" s="4">
        <v>0</v>
      </c>
      <c r="G1323" s="4">
        <v>46</v>
      </c>
      <c r="H1323" s="12" t="str">
        <f t="array" ref="H1323">IF(G1323:G5365="","",_xlfn.XLOOKUP(G1323:G5365,castles_state!A:A,castles_state!D:D,"見つかりません"))</f>
      </c>
      <c r="I1323" s="4"/>
      <c r="J1323" s="12" t="str">
        <f t="array" ref="J1323">IF(I1323:I5365="","",_xlfn.XLOOKUP(I1323:I5365,'参照_姫'!A:A,'参照_姫'!B:B,"見つかりません"))</f>
      </c>
      <c r="K1323" s="4">
        <v>95</v>
      </c>
      <c r="L1323" s="4">
        <v>0</v>
      </c>
      <c r="M1323" s="4"/>
      <c r="N1323" s="4"/>
      <c r="O1323" s="4"/>
      <c r="P1323" s="12" t="str">
        <f t="array" ref="P1323">IF(O1323:O5365="","",_xlfn.XLOOKUP(O1323:O5365,'参照_官位'!A:A,'参照_官位'!B:B,""))</f>
      </c>
      <c r="Q1323" s="12" t="str">
        <f t="array" ref="Q1323">IF(A1323:A5365="","",IFERROR(_xlfn.XLOOKUP(A1323:A5365,castles_state!K:K,castles_state!D:D)&amp;"主",IFERROR(_xlfn.XLOOKUP(A1323:A5365,kunishuClan!D:D,kunishuClan!B:B)&amp;"当主","")))</f>
      </c>
    </row>
    <row r="1324" ht="15.75" customHeight="1">
      <c r="A1324" s="4">
        <v>1027008</v>
      </c>
      <c r="B1324" s="12" t="str">
        <f t="array" ref="B1324">IF(A1324:A5366="","",_xlfn.XLOOKUP(A1324:A5366,'参照_武将'!A:A,'参照_武将'!B:B,"見つかりません"))</f>
      </c>
      <c r="C1324" s="4" t="s">
        <v>175</v>
      </c>
      <c r="D1324" s="4">
        <v>27</v>
      </c>
      <c r="E1324" s="12" t="str">
        <f t="array" ref="E1324">IF(D1324:D5366="","",IFERROR(_xlfn.XLOOKUP(D1324:D5366,'参照_勢力'!A:A,'参照_勢力'!B:B),IFERROR(_xlfn.XLOOKUP(F1324:F5366,kunishuClan!A:A,kunishuClan!B:B),"浪人")))</f>
      </c>
      <c r="F1324" s="4">
        <v>0</v>
      </c>
      <c r="G1324" s="4">
        <v>46</v>
      </c>
      <c r="H1324" s="12" t="str">
        <f t="array" ref="H1324">IF(G1324:G5366="","",_xlfn.XLOOKUP(G1324:G5366,castles_state!A:A,castles_state!D:D,"見つかりません"))</f>
      </c>
      <c r="I1324" s="4"/>
      <c r="J1324" s="12" t="str">
        <f t="array" ref="J1324">IF(I1324:I5366="","",_xlfn.XLOOKUP(I1324:I5366,'参照_姫'!A:A,'参照_姫'!B:B,"見つかりません"))</f>
      </c>
      <c r="K1324" s="4">
        <v>95</v>
      </c>
      <c r="L1324" s="4">
        <v>0</v>
      </c>
      <c r="M1324" s="4"/>
      <c r="N1324" s="4"/>
      <c r="O1324" s="4"/>
      <c r="P1324" s="12" t="str">
        <f t="array" ref="P1324">IF(O1324:O5366="","",_xlfn.XLOOKUP(O1324:O5366,'参照_官位'!A:A,'参照_官位'!B:B,""))</f>
      </c>
      <c r="Q1324" s="12" t="str">
        <f t="array" ref="Q1324">IF(A1324:A5366="","",IFERROR(_xlfn.XLOOKUP(A1324:A5366,castles_state!K:K,castles_state!D:D)&amp;"主",IFERROR(_xlfn.XLOOKUP(A1324:A5366,kunishuClan!D:D,kunishuClan!B:B)&amp;"当主","")))</f>
      </c>
    </row>
    <row r="1325" ht="15.75" customHeight="1">
      <c r="A1325" s="4">
        <v>1027009</v>
      </c>
      <c r="B1325" s="12" t="str">
        <f t="array" ref="B1325">IF(A1325:A5367="","",_xlfn.XLOOKUP(A1325:A5367,'参照_武将'!A:A,'参照_武将'!B:B,"見つかりません"))</f>
      </c>
      <c r="C1325" s="4" t="s">
        <v>175</v>
      </c>
      <c r="D1325" s="4">
        <v>27</v>
      </c>
      <c r="E1325" s="12" t="str">
        <f t="array" ref="E1325">IF(D1325:D5367="","",IFERROR(_xlfn.XLOOKUP(D1325:D5367,'参照_勢力'!A:A,'参照_勢力'!B:B),IFERROR(_xlfn.XLOOKUP(F1325:F5367,kunishuClan!A:A,kunishuClan!B:B),"浪人")))</f>
      </c>
      <c r="F1325" s="4">
        <v>0</v>
      </c>
      <c r="G1325" s="4">
        <v>99</v>
      </c>
      <c r="H1325" s="12" t="str">
        <f t="array" ref="H1325">IF(G1325:G5367="","",_xlfn.XLOOKUP(G1325:G5367,castles_state!A:A,castles_state!D:D,"見つかりません"))</f>
      </c>
      <c r="I1325" s="4"/>
      <c r="J1325" s="12" t="str">
        <f t="array" ref="J1325">IF(I1325:I5367="","",_xlfn.XLOOKUP(I1325:I5367,'参照_姫'!A:A,'参照_姫'!B:B,"見つかりません"))</f>
      </c>
      <c r="K1325" s="4">
        <v>95</v>
      </c>
      <c r="L1325" s="4">
        <v>300</v>
      </c>
      <c r="M1325" s="4"/>
      <c r="N1325" s="4"/>
      <c r="O1325" s="4"/>
      <c r="P1325" s="12" t="str">
        <f t="array" ref="P1325">IF(O1325:O5367="","",_xlfn.XLOOKUP(O1325:O5367,'参照_官位'!A:A,'参照_官位'!B:B,""))</f>
      </c>
      <c r="Q1325" s="12" t="str">
        <f t="array" ref="Q1325">IF(A1325:A5367="","",IFERROR(_xlfn.XLOOKUP(A1325:A5367,castles_state!K:K,castles_state!D:D)&amp;"主",IFERROR(_xlfn.XLOOKUP(A1325:A5367,kunishuClan!D:D,kunishuClan!B:B)&amp;"当主","")))</f>
      </c>
    </row>
    <row r="1326" ht="15.75" customHeight="1">
      <c r="A1326" s="4">
        <v>1027010</v>
      </c>
      <c r="B1326" s="12" t="str">
        <f t="array" ref="B1326">IF(A1326:A5368="","",_xlfn.XLOOKUP(A1326:A5368,'参照_武将'!A:A,'参照_武将'!B:B,"見つかりません"))</f>
      </c>
      <c r="C1326" s="4" t="s">
        <v>175</v>
      </c>
      <c r="D1326" s="4">
        <v>27</v>
      </c>
      <c r="E1326" s="12" t="str">
        <f t="array" ref="E1326">IF(D1326:D5368="","",IFERROR(_xlfn.XLOOKUP(D1326:D5368,'参照_勢力'!A:A,'参照_勢力'!B:B),IFERROR(_xlfn.XLOOKUP(F1326:F5368,kunishuClan!A:A,kunishuClan!B:B),"浪人")))</f>
      </c>
      <c r="F1326" s="4">
        <v>0</v>
      </c>
      <c r="G1326" s="4">
        <v>99</v>
      </c>
      <c r="H1326" s="12" t="str">
        <f t="array" ref="H1326">IF(G1326:G5368="","",_xlfn.XLOOKUP(G1326:G5368,castles_state!A:A,castles_state!D:D,"見つかりません"))</f>
      </c>
      <c r="I1326" s="4"/>
      <c r="J1326" s="12" t="str">
        <f t="array" ref="J1326">IF(I1326:I5368="","",_xlfn.XLOOKUP(I1326:I5368,'参照_姫'!A:A,'参照_姫'!B:B,"見つかりません"))</f>
      </c>
      <c r="K1326" s="4">
        <v>95</v>
      </c>
      <c r="L1326" s="4">
        <v>0</v>
      </c>
      <c r="M1326" s="4"/>
      <c r="N1326" s="4"/>
      <c r="O1326" s="4"/>
      <c r="P1326" s="12" t="str">
        <f t="array" ref="P1326">IF(O1326:O5368="","",_xlfn.XLOOKUP(O1326:O5368,'参照_官位'!A:A,'参照_官位'!B:B,""))</f>
      </c>
      <c r="Q1326" s="12" t="str">
        <f t="array" ref="Q1326">IF(A1326:A5368="","",IFERROR(_xlfn.XLOOKUP(A1326:A5368,castles_state!K:K,castles_state!D:D)&amp;"主",IFERROR(_xlfn.XLOOKUP(A1326:A5368,kunishuClan!D:D,kunishuClan!B:B)&amp;"当主","")))</f>
      </c>
    </row>
    <row r="1327" ht="15.75" customHeight="1">
      <c r="A1327" s="4">
        <v>1027011</v>
      </c>
      <c r="B1327" s="12" t="str">
        <f t="array" ref="B1327">IF(A1327:A5369="","",_xlfn.XLOOKUP(A1327:A5369,'参照_武将'!A:A,'参照_武将'!B:B,"見つかりません"))</f>
      </c>
      <c r="C1327" s="4" t="s">
        <v>175</v>
      </c>
      <c r="D1327" s="4">
        <v>27</v>
      </c>
      <c r="E1327" s="12" t="str">
        <f t="array" ref="E1327">IF(D1327:D5369="","",IFERROR(_xlfn.XLOOKUP(D1327:D5369,'参照_勢力'!A:A,'参照_勢力'!B:B),IFERROR(_xlfn.XLOOKUP(F1327:F5369,kunishuClan!A:A,kunishuClan!B:B),"浪人")))</f>
      </c>
      <c r="F1327" s="4">
        <v>0</v>
      </c>
      <c r="G1327" s="4">
        <v>46</v>
      </c>
      <c r="H1327" s="12" t="str">
        <f t="array" ref="H1327">IF(G1327:G5369="","",_xlfn.XLOOKUP(G1327:G5369,castles_state!A:A,castles_state!D:D,"見つかりません"))</f>
      </c>
      <c r="I1327" s="4"/>
      <c r="J1327" s="12" t="str">
        <f t="array" ref="J1327">IF(I1327:I5369="","",_xlfn.XLOOKUP(I1327:I5369,'参照_姫'!A:A,'参照_姫'!B:B,"見つかりません"))</f>
      </c>
      <c r="K1327" s="4">
        <v>95</v>
      </c>
      <c r="L1327" s="4">
        <v>0</v>
      </c>
      <c r="M1327" s="4"/>
      <c r="N1327" s="4"/>
      <c r="O1327" s="4"/>
      <c r="P1327" s="12" t="str">
        <f t="array" ref="P1327">IF(O1327:O5369="","",_xlfn.XLOOKUP(O1327:O5369,'参照_官位'!A:A,'参照_官位'!B:B,""))</f>
      </c>
      <c r="Q1327" s="12" t="str">
        <f t="array" ref="Q1327">IF(A1327:A5369="","",IFERROR(_xlfn.XLOOKUP(A1327:A5369,castles_state!K:K,castles_state!D:D)&amp;"主",IFERROR(_xlfn.XLOOKUP(A1327:A5369,kunishuClan!D:D,kunishuClan!B:B)&amp;"当主","")))</f>
      </c>
    </row>
    <row r="1328" ht="15.75" customHeight="1">
      <c r="A1328" s="4">
        <v>1027012</v>
      </c>
      <c r="B1328" s="12" t="str">
        <f t="array" ref="B1328">IF(A1328:A5370="","",_xlfn.XLOOKUP(A1328:A5370,'参照_武将'!A:A,'参照_武将'!B:B,"見つかりません"))</f>
      </c>
      <c r="C1328" s="4" t="s">
        <v>175</v>
      </c>
      <c r="D1328" s="4">
        <v>27</v>
      </c>
      <c r="E1328" s="12" t="str">
        <f t="array" ref="E1328">IF(D1328:D5370="","",IFERROR(_xlfn.XLOOKUP(D1328:D5370,'参照_勢力'!A:A,'参照_勢力'!B:B),IFERROR(_xlfn.XLOOKUP(F1328:F5370,kunishuClan!A:A,kunishuClan!B:B),"浪人")))</f>
      </c>
      <c r="F1328" s="4">
        <v>0</v>
      </c>
      <c r="G1328" s="4">
        <v>46</v>
      </c>
      <c r="H1328" s="12" t="str">
        <f t="array" ref="H1328">IF(G1328:G5370="","",_xlfn.XLOOKUP(G1328:G5370,castles_state!A:A,castles_state!D:D,"見つかりません"))</f>
      </c>
      <c r="I1328" s="4"/>
      <c r="J1328" s="12" t="str">
        <f t="array" ref="J1328">IF(I1328:I5370="","",_xlfn.XLOOKUP(I1328:I5370,'参照_姫'!A:A,'参照_姫'!B:B,"見つかりません"))</f>
      </c>
      <c r="K1328" s="4">
        <v>95</v>
      </c>
      <c r="L1328" s="4">
        <v>300</v>
      </c>
      <c r="M1328" s="4" t="b">
        <v>1</v>
      </c>
      <c r="N1328" s="4"/>
      <c r="O1328" s="4"/>
      <c r="P1328" s="12" t="str">
        <f t="array" ref="P1328">IF(O1328:O5370="","",_xlfn.XLOOKUP(O1328:O5370,'参照_官位'!A:A,'参照_官位'!B:B,""))</f>
      </c>
      <c r="Q1328" s="12" t="str">
        <f t="array" ref="Q1328">IF(A1328:A5370="","",IFERROR(_xlfn.XLOOKUP(A1328:A5370,castles_state!K:K,castles_state!D:D)&amp;"主",IFERROR(_xlfn.XLOOKUP(A1328:A5370,kunishuClan!D:D,kunishuClan!B:B)&amp;"当主","")))</f>
      </c>
    </row>
    <row r="1329" ht="15.75" customHeight="1">
      <c r="A1329" s="4">
        <v>1027013</v>
      </c>
      <c r="B1329" s="12" t="str">
        <f t="array" ref="B1329">IF(A1329:A5371="","",_xlfn.XLOOKUP(A1329:A5371,'参照_武将'!A:A,'参照_武将'!B:B,"見つかりません"))</f>
      </c>
      <c r="C1329" s="4" t="s">
        <v>175</v>
      </c>
      <c r="D1329" s="4">
        <v>27</v>
      </c>
      <c r="E1329" s="12" t="str">
        <f t="array" ref="E1329">IF(D1329:D5371="","",IFERROR(_xlfn.XLOOKUP(D1329:D5371,'参照_勢力'!A:A,'参照_勢力'!B:B),IFERROR(_xlfn.XLOOKUP(F1329:F5371,kunishuClan!A:A,kunishuClan!B:B),"浪人")))</f>
      </c>
      <c r="F1329" s="4">
        <v>0</v>
      </c>
      <c r="G1329" s="4">
        <v>99</v>
      </c>
      <c r="H1329" s="12" t="str">
        <f t="array" ref="H1329">IF(G1329:G5371="","",_xlfn.XLOOKUP(G1329:G5371,castles_state!A:A,castles_state!D:D,"見つかりません"))</f>
      </c>
      <c r="I1329" s="4"/>
      <c r="J1329" s="12" t="str">
        <f t="array" ref="J1329">IF(I1329:I5371="","",_xlfn.XLOOKUP(I1329:I5371,'参照_姫'!A:A,'参照_姫'!B:B,"見つかりません"))</f>
      </c>
      <c r="K1329" s="4">
        <v>95</v>
      </c>
      <c r="L1329" s="4">
        <v>500</v>
      </c>
      <c r="M1329" s="4"/>
      <c r="N1329" s="4"/>
      <c r="O1329" s="4"/>
      <c r="P1329" s="12" t="str">
        <f t="array" ref="P1329">IF(O1329:O5371="","",_xlfn.XLOOKUP(O1329:O5371,'参照_官位'!A:A,'参照_官位'!B:B,""))</f>
      </c>
      <c r="Q1329" s="12" t="str">
        <f t="array" ref="Q1329">IF(A1329:A5371="","",IFERROR(_xlfn.XLOOKUP(A1329:A5371,castles_state!K:K,castles_state!D:D)&amp;"主",IFERROR(_xlfn.XLOOKUP(A1329:A5371,kunishuClan!D:D,kunishuClan!B:B)&amp;"当主","")))</f>
      </c>
    </row>
    <row r="1330" ht="15.75" customHeight="1">
      <c r="A1330" s="4">
        <v>1027014</v>
      </c>
      <c r="B1330" s="12" t="str">
        <f t="array" ref="B1330">IF(A1330:A5372="","",_xlfn.XLOOKUP(A1330:A5372,'参照_武将'!A:A,'参照_武将'!B:B,"見つかりません"))</f>
      </c>
      <c r="C1330" s="4" t="s">
        <v>175</v>
      </c>
      <c r="D1330" s="4">
        <v>27</v>
      </c>
      <c r="E1330" s="12" t="str">
        <f t="array" ref="E1330">IF(D1330:D5372="","",IFERROR(_xlfn.XLOOKUP(D1330:D5372,'参照_勢力'!A:A,'参照_勢力'!B:B),IFERROR(_xlfn.XLOOKUP(F1330:F5372,kunishuClan!A:A,kunishuClan!B:B),"浪人")))</f>
      </c>
      <c r="F1330" s="4">
        <v>0</v>
      </c>
      <c r="G1330" s="4">
        <v>99</v>
      </c>
      <c r="H1330" s="12" t="str">
        <f t="array" ref="H1330">IF(G1330:G5372="","",_xlfn.XLOOKUP(G1330:G5372,castles_state!A:A,castles_state!D:D,"見つかりません"))</f>
      </c>
      <c r="I1330" s="4"/>
      <c r="J1330" s="12" t="str">
        <f t="array" ref="J1330">IF(I1330:I5372="","",_xlfn.XLOOKUP(I1330:I5372,'参照_姫'!A:A,'参照_姫'!B:B,"見つかりません"))</f>
      </c>
      <c r="K1330" s="4">
        <v>95</v>
      </c>
      <c r="L1330" s="4">
        <v>0</v>
      </c>
      <c r="M1330" s="4"/>
      <c r="N1330" s="4"/>
      <c r="O1330" s="4"/>
      <c r="P1330" s="12" t="str">
        <f t="array" ref="P1330">IF(O1330:O5372="","",_xlfn.XLOOKUP(O1330:O5372,'参照_官位'!A:A,'参照_官位'!B:B,""))</f>
      </c>
      <c r="Q1330" s="12" t="str">
        <f t="array" ref="Q1330">IF(A1330:A5372="","",IFERROR(_xlfn.XLOOKUP(A1330:A5372,castles_state!K:K,castles_state!D:D)&amp;"主",IFERROR(_xlfn.XLOOKUP(A1330:A5372,kunishuClan!D:D,kunishuClan!B:B)&amp;"当主","")))</f>
      </c>
    </row>
    <row r="1331" ht="15.75" customHeight="1">
      <c r="A1331" s="4">
        <v>1027015</v>
      </c>
      <c r="B1331" s="12" t="str">
        <f t="array" ref="B1331">IF(A1331:A5373="","",_xlfn.XLOOKUP(A1331:A5373,'参照_武将'!A:A,'参照_武将'!B:B,"見つかりません"))</f>
      </c>
      <c r="C1331" s="4" t="s">
        <v>175</v>
      </c>
      <c r="D1331" s="4">
        <v>27</v>
      </c>
      <c r="E1331" s="12" t="str">
        <f t="array" ref="E1331">IF(D1331:D5373="","",IFERROR(_xlfn.XLOOKUP(D1331:D5373,'参照_勢力'!A:A,'参照_勢力'!B:B),IFERROR(_xlfn.XLOOKUP(F1331:F5373,kunishuClan!A:A,kunishuClan!B:B),"浪人")))</f>
      </c>
      <c r="F1331" s="4">
        <v>0</v>
      </c>
      <c r="G1331" s="4">
        <v>46</v>
      </c>
      <c r="H1331" s="12" t="str">
        <f t="array" ref="H1331">IF(G1331:G5373="","",_xlfn.XLOOKUP(G1331:G5373,castles_state!A:A,castles_state!D:D,"見つかりません"))</f>
      </c>
      <c r="I1331" s="4"/>
      <c r="J1331" s="12" t="str">
        <f t="array" ref="J1331">IF(I1331:I5373="","",_xlfn.XLOOKUP(I1331:I5373,'参照_姫'!A:A,'参照_姫'!B:B,"見つかりません"))</f>
      </c>
      <c r="K1331" s="4">
        <v>95</v>
      </c>
      <c r="L1331" s="4">
        <v>0</v>
      </c>
      <c r="M1331" s="4"/>
      <c r="N1331" s="4"/>
      <c r="O1331" s="4"/>
      <c r="P1331" s="12" t="str">
        <f t="array" ref="P1331">IF(O1331:O5373="","",_xlfn.XLOOKUP(O1331:O5373,'参照_官位'!A:A,'参照_官位'!B:B,""))</f>
      </c>
      <c r="Q1331" s="12" t="str">
        <f t="array" ref="Q1331">IF(A1331:A5373="","",IFERROR(_xlfn.XLOOKUP(A1331:A5373,castles_state!K:K,castles_state!D:D)&amp;"主",IFERROR(_xlfn.XLOOKUP(A1331:A5373,kunishuClan!D:D,kunishuClan!B:B)&amp;"当主","")))</f>
      </c>
    </row>
    <row r="1332" ht="15.75" customHeight="1">
      <c r="A1332" s="4">
        <v>1027016</v>
      </c>
      <c r="B1332" s="12" t="str">
        <f t="array" ref="B1332">IF(A1332:A5374="","",_xlfn.XLOOKUP(A1332:A5374,'参照_武将'!A:A,'参照_武将'!B:B,"見つかりません"))</f>
      </c>
      <c r="C1332" s="4" t="s">
        <v>175</v>
      </c>
      <c r="D1332" s="4">
        <v>27</v>
      </c>
      <c r="E1332" s="12" t="str">
        <f t="array" ref="E1332">IF(D1332:D5374="","",IFERROR(_xlfn.XLOOKUP(D1332:D5374,'参照_勢力'!A:A,'参照_勢力'!B:B),IFERROR(_xlfn.XLOOKUP(F1332:F5374,kunishuClan!A:A,kunishuClan!B:B),"浪人")))</f>
      </c>
      <c r="F1332" s="4">
        <v>0</v>
      </c>
      <c r="G1332" s="4">
        <v>46</v>
      </c>
      <c r="H1332" s="12" t="str">
        <f t="array" ref="H1332">IF(G1332:G5374="","",_xlfn.XLOOKUP(G1332:G5374,castles_state!A:A,castles_state!D:D,"見つかりません"))</f>
      </c>
      <c r="I1332" s="4"/>
      <c r="J1332" s="12" t="str">
        <f t="array" ref="J1332">IF(I1332:I5374="","",_xlfn.XLOOKUP(I1332:I5374,'参照_姫'!A:A,'参照_姫'!B:B,"見つかりません"))</f>
      </c>
      <c r="K1332" s="4">
        <v>95</v>
      </c>
      <c r="L1332" s="4">
        <v>0</v>
      </c>
      <c r="M1332" s="4"/>
      <c r="N1332" s="4"/>
      <c r="O1332" s="4"/>
      <c r="P1332" s="12" t="str">
        <f t="array" ref="P1332">IF(O1332:O5374="","",_xlfn.XLOOKUP(O1332:O5374,'参照_官位'!A:A,'参照_官位'!B:B,""))</f>
      </c>
      <c r="Q1332" s="12" t="str">
        <f t="array" ref="Q1332">IF(A1332:A5374="","",IFERROR(_xlfn.XLOOKUP(A1332:A5374,castles_state!K:K,castles_state!D:D)&amp;"主",IFERROR(_xlfn.XLOOKUP(A1332:A5374,kunishuClan!D:D,kunishuClan!B:B)&amp;"当主","")))</f>
      </c>
    </row>
    <row r="1333" ht="15.75" customHeight="1">
      <c r="A1333" s="4">
        <v>1027017</v>
      </c>
      <c r="B1333" s="12" t="str">
        <f t="array" ref="B1333">IF(A1333:A5375="","",_xlfn.XLOOKUP(A1333:A5375,'参照_武将'!A:A,'参照_武将'!B:B,"見つかりません"))</f>
      </c>
      <c r="C1333" s="4" t="s">
        <v>175</v>
      </c>
      <c r="D1333" s="4">
        <v>4</v>
      </c>
      <c r="E1333" s="12" t="str">
        <f t="array" ref="E1333">IF(D1333:D5375="","",IFERROR(_xlfn.XLOOKUP(D1333:D5375,'参照_勢力'!A:A,'参照_勢力'!B:B),IFERROR(_xlfn.XLOOKUP(F1333:F5375,kunishuClan!A:A,kunishuClan!B:B),"浪人")))</f>
      </c>
      <c r="F1333" s="4">
        <v>0</v>
      </c>
      <c r="G1333" s="4">
        <v>65</v>
      </c>
      <c r="H1333" s="12" t="str">
        <f t="array" ref="H1333">IF(G1333:G5375="","",_xlfn.XLOOKUP(G1333:G5375,castles_state!A:A,castles_state!D:D,"見つかりません"))</f>
      </c>
      <c r="I1333" s="4"/>
      <c r="J1333" s="12" t="str">
        <f t="array" ref="J1333">IF(I1333:I5375="","",_xlfn.XLOOKUP(I1333:I5375,'参照_姫'!A:A,'参照_姫'!B:B,"見つかりません"))</f>
      </c>
      <c r="K1333" s="4">
        <v>90</v>
      </c>
      <c r="L1333" s="4">
        <v>500</v>
      </c>
      <c r="M1333" s="4"/>
      <c r="N1333" s="4"/>
      <c r="O1333" s="4"/>
      <c r="P1333" s="12" t="str">
        <f t="array" ref="P1333">IF(O1333:O5375="","",_xlfn.XLOOKUP(O1333:O5375,'参照_官位'!A:A,'参照_官位'!B:B,""))</f>
      </c>
      <c r="Q1333" s="12" t="str">
        <f t="array" ref="Q1333">IF(A1333:A5375="","",IFERROR(_xlfn.XLOOKUP(A1333:A5375,castles_state!K:K,castles_state!D:D)&amp;"主",IFERROR(_xlfn.XLOOKUP(A1333:A5375,kunishuClan!D:D,kunishuClan!B:B)&amp;"当主","")))</f>
      </c>
    </row>
    <row r="1334" ht="15.75" customHeight="1">
      <c r="A1334" s="4">
        <v>1027018</v>
      </c>
      <c r="B1334" s="12" t="str">
        <f t="array" ref="B1334">IF(A1334:A5376="","",_xlfn.XLOOKUP(A1334:A5376,'参照_武将'!A:A,'参照_武将'!B:B,"見つかりません"))</f>
      </c>
      <c r="C1334" s="4" t="s">
        <v>175</v>
      </c>
      <c r="D1334" s="4">
        <v>4</v>
      </c>
      <c r="E1334" s="12" t="str">
        <f t="array" ref="E1334">IF(D1334:D5376="","",IFERROR(_xlfn.XLOOKUP(D1334:D5376,'参照_勢力'!A:A,'参照_勢力'!B:B),IFERROR(_xlfn.XLOOKUP(F1334:F5376,kunishuClan!A:A,kunishuClan!B:B),"浪人")))</f>
      </c>
      <c r="F1334" s="4">
        <v>0</v>
      </c>
      <c r="G1334" s="4">
        <v>65</v>
      </c>
      <c r="H1334" s="12" t="str">
        <f t="array" ref="H1334">IF(G1334:G5376="","",_xlfn.XLOOKUP(G1334:G5376,castles_state!A:A,castles_state!D:D,"見つかりません"))</f>
      </c>
      <c r="I1334" s="4"/>
      <c r="J1334" s="12" t="str">
        <f t="array" ref="J1334">IF(I1334:I5376="","",_xlfn.XLOOKUP(I1334:I5376,'参照_姫'!A:A,'参照_姫'!B:B,"見つかりません"))</f>
      </c>
      <c r="K1334" s="4">
        <v>90</v>
      </c>
      <c r="L1334" s="4">
        <v>0</v>
      </c>
      <c r="M1334" s="4"/>
      <c r="N1334" s="4"/>
      <c r="O1334" s="4"/>
      <c r="P1334" s="12" t="str">
        <f t="array" ref="P1334">IF(O1334:O5376="","",_xlfn.XLOOKUP(O1334:O5376,'参照_官位'!A:A,'参照_官位'!B:B,""))</f>
      </c>
      <c r="Q1334" s="12" t="str">
        <f t="array" ref="Q1334">IF(A1334:A5376="","",IFERROR(_xlfn.XLOOKUP(A1334:A5376,castles_state!K:K,castles_state!D:D)&amp;"主",IFERROR(_xlfn.XLOOKUP(A1334:A5376,kunishuClan!D:D,kunishuClan!B:B)&amp;"当主","")))</f>
      </c>
    </row>
    <row r="1335" ht="15.75" customHeight="1">
      <c r="A1335" s="4">
        <v>1027019</v>
      </c>
      <c r="B1335" s="12" t="str">
        <f t="array" ref="B1335">IF(A1335:A5377="","",_xlfn.XLOOKUP(A1335:A5377,'参照_武将'!A:A,'参照_武将'!B:B,"見つかりません"))</f>
      </c>
      <c r="C1335" s="4" t="s">
        <v>175</v>
      </c>
      <c r="D1335" s="4">
        <v>27</v>
      </c>
      <c r="E1335" s="12" t="str">
        <f t="array" ref="E1335">IF(D1335:D5377="","",IFERROR(_xlfn.XLOOKUP(D1335:D5377,'参照_勢力'!A:A,'参照_勢力'!B:B),IFERROR(_xlfn.XLOOKUP(F1335:F5377,kunishuClan!A:A,kunishuClan!B:B),"浪人")))</f>
      </c>
      <c r="F1335" s="4">
        <v>0</v>
      </c>
      <c r="G1335" s="4">
        <v>46</v>
      </c>
      <c r="H1335" s="12" t="str">
        <f t="array" ref="H1335">IF(G1335:G5377="","",_xlfn.XLOOKUP(G1335:G5377,castles_state!A:A,castles_state!D:D,"見つかりません"))</f>
      </c>
      <c r="I1335" s="4"/>
      <c r="J1335" s="12" t="str">
        <f t="array" ref="J1335">IF(I1335:I5377="","",_xlfn.XLOOKUP(I1335:I5377,'参照_姫'!A:A,'参照_姫'!B:B,"見つかりません"))</f>
      </c>
      <c r="K1335" s="4">
        <v>95</v>
      </c>
      <c r="L1335" s="4">
        <v>300</v>
      </c>
      <c r="M1335" s="4"/>
      <c r="N1335" s="4"/>
      <c r="O1335" s="4"/>
      <c r="P1335" s="12" t="str">
        <f t="array" ref="P1335">IF(O1335:O5377="","",_xlfn.XLOOKUP(O1335:O5377,'参照_官位'!A:A,'参照_官位'!B:B,""))</f>
      </c>
      <c r="Q1335" s="12" t="str">
        <f t="array" ref="Q1335">IF(A1335:A5377="","",IFERROR(_xlfn.XLOOKUP(A1335:A5377,castles_state!K:K,castles_state!D:D)&amp;"主",IFERROR(_xlfn.XLOOKUP(A1335:A5377,kunishuClan!D:D,kunishuClan!B:B)&amp;"当主","")))</f>
      </c>
    </row>
    <row r="1336" ht="15.75" customHeight="1">
      <c r="A1336" s="4">
        <v>1027020</v>
      </c>
      <c r="B1336" s="12" t="str">
        <f t="array" ref="B1336">IF(A1336:A5378="","",_xlfn.XLOOKUP(A1336:A5378,'参照_武将'!A:A,'参照_武将'!B:B,"見つかりません"))</f>
      </c>
      <c r="C1336" s="4" t="s">
        <v>175</v>
      </c>
      <c r="D1336" s="4">
        <v>27</v>
      </c>
      <c r="E1336" s="12" t="str">
        <f t="array" ref="E1336">IF(D1336:D5378="","",IFERROR(_xlfn.XLOOKUP(D1336:D5378,'参照_勢力'!A:A,'参照_勢力'!B:B),IFERROR(_xlfn.XLOOKUP(F1336:F5378,kunishuClan!A:A,kunishuClan!B:B),"浪人")))</f>
      </c>
      <c r="F1336" s="4">
        <v>0</v>
      </c>
      <c r="G1336" s="4">
        <v>46</v>
      </c>
      <c r="H1336" s="12" t="str">
        <f t="array" ref="H1336">IF(G1336:G5378="","",_xlfn.XLOOKUP(G1336:G5378,castles_state!A:A,castles_state!D:D,"見つかりません"))</f>
      </c>
      <c r="I1336" s="4"/>
      <c r="J1336" s="12" t="str">
        <f t="array" ref="J1336">IF(I1336:I5378="","",_xlfn.XLOOKUP(I1336:I5378,'参照_姫'!A:A,'参照_姫'!B:B,"見つかりません"))</f>
      </c>
      <c r="K1336" s="4">
        <v>90</v>
      </c>
      <c r="L1336" s="4">
        <v>0</v>
      </c>
      <c r="M1336" s="4"/>
      <c r="N1336" s="4"/>
      <c r="O1336" s="4"/>
      <c r="P1336" s="12" t="str">
        <f t="array" ref="P1336">IF(O1336:O5378="","",_xlfn.XLOOKUP(O1336:O5378,'参照_官位'!A:A,'参照_官位'!B:B,""))</f>
      </c>
      <c r="Q1336" s="12" t="str">
        <f t="array" ref="Q1336">IF(A1336:A5378="","",IFERROR(_xlfn.XLOOKUP(A1336:A5378,castles_state!K:K,castles_state!D:D)&amp;"主",IFERROR(_xlfn.XLOOKUP(A1336:A5378,kunishuClan!D:D,kunishuClan!B:B)&amp;"当主","")))</f>
      </c>
    </row>
    <row r="1337" ht="15.75" customHeight="1">
      <c r="A1337" s="4">
        <v>1027021</v>
      </c>
      <c r="B1337" s="12" t="str">
        <f t="array" ref="B1337">IF(A1337:A5379="","",_xlfn.XLOOKUP(A1337:A5379,'参照_武将'!A:A,'参照_武将'!B:B,"見つかりません"))</f>
      </c>
      <c r="C1337" s="4" t="s">
        <v>175</v>
      </c>
      <c r="D1337" s="4">
        <v>27</v>
      </c>
      <c r="E1337" s="12" t="str">
        <f t="array" ref="E1337">IF(D1337:D5379="","",IFERROR(_xlfn.XLOOKUP(D1337:D5379,'参照_勢力'!A:A,'参照_勢力'!B:B),IFERROR(_xlfn.XLOOKUP(F1337:F5379,kunishuClan!A:A,kunishuClan!B:B),"浪人")))</f>
      </c>
      <c r="F1337" s="4">
        <v>0</v>
      </c>
      <c r="G1337" s="4">
        <v>46</v>
      </c>
      <c r="H1337" s="12" t="str">
        <f t="array" ref="H1337">IF(G1337:G5379="","",_xlfn.XLOOKUP(G1337:G5379,castles_state!A:A,castles_state!D:D,"見つかりません"))</f>
      </c>
      <c r="I1337" s="4"/>
      <c r="J1337" s="12" t="str">
        <f t="array" ref="J1337">IF(I1337:I5379="","",_xlfn.XLOOKUP(I1337:I5379,'参照_姫'!A:A,'参照_姫'!B:B,"見つかりません"))</f>
      </c>
      <c r="K1337" s="4">
        <v>90</v>
      </c>
      <c r="L1337" s="4">
        <v>0</v>
      </c>
      <c r="M1337" s="4"/>
      <c r="N1337" s="4"/>
      <c r="O1337" s="4"/>
      <c r="P1337" s="12" t="str">
        <f t="array" ref="P1337">IF(O1337:O5379="","",_xlfn.XLOOKUP(O1337:O5379,'参照_官位'!A:A,'参照_官位'!B:B,""))</f>
      </c>
      <c r="Q1337" s="12" t="str">
        <f t="array" ref="Q1337">IF(A1337:A5379="","",IFERROR(_xlfn.XLOOKUP(A1337:A5379,castles_state!K:K,castles_state!D:D)&amp;"主",IFERROR(_xlfn.XLOOKUP(A1337:A5379,kunishuClan!D:D,kunishuClan!B:B)&amp;"当主","")))</f>
      </c>
    </row>
    <row r="1338" ht="15.75" customHeight="1">
      <c r="A1338" s="4">
        <v>1027022</v>
      </c>
      <c r="B1338" s="12" t="str">
        <f t="array" ref="B1338">IF(A1338:A5380="","",_xlfn.XLOOKUP(A1338:A5380,'参照_武将'!A:A,'参照_武将'!B:B,"見つかりません"))</f>
      </c>
      <c r="C1338" s="4" t="s">
        <v>175</v>
      </c>
      <c r="D1338" s="4">
        <v>27</v>
      </c>
      <c r="E1338" s="12" t="str">
        <f t="array" ref="E1338">IF(D1338:D5380="","",IFERROR(_xlfn.XLOOKUP(D1338:D5380,'参照_勢力'!A:A,'参照_勢力'!B:B),IFERROR(_xlfn.XLOOKUP(F1338:F5380,kunishuClan!A:A,kunishuClan!B:B),"浪人")))</f>
      </c>
      <c r="F1338" s="4">
        <v>0</v>
      </c>
      <c r="G1338" s="4">
        <v>46</v>
      </c>
      <c r="H1338" s="12" t="str">
        <f t="array" ref="H1338">IF(G1338:G5380="","",_xlfn.XLOOKUP(G1338:G5380,castles_state!A:A,castles_state!D:D,"見つかりません"))</f>
      </c>
      <c r="I1338" s="4"/>
      <c r="J1338" s="12" t="str">
        <f t="array" ref="J1338">IF(I1338:I5380="","",_xlfn.XLOOKUP(I1338:I5380,'参照_姫'!A:A,'参照_姫'!B:B,"見つかりません"))</f>
      </c>
      <c r="K1338" s="4">
        <v>90</v>
      </c>
      <c r="L1338" s="4">
        <v>0</v>
      </c>
      <c r="M1338" s="4"/>
      <c r="N1338" s="4"/>
      <c r="O1338" s="4"/>
      <c r="P1338" s="12" t="str">
        <f t="array" ref="P1338">IF(O1338:O5380="","",_xlfn.XLOOKUP(O1338:O5380,'参照_官位'!A:A,'参照_官位'!B:B,""))</f>
      </c>
      <c r="Q1338" s="12" t="str">
        <f t="array" ref="Q1338">IF(A1338:A5380="","",IFERROR(_xlfn.XLOOKUP(A1338:A5380,castles_state!K:K,castles_state!D:D)&amp;"主",IFERROR(_xlfn.XLOOKUP(A1338:A5380,kunishuClan!D:D,kunishuClan!B:B)&amp;"当主","")))</f>
      </c>
    </row>
    <row r="1339" ht="15.75" customHeight="1">
      <c r="A1339" s="4">
        <v>1027023</v>
      </c>
      <c r="B1339" s="12" t="str">
        <f t="array" ref="B1339">IF(A1339:A5381="","",_xlfn.XLOOKUP(A1339:A5381,'参照_武将'!A:A,'参照_武将'!B:B,"見つかりません"))</f>
      </c>
      <c r="C1339" s="4" t="s">
        <v>175</v>
      </c>
      <c r="D1339" s="4">
        <v>4</v>
      </c>
      <c r="E1339" s="12" t="str">
        <f t="array" ref="E1339">IF(D1339:D5381="","",IFERROR(_xlfn.XLOOKUP(D1339:D5381,'参照_勢力'!A:A,'参照_勢力'!B:B),IFERROR(_xlfn.XLOOKUP(F1339:F5381,kunishuClan!A:A,kunishuClan!B:B),"浪人")))</f>
      </c>
      <c r="F1339" s="4">
        <v>0</v>
      </c>
      <c r="G1339" s="4">
        <v>65</v>
      </c>
      <c r="H1339" s="12" t="str">
        <f t="array" ref="H1339">IF(G1339:G5381="","",_xlfn.XLOOKUP(G1339:G5381,castles_state!A:A,castles_state!D:D,"見つかりません"))</f>
      </c>
      <c r="I1339" s="4"/>
      <c r="J1339" s="12" t="str">
        <f t="array" ref="J1339">IF(I1339:I5381="","",_xlfn.XLOOKUP(I1339:I5381,'参照_姫'!A:A,'参照_姫'!B:B,"見つかりません"))</f>
      </c>
      <c r="K1339" s="4">
        <v>90</v>
      </c>
      <c r="L1339" s="4">
        <v>500</v>
      </c>
      <c r="M1339" s="4"/>
      <c r="N1339" s="4"/>
      <c r="O1339" s="4"/>
      <c r="P1339" s="12" t="str">
        <f t="array" ref="P1339">IF(O1339:O5381="","",_xlfn.XLOOKUP(O1339:O5381,'参照_官位'!A:A,'参照_官位'!B:B,""))</f>
      </c>
      <c r="Q1339" s="12" t="str">
        <f t="array" ref="Q1339">IF(A1339:A5381="","",IFERROR(_xlfn.XLOOKUP(A1339:A5381,castles_state!K:K,castles_state!D:D)&amp;"主",IFERROR(_xlfn.XLOOKUP(A1339:A5381,kunishuClan!D:D,kunishuClan!B:B)&amp;"当主","")))</f>
      </c>
    </row>
    <row r="1340" ht="15.75" customHeight="1">
      <c r="A1340" s="4">
        <v>1027024</v>
      </c>
      <c r="B1340" s="12" t="str">
        <f t="array" ref="B1340">IF(A1340:A5382="","",_xlfn.XLOOKUP(A1340:A5382,'参照_武将'!A:A,'参照_武将'!B:B,"見つかりません"))</f>
      </c>
      <c r="C1340" s="4" t="s">
        <v>175</v>
      </c>
      <c r="D1340" s="4">
        <v>4</v>
      </c>
      <c r="E1340" s="12" t="str">
        <f t="array" ref="E1340">IF(D1340:D5382="","",IFERROR(_xlfn.XLOOKUP(D1340:D5382,'参照_勢力'!A:A,'参照_勢力'!B:B),IFERROR(_xlfn.XLOOKUP(F1340:F5382,kunishuClan!A:A,kunishuClan!B:B),"浪人")))</f>
      </c>
      <c r="F1340" s="4">
        <v>0</v>
      </c>
      <c r="G1340" s="4">
        <v>65</v>
      </c>
      <c r="H1340" s="12" t="str">
        <f t="array" ref="H1340">IF(G1340:G5382="","",_xlfn.XLOOKUP(G1340:G5382,castles_state!A:A,castles_state!D:D,"見つかりません"))</f>
      </c>
      <c r="I1340" s="4"/>
      <c r="J1340" s="12" t="str">
        <f t="array" ref="J1340">IF(I1340:I5382="","",_xlfn.XLOOKUP(I1340:I5382,'参照_姫'!A:A,'参照_姫'!B:B,"見つかりません"))</f>
      </c>
      <c r="K1340" s="4">
        <v>90</v>
      </c>
      <c r="L1340" s="4">
        <v>0</v>
      </c>
      <c r="M1340" s="4"/>
      <c r="N1340" s="4"/>
      <c r="O1340" s="4"/>
      <c r="P1340" s="12" t="str">
        <f t="array" ref="P1340">IF(O1340:O5382="","",_xlfn.XLOOKUP(O1340:O5382,'参照_官位'!A:A,'参照_官位'!B:B,""))</f>
      </c>
      <c r="Q1340" s="12" t="str">
        <f t="array" ref="Q1340">IF(A1340:A5382="","",IFERROR(_xlfn.XLOOKUP(A1340:A5382,castles_state!K:K,castles_state!D:D)&amp;"主",IFERROR(_xlfn.XLOOKUP(A1340:A5382,kunishuClan!D:D,kunishuClan!B:B)&amp;"当主","")))</f>
      </c>
    </row>
    <row r="1341" ht="15.75" customHeight="1">
      <c r="A1341" s="4">
        <v>1027025</v>
      </c>
      <c r="B1341" s="12" t="str">
        <f t="array" ref="B1341">IF(A1341:A5383="","",_xlfn.XLOOKUP(A1341:A5383,'参照_武将'!A:A,'参照_武将'!B:B,"見つかりません"))</f>
      </c>
      <c r="C1341" s="4" t="s">
        <v>175</v>
      </c>
      <c r="D1341" s="4">
        <v>27</v>
      </c>
      <c r="E1341" s="12" t="str">
        <f t="array" ref="E1341">IF(D1341:D5383="","",IFERROR(_xlfn.XLOOKUP(D1341:D5383,'参照_勢力'!A:A,'参照_勢力'!B:B),IFERROR(_xlfn.XLOOKUP(F1341:F5383,kunishuClan!A:A,kunishuClan!B:B),"浪人")))</f>
      </c>
      <c r="F1341" s="4">
        <v>0</v>
      </c>
      <c r="G1341" s="4">
        <v>46</v>
      </c>
      <c r="H1341" s="12" t="str">
        <f t="array" ref="H1341">IF(G1341:G5383="","",_xlfn.XLOOKUP(G1341:G5383,castles_state!A:A,castles_state!D:D,"見つかりません"))</f>
      </c>
      <c r="I1341" s="4"/>
      <c r="J1341" s="12" t="str">
        <f t="array" ref="J1341">IF(I1341:I5383="","",_xlfn.XLOOKUP(I1341:I5383,'参照_姫'!A:A,'参照_姫'!B:B,"見つかりません"))</f>
      </c>
      <c r="K1341" s="4">
        <v>95</v>
      </c>
      <c r="L1341" s="4">
        <v>0</v>
      </c>
      <c r="M1341" s="4"/>
      <c r="N1341" s="4"/>
      <c r="O1341" s="4"/>
      <c r="P1341" s="12" t="str">
        <f t="array" ref="P1341">IF(O1341:O5383="","",_xlfn.XLOOKUP(O1341:O5383,'参照_官位'!A:A,'参照_官位'!B:B,""))</f>
      </c>
      <c r="Q1341" s="12" t="str">
        <f t="array" ref="Q1341">IF(A1341:A5383="","",IFERROR(_xlfn.XLOOKUP(A1341:A5383,castles_state!K:K,castles_state!D:D)&amp;"主",IFERROR(_xlfn.XLOOKUP(A1341:A5383,kunishuClan!D:D,kunishuClan!B:B)&amp;"当主","")))</f>
      </c>
    </row>
    <row r="1342" ht="15.75" customHeight="1">
      <c r="A1342" s="4">
        <v>1027026</v>
      </c>
      <c r="B1342" s="12" t="str">
        <f t="array" ref="B1342">IF(A1342:A5384="","",_xlfn.XLOOKUP(A1342:A5384,'参照_武将'!A:A,'参照_武将'!B:B,"見つかりません"))</f>
      </c>
      <c r="C1342" s="4" t="s">
        <v>175</v>
      </c>
      <c r="D1342" s="4">
        <v>27</v>
      </c>
      <c r="E1342" s="12" t="str">
        <f t="array" ref="E1342">IF(D1342:D5384="","",IFERROR(_xlfn.XLOOKUP(D1342:D5384,'参照_勢力'!A:A,'参照_勢力'!B:B),IFERROR(_xlfn.XLOOKUP(F1342:F5384,kunishuClan!A:A,kunishuClan!B:B),"浪人")))</f>
      </c>
      <c r="F1342" s="4">
        <v>0</v>
      </c>
      <c r="G1342" s="4">
        <v>46</v>
      </c>
      <c r="H1342" s="12" t="str">
        <f t="array" ref="H1342">IF(G1342:G5384="","",_xlfn.XLOOKUP(G1342:G5384,castles_state!A:A,castles_state!D:D,"見つかりません"))</f>
      </c>
      <c r="I1342" s="4"/>
      <c r="J1342" s="12" t="str">
        <f t="array" ref="J1342">IF(I1342:I5384="","",_xlfn.XLOOKUP(I1342:I5384,'参照_姫'!A:A,'参照_姫'!B:B,"見つかりません"))</f>
      </c>
      <c r="K1342" s="4">
        <v>95</v>
      </c>
      <c r="L1342" s="4">
        <v>0</v>
      </c>
      <c r="M1342" s="4"/>
      <c r="N1342" s="4"/>
      <c r="O1342" s="4"/>
      <c r="P1342" s="12" t="str">
        <f t="array" ref="P1342">IF(O1342:O5384="","",_xlfn.XLOOKUP(O1342:O5384,'参照_官位'!A:A,'参照_官位'!B:B,""))</f>
      </c>
      <c r="Q1342" s="12" t="str">
        <f t="array" ref="Q1342">IF(A1342:A5384="","",IFERROR(_xlfn.XLOOKUP(A1342:A5384,castles_state!K:K,castles_state!D:D)&amp;"主",IFERROR(_xlfn.XLOOKUP(A1342:A5384,kunishuClan!D:D,kunishuClan!B:B)&amp;"当主","")))</f>
      </c>
    </row>
    <row r="1343" ht="15.75" customHeight="1">
      <c r="A1343" s="4">
        <v>1027027</v>
      </c>
      <c r="B1343" s="12" t="str">
        <f t="array" ref="B1343">IF(A1343:A5385="","",_xlfn.XLOOKUP(A1343:A5385,'参照_武将'!A:A,'参照_武将'!B:B,"見つかりません"))</f>
      </c>
      <c r="C1343" s="4" t="s">
        <v>175</v>
      </c>
      <c r="D1343" s="4">
        <v>27</v>
      </c>
      <c r="E1343" s="12" t="str">
        <f t="array" ref="E1343">IF(D1343:D5385="","",IFERROR(_xlfn.XLOOKUP(D1343:D5385,'参照_勢力'!A:A,'参照_勢力'!B:B),IFERROR(_xlfn.XLOOKUP(F1343:F5385,kunishuClan!A:A,kunishuClan!B:B),"浪人")))</f>
      </c>
      <c r="F1343" s="4">
        <v>0</v>
      </c>
      <c r="G1343" s="4">
        <v>46</v>
      </c>
      <c r="H1343" s="12" t="str">
        <f t="array" ref="H1343">IF(G1343:G5385="","",_xlfn.XLOOKUP(G1343:G5385,castles_state!A:A,castles_state!D:D,"見つかりません"))</f>
      </c>
      <c r="I1343" s="4"/>
      <c r="J1343" s="12" t="str">
        <f t="array" ref="J1343">IF(I1343:I5385="","",_xlfn.XLOOKUP(I1343:I5385,'参照_姫'!A:A,'参照_姫'!B:B,"見つかりません"))</f>
      </c>
      <c r="K1343" s="4">
        <v>95</v>
      </c>
      <c r="L1343" s="4">
        <v>0</v>
      </c>
      <c r="M1343" s="4"/>
      <c r="N1343" s="4"/>
      <c r="O1343" s="4"/>
      <c r="P1343" s="12" t="str">
        <f t="array" ref="P1343">IF(O1343:O5385="","",_xlfn.XLOOKUP(O1343:O5385,'参照_官位'!A:A,'参照_官位'!B:B,""))</f>
      </c>
      <c r="Q1343" s="12" t="str">
        <f t="array" ref="Q1343">IF(A1343:A5385="","",IFERROR(_xlfn.XLOOKUP(A1343:A5385,castles_state!K:K,castles_state!D:D)&amp;"主",IFERROR(_xlfn.XLOOKUP(A1343:A5385,kunishuClan!D:D,kunishuClan!B:B)&amp;"当主","")))</f>
      </c>
    </row>
    <row r="1344" ht="15.75" customHeight="1">
      <c r="A1344" s="4">
        <v>1027028</v>
      </c>
      <c r="B1344" s="12" t="str">
        <f t="array" ref="B1344">IF(A1344:A5386="","",_xlfn.XLOOKUP(A1344:A5386,'参照_武将'!A:A,'参照_武将'!B:B,"見つかりません"))</f>
      </c>
      <c r="C1344" s="4" t="s">
        <v>175</v>
      </c>
      <c r="D1344" s="4">
        <v>27</v>
      </c>
      <c r="E1344" s="12" t="str">
        <f t="array" ref="E1344">IF(D1344:D5386="","",IFERROR(_xlfn.XLOOKUP(D1344:D5386,'参照_勢力'!A:A,'参照_勢力'!B:B),IFERROR(_xlfn.XLOOKUP(F1344:F5386,kunishuClan!A:A,kunishuClan!B:B),"浪人")))</f>
      </c>
      <c r="F1344" s="4">
        <v>0</v>
      </c>
      <c r="G1344" s="4">
        <v>46</v>
      </c>
      <c r="H1344" s="12" t="str">
        <f t="array" ref="H1344">IF(G1344:G5386="","",_xlfn.XLOOKUP(G1344:G5386,castles_state!A:A,castles_state!D:D,"見つかりません"))</f>
      </c>
      <c r="I1344" s="4"/>
      <c r="J1344" s="12" t="str">
        <f t="array" ref="J1344">IF(I1344:I5386="","",_xlfn.XLOOKUP(I1344:I5386,'参照_姫'!A:A,'参照_姫'!B:B,"見つかりません"))</f>
      </c>
      <c r="K1344" s="4">
        <v>95</v>
      </c>
      <c r="L1344" s="4">
        <v>0</v>
      </c>
      <c r="M1344" s="4"/>
      <c r="N1344" s="4"/>
      <c r="O1344" s="4"/>
      <c r="P1344" s="12" t="str">
        <f t="array" ref="P1344">IF(O1344:O5386="","",_xlfn.XLOOKUP(O1344:O5386,'参照_官位'!A:A,'参照_官位'!B:B,""))</f>
      </c>
      <c r="Q1344" s="12" t="str">
        <f t="array" ref="Q1344">IF(A1344:A5386="","",IFERROR(_xlfn.XLOOKUP(A1344:A5386,castles_state!K:K,castles_state!D:D)&amp;"主",IFERROR(_xlfn.XLOOKUP(A1344:A5386,kunishuClan!D:D,kunishuClan!B:B)&amp;"当主","")))</f>
      </c>
    </row>
    <row r="1345" ht="15.75" customHeight="1">
      <c r="A1345" s="4">
        <v>1027029</v>
      </c>
      <c r="B1345" s="12" t="str">
        <f t="array" ref="B1345">IF(A1345:A5387="","",_xlfn.XLOOKUP(A1345:A5387,'参照_武将'!A:A,'参照_武将'!B:B,"見つかりません"))</f>
      </c>
      <c r="C1345" s="4" t="s">
        <v>175</v>
      </c>
      <c r="D1345" s="4">
        <v>27</v>
      </c>
      <c r="E1345" s="12" t="str">
        <f t="array" ref="E1345">IF(D1345:D5387="","",IFERROR(_xlfn.XLOOKUP(D1345:D5387,'参照_勢力'!A:A,'参照_勢力'!B:B),IFERROR(_xlfn.XLOOKUP(F1345:F5387,kunishuClan!A:A,kunishuClan!B:B),"浪人")))</f>
      </c>
      <c r="F1345" s="4">
        <v>0</v>
      </c>
      <c r="G1345" s="4">
        <v>46</v>
      </c>
      <c r="H1345" s="12" t="str">
        <f t="array" ref="H1345">IF(G1345:G5387="","",_xlfn.XLOOKUP(G1345:G5387,castles_state!A:A,castles_state!D:D,"見つかりません"))</f>
      </c>
      <c r="I1345" s="4"/>
      <c r="J1345" s="12" t="str">
        <f t="array" ref="J1345">IF(I1345:I5387="","",_xlfn.XLOOKUP(I1345:I5387,'参照_姫'!A:A,'参照_姫'!B:B,"見つかりません"))</f>
      </c>
      <c r="K1345" s="4">
        <v>95</v>
      </c>
      <c r="L1345" s="4">
        <v>0</v>
      </c>
      <c r="M1345" s="4"/>
      <c r="N1345" s="4"/>
      <c r="O1345" s="4"/>
      <c r="P1345" s="12" t="str">
        <f t="array" ref="P1345">IF(O1345:O5387="","",_xlfn.XLOOKUP(O1345:O5387,'参照_官位'!A:A,'参照_官位'!B:B,""))</f>
      </c>
      <c r="Q1345" s="12" t="str">
        <f t="array" ref="Q1345">IF(A1345:A5387="","",IFERROR(_xlfn.XLOOKUP(A1345:A5387,castles_state!K:K,castles_state!D:D)&amp;"主",IFERROR(_xlfn.XLOOKUP(A1345:A5387,kunishuClan!D:D,kunishuClan!B:B)&amp;"当主","")))</f>
      </c>
    </row>
    <row r="1346" ht="15.75" customHeight="1">
      <c r="A1346" s="4">
        <v>1027030</v>
      </c>
      <c r="B1346" s="12" t="str">
        <f t="array" ref="B1346">IF(A1346:A5388="","",_xlfn.XLOOKUP(A1346:A5388,'参照_武将'!A:A,'参照_武将'!B:B,"見つかりません"))</f>
      </c>
      <c r="C1346" s="4" t="s">
        <v>175</v>
      </c>
      <c r="D1346" s="4">
        <v>27</v>
      </c>
      <c r="E1346" s="12" t="str">
        <f t="array" ref="E1346">IF(D1346:D5388="","",IFERROR(_xlfn.XLOOKUP(D1346:D5388,'参照_勢力'!A:A,'参照_勢力'!B:B),IFERROR(_xlfn.XLOOKUP(F1346:F5388,kunishuClan!A:A,kunishuClan!B:B),"浪人")))</f>
      </c>
      <c r="F1346" s="4">
        <v>0</v>
      </c>
      <c r="G1346" s="4">
        <v>46</v>
      </c>
      <c r="H1346" s="12" t="str">
        <f t="array" ref="H1346">IF(G1346:G5388="","",_xlfn.XLOOKUP(G1346:G5388,castles_state!A:A,castles_state!D:D,"見つかりません"))</f>
      </c>
      <c r="I1346" s="4"/>
      <c r="J1346" s="12" t="str">
        <f t="array" ref="J1346">IF(I1346:I5388="","",_xlfn.XLOOKUP(I1346:I5388,'参照_姫'!A:A,'参照_姫'!B:B,"見つかりません"))</f>
      </c>
      <c r="K1346" s="4">
        <v>95</v>
      </c>
      <c r="L1346" s="4">
        <v>0</v>
      </c>
      <c r="M1346" s="4"/>
      <c r="N1346" s="4"/>
      <c r="O1346" s="4"/>
      <c r="P1346" s="12" t="str">
        <f t="array" ref="P1346">IF(O1346:O5388="","",_xlfn.XLOOKUP(O1346:O5388,'参照_官位'!A:A,'参照_官位'!B:B,""))</f>
      </c>
      <c r="Q1346" s="12" t="str">
        <f t="array" ref="Q1346">IF(A1346:A5388="","",IFERROR(_xlfn.XLOOKUP(A1346:A5388,castles_state!K:K,castles_state!D:D)&amp;"主",IFERROR(_xlfn.XLOOKUP(A1346:A5388,kunishuClan!D:D,kunishuClan!B:B)&amp;"当主","")))</f>
      </c>
    </row>
    <row r="1347" ht="15.75" customHeight="1">
      <c r="A1347" s="4">
        <v>1028001</v>
      </c>
      <c r="B1347" s="12" t="str">
        <f t="array" ref="B1347">IF(A1347:A5389="","",_xlfn.XLOOKUP(A1347:A5389,'参照_武将'!A:A,'参照_武将'!B:B,"見つかりません"))</f>
      </c>
      <c r="C1347" s="4" t="s">
        <v>5942</v>
      </c>
      <c r="D1347" s="4">
        <v>28</v>
      </c>
      <c r="E1347" s="12" t="str">
        <f t="array" ref="E1347">IF(D1347:D5389="","",IFERROR(_xlfn.XLOOKUP(D1347:D5389,'参照_勢力'!A:A,'参照_勢力'!B:B),IFERROR(_xlfn.XLOOKUP(F1347:F5389,kunishuClan!A:A,kunishuClan!B:B),"浪人")))</f>
      </c>
      <c r="F1347" s="4">
        <v>0</v>
      </c>
      <c r="G1347" s="4">
        <v>32</v>
      </c>
      <c r="H1347" s="12" t="str">
        <f t="array" ref="H1347">IF(G1347:G5389="","",_xlfn.XLOOKUP(G1347:G5389,castles_state!A:A,castles_state!D:D,"見つかりません"))</f>
      </c>
      <c r="I1347" s="4"/>
      <c r="J1347" s="12" t="str">
        <f t="array" ref="J1347">IF(I1347:I5389="","",_xlfn.XLOOKUP(I1347:I5389,'参照_姫'!A:A,'参照_姫'!B:B,"見つかりません"))</f>
      </c>
      <c r="K1347" s="4">
        <v>95</v>
      </c>
      <c r="L1347" s="4">
        <v>0</v>
      </c>
      <c r="M1347" s="4"/>
      <c r="N1347" s="4"/>
      <c r="O1347" s="4"/>
      <c r="P1347" s="12" t="str">
        <f t="array" ref="P1347">IF(O1347:O5389="","",_xlfn.XLOOKUP(O1347:O5389,'参照_官位'!A:A,'参照_官位'!B:B,""))</f>
      </c>
      <c r="Q1347" s="12" t="str">
        <f t="array" ref="Q1347">IF(A1347:A5389="","",IFERROR(_xlfn.XLOOKUP(A1347:A5389,castles_state!K:K,castles_state!D:D)&amp;"主",IFERROR(_xlfn.XLOOKUP(A1347:A5389,kunishuClan!D:D,kunishuClan!B:B)&amp;"当主","")))</f>
      </c>
    </row>
    <row r="1348" ht="15.75" customHeight="1">
      <c r="A1348" s="4">
        <v>1028002</v>
      </c>
      <c r="B1348" s="12" t="str">
        <f t="array" ref="B1348">IF(A1348:A5390="","",_xlfn.XLOOKUP(A1348:A5390,'参照_武将'!A:A,'参照_武将'!B:B,"見つかりません"))</f>
      </c>
      <c r="C1348" s="4" t="s">
        <v>5942</v>
      </c>
      <c r="D1348" s="4">
        <v>28</v>
      </c>
      <c r="E1348" s="12" t="str">
        <f t="array" ref="E1348">IF(D1348:D5390="","",IFERROR(_xlfn.XLOOKUP(D1348:D5390,'参照_勢力'!A:A,'参照_勢力'!B:B),IFERROR(_xlfn.XLOOKUP(F1348:F5390,kunishuClan!A:A,kunishuClan!B:B),"浪人")))</f>
      </c>
      <c r="F1348" s="4">
        <v>0</v>
      </c>
      <c r="G1348" s="4">
        <v>32</v>
      </c>
      <c r="H1348" s="12" t="str">
        <f t="array" ref="H1348">IF(G1348:G5390="","",_xlfn.XLOOKUP(G1348:G5390,castles_state!A:A,castles_state!D:D,"見つかりません"))</f>
      </c>
      <c r="I1348" s="4"/>
      <c r="J1348" s="12" t="str">
        <f t="array" ref="J1348">IF(I1348:I5390="","",_xlfn.XLOOKUP(I1348:I5390,'参照_姫'!A:A,'参照_姫'!B:B,"見つかりません"))</f>
      </c>
      <c r="K1348" s="4">
        <v>95</v>
      </c>
      <c r="L1348" s="4">
        <v>0</v>
      </c>
      <c r="M1348" s="4"/>
      <c r="N1348" s="4"/>
      <c r="O1348" s="4"/>
      <c r="P1348" s="12" t="str">
        <f t="array" ref="P1348">IF(O1348:O5390="","",_xlfn.XLOOKUP(O1348:O5390,'参照_官位'!A:A,'参照_官位'!B:B,""))</f>
      </c>
      <c r="Q1348" s="12" t="str">
        <f t="array" ref="Q1348">IF(A1348:A5390="","",IFERROR(_xlfn.XLOOKUP(A1348:A5390,castles_state!K:K,castles_state!D:D)&amp;"主",IFERROR(_xlfn.XLOOKUP(A1348:A5390,kunishuClan!D:D,kunishuClan!B:B)&amp;"当主","")))</f>
      </c>
    </row>
    <row r="1349" ht="15.75" customHeight="1">
      <c r="A1349" s="4">
        <v>1028003</v>
      </c>
      <c r="B1349" s="12" t="str">
        <f t="array" ref="B1349">IF(A1349:A5391="","",_xlfn.XLOOKUP(A1349:A5391,'参照_武将'!A:A,'参照_武将'!B:B,"見つかりません"))</f>
      </c>
      <c r="C1349" s="4" t="s">
        <v>5942</v>
      </c>
      <c r="D1349" s="4">
        <v>28</v>
      </c>
      <c r="E1349" s="12" t="str">
        <f t="array" ref="E1349">IF(D1349:D5391="","",IFERROR(_xlfn.XLOOKUP(D1349:D5391,'参照_勢力'!A:A,'参照_勢力'!B:B),IFERROR(_xlfn.XLOOKUP(F1349:F5391,kunishuClan!A:A,kunishuClan!B:B),"浪人")))</f>
      </c>
      <c r="F1349" s="4">
        <v>0</v>
      </c>
      <c r="G1349" s="4">
        <v>32</v>
      </c>
      <c r="H1349" s="12" t="str">
        <f t="array" ref="H1349">IF(G1349:G5391="","",_xlfn.XLOOKUP(G1349:G5391,castles_state!A:A,castles_state!D:D,"見つかりません"))</f>
      </c>
      <c r="I1349" s="4"/>
      <c r="J1349" s="12" t="str">
        <f t="array" ref="J1349">IF(I1349:I5391="","",_xlfn.XLOOKUP(I1349:I5391,'参照_姫'!A:A,'参照_姫'!B:B,"見つかりません"))</f>
      </c>
      <c r="K1349" s="4">
        <v>95</v>
      </c>
      <c r="L1349" s="4">
        <v>500</v>
      </c>
      <c r="M1349" s="9"/>
      <c r="N1349" s="4"/>
      <c r="O1349" s="4"/>
      <c r="P1349" s="12" t="str">
        <f t="array" ref="P1349">IF(O1349:O5391="","",_xlfn.XLOOKUP(O1349:O5391,'参照_官位'!A:A,'参照_官位'!B:B,""))</f>
      </c>
      <c r="Q1349" s="12" t="str">
        <f t="array" ref="Q1349">IF(A1349:A5391="","",IFERROR(_xlfn.XLOOKUP(A1349:A5391,castles_state!K:K,castles_state!D:D)&amp;"主",IFERROR(_xlfn.XLOOKUP(A1349:A5391,kunishuClan!D:D,kunishuClan!B:B)&amp;"当主","")))</f>
      </c>
    </row>
    <row r="1350" ht="15.75" customHeight="1">
      <c r="A1350" s="4">
        <v>1028004</v>
      </c>
      <c r="B1350" s="12" t="str">
        <f t="array" ref="B1350">IF(A1350:A5392="","",_xlfn.XLOOKUP(A1350:A5392,'参照_武将'!A:A,'参照_武将'!B:B,"見つかりません"))</f>
      </c>
      <c r="C1350" s="4" t="s">
        <v>5942</v>
      </c>
      <c r="D1350" s="4">
        <v>28</v>
      </c>
      <c r="E1350" s="12" t="str">
        <f t="array" ref="E1350">IF(D1350:D5392="","",IFERROR(_xlfn.XLOOKUP(D1350:D5392,'参照_勢力'!A:A,'参照_勢力'!B:B),IFERROR(_xlfn.XLOOKUP(F1350:F5392,kunishuClan!A:A,kunishuClan!B:B),"浪人")))</f>
      </c>
      <c r="F1350" s="4">
        <v>0</v>
      </c>
      <c r="G1350" s="4">
        <v>32</v>
      </c>
      <c r="H1350" s="12" t="str">
        <f t="array" ref="H1350">IF(G1350:G5392="","",_xlfn.XLOOKUP(G1350:G5392,castles_state!A:A,castles_state!D:D,"見つかりません"))</f>
      </c>
      <c r="I1350" s="4"/>
      <c r="J1350" s="12" t="str">
        <f t="array" ref="J1350">IF(I1350:I5392="","",_xlfn.XLOOKUP(I1350:I5392,'参照_姫'!A:A,'参照_姫'!B:B,"見つかりません"))</f>
      </c>
      <c r="K1350" s="4">
        <v>95</v>
      </c>
      <c r="L1350" s="4">
        <v>0</v>
      </c>
      <c r="M1350" s="4"/>
      <c r="N1350" s="4"/>
      <c r="O1350" s="4"/>
      <c r="P1350" s="12" t="str">
        <f t="array" ref="P1350">IF(O1350:O5392="","",_xlfn.XLOOKUP(O1350:O5392,'参照_官位'!A:A,'参照_官位'!B:B,""))</f>
      </c>
      <c r="Q1350" s="12" t="str">
        <f t="array" ref="Q1350">IF(A1350:A5392="","",IFERROR(_xlfn.XLOOKUP(A1350:A5392,castles_state!K:K,castles_state!D:D)&amp;"主",IFERROR(_xlfn.XLOOKUP(A1350:A5392,kunishuClan!D:D,kunishuClan!B:B)&amp;"当主","")))</f>
      </c>
    </row>
    <row r="1351" ht="15.75" customHeight="1">
      <c r="A1351" s="4">
        <v>1028005</v>
      </c>
      <c r="B1351" s="12" t="str">
        <f t="array" ref="B1351">IF(A1351:A5393="","",_xlfn.XLOOKUP(A1351:A5393,'参照_武将'!A:A,'参照_武将'!B:B,"見つかりません"))</f>
      </c>
      <c r="C1351" s="4" t="s">
        <v>5942</v>
      </c>
      <c r="D1351" s="4">
        <v>28</v>
      </c>
      <c r="E1351" s="12" t="str">
        <f t="array" ref="E1351">IF(D1351:D5393="","",IFERROR(_xlfn.XLOOKUP(D1351:D5393,'参照_勢力'!A:A,'参照_勢力'!B:B),IFERROR(_xlfn.XLOOKUP(F1351:F5393,kunishuClan!A:A,kunishuClan!B:B),"浪人")))</f>
      </c>
      <c r="F1351" s="4">
        <v>0</v>
      </c>
      <c r="G1351" s="4">
        <v>32</v>
      </c>
      <c r="H1351" s="12" t="str">
        <f t="array" ref="H1351">IF(G1351:G5393="","",_xlfn.XLOOKUP(G1351:G5393,castles_state!A:A,castles_state!D:D,"見つかりません"))</f>
      </c>
      <c r="I1351" s="4"/>
      <c r="J1351" s="12" t="str">
        <f t="array" ref="J1351">IF(I1351:I5393="","",_xlfn.XLOOKUP(I1351:I5393,'参照_姫'!A:A,'参照_姫'!B:B,"見つかりません"))</f>
      </c>
      <c r="K1351" s="4">
        <v>95</v>
      </c>
      <c r="L1351" s="4">
        <v>0</v>
      </c>
      <c r="M1351" s="4"/>
      <c r="N1351" s="4"/>
      <c r="O1351" s="4"/>
      <c r="P1351" s="12" t="str">
        <f t="array" ref="P1351">IF(O1351:O5393="","",_xlfn.XLOOKUP(O1351:O5393,'参照_官位'!A:A,'参照_官位'!B:B,""))</f>
      </c>
      <c r="Q1351" s="12" t="str">
        <f t="array" ref="Q1351">IF(A1351:A5393="","",IFERROR(_xlfn.XLOOKUP(A1351:A5393,castles_state!K:K,castles_state!D:D)&amp;"主",IFERROR(_xlfn.XLOOKUP(A1351:A5393,kunishuClan!D:D,kunishuClan!B:B)&amp;"当主","")))</f>
      </c>
    </row>
    <row r="1352" ht="15.75" customHeight="1">
      <c r="A1352" s="4">
        <v>1028006</v>
      </c>
      <c r="B1352" s="12" t="str">
        <f t="array" ref="B1352">IF(A1352:A5394="","",_xlfn.XLOOKUP(A1352:A5394,'参照_武将'!A:A,'参照_武将'!B:B,"見つかりません"))</f>
      </c>
      <c r="C1352" s="4" t="s">
        <v>5942</v>
      </c>
      <c r="D1352" s="4">
        <v>28</v>
      </c>
      <c r="E1352" s="12" t="str">
        <f t="array" ref="E1352">IF(D1352:D5394="","",IFERROR(_xlfn.XLOOKUP(D1352:D5394,'参照_勢力'!A:A,'参照_勢力'!B:B),IFERROR(_xlfn.XLOOKUP(F1352:F5394,kunishuClan!A:A,kunishuClan!B:B),"浪人")))</f>
      </c>
      <c r="F1352" s="4">
        <v>0</v>
      </c>
      <c r="G1352" s="4">
        <v>32</v>
      </c>
      <c r="H1352" s="12" t="str">
        <f t="array" ref="H1352">IF(G1352:G5394="","",_xlfn.XLOOKUP(G1352:G5394,castles_state!A:A,castles_state!D:D,"見つかりません"))</f>
      </c>
      <c r="I1352" s="4"/>
      <c r="J1352" s="12" t="str">
        <f t="array" ref="J1352">IF(I1352:I5394="","",_xlfn.XLOOKUP(I1352:I5394,'参照_姫'!A:A,'参照_姫'!B:B,"見つかりません"))</f>
      </c>
      <c r="K1352" s="4">
        <v>95</v>
      </c>
      <c r="L1352" s="4">
        <v>0</v>
      </c>
      <c r="M1352" s="4"/>
      <c r="N1352" s="4"/>
      <c r="O1352" s="4"/>
      <c r="P1352" s="12" t="str">
        <f t="array" ref="P1352">IF(O1352:O5394="","",_xlfn.XLOOKUP(O1352:O5394,'参照_官位'!A:A,'参照_官位'!B:B,""))</f>
      </c>
      <c r="Q1352" s="12" t="str">
        <f t="array" ref="Q1352">IF(A1352:A5394="","",IFERROR(_xlfn.XLOOKUP(A1352:A5394,castles_state!K:K,castles_state!D:D)&amp;"主",IFERROR(_xlfn.XLOOKUP(A1352:A5394,kunishuClan!D:D,kunishuClan!B:B)&amp;"当主","")))</f>
      </c>
    </row>
    <row r="1353" ht="15.75" customHeight="1">
      <c r="A1353" s="4">
        <v>1028007</v>
      </c>
      <c r="B1353" s="12" t="str">
        <f t="array" ref="B1353">IF(A1353:A5395="","",_xlfn.XLOOKUP(A1353:A5395,'参照_武将'!A:A,'参照_武将'!B:B,"見つかりません"))</f>
      </c>
      <c r="C1353" s="4" t="s">
        <v>5942</v>
      </c>
      <c r="D1353" s="4">
        <v>28</v>
      </c>
      <c r="E1353" s="12" t="str">
        <f t="array" ref="E1353">IF(D1353:D5395="","",IFERROR(_xlfn.XLOOKUP(D1353:D5395,'参照_勢力'!A:A,'参照_勢力'!B:B),IFERROR(_xlfn.XLOOKUP(F1353:F5395,kunishuClan!A:A,kunishuClan!B:B),"浪人")))</f>
      </c>
      <c r="F1353" s="4">
        <v>0</v>
      </c>
      <c r="G1353" s="4">
        <v>32</v>
      </c>
      <c r="H1353" s="12" t="str">
        <f t="array" ref="H1353">IF(G1353:G5395="","",_xlfn.XLOOKUP(G1353:G5395,castles_state!A:A,castles_state!D:D,"見つかりません"))</f>
      </c>
      <c r="I1353" s="4"/>
      <c r="J1353" s="12" t="str">
        <f t="array" ref="J1353">IF(I1353:I5395="","",_xlfn.XLOOKUP(I1353:I5395,'参照_姫'!A:A,'参照_姫'!B:B,"見つかりません"))</f>
      </c>
      <c r="K1353" s="4">
        <v>100</v>
      </c>
      <c r="L1353" s="4">
        <v>1500</v>
      </c>
      <c r="M1353" s="4"/>
      <c r="N1353" s="4"/>
      <c r="O1353" s="4">
        <v>149</v>
      </c>
      <c r="P1353" s="12" t="str">
        <f t="array" ref="P1353">IF(O1353:O5395="","",_xlfn.XLOOKUP(O1353:O5395,'参照_官位'!A:A,'参照_官位'!B:B,""))</f>
      </c>
      <c r="Q1353" s="12" t="str">
        <f t="array" ref="Q1353">IF(A1353:A5395="","",IFERROR(_xlfn.XLOOKUP(A1353:A5395,castles_state!K:K,castles_state!D:D)&amp;"主",IFERROR(_xlfn.XLOOKUP(A1353:A5395,kunishuClan!D:D,kunishuClan!B:B)&amp;"当主","")))</f>
      </c>
    </row>
    <row r="1354" ht="15.75" customHeight="1">
      <c r="A1354" s="4">
        <v>1028008</v>
      </c>
      <c r="B1354" s="12" t="str">
        <f t="array" ref="B1354">IF(A1354:A5396="","",_xlfn.XLOOKUP(A1354:A5396,'参照_武将'!A:A,'参照_武将'!B:B,"見つかりません"))</f>
      </c>
      <c r="C1354" s="4" t="s">
        <v>5942</v>
      </c>
      <c r="D1354" s="4">
        <v>28</v>
      </c>
      <c r="E1354" s="12" t="str">
        <f t="array" ref="E1354">IF(D1354:D5396="","",IFERROR(_xlfn.XLOOKUP(D1354:D5396,'参照_勢力'!A:A,'参照_勢力'!B:B),IFERROR(_xlfn.XLOOKUP(F1354:F5396,kunishuClan!A:A,kunishuClan!B:B),"浪人")))</f>
      </c>
      <c r="F1354" s="4">
        <v>0</v>
      </c>
      <c r="G1354" s="4">
        <v>32</v>
      </c>
      <c r="H1354" s="12" t="str">
        <f t="array" ref="H1354">IF(G1354:G5396="","",_xlfn.XLOOKUP(G1354:G5396,castles_state!A:A,castles_state!D:D,"見つかりません"))</f>
      </c>
      <c r="I1354" s="4"/>
      <c r="J1354" s="12" t="str">
        <f t="array" ref="J1354">IF(I1354:I5396="","",_xlfn.XLOOKUP(I1354:I5396,'参照_姫'!A:A,'参照_姫'!B:B,"見つかりません"))</f>
      </c>
      <c r="K1354" s="4">
        <v>95</v>
      </c>
      <c r="L1354" s="4">
        <v>500</v>
      </c>
      <c r="M1354" s="4"/>
      <c r="N1354" s="4"/>
      <c r="O1354" s="4"/>
      <c r="P1354" s="12" t="str">
        <f t="array" ref="P1354">IF(O1354:O5396="","",_xlfn.XLOOKUP(O1354:O5396,'参照_官位'!A:A,'参照_官位'!B:B,""))</f>
      </c>
      <c r="Q1354" s="12" t="str">
        <f t="array" ref="Q1354">IF(A1354:A5396="","",IFERROR(_xlfn.XLOOKUP(A1354:A5396,castles_state!K:K,castles_state!D:D)&amp;"主",IFERROR(_xlfn.XLOOKUP(A1354:A5396,kunishuClan!D:D,kunishuClan!B:B)&amp;"当主","")))</f>
      </c>
    </row>
    <row r="1355" ht="15.75" customHeight="1">
      <c r="A1355" s="4">
        <v>1028009</v>
      </c>
      <c r="B1355" s="12" t="str">
        <f t="array" ref="B1355">IF(A1355:A5397="","",_xlfn.XLOOKUP(A1355:A5397,'参照_武将'!A:A,'参照_武将'!B:B,"見つかりません"))</f>
      </c>
      <c r="C1355" s="4" t="s">
        <v>5942</v>
      </c>
      <c r="D1355" s="4">
        <v>28</v>
      </c>
      <c r="E1355" s="12" t="str">
        <f t="array" ref="E1355">IF(D1355:D5397="","",IFERROR(_xlfn.XLOOKUP(D1355:D5397,'参照_勢力'!A:A,'参照_勢力'!B:B),IFERROR(_xlfn.XLOOKUP(F1355:F5397,kunishuClan!A:A,kunishuClan!B:B),"浪人")))</f>
      </c>
      <c r="F1355" s="4">
        <v>0</v>
      </c>
      <c r="G1355" s="4">
        <v>237</v>
      </c>
      <c r="H1355" s="12" t="str">
        <f t="array" ref="H1355">IF(G1355:G5397="","",_xlfn.XLOOKUP(G1355:G5397,castles_state!A:A,castles_state!D:D,"見つかりません"))</f>
      </c>
      <c r="I1355" s="4"/>
      <c r="J1355" s="12" t="str">
        <f t="array" ref="J1355">IF(I1355:I5397="","",_xlfn.XLOOKUP(I1355:I5397,'参照_姫'!A:A,'参照_姫'!B:B,"見つかりません"))</f>
      </c>
      <c r="K1355" s="4">
        <v>95</v>
      </c>
      <c r="L1355" s="4">
        <v>0</v>
      </c>
      <c r="M1355" s="4"/>
      <c r="N1355" s="4"/>
      <c r="O1355" s="4"/>
      <c r="P1355" s="12" t="str">
        <f t="array" ref="P1355">IF(O1355:O5397="","",_xlfn.XLOOKUP(O1355:O5397,'参照_官位'!A:A,'参照_官位'!B:B,""))</f>
      </c>
      <c r="Q1355" s="12" t="str">
        <f t="array" ref="Q1355">IF(A1355:A5397="","",IFERROR(_xlfn.XLOOKUP(A1355:A5397,castles_state!K:K,castles_state!D:D)&amp;"主",IFERROR(_xlfn.XLOOKUP(A1355:A5397,kunishuClan!D:D,kunishuClan!B:B)&amp;"当主","")))</f>
      </c>
    </row>
    <row r="1356" ht="15.75" customHeight="1">
      <c r="A1356" s="4">
        <v>1028010</v>
      </c>
      <c r="B1356" s="12" t="str">
        <f t="array" ref="B1356">IF(A1356:A5398="","",_xlfn.XLOOKUP(A1356:A5398,'参照_武将'!A:A,'参照_武将'!B:B,"見つかりません"))</f>
      </c>
      <c r="C1356" s="4" t="s">
        <v>5942</v>
      </c>
      <c r="D1356" s="4">
        <v>28</v>
      </c>
      <c r="E1356" s="12" t="str">
        <f t="array" ref="E1356">IF(D1356:D5398="","",IFERROR(_xlfn.XLOOKUP(D1356:D5398,'参照_勢力'!A:A,'参照_勢力'!B:B),IFERROR(_xlfn.XLOOKUP(F1356:F5398,kunishuClan!A:A,kunishuClan!B:B),"浪人")))</f>
      </c>
      <c r="F1356" s="4">
        <v>0</v>
      </c>
      <c r="G1356" s="4">
        <v>32</v>
      </c>
      <c r="H1356" s="12" t="str">
        <f t="array" ref="H1356">IF(G1356:G5398="","",_xlfn.XLOOKUP(G1356:G5398,castles_state!A:A,castles_state!D:D,"見つかりません"))</f>
      </c>
      <c r="I1356" s="4"/>
      <c r="J1356" s="12" t="str">
        <f t="array" ref="J1356">IF(I1356:I5398="","",_xlfn.XLOOKUP(I1356:I5398,'参照_姫'!A:A,'参照_姫'!B:B,"見つかりません"))</f>
      </c>
      <c r="K1356" s="4">
        <v>95</v>
      </c>
      <c r="L1356" s="4">
        <v>0</v>
      </c>
      <c r="M1356" s="4"/>
      <c r="N1356" s="4"/>
      <c r="O1356" s="4"/>
      <c r="P1356" s="12" t="str">
        <f t="array" ref="P1356">IF(O1356:O5398="","",_xlfn.XLOOKUP(O1356:O5398,'参照_官位'!A:A,'参照_官位'!B:B,""))</f>
      </c>
      <c r="Q1356" s="12" t="str">
        <f t="array" ref="Q1356">IF(A1356:A5398="","",IFERROR(_xlfn.XLOOKUP(A1356:A5398,castles_state!K:K,castles_state!D:D)&amp;"主",IFERROR(_xlfn.XLOOKUP(A1356:A5398,kunishuClan!D:D,kunishuClan!B:B)&amp;"当主","")))</f>
      </c>
    </row>
    <row r="1357" ht="15.75" customHeight="1">
      <c r="A1357" s="4">
        <v>1028011</v>
      </c>
      <c r="B1357" s="12" t="str">
        <f t="array" ref="B1357">IF(A1357:A5399="","",_xlfn.XLOOKUP(A1357:A5399,'参照_武将'!A:A,'参照_武将'!B:B,"見つかりません"))</f>
      </c>
      <c r="C1357" s="4" t="s">
        <v>5942</v>
      </c>
      <c r="D1357" s="4">
        <v>28</v>
      </c>
      <c r="E1357" s="12" t="str">
        <f t="array" ref="E1357">IF(D1357:D5399="","",IFERROR(_xlfn.XLOOKUP(D1357:D5399,'参照_勢力'!A:A,'参照_勢力'!B:B),IFERROR(_xlfn.XLOOKUP(F1357:F5399,kunishuClan!A:A,kunishuClan!B:B),"浪人")))</f>
      </c>
      <c r="F1357" s="4">
        <v>0</v>
      </c>
      <c r="G1357" s="4">
        <v>32</v>
      </c>
      <c r="H1357" s="12" t="str">
        <f t="array" ref="H1357">IF(G1357:G5399="","",_xlfn.XLOOKUP(G1357:G5399,castles_state!A:A,castles_state!D:D,"見つかりません"))</f>
      </c>
      <c r="I1357" s="4"/>
      <c r="J1357" s="12" t="str">
        <f t="array" ref="J1357">IF(I1357:I5399="","",_xlfn.XLOOKUP(I1357:I5399,'参照_姫'!A:A,'参照_姫'!B:B,"見つかりません"))</f>
      </c>
      <c r="K1357" s="4">
        <v>95</v>
      </c>
      <c r="L1357" s="4">
        <v>0</v>
      </c>
      <c r="M1357" s="4"/>
      <c r="N1357" s="4"/>
      <c r="O1357" s="4"/>
      <c r="P1357" s="12" t="str">
        <f t="array" ref="P1357">IF(O1357:O5399="","",_xlfn.XLOOKUP(O1357:O5399,'参照_官位'!A:A,'参照_官位'!B:B,""))</f>
      </c>
      <c r="Q1357" s="12" t="str">
        <f t="array" ref="Q1357">IF(A1357:A5399="","",IFERROR(_xlfn.XLOOKUP(A1357:A5399,castles_state!K:K,castles_state!D:D)&amp;"主",IFERROR(_xlfn.XLOOKUP(A1357:A5399,kunishuClan!D:D,kunishuClan!B:B)&amp;"当主","")))</f>
      </c>
    </row>
    <row r="1358" ht="15.75" customHeight="1">
      <c r="A1358" s="4">
        <v>1028012</v>
      </c>
      <c r="B1358" s="12" t="str">
        <f t="array" ref="B1358">IF(A1358:A5400="","",_xlfn.XLOOKUP(A1358:A5400,'参照_武将'!A:A,'参照_武将'!B:B,"見つかりません"))</f>
      </c>
      <c r="C1358" s="4" t="s">
        <v>5942</v>
      </c>
      <c r="D1358" s="4">
        <v>28</v>
      </c>
      <c r="E1358" s="12" t="str">
        <f t="array" ref="E1358">IF(D1358:D5400="","",IFERROR(_xlfn.XLOOKUP(D1358:D5400,'参照_勢力'!A:A,'参照_勢力'!B:B),IFERROR(_xlfn.XLOOKUP(F1358:F5400,kunishuClan!A:A,kunishuClan!B:B),"浪人")))</f>
      </c>
      <c r="F1358" s="4">
        <v>0</v>
      </c>
      <c r="G1358" s="4">
        <v>32</v>
      </c>
      <c r="H1358" s="12" t="str">
        <f t="array" ref="H1358">IF(G1358:G5400="","",_xlfn.XLOOKUP(G1358:G5400,castles_state!A:A,castles_state!D:D,"見つかりません"))</f>
      </c>
      <c r="I1358" s="4"/>
      <c r="J1358" s="12" t="str">
        <f t="array" ref="J1358">IF(I1358:I5400="","",_xlfn.XLOOKUP(I1358:I5400,'参照_姫'!A:A,'参照_姫'!B:B,"見つかりません"))</f>
      </c>
      <c r="K1358" s="4">
        <v>95</v>
      </c>
      <c r="L1358" s="4">
        <v>0</v>
      </c>
      <c r="M1358" s="4"/>
      <c r="N1358" s="4"/>
      <c r="O1358" s="4"/>
      <c r="P1358" s="12" t="str">
        <f t="array" ref="P1358">IF(O1358:O5400="","",_xlfn.XLOOKUP(O1358:O5400,'参照_官位'!A:A,'参照_官位'!B:B,""))</f>
      </c>
      <c r="Q1358" s="12" t="str">
        <f t="array" ref="Q1358">IF(A1358:A5400="","",IFERROR(_xlfn.XLOOKUP(A1358:A5400,castles_state!K:K,castles_state!D:D)&amp;"主",IFERROR(_xlfn.XLOOKUP(A1358:A5400,kunishuClan!D:D,kunishuClan!B:B)&amp;"当主","")))</f>
      </c>
    </row>
    <row r="1359" ht="15.75" customHeight="1">
      <c r="A1359" s="4">
        <v>1028013</v>
      </c>
      <c r="B1359" s="12" t="str">
        <f t="array" ref="B1359">IF(A1359:A5401="","",_xlfn.XLOOKUP(A1359:A5401,'参照_武将'!A:A,'参照_武将'!B:B,"見つかりません"))</f>
      </c>
      <c r="C1359" s="4" t="s">
        <v>5942</v>
      </c>
      <c r="D1359" s="4">
        <v>28</v>
      </c>
      <c r="E1359" s="12" t="str">
        <f t="array" ref="E1359">IF(D1359:D5401="","",IFERROR(_xlfn.XLOOKUP(D1359:D5401,'参照_勢力'!A:A,'参照_勢力'!B:B),IFERROR(_xlfn.XLOOKUP(F1359:F5401,kunishuClan!A:A,kunishuClan!B:B),"浪人")))</f>
      </c>
      <c r="F1359" s="4">
        <v>0</v>
      </c>
      <c r="G1359" s="4">
        <v>237</v>
      </c>
      <c r="H1359" s="12" t="str">
        <f t="array" ref="H1359">IF(G1359:G5401="","",_xlfn.XLOOKUP(G1359:G5401,castles_state!A:A,castles_state!D:D,"見つかりません"))</f>
      </c>
      <c r="I1359" s="4"/>
      <c r="J1359" s="12" t="str">
        <f t="array" ref="J1359">IF(I1359:I5401="","",_xlfn.XLOOKUP(I1359:I5401,'参照_姫'!A:A,'参照_姫'!B:B,"見つかりません"))</f>
      </c>
      <c r="K1359" s="4">
        <v>95</v>
      </c>
      <c r="L1359" s="4">
        <v>0</v>
      </c>
      <c r="M1359" s="4"/>
      <c r="N1359" s="4"/>
      <c r="O1359" s="4"/>
      <c r="P1359" s="12" t="str">
        <f t="array" ref="P1359">IF(O1359:O5401="","",_xlfn.XLOOKUP(O1359:O5401,'参照_官位'!A:A,'参照_官位'!B:B,""))</f>
      </c>
      <c r="Q1359" s="12" t="str">
        <f t="array" ref="Q1359">IF(A1359:A5401="","",IFERROR(_xlfn.XLOOKUP(A1359:A5401,castles_state!K:K,castles_state!D:D)&amp;"主",IFERROR(_xlfn.XLOOKUP(A1359:A5401,kunishuClan!D:D,kunishuClan!B:B)&amp;"当主","")))</f>
      </c>
    </row>
    <row r="1360" ht="15.75" customHeight="1">
      <c r="A1360" s="4">
        <v>1028014</v>
      </c>
      <c r="B1360" s="12" t="str">
        <f t="array" ref="B1360">IF(A1360:A5402="","",_xlfn.XLOOKUP(A1360:A5402,'参照_武将'!A:A,'参照_武将'!B:B,"見つかりません"))</f>
      </c>
      <c r="C1360" s="4" t="s">
        <v>5942</v>
      </c>
      <c r="D1360" s="4">
        <v>28</v>
      </c>
      <c r="E1360" s="12" t="str">
        <f t="array" ref="E1360">IF(D1360:D5402="","",IFERROR(_xlfn.XLOOKUP(D1360:D5402,'参照_勢力'!A:A,'参照_勢力'!B:B),IFERROR(_xlfn.XLOOKUP(F1360:F5402,kunishuClan!A:A,kunishuClan!B:B),"浪人")))</f>
      </c>
      <c r="F1360" s="4">
        <v>0</v>
      </c>
      <c r="G1360" s="4">
        <v>237</v>
      </c>
      <c r="H1360" s="12" t="str">
        <f t="array" ref="H1360">IF(G1360:G5402="","",_xlfn.XLOOKUP(G1360:G5402,castles_state!A:A,castles_state!D:D,"見つかりません"))</f>
      </c>
      <c r="I1360" s="4"/>
      <c r="J1360" s="12" t="str">
        <f t="array" ref="J1360">IF(I1360:I5402="","",_xlfn.XLOOKUP(I1360:I5402,'参照_姫'!A:A,'参照_姫'!B:B,"見つかりません"))</f>
      </c>
      <c r="K1360" s="4">
        <v>95</v>
      </c>
      <c r="L1360" s="4">
        <v>200</v>
      </c>
      <c r="M1360" s="4"/>
      <c r="N1360" s="4"/>
      <c r="O1360" s="4"/>
      <c r="P1360" s="12" t="str">
        <f t="array" ref="P1360">IF(O1360:O5402="","",_xlfn.XLOOKUP(O1360:O5402,'参照_官位'!A:A,'参照_官位'!B:B,""))</f>
      </c>
      <c r="Q1360" s="12" t="str">
        <f t="array" ref="Q1360">IF(A1360:A5402="","",IFERROR(_xlfn.XLOOKUP(A1360:A5402,castles_state!K:K,castles_state!D:D)&amp;"主",IFERROR(_xlfn.XLOOKUP(A1360:A5402,kunishuClan!D:D,kunishuClan!B:B)&amp;"当主","")))</f>
      </c>
    </row>
    <row r="1361" ht="15.75" customHeight="1">
      <c r="A1361" s="4">
        <v>1028015</v>
      </c>
      <c r="B1361" s="12" t="str">
        <f t="array" ref="B1361">IF(A1361:A5403="","",_xlfn.XLOOKUP(A1361:A5403,'参照_武将'!A:A,'参照_武将'!B:B,"見つかりません"))</f>
      </c>
      <c r="C1361" s="4" t="s">
        <v>5942</v>
      </c>
      <c r="D1361" s="4">
        <v>28</v>
      </c>
      <c r="E1361" s="12" t="str">
        <f t="array" ref="E1361">IF(D1361:D5403="","",IFERROR(_xlfn.XLOOKUP(D1361:D5403,'参照_勢力'!A:A,'参照_勢力'!B:B),IFERROR(_xlfn.XLOOKUP(F1361:F5403,kunishuClan!A:A,kunishuClan!B:B),"浪人")))</f>
      </c>
      <c r="F1361" s="4">
        <v>0</v>
      </c>
      <c r="G1361" s="4">
        <v>32</v>
      </c>
      <c r="H1361" s="12" t="str">
        <f t="array" ref="H1361">IF(G1361:G5403="","",_xlfn.XLOOKUP(G1361:G5403,castles_state!A:A,castles_state!D:D,"見つかりません"))</f>
      </c>
      <c r="I1361" s="4"/>
      <c r="J1361" s="12" t="str">
        <f t="array" ref="J1361">IF(I1361:I5403="","",_xlfn.XLOOKUP(I1361:I5403,'参照_姫'!A:A,'参照_姫'!B:B,"見つかりません"))</f>
      </c>
      <c r="K1361" s="4">
        <v>95</v>
      </c>
      <c r="L1361" s="4">
        <v>0</v>
      </c>
      <c r="M1361" s="4"/>
      <c r="N1361" s="4"/>
      <c r="O1361" s="4"/>
      <c r="P1361" s="12" t="str">
        <f t="array" ref="P1361">IF(O1361:O5403="","",_xlfn.XLOOKUP(O1361:O5403,'参照_官位'!A:A,'参照_官位'!B:B,""))</f>
      </c>
      <c r="Q1361" s="12" t="str">
        <f t="array" ref="Q1361">IF(A1361:A5403="","",IFERROR(_xlfn.XLOOKUP(A1361:A5403,castles_state!K:K,castles_state!D:D)&amp;"主",IFERROR(_xlfn.XLOOKUP(A1361:A5403,kunishuClan!D:D,kunishuClan!B:B)&amp;"当主","")))</f>
      </c>
    </row>
    <row r="1362" ht="15.75" customHeight="1">
      <c r="A1362" s="4">
        <v>1028016</v>
      </c>
      <c r="B1362" s="12" t="str">
        <f t="array" ref="B1362">IF(A1362:A5404="","",_xlfn.XLOOKUP(A1362:A5404,'参照_武将'!A:A,'参照_武将'!B:B,"見つかりません"))</f>
      </c>
      <c r="C1362" s="4" t="s">
        <v>5942</v>
      </c>
      <c r="D1362" s="4">
        <v>28</v>
      </c>
      <c r="E1362" s="12" t="str">
        <f t="array" ref="E1362">IF(D1362:D5404="","",IFERROR(_xlfn.XLOOKUP(D1362:D5404,'参照_勢力'!A:A,'参照_勢力'!B:B),IFERROR(_xlfn.XLOOKUP(F1362:F5404,kunishuClan!A:A,kunishuClan!B:B),"浪人")))</f>
      </c>
      <c r="F1362" s="4">
        <v>0</v>
      </c>
      <c r="G1362" s="4">
        <v>32</v>
      </c>
      <c r="H1362" s="12" t="str">
        <f t="array" ref="H1362">IF(G1362:G5404="","",_xlfn.XLOOKUP(G1362:G5404,castles_state!A:A,castles_state!D:D,"見つかりません"))</f>
      </c>
      <c r="I1362" s="4"/>
      <c r="J1362" s="12" t="str">
        <f t="array" ref="J1362">IF(I1362:I5404="","",_xlfn.XLOOKUP(I1362:I5404,'参照_姫'!A:A,'参照_姫'!B:B,"見つかりません"))</f>
      </c>
      <c r="K1362" s="4">
        <v>95</v>
      </c>
      <c r="L1362" s="4">
        <v>0</v>
      </c>
      <c r="M1362" s="4"/>
      <c r="N1362" s="4"/>
      <c r="O1362" s="4"/>
      <c r="P1362" s="12" t="str">
        <f t="array" ref="P1362">IF(O1362:O5404="","",_xlfn.XLOOKUP(O1362:O5404,'参照_官位'!A:A,'参照_官位'!B:B,""))</f>
      </c>
      <c r="Q1362" s="12" t="str">
        <f t="array" ref="Q1362">IF(A1362:A5404="","",IFERROR(_xlfn.XLOOKUP(A1362:A5404,castles_state!K:K,castles_state!D:D)&amp;"主",IFERROR(_xlfn.XLOOKUP(A1362:A5404,kunishuClan!D:D,kunishuClan!B:B)&amp;"当主","")))</f>
      </c>
    </row>
    <row r="1363" ht="15.75" customHeight="1">
      <c r="A1363" s="4">
        <v>1028017</v>
      </c>
      <c r="B1363" s="12" t="str">
        <f t="array" ref="B1363">IF(A1363:A5405="","",_xlfn.XLOOKUP(A1363:A5405,'参照_武将'!A:A,'参照_武将'!B:B,"見つかりません"))</f>
      </c>
      <c r="C1363" s="4" t="s">
        <v>5942</v>
      </c>
      <c r="D1363" s="4">
        <v>28</v>
      </c>
      <c r="E1363" s="12" t="str">
        <f t="array" ref="E1363">IF(D1363:D5405="","",IFERROR(_xlfn.XLOOKUP(D1363:D5405,'参照_勢力'!A:A,'参照_勢力'!B:B),IFERROR(_xlfn.XLOOKUP(F1363:F5405,kunishuClan!A:A,kunishuClan!B:B),"浪人")))</f>
      </c>
      <c r="F1363" s="4">
        <v>0</v>
      </c>
      <c r="G1363" s="4">
        <v>32</v>
      </c>
      <c r="H1363" s="12" t="str">
        <f t="array" ref="H1363">IF(G1363:G5405="","",_xlfn.XLOOKUP(G1363:G5405,castles_state!A:A,castles_state!D:D,"見つかりません"))</f>
      </c>
      <c r="I1363" s="4"/>
      <c r="J1363" s="12" t="str">
        <f t="array" ref="J1363">IF(I1363:I5405="","",_xlfn.XLOOKUP(I1363:I5405,'参照_姫'!A:A,'参照_姫'!B:B,"見つかりません"))</f>
      </c>
      <c r="K1363" s="4">
        <v>95</v>
      </c>
      <c r="L1363" s="4">
        <v>0</v>
      </c>
      <c r="M1363" s="4"/>
      <c r="N1363" s="4"/>
      <c r="O1363" s="4"/>
      <c r="P1363" s="12" t="str">
        <f t="array" ref="P1363">IF(O1363:O5405="","",_xlfn.XLOOKUP(O1363:O5405,'参照_官位'!A:A,'参照_官位'!B:B,""))</f>
      </c>
      <c r="Q1363" s="12" t="str">
        <f t="array" ref="Q1363">IF(A1363:A5405="","",IFERROR(_xlfn.XLOOKUP(A1363:A5405,castles_state!K:K,castles_state!D:D)&amp;"主",IFERROR(_xlfn.XLOOKUP(A1363:A5405,kunishuClan!D:D,kunishuClan!B:B)&amp;"当主","")))</f>
      </c>
    </row>
    <row r="1364" ht="15.75" customHeight="1">
      <c r="A1364" s="4">
        <v>1028018</v>
      </c>
      <c r="B1364" s="12" t="str">
        <f t="array" ref="B1364">IF(A1364:A5406="","",_xlfn.XLOOKUP(A1364:A5406,'参照_武将'!A:A,'参照_武将'!B:B,"見つかりません"))</f>
      </c>
      <c r="C1364" s="4" t="s">
        <v>5942</v>
      </c>
      <c r="D1364" s="4">
        <v>34</v>
      </c>
      <c r="E1364" s="12" t="str">
        <f t="array" ref="E1364">IF(D1364:D5406="","",IFERROR(_xlfn.XLOOKUP(D1364:D5406,'参照_勢力'!A:A,'参照_勢力'!B:B),IFERROR(_xlfn.XLOOKUP(F1364:F5406,kunishuClan!A:A,kunishuClan!B:B),"浪人")))</f>
      </c>
      <c r="F1364" s="4">
        <v>0</v>
      </c>
      <c r="G1364" s="4">
        <v>63</v>
      </c>
      <c r="H1364" s="12" t="str">
        <f t="array" ref="H1364">IF(G1364:G5406="","",_xlfn.XLOOKUP(G1364:G5406,castles_state!A:A,castles_state!D:D,"見つかりません"))</f>
      </c>
      <c r="I1364" s="4"/>
      <c r="J1364" s="12" t="str">
        <f t="array" ref="J1364">IF(I1364:I5406="","",_xlfn.XLOOKUP(I1364:I5406,'参照_姫'!A:A,'参照_姫'!B:B,"見つかりません"))</f>
      </c>
      <c r="K1364" s="4">
        <v>80</v>
      </c>
      <c r="L1364" s="4">
        <v>0</v>
      </c>
      <c r="M1364" s="4"/>
      <c r="N1364" s="4"/>
      <c r="O1364" s="4"/>
      <c r="P1364" s="12" t="str">
        <f t="array" ref="P1364">IF(O1364:O5406="","",_xlfn.XLOOKUP(O1364:O5406,'参照_官位'!A:A,'参照_官位'!B:B,""))</f>
      </c>
      <c r="Q1364" s="12" t="str">
        <f t="array" ref="Q1364">IF(A1364:A5406="","",IFERROR(_xlfn.XLOOKUP(A1364:A5406,castles_state!K:K,castles_state!D:D)&amp;"主",IFERROR(_xlfn.XLOOKUP(A1364:A5406,kunishuClan!D:D,kunishuClan!B:B)&amp;"当主","")))</f>
      </c>
    </row>
    <row r="1365" ht="15.75" customHeight="1">
      <c r="A1365" s="4">
        <v>1028019</v>
      </c>
      <c r="B1365" s="12" t="str">
        <f t="array" ref="B1365">IF(A1365:A5407="","",_xlfn.XLOOKUP(A1365:A5407,'参照_武将'!A:A,'参照_武将'!B:B,"見つかりません"))</f>
      </c>
      <c r="C1365" s="4" t="s">
        <v>5942</v>
      </c>
      <c r="D1365" s="4">
        <v>28</v>
      </c>
      <c r="E1365" s="12" t="str">
        <f t="array" ref="E1365">IF(D1365:D5407="","",IFERROR(_xlfn.XLOOKUP(D1365:D5407,'参照_勢力'!A:A,'参照_勢力'!B:B),IFERROR(_xlfn.XLOOKUP(F1365:F5407,kunishuClan!A:A,kunishuClan!B:B),"浪人")))</f>
      </c>
      <c r="F1365" s="4">
        <v>0</v>
      </c>
      <c r="G1365" s="4">
        <v>32</v>
      </c>
      <c r="H1365" s="12" t="str">
        <f t="array" ref="H1365">IF(G1365:G5407="","",_xlfn.XLOOKUP(G1365:G5407,castles_state!A:A,castles_state!D:D,"見つかりません"))</f>
      </c>
      <c r="I1365" s="4"/>
      <c r="J1365" s="12" t="str">
        <f t="array" ref="J1365">IF(I1365:I5407="","",_xlfn.XLOOKUP(I1365:I5407,'参照_姫'!A:A,'参照_姫'!B:B,"見つかりません"))</f>
      </c>
      <c r="K1365" s="4">
        <v>95</v>
      </c>
      <c r="L1365" s="4">
        <v>0</v>
      </c>
      <c r="M1365" s="4"/>
      <c r="N1365" s="4"/>
      <c r="O1365" s="4"/>
      <c r="P1365" s="12" t="str">
        <f t="array" ref="P1365">IF(O1365:O5407="","",_xlfn.XLOOKUP(O1365:O5407,'参照_官位'!A:A,'参照_官位'!B:B,""))</f>
      </c>
      <c r="Q1365" s="12" t="str">
        <f t="array" ref="Q1365">IF(A1365:A5407="","",IFERROR(_xlfn.XLOOKUP(A1365:A5407,castles_state!K:K,castles_state!D:D)&amp;"主",IFERROR(_xlfn.XLOOKUP(A1365:A5407,kunishuClan!D:D,kunishuClan!B:B)&amp;"当主","")))</f>
      </c>
    </row>
    <row r="1366" ht="15.75" customHeight="1">
      <c r="A1366" s="4">
        <v>1028020</v>
      </c>
      <c r="B1366" s="12" t="str">
        <f t="array" ref="B1366">IF(A1366:A5408="","",_xlfn.XLOOKUP(A1366:A5408,'参照_武将'!A:A,'参照_武将'!B:B,"見つかりません"))</f>
      </c>
      <c r="C1366" s="4" t="s">
        <v>5942</v>
      </c>
      <c r="D1366" s="4">
        <v>28</v>
      </c>
      <c r="E1366" s="12" t="str">
        <f t="array" ref="E1366">IF(D1366:D5408="","",IFERROR(_xlfn.XLOOKUP(D1366:D5408,'参照_勢力'!A:A,'参照_勢力'!B:B),IFERROR(_xlfn.XLOOKUP(F1366:F5408,kunishuClan!A:A,kunishuClan!B:B),"浪人")))</f>
      </c>
      <c r="F1366" s="4">
        <v>0</v>
      </c>
      <c r="G1366" s="4">
        <v>32</v>
      </c>
      <c r="H1366" s="12" t="str">
        <f t="array" ref="H1366">IF(G1366:G5408="","",_xlfn.XLOOKUP(G1366:G5408,castles_state!A:A,castles_state!D:D,"見つかりません"))</f>
      </c>
      <c r="I1366" s="4"/>
      <c r="J1366" s="12" t="str">
        <f t="array" ref="J1366">IF(I1366:I5408="","",_xlfn.XLOOKUP(I1366:I5408,'参照_姫'!A:A,'参照_姫'!B:B,"見つかりません"))</f>
      </c>
      <c r="K1366" s="4">
        <v>95</v>
      </c>
      <c r="L1366" s="4">
        <v>0</v>
      </c>
      <c r="M1366" s="4"/>
      <c r="N1366" s="4"/>
      <c r="O1366" s="4"/>
      <c r="P1366" s="12" t="str">
        <f t="array" ref="P1366">IF(O1366:O5408="","",_xlfn.XLOOKUP(O1366:O5408,'参照_官位'!A:A,'参照_官位'!B:B,""))</f>
      </c>
      <c r="Q1366" s="12" t="str">
        <f t="array" ref="Q1366">IF(A1366:A5408="","",IFERROR(_xlfn.XLOOKUP(A1366:A5408,castles_state!K:K,castles_state!D:D)&amp;"主",IFERROR(_xlfn.XLOOKUP(A1366:A5408,kunishuClan!D:D,kunishuClan!B:B)&amp;"当主","")))</f>
      </c>
    </row>
    <row r="1367" ht="15.75" customHeight="1">
      <c r="A1367" s="4">
        <v>1028021</v>
      </c>
      <c r="B1367" s="12" t="str">
        <f t="array" ref="B1367">IF(A1367:A5409="","",_xlfn.XLOOKUP(A1367:A5409,'参照_武将'!A:A,'参照_武将'!B:B,"見つかりません"))</f>
      </c>
      <c r="C1367" s="4" t="s">
        <v>5942</v>
      </c>
      <c r="D1367" s="4">
        <v>28</v>
      </c>
      <c r="E1367" s="12" t="str">
        <f t="array" ref="E1367">IF(D1367:D5409="","",IFERROR(_xlfn.XLOOKUP(D1367:D5409,'参照_勢力'!A:A,'参照_勢力'!B:B),IFERROR(_xlfn.XLOOKUP(F1367:F5409,kunishuClan!A:A,kunishuClan!B:B),"浪人")))</f>
      </c>
      <c r="F1367" s="4">
        <v>0</v>
      </c>
      <c r="G1367" s="4">
        <v>32</v>
      </c>
      <c r="H1367" s="12" t="str">
        <f t="array" ref="H1367">IF(G1367:G5409="","",_xlfn.XLOOKUP(G1367:G5409,castles_state!A:A,castles_state!D:D,"見つかりません"))</f>
      </c>
      <c r="I1367" s="4"/>
      <c r="J1367" s="12" t="str">
        <f t="array" ref="J1367">IF(I1367:I5409="","",_xlfn.XLOOKUP(I1367:I5409,'参照_姫'!A:A,'参照_姫'!B:B,"見つかりません"))</f>
      </c>
      <c r="K1367" s="4">
        <v>95</v>
      </c>
      <c r="L1367" s="4">
        <v>0</v>
      </c>
      <c r="M1367" s="4"/>
      <c r="N1367" s="4"/>
      <c r="O1367" s="4"/>
      <c r="P1367" s="12" t="str">
        <f t="array" ref="P1367">IF(O1367:O5409="","",_xlfn.XLOOKUP(O1367:O5409,'参照_官位'!A:A,'参照_官位'!B:B,""))</f>
      </c>
      <c r="Q1367" s="12" t="str">
        <f t="array" ref="Q1367">IF(A1367:A5409="","",IFERROR(_xlfn.XLOOKUP(A1367:A5409,castles_state!K:K,castles_state!D:D)&amp;"主",IFERROR(_xlfn.XLOOKUP(A1367:A5409,kunishuClan!D:D,kunishuClan!B:B)&amp;"当主","")))</f>
      </c>
    </row>
    <row r="1368" ht="15.75" customHeight="1">
      <c r="A1368" s="4">
        <v>1028022</v>
      </c>
      <c r="B1368" s="12" t="str">
        <f t="array" ref="B1368">IF(A1368:A5410="","",_xlfn.XLOOKUP(A1368:A5410,'参照_武将'!A:A,'参照_武将'!B:B,"見つかりません"))</f>
      </c>
      <c r="C1368" s="4" t="s">
        <v>5942</v>
      </c>
      <c r="D1368" s="4">
        <v>28</v>
      </c>
      <c r="E1368" s="12" t="str">
        <f t="array" ref="E1368">IF(D1368:D5410="","",IFERROR(_xlfn.XLOOKUP(D1368:D5410,'参照_勢力'!A:A,'参照_勢力'!B:B),IFERROR(_xlfn.XLOOKUP(F1368:F5410,kunishuClan!A:A,kunishuClan!B:B),"浪人")))</f>
      </c>
      <c r="F1368" s="4">
        <v>0</v>
      </c>
      <c r="G1368" s="4">
        <v>32</v>
      </c>
      <c r="H1368" s="12" t="str">
        <f t="array" ref="H1368">IF(G1368:G5410="","",_xlfn.XLOOKUP(G1368:G5410,castles_state!A:A,castles_state!D:D,"見つかりません"))</f>
      </c>
      <c r="I1368" s="4"/>
      <c r="J1368" s="12" t="str">
        <f t="array" ref="J1368">IF(I1368:I5410="","",_xlfn.XLOOKUP(I1368:I5410,'参照_姫'!A:A,'参照_姫'!B:B,"見つかりません"))</f>
      </c>
      <c r="K1368" s="4">
        <v>95</v>
      </c>
      <c r="L1368" s="4">
        <v>0</v>
      </c>
      <c r="M1368" s="4"/>
      <c r="N1368" s="4"/>
      <c r="O1368" s="4"/>
      <c r="P1368" s="12" t="str">
        <f t="array" ref="P1368">IF(O1368:O5410="","",_xlfn.XLOOKUP(O1368:O5410,'参照_官位'!A:A,'参照_官位'!B:B,""))</f>
      </c>
      <c r="Q1368" s="12" t="str">
        <f t="array" ref="Q1368">IF(A1368:A5410="","",IFERROR(_xlfn.XLOOKUP(A1368:A5410,castles_state!K:K,castles_state!D:D)&amp;"主",IFERROR(_xlfn.XLOOKUP(A1368:A5410,kunishuClan!D:D,kunishuClan!B:B)&amp;"当主","")))</f>
      </c>
    </row>
    <row r="1369" ht="15.75" customHeight="1">
      <c r="A1369" s="4">
        <v>1028023</v>
      </c>
      <c r="B1369" s="12" t="str">
        <f t="array" ref="B1369">IF(A1369:A5411="","",_xlfn.XLOOKUP(A1369:A5411,'参照_武将'!A:A,'参照_武将'!B:B,"見つかりません"))</f>
      </c>
      <c r="C1369" s="4" t="s">
        <v>5942</v>
      </c>
      <c r="D1369" s="4">
        <v>28</v>
      </c>
      <c r="E1369" s="12" t="str">
        <f t="array" ref="E1369">IF(D1369:D5411="","",IFERROR(_xlfn.XLOOKUP(D1369:D5411,'参照_勢力'!A:A,'参照_勢力'!B:B),IFERROR(_xlfn.XLOOKUP(F1369:F5411,kunishuClan!A:A,kunishuClan!B:B),"浪人")))</f>
      </c>
      <c r="F1369" s="4">
        <v>0</v>
      </c>
      <c r="G1369" s="4">
        <v>32</v>
      </c>
      <c r="H1369" s="12" t="str">
        <f t="array" ref="H1369">IF(G1369:G5411="","",_xlfn.XLOOKUP(G1369:G5411,castles_state!A:A,castles_state!D:D,"見つかりません"))</f>
      </c>
      <c r="I1369" s="4"/>
      <c r="J1369" s="12" t="str">
        <f t="array" ref="J1369">IF(I1369:I5411="","",_xlfn.XLOOKUP(I1369:I5411,'参照_姫'!A:A,'参照_姫'!B:B,"見つかりません"))</f>
      </c>
      <c r="K1369" s="4">
        <v>95</v>
      </c>
      <c r="L1369" s="4">
        <v>0</v>
      </c>
      <c r="M1369" s="4"/>
      <c r="N1369" s="4"/>
      <c r="O1369" s="4"/>
      <c r="P1369" s="12" t="str">
        <f t="array" ref="P1369">IF(O1369:O5411="","",_xlfn.XLOOKUP(O1369:O5411,'参照_官位'!A:A,'参照_官位'!B:B,""))</f>
      </c>
      <c r="Q1369" s="12" t="str">
        <f t="array" ref="Q1369">IF(A1369:A5411="","",IFERROR(_xlfn.XLOOKUP(A1369:A5411,castles_state!K:K,castles_state!D:D)&amp;"主",IFERROR(_xlfn.XLOOKUP(A1369:A5411,kunishuClan!D:D,kunishuClan!B:B)&amp;"当主","")))</f>
      </c>
    </row>
    <row r="1370" ht="15.75" customHeight="1">
      <c r="A1370" s="4">
        <v>1028024</v>
      </c>
      <c r="B1370" s="12" t="str">
        <f t="array" ref="B1370">IF(A1370:A5412="","",_xlfn.XLOOKUP(A1370:A5412,'参照_武将'!A:A,'参照_武将'!B:B,"見つかりません"))</f>
      </c>
      <c r="C1370" s="4" t="s">
        <v>5942</v>
      </c>
      <c r="D1370" s="4">
        <v>28</v>
      </c>
      <c r="E1370" s="12" t="str">
        <f t="array" ref="E1370">IF(D1370:D5412="","",IFERROR(_xlfn.XLOOKUP(D1370:D5412,'参照_勢力'!A:A,'参照_勢力'!B:B),IFERROR(_xlfn.XLOOKUP(F1370:F5412,kunishuClan!A:A,kunishuClan!B:B),"浪人")))</f>
      </c>
      <c r="F1370" s="4">
        <v>0</v>
      </c>
      <c r="G1370" s="4">
        <v>32</v>
      </c>
      <c r="H1370" s="12" t="str">
        <f t="array" ref="H1370">IF(G1370:G5412="","",_xlfn.XLOOKUP(G1370:G5412,castles_state!A:A,castles_state!D:D,"見つかりません"))</f>
      </c>
      <c r="I1370" s="4"/>
      <c r="J1370" s="12" t="str">
        <f t="array" ref="J1370">IF(I1370:I5412="","",_xlfn.XLOOKUP(I1370:I5412,'参照_姫'!A:A,'参照_姫'!B:B,"見つかりません"))</f>
      </c>
      <c r="K1370" s="4">
        <v>95</v>
      </c>
      <c r="L1370" s="4">
        <v>0</v>
      </c>
      <c r="M1370" s="4"/>
      <c r="N1370" s="4"/>
      <c r="O1370" s="4"/>
      <c r="P1370" s="12" t="str">
        <f t="array" ref="P1370">IF(O1370:O5412="","",_xlfn.XLOOKUP(O1370:O5412,'参照_官位'!A:A,'参照_官位'!B:B,""))</f>
      </c>
      <c r="Q1370" s="12" t="str">
        <f t="array" ref="Q1370">IF(A1370:A5412="","",IFERROR(_xlfn.XLOOKUP(A1370:A5412,castles_state!K:K,castles_state!D:D)&amp;"主",IFERROR(_xlfn.XLOOKUP(A1370:A5412,kunishuClan!D:D,kunishuClan!B:B)&amp;"当主","")))</f>
      </c>
    </row>
    <row r="1371" ht="15.75" customHeight="1">
      <c r="A1371" s="4">
        <v>1028025</v>
      </c>
      <c r="B1371" s="12" t="str">
        <f t="array" ref="B1371">IF(A1371:A5413="","",_xlfn.XLOOKUP(A1371:A5413,'参照_武将'!A:A,'参照_武将'!B:B,"見つかりません"))</f>
      </c>
      <c r="C1371" s="4" t="s">
        <v>5942</v>
      </c>
      <c r="D1371" s="4">
        <v>28</v>
      </c>
      <c r="E1371" s="12" t="str">
        <f t="array" ref="E1371">IF(D1371:D5413="","",IFERROR(_xlfn.XLOOKUP(D1371:D5413,'参照_勢力'!A:A,'参照_勢力'!B:B),IFERROR(_xlfn.XLOOKUP(F1371:F5413,kunishuClan!A:A,kunishuClan!B:B),"浪人")))</f>
      </c>
      <c r="F1371" s="4">
        <v>0</v>
      </c>
      <c r="G1371" s="4">
        <v>32</v>
      </c>
      <c r="H1371" s="12" t="str">
        <f t="array" ref="H1371">IF(G1371:G5413="","",_xlfn.XLOOKUP(G1371:G5413,castles_state!A:A,castles_state!D:D,"見つかりません"))</f>
      </c>
      <c r="I1371" s="4"/>
      <c r="J1371" s="12" t="str">
        <f t="array" ref="J1371">IF(I1371:I5413="","",_xlfn.XLOOKUP(I1371:I5413,'参照_姫'!A:A,'参照_姫'!B:B,"見つかりません"))</f>
      </c>
      <c r="K1371" s="4">
        <v>95</v>
      </c>
      <c r="L1371" s="4">
        <v>0</v>
      </c>
      <c r="M1371" s="4"/>
      <c r="N1371" s="4"/>
      <c r="O1371" s="4"/>
      <c r="P1371" s="12" t="str">
        <f t="array" ref="P1371">IF(O1371:O5413="","",_xlfn.XLOOKUP(O1371:O5413,'参照_官位'!A:A,'参照_官位'!B:B,""))</f>
      </c>
      <c r="Q1371" s="12" t="str">
        <f t="array" ref="Q1371">IF(A1371:A5413="","",IFERROR(_xlfn.XLOOKUP(A1371:A5413,castles_state!K:K,castles_state!D:D)&amp;"主",IFERROR(_xlfn.XLOOKUP(A1371:A5413,kunishuClan!D:D,kunishuClan!B:B)&amp;"当主","")))</f>
      </c>
    </row>
    <row r="1372" ht="15.75" customHeight="1">
      <c r="A1372" s="4">
        <v>1028026</v>
      </c>
      <c r="B1372" s="12" t="str">
        <f t="array" ref="B1372">IF(A1372:A5414="","",_xlfn.XLOOKUP(A1372:A5414,'参照_武将'!A:A,'参照_武将'!B:B,"見つかりません"))</f>
      </c>
      <c r="C1372" s="4" t="s">
        <v>5942</v>
      </c>
      <c r="D1372" s="4">
        <v>28</v>
      </c>
      <c r="E1372" s="12" t="str">
        <f t="array" ref="E1372">IF(D1372:D5414="","",IFERROR(_xlfn.XLOOKUP(D1372:D5414,'参照_勢力'!A:A,'参照_勢力'!B:B),IFERROR(_xlfn.XLOOKUP(F1372:F5414,kunishuClan!A:A,kunishuClan!B:B),"浪人")))</f>
      </c>
      <c r="F1372" s="4">
        <v>0</v>
      </c>
      <c r="G1372" s="4">
        <v>237</v>
      </c>
      <c r="H1372" s="12" t="str">
        <f t="array" ref="H1372">IF(G1372:G5414="","",_xlfn.XLOOKUP(G1372:G5414,castles_state!A:A,castles_state!D:D,"見つかりません"))</f>
      </c>
      <c r="I1372" s="4"/>
      <c r="J1372" s="12" t="str">
        <f t="array" ref="J1372">IF(I1372:I5414="","",_xlfn.XLOOKUP(I1372:I5414,'参照_姫'!A:A,'参照_姫'!B:B,"見つかりません"))</f>
      </c>
      <c r="K1372" s="4">
        <v>95</v>
      </c>
      <c r="L1372" s="4">
        <v>0</v>
      </c>
      <c r="M1372" s="4"/>
      <c r="N1372" s="4"/>
      <c r="O1372" s="4"/>
      <c r="P1372" s="12" t="str">
        <f t="array" ref="P1372">IF(O1372:O5414="","",_xlfn.XLOOKUP(O1372:O5414,'参照_官位'!A:A,'参照_官位'!B:B,""))</f>
      </c>
      <c r="Q1372" s="12" t="str">
        <f t="array" ref="Q1372">IF(A1372:A5414="","",IFERROR(_xlfn.XLOOKUP(A1372:A5414,castles_state!K:K,castles_state!D:D)&amp;"主",IFERROR(_xlfn.XLOOKUP(A1372:A5414,kunishuClan!D:D,kunishuClan!B:B)&amp;"当主","")))</f>
      </c>
    </row>
    <row r="1373" ht="15.75" customHeight="1">
      <c r="A1373" s="4">
        <v>1028027</v>
      </c>
      <c r="B1373" s="12" t="str">
        <f t="array" ref="B1373">IF(A1373:A5415="","",_xlfn.XLOOKUP(A1373:A5415,'参照_武将'!A:A,'参照_武将'!B:B,"見つかりません"))</f>
      </c>
      <c r="C1373" s="4" t="s">
        <v>5942</v>
      </c>
      <c r="D1373" s="4">
        <v>28</v>
      </c>
      <c r="E1373" s="12" t="str">
        <f t="array" ref="E1373">IF(D1373:D5415="","",IFERROR(_xlfn.XLOOKUP(D1373:D5415,'参照_勢力'!A:A,'参照_勢力'!B:B),IFERROR(_xlfn.XLOOKUP(F1373:F5415,kunishuClan!A:A,kunishuClan!B:B),"浪人")))</f>
      </c>
      <c r="F1373" s="4">
        <v>0</v>
      </c>
      <c r="G1373" s="4">
        <v>237</v>
      </c>
      <c r="H1373" s="12" t="str">
        <f t="array" ref="H1373">IF(G1373:G5415="","",_xlfn.XLOOKUP(G1373:G5415,castles_state!A:A,castles_state!D:D,"見つかりません"))</f>
      </c>
      <c r="I1373" s="4"/>
      <c r="J1373" s="12" t="str">
        <f t="array" ref="J1373">IF(I1373:I5415="","",_xlfn.XLOOKUP(I1373:I5415,'参照_姫'!A:A,'参照_姫'!B:B,"見つかりません"))</f>
      </c>
      <c r="K1373" s="4">
        <v>95</v>
      </c>
      <c r="L1373" s="4">
        <v>0</v>
      </c>
      <c r="M1373" s="4" t="b">
        <v>1</v>
      </c>
      <c r="N1373" s="4"/>
      <c r="O1373" s="4"/>
      <c r="P1373" s="12" t="str">
        <f t="array" ref="P1373">IF(O1373:O5415="","",_xlfn.XLOOKUP(O1373:O5415,'参照_官位'!A:A,'参照_官位'!B:B,""))</f>
      </c>
      <c r="Q1373" s="12" t="str">
        <f t="array" ref="Q1373">IF(A1373:A5415="","",IFERROR(_xlfn.XLOOKUP(A1373:A5415,castles_state!K:K,castles_state!D:D)&amp;"主",IFERROR(_xlfn.XLOOKUP(A1373:A5415,kunishuClan!D:D,kunishuClan!B:B)&amp;"当主","")))</f>
      </c>
    </row>
    <row r="1374" ht="15.75" customHeight="1">
      <c r="A1374" s="4">
        <v>1028028</v>
      </c>
      <c r="B1374" s="12" t="str">
        <f t="array" ref="B1374">IF(A1374:A5416="","",_xlfn.XLOOKUP(A1374:A5416,'参照_武将'!A:A,'参照_武将'!B:B,"見つかりません"))</f>
      </c>
      <c r="C1374" s="4" t="s">
        <v>5942</v>
      </c>
      <c r="D1374" s="4">
        <v>28</v>
      </c>
      <c r="E1374" s="12" t="str">
        <f t="array" ref="E1374">IF(D1374:D5416="","",IFERROR(_xlfn.XLOOKUP(D1374:D5416,'参照_勢力'!A:A,'参照_勢力'!B:B),IFERROR(_xlfn.XLOOKUP(F1374:F5416,kunishuClan!A:A,kunishuClan!B:B),"浪人")))</f>
      </c>
      <c r="F1374" s="4">
        <v>0</v>
      </c>
      <c r="G1374" s="4">
        <v>237</v>
      </c>
      <c r="H1374" s="12" t="str">
        <f t="array" ref="H1374">IF(G1374:G5416="","",_xlfn.XLOOKUP(G1374:G5416,castles_state!A:A,castles_state!D:D,"見つかりません"))</f>
      </c>
      <c r="I1374" s="4"/>
      <c r="J1374" s="12" t="str">
        <f t="array" ref="J1374">IF(I1374:I5416="","",_xlfn.XLOOKUP(I1374:I5416,'参照_姫'!A:A,'参照_姫'!B:B,"見つかりません"))</f>
      </c>
      <c r="K1374" s="4">
        <v>95</v>
      </c>
      <c r="L1374" s="4">
        <v>0</v>
      </c>
      <c r="M1374" s="4"/>
      <c r="N1374" s="4"/>
      <c r="O1374" s="4"/>
      <c r="P1374" s="12" t="str">
        <f t="array" ref="P1374">IF(O1374:O5416="","",_xlfn.XLOOKUP(O1374:O5416,'参照_官位'!A:A,'参照_官位'!B:B,""))</f>
      </c>
      <c r="Q1374" s="12" t="str">
        <f t="array" ref="Q1374">IF(A1374:A5416="","",IFERROR(_xlfn.XLOOKUP(A1374:A5416,castles_state!K:K,castles_state!D:D)&amp;"主",IFERROR(_xlfn.XLOOKUP(A1374:A5416,kunishuClan!D:D,kunishuClan!B:B)&amp;"当主","")))</f>
      </c>
    </row>
    <row r="1375" ht="15.75" customHeight="1">
      <c r="A1375" s="4">
        <v>1028029</v>
      </c>
      <c r="B1375" s="12" t="str">
        <f t="array" ref="B1375">IF(A1375:A5417="","",_xlfn.XLOOKUP(A1375:A5417,'参照_武将'!A:A,'参照_武将'!B:B,"見つかりません"))</f>
      </c>
      <c r="C1375" s="4" t="s">
        <v>5942</v>
      </c>
      <c r="D1375" s="4">
        <v>28</v>
      </c>
      <c r="E1375" s="12" t="str">
        <f t="array" ref="E1375">IF(D1375:D5417="","",IFERROR(_xlfn.XLOOKUP(D1375:D5417,'参照_勢力'!A:A,'参照_勢力'!B:B),IFERROR(_xlfn.XLOOKUP(F1375:F5417,kunishuClan!A:A,kunishuClan!B:B),"浪人")))</f>
      </c>
      <c r="F1375" s="4">
        <v>0</v>
      </c>
      <c r="G1375" s="4">
        <v>237</v>
      </c>
      <c r="H1375" s="12" t="str">
        <f t="array" ref="H1375">IF(G1375:G5417="","",_xlfn.XLOOKUP(G1375:G5417,castles_state!A:A,castles_state!D:D,"見つかりません"))</f>
      </c>
      <c r="I1375" s="4"/>
      <c r="J1375" s="12" t="str">
        <f t="array" ref="J1375">IF(I1375:I5417="","",_xlfn.XLOOKUP(I1375:I5417,'参照_姫'!A:A,'参照_姫'!B:B,"見つかりません"))</f>
      </c>
      <c r="K1375" s="4">
        <v>95</v>
      </c>
      <c r="L1375" s="4">
        <v>0</v>
      </c>
      <c r="M1375" s="4"/>
      <c r="N1375" s="4"/>
      <c r="O1375" s="4"/>
      <c r="P1375" s="12" t="str">
        <f t="array" ref="P1375">IF(O1375:O5417="","",_xlfn.XLOOKUP(O1375:O5417,'参照_官位'!A:A,'参照_官位'!B:B,""))</f>
      </c>
      <c r="Q1375" s="12" t="str">
        <f t="array" ref="Q1375">IF(A1375:A5417="","",IFERROR(_xlfn.XLOOKUP(A1375:A5417,castles_state!K:K,castles_state!D:D)&amp;"主",IFERROR(_xlfn.XLOOKUP(A1375:A5417,kunishuClan!D:D,kunishuClan!B:B)&amp;"当主","")))</f>
      </c>
    </row>
    <row r="1376" ht="15.75" customHeight="1">
      <c r="A1376" s="4">
        <v>1028030</v>
      </c>
      <c r="B1376" s="12" t="str">
        <f t="array" ref="B1376">IF(A1376:A5418="","",_xlfn.XLOOKUP(A1376:A5418,'参照_武将'!A:A,'参照_武将'!B:B,"見つかりません"))</f>
      </c>
      <c r="C1376" s="4" t="s">
        <v>5942</v>
      </c>
      <c r="D1376" s="4">
        <v>28</v>
      </c>
      <c r="E1376" s="12" t="str">
        <f t="array" ref="E1376">IF(D1376:D5418="","",IFERROR(_xlfn.XLOOKUP(D1376:D5418,'参照_勢力'!A:A,'参照_勢力'!B:B),IFERROR(_xlfn.XLOOKUP(F1376:F5418,kunishuClan!A:A,kunishuClan!B:B),"浪人")))</f>
      </c>
      <c r="F1376" s="4">
        <v>0</v>
      </c>
      <c r="G1376" s="4">
        <v>237</v>
      </c>
      <c r="H1376" s="12" t="str">
        <f t="array" ref="H1376">IF(G1376:G5418="","",_xlfn.XLOOKUP(G1376:G5418,castles_state!A:A,castles_state!D:D,"見つかりません"))</f>
      </c>
      <c r="I1376" s="4"/>
      <c r="J1376" s="12" t="str">
        <f t="array" ref="J1376">IF(I1376:I5418="","",_xlfn.XLOOKUP(I1376:I5418,'参照_姫'!A:A,'参照_姫'!B:B,"見つかりません"))</f>
      </c>
      <c r="K1376" s="4">
        <v>80</v>
      </c>
      <c r="L1376" s="4">
        <v>0</v>
      </c>
      <c r="M1376" s="4"/>
      <c r="N1376" s="4"/>
      <c r="O1376" s="4"/>
      <c r="P1376" s="12" t="str">
        <f t="array" ref="P1376">IF(O1376:O5418="","",_xlfn.XLOOKUP(O1376:O5418,'参照_官位'!A:A,'参照_官位'!B:B,""))</f>
      </c>
      <c r="Q1376" s="12" t="str">
        <f t="array" ref="Q1376">IF(A1376:A5418="","",IFERROR(_xlfn.XLOOKUP(A1376:A5418,castles_state!K:K,castles_state!D:D)&amp;"主",IFERROR(_xlfn.XLOOKUP(A1376:A5418,kunishuClan!D:D,kunishuClan!B:B)&amp;"当主","")))</f>
      </c>
    </row>
    <row r="1377" ht="15.75" customHeight="1">
      <c r="A1377" s="4">
        <v>1028031</v>
      </c>
      <c r="B1377" s="12" t="str">
        <f t="array" ref="B1377">IF(A1377:A5419="","",_xlfn.XLOOKUP(A1377:A5419,'参照_武将'!A:A,'参照_武将'!B:B,"見つかりません"))</f>
      </c>
      <c r="C1377" s="4" t="s">
        <v>5942</v>
      </c>
      <c r="D1377" s="4">
        <v>28</v>
      </c>
      <c r="E1377" s="12" t="str">
        <f t="array" ref="E1377">IF(D1377:D5419="","",IFERROR(_xlfn.XLOOKUP(D1377:D5419,'参照_勢力'!A:A,'参照_勢力'!B:B),IFERROR(_xlfn.XLOOKUP(F1377:F5419,kunishuClan!A:A,kunishuClan!B:B),"浪人")))</f>
      </c>
      <c r="F1377" s="4">
        <v>0</v>
      </c>
      <c r="G1377" s="4">
        <v>237</v>
      </c>
      <c r="H1377" s="12" t="str">
        <f t="array" ref="H1377">IF(G1377:G5419="","",_xlfn.XLOOKUP(G1377:G5419,castles_state!A:A,castles_state!D:D,"見つかりません"))</f>
      </c>
      <c r="I1377" s="4"/>
      <c r="J1377" s="12" t="str">
        <f t="array" ref="J1377">IF(I1377:I5419="","",_xlfn.XLOOKUP(I1377:I5419,'参照_姫'!A:A,'参照_姫'!B:B,"見つかりません"))</f>
      </c>
      <c r="K1377" s="4">
        <v>95</v>
      </c>
      <c r="L1377" s="4">
        <v>500</v>
      </c>
      <c r="M1377" s="4"/>
      <c r="N1377" s="4"/>
      <c r="O1377" s="4"/>
      <c r="P1377" s="12" t="str">
        <f t="array" ref="P1377">IF(O1377:O5419="","",_xlfn.XLOOKUP(O1377:O5419,'参照_官位'!A:A,'参照_官位'!B:B,""))</f>
      </c>
      <c r="Q1377" s="12" t="str">
        <f t="array" ref="Q1377">IF(A1377:A5419="","",IFERROR(_xlfn.XLOOKUP(A1377:A5419,castles_state!K:K,castles_state!D:D)&amp;"主",IFERROR(_xlfn.XLOOKUP(A1377:A5419,kunishuClan!D:D,kunishuClan!B:B)&amp;"当主","")))</f>
      </c>
    </row>
    <row r="1378" ht="15.75" customHeight="1">
      <c r="A1378" s="4">
        <v>1028032</v>
      </c>
      <c r="B1378" s="12" t="str">
        <f t="array" ref="B1378">IF(A1378:A5420="","",_xlfn.XLOOKUP(A1378:A5420,'参照_武将'!A:A,'参照_武将'!B:B,"見つかりません"))</f>
      </c>
      <c r="C1378" s="4" t="s">
        <v>5942</v>
      </c>
      <c r="D1378" s="4">
        <v>28</v>
      </c>
      <c r="E1378" s="12" t="str">
        <f t="array" ref="E1378">IF(D1378:D5420="","",IFERROR(_xlfn.XLOOKUP(D1378:D5420,'参照_勢力'!A:A,'参照_勢力'!B:B),IFERROR(_xlfn.XLOOKUP(F1378:F5420,kunishuClan!A:A,kunishuClan!B:B),"浪人")))</f>
      </c>
      <c r="F1378" s="4">
        <v>0</v>
      </c>
      <c r="G1378" s="4">
        <v>237</v>
      </c>
      <c r="H1378" s="12" t="str">
        <f t="array" ref="H1378">IF(G1378:G5420="","",_xlfn.XLOOKUP(G1378:G5420,castles_state!A:A,castles_state!D:D,"見つかりません"))</f>
      </c>
      <c r="I1378" s="4"/>
      <c r="J1378" s="12" t="str">
        <f t="array" ref="J1378">IF(I1378:I5420="","",_xlfn.XLOOKUP(I1378:I5420,'参照_姫'!A:A,'参照_姫'!B:B,"見つかりません"))</f>
      </c>
      <c r="K1378" s="4">
        <v>95</v>
      </c>
      <c r="L1378" s="4">
        <v>0</v>
      </c>
      <c r="M1378" s="4"/>
      <c r="N1378" s="4"/>
      <c r="O1378" s="4"/>
      <c r="P1378" s="12" t="str">
        <f t="array" ref="P1378">IF(O1378:O5420="","",_xlfn.XLOOKUP(O1378:O5420,'参照_官位'!A:A,'参照_官位'!B:B,""))</f>
      </c>
      <c r="Q1378" s="12" t="str">
        <f t="array" ref="Q1378">IF(A1378:A5420="","",IFERROR(_xlfn.XLOOKUP(A1378:A5420,castles_state!K:K,castles_state!D:D)&amp;"主",IFERROR(_xlfn.XLOOKUP(A1378:A5420,kunishuClan!D:D,kunishuClan!B:B)&amp;"当主","")))</f>
      </c>
    </row>
    <row r="1379" ht="15.75" customHeight="1">
      <c r="A1379" s="4">
        <v>1028033</v>
      </c>
      <c r="B1379" s="12" t="str">
        <f t="array" ref="B1379">IF(A1379:A5421="","",_xlfn.XLOOKUP(A1379:A5421,'参照_武将'!A:A,'参照_武将'!B:B,"見つかりません"))</f>
      </c>
      <c r="C1379" s="4" t="s">
        <v>5942</v>
      </c>
      <c r="D1379" s="4">
        <v>28</v>
      </c>
      <c r="E1379" s="12" t="str">
        <f t="array" ref="E1379">IF(D1379:D5421="","",IFERROR(_xlfn.XLOOKUP(D1379:D5421,'参照_勢力'!A:A,'参照_勢力'!B:B),IFERROR(_xlfn.XLOOKUP(F1379:F5421,kunishuClan!A:A,kunishuClan!B:B),"浪人")))</f>
      </c>
      <c r="F1379" s="4">
        <v>0</v>
      </c>
      <c r="G1379" s="4">
        <v>32</v>
      </c>
      <c r="H1379" s="12" t="str">
        <f t="array" ref="H1379">IF(G1379:G5421="","",_xlfn.XLOOKUP(G1379:G5421,castles_state!A:A,castles_state!D:D,"見つかりません"))</f>
      </c>
      <c r="I1379" s="4"/>
      <c r="J1379" s="12" t="str">
        <f t="array" ref="J1379">IF(I1379:I5421="","",_xlfn.XLOOKUP(I1379:I5421,'参照_姫'!A:A,'参照_姫'!B:B,"見つかりません"))</f>
      </c>
      <c r="K1379" s="4">
        <v>80</v>
      </c>
      <c r="L1379" s="4">
        <v>0</v>
      </c>
      <c r="M1379" s="4"/>
      <c r="N1379" s="4"/>
      <c r="O1379" s="4"/>
      <c r="P1379" s="12" t="str">
        <f t="array" ref="P1379">IF(O1379:O5421="","",_xlfn.XLOOKUP(O1379:O5421,'参照_官位'!A:A,'参照_官位'!B:B,""))</f>
      </c>
      <c r="Q1379" s="12" t="str">
        <f t="array" ref="Q1379">IF(A1379:A5421="","",IFERROR(_xlfn.XLOOKUP(A1379:A5421,castles_state!K:K,castles_state!D:D)&amp;"主",IFERROR(_xlfn.XLOOKUP(A1379:A5421,kunishuClan!D:D,kunishuClan!B:B)&amp;"当主","")))</f>
      </c>
    </row>
    <row r="1380" ht="15.75" customHeight="1">
      <c r="A1380" s="4">
        <v>1028034</v>
      </c>
      <c r="B1380" s="12" t="str">
        <f t="array" ref="B1380">IF(A1380:A5422="","",_xlfn.XLOOKUP(A1380:A5422,'参照_武将'!A:A,'参照_武将'!B:B,"見つかりません"))</f>
      </c>
      <c r="C1380" s="4" t="s">
        <v>5942</v>
      </c>
      <c r="D1380" s="4">
        <v>28</v>
      </c>
      <c r="E1380" s="12" t="str">
        <f t="array" ref="E1380">IF(D1380:D5422="","",IFERROR(_xlfn.XLOOKUP(D1380:D5422,'参照_勢力'!A:A,'参照_勢力'!B:B),IFERROR(_xlfn.XLOOKUP(F1380:F5422,kunishuClan!A:A,kunishuClan!B:B),"浪人")))</f>
      </c>
      <c r="F1380" s="4">
        <v>0</v>
      </c>
      <c r="G1380" s="4">
        <v>32</v>
      </c>
      <c r="H1380" s="12" t="str">
        <f t="array" ref="H1380">IF(G1380:G5422="","",_xlfn.XLOOKUP(G1380:G5422,castles_state!A:A,castles_state!D:D,"見つかりません"))</f>
      </c>
      <c r="I1380" s="4"/>
      <c r="J1380" s="12" t="str">
        <f t="array" ref="J1380">IF(I1380:I5422="","",_xlfn.XLOOKUP(I1380:I5422,'参照_姫'!A:A,'参照_姫'!B:B,"見つかりません"))</f>
      </c>
      <c r="K1380" s="4">
        <v>80</v>
      </c>
      <c r="L1380" s="4">
        <v>0</v>
      </c>
      <c r="M1380" s="4"/>
      <c r="N1380" s="4"/>
      <c r="O1380" s="4"/>
      <c r="P1380" s="12" t="str">
        <f t="array" ref="P1380">IF(O1380:O5422="","",_xlfn.XLOOKUP(O1380:O5422,'参照_官位'!A:A,'参照_官位'!B:B,""))</f>
      </c>
      <c r="Q1380" s="12" t="str">
        <f t="array" ref="Q1380">IF(A1380:A5422="","",IFERROR(_xlfn.XLOOKUP(A1380:A5422,castles_state!K:K,castles_state!D:D)&amp;"主",IFERROR(_xlfn.XLOOKUP(A1380:A5422,kunishuClan!D:D,kunishuClan!B:B)&amp;"当主","")))</f>
      </c>
    </row>
    <row r="1381" ht="15.75" customHeight="1">
      <c r="A1381" s="4">
        <v>1029001</v>
      </c>
      <c r="B1381" s="12" t="str">
        <f t="array" ref="B1381">IF(A1381:A5421="","",_xlfn.XLOOKUP(A1381:A5421,'参照_武将'!A:A,'参照_武将'!B:B,"見つかりません"))</f>
      </c>
      <c r="C1381" s="4" t="s">
        <v>182</v>
      </c>
      <c r="D1381" s="4">
        <v>29</v>
      </c>
      <c r="E1381" s="12" t="str">
        <f t="array" ref="E1381">IF(D1381:D5421="","",IFERROR(_xlfn.XLOOKUP(D1381:D5421,'参照_勢力'!A:A,'参照_勢力'!B:B),IFERROR(_xlfn.XLOOKUP(F1381:F5421,kunishuClan!A:A,kunishuClan!B:B),"浪人")))</f>
      </c>
      <c r="F1381" s="4">
        <v>0</v>
      </c>
      <c r="G1381" s="4">
        <v>37</v>
      </c>
      <c r="H1381" s="12" t="str">
        <f t="array" ref="H1381">IF(G1381:G5421="","",_xlfn.XLOOKUP(G1381:G5421,castles_state!A:A,castles_state!D:D,"見つかりません"))</f>
      </c>
      <c r="I1381" s="4"/>
      <c r="J1381" s="12" t="str">
        <f t="array" ref="J1381">IF(I1381:I5421="","",_xlfn.XLOOKUP(I1381:I5421,'参照_姫'!A:A,'参照_姫'!B:B,"見つかりません"))</f>
      </c>
      <c r="K1381" s="4">
        <v>95</v>
      </c>
      <c r="L1381" s="4">
        <v>0</v>
      </c>
      <c r="M1381" s="4"/>
      <c r="N1381" s="4"/>
      <c r="O1381" s="4"/>
      <c r="P1381" s="12" t="str">
        <f t="array" ref="P1381">IF(O1381:O5421="","",_xlfn.XLOOKUP(O1381:O5421,'参照_官位'!A:A,'参照_官位'!B:B,""))</f>
      </c>
      <c r="Q1381" s="12" t="str">
        <f t="array" ref="Q1381">IF(A1381:A5421="","",IFERROR(_xlfn.XLOOKUP(A1381:A5421,castles_state!K:K,castles_state!D:D)&amp;"主",IFERROR(_xlfn.XLOOKUP(A1381:A5421,kunishuClan!D:D,kunishuClan!B:B)&amp;"当主","")))</f>
      </c>
    </row>
    <row r="1382" ht="15.75" customHeight="1">
      <c r="A1382" s="4">
        <v>1029002</v>
      </c>
      <c r="B1382" s="12" t="str">
        <f t="array" ref="B1382">IF(A1382:A5422="","",_xlfn.XLOOKUP(A1382:A5422,'参照_武将'!A:A,'参照_武将'!B:B,"見つかりません"))</f>
      </c>
      <c r="C1382" s="4" t="s">
        <v>182</v>
      </c>
      <c r="D1382" s="4">
        <v>29</v>
      </c>
      <c r="E1382" s="12" t="str">
        <f t="array" ref="E1382">IF(D1382:D5422="","",IFERROR(_xlfn.XLOOKUP(D1382:D5422,'参照_勢力'!A:A,'参照_勢力'!B:B),IFERROR(_xlfn.XLOOKUP(F1382:F5422,kunishuClan!A:A,kunishuClan!B:B),"浪人")))</f>
      </c>
      <c r="F1382" s="4">
        <v>0</v>
      </c>
      <c r="G1382" s="4">
        <v>37</v>
      </c>
      <c r="H1382" s="12" t="str">
        <f t="array" ref="H1382">IF(G1382:G5422="","",_xlfn.XLOOKUP(G1382:G5422,castles_state!A:A,castles_state!D:D,"見つかりません"))</f>
      </c>
      <c r="I1382" s="4"/>
      <c r="J1382" s="12" t="str">
        <f t="array" ref="J1382">IF(I1382:I5422="","",_xlfn.XLOOKUP(I1382:I5422,'参照_姫'!A:A,'参照_姫'!B:B,"見つかりません"))</f>
      </c>
      <c r="K1382" s="4">
        <v>95</v>
      </c>
      <c r="L1382" s="4">
        <v>0</v>
      </c>
      <c r="M1382" s="4"/>
      <c r="N1382" s="4"/>
      <c r="O1382" s="4"/>
      <c r="P1382" s="12" t="str">
        <f t="array" ref="P1382">IF(O1382:O5422="","",_xlfn.XLOOKUP(O1382:O5422,'参照_官位'!A:A,'参照_官位'!B:B,""))</f>
      </c>
      <c r="Q1382" s="12" t="str">
        <f t="array" ref="Q1382">IF(A1382:A5422="","",IFERROR(_xlfn.XLOOKUP(A1382:A5422,castles_state!K:K,castles_state!D:D)&amp;"主",IFERROR(_xlfn.XLOOKUP(A1382:A5422,kunishuClan!D:D,kunishuClan!B:B)&amp;"当主","")))</f>
      </c>
    </row>
    <row r="1383" ht="15.75" customHeight="1">
      <c r="A1383" s="4">
        <v>1029003</v>
      </c>
      <c r="B1383" s="12" t="str">
        <f t="array" ref="B1383">IF(A1383:A5423="","",_xlfn.XLOOKUP(A1383:A5423,'参照_武将'!A:A,'参照_武将'!B:B,"見つかりません"))</f>
      </c>
      <c r="C1383" s="4" t="s">
        <v>182</v>
      </c>
      <c r="D1383" s="4">
        <v>29</v>
      </c>
      <c r="E1383" s="12" t="str">
        <f t="array" ref="E1383">IF(D1383:D5423="","",IFERROR(_xlfn.XLOOKUP(D1383:D5423,'参照_勢力'!A:A,'参照_勢力'!B:B),IFERROR(_xlfn.XLOOKUP(F1383:F5423,kunishuClan!A:A,kunishuClan!B:B),"浪人")))</f>
      </c>
      <c r="F1383" s="4">
        <v>0</v>
      </c>
      <c r="G1383" s="4">
        <v>37</v>
      </c>
      <c r="H1383" s="12" t="str">
        <f t="array" ref="H1383">IF(G1383:G5423="","",_xlfn.XLOOKUP(G1383:G5423,castles_state!A:A,castles_state!D:D,"見つかりません"))</f>
      </c>
      <c r="I1383" s="4"/>
      <c r="J1383" s="12" t="str">
        <f t="array" ref="J1383">IF(I1383:I5423="","",_xlfn.XLOOKUP(I1383:I5423,'参照_姫'!A:A,'参照_姫'!B:B,"見つかりません"))</f>
      </c>
      <c r="K1383" s="4">
        <v>95</v>
      </c>
      <c r="L1383" s="4">
        <v>0</v>
      </c>
      <c r="M1383" s="4"/>
      <c r="N1383" s="4"/>
      <c r="O1383" s="4"/>
      <c r="P1383" s="12" t="str">
        <f t="array" ref="P1383">IF(O1383:O5423="","",_xlfn.XLOOKUP(O1383:O5423,'参照_官位'!A:A,'参照_官位'!B:B,""))</f>
      </c>
      <c r="Q1383" s="12" t="str">
        <f t="array" ref="Q1383">IF(A1383:A5423="","",IFERROR(_xlfn.XLOOKUP(A1383:A5423,castles_state!K:K,castles_state!D:D)&amp;"主",IFERROR(_xlfn.XLOOKUP(A1383:A5423,kunishuClan!D:D,kunishuClan!B:B)&amp;"当主","")))</f>
      </c>
    </row>
    <row r="1384" ht="15.75" customHeight="1">
      <c r="A1384" s="4">
        <v>1029004</v>
      </c>
      <c r="B1384" s="12" t="str">
        <f t="array" ref="B1384">IF(A1384:A5424="","",_xlfn.XLOOKUP(A1384:A5424,'参照_武将'!A:A,'参照_武将'!B:B,"見つかりません"))</f>
      </c>
      <c r="C1384" s="4" t="s">
        <v>182</v>
      </c>
      <c r="D1384" s="4">
        <v>29</v>
      </c>
      <c r="E1384" s="12" t="str">
        <f t="array" ref="E1384">IF(D1384:D5424="","",IFERROR(_xlfn.XLOOKUP(D1384:D5424,'参照_勢力'!A:A,'参照_勢力'!B:B),IFERROR(_xlfn.XLOOKUP(F1384:F5424,kunishuClan!A:A,kunishuClan!B:B),"浪人")))</f>
      </c>
      <c r="F1384" s="4">
        <v>0</v>
      </c>
      <c r="G1384" s="4">
        <v>37</v>
      </c>
      <c r="H1384" s="12" t="str">
        <f t="array" ref="H1384">IF(G1384:G5424="","",_xlfn.XLOOKUP(G1384:G5424,castles_state!A:A,castles_state!D:D,"見つかりません"))</f>
      </c>
      <c r="I1384" s="4"/>
      <c r="J1384" s="12" t="str">
        <f t="array" ref="J1384">IF(I1384:I5424="","",_xlfn.XLOOKUP(I1384:I5424,'参照_姫'!A:A,'参照_姫'!B:B,"見つかりません"))</f>
      </c>
      <c r="K1384" s="4">
        <v>95</v>
      </c>
      <c r="L1384" s="4">
        <v>0</v>
      </c>
      <c r="M1384" s="4"/>
      <c r="N1384" s="4"/>
      <c r="O1384" s="4"/>
      <c r="P1384" s="12" t="str">
        <f t="array" ref="P1384">IF(O1384:O5424="","",_xlfn.XLOOKUP(O1384:O5424,'参照_官位'!A:A,'参照_官位'!B:B,""))</f>
      </c>
      <c r="Q1384" s="12" t="str">
        <f t="array" ref="Q1384">IF(A1384:A5424="","",IFERROR(_xlfn.XLOOKUP(A1384:A5424,castles_state!K:K,castles_state!D:D)&amp;"主",IFERROR(_xlfn.XLOOKUP(A1384:A5424,kunishuClan!D:D,kunishuClan!B:B)&amp;"当主","")))</f>
      </c>
    </row>
    <row r="1385" ht="15.75" customHeight="1">
      <c r="A1385" s="4">
        <v>1029005</v>
      </c>
      <c r="B1385" s="12" t="str">
        <f t="array" ref="B1385">IF(A1385:A5425="","",_xlfn.XLOOKUP(A1385:A5425,'参照_武将'!A:A,'参照_武将'!B:B,"見つかりません"))</f>
      </c>
      <c r="C1385" s="4" t="s">
        <v>182</v>
      </c>
      <c r="D1385" s="4">
        <v>29</v>
      </c>
      <c r="E1385" s="12" t="str">
        <f t="array" ref="E1385">IF(D1385:D5425="","",IFERROR(_xlfn.XLOOKUP(D1385:D5425,'参照_勢力'!A:A,'参照_勢力'!B:B),IFERROR(_xlfn.XLOOKUP(F1385:F5425,kunishuClan!A:A,kunishuClan!B:B),"浪人")))</f>
      </c>
      <c r="F1385" s="4">
        <v>0</v>
      </c>
      <c r="G1385" s="4">
        <v>37</v>
      </c>
      <c r="H1385" s="12" t="str">
        <f t="array" ref="H1385">IF(G1385:G5425="","",_xlfn.XLOOKUP(G1385:G5425,castles_state!A:A,castles_state!D:D,"見つかりません"))</f>
      </c>
      <c r="I1385" s="4"/>
      <c r="J1385" s="12" t="str">
        <f t="array" ref="J1385">IF(I1385:I5425="","",_xlfn.XLOOKUP(I1385:I5425,'参照_姫'!A:A,'参照_姫'!B:B,"見つかりません"))</f>
      </c>
      <c r="K1385" s="4">
        <v>95</v>
      </c>
      <c r="L1385" s="4">
        <v>0</v>
      </c>
      <c r="M1385" s="4"/>
      <c r="N1385" s="4"/>
      <c r="O1385" s="4"/>
      <c r="P1385" s="12" t="str">
        <f t="array" ref="P1385">IF(O1385:O5425="","",_xlfn.XLOOKUP(O1385:O5425,'参照_官位'!A:A,'参照_官位'!B:B,""))</f>
      </c>
      <c r="Q1385" s="12" t="str">
        <f t="array" ref="Q1385">IF(A1385:A5425="","",IFERROR(_xlfn.XLOOKUP(A1385:A5425,castles_state!K:K,castles_state!D:D)&amp;"主",IFERROR(_xlfn.XLOOKUP(A1385:A5425,kunishuClan!D:D,kunishuClan!B:B)&amp;"当主","")))</f>
      </c>
    </row>
    <row r="1386" ht="15.75" customHeight="1">
      <c r="A1386" s="4">
        <v>1029006</v>
      </c>
      <c r="B1386" s="12" t="str">
        <f t="array" ref="B1386">IF(A1386:A5426="","",_xlfn.XLOOKUP(A1386:A5426,'参照_武将'!A:A,'参照_武将'!B:B,"見つかりません"))</f>
      </c>
      <c r="C1386" s="4" t="s">
        <v>182</v>
      </c>
      <c r="D1386" s="4">
        <v>29</v>
      </c>
      <c r="E1386" s="12" t="str">
        <f t="array" ref="E1386">IF(D1386:D5426="","",IFERROR(_xlfn.XLOOKUP(D1386:D5426,'参照_勢力'!A:A,'参照_勢力'!B:B),IFERROR(_xlfn.XLOOKUP(F1386:F5426,kunishuClan!A:A,kunishuClan!B:B),"浪人")))</f>
      </c>
      <c r="F1386" s="4">
        <v>0</v>
      </c>
      <c r="G1386" s="4">
        <v>37</v>
      </c>
      <c r="H1386" s="12" t="str">
        <f t="array" ref="H1386">IF(G1386:G5426="","",_xlfn.XLOOKUP(G1386:G5426,castles_state!A:A,castles_state!D:D,"見つかりません"))</f>
      </c>
      <c r="I1386" s="4"/>
      <c r="J1386" s="12" t="str">
        <f t="array" ref="J1386">IF(I1386:I5426="","",_xlfn.XLOOKUP(I1386:I5426,'参照_姫'!A:A,'参照_姫'!B:B,"見つかりません"))</f>
      </c>
      <c r="K1386" s="4">
        <v>95</v>
      </c>
      <c r="L1386" s="4">
        <v>0</v>
      </c>
      <c r="M1386" s="4"/>
      <c r="N1386" s="4"/>
      <c r="O1386" s="4"/>
      <c r="P1386" s="12" t="str">
        <f t="array" ref="P1386">IF(O1386:O5426="","",_xlfn.XLOOKUP(O1386:O5426,'参照_官位'!A:A,'参照_官位'!B:B,""))</f>
      </c>
      <c r="Q1386" s="12" t="str">
        <f t="array" ref="Q1386">IF(A1386:A5426="","",IFERROR(_xlfn.XLOOKUP(A1386:A5426,castles_state!K:K,castles_state!D:D)&amp;"主",IFERROR(_xlfn.XLOOKUP(A1386:A5426,kunishuClan!D:D,kunishuClan!B:B)&amp;"当主","")))</f>
      </c>
    </row>
    <row r="1387" ht="15.75" customHeight="1">
      <c r="A1387" s="4">
        <v>1029007</v>
      </c>
      <c r="B1387" s="12" t="str">
        <f t="array" ref="B1387">IF(A1387:A5427="","",_xlfn.XLOOKUP(A1387:A5427,'参照_武将'!A:A,'参照_武将'!B:B,"見つかりません"))</f>
      </c>
      <c r="C1387" s="4" t="s">
        <v>182</v>
      </c>
      <c r="D1387" s="4">
        <v>29</v>
      </c>
      <c r="E1387" s="12" t="str">
        <f t="array" ref="E1387">IF(D1387:D5427="","",IFERROR(_xlfn.XLOOKUP(D1387:D5427,'参照_勢力'!A:A,'参照_勢力'!B:B),IFERROR(_xlfn.XLOOKUP(F1387:F5427,kunishuClan!A:A,kunishuClan!B:B),"浪人")))</f>
      </c>
      <c r="F1387" s="4">
        <v>0</v>
      </c>
      <c r="G1387" s="4">
        <v>37</v>
      </c>
      <c r="H1387" s="12" t="str">
        <f t="array" ref="H1387">IF(G1387:G5427="","",_xlfn.XLOOKUP(G1387:G5427,castles_state!A:A,castles_state!D:D,"見つかりません"))</f>
      </c>
      <c r="I1387" s="4"/>
      <c r="J1387" s="12" t="str">
        <f t="array" ref="J1387">IF(I1387:I5427="","",_xlfn.XLOOKUP(I1387:I5427,'参照_姫'!A:A,'参照_姫'!B:B,"見つかりません"))</f>
      </c>
      <c r="K1387" s="4">
        <v>95</v>
      </c>
      <c r="L1387" s="4">
        <v>0</v>
      </c>
      <c r="M1387" s="4"/>
      <c r="N1387" s="4"/>
      <c r="O1387" s="4"/>
      <c r="P1387" s="12" t="str">
        <f t="array" ref="P1387">IF(O1387:O5427="","",_xlfn.XLOOKUP(O1387:O5427,'参照_官位'!A:A,'参照_官位'!B:B,""))</f>
      </c>
      <c r="Q1387" s="12" t="str">
        <f t="array" ref="Q1387">IF(A1387:A5427="","",IFERROR(_xlfn.XLOOKUP(A1387:A5427,castles_state!K:K,castles_state!D:D)&amp;"主",IFERROR(_xlfn.XLOOKUP(A1387:A5427,kunishuClan!D:D,kunishuClan!B:B)&amp;"当主","")))</f>
      </c>
    </row>
    <row r="1388" ht="15.75" customHeight="1">
      <c r="A1388" s="4">
        <v>1029008</v>
      </c>
      <c r="B1388" s="12" t="str">
        <f t="array" ref="B1388">IF(A1388:A5428="","",_xlfn.XLOOKUP(A1388:A5428,'参照_武将'!A:A,'参照_武将'!B:B,"見つかりません"))</f>
      </c>
      <c r="C1388" s="4" t="s">
        <v>182</v>
      </c>
      <c r="D1388" s="4">
        <v>29</v>
      </c>
      <c r="E1388" s="12" t="str">
        <f t="array" ref="E1388">IF(D1388:D5428="","",IFERROR(_xlfn.XLOOKUP(D1388:D5428,'参照_勢力'!A:A,'参照_勢力'!B:B),IFERROR(_xlfn.XLOOKUP(F1388:F5428,kunishuClan!A:A,kunishuClan!B:B),"浪人")))</f>
      </c>
      <c r="F1388" s="4">
        <v>0</v>
      </c>
      <c r="G1388" s="4">
        <v>232</v>
      </c>
      <c r="H1388" s="12" t="str">
        <f t="array" ref="H1388">IF(G1388:G5428="","",_xlfn.XLOOKUP(G1388:G5428,castles_state!A:A,castles_state!D:D,"見つかりません"))</f>
      </c>
      <c r="I1388" s="4"/>
      <c r="J1388" s="12" t="str">
        <f t="array" ref="J1388">IF(I1388:I5428="","",_xlfn.XLOOKUP(I1388:I5428,'参照_姫'!A:A,'参照_姫'!B:B,"見つかりません"))</f>
      </c>
      <c r="K1388" s="4">
        <v>95</v>
      </c>
      <c r="L1388" s="4">
        <v>500</v>
      </c>
      <c r="M1388" s="4"/>
      <c r="N1388" s="4"/>
      <c r="O1388" s="4"/>
      <c r="P1388" s="12" t="str">
        <f t="array" ref="P1388">IF(O1388:O5428="","",_xlfn.XLOOKUP(O1388:O5428,'参照_官位'!A:A,'参照_官位'!B:B,""))</f>
      </c>
      <c r="Q1388" s="12" t="str">
        <f t="array" ref="Q1388">IF(A1388:A5428="","",IFERROR(_xlfn.XLOOKUP(A1388:A5428,castles_state!K:K,castles_state!D:D)&amp;"主",IFERROR(_xlfn.XLOOKUP(A1388:A5428,kunishuClan!D:D,kunishuClan!B:B)&amp;"当主","")))</f>
      </c>
    </row>
    <row r="1389" ht="15.75" customHeight="1">
      <c r="A1389" s="4">
        <v>1029009</v>
      </c>
      <c r="B1389" s="12" t="str">
        <f t="array" ref="B1389">IF(A1389:A5429="","",_xlfn.XLOOKUP(A1389:A5429,'参照_武将'!A:A,'参照_武将'!B:B,"見つかりません"))</f>
      </c>
      <c r="C1389" s="4" t="s">
        <v>182</v>
      </c>
      <c r="D1389" s="4">
        <v>29</v>
      </c>
      <c r="E1389" s="12" t="str">
        <f t="array" ref="E1389">IF(D1389:D5429="","",IFERROR(_xlfn.XLOOKUP(D1389:D5429,'参照_勢力'!A:A,'参照_勢力'!B:B),IFERROR(_xlfn.XLOOKUP(F1389:F5429,kunishuClan!A:A,kunishuClan!B:B),"浪人")))</f>
      </c>
      <c r="F1389" s="4">
        <v>0</v>
      </c>
      <c r="G1389" s="4">
        <v>232</v>
      </c>
      <c r="H1389" s="12" t="str">
        <f t="array" ref="H1389">IF(G1389:G5429="","",_xlfn.XLOOKUP(G1389:G5429,castles_state!A:A,castles_state!D:D,"見つかりません"))</f>
      </c>
      <c r="I1389" s="4"/>
      <c r="J1389" s="12" t="str">
        <f t="array" ref="J1389">IF(I1389:I5429="","",_xlfn.XLOOKUP(I1389:I5429,'参照_姫'!A:A,'参照_姫'!B:B,"見つかりません"))</f>
      </c>
      <c r="K1389" s="4">
        <v>95</v>
      </c>
      <c r="L1389" s="4">
        <v>0</v>
      </c>
      <c r="M1389" s="4"/>
      <c r="N1389" s="4"/>
      <c r="O1389" s="4"/>
      <c r="P1389" s="12" t="str">
        <f t="array" ref="P1389">IF(O1389:O5429="","",_xlfn.XLOOKUP(O1389:O5429,'参照_官位'!A:A,'参照_官位'!B:B,""))</f>
      </c>
      <c r="Q1389" s="12" t="str">
        <f t="array" ref="Q1389">IF(A1389:A5429="","",IFERROR(_xlfn.XLOOKUP(A1389:A5429,castles_state!K:K,castles_state!D:D)&amp;"主",IFERROR(_xlfn.XLOOKUP(A1389:A5429,kunishuClan!D:D,kunishuClan!B:B)&amp;"当主","")))</f>
      </c>
    </row>
    <row r="1390" ht="15.75" customHeight="1">
      <c r="A1390" s="4">
        <v>1029010</v>
      </c>
      <c r="B1390" s="12" t="str">
        <f t="array" ref="B1390">IF(A1390:A5430="","",_xlfn.XLOOKUP(A1390:A5430,'参照_武将'!A:A,'参照_武将'!B:B,"見つかりません"))</f>
      </c>
      <c r="C1390" s="4" t="s">
        <v>182</v>
      </c>
      <c r="D1390" s="4">
        <v>29</v>
      </c>
      <c r="E1390" s="12" t="str">
        <f t="array" ref="E1390">IF(D1390:D5430="","",IFERROR(_xlfn.XLOOKUP(D1390:D5430,'参照_勢力'!A:A,'参照_勢力'!B:B),IFERROR(_xlfn.XLOOKUP(F1390:F5430,kunishuClan!A:A,kunishuClan!B:B),"浪人")))</f>
      </c>
      <c r="F1390" s="4">
        <v>0</v>
      </c>
      <c r="G1390" s="4">
        <v>37</v>
      </c>
      <c r="H1390" s="12" t="str">
        <f t="array" ref="H1390">IF(G1390:G5430="","",_xlfn.XLOOKUP(G1390:G5430,castles_state!A:A,castles_state!D:D,"見つかりません"))</f>
      </c>
      <c r="I1390" s="4"/>
      <c r="J1390" s="12" t="str">
        <f t="array" ref="J1390">IF(I1390:I5430="","",_xlfn.XLOOKUP(I1390:I5430,'参照_姫'!A:A,'参照_姫'!B:B,"見つかりません"))</f>
      </c>
      <c r="K1390" s="4">
        <v>100</v>
      </c>
      <c r="L1390" s="4">
        <v>1500</v>
      </c>
      <c r="M1390" s="4"/>
      <c r="N1390" s="4"/>
      <c r="O1390" s="4">
        <v>65</v>
      </c>
      <c r="P1390" s="12" t="str">
        <f t="array" ref="P1390">IF(O1390:O5430="","",_xlfn.XLOOKUP(O1390:O5430,'参照_官位'!A:A,'参照_官位'!B:B,""))</f>
      </c>
      <c r="Q1390" s="12" t="str">
        <f t="array" ref="Q1390">IF(A1390:A5430="","",IFERROR(_xlfn.XLOOKUP(A1390:A5430,castles_state!K:K,castles_state!D:D)&amp;"主",IFERROR(_xlfn.XLOOKUP(A1390:A5430,kunishuClan!D:D,kunishuClan!B:B)&amp;"当主","")))</f>
      </c>
    </row>
    <row r="1391" ht="15.75" customHeight="1">
      <c r="A1391" s="4">
        <v>1029011</v>
      </c>
      <c r="B1391" s="12" t="str">
        <f t="array" ref="B1391">IF(A1391:A5431="","",_xlfn.XLOOKUP(A1391:A5431,'参照_武将'!A:A,'参照_武将'!B:B,"見つかりません"))</f>
      </c>
      <c r="C1391" s="4" t="s">
        <v>182</v>
      </c>
      <c r="D1391" s="4">
        <v>29</v>
      </c>
      <c r="E1391" s="12" t="str">
        <f t="array" ref="E1391">IF(D1391:D5431="","",IFERROR(_xlfn.XLOOKUP(D1391:D5431,'参照_勢力'!A:A,'参照_勢力'!B:B),IFERROR(_xlfn.XLOOKUP(F1391:F5431,kunishuClan!A:A,kunishuClan!B:B),"浪人")))</f>
      </c>
      <c r="F1391" s="4">
        <v>0</v>
      </c>
      <c r="G1391" s="4">
        <v>232</v>
      </c>
      <c r="H1391" s="12" t="str">
        <f t="array" ref="H1391">IF(G1391:G5431="","",_xlfn.XLOOKUP(G1391:G5431,castles_state!A:A,castles_state!D:D,"見つかりません"))</f>
      </c>
      <c r="I1391" s="4"/>
      <c r="J1391" s="12" t="str">
        <f t="array" ref="J1391">IF(I1391:I5431="","",_xlfn.XLOOKUP(I1391:I5431,'参照_姫'!A:A,'参照_姫'!B:B,"見つかりません"))</f>
      </c>
      <c r="K1391" s="4">
        <v>95</v>
      </c>
      <c r="L1391" s="4">
        <v>0</v>
      </c>
      <c r="M1391" s="4"/>
      <c r="N1391" s="4"/>
      <c r="O1391" s="4"/>
      <c r="P1391" s="12" t="str">
        <f t="array" ref="P1391">IF(O1391:O5431="","",_xlfn.XLOOKUP(O1391:O5431,'参照_官位'!A:A,'参照_官位'!B:B,""))</f>
      </c>
      <c r="Q1391" s="12" t="str">
        <f t="array" ref="Q1391">IF(A1391:A5431="","",IFERROR(_xlfn.XLOOKUP(A1391:A5431,castles_state!K:K,castles_state!D:D)&amp;"主",IFERROR(_xlfn.XLOOKUP(A1391:A5431,kunishuClan!D:D,kunishuClan!B:B)&amp;"当主","")))</f>
      </c>
    </row>
    <row r="1392" ht="15.75" customHeight="1">
      <c r="A1392" s="4">
        <v>1029012</v>
      </c>
      <c r="B1392" s="12" t="str">
        <f t="array" ref="B1392">IF(A1392:A5432="","",_xlfn.XLOOKUP(A1392:A5432,'参照_武将'!A:A,'参照_武将'!B:B,"見つかりません"))</f>
      </c>
      <c r="C1392" s="4" t="s">
        <v>182</v>
      </c>
      <c r="D1392" s="4">
        <v>29</v>
      </c>
      <c r="E1392" s="12" t="str">
        <f t="array" ref="E1392">IF(D1392:D5432="","",IFERROR(_xlfn.XLOOKUP(D1392:D5432,'参照_勢力'!A:A,'参照_勢力'!B:B),IFERROR(_xlfn.XLOOKUP(F1392:F5432,kunishuClan!A:A,kunishuClan!B:B),"浪人")))</f>
      </c>
      <c r="F1392" s="4">
        <v>0</v>
      </c>
      <c r="G1392" s="4">
        <v>232</v>
      </c>
      <c r="H1392" s="12" t="str">
        <f t="array" ref="H1392">IF(G1392:G5432="","",_xlfn.XLOOKUP(G1392:G5432,castles_state!A:A,castles_state!D:D,"見つかりません"))</f>
      </c>
      <c r="I1392" s="4"/>
      <c r="J1392" s="12" t="str">
        <f t="array" ref="J1392">IF(I1392:I5432="","",_xlfn.XLOOKUP(I1392:I5432,'参照_姫'!A:A,'参照_姫'!B:B,"見つかりません"))</f>
      </c>
      <c r="K1392" s="4">
        <v>95</v>
      </c>
      <c r="L1392" s="4">
        <v>0</v>
      </c>
      <c r="M1392" s="4"/>
      <c r="N1392" s="4"/>
      <c r="O1392" s="4"/>
      <c r="P1392" s="12" t="str">
        <f t="array" ref="P1392">IF(O1392:O5432="","",_xlfn.XLOOKUP(O1392:O5432,'参照_官位'!A:A,'参照_官位'!B:B,""))</f>
      </c>
      <c r="Q1392" s="12" t="str">
        <f t="array" ref="Q1392">IF(A1392:A5432="","",IFERROR(_xlfn.XLOOKUP(A1392:A5432,castles_state!K:K,castles_state!D:D)&amp;"主",IFERROR(_xlfn.XLOOKUP(A1392:A5432,kunishuClan!D:D,kunishuClan!B:B)&amp;"当主","")))</f>
      </c>
    </row>
    <row r="1393" ht="15.75" customHeight="1">
      <c r="A1393" s="4">
        <v>1029013</v>
      </c>
      <c r="B1393" s="12" t="str">
        <f t="array" ref="B1393">IF(A1393:A5433="","",_xlfn.XLOOKUP(A1393:A5433,'参照_武将'!A:A,'参照_武将'!B:B,"見つかりません"))</f>
      </c>
      <c r="C1393" s="4" t="s">
        <v>182</v>
      </c>
      <c r="D1393" s="4">
        <v>29</v>
      </c>
      <c r="E1393" s="12" t="str">
        <f t="array" ref="E1393">IF(D1393:D5433="","",IFERROR(_xlfn.XLOOKUP(D1393:D5433,'参照_勢力'!A:A,'参照_勢力'!B:B),IFERROR(_xlfn.XLOOKUP(F1393:F5433,kunishuClan!A:A,kunishuClan!B:B),"浪人")))</f>
      </c>
      <c r="F1393" s="4">
        <v>0</v>
      </c>
      <c r="G1393" s="4">
        <v>232</v>
      </c>
      <c r="H1393" s="12" t="str">
        <f t="array" ref="H1393">IF(G1393:G5433="","",_xlfn.XLOOKUP(G1393:G5433,castles_state!A:A,castles_state!D:D,"見つかりません"))</f>
      </c>
      <c r="I1393" s="4"/>
      <c r="J1393" s="12" t="str">
        <f t="array" ref="J1393">IF(I1393:I5433="","",_xlfn.XLOOKUP(I1393:I5433,'参照_姫'!A:A,'参照_姫'!B:B,"見つかりません"))</f>
      </c>
      <c r="K1393" s="4">
        <v>95</v>
      </c>
      <c r="L1393" s="4">
        <v>200</v>
      </c>
      <c r="M1393" s="4"/>
      <c r="N1393" s="4"/>
      <c r="O1393" s="4"/>
      <c r="P1393" s="12" t="str">
        <f t="array" ref="P1393">IF(O1393:O5433="","",_xlfn.XLOOKUP(O1393:O5433,'参照_官位'!A:A,'参照_官位'!B:B,""))</f>
      </c>
      <c r="Q1393" s="12" t="str">
        <f t="array" ref="Q1393">IF(A1393:A5433="","",IFERROR(_xlfn.XLOOKUP(A1393:A5433,castles_state!K:K,castles_state!D:D)&amp;"主",IFERROR(_xlfn.XLOOKUP(A1393:A5433,kunishuClan!D:D,kunishuClan!B:B)&amp;"当主","")))</f>
      </c>
    </row>
    <row r="1394" ht="15.75" customHeight="1">
      <c r="A1394" s="4">
        <v>1029014</v>
      </c>
      <c r="B1394" s="12" t="str">
        <f t="array" ref="B1394">IF(A1394:A5434="","",_xlfn.XLOOKUP(A1394:A5434,'参照_武将'!A:A,'参照_武将'!B:B,"見つかりません"))</f>
      </c>
      <c r="C1394" s="4" t="s">
        <v>182</v>
      </c>
      <c r="D1394" s="4">
        <v>29</v>
      </c>
      <c r="E1394" s="12" t="str">
        <f t="array" ref="E1394">IF(D1394:D5434="","",IFERROR(_xlfn.XLOOKUP(D1394:D5434,'参照_勢力'!A:A,'参照_勢力'!B:B),IFERROR(_xlfn.XLOOKUP(F1394:F5434,kunishuClan!A:A,kunishuClan!B:B),"浪人")))</f>
      </c>
      <c r="F1394" s="4">
        <v>0</v>
      </c>
      <c r="G1394" s="4">
        <v>232</v>
      </c>
      <c r="H1394" s="12" t="str">
        <f t="array" ref="H1394">IF(G1394:G5434="","",_xlfn.XLOOKUP(G1394:G5434,castles_state!A:A,castles_state!D:D,"見つかりません"))</f>
      </c>
      <c r="I1394" s="4"/>
      <c r="J1394" s="12" t="str">
        <f t="array" ref="J1394">IF(I1394:I5434="","",_xlfn.XLOOKUP(I1394:I5434,'参照_姫'!A:A,'参照_姫'!B:B,"見つかりません"))</f>
      </c>
      <c r="K1394" s="4">
        <v>95</v>
      </c>
      <c r="L1394" s="4">
        <v>100</v>
      </c>
      <c r="M1394" s="4"/>
      <c r="N1394" s="4"/>
      <c r="O1394" s="4"/>
      <c r="P1394" s="12" t="str">
        <f t="array" ref="P1394">IF(O1394:O5434="","",_xlfn.XLOOKUP(O1394:O5434,'参照_官位'!A:A,'参照_官位'!B:B,""))</f>
      </c>
      <c r="Q1394" s="12" t="str">
        <f t="array" ref="Q1394">IF(A1394:A5434="","",IFERROR(_xlfn.XLOOKUP(A1394:A5434,castles_state!K:K,castles_state!D:D)&amp;"主",IFERROR(_xlfn.XLOOKUP(A1394:A5434,kunishuClan!D:D,kunishuClan!B:B)&amp;"当主","")))</f>
      </c>
    </row>
    <row r="1395" ht="15.75" customHeight="1">
      <c r="A1395" s="4">
        <v>1029015</v>
      </c>
      <c r="B1395" s="12" t="str">
        <f t="array" ref="B1395">IF(A1395:A5435="","",_xlfn.XLOOKUP(A1395:A5435,'参照_武将'!A:A,'参照_武将'!B:B,"見つかりません"))</f>
      </c>
      <c r="C1395" s="4" t="s">
        <v>182</v>
      </c>
      <c r="D1395" s="4">
        <v>29</v>
      </c>
      <c r="E1395" s="12" t="str">
        <f t="array" ref="E1395">IF(D1395:D5435="","",IFERROR(_xlfn.XLOOKUP(D1395:D5435,'参照_勢力'!A:A,'参照_勢力'!B:B),IFERROR(_xlfn.XLOOKUP(F1395:F5435,kunishuClan!A:A,kunishuClan!B:B),"浪人")))</f>
      </c>
      <c r="F1395" s="4">
        <v>0</v>
      </c>
      <c r="G1395" s="4">
        <v>232</v>
      </c>
      <c r="H1395" s="12" t="str">
        <f t="array" ref="H1395">IF(G1395:G5435="","",_xlfn.XLOOKUP(G1395:G5435,castles_state!A:A,castles_state!D:D,"見つかりません"))</f>
      </c>
      <c r="I1395" s="4"/>
      <c r="J1395" s="12" t="str">
        <f t="array" ref="J1395">IF(I1395:I5435="","",_xlfn.XLOOKUP(I1395:I5435,'参照_姫'!A:A,'参照_姫'!B:B,"見つかりません"))</f>
      </c>
      <c r="K1395" s="4">
        <v>95</v>
      </c>
      <c r="L1395" s="4">
        <v>0</v>
      </c>
      <c r="M1395" s="4"/>
      <c r="N1395" s="4"/>
      <c r="O1395" s="4"/>
      <c r="P1395" s="12" t="str">
        <f t="array" ref="P1395">IF(O1395:O5435="","",_xlfn.XLOOKUP(O1395:O5435,'参照_官位'!A:A,'参照_官位'!B:B,""))</f>
      </c>
      <c r="Q1395" s="12" t="str">
        <f t="array" ref="Q1395">IF(A1395:A5435="","",IFERROR(_xlfn.XLOOKUP(A1395:A5435,castles_state!K:K,castles_state!D:D)&amp;"主",IFERROR(_xlfn.XLOOKUP(A1395:A5435,kunishuClan!D:D,kunishuClan!B:B)&amp;"当主","")))</f>
      </c>
    </row>
    <row r="1396" ht="15.75" customHeight="1">
      <c r="A1396" s="4">
        <v>1029016</v>
      </c>
      <c r="B1396" s="12" t="str">
        <f t="array" ref="B1396">IF(A1396:A5436="","",_xlfn.XLOOKUP(A1396:A5436,'参照_武将'!A:A,'参照_武将'!B:B,"見つかりません"))</f>
      </c>
      <c r="C1396" s="4" t="s">
        <v>182</v>
      </c>
      <c r="D1396" s="4">
        <v>29</v>
      </c>
      <c r="E1396" s="12" t="str">
        <f t="array" ref="E1396">IF(D1396:D5436="","",IFERROR(_xlfn.XLOOKUP(D1396:D5436,'参照_勢力'!A:A,'参照_勢力'!B:B),IFERROR(_xlfn.XLOOKUP(F1396:F5436,kunishuClan!A:A,kunishuClan!B:B),"浪人")))</f>
      </c>
      <c r="F1396" s="4">
        <v>0</v>
      </c>
      <c r="G1396" s="4">
        <v>232</v>
      </c>
      <c r="H1396" s="12" t="str">
        <f t="array" ref="H1396">IF(G1396:G5436="","",_xlfn.XLOOKUP(G1396:G5436,castles_state!A:A,castles_state!D:D,"見つかりません"))</f>
      </c>
      <c r="I1396" s="4"/>
      <c r="J1396" s="12" t="str">
        <f t="array" ref="J1396">IF(I1396:I5436="","",_xlfn.XLOOKUP(I1396:I5436,'参照_姫'!A:A,'参照_姫'!B:B,"見つかりません"))</f>
      </c>
      <c r="K1396" s="4">
        <v>95</v>
      </c>
      <c r="L1396" s="4">
        <v>0</v>
      </c>
      <c r="M1396" s="4"/>
      <c r="N1396" s="4"/>
      <c r="O1396" s="4"/>
      <c r="P1396" s="12" t="str">
        <f t="array" ref="P1396">IF(O1396:O5436="","",_xlfn.XLOOKUP(O1396:O5436,'参照_官位'!A:A,'参照_官位'!B:B,""))</f>
      </c>
      <c r="Q1396" s="12" t="str">
        <f t="array" ref="Q1396">IF(A1396:A5436="","",IFERROR(_xlfn.XLOOKUP(A1396:A5436,castles_state!K:K,castles_state!D:D)&amp;"主",IFERROR(_xlfn.XLOOKUP(A1396:A5436,kunishuClan!D:D,kunishuClan!B:B)&amp;"当主","")))</f>
      </c>
    </row>
    <row r="1397" ht="15.75" customHeight="1">
      <c r="A1397" s="4">
        <v>1029017</v>
      </c>
      <c r="B1397" s="12" t="str">
        <f t="array" ref="B1397">IF(A1397:A5437="","",_xlfn.XLOOKUP(A1397:A5437,'参照_武将'!A:A,'参照_武将'!B:B,"見つかりません"))</f>
      </c>
      <c r="C1397" s="4" t="s">
        <v>182</v>
      </c>
      <c r="D1397" s="4">
        <v>29</v>
      </c>
      <c r="E1397" s="12" t="str">
        <f t="array" ref="E1397">IF(D1397:D5437="","",IFERROR(_xlfn.XLOOKUP(D1397:D5437,'参照_勢力'!A:A,'参照_勢力'!B:B),IFERROR(_xlfn.XLOOKUP(F1397:F5437,kunishuClan!A:A,kunishuClan!B:B),"浪人")))</f>
      </c>
      <c r="F1397" s="4">
        <v>0</v>
      </c>
      <c r="G1397" s="4">
        <v>37</v>
      </c>
      <c r="H1397" s="12" t="str">
        <f t="array" ref="H1397">IF(G1397:G5437="","",_xlfn.XLOOKUP(G1397:G5437,castles_state!A:A,castles_state!D:D,"見つかりません"))</f>
      </c>
      <c r="I1397" s="4"/>
      <c r="J1397" s="12" t="str">
        <f t="array" ref="J1397">IF(I1397:I5437="","",_xlfn.XLOOKUP(I1397:I5437,'参照_姫'!A:A,'参照_姫'!B:B,"見つかりません"))</f>
      </c>
      <c r="K1397" s="4">
        <v>90</v>
      </c>
      <c r="L1397" s="4">
        <v>200</v>
      </c>
      <c r="M1397" s="4"/>
      <c r="N1397" s="4"/>
      <c r="O1397" s="4"/>
      <c r="P1397" s="12" t="str">
        <f t="array" ref="P1397">IF(O1397:O5437="","",_xlfn.XLOOKUP(O1397:O5437,'参照_官位'!A:A,'参照_官位'!B:B,""))</f>
      </c>
      <c r="Q1397" s="12" t="str">
        <f t="array" ref="Q1397">IF(A1397:A5437="","",IFERROR(_xlfn.XLOOKUP(A1397:A5437,castles_state!K:K,castles_state!D:D)&amp;"主",IFERROR(_xlfn.XLOOKUP(A1397:A5437,kunishuClan!D:D,kunishuClan!B:B)&amp;"当主","")))</f>
      </c>
    </row>
    <row r="1398" ht="15.75" customHeight="1">
      <c r="A1398" s="4">
        <v>1029018</v>
      </c>
      <c r="B1398" s="12" t="str">
        <f t="array" ref="B1398">IF(A1398:A5438="","",_xlfn.XLOOKUP(A1398:A5438,'参照_武将'!A:A,'参照_武将'!B:B,"見つかりません"))</f>
      </c>
      <c r="C1398" s="4" t="s">
        <v>182</v>
      </c>
      <c r="D1398" s="4">
        <v>29</v>
      </c>
      <c r="E1398" s="12" t="str">
        <f t="array" ref="E1398">IF(D1398:D5438="","",IFERROR(_xlfn.XLOOKUP(D1398:D5438,'参照_勢力'!A:A,'参照_勢力'!B:B),IFERROR(_xlfn.XLOOKUP(F1398:F5438,kunishuClan!A:A,kunishuClan!B:B),"浪人")))</f>
      </c>
      <c r="F1398" s="4">
        <v>0</v>
      </c>
      <c r="G1398" s="4">
        <v>37</v>
      </c>
      <c r="H1398" s="12" t="str">
        <f t="array" ref="H1398">IF(G1398:G5438="","",_xlfn.XLOOKUP(G1398:G5438,castles_state!A:A,castles_state!D:D,"見つかりません"))</f>
      </c>
      <c r="I1398" s="4"/>
      <c r="J1398" s="12" t="str">
        <f t="array" ref="J1398">IF(I1398:I5438="","",_xlfn.XLOOKUP(I1398:I5438,'参照_姫'!A:A,'参照_姫'!B:B,"見つかりません"))</f>
      </c>
      <c r="K1398" s="4">
        <v>95</v>
      </c>
      <c r="L1398" s="4">
        <v>0</v>
      </c>
      <c r="M1398" s="4"/>
      <c r="N1398" s="4"/>
      <c r="O1398" s="4"/>
      <c r="P1398" s="12" t="str">
        <f t="array" ref="P1398">IF(O1398:O5438="","",_xlfn.XLOOKUP(O1398:O5438,'参照_官位'!A:A,'参照_官位'!B:B,""))</f>
      </c>
      <c r="Q1398" s="12" t="str">
        <f t="array" ref="Q1398">IF(A1398:A5438="","",IFERROR(_xlfn.XLOOKUP(A1398:A5438,castles_state!K:K,castles_state!D:D)&amp;"主",IFERROR(_xlfn.XLOOKUP(A1398:A5438,kunishuClan!D:D,kunishuClan!B:B)&amp;"当主","")))</f>
      </c>
    </row>
    <row r="1399" ht="15.75" customHeight="1">
      <c r="A1399" s="4">
        <v>1029019</v>
      </c>
      <c r="B1399" s="12" t="str">
        <f t="array" ref="B1399">IF(A1399:A5439="","",_xlfn.XLOOKUP(A1399:A5439,'参照_武将'!A:A,'参照_武将'!B:B,"見つかりません"))</f>
      </c>
      <c r="C1399" s="4" t="s">
        <v>182</v>
      </c>
      <c r="D1399" s="4">
        <v>29</v>
      </c>
      <c r="E1399" s="12" t="str">
        <f t="array" ref="E1399">IF(D1399:D5439="","",IFERROR(_xlfn.XLOOKUP(D1399:D5439,'参照_勢力'!A:A,'参照_勢力'!B:B),IFERROR(_xlfn.XLOOKUP(F1399:F5439,kunishuClan!A:A,kunishuClan!B:B),"浪人")))</f>
      </c>
      <c r="F1399" s="4">
        <v>0</v>
      </c>
      <c r="G1399" s="4">
        <v>37</v>
      </c>
      <c r="H1399" s="12" t="str">
        <f t="array" ref="H1399">IF(G1399:G5439="","",_xlfn.XLOOKUP(G1399:G5439,castles_state!A:A,castles_state!D:D,"見つかりません"))</f>
      </c>
      <c r="I1399" s="4"/>
      <c r="J1399" s="12" t="str">
        <f t="array" ref="J1399">IF(I1399:I5439="","",_xlfn.XLOOKUP(I1399:I5439,'参照_姫'!A:A,'参照_姫'!B:B,"見つかりません"))</f>
      </c>
      <c r="K1399" s="4">
        <v>95</v>
      </c>
      <c r="L1399" s="4">
        <v>0</v>
      </c>
      <c r="M1399" s="4"/>
      <c r="N1399" s="4"/>
      <c r="O1399" s="4"/>
      <c r="P1399" s="12" t="str">
        <f t="array" ref="P1399">IF(O1399:O5439="","",_xlfn.XLOOKUP(O1399:O5439,'参照_官位'!A:A,'参照_官位'!B:B,""))</f>
      </c>
      <c r="Q1399" s="12" t="str">
        <f t="array" ref="Q1399">IF(A1399:A5439="","",IFERROR(_xlfn.XLOOKUP(A1399:A5439,castles_state!K:K,castles_state!D:D)&amp;"主",IFERROR(_xlfn.XLOOKUP(A1399:A5439,kunishuClan!D:D,kunishuClan!B:B)&amp;"当主","")))</f>
      </c>
    </row>
    <row r="1400" ht="15.75" customHeight="1">
      <c r="A1400" s="4">
        <v>1029020</v>
      </c>
      <c r="B1400" s="12" t="str">
        <f t="array" ref="B1400">IF(A1400:A5440="","",_xlfn.XLOOKUP(A1400:A5440,'参照_武将'!A:A,'参照_武将'!B:B,"見つかりません"))</f>
      </c>
      <c r="C1400" s="4" t="s">
        <v>182</v>
      </c>
      <c r="D1400" s="4">
        <v>29</v>
      </c>
      <c r="E1400" s="12" t="str">
        <f t="array" ref="E1400">IF(D1400:D5440="","",IFERROR(_xlfn.XLOOKUP(D1400:D5440,'参照_勢力'!A:A,'参照_勢力'!B:B),IFERROR(_xlfn.XLOOKUP(F1400:F5440,kunishuClan!A:A,kunishuClan!B:B),"浪人")))</f>
      </c>
      <c r="F1400" s="4">
        <v>0</v>
      </c>
      <c r="G1400" s="4">
        <v>37</v>
      </c>
      <c r="H1400" s="12" t="str">
        <f t="array" ref="H1400">IF(G1400:G5440="","",_xlfn.XLOOKUP(G1400:G5440,castles_state!A:A,castles_state!D:D,"見つかりません"))</f>
      </c>
      <c r="I1400" s="4"/>
      <c r="J1400" s="12" t="str">
        <f t="array" ref="J1400">IF(I1400:I5440="","",_xlfn.XLOOKUP(I1400:I5440,'参照_姫'!A:A,'参照_姫'!B:B,"見つかりません"))</f>
      </c>
      <c r="K1400" s="4">
        <v>95</v>
      </c>
      <c r="L1400" s="4">
        <v>0</v>
      </c>
      <c r="M1400" s="4"/>
      <c r="N1400" s="4"/>
      <c r="O1400" s="4"/>
      <c r="P1400" s="12" t="str">
        <f t="array" ref="P1400">IF(O1400:O5440="","",_xlfn.XLOOKUP(O1400:O5440,'参照_官位'!A:A,'参照_官位'!B:B,""))</f>
      </c>
      <c r="Q1400" s="12" t="str">
        <f t="array" ref="Q1400">IF(A1400:A5440="","",IFERROR(_xlfn.XLOOKUP(A1400:A5440,castles_state!K:K,castles_state!D:D)&amp;"主",IFERROR(_xlfn.XLOOKUP(A1400:A5440,kunishuClan!D:D,kunishuClan!B:B)&amp;"当主","")))</f>
      </c>
    </row>
    <row r="1401" ht="15.75" customHeight="1">
      <c r="A1401" s="4">
        <v>1029021</v>
      </c>
      <c r="B1401" s="12" t="str">
        <f t="array" ref="B1401">IF(A1401:A5441="","",_xlfn.XLOOKUP(A1401:A5441,'参照_武将'!A:A,'参照_武将'!B:B,"見つかりません"))</f>
      </c>
      <c r="C1401" s="4" t="s">
        <v>182</v>
      </c>
      <c r="D1401" s="4">
        <v>29</v>
      </c>
      <c r="E1401" s="12" t="str">
        <f t="array" ref="E1401">IF(D1401:D5441="","",IFERROR(_xlfn.XLOOKUP(D1401:D5441,'参照_勢力'!A:A,'参照_勢力'!B:B),IFERROR(_xlfn.XLOOKUP(F1401:F5441,kunishuClan!A:A,kunishuClan!B:B),"浪人")))</f>
      </c>
      <c r="F1401" s="4">
        <v>0</v>
      </c>
      <c r="G1401" s="4">
        <v>37</v>
      </c>
      <c r="H1401" s="12" t="str">
        <f t="array" ref="H1401">IF(G1401:G5441="","",_xlfn.XLOOKUP(G1401:G5441,castles_state!A:A,castles_state!D:D,"見つかりません"))</f>
      </c>
      <c r="I1401" s="4"/>
      <c r="J1401" s="12" t="str">
        <f t="array" ref="J1401">IF(I1401:I5441="","",_xlfn.XLOOKUP(I1401:I5441,'参照_姫'!A:A,'参照_姫'!B:B,"見つかりません"))</f>
      </c>
      <c r="K1401" s="4">
        <v>90</v>
      </c>
      <c r="L1401" s="4">
        <v>0</v>
      </c>
      <c r="M1401" s="4"/>
      <c r="N1401" s="4"/>
      <c r="O1401" s="4"/>
      <c r="P1401" s="12" t="str">
        <f t="array" ref="P1401">IF(O1401:O5441="","",_xlfn.XLOOKUP(O1401:O5441,'参照_官位'!A:A,'参照_官位'!B:B,""))</f>
      </c>
      <c r="Q1401" s="12" t="str">
        <f t="array" ref="Q1401">IF(A1401:A5441="","",IFERROR(_xlfn.XLOOKUP(A1401:A5441,castles_state!K:K,castles_state!D:D)&amp;"主",IFERROR(_xlfn.XLOOKUP(A1401:A5441,kunishuClan!D:D,kunishuClan!B:B)&amp;"当主","")))</f>
      </c>
    </row>
    <row r="1402" ht="15.75" customHeight="1">
      <c r="A1402" s="4">
        <v>1029022</v>
      </c>
      <c r="B1402" s="12" t="str">
        <f t="array" ref="B1402">IF(A1402:A5442="","",_xlfn.XLOOKUP(A1402:A5442,'参照_武将'!A:A,'参照_武将'!B:B,"見つかりません"))</f>
      </c>
      <c r="C1402" s="4" t="s">
        <v>182</v>
      </c>
      <c r="D1402" s="4">
        <v>29</v>
      </c>
      <c r="E1402" s="12" t="str">
        <f t="array" ref="E1402">IF(D1402:D5442="","",IFERROR(_xlfn.XLOOKUP(D1402:D5442,'参照_勢力'!A:A,'参照_勢力'!B:B),IFERROR(_xlfn.XLOOKUP(F1402:F5442,kunishuClan!A:A,kunishuClan!B:B),"浪人")))</f>
      </c>
      <c r="F1402" s="4">
        <v>0</v>
      </c>
      <c r="G1402" s="4">
        <v>37</v>
      </c>
      <c r="H1402" s="12" t="str">
        <f t="array" ref="H1402">IF(G1402:G5442="","",_xlfn.XLOOKUP(G1402:G5442,castles_state!A:A,castles_state!D:D,"見つかりません"))</f>
      </c>
      <c r="I1402" s="4"/>
      <c r="J1402" s="12" t="str">
        <f t="array" ref="J1402">IF(I1402:I5442="","",_xlfn.XLOOKUP(I1402:I5442,'参照_姫'!A:A,'参照_姫'!B:B,"見つかりません"))</f>
      </c>
      <c r="K1402" s="4">
        <v>90</v>
      </c>
      <c r="L1402" s="4">
        <v>100</v>
      </c>
      <c r="M1402" s="4"/>
      <c r="N1402" s="4" t="b">
        <v>1</v>
      </c>
      <c r="O1402" s="4"/>
      <c r="P1402" s="12" t="str">
        <f t="array" ref="P1402">IF(O1402:O5442="","",_xlfn.XLOOKUP(O1402:O5442,'参照_官位'!A:A,'参照_官位'!B:B,""))</f>
      </c>
      <c r="Q1402" s="12" t="str">
        <f t="array" ref="Q1402">IF(A1402:A5442="","",IFERROR(_xlfn.XLOOKUP(A1402:A5442,castles_state!K:K,castles_state!D:D)&amp;"主",IFERROR(_xlfn.XLOOKUP(A1402:A5442,kunishuClan!D:D,kunishuClan!B:B)&amp;"当主","")))</f>
      </c>
    </row>
    <row r="1403" ht="15.75" customHeight="1">
      <c r="A1403" s="4">
        <v>1029023</v>
      </c>
      <c r="B1403" s="12" t="str">
        <f t="array" ref="B1403">IF(A1403:A5443="","",_xlfn.XLOOKUP(A1403:A5443,'参照_武将'!A:A,'参照_武将'!B:B,"見つかりません"))</f>
      </c>
      <c r="C1403" s="4" t="s">
        <v>182</v>
      </c>
      <c r="D1403" s="4">
        <v>29</v>
      </c>
      <c r="E1403" s="12" t="str">
        <f t="array" ref="E1403">IF(D1403:D5443="","",IFERROR(_xlfn.XLOOKUP(D1403:D5443,'参照_勢力'!A:A,'参照_勢力'!B:B),IFERROR(_xlfn.XLOOKUP(F1403:F5443,kunishuClan!A:A,kunishuClan!B:B),"浪人")))</f>
      </c>
      <c r="F1403" s="4">
        <v>0</v>
      </c>
      <c r="G1403" s="4">
        <v>37</v>
      </c>
      <c r="H1403" s="12" t="str">
        <f t="array" ref="H1403">IF(G1403:G5443="","",_xlfn.XLOOKUP(G1403:G5443,castles_state!A:A,castles_state!D:D,"見つかりません"))</f>
      </c>
      <c r="I1403" s="4"/>
      <c r="J1403" s="12" t="str">
        <f t="array" ref="J1403">IF(I1403:I5443="","",_xlfn.XLOOKUP(I1403:I5443,'参照_姫'!A:A,'参照_姫'!B:B,"見つかりません"))</f>
      </c>
      <c r="K1403" s="4">
        <v>90</v>
      </c>
      <c r="L1403" s="4">
        <v>200</v>
      </c>
      <c r="M1403" s="4"/>
      <c r="N1403" s="4"/>
      <c r="O1403" s="4"/>
      <c r="P1403" s="12" t="str">
        <f t="array" ref="P1403">IF(O1403:O5443="","",_xlfn.XLOOKUP(O1403:O5443,'参照_官位'!A:A,'参照_官位'!B:B,""))</f>
      </c>
      <c r="Q1403" s="12" t="str">
        <f t="array" ref="Q1403">IF(A1403:A5443="","",IFERROR(_xlfn.XLOOKUP(A1403:A5443,castles_state!K:K,castles_state!D:D)&amp;"主",IFERROR(_xlfn.XLOOKUP(A1403:A5443,kunishuClan!D:D,kunishuClan!B:B)&amp;"当主","")))</f>
      </c>
    </row>
    <row r="1404" ht="15.75" customHeight="1">
      <c r="A1404" s="4">
        <v>1029024</v>
      </c>
      <c r="B1404" s="12" t="str">
        <f t="array" ref="B1404">IF(A1404:A5444="","",_xlfn.XLOOKUP(A1404:A5444,'参照_武将'!A:A,'参照_武将'!B:B,"見つかりません"))</f>
      </c>
      <c r="C1404" s="4" t="s">
        <v>182</v>
      </c>
      <c r="D1404" s="4">
        <v>29</v>
      </c>
      <c r="E1404" s="12" t="str">
        <f t="array" ref="E1404">IF(D1404:D5444="","",IFERROR(_xlfn.XLOOKUP(D1404:D5444,'参照_勢力'!A:A,'参照_勢力'!B:B),IFERROR(_xlfn.XLOOKUP(F1404:F5444,kunishuClan!A:A,kunishuClan!B:B),"浪人")))</f>
      </c>
      <c r="F1404" s="4">
        <v>0</v>
      </c>
      <c r="G1404" s="4">
        <v>37</v>
      </c>
      <c r="H1404" s="12" t="str">
        <f t="array" ref="H1404">IF(G1404:G5444="","",_xlfn.XLOOKUP(G1404:G5444,castles_state!A:A,castles_state!D:D,"見つかりません"))</f>
      </c>
      <c r="I1404" s="4"/>
      <c r="J1404" s="12" t="str">
        <f t="array" ref="J1404">IF(I1404:I5444="","",_xlfn.XLOOKUP(I1404:I5444,'参照_姫'!A:A,'参照_姫'!B:B,"見つかりません"))</f>
      </c>
      <c r="K1404" s="4">
        <v>90</v>
      </c>
      <c r="L1404" s="4">
        <v>0</v>
      </c>
      <c r="M1404" s="4"/>
      <c r="N1404" s="4"/>
      <c r="O1404" s="4"/>
      <c r="P1404" s="12" t="str">
        <f t="array" ref="P1404">IF(O1404:O5444="","",_xlfn.XLOOKUP(O1404:O5444,'参照_官位'!A:A,'参照_官位'!B:B,""))</f>
      </c>
      <c r="Q1404" s="12" t="str">
        <f t="array" ref="Q1404">IF(A1404:A5444="","",IFERROR(_xlfn.XLOOKUP(A1404:A5444,castles_state!K:K,castles_state!D:D)&amp;"主",IFERROR(_xlfn.XLOOKUP(A1404:A5444,kunishuClan!D:D,kunishuClan!B:B)&amp;"当主","")))</f>
      </c>
    </row>
    <row r="1405" ht="15.75" customHeight="1">
      <c r="A1405" s="4">
        <v>1029025</v>
      </c>
      <c r="B1405" s="12" t="str">
        <f t="array" ref="B1405">IF(A1405:A5445="","",_xlfn.XLOOKUP(A1405:A5445,'参照_武将'!A:A,'参照_武将'!B:B,"見つかりません"))</f>
      </c>
      <c r="C1405" s="4" t="s">
        <v>182</v>
      </c>
      <c r="D1405" s="4">
        <v>29</v>
      </c>
      <c r="E1405" s="12" t="str">
        <f t="array" ref="E1405">IF(D1405:D5445="","",IFERROR(_xlfn.XLOOKUP(D1405:D5445,'参照_勢力'!A:A,'参照_勢力'!B:B),IFERROR(_xlfn.XLOOKUP(F1405:F5445,kunishuClan!A:A,kunishuClan!B:B),"浪人")))</f>
      </c>
      <c r="F1405" s="4">
        <v>0</v>
      </c>
      <c r="G1405" s="4">
        <v>37</v>
      </c>
      <c r="H1405" s="12" t="str">
        <f t="array" ref="H1405">IF(G1405:G5445="","",_xlfn.XLOOKUP(G1405:G5445,castles_state!A:A,castles_state!D:D,"見つかりません"))</f>
      </c>
      <c r="I1405" s="4"/>
      <c r="J1405" s="12" t="str">
        <f t="array" ref="J1405">IF(I1405:I5445="","",_xlfn.XLOOKUP(I1405:I5445,'参照_姫'!A:A,'参照_姫'!B:B,"見つかりません"))</f>
      </c>
      <c r="K1405" s="4">
        <v>90</v>
      </c>
      <c r="L1405" s="4">
        <v>0</v>
      </c>
      <c r="M1405" s="4"/>
      <c r="N1405" s="4"/>
      <c r="O1405" s="4"/>
      <c r="P1405" s="12" t="str">
        <f t="array" ref="P1405">IF(O1405:O5445="","",_xlfn.XLOOKUP(O1405:O5445,'参照_官位'!A:A,'参照_官位'!B:B,""))</f>
      </c>
      <c r="Q1405" s="12" t="str">
        <f t="array" ref="Q1405">IF(A1405:A5445="","",IFERROR(_xlfn.XLOOKUP(A1405:A5445,castles_state!K:K,castles_state!D:D)&amp;"主",IFERROR(_xlfn.XLOOKUP(A1405:A5445,kunishuClan!D:D,kunishuClan!B:B)&amp;"当主","")))</f>
      </c>
    </row>
    <row r="1406" ht="15.75" customHeight="1">
      <c r="A1406" s="4">
        <v>1029026</v>
      </c>
      <c r="B1406" s="12" t="str">
        <f t="array" ref="B1406">IF(A1406:A5446="","",_xlfn.XLOOKUP(A1406:A5446,'参照_武将'!A:A,'参照_武将'!B:B,"見つかりません"))</f>
      </c>
      <c r="C1406" s="4" t="s">
        <v>182</v>
      </c>
      <c r="D1406" s="4">
        <v>29</v>
      </c>
      <c r="E1406" s="12" t="str">
        <f t="array" ref="E1406">IF(D1406:D5446="","",IFERROR(_xlfn.XLOOKUP(D1406:D5446,'参照_勢力'!A:A,'参照_勢力'!B:B),IFERROR(_xlfn.XLOOKUP(F1406:F5446,kunishuClan!A:A,kunishuClan!B:B),"浪人")))</f>
      </c>
      <c r="F1406" s="4">
        <v>0</v>
      </c>
      <c r="G1406" s="4">
        <v>37</v>
      </c>
      <c r="H1406" s="12" t="str">
        <f t="array" ref="H1406">IF(G1406:G5446="","",_xlfn.XLOOKUP(G1406:G5446,castles_state!A:A,castles_state!D:D,"見つかりません"))</f>
      </c>
      <c r="I1406" s="4"/>
      <c r="J1406" s="12" t="str">
        <f t="array" ref="J1406">IF(I1406:I5446="","",_xlfn.XLOOKUP(I1406:I5446,'参照_姫'!A:A,'参照_姫'!B:B,"見つかりません"))</f>
      </c>
      <c r="K1406" s="4">
        <v>90</v>
      </c>
      <c r="L1406" s="4">
        <v>0</v>
      </c>
      <c r="M1406" s="4"/>
      <c r="N1406" s="4"/>
      <c r="O1406" s="4"/>
      <c r="P1406" s="12" t="str">
        <f t="array" ref="P1406">IF(O1406:O5446="","",_xlfn.XLOOKUP(O1406:O5446,'参照_官位'!A:A,'参照_官位'!B:B,""))</f>
      </c>
      <c r="Q1406" s="12" t="str">
        <f t="array" ref="Q1406">IF(A1406:A5446="","",IFERROR(_xlfn.XLOOKUP(A1406:A5446,castles_state!K:K,castles_state!D:D)&amp;"主",IFERROR(_xlfn.XLOOKUP(A1406:A5446,kunishuClan!D:D,kunishuClan!B:B)&amp;"当主","")))</f>
      </c>
    </row>
    <row r="1407" ht="15.75" customHeight="1">
      <c r="A1407" s="4">
        <v>1029027</v>
      </c>
      <c r="B1407" s="12" t="str">
        <f t="array" ref="B1407">IF(A1407:A5447="","",_xlfn.XLOOKUP(A1407:A5447,'参照_武将'!A:A,'参照_武将'!B:B,"見つかりません"))</f>
      </c>
      <c r="C1407" s="4" t="s">
        <v>182</v>
      </c>
      <c r="D1407" s="4">
        <v>29</v>
      </c>
      <c r="E1407" s="12" t="str">
        <f t="array" ref="E1407">IF(D1407:D5447="","",IFERROR(_xlfn.XLOOKUP(D1407:D5447,'参照_勢力'!A:A,'参照_勢力'!B:B),IFERROR(_xlfn.XLOOKUP(F1407:F5447,kunishuClan!A:A,kunishuClan!B:B),"浪人")))</f>
      </c>
      <c r="F1407" s="4">
        <v>0</v>
      </c>
      <c r="G1407" s="4">
        <v>37</v>
      </c>
      <c r="H1407" s="12" t="str">
        <f t="array" ref="H1407">IF(G1407:G5447="","",_xlfn.XLOOKUP(G1407:G5447,castles_state!A:A,castles_state!D:D,"見つかりません"))</f>
      </c>
      <c r="I1407" s="4"/>
      <c r="J1407" s="12" t="str">
        <f t="array" ref="J1407">IF(I1407:I5447="","",_xlfn.XLOOKUP(I1407:I5447,'参照_姫'!A:A,'参照_姫'!B:B,"見つかりません"))</f>
      </c>
      <c r="K1407" s="4">
        <v>90</v>
      </c>
      <c r="L1407" s="4">
        <v>0</v>
      </c>
      <c r="M1407" s="4"/>
      <c r="N1407" s="4"/>
      <c r="O1407" s="4"/>
      <c r="P1407" s="12" t="str">
        <f t="array" ref="P1407">IF(O1407:O5447="","",_xlfn.XLOOKUP(O1407:O5447,'参照_官位'!A:A,'参照_官位'!B:B,""))</f>
      </c>
      <c r="Q1407" s="12" t="str">
        <f t="array" ref="Q1407">IF(A1407:A5447="","",IFERROR(_xlfn.XLOOKUP(A1407:A5447,castles_state!K:K,castles_state!D:D)&amp;"主",IFERROR(_xlfn.XLOOKUP(A1407:A5447,kunishuClan!D:D,kunishuClan!B:B)&amp;"当主","")))</f>
      </c>
    </row>
    <row r="1408" ht="15.75" customHeight="1">
      <c r="A1408" s="4">
        <v>1029028</v>
      </c>
      <c r="B1408" s="12" t="str">
        <f t="array" ref="B1408">IF(A1408:A5448="","",_xlfn.XLOOKUP(A1408:A5448,'参照_武将'!A:A,'参照_武将'!B:B,"見つかりません"))</f>
      </c>
      <c r="C1408" s="4" t="s">
        <v>182</v>
      </c>
      <c r="D1408" s="4">
        <v>29</v>
      </c>
      <c r="E1408" s="12" t="str">
        <f t="array" ref="E1408">IF(D1408:D5448="","",IFERROR(_xlfn.XLOOKUP(D1408:D5448,'参照_勢力'!A:A,'参照_勢力'!B:B),IFERROR(_xlfn.XLOOKUP(F1408:F5448,kunishuClan!A:A,kunishuClan!B:B),"浪人")))</f>
      </c>
      <c r="F1408" s="4">
        <v>0</v>
      </c>
      <c r="G1408" s="4">
        <v>37</v>
      </c>
      <c r="H1408" s="12" t="str">
        <f t="array" ref="H1408">IF(G1408:G5448="","",_xlfn.XLOOKUP(G1408:G5448,castles_state!A:A,castles_state!D:D,"見つかりません"))</f>
      </c>
      <c r="I1408" s="4"/>
      <c r="J1408" s="12" t="str">
        <f t="array" ref="J1408">IF(I1408:I5448="","",_xlfn.XLOOKUP(I1408:I5448,'参照_姫'!A:A,'参照_姫'!B:B,"見つかりません"))</f>
      </c>
      <c r="K1408" s="4">
        <v>95</v>
      </c>
      <c r="L1408" s="4">
        <v>0</v>
      </c>
      <c r="M1408" s="4"/>
      <c r="N1408" s="4"/>
      <c r="O1408" s="4"/>
      <c r="P1408" s="12" t="str">
        <f t="array" ref="P1408">IF(O1408:O5448="","",_xlfn.XLOOKUP(O1408:O5448,'参照_官位'!A:A,'参照_官位'!B:B,""))</f>
      </c>
      <c r="Q1408" s="12" t="str">
        <f t="array" ref="Q1408">IF(A1408:A5448="","",IFERROR(_xlfn.XLOOKUP(A1408:A5448,castles_state!K:K,castles_state!D:D)&amp;"主",IFERROR(_xlfn.XLOOKUP(A1408:A5448,kunishuClan!D:D,kunishuClan!B:B)&amp;"当主","")))</f>
      </c>
    </row>
    <row r="1409" ht="15.75" customHeight="1">
      <c r="A1409" s="4">
        <v>1029029</v>
      </c>
      <c r="B1409" s="12" t="str">
        <f t="array" ref="B1409">IF(A1409:A5449="","",_xlfn.XLOOKUP(A1409:A5449,'参照_武将'!A:A,'参照_武将'!B:B,"見つかりません"))</f>
      </c>
      <c r="C1409" s="4" t="s">
        <v>182</v>
      </c>
      <c r="D1409" s="4">
        <v>29</v>
      </c>
      <c r="E1409" s="12" t="str">
        <f t="array" ref="E1409">IF(D1409:D5449="","",IFERROR(_xlfn.XLOOKUP(D1409:D5449,'参照_勢力'!A:A,'参照_勢力'!B:B),IFERROR(_xlfn.XLOOKUP(F1409:F5449,kunishuClan!A:A,kunishuClan!B:B),"浪人")))</f>
      </c>
      <c r="F1409" s="4">
        <v>0</v>
      </c>
      <c r="G1409" s="4">
        <v>37</v>
      </c>
      <c r="H1409" s="12" t="str">
        <f t="array" ref="H1409">IF(G1409:G5449="","",_xlfn.XLOOKUP(G1409:G5449,castles_state!A:A,castles_state!D:D,"見つかりません"))</f>
      </c>
      <c r="I1409" s="4"/>
      <c r="J1409" s="12" t="str">
        <f t="array" ref="J1409">IF(I1409:I5449="","",_xlfn.XLOOKUP(I1409:I5449,'参照_姫'!A:A,'参照_姫'!B:B,"見つかりません"))</f>
      </c>
      <c r="K1409" s="4">
        <v>95</v>
      </c>
      <c r="L1409" s="4">
        <v>0</v>
      </c>
      <c r="M1409" s="4"/>
      <c r="N1409" s="4"/>
      <c r="O1409" s="4"/>
      <c r="P1409" s="12" t="str">
        <f t="array" ref="P1409">IF(O1409:O5449="","",_xlfn.XLOOKUP(O1409:O5449,'参照_官位'!A:A,'参照_官位'!B:B,""))</f>
      </c>
      <c r="Q1409" s="12" t="str">
        <f t="array" ref="Q1409">IF(A1409:A5449="","",IFERROR(_xlfn.XLOOKUP(A1409:A5449,castles_state!K:K,castles_state!D:D)&amp;"主",IFERROR(_xlfn.XLOOKUP(A1409:A5449,kunishuClan!D:D,kunishuClan!B:B)&amp;"当主","")))</f>
      </c>
    </row>
    <row r="1410" ht="15.75" customHeight="1">
      <c r="A1410" s="4">
        <v>1029030</v>
      </c>
      <c r="B1410" s="12" t="str">
        <f t="array" ref="B1410">IF(A1410:A5450="","",_xlfn.XLOOKUP(A1410:A5450,'参照_武将'!A:A,'参照_武将'!B:B,"見つかりません"))</f>
      </c>
      <c r="C1410" s="4" t="s">
        <v>182</v>
      </c>
      <c r="D1410" s="4">
        <v>29</v>
      </c>
      <c r="E1410" s="12" t="str">
        <f t="array" ref="E1410">IF(D1410:D5450="","",IFERROR(_xlfn.XLOOKUP(D1410:D5450,'参照_勢力'!A:A,'参照_勢力'!B:B),IFERROR(_xlfn.XLOOKUP(F1410:F5450,kunishuClan!A:A,kunishuClan!B:B),"浪人")))</f>
      </c>
      <c r="F1410" s="4">
        <v>0</v>
      </c>
      <c r="G1410" s="4">
        <v>37</v>
      </c>
      <c r="H1410" s="12" t="str">
        <f t="array" ref="H1410">IF(G1410:G5450="","",_xlfn.XLOOKUP(G1410:G5450,castles_state!A:A,castles_state!D:D,"見つかりません"))</f>
      </c>
      <c r="I1410" s="4"/>
      <c r="J1410" s="12" t="str">
        <f t="array" ref="J1410">IF(I1410:I5450="","",_xlfn.XLOOKUP(I1410:I5450,'参照_姫'!A:A,'参照_姫'!B:B,"見つかりません"))</f>
      </c>
      <c r="K1410" s="4">
        <v>95</v>
      </c>
      <c r="L1410" s="4">
        <v>0</v>
      </c>
      <c r="M1410" s="4"/>
      <c r="N1410" s="4"/>
      <c r="O1410" s="4"/>
      <c r="P1410" s="12" t="str">
        <f t="array" ref="P1410">IF(O1410:O5450="","",_xlfn.XLOOKUP(O1410:O5450,'参照_官位'!A:A,'参照_官位'!B:B,""))</f>
      </c>
      <c r="Q1410" s="12" t="str">
        <f t="array" ref="Q1410">IF(A1410:A5450="","",IFERROR(_xlfn.XLOOKUP(A1410:A5450,castles_state!K:K,castles_state!D:D)&amp;"主",IFERROR(_xlfn.XLOOKUP(A1410:A5450,kunishuClan!D:D,kunishuClan!B:B)&amp;"当主","")))</f>
      </c>
    </row>
    <row r="1411" ht="15.75" customHeight="1">
      <c r="A1411" s="4">
        <v>1029031</v>
      </c>
      <c r="B1411" s="12" t="str">
        <f t="array" ref="B1411">IF(A1411:A5451="","",_xlfn.XLOOKUP(A1411:A5451,'参照_武将'!A:A,'参照_武将'!B:B,"見つかりません"))</f>
      </c>
      <c r="C1411" s="4" t="s">
        <v>182</v>
      </c>
      <c r="D1411" s="4">
        <v>29</v>
      </c>
      <c r="E1411" s="12" t="str">
        <f t="array" ref="E1411">IF(D1411:D5451="","",IFERROR(_xlfn.XLOOKUP(D1411:D5451,'参照_勢力'!A:A,'参照_勢力'!B:B),IFERROR(_xlfn.XLOOKUP(F1411:F5451,kunishuClan!A:A,kunishuClan!B:B),"浪人")))</f>
      </c>
      <c r="F1411" s="4">
        <v>0</v>
      </c>
      <c r="G1411" s="4">
        <v>37</v>
      </c>
      <c r="H1411" s="12" t="str">
        <f t="array" ref="H1411">IF(G1411:G5451="","",_xlfn.XLOOKUP(G1411:G5451,castles_state!A:A,castles_state!D:D,"見つかりません"))</f>
      </c>
      <c r="I1411" s="4"/>
      <c r="J1411" s="12" t="str">
        <f t="array" ref="J1411">IF(I1411:I5451="","",_xlfn.XLOOKUP(I1411:I5451,'参照_姫'!A:A,'参照_姫'!B:B,"見つかりません"))</f>
      </c>
      <c r="K1411" s="4">
        <v>95</v>
      </c>
      <c r="L1411" s="4">
        <v>0</v>
      </c>
      <c r="M1411" s="4"/>
      <c r="N1411" s="4"/>
      <c r="O1411" s="4"/>
      <c r="P1411" s="12" t="str">
        <f t="array" ref="P1411">IF(O1411:O5451="","",_xlfn.XLOOKUP(O1411:O5451,'参照_官位'!A:A,'参照_官位'!B:B,""))</f>
      </c>
      <c r="Q1411" s="12" t="str">
        <f t="array" ref="Q1411">IF(A1411:A5451="","",IFERROR(_xlfn.XLOOKUP(A1411:A5451,castles_state!K:K,castles_state!D:D)&amp;"主",IFERROR(_xlfn.XLOOKUP(A1411:A5451,kunishuClan!D:D,kunishuClan!B:B)&amp;"当主","")))</f>
      </c>
    </row>
    <row r="1412" ht="15.75" customHeight="1">
      <c r="A1412" s="4">
        <v>1029032</v>
      </c>
      <c r="B1412" s="12" t="str">
        <f t="array" ref="B1412">IF(A1412:A5452="","",_xlfn.XLOOKUP(A1412:A5452,'参照_武将'!A:A,'参照_武将'!B:B,"見つかりません"))</f>
      </c>
      <c r="C1412" s="4" t="s">
        <v>182</v>
      </c>
      <c r="D1412" s="4">
        <v>29</v>
      </c>
      <c r="E1412" s="12" t="str">
        <f t="array" ref="E1412">IF(D1412:D5452="","",IFERROR(_xlfn.XLOOKUP(D1412:D5452,'参照_勢力'!A:A,'参照_勢力'!B:B),IFERROR(_xlfn.XLOOKUP(F1412:F5452,kunishuClan!A:A,kunishuClan!B:B),"浪人")))</f>
      </c>
      <c r="F1412" s="4">
        <v>0</v>
      </c>
      <c r="G1412" s="4">
        <v>37</v>
      </c>
      <c r="H1412" s="12" t="str">
        <f t="array" ref="H1412">IF(G1412:G5452="","",_xlfn.XLOOKUP(G1412:G5452,castles_state!A:A,castles_state!D:D,"見つかりません"))</f>
      </c>
      <c r="I1412" s="4"/>
      <c r="J1412" s="12" t="str">
        <f t="array" ref="J1412">IF(I1412:I5452="","",_xlfn.XLOOKUP(I1412:I5452,'参照_姫'!A:A,'参照_姫'!B:B,"見つかりません"))</f>
      </c>
      <c r="K1412" s="4">
        <v>90</v>
      </c>
      <c r="L1412" s="4">
        <v>200</v>
      </c>
      <c r="M1412" s="4" t="b">
        <v>1</v>
      </c>
      <c r="N1412" s="4"/>
      <c r="O1412" s="4"/>
      <c r="P1412" s="12" t="str">
        <f t="array" ref="P1412">IF(O1412:O5452="","",_xlfn.XLOOKUP(O1412:O5452,'参照_官位'!A:A,'参照_官位'!B:B,""))</f>
      </c>
      <c r="Q1412" s="12" t="str">
        <f t="array" ref="Q1412">IF(A1412:A5452="","",IFERROR(_xlfn.XLOOKUP(A1412:A5452,castles_state!K:K,castles_state!D:D)&amp;"主",IFERROR(_xlfn.XLOOKUP(A1412:A5452,kunishuClan!D:D,kunishuClan!B:B)&amp;"当主","")))</f>
      </c>
    </row>
    <row r="1413" ht="15.75" customHeight="1">
      <c r="A1413" s="4">
        <v>1029033</v>
      </c>
      <c r="B1413" s="12" t="str">
        <f t="array" ref="B1413">IF(A1413:A5453="","",_xlfn.XLOOKUP(A1413:A5453,'参照_武将'!A:A,'参照_武将'!B:B,"見つかりません"))</f>
      </c>
      <c r="C1413" s="4" t="s">
        <v>182</v>
      </c>
      <c r="D1413" s="4">
        <v>29</v>
      </c>
      <c r="E1413" s="12" t="str">
        <f t="array" ref="E1413">IF(D1413:D5453="","",IFERROR(_xlfn.XLOOKUP(D1413:D5453,'参照_勢力'!A:A,'参照_勢力'!B:B),IFERROR(_xlfn.XLOOKUP(F1413:F5453,kunishuClan!A:A,kunishuClan!B:B),"浪人")))</f>
      </c>
      <c r="F1413" s="4">
        <v>0</v>
      </c>
      <c r="G1413" s="4">
        <v>37</v>
      </c>
      <c r="H1413" s="12" t="str">
        <f t="array" ref="H1413">IF(G1413:G5453="","",_xlfn.XLOOKUP(G1413:G5453,castles_state!A:A,castles_state!D:D,"見つかりません"))</f>
      </c>
      <c r="I1413" s="4"/>
      <c r="J1413" s="12" t="str">
        <f t="array" ref="J1413">IF(I1413:I5453="","",_xlfn.XLOOKUP(I1413:I5453,'参照_姫'!A:A,'参照_姫'!B:B,"見つかりません"))</f>
      </c>
      <c r="K1413" s="4">
        <v>90</v>
      </c>
      <c r="L1413" s="4">
        <v>0</v>
      </c>
      <c r="M1413" s="4"/>
      <c r="N1413" s="4"/>
      <c r="O1413" s="4"/>
      <c r="P1413" s="12" t="str">
        <f t="array" ref="P1413">IF(O1413:O5453="","",_xlfn.XLOOKUP(O1413:O5453,'参照_官位'!A:A,'参照_官位'!B:B,""))</f>
      </c>
      <c r="Q1413" s="12" t="str">
        <f t="array" ref="Q1413">IF(A1413:A5453="","",IFERROR(_xlfn.XLOOKUP(A1413:A5453,castles_state!K:K,castles_state!D:D)&amp;"主",IFERROR(_xlfn.XLOOKUP(A1413:A5453,kunishuClan!D:D,kunishuClan!B:B)&amp;"当主","")))</f>
      </c>
    </row>
    <row r="1414" ht="15.75" customHeight="1">
      <c r="A1414" s="4">
        <v>1029034</v>
      </c>
      <c r="B1414" s="12" t="str">
        <f t="array" ref="B1414">IF(A1414:A5454="","",_xlfn.XLOOKUP(A1414:A5454,'参照_武将'!A:A,'参照_武将'!B:B,"見つかりません"))</f>
      </c>
      <c r="C1414" s="4" t="s">
        <v>182</v>
      </c>
      <c r="D1414" s="4">
        <v>29</v>
      </c>
      <c r="E1414" s="12" t="str">
        <f t="array" ref="E1414">IF(D1414:D5454="","",IFERROR(_xlfn.XLOOKUP(D1414:D5454,'参照_勢力'!A:A,'参照_勢力'!B:B),IFERROR(_xlfn.XLOOKUP(F1414:F5454,kunishuClan!A:A,kunishuClan!B:B),"浪人")))</f>
      </c>
      <c r="F1414" s="4">
        <v>0</v>
      </c>
      <c r="G1414" s="4">
        <v>37</v>
      </c>
      <c r="H1414" s="12" t="str">
        <f t="array" ref="H1414">IF(G1414:G5454="","",_xlfn.XLOOKUP(G1414:G5454,castles_state!A:A,castles_state!D:D,"見つかりません"))</f>
      </c>
      <c r="I1414" s="4"/>
      <c r="J1414" s="12" t="str">
        <f t="array" ref="J1414">IF(I1414:I5454="","",_xlfn.XLOOKUP(I1414:I5454,'参照_姫'!A:A,'参照_姫'!B:B,"見つかりません"))</f>
      </c>
      <c r="K1414" s="4">
        <v>90</v>
      </c>
      <c r="L1414" s="4">
        <v>0</v>
      </c>
      <c r="M1414" s="4"/>
      <c r="N1414" s="4"/>
      <c r="O1414" s="4"/>
      <c r="P1414" s="12" t="str">
        <f t="array" ref="P1414">IF(O1414:O5454="","",_xlfn.XLOOKUP(O1414:O5454,'参照_官位'!A:A,'参照_官位'!B:B,""))</f>
      </c>
      <c r="Q1414" s="12" t="str">
        <f t="array" ref="Q1414">IF(A1414:A5454="","",IFERROR(_xlfn.XLOOKUP(A1414:A5454,castles_state!K:K,castles_state!D:D)&amp;"主",IFERROR(_xlfn.XLOOKUP(A1414:A5454,kunishuClan!D:D,kunishuClan!B:B)&amp;"当主","")))</f>
      </c>
    </row>
    <row r="1415" ht="15.75" customHeight="1">
      <c r="A1415" s="4">
        <v>1030001</v>
      </c>
      <c r="B1415" s="12" t="str">
        <f t="array" ref="B1415">IF(A1415:A5457="","",_xlfn.XLOOKUP(A1415:A5457,'参照_武将'!A:A,'参照_武将'!B:B,"見つかりません"))</f>
      </c>
      <c r="C1415" s="4" t="s">
        <v>185</v>
      </c>
      <c r="D1415" s="4">
        <v>4</v>
      </c>
      <c r="E1415" s="12" t="str">
        <f t="array" ref="E1415">IF(D1415:D5457="","",IFERROR(_xlfn.XLOOKUP(D1415:D5457,'参照_勢力'!A:A,'参照_勢力'!B:B),IFERROR(_xlfn.XLOOKUP(F1415:F5457,kunishuClan!A:A,kunishuClan!B:B),"浪人")))</f>
      </c>
      <c r="F1415" s="4">
        <v>0</v>
      </c>
      <c r="G1415" s="4">
        <v>41</v>
      </c>
      <c r="H1415" s="12" t="str">
        <f t="array" ref="H1415">IF(G1415:G5457="","",_xlfn.XLOOKUP(G1415:G5457,castles_state!A:A,castles_state!D:D,"見つかりません"))</f>
      </c>
      <c r="I1415" s="4"/>
      <c r="J1415" s="12" t="str">
        <f t="array" ref="J1415">IF(I1415:I5457="","",_xlfn.XLOOKUP(I1415:I5457,'参照_姫'!A:A,'参照_姫'!B:B,"見つかりません"))</f>
      </c>
      <c r="K1415" s="4">
        <v>95</v>
      </c>
      <c r="L1415" s="4">
        <v>0</v>
      </c>
      <c r="M1415" s="4"/>
      <c r="N1415" s="4"/>
      <c r="O1415" s="4"/>
      <c r="P1415" s="12" t="str">
        <f t="array" ref="P1415">IF(O1415:O5457="","",_xlfn.XLOOKUP(O1415:O5457,'参照_官位'!A:A,'参照_官位'!B:B,""))</f>
      </c>
      <c r="Q1415" s="12" t="str">
        <f t="array" ref="Q1415">IF(A1415:A5457="","",IFERROR(_xlfn.XLOOKUP(A1415:A5457,castles_state!K:K,castles_state!D:D)&amp;"主",IFERROR(_xlfn.XLOOKUP(A1415:A5457,kunishuClan!D:D,kunishuClan!B:B)&amp;"当主","")))</f>
      </c>
    </row>
    <row r="1416" ht="15.75" customHeight="1">
      <c r="A1416" s="4">
        <v>1030002</v>
      </c>
      <c r="B1416" s="12" t="str">
        <f t="array" ref="B1416">IF(A1416:A5458="","",_xlfn.XLOOKUP(A1416:A5458,'参照_武将'!A:A,'参照_武将'!B:B,"見つかりません"))</f>
      </c>
      <c r="C1416" s="4" t="s">
        <v>185</v>
      </c>
      <c r="D1416" s="4">
        <v>4</v>
      </c>
      <c r="E1416" s="12" t="str">
        <f t="array" ref="E1416">IF(D1416:D5458="","",IFERROR(_xlfn.XLOOKUP(D1416:D5458,'参照_勢力'!A:A,'参照_勢力'!B:B),IFERROR(_xlfn.XLOOKUP(F1416:F5458,kunishuClan!A:A,kunishuClan!B:B),"浪人")))</f>
      </c>
      <c r="F1416" s="4">
        <v>0</v>
      </c>
      <c r="G1416" s="4">
        <v>41</v>
      </c>
      <c r="H1416" s="12" t="str">
        <f t="array" ref="H1416">IF(G1416:G5458="","",_xlfn.XLOOKUP(G1416:G5458,castles_state!A:A,castles_state!D:D,"見つかりません"))</f>
      </c>
      <c r="I1416" s="4"/>
      <c r="J1416" s="12" t="str">
        <f t="array" ref="J1416">IF(I1416:I5458="","",_xlfn.XLOOKUP(I1416:I5458,'参照_姫'!A:A,'参照_姫'!B:B,"見つかりません"))</f>
      </c>
      <c r="K1416" s="4">
        <v>90</v>
      </c>
      <c r="L1416" s="4">
        <v>200</v>
      </c>
      <c r="M1416" s="4"/>
      <c r="N1416" s="4" t="b">
        <v>1</v>
      </c>
      <c r="O1416" s="4"/>
      <c r="P1416" s="12" t="str">
        <f t="array" ref="P1416">IF(O1416:O5458="","",_xlfn.XLOOKUP(O1416:O5458,'参照_官位'!A:A,'参照_官位'!B:B,""))</f>
      </c>
      <c r="Q1416" s="12" t="str">
        <f t="array" ref="Q1416">IF(A1416:A5458="","",IFERROR(_xlfn.XLOOKUP(A1416:A5458,castles_state!K:K,castles_state!D:D)&amp;"主",IFERROR(_xlfn.XLOOKUP(A1416:A5458,kunishuClan!D:D,kunishuClan!B:B)&amp;"当主","")))</f>
      </c>
    </row>
    <row r="1417" ht="15.75" customHeight="1">
      <c r="A1417" s="4">
        <v>1030003</v>
      </c>
      <c r="B1417" s="12" t="str">
        <f t="array" ref="B1417">IF(A1417:A5459="","",_xlfn.XLOOKUP(A1417:A5459,'参照_武将'!A:A,'参照_武将'!B:B,"見つかりません"))</f>
      </c>
      <c r="C1417" s="4" t="s">
        <v>185</v>
      </c>
      <c r="D1417" s="4">
        <v>4</v>
      </c>
      <c r="E1417" s="12" t="str">
        <f t="array" ref="E1417">IF(D1417:D5459="","",IFERROR(_xlfn.XLOOKUP(D1417:D5459,'参照_勢力'!A:A,'参照_勢力'!B:B),IFERROR(_xlfn.XLOOKUP(F1417:F5459,kunishuClan!A:A,kunishuClan!B:B),"浪人")))</f>
      </c>
      <c r="F1417" s="4">
        <v>0</v>
      </c>
      <c r="G1417" s="4">
        <v>41</v>
      </c>
      <c r="H1417" s="12" t="str">
        <f t="array" ref="H1417">IF(G1417:G5459="","",_xlfn.XLOOKUP(G1417:G5459,castles_state!A:A,castles_state!D:D,"見つかりません"))</f>
      </c>
      <c r="I1417" s="4"/>
      <c r="J1417" s="12" t="str">
        <f t="array" ref="J1417">IF(I1417:I5459="","",_xlfn.XLOOKUP(I1417:I5459,'参照_姫'!A:A,'参照_姫'!B:B,"見つかりません"))</f>
      </c>
      <c r="K1417" s="4">
        <v>90</v>
      </c>
      <c r="L1417" s="4">
        <v>500</v>
      </c>
      <c r="M1417" s="4"/>
      <c r="N1417" s="4"/>
      <c r="O1417" s="4"/>
      <c r="P1417" s="12" t="str">
        <f t="array" ref="P1417">IF(O1417:O5459="","",_xlfn.XLOOKUP(O1417:O5459,'参照_官位'!A:A,'参照_官位'!B:B,""))</f>
      </c>
      <c r="Q1417" s="12" t="str">
        <f t="array" ref="Q1417">IF(A1417:A5459="","",IFERROR(_xlfn.XLOOKUP(A1417:A5459,castles_state!K:K,castles_state!D:D)&amp;"主",IFERROR(_xlfn.XLOOKUP(A1417:A5459,kunishuClan!D:D,kunishuClan!B:B)&amp;"当主","")))</f>
      </c>
    </row>
    <row r="1418" ht="15.75" customHeight="1">
      <c r="A1418" s="4">
        <v>1030004</v>
      </c>
      <c r="B1418" s="12" t="str">
        <f t="array" ref="B1418">IF(A1418:A5460="","",_xlfn.XLOOKUP(A1418:A5460,'参照_武将'!A:A,'参照_武将'!B:B,"見つかりません"))</f>
      </c>
      <c r="C1418" s="4" t="s">
        <v>185</v>
      </c>
      <c r="D1418" s="4">
        <v>4</v>
      </c>
      <c r="E1418" s="12" t="str">
        <f t="array" ref="E1418">IF(D1418:D5460="","",IFERROR(_xlfn.XLOOKUP(D1418:D5460,'参照_勢力'!A:A,'参照_勢力'!B:B),IFERROR(_xlfn.XLOOKUP(F1418:F5460,kunishuClan!A:A,kunishuClan!B:B),"浪人")))</f>
      </c>
      <c r="F1418" s="4">
        <v>0</v>
      </c>
      <c r="G1418" s="4">
        <v>41</v>
      </c>
      <c r="H1418" s="12" t="str">
        <f t="array" ref="H1418">IF(G1418:G5460="","",_xlfn.XLOOKUP(G1418:G5460,castles_state!A:A,castles_state!D:D,"見つかりません"))</f>
      </c>
      <c r="I1418" s="4"/>
      <c r="J1418" s="12" t="str">
        <f t="array" ref="J1418">IF(I1418:I5460="","",_xlfn.XLOOKUP(I1418:I5460,'参照_姫'!A:A,'参照_姫'!B:B,"見つかりません"))</f>
      </c>
      <c r="K1418" s="4">
        <v>90</v>
      </c>
      <c r="L1418" s="4">
        <v>300</v>
      </c>
      <c r="M1418" s="4"/>
      <c r="N1418" s="4"/>
      <c r="O1418" s="4"/>
      <c r="P1418" s="12" t="str">
        <f t="array" ref="P1418">IF(O1418:O5460="","",_xlfn.XLOOKUP(O1418:O5460,'参照_官位'!A:A,'参照_官位'!B:B,""))</f>
      </c>
      <c r="Q1418" s="12" t="str">
        <f t="array" ref="Q1418">IF(A1418:A5460="","",IFERROR(_xlfn.XLOOKUP(A1418:A5460,castles_state!K:K,castles_state!D:D)&amp;"主",IFERROR(_xlfn.XLOOKUP(A1418:A5460,kunishuClan!D:D,kunishuClan!B:B)&amp;"当主","")))</f>
      </c>
    </row>
    <row r="1419" ht="15.75" customHeight="1">
      <c r="A1419" s="4">
        <v>1030005</v>
      </c>
      <c r="B1419" s="12" t="str">
        <f t="array" ref="B1419">IF(A1419:A5461="","",_xlfn.XLOOKUP(A1419:A5461,'参照_武将'!A:A,'参照_武将'!B:B,"見つかりません"))</f>
      </c>
      <c r="C1419" s="4" t="s">
        <v>185</v>
      </c>
      <c r="D1419" s="4">
        <v>4</v>
      </c>
      <c r="E1419" s="12" t="str">
        <f t="array" ref="E1419">IF(D1419:D5461="","",IFERROR(_xlfn.XLOOKUP(D1419:D5461,'参照_勢力'!A:A,'参照_勢力'!B:B),IFERROR(_xlfn.XLOOKUP(F1419:F5461,kunishuClan!A:A,kunishuClan!B:B),"浪人")))</f>
      </c>
      <c r="F1419" s="4">
        <v>0</v>
      </c>
      <c r="G1419" s="4">
        <v>41</v>
      </c>
      <c r="H1419" s="12" t="str">
        <f t="array" ref="H1419">IF(G1419:G5461="","",_xlfn.XLOOKUP(G1419:G5461,castles_state!A:A,castles_state!D:D,"見つかりません"))</f>
      </c>
      <c r="I1419" s="4"/>
      <c r="J1419" s="12" t="str">
        <f t="array" ref="J1419">IF(I1419:I5461="","",_xlfn.XLOOKUP(I1419:I5461,'参照_姫'!A:A,'参照_姫'!B:B,"見つかりません"))</f>
      </c>
      <c r="K1419" s="4">
        <v>90</v>
      </c>
      <c r="L1419" s="4">
        <v>0</v>
      </c>
      <c r="M1419" s="4"/>
      <c r="N1419" s="4"/>
      <c r="O1419" s="4"/>
      <c r="P1419" s="12" t="str">
        <f t="array" ref="P1419">IF(O1419:O5461="","",_xlfn.XLOOKUP(O1419:O5461,'参照_官位'!A:A,'参照_官位'!B:B,""))</f>
      </c>
      <c r="Q1419" s="12" t="str">
        <f t="array" ref="Q1419">IF(A1419:A5461="","",IFERROR(_xlfn.XLOOKUP(A1419:A5461,castles_state!K:K,castles_state!D:D)&amp;"主",IFERROR(_xlfn.XLOOKUP(A1419:A5461,kunishuClan!D:D,kunishuClan!B:B)&amp;"当主","")))</f>
      </c>
    </row>
    <row r="1420" ht="15.75" customHeight="1">
      <c r="A1420" s="4">
        <v>1030006</v>
      </c>
      <c r="B1420" s="12" t="str">
        <f t="array" ref="B1420">IF(A1420:A5462="","",_xlfn.XLOOKUP(A1420:A5462,'参照_武将'!A:A,'参照_武将'!B:B,"見つかりません"))</f>
      </c>
      <c r="C1420" s="4" t="s">
        <v>185</v>
      </c>
      <c r="D1420" s="4">
        <v>4</v>
      </c>
      <c r="E1420" s="12" t="str">
        <f t="array" ref="E1420">IF(D1420:D5462="","",IFERROR(_xlfn.XLOOKUP(D1420:D5462,'参照_勢力'!A:A,'参照_勢力'!B:B),IFERROR(_xlfn.XLOOKUP(F1420:F5462,kunishuClan!A:A,kunishuClan!B:B),"浪人")))</f>
      </c>
      <c r="F1420" s="4">
        <v>0</v>
      </c>
      <c r="G1420" s="4">
        <v>41</v>
      </c>
      <c r="H1420" s="12" t="str">
        <f t="array" ref="H1420">IF(G1420:G5462="","",_xlfn.XLOOKUP(G1420:G5462,castles_state!A:A,castles_state!D:D,"見つかりません"))</f>
      </c>
      <c r="I1420" s="4"/>
      <c r="J1420" s="12" t="str">
        <f t="array" ref="J1420">IF(I1420:I5462="","",_xlfn.XLOOKUP(I1420:I5462,'参照_姫'!A:A,'参照_姫'!B:B,"見つかりません"))</f>
      </c>
      <c r="K1420" s="4">
        <v>90</v>
      </c>
      <c r="L1420" s="4">
        <v>0</v>
      </c>
      <c r="M1420" s="4"/>
      <c r="N1420" s="4"/>
      <c r="O1420" s="4"/>
      <c r="P1420" s="12" t="str">
        <f t="array" ref="P1420">IF(O1420:O5462="","",_xlfn.XLOOKUP(O1420:O5462,'参照_官位'!A:A,'参照_官位'!B:B,""))</f>
      </c>
      <c r="Q1420" s="12" t="str">
        <f t="array" ref="Q1420">IF(A1420:A5462="","",IFERROR(_xlfn.XLOOKUP(A1420:A5462,castles_state!K:K,castles_state!D:D)&amp;"主",IFERROR(_xlfn.XLOOKUP(A1420:A5462,kunishuClan!D:D,kunishuClan!B:B)&amp;"当主","")))</f>
      </c>
    </row>
    <row r="1421" ht="15.75" customHeight="1">
      <c r="A1421" s="4">
        <v>1030007</v>
      </c>
      <c r="B1421" s="12" t="str">
        <f t="array" ref="B1421">IF(A1421:A5463="","",_xlfn.XLOOKUP(A1421:A5463,'参照_武将'!A:A,'参照_武将'!B:B,"見つかりません"))</f>
      </c>
      <c r="C1421" s="4" t="s">
        <v>185</v>
      </c>
      <c r="D1421" s="4">
        <v>4</v>
      </c>
      <c r="E1421" s="12" t="str">
        <f t="array" ref="E1421">IF(D1421:D5463="","",IFERROR(_xlfn.XLOOKUP(D1421:D5463,'参照_勢力'!A:A,'参照_勢力'!B:B),IFERROR(_xlfn.XLOOKUP(F1421:F5463,kunishuClan!A:A,kunishuClan!B:B),"浪人")))</f>
      </c>
      <c r="F1421" s="4">
        <v>0</v>
      </c>
      <c r="G1421" s="4">
        <v>41</v>
      </c>
      <c r="H1421" s="12" t="str">
        <f t="array" ref="H1421">IF(G1421:G5463="","",_xlfn.XLOOKUP(G1421:G5463,castles_state!A:A,castles_state!D:D,"見つかりません"))</f>
      </c>
      <c r="I1421" s="4"/>
      <c r="J1421" s="12" t="str">
        <f t="array" ref="J1421">IF(I1421:I5463="","",_xlfn.XLOOKUP(I1421:I5463,'参照_姫'!A:A,'参照_姫'!B:B,"見つかりません"))</f>
      </c>
      <c r="K1421" s="4">
        <v>90</v>
      </c>
      <c r="L1421" s="4">
        <v>0</v>
      </c>
      <c r="M1421" s="4"/>
      <c r="N1421" s="4"/>
      <c r="O1421" s="4"/>
      <c r="P1421" s="12" t="str">
        <f t="array" ref="P1421">IF(O1421:O5463="","",_xlfn.XLOOKUP(O1421:O5463,'参照_官位'!A:A,'参照_官位'!B:B,""))</f>
      </c>
      <c r="Q1421" s="12" t="str">
        <f t="array" ref="Q1421">IF(A1421:A5463="","",IFERROR(_xlfn.XLOOKUP(A1421:A5463,castles_state!K:K,castles_state!D:D)&amp;"主",IFERROR(_xlfn.XLOOKUP(A1421:A5463,kunishuClan!D:D,kunishuClan!B:B)&amp;"当主","")))</f>
      </c>
    </row>
    <row r="1422" ht="15.75" customHeight="1">
      <c r="A1422" s="4">
        <v>1030008</v>
      </c>
      <c r="B1422" s="12" t="str">
        <f t="array" ref="B1422">IF(A1422:A5464="","",_xlfn.XLOOKUP(A1422:A5464,'参照_武将'!A:A,'参照_武将'!B:B,"見つかりません"))</f>
      </c>
      <c r="C1422" s="4" t="s">
        <v>185</v>
      </c>
      <c r="D1422" s="4">
        <v>4</v>
      </c>
      <c r="E1422" s="12" t="str">
        <f t="array" ref="E1422">IF(D1422:D5464="","",IFERROR(_xlfn.XLOOKUP(D1422:D5464,'参照_勢力'!A:A,'参照_勢力'!B:B),IFERROR(_xlfn.XLOOKUP(F1422:F5464,kunishuClan!A:A,kunishuClan!B:B),"浪人")))</f>
      </c>
      <c r="F1422" s="4">
        <v>0</v>
      </c>
      <c r="G1422" s="4">
        <v>41</v>
      </c>
      <c r="H1422" s="12" t="str">
        <f t="array" ref="H1422">IF(G1422:G5464="","",_xlfn.XLOOKUP(G1422:G5464,castles_state!A:A,castles_state!D:D,"見つかりません"))</f>
      </c>
      <c r="I1422" s="4"/>
      <c r="J1422" s="12" t="str">
        <f t="array" ref="J1422">IF(I1422:I5464="","",_xlfn.XLOOKUP(I1422:I5464,'参照_姫'!A:A,'参照_姫'!B:B,"見つかりません"))</f>
      </c>
      <c r="K1422" s="4">
        <v>90</v>
      </c>
      <c r="L1422" s="4">
        <v>0</v>
      </c>
      <c r="M1422" s="4"/>
      <c r="N1422" s="4"/>
      <c r="O1422" s="4"/>
      <c r="P1422" s="12" t="str">
        <f t="array" ref="P1422">IF(O1422:O5464="","",_xlfn.XLOOKUP(O1422:O5464,'参照_官位'!A:A,'参照_官位'!B:B,""))</f>
      </c>
      <c r="Q1422" s="12" t="str">
        <f t="array" ref="Q1422">IF(A1422:A5464="","",IFERROR(_xlfn.XLOOKUP(A1422:A5464,castles_state!K:K,castles_state!D:D)&amp;"主",IFERROR(_xlfn.XLOOKUP(A1422:A5464,kunishuClan!D:D,kunishuClan!B:B)&amp;"当主","")))</f>
      </c>
    </row>
    <row r="1423" ht="15.75" customHeight="1">
      <c r="A1423" s="4">
        <v>1030009</v>
      </c>
      <c r="B1423" s="12" t="str">
        <f t="array" ref="B1423">IF(A1423:A5465="","",_xlfn.XLOOKUP(A1423:A5465,'参照_武将'!A:A,'参照_武将'!B:B,"見つかりません"))</f>
      </c>
      <c r="C1423" s="4" t="s">
        <v>185</v>
      </c>
      <c r="D1423" s="4">
        <v>4</v>
      </c>
      <c r="E1423" s="12" t="str">
        <f t="array" ref="E1423">IF(D1423:D5465="","",IFERROR(_xlfn.XLOOKUP(D1423:D5465,'参照_勢力'!A:A,'参照_勢力'!B:B),IFERROR(_xlfn.XLOOKUP(F1423:F5465,kunishuClan!A:A,kunishuClan!B:B),"浪人")))</f>
      </c>
      <c r="F1423" s="4">
        <v>0</v>
      </c>
      <c r="G1423" s="4">
        <v>41</v>
      </c>
      <c r="H1423" s="12" t="str">
        <f t="array" ref="H1423">IF(G1423:G5465="","",_xlfn.XLOOKUP(G1423:G5465,castles_state!A:A,castles_state!D:D,"見つかりません"))</f>
      </c>
      <c r="I1423" s="4"/>
      <c r="J1423" s="12" t="str">
        <f t="array" ref="J1423">IF(I1423:I5465="","",_xlfn.XLOOKUP(I1423:I5465,'参照_姫'!A:A,'参照_姫'!B:B,"見つかりません"))</f>
      </c>
      <c r="K1423" s="4">
        <v>90</v>
      </c>
      <c r="L1423" s="4">
        <v>0</v>
      </c>
      <c r="M1423" s="4"/>
      <c r="N1423" s="4"/>
      <c r="O1423" s="4"/>
      <c r="P1423" s="12" t="str">
        <f t="array" ref="P1423">IF(O1423:O5465="","",_xlfn.XLOOKUP(O1423:O5465,'参照_官位'!A:A,'参照_官位'!B:B,""))</f>
      </c>
      <c r="Q1423" s="12" t="str">
        <f t="array" ref="Q1423">IF(A1423:A5465="","",IFERROR(_xlfn.XLOOKUP(A1423:A5465,castles_state!K:K,castles_state!D:D)&amp;"主",IFERROR(_xlfn.XLOOKUP(A1423:A5465,kunishuClan!D:D,kunishuClan!B:B)&amp;"当主","")))</f>
      </c>
    </row>
    <row r="1424" ht="15.75" customHeight="1">
      <c r="A1424" s="4">
        <v>1030010</v>
      </c>
      <c r="B1424" s="12" t="str">
        <f t="array" ref="B1424">IF(A1424:A5466="","",_xlfn.XLOOKUP(A1424:A5466,'参照_武将'!A:A,'参照_武将'!B:B,"見つかりません"))</f>
      </c>
      <c r="C1424" s="4" t="s">
        <v>185</v>
      </c>
      <c r="D1424" s="4">
        <v>4</v>
      </c>
      <c r="E1424" s="12" t="str">
        <f t="array" ref="E1424">IF(D1424:D5466="","",IFERROR(_xlfn.XLOOKUP(D1424:D5466,'参照_勢力'!A:A,'参照_勢力'!B:B),IFERROR(_xlfn.XLOOKUP(F1424:F5466,kunishuClan!A:A,kunishuClan!B:B),"浪人")))</f>
      </c>
      <c r="F1424" s="4">
        <v>0</v>
      </c>
      <c r="G1424" s="4">
        <v>41</v>
      </c>
      <c r="H1424" s="12" t="str">
        <f t="array" ref="H1424">IF(G1424:G5466="","",_xlfn.XLOOKUP(G1424:G5466,castles_state!A:A,castles_state!D:D,"見つかりません"))</f>
      </c>
      <c r="I1424" s="4"/>
      <c r="J1424" s="12" t="str">
        <f t="array" ref="J1424">IF(I1424:I5466="","",_xlfn.XLOOKUP(I1424:I5466,'参照_姫'!A:A,'参照_姫'!B:B,"見つかりません"))</f>
      </c>
      <c r="K1424" s="4">
        <v>90</v>
      </c>
      <c r="L1424" s="4">
        <v>0</v>
      </c>
      <c r="M1424" s="4"/>
      <c r="N1424" s="4"/>
      <c r="O1424" s="4"/>
      <c r="P1424" s="12" t="str">
        <f t="array" ref="P1424">IF(O1424:O5466="","",_xlfn.XLOOKUP(O1424:O5466,'参照_官位'!A:A,'参照_官位'!B:B,""))</f>
      </c>
      <c r="Q1424" s="12" t="str">
        <f t="array" ref="Q1424">IF(A1424:A5466="","",IFERROR(_xlfn.XLOOKUP(A1424:A5466,castles_state!K:K,castles_state!D:D)&amp;"主",IFERROR(_xlfn.XLOOKUP(A1424:A5466,kunishuClan!D:D,kunishuClan!B:B)&amp;"当主","")))</f>
      </c>
    </row>
    <row r="1425" ht="15.75" customHeight="1">
      <c r="A1425" s="4">
        <v>1030011</v>
      </c>
      <c r="B1425" s="12" t="str">
        <f t="array" ref="B1425">IF(A1425:A5467="","",_xlfn.XLOOKUP(A1425:A5467,'参照_武将'!A:A,'参照_武将'!B:B,"見つかりません"))</f>
      </c>
      <c r="C1425" s="4" t="s">
        <v>185</v>
      </c>
      <c r="D1425" s="4">
        <v>4</v>
      </c>
      <c r="E1425" s="12" t="str">
        <f t="array" ref="E1425">IF(D1425:D5467="","",IFERROR(_xlfn.XLOOKUP(D1425:D5467,'参照_勢力'!A:A,'参照_勢力'!B:B),IFERROR(_xlfn.XLOOKUP(F1425:F5467,kunishuClan!A:A,kunishuClan!B:B),"浪人")))</f>
      </c>
      <c r="F1425" s="4">
        <v>0</v>
      </c>
      <c r="G1425" s="4">
        <v>41</v>
      </c>
      <c r="H1425" s="12" t="str">
        <f t="array" ref="H1425">IF(G1425:G5467="","",_xlfn.XLOOKUP(G1425:G5467,castles_state!A:A,castles_state!D:D,"見つかりません"))</f>
      </c>
      <c r="I1425" s="4"/>
      <c r="J1425" s="12" t="str">
        <f t="array" ref="J1425">IF(I1425:I5467="","",_xlfn.XLOOKUP(I1425:I5467,'参照_姫'!A:A,'参照_姫'!B:B,"見つかりません"))</f>
      </c>
      <c r="K1425" s="4">
        <v>90</v>
      </c>
      <c r="L1425" s="4">
        <v>0</v>
      </c>
      <c r="M1425" s="4"/>
      <c r="N1425" s="4"/>
      <c r="O1425" s="4"/>
      <c r="P1425" s="12" t="str">
        <f t="array" ref="P1425">IF(O1425:O5467="","",_xlfn.XLOOKUP(O1425:O5467,'参照_官位'!A:A,'参照_官位'!B:B,""))</f>
      </c>
      <c r="Q1425" s="12" t="str">
        <f t="array" ref="Q1425">IF(A1425:A5467="","",IFERROR(_xlfn.XLOOKUP(A1425:A5467,castles_state!K:K,castles_state!D:D)&amp;"主",IFERROR(_xlfn.XLOOKUP(A1425:A5467,kunishuClan!D:D,kunishuClan!B:B)&amp;"当主","")))</f>
      </c>
    </row>
    <row r="1426" ht="15.75" customHeight="1">
      <c r="A1426" s="4">
        <v>1030012</v>
      </c>
      <c r="B1426" s="12" t="str">
        <f t="array" ref="B1426">IF(A1426:A5468="","",_xlfn.XLOOKUP(A1426:A5468,'参照_武将'!A:A,'参照_武将'!B:B,"見つかりません"))</f>
      </c>
      <c r="C1426" s="4" t="s">
        <v>185</v>
      </c>
      <c r="D1426" s="4">
        <v>4</v>
      </c>
      <c r="E1426" s="12" t="str">
        <f t="array" ref="E1426">IF(D1426:D5468="","",IFERROR(_xlfn.XLOOKUP(D1426:D5468,'参照_勢力'!A:A,'参照_勢力'!B:B),IFERROR(_xlfn.XLOOKUP(F1426:F5468,kunishuClan!A:A,kunishuClan!B:B),"浪人")))</f>
      </c>
      <c r="F1426" s="4">
        <v>0</v>
      </c>
      <c r="G1426" s="4">
        <v>41</v>
      </c>
      <c r="H1426" s="12" t="str">
        <f t="array" ref="H1426">IF(G1426:G5468="","",_xlfn.XLOOKUP(G1426:G5468,castles_state!A:A,castles_state!D:D,"見つかりません"))</f>
      </c>
      <c r="I1426" s="4"/>
      <c r="J1426" s="12" t="str">
        <f t="array" ref="J1426">IF(I1426:I5468="","",_xlfn.XLOOKUP(I1426:I5468,'参照_姫'!A:A,'参照_姫'!B:B,"見つかりません"))</f>
      </c>
      <c r="K1426" s="4">
        <v>90</v>
      </c>
      <c r="L1426" s="4">
        <v>0</v>
      </c>
      <c r="M1426" s="4"/>
      <c r="N1426" s="4"/>
      <c r="O1426" s="4"/>
      <c r="P1426" s="12" t="str">
        <f t="array" ref="P1426">IF(O1426:O5468="","",_xlfn.XLOOKUP(O1426:O5468,'参照_官位'!A:A,'参照_官位'!B:B,""))</f>
      </c>
      <c r="Q1426" s="12" t="str">
        <f t="array" ref="Q1426">IF(A1426:A5468="","",IFERROR(_xlfn.XLOOKUP(A1426:A5468,castles_state!K:K,castles_state!D:D)&amp;"主",IFERROR(_xlfn.XLOOKUP(A1426:A5468,kunishuClan!D:D,kunishuClan!B:B)&amp;"当主","")))</f>
      </c>
    </row>
    <row r="1427" ht="15.75" customHeight="1">
      <c r="A1427" s="4">
        <v>1030013</v>
      </c>
      <c r="B1427" s="12" t="str">
        <f t="array" ref="B1427">IF(A1427:A5469="","",_xlfn.XLOOKUP(A1427:A5469,'参照_武将'!A:A,'参照_武将'!B:B,"見つかりません"))</f>
      </c>
      <c r="C1427" s="4" t="s">
        <v>185</v>
      </c>
      <c r="D1427" s="4">
        <v>4</v>
      </c>
      <c r="E1427" s="12" t="str">
        <f t="array" ref="E1427">IF(D1427:D5469="","",IFERROR(_xlfn.XLOOKUP(D1427:D5469,'参照_勢力'!A:A,'参照_勢力'!B:B),IFERROR(_xlfn.XLOOKUP(F1427:F5469,kunishuClan!A:A,kunishuClan!B:B),"浪人")))</f>
      </c>
      <c r="F1427" s="4">
        <v>0</v>
      </c>
      <c r="G1427" s="4">
        <v>41</v>
      </c>
      <c r="H1427" s="12" t="str">
        <f t="array" ref="H1427">IF(G1427:G5469="","",_xlfn.XLOOKUP(G1427:G5469,castles_state!A:A,castles_state!D:D,"見つかりません"))</f>
      </c>
      <c r="I1427" s="4"/>
      <c r="J1427" s="12" t="str">
        <f t="array" ref="J1427">IF(I1427:I5469="","",_xlfn.XLOOKUP(I1427:I5469,'参照_姫'!A:A,'参照_姫'!B:B,"見つかりません"))</f>
      </c>
      <c r="K1427" s="4">
        <v>90</v>
      </c>
      <c r="L1427" s="4">
        <v>0</v>
      </c>
      <c r="M1427" s="4"/>
      <c r="N1427" s="4"/>
      <c r="O1427" s="4"/>
      <c r="P1427" s="12" t="str">
        <f t="array" ref="P1427">IF(O1427:O5469="","",_xlfn.XLOOKUP(O1427:O5469,'参照_官位'!A:A,'参照_官位'!B:B,""))</f>
      </c>
      <c r="Q1427" s="12" t="str">
        <f t="array" ref="Q1427">IF(A1427:A5469="","",IFERROR(_xlfn.XLOOKUP(A1427:A5469,castles_state!K:K,castles_state!D:D)&amp;"主",IFERROR(_xlfn.XLOOKUP(A1427:A5469,kunishuClan!D:D,kunishuClan!B:B)&amp;"当主","")))</f>
      </c>
    </row>
    <row r="1428" ht="15.75" customHeight="1">
      <c r="A1428" s="4">
        <v>1030014</v>
      </c>
      <c r="B1428" s="12" t="str">
        <f t="array" ref="B1428">IF(A1428:A5470="","",_xlfn.XLOOKUP(A1428:A5470,'参照_武将'!A:A,'参照_武将'!B:B,"見つかりません"))</f>
      </c>
      <c r="C1428" s="4" t="s">
        <v>185</v>
      </c>
      <c r="D1428" s="4">
        <v>4</v>
      </c>
      <c r="E1428" s="12" t="str">
        <f t="array" ref="E1428">IF(D1428:D5470="","",IFERROR(_xlfn.XLOOKUP(D1428:D5470,'参照_勢力'!A:A,'参照_勢力'!B:B),IFERROR(_xlfn.XLOOKUP(F1428:F5470,kunishuClan!A:A,kunishuClan!B:B),"浪人")))</f>
      </c>
      <c r="F1428" s="4">
        <v>0</v>
      </c>
      <c r="G1428" s="4">
        <v>41</v>
      </c>
      <c r="H1428" s="12" t="str">
        <f t="array" ref="H1428">IF(G1428:G5470="","",_xlfn.XLOOKUP(G1428:G5470,castles_state!A:A,castles_state!D:D,"見つかりません"))</f>
      </c>
      <c r="I1428" s="4"/>
      <c r="J1428" s="12" t="str">
        <f t="array" ref="J1428">IF(I1428:I5470="","",_xlfn.XLOOKUP(I1428:I5470,'参照_姫'!A:A,'参照_姫'!B:B,"見つかりません"))</f>
      </c>
      <c r="K1428" s="4">
        <v>90</v>
      </c>
      <c r="L1428" s="4">
        <v>0</v>
      </c>
      <c r="M1428" s="4"/>
      <c r="N1428" s="4"/>
      <c r="O1428" s="4"/>
      <c r="P1428" s="12" t="str">
        <f t="array" ref="P1428">IF(O1428:O5470="","",_xlfn.XLOOKUP(O1428:O5470,'参照_官位'!A:A,'参照_官位'!B:B,""))</f>
      </c>
      <c r="Q1428" s="12" t="str">
        <f t="array" ref="Q1428">IF(A1428:A5470="","",IFERROR(_xlfn.XLOOKUP(A1428:A5470,castles_state!K:K,castles_state!D:D)&amp;"主",IFERROR(_xlfn.XLOOKUP(A1428:A5470,kunishuClan!D:D,kunishuClan!B:B)&amp;"当主","")))</f>
      </c>
    </row>
    <row r="1429" ht="15.75" customHeight="1">
      <c r="A1429" s="4">
        <v>1030015</v>
      </c>
      <c r="B1429" s="12" t="str">
        <f t="array" ref="B1429">IF(A1429:A5471="","",_xlfn.XLOOKUP(A1429:A5471,'参照_武将'!A:A,'参照_武将'!B:B,"見つかりません"))</f>
      </c>
      <c r="C1429" s="4" t="s">
        <v>185</v>
      </c>
      <c r="D1429" s="4">
        <v>4</v>
      </c>
      <c r="E1429" s="12" t="str">
        <f t="array" ref="E1429">IF(D1429:D5471="","",IFERROR(_xlfn.XLOOKUP(D1429:D5471,'参照_勢力'!A:A,'参照_勢力'!B:B),IFERROR(_xlfn.XLOOKUP(F1429:F5471,kunishuClan!A:A,kunishuClan!B:B),"浪人")))</f>
      </c>
      <c r="F1429" s="4">
        <v>0</v>
      </c>
      <c r="G1429" s="4">
        <v>41</v>
      </c>
      <c r="H1429" s="12" t="str">
        <f t="array" ref="H1429">IF(G1429:G5471="","",_xlfn.XLOOKUP(G1429:G5471,castles_state!A:A,castles_state!D:D,"見つかりません"))</f>
      </c>
      <c r="I1429" s="4"/>
      <c r="J1429" s="12" t="str">
        <f t="array" ref="J1429">IF(I1429:I5471="","",_xlfn.XLOOKUP(I1429:I5471,'参照_姫'!A:A,'参照_姫'!B:B,"見つかりません"))</f>
      </c>
      <c r="K1429" s="4">
        <v>90</v>
      </c>
      <c r="L1429" s="4">
        <v>0</v>
      </c>
      <c r="M1429" s="4"/>
      <c r="N1429" s="4"/>
      <c r="O1429" s="4"/>
      <c r="P1429" s="12" t="str">
        <f t="array" ref="P1429">IF(O1429:O5471="","",_xlfn.XLOOKUP(O1429:O5471,'参照_官位'!A:A,'参照_官位'!B:B,""))</f>
      </c>
      <c r="Q1429" s="12" t="str">
        <f t="array" ref="Q1429">IF(A1429:A5471="","",IFERROR(_xlfn.XLOOKUP(A1429:A5471,castles_state!K:K,castles_state!D:D)&amp;"主",IFERROR(_xlfn.XLOOKUP(A1429:A5471,kunishuClan!D:D,kunishuClan!B:B)&amp;"当主","")))</f>
      </c>
    </row>
    <row r="1430" ht="15.75" customHeight="1">
      <c r="A1430" s="4">
        <v>1030016</v>
      </c>
      <c r="B1430" s="12" t="str">
        <f t="array" ref="B1430">IF(A1430:A5472="","",_xlfn.XLOOKUP(A1430:A5472,'参照_武将'!A:A,'参照_武将'!B:B,"見つかりません"))</f>
      </c>
      <c r="C1430" s="4" t="s">
        <v>185</v>
      </c>
      <c r="D1430" s="4">
        <v>4</v>
      </c>
      <c r="E1430" s="12" t="str">
        <f t="array" ref="E1430">IF(D1430:D5472="","",IFERROR(_xlfn.XLOOKUP(D1430:D5472,'参照_勢力'!A:A,'参照_勢力'!B:B),IFERROR(_xlfn.XLOOKUP(F1430:F5472,kunishuClan!A:A,kunishuClan!B:B),"浪人")))</f>
      </c>
      <c r="F1430" s="4">
        <v>0</v>
      </c>
      <c r="G1430" s="4">
        <v>41</v>
      </c>
      <c r="H1430" s="12" t="str">
        <f t="array" ref="H1430">IF(G1430:G5472="","",_xlfn.XLOOKUP(G1430:G5472,castles_state!A:A,castles_state!D:D,"見つかりません"))</f>
      </c>
      <c r="I1430" s="4"/>
      <c r="J1430" s="12" t="str">
        <f t="array" ref="J1430">IF(I1430:I5472="","",_xlfn.XLOOKUP(I1430:I5472,'参照_姫'!A:A,'参照_姫'!B:B,"見つかりません"))</f>
      </c>
      <c r="K1430" s="4">
        <v>90</v>
      </c>
      <c r="L1430" s="4">
        <v>0</v>
      </c>
      <c r="M1430" s="4"/>
      <c r="N1430" s="4"/>
      <c r="O1430" s="4"/>
      <c r="P1430" s="12" t="str">
        <f t="array" ref="P1430">IF(O1430:O5472="","",_xlfn.XLOOKUP(O1430:O5472,'参照_官位'!A:A,'参照_官位'!B:B,""))</f>
      </c>
      <c r="Q1430" s="12" t="str">
        <f t="array" ref="Q1430">IF(A1430:A5472="","",IFERROR(_xlfn.XLOOKUP(A1430:A5472,castles_state!K:K,castles_state!D:D)&amp;"主",IFERROR(_xlfn.XLOOKUP(A1430:A5472,kunishuClan!D:D,kunishuClan!B:B)&amp;"当主","")))</f>
      </c>
    </row>
    <row r="1431" ht="15.75" customHeight="1">
      <c r="A1431" s="4">
        <v>1030017</v>
      </c>
      <c r="B1431" s="12" t="str">
        <f t="array" ref="B1431">IF(A1431:A5473="","",_xlfn.XLOOKUP(A1431:A5473,'参照_武将'!A:A,'参照_武将'!B:B,"見つかりません"))</f>
      </c>
      <c r="C1431" s="4" t="s">
        <v>185</v>
      </c>
      <c r="D1431" s="4">
        <v>4</v>
      </c>
      <c r="E1431" s="12" t="str">
        <f t="array" ref="E1431">IF(D1431:D5473="","",IFERROR(_xlfn.XLOOKUP(D1431:D5473,'参照_勢力'!A:A,'参照_勢力'!B:B),IFERROR(_xlfn.XLOOKUP(F1431:F5473,kunishuClan!A:A,kunishuClan!B:B),"浪人")))</f>
      </c>
      <c r="F1431" s="4">
        <v>0</v>
      </c>
      <c r="G1431" s="4">
        <v>41</v>
      </c>
      <c r="H1431" s="12" t="str">
        <f t="array" ref="H1431">IF(G1431:G5473="","",_xlfn.XLOOKUP(G1431:G5473,castles_state!A:A,castles_state!D:D,"見つかりません"))</f>
      </c>
      <c r="I1431" s="4"/>
      <c r="J1431" s="12" t="str">
        <f t="array" ref="J1431">IF(I1431:I5473="","",_xlfn.XLOOKUP(I1431:I5473,'参照_姫'!A:A,'参照_姫'!B:B,"見つかりません"))</f>
      </c>
      <c r="K1431" s="4">
        <v>90</v>
      </c>
      <c r="L1431" s="4">
        <v>300</v>
      </c>
      <c r="M1431" s="4"/>
      <c r="N1431" s="4"/>
      <c r="O1431" s="4"/>
      <c r="P1431" s="12" t="str">
        <f t="array" ref="P1431">IF(O1431:O5473="","",_xlfn.XLOOKUP(O1431:O5473,'参照_官位'!A:A,'参照_官位'!B:B,""))</f>
      </c>
      <c r="Q1431" s="12" t="str">
        <f t="array" ref="Q1431">IF(A1431:A5473="","",IFERROR(_xlfn.XLOOKUP(A1431:A5473,castles_state!K:K,castles_state!D:D)&amp;"主",IFERROR(_xlfn.XLOOKUP(A1431:A5473,kunishuClan!D:D,kunishuClan!B:B)&amp;"当主","")))</f>
      </c>
    </row>
    <row r="1432" ht="15.75" customHeight="1">
      <c r="A1432" s="4">
        <v>1030018</v>
      </c>
      <c r="B1432" s="12" t="str">
        <f t="array" ref="B1432">IF(A1432:A5474="","",_xlfn.XLOOKUP(A1432:A5474,'参照_武将'!A:A,'参照_武将'!B:B,"見つかりません"))</f>
      </c>
      <c r="C1432" s="4" t="s">
        <v>185</v>
      </c>
      <c r="D1432" s="4">
        <v>4</v>
      </c>
      <c r="E1432" s="12" t="str">
        <f t="array" ref="E1432">IF(D1432:D5474="","",IFERROR(_xlfn.XLOOKUP(D1432:D5474,'参照_勢力'!A:A,'参照_勢力'!B:B),IFERROR(_xlfn.XLOOKUP(F1432:F5474,kunishuClan!A:A,kunishuClan!B:B),"浪人")))</f>
      </c>
      <c r="F1432" s="4">
        <v>0</v>
      </c>
      <c r="G1432" s="4">
        <v>41</v>
      </c>
      <c r="H1432" s="12" t="str">
        <f t="array" ref="H1432">IF(G1432:G5474="","",_xlfn.XLOOKUP(G1432:G5474,castles_state!A:A,castles_state!D:D,"見つかりません"))</f>
      </c>
      <c r="I1432" s="4"/>
      <c r="J1432" s="12" t="str">
        <f t="array" ref="J1432">IF(I1432:I5474="","",_xlfn.XLOOKUP(I1432:I5474,'参照_姫'!A:A,'参照_姫'!B:B,"見つかりません"))</f>
      </c>
      <c r="K1432" s="4">
        <v>90</v>
      </c>
      <c r="L1432" s="4">
        <v>0</v>
      </c>
      <c r="M1432" s="4"/>
      <c r="N1432" s="4"/>
      <c r="O1432" s="4"/>
      <c r="P1432" s="12" t="str">
        <f t="array" ref="P1432">IF(O1432:O5474="","",_xlfn.XLOOKUP(O1432:O5474,'参照_官位'!A:A,'参照_官位'!B:B,""))</f>
      </c>
      <c r="Q1432" s="12" t="str">
        <f t="array" ref="Q1432">IF(A1432:A5474="","",IFERROR(_xlfn.XLOOKUP(A1432:A5474,castles_state!K:K,castles_state!D:D)&amp;"主",IFERROR(_xlfn.XLOOKUP(A1432:A5474,kunishuClan!D:D,kunishuClan!B:B)&amp;"当主","")))</f>
      </c>
    </row>
    <row r="1433" ht="15.75" customHeight="1">
      <c r="A1433" s="4">
        <v>1030019</v>
      </c>
      <c r="B1433" s="12" t="str">
        <f t="array" ref="B1433">IF(A1433:A5475="","",_xlfn.XLOOKUP(A1433:A5475,'参照_武将'!A:A,'参照_武将'!B:B,"見つかりません"))</f>
      </c>
      <c r="C1433" s="4" t="s">
        <v>185</v>
      </c>
      <c r="D1433" s="4">
        <v>4</v>
      </c>
      <c r="E1433" s="12" t="str">
        <f t="array" ref="E1433">IF(D1433:D5475="","",IFERROR(_xlfn.XLOOKUP(D1433:D5475,'参照_勢力'!A:A,'参照_勢力'!B:B),IFERROR(_xlfn.XLOOKUP(F1433:F5475,kunishuClan!A:A,kunishuClan!B:B),"浪人")))</f>
      </c>
      <c r="F1433" s="4">
        <v>0</v>
      </c>
      <c r="G1433" s="4">
        <v>41</v>
      </c>
      <c r="H1433" s="12" t="str">
        <f t="array" ref="H1433">IF(G1433:G5475="","",_xlfn.XLOOKUP(G1433:G5475,castles_state!A:A,castles_state!D:D,"見つかりません"))</f>
      </c>
      <c r="I1433" s="4"/>
      <c r="J1433" s="12" t="str">
        <f t="array" ref="J1433">IF(I1433:I5475="","",_xlfn.XLOOKUP(I1433:I5475,'参照_姫'!A:A,'参照_姫'!B:B,"見つかりません"))</f>
      </c>
      <c r="K1433" s="4">
        <v>90</v>
      </c>
      <c r="L1433" s="4">
        <v>0</v>
      </c>
      <c r="M1433" s="4"/>
      <c r="N1433" s="4"/>
      <c r="O1433" s="4"/>
      <c r="P1433" s="12" t="str">
        <f t="array" ref="P1433">IF(O1433:O5475="","",_xlfn.XLOOKUP(O1433:O5475,'参照_官位'!A:A,'参照_官位'!B:B,""))</f>
      </c>
      <c r="Q1433" s="12" t="str">
        <f t="array" ref="Q1433">IF(A1433:A5475="","",IFERROR(_xlfn.XLOOKUP(A1433:A5475,castles_state!K:K,castles_state!D:D)&amp;"主",IFERROR(_xlfn.XLOOKUP(A1433:A5475,kunishuClan!D:D,kunishuClan!B:B)&amp;"当主","")))</f>
      </c>
    </row>
    <row r="1434" ht="15.75" customHeight="1">
      <c r="A1434" s="4">
        <v>1030020</v>
      </c>
      <c r="B1434" s="12" t="str">
        <f t="array" ref="B1434">IF(A1434:A5476="","",_xlfn.XLOOKUP(A1434:A5476,'参照_武将'!A:A,'参照_武将'!B:B,"見つかりません"))</f>
      </c>
      <c r="C1434" s="4" t="s">
        <v>185</v>
      </c>
      <c r="D1434" s="4">
        <v>4</v>
      </c>
      <c r="E1434" s="12" t="str">
        <f t="array" ref="E1434">IF(D1434:D5476="","",IFERROR(_xlfn.XLOOKUP(D1434:D5476,'参照_勢力'!A:A,'参照_勢力'!B:B),IFERROR(_xlfn.XLOOKUP(F1434:F5476,kunishuClan!A:A,kunishuClan!B:B),"浪人")))</f>
      </c>
      <c r="F1434" s="4">
        <v>0</v>
      </c>
      <c r="G1434" s="4">
        <v>41</v>
      </c>
      <c r="H1434" s="12" t="str">
        <f t="array" ref="H1434">IF(G1434:G5476="","",_xlfn.XLOOKUP(G1434:G5476,castles_state!A:A,castles_state!D:D,"見つかりません"))</f>
      </c>
      <c r="I1434" s="4"/>
      <c r="J1434" s="12" t="str">
        <f t="array" ref="J1434">IF(I1434:I5476="","",_xlfn.XLOOKUP(I1434:I5476,'参照_姫'!A:A,'参照_姫'!B:B,"見つかりません"))</f>
      </c>
      <c r="K1434" s="4">
        <v>90</v>
      </c>
      <c r="L1434" s="4">
        <v>0</v>
      </c>
      <c r="M1434" s="4"/>
      <c r="N1434" s="4"/>
      <c r="O1434" s="4"/>
      <c r="P1434" s="12" t="str">
        <f t="array" ref="P1434">IF(O1434:O5476="","",_xlfn.XLOOKUP(O1434:O5476,'参照_官位'!A:A,'参照_官位'!B:B,""))</f>
      </c>
      <c r="Q1434" s="12" t="str">
        <f t="array" ref="Q1434">IF(A1434:A5476="","",IFERROR(_xlfn.XLOOKUP(A1434:A5476,castles_state!K:K,castles_state!D:D)&amp;"主",IFERROR(_xlfn.XLOOKUP(A1434:A5476,kunishuClan!D:D,kunishuClan!B:B)&amp;"当主","")))</f>
      </c>
    </row>
    <row r="1435" ht="15.75" customHeight="1">
      <c r="A1435" s="4">
        <v>1030021</v>
      </c>
      <c r="B1435" s="12" t="str">
        <f t="array" ref="B1435">IF(A1435:A5477="","",_xlfn.XLOOKUP(A1435:A5477,'参照_武将'!A:A,'参照_武将'!B:B,"見つかりません"))</f>
      </c>
      <c r="C1435" s="4" t="s">
        <v>185</v>
      </c>
      <c r="D1435" s="4">
        <v>4</v>
      </c>
      <c r="E1435" s="12" t="str">
        <f t="array" ref="E1435">IF(D1435:D5477="","",IFERROR(_xlfn.XLOOKUP(D1435:D5477,'参照_勢力'!A:A,'参照_勢力'!B:B),IFERROR(_xlfn.XLOOKUP(F1435:F5477,kunishuClan!A:A,kunishuClan!B:B),"浪人")))</f>
      </c>
      <c r="F1435" s="4">
        <v>0</v>
      </c>
      <c r="G1435" s="4">
        <v>41</v>
      </c>
      <c r="H1435" s="12" t="str">
        <f t="array" ref="H1435">IF(G1435:G5477="","",_xlfn.XLOOKUP(G1435:G5477,castles_state!A:A,castles_state!D:D,"見つかりません"))</f>
      </c>
      <c r="I1435" s="4"/>
      <c r="J1435" s="12" t="str">
        <f t="array" ref="J1435">IF(I1435:I5477="","",_xlfn.XLOOKUP(I1435:I5477,'参照_姫'!A:A,'参照_姫'!B:B,"見つかりません"))</f>
      </c>
      <c r="K1435" s="4">
        <v>90</v>
      </c>
      <c r="L1435" s="4">
        <v>0</v>
      </c>
      <c r="M1435" s="4"/>
      <c r="N1435" s="4"/>
      <c r="O1435" s="4"/>
      <c r="P1435" s="12" t="str">
        <f t="array" ref="P1435">IF(O1435:O5477="","",_xlfn.XLOOKUP(O1435:O5477,'参照_官位'!A:A,'参照_官位'!B:B,""))</f>
      </c>
      <c r="Q1435" s="12" t="str">
        <f t="array" ref="Q1435">IF(A1435:A5477="","",IFERROR(_xlfn.XLOOKUP(A1435:A5477,castles_state!K:K,castles_state!D:D)&amp;"主",IFERROR(_xlfn.XLOOKUP(A1435:A5477,kunishuClan!D:D,kunishuClan!B:B)&amp;"当主","")))</f>
      </c>
    </row>
    <row r="1436" ht="15.75" customHeight="1">
      <c r="A1436" s="4">
        <v>1030022</v>
      </c>
      <c r="B1436" s="12" t="str">
        <f t="array" ref="B1436">IF(A1436:A5478="","",_xlfn.XLOOKUP(A1436:A5478,'参照_武将'!A:A,'参照_武将'!B:B,"見つかりません"))</f>
      </c>
      <c r="C1436" s="4" t="s">
        <v>185</v>
      </c>
      <c r="D1436" s="4">
        <v>4</v>
      </c>
      <c r="E1436" s="12" t="str">
        <f t="array" ref="E1436">IF(D1436:D5478="","",IFERROR(_xlfn.XLOOKUP(D1436:D5478,'参照_勢力'!A:A,'参照_勢力'!B:B),IFERROR(_xlfn.XLOOKUP(F1436:F5478,kunishuClan!A:A,kunishuClan!B:B),"浪人")))</f>
      </c>
      <c r="F1436" s="4">
        <v>0</v>
      </c>
      <c r="G1436" s="4">
        <v>41</v>
      </c>
      <c r="H1436" s="12" t="str">
        <f t="array" ref="H1436">IF(G1436:G5478="","",_xlfn.XLOOKUP(G1436:G5478,castles_state!A:A,castles_state!D:D,"見つかりません"))</f>
      </c>
      <c r="I1436" s="4"/>
      <c r="J1436" s="12" t="str">
        <f t="array" ref="J1436">IF(I1436:I5478="","",_xlfn.XLOOKUP(I1436:I5478,'参照_姫'!A:A,'参照_姫'!B:B,"見つかりません"))</f>
      </c>
      <c r="K1436" s="4">
        <v>90</v>
      </c>
      <c r="L1436" s="4">
        <v>0</v>
      </c>
      <c r="M1436" s="4"/>
      <c r="N1436" s="4"/>
      <c r="O1436" s="4"/>
      <c r="P1436" s="12" t="str">
        <f t="array" ref="P1436">IF(O1436:O5478="","",_xlfn.XLOOKUP(O1436:O5478,'参照_官位'!A:A,'参照_官位'!B:B,""))</f>
      </c>
      <c r="Q1436" s="12" t="str">
        <f t="array" ref="Q1436">IF(A1436:A5478="","",IFERROR(_xlfn.XLOOKUP(A1436:A5478,castles_state!K:K,castles_state!D:D)&amp;"主",IFERROR(_xlfn.XLOOKUP(A1436:A5478,kunishuClan!D:D,kunishuClan!B:B)&amp;"当主","")))</f>
      </c>
    </row>
    <row r="1437" ht="15.75" customHeight="1">
      <c r="A1437" s="4">
        <v>1030023</v>
      </c>
      <c r="B1437" s="12" t="str">
        <f t="array" ref="B1437">IF(A1437:A5479="","",_xlfn.XLOOKUP(A1437:A5479,'参照_武将'!A:A,'参照_武将'!B:B,"見つかりません"))</f>
      </c>
      <c r="C1437" s="4" t="s">
        <v>185</v>
      </c>
      <c r="D1437" s="4">
        <v>4</v>
      </c>
      <c r="E1437" s="12" t="str">
        <f t="array" ref="E1437">IF(D1437:D5479="","",IFERROR(_xlfn.XLOOKUP(D1437:D5479,'参照_勢力'!A:A,'参照_勢力'!B:B),IFERROR(_xlfn.XLOOKUP(F1437:F5479,kunishuClan!A:A,kunishuClan!B:B),"浪人")))</f>
      </c>
      <c r="F1437" s="4">
        <v>0</v>
      </c>
      <c r="G1437" s="4">
        <v>41</v>
      </c>
      <c r="H1437" s="12" t="str">
        <f t="array" ref="H1437">IF(G1437:G5479="","",_xlfn.XLOOKUP(G1437:G5479,castles_state!A:A,castles_state!D:D,"見つかりません"))</f>
      </c>
      <c r="I1437" s="4"/>
      <c r="J1437" s="12" t="str">
        <f t="array" ref="J1437">IF(I1437:I5479="","",_xlfn.XLOOKUP(I1437:I5479,'参照_姫'!A:A,'参照_姫'!B:B,"見つかりません"))</f>
      </c>
      <c r="K1437" s="4">
        <v>90</v>
      </c>
      <c r="L1437" s="4">
        <v>0</v>
      </c>
      <c r="M1437" s="4"/>
      <c r="N1437" s="4"/>
      <c r="O1437" s="4"/>
      <c r="P1437" s="12" t="str">
        <f t="array" ref="P1437">IF(O1437:O5479="","",_xlfn.XLOOKUP(O1437:O5479,'参照_官位'!A:A,'参照_官位'!B:B,""))</f>
      </c>
      <c r="Q1437" s="12" t="str">
        <f t="array" ref="Q1437">IF(A1437:A5479="","",IFERROR(_xlfn.XLOOKUP(A1437:A5479,castles_state!K:K,castles_state!D:D)&amp;"主",IFERROR(_xlfn.XLOOKUP(A1437:A5479,kunishuClan!D:D,kunishuClan!B:B)&amp;"当主","")))</f>
      </c>
    </row>
    <row r="1438" ht="15.75" customHeight="1">
      <c r="A1438" s="4">
        <v>1031001</v>
      </c>
      <c r="B1438" s="12" t="str">
        <f t="array" ref="B1438">IF(A1438:A5480="","",_xlfn.XLOOKUP(A1438:A5480,'参照_武将'!A:A,'参照_武将'!B:B,"見つかりません"))</f>
      </c>
      <c r="C1438" s="4" t="s">
        <v>188</v>
      </c>
      <c r="D1438" s="4">
        <v>31</v>
      </c>
      <c r="E1438" s="12" t="str">
        <f t="array" ref="E1438">IF(D1438:D5480="","",IFERROR(_xlfn.XLOOKUP(D1438:D5480,'参照_勢力'!A:A,'参照_勢力'!B:B),IFERROR(_xlfn.XLOOKUP(F1438:F5480,kunishuClan!A:A,kunishuClan!B:B),"浪人")))</f>
      </c>
      <c r="F1438" s="4">
        <v>0</v>
      </c>
      <c r="G1438" s="4">
        <v>31</v>
      </c>
      <c r="H1438" s="12" t="str">
        <f t="array" ref="H1438">IF(G1438:G5480="","",_xlfn.XLOOKUP(G1438:G5480,castles_state!A:A,castles_state!D:D,"見つかりません"))</f>
      </c>
      <c r="I1438" s="4"/>
      <c r="J1438" s="12" t="str">
        <f t="array" ref="J1438">IF(I1438:I5480="","",_xlfn.XLOOKUP(I1438:I5480,'参照_姫'!A:A,'参照_姫'!B:B,"見つかりません"))</f>
      </c>
      <c r="K1438" s="4">
        <v>95</v>
      </c>
      <c r="L1438" s="4">
        <v>0</v>
      </c>
      <c r="M1438" s="4"/>
      <c r="N1438" s="4"/>
      <c r="O1438" s="4"/>
      <c r="P1438" s="12" t="str">
        <f t="array" ref="P1438">IF(O1438:O5480="","",_xlfn.XLOOKUP(O1438:O5480,'参照_官位'!A:A,'参照_官位'!B:B,""))</f>
      </c>
      <c r="Q1438" s="12" t="str">
        <f t="array" ref="Q1438">IF(A1438:A5480="","",IFERROR(_xlfn.XLOOKUP(A1438:A5480,castles_state!K:K,castles_state!D:D)&amp;"主",IFERROR(_xlfn.XLOOKUP(A1438:A5480,kunishuClan!D:D,kunishuClan!B:B)&amp;"当主","")))</f>
      </c>
    </row>
    <row r="1439" ht="15.75" customHeight="1">
      <c r="A1439" s="4">
        <v>1031002</v>
      </c>
      <c r="B1439" s="12" t="str">
        <f t="array" ref="B1439">IF(A1439:A5481="","",_xlfn.XLOOKUP(A1439:A5481,'参照_武将'!A:A,'参照_武将'!B:B,"見つかりません"))</f>
      </c>
      <c r="C1439" s="4" t="s">
        <v>188</v>
      </c>
      <c r="D1439" s="4">
        <v>31</v>
      </c>
      <c r="E1439" s="12" t="str">
        <f t="array" ref="E1439">IF(D1439:D5481="","",IFERROR(_xlfn.XLOOKUP(D1439:D5481,'参照_勢力'!A:A,'参照_勢力'!B:B),IFERROR(_xlfn.XLOOKUP(F1439:F5481,kunishuClan!A:A,kunishuClan!B:B),"浪人")))</f>
      </c>
      <c r="F1439" s="4">
        <v>0</v>
      </c>
      <c r="G1439" s="4">
        <v>31</v>
      </c>
      <c r="H1439" s="12" t="str">
        <f t="array" ref="H1439">IF(G1439:G5481="","",_xlfn.XLOOKUP(G1439:G5481,castles_state!A:A,castles_state!D:D,"見つかりません"))</f>
      </c>
      <c r="I1439" s="4"/>
      <c r="J1439" s="12" t="str">
        <f t="array" ref="J1439">IF(I1439:I5481="","",_xlfn.XLOOKUP(I1439:I5481,'参照_姫'!A:A,'参照_姫'!B:B,"見つかりません"))</f>
      </c>
      <c r="K1439" s="4">
        <v>95</v>
      </c>
      <c r="L1439" s="4">
        <v>0</v>
      </c>
      <c r="M1439" s="4"/>
      <c r="N1439" s="4"/>
      <c r="O1439" s="4"/>
      <c r="P1439" s="12" t="str">
        <f t="array" ref="P1439">IF(O1439:O5481="","",_xlfn.XLOOKUP(O1439:O5481,'参照_官位'!A:A,'参照_官位'!B:B,""))</f>
      </c>
      <c r="Q1439" s="12" t="str">
        <f t="array" ref="Q1439">IF(A1439:A5481="","",IFERROR(_xlfn.XLOOKUP(A1439:A5481,castles_state!K:K,castles_state!D:D)&amp;"主",IFERROR(_xlfn.XLOOKUP(A1439:A5481,kunishuClan!D:D,kunishuClan!B:B)&amp;"当主","")))</f>
      </c>
    </row>
    <row r="1440" ht="15.75" customHeight="1">
      <c r="A1440" s="4">
        <v>1031003</v>
      </c>
      <c r="B1440" s="12" t="str">
        <f t="array" ref="B1440">IF(A1440:A5482="","",_xlfn.XLOOKUP(A1440:A5482,'参照_武将'!A:A,'参照_武将'!B:B,"見つかりません"))</f>
      </c>
      <c r="C1440" s="4" t="s">
        <v>188</v>
      </c>
      <c r="D1440" s="4">
        <v>31</v>
      </c>
      <c r="E1440" s="12" t="str">
        <f t="array" ref="E1440">IF(D1440:D5482="","",IFERROR(_xlfn.XLOOKUP(D1440:D5482,'参照_勢力'!A:A,'参照_勢力'!B:B),IFERROR(_xlfn.XLOOKUP(F1440:F5482,kunishuClan!A:A,kunishuClan!B:B),"浪人")))</f>
      </c>
      <c r="F1440" s="4">
        <v>0</v>
      </c>
      <c r="G1440" s="4">
        <v>31</v>
      </c>
      <c r="H1440" s="12" t="str">
        <f t="array" ref="H1440">IF(G1440:G5482="","",_xlfn.XLOOKUP(G1440:G5482,castles_state!A:A,castles_state!D:D,"見つかりません"))</f>
      </c>
      <c r="I1440" s="4"/>
      <c r="J1440" s="12" t="str">
        <f t="array" ref="J1440">IF(I1440:I5482="","",_xlfn.XLOOKUP(I1440:I5482,'参照_姫'!A:A,'参照_姫'!B:B,"見つかりません"))</f>
      </c>
      <c r="K1440" s="4">
        <v>100</v>
      </c>
      <c r="L1440" s="4">
        <v>1000</v>
      </c>
      <c r="M1440" s="4"/>
      <c r="N1440" s="4"/>
      <c r="O1440" s="4"/>
      <c r="P1440" s="12" t="str">
        <f t="array" ref="P1440">IF(O1440:O5482="","",_xlfn.XLOOKUP(O1440:O5482,'参照_官位'!A:A,'参照_官位'!B:B,""))</f>
      </c>
      <c r="Q1440" s="12" t="str">
        <f t="array" ref="Q1440">IF(A1440:A5482="","",IFERROR(_xlfn.XLOOKUP(A1440:A5482,castles_state!K:K,castles_state!D:D)&amp;"主",IFERROR(_xlfn.XLOOKUP(A1440:A5482,kunishuClan!D:D,kunishuClan!B:B)&amp;"当主","")))</f>
      </c>
    </row>
    <row r="1441" ht="15.75" customHeight="1">
      <c r="A1441" s="4">
        <v>1031004</v>
      </c>
      <c r="B1441" s="12" t="str">
        <f t="array" ref="B1441">IF(A1441:A5483="","",_xlfn.XLOOKUP(A1441:A5483,'参照_武将'!A:A,'参照_武将'!B:B,"見つかりません"))</f>
      </c>
      <c r="C1441" s="4" t="s">
        <v>188</v>
      </c>
      <c r="D1441" s="4">
        <v>31</v>
      </c>
      <c r="E1441" s="12" t="str">
        <f t="array" ref="E1441">IF(D1441:D5483="","",IFERROR(_xlfn.XLOOKUP(D1441:D5483,'参照_勢力'!A:A,'参照_勢力'!B:B),IFERROR(_xlfn.XLOOKUP(F1441:F5483,kunishuClan!A:A,kunishuClan!B:B),"浪人")))</f>
      </c>
      <c r="F1441" s="4">
        <v>0</v>
      </c>
      <c r="G1441" s="4">
        <v>31</v>
      </c>
      <c r="H1441" s="12" t="str">
        <f t="array" ref="H1441">IF(G1441:G5483="","",_xlfn.XLOOKUP(G1441:G5483,castles_state!A:A,castles_state!D:D,"見つかりません"))</f>
      </c>
      <c r="I1441" s="4"/>
      <c r="J1441" s="12" t="str">
        <f t="array" ref="J1441">IF(I1441:I5483="","",_xlfn.XLOOKUP(I1441:I5483,'参照_姫'!A:A,'参照_姫'!B:B,"見つかりません"))</f>
      </c>
      <c r="K1441" s="4">
        <v>95</v>
      </c>
      <c r="L1441" s="4">
        <v>0</v>
      </c>
      <c r="M1441" s="4"/>
      <c r="N1441" s="4"/>
      <c r="O1441" s="4"/>
      <c r="P1441" s="12" t="str">
        <f t="array" ref="P1441">IF(O1441:O5483="","",_xlfn.XLOOKUP(O1441:O5483,'参照_官位'!A:A,'参照_官位'!B:B,""))</f>
      </c>
      <c r="Q1441" s="12" t="str">
        <f t="array" ref="Q1441">IF(A1441:A5483="","",IFERROR(_xlfn.XLOOKUP(A1441:A5483,castles_state!K:K,castles_state!D:D)&amp;"主",IFERROR(_xlfn.XLOOKUP(A1441:A5483,kunishuClan!D:D,kunishuClan!B:B)&amp;"当主","")))</f>
      </c>
    </row>
    <row r="1442" ht="15.75" customHeight="1">
      <c r="A1442" s="4">
        <v>1031005</v>
      </c>
      <c r="B1442" s="12" t="str">
        <f t="array" ref="B1442">IF(A1442:A5484="","",_xlfn.XLOOKUP(A1442:A5484,'参照_武将'!A:A,'参照_武将'!B:B,"見つかりません"))</f>
      </c>
      <c r="C1442" s="4" t="s">
        <v>188</v>
      </c>
      <c r="D1442" s="4">
        <v>31</v>
      </c>
      <c r="E1442" s="12" t="str">
        <f t="array" ref="E1442">IF(D1442:D5484="","",IFERROR(_xlfn.XLOOKUP(D1442:D5484,'参照_勢力'!A:A,'参照_勢力'!B:B),IFERROR(_xlfn.XLOOKUP(F1442:F5484,kunishuClan!A:A,kunishuClan!B:B),"浪人")))</f>
      </c>
      <c r="F1442" s="4">
        <v>0</v>
      </c>
      <c r="G1442" s="4">
        <v>31</v>
      </c>
      <c r="H1442" s="12" t="str">
        <f t="array" ref="H1442">IF(G1442:G5484="","",_xlfn.XLOOKUP(G1442:G5484,castles_state!A:A,castles_state!D:D,"見つかりません"))</f>
      </c>
      <c r="I1442" s="4"/>
      <c r="J1442" s="12" t="str">
        <f t="array" ref="J1442">IF(I1442:I5484="","",_xlfn.XLOOKUP(I1442:I5484,'参照_姫'!A:A,'参照_姫'!B:B,"見つかりません"))</f>
      </c>
      <c r="K1442" s="4">
        <v>100</v>
      </c>
      <c r="L1442" s="4">
        <v>500</v>
      </c>
      <c r="M1442" s="4"/>
      <c r="N1442" s="4"/>
      <c r="O1442" s="4"/>
      <c r="P1442" s="12" t="str">
        <f t="array" ref="P1442">IF(O1442:O5484="","",_xlfn.XLOOKUP(O1442:O5484,'参照_官位'!A:A,'参照_官位'!B:B,""))</f>
      </c>
      <c r="Q1442" s="12" t="str">
        <f t="array" ref="Q1442">IF(A1442:A5484="","",IFERROR(_xlfn.XLOOKUP(A1442:A5484,castles_state!K:K,castles_state!D:D)&amp;"主",IFERROR(_xlfn.XLOOKUP(A1442:A5484,kunishuClan!D:D,kunishuClan!B:B)&amp;"当主","")))</f>
      </c>
    </row>
    <row r="1443" ht="15.75" customHeight="1">
      <c r="A1443" s="4">
        <v>1031006</v>
      </c>
      <c r="B1443" s="12" t="str">
        <f t="array" ref="B1443">IF(A1443:A5485="","",_xlfn.XLOOKUP(A1443:A5485,'参照_武将'!A:A,'参照_武将'!B:B,"見つかりません"))</f>
      </c>
      <c r="C1443" s="4" t="s">
        <v>188</v>
      </c>
      <c r="D1443" s="4">
        <v>0</v>
      </c>
      <c r="E1443" s="12" t="str">
        <f t="array" ref="E1443">IF(D1443:D5485="","",IFERROR(_xlfn.XLOOKUP(D1443:D5485,'参照_勢力'!A:A,'参照_勢力'!B:B),IFERROR(_xlfn.XLOOKUP(F1443:F5485,kunishuClan!A:A,kunishuClan!B:B),"浪人")))</f>
      </c>
      <c r="F1443" s="4">
        <v>0</v>
      </c>
      <c r="G1443" s="4">
        <v>31</v>
      </c>
      <c r="H1443" s="12" t="str">
        <f t="array" ref="H1443">IF(G1443:G5485="","",_xlfn.XLOOKUP(G1443:G5485,castles_state!A:A,castles_state!D:D,"見つかりません"))</f>
      </c>
      <c r="I1443" s="4"/>
      <c r="J1443" s="12" t="str">
        <f t="array" ref="J1443">IF(I1443:I5485="","",_xlfn.XLOOKUP(I1443:I5485,'参照_姫'!A:A,'参照_姫'!B:B,"見つかりません"))</f>
      </c>
      <c r="K1443" s="4">
        <v>50</v>
      </c>
      <c r="L1443" s="4">
        <v>0</v>
      </c>
      <c r="M1443" s="4"/>
      <c r="N1443" s="4"/>
      <c r="O1443" s="4"/>
      <c r="P1443" s="12" t="str">
        <f t="array" ref="P1443">IF(O1443:O5485="","",_xlfn.XLOOKUP(O1443:O5485,'参照_官位'!A:A,'参照_官位'!B:B,""))</f>
      </c>
      <c r="Q1443" s="12" t="str">
        <f t="array" ref="Q1443">IF(A1443:A5485="","",IFERROR(_xlfn.XLOOKUP(A1443:A5485,castles_state!K:K,castles_state!D:D)&amp;"主",IFERROR(_xlfn.XLOOKUP(A1443:A5485,kunishuClan!D:D,kunishuClan!B:B)&amp;"当主","")))</f>
      </c>
    </row>
    <row r="1444" ht="15.75" customHeight="1">
      <c r="A1444" s="4">
        <v>1031007</v>
      </c>
      <c r="B1444" s="12" t="str">
        <f t="array" ref="B1444">IF(A1444:A5486="","",_xlfn.XLOOKUP(A1444:A5486,'参照_武将'!A:A,'参照_武将'!B:B,"見つかりません"))</f>
      </c>
      <c r="C1444" s="4" t="s">
        <v>188</v>
      </c>
      <c r="D1444" s="4">
        <v>31</v>
      </c>
      <c r="E1444" s="12" t="str">
        <f t="array" ref="E1444">IF(D1444:D5486="","",IFERROR(_xlfn.XLOOKUP(D1444:D5486,'参照_勢力'!A:A,'参照_勢力'!B:B),IFERROR(_xlfn.XLOOKUP(F1444:F5486,kunishuClan!A:A,kunishuClan!B:B),"浪人")))</f>
      </c>
      <c r="F1444" s="4">
        <v>0</v>
      </c>
      <c r="G1444" s="4">
        <v>31</v>
      </c>
      <c r="H1444" s="12" t="str">
        <f t="array" ref="H1444">IF(G1444:G5486="","",_xlfn.XLOOKUP(G1444:G5486,castles_state!A:A,castles_state!D:D,"見つかりません"))</f>
      </c>
      <c r="I1444" s="4"/>
      <c r="J1444" s="12" t="str">
        <f t="array" ref="J1444">IF(I1444:I5486="","",_xlfn.XLOOKUP(I1444:I5486,'参照_姫'!A:A,'参照_姫'!B:B,"見つかりません"))</f>
      </c>
      <c r="K1444" s="4">
        <v>95</v>
      </c>
      <c r="L1444" s="4">
        <v>0</v>
      </c>
      <c r="M1444" s="4"/>
      <c r="N1444" s="4"/>
      <c r="O1444" s="4"/>
      <c r="P1444" s="12" t="str">
        <f t="array" ref="P1444">IF(O1444:O5486="","",_xlfn.XLOOKUP(O1444:O5486,'参照_官位'!A:A,'参照_官位'!B:B,""))</f>
      </c>
      <c r="Q1444" s="12" t="str">
        <f t="array" ref="Q1444">IF(A1444:A5486="","",IFERROR(_xlfn.XLOOKUP(A1444:A5486,castles_state!K:K,castles_state!D:D)&amp;"主",IFERROR(_xlfn.XLOOKUP(A1444:A5486,kunishuClan!D:D,kunishuClan!B:B)&amp;"当主","")))</f>
      </c>
    </row>
    <row r="1445" ht="15.75" customHeight="1">
      <c r="A1445" s="4">
        <v>1031008</v>
      </c>
      <c r="B1445" s="12" t="str">
        <f t="array" ref="B1445">IF(A1445:A5487="","",_xlfn.XLOOKUP(A1445:A5487,'参照_武将'!A:A,'参照_武将'!B:B,"見つかりません"))</f>
      </c>
      <c r="C1445" s="4" t="s">
        <v>188</v>
      </c>
      <c r="D1445" s="4">
        <v>31</v>
      </c>
      <c r="E1445" s="12" t="str">
        <f t="array" ref="E1445">IF(D1445:D5487="","",IFERROR(_xlfn.XLOOKUP(D1445:D5487,'参照_勢力'!A:A,'参照_勢力'!B:B),IFERROR(_xlfn.XLOOKUP(F1445:F5487,kunishuClan!A:A,kunishuClan!B:B),"浪人")))</f>
      </c>
      <c r="F1445" s="4">
        <v>0</v>
      </c>
      <c r="G1445" s="4">
        <v>31</v>
      </c>
      <c r="H1445" s="12" t="str">
        <f t="array" ref="H1445">IF(G1445:G5487="","",_xlfn.XLOOKUP(G1445:G5487,castles_state!A:A,castles_state!D:D,"見つかりません"))</f>
      </c>
      <c r="I1445" s="4"/>
      <c r="J1445" s="12" t="str">
        <f t="array" ref="J1445">IF(I1445:I5487="","",_xlfn.XLOOKUP(I1445:I5487,'参照_姫'!A:A,'参照_姫'!B:B,"見つかりません"))</f>
      </c>
      <c r="K1445" s="4">
        <v>95</v>
      </c>
      <c r="L1445" s="4">
        <v>200</v>
      </c>
      <c r="M1445" s="4"/>
      <c r="N1445" s="4"/>
      <c r="O1445" s="4"/>
      <c r="P1445" s="12" t="str">
        <f t="array" ref="P1445">IF(O1445:O5487="","",_xlfn.XLOOKUP(O1445:O5487,'参照_官位'!A:A,'参照_官位'!B:B,""))</f>
      </c>
      <c r="Q1445" s="12" t="str">
        <f t="array" ref="Q1445">IF(A1445:A5487="","",IFERROR(_xlfn.XLOOKUP(A1445:A5487,castles_state!K:K,castles_state!D:D)&amp;"主",IFERROR(_xlfn.XLOOKUP(A1445:A5487,kunishuClan!D:D,kunishuClan!B:B)&amp;"当主","")))</f>
      </c>
    </row>
    <row r="1446" ht="15.75" customHeight="1">
      <c r="A1446" s="4">
        <v>1031009</v>
      </c>
      <c r="B1446" s="12" t="str">
        <f t="array" ref="B1446">IF(A1446:A5488="","",_xlfn.XLOOKUP(A1446:A5488,'参照_武将'!A:A,'参照_武将'!B:B,"見つかりません"))</f>
      </c>
      <c r="C1446" s="4" t="s">
        <v>188</v>
      </c>
      <c r="D1446" s="4">
        <v>0</v>
      </c>
      <c r="E1446" s="12" t="str">
        <f t="array" ref="E1446">IF(D1446:D5488="","",IFERROR(_xlfn.XLOOKUP(D1446:D5488,'参照_勢力'!A:A,'参照_勢力'!B:B),IFERROR(_xlfn.XLOOKUP(F1446:F5488,kunishuClan!A:A,kunishuClan!B:B),"浪人")))</f>
      </c>
      <c r="F1446" s="4">
        <v>0</v>
      </c>
      <c r="G1446" s="4">
        <v>31</v>
      </c>
      <c r="H1446" s="12" t="str">
        <f t="array" ref="H1446">IF(G1446:G5488="","",_xlfn.XLOOKUP(G1446:G5488,castles_state!A:A,castles_state!D:D,"見つかりません"))</f>
      </c>
      <c r="I1446" s="4"/>
      <c r="J1446" s="12" t="str">
        <f t="array" ref="J1446">IF(I1446:I5488="","",_xlfn.XLOOKUP(I1446:I5488,'参照_姫'!A:A,'参照_姫'!B:B,"見つかりません"))</f>
      </c>
      <c r="K1446" s="4">
        <v>50</v>
      </c>
      <c r="L1446" s="4">
        <v>0</v>
      </c>
      <c r="M1446" s="4"/>
      <c r="N1446" s="4"/>
      <c r="O1446" s="4"/>
      <c r="P1446" s="12" t="str">
        <f t="array" ref="P1446">IF(O1446:O5488="","",_xlfn.XLOOKUP(O1446:O5488,'参照_官位'!A:A,'参照_官位'!B:B,""))</f>
      </c>
      <c r="Q1446" s="12" t="str">
        <f t="array" ref="Q1446">IF(A1446:A5488="","",IFERROR(_xlfn.XLOOKUP(A1446:A5488,castles_state!K:K,castles_state!D:D)&amp;"主",IFERROR(_xlfn.XLOOKUP(A1446:A5488,kunishuClan!D:D,kunishuClan!B:B)&amp;"当主","")))</f>
      </c>
    </row>
    <row r="1447" ht="15.75" customHeight="1">
      <c r="A1447" s="4">
        <v>1031010</v>
      </c>
      <c r="B1447" s="12" t="str">
        <f t="array" ref="B1447">IF(A1447:A5489="","",_xlfn.XLOOKUP(A1447:A5489,'参照_武将'!A:A,'参照_武将'!B:B,"見つかりません"))</f>
      </c>
      <c r="C1447" s="4" t="s">
        <v>188</v>
      </c>
      <c r="D1447" s="4">
        <v>31</v>
      </c>
      <c r="E1447" s="12" t="str">
        <f t="array" ref="E1447">IF(D1447:D5489="","",IFERROR(_xlfn.XLOOKUP(D1447:D5489,'参照_勢力'!A:A,'参照_勢力'!B:B),IFERROR(_xlfn.XLOOKUP(F1447:F5489,kunishuClan!A:A,kunishuClan!B:B),"浪人")))</f>
      </c>
      <c r="F1447" s="4">
        <v>0</v>
      </c>
      <c r="G1447" s="4">
        <v>31</v>
      </c>
      <c r="H1447" s="12" t="str">
        <f t="array" ref="H1447">IF(G1447:G5489="","",_xlfn.XLOOKUP(G1447:G5489,castles_state!A:A,castles_state!D:D,"見つかりません"))</f>
      </c>
      <c r="I1447" s="4"/>
      <c r="J1447" s="12" t="str">
        <f t="array" ref="J1447">IF(I1447:I5489="","",_xlfn.XLOOKUP(I1447:I5489,'参照_姫'!A:A,'参照_姫'!B:B,"見つかりません"))</f>
      </c>
      <c r="K1447" s="4">
        <v>95</v>
      </c>
      <c r="L1447" s="4">
        <v>500</v>
      </c>
      <c r="M1447" s="4"/>
      <c r="N1447" s="4"/>
      <c r="O1447" s="4"/>
      <c r="P1447" s="12" t="str">
        <f t="array" ref="P1447">IF(O1447:O5489="","",_xlfn.XLOOKUP(O1447:O5489,'参照_官位'!A:A,'参照_官位'!B:B,""))</f>
      </c>
      <c r="Q1447" s="12" t="str">
        <f t="array" ref="Q1447">IF(A1447:A5489="","",IFERROR(_xlfn.XLOOKUP(A1447:A5489,castles_state!K:K,castles_state!D:D)&amp;"主",IFERROR(_xlfn.XLOOKUP(A1447:A5489,kunishuClan!D:D,kunishuClan!B:B)&amp;"当主","")))</f>
      </c>
    </row>
    <row r="1448" ht="15.75" customHeight="1">
      <c r="A1448" s="4">
        <v>1031011</v>
      </c>
      <c r="B1448" s="12" t="str">
        <f t="array" ref="B1448">IF(A1448:A5490="","",_xlfn.XLOOKUP(A1448:A5490,'参照_武将'!A:A,'参照_武将'!B:B,"見つかりません"))</f>
      </c>
      <c r="C1448" s="4" t="s">
        <v>188</v>
      </c>
      <c r="D1448" s="4">
        <v>31</v>
      </c>
      <c r="E1448" s="12" t="str">
        <f t="array" ref="E1448">IF(D1448:D5490="","",IFERROR(_xlfn.XLOOKUP(D1448:D5490,'参照_勢力'!A:A,'参照_勢力'!B:B),IFERROR(_xlfn.XLOOKUP(F1448:F5490,kunishuClan!A:A,kunishuClan!B:B),"浪人")))</f>
      </c>
      <c r="F1448" s="4">
        <v>0</v>
      </c>
      <c r="G1448" s="4">
        <v>31</v>
      </c>
      <c r="H1448" s="12" t="str">
        <f t="array" ref="H1448">IF(G1448:G5490="","",_xlfn.XLOOKUP(G1448:G5490,castles_state!A:A,castles_state!D:D,"見つかりません"))</f>
      </c>
      <c r="I1448" s="4"/>
      <c r="J1448" s="12" t="str">
        <f t="array" ref="J1448">IF(I1448:I5490="","",_xlfn.XLOOKUP(I1448:I5490,'参照_姫'!A:A,'参照_姫'!B:B,"見つかりません"))</f>
      </c>
      <c r="K1448" s="4">
        <v>95</v>
      </c>
      <c r="L1448" s="4">
        <v>0</v>
      </c>
      <c r="M1448" s="4"/>
      <c r="N1448" s="4"/>
      <c r="O1448" s="4"/>
      <c r="P1448" s="12" t="str">
        <f t="array" ref="P1448">IF(O1448:O5490="","",_xlfn.XLOOKUP(O1448:O5490,'参照_官位'!A:A,'参照_官位'!B:B,""))</f>
      </c>
      <c r="Q1448" s="12" t="str">
        <f t="array" ref="Q1448">IF(A1448:A5490="","",IFERROR(_xlfn.XLOOKUP(A1448:A5490,castles_state!K:K,castles_state!D:D)&amp;"主",IFERROR(_xlfn.XLOOKUP(A1448:A5490,kunishuClan!D:D,kunishuClan!B:B)&amp;"当主","")))</f>
      </c>
    </row>
    <row r="1449" ht="15.75" customHeight="1">
      <c r="A1449" s="4">
        <v>1031012</v>
      </c>
      <c r="B1449" s="12" t="str">
        <f t="array" ref="B1449">IF(A1449:A5491="","",_xlfn.XLOOKUP(A1449:A5491,'参照_武将'!A:A,'参照_武将'!B:B,"見つかりません"))</f>
      </c>
      <c r="C1449" s="4" t="s">
        <v>188</v>
      </c>
      <c r="D1449" s="4">
        <v>31</v>
      </c>
      <c r="E1449" s="12" t="str">
        <f t="array" ref="E1449">IF(D1449:D5491="","",IFERROR(_xlfn.XLOOKUP(D1449:D5491,'参照_勢力'!A:A,'参照_勢力'!B:B),IFERROR(_xlfn.XLOOKUP(F1449:F5491,kunishuClan!A:A,kunishuClan!B:B),"浪人")))</f>
      </c>
      <c r="F1449" s="4">
        <v>0</v>
      </c>
      <c r="G1449" s="4">
        <v>31</v>
      </c>
      <c r="H1449" s="12" t="str">
        <f t="array" ref="H1449">IF(G1449:G5491="","",_xlfn.XLOOKUP(G1449:G5491,castles_state!A:A,castles_state!D:D,"見つかりません"))</f>
      </c>
      <c r="I1449" s="4"/>
      <c r="J1449" s="12" t="str">
        <f t="array" ref="J1449">IF(I1449:I5491="","",_xlfn.XLOOKUP(I1449:I5491,'参照_姫'!A:A,'参照_姫'!B:B,"見つかりません"))</f>
      </c>
      <c r="K1449" s="4">
        <v>95</v>
      </c>
      <c r="L1449" s="4">
        <v>0</v>
      </c>
      <c r="M1449" s="4"/>
      <c r="N1449" s="4"/>
      <c r="O1449" s="4"/>
      <c r="P1449" s="12" t="str">
        <f t="array" ref="P1449">IF(O1449:O5491="","",_xlfn.XLOOKUP(O1449:O5491,'参照_官位'!A:A,'参照_官位'!B:B,""))</f>
      </c>
      <c r="Q1449" s="12" t="str">
        <f t="array" ref="Q1449">IF(A1449:A5491="","",IFERROR(_xlfn.XLOOKUP(A1449:A5491,castles_state!K:K,castles_state!D:D)&amp;"主",IFERROR(_xlfn.XLOOKUP(A1449:A5491,kunishuClan!D:D,kunishuClan!B:B)&amp;"当主","")))</f>
      </c>
    </row>
    <row r="1450" ht="15.75" customHeight="1">
      <c r="A1450" s="4">
        <v>1031013</v>
      </c>
      <c r="B1450" s="12" t="str">
        <f t="array" ref="B1450">IF(A1450:A5492="","",_xlfn.XLOOKUP(A1450:A5492,'参照_武将'!A:A,'参照_武将'!B:B,"見つかりません"))</f>
      </c>
      <c r="C1450" s="4" t="s">
        <v>188</v>
      </c>
      <c r="D1450" s="4">
        <v>31</v>
      </c>
      <c r="E1450" s="12" t="str">
        <f t="array" ref="E1450">IF(D1450:D5492="","",IFERROR(_xlfn.XLOOKUP(D1450:D5492,'参照_勢力'!A:A,'参照_勢力'!B:B),IFERROR(_xlfn.XLOOKUP(F1450:F5492,kunishuClan!A:A,kunishuClan!B:B),"浪人")))</f>
      </c>
      <c r="F1450" s="4">
        <v>0</v>
      </c>
      <c r="G1450" s="4">
        <v>31</v>
      </c>
      <c r="H1450" s="12" t="str">
        <f t="array" ref="H1450">IF(G1450:G5492="","",_xlfn.XLOOKUP(G1450:G5492,castles_state!A:A,castles_state!D:D,"見つかりません"))</f>
      </c>
      <c r="I1450" s="4"/>
      <c r="J1450" s="12" t="str">
        <f t="array" ref="J1450">IF(I1450:I5492="","",_xlfn.XLOOKUP(I1450:I5492,'参照_姫'!A:A,'参照_姫'!B:B,"見つかりません"))</f>
      </c>
      <c r="K1450" s="4">
        <v>95</v>
      </c>
      <c r="L1450" s="4">
        <v>300</v>
      </c>
      <c r="M1450" s="4"/>
      <c r="N1450" s="4"/>
      <c r="O1450" s="4"/>
      <c r="P1450" s="12" t="str">
        <f t="array" ref="P1450">IF(O1450:O5492="","",_xlfn.XLOOKUP(O1450:O5492,'参照_官位'!A:A,'参照_官位'!B:B,""))</f>
      </c>
      <c r="Q1450" s="12" t="str">
        <f t="array" ref="Q1450">IF(A1450:A5492="","",IFERROR(_xlfn.XLOOKUP(A1450:A5492,castles_state!K:K,castles_state!D:D)&amp;"主",IFERROR(_xlfn.XLOOKUP(A1450:A5492,kunishuClan!D:D,kunishuClan!B:B)&amp;"当主","")))</f>
      </c>
    </row>
    <row r="1451" ht="15.75" customHeight="1">
      <c r="A1451" s="4">
        <v>1031014</v>
      </c>
      <c r="B1451" s="12" t="str">
        <f t="array" ref="B1451">IF(A1451:A5493="","",_xlfn.XLOOKUP(A1451:A5493,'参照_武将'!A:A,'参照_武将'!B:B,"見つかりません"))</f>
      </c>
      <c r="C1451" s="4" t="s">
        <v>188</v>
      </c>
      <c r="D1451" s="4">
        <v>3</v>
      </c>
      <c r="E1451" s="12" t="str">
        <f t="array" ref="E1451">IF(D1451:D5493="","",IFERROR(_xlfn.XLOOKUP(D1451:D5493,'参照_勢力'!A:A,'参照_勢力'!B:B),IFERROR(_xlfn.XLOOKUP(F1451:F5493,kunishuClan!A:A,kunishuClan!B:B),"浪人")))</f>
      </c>
      <c r="F1451" s="4">
        <v>0</v>
      </c>
      <c r="G1451" s="4">
        <v>31</v>
      </c>
      <c r="H1451" s="12" t="str">
        <f t="array" ref="H1451">IF(G1451:G5493="","",_xlfn.XLOOKUP(G1451:G5493,castles_state!A:A,castles_state!D:D,"見つかりません"))</f>
      </c>
      <c r="I1451" s="4"/>
      <c r="J1451" s="12" t="str">
        <f t="array" ref="J1451">IF(I1451:I5493="","",_xlfn.XLOOKUP(I1451:I5493,'参照_姫'!A:A,'参照_姫'!B:B,"見つかりません"))</f>
      </c>
      <c r="K1451" s="4">
        <v>95</v>
      </c>
      <c r="L1451" s="4">
        <v>0</v>
      </c>
      <c r="M1451" s="4"/>
      <c r="N1451" s="4"/>
      <c r="O1451" s="4"/>
      <c r="P1451" s="12" t="str">
        <f t="array" ref="P1451">IF(O1451:O5493="","",_xlfn.XLOOKUP(O1451:O5493,'参照_官位'!A:A,'参照_官位'!B:B,""))</f>
      </c>
      <c r="Q1451" s="12" t="str">
        <f t="array" ref="Q1451">IF(A1451:A5493="","",IFERROR(_xlfn.XLOOKUP(A1451:A5493,castles_state!K:K,castles_state!D:D)&amp;"主",IFERROR(_xlfn.XLOOKUP(A1451:A5493,kunishuClan!D:D,kunishuClan!B:B)&amp;"当主","")))</f>
      </c>
    </row>
    <row r="1452" ht="15.75" customHeight="1">
      <c r="A1452" s="4">
        <v>1031015</v>
      </c>
      <c r="B1452" s="12" t="str">
        <f t="array" ref="B1452">IF(A1452:A5494="","",_xlfn.XLOOKUP(A1452:A5494,'参照_武将'!A:A,'参照_武将'!B:B,"見つかりません"))</f>
      </c>
      <c r="C1452" s="4" t="s">
        <v>188</v>
      </c>
      <c r="D1452" s="4">
        <v>31</v>
      </c>
      <c r="E1452" s="12" t="str">
        <f t="array" ref="E1452">IF(D1452:D5494="","",IFERROR(_xlfn.XLOOKUP(D1452:D5494,'参照_勢力'!A:A,'参照_勢力'!B:B),IFERROR(_xlfn.XLOOKUP(F1452:F5494,kunishuClan!A:A,kunishuClan!B:B),"浪人")))</f>
      </c>
      <c r="F1452" s="4">
        <v>0</v>
      </c>
      <c r="G1452" s="4">
        <v>31</v>
      </c>
      <c r="H1452" s="12" t="str">
        <f t="array" ref="H1452">IF(G1452:G5494="","",_xlfn.XLOOKUP(G1452:G5494,castles_state!A:A,castles_state!D:D,"見つかりません"))</f>
      </c>
      <c r="I1452" s="4"/>
      <c r="J1452" s="12" t="str">
        <f t="array" ref="J1452">IF(I1452:I5494="","",_xlfn.XLOOKUP(I1452:I5494,'参照_姫'!A:A,'参照_姫'!B:B,"見つかりません"))</f>
      </c>
      <c r="K1452" s="4">
        <v>95</v>
      </c>
      <c r="L1452" s="4">
        <v>300</v>
      </c>
      <c r="M1452" s="4"/>
      <c r="N1452" s="4"/>
      <c r="O1452" s="4"/>
      <c r="P1452" s="12" t="str">
        <f t="array" ref="P1452">IF(O1452:O5494="","",_xlfn.XLOOKUP(O1452:O5494,'参照_官位'!A:A,'参照_官位'!B:B,""))</f>
      </c>
      <c r="Q1452" s="12" t="str">
        <f t="array" ref="Q1452">IF(A1452:A5494="","",IFERROR(_xlfn.XLOOKUP(A1452:A5494,castles_state!K:K,castles_state!D:D)&amp;"主",IFERROR(_xlfn.XLOOKUP(A1452:A5494,kunishuClan!D:D,kunishuClan!B:B)&amp;"当主","")))</f>
      </c>
    </row>
    <row r="1453" ht="15.75" customHeight="1">
      <c r="A1453" s="4">
        <v>1031016</v>
      </c>
      <c r="B1453" s="12" t="str">
        <f t="array" ref="B1453">IF(A1453:A5495="","",_xlfn.XLOOKUP(A1453:A5495,'参照_武将'!A:A,'参照_武将'!B:B,"見つかりません"))</f>
      </c>
      <c r="C1453" s="4" t="s">
        <v>188</v>
      </c>
      <c r="D1453" s="4">
        <v>3</v>
      </c>
      <c r="E1453" s="12" t="str">
        <f t="array" ref="E1453">IF(D1453:D5495="","",IFERROR(_xlfn.XLOOKUP(D1453:D5495,'参照_勢力'!A:A,'参照_勢力'!B:B),IFERROR(_xlfn.XLOOKUP(F1453:F5495,kunishuClan!A:A,kunishuClan!B:B),"浪人")))</f>
      </c>
      <c r="F1453" s="4">
        <v>0</v>
      </c>
      <c r="G1453" s="4">
        <v>31</v>
      </c>
      <c r="H1453" s="12" t="str">
        <f t="array" ref="H1453">IF(G1453:G5495="","",_xlfn.XLOOKUP(G1453:G5495,castles_state!A:A,castles_state!D:D,"見つかりません"))</f>
      </c>
      <c r="I1453" s="4"/>
      <c r="J1453" s="12" t="str">
        <f t="array" ref="J1453">IF(I1453:I5495="","",_xlfn.XLOOKUP(I1453:I5495,'参照_姫'!A:A,'参照_姫'!B:B,"見つかりません"))</f>
      </c>
      <c r="K1453" s="4">
        <v>95</v>
      </c>
      <c r="L1453" s="4">
        <v>0</v>
      </c>
      <c r="M1453" s="4"/>
      <c r="N1453" s="4"/>
      <c r="O1453" s="4"/>
      <c r="P1453" s="12" t="str">
        <f t="array" ref="P1453">IF(O1453:O5495="","",_xlfn.XLOOKUP(O1453:O5495,'参照_官位'!A:A,'参照_官位'!B:B,""))</f>
      </c>
      <c r="Q1453" s="12" t="str">
        <f t="array" ref="Q1453">IF(A1453:A5495="","",IFERROR(_xlfn.XLOOKUP(A1453:A5495,castles_state!K:K,castles_state!D:D)&amp;"主",IFERROR(_xlfn.XLOOKUP(A1453:A5495,kunishuClan!D:D,kunishuClan!B:B)&amp;"当主","")))</f>
      </c>
    </row>
    <row r="1454" ht="15.75" customHeight="1">
      <c r="A1454" s="4">
        <v>1031017</v>
      </c>
      <c r="B1454" s="12" t="str">
        <f t="array" ref="B1454">IF(A1454:A5496="","",_xlfn.XLOOKUP(A1454:A5496,'参照_武将'!A:A,'参照_武将'!B:B,"見つかりません"))</f>
      </c>
      <c r="C1454" s="4" t="s">
        <v>188</v>
      </c>
      <c r="D1454" s="4">
        <v>31</v>
      </c>
      <c r="E1454" s="12" t="str">
        <f t="array" ref="E1454">IF(D1454:D5496="","",IFERROR(_xlfn.XLOOKUP(D1454:D5496,'参照_勢力'!A:A,'参照_勢力'!B:B),IFERROR(_xlfn.XLOOKUP(F1454:F5496,kunishuClan!A:A,kunishuClan!B:B),"浪人")))</f>
      </c>
      <c r="F1454" s="4">
        <v>0</v>
      </c>
      <c r="G1454" s="4">
        <v>31</v>
      </c>
      <c r="H1454" s="12" t="str">
        <f t="array" ref="H1454">IF(G1454:G5496="","",_xlfn.XLOOKUP(G1454:G5496,castles_state!A:A,castles_state!D:D,"見つかりません"))</f>
      </c>
      <c r="I1454" s="4"/>
      <c r="J1454" s="12" t="str">
        <f t="array" ref="J1454">IF(I1454:I5496="","",_xlfn.XLOOKUP(I1454:I5496,'参照_姫'!A:A,'参照_姫'!B:B,"見つかりません"))</f>
      </c>
      <c r="K1454" s="4">
        <v>95</v>
      </c>
      <c r="L1454" s="4">
        <v>0</v>
      </c>
      <c r="M1454" s="4"/>
      <c r="N1454" s="4"/>
      <c r="O1454" s="4"/>
      <c r="P1454" s="12" t="str">
        <f t="array" ref="P1454">IF(O1454:O5496="","",_xlfn.XLOOKUP(O1454:O5496,'参照_官位'!A:A,'参照_官位'!B:B,""))</f>
      </c>
      <c r="Q1454" s="12" t="str">
        <f t="array" ref="Q1454">IF(A1454:A5496="","",IFERROR(_xlfn.XLOOKUP(A1454:A5496,castles_state!K:K,castles_state!D:D)&amp;"主",IFERROR(_xlfn.XLOOKUP(A1454:A5496,kunishuClan!D:D,kunishuClan!B:B)&amp;"当主","")))</f>
      </c>
    </row>
    <row r="1455" ht="15.75" customHeight="1">
      <c r="A1455" s="4">
        <v>1031018</v>
      </c>
      <c r="B1455" s="12" t="str">
        <f t="array" ref="B1455">IF(A1455:A5497="","",_xlfn.XLOOKUP(A1455:A5497,'参照_武将'!A:A,'参照_武将'!B:B,"見つかりません"))</f>
      </c>
      <c r="C1455" s="4" t="s">
        <v>188</v>
      </c>
      <c r="D1455" s="4">
        <v>0</v>
      </c>
      <c r="E1455" s="12" t="str">
        <f t="array" ref="E1455">IF(D1455:D5497="","",IFERROR(_xlfn.XLOOKUP(D1455:D5497,'参照_勢力'!A:A,'参照_勢力'!B:B),IFERROR(_xlfn.XLOOKUP(F1455:F5497,kunishuClan!A:A,kunishuClan!B:B),"浪人")))</f>
      </c>
      <c r="F1455" s="4">
        <v>0</v>
      </c>
      <c r="G1455" s="4">
        <v>26</v>
      </c>
      <c r="H1455" s="12" t="str">
        <f t="array" ref="H1455">IF(G1455:G5497="","",_xlfn.XLOOKUP(G1455:G5497,castles_state!A:A,castles_state!D:D,"見つかりません"))</f>
      </c>
      <c r="I1455" s="4"/>
      <c r="J1455" s="12" t="str">
        <f t="array" ref="J1455">IF(I1455:I5497="","",_xlfn.XLOOKUP(I1455:I5497,'参照_姫'!A:A,'参照_姫'!B:B,"見つかりません"))</f>
      </c>
      <c r="K1455" s="4">
        <v>50</v>
      </c>
      <c r="L1455" s="4">
        <v>300</v>
      </c>
      <c r="M1455" s="4"/>
      <c r="N1455" s="4"/>
      <c r="O1455" s="4"/>
      <c r="P1455" s="12" t="str">
        <f t="array" ref="P1455">IF(O1455:O5497="","",_xlfn.XLOOKUP(O1455:O5497,'参照_官位'!A:A,'参照_官位'!B:B,""))</f>
      </c>
      <c r="Q1455" s="12" t="str">
        <f t="array" ref="Q1455">IF(A1455:A5497="","",IFERROR(_xlfn.XLOOKUP(A1455:A5497,castles_state!K:K,castles_state!D:D)&amp;"主",IFERROR(_xlfn.XLOOKUP(A1455:A5497,kunishuClan!D:D,kunishuClan!B:B)&amp;"当主","")))</f>
      </c>
    </row>
    <row r="1456" ht="15.75" customHeight="1">
      <c r="A1456" s="4">
        <v>1031019</v>
      </c>
      <c r="B1456" s="12" t="str">
        <f t="array" ref="B1456">IF(A1456:A5498="","",_xlfn.XLOOKUP(A1456:A5498,'参照_武将'!A:A,'参照_武将'!B:B,"見つかりません"))</f>
      </c>
      <c r="C1456" s="4" t="s">
        <v>188</v>
      </c>
      <c r="D1456" s="4">
        <v>31</v>
      </c>
      <c r="E1456" s="12" t="str">
        <f t="array" ref="E1456">IF(D1456:D5498="","",IFERROR(_xlfn.XLOOKUP(D1456:D5498,'参照_勢力'!A:A,'参照_勢力'!B:B),IFERROR(_xlfn.XLOOKUP(F1456:F5498,kunishuClan!A:A,kunishuClan!B:B),"浪人")))</f>
      </c>
      <c r="F1456" s="4">
        <v>0</v>
      </c>
      <c r="G1456" s="4">
        <v>31</v>
      </c>
      <c r="H1456" s="12" t="str">
        <f t="array" ref="H1456">IF(G1456:G5498="","",_xlfn.XLOOKUP(G1456:G5498,castles_state!A:A,castles_state!D:D,"見つかりません"))</f>
      </c>
      <c r="I1456" s="4"/>
      <c r="J1456" s="12" t="str">
        <f t="array" ref="J1456">IF(I1456:I5498="","",_xlfn.XLOOKUP(I1456:I5498,'参照_姫'!A:A,'参照_姫'!B:B,"見つかりません"))</f>
      </c>
      <c r="K1456" s="4">
        <v>95</v>
      </c>
      <c r="L1456" s="4">
        <v>0</v>
      </c>
      <c r="M1456" s="4"/>
      <c r="N1456" s="4"/>
      <c r="O1456" s="4"/>
      <c r="P1456" s="12" t="str">
        <f t="array" ref="P1456">IF(O1456:O5498="","",_xlfn.XLOOKUP(O1456:O5498,'参照_官位'!A:A,'参照_官位'!B:B,""))</f>
      </c>
      <c r="Q1456" s="12" t="str">
        <f t="array" ref="Q1456">IF(A1456:A5498="","",IFERROR(_xlfn.XLOOKUP(A1456:A5498,castles_state!K:K,castles_state!D:D)&amp;"主",IFERROR(_xlfn.XLOOKUP(A1456:A5498,kunishuClan!D:D,kunishuClan!B:B)&amp;"当主","")))</f>
      </c>
    </row>
    <row r="1457" ht="15.75" customHeight="1">
      <c r="A1457" s="4">
        <v>1031020</v>
      </c>
      <c r="B1457" s="12" t="str">
        <f t="array" ref="B1457">IF(A1457:A5499="","",_xlfn.XLOOKUP(A1457:A5499,'参照_武将'!A:A,'参照_武将'!B:B,"見つかりません"))</f>
      </c>
      <c r="C1457" s="4" t="s">
        <v>188</v>
      </c>
      <c r="D1457" s="4">
        <v>4</v>
      </c>
      <c r="E1457" s="12" t="str">
        <f t="array" ref="E1457">IF(D1457:D5499="","",IFERROR(_xlfn.XLOOKUP(D1457:D5499,'参照_勢力'!A:A,'参照_勢力'!B:B),IFERROR(_xlfn.XLOOKUP(F1457:F5499,kunishuClan!A:A,kunishuClan!B:B),"浪人")))</f>
      </c>
      <c r="F1457" s="4">
        <v>0</v>
      </c>
      <c r="G1457" s="4">
        <v>14</v>
      </c>
      <c r="H1457" s="12" t="str">
        <f t="array" ref="H1457">IF(G1457:G5499="","",_xlfn.XLOOKUP(G1457:G5499,castles_state!A:A,castles_state!D:D,"見つかりません"))</f>
      </c>
      <c r="I1457" s="4"/>
      <c r="J1457" s="12" t="str">
        <f t="array" ref="J1457">IF(I1457:I5499="","",_xlfn.XLOOKUP(I1457:I5499,'参照_姫'!A:A,'参照_姫'!B:B,"見つかりません"))</f>
      </c>
      <c r="K1457" s="4">
        <v>95</v>
      </c>
      <c r="L1457" s="4">
        <v>0</v>
      </c>
      <c r="M1457" s="4"/>
      <c r="N1457" s="4"/>
      <c r="O1457" s="4"/>
      <c r="P1457" s="12" t="str">
        <f t="array" ref="P1457">IF(O1457:O5499="","",_xlfn.XLOOKUP(O1457:O5499,'参照_官位'!A:A,'参照_官位'!B:B,""))</f>
      </c>
      <c r="Q1457" s="12" t="str">
        <f t="array" ref="Q1457">IF(A1457:A5499="","",IFERROR(_xlfn.XLOOKUP(A1457:A5499,castles_state!K:K,castles_state!D:D)&amp;"主",IFERROR(_xlfn.XLOOKUP(A1457:A5499,kunishuClan!D:D,kunishuClan!B:B)&amp;"当主","")))</f>
      </c>
    </row>
    <row r="1458" ht="15.75" customHeight="1">
      <c r="A1458" s="4">
        <v>1031021</v>
      </c>
      <c r="B1458" s="12" t="str">
        <f t="array" ref="B1458">IF(A1458:A5500="","",_xlfn.XLOOKUP(A1458:A5500,'参照_武将'!A:A,'参照_武将'!B:B,"見つかりません"))</f>
      </c>
      <c r="C1458" s="4" t="s">
        <v>188</v>
      </c>
      <c r="D1458" s="4">
        <v>3</v>
      </c>
      <c r="E1458" s="12" t="str">
        <f t="array" ref="E1458">IF(D1458:D5500="","",IFERROR(_xlfn.XLOOKUP(D1458:D5500,'参照_勢力'!A:A,'参照_勢力'!B:B),IFERROR(_xlfn.XLOOKUP(F1458:F5500,kunishuClan!A:A,kunishuClan!B:B),"浪人")))</f>
      </c>
      <c r="F1458" s="4">
        <v>0</v>
      </c>
      <c r="G1458" s="4">
        <v>31</v>
      </c>
      <c r="H1458" s="12" t="str">
        <f t="array" ref="H1458">IF(G1458:G5500="","",_xlfn.XLOOKUP(G1458:G5500,castles_state!A:A,castles_state!D:D,"見つかりません"))</f>
      </c>
      <c r="I1458" s="4"/>
      <c r="J1458" s="12" t="str">
        <f t="array" ref="J1458">IF(I1458:I5500="","",_xlfn.XLOOKUP(I1458:I5500,'参照_姫'!A:A,'参照_姫'!B:B,"見つかりません"))</f>
      </c>
      <c r="K1458" s="4">
        <v>95</v>
      </c>
      <c r="L1458" s="4">
        <v>300</v>
      </c>
      <c r="M1458" s="4"/>
      <c r="N1458" s="4"/>
      <c r="O1458" s="4"/>
      <c r="P1458" s="12" t="str">
        <f t="array" ref="P1458">IF(O1458:O5500="","",_xlfn.XLOOKUP(O1458:O5500,'参照_官位'!A:A,'参照_官位'!B:B,""))</f>
      </c>
      <c r="Q1458" s="12" t="str">
        <f t="array" ref="Q1458">IF(A1458:A5500="","",IFERROR(_xlfn.XLOOKUP(A1458:A5500,castles_state!K:K,castles_state!D:D)&amp;"主",IFERROR(_xlfn.XLOOKUP(A1458:A5500,kunishuClan!D:D,kunishuClan!B:B)&amp;"当主","")))</f>
      </c>
    </row>
    <row r="1459" ht="15.75" customHeight="1">
      <c r="A1459" s="4">
        <v>1031022</v>
      </c>
      <c r="B1459" s="12" t="str">
        <f t="array" ref="B1459">IF(A1459:A5501="","",_xlfn.XLOOKUP(A1459:A5501,'参照_武将'!A:A,'参照_武将'!B:B,"見つかりません"))</f>
      </c>
      <c r="C1459" s="4" t="s">
        <v>188</v>
      </c>
      <c r="D1459" s="4">
        <v>31</v>
      </c>
      <c r="E1459" s="12" t="str">
        <f t="array" ref="E1459">IF(D1459:D5501="","",IFERROR(_xlfn.XLOOKUP(D1459:D5501,'参照_勢力'!A:A,'参照_勢力'!B:B),IFERROR(_xlfn.XLOOKUP(F1459:F5501,kunishuClan!A:A,kunishuClan!B:B),"浪人")))</f>
      </c>
      <c r="F1459" s="4">
        <v>0</v>
      </c>
      <c r="G1459" s="4">
        <v>31</v>
      </c>
      <c r="H1459" s="12" t="str">
        <f t="array" ref="H1459">IF(G1459:G5501="","",_xlfn.XLOOKUP(G1459:G5501,castles_state!A:A,castles_state!D:D,"見つかりません"))</f>
      </c>
      <c r="I1459" s="4"/>
      <c r="J1459" s="12" t="str">
        <f t="array" ref="J1459">IF(I1459:I5501="","",_xlfn.XLOOKUP(I1459:I5501,'参照_姫'!A:A,'参照_姫'!B:B,"見つかりません"))</f>
      </c>
      <c r="K1459" s="4">
        <v>95</v>
      </c>
      <c r="L1459" s="4">
        <v>0</v>
      </c>
      <c r="M1459" s="4"/>
      <c r="N1459" s="4"/>
      <c r="O1459" s="4"/>
      <c r="P1459" s="12" t="str">
        <f t="array" ref="P1459">IF(O1459:O5501="","",_xlfn.XLOOKUP(O1459:O5501,'参照_官位'!A:A,'参照_官位'!B:B,""))</f>
      </c>
      <c r="Q1459" s="12" t="str">
        <f t="array" ref="Q1459">IF(A1459:A5501="","",IFERROR(_xlfn.XLOOKUP(A1459:A5501,castles_state!K:K,castles_state!D:D)&amp;"主",IFERROR(_xlfn.XLOOKUP(A1459:A5501,kunishuClan!D:D,kunishuClan!B:B)&amp;"当主","")))</f>
      </c>
    </row>
    <row r="1460" ht="15.75" customHeight="1">
      <c r="A1460" s="4">
        <v>1031023</v>
      </c>
      <c r="B1460" s="12" t="str">
        <f t="array" ref="B1460">IF(A1460:A5502="","",_xlfn.XLOOKUP(A1460:A5502,'参照_武将'!A:A,'参照_武将'!B:B,"見つかりません"))</f>
      </c>
      <c r="C1460" s="4" t="s">
        <v>188</v>
      </c>
      <c r="D1460" s="4">
        <v>31</v>
      </c>
      <c r="E1460" s="12" t="str">
        <f t="array" ref="E1460">IF(D1460:D5502="","",IFERROR(_xlfn.XLOOKUP(D1460:D5502,'参照_勢力'!A:A,'参照_勢力'!B:B),IFERROR(_xlfn.XLOOKUP(F1460:F5502,kunishuClan!A:A,kunishuClan!B:B),"浪人")))</f>
      </c>
      <c r="F1460" s="4">
        <v>0</v>
      </c>
      <c r="G1460" s="4">
        <v>31</v>
      </c>
      <c r="H1460" s="12" t="str">
        <f t="array" ref="H1460">IF(G1460:G5502="","",_xlfn.XLOOKUP(G1460:G5502,castles_state!A:A,castles_state!D:D,"見つかりません"))</f>
      </c>
      <c r="I1460" s="4"/>
      <c r="J1460" s="12" t="str">
        <f t="array" ref="J1460">IF(I1460:I5502="","",_xlfn.XLOOKUP(I1460:I5502,'参照_姫'!A:A,'参照_姫'!B:B,"見つかりません"))</f>
      </c>
      <c r="K1460" s="4">
        <v>95</v>
      </c>
      <c r="L1460" s="4">
        <v>0</v>
      </c>
      <c r="M1460" s="4"/>
      <c r="N1460" s="4"/>
      <c r="O1460" s="4"/>
      <c r="P1460" s="12" t="str">
        <f t="array" ref="P1460">IF(O1460:O5502="","",_xlfn.XLOOKUP(O1460:O5502,'参照_官位'!A:A,'参照_官位'!B:B,""))</f>
      </c>
      <c r="Q1460" s="12" t="str">
        <f t="array" ref="Q1460">IF(A1460:A5502="","",IFERROR(_xlfn.XLOOKUP(A1460:A5502,castles_state!K:K,castles_state!D:D)&amp;"主",IFERROR(_xlfn.XLOOKUP(A1460:A5502,kunishuClan!D:D,kunishuClan!B:B)&amp;"当主","")))</f>
      </c>
    </row>
    <row r="1461" ht="15.75" customHeight="1">
      <c r="A1461" s="4">
        <v>1031024</v>
      </c>
      <c r="B1461" s="12" t="str">
        <f t="array" ref="B1461">IF(A1461:A5503="","",_xlfn.XLOOKUP(A1461:A5503,'参照_武将'!A:A,'参照_武将'!B:B,"見つかりません"))</f>
      </c>
      <c r="C1461" s="4" t="s">
        <v>188</v>
      </c>
      <c r="D1461" s="4">
        <v>3</v>
      </c>
      <c r="E1461" s="12" t="str">
        <f t="array" ref="E1461">IF(D1461:D5503="","",IFERROR(_xlfn.XLOOKUP(D1461:D5503,'参照_勢力'!A:A,'参照_勢力'!B:B),IFERROR(_xlfn.XLOOKUP(F1461:F5503,kunishuClan!A:A,kunishuClan!B:B),"浪人")))</f>
      </c>
      <c r="F1461" s="4">
        <v>0</v>
      </c>
      <c r="G1461" s="4">
        <v>31</v>
      </c>
      <c r="H1461" s="12" t="str">
        <f t="array" ref="H1461">IF(G1461:G5503="","",_xlfn.XLOOKUP(G1461:G5503,castles_state!A:A,castles_state!D:D,"見つかりません"))</f>
      </c>
      <c r="I1461" s="4"/>
      <c r="J1461" s="12" t="str">
        <f t="array" ref="J1461">IF(I1461:I5503="","",_xlfn.XLOOKUP(I1461:I5503,'参照_姫'!A:A,'参照_姫'!B:B,"見つかりません"))</f>
      </c>
      <c r="K1461" s="4">
        <v>95</v>
      </c>
      <c r="L1461" s="4">
        <v>0</v>
      </c>
      <c r="M1461" s="4"/>
      <c r="N1461" s="4"/>
      <c r="O1461" s="4"/>
      <c r="P1461" s="12" t="str">
        <f t="array" ref="P1461">IF(O1461:O5503="","",_xlfn.XLOOKUP(O1461:O5503,'参照_官位'!A:A,'参照_官位'!B:B,""))</f>
      </c>
      <c r="Q1461" s="12" t="str">
        <f t="array" ref="Q1461">IF(A1461:A5503="","",IFERROR(_xlfn.XLOOKUP(A1461:A5503,castles_state!K:K,castles_state!D:D)&amp;"主",IFERROR(_xlfn.XLOOKUP(A1461:A5503,kunishuClan!D:D,kunishuClan!B:B)&amp;"当主","")))</f>
      </c>
    </row>
    <row r="1462" ht="15.75" customHeight="1">
      <c r="A1462" s="4">
        <v>1031025</v>
      </c>
      <c r="B1462" s="12" t="str">
        <f t="array" ref="B1462">IF(A1462:A5504="","",_xlfn.XLOOKUP(A1462:A5504,'参照_武将'!A:A,'参照_武将'!B:B,"見つかりません"))</f>
      </c>
      <c r="C1462" s="4" t="s">
        <v>188</v>
      </c>
      <c r="D1462" s="4">
        <v>31</v>
      </c>
      <c r="E1462" s="12" t="str">
        <f t="array" ref="E1462">IF(D1462:D5504="","",IFERROR(_xlfn.XLOOKUP(D1462:D5504,'参照_勢力'!A:A,'参照_勢力'!B:B),IFERROR(_xlfn.XLOOKUP(F1462:F5504,kunishuClan!A:A,kunishuClan!B:B),"浪人")))</f>
      </c>
      <c r="F1462" s="4">
        <v>0</v>
      </c>
      <c r="G1462" s="4">
        <v>31</v>
      </c>
      <c r="H1462" s="12" t="str">
        <f t="array" ref="H1462">IF(G1462:G5504="","",_xlfn.XLOOKUP(G1462:G5504,castles_state!A:A,castles_state!D:D,"見つかりません"))</f>
      </c>
      <c r="I1462" s="4">
        <v>29</v>
      </c>
      <c r="J1462" s="12" t="str">
        <f t="array" ref="J1462">IF(I1462:I5504="","",_xlfn.XLOOKUP(I1462:I5504,'参照_姫'!A:A,'参照_姫'!B:B,"見つかりません"))</f>
      </c>
      <c r="K1462" s="4">
        <v>95</v>
      </c>
      <c r="L1462" s="4">
        <v>0</v>
      </c>
      <c r="M1462" s="4"/>
      <c r="N1462" s="4"/>
      <c r="O1462" s="4"/>
      <c r="P1462" s="12" t="str">
        <f t="array" ref="P1462">IF(O1462:O5504="","",_xlfn.XLOOKUP(O1462:O5504,'参照_官位'!A:A,'参照_官位'!B:B,""))</f>
      </c>
      <c r="Q1462" s="12" t="str">
        <f t="array" ref="Q1462">IF(A1462:A5504="","",IFERROR(_xlfn.XLOOKUP(A1462:A5504,castles_state!K:K,castles_state!D:D)&amp;"主",IFERROR(_xlfn.XLOOKUP(A1462:A5504,kunishuClan!D:D,kunishuClan!B:B)&amp;"当主","")))</f>
      </c>
    </row>
    <row r="1463" ht="15.75" customHeight="1">
      <c r="A1463" s="4">
        <v>1031026</v>
      </c>
      <c r="B1463" s="12" t="str">
        <f t="array" ref="B1463">IF(A1463:A5505="","",_xlfn.XLOOKUP(A1463:A5505,'参照_武将'!A:A,'参照_武将'!B:B,"見つかりません"))</f>
      </c>
      <c r="C1463" s="4" t="s">
        <v>188</v>
      </c>
      <c r="D1463" s="4">
        <v>3</v>
      </c>
      <c r="E1463" s="12" t="str">
        <f t="array" ref="E1463">IF(D1463:D5505="","",IFERROR(_xlfn.XLOOKUP(D1463:D5505,'参照_勢力'!A:A,'参照_勢力'!B:B),IFERROR(_xlfn.XLOOKUP(F1463:F5505,kunishuClan!A:A,kunishuClan!B:B),"浪人")))</f>
      </c>
      <c r="F1463" s="4">
        <v>0</v>
      </c>
      <c r="G1463" s="4">
        <v>31</v>
      </c>
      <c r="H1463" s="12" t="str">
        <f t="array" ref="H1463">IF(G1463:G5505="","",_xlfn.XLOOKUP(G1463:G5505,castles_state!A:A,castles_state!D:D,"見つかりません"))</f>
      </c>
      <c r="I1463" s="4"/>
      <c r="J1463" s="12" t="str">
        <f t="array" ref="J1463">IF(I1463:I5505="","",_xlfn.XLOOKUP(I1463:I5505,'参照_姫'!A:A,'参照_姫'!B:B,"見つかりません"))</f>
      </c>
      <c r="K1463" s="4">
        <v>95</v>
      </c>
      <c r="L1463" s="4">
        <v>0</v>
      </c>
      <c r="M1463" s="4"/>
      <c r="N1463" s="4"/>
      <c r="O1463" s="4"/>
      <c r="P1463" s="12" t="str">
        <f t="array" ref="P1463">IF(O1463:O5505="","",_xlfn.XLOOKUP(O1463:O5505,'参照_官位'!A:A,'参照_官位'!B:B,""))</f>
      </c>
      <c r="Q1463" s="12" t="str">
        <f t="array" ref="Q1463">IF(A1463:A5505="","",IFERROR(_xlfn.XLOOKUP(A1463:A5505,castles_state!K:K,castles_state!D:D)&amp;"主",IFERROR(_xlfn.XLOOKUP(A1463:A5505,kunishuClan!D:D,kunishuClan!B:B)&amp;"当主","")))</f>
      </c>
    </row>
    <row r="1464" ht="15.75" customHeight="1">
      <c r="A1464" s="4">
        <v>1031027</v>
      </c>
      <c r="B1464" s="12" t="str">
        <f t="array" ref="B1464">IF(A1464:A5506="","",_xlfn.XLOOKUP(A1464:A5506,'参照_武将'!A:A,'参照_武将'!B:B,"見つかりません"))</f>
      </c>
      <c r="C1464" s="4" t="s">
        <v>188</v>
      </c>
      <c r="D1464" s="4">
        <v>31</v>
      </c>
      <c r="E1464" s="12" t="str">
        <f t="array" ref="E1464">IF(D1464:D5506="","",IFERROR(_xlfn.XLOOKUP(D1464:D5506,'参照_勢力'!A:A,'参照_勢力'!B:B),IFERROR(_xlfn.XLOOKUP(F1464:F5506,kunishuClan!A:A,kunishuClan!B:B),"浪人")))</f>
      </c>
      <c r="F1464" s="4">
        <v>0</v>
      </c>
      <c r="G1464" s="4">
        <v>31</v>
      </c>
      <c r="H1464" s="12" t="str">
        <f t="array" ref="H1464">IF(G1464:G5506="","",_xlfn.XLOOKUP(G1464:G5506,castles_state!A:A,castles_state!D:D,"見つかりません"))</f>
      </c>
      <c r="I1464" s="4"/>
      <c r="J1464" s="12" t="str">
        <f t="array" ref="J1464">IF(I1464:I5506="","",_xlfn.XLOOKUP(I1464:I5506,'参照_姫'!A:A,'参照_姫'!B:B,"見つかりません"))</f>
      </c>
      <c r="K1464" s="4">
        <v>95</v>
      </c>
      <c r="L1464" s="4">
        <v>0</v>
      </c>
      <c r="M1464" s="4"/>
      <c r="N1464" s="4"/>
      <c r="O1464" s="4"/>
      <c r="P1464" s="12" t="str">
        <f t="array" ref="P1464">IF(O1464:O5506="","",_xlfn.XLOOKUP(O1464:O5506,'参照_官位'!A:A,'参照_官位'!B:B,""))</f>
      </c>
      <c r="Q1464" s="12" t="str">
        <f t="array" ref="Q1464">IF(A1464:A5506="","",IFERROR(_xlfn.XLOOKUP(A1464:A5506,castles_state!K:K,castles_state!D:D)&amp;"主",IFERROR(_xlfn.XLOOKUP(A1464:A5506,kunishuClan!D:D,kunishuClan!B:B)&amp;"当主","")))</f>
      </c>
    </row>
    <row r="1465" ht="15.75" customHeight="1">
      <c r="A1465" s="4">
        <v>1032001</v>
      </c>
      <c r="B1465" s="12" t="str">
        <f t="array" ref="B1465">IF(A1465:A5507="","",_xlfn.XLOOKUP(A1465:A5507,'参照_武将'!A:A,'参照_武将'!B:B,"見つかりません"))</f>
      </c>
      <c r="C1465" s="4" t="s">
        <v>192</v>
      </c>
      <c r="D1465" s="4">
        <v>32</v>
      </c>
      <c r="E1465" s="12" t="str">
        <f t="array" ref="E1465">IF(D1465:D5507="","",IFERROR(_xlfn.XLOOKUP(D1465:D5507,'参照_勢力'!A:A,'参照_勢力'!B:B),IFERROR(_xlfn.XLOOKUP(F1465:F5507,kunishuClan!A:A,kunishuClan!B:B),"浪人")))</f>
      </c>
      <c r="F1465" s="4">
        <v>0</v>
      </c>
      <c r="G1465" s="4">
        <v>59</v>
      </c>
      <c r="H1465" s="12" t="str">
        <f t="array" ref="H1465">IF(G1465:G5507="","",_xlfn.XLOOKUP(G1465:G5507,castles_state!A:A,castles_state!D:D,"見つかりません"))</f>
      </c>
      <c r="I1465" s="4"/>
      <c r="J1465" s="12" t="str">
        <f t="array" ref="J1465">IF(I1465:I5507="","",_xlfn.XLOOKUP(I1465:I5507,'参照_姫'!A:A,'参照_姫'!B:B,"見つかりません"))</f>
      </c>
      <c r="K1465" s="4">
        <v>95</v>
      </c>
      <c r="L1465" s="4">
        <v>0</v>
      </c>
      <c r="M1465" s="4"/>
      <c r="N1465" s="4"/>
      <c r="O1465" s="4"/>
      <c r="P1465" s="12" t="str">
        <f t="array" ref="P1465">IF(O1465:O5507="","",_xlfn.XLOOKUP(O1465:O5507,'参照_官位'!A:A,'参照_官位'!B:B,""))</f>
      </c>
      <c r="Q1465" s="12" t="str">
        <f t="array" ref="Q1465">IF(A1465:A5507="","",IFERROR(_xlfn.XLOOKUP(A1465:A5507,castles_state!K:K,castles_state!D:D)&amp;"主",IFERROR(_xlfn.XLOOKUP(A1465:A5507,kunishuClan!D:D,kunishuClan!B:B)&amp;"当主","")))</f>
      </c>
    </row>
    <row r="1466" ht="15.75" customHeight="1">
      <c r="A1466" s="4">
        <v>1032002</v>
      </c>
      <c r="B1466" s="12" t="str">
        <f t="array" ref="B1466">IF(A1466:A5508="","",_xlfn.XLOOKUP(A1466:A5508,'参照_武将'!A:A,'参照_武将'!B:B,"見つかりません"))</f>
      </c>
      <c r="C1466" s="4" t="s">
        <v>192</v>
      </c>
      <c r="D1466" s="4">
        <v>32</v>
      </c>
      <c r="E1466" s="12" t="str">
        <f t="array" ref="E1466">IF(D1466:D5508="","",IFERROR(_xlfn.XLOOKUP(D1466:D5508,'参照_勢力'!A:A,'参照_勢力'!B:B),IFERROR(_xlfn.XLOOKUP(F1466:F5508,kunishuClan!A:A,kunishuClan!B:B),"浪人")))</f>
      </c>
      <c r="F1466" s="4">
        <v>0</v>
      </c>
      <c r="G1466" s="4">
        <v>59</v>
      </c>
      <c r="H1466" s="12" t="str">
        <f t="array" ref="H1466">IF(G1466:G5508="","",_xlfn.XLOOKUP(G1466:G5508,castles_state!A:A,castles_state!D:D,"見つかりません"))</f>
      </c>
      <c r="I1466" s="4"/>
      <c r="J1466" s="12" t="str">
        <f t="array" ref="J1466">IF(I1466:I5508="","",_xlfn.XLOOKUP(I1466:I5508,'参照_姫'!A:A,'参照_姫'!B:B,"見つかりません"))</f>
      </c>
      <c r="K1466" s="4">
        <v>95</v>
      </c>
      <c r="L1466" s="4">
        <v>0</v>
      </c>
      <c r="M1466" s="4"/>
      <c r="N1466" s="4"/>
      <c r="O1466" s="4"/>
      <c r="P1466" s="12" t="str">
        <f t="array" ref="P1466">IF(O1466:O5508="","",_xlfn.XLOOKUP(O1466:O5508,'参照_官位'!A:A,'参照_官位'!B:B,""))</f>
      </c>
      <c r="Q1466" s="12" t="str">
        <f t="array" ref="Q1466">IF(A1466:A5508="","",IFERROR(_xlfn.XLOOKUP(A1466:A5508,castles_state!K:K,castles_state!D:D)&amp;"主",IFERROR(_xlfn.XLOOKUP(A1466:A5508,kunishuClan!D:D,kunishuClan!B:B)&amp;"当主","")))</f>
      </c>
    </row>
    <row r="1467" ht="15.75" customHeight="1">
      <c r="A1467" s="4">
        <v>1032003</v>
      </c>
      <c r="B1467" s="12" t="str">
        <f t="array" ref="B1467">IF(A1467:A5509="","",_xlfn.XLOOKUP(A1467:A5509,'参照_武将'!A:A,'参照_武将'!B:B,"見つかりません"))</f>
      </c>
      <c r="C1467" s="4" t="s">
        <v>192</v>
      </c>
      <c r="D1467" s="4">
        <v>32</v>
      </c>
      <c r="E1467" s="12" t="str">
        <f t="array" ref="E1467">IF(D1467:D5509="","",IFERROR(_xlfn.XLOOKUP(D1467:D5509,'参照_勢力'!A:A,'参照_勢力'!B:B),IFERROR(_xlfn.XLOOKUP(F1467:F5509,kunishuClan!A:A,kunishuClan!B:B),"浪人")))</f>
      </c>
      <c r="F1467" s="4">
        <v>0</v>
      </c>
      <c r="G1467" s="4">
        <v>59</v>
      </c>
      <c r="H1467" s="12" t="str">
        <f t="array" ref="H1467">IF(G1467:G5509="","",_xlfn.XLOOKUP(G1467:G5509,castles_state!A:A,castles_state!D:D,"見つかりません"))</f>
      </c>
      <c r="I1467" s="4"/>
      <c r="J1467" s="12" t="str">
        <f t="array" ref="J1467">IF(I1467:I5509="","",_xlfn.XLOOKUP(I1467:I5509,'参照_姫'!A:A,'参照_姫'!B:B,"見つかりません"))</f>
      </c>
      <c r="K1467" s="4">
        <v>95</v>
      </c>
      <c r="L1467" s="4">
        <v>0</v>
      </c>
      <c r="M1467" s="4"/>
      <c r="N1467" s="4"/>
      <c r="O1467" s="4"/>
      <c r="P1467" s="12" t="str">
        <f t="array" ref="P1467">IF(O1467:O5509="","",_xlfn.XLOOKUP(O1467:O5509,'参照_官位'!A:A,'参照_官位'!B:B,""))</f>
      </c>
      <c r="Q1467" s="12" t="str">
        <f t="array" ref="Q1467">IF(A1467:A5509="","",IFERROR(_xlfn.XLOOKUP(A1467:A5509,castles_state!K:K,castles_state!D:D)&amp;"主",IFERROR(_xlfn.XLOOKUP(A1467:A5509,kunishuClan!D:D,kunishuClan!B:B)&amp;"当主","")))</f>
      </c>
    </row>
    <row r="1468" ht="15.75" customHeight="1">
      <c r="A1468" s="4">
        <v>1032004</v>
      </c>
      <c r="B1468" s="12" t="str">
        <f t="array" ref="B1468">IF(A1468:A5510="","",_xlfn.XLOOKUP(A1468:A5510,'参照_武将'!A:A,'参照_武将'!B:B,"見つかりません"))</f>
      </c>
      <c r="C1468" s="4" t="s">
        <v>192</v>
      </c>
      <c r="D1468" s="4">
        <v>32</v>
      </c>
      <c r="E1468" s="12" t="str">
        <f t="array" ref="E1468">IF(D1468:D5510="","",IFERROR(_xlfn.XLOOKUP(D1468:D5510,'参照_勢力'!A:A,'参照_勢力'!B:B),IFERROR(_xlfn.XLOOKUP(F1468:F5510,kunishuClan!A:A,kunishuClan!B:B),"浪人")))</f>
      </c>
      <c r="F1468" s="4">
        <v>0</v>
      </c>
      <c r="G1468" s="4">
        <v>59</v>
      </c>
      <c r="H1468" s="12" t="str">
        <f t="array" ref="H1468">IF(G1468:G5510="","",_xlfn.XLOOKUP(G1468:G5510,castles_state!A:A,castles_state!D:D,"見つかりません"))</f>
      </c>
      <c r="I1468" s="4"/>
      <c r="J1468" s="12" t="str">
        <f t="array" ref="J1468">IF(I1468:I5510="","",_xlfn.XLOOKUP(I1468:I5510,'参照_姫'!A:A,'参照_姫'!B:B,"見つかりません"))</f>
      </c>
      <c r="K1468" s="4">
        <v>100</v>
      </c>
      <c r="L1468" s="4">
        <v>1500</v>
      </c>
      <c r="M1468" s="4"/>
      <c r="N1468" s="4"/>
      <c r="O1468" s="4"/>
      <c r="P1468" s="12" t="str">
        <f t="array" ref="P1468">IF(O1468:O5510="","",_xlfn.XLOOKUP(O1468:O5510,'参照_官位'!A:A,'参照_官位'!B:B,""))</f>
      </c>
      <c r="Q1468" s="12" t="str">
        <f t="array" ref="Q1468">IF(A1468:A5510="","",IFERROR(_xlfn.XLOOKUP(A1468:A5510,castles_state!K:K,castles_state!D:D)&amp;"主",IFERROR(_xlfn.XLOOKUP(A1468:A5510,kunishuClan!D:D,kunishuClan!B:B)&amp;"当主","")))</f>
      </c>
    </row>
    <row r="1469" ht="15.75" customHeight="1">
      <c r="A1469" s="4">
        <v>1032005</v>
      </c>
      <c r="B1469" s="12" t="str">
        <f t="array" ref="B1469">IF(A1469:A5511="","",_xlfn.XLOOKUP(A1469:A5511,'参照_武将'!A:A,'参照_武将'!B:B,"見つかりません"))</f>
      </c>
      <c r="C1469" s="4" t="s">
        <v>192</v>
      </c>
      <c r="D1469" s="4">
        <v>32</v>
      </c>
      <c r="E1469" s="12" t="str">
        <f t="array" ref="E1469">IF(D1469:D5511="","",IFERROR(_xlfn.XLOOKUP(D1469:D5511,'参照_勢力'!A:A,'参照_勢力'!B:B),IFERROR(_xlfn.XLOOKUP(F1469:F5511,kunishuClan!A:A,kunishuClan!B:B),"浪人")))</f>
      </c>
      <c r="F1469" s="4">
        <v>0</v>
      </c>
      <c r="G1469" s="4">
        <v>59</v>
      </c>
      <c r="H1469" s="12" t="str">
        <f t="array" ref="H1469">IF(G1469:G5511="","",_xlfn.XLOOKUP(G1469:G5511,castles_state!A:A,castles_state!D:D,"見つかりません"))</f>
      </c>
      <c r="I1469" s="4"/>
      <c r="J1469" s="12" t="str">
        <f t="array" ref="J1469">IF(I1469:I5511="","",_xlfn.XLOOKUP(I1469:I5511,'参照_姫'!A:A,'参照_姫'!B:B,"見つかりません"))</f>
      </c>
      <c r="K1469" s="4">
        <v>100</v>
      </c>
      <c r="L1469" s="4">
        <v>1500</v>
      </c>
      <c r="M1469" s="4"/>
      <c r="N1469" s="4"/>
      <c r="O1469" s="4"/>
      <c r="P1469" s="12" t="str">
        <f t="array" ref="P1469">IF(O1469:O5511="","",_xlfn.XLOOKUP(O1469:O5511,'参照_官位'!A:A,'参照_官位'!B:B,""))</f>
      </c>
      <c r="Q1469" s="12" t="str">
        <f t="array" ref="Q1469">IF(A1469:A5511="","",IFERROR(_xlfn.XLOOKUP(A1469:A5511,castles_state!K:K,castles_state!D:D)&amp;"主",IFERROR(_xlfn.XLOOKUP(A1469:A5511,kunishuClan!D:D,kunishuClan!B:B)&amp;"当主","")))</f>
      </c>
    </row>
    <row r="1470" ht="15.75" customHeight="1">
      <c r="A1470" s="4">
        <v>1032006</v>
      </c>
      <c r="B1470" s="12" t="str">
        <f t="array" ref="B1470">IF(A1470:A5512="","",_xlfn.XLOOKUP(A1470:A5512,'参照_武将'!A:A,'参照_武将'!B:B,"見つかりません"))</f>
      </c>
      <c r="C1470" s="4" t="s">
        <v>192</v>
      </c>
      <c r="D1470" s="4">
        <v>32</v>
      </c>
      <c r="E1470" s="12" t="str">
        <f t="array" ref="E1470">IF(D1470:D5512="","",IFERROR(_xlfn.XLOOKUP(D1470:D5512,'参照_勢力'!A:A,'参照_勢力'!B:B),IFERROR(_xlfn.XLOOKUP(F1470:F5512,kunishuClan!A:A,kunishuClan!B:B),"浪人")))</f>
      </c>
      <c r="F1470" s="4">
        <v>0</v>
      </c>
      <c r="G1470" s="4">
        <v>59</v>
      </c>
      <c r="H1470" s="12" t="str">
        <f t="array" ref="H1470">IF(G1470:G5512="","",_xlfn.XLOOKUP(G1470:G5512,castles_state!A:A,castles_state!D:D,"見つかりません"))</f>
      </c>
      <c r="I1470" s="4"/>
      <c r="J1470" s="12" t="str">
        <f t="array" ref="J1470">IF(I1470:I5512="","",_xlfn.XLOOKUP(I1470:I5512,'参照_姫'!A:A,'参照_姫'!B:B,"見つかりません"))</f>
      </c>
      <c r="K1470" s="4">
        <v>95</v>
      </c>
      <c r="L1470" s="4">
        <v>500</v>
      </c>
      <c r="M1470" s="4"/>
      <c r="N1470" s="4"/>
      <c r="O1470" s="4"/>
      <c r="P1470" s="12" t="str">
        <f t="array" ref="P1470">IF(O1470:O5512="","",_xlfn.XLOOKUP(O1470:O5512,'参照_官位'!A:A,'参照_官位'!B:B,""))</f>
      </c>
      <c r="Q1470" s="12" t="str">
        <f t="array" ref="Q1470">IF(A1470:A5512="","",IFERROR(_xlfn.XLOOKUP(A1470:A5512,castles_state!K:K,castles_state!D:D)&amp;"主",IFERROR(_xlfn.XLOOKUP(A1470:A5512,kunishuClan!D:D,kunishuClan!B:B)&amp;"当主","")))</f>
      </c>
    </row>
    <row r="1471" ht="15.75" customHeight="1">
      <c r="A1471" s="4">
        <v>1032007</v>
      </c>
      <c r="B1471" s="12" t="str">
        <f t="array" ref="B1471">IF(A1471:A5513="","",_xlfn.XLOOKUP(A1471:A5513,'参照_武将'!A:A,'参照_武将'!B:B,"見つかりません"))</f>
      </c>
      <c r="C1471" s="4" t="s">
        <v>5943</v>
      </c>
      <c r="D1471" s="4">
        <v>32</v>
      </c>
      <c r="E1471" s="12" t="str">
        <f t="array" ref="E1471">IF(D1471:D5513="","",IFERROR(_xlfn.XLOOKUP(D1471:D5513,'参照_勢力'!A:A,'参照_勢力'!B:B),IFERROR(_xlfn.XLOOKUP(F1471:F5513,kunishuClan!A:A,kunishuClan!B:B),"浪人")))</f>
      </c>
      <c r="F1471" s="4">
        <v>0</v>
      </c>
      <c r="G1471" s="4">
        <v>64</v>
      </c>
      <c r="H1471" s="12" t="str">
        <f t="array" ref="H1471">IF(G1471:G5513="","",_xlfn.XLOOKUP(G1471:G5513,castles_state!A:A,castles_state!D:D,"見つかりません"))</f>
      </c>
      <c r="I1471" s="4"/>
      <c r="J1471" s="12" t="str">
        <f t="array" ref="J1471">IF(I1471:I5513="","",_xlfn.XLOOKUP(I1471:I5513,'参照_姫'!A:A,'参照_姫'!B:B,"見つかりません"))</f>
      </c>
      <c r="K1471" s="4">
        <v>95</v>
      </c>
      <c r="L1471" s="4">
        <v>0</v>
      </c>
      <c r="M1471" s="4"/>
      <c r="N1471" s="4"/>
      <c r="O1471" s="4"/>
      <c r="P1471" s="12" t="str">
        <f t="array" ref="P1471">IF(O1471:O5513="","",_xlfn.XLOOKUP(O1471:O5513,'参照_官位'!A:A,'参照_官位'!B:B,""))</f>
      </c>
      <c r="Q1471" s="12" t="str">
        <f t="array" ref="Q1471">IF(A1471:A5513="","",IFERROR(_xlfn.XLOOKUP(A1471:A5513,castles_state!K:K,castles_state!D:D)&amp;"主",IFERROR(_xlfn.XLOOKUP(A1471:A5513,kunishuClan!D:D,kunishuClan!B:B)&amp;"当主","")))</f>
      </c>
    </row>
    <row r="1472" ht="15.75" customHeight="1">
      <c r="A1472" s="4">
        <v>1032008</v>
      </c>
      <c r="B1472" s="12" t="str">
        <f t="array" ref="B1472">IF(A1472:A5514="","",_xlfn.XLOOKUP(A1472:A5514,'参照_武将'!A:A,'参照_武将'!B:B,"見つかりません"))</f>
      </c>
      <c r="C1472" s="4" t="s">
        <v>5943</v>
      </c>
      <c r="D1472" s="4">
        <v>32</v>
      </c>
      <c r="E1472" s="12" t="str">
        <f t="array" ref="E1472">IF(D1472:D5514="","",IFERROR(_xlfn.XLOOKUP(D1472:D5514,'参照_勢力'!A:A,'参照_勢力'!B:B),IFERROR(_xlfn.XLOOKUP(F1472:F5514,kunishuClan!A:A,kunishuClan!B:B),"浪人")))</f>
      </c>
      <c r="F1472" s="4">
        <v>0</v>
      </c>
      <c r="G1472" s="4">
        <v>60</v>
      </c>
      <c r="H1472" s="12" t="str">
        <f t="array" ref="H1472">IF(G1472:G5514="","",_xlfn.XLOOKUP(G1472:G5514,castles_state!A:A,castles_state!D:D,"見つかりません"))</f>
      </c>
      <c r="I1472" s="4"/>
      <c r="J1472" s="12" t="str">
        <f t="array" ref="J1472">IF(I1472:I5514="","",_xlfn.XLOOKUP(I1472:I5514,'参照_姫'!A:A,'参照_姫'!B:B,"見つかりません"))</f>
      </c>
      <c r="K1472" s="4">
        <v>95</v>
      </c>
      <c r="L1472" s="4">
        <v>0</v>
      </c>
      <c r="M1472" s="4"/>
      <c r="N1472" s="4"/>
      <c r="O1472" s="4"/>
      <c r="P1472" s="12" t="str">
        <f t="array" ref="P1472">IF(O1472:O5514="","",_xlfn.XLOOKUP(O1472:O5514,'参照_官位'!A:A,'参照_官位'!B:B,""))</f>
      </c>
      <c r="Q1472" s="12" t="str">
        <f t="array" ref="Q1472">IF(A1472:A5514="","",IFERROR(_xlfn.XLOOKUP(A1472:A5514,castles_state!K:K,castles_state!D:D)&amp;"主",IFERROR(_xlfn.XLOOKUP(A1472:A5514,kunishuClan!D:D,kunishuClan!B:B)&amp;"当主","")))</f>
      </c>
    </row>
    <row r="1473" ht="15.75" customHeight="1">
      <c r="A1473" s="4">
        <v>1032009</v>
      </c>
      <c r="B1473" s="12" t="str">
        <f t="array" ref="B1473">IF(A1473:A5515="","",_xlfn.XLOOKUP(A1473:A5515,'参照_武将'!A:A,'参照_武将'!B:B,"見つかりません"))</f>
      </c>
      <c r="C1473" s="4" t="s">
        <v>192</v>
      </c>
      <c r="D1473" s="4">
        <v>32</v>
      </c>
      <c r="E1473" s="12" t="str">
        <f t="array" ref="E1473">IF(D1473:D5515="","",IFERROR(_xlfn.XLOOKUP(D1473:D5515,'参照_勢力'!A:A,'参照_勢力'!B:B),IFERROR(_xlfn.XLOOKUP(F1473:F5515,kunishuClan!A:A,kunishuClan!B:B),"浪人")))</f>
      </c>
      <c r="F1473" s="4">
        <v>0</v>
      </c>
      <c r="G1473" s="4">
        <v>59</v>
      </c>
      <c r="H1473" s="12" t="str">
        <f t="array" ref="H1473">IF(G1473:G5515="","",_xlfn.XLOOKUP(G1473:G5515,castles_state!A:A,castles_state!D:D,"見つかりません"))</f>
      </c>
      <c r="I1473" s="4"/>
      <c r="J1473" s="12" t="str">
        <f t="array" ref="J1473">IF(I1473:I5515="","",_xlfn.XLOOKUP(I1473:I5515,'参照_姫'!A:A,'参照_姫'!B:B,"見つかりません"))</f>
      </c>
      <c r="K1473" s="4">
        <v>95</v>
      </c>
      <c r="L1473" s="4">
        <v>0</v>
      </c>
      <c r="M1473" s="4"/>
      <c r="N1473" s="4"/>
      <c r="O1473" s="4"/>
      <c r="P1473" s="12" t="str">
        <f t="array" ref="P1473">IF(O1473:O5515="","",_xlfn.XLOOKUP(O1473:O5515,'参照_官位'!A:A,'参照_官位'!B:B,""))</f>
      </c>
      <c r="Q1473" s="12" t="str">
        <f t="array" ref="Q1473">IF(A1473:A5515="","",IFERROR(_xlfn.XLOOKUP(A1473:A5515,castles_state!K:K,castles_state!D:D)&amp;"主",IFERROR(_xlfn.XLOOKUP(A1473:A5515,kunishuClan!D:D,kunishuClan!B:B)&amp;"当主","")))</f>
      </c>
    </row>
    <row r="1474" ht="15.75" customHeight="1">
      <c r="A1474" s="4">
        <v>1032010</v>
      </c>
      <c r="B1474" s="12" t="str">
        <f t="array" ref="B1474">IF(A1474:A5516="","",_xlfn.XLOOKUP(A1474:A5516,'参照_武将'!A:A,'参照_武将'!B:B,"見つかりません"))</f>
      </c>
      <c r="C1474" s="4" t="s">
        <v>5943</v>
      </c>
      <c r="D1474" s="4">
        <v>32</v>
      </c>
      <c r="E1474" s="12" t="str">
        <f t="array" ref="E1474">IF(D1474:D5516="","",IFERROR(_xlfn.XLOOKUP(D1474:D5516,'参照_勢力'!A:A,'参照_勢力'!B:B),IFERROR(_xlfn.XLOOKUP(F1474:F5516,kunishuClan!A:A,kunishuClan!B:B),"浪人")))</f>
      </c>
      <c r="F1474" s="4">
        <v>0</v>
      </c>
      <c r="G1474" s="4">
        <v>60</v>
      </c>
      <c r="H1474" s="12" t="str">
        <f t="array" ref="H1474">IF(G1474:G5516="","",_xlfn.XLOOKUP(G1474:G5516,castles_state!A:A,castles_state!D:D,"見つかりません"))</f>
      </c>
      <c r="I1474" s="4"/>
      <c r="J1474" s="12" t="str">
        <f t="array" ref="J1474">IF(I1474:I5516="","",_xlfn.XLOOKUP(I1474:I5516,'参照_姫'!A:A,'参照_姫'!B:B,"見つかりません"))</f>
      </c>
      <c r="K1474" s="4">
        <v>95</v>
      </c>
      <c r="L1474" s="4">
        <v>0</v>
      </c>
      <c r="M1474" s="4"/>
      <c r="N1474" s="4"/>
      <c r="O1474" s="4"/>
      <c r="P1474" s="12" t="str">
        <f t="array" ref="P1474">IF(O1474:O5516="","",_xlfn.XLOOKUP(O1474:O5516,'参照_官位'!A:A,'参照_官位'!B:B,""))</f>
      </c>
      <c r="Q1474" s="12" t="str">
        <f t="array" ref="Q1474">IF(A1474:A5516="","",IFERROR(_xlfn.XLOOKUP(A1474:A5516,castles_state!K:K,castles_state!D:D)&amp;"主",IFERROR(_xlfn.XLOOKUP(A1474:A5516,kunishuClan!D:D,kunishuClan!B:B)&amp;"当主","")))</f>
      </c>
    </row>
    <row r="1475" ht="15.75" customHeight="1">
      <c r="A1475" s="4">
        <v>1032011</v>
      </c>
      <c r="B1475" s="12" t="str">
        <f t="array" ref="B1475">IF(A1475:A5517="","",_xlfn.XLOOKUP(A1475:A5517,'参照_武将'!A:A,'参照_武将'!B:B,"見つかりません"))</f>
      </c>
      <c r="C1475" s="4" t="s">
        <v>5944</v>
      </c>
      <c r="D1475" s="4">
        <v>32</v>
      </c>
      <c r="E1475" s="12" t="str">
        <f t="array" ref="E1475">IF(D1475:D5517="","",IFERROR(_xlfn.XLOOKUP(D1475:D5517,'参照_勢力'!A:A,'参照_勢力'!B:B),IFERROR(_xlfn.XLOOKUP(F1475:F5517,kunishuClan!A:A,kunishuClan!B:B),"浪人")))</f>
      </c>
      <c r="F1475" s="4">
        <v>0</v>
      </c>
      <c r="G1475" s="4">
        <v>247</v>
      </c>
      <c r="H1475" s="12" t="str">
        <f t="array" ref="H1475">IF(G1475:G5517="","",_xlfn.XLOOKUP(G1475:G5517,castles_state!A:A,castles_state!D:D,"見つかりません"))</f>
      </c>
      <c r="I1475" s="4"/>
      <c r="J1475" s="12" t="str">
        <f t="array" ref="J1475">IF(I1475:I5517="","",_xlfn.XLOOKUP(I1475:I5517,'参照_姫'!A:A,'参照_姫'!B:B,"見つかりません"))</f>
      </c>
      <c r="K1475" s="4">
        <v>95</v>
      </c>
      <c r="L1475" s="4">
        <v>0</v>
      </c>
      <c r="M1475" s="4"/>
      <c r="N1475" s="4"/>
      <c r="O1475" s="4"/>
      <c r="P1475" s="12" t="str">
        <f t="array" ref="P1475">IF(O1475:O5517="","",_xlfn.XLOOKUP(O1475:O5517,'参照_官位'!A:A,'参照_官位'!B:B,""))</f>
      </c>
      <c r="Q1475" s="12" t="str">
        <f t="array" ref="Q1475">IF(A1475:A5517="","",IFERROR(_xlfn.XLOOKUP(A1475:A5517,castles_state!K:K,castles_state!D:D)&amp;"主",IFERROR(_xlfn.XLOOKUP(A1475:A5517,kunishuClan!D:D,kunishuClan!B:B)&amp;"当主","")))</f>
      </c>
    </row>
    <row r="1476" ht="15.75" customHeight="1">
      <c r="A1476" s="4">
        <v>1032012</v>
      </c>
      <c r="B1476" s="12" t="str">
        <f t="array" ref="B1476">IF(A1476:A5518="","",_xlfn.XLOOKUP(A1476:A5518,'参照_武将'!A:A,'参照_武将'!B:B,"見つかりません"))</f>
      </c>
      <c r="C1476" s="4" t="s">
        <v>5944</v>
      </c>
      <c r="D1476" s="4">
        <v>32</v>
      </c>
      <c r="E1476" s="12" t="str">
        <f t="array" ref="E1476">IF(D1476:D5518="","",IFERROR(_xlfn.XLOOKUP(D1476:D5518,'参照_勢力'!A:A,'参照_勢力'!B:B),IFERROR(_xlfn.XLOOKUP(F1476:F5518,kunishuClan!A:A,kunishuClan!B:B),"浪人")))</f>
      </c>
      <c r="F1476" s="4">
        <v>0</v>
      </c>
      <c r="G1476" s="4">
        <v>247</v>
      </c>
      <c r="H1476" s="12" t="str">
        <f t="array" ref="H1476">IF(G1476:G5518="","",_xlfn.XLOOKUP(G1476:G5518,castles_state!A:A,castles_state!D:D,"見つかりません"))</f>
      </c>
      <c r="I1476" s="4"/>
      <c r="J1476" s="12" t="str">
        <f t="array" ref="J1476">IF(I1476:I5518="","",_xlfn.XLOOKUP(I1476:I5518,'参照_姫'!A:A,'参照_姫'!B:B,"見つかりません"))</f>
      </c>
      <c r="K1476" s="4">
        <v>95</v>
      </c>
      <c r="L1476" s="4">
        <v>500</v>
      </c>
      <c r="M1476" s="4"/>
      <c r="N1476" s="4"/>
      <c r="O1476" s="4"/>
      <c r="P1476" s="12" t="str">
        <f t="array" ref="P1476">IF(O1476:O5518="","",_xlfn.XLOOKUP(O1476:O5518,'参照_官位'!A:A,'参照_官位'!B:B,""))</f>
      </c>
      <c r="Q1476" s="12" t="str">
        <f t="array" ref="Q1476">IF(A1476:A5518="","",IFERROR(_xlfn.XLOOKUP(A1476:A5518,castles_state!K:K,castles_state!D:D)&amp;"主",IFERROR(_xlfn.XLOOKUP(A1476:A5518,kunishuClan!D:D,kunishuClan!B:B)&amp;"当主","")))</f>
      </c>
    </row>
    <row r="1477" ht="15.75" customHeight="1">
      <c r="A1477" s="4">
        <v>1032013</v>
      </c>
      <c r="B1477" s="12" t="str">
        <f t="array" ref="B1477">IF(A1477:A5519="","",_xlfn.XLOOKUP(A1477:A5519,'参照_武将'!A:A,'参照_武将'!B:B,"見つかりません"))</f>
      </c>
      <c r="C1477" s="4" t="s">
        <v>5944</v>
      </c>
      <c r="D1477" s="4">
        <v>32</v>
      </c>
      <c r="E1477" s="12" t="str">
        <f t="array" ref="E1477">IF(D1477:D5519="","",IFERROR(_xlfn.XLOOKUP(D1477:D5519,'参照_勢力'!A:A,'参照_勢力'!B:B),IFERROR(_xlfn.XLOOKUP(F1477:F5519,kunishuClan!A:A,kunishuClan!B:B),"浪人")))</f>
      </c>
      <c r="F1477" s="4">
        <v>0</v>
      </c>
      <c r="G1477" s="4">
        <v>247</v>
      </c>
      <c r="H1477" s="12" t="str">
        <f t="array" ref="H1477">IF(G1477:G5519="","",_xlfn.XLOOKUP(G1477:G5519,castles_state!A:A,castles_state!D:D,"見つかりません"))</f>
      </c>
      <c r="I1477" s="4"/>
      <c r="J1477" s="12" t="str">
        <f t="array" ref="J1477">IF(I1477:I5519="","",_xlfn.XLOOKUP(I1477:I5519,'参照_姫'!A:A,'参照_姫'!B:B,"見つかりません"))</f>
      </c>
      <c r="K1477" s="4">
        <v>95</v>
      </c>
      <c r="L1477" s="4">
        <v>500</v>
      </c>
      <c r="M1477" s="4"/>
      <c r="N1477" s="4"/>
      <c r="O1477" s="4"/>
      <c r="P1477" s="12" t="str">
        <f t="array" ref="P1477">IF(O1477:O5519="","",_xlfn.XLOOKUP(O1477:O5519,'参照_官位'!A:A,'参照_官位'!B:B,""))</f>
      </c>
      <c r="Q1477" s="12" t="str">
        <f t="array" ref="Q1477">IF(A1477:A5519="","",IFERROR(_xlfn.XLOOKUP(A1477:A5519,castles_state!K:K,castles_state!D:D)&amp;"主",IFERROR(_xlfn.XLOOKUP(A1477:A5519,kunishuClan!D:D,kunishuClan!B:B)&amp;"当主","")))</f>
      </c>
    </row>
    <row r="1478" ht="15.75" customHeight="1">
      <c r="A1478" s="4">
        <v>1032014</v>
      </c>
      <c r="B1478" s="12" t="str">
        <f t="array" ref="B1478">IF(A1478:A5520="","",_xlfn.XLOOKUP(A1478:A5520,'参照_武将'!A:A,'参照_武将'!B:B,"見つかりません"))</f>
      </c>
      <c r="C1478" s="4" t="s">
        <v>5944</v>
      </c>
      <c r="D1478" s="4">
        <v>32</v>
      </c>
      <c r="E1478" s="12" t="str">
        <f t="array" ref="E1478">IF(D1478:D5520="","",IFERROR(_xlfn.XLOOKUP(D1478:D5520,'参照_勢力'!A:A,'参照_勢力'!B:B),IFERROR(_xlfn.XLOOKUP(F1478:F5520,kunishuClan!A:A,kunishuClan!B:B),"浪人")))</f>
      </c>
      <c r="F1478" s="4">
        <v>0</v>
      </c>
      <c r="G1478" s="4">
        <v>247</v>
      </c>
      <c r="H1478" s="12" t="str">
        <f t="array" ref="H1478">IF(G1478:G5520="","",_xlfn.XLOOKUP(G1478:G5520,castles_state!A:A,castles_state!D:D,"見つかりません"))</f>
      </c>
      <c r="I1478" s="4"/>
      <c r="J1478" s="12" t="str">
        <f t="array" ref="J1478">IF(I1478:I5520="","",_xlfn.XLOOKUP(I1478:I5520,'参照_姫'!A:A,'参照_姫'!B:B,"見つかりません"))</f>
      </c>
      <c r="K1478" s="4">
        <v>95</v>
      </c>
      <c r="L1478" s="4">
        <v>0</v>
      </c>
      <c r="M1478" s="4"/>
      <c r="N1478" s="4"/>
      <c r="O1478" s="4"/>
      <c r="P1478" s="12" t="str">
        <f t="array" ref="P1478">IF(O1478:O5520="","",_xlfn.XLOOKUP(O1478:O5520,'参照_官位'!A:A,'参照_官位'!B:B,""))</f>
      </c>
      <c r="Q1478" s="12" t="str">
        <f t="array" ref="Q1478">IF(A1478:A5520="","",IFERROR(_xlfn.XLOOKUP(A1478:A5520,castles_state!K:K,castles_state!D:D)&amp;"主",IFERROR(_xlfn.XLOOKUP(A1478:A5520,kunishuClan!D:D,kunishuClan!B:B)&amp;"当主","")))</f>
      </c>
    </row>
    <row r="1479" ht="15.75" customHeight="1">
      <c r="A1479" s="4">
        <v>1032015</v>
      </c>
      <c r="B1479" s="12" t="str">
        <f t="array" ref="B1479">IF(A1479:A5521="","",_xlfn.XLOOKUP(A1479:A5521,'参照_武将'!A:A,'参照_武将'!B:B,"見つかりません"))</f>
      </c>
      <c r="C1479" s="4" t="s">
        <v>5944</v>
      </c>
      <c r="D1479" s="4">
        <v>32</v>
      </c>
      <c r="E1479" s="12" t="str">
        <f t="array" ref="E1479">IF(D1479:D5521="","",IFERROR(_xlfn.XLOOKUP(D1479:D5521,'参照_勢力'!A:A,'参照_勢力'!B:B),IFERROR(_xlfn.XLOOKUP(F1479:F5521,kunishuClan!A:A,kunishuClan!B:B),"浪人")))</f>
      </c>
      <c r="F1479" s="4">
        <v>0</v>
      </c>
      <c r="G1479" s="4">
        <v>247</v>
      </c>
      <c r="H1479" s="12" t="str">
        <f t="array" ref="H1479">IF(G1479:G5521="","",_xlfn.XLOOKUP(G1479:G5521,castles_state!A:A,castles_state!D:D,"見つかりません"))</f>
      </c>
      <c r="I1479" s="4"/>
      <c r="J1479" s="12" t="str">
        <f t="array" ref="J1479">IF(I1479:I5521="","",_xlfn.XLOOKUP(I1479:I5521,'参照_姫'!A:A,'参照_姫'!B:B,"見つかりません"))</f>
      </c>
      <c r="K1479" s="4">
        <v>95</v>
      </c>
      <c r="L1479" s="4">
        <v>0</v>
      </c>
      <c r="M1479" s="4"/>
      <c r="N1479" s="4"/>
      <c r="O1479" s="4"/>
      <c r="P1479" s="12" t="str">
        <f t="array" ref="P1479">IF(O1479:O5521="","",_xlfn.XLOOKUP(O1479:O5521,'参照_官位'!A:A,'参照_官位'!B:B,""))</f>
      </c>
      <c r="Q1479" s="12" t="str">
        <f t="array" ref="Q1479">IF(A1479:A5521="","",IFERROR(_xlfn.XLOOKUP(A1479:A5521,castles_state!K:K,castles_state!D:D)&amp;"主",IFERROR(_xlfn.XLOOKUP(A1479:A5521,kunishuClan!D:D,kunishuClan!B:B)&amp;"当主","")))</f>
      </c>
    </row>
    <row r="1480" ht="15.75" customHeight="1">
      <c r="A1480" s="4">
        <v>1032016</v>
      </c>
      <c r="B1480" s="12" t="str">
        <f t="array" ref="B1480">IF(A1480:A5522="","",_xlfn.XLOOKUP(A1480:A5522,'参照_武将'!A:A,'参照_武将'!B:B,"見つかりません"))</f>
      </c>
      <c r="C1480" s="4" t="s">
        <v>5945</v>
      </c>
      <c r="D1480" s="4">
        <v>32</v>
      </c>
      <c r="E1480" s="12" t="str">
        <f t="array" ref="E1480">IF(D1480:D5522="","",IFERROR(_xlfn.XLOOKUP(D1480:D5522,'参照_勢力'!A:A,'参照_勢力'!B:B),IFERROR(_xlfn.XLOOKUP(F1480:F5522,kunishuClan!A:A,kunishuClan!B:B),"浪人")))</f>
      </c>
      <c r="F1480" s="4">
        <v>0</v>
      </c>
      <c r="G1480" s="4">
        <v>60</v>
      </c>
      <c r="H1480" s="12" t="str">
        <f t="array" ref="H1480">IF(G1480:G5522="","",_xlfn.XLOOKUP(G1480:G5522,castles_state!A:A,castles_state!D:D,"見つかりません"))</f>
      </c>
      <c r="I1480" s="4"/>
      <c r="J1480" s="12" t="str">
        <f t="array" ref="J1480">IF(I1480:I5522="","",_xlfn.XLOOKUP(I1480:I5522,'参照_姫'!A:A,'参照_姫'!B:B,"見つかりません"))</f>
      </c>
      <c r="K1480" s="4">
        <v>95</v>
      </c>
      <c r="L1480" s="4">
        <v>0</v>
      </c>
      <c r="M1480" s="4"/>
      <c r="N1480" s="4"/>
      <c r="O1480" s="4"/>
      <c r="P1480" s="12" t="str">
        <f t="array" ref="P1480">IF(O1480:O5522="","",_xlfn.XLOOKUP(O1480:O5522,'参照_官位'!A:A,'参照_官位'!B:B,""))</f>
      </c>
      <c r="Q1480" s="12" t="str">
        <f t="array" ref="Q1480">IF(A1480:A5522="","",IFERROR(_xlfn.XLOOKUP(A1480:A5522,castles_state!K:K,castles_state!D:D)&amp;"主",IFERROR(_xlfn.XLOOKUP(A1480:A5522,kunishuClan!D:D,kunishuClan!B:B)&amp;"当主","")))</f>
      </c>
    </row>
    <row r="1481" ht="15.75" customHeight="1">
      <c r="A1481" s="4">
        <v>1032017</v>
      </c>
      <c r="B1481" s="12" t="str">
        <f t="array" ref="B1481">IF(A1481:A5523="","",_xlfn.XLOOKUP(A1481:A5523,'参照_武将'!A:A,'参照_武将'!B:B,"見つかりません"))</f>
      </c>
      <c r="C1481" s="4" t="s">
        <v>5945</v>
      </c>
      <c r="D1481" s="4">
        <v>32</v>
      </c>
      <c r="E1481" s="12" t="str">
        <f t="array" ref="E1481">IF(D1481:D5523="","",IFERROR(_xlfn.XLOOKUP(D1481:D5523,'参照_勢力'!A:A,'参照_勢力'!B:B),IFERROR(_xlfn.XLOOKUP(F1481:F5523,kunishuClan!A:A,kunishuClan!B:B),"浪人")))</f>
      </c>
      <c r="F1481" s="4">
        <v>0</v>
      </c>
      <c r="G1481" s="4">
        <v>60</v>
      </c>
      <c r="H1481" s="12" t="str">
        <f t="array" ref="H1481">IF(G1481:G5523="","",_xlfn.XLOOKUP(G1481:G5523,castles_state!A:A,castles_state!D:D,"見つかりません"))</f>
      </c>
      <c r="I1481" s="4"/>
      <c r="J1481" s="12" t="str">
        <f t="array" ref="J1481">IF(I1481:I5523="","",_xlfn.XLOOKUP(I1481:I5523,'参照_姫'!A:A,'参照_姫'!B:B,"見つかりません"))</f>
      </c>
      <c r="K1481" s="4">
        <v>95</v>
      </c>
      <c r="L1481" s="4">
        <v>500</v>
      </c>
      <c r="M1481" s="4"/>
      <c r="N1481" s="4"/>
      <c r="O1481" s="4"/>
      <c r="P1481" s="12" t="str">
        <f t="array" ref="P1481">IF(O1481:O5523="","",_xlfn.XLOOKUP(O1481:O5523,'参照_官位'!A:A,'参照_官位'!B:B,""))</f>
      </c>
      <c r="Q1481" s="12" t="str">
        <f t="array" ref="Q1481">IF(A1481:A5523="","",IFERROR(_xlfn.XLOOKUP(A1481:A5523,castles_state!K:K,castles_state!D:D)&amp;"主",IFERROR(_xlfn.XLOOKUP(A1481:A5523,kunishuClan!D:D,kunishuClan!B:B)&amp;"当主","")))</f>
      </c>
    </row>
    <row r="1482" ht="15.75" customHeight="1">
      <c r="A1482" s="4">
        <v>1032018</v>
      </c>
      <c r="B1482" s="12" t="str">
        <f t="array" ref="B1482">IF(A1482:A5524="","",_xlfn.XLOOKUP(A1482:A5524,'参照_武将'!A:A,'参照_武将'!B:B,"見つかりません"))</f>
      </c>
      <c r="C1482" s="4" t="s">
        <v>5945</v>
      </c>
      <c r="D1482" s="4">
        <v>32</v>
      </c>
      <c r="E1482" s="12" t="str">
        <f t="array" ref="E1482">IF(D1482:D5524="","",IFERROR(_xlfn.XLOOKUP(D1482:D5524,'参照_勢力'!A:A,'参照_勢力'!B:B),IFERROR(_xlfn.XLOOKUP(F1482:F5524,kunishuClan!A:A,kunishuClan!B:B),"浪人")))</f>
      </c>
      <c r="F1482" s="4">
        <v>0</v>
      </c>
      <c r="G1482" s="4">
        <v>64</v>
      </c>
      <c r="H1482" s="12" t="str">
        <f t="array" ref="H1482">IF(G1482:G5524="","",_xlfn.XLOOKUP(G1482:G5524,castles_state!A:A,castles_state!D:D,"見つかりません"))</f>
      </c>
      <c r="I1482" s="4"/>
      <c r="J1482" s="12" t="str">
        <f t="array" ref="J1482">IF(I1482:I5524="","",_xlfn.XLOOKUP(I1482:I5524,'参照_姫'!A:A,'参照_姫'!B:B,"見つかりません"))</f>
      </c>
      <c r="K1482" s="4">
        <v>95</v>
      </c>
      <c r="L1482" s="4">
        <v>0</v>
      </c>
      <c r="M1482" s="4"/>
      <c r="N1482" s="4"/>
      <c r="O1482" s="4"/>
      <c r="P1482" s="12" t="str">
        <f t="array" ref="P1482">IF(O1482:O5524="","",_xlfn.XLOOKUP(O1482:O5524,'参照_官位'!A:A,'参照_官位'!B:B,""))</f>
      </c>
      <c r="Q1482" s="12" t="str">
        <f t="array" ref="Q1482">IF(A1482:A5524="","",IFERROR(_xlfn.XLOOKUP(A1482:A5524,castles_state!K:K,castles_state!D:D)&amp;"主",IFERROR(_xlfn.XLOOKUP(A1482:A5524,kunishuClan!D:D,kunishuClan!B:B)&amp;"当主","")))</f>
      </c>
    </row>
    <row r="1483" ht="15.75" customHeight="1">
      <c r="A1483" s="4">
        <v>1032019</v>
      </c>
      <c r="B1483" s="12" t="str">
        <f t="array" ref="B1483">IF(A1483:A5525="","",_xlfn.XLOOKUP(A1483:A5525,'参照_武将'!A:A,'参照_武将'!B:B,"見つかりません"))</f>
      </c>
      <c r="C1483" s="4" t="s">
        <v>5945</v>
      </c>
      <c r="D1483" s="4">
        <v>32</v>
      </c>
      <c r="E1483" s="12" t="str">
        <f t="array" ref="E1483">IF(D1483:D5525="","",IFERROR(_xlfn.XLOOKUP(D1483:D5525,'参照_勢力'!A:A,'参照_勢力'!B:B),IFERROR(_xlfn.XLOOKUP(F1483:F5525,kunishuClan!A:A,kunishuClan!B:B),"浪人")))</f>
      </c>
      <c r="F1483" s="4">
        <v>0</v>
      </c>
      <c r="G1483" s="4">
        <v>64</v>
      </c>
      <c r="H1483" s="12" t="str">
        <f t="array" ref="H1483">IF(G1483:G5525="","",_xlfn.XLOOKUP(G1483:G5525,castles_state!A:A,castles_state!D:D,"見つかりません"))</f>
      </c>
      <c r="I1483" s="4"/>
      <c r="J1483" s="12" t="str">
        <f t="array" ref="J1483">IF(I1483:I5525="","",_xlfn.XLOOKUP(I1483:I5525,'参照_姫'!A:A,'参照_姫'!B:B,"見つかりません"))</f>
      </c>
      <c r="K1483" s="4">
        <v>95</v>
      </c>
      <c r="L1483" s="4">
        <v>0</v>
      </c>
      <c r="M1483" s="4"/>
      <c r="N1483" s="4"/>
      <c r="O1483" s="4"/>
      <c r="P1483" s="12" t="str">
        <f t="array" ref="P1483">IF(O1483:O5525="","",_xlfn.XLOOKUP(O1483:O5525,'参照_官位'!A:A,'参照_官位'!B:B,""))</f>
      </c>
      <c r="Q1483" s="12" t="str">
        <f t="array" ref="Q1483">IF(A1483:A5525="","",IFERROR(_xlfn.XLOOKUP(A1483:A5525,castles_state!K:K,castles_state!D:D)&amp;"主",IFERROR(_xlfn.XLOOKUP(A1483:A5525,kunishuClan!D:D,kunishuClan!B:B)&amp;"当主","")))</f>
      </c>
    </row>
    <row r="1484" ht="15.75" customHeight="1">
      <c r="A1484" s="4">
        <v>1032020</v>
      </c>
      <c r="B1484" s="12" t="str">
        <f t="array" ref="B1484">IF(A1484:A5526="","",_xlfn.XLOOKUP(A1484:A5526,'参照_武将'!A:A,'参照_武将'!B:B,"見つかりません"))</f>
      </c>
      <c r="C1484" s="4" t="s">
        <v>5945</v>
      </c>
      <c r="D1484" s="4">
        <v>32</v>
      </c>
      <c r="E1484" s="12" t="str">
        <f t="array" ref="E1484">IF(D1484:D5526="","",IFERROR(_xlfn.XLOOKUP(D1484:D5526,'参照_勢力'!A:A,'参照_勢力'!B:B),IFERROR(_xlfn.XLOOKUP(F1484:F5526,kunishuClan!A:A,kunishuClan!B:B),"浪人")))</f>
      </c>
      <c r="F1484" s="4">
        <v>0</v>
      </c>
      <c r="G1484" s="4">
        <v>60</v>
      </c>
      <c r="H1484" s="12" t="str">
        <f t="array" ref="H1484">IF(G1484:G5526="","",_xlfn.XLOOKUP(G1484:G5526,castles_state!A:A,castles_state!D:D,"見つかりません"))</f>
      </c>
      <c r="I1484" s="4"/>
      <c r="J1484" s="12" t="str">
        <f t="array" ref="J1484">IF(I1484:I5526="","",_xlfn.XLOOKUP(I1484:I5526,'参照_姫'!A:A,'参照_姫'!B:B,"見つかりません"))</f>
      </c>
      <c r="K1484" s="4">
        <v>95</v>
      </c>
      <c r="L1484" s="4">
        <v>0</v>
      </c>
      <c r="M1484" s="4"/>
      <c r="N1484" s="4"/>
      <c r="O1484" s="4"/>
      <c r="P1484" s="12" t="str">
        <f t="array" ref="P1484">IF(O1484:O5526="","",_xlfn.XLOOKUP(O1484:O5526,'参照_官位'!A:A,'参照_官位'!B:B,""))</f>
      </c>
      <c r="Q1484" s="12" t="str">
        <f t="array" ref="Q1484">IF(A1484:A5526="","",IFERROR(_xlfn.XLOOKUP(A1484:A5526,castles_state!K:K,castles_state!D:D)&amp;"主",IFERROR(_xlfn.XLOOKUP(A1484:A5526,kunishuClan!D:D,kunishuClan!B:B)&amp;"当主","")))</f>
      </c>
    </row>
    <row r="1485" ht="15.75" customHeight="1">
      <c r="A1485" s="4">
        <v>1032021</v>
      </c>
      <c r="B1485" s="12" t="str">
        <f t="array" ref="B1485">IF(A1485:A5527="","",_xlfn.XLOOKUP(A1485:A5527,'参照_武将'!A:A,'参照_武将'!B:B,"見つかりません"))</f>
      </c>
      <c r="C1485" s="4" t="s">
        <v>192</v>
      </c>
      <c r="D1485" s="4">
        <v>32</v>
      </c>
      <c r="E1485" s="12" t="str">
        <f t="array" ref="E1485">IF(D1485:D5527="","",IFERROR(_xlfn.XLOOKUP(D1485:D5527,'参照_勢力'!A:A,'参照_勢力'!B:B),IFERROR(_xlfn.XLOOKUP(F1485:F5527,kunishuClan!A:A,kunishuClan!B:B),"浪人")))</f>
      </c>
      <c r="F1485" s="4">
        <v>0</v>
      </c>
      <c r="G1485" s="4">
        <v>59</v>
      </c>
      <c r="H1485" s="12" t="str">
        <f t="array" ref="H1485">IF(G1485:G5527="","",_xlfn.XLOOKUP(G1485:G5527,castles_state!A:A,castles_state!D:D,"見つかりません"))</f>
      </c>
      <c r="I1485" s="4"/>
      <c r="J1485" s="12" t="str">
        <f t="array" ref="J1485">IF(I1485:I5527="","",_xlfn.XLOOKUP(I1485:I5527,'参照_姫'!A:A,'参照_姫'!B:B,"見つかりません"))</f>
      </c>
      <c r="K1485" s="4">
        <v>95</v>
      </c>
      <c r="L1485" s="4">
        <v>0</v>
      </c>
      <c r="M1485" s="4"/>
      <c r="N1485" s="4"/>
      <c r="O1485" s="4"/>
      <c r="P1485" s="12" t="str">
        <f t="array" ref="P1485">IF(O1485:O5527="","",_xlfn.XLOOKUP(O1485:O5527,'参照_官位'!A:A,'参照_官位'!B:B,""))</f>
      </c>
      <c r="Q1485" s="12" t="str">
        <f t="array" ref="Q1485">IF(A1485:A5527="","",IFERROR(_xlfn.XLOOKUP(A1485:A5527,castles_state!K:K,castles_state!D:D)&amp;"主",IFERROR(_xlfn.XLOOKUP(A1485:A5527,kunishuClan!D:D,kunishuClan!B:B)&amp;"当主","")))</f>
      </c>
    </row>
    <row r="1486" ht="15.75" customHeight="1">
      <c r="A1486" s="4">
        <v>1032022</v>
      </c>
      <c r="B1486" s="12" t="str">
        <f t="array" ref="B1486">IF(A1486:A5528="","",_xlfn.XLOOKUP(A1486:A5528,'参照_武将'!A:A,'参照_武将'!B:B,"見つかりません"))</f>
      </c>
      <c r="C1486" s="4" t="s">
        <v>192</v>
      </c>
      <c r="D1486" s="4">
        <v>32</v>
      </c>
      <c r="E1486" s="12" t="str">
        <f t="array" ref="E1486">IF(D1486:D5528="","",IFERROR(_xlfn.XLOOKUP(D1486:D5528,'参照_勢力'!A:A,'参照_勢力'!B:B),IFERROR(_xlfn.XLOOKUP(F1486:F5528,kunishuClan!A:A,kunishuClan!B:B),"浪人")))</f>
      </c>
      <c r="F1486" s="4">
        <v>0</v>
      </c>
      <c r="G1486" s="4">
        <v>59</v>
      </c>
      <c r="H1486" s="12" t="str">
        <f t="array" ref="H1486">IF(G1486:G5528="","",_xlfn.XLOOKUP(G1486:G5528,castles_state!A:A,castles_state!D:D,"見つかりません"))</f>
      </c>
      <c r="I1486" s="4"/>
      <c r="J1486" s="12" t="str">
        <f t="array" ref="J1486">IF(I1486:I5528="","",_xlfn.XLOOKUP(I1486:I5528,'参照_姫'!A:A,'参照_姫'!B:B,"見つかりません"))</f>
      </c>
      <c r="K1486" s="4">
        <v>95</v>
      </c>
      <c r="L1486" s="4">
        <v>0</v>
      </c>
      <c r="M1486" s="4"/>
      <c r="N1486" s="4"/>
      <c r="O1486" s="4"/>
      <c r="P1486" s="12" t="str">
        <f t="array" ref="P1486">IF(O1486:O5528="","",_xlfn.XLOOKUP(O1486:O5528,'参照_官位'!A:A,'参照_官位'!B:B,""))</f>
      </c>
      <c r="Q1486" s="12" t="str">
        <f t="array" ref="Q1486">IF(A1486:A5528="","",IFERROR(_xlfn.XLOOKUP(A1486:A5528,castles_state!K:K,castles_state!D:D)&amp;"主",IFERROR(_xlfn.XLOOKUP(A1486:A5528,kunishuClan!D:D,kunishuClan!B:B)&amp;"当主","")))</f>
      </c>
    </row>
    <row r="1487" ht="15.75" customHeight="1">
      <c r="A1487" s="4">
        <v>1032023</v>
      </c>
      <c r="B1487" s="12" t="str">
        <f t="array" ref="B1487">IF(A1487:A5529="","",_xlfn.XLOOKUP(A1487:A5529,'参照_武将'!A:A,'参照_武将'!B:B,"見つかりません"))</f>
      </c>
      <c r="C1487" s="4" t="s">
        <v>192</v>
      </c>
      <c r="D1487" s="4">
        <v>32</v>
      </c>
      <c r="E1487" s="12" t="str">
        <f t="array" ref="E1487">IF(D1487:D5529="","",IFERROR(_xlfn.XLOOKUP(D1487:D5529,'参照_勢力'!A:A,'参照_勢力'!B:B),IFERROR(_xlfn.XLOOKUP(F1487:F5529,kunishuClan!A:A,kunishuClan!B:B),"浪人")))</f>
      </c>
      <c r="F1487" s="4">
        <v>0</v>
      </c>
      <c r="G1487" s="4">
        <v>59</v>
      </c>
      <c r="H1487" s="12" t="str">
        <f t="array" ref="H1487">IF(G1487:G5529="","",_xlfn.XLOOKUP(G1487:G5529,castles_state!A:A,castles_state!D:D,"見つかりません"))</f>
      </c>
      <c r="I1487" s="4"/>
      <c r="J1487" s="12" t="str">
        <f t="array" ref="J1487">IF(I1487:I5529="","",_xlfn.XLOOKUP(I1487:I5529,'参照_姫'!A:A,'参照_姫'!B:B,"見つかりません"))</f>
      </c>
      <c r="K1487" s="4">
        <v>95</v>
      </c>
      <c r="L1487" s="4">
        <v>0</v>
      </c>
      <c r="M1487" s="4"/>
      <c r="N1487" s="4"/>
      <c r="O1487" s="4"/>
      <c r="P1487" s="12" t="str">
        <f t="array" ref="P1487">IF(O1487:O5529="","",_xlfn.XLOOKUP(O1487:O5529,'参照_官位'!A:A,'参照_官位'!B:B,""))</f>
      </c>
      <c r="Q1487" s="12" t="str">
        <f t="array" ref="Q1487">IF(A1487:A5529="","",IFERROR(_xlfn.XLOOKUP(A1487:A5529,castles_state!K:K,castles_state!D:D)&amp;"主",IFERROR(_xlfn.XLOOKUP(A1487:A5529,kunishuClan!D:D,kunishuClan!B:B)&amp;"当主","")))</f>
      </c>
    </row>
    <row r="1488" ht="15.75" customHeight="1">
      <c r="A1488" s="4">
        <v>1032024</v>
      </c>
      <c r="B1488" s="12" t="str">
        <f t="array" ref="B1488">IF(A1488:A5530="","",_xlfn.XLOOKUP(A1488:A5530,'参照_武将'!A:A,'参照_武将'!B:B,"見つかりません"))</f>
      </c>
      <c r="C1488" s="4" t="s">
        <v>192</v>
      </c>
      <c r="D1488" s="4">
        <v>32</v>
      </c>
      <c r="E1488" s="12" t="str">
        <f t="array" ref="E1488">IF(D1488:D5530="","",IFERROR(_xlfn.XLOOKUP(D1488:D5530,'参照_勢力'!A:A,'参照_勢力'!B:B),IFERROR(_xlfn.XLOOKUP(F1488:F5530,kunishuClan!A:A,kunishuClan!B:B),"浪人")))</f>
      </c>
      <c r="F1488" s="4">
        <v>0</v>
      </c>
      <c r="G1488" s="4">
        <v>247</v>
      </c>
      <c r="H1488" s="12" t="str">
        <f t="array" ref="H1488">IF(G1488:G5530="","",_xlfn.XLOOKUP(G1488:G5530,castles_state!A:A,castles_state!D:D,"見つかりません"))</f>
      </c>
      <c r="I1488" s="4"/>
      <c r="J1488" s="12" t="str">
        <f t="array" ref="J1488">IF(I1488:I5530="","",_xlfn.XLOOKUP(I1488:I5530,'参照_姫'!A:A,'参照_姫'!B:B,"見つかりません"))</f>
      </c>
      <c r="K1488" s="4">
        <v>95</v>
      </c>
      <c r="L1488" s="4">
        <v>0</v>
      </c>
      <c r="M1488" s="4"/>
      <c r="N1488" s="4"/>
      <c r="O1488" s="4"/>
      <c r="P1488" s="12" t="str">
        <f t="array" ref="P1488">IF(O1488:O5530="","",_xlfn.XLOOKUP(O1488:O5530,'参照_官位'!A:A,'参照_官位'!B:B,""))</f>
      </c>
      <c r="Q1488" s="12" t="str">
        <f t="array" ref="Q1488">IF(A1488:A5530="","",IFERROR(_xlfn.XLOOKUP(A1488:A5530,castles_state!K:K,castles_state!D:D)&amp;"主",IFERROR(_xlfn.XLOOKUP(A1488:A5530,kunishuClan!D:D,kunishuClan!B:B)&amp;"当主","")))</f>
      </c>
    </row>
    <row r="1489" ht="15.75" customHeight="1">
      <c r="A1489" s="4">
        <v>1032025</v>
      </c>
      <c r="B1489" s="12" t="str">
        <f t="array" ref="B1489">IF(A1489:A5531="","",_xlfn.XLOOKUP(A1489:A5531,'参照_武将'!A:A,'参照_武将'!B:B,"見つかりません"))</f>
      </c>
      <c r="C1489" s="4" t="s">
        <v>192</v>
      </c>
      <c r="D1489" s="4">
        <v>32</v>
      </c>
      <c r="E1489" s="12" t="str">
        <f t="array" ref="E1489">IF(D1489:D5531="","",IFERROR(_xlfn.XLOOKUP(D1489:D5531,'参照_勢力'!A:A,'参照_勢力'!B:B),IFERROR(_xlfn.XLOOKUP(F1489:F5531,kunishuClan!A:A,kunishuClan!B:B),"浪人")))</f>
      </c>
      <c r="F1489" s="4">
        <v>0</v>
      </c>
      <c r="G1489" s="4">
        <v>247</v>
      </c>
      <c r="H1489" s="12" t="str">
        <f t="array" ref="H1489">IF(G1489:G5531="","",_xlfn.XLOOKUP(G1489:G5531,castles_state!A:A,castles_state!D:D,"見つかりません"))</f>
      </c>
      <c r="I1489" s="4"/>
      <c r="J1489" s="12" t="str">
        <f t="array" ref="J1489">IF(I1489:I5531="","",_xlfn.XLOOKUP(I1489:I5531,'参照_姫'!A:A,'参照_姫'!B:B,"見つかりません"))</f>
      </c>
      <c r="K1489" s="4">
        <v>95</v>
      </c>
      <c r="L1489" s="4">
        <v>0</v>
      </c>
      <c r="M1489" s="4"/>
      <c r="N1489" s="4"/>
      <c r="O1489" s="4"/>
      <c r="P1489" s="12" t="str">
        <f t="array" ref="P1489">IF(O1489:O5531="","",_xlfn.XLOOKUP(O1489:O5531,'参照_官位'!A:A,'参照_官位'!B:B,""))</f>
      </c>
      <c r="Q1489" s="12" t="str">
        <f t="array" ref="Q1489">IF(A1489:A5531="","",IFERROR(_xlfn.XLOOKUP(A1489:A5531,castles_state!K:K,castles_state!D:D)&amp;"主",IFERROR(_xlfn.XLOOKUP(A1489:A5531,kunishuClan!D:D,kunishuClan!B:B)&amp;"当主","")))</f>
      </c>
    </row>
    <row r="1490" ht="15.75" customHeight="1">
      <c r="A1490" s="4">
        <v>1032026</v>
      </c>
      <c r="B1490" s="12" t="str">
        <f t="array" ref="B1490">IF(A1490:A5532="","",_xlfn.XLOOKUP(A1490:A5532,'参照_武将'!A:A,'参照_武将'!B:B,"見つかりません"))</f>
      </c>
      <c r="C1490" s="4" t="s">
        <v>192</v>
      </c>
      <c r="D1490" s="4">
        <v>32</v>
      </c>
      <c r="E1490" s="12" t="str">
        <f t="array" ref="E1490">IF(D1490:D5532="","",IFERROR(_xlfn.XLOOKUP(D1490:D5532,'参照_勢力'!A:A,'参照_勢力'!B:B),IFERROR(_xlfn.XLOOKUP(F1490:F5532,kunishuClan!A:A,kunishuClan!B:B),"浪人")))</f>
      </c>
      <c r="F1490" s="4">
        <v>0</v>
      </c>
      <c r="G1490" s="4">
        <v>247</v>
      </c>
      <c r="H1490" s="12" t="str">
        <f t="array" ref="H1490">IF(G1490:G5532="","",_xlfn.XLOOKUP(G1490:G5532,castles_state!A:A,castles_state!D:D,"見つかりません"))</f>
      </c>
      <c r="I1490" s="4"/>
      <c r="J1490" s="12" t="str">
        <f t="array" ref="J1490">IF(I1490:I5532="","",_xlfn.XLOOKUP(I1490:I5532,'参照_姫'!A:A,'参照_姫'!B:B,"見つかりません"))</f>
      </c>
      <c r="K1490" s="4">
        <v>95</v>
      </c>
      <c r="L1490" s="4">
        <v>0</v>
      </c>
      <c r="M1490" s="4"/>
      <c r="N1490" s="4"/>
      <c r="O1490" s="4"/>
      <c r="P1490" s="12" t="str">
        <f t="array" ref="P1490">IF(O1490:O5532="","",_xlfn.XLOOKUP(O1490:O5532,'参照_官位'!A:A,'参照_官位'!B:B,""))</f>
      </c>
      <c r="Q1490" s="12" t="str">
        <f t="array" ref="Q1490">IF(A1490:A5532="","",IFERROR(_xlfn.XLOOKUP(A1490:A5532,castles_state!K:K,castles_state!D:D)&amp;"主",IFERROR(_xlfn.XLOOKUP(A1490:A5532,kunishuClan!D:D,kunishuClan!B:B)&amp;"当主","")))</f>
      </c>
    </row>
    <row r="1491" ht="15.75" customHeight="1">
      <c r="A1491" s="4">
        <v>1032027</v>
      </c>
      <c r="B1491" s="12" t="str">
        <f t="array" ref="B1491">IF(A1491:A5533="","",_xlfn.XLOOKUP(A1491:A5533,'参照_武将'!A:A,'参照_武将'!B:B,"見つかりません"))</f>
      </c>
      <c r="C1491" s="4" t="s">
        <v>192</v>
      </c>
      <c r="D1491" s="4">
        <v>32</v>
      </c>
      <c r="E1491" s="12" t="str">
        <f t="array" ref="E1491">IF(D1491:D5533="","",IFERROR(_xlfn.XLOOKUP(D1491:D5533,'参照_勢力'!A:A,'参照_勢力'!B:B),IFERROR(_xlfn.XLOOKUP(F1491:F5533,kunishuClan!A:A,kunishuClan!B:B),"浪人")))</f>
      </c>
      <c r="F1491" s="4">
        <v>0</v>
      </c>
      <c r="G1491" s="4">
        <v>59</v>
      </c>
      <c r="H1491" s="12" t="str">
        <f t="array" ref="H1491">IF(G1491:G5533="","",_xlfn.XLOOKUP(G1491:G5533,castles_state!A:A,castles_state!D:D,"見つかりません"))</f>
      </c>
      <c r="I1491" s="4"/>
      <c r="J1491" s="12" t="str">
        <f t="array" ref="J1491">IF(I1491:I5533="","",_xlfn.XLOOKUP(I1491:I5533,'参照_姫'!A:A,'参照_姫'!B:B,"見つかりません"))</f>
      </c>
      <c r="K1491" s="4">
        <v>95</v>
      </c>
      <c r="L1491" s="4">
        <v>0</v>
      </c>
      <c r="M1491" s="4" t="b">
        <v>1</v>
      </c>
      <c r="N1491" s="4"/>
      <c r="O1491" s="4"/>
      <c r="P1491" s="12" t="str">
        <f t="array" ref="P1491">IF(O1491:O5533="","",_xlfn.XLOOKUP(O1491:O5533,'参照_官位'!A:A,'参照_官位'!B:B,""))</f>
      </c>
      <c r="Q1491" s="12" t="str">
        <f t="array" ref="Q1491">IF(A1491:A5533="","",IFERROR(_xlfn.XLOOKUP(A1491:A5533,castles_state!K:K,castles_state!D:D)&amp;"主",IFERROR(_xlfn.XLOOKUP(A1491:A5533,kunishuClan!D:D,kunishuClan!B:B)&amp;"当主","")))</f>
      </c>
    </row>
    <row r="1492" ht="15.75" customHeight="1">
      <c r="A1492" s="4">
        <v>1032028</v>
      </c>
      <c r="B1492" s="12" t="str">
        <f t="array" ref="B1492">IF(A1492:A5534="","",_xlfn.XLOOKUP(A1492:A5534,'参照_武将'!A:A,'参照_武将'!B:B,"見つかりません"))</f>
      </c>
      <c r="C1492" s="4" t="s">
        <v>192</v>
      </c>
      <c r="D1492" s="4">
        <v>32</v>
      </c>
      <c r="E1492" s="12" t="str">
        <f t="array" ref="E1492">IF(D1492:D5534="","",IFERROR(_xlfn.XLOOKUP(D1492:D5534,'参照_勢力'!A:A,'参照_勢力'!B:B),IFERROR(_xlfn.XLOOKUP(F1492:F5534,kunishuClan!A:A,kunishuClan!B:B),"浪人")))</f>
      </c>
      <c r="F1492" s="4">
        <v>0</v>
      </c>
      <c r="G1492" s="4">
        <v>59</v>
      </c>
      <c r="H1492" s="12" t="str">
        <f t="array" ref="H1492">IF(G1492:G5534="","",_xlfn.XLOOKUP(G1492:G5534,castles_state!A:A,castles_state!D:D,"見つかりません"))</f>
      </c>
      <c r="I1492" s="4"/>
      <c r="J1492" s="12" t="str">
        <f t="array" ref="J1492">IF(I1492:I5534="","",_xlfn.XLOOKUP(I1492:I5534,'参照_姫'!A:A,'参照_姫'!B:B,"見つかりません"))</f>
      </c>
      <c r="K1492" s="4">
        <v>95</v>
      </c>
      <c r="L1492" s="4">
        <v>0</v>
      </c>
      <c r="M1492" s="4"/>
      <c r="N1492" s="4"/>
      <c r="O1492" s="4"/>
      <c r="P1492" s="12" t="str">
        <f t="array" ref="P1492">IF(O1492:O5534="","",_xlfn.XLOOKUP(O1492:O5534,'参照_官位'!A:A,'参照_官位'!B:B,""))</f>
      </c>
      <c r="Q1492" s="12" t="str">
        <f t="array" ref="Q1492">IF(A1492:A5534="","",IFERROR(_xlfn.XLOOKUP(A1492:A5534,castles_state!K:K,castles_state!D:D)&amp;"主",IFERROR(_xlfn.XLOOKUP(A1492:A5534,kunishuClan!D:D,kunishuClan!B:B)&amp;"当主","")))</f>
      </c>
    </row>
    <row r="1493" ht="15.75" customHeight="1">
      <c r="A1493" s="4">
        <v>1032029</v>
      </c>
      <c r="B1493" s="12" t="str">
        <f t="array" ref="B1493">IF(A1493:A5535="","",_xlfn.XLOOKUP(A1493:A5535,'参照_武将'!A:A,'参照_武将'!B:B,"見つかりません"))</f>
      </c>
      <c r="C1493" s="4" t="s">
        <v>192</v>
      </c>
      <c r="D1493" s="4">
        <v>32</v>
      </c>
      <c r="E1493" s="12" t="str">
        <f t="array" ref="E1493">IF(D1493:D5535="","",IFERROR(_xlfn.XLOOKUP(D1493:D5535,'参照_勢力'!A:A,'参照_勢力'!B:B),IFERROR(_xlfn.XLOOKUP(F1493:F5535,kunishuClan!A:A,kunishuClan!B:B),"浪人")))</f>
      </c>
      <c r="F1493" s="4">
        <v>0</v>
      </c>
      <c r="G1493" s="4">
        <v>59</v>
      </c>
      <c r="H1493" s="12" t="str">
        <f t="array" ref="H1493">IF(G1493:G5535="","",_xlfn.XLOOKUP(G1493:G5535,castles_state!A:A,castles_state!D:D,"見つかりません"))</f>
      </c>
      <c r="I1493" s="4"/>
      <c r="J1493" s="12" t="str">
        <f t="array" ref="J1493">IF(I1493:I5535="","",_xlfn.XLOOKUP(I1493:I5535,'参照_姫'!A:A,'参照_姫'!B:B,"見つかりません"))</f>
      </c>
      <c r="K1493" s="4">
        <v>95</v>
      </c>
      <c r="L1493" s="4">
        <v>0</v>
      </c>
      <c r="M1493" s="4"/>
      <c r="N1493" s="4"/>
      <c r="O1493" s="4"/>
      <c r="P1493" s="12" t="str">
        <f t="array" ref="P1493">IF(O1493:O5535="","",_xlfn.XLOOKUP(O1493:O5535,'参照_官位'!A:A,'参照_官位'!B:B,""))</f>
      </c>
      <c r="Q1493" s="12" t="str">
        <f t="array" ref="Q1493">IF(A1493:A5535="","",IFERROR(_xlfn.XLOOKUP(A1493:A5535,castles_state!K:K,castles_state!D:D)&amp;"主",IFERROR(_xlfn.XLOOKUP(A1493:A5535,kunishuClan!D:D,kunishuClan!B:B)&amp;"当主","")))</f>
      </c>
    </row>
    <row r="1494" ht="15.75" customHeight="1">
      <c r="A1494" s="4">
        <v>1032030</v>
      </c>
      <c r="B1494" s="12" t="str">
        <f t="array" ref="B1494">IF(A1494:A5536="","",_xlfn.XLOOKUP(A1494:A5536,'参照_武将'!A:A,'参照_武将'!B:B,"見つかりません"))</f>
      </c>
      <c r="C1494" s="4" t="s">
        <v>192</v>
      </c>
      <c r="D1494" s="4">
        <v>32</v>
      </c>
      <c r="E1494" s="12" t="str">
        <f t="array" ref="E1494">IF(D1494:D5536="","",IFERROR(_xlfn.XLOOKUP(D1494:D5536,'参照_勢力'!A:A,'参照_勢力'!B:B),IFERROR(_xlfn.XLOOKUP(F1494:F5536,kunishuClan!A:A,kunishuClan!B:B),"浪人")))</f>
      </c>
      <c r="F1494" s="4">
        <v>0</v>
      </c>
      <c r="G1494" s="4">
        <v>59</v>
      </c>
      <c r="H1494" s="12" t="str">
        <f t="array" ref="H1494">IF(G1494:G5536="","",_xlfn.XLOOKUP(G1494:G5536,castles_state!A:A,castles_state!D:D,"見つかりません"))</f>
      </c>
      <c r="I1494" s="4"/>
      <c r="J1494" s="12" t="str">
        <f t="array" ref="J1494">IF(I1494:I5536="","",_xlfn.XLOOKUP(I1494:I5536,'参照_姫'!A:A,'参照_姫'!B:B,"見つかりません"))</f>
      </c>
      <c r="K1494" s="4">
        <v>95</v>
      </c>
      <c r="L1494" s="4">
        <v>0</v>
      </c>
      <c r="M1494" s="4"/>
      <c r="N1494" s="4"/>
      <c r="O1494" s="4"/>
      <c r="P1494" s="12" t="str">
        <f t="array" ref="P1494">IF(O1494:O5536="","",_xlfn.XLOOKUP(O1494:O5536,'参照_官位'!A:A,'参照_官位'!B:B,""))</f>
      </c>
      <c r="Q1494" s="12" t="str">
        <f t="array" ref="Q1494">IF(A1494:A5536="","",IFERROR(_xlfn.XLOOKUP(A1494:A5536,castles_state!K:K,castles_state!D:D)&amp;"主",IFERROR(_xlfn.XLOOKUP(A1494:A5536,kunishuClan!D:D,kunishuClan!B:B)&amp;"当主","")))</f>
      </c>
    </row>
    <row r="1495" ht="15.75" customHeight="1">
      <c r="A1495" s="4">
        <v>1032031</v>
      </c>
      <c r="B1495" s="12" t="str">
        <f t="array" ref="B1495">IF(A1495:A5537="","",_xlfn.XLOOKUP(A1495:A5537,'参照_武将'!A:A,'参照_武将'!B:B,"見つかりません"))</f>
      </c>
      <c r="C1495" s="4" t="s">
        <v>192</v>
      </c>
      <c r="D1495" s="4">
        <v>32</v>
      </c>
      <c r="E1495" s="12" t="str">
        <f t="array" ref="E1495">IF(D1495:D5537="","",IFERROR(_xlfn.XLOOKUP(D1495:D5537,'参照_勢力'!A:A,'参照_勢力'!B:B),IFERROR(_xlfn.XLOOKUP(F1495:F5537,kunishuClan!A:A,kunishuClan!B:B),"浪人")))</f>
      </c>
      <c r="F1495" s="4">
        <v>0</v>
      </c>
      <c r="G1495" s="4">
        <v>59</v>
      </c>
      <c r="H1495" s="12" t="str">
        <f t="array" ref="H1495">IF(G1495:G5537="","",_xlfn.XLOOKUP(G1495:G5537,castles_state!A:A,castles_state!D:D,"見つかりません"))</f>
      </c>
      <c r="I1495" s="4"/>
      <c r="J1495" s="12" t="str">
        <f t="array" ref="J1495">IF(I1495:I5537="","",_xlfn.XLOOKUP(I1495:I5537,'参照_姫'!A:A,'参照_姫'!B:B,"見つかりません"))</f>
      </c>
      <c r="K1495" s="4">
        <v>95</v>
      </c>
      <c r="L1495" s="4">
        <v>500</v>
      </c>
      <c r="M1495" s="4"/>
      <c r="N1495" s="4"/>
      <c r="O1495" s="4"/>
      <c r="P1495" s="12" t="str">
        <f t="array" ref="P1495">IF(O1495:O5537="","",_xlfn.XLOOKUP(O1495:O5537,'参照_官位'!A:A,'参照_官位'!B:B,""))</f>
      </c>
      <c r="Q1495" s="12" t="str">
        <f t="array" ref="Q1495">IF(A1495:A5537="","",IFERROR(_xlfn.XLOOKUP(A1495:A5537,castles_state!K:K,castles_state!D:D)&amp;"主",IFERROR(_xlfn.XLOOKUP(A1495:A5537,kunishuClan!D:D,kunishuClan!B:B)&amp;"当主","")))</f>
      </c>
    </row>
    <row r="1496" ht="15.75" customHeight="1">
      <c r="A1496" s="4">
        <v>1032032</v>
      </c>
      <c r="B1496" s="12" t="str">
        <f t="array" ref="B1496">IF(A1496:A5538="","",_xlfn.XLOOKUP(A1496:A5538,'参照_武将'!A:A,'参照_武将'!B:B,"見つかりません"))</f>
      </c>
      <c r="C1496" s="4" t="s">
        <v>192</v>
      </c>
      <c r="D1496" s="4">
        <v>32</v>
      </c>
      <c r="E1496" s="12" t="str">
        <f t="array" ref="E1496">IF(D1496:D5538="","",IFERROR(_xlfn.XLOOKUP(D1496:D5538,'参照_勢力'!A:A,'参照_勢力'!B:B),IFERROR(_xlfn.XLOOKUP(F1496:F5538,kunishuClan!A:A,kunishuClan!B:B),"浪人")))</f>
      </c>
      <c r="F1496" s="4">
        <v>0</v>
      </c>
      <c r="G1496" s="4">
        <v>59</v>
      </c>
      <c r="H1496" s="12" t="str">
        <f t="array" ref="H1496">IF(G1496:G5538="","",_xlfn.XLOOKUP(G1496:G5538,castles_state!A:A,castles_state!D:D,"見つかりません"))</f>
      </c>
      <c r="I1496" s="4"/>
      <c r="J1496" s="12" t="str">
        <f t="array" ref="J1496">IF(I1496:I5538="","",_xlfn.XLOOKUP(I1496:I5538,'参照_姫'!A:A,'参照_姫'!B:B,"見つかりません"))</f>
      </c>
      <c r="K1496" s="4">
        <v>95</v>
      </c>
      <c r="L1496" s="4">
        <v>0</v>
      </c>
      <c r="M1496" s="4"/>
      <c r="N1496" s="4"/>
      <c r="O1496" s="4"/>
      <c r="P1496" s="12" t="str">
        <f t="array" ref="P1496">IF(O1496:O5538="","",_xlfn.XLOOKUP(O1496:O5538,'参照_官位'!A:A,'参照_官位'!B:B,""))</f>
      </c>
      <c r="Q1496" s="12" t="str">
        <f t="array" ref="Q1496">IF(A1496:A5538="","",IFERROR(_xlfn.XLOOKUP(A1496:A5538,castles_state!K:K,castles_state!D:D)&amp;"主",IFERROR(_xlfn.XLOOKUP(A1496:A5538,kunishuClan!D:D,kunishuClan!B:B)&amp;"当主","")))</f>
      </c>
    </row>
    <row r="1497" ht="15.75" customHeight="1">
      <c r="A1497" s="4">
        <v>1032033</v>
      </c>
      <c r="B1497" s="12" t="str">
        <f t="array" ref="B1497">IF(A1497:A5539="","",_xlfn.XLOOKUP(A1497:A5539,'参照_武将'!A:A,'参照_武将'!B:B,"見つかりません"))</f>
      </c>
      <c r="C1497" s="4" t="s">
        <v>192</v>
      </c>
      <c r="D1497" s="4">
        <v>32</v>
      </c>
      <c r="E1497" s="12" t="str">
        <f t="array" ref="E1497">IF(D1497:D5539="","",IFERROR(_xlfn.XLOOKUP(D1497:D5539,'参照_勢力'!A:A,'参照_勢力'!B:B),IFERROR(_xlfn.XLOOKUP(F1497:F5539,kunishuClan!A:A,kunishuClan!B:B),"浪人")))</f>
      </c>
      <c r="F1497" s="4">
        <v>0</v>
      </c>
      <c r="G1497" s="4">
        <v>59</v>
      </c>
      <c r="H1497" s="12" t="str">
        <f t="array" ref="H1497">IF(G1497:G5539="","",_xlfn.XLOOKUP(G1497:G5539,castles_state!A:A,castles_state!D:D,"見つかりません"))</f>
      </c>
      <c r="I1497" s="4"/>
      <c r="J1497" s="12" t="str">
        <f t="array" ref="J1497">IF(I1497:I5539="","",_xlfn.XLOOKUP(I1497:I5539,'参照_姫'!A:A,'参照_姫'!B:B,"見つかりません"))</f>
      </c>
      <c r="K1497" s="4">
        <v>95</v>
      </c>
      <c r="L1497" s="4">
        <v>0</v>
      </c>
      <c r="M1497" s="4"/>
      <c r="N1497" s="4"/>
      <c r="O1497" s="4"/>
      <c r="P1497" s="12" t="str">
        <f t="array" ref="P1497">IF(O1497:O5539="","",_xlfn.XLOOKUP(O1497:O5539,'参照_官位'!A:A,'参照_官位'!B:B,""))</f>
      </c>
      <c r="Q1497" s="12" t="str">
        <f t="array" ref="Q1497">IF(A1497:A5539="","",IFERROR(_xlfn.XLOOKUP(A1497:A5539,castles_state!K:K,castles_state!D:D)&amp;"主",IFERROR(_xlfn.XLOOKUP(A1497:A5539,kunishuClan!D:D,kunishuClan!B:B)&amp;"当主","")))</f>
      </c>
    </row>
    <row r="1498" ht="15.75" customHeight="1">
      <c r="A1498" s="4">
        <v>1032034</v>
      </c>
      <c r="B1498" s="12" t="str">
        <f t="array" ref="B1498">IF(A1498:A5540="","",_xlfn.XLOOKUP(A1498:A5540,'参照_武将'!A:A,'参照_武将'!B:B,"見つかりません"))</f>
      </c>
      <c r="C1498" s="4" t="s">
        <v>192</v>
      </c>
      <c r="D1498" s="4">
        <v>32</v>
      </c>
      <c r="E1498" s="12" t="str">
        <f t="array" ref="E1498">IF(D1498:D5540="","",IFERROR(_xlfn.XLOOKUP(D1498:D5540,'参照_勢力'!A:A,'参照_勢力'!B:B),IFERROR(_xlfn.XLOOKUP(F1498:F5540,kunishuClan!A:A,kunishuClan!B:B),"浪人")))</f>
      </c>
      <c r="F1498" s="4">
        <v>0</v>
      </c>
      <c r="G1498" s="4">
        <v>247</v>
      </c>
      <c r="H1498" s="12" t="str">
        <f t="array" ref="H1498">IF(G1498:G5540="","",_xlfn.XLOOKUP(G1498:G5540,castles_state!A:A,castles_state!D:D,"見つかりません"))</f>
      </c>
      <c r="I1498" s="4"/>
      <c r="J1498" s="12" t="str">
        <f t="array" ref="J1498">IF(I1498:I5540="","",_xlfn.XLOOKUP(I1498:I5540,'参照_姫'!A:A,'参照_姫'!B:B,"見つかりません"))</f>
      </c>
      <c r="K1498" s="4">
        <v>95</v>
      </c>
      <c r="L1498" s="4">
        <v>0</v>
      </c>
      <c r="M1498" s="4"/>
      <c r="N1498" s="4"/>
      <c r="O1498" s="4"/>
      <c r="P1498" s="12" t="str">
        <f t="array" ref="P1498">IF(O1498:O5540="","",_xlfn.XLOOKUP(O1498:O5540,'参照_官位'!A:A,'参照_官位'!B:B,""))</f>
      </c>
      <c r="Q1498" s="12" t="str">
        <f t="array" ref="Q1498">IF(A1498:A5540="","",IFERROR(_xlfn.XLOOKUP(A1498:A5540,castles_state!K:K,castles_state!D:D)&amp;"主",IFERROR(_xlfn.XLOOKUP(A1498:A5540,kunishuClan!D:D,kunishuClan!B:B)&amp;"当主","")))</f>
      </c>
    </row>
    <row r="1499" ht="15.75" customHeight="1">
      <c r="A1499" s="4">
        <v>1032035</v>
      </c>
      <c r="B1499" s="12" t="str">
        <f t="array" ref="B1499">IF(A1499:A5541="","",_xlfn.XLOOKUP(A1499:A5541,'参照_武将'!A:A,'参照_武将'!B:B,"見つかりません"))</f>
      </c>
      <c r="C1499" s="4" t="s">
        <v>192</v>
      </c>
      <c r="D1499" s="4">
        <v>32</v>
      </c>
      <c r="E1499" s="12" t="str">
        <f t="array" ref="E1499">IF(D1499:D5541="","",IFERROR(_xlfn.XLOOKUP(D1499:D5541,'参照_勢力'!A:A,'参照_勢力'!B:B),IFERROR(_xlfn.XLOOKUP(F1499:F5541,kunishuClan!A:A,kunishuClan!B:B),"浪人")))</f>
      </c>
      <c r="F1499" s="4">
        <v>0</v>
      </c>
      <c r="G1499" s="4">
        <v>59</v>
      </c>
      <c r="H1499" s="12" t="str">
        <f t="array" ref="H1499">IF(G1499:G5541="","",_xlfn.XLOOKUP(G1499:G5541,castles_state!A:A,castles_state!D:D,"見つかりません"))</f>
      </c>
      <c r="I1499" s="4"/>
      <c r="J1499" s="12" t="str">
        <f t="array" ref="J1499">IF(I1499:I5541="","",_xlfn.XLOOKUP(I1499:I5541,'参照_姫'!A:A,'参照_姫'!B:B,"見つかりません"))</f>
      </c>
      <c r="K1499" s="4">
        <v>90</v>
      </c>
      <c r="L1499" s="4">
        <v>0</v>
      </c>
      <c r="M1499" s="4"/>
      <c r="N1499" s="4"/>
      <c r="O1499" s="4"/>
      <c r="P1499" s="12" t="str">
        <f t="array" ref="P1499">IF(O1499:O5541="","",_xlfn.XLOOKUP(O1499:O5541,'参照_官位'!A:A,'参照_官位'!B:B,""))</f>
      </c>
      <c r="Q1499" s="12" t="str">
        <f t="array" ref="Q1499">IF(A1499:A5541="","",IFERROR(_xlfn.XLOOKUP(A1499:A5541,castles_state!K:K,castles_state!D:D)&amp;"主",IFERROR(_xlfn.XLOOKUP(A1499:A5541,kunishuClan!D:D,kunishuClan!B:B)&amp;"当主","")))</f>
      </c>
    </row>
    <row r="1500" ht="15.75" customHeight="1">
      <c r="A1500" s="4">
        <v>1032036</v>
      </c>
      <c r="B1500" s="12" t="str">
        <f t="array" ref="B1500">IF(A1500:A5542="","",_xlfn.XLOOKUP(A1500:A5542,'参照_武将'!A:A,'参照_武将'!B:B,"見つかりません"))</f>
      </c>
      <c r="C1500" s="4" t="s">
        <v>192</v>
      </c>
      <c r="D1500" s="4">
        <v>32</v>
      </c>
      <c r="E1500" s="12" t="str">
        <f t="array" ref="E1500">IF(D1500:D5542="","",IFERROR(_xlfn.XLOOKUP(D1500:D5542,'参照_勢力'!A:A,'参照_勢力'!B:B),IFERROR(_xlfn.XLOOKUP(F1500:F5542,kunishuClan!A:A,kunishuClan!B:B),"浪人")))</f>
      </c>
      <c r="F1500" s="4">
        <v>0</v>
      </c>
      <c r="G1500" s="4">
        <v>59</v>
      </c>
      <c r="H1500" s="12" t="str">
        <f t="array" ref="H1500">IF(G1500:G5542="","",_xlfn.XLOOKUP(G1500:G5542,castles_state!A:A,castles_state!D:D,"見つかりません"))</f>
      </c>
      <c r="I1500" s="4"/>
      <c r="J1500" s="12" t="str">
        <f t="array" ref="J1500">IF(I1500:I5542="","",_xlfn.XLOOKUP(I1500:I5542,'参照_姫'!A:A,'参照_姫'!B:B,"見つかりません"))</f>
      </c>
      <c r="K1500" s="4">
        <v>95</v>
      </c>
      <c r="L1500" s="4">
        <v>0</v>
      </c>
      <c r="M1500" s="4"/>
      <c r="N1500" s="4"/>
      <c r="O1500" s="4"/>
      <c r="P1500" s="12" t="str">
        <f t="array" ref="P1500">IF(O1500:O5542="","",_xlfn.XLOOKUP(O1500:O5542,'参照_官位'!A:A,'参照_官位'!B:B,""))</f>
      </c>
      <c r="Q1500" s="12" t="str">
        <f t="array" ref="Q1500">IF(A1500:A5542="","",IFERROR(_xlfn.XLOOKUP(A1500:A5542,castles_state!K:K,castles_state!D:D)&amp;"主",IFERROR(_xlfn.XLOOKUP(A1500:A5542,kunishuClan!D:D,kunishuClan!B:B)&amp;"当主","")))</f>
      </c>
    </row>
    <row r="1501" ht="15.75" customHeight="1">
      <c r="A1501" s="4">
        <v>1032037</v>
      </c>
      <c r="B1501" s="12" t="str">
        <f t="array" ref="B1501">IF(A1501:A5543="","",_xlfn.XLOOKUP(A1501:A5543,'参照_武将'!A:A,'参照_武将'!B:B,"見つかりません"))</f>
      </c>
      <c r="C1501" s="4" t="s">
        <v>192</v>
      </c>
      <c r="D1501" s="4">
        <v>32</v>
      </c>
      <c r="E1501" s="12" t="str">
        <f t="array" ref="E1501">IF(D1501:D5543="","",IFERROR(_xlfn.XLOOKUP(D1501:D5543,'参照_勢力'!A:A,'参照_勢力'!B:B),IFERROR(_xlfn.XLOOKUP(F1501:F5543,kunishuClan!A:A,kunishuClan!B:B),"浪人")))</f>
      </c>
      <c r="F1501" s="4">
        <v>0</v>
      </c>
      <c r="G1501" s="4">
        <v>59</v>
      </c>
      <c r="H1501" s="12" t="str">
        <f t="array" ref="H1501">IF(G1501:G5543="","",_xlfn.XLOOKUP(G1501:G5543,castles_state!A:A,castles_state!D:D,"見つかりません"))</f>
      </c>
      <c r="I1501" s="4"/>
      <c r="J1501" s="12" t="str">
        <f t="array" ref="J1501">IF(I1501:I5543="","",_xlfn.XLOOKUP(I1501:I5543,'参照_姫'!A:A,'参照_姫'!B:B,"見つかりません"))</f>
      </c>
      <c r="K1501" s="4">
        <v>90</v>
      </c>
      <c r="L1501" s="4">
        <v>0</v>
      </c>
      <c r="M1501" s="4"/>
      <c r="N1501" s="4"/>
      <c r="O1501" s="4"/>
      <c r="P1501" s="12" t="str">
        <f t="array" ref="P1501">IF(O1501:O5543="","",_xlfn.XLOOKUP(O1501:O5543,'参照_官位'!A:A,'参照_官位'!B:B,""))</f>
      </c>
      <c r="Q1501" s="12" t="str">
        <f t="array" ref="Q1501">IF(A1501:A5543="","",IFERROR(_xlfn.XLOOKUP(A1501:A5543,castles_state!K:K,castles_state!D:D)&amp;"主",IFERROR(_xlfn.XLOOKUP(A1501:A5543,kunishuClan!D:D,kunishuClan!B:B)&amp;"当主","")))</f>
      </c>
    </row>
    <row r="1502" ht="15.75" customHeight="1">
      <c r="A1502" s="4">
        <v>1032038</v>
      </c>
      <c r="B1502" s="12" t="str">
        <f t="array" ref="B1502">IF(A1502:A5544="","",_xlfn.XLOOKUP(A1502:A5544,'参照_武将'!A:A,'参照_武将'!B:B,"見つかりません"))</f>
      </c>
      <c r="C1502" s="4" t="s">
        <v>192</v>
      </c>
      <c r="D1502" s="4">
        <v>32</v>
      </c>
      <c r="E1502" s="12" t="str">
        <f t="array" ref="E1502">IF(D1502:D5544="","",IFERROR(_xlfn.XLOOKUP(D1502:D5544,'参照_勢力'!A:A,'参照_勢力'!B:B),IFERROR(_xlfn.XLOOKUP(F1502:F5544,kunishuClan!A:A,kunishuClan!B:B),"浪人")))</f>
      </c>
      <c r="F1502" s="4">
        <v>0</v>
      </c>
      <c r="G1502" s="4">
        <v>59</v>
      </c>
      <c r="H1502" s="12" t="str">
        <f t="array" ref="H1502">IF(G1502:G5544="","",_xlfn.XLOOKUP(G1502:G5544,castles_state!A:A,castles_state!D:D,"見つかりません"))</f>
      </c>
      <c r="I1502" s="4"/>
      <c r="J1502" s="12" t="str">
        <f t="array" ref="J1502">IF(I1502:I5544="","",_xlfn.XLOOKUP(I1502:I5544,'参照_姫'!A:A,'参照_姫'!B:B,"見つかりません"))</f>
      </c>
      <c r="K1502" s="4">
        <v>90</v>
      </c>
      <c r="L1502" s="4">
        <v>0</v>
      </c>
      <c r="M1502" s="4"/>
      <c r="N1502" s="4"/>
      <c r="O1502" s="4"/>
      <c r="P1502" s="12" t="str">
        <f t="array" ref="P1502">IF(O1502:O5544="","",_xlfn.XLOOKUP(O1502:O5544,'参照_官位'!A:A,'参照_官位'!B:B,""))</f>
      </c>
      <c r="Q1502" s="12" t="str">
        <f t="array" ref="Q1502">IF(A1502:A5544="","",IFERROR(_xlfn.XLOOKUP(A1502:A5544,castles_state!K:K,castles_state!D:D)&amp;"主",IFERROR(_xlfn.XLOOKUP(A1502:A5544,kunishuClan!D:D,kunishuClan!B:B)&amp;"当主","")))</f>
      </c>
    </row>
    <row r="1503" ht="15.75" customHeight="1">
      <c r="A1503" s="4">
        <v>1032039</v>
      </c>
      <c r="B1503" s="12" t="str">
        <f t="array" ref="B1503">IF(A1503:A5545="","",_xlfn.XLOOKUP(A1503:A5545,'参照_武将'!A:A,'参照_武将'!B:B,"見つかりません"))</f>
      </c>
      <c r="C1503" s="4" t="s">
        <v>192</v>
      </c>
      <c r="D1503" s="4">
        <v>32</v>
      </c>
      <c r="E1503" s="12" t="str">
        <f t="array" ref="E1503">IF(D1503:D5545="","",IFERROR(_xlfn.XLOOKUP(D1503:D5545,'参照_勢力'!A:A,'参照_勢力'!B:B),IFERROR(_xlfn.XLOOKUP(F1503:F5545,kunishuClan!A:A,kunishuClan!B:B),"浪人")))</f>
      </c>
      <c r="F1503" s="4">
        <v>0</v>
      </c>
      <c r="G1503" s="4">
        <v>59</v>
      </c>
      <c r="H1503" s="12" t="str">
        <f t="array" ref="H1503">IF(G1503:G5545="","",_xlfn.XLOOKUP(G1503:G5545,castles_state!A:A,castles_state!D:D,"見つかりません"))</f>
      </c>
      <c r="I1503" s="4"/>
      <c r="J1503" s="12" t="str">
        <f t="array" ref="J1503">IF(I1503:I5545="","",_xlfn.XLOOKUP(I1503:I5545,'参照_姫'!A:A,'参照_姫'!B:B,"見つかりません"))</f>
      </c>
      <c r="K1503" s="4">
        <v>90</v>
      </c>
      <c r="L1503" s="4">
        <v>0</v>
      </c>
      <c r="M1503" s="4"/>
      <c r="N1503" s="4"/>
      <c r="O1503" s="4"/>
      <c r="P1503" s="12" t="str">
        <f t="array" ref="P1503">IF(O1503:O5545="","",_xlfn.XLOOKUP(O1503:O5545,'参照_官位'!A:A,'参照_官位'!B:B,""))</f>
      </c>
      <c r="Q1503" s="12" t="str">
        <f t="array" ref="Q1503">IF(A1503:A5545="","",IFERROR(_xlfn.XLOOKUP(A1503:A5545,castles_state!K:K,castles_state!D:D)&amp;"主",IFERROR(_xlfn.XLOOKUP(A1503:A5545,kunishuClan!D:D,kunishuClan!B:B)&amp;"当主","")))</f>
      </c>
    </row>
    <row r="1504" ht="15.75" customHeight="1">
      <c r="A1504" s="4">
        <v>1032040</v>
      </c>
      <c r="B1504" s="12" t="str">
        <f t="array" ref="B1504">IF(A1504:A5546="","",_xlfn.XLOOKUP(A1504:A5546,'参照_武将'!A:A,'参照_武将'!B:B,"見つかりません"))</f>
      </c>
      <c r="C1504" s="4" t="s">
        <v>192</v>
      </c>
      <c r="D1504" s="4">
        <v>32</v>
      </c>
      <c r="E1504" s="12" t="str">
        <f t="array" ref="E1504">IF(D1504:D5546="","",IFERROR(_xlfn.XLOOKUP(D1504:D5546,'参照_勢力'!A:A,'参照_勢力'!B:B),IFERROR(_xlfn.XLOOKUP(F1504:F5546,kunishuClan!A:A,kunishuClan!B:B),"浪人")))</f>
      </c>
      <c r="F1504" s="4">
        <v>0</v>
      </c>
      <c r="G1504" s="4">
        <v>59</v>
      </c>
      <c r="H1504" s="12" t="str">
        <f t="array" ref="H1504">IF(G1504:G5546="","",_xlfn.XLOOKUP(G1504:G5546,castles_state!A:A,castles_state!D:D,"見つかりません"))</f>
      </c>
      <c r="I1504" s="4"/>
      <c r="J1504" s="12" t="str">
        <f t="array" ref="J1504">IF(I1504:I5546="","",_xlfn.XLOOKUP(I1504:I5546,'参照_姫'!A:A,'参照_姫'!B:B,"見つかりません"))</f>
      </c>
      <c r="K1504" s="4">
        <v>90</v>
      </c>
      <c r="L1504" s="4">
        <v>0</v>
      </c>
      <c r="M1504" s="4"/>
      <c r="N1504" s="4"/>
      <c r="O1504" s="4"/>
      <c r="P1504" s="12" t="str">
        <f t="array" ref="P1504">IF(O1504:O5546="","",_xlfn.XLOOKUP(O1504:O5546,'参照_官位'!A:A,'参照_官位'!B:B,""))</f>
      </c>
      <c r="Q1504" s="12" t="str">
        <f t="array" ref="Q1504">IF(A1504:A5546="","",IFERROR(_xlfn.XLOOKUP(A1504:A5546,castles_state!K:K,castles_state!D:D)&amp;"主",IFERROR(_xlfn.XLOOKUP(A1504:A5546,kunishuClan!D:D,kunishuClan!B:B)&amp;"当主","")))</f>
      </c>
    </row>
    <row r="1505" ht="15.75" customHeight="1">
      <c r="A1505" s="4">
        <v>1032041</v>
      </c>
      <c r="B1505" s="12" t="str">
        <f t="array" ref="B1505">IF(A1505:A5547="","",_xlfn.XLOOKUP(A1505:A5547,'参照_武将'!A:A,'参照_武将'!B:B,"見つかりません"))</f>
      </c>
      <c r="C1505" s="4" t="s">
        <v>192</v>
      </c>
      <c r="D1505" s="4">
        <v>32</v>
      </c>
      <c r="E1505" s="12" t="str">
        <f t="array" ref="E1505">IF(D1505:D5547="","",IFERROR(_xlfn.XLOOKUP(D1505:D5547,'参照_勢力'!A:A,'参照_勢力'!B:B),IFERROR(_xlfn.XLOOKUP(F1505:F5547,kunishuClan!A:A,kunishuClan!B:B),"浪人")))</f>
      </c>
      <c r="F1505" s="4">
        <v>0</v>
      </c>
      <c r="G1505" s="4">
        <v>59</v>
      </c>
      <c r="H1505" s="12" t="str">
        <f t="array" ref="H1505">IF(G1505:G5547="","",_xlfn.XLOOKUP(G1505:G5547,castles_state!A:A,castles_state!D:D,"見つかりません"))</f>
      </c>
      <c r="I1505" s="4"/>
      <c r="J1505" s="12" t="str">
        <f t="array" ref="J1505">IF(I1505:I5547="","",_xlfn.XLOOKUP(I1505:I5547,'参照_姫'!A:A,'参照_姫'!B:B,"見つかりません"))</f>
      </c>
      <c r="K1505" s="4">
        <v>95</v>
      </c>
      <c r="L1505" s="4">
        <v>0</v>
      </c>
      <c r="M1505" s="4"/>
      <c r="N1505" s="4"/>
      <c r="O1505" s="4"/>
      <c r="P1505" s="12" t="str">
        <f t="array" ref="P1505">IF(O1505:O5547="","",_xlfn.XLOOKUP(O1505:O5547,'参照_官位'!A:A,'参照_官位'!B:B,""))</f>
      </c>
      <c r="Q1505" s="12" t="str">
        <f t="array" ref="Q1505">IF(A1505:A5547="","",IFERROR(_xlfn.XLOOKUP(A1505:A5547,castles_state!K:K,castles_state!D:D)&amp;"主",IFERROR(_xlfn.XLOOKUP(A1505:A5547,kunishuClan!D:D,kunishuClan!B:B)&amp;"当主","")))</f>
      </c>
    </row>
    <row r="1506" ht="15.75" customHeight="1">
      <c r="A1506" s="4">
        <v>1032042</v>
      </c>
      <c r="B1506" s="12" t="str">
        <f t="array" ref="B1506">IF(A1506:A5548="","",_xlfn.XLOOKUP(A1506:A5548,'参照_武将'!A:A,'参照_武将'!B:B,"見つかりません"))</f>
      </c>
      <c r="C1506" s="4" t="s">
        <v>192</v>
      </c>
      <c r="D1506" s="4">
        <v>32</v>
      </c>
      <c r="E1506" s="12" t="str">
        <f t="array" ref="E1506">IF(D1506:D5548="","",IFERROR(_xlfn.XLOOKUP(D1506:D5548,'参照_勢力'!A:A,'参照_勢力'!B:B),IFERROR(_xlfn.XLOOKUP(F1506:F5548,kunishuClan!A:A,kunishuClan!B:B),"浪人")))</f>
      </c>
      <c r="F1506" s="4">
        <v>0</v>
      </c>
      <c r="G1506" s="4">
        <v>59</v>
      </c>
      <c r="H1506" s="12" t="str">
        <f t="array" ref="H1506">IF(G1506:G5548="","",_xlfn.XLOOKUP(G1506:G5548,castles_state!A:A,castles_state!D:D,"見つかりません"))</f>
      </c>
      <c r="I1506" s="4"/>
      <c r="J1506" s="12" t="str">
        <f t="array" ref="J1506">IF(I1506:I5548="","",_xlfn.XLOOKUP(I1506:I5548,'参照_姫'!A:A,'参照_姫'!B:B,"見つかりません"))</f>
      </c>
      <c r="K1506" s="4">
        <v>95</v>
      </c>
      <c r="L1506" s="4">
        <v>0</v>
      </c>
      <c r="M1506" s="4"/>
      <c r="N1506" s="4"/>
      <c r="O1506" s="4"/>
      <c r="P1506" s="12" t="str">
        <f t="array" ref="P1506">IF(O1506:O5548="","",_xlfn.XLOOKUP(O1506:O5548,'参照_官位'!A:A,'参照_官位'!B:B,""))</f>
      </c>
      <c r="Q1506" s="12" t="str">
        <f t="array" ref="Q1506">IF(A1506:A5548="","",IFERROR(_xlfn.XLOOKUP(A1506:A5548,castles_state!K:K,castles_state!D:D)&amp;"主",IFERROR(_xlfn.XLOOKUP(A1506:A5548,kunishuClan!D:D,kunishuClan!B:B)&amp;"当主","")))</f>
      </c>
    </row>
    <row r="1507" ht="15.75" customHeight="1">
      <c r="A1507" s="4">
        <v>1032043</v>
      </c>
      <c r="B1507" s="12" t="str">
        <f t="array" ref="B1507">IF(A1507:A5549="","",_xlfn.XLOOKUP(A1507:A5549,'参照_武将'!A:A,'参照_武将'!B:B,"見つかりません"))</f>
      </c>
      <c r="C1507" s="4" t="s">
        <v>192</v>
      </c>
      <c r="D1507" s="4">
        <v>32</v>
      </c>
      <c r="E1507" s="12" t="str">
        <f t="array" ref="E1507">IF(D1507:D5549="","",IFERROR(_xlfn.XLOOKUP(D1507:D5549,'参照_勢力'!A:A,'参照_勢力'!B:B),IFERROR(_xlfn.XLOOKUP(F1507:F5549,kunishuClan!A:A,kunishuClan!B:B),"浪人")))</f>
      </c>
      <c r="F1507" s="4">
        <v>0</v>
      </c>
      <c r="G1507" s="4">
        <v>59</v>
      </c>
      <c r="H1507" s="12" t="str">
        <f t="array" ref="H1507">IF(G1507:G5549="","",_xlfn.XLOOKUP(G1507:G5549,castles_state!A:A,castles_state!D:D,"見つかりません"))</f>
      </c>
      <c r="I1507" s="4"/>
      <c r="J1507" s="12" t="str">
        <f t="array" ref="J1507">IF(I1507:I5549="","",_xlfn.XLOOKUP(I1507:I5549,'参照_姫'!A:A,'参照_姫'!B:B,"見つかりません"))</f>
      </c>
      <c r="K1507" s="4">
        <v>95</v>
      </c>
      <c r="L1507" s="4">
        <v>0</v>
      </c>
      <c r="M1507" s="4"/>
      <c r="N1507" s="4"/>
      <c r="O1507" s="4"/>
      <c r="P1507" s="12" t="str">
        <f t="array" ref="P1507">IF(O1507:O5549="","",_xlfn.XLOOKUP(O1507:O5549,'参照_官位'!A:A,'参照_官位'!B:B,""))</f>
      </c>
      <c r="Q1507" s="12" t="str">
        <f t="array" ref="Q1507">IF(A1507:A5549="","",IFERROR(_xlfn.XLOOKUP(A1507:A5549,castles_state!K:K,castles_state!D:D)&amp;"主",IFERROR(_xlfn.XLOOKUP(A1507:A5549,kunishuClan!D:D,kunishuClan!B:B)&amp;"当主","")))</f>
      </c>
    </row>
    <row r="1508" ht="15.75" customHeight="1">
      <c r="A1508" s="4">
        <v>1032044</v>
      </c>
      <c r="B1508" s="12" t="str">
        <f t="array" ref="B1508">IF(A1508:A5550="","",_xlfn.XLOOKUP(A1508:A5550,'参照_武将'!A:A,'参照_武将'!B:B,"見つかりません"))</f>
      </c>
      <c r="C1508" s="4" t="s">
        <v>192</v>
      </c>
      <c r="D1508" s="4">
        <v>32</v>
      </c>
      <c r="E1508" s="12" t="str">
        <f t="array" ref="E1508">IF(D1508:D5550="","",IFERROR(_xlfn.XLOOKUP(D1508:D5550,'参照_勢力'!A:A,'参照_勢力'!B:B),IFERROR(_xlfn.XLOOKUP(F1508:F5550,kunishuClan!A:A,kunishuClan!B:B),"浪人")))</f>
      </c>
      <c r="F1508" s="4">
        <v>0</v>
      </c>
      <c r="G1508" s="4">
        <v>59</v>
      </c>
      <c r="H1508" s="12" t="str">
        <f t="array" ref="H1508">IF(G1508:G5550="","",_xlfn.XLOOKUP(G1508:G5550,castles_state!A:A,castles_state!D:D,"見つかりません"))</f>
      </c>
      <c r="I1508" s="4"/>
      <c r="J1508" s="12" t="str">
        <f t="array" ref="J1508">IF(I1508:I5550="","",_xlfn.XLOOKUP(I1508:I5550,'参照_姫'!A:A,'参照_姫'!B:B,"見つかりません"))</f>
      </c>
      <c r="K1508" s="4">
        <v>95</v>
      </c>
      <c r="L1508" s="4">
        <v>0</v>
      </c>
      <c r="M1508" s="4"/>
      <c r="N1508" s="4"/>
      <c r="O1508" s="4"/>
      <c r="P1508" s="12" t="str">
        <f t="array" ref="P1508">IF(O1508:O5550="","",_xlfn.XLOOKUP(O1508:O5550,'参照_官位'!A:A,'参照_官位'!B:B,""))</f>
      </c>
      <c r="Q1508" s="12" t="str">
        <f t="array" ref="Q1508">IF(A1508:A5550="","",IFERROR(_xlfn.XLOOKUP(A1508:A5550,castles_state!K:K,castles_state!D:D)&amp;"主",IFERROR(_xlfn.XLOOKUP(A1508:A5550,kunishuClan!D:D,kunishuClan!B:B)&amp;"当主","")))</f>
      </c>
    </row>
    <row r="1509" ht="15.75" customHeight="1">
      <c r="A1509" s="4">
        <v>1032045</v>
      </c>
      <c r="B1509" s="12" t="str">
        <f t="array" ref="B1509">IF(A1509:A5551="","",_xlfn.XLOOKUP(A1509:A5551,'参照_武将'!A:A,'参照_武将'!B:B,"見つかりません"))</f>
      </c>
      <c r="C1509" s="4" t="s">
        <v>192</v>
      </c>
      <c r="D1509" s="4">
        <v>32</v>
      </c>
      <c r="E1509" s="12" t="str">
        <f t="array" ref="E1509">IF(D1509:D5551="","",IFERROR(_xlfn.XLOOKUP(D1509:D5551,'参照_勢力'!A:A,'参照_勢力'!B:B),IFERROR(_xlfn.XLOOKUP(F1509:F5551,kunishuClan!A:A,kunishuClan!B:B),"浪人")))</f>
      </c>
      <c r="F1509" s="4">
        <v>0</v>
      </c>
      <c r="G1509" s="4">
        <v>59</v>
      </c>
      <c r="H1509" s="12" t="str">
        <f t="array" ref="H1509">IF(G1509:G5551="","",_xlfn.XLOOKUP(G1509:G5551,castles_state!A:A,castles_state!D:D,"見つかりません"))</f>
      </c>
      <c r="I1509" s="4"/>
      <c r="J1509" s="12" t="str">
        <f t="array" ref="J1509">IF(I1509:I5551="","",_xlfn.XLOOKUP(I1509:I5551,'参照_姫'!A:A,'参照_姫'!B:B,"見つかりません"))</f>
      </c>
      <c r="K1509" s="4">
        <v>95</v>
      </c>
      <c r="L1509" s="4">
        <v>0</v>
      </c>
      <c r="M1509" s="4"/>
      <c r="N1509" s="4"/>
      <c r="O1509" s="4"/>
      <c r="P1509" s="12" t="str">
        <f t="array" ref="P1509">IF(O1509:O5551="","",_xlfn.XLOOKUP(O1509:O5551,'参照_官位'!A:A,'参照_官位'!B:B,""))</f>
      </c>
      <c r="Q1509" s="12" t="str">
        <f t="array" ref="Q1509">IF(A1509:A5551="","",IFERROR(_xlfn.XLOOKUP(A1509:A5551,castles_state!K:K,castles_state!D:D)&amp;"主",IFERROR(_xlfn.XLOOKUP(A1509:A5551,kunishuClan!D:D,kunishuClan!B:B)&amp;"当主","")))</f>
      </c>
    </row>
    <row r="1510" ht="15.75" customHeight="1">
      <c r="A1510" s="4">
        <v>1032046</v>
      </c>
      <c r="B1510" s="12" t="str">
        <f t="array" ref="B1510">IF(A1510:A5552="","",_xlfn.XLOOKUP(A1510:A5552,'参照_武将'!A:A,'参照_武将'!B:B,"見つかりません"))</f>
      </c>
      <c r="C1510" s="4" t="s">
        <v>192</v>
      </c>
      <c r="D1510" s="4">
        <v>32</v>
      </c>
      <c r="E1510" s="12" t="str">
        <f t="array" ref="E1510">IF(D1510:D5552="","",IFERROR(_xlfn.XLOOKUP(D1510:D5552,'参照_勢力'!A:A,'参照_勢力'!B:B),IFERROR(_xlfn.XLOOKUP(F1510:F5552,kunishuClan!A:A,kunishuClan!B:B),"浪人")))</f>
      </c>
      <c r="F1510" s="4">
        <v>0</v>
      </c>
      <c r="G1510" s="4">
        <v>59</v>
      </c>
      <c r="H1510" s="12" t="str">
        <f t="array" ref="H1510">IF(G1510:G5552="","",_xlfn.XLOOKUP(G1510:G5552,castles_state!A:A,castles_state!D:D,"見つかりません"))</f>
      </c>
      <c r="I1510" s="4"/>
      <c r="J1510" s="12" t="str">
        <f t="array" ref="J1510">IF(I1510:I5552="","",_xlfn.XLOOKUP(I1510:I5552,'参照_姫'!A:A,'参照_姫'!B:B,"見つかりません"))</f>
      </c>
      <c r="K1510" s="4">
        <v>85</v>
      </c>
      <c r="L1510" s="4">
        <v>0</v>
      </c>
      <c r="M1510" s="4"/>
      <c r="N1510" s="4"/>
      <c r="O1510" s="4"/>
      <c r="P1510" s="12" t="str">
        <f t="array" ref="P1510">IF(O1510:O5552="","",_xlfn.XLOOKUP(O1510:O5552,'参照_官位'!A:A,'参照_官位'!B:B,""))</f>
      </c>
      <c r="Q1510" s="12" t="str">
        <f t="array" ref="Q1510">IF(A1510:A5552="","",IFERROR(_xlfn.XLOOKUP(A1510:A5552,castles_state!K:K,castles_state!D:D)&amp;"主",IFERROR(_xlfn.XLOOKUP(A1510:A5552,kunishuClan!D:D,kunishuClan!B:B)&amp;"当主","")))</f>
      </c>
    </row>
    <row r="1511" ht="15.75" customHeight="1">
      <c r="A1511" s="4">
        <v>1032047</v>
      </c>
      <c r="B1511" s="12" t="str">
        <f t="array" ref="B1511">IF(A1511:A5553="","",_xlfn.XLOOKUP(A1511:A5553,'参照_武将'!A:A,'参照_武将'!B:B,"見つかりません"))</f>
      </c>
      <c r="C1511" s="4" t="s">
        <v>192</v>
      </c>
      <c r="D1511" s="4">
        <v>32</v>
      </c>
      <c r="E1511" s="12" t="str">
        <f t="array" ref="E1511">IF(D1511:D5553="","",IFERROR(_xlfn.XLOOKUP(D1511:D5553,'参照_勢力'!A:A,'参照_勢力'!B:B),IFERROR(_xlfn.XLOOKUP(F1511:F5553,kunishuClan!A:A,kunishuClan!B:B),"浪人")))</f>
      </c>
      <c r="F1511" s="4">
        <v>0</v>
      </c>
      <c r="G1511" s="4">
        <v>59</v>
      </c>
      <c r="H1511" s="12" t="str">
        <f t="array" ref="H1511">IF(G1511:G5553="","",_xlfn.XLOOKUP(G1511:G5553,castles_state!A:A,castles_state!D:D,"見つかりません"))</f>
      </c>
      <c r="I1511" s="4"/>
      <c r="J1511" s="12" t="str">
        <f t="array" ref="J1511">IF(I1511:I5553="","",_xlfn.XLOOKUP(I1511:I5553,'参照_姫'!A:A,'参照_姫'!B:B,"見つかりません"))</f>
      </c>
      <c r="K1511" s="4">
        <v>85</v>
      </c>
      <c r="L1511" s="4">
        <v>0</v>
      </c>
      <c r="M1511" s="4"/>
      <c r="N1511" s="4"/>
      <c r="O1511" s="4"/>
      <c r="P1511" s="12" t="str">
        <f t="array" ref="P1511">IF(O1511:O5553="","",_xlfn.XLOOKUP(O1511:O5553,'参照_官位'!A:A,'参照_官位'!B:B,""))</f>
      </c>
      <c r="Q1511" s="12" t="str">
        <f t="array" ref="Q1511">IF(A1511:A5553="","",IFERROR(_xlfn.XLOOKUP(A1511:A5553,castles_state!K:K,castles_state!D:D)&amp;"主",IFERROR(_xlfn.XLOOKUP(A1511:A5553,kunishuClan!D:D,kunishuClan!B:B)&amp;"当主","")))</f>
      </c>
    </row>
    <row r="1512" ht="15.75" customHeight="1">
      <c r="A1512" s="4">
        <v>1032048</v>
      </c>
      <c r="B1512" s="12" t="str">
        <f t="array" ref="B1512">IF(A1512:A5554="","",_xlfn.XLOOKUP(A1512:A5554,'参照_武将'!A:A,'参照_武将'!B:B,"見つかりません"))</f>
      </c>
      <c r="C1512" s="4" t="s">
        <v>192</v>
      </c>
      <c r="D1512" s="4">
        <v>32</v>
      </c>
      <c r="E1512" s="12" t="str">
        <f t="array" ref="E1512">IF(D1512:D5554="","",IFERROR(_xlfn.XLOOKUP(D1512:D5554,'参照_勢力'!A:A,'参照_勢力'!B:B),IFERROR(_xlfn.XLOOKUP(F1512:F5554,kunishuClan!A:A,kunishuClan!B:B),"浪人")))</f>
      </c>
      <c r="F1512" s="4">
        <v>0</v>
      </c>
      <c r="G1512" s="4">
        <v>59</v>
      </c>
      <c r="H1512" s="12" t="str">
        <f t="array" ref="H1512">IF(G1512:G5554="","",_xlfn.XLOOKUP(G1512:G5554,castles_state!A:A,castles_state!D:D,"見つかりません"))</f>
      </c>
      <c r="I1512" s="4"/>
      <c r="J1512" s="12" t="str">
        <f t="array" ref="J1512">IF(I1512:I5554="","",_xlfn.XLOOKUP(I1512:I5554,'参照_姫'!A:A,'参照_姫'!B:B,"見つかりません"))</f>
      </c>
      <c r="K1512" s="4">
        <v>95</v>
      </c>
      <c r="L1512" s="4">
        <v>0</v>
      </c>
      <c r="M1512" s="4"/>
      <c r="N1512" s="4"/>
      <c r="O1512" s="4"/>
      <c r="P1512" s="12" t="str">
        <f t="array" ref="P1512">IF(O1512:O5554="","",_xlfn.XLOOKUP(O1512:O5554,'参照_官位'!A:A,'参照_官位'!B:B,""))</f>
      </c>
      <c r="Q1512" s="12" t="str">
        <f t="array" ref="Q1512">IF(A1512:A5554="","",IFERROR(_xlfn.XLOOKUP(A1512:A5554,castles_state!K:K,castles_state!D:D)&amp;"主",IFERROR(_xlfn.XLOOKUP(A1512:A5554,kunishuClan!D:D,kunishuClan!B:B)&amp;"当主","")))</f>
      </c>
    </row>
    <row r="1513" ht="15.75" customHeight="1">
      <c r="A1513" s="4">
        <v>1032049</v>
      </c>
      <c r="B1513" s="12" t="str">
        <f t="array" ref="B1513">IF(A1513:A5555="","",_xlfn.XLOOKUP(A1513:A5555,'参照_武将'!A:A,'参照_武将'!B:B,"見つかりません"))</f>
      </c>
      <c r="C1513" s="4" t="s">
        <v>192</v>
      </c>
      <c r="D1513" s="4">
        <v>32</v>
      </c>
      <c r="E1513" s="12" t="str">
        <f t="array" ref="E1513">IF(D1513:D5555="","",IFERROR(_xlfn.XLOOKUP(D1513:D5555,'参照_勢力'!A:A,'参照_勢力'!B:B),IFERROR(_xlfn.XLOOKUP(F1513:F5555,kunishuClan!A:A,kunishuClan!B:B),"浪人")))</f>
      </c>
      <c r="F1513" s="4">
        <v>0</v>
      </c>
      <c r="G1513" s="4">
        <v>60</v>
      </c>
      <c r="H1513" s="12" t="str">
        <f t="array" ref="H1513">IF(G1513:G5555="","",_xlfn.XLOOKUP(G1513:G5555,castles_state!A:A,castles_state!D:D,"見つかりません"))</f>
      </c>
      <c r="I1513" s="4"/>
      <c r="J1513" s="12" t="str">
        <f t="array" ref="J1513">IF(I1513:I5555="","",_xlfn.XLOOKUP(I1513:I5555,'参照_姫'!A:A,'参照_姫'!B:B,"見つかりません"))</f>
      </c>
      <c r="K1513" s="4">
        <v>95</v>
      </c>
      <c r="L1513" s="4">
        <v>0</v>
      </c>
      <c r="M1513" s="4"/>
      <c r="N1513" s="4"/>
      <c r="O1513" s="4"/>
      <c r="P1513" s="12" t="str">
        <f t="array" ref="P1513">IF(O1513:O5555="","",_xlfn.XLOOKUP(O1513:O5555,'参照_官位'!A:A,'参照_官位'!B:B,""))</f>
      </c>
      <c r="Q1513" s="12" t="str">
        <f t="array" ref="Q1513">IF(A1513:A5555="","",IFERROR(_xlfn.XLOOKUP(A1513:A5555,castles_state!K:K,castles_state!D:D)&amp;"主",IFERROR(_xlfn.XLOOKUP(A1513:A5555,kunishuClan!D:D,kunishuClan!B:B)&amp;"当主","")))</f>
      </c>
    </row>
    <row r="1514" ht="15.75" customHeight="1">
      <c r="A1514" s="4">
        <v>1032050</v>
      </c>
      <c r="B1514" s="12" t="str">
        <f t="array" ref="B1514">IF(A1514:A5556="","",_xlfn.XLOOKUP(A1514:A5556,'参照_武将'!A:A,'参照_武将'!B:B,"見つかりません"))</f>
      </c>
      <c r="C1514" s="4" t="s">
        <v>192</v>
      </c>
      <c r="D1514" s="4">
        <v>32</v>
      </c>
      <c r="E1514" s="12" t="str">
        <f t="array" ref="E1514">IF(D1514:D5556="","",IFERROR(_xlfn.XLOOKUP(D1514:D5556,'参照_勢力'!A:A,'参照_勢力'!B:B),IFERROR(_xlfn.XLOOKUP(F1514:F5556,kunishuClan!A:A,kunishuClan!B:B),"浪人")))</f>
      </c>
      <c r="F1514" s="4">
        <v>0</v>
      </c>
      <c r="G1514" s="4">
        <v>64</v>
      </c>
      <c r="H1514" s="12" t="str">
        <f t="array" ref="H1514">IF(G1514:G5556="","",_xlfn.XLOOKUP(G1514:G5556,castles_state!A:A,castles_state!D:D,"見つかりません"))</f>
      </c>
      <c r="I1514" s="4"/>
      <c r="J1514" s="12" t="str">
        <f t="array" ref="J1514">IF(I1514:I5556="","",_xlfn.XLOOKUP(I1514:I5556,'参照_姫'!A:A,'参照_姫'!B:B,"見つかりません"))</f>
      </c>
      <c r="K1514" s="4">
        <v>95</v>
      </c>
      <c r="L1514" s="4">
        <v>500</v>
      </c>
      <c r="M1514" s="4"/>
      <c r="N1514" s="4"/>
      <c r="O1514" s="4"/>
      <c r="P1514" s="12" t="str">
        <f t="array" ref="P1514">IF(O1514:O5556="","",_xlfn.XLOOKUP(O1514:O5556,'参照_官位'!A:A,'参照_官位'!B:B,""))</f>
      </c>
      <c r="Q1514" s="12" t="str">
        <f t="array" ref="Q1514">IF(A1514:A5556="","",IFERROR(_xlfn.XLOOKUP(A1514:A5556,castles_state!K:K,castles_state!D:D)&amp;"主",IFERROR(_xlfn.XLOOKUP(A1514:A5556,kunishuClan!D:D,kunishuClan!B:B)&amp;"当主","")))</f>
      </c>
    </row>
    <row r="1515" ht="15.75" customHeight="1">
      <c r="A1515" s="4">
        <v>1033001</v>
      </c>
      <c r="B1515" s="12" t="str">
        <f t="array" ref="B1515">IF(A1515:A5557="","",_xlfn.XLOOKUP(A1515:A5557,'参照_武将'!A:A,'参照_武将'!B:B,"見つかりません"))</f>
      </c>
      <c r="C1515" s="4" t="s">
        <v>196</v>
      </c>
      <c r="D1515" s="4">
        <v>33</v>
      </c>
      <c r="E1515" s="12" t="str">
        <f t="array" ref="E1515">IF(D1515:D5557="","",IFERROR(_xlfn.XLOOKUP(D1515:D5557,'参照_勢力'!A:A,'参照_勢力'!B:B),IFERROR(_xlfn.XLOOKUP(F1515:F5557,kunishuClan!A:A,kunishuClan!B:B),"浪人")))</f>
      </c>
      <c r="F1515" s="4">
        <v>0</v>
      </c>
      <c r="G1515" s="4">
        <v>61</v>
      </c>
      <c r="H1515" s="12" t="str">
        <f t="array" ref="H1515">IF(G1515:G5557="","",_xlfn.XLOOKUP(G1515:G5557,castles_state!A:A,castles_state!D:D,"見つかりません"))</f>
      </c>
      <c r="I1515" s="4"/>
      <c r="J1515" s="12" t="str">
        <f t="array" ref="J1515">IF(I1515:I5557="","",_xlfn.XLOOKUP(I1515:I5557,'参照_姫'!A:A,'参照_姫'!B:B,"見つかりません"))</f>
      </c>
      <c r="K1515" s="4">
        <v>95</v>
      </c>
      <c r="L1515" s="4">
        <v>0</v>
      </c>
      <c r="M1515" s="4"/>
      <c r="N1515" s="4"/>
      <c r="O1515" s="4"/>
      <c r="P1515" s="12" t="str">
        <f t="array" ref="P1515">IF(O1515:O5557="","",_xlfn.XLOOKUP(O1515:O5557,'参照_官位'!A:A,'参照_官位'!B:B,""))</f>
      </c>
      <c r="Q1515" s="12" t="str">
        <f t="array" ref="Q1515">IF(A1515:A5557="","",IFERROR(_xlfn.XLOOKUP(A1515:A5557,castles_state!K:K,castles_state!D:D)&amp;"主",IFERROR(_xlfn.XLOOKUP(A1515:A5557,kunishuClan!D:D,kunishuClan!B:B)&amp;"当主","")))</f>
      </c>
    </row>
    <row r="1516" ht="15.75" customHeight="1">
      <c r="A1516" s="4">
        <v>1033002</v>
      </c>
      <c r="B1516" s="12" t="str">
        <f t="array" ref="B1516">IF(A1516:A5558="","",_xlfn.XLOOKUP(A1516:A5558,'参照_武将'!A:A,'参照_武将'!B:B,"見つかりません"))</f>
      </c>
      <c r="C1516" s="4" t="s">
        <v>196</v>
      </c>
      <c r="D1516" s="4">
        <v>33</v>
      </c>
      <c r="E1516" s="12" t="str">
        <f t="array" ref="E1516">IF(D1516:D5558="","",IFERROR(_xlfn.XLOOKUP(D1516:D5558,'参照_勢力'!A:A,'参照_勢力'!B:B),IFERROR(_xlfn.XLOOKUP(F1516:F5558,kunishuClan!A:A,kunishuClan!B:B),"浪人")))</f>
      </c>
      <c r="F1516" s="4">
        <v>0</v>
      </c>
      <c r="G1516" s="4">
        <v>61</v>
      </c>
      <c r="H1516" s="12" t="str">
        <f t="array" ref="H1516">IF(G1516:G5558="","",_xlfn.XLOOKUP(G1516:G5558,castles_state!A:A,castles_state!D:D,"見つかりません"))</f>
      </c>
      <c r="I1516" s="4"/>
      <c r="J1516" s="12" t="str">
        <f t="array" ref="J1516">IF(I1516:I5558="","",_xlfn.XLOOKUP(I1516:I5558,'参照_姫'!A:A,'参照_姫'!B:B,"見つかりません"))</f>
      </c>
      <c r="K1516" s="4">
        <v>95</v>
      </c>
      <c r="L1516" s="4">
        <v>0</v>
      </c>
      <c r="M1516" s="4"/>
      <c r="N1516" s="4"/>
      <c r="O1516" s="4"/>
      <c r="P1516" s="12" t="str">
        <f t="array" ref="P1516">IF(O1516:O5558="","",_xlfn.XLOOKUP(O1516:O5558,'参照_官位'!A:A,'参照_官位'!B:B,""))</f>
      </c>
      <c r="Q1516" s="12" t="str">
        <f t="array" ref="Q1516">IF(A1516:A5558="","",IFERROR(_xlfn.XLOOKUP(A1516:A5558,castles_state!K:K,castles_state!D:D)&amp;"主",IFERROR(_xlfn.XLOOKUP(A1516:A5558,kunishuClan!D:D,kunishuClan!B:B)&amp;"当主","")))</f>
      </c>
    </row>
    <row r="1517" ht="15.75" customHeight="1">
      <c r="A1517" s="4">
        <v>1033003</v>
      </c>
      <c r="B1517" s="12" t="str">
        <f t="array" ref="B1517">IF(A1517:A5559="","",_xlfn.XLOOKUP(A1517:A5559,'参照_武将'!A:A,'参照_武将'!B:B,"見つかりません"))</f>
      </c>
      <c r="C1517" s="4" t="s">
        <v>196</v>
      </c>
      <c r="D1517" s="4">
        <v>33</v>
      </c>
      <c r="E1517" s="12" t="str">
        <f t="array" ref="E1517">IF(D1517:D5559="","",IFERROR(_xlfn.XLOOKUP(D1517:D5559,'参照_勢力'!A:A,'参照_勢力'!B:B),IFERROR(_xlfn.XLOOKUP(F1517:F5559,kunishuClan!A:A,kunishuClan!B:B),"浪人")))</f>
      </c>
      <c r="F1517" s="4">
        <v>0</v>
      </c>
      <c r="G1517" s="4">
        <v>61</v>
      </c>
      <c r="H1517" s="12" t="str">
        <f t="array" ref="H1517">IF(G1517:G5559="","",_xlfn.XLOOKUP(G1517:G5559,castles_state!A:A,castles_state!D:D,"見つかりません"))</f>
      </c>
      <c r="I1517" s="4"/>
      <c r="J1517" s="12" t="str">
        <f t="array" ref="J1517">IF(I1517:I5559="","",_xlfn.XLOOKUP(I1517:I5559,'参照_姫'!A:A,'参照_姫'!B:B,"見つかりません"))</f>
      </c>
      <c r="K1517" s="4">
        <v>95</v>
      </c>
      <c r="L1517" s="4">
        <v>0</v>
      </c>
      <c r="M1517" s="4"/>
      <c r="N1517" s="4"/>
      <c r="O1517" s="4"/>
      <c r="P1517" s="12" t="str">
        <f t="array" ref="P1517">IF(O1517:O5559="","",_xlfn.XLOOKUP(O1517:O5559,'参照_官位'!A:A,'参照_官位'!B:B,""))</f>
      </c>
      <c r="Q1517" s="12" t="str">
        <f t="array" ref="Q1517">IF(A1517:A5559="","",IFERROR(_xlfn.XLOOKUP(A1517:A5559,castles_state!K:K,castles_state!D:D)&amp;"主",IFERROR(_xlfn.XLOOKUP(A1517:A5559,kunishuClan!D:D,kunishuClan!B:B)&amp;"当主","")))</f>
      </c>
    </row>
    <row r="1518" ht="15.75" customHeight="1">
      <c r="A1518" s="4">
        <v>1033004</v>
      </c>
      <c r="B1518" s="12" t="str">
        <f t="array" ref="B1518">IF(A1518:A5560="","",_xlfn.XLOOKUP(A1518:A5560,'参照_武将'!A:A,'参照_武将'!B:B,"見つかりません"))</f>
      </c>
      <c r="C1518" s="4" t="s">
        <v>196</v>
      </c>
      <c r="D1518" s="4">
        <v>33</v>
      </c>
      <c r="E1518" s="12" t="str">
        <f t="array" ref="E1518">IF(D1518:D5560="","",IFERROR(_xlfn.XLOOKUP(D1518:D5560,'参照_勢力'!A:A,'参照_勢力'!B:B),IFERROR(_xlfn.XLOOKUP(F1518:F5560,kunishuClan!A:A,kunishuClan!B:B),"浪人")))</f>
      </c>
      <c r="F1518" s="4">
        <v>0</v>
      </c>
      <c r="G1518" s="4">
        <v>61</v>
      </c>
      <c r="H1518" s="12" t="str">
        <f t="array" ref="H1518">IF(G1518:G5560="","",_xlfn.XLOOKUP(G1518:G5560,castles_state!A:A,castles_state!D:D,"見つかりません"))</f>
      </c>
      <c r="I1518" s="4"/>
      <c r="J1518" s="12" t="str">
        <f t="array" ref="J1518">IF(I1518:I5560="","",_xlfn.XLOOKUP(I1518:I5560,'参照_姫'!A:A,'参照_姫'!B:B,"見つかりません"))</f>
      </c>
      <c r="K1518" s="4">
        <v>95</v>
      </c>
      <c r="L1518" s="4">
        <v>700</v>
      </c>
      <c r="M1518" s="4"/>
      <c r="N1518" s="4"/>
      <c r="O1518" s="4"/>
      <c r="P1518" s="12" t="str">
        <f t="array" ref="P1518">IF(O1518:O5560="","",_xlfn.XLOOKUP(O1518:O5560,'参照_官位'!A:A,'参照_官位'!B:B,""))</f>
      </c>
      <c r="Q1518" s="12" t="str">
        <f t="array" ref="Q1518">IF(A1518:A5560="","",IFERROR(_xlfn.XLOOKUP(A1518:A5560,castles_state!K:K,castles_state!D:D)&amp;"主",IFERROR(_xlfn.XLOOKUP(A1518:A5560,kunishuClan!D:D,kunishuClan!B:B)&amp;"当主","")))</f>
      </c>
    </row>
    <row r="1519" ht="15.75" customHeight="1">
      <c r="A1519" s="4">
        <v>1033005</v>
      </c>
      <c r="B1519" s="12" t="str">
        <f t="array" ref="B1519">IF(A1519:A5561="","",_xlfn.XLOOKUP(A1519:A5561,'参照_武将'!A:A,'参照_武将'!B:B,"見つかりません"))</f>
      </c>
      <c r="C1519" s="4" t="s">
        <v>196</v>
      </c>
      <c r="D1519" s="4">
        <v>33</v>
      </c>
      <c r="E1519" s="12" t="str">
        <f t="array" ref="E1519">IF(D1519:D5561="","",IFERROR(_xlfn.XLOOKUP(D1519:D5561,'参照_勢力'!A:A,'参照_勢力'!B:B),IFERROR(_xlfn.XLOOKUP(F1519:F5561,kunishuClan!A:A,kunishuClan!B:B),"浪人")))</f>
      </c>
      <c r="F1519" s="4">
        <v>0</v>
      </c>
      <c r="G1519" s="4">
        <v>61</v>
      </c>
      <c r="H1519" s="12" t="str">
        <f t="array" ref="H1519">IF(G1519:G5561="","",_xlfn.XLOOKUP(G1519:G5561,castles_state!A:A,castles_state!D:D,"見つかりません"))</f>
      </c>
      <c r="I1519" s="4"/>
      <c r="J1519" s="12" t="str">
        <f t="array" ref="J1519">IF(I1519:I5561="","",_xlfn.XLOOKUP(I1519:I5561,'参照_姫'!A:A,'参照_姫'!B:B,"見つかりません"))</f>
      </c>
      <c r="K1519" s="4">
        <v>95</v>
      </c>
      <c r="L1519" s="4">
        <v>0</v>
      </c>
      <c r="M1519" s="4"/>
      <c r="N1519" s="4"/>
      <c r="O1519" s="4"/>
      <c r="P1519" s="12" t="str">
        <f t="array" ref="P1519">IF(O1519:O5561="","",_xlfn.XLOOKUP(O1519:O5561,'参照_官位'!A:A,'参照_官位'!B:B,""))</f>
      </c>
      <c r="Q1519" s="12" t="str">
        <f t="array" ref="Q1519">IF(A1519:A5561="","",IFERROR(_xlfn.XLOOKUP(A1519:A5561,castles_state!K:K,castles_state!D:D)&amp;"主",IFERROR(_xlfn.XLOOKUP(A1519:A5561,kunishuClan!D:D,kunishuClan!B:B)&amp;"当主","")))</f>
      </c>
    </row>
    <row r="1520" ht="15.75" customHeight="1">
      <c r="A1520" s="4">
        <v>1033006</v>
      </c>
      <c r="B1520" s="12" t="str">
        <f t="array" ref="B1520">IF(A1520:A5562="","",_xlfn.XLOOKUP(A1520:A5562,'参照_武将'!A:A,'参照_武将'!B:B,"見つかりません"))</f>
      </c>
      <c r="C1520" s="4" t="s">
        <v>196</v>
      </c>
      <c r="D1520" s="4">
        <v>33</v>
      </c>
      <c r="E1520" s="12" t="str">
        <f t="array" ref="E1520">IF(D1520:D5562="","",IFERROR(_xlfn.XLOOKUP(D1520:D5562,'参照_勢力'!A:A,'参照_勢力'!B:B),IFERROR(_xlfn.XLOOKUP(F1520:F5562,kunishuClan!A:A,kunishuClan!B:B),"浪人")))</f>
      </c>
      <c r="F1520" s="4">
        <v>0</v>
      </c>
      <c r="G1520" s="4">
        <v>61</v>
      </c>
      <c r="H1520" s="12" t="str">
        <f t="array" ref="H1520">IF(G1520:G5562="","",_xlfn.XLOOKUP(G1520:G5562,castles_state!A:A,castles_state!D:D,"見つかりません"))</f>
      </c>
      <c r="I1520" s="4"/>
      <c r="J1520" s="12" t="str">
        <f t="array" ref="J1520">IF(I1520:I5562="","",_xlfn.XLOOKUP(I1520:I5562,'参照_姫'!A:A,'参照_姫'!B:B,"見つかりません"))</f>
      </c>
      <c r="K1520" s="4">
        <v>95</v>
      </c>
      <c r="L1520" s="4">
        <v>0</v>
      </c>
      <c r="M1520" s="4"/>
      <c r="N1520" s="4"/>
      <c r="O1520" s="4"/>
      <c r="P1520" s="12" t="str">
        <f t="array" ref="P1520">IF(O1520:O5562="","",_xlfn.XLOOKUP(O1520:O5562,'参照_官位'!A:A,'参照_官位'!B:B,""))</f>
      </c>
      <c r="Q1520" s="12" t="str">
        <f t="array" ref="Q1520">IF(A1520:A5562="","",IFERROR(_xlfn.XLOOKUP(A1520:A5562,castles_state!K:K,castles_state!D:D)&amp;"主",IFERROR(_xlfn.XLOOKUP(A1520:A5562,kunishuClan!D:D,kunishuClan!B:B)&amp;"当主","")))</f>
      </c>
    </row>
    <row r="1521" ht="15.75" customHeight="1">
      <c r="A1521" s="4">
        <v>1033007</v>
      </c>
      <c r="B1521" s="12" t="str">
        <f t="array" ref="B1521">IF(A1521:A5563="","",_xlfn.XLOOKUP(A1521:A5563,'参照_武将'!A:A,'参照_武将'!B:B,"見つかりません"))</f>
      </c>
      <c r="C1521" s="4" t="s">
        <v>196</v>
      </c>
      <c r="D1521" s="4">
        <v>33</v>
      </c>
      <c r="E1521" s="12" t="str">
        <f t="array" ref="E1521">IF(D1521:D5563="","",IFERROR(_xlfn.XLOOKUP(D1521:D5563,'参照_勢力'!A:A,'参照_勢力'!B:B),IFERROR(_xlfn.XLOOKUP(F1521:F5563,kunishuClan!A:A,kunishuClan!B:B),"浪人")))</f>
      </c>
      <c r="F1521" s="4">
        <v>0</v>
      </c>
      <c r="G1521" s="4">
        <v>61</v>
      </c>
      <c r="H1521" s="12" t="str">
        <f t="array" ref="H1521">IF(G1521:G5563="","",_xlfn.XLOOKUP(G1521:G5563,castles_state!A:A,castles_state!D:D,"見つかりません"))</f>
      </c>
      <c r="I1521" s="4"/>
      <c r="J1521" s="12" t="str">
        <f t="array" ref="J1521">IF(I1521:I5563="","",_xlfn.XLOOKUP(I1521:I5563,'参照_姫'!A:A,'参照_姫'!B:B,"見つかりません"))</f>
      </c>
      <c r="K1521" s="4">
        <v>95</v>
      </c>
      <c r="L1521" s="4">
        <v>0</v>
      </c>
      <c r="M1521" s="4"/>
      <c r="N1521" s="4"/>
      <c r="O1521" s="4"/>
      <c r="P1521" s="12" t="str">
        <f t="array" ref="P1521">IF(O1521:O5563="","",_xlfn.XLOOKUP(O1521:O5563,'参照_官位'!A:A,'参照_官位'!B:B,""))</f>
      </c>
      <c r="Q1521" s="12" t="str">
        <f t="array" ref="Q1521">IF(A1521:A5563="","",IFERROR(_xlfn.XLOOKUP(A1521:A5563,castles_state!K:K,castles_state!D:D)&amp;"主",IFERROR(_xlfn.XLOOKUP(A1521:A5563,kunishuClan!D:D,kunishuClan!B:B)&amp;"当主","")))</f>
      </c>
    </row>
    <row r="1522" ht="15.75" customHeight="1">
      <c r="A1522" s="4">
        <v>1033008</v>
      </c>
      <c r="B1522" s="12" t="str">
        <f t="array" ref="B1522">IF(A1522:A5564="","",_xlfn.XLOOKUP(A1522:A5564,'参照_武将'!A:A,'参照_武将'!B:B,"見つかりません"))</f>
      </c>
      <c r="C1522" s="4" t="s">
        <v>196</v>
      </c>
      <c r="D1522" s="4">
        <v>33</v>
      </c>
      <c r="E1522" s="12" t="str">
        <f t="array" ref="E1522">IF(D1522:D5564="","",IFERROR(_xlfn.XLOOKUP(D1522:D5564,'参照_勢力'!A:A,'参照_勢力'!B:B),IFERROR(_xlfn.XLOOKUP(F1522:F5564,kunishuClan!A:A,kunishuClan!B:B),"浪人")))</f>
      </c>
      <c r="F1522" s="4">
        <v>0</v>
      </c>
      <c r="G1522" s="4">
        <v>61</v>
      </c>
      <c r="H1522" s="12" t="str">
        <f t="array" ref="H1522">IF(G1522:G5564="","",_xlfn.XLOOKUP(G1522:G5564,castles_state!A:A,castles_state!D:D,"見つかりません"))</f>
      </c>
      <c r="I1522" s="4"/>
      <c r="J1522" s="12" t="str">
        <f t="array" ref="J1522">IF(I1522:I5564="","",_xlfn.XLOOKUP(I1522:I5564,'参照_姫'!A:A,'参照_姫'!B:B,"見つかりません"))</f>
      </c>
      <c r="K1522" s="4">
        <v>95</v>
      </c>
      <c r="L1522" s="4">
        <v>0</v>
      </c>
      <c r="M1522" s="4"/>
      <c r="N1522" s="4"/>
      <c r="O1522" s="4"/>
      <c r="P1522" s="12" t="str">
        <f t="array" ref="P1522">IF(O1522:O5564="","",_xlfn.XLOOKUP(O1522:O5564,'参照_官位'!A:A,'参照_官位'!B:B,""))</f>
      </c>
      <c r="Q1522" s="12" t="str">
        <f t="array" ref="Q1522">IF(A1522:A5564="","",IFERROR(_xlfn.XLOOKUP(A1522:A5564,castles_state!K:K,castles_state!D:D)&amp;"主",IFERROR(_xlfn.XLOOKUP(A1522:A5564,kunishuClan!D:D,kunishuClan!B:B)&amp;"当主","")))</f>
      </c>
    </row>
    <row r="1523" ht="15.75" customHeight="1">
      <c r="A1523" s="4">
        <v>1033009</v>
      </c>
      <c r="B1523" s="12" t="str">
        <f t="array" ref="B1523">IF(A1523:A5565="","",_xlfn.XLOOKUP(A1523:A5565,'参照_武将'!A:A,'参照_武将'!B:B,"見つかりません"))</f>
      </c>
      <c r="C1523" s="4" t="s">
        <v>196</v>
      </c>
      <c r="D1523" s="4">
        <v>33</v>
      </c>
      <c r="E1523" s="12" t="str">
        <f t="array" ref="E1523">IF(D1523:D5565="","",IFERROR(_xlfn.XLOOKUP(D1523:D5565,'参照_勢力'!A:A,'参照_勢力'!B:B),IFERROR(_xlfn.XLOOKUP(F1523:F5565,kunishuClan!A:A,kunishuClan!B:B),"浪人")))</f>
      </c>
      <c r="F1523" s="4">
        <v>0</v>
      </c>
      <c r="G1523" s="4">
        <v>61</v>
      </c>
      <c r="H1523" s="12" t="str">
        <f t="array" ref="H1523">IF(G1523:G5565="","",_xlfn.XLOOKUP(G1523:G5565,castles_state!A:A,castles_state!D:D,"見つかりません"))</f>
      </c>
      <c r="I1523" s="4"/>
      <c r="J1523" s="12" t="str">
        <f t="array" ref="J1523">IF(I1523:I5565="","",_xlfn.XLOOKUP(I1523:I5565,'参照_姫'!A:A,'参照_姫'!B:B,"見つかりません"))</f>
      </c>
      <c r="K1523" s="4">
        <v>95</v>
      </c>
      <c r="L1523" s="4">
        <v>500</v>
      </c>
      <c r="M1523" s="4"/>
      <c r="N1523" s="4"/>
      <c r="O1523" s="4"/>
      <c r="P1523" s="12" t="str">
        <f t="array" ref="P1523">IF(O1523:O5565="","",_xlfn.XLOOKUP(O1523:O5565,'参照_官位'!A:A,'参照_官位'!B:B,""))</f>
      </c>
      <c r="Q1523" s="12" t="str">
        <f t="array" ref="Q1523">IF(A1523:A5565="","",IFERROR(_xlfn.XLOOKUP(A1523:A5565,castles_state!K:K,castles_state!D:D)&amp;"主",IFERROR(_xlfn.XLOOKUP(A1523:A5565,kunishuClan!D:D,kunishuClan!B:B)&amp;"当主","")))</f>
      </c>
    </row>
    <row r="1524" ht="15.75" customHeight="1">
      <c r="A1524" s="4">
        <v>1033010</v>
      </c>
      <c r="B1524" s="12" t="str">
        <f t="array" ref="B1524">IF(A1524:A5566="","",_xlfn.XLOOKUP(A1524:A5566,'参照_武将'!A:A,'参照_武将'!B:B,"見つかりません"))</f>
      </c>
      <c r="C1524" s="4" t="s">
        <v>196</v>
      </c>
      <c r="D1524" s="4">
        <v>33</v>
      </c>
      <c r="E1524" s="12" t="str">
        <f t="array" ref="E1524">IF(D1524:D5566="","",IFERROR(_xlfn.XLOOKUP(D1524:D5566,'参照_勢力'!A:A,'参照_勢力'!B:B),IFERROR(_xlfn.XLOOKUP(F1524:F5566,kunishuClan!A:A,kunishuClan!B:B),"浪人")))</f>
      </c>
      <c r="F1524" s="4">
        <v>0</v>
      </c>
      <c r="G1524" s="4">
        <v>61</v>
      </c>
      <c r="H1524" s="12" t="str">
        <f t="array" ref="H1524">IF(G1524:G5566="","",_xlfn.XLOOKUP(G1524:G5566,castles_state!A:A,castles_state!D:D,"見つかりません"))</f>
      </c>
      <c r="I1524" s="4"/>
      <c r="J1524" s="12" t="str">
        <f t="array" ref="J1524">IF(I1524:I5566="","",_xlfn.XLOOKUP(I1524:I5566,'参照_姫'!A:A,'参照_姫'!B:B,"見つかりません"))</f>
      </c>
      <c r="K1524" s="4">
        <v>100</v>
      </c>
      <c r="L1524" s="4">
        <v>1000</v>
      </c>
      <c r="M1524" s="4"/>
      <c r="N1524" s="4" t="b">
        <v>1</v>
      </c>
      <c r="O1524" s="4"/>
      <c r="P1524" s="12" t="str">
        <f t="array" ref="P1524">IF(O1524:O5566="","",_xlfn.XLOOKUP(O1524:O5566,'参照_官位'!A:A,'参照_官位'!B:B,""))</f>
      </c>
      <c r="Q1524" s="12" t="str">
        <f t="array" ref="Q1524">IF(A1524:A5566="","",IFERROR(_xlfn.XLOOKUP(A1524:A5566,castles_state!K:K,castles_state!D:D)&amp;"主",IFERROR(_xlfn.XLOOKUP(A1524:A5566,kunishuClan!D:D,kunishuClan!B:B)&amp;"当主","")))</f>
      </c>
    </row>
    <row r="1525" ht="15.75" customHeight="1">
      <c r="A1525" s="4">
        <v>1033011</v>
      </c>
      <c r="B1525" s="12" t="str">
        <f t="array" ref="B1525">IF(A1525:A5567="","",_xlfn.XLOOKUP(A1525:A5567,'参照_武将'!A:A,'参照_武将'!B:B,"見つかりません"))</f>
      </c>
      <c r="C1525" s="4" t="s">
        <v>196</v>
      </c>
      <c r="D1525" s="4">
        <v>33</v>
      </c>
      <c r="E1525" s="12" t="str">
        <f t="array" ref="E1525">IF(D1525:D5567="","",IFERROR(_xlfn.XLOOKUP(D1525:D5567,'参照_勢力'!A:A,'参照_勢力'!B:B),IFERROR(_xlfn.XLOOKUP(F1525:F5567,kunishuClan!A:A,kunishuClan!B:B),"浪人")))</f>
      </c>
      <c r="F1525" s="4">
        <v>0</v>
      </c>
      <c r="G1525" s="4">
        <v>61</v>
      </c>
      <c r="H1525" s="12" t="str">
        <f t="array" ref="H1525">IF(G1525:G5567="","",_xlfn.XLOOKUP(G1525:G5567,castles_state!A:A,castles_state!D:D,"見つかりません"))</f>
      </c>
      <c r="I1525" s="4"/>
      <c r="J1525" s="12" t="str">
        <f t="array" ref="J1525">IF(I1525:I5567="","",_xlfn.XLOOKUP(I1525:I5567,'参照_姫'!A:A,'参照_姫'!B:B,"見つかりません"))</f>
      </c>
      <c r="K1525" s="4">
        <v>100</v>
      </c>
      <c r="L1525" s="4">
        <v>1500</v>
      </c>
      <c r="M1525" s="4"/>
      <c r="N1525" s="4"/>
      <c r="O1525" s="4"/>
      <c r="P1525" s="12" t="str">
        <f t="array" ref="P1525">IF(O1525:O5567="","",_xlfn.XLOOKUP(O1525:O5567,'参照_官位'!A:A,'参照_官位'!B:B,""))</f>
      </c>
      <c r="Q1525" s="12" t="str">
        <f t="array" ref="Q1525">IF(A1525:A5567="","",IFERROR(_xlfn.XLOOKUP(A1525:A5567,castles_state!K:K,castles_state!D:D)&amp;"主",IFERROR(_xlfn.XLOOKUP(A1525:A5567,kunishuClan!D:D,kunishuClan!B:B)&amp;"当主","")))</f>
      </c>
    </row>
    <row r="1526" ht="15.75" customHeight="1">
      <c r="A1526" s="4">
        <v>1033012</v>
      </c>
      <c r="B1526" s="12" t="str">
        <f t="array" ref="B1526">IF(A1526:A5568="","",_xlfn.XLOOKUP(A1526:A5568,'参照_武将'!A:A,'参照_武将'!B:B,"見つかりません"))</f>
      </c>
      <c r="C1526" s="4" t="s">
        <v>196</v>
      </c>
      <c r="D1526" s="4">
        <v>33</v>
      </c>
      <c r="E1526" s="12" t="str">
        <f t="array" ref="E1526">IF(D1526:D5568="","",IFERROR(_xlfn.XLOOKUP(D1526:D5568,'参照_勢力'!A:A,'参照_勢力'!B:B),IFERROR(_xlfn.XLOOKUP(F1526:F5568,kunishuClan!A:A,kunishuClan!B:B),"浪人")))</f>
      </c>
      <c r="F1526" s="4">
        <v>0</v>
      </c>
      <c r="G1526" s="4">
        <v>61</v>
      </c>
      <c r="H1526" s="12" t="str">
        <f t="array" ref="H1526">IF(G1526:G5568="","",_xlfn.XLOOKUP(G1526:G5568,castles_state!A:A,castles_state!D:D,"見つかりません"))</f>
      </c>
      <c r="I1526" s="4"/>
      <c r="J1526" s="12" t="str">
        <f t="array" ref="J1526">IF(I1526:I5568="","",_xlfn.XLOOKUP(I1526:I5568,'参照_姫'!A:A,'参照_姫'!B:B,"見つかりません"))</f>
      </c>
      <c r="K1526" s="4">
        <v>95</v>
      </c>
      <c r="L1526" s="4">
        <v>300</v>
      </c>
      <c r="M1526" s="4"/>
      <c r="N1526" s="4"/>
      <c r="O1526" s="4"/>
      <c r="P1526" s="12" t="str">
        <f t="array" ref="P1526">IF(O1526:O5568="","",_xlfn.XLOOKUP(O1526:O5568,'参照_官位'!A:A,'参照_官位'!B:B,""))</f>
      </c>
      <c r="Q1526" s="12" t="str">
        <f t="array" ref="Q1526">IF(A1526:A5568="","",IFERROR(_xlfn.XLOOKUP(A1526:A5568,castles_state!K:K,castles_state!D:D)&amp;"主",IFERROR(_xlfn.XLOOKUP(A1526:A5568,kunishuClan!D:D,kunishuClan!B:B)&amp;"当主","")))</f>
      </c>
    </row>
    <row r="1527" ht="15.75" customHeight="1">
      <c r="A1527" s="4">
        <v>1033013</v>
      </c>
      <c r="B1527" s="12" t="str">
        <f t="array" ref="B1527">IF(A1527:A5569="","",_xlfn.XLOOKUP(A1527:A5569,'参照_武将'!A:A,'参照_武将'!B:B,"見つかりません"))</f>
      </c>
      <c r="C1527" s="4" t="s">
        <v>196</v>
      </c>
      <c r="D1527" s="4">
        <v>33</v>
      </c>
      <c r="E1527" s="12" t="str">
        <f t="array" ref="E1527">IF(D1527:D5569="","",IFERROR(_xlfn.XLOOKUP(D1527:D5569,'参照_勢力'!A:A,'参照_勢力'!B:B),IFERROR(_xlfn.XLOOKUP(F1527:F5569,kunishuClan!A:A,kunishuClan!B:B),"浪人")))</f>
      </c>
      <c r="F1527" s="4">
        <v>0</v>
      </c>
      <c r="G1527" s="4">
        <v>61</v>
      </c>
      <c r="H1527" s="12" t="str">
        <f t="array" ref="H1527">IF(G1527:G5569="","",_xlfn.XLOOKUP(G1527:G5569,castles_state!A:A,castles_state!D:D,"見つかりません"))</f>
      </c>
      <c r="I1527" s="4"/>
      <c r="J1527" s="12" t="str">
        <f t="array" ref="J1527">IF(I1527:I5569="","",_xlfn.XLOOKUP(I1527:I5569,'参照_姫'!A:A,'参照_姫'!B:B,"見つかりません"))</f>
      </c>
      <c r="K1527" s="4">
        <v>95</v>
      </c>
      <c r="L1527" s="4">
        <v>300</v>
      </c>
      <c r="M1527" s="4"/>
      <c r="N1527" s="4"/>
      <c r="O1527" s="4"/>
      <c r="P1527" s="12" t="str">
        <f t="array" ref="P1527">IF(O1527:O5569="","",_xlfn.XLOOKUP(O1527:O5569,'参照_官位'!A:A,'参照_官位'!B:B,""))</f>
      </c>
      <c r="Q1527" s="12" t="str">
        <f t="array" ref="Q1527">IF(A1527:A5569="","",IFERROR(_xlfn.XLOOKUP(A1527:A5569,castles_state!K:K,castles_state!D:D)&amp;"主",IFERROR(_xlfn.XLOOKUP(A1527:A5569,kunishuClan!D:D,kunishuClan!B:B)&amp;"当主","")))</f>
      </c>
    </row>
    <row r="1528" ht="15.75" customHeight="1">
      <c r="A1528" s="4">
        <v>1033014</v>
      </c>
      <c r="B1528" s="12" t="str">
        <f t="array" ref="B1528">IF(A1528:A5570="","",_xlfn.XLOOKUP(A1528:A5570,'参照_武将'!A:A,'参照_武将'!B:B,"見つかりません"))</f>
      </c>
      <c r="C1528" s="4" t="s">
        <v>196</v>
      </c>
      <c r="D1528" s="4">
        <v>33</v>
      </c>
      <c r="E1528" s="12" t="str">
        <f t="array" ref="E1528">IF(D1528:D5570="","",IFERROR(_xlfn.XLOOKUP(D1528:D5570,'参照_勢力'!A:A,'参照_勢力'!B:B),IFERROR(_xlfn.XLOOKUP(F1528:F5570,kunishuClan!A:A,kunishuClan!B:B),"浪人")))</f>
      </c>
      <c r="F1528" s="4">
        <v>0</v>
      </c>
      <c r="G1528" s="4">
        <v>61</v>
      </c>
      <c r="H1528" s="12" t="str">
        <f t="array" ref="H1528">IF(G1528:G5570="","",_xlfn.XLOOKUP(G1528:G5570,castles_state!A:A,castles_state!D:D,"見つかりません"))</f>
      </c>
      <c r="I1528" s="4"/>
      <c r="J1528" s="12" t="str">
        <f t="array" ref="J1528">IF(I1528:I5570="","",_xlfn.XLOOKUP(I1528:I5570,'参照_姫'!A:A,'参照_姫'!B:B,"見つかりません"))</f>
      </c>
      <c r="K1528" s="4">
        <v>95</v>
      </c>
      <c r="L1528" s="4">
        <v>200</v>
      </c>
      <c r="M1528" s="4"/>
      <c r="N1528" s="4"/>
      <c r="O1528" s="4"/>
      <c r="P1528" s="12" t="str">
        <f t="array" ref="P1528">IF(O1528:O5570="","",_xlfn.XLOOKUP(O1528:O5570,'参照_官位'!A:A,'参照_官位'!B:B,""))</f>
      </c>
      <c r="Q1528" s="12" t="str">
        <f t="array" ref="Q1528">IF(A1528:A5570="","",IFERROR(_xlfn.XLOOKUP(A1528:A5570,castles_state!K:K,castles_state!D:D)&amp;"主",IFERROR(_xlfn.XLOOKUP(A1528:A5570,kunishuClan!D:D,kunishuClan!B:B)&amp;"当主","")))</f>
      </c>
    </row>
    <row r="1529" ht="15.75" customHeight="1">
      <c r="A1529" s="4">
        <v>1033015</v>
      </c>
      <c r="B1529" s="12" t="str">
        <f t="array" ref="B1529">IF(A1529:A5571="","",_xlfn.XLOOKUP(A1529:A5571,'参照_武将'!A:A,'参照_武将'!B:B,"見つかりません"))</f>
      </c>
      <c r="C1529" s="4" t="s">
        <v>196</v>
      </c>
      <c r="D1529" s="4">
        <v>33</v>
      </c>
      <c r="E1529" s="12" t="str">
        <f t="array" ref="E1529">IF(D1529:D5571="","",IFERROR(_xlfn.XLOOKUP(D1529:D5571,'参照_勢力'!A:A,'参照_勢力'!B:B),IFERROR(_xlfn.XLOOKUP(F1529:F5571,kunishuClan!A:A,kunishuClan!B:B),"浪人")))</f>
      </c>
      <c r="F1529" s="4">
        <v>0</v>
      </c>
      <c r="G1529" s="4">
        <v>61</v>
      </c>
      <c r="H1529" s="12" t="str">
        <f t="array" ref="H1529">IF(G1529:G5571="","",_xlfn.XLOOKUP(G1529:G5571,castles_state!A:A,castles_state!D:D,"見つかりません"))</f>
      </c>
      <c r="I1529" s="4"/>
      <c r="J1529" s="12" t="str">
        <f t="array" ref="J1529">IF(I1529:I5571="","",_xlfn.XLOOKUP(I1529:I5571,'参照_姫'!A:A,'参照_姫'!B:B,"見つかりません"))</f>
      </c>
      <c r="K1529" s="4">
        <v>95</v>
      </c>
      <c r="L1529" s="4">
        <v>0</v>
      </c>
      <c r="M1529" s="4"/>
      <c r="N1529" s="4"/>
      <c r="O1529" s="4"/>
      <c r="P1529" s="12" t="str">
        <f t="array" ref="P1529">IF(O1529:O5571="","",_xlfn.XLOOKUP(O1529:O5571,'参照_官位'!A:A,'参照_官位'!B:B,""))</f>
      </c>
      <c r="Q1529" s="12" t="str">
        <f t="array" ref="Q1529">IF(A1529:A5571="","",IFERROR(_xlfn.XLOOKUP(A1529:A5571,castles_state!K:K,castles_state!D:D)&amp;"主",IFERROR(_xlfn.XLOOKUP(A1529:A5571,kunishuClan!D:D,kunishuClan!B:B)&amp;"当主","")))</f>
      </c>
    </row>
    <row r="1530" ht="15.75" customHeight="1">
      <c r="A1530" s="4">
        <v>1033016</v>
      </c>
      <c r="B1530" s="12" t="str">
        <f t="array" ref="B1530">IF(A1530:A5572="","",_xlfn.XLOOKUP(A1530:A5572,'参照_武将'!A:A,'参照_武将'!B:B,"見つかりません"))</f>
      </c>
      <c r="C1530" s="4" t="s">
        <v>196</v>
      </c>
      <c r="D1530" s="4">
        <v>33</v>
      </c>
      <c r="E1530" s="12" t="str">
        <f t="array" ref="E1530">IF(D1530:D5572="","",IFERROR(_xlfn.XLOOKUP(D1530:D5572,'参照_勢力'!A:A,'参照_勢力'!B:B),IFERROR(_xlfn.XLOOKUP(F1530:F5572,kunishuClan!A:A,kunishuClan!B:B),"浪人")))</f>
      </c>
      <c r="F1530" s="4">
        <v>0</v>
      </c>
      <c r="G1530" s="4">
        <v>216</v>
      </c>
      <c r="H1530" s="12" t="str">
        <f t="array" ref="H1530">IF(G1530:G5572="","",_xlfn.XLOOKUP(G1530:G5572,castles_state!A:A,castles_state!D:D,"見つかりません"))</f>
      </c>
      <c r="I1530" s="4"/>
      <c r="J1530" s="12" t="str">
        <f t="array" ref="J1530">IF(I1530:I5572="","",_xlfn.XLOOKUP(I1530:I5572,'参照_姫'!A:A,'参照_姫'!B:B,"見つかりません"))</f>
      </c>
      <c r="K1530" s="4">
        <v>80</v>
      </c>
      <c r="L1530" s="4">
        <v>300</v>
      </c>
      <c r="M1530" s="4"/>
      <c r="N1530" s="4"/>
      <c r="O1530" s="4"/>
      <c r="P1530" s="12" t="str">
        <f t="array" ref="P1530">IF(O1530:O5572="","",_xlfn.XLOOKUP(O1530:O5572,'参照_官位'!A:A,'参照_官位'!B:B,""))</f>
      </c>
      <c r="Q1530" s="12" t="str">
        <f t="array" ref="Q1530">IF(A1530:A5572="","",IFERROR(_xlfn.XLOOKUP(A1530:A5572,castles_state!K:K,castles_state!D:D)&amp;"主",IFERROR(_xlfn.XLOOKUP(A1530:A5572,kunishuClan!D:D,kunishuClan!B:B)&amp;"当主","")))</f>
      </c>
    </row>
    <row r="1531" ht="15.75" customHeight="1">
      <c r="A1531" s="4">
        <v>1033017</v>
      </c>
      <c r="B1531" s="12" t="str">
        <f t="array" ref="B1531">IF(A1531:A5573="","",_xlfn.XLOOKUP(A1531:A5573,'参照_武将'!A:A,'参照_武将'!B:B,"見つかりません"))</f>
      </c>
      <c r="C1531" s="4" t="s">
        <v>196</v>
      </c>
      <c r="D1531" s="4">
        <v>33</v>
      </c>
      <c r="E1531" s="12" t="str">
        <f t="array" ref="E1531">IF(D1531:D5573="","",IFERROR(_xlfn.XLOOKUP(D1531:D5573,'参照_勢力'!A:A,'参照_勢力'!B:B),IFERROR(_xlfn.XLOOKUP(F1531:F5573,kunishuClan!A:A,kunishuClan!B:B),"浪人")))</f>
      </c>
      <c r="F1531" s="4">
        <v>0</v>
      </c>
      <c r="G1531" s="4">
        <v>216</v>
      </c>
      <c r="H1531" s="12" t="str">
        <f t="array" ref="H1531">IF(G1531:G5573="","",_xlfn.XLOOKUP(G1531:G5573,castles_state!A:A,castles_state!D:D,"見つかりません"))</f>
      </c>
      <c r="I1531" s="4"/>
      <c r="J1531" s="12" t="str">
        <f t="array" ref="J1531">IF(I1531:I5573="","",_xlfn.XLOOKUP(I1531:I5573,'参照_姫'!A:A,'参照_姫'!B:B,"見つかりません"))</f>
      </c>
      <c r="K1531" s="4">
        <v>95</v>
      </c>
      <c r="L1531" s="4">
        <v>0</v>
      </c>
      <c r="M1531" s="4"/>
      <c r="N1531" s="4"/>
      <c r="O1531" s="4"/>
      <c r="P1531" s="12" t="str">
        <f t="array" ref="P1531">IF(O1531:O5573="","",_xlfn.XLOOKUP(O1531:O5573,'参照_官位'!A:A,'参照_官位'!B:B,""))</f>
      </c>
      <c r="Q1531" s="12" t="str">
        <f t="array" ref="Q1531">IF(A1531:A5573="","",IFERROR(_xlfn.XLOOKUP(A1531:A5573,castles_state!K:K,castles_state!D:D)&amp;"主",IFERROR(_xlfn.XLOOKUP(A1531:A5573,kunishuClan!D:D,kunishuClan!B:B)&amp;"当主","")))</f>
      </c>
    </row>
    <row r="1532" ht="15.75" customHeight="1">
      <c r="A1532" s="4">
        <v>1033018</v>
      </c>
      <c r="B1532" s="12" t="str">
        <f t="array" ref="B1532">IF(A1532:A5574="","",_xlfn.XLOOKUP(A1532:A5574,'参照_武将'!A:A,'参照_武将'!B:B,"見つかりません"))</f>
      </c>
      <c r="C1532" s="4" t="s">
        <v>196</v>
      </c>
      <c r="D1532" s="4">
        <v>33</v>
      </c>
      <c r="E1532" s="12" t="str">
        <f t="array" ref="E1532">IF(D1532:D5574="","",IFERROR(_xlfn.XLOOKUP(D1532:D5574,'参照_勢力'!A:A,'参照_勢力'!B:B),IFERROR(_xlfn.XLOOKUP(F1532:F5574,kunishuClan!A:A,kunishuClan!B:B),"浪人")))</f>
      </c>
      <c r="F1532" s="4">
        <v>0</v>
      </c>
      <c r="G1532" s="4">
        <v>216</v>
      </c>
      <c r="H1532" s="12" t="str">
        <f t="array" ref="H1532">IF(G1532:G5574="","",_xlfn.XLOOKUP(G1532:G5574,castles_state!A:A,castles_state!D:D,"見つかりません"))</f>
      </c>
      <c r="I1532" s="4"/>
      <c r="J1532" s="12" t="str">
        <f t="array" ref="J1532">IF(I1532:I5574="","",_xlfn.XLOOKUP(I1532:I5574,'参照_姫'!A:A,'参照_姫'!B:B,"見つかりません"))</f>
      </c>
      <c r="K1532" s="4">
        <v>95</v>
      </c>
      <c r="L1532" s="4">
        <v>0</v>
      </c>
      <c r="M1532" s="4"/>
      <c r="N1532" s="4"/>
      <c r="O1532" s="4"/>
      <c r="P1532" s="12" t="str">
        <f t="array" ref="P1532">IF(O1532:O5574="","",_xlfn.XLOOKUP(O1532:O5574,'参照_官位'!A:A,'参照_官位'!B:B,""))</f>
      </c>
      <c r="Q1532" s="12" t="str">
        <f t="array" ref="Q1532">IF(A1532:A5574="","",IFERROR(_xlfn.XLOOKUP(A1532:A5574,castles_state!K:K,castles_state!D:D)&amp;"主",IFERROR(_xlfn.XLOOKUP(A1532:A5574,kunishuClan!D:D,kunishuClan!B:B)&amp;"当主","")))</f>
      </c>
    </row>
    <row r="1533" ht="15.75" customHeight="1">
      <c r="A1533" s="4">
        <v>1033019</v>
      </c>
      <c r="B1533" s="12" t="str">
        <f t="array" ref="B1533">IF(A1533:A5575="","",_xlfn.XLOOKUP(A1533:A5575,'参照_武将'!A:A,'参照_武将'!B:B,"見つかりません"))</f>
      </c>
      <c r="C1533" s="4" t="s">
        <v>196</v>
      </c>
      <c r="D1533" s="4">
        <v>33</v>
      </c>
      <c r="E1533" s="12" t="str">
        <f t="array" ref="E1533">IF(D1533:D5575="","",IFERROR(_xlfn.XLOOKUP(D1533:D5575,'参照_勢力'!A:A,'参照_勢力'!B:B),IFERROR(_xlfn.XLOOKUP(F1533:F5575,kunishuClan!A:A,kunishuClan!B:B),"浪人")))</f>
      </c>
      <c r="F1533" s="4">
        <v>0</v>
      </c>
      <c r="G1533" s="4">
        <v>61</v>
      </c>
      <c r="H1533" s="12" t="str">
        <f t="array" ref="H1533">IF(G1533:G5575="","",_xlfn.XLOOKUP(G1533:G5575,castles_state!A:A,castles_state!D:D,"見つかりません"))</f>
      </c>
      <c r="I1533" s="4"/>
      <c r="J1533" s="12" t="str">
        <f t="array" ref="J1533">IF(I1533:I5575="","",_xlfn.XLOOKUP(I1533:I5575,'参照_姫'!A:A,'参照_姫'!B:B,"見つかりません"))</f>
      </c>
      <c r="K1533" s="4">
        <v>95</v>
      </c>
      <c r="L1533" s="4">
        <v>0</v>
      </c>
      <c r="M1533" s="4"/>
      <c r="N1533" s="4"/>
      <c r="O1533" s="4"/>
      <c r="P1533" s="12" t="str">
        <f t="array" ref="P1533">IF(O1533:O5575="","",_xlfn.XLOOKUP(O1533:O5575,'参照_官位'!A:A,'参照_官位'!B:B,""))</f>
      </c>
      <c r="Q1533" s="12" t="str">
        <f t="array" ref="Q1533">IF(A1533:A5575="","",IFERROR(_xlfn.XLOOKUP(A1533:A5575,castles_state!K:K,castles_state!D:D)&amp;"主",IFERROR(_xlfn.XLOOKUP(A1533:A5575,kunishuClan!D:D,kunishuClan!B:B)&amp;"当主","")))</f>
      </c>
    </row>
    <row r="1534" ht="15.75" customHeight="1">
      <c r="A1534" s="4">
        <v>1033020</v>
      </c>
      <c r="B1534" s="12" t="str">
        <f t="array" ref="B1534">IF(A1534:A5576="","",_xlfn.XLOOKUP(A1534:A5576,'参照_武将'!A:A,'参照_武将'!B:B,"見つかりません"))</f>
      </c>
      <c r="C1534" s="4" t="s">
        <v>196</v>
      </c>
      <c r="D1534" s="4">
        <v>33</v>
      </c>
      <c r="E1534" s="12" t="str">
        <f t="array" ref="E1534">IF(D1534:D5576="","",IFERROR(_xlfn.XLOOKUP(D1534:D5576,'参照_勢力'!A:A,'参照_勢力'!B:B),IFERROR(_xlfn.XLOOKUP(F1534:F5576,kunishuClan!A:A,kunishuClan!B:B),"浪人")))</f>
      </c>
      <c r="F1534" s="4">
        <v>0</v>
      </c>
      <c r="G1534" s="4">
        <v>61</v>
      </c>
      <c r="H1534" s="12" t="str">
        <f t="array" ref="H1534">IF(G1534:G5576="","",_xlfn.XLOOKUP(G1534:G5576,castles_state!A:A,castles_state!D:D,"見つかりません"))</f>
      </c>
      <c r="I1534" s="4"/>
      <c r="J1534" s="12" t="str">
        <f t="array" ref="J1534">IF(I1534:I5576="","",_xlfn.XLOOKUP(I1534:I5576,'参照_姫'!A:A,'参照_姫'!B:B,"見つかりません"))</f>
      </c>
      <c r="K1534" s="4">
        <v>95</v>
      </c>
      <c r="L1534" s="4">
        <v>500</v>
      </c>
      <c r="M1534" s="4" t="b">
        <v>1</v>
      </c>
      <c r="N1534" s="4"/>
      <c r="O1534" s="4"/>
      <c r="P1534" s="12" t="str">
        <f t="array" ref="P1534">IF(O1534:O5576="","",_xlfn.XLOOKUP(O1534:O5576,'参照_官位'!A:A,'参照_官位'!B:B,""))</f>
      </c>
      <c r="Q1534" s="12" t="str">
        <f t="array" ref="Q1534">IF(A1534:A5576="","",IFERROR(_xlfn.XLOOKUP(A1534:A5576,castles_state!K:K,castles_state!D:D)&amp;"主",IFERROR(_xlfn.XLOOKUP(A1534:A5576,kunishuClan!D:D,kunishuClan!B:B)&amp;"当主","")))</f>
      </c>
    </row>
    <row r="1535" ht="15.75" customHeight="1">
      <c r="A1535" s="4">
        <v>1033021</v>
      </c>
      <c r="B1535" s="12" t="str">
        <f t="array" ref="B1535">IF(A1535:A5577="","",_xlfn.XLOOKUP(A1535:A5577,'参照_武将'!A:A,'参照_武将'!B:B,"見つかりません"))</f>
      </c>
      <c r="C1535" s="4" t="s">
        <v>196</v>
      </c>
      <c r="D1535" s="4">
        <v>33</v>
      </c>
      <c r="E1535" s="12" t="str">
        <f t="array" ref="E1535">IF(D1535:D5577="","",IFERROR(_xlfn.XLOOKUP(D1535:D5577,'参照_勢力'!A:A,'参照_勢力'!B:B),IFERROR(_xlfn.XLOOKUP(F1535:F5577,kunishuClan!A:A,kunishuClan!B:B),"浪人")))</f>
      </c>
      <c r="F1535" s="4">
        <v>0</v>
      </c>
      <c r="G1535" s="4">
        <v>61</v>
      </c>
      <c r="H1535" s="12" t="str">
        <f t="array" ref="H1535">IF(G1535:G5577="","",_xlfn.XLOOKUP(G1535:G5577,castles_state!A:A,castles_state!D:D,"見つかりません"))</f>
      </c>
      <c r="I1535" s="4"/>
      <c r="J1535" s="12" t="str">
        <f t="array" ref="J1535">IF(I1535:I5577="","",_xlfn.XLOOKUP(I1535:I5577,'参照_姫'!A:A,'参照_姫'!B:B,"見つかりません"))</f>
      </c>
      <c r="K1535" s="4">
        <v>95</v>
      </c>
      <c r="L1535" s="4">
        <v>500</v>
      </c>
      <c r="M1535" s="4"/>
      <c r="N1535" s="4"/>
      <c r="O1535" s="4"/>
      <c r="P1535" s="12" t="str">
        <f t="array" ref="P1535">IF(O1535:O5577="","",_xlfn.XLOOKUP(O1535:O5577,'参照_官位'!A:A,'参照_官位'!B:B,""))</f>
      </c>
      <c r="Q1535" s="12" t="str">
        <f t="array" ref="Q1535">IF(A1535:A5577="","",IFERROR(_xlfn.XLOOKUP(A1535:A5577,castles_state!K:K,castles_state!D:D)&amp;"主",IFERROR(_xlfn.XLOOKUP(A1535:A5577,kunishuClan!D:D,kunishuClan!B:B)&amp;"当主","")))</f>
      </c>
    </row>
    <row r="1536" ht="15.75" customHeight="1">
      <c r="A1536" s="4">
        <v>1033022</v>
      </c>
      <c r="B1536" s="12" t="str">
        <f t="array" ref="B1536">IF(A1536:A5578="","",_xlfn.XLOOKUP(A1536:A5578,'参照_武将'!A:A,'参照_武将'!B:B,"見つかりません"))</f>
      </c>
      <c r="C1536" s="4" t="s">
        <v>196</v>
      </c>
      <c r="D1536" s="4">
        <v>33</v>
      </c>
      <c r="E1536" s="12" t="str">
        <f t="array" ref="E1536">IF(D1536:D5578="","",IFERROR(_xlfn.XLOOKUP(D1536:D5578,'参照_勢力'!A:A,'参照_勢力'!B:B),IFERROR(_xlfn.XLOOKUP(F1536:F5578,kunishuClan!A:A,kunishuClan!B:B),"浪人")))</f>
      </c>
      <c r="F1536" s="4">
        <v>0</v>
      </c>
      <c r="G1536" s="4">
        <v>61</v>
      </c>
      <c r="H1536" s="12" t="str">
        <f t="array" ref="H1536">IF(G1536:G5578="","",_xlfn.XLOOKUP(G1536:G5578,castles_state!A:A,castles_state!D:D,"見つかりません"))</f>
      </c>
      <c r="I1536" s="4"/>
      <c r="J1536" s="12" t="str">
        <f t="array" ref="J1536">IF(I1536:I5578="","",_xlfn.XLOOKUP(I1536:I5578,'参照_姫'!A:A,'参照_姫'!B:B,"見つかりません"))</f>
      </c>
      <c r="K1536" s="4">
        <v>95</v>
      </c>
      <c r="L1536" s="4">
        <v>200</v>
      </c>
      <c r="M1536" s="4"/>
      <c r="N1536" s="4"/>
      <c r="O1536" s="4"/>
      <c r="P1536" s="12" t="str">
        <f t="array" ref="P1536">IF(O1536:O5578="","",_xlfn.XLOOKUP(O1536:O5578,'参照_官位'!A:A,'参照_官位'!B:B,""))</f>
      </c>
      <c r="Q1536" s="12" t="str">
        <f t="array" ref="Q1536">IF(A1536:A5578="","",IFERROR(_xlfn.XLOOKUP(A1536:A5578,castles_state!K:K,castles_state!D:D)&amp;"主",IFERROR(_xlfn.XLOOKUP(A1536:A5578,kunishuClan!D:D,kunishuClan!B:B)&amp;"当主","")))</f>
      </c>
    </row>
    <row r="1537" ht="15.75" customHeight="1">
      <c r="A1537" s="4">
        <v>1033023</v>
      </c>
      <c r="B1537" s="12" t="str">
        <f t="array" ref="B1537">IF(A1537:A5579="","",_xlfn.XLOOKUP(A1537:A5579,'参照_武将'!A:A,'参照_武将'!B:B,"見つかりません"))</f>
      </c>
      <c r="C1537" s="4" t="s">
        <v>196</v>
      </c>
      <c r="D1537" s="4">
        <v>33</v>
      </c>
      <c r="E1537" s="12" t="str">
        <f t="array" ref="E1537">IF(D1537:D5579="","",IFERROR(_xlfn.XLOOKUP(D1537:D5579,'参照_勢力'!A:A,'参照_勢力'!B:B),IFERROR(_xlfn.XLOOKUP(F1537:F5579,kunishuClan!A:A,kunishuClan!B:B),"浪人")))</f>
      </c>
      <c r="F1537" s="4">
        <v>0</v>
      </c>
      <c r="G1537" s="4">
        <v>62</v>
      </c>
      <c r="H1537" s="12" t="str">
        <f t="array" ref="H1537">IF(G1537:G5579="","",_xlfn.XLOOKUP(G1537:G5579,castles_state!A:A,castles_state!D:D,"見つかりません"))</f>
      </c>
      <c r="I1537" s="4"/>
      <c r="J1537" s="12" t="str">
        <f t="array" ref="J1537">IF(I1537:I5579="","",_xlfn.XLOOKUP(I1537:I5579,'参照_姫'!A:A,'参照_姫'!B:B,"見つかりません"))</f>
      </c>
      <c r="K1537" s="4">
        <v>95</v>
      </c>
      <c r="L1537" s="4">
        <v>500</v>
      </c>
      <c r="M1537" s="4"/>
      <c r="N1537" s="4"/>
      <c r="O1537" s="4"/>
      <c r="P1537" s="12" t="str">
        <f t="array" ref="P1537">IF(O1537:O5579="","",_xlfn.XLOOKUP(O1537:O5579,'参照_官位'!A:A,'参照_官位'!B:B,""))</f>
      </c>
      <c r="Q1537" s="12" t="str">
        <f t="array" ref="Q1537">IF(A1537:A5579="","",IFERROR(_xlfn.XLOOKUP(A1537:A5579,castles_state!K:K,castles_state!D:D)&amp;"主",IFERROR(_xlfn.XLOOKUP(A1537:A5579,kunishuClan!D:D,kunishuClan!B:B)&amp;"当主","")))</f>
      </c>
    </row>
    <row r="1538" ht="15.75" customHeight="1">
      <c r="A1538" s="4">
        <v>1033024</v>
      </c>
      <c r="B1538" s="12" t="str">
        <f t="array" ref="B1538">IF(A1538:A5580="","",_xlfn.XLOOKUP(A1538:A5580,'参照_武将'!A:A,'参照_武将'!B:B,"見つかりません"))</f>
      </c>
      <c r="C1538" s="4" t="s">
        <v>196</v>
      </c>
      <c r="D1538" s="4">
        <v>33</v>
      </c>
      <c r="E1538" s="12" t="str">
        <f t="array" ref="E1538">IF(D1538:D5580="","",IFERROR(_xlfn.XLOOKUP(D1538:D5580,'参照_勢力'!A:A,'参照_勢力'!B:B),IFERROR(_xlfn.XLOOKUP(F1538:F5580,kunishuClan!A:A,kunishuClan!B:B),"浪人")))</f>
      </c>
      <c r="F1538" s="4">
        <v>0</v>
      </c>
      <c r="G1538" s="4">
        <v>62</v>
      </c>
      <c r="H1538" s="12" t="str">
        <f t="array" ref="H1538">IF(G1538:G5580="","",_xlfn.XLOOKUP(G1538:G5580,castles_state!A:A,castles_state!D:D,"見つかりません"))</f>
      </c>
      <c r="I1538" s="4"/>
      <c r="J1538" s="12" t="str">
        <f t="array" ref="J1538">IF(I1538:I5580="","",_xlfn.XLOOKUP(I1538:I5580,'参照_姫'!A:A,'参照_姫'!B:B,"見つかりません"))</f>
      </c>
      <c r="K1538" s="4">
        <v>95</v>
      </c>
      <c r="L1538" s="4">
        <v>0</v>
      </c>
      <c r="M1538" s="4"/>
      <c r="N1538" s="4"/>
      <c r="O1538" s="4"/>
      <c r="P1538" s="12" t="str">
        <f t="array" ref="P1538">IF(O1538:O5580="","",_xlfn.XLOOKUP(O1538:O5580,'参照_官位'!A:A,'参照_官位'!B:B,""))</f>
      </c>
      <c r="Q1538" s="12" t="str">
        <f t="array" ref="Q1538">IF(A1538:A5580="","",IFERROR(_xlfn.XLOOKUP(A1538:A5580,castles_state!K:K,castles_state!D:D)&amp;"主",IFERROR(_xlfn.XLOOKUP(A1538:A5580,kunishuClan!D:D,kunishuClan!B:B)&amp;"当主","")))</f>
      </c>
    </row>
    <row r="1539" ht="15.75" customHeight="1">
      <c r="A1539" s="4">
        <v>1033025</v>
      </c>
      <c r="B1539" s="12" t="str">
        <f t="array" ref="B1539">IF(A1539:A5581="","",_xlfn.XLOOKUP(A1539:A5581,'参照_武将'!A:A,'参照_武将'!B:B,"見つかりません"))</f>
      </c>
      <c r="C1539" s="4" t="s">
        <v>196</v>
      </c>
      <c r="D1539" s="4">
        <v>33</v>
      </c>
      <c r="E1539" s="12" t="str">
        <f t="array" ref="E1539">IF(D1539:D5581="","",IFERROR(_xlfn.XLOOKUP(D1539:D5581,'参照_勢力'!A:A,'参照_勢力'!B:B),IFERROR(_xlfn.XLOOKUP(F1539:F5581,kunishuClan!A:A,kunishuClan!B:B),"浪人")))</f>
      </c>
      <c r="F1539" s="4">
        <v>0</v>
      </c>
      <c r="G1539" s="4">
        <v>61</v>
      </c>
      <c r="H1539" s="12" t="str">
        <f t="array" ref="H1539">IF(G1539:G5581="","",_xlfn.XLOOKUP(G1539:G5581,castles_state!A:A,castles_state!D:D,"見つかりません"))</f>
      </c>
      <c r="I1539" s="4"/>
      <c r="J1539" s="12" t="str">
        <f t="array" ref="J1539">IF(I1539:I5581="","",_xlfn.XLOOKUP(I1539:I5581,'参照_姫'!A:A,'参照_姫'!B:B,"見つかりません"))</f>
      </c>
      <c r="K1539" s="4">
        <v>95</v>
      </c>
      <c r="L1539" s="4">
        <v>0</v>
      </c>
      <c r="M1539" s="4"/>
      <c r="N1539" s="4"/>
      <c r="O1539" s="4"/>
      <c r="P1539" s="12" t="str">
        <f t="array" ref="P1539">IF(O1539:O5581="","",_xlfn.XLOOKUP(O1539:O5581,'参照_官位'!A:A,'参照_官位'!B:B,""))</f>
      </c>
      <c r="Q1539" s="12" t="str">
        <f t="array" ref="Q1539">IF(A1539:A5581="","",IFERROR(_xlfn.XLOOKUP(A1539:A5581,castles_state!K:K,castles_state!D:D)&amp;"主",IFERROR(_xlfn.XLOOKUP(A1539:A5581,kunishuClan!D:D,kunishuClan!B:B)&amp;"当主","")))</f>
      </c>
    </row>
    <row r="1540" ht="15.75" customHeight="1">
      <c r="A1540" s="4">
        <v>1033026</v>
      </c>
      <c r="B1540" s="12" t="str">
        <f t="array" ref="B1540">IF(A1540:A5582="","",_xlfn.XLOOKUP(A1540:A5582,'参照_武将'!A:A,'参照_武将'!B:B,"見つかりません"))</f>
      </c>
      <c r="C1540" s="4" t="s">
        <v>196</v>
      </c>
      <c r="D1540" s="4">
        <v>33</v>
      </c>
      <c r="E1540" s="12" t="str">
        <f t="array" ref="E1540">IF(D1540:D5582="","",IFERROR(_xlfn.XLOOKUP(D1540:D5582,'参照_勢力'!A:A,'参照_勢力'!B:B),IFERROR(_xlfn.XLOOKUP(F1540:F5582,kunishuClan!A:A,kunishuClan!B:B),"浪人")))</f>
      </c>
      <c r="F1540" s="4">
        <v>0</v>
      </c>
      <c r="G1540" s="4">
        <v>61</v>
      </c>
      <c r="H1540" s="12" t="str">
        <f t="array" ref="H1540">IF(G1540:G5582="","",_xlfn.XLOOKUP(G1540:G5582,castles_state!A:A,castles_state!D:D,"見つかりません"))</f>
      </c>
      <c r="I1540" s="4"/>
      <c r="J1540" s="12" t="str">
        <f t="array" ref="J1540">IF(I1540:I5582="","",_xlfn.XLOOKUP(I1540:I5582,'参照_姫'!A:A,'参照_姫'!B:B,"見つかりません"))</f>
      </c>
      <c r="K1540" s="4">
        <v>95</v>
      </c>
      <c r="L1540" s="4">
        <v>0</v>
      </c>
      <c r="M1540" s="4"/>
      <c r="N1540" s="4"/>
      <c r="O1540" s="4"/>
      <c r="P1540" s="12" t="str">
        <f t="array" ref="P1540">IF(O1540:O5582="","",_xlfn.XLOOKUP(O1540:O5582,'参照_官位'!A:A,'参照_官位'!B:B,""))</f>
      </c>
      <c r="Q1540" s="12" t="str">
        <f t="array" ref="Q1540">IF(A1540:A5582="","",IFERROR(_xlfn.XLOOKUP(A1540:A5582,castles_state!K:K,castles_state!D:D)&amp;"主",IFERROR(_xlfn.XLOOKUP(A1540:A5582,kunishuClan!D:D,kunishuClan!B:B)&amp;"当主","")))</f>
      </c>
    </row>
    <row r="1541" ht="15.75" customHeight="1">
      <c r="A1541" s="4">
        <v>1033027</v>
      </c>
      <c r="B1541" s="12" t="str">
        <f t="array" ref="B1541">IF(A1541:A5583="","",_xlfn.XLOOKUP(A1541:A5583,'参照_武将'!A:A,'参照_武将'!B:B,"見つかりません"))</f>
      </c>
      <c r="C1541" s="4" t="s">
        <v>196</v>
      </c>
      <c r="D1541" s="4">
        <v>33</v>
      </c>
      <c r="E1541" s="12" t="str">
        <f t="array" ref="E1541">IF(D1541:D5583="","",IFERROR(_xlfn.XLOOKUP(D1541:D5583,'参照_勢力'!A:A,'参照_勢力'!B:B),IFERROR(_xlfn.XLOOKUP(F1541:F5583,kunishuClan!A:A,kunishuClan!B:B),"浪人")))</f>
      </c>
      <c r="F1541" s="4">
        <v>0</v>
      </c>
      <c r="G1541" s="4">
        <v>61</v>
      </c>
      <c r="H1541" s="12" t="str">
        <f t="array" ref="H1541">IF(G1541:G5583="","",_xlfn.XLOOKUP(G1541:G5583,castles_state!A:A,castles_state!D:D,"見つかりません"))</f>
      </c>
      <c r="I1541" s="4"/>
      <c r="J1541" s="12" t="str">
        <f t="array" ref="J1541">IF(I1541:I5583="","",_xlfn.XLOOKUP(I1541:I5583,'参照_姫'!A:A,'参照_姫'!B:B,"見つかりません"))</f>
      </c>
      <c r="K1541" s="4">
        <v>95</v>
      </c>
      <c r="L1541" s="4">
        <v>0</v>
      </c>
      <c r="M1541" s="4"/>
      <c r="N1541" s="4"/>
      <c r="O1541" s="4"/>
      <c r="P1541" s="12" t="str">
        <f t="array" ref="P1541">IF(O1541:O5583="","",_xlfn.XLOOKUP(O1541:O5583,'参照_官位'!A:A,'参照_官位'!B:B,""))</f>
      </c>
      <c r="Q1541" s="12" t="str">
        <f t="array" ref="Q1541">IF(A1541:A5583="","",IFERROR(_xlfn.XLOOKUP(A1541:A5583,castles_state!K:K,castles_state!D:D)&amp;"主",IFERROR(_xlfn.XLOOKUP(A1541:A5583,kunishuClan!D:D,kunishuClan!B:B)&amp;"当主","")))</f>
      </c>
    </row>
    <row r="1542" ht="15.75" customHeight="1">
      <c r="A1542" s="4">
        <v>1033028</v>
      </c>
      <c r="B1542" s="12" t="str">
        <f t="array" ref="B1542">IF(A1542:A5584="","",_xlfn.XLOOKUP(A1542:A5584,'参照_武将'!A:A,'参照_武将'!B:B,"見つかりません"))</f>
      </c>
      <c r="C1542" s="4" t="s">
        <v>196</v>
      </c>
      <c r="D1542" s="4">
        <v>33</v>
      </c>
      <c r="E1542" s="12" t="str">
        <f t="array" ref="E1542">IF(D1542:D5584="","",IFERROR(_xlfn.XLOOKUP(D1542:D5584,'参照_勢力'!A:A,'参照_勢力'!B:B),IFERROR(_xlfn.XLOOKUP(F1542:F5584,kunishuClan!A:A,kunishuClan!B:B),"浪人")))</f>
      </c>
      <c r="F1542" s="4">
        <v>0</v>
      </c>
      <c r="G1542" s="4">
        <v>61</v>
      </c>
      <c r="H1542" s="12" t="str">
        <f t="array" ref="H1542">IF(G1542:G5584="","",_xlfn.XLOOKUP(G1542:G5584,castles_state!A:A,castles_state!D:D,"見つかりません"))</f>
      </c>
      <c r="I1542" s="4"/>
      <c r="J1542" s="12" t="str">
        <f t="array" ref="J1542">IF(I1542:I5584="","",_xlfn.XLOOKUP(I1542:I5584,'参照_姫'!A:A,'参照_姫'!B:B,"見つかりません"))</f>
      </c>
      <c r="K1542" s="4">
        <v>95</v>
      </c>
      <c r="L1542" s="4">
        <v>0</v>
      </c>
      <c r="M1542" s="4"/>
      <c r="N1542" s="4"/>
      <c r="O1542" s="4"/>
      <c r="P1542" s="12" t="str">
        <f t="array" ref="P1542">IF(O1542:O5584="","",_xlfn.XLOOKUP(O1542:O5584,'参照_官位'!A:A,'参照_官位'!B:B,""))</f>
      </c>
      <c r="Q1542" s="12" t="str">
        <f t="array" ref="Q1542">IF(A1542:A5584="","",IFERROR(_xlfn.XLOOKUP(A1542:A5584,castles_state!K:K,castles_state!D:D)&amp;"主",IFERROR(_xlfn.XLOOKUP(A1542:A5584,kunishuClan!D:D,kunishuClan!B:B)&amp;"当主","")))</f>
      </c>
    </row>
    <row r="1543" ht="15.75" customHeight="1">
      <c r="A1543" s="4">
        <v>1033029</v>
      </c>
      <c r="B1543" s="12" t="str">
        <f t="array" ref="B1543">IF(A1543:A5585="","",_xlfn.XLOOKUP(A1543:A5585,'参照_武将'!A:A,'参照_武将'!B:B,"見つかりません"))</f>
      </c>
      <c r="C1543" s="4" t="s">
        <v>196</v>
      </c>
      <c r="D1543" s="4">
        <v>33</v>
      </c>
      <c r="E1543" s="12" t="str">
        <f t="array" ref="E1543">IF(D1543:D5585="","",IFERROR(_xlfn.XLOOKUP(D1543:D5585,'参照_勢力'!A:A,'参照_勢力'!B:B),IFERROR(_xlfn.XLOOKUP(F1543:F5585,kunishuClan!A:A,kunishuClan!B:B),"浪人")))</f>
      </c>
      <c r="F1543" s="4">
        <v>0</v>
      </c>
      <c r="G1543" s="4">
        <v>61</v>
      </c>
      <c r="H1543" s="12" t="str">
        <f t="array" ref="H1543">IF(G1543:G5585="","",_xlfn.XLOOKUP(G1543:G5585,castles_state!A:A,castles_state!D:D,"見つかりません"))</f>
      </c>
      <c r="I1543" s="4"/>
      <c r="J1543" s="12" t="str">
        <f t="array" ref="J1543">IF(I1543:I5585="","",_xlfn.XLOOKUP(I1543:I5585,'参照_姫'!A:A,'参照_姫'!B:B,"見つかりません"))</f>
      </c>
      <c r="K1543" s="4">
        <v>95</v>
      </c>
      <c r="L1543" s="4">
        <v>0</v>
      </c>
      <c r="M1543" s="4"/>
      <c r="N1543" s="4"/>
      <c r="O1543" s="4"/>
      <c r="P1543" s="12" t="str">
        <f t="array" ref="P1543">IF(O1543:O5585="","",_xlfn.XLOOKUP(O1543:O5585,'参照_官位'!A:A,'参照_官位'!B:B,""))</f>
      </c>
      <c r="Q1543" s="12" t="str">
        <f t="array" ref="Q1543">IF(A1543:A5585="","",IFERROR(_xlfn.XLOOKUP(A1543:A5585,castles_state!K:K,castles_state!D:D)&amp;"主",IFERROR(_xlfn.XLOOKUP(A1543:A5585,kunishuClan!D:D,kunishuClan!B:B)&amp;"当主","")))</f>
      </c>
    </row>
    <row r="1544" ht="15.75" customHeight="1">
      <c r="A1544" s="4">
        <v>1033030</v>
      </c>
      <c r="B1544" s="12" t="str">
        <f t="array" ref="B1544">IF(A1544:A5586="","",_xlfn.XLOOKUP(A1544:A5586,'参照_武将'!A:A,'参照_武将'!B:B,"見つかりません"))</f>
      </c>
      <c r="C1544" s="4" t="s">
        <v>196</v>
      </c>
      <c r="D1544" s="4">
        <v>33</v>
      </c>
      <c r="E1544" s="12" t="str">
        <f t="array" ref="E1544">IF(D1544:D5586="","",IFERROR(_xlfn.XLOOKUP(D1544:D5586,'参照_勢力'!A:A,'参照_勢力'!B:B),IFERROR(_xlfn.XLOOKUP(F1544:F5586,kunishuClan!A:A,kunishuClan!B:B),"浪人")))</f>
      </c>
      <c r="F1544" s="4">
        <v>0</v>
      </c>
      <c r="G1544" s="4">
        <v>62</v>
      </c>
      <c r="H1544" s="12" t="str">
        <f t="array" ref="H1544">IF(G1544:G5586="","",_xlfn.XLOOKUP(G1544:G5586,castles_state!A:A,castles_state!D:D,"見つかりません"))</f>
      </c>
      <c r="I1544" s="4"/>
      <c r="J1544" s="12" t="str">
        <f t="array" ref="J1544">IF(I1544:I5586="","",_xlfn.XLOOKUP(I1544:I5586,'参照_姫'!A:A,'参照_姫'!B:B,"見つかりません"))</f>
      </c>
      <c r="K1544" s="4">
        <v>95</v>
      </c>
      <c r="L1544" s="4">
        <v>500</v>
      </c>
      <c r="M1544" s="4"/>
      <c r="N1544" s="4"/>
      <c r="O1544" s="4"/>
      <c r="P1544" s="12" t="str">
        <f t="array" ref="P1544">IF(O1544:O5586="","",_xlfn.XLOOKUP(O1544:O5586,'参照_官位'!A:A,'参照_官位'!B:B,""))</f>
      </c>
      <c r="Q1544" s="12" t="str">
        <f t="array" ref="Q1544">IF(A1544:A5586="","",IFERROR(_xlfn.XLOOKUP(A1544:A5586,castles_state!K:K,castles_state!D:D)&amp;"主",IFERROR(_xlfn.XLOOKUP(A1544:A5586,kunishuClan!D:D,kunishuClan!B:B)&amp;"当主","")))</f>
      </c>
    </row>
    <row r="1545" ht="15.75" customHeight="1">
      <c r="A1545" s="4">
        <v>1033031</v>
      </c>
      <c r="B1545" s="12" t="str">
        <f t="array" ref="B1545">IF(A1545:A5587="","",_xlfn.XLOOKUP(A1545:A5587,'参照_武将'!A:A,'参照_武将'!B:B,"見つかりません"))</f>
      </c>
      <c r="C1545" s="4" t="s">
        <v>196</v>
      </c>
      <c r="D1545" s="4">
        <v>33</v>
      </c>
      <c r="E1545" s="12" t="str">
        <f t="array" ref="E1545">IF(D1545:D5587="","",IFERROR(_xlfn.XLOOKUP(D1545:D5587,'参照_勢力'!A:A,'参照_勢力'!B:B),IFERROR(_xlfn.XLOOKUP(F1545:F5587,kunishuClan!A:A,kunishuClan!B:B),"浪人")))</f>
      </c>
      <c r="F1545" s="4">
        <v>0</v>
      </c>
      <c r="G1545" s="4">
        <v>62</v>
      </c>
      <c r="H1545" s="12" t="str">
        <f t="array" ref="H1545">IF(G1545:G5587="","",_xlfn.XLOOKUP(G1545:G5587,castles_state!A:A,castles_state!D:D,"見つかりません"))</f>
      </c>
      <c r="I1545" s="4"/>
      <c r="J1545" s="12" t="str">
        <f t="array" ref="J1545">IF(I1545:I5587="","",_xlfn.XLOOKUP(I1545:I5587,'参照_姫'!A:A,'参照_姫'!B:B,"見つかりません"))</f>
      </c>
      <c r="K1545" s="4">
        <v>95</v>
      </c>
      <c r="L1545" s="4">
        <v>0</v>
      </c>
      <c r="M1545" s="4"/>
      <c r="N1545" s="4"/>
      <c r="O1545" s="4"/>
      <c r="P1545" s="12" t="str">
        <f t="array" ref="P1545">IF(O1545:O5587="","",_xlfn.XLOOKUP(O1545:O5587,'参照_官位'!A:A,'参照_官位'!B:B,""))</f>
      </c>
      <c r="Q1545" s="12" t="str">
        <f t="array" ref="Q1545">IF(A1545:A5587="","",IFERROR(_xlfn.XLOOKUP(A1545:A5587,castles_state!K:K,castles_state!D:D)&amp;"主",IFERROR(_xlfn.XLOOKUP(A1545:A5587,kunishuClan!D:D,kunishuClan!B:B)&amp;"当主","")))</f>
      </c>
    </row>
    <row r="1546" ht="15.75" customHeight="1">
      <c r="A1546" s="4">
        <v>1033032</v>
      </c>
      <c r="B1546" s="12" t="str">
        <f t="array" ref="B1546">IF(A1546:A5588="","",_xlfn.XLOOKUP(A1546:A5588,'参照_武将'!A:A,'参照_武将'!B:B,"見つかりません"))</f>
      </c>
      <c r="C1546" s="4" t="s">
        <v>196</v>
      </c>
      <c r="D1546" s="4">
        <v>33</v>
      </c>
      <c r="E1546" s="12" t="str">
        <f t="array" ref="E1546">IF(D1546:D5588="","",IFERROR(_xlfn.XLOOKUP(D1546:D5588,'参照_勢力'!A:A,'参照_勢力'!B:B),IFERROR(_xlfn.XLOOKUP(F1546:F5588,kunishuClan!A:A,kunishuClan!B:B),"浪人")))</f>
      </c>
      <c r="F1546" s="4">
        <v>0</v>
      </c>
      <c r="G1546" s="4">
        <v>62</v>
      </c>
      <c r="H1546" s="12" t="str">
        <f t="array" ref="H1546">IF(G1546:G5588="","",_xlfn.XLOOKUP(G1546:G5588,castles_state!A:A,castles_state!D:D,"見つかりません"))</f>
      </c>
      <c r="I1546" s="4"/>
      <c r="J1546" s="12" t="str">
        <f t="array" ref="J1546">IF(I1546:I5588="","",_xlfn.XLOOKUP(I1546:I5588,'参照_姫'!A:A,'参照_姫'!B:B,"見つかりません"))</f>
      </c>
      <c r="K1546" s="4">
        <v>85</v>
      </c>
      <c r="L1546" s="4">
        <v>0</v>
      </c>
      <c r="M1546" s="4"/>
      <c r="N1546" s="4"/>
      <c r="O1546" s="4"/>
      <c r="P1546" s="12" t="str">
        <f t="array" ref="P1546">IF(O1546:O5588="","",_xlfn.XLOOKUP(O1546:O5588,'参照_官位'!A:A,'参照_官位'!B:B,""))</f>
      </c>
      <c r="Q1546" s="12" t="str">
        <f t="array" ref="Q1546">IF(A1546:A5588="","",IFERROR(_xlfn.XLOOKUP(A1546:A5588,castles_state!K:K,castles_state!D:D)&amp;"主",IFERROR(_xlfn.XLOOKUP(A1546:A5588,kunishuClan!D:D,kunishuClan!B:B)&amp;"当主","")))</f>
      </c>
    </row>
    <row r="1547" ht="15.75" customHeight="1">
      <c r="A1547" s="4">
        <v>1033033</v>
      </c>
      <c r="B1547" s="12" t="str">
        <f t="array" ref="B1547">IF(A1547:A5589="","",_xlfn.XLOOKUP(A1547:A5589,'参照_武将'!A:A,'参照_武将'!B:B,"見つかりません"))</f>
      </c>
      <c r="C1547" s="4" t="s">
        <v>196</v>
      </c>
      <c r="D1547" s="4">
        <v>33</v>
      </c>
      <c r="E1547" s="12" t="str">
        <f t="array" ref="E1547">IF(D1547:D5589="","",IFERROR(_xlfn.XLOOKUP(D1547:D5589,'参照_勢力'!A:A,'参照_勢力'!B:B),IFERROR(_xlfn.XLOOKUP(F1547:F5589,kunishuClan!A:A,kunishuClan!B:B),"浪人")))</f>
      </c>
      <c r="F1547" s="4">
        <v>0</v>
      </c>
      <c r="G1547" s="4">
        <v>61</v>
      </c>
      <c r="H1547" s="12" t="str">
        <f t="array" ref="H1547">IF(G1547:G5589="","",_xlfn.XLOOKUP(G1547:G5589,castles_state!A:A,castles_state!D:D,"見つかりません"))</f>
      </c>
      <c r="I1547" s="4"/>
      <c r="J1547" s="12" t="str">
        <f t="array" ref="J1547">IF(I1547:I5589="","",_xlfn.XLOOKUP(I1547:I5589,'参照_姫'!A:A,'参照_姫'!B:B,"見つかりません"))</f>
      </c>
      <c r="K1547" s="4">
        <v>95</v>
      </c>
      <c r="L1547" s="4">
        <v>500</v>
      </c>
      <c r="M1547" s="4"/>
      <c r="N1547" s="4"/>
      <c r="O1547" s="4"/>
      <c r="P1547" s="12" t="str">
        <f t="array" ref="P1547">IF(O1547:O5589="","",_xlfn.XLOOKUP(O1547:O5589,'参照_官位'!A:A,'参照_官位'!B:B,""))</f>
      </c>
      <c r="Q1547" s="12" t="str">
        <f t="array" ref="Q1547">IF(A1547:A5589="","",IFERROR(_xlfn.XLOOKUP(A1547:A5589,castles_state!K:K,castles_state!D:D)&amp;"主",IFERROR(_xlfn.XLOOKUP(A1547:A5589,kunishuClan!D:D,kunishuClan!B:B)&amp;"当主","")))</f>
      </c>
    </row>
    <row r="1548" ht="15.75" customHeight="1">
      <c r="A1548" s="4">
        <v>1033034</v>
      </c>
      <c r="B1548" s="12" t="str">
        <f t="array" ref="B1548">IF(A1548:A5590="","",_xlfn.XLOOKUP(A1548:A5590,'参照_武将'!A:A,'参照_武将'!B:B,"見つかりません"))</f>
      </c>
      <c r="C1548" s="4" t="s">
        <v>196</v>
      </c>
      <c r="D1548" s="4">
        <v>33</v>
      </c>
      <c r="E1548" s="12" t="str">
        <f t="array" ref="E1548">IF(D1548:D5590="","",IFERROR(_xlfn.XLOOKUP(D1548:D5590,'参照_勢力'!A:A,'参照_勢力'!B:B),IFERROR(_xlfn.XLOOKUP(F1548:F5590,kunishuClan!A:A,kunishuClan!B:B),"浪人")))</f>
      </c>
      <c r="F1548" s="4">
        <v>0</v>
      </c>
      <c r="G1548" s="4">
        <v>61</v>
      </c>
      <c r="H1548" s="12" t="str">
        <f t="array" ref="H1548">IF(G1548:G5590="","",_xlfn.XLOOKUP(G1548:G5590,castles_state!A:A,castles_state!D:D,"見つかりません"))</f>
      </c>
      <c r="I1548" s="4"/>
      <c r="J1548" s="12" t="str">
        <f t="array" ref="J1548">IF(I1548:I5590="","",_xlfn.XLOOKUP(I1548:I5590,'参照_姫'!A:A,'参照_姫'!B:B,"見つかりません"))</f>
      </c>
      <c r="K1548" s="4">
        <v>80</v>
      </c>
      <c r="L1548" s="4">
        <v>0</v>
      </c>
      <c r="M1548" s="4"/>
      <c r="N1548" s="4"/>
      <c r="O1548" s="4"/>
      <c r="P1548" s="12" t="str">
        <f t="array" ref="P1548">IF(O1548:O5590="","",_xlfn.XLOOKUP(O1548:O5590,'参照_官位'!A:A,'参照_官位'!B:B,""))</f>
      </c>
      <c r="Q1548" s="12" t="str">
        <f t="array" ref="Q1548">IF(A1548:A5590="","",IFERROR(_xlfn.XLOOKUP(A1548:A5590,castles_state!K:K,castles_state!D:D)&amp;"主",IFERROR(_xlfn.XLOOKUP(A1548:A5590,kunishuClan!D:D,kunishuClan!B:B)&amp;"当主","")))</f>
      </c>
    </row>
    <row r="1549" ht="15.75" customHeight="1">
      <c r="A1549" s="4">
        <v>1034001</v>
      </c>
      <c r="B1549" s="12" t="str">
        <f t="array" ref="B1549">IF(A1549:A5591="","",_xlfn.XLOOKUP(A1549:A5591,'参照_武将'!A:A,'参照_武将'!B:B,"見つかりません"))</f>
      </c>
      <c r="C1549" s="4" t="s">
        <v>199</v>
      </c>
      <c r="D1549" s="4">
        <v>34</v>
      </c>
      <c r="E1549" s="12" t="str">
        <f t="array" ref="E1549">IF(D1549:D5591="","",IFERROR(_xlfn.XLOOKUP(D1549:D5591,'参照_勢力'!A:A,'参照_勢力'!B:B),IFERROR(_xlfn.XLOOKUP(F1549:F5591,kunishuClan!A:A,kunishuClan!B:B),"浪人")))</f>
      </c>
      <c r="F1549" s="4">
        <v>0</v>
      </c>
      <c r="G1549" s="4">
        <v>63</v>
      </c>
      <c r="H1549" s="12" t="str">
        <f t="array" ref="H1549">IF(G1549:G5591="","",_xlfn.XLOOKUP(G1549:G5591,castles_state!A:A,castles_state!D:D,"見つかりません"))</f>
      </c>
      <c r="I1549" s="4"/>
      <c r="J1549" s="12" t="str">
        <f t="array" ref="J1549">IF(I1549:I5591="","",_xlfn.XLOOKUP(I1549:I5591,'参照_姫'!A:A,'参照_姫'!B:B,"見つかりません"))</f>
      </c>
      <c r="K1549" s="4">
        <v>95</v>
      </c>
      <c r="L1549" s="4">
        <v>0</v>
      </c>
      <c r="M1549" s="4"/>
      <c r="N1549" s="4"/>
      <c r="O1549" s="4"/>
      <c r="P1549" s="12" t="str">
        <f t="array" ref="P1549">IF(O1549:O5591="","",_xlfn.XLOOKUP(O1549:O5591,'参照_官位'!A:A,'参照_官位'!B:B,""))</f>
      </c>
      <c r="Q1549" s="12" t="str">
        <f t="array" ref="Q1549">IF(A1549:A5591="","",IFERROR(_xlfn.XLOOKUP(A1549:A5591,castles_state!K:K,castles_state!D:D)&amp;"主",IFERROR(_xlfn.XLOOKUP(A1549:A5591,kunishuClan!D:D,kunishuClan!B:B)&amp;"当主","")))</f>
      </c>
    </row>
    <row r="1550" ht="15.75" customHeight="1">
      <c r="A1550" s="4">
        <v>1034002</v>
      </c>
      <c r="B1550" s="12" t="str">
        <f t="array" ref="B1550">IF(A1550:A5592="","",_xlfn.XLOOKUP(A1550:A5592,'参照_武将'!A:A,'参照_武将'!B:B,"見つかりません"))</f>
      </c>
      <c r="C1550" s="4" t="s">
        <v>199</v>
      </c>
      <c r="D1550" s="4">
        <v>34</v>
      </c>
      <c r="E1550" s="12" t="str">
        <f t="array" ref="E1550">IF(D1550:D5592="","",IFERROR(_xlfn.XLOOKUP(D1550:D5592,'参照_勢力'!A:A,'参照_勢力'!B:B),IFERROR(_xlfn.XLOOKUP(F1550:F5592,kunishuClan!A:A,kunishuClan!B:B),"浪人")))</f>
      </c>
      <c r="F1550" s="4">
        <v>0</v>
      </c>
      <c r="G1550" s="4">
        <v>63</v>
      </c>
      <c r="H1550" s="12" t="str">
        <f t="array" ref="H1550">IF(G1550:G5592="","",_xlfn.XLOOKUP(G1550:G5592,castles_state!A:A,castles_state!D:D,"見つかりません"))</f>
      </c>
      <c r="I1550" s="4"/>
      <c r="J1550" s="12" t="str">
        <f t="array" ref="J1550">IF(I1550:I5592="","",_xlfn.XLOOKUP(I1550:I5592,'参照_姫'!A:A,'参照_姫'!B:B,"見つかりません"))</f>
      </c>
      <c r="K1550" s="4">
        <v>95</v>
      </c>
      <c r="L1550" s="4">
        <v>0</v>
      </c>
      <c r="M1550" s="4"/>
      <c r="N1550" s="4"/>
      <c r="O1550" s="4"/>
      <c r="P1550" s="12" t="str">
        <f t="array" ref="P1550">IF(O1550:O5592="","",_xlfn.XLOOKUP(O1550:O5592,'参照_官位'!A:A,'参照_官位'!B:B,""))</f>
      </c>
      <c r="Q1550" s="12" t="str">
        <f t="array" ref="Q1550">IF(A1550:A5592="","",IFERROR(_xlfn.XLOOKUP(A1550:A5592,castles_state!K:K,castles_state!D:D)&amp;"主",IFERROR(_xlfn.XLOOKUP(A1550:A5592,kunishuClan!D:D,kunishuClan!B:B)&amp;"当主","")))</f>
      </c>
    </row>
    <row r="1551" ht="15.75" customHeight="1">
      <c r="A1551" s="4">
        <v>1034003</v>
      </c>
      <c r="B1551" s="12" t="str">
        <f t="array" ref="B1551">IF(A1551:A5593="","",_xlfn.XLOOKUP(A1551:A5593,'参照_武将'!A:A,'参照_武将'!B:B,"見つかりません"))</f>
      </c>
      <c r="C1551" s="4" t="s">
        <v>199</v>
      </c>
      <c r="D1551" s="4">
        <v>34</v>
      </c>
      <c r="E1551" s="12" t="str">
        <f t="array" ref="E1551">IF(D1551:D5593="","",IFERROR(_xlfn.XLOOKUP(D1551:D5593,'参照_勢力'!A:A,'参照_勢力'!B:B),IFERROR(_xlfn.XLOOKUP(F1551:F5593,kunishuClan!A:A,kunishuClan!B:B),"浪人")))</f>
      </c>
      <c r="F1551" s="4">
        <v>0</v>
      </c>
      <c r="G1551" s="4">
        <v>63</v>
      </c>
      <c r="H1551" s="12" t="str">
        <f t="array" ref="H1551">IF(G1551:G5593="","",_xlfn.XLOOKUP(G1551:G5593,castles_state!A:A,castles_state!D:D,"見つかりません"))</f>
      </c>
      <c r="I1551" s="4"/>
      <c r="J1551" s="12" t="str">
        <f t="array" ref="J1551">IF(I1551:I5593="","",_xlfn.XLOOKUP(I1551:I5593,'参照_姫'!A:A,'参照_姫'!B:B,"見つかりません"))</f>
      </c>
      <c r="K1551" s="4">
        <v>95</v>
      </c>
      <c r="L1551" s="4">
        <v>0</v>
      </c>
      <c r="M1551" s="4"/>
      <c r="N1551" s="4"/>
      <c r="O1551" s="4"/>
      <c r="P1551" s="12" t="str">
        <f t="array" ref="P1551">IF(O1551:O5593="","",_xlfn.XLOOKUP(O1551:O5593,'参照_官位'!A:A,'参照_官位'!B:B,""))</f>
      </c>
      <c r="Q1551" s="12" t="str">
        <f t="array" ref="Q1551">IF(A1551:A5593="","",IFERROR(_xlfn.XLOOKUP(A1551:A5593,castles_state!K:K,castles_state!D:D)&amp;"主",IFERROR(_xlfn.XLOOKUP(A1551:A5593,kunishuClan!D:D,kunishuClan!B:B)&amp;"当主","")))</f>
      </c>
    </row>
    <row r="1552" ht="15.75" customHeight="1">
      <c r="A1552" s="4">
        <v>1034004</v>
      </c>
      <c r="B1552" s="12" t="str">
        <f t="array" ref="B1552">IF(A1552:A5594="","",_xlfn.XLOOKUP(A1552:A5594,'参照_武将'!A:A,'参照_武将'!B:B,"見つかりません"))</f>
      </c>
      <c r="C1552" s="4" t="s">
        <v>199</v>
      </c>
      <c r="D1552" s="4">
        <v>34</v>
      </c>
      <c r="E1552" s="12" t="str">
        <f t="array" ref="E1552">IF(D1552:D5594="","",IFERROR(_xlfn.XLOOKUP(D1552:D5594,'参照_勢力'!A:A,'参照_勢力'!B:B),IFERROR(_xlfn.XLOOKUP(F1552:F5594,kunishuClan!A:A,kunishuClan!B:B),"浪人")))</f>
      </c>
      <c r="F1552" s="4">
        <v>0</v>
      </c>
      <c r="G1552" s="4">
        <v>63</v>
      </c>
      <c r="H1552" s="12" t="str">
        <f t="array" ref="H1552">IF(G1552:G5594="","",_xlfn.XLOOKUP(G1552:G5594,castles_state!A:A,castles_state!D:D,"見つかりません"))</f>
      </c>
      <c r="I1552" s="4"/>
      <c r="J1552" s="12" t="str">
        <f t="array" ref="J1552">IF(I1552:I5594="","",_xlfn.XLOOKUP(I1552:I5594,'参照_姫'!A:A,'参照_姫'!B:B,"見つかりません"))</f>
      </c>
      <c r="K1552" s="4">
        <v>100</v>
      </c>
      <c r="L1552" s="4">
        <v>1000</v>
      </c>
      <c r="M1552" s="4"/>
      <c r="N1552" s="4"/>
      <c r="O1552" s="4"/>
      <c r="P1552" s="12" t="str">
        <f t="array" ref="P1552">IF(O1552:O5594="","",_xlfn.XLOOKUP(O1552:O5594,'参照_官位'!A:A,'参照_官位'!B:B,""))</f>
      </c>
      <c r="Q1552" s="12" t="str">
        <f t="array" ref="Q1552">IF(A1552:A5594="","",IFERROR(_xlfn.XLOOKUP(A1552:A5594,castles_state!K:K,castles_state!D:D)&amp;"主",IFERROR(_xlfn.XLOOKUP(A1552:A5594,kunishuClan!D:D,kunishuClan!B:B)&amp;"当主","")))</f>
      </c>
    </row>
    <row r="1553" ht="15.75" customHeight="1">
      <c r="A1553" s="4">
        <v>1034005</v>
      </c>
      <c r="B1553" s="12" t="str">
        <f t="array" ref="B1553">IF(A1553:A5595="","",_xlfn.XLOOKUP(A1553:A5595,'参照_武将'!A:A,'参照_武将'!B:B,"見つかりません"))</f>
      </c>
      <c r="C1553" s="4" t="s">
        <v>199</v>
      </c>
      <c r="D1553" s="4">
        <v>34</v>
      </c>
      <c r="E1553" s="12" t="str">
        <f t="array" ref="E1553">IF(D1553:D5595="","",IFERROR(_xlfn.XLOOKUP(D1553:D5595,'参照_勢力'!A:A,'参照_勢力'!B:B),IFERROR(_xlfn.XLOOKUP(F1553:F5595,kunishuClan!A:A,kunishuClan!B:B),"浪人")))</f>
      </c>
      <c r="F1553" s="4">
        <v>0</v>
      </c>
      <c r="G1553" s="4">
        <v>63</v>
      </c>
      <c r="H1553" s="12" t="str">
        <f t="array" ref="H1553">IF(G1553:G5595="","",_xlfn.XLOOKUP(G1553:G5595,castles_state!A:A,castles_state!D:D,"見つかりません"))</f>
      </c>
      <c r="I1553" s="4"/>
      <c r="J1553" s="12" t="str">
        <f t="array" ref="J1553">IF(I1553:I5595="","",_xlfn.XLOOKUP(I1553:I5595,'参照_姫'!A:A,'参照_姫'!B:B,"見つかりません"))</f>
      </c>
      <c r="K1553" s="4">
        <v>95</v>
      </c>
      <c r="L1553" s="4">
        <v>500</v>
      </c>
      <c r="M1553" s="4"/>
      <c r="N1553" s="4"/>
      <c r="O1553" s="4"/>
      <c r="P1553" s="12" t="str">
        <f t="array" ref="P1553">IF(O1553:O5595="","",_xlfn.XLOOKUP(O1553:O5595,'参照_官位'!A:A,'参照_官位'!B:B,""))</f>
      </c>
      <c r="Q1553" s="12" t="str">
        <f t="array" ref="Q1553">IF(A1553:A5595="","",IFERROR(_xlfn.XLOOKUP(A1553:A5595,castles_state!K:K,castles_state!D:D)&amp;"主",IFERROR(_xlfn.XLOOKUP(A1553:A5595,kunishuClan!D:D,kunishuClan!B:B)&amp;"当主","")))</f>
      </c>
    </row>
    <row r="1554" ht="15.75" customHeight="1">
      <c r="A1554" s="4">
        <v>1034006</v>
      </c>
      <c r="B1554" s="12" t="str">
        <f t="array" ref="B1554">IF(A1554:A5596="","",_xlfn.XLOOKUP(A1554:A5596,'参照_武将'!A:A,'参照_武将'!B:B,"見つかりません"))</f>
      </c>
      <c r="C1554" s="4" t="s">
        <v>199</v>
      </c>
      <c r="D1554" s="4">
        <v>34</v>
      </c>
      <c r="E1554" s="12" t="str">
        <f t="array" ref="E1554">IF(D1554:D5596="","",IFERROR(_xlfn.XLOOKUP(D1554:D5596,'参照_勢力'!A:A,'参照_勢力'!B:B),IFERROR(_xlfn.XLOOKUP(F1554:F5596,kunishuClan!A:A,kunishuClan!B:B),"浪人")))</f>
      </c>
      <c r="F1554" s="4">
        <v>0</v>
      </c>
      <c r="G1554" s="4">
        <v>63</v>
      </c>
      <c r="H1554" s="12" t="str">
        <f t="array" ref="H1554">IF(G1554:G5596="","",_xlfn.XLOOKUP(G1554:G5596,castles_state!A:A,castles_state!D:D,"見つかりません"))</f>
      </c>
      <c r="I1554" s="4"/>
      <c r="J1554" s="12" t="str">
        <f t="array" ref="J1554">IF(I1554:I5596="","",_xlfn.XLOOKUP(I1554:I5596,'参照_姫'!A:A,'参照_姫'!B:B,"見つかりません"))</f>
      </c>
      <c r="K1554" s="4">
        <v>95</v>
      </c>
      <c r="L1554" s="4">
        <v>300</v>
      </c>
      <c r="M1554" s="4"/>
      <c r="N1554" s="4"/>
      <c r="O1554" s="4"/>
      <c r="P1554" s="12" t="str">
        <f t="array" ref="P1554">IF(O1554:O5596="","",_xlfn.XLOOKUP(O1554:O5596,'参照_官位'!A:A,'参照_官位'!B:B,""))</f>
      </c>
      <c r="Q1554" s="12" t="str">
        <f t="array" ref="Q1554">IF(A1554:A5596="","",IFERROR(_xlfn.XLOOKUP(A1554:A5596,castles_state!K:K,castles_state!D:D)&amp;"主",IFERROR(_xlfn.XLOOKUP(A1554:A5596,kunishuClan!D:D,kunishuClan!B:B)&amp;"当主","")))</f>
      </c>
    </row>
    <row r="1555" ht="15.75" customHeight="1">
      <c r="A1555" s="4">
        <v>1034007</v>
      </c>
      <c r="B1555" s="12" t="str">
        <f t="array" ref="B1555">IF(A1555:A5597="","",_xlfn.XLOOKUP(A1555:A5597,'参照_武将'!A:A,'参照_武将'!B:B,"見つかりません"))</f>
      </c>
      <c r="C1555" s="4" t="s">
        <v>199</v>
      </c>
      <c r="D1555" s="4">
        <v>34</v>
      </c>
      <c r="E1555" s="12" t="str">
        <f t="array" ref="E1555">IF(D1555:D5597="","",IFERROR(_xlfn.XLOOKUP(D1555:D5597,'参照_勢力'!A:A,'参照_勢力'!B:B),IFERROR(_xlfn.XLOOKUP(F1555:F5597,kunishuClan!A:A,kunishuClan!B:B),"浪人")))</f>
      </c>
      <c r="F1555" s="4">
        <v>0</v>
      </c>
      <c r="G1555" s="4">
        <v>63</v>
      </c>
      <c r="H1555" s="12" t="str">
        <f t="array" ref="H1555">IF(G1555:G5597="","",_xlfn.XLOOKUP(G1555:G5597,castles_state!A:A,castles_state!D:D,"見つかりません"))</f>
      </c>
      <c r="I1555" s="4"/>
      <c r="J1555" s="12" t="str">
        <f t="array" ref="J1555">IF(I1555:I5597="","",_xlfn.XLOOKUP(I1555:I5597,'参照_姫'!A:A,'参照_姫'!B:B,"見つかりません"))</f>
      </c>
      <c r="K1555" s="4">
        <v>95</v>
      </c>
      <c r="L1555" s="4">
        <v>0</v>
      </c>
      <c r="M1555" s="4"/>
      <c r="N1555" s="4"/>
      <c r="O1555" s="4"/>
      <c r="P1555" s="12" t="str">
        <f t="array" ref="P1555">IF(O1555:O5597="","",_xlfn.XLOOKUP(O1555:O5597,'参照_官位'!A:A,'参照_官位'!B:B,""))</f>
      </c>
      <c r="Q1555" s="12" t="str">
        <f t="array" ref="Q1555">IF(A1555:A5597="","",IFERROR(_xlfn.XLOOKUP(A1555:A5597,castles_state!K:K,castles_state!D:D)&amp;"主",IFERROR(_xlfn.XLOOKUP(A1555:A5597,kunishuClan!D:D,kunishuClan!B:B)&amp;"当主","")))</f>
      </c>
    </row>
    <row r="1556" ht="15.75" customHeight="1">
      <c r="A1556" s="4">
        <v>1034008</v>
      </c>
      <c r="B1556" s="12" t="str">
        <f t="array" ref="B1556">IF(A1556:A5598="","",_xlfn.XLOOKUP(A1556:A5598,'参照_武将'!A:A,'参照_武将'!B:B,"見つかりません"))</f>
      </c>
      <c r="C1556" s="4" t="s">
        <v>199</v>
      </c>
      <c r="D1556" s="4">
        <v>34</v>
      </c>
      <c r="E1556" s="12" t="str">
        <f t="array" ref="E1556">IF(D1556:D5598="","",IFERROR(_xlfn.XLOOKUP(D1556:D5598,'参照_勢力'!A:A,'参照_勢力'!B:B),IFERROR(_xlfn.XLOOKUP(F1556:F5598,kunishuClan!A:A,kunishuClan!B:B),"浪人")))</f>
      </c>
      <c r="F1556" s="4">
        <v>0</v>
      </c>
      <c r="G1556" s="4">
        <v>63</v>
      </c>
      <c r="H1556" s="12" t="str">
        <f t="array" ref="H1556">IF(G1556:G5598="","",_xlfn.XLOOKUP(G1556:G5598,castles_state!A:A,castles_state!D:D,"見つかりません"))</f>
      </c>
      <c r="I1556" s="4"/>
      <c r="J1556" s="12" t="str">
        <f t="array" ref="J1556">IF(I1556:I5598="","",_xlfn.XLOOKUP(I1556:I5598,'参照_姫'!A:A,'参照_姫'!B:B,"見つかりません"))</f>
      </c>
      <c r="K1556" s="4">
        <v>95</v>
      </c>
      <c r="L1556" s="4">
        <v>0</v>
      </c>
      <c r="M1556" s="4"/>
      <c r="N1556" s="4"/>
      <c r="O1556" s="4"/>
      <c r="P1556" s="12" t="str">
        <f t="array" ref="P1556">IF(O1556:O5598="","",_xlfn.XLOOKUP(O1556:O5598,'参照_官位'!A:A,'参照_官位'!B:B,""))</f>
      </c>
      <c r="Q1556" s="12" t="str">
        <f t="array" ref="Q1556">IF(A1556:A5598="","",IFERROR(_xlfn.XLOOKUP(A1556:A5598,castles_state!K:K,castles_state!D:D)&amp;"主",IFERROR(_xlfn.XLOOKUP(A1556:A5598,kunishuClan!D:D,kunishuClan!B:B)&amp;"当主","")))</f>
      </c>
    </row>
    <row r="1557" ht="15.75" customHeight="1">
      <c r="A1557" s="4">
        <v>1034009</v>
      </c>
      <c r="B1557" s="12" t="str">
        <f t="array" ref="B1557">IF(A1557:A5599="","",_xlfn.XLOOKUP(A1557:A5599,'参照_武将'!A:A,'参照_武将'!B:B,"見つかりません"))</f>
      </c>
      <c r="C1557" s="4" t="s">
        <v>199</v>
      </c>
      <c r="D1557" s="4">
        <v>34</v>
      </c>
      <c r="E1557" s="12" t="str">
        <f t="array" ref="E1557">IF(D1557:D5599="","",IFERROR(_xlfn.XLOOKUP(D1557:D5599,'参照_勢力'!A:A,'参照_勢力'!B:B),IFERROR(_xlfn.XLOOKUP(F1557:F5599,kunishuClan!A:A,kunishuClan!B:B),"浪人")))</f>
      </c>
      <c r="F1557" s="4">
        <v>0</v>
      </c>
      <c r="G1557" s="4">
        <v>63</v>
      </c>
      <c r="H1557" s="12" t="str">
        <f t="array" ref="H1557">IF(G1557:G5599="","",_xlfn.XLOOKUP(G1557:G5599,castles_state!A:A,castles_state!D:D,"見つかりません"))</f>
      </c>
      <c r="I1557" s="4"/>
      <c r="J1557" s="12" t="str">
        <f t="array" ref="J1557">IF(I1557:I5599="","",_xlfn.XLOOKUP(I1557:I5599,'参照_姫'!A:A,'参照_姫'!B:B,"見つかりません"))</f>
      </c>
      <c r="K1557" s="4">
        <v>95</v>
      </c>
      <c r="L1557" s="4">
        <v>0</v>
      </c>
      <c r="M1557" s="4"/>
      <c r="N1557" s="4"/>
      <c r="O1557" s="4"/>
      <c r="P1557" s="12" t="str">
        <f t="array" ref="P1557">IF(O1557:O5599="","",_xlfn.XLOOKUP(O1557:O5599,'参照_官位'!A:A,'参照_官位'!B:B,""))</f>
      </c>
      <c r="Q1557" s="12" t="str">
        <f t="array" ref="Q1557">IF(A1557:A5599="","",IFERROR(_xlfn.XLOOKUP(A1557:A5599,castles_state!K:K,castles_state!D:D)&amp;"主",IFERROR(_xlfn.XLOOKUP(A1557:A5599,kunishuClan!D:D,kunishuClan!B:B)&amp;"当主","")))</f>
      </c>
    </row>
    <row r="1558" ht="15.75" customHeight="1">
      <c r="A1558" s="4">
        <v>1034010</v>
      </c>
      <c r="B1558" s="12" t="str">
        <f t="array" ref="B1558">IF(A1558:A5600="","",_xlfn.XLOOKUP(A1558:A5600,'参照_武将'!A:A,'参照_武将'!B:B,"見つかりません"))</f>
      </c>
      <c r="C1558" s="4" t="s">
        <v>199</v>
      </c>
      <c r="D1558" s="4">
        <v>34</v>
      </c>
      <c r="E1558" s="12" t="str">
        <f t="array" ref="E1558">IF(D1558:D5600="","",IFERROR(_xlfn.XLOOKUP(D1558:D5600,'参照_勢力'!A:A,'参照_勢力'!B:B),IFERROR(_xlfn.XLOOKUP(F1558:F5600,kunishuClan!A:A,kunishuClan!B:B),"浪人")))</f>
      </c>
      <c r="F1558" s="4">
        <v>0</v>
      </c>
      <c r="G1558" s="4">
        <v>63</v>
      </c>
      <c r="H1558" s="12" t="str">
        <f t="array" ref="H1558">IF(G1558:G5600="","",_xlfn.XLOOKUP(G1558:G5600,castles_state!A:A,castles_state!D:D,"見つかりません"))</f>
      </c>
      <c r="I1558" s="4"/>
      <c r="J1558" s="12" t="str">
        <f t="array" ref="J1558">IF(I1558:I5600="","",_xlfn.XLOOKUP(I1558:I5600,'参照_姫'!A:A,'参照_姫'!B:B,"見つかりません"))</f>
      </c>
      <c r="K1558" s="4">
        <v>95</v>
      </c>
      <c r="L1558" s="4">
        <v>0</v>
      </c>
      <c r="M1558" s="4"/>
      <c r="N1558" s="4"/>
      <c r="O1558" s="4"/>
      <c r="P1558" s="12" t="str">
        <f t="array" ref="P1558">IF(O1558:O5600="","",_xlfn.XLOOKUP(O1558:O5600,'参照_官位'!A:A,'参照_官位'!B:B,""))</f>
      </c>
      <c r="Q1558" s="12" t="str">
        <f t="array" ref="Q1558">IF(A1558:A5600="","",IFERROR(_xlfn.XLOOKUP(A1558:A5600,castles_state!K:K,castles_state!D:D)&amp;"主",IFERROR(_xlfn.XLOOKUP(A1558:A5600,kunishuClan!D:D,kunishuClan!B:B)&amp;"当主","")))</f>
      </c>
    </row>
    <row r="1559" ht="15.75" customHeight="1">
      <c r="A1559" s="4">
        <v>1034011</v>
      </c>
      <c r="B1559" s="12" t="str">
        <f t="array" ref="B1559">IF(A1559:A5601="","",_xlfn.XLOOKUP(A1559:A5601,'参照_武将'!A:A,'参照_武将'!B:B,"見つかりません"))</f>
      </c>
      <c r="C1559" s="4" t="s">
        <v>199</v>
      </c>
      <c r="D1559" s="4">
        <v>34</v>
      </c>
      <c r="E1559" s="12" t="str">
        <f t="array" ref="E1559">IF(D1559:D5601="","",IFERROR(_xlfn.XLOOKUP(D1559:D5601,'参照_勢力'!A:A,'参照_勢力'!B:B),IFERROR(_xlfn.XLOOKUP(F1559:F5601,kunishuClan!A:A,kunishuClan!B:B),"浪人")))</f>
      </c>
      <c r="F1559" s="4">
        <v>0</v>
      </c>
      <c r="G1559" s="4">
        <v>63</v>
      </c>
      <c r="H1559" s="12" t="str">
        <f t="array" ref="H1559">IF(G1559:G5601="","",_xlfn.XLOOKUP(G1559:G5601,castles_state!A:A,castles_state!D:D,"見つかりません"))</f>
      </c>
      <c r="I1559" s="4"/>
      <c r="J1559" s="12" t="str">
        <f t="array" ref="J1559">IF(I1559:I5601="","",_xlfn.XLOOKUP(I1559:I5601,'参照_姫'!A:A,'参照_姫'!B:B,"見つかりません"))</f>
      </c>
      <c r="K1559" s="4">
        <v>95</v>
      </c>
      <c r="L1559" s="4">
        <v>0</v>
      </c>
      <c r="M1559" s="4"/>
      <c r="N1559" s="4"/>
      <c r="O1559" s="4"/>
      <c r="P1559" s="12" t="str">
        <f t="array" ref="P1559">IF(O1559:O5601="","",_xlfn.XLOOKUP(O1559:O5601,'参照_官位'!A:A,'参照_官位'!B:B,""))</f>
      </c>
      <c r="Q1559" s="12" t="str">
        <f t="array" ref="Q1559">IF(A1559:A5601="","",IFERROR(_xlfn.XLOOKUP(A1559:A5601,castles_state!K:K,castles_state!D:D)&amp;"主",IFERROR(_xlfn.XLOOKUP(A1559:A5601,kunishuClan!D:D,kunishuClan!B:B)&amp;"当主","")))</f>
      </c>
    </row>
    <row r="1560" ht="15.75" customHeight="1">
      <c r="A1560" s="4">
        <v>1034012</v>
      </c>
      <c r="B1560" s="12" t="str">
        <f t="array" ref="B1560">IF(A1560:A5602="","",_xlfn.XLOOKUP(A1560:A5602,'参照_武将'!A:A,'参照_武将'!B:B,"見つかりません"))</f>
      </c>
      <c r="C1560" s="4" t="s">
        <v>199</v>
      </c>
      <c r="D1560" s="4">
        <v>34</v>
      </c>
      <c r="E1560" s="12" t="str">
        <f t="array" ref="E1560">IF(D1560:D5602="","",IFERROR(_xlfn.XLOOKUP(D1560:D5602,'参照_勢力'!A:A,'参照_勢力'!B:B),IFERROR(_xlfn.XLOOKUP(F1560:F5602,kunishuClan!A:A,kunishuClan!B:B),"浪人")))</f>
      </c>
      <c r="F1560" s="4">
        <v>0</v>
      </c>
      <c r="G1560" s="4">
        <v>63</v>
      </c>
      <c r="H1560" s="12" t="str">
        <f t="array" ref="H1560">IF(G1560:G5602="","",_xlfn.XLOOKUP(G1560:G5602,castles_state!A:A,castles_state!D:D,"見つかりません"))</f>
      </c>
      <c r="I1560" s="4"/>
      <c r="J1560" s="12" t="str">
        <f t="array" ref="J1560">IF(I1560:I5602="","",_xlfn.XLOOKUP(I1560:I5602,'参照_姫'!A:A,'参照_姫'!B:B,"見つかりません"))</f>
      </c>
      <c r="K1560" s="4">
        <v>95</v>
      </c>
      <c r="L1560" s="4">
        <v>0</v>
      </c>
      <c r="M1560" s="4"/>
      <c r="N1560" s="4"/>
      <c r="O1560" s="4"/>
      <c r="P1560" s="12" t="str">
        <f t="array" ref="P1560">IF(O1560:O5602="","",_xlfn.XLOOKUP(O1560:O5602,'参照_官位'!A:A,'参照_官位'!B:B,""))</f>
      </c>
      <c r="Q1560" s="12" t="str">
        <f t="array" ref="Q1560">IF(A1560:A5602="","",IFERROR(_xlfn.XLOOKUP(A1560:A5602,castles_state!K:K,castles_state!D:D)&amp;"主",IFERROR(_xlfn.XLOOKUP(A1560:A5602,kunishuClan!D:D,kunishuClan!B:B)&amp;"当主","")))</f>
      </c>
    </row>
    <row r="1561" ht="15.75" customHeight="1">
      <c r="A1561" s="4">
        <v>1034013</v>
      </c>
      <c r="B1561" s="12" t="str">
        <f t="array" ref="B1561">IF(A1561:A5603="","",_xlfn.XLOOKUP(A1561:A5603,'参照_武将'!A:A,'参照_武将'!B:B,"見つかりません"))</f>
      </c>
      <c r="C1561" s="4" t="s">
        <v>199</v>
      </c>
      <c r="D1561" s="4">
        <v>34</v>
      </c>
      <c r="E1561" s="12" t="str">
        <f t="array" ref="E1561">IF(D1561:D5603="","",IFERROR(_xlfn.XLOOKUP(D1561:D5603,'参照_勢力'!A:A,'参照_勢力'!B:B),IFERROR(_xlfn.XLOOKUP(F1561:F5603,kunishuClan!A:A,kunishuClan!B:B),"浪人")))</f>
      </c>
      <c r="F1561" s="4">
        <v>0</v>
      </c>
      <c r="G1561" s="4">
        <v>63</v>
      </c>
      <c r="H1561" s="12" t="str">
        <f t="array" ref="H1561">IF(G1561:G5603="","",_xlfn.XLOOKUP(G1561:G5603,castles_state!A:A,castles_state!D:D,"見つかりません"))</f>
      </c>
      <c r="I1561" s="4"/>
      <c r="J1561" s="12" t="str">
        <f t="array" ref="J1561">IF(I1561:I5603="","",_xlfn.XLOOKUP(I1561:I5603,'参照_姫'!A:A,'参照_姫'!B:B,"見つかりません"))</f>
      </c>
      <c r="K1561" s="4">
        <v>95</v>
      </c>
      <c r="L1561" s="4">
        <v>0</v>
      </c>
      <c r="M1561" s="4"/>
      <c r="N1561" s="4"/>
      <c r="O1561" s="4"/>
      <c r="P1561" s="12" t="str">
        <f t="array" ref="P1561">IF(O1561:O5603="","",_xlfn.XLOOKUP(O1561:O5603,'参照_官位'!A:A,'参照_官位'!B:B,""))</f>
      </c>
      <c r="Q1561" s="12" t="str">
        <f t="array" ref="Q1561">IF(A1561:A5603="","",IFERROR(_xlfn.XLOOKUP(A1561:A5603,castles_state!K:K,castles_state!D:D)&amp;"主",IFERROR(_xlfn.XLOOKUP(A1561:A5603,kunishuClan!D:D,kunishuClan!B:B)&amp;"当主","")))</f>
      </c>
    </row>
    <row r="1562" ht="15.75" customHeight="1">
      <c r="A1562" s="4">
        <v>1034014</v>
      </c>
      <c r="B1562" s="12" t="str">
        <f t="array" ref="B1562">IF(A1562:A5604="","",_xlfn.XLOOKUP(A1562:A5604,'参照_武将'!A:A,'参照_武将'!B:B,"見つかりません"))</f>
      </c>
      <c r="C1562" s="4" t="s">
        <v>199</v>
      </c>
      <c r="D1562" s="4">
        <v>34</v>
      </c>
      <c r="E1562" s="12" t="str">
        <f t="array" ref="E1562">IF(D1562:D5604="","",IFERROR(_xlfn.XLOOKUP(D1562:D5604,'参照_勢力'!A:A,'参照_勢力'!B:B),IFERROR(_xlfn.XLOOKUP(F1562:F5604,kunishuClan!A:A,kunishuClan!B:B),"浪人")))</f>
      </c>
      <c r="F1562" s="4">
        <v>0</v>
      </c>
      <c r="G1562" s="4">
        <v>63</v>
      </c>
      <c r="H1562" s="12" t="str">
        <f t="array" ref="H1562">IF(G1562:G5604="","",_xlfn.XLOOKUP(G1562:G5604,castles_state!A:A,castles_state!D:D,"見つかりません"))</f>
      </c>
      <c r="I1562" s="4"/>
      <c r="J1562" s="12" t="str">
        <f t="array" ref="J1562">IF(I1562:I5604="","",_xlfn.XLOOKUP(I1562:I5604,'参照_姫'!A:A,'参照_姫'!B:B,"見つかりません"))</f>
      </c>
      <c r="K1562" s="4">
        <v>95</v>
      </c>
      <c r="L1562" s="4">
        <v>0</v>
      </c>
      <c r="M1562" s="4"/>
      <c r="N1562" s="4"/>
      <c r="O1562" s="4"/>
      <c r="P1562" s="12" t="str">
        <f t="array" ref="P1562">IF(O1562:O5604="","",_xlfn.XLOOKUP(O1562:O5604,'参照_官位'!A:A,'参照_官位'!B:B,""))</f>
      </c>
      <c r="Q1562" s="12" t="str">
        <f t="array" ref="Q1562">IF(A1562:A5604="","",IFERROR(_xlfn.XLOOKUP(A1562:A5604,castles_state!K:K,castles_state!D:D)&amp;"主",IFERROR(_xlfn.XLOOKUP(A1562:A5604,kunishuClan!D:D,kunishuClan!B:B)&amp;"当主","")))</f>
      </c>
    </row>
    <row r="1563" ht="15.75" customHeight="1">
      <c r="A1563" s="4">
        <v>1034015</v>
      </c>
      <c r="B1563" s="12" t="str">
        <f t="array" ref="B1563">IF(A1563:A5605="","",_xlfn.XLOOKUP(A1563:A5605,'参照_武将'!A:A,'参照_武将'!B:B,"見つかりません"))</f>
      </c>
      <c r="C1563" s="4" t="s">
        <v>199</v>
      </c>
      <c r="D1563" s="4">
        <v>34</v>
      </c>
      <c r="E1563" s="12" t="str">
        <f t="array" ref="E1563">IF(D1563:D5605="","",IFERROR(_xlfn.XLOOKUP(D1563:D5605,'参照_勢力'!A:A,'参照_勢力'!B:B),IFERROR(_xlfn.XLOOKUP(F1563:F5605,kunishuClan!A:A,kunishuClan!B:B),"浪人")))</f>
      </c>
      <c r="F1563" s="4">
        <v>0</v>
      </c>
      <c r="G1563" s="4">
        <v>63</v>
      </c>
      <c r="H1563" s="12" t="str">
        <f t="array" ref="H1563">IF(G1563:G5605="","",_xlfn.XLOOKUP(G1563:G5605,castles_state!A:A,castles_state!D:D,"見つかりません"))</f>
      </c>
      <c r="I1563" s="4"/>
      <c r="J1563" s="12" t="str">
        <f t="array" ref="J1563">IF(I1563:I5605="","",_xlfn.XLOOKUP(I1563:I5605,'参照_姫'!A:A,'参照_姫'!B:B,"見つかりません"))</f>
      </c>
      <c r="K1563" s="4">
        <v>95</v>
      </c>
      <c r="L1563" s="4">
        <v>0</v>
      </c>
      <c r="M1563" s="4"/>
      <c r="N1563" s="4"/>
      <c r="O1563" s="4"/>
      <c r="P1563" s="12" t="str">
        <f t="array" ref="P1563">IF(O1563:O5605="","",_xlfn.XLOOKUP(O1563:O5605,'参照_官位'!A:A,'参照_官位'!B:B,""))</f>
      </c>
      <c r="Q1563" s="12" t="str">
        <f t="array" ref="Q1563">IF(A1563:A5605="","",IFERROR(_xlfn.XLOOKUP(A1563:A5605,castles_state!K:K,castles_state!D:D)&amp;"主",IFERROR(_xlfn.XLOOKUP(A1563:A5605,kunishuClan!D:D,kunishuClan!B:B)&amp;"当主","")))</f>
      </c>
    </row>
    <row r="1564" ht="15.75" customHeight="1">
      <c r="A1564" s="4">
        <v>1034016</v>
      </c>
      <c r="B1564" s="12" t="str">
        <f t="array" ref="B1564">IF(A1564:A5606="","",_xlfn.XLOOKUP(A1564:A5606,'参照_武将'!A:A,'参照_武将'!B:B,"見つかりません"))</f>
      </c>
      <c r="C1564" s="4" t="s">
        <v>199</v>
      </c>
      <c r="D1564" s="4">
        <v>34</v>
      </c>
      <c r="E1564" s="12" t="str">
        <f t="array" ref="E1564">IF(D1564:D5606="","",IFERROR(_xlfn.XLOOKUP(D1564:D5606,'参照_勢力'!A:A,'参照_勢力'!B:B),IFERROR(_xlfn.XLOOKUP(F1564:F5606,kunishuClan!A:A,kunishuClan!B:B),"浪人")))</f>
      </c>
      <c r="F1564" s="4">
        <v>0</v>
      </c>
      <c r="G1564" s="4">
        <v>231</v>
      </c>
      <c r="H1564" s="12" t="str">
        <f t="array" ref="H1564">IF(G1564:G5606="","",_xlfn.XLOOKUP(G1564:G5606,castles_state!A:A,castles_state!D:D,"見つかりません"))</f>
      </c>
      <c r="I1564" s="4"/>
      <c r="J1564" s="12" t="str">
        <f t="array" ref="J1564">IF(I1564:I5606="","",_xlfn.XLOOKUP(I1564:I5606,'参照_姫'!A:A,'参照_姫'!B:B,"見つかりません"))</f>
      </c>
      <c r="K1564" s="4">
        <v>95</v>
      </c>
      <c r="L1564" s="4">
        <v>100</v>
      </c>
      <c r="M1564" s="4"/>
      <c r="N1564" s="4" t="b">
        <v>1</v>
      </c>
      <c r="O1564" s="4"/>
      <c r="P1564" s="12" t="str">
        <f t="array" ref="P1564">IF(O1564:O5606="","",_xlfn.XLOOKUP(O1564:O5606,'参照_官位'!A:A,'参照_官位'!B:B,""))</f>
      </c>
      <c r="Q1564" s="12" t="str">
        <f t="array" ref="Q1564">IF(A1564:A5606="","",IFERROR(_xlfn.XLOOKUP(A1564:A5606,castles_state!K:K,castles_state!D:D)&amp;"主",IFERROR(_xlfn.XLOOKUP(A1564:A5606,kunishuClan!D:D,kunishuClan!B:B)&amp;"当主","")))</f>
      </c>
    </row>
    <row r="1565" ht="15.75" customHeight="1">
      <c r="A1565" s="4">
        <v>1034017</v>
      </c>
      <c r="B1565" s="12" t="str">
        <f t="array" ref="B1565">IF(A1565:A5607="","",_xlfn.XLOOKUP(A1565:A5607,'参照_武将'!A:A,'参照_武将'!B:B,"見つかりません"))</f>
      </c>
      <c r="C1565" s="4" t="s">
        <v>199</v>
      </c>
      <c r="D1565" s="4">
        <v>34</v>
      </c>
      <c r="E1565" s="12" t="str">
        <f t="array" ref="E1565">IF(D1565:D5607="","",IFERROR(_xlfn.XLOOKUP(D1565:D5607,'参照_勢力'!A:A,'参照_勢力'!B:B),IFERROR(_xlfn.XLOOKUP(F1565:F5607,kunishuClan!A:A,kunishuClan!B:B),"浪人")))</f>
      </c>
      <c r="F1565" s="4">
        <v>0</v>
      </c>
      <c r="G1565" s="4">
        <v>63</v>
      </c>
      <c r="H1565" s="12" t="str">
        <f t="array" ref="H1565">IF(G1565:G5607="","",_xlfn.XLOOKUP(G1565:G5607,castles_state!A:A,castles_state!D:D,"見つかりません"))</f>
      </c>
      <c r="I1565" s="4"/>
      <c r="J1565" s="12" t="str">
        <f t="array" ref="J1565">IF(I1565:I5607="","",_xlfn.XLOOKUP(I1565:I5607,'参照_姫'!A:A,'参照_姫'!B:B,"見つかりません"))</f>
      </c>
      <c r="K1565" s="4">
        <v>95</v>
      </c>
      <c r="L1565" s="4">
        <v>0</v>
      </c>
      <c r="M1565" s="4" t="b">
        <v>1</v>
      </c>
      <c r="N1565" s="4"/>
      <c r="O1565" s="4"/>
      <c r="P1565" s="12" t="str">
        <f t="array" ref="P1565">IF(O1565:O5607="","",_xlfn.XLOOKUP(O1565:O5607,'参照_官位'!A:A,'参照_官位'!B:B,""))</f>
      </c>
      <c r="Q1565" s="12" t="str">
        <f t="array" ref="Q1565">IF(A1565:A5607="","",IFERROR(_xlfn.XLOOKUP(A1565:A5607,castles_state!K:K,castles_state!D:D)&amp;"主",IFERROR(_xlfn.XLOOKUP(A1565:A5607,kunishuClan!D:D,kunishuClan!B:B)&amp;"当主","")))</f>
      </c>
    </row>
    <row r="1566" ht="15.75" customHeight="1">
      <c r="A1566" s="4">
        <v>1034018</v>
      </c>
      <c r="B1566" s="12" t="str">
        <f t="array" ref="B1566">IF(A1566:A5608="","",_xlfn.XLOOKUP(A1566:A5608,'参照_武将'!A:A,'参照_武将'!B:B,"見つかりません"))</f>
      </c>
      <c r="C1566" s="4" t="s">
        <v>199</v>
      </c>
      <c r="D1566" s="4">
        <v>34</v>
      </c>
      <c r="E1566" s="12" t="str">
        <f t="array" ref="E1566">IF(D1566:D5608="","",IFERROR(_xlfn.XLOOKUP(D1566:D5608,'参照_勢力'!A:A,'参照_勢力'!B:B),IFERROR(_xlfn.XLOOKUP(F1566:F5608,kunishuClan!A:A,kunishuClan!B:B),"浪人")))</f>
      </c>
      <c r="F1566" s="4">
        <v>0</v>
      </c>
      <c r="G1566" s="4">
        <v>63</v>
      </c>
      <c r="H1566" s="12" t="str">
        <f t="array" ref="H1566">IF(G1566:G5608="","",_xlfn.XLOOKUP(G1566:G5608,castles_state!A:A,castles_state!D:D,"見つかりません"))</f>
      </c>
      <c r="I1566" s="4"/>
      <c r="J1566" s="12" t="str">
        <f t="array" ref="J1566">IF(I1566:I5608="","",_xlfn.XLOOKUP(I1566:I5608,'参照_姫'!A:A,'参照_姫'!B:B,"見つかりません"))</f>
      </c>
      <c r="K1566" s="4">
        <v>95</v>
      </c>
      <c r="L1566" s="4">
        <v>0</v>
      </c>
      <c r="M1566" s="4"/>
      <c r="N1566" s="4"/>
      <c r="O1566" s="4"/>
      <c r="P1566" s="12" t="str">
        <f t="array" ref="P1566">IF(O1566:O5608="","",_xlfn.XLOOKUP(O1566:O5608,'参照_官位'!A:A,'参照_官位'!B:B,""))</f>
      </c>
      <c r="Q1566" s="12" t="str">
        <f t="array" ref="Q1566">IF(A1566:A5608="","",IFERROR(_xlfn.XLOOKUP(A1566:A5608,castles_state!K:K,castles_state!D:D)&amp;"主",IFERROR(_xlfn.XLOOKUP(A1566:A5608,kunishuClan!D:D,kunishuClan!B:B)&amp;"当主","")))</f>
      </c>
    </row>
    <row r="1567" ht="15.75" customHeight="1">
      <c r="A1567" s="4">
        <v>1034019</v>
      </c>
      <c r="B1567" s="12" t="str">
        <f t="array" ref="B1567">IF(A1567:A5609="","",_xlfn.XLOOKUP(A1567:A5609,'参照_武将'!A:A,'参照_武将'!B:B,"見つかりません"))</f>
      </c>
      <c r="C1567" s="4" t="s">
        <v>199</v>
      </c>
      <c r="D1567" s="4">
        <v>34</v>
      </c>
      <c r="E1567" s="12" t="str">
        <f t="array" ref="E1567">IF(D1567:D5609="","",IFERROR(_xlfn.XLOOKUP(D1567:D5609,'参照_勢力'!A:A,'参照_勢力'!B:B),IFERROR(_xlfn.XLOOKUP(F1567:F5609,kunishuClan!A:A,kunishuClan!B:B),"浪人")))</f>
      </c>
      <c r="F1567" s="4">
        <v>0</v>
      </c>
      <c r="G1567" s="4">
        <v>63</v>
      </c>
      <c r="H1567" s="12" t="str">
        <f t="array" ref="H1567">IF(G1567:G5609="","",_xlfn.XLOOKUP(G1567:G5609,castles_state!A:A,castles_state!D:D,"見つかりません"))</f>
      </c>
      <c r="I1567" s="4"/>
      <c r="J1567" s="12" t="str">
        <f t="array" ref="J1567">IF(I1567:I5609="","",_xlfn.XLOOKUP(I1567:I5609,'参照_姫'!A:A,'参照_姫'!B:B,"見つかりません"))</f>
      </c>
      <c r="K1567" s="4">
        <v>95</v>
      </c>
      <c r="L1567" s="4">
        <v>300</v>
      </c>
      <c r="M1567" s="4"/>
      <c r="N1567" s="4"/>
      <c r="O1567" s="4"/>
      <c r="P1567" s="12" t="str">
        <f t="array" ref="P1567">IF(O1567:O5609="","",_xlfn.XLOOKUP(O1567:O5609,'参照_官位'!A:A,'参照_官位'!B:B,""))</f>
      </c>
      <c r="Q1567" s="12" t="str">
        <f t="array" ref="Q1567">IF(A1567:A5609="","",IFERROR(_xlfn.XLOOKUP(A1567:A5609,castles_state!K:K,castles_state!D:D)&amp;"主",IFERROR(_xlfn.XLOOKUP(A1567:A5609,kunishuClan!D:D,kunishuClan!B:B)&amp;"当主","")))</f>
      </c>
    </row>
    <row r="1568" ht="15.75" customHeight="1">
      <c r="A1568" s="4">
        <v>1034020</v>
      </c>
      <c r="B1568" s="12" t="str">
        <f t="array" ref="B1568">IF(A1568:A5610="","",_xlfn.XLOOKUP(A1568:A5610,'参照_武将'!A:A,'参照_武将'!B:B,"見つかりません"))</f>
      </c>
      <c r="C1568" s="4" t="s">
        <v>199</v>
      </c>
      <c r="D1568" s="4">
        <v>34</v>
      </c>
      <c r="E1568" s="12" t="str">
        <f t="array" ref="E1568">IF(D1568:D5610="","",IFERROR(_xlfn.XLOOKUP(D1568:D5610,'参照_勢力'!A:A,'参照_勢力'!B:B),IFERROR(_xlfn.XLOOKUP(F1568:F5610,kunishuClan!A:A,kunishuClan!B:B),"浪人")))</f>
      </c>
      <c r="F1568" s="4">
        <v>0</v>
      </c>
      <c r="G1568" s="4">
        <v>63</v>
      </c>
      <c r="H1568" s="12" t="str">
        <f t="array" ref="H1568">IF(G1568:G5610="","",_xlfn.XLOOKUP(G1568:G5610,castles_state!A:A,castles_state!D:D,"見つかりません"))</f>
      </c>
      <c r="I1568" s="4"/>
      <c r="J1568" s="12" t="str">
        <f t="array" ref="J1568">IF(I1568:I5610="","",_xlfn.XLOOKUP(I1568:I5610,'参照_姫'!A:A,'参照_姫'!B:B,"見つかりません"))</f>
      </c>
      <c r="K1568" s="4">
        <v>95</v>
      </c>
      <c r="L1568" s="4">
        <v>0</v>
      </c>
      <c r="M1568" s="4"/>
      <c r="N1568" s="4"/>
      <c r="O1568" s="4"/>
      <c r="P1568" s="12" t="str">
        <f t="array" ref="P1568">IF(O1568:O5610="","",_xlfn.XLOOKUP(O1568:O5610,'参照_官位'!A:A,'参照_官位'!B:B,""))</f>
      </c>
      <c r="Q1568" s="12" t="str">
        <f t="array" ref="Q1568">IF(A1568:A5610="","",IFERROR(_xlfn.XLOOKUP(A1568:A5610,castles_state!K:K,castles_state!D:D)&amp;"主",IFERROR(_xlfn.XLOOKUP(A1568:A5610,kunishuClan!D:D,kunishuClan!B:B)&amp;"当主","")))</f>
      </c>
    </row>
    <row r="1569" ht="15.75" customHeight="1">
      <c r="A1569" s="4">
        <v>1034021</v>
      </c>
      <c r="B1569" s="12" t="str">
        <f t="array" ref="B1569">IF(A1569:A5611="","",_xlfn.XLOOKUP(A1569:A5611,'参照_武将'!A:A,'参照_武将'!B:B,"見つかりません"))</f>
      </c>
      <c r="C1569" s="4" t="s">
        <v>199</v>
      </c>
      <c r="D1569" s="4">
        <v>34</v>
      </c>
      <c r="E1569" s="12" t="str">
        <f t="array" ref="E1569">IF(D1569:D5611="","",IFERROR(_xlfn.XLOOKUP(D1569:D5611,'参照_勢力'!A:A,'参照_勢力'!B:B),IFERROR(_xlfn.XLOOKUP(F1569:F5611,kunishuClan!A:A,kunishuClan!B:B),"浪人")))</f>
      </c>
      <c r="F1569" s="4">
        <v>0</v>
      </c>
      <c r="G1569" s="4">
        <v>231</v>
      </c>
      <c r="H1569" s="12" t="str">
        <f t="array" ref="H1569">IF(G1569:G5611="","",_xlfn.XLOOKUP(G1569:G5611,castles_state!A:A,castles_state!D:D,"見つかりません"))</f>
      </c>
      <c r="I1569" s="4"/>
      <c r="J1569" s="12" t="str">
        <f t="array" ref="J1569">IF(I1569:I5611="","",_xlfn.XLOOKUP(I1569:I5611,'参照_姫'!A:A,'参照_姫'!B:B,"見つかりません"))</f>
      </c>
      <c r="K1569" s="4">
        <v>95</v>
      </c>
      <c r="L1569" s="4">
        <v>300</v>
      </c>
      <c r="M1569" s="4"/>
      <c r="N1569" s="4"/>
      <c r="O1569" s="4"/>
      <c r="P1569" s="12" t="str">
        <f t="array" ref="P1569">IF(O1569:O5611="","",_xlfn.XLOOKUP(O1569:O5611,'参照_官位'!A:A,'参照_官位'!B:B,""))</f>
      </c>
      <c r="Q1569" s="12" t="str">
        <f t="array" ref="Q1569">IF(A1569:A5611="","",IFERROR(_xlfn.XLOOKUP(A1569:A5611,castles_state!K:K,castles_state!D:D)&amp;"主",IFERROR(_xlfn.XLOOKUP(A1569:A5611,kunishuClan!D:D,kunishuClan!B:B)&amp;"当主","")))</f>
      </c>
    </row>
    <row r="1570" ht="15.75" customHeight="1">
      <c r="A1570" s="4">
        <v>1034022</v>
      </c>
      <c r="B1570" s="12" t="str">
        <f t="array" ref="B1570">IF(A1570:A5612="","",_xlfn.XLOOKUP(A1570:A5612,'参照_武将'!A:A,'参照_武将'!B:B,"見つかりません"))</f>
      </c>
      <c r="C1570" s="4" t="s">
        <v>199</v>
      </c>
      <c r="D1570" s="4">
        <v>34</v>
      </c>
      <c r="E1570" s="12" t="str">
        <f t="array" ref="E1570">IF(D1570:D5612="","",IFERROR(_xlfn.XLOOKUP(D1570:D5612,'参照_勢力'!A:A,'参照_勢力'!B:B),IFERROR(_xlfn.XLOOKUP(F1570:F5612,kunishuClan!A:A,kunishuClan!B:B),"浪人")))</f>
      </c>
      <c r="F1570" s="4">
        <v>0</v>
      </c>
      <c r="G1570" s="4">
        <v>231</v>
      </c>
      <c r="H1570" s="12" t="str">
        <f t="array" ref="H1570">IF(G1570:G5612="","",_xlfn.XLOOKUP(G1570:G5612,castles_state!A:A,castles_state!D:D,"見つかりません"))</f>
      </c>
      <c r="I1570" s="4"/>
      <c r="J1570" s="12" t="str">
        <f t="array" ref="J1570">IF(I1570:I5612="","",_xlfn.XLOOKUP(I1570:I5612,'参照_姫'!A:A,'参照_姫'!B:B,"見つかりません"))</f>
      </c>
      <c r="K1570" s="4">
        <v>95</v>
      </c>
      <c r="L1570" s="4">
        <v>0</v>
      </c>
      <c r="M1570" s="4"/>
      <c r="N1570" s="4"/>
      <c r="O1570" s="4"/>
      <c r="P1570" s="12" t="str">
        <f t="array" ref="P1570">IF(O1570:O5612="","",_xlfn.XLOOKUP(O1570:O5612,'参照_官位'!A:A,'参照_官位'!B:B,""))</f>
      </c>
      <c r="Q1570" s="12" t="str">
        <f t="array" ref="Q1570">IF(A1570:A5612="","",IFERROR(_xlfn.XLOOKUP(A1570:A5612,castles_state!K:K,castles_state!D:D)&amp;"主",IFERROR(_xlfn.XLOOKUP(A1570:A5612,kunishuClan!D:D,kunishuClan!B:B)&amp;"当主","")))</f>
      </c>
    </row>
    <row r="1571" ht="15.75" customHeight="1">
      <c r="A1571" s="4">
        <v>1034023</v>
      </c>
      <c r="B1571" s="12" t="str">
        <f t="array" ref="B1571">IF(A1571:A5613="","",_xlfn.XLOOKUP(A1571:A5613,'参照_武将'!A:A,'参照_武将'!B:B,"見つかりません"))</f>
      </c>
      <c r="C1571" s="4" t="s">
        <v>199</v>
      </c>
      <c r="D1571" s="4">
        <v>34</v>
      </c>
      <c r="E1571" s="12" t="str">
        <f t="array" ref="E1571">IF(D1571:D5613="","",IFERROR(_xlfn.XLOOKUP(D1571:D5613,'参照_勢力'!A:A,'参照_勢力'!B:B),IFERROR(_xlfn.XLOOKUP(F1571:F5613,kunishuClan!A:A,kunishuClan!B:B),"浪人")))</f>
      </c>
      <c r="F1571" s="4">
        <v>0</v>
      </c>
      <c r="G1571" s="4">
        <v>231</v>
      </c>
      <c r="H1571" s="12" t="str">
        <f t="array" ref="H1571">IF(G1571:G5613="","",_xlfn.XLOOKUP(G1571:G5613,castles_state!A:A,castles_state!D:D,"見つかりません"))</f>
      </c>
      <c r="I1571" s="4"/>
      <c r="J1571" s="12" t="str">
        <f t="array" ref="J1571">IF(I1571:I5613="","",_xlfn.XLOOKUP(I1571:I5613,'参照_姫'!A:A,'参照_姫'!B:B,"見つかりません"))</f>
      </c>
      <c r="K1571" s="4">
        <v>95</v>
      </c>
      <c r="L1571" s="4">
        <v>0</v>
      </c>
      <c r="M1571" s="4"/>
      <c r="N1571" s="4"/>
      <c r="O1571" s="4"/>
      <c r="P1571" s="12" t="str">
        <f t="array" ref="P1571">IF(O1571:O5613="","",_xlfn.XLOOKUP(O1571:O5613,'参照_官位'!A:A,'参照_官位'!B:B,""))</f>
      </c>
      <c r="Q1571" s="12" t="str">
        <f t="array" ref="Q1571">IF(A1571:A5613="","",IFERROR(_xlfn.XLOOKUP(A1571:A5613,castles_state!K:K,castles_state!D:D)&amp;"主",IFERROR(_xlfn.XLOOKUP(A1571:A5613,kunishuClan!D:D,kunishuClan!B:B)&amp;"当主","")))</f>
      </c>
    </row>
    <row r="1572" ht="15.75" customHeight="1">
      <c r="A1572" s="4">
        <v>1034024</v>
      </c>
      <c r="B1572" s="12" t="str">
        <f t="array" ref="B1572">IF(A1572:A5614="","",_xlfn.XLOOKUP(A1572:A5614,'参照_武将'!A:A,'参照_武将'!B:B,"見つかりません"))</f>
      </c>
      <c r="C1572" s="4" t="s">
        <v>199</v>
      </c>
      <c r="D1572" s="4">
        <v>34</v>
      </c>
      <c r="E1572" s="12" t="str">
        <f t="array" ref="E1572">IF(D1572:D5614="","",IFERROR(_xlfn.XLOOKUP(D1572:D5614,'参照_勢力'!A:A,'参照_勢力'!B:B),IFERROR(_xlfn.XLOOKUP(F1572:F5614,kunishuClan!A:A,kunishuClan!B:B),"浪人")))</f>
      </c>
      <c r="F1572" s="4">
        <v>0</v>
      </c>
      <c r="G1572" s="4">
        <v>231</v>
      </c>
      <c r="H1572" s="12" t="str">
        <f t="array" ref="H1572">IF(G1572:G5614="","",_xlfn.XLOOKUP(G1572:G5614,castles_state!A:A,castles_state!D:D,"見つかりません"))</f>
      </c>
      <c r="I1572" s="4"/>
      <c r="J1572" s="12" t="str">
        <f t="array" ref="J1572">IF(I1572:I5614="","",_xlfn.XLOOKUP(I1572:I5614,'参照_姫'!A:A,'参照_姫'!B:B,"見つかりません"))</f>
      </c>
      <c r="K1572" s="4">
        <v>95</v>
      </c>
      <c r="L1572" s="4">
        <v>0</v>
      </c>
      <c r="M1572" s="4"/>
      <c r="N1572" s="4"/>
      <c r="O1572" s="4"/>
      <c r="P1572" s="12" t="str">
        <f t="array" ref="P1572">IF(O1572:O5614="","",_xlfn.XLOOKUP(O1572:O5614,'参照_官位'!A:A,'参照_官位'!B:B,""))</f>
      </c>
      <c r="Q1572" s="12" t="str">
        <f t="array" ref="Q1572">IF(A1572:A5614="","",IFERROR(_xlfn.XLOOKUP(A1572:A5614,castles_state!K:K,castles_state!D:D)&amp;"主",IFERROR(_xlfn.XLOOKUP(A1572:A5614,kunishuClan!D:D,kunishuClan!B:B)&amp;"当主","")))</f>
      </c>
    </row>
    <row r="1573" ht="15.75" customHeight="1">
      <c r="A1573" s="4">
        <v>1034025</v>
      </c>
      <c r="B1573" s="12" t="str">
        <f t="array" ref="B1573">IF(A1573:A5615="","",_xlfn.XLOOKUP(A1573:A5615,'参照_武将'!A:A,'参照_武将'!B:B,"見つかりません"))</f>
      </c>
      <c r="C1573" s="4" t="s">
        <v>199</v>
      </c>
      <c r="D1573" s="4">
        <v>34</v>
      </c>
      <c r="E1573" s="12" t="str">
        <f t="array" ref="E1573">IF(D1573:D5615="","",IFERROR(_xlfn.XLOOKUP(D1573:D5615,'参照_勢力'!A:A,'参照_勢力'!B:B),IFERROR(_xlfn.XLOOKUP(F1573:F5615,kunishuClan!A:A,kunishuClan!B:B),"浪人")))</f>
      </c>
      <c r="F1573" s="4">
        <v>0</v>
      </c>
      <c r="G1573" s="4">
        <v>231</v>
      </c>
      <c r="H1573" s="12" t="str">
        <f t="array" ref="H1573">IF(G1573:G5615="","",_xlfn.XLOOKUP(G1573:G5615,castles_state!A:A,castles_state!D:D,"見つかりません"))</f>
      </c>
      <c r="I1573" s="4"/>
      <c r="J1573" s="12" t="str">
        <f t="array" ref="J1573">IF(I1573:I5615="","",_xlfn.XLOOKUP(I1573:I5615,'参照_姫'!A:A,'参照_姫'!B:B,"見つかりません"))</f>
      </c>
      <c r="K1573" s="4">
        <v>95</v>
      </c>
      <c r="L1573" s="4">
        <v>0</v>
      </c>
      <c r="M1573" s="4"/>
      <c r="N1573" s="4"/>
      <c r="O1573" s="4"/>
      <c r="P1573" s="12" t="str">
        <f t="array" ref="P1573">IF(O1573:O5615="","",_xlfn.XLOOKUP(O1573:O5615,'参照_官位'!A:A,'参照_官位'!B:B,""))</f>
      </c>
      <c r="Q1573" s="12" t="str">
        <f t="array" ref="Q1573">IF(A1573:A5615="","",IFERROR(_xlfn.XLOOKUP(A1573:A5615,castles_state!K:K,castles_state!D:D)&amp;"主",IFERROR(_xlfn.XLOOKUP(A1573:A5615,kunishuClan!D:D,kunishuClan!B:B)&amp;"当主","")))</f>
      </c>
    </row>
    <row r="1574" ht="15.75" customHeight="1">
      <c r="A1574" s="4">
        <v>1035001</v>
      </c>
      <c r="B1574" s="12" t="str">
        <f t="array" ref="B1574">IF(A1574:A5616="","",_xlfn.XLOOKUP(A1574:A5616,'参照_武将'!A:A,'参照_武将'!B:B,"見つかりません"))</f>
      </c>
      <c r="C1574" s="4" t="s">
        <v>202</v>
      </c>
      <c r="D1574" s="4">
        <v>35</v>
      </c>
      <c r="E1574" s="12" t="str">
        <f t="array" ref="E1574">IF(D1574:D5616="","",IFERROR(_xlfn.XLOOKUP(D1574:D5616,'参照_勢力'!A:A,'参照_勢力'!B:B),IFERROR(_xlfn.XLOOKUP(F1574:F5616,kunishuClan!A:A,kunishuClan!B:B),"浪人")))</f>
      </c>
      <c r="F1574" s="4">
        <v>0</v>
      </c>
      <c r="G1574" s="4">
        <v>64</v>
      </c>
      <c r="H1574" s="12" t="str">
        <f t="array" ref="H1574">IF(G1574:G5616="","",_xlfn.XLOOKUP(G1574:G5616,castles_state!A:A,castles_state!D:D,"見つかりません"))</f>
      </c>
      <c r="I1574" s="4"/>
      <c r="J1574" s="12" t="str">
        <f t="array" ref="J1574">IF(I1574:I5616="","",_xlfn.XLOOKUP(I1574:I5616,'参照_姫'!A:A,'参照_姫'!B:B,"見つかりません"))</f>
      </c>
      <c r="K1574" s="4">
        <v>95</v>
      </c>
      <c r="L1574" s="4">
        <v>0</v>
      </c>
      <c r="M1574" s="4"/>
      <c r="N1574" s="4"/>
      <c r="O1574" s="4"/>
      <c r="P1574" s="12" t="str">
        <f t="array" ref="P1574">IF(O1574:O5616="","",_xlfn.XLOOKUP(O1574:O5616,'参照_官位'!A:A,'参照_官位'!B:B,""))</f>
      </c>
      <c r="Q1574" s="12" t="str">
        <f t="array" ref="Q1574">IF(A1574:A5616="","",IFERROR(_xlfn.XLOOKUP(A1574:A5616,castles_state!K:K,castles_state!D:D)&amp;"主",IFERROR(_xlfn.XLOOKUP(A1574:A5616,kunishuClan!D:D,kunishuClan!B:B)&amp;"当主","")))</f>
      </c>
    </row>
    <row r="1575" ht="15.75" customHeight="1">
      <c r="A1575" s="4">
        <v>1035002</v>
      </c>
      <c r="B1575" s="12" t="str">
        <f t="array" ref="B1575">IF(A1575:A5617="","",_xlfn.XLOOKUP(A1575:A5617,'参照_武将'!A:A,'参照_武将'!B:B,"見つかりません"))</f>
      </c>
      <c r="C1575" s="4" t="s">
        <v>202</v>
      </c>
      <c r="D1575" s="4">
        <v>35</v>
      </c>
      <c r="E1575" s="12" t="str">
        <f t="array" ref="E1575">IF(D1575:D5617="","",IFERROR(_xlfn.XLOOKUP(D1575:D5617,'参照_勢力'!A:A,'参照_勢力'!B:B),IFERROR(_xlfn.XLOOKUP(F1575:F5617,kunishuClan!A:A,kunishuClan!B:B),"浪人")))</f>
      </c>
      <c r="F1575" s="4">
        <v>0</v>
      </c>
      <c r="G1575" s="4">
        <v>64</v>
      </c>
      <c r="H1575" s="12" t="str">
        <f t="array" ref="H1575">IF(G1575:G5617="","",_xlfn.XLOOKUP(G1575:G5617,castles_state!A:A,castles_state!D:D,"見つかりません"))</f>
      </c>
      <c r="I1575" s="4"/>
      <c r="J1575" s="12" t="str">
        <f t="array" ref="J1575">IF(I1575:I5617="","",_xlfn.XLOOKUP(I1575:I5617,'参照_姫'!A:A,'参照_姫'!B:B,"見つかりません"))</f>
      </c>
      <c r="K1575" s="4">
        <v>95</v>
      </c>
      <c r="L1575" s="4">
        <v>0</v>
      </c>
      <c r="M1575" s="4"/>
      <c r="N1575" s="4"/>
      <c r="O1575" s="4"/>
      <c r="P1575" s="12" t="str">
        <f t="array" ref="P1575">IF(O1575:O5617="","",_xlfn.XLOOKUP(O1575:O5617,'参照_官位'!A:A,'参照_官位'!B:B,""))</f>
      </c>
      <c r="Q1575" s="12" t="str">
        <f t="array" ref="Q1575">IF(A1575:A5617="","",IFERROR(_xlfn.XLOOKUP(A1575:A5617,castles_state!K:K,castles_state!D:D)&amp;"主",IFERROR(_xlfn.XLOOKUP(A1575:A5617,kunishuClan!D:D,kunishuClan!B:B)&amp;"当主","")))</f>
      </c>
    </row>
    <row r="1576" ht="15.75" customHeight="1">
      <c r="A1576" s="4">
        <v>1035003</v>
      </c>
      <c r="B1576" s="12" t="str">
        <f t="array" ref="B1576">IF(A1576:A5618="","",_xlfn.XLOOKUP(A1576:A5618,'参照_武将'!A:A,'参照_武将'!B:B,"見つかりません"))</f>
      </c>
      <c r="C1576" s="4" t="s">
        <v>202</v>
      </c>
      <c r="D1576" s="4">
        <v>35</v>
      </c>
      <c r="E1576" s="12" t="str">
        <f t="array" ref="E1576">IF(D1576:D5618="","",IFERROR(_xlfn.XLOOKUP(D1576:D5618,'参照_勢力'!A:A,'参照_勢力'!B:B),IFERROR(_xlfn.XLOOKUP(F1576:F5618,kunishuClan!A:A,kunishuClan!B:B),"浪人")))</f>
      </c>
      <c r="F1576" s="4">
        <v>0</v>
      </c>
      <c r="G1576" s="4">
        <v>64</v>
      </c>
      <c r="H1576" s="12" t="str">
        <f t="array" ref="H1576">IF(G1576:G5618="","",_xlfn.XLOOKUP(G1576:G5618,castles_state!A:A,castles_state!D:D,"見つかりません"))</f>
      </c>
      <c r="I1576" s="4"/>
      <c r="J1576" s="12" t="str">
        <f t="array" ref="J1576">IF(I1576:I5618="","",_xlfn.XLOOKUP(I1576:I5618,'参照_姫'!A:A,'参照_姫'!B:B,"見つかりません"))</f>
      </c>
      <c r="K1576" s="4">
        <v>95</v>
      </c>
      <c r="L1576" s="4">
        <v>0</v>
      </c>
      <c r="M1576" s="4"/>
      <c r="N1576" s="4"/>
      <c r="O1576" s="4"/>
      <c r="P1576" s="12" t="str">
        <f t="array" ref="P1576">IF(O1576:O5618="","",_xlfn.XLOOKUP(O1576:O5618,'参照_官位'!A:A,'参照_官位'!B:B,""))</f>
      </c>
      <c r="Q1576" s="12" t="str">
        <f t="array" ref="Q1576">IF(A1576:A5618="","",IFERROR(_xlfn.XLOOKUP(A1576:A5618,castles_state!K:K,castles_state!D:D)&amp;"主",IFERROR(_xlfn.XLOOKUP(A1576:A5618,kunishuClan!D:D,kunishuClan!B:B)&amp;"当主","")))</f>
      </c>
    </row>
    <row r="1577" ht="15.75" customHeight="1">
      <c r="A1577" s="4">
        <v>1035004</v>
      </c>
      <c r="B1577" s="12" t="str">
        <f t="array" ref="B1577">IF(A1577:A5619="","",_xlfn.XLOOKUP(A1577:A5619,'参照_武将'!A:A,'参照_武将'!B:B,"見つかりません"))</f>
      </c>
      <c r="C1577" s="4" t="s">
        <v>202</v>
      </c>
      <c r="D1577" s="4">
        <v>35</v>
      </c>
      <c r="E1577" s="12" t="str">
        <f t="array" ref="E1577">IF(D1577:D5619="","",IFERROR(_xlfn.XLOOKUP(D1577:D5619,'参照_勢力'!A:A,'参照_勢力'!B:B),IFERROR(_xlfn.XLOOKUP(F1577:F5619,kunishuClan!A:A,kunishuClan!B:B),"浪人")))</f>
      </c>
      <c r="F1577" s="4">
        <v>0</v>
      </c>
      <c r="G1577" s="4">
        <v>64</v>
      </c>
      <c r="H1577" s="12" t="str">
        <f t="array" ref="H1577">IF(G1577:G5619="","",_xlfn.XLOOKUP(G1577:G5619,castles_state!A:A,castles_state!D:D,"見つかりません"))</f>
      </c>
      <c r="I1577" s="4"/>
      <c r="J1577" s="12" t="str">
        <f t="array" ref="J1577">IF(I1577:I5619="","",_xlfn.XLOOKUP(I1577:I5619,'参照_姫'!A:A,'参照_姫'!B:B,"見つかりません"))</f>
      </c>
      <c r="K1577" s="4">
        <v>95</v>
      </c>
      <c r="L1577" s="4">
        <v>0</v>
      </c>
      <c r="M1577" s="4"/>
      <c r="N1577" s="4"/>
      <c r="O1577" s="4"/>
      <c r="P1577" s="12" t="str">
        <f t="array" ref="P1577">IF(O1577:O5619="","",_xlfn.XLOOKUP(O1577:O5619,'参照_官位'!A:A,'参照_官位'!B:B,""))</f>
      </c>
      <c r="Q1577" s="12" t="str">
        <f t="array" ref="Q1577">IF(A1577:A5619="","",IFERROR(_xlfn.XLOOKUP(A1577:A5619,castles_state!K:K,castles_state!D:D)&amp;"主",IFERROR(_xlfn.XLOOKUP(A1577:A5619,kunishuClan!D:D,kunishuClan!B:B)&amp;"当主","")))</f>
      </c>
    </row>
    <row r="1578" ht="15.75" customHeight="1">
      <c r="A1578" s="4">
        <v>1035005</v>
      </c>
      <c r="B1578" s="12" t="str">
        <f t="array" ref="B1578">IF(A1578:A5620="","",_xlfn.XLOOKUP(A1578:A5620,'参照_武将'!A:A,'参照_武将'!B:B,"見つかりません"))</f>
      </c>
      <c r="C1578" s="4" t="s">
        <v>202</v>
      </c>
      <c r="D1578" s="4">
        <v>35</v>
      </c>
      <c r="E1578" s="12" t="str">
        <f t="array" ref="E1578">IF(D1578:D5620="","",IFERROR(_xlfn.XLOOKUP(D1578:D5620,'参照_勢力'!A:A,'参照_勢力'!B:B),IFERROR(_xlfn.XLOOKUP(F1578:F5620,kunishuClan!A:A,kunishuClan!B:B),"浪人")))</f>
      </c>
      <c r="F1578" s="4">
        <v>0</v>
      </c>
      <c r="G1578" s="4">
        <v>64</v>
      </c>
      <c r="H1578" s="12" t="str">
        <f t="array" ref="H1578">IF(G1578:G5620="","",_xlfn.XLOOKUP(G1578:G5620,castles_state!A:A,castles_state!D:D,"見つかりません"))</f>
      </c>
      <c r="I1578" s="4"/>
      <c r="J1578" s="12" t="str">
        <f t="array" ref="J1578">IF(I1578:I5620="","",_xlfn.XLOOKUP(I1578:I5620,'参照_姫'!A:A,'参照_姫'!B:B,"見つかりません"))</f>
      </c>
      <c r="K1578" s="4">
        <v>95</v>
      </c>
      <c r="L1578" s="4">
        <v>0</v>
      </c>
      <c r="M1578" s="4"/>
      <c r="N1578" s="4"/>
      <c r="O1578" s="4"/>
      <c r="P1578" s="12" t="str">
        <f t="array" ref="P1578">IF(O1578:O5620="","",_xlfn.XLOOKUP(O1578:O5620,'参照_官位'!A:A,'参照_官位'!B:B,""))</f>
      </c>
      <c r="Q1578" s="12" t="str">
        <f t="array" ref="Q1578">IF(A1578:A5620="","",IFERROR(_xlfn.XLOOKUP(A1578:A5620,castles_state!K:K,castles_state!D:D)&amp;"主",IFERROR(_xlfn.XLOOKUP(A1578:A5620,kunishuClan!D:D,kunishuClan!B:B)&amp;"当主","")))</f>
      </c>
    </row>
    <row r="1579" ht="15.75" customHeight="1">
      <c r="A1579" s="4">
        <v>1035006</v>
      </c>
      <c r="B1579" s="12" t="str">
        <f t="array" ref="B1579">IF(A1579:A5621="","",_xlfn.XLOOKUP(A1579:A5621,'参照_武将'!A:A,'参照_武将'!B:B,"見つかりません"))</f>
      </c>
      <c r="C1579" s="4" t="s">
        <v>202</v>
      </c>
      <c r="D1579" s="4">
        <v>35</v>
      </c>
      <c r="E1579" s="12" t="str">
        <f t="array" ref="E1579">IF(D1579:D5621="","",IFERROR(_xlfn.XLOOKUP(D1579:D5621,'参照_勢力'!A:A,'参照_勢力'!B:B),IFERROR(_xlfn.XLOOKUP(F1579:F5621,kunishuClan!A:A,kunishuClan!B:B),"浪人")))</f>
      </c>
      <c r="F1579" s="4">
        <v>0</v>
      </c>
      <c r="G1579" s="4">
        <v>64</v>
      </c>
      <c r="H1579" s="12" t="str">
        <f t="array" ref="H1579">IF(G1579:G5621="","",_xlfn.XLOOKUP(G1579:G5621,castles_state!A:A,castles_state!D:D,"見つかりません"))</f>
      </c>
      <c r="I1579" s="4"/>
      <c r="J1579" s="12" t="str">
        <f t="array" ref="J1579">IF(I1579:I5621="","",_xlfn.XLOOKUP(I1579:I5621,'参照_姫'!A:A,'参照_姫'!B:B,"見つかりません"))</f>
      </c>
      <c r="K1579" s="4">
        <v>95</v>
      </c>
      <c r="L1579" s="4">
        <v>0</v>
      </c>
      <c r="M1579" s="4"/>
      <c r="N1579" s="4"/>
      <c r="O1579" s="4"/>
      <c r="P1579" s="12" t="str">
        <f t="array" ref="P1579">IF(O1579:O5621="","",_xlfn.XLOOKUP(O1579:O5621,'参照_官位'!A:A,'参照_官位'!B:B,""))</f>
      </c>
      <c r="Q1579" s="12" t="str">
        <f t="array" ref="Q1579">IF(A1579:A5621="","",IFERROR(_xlfn.XLOOKUP(A1579:A5621,castles_state!K:K,castles_state!D:D)&amp;"主",IFERROR(_xlfn.XLOOKUP(A1579:A5621,kunishuClan!D:D,kunishuClan!B:B)&amp;"当主","")))</f>
      </c>
    </row>
    <row r="1580" ht="15.75" customHeight="1">
      <c r="A1580" s="4">
        <v>1035007</v>
      </c>
      <c r="B1580" s="12" t="str">
        <f t="array" ref="B1580">IF(A1580:A5622="","",_xlfn.XLOOKUP(A1580:A5622,'参照_武将'!A:A,'参照_武将'!B:B,"見つかりません"))</f>
      </c>
      <c r="C1580" s="4" t="s">
        <v>202</v>
      </c>
      <c r="D1580" s="4">
        <v>35</v>
      </c>
      <c r="E1580" s="12" t="str">
        <f t="array" ref="E1580">IF(D1580:D5622="","",IFERROR(_xlfn.XLOOKUP(D1580:D5622,'参照_勢力'!A:A,'参照_勢力'!B:B),IFERROR(_xlfn.XLOOKUP(F1580:F5622,kunishuClan!A:A,kunishuClan!B:B),"浪人")))</f>
      </c>
      <c r="F1580" s="4">
        <v>0</v>
      </c>
      <c r="G1580" s="4">
        <v>60</v>
      </c>
      <c r="H1580" s="12" t="str">
        <f t="array" ref="H1580">IF(G1580:G5622="","",_xlfn.XLOOKUP(G1580:G5622,castles_state!A:A,castles_state!D:D,"見つかりません"))</f>
      </c>
      <c r="I1580" s="4"/>
      <c r="J1580" s="12" t="str">
        <f t="array" ref="J1580">IF(I1580:I5622="","",_xlfn.XLOOKUP(I1580:I5622,'参照_姫'!A:A,'参照_姫'!B:B,"見つかりません"))</f>
      </c>
      <c r="K1580" s="4">
        <v>95</v>
      </c>
      <c r="L1580" s="4">
        <v>0</v>
      </c>
      <c r="M1580" s="4"/>
      <c r="N1580" s="4"/>
      <c r="O1580" s="4"/>
      <c r="P1580" s="12" t="str">
        <f t="array" ref="P1580">IF(O1580:O5622="","",_xlfn.XLOOKUP(O1580:O5622,'参照_官位'!A:A,'参照_官位'!B:B,""))</f>
      </c>
      <c r="Q1580" s="12" t="str">
        <f t="array" ref="Q1580">IF(A1580:A5622="","",IFERROR(_xlfn.XLOOKUP(A1580:A5622,castles_state!K:K,castles_state!D:D)&amp;"主",IFERROR(_xlfn.XLOOKUP(A1580:A5622,kunishuClan!D:D,kunishuClan!B:B)&amp;"当主","")))</f>
      </c>
    </row>
    <row r="1581" ht="15.75" customHeight="1">
      <c r="A1581" s="4">
        <v>1035008</v>
      </c>
      <c r="B1581" s="12" t="str">
        <f t="array" ref="B1581">IF(A1581:A5623="","",_xlfn.XLOOKUP(A1581:A5623,'参照_武将'!A:A,'参照_武将'!B:B,"見つかりません"))</f>
      </c>
      <c r="C1581" s="4" t="s">
        <v>202</v>
      </c>
      <c r="D1581" s="4">
        <v>35</v>
      </c>
      <c r="E1581" s="12" t="str">
        <f t="array" ref="E1581">IF(D1581:D5623="","",IFERROR(_xlfn.XLOOKUP(D1581:D5623,'参照_勢力'!A:A,'参照_勢力'!B:B),IFERROR(_xlfn.XLOOKUP(F1581:F5623,kunishuClan!A:A,kunishuClan!B:B),"浪人")))</f>
      </c>
      <c r="F1581" s="4">
        <v>0</v>
      </c>
      <c r="G1581" s="4">
        <v>64</v>
      </c>
      <c r="H1581" s="12" t="str">
        <f t="array" ref="H1581">IF(G1581:G5623="","",_xlfn.XLOOKUP(G1581:G5623,castles_state!A:A,castles_state!D:D,"見つかりません"))</f>
      </c>
      <c r="I1581" s="4"/>
      <c r="J1581" s="12" t="str">
        <f t="array" ref="J1581">IF(I1581:I5623="","",_xlfn.XLOOKUP(I1581:I5623,'参照_姫'!A:A,'参照_姫'!B:B,"見つかりません"))</f>
      </c>
      <c r="K1581" s="4">
        <v>95</v>
      </c>
      <c r="L1581" s="4">
        <v>0</v>
      </c>
      <c r="M1581" s="4"/>
      <c r="N1581" s="4"/>
      <c r="O1581" s="4"/>
      <c r="P1581" s="12" t="str">
        <f t="array" ref="P1581">IF(O1581:O5623="","",_xlfn.XLOOKUP(O1581:O5623,'参照_官位'!A:A,'参照_官位'!B:B,""))</f>
      </c>
      <c r="Q1581" s="12" t="str">
        <f t="array" ref="Q1581">IF(A1581:A5623="","",IFERROR(_xlfn.XLOOKUP(A1581:A5623,castles_state!K:K,castles_state!D:D)&amp;"主",IFERROR(_xlfn.XLOOKUP(A1581:A5623,kunishuClan!D:D,kunishuClan!B:B)&amp;"当主","")))</f>
      </c>
    </row>
    <row r="1582" ht="15.75" customHeight="1">
      <c r="A1582" s="4">
        <v>1035009</v>
      </c>
      <c r="B1582" s="12" t="str">
        <f t="array" ref="B1582">IF(A1582:A5624="","",_xlfn.XLOOKUP(A1582:A5624,'参照_武将'!A:A,'参照_武将'!B:B,"見つかりません"))</f>
      </c>
      <c r="C1582" s="4" t="s">
        <v>202</v>
      </c>
      <c r="D1582" s="4">
        <v>35</v>
      </c>
      <c r="E1582" s="12" t="str">
        <f t="array" ref="E1582">IF(D1582:D5624="","",IFERROR(_xlfn.XLOOKUP(D1582:D5624,'参照_勢力'!A:A,'参照_勢力'!B:B),IFERROR(_xlfn.XLOOKUP(F1582:F5624,kunishuClan!A:A,kunishuClan!B:B),"浪人")))</f>
      </c>
      <c r="F1582" s="4">
        <v>0</v>
      </c>
      <c r="G1582" s="4">
        <v>64</v>
      </c>
      <c r="H1582" s="12" t="str">
        <f t="array" ref="H1582">IF(G1582:G5624="","",_xlfn.XLOOKUP(G1582:G5624,castles_state!A:A,castles_state!D:D,"見つかりません"))</f>
      </c>
      <c r="I1582" s="4"/>
      <c r="J1582" s="12" t="str">
        <f t="array" ref="J1582">IF(I1582:I5624="","",_xlfn.XLOOKUP(I1582:I5624,'参照_姫'!A:A,'参照_姫'!B:B,"見つかりません"))</f>
      </c>
      <c r="K1582" s="4">
        <v>95</v>
      </c>
      <c r="L1582" s="4">
        <v>0</v>
      </c>
      <c r="M1582" s="4"/>
      <c r="N1582" s="4"/>
      <c r="O1582" s="4"/>
      <c r="P1582" s="12" t="str">
        <f t="array" ref="P1582">IF(O1582:O5624="","",_xlfn.XLOOKUP(O1582:O5624,'参照_官位'!A:A,'参照_官位'!B:B,""))</f>
      </c>
      <c r="Q1582" s="12" t="str">
        <f t="array" ref="Q1582">IF(A1582:A5624="","",IFERROR(_xlfn.XLOOKUP(A1582:A5624,castles_state!K:K,castles_state!D:D)&amp;"主",IFERROR(_xlfn.XLOOKUP(A1582:A5624,kunishuClan!D:D,kunishuClan!B:B)&amp;"当主","")))</f>
      </c>
    </row>
    <row r="1583" ht="15.75" customHeight="1">
      <c r="A1583" s="4">
        <v>1035010</v>
      </c>
      <c r="B1583" s="12" t="str">
        <f t="array" ref="B1583">IF(A1583:A5625="","",_xlfn.XLOOKUP(A1583:A5625,'参照_武将'!A:A,'参照_武将'!B:B,"見つかりません"))</f>
      </c>
      <c r="C1583" s="4" t="s">
        <v>202</v>
      </c>
      <c r="D1583" s="4">
        <v>35</v>
      </c>
      <c r="E1583" s="12" t="str">
        <f t="array" ref="E1583">IF(D1583:D5625="","",IFERROR(_xlfn.XLOOKUP(D1583:D5625,'参照_勢力'!A:A,'参照_勢力'!B:B),IFERROR(_xlfn.XLOOKUP(F1583:F5625,kunishuClan!A:A,kunishuClan!B:B),"浪人")))</f>
      </c>
      <c r="F1583" s="4">
        <v>0</v>
      </c>
      <c r="G1583" s="4">
        <v>60</v>
      </c>
      <c r="H1583" s="12" t="str">
        <f t="array" ref="H1583">IF(G1583:G5625="","",_xlfn.XLOOKUP(G1583:G5625,castles_state!A:A,castles_state!D:D,"見つかりません"))</f>
      </c>
      <c r="I1583" s="4"/>
      <c r="J1583" s="12" t="str">
        <f t="array" ref="J1583">IF(I1583:I5625="","",_xlfn.XLOOKUP(I1583:I5625,'参照_姫'!A:A,'参照_姫'!B:B,"見つかりません"))</f>
      </c>
      <c r="K1583" s="4">
        <v>100</v>
      </c>
      <c r="L1583" s="4">
        <v>1000</v>
      </c>
      <c r="M1583" s="4"/>
      <c r="N1583" s="4"/>
      <c r="O1583" s="4"/>
      <c r="P1583" s="12" t="str">
        <f t="array" ref="P1583">IF(O1583:O5625="","",_xlfn.XLOOKUP(O1583:O5625,'参照_官位'!A:A,'参照_官位'!B:B,""))</f>
      </c>
      <c r="Q1583" s="12" t="str">
        <f t="array" ref="Q1583">IF(A1583:A5625="","",IFERROR(_xlfn.XLOOKUP(A1583:A5625,castles_state!K:K,castles_state!D:D)&amp;"主",IFERROR(_xlfn.XLOOKUP(A1583:A5625,kunishuClan!D:D,kunishuClan!B:B)&amp;"当主","")))</f>
      </c>
    </row>
    <row r="1584" ht="15.75" customHeight="1">
      <c r="A1584" s="4">
        <v>1035011</v>
      </c>
      <c r="B1584" s="12" t="str">
        <f t="array" ref="B1584">IF(A1584:A5626="","",_xlfn.XLOOKUP(A1584:A5626,'参照_武将'!A:A,'参照_武将'!B:B,"見つかりません"))</f>
      </c>
      <c r="C1584" s="4" t="s">
        <v>202</v>
      </c>
      <c r="D1584" s="4">
        <v>35</v>
      </c>
      <c r="E1584" s="12" t="str">
        <f t="array" ref="E1584">IF(D1584:D5626="","",IFERROR(_xlfn.XLOOKUP(D1584:D5626,'参照_勢力'!A:A,'参照_勢力'!B:B),IFERROR(_xlfn.XLOOKUP(F1584:F5626,kunishuClan!A:A,kunishuClan!B:B),"浪人")))</f>
      </c>
      <c r="F1584" s="4">
        <v>0</v>
      </c>
      <c r="G1584" s="4">
        <v>60</v>
      </c>
      <c r="H1584" s="12" t="str">
        <f t="array" ref="H1584">IF(G1584:G5626="","",_xlfn.XLOOKUP(G1584:G5626,castles_state!A:A,castles_state!D:D,"見つかりません"))</f>
      </c>
      <c r="I1584" s="4"/>
      <c r="J1584" s="12" t="str">
        <f t="array" ref="J1584">IF(I1584:I5626="","",_xlfn.XLOOKUP(I1584:I5626,'参照_姫'!A:A,'参照_姫'!B:B,"見つかりません"))</f>
      </c>
      <c r="K1584" s="4">
        <v>95</v>
      </c>
      <c r="L1584" s="4">
        <v>0</v>
      </c>
      <c r="M1584" s="4"/>
      <c r="N1584" s="4"/>
      <c r="O1584" s="4"/>
      <c r="P1584" s="12" t="str">
        <f t="array" ref="P1584">IF(O1584:O5626="","",_xlfn.XLOOKUP(O1584:O5626,'参照_官位'!A:A,'参照_官位'!B:B,""))</f>
      </c>
      <c r="Q1584" s="12" t="str">
        <f t="array" ref="Q1584">IF(A1584:A5626="","",IFERROR(_xlfn.XLOOKUP(A1584:A5626,castles_state!K:K,castles_state!D:D)&amp;"主",IFERROR(_xlfn.XLOOKUP(A1584:A5626,kunishuClan!D:D,kunishuClan!B:B)&amp;"当主","")))</f>
      </c>
    </row>
    <row r="1585" ht="15.75" customHeight="1">
      <c r="A1585" s="4">
        <v>1035012</v>
      </c>
      <c r="B1585" s="12" t="str">
        <f t="array" ref="B1585">IF(A1585:A5627="","",_xlfn.XLOOKUP(A1585:A5627,'参照_武将'!A:A,'参照_武将'!B:B,"見つかりません"))</f>
      </c>
      <c r="C1585" s="4" t="s">
        <v>202</v>
      </c>
      <c r="D1585" s="4">
        <v>35</v>
      </c>
      <c r="E1585" s="12" t="str">
        <f t="array" ref="E1585">IF(D1585:D5627="","",IFERROR(_xlfn.XLOOKUP(D1585:D5627,'参照_勢力'!A:A,'参照_勢力'!B:B),IFERROR(_xlfn.XLOOKUP(F1585:F5627,kunishuClan!A:A,kunishuClan!B:B),"浪人")))</f>
      </c>
      <c r="F1585" s="4">
        <v>0</v>
      </c>
      <c r="G1585" s="4">
        <v>64</v>
      </c>
      <c r="H1585" s="12" t="str">
        <f t="array" ref="H1585">IF(G1585:G5627="","",_xlfn.XLOOKUP(G1585:G5627,castles_state!A:A,castles_state!D:D,"見つかりません"))</f>
      </c>
      <c r="I1585" s="4"/>
      <c r="J1585" s="12" t="str">
        <f t="array" ref="J1585">IF(I1585:I5627="","",_xlfn.XLOOKUP(I1585:I5627,'参照_姫'!A:A,'参照_姫'!B:B,"見つかりません"))</f>
      </c>
      <c r="K1585" s="4">
        <v>95</v>
      </c>
      <c r="L1585" s="4">
        <v>0</v>
      </c>
      <c r="M1585" s="4"/>
      <c r="N1585" s="4"/>
      <c r="O1585" s="4"/>
      <c r="P1585" s="12" t="str">
        <f t="array" ref="P1585">IF(O1585:O5627="","",_xlfn.XLOOKUP(O1585:O5627,'参照_官位'!A:A,'参照_官位'!B:B,""))</f>
      </c>
      <c r="Q1585" s="12" t="str">
        <f t="array" ref="Q1585">IF(A1585:A5627="","",IFERROR(_xlfn.XLOOKUP(A1585:A5627,castles_state!K:K,castles_state!D:D)&amp;"主",IFERROR(_xlfn.XLOOKUP(A1585:A5627,kunishuClan!D:D,kunishuClan!B:B)&amp;"当主","")))</f>
      </c>
    </row>
    <row r="1586" ht="15.75" customHeight="1">
      <c r="A1586" s="4">
        <v>1035013</v>
      </c>
      <c r="B1586" s="12" t="str">
        <f t="array" ref="B1586">IF(A1586:A5628="","",_xlfn.XLOOKUP(A1586:A5628,'参照_武将'!A:A,'参照_武将'!B:B,"見つかりません"))</f>
      </c>
      <c r="C1586" s="4" t="s">
        <v>202</v>
      </c>
      <c r="D1586" s="4">
        <v>35</v>
      </c>
      <c r="E1586" s="12" t="str">
        <f t="array" ref="E1586">IF(D1586:D5628="","",IFERROR(_xlfn.XLOOKUP(D1586:D5628,'参照_勢力'!A:A,'参照_勢力'!B:B),IFERROR(_xlfn.XLOOKUP(F1586:F5628,kunishuClan!A:A,kunishuClan!B:B),"浪人")))</f>
      </c>
      <c r="F1586" s="4">
        <v>0</v>
      </c>
      <c r="G1586" s="4">
        <v>64</v>
      </c>
      <c r="H1586" s="12" t="str">
        <f t="array" ref="H1586">IF(G1586:G5628="","",_xlfn.XLOOKUP(G1586:G5628,castles_state!A:A,castles_state!D:D,"見つかりません"))</f>
      </c>
      <c r="I1586" s="4"/>
      <c r="J1586" s="12" t="str">
        <f t="array" ref="J1586">IF(I1586:I5628="","",_xlfn.XLOOKUP(I1586:I5628,'参照_姫'!A:A,'参照_姫'!B:B,"見つかりません"))</f>
      </c>
      <c r="K1586" s="4">
        <v>95</v>
      </c>
      <c r="L1586" s="4">
        <v>0</v>
      </c>
      <c r="M1586" s="4"/>
      <c r="N1586" s="4"/>
      <c r="O1586" s="4"/>
      <c r="P1586" s="12" t="str">
        <f t="array" ref="P1586">IF(O1586:O5628="","",_xlfn.XLOOKUP(O1586:O5628,'参照_官位'!A:A,'参照_官位'!B:B,""))</f>
      </c>
      <c r="Q1586" s="12" t="str">
        <f t="array" ref="Q1586">IF(A1586:A5628="","",IFERROR(_xlfn.XLOOKUP(A1586:A5628,castles_state!K:K,castles_state!D:D)&amp;"主",IFERROR(_xlfn.XLOOKUP(A1586:A5628,kunishuClan!D:D,kunishuClan!B:B)&amp;"当主","")))</f>
      </c>
    </row>
    <row r="1587" ht="15.75" customHeight="1">
      <c r="A1587" s="4">
        <v>1035014</v>
      </c>
      <c r="B1587" s="12" t="str">
        <f t="array" ref="B1587">IF(A1587:A5629="","",_xlfn.XLOOKUP(A1587:A5629,'参照_武将'!A:A,'参照_武将'!B:B,"見つかりません"))</f>
      </c>
      <c r="C1587" s="4" t="s">
        <v>202</v>
      </c>
      <c r="D1587" s="4">
        <v>35</v>
      </c>
      <c r="E1587" s="12" t="str">
        <f t="array" ref="E1587">IF(D1587:D5629="","",IFERROR(_xlfn.XLOOKUP(D1587:D5629,'参照_勢力'!A:A,'参照_勢力'!B:B),IFERROR(_xlfn.XLOOKUP(F1587:F5629,kunishuClan!A:A,kunishuClan!B:B),"浪人")))</f>
      </c>
      <c r="F1587" s="4">
        <v>0</v>
      </c>
      <c r="G1587" s="4">
        <v>60</v>
      </c>
      <c r="H1587" s="12" t="str">
        <f t="array" ref="H1587">IF(G1587:G5629="","",_xlfn.XLOOKUP(G1587:G5629,castles_state!A:A,castles_state!D:D,"見つかりません"))</f>
      </c>
      <c r="I1587" s="4"/>
      <c r="J1587" s="12" t="str">
        <f t="array" ref="J1587">IF(I1587:I5629="","",_xlfn.XLOOKUP(I1587:I5629,'参照_姫'!A:A,'参照_姫'!B:B,"見つかりません"))</f>
      </c>
      <c r="K1587" s="4">
        <v>95</v>
      </c>
      <c r="L1587" s="4">
        <v>500</v>
      </c>
      <c r="M1587" s="4"/>
      <c r="N1587" s="4"/>
      <c r="O1587" s="4"/>
      <c r="P1587" s="12" t="str">
        <f t="array" ref="P1587">IF(O1587:O5629="","",_xlfn.XLOOKUP(O1587:O5629,'参照_官位'!A:A,'参照_官位'!B:B,""))</f>
      </c>
      <c r="Q1587" s="12" t="str">
        <f t="array" ref="Q1587">IF(A1587:A5629="","",IFERROR(_xlfn.XLOOKUP(A1587:A5629,castles_state!K:K,castles_state!D:D)&amp;"主",IFERROR(_xlfn.XLOOKUP(A1587:A5629,kunishuClan!D:D,kunishuClan!B:B)&amp;"当主","")))</f>
      </c>
    </row>
    <row r="1588" ht="15.75" customHeight="1">
      <c r="A1588" s="4">
        <v>1035015</v>
      </c>
      <c r="B1588" s="12" t="str">
        <f t="array" ref="B1588">IF(A1588:A5630="","",_xlfn.XLOOKUP(A1588:A5630,'参照_武将'!A:A,'参照_武将'!B:B,"見つかりません"))</f>
      </c>
      <c r="C1588" s="4" t="s">
        <v>202</v>
      </c>
      <c r="D1588" s="4">
        <v>35</v>
      </c>
      <c r="E1588" s="12" t="str">
        <f t="array" ref="E1588">IF(D1588:D5630="","",IFERROR(_xlfn.XLOOKUP(D1588:D5630,'参照_勢力'!A:A,'参照_勢力'!B:B),IFERROR(_xlfn.XLOOKUP(F1588:F5630,kunishuClan!A:A,kunishuClan!B:B),"浪人")))</f>
      </c>
      <c r="F1588" s="4">
        <v>0</v>
      </c>
      <c r="G1588" s="4">
        <v>60</v>
      </c>
      <c r="H1588" s="12" t="str">
        <f t="array" ref="H1588">IF(G1588:G5630="","",_xlfn.XLOOKUP(G1588:G5630,castles_state!A:A,castles_state!D:D,"見つかりません"))</f>
      </c>
      <c r="I1588" s="4"/>
      <c r="J1588" s="12" t="str">
        <f t="array" ref="J1588">IF(I1588:I5630="","",_xlfn.XLOOKUP(I1588:I5630,'参照_姫'!A:A,'参照_姫'!B:B,"見つかりません"))</f>
      </c>
      <c r="K1588" s="4">
        <v>95</v>
      </c>
      <c r="L1588" s="4">
        <v>0</v>
      </c>
      <c r="M1588" s="4"/>
      <c r="N1588" s="4"/>
      <c r="O1588" s="4"/>
      <c r="P1588" s="12" t="str">
        <f t="array" ref="P1588">IF(O1588:O5630="","",_xlfn.XLOOKUP(O1588:O5630,'参照_官位'!A:A,'参照_官位'!B:B,""))</f>
      </c>
      <c r="Q1588" s="12" t="str">
        <f t="array" ref="Q1588">IF(A1588:A5630="","",IFERROR(_xlfn.XLOOKUP(A1588:A5630,castles_state!K:K,castles_state!D:D)&amp;"主",IFERROR(_xlfn.XLOOKUP(A1588:A5630,kunishuClan!D:D,kunishuClan!B:B)&amp;"当主","")))</f>
      </c>
    </row>
    <row r="1589" ht="15.75" customHeight="1">
      <c r="A1589" s="4">
        <v>1035016</v>
      </c>
      <c r="B1589" s="12" t="str">
        <f t="array" ref="B1589">IF(A1589:A5631="","",_xlfn.XLOOKUP(A1589:A5631,'参照_武将'!A:A,'参照_武将'!B:B,"見つかりません"))</f>
      </c>
      <c r="C1589" s="4" t="s">
        <v>202</v>
      </c>
      <c r="D1589" s="4">
        <v>35</v>
      </c>
      <c r="E1589" s="12" t="str">
        <f t="array" ref="E1589">IF(D1589:D5631="","",IFERROR(_xlfn.XLOOKUP(D1589:D5631,'参照_勢力'!A:A,'参照_勢力'!B:B),IFERROR(_xlfn.XLOOKUP(F1589:F5631,kunishuClan!A:A,kunishuClan!B:B),"浪人")))</f>
      </c>
      <c r="F1589" s="4">
        <v>0</v>
      </c>
      <c r="G1589" s="4">
        <v>64</v>
      </c>
      <c r="H1589" s="12" t="str">
        <f t="array" ref="H1589">IF(G1589:G5631="","",_xlfn.XLOOKUP(G1589:G5631,castles_state!A:A,castles_state!D:D,"見つかりません"))</f>
      </c>
      <c r="I1589" s="4"/>
      <c r="J1589" s="12" t="str">
        <f t="array" ref="J1589">IF(I1589:I5631="","",_xlfn.XLOOKUP(I1589:I5631,'参照_姫'!A:A,'参照_姫'!B:B,"見つかりません"))</f>
      </c>
      <c r="K1589" s="4">
        <v>95</v>
      </c>
      <c r="L1589" s="4">
        <v>0</v>
      </c>
      <c r="M1589" s="4"/>
      <c r="N1589" s="4"/>
      <c r="O1589" s="4"/>
      <c r="P1589" s="12" t="str">
        <f t="array" ref="P1589">IF(O1589:O5631="","",_xlfn.XLOOKUP(O1589:O5631,'参照_官位'!A:A,'参照_官位'!B:B,""))</f>
      </c>
      <c r="Q1589" s="12" t="str">
        <f t="array" ref="Q1589">IF(A1589:A5631="","",IFERROR(_xlfn.XLOOKUP(A1589:A5631,castles_state!K:K,castles_state!D:D)&amp;"主",IFERROR(_xlfn.XLOOKUP(A1589:A5631,kunishuClan!D:D,kunishuClan!B:B)&amp;"当主","")))</f>
      </c>
    </row>
    <row r="1590" ht="15.75" customHeight="1">
      <c r="A1590" s="4">
        <v>1035017</v>
      </c>
      <c r="B1590" s="12" t="str">
        <f t="array" ref="B1590">IF(A1590:A5632="","",_xlfn.XLOOKUP(A1590:A5632,'参照_武将'!A:A,'参照_武将'!B:B,"見つかりません"))</f>
      </c>
      <c r="C1590" s="4" t="s">
        <v>202</v>
      </c>
      <c r="D1590" s="4">
        <v>35</v>
      </c>
      <c r="E1590" s="12" t="str">
        <f t="array" ref="E1590">IF(D1590:D5632="","",IFERROR(_xlfn.XLOOKUP(D1590:D5632,'参照_勢力'!A:A,'参照_勢力'!B:B),IFERROR(_xlfn.XLOOKUP(F1590:F5632,kunishuClan!A:A,kunishuClan!B:B),"浪人")))</f>
      </c>
      <c r="F1590" s="4">
        <v>0</v>
      </c>
      <c r="G1590" s="4">
        <v>64</v>
      </c>
      <c r="H1590" s="12" t="str">
        <f t="array" ref="H1590">IF(G1590:G5632="","",_xlfn.XLOOKUP(G1590:G5632,castles_state!A:A,castles_state!D:D,"見つかりません"))</f>
      </c>
      <c r="I1590" s="4"/>
      <c r="J1590" s="12" t="str">
        <f t="array" ref="J1590">IF(I1590:I5632="","",_xlfn.XLOOKUP(I1590:I5632,'参照_姫'!A:A,'参照_姫'!B:B,"見つかりません"))</f>
      </c>
      <c r="K1590" s="4">
        <v>95</v>
      </c>
      <c r="L1590" s="4">
        <v>0</v>
      </c>
      <c r="M1590" s="4"/>
      <c r="N1590" s="4"/>
      <c r="O1590" s="4"/>
      <c r="P1590" s="12" t="str">
        <f t="array" ref="P1590">IF(O1590:O5632="","",_xlfn.XLOOKUP(O1590:O5632,'参照_官位'!A:A,'参照_官位'!B:B,""))</f>
      </c>
      <c r="Q1590" s="12" t="str">
        <f t="array" ref="Q1590">IF(A1590:A5632="","",IFERROR(_xlfn.XLOOKUP(A1590:A5632,castles_state!K:K,castles_state!D:D)&amp;"主",IFERROR(_xlfn.XLOOKUP(A1590:A5632,kunishuClan!D:D,kunishuClan!B:B)&amp;"当主","")))</f>
      </c>
    </row>
    <row r="1591" ht="15.75" customHeight="1">
      <c r="A1591" s="4">
        <v>1035018</v>
      </c>
      <c r="B1591" s="12" t="str">
        <f t="array" ref="B1591">IF(A1591:A5633="","",_xlfn.XLOOKUP(A1591:A5633,'参照_武将'!A:A,'参照_武将'!B:B,"見つかりません"))</f>
      </c>
      <c r="C1591" s="4" t="s">
        <v>202</v>
      </c>
      <c r="D1591" s="4">
        <v>35</v>
      </c>
      <c r="E1591" s="12" t="str">
        <f t="array" ref="E1591">IF(D1591:D5633="","",IFERROR(_xlfn.XLOOKUP(D1591:D5633,'参照_勢力'!A:A,'参照_勢力'!B:B),IFERROR(_xlfn.XLOOKUP(F1591:F5633,kunishuClan!A:A,kunishuClan!B:B),"浪人")))</f>
      </c>
      <c r="F1591" s="4">
        <v>0</v>
      </c>
      <c r="G1591" s="4">
        <v>64</v>
      </c>
      <c r="H1591" s="12" t="str">
        <f t="array" ref="H1591">IF(G1591:G5633="","",_xlfn.XLOOKUP(G1591:G5633,castles_state!A:A,castles_state!D:D,"見つかりません"))</f>
      </c>
      <c r="I1591" s="4"/>
      <c r="J1591" s="12" t="str">
        <f t="array" ref="J1591">IF(I1591:I5633="","",_xlfn.XLOOKUP(I1591:I5633,'参照_姫'!A:A,'参照_姫'!B:B,"見つかりません"))</f>
      </c>
      <c r="K1591" s="4">
        <v>95</v>
      </c>
      <c r="L1591" s="4">
        <v>0</v>
      </c>
      <c r="M1591" s="4"/>
      <c r="N1591" s="4"/>
      <c r="O1591" s="4"/>
      <c r="P1591" s="12" t="str">
        <f t="array" ref="P1591">IF(O1591:O5633="","",_xlfn.XLOOKUP(O1591:O5633,'参照_官位'!A:A,'参照_官位'!B:B,""))</f>
      </c>
      <c r="Q1591" s="12" t="str">
        <f t="array" ref="Q1591">IF(A1591:A5633="","",IFERROR(_xlfn.XLOOKUP(A1591:A5633,castles_state!K:K,castles_state!D:D)&amp;"主",IFERROR(_xlfn.XLOOKUP(A1591:A5633,kunishuClan!D:D,kunishuClan!B:B)&amp;"当主","")))</f>
      </c>
    </row>
    <row r="1592" ht="15.75" customHeight="1">
      <c r="A1592" s="4">
        <v>1035019</v>
      </c>
      <c r="B1592" s="12" t="str">
        <f t="array" ref="B1592">IF(A1592:A5634="","",_xlfn.XLOOKUP(A1592:A5634,'参照_武将'!A:A,'参照_武将'!B:B,"見つかりません"))</f>
      </c>
      <c r="C1592" s="4" t="s">
        <v>202</v>
      </c>
      <c r="D1592" s="4">
        <v>35</v>
      </c>
      <c r="E1592" s="12" t="str">
        <f t="array" ref="E1592">IF(D1592:D5634="","",IFERROR(_xlfn.XLOOKUP(D1592:D5634,'参照_勢力'!A:A,'参照_勢力'!B:B),IFERROR(_xlfn.XLOOKUP(F1592:F5634,kunishuClan!A:A,kunishuClan!B:B),"浪人")))</f>
      </c>
      <c r="F1592" s="4">
        <v>0</v>
      </c>
      <c r="G1592" s="4">
        <v>60</v>
      </c>
      <c r="H1592" s="12" t="str">
        <f t="array" ref="H1592">IF(G1592:G5634="","",_xlfn.XLOOKUP(G1592:G5634,castles_state!A:A,castles_state!D:D,"見つかりません"))</f>
      </c>
      <c r="I1592" s="4"/>
      <c r="J1592" s="12" t="str">
        <f t="array" ref="J1592">IF(I1592:I5634="","",_xlfn.XLOOKUP(I1592:I5634,'参照_姫'!A:A,'参照_姫'!B:B,"見つかりません"))</f>
      </c>
      <c r="K1592" s="4">
        <v>95</v>
      </c>
      <c r="L1592" s="4">
        <v>0</v>
      </c>
      <c r="M1592" s="4"/>
      <c r="N1592" s="4"/>
      <c r="O1592" s="4"/>
      <c r="P1592" s="12" t="str">
        <f t="array" ref="P1592">IF(O1592:O5634="","",_xlfn.XLOOKUP(O1592:O5634,'参照_官位'!A:A,'参照_官位'!B:B,""))</f>
      </c>
      <c r="Q1592" s="12" t="str">
        <f t="array" ref="Q1592">IF(A1592:A5634="","",IFERROR(_xlfn.XLOOKUP(A1592:A5634,castles_state!K:K,castles_state!D:D)&amp;"主",IFERROR(_xlfn.XLOOKUP(A1592:A5634,kunishuClan!D:D,kunishuClan!B:B)&amp;"当主","")))</f>
      </c>
    </row>
    <row r="1593" ht="15.75" customHeight="1">
      <c r="A1593" s="4">
        <v>1035020</v>
      </c>
      <c r="B1593" s="12" t="str">
        <f t="array" ref="B1593">IF(A1593:A5635="","",_xlfn.XLOOKUP(A1593:A5635,'参照_武将'!A:A,'参照_武将'!B:B,"見つかりません"))</f>
      </c>
      <c r="C1593" s="4" t="s">
        <v>202</v>
      </c>
      <c r="D1593" s="4">
        <v>35</v>
      </c>
      <c r="E1593" s="12" t="str">
        <f t="array" ref="E1593">IF(D1593:D5635="","",IFERROR(_xlfn.XLOOKUP(D1593:D5635,'参照_勢力'!A:A,'参照_勢力'!B:B),IFERROR(_xlfn.XLOOKUP(F1593:F5635,kunishuClan!A:A,kunishuClan!B:B),"浪人")))</f>
      </c>
      <c r="F1593" s="4">
        <v>0</v>
      </c>
      <c r="G1593" s="4">
        <v>64</v>
      </c>
      <c r="H1593" s="12" t="str">
        <f t="array" ref="H1593">IF(G1593:G5635="","",_xlfn.XLOOKUP(G1593:G5635,castles_state!A:A,castles_state!D:D,"見つかりません"))</f>
      </c>
      <c r="I1593" s="4"/>
      <c r="J1593" s="12" t="str">
        <f t="array" ref="J1593">IF(I1593:I5635="","",_xlfn.XLOOKUP(I1593:I5635,'参照_姫'!A:A,'参照_姫'!B:B,"見つかりません"))</f>
      </c>
      <c r="K1593" s="4">
        <v>95</v>
      </c>
      <c r="L1593" s="4">
        <v>0</v>
      </c>
      <c r="M1593" s="4"/>
      <c r="N1593" s="4"/>
      <c r="O1593" s="4"/>
      <c r="P1593" s="12" t="str">
        <f t="array" ref="P1593">IF(O1593:O5635="","",_xlfn.XLOOKUP(O1593:O5635,'参照_官位'!A:A,'参照_官位'!B:B,""))</f>
      </c>
      <c r="Q1593" s="12" t="str">
        <f t="array" ref="Q1593">IF(A1593:A5635="","",IFERROR(_xlfn.XLOOKUP(A1593:A5635,castles_state!K:K,castles_state!D:D)&amp;"主",IFERROR(_xlfn.XLOOKUP(A1593:A5635,kunishuClan!D:D,kunishuClan!B:B)&amp;"当主","")))</f>
      </c>
    </row>
    <row r="1594" ht="15.75" customHeight="1">
      <c r="A1594" s="4">
        <v>1035021</v>
      </c>
      <c r="B1594" s="12" t="str">
        <f t="array" ref="B1594">IF(A1594:A5636="","",_xlfn.XLOOKUP(A1594:A5636,'参照_武将'!A:A,'参照_武将'!B:B,"見つかりません"))</f>
      </c>
      <c r="C1594" s="4" t="s">
        <v>202</v>
      </c>
      <c r="D1594" s="4">
        <v>35</v>
      </c>
      <c r="E1594" s="12" t="str">
        <f t="array" ref="E1594">IF(D1594:D5636="","",IFERROR(_xlfn.XLOOKUP(D1594:D5636,'参照_勢力'!A:A,'参照_勢力'!B:B),IFERROR(_xlfn.XLOOKUP(F1594:F5636,kunishuClan!A:A,kunishuClan!B:B),"浪人")))</f>
      </c>
      <c r="F1594" s="4">
        <v>0</v>
      </c>
      <c r="G1594" s="4">
        <v>60</v>
      </c>
      <c r="H1594" s="12" t="str">
        <f t="array" ref="H1594">IF(G1594:G5636="","",_xlfn.XLOOKUP(G1594:G5636,castles_state!A:A,castles_state!D:D,"見つかりません"))</f>
      </c>
      <c r="I1594" s="4"/>
      <c r="J1594" s="12" t="str">
        <f t="array" ref="J1594">IF(I1594:I5636="","",_xlfn.XLOOKUP(I1594:I5636,'参照_姫'!A:A,'参照_姫'!B:B,"見つかりません"))</f>
      </c>
      <c r="K1594" s="4">
        <v>95</v>
      </c>
      <c r="L1594" s="4">
        <v>0</v>
      </c>
      <c r="M1594" s="4"/>
      <c r="N1594" s="4"/>
      <c r="O1594" s="4"/>
      <c r="P1594" s="12" t="str">
        <f t="array" ref="P1594">IF(O1594:O5636="","",_xlfn.XLOOKUP(O1594:O5636,'参照_官位'!A:A,'参照_官位'!B:B,""))</f>
      </c>
      <c r="Q1594" s="12" t="str">
        <f t="array" ref="Q1594">IF(A1594:A5636="","",IFERROR(_xlfn.XLOOKUP(A1594:A5636,castles_state!K:K,castles_state!D:D)&amp;"主",IFERROR(_xlfn.XLOOKUP(A1594:A5636,kunishuClan!D:D,kunishuClan!B:B)&amp;"当主","")))</f>
      </c>
    </row>
    <row r="1595" ht="15.75" customHeight="1">
      <c r="A1595" s="4">
        <v>1035022</v>
      </c>
      <c r="B1595" s="12" t="str">
        <f t="array" ref="B1595">IF(A1595:A5637="","",_xlfn.XLOOKUP(A1595:A5637,'参照_武将'!A:A,'参照_武将'!B:B,"見つかりません"))</f>
      </c>
      <c r="C1595" s="4" t="s">
        <v>202</v>
      </c>
      <c r="D1595" s="4">
        <v>35</v>
      </c>
      <c r="E1595" s="12" t="str">
        <f t="array" ref="E1595">IF(D1595:D5637="","",IFERROR(_xlfn.XLOOKUP(D1595:D5637,'参照_勢力'!A:A,'参照_勢力'!B:B),IFERROR(_xlfn.XLOOKUP(F1595:F5637,kunishuClan!A:A,kunishuClan!B:B),"浪人")))</f>
      </c>
      <c r="F1595" s="4">
        <v>0</v>
      </c>
      <c r="G1595" s="4">
        <v>64</v>
      </c>
      <c r="H1595" s="12" t="str">
        <f t="array" ref="H1595">IF(G1595:G5637="","",_xlfn.XLOOKUP(G1595:G5637,castles_state!A:A,castles_state!D:D,"見つかりません"))</f>
      </c>
      <c r="I1595" s="4"/>
      <c r="J1595" s="12" t="str">
        <f t="array" ref="J1595">IF(I1595:I5637="","",_xlfn.XLOOKUP(I1595:I5637,'参照_姫'!A:A,'参照_姫'!B:B,"見つかりません"))</f>
      </c>
      <c r="K1595" s="4">
        <v>95</v>
      </c>
      <c r="L1595" s="4">
        <v>0</v>
      </c>
      <c r="M1595" s="4"/>
      <c r="N1595" s="4"/>
      <c r="O1595" s="4"/>
      <c r="P1595" s="12" t="str">
        <f t="array" ref="P1595">IF(O1595:O5637="","",_xlfn.XLOOKUP(O1595:O5637,'参照_官位'!A:A,'参照_官位'!B:B,""))</f>
      </c>
      <c r="Q1595" s="12" t="str">
        <f t="array" ref="Q1595">IF(A1595:A5637="","",IFERROR(_xlfn.XLOOKUP(A1595:A5637,castles_state!K:K,castles_state!D:D)&amp;"主",IFERROR(_xlfn.XLOOKUP(A1595:A5637,kunishuClan!D:D,kunishuClan!B:B)&amp;"当主","")))</f>
      </c>
    </row>
    <row r="1596" ht="15.75" customHeight="1">
      <c r="A1596" s="4">
        <v>1035023</v>
      </c>
      <c r="B1596" s="12" t="str">
        <f t="array" ref="B1596">IF(A1596:A5638="","",_xlfn.XLOOKUP(A1596:A5638,'参照_武将'!A:A,'参照_武将'!B:B,"見つかりません"))</f>
      </c>
      <c r="C1596" s="4" t="s">
        <v>202</v>
      </c>
      <c r="D1596" s="4">
        <v>35</v>
      </c>
      <c r="E1596" s="12" t="str">
        <f t="array" ref="E1596">IF(D1596:D5638="","",IFERROR(_xlfn.XLOOKUP(D1596:D5638,'参照_勢力'!A:A,'参照_勢力'!B:B),IFERROR(_xlfn.XLOOKUP(F1596:F5638,kunishuClan!A:A,kunishuClan!B:B),"浪人")))</f>
      </c>
      <c r="F1596" s="4">
        <v>0</v>
      </c>
      <c r="G1596" s="4">
        <v>60</v>
      </c>
      <c r="H1596" s="12" t="str">
        <f t="array" ref="H1596">IF(G1596:G5638="","",_xlfn.XLOOKUP(G1596:G5638,castles_state!A:A,castles_state!D:D,"見つかりません"))</f>
      </c>
      <c r="I1596" s="4"/>
      <c r="J1596" s="12" t="str">
        <f t="array" ref="J1596">IF(I1596:I5638="","",_xlfn.XLOOKUP(I1596:I5638,'参照_姫'!A:A,'参照_姫'!B:B,"見つかりません"))</f>
      </c>
      <c r="K1596" s="4">
        <v>95</v>
      </c>
      <c r="L1596" s="4">
        <v>500</v>
      </c>
      <c r="M1596" s="4" t="b">
        <v>1</v>
      </c>
      <c r="N1596" s="4"/>
      <c r="O1596" s="4"/>
      <c r="P1596" s="12" t="str">
        <f t="array" ref="P1596">IF(O1596:O5638="","",_xlfn.XLOOKUP(O1596:O5638,'参照_官位'!A:A,'参照_官位'!B:B,""))</f>
      </c>
      <c r="Q1596" s="12" t="str">
        <f t="array" ref="Q1596">IF(A1596:A5638="","",IFERROR(_xlfn.XLOOKUP(A1596:A5638,castles_state!K:K,castles_state!D:D)&amp;"主",IFERROR(_xlfn.XLOOKUP(A1596:A5638,kunishuClan!D:D,kunishuClan!B:B)&amp;"当主","")))</f>
      </c>
    </row>
    <row r="1597" ht="15.75" customHeight="1">
      <c r="A1597" s="4">
        <v>1035024</v>
      </c>
      <c r="B1597" s="12" t="str">
        <f t="array" ref="B1597">IF(A1597:A5639="","",_xlfn.XLOOKUP(A1597:A5639,'参照_武将'!A:A,'参照_武将'!B:B,"見つかりません"))</f>
      </c>
      <c r="C1597" s="4" t="s">
        <v>202</v>
      </c>
      <c r="D1597" s="4">
        <v>35</v>
      </c>
      <c r="E1597" s="12" t="str">
        <f t="array" ref="E1597">IF(D1597:D5639="","",IFERROR(_xlfn.XLOOKUP(D1597:D5639,'参照_勢力'!A:A,'参照_勢力'!B:B),IFERROR(_xlfn.XLOOKUP(F1597:F5639,kunishuClan!A:A,kunishuClan!B:B),"浪人")))</f>
      </c>
      <c r="F1597" s="4">
        <v>0</v>
      </c>
      <c r="G1597" s="4">
        <v>60</v>
      </c>
      <c r="H1597" s="12" t="str">
        <f t="array" ref="H1597">IF(G1597:G5639="","",_xlfn.XLOOKUP(G1597:G5639,castles_state!A:A,castles_state!D:D,"見つかりません"))</f>
      </c>
      <c r="I1597" s="4"/>
      <c r="J1597" s="12" t="str">
        <f t="array" ref="J1597">IF(I1597:I5639="","",_xlfn.XLOOKUP(I1597:I5639,'参照_姫'!A:A,'参照_姫'!B:B,"見つかりません"))</f>
      </c>
      <c r="K1597" s="4">
        <v>95</v>
      </c>
      <c r="L1597" s="4">
        <v>0</v>
      </c>
      <c r="M1597" s="4"/>
      <c r="N1597" s="4"/>
      <c r="O1597" s="4"/>
      <c r="P1597" s="12" t="str">
        <f t="array" ref="P1597">IF(O1597:O5639="","",_xlfn.XLOOKUP(O1597:O5639,'参照_官位'!A:A,'参照_官位'!B:B,""))</f>
      </c>
      <c r="Q1597" s="12" t="str">
        <f t="array" ref="Q1597">IF(A1597:A5639="","",IFERROR(_xlfn.XLOOKUP(A1597:A5639,castles_state!K:K,castles_state!D:D)&amp;"主",IFERROR(_xlfn.XLOOKUP(A1597:A5639,kunishuClan!D:D,kunishuClan!B:B)&amp;"当主","")))</f>
      </c>
    </row>
    <row r="1598" ht="15.75" customHeight="1">
      <c r="A1598" s="4">
        <v>1035025</v>
      </c>
      <c r="B1598" s="12" t="str">
        <f t="array" ref="B1598">IF(A1598:A5640="","",_xlfn.XLOOKUP(A1598:A5640,'参照_武将'!A:A,'参照_武将'!B:B,"見つかりません"))</f>
      </c>
      <c r="C1598" s="4" t="s">
        <v>202</v>
      </c>
      <c r="D1598" s="4">
        <v>35</v>
      </c>
      <c r="E1598" s="12" t="str">
        <f t="array" ref="E1598">IF(D1598:D5640="","",IFERROR(_xlfn.XLOOKUP(D1598:D5640,'参照_勢力'!A:A,'参照_勢力'!B:B),IFERROR(_xlfn.XLOOKUP(F1598:F5640,kunishuClan!A:A,kunishuClan!B:B),"浪人")))</f>
      </c>
      <c r="F1598" s="4">
        <v>0</v>
      </c>
      <c r="G1598" s="4">
        <v>64</v>
      </c>
      <c r="H1598" s="12" t="str">
        <f t="array" ref="H1598">IF(G1598:G5640="","",_xlfn.XLOOKUP(G1598:G5640,castles_state!A:A,castles_state!D:D,"見つかりません"))</f>
      </c>
      <c r="I1598" s="4"/>
      <c r="J1598" s="12" t="str">
        <f t="array" ref="J1598">IF(I1598:I5640="","",_xlfn.XLOOKUP(I1598:I5640,'参照_姫'!A:A,'参照_姫'!B:B,"見つかりません"))</f>
      </c>
      <c r="K1598" s="4">
        <v>95</v>
      </c>
      <c r="L1598" s="4">
        <v>0</v>
      </c>
      <c r="M1598" s="4"/>
      <c r="N1598" s="4"/>
      <c r="O1598" s="4"/>
      <c r="P1598" s="12" t="str">
        <f t="array" ref="P1598">IF(O1598:O5640="","",_xlfn.XLOOKUP(O1598:O5640,'参照_官位'!A:A,'参照_官位'!B:B,""))</f>
      </c>
      <c r="Q1598" s="12" t="str">
        <f t="array" ref="Q1598">IF(A1598:A5640="","",IFERROR(_xlfn.XLOOKUP(A1598:A5640,castles_state!K:K,castles_state!D:D)&amp;"主",IFERROR(_xlfn.XLOOKUP(A1598:A5640,kunishuClan!D:D,kunishuClan!B:B)&amp;"当主","")))</f>
      </c>
    </row>
    <row r="1599" ht="15.75" customHeight="1">
      <c r="A1599" s="4">
        <v>1035026</v>
      </c>
      <c r="B1599" s="12" t="str">
        <f t="array" ref="B1599">IF(A1599:A5641="","",_xlfn.XLOOKUP(A1599:A5641,'参照_武将'!A:A,'参照_武将'!B:B,"見つかりません"))</f>
      </c>
      <c r="C1599" s="4" t="s">
        <v>202</v>
      </c>
      <c r="D1599" s="4">
        <v>35</v>
      </c>
      <c r="E1599" s="12" t="str">
        <f t="array" ref="E1599">IF(D1599:D5641="","",IFERROR(_xlfn.XLOOKUP(D1599:D5641,'参照_勢力'!A:A,'参照_勢力'!B:B),IFERROR(_xlfn.XLOOKUP(F1599:F5641,kunishuClan!A:A,kunishuClan!B:B),"浪人")))</f>
      </c>
      <c r="F1599" s="4">
        <v>0</v>
      </c>
      <c r="G1599" s="4">
        <v>64</v>
      </c>
      <c r="H1599" s="12" t="str">
        <f t="array" ref="H1599">IF(G1599:G5641="","",_xlfn.XLOOKUP(G1599:G5641,castles_state!A:A,castles_state!D:D,"見つかりません"))</f>
      </c>
      <c r="I1599" s="4"/>
      <c r="J1599" s="12" t="str">
        <f t="array" ref="J1599">IF(I1599:I5641="","",_xlfn.XLOOKUP(I1599:I5641,'参照_姫'!A:A,'参照_姫'!B:B,"見つかりません"))</f>
      </c>
      <c r="K1599" s="4">
        <v>95</v>
      </c>
      <c r="L1599" s="4">
        <v>0</v>
      </c>
      <c r="M1599" s="4"/>
      <c r="N1599" s="4"/>
      <c r="O1599" s="4"/>
      <c r="P1599" s="12" t="str">
        <f t="array" ref="P1599">IF(O1599:O5641="","",_xlfn.XLOOKUP(O1599:O5641,'参照_官位'!A:A,'参照_官位'!B:B,""))</f>
      </c>
      <c r="Q1599" s="12" t="str">
        <f t="array" ref="Q1599">IF(A1599:A5641="","",IFERROR(_xlfn.XLOOKUP(A1599:A5641,castles_state!K:K,castles_state!D:D)&amp;"主",IFERROR(_xlfn.XLOOKUP(A1599:A5641,kunishuClan!D:D,kunishuClan!B:B)&amp;"当主","")))</f>
      </c>
    </row>
    <row r="1600" ht="15.75" customHeight="1">
      <c r="A1600" s="4">
        <v>1035027</v>
      </c>
      <c r="B1600" s="12" t="str">
        <f t="array" ref="B1600">IF(A1600:A5642="","",_xlfn.XLOOKUP(A1600:A5642,'参照_武将'!A:A,'参照_武将'!B:B,"見つかりません"))</f>
      </c>
      <c r="C1600" s="4" t="s">
        <v>202</v>
      </c>
      <c r="D1600" s="4">
        <v>35</v>
      </c>
      <c r="E1600" s="12" t="str">
        <f t="array" ref="E1600">IF(D1600:D5642="","",IFERROR(_xlfn.XLOOKUP(D1600:D5642,'参照_勢力'!A:A,'参照_勢力'!B:B),IFERROR(_xlfn.XLOOKUP(F1600:F5642,kunishuClan!A:A,kunishuClan!B:B),"浪人")))</f>
      </c>
      <c r="F1600" s="4">
        <v>0</v>
      </c>
      <c r="G1600" s="4">
        <v>64</v>
      </c>
      <c r="H1600" s="12" t="str">
        <f t="array" ref="H1600">IF(G1600:G5642="","",_xlfn.XLOOKUP(G1600:G5642,castles_state!A:A,castles_state!D:D,"見つかりません"))</f>
      </c>
      <c r="I1600" s="4"/>
      <c r="J1600" s="12" t="str">
        <f t="array" ref="J1600">IF(I1600:I5642="","",_xlfn.XLOOKUP(I1600:I5642,'参照_姫'!A:A,'参照_姫'!B:B,"見つかりません"))</f>
      </c>
      <c r="K1600" s="4">
        <v>95</v>
      </c>
      <c r="L1600" s="4">
        <v>0</v>
      </c>
      <c r="M1600" s="4"/>
      <c r="N1600" s="4"/>
      <c r="O1600" s="4"/>
      <c r="P1600" s="12" t="str">
        <f t="array" ref="P1600">IF(O1600:O5642="","",_xlfn.XLOOKUP(O1600:O5642,'参照_官位'!A:A,'参照_官位'!B:B,""))</f>
      </c>
      <c r="Q1600" s="12" t="str">
        <f t="array" ref="Q1600">IF(A1600:A5642="","",IFERROR(_xlfn.XLOOKUP(A1600:A5642,castles_state!K:K,castles_state!D:D)&amp;"主",IFERROR(_xlfn.XLOOKUP(A1600:A5642,kunishuClan!D:D,kunishuClan!B:B)&amp;"当主","")))</f>
      </c>
    </row>
    <row r="1601" ht="15.75" customHeight="1">
      <c r="A1601" s="4">
        <v>1035028</v>
      </c>
      <c r="B1601" s="12" t="str">
        <f t="array" ref="B1601">IF(A1601:A5643="","",_xlfn.XLOOKUP(A1601:A5643,'参照_武将'!A:A,'参照_武将'!B:B,"見つかりません"))</f>
      </c>
      <c r="C1601" s="4" t="s">
        <v>202</v>
      </c>
      <c r="D1601" s="4">
        <v>35</v>
      </c>
      <c r="E1601" s="12" t="str">
        <f t="array" ref="E1601">IF(D1601:D5643="","",IFERROR(_xlfn.XLOOKUP(D1601:D5643,'参照_勢力'!A:A,'参照_勢力'!B:B),IFERROR(_xlfn.XLOOKUP(F1601:F5643,kunishuClan!A:A,kunishuClan!B:B),"浪人")))</f>
      </c>
      <c r="F1601" s="4">
        <v>0</v>
      </c>
      <c r="G1601" s="4">
        <v>60</v>
      </c>
      <c r="H1601" s="12" t="str">
        <f t="array" ref="H1601">IF(G1601:G5643="","",_xlfn.XLOOKUP(G1601:G5643,castles_state!A:A,castles_state!D:D,"見つかりません"))</f>
      </c>
      <c r="I1601" s="4"/>
      <c r="J1601" s="12" t="str">
        <f t="array" ref="J1601">IF(I1601:I5643="","",_xlfn.XLOOKUP(I1601:I5643,'参照_姫'!A:A,'参照_姫'!B:B,"見つかりません"))</f>
      </c>
      <c r="K1601" s="4">
        <v>95</v>
      </c>
      <c r="L1601" s="4">
        <v>500</v>
      </c>
      <c r="M1601" s="4"/>
      <c r="N1601" s="4"/>
      <c r="O1601" s="4"/>
      <c r="P1601" s="12" t="str">
        <f t="array" ref="P1601">IF(O1601:O5643="","",_xlfn.XLOOKUP(O1601:O5643,'参照_官位'!A:A,'参照_官位'!B:B,""))</f>
      </c>
      <c r="Q1601" s="12" t="str">
        <f t="array" ref="Q1601">IF(A1601:A5643="","",IFERROR(_xlfn.XLOOKUP(A1601:A5643,castles_state!K:K,castles_state!D:D)&amp;"主",IFERROR(_xlfn.XLOOKUP(A1601:A5643,kunishuClan!D:D,kunishuClan!B:B)&amp;"当主","")))</f>
      </c>
    </row>
    <row r="1602" ht="15.75" customHeight="1">
      <c r="A1602" s="4">
        <v>1035029</v>
      </c>
      <c r="B1602" s="12" t="str">
        <f t="array" ref="B1602">IF(A1602:A5644="","",_xlfn.XLOOKUP(A1602:A5644,'参照_武将'!A:A,'参照_武将'!B:B,"見つかりません"))</f>
      </c>
      <c r="C1602" s="4" t="s">
        <v>202</v>
      </c>
      <c r="D1602" s="4">
        <v>35</v>
      </c>
      <c r="E1602" s="12" t="str">
        <f t="array" ref="E1602">IF(D1602:D5644="","",IFERROR(_xlfn.XLOOKUP(D1602:D5644,'参照_勢力'!A:A,'参照_勢力'!B:B),IFERROR(_xlfn.XLOOKUP(F1602:F5644,kunishuClan!A:A,kunishuClan!B:B),"浪人")))</f>
      </c>
      <c r="F1602" s="4">
        <v>0</v>
      </c>
      <c r="G1602" s="4">
        <v>60</v>
      </c>
      <c r="H1602" s="12" t="str">
        <f t="array" ref="H1602">IF(G1602:G5644="","",_xlfn.XLOOKUP(G1602:G5644,castles_state!A:A,castles_state!D:D,"見つかりません"))</f>
      </c>
      <c r="I1602" s="4"/>
      <c r="J1602" s="12" t="str">
        <f t="array" ref="J1602">IF(I1602:I5644="","",_xlfn.XLOOKUP(I1602:I5644,'参照_姫'!A:A,'参照_姫'!B:B,"見つかりません"))</f>
      </c>
      <c r="K1602" s="4">
        <v>95</v>
      </c>
      <c r="L1602" s="4">
        <v>300</v>
      </c>
      <c r="M1602" s="4"/>
      <c r="N1602" s="4"/>
      <c r="O1602" s="4"/>
      <c r="P1602" s="12" t="str">
        <f t="array" ref="P1602">IF(O1602:O5644="","",_xlfn.XLOOKUP(O1602:O5644,'参照_官位'!A:A,'参照_官位'!B:B,""))</f>
      </c>
      <c r="Q1602" s="12" t="str">
        <f t="array" ref="Q1602">IF(A1602:A5644="","",IFERROR(_xlfn.XLOOKUP(A1602:A5644,castles_state!K:K,castles_state!D:D)&amp;"主",IFERROR(_xlfn.XLOOKUP(A1602:A5644,kunishuClan!D:D,kunishuClan!B:B)&amp;"当主","")))</f>
      </c>
    </row>
    <row r="1603" ht="15.75" customHeight="1">
      <c r="A1603" s="4">
        <v>1035030</v>
      </c>
      <c r="B1603" s="12" t="str">
        <f t="array" ref="B1603">IF(A1603:A5645="","",_xlfn.XLOOKUP(A1603:A5645,'参照_武将'!A:A,'参照_武将'!B:B,"見つかりません"))</f>
      </c>
      <c r="C1603" s="4" t="s">
        <v>202</v>
      </c>
      <c r="D1603" s="4">
        <v>35</v>
      </c>
      <c r="E1603" s="12" t="str">
        <f t="array" ref="E1603">IF(D1603:D5645="","",IFERROR(_xlfn.XLOOKUP(D1603:D5645,'参照_勢力'!A:A,'参照_勢力'!B:B),IFERROR(_xlfn.XLOOKUP(F1603:F5645,kunishuClan!A:A,kunishuClan!B:B),"浪人")))</f>
      </c>
      <c r="F1603" s="4">
        <v>0</v>
      </c>
      <c r="G1603" s="4">
        <v>60</v>
      </c>
      <c r="H1603" s="12" t="str">
        <f t="array" ref="H1603">IF(G1603:G5645="","",_xlfn.XLOOKUP(G1603:G5645,castles_state!A:A,castles_state!D:D,"見つかりません"))</f>
      </c>
      <c r="I1603" s="4"/>
      <c r="J1603" s="12" t="str">
        <f t="array" ref="J1603">IF(I1603:I5645="","",_xlfn.XLOOKUP(I1603:I5645,'参照_姫'!A:A,'参照_姫'!B:B,"見つかりません"))</f>
      </c>
      <c r="K1603" s="4">
        <v>95</v>
      </c>
      <c r="L1603" s="4">
        <v>0</v>
      </c>
      <c r="M1603" s="4"/>
      <c r="N1603" s="4"/>
      <c r="O1603" s="4"/>
      <c r="P1603" s="12" t="str">
        <f t="array" ref="P1603">IF(O1603:O5645="","",_xlfn.XLOOKUP(O1603:O5645,'参照_官位'!A:A,'参照_官位'!B:B,""))</f>
      </c>
      <c r="Q1603" s="12" t="str">
        <f t="array" ref="Q1603">IF(A1603:A5645="","",IFERROR(_xlfn.XLOOKUP(A1603:A5645,castles_state!K:K,castles_state!D:D)&amp;"主",IFERROR(_xlfn.XLOOKUP(A1603:A5645,kunishuClan!D:D,kunishuClan!B:B)&amp;"当主","")))</f>
      </c>
    </row>
    <row r="1604" ht="15.75" customHeight="1">
      <c r="A1604" s="4">
        <v>1035031</v>
      </c>
      <c r="B1604" s="12" t="str">
        <f t="array" ref="B1604">IF(A1604:A5646="","",_xlfn.XLOOKUP(A1604:A5646,'参照_武将'!A:A,'参照_武将'!B:B,"見つかりません"))</f>
      </c>
      <c r="C1604" s="4" t="s">
        <v>202</v>
      </c>
      <c r="D1604" s="4">
        <v>35</v>
      </c>
      <c r="E1604" s="12" t="str">
        <f t="array" ref="E1604">IF(D1604:D5646="","",IFERROR(_xlfn.XLOOKUP(D1604:D5646,'参照_勢力'!A:A,'参照_勢力'!B:B),IFERROR(_xlfn.XLOOKUP(F1604:F5646,kunishuClan!A:A,kunishuClan!B:B),"浪人")))</f>
      </c>
      <c r="F1604" s="4">
        <v>0</v>
      </c>
      <c r="G1604" s="4">
        <v>64</v>
      </c>
      <c r="H1604" s="12" t="str">
        <f t="array" ref="H1604">IF(G1604:G5646="","",_xlfn.XLOOKUP(G1604:G5646,castles_state!A:A,castles_state!D:D,"見つかりません"))</f>
      </c>
      <c r="I1604" s="4"/>
      <c r="J1604" s="12" t="str">
        <f t="array" ref="J1604">IF(I1604:I5646="","",_xlfn.XLOOKUP(I1604:I5646,'参照_姫'!A:A,'参照_姫'!B:B,"見つかりません"))</f>
      </c>
      <c r="K1604" s="4">
        <v>95</v>
      </c>
      <c r="L1604" s="4">
        <v>0</v>
      </c>
      <c r="M1604" s="4"/>
      <c r="N1604" s="4"/>
      <c r="O1604" s="4"/>
      <c r="P1604" s="12" t="str">
        <f t="array" ref="P1604">IF(O1604:O5646="","",_xlfn.XLOOKUP(O1604:O5646,'参照_官位'!A:A,'参照_官位'!B:B,""))</f>
      </c>
      <c r="Q1604" s="12" t="str">
        <f t="array" ref="Q1604">IF(A1604:A5646="","",IFERROR(_xlfn.XLOOKUP(A1604:A5646,castles_state!K:K,castles_state!D:D)&amp;"主",IFERROR(_xlfn.XLOOKUP(A1604:A5646,kunishuClan!D:D,kunishuClan!B:B)&amp;"当主","")))</f>
      </c>
    </row>
    <row r="1605" ht="15.75" customHeight="1">
      <c r="A1605" s="4">
        <v>1035032</v>
      </c>
      <c r="B1605" s="12" t="str">
        <f t="array" ref="B1605">IF(A1605:A5647="","",_xlfn.XLOOKUP(A1605:A5647,'参照_武将'!A:A,'参照_武将'!B:B,"見つかりません"))</f>
      </c>
      <c r="C1605" s="4" t="s">
        <v>202</v>
      </c>
      <c r="D1605" s="4">
        <v>35</v>
      </c>
      <c r="E1605" s="12" t="str">
        <f t="array" ref="E1605">IF(D1605:D5647="","",IFERROR(_xlfn.XLOOKUP(D1605:D5647,'参照_勢力'!A:A,'参照_勢力'!B:B),IFERROR(_xlfn.XLOOKUP(F1605:F5647,kunishuClan!A:A,kunishuClan!B:B),"浪人")))</f>
      </c>
      <c r="F1605" s="4">
        <v>0</v>
      </c>
      <c r="G1605" s="4">
        <v>64</v>
      </c>
      <c r="H1605" s="12" t="str">
        <f t="array" ref="H1605">IF(G1605:G5647="","",_xlfn.XLOOKUP(G1605:G5647,castles_state!A:A,castles_state!D:D,"見つかりません"))</f>
      </c>
      <c r="I1605" s="4"/>
      <c r="J1605" s="12" t="str">
        <f t="array" ref="J1605">IF(I1605:I5647="","",_xlfn.XLOOKUP(I1605:I5647,'参照_姫'!A:A,'参照_姫'!B:B,"見つかりません"))</f>
      </c>
      <c r="K1605" s="4">
        <v>95</v>
      </c>
      <c r="L1605" s="4">
        <v>0</v>
      </c>
      <c r="M1605" s="4"/>
      <c r="N1605" s="4"/>
      <c r="O1605" s="4"/>
      <c r="P1605" s="12" t="str">
        <f t="array" ref="P1605">IF(O1605:O5647="","",_xlfn.XLOOKUP(O1605:O5647,'参照_官位'!A:A,'参照_官位'!B:B,""))</f>
      </c>
      <c r="Q1605" s="12" t="str">
        <f t="array" ref="Q1605">IF(A1605:A5647="","",IFERROR(_xlfn.XLOOKUP(A1605:A5647,castles_state!K:K,castles_state!D:D)&amp;"主",IFERROR(_xlfn.XLOOKUP(A1605:A5647,kunishuClan!D:D,kunishuClan!B:B)&amp;"当主","")))</f>
      </c>
    </row>
    <row r="1606" ht="15.75" customHeight="1">
      <c r="A1606" s="4">
        <v>1035033</v>
      </c>
      <c r="B1606" s="12" t="str">
        <f t="array" ref="B1606">IF(A1606:A5648="","",_xlfn.XLOOKUP(A1606:A5648,'参照_武将'!A:A,'参照_武将'!B:B,"見つかりません"))</f>
      </c>
      <c r="C1606" s="4" t="s">
        <v>202</v>
      </c>
      <c r="D1606" s="4">
        <v>35</v>
      </c>
      <c r="E1606" s="12" t="str">
        <f t="array" ref="E1606">IF(D1606:D5648="","",IFERROR(_xlfn.XLOOKUP(D1606:D5648,'参照_勢力'!A:A,'参照_勢力'!B:B),IFERROR(_xlfn.XLOOKUP(F1606:F5648,kunishuClan!A:A,kunishuClan!B:B),"浪人")))</f>
      </c>
      <c r="F1606" s="4">
        <v>0</v>
      </c>
      <c r="G1606" s="4">
        <v>60</v>
      </c>
      <c r="H1606" s="12" t="str">
        <f t="array" ref="H1606">IF(G1606:G5648="","",_xlfn.XLOOKUP(G1606:G5648,castles_state!A:A,castles_state!D:D,"見つかりません"))</f>
      </c>
      <c r="I1606" s="4"/>
      <c r="J1606" s="12" t="str">
        <f t="array" ref="J1606">IF(I1606:I5648="","",_xlfn.XLOOKUP(I1606:I5648,'参照_姫'!A:A,'参照_姫'!B:B,"見つかりません"))</f>
      </c>
      <c r="K1606" s="4">
        <v>95</v>
      </c>
      <c r="L1606" s="4">
        <v>500</v>
      </c>
      <c r="M1606" s="4"/>
      <c r="N1606" s="4"/>
      <c r="O1606" s="4"/>
      <c r="P1606" s="12" t="str">
        <f t="array" ref="P1606">IF(O1606:O5648="","",_xlfn.XLOOKUP(O1606:O5648,'参照_官位'!A:A,'参照_官位'!B:B,""))</f>
      </c>
      <c r="Q1606" s="12" t="str">
        <f t="array" ref="Q1606">IF(A1606:A5648="","",IFERROR(_xlfn.XLOOKUP(A1606:A5648,castles_state!K:K,castles_state!D:D)&amp;"主",IFERROR(_xlfn.XLOOKUP(A1606:A5648,kunishuClan!D:D,kunishuClan!B:B)&amp;"当主","")))</f>
      </c>
    </row>
    <row r="1607" ht="15.75" customHeight="1">
      <c r="A1607" s="4">
        <v>1035034</v>
      </c>
      <c r="B1607" s="12" t="str">
        <f t="array" ref="B1607">IF(A1607:A5649="","",_xlfn.XLOOKUP(A1607:A5649,'参照_武将'!A:A,'参照_武将'!B:B,"見つかりません"))</f>
      </c>
      <c r="C1607" s="4" t="s">
        <v>202</v>
      </c>
      <c r="D1607" s="4">
        <v>35</v>
      </c>
      <c r="E1607" s="12" t="str">
        <f t="array" ref="E1607">IF(D1607:D5649="","",IFERROR(_xlfn.XLOOKUP(D1607:D5649,'参照_勢力'!A:A,'参照_勢力'!B:B),IFERROR(_xlfn.XLOOKUP(F1607:F5649,kunishuClan!A:A,kunishuClan!B:B),"浪人")))</f>
      </c>
      <c r="F1607" s="4">
        <v>0</v>
      </c>
      <c r="G1607" s="4">
        <v>60</v>
      </c>
      <c r="H1607" s="12" t="str">
        <f t="array" ref="H1607">IF(G1607:G5649="","",_xlfn.XLOOKUP(G1607:G5649,castles_state!A:A,castles_state!D:D,"見つかりません"))</f>
      </c>
      <c r="I1607" s="4"/>
      <c r="J1607" s="12" t="str">
        <f t="array" ref="J1607">IF(I1607:I5649="","",_xlfn.XLOOKUP(I1607:I5649,'参照_姫'!A:A,'参照_姫'!B:B,"見つかりません"))</f>
      </c>
      <c r="K1607" s="4">
        <v>95</v>
      </c>
      <c r="L1607" s="4">
        <v>0</v>
      </c>
      <c r="M1607" s="4"/>
      <c r="N1607" s="4"/>
      <c r="O1607" s="4"/>
      <c r="P1607" s="12" t="str">
        <f t="array" ref="P1607">IF(O1607:O5649="","",_xlfn.XLOOKUP(O1607:O5649,'参照_官位'!A:A,'参照_官位'!B:B,""))</f>
      </c>
      <c r="Q1607" s="12" t="str">
        <f t="array" ref="Q1607">IF(A1607:A5649="","",IFERROR(_xlfn.XLOOKUP(A1607:A5649,castles_state!K:K,castles_state!D:D)&amp;"主",IFERROR(_xlfn.XLOOKUP(A1607:A5649,kunishuClan!D:D,kunishuClan!B:B)&amp;"当主","")))</f>
      </c>
    </row>
    <row r="1608" ht="15.75" customHeight="1">
      <c r="A1608" s="4">
        <v>1035035</v>
      </c>
      <c r="B1608" s="12" t="str">
        <f t="array" ref="B1608">IF(A1608:A5650="","",_xlfn.XLOOKUP(A1608:A5650,'参照_武将'!A:A,'参照_武将'!B:B,"見つかりません"))</f>
      </c>
      <c r="C1608" s="4" t="s">
        <v>202</v>
      </c>
      <c r="D1608" s="4">
        <v>35</v>
      </c>
      <c r="E1608" s="12" t="str">
        <f t="array" ref="E1608">IF(D1608:D5650="","",IFERROR(_xlfn.XLOOKUP(D1608:D5650,'参照_勢力'!A:A,'参照_勢力'!B:B),IFERROR(_xlfn.XLOOKUP(F1608:F5650,kunishuClan!A:A,kunishuClan!B:B),"浪人")))</f>
      </c>
      <c r="F1608" s="4">
        <v>0</v>
      </c>
      <c r="G1608" s="4">
        <v>64</v>
      </c>
      <c r="H1608" s="12" t="str">
        <f t="array" ref="H1608">IF(G1608:G5650="","",_xlfn.XLOOKUP(G1608:G5650,castles_state!A:A,castles_state!D:D,"見つかりません"))</f>
      </c>
      <c r="I1608" s="4"/>
      <c r="J1608" s="12" t="str">
        <f t="array" ref="J1608">IF(I1608:I5650="","",_xlfn.XLOOKUP(I1608:I5650,'参照_姫'!A:A,'参照_姫'!B:B,"見つかりません"))</f>
      </c>
      <c r="K1608" s="4">
        <v>95</v>
      </c>
      <c r="L1608" s="4">
        <v>0</v>
      </c>
      <c r="M1608" s="4"/>
      <c r="N1608" s="4"/>
      <c r="O1608" s="4"/>
      <c r="P1608" s="12" t="str">
        <f t="array" ref="P1608">IF(O1608:O5650="","",_xlfn.XLOOKUP(O1608:O5650,'参照_官位'!A:A,'参照_官位'!B:B,""))</f>
      </c>
      <c r="Q1608" s="12" t="str">
        <f t="array" ref="Q1608">IF(A1608:A5650="","",IFERROR(_xlfn.XLOOKUP(A1608:A5650,castles_state!K:K,castles_state!D:D)&amp;"主",IFERROR(_xlfn.XLOOKUP(A1608:A5650,kunishuClan!D:D,kunishuClan!B:B)&amp;"当主","")))</f>
      </c>
    </row>
    <row r="1609" ht="15.75" customHeight="1">
      <c r="A1609" s="4">
        <v>1035036</v>
      </c>
      <c r="B1609" s="12" t="str">
        <f t="array" ref="B1609">IF(A1609:A5651="","",_xlfn.XLOOKUP(A1609:A5651,'参照_武将'!A:A,'参照_武将'!B:B,"見つかりません"))</f>
      </c>
      <c r="C1609" s="4" t="s">
        <v>202</v>
      </c>
      <c r="D1609" s="4">
        <v>35</v>
      </c>
      <c r="E1609" s="12" t="str">
        <f t="array" ref="E1609">IF(D1609:D5651="","",IFERROR(_xlfn.XLOOKUP(D1609:D5651,'参照_勢力'!A:A,'参照_勢力'!B:B),IFERROR(_xlfn.XLOOKUP(F1609:F5651,kunishuClan!A:A,kunishuClan!B:B),"浪人")))</f>
      </c>
      <c r="F1609" s="4">
        <v>0</v>
      </c>
      <c r="G1609" s="4">
        <v>60</v>
      </c>
      <c r="H1609" s="12" t="str">
        <f t="array" ref="H1609">IF(G1609:G5651="","",_xlfn.XLOOKUP(G1609:G5651,castles_state!A:A,castles_state!D:D,"見つかりません"))</f>
      </c>
      <c r="I1609" s="4"/>
      <c r="J1609" s="12" t="str">
        <f t="array" ref="J1609">IF(I1609:I5651="","",_xlfn.XLOOKUP(I1609:I5651,'参照_姫'!A:A,'参照_姫'!B:B,"見つかりません"))</f>
      </c>
      <c r="K1609" s="4">
        <v>95</v>
      </c>
      <c r="L1609" s="4">
        <v>0</v>
      </c>
      <c r="M1609" s="4"/>
      <c r="N1609" s="4"/>
      <c r="O1609" s="4"/>
      <c r="P1609" s="12" t="str">
        <f t="array" ref="P1609">IF(O1609:O5651="","",_xlfn.XLOOKUP(O1609:O5651,'参照_官位'!A:A,'参照_官位'!B:B,""))</f>
      </c>
      <c r="Q1609" s="12" t="str">
        <f t="array" ref="Q1609">IF(A1609:A5651="","",IFERROR(_xlfn.XLOOKUP(A1609:A5651,castles_state!K:K,castles_state!D:D)&amp;"主",IFERROR(_xlfn.XLOOKUP(A1609:A5651,kunishuClan!D:D,kunishuClan!B:B)&amp;"当主","")))</f>
      </c>
    </row>
    <row r="1610" ht="15.75" customHeight="1">
      <c r="A1610" s="4">
        <v>1035037</v>
      </c>
      <c r="B1610" s="12" t="str">
        <f t="array" ref="B1610">IF(A1610:A5652="","",_xlfn.XLOOKUP(A1610:A5652,'参照_武将'!A:A,'参照_武将'!B:B,"見つかりません"))</f>
      </c>
      <c r="C1610" s="4" t="s">
        <v>202</v>
      </c>
      <c r="D1610" s="4">
        <v>35</v>
      </c>
      <c r="E1610" s="12" t="str">
        <f t="array" ref="E1610">IF(D1610:D5652="","",IFERROR(_xlfn.XLOOKUP(D1610:D5652,'参照_勢力'!A:A,'参照_勢力'!B:B),IFERROR(_xlfn.XLOOKUP(F1610:F5652,kunishuClan!A:A,kunishuClan!B:B),"浪人")))</f>
      </c>
      <c r="F1610" s="4">
        <v>0</v>
      </c>
      <c r="G1610" s="4">
        <v>60</v>
      </c>
      <c r="H1610" s="12" t="str">
        <f t="array" ref="H1610">IF(G1610:G5652="","",_xlfn.XLOOKUP(G1610:G5652,castles_state!A:A,castles_state!D:D,"見つかりません"))</f>
      </c>
      <c r="I1610" s="4"/>
      <c r="J1610" s="12" t="str">
        <f t="array" ref="J1610">IF(I1610:I5652="","",_xlfn.XLOOKUP(I1610:I5652,'参照_姫'!A:A,'参照_姫'!B:B,"見つかりません"))</f>
      </c>
      <c r="K1610" s="4">
        <v>95</v>
      </c>
      <c r="L1610" s="4">
        <v>0</v>
      </c>
      <c r="M1610" s="4"/>
      <c r="N1610" s="4"/>
      <c r="O1610" s="4"/>
      <c r="P1610" s="12" t="str">
        <f t="array" ref="P1610">IF(O1610:O5652="","",_xlfn.XLOOKUP(O1610:O5652,'参照_官位'!A:A,'参照_官位'!B:B,""))</f>
      </c>
      <c r="Q1610" s="12" t="str">
        <f t="array" ref="Q1610">IF(A1610:A5652="","",IFERROR(_xlfn.XLOOKUP(A1610:A5652,castles_state!K:K,castles_state!D:D)&amp;"主",IFERROR(_xlfn.XLOOKUP(A1610:A5652,kunishuClan!D:D,kunishuClan!B:B)&amp;"当主","")))</f>
      </c>
    </row>
    <row r="1611" ht="15.75" customHeight="1">
      <c r="A1611" s="4">
        <v>1036001</v>
      </c>
      <c r="B1611" s="12" t="str">
        <f t="array" ref="B1611">IF(A1611:A5653="","",_xlfn.XLOOKUP(A1611:A5653,'参照_武将'!A:A,'参照_武将'!B:B,"見つかりません"))</f>
      </c>
      <c r="C1611" s="4" t="s">
        <v>205</v>
      </c>
      <c r="D1611" s="4">
        <v>36</v>
      </c>
      <c r="E1611" s="12" t="str">
        <f t="array" ref="E1611">IF(D1611:D5653="","",IFERROR(_xlfn.XLOOKUP(D1611:D5653,'参照_勢力'!A:A,'参照_勢力'!B:B),IFERROR(_xlfn.XLOOKUP(F1611:F5653,kunishuClan!A:A,kunishuClan!B:B),"浪人")))</f>
      </c>
      <c r="F1611" s="4">
        <v>0</v>
      </c>
      <c r="G1611" s="4">
        <v>66</v>
      </c>
      <c r="H1611" s="12" t="str">
        <f t="array" ref="H1611">IF(G1611:G5653="","",_xlfn.XLOOKUP(G1611:G5653,castles_state!A:A,castles_state!D:D,"見つかりません"))</f>
      </c>
      <c r="I1611" s="4"/>
      <c r="J1611" s="12" t="str">
        <f t="array" ref="J1611">IF(I1611:I5653="","",_xlfn.XLOOKUP(I1611:I5653,'参照_姫'!A:A,'参照_姫'!B:B,"見つかりません"))</f>
      </c>
      <c r="K1611" s="4">
        <v>95</v>
      </c>
      <c r="L1611" s="4">
        <v>0</v>
      </c>
      <c r="M1611" s="4"/>
      <c r="N1611" s="4"/>
      <c r="O1611" s="4"/>
      <c r="P1611" s="12" t="str">
        <f t="array" ref="P1611">IF(O1611:O5653="","",_xlfn.XLOOKUP(O1611:O5653,'参照_官位'!A:A,'参照_官位'!B:B,""))</f>
      </c>
      <c r="Q1611" s="12" t="str">
        <f t="array" ref="Q1611">IF(A1611:A5653="","",IFERROR(_xlfn.XLOOKUP(A1611:A5653,castles_state!K:K,castles_state!D:D)&amp;"主",IFERROR(_xlfn.XLOOKUP(A1611:A5653,kunishuClan!D:D,kunishuClan!B:B)&amp;"当主","")))</f>
      </c>
    </row>
    <row r="1612" ht="15.75" customHeight="1">
      <c r="A1612" s="4">
        <v>1036002</v>
      </c>
      <c r="B1612" s="12" t="str">
        <f t="array" ref="B1612">IF(A1612:A5654="","",_xlfn.XLOOKUP(A1612:A5654,'参照_武将'!A:A,'参照_武将'!B:B,"見つかりません"))</f>
      </c>
      <c r="C1612" s="4" t="s">
        <v>205</v>
      </c>
      <c r="D1612" s="4">
        <v>36</v>
      </c>
      <c r="E1612" s="12" t="str">
        <f t="array" ref="E1612">IF(D1612:D5654="","",IFERROR(_xlfn.XLOOKUP(D1612:D5654,'参照_勢力'!A:A,'参照_勢力'!B:B),IFERROR(_xlfn.XLOOKUP(F1612:F5654,kunishuClan!A:A,kunishuClan!B:B),"浪人")))</f>
      </c>
      <c r="F1612" s="4">
        <v>0</v>
      </c>
      <c r="G1612" s="4">
        <v>66</v>
      </c>
      <c r="H1612" s="12" t="str">
        <f t="array" ref="H1612">IF(G1612:G5654="","",_xlfn.XLOOKUP(G1612:G5654,castles_state!A:A,castles_state!D:D,"見つかりません"))</f>
      </c>
      <c r="I1612" s="4"/>
      <c r="J1612" s="12" t="str">
        <f t="array" ref="J1612">IF(I1612:I5654="","",_xlfn.XLOOKUP(I1612:I5654,'参照_姫'!A:A,'参照_姫'!B:B,"見つかりません"))</f>
      </c>
      <c r="K1612" s="4">
        <v>95</v>
      </c>
      <c r="L1612" s="4">
        <v>200</v>
      </c>
      <c r="M1612" s="4"/>
      <c r="N1612" s="4" t="b">
        <v>1</v>
      </c>
      <c r="O1612" s="4"/>
      <c r="P1612" s="12" t="str">
        <f t="array" ref="P1612">IF(O1612:O5654="","",_xlfn.XLOOKUP(O1612:O5654,'参照_官位'!A:A,'参照_官位'!B:B,""))</f>
      </c>
      <c r="Q1612" s="12" t="str">
        <f t="array" ref="Q1612">IF(A1612:A5654="","",IFERROR(_xlfn.XLOOKUP(A1612:A5654,castles_state!K:K,castles_state!D:D)&amp;"主",IFERROR(_xlfn.XLOOKUP(A1612:A5654,kunishuClan!D:D,kunishuClan!B:B)&amp;"当主","")))</f>
      </c>
    </row>
    <row r="1613" ht="15.75" customHeight="1">
      <c r="A1613" s="4">
        <v>1036003</v>
      </c>
      <c r="B1613" s="12" t="str">
        <f t="array" ref="B1613">IF(A1613:A5655="","",_xlfn.XLOOKUP(A1613:A5655,'参照_武将'!A:A,'参照_武将'!B:B,"見つかりません"))</f>
      </c>
      <c r="C1613" s="4" t="s">
        <v>205</v>
      </c>
      <c r="D1613" s="4">
        <v>36</v>
      </c>
      <c r="E1613" s="12" t="str">
        <f t="array" ref="E1613">IF(D1613:D5655="","",IFERROR(_xlfn.XLOOKUP(D1613:D5655,'参照_勢力'!A:A,'参照_勢力'!B:B),IFERROR(_xlfn.XLOOKUP(F1613:F5655,kunishuClan!A:A,kunishuClan!B:B),"浪人")))</f>
      </c>
      <c r="F1613" s="4">
        <v>0</v>
      </c>
      <c r="G1613" s="4">
        <v>66</v>
      </c>
      <c r="H1613" s="12" t="str">
        <f t="array" ref="H1613">IF(G1613:G5655="","",_xlfn.XLOOKUP(G1613:G5655,castles_state!A:A,castles_state!D:D,"見つかりません"))</f>
      </c>
      <c r="I1613" s="4"/>
      <c r="J1613" s="12" t="str">
        <f t="array" ref="J1613">IF(I1613:I5655="","",_xlfn.XLOOKUP(I1613:I5655,'参照_姫'!A:A,'参照_姫'!B:B,"見つかりません"))</f>
      </c>
      <c r="K1613" s="4">
        <v>95</v>
      </c>
      <c r="L1613" s="4">
        <v>0</v>
      </c>
      <c r="M1613" s="4"/>
      <c r="N1613" s="4"/>
      <c r="O1613" s="4"/>
      <c r="P1613" s="12" t="str">
        <f t="array" ref="P1613">IF(O1613:O5655="","",_xlfn.XLOOKUP(O1613:O5655,'参照_官位'!A:A,'参照_官位'!B:B,""))</f>
      </c>
      <c r="Q1613" s="12" t="str">
        <f t="array" ref="Q1613">IF(A1613:A5655="","",IFERROR(_xlfn.XLOOKUP(A1613:A5655,castles_state!K:K,castles_state!D:D)&amp;"主",IFERROR(_xlfn.XLOOKUP(A1613:A5655,kunishuClan!D:D,kunishuClan!B:B)&amp;"当主","")))</f>
      </c>
    </row>
    <row r="1614" ht="15.75" customHeight="1">
      <c r="A1614" s="4">
        <v>1036004</v>
      </c>
      <c r="B1614" s="12" t="str">
        <f t="array" ref="B1614">IF(A1614:A5656="","",_xlfn.XLOOKUP(A1614:A5656,'参照_武将'!A:A,'参照_武将'!B:B,"見つかりません"))</f>
      </c>
      <c r="C1614" s="4" t="s">
        <v>205</v>
      </c>
      <c r="D1614" s="4">
        <v>36</v>
      </c>
      <c r="E1614" s="12" t="str">
        <f t="array" ref="E1614">IF(D1614:D5656="","",IFERROR(_xlfn.XLOOKUP(D1614:D5656,'参照_勢力'!A:A,'参照_勢力'!B:B),IFERROR(_xlfn.XLOOKUP(F1614:F5656,kunishuClan!A:A,kunishuClan!B:B),"浪人")))</f>
      </c>
      <c r="F1614" s="4">
        <v>0</v>
      </c>
      <c r="G1614" s="4">
        <v>66</v>
      </c>
      <c r="H1614" s="12" t="str">
        <f t="array" ref="H1614">IF(G1614:G5656="","",_xlfn.XLOOKUP(G1614:G5656,castles_state!A:A,castles_state!D:D,"見つかりません"))</f>
      </c>
      <c r="I1614" s="4"/>
      <c r="J1614" s="12" t="str">
        <f t="array" ref="J1614">IF(I1614:I5656="","",_xlfn.XLOOKUP(I1614:I5656,'参照_姫'!A:A,'参照_姫'!B:B,"見つかりません"))</f>
      </c>
      <c r="K1614" s="4">
        <v>100</v>
      </c>
      <c r="L1614" s="4">
        <v>1000</v>
      </c>
      <c r="M1614" s="4"/>
      <c r="N1614" s="4"/>
      <c r="O1614" s="4"/>
      <c r="P1614" s="12" t="str">
        <f t="array" ref="P1614">IF(O1614:O5656="","",_xlfn.XLOOKUP(O1614:O5656,'参照_官位'!A:A,'参照_官位'!B:B,""))</f>
      </c>
      <c r="Q1614" s="12" t="str">
        <f t="array" ref="Q1614">IF(A1614:A5656="","",IFERROR(_xlfn.XLOOKUP(A1614:A5656,castles_state!K:K,castles_state!D:D)&amp;"主",IFERROR(_xlfn.XLOOKUP(A1614:A5656,kunishuClan!D:D,kunishuClan!B:B)&amp;"当主","")))</f>
      </c>
    </row>
    <row r="1615" ht="15.75" customHeight="1">
      <c r="A1615" s="4">
        <v>1036005</v>
      </c>
      <c r="B1615" s="12" t="str">
        <f t="array" ref="B1615">IF(A1615:A5657="","",_xlfn.XLOOKUP(A1615:A5657,'参照_武将'!A:A,'参照_武将'!B:B,"見つかりません"))</f>
      </c>
      <c r="C1615" s="4" t="s">
        <v>205</v>
      </c>
      <c r="D1615" s="4">
        <v>36</v>
      </c>
      <c r="E1615" s="12" t="str">
        <f t="array" ref="E1615">IF(D1615:D5657="","",IFERROR(_xlfn.XLOOKUP(D1615:D5657,'参照_勢力'!A:A,'参照_勢力'!B:B),IFERROR(_xlfn.XLOOKUP(F1615:F5657,kunishuClan!A:A,kunishuClan!B:B),"浪人")))</f>
      </c>
      <c r="F1615" s="4">
        <v>0</v>
      </c>
      <c r="G1615" s="4">
        <v>66</v>
      </c>
      <c r="H1615" s="12" t="str">
        <f t="array" ref="H1615">IF(G1615:G5657="","",_xlfn.XLOOKUP(G1615:G5657,castles_state!A:A,castles_state!D:D,"見つかりません"))</f>
      </c>
      <c r="I1615" s="4"/>
      <c r="J1615" s="12" t="str">
        <f t="array" ref="J1615">IF(I1615:I5657="","",_xlfn.XLOOKUP(I1615:I5657,'参照_姫'!A:A,'参照_姫'!B:B,"見つかりません"))</f>
      </c>
      <c r="K1615" s="4">
        <v>95</v>
      </c>
      <c r="L1615" s="4">
        <v>500</v>
      </c>
      <c r="M1615" s="4"/>
      <c r="N1615" s="4"/>
      <c r="O1615" s="4"/>
      <c r="P1615" s="12" t="str">
        <f t="array" ref="P1615">IF(O1615:O5657="","",_xlfn.XLOOKUP(O1615:O5657,'参照_官位'!A:A,'参照_官位'!B:B,""))</f>
      </c>
      <c r="Q1615" s="12" t="str">
        <f t="array" ref="Q1615">IF(A1615:A5657="","",IFERROR(_xlfn.XLOOKUP(A1615:A5657,castles_state!K:K,castles_state!D:D)&amp;"主",IFERROR(_xlfn.XLOOKUP(A1615:A5657,kunishuClan!D:D,kunishuClan!B:B)&amp;"当主","")))</f>
      </c>
    </row>
    <row r="1616" ht="15.75" customHeight="1">
      <c r="A1616" s="4">
        <v>1036006</v>
      </c>
      <c r="B1616" s="12" t="str">
        <f t="array" ref="B1616">IF(A1616:A5658="","",_xlfn.XLOOKUP(A1616:A5658,'参照_武将'!A:A,'参照_武将'!B:B,"見つかりません"))</f>
      </c>
      <c r="C1616" s="4" t="s">
        <v>205</v>
      </c>
      <c r="D1616" s="4">
        <v>36</v>
      </c>
      <c r="E1616" s="12" t="str">
        <f t="array" ref="E1616">IF(D1616:D5658="","",IFERROR(_xlfn.XLOOKUP(D1616:D5658,'参照_勢力'!A:A,'参照_勢力'!B:B),IFERROR(_xlfn.XLOOKUP(F1616:F5658,kunishuClan!A:A,kunishuClan!B:B),"浪人")))</f>
      </c>
      <c r="F1616" s="4">
        <v>0</v>
      </c>
      <c r="G1616" s="4">
        <v>66</v>
      </c>
      <c r="H1616" s="12" t="str">
        <f t="array" ref="H1616">IF(G1616:G5658="","",_xlfn.XLOOKUP(G1616:G5658,castles_state!A:A,castles_state!D:D,"見つかりません"))</f>
      </c>
      <c r="I1616" s="4"/>
      <c r="J1616" s="12" t="str">
        <f t="array" ref="J1616">IF(I1616:I5658="","",_xlfn.XLOOKUP(I1616:I5658,'参照_姫'!A:A,'参照_姫'!B:B,"見つかりません"))</f>
      </c>
      <c r="K1616" s="4">
        <v>95</v>
      </c>
      <c r="L1616" s="4">
        <v>0</v>
      </c>
      <c r="M1616" s="4"/>
      <c r="N1616" s="4"/>
      <c r="O1616" s="4"/>
      <c r="P1616" s="12" t="str">
        <f t="array" ref="P1616">IF(O1616:O5658="","",_xlfn.XLOOKUP(O1616:O5658,'参照_官位'!A:A,'参照_官位'!B:B,""))</f>
      </c>
      <c r="Q1616" s="12" t="str">
        <f t="array" ref="Q1616">IF(A1616:A5658="","",IFERROR(_xlfn.XLOOKUP(A1616:A5658,castles_state!K:K,castles_state!D:D)&amp;"主",IFERROR(_xlfn.XLOOKUP(A1616:A5658,kunishuClan!D:D,kunishuClan!B:B)&amp;"当主","")))</f>
      </c>
    </row>
    <row r="1617" ht="15.75" customHeight="1">
      <c r="A1617" s="4">
        <v>1036007</v>
      </c>
      <c r="B1617" s="12" t="str">
        <f t="array" ref="B1617">IF(A1617:A5659="","",_xlfn.XLOOKUP(A1617:A5659,'参照_武将'!A:A,'参照_武将'!B:B,"見つかりません"))</f>
      </c>
      <c r="C1617" s="4" t="s">
        <v>205</v>
      </c>
      <c r="D1617" s="4">
        <v>36</v>
      </c>
      <c r="E1617" s="12" t="str">
        <f t="array" ref="E1617">IF(D1617:D5659="","",IFERROR(_xlfn.XLOOKUP(D1617:D5659,'参照_勢力'!A:A,'参照_勢力'!B:B),IFERROR(_xlfn.XLOOKUP(F1617:F5659,kunishuClan!A:A,kunishuClan!B:B),"浪人")))</f>
      </c>
      <c r="F1617" s="4">
        <v>0</v>
      </c>
      <c r="G1617" s="4">
        <v>66</v>
      </c>
      <c r="H1617" s="12" t="str">
        <f t="array" ref="H1617">IF(G1617:G5659="","",_xlfn.XLOOKUP(G1617:G5659,castles_state!A:A,castles_state!D:D,"見つかりません"))</f>
      </c>
      <c r="I1617" s="4"/>
      <c r="J1617" s="12" t="str">
        <f t="array" ref="J1617">IF(I1617:I5659="","",_xlfn.XLOOKUP(I1617:I5659,'参照_姫'!A:A,'参照_姫'!B:B,"見つかりません"))</f>
      </c>
      <c r="K1617" s="4">
        <v>95</v>
      </c>
      <c r="L1617" s="4">
        <v>0</v>
      </c>
      <c r="M1617" s="4"/>
      <c r="N1617" s="4"/>
      <c r="O1617" s="4"/>
      <c r="P1617" s="12" t="str">
        <f t="array" ref="P1617">IF(O1617:O5659="","",_xlfn.XLOOKUP(O1617:O5659,'参照_官位'!A:A,'参照_官位'!B:B,""))</f>
      </c>
      <c r="Q1617" s="12" t="str">
        <f t="array" ref="Q1617">IF(A1617:A5659="","",IFERROR(_xlfn.XLOOKUP(A1617:A5659,castles_state!K:K,castles_state!D:D)&amp;"主",IFERROR(_xlfn.XLOOKUP(A1617:A5659,kunishuClan!D:D,kunishuClan!B:B)&amp;"当主","")))</f>
      </c>
    </row>
    <row r="1618" ht="15.75" customHeight="1">
      <c r="A1618" s="4">
        <v>1036008</v>
      </c>
      <c r="B1618" s="12" t="str">
        <f t="array" ref="B1618">IF(A1618:A5660="","",_xlfn.XLOOKUP(A1618:A5660,'参照_武将'!A:A,'参照_武将'!B:B,"見つかりません"))</f>
      </c>
      <c r="C1618" s="4" t="s">
        <v>205</v>
      </c>
      <c r="D1618" s="4">
        <v>36</v>
      </c>
      <c r="E1618" s="12" t="str">
        <f t="array" ref="E1618">IF(D1618:D5660="","",IFERROR(_xlfn.XLOOKUP(D1618:D5660,'参照_勢力'!A:A,'参照_勢力'!B:B),IFERROR(_xlfn.XLOOKUP(F1618:F5660,kunishuClan!A:A,kunishuClan!B:B),"浪人")))</f>
      </c>
      <c r="F1618" s="4">
        <v>0</v>
      </c>
      <c r="G1618" s="4">
        <v>66</v>
      </c>
      <c r="H1618" s="12" t="str">
        <f t="array" ref="H1618">IF(G1618:G5660="","",_xlfn.XLOOKUP(G1618:G5660,castles_state!A:A,castles_state!D:D,"見つかりません"))</f>
      </c>
      <c r="I1618" s="4"/>
      <c r="J1618" s="12" t="str">
        <f t="array" ref="J1618">IF(I1618:I5660="","",_xlfn.XLOOKUP(I1618:I5660,'参照_姫'!A:A,'参照_姫'!B:B,"見つかりません"))</f>
      </c>
      <c r="K1618" s="4">
        <v>95</v>
      </c>
      <c r="L1618" s="4">
        <v>500</v>
      </c>
      <c r="M1618" s="4"/>
      <c r="N1618" s="4"/>
      <c r="O1618" s="4"/>
      <c r="P1618" s="12" t="str">
        <f t="array" ref="P1618">IF(O1618:O5660="","",_xlfn.XLOOKUP(O1618:O5660,'参照_官位'!A:A,'参照_官位'!B:B,""))</f>
      </c>
      <c r="Q1618" s="12" t="str">
        <f t="array" ref="Q1618">IF(A1618:A5660="","",IFERROR(_xlfn.XLOOKUP(A1618:A5660,castles_state!K:K,castles_state!D:D)&amp;"主",IFERROR(_xlfn.XLOOKUP(A1618:A5660,kunishuClan!D:D,kunishuClan!B:B)&amp;"当主","")))</f>
      </c>
    </row>
    <row r="1619" ht="15.75" customHeight="1">
      <c r="A1619" s="4">
        <v>1036009</v>
      </c>
      <c r="B1619" s="12" t="str">
        <f t="array" ref="B1619">IF(A1619:A5661="","",_xlfn.XLOOKUP(A1619:A5661,'参照_武将'!A:A,'参照_武将'!B:B,"見つかりません"))</f>
      </c>
      <c r="C1619" s="4" t="s">
        <v>205</v>
      </c>
      <c r="D1619" s="4">
        <v>36</v>
      </c>
      <c r="E1619" s="12" t="str">
        <f t="array" ref="E1619">IF(D1619:D5661="","",IFERROR(_xlfn.XLOOKUP(D1619:D5661,'参照_勢力'!A:A,'参照_勢力'!B:B),IFERROR(_xlfn.XLOOKUP(F1619:F5661,kunishuClan!A:A,kunishuClan!B:B),"浪人")))</f>
      </c>
      <c r="F1619" s="4">
        <v>0</v>
      </c>
      <c r="G1619" s="4">
        <v>66</v>
      </c>
      <c r="H1619" s="12" t="str">
        <f t="array" ref="H1619">IF(G1619:G5661="","",_xlfn.XLOOKUP(G1619:G5661,castles_state!A:A,castles_state!D:D,"見つかりません"))</f>
      </c>
      <c r="I1619" s="4"/>
      <c r="J1619" s="12" t="str">
        <f t="array" ref="J1619">IF(I1619:I5661="","",_xlfn.XLOOKUP(I1619:I5661,'参照_姫'!A:A,'参照_姫'!B:B,"見つかりません"))</f>
      </c>
      <c r="K1619" s="4">
        <v>95</v>
      </c>
      <c r="L1619" s="4">
        <v>0</v>
      </c>
      <c r="M1619" s="4"/>
      <c r="N1619" s="4"/>
      <c r="O1619" s="4"/>
      <c r="P1619" s="12" t="str">
        <f t="array" ref="P1619">IF(O1619:O5661="","",_xlfn.XLOOKUP(O1619:O5661,'参照_官位'!A:A,'参照_官位'!B:B,""))</f>
      </c>
      <c r="Q1619" s="12" t="str">
        <f t="array" ref="Q1619">IF(A1619:A5661="","",IFERROR(_xlfn.XLOOKUP(A1619:A5661,castles_state!K:K,castles_state!D:D)&amp;"主",IFERROR(_xlfn.XLOOKUP(A1619:A5661,kunishuClan!D:D,kunishuClan!B:B)&amp;"当主","")))</f>
      </c>
    </row>
    <row r="1620" ht="15.75" customHeight="1">
      <c r="A1620" s="4">
        <v>1036010</v>
      </c>
      <c r="B1620" s="12" t="str">
        <f t="array" ref="B1620">IF(A1620:A5662="","",_xlfn.XLOOKUP(A1620:A5662,'参照_武将'!A:A,'参照_武将'!B:B,"見つかりません"))</f>
      </c>
      <c r="C1620" s="4" t="s">
        <v>205</v>
      </c>
      <c r="D1620" s="4">
        <v>36</v>
      </c>
      <c r="E1620" s="12" t="str">
        <f t="array" ref="E1620">IF(D1620:D5662="","",IFERROR(_xlfn.XLOOKUP(D1620:D5662,'参照_勢力'!A:A,'参照_勢力'!B:B),IFERROR(_xlfn.XLOOKUP(F1620:F5662,kunishuClan!A:A,kunishuClan!B:B),"浪人")))</f>
      </c>
      <c r="F1620" s="4">
        <v>0</v>
      </c>
      <c r="G1620" s="4">
        <v>66</v>
      </c>
      <c r="H1620" s="12" t="str">
        <f t="array" ref="H1620">IF(G1620:G5662="","",_xlfn.XLOOKUP(G1620:G5662,castles_state!A:A,castles_state!D:D,"見つかりません"))</f>
      </c>
      <c r="I1620" s="4"/>
      <c r="J1620" s="12" t="str">
        <f t="array" ref="J1620">IF(I1620:I5662="","",_xlfn.XLOOKUP(I1620:I5662,'参照_姫'!A:A,'参照_姫'!B:B,"見つかりません"))</f>
      </c>
      <c r="K1620" s="4">
        <v>95</v>
      </c>
      <c r="L1620" s="4">
        <v>0</v>
      </c>
      <c r="M1620" s="4"/>
      <c r="N1620" s="4"/>
      <c r="O1620" s="4"/>
      <c r="P1620" s="12" t="str">
        <f t="array" ref="P1620">IF(O1620:O5662="","",_xlfn.XLOOKUP(O1620:O5662,'参照_官位'!A:A,'参照_官位'!B:B,""))</f>
      </c>
      <c r="Q1620" s="12" t="str">
        <f t="array" ref="Q1620">IF(A1620:A5662="","",IFERROR(_xlfn.XLOOKUP(A1620:A5662,castles_state!K:K,castles_state!D:D)&amp;"主",IFERROR(_xlfn.XLOOKUP(A1620:A5662,kunishuClan!D:D,kunishuClan!B:B)&amp;"当主","")))</f>
      </c>
    </row>
    <row r="1621" ht="15.75" customHeight="1">
      <c r="A1621" s="4">
        <v>1036011</v>
      </c>
      <c r="B1621" s="12" t="str">
        <f t="array" ref="B1621">IF(A1621:A5663="","",_xlfn.XLOOKUP(A1621:A5663,'参照_武将'!A:A,'参照_武将'!B:B,"見つかりません"))</f>
      </c>
      <c r="C1621" s="4" t="s">
        <v>205</v>
      </c>
      <c r="D1621" s="4">
        <v>36</v>
      </c>
      <c r="E1621" s="12" t="str">
        <f t="array" ref="E1621">IF(D1621:D5663="","",IFERROR(_xlfn.XLOOKUP(D1621:D5663,'参照_勢力'!A:A,'参照_勢力'!B:B),IFERROR(_xlfn.XLOOKUP(F1621:F5663,kunishuClan!A:A,kunishuClan!B:B),"浪人")))</f>
      </c>
      <c r="F1621" s="4">
        <v>0</v>
      </c>
      <c r="G1621" s="4">
        <v>66</v>
      </c>
      <c r="H1621" s="12" t="str">
        <f t="array" ref="H1621">IF(G1621:G5663="","",_xlfn.XLOOKUP(G1621:G5663,castles_state!A:A,castles_state!D:D,"見つかりません"))</f>
      </c>
      <c r="I1621" s="4"/>
      <c r="J1621" s="12" t="str">
        <f t="array" ref="J1621">IF(I1621:I5663="","",_xlfn.XLOOKUP(I1621:I5663,'参照_姫'!A:A,'参照_姫'!B:B,"見つかりません"))</f>
      </c>
      <c r="K1621" s="4">
        <v>95</v>
      </c>
      <c r="L1621" s="4">
        <v>500</v>
      </c>
      <c r="M1621" s="4"/>
      <c r="N1621" s="4"/>
      <c r="O1621" s="4"/>
      <c r="P1621" s="12" t="str">
        <f t="array" ref="P1621">IF(O1621:O5663="","",_xlfn.XLOOKUP(O1621:O5663,'参照_官位'!A:A,'参照_官位'!B:B,""))</f>
      </c>
      <c r="Q1621" s="12" t="str">
        <f t="array" ref="Q1621">IF(A1621:A5663="","",IFERROR(_xlfn.XLOOKUP(A1621:A5663,castles_state!K:K,castles_state!D:D)&amp;"主",IFERROR(_xlfn.XLOOKUP(A1621:A5663,kunishuClan!D:D,kunishuClan!B:B)&amp;"当主","")))</f>
      </c>
    </row>
    <row r="1622" ht="15.75" customHeight="1">
      <c r="A1622" s="4">
        <v>1036012</v>
      </c>
      <c r="B1622" s="12" t="str">
        <f t="array" ref="B1622">IF(A1622:A5664="","",_xlfn.XLOOKUP(A1622:A5664,'参照_武将'!A:A,'参照_武将'!B:B,"見つかりません"))</f>
      </c>
      <c r="C1622" s="4" t="s">
        <v>205</v>
      </c>
      <c r="D1622" s="4">
        <v>36</v>
      </c>
      <c r="E1622" s="12" t="str">
        <f t="array" ref="E1622">IF(D1622:D5664="","",IFERROR(_xlfn.XLOOKUP(D1622:D5664,'参照_勢力'!A:A,'参照_勢力'!B:B),IFERROR(_xlfn.XLOOKUP(F1622:F5664,kunishuClan!A:A,kunishuClan!B:B),"浪人")))</f>
      </c>
      <c r="F1622" s="4">
        <v>0</v>
      </c>
      <c r="G1622" s="4">
        <v>66</v>
      </c>
      <c r="H1622" s="12" t="str">
        <f t="array" ref="H1622">IF(G1622:G5664="","",_xlfn.XLOOKUP(G1622:G5664,castles_state!A:A,castles_state!D:D,"見つかりません"))</f>
      </c>
      <c r="I1622" s="4"/>
      <c r="J1622" s="12" t="str">
        <f t="array" ref="J1622">IF(I1622:I5664="","",_xlfn.XLOOKUP(I1622:I5664,'参照_姫'!A:A,'参照_姫'!B:B,"見つかりません"))</f>
      </c>
      <c r="K1622" s="4">
        <v>95</v>
      </c>
      <c r="L1622" s="4">
        <v>0</v>
      </c>
      <c r="M1622" s="4"/>
      <c r="N1622" s="4"/>
      <c r="O1622" s="4"/>
      <c r="P1622" s="12" t="str">
        <f t="array" ref="P1622">IF(O1622:O5664="","",_xlfn.XLOOKUP(O1622:O5664,'参照_官位'!A:A,'参照_官位'!B:B,""))</f>
      </c>
      <c r="Q1622" s="12" t="str">
        <f t="array" ref="Q1622">IF(A1622:A5664="","",IFERROR(_xlfn.XLOOKUP(A1622:A5664,castles_state!K:K,castles_state!D:D)&amp;"主",IFERROR(_xlfn.XLOOKUP(A1622:A5664,kunishuClan!D:D,kunishuClan!B:B)&amp;"当主","")))</f>
      </c>
    </row>
    <row r="1623" ht="15.75" customHeight="1">
      <c r="A1623" s="4">
        <v>1036013</v>
      </c>
      <c r="B1623" s="12" t="str">
        <f t="array" ref="B1623">IF(A1623:A5665="","",_xlfn.XLOOKUP(A1623:A5665,'参照_武将'!A:A,'参照_武将'!B:B,"見つかりません"))</f>
      </c>
      <c r="C1623" s="4" t="s">
        <v>205</v>
      </c>
      <c r="D1623" s="4">
        <v>36</v>
      </c>
      <c r="E1623" s="12" t="str">
        <f t="array" ref="E1623">IF(D1623:D5665="","",IFERROR(_xlfn.XLOOKUP(D1623:D5665,'参照_勢力'!A:A,'参照_勢力'!B:B),IFERROR(_xlfn.XLOOKUP(F1623:F5665,kunishuClan!A:A,kunishuClan!B:B),"浪人")))</f>
      </c>
      <c r="F1623" s="4">
        <v>0</v>
      </c>
      <c r="G1623" s="4">
        <v>66</v>
      </c>
      <c r="H1623" s="12" t="str">
        <f t="array" ref="H1623">IF(G1623:G5665="","",_xlfn.XLOOKUP(G1623:G5665,castles_state!A:A,castles_state!D:D,"見つかりません"))</f>
      </c>
      <c r="I1623" s="4"/>
      <c r="J1623" s="12" t="str">
        <f t="array" ref="J1623">IF(I1623:I5665="","",_xlfn.XLOOKUP(I1623:I5665,'参照_姫'!A:A,'参照_姫'!B:B,"見つかりません"))</f>
      </c>
      <c r="K1623" s="4">
        <v>95</v>
      </c>
      <c r="L1623" s="4">
        <v>0</v>
      </c>
      <c r="M1623" s="4"/>
      <c r="N1623" s="4"/>
      <c r="O1623" s="4"/>
      <c r="P1623" s="12" t="str">
        <f t="array" ref="P1623">IF(O1623:O5665="","",_xlfn.XLOOKUP(O1623:O5665,'参照_官位'!A:A,'参照_官位'!B:B,""))</f>
      </c>
      <c r="Q1623" s="12" t="str">
        <f t="array" ref="Q1623">IF(A1623:A5665="","",IFERROR(_xlfn.XLOOKUP(A1623:A5665,castles_state!K:K,castles_state!D:D)&amp;"主",IFERROR(_xlfn.XLOOKUP(A1623:A5665,kunishuClan!D:D,kunishuClan!B:B)&amp;"当主","")))</f>
      </c>
    </row>
    <row r="1624" ht="15.75" customHeight="1">
      <c r="A1624" s="4">
        <v>1036014</v>
      </c>
      <c r="B1624" s="12" t="str">
        <f t="array" ref="B1624">IF(A1624:A5666="","",_xlfn.XLOOKUP(A1624:A5666,'参照_武将'!A:A,'参照_武将'!B:B,"見つかりません"))</f>
      </c>
      <c r="C1624" s="4" t="s">
        <v>205</v>
      </c>
      <c r="D1624" s="4">
        <v>36</v>
      </c>
      <c r="E1624" s="12" t="str">
        <f t="array" ref="E1624">IF(D1624:D5666="","",IFERROR(_xlfn.XLOOKUP(D1624:D5666,'参照_勢力'!A:A,'参照_勢力'!B:B),IFERROR(_xlfn.XLOOKUP(F1624:F5666,kunishuClan!A:A,kunishuClan!B:B),"浪人")))</f>
      </c>
      <c r="F1624" s="4">
        <v>0</v>
      </c>
      <c r="G1624" s="4">
        <v>66</v>
      </c>
      <c r="H1624" s="12" t="str">
        <f t="array" ref="H1624">IF(G1624:G5666="","",_xlfn.XLOOKUP(G1624:G5666,castles_state!A:A,castles_state!D:D,"見つかりません"))</f>
      </c>
      <c r="I1624" s="4"/>
      <c r="J1624" s="12" t="str">
        <f t="array" ref="J1624">IF(I1624:I5666="","",_xlfn.XLOOKUP(I1624:I5666,'参照_姫'!A:A,'参照_姫'!B:B,"見つかりません"))</f>
      </c>
      <c r="K1624" s="4">
        <v>95</v>
      </c>
      <c r="L1624" s="4">
        <v>300</v>
      </c>
      <c r="M1624" s="4" t="b">
        <v>1</v>
      </c>
      <c r="N1624" s="4"/>
      <c r="O1624" s="4"/>
      <c r="P1624" s="12" t="str">
        <f t="array" ref="P1624">IF(O1624:O5666="","",_xlfn.XLOOKUP(O1624:O5666,'参照_官位'!A:A,'参照_官位'!B:B,""))</f>
      </c>
      <c r="Q1624" s="12" t="str">
        <f t="array" ref="Q1624">IF(A1624:A5666="","",IFERROR(_xlfn.XLOOKUP(A1624:A5666,castles_state!K:K,castles_state!D:D)&amp;"主",IFERROR(_xlfn.XLOOKUP(A1624:A5666,kunishuClan!D:D,kunishuClan!B:B)&amp;"当主","")))</f>
      </c>
    </row>
    <row r="1625" ht="15.75" customHeight="1">
      <c r="A1625" s="4">
        <v>1036015</v>
      </c>
      <c r="B1625" s="12" t="str">
        <f t="array" ref="B1625">IF(A1625:A5667="","",_xlfn.XLOOKUP(A1625:A5667,'参照_武将'!A:A,'参照_武将'!B:B,"見つかりません"))</f>
      </c>
      <c r="C1625" s="4" t="s">
        <v>205</v>
      </c>
      <c r="D1625" s="4">
        <v>36</v>
      </c>
      <c r="E1625" s="12" t="str">
        <f t="array" ref="E1625">IF(D1625:D5667="","",IFERROR(_xlfn.XLOOKUP(D1625:D5667,'参照_勢力'!A:A,'参照_勢力'!B:B),IFERROR(_xlfn.XLOOKUP(F1625:F5667,kunishuClan!A:A,kunishuClan!B:B),"浪人")))</f>
      </c>
      <c r="F1625" s="4">
        <v>0</v>
      </c>
      <c r="G1625" s="4">
        <v>66</v>
      </c>
      <c r="H1625" s="12" t="str">
        <f t="array" ref="H1625">IF(G1625:G5667="","",_xlfn.XLOOKUP(G1625:G5667,castles_state!A:A,castles_state!D:D,"見つかりません"))</f>
      </c>
      <c r="I1625" s="4"/>
      <c r="J1625" s="12" t="str">
        <f t="array" ref="J1625">IF(I1625:I5667="","",_xlfn.XLOOKUP(I1625:I5667,'参照_姫'!A:A,'参照_姫'!B:B,"見つかりません"))</f>
      </c>
      <c r="K1625" s="4">
        <v>95</v>
      </c>
      <c r="L1625" s="4">
        <v>0</v>
      </c>
      <c r="M1625" s="4"/>
      <c r="N1625" s="4"/>
      <c r="O1625" s="4"/>
      <c r="P1625" s="12" t="str">
        <f t="array" ref="P1625">IF(O1625:O5667="","",_xlfn.XLOOKUP(O1625:O5667,'参照_官位'!A:A,'参照_官位'!B:B,""))</f>
      </c>
      <c r="Q1625" s="12" t="str">
        <f t="array" ref="Q1625">IF(A1625:A5667="","",IFERROR(_xlfn.XLOOKUP(A1625:A5667,castles_state!K:K,castles_state!D:D)&amp;"主",IFERROR(_xlfn.XLOOKUP(A1625:A5667,kunishuClan!D:D,kunishuClan!B:B)&amp;"当主","")))</f>
      </c>
    </row>
    <row r="1626" ht="15.75" customHeight="1">
      <c r="A1626" s="4">
        <v>1036016</v>
      </c>
      <c r="B1626" s="12" t="str">
        <f t="array" ref="B1626">IF(A1626:A5668="","",_xlfn.XLOOKUP(A1626:A5668,'参照_武将'!A:A,'参照_武将'!B:B,"見つかりません"))</f>
      </c>
      <c r="C1626" s="4" t="s">
        <v>205</v>
      </c>
      <c r="D1626" s="4">
        <v>36</v>
      </c>
      <c r="E1626" s="12" t="str">
        <f t="array" ref="E1626">IF(D1626:D5668="","",IFERROR(_xlfn.XLOOKUP(D1626:D5668,'参照_勢力'!A:A,'参照_勢力'!B:B),IFERROR(_xlfn.XLOOKUP(F1626:F5668,kunishuClan!A:A,kunishuClan!B:B),"浪人")))</f>
      </c>
      <c r="F1626" s="4">
        <v>0</v>
      </c>
      <c r="G1626" s="4">
        <v>66</v>
      </c>
      <c r="H1626" s="12" t="str">
        <f t="array" ref="H1626">IF(G1626:G5668="","",_xlfn.XLOOKUP(G1626:G5668,castles_state!A:A,castles_state!D:D,"見つかりません"))</f>
      </c>
      <c r="I1626" s="4"/>
      <c r="J1626" s="12" t="str">
        <f t="array" ref="J1626">IF(I1626:I5668="","",_xlfn.XLOOKUP(I1626:I5668,'参照_姫'!A:A,'参照_姫'!B:B,"見つかりません"))</f>
      </c>
      <c r="K1626" s="4">
        <v>95</v>
      </c>
      <c r="L1626" s="4">
        <v>0</v>
      </c>
      <c r="M1626" s="4"/>
      <c r="N1626" s="4"/>
      <c r="O1626" s="4"/>
      <c r="P1626" s="12" t="str">
        <f t="array" ref="P1626">IF(O1626:O5668="","",_xlfn.XLOOKUP(O1626:O5668,'参照_官位'!A:A,'参照_官位'!B:B,""))</f>
      </c>
      <c r="Q1626" s="12" t="str">
        <f t="array" ref="Q1626">IF(A1626:A5668="","",IFERROR(_xlfn.XLOOKUP(A1626:A5668,castles_state!K:K,castles_state!D:D)&amp;"主",IFERROR(_xlfn.XLOOKUP(A1626:A5668,kunishuClan!D:D,kunishuClan!B:B)&amp;"当主","")))</f>
      </c>
    </row>
    <row r="1627" ht="15.75" customHeight="1">
      <c r="A1627" s="4">
        <v>1036017</v>
      </c>
      <c r="B1627" s="12" t="str">
        <f t="array" ref="B1627">IF(A1627:A5669="","",_xlfn.XLOOKUP(A1627:A5669,'参照_武将'!A:A,'参照_武将'!B:B,"見つかりません"))</f>
      </c>
      <c r="C1627" s="4" t="s">
        <v>205</v>
      </c>
      <c r="D1627" s="4">
        <v>36</v>
      </c>
      <c r="E1627" s="12" t="str">
        <f t="array" ref="E1627">IF(D1627:D5669="","",IFERROR(_xlfn.XLOOKUP(D1627:D5669,'参照_勢力'!A:A,'参照_勢力'!B:B),IFERROR(_xlfn.XLOOKUP(F1627:F5669,kunishuClan!A:A,kunishuClan!B:B),"浪人")))</f>
      </c>
      <c r="F1627" s="4">
        <v>0</v>
      </c>
      <c r="G1627" s="4">
        <v>66</v>
      </c>
      <c r="H1627" s="12" t="str">
        <f t="array" ref="H1627">IF(G1627:G5669="","",_xlfn.XLOOKUP(G1627:G5669,castles_state!A:A,castles_state!D:D,"見つかりません"))</f>
      </c>
      <c r="I1627" s="4"/>
      <c r="J1627" s="12" t="str">
        <f t="array" ref="J1627">IF(I1627:I5669="","",_xlfn.XLOOKUP(I1627:I5669,'参照_姫'!A:A,'参照_姫'!B:B,"見つかりません"))</f>
      </c>
      <c r="K1627" s="4">
        <v>95</v>
      </c>
      <c r="L1627" s="4">
        <v>0</v>
      </c>
      <c r="M1627" s="4"/>
      <c r="N1627" s="4"/>
      <c r="O1627" s="4"/>
      <c r="P1627" s="12" t="str">
        <f t="array" ref="P1627">IF(O1627:O5669="","",_xlfn.XLOOKUP(O1627:O5669,'参照_官位'!A:A,'参照_官位'!B:B,""))</f>
      </c>
      <c r="Q1627" s="12" t="str">
        <f t="array" ref="Q1627">IF(A1627:A5669="","",IFERROR(_xlfn.XLOOKUP(A1627:A5669,castles_state!K:K,castles_state!D:D)&amp;"主",IFERROR(_xlfn.XLOOKUP(A1627:A5669,kunishuClan!D:D,kunishuClan!B:B)&amp;"当主","")))</f>
      </c>
    </row>
    <row r="1628" ht="15.75" customHeight="1">
      <c r="A1628" s="4">
        <v>1036018</v>
      </c>
      <c r="B1628" s="12" t="str">
        <f t="array" ref="B1628">IF(A1628:A5670="","",_xlfn.XLOOKUP(A1628:A5670,'参照_武将'!A:A,'参照_武将'!B:B,"見つかりません"))</f>
      </c>
      <c r="C1628" s="4" t="s">
        <v>205</v>
      </c>
      <c r="D1628" s="4">
        <v>36</v>
      </c>
      <c r="E1628" s="12" t="str">
        <f t="array" ref="E1628">IF(D1628:D5670="","",IFERROR(_xlfn.XLOOKUP(D1628:D5670,'参照_勢力'!A:A,'参照_勢力'!B:B),IFERROR(_xlfn.XLOOKUP(F1628:F5670,kunishuClan!A:A,kunishuClan!B:B),"浪人")))</f>
      </c>
      <c r="F1628" s="4">
        <v>0</v>
      </c>
      <c r="G1628" s="4">
        <v>66</v>
      </c>
      <c r="H1628" s="12" t="str">
        <f t="array" ref="H1628">IF(G1628:G5670="","",_xlfn.XLOOKUP(G1628:G5670,castles_state!A:A,castles_state!D:D,"見つかりません"))</f>
      </c>
      <c r="I1628" s="4"/>
      <c r="J1628" s="12" t="str">
        <f t="array" ref="J1628">IF(I1628:I5670="","",_xlfn.XLOOKUP(I1628:I5670,'参照_姫'!A:A,'参照_姫'!B:B,"見つかりません"))</f>
      </c>
      <c r="K1628" s="4">
        <v>95</v>
      </c>
      <c r="L1628" s="4">
        <v>0</v>
      </c>
      <c r="M1628" s="4"/>
      <c r="N1628" s="4"/>
      <c r="O1628" s="4"/>
      <c r="P1628" s="12" t="str">
        <f t="array" ref="P1628">IF(O1628:O5670="","",_xlfn.XLOOKUP(O1628:O5670,'参照_官位'!A:A,'参照_官位'!B:B,""))</f>
      </c>
      <c r="Q1628" s="12" t="str">
        <f t="array" ref="Q1628">IF(A1628:A5670="","",IFERROR(_xlfn.XLOOKUP(A1628:A5670,castles_state!K:K,castles_state!D:D)&amp;"主",IFERROR(_xlfn.XLOOKUP(A1628:A5670,kunishuClan!D:D,kunishuClan!B:B)&amp;"当主","")))</f>
      </c>
    </row>
    <row r="1629" ht="15.75" customHeight="1">
      <c r="A1629" s="4">
        <v>1036019</v>
      </c>
      <c r="B1629" s="12" t="str">
        <f t="array" ref="B1629">IF(A1629:A5671="","",_xlfn.XLOOKUP(A1629:A5671,'参照_武将'!A:A,'参照_武将'!B:B,"見つかりません"))</f>
      </c>
      <c r="C1629" s="4" t="s">
        <v>205</v>
      </c>
      <c r="D1629" s="4">
        <v>36</v>
      </c>
      <c r="E1629" s="12" t="str">
        <f t="array" ref="E1629">IF(D1629:D5671="","",IFERROR(_xlfn.XLOOKUP(D1629:D5671,'参照_勢力'!A:A,'参照_勢力'!B:B),IFERROR(_xlfn.XLOOKUP(F1629:F5671,kunishuClan!A:A,kunishuClan!B:B),"浪人")))</f>
      </c>
      <c r="F1629" s="4">
        <v>0</v>
      </c>
      <c r="G1629" s="4">
        <v>66</v>
      </c>
      <c r="H1629" s="12" t="str">
        <f t="array" ref="H1629">IF(G1629:G5671="","",_xlfn.XLOOKUP(G1629:G5671,castles_state!A:A,castles_state!D:D,"見つかりません"))</f>
      </c>
      <c r="I1629" s="4"/>
      <c r="J1629" s="12" t="str">
        <f t="array" ref="J1629">IF(I1629:I5671="","",_xlfn.XLOOKUP(I1629:I5671,'参照_姫'!A:A,'参照_姫'!B:B,"見つかりません"))</f>
      </c>
      <c r="K1629" s="4">
        <v>95</v>
      </c>
      <c r="L1629" s="4">
        <v>0</v>
      </c>
      <c r="M1629" s="4"/>
      <c r="N1629" s="4"/>
      <c r="O1629" s="4"/>
      <c r="P1629" s="12" t="str">
        <f t="array" ref="P1629">IF(O1629:O5671="","",_xlfn.XLOOKUP(O1629:O5671,'参照_官位'!A:A,'参照_官位'!B:B,""))</f>
      </c>
      <c r="Q1629" s="12" t="str">
        <f t="array" ref="Q1629">IF(A1629:A5671="","",IFERROR(_xlfn.XLOOKUP(A1629:A5671,castles_state!K:K,castles_state!D:D)&amp;"主",IFERROR(_xlfn.XLOOKUP(A1629:A5671,kunishuClan!D:D,kunishuClan!B:B)&amp;"当主","")))</f>
      </c>
    </row>
    <row r="1630" ht="15.75" customHeight="1">
      <c r="A1630" s="4">
        <v>1036020</v>
      </c>
      <c r="B1630" s="12" t="str">
        <f t="array" ref="B1630">IF(A1630:A5672="","",_xlfn.XLOOKUP(A1630:A5672,'参照_武将'!A:A,'参照_武将'!B:B,"見つかりません"))</f>
      </c>
      <c r="C1630" s="4" t="s">
        <v>205</v>
      </c>
      <c r="D1630" s="4">
        <v>36</v>
      </c>
      <c r="E1630" s="12" t="str">
        <f t="array" ref="E1630">IF(D1630:D5672="","",IFERROR(_xlfn.XLOOKUP(D1630:D5672,'参照_勢力'!A:A,'参照_勢力'!B:B),IFERROR(_xlfn.XLOOKUP(F1630:F5672,kunishuClan!A:A,kunishuClan!B:B),"浪人")))</f>
      </c>
      <c r="F1630" s="4">
        <v>0</v>
      </c>
      <c r="G1630" s="4">
        <v>66</v>
      </c>
      <c r="H1630" s="12" t="str">
        <f t="array" ref="H1630">IF(G1630:G5672="","",_xlfn.XLOOKUP(G1630:G5672,castles_state!A:A,castles_state!D:D,"見つかりません"))</f>
      </c>
      <c r="I1630" s="4"/>
      <c r="J1630" s="12" t="str">
        <f t="array" ref="J1630">IF(I1630:I5672="","",_xlfn.XLOOKUP(I1630:I5672,'参照_姫'!A:A,'参照_姫'!B:B,"見つかりません"))</f>
      </c>
      <c r="K1630" s="4">
        <v>95</v>
      </c>
      <c r="L1630" s="4">
        <v>300</v>
      </c>
      <c r="M1630" s="4"/>
      <c r="N1630" s="4"/>
      <c r="O1630" s="4"/>
      <c r="P1630" s="12" t="str">
        <f t="array" ref="P1630">IF(O1630:O5672="","",_xlfn.XLOOKUP(O1630:O5672,'参照_官位'!A:A,'参照_官位'!B:B,""))</f>
      </c>
      <c r="Q1630" s="12" t="str">
        <f t="array" ref="Q1630">IF(A1630:A5672="","",IFERROR(_xlfn.XLOOKUP(A1630:A5672,castles_state!K:K,castles_state!D:D)&amp;"主",IFERROR(_xlfn.XLOOKUP(A1630:A5672,kunishuClan!D:D,kunishuClan!B:B)&amp;"当主","")))</f>
      </c>
    </row>
    <row r="1631" ht="15.75" customHeight="1">
      <c r="A1631" s="4">
        <v>1036021</v>
      </c>
      <c r="B1631" s="12" t="str">
        <f t="array" ref="B1631">IF(A1631:A5673="","",_xlfn.XLOOKUP(A1631:A5673,'参照_武将'!A:A,'参照_武将'!B:B,"見つかりません"))</f>
      </c>
      <c r="C1631" s="4" t="s">
        <v>205</v>
      </c>
      <c r="D1631" s="4">
        <v>36</v>
      </c>
      <c r="E1631" s="12" t="str">
        <f t="array" ref="E1631">IF(D1631:D5673="","",IFERROR(_xlfn.XLOOKUP(D1631:D5673,'参照_勢力'!A:A,'参照_勢力'!B:B),IFERROR(_xlfn.XLOOKUP(F1631:F5673,kunishuClan!A:A,kunishuClan!B:B),"浪人")))</f>
      </c>
      <c r="F1631" s="4">
        <v>0</v>
      </c>
      <c r="G1631" s="4">
        <v>66</v>
      </c>
      <c r="H1631" s="12" t="str">
        <f t="array" ref="H1631">IF(G1631:G5673="","",_xlfn.XLOOKUP(G1631:G5673,castles_state!A:A,castles_state!D:D,"見つかりません"))</f>
      </c>
      <c r="I1631" s="4"/>
      <c r="J1631" s="12" t="str">
        <f t="array" ref="J1631">IF(I1631:I5673="","",_xlfn.XLOOKUP(I1631:I5673,'参照_姫'!A:A,'参照_姫'!B:B,"見つかりません"))</f>
      </c>
      <c r="K1631" s="4">
        <v>95</v>
      </c>
      <c r="L1631" s="4">
        <v>300</v>
      </c>
      <c r="M1631" s="4"/>
      <c r="N1631" s="4"/>
      <c r="O1631" s="4"/>
      <c r="P1631" s="12" t="str">
        <f t="array" ref="P1631">IF(O1631:O5673="","",_xlfn.XLOOKUP(O1631:O5673,'参照_官位'!A:A,'参照_官位'!B:B,""))</f>
      </c>
      <c r="Q1631" s="12" t="str">
        <f t="array" ref="Q1631">IF(A1631:A5673="","",IFERROR(_xlfn.XLOOKUP(A1631:A5673,castles_state!K:K,castles_state!D:D)&amp;"主",IFERROR(_xlfn.XLOOKUP(A1631:A5673,kunishuClan!D:D,kunishuClan!B:B)&amp;"当主","")))</f>
      </c>
    </row>
    <row r="1632" ht="15.75" customHeight="1">
      <c r="A1632" s="4">
        <v>1036022</v>
      </c>
      <c r="B1632" s="12" t="str">
        <f t="array" ref="B1632">IF(A1632:A5674="","",_xlfn.XLOOKUP(A1632:A5674,'参照_武将'!A:A,'参照_武将'!B:B,"見つかりません"))</f>
      </c>
      <c r="C1632" s="4" t="s">
        <v>205</v>
      </c>
      <c r="D1632" s="4">
        <v>36</v>
      </c>
      <c r="E1632" s="12" t="str">
        <f t="array" ref="E1632">IF(D1632:D5674="","",IFERROR(_xlfn.XLOOKUP(D1632:D5674,'参照_勢力'!A:A,'参照_勢力'!B:B),IFERROR(_xlfn.XLOOKUP(F1632:F5674,kunishuClan!A:A,kunishuClan!B:B),"浪人")))</f>
      </c>
      <c r="F1632" s="4">
        <v>0</v>
      </c>
      <c r="G1632" s="4">
        <v>66</v>
      </c>
      <c r="H1632" s="12" t="str">
        <f t="array" ref="H1632">IF(G1632:G5674="","",_xlfn.XLOOKUP(G1632:G5674,castles_state!A:A,castles_state!D:D,"見つかりません"))</f>
      </c>
      <c r="I1632" s="4"/>
      <c r="J1632" s="12" t="str">
        <f t="array" ref="J1632">IF(I1632:I5674="","",_xlfn.XLOOKUP(I1632:I5674,'参照_姫'!A:A,'参照_姫'!B:B,"見つかりません"))</f>
      </c>
      <c r="K1632" s="4">
        <v>95</v>
      </c>
      <c r="L1632" s="4">
        <v>0</v>
      </c>
      <c r="M1632" s="4"/>
      <c r="N1632" s="4"/>
      <c r="O1632" s="4"/>
      <c r="P1632" s="12" t="str">
        <f t="array" ref="P1632">IF(O1632:O5674="","",_xlfn.XLOOKUP(O1632:O5674,'参照_官位'!A:A,'参照_官位'!B:B,""))</f>
      </c>
      <c r="Q1632" s="12" t="str">
        <f t="array" ref="Q1632">IF(A1632:A5674="","",IFERROR(_xlfn.XLOOKUP(A1632:A5674,castles_state!K:K,castles_state!D:D)&amp;"主",IFERROR(_xlfn.XLOOKUP(A1632:A5674,kunishuClan!D:D,kunishuClan!B:B)&amp;"当主","")))</f>
      </c>
    </row>
    <row r="1633" ht="15.75" customHeight="1">
      <c r="A1633" s="4">
        <v>1036023</v>
      </c>
      <c r="B1633" s="12" t="str">
        <f t="array" ref="B1633">IF(A1633:A5675="","",_xlfn.XLOOKUP(A1633:A5675,'参照_武将'!A:A,'参照_武将'!B:B,"見つかりません"))</f>
      </c>
      <c r="C1633" s="4" t="s">
        <v>205</v>
      </c>
      <c r="D1633" s="4">
        <v>36</v>
      </c>
      <c r="E1633" s="12" t="str">
        <f t="array" ref="E1633">IF(D1633:D5675="","",IFERROR(_xlfn.XLOOKUP(D1633:D5675,'参照_勢力'!A:A,'参照_勢力'!B:B),IFERROR(_xlfn.XLOOKUP(F1633:F5675,kunishuClan!A:A,kunishuClan!B:B),"浪人")))</f>
      </c>
      <c r="F1633" s="4">
        <v>0</v>
      </c>
      <c r="G1633" s="4">
        <v>66</v>
      </c>
      <c r="H1633" s="12" t="str">
        <f t="array" ref="H1633">IF(G1633:G5675="","",_xlfn.XLOOKUP(G1633:G5675,castles_state!A:A,castles_state!D:D,"見つかりません"))</f>
      </c>
      <c r="I1633" s="4"/>
      <c r="J1633" s="12" t="str">
        <f t="array" ref="J1633">IF(I1633:I5675="","",_xlfn.XLOOKUP(I1633:I5675,'参照_姫'!A:A,'参照_姫'!B:B,"見つかりません"))</f>
      </c>
      <c r="K1633" s="4">
        <v>95</v>
      </c>
      <c r="L1633" s="4">
        <v>0</v>
      </c>
      <c r="M1633" s="4"/>
      <c r="N1633" s="4"/>
      <c r="O1633" s="4"/>
      <c r="P1633" s="12" t="str">
        <f t="array" ref="P1633">IF(O1633:O5675="","",_xlfn.XLOOKUP(O1633:O5675,'参照_官位'!A:A,'参照_官位'!B:B,""))</f>
      </c>
      <c r="Q1633" s="12" t="str">
        <f t="array" ref="Q1633">IF(A1633:A5675="","",IFERROR(_xlfn.XLOOKUP(A1633:A5675,castles_state!K:K,castles_state!D:D)&amp;"主",IFERROR(_xlfn.XLOOKUP(A1633:A5675,kunishuClan!D:D,kunishuClan!B:B)&amp;"当主","")))</f>
      </c>
    </row>
    <row r="1634" ht="15.75" customHeight="1">
      <c r="A1634" s="4">
        <v>1036024</v>
      </c>
      <c r="B1634" s="12" t="str">
        <f t="array" ref="B1634">IF(A1634:A5676="","",_xlfn.XLOOKUP(A1634:A5676,'参照_武将'!A:A,'参照_武将'!B:B,"見つかりません"))</f>
      </c>
      <c r="C1634" s="4" t="s">
        <v>205</v>
      </c>
      <c r="D1634" s="4">
        <v>36</v>
      </c>
      <c r="E1634" s="12" t="str">
        <f t="array" ref="E1634">IF(D1634:D5676="","",IFERROR(_xlfn.XLOOKUP(D1634:D5676,'参照_勢力'!A:A,'参照_勢力'!B:B),IFERROR(_xlfn.XLOOKUP(F1634:F5676,kunishuClan!A:A,kunishuClan!B:B),"浪人")))</f>
      </c>
      <c r="F1634" s="4">
        <v>0</v>
      </c>
      <c r="G1634" s="4">
        <v>66</v>
      </c>
      <c r="H1634" s="12" t="str">
        <f t="array" ref="H1634">IF(G1634:G5676="","",_xlfn.XLOOKUP(G1634:G5676,castles_state!A:A,castles_state!D:D,"見つかりません"))</f>
      </c>
      <c r="I1634" s="4"/>
      <c r="J1634" s="12" t="str">
        <f t="array" ref="J1634">IF(I1634:I5676="","",_xlfn.XLOOKUP(I1634:I5676,'参照_姫'!A:A,'参照_姫'!B:B,"見つかりません"))</f>
      </c>
      <c r="K1634" s="4">
        <v>95</v>
      </c>
      <c r="L1634" s="4">
        <v>0</v>
      </c>
      <c r="M1634" s="4"/>
      <c r="N1634" s="4"/>
      <c r="O1634" s="4"/>
      <c r="P1634" s="12" t="str">
        <f t="array" ref="P1634">IF(O1634:O5676="","",_xlfn.XLOOKUP(O1634:O5676,'参照_官位'!A:A,'参照_官位'!B:B,""))</f>
      </c>
      <c r="Q1634" s="12" t="str">
        <f t="array" ref="Q1634">IF(A1634:A5676="","",IFERROR(_xlfn.XLOOKUP(A1634:A5676,castles_state!K:K,castles_state!D:D)&amp;"主",IFERROR(_xlfn.XLOOKUP(A1634:A5676,kunishuClan!D:D,kunishuClan!B:B)&amp;"当主","")))</f>
      </c>
    </row>
    <row r="1635" ht="15.75" customHeight="1">
      <c r="A1635" s="4">
        <v>1036025</v>
      </c>
      <c r="B1635" s="12" t="str">
        <f t="array" ref="B1635">IF(A1635:A5677="","",_xlfn.XLOOKUP(A1635:A5677,'参照_武将'!A:A,'参照_武将'!B:B,"見つかりません"))</f>
      </c>
      <c r="C1635" s="4" t="s">
        <v>205</v>
      </c>
      <c r="D1635" s="4">
        <v>36</v>
      </c>
      <c r="E1635" s="12" t="str">
        <f t="array" ref="E1635">IF(D1635:D5677="","",IFERROR(_xlfn.XLOOKUP(D1635:D5677,'参照_勢力'!A:A,'参照_勢力'!B:B),IFERROR(_xlfn.XLOOKUP(F1635:F5677,kunishuClan!A:A,kunishuClan!B:B),"浪人")))</f>
      </c>
      <c r="F1635" s="4">
        <v>0</v>
      </c>
      <c r="G1635" s="4">
        <v>66</v>
      </c>
      <c r="H1635" s="12" t="str">
        <f t="array" ref="H1635">IF(G1635:G5677="","",_xlfn.XLOOKUP(G1635:G5677,castles_state!A:A,castles_state!D:D,"見つかりません"))</f>
      </c>
      <c r="I1635" s="4"/>
      <c r="J1635" s="12" t="str">
        <f t="array" ref="J1635">IF(I1635:I5677="","",_xlfn.XLOOKUP(I1635:I5677,'参照_姫'!A:A,'参照_姫'!B:B,"見つかりません"))</f>
      </c>
      <c r="K1635" s="4">
        <v>95</v>
      </c>
      <c r="L1635" s="4">
        <v>300</v>
      </c>
      <c r="M1635" s="4"/>
      <c r="N1635" s="4"/>
      <c r="O1635" s="4"/>
      <c r="P1635" s="12" t="str">
        <f t="array" ref="P1635">IF(O1635:O5677="","",_xlfn.XLOOKUP(O1635:O5677,'参照_官位'!A:A,'参照_官位'!B:B,""))</f>
      </c>
      <c r="Q1635" s="12" t="str">
        <f t="array" ref="Q1635">IF(A1635:A5677="","",IFERROR(_xlfn.XLOOKUP(A1635:A5677,castles_state!K:K,castles_state!D:D)&amp;"主",IFERROR(_xlfn.XLOOKUP(A1635:A5677,kunishuClan!D:D,kunishuClan!B:B)&amp;"当主","")))</f>
      </c>
    </row>
    <row r="1636" ht="15.75" customHeight="1">
      <c r="A1636" s="4">
        <v>1037001</v>
      </c>
      <c r="B1636" s="12" t="str">
        <f t="array" ref="B1636">IF(A1636:A5678="","",_xlfn.XLOOKUP(A1636:A5678,'参照_武将'!A:A,'参照_武将'!B:B,"見つかりません"))</f>
      </c>
      <c r="C1636" s="4" t="s">
        <v>209</v>
      </c>
      <c r="D1636" s="4">
        <v>32</v>
      </c>
      <c r="E1636" s="12" t="str">
        <f t="array" ref="E1636">IF(D1636:D5678="","",IFERROR(_xlfn.XLOOKUP(D1636:D5678,'参照_勢力'!A:A,'参照_勢力'!B:B),IFERROR(_xlfn.XLOOKUP(F1636:F5678,kunishuClan!A:A,kunishuClan!B:B),"浪人")))</f>
      </c>
      <c r="F1636" s="4">
        <v>0</v>
      </c>
      <c r="G1636" s="4">
        <v>64</v>
      </c>
      <c r="H1636" s="12" t="str">
        <f t="array" ref="H1636">IF(G1636:G5678="","",_xlfn.XLOOKUP(G1636:G5678,castles_state!A:A,castles_state!D:D,"見つかりません"))</f>
      </c>
      <c r="I1636" s="4"/>
      <c r="J1636" s="12" t="str">
        <f t="array" ref="J1636">IF(I1636:I5678="","",_xlfn.XLOOKUP(I1636:I5678,'参照_姫'!A:A,'参照_姫'!B:B,"見つかりません"))</f>
      </c>
      <c r="K1636" s="4">
        <v>95</v>
      </c>
      <c r="L1636" s="4">
        <v>0</v>
      </c>
      <c r="M1636" s="4"/>
      <c r="N1636" s="4"/>
      <c r="O1636" s="4"/>
      <c r="P1636" s="12" t="str">
        <f t="array" ref="P1636">IF(O1636:O5678="","",_xlfn.XLOOKUP(O1636:O5678,'参照_官位'!A:A,'参照_官位'!B:B,""))</f>
      </c>
      <c r="Q1636" s="12" t="str">
        <f t="array" ref="Q1636">IF(A1636:A5678="","",IFERROR(_xlfn.XLOOKUP(A1636:A5678,castles_state!K:K,castles_state!D:D)&amp;"主",IFERROR(_xlfn.XLOOKUP(A1636:A5678,kunishuClan!D:D,kunishuClan!B:B)&amp;"当主","")))</f>
      </c>
    </row>
    <row r="1637" ht="15.75" customHeight="1">
      <c r="A1637" s="4">
        <v>1037002</v>
      </c>
      <c r="B1637" s="12" t="str">
        <f t="array" ref="B1637">IF(A1637:A5679="","",_xlfn.XLOOKUP(A1637:A5679,'参照_武将'!A:A,'参照_武将'!B:B,"見つかりません"))</f>
      </c>
      <c r="C1637" s="4" t="s">
        <v>209</v>
      </c>
      <c r="D1637" s="4">
        <v>32</v>
      </c>
      <c r="E1637" s="12" t="str">
        <f t="array" ref="E1637">IF(D1637:D5679="","",IFERROR(_xlfn.XLOOKUP(D1637:D5679,'参照_勢力'!A:A,'参照_勢力'!B:B),IFERROR(_xlfn.XLOOKUP(F1637:F5679,kunishuClan!A:A,kunishuClan!B:B),"浪人")))</f>
      </c>
      <c r="F1637" s="4">
        <v>0</v>
      </c>
      <c r="G1637" s="4">
        <v>64</v>
      </c>
      <c r="H1637" s="12" t="str">
        <f t="array" ref="H1637">IF(G1637:G5679="","",_xlfn.XLOOKUP(G1637:G5679,castles_state!A:A,castles_state!D:D,"見つかりません"))</f>
      </c>
      <c r="I1637" s="4"/>
      <c r="J1637" s="12" t="str">
        <f t="array" ref="J1637">IF(I1637:I5679="","",_xlfn.XLOOKUP(I1637:I5679,'参照_姫'!A:A,'参照_姫'!B:B,"見つかりません"))</f>
      </c>
      <c r="K1637" s="4">
        <v>95</v>
      </c>
      <c r="L1637" s="4">
        <v>0</v>
      </c>
      <c r="M1637" s="4"/>
      <c r="N1637" s="4"/>
      <c r="O1637" s="4"/>
      <c r="P1637" s="12" t="str">
        <f t="array" ref="P1637">IF(O1637:O5679="","",_xlfn.XLOOKUP(O1637:O5679,'参照_官位'!A:A,'参照_官位'!B:B,""))</f>
      </c>
      <c r="Q1637" s="12" t="str">
        <f t="array" ref="Q1637">IF(A1637:A5679="","",IFERROR(_xlfn.XLOOKUP(A1637:A5679,castles_state!K:K,castles_state!D:D)&amp;"主",IFERROR(_xlfn.XLOOKUP(A1637:A5679,kunishuClan!D:D,kunishuClan!B:B)&amp;"当主","")))</f>
      </c>
    </row>
    <row r="1638" ht="15.75" customHeight="1">
      <c r="A1638" s="4">
        <v>1037003</v>
      </c>
      <c r="B1638" s="12" t="str">
        <f t="array" ref="B1638">IF(A1638:A5680="","",_xlfn.XLOOKUP(A1638:A5680,'参照_武将'!A:A,'参照_武将'!B:B,"見つかりません"))</f>
      </c>
      <c r="C1638" s="4" t="s">
        <v>209</v>
      </c>
      <c r="D1638" s="4">
        <v>32</v>
      </c>
      <c r="E1638" s="12" t="str">
        <f t="array" ref="E1638">IF(D1638:D5680="","",IFERROR(_xlfn.XLOOKUP(D1638:D5680,'参照_勢力'!A:A,'参照_勢力'!B:B),IFERROR(_xlfn.XLOOKUP(F1638:F5680,kunishuClan!A:A,kunishuClan!B:B),"浪人")))</f>
      </c>
      <c r="F1638" s="4">
        <v>0</v>
      </c>
      <c r="G1638" s="4">
        <v>64</v>
      </c>
      <c r="H1638" s="12" t="str">
        <f t="array" ref="H1638">IF(G1638:G5680="","",_xlfn.XLOOKUP(G1638:G5680,castles_state!A:A,castles_state!D:D,"見つかりません"))</f>
      </c>
      <c r="I1638" s="4"/>
      <c r="J1638" s="12" t="str">
        <f t="array" ref="J1638">IF(I1638:I5680="","",_xlfn.XLOOKUP(I1638:I5680,'参照_姫'!A:A,'参照_姫'!B:B,"見つかりません"))</f>
      </c>
      <c r="K1638" s="4">
        <v>95</v>
      </c>
      <c r="L1638" s="4">
        <v>0</v>
      </c>
      <c r="M1638" s="4"/>
      <c r="N1638" s="4"/>
      <c r="O1638" s="4"/>
      <c r="P1638" s="12" t="str">
        <f t="array" ref="P1638">IF(O1638:O5680="","",_xlfn.XLOOKUP(O1638:O5680,'参照_官位'!A:A,'参照_官位'!B:B,""))</f>
      </c>
      <c r="Q1638" s="12" t="str">
        <f t="array" ref="Q1638">IF(A1638:A5680="","",IFERROR(_xlfn.XLOOKUP(A1638:A5680,castles_state!K:K,castles_state!D:D)&amp;"主",IFERROR(_xlfn.XLOOKUP(A1638:A5680,kunishuClan!D:D,kunishuClan!B:B)&amp;"当主","")))</f>
      </c>
    </row>
    <row r="1639" ht="15.75" customHeight="1">
      <c r="A1639" s="4">
        <v>1037004</v>
      </c>
      <c r="B1639" s="12" t="str">
        <f t="array" ref="B1639">IF(A1639:A5681="","",_xlfn.XLOOKUP(A1639:A5681,'参照_武将'!A:A,'参照_武将'!B:B,"見つかりません"))</f>
      </c>
      <c r="C1639" s="4" t="s">
        <v>209</v>
      </c>
      <c r="D1639" s="4">
        <v>32</v>
      </c>
      <c r="E1639" s="12" t="str">
        <f t="array" ref="E1639">IF(D1639:D5681="","",IFERROR(_xlfn.XLOOKUP(D1639:D5681,'参照_勢力'!A:A,'参照_勢力'!B:B),IFERROR(_xlfn.XLOOKUP(F1639:F5681,kunishuClan!A:A,kunishuClan!B:B),"浪人")))</f>
      </c>
      <c r="F1639" s="4">
        <v>0</v>
      </c>
      <c r="G1639" s="4">
        <v>64</v>
      </c>
      <c r="H1639" s="12" t="str">
        <f t="array" ref="H1639">IF(G1639:G5681="","",_xlfn.XLOOKUP(G1639:G5681,castles_state!A:A,castles_state!D:D,"見つかりません"))</f>
      </c>
      <c r="I1639" s="4"/>
      <c r="J1639" s="12" t="str">
        <f t="array" ref="J1639">IF(I1639:I5681="","",_xlfn.XLOOKUP(I1639:I5681,'参照_姫'!A:A,'参照_姫'!B:B,"見つかりません"))</f>
      </c>
      <c r="K1639" s="4">
        <v>95</v>
      </c>
      <c r="L1639" s="4">
        <v>0</v>
      </c>
      <c r="M1639" s="4"/>
      <c r="N1639" s="4"/>
      <c r="O1639" s="4"/>
      <c r="P1639" s="12" t="str">
        <f t="array" ref="P1639">IF(O1639:O5681="","",_xlfn.XLOOKUP(O1639:O5681,'参照_官位'!A:A,'参照_官位'!B:B,""))</f>
      </c>
      <c r="Q1639" s="12" t="str">
        <f t="array" ref="Q1639">IF(A1639:A5681="","",IFERROR(_xlfn.XLOOKUP(A1639:A5681,castles_state!K:K,castles_state!D:D)&amp;"主",IFERROR(_xlfn.XLOOKUP(A1639:A5681,kunishuClan!D:D,kunishuClan!B:B)&amp;"当主","")))</f>
      </c>
    </row>
    <row r="1640" ht="15.75" customHeight="1">
      <c r="A1640" s="4">
        <v>1037005</v>
      </c>
      <c r="B1640" s="12" t="str">
        <f t="array" ref="B1640">IF(A1640:A5682="","",_xlfn.XLOOKUP(A1640:A5682,'参照_武将'!A:A,'参照_武将'!B:B,"見つかりません"))</f>
      </c>
      <c r="C1640" s="4" t="s">
        <v>113</v>
      </c>
      <c r="D1640" s="4">
        <v>27</v>
      </c>
      <c r="E1640" s="12" t="str">
        <f t="array" ref="E1640">IF(D1640:D5682="","",IFERROR(_xlfn.XLOOKUP(D1640:D5682,'参照_勢力'!A:A,'参照_勢力'!B:B),IFERROR(_xlfn.XLOOKUP(F1640:F5682,kunishuClan!A:A,kunishuClan!B:B),"浪人")))</f>
      </c>
      <c r="F1640" s="4">
        <v>0</v>
      </c>
      <c r="G1640" s="4">
        <v>46</v>
      </c>
      <c r="H1640" s="12" t="str">
        <f t="array" ref="H1640">IF(G1640:G5682="","",_xlfn.XLOOKUP(G1640:G5682,castles_state!A:A,castles_state!D:D,"見つかりません"))</f>
      </c>
      <c r="I1640" s="4"/>
      <c r="J1640" s="12" t="str">
        <f t="array" ref="J1640">IF(I1640:I5682="","",_xlfn.XLOOKUP(I1640:I5682,'参照_姫'!A:A,'参照_姫'!B:B,"見つかりません"))</f>
      </c>
      <c r="K1640" s="4">
        <v>80</v>
      </c>
      <c r="L1640" s="4">
        <v>0</v>
      </c>
      <c r="M1640" s="4"/>
      <c r="N1640" s="4"/>
      <c r="O1640" s="4"/>
      <c r="P1640" s="12" t="str">
        <f t="array" ref="P1640">IF(O1640:O5682="","",_xlfn.XLOOKUP(O1640:O5682,'参照_官位'!A:A,'参照_官位'!B:B,""))</f>
      </c>
      <c r="Q1640" s="12" t="str">
        <f t="array" ref="Q1640">IF(A1640:A5682="","",IFERROR(_xlfn.XLOOKUP(A1640:A5682,castles_state!K:K,castles_state!D:D)&amp;"主",IFERROR(_xlfn.XLOOKUP(A1640:A5682,kunishuClan!D:D,kunishuClan!B:B)&amp;"当主","")))</f>
      </c>
    </row>
    <row r="1641" ht="15.75" customHeight="1">
      <c r="A1641" s="4">
        <v>1037006</v>
      </c>
      <c r="B1641" s="12" t="str">
        <f t="array" ref="B1641">IF(A1641:A5683="","",_xlfn.XLOOKUP(A1641:A5683,'参照_武将'!A:A,'参照_武将'!B:B,"見つかりません"))</f>
      </c>
      <c r="C1641" s="4" t="s">
        <v>113</v>
      </c>
      <c r="D1641" s="4">
        <v>4</v>
      </c>
      <c r="E1641" s="12" t="str">
        <f t="array" ref="E1641">IF(D1641:D5683="","",IFERROR(_xlfn.XLOOKUP(D1641:D5683,'参照_勢力'!A:A,'参照_勢力'!B:B),IFERROR(_xlfn.XLOOKUP(F1641:F5683,kunishuClan!A:A,kunishuClan!B:B),"浪人")))</f>
      </c>
      <c r="F1641" s="4">
        <v>0</v>
      </c>
      <c r="G1641" s="4">
        <v>67</v>
      </c>
      <c r="H1641" s="12" t="str">
        <f t="array" ref="H1641">IF(G1641:G5683="","",_xlfn.XLOOKUP(G1641:G5683,castles_state!A:A,castles_state!D:D,"見つかりません"))</f>
      </c>
      <c r="I1641" s="4"/>
      <c r="J1641" s="12" t="str">
        <f t="array" ref="J1641">IF(I1641:I5683="","",_xlfn.XLOOKUP(I1641:I5683,'参照_姫'!A:A,'参照_姫'!B:B,"見つかりません"))</f>
      </c>
      <c r="K1641" s="4">
        <v>90</v>
      </c>
      <c r="L1641" s="4">
        <v>0</v>
      </c>
      <c r="M1641" s="4"/>
      <c r="N1641" s="4"/>
      <c r="O1641" s="4"/>
      <c r="P1641" s="12" t="str">
        <f t="array" ref="P1641">IF(O1641:O5683="","",_xlfn.XLOOKUP(O1641:O5683,'参照_官位'!A:A,'参照_官位'!B:B,""))</f>
      </c>
      <c r="Q1641" s="12" t="str">
        <f t="array" ref="Q1641">IF(A1641:A5683="","",IFERROR(_xlfn.XLOOKUP(A1641:A5683,castles_state!K:K,castles_state!D:D)&amp;"主",IFERROR(_xlfn.XLOOKUP(A1641:A5683,kunishuClan!D:D,kunishuClan!B:B)&amp;"当主","")))</f>
      </c>
    </row>
    <row r="1642" ht="15.75" customHeight="1">
      <c r="A1642" s="4">
        <v>1037007</v>
      </c>
      <c r="B1642" s="12" t="str">
        <f t="array" ref="B1642">IF(A1642:A5684="","",_xlfn.XLOOKUP(A1642:A5684,'参照_武将'!A:A,'参照_武将'!B:B,"見つかりません"))</f>
      </c>
      <c r="C1642" s="4" t="s">
        <v>113</v>
      </c>
      <c r="D1642" s="4">
        <v>4</v>
      </c>
      <c r="E1642" s="12" t="str">
        <f t="array" ref="E1642">IF(D1642:D5684="","",IFERROR(_xlfn.XLOOKUP(D1642:D5684,'参照_勢力'!A:A,'参照_勢力'!B:B),IFERROR(_xlfn.XLOOKUP(F1642:F5684,kunishuClan!A:A,kunishuClan!B:B),"浪人")))</f>
      </c>
      <c r="F1642" s="4">
        <v>0</v>
      </c>
      <c r="G1642" s="4">
        <v>67</v>
      </c>
      <c r="H1642" s="12" t="str">
        <f t="array" ref="H1642">IF(G1642:G5684="","",_xlfn.XLOOKUP(G1642:G5684,castles_state!A:A,castles_state!D:D,"見つかりません"))</f>
      </c>
      <c r="I1642" s="4"/>
      <c r="J1642" s="12" t="str">
        <f t="array" ref="J1642">IF(I1642:I5684="","",_xlfn.XLOOKUP(I1642:I5684,'参照_姫'!A:A,'参照_姫'!B:B,"見つかりません"))</f>
      </c>
      <c r="K1642" s="4">
        <v>90</v>
      </c>
      <c r="L1642" s="4">
        <v>0</v>
      </c>
      <c r="M1642" s="4"/>
      <c r="N1642" s="4"/>
      <c r="O1642" s="4"/>
      <c r="P1642" s="12" t="str">
        <f t="array" ref="P1642">IF(O1642:O5684="","",_xlfn.XLOOKUP(O1642:O5684,'参照_官位'!A:A,'参照_官位'!B:B,""))</f>
      </c>
      <c r="Q1642" s="12" t="str">
        <f t="array" ref="Q1642">IF(A1642:A5684="","",IFERROR(_xlfn.XLOOKUP(A1642:A5684,castles_state!K:K,castles_state!D:D)&amp;"主",IFERROR(_xlfn.XLOOKUP(A1642:A5684,kunishuClan!D:D,kunishuClan!B:B)&amp;"当主","")))</f>
      </c>
    </row>
    <row r="1643" ht="15.75" customHeight="1">
      <c r="A1643" s="4">
        <v>1037008</v>
      </c>
      <c r="B1643" s="12" t="str">
        <f t="array" ref="B1643">IF(A1643:A5685="","",_xlfn.XLOOKUP(A1643:A5685,'参照_武将'!A:A,'参照_武将'!B:B,"見つかりません"))</f>
      </c>
      <c r="C1643" s="4" t="s">
        <v>113</v>
      </c>
      <c r="D1643" s="4">
        <v>4</v>
      </c>
      <c r="E1643" s="12" t="str">
        <f t="array" ref="E1643">IF(D1643:D5685="","",IFERROR(_xlfn.XLOOKUP(D1643:D5685,'参照_勢力'!A:A,'参照_勢力'!B:B),IFERROR(_xlfn.XLOOKUP(F1643:F5685,kunishuClan!A:A,kunishuClan!B:B),"浪人")))</f>
      </c>
      <c r="F1643" s="4">
        <v>0</v>
      </c>
      <c r="G1643" s="4">
        <v>67</v>
      </c>
      <c r="H1643" s="12" t="str">
        <f t="array" ref="H1643">IF(G1643:G5685="","",_xlfn.XLOOKUP(G1643:G5685,castles_state!A:A,castles_state!D:D,"見つかりません"))</f>
      </c>
      <c r="I1643" s="4"/>
      <c r="J1643" s="12" t="str">
        <f t="array" ref="J1643">IF(I1643:I5685="","",_xlfn.XLOOKUP(I1643:I5685,'参照_姫'!A:A,'参照_姫'!B:B,"見つかりません"))</f>
      </c>
      <c r="K1643" s="4">
        <v>80</v>
      </c>
      <c r="L1643" s="4">
        <v>0</v>
      </c>
      <c r="M1643" s="4"/>
      <c r="N1643" s="4"/>
      <c r="O1643" s="4"/>
      <c r="P1643" s="12" t="str">
        <f t="array" ref="P1643">IF(O1643:O5685="","",_xlfn.XLOOKUP(O1643:O5685,'参照_官位'!A:A,'参照_官位'!B:B,""))</f>
      </c>
      <c r="Q1643" s="12" t="str">
        <f t="array" ref="Q1643">IF(A1643:A5685="","",IFERROR(_xlfn.XLOOKUP(A1643:A5685,castles_state!K:K,castles_state!D:D)&amp;"主",IFERROR(_xlfn.XLOOKUP(A1643:A5685,kunishuClan!D:D,kunishuClan!B:B)&amp;"当主","")))</f>
      </c>
    </row>
    <row r="1644" ht="15.75" customHeight="1">
      <c r="A1644" s="4">
        <v>1037009</v>
      </c>
      <c r="B1644" s="12" t="str">
        <f t="array" ref="B1644">IF(A1644:A5686="","",_xlfn.XLOOKUP(A1644:A5686,'参照_武将'!A:A,'参照_武将'!B:B,"見つかりません"))</f>
      </c>
      <c r="C1644" s="4" t="s">
        <v>209</v>
      </c>
      <c r="D1644" s="4">
        <v>32</v>
      </c>
      <c r="E1644" s="12" t="str">
        <f t="array" ref="E1644">IF(D1644:D5686="","",IFERROR(_xlfn.XLOOKUP(D1644:D5686,'参照_勢力'!A:A,'参照_勢力'!B:B),IFERROR(_xlfn.XLOOKUP(F1644:F5686,kunishuClan!A:A,kunishuClan!B:B),"浪人")))</f>
      </c>
      <c r="F1644" s="4">
        <v>0</v>
      </c>
      <c r="G1644" s="4">
        <v>64</v>
      </c>
      <c r="H1644" s="12" t="str">
        <f t="array" ref="H1644">IF(G1644:G5686="","",_xlfn.XLOOKUP(G1644:G5686,castles_state!A:A,castles_state!D:D,"見つかりません"))</f>
      </c>
      <c r="I1644" s="4"/>
      <c r="J1644" s="12" t="str">
        <f t="array" ref="J1644">IF(I1644:I5686="","",_xlfn.XLOOKUP(I1644:I5686,'参照_姫'!A:A,'参照_姫'!B:B,"見つかりません"))</f>
      </c>
      <c r="K1644" s="4">
        <v>95</v>
      </c>
      <c r="L1644" s="4">
        <v>0</v>
      </c>
      <c r="M1644" s="4"/>
      <c r="N1644" s="4"/>
      <c r="O1644" s="4"/>
      <c r="P1644" s="12" t="str">
        <f t="array" ref="P1644">IF(O1644:O5686="","",_xlfn.XLOOKUP(O1644:O5686,'参照_官位'!A:A,'参照_官位'!B:B,""))</f>
      </c>
      <c r="Q1644" s="12" t="str">
        <f t="array" ref="Q1644">IF(A1644:A5686="","",IFERROR(_xlfn.XLOOKUP(A1644:A5686,castles_state!K:K,castles_state!D:D)&amp;"主",IFERROR(_xlfn.XLOOKUP(A1644:A5686,kunishuClan!D:D,kunishuClan!B:B)&amp;"当主","")))</f>
      </c>
    </row>
    <row r="1645" ht="15.75" customHeight="1">
      <c r="A1645" s="4">
        <v>1037010</v>
      </c>
      <c r="B1645" s="12" t="str">
        <f t="array" ref="B1645">IF(A1645:A5687="","",_xlfn.XLOOKUP(A1645:A5687,'参照_武将'!A:A,'参照_武将'!B:B,"見つかりません"))</f>
      </c>
      <c r="C1645" s="4" t="s">
        <v>209</v>
      </c>
      <c r="D1645" s="4">
        <v>32</v>
      </c>
      <c r="E1645" s="12" t="str">
        <f t="array" ref="E1645">IF(D1645:D5687="","",IFERROR(_xlfn.XLOOKUP(D1645:D5687,'参照_勢力'!A:A,'参照_勢力'!B:B),IFERROR(_xlfn.XLOOKUP(F1645:F5687,kunishuClan!A:A,kunishuClan!B:B),"浪人")))</f>
      </c>
      <c r="F1645" s="4">
        <v>0</v>
      </c>
      <c r="G1645" s="4">
        <v>64</v>
      </c>
      <c r="H1645" s="12" t="str">
        <f t="array" ref="H1645">IF(G1645:G5687="","",_xlfn.XLOOKUP(G1645:G5687,castles_state!A:A,castles_state!D:D,"見つかりません"))</f>
      </c>
      <c r="I1645" s="4"/>
      <c r="J1645" s="12" t="str">
        <f t="array" ref="J1645">IF(I1645:I5687="","",_xlfn.XLOOKUP(I1645:I5687,'参照_姫'!A:A,'参照_姫'!B:B,"見つかりません"))</f>
      </c>
      <c r="K1645" s="4">
        <v>95</v>
      </c>
      <c r="L1645" s="4">
        <v>0</v>
      </c>
      <c r="M1645" s="4"/>
      <c r="N1645" s="4"/>
      <c r="O1645" s="4"/>
      <c r="P1645" s="12" t="str">
        <f t="array" ref="P1645">IF(O1645:O5687="","",_xlfn.XLOOKUP(O1645:O5687,'参照_官位'!A:A,'参照_官位'!B:B,""))</f>
      </c>
      <c r="Q1645" s="12" t="str">
        <f t="array" ref="Q1645">IF(A1645:A5687="","",IFERROR(_xlfn.XLOOKUP(A1645:A5687,castles_state!K:K,castles_state!D:D)&amp;"主",IFERROR(_xlfn.XLOOKUP(A1645:A5687,kunishuClan!D:D,kunishuClan!B:B)&amp;"当主","")))</f>
      </c>
    </row>
    <row r="1646" ht="15.75" customHeight="1">
      <c r="A1646" s="4">
        <v>1037011</v>
      </c>
      <c r="B1646" s="12" t="str">
        <f t="array" ref="B1646">IF(A1646:A5688="","",_xlfn.XLOOKUP(A1646:A5688,'参照_武将'!A:A,'参照_武将'!B:B,"見つかりません"))</f>
      </c>
      <c r="C1646" s="4" t="s">
        <v>209</v>
      </c>
      <c r="D1646" s="4">
        <v>32</v>
      </c>
      <c r="E1646" s="12" t="str">
        <f t="array" ref="E1646">IF(D1646:D5688="","",IFERROR(_xlfn.XLOOKUP(D1646:D5688,'参照_勢力'!A:A,'参照_勢力'!B:B),IFERROR(_xlfn.XLOOKUP(F1646:F5688,kunishuClan!A:A,kunishuClan!B:B),"浪人")))</f>
      </c>
      <c r="F1646" s="4">
        <v>0</v>
      </c>
      <c r="G1646" s="4">
        <v>64</v>
      </c>
      <c r="H1646" s="12" t="str">
        <f t="array" ref="H1646">IF(G1646:G5688="","",_xlfn.XLOOKUP(G1646:G5688,castles_state!A:A,castles_state!D:D,"見つかりません"))</f>
      </c>
      <c r="I1646" s="4"/>
      <c r="J1646" s="12" t="str">
        <f t="array" ref="J1646">IF(I1646:I5688="","",_xlfn.XLOOKUP(I1646:I5688,'参照_姫'!A:A,'参照_姫'!B:B,"見つかりません"))</f>
      </c>
      <c r="K1646" s="4">
        <v>95</v>
      </c>
      <c r="L1646" s="4">
        <v>0</v>
      </c>
      <c r="M1646" s="4"/>
      <c r="N1646" s="4"/>
      <c r="O1646" s="4"/>
      <c r="P1646" s="12" t="str">
        <f t="array" ref="P1646">IF(O1646:O5688="","",_xlfn.XLOOKUP(O1646:O5688,'参照_官位'!A:A,'参照_官位'!B:B,""))</f>
      </c>
      <c r="Q1646" s="12" t="str">
        <f t="array" ref="Q1646">IF(A1646:A5688="","",IFERROR(_xlfn.XLOOKUP(A1646:A5688,castles_state!K:K,castles_state!D:D)&amp;"主",IFERROR(_xlfn.XLOOKUP(A1646:A5688,kunishuClan!D:D,kunishuClan!B:B)&amp;"当主","")))</f>
      </c>
    </row>
    <row r="1647" ht="15.75" customHeight="1">
      <c r="A1647" s="4">
        <v>1037012</v>
      </c>
      <c r="B1647" s="12" t="str">
        <f t="array" ref="B1647">IF(A1647:A5689="","",_xlfn.XLOOKUP(A1647:A5689,'参照_武将'!A:A,'参照_武将'!B:B,"見つかりません"))</f>
      </c>
      <c r="C1647" s="4" t="s">
        <v>209</v>
      </c>
      <c r="D1647" s="4">
        <v>32</v>
      </c>
      <c r="E1647" s="12" t="str">
        <f t="array" ref="E1647">IF(D1647:D5689="","",IFERROR(_xlfn.XLOOKUP(D1647:D5689,'参照_勢力'!A:A,'参照_勢力'!B:B),IFERROR(_xlfn.XLOOKUP(F1647:F5689,kunishuClan!A:A,kunishuClan!B:B),"浪人")))</f>
      </c>
      <c r="F1647" s="4">
        <v>0</v>
      </c>
      <c r="G1647" s="4">
        <v>64</v>
      </c>
      <c r="H1647" s="12" t="str">
        <f t="array" ref="H1647">IF(G1647:G5689="","",_xlfn.XLOOKUP(G1647:G5689,castles_state!A:A,castles_state!D:D,"見つかりません"))</f>
      </c>
      <c r="I1647" s="4"/>
      <c r="J1647" s="12" t="str">
        <f t="array" ref="J1647">IF(I1647:I5689="","",_xlfn.XLOOKUP(I1647:I5689,'参照_姫'!A:A,'参照_姫'!B:B,"見つかりません"))</f>
      </c>
      <c r="K1647" s="4">
        <v>95</v>
      </c>
      <c r="L1647" s="4">
        <v>0</v>
      </c>
      <c r="M1647" s="4"/>
      <c r="N1647" s="4"/>
      <c r="O1647" s="4"/>
      <c r="P1647" s="12" t="str">
        <f t="array" ref="P1647">IF(O1647:O5689="","",_xlfn.XLOOKUP(O1647:O5689,'参照_官位'!A:A,'参照_官位'!B:B,""))</f>
      </c>
      <c r="Q1647" s="12" t="str">
        <f t="array" ref="Q1647">IF(A1647:A5689="","",IFERROR(_xlfn.XLOOKUP(A1647:A5689,castles_state!K:K,castles_state!D:D)&amp;"主",IFERROR(_xlfn.XLOOKUP(A1647:A5689,kunishuClan!D:D,kunishuClan!B:B)&amp;"当主","")))</f>
      </c>
    </row>
    <row r="1648" ht="15.75" customHeight="1">
      <c r="A1648" s="4">
        <v>1037013</v>
      </c>
      <c r="B1648" s="12" t="str">
        <f t="array" ref="B1648">IF(A1648:A5690="","",_xlfn.XLOOKUP(A1648:A5690,'参照_武将'!A:A,'参照_武将'!B:B,"見つかりません"))</f>
      </c>
      <c r="C1648" s="4" t="s">
        <v>209</v>
      </c>
      <c r="D1648" s="4">
        <v>32</v>
      </c>
      <c r="E1648" s="12" t="str">
        <f t="array" ref="E1648">IF(D1648:D5690="","",IFERROR(_xlfn.XLOOKUP(D1648:D5690,'参照_勢力'!A:A,'参照_勢力'!B:B),IFERROR(_xlfn.XLOOKUP(F1648:F5690,kunishuClan!A:A,kunishuClan!B:B),"浪人")))</f>
      </c>
      <c r="F1648" s="4">
        <v>0</v>
      </c>
      <c r="G1648" s="4">
        <v>64</v>
      </c>
      <c r="H1648" s="12" t="str">
        <f t="array" ref="H1648">IF(G1648:G5690="","",_xlfn.XLOOKUP(G1648:G5690,castles_state!A:A,castles_state!D:D,"見つかりません"))</f>
      </c>
      <c r="I1648" s="4"/>
      <c r="J1648" s="12" t="str">
        <f t="array" ref="J1648">IF(I1648:I5690="","",_xlfn.XLOOKUP(I1648:I5690,'参照_姫'!A:A,'参照_姫'!B:B,"見つかりません"))</f>
      </c>
      <c r="K1648" s="4">
        <v>90</v>
      </c>
      <c r="L1648" s="4">
        <v>500</v>
      </c>
      <c r="M1648" s="4"/>
      <c r="N1648" s="4"/>
      <c r="O1648" s="4"/>
      <c r="P1648" s="12" t="str">
        <f t="array" ref="P1648">IF(O1648:O5690="","",_xlfn.XLOOKUP(O1648:O5690,'参照_官位'!A:A,'参照_官位'!B:B,""))</f>
      </c>
      <c r="Q1648" s="12" t="str">
        <f t="array" ref="Q1648">IF(A1648:A5690="","",IFERROR(_xlfn.XLOOKUP(A1648:A5690,castles_state!K:K,castles_state!D:D)&amp;"主",IFERROR(_xlfn.XLOOKUP(A1648:A5690,kunishuClan!D:D,kunishuClan!B:B)&amp;"当主","")))</f>
      </c>
    </row>
    <row r="1649" ht="15.75" customHeight="1">
      <c r="A1649" s="4">
        <v>1037014</v>
      </c>
      <c r="B1649" s="12" t="str">
        <f t="array" ref="B1649">IF(A1649:A5691="","",_xlfn.XLOOKUP(A1649:A5691,'参照_武将'!A:A,'参照_武将'!B:B,"見つかりません"))</f>
      </c>
      <c r="C1649" s="4" t="s">
        <v>209</v>
      </c>
      <c r="D1649" s="4">
        <v>0</v>
      </c>
      <c r="E1649" s="12" t="str">
        <f t="array" ref="E1649">IF(D1649:D5691="","",IFERROR(_xlfn.XLOOKUP(D1649:D5691,'参照_勢力'!A:A,'参照_勢力'!B:B),IFERROR(_xlfn.XLOOKUP(F1649:F5691,kunishuClan!A:A,kunishuClan!B:B),"浪人")))</f>
      </c>
      <c r="F1649" s="4">
        <v>0</v>
      </c>
      <c r="G1649" s="4">
        <v>0</v>
      </c>
      <c r="H1649" s="12" t="str">
        <f t="array" ref="H1649">IF(G1649:G5691="","",_xlfn.XLOOKUP(G1649:G5691,castles_state!A:A,castles_state!D:D,"見つかりません"))</f>
      </c>
      <c r="I1649" s="4"/>
      <c r="J1649" s="12" t="str">
        <f t="array" ref="J1649">IF(I1649:I5691="","",_xlfn.XLOOKUP(I1649:I5691,'参照_姫'!A:A,'参照_姫'!B:B,"見つかりません"))</f>
      </c>
      <c r="K1649" s="4">
        <v>50</v>
      </c>
      <c r="L1649" s="4">
        <v>200</v>
      </c>
      <c r="M1649" s="4"/>
      <c r="N1649" s="4" t="b">
        <v>1</v>
      </c>
      <c r="O1649" s="4"/>
      <c r="P1649" s="12" t="str">
        <f t="array" ref="P1649">IF(O1649:O5691="","",_xlfn.XLOOKUP(O1649:O5691,'参照_官位'!A:A,'参照_官位'!B:B,""))</f>
      </c>
      <c r="Q1649" s="12" t="str">
        <f t="array" ref="Q1649">IF(A1649:A5691="","",IFERROR(_xlfn.XLOOKUP(A1649:A5691,castles_state!K:K,castles_state!D:D)&amp;"主",IFERROR(_xlfn.XLOOKUP(A1649:A5691,kunishuClan!D:D,kunishuClan!B:B)&amp;"当主","")))</f>
      </c>
    </row>
    <row r="1650" ht="15.75" customHeight="1">
      <c r="A1650" s="4">
        <v>1037015</v>
      </c>
      <c r="B1650" s="12" t="str">
        <f t="array" ref="B1650">IF(A1650:A5692="","",_xlfn.XLOOKUP(A1650:A5692,'参照_武将'!A:A,'参照_武将'!B:B,"見つかりません"))</f>
      </c>
      <c r="C1650" s="4" t="s">
        <v>209</v>
      </c>
      <c r="D1650" s="4">
        <v>32</v>
      </c>
      <c r="E1650" s="12" t="str">
        <f t="array" ref="E1650">IF(D1650:D5692="","",IFERROR(_xlfn.XLOOKUP(D1650:D5692,'参照_勢力'!A:A,'参照_勢力'!B:B),IFERROR(_xlfn.XLOOKUP(F1650:F5692,kunishuClan!A:A,kunishuClan!B:B),"浪人")))</f>
      </c>
      <c r="F1650" s="4">
        <v>0</v>
      </c>
      <c r="G1650" s="4">
        <v>64</v>
      </c>
      <c r="H1650" s="12" t="str">
        <f t="array" ref="H1650">IF(G1650:G5692="","",_xlfn.XLOOKUP(G1650:G5692,castles_state!A:A,castles_state!D:D,"見つかりません"))</f>
      </c>
      <c r="I1650" s="4"/>
      <c r="J1650" s="12" t="str">
        <f t="array" ref="J1650">IF(I1650:I5692="","",_xlfn.XLOOKUP(I1650:I5692,'参照_姫'!A:A,'参照_姫'!B:B,"見つかりません"))</f>
      </c>
      <c r="K1650" s="4">
        <v>95</v>
      </c>
      <c r="L1650" s="4">
        <v>0</v>
      </c>
      <c r="M1650" s="4"/>
      <c r="N1650" s="4"/>
      <c r="O1650" s="4"/>
      <c r="P1650" s="12" t="str">
        <f t="array" ref="P1650">IF(O1650:O5692="","",_xlfn.XLOOKUP(O1650:O5692,'参照_官位'!A:A,'参照_官位'!B:B,""))</f>
      </c>
      <c r="Q1650" s="12" t="str">
        <f t="array" ref="Q1650">IF(A1650:A5692="","",IFERROR(_xlfn.XLOOKUP(A1650:A5692,castles_state!K:K,castles_state!D:D)&amp;"主",IFERROR(_xlfn.XLOOKUP(A1650:A5692,kunishuClan!D:D,kunishuClan!B:B)&amp;"当主","")))</f>
      </c>
    </row>
    <row r="1651" ht="15.75" customHeight="1">
      <c r="A1651" s="4">
        <v>1037016</v>
      </c>
      <c r="B1651" s="12" t="str">
        <f t="array" ref="B1651">IF(A1651:A5693="","",_xlfn.XLOOKUP(A1651:A5693,'参照_武将'!A:A,'参照_武将'!B:B,"見つかりません"))</f>
      </c>
      <c r="C1651" s="4" t="s">
        <v>209</v>
      </c>
      <c r="D1651" s="4">
        <v>4</v>
      </c>
      <c r="E1651" s="12" t="str">
        <f t="array" ref="E1651">IF(D1651:D5693="","",IFERROR(_xlfn.XLOOKUP(D1651:D5693,'参照_勢力'!A:A,'参照_勢力'!B:B),IFERROR(_xlfn.XLOOKUP(F1651:F5693,kunishuClan!A:A,kunishuClan!B:B),"浪人")))</f>
      </c>
      <c r="F1651" s="4">
        <v>0</v>
      </c>
      <c r="G1651" s="4">
        <v>69</v>
      </c>
      <c r="H1651" s="12" t="str">
        <f t="array" ref="H1651">IF(G1651:G5693="","",_xlfn.XLOOKUP(G1651:G5693,castles_state!A:A,castles_state!D:D,"見つかりません"))</f>
      </c>
      <c r="I1651" s="4"/>
      <c r="J1651" s="12" t="str">
        <f t="array" ref="J1651">IF(I1651:I5693="","",_xlfn.XLOOKUP(I1651:I5693,'参照_姫'!A:A,'参照_姫'!B:B,"見つかりません"))</f>
      </c>
      <c r="K1651" s="4">
        <v>95</v>
      </c>
      <c r="L1651" s="4">
        <v>0</v>
      </c>
      <c r="M1651" s="4"/>
      <c r="N1651" s="4"/>
      <c r="O1651" s="4"/>
      <c r="P1651" s="12" t="str">
        <f t="array" ref="P1651">IF(O1651:O5693="","",_xlfn.XLOOKUP(O1651:O5693,'参照_官位'!A:A,'参照_官位'!B:B,""))</f>
      </c>
      <c r="Q1651" s="12" t="str">
        <f t="array" ref="Q1651">IF(A1651:A5693="","",IFERROR(_xlfn.XLOOKUP(A1651:A5693,castles_state!K:K,castles_state!D:D)&amp;"主",IFERROR(_xlfn.XLOOKUP(A1651:A5693,kunishuClan!D:D,kunishuClan!B:B)&amp;"当主","")))</f>
      </c>
    </row>
    <row r="1652" ht="15.75" customHeight="1">
      <c r="A1652" s="4">
        <v>1037017</v>
      </c>
      <c r="B1652" s="12" t="str">
        <f t="array" ref="B1652">IF(A1652:A5694="","",_xlfn.XLOOKUP(A1652:A5694,'参照_武将'!A:A,'参照_武将'!B:B,"見つかりません"))</f>
      </c>
      <c r="C1652" s="4" t="s">
        <v>209</v>
      </c>
      <c r="D1652" s="4">
        <v>32</v>
      </c>
      <c r="E1652" s="12" t="str">
        <f t="array" ref="E1652">IF(D1652:D5694="","",IFERROR(_xlfn.XLOOKUP(D1652:D5694,'参照_勢力'!A:A,'参照_勢力'!B:B),IFERROR(_xlfn.XLOOKUP(F1652:F5694,kunishuClan!A:A,kunishuClan!B:B),"浪人")))</f>
      </c>
      <c r="F1652" s="4">
        <v>0</v>
      </c>
      <c r="G1652" s="4">
        <v>64</v>
      </c>
      <c r="H1652" s="12" t="str">
        <f t="array" ref="H1652">IF(G1652:G5694="","",_xlfn.XLOOKUP(G1652:G5694,castles_state!A:A,castles_state!D:D,"見つかりません"))</f>
      </c>
      <c r="I1652" s="4"/>
      <c r="J1652" s="12" t="str">
        <f t="array" ref="J1652">IF(I1652:I5694="","",_xlfn.XLOOKUP(I1652:I5694,'参照_姫'!A:A,'参照_姫'!B:B,"見つかりません"))</f>
      </c>
      <c r="K1652" s="4">
        <v>95</v>
      </c>
      <c r="L1652" s="4">
        <v>0</v>
      </c>
      <c r="M1652" s="4"/>
      <c r="N1652" s="4"/>
      <c r="O1652" s="4"/>
      <c r="P1652" s="12" t="str">
        <f t="array" ref="P1652">IF(O1652:O5694="","",_xlfn.XLOOKUP(O1652:O5694,'参照_官位'!A:A,'参照_官位'!B:B,""))</f>
      </c>
      <c r="Q1652" s="12" t="str">
        <f t="array" ref="Q1652">IF(A1652:A5694="","",IFERROR(_xlfn.XLOOKUP(A1652:A5694,castles_state!K:K,castles_state!D:D)&amp;"主",IFERROR(_xlfn.XLOOKUP(A1652:A5694,kunishuClan!D:D,kunishuClan!B:B)&amp;"当主","")))</f>
      </c>
    </row>
    <row r="1653" ht="15.75" customHeight="1">
      <c r="A1653" s="4">
        <v>1037018</v>
      </c>
      <c r="B1653" s="12" t="str">
        <f t="array" ref="B1653">IF(A1653:A5695="","",_xlfn.XLOOKUP(A1653:A5695,'参照_武将'!A:A,'参照_武将'!B:B,"見つかりません"))</f>
      </c>
      <c r="C1653" s="4" t="s">
        <v>209</v>
      </c>
      <c r="D1653" s="4">
        <v>32</v>
      </c>
      <c r="E1653" s="12" t="str">
        <f t="array" ref="E1653">IF(D1653:D5695="","",IFERROR(_xlfn.XLOOKUP(D1653:D5695,'参照_勢力'!A:A,'参照_勢力'!B:B),IFERROR(_xlfn.XLOOKUP(F1653:F5695,kunishuClan!A:A,kunishuClan!B:B),"浪人")))</f>
      </c>
      <c r="F1653" s="4">
        <v>0</v>
      </c>
      <c r="G1653" s="4">
        <v>64</v>
      </c>
      <c r="H1653" s="12" t="str">
        <f t="array" ref="H1653">IF(G1653:G5695="","",_xlfn.XLOOKUP(G1653:G5695,castles_state!A:A,castles_state!D:D,"見つかりません"))</f>
      </c>
      <c r="I1653" s="4"/>
      <c r="J1653" s="12" t="str">
        <f t="array" ref="J1653">IF(I1653:I5695="","",_xlfn.XLOOKUP(I1653:I5695,'参照_姫'!A:A,'参照_姫'!B:B,"見つかりません"))</f>
      </c>
      <c r="K1653" s="4">
        <v>95</v>
      </c>
      <c r="L1653" s="4">
        <v>0</v>
      </c>
      <c r="M1653" s="4"/>
      <c r="N1653" s="4"/>
      <c r="O1653" s="4"/>
      <c r="P1653" s="12" t="str">
        <f t="array" ref="P1653">IF(O1653:O5695="","",_xlfn.XLOOKUP(O1653:O5695,'参照_官位'!A:A,'参照_官位'!B:B,""))</f>
      </c>
      <c r="Q1653" s="12" t="str">
        <f t="array" ref="Q1653">IF(A1653:A5695="","",IFERROR(_xlfn.XLOOKUP(A1653:A5695,castles_state!K:K,castles_state!D:D)&amp;"主",IFERROR(_xlfn.XLOOKUP(A1653:A5695,kunishuClan!D:D,kunishuClan!B:B)&amp;"当主","")))</f>
      </c>
    </row>
    <row r="1654" ht="15.75" customHeight="1">
      <c r="A1654" s="4">
        <v>1037019</v>
      </c>
      <c r="B1654" s="12" t="str">
        <f t="array" ref="B1654">IF(A1654:A5696="","",_xlfn.XLOOKUP(A1654:A5696,'参照_武将'!A:A,'参照_武将'!B:B,"見つかりません"))</f>
      </c>
      <c r="C1654" s="4" t="s">
        <v>209</v>
      </c>
      <c r="D1654" s="4">
        <v>32</v>
      </c>
      <c r="E1654" s="12" t="str">
        <f t="array" ref="E1654">IF(D1654:D5696="","",IFERROR(_xlfn.XLOOKUP(D1654:D5696,'参照_勢力'!A:A,'参照_勢力'!B:B),IFERROR(_xlfn.XLOOKUP(F1654:F5696,kunishuClan!A:A,kunishuClan!B:B),"浪人")))</f>
      </c>
      <c r="F1654" s="4">
        <v>0</v>
      </c>
      <c r="G1654" s="4">
        <v>64</v>
      </c>
      <c r="H1654" s="12" t="str">
        <f t="array" ref="H1654">IF(G1654:G5696="","",_xlfn.XLOOKUP(G1654:G5696,castles_state!A:A,castles_state!D:D,"見つかりません"))</f>
      </c>
      <c r="I1654" s="4"/>
      <c r="J1654" s="12" t="str">
        <f t="array" ref="J1654">IF(I1654:I5696="","",_xlfn.XLOOKUP(I1654:I5696,'参照_姫'!A:A,'参照_姫'!B:B,"見つかりません"))</f>
      </c>
      <c r="K1654" s="4">
        <v>95</v>
      </c>
      <c r="L1654" s="4">
        <v>500</v>
      </c>
      <c r="M1654" s="4"/>
      <c r="N1654" s="4"/>
      <c r="O1654" s="4"/>
      <c r="P1654" s="12" t="str">
        <f t="array" ref="P1654">IF(O1654:O5696="","",_xlfn.XLOOKUP(O1654:O5696,'参照_官位'!A:A,'参照_官位'!B:B,""))</f>
      </c>
      <c r="Q1654" s="12" t="str">
        <f t="array" ref="Q1654">IF(A1654:A5696="","",IFERROR(_xlfn.XLOOKUP(A1654:A5696,castles_state!K:K,castles_state!D:D)&amp;"主",IFERROR(_xlfn.XLOOKUP(A1654:A5696,kunishuClan!D:D,kunishuClan!B:B)&amp;"当主","")))</f>
      </c>
    </row>
    <row r="1655" ht="15.75" customHeight="1">
      <c r="A1655" s="4">
        <v>1037020</v>
      </c>
      <c r="B1655" s="12" t="str">
        <f t="array" ref="B1655">IF(A1655:A5697="","",_xlfn.XLOOKUP(A1655:A5697,'参照_武将'!A:A,'参照_武将'!B:B,"見つかりません"))</f>
      </c>
      <c r="C1655" s="4" t="s">
        <v>209</v>
      </c>
      <c r="D1655" s="4">
        <v>32</v>
      </c>
      <c r="E1655" s="12" t="str">
        <f t="array" ref="E1655">IF(D1655:D5697="","",IFERROR(_xlfn.XLOOKUP(D1655:D5697,'参照_勢力'!A:A,'参照_勢力'!B:B),IFERROR(_xlfn.XLOOKUP(F1655:F5697,kunishuClan!A:A,kunishuClan!B:B),"浪人")))</f>
      </c>
      <c r="F1655" s="4">
        <v>0</v>
      </c>
      <c r="G1655" s="4">
        <v>64</v>
      </c>
      <c r="H1655" s="12" t="str">
        <f t="array" ref="H1655">IF(G1655:G5697="","",_xlfn.XLOOKUP(G1655:G5697,castles_state!A:A,castles_state!D:D,"見つかりません"))</f>
      </c>
      <c r="I1655" s="4"/>
      <c r="J1655" s="12" t="str">
        <f t="array" ref="J1655">IF(I1655:I5697="","",_xlfn.XLOOKUP(I1655:I5697,'参照_姫'!A:A,'参照_姫'!B:B,"見つかりません"))</f>
      </c>
      <c r="K1655" s="4">
        <v>95</v>
      </c>
      <c r="L1655" s="4">
        <v>0</v>
      </c>
      <c r="M1655" s="4"/>
      <c r="N1655" s="4"/>
      <c r="O1655" s="4"/>
      <c r="P1655" s="12" t="str">
        <f t="array" ref="P1655">IF(O1655:O5697="","",_xlfn.XLOOKUP(O1655:O5697,'参照_官位'!A:A,'参照_官位'!B:B,""))</f>
      </c>
      <c r="Q1655" s="12" t="str">
        <f t="array" ref="Q1655">IF(A1655:A5697="","",IFERROR(_xlfn.XLOOKUP(A1655:A5697,castles_state!K:K,castles_state!D:D)&amp;"主",IFERROR(_xlfn.XLOOKUP(A1655:A5697,kunishuClan!D:D,kunishuClan!B:B)&amp;"当主","")))</f>
      </c>
    </row>
    <row r="1656" ht="15.75" customHeight="1">
      <c r="A1656" s="4">
        <v>1037021</v>
      </c>
      <c r="B1656" s="12" t="str">
        <f t="array" ref="B1656">IF(A1656:A5698="","",_xlfn.XLOOKUP(A1656:A5698,'参照_武将'!A:A,'参照_武将'!B:B,"見つかりません"))</f>
      </c>
      <c r="C1656" s="4" t="s">
        <v>209</v>
      </c>
      <c r="D1656" s="4">
        <v>32</v>
      </c>
      <c r="E1656" s="12" t="str">
        <f t="array" ref="E1656">IF(D1656:D5698="","",IFERROR(_xlfn.XLOOKUP(D1656:D5698,'参照_勢力'!A:A,'参照_勢力'!B:B),IFERROR(_xlfn.XLOOKUP(F1656:F5698,kunishuClan!A:A,kunishuClan!B:B),"浪人")))</f>
      </c>
      <c r="F1656" s="4">
        <v>0</v>
      </c>
      <c r="G1656" s="4">
        <v>64</v>
      </c>
      <c r="H1656" s="12" t="str">
        <f t="array" ref="H1656">IF(G1656:G5698="","",_xlfn.XLOOKUP(G1656:G5698,castles_state!A:A,castles_state!D:D,"見つかりません"))</f>
      </c>
      <c r="I1656" s="4"/>
      <c r="J1656" s="12" t="str">
        <f t="array" ref="J1656">IF(I1656:I5698="","",_xlfn.XLOOKUP(I1656:I5698,'参照_姫'!A:A,'参照_姫'!B:B,"見つかりません"))</f>
      </c>
      <c r="K1656" s="4">
        <v>95</v>
      </c>
      <c r="L1656" s="4">
        <v>200</v>
      </c>
      <c r="M1656" s="4"/>
      <c r="N1656" s="4"/>
      <c r="O1656" s="4"/>
      <c r="P1656" s="12" t="str">
        <f t="array" ref="P1656">IF(O1656:O5698="","",_xlfn.XLOOKUP(O1656:O5698,'参照_官位'!A:A,'参照_官位'!B:B,""))</f>
      </c>
      <c r="Q1656" s="12" t="str">
        <f t="array" ref="Q1656">IF(A1656:A5698="","",IFERROR(_xlfn.XLOOKUP(A1656:A5698,castles_state!K:K,castles_state!D:D)&amp;"主",IFERROR(_xlfn.XLOOKUP(A1656:A5698,kunishuClan!D:D,kunishuClan!B:B)&amp;"当主","")))</f>
      </c>
    </row>
    <row r="1657" ht="15.75" customHeight="1">
      <c r="A1657" s="4">
        <v>1038001</v>
      </c>
      <c r="B1657" s="12" t="str">
        <f t="array" ref="B1657">IF(A1657:A5699="","",_xlfn.XLOOKUP(A1657:A5699,'参照_武将'!A:A,'参照_武将'!B:B,"見つかりません"))</f>
      </c>
      <c r="C1657" s="4" t="s">
        <v>5946</v>
      </c>
      <c r="D1657" s="4">
        <v>38</v>
      </c>
      <c r="E1657" s="12" t="str">
        <f t="array" ref="E1657">IF(D1657:D5699="","",IFERROR(_xlfn.XLOOKUP(D1657:D5699,'参照_勢力'!A:A,'参照_勢力'!B:B),IFERROR(_xlfn.XLOOKUP(F1657:F5699,kunishuClan!A:A,kunishuClan!B:B),"浪人")))</f>
      </c>
      <c r="F1657" s="4">
        <v>0</v>
      </c>
      <c r="G1657" s="4">
        <v>79</v>
      </c>
      <c r="H1657" s="12" t="str">
        <f t="array" ref="H1657">IF(G1657:G5699="","",_xlfn.XLOOKUP(G1657:G5699,castles_state!A:A,castles_state!D:D,"見つかりません"))</f>
      </c>
      <c r="I1657" s="4"/>
      <c r="J1657" s="12" t="str">
        <f t="array" ref="J1657">IF(I1657:I5699="","",_xlfn.XLOOKUP(I1657:I5699,'参照_姫'!A:A,'参照_姫'!B:B,"見つかりません"))</f>
      </c>
      <c r="K1657" s="4">
        <v>95</v>
      </c>
      <c r="L1657" s="4">
        <v>0</v>
      </c>
      <c r="M1657" s="4"/>
      <c r="N1657" s="4"/>
      <c r="O1657" s="4"/>
      <c r="P1657" s="12" t="str">
        <f t="array" ref="P1657">IF(O1657:O5699="","",_xlfn.XLOOKUP(O1657:O5699,'参照_官位'!A:A,'参照_官位'!B:B,""))</f>
      </c>
      <c r="Q1657" s="12" t="str">
        <f t="array" ref="Q1657">IF(A1657:A5699="","",IFERROR(_xlfn.XLOOKUP(A1657:A5699,castles_state!K:K,castles_state!D:D)&amp;"主",IFERROR(_xlfn.XLOOKUP(A1657:A5699,kunishuClan!D:D,kunishuClan!B:B)&amp;"当主","")))</f>
      </c>
    </row>
    <row r="1658" ht="15.75" customHeight="1">
      <c r="A1658" s="4">
        <v>1038002</v>
      </c>
      <c r="B1658" s="12" t="str">
        <f t="array" ref="B1658">IF(A1658:A5700="","",_xlfn.XLOOKUP(A1658:A5700,'参照_武将'!A:A,'参照_武将'!B:B,"見つかりません"))</f>
      </c>
      <c r="C1658" s="4" t="s">
        <v>5946</v>
      </c>
      <c r="D1658" s="4">
        <v>38</v>
      </c>
      <c r="E1658" s="12" t="str">
        <f t="array" ref="E1658">IF(D1658:D5700="","",IFERROR(_xlfn.XLOOKUP(D1658:D5700,'参照_勢力'!A:A,'参照_勢力'!B:B),IFERROR(_xlfn.XLOOKUP(F1658:F5700,kunishuClan!A:A,kunishuClan!B:B),"浪人")))</f>
      </c>
      <c r="F1658" s="4">
        <v>0</v>
      </c>
      <c r="G1658" s="4">
        <v>79</v>
      </c>
      <c r="H1658" s="12" t="str">
        <f t="array" ref="H1658">IF(G1658:G5700="","",_xlfn.XLOOKUP(G1658:G5700,castles_state!A:A,castles_state!D:D,"見つかりません"))</f>
      </c>
      <c r="I1658" s="4"/>
      <c r="J1658" s="12" t="str">
        <f t="array" ref="J1658">IF(I1658:I5700="","",_xlfn.XLOOKUP(I1658:I5700,'参照_姫'!A:A,'参照_姫'!B:B,"見つかりません"))</f>
      </c>
      <c r="K1658" s="4">
        <v>95</v>
      </c>
      <c r="L1658" s="4">
        <v>0</v>
      </c>
      <c r="M1658" s="4"/>
      <c r="N1658" s="4"/>
      <c r="O1658" s="4"/>
      <c r="P1658" s="12" t="str">
        <f t="array" ref="P1658">IF(O1658:O5700="","",_xlfn.XLOOKUP(O1658:O5700,'参照_官位'!A:A,'参照_官位'!B:B,""))</f>
      </c>
      <c r="Q1658" s="12" t="str">
        <f t="array" ref="Q1658">IF(A1658:A5700="","",IFERROR(_xlfn.XLOOKUP(A1658:A5700,castles_state!K:K,castles_state!D:D)&amp;"主",IFERROR(_xlfn.XLOOKUP(A1658:A5700,kunishuClan!D:D,kunishuClan!B:B)&amp;"当主","")))</f>
      </c>
    </row>
    <row r="1659" ht="15.75" customHeight="1">
      <c r="A1659" s="4">
        <v>1038003</v>
      </c>
      <c r="B1659" s="12" t="str">
        <f t="array" ref="B1659">IF(A1659:A5701="","",_xlfn.XLOOKUP(A1659:A5701,'参照_武将'!A:A,'参照_武将'!B:B,"見つかりません"))</f>
      </c>
      <c r="C1659" s="4" t="s">
        <v>5946</v>
      </c>
      <c r="D1659" s="4">
        <v>1</v>
      </c>
      <c r="E1659" s="12" t="str">
        <f t="array" ref="E1659">IF(D1659:D5701="","",IFERROR(_xlfn.XLOOKUP(D1659:D5701,'参照_勢力'!A:A,'参照_勢力'!B:B),IFERROR(_xlfn.XLOOKUP(F1659:F5701,kunishuClan!A:A,kunishuClan!B:B),"浪人")))</f>
      </c>
      <c r="F1659" s="4">
        <v>0</v>
      </c>
      <c r="G1659" s="4">
        <v>79</v>
      </c>
      <c r="H1659" s="12" t="str">
        <f t="array" ref="H1659">IF(G1659:G5701="","",_xlfn.XLOOKUP(G1659:G5701,castles_state!A:A,castles_state!D:D,"見つかりません"))</f>
      </c>
      <c r="I1659" s="4"/>
      <c r="J1659" s="12" t="str">
        <f t="array" ref="J1659">IF(I1659:I5701="","",_xlfn.XLOOKUP(I1659:I5701,'参照_姫'!A:A,'参照_姫'!B:B,"見つかりません"))</f>
      </c>
      <c r="K1659" s="4">
        <v>85</v>
      </c>
      <c r="L1659" s="4">
        <v>200</v>
      </c>
      <c r="M1659" s="4"/>
      <c r="N1659" s="4" t="b">
        <v>1</v>
      </c>
      <c r="O1659" s="4"/>
      <c r="P1659" s="12" t="str">
        <f t="array" ref="P1659">IF(O1659:O5701="","",_xlfn.XLOOKUP(O1659:O5701,'参照_官位'!A:A,'参照_官位'!B:B,""))</f>
      </c>
      <c r="Q1659" s="12" t="str">
        <f t="array" ref="Q1659">IF(A1659:A5701="","",IFERROR(_xlfn.XLOOKUP(A1659:A5701,castles_state!K:K,castles_state!D:D)&amp;"主",IFERROR(_xlfn.XLOOKUP(A1659:A5701,kunishuClan!D:D,kunishuClan!B:B)&amp;"当主","")))</f>
      </c>
    </row>
    <row r="1660" ht="15.75" customHeight="1">
      <c r="A1660" s="4">
        <v>1038004</v>
      </c>
      <c r="B1660" s="12" t="str">
        <f t="array" ref="B1660">IF(A1660:A5702="","",_xlfn.XLOOKUP(A1660:A5702,'参照_武将'!A:A,'参照_武将'!B:B,"見つかりません"))</f>
      </c>
      <c r="C1660" s="4" t="s">
        <v>5946</v>
      </c>
      <c r="D1660" s="4">
        <v>38</v>
      </c>
      <c r="E1660" s="12" t="str">
        <f t="array" ref="E1660">IF(D1660:D5702="","",IFERROR(_xlfn.XLOOKUP(D1660:D5702,'参照_勢力'!A:A,'参照_勢力'!B:B),IFERROR(_xlfn.XLOOKUP(F1660:F5702,kunishuClan!A:A,kunishuClan!B:B),"浪人")))</f>
      </c>
      <c r="F1660" s="4">
        <v>0</v>
      </c>
      <c r="G1660" s="4">
        <v>79</v>
      </c>
      <c r="H1660" s="12" t="str">
        <f t="array" ref="H1660">IF(G1660:G5702="","",_xlfn.XLOOKUP(G1660:G5702,castles_state!A:A,castles_state!D:D,"見つかりません"))</f>
      </c>
      <c r="I1660" s="4"/>
      <c r="J1660" s="12" t="str">
        <f t="array" ref="J1660">IF(I1660:I5702="","",_xlfn.XLOOKUP(I1660:I5702,'参照_姫'!A:A,'参照_姫'!B:B,"見つかりません"))</f>
      </c>
      <c r="K1660" s="4">
        <v>100</v>
      </c>
      <c r="L1660" s="4">
        <v>1500</v>
      </c>
      <c r="M1660" s="4"/>
      <c r="N1660" s="4"/>
      <c r="O1660" s="4">
        <v>123</v>
      </c>
      <c r="P1660" s="12" t="str">
        <f t="array" ref="P1660">IF(O1660:O5702="","",_xlfn.XLOOKUP(O1660:O5702,'参照_官位'!A:A,'参照_官位'!B:B,""))</f>
      </c>
      <c r="Q1660" s="12" t="str">
        <f t="array" ref="Q1660">IF(A1660:A5702="","",IFERROR(_xlfn.XLOOKUP(A1660:A5702,castles_state!K:K,castles_state!D:D)&amp;"主",IFERROR(_xlfn.XLOOKUP(A1660:A5702,kunishuClan!D:D,kunishuClan!B:B)&amp;"当主","")))</f>
      </c>
    </row>
    <row r="1661" ht="15.75" customHeight="1">
      <c r="A1661" s="4">
        <v>1038005</v>
      </c>
      <c r="B1661" s="12" t="str">
        <f t="array" ref="B1661">IF(A1661:A5703="","",_xlfn.XLOOKUP(A1661:A5703,'参照_武将'!A:A,'参照_武将'!B:B,"見つかりません"))</f>
      </c>
      <c r="C1661" s="4" t="s">
        <v>5946</v>
      </c>
      <c r="D1661" s="4">
        <v>7</v>
      </c>
      <c r="E1661" s="12" t="str">
        <f t="array" ref="E1661">IF(D1661:D5703="","",IFERROR(_xlfn.XLOOKUP(D1661:D5703,'参照_勢力'!A:A,'参照_勢力'!B:B),IFERROR(_xlfn.XLOOKUP(F1661:F5703,kunishuClan!A:A,kunishuClan!B:B),"浪人")))</f>
      </c>
      <c r="F1661" s="4">
        <v>0</v>
      </c>
      <c r="G1661" s="4">
        <v>16</v>
      </c>
      <c r="H1661" s="12" t="str">
        <f t="array" ref="H1661">IF(G1661:G5703="","",_xlfn.XLOOKUP(G1661:G5703,castles_state!A:A,castles_state!D:D,"見つかりません"))</f>
      </c>
      <c r="I1661" s="4"/>
      <c r="J1661" s="12" t="str">
        <f t="array" ref="J1661">IF(I1661:I5703="","",_xlfn.XLOOKUP(I1661:I5703,'参照_姫'!A:A,'参照_姫'!B:B,"見つかりません"))</f>
      </c>
      <c r="K1661" s="4">
        <v>85</v>
      </c>
      <c r="L1661" s="4">
        <v>200</v>
      </c>
      <c r="M1661" s="4"/>
      <c r="N1661" s="4"/>
      <c r="O1661" s="4"/>
      <c r="P1661" s="12" t="str">
        <f t="array" ref="P1661">IF(O1661:O5703="","",_xlfn.XLOOKUP(O1661:O5703,'参照_官位'!A:A,'参照_官位'!B:B,""))</f>
      </c>
      <c r="Q1661" s="12" t="str">
        <f t="array" ref="Q1661">IF(A1661:A5703="","",IFERROR(_xlfn.XLOOKUP(A1661:A5703,castles_state!K:K,castles_state!D:D)&amp;"主",IFERROR(_xlfn.XLOOKUP(A1661:A5703,kunishuClan!D:D,kunishuClan!B:B)&amp;"当主","")))</f>
      </c>
    </row>
    <row r="1662" ht="15.75" customHeight="1">
      <c r="A1662" s="4">
        <v>1038006</v>
      </c>
      <c r="B1662" s="12" t="str">
        <f t="array" ref="B1662">IF(A1662:A5704="","",_xlfn.XLOOKUP(A1662:A5704,'参照_武将'!A:A,'参照_武将'!B:B,"見つかりません"))</f>
      </c>
      <c r="C1662" s="4" t="s">
        <v>5946</v>
      </c>
      <c r="D1662" s="4">
        <v>7</v>
      </c>
      <c r="E1662" s="12" t="str">
        <f t="array" ref="E1662">IF(D1662:D5704="","",IFERROR(_xlfn.XLOOKUP(D1662:D5704,'参照_勢力'!A:A,'参照_勢力'!B:B),IFERROR(_xlfn.XLOOKUP(F1662:F5704,kunishuClan!A:A,kunishuClan!B:B),"浪人")))</f>
      </c>
      <c r="F1662" s="4">
        <v>0</v>
      </c>
      <c r="G1662" s="4">
        <v>18</v>
      </c>
      <c r="H1662" s="12" t="str">
        <f t="array" ref="H1662">IF(G1662:G5704="","",_xlfn.XLOOKUP(G1662:G5704,castles_state!A:A,castles_state!D:D,"見つかりません"))</f>
      </c>
      <c r="I1662" s="4"/>
      <c r="J1662" s="12" t="str">
        <f t="array" ref="J1662">IF(I1662:I5704="","",_xlfn.XLOOKUP(I1662:I5704,'参照_姫'!A:A,'参照_姫'!B:B,"見つかりません"))</f>
      </c>
      <c r="K1662" s="4">
        <v>90</v>
      </c>
      <c r="L1662" s="4">
        <v>0</v>
      </c>
      <c r="M1662" s="4"/>
      <c r="N1662" s="4"/>
      <c r="O1662" s="4"/>
      <c r="P1662" s="12" t="str">
        <f t="array" ref="P1662">IF(O1662:O5704="","",_xlfn.XLOOKUP(O1662:O5704,'参照_官位'!A:A,'参照_官位'!B:B,""))</f>
      </c>
      <c r="Q1662" s="12" t="str">
        <f t="array" ref="Q1662">IF(A1662:A5704="","",IFERROR(_xlfn.XLOOKUP(A1662:A5704,castles_state!K:K,castles_state!D:D)&amp;"主",IFERROR(_xlfn.XLOOKUP(A1662:A5704,kunishuClan!D:D,kunishuClan!B:B)&amp;"当主","")))</f>
      </c>
    </row>
    <row r="1663" ht="15.75" customHeight="1">
      <c r="A1663" s="4">
        <v>1038007</v>
      </c>
      <c r="B1663" s="12" t="str">
        <f t="array" ref="B1663">IF(A1663:A5705="","",_xlfn.XLOOKUP(A1663:A5705,'参照_武将'!A:A,'参照_武将'!B:B,"見つかりません"))</f>
      </c>
      <c r="C1663" s="4" t="s">
        <v>5946</v>
      </c>
      <c r="D1663" s="4">
        <v>38</v>
      </c>
      <c r="E1663" s="12" t="str">
        <f t="array" ref="E1663">IF(D1663:D5705="","",IFERROR(_xlfn.XLOOKUP(D1663:D5705,'参照_勢力'!A:A,'参照_勢力'!B:B),IFERROR(_xlfn.XLOOKUP(F1663:F5705,kunishuClan!A:A,kunishuClan!B:B),"浪人")))</f>
      </c>
      <c r="F1663" s="4">
        <v>0</v>
      </c>
      <c r="G1663" s="4">
        <v>79</v>
      </c>
      <c r="H1663" s="12" t="str">
        <f t="array" ref="H1663">IF(G1663:G5705="","",_xlfn.XLOOKUP(G1663:G5705,castles_state!A:A,castles_state!D:D,"見つかりません"))</f>
      </c>
      <c r="I1663" s="4"/>
      <c r="J1663" s="12" t="str">
        <f t="array" ref="J1663">IF(I1663:I5705="","",_xlfn.XLOOKUP(I1663:I5705,'参照_姫'!A:A,'参照_姫'!B:B,"見つかりません"))</f>
      </c>
      <c r="K1663" s="4">
        <v>90</v>
      </c>
      <c r="L1663" s="4">
        <v>0</v>
      </c>
      <c r="M1663" s="4"/>
      <c r="N1663" s="4"/>
      <c r="O1663" s="4"/>
      <c r="P1663" s="12" t="str">
        <f t="array" ref="P1663">IF(O1663:O5705="","",_xlfn.XLOOKUP(O1663:O5705,'参照_官位'!A:A,'参照_官位'!B:B,""))</f>
      </c>
      <c r="Q1663" s="12" t="str">
        <f t="array" ref="Q1663">IF(A1663:A5705="","",IFERROR(_xlfn.XLOOKUP(A1663:A5705,castles_state!K:K,castles_state!D:D)&amp;"主",IFERROR(_xlfn.XLOOKUP(A1663:A5705,kunishuClan!D:D,kunishuClan!B:B)&amp;"当主","")))</f>
      </c>
    </row>
    <row r="1664" ht="15.75" customHeight="1">
      <c r="A1664" s="4">
        <v>1038008</v>
      </c>
      <c r="B1664" s="12" t="str">
        <f t="array" ref="B1664">IF(A1664:A5706="","",_xlfn.XLOOKUP(A1664:A5706,'参照_武将'!A:A,'参照_武将'!B:B,"見つかりません"))</f>
      </c>
      <c r="C1664" s="4" t="s">
        <v>505</v>
      </c>
      <c r="D1664" s="4">
        <v>17</v>
      </c>
      <c r="E1664" s="12" t="str">
        <f t="array" ref="E1664">IF(D1664:D5706="","",IFERROR(_xlfn.XLOOKUP(D1664:D5706,'参照_勢力'!A:A,'参照_勢力'!B:B),IFERROR(_xlfn.XLOOKUP(F1664:F5706,kunishuClan!A:A,kunishuClan!B:B),"浪人")))</f>
      </c>
      <c r="F1664" s="4">
        <v>0</v>
      </c>
      <c r="G1664" s="4">
        <v>26</v>
      </c>
      <c r="H1664" s="12" t="str">
        <f t="array" ref="H1664">IF(G1664:G5706="","",_xlfn.XLOOKUP(G1664:G5706,castles_state!A:A,castles_state!D:D,"見つかりません"))</f>
      </c>
      <c r="I1664" s="4"/>
      <c r="J1664" s="12" t="str">
        <f t="array" ref="J1664">IF(I1664:I5706="","",_xlfn.XLOOKUP(I1664:I5706,'参照_姫'!A:A,'参照_姫'!B:B,"見つかりません"))</f>
      </c>
      <c r="K1664" s="4">
        <v>90</v>
      </c>
      <c r="L1664" s="4">
        <v>0</v>
      </c>
      <c r="M1664" s="4"/>
      <c r="N1664" s="4"/>
      <c r="O1664" s="4"/>
      <c r="P1664" s="12" t="str">
        <f t="array" ref="P1664">IF(O1664:O5706="","",_xlfn.XLOOKUP(O1664:O5706,'参照_官位'!A:A,'参照_官位'!B:B,""))</f>
      </c>
      <c r="Q1664" s="12" t="str">
        <f t="array" ref="Q1664">IF(A1664:A5706="","",IFERROR(_xlfn.XLOOKUP(A1664:A5706,castles_state!K:K,castles_state!D:D)&amp;"主",IFERROR(_xlfn.XLOOKUP(A1664:A5706,kunishuClan!D:D,kunishuClan!B:B)&amp;"当主","")))</f>
      </c>
    </row>
    <row r="1665" ht="15.75" customHeight="1">
      <c r="A1665" s="4">
        <v>1038009</v>
      </c>
      <c r="B1665" s="12" t="str">
        <f t="array" ref="B1665">IF(A1665:A5707="","",_xlfn.XLOOKUP(A1665:A5707,'参照_武将'!A:A,'参照_武将'!B:B,"見つかりません"))</f>
      </c>
      <c r="C1665" s="4" t="s">
        <v>5946</v>
      </c>
      <c r="D1665" s="4">
        <v>38</v>
      </c>
      <c r="E1665" s="12" t="str">
        <f t="array" ref="E1665">IF(D1665:D5707="","",IFERROR(_xlfn.XLOOKUP(D1665:D5707,'参照_勢力'!A:A,'参照_勢力'!B:B),IFERROR(_xlfn.XLOOKUP(F1665:F5707,kunishuClan!A:A,kunishuClan!B:B),"浪人")))</f>
      </c>
      <c r="F1665" s="4">
        <v>0</v>
      </c>
      <c r="G1665" s="4">
        <v>79</v>
      </c>
      <c r="H1665" s="12" t="str">
        <f t="array" ref="H1665">IF(G1665:G5707="","",_xlfn.XLOOKUP(G1665:G5707,castles_state!A:A,castles_state!D:D,"見つかりません"))</f>
      </c>
      <c r="I1665" s="4"/>
      <c r="J1665" s="12" t="str">
        <f t="array" ref="J1665">IF(I1665:I5707="","",_xlfn.XLOOKUP(I1665:I5707,'参照_姫'!A:A,'参照_姫'!B:B,"見つかりません"))</f>
      </c>
      <c r="K1665" s="4">
        <v>85</v>
      </c>
      <c r="L1665" s="4">
        <v>0</v>
      </c>
      <c r="M1665" s="4"/>
      <c r="N1665" s="4"/>
      <c r="O1665" s="4"/>
      <c r="P1665" s="12" t="str">
        <f t="array" ref="P1665">IF(O1665:O5707="","",_xlfn.XLOOKUP(O1665:O5707,'参照_官位'!A:A,'参照_官位'!B:B,""))</f>
      </c>
      <c r="Q1665" s="12" t="str">
        <f t="array" ref="Q1665">IF(A1665:A5707="","",IFERROR(_xlfn.XLOOKUP(A1665:A5707,castles_state!K:K,castles_state!D:D)&amp;"主",IFERROR(_xlfn.XLOOKUP(A1665:A5707,kunishuClan!D:D,kunishuClan!B:B)&amp;"当主","")))</f>
      </c>
    </row>
    <row r="1666" ht="15.75" customHeight="1">
      <c r="A1666" s="4">
        <v>1038010</v>
      </c>
      <c r="B1666" s="12" t="str">
        <f t="array" ref="B1666">IF(A1666:A5708="","",_xlfn.XLOOKUP(A1666:A5708,'参照_武将'!A:A,'参照_武将'!B:B,"見つかりません"))</f>
      </c>
      <c r="C1666" s="4" t="s">
        <v>5946</v>
      </c>
      <c r="D1666" s="4">
        <v>38</v>
      </c>
      <c r="E1666" s="12" t="str">
        <f t="array" ref="E1666">IF(D1666:D5708="","",IFERROR(_xlfn.XLOOKUP(D1666:D5708,'参照_勢力'!A:A,'参照_勢力'!B:B),IFERROR(_xlfn.XLOOKUP(F1666:F5708,kunishuClan!A:A,kunishuClan!B:B),"浪人")))</f>
      </c>
      <c r="F1666" s="4">
        <v>0</v>
      </c>
      <c r="G1666" s="4">
        <v>79</v>
      </c>
      <c r="H1666" s="12" t="str">
        <f t="array" ref="H1666">IF(G1666:G5708="","",_xlfn.XLOOKUP(G1666:G5708,castles_state!A:A,castles_state!D:D,"見つかりません"))</f>
      </c>
      <c r="I1666" s="4"/>
      <c r="J1666" s="12" t="str">
        <f t="array" ref="J1666">IF(I1666:I5708="","",_xlfn.XLOOKUP(I1666:I5708,'参照_姫'!A:A,'参照_姫'!B:B,"見つかりません"))</f>
      </c>
      <c r="K1666" s="4">
        <v>85</v>
      </c>
      <c r="L1666" s="4">
        <v>0</v>
      </c>
      <c r="M1666" s="4"/>
      <c r="N1666" s="4"/>
      <c r="O1666" s="4"/>
      <c r="P1666" s="12" t="str">
        <f t="array" ref="P1666">IF(O1666:O5708="","",_xlfn.XLOOKUP(O1666:O5708,'参照_官位'!A:A,'参照_官位'!B:B,""))</f>
      </c>
      <c r="Q1666" s="12" t="str">
        <f t="array" ref="Q1666">IF(A1666:A5708="","",IFERROR(_xlfn.XLOOKUP(A1666:A5708,castles_state!K:K,castles_state!D:D)&amp;"主",IFERROR(_xlfn.XLOOKUP(A1666:A5708,kunishuClan!D:D,kunishuClan!B:B)&amp;"当主","")))</f>
      </c>
    </row>
    <row r="1667" ht="15.75" customHeight="1">
      <c r="A1667" s="4">
        <v>1038011</v>
      </c>
      <c r="B1667" s="12" t="str">
        <f t="array" ref="B1667">IF(A1667:A5709="","",_xlfn.XLOOKUP(A1667:A5709,'参照_武将'!A:A,'参照_武将'!B:B,"見つかりません"))</f>
      </c>
      <c r="C1667" s="4" t="s">
        <v>5946</v>
      </c>
      <c r="D1667" s="4">
        <v>38</v>
      </c>
      <c r="E1667" s="12" t="str">
        <f t="array" ref="E1667">IF(D1667:D5709="","",IFERROR(_xlfn.XLOOKUP(D1667:D5709,'参照_勢力'!A:A,'参照_勢力'!B:B),IFERROR(_xlfn.XLOOKUP(F1667:F5709,kunishuClan!A:A,kunishuClan!B:B),"浪人")))</f>
      </c>
      <c r="F1667" s="4">
        <v>0</v>
      </c>
      <c r="G1667" s="4">
        <v>79</v>
      </c>
      <c r="H1667" s="12" t="str">
        <f t="array" ref="H1667">IF(G1667:G5709="","",_xlfn.XLOOKUP(G1667:G5709,castles_state!A:A,castles_state!D:D,"見つかりません"))</f>
      </c>
      <c r="I1667" s="4"/>
      <c r="J1667" s="12" t="str">
        <f t="array" ref="J1667">IF(I1667:I5709="","",_xlfn.XLOOKUP(I1667:I5709,'参照_姫'!A:A,'参照_姫'!B:B,"見つかりません"))</f>
      </c>
      <c r="K1667" s="4">
        <v>95</v>
      </c>
      <c r="L1667" s="4">
        <v>0</v>
      </c>
      <c r="M1667" s="4"/>
      <c r="N1667" s="4"/>
      <c r="O1667" s="4"/>
      <c r="P1667" s="12" t="str">
        <f t="array" ref="P1667">IF(O1667:O5709="","",_xlfn.XLOOKUP(O1667:O5709,'参照_官位'!A:A,'参照_官位'!B:B,""))</f>
      </c>
      <c r="Q1667" s="12" t="str">
        <f t="array" ref="Q1667">IF(A1667:A5709="","",IFERROR(_xlfn.XLOOKUP(A1667:A5709,castles_state!K:K,castles_state!D:D)&amp;"主",IFERROR(_xlfn.XLOOKUP(A1667:A5709,kunishuClan!D:D,kunishuClan!B:B)&amp;"当主","")))</f>
      </c>
    </row>
    <row r="1668" ht="15.75" customHeight="1">
      <c r="A1668" s="4">
        <v>1038012</v>
      </c>
      <c r="B1668" s="12" t="str">
        <f t="array" ref="B1668">IF(A1668:A5710="","",_xlfn.XLOOKUP(A1668:A5710,'参照_武将'!A:A,'参照_武将'!B:B,"見つかりません"))</f>
      </c>
      <c r="C1668" s="4" t="s">
        <v>5946</v>
      </c>
      <c r="D1668" s="4">
        <v>1</v>
      </c>
      <c r="E1668" s="12" t="str">
        <f t="array" ref="E1668">IF(D1668:D5710="","",IFERROR(_xlfn.XLOOKUP(D1668:D5710,'参照_勢力'!A:A,'参照_勢力'!B:B),IFERROR(_xlfn.XLOOKUP(F1668:F5710,kunishuClan!A:A,kunishuClan!B:B),"浪人")))</f>
      </c>
      <c r="F1668" s="4">
        <v>0</v>
      </c>
      <c r="G1668" s="4">
        <v>79</v>
      </c>
      <c r="H1668" s="12" t="str">
        <f t="array" ref="H1668">IF(G1668:G5710="","",_xlfn.XLOOKUP(G1668:G5710,castles_state!A:A,castles_state!D:D,"見つかりません"))</f>
      </c>
      <c r="I1668" s="4"/>
      <c r="J1668" s="12" t="str">
        <f t="array" ref="J1668">IF(I1668:I5710="","",_xlfn.XLOOKUP(I1668:I5710,'参照_姫'!A:A,'参照_姫'!B:B,"見つかりません"))</f>
      </c>
      <c r="K1668" s="4">
        <v>95</v>
      </c>
      <c r="L1668" s="4">
        <v>300</v>
      </c>
      <c r="M1668" s="4"/>
      <c r="N1668" s="4"/>
      <c r="O1668" s="4"/>
      <c r="P1668" s="12" t="str">
        <f t="array" ref="P1668">IF(O1668:O5710="","",_xlfn.XLOOKUP(O1668:O5710,'参照_官位'!A:A,'参照_官位'!B:B,""))</f>
      </c>
      <c r="Q1668" s="12" t="str">
        <f t="array" ref="Q1668">IF(A1668:A5710="","",IFERROR(_xlfn.XLOOKUP(A1668:A5710,castles_state!K:K,castles_state!D:D)&amp;"主",IFERROR(_xlfn.XLOOKUP(A1668:A5710,kunishuClan!D:D,kunishuClan!B:B)&amp;"当主","")))</f>
      </c>
    </row>
    <row r="1669" ht="15.75" customHeight="1">
      <c r="A1669" s="4">
        <v>1038013</v>
      </c>
      <c r="B1669" s="12" t="str">
        <f t="array" ref="B1669">IF(A1669:A5711="","",_xlfn.XLOOKUP(A1669:A5711,'参照_武将'!A:A,'参照_武将'!B:B,"見つかりません"))</f>
      </c>
      <c r="C1669" s="4" t="s">
        <v>5946</v>
      </c>
      <c r="D1669" s="4">
        <v>1</v>
      </c>
      <c r="E1669" s="12" t="str">
        <f t="array" ref="E1669">IF(D1669:D5711="","",IFERROR(_xlfn.XLOOKUP(D1669:D5711,'参照_勢力'!A:A,'参照_勢力'!B:B),IFERROR(_xlfn.XLOOKUP(F1669:F5711,kunishuClan!A:A,kunishuClan!B:B),"浪人")))</f>
      </c>
      <c r="F1669" s="4">
        <v>0</v>
      </c>
      <c r="G1669" s="4">
        <v>79</v>
      </c>
      <c r="H1669" s="12" t="str">
        <f t="array" ref="H1669">IF(G1669:G5711="","",_xlfn.XLOOKUP(G1669:G5711,castles_state!A:A,castles_state!D:D,"見つかりません"))</f>
      </c>
      <c r="I1669" s="4"/>
      <c r="J1669" s="12" t="str">
        <f t="array" ref="J1669">IF(I1669:I5711="","",_xlfn.XLOOKUP(I1669:I5711,'参照_姫'!A:A,'参照_姫'!B:B,"見つかりません"))</f>
      </c>
      <c r="K1669" s="4">
        <v>95</v>
      </c>
      <c r="L1669" s="4">
        <v>0</v>
      </c>
      <c r="M1669" s="4"/>
      <c r="N1669" s="4"/>
      <c r="O1669" s="4"/>
      <c r="P1669" s="12" t="str">
        <f t="array" ref="P1669">IF(O1669:O5711="","",_xlfn.XLOOKUP(O1669:O5711,'参照_官位'!A:A,'参照_官位'!B:B,""))</f>
      </c>
      <c r="Q1669" s="12" t="str">
        <f t="array" ref="Q1669">IF(A1669:A5711="","",IFERROR(_xlfn.XLOOKUP(A1669:A5711,castles_state!K:K,castles_state!D:D)&amp;"主",IFERROR(_xlfn.XLOOKUP(A1669:A5711,kunishuClan!D:D,kunishuClan!B:B)&amp;"当主","")))</f>
      </c>
    </row>
    <row r="1670" ht="15.75" customHeight="1">
      <c r="A1670" s="4">
        <v>1038014</v>
      </c>
      <c r="B1670" s="12" t="str">
        <f t="array" ref="B1670">IF(A1670:A5712="","",_xlfn.XLOOKUP(A1670:A5712,'参照_武将'!A:A,'参照_武将'!B:B,"見つかりません"))</f>
      </c>
      <c r="C1670" s="4" t="s">
        <v>5946</v>
      </c>
      <c r="D1670" s="4">
        <v>1</v>
      </c>
      <c r="E1670" s="12" t="str">
        <f t="array" ref="E1670">IF(D1670:D5712="","",IFERROR(_xlfn.XLOOKUP(D1670:D5712,'参照_勢力'!A:A,'参照_勢力'!B:B),IFERROR(_xlfn.XLOOKUP(F1670:F5712,kunishuClan!A:A,kunishuClan!B:B),"浪人")))</f>
      </c>
      <c r="F1670" s="4">
        <v>0</v>
      </c>
      <c r="G1670" s="4">
        <v>79</v>
      </c>
      <c r="H1670" s="12" t="str">
        <f t="array" ref="H1670">IF(G1670:G5712="","",_xlfn.XLOOKUP(G1670:G5712,castles_state!A:A,castles_state!D:D,"見つかりません"))</f>
      </c>
      <c r="I1670" s="4"/>
      <c r="J1670" s="12" t="str">
        <f t="array" ref="J1670">IF(I1670:I5712="","",_xlfn.XLOOKUP(I1670:I5712,'参照_姫'!A:A,'参照_姫'!B:B,"見つかりません"))</f>
      </c>
      <c r="K1670" s="4">
        <v>90</v>
      </c>
      <c r="L1670" s="4">
        <v>0</v>
      </c>
      <c r="M1670" s="4"/>
      <c r="N1670" s="4"/>
      <c r="O1670" s="4"/>
      <c r="P1670" s="12" t="str">
        <f t="array" ref="P1670">IF(O1670:O5712="","",_xlfn.XLOOKUP(O1670:O5712,'参照_官位'!A:A,'参照_官位'!B:B,""))</f>
      </c>
      <c r="Q1670" s="12" t="str">
        <f t="array" ref="Q1670">IF(A1670:A5712="","",IFERROR(_xlfn.XLOOKUP(A1670:A5712,castles_state!K:K,castles_state!D:D)&amp;"主",IFERROR(_xlfn.XLOOKUP(A1670:A5712,kunishuClan!D:D,kunishuClan!B:B)&amp;"当主","")))</f>
      </c>
    </row>
    <row r="1671" ht="15.75" customHeight="1">
      <c r="A1671" s="4">
        <v>1038015</v>
      </c>
      <c r="B1671" s="12" t="str">
        <f t="array" ref="B1671">IF(A1671:A5713="","",_xlfn.XLOOKUP(A1671:A5713,'参照_武将'!A:A,'参照_武将'!B:B,"見つかりません"))</f>
      </c>
      <c r="C1671" s="4" t="s">
        <v>5946</v>
      </c>
      <c r="D1671" s="4">
        <v>38</v>
      </c>
      <c r="E1671" s="12" t="str">
        <f t="array" ref="E1671">IF(D1671:D5713="","",IFERROR(_xlfn.XLOOKUP(D1671:D5713,'参照_勢力'!A:A,'参照_勢力'!B:B),IFERROR(_xlfn.XLOOKUP(F1671:F5713,kunishuClan!A:A,kunishuClan!B:B),"浪人")))</f>
      </c>
      <c r="F1671" s="4">
        <v>0</v>
      </c>
      <c r="G1671" s="4">
        <v>241</v>
      </c>
      <c r="H1671" s="12" t="str">
        <f t="array" ref="H1671">IF(G1671:G5713="","",_xlfn.XLOOKUP(G1671:G5713,castles_state!A:A,castles_state!D:D,"見つかりません"))</f>
      </c>
      <c r="I1671" s="4"/>
      <c r="J1671" s="12" t="str">
        <f t="array" ref="J1671">IF(I1671:I5713="","",_xlfn.XLOOKUP(I1671:I5713,'参照_姫'!A:A,'参照_姫'!B:B,"見つかりません"))</f>
      </c>
      <c r="K1671" s="4">
        <v>90</v>
      </c>
      <c r="L1671" s="4">
        <v>200</v>
      </c>
      <c r="M1671" s="4"/>
      <c r="N1671" s="4" t="b">
        <v>1</v>
      </c>
      <c r="O1671" s="4"/>
      <c r="P1671" s="12" t="str">
        <f t="array" ref="P1671">IF(O1671:O5713="","",_xlfn.XLOOKUP(O1671:O5713,'参照_官位'!A:A,'参照_官位'!B:B,""))</f>
      </c>
      <c r="Q1671" s="12" t="str">
        <f t="array" ref="Q1671">IF(A1671:A5713="","",IFERROR(_xlfn.XLOOKUP(A1671:A5713,castles_state!K:K,castles_state!D:D)&amp;"主",IFERROR(_xlfn.XLOOKUP(A1671:A5713,kunishuClan!D:D,kunishuClan!B:B)&amp;"当主","")))</f>
      </c>
    </row>
    <row r="1672" ht="15.75" customHeight="1">
      <c r="A1672" s="4">
        <v>1038016</v>
      </c>
      <c r="B1672" s="12" t="str">
        <f t="array" ref="B1672">IF(A1672:A5714="","",_xlfn.XLOOKUP(A1672:A5714,'参照_武将'!A:A,'参照_武将'!B:B,"見つかりません"))</f>
      </c>
      <c r="C1672" s="4" t="s">
        <v>5946</v>
      </c>
      <c r="D1672" s="4">
        <v>1</v>
      </c>
      <c r="E1672" s="12" t="str">
        <f t="array" ref="E1672">IF(D1672:D5714="","",IFERROR(_xlfn.XLOOKUP(D1672:D5714,'参照_勢力'!A:A,'参照_勢力'!B:B),IFERROR(_xlfn.XLOOKUP(F1672:F5714,kunishuClan!A:A,kunishuClan!B:B),"浪人")))</f>
      </c>
      <c r="F1672" s="4">
        <v>0</v>
      </c>
      <c r="G1672" s="4">
        <v>241</v>
      </c>
      <c r="H1672" s="12" t="str">
        <f t="array" ref="H1672">IF(G1672:G5714="","",_xlfn.XLOOKUP(G1672:G5714,castles_state!A:A,castles_state!D:D,"見つかりません"))</f>
      </c>
      <c r="I1672" s="4"/>
      <c r="J1672" s="12" t="str">
        <f t="array" ref="J1672">IF(I1672:I5714="","",_xlfn.XLOOKUP(I1672:I5714,'参照_姫'!A:A,'参照_姫'!B:B,"見つかりません"))</f>
      </c>
      <c r="K1672" s="4">
        <v>90</v>
      </c>
      <c r="L1672" s="4">
        <v>300</v>
      </c>
      <c r="M1672" s="4"/>
      <c r="N1672" s="4"/>
      <c r="O1672" s="4"/>
      <c r="P1672" s="12" t="str">
        <f t="array" ref="P1672">IF(O1672:O5714="","",_xlfn.XLOOKUP(O1672:O5714,'参照_官位'!A:A,'参照_官位'!B:B,""))</f>
      </c>
      <c r="Q1672" s="12" t="str">
        <f t="array" ref="Q1672">IF(A1672:A5714="","",IFERROR(_xlfn.XLOOKUP(A1672:A5714,castles_state!K:K,castles_state!D:D)&amp;"主",IFERROR(_xlfn.XLOOKUP(A1672:A5714,kunishuClan!D:D,kunishuClan!B:B)&amp;"当主","")))</f>
      </c>
    </row>
    <row r="1673" ht="15.75" customHeight="1">
      <c r="A1673" s="4">
        <v>1038017</v>
      </c>
      <c r="B1673" s="12" t="str">
        <f t="array" ref="B1673">IF(A1673:A5715="","",_xlfn.XLOOKUP(A1673:A5715,'参照_武将'!A:A,'参照_武将'!B:B,"見つかりません"))</f>
      </c>
      <c r="C1673" s="4" t="s">
        <v>5946</v>
      </c>
      <c r="D1673" s="4">
        <v>1</v>
      </c>
      <c r="E1673" s="12" t="str">
        <f t="array" ref="E1673">IF(D1673:D5715="","",IFERROR(_xlfn.XLOOKUP(D1673:D5715,'参照_勢力'!A:A,'参照_勢力'!B:B),IFERROR(_xlfn.XLOOKUP(F1673:F5715,kunishuClan!A:A,kunishuClan!B:B),"浪人")))</f>
      </c>
      <c r="F1673" s="4">
        <v>0</v>
      </c>
      <c r="G1673" s="4">
        <v>241</v>
      </c>
      <c r="H1673" s="12" t="str">
        <f t="array" ref="H1673">IF(G1673:G5715="","",_xlfn.XLOOKUP(G1673:G5715,castles_state!A:A,castles_state!D:D,"見つかりません"))</f>
      </c>
      <c r="I1673" s="4"/>
      <c r="J1673" s="12" t="str">
        <f t="array" ref="J1673">IF(I1673:I5715="","",_xlfn.XLOOKUP(I1673:I5715,'参照_姫'!A:A,'参照_姫'!B:B,"見つかりません"))</f>
      </c>
      <c r="K1673" s="4">
        <v>90</v>
      </c>
      <c r="L1673" s="4">
        <v>0</v>
      </c>
      <c r="M1673" s="4"/>
      <c r="N1673" s="4"/>
      <c r="O1673" s="4"/>
      <c r="P1673" s="12" t="str">
        <f t="array" ref="P1673">IF(O1673:O5715="","",_xlfn.XLOOKUP(O1673:O5715,'参照_官位'!A:A,'参照_官位'!B:B,""))</f>
      </c>
      <c r="Q1673" s="12" t="str">
        <f t="array" ref="Q1673">IF(A1673:A5715="","",IFERROR(_xlfn.XLOOKUP(A1673:A5715,castles_state!K:K,castles_state!D:D)&amp;"主",IFERROR(_xlfn.XLOOKUP(A1673:A5715,kunishuClan!D:D,kunishuClan!B:B)&amp;"当主","")))</f>
      </c>
    </row>
    <row r="1674" ht="15.75" customHeight="1">
      <c r="A1674" s="4">
        <v>1038018</v>
      </c>
      <c r="B1674" s="12" t="str">
        <f t="array" ref="B1674">IF(A1674:A5716="","",_xlfn.XLOOKUP(A1674:A5716,'参照_武将'!A:A,'参照_武将'!B:B,"見つかりません"))</f>
      </c>
      <c r="C1674" s="4" t="s">
        <v>5946</v>
      </c>
      <c r="D1674" s="4">
        <v>1</v>
      </c>
      <c r="E1674" s="12" t="str">
        <f t="array" ref="E1674">IF(D1674:D5716="","",IFERROR(_xlfn.XLOOKUP(D1674:D5716,'参照_勢力'!A:A,'参照_勢力'!B:B),IFERROR(_xlfn.XLOOKUP(F1674:F5716,kunishuClan!A:A,kunishuClan!B:B),"浪人")))</f>
      </c>
      <c r="F1674" s="4">
        <v>0</v>
      </c>
      <c r="G1674" s="4">
        <v>241</v>
      </c>
      <c r="H1674" s="12" t="str">
        <f t="array" ref="H1674">IF(G1674:G5716="","",_xlfn.XLOOKUP(G1674:G5716,castles_state!A:A,castles_state!D:D,"見つかりません"))</f>
      </c>
      <c r="I1674" s="4"/>
      <c r="J1674" s="12" t="str">
        <f t="array" ref="J1674">IF(I1674:I5716="","",_xlfn.XLOOKUP(I1674:I5716,'参照_姫'!A:A,'参照_姫'!B:B,"見つかりません"))</f>
      </c>
      <c r="K1674" s="4">
        <v>90</v>
      </c>
      <c r="L1674" s="4">
        <v>0</v>
      </c>
      <c r="M1674" s="4"/>
      <c r="N1674" s="4"/>
      <c r="O1674" s="4"/>
      <c r="P1674" s="12" t="str">
        <f t="array" ref="P1674">IF(O1674:O5716="","",_xlfn.XLOOKUP(O1674:O5716,'参照_官位'!A:A,'参照_官位'!B:B,""))</f>
      </c>
      <c r="Q1674" s="12" t="str">
        <f t="array" ref="Q1674">IF(A1674:A5716="","",IFERROR(_xlfn.XLOOKUP(A1674:A5716,castles_state!K:K,castles_state!D:D)&amp;"主",IFERROR(_xlfn.XLOOKUP(A1674:A5716,kunishuClan!D:D,kunishuClan!B:B)&amp;"当主","")))</f>
      </c>
    </row>
    <row r="1675" ht="15.75" customHeight="1">
      <c r="A1675" s="4">
        <v>1038019</v>
      </c>
      <c r="B1675" s="12" t="str">
        <f t="array" ref="B1675">IF(A1675:A5717="","",_xlfn.XLOOKUP(A1675:A5717,'参照_武将'!A:A,'参照_武将'!B:B,"見つかりません"))</f>
      </c>
      <c r="C1675" s="4" t="s">
        <v>5946</v>
      </c>
      <c r="D1675" s="4">
        <v>0</v>
      </c>
      <c r="E1675" s="12" t="str">
        <f t="array" ref="E1675">IF(D1675:D5717="","",IFERROR(_xlfn.XLOOKUP(D1675:D5717,'参照_勢力'!A:A,'参照_勢力'!B:B),IFERROR(_xlfn.XLOOKUP(F1675:F5717,kunishuClan!A:A,kunishuClan!B:B),"浪人")))</f>
      </c>
      <c r="F1675" s="4">
        <v>0</v>
      </c>
      <c r="G1675" s="4">
        <v>241</v>
      </c>
      <c r="H1675" s="12" t="str">
        <f t="array" ref="H1675">IF(G1675:G5717="","",_xlfn.XLOOKUP(G1675:G5717,castles_state!A:A,castles_state!D:D,"見つかりません"))</f>
      </c>
      <c r="I1675" s="4"/>
      <c r="J1675" s="12" t="str">
        <f t="array" ref="J1675">IF(I1675:I5717="","",_xlfn.XLOOKUP(I1675:I5717,'参照_姫'!A:A,'参照_姫'!B:B,"見つかりません"))</f>
      </c>
      <c r="K1675" s="4">
        <v>50</v>
      </c>
      <c r="L1675" s="4">
        <v>0</v>
      </c>
      <c r="M1675" s="4"/>
      <c r="N1675" s="4"/>
      <c r="O1675" s="4"/>
      <c r="P1675" s="12" t="str">
        <f t="array" ref="P1675">IF(O1675:O5717="","",_xlfn.XLOOKUP(O1675:O5717,'参照_官位'!A:A,'参照_官位'!B:B,""))</f>
      </c>
      <c r="Q1675" s="12" t="str">
        <f t="array" ref="Q1675">IF(A1675:A5717="","",IFERROR(_xlfn.XLOOKUP(A1675:A5717,castles_state!K:K,castles_state!D:D)&amp;"主",IFERROR(_xlfn.XLOOKUP(A1675:A5717,kunishuClan!D:D,kunishuClan!B:B)&amp;"当主","")))</f>
      </c>
    </row>
    <row r="1676" ht="15.75" customHeight="1">
      <c r="A1676" s="4">
        <v>1038020</v>
      </c>
      <c r="B1676" s="12" t="str">
        <f t="array" ref="B1676">IF(A1676:A5718="","",_xlfn.XLOOKUP(A1676:A5718,'参照_武将'!A:A,'参照_武将'!B:B,"見つかりません"))</f>
      </c>
      <c r="C1676" s="4" t="s">
        <v>5946</v>
      </c>
      <c r="D1676" s="4">
        <v>1</v>
      </c>
      <c r="E1676" s="12" t="str">
        <f t="array" ref="E1676">IF(D1676:D5718="","",IFERROR(_xlfn.XLOOKUP(D1676:D5718,'参照_勢力'!A:A,'参照_勢力'!B:B),IFERROR(_xlfn.XLOOKUP(F1676:F5718,kunishuClan!A:A,kunishuClan!B:B),"浪人")))</f>
      </c>
      <c r="F1676" s="4">
        <v>0</v>
      </c>
      <c r="G1676" s="4">
        <v>79</v>
      </c>
      <c r="H1676" s="12" t="str">
        <f t="array" ref="H1676">IF(G1676:G5718="","",_xlfn.XLOOKUP(G1676:G5718,castles_state!A:A,castles_state!D:D,"見つかりません"))</f>
      </c>
      <c r="I1676" s="4"/>
      <c r="J1676" s="12" t="str">
        <f t="array" ref="J1676">IF(I1676:I5718="","",_xlfn.XLOOKUP(I1676:I5718,'参照_姫'!A:A,'参照_姫'!B:B,"見つかりません"))</f>
      </c>
      <c r="K1676" s="4">
        <v>95</v>
      </c>
      <c r="L1676" s="4">
        <v>0</v>
      </c>
      <c r="M1676" s="4"/>
      <c r="N1676" s="4"/>
      <c r="O1676" s="4"/>
      <c r="P1676" s="12" t="str">
        <f t="array" ref="P1676">IF(O1676:O5718="","",_xlfn.XLOOKUP(O1676:O5718,'参照_官位'!A:A,'参照_官位'!B:B,""))</f>
      </c>
      <c r="Q1676" s="12" t="str">
        <f t="array" ref="Q1676">IF(A1676:A5718="","",IFERROR(_xlfn.XLOOKUP(A1676:A5718,castles_state!K:K,castles_state!D:D)&amp;"主",IFERROR(_xlfn.XLOOKUP(A1676:A5718,kunishuClan!D:D,kunishuClan!B:B)&amp;"当主","")))</f>
      </c>
    </row>
    <row r="1677" ht="15.75" customHeight="1">
      <c r="A1677" s="4">
        <v>1039001</v>
      </c>
      <c r="B1677" s="12" t="str">
        <f t="array" ref="B1677">IF(A1677:A5717="","",_xlfn.XLOOKUP(A1677:A5717,'参照_武将'!A:A,'参照_武将'!B:B,"見つかりません"))</f>
      </c>
      <c r="C1677" s="4" t="s">
        <v>5947</v>
      </c>
      <c r="D1677" s="4">
        <v>226</v>
      </c>
      <c r="E1677" s="12" t="str">
        <f t="array" ref="E1677">IF(D1677:D5717="","",IFERROR(_xlfn.XLOOKUP(D1677:D5717,'参照_勢力'!A:A,'参照_勢力'!B:B),IFERROR(_xlfn.XLOOKUP(F1677:F5717,kunishuClan!A:A,kunishuClan!B:B),"浪人")))</f>
      </c>
      <c r="F1677" s="4">
        <v>0</v>
      </c>
      <c r="G1677" s="4">
        <v>105</v>
      </c>
      <c r="H1677" s="12" t="str">
        <f t="array" ref="H1677">IF(G1677:G5717="","",_xlfn.XLOOKUP(G1677:G5717,castles_state!A:A,castles_state!D:D,"見つかりません"))</f>
      </c>
      <c r="I1677" s="4"/>
      <c r="J1677" s="12" t="str">
        <f t="array" ref="J1677">IF(I1677:I5717="","",_xlfn.XLOOKUP(I1677:I5717,'参照_姫'!A:A,'参照_姫'!B:B,"見つかりません"))</f>
      </c>
      <c r="K1677" s="4">
        <v>100</v>
      </c>
      <c r="L1677" s="4">
        <v>0</v>
      </c>
      <c r="M1677" s="4"/>
      <c r="N1677" s="4"/>
      <c r="O1677" s="4"/>
      <c r="P1677" s="12" t="str">
        <f t="array" ref="P1677">IF(O1677:O5717="","",_xlfn.XLOOKUP(O1677:O5717,'参照_官位'!A:A,'参照_官位'!B:B,""))</f>
      </c>
      <c r="Q1677" s="12" t="str">
        <f t="array" ref="Q1677">IF(A1677:A5717="","",IFERROR(_xlfn.XLOOKUP(A1677:A5717,castles_state!K:K,castles_state!D:D)&amp;"主",IFERROR(_xlfn.XLOOKUP(A1677:A5717,kunishuClan!D:D,kunishuClan!B:B)&amp;"当主","")))</f>
      </c>
    </row>
    <row r="1678" ht="15.75" customHeight="1">
      <c r="A1678" s="4">
        <v>1039002</v>
      </c>
      <c r="B1678" s="12" t="str">
        <f t="array" ref="B1678">IF(A1678:A5718="","",_xlfn.XLOOKUP(A1678:A5718,'参照_武将'!A:A,'参照_武将'!B:B,"見つかりません"))</f>
      </c>
      <c r="C1678" s="4" t="s">
        <v>5947</v>
      </c>
      <c r="D1678" s="4">
        <v>226</v>
      </c>
      <c r="E1678" s="12" t="str">
        <f t="array" ref="E1678">IF(D1678:D5718="","",IFERROR(_xlfn.XLOOKUP(D1678:D5718,'参照_勢力'!A:A,'参照_勢力'!B:B),IFERROR(_xlfn.XLOOKUP(F1678:F5718,kunishuClan!A:A,kunishuClan!B:B),"浪人")))</f>
      </c>
      <c r="F1678" s="4">
        <v>0</v>
      </c>
      <c r="G1678" s="4">
        <v>105</v>
      </c>
      <c r="H1678" s="12" t="str">
        <f t="array" ref="H1678">IF(G1678:G5718="","",_xlfn.XLOOKUP(G1678:G5718,castles_state!A:A,castles_state!D:D,"見つかりません"))</f>
      </c>
      <c r="I1678" s="4"/>
      <c r="J1678" s="12" t="str">
        <f t="array" ref="J1678">IF(I1678:I5718="","",_xlfn.XLOOKUP(I1678:I5718,'参照_姫'!A:A,'参照_姫'!B:B,"見つかりません"))</f>
      </c>
      <c r="K1678" s="4">
        <v>95</v>
      </c>
      <c r="L1678" s="4">
        <v>0</v>
      </c>
      <c r="M1678" s="4"/>
      <c r="N1678" s="4"/>
      <c r="O1678" s="4"/>
      <c r="P1678" s="12" t="str">
        <f t="array" ref="P1678">IF(O1678:O5718="","",_xlfn.XLOOKUP(O1678:O5718,'参照_官位'!A:A,'参照_官位'!B:B,""))</f>
      </c>
      <c r="Q1678" s="12" t="str">
        <f t="array" ref="Q1678">IF(A1678:A5718="","",IFERROR(_xlfn.XLOOKUP(A1678:A5718,castles_state!K:K,castles_state!D:D)&amp;"主",IFERROR(_xlfn.XLOOKUP(A1678:A5718,kunishuClan!D:D,kunishuClan!B:B)&amp;"当主","")))</f>
      </c>
    </row>
    <row r="1679" ht="15.75" customHeight="1">
      <c r="A1679" s="4">
        <v>1039003</v>
      </c>
      <c r="B1679" s="12" t="str">
        <f t="array" ref="B1679">IF(A1679:A5719="","",_xlfn.XLOOKUP(A1679:A5719,'参照_武将'!A:A,'参照_武将'!B:B,"見つかりません"))</f>
      </c>
      <c r="C1679" s="4" t="s">
        <v>5947</v>
      </c>
      <c r="D1679" s="4">
        <v>226</v>
      </c>
      <c r="E1679" s="12" t="str">
        <f t="array" ref="E1679">IF(D1679:D5719="","",IFERROR(_xlfn.XLOOKUP(D1679:D5719,'参照_勢力'!A:A,'参照_勢力'!B:B),IFERROR(_xlfn.XLOOKUP(F1679:F5719,kunishuClan!A:A,kunishuClan!B:B),"浪人")))</f>
      </c>
      <c r="F1679" s="4">
        <v>0</v>
      </c>
      <c r="G1679" s="4">
        <v>105</v>
      </c>
      <c r="H1679" s="12" t="str">
        <f t="array" ref="H1679">IF(G1679:G5719="","",_xlfn.XLOOKUP(G1679:G5719,castles_state!A:A,castles_state!D:D,"見つかりません"))</f>
      </c>
      <c r="I1679" s="4"/>
      <c r="J1679" s="12" t="str">
        <f t="array" ref="J1679">IF(I1679:I5719="","",_xlfn.XLOOKUP(I1679:I5719,'参照_姫'!A:A,'参照_姫'!B:B,"見つかりません"))</f>
      </c>
      <c r="K1679" s="4">
        <v>95</v>
      </c>
      <c r="L1679" s="4">
        <v>0</v>
      </c>
      <c r="M1679" s="4"/>
      <c r="N1679" s="4"/>
      <c r="O1679" s="4"/>
      <c r="P1679" s="12" t="str">
        <f t="array" ref="P1679">IF(O1679:O5719="","",_xlfn.XLOOKUP(O1679:O5719,'参照_官位'!A:A,'参照_官位'!B:B,""))</f>
      </c>
      <c r="Q1679" s="12" t="str">
        <f t="array" ref="Q1679">IF(A1679:A5719="","",IFERROR(_xlfn.XLOOKUP(A1679:A5719,castles_state!K:K,castles_state!D:D)&amp;"主",IFERROR(_xlfn.XLOOKUP(A1679:A5719,kunishuClan!D:D,kunishuClan!B:B)&amp;"当主","")))</f>
      </c>
    </row>
    <row r="1680" ht="15.75" customHeight="1">
      <c r="A1680" s="4">
        <v>1039004</v>
      </c>
      <c r="B1680" s="12" t="str">
        <f t="array" ref="B1680">IF(A1680:A5720="","",_xlfn.XLOOKUP(A1680:A5720,'参照_武将'!A:A,'参照_武将'!B:B,"見つかりません"))</f>
      </c>
      <c r="C1680" s="4" t="s">
        <v>5947</v>
      </c>
      <c r="D1680" s="4">
        <v>226</v>
      </c>
      <c r="E1680" s="12" t="str">
        <f t="array" ref="E1680">IF(D1680:D5720="","",IFERROR(_xlfn.XLOOKUP(D1680:D5720,'参照_勢力'!A:A,'参照_勢力'!B:B),IFERROR(_xlfn.XLOOKUP(F1680:F5720,kunishuClan!A:A,kunishuClan!B:B),"浪人")))</f>
      </c>
      <c r="F1680" s="4">
        <v>0</v>
      </c>
      <c r="G1680" s="4">
        <v>105</v>
      </c>
      <c r="H1680" s="12" t="str">
        <f t="array" ref="H1680">IF(G1680:G5720="","",_xlfn.XLOOKUP(G1680:G5720,castles_state!A:A,castles_state!D:D,"見つかりません"))</f>
      </c>
      <c r="I1680" s="4"/>
      <c r="J1680" s="12" t="str">
        <f t="array" ref="J1680">IF(I1680:I5720="","",_xlfn.XLOOKUP(I1680:I5720,'参照_姫'!A:A,'参照_姫'!B:B,"見つかりません"))</f>
      </c>
      <c r="K1680" s="4">
        <v>95</v>
      </c>
      <c r="L1680" s="4">
        <v>0</v>
      </c>
      <c r="M1680" s="4"/>
      <c r="N1680" s="4"/>
      <c r="O1680" s="4"/>
      <c r="P1680" s="12" t="str">
        <f t="array" ref="P1680">IF(O1680:O5720="","",_xlfn.XLOOKUP(O1680:O5720,'参照_官位'!A:A,'参照_官位'!B:B,""))</f>
      </c>
      <c r="Q1680" s="12" t="str">
        <f t="array" ref="Q1680">IF(A1680:A5720="","",IFERROR(_xlfn.XLOOKUP(A1680:A5720,castles_state!K:K,castles_state!D:D)&amp;"主",IFERROR(_xlfn.XLOOKUP(A1680:A5720,kunishuClan!D:D,kunishuClan!B:B)&amp;"当主","")))</f>
      </c>
    </row>
    <row r="1681" ht="15.75" customHeight="1">
      <c r="A1681" s="4">
        <v>1039005</v>
      </c>
      <c r="B1681" s="12" t="str">
        <f t="array" ref="B1681">IF(A1681:A5721="","",_xlfn.XLOOKUP(A1681:A5721,'参照_武将'!A:A,'参照_武将'!B:B,"見つかりません"))</f>
      </c>
      <c r="C1681" s="4" t="s">
        <v>5947</v>
      </c>
      <c r="D1681" s="4">
        <v>226</v>
      </c>
      <c r="E1681" s="12" t="str">
        <f t="array" ref="E1681">IF(D1681:D5721="","",IFERROR(_xlfn.XLOOKUP(D1681:D5721,'参照_勢力'!A:A,'参照_勢力'!B:B),IFERROR(_xlfn.XLOOKUP(F1681:F5721,kunishuClan!A:A,kunishuClan!B:B),"浪人")))</f>
      </c>
      <c r="F1681" s="4">
        <v>0</v>
      </c>
      <c r="G1681" s="4">
        <v>105</v>
      </c>
      <c r="H1681" s="12" t="str">
        <f t="array" ref="H1681">IF(G1681:G5721="","",_xlfn.XLOOKUP(G1681:G5721,castles_state!A:A,castles_state!D:D,"見つかりません"))</f>
      </c>
      <c r="I1681" s="4"/>
      <c r="J1681" s="12" t="str">
        <f t="array" ref="J1681">IF(I1681:I5721="","",_xlfn.XLOOKUP(I1681:I5721,'参照_姫'!A:A,'参照_姫'!B:B,"見つかりません"))</f>
      </c>
      <c r="K1681" s="4">
        <v>95</v>
      </c>
      <c r="L1681" s="4">
        <v>0</v>
      </c>
      <c r="M1681" s="4"/>
      <c r="N1681" s="4"/>
      <c r="O1681" s="4"/>
      <c r="P1681" s="12" t="str">
        <f t="array" ref="P1681">IF(O1681:O5721="","",_xlfn.XLOOKUP(O1681:O5721,'参照_官位'!A:A,'参照_官位'!B:B,""))</f>
      </c>
      <c r="Q1681" s="12" t="str">
        <f t="array" ref="Q1681">IF(A1681:A5721="","",IFERROR(_xlfn.XLOOKUP(A1681:A5721,castles_state!K:K,castles_state!D:D)&amp;"主",IFERROR(_xlfn.XLOOKUP(A1681:A5721,kunishuClan!D:D,kunishuClan!B:B)&amp;"当主","")))</f>
      </c>
    </row>
    <row r="1682" ht="15.75" customHeight="1">
      <c r="A1682" s="4">
        <v>1039006</v>
      </c>
      <c r="B1682" s="12" t="str">
        <f t="array" ref="B1682">IF(A1682:A5722="","",_xlfn.XLOOKUP(A1682:A5722,'参照_武将'!A:A,'参照_武将'!B:B,"見つかりません"))</f>
      </c>
      <c r="C1682" s="4" t="s">
        <v>5947</v>
      </c>
      <c r="D1682" s="4">
        <v>226</v>
      </c>
      <c r="E1682" s="12" t="str">
        <f t="array" ref="E1682">IF(D1682:D5722="","",IFERROR(_xlfn.XLOOKUP(D1682:D5722,'参照_勢力'!A:A,'参照_勢力'!B:B),IFERROR(_xlfn.XLOOKUP(F1682:F5722,kunishuClan!A:A,kunishuClan!B:B),"浪人")))</f>
      </c>
      <c r="F1682" s="4">
        <v>0</v>
      </c>
      <c r="G1682" s="4">
        <v>105</v>
      </c>
      <c r="H1682" s="12" t="str">
        <f t="array" ref="H1682">IF(G1682:G5722="","",_xlfn.XLOOKUP(G1682:G5722,castles_state!A:A,castles_state!D:D,"見つかりません"))</f>
      </c>
      <c r="I1682" s="4"/>
      <c r="J1682" s="12" t="str">
        <f t="array" ref="J1682">IF(I1682:I5722="","",_xlfn.XLOOKUP(I1682:I5722,'参照_姫'!A:A,'参照_姫'!B:B,"見つかりません"))</f>
      </c>
      <c r="K1682" s="4">
        <v>95</v>
      </c>
      <c r="L1682" s="4">
        <v>1000</v>
      </c>
      <c r="M1682" s="4"/>
      <c r="N1682" s="4"/>
      <c r="O1682" s="4">
        <v>205</v>
      </c>
      <c r="P1682" s="12" t="str">
        <f t="array" ref="P1682">IF(O1682:O5722="","",_xlfn.XLOOKUP(O1682:O5722,'参照_官位'!A:A,'参照_官位'!B:B,""))</f>
      </c>
      <c r="Q1682" s="12" t="str">
        <f t="array" ref="Q1682">IF(A1682:A5722="","",IFERROR(_xlfn.XLOOKUP(A1682:A5722,castles_state!K:K,castles_state!D:D)&amp;"主",IFERROR(_xlfn.XLOOKUP(A1682:A5722,kunishuClan!D:D,kunishuClan!B:B)&amp;"当主","")))</f>
      </c>
    </row>
    <row r="1683" ht="15.75" customHeight="1">
      <c r="A1683" s="4">
        <v>1039007</v>
      </c>
      <c r="B1683" s="12" t="str">
        <f t="array" ref="B1683">IF(A1683:A5723="","",_xlfn.XLOOKUP(A1683:A5723,'参照_武将'!A:A,'参照_武将'!B:B,"見つかりません"))</f>
      </c>
      <c r="C1683" s="4" t="s">
        <v>5947</v>
      </c>
      <c r="D1683" s="4">
        <v>226</v>
      </c>
      <c r="E1683" s="12" t="str">
        <f t="array" ref="E1683">IF(D1683:D5723="","",IFERROR(_xlfn.XLOOKUP(D1683:D5723,'参照_勢力'!A:A,'参照_勢力'!B:B),IFERROR(_xlfn.XLOOKUP(F1683:F5723,kunishuClan!A:A,kunishuClan!B:B),"浪人")))</f>
      </c>
      <c r="F1683" s="4">
        <v>0</v>
      </c>
      <c r="G1683" s="4">
        <v>105</v>
      </c>
      <c r="H1683" s="12" t="str">
        <f t="array" ref="H1683">IF(G1683:G5723="","",_xlfn.XLOOKUP(G1683:G5723,castles_state!A:A,castles_state!D:D,"見つかりません"))</f>
      </c>
      <c r="I1683" s="4"/>
      <c r="J1683" s="12" t="str">
        <f t="array" ref="J1683">IF(I1683:I5723="","",_xlfn.XLOOKUP(I1683:I5723,'参照_姫'!A:A,'参照_姫'!B:B,"見つかりません"))</f>
      </c>
      <c r="K1683" s="4">
        <v>95</v>
      </c>
      <c r="L1683" s="4">
        <v>500</v>
      </c>
      <c r="M1683" s="4"/>
      <c r="N1683" s="4"/>
      <c r="O1683" s="4"/>
      <c r="P1683" s="12" t="str">
        <f t="array" ref="P1683">IF(O1683:O5723="","",_xlfn.XLOOKUP(O1683:O5723,'参照_官位'!A:A,'参照_官位'!B:B,""))</f>
      </c>
      <c r="Q1683" s="12" t="str">
        <f t="array" ref="Q1683">IF(A1683:A5723="","",IFERROR(_xlfn.XLOOKUP(A1683:A5723,castles_state!K:K,castles_state!D:D)&amp;"主",IFERROR(_xlfn.XLOOKUP(A1683:A5723,kunishuClan!D:D,kunishuClan!B:B)&amp;"当主","")))</f>
      </c>
    </row>
    <row r="1684" ht="15.75" customHeight="1">
      <c r="A1684" s="4">
        <v>1039008</v>
      </c>
      <c r="B1684" s="12" t="str">
        <f t="array" ref="B1684">IF(A1684:A5724="","",_xlfn.XLOOKUP(A1684:A5724,'参照_武将'!A:A,'参照_武将'!B:B,"見つかりません"))</f>
      </c>
      <c r="C1684" s="4" t="s">
        <v>5948</v>
      </c>
      <c r="D1684" s="4">
        <v>39</v>
      </c>
      <c r="E1684" s="12" t="str">
        <f t="array" ref="E1684">IF(D1684:D5724="","",IFERROR(_xlfn.XLOOKUP(D1684:D5724,'参照_勢力'!A:A,'参照_勢力'!B:B),IFERROR(_xlfn.XLOOKUP(F1684:F5724,kunishuClan!A:A,kunishuClan!B:B),"浪人")))</f>
      </c>
      <c r="F1684" s="4">
        <v>0</v>
      </c>
      <c r="G1684" s="4">
        <v>238</v>
      </c>
      <c r="H1684" s="12" t="str">
        <f t="array" ref="H1684">IF(G1684:G5724="","",_xlfn.XLOOKUP(G1684:G5724,castles_state!A:A,castles_state!D:D,"見つかりません"))</f>
      </c>
      <c r="I1684" s="4"/>
      <c r="J1684" s="12" t="str">
        <f t="array" ref="J1684">IF(I1684:I5724="","",_xlfn.XLOOKUP(I1684:I5724,'参照_姫'!A:A,'参照_姫'!B:B,"見つかりません"))</f>
      </c>
      <c r="K1684" s="4">
        <v>95</v>
      </c>
      <c r="L1684" s="4">
        <v>0</v>
      </c>
      <c r="M1684" s="4"/>
      <c r="N1684" s="4"/>
      <c r="O1684" s="4"/>
      <c r="P1684" s="12" t="str">
        <f t="array" ref="P1684">IF(O1684:O5724="","",_xlfn.XLOOKUP(O1684:O5724,'参照_官位'!A:A,'参照_官位'!B:B,""))</f>
      </c>
      <c r="Q1684" s="12" t="str">
        <f t="array" ref="Q1684">IF(A1684:A5724="","",IFERROR(_xlfn.XLOOKUP(A1684:A5724,castles_state!K:K,castles_state!D:D)&amp;"主",IFERROR(_xlfn.XLOOKUP(A1684:A5724,kunishuClan!D:D,kunishuClan!B:B)&amp;"当主","")))</f>
      </c>
    </row>
    <row r="1685" ht="15.75" customHeight="1">
      <c r="A1685" s="4">
        <v>1039009</v>
      </c>
      <c r="B1685" s="12" t="str">
        <f t="array" ref="B1685">IF(A1685:A5725="","",_xlfn.XLOOKUP(A1685:A5725,'参照_武将'!A:A,'参照_武将'!B:B,"見つかりません"))</f>
      </c>
      <c r="C1685" s="4" t="s">
        <v>5948</v>
      </c>
      <c r="D1685" s="4">
        <v>39</v>
      </c>
      <c r="E1685" s="12" t="str">
        <f t="array" ref="E1685">IF(D1685:D5725="","",IFERROR(_xlfn.XLOOKUP(D1685:D5725,'参照_勢力'!A:A,'参照_勢力'!B:B),IFERROR(_xlfn.XLOOKUP(F1685:F5725,kunishuClan!A:A,kunishuClan!B:B),"浪人")))</f>
      </c>
      <c r="F1685" s="4">
        <v>0</v>
      </c>
      <c r="G1685" s="4">
        <v>238</v>
      </c>
      <c r="H1685" s="12" t="str">
        <f t="array" ref="H1685">IF(G1685:G5725="","",_xlfn.XLOOKUP(G1685:G5725,castles_state!A:A,castles_state!D:D,"見つかりません"))</f>
      </c>
      <c r="I1685" s="4"/>
      <c r="J1685" s="12" t="str">
        <f t="array" ref="J1685">IF(I1685:I5725="","",_xlfn.XLOOKUP(I1685:I5725,'参照_姫'!A:A,'参照_姫'!B:B,"見つかりません"))</f>
      </c>
      <c r="K1685" s="4">
        <v>95</v>
      </c>
      <c r="L1685" s="4">
        <v>0</v>
      </c>
      <c r="M1685" s="4"/>
      <c r="N1685" s="4"/>
      <c r="O1685" s="4"/>
      <c r="P1685" s="12" t="str">
        <f t="array" ref="P1685">IF(O1685:O5725="","",_xlfn.XLOOKUP(O1685:O5725,'参照_官位'!A:A,'参照_官位'!B:B,""))</f>
      </c>
      <c r="Q1685" s="12" t="str">
        <f t="array" ref="Q1685">IF(A1685:A5725="","",IFERROR(_xlfn.XLOOKUP(A1685:A5725,castles_state!K:K,castles_state!D:D)&amp;"主",IFERROR(_xlfn.XLOOKUP(A1685:A5725,kunishuClan!D:D,kunishuClan!B:B)&amp;"当主","")))</f>
      </c>
    </row>
    <row r="1686" ht="15.75" customHeight="1">
      <c r="A1686" s="4">
        <v>1039010</v>
      </c>
      <c r="B1686" s="12" t="str">
        <f t="array" ref="B1686">IF(A1686:A5726="","",_xlfn.XLOOKUP(A1686:A5726,'参照_武将'!A:A,'参照_武将'!B:B,"見つかりません"))</f>
      </c>
      <c r="C1686" s="4" t="s">
        <v>5948</v>
      </c>
      <c r="D1686" s="4">
        <v>39</v>
      </c>
      <c r="E1686" s="12" t="str">
        <f t="array" ref="E1686">IF(D1686:D5726="","",IFERROR(_xlfn.XLOOKUP(D1686:D5726,'参照_勢力'!A:A,'参照_勢力'!B:B),IFERROR(_xlfn.XLOOKUP(F1686:F5726,kunishuClan!A:A,kunishuClan!B:B),"浪人")))</f>
      </c>
      <c r="F1686" s="4">
        <v>0</v>
      </c>
      <c r="G1686" s="4">
        <v>238</v>
      </c>
      <c r="H1686" s="12" t="str">
        <f t="array" ref="H1686">IF(G1686:G5726="","",_xlfn.XLOOKUP(G1686:G5726,castles_state!A:A,castles_state!D:D,"見つかりません"))</f>
      </c>
      <c r="I1686" s="4"/>
      <c r="J1686" s="12" t="str">
        <f t="array" ref="J1686">IF(I1686:I5726="","",_xlfn.XLOOKUP(I1686:I5726,'参照_姫'!A:A,'参照_姫'!B:B,"見つかりません"))</f>
      </c>
      <c r="K1686" s="4">
        <v>100</v>
      </c>
      <c r="L1686" s="4">
        <v>1500</v>
      </c>
      <c r="M1686" s="4"/>
      <c r="N1686" s="4"/>
      <c r="O1686" s="4">
        <v>57</v>
      </c>
      <c r="P1686" s="12" t="str">
        <f t="array" ref="P1686">IF(O1686:O5726="","",_xlfn.XLOOKUP(O1686:O5726,'参照_官位'!A:A,'参照_官位'!B:B,""))</f>
      </c>
      <c r="Q1686" s="12" t="str">
        <f t="array" ref="Q1686">IF(A1686:A5726="","",IFERROR(_xlfn.XLOOKUP(A1686:A5726,castles_state!K:K,castles_state!D:D)&amp;"主",IFERROR(_xlfn.XLOOKUP(A1686:A5726,kunishuClan!D:D,kunishuClan!B:B)&amp;"当主","")))</f>
      </c>
    </row>
    <row r="1687" ht="15.75" customHeight="1">
      <c r="A1687" s="4">
        <v>1039011</v>
      </c>
      <c r="B1687" s="12" t="str">
        <f t="array" ref="B1687">IF(A1687:A5727="","",_xlfn.XLOOKUP(A1687:A5727,'参照_武将'!A:A,'参照_武将'!B:B,"見つかりません"))</f>
      </c>
      <c r="C1687" s="4" t="s">
        <v>5948</v>
      </c>
      <c r="D1687" s="4">
        <v>39</v>
      </c>
      <c r="E1687" s="12" t="str">
        <f t="array" ref="E1687">IF(D1687:D5727="","",IFERROR(_xlfn.XLOOKUP(D1687:D5727,'参照_勢力'!A:A,'参照_勢力'!B:B),IFERROR(_xlfn.XLOOKUP(F1687:F5727,kunishuClan!A:A,kunishuClan!B:B),"浪人")))</f>
      </c>
      <c r="F1687" s="4">
        <v>0</v>
      </c>
      <c r="G1687" s="4">
        <v>238</v>
      </c>
      <c r="H1687" s="12" t="str">
        <f t="array" ref="H1687">IF(G1687:G5727="","",_xlfn.XLOOKUP(G1687:G5727,castles_state!A:A,castles_state!D:D,"見つかりません"))</f>
      </c>
      <c r="I1687" s="4"/>
      <c r="J1687" s="12" t="str">
        <f t="array" ref="J1687">IF(I1687:I5727="","",_xlfn.XLOOKUP(I1687:I5727,'参照_姫'!A:A,'参照_姫'!B:B,"見つかりません"))</f>
      </c>
      <c r="K1687" s="4">
        <v>95</v>
      </c>
      <c r="L1687" s="4">
        <v>500</v>
      </c>
      <c r="M1687" s="4"/>
      <c r="N1687" s="4"/>
      <c r="O1687" s="4"/>
      <c r="P1687" s="12" t="str">
        <f t="array" ref="P1687">IF(O1687:O5727="","",_xlfn.XLOOKUP(O1687:O5727,'参照_官位'!A:A,'参照_官位'!B:B,""))</f>
      </c>
      <c r="Q1687" s="12" t="str">
        <f t="array" ref="Q1687">IF(A1687:A5727="","",IFERROR(_xlfn.XLOOKUP(A1687:A5727,castles_state!K:K,castles_state!D:D)&amp;"主",IFERROR(_xlfn.XLOOKUP(A1687:A5727,kunishuClan!D:D,kunishuClan!B:B)&amp;"当主","")))</f>
      </c>
    </row>
    <row r="1688" ht="15.75" customHeight="1">
      <c r="A1688" s="4">
        <v>1039012</v>
      </c>
      <c r="B1688" s="12" t="str">
        <f t="array" ref="B1688">IF(A1688:A5728="","",_xlfn.XLOOKUP(A1688:A5728,'参照_武将'!A:A,'参照_武将'!B:B,"見つかりません"))</f>
      </c>
      <c r="C1688" s="4" t="s">
        <v>5948</v>
      </c>
      <c r="D1688" s="4">
        <v>39</v>
      </c>
      <c r="E1688" s="12" t="str">
        <f t="array" ref="E1688">IF(D1688:D5728="","",IFERROR(_xlfn.XLOOKUP(D1688:D5728,'参照_勢力'!A:A,'参照_勢力'!B:B),IFERROR(_xlfn.XLOOKUP(F1688:F5728,kunishuClan!A:A,kunishuClan!B:B),"浪人")))</f>
      </c>
      <c r="F1688" s="4">
        <v>0</v>
      </c>
      <c r="G1688" s="4">
        <v>238</v>
      </c>
      <c r="H1688" s="12" t="str">
        <f t="array" ref="H1688">IF(G1688:G5728="","",_xlfn.XLOOKUP(G1688:G5728,castles_state!A:A,castles_state!D:D,"見つかりません"))</f>
      </c>
      <c r="I1688" s="4"/>
      <c r="J1688" s="12" t="str">
        <f t="array" ref="J1688">IF(I1688:I5728="","",_xlfn.XLOOKUP(I1688:I5728,'参照_姫'!A:A,'参照_姫'!B:B,"見つかりません"))</f>
      </c>
      <c r="K1688" s="4">
        <v>95</v>
      </c>
      <c r="L1688" s="4">
        <v>200</v>
      </c>
      <c r="M1688" s="4"/>
      <c r="N1688" s="4" t="b">
        <v>1</v>
      </c>
      <c r="O1688" s="4">
        <v>91</v>
      </c>
      <c r="P1688" s="12" t="str">
        <f t="array" ref="P1688">IF(O1688:O5728="","",_xlfn.XLOOKUP(O1688:O5728,'参照_官位'!A:A,'参照_官位'!B:B,""))</f>
      </c>
      <c r="Q1688" s="12" t="str">
        <f t="array" ref="Q1688">IF(A1688:A5728="","",IFERROR(_xlfn.XLOOKUP(A1688:A5728,castles_state!K:K,castles_state!D:D)&amp;"主",IFERROR(_xlfn.XLOOKUP(A1688:A5728,kunishuClan!D:D,kunishuClan!B:B)&amp;"当主","")))</f>
      </c>
    </row>
    <row r="1689" ht="15.75" customHeight="1">
      <c r="A1689" s="4">
        <v>1039013</v>
      </c>
      <c r="B1689" s="12" t="str">
        <f t="array" ref="B1689">IF(A1689:A5729="","",_xlfn.XLOOKUP(A1689:A5729,'参照_武将'!A:A,'参照_武将'!B:B,"見つかりません"))</f>
      </c>
      <c r="C1689" s="4" t="s">
        <v>5948</v>
      </c>
      <c r="D1689" s="4">
        <v>39</v>
      </c>
      <c r="E1689" s="12" t="str">
        <f t="array" ref="E1689">IF(D1689:D5729="","",IFERROR(_xlfn.XLOOKUP(D1689:D5729,'参照_勢力'!A:A,'参照_勢力'!B:B),IFERROR(_xlfn.XLOOKUP(F1689:F5729,kunishuClan!A:A,kunishuClan!B:B),"浪人")))</f>
      </c>
      <c r="F1689" s="4">
        <v>0</v>
      </c>
      <c r="G1689" s="4">
        <v>238</v>
      </c>
      <c r="H1689" s="12" t="str">
        <f t="array" ref="H1689">IF(G1689:G5729="","",_xlfn.XLOOKUP(G1689:G5729,castles_state!A:A,castles_state!D:D,"見つかりません"))</f>
      </c>
      <c r="I1689" s="4"/>
      <c r="J1689" s="12" t="str">
        <f t="array" ref="J1689">IF(I1689:I5729="","",_xlfn.XLOOKUP(I1689:I5729,'参照_姫'!A:A,'参照_姫'!B:B,"見つかりません"))</f>
      </c>
      <c r="K1689" s="4">
        <v>95</v>
      </c>
      <c r="L1689" s="4">
        <v>300</v>
      </c>
      <c r="M1689" s="4"/>
      <c r="N1689" s="4"/>
      <c r="O1689" s="4"/>
      <c r="P1689" s="12" t="str">
        <f t="array" ref="P1689">IF(O1689:O5729="","",_xlfn.XLOOKUP(O1689:O5729,'参照_官位'!A:A,'参照_官位'!B:B,""))</f>
      </c>
      <c r="Q1689" s="12" t="str">
        <f t="array" ref="Q1689">IF(A1689:A5729="","",IFERROR(_xlfn.XLOOKUP(A1689:A5729,castles_state!K:K,castles_state!D:D)&amp;"主",IFERROR(_xlfn.XLOOKUP(A1689:A5729,kunishuClan!D:D,kunishuClan!B:B)&amp;"当主","")))</f>
      </c>
    </row>
    <row r="1690" ht="15.75" customHeight="1">
      <c r="A1690" s="4">
        <v>1039014</v>
      </c>
      <c r="B1690" s="12" t="str">
        <f t="array" ref="B1690">IF(A1690:A5730="","",_xlfn.XLOOKUP(A1690:A5730,'参照_武将'!A:A,'参照_武将'!B:B,"見つかりません"))</f>
      </c>
      <c r="C1690" s="4" t="s">
        <v>5948</v>
      </c>
      <c r="D1690" s="4">
        <v>39</v>
      </c>
      <c r="E1690" s="12" t="str">
        <f t="array" ref="E1690">IF(D1690:D5730="","",IFERROR(_xlfn.XLOOKUP(D1690:D5730,'参照_勢力'!A:A,'参照_勢力'!B:B),IFERROR(_xlfn.XLOOKUP(F1690:F5730,kunishuClan!A:A,kunishuClan!B:B),"浪人")))</f>
      </c>
      <c r="F1690" s="4">
        <v>0</v>
      </c>
      <c r="G1690" s="4">
        <v>238</v>
      </c>
      <c r="H1690" s="12" t="str">
        <f t="array" ref="H1690">IF(G1690:G5730="","",_xlfn.XLOOKUP(G1690:G5730,castles_state!A:A,castles_state!D:D,"見つかりません"))</f>
      </c>
      <c r="I1690" s="4"/>
      <c r="J1690" s="12" t="str">
        <f t="array" ref="J1690">IF(I1690:I5730="","",_xlfn.XLOOKUP(I1690:I5730,'参照_姫'!A:A,'参照_姫'!B:B,"見つかりません"))</f>
      </c>
      <c r="K1690" s="4">
        <v>95</v>
      </c>
      <c r="L1690" s="4">
        <v>0</v>
      </c>
      <c r="M1690" s="4"/>
      <c r="N1690" s="4"/>
      <c r="O1690" s="4"/>
      <c r="P1690" s="12" t="str">
        <f t="array" ref="P1690">IF(O1690:O5730="","",_xlfn.XLOOKUP(O1690:O5730,'参照_官位'!A:A,'参照_官位'!B:B,""))</f>
      </c>
      <c r="Q1690" s="12" t="str">
        <f t="array" ref="Q1690">IF(A1690:A5730="","",IFERROR(_xlfn.XLOOKUP(A1690:A5730,castles_state!K:K,castles_state!D:D)&amp;"主",IFERROR(_xlfn.XLOOKUP(A1690:A5730,kunishuClan!D:D,kunishuClan!B:B)&amp;"当主","")))</f>
      </c>
    </row>
    <row r="1691" ht="15.75" customHeight="1">
      <c r="A1691" s="4">
        <v>1039015</v>
      </c>
      <c r="B1691" s="12" t="str">
        <f t="array" ref="B1691">IF(A1691:A5731="","",_xlfn.XLOOKUP(A1691:A5731,'参照_武将'!A:A,'参照_武将'!B:B,"見つかりません"))</f>
      </c>
      <c r="C1691" s="4" t="s">
        <v>5947</v>
      </c>
      <c r="D1691" s="4">
        <v>226</v>
      </c>
      <c r="E1691" s="12" t="str">
        <f t="array" ref="E1691">IF(D1691:D5731="","",IFERROR(_xlfn.XLOOKUP(D1691:D5731,'参照_勢力'!A:A,'参照_勢力'!B:B),IFERROR(_xlfn.XLOOKUP(F1691:F5731,kunishuClan!A:A,kunishuClan!B:B),"浪人")))</f>
      </c>
      <c r="F1691" s="4">
        <v>0</v>
      </c>
      <c r="G1691" s="4">
        <v>105</v>
      </c>
      <c r="H1691" s="12" t="str">
        <f t="array" ref="H1691">IF(G1691:G5731="","",_xlfn.XLOOKUP(G1691:G5731,castles_state!A:A,castles_state!D:D,"見つかりません"))</f>
      </c>
      <c r="I1691" s="4"/>
      <c r="J1691" s="12" t="str">
        <f t="array" ref="J1691">IF(I1691:I5731="","",_xlfn.XLOOKUP(I1691:I5731,'参照_姫'!A:A,'参照_姫'!B:B,"見つかりません"))</f>
      </c>
      <c r="K1691" s="4">
        <v>85</v>
      </c>
      <c r="L1691" s="4">
        <v>700</v>
      </c>
      <c r="M1691" s="4"/>
      <c r="N1691" s="4"/>
      <c r="O1691" s="4"/>
      <c r="P1691" s="12" t="str">
        <f t="array" ref="P1691">IF(O1691:O5731="","",_xlfn.XLOOKUP(O1691:O5731,'参照_官位'!A:A,'参照_官位'!B:B,""))</f>
      </c>
      <c r="Q1691" s="12" t="str">
        <f t="array" ref="Q1691">IF(A1691:A5731="","",IFERROR(_xlfn.XLOOKUP(A1691:A5731,castles_state!K:K,castles_state!D:D)&amp;"主",IFERROR(_xlfn.XLOOKUP(A1691:A5731,kunishuClan!D:D,kunishuClan!B:B)&amp;"当主","")))</f>
      </c>
    </row>
    <row r="1692" ht="15.75" customHeight="1">
      <c r="A1692" s="4">
        <v>1039016</v>
      </c>
      <c r="B1692" s="12" t="str">
        <f t="array" ref="B1692">IF(A1692:A5732="","",_xlfn.XLOOKUP(A1692:A5732,'参照_武将'!A:A,'参照_武将'!B:B,"見つかりません"))</f>
      </c>
      <c r="C1692" s="4" t="s">
        <v>5948</v>
      </c>
      <c r="D1692" s="4">
        <v>39</v>
      </c>
      <c r="E1692" s="12" t="str">
        <f t="array" ref="E1692">IF(D1692:D5732="","",IFERROR(_xlfn.XLOOKUP(D1692:D5732,'参照_勢力'!A:A,'参照_勢力'!B:B),IFERROR(_xlfn.XLOOKUP(F1692:F5732,kunishuClan!A:A,kunishuClan!B:B),"浪人")))</f>
      </c>
      <c r="F1692" s="4">
        <v>0</v>
      </c>
      <c r="G1692" s="4">
        <v>85</v>
      </c>
      <c r="H1692" s="12" t="str">
        <f t="array" ref="H1692">IF(G1692:G5732="","",_xlfn.XLOOKUP(G1692:G5732,castles_state!A:A,castles_state!D:D,"見つかりません"))</f>
      </c>
      <c r="I1692" s="4"/>
      <c r="J1692" s="12" t="str">
        <f t="array" ref="J1692">IF(I1692:I5732="","",_xlfn.XLOOKUP(I1692:I5732,'参照_姫'!A:A,'参照_姫'!B:B,"見つかりません"))</f>
      </c>
      <c r="K1692" s="4">
        <v>95</v>
      </c>
      <c r="L1692" s="4">
        <v>0</v>
      </c>
      <c r="M1692" s="4"/>
      <c r="N1692" s="4"/>
      <c r="O1692" s="4"/>
      <c r="P1692" s="12" t="str">
        <f t="array" ref="P1692">IF(O1692:O5732="","",_xlfn.XLOOKUP(O1692:O5732,'参照_官位'!A:A,'参照_官位'!B:B,""))</f>
      </c>
      <c r="Q1692" s="12" t="str">
        <f t="array" ref="Q1692">IF(A1692:A5732="","",IFERROR(_xlfn.XLOOKUP(A1692:A5732,castles_state!K:K,castles_state!D:D)&amp;"主",IFERROR(_xlfn.XLOOKUP(A1692:A5732,kunishuClan!D:D,kunishuClan!B:B)&amp;"当主","")))</f>
      </c>
    </row>
    <row r="1693" ht="15.75" customHeight="1">
      <c r="A1693" s="4">
        <v>1039017</v>
      </c>
      <c r="B1693" s="12" t="str">
        <f t="array" ref="B1693">IF(A1693:A5733="","",_xlfn.XLOOKUP(A1693:A5733,'参照_武将'!A:A,'参照_武将'!B:B,"見つかりません"))</f>
      </c>
      <c r="C1693" s="4" t="s">
        <v>5948</v>
      </c>
      <c r="D1693" s="4">
        <v>39</v>
      </c>
      <c r="E1693" s="12" t="str">
        <f t="array" ref="E1693">IF(D1693:D5733="","",IFERROR(_xlfn.XLOOKUP(D1693:D5733,'参照_勢力'!A:A,'参照_勢力'!B:B),IFERROR(_xlfn.XLOOKUP(F1693:F5733,kunishuClan!A:A,kunishuClan!B:B),"浪人")))</f>
      </c>
      <c r="F1693" s="4">
        <v>0</v>
      </c>
      <c r="G1693" s="4">
        <v>85</v>
      </c>
      <c r="H1693" s="12" t="str">
        <f t="array" ref="H1693">IF(G1693:G5733="","",_xlfn.XLOOKUP(G1693:G5733,castles_state!A:A,castles_state!D:D,"見つかりません"))</f>
      </c>
      <c r="I1693" s="4"/>
      <c r="J1693" s="12" t="str">
        <f t="array" ref="J1693">IF(I1693:I5733="","",_xlfn.XLOOKUP(I1693:I5733,'参照_姫'!A:A,'参照_姫'!B:B,"見つかりません"))</f>
      </c>
      <c r="K1693" s="4">
        <v>95</v>
      </c>
      <c r="L1693" s="4">
        <v>500</v>
      </c>
      <c r="M1693" s="4"/>
      <c r="N1693" s="4"/>
      <c r="O1693" s="4"/>
      <c r="P1693" s="12" t="str">
        <f t="array" ref="P1693">IF(O1693:O5733="","",_xlfn.XLOOKUP(O1693:O5733,'参照_官位'!A:A,'参照_官位'!B:B,""))</f>
      </c>
      <c r="Q1693" s="12" t="str">
        <f t="array" ref="Q1693">IF(A1693:A5733="","",IFERROR(_xlfn.XLOOKUP(A1693:A5733,castles_state!K:K,castles_state!D:D)&amp;"主",IFERROR(_xlfn.XLOOKUP(A1693:A5733,kunishuClan!D:D,kunishuClan!B:B)&amp;"当主","")))</f>
      </c>
    </row>
    <row r="1694" ht="15.75" customHeight="1">
      <c r="A1694" s="4">
        <v>1039018</v>
      </c>
      <c r="B1694" s="12" t="str">
        <f t="array" ref="B1694">IF(A1694:A5734="","",_xlfn.XLOOKUP(A1694:A5734,'参照_武将'!A:A,'参照_武将'!B:B,"見つかりません"))</f>
      </c>
      <c r="C1694" s="4" t="s">
        <v>5948</v>
      </c>
      <c r="D1694" s="4">
        <v>39</v>
      </c>
      <c r="E1694" s="12" t="str">
        <f t="array" ref="E1694">IF(D1694:D5734="","",IFERROR(_xlfn.XLOOKUP(D1694:D5734,'参照_勢力'!A:A,'参照_勢力'!B:B),IFERROR(_xlfn.XLOOKUP(F1694:F5734,kunishuClan!A:A,kunishuClan!B:B),"浪人")))</f>
      </c>
      <c r="F1694" s="4">
        <v>0</v>
      </c>
      <c r="G1694" s="4">
        <v>85</v>
      </c>
      <c r="H1694" s="12" t="str">
        <f t="array" ref="H1694">IF(G1694:G5734="","",_xlfn.XLOOKUP(G1694:G5734,castles_state!A:A,castles_state!D:D,"見つかりません"))</f>
      </c>
      <c r="I1694" s="4"/>
      <c r="J1694" s="12" t="str">
        <f t="array" ref="J1694">IF(I1694:I5734="","",_xlfn.XLOOKUP(I1694:I5734,'参照_姫'!A:A,'参照_姫'!B:B,"見つかりません"))</f>
      </c>
      <c r="K1694" s="4">
        <v>95</v>
      </c>
      <c r="L1694" s="4">
        <v>500</v>
      </c>
      <c r="M1694" s="4"/>
      <c r="N1694" s="4"/>
      <c r="O1694" s="4"/>
      <c r="P1694" s="12" t="str">
        <f t="array" ref="P1694">IF(O1694:O5734="","",_xlfn.XLOOKUP(O1694:O5734,'参照_官位'!A:A,'参照_官位'!B:B,""))</f>
      </c>
      <c r="Q1694" s="12" t="str">
        <f t="array" ref="Q1694">IF(A1694:A5734="","",IFERROR(_xlfn.XLOOKUP(A1694:A5734,castles_state!K:K,castles_state!D:D)&amp;"主",IFERROR(_xlfn.XLOOKUP(A1694:A5734,kunishuClan!D:D,kunishuClan!B:B)&amp;"当主","")))</f>
      </c>
    </row>
    <row r="1695" ht="15.75" customHeight="1">
      <c r="A1695" s="4">
        <v>1039019</v>
      </c>
      <c r="B1695" s="12" t="str">
        <f t="array" ref="B1695">IF(A1695:A5735="","",_xlfn.XLOOKUP(A1695:A5735,'参照_武将'!A:A,'参照_武将'!B:B,"見つかりません"))</f>
      </c>
      <c r="C1695" s="4" t="s">
        <v>5948</v>
      </c>
      <c r="D1695" s="4">
        <v>39</v>
      </c>
      <c r="E1695" s="12" t="str">
        <f t="array" ref="E1695">IF(D1695:D5735="","",IFERROR(_xlfn.XLOOKUP(D1695:D5735,'参照_勢力'!A:A,'参照_勢力'!B:B),IFERROR(_xlfn.XLOOKUP(F1695:F5735,kunishuClan!A:A,kunishuClan!B:B),"浪人")))</f>
      </c>
      <c r="F1695" s="4">
        <v>0</v>
      </c>
      <c r="G1695" s="4">
        <v>85</v>
      </c>
      <c r="H1695" s="12" t="str">
        <f t="array" ref="H1695">IF(G1695:G5735="","",_xlfn.XLOOKUP(G1695:G5735,castles_state!A:A,castles_state!D:D,"見つかりません"))</f>
      </c>
      <c r="I1695" s="4"/>
      <c r="J1695" s="12" t="str">
        <f t="array" ref="J1695">IF(I1695:I5735="","",_xlfn.XLOOKUP(I1695:I5735,'参照_姫'!A:A,'参照_姫'!B:B,"見つかりません"))</f>
      </c>
      <c r="K1695" s="4">
        <v>95</v>
      </c>
      <c r="L1695" s="4">
        <v>300</v>
      </c>
      <c r="M1695" s="4"/>
      <c r="N1695" s="4"/>
      <c r="O1695" s="4"/>
      <c r="P1695" s="12" t="str">
        <f t="array" ref="P1695">IF(O1695:O5735="","",_xlfn.XLOOKUP(O1695:O5735,'参照_官位'!A:A,'参照_官位'!B:B,""))</f>
      </c>
      <c r="Q1695" s="12" t="str">
        <f t="array" ref="Q1695">IF(A1695:A5735="","",IFERROR(_xlfn.XLOOKUP(A1695:A5735,castles_state!K:K,castles_state!D:D)&amp;"主",IFERROR(_xlfn.XLOOKUP(A1695:A5735,kunishuClan!D:D,kunishuClan!B:B)&amp;"当主","")))</f>
      </c>
    </row>
    <row r="1696" ht="15.75" customHeight="1">
      <c r="A1696" s="4">
        <v>1039020</v>
      </c>
      <c r="B1696" s="12" t="str">
        <f t="array" ref="B1696">IF(A1696:A5736="","",_xlfn.XLOOKUP(A1696:A5736,'参照_武将'!A:A,'参照_武将'!B:B,"見つかりません"))</f>
      </c>
      <c r="C1696" s="4" t="s">
        <v>5948</v>
      </c>
      <c r="D1696" s="4">
        <v>39</v>
      </c>
      <c r="E1696" s="12" t="str">
        <f t="array" ref="E1696">IF(D1696:D5736="","",IFERROR(_xlfn.XLOOKUP(D1696:D5736,'参照_勢力'!A:A,'参照_勢力'!B:B),IFERROR(_xlfn.XLOOKUP(F1696:F5736,kunishuClan!A:A,kunishuClan!B:B),"浪人")))</f>
      </c>
      <c r="F1696" s="4">
        <v>0</v>
      </c>
      <c r="G1696" s="4">
        <v>85</v>
      </c>
      <c r="H1696" s="12" t="str">
        <f t="array" ref="H1696">IF(G1696:G5736="","",_xlfn.XLOOKUP(G1696:G5736,castles_state!A:A,castles_state!D:D,"見つかりません"))</f>
      </c>
      <c r="I1696" s="4"/>
      <c r="J1696" s="12" t="str">
        <f t="array" ref="J1696">IF(I1696:I5736="","",_xlfn.XLOOKUP(I1696:I5736,'参照_姫'!A:A,'参照_姫'!B:B,"見つかりません"))</f>
      </c>
      <c r="K1696" s="4">
        <v>95</v>
      </c>
      <c r="L1696" s="4">
        <v>0</v>
      </c>
      <c r="M1696" s="4"/>
      <c r="N1696" s="4"/>
      <c r="O1696" s="4"/>
      <c r="P1696" s="12" t="str">
        <f t="array" ref="P1696">IF(O1696:O5736="","",_xlfn.XLOOKUP(O1696:O5736,'参照_官位'!A:A,'参照_官位'!B:B,""))</f>
      </c>
      <c r="Q1696" s="12" t="str">
        <f t="array" ref="Q1696">IF(A1696:A5736="","",IFERROR(_xlfn.XLOOKUP(A1696:A5736,castles_state!K:K,castles_state!D:D)&amp;"主",IFERROR(_xlfn.XLOOKUP(A1696:A5736,kunishuClan!D:D,kunishuClan!B:B)&amp;"当主","")))</f>
      </c>
    </row>
    <row r="1697" ht="15.75" customHeight="1">
      <c r="A1697" s="4">
        <v>1039021</v>
      </c>
      <c r="B1697" s="12" t="str">
        <f t="array" ref="B1697">IF(A1697:A5737="","",_xlfn.XLOOKUP(A1697:A5737,'参照_武将'!A:A,'参照_武将'!B:B,"見つかりません"))</f>
      </c>
      <c r="C1697" s="4" t="s">
        <v>5948</v>
      </c>
      <c r="D1697" s="4">
        <v>39</v>
      </c>
      <c r="E1697" s="12" t="str">
        <f t="array" ref="E1697">IF(D1697:D5737="","",IFERROR(_xlfn.XLOOKUP(D1697:D5737,'参照_勢力'!A:A,'参照_勢力'!B:B),IFERROR(_xlfn.XLOOKUP(F1697:F5737,kunishuClan!A:A,kunishuClan!B:B),"浪人")))</f>
      </c>
      <c r="F1697" s="4">
        <v>0</v>
      </c>
      <c r="G1697" s="4">
        <v>85</v>
      </c>
      <c r="H1697" s="12" t="str">
        <f t="array" ref="H1697">IF(G1697:G5737="","",_xlfn.XLOOKUP(G1697:G5737,castles_state!A:A,castles_state!D:D,"見つかりません"))</f>
      </c>
      <c r="I1697" s="4"/>
      <c r="J1697" s="12" t="str">
        <f t="array" ref="J1697">IF(I1697:I5737="","",_xlfn.XLOOKUP(I1697:I5737,'参照_姫'!A:A,'参照_姫'!B:B,"見つかりません"))</f>
      </c>
      <c r="K1697" s="4">
        <v>95</v>
      </c>
      <c r="L1697" s="4">
        <v>0</v>
      </c>
      <c r="M1697" s="4"/>
      <c r="N1697" s="4"/>
      <c r="O1697" s="4"/>
      <c r="P1697" s="12" t="str">
        <f t="array" ref="P1697">IF(O1697:O5737="","",_xlfn.XLOOKUP(O1697:O5737,'参照_官位'!A:A,'参照_官位'!B:B,""))</f>
      </c>
      <c r="Q1697" s="12" t="str">
        <f t="array" ref="Q1697">IF(A1697:A5737="","",IFERROR(_xlfn.XLOOKUP(A1697:A5737,castles_state!K:K,castles_state!D:D)&amp;"主",IFERROR(_xlfn.XLOOKUP(A1697:A5737,kunishuClan!D:D,kunishuClan!B:B)&amp;"当主","")))</f>
      </c>
    </row>
    <row r="1698" ht="15.75" customHeight="1">
      <c r="A1698" s="4">
        <v>1039022</v>
      </c>
      <c r="B1698" s="12" t="str">
        <f t="array" ref="B1698">IF(A1698:A5738="","",_xlfn.XLOOKUP(A1698:A5738,'参照_武将'!A:A,'参照_武将'!B:B,"見つかりません"))</f>
      </c>
      <c r="C1698" s="4" t="s">
        <v>5948</v>
      </c>
      <c r="D1698" s="4">
        <v>39</v>
      </c>
      <c r="E1698" s="12" t="str">
        <f t="array" ref="E1698">IF(D1698:D5738="","",IFERROR(_xlfn.XLOOKUP(D1698:D5738,'参照_勢力'!A:A,'参照_勢力'!B:B),IFERROR(_xlfn.XLOOKUP(F1698:F5738,kunishuClan!A:A,kunishuClan!B:B),"浪人")))</f>
      </c>
      <c r="F1698" s="4">
        <v>0</v>
      </c>
      <c r="G1698" s="4">
        <v>238</v>
      </c>
      <c r="H1698" s="12" t="str">
        <f t="array" ref="H1698">IF(G1698:G5738="","",_xlfn.XLOOKUP(G1698:G5738,castles_state!A:A,castles_state!D:D,"見つかりません"))</f>
      </c>
      <c r="I1698" s="4"/>
      <c r="J1698" s="12" t="str">
        <f t="array" ref="J1698">IF(I1698:I5738="","",_xlfn.XLOOKUP(I1698:I5738,'参照_姫'!A:A,'参照_姫'!B:B,"見つかりません"))</f>
      </c>
      <c r="K1698" s="4">
        <v>95</v>
      </c>
      <c r="L1698" s="4">
        <v>0</v>
      </c>
      <c r="M1698" s="4"/>
      <c r="N1698" s="4"/>
      <c r="O1698" s="4"/>
      <c r="P1698" s="12" t="str">
        <f t="array" ref="P1698">IF(O1698:O5738="","",_xlfn.XLOOKUP(O1698:O5738,'参照_官位'!A:A,'参照_官位'!B:B,""))</f>
      </c>
      <c r="Q1698" s="12" t="str">
        <f t="array" ref="Q1698">IF(A1698:A5738="","",IFERROR(_xlfn.XLOOKUP(A1698:A5738,castles_state!K:K,castles_state!D:D)&amp;"主",IFERROR(_xlfn.XLOOKUP(A1698:A5738,kunishuClan!D:D,kunishuClan!B:B)&amp;"当主","")))</f>
      </c>
    </row>
    <row r="1699" ht="15.75" customHeight="1">
      <c r="A1699" s="4">
        <v>1039023</v>
      </c>
      <c r="B1699" s="12" t="str">
        <f t="array" ref="B1699">IF(A1699:A5739="","",_xlfn.XLOOKUP(A1699:A5739,'参照_武将'!A:A,'参照_武将'!B:B,"見つかりません"))</f>
      </c>
      <c r="C1699" s="4" t="s">
        <v>5948</v>
      </c>
      <c r="D1699" s="4">
        <v>39</v>
      </c>
      <c r="E1699" s="12" t="str">
        <f t="array" ref="E1699">IF(D1699:D5739="","",IFERROR(_xlfn.XLOOKUP(D1699:D5739,'参照_勢力'!A:A,'参照_勢力'!B:B),IFERROR(_xlfn.XLOOKUP(F1699:F5739,kunishuClan!A:A,kunishuClan!B:B),"浪人")))</f>
      </c>
      <c r="F1699" s="4">
        <v>0</v>
      </c>
      <c r="G1699" s="4">
        <v>238</v>
      </c>
      <c r="H1699" s="12" t="str">
        <f t="array" ref="H1699">IF(G1699:G5739="","",_xlfn.XLOOKUP(G1699:G5739,castles_state!A:A,castles_state!D:D,"見つかりません"))</f>
      </c>
      <c r="I1699" s="4"/>
      <c r="J1699" s="12" t="str">
        <f t="array" ref="J1699">IF(I1699:I5739="","",_xlfn.XLOOKUP(I1699:I5739,'参照_姫'!A:A,'参照_姫'!B:B,"見つかりません"))</f>
      </c>
      <c r="K1699" s="4">
        <v>95</v>
      </c>
      <c r="L1699" s="4">
        <v>0</v>
      </c>
      <c r="M1699" s="4"/>
      <c r="N1699" s="4"/>
      <c r="O1699" s="4"/>
      <c r="P1699" s="12" t="str">
        <f t="array" ref="P1699">IF(O1699:O5739="","",_xlfn.XLOOKUP(O1699:O5739,'参照_官位'!A:A,'参照_官位'!B:B,""))</f>
      </c>
      <c r="Q1699" s="12" t="str">
        <f t="array" ref="Q1699">IF(A1699:A5739="","",IFERROR(_xlfn.XLOOKUP(A1699:A5739,castles_state!K:K,castles_state!D:D)&amp;"主",IFERROR(_xlfn.XLOOKUP(A1699:A5739,kunishuClan!D:D,kunishuClan!B:B)&amp;"当主","")))</f>
      </c>
    </row>
    <row r="1700" ht="15.75" customHeight="1">
      <c r="A1700" s="4">
        <v>1039024</v>
      </c>
      <c r="B1700" s="12" t="str">
        <f t="array" ref="B1700">IF(A1700:A5740="","",_xlfn.XLOOKUP(A1700:A5740,'参照_武将'!A:A,'参照_武将'!B:B,"見つかりません"))</f>
      </c>
      <c r="C1700" s="4" t="s">
        <v>5948</v>
      </c>
      <c r="D1700" s="4">
        <v>39</v>
      </c>
      <c r="E1700" s="12" t="str">
        <f t="array" ref="E1700">IF(D1700:D5740="","",IFERROR(_xlfn.XLOOKUP(D1700:D5740,'参照_勢力'!A:A,'参照_勢力'!B:B),IFERROR(_xlfn.XLOOKUP(F1700:F5740,kunishuClan!A:A,kunishuClan!B:B),"浪人")))</f>
      </c>
      <c r="F1700" s="4">
        <v>0</v>
      </c>
      <c r="G1700" s="4">
        <v>238</v>
      </c>
      <c r="H1700" s="12" t="str">
        <f t="array" ref="H1700">IF(G1700:G5740="","",_xlfn.XLOOKUP(G1700:G5740,castles_state!A:A,castles_state!D:D,"見つかりません"))</f>
      </c>
      <c r="I1700" s="4"/>
      <c r="J1700" s="12" t="str">
        <f t="array" ref="J1700">IF(I1700:I5740="","",_xlfn.XLOOKUP(I1700:I5740,'参照_姫'!A:A,'参照_姫'!B:B,"見つかりません"))</f>
      </c>
      <c r="K1700" s="4">
        <v>95</v>
      </c>
      <c r="L1700" s="4">
        <v>0</v>
      </c>
      <c r="M1700" s="4"/>
      <c r="N1700" s="4"/>
      <c r="O1700" s="4"/>
      <c r="P1700" s="12" t="str">
        <f t="array" ref="P1700">IF(O1700:O5740="","",_xlfn.XLOOKUP(O1700:O5740,'参照_官位'!A:A,'参照_官位'!B:B,""))</f>
      </c>
      <c r="Q1700" s="12" t="str">
        <f t="array" ref="Q1700">IF(A1700:A5740="","",IFERROR(_xlfn.XLOOKUP(A1700:A5740,castles_state!K:K,castles_state!D:D)&amp;"主",IFERROR(_xlfn.XLOOKUP(A1700:A5740,kunishuClan!D:D,kunishuClan!B:B)&amp;"当主","")))</f>
      </c>
    </row>
    <row r="1701" ht="15.75" customHeight="1">
      <c r="A1701" s="4">
        <v>1039025</v>
      </c>
      <c r="B1701" s="12" t="str">
        <f t="array" ref="B1701">IF(A1701:A5741="","",_xlfn.XLOOKUP(A1701:A5741,'参照_武将'!A:A,'参照_武将'!B:B,"見つかりません"))</f>
      </c>
      <c r="C1701" s="4" t="s">
        <v>5948</v>
      </c>
      <c r="D1701" s="4">
        <v>39</v>
      </c>
      <c r="E1701" s="12" t="str">
        <f t="array" ref="E1701">IF(D1701:D5741="","",IFERROR(_xlfn.XLOOKUP(D1701:D5741,'参照_勢力'!A:A,'参照_勢力'!B:B),IFERROR(_xlfn.XLOOKUP(F1701:F5741,kunishuClan!A:A,kunishuClan!B:B),"浪人")))</f>
      </c>
      <c r="F1701" s="4">
        <v>0</v>
      </c>
      <c r="G1701" s="4">
        <v>238</v>
      </c>
      <c r="H1701" s="12" t="str">
        <f t="array" ref="H1701">IF(G1701:G5741="","",_xlfn.XLOOKUP(G1701:G5741,castles_state!A:A,castles_state!D:D,"見つかりません"))</f>
      </c>
      <c r="I1701" s="4"/>
      <c r="J1701" s="12" t="str">
        <f t="array" ref="J1701">IF(I1701:I5741="","",_xlfn.XLOOKUP(I1701:I5741,'参照_姫'!A:A,'参照_姫'!B:B,"見つかりません"))</f>
      </c>
      <c r="K1701" s="4">
        <v>95</v>
      </c>
      <c r="L1701" s="4">
        <v>0</v>
      </c>
      <c r="M1701" s="4"/>
      <c r="N1701" s="4"/>
      <c r="O1701" s="4"/>
      <c r="P1701" s="12" t="str">
        <f t="array" ref="P1701">IF(O1701:O5741="","",_xlfn.XLOOKUP(O1701:O5741,'参照_官位'!A:A,'参照_官位'!B:B,""))</f>
      </c>
      <c r="Q1701" s="12" t="str">
        <f t="array" ref="Q1701">IF(A1701:A5741="","",IFERROR(_xlfn.XLOOKUP(A1701:A5741,castles_state!K:K,castles_state!D:D)&amp;"主",IFERROR(_xlfn.XLOOKUP(A1701:A5741,kunishuClan!D:D,kunishuClan!B:B)&amp;"当主","")))</f>
      </c>
    </row>
    <row r="1702" ht="15.75" customHeight="1">
      <c r="A1702" s="4">
        <v>1039026</v>
      </c>
      <c r="B1702" s="12" t="str">
        <f t="array" ref="B1702">IF(A1702:A5742="","",_xlfn.XLOOKUP(A1702:A5742,'参照_武将'!A:A,'参照_武将'!B:B,"見つかりません"))</f>
      </c>
      <c r="C1702" s="4" t="s">
        <v>5948</v>
      </c>
      <c r="D1702" s="4">
        <v>39</v>
      </c>
      <c r="E1702" s="12" t="str">
        <f t="array" ref="E1702">IF(D1702:D5742="","",IFERROR(_xlfn.XLOOKUP(D1702:D5742,'参照_勢力'!A:A,'参照_勢力'!B:B),IFERROR(_xlfn.XLOOKUP(F1702:F5742,kunishuClan!A:A,kunishuClan!B:B),"浪人")))</f>
      </c>
      <c r="F1702" s="4">
        <v>0</v>
      </c>
      <c r="G1702" s="4">
        <v>238</v>
      </c>
      <c r="H1702" s="12" t="str">
        <f t="array" ref="H1702">IF(G1702:G5742="","",_xlfn.XLOOKUP(G1702:G5742,castles_state!A:A,castles_state!D:D,"見つかりません"))</f>
      </c>
      <c r="I1702" s="4"/>
      <c r="J1702" s="12" t="str">
        <f t="array" ref="J1702">IF(I1702:I5742="","",_xlfn.XLOOKUP(I1702:I5742,'参照_姫'!A:A,'参照_姫'!B:B,"見つかりません"))</f>
      </c>
      <c r="K1702" s="4">
        <v>95</v>
      </c>
      <c r="L1702" s="4">
        <v>0</v>
      </c>
      <c r="M1702" s="4"/>
      <c r="N1702" s="4"/>
      <c r="O1702" s="4"/>
      <c r="P1702" s="12" t="str">
        <f t="array" ref="P1702">IF(O1702:O5742="","",_xlfn.XLOOKUP(O1702:O5742,'参照_官位'!A:A,'参照_官位'!B:B,""))</f>
      </c>
      <c r="Q1702" s="12" t="str">
        <f t="array" ref="Q1702">IF(A1702:A5742="","",IFERROR(_xlfn.XLOOKUP(A1702:A5742,castles_state!K:K,castles_state!D:D)&amp;"主",IFERROR(_xlfn.XLOOKUP(A1702:A5742,kunishuClan!D:D,kunishuClan!B:B)&amp;"当主","")))</f>
      </c>
    </row>
    <row r="1703" ht="15.75" customHeight="1">
      <c r="A1703" s="4">
        <v>1039027</v>
      </c>
      <c r="B1703" s="12" t="str">
        <f t="array" ref="B1703">IF(A1703:A5743="","",_xlfn.XLOOKUP(A1703:A5743,'参照_武将'!A:A,'参照_武将'!B:B,"見つかりません"))</f>
      </c>
      <c r="C1703" s="4" t="s">
        <v>5948</v>
      </c>
      <c r="D1703" s="4">
        <v>39</v>
      </c>
      <c r="E1703" s="12" t="str">
        <f t="array" ref="E1703">IF(D1703:D5743="","",IFERROR(_xlfn.XLOOKUP(D1703:D5743,'参照_勢力'!A:A,'参照_勢力'!B:B),IFERROR(_xlfn.XLOOKUP(F1703:F5743,kunishuClan!A:A,kunishuClan!B:B),"浪人")))</f>
      </c>
      <c r="F1703" s="4">
        <v>0</v>
      </c>
      <c r="G1703" s="4">
        <v>238</v>
      </c>
      <c r="H1703" s="12" t="str">
        <f t="array" ref="H1703">IF(G1703:G5743="","",_xlfn.XLOOKUP(G1703:G5743,castles_state!A:A,castles_state!D:D,"見つかりません"))</f>
      </c>
      <c r="I1703" s="4"/>
      <c r="J1703" s="12" t="str">
        <f t="array" ref="J1703">IF(I1703:I5743="","",_xlfn.XLOOKUP(I1703:I5743,'参照_姫'!A:A,'参照_姫'!B:B,"見つかりません"))</f>
      </c>
      <c r="K1703" s="4">
        <v>90</v>
      </c>
      <c r="L1703" s="4">
        <v>300</v>
      </c>
      <c r="M1703" s="4" t="b">
        <v>1</v>
      </c>
      <c r="N1703" s="4"/>
      <c r="O1703" s="4"/>
      <c r="P1703" s="12" t="str">
        <f t="array" ref="P1703">IF(O1703:O5743="","",_xlfn.XLOOKUP(O1703:O5743,'参照_官位'!A:A,'参照_官位'!B:B,""))</f>
      </c>
      <c r="Q1703" s="12" t="str">
        <f t="array" ref="Q1703">IF(A1703:A5743="","",IFERROR(_xlfn.XLOOKUP(A1703:A5743,castles_state!K:K,castles_state!D:D)&amp;"主",IFERROR(_xlfn.XLOOKUP(A1703:A5743,kunishuClan!D:D,kunishuClan!B:B)&amp;"当主","")))</f>
      </c>
    </row>
    <row r="1704" ht="15.75" customHeight="1">
      <c r="A1704" s="4">
        <v>1039028</v>
      </c>
      <c r="B1704" s="12" t="str">
        <f t="array" ref="B1704">IF(A1704:A5744="","",_xlfn.XLOOKUP(A1704:A5744,'参照_武将'!A:A,'参照_武将'!B:B,"見つかりません"))</f>
      </c>
      <c r="C1704" s="4" t="s">
        <v>5947</v>
      </c>
      <c r="D1704" s="4">
        <v>226</v>
      </c>
      <c r="E1704" s="12" t="str">
        <f t="array" ref="E1704">IF(D1704:D5744="","",IFERROR(_xlfn.XLOOKUP(D1704:D5744,'参照_勢力'!A:A,'参照_勢力'!B:B),IFERROR(_xlfn.XLOOKUP(F1704:F5744,kunishuClan!A:A,kunishuClan!B:B),"浪人")))</f>
      </c>
      <c r="F1704" s="4">
        <v>0</v>
      </c>
      <c r="G1704" s="4">
        <v>105</v>
      </c>
      <c r="H1704" s="12" t="str">
        <f t="array" ref="H1704">IF(G1704:G5744="","",_xlfn.XLOOKUP(G1704:G5744,castles_state!A:A,castles_state!D:D,"見つかりません"))</f>
      </c>
      <c r="I1704" s="4"/>
      <c r="J1704" s="12" t="str">
        <f t="array" ref="J1704">IF(I1704:I5744="","",_xlfn.XLOOKUP(I1704:I5744,'参照_姫'!A:A,'参照_姫'!B:B,"見つかりません"))</f>
      </c>
      <c r="K1704" s="4">
        <v>95</v>
      </c>
      <c r="L1704" s="4">
        <v>0</v>
      </c>
      <c r="M1704" s="4"/>
      <c r="N1704" s="4"/>
      <c r="O1704" s="4"/>
      <c r="P1704" s="12" t="str">
        <f t="array" ref="P1704">IF(O1704:O5744="","",_xlfn.XLOOKUP(O1704:O5744,'参照_官位'!A:A,'参照_官位'!B:B,""))</f>
      </c>
      <c r="Q1704" s="12" t="str">
        <f t="array" ref="Q1704">IF(A1704:A5744="","",IFERROR(_xlfn.XLOOKUP(A1704:A5744,castles_state!K:K,castles_state!D:D)&amp;"主",IFERROR(_xlfn.XLOOKUP(A1704:A5744,kunishuClan!D:D,kunishuClan!B:B)&amp;"当主","")))</f>
      </c>
    </row>
    <row r="1705" ht="15.75" customHeight="1">
      <c r="A1705" s="4">
        <v>1039029</v>
      </c>
      <c r="B1705" s="12" t="str">
        <f t="array" ref="B1705">IF(A1705:A5745="","",_xlfn.XLOOKUP(A1705:A5745,'参照_武将'!A:A,'参照_武将'!B:B,"見つかりません"))</f>
      </c>
      <c r="C1705" s="4" t="s">
        <v>5947</v>
      </c>
      <c r="D1705" s="4">
        <v>226</v>
      </c>
      <c r="E1705" s="12" t="str">
        <f t="array" ref="E1705">IF(D1705:D5745="","",IFERROR(_xlfn.XLOOKUP(D1705:D5745,'参照_勢力'!A:A,'参照_勢力'!B:B),IFERROR(_xlfn.XLOOKUP(F1705:F5745,kunishuClan!A:A,kunishuClan!B:B),"浪人")))</f>
      </c>
      <c r="F1705" s="4">
        <v>0</v>
      </c>
      <c r="G1705" s="4">
        <v>105</v>
      </c>
      <c r="H1705" s="12" t="str">
        <f t="array" ref="H1705">IF(G1705:G5745="","",_xlfn.XLOOKUP(G1705:G5745,castles_state!A:A,castles_state!D:D,"見つかりません"))</f>
      </c>
      <c r="I1705" s="4"/>
      <c r="J1705" s="12" t="str">
        <f t="array" ref="J1705">IF(I1705:I5745="","",_xlfn.XLOOKUP(I1705:I5745,'参照_姫'!A:A,'参照_姫'!B:B,"見つかりません"))</f>
      </c>
      <c r="K1705" s="4">
        <v>95</v>
      </c>
      <c r="L1705" s="4">
        <v>0</v>
      </c>
      <c r="M1705" s="4"/>
      <c r="N1705" s="4"/>
      <c r="O1705" s="4"/>
      <c r="P1705" s="12" t="str">
        <f t="array" ref="P1705">IF(O1705:O5745="","",_xlfn.XLOOKUP(O1705:O5745,'参照_官位'!A:A,'参照_官位'!B:B,""))</f>
      </c>
      <c r="Q1705" s="12" t="str">
        <f t="array" ref="Q1705">IF(A1705:A5745="","",IFERROR(_xlfn.XLOOKUP(A1705:A5745,castles_state!K:K,castles_state!D:D)&amp;"主",IFERROR(_xlfn.XLOOKUP(A1705:A5745,kunishuClan!D:D,kunishuClan!B:B)&amp;"当主","")))</f>
      </c>
    </row>
    <row r="1706" ht="15.75" customHeight="1">
      <c r="A1706" s="4">
        <v>1039030</v>
      </c>
      <c r="B1706" s="12" t="str">
        <f t="array" ref="B1706">IF(A1706:A5746="","",_xlfn.XLOOKUP(A1706:A5746,'参照_武将'!A:A,'参照_武将'!B:B,"見つかりません"))</f>
      </c>
      <c r="C1706" s="4" t="s">
        <v>5947</v>
      </c>
      <c r="D1706" s="4">
        <v>226</v>
      </c>
      <c r="E1706" s="12" t="str">
        <f t="array" ref="E1706">IF(D1706:D5746="","",IFERROR(_xlfn.XLOOKUP(D1706:D5746,'参照_勢力'!A:A,'参照_勢力'!B:B),IFERROR(_xlfn.XLOOKUP(F1706:F5746,kunishuClan!A:A,kunishuClan!B:B),"浪人")))</f>
      </c>
      <c r="F1706" s="4">
        <v>0</v>
      </c>
      <c r="G1706" s="4">
        <v>105</v>
      </c>
      <c r="H1706" s="12" t="str">
        <f t="array" ref="H1706">IF(G1706:G5746="","",_xlfn.XLOOKUP(G1706:G5746,castles_state!A:A,castles_state!D:D,"見つかりません"))</f>
      </c>
      <c r="I1706" s="4"/>
      <c r="J1706" s="12" t="str">
        <f t="array" ref="J1706">IF(I1706:I5746="","",_xlfn.XLOOKUP(I1706:I5746,'参照_姫'!A:A,'参照_姫'!B:B,"見つかりません"))</f>
      </c>
      <c r="K1706" s="4">
        <v>95</v>
      </c>
      <c r="L1706" s="4">
        <v>0</v>
      </c>
      <c r="M1706" s="4"/>
      <c r="N1706" s="4"/>
      <c r="O1706" s="4"/>
      <c r="P1706" s="12" t="str">
        <f t="array" ref="P1706">IF(O1706:O5746="","",_xlfn.XLOOKUP(O1706:O5746,'参照_官位'!A:A,'参照_官位'!B:B,""))</f>
      </c>
      <c r="Q1706" s="12" t="str">
        <f t="array" ref="Q1706">IF(A1706:A5746="","",IFERROR(_xlfn.XLOOKUP(A1706:A5746,castles_state!K:K,castles_state!D:D)&amp;"主",IFERROR(_xlfn.XLOOKUP(A1706:A5746,kunishuClan!D:D,kunishuClan!B:B)&amp;"当主","")))</f>
      </c>
    </row>
    <row r="1707" ht="15.75" customHeight="1">
      <c r="A1707" s="4">
        <v>1039031</v>
      </c>
      <c r="B1707" s="12" t="str">
        <f t="array" ref="B1707">IF(A1707:A5747="","",_xlfn.XLOOKUP(A1707:A5747,'参照_武将'!A:A,'参照_武将'!B:B,"見つかりません"))</f>
      </c>
      <c r="C1707" s="4" t="s">
        <v>5947</v>
      </c>
      <c r="D1707" s="4">
        <v>226</v>
      </c>
      <c r="E1707" s="12" t="str">
        <f t="array" ref="E1707">IF(D1707:D5747="","",IFERROR(_xlfn.XLOOKUP(D1707:D5747,'参照_勢力'!A:A,'参照_勢力'!B:B),IFERROR(_xlfn.XLOOKUP(F1707:F5747,kunishuClan!A:A,kunishuClan!B:B),"浪人")))</f>
      </c>
      <c r="F1707" s="4">
        <v>0</v>
      </c>
      <c r="G1707" s="4">
        <v>105</v>
      </c>
      <c r="H1707" s="12" t="str">
        <f t="array" ref="H1707">IF(G1707:G5747="","",_xlfn.XLOOKUP(G1707:G5747,castles_state!A:A,castles_state!D:D,"見つかりません"))</f>
      </c>
      <c r="I1707" s="4"/>
      <c r="J1707" s="12" t="str">
        <f t="array" ref="J1707">IF(I1707:I5747="","",_xlfn.XLOOKUP(I1707:I5747,'参照_姫'!A:A,'参照_姫'!B:B,"見つかりません"))</f>
      </c>
      <c r="K1707" s="4">
        <v>95</v>
      </c>
      <c r="L1707" s="4">
        <v>0</v>
      </c>
      <c r="M1707" s="4"/>
      <c r="N1707" s="4"/>
      <c r="O1707" s="4"/>
      <c r="P1707" s="12" t="str">
        <f t="array" ref="P1707">IF(O1707:O5747="","",_xlfn.XLOOKUP(O1707:O5747,'参照_官位'!A:A,'参照_官位'!B:B,""))</f>
      </c>
      <c r="Q1707" s="12" t="str">
        <f t="array" ref="Q1707">IF(A1707:A5747="","",IFERROR(_xlfn.XLOOKUP(A1707:A5747,castles_state!K:K,castles_state!D:D)&amp;"主",IFERROR(_xlfn.XLOOKUP(A1707:A5747,kunishuClan!D:D,kunishuClan!B:B)&amp;"当主","")))</f>
      </c>
    </row>
    <row r="1708" ht="15.75" customHeight="1">
      <c r="A1708" s="4">
        <v>1039032</v>
      </c>
      <c r="B1708" s="12" t="str">
        <f t="array" ref="B1708">IF(A1708:A5748="","",_xlfn.XLOOKUP(A1708:A5748,'参照_武将'!A:A,'参照_武将'!B:B,"見つかりません"))</f>
      </c>
      <c r="C1708" s="4" t="s">
        <v>5947</v>
      </c>
      <c r="D1708" s="4">
        <v>226</v>
      </c>
      <c r="E1708" s="12" t="str">
        <f t="array" ref="E1708">IF(D1708:D5748="","",IFERROR(_xlfn.XLOOKUP(D1708:D5748,'参照_勢力'!A:A,'参照_勢力'!B:B),IFERROR(_xlfn.XLOOKUP(F1708:F5748,kunishuClan!A:A,kunishuClan!B:B),"浪人")))</f>
      </c>
      <c r="F1708" s="4">
        <v>0</v>
      </c>
      <c r="G1708" s="4">
        <v>105</v>
      </c>
      <c r="H1708" s="12" t="str">
        <f t="array" ref="H1708">IF(G1708:G5748="","",_xlfn.XLOOKUP(G1708:G5748,castles_state!A:A,castles_state!D:D,"見つかりません"))</f>
      </c>
      <c r="I1708" s="4"/>
      <c r="J1708" s="12" t="str">
        <f t="array" ref="J1708">IF(I1708:I5748="","",_xlfn.XLOOKUP(I1708:I5748,'参照_姫'!A:A,'参照_姫'!B:B,"見つかりません"))</f>
      </c>
      <c r="K1708" s="4">
        <v>95</v>
      </c>
      <c r="L1708" s="4">
        <v>0</v>
      </c>
      <c r="M1708" s="4"/>
      <c r="N1708" s="4"/>
      <c r="O1708" s="4"/>
      <c r="P1708" s="12" t="str">
        <f t="array" ref="P1708">IF(O1708:O5748="","",_xlfn.XLOOKUP(O1708:O5748,'参照_官位'!A:A,'参照_官位'!B:B,""))</f>
      </c>
      <c r="Q1708" s="12" t="str">
        <f t="array" ref="Q1708">IF(A1708:A5748="","",IFERROR(_xlfn.XLOOKUP(A1708:A5748,castles_state!K:K,castles_state!D:D)&amp;"主",IFERROR(_xlfn.XLOOKUP(A1708:A5748,kunishuClan!D:D,kunishuClan!B:B)&amp;"当主","")))</f>
      </c>
    </row>
    <row r="1709" ht="15.75" customHeight="1">
      <c r="A1709" s="4">
        <v>1039033</v>
      </c>
      <c r="B1709" s="12" t="str">
        <f t="array" ref="B1709">IF(A1709:A5749="","",_xlfn.XLOOKUP(A1709:A5749,'参照_武将'!A:A,'参照_武将'!B:B,"見つかりません"))</f>
      </c>
      <c r="C1709" s="4" t="s">
        <v>5948</v>
      </c>
      <c r="D1709" s="4">
        <v>39</v>
      </c>
      <c r="E1709" s="12" t="str">
        <f t="array" ref="E1709">IF(D1709:D5749="","",IFERROR(_xlfn.XLOOKUP(D1709:D5749,'参照_勢力'!A:A,'参照_勢力'!B:B),IFERROR(_xlfn.XLOOKUP(F1709:F5749,kunishuClan!A:A,kunishuClan!B:B),"浪人")))</f>
      </c>
      <c r="F1709" s="4">
        <v>0</v>
      </c>
      <c r="G1709" s="4">
        <v>238</v>
      </c>
      <c r="H1709" s="12" t="str">
        <f t="array" ref="H1709">IF(G1709:G5749="","",_xlfn.XLOOKUP(G1709:G5749,castles_state!A:A,castles_state!D:D,"見つかりません"))</f>
      </c>
      <c r="I1709" s="4"/>
      <c r="J1709" s="12" t="str">
        <f t="array" ref="J1709">IF(I1709:I5749="","",_xlfn.XLOOKUP(I1709:I5749,'参照_姫'!A:A,'参照_姫'!B:B,"見つかりません"))</f>
      </c>
      <c r="K1709" s="4">
        <v>90</v>
      </c>
      <c r="L1709" s="4">
        <v>0</v>
      </c>
      <c r="M1709" s="4"/>
      <c r="N1709" s="4"/>
      <c r="O1709" s="4"/>
      <c r="P1709" s="12" t="str">
        <f t="array" ref="P1709">IF(O1709:O5749="","",_xlfn.XLOOKUP(O1709:O5749,'参照_官位'!A:A,'参照_官位'!B:B,""))</f>
      </c>
      <c r="Q1709" s="12" t="str">
        <f t="array" ref="Q1709">IF(A1709:A5749="","",IFERROR(_xlfn.XLOOKUP(A1709:A5749,castles_state!K:K,castles_state!D:D)&amp;"主",IFERROR(_xlfn.XLOOKUP(A1709:A5749,kunishuClan!D:D,kunishuClan!B:B)&amp;"当主","")))</f>
      </c>
    </row>
    <row r="1710" ht="15.75" customHeight="1">
      <c r="A1710" s="4">
        <v>1039034</v>
      </c>
      <c r="B1710" s="12" t="str">
        <f t="array" ref="B1710">IF(A1710:A5750="","",_xlfn.XLOOKUP(A1710:A5750,'参照_武将'!A:A,'参照_武将'!B:B,"見つかりません"))</f>
      </c>
      <c r="C1710" s="4" t="s">
        <v>5948</v>
      </c>
      <c r="D1710" s="4">
        <v>39</v>
      </c>
      <c r="E1710" s="12" t="str">
        <f t="array" ref="E1710">IF(D1710:D5750="","",IFERROR(_xlfn.XLOOKUP(D1710:D5750,'参照_勢力'!A:A,'参照_勢力'!B:B),IFERROR(_xlfn.XLOOKUP(F1710:F5750,kunishuClan!A:A,kunishuClan!B:B),"浪人")))</f>
      </c>
      <c r="F1710" s="4">
        <v>0</v>
      </c>
      <c r="G1710" s="4">
        <v>85</v>
      </c>
      <c r="H1710" s="12" t="str">
        <f t="array" ref="H1710">IF(G1710:G5750="","",_xlfn.XLOOKUP(G1710:G5750,castles_state!A:A,castles_state!D:D,"見つかりません"))</f>
      </c>
      <c r="I1710" s="4"/>
      <c r="J1710" s="12" t="str">
        <f t="array" ref="J1710">IF(I1710:I5750="","",_xlfn.XLOOKUP(I1710:I5750,'参照_姫'!A:A,'参照_姫'!B:B,"見つかりません"))</f>
      </c>
      <c r="K1710" s="4">
        <v>95</v>
      </c>
      <c r="L1710" s="4">
        <v>0</v>
      </c>
      <c r="M1710" s="4"/>
      <c r="N1710" s="4"/>
      <c r="O1710" s="4"/>
      <c r="P1710" s="12" t="str">
        <f t="array" ref="P1710">IF(O1710:O5750="","",_xlfn.XLOOKUP(O1710:O5750,'参照_官位'!A:A,'参照_官位'!B:B,""))</f>
      </c>
      <c r="Q1710" s="12" t="str">
        <f t="array" ref="Q1710">IF(A1710:A5750="","",IFERROR(_xlfn.XLOOKUP(A1710:A5750,castles_state!K:K,castles_state!D:D)&amp;"主",IFERROR(_xlfn.XLOOKUP(A1710:A5750,kunishuClan!D:D,kunishuClan!B:B)&amp;"当主","")))</f>
      </c>
    </row>
    <row r="1711" ht="15.75" customHeight="1">
      <c r="A1711" s="4">
        <v>1039035</v>
      </c>
      <c r="B1711" s="12" t="str">
        <f t="array" ref="B1711">IF(A1711:A5751="","",_xlfn.XLOOKUP(A1711:A5751,'参照_武将'!A:A,'参照_武将'!B:B,"見つかりません"))</f>
      </c>
      <c r="C1711" s="4" t="s">
        <v>5948</v>
      </c>
      <c r="D1711" s="4">
        <v>39</v>
      </c>
      <c r="E1711" s="12" t="str">
        <f t="array" ref="E1711">IF(D1711:D5751="","",IFERROR(_xlfn.XLOOKUP(D1711:D5751,'参照_勢力'!A:A,'参照_勢力'!B:B),IFERROR(_xlfn.XLOOKUP(F1711:F5751,kunishuClan!A:A,kunishuClan!B:B),"浪人")))</f>
      </c>
      <c r="F1711" s="4">
        <v>0</v>
      </c>
      <c r="G1711" s="4">
        <v>238</v>
      </c>
      <c r="H1711" s="12" t="str">
        <f t="array" ref="H1711">IF(G1711:G5751="","",_xlfn.XLOOKUP(G1711:G5751,castles_state!A:A,castles_state!D:D,"見つかりません"))</f>
      </c>
      <c r="I1711" s="4"/>
      <c r="J1711" s="12" t="str">
        <f t="array" ref="J1711">IF(I1711:I5751="","",_xlfn.XLOOKUP(I1711:I5751,'参照_姫'!A:A,'参照_姫'!B:B,"見つかりません"))</f>
      </c>
      <c r="K1711" s="4">
        <v>90</v>
      </c>
      <c r="L1711" s="4">
        <v>0</v>
      </c>
      <c r="M1711" s="4"/>
      <c r="N1711" s="4"/>
      <c r="O1711" s="4"/>
      <c r="P1711" s="12" t="str">
        <f t="array" ref="P1711">IF(O1711:O5751="","",_xlfn.XLOOKUP(O1711:O5751,'参照_官位'!A:A,'参照_官位'!B:B,""))</f>
      </c>
      <c r="Q1711" s="12" t="str">
        <f t="array" ref="Q1711">IF(A1711:A5751="","",IFERROR(_xlfn.XLOOKUP(A1711:A5751,castles_state!K:K,castles_state!D:D)&amp;"主",IFERROR(_xlfn.XLOOKUP(A1711:A5751,kunishuClan!D:D,kunishuClan!B:B)&amp;"当主","")))</f>
      </c>
    </row>
    <row r="1712" ht="15.75" customHeight="1">
      <c r="A1712" s="4">
        <v>1040001</v>
      </c>
      <c r="B1712" s="12" t="str">
        <f t="array" ref="B1712">IF(A1712:A5754="","",_xlfn.XLOOKUP(A1712:A5754,'参照_武将'!A:A,'参照_武将'!B:B,"見つかりません"))</f>
      </c>
      <c r="C1712" s="4" t="s">
        <v>217</v>
      </c>
      <c r="D1712" s="4">
        <v>40</v>
      </c>
      <c r="E1712" s="12" t="str">
        <f t="array" ref="E1712">IF(D1712:D5754="","",IFERROR(_xlfn.XLOOKUP(D1712:D5754,'参照_勢力'!A:A,'参照_勢力'!B:B),IFERROR(_xlfn.XLOOKUP(F1712:F5754,kunishuClan!A:A,kunishuClan!B:B),"浪人")))</f>
      </c>
      <c r="F1712" s="4">
        <v>0</v>
      </c>
      <c r="G1712" s="4">
        <v>104</v>
      </c>
      <c r="H1712" s="12" t="str">
        <f t="array" ref="H1712">IF(G1712:G5754="","",_xlfn.XLOOKUP(G1712:G5754,castles_state!A:A,castles_state!D:D,"見つかりません"))</f>
      </c>
      <c r="I1712" s="4"/>
      <c r="J1712" s="12" t="str">
        <f t="array" ref="J1712">IF(I1712:I5754="","",_xlfn.XLOOKUP(I1712:I5754,'参照_姫'!A:A,'参照_姫'!B:B,"見つかりません"))</f>
      </c>
      <c r="K1712" s="4">
        <v>95</v>
      </c>
      <c r="L1712" s="4">
        <v>0</v>
      </c>
      <c r="M1712" s="4"/>
      <c r="N1712" s="4"/>
      <c r="O1712" s="4"/>
      <c r="P1712" s="12" t="str">
        <f t="array" ref="P1712">IF(O1712:O5754="","",_xlfn.XLOOKUP(O1712:O5754,'参照_官位'!A:A,'参照_官位'!B:B,""))</f>
      </c>
      <c r="Q1712" s="12" t="str">
        <f t="array" ref="Q1712">IF(A1712:A5754="","",IFERROR(_xlfn.XLOOKUP(A1712:A5754,castles_state!K:K,castles_state!D:D)&amp;"主",IFERROR(_xlfn.XLOOKUP(A1712:A5754,kunishuClan!D:D,kunishuClan!B:B)&amp;"当主","")))</f>
      </c>
    </row>
    <row r="1713" ht="15.75" customHeight="1">
      <c r="A1713" s="4">
        <v>1040002</v>
      </c>
      <c r="B1713" s="12" t="str">
        <f t="array" ref="B1713">IF(A1713:A5755="","",_xlfn.XLOOKUP(A1713:A5755,'参照_武将'!A:A,'参照_武将'!B:B,"見つかりません"))</f>
      </c>
      <c r="C1713" s="4" t="s">
        <v>217</v>
      </c>
      <c r="D1713" s="4">
        <v>40</v>
      </c>
      <c r="E1713" s="12" t="str">
        <f t="array" ref="E1713">IF(D1713:D5755="","",IFERROR(_xlfn.XLOOKUP(D1713:D5755,'参照_勢力'!A:A,'参照_勢力'!B:B),IFERROR(_xlfn.XLOOKUP(F1713:F5755,kunishuClan!A:A,kunishuClan!B:B),"浪人")))</f>
      </c>
      <c r="F1713" s="4">
        <v>0</v>
      </c>
      <c r="G1713" s="4">
        <v>239</v>
      </c>
      <c r="H1713" s="12" t="str">
        <f t="array" ref="H1713">IF(G1713:G5755="","",_xlfn.XLOOKUP(G1713:G5755,castles_state!A:A,castles_state!D:D,"見つかりません"))</f>
      </c>
      <c r="I1713" s="4"/>
      <c r="J1713" s="12" t="str">
        <f t="array" ref="J1713">IF(I1713:I5755="","",_xlfn.XLOOKUP(I1713:I5755,'参照_姫'!A:A,'参照_姫'!B:B,"見つかりません"))</f>
      </c>
      <c r="K1713" s="4">
        <v>80</v>
      </c>
      <c r="L1713" s="4">
        <v>700</v>
      </c>
      <c r="M1713" s="4"/>
      <c r="N1713" s="4"/>
      <c r="O1713" s="4"/>
      <c r="P1713" s="12" t="str">
        <f t="array" ref="P1713">IF(O1713:O5755="","",_xlfn.XLOOKUP(O1713:O5755,'参照_官位'!A:A,'参照_官位'!B:B,""))</f>
      </c>
      <c r="Q1713" s="12" t="str">
        <f t="array" ref="Q1713">IF(A1713:A5755="","",IFERROR(_xlfn.XLOOKUP(A1713:A5755,castles_state!K:K,castles_state!D:D)&amp;"主",IFERROR(_xlfn.XLOOKUP(A1713:A5755,kunishuClan!D:D,kunishuClan!B:B)&amp;"当主","")))</f>
      </c>
    </row>
    <row r="1714" ht="15.75" customHeight="1">
      <c r="A1714" s="4">
        <v>1040003</v>
      </c>
      <c r="B1714" s="12" t="str">
        <f t="array" ref="B1714">IF(A1714:A5756="","",_xlfn.XLOOKUP(A1714:A5756,'参照_武将'!A:A,'参照_武将'!B:B,"見つかりません"))</f>
      </c>
      <c r="C1714" s="4" t="s">
        <v>217</v>
      </c>
      <c r="D1714" s="4">
        <v>40</v>
      </c>
      <c r="E1714" s="12" t="str">
        <f t="array" ref="E1714">IF(D1714:D5756="","",IFERROR(_xlfn.XLOOKUP(D1714:D5756,'参照_勢力'!A:A,'参照_勢力'!B:B),IFERROR(_xlfn.XLOOKUP(F1714:F5756,kunishuClan!A:A,kunishuClan!B:B),"浪人")))</f>
      </c>
      <c r="F1714" s="4">
        <v>0</v>
      </c>
      <c r="G1714" s="4">
        <v>104</v>
      </c>
      <c r="H1714" s="12" t="str">
        <f t="array" ref="H1714">IF(G1714:G5756="","",_xlfn.XLOOKUP(G1714:G5756,castles_state!A:A,castles_state!D:D,"見つかりません"))</f>
      </c>
      <c r="I1714" s="4"/>
      <c r="J1714" s="12" t="str">
        <f t="array" ref="J1714">IF(I1714:I5756="","",_xlfn.XLOOKUP(I1714:I5756,'参照_姫'!A:A,'参照_姫'!B:B,"見つかりません"))</f>
      </c>
      <c r="K1714" s="4">
        <v>100</v>
      </c>
      <c r="L1714" s="4">
        <v>1500</v>
      </c>
      <c r="M1714" s="4"/>
      <c r="N1714" s="4"/>
      <c r="O1714" s="4"/>
      <c r="P1714" s="12" t="str">
        <f t="array" ref="P1714">IF(O1714:O5756="","",_xlfn.XLOOKUP(O1714:O5756,'参照_官位'!A:A,'参照_官位'!B:B,""))</f>
      </c>
      <c r="Q1714" s="12" t="str">
        <f t="array" ref="Q1714">IF(A1714:A5756="","",IFERROR(_xlfn.XLOOKUP(A1714:A5756,castles_state!K:K,castles_state!D:D)&amp;"主",IFERROR(_xlfn.XLOOKUP(A1714:A5756,kunishuClan!D:D,kunishuClan!B:B)&amp;"当主","")))</f>
      </c>
    </row>
    <row r="1715" ht="15.75" customHeight="1">
      <c r="A1715" s="4">
        <v>1040004</v>
      </c>
      <c r="B1715" s="12" t="str">
        <f t="array" ref="B1715">IF(A1715:A5757="","",_xlfn.XLOOKUP(A1715:A5757,'参照_武将'!A:A,'参照_武将'!B:B,"見つかりません"))</f>
      </c>
      <c r="C1715" s="4" t="s">
        <v>217</v>
      </c>
      <c r="D1715" s="4">
        <v>40</v>
      </c>
      <c r="E1715" s="12" t="str">
        <f t="array" ref="E1715">IF(D1715:D5757="","",IFERROR(_xlfn.XLOOKUP(D1715:D5757,'参照_勢力'!A:A,'参照_勢力'!B:B),IFERROR(_xlfn.XLOOKUP(F1715:F5757,kunishuClan!A:A,kunishuClan!B:B),"浪人")))</f>
      </c>
      <c r="F1715" s="4">
        <v>0</v>
      </c>
      <c r="G1715" s="4">
        <v>104</v>
      </c>
      <c r="H1715" s="12" t="str">
        <f t="array" ref="H1715">IF(G1715:G5757="","",_xlfn.XLOOKUP(G1715:G5757,castles_state!A:A,castles_state!D:D,"見つかりません"))</f>
      </c>
      <c r="I1715" s="4"/>
      <c r="J1715" s="12" t="str">
        <f t="array" ref="J1715">IF(I1715:I5757="","",_xlfn.XLOOKUP(I1715:I5757,'参照_姫'!A:A,'参照_姫'!B:B,"見つかりません"))</f>
      </c>
      <c r="K1715" s="4">
        <v>95</v>
      </c>
      <c r="L1715" s="4">
        <v>500</v>
      </c>
      <c r="M1715" s="4"/>
      <c r="N1715" s="4"/>
      <c r="O1715" s="4"/>
      <c r="P1715" s="12" t="str">
        <f t="array" ref="P1715">IF(O1715:O5757="","",_xlfn.XLOOKUP(O1715:O5757,'参照_官位'!A:A,'参照_官位'!B:B,""))</f>
      </c>
      <c r="Q1715" s="12" t="str">
        <f t="array" ref="Q1715">IF(A1715:A5757="","",IFERROR(_xlfn.XLOOKUP(A1715:A5757,castles_state!K:K,castles_state!D:D)&amp;"主",IFERROR(_xlfn.XLOOKUP(A1715:A5757,kunishuClan!D:D,kunishuClan!B:B)&amp;"当主","")))</f>
      </c>
    </row>
    <row r="1716" ht="15.75" customHeight="1">
      <c r="A1716" s="4">
        <v>1040005</v>
      </c>
      <c r="B1716" s="12" t="str">
        <f t="array" ref="B1716">IF(A1716:A5758="","",_xlfn.XLOOKUP(A1716:A5758,'参照_武将'!A:A,'参照_武将'!B:B,"見つかりません"))</f>
      </c>
      <c r="C1716" s="4" t="s">
        <v>217</v>
      </c>
      <c r="D1716" s="4">
        <v>40</v>
      </c>
      <c r="E1716" s="12" t="str">
        <f t="array" ref="E1716">IF(D1716:D5758="","",IFERROR(_xlfn.XLOOKUP(D1716:D5758,'参照_勢力'!A:A,'参照_勢力'!B:B),IFERROR(_xlfn.XLOOKUP(F1716:F5758,kunishuClan!A:A,kunishuClan!B:B),"浪人")))</f>
      </c>
      <c r="F1716" s="4">
        <v>0</v>
      </c>
      <c r="G1716" s="4">
        <v>104</v>
      </c>
      <c r="H1716" s="12" t="str">
        <f t="array" ref="H1716">IF(G1716:G5758="","",_xlfn.XLOOKUP(G1716:G5758,castles_state!A:A,castles_state!D:D,"見つかりません"))</f>
      </c>
      <c r="I1716" s="4"/>
      <c r="J1716" s="12" t="str">
        <f t="array" ref="J1716">IF(I1716:I5758="","",_xlfn.XLOOKUP(I1716:I5758,'参照_姫'!A:A,'参照_姫'!B:B,"見つかりません"))</f>
      </c>
      <c r="K1716" s="4">
        <v>95</v>
      </c>
      <c r="L1716" s="4">
        <v>500</v>
      </c>
      <c r="M1716" s="4"/>
      <c r="N1716" s="4"/>
      <c r="O1716" s="4"/>
      <c r="P1716" s="12" t="str">
        <f t="array" ref="P1716">IF(O1716:O5758="","",_xlfn.XLOOKUP(O1716:O5758,'参照_官位'!A:A,'参照_官位'!B:B,""))</f>
      </c>
      <c r="Q1716" s="12" t="str">
        <f t="array" ref="Q1716">IF(A1716:A5758="","",IFERROR(_xlfn.XLOOKUP(A1716:A5758,castles_state!K:K,castles_state!D:D)&amp;"主",IFERROR(_xlfn.XLOOKUP(A1716:A5758,kunishuClan!D:D,kunishuClan!B:B)&amp;"当主","")))</f>
      </c>
    </row>
    <row r="1717" ht="15.75" customHeight="1">
      <c r="A1717" s="4">
        <v>1040006</v>
      </c>
      <c r="B1717" s="12" t="str">
        <f t="array" ref="B1717">IF(A1717:A5759="","",_xlfn.XLOOKUP(A1717:A5759,'参照_武将'!A:A,'参照_武将'!B:B,"見つかりません"))</f>
      </c>
      <c r="C1717" s="4" t="s">
        <v>217</v>
      </c>
      <c r="D1717" s="4">
        <v>40</v>
      </c>
      <c r="E1717" s="12" t="str">
        <f t="array" ref="E1717">IF(D1717:D5759="","",IFERROR(_xlfn.XLOOKUP(D1717:D5759,'参照_勢力'!A:A,'参照_勢力'!B:B),IFERROR(_xlfn.XLOOKUP(F1717:F5759,kunishuClan!A:A,kunishuClan!B:B),"浪人")))</f>
      </c>
      <c r="F1717" s="4">
        <v>0</v>
      </c>
      <c r="G1717" s="4">
        <v>239</v>
      </c>
      <c r="H1717" s="12" t="str">
        <f t="array" ref="H1717">IF(G1717:G5759="","",_xlfn.XLOOKUP(G1717:G5759,castles_state!A:A,castles_state!D:D,"見つかりません"))</f>
      </c>
      <c r="I1717" s="4"/>
      <c r="J1717" s="12" t="str">
        <f t="array" ref="J1717">IF(I1717:I5759="","",_xlfn.XLOOKUP(I1717:I5759,'参照_姫'!A:A,'参照_姫'!B:B,"見つかりません"))</f>
      </c>
      <c r="K1717" s="4">
        <v>90</v>
      </c>
      <c r="L1717" s="4">
        <v>200</v>
      </c>
      <c r="M1717" s="4"/>
      <c r="N1717" s="4"/>
      <c r="O1717" s="4"/>
      <c r="P1717" s="12" t="str">
        <f t="array" ref="P1717">IF(O1717:O5759="","",_xlfn.XLOOKUP(O1717:O5759,'参照_官位'!A:A,'参照_官位'!B:B,""))</f>
      </c>
      <c r="Q1717" s="12" t="str">
        <f t="array" ref="Q1717">IF(A1717:A5759="","",IFERROR(_xlfn.XLOOKUP(A1717:A5759,castles_state!K:K,castles_state!D:D)&amp;"主",IFERROR(_xlfn.XLOOKUP(A1717:A5759,kunishuClan!D:D,kunishuClan!B:B)&amp;"当主","")))</f>
      </c>
    </row>
    <row r="1718" ht="15.75" customHeight="1">
      <c r="A1718" s="4">
        <v>1040007</v>
      </c>
      <c r="B1718" s="12" t="str">
        <f t="array" ref="B1718">IF(A1718:A5760="","",_xlfn.XLOOKUP(A1718:A5760,'参照_武将'!A:A,'参照_武将'!B:B,"見つかりません"))</f>
      </c>
      <c r="C1718" s="4" t="s">
        <v>217</v>
      </c>
      <c r="D1718" s="4">
        <v>40</v>
      </c>
      <c r="E1718" s="12" t="str">
        <f t="array" ref="E1718">IF(D1718:D5760="","",IFERROR(_xlfn.XLOOKUP(D1718:D5760,'参照_勢力'!A:A,'参照_勢力'!B:B),IFERROR(_xlfn.XLOOKUP(F1718:F5760,kunishuClan!A:A,kunishuClan!B:B),"浪人")))</f>
      </c>
      <c r="F1718" s="4">
        <v>0</v>
      </c>
      <c r="G1718" s="4">
        <v>239</v>
      </c>
      <c r="H1718" s="12" t="str">
        <f t="array" ref="H1718">IF(G1718:G5760="","",_xlfn.XLOOKUP(G1718:G5760,castles_state!A:A,castles_state!D:D,"見つかりません"))</f>
      </c>
      <c r="I1718" s="4"/>
      <c r="J1718" s="12" t="str">
        <f t="array" ref="J1718">IF(I1718:I5760="","",_xlfn.XLOOKUP(I1718:I5760,'参照_姫'!A:A,'参照_姫'!B:B,"見つかりません"))</f>
      </c>
      <c r="K1718" s="4">
        <v>90</v>
      </c>
      <c r="L1718" s="4">
        <v>0</v>
      </c>
      <c r="M1718" s="4"/>
      <c r="N1718" s="4"/>
      <c r="O1718" s="4"/>
      <c r="P1718" s="12" t="str">
        <f t="array" ref="P1718">IF(O1718:O5760="","",_xlfn.XLOOKUP(O1718:O5760,'参照_官位'!A:A,'参照_官位'!B:B,""))</f>
      </c>
      <c r="Q1718" s="12" t="str">
        <f t="array" ref="Q1718">IF(A1718:A5760="","",IFERROR(_xlfn.XLOOKUP(A1718:A5760,castles_state!K:K,castles_state!D:D)&amp;"主",IFERROR(_xlfn.XLOOKUP(A1718:A5760,kunishuClan!D:D,kunishuClan!B:B)&amp;"当主","")))</f>
      </c>
    </row>
    <row r="1719" ht="15.75" customHeight="1">
      <c r="A1719" s="4">
        <v>1040008</v>
      </c>
      <c r="B1719" s="12" t="str">
        <f t="array" ref="B1719">IF(A1719:A5761="","",_xlfn.XLOOKUP(A1719:A5761,'参照_武将'!A:A,'参照_武将'!B:B,"見つかりません"))</f>
      </c>
      <c r="C1719" s="4" t="s">
        <v>217</v>
      </c>
      <c r="D1719" s="4">
        <v>40</v>
      </c>
      <c r="E1719" s="12" t="str">
        <f t="array" ref="E1719">IF(D1719:D5761="","",IFERROR(_xlfn.XLOOKUP(D1719:D5761,'参照_勢力'!A:A,'参照_勢力'!B:B),IFERROR(_xlfn.XLOOKUP(F1719:F5761,kunishuClan!A:A,kunishuClan!B:B),"浪人")))</f>
      </c>
      <c r="F1719" s="4">
        <v>0</v>
      </c>
      <c r="G1719" s="4">
        <v>104</v>
      </c>
      <c r="H1719" s="12" t="str">
        <f t="array" ref="H1719">IF(G1719:G5761="","",_xlfn.XLOOKUP(G1719:G5761,castles_state!A:A,castles_state!D:D,"見つかりません"))</f>
      </c>
      <c r="I1719" s="4"/>
      <c r="J1719" s="12" t="str">
        <f t="array" ref="J1719">IF(I1719:I5761="","",_xlfn.XLOOKUP(I1719:I5761,'参照_姫'!A:A,'参照_姫'!B:B,"見つかりません"))</f>
      </c>
      <c r="K1719" s="4">
        <v>90</v>
      </c>
      <c r="L1719" s="4">
        <v>0</v>
      </c>
      <c r="M1719" s="4"/>
      <c r="N1719" s="4"/>
      <c r="O1719" s="4"/>
      <c r="P1719" s="12" t="str">
        <f t="array" ref="P1719">IF(O1719:O5761="","",_xlfn.XLOOKUP(O1719:O5761,'参照_官位'!A:A,'参照_官位'!B:B,""))</f>
      </c>
      <c r="Q1719" s="12" t="str">
        <f t="array" ref="Q1719">IF(A1719:A5761="","",IFERROR(_xlfn.XLOOKUP(A1719:A5761,castles_state!K:K,castles_state!D:D)&amp;"主",IFERROR(_xlfn.XLOOKUP(A1719:A5761,kunishuClan!D:D,kunishuClan!B:B)&amp;"当主","")))</f>
      </c>
    </row>
    <row r="1720" ht="15.75" customHeight="1">
      <c r="A1720" s="4">
        <v>1040009</v>
      </c>
      <c r="B1720" s="12" t="str">
        <f t="array" ref="B1720">IF(A1720:A5762="","",_xlfn.XLOOKUP(A1720:A5762,'参照_武将'!A:A,'参照_武将'!B:B,"見つかりません"))</f>
      </c>
      <c r="C1720" s="4" t="s">
        <v>217</v>
      </c>
      <c r="D1720" s="4">
        <v>40</v>
      </c>
      <c r="E1720" s="12" t="str">
        <f t="array" ref="E1720">IF(D1720:D5762="","",IFERROR(_xlfn.XLOOKUP(D1720:D5762,'参照_勢力'!A:A,'参照_勢力'!B:B),IFERROR(_xlfn.XLOOKUP(F1720:F5762,kunishuClan!A:A,kunishuClan!B:B),"浪人")))</f>
      </c>
      <c r="F1720" s="4">
        <v>0</v>
      </c>
      <c r="G1720" s="4">
        <v>104</v>
      </c>
      <c r="H1720" s="12" t="str">
        <f t="array" ref="H1720">IF(G1720:G5762="","",_xlfn.XLOOKUP(G1720:G5762,castles_state!A:A,castles_state!D:D,"見つかりません"))</f>
      </c>
      <c r="I1720" s="4"/>
      <c r="J1720" s="12" t="str">
        <f t="array" ref="J1720">IF(I1720:I5762="","",_xlfn.XLOOKUP(I1720:I5762,'参照_姫'!A:A,'参照_姫'!B:B,"見つかりません"))</f>
      </c>
      <c r="K1720" s="4">
        <v>95</v>
      </c>
      <c r="L1720" s="4">
        <v>0</v>
      </c>
      <c r="M1720" s="4"/>
      <c r="N1720" s="4"/>
      <c r="O1720" s="4"/>
      <c r="P1720" s="12" t="str">
        <f t="array" ref="P1720">IF(O1720:O5762="","",_xlfn.XLOOKUP(O1720:O5762,'参照_官位'!A:A,'参照_官位'!B:B,""))</f>
      </c>
      <c r="Q1720" s="12" t="str">
        <f t="array" ref="Q1720">IF(A1720:A5762="","",IFERROR(_xlfn.XLOOKUP(A1720:A5762,castles_state!K:K,castles_state!D:D)&amp;"主",IFERROR(_xlfn.XLOOKUP(A1720:A5762,kunishuClan!D:D,kunishuClan!B:B)&amp;"当主","")))</f>
      </c>
    </row>
    <row r="1721" ht="15.75" customHeight="1">
      <c r="A1721" s="4">
        <v>1040010</v>
      </c>
      <c r="B1721" s="12" t="str">
        <f t="array" ref="B1721">IF(A1721:A5763="","",_xlfn.XLOOKUP(A1721:A5763,'参照_武将'!A:A,'参照_武将'!B:B,"見つかりません"))</f>
      </c>
      <c r="C1721" s="4" t="s">
        <v>217</v>
      </c>
      <c r="D1721" s="4">
        <v>40</v>
      </c>
      <c r="E1721" s="12" t="str">
        <f t="array" ref="E1721">IF(D1721:D5763="","",IFERROR(_xlfn.XLOOKUP(D1721:D5763,'参照_勢力'!A:A,'参照_勢力'!B:B),IFERROR(_xlfn.XLOOKUP(F1721:F5763,kunishuClan!A:A,kunishuClan!B:B),"浪人")))</f>
      </c>
      <c r="F1721" s="4">
        <v>0</v>
      </c>
      <c r="G1721" s="4">
        <v>104</v>
      </c>
      <c r="H1721" s="12" t="str">
        <f t="array" ref="H1721">IF(G1721:G5763="","",_xlfn.XLOOKUP(G1721:G5763,castles_state!A:A,castles_state!D:D,"見つかりません"))</f>
      </c>
      <c r="I1721" s="4"/>
      <c r="J1721" s="12" t="str">
        <f t="array" ref="J1721">IF(I1721:I5763="","",_xlfn.XLOOKUP(I1721:I5763,'参照_姫'!A:A,'参照_姫'!B:B,"見つかりません"))</f>
      </c>
      <c r="K1721" s="4">
        <v>95</v>
      </c>
      <c r="L1721" s="4">
        <v>0</v>
      </c>
      <c r="M1721" s="4" t="b">
        <v>1</v>
      </c>
      <c r="N1721" s="4"/>
      <c r="O1721" s="4"/>
      <c r="P1721" s="12" t="str">
        <f t="array" ref="P1721">IF(O1721:O5763="","",_xlfn.XLOOKUP(O1721:O5763,'参照_官位'!A:A,'参照_官位'!B:B,""))</f>
      </c>
      <c r="Q1721" s="12" t="str">
        <f t="array" ref="Q1721">IF(A1721:A5763="","",IFERROR(_xlfn.XLOOKUP(A1721:A5763,castles_state!K:K,castles_state!D:D)&amp;"主",IFERROR(_xlfn.XLOOKUP(A1721:A5763,kunishuClan!D:D,kunishuClan!B:B)&amp;"当主","")))</f>
      </c>
    </row>
    <row r="1722" ht="15.75" customHeight="1">
      <c r="A1722" s="4">
        <v>1040011</v>
      </c>
      <c r="B1722" s="12" t="str">
        <f t="array" ref="B1722">IF(A1722:A5764="","",_xlfn.XLOOKUP(A1722:A5764,'参照_武将'!A:A,'参照_武将'!B:B,"見つかりません"))</f>
      </c>
      <c r="C1722" s="4" t="s">
        <v>217</v>
      </c>
      <c r="D1722" s="4">
        <v>40</v>
      </c>
      <c r="E1722" s="12" t="str">
        <f t="array" ref="E1722">IF(D1722:D5764="","",IFERROR(_xlfn.XLOOKUP(D1722:D5764,'参照_勢力'!A:A,'参照_勢力'!B:B),IFERROR(_xlfn.XLOOKUP(F1722:F5764,kunishuClan!A:A,kunishuClan!B:B),"浪人")))</f>
      </c>
      <c r="F1722" s="4">
        <v>0</v>
      </c>
      <c r="G1722" s="4">
        <v>104</v>
      </c>
      <c r="H1722" s="12" t="str">
        <f t="array" ref="H1722">IF(G1722:G5764="","",_xlfn.XLOOKUP(G1722:G5764,castles_state!A:A,castles_state!D:D,"見つかりません"))</f>
      </c>
      <c r="I1722" s="4"/>
      <c r="J1722" s="12" t="str">
        <f t="array" ref="J1722">IF(I1722:I5764="","",_xlfn.XLOOKUP(I1722:I5764,'参照_姫'!A:A,'参照_姫'!B:B,"見つかりません"))</f>
      </c>
      <c r="K1722" s="4">
        <v>95</v>
      </c>
      <c r="L1722" s="4">
        <v>0</v>
      </c>
      <c r="M1722" s="4"/>
      <c r="N1722" s="4"/>
      <c r="O1722" s="4"/>
      <c r="P1722" s="12" t="str">
        <f t="array" ref="P1722">IF(O1722:O5764="","",_xlfn.XLOOKUP(O1722:O5764,'参照_官位'!A:A,'参照_官位'!B:B,""))</f>
      </c>
      <c r="Q1722" s="12" t="str">
        <f t="array" ref="Q1722">IF(A1722:A5764="","",IFERROR(_xlfn.XLOOKUP(A1722:A5764,castles_state!K:K,castles_state!D:D)&amp;"主",IFERROR(_xlfn.XLOOKUP(A1722:A5764,kunishuClan!D:D,kunishuClan!B:B)&amp;"当主","")))</f>
      </c>
    </row>
    <row r="1723" ht="15.75" customHeight="1">
      <c r="A1723" s="4">
        <v>1040012</v>
      </c>
      <c r="B1723" s="12" t="str">
        <f t="array" ref="B1723">IF(A1723:A5765="","",_xlfn.XLOOKUP(A1723:A5765,'参照_武将'!A:A,'参照_武将'!B:B,"見つかりません"))</f>
      </c>
      <c r="C1723" s="4" t="s">
        <v>217</v>
      </c>
      <c r="D1723" s="4">
        <v>40</v>
      </c>
      <c r="E1723" s="12" t="str">
        <f t="array" ref="E1723">IF(D1723:D5765="","",IFERROR(_xlfn.XLOOKUP(D1723:D5765,'参照_勢力'!A:A,'参照_勢力'!B:B),IFERROR(_xlfn.XLOOKUP(F1723:F5765,kunishuClan!A:A,kunishuClan!B:B),"浪人")))</f>
      </c>
      <c r="F1723" s="4">
        <v>0</v>
      </c>
      <c r="G1723" s="4">
        <v>104</v>
      </c>
      <c r="H1723" s="12" t="str">
        <f t="array" ref="H1723">IF(G1723:G5765="","",_xlfn.XLOOKUP(G1723:G5765,castles_state!A:A,castles_state!D:D,"見つかりません"))</f>
      </c>
      <c r="I1723" s="4"/>
      <c r="J1723" s="12" t="str">
        <f t="array" ref="J1723">IF(I1723:I5765="","",_xlfn.XLOOKUP(I1723:I5765,'参照_姫'!A:A,'参照_姫'!B:B,"見つかりません"))</f>
      </c>
      <c r="K1723" s="4">
        <v>95</v>
      </c>
      <c r="L1723" s="4">
        <v>0</v>
      </c>
      <c r="M1723" s="4"/>
      <c r="N1723" s="4"/>
      <c r="O1723" s="4"/>
      <c r="P1723" s="12" t="str">
        <f t="array" ref="P1723">IF(O1723:O5765="","",_xlfn.XLOOKUP(O1723:O5765,'参照_官位'!A:A,'参照_官位'!B:B,""))</f>
      </c>
      <c r="Q1723" s="12" t="str">
        <f t="array" ref="Q1723">IF(A1723:A5765="","",IFERROR(_xlfn.XLOOKUP(A1723:A5765,castles_state!K:K,castles_state!D:D)&amp;"主",IFERROR(_xlfn.XLOOKUP(A1723:A5765,kunishuClan!D:D,kunishuClan!B:B)&amp;"当主","")))</f>
      </c>
    </row>
    <row r="1724" ht="15.75" customHeight="1">
      <c r="A1724" s="4">
        <v>1040013</v>
      </c>
      <c r="B1724" s="12" t="str">
        <f t="array" ref="B1724">IF(A1724:A5766="","",_xlfn.XLOOKUP(A1724:A5766,'参照_武将'!A:A,'参照_武将'!B:B,"見つかりません"))</f>
      </c>
      <c r="C1724" s="4" t="s">
        <v>217</v>
      </c>
      <c r="D1724" s="4">
        <v>40</v>
      </c>
      <c r="E1724" s="12" t="str">
        <f t="array" ref="E1724">IF(D1724:D5766="","",IFERROR(_xlfn.XLOOKUP(D1724:D5766,'参照_勢力'!A:A,'参照_勢力'!B:B),IFERROR(_xlfn.XLOOKUP(F1724:F5766,kunishuClan!A:A,kunishuClan!B:B),"浪人")))</f>
      </c>
      <c r="F1724" s="4">
        <v>0</v>
      </c>
      <c r="G1724" s="4">
        <v>104</v>
      </c>
      <c r="H1724" s="12" t="str">
        <f t="array" ref="H1724">IF(G1724:G5766="","",_xlfn.XLOOKUP(G1724:G5766,castles_state!A:A,castles_state!D:D,"見つかりません"))</f>
      </c>
      <c r="I1724" s="4"/>
      <c r="J1724" s="12" t="str">
        <f t="array" ref="J1724">IF(I1724:I5766="","",_xlfn.XLOOKUP(I1724:I5766,'参照_姫'!A:A,'参照_姫'!B:B,"見つかりません"))</f>
      </c>
      <c r="K1724" s="4">
        <v>95</v>
      </c>
      <c r="L1724" s="4">
        <v>0</v>
      </c>
      <c r="M1724" s="4"/>
      <c r="N1724" s="4"/>
      <c r="O1724" s="4"/>
      <c r="P1724" s="12" t="str">
        <f t="array" ref="P1724">IF(O1724:O5766="","",_xlfn.XLOOKUP(O1724:O5766,'参照_官位'!A:A,'参照_官位'!B:B,""))</f>
      </c>
      <c r="Q1724" s="12" t="str">
        <f t="array" ref="Q1724">IF(A1724:A5766="","",IFERROR(_xlfn.XLOOKUP(A1724:A5766,castles_state!K:K,castles_state!D:D)&amp;"主",IFERROR(_xlfn.XLOOKUP(A1724:A5766,kunishuClan!D:D,kunishuClan!B:B)&amp;"当主","")))</f>
      </c>
    </row>
    <row r="1725" ht="15.75" customHeight="1">
      <c r="A1725" s="4">
        <v>1040501</v>
      </c>
      <c r="B1725" s="12" t="str">
        <f t="array" ref="B1725">IF(A1725:A5767="","",_xlfn.XLOOKUP(A1725:A5767,'参照_武将'!A:A,'参照_武将'!B:B,"見つかりません"))</f>
      </c>
      <c r="C1725" s="4" t="s">
        <v>5949</v>
      </c>
      <c r="D1725" s="4">
        <v>40</v>
      </c>
      <c r="E1725" s="12" t="str">
        <f t="array" ref="E1725">IF(D1725:D5767="","",IFERROR(_xlfn.XLOOKUP(D1725:D5767,'参照_勢力'!A:A,'参照_勢力'!B:B),IFERROR(_xlfn.XLOOKUP(F1725:F5767,kunishuClan!A:A,kunishuClan!B:B),"浪人")))</f>
      </c>
      <c r="F1725" s="4">
        <v>0</v>
      </c>
      <c r="G1725" s="4">
        <v>86</v>
      </c>
      <c r="H1725" s="12" t="str">
        <f t="array" ref="H1725">IF(G1725:G5767="","",_xlfn.XLOOKUP(G1725:G5767,castles_state!A:A,castles_state!D:D,"見つかりません"))</f>
      </c>
      <c r="I1725" s="4"/>
      <c r="J1725" s="12" t="str">
        <f t="array" ref="J1725">IF(I1725:I5767="","",_xlfn.XLOOKUP(I1725:I5767,'参照_姫'!A:A,'参照_姫'!B:B,"見つかりません"))</f>
      </c>
      <c r="K1725" s="4">
        <v>95</v>
      </c>
      <c r="L1725" s="4">
        <v>1000</v>
      </c>
      <c r="M1725" s="4"/>
      <c r="N1725" s="4"/>
      <c r="O1725" s="4"/>
      <c r="P1725" s="12" t="str">
        <f t="array" ref="P1725">IF(O1725:O5767="","",_xlfn.XLOOKUP(O1725:O5767,'参照_官位'!A:A,'参照_官位'!B:B,""))</f>
      </c>
      <c r="Q1725" s="12" t="str">
        <f t="array" ref="Q1725">IF(A1725:A5767="","",IFERROR(_xlfn.XLOOKUP(A1725:A5767,castles_state!K:K,castles_state!D:D)&amp;"主",IFERROR(_xlfn.XLOOKUP(A1725:A5767,kunishuClan!D:D,kunishuClan!B:B)&amp;"当主","")))</f>
      </c>
    </row>
    <row r="1726" ht="15.75" customHeight="1">
      <c r="A1726" s="4">
        <v>1040502</v>
      </c>
      <c r="B1726" s="12" t="str">
        <f t="array" ref="B1726">IF(A1726:A5768="","",_xlfn.XLOOKUP(A1726:A5768,'参照_武将'!A:A,'参照_武将'!B:B,"見つかりません"))</f>
      </c>
      <c r="C1726" s="4" t="s">
        <v>5949</v>
      </c>
      <c r="D1726" s="4">
        <v>40</v>
      </c>
      <c r="E1726" s="12" t="str">
        <f t="array" ref="E1726">IF(D1726:D5768="","",IFERROR(_xlfn.XLOOKUP(D1726:D5768,'参照_勢力'!A:A,'参照_勢力'!B:B),IFERROR(_xlfn.XLOOKUP(F1726:F5768,kunishuClan!A:A,kunishuClan!B:B),"浪人")))</f>
      </c>
      <c r="F1726" s="4">
        <v>0</v>
      </c>
      <c r="G1726" s="4">
        <v>86</v>
      </c>
      <c r="H1726" s="12" t="str">
        <f t="array" ref="H1726">IF(G1726:G5768="","",_xlfn.XLOOKUP(G1726:G5768,castles_state!A:A,castles_state!D:D,"見つかりません"))</f>
      </c>
      <c r="I1726" s="4"/>
      <c r="J1726" s="12" t="str">
        <f t="array" ref="J1726">IF(I1726:I5768="","",_xlfn.XLOOKUP(I1726:I5768,'参照_姫'!A:A,'参照_姫'!B:B,"見つかりません"))</f>
      </c>
      <c r="K1726" s="4">
        <v>95</v>
      </c>
      <c r="L1726" s="4">
        <v>500</v>
      </c>
      <c r="M1726" s="4"/>
      <c r="N1726" s="4"/>
      <c r="O1726" s="4"/>
      <c r="P1726" s="12" t="str">
        <f t="array" ref="P1726">IF(O1726:O5768="","",_xlfn.XLOOKUP(O1726:O5768,'参照_官位'!A:A,'参照_官位'!B:B,""))</f>
      </c>
      <c r="Q1726" s="12" t="str">
        <f t="array" ref="Q1726">IF(A1726:A5768="","",IFERROR(_xlfn.XLOOKUP(A1726:A5768,castles_state!K:K,castles_state!D:D)&amp;"主",IFERROR(_xlfn.XLOOKUP(A1726:A5768,kunishuClan!D:D,kunishuClan!B:B)&amp;"当主","")))</f>
      </c>
    </row>
    <row r="1727" ht="15.75" customHeight="1">
      <c r="A1727" s="4">
        <v>1040503</v>
      </c>
      <c r="B1727" s="12" t="str">
        <f t="array" ref="B1727">IF(A1727:A5769="","",_xlfn.XLOOKUP(A1727:A5769,'参照_武将'!A:A,'参照_武将'!B:B,"見つかりません"))</f>
      </c>
      <c r="C1727" s="4" t="s">
        <v>5949</v>
      </c>
      <c r="D1727" s="4">
        <v>40</v>
      </c>
      <c r="E1727" s="12" t="str">
        <f t="array" ref="E1727">IF(D1727:D5769="","",IFERROR(_xlfn.XLOOKUP(D1727:D5769,'参照_勢力'!A:A,'参照_勢力'!B:B),IFERROR(_xlfn.XLOOKUP(F1727:F5769,kunishuClan!A:A,kunishuClan!B:B),"浪人")))</f>
      </c>
      <c r="F1727" s="4">
        <v>0</v>
      </c>
      <c r="G1727" s="4">
        <v>86</v>
      </c>
      <c r="H1727" s="12" t="str">
        <f t="array" ref="H1727">IF(G1727:G5769="","",_xlfn.XLOOKUP(G1727:G5769,castles_state!A:A,castles_state!D:D,"見つかりません"))</f>
      </c>
      <c r="I1727" s="4"/>
      <c r="J1727" s="12" t="str">
        <f t="array" ref="J1727">IF(I1727:I5769="","",_xlfn.XLOOKUP(I1727:I5769,'参照_姫'!A:A,'参照_姫'!B:B,"見つかりません"))</f>
      </c>
      <c r="K1727" s="4">
        <v>95</v>
      </c>
      <c r="L1727" s="4">
        <v>0</v>
      </c>
      <c r="M1727" s="4"/>
      <c r="N1727" s="4"/>
      <c r="O1727" s="4"/>
      <c r="P1727" s="12" t="str">
        <f t="array" ref="P1727">IF(O1727:O5769="","",_xlfn.XLOOKUP(O1727:O5769,'参照_官位'!A:A,'参照_官位'!B:B,""))</f>
      </c>
      <c r="Q1727" s="12" t="str">
        <f t="array" ref="Q1727">IF(A1727:A5769="","",IFERROR(_xlfn.XLOOKUP(A1727:A5769,castles_state!K:K,castles_state!D:D)&amp;"主",IFERROR(_xlfn.XLOOKUP(A1727:A5769,kunishuClan!D:D,kunishuClan!B:B)&amp;"当主","")))</f>
      </c>
    </row>
    <row r="1728" ht="15.75" customHeight="1">
      <c r="A1728" s="4">
        <v>1040504</v>
      </c>
      <c r="B1728" s="12" t="str">
        <f t="array" ref="B1728">IF(A1728:A5770="","",_xlfn.XLOOKUP(A1728:A5770,'参照_武将'!A:A,'参照_武将'!B:B,"見つかりません"))</f>
      </c>
      <c r="C1728" s="4" t="s">
        <v>5949</v>
      </c>
      <c r="D1728" s="4">
        <v>40</v>
      </c>
      <c r="E1728" s="12" t="str">
        <f t="array" ref="E1728">IF(D1728:D5770="","",IFERROR(_xlfn.XLOOKUP(D1728:D5770,'参照_勢力'!A:A,'参照_勢力'!B:B),IFERROR(_xlfn.XLOOKUP(F1728:F5770,kunishuClan!A:A,kunishuClan!B:B),"浪人")))</f>
      </c>
      <c r="F1728" s="4">
        <v>0</v>
      </c>
      <c r="G1728" s="4">
        <v>86</v>
      </c>
      <c r="H1728" s="12" t="str">
        <f t="array" ref="H1728">IF(G1728:G5770="","",_xlfn.XLOOKUP(G1728:G5770,castles_state!A:A,castles_state!D:D,"見つかりません"))</f>
      </c>
      <c r="I1728" s="4"/>
      <c r="J1728" s="12" t="str">
        <f t="array" ref="J1728">IF(I1728:I5770="","",_xlfn.XLOOKUP(I1728:I5770,'参照_姫'!A:A,'参照_姫'!B:B,"見つかりません"))</f>
      </c>
      <c r="K1728" s="4">
        <v>90</v>
      </c>
      <c r="L1728" s="4">
        <v>0</v>
      </c>
      <c r="M1728" s="4"/>
      <c r="N1728" s="4"/>
      <c r="O1728" s="4"/>
      <c r="P1728" s="12" t="str">
        <f t="array" ref="P1728">IF(O1728:O5770="","",_xlfn.XLOOKUP(O1728:O5770,'参照_官位'!A:A,'参照_官位'!B:B,""))</f>
      </c>
      <c r="Q1728" s="12" t="str">
        <f t="array" ref="Q1728">IF(A1728:A5770="","",IFERROR(_xlfn.XLOOKUP(A1728:A5770,castles_state!K:K,castles_state!D:D)&amp;"主",IFERROR(_xlfn.XLOOKUP(A1728:A5770,kunishuClan!D:D,kunishuClan!B:B)&amp;"当主","")))</f>
      </c>
    </row>
    <row r="1729" ht="15.75" customHeight="1">
      <c r="A1729" s="4">
        <v>1040505</v>
      </c>
      <c r="B1729" s="12" t="str">
        <f t="array" ref="B1729">IF(A1729:A5771="","",_xlfn.XLOOKUP(A1729:A5771,'参照_武将'!A:A,'参照_武将'!B:B,"見つかりません"))</f>
      </c>
      <c r="C1729" s="4" t="s">
        <v>5949</v>
      </c>
      <c r="D1729" s="4">
        <v>40</v>
      </c>
      <c r="E1729" s="12" t="str">
        <f t="array" ref="E1729">IF(D1729:D5771="","",IFERROR(_xlfn.XLOOKUP(D1729:D5771,'参照_勢力'!A:A,'参照_勢力'!B:B),IFERROR(_xlfn.XLOOKUP(F1729:F5771,kunishuClan!A:A,kunishuClan!B:B),"浪人")))</f>
      </c>
      <c r="F1729" s="4">
        <v>0</v>
      </c>
      <c r="G1729" s="4">
        <v>86</v>
      </c>
      <c r="H1729" s="12" t="str">
        <f t="array" ref="H1729">IF(G1729:G5771="","",_xlfn.XLOOKUP(G1729:G5771,castles_state!A:A,castles_state!D:D,"見つかりません"))</f>
      </c>
      <c r="I1729" s="4"/>
      <c r="J1729" s="12" t="str">
        <f t="array" ref="J1729">IF(I1729:I5771="","",_xlfn.XLOOKUP(I1729:I5771,'参照_姫'!A:A,'参照_姫'!B:B,"見つかりません"))</f>
      </c>
      <c r="K1729" s="4">
        <v>90</v>
      </c>
      <c r="L1729" s="4">
        <v>500</v>
      </c>
      <c r="M1729" s="4"/>
      <c r="N1729" s="4"/>
      <c r="O1729" s="4"/>
      <c r="P1729" s="12" t="str">
        <f t="array" ref="P1729">IF(O1729:O5771="","",_xlfn.XLOOKUP(O1729:O5771,'参照_官位'!A:A,'参照_官位'!B:B,""))</f>
      </c>
      <c r="Q1729" s="12" t="str">
        <f t="array" ref="Q1729">IF(A1729:A5771="","",IFERROR(_xlfn.XLOOKUP(A1729:A5771,castles_state!K:K,castles_state!D:D)&amp;"主",IFERROR(_xlfn.XLOOKUP(A1729:A5771,kunishuClan!D:D,kunishuClan!B:B)&amp;"当主","")))</f>
      </c>
    </row>
    <row r="1730" ht="15.75" customHeight="1">
      <c r="A1730" s="4">
        <v>1040506</v>
      </c>
      <c r="B1730" s="12" t="str">
        <f t="array" ref="B1730">IF(A1730:A5772="","",_xlfn.XLOOKUP(A1730:A5772,'参照_武将'!A:A,'参照_武将'!B:B,"見つかりません"))</f>
      </c>
      <c r="C1730" s="4" t="s">
        <v>5949</v>
      </c>
      <c r="D1730" s="4">
        <v>40</v>
      </c>
      <c r="E1730" s="12" t="str">
        <f t="array" ref="E1730">IF(D1730:D5772="","",IFERROR(_xlfn.XLOOKUP(D1730:D5772,'参照_勢力'!A:A,'参照_勢力'!B:B),IFERROR(_xlfn.XLOOKUP(F1730:F5772,kunishuClan!A:A,kunishuClan!B:B),"浪人")))</f>
      </c>
      <c r="F1730" s="4">
        <v>0</v>
      </c>
      <c r="G1730" s="4">
        <v>86</v>
      </c>
      <c r="H1730" s="12" t="str">
        <f t="array" ref="H1730">IF(G1730:G5772="","",_xlfn.XLOOKUP(G1730:G5772,castles_state!A:A,castles_state!D:D,"見つかりません"))</f>
      </c>
      <c r="I1730" s="4"/>
      <c r="J1730" s="12" t="str">
        <f t="array" ref="J1730">IF(I1730:I5772="","",_xlfn.XLOOKUP(I1730:I5772,'参照_姫'!A:A,'参照_姫'!B:B,"見つかりません"))</f>
      </c>
      <c r="K1730" s="4">
        <v>90</v>
      </c>
      <c r="L1730" s="4">
        <v>0</v>
      </c>
      <c r="M1730" s="4"/>
      <c r="N1730" s="4"/>
      <c r="O1730" s="4"/>
      <c r="P1730" s="12" t="str">
        <f t="array" ref="P1730">IF(O1730:O5772="","",_xlfn.XLOOKUP(O1730:O5772,'参照_官位'!A:A,'参照_官位'!B:B,""))</f>
      </c>
      <c r="Q1730" s="12" t="str">
        <f t="array" ref="Q1730">IF(A1730:A5772="","",IFERROR(_xlfn.XLOOKUP(A1730:A5772,castles_state!K:K,castles_state!D:D)&amp;"主",IFERROR(_xlfn.XLOOKUP(A1730:A5772,kunishuClan!D:D,kunishuClan!B:B)&amp;"当主","")))</f>
      </c>
    </row>
    <row r="1731" ht="15.75" customHeight="1">
      <c r="A1731" s="4">
        <v>1040507</v>
      </c>
      <c r="B1731" s="12" t="str">
        <f t="array" ref="B1731">IF(A1731:A5773="","",_xlfn.XLOOKUP(A1731:A5773,'参照_武将'!A:A,'参照_武将'!B:B,"見つかりません"))</f>
      </c>
      <c r="C1731" s="4" t="s">
        <v>5949</v>
      </c>
      <c r="D1731" s="4">
        <v>40</v>
      </c>
      <c r="E1731" s="12" t="str">
        <f t="array" ref="E1731">IF(D1731:D5773="","",IFERROR(_xlfn.XLOOKUP(D1731:D5773,'参照_勢力'!A:A,'参照_勢力'!B:B),IFERROR(_xlfn.XLOOKUP(F1731:F5773,kunishuClan!A:A,kunishuClan!B:B),"浪人")))</f>
      </c>
      <c r="F1731" s="4">
        <v>0</v>
      </c>
      <c r="G1731" s="4">
        <v>86</v>
      </c>
      <c r="H1731" s="12" t="str">
        <f t="array" ref="H1731">IF(G1731:G5773="","",_xlfn.XLOOKUP(G1731:G5773,castles_state!A:A,castles_state!D:D,"見つかりません"))</f>
      </c>
      <c r="I1731" s="4"/>
      <c r="J1731" s="12" t="str">
        <f t="array" ref="J1731">IF(I1731:I5773="","",_xlfn.XLOOKUP(I1731:I5773,'参照_姫'!A:A,'参照_姫'!B:B,"見つかりません"))</f>
      </c>
      <c r="K1731" s="4">
        <v>90</v>
      </c>
      <c r="L1731" s="4">
        <v>0</v>
      </c>
      <c r="M1731" s="4"/>
      <c r="N1731" s="4"/>
      <c r="O1731" s="4"/>
      <c r="P1731" s="12" t="str">
        <f t="array" ref="P1731">IF(O1731:O5773="","",_xlfn.XLOOKUP(O1731:O5773,'参照_官位'!A:A,'参照_官位'!B:B,""))</f>
      </c>
      <c r="Q1731" s="12" t="str">
        <f t="array" ref="Q1731">IF(A1731:A5773="","",IFERROR(_xlfn.XLOOKUP(A1731:A5773,castles_state!K:K,castles_state!D:D)&amp;"主",IFERROR(_xlfn.XLOOKUP(A1731:A5773,kunishuClan!D:D,kunishuClan!B:B)&amp;"当主","")))</f>
      </c>
    </row>
    <row r="1732" ht="15.75" customHeight="1">
      <c r="A1732" s="4">
        <v>1040508</v>
      </c>
      <c r="B1732" s="12" t="str">
        <f t="array" ref="B1732">IF(A1732:A5774="","",_xlfn.XLOOKUP(A1732:A5774,'参照_武将'!A:A,'参照_武将'!B:B,"見つかりません"))</f>
      </c>
      <c r="C1732" s="4" t="s">
        <v>5949</v>
      </c>
      <c r="D1732" s="4">
        <v>40</v>
      </c>
      <c r="E1732" s="12" t="str">
        <f t="array" ref="E1732">IF(D1732:D5774="","",IFERROR(_xlfn.XLOOKUP(D1732:D5774,'参照_勢力'!A:A,'参照_勢力'!B:B),IFERROR(_xlfn.XLOOKUP(F1732:F5774,kunishuClan!A:A,kunishuClan!B:B),"浪人")))</f>
      </c>
      <c r="F1732" s="4">
        <v>0</v>
      </c>
      <c r="G1732" s="4">
        <v>86</v>
      </c>
      <c r="H1732" s="12" t="str">
        <f t="array" ref="H1732">IF(G1732:G5774="","",_xlfn.XLOOKUP(G1732:G5774,castles_state!A:A,castles_state!D:D,"見つかりません"))</f>
      </c>
      <c r="I1732" s="4"/>
      <c r="J1732" s="12" t="str">
        <f t="array" ref="J1732">IF(I1732:I5774="","",_xlfn.XLOOKUP(I1732:I5774,'参照_姫'!A:A,'参照_姫'!B:B,"見つかりません"))</f>
      </c>
      <c r="K1732" s="4">
        <v>90</v>
      </c>
      <c r="L1732" s="4">
        <v>0</v>
      </c>
      <c r="M1732" s="4"/>
      <c r="N1732" s="4"/>
      <c r="O1732" s="4"/>
      <c r="P1732" s="12" t="str">
        <f t="array" ref="P1732">IF(O1732:O5774="","",_xlfn.XLOOKUP(O1732:O5774,'参照_官位'!A:A,'参照_官位'!B:B,""))</f>
      </c>
      <c r="Q1732" s="12" t="str">
        <f t="array" ref="Q1732">IF(A1732:A5774="","",IFERROR(_xlfn.XLOOKUP(A1732:A5774,castles_state!K:K,castles_state!D:D)&amp;"主",IFERROR(_xlfn.XLOOKUP(A1732:A5774,kunishuClan!D:D,kunishuClan!B:B)&amp;"当主","")))</f>
      </c>
    </row>
    <row r="1733" ht="15.75" customHeight="1">
      <c r="A1733" s="4">
        <v>1040509</v>
      </c>
      <c r="B1733" s="12" t="str">
        <f t="array" ref="B1733">IF(A1733:A5775="","",_xlfn.XLOOKUP(A1733:A5775,'参照_武将'!A:A,'参照_武将'!B:B,"見つかりません"))</f>
      </c>
      <c r="C1733" s="4" t="s">
        <v>5949</v>
      </c>
      <c r="D1733" s="4">
        <v>40</v>
      </c>
      <c r="E1733" s="12" t="str">
        <f t="array" ref="E1733">IF(D1733:D5775="","",IFERROR(_xlfn.XLOOKUP(D1733:D5775,'参照_勢力'!A:A,'参照_勢力'!B:B),IFERROR(_xlfn.XLOOKUP(F1733:F5775,kunishuClan!A:A,kunishuClan!B:B),"浪人")))</f>
      </c>
      <c r="F1733" s="4">
        <v>0</v>
      </c>
      <c r="G1733" s="4">
        <v>86</v>
      </c>
      <c r="H1733" s="12" t="str">
        <f t="array" ref="H1733">IF(G1733:G5775="","",_xlfn.XLOOKUP(G1733:G5775,castles_state!A:A,castles_state!D:D,"見つかりません"))</f>
      </c>
      <c r="I1733" s="4"/>
      <c r="J1733" s="12" t="str">
        <f t="array" ref="J1733">IF(I1733:I5775="","",_xlfn.XLOOKUP(I1733:I5775,'参照_姫'!A:A,'参照_姫'!B:B,"見つかりません"))</f>
      </c>
      <c r="K1733" s="4">
        <v>90</v>
      </c>
      <c r="L1733" s="4">
        <v>0</v>
      </c>
      <c r="M1733" s="4"/>
      <c r="N1733" s="4"/>
      <c r="O1733" s="4"/>
      <c r="P1733" s="12" t="str">
        <f t="array" ref="P1733">IF(O1733:O5775="","",_xlfn.XLOOKUP(O1733:O5775,'参照_官位'!A:A,'参照_官位'!B:B,""))</f>
      </c>
      <c r="Q1733" s="12" t="str">
        <f t="array" ref="Q1733">IF(A1733:A5775="","",IFERROR(_xlfn.XLOOKUP(A1733:A5775,castles_state!K:K,castles_state!D:D)&amp;"主",IFERROR(_xlfn.XLOOKUP(A1733:A5775,kunishuClan!D:D,kunishuClan!B:B)&amp;"当主","")))</f>
      </c>
    </row>
    <row r="1734" ht="15.75" customHeight="1">
      <c r="A1734" s="4">
        <v>1040510</v>
      </c>
      <c r="B1734" s="12" t="str">
        <f t="array" ref="B1734">IF(A1734:A5776="","",_xlfn.XLOOKUP(A1734:A5776,'参照_武将'!A:A,'参照_武将'!B:B,"見つかりません"))</f>
      </c>
      <c r="C1734" s="4" t="s">
        <v>5949</v>
      </c>
      <c r="D1734" s="4">
        <v>40</v>
      </c>
      <c r="E1734" s="12" t="str">
        <f t="array" ref="E1734">IF(D1734:D5776="","",IFERROR(_xlfn.XLOOKUP(D1734:D5776,'参照_勢力'!A:A,'参照_勢力'!B:B),IFERROR(_xlfn.XLOOKUP(F1734:F5776,kunishuClan!A:A,kunishuClan!B:B),"浪人")))</f>
      </c>
      <c r="F1734" s="4">
        <v>0</v>
      </c>
      <c r="G1734" s="4">
        <v>86</v>
      </c>
      <c r="H1734" s="12" t="str">
        <f t="array" ref="H1734">IF(G1734:G5776="","",_xlfn.XLOOKUP(G1734:G5776,castles_state!A:A,castles_state!D:D,"見つかりません"))</f>
      </c>
      <c r="I1734" s="4"/>
      <c r="J1734" s="12" t="str">
        <f t="array" ref="J1734">IF(I1734:I5776="","",_xlfn.XLOOKUP(I1734:I5776,'参照_姫'!A:A,'参照_姫'!B:B,"見つかりません"))</f>
      </c>
      <c r="K1734" s="4">
        <v>90</v>
      </c>
      <c r="L1734" s="4">
        <v>0</v>
      </c>
      <c r="M1734" s="4"/>
      <c r="N1734" s="4"/>
      <c r="O1734" s="4"/>
      <c r="P1734" s="12" t="str">
        <f t="array" ref="P1734">IF(O1734:O5776="","",_xlfn.XLOOKUP(O1734:O5776,'参照_官位'!A:A,'参照_官位'!B:B,""))</f>
      </c>
      <c r="Q1734" s="12" t="str">
        <f t="array" ref="Q1734">IF(A1734:A5776="","",IFERROR(_xlfn.XLOOKUP(A1734:A5776,castles_state!K:K,castles_state!D:D)&amp;"主",IFERROR(_xlfn.XLOOKUP(A1734:A5776,kunishuClan!D:D,kunishuClan!B:B)&amp;"当主","")))</f>
      </c>
    </row>
    <row r="1735" ht="15.75" customHeight="1">
      <c r="A1735" s="4">
        <v>1040511</v>
      </c>
      <c r="B1735" s="12" t="str">
        <f t="array" ref="B1735">IF(A1735:A5777="","",_xlfn.XLOOKUP(A1735:A5777,'参照_武将'!A:A,'参照_武将'!B:B,"見つかりません"))</f>
      </c>
      <c r="C1735" s="4" t="s">
        <v>5949</v>
      </c>
      <c r="D1735" s="4">
        <v>40</v>
      </c>
      <c r="E1735" s="12" t="str">
        <f t="array" ref="E1735">IF(D1735:D5777="","",IFERROR(_xlfn.XLOOKUP(D1735:D5777,'参照_勢力'!A:A,'参照_勢力'!B:B),IFERROR(_xlfn.XLOOKUP(F1735:F5777,kunishuClan!A:A,kunishuClan!B:B),"浪人")))</f>
      </c>
      <c r="F1735" s="4">
        <v>0</v>
      </c>
      <c r="G1735" s="4">
        <v>86</v>
      </c>
      <c r="H1735" s="12" t="str">
        <f t="array" ref="H1735">IF(G1735:G5777="","",_xlfn.XLOOKUP(G1735:G5777,castles_state!A:A,castles_state!D:D,"見つかりません"))</f>
      </c>
      <c r="I1735" s="4"/>
      <c r="J1735" s="12" t="str">
        <f t="array" ref="J1735">IF(I1735:I5777="","",_xlfn.XLOOKUP(I1735:I5777,'参照_姫'!A:A,'参照_姫'!B:B,"見つかりません"))</f>
      </c>
      <c r="K1735" s="4">
        <v>90</v>
      </c>
      <c r="L1735" s="4">
        <v>0</v>
      </c>
      <c r="M1735" s="4"/>
      <c r="N1735" s="4"/>
      <c r="O1735" s="4"/>
      <c r="P1735" s="12" t="str">
        <f t="array" ref="P1735">IF(O1735:O5777="","",_xlfn.XLOOKUP(O1735:O5777,'参照_官位'!A:A,'参照_官位'!B:B,""))</f>
      </c>
      <c r="Q1735" s="12" t="str">
        <f t="array" ref="Q1735">IF(A1735:A5777="","",IFERROR(_xlfn.XLOOKUP(A1735:A5777,castles_state!K:K,castles_state!D:D)&amp;"主",IFERROR(_xlfn.XLOOKUP(A1735:A5777,kunishuClan!D:D,kunishuClan!B:B)&amp;"当主","")))</f>
      </c>
    </row>
    <row r="1736" ht="15.75" customHeight="1">
      <c r="A1736" s="4">
        <v>1040512</v>
      </c>
      <c r="B1736" s="12" t="str">
        <f t="array" ref="B1736">IF(A1736:A5778="","",_xlfn.XLOOKUP(A1736:A5778,'参照_武将'!A:A,'参照_武将'!B:B,"見つかりません"))</f>
      </c>
      <c r="C1736" s="4" t="s">
        <v>5949</v>
      </c>
      <c r="D1736" s="4">
        <v>40</v>
      </c>
      <c r="E1736" s="12" t="str">
        <f t="array" ref="E1736">IF(D1736:D5778="","",IFERROR(_xlfn.XLOOKUP(D1736:D5778,'参照_勢力'!A:A,'参照_勢力'!B:B),IFERROR(_xlfn.XLOOKUP(F1736:F5778,kunishuClan!A:A,kunishuClan!B:B),"浪人")))</f>
      </c>
      <c r="F1736" s="4">
        <v>0</v>
      </c>
      <c r="G1736" s="4">
        <v>86</v>
      </c>
      <c r="H1736" s="12" t="str">
        <f t="array" ref="H1736">IF(G1736:G5778="","",_xlfn.XLOOKUP(G1736:G5778,castles_state!A:A,castles_state!D:D,"見つかりません"))</f>
      </c>
      <c r="I1736" s="4"/>
      <c r="J1736" s="12" t="str">
        <f t="array" ref="J1736">IF(I1736:I5778="","",_xlfn.XLOOKUP(I1736:I5778,'参照_姫'!A:A,'参照_姫'!B:B,"見つかりません"))</f>
      </c>
      <c r="K1736" s="4">
        <v>90</v>
      </c>
      <c r="L1736" s="4">
        <v>0</v>
      </c>
      <c r="M1736" s="4"/>
      <c r="N1736" s="4"/>
      <c r="O1736" s="4"/>
      <c r="P1736" s="12" t="str">
        <f t="array" ref="P1736">IF(O1736:O5778="","",_xlfn.XLOOKUP(O1736:O5778,'参照_官位'!A:A,'参照_官位'!B:B,""))</f>
      </c>
      <c r="Q1736" s="12" t="str">
        <f t="array" ref="Q1736">IF(A1736:A5778="","",IFERROR(_xlfn.XLOOKUP(A1736:A5778,castles_state!K:K,castles_state!D:D)&amp;"主",IFERROR(_xlfn.XLOOKUP(A1736:A5778,kunishuClan!D:D,kunishuClan!B:B)&amp;"当主","")))</f>
      </c>
    </row>
    <row r="1737" ht="15.75" customHeight="1">
      <c r="A1737" s="4">
        <v>1040513</v>
      </c>
      <c r="B1737" s="12" t="str">
        <f t="array" ref="B1737">IF(A1737:A5779="","",_xlfn.XLOOKUP(A1737:A5779,'参照_武将'!A:A,'参照_武将'!B:B,"見つかりません"))</f>
      </c>
      <c r="C1737" s="4" t="s">
        <v>5949</v>
      </c>
      <c r="D1737" s="4">
        <v>40</v>
      </c>
      <c r="E1737" s="12" t="str">
        <f t="array" ref="E1737">IF(D1737:D5779="","",IFERROR(_xlfn.XLOOKUP(D1737:D5779,'参照_勢力'!A:A,'参照_勢力'!B:B),IFERROR(_xlfn.XLOOKUP(F1737:F5779,kunishuClan!A:A,kunishuClan!B:B),"浪人")))</f>
      </c>
      <c r="F1737" s="4">
        <v>0</v>
      </c>
      <c r="G1737" s="4">
        <v>86</v>
      </c>
      <c r="H1737" s="12" t="str">
        <f t="array" ref="H1737">IF(G1737:G5779="","",_xlfn.XLOOKUP(G1737:G5779,castles_state!A:A,castles_state!D:D,"見つかりません"))</f>
      </c>
      <c r="I1737" s="4"/>
      <c r="J1737" s="12" t="str">
        <f t="array" ref="J1737">IF(I1737:I5779="","",_xlfn.XLOOKUP(I1737:I5779,'参照_姫'!A:A,'参照_姫'!B:B,"見つかりません"))</f>
      </c>
      <c r="K1737" s="4">
        <v>90</v>
      </c>
      <c r="L1737" s="4">
        <v>0</v>
      </c>
      <c r="M1737" s="4"/>
      <c r="N1737" s="4"/>
      <c r="O1737" s="4"/>
      <c r="P1737" s="12" t="str">
        <f t="array" ref="P1737">IF(O1737:O5779="","",_xlfn.XLOOKUP(O1737:O5779,'参照_官位'!A:A,'参照_官位'!B:B,""))</f>
      </c>
      <c r="Q1737" s="12" t="str">
        <f t="array" ref="Q1737">IF(A1737:A5779="","",IFERROR(_xlfn.XLOOKUP(A1737:A5779,castles_state!K:K,castles_state!D:D)&amp;"主",IFERROR(_xlfn.XLOOKUP(A1737:A5779,kunishuClan!D:D,kunishuClan!B:B)&amp;"当主","")))</f>
      </c>
    </row>
    <row r="1738" ht="15.75" customHeight="1">
      <c r="A1738" s="4">
        <v>1040514</v>
      </c>
      <c r="B1738" s="12" t="str">
        <f t="array" ref="B1738">IF(A1738:A5780="","",_xlfn.XLOOKUP(A1738:A5780,'参照_武将'!A:A,'参照_武将'!B:B,"見つかりません"))</f>
      </c>
      <c r="C1738" s="4" t="s">
        <v>5949</v>
      </c>
      <c r="D1738" s="4">
        <v>40</v>
      </c>
      <c r="E1738" s="12" t="str">
        <f t="array" ref="E1738">IF(D1738:D5780="","",IFERROR(_xlfn.XLOOKUP(D1738:D5780,'参照_勢力'!A:A,'参照_勢力'!B:B),IFERROR(_xlfn.XLOOKUP(F1738:F5780,kunishuClan!A:A,kunishuClan!B:B),"浪人")))</f>
      </c>
      <c r="F1738" s="4">
        <v>0</v>
      </c>
      <c r="G1738" s="4">
        <v>86</v>
      </c>
      <c r="H1738" s="12" t="str">
        <f t="array" ref="H1738">IF(G1738:G5780="","",_xlfn.XLOOKUP(G1738:G5780,castles_state!A:A,castles_state!D:D,"見つかりません"))</f>
      </c>
      <c r="I1738" s="4"/>
      <c r="J1738" s="12" t="str">
        <f t="array" ref="J1738">IF(I1738:I5780="","",_xlfn.XLOOKUP(I1738:I5780,'参照_姫'!A:A,'参照_姫'!B:B,"見つかりません"))</f>
      </c>
      <c r="K1738" s="4">
        <v>90</v>
      </c>
      <c r="L1738" s="4">
        <v>0</v>
      </c>
      <c r="M1738" s="4"/>
      <c r="N1738" s="4"/>
      <c r="O1738" s="4"/>
      <c r="P1738" s="12" t="str">
        <f t="array" ref="P1738">IF(O1738:O5780="","",_xlfn.XLOOKUP(O1738:O5780,'参照_官位'!A:A,'参照_官位'!B:B,""))</f>
      </c>
      <c r="Q1738" s="12" t="str">
        <f t="array" ref="Q1738">IF(A1738:A5780="","",IFERROR(_xlfn.XLOOKUP(A1738:A5780,castles_state!K:K,castles_state!D:D)&amp;"主",IFERROR(_xlfn.XLOOKUP(A1738:A5780,kunishuClan!D:D,kunishuClan!B:B)&amp;"当主","")))</f>
      </c>
    </row>
    <row r="1739" ht="15.75" customHeight="1">
      <c r="A1739" s="4">
        <v>1040515</v>
      </c>
      <c r="B1739" s="12" t="str">
        <f t="array" ref="B1739">IF(A1739:A5781="","",_xlfn.XLOOKUP(A1739:A5781,'参照_武将'!A:A,'参照_武将'!B:B,"見つかりません"))</f>
      </c>
      <c r="C1739" s="4" t="s">
        <v>5949</v>
      </c>
      <c r="D1739" s="4">
        <v>40</v>
      </c>
      <c r="E1739" s="12" t="str">
        <f t="array" ref="E1739">IF(D1739:D5781="","",IFERROR(_xlfn.XLOOKUP(D1739:D5781,'参照_勢力'!A:A,'参照_勢力'!B:B),IFERROR(_xlfn.XLOOKUP(F1739:F5781,kunishuClan!A:A,kunishuClan!B:B),"浪人")))</f>
      </c>
      <c r="F1739" s="4">
        <v>0</v>
      </c>
      <c r="G1739" s="4">
        <v>86</v>
      </c>
      <c r="H1739" s="12" t="str">
        <f t="array" ref="H1739">IF(G1739:G5781="","",_xlfn.XLOOKUP(G1739:G5781,castles_state!A:A,castles_state!D:D,"見つかりません"))</f>
      </c>
      <c r="I1739" s="4"/>
      <c r="J1739" s="12" t="str">
        <f t="array" ref="J1739">IF(I1739:I5781="","",_xlfn.XLOOKUP(I1739:I5781,'参照_姫'!A:A,'参照_姫'!B:B,"見つかりません"))</f>
      </c>
      <c r="K1739" s="4">
        <v>90</v>
      </c>
      <c r="L1739" s="4">
        <v>0</v>
      </c>
      <c r="M1739" s="4"/>
      <c r="N1739" s="4"/>
      <c r="O1739" s="4"/>
      <c r="P1739" s="12" t="str">
        <f t="array" ref="P1739">IF(O1739:O5781="","",_xlfn.XLOOKUP(O1739:O5781,'参照_官位'!A:A,'参照_官位'!B:B,""))</f>
      </c>
      <c r="Q1739" s="12" t="str">
        <f t="array" ref="Q1739">IF(A1739:A5781="","",IFERROR(_xlfn.XLOOKUP(A1739:A5781,castles_state!K:K,castles_state!D:D)&amp;"主",IFERROR(_xlfn.XLOOKUP(A1739:A5781,kunishuClan!D:D,kunishuClan!B:B)&amp;"当主","")))</f>
      </c>
    </row>
    <row r="1740" ht="15.75" customHeight="1">
      <c r="A1740" s="4">
        <v>1040516</v>
      </c>
      <c r="B1740" s="12" t="str">
        <f t="array" ref="B1740">IF(A1740:A5782="","",_xlfn.XLOOKUP(A1740:A5782,'参照_武将'!A:A,'参照_武将'!B:B,"見つかりません"))</f>
      </c>
      <c r="C1740" s="4" t="s">
        <v>5949</v>
      </c>
      <c r="D1740" s="4">
        <v>40</v>
      </c>
      <c r="E1740" s="12" t="str">
        <f t="array" ref="E1740">IF(D1740:D5782="","",IFERROR(_xlfn.XLOOKUP(D1740:D5782,'参照_勢力'!A:A,'参照_勢力'!B:B),IFERROR(_xlfn.XLOOKUP(F1740:F5782,kunishuClan!A:A,kunishuClan!B:B),"浪人")))</f>
      </c>
      <c r="F1740" s="4">
        <v>0</v>
      </c>
      <c r="G1740" s="4">
        <v>86</v>
      </c>
      <c r="H1740" s="12" t="str">
        <f t="array" ref="H1740">IF(G1740:G5782="","",_xlfn.XLOOKUP(G1740:G5782,castles_state!A:A,castles_state!D:D,"見つかりません"))</f>
      </c>
      <c r="I1740" s="4"/>
      <c r="J1740" s="12" t="str">
        <f t="array" ref="J1740">IF(I1740:I5782="","",_xlfn.XLOOKUP(I1740:I5782,'参照_姫'!A:A,'参照_姫'!B:B,"見つかりません"))</f>
      </c>
      <c r="K1740" s="4">
        <v>90</v>
      </c>
      <c r="L1740" s="4">
        <v>0</v>
      </c>
      <c r="M1740" s="4"/>
      <c r="N1740" s="4"/>
      <c r="O1740" s="4"/>
      <c r="P1740" s="12" t="str">
        <f t="array" ref="P1740">IF(O1740:O5782="","",_xlfn.XLOOKUP(O1740:O5782,'参照_官位'!A:A,'参照_官位'!B:B,""))</f>
      </c>
      <c r="Q1740" s="12" t="str">
        <f t="array" ref="Q1740">IF(A1740:A5782="","",IFERROR(_xlfn.XLOOKUP(A1740:A5782,castles_state!K:K,castles_state!D:D)&amp;"主",IFERROR(_xlfn.XLOOKUP(A1740:A5782,kunishuClan!D:D,kunishuClan!B:B)&amp;"当主","")))</f>
      </c>
    </row>
    <row r="1741" ht="15.75" customHeight="1">
      <c r="A1741" s="4">
        <v>1041001</v>
      </c>
      <c r="B1741" s="12" t="str">
        <f t="array" ref="B1741">IF(A1741:A5783="","",_xlfn.XLOOKUP(A1741:A5783,'参照_武将'!A:A,'参照_武将'!B:B,"見つかりません"))</f>
      </c>
      <c r="C1741" s="4" t="s">
        <v>5950</v>
      </c>
      <c r="D1741" s="4">
        <v>41</v>
      </c>
      <c r="E1741" s="12" t="str">
        <f t="array" ref="E1741">IF(D1741:D5783="","",IFERROR(_xlfn.XLOOKUP(D1741:D5783,'参照_勢力'!A:A,'参照_勢力'!B:B),IFERROR(_xlfn.XLOOKUP(F1741:F5783,kunishuClan!A:A,kunishuClan!B:B),"浪人")))</f>
      </c>
      <c r="F1741" s="4">
        <v>0</v>
      </c>
      <c r="G1741" s="4">
        <v>56</v>
      </c>
      <c r="H1741" s="12" t="str">
        <f t="array" ref="H1741">IF(G1741:G5783="","",_xlfn.XLOOKUP(G1741:G5783,castles_state!A:A,castles_state!D:D,"見つかりません"))</f>
      </c>
      <c r="I1741" s="4"/>
      <c r="J1741" s="12" t="str">
        <f t="array" ref="J1741">IF(I1741:I5783="","",_xlfn.XLOOKUP(I1741:I5783,'参照_姫'!A:A,'参照_姫'!B:B,"見つかりません"))</f>
      </c>
      <c r="K1741" s="4">
        <v>95</v>
      </c>
      <c r="L1741" s="4">
        <v>0</v>
      </c>
      <c r="M1741" s="4"/>
      <c r="N1741" s="4"/>
      <c r="O1741" s="4"/>
      <c r="P1741" s="12" t="str">
        <f t="array" ref="P1741">IF(O1741:O5783="","",_xlfn.XLOOKUP(O1741:O5783,'参照_官位'!A:A,'参照_官位'!B:B,""))</f>
      </c>
      <c r="Q1741" s="12" t="str">
        <f t="array" ref="Q1741">IF(A1741:A5783="","",IFERROR(_xlfn.XLOOKUP(A1741:A5783,castles_state!K:K,castles_state!D:D)&amp;"主",IFERROR(_xlfn.XLOOKUP(A1741:A5783,kunishuClan!D:D,kunishuClan!B:B)&amp;"当主","")))</f>
      </c>
    </row>
    <row r="1742" ht="15.75" customHeight="1">
      <c r="A1742" s="4">
        <v>1041002</v>
      </c>
      <c r="B1742" s="12" t="str">
        <f t="array" ref="B1742">IF(A1742:A5784="","",_xlfn.XLOOKUP(A1742:A5784,'参照_武将'!A:A,'参照_武将'!B:B,"見つかりません"))</f>
      </c>
      <c r="C1742" s="4" t="s">
        <v>5950</v>
      </c>
      <c r="D1742" s="4">
        <v>41</v>
      </c>
      <c r="E1742" s="12" t="str">
        <f t="array" ref="E1742">IF(D1742:D5784="","",IFERROR(_xlfn.XLOOKUP(D1742:D5784,'参照_勢力'!A:A,'参照_勢力'!B:B),IFERROR(_xlfn.XLOOKUP(F1742:F5784,kunishuClan!A:A,kunishuClan!B:B),"浪人")))</f>
      </c>
      <c r="F1742" s="4">
        <v>0</v>
      </c>
      <c r="G1742" s="4">
        <v>56</v>
      </c>
      <c r="H1742" s="12" t="str">
        <f t="array" ref="H1742">IF(G1742:G5784="","",_xlfn.XLOOKUP(G1742:G5784,castles_state!A:A,castles_state!D:D,"見つかりません"))</f>
      </c>
      <c r="I1742" s="4"/>
      <c r="J1742" s="12" t="str">
        <f t="array" ref="J1742">IF(I1742:I5784="","",_xlfn.XLOOKUP(I1742:I5784,'参照_姫'!A:A,'参照_姫'!B:B,"見つかりません"))</f>
      </c>
      <c r="K1742" s="4">
        <v>95</v>
      </c>
      <c r="L1742" s="4">
        <v>0</v>
      </c>
      <c r="M1742" s="4"/>
      <c r="N1742" s="4"/>
      <c r="O1742" s="4"/>
      <c r="P1742" s="12" t="str">
        <f t="array" ref="P1742">IF(O1742:O5784="","",_xlfn.XLOOKUP(O1742:O5784,'参照_官位'!A:A,'参照_官位'!B:B,""))</f>
      </c>
      <c r="Q1742" s="12" t="str">
        <f t="array" ref="Q1742">IF(A1742:A5784="","",IFERROR(_xlfn.XLOOKUP(A1742:A5784,castles_state!K:K,castles_state!D:D)&amp;"主",IFERROR(_xlfn.XLOOKUP(A1742:A5784,kunishuClan!D:D,kunishuClan!B:B)&amp;"当主","")))</f>
      </c>
    </row>
    <row r="1743" ht="15.75" customHeight="1">
      <c r="A1743" s="4">
        <v>1041003</v>
      </c>
      <c r="B1743" s="12" t="str">
        <f t="array" ref="B1743">IF(A1743:A5785="","",_xlfn.XLOOKUP(A1743:A5785,'参照_武将'!A:A,'参照_武将'!B:B,"見つかりません"))</f>
      </c>
      <c r="C1743" s="4" t="s">
        <v>5951</v>
      </c>
      <c r="D1743" s="4">
        <v>41</v>
      </c>
      <c r="E1743" s="12" t="str">
        <f t="array" ref="E1743">IF(D1743:D5785="","",IFERROR(_xlfn.XLOOKUP(D1743:D5785,'参照_勢力'!A:A,'参照_勢力'!B:B),IFERROR(_xlfn.XLOOKUP(F1743:F5785,kunishuClan!A:A,kunishuClan!B:B),"浪人")))</f>
      </c>
      <c r="F1743" s="4">
        <v>0</v>
      </c>
      <c r="G1743" s="4">
        <v>56</v>
      </c>
      <c r="H1743" s="12" t="str">
        <f t="array" ref="H1743">IF(G1743:G5785="","",_xlfn.XLOOKUP(G1743:G5785,castles_state!A:A,castles_state!D:D,"見つかりません"))</f>
      </c>
      <c r="I1743" s="4"/>
      <c r="J1743" s="12" t="str">
        <f t="array" ref="J1743">IF(I1743:I5785="","",_xlfn.XLOOKUP(I1743:I5785,'参照_姫'!A:A,'参照_姫'!B:B,"見つかりません"))</f>
      </c>
      <c r="K1743" s="4">
        <v>95</v>
      </c>
      <c r="L1743" s="4">
        <v>0</v>
      </c>
      <c r="M1743" s="4"/>
      <c r="N1743" s="4"/>
      <c r="O1743" s="4"/>
      <c r="P1743" s="12" t="str">
        <f t="array" ref="P1743">IF(O1743:O5785="","",_xlfn.XLOOKUP(O1743:O5785,'参照_官位'!A:A,'参照_官位'!B:B,""))</f>
      </c>
      <c r="Q1743" s="12" t="str">
        <f t="array" ref="Q1743">IF(A1743:A5785="","",IFERROR(_xlfn.XLOOKUP(A1743:A5785,castles_state!K:K,castles_state!D:D)&amp;"主",IFERROR(_xlfn.XLOOKUP(A1743:A5785,kunishuClan!D:D,kunishuClan!B:B)&amp;"当主","")))</f>
      </c>
    </row>
    <row r="1744" ht="15.75" customHeight="1">
      <c r="A1744" s="4">
        <v>1041004</v>
      </c>
      <c r="B1744" s="12" t="str">
        <f t="array" ref="B1744">IF(A1744:A5786="","",_xlfn.XLOOKUP(A1744:A5786,'参照_武将'!A:A,'参照_武将'!B:B,"見つかりません"))</f>
      </c>
      <c r="C1744" s="4" t="s">
        <v>5951</v>
      </c>
      <c r="D1744" s="4">
        <v>41</v>
      </c>
      <c r="E1744" s="12" t="str">
        <f t="array" ref="E1744">IF(D1744:D5786="","",IFERROR(_xlfn.XLOOKUP(D1744:D5786,'参照_勢力'!A:A,'参照_勢力'!B:B),IFERROR(_xlfn.XLOOKUP(F1744:F5786,kunishuClan!A:A,kunishuClan!B:B),"浪人")))</f>
      </c>
      <c r="F1744" s="4">
        <v>0</v>
      </c>
      <c r="G1744" s="4">
        <v>56</v>
      </c>
      <c r="H1744" s="12" t="str">
        <f t="array" ref="H1744">IF(G1744:G5786="","",_xlfn.XLOOKUP(G1744:G5786,castles_state!A:A,castles_state!D:D,"見つかりません"))</f>
      </c>
      <c r="I1744" s="4"/>
      <c r="J1744" s="12" t="str">
        <f t="array" ref="J1744">IF(I1744:I5786="","",_xlfn.XLOOKUP(I1744:I5786,'参照_姫'!A:A,'参照_姫'!B:B,"見つかりません"))</f>
      </c>
      <c r="K1744" s="4">
        <v>95</v>
      </c>
      <c r="L1744" s="4">
        <v>0</v>
      </c>
      <c r="M1744" s="4"/>
      <c r="N1744" s="4"/>
      <c r="O1744" s="4"/>
      <c r="P1744" s="12" t="str">
        <f t="array" ref="P1744">IF(O1744:O5786="","",_xlfn.XLOOKUP(O1744:O5786,'参照_官位'!A:A,'参照_官位'!B:B,""))</f>
      </c>
      <c r="Q1744" s="12" t="str">
        <f t="array" ref="Q1744">IF(A1744:A5786="","",IFERROR(_xlfn.XLOOKUP(A1744:A5786,castles_state!K:K,castles_state!D:D)&amp;"主",IFERROR(_xlfn.XLOOKUP(A1744:A5786,kunishuClan!D:D,kunishuClan!B:B)&amp;"当主","")))</f>
      </c>
    </row>
    <row r="1745" ht="15.75" customHeight="1">
      <c r="A1745" s="4">
        <v>1041005</v>
      </c>
      <c r="B1745" s="12" t="str">
        <f t="array" ref="B1745">IF(A1745:A5787="","",_xlfn.XLOOKUP(A1745:A5787,'参照_武将'!A:A,'参照_武将'!B:B,"見つかりません"))</f>
      </c>
      <c r="C1745" s="4" t="s">
        <v>5951</v>
      </c>
      <c r="D1745" s="4">
        <v>41</v>
      </c>
      <c r="E1745" s="12" t="str">
        <f t="array" ref="E1745">IF(D1745:D5787="","",IFERROR(_xlfn.XLOOKUP(D1745:D5787,'参照_勢力'!A:A,'参照_勢力'!B:B),IFERROR(_xlfn.XLOOKUP(F1745:F5787,kunishuClan!A:A,kunishuClan!B:B),"浪人")))</f>
      </c>
      <c r="F1745" s="4">
        <v>0</v>
      </c>
      <c r="G1745" s="4">
        <v>56</v>
      </c>
      <c r="H1745" s="12" t="str">
        <f t="array" ref="H1745">IF(G1745:G5787="","",_xlfn.XLOOKUP(G1745:G5787,castles_state!A:A,castles_state!D:D,"見つかりません"))</f>
      </c>
      <c r="I1745" s="4"/>
      <c r="J1745" s="12" t="str">
        <f t="array" ref="J1745">IF(I1745:I5787="","",_xlfn.XLOOKUP(I1745:I5787,'参照_姫'!A:A,'参照_姫'!B:B,"見つかりません"))</f>
      </c>
      <c r="K1745" s="4">
        <v>90</v>
      </c>
      <c r="L1745" s="4">
        <v>0</v>
      </c>
      <c r="M1745" s="4"/>
      <c r="N1745" s="4"/>
      <c r="O1745" s="4"/>
      <c r="P1745" s="12" t="str">
        <f t="array" ref="P1745">IF(O1745:O5787="","",_xlfn.XLOOKUP(O1745:O5787,'参照_官位'!A:A,'参照_官位'!B:B,""))</f>
      </c>
      <c r="Q1745" s="12" t="str">
        <f t="array" ref="Q1745">IF(A1745:A5787="","",IFERROR(_xlfn.XLOOKUP(A1745:A5787,castles_state!K:K,castles_state!D:D)&amp;"主",IFERROR(_xlfn.XLOOKUP(A1745:A5787,kunishuClan!D:D,kunishuClan!B:B)&amp;"当主","")))</f>
      </c>
    </row>
    <row r="1746" ht="15.75" customHeight="1">
      <c r="A1746" s="4">
        <v>1041006</v>
      </c>
      <c r="B1746" s="12" t="str">
        <f t="array" ref="B1746">IF(A1746:A5788="","",_xlfn.XLOOKUP(A1746:A5788,'参照_武将'!A:A,'参照_武将'!B:B,"見つかりません"))</f>
      </c>
      <c r="C1746" s="4" t="s">
        <v>5951</v>
      </c>
      <c r="D1746" s="4">
        <v>41</v>
      </c>
      <c r="E1746" s="12" t="str">
        <f t="array" ref="E1746">IF(D1746:D5788="","",IFERROR(_xlfn.XLOOKUP(D1746:D5788,'参照_勢力'!A:A,'参照_勢力'!B:B),IFERROR(_xlfn.XLOOKUP(F1746:F5788,kunishuClan!A:A,kunishuClan!B:B),"浪人")))</f>
      </c>
      <c r="F1746" s="4">
        <v>0</v>
      </c>
      <c r="G1746" s="4">
        <v>56</v>
      </c>
      <c r="H1746" s="12" t="str">
        <f t="array" ref="H1746">IF(G1746:G5788="","",_xlfn.XLOOKUP(G1746:G5788,castles_state!A:A,castles_state!D:D,"見つかりません"))</f>
      </c>
      <c r="I1746" s="4"/>
      <c r="J1746" s="12" t="str">
        <f t="array" ref="J1746">IF(I1746:I5788="","",_xlfn.XLOOKUP(I1746:I5788,'参照_姫'!A:A,'参照_姫'!B:B,"見つかりません"))</f>
      </c>
      <c r="K1746" s="4">
        <v>90</v>
      </c>
      <c r="L1746" s="4">
        <v>0</v>
      </c>
      <c r="M1746" s="4"/>
      <c r="N1746" s="4"/>
      <c r="O1746" s="4"/>
      <c r="P1746" s="12" t="str">
        <f t="array" ref="P1746">IF(O1746:O5788="","",_xlfn.XLOOKUP(O1746:O5788,'参照_官位'!A:A,'参照_官位'!B:B,""))</f>
      </c>
      <c r="Q1746" s="12" t="str">
        <f t="array" ref="Q1746">IF(A1746:A5788="","",IFERROR(_xlfn.XLOOKUP(A1746:A5788,castles_state!K:K,castles_state!D:D)&amp;"主",IFERROR(_xlfn.XLOOKUP(A1746:A5788,kunishuClan!D:D,kunishuClan!B:B)&amp;"当主","")))</f>
      </c>
    </row>
    <row r="1747" ht="15.75" customHeight="1">
      <c r="A1747" s="4">
        <v>1041007</v>
      </c>
      <c r="B1747" s="12" t="str">
        <f t="array" ref="B1747">IF(A1747:A5789="","",_xlfn.XLOOKUP(A1747:A5789,'参照_武将'!A:A,'参照_武将'!B:B,"見つかりません"))</f>
      </c>
      <c r="C1747" s="4" t="s">
        <v>5952</v>
      </c>
      <c r="D1747" s="4">
        <v>41</v>
      </c>
      <c r="E1747" s="12" t="str">
        <f t="array" ref="E1747">IF(D1747:D5789="","",IFERROR(_xlfn.XLOOKUP(D1747:D5789,'参照_勢力'!A:A,'参照_勢力'!B:B),IFERROR(_xlfn.XLOOKUP(F1747:F5789,kunishuClan!A:A,kunishuClan!B:B),"浪人")))</f>
      </c>
      <c r="F1747" s="4">
        <v>0</v>
      </c>
      <c r="G1747" s="4">
        <v>56</v>
      </c>
      <c r="H1747" s="12" t="str">
        <f t="array" ref="H1747">IF(G1747:G5789="","",_xlfn.XLOOKUP(G1747:G5789,castles_state!A:A,castles_state!D:D,"見つかりません"))</f>
      </c>
      <c r="I1747" s="4"/>
      <c r="J1747" s="12" t="str">
        <f t="array" ref="J1747">IF(I1747:I5789="","",_xlfn.XLOOKUP(I1747:I5789,'参照_姫'!A:A,'参照_姫'!B:B,"見つかりません"))</f>
      </c>
      <c r="K1747" s="4">
        <v>95</v>
      </c>
      <c r="L1747" s="4">
        <v>0</v>
      </c>
      <c r="M1747" s="4"/>
      <c r="N1747" s="4"/>
      <c r="O1747" s="4"/>
      <c r="P1747" s="12" t="str">
        <f t="array" ref="P1747">IF(O1747:O5789="","",_xlfn.XLOOKUP(O1747:O5789,'参照_官位'!A:A,'参照_官位'!B:B,""))</f>
      </c>
      <c r="Q1747" s="12" t="str">
        <f t="array" ref="Q1747">IF(A1747:A5789="","",IFERROR(_xlfn.XLOOKUP(A1747:A5789,castles_state!K:K,castles_state!D:D)&amp;"主",IFERROR(_xlfn.XLOOKUP(A1747:A5789,kunishuClan!D:D,kunishuClan!B:B)&amp;"当主","")))</f>
      </c>
    </row>
    <row r="1748" ht="15.75" customHeight="1">
      <c r="A1748" s="4">
        <v>1041008</v>
      </c>
      <c r="B1748" s="12" t="str">
        <f t="array" ref="B1748">IF(A1748:A5790="","",_xlfn.XLOOKUP(A1748:A5790,'参照_武将'!A:A,'参照_武将'!B:B,"見つかりません"))</f>
      </c>
      <c r="C1748" s="4" t="s">
        <v>5952</v>
      </c>
      <c r="D1748" s="4">
        <v>41</v>
      </c>
      <c r="E1748" s="12" t="str">
        <f t="array" ref="E1748">IF(D1748:D5790="","",IFERROR(_xlfn.XLOOKUP(D1748:D5790,'参照_勢力'!A:A,'参照_勢力'!B:B),IFERROR(_xlfn.XLOOKUP(F1748:F5790,kunishuClan!A:A,kunishuClan!B:B),"浪人")))</f>
      </c>
      <c r="F1748" s="4">
        <v>0</v>
      </c>
      <c r="G1748" s="4">
        <v>56</v>
      </c>
      <c r="H1748" s="12" t="str">
        <f t="array" ref="H1748">IF(G1748:G5790="","",_xlfn.XLOOKUP(G1748:G5790,castles_state!A:A,castles_state!D:D,"見つかりません"))</f>
      </c>
      <c r="I1748" s="4"/>
      <c r="J1748" s="12" t="str">
        <f t="array" ref="J1748">IF(I1748:I5790="","",_xlfn.XLOOKUP(I1748:I5790,'参照_姫'!A:A,'参照_姫'!B:B,"見つかりません"))</f>
      </c>
      <c r="K1748" s="4">
        <v>95</v>
      </c>
      <c r="L1748" s="4">
        <v>0</v>
      </c>
      <c r="M1748" s="4"/>
      <c r="N1748" s="4"/>
      <c r="O1748" s="4"/>
      <c r="P1748" s="12" t="str">
        <f t="array" ref="P1748">IF(O1748:O5790="","",_xlfn.XLOOKUP(O1748:O5790,'参照_官位'!A:A,'参照_官位'!B:B,""))</f>
      </c>
      <c r="Q1748" s="12" t="str">
        <f t="array" ref="Q1748">IF(A1748:A5790="","",IFERROR(_xlfn.XLOOKUP(A1748:A5790,castles_state!K:K,castles_state!D:D)&amp;"主",IFERROR(_xlfn.XLOOKUP(A1748:A5790,kunishuClan!D:D,kunishuClan!B:B)&amp;"当主","")))</f>
      </c>
    </row>
    <row r="1749" ht="15.75" customHeight="1">
      <c r="A1749" s="4">
        <v>1041009</v>
      </c>
      <c r="B1749" s="12" t="str">
        <f t="array" ref="B1749">IF(A1749:A5791="","",_xlfn.XLOOKUP(A1749:A5791,'参照_武将'!A:A,'参照_武将'!B:B,"見つかりません"))</f>
      </c>
      <c r="C1749" s="4" t="s">
        <v>5952</v>
      </c>
      <c r="D1749" s="4">
        <v>41</v>
      </c>
      <c r="E1749" s="12" t="str">
        <f t="array" ref="E1749">IF(D1749:D5791="","",IFERROR(_xlfn.XLOOKUP(D1749:D5791,'参照_勢力'!A:A,'参照_勢力'!B:B),IFERROR(_xlfn.XLOOKUP(F1749:F5791,kunishuClan!A:A,kunishuClan!B:B),"浪人")))</f>
      </c>
      <c r="F1749" s="4">
        <v>0</v>
      </c>
      <c r="G1749" s="4">
        <v>56</v>
      </c>
      <c r="H1749" s="12" t="str">
        <f t="array" ref="H1749">IF(G1749:G5791="","",_xlfn.XLOOKUP(G1749:G5791,castles_state!A:A,castles_state!D:D,"見つかりません"))</f>
      </c>
      <c r="I1749" s="4"/>
      <c r="J1749" s="12" t="str">
        <f t="array" ref="J1749">IF(I1749:I5791="","",_xlfn.XLOOKUP(I1749:I5791,'参照_姫'!A:A,'参照_姫'!B:B,"見つかりません"))</f>
      </c>
      <c r="K1749" s="4">
        <v>95</v>
      </c>
      <c r="L1749" s="4">
        <v>0</v>
      </c>
      <c r="M1749" s="4"/>
      <c r="N1749" s="4"/>
      <c r="O1749" s="4"/>
      <c r="P1749" s="12" t="str">
        <f t="array" ref="P1749">IF(O1749:O5791="","",_xlfn.XLOOKUP(O1749:O5791,'参照_官位'!A:A,'参照_官位'!B:B,""))</f>
      </c>
      <c r="Q1749" s="12" t="str">
        <f t="array" ref="Q1749">IF(A1749:A5791="","",IFERROR(_xlfn.XLOOKUP(A1749:A5791,castles_state!K:K,castles_state!D:D)&amp;"主",IFERROR(_xlfn.XLOOKUP(A1749:A5791,kunishuClan!D:D,kunishuClan!B:B)&amp;"当主","")))</f>
      </c>
    </row>
    <row r="1750" ht="15.75" customHeight="1">
      <c r="A1750" s="4">
        <v>1041010</v>
      </c>
      <c r="B1750" s="12" t="str">
        <f t="array" ref="B1750">IF(A1750:A5792="","",_xlfn.XLOOKUP(A1750:A5792,'参照_武将'!A:A,'参照_武将'!B:B,"見つかりません"))</f>
      </c>
      <c r="C1750" s="4" t="s">
        <v>5952</v>
      </c>
      <c r="D1750" s="4">
        <v>41</v>
      </c>
      <c r="E1750" s="12" t="str">
        <f t="array" ref="E1750">IF(D1750:D5792="","",IFERROR(_xlfn.XLOOKUP(D1750:D5792,'参照_勢力'!A:A,'参照_勢力'!B:B),IFERROR(_xlfn.XLOOKUP(F1750:F5792,kunishuClan!A:A,kunishuClan!B:B),"浪人")))</f>
      </c>
      <c r="F1750" s="4">
        <v>0</v>
      </c>
      <c r="G1750" s="4">
        <v>56</v>
      </c>
      <c r="H1750" s="12" t="str">
        <f t="array" ref="H1750">IF(G1750:G5792="","",_xlfn.XLOOKUP(G1750:G5792,castles_state!A:A,castles_state!D:D,"見つかりません"))</f>
      </c>
      <c r="I1750" s="4"/>
      <c r="J1750" s="12" t="str">
        <f t="array" ref="J1750">IF(I1750:I5792="","",_xlfn.XLOOKUP(I1750:I5792,'参照_姫'!A:A,'参照_姫'!B:B,"見つかりません"))</f>
      </c>
      <c r="K1750" s="4">
        <v>95</v>
      </c>
      <c r="L1750" s="4">
        <v>0</v>
      </c>
      <c r="M1750" s="4"/>
      <c r="N1750" s="4"/>
      <c r="O1750" s="4"/>
      <c r="P1750" s="12" t="str">
        <f t="array" ref="P1750">IF(O1750:O5792="","",_xlfn.XLOOKUP(O1750:O5792,'参照_官位'!A:A,'参照_官位'!B:B,""))</f>
      </c>
      <c r="Q1750" s="12" t="str">
        <f t="array" ref="Q1750">IF(A1750:A5792="","",IFERROR(_xlfn.XLOOKUP(A1750:A5792,castles_state!K:K,castles_state!D:D)&amp;"主",IFERROR(_xlfn.XLOOKUP(A1750:A5792,kunishuClan!D:D,kunishuClan!B:B)&amp;"当主","")))</f>
      </c>
    </row>
    <row r="1751" ht="15.75" customHeight="1">
      <c r="A1751" s="4">
        <v>1041011</v>
      </c>
      <c r="B1751" s="12" t="str">
        <f t="array" ref="B1751">IF(A1751:A5793="","",_xlfn.XLOOKUP(A1751:A5793,'参照_武将'!A:A,'参照_武将'!B:B,"見つかりません"))</f>
      </c>
      <c r="C1751" s="4" t="s">
        <v>5952</v>
      </c>
      <c r="D1751" s="4">
        <v>41</v>
      </c>
      <c r="E1751" s="12" t="str">
        <f t="array" ref="E1751">IF(D1751:D5793="","",IFERROR(_xlfn.XLOOKUP(D1751:D5793,'参照_勢力'!A:A,'参照_勢力'!B:B),IFERROR(_xlfn.XLOOKUP(F1751:F5793,kunishuClan!A:A,kunishuClan!B:B),"浪人")))</f>
      </c>
      <c r="F1751" s="4">
        <v>0</v>
      </c>
      <c r="G1751" s="4">
        <v>56</v>
      </c>
      <c r="H1751" s="12" t="str">
        <f t="array" ref="H1751">IF(G1751:G5793="","",_xlfn.XLOOKUP(G1751:G5793,castles_state!A:A,castles_state!D:D,"見つかりません"))</f>
      </c>
      <c r="I1751" s="4"/>
      <c r="J1751" s="12" t="str">
        <f t="array" ref="J1751">IF(I1751:I5793="","",_xlfn.XLOOKUP(I1751:I5793,'参照_姫'!A:A,'参照_姫'!B:B,"見つかりません"))</f>
      </c>
      <c r="K1751" s="4">
        <v>95</v>
      </c>
      <c r="L1751" s="4">
        <v>0</v>
      </c>
      <c r="M1751" s="4"/>
      <c r="N1751" s="4"/>
      <c r="O1751" s="4"/>
      <c r="P1751" s="12" t="str">
        <f t="array" ref="P1751">IF(O1751:O5793="","",_xlfn.XLOOKUP(O1751:O5793,'参照_官位'!A:A,'参照_官位'!B:B,""))</f>
      </c>
      <c r="Q1751" s="12" t="str">
        <f t="array" ref="Q1751">IF(A1751:A5793="","",IFERROR(_xlfn.XLOOKUP(A1751:A5793,castles_state!K:K,castles_state!D:D)&amp;"主",IFERROR(_xlfn.XLOOKUP(A1751:A5793,kunishuClan!D:D,kunishuClan!B:B)&amp;"当主","")))</f>
      </c>
    </row>
    <row r="1752" ht="15.75" customHeight="1">
      <c r="A1752" s="4">
        <v>1041012</v>
      </c>
      <c r="B1752" s="12" t="str">
        <f t="array" ref="B1752">IF(A1752:A5794="","",_xlfn.XLOOKUP(A1752:A5794,'参照_武将'!A:A,'参照_武将'!B:B,"見つかりません"))</f>
      </c>
      <c r="C1752" s="4" t="s">
        <v>5952</v>
      </c>
      <c r="D1752" s="4">
        <v>41</v>
      </c>
      <c r="E1752" s="12" t="str">
        <f t="array" ref="E1752">IF(D1752:D5794="","",IFERROR(_xlfn.XLOOKUP(D1752:D5794,'参照_勢力'!A:A,'参照_勢力'!B:B),IFERROR(_xlfn.XLOOKUP(F1752:F5794,kunishuClan!A:A,kunishuClan!B:B),"浪人")))</f>
      </c>
      <c r="F1752" s="4">
        <v>0</v>
      </c>
      <c r="G1752" s="4">
        <v>56</v>
      </c>
      <c r="H1752" s="12" t="str">
        <f t="array" ref="H1752">IF(G1752:G5794="","",_xlfn.XLOOKUP(G1752:G5794,castles_state!A:A,castles_state!D:D,"見つかりません"))</f>
      </c>
      <c r="I1752" s="4"/>
      <c r="J1752" s="12" t="str">
        <f t="array" ref="J1752">IF(I1752:I5794="","",_xlfn.XLOOKUP(I1752:I5794,'参照_姫'!A:A,'参照_姫'!B:B,"見つかりません"))</f>
      </c>
      <c r="K1752" s="4">
        <v>100</v>
      </c>
      <c r="L1752" s="4">
        <v>200</v>
      </c>
      <c r="M1752" s="4"/>
      <c r="N1752" s="4" t="b">
        <v>1</v>
      </c>
      <c r="O1752" s="4">
        <v>141</v>
      </c>
      <c r="P1752" s="12" t="str">
        <f t="array" ref="P1752">IF(O1752:O5794="","",_xlfn.XLOOKUP(O1752:O5794,'参照_官位'!A:A,'参照_官位'!B:B,""))</f>
      </c>
      <c r="Q1752" s="12" t="str">
        <f t="array" ref="Q1752">IF(A1752:A5794="","",IFERROR(_xlfn.XLOOKUP(A1752:A5794,castles_state!K:K,castles_state!D:D)&amp;"主",IFERROR(_xlfn.XLOOKUP(A1752:A5794,kunishuClan!D:D,kunishuClan!B:B)&amp;"当主","")))</f>
      </c>
    </row>
    <row r="1753" ht="15.75" customHeight="1">
      <c r="A1753" s="4">
        <v>1041013</v>
      </c>
      <c r="B1753" s="12" t="str">
        <f t="array" ref="B1753">IF(A1753:A5795="","",_xlfn.XLOOKUP(A1753:A5795,'参照_武将'!A:A,'参照_武将'!B:B,"見つかりません"))</f>
      </c>
      <c r="C1753" s="4" t="s">
        <v>5952</v>
      </c>
      <c r="D1753" s="4">
        <v>41</v>
      </c>
      <c r="E1753" s="12" t="str">
        <f t="array" ref="E1753">IF(D1753:D5795="","",IFERROR(_xlfn.XLOOKUP(D1753:D5795,'参照_勢力'!A:A,'参照_勢力'!B:B),IFERROR(_xlfn.XLOOKUP(F1753:F5795,kunishuClan!A:A,kunishuClan!B:B),"浪人")))</f>
      </c>
      <c r="F1753" s="4">
        <v>0</v>
      </c>
      <c r="G1753" s="4">
        <v>56</v>
      </c>
      <c r="H1753" s="12" t="str">
        <f t="array" ref="H1753">IF(G1753:G5795="","",_xlfn.XLOOKUP(G1753:G5795,castles_state!A:A,castles_state!D:D,"見つかりません"))</f>
      </c>
      <c r="I1753" s="4"/>
      <c r="J1753" s="12" t="str">
        <f t="array" ref="J1753">IF(I1753:I5795="","",_xlfn.XLOOKUP(I1753:I5795,'参照_姫'!A:A,'参照_姫'!B:B,"見つかりません"))</f>
      </c>
      <c r="K1753" s="4">
        <v>95</v>
      </c>
      <c r="L1753" s="4">
        <v>0</v>
      </c>
      <c r="M1753" s="4"/>
      <c r="N1753" s="4"/>
      <c r="O1753" s="4"/>
      <c r="P1753" s="12" t="str">
        <f t="array" ref="P1753">IF(O1753:O5795="","",_xlfn.XLOOKUP(O1753:O5795,'参照_官位'!A:A,'参照_官位'!B:B,""))</f>
      </c>
      <c r="Q1753" s="12" t="str">
        <f t="array" ref="Q1753">IF(A1753:A5795="","",IFERROR(_xlfn.XLOOKUP(A1753:A5795,castles_state!K:K,castles_state!D:D)&amp;"主",IFERROR(_xlfn.XLOOKUP(A1753:A5795,kunishuClan!D:D,kunishuClan!B:B)&amp;"当主","")))</f>
      </c>
    </row>
    <row r="1754" ht="15.75" customHeight="1">
      <c r="A1754" s="4">
        <v>1041014</v>
      </c>
      <c r="B1754" s="12" t="str">
        <f t="array" ref="B1754">IF(A1754:A5796="","",_xlfn.XLOOKUP(A1754:A5796,'参照_武将'!A:A,'参照_武将'!B:B,"見つかりません"))</f>
      </c>
      <c r="C1754" s="4" t="s">
        <v>5952</v>
      </c>
      <c r="D1754" s="4">
        <v>41</v>
      </c>
      <c r="E1754" s="12" t="str">
        <f t="array" ref="E1754">IF(D1754:D5796="","",IFERROR(_xlfn.XLOOKUP(D1754:D5796,'参照_勢力'!A:A,'参照_勢力'!B:B),IFERROR(_xlfn.XLOOKUP(F1754:F5796,kunishuClan!A:A,kunishuClan!B:B),"浪人")))</f>
      </c>
      <c r="F1754" s="4">
        <v>0</v>
      </c>
      <c r="G1754" s="4">
        <v>56</v>
      </c>
      <c r="H1754" s="12" t="str">
        <f t="array" ref="H1754">IF(G1754:G5796="","",_xlfn.XLOOKUP(G1754:G5796,castles_state!A:A,castles_state!D:D,"見つかりません"))</f>
      </c>
      <c r="I1754" s="4"/>
      <c r="J1754" s="12" t="str">
        <f t="array" ref="J1754">IF(I1754:I5796="","",_xlfn.XLOOKUP(I1754:I5796,'参照_姫'!A:A,'参照_姫'!B:B,"見つかりません"))</f>
      </c>
      <c r="K1754" s="4">
        <v>95</v>
      </c>
      <c r="L1754" s="4">
        <v>200</v>
      </c>
      <c r="M1754" s="4"/>
      <c r="N1754" s="4"/>
      <c r="O1754" s="4"/>
      <c r="P1754" s="12" t="str">
        <f t="array" ref="P1754">IF(O1754:O5796="","",_xlfn.XLOOKUP(O1754:O5796,'参照_官位'!A:A,'参照_官位'!B:B,""))</f>
      </c>
      <c r="Q1754" s="12" t="str">
        <f t="array" ref="Q1754">IF(A1754:A5796="","",IFERROR(_xlfn.XLOOKUP(A1754:A5796,castles_state!K:K,castles_state!D:D)&amp;"主",IFERROR(_xlfn.XLOOKUP(A1754:A5796,kunishuClan!D:D,kunishuClan!B:B)&amp;"当主","")))</f>
      </c>
    </row>
    <row r="1755" ht="15.75" customHeight="1">
      <c r="A1755" s="4">
        <v>1041015</v>
      </c>
      <c r="B1755" s="12" t="str">
        <f t="array" ref="B1755">IF(A1755:A5797="","",_xlfn.XLOOKUP(A1755:A5797,'参照_武将'!A:A,'参照_武将'!B:B,"見つかりません"))</f>
      </c>
      <c r="C1755" s="4" t="s">
        <v>5952</v>
      </c>
      <c r="D1755" s="4">
        <v>41</v>
      </c>
      <c r="E1755" s="12" t="str">
        <f t="array" ref="E1755">IF(D1755:D5797="","",IFERROR(_xlfn.XLOOKUP(D1755:D5797,'参照_勢力'!A:A,'参照_勢力'!B:B),IFERROR(_xlfn.XLOOKUP(F1755:F5797,kunishuClan!A:A,kunishuClan!B:B),"浪人")))</f>
      </c>
      <c r="F1755" s="4">
        <v>0</v>
      </c>
      <c r="G1755" s="4">
        <v>56</v>
      </c>
      <c r="H1755" s="12" t="str">
        <f t="array" ref="H1755">IF(G1755:G5797="","",_xlfn.XLOOKUP(G1755:G5797,castles_state!A:A,castles_state!D:D,"見つかりません"))</f>
      </c>
      <c r="I1755" s="4"/>
      <c r="J1755" s="12" t="str">
        <f t="array" ref="J1755">IF(I1755:I5797="","",_xlfn.XLOOKUP(I1755:I5797,'参照_姫'!A:A,'参照_姫'!B:B,"見つかりません"))</f>
      </c>
      <c r="K1755" s="4">
        <v>95</v>
      </c>
      <c r="L1755" s="4">
        <v>100</v>
      </c>
      <c r="M1755" s="4"/>
      <c r="N1755" s="4"/>
      <c r="O1755" s="4"/>
      <c r="P1755" s="12" t="str">
        <f t="array" ref="P1755">IF(O1755:O5797="","",_xlfn.XLOOKUP(O1755:O5797,'参照_官位'!A:A,'参照_官位'!B:B,""))</f>
      </c>
      <c r="Q1755" s="12" t="str">
        <f t="array" ref="Q1755">IF(A1755:A5797="","",IFERROR(_xlfn.XLOOKUP(A1755:A5797,castles_state!K:K,castles_state!D:D)&amp;"主",IFERROR(_xlfn.XLOOKUP(A1755:A5797,kunishuClan!D:D,kunishuClan!B:B)&amp;"当主","")))</f>
      </c>
    </row>
    <row r="1756" ht="15.75" customHeight="1">
      <c r="A1756" s="4">
        <v>1041016</v>
      </c>
      <c r="B1756" s="12" t="str">
        <f t="array" ref="B1756">IF(A1756:A5798="","",_xlfn.XLOOKUP(A1756:A5798,'参照_武将'!A:A,'参照_武将'!B:B,"見つかりません"))</f>
      </c>
      <c r="C1756" s="4" t="s">
        <v>5952</v>
      </c>
      <c r="D1756" s="4">
        <v>41</v>
      </c>
      <c r="E1756" s="12" t="str">
        <f t="array" ref="E1756">IF(D1756:D5798="","",IFERROR(_xlfn.XLOOKUP(D1756:D5798,'参照_勢力'!A:A,'参照_勢力'!B:B),IFERROR(_xlfn.XLOOKUP(F1756:F5798,kunishuClan!A:A,kunishuClan!B:B),"浪人")))</f>
      </c>
      <c r="F1756" s="4">
        <v>0</v>
      </c>
      <c r="G1756" s="4">
        <v>56</v>
      </c>
      <c r="H1756" s="12" t="str">
        <f t="array" ref="H1756">IF(G1756:G5798="","",_xlfn.XLOOKUP(G1756:G5798,castles_state!A:A,castles_state!D:D,"見つかりません"))</f>
      </c>
      <c r="I1756" s="4"/>
      <c r="J1756" s="12" t="str">
        <f t="array" ref="J1756">IF(I1756:I5798="","",_xlfn.XLOOKUP(I1756:I5798,'参照_姫'!A:A,'参照_姫'!B:B,"見つかりません"))</f>
      </c>
      <c r="K1756" s="4">
        <v>100</v>
      </c>
      <c r="L1756" s="4">
        <v>1500</v>
      </c>
      <c r="M1756" s="4"/>
      <c r="N1756" s="4"/>
      <c r="O1756" s="4">
        <v>232</v>
      </c>
      <c r="P1756" s="12" t="str">
        <f t="array" ref="P1756">IF(O1756:O5798="","",_xlfn.XLOOKUP(O1756:O5798,'参照_官位'!A:A,'参照_官位'!B:B,""))</f>
      </c>
      <c r="Q1756" s="12" t="str">
        <f t="array" ref="Q1756">IF(A1756:A5798="","",IFERROR(_xlfn.XLOOKUP(A1756:A5798,castles_state!K:K,castles_state!D:D)&amp;"主",IFERROR(_xlfn.XLOOKUP(A1756:A5798,kunishuClan!D:D,kunishuClan!B:B)&amp;"当主","")))</f>
      </c>
    </row>
    <row r="1757" ht="15.75" customHeight="1">
      <c r="A1757" s="4">
        <v>1041017</v>
      </c>
      <c r="B1757" s="12" t="str">
        <f t="array" ref="B1757">IF(A1757:A5799="","",_xlfn.XLOOKUP(A1757:A5799,'参照_武将'!A:A,'参照_武将'!B:B,"見つかりません"))</f>
      </c>
      <c r="C1757" s="4" t="s">
        <v>5952</v>
      </c>
      <c r="D1757" s="4">
        <v>41</v>
      </c>
      <c r="E1757" s="12" t="str">
        <f t="array" ref="E1757">IF(D1757:D5799="","",IFERROR(_xlfn.XLOOKUP(D1757:D5799,'参照_勢力'!A:A,'参照_勢力'!B:B),IFERROR(_xlfn.XLOOKUP(F1757:F5799,kunishuClan!A:A,kunishuClan!B:B),"浪人")))</f>
      </c>
      <c r="F1757" s="4">
        <v>0</v>
      </c>
      <c r="G1757" s="4">
        <v>56</v>
      </c>
      <c r="H1757" s="12" t="str">
        <f t="array" ref="H1757">IF(G1757:G5799="","",_xlfn.XLOOKUP(G1757:G5799,castles_state!A:A,castles_state!D:D,"見つかりません"))</f>
      </c>
      <c r="I1757" s="4"/>
      <c r="J1757" s="12" t="str">
        <f t="array" ref="J1757">IF(I1757:I5799="","",_xlfn.XLOOKUP(I1757:I5799,'参照_姫'!A:A,'参照_姫'!B:B,"見つかりません"))</f>
      </c>
      <c r="K1757" s="4">
        <v>95</v>
      </c>
      <c r="L1757" s="4">
        <v>0</v>
      </c>
      <c r="M1757" s="4"/>
      <c r="N1757" s="4"/>
      <c r="O1757" s="4"/>
      <c r="P1757" s="12" t="str">
        <f t="array" ref="P1757">IF(O1757:O5799="","",_xlfn.XLOOKUP(O1757:O5799,'参照_官位'!A:A,'参照_官位'!B:B,""))</f>
      </c>
      <c r="Q1757" s="12" t="str">
        <f t="array" ref="Q1757">IF(A1757:A5799="","",IFERROR(_xlfn.XLOOKUP(A1757:A5799,castles_state!K:K,castles_state!D:D)&amp;"主",IFERROR(_xlfn.XLOOKUP(A1757:A5799,kunishuClan!D:D,kunishuClan!B:B)&amp;"当主","")))</f>
      </c>
    </row>
    <row r="1758" ht="15.75" customHeight="1">
      <c r="A1758" s="4">
        <v>1041018</v>
      </c>
      <c r="B1758" s="12" t="str">
        <f t="array" ref="B1758">IF(A1758:A5800="","",_xlfn.XLOOKUP(A1758:A5800,'参照_武将'!A:A,'参照_武将'!B:B,"見つかりません"))</f>
      </c>
      <c r="C1758" s="4" t="s">
        <v>5952</v>
      </c>
      <c r="D1758" s="4">
        <v>41</v>
      </c>
      <c r="E1758" s="12" t="str">
        <f t="array" ref="E1758">IF(D1758:D5800="","",IFERROR(_xlfn.XLOOKUP(D1758:D5800,'参照_勢力'!A:A,'参照_勢力'!B:B),IFERROR(_xlfn.XLOOKUP(F1758:F5800,kunishuClan!A:A,kunishuClan!B:B),"浪人")))</f>
      </c>
      <c r="F1758" s="4">
        <v>0</v>
      </c>
      <c r="G1758" s="4">
        <v>56</v>
      </c>
      <c r="H1758" s="12" t="str">
        <f t="array" ref="H1758">IF(G1758:G5800="","",_xlfn.XLOOKUP(G1758:G5800,castles_state!A:A,castles_state!D:D,"見つかりません"))</f>
      </c>
      <c r="I1758" s="4"/>
      <c r="J1758" s="12" t="str">
        <f t="array" ref="J1758">IF(I1758:I5800="","",_xlfn.XLOOKUP(I1758:I5800,'参照_姫'!A:A,'参照_姫'!B:B,"見つかりません"))</f>
      </c>
      <c r="K1758" s="4">
        <v>95</v>
      </c>
      <c r="L1758" s="4">
        <v>0</v>
      </c>
      <c r="M1758" s="4"/>
      <c r="N1758" s="4"/>
      <c r="O1758" s="4"/>
      <c r="P1758" s="12" t="str">
        <f t="array" ref="P1758">IF(O1758:O5800="","",_xlfn.XLOOKUP(O1758:O5800,'参照_官位'!A:A,'参照_官位'!B:B,""))</f>
      </c>
      <c r="Q1758" s="12" t="str">
        <f t="array" ref="Q1758">IF(A1758:A5800="","",IFERROR(_xlfn.XLOOKUP(A1758:A5800,castles_state!K:K,castles_state!D:D)&amp;"主",IFERROR(_xlfn.XLOOKUP(A1758:A5800,kunishuClan!D:D,kunishuClan!B:B)&amp;"当主","")))</f>
      </c>
    </row>
    <row r="1759" ht="15.75" customHeight="1">
      <c r="A1759" s="4">
        <v>1041019</v>
      </c>
      <c r="B1759" s="12" t="str">
        <f t="array" ref="B1759">IF(A1759:A5801="","",_xlfn.XLOOKUP(A1759:A5801,'参照_武将'!A:A,'参照_武将'!B:B,"見つかりません"))</f>
      </c>
      <c r="C1759" s="4" t="s">
        <v>5952</v>
      </c>
      <c r="D1759" s="4">
        <v>41</v>
      </c>
      <c r="E1759" s="12" t="str">
        <f t="array" ref="E1759">IF(D1759:D5801="","",IFERROR(_xlfn.XLOOKUP(D1759:D5801,'参照_勢力'!A:A,'参照_勢力'!B:B),IFERROR(_xlfn.XLOOKUP(F1759:F5801,kunishuClan!A:A,kunishuClan!B:B),"浪人")))</f>
      </c>
      <c r="F1759" s="4">
        <v>0</v>
      </c>
      <c r="G1759" s="4">
        <v>56</v>
      </c>
      <c r="H1759" s="12" t="str">
        <f t="array" ref="H1759">IF(G1759:G5801="","",_xlfn.XLOOKUP(G1759:G5801,castles_state!A:A,castles_state!D:D,"見つかりません"))</f>
      </c>
      <c r="I1759" s="4"/>
      <c r="J1759" s="12" t="str">
        <f t="array" ref="J1759">IF(I1759:I5801="","",_xlfn.XLOOKUP(I1759:I5801,'参照_姫'!A:A,'参照_姫'!B:B,"見つかりません"))</f>
      </c>
      <c r="K1759" s="4">
        <v>95</v>
      </c>
      <c r="L1759" s="4">
        <v>0</v>
      </c>
      <c r="M1759" s="4"/>
      <c r="N1759" s="4"/>
      <c r="O1759" s="4"/>
      <c r="P1759" s="12" t="str">
        <f t="array" ref="P1759">IF(O1759:O5801="","",_xlfn.XLOOKUP(O1759:O5801,'参照_官位'!A:A,'参照_官位'!B:B,""))</f>
      </c>
      <c r="Q1759" s="12" t="str">
        <f t="array" ref="Q1759">IF(A1759:A5801="","",IFERROR(_xlfn.XLOOKUP(A1759:A5801,castles_state!K:K,castles_state!D:D)&amp;"主",IFERROR(_xlfn.XLOOKUP(A1759:A5801,kunishuClan!D:D,kunishuClan!B:B)&amp;"当主","")))</f>
      </c>
    </row>
    <row r="1760" ht="15.75" customHeight="1">
      <c r="A1760" s="4">
        <v>1041020</v>
      </c>
      <c r="B1760" s="12" t="str">
        <f t="array" ref="B1760">IF(A1760:A5802="","",_xlfn.XLOOKUP(A1760:A5802,'参照_武将'!A:A,'参照_武将'!B:B,"見つかりません"))</f>
      </c>
      <c r="C1760" s="4" t="s">
        <v>5952</v>
      </c>
      <c r="D1760" s="4">
        <v>41</v>
      </c>
      <c r="E1760" s="12" t="str">
        <f t="array" ref="E1760">IF(D1760:D5802="","",IFERROR(_xlfn.XLOOKUP(D1760:D5802,'参照_勢力'!A:A,'参照_勢力'!B:B),IFERROR(_xlfn.XLOOKUP(F1760:F5802,kunishuClan!A:A,kunishuClan!B:B),"浪人")))</f>
      </c>
      <c r="F1760" s="4">
        <v>0</v>
      </c>
      <c r="G1760" s="4">
        <v>56</v>
      </c>
      <c r="H1760" s="12" t="str">
        <f t="array" ref="H1760">IF(G1760:G5802="","",_xlfn.XLOOKUP(G1760:G5802,castles_state!A:A,castles_state!D:D,"見つかりません"))</f>
      </c>
      <c r="I1760" s="4"/>
      <c r="J1760" s="12" t="str">
        <f t="array" ref="J1760">IF(I1760:I5802="","",_xlfn.XLOOKUP(I1760:I5802,'参照_姫'!A:A,'参照_姫'!B:B,"見つかりません"))</f>
      </c>
      <c r="K1760" s="4">
        <v>95</v>
      </c>
      <c r="L1760" s="4">
        <v>0</v>
      </c>
      <c r="M1760" s="4"/>
      <c r="N1760" s="4"/>
      <c r="O1760" s="4"/>
      <c r="P1760" s="12" t="str">
        <f t="array" ref="P1760">IF(O1760:O5802="","",_xlfn.XLOOKUP(O1760:O5802,'参照_官位'!A:A,'参照_官位'!B:B,""))</f>
      </c>
      <c r="Q1760" s="12" t="str">
        <f t="array" ref="Q1760">IF(A1760:A5802="","",IFERROR(_xlfn.XLOOKUP(A1760:A5802,castles_state!K:K,castles_state!D:D)&amp;"主",IFERROR(_xlfn.XLOOKUP(A1760:A5802,kunishuClan!D:D,kunishuClan!B:B)&amp;"当主","")))</f>
      </c>
    </row>
    <row r="1761" ht="15.75" customHeight="1">
      <c r="A1761" s="4">
        <v>1041021</v>
      </c>
      <c r="B1761" s="12" t="str">
        <f t="array" ref="B1761">IF(A1761:A5803="","",_xlfn.XLOOKUP(A1761:A5803,'参照_武将'!A:A,'参照_武将'!B:B,"見つかりません"))</f>
      </c>
      <c r="C1761" s="4" t="s">
        <v>5952</v>
      </c>
      <c r="D1761" s="4">
        <v>41</v>
      </c>
      <c r="E1761" s="12" t="str">
        <f t="array" ref="E1761">IF(D1761:D5803="","",IFERROR(_xlfn.XLOOKUP(D1761:D5803,'参照_勢力'!A:A,'参照_勢力'!B:B),IFERROR(_xlfn.XLOOKUP(F1761:F5803,kunishuClan!A:A,kunishuClan!B:B),"浪人")))</f>
      </c>
      <c r="F1761" s="4">
        <v>0</v>
      </c>
      <c r="G1761" s="4">
        <v>56</v>
      </c>
      <c r="H1761" s="12" t="str">
        <f t="array" ref="H1761">IF(G1761:G5803="","",_xlfn.XLOOKUP(G1761:G5803,castles_state!A:A,castles_state!D:D,"見つかりません"))</f>
      </c>
      <c r="I1761" s="4"/>
      <c r="J1761" s="12" t="str">
        <f t="array" ref="J1761">IF(I1761:I5803="","",_xlfn.XLOOKUP(I1761:I5803,'参照_姫'!A:A,'参照_姫'!B:B,"見つかりません"))</f>
      </c>
      <c r="K1761" s="4">
        <v>90</v>
      </c>
      <c r="L1761" s="4">
        <v>0</v>
      </c>
      <c r="M1761" s="4"/>
      <c r="N1761" s="4"/>
      <c r="O1761" s="4"/>
      <c r="P1761" s="12" t="str">
        <f t="array" ref="P1761">IF(O1761:O5803="","",_xlfn.XLOOKUP(O1761:O5803,'参照_官位'!A:A,'参照_官位'!B:B,""))</f>
      </c>
      <c r="Q1761" s="12" t="str">
        <f t="array" ref="Q1761">IF(A1761:A5803="","",IFERROR(_xlfn.XLOOKUP(A1761:A5803,castles_state!K:K,castles_state!D:D)&amp;"主",IFERROR(_xlfn.XLOOKUP(A1761:A5803,kunishuClan!D:D,kunishuClan!B:B)&amp;"当主","")))</f>
      </c>
    </row>
    <row r="1762" ht="15.75" customHeight="1">
      <c r="A1762" s="4">
        <v>1041022</v>
      </c>
      <c r="B1762" s="12" t="str">
        <f t="array" ref="B1762">IF(A1762:A5804="","",_xlfn.XLOOKUP(A1762:A5804,'参照_武将'!A:A,'参照_武将'!B:B,"見つかりません"))</f>
      </c>
      <c r="C1762" s="4" t="s">
        <v>5952</v>
      </c>
      <c r="D1762" s="4">
        <v>41</v>
      </c>
      <c r="E1762" s="12" t="str">
        <f t="array" ref="E1762">IF(D1762:D5804="","",IFERROR(_xlfn.XLOOKUP(D1762:D5804,'参照_勢力'!A:A,'参照_勢力'!B:B),IFERROR(_xlfn.XLOOKUP(F1762:F5804,kunishuClan!A:A,kunishuClan!B:B),"浪人")))</f>
      </c>
      <c r="F1762" s="4">
        <v>0</v>
      </c>
      <c r="G1762" s="4">
        <v>56</v>
      </c>
      <c r="H1762" s="12" t="str">
        <f t="array" ref="H1762">IF(G1762:G5804="","",_xlfn.XLOOKUP(G1762:G5804,castles_state!A:A,castles_state!D:D,"見つかりません"))</f>
      </c>
      <c r="I1762" s="4"/>
      <c r="J1762" s="12" t="str">
        <f t="array" ref="J1762">IF(I1762:I5804="","",_xlfn.XLOOKUP(I1762:I5804,'参照_姫'!A:A,'参照_姫'!B:B,"見つかりません"))</f>
      </c>
      <c r="K1762" s="4">
        <v>90</v>
      </c>
      <c r="L1762" s="4">
        <v>0</v>
      </c>
      <c r="M1762" s="4"/>
      <c r="N1762" s="4"/>
      <c r="O1762" s="4"/>
      <c r="P1762" s="12" t="str">
        <f t="array" ref="P1762">IF(O1762:O5804="","",_xlfn.XLOOKUP(O1762:O5804,'参照_官位'!A:A,'参照_官位'!B:B,""))</f>
      </c>
      <c r="Q1762" s="12" t="str">
        <f t="array" ref="Q1762">IF(A1762:A5804="","",IFERROR(_xlfn.XLOOKUP(A1762:A5804,castles_state!K:K,castles_state!D:D)&amp;"主",IFERROR(_xlfn.XLOOKUP(A1762:A5804,kunishuClan!D:D,kunishuClan!B:B)&amp;"当主","")))</f>
      </c>
    </row>
    <row r="1763" ht="15.75" customHeight="1">
      <c r="A1763" s="4">
        <v>1041023</v>
      </c>
      <c r="B1763" s="12" t="str">
        <f t="array" ref="B1763">IF(A1763:A5805="","",_xlfn.XLOOKUP(A1763:A5805,'参照_武将'!A:A,'参照_武将'!B:B,"見つかりません"))</f>
      </c>
      <c r="C1763" s="4" t="s">
        <v>5952</v>
      </c>
      <c r="D1763" s="4">
        <v>41</v>
      </c>
      <c r="E1763" s="12" t="str">
        <f t="array" ref="E1763">IF(D1763:D5805="","",IFERROR(_xlfn.XLOOKUP(D1763:D5805,'参照_勢力'!A:A,'参照_勢力'!B:B),IFERROR(_xlfn.XLOOKUP(F1763:F5805,kunishuClan!A:A,kunishuClan!B:B),"浪人")))</f>
      </c>
      <c r="F1763" s="4">
        <v>0</v>
      </c>
      <c r="G1763" s="4">
        <v>56</v>
      </c>
      <c r="H1763" s="12" t="str">
        <f t="array" ref="H1763">IF(G1763:G5805="","",_xlfn.XLOOKUP(G1763:G5805,castles_state!A:A,castles_state!D:D,"見つかりません"))</f>
      </c>
      <c r="I1763" s="4"/>
      <c r="J1763" s="12" t="str">
        <f t="array" ref="J1763">IF(I1763:I5805="","",_xlfn.XLOOKUP(I1763:I5805,'参照_姫'!A:A,'参照_姫'!B:B,"見つかりません"))</f>
      </c>
      <c r="K1763" s="4">
        <v>95</v>
      </c>
      <c r="L1763" s="4">
        <v>0</v>
      </c>
      <c r="M1763" s="4"/>
      <c r="N1763" s="4"/>
      <c r="O1763" s="4"/>
      <c r="P1763" s="12" t="str">
        <f t="array" ref="P1763">IF(O1763:O5805="","",_xlfn.XLOOKUP(O1763:O5805,'参照_官位'!A:A,'参照_官位'!B:B,""))</f>
      </c>
      <c r="Q1763" s="12" t="str">
        <f t="array" ref="Q1763">IF(A1763:A5805="","",IFERROR(_xlfn.XLOOKUP(A1763:A5805,castles_state!K:K,castles_state!D:D)&amp;"主",IFERROR(_xlfn.XLOOKUP(A1763:A5805,kunishuClan!D:D,kunishuClan!B:B)&amp;"当主","")))</f>
      </c>
    </row>
    <row r="1764" ht="15.75" customHeight="1">
      <c r="A1764" s="4">
        <v>1041024</v>
      </c>
      <c r="B1764" s="12" t="str">
        <f t="array" ref="B1764">IF(A1764:A5806="","",_xlfn.XLOOKUP(A1764:A5806,'参照_武将'!A:A,'参照_武将'!B:B,"見つかりません"))</f>
      </c>
      <c r="C1764" s="4" t="s">
        <v>5952</v>
      </c>
      <c r="D1764" s="4">
        <v>41</v>
      </c>
      <c r="E1764" s="12" t="str">
        <f t="array" ref="E1764">IF(D1764:D5806="","",IFERROR(_xlfn.XLOOKUP(D1764:D5806,'参照_勢力'!A:A,'参照_勢力'!B:B),IFERROR(_xlfn.XLOOKUP(F1764:F5806,kunishuClan!A:A,kunishuClan!B:B),"浪人")))</f>
      </c>
      <c r="F1764" s="4">
        <v>0</v>
      </c>
      <c r="G1764" s="4">
        <v>102</v>
      </c>
      <c r="H1764" s="12" t="str">
        <f t="array" ref="H1764">IF(G1764:G5806="","",_xlfn.XLOOKUP(G1764:G5806,castles_state!A:A,castles_state!D:D,"見つかりません"))</f>
      </c>
      <c r="I1764" s="4"/>
      <c r="J1764" s="12" t="str">
        <f t="array" ref="J1764">IF(I1764:I5806="","",_xlfn.XLOOKUP(I1764:I5806,'参照_姫'!A:A,'参照_姫'!B:B,"見つかりません"))</f>
      </c>
      <c r="K1764" s="4">
        <v>95</v>
      </c>
      <c r="L1764" s="4">
        <v>0</v>
      </c>
      <c r="M1764" s="4"/>
      <c r="N1764" s="4"/>
      <c r="O1764" s="4"/>
      <c r="P1764" s="12" t="str">
        <f t="array" ref="P1764">IF(O1764:O5806="","",_xlfn.XLOOKUP(O1764:O5806,'参照_官位'!A:A,'参照_官位'!B:B,""))</f>
      </c>
      <c r="Q1764" s="12" t="str">
        <f t="array" ref="Q1764">IF(A1764:A5806="","",IFERROR(_xlfn.XLOOKUP(A1764:A5806,castles_state!K:K,castles_state!D:D)&amp;"主",IFERROR(_xlfn.XLOOKUP(A1764:A5806,kunishuClan!D:D,kunishuClan!B:B)&amp;"当主","")))</f>
      </c>
    </row>
    <row r="1765" ht="15.75" customHeight="1">
      <c r="A1765" s="4">
        <v>1041025</v>
      </c>
      <c r="B1765" s="12" t="str">
        <f t="array" ref="B1765">IF(A1765:A5807="","",_xlfn.XLOOKUP(A1765:A5807,'参照_武将'!A:A,'参照_武将'!B:B,"見つかりません"))</f>
      </c>
      <c r="C1765" s="4" t="s">
        <v>5952</v>
      </c>
      <c r="D1765" s="4">
        <v>41</v>
      </c>
      <c r="E1765" s="12" t="str">
        <f t="array" ref="E1765">IF(D1765:D5807="","",IFERROR(_xlfn.XLOOKUP(D1765:D5807,'参照_勢力'!A:A,'参照_勢力'!B:B),IFERROR(_xlfn.XLOOKUP(F1765:F5807,kunishuClan!A:A,kunishuClan!B:B),"浪人")))</f>
      </c>
      <c r="F1765" s="4">
        <v>0</v>
      </c>
      <c r="G1765" s="4">
        <v>102</v>
      </c>
      <c r="H1765" s="12" t="str">
        <f t="array" ref="H1765">IF(G1765:G5807="","",_xlfn.XLOOKUP(G1765:G5807,castles_state!A:A,castles_state!D:D,"見つかりません"))</f>
      </c>
      <c r="I1765" s="4"/>
      <c r="J1765" s="12" t="str">
        <f t="array" ref="J1765">IF(I1765:I5807="","",_xlfn.XLOOKUP(I1765:I5807,'参照_姫'!A:A,'参照_姫'!B:B,"見つかりません"))</f>
      </c>
      <c r="K1765" s="4">
        <v>95</v>
      </c>
      <c r="L1765" s="4">
        <v>0</v>
      </c>
      <c r="M1765" s="4"/>
      <c r="N1765" s="4"/>
      <c r="O1765" s="4"/>
      <c r="P1765" s="12" t="str">
        <f t="array" ref="P1765">IF(O1765:O5807="","",_xlfn.XLOOKUP(O1765:O5807,'参照_官位'!A:A,'参照_官位'!B:B,""))</f>
      </c>
      <c r="Q1765" s="12" t="str">
        <f t="array" ref="Q1765">IF(A1765:A5807="","",IFERROR(_xlfn.XLOOKUP(A1765:A5807,castles_state!K:K,castles_state!D:D)&amp;"主",IFERROR(_xlfn.XLOOKUP(A1765:A5807,kunishuClan!D:D,kunishuClan!B:B)&amp;"当主","")))</f>
      </c>
    </row>
    <row r="1766" ht="15.75" customHeight="1">
      <c r="A1766" s="4">
        <v>1041026</v>
      </c>
      <c r="B1766" s="12" t="str">
        <f t="array" ref="B1766">IF(A1766:A5808="","",_xlfn.XLOOKUP(A1766:A5808,'参照_武将'!A:A,'参照_武将'!B:B,"見つかりません"))</f>
      </c>
      <c r="C1766" s="4" t="s">
        <v>5952</v>
      </c>
      <c r="D1766" s="4">
        <v>41</v>
      </c>
      <c r="E1766" s="12" t="str">
        <f t="array" ref="E1766">IF(D1766:D5808="","",IFERROR(_xlfn.XLOOKUP(D1766:D5808,'参照_勢力'!A:A,'参照_勢力'!B:B),IFERROR(_xlfn.XLOOKUP(F1766:F5808,kunishuClan!A:A,kunishuClan!B:B),"浪人")))</f>
      </c>
      <c r="F1766" s="4">
        <v>0</v>
      </c>
      <c r="G1766" s="4">
        <v>56</v>
      </c>
      <c r="H1766" s="12" t="str">
        <f t="array" ref="H1766">IF(G1766:G5808="","",_xlfn.XLOOKUP(G1766:G5808,castles_state!A:A,castles_state!D:D,"見つかりません"))</f>
      </c>
      <c r="I1766" s="4"/>
      <c r="J1766" s="12" t="str">
        <f t="array" ref="J1766">IF(I1766:I5808="","",_xlfn.XLOOKUP(I1766:I5808,'参照_姫'!A:A,'参照_姫'!B:B,"見つかりません"))</f>
      </c>
      <c r="K1766" s="4">
        <v>95</v>
      </c>
      <c r="L1766" s="4">
        <v>300</v>
      </c>
      <c r="M1766" s="4"/>
      <c r="N1766" s="4"/>
      <c r="O1766" s="4"/>
      <c r="P1766" s="12" t="str">
        <f t="array" ref="P1766">IF(O1766:O5808="","",_xlfn.XLOOKUP(O1766:O5808,'参照_官位'!A:A,'参照_官位'!B:B,""))</f>
      </c>
      <c r="Q1766" s="12" t="str">
        <f t="array" ref="Q1766">IF(A1766:A5808="","",IFERROR(_xlfn.XLOOKUP(A1766:A5808,castles_state!K:K,castles_state!D:D)&amp;"主",IFERROR(_xlfn.XLOOKUP(A1766:A5808,kunishuClan!D:D,kunishuClan!B:B)&amp;"当主","")))</f>
      </c>
    </row>
    <row r="1767" ht="15.75" customHeight="1">
      <c r="A1767" s="4">
        <v>1041027</v>
      </c>
      <c r="B1767" s="12" t="str">
        <f t="array" ref="B1767">IF(A1767:A5809="","",_xlfn.XLOOKUP(A1767:A5809,'参照_武将'!A:A,'参照_武将'!B:B,"見つかりません"))</f>
      </c>
      <c r="C1767" s="4" t="s">
        <v>5952</v>
      </c>
      <c r="D1767" s="4">
        <v>41</v>
      </c>
      <c r="E1767" s="12" t="str">
        <f t="array" ref="E1767">IF(D1767:D5809="","",IFERROR(_xlfn.XLOOKUP(D1767:D5809,'参照_勢力'!A:A,'参照_勢力'!B:B),IFERROR(_xlfn.XLOOKUP(F1767:F5809,kunishuClan!A:A,kunishuClan!B:B),"浪人")))</f>
      </c>
      <c r="F1767" s="4">
        <v>0</v>
      </c>
      <c r="G1767" s="4">
        <v>56</v>
      </c>
      <c r="H1767" s="12" t="str">
        <f t="array" ref="H1767">IF(G1767:G5809="","",_xlfn.XLOOKUP(G1767:G5809,castles_state!A:A,castles_state!D:D,"見つかりません"))</f>
      </c>
      <c r="I1767" s="4"/>
      <c r="J1767" s="12" t="str">
        <f t="array" ref="J1767">IF(I1767:I5809="","",_xlfn.XLOOKUP(I1767:I5809,'参照_姫'!A:A,'参照_姫'!B:B,"見つかりません"))</f>
      </c>
      <c r="K1767" s="4">
        <v>95</v>
      </c>
      <c r="L1767" s="4">
        <v>0</v>
      </c>
      <c r="M1767" s="4"/>
      <c r="N1767" s="4"/>
      <c r="O1767" s="4"/>
      <c r="P1767" s="12" t="str">
        <f t="array" ref="P1767">IF(O1767:O5809="","",_xlfn.XLOOKUP(O1767:O5809,'参照_官位'!A:A,'参照_官位'!B:B,""))</f>
      </c>
      <c r="Q1767" s="12" t="str">
        <f t="array" ref="Q1767">IF(A1767:A5809="","",IFERROR(_xlfn.XLOOKUP(A1767:A5809,castles_state!K:K,castles_state!D:D)&amp;"主",IFERROR(_xlfn.XLOOKUP(A1767:A5809,kunishuClan!D:D,kunishuClan!B:B)&amp;"当主","")))</f>
      </c>
    </row>
    <row r="1768" ht="15.75" customHeight="1">
      <c r="A1768" s="4">
        <v>1041028</v>
      </c>
      <c r="B1768" s="12" t="str">
        <f t="array" ref="B1768">IF(A1768:A5810="","",_xlfn.XLOOKUP(A1768:A5810,'参照_武将'!A:A,'参照_武将'!B:B,"見つかりません"))</f>
      </c>
      <c r="C1768" s="4" t="s">
        <v>5952</v>
      </c>
      <c r="D1768" s="4">
        <v>41</v>
      </c>
      <c r="E1768" s="12" t="str">
        <f t="array" ref="E1768">IF(D1768:D5810="","",IFERROR(_xlfn.XLOOKUP(D1768:D5810,'参照_勢力'!A:A,'参照_勢力'!B:B),IFERROR(_xlfn.XLOOKUP(F1768:F5810,kunishuClan!A:A,kunishuClan!B:B),"浪人")))</f>
      </c>
      <c r="F1768" s="4">
        <v>0</v>
      </c>
      <c r="G1768" s="4">
        <v>34</v>
      </c>
      <c r="H1768" s="12" t="str">
        <f t="array" ref="H1768">IF(G1768:G5810="","",_xlfn.XLOOKUP(G1768:G5810,castles_state!A:A,castles_state!D:D,"見つかりません"))</f>
      </c>
      <c r="I1768" s="4"/>
      <c r="J1768" s="12" t="str">
        <f t="array" ref="J1768">IF(I1768:I5810="","",_xlfn.XLOOKUP(I1768:I5810,'参照_姫'!A:A,'参照_姫'!B:B,"見つかりません"))</f>
      </c>
      <c r="K1768" s="4">
        <v>95</v>
      </c>
      <c r="L1768" s="4">
        <v>0</v>
      </c>
      <c r="M1768" s="4"/>
      <c r="N1768" s="4"/>
      <c r="O1768" s="4"/>
      <c r="P1768" s="12" t="str">
        <f t="array" ref="P1768">IF(O1768:O5810="","",_xlfn.XLOOKUP(O1768:O5810,'参照_官位'!A:A,'参照_官位'!B:B,""))</f>
      </c>
      <c r="Q1768" s="12" t="str">
        <f t="array" ref="Q1768">IF(A1768:A5810="","",IFERROR(_xlfn.XLOOKUP(A1768:A5810,castles_state!K:K,castles_state!D:D)&amp;"主",IFERROR(_xlfn.XLOOKUP(A1768:A5810,kunishuClan!D:D,kunishuClan!B:B)&amp;"当主","")))</f>
      </c>
    </row>
    <row r="1769" ht="15.75" customHeight="1">
      <c r="A1769" s="4">
        <v>1041029</v>
      </c>
      <c r="B1769" s="12" t="str">
        <f t="array" ref="B1769">IF(A1769:A5811="","",_xlfn.XLOOKUP(A1769:A5811,'参照_武将'!A:A,'参照_武将'!B:B,"見つかりません"))</f>
      </c>
      <c r="C1769" s="4" t="s">
        <v>5952</v>
      </c>
      <c r="D1769" s="4">
        <v>41</v>
      </c>
      <c r="E1769" s="12" t="str">
        <f t="array" ref="E1769">IF(D1769:D5811="","",IFERROR(_xlfn.XLOOKUP(D1769:D5811,'参照_勢力'!A:A,'参照_勢力'!B:B),IFERROR(_xlfn.XLOOKUP(F1769:F5811,kunishuClan!A:A,kunishuClan!B:B),"浪人")))</f>
      </c>
      <c r="F1769" s="4">
        <v>0</v>
      </c>
      <c r="G1769" s="4">
        <v>56</v>
      </c>
      <c r="H1769" s="12" t="str">
        <f t="array" ref="H1769">IF(G1769:G5811="","",_xlfn.XLOOKUP(G1769:G5811,castles_state!A:A,castles_state!D:D,"見つかりません"))</f>
      </c>
      <c r="I1769" s="4"/>
      <c r="J1769" s="12" t="str">
        <f t="array" ref="J1769">IF(I1769:I5811="","",_xlfn.XLOOKUP(I1769:I5811,'参照_姫'!A:A,'参照_姫'!B:B,"見つかりません"))</f>
      </c>
      <c r="K1769" s="4">
        <v>95</v>
      </c>
      <c r="L1769" s="4">
        <v>0</v>
      </c>
      <c r="M1769" s="4"/>
      <c r="N1769" s="4"/>
      <c r="O1769" s="4"/>
      <c r="P1769" s="12" t="str">
        <f t="array" ref="P1769">IF(O1769:O5811="","",_xlfn.XLOOKUP(O1769:O5811,'参照_官位'!A:A,'参照_官位'!B:B,""))</f>
      </c>
      <c r="Q1769" s="12" t="str">
        <f t="array" ref="Q1769">IF(A1769:A5811="","",IFERROR(_xlfn.XLOOKUP(A1769:A5811,castles_state!K:K,castles_state!D:D)&amp;"主",IFERROR(_xlfn.XLOOKUP(A1769:A5811,kunishuClan!D:D,kunishuClan!B:B)&amp;"当主","")))</f>
      </c>
    </row>
    <row r="1770" ht="15.75" customHeight="1">
      <c r="A1770" s="4">
        <v>1041030</v>
      </c>
      <c r="B1770" s="12" t="str">
        <f t="array" ref="B1770">IF(A1770:A5812="","",_xlfn.XLOOKUP(A1770:A5812,'参照_武将'!A:A,'参照_武将'!B:B,"見つかりません"))</f>
      </c>
      <c r="C1770" s="4" t="s">
        <v>5952</v>
      </c>
      <c r="D1770" s="4">
        <v>0</v>
      </c>
      <c r="E1770" s="12" t="str">
        <f t="array" ref="E1770">IF(D1770:D5812="","",IFERROR(_xlfn.XLOOKUP(D1770:D5812,'参照_勢力'!A:A,'参照_勢力'!B:B),IFERROR(_xlfn.XLOOKUP(F1770:F5812,kunishuClan!A:A,kunishuClan!B:B),"浪人")))</f>
      </c>
      <c r="F1770" s="4">
        <v>71</v>
      </c>
      <c r="G1770" s="4">
        <v>53</v>
      </c>
      <c r="H1770" s="12" t="str">
        <f t="array" ref="H1770">IF(G1770:G5812="","",_xlfn.XLOOKUP(G1770:G5812,castles_state!A:A,castles_state!D:D,"見つかりません"))</f>
      </c>
      <c r="I1770" s="4"/>
      <c r="J1770" s="12" t="str">
        <f t="array" ref="J1770">IF(I1770:I5812="","",_xlfn.XLOOKUP(I1770:I5812,'参照_姫'!A:A,'参照_姫'!B:B,"見つかりません"))</f>
      </c>
      <c r="K1770" s="4">
        <v>50</v>
      </c>
      <c r="L1770" s="4">
        <v>0</v>
      </c>
      <c r="M1770" s="4"/>
      <c r="N1770" s="4"/>
      <c r="O1770" s="4"/>
      <c r="P1770" s="12" t="str">
        <f t="array" ref="P1770">IF(O1770:O5812="","",_xlfn.XLOOKUP(O1770:O5812,'参照_官位'!A:A,'参照_官位'!B:B,""))</f>
      </c>
      <c r="Q1770" s="12" t="str">
        <f t="array" ref="Q1770">IF(A1770:A5812="","",IFERROR(_xlfn.XLOOKUP(A1770:A5812,castles_state!K:K,castles_state!D:D)&amp;"主",IFERROR(_xlfn.XLOOKUP(A1770:A5812,kunishuClan!D:D,kunishuClan!B:B)&amp;"当主","")))</f>
      </c>
    </row>
    <row r="1771" ht="15.75" customHeight="1">
      <c r="A1771" s="4">
        <v>1041031</v>
      </c>
      <c r="B1771" s="12" t="str">
        <f t="array" ref="B1771">IF(A1771:A5813="","",_xlfn.XLOOKUP(A1771:A5813,'参照_武将'!A:A,'参照_武将'!B:B,"見つかりません"))</f>
      </c>
      <c r="C1771" s="4" t="s">
        <v>5952</v>
      </c>
      <c r="D1771" s="4">
        <v>41</v>
      </c>
      <c r="E1771" s="12" t="str">
        <f t="array" ref="E1771">IF(D1771:D5813="","",IFERROR(_xlfn.XLOOKUP(D1771:D5813,'参照_勢力'!A:A,'参照_勢力'!B:B),IFERROR(_xlfn.XLOOKUP(F1771:F5813,kunishuClan!A:A,kunishuClan!B:B),"浪人")))</f>
      </c>
      <c r="F1771" s="4">
        <v>0</v>
      </c>
      <c r="G1771" s="4">
        <v>56</v>
      </c>
      <c r="H1771" s="12" t="str">
        <f t="array" ref="H1771">IF(G1771:G5813="","",_xlfn.XLOOKUP(G1771:G5813,castles_state!A:A,castles_state!D:D,"見つかりません"))</f>
      </c>
      <c r="I1771" s="4"/>
      <c r="J1771" s="12" t="str">
        <f t="array" ref="J1771">IF(I1771:I5813="","",_xlfn.XLOOKUP(I1771:I5813,'参照_姫'!A:A,'参照_姫'!B:B,"見つかりません"))</f>
      </c>
      <c r="K1771" s="4">
        <v>95</v>
      </c>
      <c r="L1771" s="4">
        <v>300</v>
      </c>
      <c r="M1771" s="4"/>
      <c r="N1771" s="4"/>
      <c r="O1771" s="4"/>
      <c r="P1771" s="12" t="str">
        <f t="array" ref="P1771">IF(O1771:O5813="","",_xlfn.XLOOKUP(O1771:O5813,'参照_官位'!A:A,'参照_官位'!B:B,""))</f>
      </c>
      <c r="Q1771" s="12" t="str">
        <f t="array" ref="Q1771">IF(A1771:A5813="","",IFERROR(_xlfn.XLOOKUP(A1771:A5813,castles_state!K:K,castles_state!D:D)&amp;"主",IFERROR(_xlfn.XLOOKUP(A1771:A5813,kunishuClan!D:D,kunishuClan!B:B)&amp;"当主","")))</f>
      </c>
    </row>
    <row r="1772" ht="15.75" customHeight="1">
      <c r="A1772" s="4">
        <v>1041032</v>
      </c>
      <c r="B1772" s="12" t="str">
        <f t="array" ref="B1772">IF(A1772:A5814="","",_xlfn.XLOOKUP(A1772:A5814,'参照_武将'!A:A,'参照_武将'!B:B,"見つかりません"))</f>
      </c>
      <c r="C1772" s="4" t="s">
        <v>5952</v>
      </c>
      <c r="D1772" s="4">
        <v>41</v>
      </c>
      <c r="E1772" s="12" t="str">
        <f t="array" ref="E1772">IF(D1772:D5814="","",IFERROR(_xlfn.XLOOKUP(D1772:D5814,'参照_勢力'!A:A,'参照_勢力'!B:B),IFERROR(_xlfn.XLOOKUP(F1772:F5814,kunishuClan!A:A,kunishuClan!B:B),"浪人")))</f>
      </c>
      <c r="F1772" s="4">
        <v>0</v>
      </c>
      <c r="G1772" s="4">
        <v>56</v>
      </c>
      <c r="H1772" s="12" t="str">
        <f t="array" ref="H1772">IF(G1772:G5814="","",_xlfn.XLOOKUP(G1772:G5814,castles_state!A:A,castles_state!D:D,"見つかりません"))</f>
      </c>
      <c r="I1772" s="4"/>
      <c r="J1772" s="12" t="str">
        <f t="array" ref="J1772">IF(I1772:I5814="","",_xlfn.XLOOKUP(I1772:I5814,'参照_姫'!A:A,'参照_姫'!B:B,"見つかりません"))</f>
      </c>
      <c r="K1772" s="4">
        <v>95</v>
      </c>
      <c r="L1772" s="4">
        <v>0</v>
      </c>
      <c r="M1772" s="4"/>
      <c r="N1772" s="4"/>
      <c r="O1772" s="4"/>
      <c r="P1772" s="12" t="str">
        <f t="array" ref="P1772">IF(O1772:O5814="","",_xlfn.XLOOKUP(O1772:O5814,'参照_官位'!A:A,'参照_官位'!B:B,""))</f>
      </c>
      <c r="Q1772" s="12" t="str">
        <f t="array" ref="Q1772">IF(A1772:A5814="","",IFERROR(_xlfn.XLOOKUP(A1772:A5814,castles_state!K:K,castles_state!D:D)&amp;"主",IFERROR(_xlfn.XLOOKUP(A1772:A5814,kunishuClan!D:D,kunishuClan!B:B)&amp;"当主","")))</f>
      </c>
    </row>
    <row r="1773" ht="15.75" customHeight="1">
      <c r="A1773" s="4">
        <v>1041033</v>
      </c>
      <c r="B1773" s="12" t="str">
        <f t="array" ref="B1773">IF(A1773:A5815="","",_xlfn.XLOOKUP(A1773:A5815,'参照_武将'!A:A,'参照_武将'!B:B,"見つかりません"))</f>
      </c>
      <c r="C1773" s="4" t="s">
        <v>5952</v>
      </c>
      <c r="D1773" s="4">
        <v>41</v>
      </c>
      <c r="E1773" s="12" t="str">
        <f t="array" ref="E1773">IF(D1773:D5815="","",IFERROR(_xlfn.XLOOKUP(D1773:D5815,'参照_勢力'!A:A,'参照_勢力'!B:B),IFERROR(_xlfn.XLOOKUP(F1773:F5815,kunishuClan!A:A,kunishuClan!B:B),"浪人")))</f>
      </c>
      <c r="F1773" s="4">
        <v>0</v>
      </c>
      <c r="G1773" s="4">
        <v>56</v>
      </c>
      <c r="H1773" s="12" t="str">
        <f t="array" ref="H1773">IF(G1773:G5815="","",_xlfn.XLOOKUP(G1773:G5815,castles_state!A:A,castles_state!D:D,"見つかりません"))</f>
      </c>
      <c r="I1773" s="4"/>
      <c r="J1773" s="12" t="str">
        <f t="array" ref="J1773">IF(I1773:I5815="","",_xlfn.XLOOKUP(I1773:I5815,'参照_姫'!A:A,'参照_姫'!B:B,"見つかりません"))</f>
      </c>
      <c r="K1773" s="4">
        <v>95</v>
      </c>
      <c r="L1773" s="4">
        <v>0</v>
      </c>
      <c r="M1773" s="4"/>
      <c r="N1773" s="4"/>
      <c r="O1773" s="4"/>
      <c r="P1773" s="12" t="str">
        <f t="array" ref="P1773">IF(O1773:O5815="","",_xlfn.XLOOKUP(O1773:O5815,'参照_官位'!A:A,'参照_官位'!B:B,""))</f>
      </c>
      <c r="Q1773" s="12" t="str">
        <f t="array" ref="Q1773">IF(A1773:A5815="","",IFERROR(_xlfn.XLOOKUP(A1773:A5815,castles_state!K:K,castles_state!D:D)&amp;"主",IFERROR(_xlfn.XLOOKUP(A1773:A5815,kunishuClan!D:D,kunishuClan!B:B)&amp;"当主","")))</f>
      </c>
    </row>
    <row r="1774" ht="15.75" customHeight="1">
      <c r="A1774" s="4">
        <v>1041034</v>
      </c>
      <c r="B1774" s="12" t="str">
        <f t="array" ref="B1774">IF(A1774:A5816="","",_xlfn.XLOOKUP(A1774:A5816,'参照_武将'!A:A,'参照_武将'!B:B,"見つかりません"))</f>
      </c>
      <c r="C1774" s="4" t="s">
        <v>5952</v>
      </c>
      <c r="D1774" s="4">
        <v>41</v>
      </c>
      <c r="E1774" s="12" t="str">
        <f t="array" ref="E1774">IF(D1774:D5816="","",IFERROR(_xlfn.XLOOKUP(D1774:D5816,'参照_勢力'!A:A,'参照_勢力'!B:B),IFERROR(_xlfn.XLOOKUP(F1774:F5816,kunishuClan!A:A,kunishuClan!B:B),"浪人")))</f>
      </c>
      <c r="F1774" s="4">
        <v>0</v>
      </c>
      <c r="G1774" s="4">
        <v>56</v>
      </c>
      <c r="H1774" s="12" t="str">
        <f t="array" ref="H1774">IF(G1774:G5816="","",_xlfn.XLOOKUP(G1774:G5816,castles_state!A:A,castles_state!D:D,"見つかりません"))</f>
      </c>
      <c r="I1774" s="4"/>
      <c r="J1774" s="12" t="str">
        <f t="array" ref="J1774">IF(I1774:I5816="","",_xlfn.XLOOKUP(I1774:I5816,'参照_姫'!A:A,'参照_姫'!B:B,"見つかりません"))</f>
      </c>
      <c r="K1774" s="4">
        <v>95</v>
      </c>
      <c r="L1774" s="4">
        <v>0</v>
      </c>
      <c r="M1774" s="4"/>
      <c r="N1774" s="4"/>
      <c r="O1774" s="4"/>
      <c r="P1774" s="12" t="str">
        <f t="array" ref="P1774">IF(O1774:O5816="","",_xlfn.XLOOKUP(O1774:O5816,'参照_官位'!A:A,'参照_官位'!B:B,""))</f>
      </c>
      <c r="Q1774" s="12" t="str">
        <f t="array" ref="Q1774">IF(A1774:A5816="","",IFERROR(_xlfn.XLOOKUP(A1774:A5816,castles_state!K:K,castles_state!D:D)&amp;"主",IFERROR(_xlfn.XLOOKUP(A1774:A5816,kunishuClan!D:D,kunishuClan!B:B)&amp;"当主","")))</f>
      </c>
    </row>
    <row r="1775" ht="15.75" customHeight="1">
      <c r="A1775" s="4">
        <v>1041035</v>
      </c>
      <c r="B1775" s="12" t="str">
        <f t="array" ref="B1775">IF(A1775:A5817="","",_xlfn.XLOOKUP(A1775:A5817,'参照_武将'!A:A,'参照_武将'!B:B,"見つかりません"))</f>
      </c>
      <c r="C1775" s="4" t="s">
        <v>5952</v>
      </c>
      <c r="D1775" s="4">
        <v>41</v>
      </c>
      <c r="E1775" s="12" t="str">
        <f t="array" ref="E1775">IF(D1775:D5817="","",IFERROR(_xlfn.XLOOKUP(D1775:D5817,'参照_勢力'!A:A,'参照_勢力'!B:B),IFERROR(_xlfn.XLOOKUP(F1775:F5817,kunishuClan!A:A,kunishuClan!B:B),"浪人")))</f>
      </c>
      <c r="F1775" s="4">
        <v>0</v>
      </c>
      <c r="G1775" s="4">
        <v>56</v>
      </c>
      <c r="H1775" s="12" t="str">
        <f t="array" ref="H1775">IF(G1775:G5817="","",_xlfn.XLOOKUP(G1775:G5817,castles_state!A:A,castles_state!D:D,"見つかりません"))</f>
      </c>
      <c r="I1775" s="4"/>
      <c r="J1775" s="12" t="str">
        <f t="array" ref="J1775">IF(I1775:I5817="","",_xlfn.XLOOKUP(I1775:I5817,'参照_姫'!A:A,'参照_姫'!B:B,"見つかりません"))</f>
      </c>
      <c r="K1775" s="4">
        <v>95</v>
      </c>
      <c r="L1775" s="4">
        <v>0</v>
      </c>
      <c r="M1775" s="4"/>
      <c r="N1775" s="4"/>
      <c r="O1775" s="4"/>
      <c r="P1775" s="12" t="str">
        <f t="array" ref="P1775">IF(O1775:O5817="","",_xlfn.XLOOKUP(O1775:O5817,'参照_官位'!A:A,'参照_官位'!B:B,""))</f>
      </c>
      <c r="Q1775" s="12" t="str">
        <f t="array" ref="Q1775">IF(A1775:A5817="","",IFERROR(_xlfn.XLOOKUP(A1775:A5817,castles_state!K:K,castles_state!D:D)&amp;"主",IFERROR(_xlfn.XLOOKUP(A1775:A5817,kunishuClan!D:D,kunishuClan!B:B)&amp;"当主","")))</f>
      </c>
    </row>
    <row r="1776" ht="15.75" customHeight="1">
      <c r="A1776" s="4">
        <v>1041036</v>
      </c>
      <c r="B1776" s="12" t="str">
        <f t="array" ref="B1776">IF(A1776:A5818="","",_xlfn.XLOOKUP(A1776:A5818,'参照_武将'!A:A,'参照_武将'!B:B,"見つかりません"))</f>
      </c>
      <c r="C1776" s="4" t="s">
        <v>5952</v>
      </c>
      <c r="D1776" s="4">
        <v>41</v>
      </c>
      <c r="E1776" s="12" t="str">
        <f t="array" ref="E1776">IF(D1776:D5818="","",IFERROR(_xlfn.XLOOKUP(D1776:D5818,'参照_勢力'!A:A,'参照_勢力'!B:B),IFERROR(_xlfn.XLOOKUP(F1776:F5818,kunishuClan!A:A,kunishuClan!B:B),"浪人")))</f>
      </c>
      <c r="F1776" s="4">
        <v>0</v>
      </c>
      <c r="G1776" s="4">
        <v>56</v>
      </c>
      <c r="H1776" s="12" t="str">
        <f t="array" ref="H1776">IF(G1776:G5818="","",_xlfn.XLOOKUP(G1776:G5818,castles_state!A:A,castles_state!D:D,"見つかりません"))</f>
      </c>
      <c r="I1776" s="4"/>
      <c r="J1776" s="12" t="str">
        <f t="array" ref="J1776">IF(I1776:I5818="","",_xlfn.XLOOKUP(I1776:I5818,'参照_姫'!A:A,'参照_姫'!B:B,"見つかりません"))</f>
      </c>
      <c r="K1776" s="4">
        <v>95</v>
      </c>
      <c r="L1776" s="4">
        <v>0</v>
      </c>
      <c r="M1776" s="4"/>
      <c r="N1776" s="4"/>
      <c r="O1776" s="4"/>
      <c r="P1776" s="12" t="str">
        <f t="array" ref="P1776">IF(O1776:O5818="","",_xlfn.XLOOKUP(O1776:O5818,'参照_官位'!A:A,'参照_官位'!B:B,""))</f>
      </c>
      <c r="Q1776" s="12" t="str">
        <f t="array" ref="Q1776">IF(A1776:A5818="","",IFERROR(_xlfn.XLOOKUP(A1776:A5818,castles_state!K:K,castles_state!D:D)&amp;"主",IFERROR(_xlfn.XLOOKUP(A1776:A5818,kunishuClan!D:D,kunishuClan!B:B)&amp;"当主","")))</f>
      </c>
    </row>
    <row r="1777" ht="15.75" customHeight="1">
      <c r="A1777" s="4">
        <v>1041037</v>
      </c>
      <c r="B1777" s="12" t="str">
        <f t="array" ref="B1777">IF(A1777:A5819="","",_xlfn.XLOOKUP(A1777:A5819,'参照_武将'!A:A,'参照_武将'!B:B,"見つかりません"))</f>
      </c>
      <c r="C1777" s="4" t="s">
        <v>5952</v>
      </c>
      <c r="D1777" s="4">
        <v>41</v>
      </c>
      <c r="E1777" s="12" t="str">
        <f t="array" ref="E1777">IF(D1777:D5819="","",IFERROR(_xlfn.XLOOKUP(D1777:D5819,'参照_勢力'!A:A,'参照_勢力'!B:B),IFERROR(_xlfn.XLOOKUP(F1777:F5819,kunishuClan!A:A,kunishuClan!B:B),"浪人")))</f>
      </c>
      <c r="F1777" s="4">
        <v>0</v>
      </c>
      <c r="G1777" s="4">
        <v>56</v>
      </c>
      <c r="H1777" s="12" t="str">
        <f t="array" ref="H1777">IF(G1777:G5819="","",_xlfn.XLOOKUP(G1777:G5819,castles_state!A:A,castles_state!D:D,"見つかりません"))</f>
      </c>
      <c r="I1777" s="4"/>
      <c r="J1777" s="12" t="str">
        <f t="array" ref="J1777">IF(I1777:I5819="","",_xlfn.XLOOKUP(I1777:I5819,'参照_姫'!A:A,'参照_姫'!B:B,"見つかりません"))</f>
      </c>
      <c r="K1777" s="4">
        <v>95</v>
      </c>
      <c r="L1777" s="4">
        <v>300</v>
      </c>
      <c r="M1777" s="4"/>
      <c r="N1777" s="4"/>
      <c r="O1777" s="4"/>
      <c r="P1777" s="12" t="str">
        <f t="array" ref="P1777">IF(O1777:O5819="","",_xlfn.XLOOKUP(O1777:O5819,'参照_官位'!A:A,'参照_官位'!B:B,""))</f>
      </c>
      <c r="Q1777" s="12" t="str">
        <f t="array" ref="Q1777">IF(A1777:A5819="","",IFERROR(_xlfn.XLOOKUP(A1777:A5819,castles_state!K:K,castles_state!D:D)&amp;"主",IFERROR(_xlfn.XLOOKUP(A1777:A5819,kunishuClan!D:D,kunishuClan!B:B)&amp;"当主","")))</f>
      </c>
    </row>
    <row r="1778" ht="15.75" customHeight="1">
      <c r="A1778" s="4">
        <v>1041038</v>
      </c>
      <c r="B1778" s="12" t="str">
        <f t="array" ref="B1778">IF(A1778:A5820="","",_xlfn.XLOOKUP(A1778:A5820,'参照_武将'!A:A,'参照_武将'!B:B,"見つかりません"))</f>
      </c>
      <c r="C1778" s="4" t="s">
        <v>5952</v>
      </c>
      <c r="D1778" s="4">
        <v>41</v>
      </c>
      <c r="E1778" s="12" t="str">
        <f t="array" ref="E1778">IF(D1778:D5820="","",IFERROR(_xlfn.XLOOKUP(D1778:D5820,'参照_勢力'!A:A,'参照_勢力'!B:B),IFERROR(_xlfn.XLOOKUP(F1778:F5820,kunishuClan!A:A,kunishuClan!B:B),"浪人")))</f>
      </c>
      <c r="F1778" s="4">
        <v>0</v>
      </c>
      <c r="G1778" s="4">
        <v>56</v>
      </c>
      <c r="H1778" s="12" t="str">
        <f t="array" ref="H1778">IF(G1778:G5820="","",_xlfn.XLOOKUP(G1778:G5820,castles_state!A:A,castles_state!D:D,"見つかりません"))</f>
      </c>
      <c r="I1778" s="4"/>
      <c r="J1778" s="12" t="str">
        <f t="array" ref="J1778">IF(I1778:I5820="","",_xlfn.XLOOKUP(I1778:I5820,'参照_姫'!A:A,'参照_姫'!B:B,"見つかりません"))</f>
      </c>
      <c r="K1778" s="4">
        <v>95</v>
      </c>
      <c r="L1778" s="4">
        <v>0</v>
      </c>
      <c r="M1778" s="4"/>
      <c r="N1778" s="4"/>
      <c r="O1778" s="4"/>
      <c r="P1778" s="12" t="str">
        <f t="array" ref="P1778">IF(O1778:O5820="","",_xlfn.XLOOKUP(O1778:O5820,'参照_官位'!A:A,'参照_官位'!B:B,""))</f>
      </c>
      <c r="Q1778" s="12" t="str">
        <f t="array" ref="Q1778">IF(A1778:A5820="","",IFERROR(_xlfn.XLOOKUP(A1778:A5820,castles_state!K:K,castles_state!D:D)&amp;"主",IFERROR(_xlfn.XLOOKUP(A1778:A5820,kunishuClan!D:D,kunishuClan!B:B)&amp;"当主","")))</f>
      </c>
    </row>
    <row r="1779" ht="15.75" customHeight="1">
      <c r="A1779" s="4">
        <v>1041039</v>
      </c>
      <c r="B1779" s="12" t="str">
        <f t="array" ref="B1779">IF(A1779:A5821="","",_xlfn.XLOOKUP(A1779:A5821,'参照_武将'!A:A,'参照_武将'!B:B,"見つかりません"))</f>
      </c>
      <c r="C1779" s="4" t="s">
        <v>5952</v>
      </c>
      <c r="D1779" s="4">
        <v>41</v>
      </c>
      <c r="E1779" s="12" t="str">
        <f t="array" ref="E1779">IF(D1779:D5821="","",IFERROR(_xlfn.XLOOKUP(D1779:D5821,'参照_勢力'!A:A,'参照_勢力'!B:B),IFERROR(_xlfn.XLOOKUP(F1779:F5821,kunishuClan!A:A,kunishuClan!B:B),"浪人")))</f>
      </c>
      <c r="F1779" s="4">
        <v>0</v>
      </c>
      <c r="G1779" s="4">
        <v>102</v>
      </c>
      <c r="H1779" s="12" t="str">
        <f t="array" ref="H1779">IF(G1779:G5821="","",_xlfn.XLOOKUP(G1779:G5821,castles_state!A:A,castles_state!D:D,"見つかりません"))</f>
      </c>
      <c r="I1779" s="4"/>
      <c r="J1779" s="12" t="str">
        <f t="array" ref="J1779">IF(I1779:I5821="","",_xlfn.XLOOKUP(I1779:I5821,'参照_姫'!A:A,'参照_姫'!B:B,"見つかりません"))</f>
      </c>
      <c r="K1779" s="4">
        <v>90</v>
      </c>
      <c r="L1779" s="4">
        <v>0</v>
      </c>
      <c r="M1779" s="4"/>
      <c r="N1779" s="4"/>
      <c r="O1779" s="4"/>
      <c r="P1779" s="12" t="str">
        <f t="array" ref="P1779">IF(O1779:O5821="","",_xlfn.XLOOKUP(O1779:O5821,'参照_官位'!A:A,'参照_官位'!B:B,""))</f>
      </c>
      <c r="Q1779" s="12" t="str">
        <f t="array" ref="Q1779">IF(A1779:A5821="","",IFERROR(_xlfn.XLOOKUP(A1779:A5821,castles_state!K:K,castles_state!D:D)&amp;"主",IFERROR(_xlfn.XLOOKUP(A1779:A5821,kunishuClan!D:D,kunishuClan!B:B)&amp;"当主","")))</f>
      </c>
    </row>
    <row r="1780" ht="15.75" customHeight="1">
      <c r="A1780" s="4">
        <v>1041040</v>
      </c>
      <c r="B1780" s="12" t="str">
        <f t="array" ref="B1780">IF(A1780:A5822="","",_xlfn.XLOOKUP(A1780:A5822,'参照_武将'!A:A,'参照_武将'!B:B,"見つかりません"))</f>
      </c>
      <c r="C1780" s="4" t="s">
        <v>5952</v>
      </c>
      <c r="D1780" s="4">
        <v>41</v>
      </c>
      <c r="E1780" s="12" t="str">
        <f t="array" ref="E1780">IF(D1780:D5822="","",IFERROR(_xlfn.XLOOKUP(D1780:D5822,'参照_勢力'!A:A,'参照_勢力'!B:B),IFERROR(_xlfn.XLOOKUP(F1780:F5822,kunishuClan!A:A,kunishuClan!B:B),"浪人")))</f>
      </c>
      <c r="F1780" s="4">
        <v>0</v>
      </c>
      <c r="G1780" s="4">
        <v>102</v>
      </c>
      <c r="H1780" s="12" t="str">
        <f t="array" ref="H1780">IF(G1780:G5822="","",_xlfn.XLOOKUP(G1780:G5822,castles_state!A:A,castles_state!D:D,"見つかりません"))</f>
      </c>
      <c r="I1780" s="4"/>
      <c r="J1780" s="12" t="str">
        <f t="array" ref="J1780">IF(I1780:I5822="","",_xlfn.XLOOKUP(I1780:I5822,'参照_姫'!A:A,'参照_姫'!B:B,"見つかりません"))</f>
      </c>
      <c r="K1780" s="4">
        <v>90</v>
      </c>
      <c r="L1780" s="4">
        <v>500</v>
      </c>
      <c r="M1780" s="4"/>
      <c r="N1780" s="4"/>
      <c r="O1780" s="4"/>
      <c r="P1780" s="12" t="str">
        <f t="array" ref="P1780">IF(O1780:O5822="","",_xlfn.XLOOKUP(O1780:O5822,'参照_官位'!A:A,'参照_官位'!B:B,""))</f>
      </c>
      <c r="Q1780" s="12" t="str">
        <f t="array" ref="Q1780">IF(A1780:A5822="","",IFERROR(_xlfn.XLOOKUP(A1780:A5822,castles_state!K:K,castles_state!D:D)&amp;"主",IFERROR(_xlfn.XLOOKUP(A1780:A5822,kunishuClan!D:D,kunishuClan!B:B)&amp;"当主","")))</f>
      </c>
    </row>
    <row r="1781" ht="15.75" customHeight="1">
      <c r="A1781" s="4">
        <v>1041041</v>
      </c>
      <c r="B1781" s="12" t="str">
        <f t="array" ref="B1781">IF(A1781:A5823="","",_xlfn.XLOOKUP(A1781:A5823,'参照_武将'!A:A,'参照_武将'!B:B,"見つかりません"))</f>
      </c>
      <c r="C1781" s="4" t="s">
        <v>5952</v>
      </c>
      <c r="D1781" s="4">
        <v>41</v>
      </c>
      <c r="E1781" s="12" t="str">
        <f t="array" ref="E1781">IF(D1781:D5823="","",IFERROR(_xlfn.XLOOKUP(D1781:D5823,'参照_勢力'!A:A,'参照_勢力'!B:B),IFERROR(_xlfn.XLOOKUP(F1781:F5823,kunishuClan!A:A,kunishuClan!B:B),"浪人")))</f>
      </c>
      <c r="F1781" s="4">
        <v>0</v>
      </c>
      <c r="G1781" s="4">
        <v>102</v>
      </c>
      <c r="H1781" s="12" t="str">
        <f t="array" ref="H1781">IF(G1781:G5823="","",_xlfn.XLOOKUP(G1781:G5823,castles_state!A:A,castles_state!D:D,"見つかりません"))</f>
      </c>
      <c r="I1781" s="4"/>
      <c r="J1781" s="12" t="str">
        <f t="array" ref="J1781">IF(I1781:I5823="","",_xlfn.XLOOKUP(I1781:I5823,'参照_姫'!A:A,'参照_姫'!B:B,"見つかりません"))</f>
      </c>
      <c r="K1781" s="4">
        <v>90</v>
      </c>
      <c r="L1781" s="4">
        <v>0</v>
      </c>
      <c r="M1781" s="4"/>
      <c r="N1781" s="4"/>
      <c r="O1781" s="4"/>
      <c r="P1781" s="12" t="str">
        <f t="array" ref="P1781">IF(O1781:O5823="","",_xlfn.XLOOKUP(O1781:O5823,'参照_官位'!A:A,'参照_官位'!B:B,""))</f>
      </c>
      <c r="Q1781" s="12" t="str">
        <f t="array" ref="Q1781">IF(A1781:A5823="","",IFERROR(_xlfn.XLOOKUP(A1781:A5823,castles_state!K:K,castles_state!D:D)&amp;"主",IFERROR(_xlfn.XLOOKUP(A1781:A5823,kunishuClan!D:D,kunishuClan!B:B)&amp;"当主","")))</f>
      </c>
    </row>
    <row r="1782" ht="15.75" customHeight="1">
      <c r="A1782" s="4">
        <v>1041042</v>
      </c>
      <c r="B1782" s="12" t="str">
        <f t="array" ref="B1782">IF(A1782:A5824="","",_xlfn.XLOOKUP(A1782:A5824,'参照_武将'!A:A,'参照_武将'!B:B,"見つかりません"))</f>
      </c>
      <c r="C1782" s="4" t="s">
        <v>5952</v>
      </c>
      <c r="D1782" s="4">
        <v>41</v>
      </c>
      <c r="E1782" s="12" t="str">
        <f t="array" ref="E1782">IF(D1782:D5824="","",IFERROR(_xlfn.XLOOKUP(D1782:D5824,'参照_勢力'!A:A,'参照_勢力'!B:B),IFERROR(_xlfn.XLOOKUP(F1782:F5824,kunishuClan!A:A,kunishuClan!B:B),"浪人")))</f>
      </c>
      <c r="F1782" s="4">
        <v>0</v>
      </c>
      <c r="G1782" s="4">
        <v>56</v>
      </c>
      <c r="H1782" s="12" t="str">
        <f t="array" ref="H1782">IF(G1782:G5824="","",_xlfn.XLOOKUP(G1782:G5824,castles_state!A:A,castles_state!D:D,"見つかりません"))</f>
      </c>
      <c r="I1782" s="4"/>
      <c r="J1782" s="12" t="str">
        <f t="array" ref="J1782">IF(I1782:I5824="","",_xlfn.XLOOKUP(I1782:I5824,'参照_姫'!A:A,'参照_姫'!B:B,"見つかりません"))</f>
      </c>
      <c r="K1782" s="4">
        <v>95</v>
      </c>
      <c r="L1782" s="4">
        <v>0</v>
      </c>
      <c r="M1782" s="4"/>
      <c r="N1782" s="4"/>
      <c r="O1782" s="4"/>
      <c r="P1782" s="12" t="str">
        <f t="array" ref="P1782">IF(O1782:O5824="","",_xlfn.XLOOKUP(O1782:O5824,'参照_官位'!A:A,'参照_官位'!B:B,""))</f>
      </c>
      <c r="Q1782" s="12" t="str">
        <f t="array" ref="Q1782">IF(A1782:A5824="","",IFERROR(_xlfn.XLOOKUP(A1782:A5824,castles_state!K:K,castles_state!D:D)&amp;"主",IFERROR(_xlfn.XLOOKUP(A1782:A5824,kunishuClan!D:D,kunishuClan!B:B)&amp;"当主","")))</f>
      </c>
    </row>
    <row r="1783" ht="15.75" customHeight="1">
      <c r="A1783" s="4">
        <v>1041043</v>
      </c>
      <c r="B1783" s="12" t="str">
        <f t="array" ref="B1783">IF(A1783:A5825="","",_xlfn.XLOOKUP(A1783:A5825,'参照_武将'!A:A,'参照_武将'!B:B,"見つかりません"))</f>
      </c>
      <c r="C1783" s="4" t="s">
        <v>5952</v>
      </c>
      <c r="D1783" s="4">
        <v>41</v>
      </c>
      <c r="E1783" s="12" t="str">
        <f t="array" ref="E1783">IF(D1783:D5825="","",IFERROR(_xlfn.XLOOKUP(D1783:D5825,'参照_勢力'!A:A,'参照_勢力'!B:B),IFERROR(_xlfn.XLOOKUP(F1783:F5825,kunishuClan!A:A,kunishuClan!B:B),"浪人")))</f>
      </c>
      <c r="F1783" s="4">
        <v>0</v>
      </c>
      <c r="G1783" s="4">
        <v>56</v>
      </c>
      <c r="H1783" s="12" t="str">
        <f t="array" ref="H1783">IF(G1783:G5825="","",_xlfn.XLOOKUP(G1783:G5825,castles_state!A:A,castles_state!D:D,"見つかりません"))</f>
      </c>
      <c r="I1783" s="4"/>
      <c r="J1783" s="12" t="str">
        <f t="array" ref="J1783">IF(I1783:I5825="","",_xlfn.XLOOKUP(I1783:I5825,'参照_姫'!A:A,'参照_姫'!B:B,"見つかりません"))</f>
      </c>
      <c r="K1783" s="4">
        <v>95</v>
      </c>
      <c r="L1783" s="4">
        <v>300</v>
      </c>
      <c r="M1783" s="4" t="b">
        <v>1</v>
      </c>
      <c r="N1783" s="4"/>
      <c r="O1783" s="4"/>
      <c r="P1783" s="12" t="str">
        <f t="array" ref="P1783">IF(O1783:O5825="","",_xlfn.XLOOKUP(O1783:O5825,'参照_官位'!A:A,'参照_官位'!B:B,""))</f>
      </c>
      <c r="Q1783" s="12" t="str">
        <f t="array" ref="Q1783">IF(A1783:A5825="","",IFERROR(_xlfn.XLOOKUP(A1783:A5825,castles_state!K:K,castles_state!D:D)&amp;"主",IFERROR(_xlfn.XLOOKUP(A1783:A5825,kunishuClan!D:D,kunishuClan!B:B)&amp;"当主","")))</f>
      </c>
    </row>
    <row r="1784" ht="15.75" customHeight="1">
      <c r="A1784" s="4">
        <v>1041044</v>
      </c>
      <c r="B1784" s="12" t="str">
        <f t="array" ref="B1784">IF(A1784:A5826="","",_xlfn.XLOOKUP(A1784:A5826,'参照_武将'!A:A,'参照_武将'!B:B,"見つかりません"))</f>
      </c>
      <c r="C1784" s="4" t="s">
        <v>5952</v>
      </c>
      <c r="D1784" s="4">
        <v>41</v>
      </c>
      <c r="E1784" s="12" t="str">
        <f t="array" ref="E1784">IF(D1784:D5826="","",IFERROR(_xlfn.XLOOKUP(D1784:D5826,'参照_勢力'!A:A,'参照_勢力'!B:B),IFERROR(_xlfn.XLOOKUP(F1784:F5826,kunishuClan!A:A,kunishuClan!B:B),"浪人")))</f>
      </c>
      <c r="F1784" s="4">
        <v>0</v>
      </c>
      <c r="G1784" s="4">
        <v>56</v>
      </c>
      <c r="H1784" s="12" t="str">
        <f t="array" ref="H1784">IF(G1784:G5826="","",_xlfn.XLOOKUP(G1784:G5826,castles_state!A:A,castles_state!D:D,"見つかりません"))</f>
      </c>
      <c r="I1784" s="4"/>
      <c r="J1784" s="12" t="str">
        <f t="array" ref="J1784">IF(I1784:I5826="","",_xlfn.XLOOKUP(I1784:I5826,'参照_姫'!A:A,'参照_姫'!B:B,"見つかりません"))</f>
      </c>
      <c r="K1784" s="4">
        <v>95</v>
      </c>
      <c r="L1784" s="4">
        <v>0</v>
      </c>
      <c r="M1784" s="4"/>
      <c r="N1784" s="4"/>
      <c r="O1784" s="4"/>
      <c r="P1784" s="12" t="str">
        <f t="array" ref="P1784">IF(O1784:O5826="","",_xlfn.XLOOKUP(O1784:O5826,'参照_官位'!A:A,'参照_官位'!B:B,""))</f>
      </c>
      <c r="Q1784" s="12" t="str">
        <f t="array" ref="Q1784">IF(A1784:A5826="","",IFERROR(_xlfn.XLOOKUP(A1784:A5826,castles_state!K:K,castles_state!D:D)&amp;"主",IFERROR(_xlfn.XLOOKUP(A1784:A5826,kunishuClan!D:D,kunishuClan!B:B)&amp;"当主","")))</f>
      </c>
    </row>
    <row r="1785" ht="15.75" customHeight="1">
      <c r="A1785" s="4">
        <v>1042001</v>
      </c>
      <c r="B1785" s="12" t="str">
        <f t="array" ref="B1785">IF(A1785:A5827="","",_xlfn.XLOOKUP(A1785:A5827,'参照_武将'!A:A,'参照_武将'!B:B,"見つかりません"))</f>
      </c>
      <c r="C1785" s="4" t="s">
        <v>223</v>
      </c>
      <c r="D1785" s="4">
        <v>42</v>
      </c>
      <c r="E1785" s="12" t="str">
        <f t="array" ref="E1785">IF(D1785:D5827="","",IFERROR(_xlfn.XLOOKUP(D1785:D5827,'参照_勢力'!A:A,'参照_勢力'!B:B),IFERROR(_xlfn.XLOOKUP(F1785:F5827,kunishuClan!A:A,kunishuClan!B:B),"浪人")))</f>
      </c>
      <c r="F1785" s="4">
        <v>0</v>
      </c>
      <c r="G1785" s="4">
        <v>134</v>
      </c>
      <c r="H1785" s="12" t="str">
        <f t="array" ref="H1785">IF(G1785:G5827="","",_xlfn.XLOOKUP(G1785:G5827,castles_state!A:A,castles_state!D:D,"見つかりません"))</f>
      </c>
      <c r="I1785" s="4"/>
      <c r="J1785" s="12" t="str">
        <f t="array" ref="J1785">IF(I1785:I5827="","",_xlfn.XLOOKUP(I1785:I5827,'参照_姫'!A:A,'参照_姫'!B:B,"見つかりません"))</f>
      </c>
      <c r="K1785" s="4">
        <v>95</v>
      </c>
      <c r="L1785" s="4">
        <v>0</v>
      </c>
      <c r="M1785" s="4"/>
      <c r="N1785" s="4"/>
      <c r="O1785" s="4"/>
      <c r="P1785" s="12" t="str">
        <f t="array" ref="P1785">IF(O1785:O5827="","",_xlfn.XLOOKUP(O1785:O5827,'参照_官位'!A:A,'参照_官位'!B:B,""))</f>
      </c>
      <c r="Q1785" s="12" t="str">
        <f t="array" ref="Q1785">IF(A1785:A5827="","",IFERROR(_xlfn.XLOOKUP(A1785:A5827,castles_state!K:K,castles_state!D:D)&amp;"主",IFERROR(_xlfn.XLOOKUP(A1785:A5827,kunishuClan!D:D,kunishuClan!B:B)&amp;"当主","")))</f>
      </c>
    </row>
    <row r="1786" ht="15.75" customHeight="1">
      <c r="A1786" s="4">
        <v>1042002</v>
      </c>
      <c r="B1786" s="12" t="str">
        <f t="array" ref="B1786">IF(A1786:A5828="","",_xlfn.XLOOKUP(A1786:A5828,'参照_武将'!A:A,'参照_武将'!B:B,"見つかりません"))</f>
      </c>
      <c r="C1786" s="4" t="s">
        <v>223</v>
      </c>
      <c r="D1786" s="4">
        <v>42</v>
      </c>
      <c r="E1786" s="12" t="str">
        <f t="array" ref="E1786">IF(D1786:D5828="","",IFERROR(_xlfn.XLOOKUP(D1786:D5828,'参照_勢力'!A:A,'参照_勢力'!B:B),IFERROR(_xlfn.XLOOKUP(F1786:F5828,kunishuClan!A:A,kunishuClan!B:B),"浪人")))</f>
      </c>
      <c r="F1786" s="4">
        <v>0</v>
      </c>
      <c r="G1786" s="4">
        <v>134</v>
      </c>
      <c r="H1786" s="12" t="str">
        <f t="array" ref="H1786">IF(G1786:G5828="","",_xlfn.XLOOKUP(G1786:G5828,castles_state!A:A,castles_state!D:D,"見つかりません"))</f>
      </c>
      <c r="I1786" s="4"/>
      <c r="J1786" s="12" t="str">
        <f t="array" ref="J1786">IF(I1786:I5828="","",_xlfn.XLOOKUP(I1786:I5828,'参照_姫'!A:A,'参照_姫'!B:B,"見つかりません"))</f>
      </c>
      <c r="K1786" s="4">
        <v>100</v>
      </c>
      <c r="L1786" s="4">
        <v>1500</v>
      </c>
      <c r="M1786" s="4"/>
      <c r="N1786" s="4"/>
      <c r="O1786" s="4"/>
      <c r="P1786" s="12" t="str">
        <f t="array" ref="P1786">IF(O1786:O5828="","",_xlfn.XLOOKUP(O1786:O5828,'参照_官位'!A:A,'参照_官位'!B:B,""))</f>
      </c>
      <c r="Q1786" s="12" t="str">
        <f t="array" ref="Q1786">IF(A1786:A5828="","",IFERROR(_xlfn.XLOOKUP(A1786:A5828,castles_state!K:K,castles_state!D:D)&amp;"主",IFERROR(_xlfn.XLOOKUP(A1786:A5828,kunishuClan!D:D,kunishuClan!B:B)&amp;"当主","")))</f>
      </c>
    </row>
    <row r="1787" ht="15.75" customHeight="1">
      <c r="A1787" s="4">
        <v>1042003</v>
      </c>
      <c r="B1787" s="12" t="str">
        <f t="array" ref="B1787">IF(A1787:A5829="","",_xlfn.XLOOKUP(A1787:A5829,'参照_武将'!A:A,'参照_武将'!B:B,"見つかりません"))</f>
      </c>
      <c r="C1787" s="4" t="s">
        <v>223</v>
      </c>
      <c r="D1787" s="4">
        <v>42</v>
      </c>
      <c r="E1787" s="12" t="str">
        <f t="array" ref="E1787">IF(D1787:D5829="","",IFERROR(_xlfn.XLOOKUP(D1787:D5829,'参照_勢力'!A:A,'参照_勢力'!B:B),IFERROR(_xlfn.XLOOKUP(F1787:F5829,kunishuClan!A:A,kunishuClan!B:B),"浪人")))</f>
      </c>
      <c r="F1787" s="4">
        <v>0</v>
      </c>
      <c r="G1787" s="4">
        <v>134</v>
      </c>
      <c r="H1787" s="12" t="str">
        <f t="array" ref="H1787">IF(G1787:G5829="","",_xlfn.XLOOKUP(G1787:G5829,castles_state!A:A,castles_state!D:D,"見つかりません"))</f>
      </c>
      <c r="I1787" s="4"/>
      <c r="J1787" s="12" t="str">
        <f t="array" ref="J1787">IF(I1787:I5829="","",_xlfn.XLOOKUP(I1787:I5829,'参照_姫'!A:A,'参照_姫'!B:B,"見つかりません"))</f>
      </c>
      <c r="K1787" s="4">
        <v>100</v>
      </c>
      <c r="L1787" s="4">
        <v>1500</v>
      </c>
      <c r="M1787" s="4"/>
      <c r="N1787" s="4"/>
      <c r="O1787" s="4"/>
      <c r="P1787" s="12" t="str">
        <f t="array" ref="P1787">IF(O1787:O5829="","",_xlfn.XLOOKUP(O1787:O5829,'参照_官位'!A:A,'参照_官位'!B:B,""))</f>
      </c>
      <c r="Q1787" s="12" t="str">
        <f t="array" ref="Q1787">IF(A1787:A5829="","",IFERROR(_xlfn.XLOOKUP(A1787:A5829,castles_state!K:K,castles_state!D:D)&amp;"主",IFERROR(_xlfn.XLOOKUP(A1787:A5829,kunishuClan!D:D,kunishuClan!B:B)&amp;"当主","")))</f>
      </c>
    </row>
    <row r="1788" ht="15.75" customHeight="1">
      <c r="A1788" s="4">
        <v>1042004</v>
      </c>
      <c r="B1788" s="12" t="str">
        <f t="array" ref="B1788">IF(A1788:A5830="","",_xlfn.XLOOKUP(A1788:A5830,'参照_武将'!A:A,'参照_武将'!B:B,"見つかりません"))</f>
      </c>
      <c r="C1788" s="4" t="s">
        <v>223</v>
      </c>
      <c r="D1788" s="4">
        <v>42</v>
      </c>
      <c r="E1788" s="12" t="str">
        <f t="array" ref="E1788">IF(D1788:D5830="","",IFERROR(_xlfn.XLOOKUP(D1788:D5830,'参照_勢力'!A:A,'参照_勢力'!B:B),IFERROR(_xlfn.XLOOKUP(F1788:F5830,kunishuClan!A:A,kunishuClan!B:B),"浪人")))</f>
      </c>
      <c r="F1788" s="4">
        <v>0</v>
      </c>
      <c r="G1788" s="4">
        <v>134</v>
      </c>
      <c r="H1788" s="12" t="str">
        <f t="array" ref="H1788">IF(G1788:G5830="","",_xlfn.XLOOKUP(G1788:G5830,castles_state!A:A,castles_state!D:D,"見つかりません"))</f>
      </c>
      <c r="I1788" s="4"/>
      <c r="J1788" s="12" t="str">
        <f t="array" ref="J1788">IF(I1788:I5830="","",_xlfn.XLOOKUP(I1788:I5830,'参照_姫'!A:A,'参照_姫'!B:B,"見つかりません"))</f>
      </c>
      <c r="K1788" s="4">
        <v>95</v>
      </c>
      <c r="L1788" s="4">
        <v>500</v>
      </c>
      <c r="M1788" s="4"/>
      <c r="N1788" s="4"/>
      <c r="O1788" s="4"/>
      <c r="P1788" s="12" t="str">
        <f t="array" ref="P1788">IF(O1788:O5830="","",_xlfn.XLOOKUP(O1788:O5830,'参照_官位'!A:A,'参照_官位'!B:B,""))</f>
      </c>
      <c r="Q1788" s="12" t="str">
        <f t="array" ref="Q1788">IF(A1788:A5830="","",IFERROR(_xlfn.XLOOKUP(A1788:A5830,castles_state!K:K,castles_state!D:D)&amp;"主",IFERROR(_xlfn.XLOOKUP(A1788:A5830,kunishuClan!D:D,kunishuClan!B:B)&amp;"当主","")))</f>
      </c>
    </row>
    <row r="1789" ht="15.75" customHeight="1">
      <c r="A1789" s="4">
        <v>1042005</v>
      </c>
      <c r="B1789" s="12" t="str">
        <f t="array" ref="B1789">IF(A1789:A5831="","",_xlfn.XLOOKUP(A1789:A5831,'参照_武将'!A:A,'参照_武将'!B:B,"見つかりません"))</f>
      </c>
      <c r="C1789" s="4" t="s">
        <v>307</v>
      </c>
      <c r="D1789" s="4">
        <v>63</v>
      </c>
      <c r="E1789" s="12" t="str">
        <f t="array" ref="E1789">IF(D1789:D5831="","",IFERROR(_xlfn.XLOOKUP(D1789:D5831,'参照_勢力'!A:A,'参照_勢力'!B:B),IFERROR(_xlfn.XLOOKUP(F1789:F5831,kunishuClan!A:A,kunishuClan!B:B),"浪人")))</f>
      </c>
      <c r="F1789" s="4">
        <v>0</v>
      </c>
      <c r="G1789" s="4">
        <v>128</v>
      </c>
      <c r="H1789" s="12" t="str">
        <f t="array" ref="H1789">IF(G1789:G5831="","",_xlfn.XLOOKUP(G1789:G5831,castles_state!A:A,castles_state!D:D,"見つかりません"))</f>
      </c>
      <c r="I1789" s="4"/>
      <c r="J1789" s="12" t="str">
        <f t="array" ref="J1789">IF(I1789:I5831="","",_xlfn.XLOOKUP(I1789:I5831,'参照_姫'!A:A,'参照_姫'!B:B,"見つかりません"))</f>
      </c>
      <c r="K1789" s="4">
        <v>95</v>
      </c>
      <c r="L1789" s="4">
        <v>0</v>
      </c>
      <c r="M1789" s="4"/>
      <c r="N1789" s="4"/>
      <c r="O1789" s="4"/>
      <c r="P1789" s="12" t="str">
        <f t="array" ref="P1789">IF(O1789:O5831="","",_xlfn.XLOOKUP(O1789:O5831,'参照_官位'!A:A,'参照_官位'!B:B,""))</f>
      </c>
      <c r="Q1789" s="12" t="str">
        <f t="array" ref="Q1789">IF(A1789:A5831="","",IFERROR(_xlfn.XLOOKUP(A1789:A5831,castles_state!K:K,castles_state!D:D)&amp;"主",IFERROR(_xlfn.XLOOKUP(A1789:A5831,kunishuClan!D:D,kunishuClan!B:B)&amp;"当主","")))</f>
      </c>
    </row>
    <row r="1790" ht="15.75" customHeight="1">
      <c r="A1790" s="4">
        <v>1042006</v>
      </c>
      <c r="B1790" s="12" t="str">
        <f t="array" ref="B1790">IF(A1790:A5832="","",_xlfn.XLOOKUP(A1790:A5832,'参照_武将'!A:A,'参照_武将'!B:B,"見つかりません"))</f>
      </c>
      <c r="C1790" s="4" t="s">
        <v>223</v>
      </c>
      <c r="D1790" s="4">
        <v>42</v>
      </c>
      <c r="E1790" s="12" t="str">
        <f t="array" ref="E1790">IF(D1790:D5832="","",IFERROR(_xlfn.XLOOKUP(D1790:D5832,'参照_勢力'!A:A,'参照_勢力'!B:B),IFERROR(_xlfn.XLOOKUP(F1790:F5832,kunishuClan!A:A,kunishuClan!B:B),"浪人")))</f>
      </c>
      <c r="F1790" s="4">
        <v>0</v>
      </c>
      <c r="G1790" s="4">
        <v>134</v>
      </c>
      <c r="H1790" s="12" t="str">
        <f t="array" ref="H1790">IF(G1790:G5832="","",_xlfn.XLOOKUP(G1790:G5832,castles_state!A:A,castles_state!D:D,"見つかりません"))</f>
      </c>
      <c r="I1790" s="4"/>
      <c r="J1790" s="12" t="str">
        <f t="array" ref="J1790">IF(I1790:I5832="","",_xlfn.XLOOKUP(I1790:I5832,'参照_姫'!A:A,'参照_姫'!B:B,"見つかりません"))</f>
      </c>
      <c r="K1790" s="4">
        <v>95</v>
      </c>
      <c r="L1790" s="4">
        <v>0</v>
      </c>
      <c r="M1790" s="4"/>
      <c r="N1790" s="4"/>
      <c r="O1790" s="4"/>
      <c r="P1790" s="12" t="str">
        <f t="array" ref="P1790">IF(O1790:O5832="","",_xlfn.XLOOKUP(O1790:O5832,'参照_官位'!A:A,'参照_官位'!B:B,""))</f>
      </c>
      <c r="Q1790" s="12" t="str">
        <f t="array" ref="Q1790">IF(A1790:A5832="","",IFERROR(_xlfn.XLOOKUP(A1790:A5832,castles_state!K:K,castles_state!D:D)&amp;"主",IFERROR(_xlfn.XLOOKUP(A1790:A5832,kunishuClan!D:D,kunishuClan!B:B)&amp;"当主","")))</f>
      </c>
    </row>
    <row r="1791" ht="15.75" customHeight="1">
      <c r="A1791" s="4">
        <v>1042007</v>
      </c>
      <c r="B1791" s="12" t="str">
        <f t="array" ref="B1791">IF(A1791:A5833="","",_xlfn.XLOOKUP(A1791:A5833,'参照_武将'!A:A,'参照_武将'!B:B,"見つかりません"))</f>
      </c>
      <c r="C1791" s="4" t="s">
        <v>223</v>
      </c>
      <c r="D1791" s="4">
        <v>42</v>
      </c>
      <c r="E1791" s="12" t="str">
        <f t="array" ref="E1791">IF(D1791:D5833="","",IFERROR(_xlfn.XLOOKUP(D1791:D5833,'参照_勢力'!A:A,'参照_勢力'!B:B),IFERROR(_xlfn.XLOOKUP(F1791:F5833,kunishuClan!A:A,kunishuClan!B:B),"浪人")))</f>
      </c>
      <c r="F1791" s="4">
        <v>0</v>
      </c>
      <c r="G1791" s="4">
        <v>134</v>
      </c>
      <c r="H1791" s="12" t="str">
        <f t="array" ref="H1791">IF(G1791:G5833="","",_xlfn.XLOOKUP(G1791:G5833,castles_state!A:A,castles_state!D:D,"見つかりません"))</f>
      </c>
      <c r="I1791" s="4"/>
      <c r="J1791" s="12" t="str">
        <f t="array" ref="J1791">IF(I1791:I5833="","",_xlfn.XLOOKUP(I1791:I5833,'参照_姫'!A:A,'参照_姫'!B:B,"見つかりません"))</f>
      </c>
      <c r="K1791" s="4">
        <v>95</v>
      </c>
      <c r="L1791" s="4">
        <v>200</v>
      </c>
      <c r="M1791" s="4"/>
      <c r="N1791" s="4"/>
      <c r="O1791" s="4"/>
      <c r="P1791" s="12" t="str">
        <f t="array" ref="P1791">IF(O1791:O5833="","",_xlfn.XLOOKUP(O1791:O5833,'参照_官位'!A:A,'参照_官位'!B:B,""))</f>
      </c>
      <c r="Q1791" s="12" t="str">
        <f t="array" ref="Q1791">IF(A1791:A5833="","",IFERROR(_xlfn.XLOOKUP(A1791:A5833,castles_state!K:K,castles_state!D:D)&amp;"主",IFERROR(_xlfn.XLOOKUP(A1791:A5833,kunishuClan!D:D,kunishuClan!B:B)&amp;"当主","")))</f>
      </c>
    </row>
    <row r="1792" ht="15.75" customHeight="1">
      <c r="A1792" s="4">
        <v>1042008</v>
      </c>
      <c r="B1792" s="12" t="str">
        <f t="array" ref="B1792">IF(A1792:A5834="","",_xlfn.XLOOKUP(A1792:A5834,'参照_武将'!A:A,'参照_武将'!B:B,"見つかりません"))</f>
      </c>
      <c r="C1792" s="4" t="s">
        <v>223</v>
      </c>
      <c r="D1792" s="4">
        <v>42</v>
      </c>
      <c r="E1792" s="12" t="str">
        <f t="array" ref="E1792">IF(D1792:D5834="","",IFERROR(_xlfn.XLOOKUP(D1792:D5834,'参照_勢力'!A:A,'参照_勢力'!B:B),IFERROR(_xlfn.XLOOKUP(F1792:F5834,kunishuClan!A:A,kunishuClan!B:B),"浪人")))</f>
      </c>
      <c r="F1792" s="4">
        <v>0</v>
      </c>
      <c r="G1792" s="4">
        <v>134</v>
      </c>
      <c r="H1792" s="12" t="str">
        <f t="array" ref="H1792">IF(G1792:G5834="","",_xlfn.XLOOKUP(G1792:G5834,castles_state!A:A,castles_state!D:D,"見つかりません"))</f>
      </c>
      <c r="I1792" s="4"/>
      <c r="J1792" s="12" t="str">
        <f t="array" ref="J1792">IF(I1792:I5834="","",_xlfn.XLOOKUP(I1792:I5834,'参照_姫'!A:A,'参照_姫'!B:B,"見つかりません"))</f>
      </c>
      <c r="K1792" s="4">
        <v>95</v>
      </c>
      <c r="L1792" s="4">
        <v>200</v>
      </c>
      <c r="M1792" s="4"/>
      <c r="N1792" s="4"/>
      <c r="O1792" s="4"/>
      <c r="P1792" s="12" t="str">
        <f t="array" ref="P1792">IF(O1792:O5834="","",_xlfn.XLOOKUP(O1792:O5834,'参照_官位'!A:A,'参照_官位'!B:B,""))</f>
      </c>
      <c r="Q1792" s="12" t="str">
        <f t="array" ref="Q1792">IF(A1792:A5834="","",IFERROR(_xlfn.XLOOKUP(A1792:A5834,castles_state!K:K,castles_state!D:D)&amp;"主",IFERROR(_xlfn.XLOOKUP(A1792:A5834,kunishuClan!D:D,kunishuClan!B:B)&amp;"当主","")))</f>
      </c>
    </row>
    <row r="1793" ht="15.75" customHeight="1">
      <c r="A1793" s="4">
        <v>1042009</v>
      </c>
      <c r="B1793" s="12" t="str">
        <f t="array" ref="B1793">IF(A1793:A5835="","",_xlfn.XLOOKUP(A1793:A5835,'参照_武将'!A:A,'参照_武将'!B:B,"見つかりません"))</f>
      </c>
      <c r="C1793" s="4" t="s">
        <v>223</v>
      </c>
      <c r="D1793" s="4">
        <v>42</v>
      </c>
      <c r="E1793" s="12" t="str">
        <f t="array" ref="E1793">IF(D1793:D5835="","",IFERROR(_xlfn.XLOOKUP(D1793:D5835,'参照_勢力'!A:A,'参照_勢力'!B:B),IFERROR(_xlfn.XLOOKUP(F1793:F5835,kunishuClan!A:A,kunishuClan!B:B),"浪人")))</f>
      </c>
      <c r="F1793" s="4">
        <v>0</v>
      </c>
      <c r="G1793" s="4">
        <v>134</v>
      </c>
      <c r="H1793" s="12" t="str">
        <f t="array" ref="H1793">IF(G1793:G5835="","",_xlfn.XLOOKUP(G1793:G5835,castles_state!A:A,castles_state!D:D,"見つかりません"))</f>
      </c>
      <c r="I1793" s="4"/>
      <c r="J1793" s="12" t="str">
        <f t="array" ref="J1793">IF(I1793:I5835="","",_xlfn.XLOOKUP(I1793:I5835,'参照_姫'!A:A,'参照_姫'!B:B,"見つかりません"))</f>
      </c>
      <c r="K1793" s="4">
        <v>95</v>
      </c>
      <c r="L1793" s="4">
        <v>0</v>
      </c>
      <c r="M1793" s="4"/>
      <c r="N1793" s="4"/>
      <c r="O1793" s="4"/>
      <c r="P1793" s="12" t="str">
        <f t="array" ref="P1793">IF(O1793:O5835="","",_xlfn.XLOOKUP(O1793:O5835,'参照_官位'!A:A,'参照_官位'!B:B,""))</f>
      </c>
      <c r="Q1793" s="12" t="str">
        <f t="array" ref="Q1793">IF(A1793:A5835="","",IFERROR(_xlfn.XLOOKUP(A1793:A5835,castles_state!K:K,castles_state!D:D)&amp;"主",IFERROR(_xlfn.XLOOKUP(A1793:A5835,kunishuClan!D:D,kunishuClan!B:B)&amp;"当主","")))</f>
      </c>
    </row>
    <row r="1794" ht="15.75" customHeight="1">
      <c r="A1794" s="4">
        <v>1042010</v>
      </c>
      <c r="B1794" s="12" t="str">
        <f t="array" ref="B1794">IF(A1794:A5836="","",_xlfn.XLOOKUP(A1794:A5836,'参照_武将'!A:A,'参照_武将'!B:B,"見つかりません"))</f>
      </c>
      <c r="C1794" s="4" t="s">
        <v>223</v>
      </c>
      <c r="D1794" s="4">
        <v>42</v>
      </c>
      <c r="E1794" s="12" t="str">
        <f t="array" ref="E1794">IF(D1794:D5836="","",IFERROR(_xlfn.XLOOKUP(D1794:D5836,'参照_勢力'!A:A,'参照_勢力'!B:B),IFERROR(_xlfn.XLOOKUP(F1794:F5836,kunishuClan!A:A,kunishuClan!B:B),"浪人")))</f>
      </c>
      <c r="F1794" s="4">
        <v>0</v>
      </c>
      <c r="G1794" s="4">
        <v>134</v>
      </c>
      <c r="H1794" s="12" t="str">
        <f t="array" ref="H1794">IF(G1794:G5836="","",_xlfn.XLOOKUP(G1794:G5836,castles_state!A:A,castles_state!D:D,"見つかりません"))</f>
      </c>
      <c r="I1794" s="4"/>
      <c r="J1794" s="12" t="str">
        <f t="array" ref="J1794">IF(I1794:I5836="","",_xlfn.XLOOKUP(I1794:I5836,'参照_姫'!A:A,'参照_姫'!B:B,"見つかりません"))</f>
      </c>
      <c r="K1794" s="4">
        <v>95</v>
      </c>
      <c r="L1794" s="4">
        <v>100</v>
      </c>
      <c r="M1794" s="4"/>
      <c r="N1794" s="4"/>
      <c r="O1794" s="4"/>
      <c r="P1794" s="12" t="str">
        <f t="array" ref="P1794">IF(O1794:O5836="","",_xlfn.XLOOKUP(O1794:O5836,'参照_官位'!A:A,'参照_官位'!B:B,""))</f>
      </c>
      <c r="Q1794" s="12" t="str">
        <f t="array" ref="Q1794">IF(A1794:A5836="","",IFERROR(_xlfn.XLOOKUP(A1794:A5836,castles_state!K:K,castles_state!D:D)&amp;"主",IFERROR(_xlfn.XLOOKUP(A1794:A5836,kunishuClan!D:D,kunishuClan!B:B)&amp;"当主","")))</f>
      </c>
    </row>
    <row r="1795" ht="15.75" customHeight="1">
      <c r="A1795" s="4">
        <v>1042011</v>
      </c>
      <c r="B1795" s="12" t="str">
        <f t="array" ref="B1795">IF(A1795:A5837="","",_xlfn.XLOOKUP(A1795:A5837,'参照_武将'!A:A,'参照_武将'!B:B,"見つかりません"))</f>
      </c>
      <c r="C1795" s="4" t="s">
        <v>223</v>
      </c>
      <c r="D1795" s="4">
        <v>42</v>
      </c>
      <c r="E1795" s="12" t="str">
        <f t="array" ref="E1795">IF(D1795:D5837="","",IFERROR(_xlfn.XLOOKUP(D1795:D5837,'参照_勢力'!A:A,'参照_勢力'!B:B),IFERROR(_xlfn.XLOOKUP(F1795:F5837,kunishuClan!A:A,kunishuClan!B:B),"浪人")))</f>
      </c>
      <c r="F1795" s="4">
        <v>0</v>
      </c>
      <c r="G1795" s="4">
        <v>134</v>
      </c>
      <c r="H1795" s="12" t="str">
        <f t="array" ref="H1795">IF(G1795:G5837="","",_xlfn.XLOOKUP(G1795:G5837,castles_state!A:A,castles_state!D:D,"見つかりません"))</f>
      </c>
      <c r="I1795" s="4"/>
      <c r="J1795" s="12" t="str">
        <f t="array" ref="J1795">IF(I1795:I5837="","",_xlfn.XLOOKUP(I1795:I5837,'参照_姫'!A:A,'参照_姫'!B:B,"見つかりません"))</f>
      </c>
      <c r="K1795" s="4">
        <v>95</v>
      </c>
      <c r="L1795" s="4">
        <v>0</v>
      </c>
      <c r="M1795" s="4"/>
      <c r="N1795" s="4"/>
      <c r="O1795" s="4"/>
      <c r="P1795" s="12" t="str">
        <f t="array" ref="P1795">IF(O1795:O5837="","",_xlfn.XLOOKUP(O1795:O5837,'参照_官位'!A:A,'参照_官位'!B:B,""))</f>
      </c>
      <c r="Q1795" s="12" t="str">
        <f t="array" ref="Q1795">IF(A1795:A5837="","",IFERROR(_xlfn.XLOOKUP(A1795:A5837,castles_state!K:K,castles_state!D:D)&amp;"主",IFERROR(_xlfn.XLOOKUP(A1795:A5837,kunishuClan!D:D,kunishuClan!B:B)&amp;"当主","")))</f>
      </c>
    </row>
    <row r="1796" ht="15.75" customHeight="1">
      <c r="A1796" s="4">
        <v>1042012</v>
      </c>
      <c r="B1796" s="12" t="str">
        <f t="array" ref="B1796">IF(A1796:A5838="","",_xlfn.XLOOKUP(A1796:A5838,'参照_武将'!A:A,'参照_武将'!B:B,"見つかりません"))</f>
      </c>
      <c r="C1796" s="4" t="s">
        <v>223</v>
      </c>
      <c r="D1796" s="4">
        <v>42</v>
      </c>
      <c r="E1796" s="12" t="str">
        <f t="array" ref="E1796">IF(D1796:D5838="","",IFERROR(_xlfn.XLOOKUP(D1796:D5838,'参照_勢力'!A:A,'参照_勢力'!B:B),IFERROR(_xlfn.XLOOKUP(F1796:F5838,kunishuClan!A:A,kunishuClan!B:B),"浪人")))</f>
      </c>
      <c r="F1796" s="4">
        <v>0</v>
      </c>
      <c r="G1796" s="4">
        <v>132</v>
      </c>
      <c r="H1796" s="12" t="str">
        <f t="array" ref="H1796">IF(G1796:G5838="","",_xlfn.XLOOKUP(G1796:G5838,castles_state!A:A,castles_state!D:D,"見つかりません"))</f>
      </c>
      <c r="I1796" s="4"/>
      <c r="J1796" s="12" t="str">
        <f t="array" ref="J1796">IF(I1796:I5838="","",_xlfn.XLOOKUP(I1796:I5838,'参照_姫'!A:A,'参照_姫'!B:B,"見つかりません"))</f>
      </c>
      <c r="K1796" s="4">
        <v>95</v>
      </c>
      <c r="L1796" s="4">
        <v>300</v>
      </c>
      <c r="M1796" s="4"/>
      <c r="N1796" s="4"/>
      <c r="O1796" s="4"/>
      <c r="P1796" s="12" t="str">
        <f t="array" ref="P1796">IF(O1796:O5838="","",_xlfn.XLOOKUP(O1796:O5838,'参照_官位'!A:A,'参照_官位'!B:B,""))</f>
      </c>
      <c r="Q1796" s="12" t="str">
        <f t="array" ref="Q1796">IF(A1796:A5838="","",IFERROR(_xlfn.XLOOKUP(A1796:A5838,castles_state!K:K,castles_state!D:D)&amp;"主",IFERROR(_xlfn.XLOOKUP(A1796:A5838,kunishuClan!D:D,kunishuClan!B:B)&amp;"当主","")))</f>
      </c>
    </row>
    <row r="1797" ht="15.75" customHeight="1">
      <c r="A1797" s="4">
        <v>1042013</v>
      </c>
      <c r="B1797" s="12" t="str">
        <f t="array" ref="B1797">IF(A1797:A5839="","",_xlfn.XLOOKUP(A1797:A5839,'参照_武将'!A:A,'参照_武将'!B:B,"見つかりません"))</f>
      </c>
      <c r="C1797" s="4" t="s">
        <v>223</v>
      </c>
      <c r="D1797" s="4">
        <v>42</v>
      </c>
      <c r="E1797" s="12" t="str">
        <f t="array" ref="E1797">IF(D1797:D5839="","",IFERROR(_xlfn.XLOOKUP(D1797:D5839,'参照_勢力'!A:A,'参照_勢力'!B:B),IFERROR(_xlfn.XLOOKUP(F1797:F5839,kunishuClan!A:A,kunishuClan!B:B),"浪人")))</f>
      </c>
      <c r="F1797" s="4">
        <v>0</v>
      </c>
      <c r="G1797" s="4">
        <v>133</v>
      </c>
      <c r="H1797" s="12" t="str">
        <f t="array" ref="H1797">IF(G1797:G5839="","",_xlfn.XLOOKUP(G1797:G5839,castles_state!A:A,castles_state!D:D,"見つかりません"))</f>
      </c>
      <c r="I1797" s="4"/>
      <c r="J1797" s="12" t="str">
        <f t="array" ref="J1797">IF(I1797:I5839="","",_xlfn.XLOOKUP(I1797:I5839,'参照_姫'!A:A,'参照_姫'!B:B,"見つかりません"))</f>
      </c>
      <c r="K1797" s="4">
        <v>95</v>
      </c>
      <c r="L1797" s="4">
        <v>0</v>
      </c>
      <c r="M1797" s="4"/>
      <c r="N1797" s="4"/>
      <c r="O1797" s="4"/>
      <c r="P1797" s="12" t="str">
        <f t="array" ref="P1797">IF(O1797:O5839="","",_xlfn.XLOOKUP(O1797:O5839,'参照_官位'!A:A,'参照_官位'!B:B,""))</f>
      </c>
      <c r="Q1797" s="12" t="str">
        <f t="array" ref="Q1797">IF(A1797:A5839="","",IFERROR(_xlfn.XLOOKUP(A1797:A5839,castles_state!K:K,castles_state!D:D)&amp;"主",IFERROR(_xlfn.XLOOKUP(A1797:A5839,kunishuClan!D:D,kunishuClan!B:B)&amp;"当主","")))</f>
      </c>
    </row>
    <row r="1798" ht="15.75" customHeight="1">
      <c r="A1798" s="4">
        <v>1042014</v>
      </c>
      <c r="B1798" s="12" t="str">
        <f t="array" ref="B1798">IF(A1798:A5840="","",_xlfn.XLOOKUP(A1798:A5840,'参照_武将'!A:A,'参照_武将'!B:B,"見つかりません"))</f>
      </c>
      <c r="C1798" s="4" t="s">
        <v>223</v>
      </c>
      <c r="D1798" s="4">
        <v>42</v>
      </c>
      <c r="E1798" s="12" t="str">
        <f t="array" ref="E1798">IF(D1798:D5840="","",IFERROR(_xlfn.XLOOKUP(D1798:D5840,'参照_勢力'!A:A,'参照_勢力'!B:B),IFERROR(_xlfn.XLOOKUP(F1798:F5840,kunishuClan!A:A,kunishuClan!B:B),"浪人")))</f>
      </c>
      <c r="F1798" s="4">
        <v>0</v>
      </c>
      <c r="G1798" s="4">
        <v>134</v>
      </c>
      <c r="H1798" s="12" t="str">
        <f t="array" ref="H1798">IF(G1798:G5840="","",_xlfn.XLOOKUP(G1798:G5840,castles_state!A:A,castles_state!D:D,"見つかりません"))</f>
      </c>
      <c r="I1798" s="4"/>
      <c r="J1798" s="12" t="str">
        <f t="array" ref="J1798">IF(I1798:I5840="","",_xlfn.XLOOKUP(I1798:I5840,'参照_姫'!A:A,'参照_姫'!B:B,"見つかりません"))</f>
      </c>
      <c r="K1798" s="4">
        <v>95</v>
      </c>
      <c r="L1798" s="4">
        <v>0</v>
      </c>
      <c r="M1798" s="4"/>
      <c r="N1798" s="4"/>
      <c r="O1798" s="4"/>
      <c r="P1798" s="12" t="str">
        <f t="array" ref="P1798">IF(O1798:O5840="","",_xlfn.XLOOKUP(O1798:O5840,'参照_官位'!A:A,'参照_官位'!B:B,""))</f>
      </c>
      <c r="Q1798" s="12" t="str">
        <f t="array" ref="Q1798">IF(A1798:A5840="","",IFERROR(_xlfn.XLOOKUP(A1798:A5840,castles_state!K:K,castles_state!D:D)&amp;"主",IFERROR(_xlfn.XLOOKUP(A1798:A5840,kunishuClan!D:D,kunishuClan!B:B)&amp;"当主","")))</f>
      </c>
    </row>
    <row r="1799" ht="15.75" customHeight="1">
      <c r="A1799" s="4">
        <v>1042015</v>
      </c>
      <c r="B1799" s="12" t="str">
        <f t="array" ref="B1799">IF(A1799:A5841="","",_xlfn.XLOOKUP(A1799:A5841,'参照_武将'!A:A,'参照_武将'!B:B,"見つかりません"))</f>
      </c>
      <c r="C1799" s="4" t="s">
        <v>223</v>
      </c>
      <c r="D1799" s="4">
        <v>42</v>
      </c>
      <c r="E1799" s="12" t="str">
        <f t="array" ref="E1799">IF(D1799:D5841="","",IFERROR(_xlfn.XLOOKUP(D1799:D5841,'参照_勢力'!A:A,'参照_勢力'!B:B),IFERROR(_xlfn.XLOOKUP(F1799:F5841,kunishuClan!A:A,kunishuClan!B:B),"浪人")))</f>
      </c>
      <c r="F1799" s="4">
        <v>0</v>
      </c>
      <c r="G1799" s="4">
        <v>134</v>
      </c>
      <c r="H1799" s="12" t="str">
        <f t="array" ref="H1799">IF(G1799:G5841="","",_xlfn.XLOOKUP(G1799:G5841,castles_state!A:A,castles_state!D:D,"見つかりません"))</f>
      </c>
      <c r="I1799" s="4"/>
      <c r="J1799" s="12" t="str">
        <f t="array" ref="J1799">IF(I1799:I5841="","",_xlfn.XLOOKUP(I1799:I5841,'参照_姫'!A:A,'参照_姫'!B:B,"見つかりません"))</f>
      </c>
      <c r="K1799" s="4">
        <v>95</v>
      </c>
      <c r="L1799" s="4">
        <v>0</v>
      </c>
      <c r="M1799" s="4"/>
      <c r="N1799" s="4"/>
      <c r="O1799" s="4"/>
      <c r="P1799" s="12" t="str">
        <f t="array" ref="P1799">IF(O1799:O5841="","",_xlfn.XLOOKUP(O1799:O5841,'参照_官位'!A:A,'参照_官位'!B:B,""))</f>
      </c>
      <c r="Q1799" s="12" t="str">
        <f t="array" ref="Q1799">IF(A1799:A5841="","",IFERROR(_xlfn.XLOOKUP(A1799:A5841,castles_state!K:K,castles_state!D:D)&amp;"主",IFERROR(_xlfn.XLOOKUP(A1799:A5841,kunishuClan!D:D,kunishuClan!B:B)&amp;"当主","")))</f>
      </c>
    </row>
    <row r="1800" ht="15.75" customHeight="1">
      <c r="A1800" s="4">
        <v>1042016</v>
      </c>
      <c r="B1800" s="12" t="str">
        <f t="array" ref="B1800">IF(A1800:A5842="","",_xlfn.XLOOKUP(A1800:A5842,'参照_武将'!A:A,'参照_武将'!B:B,"見つかりません"))</f>
      </c>
      <c r="C1800" s="4" t="s">
        <v>223</v>
      </c>
      <c r="D1800" s="4">
        <v>42</v>
      </c>
      <c r="E1800" s="12" t="str">
        <f t="array" ref="E1800">IF(D1800:D5842="","",IFERROR(_xlfn.XLOOKUP(D1800:D5842,'参照_勢力'!A:A,'参照_勢力'!B:B),IFERROR(_xlfn.XLOOKUP(F1800:F5842,kunishuClan!A:A,kunishuClan!B:B),"浪人")))</f>
      </c>
      <c r="F1800" s="4">
        <v>0</v>
      </c>
      <c r="G1800" s="4">
        <v>134</v>
      </c>
      <c r="H1800" s="12" t="str">
        <f t="array" ref="H1800">IF(G1800:G5842="","",_xlfn.XLOOKUP(G1800:G5842,castles_state!A:A,castles_state!D:D,"見つかりません"))</f>
      </c>
      <c r="I1800" s="4"/>
      <c r="J1800" s="12" t="str">
        <f t="array" ref="J1800">IF(I1800:I5842="","",_xlfn.XLOOKUP(I1800:I5842,'参照_姫'!A:A,'参照_姫'!B:B,"見つかりません"))</f>
      </c>
      <c r="K1800" s="4">
        <v>95</v>
      </c>
      <c r="L1800" s="4">
        <v>0</v>
      </c>
      <c r="M1800" s="4"/>
      <c r="N1800" s="4"/>
      <c r="O1800" s="4"/>
      <c r="P1800" s="12" t="str">
        <f t="array" ref="P1800">IF(O1800:O5842="","",_xlfn.XLOOKUP(O1800:O5842,'参照_官位'!A:A,'参照_官位'!B:B,""))</f>
      </c>
      <c r="Q1800" s="12" t="str">
        <f t="array" ref="Q1800">IF(A1800:A5842="","",IFERROR(_xlfn.XLOOKUP(A1800:A5842,castles_state!K:K,castles_state!D:D)&amp;"主",IFERROR(_xlfn.XLOOKUP(A1800:A5842,kunishuClan!D:D,kunishuClan!B:B)&amp;"当主","")))</f>
      </c>
    </row>
    <row r="1801" ht="15.75" customHeight="1">
      <c r="A1801" s="4">
        <v>1042017</v>
      </c>
      <c r="B1801" s="12" t="str">
        <f t="array" ref="B1801">IF(A1801:A5843="","",_xlfn.XLOOKUP(A1801:A5843,'参照_武将'!A:A,'参照_武将'!B:B,"見つかりません"))</f>
      </c>
      <c r="C1801" s="4" t="s">
        <v>223</v>
      </c>
      <c r="D1801" s="4">
        <v>42</v>
      </c>
      <c r="E1801" s="12" t="str">
        <f t="array" ref="E1801">IF(D1801:D5843="","",IFERROR(_xlfn.XLOOKUP(D1801:D5843,'参照_勢力'!A:A,'参照_勢力'!B:B),IFERROR(_xlfn.XLOOKUP(F1801:F5843,kunishuClan!A:A,kunishuClan!B:B),"浪人")))</f>
      </c>
      <c r="F1801" s="4">
        <v>0</v>
      </c>
      <c r="G1801" s="4">
        <v>134</v>
      </c>
      <c r="H1801" s="12" t="str">
        <f t="array" ref="H1801">IF(G1801:G5843="","",_xlfn.XLOOKUP(G1801:G5843,castles_state!A:A,castles_state!D:D,"見つかりません"))</f>
      </c>
      <c r="I1801" s="4"/>
      <c r="J1801" s="12" t="str">
        <f t="array" ref="J1801">IF(I1801:I5843="","",_xlfn.XLOOKUP(I1801:I5843,'参照_姫'!A:A,'参照_姫'!B:B,"見つかりません"))</f>
      </c>
      <c r="K1801" s="4">
        <v>95</v>
      </c>
      <c r="L1801" s="4">
        <v>0</v>
      </c>
      <c r="M1801" s="4"/>
      <c r="N1801" s="4"/>
      <c r="O1801" s="4"/>
      <c r="P1801" s="12" t="str">
        <f t="array" ref="P1801">IF(O1801:O5843="","",_xlfn.XLOOKUP(O1801:O5843,'参照_官位'!A:A,'参照_官位'!B:B,""))</f>
      </c>
      <c r="Q1801" s="12" t="str">
        <f t="array" ref="Q1801">IF(A1801:A5843="","",IFERROR(_xlfn.XLOOKUP(A1801:A5843,castles_state!K:K,castles_state!D:D)&amp;"主",IFERROR(_xlfn.XLOOKUP(A1801:A5843,kunishuClan!D:D,kunishuClan!B:B)&amp;"当主","")))</f>
      </c>
    </row>
    <row r="1802" ht="15.75" customHeight="1">
      <c r="A1802" s="4">
        <v>1042018</v>
      </c>
      <c r="B1802" s="12" t="str">
        <f t="array" ref="B1802">IF(A1802:A5844="","",_xlfn.XLOOKUP(A1802:A5844,'参照_武将'!A:A,'参照_武将'!B:B,"見つかりません"))</f>
      </c>
      <c r="C1802" s="4" t="s">
        <v>223</v>
      </c>
      <c r="D1802" s="4">
        <v>42</v>
      </c>
      <c r="E1802" s="12" t="str">
        <f t="array" ref="E1802">IF(D1802:D5844="","",IFERROR(_xlfn.XLOOKUP(D1802:D5844,'参照_勢力'!A:A,'参照_勢力'!B:B),IFERROR(_xlfn.XLOOKUP(F1802:F5844,kunishuClan!A:A,kunishuClan!B:B),"浪人")))</f>
      </c>
      <c r="F1802" s="4">
        <v>0</v>
      </c>
      <c r="G1802" s="4">
        <v>134</v>
      </c>
      <c r="H1802" s="12" t="str">
        <f t="array" ref="H1802">IF(G1802:G5844="","",_xlfn.XLOOKUP(G1802:G5844,castles_state!A:A,castles_state!D:D,"見つかりません"))</f>
      </c>
      <c r="I1802" s="4"/>
      <c r="J1802" s="12" t="str">
        <f t="array" ref="J1802">IF(I1802:I5844="","",_xlfn.XLOOKUP(I1802:I5844,'参照_姫'!A:A,'参照_姫'!B:B,"見つかりません"))</f>
      </c>
      <c r="K1802" s="4">
        <v>95</v>
      </c>
      <c r="L1802" s="4">
        <v>0</v>
      </c>
      <c r="M1802" s="4"/>
      <c r="N1802" s="4"/>
      <c r="O1802" s="4"/>
      <c r="P1802" s="12" t="str">
        <f t="array" ref="P1802">IF(O1802:O5844="","",_xlfn.XLOOKUP(O1802:O5844,'参照_官位'!A:A,'参照_官位'!B:B,""))</f>
      </c>
      <c r="Q1802" s="12" t="str">
        <f t="array" ref="Q1802">IF(A1802:A5844="","",IFERROR(_xlfn.XLOOKUP(A1802:A5844,castles_state!K:K,castles_state!D:D)&amp;"主",IFERROR(_xlfn.XLOOKUP(A1802:A5844,kunishuClan!D:D,kunishuClan!B:B)&amp;"当主","")))</f>
      </c>
    </row>
    <row r="1803" ht="15.75" customHeight="1">
      <c r="A1803" s="4">
        <v>1042019</v>
      </c>
      <c r="B1803" s="12" t="str">
        <f t="array" ref="B1803">IF(A1803:A5845="","",_xlfn.XLOOKUP(A1803:A5845,'参照_武将'!A:A,'参照_武将'!B:B,"見つかりません"))</f>
      </c>
      <c r="C1803" s="4" t="s">
        <v>223</v>
      </c>
      <c r="D1803" s="4">
        <v>42</v>
      </c>
      <c r="E1803" s="12" t="str">
        <f t="array" ref="E1803">IF(D1803:D5845="","",IFERROR(_xlfn.XLOOKUP(D1803:D5845,'参照_勢力'!A:A,'参照_勢力'!B:B),IFERROR(_xlfn.XLOOKUP(F1803:F5845,kunishuClan!A:A,kunishuClan!B:B),"浪人")))</f>
      </c>
      <c r="F1803" s="4">
        <v>0</v>
      </c>
      <c r="G1803" s="4">
        <v>134</v>
      </c>
      <c r="H1803" s="12" t="str">
        <f t="array" ref="H1803">IF(G1803:G5845="","",_xlfn.XLOOKUP(G1803:G5845,castles_state!A:A,castles_state!D:D,"見つかりません"))</f>
      </c>
      <c r="I1803" s="4"/>
      <c r="J1803" s="12" t="str">
        <f t="array" ref="J1803">IF(I1803:I5845="","",_xlfn.XLOOKUP(I1803:I5845,'参照_姫'!A:A,'参照_姫'!B:B,"見つかりません"))</f>
      </c>
      <c r="K1803" s="4">
        <v>95</v>
      </c>
      <c r="L1803" s="4">
        <v>0</v>
      </c>
      <c r="M1803" s="4"/>
      <c r="N1803" s="4"/>
      <c r="O1803" s="4"/>
      <c r="P1803" s="12" t="str">
        <f t="array" ref="P1803">IF(O1803:O5845="","",_xlfn.XLOOKUP(O1803:O5845,'参照_官位'!A:A,'参照_官位'!B:B,""))</f>
      </c>
      <c r="Q1803" s="12" t="str">
        <f t="array" ref="Q1803">IF(A1803:A5845="","",IFERROR(_xlfn.XLOOKUP(A1803:A5845,castles_state!K:K,castles_state!D:D)&amp;"主",IFERROR(_xlfn.XLOOKUP(A1803:A5845,kunishuClan!D:D,kunishuClan!B:B)&amp;"当主","")))</f>
      </c>
    </row>
    <row r="1804" ht="15.75" customHeight="1">
      <c r="A1804" s="4">
        <v>1042020</v>
      </c>
      <c r="B1804" s="12" t="str">
        <f t="array" ref="B1804">IF(A1804:A5846="","",_xlfn.XLOOKUP(A1804:A5846,'参照_武将'!A:A,'参照_武将'!B:B,"見つかりません"))</f>
      </c>
      <c r="C1804" s="4" t="s">
        <v>223</v>
      </c>
      <c r="D1804" s="4">
        <v>42</v>
      </c>
      <c r="E1804" s="12" t="str">
        <f t="array" ref="E1804">IF(D1804:D5846="","",IFERROR(_xlfn.XLOOKUP(D1804:D5846,'参照_勢力'!A:A,'参照_勢力'!B:B),IFERROR(_xlfn.XLOOKUP(F1804:F5846,kunishuClan!A:A,kunishuClan!B:B),"浪人")))</f>
      </c>
      <c r="F1804" s="4">
        <v>0</v>
      </c>
      <c r="G1804" s="4">
        <v>134</v>
      </c>
      <c r="H1804" s="12" t="str">
        <f t="array" ref="H1804">IF(G1804:G5846="","",_xlfn.XLOOKUP(G1804:G5846,castles_state!A:A,castles_state!D:D,"見つかりません"))</f>
      </c>
      <c r="I1804" s="4"/>
      <c r="J1804" s="12" t="str">
        <f t="array" ref="J1804">IF(I1804:I5846="","",_xlfn.XLOOKUP(I1804:I5846,'参照_姫'!A:A,'参照_姫'!B:B,"見つかりません"))</f>
      </c>
      <c r="K1804" s="4">
        <v>95</v>
      </c>
      <c r="L1804" s="4">
        <v>0</v>
      </c>
      <c r="M1804" s="4"/>
      <c r="N1804" s="4"/>
      <c r="O1804" s="4"/>
      <c r="P1804" s="12" t="str">
        <f t="array" ref="P1804">IF(O1804:O5846="","",_xlfn.XLOOKUP(O1804:O5846,'参照_官位'!A:A,'参照_官位'!B:B,""))</f>
      </c>
      <c r="Q1804" s="12" t="str">
        <f t="array" ref="Q1804">IF(A1804:A5846="","",IFERROR(_xlfn.XLOOKUP(A1804:A5846,castles_state!K:K,castles_state!D:D)&amp;"主",IFERROR(_xlfn.XLOOKUP(A1804:A5846,kunishuClan!D:D,kunishuClan!B:B)&amp;"当主","")))</f>
      </c>
    </row>
    <row r="1805" ht="15.75" customHeight="1">
      <c r="A1805" s="4">
        <v>1042021</v>
      </c>
      <c r="B1805" s="12" t="str">
        <f t="array" ref="B1805">IF(A1805:A5847="","",_xlfn.XLOOKUP(A1805:A5847,'参照_武将'!A:A,'参照_武将'!B:B,"見つかりません"))</f>
      </c>
      <c r="C1805" s="4" t="s">
        <v>223</v>
      </c>
      <c r="D1805" s="4">
        <v>42</v>
      </c>
      <c r="E1805" s="12" t="str">
        <f t="array" ref="E1805">IF(D1805:D5847="","",IFERROR(_xlfn.XLOOKUP(D1805:D5847,'参照_勢力'!A:A,'参照_勢力'!B:B),IFERROR(_xlfn.XLOOKUP(F1805:F5847,kunishuClan!A:A,kunishuClan!B:B),"浪人")))</f>
      </c>
      <c r="F1805" s="4">
        <v>0</v>
      </c>
      <c r="G1805" s="4">
        <v>134</v>
      </c>
      <c r="H1805" s="12" t="str">
        <f t="array" ref="H1805">IF(G1805:G5847="","",_xlfn.XLOOKUP(G1805:G5847,castles_state!A:A,castles_state!D:D,"見つかりません"))</f>
      </c>
      <c r="I1805" s="4"/>
      <c r="J1805" s="12" t="str">
        <f t="array" ref="J1805">IF(I1805:I5847="","",_xlfn.XLOOKUP(I1805:I5847,'参照_姫'!A:A,'参照_姫'!B:B,"見つかりません"))</f>
      </c>
      <c r="K1805" s="4">
        <v>95</v>
      </c>
      <c r="L1805" s="4">
        <v>100</v>
      </c>
      <c r="M1805" s="4"/>
      <c r="N1805" s="4"/>
      <c r="O1805" s="4"/>
      <c r="P1805" s="12" t="str">
        <f t="array" ref="P1805">IF(O1805:O5847="","",_xlfn.XLOOKUP(O1805:O5847,'参照_官位'!A:A,'参照_官位'!B:B,""))</f>
      </c>
      <c r="Q1805" s="12" t="str">
        <f t="array" ref="Q1805">IF(A1805:A5847="","",IFERROR(_xlfn.XLOOKUP(A1805:A5847,castles_state!K:K,castles_state!D:D)&amp;"主",IFERROR(_xlfn.XLOOKUP(A1805:A5847,kunishuClan!D:D,kunishuClan!B:B)&amp;"当主","")))</f>
      </c>
    </row>
    <row r="1806" ht="15.75" customHeight="1">
      <c r="A1806" s="4">
        <v>1042022</v>
      </c>
      <c r="B1806" s="12" t="str">
        <f t="array" ref="B1806">IF(A1806:A5848="","",_xlfn.XLOOKUP(A1806:A5848,'参照_武将'!A:A,'参照_武将'!B:B,"見つかりません"))</f>
      </c>
      <c r="C1806" s="4" t="s">
        <v>223</v>
      </c>
      <c r="D1806" s="4">
        <v>42</v>
      </c>
      <c r="E1806" s="12" t="str">
        <f t="array" ref="E1806">IF(D1806:D5848="","",IFERROR(_xlfn.XLOOKUP(D1806:D5848,'参照_勢力'!A:A,'参照_勢力'!B:B),IFERROR(_xlfn.XLOOKUP(F1806:F5848,kunishuClan!A:A,kunishuClan!B:B),"浪人")))</f>
      </c>
      <c r="F1806" s="4">
        <v>0</v>
      </c>
      <c r="G1806" s="4">
        <v>134</v>
      </c>
      <c r="H1806" s="12" t="str">
        <f t="array" ref="H1806">IF(G1806:G5848="","",_xlfn.XLOOKUP(G1806:G5848,castles_state!A:A,castles_state!D:D,"見つかりません"))</f>
      </c>
      <c r="I1806" s="4"/>
      <c r="J1806" s="12" t="str">
        <f t="array" ref="J1806">IF(I1806:I5848="","",_xlfn.XLOOKUP(I1806:I5848,'参照_姫'!A:A,'参照_姫'!B:B,"見つかりません"))</f>
      </c>
      <c r="K1806" s="4">
        <v>95</v>
      </c>
      <c r="L1806" s="4">
        <v>0</v>
      </c>
      <c r="M1806" s="4"/>
      <c r="N1806" s="4"/>
      <c r="O1806" s="4"/>
      <c r="P1806" s="12" t="str">
        <f t="array" ref="P1806">IF(O1806:O5848="","",_xlfn.XLOOKUP(O1806:O5848,'参照_官位'!A:A,'参照_官位'!B:B,""))</f>
      </c>
      <c r="Q1806" s="12" t="str">
        <f t="array" ref="Q1806">IF(A1806:A5848="","",IFERROR(_xlfn.XLOOKUP(A1806:A5848,castles_state!K:K,castles_state!D:D)&amp;"主",IFERROR(_xlfn.XLOOKUP(A1806:A5848,kunishuClan!D:D,kunishuClan!B:B)&amp;"当主","")))</f>
      </c>
    </row>
    <row r="1807" ht="15.75" customHeight="1">
      <c r="A1807" s="4">
        <v>1042023</v>
      </c>
      <c r="B1807" s="12" t="str">
        <f t="array" ref="B1807">IF(A1807:A5849="","",_xlfn.XLOOKUP(A1807:A5849,'参照_武将'!A:A,'参照_武将'!B:B,"見つかりません"))</f>
      </c>
      <c r="C1807" s="4" t="s">
        <v>223</v>
      </c>
      <c r="D1807" s="4">
        <v>42</v>
      </c>
      <c r="E1807" s="12" t="str">
        <f t="array" ref="E1807">IF(D1807:D5849="","",IFERROR(_xlfn.XLOOKUP(D1807:D5849,'参照_勢力'!A:A,'参照_勢力'!B:B),IFERROR(_xlfn.XLOOKUP(F1807:F5849,kunishuClan!A:A,kunishuClan!B:B),"浪人")))</f>
      </c>
      <c r="F1807" s="4">
        <v>0</v>
      </c>
      <c r="G1807" s="4">
        <v>134</v>
      </c>
      <c r="H1807" s="12" t="str">
        <f t="array" ref="H1807">IF(G1807:G5849="","",_xlfn.XLOOKUP(G1807:G5849,castles_state!A:A,castles_state!D:D,"見つかりません"))</f>
      </c>
      <c r="I1807" s="4"/>
      <c r="J1807" s="12" t="str">
        <f t="array" ref="J1807">IF(I1807:I5849="","",_xlfn.XLOOKUP(I1807:I5849,'参照_姫'!A:A,'参照_姫'!B:B,"見つかりません"))</f>
      </c>
      <c r="K1807" s="4">
        <v>95</v>
      </c>
      <c r="L1807" s="4">
        <v>0</v>
      </c>
      <c r="M1807" s="4"/>
      <c r="N1807" s="4"/>
      <c r="O1807" s="4"/>
      <c r="P1807" s="12" t="str">
        <f t="array" ref="P1807">IF(O1807:O5849="","",_xlfn.XLOOKUP(O1807:O5849,'参照_官位'!A:A,'参照_官位'!B:B,""))</f>
      </c>
      <c r="Q1807" s="12" t="str">
        <f t="array" ref="Q1807">IF(A1807:A5849="","",IFERROR(_xlfn.XLOOKUP(A1807:A5849,castles_state!K:K,castles_state!D:D)&amp;"主",IFERROR(_xlfn.XLOOKUP(A1807:A5849,kunishuClan!D:D,kunishuClan!B:B)&amp;"当主","")))</f>
      </c>
    </row>
    <row r="1808" ht="15.75" customHeight="1">
      <c r="A1808" s="4">
        <v>1042024</v>
      </c>
      <c r="B1808" s="12" t="str">
        <f t="array" ref="B1808">IF(A1808:A5850="","",_xlfn.XLOOKUP(A1808:A5850,'参照_武将'!A:A,'参照_武将'!B:B,"見つかりません"))</f>
      </c>
      <c r="C1808" s="4" t="s">
        <v>223</v>
      </c>
      <c r="D1808" s="4">
        <v>42</v>
      </c>
      <c r="E1808" s="12" t="str">
        <f t="array" ref="E1808">IF(D1808:D5850="","",IFERROR(_xlfn.XLOOKUP(D1808:D5850,'参照_勢力'!A:A,'参照_勢力'!B:B),IFERROR(_xlfn.XLOOKUP(F1808:F5850,kunishuClan!A:A,kunishuClan!B:B),"浪人")))</f>
      </c>
      <c r="F1808" s="4">
        <v>0</v>
      </c>
      <c r="G1808" s="4">
        <v>134</v>
      </c>
      <c r="H1808" s="12" t="str">
        <f t="array" ref="H1808">IF(G1808:G5850="","",_xlfn.XLOOKUP(G1808:G5850,castles_state!A:A,castles_state!D:D,"見つかりません"))</f>
      </c>
      <c r="I1808" s="4"/>
      <c r="J1808" s="12" t="str">
        <f t="array" ref="J1808">IF(I1808:I5850="","",_xlfn.XLOOKUP(I1808:I5850,'参照_姫'!A:A,'参照_姫'!B:B,"見つかりません"))</f>
      </c>
      <c r="K1808" s="4">
        <v>85</v>
      </c>
      <c r="L1808" s="4">
        <v>0</v>
      </c>
      <c r="M1808" s="4"/>
      <c r="N1808" s="4"/>
      <c r="O1808" s="4"/>
      <c r="P1808" s="12" t="str">
        <f t="array" ref="P1808">IF(O1808:O5850="","",_xlfn.XLOOKUP(O1808:O5850,'参照_官位'!A:A,'参照_官位'!B:B,""))</f>
      </c>
      <c r="Q1808" s="12" t="str">
        <f t="array" ref="Q1808">IF(A1808:A5850="","",IFERROR(_xlfn.XLOOKUP(A1808:A5850,castles_state!K:K,castles_state!D:D)&amp;"主",IFERROR(_xlfn.XLOOKUP(A1808:A5850,kunishuClan!D:D,kunishuClan!B:B)&amp;"当主","")))</f>
      </c>
    </row>
    <row r="1809" ht="15.75" customHeight="1">
      <c r="A1809" s="4">
        <v>1042025</v>
      </c>
      <c r="B1809" s="12" t="str">
        <f t="array" ref="B1809">IF(A1809:A5851="","",_xlfn.XLOOKUP(A1809:A5851,'参照_武将'!A:A,'参照_武将'!B:B,"見つかりません"))</f>
      </c>
      <c r="C1809" s="4" t="s">
        <v>223</v>
      </c>
      <c r="D1809" s="4">
        <v>42</v>
      </c>
      <c r="E1809" s="12" t="str">
        <f t="array" ref="E1809">IF(D1809:D5851="","",IFERROR(_xlfn.XLOOKUP(D1809:D5851,'参照_勢力'!A:A,'参照_勢力'!B:B),IFERROR(_xlfn.XLOOKUP(F1809:F5851,kunishuClan!A:A,kunishuClan!B:B),"浪人")))</f>
      </c>
      <c r="F1809" s="4">
        <v>0</v>
      </c>
      <c r="G1809" s="4">
        <v>134</v>
      </c>
      <c r="H1809" s="12" t="str">
        <f t="array" ref="H1809">IF(G1809:G5851="","",_xlfn.XLOOKUP(G1809:G5851,castles_state!A:A,castles_state!D:D,"見つかりません"))</f>
      </c>
      <c r="I1809" s="4"/>
      <c r="J1809" s="12" t="str">
        <f t="array" ref="J1809">IF(I1809:I5851="","",_xlfn.XLOOKUP(I1809:I5851,'参照_姫'!A:A,'参照_姫'!B:B,"見つかりません"))</f>
      </c>
      <c r="K1809" s="4">
        <v>95</v>
      </c>
      <c r="L1809" s="4">
        <v>0</v>
      </c>
      <c r="M1809" s="4"/>
      <c r="N1809" s="4"/>
      <c r="O1809" s="4"/>
      <c r="P1809" s="12" t="str">
        <f t="array" ref="P1809">IF(O1809:O5851="","",_xlfn.XLOOKUP(O1809:O5851,'参照_官位'!A:A,'参照_官位'!B:B,""))</f>
      </c>
      <c r="Q1809" s="12" t="str">
        <f t="array" ref="Q1809">IF(A1809:A5851="","",IFERROR(_xlfn.XLOOKUP(A1809:A5851,castles_state!K:K,castles_state!D:D)&amp;"主",IFERROR(_xlfn.XLOOKUP(A1809:A5851,kunishuClan!D:D,kunishuClan!B:B)&amp;"当主","")))</f>
      </c>
    </row>
    <row r="1810" ht="15.75" customHeight="1">
      <c r="A1810" s="4">
        <v>1042026</v>
      </c>
      <c r="B1810" s="12" t="str">
        <f t="array" ref="B1810">IF(A1810:A5852="","",_xlfn.XLOOKUP(A1810:A5852,'参照_武将'!A:A,'参照_武将'!B:B,"見つかりません"))</f>
      </c>
      <c r="C1810" s="4" t="s">
        <v>223</v>
      </c>
      <c r="D1810" s="4">
        <v>42</v>
      </c>
      <c r="E1810" s="12" t="str">
        <f t="array" ref="E1810">IF(D1810:D5852="","",IFERROR(_xlfn.XLOOKUP(D1810:D5852,'参照_勢力'!A:A,'参照_勢力'!B:B),IFERROR(_xlfn.XLOOKUP(F1810:F5852,kunishuClan!A:A,kunishuClan!B:B),"浪人")))</f>
      </c>
      <c r="F1810" s="4">
        <v>0</v>
      </c>
      <c r="G1810" s="4">
        <v>134</v>
      </c>
      <c r="H1810" s="12" t="str">
        <f t="array" ref="H1810">IF(G1810:G5852="","",_xlfn.XLOOKUP(G1810:G5852,castles_state!A:A,castles_state!D:D,"見つかりません"))</f>
      </c>
      <c r="I1810" s="4"/>
      <c r="J1810" s="12" t="str">
        <f t="array" ref="J1810">IF(I1810:I5852="","",_xlfn.XLOOKUP(I1810:I5852,'参照_姫'!A:A,'参照_姫'!B:B,"見つかりません"))</f>
      </c>
      <c r="K1810" s="4">
        <v>95</v>
      </c>
      <c r="L1810" s="4">
        <v>0</v>
      </c>
      <c r="M1810" s="4"/>
      <c r="N1810" s="4"/>
      <c r="O1810" s="4"/>
      <c r="P1810" s="12" t="str">
        <f t="array" ref="P1810">IF(O1810:O5852="","",_xlfn.XLOOKUP(O1810:O5852,'参照_官位'!A:A,'参照_官位'!B:B,""))</f>
      </c>
      <c r="Q1810" s="12" t="str">
        <f t="array" ref="Q1810">IF(A1810:A5852="","",IFERROR(_xlfn.XLOOKUP(A1810:A5852,castles_state!K:K,castles_state!D:D)&amp;"主",IFERROR(_xlfn.XLOOKUP(A1810:A5852,kunishuClan!D:D,kunishuClan!B:B)&amp;"当主","")))</f>
      </c>
    </row>
    <row r="1811" ht="15.75" customHeight="1">
      <c r="A1811" s="4">
        <v>1042027</v>
      </c>
      <c r="B1811" s="12" t="str">
        <f t="array" ref="B1811">IF(A1811:A5853="","",_xlfn.XLOOKUP(A1811:A5853,'参照_武将'!A:A,'参照_武将'!B:B,"見つかりません"))</f>
      </c>
      <c r="C1811" s="4" t="s">
        <v>223</v>
      </c>
      <c r="D1811" s="4">
        <v>42</v>
      </c>
      <c r="E1811" s="12" t="str">
        <f t="array" ref="E1811">IF(D1811:D5853="","",IFERROR(_xlfn.XLOOKUP(D1811:D5853,'参照_勢力'!A:A,'参照_勢力'!B:B),IFERROR(_xlfn.XLOOKUP(F1811:F5853,kunishuClan!A:A,kunishuClan!B:B),"浪人")))</f>
      </c>
      <c r="F1811" s="4">
        <v>0</v>
      </c>
      <c r="G1811" s="4">
        <v>133</v>
      </c>
      <c r="H1811" s="12" t="str">
        <f t="array" ref="H1811">IF(G1811:G5853="","",_xlfn.XLOOKUP(G1811:G5853,castles_state!A:A,castles_state!D:D,"見つかりません"))</f>
      </c>
      <c r="I1811" s="4"/>
      <c r="J1811" s="12" t="str">
        <f t="array" ref="J1811">IF(I1811:I5853="","",_xlfn.XLOOKUP(I1811:I5853,'参照_姫'!A:A,'参照_姫'!B:B,"見つかりません"))</f>
      </c>
      <c r="K1811" s="4">
        <v>95</v>
      </c>
      <c r="L1811" s="4">
        <v>0</v>
      </c>
      <c r="M1811" s="4"/>
      <c r="N1811" s="4"/>
      <c r="O1811" s="4"/>
      <c r="P1811" s="12" t="str">
        <f t="array" ref="P1811">IF(O1811:O5853="","",_xlfn.XLOOKUP(O1811:O5853,'参照_官位'!A:A,'参照_官位'!B:B,""))</f>
      </c>
      <c r="Q1811" s="12" t="str">
        <f t="array" ref="Q1811">IF(A1811:A5853="","",IFERROR(_xlfn.XLOOKUP(A1811:A5853,castles_state!K:K,castles_state!D:D)&amp;"主",IFERROR(_xlfn.XLOOKUP(A1811:A5853,kunishuClan!D:D,kunishuClan!B:B)&amp;"当主","")))</f>
      </c>
    </row>
    <row r="1812" ht="15.75" customHeight="1">
      <c r="A1812" s="4">
        <v>1042028</v>
      </c>
      <c r="B1812" s="12" t="str">
        <f t="array" ref="B1812">IF(A1812:A5854="","",_xlfn.XLOOKUP(A1812:A5854,'参照_武将'!A:A,'参照_武将'!B:B,"見つかりません"))</f>
      </c>
      <c r="C1812" s="4" t="s">
        <v>223</v>
      </c>
      <c r="D1812" s="4">
        <v>42</v>
      </c>
      <c r="E1812" s="12" t="str">
        <f t="array" ref="E1812">IF(D1812:D5854="","",IFERROR(_xlfn.XLOOKUP(D1812:D5854,'参照_勢力'!A:A,'参照_勢力'!B:B),IFERROR(_xlfn.XLOOKUP(F1812:F5854,kunishuClan!A:A,kunishuClan!B:B),"浪人")))</f>
      </c>
      <c r="F1812" s="4">
        <v>0</v>
      </c>
      <c r="G1812" s="4">
        <v>133</v>
      </c>
      <c r="H1812" s="12" t="str">
        <f t="array" ref="H1812">IF(G1812:G5854="","",_xlfn.XLOOKUP(G1812:G5854,castles_state!A:A,castles_state!D:D,"見つかりません"))</f>
      </c>
      <c r="I1812" s="4"/>
      <c r="J1812" s="12" t="str">
        <f t="array" ref="J1812">IF(I1812:I5854="","",_xlfn.XLOOKUP(I1812:I5854,'参照_姫'!A:A,'参照_姫'!B:B,"見つかりません"))</f>
      </c>
      <c r="K1812" s="4">
        <v>95</v>
      </c>
      <c r="L1812" s="4">
        <v>100</v>
      </c>
      <c r="M1812" s="4"/>
      <c r="N1812" s="4"/>
      <c r="O1812" s="4"/>
      <c r="P1812" s="12" t="str">
        <f t="array" ref="P1812">IF(O1812:O5854="","",_xlfn.XLOOKUP(O1812:O5854,'参照_官位'!A:A,'参照_官位'!B:B,""))</f>
      </c>
      <c r="Q1812" s="12" t="str">
        <f t="array" ref="Q1812">IF(A1812:A5854="","",IFERROR(_xlfn.XLOOKUP(A1812:A5854,castles_state!K:K,castles_state!D:D)&amp;"主",IFERROR(_xlfn.XLOOKUP(A1812:A5854,kunishuClan!D:D,kunishuClan!B:B)&amp;"当主","")))</f>
      </c>
    </row>
    <row r="1813" ht="15.75" customHeight="1">
      <c r="A1813" s="4">
        <v>1042029</v>
      </c>
      <c r="B1813" s="12" t="str">
        <f t="array" ref="B1813">IF(A1813:A5855="","",_xlfn.XLOOKUP(A1813:A5855,'参照_武将'!A:A,'参照_武将'!B:B,"見つかりません"))</f>
      </c>
      <c r="C1813" s="4" t="s">
        <v>223</v>
      </c>
      <c r="D1813" s="4">
        <v>42</v>
      </c>
      <c r="E1813" s="12" t="str">
        <f t="array" ref="E1813">IF(D1813:D5855="","",IFERROR(_xlfn.XLOOKUP(D1813:D5855,'参照_勢力'!A:A,'参照_勢力'!B:B),IFERROR(_xlfn.XLOOKUP(F1813:F5855,kunishuClan!A:A,kunishuClan!B:B),"浪人")))</f>
      </c>
      <c r="F1813" s="4">
        <v>0</v>
      </c>
      <c r="G1813" s="4">
        <v>133</v>
      </c>
      <c r="H1813" s="12" t="str">
        <f t="array" ref="H1813">IF(G1813:G5855="","",_xlfn.XLOOKUP(G1813:G5855,castles_state!A:A,castles_state!D:D,"見つかりません"))</f>
      </c>
      <c r="I1813" s="4"/>
      <c r="J1813" s="12" t="str">
        <f t="array" ref="J1813">IF(I1813:I5855="","",_xlfn.XLOOKUP(I1813:I5855,'参照_姫'!A:A,'参照_姫'!B:B,"見つかりません"))</f>
      </c>
      <c r="K1813" s="4">
        <v>95</v>
      </c>
      <c r="L1813" s="4">
        <v>0</v>
      </c>
      <c r="M1813" s="4"/>
      <c r="N1813" s="4"/>
      <c r="O1813" s="4"/>
      <c r="P1813" s="12" t="str">
        <f t="array" ref="P1813">IF(O1813:O5855="","",_xlfn.XLOOKUP(O1813:O5855,'参照_官位'!A:A,'参照_官位'!B:B,""))</f>
      </c>
      <c r="Q1813" s="12" t="str">
        <f t="array" ref="Q1813">IF(A1813:A5855="","",IFERROR(_xlfn.XLOOKUP(A1813:A5855,castles_state!K:K,castles_state!D:D)&amp;"主",IFERROR(_xlfn.XLOOKUP(A1813:A5855,kunishuClan!D:D,kunishuClan!B:B)&amp;"当主","")))</f>
      </c>
    </row>
    <row r="1814" ht="15.75" customHeight="1">
      <c r="A1814" s="4">
        <v>1042030</v>
      </c>
      <c r="B1814" s="12" t="str">
        <f t="array" ref="B1814">IF(A1814:A5856="","",_xlfn.XLOOKUP(A1814:A5856,'参照_武将'!A:A,'参照_武将'!B:B,"見つかりません"))</f>
      </c>
      <c r="C1814" s="4" t="s">
        <v>223</v>
      </c>
      <c r="D1814" s="4">
        <v>42</v>
      </c>
      <c r="E1814" s="12" t="str">
        <f t="array" ref="E1814">IF(D1814:D5856="","",IFERROR(_xlfn.XLOOKUP(D1814:D5856,'参照_勢力'!A:A,'参照_勢力'!B:B),IFERROR(_xlfn.XLOOKUP(F1814:F5856,kunishuClan!A:A,kunishuClan!B:B),"浪人")))</f>
      </c>
      <c r="F1814" s="4">
        <v>0</v>
      </c>
      <c r="G1814" s="4">
        <v>134</v>
      </c>
      <c r="H1814" s="12" t="str">
        <f t="array" ref="H1814">IF(G1814:G5856="","",_xlfn.XLOOKUP(G1814:G5856,castles_state!A:A,castles_state!D:D,"見つかりません"))</f>
      </c>
      <c r="I1814" s="4"/>
      <c r="J1814" s="12" t="str">
        <f t="array" ref="J1814">IF(I1814:I5856="","",_xlfn.XLOOKUP(I1814:I5856,'参照_姫'!A:A,'参照_姫'!B:B,"見つかりません"))</f>
      </c>
      <c r="K1814" s="4">
        <v>85</v>
      </c>
      <c r="L1814" s="4">
        <v>0</v>
      </c>
      <c r="M1814" s="4"/>
      <c r="N1814" s="4"/>
      <c r="O1814" s="4"/>
      <c r="P1814" s="12" t="str">
        <f t="array" ref="P1814">IF(O1814:O5856="","",_xlfn.XLOOKUP(O1814:O5856,'参照_官位'!A:A,'参照_官位'!B:B,""))</f>
      </c>
      <c r="Q1814" s="12" t="str">
        <f t="array" ref="Q1814">IF(A1814:A5856="","",IFERROR(_xlfn.XLOOKUP(A1814:A5856,castles_state!K:K,castles_state!D:D)&amp;"主",IFERROR(_xlfn.XLOOKUP(A1814:A5856,kunishuClan!D:D,kunishuClan!B:B)&amp;"当主","")))</f>
      </c>
    </row>
    <row r="1815" ht="15.75" customHeight="1">
      <c r="A1815" s="4">
        <v>1042031</v>
      </c>
      <c r="B1815" s="12" t="str">
        <f t="array" ref="B1815">IF(A1815:A5857="","",_xlfn.XLOOKUP(A1815:A5857,'参照_武将'!A:A,'参照_武将'!B:B,"見つかりません"))</f>
      </c>
      <c r="C1815" s="4" t="s">
        <v>223</v>
      </c>
      <c r="D1815" s="4">
        <v>42</v>
      </c>
      <c r="E1815" s="12" t="str">
        <f t="array" ref="E1815">IF(D1815:D5857="","",IFERROR(_xlfn.XLOOKUP(D1815:D5857,'参照_勢力'!A:A,'参照_勢力'!B:B),IFERROR(_xlfn.XLOOKUP(F1815:F5857,kunishuClan!A:A,kunishuClan!B:B),"浪人")))</f>
      </c>
      <c r="F1815" s="4">
        <v>0</v>
      </c>
      <c r="G1815" s="4">
        <v>134</v>
      </c>
      <c r="H1815" s="12" t="str">
        <f t="array" ref="H1815">IF(G1815:G5857="","",_xlfn.XLOOKUP(G1815:G5857,castles_state!A:A,castles_state!D:D,"見つかりません"))</f>
      </c>
      <c r="I1815" s="4"/>
      <c r="J1815" s="12" t="str">
        <f t="array" ref="J1815">IF(I1815:I5857="","",_xlfn.XLOOKUP(I1815:I5857,'参照_姫'!A:A,'参照_姫'!B:B,"見つかりません"))</f>
      </c>
      <c r="K1815" s="4">
        <v>90</v>
      </c>
      <c r="L1815" s="4">
        <v>0</v>
      </c>
      <c r="M1815" s="4"/>
      <c r="N1815" s="4"/>
      <c r="O1815" s="4"/>
      <c r="P1815" s="12" t="str">
        <f t="array" ref="P1815">IF(O1815:O5857="","",_xlfn.XLOOKUP(O1815:O5857,'参照_官位'!A:A,'参照_官位'!B:B,""))</f>
      </c>
      <c r="Q1815" s="12" t="str">
        <f t="array" ref="Q1815">IF(A1815:A5857="","",IFERROR(_xlfn.XLOOKUP(A1815:A5857,castles_state!K:K,castles_state!D:D)&amp;"主",IFERROR(_xlfn.XLOOKUP(A1815:A5857,kunishuClan!D:D,kunishuClan!B:B)&amp;"当主","")))</f>
      </c>
    </row>
    <row r="1816" ht="15.75" customHeight="1">
      <c r="A1816" s="4">
        <v>1042032</v>
      </c>
      <c r="B1816" s="12" t="str">
        <f t="array" ref="B1816">IF(A1816:A5858="","",_xlfn.XLOOKUP(A1816:A5858,'参照_武将'!A:A,'参照_武将'!B:B,"見つかりません"))</f>
      </c>
      <c r="C1816" s="4" t="s">
        <v>223</v>
      </c>
      <c r="D1816" s="4">
        <v>42</v>
      </c>
      <c r="E1816" s="12" t="str">
        <f t="array" ref="E1816">IF(D1816:D5858="","",IFERROR(_xlfn.XLOOKUP(D1816:D5858,'参照_勢力'!A:A,'参照_勢力'!B:B),IFERROR(_xlfn.XLOOKUP(F1816:F5858,kunishuClan!A:A,kunishuClan!B:B),"浪人")))</f>
      </c>
      <c r="F1816" s="4">
        <v>0</v>
      </c>
      <c r="G1816" s="4">
        <v>134</v>
      </c>
      <c r="H1816" s="12" t="str">
        <f t="array" ref="H1816">IF(G1816:G5858="","",_xlfn.XLOOKUP(G1816:G5858,castles_state!A:A,castles_state!D:D,"見つかりません"))</f>
      </c>
      <c r="I1816" s="4"/>
      <c r="J1816" s="12" t="str">
        <f t="array" ref="J1816">IF(I1816:I5858="","",_xlfn.XLOOKUP(I1816:I5858,'参照_姫'!A:A,'参照_姫'!B:B,"見つかりません"))</f>
      </c>
      <c r="K1816" s="4">
        <v>95</v>
      </c>
      <c r="L1816" s="4">
        <v>0</v>
      </c>
      <c r="M1816" s="4"/>
      <c r="N1816" s="4"/>
      <c r="O1816" s="4"/>
      <c r="P1816" s="12" t="str">
        <f t="array" ref="P1816">IF(O1816:O5858="","",_xlfn.XLOOKUP(O1816:O5858,'参照_官位'!A:A,'参照_官位'!B:B,""))</f>
      </c>
      <c r="Q1816" s="12" t="str">
        <f t="array" ref="Q1816">IF(A1816:A5858="","",IFERROR(_xlfn.XLOOKUP(A1816:A5858,castles_state!K:K,castles_state!D:D)&amp;"主",IFERROR(_xlfn.XLOOKUP(A1816:A5858,kunishuClan!D:D,kunishuClan!B:B)&amp;"当主","")))</f>
      </c>
    </row>
    <row r="1817" ht="15.75" customHeight="1">
      <c r="A1817" s="4">
        <v>1042033</v>
      </c>
      <c r="B1817" s="12" t="str">
        <f t="array" ref="B1817">IF(A1817:A5859="","",_xlfn.XLOOKUP(A1817:A5859,'参照_武将'!A:A,'参照_武将'!B:B,"見つかりません"))</f>
      </c>
      <c r="C1817" s="4" t="s">
        <v>223</v>
      </c>
      <c r="D1817" s="4">
        <v>42</v>
      </c>
      <c r="E1817" s="12" t="str">
        <f t="array" ref="E1817">IF(D1817:D5859="","",IFERROR(_xlfn.XLOOKUP(D1817:D5859,'参照_勢力'!A:A,'参照_勢力'!B:B),IFERROR(_xlfn.XLOOKUP(F1817:F5859,kunishuClan!A:A,kunishuClan!B:B),"浪人")))</f>
      </c>
      <c r="F1817" s="4">
        <v>0</v>
      </c>
      <c r="G1817" s="4">
        <v>134</v>
      </c>
      <c r="H1817" s="12" t="str">
        <f t="array" ref="H1817">IF(G1817:G5859="","",_xlfn.XLOOKUP(G1817:G5859,castles_state!A:A,castles_state!D:D,"見つかりません"))</f>
      </c>
      <c r="I1817" s="4"/>
      <c r="J1817" s="12" t="str">
        <f t="array" ref="J1817">IF(I1817:I5859="","",_xlfn.XLOOKUP(I1817:I5859,'参照_姫'!A:A,'参照_姫'!B:B,"見つかりません"))</f>
      </c>
      <c r="K1817" s="4">
        <v>95</v>
      </c>
      <c r="L1817" s="4">
        <v>0</v>
      </c>
      <c r="M1817" s="4" t="b">
        <v>1</v>
      </c>
      <c r="N1817" s="4"/>
      <c r="O1817" s="4"/>
      <c r="P1817" s="12" t="str">
        <f t="array" ref="P1817">IF(O1817:O5859="","",_xlfn.XLOOKUP(O1817:O5859,'参照_官位'!A:A,'参照_官位'!B:B,""))</f>
      </c>
      <c r="Q1817" s="12" t="str">
        <f t="array" ref="Q1817">IF(A1817:A5859="","",IFERROR(_xlfn.XLOOKUP(A1817:A5859,castles_state!K:K,castles_state!D:D)&amp;"主",IFERROR(_xlfn.XLOOKUP(A1817:A5859,kunishuClan!D:D,kunishuClan!B:B)&amp;"当主","")))</f>
      </c>
    </row>
    <row r="1818" ht="15.75" customHeight="1">
      <c r="A1818" s="4">
        <v>1042034</v>
      </c>
      <c r="B1818" s="12" t="str">
        <f t="array" ref="B1818">IF(A1818:A5860="","",_xlfn.XLOOKUP(A1818:A5860,'参照_武将'!A:A,'参照_武将'!B:B,"見つかりません"))</f>
      </c>
      <c r="C1818" s="4" t="s">
        <v>223</v>
      </c>
      <c r="D1818" s="4">
        <v>42</v>
      </c>
      <c r="E1818" s="12" t="str">
        <f t="array" ref="E1818">IF(D1818:D5860="","",IFERROR(_xlfn.XLOOKUP(D1818:D5860,'参照_勢力'!A:A,'参照_勢力'!B:B),IFERROR(_xlfn.XLOOKUP(F1818:F5860,kunishuClan!A:A,kunishuClan!B:B),"浪人")))</f>
      </c>
      <c r="F1818" s="4">
        <v>0</v>
      </c>
      <c r="G1818" s="4">
        <v>134</v>
      </c>
      <c r="H1818" s="12" t="str">
        <f t="array" ref="H1818">IF(G1818:G5860="","",_xlfn.XLOOKUP(G1818:G5860,castles_state!A:A,castles_state!D:D,"見つかりません"))</f>
      </c>
      <c r="I1818" s="4"/>
      <c r="J1818" s="12" t="str">
        <f t="array" ref="J1818">IF(I1818:I5860="","",_xlfn.XLOOKUP(I1818:I5860,'参照_姫'!A:A,'参照_姫'!B:B,"見つかりません"))</f>
      </c>
      <c r="K1818" s="4">
        <v>95</v>
      </c>
      <c r="L1818" s="4">
        <v>0</v>
      </c>
      <c r="M1818" s="4"/>
      <c r="N1818" s="4"/>
      <c r="O1818" s="4"/>
      <c r="P1818" s="12" t="str">
        <f t="array" ref="P1818">IF(O1818:O5860="","",_xlfn.XLOOKUP(O1818:O5860,'参照_官位'!A:A,'参照_官位'!B:B,""))</f>
      </c>
      <c r="Q1818" s="12" t="str">
        <f t="array" ref="Q1818">IF(A1818:A5860="","",IFERROR(_xlfn.XLOOKUP(A1818:A5860,castles_state!K:K,castles_state!D:D)&amp;"主",IFERROR(_xlfn.XLOOKUP(A1818:A5860,kunishuClan!D:D,kunishuClan!B:B)&amp;"当主","")))</f>
      </c>
    </row>
    <row r="1819" ht="15.75" customHeight="1">
      <c r="A1819" s="4">
        <v>1042035</v>
      </c>
      <c r="B1819" s="12" t="str">
        <f t="array" ref="B1819">IF(A1819:A5861="","",_xlfn.XLOOKUP(A1819:A5861,'参照_武将'!A:A,'参照_武将'!B:B,"見つかりません"))</f>
      </c>
      <c r="C1819" s="4" t="s">
        <v>223</v>
      </c>
      <c r="D1819" s="4">
        <v>42</v>
      </c>
      <c r="E1819" s="12" t="str">
        <f t="array" ref="E1819">IF(D1819:D5861="","",IFERROR(_xlfn.XLOOKUP(D1819:D5861,'参照_勢力'!A:A,'参照_勢力'!B:B),IFERROR(_xlfn.XLOOKUP(F1819:F5861,kunishuClan!A:A,kunishuClan!B:B),"浪人")))</f>
      </c>
      <c r="F1819" s="4">
        <v>0</v>
      </c>
      <c r="G1819" s="4">
        <v>134</v>
      </c>
      <c r="H1819" s="12" t="str">
        <f t="array" ref="H1819">IF(G1819:G5861="","",_xlfn.XLOOKUP(G1819:G5861,castles_state!A:A,castles_state!D:D,"見つかりません"))</f>
      </c>
      <c r="I1819" s="4"/>
      <c r="J1819" s="12" t="str">
        <f t="array" ref="J1819">IF(I1819:I5861="","",_xlfn.XLOOKUP(I1819:I5861,'参照_姫'!A:A,'参照_姫'!B:B,"見つかりません"))</f>
      </c>
      <c r="K1819" s="4">
        <v>95</v>
      </c>
      <c r="L1819" s="4">
        <v>0</v>
      </c>
      <c r="M1819" s="4"/>
      <c r="N1819" s="4"/>
      <c r="O1819" s="4"/>
      <c r="P1819" s="12" t="str">
        <f t="array" ref="P1819">IF(O1819:O5861="","",_xlfn.XLOOKUP(O1819:O5861,'参照_官位'!A:A,'参照_官位'!B:B,""))</f>
      </c>
      <c r="Q1819" s="12" t="str">
        <f t="array" ref="Q1819">IF(A1819:A5861="","",IFERROR(_xlfn.XLOOKUP(A1819:A5861,castles_state!K:K,castles_state!D:D)&amp;"主",IFERROR(_xlfn.XLOOKUP(A1819:A5861,kunishuClan!D:D,kunishuClan!B:B)&amp;"当主","")))</f>
      </c>
    </row>
    <row r="1820" ht="15.75" customHeight="1">
      <c r="A1820" s="4">
        <v>1042036</v>
      </c>
      <c r="B1820" s="12" t="str">
        <f t="array" ref="B1820">IF(A1820:A5862="","",_xlfn.XLOOKUP(A1820:A5862,'参照_武将'!A:A,'参照_武将'!B:B,"見つかりません"))</f>
      </c>
      <c r="C1820" s="4" t="s">
        <v>223</v>
      </c>
      <c r="D1820" s="4">
        <v>42</v>
      </c>
      <c r="E1820" s="12" t="str">
        <f t="array" ref="E1820">IF(D1820:D5862="","",IFERROR(_xlfn.XLOOKUP(D1820:D5862,'参照_勢力'!A:A,'参照_勢力'!B:B),IFERROR(_xlfn.XLOOKUP(F1820:F5862,kunishuClan!A:A,kunishuClan!B:B),"浪人")))</f>
      </c>
      <c r="F1820" s="4">
        <v>0</v>
      </c>
      <c r="G1820" s="4">
        <v>134</v>
      </c>
      <c r="H1820" s="12" t="str">
        <f t="array" ref="H1820">IF(G1820:G5862="","",_xlfn.XLOOKUP(G1820:G5862,castles_state!A:A,castles_state!D:D,"見つかりません"))</f>
      </c>
      <c r="I1820" s="4"/>
      <c r="J1820" s="12" t="str">
        <f t="array" ref="J1820">IF(I1820:I5862="","",_xlfn.XLOOKUP(I1820:I5862,'参照_姫'!A:A,'参照_姫'!B:B,"見つかりません"))</f>
      </c>
      <c r="K1820" s="4">
        <v>95</v>
      </c>
      <c r="L1820" s="4">
        <v>0</v>
      </c>
      <c r="M1820" s="4"/>
      <c r="N1820" s="4"/>
      <c r="O1820" s="4"/>
      <c r="P1820" s="12" t="str">
        <f t="array" ref="P1820">IF(O1820:O5862="","",_xlfn.XLOOKUP(O1820:O5862,'参照_官位'!A:A,'参照_官位'!B:B,""))</f>
      </c>
      <c r="Q1820" s="12" t="str">
        <f t="array" ref="Q1820">IF(A1820:A5862="","",IFERROR(_xlfn.XLOOKUP(A1820:A5862,castles_state!K:K,castles_state!D:D)&amp;"主",IFERROR(_xlfn.XLOOKUP(A1820:A5862,kunishuClan!D:D,kunishuClan!B:B)&amp;"当主","")))</f>
      </c>
    </row>
    <row r="1821" ht="15.75" customHeight="1">
      <c r="A1821" s="4">
        <v>1042037</v>
      </c>
      <c r="B1821" s="12" t="str">
        <f t="array" ref="B1821">IF(A1821:A5863="","",_xlfn.XLOOKUP(A1821:A5863,'参照_武将'!A:A,'参照_武将'!B:B,"見つかりません"))</f>
      </c>
      <c r="C1821" s="4" t="s">
        <v>223</v>
      </c>
      <c r="D1821" s="4">
        <v>42</v>
      </c>
      <c r="E1821" s="12" t="str">
        <f t="array" ref="E1821">IF(D1821:D5863="","",IFERROR(_xlfn.XLOOKUP(D1821:D5863,'参照_勢力'!A:A,'参照_勢力'!B:B),IFERROR(_xlfn.XLOOKUP(F1821:F5863,kunishuClan!A:A,kunishuClan!B:B),"浪人")))</f>
      </c>
      <c r="F1821" s="4">
        <v>0</v>
      </c>
      <c r="G1821" s="4">
        <v>134</v>
      </c>
      <c r="H1821" s="12" t="str">
        <f t="array" ref="H1821">IF(G1821:G5863="","",_xlfn.XLOOKUP(G1821:G5863,castles_state!A:A,castles_state!D:D,"見つかりません"))</f>
      </c>
      <c r="I1821" s="4"/>
      <c r="J1821" s="12" t="str">
        <f t="array" ref="J1821">IF(I1821:I5863="","",_xlfn.XLOOKUP(I1821:I5863,'参照_姫'!A:A,'参照_姫'!B:B,"見つかりません"))</f>
      </c>
      <c r="K1821" s="4">
        <v>95</v>
      </c>
      <c r="L1821" s="4">
        <v>0</v>
      </c>
      <c r="M1821" s="4"/>
      <c r="N1821" s="4"/>
      <c r="O1821" s="4"/>
      <c r="P1821" s="12" t="str">
        <f t="array" ref="P1821">IF(O1821:O5863="","",_xlfn.XLOOKUP(O1821:O5863,'参照_官位'!A:A,'参照_官位'!B:B,""))</f>
      </c>
      <c r="Q1821" s="12" t="str">
        <f t="array" ref="Q1821">IF(A1821:A5863="","",IFERROR(_xlfn.XLOOKUP(A1821:A5863,castles_state!K:K,castles_state!D:D)&amp;"主",IFERROR(_xlfn.XLOOKUP(A1821:A5863,kunishuClan!D:D,kunishuClan!B:B)&amp;"当主","")))</f>
      </c>
    </row>
    <row r="1822" ht="15.75" customHeight="1">
      <c r="A1822" s="4">
        <v>1042038</v>
      </c>
      <c r="B1822" s="12" t="str">
        <f t="array" ref="B1822">IF(A1822:A5864="","",_xlfn.XLOOKUP(A1822:A5864,'参照_武将'!A:A,'参照_武将'!B:B,"見つかりません"))</f>
      </c>
      <c r="C1822" s="4" t="s">
        <v>223</v>
      </c>
      <c r="D1822" s="4">
        <v>42</v>
      </c>
      <c r="E1822" s="12" t="str">
        <f t="array" ref="E1822">IF(D1822:D5864="","",IFERROR(_xlfn.XLOOKUP(D1822:D5864,'参照_勢力'!A:A,'参照_勢力'!B:B),IFERROR(_xlfn.XLOOKUP(F1822:F5864,kunishuClan!A:A,kunishuClan!B:B),"浪人")))</f>
      </c>
      <c r="F1822" s="4">
        <v>0</v>
      </c>
      <c r="G1822" s="4">
        <v>134</v>
      </c>
      <c r="H1822" s="12" t="str">
        <f t="array" ref="H1822">IF(G1822:G5864="","",_xlfn.XLOOKUP(G1822:G5864,castles_state!A:A,castles_state!D:D,"見つかりません"))</f>
      </c>
      <c r="I1822" s="4"/>
      <c r="J1822" s="12" t="str">
        <f t="array" ref="J1822">IF(I1822:I5864="","",_xlfn.XLOOKUP(I1822:I5864,'参照_姫'!A:A,'参照_姫'!B:B,"見つかりません"))</f>
      </c>
      <c r="K1822" s="4">
        <v>95</v>
      </c>
      <c r="L1822" s="4">
        <v>0</v>
      </c>
      <c r="M1822" s="4"/>
      <c r="N1822" s="4"/>
      <c r="O1822" s="4"/>
      <c r="P1822" s="12" t="str">
        <f t="array" ref="P1822">IF(O1822:O5864="","",_xlfn.XLOOKUP(O1822:O5864,'参照_官位'!A:A,'参照_官位'!B:B,""))</f>
      </c>
      <c r="Q1822" s="12" t="str">
        <f t="array" ref="Q1822">IF(A1822:A5864="","",IFERROR(_xlfn.XLOOKUP(A1822:A5864,castles_state!K:K,castles_state!D:D)&amp;"主",IFERROR(_xlfn.XLOOKUP(A1822:A5864,kunishuClan!D:D,kunishuClan!B:B)&amp;"当主","")))</f>
      </c>
    </row>
    <row r="1823" ht="15.75" customHeight="1">
      <c r="A1823" s="4">
        <v>1042039</v>
      </c>
      <c r="B1823" s="12" t="str">
        <f t="array" ref="B1823">IF(A1823:A5865="","",_xlfn.XLOOKUP(A1823:A5865,'参照_武将'!A:A,'参照_武将'!B:B,"見つかりません"))</f>
      </c>
      <c r="C1823" s="4" t="s">
        <v>223</v>
      </c>
      <c r="D1823" s="4">
        <v>42</v>
      </c>
      <c r="E1823" s="12" t="str">
        <f t="array" ref="E1823">IF(D1823:D5865="","",IFERROR(_xlfn.XLOOKUP(D1823:D5865,'参照_勢力'!A:A,'参照_勢力'!B:B),IFERROR(_xlfn.XLOOKUP(F1823:F5865,kunishuClan!A:A,kunishuClan!B:B),"浪人")))</f>
      </c>
      <c r="F1823" s="4">
        <v>0</v>
      </c>
      <c r="G1823" s="4">
        <v>134</v>
      </c>
      <c r="H1823" s="12" t="str">
        <f t="array" ref="H1823">IF(G1823:G5865="","",_xlfn.XLOOKUP(G1823:G5865,castles_state!A:A,castles_state!D:D,"見つかりません"))</f>
      </c>
      <c r="I1823" s="4"/>
      <c r="J1823" s="12" t="str">
        <f t="array" ref="J1823">IF(I1823:I5865="","",_xlfn.XLOOKUP(I1823:I5865,'参照_姫'!A:A,'参照_姫'!B:B,"見つかりません"))</f>
      </c>
      <c r="K1823" s="4">
        <v>95</v>
      </c>
      <c r="L1823" s="4">
        <v>0</v>
      </c>
      <c r="M1823" s="4"/>
      <c r="N1823" s="4"/>
      <c r="O1823" s="4"/>
      <c r="P1823" s="12" t="str">
        <f t="array" ref="P1823">IF(O1823:O5865="","",_xlfn.XLOOKUP(O1823:O5865,'参照_官位'!A:A,'参照_官位'!B:B,""))</f>
      </c>
      <c r="Q1823" s="12" t="str">
        <f t="array" ref="Q1823">IF(A1823:A5865="","",IFERROR(_xlfn.XLOOKUP(A1823:A5865,castles_state!K:K,castles_state!D:D)&amp;"主",IFERROR(_xlfn.XLOOKUP(A1823:A5865,kunishuClan!D:D,kunishuClan!B:B)&amp;"当主","")))</f>
      </c>
    </row>
    <row r="1824" ht="15.75" customHeight="1">
      <c r="A1824" s="4">
        <v>1042040</v>
      </c>
      <c r="B1824" s="12" t="str">
        <f t="array" ref="B1824">IF(A1824:A5866="","",_xlfn.XLOOKUP(A1824:A5866,'参照_武将'!A:A,'参照_武将'!B:B,"見つかりません"))</f>
      </c>
      <c r="C1824" s="4" t="s">
        <v>223</v>
      </c>
      <c r="D1824" s="4">
        <v>42</v>
      </c>
      <c r="E1824" s="12" t="str">
        <f t="array" ref="E1824">IF(D1824:D5866="","",IFERROR(_xlfn.XLOOKUP(D1824:D5866,'参照_勢力'!A:A,'参照_勢力'!B:B),IFERROR(_xlfn.XLOOKUP(F1824:F5866,kunishuClan!A:A,kunishuClan!B:B),"浪人")))</f>
      </c>
      <c r="F1824" s="4">
        <v>0</v>
      </c>
      <c r="G1824" s="4">
        <v>133</v>
      </c>
      <c r="H1824" s="12" t="str">
        <f t="array" ref="H1824">IF(G1824:G5866="","",_xlfn.XLOOKUP(G1824:G5866,castles_state!A:A,castles_state!D:D,"見つかりません"))</f>
      </c>
      <c r="I1824" s="4"/>
      <c r="J1824" s="12" t="str">
        <f t="array" ref="J1824">IF(I1824:I5866="","",_xlfn.XLOOKUP(I1824:I5866,'参照_姫'!A:A,'参照_姫'!B:B,"見つかりません"))</f>
      </c>
      <c r="K1824" s="4">
        <v>95</v>
      </c>
      <c r="L1824" s="4">
        <v>100</v>
      </c>
      <c r="M1824" s="4"/>
      <c r="N1824" s="4"/>
      <c r="O1824" s="4"/>
      <c r="P1824" s="12" t="str">
        <f t="array" ref="P1824">IF(O1824:O5866="","",_xlfn.XLOOKUP(O1824:O5866,'参照_官位'!A:A,'参照_官位'!B:B,""))</f>
      </c>
      <c r="Q1824" s="12" t="str">
        <f t="array" ref="Q1824">IF(A1824:A5866="","",IFERROR(_xlfn.XLOOKUP(A1824:A5866,castles_state!K:K,castles_state!D:D)&amp;"主",IFERROR(_xlfn.XLOOKUP(A1824:A5866,kunishuClan!D:D,kunishuClan!B:B)&amp;"当主","")))</f>
      </c>
    </row>
    <row r="1825" ht="15.75" customHeight="1">
      <c r="A1825" s="4">
        <v>1042041</v>
      </c>
      <c r="B1825" s="12" t="str">
        <f t="array" ref="B1825">IF(A1825:A5867="","",_xlfn.XLOOKUP(A1825:A5867,'参照_武将'!A:A,'参照_武将'!B:B,"見つかりません"))</f>
      </c>
      <c r="C1825" s="4" t="s">
        <v>223</v>
      </c>
      <c r="D1825" s="4">
        <v>42</v>
      </c>
      <c r="E1825" s="12" t="str">
        <f t="array" ref="E1825">IF(D1825:D5867="","",IFERROR(_xlfn.XLOOKUP(D1825:D5867,'参照_勢力'!A:A,'参照_勢力'!B:B),IFERROR(_xlfn.XLOOKUP(F1825:F5867,kunishuClan!A:A,kunishuClan!B:B),"浪人")))</f>
      </c>
      <c r="F1825" s="4">
        <v>0</v>
      </c>
      <c r="G1825" s="4">
        <v>133</v>
      </c>
      <c r="H1825" s="12" t="str">
        <f t="array" ref="H1825">IF(G1825:G5867="","",_xlfn.XLOOKUP(G1825:G5867,castles_state!A:A,castles_state!D:D,"見つかりません"))</f>
      </c>
      <c r="I1825" s="4"/>
      <c r="J1825" s="12" t="str">
        <f t="array" ref="J1825">IF(I1825:I5867="","",_xlfn.XLOOKUP(I1825:I5867,'参照_姫'!A:A,'参照_姫'!B:B,"見つかりません"))</f>
      </c>
      <c r="K1825" s="4">
        <v>95</v>
      </c>
      <c r="L1825" s="4">
        <v>0</v>
      </c>
      <c r="M1825" s="4"/>
      <c r="N1825" s="4"/>
      <c r="O1825" s="4"/>
      <c r="P1825" s="12" t="str">
        <f t="array" ref="P1825">IF(O1825:O5867="","",_xlfn.XLOOKUP(O1825:O5867,'参照_官位'!A:A,'参照_官位'!B:B,""))</f>
      </c>
      <c r="Q1825" s="12" t="str">
        <f t="array" ref="Q1825">IF(A1825:A5867="","",IFERROR(_xlfn.XLOOKUP(A1825:A5867,castles_state!K:K,castles_state!D:D)&amp;"主",IFERROR(_xlfn.XLOOKUP(A1825:A5867,kunishuClan!D:D,kunishuClan!B:B)&amp;"当主","")))</f>
      </c>
    </row>
    <row r="1826" ht="15.75" customHeight="1">
      <c r="A1826" s="4">
        <v>1042042</v>
      </c>
      <c r="B1826" s="12" t="str">
        <f t="array" ref="B1826">IF(A1826:A5868="","",_xlfn.XLOOKUP(A1826:A5868,'参照_武将'!A:A,'参照_武将'!B:B,"見つかりません"))</f>
      </c>
      <c r="C1826" s="4" t="s">
        <v>223</v>
      </c>
      <c r="D1826" s="4">
        <v>42</v>
      </c>
      <c r="E1826" s="12" t="str">
        <f t="array" ref="E1826">IF(D1826:D5868="","",IFERROR(_xlfn.XLOOKUP(D1826:D5868,'参照_勢力'!A:A,'参照_勢力'!B:B),IFERROR(_xlfn.XLOOKUP(F1826:F5868,kunishuClan!A:A,kunishuClan!B:B),"浪人")))</f>
      </c>
      <c r="F1826" s="4">
        <v>0</v>
      </c>
      <c r="G1826" s="4">
        <v>133</v>
      </c>
      <c r="H1826" s="12" t="str">
        <f t="array" ref="H1826">IF(G1826:G5868="","",_xlfn.XLOOKUP(G1826:G5868,castles_state!A:A,castles_state!D:D,"見つかりません"))</f>
      </c>
      <c r="I1826" s="4"/>
      <c r="J1826" s="12" t="str">
        <f t="array" ref="J1826">IF(I1826:I5868="","",_xlfn.XLOOKUP(I1826:I5868,'参照_姫'!A:A,'参照_姫'!B:B,"見つかりません"))</f>
      </c>
      <c r="K1826" s="4">
        <v>95</v>
      </c>
      <c r="L1826" s="4">
        <v>0</v>
      </c>
      <c r="M1826" s="4"/>
      <c r="N1826" s="4"/>
      <c r="O1826" s="4"/>
      <c r="P1826" s="12" t="str">
        <f t="array" ref="P1826">IF(O1826:O5868="","",_xlfn.XLOOKUP(O1826:O5868,'参照_官位'!A:A,'参照_官位'!B:B,""))</f>
      </c>
      <c r="Q1826" s="12" t="str">
        <f t="array" ref="Q1826">IF(A1826:A5868="","",IFERROR(_xlfn.XLOOKUP(A1826:A5868,castles_state!K:K,castles_state!D:D)&amp;"主",IFERROR(_xlfn.XLOOKUP(A1826:A5868,kunishuClan!D:D,kunishuClan!B:B)&amp;"当主","")))</f>
      </c>
    </row>
    <row r="1827" ht="15.75" customHeight="1">
      <c r="A1827" s="4">
        <v>1042043</v>
      </c>
      <c r="B1827" s="12" t="str">
        <f t="array" ref="B1827">IF(A1827:A5869="","",_xlfn.XLOOKUP(A1827:A5869,'参照_武将'!A:A,'参照_武将'!B:B,"見つかりません"))</f>
      </c>
      <c r="C1827" s="4" t="s">
        <v>223</v>
      </c>
      <c r="D1827" s="4">
        <v>42</v>
      </c>
      <c r="E1827" s="12" t="str">
        <f t="array" ref="E1827">IF(D1827:D5869="","",IFERROR(_xlfn.XLOOKUP(D1827:D5869,'参照_勢力'!A:A,'参照_勢力'!B:B),IFERROR(_xlfn.XLOOKUP(F1827:F5869,kunishuClan!A:A,kunishuClan!B:B),"浪人")))</f>
      </c>
      <c r="F1827" s="4">
        <v>0</v>
      </c>
      <c r="G1827" s="4">
        <v>133</v>
      </c>
      <c r="H1827" s="12" t="str">
        <f t="array" ref="H1827">IF(G1827:G5869="","",_xlfn.XLOOKUP(G1827:G5869,castles_state!A:A,castles_state!D:D,"見つかりません"))</f>
      </c>
      <c r="I1827" s="4"/>
      <c r="J1827" s="12" t="str">
        <f t="array" ref="J1827">IF(I1827:I5869="","",_xlfn.XLOOKUP(I1827:I5869,'参照_姫'!A:A,'参照_姫'!B:B,"見つかりません"))</f>
      </c>
      <c r="K1827" s="4">
        <v>90</v>
      </c>
      <c r="L1827" s="4">
        <v>0</v>
      </c>
      <c r="M1827" s="4"/>
      <c r="N1827" s="4"/>
      <c r="O1827" s="4"/>
      <c r="P1827" s="12" t="str">
        <f t="array" ref="P1827">IF(O1827:O5869="","",_xlfn.XLOOKUP(O1827:O5869,'参照_官位'!A:A,'参照_官位'!B:B,""))</f>
      </c>
      <c r="Q1827" s="12" t="str">
        <f t="array" ref="Q1827">IF(A1827:A5869="","",IFERROR(_xlfn.XLOOKUP(A1827:A5869,castles_state!K:K,castles_state!D:D)&amp;"主",IFERROR(_xlfn.XLOOKUP(A1827:A5869,kunishuClan!D:D,kunishuClan!B:B)&amp;"当主","")))</f>
      </c>
    </row>
    <row r="1828" ht="15.75" customHeight="1">
      <c r="A1828" s="4">
        <v>1042044</v>
      </c>
      <c r="B1828" s="12" t="str">
        <f t="array" ref="B1828">IF(A1828:A5870="","",_xlfn.XLOOKUP(A1828:A5870,'参照_武将'!A:A,'参照_武将'!B:B,"見つかりません"))</f>
      </c>
      <c r="C1828" s="4" t="s">
        <v>223</v>
      </c>
      <c r="D1828" s="4">
        <v>42</v>
      </c>
      <c r="E1828" s="12" t="str">
        <f t="array" ref="E1828">IF(D1828:D5870="","",IFERROR(_xlfn.XLOOKUP(D1828:D5870,'参照_勢力'!A:A,'参照_勢力'!B:B),IFERROR(_xlfn.XLOOKUP(F1828:F5870,kunishuClan!A:A,kunishuClan!B:B),"浪人")))</f>
      </c>
      <c r="F1828" s="4">
        <v>0</v>
      </c>
      <c r="G1828" s="4">
        <v>133</v>
      </c>
      <c r="H1828" s="12" t="str">
        <f t="array" ref="H1828">IF(G1828:G5870="","",_xlfn.XLOOKUP(G1828:G5870,castles_state!A:A,castles_state!D:D,"見つかりません"))</f>
      </c>
      <c r="I1828" s="4"/>
      <c r="J1828" s="12" t="str">
        <f t="array" ref="J1828">IF(I1828:I5870="","",_xlfn.XLOOKUP(I1828:I5870,'参照_姫'!A:A,'参照_姫'!B:B,"見つかりません"))</f>
      </c>
      <c r="K1828" s="4">
        <v>90</v>
      </c>
      <c r="L1828" s="4">
        <v>0</v>
      </c>
      <c r="M1828" s="4"/>
      <c r="N1828" s="4"/>
      <c r="O1828" s="4"/>
      <c r="P1828" s="12" t="str">
        <f t="array" ref="P1828">IF(O1828:O5870="","",_xlfn.XLOOKUP(O1828:O5870,'参照_官位'!A:A,'参照_官位'!B:B,""))</f>
      </c>
      <c r="Q1828" s="12" t="str">
        <f t="array" ref="Q1828">IF(A1828:A5870="","",IFERROR(_xlfn.XLOOKUP(A1828:A5870,castles_state!K:K,castles_state!D:D)&amp;"主",IFERROR(_xlfn.XLOOKUP(A1828:A5870,kunishuClan!D:D,kunishuClan!B:B)&amp;"当主","")))</f>
      </c>
    </row>
    <row r="1829" ht="15.75" customHeight="1">
      <c r="A1829" s="4">
        <v>1042045</v>
      </c>
      <c r="B1829" s="12" t="str">
        <f t="array" ref="B1829">IF(A1829:A5871="","",_xlfn.XLOOKUP(A1829:A5871,'参照_武将'!A:A,'参照_武将'!B:B,"見つかりません"))</f>
      </c>
      <c r="C1829" s="4" t="s">
        <v>223</v>
      </c>
      <c r="D1829" s="4">
        <v>42</v>
      </c>
      <c r="E1829" s="12" t="str">
        <f t="array" ref="E1829">IF(D1829:D5871="","",IFERROR(_xlfn.XLOOKUP(D1829:D5871,'参照_勢力'!A:A,'参照_勢力'!B:B),IFERROR(_xlfn.XLOOKUP(F1829:F5871,kunishuClan!A:A,kunishuClan!B:B),"浪人")))</f>
      </c>
      <c r="F1829" s="4">
        <v>0</v>
      </c>
      <c r="G1829" s="4">
        <v>134</v>
      </c>
      <c r="H1829" s="12" t="str">
        <f t="array" ref="H1829">IF(G1829:G5871="","",_xlfn.XLOOKUP(G1829:G5871,castles_state!A:A,castles_state!D:D,"見つかりません"))</f>
      </c>
      <c r="I1829" s="4"/>
      <c r="J1829" s="12" t="str">
        <f t="array" ref="J1829">IF(I1829:I5871="","",_xlfn.XLOOKUP(I1829:I5871,'参照_姫'!A:A,'参照_姫'!B:B,"見つかりません"))</f>
      </c>
      <c r="K1829" s="4">
        <v>95</v>
      </c>
      <c r="L1829" s="4">
        <v>0</v>
      </c>
      <c r="M1829" s="4"/>
      <c r="N1829" s="4"/>
      <c r="O1829" s="4"/>
      <c r="P1829" s="12" t="str">
        <f t="array" ref="P1829">IF(O1829:O5871="","",_xlfn.XLOOKUP(O1829:O5871,'参照_官位'!A:A,'参照_官位'!B:B,""))</f>
      </c>
      <c r="Q1829" s="12" t="str">
        <f t="array" ref="Q1829">IF(A1829:A5871="","",IFERROR(_xlfn.XLOOKUP(A1829:A5871,castles_state!K:K,castles_state!D:D)&amp;"主",IFERROR(_xlfn.XLOOKUP(A1829:A5871,kunishuClan!D:D,kunishuClan!B:B)&amp;"当主","")))</f>
      </c>
    </row>
    <row r="1830" ht="15.75" customHeight="1">
      <c r="A1830" s="4">
        <v>1042046</v>
      </c>
      <c r="B1830" s="12" t="str">
        <f t="array" ref="B1830">IF(A1830:A5872="","",_xlfn.XLOOKUP(A1830:A5872,'参照_武将'!A:A,'参照_武将'!B:B,"見つかりません"))</f>
      </c>
      <c r="C1830" s="4" t="s">
        <v>223</v>
      </c>
      <c r="D1830" s="4">
        <v>42</v>
      </c>
      <c r="E1830" s="12" t="str">
        <f t="array" ref="E1830">IF(D1830:D5872="","",IFERROR(_xlfn.XLOOKUP(D1830:D5872,'参照_勢力'!A:A,'参照_勢力'!B:B),IFERROR(_xlfn.XLOOKUP(F1830:F5872,kunishuClan!A:A,kunishuClan!B:B),"浪人")))</f>
      </c>
      <c r="F1830" s="4">
        <v>0</v>
      </c>
      <c r="G1830" s="4">
        <v>134</v>
      </c>
      <c r="H1830" s="12" t="str">
        <f t="array" ref="H1830">IF(G1830:G5872="","",_xlfn.XLOOKUP(G1830:G5872,castles_state!A:A,castles_state!D:D,"見つかりません"))</f>
      </c>
      <c r="I1830" s="4"/>
      <c r="J1830" s="12" t="str">
        <f t="array" ref="J1830">IF(I1830:I5872="","",_xlfn.XLOOKUP(I1830:I5872,'参照_姫'!A:A,'参照_姫'!B:B,"見つかりません"))</f>
      </c>
      <c r="K1830" s="4">
        <v>95</v>
      </c>
      <c r="L1830" s="4">
        <v>300</v>
      </c>
      <c r="M1830" s="4"/>
      <c r="N1830" s="4"/>
      <c r="O1830" s="4"/>
      <c r="P1830" s="12" t="str">
        <f t="array" ref="P1830">IF(O1830:O5872="","",_xlfn.XLOOKUP(O1830:O5872,'参照_官位'!A:A,'参照_官位'!B:B,""))</f>
      </c>
      <c r="Q1830" s="12" t="str">
        <f t="array" ref="Q1830">IF(A1830:A5872="","",IFERROR(_xlfn.XLOOKUP(A1830:A5872,castles_state!K:K,castles_state!D:D)&amp;"主",IFERROR(_xlfn.XLOOKUP(A1830:A5872,kunishuClan!D:D,kunishuClan!B:B)&amp;"当主","")))</f>
      </c>
    </row>
    <row r="1831" ht="15.75" customHeight="1">
      <c r="A1831" s="4">
        <v>1042047</v>
      </c>
      <c r="B1831" s="12" t="str">
        <f t="array" ref="B1831">IF(A1831:A5873="","",_xlfn.XLOOKUP(A1831:A5873,'参照_武将'!A:A,'参照_武将'!B:B,"見つかりません"))</f>
      </c>
      <c r="C1831" s="4" t="s">
        <v>223</v>
      </c>
      <c r="D1831" s="4">
        <v>42</v>
      </c>
      <c r="E1831" s="12" t="str">
        <f t="array" ref="E1831">IF(D1831:D5873="","",IFERROR(_xlfn.XLOOKUP(D1831:D5873,'参照_勢力'!A:A,'参照_勢力'!B:B),IFERROR(_xlfn.XLOOKUP(F1831:F5873,kunishuClan!A:A,kunishuClan!B:B),"浪人")))</f>
      </c>
      <c r="F1831" s="4">
        <v>0</v>
      </c>
      <c r="G1831" s="4">
        <v>134</v>
      </c>
      <c r="H1831" s="12" t="str">
        <f t="array" ref="H1831">IF(G1831:G5873="","",_xlfn.XLOOKUP(G1831:G5873,castles_state!A:A,castles_state!D:D,"見つかりません"))</f>
      </c>
      <c r="I1831" s="4"/>
      <c r="J1831" s="12" t="str">
        <f t="array" ref="J1831">IF(I1831:I5873="","",_xlfn.XLOOKUP(I1831:I5873,'参照_姫'!A:A,'参照_姫'!B:B,"見つかりません"))</f>
      </c>
      <c r="K1831" s="4">
        <v>95</v>
      </c>
      <c r="L1831" s="4">
        <v>0</v>
      </c>
      <c r="M1831" s="4"/>
      <c r="N1831" s="4"/>
      <c r="O1831" s="4"/>
      <c r="P1831" s="12" t="str">
        <f t="array" ref="P1831">IF(O1831:O5873="","",_xlfn.XLOOKUP(O1831:O5873,'参照_官位'!A:A,'参照_官位'!B:B,""))</f>
      </c>
      <c r="Q1831" s="12" t="str">
        <f t="array" ref="Q1831">IF(A1831:A5873="","",IFERROR(_xlfn.XLOOKUP(A1831:A5873,castles_state!K:K,castles_state!D:D)&amp;"主",IFERROR(_xlfn.XLOOKUP(A1831:A5873,kunishuClan!D:D,kunishuClan!B:B)&amp;"当主","")))</f>
      </c>
    </row>
    <row r="1832" ht="15.75" customHeight="1">
      <c r="A1832" s="4">
        <v>1042048</v>
      </c>
      <c r="B1832" s="12" t="str">
        <f t="array" ref="B1832">IF(A1832:A5874="","",_xlfn.XLOOKUP(A1832:A5874,'参照_武将'!A:A,'参照_武将'!B:B,"見つかりません"))</f>
      </c>
      <c r="C1832" s="4" t="s">
        <v>223</v>
      </c>
      <c r="D1832" s="4">
        <v>42</v>
      </c>
      <c r="E1832" s="12" t="str">
        <f t="array" ref="E1832">IF(D1832:D5874="","",IFERROR(_xlfn.XLOOKUP(D1832:D5874,'参照_勢力'!A:A,'参照_勢力'!B:B),IFERROR(_xlfn.XLOOKUP(F1832:F5874,kunishuClan!A:A,kunishuClan!B:B),"浪人")))</f>
      </c>
      <c r="F1832" s="4">
        <v>0</v>
      </c>
      <c r="G1832" s="4">
        <v>134</v>
      </c>
      <c r="H1832" s="12" t="str">
        <f t="array" ref="H1832">IF(G1832:G5874="","",_xlfn.XLOOKUP(G1832:G5874,castles_state!A:A,castles_state!D:D,"見つかりません"))</f>
      </c>
      <c r="I1832" s="4"/>
      <c r="J1832" s="12" t="str">
        <f t="array" ref="J1832">IF(I1832:I5874="","",_xlfn.XLOOKUP(I1832:I5874,'参照_姫'!A:A,'参照_姫'!B:B,"見つかりません"))</f>
      </c>
      <c r="K1832" s="4">
        <v>95</v>
      </c>
      <c r="L1832" s="4">
        <v>100</v>
      </c>
      <c r="M1832" s="4"/>
      <c r="N1832" s="4"/>
      <c r="O1832" s="4"/>
      <c r="P1832" s="12" t="str">
        <f t="array" ref="P1832">IF(O1832:O5874="","",_xlfn.XLOOKUP(O1832:O5874,'参照_官位'!A:A,'参照_官位'!B:B,""))</f>
      </c>
      <c r="Q1832" s="12" t="str">
        <f t="array" ref="Q1832">IF(A1832:A5874="","",IFERROR(_xlfn.XLOOKUP(A1832:A5874,castles_state!K:K,castles_state!D:D)&amp;"主",IFERROR(_xlfn.XLOOKUP(A1832:A5874,kunishuClan!D:D,kunishuClan!B:B)&amp;"当主","")))</f>
      </c>
    </row>
    <row r="1833" ht="15.75" customHeight="1">
      <c r="A1833" s="4">
        <v>1042049</v>
      </c>
      <c r="B1833" s="12" t="str">
        <f t="array" ref="B1833">IF(A1833:A5875="","",_xlfn.XLOOKUP(A1833:A5875,'参照_武将'!A:A,'参照_武将'!B:B,"見つかりません"))</f>
      </c>
      <c r="C1833" s="4" t="s">
        <v>223</v>
      </c>
      <c r="D1833" s="4">
        <v>42</v>
      </c>
      <c r="E1833" s="12" t="str">
        <f t="array" ref="E1833">IF(D1833:D5875="","",IFERROR(_xlfn.XLOOKUP(D1833:D5875,'参照_勢力'!A:A,'参照_勢力'!B:B),IFERROR(_xlfn.XLOOKUP(F1833:F5875,kunishuClan!A:A,kunishuClan!B:B),"浪人")))</f>
      </c>
      <c r="F1833" s="4">
        <v>0</v>
      </c>
      <c r="G1833" s="4">
        <v>134</v>
      </c>
      <c r="H1833" s="12" t="str">
        <f t="array" ref="H1833">IF(G1833:G5875="","",_xlfn.XLOOKUP(G1833:G5875,castles_state!A:A,castles_state!D:D,"見つかりません"))</f>
      </c>
      <c r="I1833" s="4"/>
      <c r="J1833" s="12" t="str">
        <f t="array" ref="J1833">IF(I1833:I5875="","",_xlfn.XLOOKUP(I1833:I5875,'参照_姫'!A:A,'参照_姫'!B:B,"見つかりません"))</f>
      </c>
      <c r="K1833" s="4">
        <v>95</v>
      </c>
      <c r="L1833" s="4">
        <v>0</v>
      </c>
      <c r="M1833" s="4"/>
      <c r="N1833" s="4"/>
      <c r="O1833" s="4"/>
      <c r="P1833" s="12" t="str">
        <f t="array" ref="P1833">IF(O1833:O5875="","",_xlfn.XLOOKUP(O1833:O5875,'参照_官位'!A:A,'参照_官位'!B:B,""))</f>
      </c>
      <c r="Q1833" s="12" t="str">
        <f t="array" ref="Q1833">IF(A1833:A5875="","",IFERROR(_xlfn.XLOOKUP(A1833:A5875,castles_state!K:K,castles_state!D:D)&amp;"主",IFERROR(_xlfn.XLOOKUP(A1833:A5875,kunishuClan!D:D,kunishuClan!B:B)&amp;"当主","")))</f>
      </c>
    </row>
    <row r="1834" ht="15.75" customHeight="1">
      <c r="A1834" s="4">
        <v>1042050</v>
      </c>
      <c r="B1834" s="12" t="str">
        <f t="array" ref="B1834">IF(A1834:A5876="","",_xlfn.XLOOKUP(A1834:A5876,'参照_武将'!A:A,'参照_武将'!B:B,"見つかりません"))</f>
      </c>
      <c r="C1834" s="4" t="s">
        <v>223</v>
      </c>
      <c r="D1834" s="4">
        <v>42</v>
      </c>
      <c r="E1834" s="12" t="str">
        <f t="array" ref="E1834">IF(D1834:D5876="","",IFERROR(_xlfn.XLOOKUP(D1834:D5876,'参照_勢力'!A:A,'参照_勢力'!B:B),IFERROR(_xlfn.XLOOKUP(F1834:F5876,kunishuClan!A:A,kunishuClan!B:B),"浪人")))</f>
      </c>
      <c r="F1834" s="4">
        <v>0</v>
      </c>
      <c r="G1834" s="4">
        <v>134</v>
      </c>
      <c r="H1834" s="12" t="str">
        <f t="array" ref="H1834">IF(G1834:G5876="","",_xlfn.XLOOKUP(G1834:G5876,castles_state!A:A,castles_state!D:D,"見つかりません"))</f>
      </c>
      <c r="I1834" s="4"/>
      <c r="J1834" s="12" t="str">
        <f t="array" ref="J1834">IF(I1834:I5876="","",_xlfn.XLOOKUP(I1834:I5876,'参照_姫'!A:A,'参照_姫'!B:B,"見つかりません"))</f>
      </c>
      <c r="K1834" s="4">
        <v>95</v>
      </c>
      <c r="L1834" s="4">
        <v>0</v>
      </c>
      <c r="M1834" s="4"/>
      <c r="N1834" s="4"/>
      <c r="O1834" s="4"/>
      <c r="P1834" s="12" t="str">
        <f t="array" ref="P1834">IF(O1834:O5876="","",_xlfn.XLOOKUP(O1834:O5876,'参照_官位'!A:A,'参照_官位'!B:B,""))</f>
      </c>
      <c r="Q1834" s="12" t="str">
        <f t="array" ref="Q1834">IF(A1834:A5876="","",IFERROR(_xlfn.XLOOKUP(A1834:A5876,castles_state!K:K,castles_state!D:D)&amp;"主",IFERROR(_xlfn.XLOOKUP(A1834:A5876,kunishuClan!D:D,kunishuClan!B:B)&amp;"当主","")))</f>
      </c>
    </row>
    <row r="1835" ht="15.75" customHeight="1">
      <c r="A1835" s="4">
        <v>1042051</v>
      </c>
      <c r="B1835" s="12" t="str">
        <f t="array" ref="B1835">IF(A1835:A5877="","",_xlfn.XLOOKUP(A1835:A5877,'参照_武将'!A:A,'参照_武将'!B:B,"見つかりません"))</f>
      </c>
      <c r="C1835" s="4" t="s">
        <v>223</v>
      </c>
      <c r="D1835" s="4">
        <v>42</v>
      </c>
      <c r="E1835" s="12" t="str">
        <f t="array" ref="E1835">IF(D1835:D5877="","",IFERROR(_xlfn.XLOOKUP(D1835:D5877,'参照_勢力'!A:A,'参照_勢力'!B:B),IFERROR(_xlfn.XLOOKUP(F1835:F5877,kunishuClan!A:A,kunishuClan!B:B),"浪人")))</f>
      </c>
      <c r="F1835" s="4">
        <v>0</v>
      </c>
      <c r="G1835" s="4">
        <v>134</v>
      </c>
      <c r="H1835" s="12" t="str">
        <f t="array" ref="H1835">IF(G1835:G5877="","",_xlfn.XLOOKUP(G1835:G5877,castles_state!A:A,castles_state!D:D,"見つかりません"))</f>
      </c>
      <c r="I1835" s="4"/>
      <c r="J1835" s="12" t="str">
        <f t="array" ref="J1835">IF(I1835:I5877="","",_xlfn.XLOOKUP(I1835:I5877,'参照_姫'!A:A,'参照_姫'!B:B,"見つかりません"))</f>
      </c>
      <c r="K1835" s="4">
        <v>95</v>
      </c>
      <c r="L1835" s="4">
        <v>0</v>
      </c>
      <c r="M1835" s="4"/>
      <c r="N1835" s="4"/>
      <c r="O1835" s="4"/>
      <c r="P1835" s="12" t="str">
        <f t="array" ref="P1835">IF(O1835:O5877="","",_xlfn.XLOOKUP(O1835:O5877,'参照_官位'!A:A,'参照_官位'!B:B,""))</f>
      </c>
      <c r="Q1835" s="12" t="str">
        <f t="array" ref="Q1835">IF(A1835:A5877="","",IFERROR(_xlfn.XLOOKUP(A1835:A5877,castles_state!K:K,castles_state!D:D)&amp;"主",IFERROR(_xlfn.XLOOKUP(A1835:A5877,kunishuClan!D:D,kunishuClan!B:B)&amp;"当主","")))</f>
      </c>
    </row>
    <row r="1836" ht="15.75" customHeight="1">
      <c r="A1836" s="4">
        <v>1042052</v>
      </c>
      <c r="B1836" s="12" t="str">
        <f t="array" ref="B1836">IF(A1836:A5878="","",_xlfn.XLOOKUP(A1836:A5878,'参照_武将'!A:A,'参照_武将'!B:B,"見つかりません"))</f>
      </c>
      <c r="C1836" s="4" t="s">
        <v>223</v>
      </c>
      <c r="D1836" s="4">
        <v>42</v>
      </c>
      <c r="E1836" s="12" t="str">
        <f t="array" ref="E1836">IF(D1836:D5878="","",IFERROR(_xlfn.XLOOKUP(D1836:D5878,'参照_勢力'!A:A,'参照_勢力'!B:B),IFERROR(_xlfn.XLOOKUP(F1836:F5878,kunishuClan!A:A,kunishuClan!B:B),"浪人")))</f>
      </c>
      <c r="F1836" s="4">
        <v>0</v>
      </c>
      <c r="G1836" s="4">
        <v>134</v>
      </c>
      <c r="H1836" s="12" t="str">
        <f t="array" ref="H1836">IF(G1836:G5878="","",_xlfn.XLOOKUP(G1836:G5878,castles_state!A:A,castles_state!D:D,"見つかりません"))</f>
      </c>
      <c r="I1836" s="4"/>
      <c r="J1836" s="12" t="str">
        <f t="array" ref="J1836">IF(I1836:I5878="","",_xlfn.XLOOKUP(I1836:I5878,'参照_姫'!A:A,'参照_姫'!B:B,"見つかりません"))</f>
      </c>
      <c r="K1836" s="4">
        <v>95</v>
      </c>
      <c r="L1836" s="4">
        <v>0</v>
      </c>
      <c r="M1836" s="4"/>
      <c r="N1836" s="4"/>
      <c r="O1836" s="4"/>
      <c r="P1836" s="12" t="str">
        <f t="array" ref="P1836">IF(O1836:O5878="","",_xlfn.XLOOKUP(O1836:O5878,'参照_官位'!A:A,'参照_官位'!B:B,""))</f>
      </c>
      <c r="Q1836" s="12" t="str">
        <f t="array" ref="Q1836">IF(A1836:A5878="","",IFERROR(_xlfn.XLOOKUP(A1836:A5878,castles_state!K:K,castles_state!D:D)&amp;"主",IFERROR(_xlfn.XLOOKUP(A1836:A5878,kunishuClan!D:D,kunishuClan!B:B)&amp;"当主","")))</f>
      </c>
    </row>
    <row r="1837" ht="15.75" customHeight="1">
      <c r="A1837" s="4">
        <v>1042053</v>
      </c>
      <c r="B1837" s="12" t="str">
        <f t="array" ref="B1837">IF(A1837:A5879="","",_xlfn.XLOOKUP(A1837:A5879,'参照_武将'!A:A,'参照_武将'!B:B,"見つかりません"))</f>
      </c>
      <c r="C1837" s="4" t="s">
        <v>223</v>
      </c>
      <c r="D1837" s="4">
        <v>42</v>
      </c>
      <c r="E1837" s="12" t="str">
        <f t="array" ref="E1837">IF(D1837:D5879="","",IFERROR(_xlfn.XLOOKUP(D1837:D5879,'参照_勢力'!A:A,'参照_勢力'!B:B),IFERROR(_xlfn.XLOOKUP(F1837:F5879,kunishuClan!A:A,kunishuClan!B:B),"浪人")))</f>
      </c>
      <c r="F1837" s="4">
        <v>0</v>
      </c>
      <c r="G1837" s="4">
        <v>134</v>
      </c>
      <c r="H1837" s="12" t="str">
        <f t="array" ref="H1837">IF(G1837:G5879="","",_xlfn.XLOOKUP(G1837:G5879,castles_state!A:A,castles_state!D:D,"見つかりません"))</f>
      </c>
      <c r="I1837" s="4"/>
      <c r="J1837" s="12" t="str">
        <f t="array" ref="J1837">IF(I1837:I5879="","",_xlfn.XLOOKUP(I1837:I5879,'参照_姫'!A:A,'参照_姫'!B:B,"見つかりません"))</f>
      </c>
      <c r="K1837" s="4">
        <v>95</v>
      </c>
      <c r="L1837" s="4">
        <v>0</v>
      </c>
      <c r="M1837" s="4"/>
      <c r="N1837" s="4"/>
      <c r="O1837" s="4"/>
      <c r="P1837" s="12" t="str">
        <f t="array" ref="P1837">IF(O1837:O5879="","",_xlfn.XLOOKUP(O1837:O5879,'参照_官位'!A:A,'参照_官位'!B:B,""))</f>
      </c>
      <c r="Q1837" s="12" t="str">
        <f t="array" ref="Q1837">IF(A1837:A5879="","",IFERROR(_xlfn.XLOOKUP(A1837:A5879,castles_state!K:K,castles_state!D:D)&amp;"主",IFERROR(_xlfn.XLOOKUP(A1837:A5879,kunishuClan!D:D,kunishuClan!B:B)&amp;"当主","")))</f>
      </c>
    </row>
    <row r="1838" ht="15.75" customHeight="1">
      <c r="A1838" s="4">
        <v>1042054</v>
      </c>
      <c r="B1838" s="12" t="str">
        <f t="array" ref="B1838">IF(A1838:A5880="","",_xlfn.XLOOKUP(A1838:A5880,'参照_武将'!A:A,'参照_武将'!B:B,"見つかりません"))</f>
      </c>
      <c r="C1838" s="4" t="s">
        <v>223</v>
      </c>
      <c r="D1838" s="4">
        <v>42</v>
      </c>
      <c r="E1838" s="12" t="str">
        <f t="array" ref="E1838">IF(D1838:D5880="","",IFERROR(_xlfn.XLOOKUP(D1838:D5880,'参照_勢力'!A:A,'参照_勢力'!B:B),IFERROR(_xlfn.XLOOKUP(F1838:F5880,kunishuClan!A:A,kunishuClan!B:B),"浪人")))</f>
      </c>
      <c r="F1838" s="4">
        <v>0</v>
      </c>
      <c r="G1838" s="4">
        <v>134</v>
      </c>
      <c r="H1838" s="12" t="str">
        <f t="array" ref="H1838">IF(G1838:G5880="","",_xlfn.XLOOKUP(G1838:G5880,castles_state!A:A,castles_state!D:D,"見つかりません"))</f>
      </c>
      <c r="I1838" s="4"/>
      <c r="J1838" s="12" t="str">
        <f t="array" ref="J1838">IF(I1838:I5880="","",_xlfn.XLOOKUP(I1838:I5880,'参照_姫'!A:A,'参照_姫'!B:B,"見つかりません"))</f>
      </c>
      <c r="K1838" s="4">
        <v>95</v>
      </c>
      <c r="L1838" s="4">
        <v>100</v>
      </c>
      <c r="M1838" s="4"/>
      <c r="N1838" s="4"/>
      <c r="O1838" s="4"/>
      <c r="P1838" s="12" t="str">
        <f t="array" ref="P1838">IF(O1838:O5880="","",_xlfn.XLOOKUP(O1838:O5880,'参照_官位'!A:A,'参照_官位'!B:B,""))</f>
      </c>
      <c r="Q1838" s="12" t="str">
        <f t="array" ref="Q1838">IF(A1838:A5880="","",IFERROR(_xlfn.XLOOKUP(A1838:A5880,castles_state!K:K,castles_state!D:D)&amp;"主",IFERROR(_xlfn.XLOOKUP(A1838:A5880,kunishuClan!D:D,kunishuClan!B:B)&amp;"当主","")))</f>
      </c>
    </row>
    <row r="1839" ht="15.75" customHeight="1">
      <c r="A1839" s="4">
        <v>1042055</v>
      </c>
      <c r="B1839" s="12" t="str">
        <f t="array" ref="B1839">IF(A1839:A5881="","",_xlfn.XLOOKUP(A1839:A5881,'参照_武将'!A:A,'参照_武将'!B:B,"見つかりません"))</f>
      </c>
      <c r="C1839" s="4" t="s">
        <v>223</v>
      </c>
      <c r="D1839" s="4">
        <v>42</v>
      </c>
      <c r="E1839" s="12" t="str">
        <f t="array" ref="E1839">IF(D1839:D5881="","",IFERROR(_xlfn.XLOOKUP(D1839:D5881,'参照_勢力'!A:A,'参照_勢力'!B:B),IFERROR(_xlfn.XLOOKUP(F1839:F5881,kunishuClan!A:A,kunishuClan!B:B),"浪人")))</f>
      </c>
      <c r="F1839" s="4">
        <v>0</v>
      </c>
      <c r="G1839" s="4">
        <v>134</v>
      </c>
      <c r="H1839" s="12" t="str">
        <f t="array" ref="H1839">IF(G1839:G5881="","",_xlfn.XLOOKUP(G1839:G5881,castles_state!A:A,castles_state!D:D,"見つかりません"))</f>
      </c>
      <c r="I1839" s="4"/>
      <c r="J1839" s="12" t="str">
        <f t="array" ref="J1839">IF(I1839:I5881="","",_xlfn.XLOOKUP(I1839:I5881,'参照_姫'!A:A,'参照_姫'!B:B,"見つかりません"))</f>
      </c>
      <c r="K1839" s="4">
        <v>95</v>
      </c>
      <c r="L1839" s="4">
        <v>0</v>
      </c>
      <c r="M1839" s="4"/>
      <c r="N1839" s="4"/>
      <c r="O1839" s="4"/>
      <c r="P1839" s="12" t="str">
        <f t="array" ref="P1839">IF(O1839:O5881="","",_xlfn.XLOOKUP(O1839:O5881,'参照_官位'!A:A,'参照_官位'!B:B,""))</f>
      </c>
      <c r="Q1839" s="12" t="str">
        <f t="array" ref="Q1839">IF(A1839:A5881="","",IFERROR(_xlfn.XLOOKUP(A1839:A5881,castles_state!K:K,castles_state!D:D)&amp;"主",IFERROR(_xlfn.XLOOKUP(A1839:A5881,kunishuClan!D:D,kunishuClan!B:B)&amp;"当主","")))</f>
      </c>
    </row>
    <row r="1840" ht="15.75" customHeight="1">
      <c r="A1840" s="4">
        <v>1043001</v>
      </c>
      <c r="B1840" s="12" t="str">
        <f t="array" ref="B1840">IF(A1840:A5882="","",_xlfn.XLOOKUP(A1840:A5882,'参照_武将'!A:A,'参照_武将'!B:B,"見つかりません"))</f>
      </c>
      <c r="C1840" s="4" t="s">
        <v>226</v>
      </c>
      <c r="D1840" s="4">
        <v>43</v>
      </c>
      <c r="E1840" s="12" t="str">
        <f t="array" ref="E1840">IF(D1840:D5882="","",IFERROR(_xlfn.XLOOKUP(D1840:D5882,'参照_勢力'!A:A,'参照_勢力'!B:B),IFERROR(_xlfn.XLOOKUP(F1840:F5882,kunishuClan!A:A,kunishuClan!B:B),"浪人")))</f>
      </c>
      <c r="F1840" s="4">
        <v>0</v>
      </c>
      <c r="G1840" s="4">
        <v>109</v>
      </c>
      <c r="H1840" s="12" t="str">
        <f t="array" ref="H1840">IF(G1840:G5882="","",_xlfn.XLOOKUP(G1840:G5882,castles_state!A:A,castles_state!D:D,"見つかりません"))</f>
      </c>
      <c r="I1840" s="4"/>
      <c r="J1840" s="12" t="str">
        <f t="array" ref="J1840">IF(I1840:I5882="","",_xlfn.XLOOKUP(I1840:I5882,'参照_姫'!A:A,'参照_姫'!B:B,"見つかりません"))</f>
      </c>
      <c r="K1840" s="4">
        <v>95</v>
      </c>
      <c r="L1840" s="4">
        <v>0</v>
      </c>
      <c r="M1840" s="4"/>
      <c r="N1840" s="4"/>
      <c r="O1840" s="4"/>
      <c r="P1840" s="12" t="str">
        <f t="array" ref="P1840">IF(O1840:O5882="","",_xlfn.XLOOKUP(O1840:O5882,'参照_官位'!A:A,'参照_官位'!B:B,""))</f>
      </c>
      <c r="Q1840" s="12" t="str">
        <f t="array" ref="Q1840">IF(A1840:A5882="","",IFERROR(_xlfn.XLOOKUP(A1840:A5882,castles_state!K:K,castles_state!D:D)&amp;"主",IFERROR(_xlfn.XLOOKUP(A1840:A5882,kunishuClan!D:D,kunishuClan!B:B)&amp;"当主","")))</f>
      </c>
    </row>
    <row r="1841" ht="15.75" customHeight="1">
      <c r="A1841" s="4">
        <v>1043002</v>
      </c>
      <c r="B1841" s="12" t="str">
        <f t="array" ref="B1841">IF(A1841:A5883="","",_xlfn.XLOOKUP(A1841:A5883,'参照_武将'!A:A,'参照_武将'!B:B,"見つかりません"))</f>
      </c>
      <c r="C1841" s="4" t="s">
        <v>226</v>
      </c>
      <c r="D1841" s="4">
        <v>43</v>
      </c>
      <c r="E1841" s="12" t="str">
        <f t="array" ref="E1841">IF(D1841:D5883="","",IFERROR(_xlfn.XLOOKUP(D1841:D5883,'参照_勢力'!A:A,'参照_勢力'!B:B),IFERROR(_xlfn.XLOOKUP(F1841:F5883,kunishuClan!A:A,kunishuClan!B:B),"浪人")))</f>
      </c>
      <c r="F1841" s="4">
        <v>0</v>
      </c>
      <c r="G1841" s="4">
        <v>109</v>
      </c>
      <c r="H1841" s="12" t="str">
        <f t="array" ref="H1841">IF(G1841:G5883="","",_xlfn.XLOOKUP(G1841:G5883,castles_state!A:A,castles_state!D:D,"見つかりません"))</f>
      </c>
      <c r="I1841" s="4"/>
      <c r="J1841" s="12" t="str">
        <f t="array" ref="J1841">IF(I1841:I5883="","",_xlfn.XLOOKUP(I1841:I5883,'参照_姫'!A:A,'参照_姫'!B:B,"見つかりません"))</f>
      </c>
      <c r="K1841" s="4">
        <v>95</v>
      </c>
      <c r="L1841" s="4">
        <v>0</v>
      </c>
      <c r="M1841" s="4"/>
      <c r="N1841" s="4"/>
      <c r="O1841" s="4"/>
      <c r="P1841" s="12" t="str">
        <f t="array" ref="P1841">IF(O1841:O5883="","",_xlfn.XLOOKUP(O1841:O5883,'参照_官位'!A:A,'参照_官位'!B:B,""))</f>
      </c>
      <c r="Q1841" s="12" t="str">
        <f t="array" ref="Q1841">IF(A1841:A5883="","",IFERROR(_xlfn.XLOOKUP(A1841:A5883,castles_state!K:K,castles_state!D:D)&amp;"主",IFERROR(_xlfn.XLOOKUP(A1841:A5883,kunishuClan!D:D,kunishuClan!B:B)&amp;"当主","")))</f>
      </c>
    </row>
    <row r="1842" ht="15.75" customHeight="1">
      <c r="A1842" s="4">
        <v>1043003</v>
      </c>
      <c r="B1842" s="12" t="str">
        <f t="array" ref="B1842">IF(A1842:A5884="","",_xlfn.XLOOKUP(A1842:A5884,'参照_武将'!A:A,'参照_武将'!B:B,"見つかりません"))</f>
      </c>
      <c r="C1842" s="4" t="s">
        <v>226</v>
      </c>
      <c r="D1842" s="4">
        <v>43</v>
      </c>
      <c r="E1842" s="12" t="str">
        <f t="array" ref="E1842">IF(D1842:D5884="","",IFERROR(_xlfn.XLOOKUP(D1842:D5884,'参照_勢力'!A:A,'参照_勢力'!B:B),IFERROR(_xlfn.XLOOKUP(F1842:F5884,kunishuClan!A:A,kunishuClan!B:B),"浪人")))</f>
      </c>
      <c r="F1842" s="4">
        <v>0</v>
      </c>
      <c r="G1842" s="4">
        <v>109</v>
      </c>
      <c r="H1842" s="12" t="str">
        <f t="array" ref="H1842">IF(G1842:G5884="","",_xlfn.XLOOKUP(G1842:G5884,castles_state!A:A,castles_state!D:D,"見つかりません"))</f>
      </c>
      <c r="I1842" s="4"/>
      <c r="J1842" s="12" t="str">
        <f t="array" ref="J1842">IF(I1842:I5884="","",_xlfn.XLOOKUP(I1842:I5884,'参照_姫'!A:A,'参照_姫'!B:B,"見つかりません"))</f>
      </c>
      <c r="K1842" s="4">
        <v>95</v>
      </c>
      <c r="L1842" s="4">
        <v>0</v>
      </c>
      <c r="M1842" s="4"/>
      <c r="N1842" s="4"/>
      <c r="O1842" s="4"/>
      <c r="P1842" s="12" t="str">
        <f t="array" ref="P1842">IF(O1842:O5884="","",_xlfn.XLOOKUP(O1842:O5884,'参照_官位'!A:A,'参照_官位'!B:B,""))</f>
      </c>
      <c r="Q1842" s="12" t="str">
        <f t="array" ref="Q1842">IF(A1842:A5884="","",IFERROR(_xlfn.XLOOKUP(A1842:A5884,castles_state!K:K,castles_state!D:D)&amp;"主",IFERROR(_xlfn.XLOOKUP(A1842:A5884,kunishuClan!D:D,kunishuClan!B:B)&amp;"当主","")))</f>
      </c>
    </row>
    <row r="1843" ht="15.75" customHeight="1">
      <c r="A1843" s="4">
        <v>1043004</v>
      </c>
      <c r="B1843" s="12" t="str">
        <f t="array" ref="B1843">IF(A1843:A5885="","",_xlfn.XLOOKUP(A1843:A5885,'参照_武将'!A:A,'参照_武将'!B:B,"見つかりません"))</f>
      </c>
      <c r="C1843" s="4" t="s">
        <v>226</v>
      </c>
      <c r="D1843" s="4">
        <v>43</v>
      </c>
      <c r="E1843" s="12" t="str">
        <f t="array" ref="E1843">IF(D1843:D5885="","",IFERROR(_xlfn.XLOOKUP(D1843:D5885,'参照_勢力'!A:A,'参照_勢力'!B:B),IFERROR(_xlfn.XLOOKUP(F1843:F5885,kunishuClan!A:A,kunishuClan!B:B),"浪人")))</f>
      </c>
      <c r="F1843" s="4">
        <v>0</v>
      </c>
      <c r="G1843" s="4">
        <v>109</v>
      </c>
      <c r="H1843" s="12" t="str">
        <f t="array" ref="H1843">IF(G1843:G5885="","",_xlfn.XLOOKUP(G1843:G5885,castles_state!A:A,castles_state!D:D,"見つかりません"))</f>
      </c>
      <c r="I1843" s="4"/>
      <c r="J1843" s="12" t="str">
        <f t="array" ref="J1843">IF(I1843:I5885="","",_xlfn.XLOOKUP(I1843:I5885,'参照_姫'!A:A,'参照_姫'!B:B,"見つかりません"))</f>
      </c>
      <c r="K1843" s="4">
        <v>100</v>
      </c>
      <c r="L1843" s="4">
        <v>1500</v>
      </c>
      <c r="M1843" s="4"/>
      <c r="N1843" s="4"/>
      <c r="O1843" s="4">
        <v>69</v>
      </c>
      <c r="P1843" s="12" t="str">
        <f t="array" ref="P1843">IF(O1843:O5885="","",_xlfn.XLOOKUP(O1843:O5885,'参照_官位'!A:A,'参照_官位'!B:B,""))</f>
      </c>
      <c r="Q1843" s="12" t="str">
        <f t="array" ref="Q1843">IF(A1843:A5885="","",IFERROR(_xlfn.XLOOKUP(A1843:A5885,castles_state!K:K,castles_state!D:D)&amp;"主",IFERROR(_xlfn.XLOOKUP(A1843:A5885,kunishuClan!D:D,kunishuClan!B:B)&amp;"当主","")))</f>
      </c>
    </row>
    <row r="1844" ht="15.75" customHeight="1">
      <c r="A1844" s="4">
        <v>1043005</v>
      </c>
      <c r="B1844" s="12" t="str">
        <f t="array" ref="B1844">IF(A1844:A5886="","",_xlfn.XLOOKUP(A1844:A5886,'参照_武将'!A:A,'参照_武将'!B:B,"見つかりません"))</f>
      </c>
      <c r="C1844" s="4" t="s">
        <v>226</v>
      </c>
      <c r="D1844" s="4">
        <v>25</v>
      </c>
      <c r="E1844" s="12" t="str">
        <f t="array" ref="E1844">IF(D1844:D5886="","",IFERROR(_xlfn.XLOOKUP(D1844:D5886,'参照_勢力'!A:A,'参照_勢力'!B:B),IFERROR(_xlfn.XLOOKUP(F1844:F5886,kunishuClan!A:A,kunishuClan!B:B),"浪人")))</f>
      </c>
      <c r="F1844" s="4">
        <v>0</v>
      </c>
      <c r="G1844" s="4">
        <v>120</v>
      </c>
      <c r="H1844" s="12" t="str">
        <f t="array" ref="H1844">IF(G1844:G5886="","",_xlfn.XLOOKUP(G1844:G5886,castles_state!A:A,castles_state!D:D,"見つかりません"))</f>
      </c>
      <c r="I1844" s="4"/>
      <c r="J1844" s="12" t="str">
        <f t="array" ref="J1844">IF(I1844:I5886="","",_xlfn.XLOOKUP(I1844:I5886,'参照_姫'!A:A,'参照_姫'!B:B,"見つかりません"))</f>
      </c>
      <c r="K1844" s="4">
        <v>95</v>
      </c>
      <c r="L1844" s="4">
        <v>200</v>
      </c>
      <c r="M1844" s="4"/>
      <c r="N1844" s="4"/>
      <c r="O1844" s="4"/>
      <c r="P1844" s="12" t="str">
        <f t="array" ref="P1844">IF(O1844:O5886="","",_xlfn.XLOOKUP(O1844:O5886,'参照_官位'!A:A,'参照_官位'!B:B,""))</f>
      </c>
      <c r="Q1844" s="12" t="str">
        <f t="array" ref="Q1844">IF(A1844:A5886="","",IFERROR(_xlfn.XLOOKUP(A1844:A5886,castles_state!K:K,castles_state!D:D)&amp;"主",IFERROR(_xlfn.XLOOKUP(A1844:A5886,kunishuClan!D:D,kunishuClan!B:B)&amp;"当主","")))</f>
      </c>
    </row>
    <row r="1845" ht="15.75" customHeight="1">
      <c r="A1845" s="4">
        <v>1043006</v>
      </c>
      <c r="B1845" s="12" t="str">
        <f t="array" ref="B1845">IF(A1845:A5887="","",_xlfn.XLOOKUP(A1845:A5887,'参照_武将'!A:A,'参照_武将'!B:B,"見つかりません"))</f>
      </c>
      <c r="C1845" s="4" t="s">
        <v>226</v>
      </c>
      <c r="D1845" s="4">
        <v>25</v>
      </c>
      <c r="E1845" s="12" t="str">
        <f t="array" ref="E1845">IF(D1845:D5887="","",IFERROR(_xlfn.XLOOKUP(D1845:D5887,'参照_勢力'!A:A,'参照_勢力'!B:B),IFERROR(_xlfn.XLOOKUP(F1845:F5887,kunishuClan!A:A,kunishuClan!B:B),"浪人")))</f>
      </c>
      <c r="F1845" s="4">
        <v>0</v>
      </c>
      <c r="G1845" s="4">
        <v>120</v>
      </c>
      <c r="H1845" s="12" t="str">
        <f t="array" ref="H1845">IF(G1845:G5887="","",_xlfn.XLOOKUP(G1845:G5887,castles_state!A:A,castles_state!D:D,"見つかりません"))</f>
      </c>
      <c r="I1845" s="4"/>
      <c r="J1845" s="12" t="str">
        <f t="array" ref="J1845">IF(I1845:I5887="","",_xlfn.XLOOKUP(I1845:I5887,'参照_姫'!A:A,'参照_姫'!B:B,"見つかりません"))</f>
      </c>
      <c r="K1845" s="4">
        <v>95</v>
      </c>
      <c r="L1845" s="4">
        <v>300</v>
      </c>
      <c r="M1845" s="4"/>
      <c r="N1845" s="4"/>
      <c r="O1845" s="4"/>
      <c r="P1845" s="12" t="str">
        <f t="array" ref="P1845">IF(O1845:O5887="","",_xlfn.XLOOKUP(O1845:O5887,'参照_官位'!A:A,'参照_官位'!B:B,""))</f>
      </c>
      <c r="Q1845" s="12" t="str">
        <f t="array" ref="Q1845">IF(A1845:A5887="","",IFERROR(_xlfn.XLOOKUP(A1845:A5887,castles_state!K:K,castles_state!D:D)&amp;"主",IFERROR(_xlfn.XLOOKUP(A1845:A5887,kunishuClan!D:D,kunishuClan!B:B)&amp;"当主","")))</f>
      </c>
    </row>
    <row r="1846" ht="15.75" customHeight="1">
      <c r="A1846" s="4">
        <v>1043007</v>
      </c>
      <c r="B1846" s="12" t="str">
        <f t="array" ref="B1846">IF(A1846:A5888="","",_xlfn.XLOOKUP(A1846:A5888,'参照_武将'!A:A,'参照_武将'!B:B,"見つかりません"))</f>
      </c>
      <c r="C1846" s="4" t="s">
        <v>226</v>
      </c>
      <c r="D1846" s="4">
        <v>43</v>
      </c>
      <c r="E1846" s="12" t="str">
        <f t="array" ref="E1846">IF(D1846:D5888="","",IFERROR(_xlfn.XLOOKUP(D1846:D5888,'参照_勢力'!A:A,'参照_勢力'!B:B),IFERROR(_xlfn.XLOOKUP(F1846:F5888,kunishuClan!A:A,kunishuClan!B:B),"浪人")))</f>
      </c>
      <c r="F1846" s="4">
        <v>0</v>
      </c>
      <c r="G1846" s="4">
        <v>109</v>
      </c>
      <c r="H1846" s="12" t="str">
        <f t="array" ref="H1846">IF(G1846:G5888="","",_xlfn.XLOOKUP(G1846:G5888,castles_state!A:A,castles_state!D:D,"見つかりません"))</f>
      </c>
      <c r="I1846" s="4"/>
      <c r="J1846" s="12" t="str">
        <f t="array" ref="J1846">IF(I1846:I5888="","",_xlfn.XLOOKUP(I1846:I5888,'参照_姫'!A:A,'参照_姫'!B:B,"見つかりません"))</f>
      </c>
      <c r="K1846" s="4">
        <v>95</v>
      </c>
      <c r="L1846" s="4">
        <v>0</v>
      </c>
      <c r="M1846" s="4"/>
      <c r="N1846" s="4"/>
      <c r="O1846" s="4"/>
      <c r="P1846" s="12" t="str">
        <f t="array" ref="P1846">IF(O1846:O5888="","",_xlfn.XLOOKUP(O1846:O5888,'参照_官位'!A:A,'参照_官位'!B:B,""))</f>
      </c>
      <c r="Q1846" s="12" t="str">
        <f t="array" ref="Q1846">IF(A1846:A5888="","",IFERROR(_xlfn.XLOOKUP(A1846:A5888,castles_state!K:K,castles_state!D:D)&amp;"主",IFERROR(_xlfn.XLOOKUP(A1846:A5888,kunishuClan!D:D,kunishuClan!B:B)&amp;"当主","")))</f>
      </c>
    </row>
    <row r="1847" ht="15.75" customHeight="1">
      <c r="A1847" s="4">
        <v>1043008</v>
      </c>
      <c r="B1847" s="12" t="str">
        <f t="array" ref="B1847">IF(A1847:A5889="","",_xlfn.XLOOKUP(A1847:A5889,'参照_武将'!A:A,'参照_武将'!B:B,"見つかりません"))</f>
      </c>
      <c r="C1847" s="4" t="s">
        <v>226</v>
      </c>
      <c r="D1847" s="4">
        <v>25</v>
      </c>
      <c r="E1847" s="12" t="str">
        <f t="array" ref="E1847">IF(D1847:D5889="","",IFERROR(_xlfn.XLOOKUP(D1847:D5889,'参照_勢力'!A:A,'参照_勢力'!B:B),IFERROR(_xlfn.XLOOKUP(F1847:F5889,kunishuClan!A:A,kunishuClan!B:B),"浪人")))</f>
      </c>
      <c r="F1847" s="4">
        <v>0</v>
      </c>
      <c r="G1847" s="4">
        <v>120</v>
      </c>
      <c r="H1847" s="12" t="str">
        <f t="array" ref="H1847">IF(G1847:G5889="","",_xlfn.XLOOKUP(G1847:G5889,castles_state!A:A,castles_state!D:D,"見つかりません"))</f>
      </c>
      <c r="I1847" s="4"/>
      <c r="J1847" s="12" t="str">
        <f t="array" ref="J1847">IF(I1847:I5889="","",_xlfn.XLOOKUP(I1847:I5889,'参照_姫'!A:A,'参照_姫'!B:B,"見つかりません"))</f>
      </c>
      <c r="K1847" s="4">
        <v>95</v>
      </c>
      <c r="L1847" s="4">
        <v>300</v>
      </c>
      <c r="M1847" s="4"/>
      <c r="N1847" s="4"/>
      <c r="O1847" s="4"/>
      <c r="P1847" s="12" t="str">
        <f t="array" ref="P1847">IF(O1847:O5889="","",_xlfn.XLOOKUP(O1847:O5889,'参照_官位'!A:A,'参照_官位'!B:B,""))</f>
      </c>
      <c r="Q1847" s="12" t="str">
        <f t="array" ref="Q1847">IF(A1847:A5889="","",IFERROR(_xlfn.XLOOKUP(A1847:A5889,castles_state!K:K,castles_state!D:D)&amp;"主",IFERROR(_xlfn.XLOOKUP(A1847:A5889,kunishuClan!D:D,kunishuClan!B:B)&amp;"当主","")))</f>
      </c>
    </row>
    <row r="1848" ht="15.75" customHeight="1">
      <c r="A1848" s="4">
        <v>1043009</v>
      </c>
      <c r="B1848" s="12" t="str">
        <f t="array" ref="B1848">IF(A1848:A5890="","",_xlfn.XLOOKUP(A1848:A5890,'参照_武将'!A:A,'参照_武将'!B:B,"見つかりません"))</f>
      </c>
      <c r="C1848" s="4" t="s">
        <v>226</v>
      </c>
      <c r="D1848" s="4">
        <v>43</v>
      </c>
      <c r="E1848" s="12" t="str">
        <f t="array" ref="E1848">IF(D1848:D5890="","",IFERROR(_xlfn.XLOOKUP(D1848:D5890,'参照_勢力'!A:A,'参照_勢力'!B:B),IFERROR(_xlfn.XLOOKUP(F1848:F5890,kunishuClan!A:A,kunishuClan!B:B),"浪人")))</f>
      </c>
      <c r="F1848" s="4">
        <v>0</v>
      </c>
      <c r="G1848" s="4">
        <v>109</v>
      </c>
      <c r="H1848" s="12" t="str">
        <f t="array" ref="H1848">IF(G1848:G5890="","",_xlfn.XLOOKUP(G1848:G5890,castles_state!A:A,castles_state!D:D,"見つかりません"))</f>
      </c>
      <c r="I1848" s="4"/>
      <c r="J1848" s="12" t="str">
        <f t="array" ref="J1848">IF(I1848:I5890="","",_xlfn.XLOOKUP(I1848:I5890,'参照_姫'!A:A,'参照_姫'!B:B,"見つかりません"))</f>
      </c>
      <c r="K1848" s="4">
        <v>95</v>
      </c>
      <c r="L1848" s="4">
        <v>0</v>
      </c>
      <c r="M1848" s="4"/>
      <c r="N1848" s="4"/>
      <c r="O1848" s="4"/>
      <c r="P1848" s="12" t="str">
        <f t="array" ref="P1848">IF(O1848:O5890="","",_xlfn.XLOOKUP(O1848:O5890,'参照_官位'!A:A,'参照_官位'!B:B,""))</f>
      </c>
      <c r="Q1848" s="12" t="str">
        <f t="array" ref="Q1848">IF(A1848:A5890="","",IFERROR(_xlfn.XLOOKUP(A1848:A5890,castles_state!K:K,castles_state!D:D)&amp;"主",IFERROR(_xlfn.XLOOKUP(A1848:A5890,kunishuClan!D:D,kunishuClan!B:B)&amp;"当主","")))</f>
      </c>
    </row>
    <row r="1849" ht="15.75" customHeight="1">
      <c r="A1849" s="4">
        <v>1043010</v>
      </c>
      <c r="B1849" s="12" t="str">
        <f t="array" ref="B1849">IF(A1849:A5891="","",_xlfn.XLOOKUP(A1849:A5891,'参照_武将'!A:A,'参照_武将'!B:B,"見つかりません"))</f>
      </c>
      <c r="C1849" s="4" t="s">
        <v>226</v>
      </c>
      <c r="D1849" s="4">
        <v>43</v>
      </c>
      <c r="E1849" s="12" t="str">
        <f t="array" ref="E1849">IF(D1849:D5891="","",IFERROR(_xlfn.XLOOKUP(D1849:D5891,'参照_勢力'!A:A,'参照_勢力'!B:B),IFERROR(_xlfn.XLOOKUP(F1849:F5891,kunishuClan!A:A,kunishuClan!B:B),"浪人")))</f>
      </c>
      <c r="F1849" s="4">
        <v>0</v>
      </c>
      <c r="G1849" s="4">
        <v>109</v>
      </c>
      <c r="H1849" s="12" t="str">
        <f t="array" ref="H1849">IF(G1849:G5891="","",_xlfn.XLOOKUP(G1849:G5891,castles_state!A:A,castles_state!D:D,"見つかりません"))</f>
      </c>
      <c r="I1849" s="4"/>
      <c r="J1849" s="12" t="str">
        <f t="array" ref="J1849">IF(I1849:I5891="","",_xlfn.XLOOKUP(I1849:I5891,'参照_姫'!A:A,'参照_姫'!B:B,"見つかりません"))</f>
      </c>
      <c r="K1849" s="4">
        <v>95</v>
      </c>
      <c r="L1849" s="4">
        <v>500</v>
      </c>
      <c r="M1849" s="4"/>
      <c r="N1849" s="4"/>
      <c r="O1849" s="4"/>
      <c r="P1849" s="12" t="str">
        <f t="array" ref="P1849">IF(O1849:O5891="","",_xlfn.XLOOKUP(O1849:O5891,'参照_官位'!A:A,'参照_官位'!B:B,""))</f>
      </c>
      <c r="Q1849" s="12" t="str">
        <f t="array" ref="Q1849">IF(A1849:A5891="","",IFERROR(_xlfn.XLOOKUP(A1849:A5891,castles_state!K:K,castles_state!D:D)&amp;"主",IFERROR(_xlfn.XLOOKUP(A1849:A5891,kunishuClan!D:D,kunishuClan!B:B)&amp;"当主","")))</f>
      </c>
    </row>
    <row r="1850" ht="15.75" customHeight="1">
      <c r="A1850" s="4">
        <v>1043011</v>
      </c>
      <c r="B1850" s="12" t="str">
        <f t="array" ref="B1850">IF(A1850:A5892="","",_xlfn.XLOOKUP(A1850:A5892,'参照_武将'!A:A,'参照_武将'!B:B,"見つかりません"))</f>
      </c>
      <c r="C1850" s="4" t="s">
        <v>226</v>
      </c>
      <c r="D1850" s="4">
        <v>43</v>
      </c>
      <c r="E1850" s="12" t="str">
        <f t="array" ref="E1850">IF(D1850:D5892="","",IFERROR(_xlfn.XLOOKUP(D1850:D5892,'参照_勢力'!A:A,'参照_勢力'!B:B),IFERROR(_xlfn.XLOOKUP(F1850:F5892,kunishuClan!A:A,kunishuClan!B:B),"浪人")))</f>
      </c>
      <c r="F1850" s="4">
        <v>0</v>
      </c>
      <c r="G1850" s="4">
        <v>109</v>
      </c>
      <c r="H1850" s="12" t="str">
        <f t="array" ref="H1850">IF(G1850:G5892="","",_xlfn.XLOOKUP(G1850:G5892,castles_state!A:A,castles_state!D:D,"見つかりません"))</f>
      </c>
      <c r="I1850" s="4"/>
      <c r="J1850" s="12" t="str">
        <f t="array" ref="J1850">IF(I1850:I5892="","",_xlfn.XLOOKUP(I1850:I5892,'参照_姫'!A:A,'参照_姫'!B:B,"見つかりません"))</f>
      </c>
      <c r="K1850" s="4">
        <v>100</v>
      </c>
      <c r="L1850" s="4">
        <v>1000</v>
      </c>
      <c r="M1850" s="4"/>
      <c r="N1850" s="4"/>
      <c r="O1850" s="4"/>
      <c r="P1850" s="12" t="str">
        <f t="array" ref="P1850">IF(O1850:O5892="","",_xlfn.XLOOKUP(O1850:O5892,'参照_官位'!A:A,'参照_官位'!B:B,""))</f>
      </c>
      <c r="Q1850" s="12" t="str">
        <f t="array" ref="Q1850">IF(A1850:A5892="","",IFERROR(_xlfn.XLOOKUP(A1850:A5892,castles_state!K:K,castles_state!D:D)&amp;"主",IFERROR(_xlfn.XLOOKUP(A1850:A5892,kunishuClan!D:D,kunishuClan!B:B)&amp;"当主","")))</f>
      </c>
    </row>
    <row r="1851" ht="15.75" customHeight="1">
      <c r="A1851" s="4">
        <v>1043012</v>
      </c>
      <c r="B1851" s="12" t="str">
        <f t="array" ref="B1851">IF(A1851:A5893="","",_xlfn.XLOOKUP(A1851:A5893,'参照_武将'!A:A,'参照_武将'!B:B,"見つかりません"))</f>
      </c>
      <c r="C1851" s="4" t="s">
        <v>226</v>
      </c>
      <c r="D1851" s="4">
        <v>43</v>
      </c>
      <c r="E1851" s="12" t="str">
        <f t="array" ref="E1851">IF(D1851:D5893="","",IFERROR(_xlfn.XLOOKUP(D1851:D5893,'参照_勢力'!A:A,'参照_勢力'!B:B),IFERROR(_xlfn.XLOOKUP(F1851:F5893,kunishuClan!A:A,kunishuClan!B:B),"浪人")))</f>
      </c>
      <c r="F1851" s="4">
        <v>0</v>
      </c>
      <c r="G1851" s="4">
        <v>109</v>
      </c>
      <c r="H1851" s="12" t="str">
        <f t="array" ref="H1851">IF(G1851:G5893="","",_xlfn.XLOOKUP(G1851:G5893,castles_state!A:A,castles_state!D:D,"見つかりません"))</f>
      </c>
      <c r="I1851" s="4"/>
      <c r="J1851" s="12" t="str">
        <f t="array" ref="J1851">IF(I1851:I5893="","",_xlfn.XLOOKUP(I1851:I5893,'参照_姫'!A:A,'参照_姫'!B:B,"見つかりません"))</f>
      </c>
      <c r="K1851" s="4">
        <v>95</v>
      </c>
      <c r="L1851" s="4">
        <v>0</v>
      </c>
      <c r="M1851" s="4"/>
      <c r="N1851" s="4"/>
      <c r="O1851" s="4"/>
      <c r="P1851" s="12" t="str">
        <f t="array" ref="P1851">IF(O1851:O5893="","",_xlfn.XLOOKUP(O1851:O5893,'参照_官位'!A:A,'参照_官位'!B:B,""))</f>
      </c>
      <c r="Q1851" s="12" t="str">
        <f t="array" ref="Q1851">IF(A1851:A5893="","",IFERROR(_xlfn.XLOOKUP(A1851:A5893,castles_state!K:K,castles_state!D:D)&amp;"主",IFERROR(_xlfn.XLOOKUP(A1851:A5893,kunishuClan!D:D,kunishuClan!B:B)&amp;"当主","")))</f>
      </c>
    </row>
    <row r="1852" ht="15.75" customHeight="1">
      <c r="A1852" s="4">
        <v>1043013</v>
      </c>
      <c r="B1852" s="12" t="str">
        <f t="array" ref="B1852">IF(A1852:A5894="","",_xlfn.XLOOKUP(A1852:A5894,'参照_武将'!A:A,'参照_武将'!B:B,"見つかりません"))</f>
      </c>
      <c r="C1852" s="4" t="s">
        <v>226</v>
      </c>
      <c r="D1852" s="4">
        <v>43</v>
      </c>
      <c r="E1852" s="12" t="str">
        <f t="array" ref="E1852">IF(D1852:D5894="","",IFERROR(_xlfn.XLOOKUP(D1852:D5894,'参照_勢力'!A:A,'参照_勢力'!B:B),IFERROR(_xlfn.XLOOKUP(F1852:F5894,kunishuClan!A:A,kunishuClan!B:B),"浪人")))</f>
      </c>
      <c r="F1852" s="4">
        <v>0</v>
      </c>
      <c r="G1852" s="4">
        <v>109</v>
      </c>
      <c r="H1852" s="12" t="str">
        <f t="array" ref="H1852">IF(G1852:G5894="","",_xlfn.XLOOKUP(G1852:G5894,castles_state!A:A,castles_state!D:D,"見つかりません"))</f>
      </c>
      <c r="I1852" s="4"/>
      <c r="J1852" s="12" t="str">
        <f t="array" ref="J1852">IF(I1852:I5894="","",_xlfn.XLOOKUP(I1852:I5894,'参照_姫'!A:A,'参照_姫'!B:B,"見つかりません"))</f>
      </c>
      <c r="K1852" s="4">
        <v>95</v>
      </c>
      <c r="L1852" s="4">
        <v>0</v>
      </c>
      <c r="M1852" s="4"/>
      <c r="N1852" s="4"/>
      <c r="O1852" s="4"/>
      <c r="P1852" s="12" t="str">
        <f t="array" ref="P1852">IF(O1852:O5894="","",_xlfn.XLOOKUP(O1852:O5894,'参照_官位'!A:A,'参照_官位'!B:B,""))</f>
      </c>
      <c r="Q1852" s="12" t="str">
        <f t="array" ref="Q1852">IF(A1852:A5894="","",IFERROR(_xlfn.XLOOKUP(A1852:A5894,castles_state!K:K,castles_state!D:D)&amp;"主",IFERROR(_xlfn.XLOOKUP(A1852:A5894,kunishuClan!D:D,kunishuClan!B:B)&amp;"当主","")))</f>
      </c>
    </row>
    <row r="1853" ht="15.75" customHeight="1">
      <c r="A1853" s="4">
        <v>1043014</v>
      </c>
      <c r="B1853" s="12" t="str">
        <f t="array" ref="B1853">IF(A1853:A5895="","",_xlfn.XLOOKUP(A1853:A5895,'参照_武将'!A:A,'参照_武将'!B:B,"見つかりません"))</f>
      </c>
      <c r="C1853" s="4" t="s">
        <v>226</v>
      </c>
      <c r="D1853" s="4">
        <v>43</v>
      </c>
      <c r="E1853" s="12" t="str">
        <f t="array" ref="E1853">IF(D1853:D5895="","",IFERROR(_xlfn.XLOOKUP(D1853:D5895,'参照_勢力'!A:A,'参照_勢力'!B:B),IFERROR(_xlfn.XLOOKUP(F1853:F5895,kunishuClan!A:A,kunishuClan!B:B),"浪人")))</f>
      </c>
      <c r="F1853" s="4">
        <v>0</v>
      </c>
      <c r="G1853" s="4">
        <v>109</v>
      </c>
      <c r="H1853" s="12" t="str">
        <f t="array" ref="H1853">IF(G1853:G5895="","",_xlfn.XLOOKUP(G1853:G5895,castles_state!A:A,castles_state!D:D,"見つかりません"))</f>
      </c>
      <c r="I1853" s="4"/>
      <c r="J1853" s="12" t="str">
        <f t="array" ref="J1853">IF(I1853:I5895="","",_xlfn.XLOOKUP(I1853:I5895,'参照_姫'!A:A,'参照_姫'!B:B,"見つかりません"))</f>
      </c>
      <c r="K1853" s="4">
        <v>95</v>
      </c>
      <c r="L1853" s="4">
        <v>0</v>
      </c>
      <c r="M1853" s="4"/>
      <c r="N1853" s="4"/>
      <c r="O1853" s="4"/>
      <c r="P1853" s="12" t="str">
        <f t="array" ref="P1853">IF(O1853:O5895="","",_xlfn.XLOOKUP(O1853:O5895,'参照_官位'!A:A,'参照_官位'!B:B,""))</f>
      </c>
      <c r="Q1853" s="12" t="str">
        <f t="array" ref="Q1853">IF(A1853:A5895="","",IFERROR(_xlfn.XLOOKUP(A1853:A5895,castles_state!K:K,castles_state!D:D)&amp;"主",IFERROR(_xlfn.XLOOKUP(A1853:A5895,kunishuClan!D:D,kunishuClan!B:B)&amp;"当主","")))</f>
      </c>
    </row>
    <row r="1854" ht="15.75" customHeight="1">
      <c r="A1854" s="4">
        <v>1043015</v>
      </c>
      <c r="B1854" s="12" t="str">
        <f t="array" ref="B1854">IF(A1854:A5896="","",_xlfn.XLOOKUP(A1854:A5896,'参照_武将'!A:A,'参照_武将'!B:B,"見つかりません"))</f>
      </c>
      <c r="C1854" s="4" t="s">
        <v>226</v>
      </c>
      <c r="D1854" s="4">
        <v>43</v>
      </c>
      <c r="E1854" s="12" t="str">
        <f t="array" ref="E1854">IF(D1854:D5896="","",IFERROR(_xlfn.XLOOKUP(D1854:D5896,'参照_勢力'!A:A,'参照_勢力'!B:B),IFERROR(_xlfn.XLOOKUP(F1854:F5896,kunishuClan!A:A,kunishuClan!B:B),"浪人")))</f>
      </c>
      <c r="F1854" s="4">
        <v>0</v>
      </c>
      <c r="G1854" s="4">
        <v>109</v>
      </c>
      <c r="H1854" s="12" t="str">
        <f t="array" ref="H1854">IF(G1854:G5896="","",_xlfn.XLOOKUP(G1854:G5896,castles_state!A:A,castles_state!D:D,"見つかりません"))</f>
      </c>
      <c r="I1854" s="4"/>
      <c r="J1854" s="12" t="str">
        <f t="array" ref="J1854">IF(I1854:I5896="","",_xlfn.XLOOKUP(I1854:I5896,'参照_姫'!A:A,'参照_姫'!B:B,"見つかりません"))</f>
      </c>
      <c r="K1854" s="4">
        <v>95</v>
      </c>
      <c r="L1854" s="4">
        <v>0</v>
      </c>
      <c r="M1854" s="4"/>
      <c r="N1854" s="4"/>
      <c r="O1854" s="4"/>
      <c r="P1854" s="12" t="str">
        <f t="array" ref="P1854">IF(O1854:O5896="","",_xlfn.XLOOKUP(O1854:O5896,'参照_官位'!A:A,'参照_官位'!B:B,""))</f>
      </c>
      <c r="Q1854" s="12" t="str">
        <f t="array" ref="Q1854">IF(A1854:A5896="","",IFERROR(_xlfn.XLOOKUP(A1854:A5896,castles_state!K:K,castles_state!D:D)&amp;"主",IFERROR(_xlfn.XLOOKUP(A1854:A5896,kunishuClan!D:D,kunishuClan!B:B)&amp;"当主","")))</f>
      </c>
    </row>
    <row r="1855" ht="15.75" customHeight="1">
      <c r="A1855" s="4">
        <v>1043016</v>
      </c>
      <c r="B1855" s="12" t="str">
        <f t="array" ref="B1855">IF(A1855:A5897="","",_xlfn.XLOOKUP(A1855:A5897,'参照_武将'!A:A,'参照_武将'!B:B,"見つかりません"))</f>
      </c>
      <c r="C1855" s="4" t="s">
        <v>226</v>
      </c>
      <c r="D1855" s="4">
        <v>43</v>
      </c>
      <c r="E1855" s="12" t="str">
        <f t="array" ref="E1855">IF(D1855:D5897="","",IFERROR(_xlfn.XLOOKUP(D1855:D5897,'参照_勢力'!A:A,'参照_勢力'!B:B),IFERROR(_xlfn.XLOOKUP(F1855:F5897,kunishuClan!A:A,kunishuClan!B:B),"浪人")))</f>
      </c>
      <c r="F1855" s="4">
        <v>0</v>
      </c>
      <c r="G1855" s="4">
        <v>109</v>
      </c>
      <c r="H1855" s="12" t="str">
        <f t="array" ref="H1855">IF(G1855:G5897="","",_xlfn.XLOOKUP(G1855:G5897,castles_state!A:A,castles_state!D:D,"見つかりません"))</f>
      </c>
      <c r="I1855" s="4"/>
      <c r="J1855" s="12" t="str">
        <f t="array" ref="J1855">IF(I1855:I5897="","",_xlfn.XLOOKUP(I1855:I5897,'参照_姫'!A:A,'参照_姫'!B:B,"見つかりません"))</f>
      </c>
      <c r="K1855" s="4">
        <v>95</v>
      </c>
      <c r="L1855" s="4">
        <v>0</v>
      </c>
      <c r="M1855" s="4"/>
      <c r="N1855" s="4"/>
      <c r="O1855" s="4"/>
      <c r="P1855" s="12" t="str">
        <f t="array" ref="P1855">IF(O1855:O5897="","",_xlfn.XLOOKUP(O1855:O5897,'参照_官位'!A:A,'参照_官位'!B:B,""))</f>
      </c>
      <c r="Q1855" s="12" t="str">
        <f t="array" ref="Q1855">IF(A1855:A5897="","",IFERROR(_xlfn.XLOOKUP(A1855:A5897,castles_state!K:K,castles_state!D:D)&amp;"主",IFERROR(_xlfn.XLOOKUP(A1855:A5897,kunishuClan!D:D,kunishuClan!B:B)&amp;"当主","")))</f>
      </c>
    </row>
    <row r="1856" ht="15.75" customHeight="1">
      <c r="A1856" s="4">
        <v>1043017</v>
      </c>
      <c r="B1856" s="12" t="str">
        <f t="array" ref="B1856">IF(A1856:A5898="","",_xlfn.XLOOKUP(A1856:A5898,'参照_武将'!A:A,'参照_武将'!B:B,"見つかりません"))</f>
      </c>
      <c r="C1856" s="4" t="s">
        <v>226</v>
      </c>
      <c r="D1856" s="4">
        <v>25</v>
      </c>
      <c r="E1856" s="12" t="str">
        <f t="array" ref="E1856">IF(D1856:D5898="","",IFERROR(_xlfn.XLOOKUP(D1856:D5898,'参照_勢力'!A:A,'参照_勢力'!B:B),IFERROR(_xlfn.XLOOKUP(F1856:F5898,kunishuClan!A:A,kunishuClan!B:B),"浪人")))</f>
      </c>
      <c r="F1856" s="4">
        <v>0</v>
      </c>
      <c r="G1856" s="4">
        <v>108</v>
      </c>
      <c r="H1856" s="12" t="str">
        <f t="array" ref="H1856">IF(G1856:G5898="","",_xlfn.XLOOKUP(G1856:G5898,castles_state!A:A,castles_state!D:D,"見つかりません"))</f>
      </c>
      <c r="I1856" s="4"/>
      <c r="J1856" s="12" t="str">
        <f t="array" ref="J1856">IF(I1856:I5898="","",_xlfn.XLOOKUP(I1856:I5898,'参照_姫'!A:A,'参照_姫'!B:B,"見つかりません"))</f>
      </c>
      <c r="K1856" s="4">
        <v>95</v>
      </c>
      <c r="L1856" s="4">
        <v>0</v>
      </c>
      <c r="M1856" s="4"/>
      <c r="N1856" s="4"/>
      <c r="O1856" s="4"/>
      <c r="P1856" s="12" t="str">
        <f t="array" ref="P1856">IF(O1856:O5898="","",_xlfn.XLOOKUP(O1856:O5898,'参照_官位'!A:A,'参照_官位'!B:B,""))</f>
      </c>
      <c r="Q1856" s="12" t="str">
        <f t="array" ref="Q1856">IF(A1856:A5898="","",IFERROR(_xlfn.XLOOKUP(A1856:A5898,castles_state!K:K,castles_state!D:D)&amp;"主",IFERROR(_xlfn.XLOOKUP(A1856:A5898,kunishuClan!D:D,kunishuClan!B:B)&amp;"当主","")))</f>
      </c>
    </row>
    <row r="1857" ht="15.75" customHeight="1">
      <c r="A1857" s="4">
        <v>1043018</v>
      </c>
      <c r="B1857" s="12" t="str">
        <f t="array" ref="B1857">IF(A1857:A5899="","",_xlfn.XLOOKUP(A1857:A5899,'参照_武将'!A:A,'参照_武将'!B:B,"見つかりません"))</f>
      </c>
      <c r="C1857" s="4" t="s">
        <v>226</v>
      </c>
      <c r="D1857" s="4">
        <v>25</v>
      </c>
      <c r="E1857" s="12" t="str">
        <f t="array" ref="E1857">IF(D1857:D5899="","",IFERROR(_xlfn.XLOOKUP(D1857:D5899,'参照_勢力'!A:A,'参照_勢力'!B:B),IFERROR(_xlfn.XLOOKUP(F1857:F5899,kunishuClan!A:A,kunishuClan!B:B),"浪人")))</f>
      </c>
      <c r="F1857" s="4">
        <v>0</v>
      </c>
      <c r="G1857" s="4">
        <v>108</v>
      </c>
      <c r="H1857" s="12" t="str">
        <f t="array" ref="H1857">IF(G1857:G5899="","",_xlfn.XLOOKUP(G1857:G5899,castles_state!A:A,castles_state!D:D,"見つかりません"))</f>
      </c>
      <c r="I1857" s="4"/>
      <c r="J1857" s="12" t="str">
        <f t="array" ref="J1857">IF(I1857:I5899="","",_xlfn.XLOOKUP(I1857:I5899,'参照_姫'!A:A,'参照_姫'!B:B,"見つかりません"))</f>
      </c>
      <c r="K1857" s="4">
        <v>95</v>
      </c>
      <c r="L1857" s="4">
        <v>0</v>
      </c>
      <c r="M1857" s="4"/>
      <c r="N1857" s="4"/>
      <c r="O1857" s="4"/>
      <c r="P1857" s="12" t="str">
        <f t="array" ref="P1857">IF(O1857:O5899="","",_xlfn.XLOOKUP(O1857:O5899,'参照_官位'!A:A,'参照_官位'!B:B,""))</f>
      </c>
      <c r="Q1857" s="12" t="str">
        <f t="array" ref="Q1857">IF(A1857:A5899="","",IFERROR(_xlfn.XLOOKUP(A1857:A5899,castles_state!K:K,castles_state!D:D)&amp;"主",IFERROR(_xlfn.XLOOKUP(A1857:A5899,kunishuClan!D:D,kunishuClan!B:B)&amp;"当主","")))</f>
      </c>
    </row>
    <row r="1858" ht="15.75" customHeight="1">
      <c r="A1858" s="4">
        <v>1043019</v>
      </c>
      <c r="B1858" s="12" t="str">
        <f t="array" ref="B1858">IF(A1858:A5900="","",_xlfn.XLOOKUP(A1858:A5900,'参照_武将'!A:A,'参照_武将'!B:B,"見つかりません"))</f>
      </c>
      <c r="C1858" s="4" t="s">
        <v>226</v>
      </c>
      <c r="D1858" s="4">
        <v>43</v>
      </c>
      <c r="E1858" s="12" t="str">
        <f t="array" ref="E1858">IF(D1858:D5900="","",IFERROR(_xlfn.XLOOKUP(D1858:D5900,'参照_勢力'!A:A,'参照_勢力'!B:B),IFERROR(_xlfn.XLOOKUP(F1858:F5900,kunishuClan!A:A,kunishuClan!B:B),"浪人")))</f>
      </c>
      <c r="F1858" s="4">
        <v>0</v>
      </c>
      <c r="G1858" s="4">
        <v>109</v>
      </c>
      <c r="H1858" s="12" t="str">
        <f t="array" ref="H1858">IF(G1858:G5900="","",_xlfn.XLOOKUP(G1858:G5900,castles_state!A:A,castles_state!D:D,"見つかりません"))</f>
      </c>
      <c r="I1858" s="4"/>
      <c r="J1858" s="12" t="str">
        <f t="array" ref="J1858">IF(I1858:I5900="","",_xlfn.XLOOKUP(I1858:I5900,'参照_姫'!A:A,'参照_姫'!B:B,"見つかりません"))</f>
      </c>
      <c r="K1858" s="4">
        <v>95</v>
      </c>
      <c r="L1858" s="4">
        <v>0</v>
      </c>
      <c r="M1858" s="4"/>
      <c r="N1858" s="4"/>
      <c r="O1858" s="4"/>
      <c r="P1858" s="12" t="str">
        <f t="array" ref="P1858">IF(O1858:O5900="","",_xlfn.XLOOKUP(O1858:O5900,'参照_官位'!A:A,'参照_官位'!B:B,""))</f>
      </c>
      <c r="Q1858" s="12" t="str">
        <f t="array" ref="Q1858">IF(A1858:A5900="","",IFERROR(_xlfn.XLOOKUP(A1858:A5900,castles_state!K:K,castles_state!D:D)&amp;"主",IFERROR(_xlfn.XLOOKUP(A1858:A5900,kunishuClan!D:D,kunishuClan!B:B)&amp;"当主","")))</f>
      </c>
    </row>
    <row r="1859" ht="15.75" customHeight="1">
      <c r="A1859" s="4">
        <v>1043020</v>
      </c>
      <c r="B1859" s="12" t="str">
        <f t="array" ref="B1859">IF(A1859:A5901="","",_xlfn.XLOOKUP(A1859:A5901,'参照_武将'!A:A,'参照_武将'!B:B,"見つかりません"))</f>
      </c>
      <c r="C1859" s="4" t="s">
        <v>226</v>
      </c>
      <c r="D1859" s="4">
        <v>43</v>
      </c>
      <c r="E1859" s="12" t="str">
        <f t="array" ref="E1859">IF(D1859:D5901="","",IFERROR(_xlfn.XLOOKUP(D1859:D5901,'参照_勢力'!A:A,'参照_勢力'!B:B),IFERROR(_xlfn.XLOOKUP(F1859:F5901,kunishuClan!A:A,kunishuClan!B:B),"浪人")))</f>
      </c>
      <c r="F1859" s="4">
        <v>0</v>
      </c>
      <c r="G1859" s="4">
        <v>109</v>
      </c>
      <c r="H1859" s="12" t="str">
        <f t="array" ref="H1859">IF(G1859:G5901="","",_xlfn.XLOOKUP(G1859:G5901,castles_state!A:A,castles_state!D:D,"見つかりません"))</f>
      </c>
      <c r="I1859" s="4"/>
      <c r="J1859" s="12" t="str">
        <f t="array" ref="J1859">IF(I1859:I5901="","",_xlfn.XLOOKUP(I1859:I5901,'参照_姫'!A:A,'参照_姫'!B:B,"見つかりません"))</f>
      </c>
      <c r="K1859" s="4">
        <v>95</v>
      </c>
      <c r="L1859" s="4">
        <v>0</v>
      </c>
      <c r="M1859" s="4"/>
      <c r="N1859" s="4"/>
      <c r="O1859" s="4"/>
      <c r="P1859" s="12" t="str">
        <f t="array" ref="P1859">IF(O1859:O5901="","",_xlfn.XLOOKUP(O1859:O5901,'参照_官位'!A:A,'参照_官位'!B:B,""))</f>
      </c>
      <c r="Q1859" s="12" t="str">
        <f t="array" ref="Q1859">IF(A1859:A5901="","",IFERROR(_xlfn.XLOOKUP(A1859:A5901,castles_state!K:K,castles_state!D:D)&amp;"主",IFERROR(_xlfn.XLOOKUP(A1859:A5901,kunishuClan!D:D,kunishuClan!B:B)&amp;"当主","")))</f>
      </c>
    </row>
    <row r="1860" ht="15.75" customHeight="1">
      <c r="A1860" s="4">
        <v>1043021</v>
      </c>
      <c r="B1860" s="12" t="str">
        <f t="array" ref="B1860">IF(A1860:A5902="","",_xlfn.XLOOKUP(A1860:A5902,'参照_武将'!A:A,'参照_武将'!B:B,"見つかりません"))</f>
      </c>
      <c r="C1860" s="4" t="s">
        <v>226</v>
      </c>
      <c r="D1860" s="4">
        <v>25</v>
      </c>
      <c r="E1860" s="12" t="str">
        <f t="array" ref="E1860">IF(D1860:D5902="","",IFERROR(_xlfn.XLOOKUP(D1860:D5902,'参照_勢力'!A:A,'参照_勢力'!B:B),IFERROR(_xlfn.XLOOKUP(F1860:F5902,kunishuClan!A:A,kunishuClan!B:B),"浪人")))</f>
      </c>
      <c r="F1860" s="4">
        <v>0</v>
      </c>
      <c r="G1860" s="4">
        <v>108</v>
      </c>
      <c r="H1860" s="12" t="str">
        <f t="array" ref="H1860">IF(G1860:G5902="","",_xlfn.XLOOKUP(G1860:G5902,castles_state!A:A,castles_state!D:D,"見つかりません"))</f>
      </c>
      <c r="I1860" s="4"/>
      <c r="J1860" s="12" t="str">
        <f t="array" ref="J1860">IF(I1860:I5902="","",_xlfn.XLOOKUP(I1860:I5902,'参照_姫'!A:A,'参照_姫'!B:B,"見つかりません"))</f>
      </c>
      <c r="K1860" s="4">
        <v>95</v>
      </c>
      <c r="L1860" s="4">
        <v>0</v>
      </c>
      <c r="M1860" s="4"/>
      <c r="N1860" s="4"/>
      <c r="O1860" s="4"/>
      <c r="P1860" s="12" t="str">
        <f t="array" ref="P1860">IF(O1860:O5902="","",_xlfn.XLOOKUP(O1860:O5902,'参照_官位'!A:A,'参照_官位'!B:B,""))</f>
      </c>
      <c r="Q1860" s="12" t="str">
        <f t="array" ref="Q1860">IF(A1860:A5902="","",IFERROR(_xlfn.XLOOKUP(A1860:A5902,castles_state!K:K,castles_state!D:D)&amp;"主",IFERROR(_xlfn.XLOOKUP(A1860:A5902,kunishuClan!D:D,kunishuClan!B:B)&amp;"当主","")))</f>
      </c>
    </row>
    <row r="1861" ht="15.75" customHeight="1">
      <c r="A1861" s="4">
        <v>1043022</v>
      </c>
      <c r="B1861" s="12" t="str">
        <f t="array" ref="B1861">IF(A1861:A5903="","",_xlfn.XLOOKUP(A1861:A5903,'参照_武将'!A:A,'参照_武将'!B:B,"見つかりません"))</f>
      </c>
      <c r="C1861" s="4" t="s">
        <v>226</v>
      </c>
      <c r="D1861" s="4">
        <v>43</v>
      </c>
      <c r="E1861" s="12" t="str">
        <f t="array" ref="E1861">IF(D1861:D5903="","",IFERROR(_xlfn.XLOOKUP(D1861:D5903,'参照_勢力'!A:A,'参照_勢力'!B:B),IFERROR(_xlfn.XLOOKUP(F1861:F5903,kunishuClan!A:A,kunishuClan!B:B),"浪人")))</f>
      </c>
      <c r="F1861" s="4">
        <v>0</v>
      </c>
      <c r="G1861" s="4">
        <v>109</v>
      </c>
      <c r="H1861" s="12" t="str">
        <f t="array" ref="H1861">IF(G1861:G5903="","",_xlfn.XLOOKUP(G1861:G5903,castles_state!A:A,castles_state!D:D,"見つかりません"))</f>
      </c>
      <c r="I1861" s="4"/>
      <c r="J1861" s="12" t="str">
        <f t="array" ref="J1861">IF(I1861:I5903="","",_xlfn.XLOOKUP(I1861:I5903,'参照_姫'!A:A,'参照_姫'!B:B,"見つかりません"))</f>
      </c>
      <c r="K1861" s="4">
        <v>95</v>
      </c>
      <c r="L1861" s="4">
        <v>0</v>
      </c>
      <c r="M1861" s="4"/>
      <c r="N1861" s="4"/>
      <c r="O1861" s="4"/>
      <c r="P1861" s="12" t="str">
        <f t="array" ref="P1861">IF(O1861:O5903="","",_xlfn.XLOOKUP(O1861:O5903,'参照_官位'!A:A,'参照_官位'!B:B,""))</f>
      </c>
      <c r="Q1861" s="12" t="str">
        <f t="array" ref="Q1861">IF(A1861:A5903="","",IFERROR(_xlfn.XLOOKUP(A1861:A5903,castles_state!K:K,castles_state!D:D)&amp;"主",IFERROR(_xlfn.XLOOKUP(A1861:A5903,kunishuClan!D:D,kunishuClan!B:B)&amp;"当主","")))</f>
      </c>
    </row>
    <row r="1862" ht="15.75" customHeight="1">
      <c r="A1862" s="4">
        <v>1043023</v>
      </c>
      <c r="B1862" s="12" t="str">
        <f t="array" ref="B1862">IF(A1862:A5904="","",_xlfn.XLOOKUP(A1862:A5904,'参照_武将'!A:A,'参照_武将'!B:B,"見つかりません"))</f>
      </c>
      <c r="C1862" s="4" t="s">
        <v>226</v>
      </c>
      <c r="D1862" s="4">
        <v>25</v>
      </c>
      <c r="E1862" s="12" t="str">
        <f t="array" ref="E1862">IF(D1862:D5904="","",IFERROR(_xlfn.XLOOKUP(D1862:D5904,'参照_勢力'!A:A,'参照_勢力'!B:B),IFERROR(_xlfn.XLOOKUP(F1862:F5904,kunishuClan!A:A,kunishuClan!B:B),"浪人")))</f>
      </c>
      <c r="F1862" s="4">
        <v>0</v>
      </c>
      <c r="G1862" s="4">
        <v>108</v>
      </c>
      <c r="H1862" s="12" t="str">
        <f t="array" ref="H1862">IF(G1862:G5904="","",_xlfn.XLOOKUP(G1862:G5904,castles_state!A:A,castles_state!D:D,"見つかりません"))</f>
      </c>
      <c r="I1862" s="4"/>
      <c r="J1862" s="12" t="str">
        <f t="array" ref="J1862">IF(I1862:I5904="","",_xlfn.XLOOKUP(I1862:I5904,'参照_姫'!A:A,'参照_姫'!B:B,"見つかりません"))</f>
      </c>
      <c r="K1862" s="4">
        <v>95</v>
      </c>
      <c r="L1862" s="4">
        <v>500</v>
      </c>
      <c r="M1862" s="4"/>
      <c r="N1862" s="4"/>
      <c r="O1862" s="4"/>
      <c r="P1862" s="12" t="str">
        <f t="array" ref="P1862">IF(O1862:O5904="","",_xlfn.XLOOKUP(O1862:O5904,'参照_官位'!A:A,'参照_官位'!B:B,""))</f>
      </c>
      <c r="Q1862" s="12" t="str">
        <f t="array" ref="Q1862">IF(A1862:A5904="","",IFERROR(_xlfn.XLOOKUP(A1862:A5904,castles_state!K:K,castles_state!D:D)&amp;"主",IFERROR(_xlfn.XLOOKUP(A1862:A5904,kunishuClan!D:D,kunishuClan!B:B)&amp;"当主","")))</f>
      </c>
    </row>
    <row r="1863" ht="15.75" customHeight="1">
      <c r="A1863" s="4">
        <v>1043024</v>
      </c>
      <c r="B1863" s="12" t="str">
        <f t="array" ref="B1863">IF(A1863:A5905="","",_xlfn.XLOOKUP(A1863:A5905,'参照_武将'!A:A,'参照_武将'!B:B,"見つかりません"))</f>
      </c>
      <c r="C1863" s="4" t="s">
        <v>226</v>
      </c>
      <c r="D1863" s="4">
        <v>25</v>
      </c>
      <c r="E1863" s="12" t="str">
        <f t="array" ref="E1863">IF(D1863:D5905="","",IFERROR(_xlfn.XLOOKUP(D1863:D5905,'参照_勢力'!A:A,'参照_勢力'!B:B),IFERROR(_xlfn.XLOOKUP(F1863:F5905,kunishuClan!A:A,kunishuClan!B:B),"浪人")))</f>
      </c>
      <c r="F1863" s="4">
        <v>0</v>
      </c>
      <c r="G1863" s="4">
        <v>108</v>
      </c>
      <c r="H1863" s="12" t="str">
        <f t="array" ref="H1863">IF(G1863:G5905="","",_xlfn.XLOOKUP(G1863:G5905,castles_state!A:A,castles_state!D:D,"見つかりません"))</f>
      </c>
      <c r="I1863" s="4"/>
      <c r="J1863" s="12" t="str">
        <f t="array" ref="J1863">IF(I1863:I5905="","",_xlfn.XLOOKUP(I1863:I5905,'参照_姫'!A:A,'参照_姫'!B:B,"見つかりません"))</f>
      </c>
      <c r="K1863" s="4">
        <v>95</v>
      </c>
      <c r="L1863" s="4">
        <v>0</v>
      </c>
      <c r="M1863" s="4"/>
      <c r="N1863" s="4"/>
      <c r="O1863" s="4"/>
      <c r="P1863" s="12" t="str">
        <f t="array" ref="P1863">IF(O1863:O5905="","",_xlfn.XLOOKUP(O1863:O5905,'参照_官位'!A:A,'参照_官位'!B:B,""))</f>
      </c>
      <c r="Q1863" s="12" t="str">
        <f t="array" ref="Q1863">IF(A1863:A5905="","",IFERROR(_xlfn.XLOOKUP(A1863:A5905,castles_state!K:K,castles_state!D:D)&amp;"主",IFERROR(_xlfn.XLOOKUP(A1863:A5905,kunishuClan!D:D,kunishuClan!B:B)&amp;"当主","")))</f>
      </c>
    </row>
    <row r="1864" ht="15.75" customHeight="1">
      <c r="A1864" s="4">
        <v>1043025</v>
      </c>
      <c r="B1864" s="12" t="str">
        <f t="array" ref="B1864">IF(A1864:A5906="","",_xlfn.XLOOKUP(A1864:A5906,'参照_武将'!A:A,'参照_武将'!B:B,"見つかりません"))</f>
      </c>
      <c r="C1864" s="4" t="s">
        <v>226</v>
      </c>
      <c r="D1864" s="4">
        <v>43</v>
      </c>
      <c r="E1864" s="12" t="str">
        <f t="array" ref="E1864">IF(D1864:D5906="","",IFERROR(_xlfn.XLOOKUP(D1864:D5906,'参照_勢力'!A:A,'参照_勢力'!B:B),IFERROR(_xlfn.XLOOKUP(F1864:F5906,kunishuClan!A:A,kunishuClan!B:B),"浪人")))</f>
      </c>
      <c r="F1864" s="4">
        <v>0</v>
      </c>
      <c r="G1864" s="4">
        <v>109</v>
      </c>
      <c r="H1864" s="12" t="str">
        <f t="array" ref="H1864">IF(G1864:G5906="","",_xlfn.XLOOKUP(G1864:G5906,castles_state!A:A,castles_state!D:D,"見つかりません"))</f>
      </c>
      <c r="I1864" s="4"/>
      <c r="J1864" s="12" t="str">
        <f t="array" ref="J1864">IF(I1864:I5906="","",_xlfn.XLOOKUP(I1864:I5906,'参照_姫'!A:A,'参照_姫'!B:B,"見つかりません"))</f>
      </c>
      <c r="K1864" s="4">
        <v>95</v>
      </c>
      <c r="L1864" s="4">
        <v>500</v>
      </c>
      <c r="M1864" s="4"/>
      <c r="N1864" s="4"/>
      <c r="O1864" s="4"/>
      <c r="P1864" s="12" t="str">
        <f t="array" ref="P1864">IF(O1864:O5906="","",_xlfn.XLOOKUP(O1864:O5906,'参照_官位'!A:A,'参照_官位'!B:B,""))</f>
      </c>
      <c r="Q1864" s="12" t="str">
        <f t="array" ref="Q1864">IF(A1864:A5906="","",IFERROR(_xlfn.XLOOKUP(A1864:A5906,castles_state!K:K,castles_state!D:D)&amp;"主",IFERROR(_xlfn.XLOOKUP(A1864:A5906,kunishuClan!D:D,kunishuClan!B:B)&amp;"当主","")))</f>
      </c>
    </row>
    <row r="1865" ht="15.75" customHeight="1">
      <c r="A1865" s="4">
        <v>1043026</v>
      </c>
      <c r="B1865" s="12" t="str">
        <f t="array" ref="B1865">IF(A1865:A5907="","",_xlfn.XLOOKUP(A1865:A5907,'参照_武将'!A:A,'参照_武将'!B:B,"見つかりません"))</f>
      </c>
      <c r="C1865" s="4" t="s">
        <v>226</v>
      </c>
      <c r="D1865" s="4">
        <v>44</v>
      </c>
      <c r="E1865" s="12" t="str">
        <f t="array" ref="E1865">IF(D1865:D5907="","",IFERROR(_xlfn.XLOOKUP(D1865:D5907,'参照_勢力'!A:A,'参照_勢力'!B:B),IFERROR(_xlfn.XLOOKUP(F1865:F5907,kunishuClan!A:A,kunishuClan!B:B),"浪人")))</f>
      </c>
      <c r="F1865" s="4">
        <v>0</v>
      </c>
      <c r="G1865" s="4">
        <v>112</v>
      </c>
      <c r="H1865" s="12" t="str">
        <f t="array" ref="H1865">IF(G1865:G5907="","",_xlfn.XLOOKUP(G1865:G5907,castles_state!A:A,castles_state!D:D,"見つかりません"))</f>
      </c>
      <c r="I1865" s="4"/>
      <c r="J1865" s="12" t="str">
        <f t="array" ref="J1865">IF(I1865:I5907="","",_xlfn.XLOOKUP(I1865:I5907,'参照_姫'!A:A,'参照_姫'!B:B,"見つかりません"))</f>
      </c>
      <c r="K1865" s="4">
        <v>95</v>
      </c>
      <c r="L1865" s="4">
        <v>0</v>
      </c>
      <c r="M1865" s="4"/>
      <c r="N1865" s="4"/>
      <c r="O1865" s="4"/>
      <c r="P1865" s="12" t="str">
        <f t="array" ref="P1865">IF(O1865:O5907="","",_xlfn.XLOOKUP(O1865:O5907,'参照_官位'!A:A,'参照_官位'!B:B,""))</f>
      </c>
      <c r="Q1865" s="12" t="str">
        <f t="array" ref="Q1865">IF(A1865:A5907="","",IFERROR(_xlfn.XLOOKUP(A1865:A5907,castles_state!K:K,castles_state!D:D)&amp;"主",IFERROR(_xlfn.XLOOKUP(A1865:A5907,kunishuClan!D:D,kunishuClan!B:B)&amp;"当主","")))</f>
      </c>
    </row>
    <row r="1866" ht="15.75" customHeight="1">
      <c r="A1866" s="4">
        <v>1043027</v>
      </c>
      <c r="B1866" s="12" t="str">
        <f t="array" ref="B1866">IF(A1866:A5908="","",_xlfn.XLOOKUP(A1866:A5908,'参照_武将'!A:A,'参照_武将'!B:B,"見つかりません"))</f>
      </c>
      <c r="C1866" s="4" t="s">
        <v>226</v>
      </c>
      <c r="D1866" s="4">
        <v>43</v>
      </c>
      <c r="E1866" s="12" t="str">
        <f t="array" ref="E1866">IF(D1866:D5908="","",IFERROR(_xlfn.XLOOKUP(D1866:D5908,'参照_勢力'!A:A,'参照_勢力'!B:B),IFERROR(_xlfn.XLOOKUP(F1866:F5908,kunishuClan!A:A,kunishuClan!B:B),"浪人")))</f>
      </c>
      <c r="F1866" s="4">
        <v>0</v>
      </c>
      <c r="G1866" s="4">
        <v>109</v>
      </c>
      <c r="H1866" s="12" t="str">
        <f t="array" ref="H1866">IF(G1866:G5908="","",_xlfn.XLOOKUP(G1866:G5908,castles_state!A:A,castles_state!D:D,"見つかりません"))</f>
      </c>
      <c r="I1866" s="4"/>
      <c r="J1866" s="12" t="str">
        <f t="array" ref="J1866">IF(I1866:I5908="","",_xlfn.XLOOKUP(I1866:I5908,'参照_姫'!A:A,'参照_姫'!B:B,"見つかりません"))</f>
      </c>
      <c r="K1866" s="4">
        <v>95</v>
      </c>
      <c r="L1866" s="4">
        <v>0</v>
      </c>
      <c r="M1866" s="4"/>
      <c r="N1866" s="4"/>
      <c r="O1866" s="4"/>
      <c r="P1866" s="12" t="str">
        <f t="array" ref="P1866">IF(O1866:O5908="","",_xlfn.XLOOKUP(O1866:O5908,'参照_官位'!A:A,'参照_官位'!B:B,""))</f>
      </c>
      <c r="Q1866" s="12" t="str">
        <f t="array" ref="Q1866">IF(A1866:A5908="","",IFERROR(_xlfn.XLOOKUP(A1866:A5908,castles_state!K:K,castles_state!D:D)&amp;"主",IFERROR(_xlfn.XLOOKUP(A1866:A5908,kunishuClan!D:D,kunishuClan!B:B)&amp;"当主","")))</f>
      </c>
    </row>
    <row r="1867" ht="15.75" customHeight="1">
      <c r="A1867" s="4">
        <v>1043028</v>
      </c>
      <c r="B1867" s="12" t="str">
        <f t="array" ref="B1867">IF(A1867:A5909="","",_xlfn.XLOOKUP(A1867:A5909,'参照_武将'!A:A,'参照_武将'!B:B,"見つかりません"))</f>
      </c>
      <c r="C1867" s="4" t="s">
        <v>226</v>
      </c>
      <c r="D1867" s="4">
        <v>25</v>
      </c>
      <c r="E1867" s="12" t="str">
        <f t="array" ref="E1867">IF(D1867:D5909="","",IFERROR(_xlfn.XLOOKUP(D1867:D5909,'参照_勢力'!A:A,'参照_勢力'!B:B),IFERROR(_xlfn.XLOOKUP(F1867:F5909,kunishuClan!A:A,kunishuClan!B:B),"浪人")))</f>
      </c>
      <c r="F1867" s="4">
        <v>0</v>
      </c>
      <c r="G1867" s="4">
        <v>110</v>
      </c>
      <c r="H1867" s="12" t="str">
        <f t="array" ref="H1867">IF(G1867:G5909="","",_xlfn.XLOOKUP(G1867:G5909,castles_state!A:A,castles_state!D:D,"見つかりません"))</f>
      </c>
      <c r="I1867" s="4"/>
      <c r="J1867" s="12" t="str">
        <f t="array" ref="J1867">IF(I1867:I5909="","",_xlfn.XLOOKUP(I1867:I5909,'参照_姫'!A:A,'参照_姫'!B:B,"見つかりません"))</f>
      </c>
      <c r="K1867" s="4">
        <v>95</v>
      </c>
      <c r="L1867" s="4">
        <v>0</v>
      </c>
      <c r="M1867" s="4"/>
      <c r="N1867" s="4"/>
      <c r="O1867" s="4"/>
      <c r="P1867" s="12" t="str">
        <f t="array" ref="P1867">IF(O1867:O5909="","",_xlfn.XLOOKUP(O1867:O5909,'参照_官位'!A:A,'参照_官位'!B:B,""))</f>
      </c>
      <c r="Q1867" s="12" t="str">
        <f t="array" ref="Q1867">IF(A1867:A5909="","",IFERROR(_xlfn.XLOOKUP(A1867:A5909,castles_state!K:K,castles_state!D:D)&amp;"主",IFERROR(_xlfn.XLOOKUP(A1867:A5909,kunishuClan!D:D,kunishuClan!B:B)&amp;"当主","")))</f>
      </c>
    </row>
    <row r="1868" ht="15.75" customHeight="1">
      <c r="A1868" s="4">
        <v>1043029</v>
      </c>
      <c r="B1868" s="12" t="str">
        <f t="array" ref="B1868">IF(A1868:A5910="","",_xlfn.XLOOKUP(A1868:A5910,'参照_武将'!A:A,'参照_武将'!B:B,"見つかりません"))</f>
      </c>
      <c r="C1868" s="4" t="s">
        <v>226</v>
      </c>
      <c r="D1868" s="4">
        <v>25</v>
      </c>
      <c r="E1868" s="12" t="str">
        <f t="array" ref="E1868">IF(D1868:D5910="","",IFERROR(_xlfn.XLOOKUP(D1868:D5910,'参照_勢力'!A:A,'参照_勢力'!B:B),IFERROR(_xlfn.XLOOKUP(F1868:F5910,kunishuClan!A:A,kunishuClan!B:B),"浪人")))</f>
      </c>
      <c r="F1868" s="4">
        <v>0</v>
      </c>
      <c r="G1868" s="4">
        <v>110</v>
      </c>
      <c r="H1868" s="12" t="str">
        <f t="array" ref="H1868">IF(G1868:G5910="","",_xlfn.XLOOKUP(G1868:G5910,castles_state!A:A,castles_state!D:D,"見つかりません"))</f>
      </c>
      <c r="I1868" s="4"/>
      <c r="J1868" s="12" t="str">
        <f t="array" ref="J1868">IF(I1868:I5910="","",_xlfn.XLOOKUP(I1868:I5910,'参照_姫'!A:A,'参照_姫'!B:B,"見つかりません"))</f>
      </c>
      <c r="K1868" s="4">
        <v>95</v>
      </c>
      <c r="L1868" s="4">
        <v>0</v>
      </c>
      <c r="M1868" s="4"/>
      <c r="N1868" s="4"/>
      <c r="O1868" s="4"/>
      <c r="P1868" s="12" t="str">
        <f t="array" ref="P1868">IF(O1868:O5910="","",_xlfn.XLOOKUP(O1868:O5910,'参照_官位'!A:A,'参照_官位'!B:B,""))</f>
      </c>
      <c r="Q1868" s="12" t="str">
        <f t="array" ref="Q1868">IF(A1868:A5910="","",IFERROR(_xlfn.XLOOKUP(A1868:A5910,castles_state!K:K,castles_state!D:D)&amp;"主",IFERROR(_xlfn.XLOOKUP(A1868:A5910,kunishuClan!D:D,kunishuClan!B:B)&amp;"当主","")))</f>
      </c>
    </row>
    <row r="1869" ht="15.75" customHeight="1">
      <c r="A1869" s="4">
        <v>1043030</v>
      </c>
      <c r="B1869" s="12" t="str">
        <f t="array" ref="B1869">IF(A1869:A5911="","",_xlfn.XLOOKUP(A1869:A5911,'参照_武将'!A:A,'参照_武将'!B:B,"見つかりません"))</f>
      </c>
      <c r="C1869" s="4" t="s">
        <v>226</v>
      </c>
      <c r="D1869" s="4">
        <v>43</v>
      </c>
      <c r="E1869" s="12" t="str">
        <f t="array" ref="E1869">IF(D1869:D5911="","",IFERROR(_xlfn.XLOOKUP(D1869:D5911,'参照_勢力'!A:A,'参照_勢力'!B:B),IFERROR(_xlfn.XLOOKUP(F1869:F5911,kunishuClan!A:A,kunishuClan!B:B),"浪人")))</f>
      </c>
      <c r="F1869" s="4">
        <v>0</v>
      </c>
      <c r="G1869" s="4">
        <v>109</v>
      </c>
      <c r="H1869" s="12" t="str">
        <f t="array" ref="H1869">IF(G1869:G5911="","",_xlfn.XLOOKUP(G1869:G5911,castles_state!A:A,castles_state!D:D,"見つかりません"))</f>
      </c>
      <c r="I1869" s="4"/>
      <c r="J1869" s="12" t="str">
        <f t="array" ref="J1869">IF(I1869:I5911="","",_xlfn.XLOOKUP(I1869:I5911,'参照_姫'!A:A,'参照_姫'!B:B,"見つかりません"))</f>
      </c>
      <c r="K1869" s="4">
        <v>95</v>
      </c>
      <c r="L1869" s="4">
        <v>0</v>
      </c>
      <c r="M1869" s="4"/>
      <c r="N1869" s="4"/>
      <c r="O1869" s="4"/>
      <c r="P1869" s="12" t="str">
        <f t="array" ref="P1869">IF(O1869:O5911="","",_xlfn.XLOOKUP(O1869:O5911,'参照_官位'!A:A,'参照_官位'!B:B,""))</f>
      </c>
      <c r="Q1869" s="12" t="str">
        <f t="array" ref="Q1869">IF(A1869:A5911="","",IFERROR(_xlfn.XLOOKUP(A1869:A5911,castles_state!K:K,castles_state!D:D)&amp;"主",IFERROR(_xlfn.XLOOKUP(A1869:A5911,kunishuClan!D:D,kunishuClan!B:B)&amp;"当主","")))</f>
      </c>
    </row>
    <row r="1870" ht="15.75" customHeight="1">
      <c r="A1870" s="4">
        <v>1043031</v>
      </c>
      <c r="B1870" s="12" t="str">
        <f t="array" ref="B1870">IF(A1870:A5912="","",_xlfn.XLOOKUP(A1870:A5912,'参照_武将'!A:A,'参照_武将'!B:B,"見つかりません"))</f>
      </c>
      <c r="C1870" s="4" t="s">
        <v>226</v>
      </c>
      <c r="D1870" s="4">
        <v>43</v>
      </c>
      <c r="E1870" s="12" t="str">
        <f t="array" ref="E1870">IF(D1870:D5912="","",IFERROR(_xlfn.XLOOKUP(D1870:D5912,'参照_勢力'!A:A,'参照_勢力'!B:B),IFERROR(_xlfn.XLOOKUP(F1870:F5912,kunishuClan!A:A,kunishuClan!B:B),"浪人")))</f>
      </c>
      <c r="F1870" s="4">
        <v>0</v>
      </c>
      <c r="G1870" s="4">
        <v>109</v>
      </c>
      <c r="H1870" s="12" t="str">
        <f t="array" ref="H1870">IF(G1870:G5912="","",_xlfn.XLOOKUP(G1870:G5912,castles_state!A:A,castles_state!D:D,"見つかりません"))</f>
      </c>
      <c r="I1870" s="4"/>
      <c r="J1870" s="12" t="str">
        <f t="array" ref="J1870">IF(I1870:I5912="","",_xlfn.XLOOKUP(I1870:I5912,'参照_姫'!A:A,'参照_姫'!B:B,"見つかりません"))</f>
      </c>
      <c r="K1870" s="4">
        <v>95</v>
      </c>
      <c r="L1870" s="4">
        <v>500</v>
      </c>
      <c r="M1870" s="4"/>
      <c r="N1870" s="4"/>
      <c r="O1870" s="4"/>
      <c r="P1870" s="12" t="str">
        <f t="array" ref="P1870">IF(O1870:O5912="","",_xlfn.XLOOKUP(O1870:O5912,'参照_官位'!A:A,'参照_官位'!B:B,""))</f>
      </c>
      <c r="Q1870" s="12" t="str">
        <f t="array" ref="Q1870">IF(A1870:A5912="","",IFERROR(_xlfn.XLOOKUP(A1870:A5912,castles_state!K:K,castles_state!D:D)&amp;"主",IFERROR(_xlfn.XLOOKUP(A1870:A5912,kunishuClan!D:D,kunishuClan!B:B)&amp;"当主","")))</f>
      </c>
    </row>
    <row r="1871" ht="15.75" customHeight="1">
      <c r="A1871" s="4">
        <v>1043032</v>
      </c>
      <c r="B1871" s="12" t="str">
        <f t="array" ref="B1871">IF(A1871:A5913="","",_xlfn.XLOOKUP(A1871:A5913,'参照_武将'!A:A,'参照_武将'!B:B,"見つかりません"))</f>
      </c>
      <c r="C1871" s="4" t="s">
        <v>226</v>
      </c>
      <c r="D1871" s="4">
        <v>25</v>
      </c>
      <c r="E1871" s="12" t="str">
        <f t="array" ref="E1871">IF(D1871:D5913="","",IFERROR(_xlfn.XLOOKUP(D1871:D5913,'参照_勢力'!A:A,'参照_勢力'!B:B),IFERROR(_xlfn.XLOOKUP(F1871:F5913,kunishuClan!A:A,kunishuClan!B:B),"浪人")))</f>
      </c>
      <c r="F1871" s="4">
        <v>0</v>
      </c>
      <c r="G1871" s="4">
        <v>108</v>
      </c>
      <c r="H1871" s="12" t="str">
        <f t="array" ref="H1871">IF(G1871:G5913="","",_xlfn.XLOOKUP(G1871:G5913,castles_state!A:A,castles_state!D:D,"見つかりません"))</f>
      </c>
      <c r="I1871" s="4"/>
      <c r="J1871" s="12" t="str">
        <f t="array" ref="J1871">IF(I1871:I5913="","",_xlfn.XLOOKUP(I1871:I5913,'参照_姫'!A:A,'参照_姫'!B:B,"見つかりません"))</f>
      </c>
      <c r="K1871" s="4">
        <v>95</v>
      </c>
      <c r="L1871" s="4">
        <v>0</v>
      </c>
      <c r="M1871" s="4"/>
      <c r="N1871" s="4"/>
      <c r="O1871" s="4"/>
      <c r="P1871" s="12" t="str">
        <f t="array" ref="P1871">IF(O1871:O5913="","",_xlfn.XLOOKUP(O1871:O5913,'参照_官位'!A:A,'参照_官位'!B:B,""))</f>
      </c>
      <c r="Q1871" s="12" t="str">
        <f t="array" ref="Q1871">IF(A1871:A5913="","",IFERROR(_xlfn.XLOOKUP(A1871:A5913,castles_state!K:K,castles_state!D:D)&amp;"主",IFERROR(_xlfn.XLOOKUP(A1871:A5913,kunishuClan!D:D,kunishuClan!B:B)&amp;"当主","")))</f>
      </c>
    </row>
    <row r="1872" ht="15.75" customHeight="1">
      <c r="A1872" s="4">
        <v>1043033</v>
      </c>
      <c r="B1872" s="12" t="str">
        <f t="array" ref="B1872">IF(A1872:A5914="","",_xlfn.XLOOKUP(A1872:A5914,'参照_武将'!A:A,'参照_武将'!B:B,"見つかりません"))</f>
      </c>
      <c r="C1872" s="4" t="s">
        <v>226</v>
      </c>
      <c r="D1872" s="4">
        <v>0</v>
      </c>
      <c r="E1872" s="12" t="str">
        <f t="array" ref="E1872">IF(D1872:D5914="","",IFERROR(_xlfn.XLOOKUP(D1872:D5914,'参照_勢力'!A:A,'参照_勢力'!B:B),IFERROR(_xlfn.XLOOKUP(F1872:F5914,kunishuClan!A:A,kunishuClan!B:B),"浪人")))</f>
      </c>
      <c r="F1872" s="4">
        <v>0</v>
      </c>
      <c r="G1872" s="4">
        <v>109</v>
      </c>
      <c r="H1872" s="12" t="str">
        <f t="array" ref="H1872">IF(G1872:G5914="","",_xlfn.XLOOKUP(G1872:G5914,castles_state!A:A,castles_state!D:D,"見つかりません"))</f>
      </c>
      <c r="I1872" s="4"/>
      <c r="J1872" s="12" t="str">
        <f t="array" ref="J1872">IF(I1872:I5914="","",_xlfn.XLOOKUP(I1872:I5914,'参照_姫'!A:A,'参照_姫'!B:B,"見つかりません"))</f>
      </c>
      <c r="K1872" s="4">
        <v>50</v>
      </c>
      <c r="L1872" s="4">
        <v>0</v>
      </c>
      <c r="M1872" s="4"/>
      <c r="N1872" s="4"/>
      <c r="O1872" s="4"/>
      <c r="P1872" s="12" t="str">
        <f t="array" ref="P1872">IF(O1872:O5914="","",_xlfn.XLOOKUP(O1872:O5914,'参照_官位'!A:A,'参照_官位'!B:B,""))</f>
      </c>
      <c r="Q1872" s="12" t="str">
        <f t="array" ref="Q1872">IF(A1872:A5914="","",IFERROR(_xlfn.XLOOKUP(A1872:A5914,castles_state!K:K,castles_state!D:D)&amp;"主",IFERROR(_xlfn.XLOOKUP(A1872:A5914,kunishuClan!D:D,kunishuClan!B:B)&amp;"当主","")))</f>
      </c>
    </row>
    <row r="1873" ht="15.75" customHeight="1">
      <c r="A1873" s="4">
        <v>1043034</v>
      </c>
      <c r="B1873" s="12" t="str">
        <f t="array" ref="B1873">IF(A1873:A5915="","",_xlfn.XLOOKUP(A1873:A5915,'参照_武将'!A:A,'参照_武将'!B:B,"見つかりません"))</f>
      </c>
      <c r="C1873" s="4" t="s">
        <v>226</v>
      </c>
      <c r="D1873" s="4">
        <v>43</v>
      </c>
      <c r="E1873" s="12" t="str">
        <f t="array" ref="E1873">IF(D1873:D5915="","",IFERROR(_xlfn.XLOOKUP(D1873:D5915,'参照_勢力'!A:A,'参照_勢力'!B:B),IFERROR(_xlfn.XLOOKUP(F1873:F5915,kunishuClan!A:A,kunishuClan!B:B),"浪人")))</f>
      </c>
      <c r="F1873" s="4">
        <v>0</v>
      </c>
      <c r="G1873" s="4">
        <v>109</v>
      </c>
      <c r="H1873" s="12" t="str">
        <f t="array" ref="H1873">IF(G1873:G5915="","",_xlfn.XLOOKUP(G1873:G5915,castles_state!A:A,castles_state!D:D,"見つかりません"))</f>
      </c>
      <c r="I1873" s="4"/>
      <c r="J1873" s="12" t="str">
        <f t="array" ref="J1873">IF(I1873:I5915="","",_xlfn.XLOOKUP(I1873:I5915,'参照_姫'!A:A,'参照_姫'!B:B,"見つかりません"))</f>
      </c>
      <c r="K1873" s="4">
        <v>95</v>
      </c>
      <c r="L1873" s="4">
        <v>0</v>
      </c>
      <c r="M1873" s="4"/>
      <c r="N1873" s="4"/>
      <c r="O1873" s="4"/>
      <c r="P1873" s="12" t="str">
        <f t="array" ref="P1873">IF(O1873:O5915="","",_xlfn.XLOOKUP(O1873:O5915,'参照_官位'!A:A,'参照_官位'!B:B,""))</f>
      </c>
      <c r="Q1873" s="12" t="str">
        <f t="array" ref="Q1873">IF(A1873:A5915="","",IFERROR(_xlfn.XLOOKUP(A1873:A5915,castles_state!K:K,castles_state!D:D)&amp;"主",IFERROR(_xlfn.XLOOKUP(A1873:A5915,kunishuClan!D:D,kunishuClan!B:B)&amp;"当主","")))</f>
      </c>
    </row>
    <row r="1874" ht="15.75" customHeight="1">
      <c r="A1874" s="4">
        <v>1043035</v>
      </c>
      <c r="B1874" s="12" t="str">
        <f t="array" ref="B1874">IF(A1874:A5916="","",_xlfn.XLOOKUP(A1874:A5916,'参照_武将'!A:A,'参照_武将'!B:B,"見つかりません"))</f>
      </c>
      <c r="C1874" s="4" t="s">
        <v>226</v>
      </c>
      <c r="D1874" s="4">
        <v>43</v>
      </c>
      <c r="E1874" s="12" t="str">
        <f t="array" ref="E1874">IF(D1874:D5916="","",IFERROR(_xlfn.XLOOKUP(D1874:D5916,'参照_勢力'!A:A,'参照_勢力'!B:B),IFERROR(_xlfn.XLOOKUP(F1874:F5916,kunishuClan!A:A,kunishuClan!B:B),"浪人")))</f>
      </c>
      <c r="F1874" s="4">
        <v>0</v>
      </c>
      <c r="G1874" s="4">
        <v>109</v>
      </c>
      <c r="H1874" s="12" t="str">
        <f t="array" ref="H1874">IF(G1874:G5916="","",_xlfn.XLOOKUP(G1874:G5916,castles_state!A:A,castles_state!D:D,"見つかりません"))</f>
      </c>
      <c r="I1874" s="4"/>
      <c r="J1874" s="12" t="str">
        <f t="array" ref="J1874">IF(I1874:I5916="","",_xlfn.XLOOKUP(I1874:I5916,'参照_姫'!A:A,'参照_姫'!B:B,"見つかりません"))</f>
      </c>
      <c r="K1874" s="4">
        <v>95</v>
      </c>
      <c r="L1874" s="4">
        <v>0</v>
      </c>
      <c r="M1874" s="4"/>
      <c r="N1874" s="4"/>
      <c r="O1874" s="4"/>
      <c r="P1874" s="12" t="str">
        <f t="array" ref="P1874">IF(O1874:O5916="","",_xlfn.XLOOKUP(O1874:O5916,'参照_官位'!A:A,'参照_官位'!B:B,""))</f>
      </c>
      <c r="Q1874" s="12" t="str">
        <f t="array" ref="Q1874">IF(A1874:A5916="","",IFERROR(_xlfn.XLOOKUP(A1874:A5916,castles_state!K:K,castles_state!D:D)&amp;"主",IFERROR(_xlfn.XLOOKUP(A1874:A5916,kunishuClan!D:D,kunishuClan!B:B)&amp;"当主","")))</f>
      </c>
    </row>
    <row r="1875" ht="15.75" customHeight="1">
      <c r="A1875" s="4">
        <v>1043036</v>
      </c>
      <c r="B1875" s="12" t="str">
        <f t="array" ref="B1875">IF(A1875:A5917="","",_xlfn.XLOOKUP(A1875:A5917,'参照_武将'!A:A,'参照_武将'!B:B,"見つかりません"))</f>
      </c>
      <c r="C1875" s="4" t="s">
        <v>226</v>
      </c>
      <c r="D1875" s="4">
        <v>43</v>
      </c>
      <c r="E1875" s="12" t="str">
        <f t="array" ref="E1875">IF(D1875:D5917="","",IFERROR(_xlfn.XLOOKUP(D1875:D5917,'参照_勢力'!A:A,'参照_勢力'!B:B),IFERROR(_xlfn.XLOOKUP(F1875:F5917,kunishuClan!A:A,kunishuClan!B:B),"浪人")))</f>
      </c>
      <c r="F1875" s="4">
        <v>0</v>
      </c>
      <c r="G1875" s="4">
        <v>109</v>
      </c>
      <c r="H1875" s="12" t="str">
        <f t="array" ref="H1875">IF(G1875:G5917="","",_xlfn.XLOOKUP(G1875:G5917,castles_state!A:A,castles_state!D:D,"見つかりません"))</f>
      </c>
      <c r="I1875" s="4"/>
      <c r="J1875" s="12" t="str">
        <f t="array" ref="J1875">IF(I1875:I5917="","",_xlfn.XLOOKUP(I1875:I5917,'参照_姫'!A:A,'参照_姫'!B:B,"見つかりません"))</f>
      </c>
      <c r="K1875" s="4">
        <v>95</v>
      </c>
      <c r="L1875" s="4">
        <v>200</v>
      </c>
      <c r="M1875" s="4"/>
      <c r="N1875" s="4"/>
      <c r="O1875" s="4"/>
      <c r="P1875" s="12" t="str">
        <f t="array" ref="P1875">IF(O1875:O5917="","",_xlfn.XLOOKUP(O1875:O5917,'参照_官位'!A:A,'参照_官位'!B:B,""))</f>
      </c>
      <c r="Q1875" s="12" t="str">
        <f t="array" ref="Q1875">IF(A1875:A5917="","",IFERROR(_xlfn.XLOOKUP(A1875:A5917,castles_state!K:K,castles_state!D:D)&amp;"主",IFERROR(_xlfn.XLOOKUP(A1875:A5917,kunishuClan!D:D,kunishuClan!B:B)&amp;"当主","")))</f>
      </c>
    </row>
    <row r="1876" ht="15.75" customHeight="1">
      <c r="A1876" s="4">
        <v>1043037</v>
      </c>
      <c r="B1876" s="12" t="str">
        <f t="array" ref="B1876">IF(A1876:A5918="","",_xlfn.XLOOKUP(A1876:A5918,'参照_武将'!A:A,'参照_武将'!B:B,"見つかりません"))</f>
      </c>
      <c r="C1876" s="4" t="s">
        <v>226</v>
      </c>
      <c r="D1876" s="4">
        <v>25</v>
      </c>
      <c r="E1876" s="12" t="str">
        <f t="array" ref="E1876">IF(D1876:D5918="","",IFERROR(_xlfn.XLOOKUP(D1876:D5918,'参照_勢力'!A:A,'参照_勢力'!B:B),IFERROR(_xlfn.XLOOKUP(F1876:F5918,kunishuClan!A:A,kunishuClan!B:B),"浪人")))</f>
      </c>
      <c r="F1876" s="4">
        <v>0</v>
      </c>
      <c r="G1876" s="4">
        <v>108</v>
      </c>
      <c r="H1876" s="12" t="str">
        <f t="array" ref="H1876">IF(G1876:G5918="","",_xlfn.XLOOKUP(G1876:G5918,castles_state!A:A,castles_state!D:D,"見つかりません"))</f>
      </c>
      <c r="I1876" s="4"/>
      <c r="J1876" s="12" t="str">
        <f t="array" ref="J1876">IF(I1876:I5918="","",_xlfn.XLOOKUP(I1876:I5918,'参照_姫'!A:A,'参照_姫'!B:B,"見つかりません"))</f>
      </c>
      <c r="K1876" s="4">
        <v>95</v>
      </c>
      <c r="L1876" s="4">
        <v>500</v>
      </c>
      <c r="M1876" s="4"/>
      <c r="N1876" s="4"/>
      <c r="O1876" s="4"/>
      <c r="P1876" s="12" t="str">
        <f t="array" ref="P1876">IF(O1876:O5918="","",_xlfn.XLOOKUP(O1876:O5918,'参照_官位'!A:A,'参照_官位'!B:B,""))</f>
      </c>
      <c r="Q1876" s="12" t="str">
        <f t="array" ref="Q1876">IF(A1876:A5918="","",IFERROR(_xlfn.XLOOKUP(A1876:A5918,castles_state!K:K,castles_state!D:D)&amp;"主",IFERROR(_xlfn.XLOOKUP(A1876:A5918,kunishuClan!D:D,kunishuClan!B:B)&amp;"当主","")))</f>
      </c>
    </row>
    <row r="1877" ht="15.75" customHeight="1">
      <c r="A1877" s="4">
        <v>1043038</v>
      </c>
      <c r="B1877" s="12" t="str">
        <f t="array" ref="B1877">IF(A1877:A5919="","",_xlfn.XLOOKUP(A1877:A5919,'参照_武将'!A:A,'参照_武将'!B:B,"見つかりません"))</f>
      </c>
      <c r="C1877" s="4" t="s">
        <v>226</v>
      </c>
      <c r="D1877" s="4">
        <v>25</v>
      </c>
      <c r="E1877" s="12" t="str">
        <f t="array" ref="E1877">IF(D1877:D5919="","",IFERROR(_xlfn.XLOOKUP(D1877:D5919,'参照_勢力'!A:A,'参照_勢力'!B:B),IFERROR(_xlfn.XLOOKUP(F1877:F5919,kunishuClan!A:A,kunishuClan!B:B),"浪人")))</f>
      </c>
      <c r="F1877" s="4">
        <v>0</v>
      </c>
      <c r="G1877" s="4">
        <v>108</v>
      </c>
      <c r="H1877" s="12" t="str">
        <f t="array" ref="H1877">IF(G1877:G5919="","",_xlfn.XLOOKUP(G1877:G5919,castles_state!A:A,castles_state!D:D,"見つかりません"))</f>
      </c>
      <c r="I1877" s="4"/>
      <c r="J1877" s="12" t="str">
        <f t="array" ref="J1877">IF(I1877:I5919="","",_xlfn.XLOOKUP(I1877:I5919,'参照_姫'!A:A,'参照_姫'!B:B,"見つかりません"))</f>
      </c>
      <c r="K1877" s="4">
        <v>95</v>
      </c>
      <c r="L1877" s="4">
        <v>0</v>
      </c>
      <c r="M1877" s="4"/>
      <c r="N1877" s="4"/>
      <c r="O1877" s="4"/>
      <c r="P1877" s="12" t="str">
        <f t="array" ref="P1877">IF(O1877:O5919="","",_xlfn.XLOOKUP(O1877:O5919,'参照_官位'!A:A,'参照_官位'!B:B,""))</f>
      </c>
      <c r="Q1877" s="12" t="str">
        <f t="array" ref="Q1877">IF(A1877:A5919="","",IFERROR(_xlfn.XLOOKUP(A1877:A5919,castles_state!K:K,castles_state!D:D)&amp;"主",IFERROR(_xlfn.XLOOKUP(A1877:A5919,kunishuClan!D:D,kunishuClan!B:B)&amp;"当主","")))</f>
      </c>
    </row>
    <row r="1878" ht="15.75" customHeight="1">
      <c r="A1878" s="4">
        <v>1043039</v>
      </c>
      <c r="B1878" s="12" t="str">
        <f t="array" ref="B1878">IF(A1878:A5920="","",_xlfn.XLOOKUP(A1878:A5920,'参照_武将'!A:A,'参照_武将'!B:B,"見つかりません"))</f>
      </c>
      <c r="C1878" s="4" t="s">
        <v>226</v>
      </c>
      <c r="D1878" s="4">
        <v>43</v>
      </c>
      <c r="E1878" s="12" t="str">
        <f t="array" ref="E1878">IF(D1878:D5920="","",IFERROR(_xlfn.XLOOKUP(D1878:D5920,'参照_勢力'!A:A,'参照_勢力'!B:B),IFERROR(_xlfn.XLOOKUP(F1878:F5920,kunishuClan!A:A,kunishuClan!B:B),"浪人")))</f>
      </c>
      <c r="F1878" s="4">
        <v>0</v>
      </c>
      <c r="G1878" s="4">
        <v>109</v>
      </c>
      <c r="H1878" s="12" t="str">
        <f t="array" ref="H1878">IF(G1878:G5920="","",_xlfn.XLOOKUP(G1878:G5920,castles_state!A:A,castles_state!D:D,"見つかりません"))</f>
      </c>
      <c r="I1878" s="4"/>
      <c r="J1878" s="12" t="str">
        <f t="array" ref="J1878">IF(I1878:I5920="","",_xlfn.XLOOKUP(I1878:I5920,'参照_姫'!A:A,'参照_姫'!B:B,"見つかりません"))</f>
      </c>
      <c r="K1878" s="4">
        <v>95</v>
      </c>
      <c r="L1878" s="4">
        <v>0</v>
      </c>
      <c r="M1878" s="4"/>
      <c r="N1878" s="4"/>
      <c r="O1878" s="4"/>
      <c r="P1878" s="12" t="str">
        <f t="array" ref="P1878">IF(O1878:O5920="","",_xlfn.XLOOKUP(O1878:O5920,'参照_官位'!A:A,'参照_官位'!B:B,""))</f>
      </c>
      <c r="Q1878" s="12" t="str">
        <f t="array" ref="Q1878">IF(A1878:A5920="","",IFERROR(_xlfn.XLOOKUP(A1878:A5920,castles_state!K:K,castles_state!D:D)&amp;"主",IFERROR(_xlfn.XLOOKUP(A1878:A5920,kunishuClan!D:D,kunishuClan!B:B)&amp;"当主","")))</f>
      </c>
    </row>
    <row r="1879" ht="15.75" customHeight="1">
      <c r="A1879" s="4">
        <v>1043040</v>
      </c>
      <c r="B1879" s="12" t="str">
        <f t="array" ref="B1879">IF(A1879:A5921="","",_xlfn.XLOOKUP(A1879:A5921,'参照_武将'!A:A,'参照_武将'!B:B,"見つかりません"))</f>
      </c>
      <c r="C1879" s="4" t="s">
        <v>226</v>
      </c>
      <c r="D1879" s="4">
        <v>43</v>
      </c>
      <c r="E1879" s="12" t="str">
        <f t="array" ref="E1879">IF(D1879:D5921="","",IFERROR(_xlfn.XLOOKUP(D1879:D5921,'参照_勢力'!A:A,'参照_勢力'!B:B),IFERROR(_xlfn.XLOOKUP(F1879:F5921,kunishuClan!A:A,kunishuClan!B:B),"浪人")))</f>
      </c>
      <c r="F1879" s="4">
        <v>0</v>
      </c>
      <c r="G1879" s="4">
        <v>109</v>
      </c>
      <c r="H1879" s="12" t="str">
        <f t="array" ref="H1879">IF(G1879:G5921="","",_xlfn.XLOOKUP(G1879:G5921,castles_state!A:A,castles_state!D:D,"見つかりません"))</f>
      </c>
      <c r="I1879" s="4"/>
      <c r="J1879" s="12" t="str">
        <f t="array" ref="J1879">IF(I1879:I5921="","",_xlfn.XLOOKUP(I1879:I5921,'参照_姫'!A:A,'参照_姫'!B:B,"見つかりません"))</f>
      </c>
      <c r="K1879" s="4">
        <v>95</v>
      </c>
      <c r="L1879" s="4">
        <v>200</v>
      </c>
      <c r="M1879" s="4" t="b">
        <v>1</v>
      </c>
      <c r="N1879" s="4"/>
      <c r="O1879" s="4"/>
      <c r="P1879" s="12" t="str">
        <f t="array" ref="P1879">IF(O1879:O5921="","",_xlfn.XLOOKUP(O1879:O5921,'参照_官位'!A:A,'参照_官位'!B:B,""))</f>
      </c>
      <c r="Q1879" s="12" t="str">
        <f t="array" ref="Q1879">IF(A1879:A5921="","",IFERROR(_xlfn.XLOOKUP(A1879:A5921,castles_state!K:K,castles_state!D:D)&amp;"主",IFERROR(_xlfn.XLOOKUP(A1879:A5921,kunishuClan!D:D,kunishuClan!B:B)&amp;"当主","")))</f>
      </c>
    </row>
    <row r="1880" ht="15.75" customHeight="1">
      <c r="A1880" s="4">
        <v>1043041</v>
      </c>
      <c r="B1880" s="12" t="str">
        <f t="array" ref="B1880">IF(A1880:A5922="","",_xlfn.XLOOKUP(A1880:A5922,'参照_武将'!A:A,'参照_武将'!B:B,"見つかりません"))</f>
      </c>
      <c r="C1880" s="4" t="s">
        <v>226</v>
      </c>
      <c r="D1880" s="4">
        <v>43</v>
      </c>
      <c r="E1880" s="12" t="str">
        <f t="array" ref="E1880">IF(D1880:D5922="","",IFERROR(_xlfn.XLOOKUP(D1880:D5922,'参照_勢力'!A:A,'参照_勢力'!B:B),IFERROR(_xlfn.XLOOKUP(F1880:F5922,kunishuClan!A:A,kunishuClan!B:B),"浪人")))</f>
      </c>
      <c r="F1880" s="4">
        <v>0</v>
      </c>
      <c r="G1880" s="4">
        <v>109</v>
      </c>
      <c r="H1880" s="12" t="str">
        <f t="array" ref="H1880">IF(G1880:G5922="","",_xlfn.XLOOKUP(G1880:G5922,castles_state!A:A,castles_state!D:D,"見つかりません"))</f>
      </c>
      <c r="I1880" s="4"/>
      <c r="J1880" s="12" t="str">
        <f t="array" ref="J1880">IF(I1880:I5922="","",_xlfn.XLOOKUP(I1880:I5922,'参照_姫'!A:A,'参照_姫'!B:B,"見つかりません"))</f>
      </c>
      <c r="K1880" s="4">
        <v>95</v>
      </c>
      <c r="L1880" s="4">
        <v>0</v>
      </c>
      <c r="M1880" s="4"/>
      <c r="N1880" s="4"/>
      <c r="O1880" s="4"/>
      <c r="P1880" s="12" t="str">
        <f t="array" ref="P1880">IF(O1880:O5922="","",_xlfn.XLOOKUP(O1880:O5922,'参照_官位'!A:A,'参照_官位'!B:B,""))</f>
      </c>
      <c r="Q1880" s="12" t="str">
        <f t="array" ref="Q1880">IF(A1880:A5922="","",IFERROR(_xlfn.XLOOKUP(A1880:A5922,castles_state!K:K,castles_state!D:D)&amp;"主",IFERROR(_xlfn.XLOOKUP(A1880:A5922,kunishuClan!D:D,kunishuClan!B:B)&amp;"当主","")))</f>
      </c>
    </row>
    <row r="1881" ht="15.75" customHeight="1">
      <c r="A1881" s="4">
        <v>1043042</v>
      </c>
      <c r="B1881" s="12" t="str">
        <f t="array" ref="B1881">IF(A1881:A5923="","",_xlfn.XLOOKUP(A1881:A5923,'参照_武将'!A:A,'参照_武将'!B:B,"見つかりません"))</f>
      </c>
      <c r="C1881" s="4" t="s">
        <v>226</v>
      </c>
      <c r="D1881" s="4">
        <v>0</v>
      </c>
      <c r="E1881" s="12" t="str">
        <f t="array" ref="E1881">IF(D1881:D5923="","",IFERROR(_xlfn.XLOOKUP(D1881:D5923,'参照_勢力'!A:A,'参照_勢力'!B:B),IFERROR(_xlfn.XLOOKUP(F1881:F5923,kunishuClan!A:A,kunishuClan!B:B),"浪人")))</f>
      </c>
      <c r="F1881" s="4">
        <v>0</v>
      </c>
      <c r="G1881" s="4">
        <v>117</v>
      </c>
      <c r="H1881" s="12" t="str">
        <f t="array" ref="H1881">IF(G1881:G5923="","",_xlfn.XLOOKUP(G1881:G5923,castles_state!A:A,castles_state!D:D,"見つかりません"))</f>
      </c>
      <c r="I1881" s="4"/>
      <c r="J1881" s="12" t="str">
        <f t="array" ref="J1881">IF(I1881:I5923="","",_xlfn.XLOOKUP(I1881:I5923,'参照_姫'!A:A,'参照_姫'!B:B,"見つかりません"))</f>
      </c>
      <c r="K1881" s="4">
        <v>50</v>
      </c>
      <c r="L1881" s="4">
        <v>200</v>
      </c>
      <c r="M1881" s="4"/>
      <c r="N1881" s="4"/>
      <c r="O1881" s="4"/>
      <c r="P1881" s="12" t="str">
        <f t="array" ref="P1881">IF(O1881:O5923="","",_xlfn.XLOOKUP(O1881:O5923,'参照_官位'!A:A,'参照_官位'!B:B,""))</f>
      </c>
      <c r="Q1881" s="12" t="str">
        <f t="array" ref="Q1881">IF(A1881:A5923="","",IFERROR(_xlfn.XLOOKUP(A1881:A5923,castles_state!K:K,castles_state!D:D)&amp;"主",IFERROR(_xlfn.XLOOKUP(A1881:A5923,kunishuClan!D:D,kunishuClan!B:B)&amp;"当主","")))</f>
      </c>
    </row>
    <row r="1882" ht="15.75" customHeight="1">
      <c r="A1882" s="4">
        <v>1043043</v>
      </c>
      <c r="B1882" s="12" t="str">
        <f t="array" ref="B1882">IF(A1882:A5924="","",_xlfn.XLOOKUP(A1882:A5924,'参照_武将'!A:A,'参照_武将'!B:B,"見つかりません"))</f>
      </c>
      <c r="C1882" s="4" t="s">
        <v>226</v>
      </c>
      <c r="D1882" s="4">
        <v>43</v>
      </c>
      <c r="E1882" s="12" t="str">
        <f t="array" ref="E1882">IF(D1882:D5924="","",IFERROR(_xlfn.XLOOKUP(D1882:D5924,'参照_勢力'!A:A,'参照_勢力'!B:B),IFERROR(_xlfn.XLOOKUP(F1882:F5924,kunishuClan!A:A,kunishuClan!B:B),"浪人")))</f>
      </c>
      <c r="F1882" s="4">
        <v>0</v>
      </c>
      <c r="G1882" s="4">
        <v>109</v>
      </c>
      <c r="H1882" s="12" t="str">
        <f t="array" ref="H1882">IF(G1882:G5924="","",_xlfn.XLOOKUP(G1882:G5924,castles_state!A:A,castles_state!D:D,"見つかりません"))</f>
      </c>
      <c r="I1882" s="4"/>
      <c r="J1882" s="12" t="str">
        <f t="array" ref="J1882">IF(I1882:I5924="","",_xlfn.XLOOKUP(I1882:I5924,'参照_姫'!A:A,'参照_姫'!B:B,"見つかりません"))</f>
      </c>
      <c r="K1882" s="4">
        <v>90</v>
      </c>
      <c r="L1882" s="4">
        <v>300</v>
      </c>
      <c r="M1882" s="4"/>
      <c r="N1882" s="4"/>
      <c r="O1882" s="4"/>
      <c r="P1882" s="12" t="str">
        <f t="array" ref="P1882">IF(O1882:O5924="","",_xlfn.XLOOKUP(O1882:O5924,'参照_官位'!A:A,'参照_官位'!B:B,""))</f>
      </c>
      <c r="Q1882" s="12" t="str">
        <f t="array" ref="Q1882">IF(A1882:A5924="","",IFERROR(_xlfn.XLOOKUP(A1882:A5924,castles_state!K:K,castles_state!D:D)&amp;"主",IFERROR(_xlfn.XLOOKUP(A1882:A5924,kunishuClan!D:D,kunishuClan!B:B)&amp;"当主","")))</f>
      </c>
    </row>
    <row r="1883" ht="15.75" customHeight="1">
      <c r="A1883" s="4">
        <v>1043044</v>
      </c>
      <c r="B1883" s="12" t="str">
        <f t="array" ref="B1883">IF(A1883:A5925="","",_xlfn.XLOOKUP(A1883:A5925,'参照_武将'!A:A,'参照_武将'!B:B,"見つかりません"))</f>
      </c>
      <c r="C1883" s="4" t="s">
        <v>226</v>
      </c>
      <c r="D1883" s="4">
        <v>43</v>
      </c>
      <c r="E1883" s="12" t="str">
        <f t="array" ref="E1883">IF(D1883:D5925="","",IFERROR(_xlfn.XLOOKUP(D1883:D5925,'参照_勢力'!A:A,'参照_勢力'!B:B),IFERROR(_xlfn.XLOOKUP(F1883:F5925,kunishuClan!A:A,kunishuClan!B:B),"浪人")))</f>
      </c>
      <c r="F1883" s="4">
        <v>0</v>
      </c>
      <c r="G1883" s="4">
        <v>109</v>
      </c>
      <c r="H1883" s="12" t="str">
        <f t="array" ref="H1883">IF(G1883:G5925="","",_xlfn.XLOOKUP(G1883:G5925,castles_state!A:A,castles_state!D:D,"見つかりません"))</f>
      </c>
      <c r="I1883" s="4"/>
      <c r="J1883" s="12" t="str">
        <f t="array" ref="J1883">IF(I1883:I5925="","",_xlfn.XLOOKUP(I1883:I5925,'参照_姫'!A:A,'参照_姫'!B:B,"見つかりません"))</f>
      </c>
      <c r="K1883" s="4">
        <v>90</v>
      </c>
      <c r="L1883" s="4">
        <v>0</v>
      </c>
      <c r="M1883" s="4"/>
      <c r="N1883" s="4"/>
      <c r="O1883" s="4"/>
      <c r="P1883" s="12" t="str">
        <f t="array" ref="P1883">IF(O1883:O5925="","",_xlfn.XLOOKUP(O1883:O5925,'参照_官位'!A:A,'参照_官位'!B:B,""))</f>
      </c>
      <c r="Q1883" s="12" t="str">
        <f t="array" ref="Q1883">IF(A1883:A5925="","",IFERROR(_xlfn.XLOOKUP(A1883:A5925,castles_state!K:K,castles_state!D:D)&amp;"主",IFERROR(_xlfn.XLOOKUP(A1883:A5925,kunishuClan!D:D,kunishuClan!B:B)&amp;"当主","")))</f>
      </c>
    </row>
    <row r="1884" ht="15.75" customHeight="1">
      <c r="A1884" s="4">
        <v>1043045</v>
      </c>
      <c r="B1884" s="12" t="str">
        <f t="array" ref="B1884">IF(A1884:A5926="","",_xlfn.XLOOKUP(A1884:A5926,'参照_武将'!A:A,'参照_武将'!B:B,"見つかりません"))</f>
      </c>
      <c r="C1884" s="4" t="s">
        <v>226</v>
      </c>
      <c r="D1884" s="4">
        <v>25</v>
      </c>
      <c r="E1884" s="12" t="str">
        <f t="array" ref="E1884">IF(D1884:D5926="","",IFERROR(_xlfn.XLOOKUP(D1884:D5926,'参照_勢力'!A:A,'参照_勢力'!B:B),IFERROR(_xlfn.XLOOKUP(F1884:F5926,kunishuClan!A:A,kunishuClan!B:B),"浪人")))</f>
      </c>
      <c r="F1884" s="4">
        <v>0</v>
      </c>
      <c r="G1884" s="4">
        <v>110</v>
      </c>
      <c r="H1884" s="12" t="str">
        <f t="array" ref="H1884">IF(G1884:G5926="","",_xlfn.XLOOKUP(G1884:G5926,castles_state!A:A,castles_state!D:D,"見つかりません"))</f>
      </c>
      <c r="I1884" s="4"/>
      <c r="J1884" s="12" t="str">
        <f t="array" ref="J1884">IF(I1884:I5926="","",_xlfn.XLOOKUP(I1884:I5926,'参照_姫'!A:A,'参照_姫'!B:B,"見つかりません"))</f>
      </c>
      <c r="K1884" s="4">
        <v>90</v>
      </c>
      <c r="L1884" s="4">
        <v>0</v>
      </c>
      <c r="M1884" s="4"/>
      <c r="N1884" s="4"/>
      <c r="O1884" s="4"/>
      <c r="P1884" s="12" t="str">
        <f t="array" ref="P1884">IF(O1884:O5926="","",_xlfn.XLOOKUP(O1884:O5926,'参照_官位'!A:A,'参照_官位'!B:B,""))</f>
      </c>
      <c r="Q1884" s="12" t="str">
        <f t="array" ref="Q1884">IF(A1884:A5926="","",IFERROR(_xlfn.XLOOKUP(A1884:A5926,castles_state!K:K,castles_state!D:D)&amp;"主",IFERROR(_xlfn.XLOOKUP(A1884:A5926,kunishuClan!D:D,kunishuClan!B:B)&amp;"当主","")))</f>
      </c>
    </row>
    <row r="1885" ht="15.75" customHeight="1">
      <c r="A1885" s="4">
        <v>1043046</v>
      </c>
      <c r="B1885" s="12" t="str">
        <f t="array" ref="B1885">IF(A1885:A5927="","",_xlfn.XLOOKUP(A1885:A5927,'参照_武将'!A:A,'参照_武将'!B:B,"見つかりません"))</f>
      </c>
      <c r="C1885" s="4" t="s">
        <v>226</v>
      </c>
      <c r="D1885" s="4">
        <v>43</v>
      </c>
      <c r="E1885" s="12" t="str">
        <f t="array" ref="E1885">IF(D1885:D5927="","",IFERROR(_xlfn.XLOOKUP(D1885:D5927,'参照_勢力'!A:A,'参照_勢力'!B:B),IFERROR(_xlfn.XLOOKUP(F1885:F5927,kunishuClan!A:A,kunishuClan!B:B),"浪人")))</f>
      </c>
      <c r="F1885" s="4">
        <v>0</v>
      </c>
      <c r="G1885" s="4">
        <v>109</v>
      </c>
      <c r="H1885" s="12" t="str">
        <f t="array" ref="H1885">IF(G1885:G5927="","",_xlfn.XLOOKUP(G1885:G5927,castles_state!A:A,castles_state!D:D,"見つかりません"))</f>
      </c>
      <c r="I1885" s="4"/>
      <c r="J1885" s="12" t="str">
        <f t="array" ref="J1885">IF(I1885:I5927="","",_xlfn.XLOOKUP(I1885:I5927,'参照_姫'!A:A,'参照_姫'!B:B,"見つかりません"))</f>
      </c>
      <c r="K1885" s="4">
        <v>100</v>
      </c>
      <c r="L1885" s="4">
        <v>0</v>
      </c>
      <c r="M1885" s="4"/>
      <c r="N1885" s="4"/>
      <c r="O1885" s="4"/>
      <c r="P1885" s="12" t="str">
        <f t="array" ref="P1885">IF(O1885:O5927="","",_xlfn.XLOOKUP(O1885:O5927,'参照_官位'!A:A,'参照_官位'!B:B,""))</f>
      </c>
      <c r="Q1885" s="12" t="str">
        <f t="array" ref="Q1885">IF(A1885:A5927="","",IFERROR(_xlfn.XLOOKUP(A1885:A5927,castles_state!K:K,castles_state!D:D)&amp;"主",IFERROR(_xlfn.XLOOKUP(A1885:A5927,kunishuClan!D:D,kunishuClan!B:B)&amp;"当主","")))</f>
      </c>
    </row>
    <row r="1886" ht="15.75" customHeight="1">
      <c r="A1886" s="4">
        <v>1043047</v>
      </c>
      <c r="B1886" s="12" t="str">
        <f t="array" ref="B1886">IF(A1886:A5928="","",_xlfn.XLOOKUP(A1886:A5928,'参照_武将'!A:A,'参照_武将'!B:B,"見つかりません"))</f>
      </c>
      <c r="C1886" s="4" t="s">
        <v>226</v>
      </c>
      <c r="D1886" s="4">
        <v>25</v>
      </c>
      <c r="E1886" s="12" t="str">
        <f t="array" ref="E1886">IF(D1886:D5928="","",IFERROR(_xlfn.XLOOKUP(D1886:D5928,'参照_勢力'!A:A,'参照_勢力'!B:B),IFERROR(_xlfn.XLOOKUP(F1886:F5928,kunishuClan!A:A,kunishuClan!B:B),"浪人")))</f>
      </c>
      <c r="F1886" s="4">
        <v>0</v>
      </c>
      <c r="G1886" s="4">
        <v>120</v>
      </c>
      <c r="H1886" s="12" t="str">
        <f t="array" ref="H1886">IF(G1886:G5928="","",_xlfn.XLOOKUP(G1886:G5928,castles_state!A:A,castles_state!D:D,"見つかりません"))</f>
      </c>
      <c r="I1886" s="4"/>
      <c r="J1886" s="12" t="str">
        <f t="array" ref="J1886">IF(I1886:I5928="","",_xlfn.XLOOKUP(I1886:I5928,'参照_姫'!A:A,'参照_姫'!B:B,"見つかりません"))</f>
      </c>
      <c r="K1886" s="4">
        <v>95</v>
      </c>
      <c r="L1886" s="4">
        <v>0</v>
      </c>
      <c r="M1886" s="4"/>
      <c r="N1886" s="4"/>
      <c r="O1886" s="4"/>
      <c r="P1886" s="12" t="str">
        <f t="array" ref="P1886">IF(O1886:O5928="","",_xlfn.XLOOKUP(O1886:O5928,'参照_官位'!A:A,'参照_官位'!B:B,""))</f>
      </c>
      <c r="Q1886" s="12" t="str">
        <f t="array" ref="Q1886">IF(A1886:A5928="","",IFERROR(_xlfn.XLOOKUP(A1886:A5928,castles_state!K:K,castles_state!D:D)&amp;"主",IFERROR(_xlfn.XLOOKUP(A1886:A5928,kunishuClan!D:D,kunishuClan!B:B)&amp;"当主","")))</f>
      </c>
    </row>
    <row r="1887" ht="15.75" customHeight="1">
      <c r="A1887" s="4">
        <v>1043048</v>
      </c>
      <c r="B1887" s="12" t="str">
        <f t="array" ref="B1887">IF(A1887:A5929="","",_xlfn.XLOOKUP(A1887:A5929,'参照_武将'!A:A,'参照_武将'!B:B,"見つかりません"))</f>
      </c>
      <c r="C1887" s="4" t="s">
        <v>226</v>
      </c>
      <c r="D1887" s="4">
        <v>25</v>
      </c>
      <c r="E1887" s="12" t="str">
        <f t="array" ref="E1887">IF(D1887:D5929="","",IFERROR(_xlfn.XLOOKUP(D1887:D5929,'参照_勢力'!A:A,'参照_勢力'!B:B),IFERROR(_xlfn.XLOOKUP(F1887:F5929,kunishuClan!A:A,kunishuClan!B:B),"浪人")))</f>
      </c>
      <c r="F1887" s="4">
        <v>0</v>
      </c>
      <c r="G1887" s="4">
        <v>108</v>
      </c>
      <c r="H1887" s="12" t="str">
        <f t="array" ref="H1887">IF(G1887:G5929="","",_xlfn.XLOOKUP(G1887:G5929,castles_state!A:A,castles_state!D:D,"見つかりません"))</f>
      </c>
      <c r="I1887" s="4"/>
      <c r="J1887" s="12" t="str">
        <f t="array" ref="J1887">IF(I1887:I5929="","",_xlfn.XLOOKUP(I1887:I5929,'参照_姫'!A:A,'参照_姫'!B:B,"見つかりません"))</f>
      </c>
      <c r="K1887" s="4">
        <v>95</v>
      </c>
      <c r="L1887" s="4">
        <v>300</v>
      </c>
      <c r="M1887" s="4"/>
      <c r="N1887" s="4"/>
      <c r="O1887" s="4"/>
      <c r="P1887" s="12" t="str">
        <f t="array" ref="P1887">IF(O1887:O5929="","",_xlfn.XLOOKUP(O1887:O5929,'参照_官位'!A:A,'参照_官位'!B:B,""))</f>
      </c>
      <c r="Q1887" s="12" t="str">
        <f t="array" ref="Q1887">IF(A1887:A5929="","",IFERROR(_xlfn.XLOOKUP(A1887:A5929,castles_state!K:K,castles_state!D:D)&amp;"主",IFERROR(_xlfn.XLOOKUP(A1887:A5929,kunishuClan!D:D,kunishuClan!B:B)&amp;"当主","")))</f>
      </c>
    </row>
    <row r="1888" ht="15.75" customHeight="1">
      <c r="A1888" s="4">
        <v>1043049</v>
      </c>
      <c r="B1888" s="12" t="str">
        <f t="array" ref="B1888">IF(A1888:A5930="","",_xlfn.XLOOKUP(A1888:A5930,'参照_武将'!A:A,'参照_武将'!B:B,"見つかりません"))</f>
      </c>
      <c r="C1888" s="4" t="s">
        <v>226</v>
      </c>
      <c r="D1888" s="4">
        <v>43</v>
      </c>
      <c r="E1888" s="12" t="str">
        <f t="array" ref="E1888">IF(D1888:D5930="","",IFERROR(_xlfn.XLOOKUP(D1888:D5930,'参照_勢力'!A:A,'参照_勢力'!B:B),IFERROR(_xlfn.XLOOKUP(F1888:F5930,kunishuClan!A:A,kunishuClan!B:B),"浪人")))</f>
      </c>
      <c r="F1888" s="4">
        <v>0</v>
      </c>
      <c r="G1888" s="4">
        <v>109</v>
      </c>
      <c r="H1888" s="12" t="str">
        <f t="array" ref="H1888">IF(G1888:G5930="","",_xlfn.XLOOKUP(G1888:G5930,castles_state!A:A,castles_state!D:D,"見つかりません"))</f>
      </c>
      <c r="I1888" s="4"/>
      <c r="J1888" s="12" t="str">
        <f t="array" ref="J1888">IF(I1888:I5930="","",_xlfn.XLOOKUP(I1888:I5930,'参照_姫'!A:A,'参照_姫'!B:B,"見つかりません"))</f>
      </c>
      <c r="K1888" s="4">
        <v>95</v>
      </c>
      <c r="L1888" s="4">
        <v>0</v>
      </c>
      <c r="M1888" s="4"/>
      <c r="N1888" s="4"/>
      <c r="O1888" s="4"/>
      <c r="P1888" s="12" t="str">
        <f t="array" ref="P1888">IF(O1888:O5930="","",_xlfn.XLOOKUP(O1888:O5930,'参照_官位'!A:A,'参照_官位'!B:B,""))</f>
      </c>
      <c r="Q1888" s="12" t="str">
        <f t="array" ref="Q1888">IF(A1888:A5930="","",IFERROR(_xlfn.XLOOKUP(A1888:A5930,castles_state!K:K,castles_state!D:D)&amp;"主",IFERROR(_xlfn.XLOOKUP(A1888:A5930,kunishuClan!D:D,kunishuClan!B:B)&amp;"当主","")))</f>
      </c>
    </row>
    <row r="1889" ht="15.75" customHeight="1">
      <c r="A1889" s="4">
        <v>1043050</v>
      </c>
      <c r="B1889" s="12" t="str">
        <f t="array" ref="B1889">IF(A1889:A5931="","",_xlfn.XLOOKUP(A1889:A5931,'参照_武将'!A:A,'参照_武将'!B:B,"見つかりません"))</f>
      </c>
      <c r="C1889" s="4" t="s">
        <v>226</v>
      </c>
      <c r="D1889" s="4">
        <v>43</v>
      </c>
      <c r="E1889" s="12" t="str">
        <f t="array" ref="E1889">IF(D1889:D5931="","",IFERROR(_xlfn.XLOOKUP(D1889:D5931,'参照_勢力'!A:A,'参照_勢力'!B:B),IFERROR(_xlfn.XLOOKUP(F1889:F5931,kunishuClan!A:A,kunishuClan!B:B),"浪人")))</f>
      </c>
      <c r="F1889" s="4">
        <v>0</v>
      </c>
      <c r="G1889" s="4">
        <v>109</v>
      </c>
      <c r="H1889" s="12" t="str">
        <f t="array" ref="H1889">IF(G1889:G5931="","",_xlfn.XLOOKUP(G1889:G5931,castles_state!A:A,castles_state!D:D,"見つかりません"))</f>
      </c>
      <c r="I1889" s="4"/>
      <c r="J1889" s="12" t="str">
        <f t="array" ref="J1889">IF(I1889:I5931="","",_xlfn.XLOOKUP(I1889:I5931,'参照_姫'!A:A,'参照_姫'!B:B,"見つかりません"))</f>
      </c>
      <c r="K1889" s="4">
        <v>95</v>
      </c>
      <c r="L1889" s="4">
        <v>0</v>
      </c>
      <c r="M1889" s="4"/>
      <c r="N1889" s="4"/>
      <c r="O1889" s="4"/>
      <c r="P1889" s="12" t="str">
        <f t="array" ref="P1889">IF(O1889:O5931="","",_xlfn.XLOOKUP(O1889:O5931,'参照_官位'!A:A,'参照_官位'!B:B,""))</f>
      </c>
      <c r="Q1889" s="12" t="str">
        <f t="array" ref="Q1889">IF(A1889:A5931="","",IFERROR(_xlfn.XLOOKUP(A1889:A5931,castles_state!K:K,castles_state!D:D)&amp;"主",IFERROR(_xlfn.XLOOKUP(A1889:A5931,kunishuClan!D:D,kunishuClan!B:B)&amp;"当主","")))</f>
      </c>
    </row>
    <row r="1890" ht="15.75" customHeight="1">
      <c r="A1890" s="4">
        <v>1043051</v>
      </c>
      <c r="B1890" s="12" t="str">
        <f t="array" ref="B1890">IF(A1890:A5932="","",_xlfn.XLOOKUP(A1890:A5932,'参照_武将'!A:A,'参照_武将'!B:B,"見つかりません"))</f>
      </c>
      <c r="C1890" s="4" t="s">
        <v>226</v>
      </c>
      <c r="D1890" s="4">
        <v>43</v>
      </c>
      <c r="E1890" s="12" t="str">
        <f t="array" ref="E1890">IF(D1890:D5932="","",IFERROR(_xlfn.XLOOKUP(D1890:D5932,'参照_勢力'!A:A,'参照_勢力'!B:B),IFERROR(_xlfn.XLOOKUP(F1890:F5932,kunishuClan!A:A,kunishuClan!B:B),"浪人")))</f>
      </c>
      <c r="F1890" s="4">
        <v>0</v>
      </c>
      <c r="G1890" s="4">
        <v>109</v>
      </c>
      <c r="H1890" s="12" t="str">
        <f t="array" ref="H1890">IF(G1890:G5932="","",_xlfn.XLOOKUP(G1890:G5932,castles_state!A:A,castles_state!D:D,"見つかりません"))</f>
      </c>
      <c r="I1890" s="4"/>
      <c r="J1890" s="12" t="str">
        <f t="array" ref="J1890">IF(I1890:I5932="","",_xlfn.XLOOKUP(I1890:I5932,'参照_姫'!A:A,'参照_姫'!B:B,"見つかりません"))</f>
      </c>
      <c r="K1890" s="4">
        <v>95</v>
      </c>
      <c r="L1890" s="4">
        <v>0</v>
      </c>
      <c r="M1890" s="4"/>
      <c r="N1890" s="4" t="b">
        <v>1</v>
      </c>
      <c r="O1890" s="4"/>
      <c r="P1890" s="12" t="str">
        <f t="array" ref="P1890">IF(O1890:O5932="","",_xlfn.XLOOKUP(O1890:O5932,'参照_官位'!A:A,'参照_官位'!B:B,""))</f>
      </c>
      <c r="Q1890" s="12" t="str">
        <f t="array" ref="Q1890">IF(A1890:A5932="","",IFERROR(_xlfn.XLOOKUP(A1890:A5932,castles_state!K:K,castles_state!D:D)&amp;"主",IFERROR(_xlfn.XLOOKUP(A1890:A5932,kunishuClan!D:D,kunishuClan!B:B)&amp;"当主","")))</f>
      </c>
    </row>
    <row r="1891" ht="15.75" customHeight="1">
      <c r="A1891" s="4">
        <v>1043052</v>
      </c>
      <c r="B1891" s="12" t="str">
        <f t="array" ref="B1891">IF(A1891:A5933="","",_xlfn.XLOOKUP(A1891:A5933,'参照_武将'!A:A,'参照_武将'!B:B,"見つかりません"))</f>
      </c>
      <c r="C1891" s="4" t="s">
        <v>226</v>
      </c>
      <c r="D1891" s="4">
        <v>43</v>
      </c>
      <c r="E1891" s="12" t="str">
        <f t="array" ref="E1891">IF(D1891:D5933="","",IFERROR(_xlfn.XLOOKUP(D1891:D5933,'参照_勢力'!A:A,'参照_勢力'!B:B),IFERROR(_xlfn.XLOOKUP(F1891:F5933,kunishuClan!A:A,kunishuClan!B:B),"浪人")))</f>
      </c>
      <c r="F1891" s="4">
        <v>0</v>
      </c>
      <c r="G1891" s="4">
        <v>109</v>
      </c>
      <c r="H1891" s="12" t="str">
        <f t="array" ref="H1891">IF(G1891:G5933="","",_xlfn.XLOOKUP(G1891:G5933,castles_state!A:A,castles_state!D:D,"見つかりません"))</f>
      </c>
      <c r="I1891" s="4"/>
      <c r="J1891" s="12" t="str">
        <f t="array" ref="J1891">IF(I1891:I5933="","",_xlfn.XLOOKUP(I1891:I5933,'参照_姫'!A:A,'参照_姫'!B:B,"見つかりません"))</f>
      </c>
      <c r="K1891" s="4">
        <v>95</v>
      </c>
      <c r="L1891" s="4">
        <v>0</v>
      </c>
      <c r="M1891" s="4"/>
      <c r="N1891" s="4"/>
      <c r="O1891" s="4"/>
      <c r="P1891" s="12" t="str">
        <f t="array" ref="P1891">IF(O1891:O5933="","",_xlfn.XLOOKUP(O1891:O5933,'参照_官位'!A:A,'参照_官位'!B:B,""))</f>
      </c>
      <c r="Q1891" s="12" t="str">
        <f t="array" ref="Q1891">IF(A1891:A5933="","",IFERROR(_xlfn.XLOOKUP(A1891:A5933,castles_state!K:K,castles_state!D:D)&amp;"主",IFERROR(_xlfn.XLOOKUP(A1891:A5933,kunishuClan!D:D,kunishuClan!B:B)&amp;"当主","")))</f>
      </c>
    </row>
    <row r="1892" ht="15.75" customHeight="1">
      <c r="A1892" s="4">
        <v>1043053</v>
      </c>
      <c r="B1892" s="12" t="str">
        <f t="array" ref="B1892">IF(A1892:A5934="","",_xlfn.XLOOKUP(A1892:A5934,'参照_武将'!A:A,'参照_武将'!B:B,"見つかりません"))</f>
      </c>
      <c r="C1892" s="4" t="s">
        <v>226</v>
      </c>
      <c r="D1892" s="4">
        <v>43</v>
      </c>
      <c r="E1892" s="12" t="str">
        <f t="array" ref="E1892">IF(D1892:D5934="","",IFERROR(_xlfn.XLOOKUP(D1892:D5934,'参照_勢力'!A:A,'参照_勢力'!B:B),IFERROR(_xlfn.XLOOKUP(F1892:F5934,kunishuClan!A:A,kunishuClan!B:B),"浪人")))</f>
      </c>
      <c r="F1892" s="4">
        <v>0</v>
      </c>
      <c r="G1892" s="4">
        <v>109</v>
      </c>
      <c r="H1892" s="12" t="str">
        <f t="array" ref="H1892">IF(G1892:G5934="","",_xlfn.XLOOKUP(G1892:G5934,castles_state!A:A,castles_state!D:D,"見つかりません"))</f>
      </c>
      <c r="I1892" s="4"/>
      <c r="J1892" s="12" t="str">
        <f t="array" ref="J1892">IF(I1892:I5934="","",_xlfn.XLOOKUP(I1892:I5934,'参照_姫'!A:A,'参照_姫'!B:B,"見つかりません"))</f>
      </c>
      <c r="K1892" s="4">
        <v>95</v>
      </c>
      <c r="L1892" s="4">
        <v>0</v>
      </c>
      <c r="M1892" s="4"/>
      <c r="N1892" s="4"/>
      <c r="O1892" s="4"/>
      <c r="P1892" s="12" t="str">
        <f t="array" ref="P1892">IF(O1892:O5934="","",_xlfn.XLOOKUP(O1892:O5934,'参照_官位'!A:A,'参照_官位'!B:B,""))</f>
      </c>
      <c r="Q1892" s="12" t="str">
        <f t="array" ref="Q1892">IF(A1892:A5934="","",IFERROR(_xlfn.XLOOKUP(A1892:A5934,castles_state!K:K,castles_state!D:D)&amp;"主",IFERROR(_xlfn.XLOOKUP(A1892:A5934,kunishuClan!D:D,kunishuClan!B:B)&amp;"当主","")))</f>
      </c>
    </row>
    <row r="1893" ht="15.75" customHeight="1">
      <c r="A1893" s="4">
        <v>1043054</v>
      </c>
      <c r="B1893" s="12" t="str">
        <f t="array" ref="B1893">IF(A1893:A5935="","",_xlfn.XLOOKUP(A1893:A5935,'参照_武将'!A:A,'参照_武将'!B:B,"見つかりません"))</f>
      </c>
      <c r="C1893" s="4" t="s">
        <v>226</v>
      </c>
      <c r="D1893" s="4">
        <v>43</v>
      </c>
      <c r="E1893" s="12" t="str">
        <f t="array" ref="E1893">IF(D1893:D5935="","",IFERROR(_xlfn.XLOOKUP(D1893:D5935,'参照_勢力'!A:A,'参照_勢力'!B:B),IFERROR(_xlfn.XLOOKUP(F1893:F5935,kunishuClan!A:A,kunishuClan!B:B),"浪人")))</f>
      </c>
      <c r="F1893" s="4">
        <v>0</v>
      </c>
      <c r="G1893" s="4">
        <v>109</v>
      </c>
      <c r="H1893" s="12" t="str">
        <f t="array" ref="H1893">IF(G1893:G5935="","",_xlfn.XLOOKUP(G1893:G5935,castles_state!A:A,castles_state!D:D,"見つかりません"))</f>
      </c>
      <c r="I1893" s="4"/>
      <c r="J1893" s="12" t="str">
        <f t="array" ref="J1893">IF(I1893:I5935="","",_xlfn.XLOOKUP(I1893:I5935,'参照_姫'!A:A,'参照_姫'!B:B,"見つかりません"))</f>
      </c>
      <c r="K1893" s="4">
        <v>95</v>
      </c>
      <c r="L1893" s="4">
        <v>300</v>
      </c>
      <c r="M1893" s="4"/>
      <c r="N1893" s="4"/>
      <c r="O1893" s="4"/>
      <c r="P1893" s="12" t="str">
        <f t="array" ref="P1893">IF(O1893:O5935="","",_xlfn.XLOOKUP(O1893:O5935,'参照_官位'!A:A,'参照_官位'!B:B,""))</f>
      </c>
      <c r="Q1893" s="12" t="str">
        <f t="array" ref="Q1893">IF(A1893:A5935="","",IFERROR(_xlfn.XLOOKUP(A1893:A5935,castles_state!K:K,castles_state!D:D)&amp;"主",IFERROR(_xlfn.XLOOKUP(A1893:A5935,kunishuClan!D:D,kunishuClan!B:B)&amp;"当主","")))</f>
      </c>
    </row>
    <row r="1894" ht="15.75" customHeight="1">
      <c r="A1894" s="4">
        <v>1043055</v>
      </c>
      <c r="B1894" s="12" t="str">
        <f t="array" ref="B1894">IF(A1894:A5936="","",_xlfn.XLOOKUP(A1894:A5936,'参照_武将'!A:A,'参照_武将'!B:B,"見つかりません"))</f>
      </c>
      <c r="C1894" s="4" t="s">
        <v>226</v>
      </c>
      <c r="D1894" s="4">
        <v>43</v>
      </c>
      <c r="E1894" s="12" t="str">
        <f t="array" ref="E1894">IF(D1894:D5936="","",IFERROR(_xlfn.XLOOKUP(D1894:D5936,'参照_勢力'!A:A,'参照_勢力'!B:B),IFERROR(_xlfn.XLOOKUP(F1894:F5936,kunishuClan!A:A,kunishuClan!B:B),"浪人")))</f>
      </c>
      <c r="F1894" s="4">
        <v>0</v>
      </c>
      <c r="G1894" s="4">
        <v>109</v>
      </c>
      <c r="H1894" s="12" t="str">
        <f t="array" ref="H1894">IF(G1894:G5936="","",_xlfn.XLOOKUP(G1894:G5936,castles_state!A:A,castles_state!D:D,"見つかりません"))</f>
      </c>
      <c r="I1894" s="4"/>
      <c r="J1894" s="12" t="str">
        <f t="array" ref="J1894">IF(I1894:I5936="","",_xlfn.XLOOKUP(I1894:I5936,'参照_姫'!A:A,'参照_姫'!B:B,"見つかりません"))</f>
      </c>
      <c r="K1894" s="4">
        <v>95</v>
      </c>
      <c r="L1894" s="4">
        <v>200</v>
      </c>
      <c r="M1894" s="4"/>
      <c r="N1894" s="4"/>
      <c r="O1894" s="4"/>
      <c r="P1894" s="12" t="str">
        <f t="array" ref="P1894">IF(O1894:O5936="","",_xlfn.XLOOKUP(O1894:O5936,'参照_官位'!A:A,'参照_官位'!B:B,""))</f>
      </c>
      <c r="Q1894" s="12" t="str">
        <f t="array" ref="Q1894">IF(A1894:A5936="","",IFERROR(_xlfn.XLOOKUP(A1894:A5936,castles_state!K:K,castles_state!D:D)&amp;"主",IFERROR(_xlfn.XLOOKUP(A1894:A5936,kunishuClan!D:D,kunishuClan!B:B)&amp;"当主","")))</f>
      </c>
    </row>
    <row r="1895" ht="15.75" customHeight="1">
      <c r="A1895" s="4">
        <v>1044001</v>
      </c>
      <c r="B1895" s="12" t="str">
        <f t="array" ref="B1895">IF(A1895:A5937="","",_xlfn.XLOOKUP(A1895:A5937,'参照_武将'!A:A,'参照_武将'!B:B,"見つかりません"))</f>
      </c>
      <c r="C1895" s="4" t="s">
        <v>229</v>
      </c>
      <c r="D1895" s="4">
        <v>44</v>
      </c>
      <c r="E1895" s="12" t="str">
        <f t="array" ref="E1895">IF(D1895:D5937="","",IFERROR(_xlfn.XLOOKUP(D1895:D5937,'参照_勢力'!A:A,'参照_勢力'!B:B),IFERROR(_xlfn.XLOOKUP(F1895:F5937,kunishuClan!A:A,kunishuClan!B:B),"浪人")))</f>
      </c>
      <c r="F1895" s="4">
        <v>0</v>
      </c>
      <c r="G1895" s="4">
        <v>114</v>
      </c>
      <c r="H1895" s="12" t="str">
        <f t="array" ref="H1895">IF(G1895:G5937="","",_xlfn.XLOOKUP(G1895:G5937,castles_state!A:A,castles_state!D:D,"見つかりません"))</f>
      </c>
      <c r="I1895" s="4"/>
      <c r="J1895" s="12" t="str">
        <f t="array" ref="J1895">IF(I1895:I5937="","",_xlfn.XLOOKUP(I1895:I5937,'参照_姫'!A:A,'参照_姫'!B:B,"見つかりません"))</f>
      </c>
      <c r="K1895" s="4">
        <v>95</v>
      </c>
      <c r="L1895" s="4">
        <v>0</v>
      </c>
      <c r="M1895" s="4"/>
      <c r="N1895" s="4"/>
      <c r="O1895" s="4"/>
      <c r="P1895" s="12" t="str">
        <f t="array" ref="P1895">IF(O1895:O5937="","",_xlfn.XLOOKUP(O1895:O5937,'参照_官位'!A:A,'参照_官位'!B:B,""))</f>
      </c>
      <c r="Q1895" s="12" t="str">
        <f t="array" ref="Q1895">IF(A1895:A5937="","",IFERROR(_xlfn.XLOOKUP(A1895:A5937,castles_state!K:K,castles_state!D:D)&amp;"主",IFERROR(_xlfn.XLOOKUP(A1895:A5937,kunishuClan!D:D,kunishuClan!B:B)&amp;"当主","")))</f>
      </c>
    </row>
    <row r="1896" ht="15.75" customHeight="1">
      <c r="A1896" s="4">
        <v>1044002</v>
      </c>
      <c r="B1896" s="12" t="str">
        <f t="array" ref="B1896">IF(A1896:A5938="","",_xlfn.XLOOKUP(A1896:A5938,'参照_武将'!A:A,'参照_武将'!B:B,"見つかりません"))</f>
      </c>
      <c r="C1896" s="4" t="s">
        <v>229</v>
      </c>
      <c r="D1896" s="4">
        <v>40</v>
      </c>
      <c r="E1896" s="12" t="str">
        <f t="array" ref="E1896">IF(D1896:D5938="","",IFERROR(_xlfn.XLOOKUP(D1896:D5938,'参照_勢力'!A:A,'参照_勢力'!B:B),IFERROR(_xlfn.XLOOKUP(F1896:F5938,kunishuClan!A:A,kunishuClan!B:B),"浪人")))</f>
      </c>
      <c r="F1896" s="4">
        <v>0</v>
      </c>
      <c r="G1896" s="4">
        <v>104</v>
      </c>
      <c r="H1896" s="12" t="str">
        <f t="array" ref="H1896">IF(G1896:G5938="","",_xlfn.XLOOKUP(G1896:G5938,castles_state!A:A,castles_state!D:D,"見つかりません"))</f>
      </c>
      <c r="I1896" s="4"/>
      <c r="J1896" s="12" t="str">
        <f t="array" ref="J1896">IF(I1896:I5938="","",_xlfn.XLOOKUP(I1896:I5938,'参照_姫'!A:A,'参照_姫'!B:B,"見つかりません"))</f>
      </c>
      <c r="K1896" s="4">
        <v>95</v>
      </c>
      <c r="L1896" s="4">
        <v>200</v>
      </c>
      <c r="M1896" s="4"/>
      <c r="N1896" s="4"/>
      <c r="O1896" s="4"/>
      <c r="P1896" s="12" t="str">
        <f t="array" ref="P1896">IF(O1896:O5938="","",_xlfn.XLOOKUP(O1896:O5938,'参照_官位'!A:A,'参照_官位'!B:B,""))</f>
      </c>
      <c r="Q1896" s="12" t="str">
        <f t="array" ref="Q1896">IF(A1896:A5938="","",IFERROR(_xlfn.XLOOKUP(A1896:A5938,castles_state!K:K,castles_state!D:D)&amp;"主",IFERROR(_xlfn.XLOOKUP(A1896:A5938,kunishuClan!D:D,kunishuClan!B:B)&amp;"当主","")))</f>
      </c>
    </row>
    <row r="1897" ht="15.75" customHeight="1">
      <c r="A1897" s="4">
        <v>1044003</v>
      </c>
      <c r="B1897" s="12" t="str">
        <f t="array" ref="B1897">IF(A1897:A5939="","",_xlfn.XLOOKUP(A1897:A5939,'参照_武将'!A:A,'参照_武将'!B:B,"見つかりません"))</f>
      </c>
      <c r="C1897" s="4" t="s">
        <v>229</v>
      </c>
      <c r="D1897" s="4">
        <v>40</v>
      </c>
      <c r="E1897" s="12" t="str">
        <f t="array" ref="E1897">IF(D1897:D5939="","",IFERROR(_xlfn.XLOOKUP(D1897:D5939,'参照_勢力'!A:A,'参照_勢力'!B:B),IFERROR(_xlfn.XLOOKUP(F1897:F5939,kunishuClan!A:A,kunishuClan!B:B),"浪人")))</f>
      </c>
      <c r="F1897" s="4">
        <v>0</v>
      </c>
      <c r="G1897" s="4">
        <v>104</v>
      </c>
      <c r="H1897" s="12" t="str">
        <f t="array" ref="H1897">IF(G1897:G5939="","",_xlfn.XLOOKUP(G1897:G5939,castles_state!A:A,castles_state!D:D,"見つかりません"))</f>
      </c>
      <c r="I1897" s="4"/>
      <c r="J1897" s="12" t="str">
        <f t="array" ref="J1897">IF(I1897:I5939="","",_xlfn.XLOOKUP(I1897:I5939,'参照_姫'!A:A,'参照_姫'!B:B,"見つかりません"))</f>
      </c>
      <c r="K1897" s="4">
        <v>95</v>
      </c>
      <c r="L1897" s="4">
        <v>200</v>
      </c>
      <c r="M1897" s="4"/>
      <c r="N1897" s="4"/>
      <c r="O1897" s="4"/>
      <c r="P1897" s="12" t="str">
        <f t="array" ref="P1897">IF(O1897:O5939="","",_xlfn.XLOOKUP(O1897:O5939,'参照_官位'!A:A,'参照_官位'!B:B,""))</f>
      </c>
      <c r="Q1897" s="12" t="str">
        <f t="array" ref="Q1897">IF(A1897:A5939="","",IFERROR(_xlfn.XLOOKUP(A1897:A5939,castles_state!K:K,castles_state!D:D)&amp;"主",IFERROR(_xlfn.XLOOKUP(A1897:A5939,kunishuClan!D:D,kunishuClan!B:B)&amp;"当主","")))</f>
      </c>
    </row>
    <row r="1898" ht="15.75" customHeight="1">
      <c r="A1898" s="4">
        <v>1044004</v>
      </c>
      <c r="B1898" s="12" t="str">
        <f t="array" ref="B1898">IF(A1898:A5940="","",_xlfn.XLOOKUP(A1898:A5940,'参照_武将'!A:A,'参照_武将'!B:B,"見つかりません"))</f>
      </c>
      <c r="C1898" s="4" t="s">
        <v>229</v>
      </c>
      <c r="D1898" s="4">
        <v>40</v>
      </c>
      <c r="E1898" s="12" t="str">
        <f t="array" ref="E1898">IF(D1898:D5940="","",IFERROR(_xlfn.XLOOKUP(D1898:D5940,'参照_勢力'!A:A,'参照_勢力'!B:B),IFERROR(_xlfn.XLOOKUP(F1898:F5940,kunishuClan!A:A,kunishuClan!B:B),"浪人")))</f>
      </c>
      <c r="F1898" s="4">
        <v>0</v>
      </c>
      <c r="G1898" s="4">
        <v>104</v>
      </c>
      <c r="H1898" s="12" t="str">
        <f t="array" ref="H1898">IF(G1898:G5940="","",_xlfn.XLOOKUP(G1898:G5940,castles_state!A:A,castles_state!D:D,"見つかりません"))</f>
      </c>
      <c r="I1898" s="4"/>
      <c r="J1898" s="12" t="str">
        <f t="array" ref="J1898">IF(I1898:I5940="","",_xlfn.XLOOKUP(I1898:I5940,'参照_姫'!A:A,'参照_姫'!B:B,"見つかりません"))</f>
      </c>
      <c r="K1898" s="4">
        <v>95</v>
      </c>
      <c r="L1898" s="4">
        <v>200</v>
      </c>
      <c r="M1898" s="4"/>
      <c r="N1898" s="4"/>
      <c r="O1898" s="4"/>
      <c r="P1898" s="12" t="str">
        <f t="array" ref="P1898">IF(O1898:O5940="","",_xlfn.XLOOKUP(O1898:O5940,'参照_官位'!A:A,'参照_官位'!B:B,""))</f>
      </c>
      <c r="Q1898" s="12" t="str">
        <f t="array" ref="Q1898">IF(A1898:A5940="","",IFERROR(_xlfn.XLOOKUP(A1898:A5940,castles_state!K:K,castles_state!D:D)&amp;"主",IFERROR(_xlfn.XLOOKUP(A1898:A5940,kunishuClan!D:D,kunishuClan!B:B)&amp;"当主","")))</f>
      </c>
    </row>
    <row r="1899" ht="15.75" customHeight="1">
      <c r="A1899" s="4">
        <v>1044005</v>
      </c>
      <c r="B1899" s="12" t="str">
        <f t="array" ref="B1899">IF(A1899:A5941="","",_xlfn.XLOOKUP(A1899:A5941,'参照_武将'!A:A,'参照_武将'!B:B,"見つかりません"))</f>
      </c>
      <c r="C1899" s="4" t="s">
        <v>229</v>
      </c>
      <c r="D1899" s="4">
        <v>44</v>
      </c>
      <c r="E1899" s="12" t="str">
        <f t="array" ref="E1899">IF(D1899:D5941="","",IFERROR(_xlfn.XLOOKUP(D1899:D5941,'参照_勢力'!A:A,'参照_勢力'!B:B),IFERROR(_xlfn.XLOOKUP(F1899:F5941,kunishuClan!A:A,kunishuClan!B:B),"浪人")))</f>
      </c>
      <c r="F1899" s="4">
        <v>0</v>
      </c>
      <c r="G1899" s="4">
        <v>114</v>
      </c>
      <c r="H1899" s="12" t="str">
        <f t="array" ref="H1899">IF(G1899:G5941="","",_xlfn.XLOOKUP(G1899:G5941,castles_state!A:A,castles_state!D:D,"見つかりません"))</f>
      </c>
      <c r="I1899" s="4"/>
      <c r="J1899" s="12" t="str">
        <f t="array" ref="J1899">IF(I1899:I5941="","",_xlfn.XLOOKUP(I1899:I5941,'参照_姫'!A:A,'参照_姫'!B:B,"見つかりません"))</f>
      </c>
      <c r="K1899" s="4">
        <v>100</v>
      </c>
      <c r="L1899" s="4">
        <v>1500</v>
      </c>
      <c r="M1899" s="4"/>
      <c r="N1899" s="4"/>
      <c r="O1899" s="4"/>
      <c r="P1899" s="12" t="str">
        <f t="array" ref="P1899">IF(O1899:O5941="","",_xlfn.XLOOKUP(O1899:O5941,'参照_官位'!A:A,'参照_官位'!B:B,""))</f>
      </c>
      <c r="Q1899" s="12" t="str">
        <f t="array" ref="Q1899">IF(A1899:A5941="","",IFERROR(_xlfn.XLOOKUP(A1899:A5941,castles_state!K:K,castles_state!D:D)&amp;"主",IFERROR(_xlfn.XLOOKUP(A1899:A5941,kunishuClan!D:D,kunishuClan!B:B)&amp;"当主","")))</f>
      </c>
    </row>
    <row r="1900" ht="15.75" customHeight="1">
      <c r="A1900" s="4">
        <v>1044006</v>
      </c>
      <c r="B1900" s="12" t="str">
        <f t="array" ref="B1900">IF(A1900:A5942="","",_xlfn.XLOOKUP(A1900:A5942,'参照_武将'!A:A,'参照_武将'!B:B,"見つかりません"))</f>
      </c>
      <c r="C1900" s="4" t="s">
        <v>229</v>
      </c>
      <c r="D1900" s="4">
        <v>44</v>
      </c>
      <c r="E1900" s="12" t="str">
        <f t="array" ref="E1900">IF(D1900:D5942="","",IFERROR(_xlfn.XLOOKUP(D1900:D5942,'参照_勢力'!A:A,'参照_勢力'!B:B),IFERROR(_xlfn.XLOOKUP(F1900:F5942,kunishuClan!A:A,kunishuClan!B:B),"浪人")))</f>
      </c>
      <c r="F1900" s="4">
        <v>0</v>
      </c>
      <c r="G1900" s="4">
        <v>114</v>
      </c>
      <c r="H1900" s="12" t="str">
        <f t="array" ref="H1900">IF(G1900:G5942="","",_xlfn.XLOOKUP(G1900:G5942,castles_state!A:A,castles_state!D:D,"見つかりません"))</f>
      </c>
      <c r="I1900" s="4"/>
      <c r="J1900" s="12" t="str">
        <f t="array" ref="J1900">IF(I1900:I5942="","",_xlfn.XLOOKUP(I1900:I5942,'参照_姫'!A:A,'参照_姫'!B:B,"見つかりません"))</f>
      </c>
      <c r="K1900" s="4">
        <v>95</v>
      </c>
      <c r="L1900" s="4">
        <v>500</v>
      </c>
      <c r="M1900" s="4"/>
      <c r="N1900" s="4"/>
      <c r="O1900" s="4"/>
      <c r="P1900" s="12" t="str">
        <f t="array" ref="P1900">IF(O1900:O5942="","",_xlfn.XLOOKUP(O1900:O5942,'参照_官位'!A:A,'参照_官位'!B:B,""))</f>
      </c>
      <c r="Q1900" s="12" t="str">
        <f t="array" ref="Q1900">IF(A1900:A5942="","",IFERROR(_xlfn.XLOOKUP(A1900:A5942,castles_state!K:K,castles_state!D:D)&amp;"主",IFERROR(_xlfn.XLOOKUP(A1900:A5942,kunishuClan!D:D,kunishuClan!B:B)&amp;"当主","")))</f>
      </c>
    </row>
    <row r="1901" ht="15.75" customHeight="1">
      <c r="A1901" s="4">
        <v>1044007</v>
      </c>
      <c r="B1901" s="12" t="str">
        <f t="array" ref="B1901">IF(A1901:A5943="","",_xlfn.XLOOKUP(A1901:A5943,'参照_武将'!A:A,'参照_武将'!B:B,"見つかりません"))</f>
      </c>
      <c r="C1901" s="4" t="s">
        <v>229</v>
      </c>
      <c r="D1901" s="4">
        <v>44</v>
      </c>
      <c r="E1901" s="12" t="str">
        <f t="array" ref="E1901">IF(D1901:D5943="","",IFERROR(_xlfn.XLOOKUP(D1901:D5943,'参照_勢力'!A:A,'参照_勢力'!B:B),IFERROR(_xlfn.XLOOKUP(F1901:F5943,kunishuClan!A:A,kunishuClan!B:B),"浪人")))</f>
      </c>
      <c r="F1901" s="4">
        <v>0</v>
      </c>
      <c r="G1901" s="4">
        <v>114</v>
      </c>
      <c r="H1901" s="12" t="str">
        <f t="array" ref="H1901">IF(G1901:G5943="","",_xlfn.XLOOKUP(G1901:G5943,castles_state!A:A,castles_state!D:D,"見つかりません"))</f>
      </c>
      <c r="I1901" s="4"/>
      <c r="J1901" s="12" t="str">
        <f t="array" ref="J1901">IF(I1901:I5943="","",_xlfn.XLOOKUP(I1901:I5943,'参照_姫'!A:A,'参照_姫'!B:B,"見つかりません"))</f>
      </c>
      <c r="K1901" s="4">
        <v>95</v>
      </c>
      <c r="L1901" s="4">
        <v>200</v>
      </c>
      <c r="M1901" s="4"/>
      <c r="N1901" s="4"/>
      <c r="O1901" s="4"/>
      <c r="P1901" s="12" t="str">
        <f t="array" ref="P1901">IF(O1901:O5943="","",_xlfn.XLOOKUP(O1901:O5943,'参照_官位'!A:A,'参照_官位'!B:B,""))</f>
      </c>
      <c r="Q1901" s="12" t="str">
        <f t="array" ref="Q1901">IF(A1901:A5943="","",IFERROR(_xlfn.XLOOKUP(A1901:A5943,castles_state!K:K,castles_state!D:D)&amp;"主",IFERROR(_xlfn.XLOOKUP(A1901:A5943,kunishuClan!D:D,kunishuClan!B:B)&amp;"当主","")))</f>
      </c>
    </row>
    <row r="1902" ht="15.75" customHeight="1">
      <c r="A1902" s="4">
        <v>1044008</v>
      </c>
      <c r="B1902" s="12" t="str">
        <f t="array" ref="B1902">IF(A1902:A5944="","",_xlfn.XLOOKUP(A1902:A5944,'参照_武将'!A:A,'参照_武将'!B:B,"見つかりません"))</f>
      </c>
      <c r="C1902" s="4" t="s">
        <v>229</v>
      </c>
      <c r="D1902" s="4">
        <v>40</v>
      </c>
      <c r="E1902" s="12" t="str">
        <f t="array" ref="E1902">IF(D1902:D5944="","",IFERROR(_xlfn.XLOOKUP(D1902:D5944,'参照_勢力'!A:A,'参照_勢力'!B:B),IFERROR(_xlfn.XLOOKUP(F1902:F5944,kunishuClan!A:A,kunishuClan!B:B),"浪人")))</f>
      </c>
      <c r="F1902" s="4">
        <v>0</v>
      </c>
      <c r="G1902" s="4">
        <v>104</v>
      </c>
      <c r="H1902" s="12" t="str">
        <f t="array" ref="H1902">IF(G1902:G5944="","",_xlfn.XLOOKUP(G1902:G5944,castles_state!A:A,castles_state!D:D,"見つかりません"))</f>
      </c>
      <c r="I1902" s="4"/>
      <c r="J1902" s="12" t="str">
        <f t="array" ref="J1902">IF(I1902:I5944="","",_xlfn.XLOOKUP(I1902:I5944,'参照_姫'!A:A,'参照_姫'!B:B,"見つかりません"))</f>
      </c>
      <c r="K1902" s="4">
        <v>95</v>
      </c>
      <c r="L1902" s="4">
        <v>0</v>
      </c>
      <c r="M1902" s="4"/>
      <c r="N1902" s="4"/>
      <c r="O1902" s="4"/>
      <c r="P1902" s="12" t="str">
        <f t="array" ref="P1902">IF(O1902:O5944="","",_xlfn.XLOOKUP(O1902:O5944,'参照_官位'!A:A,'参照_官位'!B:B,""))</f>
      </c>
      <c r="Q1902" s="12" t="str">
        <f t="array" ref="Q1902">IF(A1902:A5944="","",IFERROR(_xlfn.XLOOKUP(A1902:A5944,castles_state!K:K,castles_state!D:D)&amp;"主",IFERROR(_xlfn.XLOOKUP(A1902:A5944,kunishuClan!D:D,kunishuClan!B:B)&amp;"当主","")))</f>
      </c>
    </row>
    <row r="1903" ht="15.75" customHeight="1">
      <c r="A1903" s="4">
        <v>1044009</v>
      </c>
      <c r="B1903" s="12" t="str">
        <f t="array" ref="B1903">IF(A1903:A5945="","",_xlfn.XLOOKUP(A1903:A5945,'参照_武将'!A:A,'参照_武将'!B:B,"見つかりません"))</f>
      </c>
      <c r="C1903" s="4" t="s">
        <v>229</v>
      </c>
      <c r="D1903" s="4">
        <v>44</v>
      </c>
      <c r="E1903" s="12" t="str">
        <f t="array" ref="E1903">IF(D1903:D5945="","",IFERROR(_xlfn.XLOOKUP(D1903:D5945,'参照_勢力'!A:A,'参照_勢力'!B:B),IFERROR(_xlfn.XLOOKUP(F1903:F5945,kunishuClan!A:A,kunishuClan!B:B),"浪人")))</f>
      </c>
      <c r="F1903" s="4">
        <v>0</v>
      </c>
      <c r="G1903" s="4">
        <v>114</v>
      </c>
      <c r="H1903" s="12" t="str">
        <f t="array" ref="H1903">IF(G1903:G5945="","",_xlfn.XLOOKUP(G1903:G5945,castles_state!A:A,castles_state!D:D,"見つかりません"))</f>
      </c>
      <c r="I1903" s="4"/>
      <c r="J1903" s="12" t="str">
        <f t="array" ref="J1903">IF(I1903:I5945="","",_xlfn.XLOOKUP(I1903:I5945,'参照_姫'!A:A,'参照_姫'!B:B,"見つかりません"))</f>
      </c>
      <c r="K1903" s="4">
        <v>95</v>
      </c>
      <c r="L1903" s="4">
        <v>0</v>
      </c>
      <c r="M1903" s="4"/>
      <c r="N1903" s="4"/>
      <c r="O1903" s="4"/>
      <c r="P1903" s="12" t="str">
        <f t="array" ref="P1903">IF(O1903:O5945="","",_xlfn.XLOOKUP(O1903:O5945,'参照_官位'!A:A,'参照_官位'!B:B,""))</f>
      </c>
      <c r="Q1903" s="12" t="str">
        <f t="array" ref="Q1903">IF(A1903:A5945="","",IFERROR(_xlfn.XLOOKUP(A1903:A5945,castles_state!K:K,castles_state!D:D)&amp;"主",IFERROR(_xlfn.XLOOKUP(A1903:A5945,kunishuClan!D:D,kunishuClan!B:B)&amp;"当主","")))</f>
      </c>
    </row>
    <row r="1904" ht="15.75" customHeight="1">
      <c r="A1904" s="4">
        <v>1044010</v>
      </c>
      <c r="B1904" s="12" t="str">
        <f t="array" ref="B1904">IF(A1904:A5946="","",_xlfn.XLOOKUP(A1904:A5946,'参照_武将'!A:A,'参照_武将'!B:B,"見つかりません"))</f>
      </c>
      <c r="C1904" s="4" t="s">
        <v>229</v>
      </c>
      <c r="D1904" s="4">
        <v>44</v>
      </c>
      <c r="E1904" s="12" t="str">
        <f t="array" ref="E1904">IF(D1904:D5946="","",IFERROR(_xlfn.XLOOKUP(D1904:D5946,'参照_勢力'!A:A,'参照_勢力'!B:B),IFERROR(_xlfn.XLOOKUP(F1904:F5946,kunishuClan!A:A,kunishuClan!B:B),"浪人")))</f>
      </c>
      <c r="F1904" s="4">
        <v>0</v>
      </c>
      <c r="G1904" s="4">
        <v>114</v>
      </c>
      <c r="H1904" s="12" t="str">
        <f t="array" ref="H1904">IF(G1904:G5946="","",_xlfn.XLOOKUP(G1904:G5946,castles_state!A:A,castles_state!D:D,"見つかりません"))</f>
      </c>
      <c r="I1904" s="4"/>
      <c r="J1904" s="12" t="str">
        <f t="array" ref="J1904">IF(I1904:I5946="","",_xlfn.XLOOKUP(I1904:I5946,'参照_姫'!A:A,'参照_姫'!B:B,"見つかりません"))</f>
      </c>
      <c r="K1904" s="4">
        <v>95</v>
      </c>
      <c r="L1904" s="4">
        <v>0</v>
      </c>
      <c r="M1904" s="4"/>
      <c r="N1904" s="4"/>
      <c r="O1904" s="4"/>
      <c r="P1904" s="12" t="str">
        <f t="array" ref="P1904">IF(O1904:O5946="","",_xlfn.XLOOKUP(O1904:O5946,'参照_官位'!A:A,'参照_官位'!B:B,""))</f>
      </c>
      <c r="Q1904" s="12" t="str">
        <f t="array" ref="Q1904">IF(A1904:A5946="","",IFERROR(_xlfn.XLOOKUP(A1904:A5946,castles_state!K:K,castles_state!D:D)&amp;"主",IFERROR(_xlfn.XLOOKUP(A1904:A5946,kunishuClan!D:D,kunishuClan!B:B)&amp;"当主","")))</f>
      </c>
    </row>
    <row r="1905" ht="15.75" customHeight="1">
      <c r="A1905" s="4">
        <v>1044011</v>
      </c>
      <c r="B1905" s="12" t="str">
        <f t="array" ref="B1905">IF(A1905:A5947="","",_xlfn.XLOOKUP(A1905:A5947,'参照_武将'!A:A,'参照_武将'!B:B,"見つかりません"))</f>
      </c>
      <c r="C1905" s="4" t="s">
        <v>229</v>
      </c>
      <c r="D1905" s="4">
        <v>44</v>
      </c>
      <c r="E1905" s="12" t="str">
        <f t="array" ref="E1905">IF(D1905:D5947="","",IFERROR(_xlfn.XLOOKUP(D1905:D5947,'参照_勢力'!A:A,'参照_勢力'!B:B),IFERROR(_xlfn.XLOOKUP(F1905:F5947,kunishuClan!A:A,kunishuClan!B:B),"浪人")))</f>
      </c>
      <c r="F1905" s="4">
        <v>0</v>
      </c>
      <c r="G1905" s="4">
        <v>112</v>
      </c>
      <c r="H1905" s="12" t="str">
        <f t="array" ref="H1905">IF(G1905:G5947="","",_xlfn.XLOOKUP(G1905:G5947,castles_state!A:A,castles_state!D:D,"見つかりません"))</f>
      </c>
      <c r="I1905" s="4"/>
      <c r="J1905" s="12" t="str">
        <f t="array" ref="J1905">IF(I1905:I5947="","",_xlfn.XLOOKUP(I1905:I5947,'参照_姫'!A:A,'参照_姫'!B:B,"見つかりません"))</f>
      </c>
      <c r="K1905" s="4">
        <v>95</v>
      </c>
      <c r="L1905" s="4">
        <v>200</v>
      </c>
      <c r="M1905" s="4"/>
      <c r="N1905" s="4"/>
      <c r="O1905" s="4"/>
      <c r="P1905" s="12" t="str">
        <f t="array" ref="P1905">IF(O1905:O5947="","",_xlfn.XLOOKUP(O1905:O5947,'参照_官位'!A:A,'参照_官位'!B:B,""))</f>
      </c>
      <c r="Q1905" s="12" t="str">
        <f t="array" ref="Q1905">IF(A1905:A5947="","",IFERROR(_xlfn.XLOOKUP(A1905:A5947,castles_state!K:K,castles_state!D:D)&amp;"主",IFERROR(_xlfn.XLOOKUP(A1905:A5947,kunishuClan!D:D,kunishuClan!B:B)&amp;"当主","")))</f>
      </c>
    </row>
    <row r="1906" ht="15.75" customHeight="1">
      <c r="A1906" s="4">
        <v>1044012</v>
      </c>
      <c r="B1906" s="12" t="str">
        <f t="array" ref="B1906">IF(A1906:A5948="","",_xlfn.XLOOKUP(A1906:A5948,'参照_武将'!A:A,'参照_武将'!B:B,"見つかりません"))</f>
      </c>
      <c r="C1906" s="4" t="s">
        <v>229</v>
      </c>
      <c r="D1906" s="4">
        <v>44</v>
      </c>
      <c r="E1906" s="12" t="str">
        <f t="array" ref="E1906">IF(D1906:D5948="","",IFERROR(_xlfn.XLOOKUP(D1906:D5948,'参照_勢力'!A:A,'参照_勢力'!B:B),IFERROR(_xlfn.XLOOKUP(F1906:F5948,kunishuClan!A:A,kunishuClan!B:B),"浪人")))</f>
      </c>
      <c r="F1906" s="4">
        <v>0</v>
      </c>
      <c r="G1906" s="4">
        <v>112</v>
      </c>
      <c r="H1906" s="12" t="str">
        <f t="array" ref="H1906">IF(G1906:G5948="","",_xlfn.XLOOKUP(G1906:G5948,castles_state!A:A,castles_state!D:D,"見つかりません"))</f>
      </c>
      <c r="I1906" s="4"/>
      <c r="J1906" s="12" t="str">
        <f t="array" ref="J1906">IF(I1906:I5948="","",_xlfn.XLOOKUP(I1906:I5948,'参照_姫'!A:A,'参照_姫'!B:B,"見つかりません"))</f>
      </c>
      <c r="K1906" s="4">
        <v>95</v>
      </c>
      <c r="L1906" s="4">
        <v>0</v>
      </c>
      <c r="M1906" s="4"/>
      <c r="N1906" s="4"/>
      <c r="O1906" s="4"/>
      <c r="P1906" s="12" t="str">
        <f t="array" ref="P1906">IF(O1906:O5948="","",_xlfn.XLOOKUP(O1906:O5948,'参照_官位'!A:A,'参照_官位'!B:B,""))</f>
      </c>
      <c r="Q1906" s="12" t="str">
        <f t="array" ref="Q1906">IF(A1906:A5948="","",IFERROR(_xlfn.XLOOKUP(A1906:A5948,castles_state!K:K,castles_state!D:D)&amp;"主",IFERROR(_xlfn.XLOOKUP(A1906:A5948,kunishuClan!D:D,kunishuClan!B:B)&amp;"当主","")))</f>
      </c>
    </row>
    <row r="1907" ht="15.75" customHeight="1">
      <c r="A1907" s="4">
        <v>1044013</v>
      </c>
      <c r="B1907" s="12" t="str">
        <f t="array" ref="B1907">IF(A1907:A5949="","",_xlfn.XLOOKUP(A1907:A5949,'参照_武将'!A:A,'参照_武将'!B:B,"見つかりません"))</f>
      </c>
      <c r="C1907" s="4" t="s">
        <v>229</v>
      </c>
      <c r="D1907" s="4">
        <v>44</v>
      </c>
      <c r="E1907" s="12" t="str">
        <f t="array" ref="E1907">IF(D1907:D5949="","",IFERROR(_xlfn.XLOOKUP(D1907:D5949,'参照_勢力'!A:A,'参照_勢力'!B:B),IFERROR(_xlfn.XLOOKUP(F1907:F5949,kunishuClan!A:A,kunishuClan!B:B),"浪人")))</f>
      </c>
      <c r="F1907" s="4">
        <v>0</v>
      </c>
      <c r="G1907" s="4">
        <v>114</v>
      </c>
      <c r="H1907" s="12" t="str">
        <f t="array" ref="H1907">IF(G1907:G5949="","",_xlfn.XLOOKUP(G1907:G5949,castles_state!A:A,castles_state!D:D,"見つかりません"))</f>
      </c>
      <c r="I1907" s="4"/>
      <c r="J1907" s="12" t="str">
        <f t="array" ref="J1907">IF(I1907:I5949="","",_xlfn.XLOOKUP(I1907:I5949,'参照_姫'!A:A,'参照_姫'!B:B,"見つかりません"))</f>
      </c>
      <c r="K1907" s="4">
        <v>95</v>
      </c>
      <c r="L1907" s="4">
        <v>0</v>
      </c>
      <c r="M1907" s="4"/>
      <c r="N1907" s="4"/>
      <c r="O1907" s="4"/>
      <c r="P1907" s="12" t="str">
        <f t="array" ref="P1907">IF(O1907:O5949="","",_xlfn.XLOOKUP(O1907:O5949,'参照_官位'!A:A,'参照_官位'!B:B,""))</f>
      </c>
      <c r="Q1907" s="12" t="str">
        <f t="array" ref="Q1907">IF(A1907:A5949="","",IFERROR(_xlfn.XLOOKUP(A1907:A5949,castles_state!K:K,castles_state!D:D)&amp;"主",IFERROR(_xlfn.XLOOKUP(A1907:A5949,kunishuClan!D:D,kunishuClan!B:B)&amp;"当主","")))</f>
      </c>
    </row>
    <row r="1908" ht="15.75" customHeight="1">
      <c r="A1908" s="4">
        <v>1044014</v>
      </c>
      <c r="B1908" s="12" t="str">
        <f t="array" ref="B1908">IF(A1908:A5950="","",_xlfn.XLOOKUP(A1908:A5950,'参照_武将'!A:A,'参照_武将'!B:B,"見つかりません"))</f>
      </c>
      <c r="C1908" s="4" t="s">
        <v>229</v>
      </c>
      <c r="D1908" s="4">
        <v>44</v>
      </c>
      <c r="E1908" s="12" t="str">
        <f t="array" ref="E1908">IF(D1908:D5950="","",IFERROR(_xlfn.XLOOKUP(D1908:D5950,'参照_勢力'!A:A,'参照_勢力'!B:B),IFERROR(_xlfn.XLOOKUP(F1908:F5950,kunishuClan!A:A,kunishuClan!B:B),"浪人")))</f>
      </c>
      <c r="F1908" s="4">
        <v>0</v>
      </c>
      <c r="G1908" s="4">
        <v>114</v>
      </c>
      <c r="H1908" s="12" t="str">
        <f t="array" ref="H1908">IF(G1908:G5950="","",_xlfn.XLOOKUP(G1908:G5950,castles_state!A:A,castles_state!D:D,"見つかりません"))</f>
      </c>
      <c r="I1908" s="4"/>
      <c r="J1908" s="12" t="str">
        <f t="array" ref="J1908">IF(I1908:I5950="","",_xlfn.XLOOKUP(I1908:I5950,'参照_姫'!A:A,'参照_姫'!B:B,"見つかりません"))</f>
      </c>
      <c r="K1908" s="4">
        <v>95</v>
      </c>
      <c r="L1908" s="4">
        <v>0</v>
      </c>
      <c r="M1908" s="4"/>
      <c r="N1908" s="4"/>
      <c r="O1908" s="4"/>
      <c r="P1908" s="12" t="str">
        <f t="array" ref="P1908">IF(O1908:O5950="","",_xlfn.XLOOKUP(O1908:O5950,'参照_官位'!A:A,'参照_官位'!B:B,""))</f>
      </c>
      <c r="Q1908" s="12" t="str">
        <f t="array" ref="Q1908">IF(A1908:A5950="","",IFERROR(_xlfn.XLOOKUP(A1908:A5950,castles_state!K:K,castles_state!D:D)&amp;"主",IFERROR(_xlfn.XLOOKUP(A1908:A5950,kunishuClan!D:D,kunishuClan!B:B)&amp;"当主","")))</f>
      </c>
    </row>
    <row r="1909" ht="15.75" customHeight="1">
      <c r="A1909" s="4">
        <v>1044015</v>
      </c>
      <c r="B1909" s="12" t="str">
        <f t="array" ref="B1909">IF(A1909:A5951="","",_xlfn.XLOOKUP(A1909:A5951,'参照_武将'!A:A,'参照_武将'!B:B,"見つかりません"))</f>
      </c>
      <c r="C1909" s="4" t="s">
        <v>229</v>
      </c>
      <c r="D1909" s="4">
        <v>44</v>
      </c>
      <c r="E1909" s="12" t="str">
        <f t="array" ref="E1909">IF(D1909:D5951="","",IFERROR(_xlfn.XLOOKUP(D1909:D5951,'参照_勢力'!A:A,'参照_勢力'!B:B),IFERROR(_xlfn.XLOOKUP(F1909:F5951,kunishuClan!A:A,kunishuClan!B:B),"浪人")))</f>
      </c>
      <c r="F1909" s="4">
        <v>0</v>
      </c>
      <c r="G1909" s="4">
        <v>114</v>
      </c>
      <c r="H1909" s="12" t="str">
        <f t="array" ref="H1909">IF(G1909:G5951="","",_xlfn.XLOOKUP(G1909:G5951,castles_state!A:A,castles_state!D:D,"見つかりません"))</f>
      </c>
      <c r="I1909" s="4"/>
      <c r="J1909" s="12" t="str">
        <f t="array" ref="J1909">IF(I1909:I5951="","",_xlfn.XLOOKUP(I1909:I5951,'参照_姫'!A:A,'参照_姫'!B:B,"見つかりません"))</f>
      </c>
      <c r="K1909" s="4">
        <v>95</v>
      </c>
      <c r="L1909" s="4">
        <v>0</v>
      </c>
      <c r="M1909" s="4"/>
      <c r="N1909" s="4"/>
      <c r="O1909" s="4"/>
      <c r="P1909" s="12" t="str">
        <f t="array" ref="P1909">IF(O1909:O5951="","",_xlfn.XLOOKUP(O1909:O5951,'参照_官位'!A:A,'参照_官位'!B:B,""))</f>
      </c>
      <c r="Q1909" s="12" t="str">
        <f t="array" ref="Q1909">IF(A1909:A5951="","",IFERROR(_xlfn.XLOOKUP(A1909:A5951,castles_state!K:K,castles_state!D:D)&amp;"主",IFERROR(_xlfn.XLOOKUP(A1909:A5951,kunishuClan!D:D,kunishuClan!B:B)&amp;"当主","")))</f>
      </c>
    </row>
    <row r="1910" ht="15.75" customHeight="1">
      <c r="A1910" s="4">
        <v>1044016</v>
      </c>
      <c r="B1910" s="12" t="str">
        <f t="array" ref="B1910">IF(A1910:A5952="","",_xlfn.XLOOKUP(A1910:A5952,'参照_武将'!A:A,'参照_武将'!B:B,"見つかりません"))</f>
      </c>
      <c r="C1910" s="4" t="s">
        <v>229</v>
      </c>
      <c r="D1910" s="4">
        <v>44</v>
      </c>
      <c r="E1910" s="12" t="str">
        <f t="array" ref="E1910">IF(D1910:D5952="","",IFERROR(_xlfn.XLOOKUP(D1910:D5952,'参照_勢力'!A:A,'参照_勢力'!B:B),IFERROR(_xlfn.XLOOKUP(F1910:F5952,kunishuClan!A:A,kunishuClan!B:B),"浪人")))</f>
      </c>
      <c r="F1910" s="4">
        <v>0</v>
      </c>
      <c r="G1910" s="4">
        <v>112</v>
      </c>
      <c r="H1910" s="12" t="str">
        <f t="array" ref="H1910">IF(G1910:G5952="","",_xlfn.XLOOKUP(G1910:G5952,castles_state!A:A,castles_state!D:D,"見つかりません"))</f>
      </c>
      <c r="I1910" s="4"/>
      <c r="J1910" s="12" t="str">
        <f t="array" ref="J1910">IF(I1910:I5952="","",_xlfn.XLOOKUP(I1910:I5952,'参照_姫'!A:A,'参照_姫'!B:B,"見つかりません"))</f>
      </c>
      <c r="K1910" s="4">
        <v>95</v>
      </c>
      <c r="L1910" s="4">
        <v>0</v>
      </c>
      <c r="M1910" s="4"/>
      <c r="N1910" s="4"/>
      <c r="O1910" s="4"/>
      <c r="P1910" s="12" t="str">
        <f t="array" ref="P1910">IF(O1910:O5952="","",_xlfn.XLOOKUP(O1910:O5952,'参照_官位'!A:A,'参照_官位'!B:B,""))</f>
      </c>
      <c r="Q1910" s="12" t="str">
        <f t="array" ref="Q1910">IF(A1910:A5952="","",IFERROR(_xlfn.XLOOKUP(A1910:A5952,castles_state!K:K,castles_state!D:D)&amp;"主",IFERROR(_xlfn.XLOOKUP(A1910:A5952,kunishuClan!D:D,kunishuClan!B:B)&amp;"当主","")))</f>
      </c>
    </row>
    <row r="1911" ht="15.75" customHeight="1">
      <c r="A1911" s="4">
        <v>1045001</v>
      </c>
      <c r="B1911" s="12" t="str">
        <f t="array" ref="B1911">IF(A1911:A5953="","",_xlfn.XLOOKUP(A1911:A5953,'参照_武将'!A:A,'参照_武将'!B:B,"見つかりません"))</f>
      </c>
      <c r="C1911" s="4" t="s">
        <v>232</v>
      </c>
      <c r="D1911" s="4">
        <v>45</v>
      </c>
      <c r="E1911" s="12" t="str">
        <f t="array" ref="E1911">IF(D1911:D5953="","",IFERROR(_xlfn.XLOOKUP(D1911:D5953,'参照_勢力'!A:A,'参照_勢力'!B:B),IFERROR(_xlfn.XLOOKUP(F1911:F5953,kunishuClan!A:A,kunishuClan!B:B),"浪人")))</f>
      </c>
      <c r="F1911" s="4">
        <v>0</v>
      </c>
      <c r="G1911" s="4">
        <v>117</v>
      </c>
      <c r="H1911" s="12" t="str">
        <f t="array" ref="H1911">IF(G1911:G5953="","",_xlfn.XLOOKUP(G1911:G5953,castles_state!A:A,castles_state!D:D,"見つかりません"))</f>
      </c>
      <c r="I1911" s="4"/>
      <c r="J1911" s="12" t="str">
        <f t="array" ref="J1911">IF(I1911:I5953="","",_xlfn.XLOOKUP(I1911:I5953,'参照_姫'!A:A,'参照_姫'!B:B,"見つかりません"))</f>
      </c>
      <c r="K1911" s="4">
        <v>95</v>
      </c>
      <c r="L1911" s="4">
        <v>0</v>
      </c>
      <c r="M1911" s="4"/>
      <c r="N1911" s="4"/>
      <c r="O1911" s="4"/>
      <c r="P1911" s="12" t="str">
        <f t="array" ref="P1911">IF(O1911:O5953="","",_xlfn.XLOOKUP(O1911:O5953,'参照_官位'!A:A,'参照_官位'!B:B,""))</f>
      </c>
      <c r="Q1911" s="12" t="str">
        <f t="array" ref="Q1911">IF(A1911:A5953="","",IFERROR(_xlfn.XLOOKUP(A1911:A5953,castles_state!K:K,castles_state!D:D)&amp;"主",IFERROR(_xlfn.XLOOKUP(A1911:A5953,kunishuClan!D:D,kunishuClan!B:B)&amp;"当主","")))</f>
      </c>
    </row>
    <row r="1912" ht="15.75" customHeight="1">
      <c r="A1912" s="4">
        <v>1045002</v>
      </c>
      <c r="B1912" s="12" t="str">
        <f t="array" ref="B1912">IF(A1912:A5954="","",_xlfn.XLOOKUP(A1912:A5954,'参照_武将'!A:A,'参照_武将'!B:B,"見つかりません"))</f>
      </c>
      <c r="C1912" s="4" t="s">
        <v>232</v>
      </c>
      <c r="D1912" s="4">
        <v>45</v>
      </c>
      <c r="E1912" s="12" t="str">
        <f t="array" ref="E1912">IF(D1912:D5954="","",IFERROR(_xlfn.XLOOKUP(D1912:D5954,'参照_勢力'!A:A,'参照_勢力'!B:B),IFERROR(_xlfn.XLOOKUP(F1912:F5954,kunishuClan!A:A,kunishuClan!B:B),"浪人")))</f>
      </c>
      <c r="F1912" s="4">
        <v>0</v>
      </c>
      <c r="G1912" s="4">
        <v>117</v>
      </c>
      <c r="H1912" s="12" t="str">
        <f t="array" ref="H1912">IF(G1912:G5954="","",_xlfn.XLOOKUP(G1912:G5954,castles_state!A:A,castles_state!D:D,"見つかりません"))</f>
      </c>
      <c r="I1912" s="4"/>
      <c r="J1912" s="12" t="str">
        <f t="array" ref="J1912">IF(I1912:I5954="","",_xlfn.XLOOKUP(I1912:I5954,'参照_姫'!A:A,'参照_姫'!B:B,"見つかりません"))</f>
      </c>
      <c r="K1912" s="4">
        <v>100</v>
      </c>
      <c r="L1912" s="4">
        <v>1500</v>
      </c>
      <c r="M1912" s="4"/>
      <c r="N1912" s="4"/>
      <c r="O1912" s="4"/>
      <c r="P1912" s="12" t="str">
        <f t="array" ref="P1912">IF(O1912:O5954="","",_xlfn.XLOOKUP(O1912:O5954,'参照_官位'!A:A,'参照_官位'!B:B,""))</f>
      </c>
      <c r="Q1912" s="12" t="str">
        <f t="array" ref="Q1912">IF(A1912:A5954="","",IFERROR(_xlfn.XLOOKUP(A1912:A5954,castles_state!K:K,castles_state!D:D)&amp;"主",IFERROR(_xlfn.XLOOKUP(A1912:A5954,kunishuClan!D:D,kunishuClan!B:B)&amp;"当主","")))</f>
      </c>
    </row>
    <row r="1913" ht="15.75" customHeight="1">
      <c r="A1913" s="4">
        <v>1045003</v>
      </c>
      <c r="B1913" s="12" t="str">
        <f t="array" ref="B1913">IF(A1913:A5955="","",_xlfn.XLOOKUP(A1913:A5955,'参照_武将'!A:A,'参照_武将'!B:B,"見つかりません"))</f>
      </c>
      <c r="C1913" s="4" t="s">
        <v>232</v>
      </c>
      <c r="D1913" s="4">
        <v>45</v>
      </c>
      <c r="E1913" s="12" t="str">
        <f t="array" ref="E1913">IF(D1913:D5955="","",IFERROR(_xlfn.XLOOKUP(D1913:D5955,'参照_勢力'!A:A,'参照_勢力'!B:B),IFERROR(_xlfn.XLOOKUP(F1913:F5955,kunishuClan!A:A,kunishuClan!B:B),"浪人")))</f>
      </c>
      <c r="F1913" s="4">
        <v>0</v>
      </c>
      <c r="G1913" s="4">
        <v>116</v>
      </c>
      <c r="H1913" s="12" t="str">
        <f t="array" ref="H1913">IF(G1913:G5955="","",_xlfn.XLOOKUP(G1913:G5955,castles_state!A:A,castles_state!D:D,"見つかりません"))</f>
      </c>
      <c r="I1913" s="4"/>
      <c r="J1913" s="12" t="str">
        <f t="array" ref="J1913">IF(I1913:I5955="","",_xlfn.XLOOKUP(I1913:I5955,'参照_姫'!A:A,'参照_姫'!B:B,"見つかりません"))</f>
      </c>
      <c r="K1913" s="4">
        <v>95</v>
      </c>
      <c r="L1913" s="4">
        <v>300</v>
      </c>
      <c r="M1913" s="4"/>
      <c r="N1913" s="4"/>
      <c r="O1913" s="4"/>
      <c r="P1913" s="12" t="str">
        <f t="array" ref="P1913">IF(O1913:O5955="","",_xlfn.XLOOKUP(O1913:O5955,'参照_官位'!A:A,'参照_官位'!B:B,""))</f>
      </c>
      <c r="Q1913" s="12" t="str">
        <f t="array" ref="Q1913">IF(A1913:A5955="","",IFERROR(_xlfn.XLOOKUP(A1913:A5955,castles_state!K:K,castles_state!D:D)&amp;"主",IFERROR(_xlfn.XLOOKUP(A1913:A5955,kunishuClan!D:D,kunishuClan!B:B)&amp;"当主","")))</f>
      </c>
    </row>
    <row r="1914" ht="15.75" customHeight="1">
      <c r="A1914" s="4">
        <v>1045004</v>
      </c>
      <c r="B1914" s="12" t="str">
        <f t="array" ref="B1914">IF(A1914:A5956="","",_xlfn.XLOOKUP(A1914:A5956,'参照_武将'!A:A,'参照_武将'!B:B,"見つかりません"))</f>
      </c>
      <c r="C1914" s="4" t="s">
        <v>232</v>
      </c>
      <c r="D1914" s="4">
        <v>45</v>
      </c>
      <c r="E1914" s="12" t="str">
        <f t="array" ref="E1914">IF(D1914:D5956="","",IFERROR(_xlfn.XLOOKUP(D1914:D5956,'参照_勢力'!A:A,'参照_勢力'!B:B),IFERROR(_xlfn.XLOOKUP(F1914:F5956,kunishuClan!A:A,kunishuClan!B:B),"浪人")))</f>
      </c>
      <c r="F1914" s="4">
        <v>0</v>
      </c>
      <c r="G1914" s="4">
        <v>117</v>
      </c>
      <c r="H1914" s="12" t="str">
        <f t="array" ref="H1914">IF(G1914:G5956="","",_xlfn.XLOOKUP(G1914:G5956,castles_state!A:A,castles_state!D:D,"見つかりません"))</f>
      </c>
      <c r="I1914" s="4"/>
      <c r="J1914" s="12" t="str">
        <f t="array" ref="J1914">IF(I1914:I5956="","",_xlfn.XLOOKUP(I1914:I5956,'参照_姫'!A:A,'参照_姫'!B:B,"見つかりません"))</f>
      </c>
      <c r="K1914" s="4">
        <v>100</v>
      </c>
      <c r="L1914" s="4">
        <v>1500</v>
      </c>
      <c r="M1914" s="4"/>
      <c r="N1914" s="4"/>
      <c r="O1914" s="4"/>
      <c r="P1914" s="12" t="str">
        <f t="array" ref="P1914">IF(O1914:O5956="","",_xlfn.XLOOKUP(O1914:O5956,'参照_官位'!A:A,'参照_官位'!B:B,""))</f>
      </c>
      <c r="Q1914" s="12" t="str">
        <f t="array" ref="Q1914">IF(A1914:A5956="","",IFERROR(_xlfn.XLOOKUP(A1914:A5956,castles_state!K:K,castles_state!D:D)&amp;"主",IFERROR(_xlfn.XLOOKUP(A1914:A5956,kunishuClan!D:D,kunishuClan!B:B)&amp;"当主","")))</f>
      </c>
    </row>
    <row r="1915" ht="15.75" customHeight="1">
      <c r="A1915" s="4">
        <v>1045005</v>
      </c>
      <c r="B1915" s="12" t="str">
        <f t="array" ref="B1915">IF(A1915:A5957="","",_xlfn.XLOOKUP(A1915:A5957,'参照_武将'!A:A,'参照_武将'!B:B,"見つかりません"))</f>
      </c>
      <c r="C1915" s="4" t="s">
        <v>232</v>
      </c>
      <c r="D1915" s="4">
        <v>45</v>
      </c>
      <c r="E1915" s="12" t="str">
        <f t="array" ref="E1915">IF(D1915:D5957="","",IFERROR(_xlfn.XLOOKUP(D1915:D5957,'参照_勢力'!A:A,'参照_勢力'!B:B),IFERROR(_xlfn.XLOOKUP(F1915:F5957,kunishuClan!A:A,kunishuClan!B:B),"浪人")))</f>
      </c>
      <c r="F1915" s="4">
        <v>0</v>
      </c>
      <c r="G1915" s="4">
        <v>117</v>
      </c>
      <c r="H1915" s="12" t="str">
        <f t="array" ref="H1915">IF(G1915:G5957="","",_xlfn.XLOOKUP(G1915:G5957,castles_state!A:A,castles_state!D:D,"見つかりません"))</f>
      </c>
      <c r="I1915" s="4"/>
      <c r="J1915" s="12" t="str">
        <f t="array" ref="J1915">IF(I1915:I5957="","",_xlfn.XLOOKUP(I1915:I5957,'参照_姫'!A:A,'参照_姫'!B:B,"見つかりません"))</f>
      </c>
      <c r="K1915" s="4">
        <v>95</v>
      </c>
      <c r="L1915" s="4">
        <v>300</v>
      </c>
      <c r="M1915" s="4" t="b">
        <v>1</v>
      </c>
      <c r="N1915" s="4"/>
      <c r="O1915" s="4"/>
      <c r="P1915" s="12" t="str">
        <f t="array" ref="P1915">IF(O1915:O5957="","",_xlfn.XLOOKUP(O1915:O5957,'参照_官位'!A:A,'参照_官位'!B:B,""))</f>
      </c>
      <c r="Q1915" s="12" t="str">
        <f t="array" ref="Q1915">IF(A1915:A5957="","",IFERROR(_xlfn.XLOOKUP(A1915:A5957,castles_state!K:K,castles_state!D:D)&amp;"主",IFERROR(_xlfn.XLOOKUP(A1915:A5957,kunishuClan!D:D,kunishuClan!B:B)&amp;"当主","")))</f>
      </c>
    </row>
    <row r="1916" ht="15.75" customHeight="1">
      <c r="A1916" s="4">
        <v>1045006</v>
      </c>
      <c r="B1916" s="12" t="str">
        <f t="array" ref="B1916">IF(A1916:A5958="","",_xlfn.XLOOKUP(A1916:A5958,'参照_武将'!A:A,'参照_武将'!B:B,"見つかりません"))</f>
      </c>
      <c r="C1916" s="4" t="s">
        <v>232</v>
      </c>
      <c r="D1916" s="4">
        <v>45</v>
      </c>
      <c r="E1916" s="12" t="str">
        <f t="array" ref="E1916">IF(D1916:D5958="","",IFERROR(_xlfn.XLOOKUP(D1916:D5958,'参照_勢力'!A:A,'参照_勢力'!B:B),IFERROR(_xlfn.XLOOKUP(F1916:F5958,kunishuClan!A:A,kunishuClan!B:B),"浪人")))</f>
      </c>
      <c r="F1916" s="4">
        <v>0</v>
      </c>
      <c r="G1916" s="4">
        <v>117</v>
      </c>
      <c r="H1916" s="12" t="str">
        <f t="array" ref="H1916">IF(G1916:G5958="","",_xlfn.XLOOKUP(G1916:G5958,castles_state!A:A,castles_state!D:D,"見つかりません"))</f>
      </c>
      <c r="I1916" s="4"/>
      <c r="J1916" s="12" t="str">
        <f t="array" ref="J1916">IF(I1916:I5958="","",_xlfn.XLOOKUP(I1916:I5958,'参照_姫'!A:A,'参照_姫'!B:B,"見つかりません"))</f>
      </c>
      <c r="K1916" s="4">
        <v>95</v>
      </c>
      <c r="L1916" s="4">
        <v>0</v>
      </c>
      <c r="M1916" s="4"/>
      <c r="N1916" s="4"/>
      <c r="O1916" s="4"/>
      <c r="P1916" s="12" t="str">
        <f t="array" ref="P1916">IF(O1916:O5958="","",_xlfn.XLOOKUP(O1916:O5958,'参照_官位'!A:A,'参照_官位'!B:B,""))</f>
      </c>
      <c r="Q1916" s="12" t="str">
        <f t="array" ref="Q1916">IF(A1916:A5958="","",IFERROR(_xlfn.XLOOKUP(A1916:A5958,castles_state!K:K,castles_state!D:D)&amp;"主",IFERROR(_xlfn.XLOOKUP(A1916:A5958,kunishuClan!D:D,kunishuClan!B:B)&amp;"当主","")))</f>
      </c>
    </row>
    <row r="1917" ht="15.75" customHeight="1">
      <c r="A1917" s="4">
        <v>1045007</v>
      </c>
      <c r="B1917" s="12" t="str">
        <f t="array" ref="B1917">IF(A1917:A5959="","",_xlfn.XLOOKUP(A1917:A5959,'参照_武将'!A:A,'参照_武将'!B:B,"見つかりません"))</f>
      </c>
      <c r="C1917" s="4" t="s">
        <v>232</v>
      </c>
      <c r="D1917" s="4">
        <v>45</v>
      </c>
      <c r="E1917" s="12" t="str">
        <f t="array" ref="E1917">IF(D1917:D5959="","",IFERROR(_xlfn.XLOOKUP(D1917:D5959,'参照_勢力'!A:A,'参照_勢力'!B:B),IFERROR(_xlfn.XLOOKUP(F1917:F5959,kunishuClan!A:A,kunishuClan!B:B),"浪人")))</f>
      </c>
      <c r="F1917" s="4">
        <v>0</v>
      </c>
      <c r="G1917" s="4">
        <v>117</v>
      </c>
      <c r="H1917" s="12" t="str">
        <f t="array" ref="H1917">IF(G1917:G5959="","",_xlfn.XLOOKUP(G1917:G5959,castles_state!A:A,castles_state!D:D,"見つかりません"))</f>
      </c>
      <c r="I1917" s="4"/>
      <c r="J1917" s="12" t="str">
        <f t="array" ref="J1917">IF(I1917:I5959="","",_xlfn.XLOOKUP(I1917:I5959,'参照_姫'!A:A,'参照_姫'!B:B,"見つかりません"))</f>
      </c>
      <c r="K1917" s="4">
        <v>95</v>
      </c>
      <c r="L1917" s="4">
        <v>0</v>
      </c>
      <c r="M1917" s="4"/>
      <c r="N1917" s="4"/>
      <c r="O1917" s="4"/>
      <c r="P1917" s="12" t="str">
        <f t="array" ref="P1917">IF(O1917:O5959="","",_xlfn.XLOOKUP(O1917:O5959,'参照_官位'!A:A,'参照_官位'!B:B,""))</f>
      </c>
      <c r="Q1917" s="12" t="str">
        <f t="array" ref="Q1917">IF(A1917:A5959="","",IFERROR(_xlfn.XLOOKUP(A1917:A5959,castles_state!K:K,castles_state!D:D)&amp;"主",IFERROR(_xlfn.XLOOKUP(A1917:A5959,kunishuClan!D:D,kunishuClan!B:B)&amp;"当主","")))</f>
      </c>
    </row>
    <row r="1918" ht="15.75" customHeight="1">
      <c r="A1918" s="4">
        <v>1045008</v>
      </c>
      <c r="B1918" s="12" t="str">
        <f t="array" ref="B1918">IF(A1918:A5960="","",_xlfn.XLOOKUP(A1918:A5960,'参照_武将'!A:A,'参照_武将'!B:B,"見つかりません"))</f>
      </c>
      <c r="C1918" s="4" t="s">
        <v>232</v>
      </c>
      <c r="D1918" s="4">
        <v>45</v>
      </c>
      <c r="E1918" s="12" t="str">
        <f t="array" ref="E1918">IF(D1918:D5960="","",IFERROR(_xlfn.XLOOKUP(D1918:D5960,'参照_勢力'!A:A,'参照_勢力'!B:B),IFERROR(_xlfn.XLOOKUP(F1918:F5960,kunishuClan!A:A,kunishuClan!B:B),"浪人")))</f>
      </c>
      <c r="F1918" s="4">
        <v>0</v>
      </c>
      <c r="G1918" s="4">
        <v>117</v>
      </c>
      <c r="H1918" s="12" t="str">
        <f t="array" ref="H1918">IF(G1918:G5960="","",_xlfn.XLOOKUP(G1918:G5960,castles_state!A:A,castles_state!D:D,"見つかりません"))</f>
      </c>
      <c r="I1918" s="4"/>
      <c r="J1918" s="12" t="str">
        <f t="array" ref="J1918">IF(I1918:I5960="","",_xlfn.XLOOKUP(I1918:I5960,'参照_姫'!A:A,'参照_姫'!B:B,"見つかりません"))</f>
      </c>
      <c r="K1918" s="4">
        <v>95</v>
      </c>
      <c r="L1918" s="4">
        <v>0</v>
      </c>
      <c r="M1918" s="4"/>
      <c r="N1918" s="4"/>
      <c r="O1918" s="4"/>
      <c r="P1918" s="12" t="str">
        <f t="array" ref="P1918">IF(O1918:O5960="","",_xlfn.XLOOKUP(O1918:O5960,'参照_官位'!A:A,'参照_官位'!B:B,""))</f>
      </c>
      <c r="Q1918" s="12" t="str">
        <f t="array" ref="Q1918">IF(A1918:A5960="","",IFERROR(_xlfn.XLOOKUP(A1918:A5960,castles_state!K:K,castles_state!D:D)&amp;"主",IFERROR(_xlfn.XLOOKUP(A1918:A5960,kunishuClan!D:D,kunishuClan!B:B)&amp;"当主","")))</f>
      </c>
    </row>
    <row r="1919" ht="15.75" customHeight="1">
      <c r="A1919" s="4">
        <v>1045009</v>
      </c>
      <c r="B1919" s="12" t="str">
        <f t="array" ref="B1919">IF(A1919:A5961="","",_xlfn.XLOOKUP(A1919:A5961,'参照_武将'!A:A,'参照_武将'!B:B,"見つかりません"))</f>
      </c>
      <c r="C1919" s="4" t="s">
        <v>232</v>
      </c>
      <c r="D1919" s="4">
        <v>45</v>
      </c>
      <c r="E1919" s="12" t="str">
        <f t="array" ref="E1919">IF(D1919:D5961="","",IFERROR(_xlfn.XLOOKUP(D1919:D5961,'参照_勢力'!A:A,'参照_勢力'!B:B),IFERROR(_xlfn.XLOOKUP(F1919:F5961,kunishuClan!A:A,kunishuClan!B:B),"浪人")))</f>
      </c>
      <c r="F1919" s="4">
        <v>0</v>
      </c>
      <c r="G1919" s="4">
        <v>117</v>
      </c>
      <c r="H1919" s="12" t="str">
        <f t="array" ref="H1919">IF(G1919:G5961="","",_xlfn.XLOOKUP(G1919:G5961,castles_state!A:A,castles_state!D:D,"見つかりません"))</f>
      </c>
      <c r="I1919" s="4"/>
      <c r="J1919" s="12" t="str">
        <f t="array" ref="J1919">IF(I1919:I5961="","",_xlfn.XLOOKUP(I1919:I5961,'参照_姫'!A:A,'参照_姫'!B:B,"見つかりません"))</f>
      </c>
      <c r="K1919" s="4">
        <v>95</v>
      </c>
      <c r="L1919" s="4">
        <v>0</v>
      </c>
      <c r="M1919" s="4"/>
      <c r="N1919" s="4"/>
      <c r="O1919" s="4"/>
      <c r="P1919" s="12" t="str">
        <f t="array" ref="P1919">IF(O1919:O5961="","",_xlfn.XLOOKUP(O1919:O5961,'参照_官位'!A:A,'参照_官位'!B:B,""))</f>
      </c>
      <c r="Q1919" s="12" t="str">
        <f t="array" ref="Q1919">IF(A1919:A5961="","",IFERROR(_xlfn.XLOOKUP(A1919:A5961,castles_state!K:K,castles_state!D:D)&amp;"主",IFERROR(_xlfn.XLOOKUP(A1919:A5961,kunishuClan!D:D,kunishuClan!B:B)&amp;"当主","")))</f>
      </c>
    </row>
    <row r="1920" ht="15.75" customHeight="1">
      <c r="A1920" s="4">
        <v>1045010</v>
      </c>
      <c r="B1920" s="12" t="str">
        <f t="array" ref="B1920">IF(A1920:A5962="","",_xlfn.XLOOKUP(A1920:A5962,'参照_武将'!A:A,'参照_武将'!B:B,"見つかりません"))</f>
      </c>
      <c r="C1920" s="4" t="s">
        <v>232</v>
      </c>
      <c r="D1920" s="4">
        <v>45</v>
      </c>
      <c r="E1920" s="12" t="str">
        <f t="array" ref="E1920">IF(D1920:D5962="","",IFERROR(_xlfn.XLOOKUP(D1920:D5962,'参照_勢力'!A:A,'参照_勢力'!B:B),IFERROR(_xlfn.XLOOKUP(F1920:F5962,kunishuClan!A:A,kunishuClan!B:B),"浪人")))</f>
      </c>
      <c r="F1920" s="4">
        <v>0</v>
      </c>
      <c r="G1920" s="4">
        <v>117</v>
      </c>
      <c r="H1920" s="12" t="str">
        <f t="array" ref="H1920">IF(G1920:G5962="","",_xlfn.XLOOKUP(G1920:G5962,castles_state!A:A,castles_state!D:D,"見つかりません"))</f>
      </c>
      <c r="I1920" s="4"/>
      <c r="J1920" s="12" t="str">
        <f t="array" ref="J1920">IF(I1920:I5962="","",_xlfn.XLOOKUP(I1920:I5962,'参照_姫'!A:A,'参照_姫'!B:B,"見つかりません"))</f>
      </c>
      <c r="K1920" s="4">
        <v>95</v>
      </c>
      <c r="L1920" s="4">
        <v>0</v>
      </c>
      <c r="M1920" s="4"/>
      <c r="N1920" s="4"/>
      <c r="O1920" s="4"/>
      <c r="P1920" s="12" t="str">
        <f t="array" ref="P1920">IF(O1920:O5962="","",_xlfn.XLOOKUP(O1920:O5962,'参照_官位'!A:A,'参照_官位'!B:B,""))</f>
      </c>
      <c r="Q1920" s="12" t="str">
        <f t="array" ref="Q1920">IF(A1920:A5962="","",IFERROR(_xlfn.XLOOKUP(A1920:A5962,castles_state!K:K,castles_state!D:D)&amp;"主",IFERROR(_xlfn.XLOOKUP(A1920:A5962,kunishuClan!D:D,kunishuClan!B:B)&amp;"当主","")))</f>
      </c>
    </row>
    <row r="1921" ht="15.75" customHeight="1">
      <c r="A1921" s="4">
        <v>1045011</v>
      </c>
      <c r="B1921" s="12" t="str">
        <f t="array" ref="B1921">IF(A1921:A5963="","",_xlfn.XLOOKUP(A1921:A5963,'参照_武将'!A:A,'参照_武将'!B:B,"見つかりません"))</f>
      </c>
      <c r="C1921" s="4" t="s">
        <v>232</v>
      </c>
      <c r="D1921" s="4">
        <v>45</v>
      </c>
      <c r="E1921" s="12" t="str">
        <f t="array" ref="E1921">IF(D1921:D5963="","",IFERROR(_xlfn.XLOOKUP(D1921:D5963,'参照_勢力'!A:A,'参照_勢力'!B:B),IFERROR(_xlfn.XLOOKUP(F1921:F5963,kunishuClan!A:A,kunishuClan!B:B),"浪人")))</f>
      </c>
      <c r="F1921" s="4">
        <v>0</v>
      </c>
      <c r="G1921" s="4">
        <v>117</v>
      </c>
      <c r="H1921" s="12" t="str">
        <f t="array" ref="H1921">IF(G1921:G5963="","",_xlfn.XLOOKUP(G1921:G5963,castles_state!A:A,castles_state!D:D,"見つかりません"))</f>
      </c>
      <c r="I1921" s="4"/>
      <c r="J1921" s="12" t="str">
        <f t="array" ref="J1921">IF(I1921:I5963="","",_xlfn.XLOOKUP(I1921:I5963,'参照_姫'!A:A,'参照_姫'!B:B,"見つかりません"))</f>
      </c>
      <c r="K1921" s="4">
        <v>95</v>
      </c>
      <c r="L1921" s="4">
        <v>0</v>
      </c>
      <c r="M1921" s="4"/>
      <c r="N1921" s="4"/>
      <c r="O1921" s="4"/>
      <c r="P1921" s="12" t="str">
        <f t="array" ref="P1921">IF(O1921:O5963="","",_xlfn.XLOOKUP(O1921:O5963,'参照_官位'!A:A,'参照_官位'!B:B,""))</f>
      </c>
      <c r="Q1921" s="12" t="str">
        <f t="array" ref="Q1921">IF(A1921:A5963="","",IFERROR(_xlfn.XLOOKUP(A1921:A5963,castles_state!K:K,castles_state!D:D)&amp;"主",IFERROR(_xlfn.XLOOKUP(A1921:A5963,kunishuClan!D:D,kunishuClan!B:B)&amp;"当主","")))</f>
      </c>
    </row>
    <row r="1922" ht="15.75" customHeight="1">
      <c r="A1922" s="4">
        <v>1045012</v>
      </c>
      <c r="B1922" s="12" t="str">
        <f t="array" ref="B1922">IF(A1922:A5964="","",_xlfn.XLOOKUP(A1922:A5964,'参照_武将'!A:A,'参照_武将'!B:B,"見つかりません"))</f>
      </c>
      <c r="C1922" s="4" t="s">
        <v>232</v>
      </c>
      <c r="D1922" s="4">
        <v>45</v>
      </c>
      <c r="E1922" s="12" t="str">
        <f t="array" ref="E1922">IF(D1922:D5964="","",IFERROR(_xlfn.XLOOKUP(D1922:D5964,'参照_勢力'!A:A,'参照_勢力'!B:B),IFERROR(_xlfn.XLOOKUP(F1922:F5964,kunishuClan!A:A,kunishuClan!B:B),"浪人")))</f>
      </c>
      <c r="F1922" s="4">
        <v>0</v>
      </c>
      <c r="G1922" s="4">
        <v>117</v>
      </c>
      <c r="H1922" s="12" t="str">
        <f t="array" ref="H1922">IF(G1922:G5964="","",_xlfn.XLOOKUP(G1922:G5964,castles_state!A:A,castles_state!D:D,"見つかりません"))</f>
      </c>
      <c r="I1922" s="4"/>
      <c r="J1922" s="12" t="str">
        <f t="array" ref="J1922">IF(I1922:I5964="","",_xlfn.XLOOKUP(I1922:I5964,'参照_姫'!A:A,'参照_姫'!B:B,"見つかりません"))</f>
      </c>
      <c r="K1922" s="4">
        <v>95</v>
      </c>
      <c r="L1922" s="4">
        <v>0</v>
      </c>
      <c r="M1922" s="4"/>
      <c r="N1922" s="4"/>
      <c r="O1922" s="4"/>
      <c r="P1922" s="12" t="str">
        <f t="array" ref="P1922">IF(O1922:O5964="","",_xlfn.XLOOKUP(O1922:O5964,'参照_官位'!A:A,'参照_官位'!B:B,""))</f>
      </c>
      <c r="Q1922" s="12" t="str">
        <f t="array" ref="Q1922">IF(A1922:A5964="","",IFERROR(_xlfn.XLOOKUP(A1922:A5964,castles_state!K:K,castles_state!D:D)&amp;"主",IFERROR(_xlfn.XLOOKUP(A1922:A5964,kunishuClan!D:D,kunishuClan!B:B)&amp;"当主","")))</f>
      </c>
    </row>
    <row r="1923" ht="15.75" customHeight="1">
      <c r="A1923" s="4">
        <v>1045013</v>
      </c>
      <c r="B1923" s="12" t="str">
        <f t="array" ref="B1923">IF(A1923:A5965="","",_xlfn.XLOOKUP(A1923:A5965,'参照_武将'!A:A,'参照_武将'!B:B,"見つかりません"))</f>
      </c>
      <c r="C1923" s="4" t="s">
        <v>232</v>
      </c>
      <c r="D1923" s="4">
        <v>45</v>
      </c>
      <c r="E1923" s="12" t="str">
        <f t="array" ref="E1923">IF(D1923:D5965="","",IFERROR(_xlfn.XLOOKUP(D1923:D5965,'参照_勢力'!A:A,'参照_勢力'!B:B),IFERROR(_xlfn.XLOOKUP(F1923:F5965,kunishuClan!A:A,kunishuClan!B:B),"浪人")))</f>
      </c>
      <c r="F1923" s="4">
        <v>0</v>
      </c>
      <c r="G1923" s="4">
        <v>117</v>
      </c>
      <c r="H1923" s="12" t="str">
        <f t="array" ref="H1923">IF(G1923:G5965="","",_xlfn.XLOOKUP(G1923:G5965,castles_state!A:A,castles_state!D:D,"見つかりません"))</f>
      </c>
      <c r="I1923" s="4"/>
      <c r="J1923" s="12" t="str">
        <f t="array" ref="J1923">IF(I1923:I5965="","",_xlfn.XLOOKUP(I1923:I5965,'参照_姫'!A:A,'参照_姫'!B:B,"見つかりません"))</f>
      </c>
      <c r="K1923" s="4">
        <v>95</v>
      </c>
      <c r="L1923" s="4">
        <v>200</v>
      </c>
      <c r="M1923" s="4"/>
      <c r="N1923" s="4" t="b">
        <v>1</v>
      </c>
      <c r="O1923" s="4"/>
      <c r="P1923" s="12" t="str">
        <f t="array" ref="P1923">IF(O1923:O5965="","",_xlfn.XLOOKUP(O1923:O5965,'参照_官位'!A:A,'参照_官位'!B:B,""))</f>
      </c>
      <c r="Q1923" s="12" t="str">
        <f t="array" ref="Q1923">IF(A1923:A5965="","",IFERROR(_xlfn.XLOOKUP(A1923:A5965,castles_state!K:K,castles_state!D:D)&amp;"主",IFERROR(_xlfn.XLOOKUP(A1923:A5965,kunishuClan!D:D,kunishuClan!B:B)&amp;"当主","")))</f>
      </c>
    </row>
    <row r="1924" ht="15.75" customHeight="1">
      <c r="A1924" s="4">
        <v>1045014</v>
      </c>
      <c r="B1924" s="12" t="str">
        <f t="array" ref="B1924">IF(A1924:A5966="","",_xlfn.XLOOKUP(A1924:A5966,'参照_武将'!A:A,'参照_武将'!B:B,"見つかりません"))</f>
      </c>
      <c r="C1924" s="4" t="s">
        <v>232</v>
      </c>
      <c r="D1924" s="4">
        <v>45</v>
      </c>
      <c r="E1924" s="12" t="str">
        <f t="array" ref="E1924">IF(D1924:D5966="","",IFERROR(_xlfn.XLOOKUP(D1924:D5966,'参照_勢力'!A:A,'参照_勢力'!B:B),IFERROR(_xlfn.XLOOKUP(F1924:F5966,kunishuClan!A:A,kunishuClan!B:B),"浪人")))</f>
      </c>
      <c r="F1924" s="4">
        <v>0</v>
      </c>
      <c r="G1924" s="4">
        <v>117</v>
      </c>
      <c r="H1924" s="12" t="str">
        <f t="array" ref="H1924">IF(G1924:G5966="","",_xlfn.XLOOKUP(G1924:G5966,castles_state!A:A,castles_state!D:D,"見つかりません"))</f>
      </c>
      <c r="I1924" s="4"/>
      <c r="J1924" s="12" t="str">
        <f t="array" ref="J1924">IF(I1924:I5966="","",_xlfn.XLOOKUP(I1924:I5966,'参照_姫'!A:A,'参照_姫'!B:B,"見つかりません"))</f>
      </c>
      <c r="K1924" s="4">
        <v>95</v>
      </c>
      <c r="L1924" s="4">
        <v>0</v>
      </c>
      <c r="M1924" s="4"/>
      <c r="N1924" s="4"/>
      <c r="O1924" s="4"/>
      <c r="P1924" s="12" t="str">
        <f t="array" ref="P1924">IF(O1924:O5966="","",_xlfn.XLOOKUP(O1924:O5966,'参照_官位'!A:A,'参照_官位'!B:B,""))</f>
      </c>
      <c r="Q1924" s="12" t="str">
        <f t="array" ref="Q1924">IF(A1924:A5966="","",IFERROR(_xlfn.XLOOKUP(A1924:A5966,castles_state!K:K,castles_state!D:D)&amp;"主",IFERROR(_xlfn.XLOOKUP(A1924:A5966,kunishuClan!D:D,kunishuClan!B:B)&amp;"当主","")))</f>
      </c>
    </row>
    <row r="1925" ht="15.75" customHeight="1">
      <c r="A1925" s="4">
        <v>1045015</v>
      </c>
      <c r="B1925" s="12" t="str">
        <f t="array" ref="B1925">IF(A1925:A5967="","",_xlfn.XLOOKUP(A1925:A5967,'参照_武将'!A:A,'参照_武将'!B:B,"見つかりません"))</f>
      </c>
      <c r="C1925" s="4" t="s">
        <v>232</v>
      </c>
      <c r="D1925" s="4">
        <v>45</v>
      </c>
      <c r="E1925" s="12" t="str">
        <f t="array" ref="E1925">IF(D1925:D5967="","",IFERROR(_xlfn.XLOOKUP(D1925:D5967,'参照_勢力'!A:A,'参照_勢力'!B:B),IFERROR(_xlfn.XLOOKUP(F1925:F5967,kunishuClan!A:A,kunishuClan!B:B),"浪人")))</f>
      </c>
      <c r="F1925" s="4">
        <v>0</v>
      </c>
      <c r="G1925" s="4">
        <v>116</v>
      </c>
      <c r="H1925" s="12" t="str">
        <f t="array" ref="H1925">IF(G1925:G5967="","",_xlfn.XLOOKUP(G1925:G5967,castles_state!A:A,castles_state!D:D,"見つかりません"))</f>
      </c>
      <c r="I1925" s="4"/>
      <c r="J1925" s="12" t="str">
        <f t="array" ref="J1925">IF(I1925:I5967="","",_xlfn.XLOOKUP(I1925:I5967,'参照_姫'!A:A,'参照_姫'!B:B,"見つかりません"))</f>
      </c>
      <c r="K1925" s="4">
        <v>95</v>
      </c>
      <c r="L1925" s="4">
        <v>500</v>
      </c>
      <c r="M1925" s="4"/>
      <c r="N1925" s="4"/>
      <c r="O1925" s="4"/>
      <c r="P1925" s="12" t="str">
        <f t="array" ref="P1925">IF(O1925:O5967="","",_xlfn.XLOOKUP(O1925:O5967,'参照_官位'!A:A,'参照_官位'!B:B,""))</f>
      </c>
      <c r="Q1925" s="12" t="str">
        <f t="array" ref="Q1925">IF(A1925:A5967="","",IFERROR(_xlfn.XLOOKUP(A1925:A5967,castles_state!K:K,castles_state!D:D)&amp;"主",IFERROR(_xlfn.XLOOKUP(A1925:A5967,kunishuClan!D:D,kunishuClan!B:B)&amp;"当主","")))</f>
      </c>
    </row>
    <row r="1926" ht="15.75" customHeight="1">
      <c r="A1926" s="4">
        <v>1045016</v>
      </c>
      <c r="B1926" s="12" t="str">
        <f t="array" ref="B1926">IF(A1926:A5968="","",_xlfn.XLOOKUP(A1926:A5968,'参照_武将'!A:A,'参照_武将'!B:B,"見つかりません"))</f>
      </c>
      <c r="C1926" s="4" t="s">
        <v>232</v>
      </c>
      <c r="D1926" s="4">
        <v>45</v>
      </c>
      <c r="E1926" s="12" t="str">
        <f t="array" ref="E1926">IF(D1926:D5968="","",IFERROR(_xlfn.XLOOKUP(D1926:D5968,'参照_勢力'!A:A,'参照_勢力'!B:B),IFERROR(_xlfn.XLOOKUP(F1926:F5968,kunishuClan!A:A,kunishuClan!B:B),"浪人")))</f>
      </c>
      <c r="F1926" s="4">
        <v>0</v>
      </c>
      <c r="G1926" s="4">
        <v>117</v>
      </c>
      <c r="H1926" s="12" t="str">
        <f t="array" ref="H1926">IF(G1926:G5968="","",_xlfn.XLOOKUP(G1926:G5968,castles_state!A:A,castles_state!D:D,"見つかりません"))</f>
      </c>
      <c r="I1926" s="4"/>
      <c r="J1926" s="12" t="str">
        <f t="array" ref="J1926">IF(I1926:I5968="","",_xlfn.XLOOKUP(I1926:I5968,'参照_姫'!A:A,'参照_姫'!B:B,"見つかりません"))</f>
      </c>
      <c r="K1926" s="4">
        <v>95</v>
      </c>
      <c r="L1926" s="4">
        <v>0</v>
      </c>
      <c r="M1926" s="4"/>
      <c r="N1926" s="4"/>
      <c r="O1926" s="4"/>
      <c r="P1926" s="12" t="str">
        <f t="array" ref="P1926">IF(O1926:O5968="","",_xlfn.XLOOKUP(O1926:O5968,'参照_官位'!A:A,'参照_官位'!B:B,""))</f>
      </c>
      <c r="Q1926" s="12" t="str">
        <f t="array" ref="Q1926">IF(A1926:A5968="","",IFERROR(_xlfn.XLOOKUP(A1926:A5968,castles_state!K:K,castles_state!D:D)&amp;"主",IFERROR(_xlfn.XLOOKUP(A1926:A5968,kunishuClan!D:D,kunishuClan!B:B)&amp;"当主","")))</f>
      </c>
    </row>
    <row r="1927" ht="15.75" customHeight="1">
      <c r="A1927" s="4">
        <v>1045017</v>
      </c>
      <c r="B1927" s="12" t="str">
        <f t="array" ref="B1927">IF(A1927:A5969="","",_xlfn.XLOOKUP(A1927:A5969,'参照_武将'!A:A,'参照_武将'!B:B,"見つかりません"))</f>
      </c>
      <c r="C1927" s="4" t="s">
        <v>232</v>
      </c>
      <c r="D1927" s="4">
        <v>45</v>
      </c>
      <c r="E1927" s="12" t="str">
        <f t="array" ref="E1927">IF(D1927:D5969="","",IFERROR(_xlfn.XLOOKUP(D1927:D5969,'参照_勢力'!A:A,'参照_勢力'!B:B),IFERROR(_xlfn.XLOOKUP(F1927:F5969,kunishuClan!A:A,kunishuClan!B:B),"浪人")))</f>
      </c>
      <c r="F1927" s="4">
        <v>0</v>
      </c>
      <c r="G1927" s="4">
        <v>117</v>
      </c>
      <c r="H1927" s="12" t="str">
        <f t="array" ref="H1927">IF(G1927:G5969="","",_xlfn.XLOOKUP(G1927:G5969,castles_state!A:A,castles_state!D:D,"見つかりません"))</f>
      </c>
      <c r="I1927" s="4"/>
      <c r="J1927" s="12" t="str">
        <f t="array" ref="J1927">IF(I1927:I5969="","",_xlfn.XLOOKUP(I1927:I5969,'参照_姫'!A:A,'参照_姫'!B:B,"見つかりません"))</f>
      </c>
      <c r="K1927" s="4">
        <v>95</v>
      </c>
      <c r="L1927" s="4">
        <v>0</v>
      </c>
      <c r="M1927" s="4"/>
      <c r="N1927" s="4"/>
      <c r="O1927" s="4"/>
      <c r="P1927" s="12" t="str">
        <f t="array" ref="P1927">IF(O1927:O5969="","",_xlfn.XLOOKUP(O1927:O5969,'参照_官位'!A:A,'参照_官位'!B:B,""))</f>
      </c>
      <c r="Q1927" s="12" t="str">
        <f t="array" ref="Q1927">IF(A1927:A5969="","",IFERROR(_xlfn.XLOOKUP(A1927:A5969,castles_state!K:K,castles_state!D:D)&amp;"主",IFERROR(_xlfn.XLOOKUP(A1927:A5969,kunishuClan!D:D,kunishuClan!B:B)&amp;"当主","")))</f>
      </c>
    </row>
    <row r="1928" ht="15.75" customHeight="1">
      <c r="A1928" s="4">
        <v>1045018</v>
      </c>
      <c r="B1928" s="12" t="str">
        <f t="array" ref="B1928">IF(A1928:A5970="","",_xlfn.XLOOKUP(A1928:A5970,'参照_武将'!A:A,'参照_武将'!B:B,"見つかりません"))</f>
      </c>
      <c r="C1928" s="4" t="s">
        <v>232</v>
      </c>
      <c r="D1928" s="4">
        <v>45</v>
      </c>
      <c r="E1928" s="12" t="str">
        <f t="array" ref="E1928">IF(D1928:D5970="","",IFERROR(_xlfn.XLOOKUP(D1928:D5970,'参照_勢力'!A:A,'参照_勢力'!B:B),IFERROR(_xlfn.XLOOKUP(F1928:F5970,kunishuClan!A:A,kunishuClan!B:B),"浪人")))</f>
      </c>
      <c r="F1928" s="4">
        <v>0</v>
      </c>
      <c r="G1928" s="4">
        <v>116</v>
      </c>
      <c r="H1928" s="12" t="str">
        <f t="array" ref="H1928">IF(G1928:G5970="","",_xlfn.XLOOKUP(G1928:G5970,castles_state!A:A,castles_state!D:D,"見つかりません"))</f>
      </c>
      <c r="I1928" s="4"/>
      <c r="J1928" s="12" t="str">
        <f t="array" ref="J1928">IF(I1928:I5970="","",_xlfn.XLOOKUP(I1928:I5970,'参照_姫'!A:A,'参照_姫'!B:B,"見つかりません"))</f>
      </c>
      <c r="K1928" s="4">
        <v>80</v>
      </c>
      <c r="L1928" s="4">
        <v>0</v>
      </c>
      <c r="M1928" s="4"/>
      <c r="N1928" s="4"/>
      <c r="O1928" s="4"/>
      <c r="P1928" s="12" t="str">
        <f t="array" ref="P1928">IF(O1928:O5970="","",_xlfn.XLOOKUP(O1928:O5970,'参照_官位'!A:A,'参照_官位'!B:B,""))</f>
      </c>
      <c r="Q1928" s="12" t="str">
        <f t="array" ref="Q1928">IF(A1928:A5970="","",IFERROR(_xlfn.XLOOKUP(A1928:A5970,castles_state!K:K,castles_state!D:D)&amp;"主",IFERROR(_xlfn.XLOOKUP(A1928:A5970,kunishuClan!D:D,kunishuClan!B:B)&amp;"当主","")))</f>
      </c>
    </row>
    <row r="1929" ht="15.75" customHeight="1">
      <c r="A1929" s="4">
        <v>1045019</v>
      </c>
      <c r="B1929" s="12" t="str">
        <f t="array" ref="B1929">IF(A1929:A5971="","",_xlfn.XLOOKUP(A1929:A5971,'参照_武将'!A:A,'参照_武将'!B:B,"見つかりません"))</f>
      </c>
      <c r="C1929" s="4" t="s">
        <v>232</v>
      </c>
      <c r="D1929" s="4">
        <v>45</v>
      </c>
      <c r="E1929" s="12" t="str">
        <f t="array" ref="E1929">IF(D1929:D5971="","",IFERROR(_xlfn.XLOOKUP(D1929:D5971,'参照_勢力'!A:A,'参照_勢力'!B:B),IFERROR(_xlfn.XLOOKUP(F1929:F5971,kunishuClan!A:A,kunishuClan!B:B),"浪人")))</f>
      </c>
      <c r="F1929" s="4">
        <v>0</v>
      </c>
      <c r="G1929" s="4">
        <v>116</v>
      </c>
      <c r="H1929" s="12" t="str">
        <f t="array" ref="H1929">IF(G1929:G5971="","",_xlfn.XLOOKUP(G1929:G5971,castles_state!A:A,castles_state!D:D,"見つかりません"))</f>
      </c>
      <c r="I1929" s="4"/>
      <c r="J1929" s="12" t="str">
        <f t="array" ref="J1929">IF(I1929:I5971="","",_xlfn.XLOOKUP(I1929:I5971,'参照_姫'!A:A,'参照_姫'!B:B,"見つかりません"))</f>
      </c>
      <c r="K1929" s="4">
        <v>80</v>
      </c>
      <c r="L1929" s="4">
        <v>0</v>
      </c>
      <c r="M1929" s="4"/>
      <c r="N1929" s="4"/>
      <c r="O1929" s="4"/>
      <c r="P1929" s="12" t="str">
        <f t="array" ref="P1929">IF(O1929:O5971="","",_xlfn.XLOOKUP(O1929:O5971,'参照_官位'!A:A,'参照_官位'!B:B,""))</f>
      </c>
      <c r="Q1929" s="12" t="str">
        <f t="array" ref="Q1929">IF(A1929:A5971="","",IFERROR(_xlfn.XLOOKUP(A1929:A5971,castles_state!K:K,castles_state!D:D)&amp;"主",IFERROR(_xlfn.XLOOKUP(A1929:A5971,kunishuClan!D:D,kunishuClan!B:B)&amp;"当主","")))</f>
      </c>
    </row>
    <row r="1930" ht="15.75" customHeight="1">
      <c r="A1930" s="4">
        <v>1045020</v>
      </c>
      <c r="B1930" s="12" t="str">
        <f t="array" ref="B1930">IF(A1930:A5972="","",_xlfn.XLOOKUP(A1930:A5972,'参照_武将'!A:A,'参照_武将'!B:B,"見つかりません"))</f>
      </c>
      <c r="C1930" s="4" t="s">
        <v>232</v>
      </c>
      <c r="D1930" s="4">
        <v>45</v>
      </c>
      <c r="E1930" s="12" t="str">
        <f t="array" ref="E1930">IF(D1930:D5972="","",IFERROR(_xlfn.XLOOKUP(D1930:D5972,'参照_勢力'!A:A,'参照_勢力'!B:B),IFERROR(_xlfn.XLOOKUP(F1930:F5972,kunishuClan!A:A,kunishuClan!B:B),"浪人")))</f>
      </c>
      <c r="F1930" s="4">
        <v>0</v>
      </c>
      <c r="G1930" s="4">
        <v>117</v>
      </c>
      <c r="H1930" s="12" t="str">
        <f t="array" ref="H1930">IF(G1930:G5972="","",_xlfn.XLOOKUP(G1930:G5972,castles_state!A:A,castles_state!D:D,"見つかりません"))</f>
      </c>
      <c r="I1930" s="4"/>
      <c r="J1930" s="12" t="str">
        <f t="array" ref="J1930">IF(I1930:I5972="","",_xlfn.XLOOKUP(I1930:I5972,'参照_姫'!A:A,'参照_姫'!B:B,"見つかりません"))</f>
      </c>
      <c r="K1930" s="4">
        <v>95</v>
      </c>
      <c r="L1930" s="4">
        <v>0</v>
      </c>
      <c r="M1930" s="4"/>
      <c r="N1930" s="4"/>
      <c r="O1930" s="4"/>
      <c r="P1930" s="12" t="str">
        <f t="array" ref="P1930">IF(O1930:O5972="","",_xlfn.XLOOKUP(O1930:O5972,'参照_官位'!A:A,'参照_官位'!B:B,""))</f>
      </c>
      <c r="Q1930" s="12" t="str">
        <f t="array" ref="Q1930">IF(A1930:A5972="","",IFERROR(_xlfn.XLOOKUP(A1930:A5972,castles_state!K:K,castles_state!D:D)&amp;"主",IFERROR(_xlfn.XLOOKUP(A1930:A5972,kunishuClan!D:D,kunishuClan!B:B)&amp;"当主","")))</f>
      </c>
    </row>
    <row r="1931" ht="15.75" customHeight="1">
      <c r="A1931" s="4">
        <v>1045021</v>
      </c>
      <c r="B1931" s="12" t="str">
        <f t="array" ref="B1931">IF(A1931:A5973="","",_xlfn.XLOOKUP(A1931:A5973,'参照_武将'!A:A,'参照_武将'!B:B,"見つかりません"))</f>
      </c>
      <c r="C1931" s="4" t="s">
        <v>232</v>
      </c>
      <c r="D1931" s="4">
        <v>45</v>
      </c>
      <c r="E1931" s="12" t="str">
        <f t="array" ref="E1931">IF(D1931:D5973="","",IFERROR(_xlfn.XLOOKUP(D1931:D5973,'参照_勢力'!A:A,'参照_勢力'!B:B),IFERROR(_xlfn.XLOOKUP(F1931:F5973,kunishuClan!A:A,kunishuClan!B:B),"浪人")))</f>
      </c>
      <c r="F1931" s="4">
        <v>0</v>
      </c>
      <c r="G1931" s="4">
        <v>117</v>
      </c>
      <c r="H1931" s="12" t="str">
        <f t="array" ref="H1931">IF(G1931:G5973="","",_xlfn.XLOOKUP(G1931:G5973,castles_state!A:A,castles_state!D:D,"見つかりません"))</f>
      </c>
      <c r="I1931" s="4"/>
      <c r="J1931" s="12" t="str">
        <f t="array" ref="J1931">IF(I1931:I5973="","",_xlfn.XLOOKUP(I1931:I5973,'参照_姫'!A:A,'参照_姫'!B:B,"見つかりません"))</f>
      </c>
      <c r="K1931" s="4">
        <v>95</v>
      </c>
      <c r="L1931" s="4">
        <v>0</v>
      </c>
      <c r="M1931" s="4"/>
      <c r="N1931" s="4"/>
      <c r="O1931" s="4"/>
      <c r="P1931" s="12" t="str">
        <f t="array" ref="P1931">IF(O1931:O5973="","",_xlfn.XLOOKUP(O1931:O5973,'参照_官位'!A:A,'参照_官位'!B:B,""))</f>
      </c>
      <c r="Q1931" s="12" t="str">
        <f t="array" ref="Q1931">IF(A1931:A5973="","",IFERROR(_xlfn.XLOOKUP(A1931:A5973,castles_state!K:K,castles_state!D:D)&amp;"主",IFERROR(_xlfn.XLOOKUP(A1931:A5973,kunishuClan!D:D,kunishuClan!B:B)&amp;"当主","")))</f>
      </c>
    </row>
    <row r="1932" ht="15.75" customHeight="1">
      <c r="A1932" s="4">
        <v>1045022</v>
      </c>
      <c r="B1932" s="12" t="str">
        <f t="array" ref="B1932">IF(A1932:A5974="","",_xlfn.XLOOKUP(A1932:A5974,'参照_武将'!A:A,'参照_武将'!B:B,"見つかりません"))</f>
      </c>
      <c r="C1932" s="4" t="s">
        <v>232</v>
      </c>
      <c r="D1932" s="4">
        <v>45</v>
      </c>
      <c r="E1932" s="12" t="str">
        <f t="array" ref="E1932">IF(D1932:D5974="","",IFERROR(_xlfn.XLOOKUP(D1932:D5974,'参照_勢力'!A:A,'参照_勢力'!B:B),IFERROR(_xlfn.XLOOKUP(F1932:F5974,kunishuClan!A:A,kunishuClan!B:B),"浪人")))</f>
      </c>
      <c r="F1932" s="4">
        <v>0</v>
      </c>
      <c r="G1932" s="4">
        <v>117</v>
      </c>
      <c r="H1932" s="12" t="str">
        <f t="array" ref="H1932">IF(G1932:G5974="","",_xlfn.XLOOKUP(G1932:G5974,castles_state!A:A,castles_state!D:D,"見つかりません"))</f>
      </c>
      <c r="I1932" s="4"/>
      <c r="J1932" s="12" t="str">
        <f t="array" ref="J1932">IF(I1932:I5974="","",_xlfn.XLOOKUP(I1932:I5974,'参照_姫'!A:A,'参照_姫'!B:B,"見つかりません"))</f>
      </c>
      <c r="K1932" s="4">
        <v>95</v>
      </c>
      <c r="L1932" s="4">
        <v>0</v>
      </c>
      <c r="M1932" s="4"/>
      <c r="N1932" s="4"/>
      <c r="O1932" s="4"/>
      <c r="P1932" s="12" t="str">
        <f t="array" ref="P1932">IF(O1932:O5974="","",_xlfn.XLOOKUP(O1932:O5974,'参照_官位'!A:A,'参照_官位'!B:B,""))</f>
      </c>
      <c r="Q1932" s="12" t="str">
        <f t="array" ref="Q1932">IF(A1932:A5974="","",IFERROR(_xlfn.XLOOKUP(A1932:A5974,castles_state!K:K,castles_state!D:D)&amp;"主",IFERROR(_xlfn.XLOOKUP(A1932:A5974,kunishuClan!D:D,kunishuClan!B:B)&amp;"当主","")))</f>
      </c>
    </row>
    <row r="1933" ht="15.75" customHeight="1">
      <c r="A1933" s="4">
        <v>1045023</v>
      </c>
      <c r="B1933" s="12" t="str">
        <f t="array" ref="B1933">IF(A1933:A5975="","",_xlfn.XLOOKUP(A1933:A5975,'参照_武将'!A:A,'参照_武将'!B:B,"見つかりません"))</f>
      </c>
      <c r="C1933" s="4" t="s">
        <v>232</v>
      </c>
      <c r="D1933" s="4">
        <v>45</v>
      </c>
      <c r="E1933" s="12" t="str">
        <f t="array" ref="E1933">IF(D1933:D5975="","",IFERROR(_xlfn.XLOOKUP(D1933:D5975,'参照_勢力'!A:A,'参照_勢力'!B:B),IFERROR(_xlfn.XLOOKUP(F1933:F5975,kunishuClan!A:A,kunishuClan!B:B),"浪人")))</f>
      </c>
      <c r="F1933" s="4">
        <v>0</v>
      </c>
      <c r="G1933" s="4">
        <v>117</v>
      </c>
      <c r="H1933" s="12" t="str">
        <f t="array" ref="H1933">IF(G1933:G5975="","",_xlfn.XLOOKUP(G1933:G5975,castles_state!A:A,castles_state!D:D,"見つかりません"))</f>
      </c>
      <c r="I1933" s="4"/>
      <c r="J1933" s="12" t="str">
        <f t="array" ref="J1933">IF(I1933:I5975="","",_xlfn.XLOOKUP(I1933:I5975,'参照_姫'!A:A,'参照_姫'!B:B,"見つかりません"))</f>
      </c>
      <c r="K1933" s="4">
        <v>95</v>
      </c>
      <c r="L1933" s="4">
        <v>0</v>
      </c>
      <c r="M1933" s="4"/>
      <c r="N1933" s="4"/>
      <c r="O1933" s="4"/>
      <c r="P1933" s="12" t="str">
        <f t="array" ref="P1933">IF(O1933:O5975="","",_xlfn.XLOOKUP(O1933:O5975,'参照_官位'!A:A,'参照_官位'!B:B,""))</f>
      </c>
      <c r="Q1933" s="12" t="str">
        <f t="array" ref="Q1933">IF(A1933:A5975="","",IFERROR(_xlfn.XLOOKUP(A1933:A5975,castles_state!K:K,castles_state!D:D)&amp;"主",IFERROR(_xlfn.XLOOKUP(A1933:A5975,kunishuClan!D:D,kunishuClan!B:B)&amp;"当主","")))</f>
      </c>
    </row>
    <row r="1934" ht="15.75" customHeight="1">
      <c r="A1934" s="4">
        <v>1046001</v>
      </c>
      <c r="B1934" s="12" t="str">
        <f t="array" ref="B1934">IF(A1934:A5976="","",_xlfn.XLOOKUP(A1934:A5976,'参照_武将'!A:A,'参照_武将'!B:B,"見つかりません"))</f>
      </c>
      <c r="C1934" s="4" t="s">
        <v>236</v>
      </c>
      <c r="D1934" s="4">
        <v>46</v>
      </c>
      <c r="E1934" s="12" t="str">
        <f t="array" ref="E1934">IF(D1934:D5976="","",IFERROR(_xlfn.XLOOKUP(D1934:D5976,'参照_勢力'!A:A,'参照_勢力'!B:B),IFERROR(_xlfn.XLOOKUP(F1934:F5976,kunishuClan!A:A,kunishuClan!B:B),"浪人")))</f>
      </c>
      <c r="F1934" s="4">
        <v>0</v>
      </c>
      <c r="G1934" s="4">
        <v>113</v>
      </c>
      <c r="H1934" s="12" t="str">
        <f t="array" ref="H1934">IF(G1934:G5976="","",_xlfn.XLOOKUP(G1934:G5976,castles_state!A:A,castles_state!D:D,"見つかりません"))</f>
      </c>
      <c r="I1934" s="4"/>
      <c r="J1934" s="12" t="str">
        <f t="array" ref="J1934">IF(I1934:I5976="","",_xlfn.XLOOKUP(I1934:I5976,'参照_姫'!A:A,'参照_姫'!B:B,"見つかりません"))</f>
      </c>
      <c r="K1934" s="4">
        <v>95</v>
      </c>
      <c r="L1934" s="4">
        <v>0</v>
      </c>
      <c r="M1934" s="4"/>
      <c r="N1934" s="4"/>
      <c r="O1934" s="4"/>
      <c r="P1934" s="12" t="str">
        <f t="array" ref="P1934">IF(O1934:O5976="","",_xlfn.XLOOKUP(O1934:O5976,'参照_官位'!A:A,'参照_官位'!B:B,""))</f>
      </c>
      <c r="Q1934" s="12" t="str">
        <f t="array" ref="Q1934">IF(A1934:A5976="","",IFERROR(_xlfn.XLOOKUP(A1934:A5976,castles_state!K:K,castles_state!D:D)&amp;"主",IFERROR(_xlfn.XLOOKUP(A1934:A5976,kunishuClan!D:D,kunishuClan!B:B)&amp;"当主","")))</f>
      </c>
    </row>
    <row r="1935" ht="15.75" customHeight="1">
      <c r="A1935" s="4">
        <v>1046002</v>
      </c>
      <c r="B1935" s="12" t="str">
        <f t="array" ref="B1935">IF(A1935:A5977="","",_xlfn.XLOOKUP(A1935:A5977,'参照_武将'!A:A,'参照_武将'!B:B,"見つかりません"))</f>
      </c>
      <c r="C1935" s="4" t="s">
        <v>236</v>
      </c>
      <c r="D1935" s="4">
        <v>46</v>
      </c>
      <c r="E1935" s="12" t="str">
        <f t="array" ref="E1935">IF(D1935:D5977="","",IFERROR(_xlfn.XLOOKUP(D1935:D5977,'参照_勢力'!A:A,'参照_勢力'!B:B),IFERROR(_xlfn.XLOOKUP(F1935:F5977,kunishuClan!A:A,kunishuClan!B:B),"浪人")))</f>
      </c>
      <c r="F1935" s="4">
        <v>0</v>
      </c>
      <c r="G1935" s="4">
        <v>113</v>
      </c>
      <c r="H1935" s="12" t="str">
        <f t="array" ref="H1935">IF(G1935:G5977="","",_xlfn.XLOOKUP(G1935:G5977,castles_state!A:A,castles_state!D:D,"見つかりません"))</f>
      </c>
      <c r="I1935" s="4"/>
      <c r="J1935" s="12" t="str">
        <f t="array" ref="J1935">IF(I1935:I5977="","",_xlfn.XLOOKUP(I1935:I5977,'参照_姫'!A:A,'参照_姫'!B:B,"見つかりません"))</f>
      </c>
      <c r="K1935" s="4">
        <v>95</v>
      </c>
      <c r="L1935" s="4">
        <v>0</v>
      </c>
      <c r="M1935" s="4"/>
      <c r="N1935" s="4"/>
      <c r="O1935" s="4"/>
      <c r="P1935" s="12" t="str">
        <f t="array" ref="P1935">IF(O1935:O5977="","",_xlfn.XLOOKUP(O1935:O5977,'参照_官位'!A:A,'参照_官位'!B:B,""))</f>
      </c>
      <c r="Q1935" s="12" t="str">
        <f t="array" ref="Q1935">IF(A1935:A5977="","",IFERROR(_xlfn.XLOOKUP(A1935:A5977,castles_state!K:K,castles_state!D:D)&amp;"主",IFERROR(_xlfn.XLOOKUP(A1935:A5977,kunishuClan!D:D,kunishuClan!B:B)&amp;"当主","")))</f>
      </c>
    </row>
    <row r="1936" ht="15.75" customHeight="1">
      <c r="A1936" s="4">
        <v>1046003</v>
      </c>
      <c r="B1936" s="12" t="str">
        <f t="array" ref="B1936">IF(A1936:A5978="","",_xlfn.XLOOKUP(A1936:A5978,'参照_武将'!A:A,'参照_武将'!B:B,"見つかりません"))</f>
      </c>
      <c r="C1936" s="4" t="s">
        <v>236</v>
      </c>
      <c r="D1936" s="4">
        <v>46</v>
      </c>
      <c r="E1936" s="12" t="str">
        <f t="array" ref="E1936">IF(D1936:D5978="","",IFERROR(_xlfn.XLOOKUP(D1936:D5978,'参照_勢力'!A:A,'参照_勢力'!B:B),IFERROR(_xlfn.XLOOKUP(F1936:F5978,kunishuClan!A:A,kunishuClan!B:B),"浪人")))</f>
      </c>
      <c r="F1936" s="4">
        <v>0</v>
      </c>
      <c r="G1936" s="4">
        <v>113</v>
      </c>
      <c r="H1936" s="12" t="str">
        <f t="array" ref="H1936">IF(G1936:G5978="","",_xlfn.XLOOKUP(G1936:G5978,castles_state!A:A,castles_state!D:D,"見つかりません"))</f>
      </c>
      <c r="I1936" s="4"/>
      <c r="J1936" s="12" t="str">
        <f t="array" ref="J1936">IF(I1936:I5978="","",_xlfn.XLOOKUP(I1936:I5978,'参照_姫'!A:A,'参照_姫'!B:B,"見つかりません"))</f>
      </c>
      <c r="K1936" s="4">
        <v>100</v>
      </c>
      <c r="L1936" s="4">
        <v>1000</v>
      </c>
      <c r="M1936" s="4"/>
      <c r="N1936" s="4"/>
      <c r="O1936" s="4"/>
      <c r="P1936" s="12" t="str">
        <f t="array" ref="P1936">IF(O1936:O5978="","",_xlfn.XLOOKUP(O1936:O5978,'参照_官位'!A:A,'参照_官位'!B:B,""))</f>
      </c>
      <c r="Q1936" s="12" t="str">
        <f t="array" ref="Q1936">IF(A1936:A5978="","",IFERROR(_xlfn.XLOOKUP(A1936:A5978,castles_state!K:K,castles_state!D:D)&amp;"主",IFERROR(_xlfn.XLOOKUP(A1936:A5978,kunishuClan!D:D,kunishuClan!B:B)&amp;"当主","")))</f>
      </c>
    </row>
    <row r="1937" ht="15.75" customHeight="1">
      <c r="A1937" s="4">
        <v>1046004</v>
      </c>
      <c r="B1937" s="12" t="str">
        <f t="array" ref="B1937">IF(A1937:A5979="","",_xlfn.XLOOKUP(A1937:A5979,'参照_武将'!A:A,'参照_武将'!B:B,"見つかりません"))</f>
      </c>
      <c r="C1937" s="4" t="s">
        <v>236</v>
      </c>
      <c r="D1937" s="4">
        <v>46</v>
      </c>
      <c r="E1937" s="12" t="str">
        <f t="array" ref="E1937">IF(D1937:D5979="","",IFERROR(_xlfn.XLOOKUP(D1937:D5979,'参照_勢力'!A:A,'参照_勢力'!B:B),IFERROR(_xlfn.XLOOKUP(F1937:F5979,kunishuClan!A:A,kunishuClan!B:B),"浪人")))</f>
      </c>
      <c r="F1937" s="4">
        <v>0</v>
      </c>
      <c r="G1937" s="4">
        <v>113</v>
      </c>
      <c r="H1937" s="12" t="str">
        <f t="array" ref="H1937">IF(G1937:G5979="","",_xlfn.XLOOKUP(G1937:G5979,castles_state!A:A,castles_state!D:D,"見つかりません"))</f>
      </c>
      <c r="I1937" s="4"/>
      <c r="J1937" s="12" t="str">
        <f t="array" ref="J1937">IF(I1937:I5979="","",_xlfn.XLOOKUP(I1937:I5979,'参照_姫'!A:A,'参照_姫'!B:B,"見つかりません"))</f>
      </c>
      <c r="K1937" s="4">
        <v>95</v>
      </c>
      <c r="L1937" s="4">
        <v>500</v>
      </c>
      <c r="M1937" s="4"/>
      <c r="N1937" s="4"/>
      <c r="O1937" s="4"/>
      <c r="P1937" s="12" t="str">
        <f t="array" ref="P1937">IF(O1937:O5979="","",_xlfn.XLOOKUP(O1937:O5979,'参照_官位'!A:A,'参照_官位'!B:B,""))</f>
      </c>
      <c r="Q1937" s="12" t="str">
        <f t="array" ref="Q1937">IF(A1937:A5979="","",IFERROR(_xlfn.XLOOKUP(A1937:A5979,castles_state!K:K,castles_state!D:D)&amp;"主",IFERROR(_xlfn.XLOOKUP(A1937:A5979,kunishuClan!D:D,kunishuClan!B:B)&amp;"当主","")))</f>
      </c>
    </row>
    <row r="1938" ht="15.75" customHeight="1">
      <c r="A1938" s="4">
        <v>1046005</v>
      </c>
      <c r="B1938" s="12" t="str">
        <f t="array" ref="B1938">IF(A1938:A5980="","",_xlfn.XLOOKUP(A1938:A5980,'参照_武将'!A:A,'参照_武将'!B:B,"見つかりません"))</f>
      </c>
      <c r="C1938" s="4" t="s">
        <v>236</v>
      </c>
      <c r="D1938" s="4">
        <v>46</v>
      </c>
      <c r="E1938" s="12" t="str">
        <f t="array" ref="E1938">IF(D1938:D5980="","",IFERROR(_xlfn.XLOOKUP(D1938:D5980,'参照_勢力'!A:A,'参照_勢力'!B:B),IFERROR(_xlfn.XLOOKUP(F1938:F5980,kunishuClan!A:A,kunishuClan!B:B),"浪人")))</f>
      </c>
      <c r="F1938" s="4">
        <v>0</v>
      </c>
      <c r="G1938" s="4">
        <v>113</v>
      </c>
      <c r="H1938" s="12" t="str">
        <f t="array" ref="H1938">IF(G1938:G5980="","",_xlfn.XLOOKUP(G1938:G5980,castles_state!A:A,castles_state!D:D,"見つかりません"))</f>
      </c>
      <c r="I1938" s="4"/>
      <c r="J1938" s="12" t="str">
        <f t="array" ref="J1938">IF(I1938:I5980="","",_xlfn.XLOOKUP(I1938:I5980,'参照_姫'!A:A,'参照_姫'!B:B,"見つかりません"))</f>
      </c>
      <c r="K1938" s="4">
        <v>100</v>
      </c>
      <c r="L1938" s="4">
        <v>1000</v>
      </c>
      <c r="M1938" s="4"/>
      <c r="N1938" s="4"/>
      <c r="O1938" s="4"/>
      <c r="P1938" s="12" t="str">
        <f t="array" ref="P1938">IF(O1938:O5980="","",_xlfn.XLOOKUP(O1938:O5980,'参照_官位'!A:A,'参照_官位'!B:B,""))</f>
      </c>
      <c r="Q1938" s="12" t="str">
        <f t="array" ref="Q1938">IF(A1938:A5980="","",IFERROR(_xlfn.XLOOKUP(A1938:A5980,castles_state!K:K,castles_state!D:D)&amp;"主",IFERROR(_xlfn.XLOOKUP(A1938:A5980,kunishuClan!D:D,kunishuClan!B:B)&amp;"当主","")))</f>
      </c>
    </row>
    <row r="1939" ht="15.75" customHeight="1">
      <c r="A1939" s="4">
        <v>1046006</v>
      </c>
      <c r="B1939" s="12" t="str">
        <f t="array" ref="B1939">IF(A1939:A5981="","",_xlfn.XLOOKUP(A1939:A5981,'参照_武将'!A:A,'参照_武将'!B:B,"見つかりません"))</f>
      </c>
      <c r="C1939" s="4" t="s">
        <v>236</v>
      </c>
      <c r="D1939" s="4">
        <v>46</v>
      </c>
      <c r="E1939" s="12" t="str">
        <f t="array" ref="E1939">IF(D1939:D5981="","",IFERROR(_xlfn.XLOOKUP(D1939:D5981,'参照_勢力'!A:A,'参照_勢力'!B:B),IFERROR(_xlfn.XLOOKUP(F1939:F5981,kunishuClan!A:A,kunishuClan!B:B),"浪人")))</f>
      </c>
      <c r="F1939" s="4">
        <v>0</v>
      </c>
      <c r="G1939" s="4">
        <v>113</v>
      </c>
      <c r="H1939" s="12" t="str">
        <f t="array" ref="H1939">IF(G1939:G5981="","",_xlfn.XLOOKUP(G1939:G5981,castles_state!A:A,castles_state!D:D,"見つかりません"))</f>
      </c>
      <c r="I1939" s="4"/>
      <c r="J1939" s="12" t="str">
        <f t="array" ref="J1939">IF(I1939:I5981="","",_xlfn.XLOOKUP(I1939:I5981,'参照_姫'!A:A,'参照_姫'!B:B,"見つかりません"))</f>
      </c>
      <c r="K1939" s="4">
        <v>95</v>
      </c>
      <c r="L1939" s="4">
        <v>0</v>
      </c>
      <c r="M1939" s="4"/>
      <c r="N1939" s="4" t="b">
        <v>1</v>
      </c>
      <c r="O1939" s="4"/>
      <c r="P1939" s="12" t="str">
        <f t="array" ref="P1939">IF(O1939:O5981="","",_xlfn.XLOOKUP(O1939:O5981,'参照_官位'!A:A,'参照_官位'!B:B,""))</f>
      </c>
      <c r="Q1939" s="12" t="str">
        <f t="array" ref="Q1939">IF(A1939:A5981="","",IFERROR(_xlfn.XLOOKUP(A1939:A5981,castles_state!K:K,castles_state!D:D)&amp;"主",IFERROR(_xlfn.XLOOKUP(A1939:A5981,kunishuClan!D:D,kunishuClan!B:B)&amp;"当主","")))</f>
      </c>
    </row>
    <row r="1940" ht="15.75" customHeight="1">
      <c r="A1940" s="4">
        <v>1046007</v>
      </c>
      <c r="B1940" s="12" t="str">
        <f t="array" ref="B1940">IF(A1940:A5982="","",_xlfn.XLOOKUP(A1940:A5982,'参照_武将'!A:A,'参照_武将'!B:B,"見つかりません"))</f>
      </c>
      <c r="C1940" s="4" t="s">
        <v>236</v>
      </c>
      <c r="D1940" s="4">
        <v>46</v>
      </c>
      <c r="E1940" s="12" t="str">
        <f t="array" ref="E1940">IF(D1940:D5982="","",IFERROR(_xlfn.XLOOKUP(D1940:D5982,'参照_勢力'!A:A,'参照_勢力'!B:B),IFERROR(_xlfn.XLOOKUP(F1940:F5982,kunishuClan!A:A,kunishuClan!B:B),"浪人")))</f>
      </c>
      <c r="F1940" s="4">
        <v>0</v>
      </c>
      <c r="G1940" s="4">
        <v>113</v>
      </c>
      <c r="H1940" s="12" t="str">
        <f t="array" ref="H1940">IF(G1940:G5982="","",_xlfn.XLOOKUP(G1940:G5982,castles_state!A:A,castles_state!D:D,"見つかりません"))</f>
      </c>
      <c r="I1940" s="4"/>
      <c r="J1940" s="12" t="str">
        <f t="array" ref="J1940">IF(I1940:I5982="","",_xlfn.XLOOKUP(I1940:I5982,'参照_姫'!A:A,'参照_姫'!B:B,"見つかりません"))</f>
      </c>
      <c r="K1940" s="4">
        <v>95</v>
      </c>
      <c r="L1940" s="4">
        <v>0</v>
      </c>
      <c r="M1940" s="4"/>
      <c r="N1940" s="4" t="b">
        <v>1</v>
      </c>
      <c r="O1940" s="4"/>
      <c r="P1940" s="12" t="str">
        <f t="array" ref="P1940">IF(O1940:O5982="","",_xlfn.XLOOKUP(O1940:O5982,'参照_官位'!A:A,'参照_官位'!B:B,""))</f>
      </c>
      <c r="Q1940" s="12" t="str">
        <f t="array" ref="Q1940">IF(A1940:A5982="","",IFERROR(_xlfn.XLOOKUP(A1940:A5982,castles_state!K:K,castles_state!D:D)&amp;"主",IFERROR(_xlfn.XLOOKUP(A1940:A5982,kunishuClan!D:D,kunishuClan!B:B)&amp;"当主","")))</f>
      </c>
    </row>
    <row r="1941" ht="15.75" customHeight="1">
      <c r="A1941" s="4">
        <v>1046008</v>
      </c>
      <c r="B1941" s="12" t="str">
        <f t="array" ref="B1941">IF(A1941:A5983="","",_xlfn.XLOOKUP(A1941:A5983,'参照_武将'!A:A,'参照_武将'!B:B,"見つかりません"))</f>
      </c>
      <c r="C1941" s="4" t="s">
        <v>236</v>
      </c>
      <c r="D1941" s="4">
        <v>46</v>
      </c>
      <c r="E1941" s="12" t="str">
        <f t="array" ref="E1941">IF(D1941:D5983="","",IFERROR(_xlfn.XLOOKUP(D1941:D5983,'参照_勢力'!A:A,'参照_勢力'!B:B),IFERROR(_xlfn.XLOOKUP(F1941:F5983,kunishuClan!A:A,kunishuClan!B:B),"浪人")))</f>
      </c>
      <c r="F1941" s="4">
        <v>0</v>
      </c>
      <c r="G1941" s="4">
        <v>113</v>
      </c>
      <c r="H1941" s="12" t="str">
        <f t="array" ref="H1941">IF(G1941:G5983="","",_xlfn.XLOOKUP(G1941:G5983,castles_state!A:A,castles_state!D:D,"見つかりません"))</f>
      </c>
      <c r="I1941" s="4"/>
      <c r="J1941" s="12" t="str">
        <f t="array" ref="J1941">IF(I1941:I5983="","",_xlfn.XLOOKUP(I1941:I5983,'参照_姫'!A:A,'参照_姫'!B:B,"見つかりません"))</f>
      </c>
      <c r="K1941" s="4">
        <v>95</v>
      </c>
      <c r="L1941" s="4">
        <v>0</v>
      </c>
      <c r="M1941" s="4"/>
      <c r="N1941" s="4"/>
      <c r="O1941" s="4"/>
      <c r="P1941" s="12" t="str">
        <f t="array" ref="P1941">IF(O1941:O5983="","",_xlfn.XLOOKUP(O1941:O5983,'参照_官位'!A:A,'参照_官位'!B:B,""))</f>
      </c>
      <c r="Q1941" s="12" t="str">
        <f t="array" ref="Q1941">IF(A1941:A5983="","",IFERROR(_xlfn.XLOOKUP(A1941:A5983,castles_state!K:K,castles_state!D:D)&amp;"主",IFERROR(_xlfn.XLOOKUP(A1941:A5983,kunishuClan!D:D,kunishuClan!B:B)&amp;"当主","")))</f>
      </c>
    </row>
    <row r="1942" ht="15.75" customHeight="1">
      <c r="A1942" s="4">
        <v>1046009</v>
      </c>
      <c r="B1942" s="12" t="str">
        <f t="array" ref="B1942">IF(A1942:A5984="","",_xlfn.XLOOKUP(A1942:A5984,'参照_武将'!A:A,'参照_武将'!B:B,"見つかりません"))</f>
      </c>
      <c r="C1942" s="4" t="s">
        <v>236</v>
      </c>
      <c r="D1942" s="4">
        <v>46</v>
      </c>
      <c r="E1942" s="12" t="str">
        <f t="array" ref="E1942">IF(D1942:D5984="","",IFERROR(_xlfn.XLOOKUP(D1942:D5984,'参照_勢力'!A:A,'参照_勢力'!B:B),IFERROR(_xlfn.XLOOKUP(F1942:F5984,kunishuClan!A:A,kunishuClan!B:B),"浪人")))</f>
      </c>
      <c r="F1942" s="4">
        <v>0</v>
      </c>
      <c r="G1942" s="4">
        <v>113</v>
      </c>
      <c r="H1942" s="12" t="str">
        <f t="array" ref="H1942">IF(G1942:G5984="","",_xlfn.XLOOKUP(G1942:G5984,castles_state!A:A,castles_state!D:D,"見つかりません"))</f>
      </c>
      <c r="I1942" s="4"/>
      <c r="J1942" s="12" t="str">
        <f t="array" ref="J1942">IF(I1942:I5984="","",_xlfn.XLOOKUP(I1942:I5984,'参照_姫'!A:A,'参照_姫'!B:B,"見つかりません"))</f>
      </c>
      <c r="K1942" s="4">
        <v>95</v>
      </c>
      <c r="L1942" s="4">
        <v>300</v>
      </c>
      <c r="M1942" s="4" t="b">
        <v>1</v>
      </c>
      <c r="N1942" s="4"/>
      <c r="O1942" s="4"/>
      <c r="P1942" s="12" t="str">
        <f t="array" ref="P1942">IF(O1942:O5984="","",_xlfn.XLOOKUP(O1942:O5984,'参照_官位'!A:A,'参照_官位'!B:B,""))</f>
      </c>
      <c r="Q1942" s="12" t="str">
        <f t="array" ref="Q1942">IF(A1942:A5984="","",IFERROR(_xlfn.XLOOKUP(A1942:A5984,castles_state!K:K,castles_state!D:D)&amp;"主",IFERROR(_xlfn.XLOOKUP(A1942:A5984,kunishuClan!D:D,kunishuClan!B:B)&amp;"当主","")))</f>
      </c>
    </row>
    <row r="1943" ht="15.75" customHeight="1">
      <c r="A1943" s="4">
        <v>1046010</v>
      </c>
      <c r="B1943" s="12" t="str">
        <f t="array" ref="B1943">IF(A1943:A5985="","",_xlfn.XLOOKUP(A1943:A5985,'参照_武将'!A:A,'参照_武将'!B:B,"見つかりません"))</f>
      </c>
      <c r="C1943" s="4" t="s">
        <v>236</v>
      </c>
      <c r="D1943" s="4">
        <v>46</v>
      </c>
      <c r="E1943" s="12" t="str">
        <f t="array" ref="E1943">IF(D1943:D5985="","",IFERROR(_xlfn.XLOOKUP(D1943:D5985,'参照_勢力'!A:A,'参照_勢力'!B:B),IFERROR(_xlfn.XLOOKUP(F1943:F5985,kunishuClan!A:A,kunishuClan!B:B),"浪人")))</f>
      </c>
      <c r="F1943" s="4">
        <v>0</v>
      </c>
      <c r="G1943" s="4">
        <v>113</v>
      </c>
      <c r="H1943" s="12" t="str">
        <f t="array" ref="H1943">IF(G1943:G5985="","",_xlfn.XLOOKUP(G1943:G5985,castles_state!A:A,castles_state!D:D,"見つかりません"))</f>
      </c>
      <c r="I1943" s="4"/>
      <c r="J1943" s="12" t="str">
        <f t="array" ref="J1943">IF(I1943:I5985="","",_xlfn.XLOOKUP(I1943:I5985,'参照_姫'!A:A,'参照_姫'!B:B,"見つかりません"))</f>
      </c>
      <c r="K1943" s="4">
        <v>95</v>
      </c>
      <c r="L1943" s="4">
        <v>0</v>
      </c>
      <c r="M1943" s="4"/>
      <c r="N1943" s="4"/>
      <c r="O1943" s="4"/>
      <c r="P1943" s="12" t="str">
        <f t="array" ref="P1943">IF(O1943:O5985="","",_xlfn.XLOOKUP(O1943:O5985,'参照_官位'!A:A,'参照_官位'!B:B,""))</f>
      </c>
      <c r="Q1943" s="12" t="str">
        <f t="array" ref="Q1943">IF(A1943:A5985="","",IFERROR(_xlfn.XLOOKUP(A1943:A5985,castles_state!K:K,castles_state!D:D)&amp;"主",IFERROR(_xlfn.XLOOKUP(A1943:A5985,kunishuClan!D:D,kunishuClan!B:B)&amp;"当主","")))</f>
      </c>
    </row>
    <row r="1944" ht="15.75" customHeight="1">
      <c r="A1944" s="4">
        <v>1046011</v>
      </c>
      <c r="B1944" s="12" t="str">
        <f t="array" ref="B1944">IF(A1944:A5986="","",_xlfn.XLOOKUP(A1944:A5986,'参照_武将'!A:A,'参照_武将'!B:B,"見つかりません"))</f>
      </c>
      <c r="C1944" s="4" t="s">
        <v>236</v>
      </c>
      <c r="D1944" s="4">
        <v>46</v>
      </c>
      <c r="E1944" s="12" t="str">
        <f t="array" ref="E1944">IF(D1944:D5986="","",IFERROR(_xlfn.XLOOKUP(D1944:D5986,'参照_勢力'!A:A,'参照_勢力'!B:B),IFERROR(_xlfn.XLOOKUP(F1944:F5986,kunishuClan!A:A,kunishuClan!B:B),"浪人")))</f>
      </c>
      <c r="F1944" s="4">
        <v>0</v>
      </c>
      <c r="G1944" s="4">
        <v>113</v>
      </c>
      <c r="H1944" s="12" t="str">
        <f t="array" ref="H1944">IF(G1944:G5986="","",_xlfn.XLOOKUP(G1944:G5986,castles_state!A:A,castles_state!D:D,"見つかりません"))</f>
      </c>
      <c r="I1944" s="4"/>
      <c r="J1944" s="12" t="str">
        <f t="array" ref="J1944">IF(I1944:I5986="","",_xlfn.XLOOKUP(I1944:I5986,'参照_姫'!A:A,'参照_姫'!B:B,"見つかりません"))</f>
      </c>
      <c r="K1944" s="4">
        <v>95</v>
      </c>
      <c r="L1944" s="4">
        <v>200</v>
      </c>
      <c r="M1944" s="4"/>
      <c r="N1944" s="4"/>
      <c r="O1944" s="4"/>
      <c r="P1944" s="12" t="str">
        <f t="array" ref="P1944">IF(O1944:O5986="","",_xlfn.XLOOKUP(O1944:O5986,'参照_官位'!A:A,'参照_官位'!B:B,""))</f>
      </c>
      <c r="Q1944" s="12" t="str">
        <f t="array" ref="Q1944">IF(A1944:A5986="","",IFERROR(_xlfn.XLOOKUP(A1944:A5986,castles_state!K:K,castles_state!D:D)&amp;"主",IFERROR(_xlfn.XLOOKUP(A1944:A5986,kunishuClan!D:D,kunishuClan!B:B)&amp;"当主","")))</f>
      </c>
    </row>
    <row r="1945" ht="15.75" customHeight="1">
      <c r="A1945" s="4">
        <v>1046012</v>
      </c>
      <c r="B1945" s="12" t="str">
        <f t="array" ref="B1945">IF(A1945:A5987="","",_xlfn.XLOOKUP(A1945:A5987,'参照_武将'!A:A,'参照_武将'!B:B,"見つかりません"))</f>
      </c>
      <c r="C1945" s="4" t="s">
        <v>236</v>
      </c>
      <c r="D1945" s="4">
        <v>46</v>
      </c>
      <c r="E1945" s="12" t="str">
        <f t="array" ref="E1945">IF(D1945:D5987="","",IFERROR(_xlfn.XLOOKUP(D1945:D5987,'参照_勢力'!A:A,'参照_勢力'!B:B),IFERROR(_xlfn.XLOOKUP(F1945:F5987,kunishuClan!A:A,kunishuClan!B:B),"浪人")))</f>
      </c>
      <c r="F1945" s="4">
        <v>0</v>
      </c>
      <c r="G1945" s="4">
        <v>113</v>
      </c>
      <c r="H1945" s="12" t="str">
        <f t="array" ref="H1945">IF(G1945:G5987="","",_xlfn.XLOOKUP(G1945:G5987,castles_state!A:A,castles_state!D:D,"見つかりません"))</f>
      </c>
      <c r="I1945" s="4"/>
      <c r="J1945" s="12" t="str">
        <f t="array" ref="J1945">IF(I1945:I5987="","",_xlfn.XLOOKUP(I1945:I5987,'参照_姫'!A:A,'参照_姫'!B:B,"見つかりません"))</f>
      </c>
      <c r="K1945" s="4">
        <v>95</v>
      </c>
      <c r="L1945" s="4">
        <v>0</v>
      </c>
      <c r="M1945" s="4"/>
      <c r="N1945" s="4"/>
      <c r="O1945" s="4"/>
      <c r="P1945" s="12" t="str">
        <f t="array" ref="P1945">IF(O1945:O5987="","",_xlfn.XLOOKUP(O1945:O5987,'参照_官位'!A:A,'参照_官位'!B:B,""))</f>
      </c>
      <c r="Q1945" s="12" t="str">
        <f t="array" ref="Q1945">IF(A1945:A5987="","",IFERROR(_xlfn.XLOOKUP(A1945:A5987,castles_state!K:K,castles_state!D:D)&amp;"主",IFERROR(_xlfn.XLOOKUP(A1945:A5987,kunishuClan!D:D,kunishuClan!B:B)&amp;"当主","")))</f>
      </c>
    </row>
    <row r="1946" ht="15.75" customHeight="1">
      <c r="A1946" s="4">
        <v>1046013</v>
      </c>
      <c r="B1946" s="12" t="str">
        <f t="array" ref="B1946">IF(A1946:A5988="","",_xlfn.XLOOKUP(A1946:A5988,'参照_武将'!A:A,'参照_武将'!B:B,"見つかりません"))</f>
      </c>
      <c r="C1946" s="4" t="s">
        <v>236</v>
      </c>
      <c r="D1946" s="4">
        <v>46</v>
      </c>
      <c r="E1946" s="12" t="str">
        <f t="array" ref="E1946">IF(D1946:D5988="","",IFERROR(_xlfn.XLOOKUP(D1946:D5988,'参照_勢力'!A:A,'参照_勢力'!B:B),IFERROR(_xlfn.XLOOKUP(F1946:F5988,kunishuClan!A:A,kunishuClan!B:B),"浪人")))</f>
      </c>
      <c r="F1946" s="4">
        <v>0</v>
      </c>
      <c r="G1946" s="4">
        <v>113</v>
      </c>
      <c r="H1946" s="12" t="str">
        <f t="array" ref="H1946">IF(G1946:G5988="","",_xlfn.XLOOKUP(G1946:G5988,castles_state!A:A,castles_state!D:D,"見つかりません"))</f>
      </c>
      <c r="I1946" s="4"/>
      <c r="J1946" s="12" t="str">
        <f t="array" ref="J1946">IF(I1946:I5988="","",_xlfn.XLOOKUP(I1946:I5988,'参照_姫'!A:A,'参照_姫'!B:B,"見つかりません"))</f>
      </c>
      <c r="K1946" s="4">
        <v>95</v>
      </c>
      <c r="L1946" s="4">
        <v>0</v>
      </c>
      <c r="M1946" s="4"/>
      <c r="N1946" s="4"/>
      <c r="O1946" s="4"/>
      <c r="P1946" s="12" t="str">
        <f t="array" ref="P1946">IF(O1946:O5988="","",_xlfn.XLOOKUP(O1946:O5988,'参照_官位'!A:A,'参照_官位'!B:B,""))</f>
      </c>
      <c r="Q1946" s="12" t="str">
        <f t="array" ref="Q1946">IF(A1946:A5988="","",IFERROR(_xlfn.XLOOKUP(A1946:A5988,castles_state!K:K,castles_state!D:D)&amp;"主",IFERROR(_xlfn.XLOOKUP(A1946:A5988,kunishuClan!D:D,kunishuClan!B:B)&amp;"当主","")))</f>
      </c>
    </row>
    <row r="1947" ht="15.75" customHeight="1">
      <c r="A1947" s="4">
        <v>1046014</v>
      </c>
      <c r="B1947" s="12" t="str">
        <f t="array" ref="B1947">IF(A1947:A5989="","",_xlfn.XLOOKUP(A1947:A5989,'参照_武将'!A:A,'参照_武将'!B:B,"見つかりません"))</f>
      </c>
      <c r="C1947" s="4" t="s">
        <v>236</v>
      </c>
      <c r="D1947" s="4">
        <v>46</v>
      </c>
      <c r="E1947" s="12" t="str">
        <f t="array" ref="E1947">IF(D1947:D5989="","",IFERROR(_xlfn.XLOOKUP(D1947:D5989,'参照_勢力'!A:A,'参照_勢力'!B:B),IFERROR(_xlfn.XLOOKUP(F1947:F5989,kunishuClan!A:A,kunishuClan!B:B),"浪人")))</f>
      </c>
      <c r="F1947" s="4">
        <v>0</v>
      </c>
      <c r="G1947" s="4">
        <v>113</v>
      </c>
      <c r="H1947" s="12" t="str">
        <f t="array" ref="H1947">IF(G1947:G5989="","",_xlfn.XLOOKUP(G1947:G5989,castles_state!A:A,castles_state!D:D,"見つかりません"))</f>
      </c>
      <c r="I1947" s="4"/>
      <c r="J1947" s="12" t="str">
        <f t="array" ref="J1947">IF(I1947:I5989="","",_xlfn.XLOOKUP(I1947:I5989,'参照_姫'!A:A,'参照_姫'!B:B,"見つかりません"))</f>
      </c>
      <c r="K1947" s="4">
        <v>95</v>
      </c>
      <c r="L1947" s="4">
        <v>0</v>
      </c>
      <c r="M1947" s="4"/>
      <c r="N1947" s="4"/>
      <c r="O1947" s="4"/>
      <c r="P1947" s="12" t="str">
        <f t="array" ref="P1947">IF(O1947:O5989="","",_xlfn.XLOOKUP(O1947:O5989,'参照_官位'!A:A,'参照_官位'!B:B,""))</f>
      </c>
      <c r="Q1947" s="12" t="str">
        <f t="array" ref="Q1947">IF(A1947:A5989="","",IFERROR(_xlfn.XLOOKUP(A1947:A5989,castles_state!K:K,castles_state!D:D)&amp;"主",IFERROR(_xlfn.XLOOKUP(A1947:A5989,kunishuClan!D:D,kunishuClan!B:B)&amp;"当主","")))</f>
      </c>
    </row>
    <row r="1948" ht="15.75" customHeight="1">
      <c r="A1948" s="4">
        <v>1047001</v>
      </c>
      <c r="B1948" s="12" t="str">
        <f t="array" ref="B1948">IF(A1948:A5990="","",_xlfn.XLOOKUP(A1948:A5990,'参照_武将'!A:A,'参照_武将'!B:B,"見つかりません"))</f>
      </c>
      <c r="C1948" s="4" t="s">
        <v>239</v>
      </c>
      <c r="D1948" s="4">
        <v>47</v>
      </c>
      <c r="E1948" s="12" t="str">
        <f t="array" ref="E1948">IF(D1948:D5990="","",IFERROR(_xlfn.XLOOKUP(D1948:D5990,'参照_勢力'!A:A,'参照_勢力'!B:B),IFERROR(_xlfn.XLOOKUP(F1948:F5990,kunishuClan!A:A,kunishuClan!B:B),"浪人")))</f>
      </c>
      <c r="F1948" s="4">
        <v>0</v>
      </c>
      <c r="G1948" s="4">
        <v>132</v>
      </c>
      <c r="H1948" s="12" t="str">
        <f t="array" ref="H1948">IF(G1948:G5990="","",_xlfn.XLOOKUP(G1948:G5990,castles_state!A:A,castles_state!D:D,"見つかりません"))</f>
      </c>
      <c r="I1948" s="4"/>
      <c r="J1948" s="12" t="str">
        <f t="array" ref="J1948">IF(I1948:I5990="","",_xlfn.XLOOKUP(I1948:I5990,'参照_姫'!A:A,'参照_姫'!B:B,"見つかりません"))</f>
      </c>
      <c r="K1948" s="4">
        <v>100</v>
      </c>
      <c r="L1948" s="4">
        <v>0</v>
      </c>
      <c r="M1948" s="4"/>
      <c r="N1948" s="4"/>
      <c r="O1948" s="4"/>
      <c r="P1948" s="12" t="str">
        <f t="array" ref="P1948">IF(O1948:O5990="","",_xlfn.XLOOKUP(O1948:O5990,'参照_官位'!A:A,'参照_官位'!B:B,""))</f>
      </c>
      <c r="Q1948" s="12" t="str">
        <f t="array" ref="Q1948">IF(A1948:A5990="","",IFERROR(_xlfn.XLOOKUP(A1948:A5990,castles_state!K:K,castles_state!D:D)&amp;"主",IFERROR(_xlfn.XLOOKUP(A1948:A5990,kunishuClan!D:D,kunishuClan!B:B)&amp;"当主","")))</f>
      </c>
    </row>
    <row r="1949" ht="15.75" customHeight="1">
      <c r="A1949" s="4">
        <v>1047002</v>
      </c>
      <c r="B1949" s="12" t="str">
        <f t="array" ref="B1949">IF(A1949:A5991="","",_xlfn.XLOOKUP(A1949:A5991,'参照_武将'!A:A,'参照_武将'!B:B,"見つかりません"))</f>
      </c>
      <c r="C1949" s="4" t="s">
        <v>239</v>
      </c>
      <c r="D1949" s="4">
        <v>47</v>
      </c>
      <c r="E1949" s="12" t="str">
        <f t="array" ref="E1949">IF(D1949:D5991="","",IFERROR(_xlfn.XLOOKUP(D1949:D5991,'参照_勢力'!A:A,'参照_勢力'!B:B),IFERROR(_xlfn.XLOOKUP(F1949:F5991,kunishuClan!A:A,kunishuClan!B:B),"浪人")))</f>
      </c>
      <c r="F1949" s="4">
        <v>0</v>
      </c>
      <c r="G1949" s="4">
        <v>132</v>
      </c>
      <c r="H1949" s="12" t="str">
        <f t="array" ref="H1949">IF(G1949:G5991="","",_xlfn.XLOOKUP(G1949:G5991,castles_state!A:A,castles_state!D:D,"見つかりません"))</f>
      </c>
      <c r="I1949" s="4"/>
      <c r="J1949" s="12" t="str">
        <f t="array" ref="J1949">IF(I1949:I5991="","",_xlfn.XLOOKUP(I1949:I5991,'参照_姫'!A:A,'参照_姫'!B:B,"見つかりません"))</f>
      </c>
      <c r="K1949" s="4">
        <v>100</v>
      </c>
      <c r="L1949" s="4">
        <v>1000</v>
      </c>
      <c r="M1949" s="4"/>
      <c r="N1949" s="4"/>
      <c r="O1949" s="4"/>
      <c r="P1949" s="12" t="str">
        <f t="array" ref="P1949">IF(O1949:O5991="","",_xlfn.XLOOKUP(O1949:O5991,'参照_官位'!A:A,'参照_官位'!B:B,""))</f>
      </c>
      <c r="Q1949" s="12" t="str">
        <f t="array" ref="Q1949">IF(A1949:A5991="","",IFERROR(_xlfn.XLOOKUP(A1949:A5991,castles_state!K:K,castles_state!D:D)&amp;"主",IFERROR(_xlfn.XLOOKUP(A1949:A5991,kunishuClan!D:D,kunishuClan!B:B)&amp;"当主","")))</f>
      </c>
    </row>
    <row r="1950" ht="15.75" customHeight="1">
      <c r="A1950" s="4">
        <v>1047003</v>
      </c>
      <c r="B1950" s="12" t="str">
        <f t="array" ref="B1950">IF(A1950:A5992="","",_xlfn.XLOOKUP(A1950:A5992,'参照_武将'!A:A,'参照_武将'!B:B,"見つかりません"))</f>
      </c>
      <c r="C1950" s="4" t="s">
        <v>239</v>
      </c>
      <c r="D1950" s="4">
        <v>42</v>
      </c>
      <c r="E1950" s="12" t="str">
        <f t="array" ref="E1950">IF(D1950:D5992="","",IFERROR(_xlfn.XLOOKUP(D1950:D5992,'参照_勢力'!A:A,'参照_勢力'!B:B),IFERROR(_xlfn.XLOOKUP(F1950:F5992,kunishuClan!A:A,kunishuClan!B:B),"浪人")))</f>
      </c>
      <c r="F1950" s="4">
        <v>0</v>
      </c>
      <c r="G1950" s="4">
        <v>132</v>
      </c>
      <c r="H1950" s="12" t="str">
        <f t="array" ref="H1950">IF(G1950:G5992="","",_xlfn.XLOOKUP(G1950:G5992,castles_state!A:A,castles_state!D:D,"見つかりません"))</f>
      </c>
      <c r="I1950" s="4"/>
      <c r="J1950" s="12" t="str">
        <f t="array" ref="J1950">IF(I1950:I5992="","",_xlfn.XLOOKUP(I1950:I5992,'参照_姫'!A:A,'参照_姫'!B:B,"見つかりません"))</f>
      </c>
      <c r="K1950" s="4">
        <v>95</v>
      </c>
      <c r="L1950" s="4">
        <v>200</v>
      </c>
      <c r="M1950" s="4"/>
      <c r="N1950" s="4"/>
      <c r="O1950" s="4"/>
      <c r="P1950" s="12" t="str">
        <f t="array" ref="P1950">IF(O1950:O5992="","",_xlfn.XLOOKUP(O1950:O5992,'参照_官位'!A:A,'参照_官位'!B:B,""))</f>
      </c>
      <c r="Q1950" s="12" t="str">
        <f t="array" ref="Q1950">IF(A1950:A5992="","",IFERROR(_xlfn.XLOOKUP(A1950:A5992,castles_state!K:K,castles_state!D:D)&amp;"主",IFERROR(_xlfn.XLOOKUP(A1950:A5992,kunishuClan!D:D,kunishuClan!B:B)&amp;"当主","")))</f>
      </c>
    </row>
    <row r="1951" ht="15.75" customHeight="1">
      <c r="A1951" s="4">
        <v>1047004</v>
      </c>
      <c r="B1951" s="12" t="str">
        <f t="array" ref="B1951">IF(A1951:A5993="","",_xlfn.XLOOKUP(A1951:A5993,'参照_武将'!A:A,'参照_武将'!B:B,"見つかりません"))</f>
      </c>
      <c r="C1951" s="4" t="s">
        <v>239</v>
      </c>
      <c r="D1951" s="4">
        <v>42</v>
      </c>
      <c r="E1951" s="12" t="str">
        <f t="array" ref="E1951">IF(D1951:D5993="","",IFERROR(_xlfn.XLOOKUP(D1951:D5993,'参照_勢力'!A:A,'参照_勢力'!B:B),IFERROR(_xlfn.XLOOKUP(F1951:F5993,kunishuClan!A:A,kunishuClan!B:B),"浪人")))</f>
      </c>
      <c r="F1951" s="4">
        <v>0</v>
      </c>
      <c r="G1951" s="4">
        <v>132</v>
      </c>
      <c r="H1951" s="12" t="str">
        <f t="array" ref="H1951">IF(G1951:G5993="","",_xlfn.XLOOKUP(G1951:G5993,castles_state!A:A,castles_state!D:D,"見つかりません"))</f>
      </c>
      <c r="I1951" s="4"/>
      <c r="J1951" s="12" t="str">
        <f t="array" ref="J1951">IF(I1951:I5993="","",_xlfn.XLOOKUP(I1951:I5993,'参照_姫'!A:A,'参照_姫'!B:B,"見つかりません"))</f>
      </c>
      <c r="K1951" s="4">
        <v>95</v>
      </c>
      <c r="L1951" s="4">
        <v>500</v>
      </c>
      <c r="M1951" s="4"/>
      <c r="N1951" s="4"/>
      <c r="O1951" s="4"/>
      <c r="P1951" s="12" t="str">
        <f t="array" ref="P1951">IF(O1951:O5993="","",_xlfn.XLOOKUP(O1951:O5993,'参照_官位'!A:A,'参照_官位'!B:B,""))</f>
      </c>
      <c r="Q1951" s="12" t="str">
        <f t="array" ref="Q1951">IF(A1951:A5993="","",IFERROR(_xlfn.XLOOKUP(A1951:A5993,castles_state!K:K,castles_state!D:D)&amp;"主",IFERROR(_xlfn.XLOOKUP(A1951:A5993,kunishuClan!D:D,kunishuClan!B:B)&amp;"当主","")))</f>
      </c>
    </row>
    <row r="1952" ht="15.75" customHeight="1">
      <c r="A1952" s="4">
        <v>1047005</v>
      </c>
      <c r="B1952" s="12" t="str">
        <f t="array" ref="B1952">IF(A1952:A5994="","",_xlfn.XLOOKUP(A1952:A5994,'参照_武将'!A:A,'参照_武将'!B:B,"見つかりません"))</f>
      </c>
      <c r="C1952" s="4" t="s">
        <v>239</v>
      </c>
      <c r="D1952" s="4">
        <v>47</v>
      </c>
      <c r="E1952" s="12" t="str">
        <f t="array" ref="E1952">IF(D1952:D5994="","",IFERROR(_xlfn.XLOOKUP(D1952:D5994,'参照_勢力'!A:A,'参照_勢力'!B:B),IFERROR(_xlfn.XLOOKUP(F1952:F5994,kunishuClan!A:A,kunishuClan!B:B),"浪人")))</f>
      </c>
      <c r="F1952" s="4">
        <v>0</v>
      </c>
      <c r="G1952" s="4">
        <v>132</v>
      </c>
      <c r="H1952" s="12" t="str">
        <f t="array" ref="H1952">IF(G1952:G5994="","",_xlfn.XLOOKUP(G1952:G5994,castles_state!A:A,castles_state!D:D,"見つかりません"))</f>
      </c>
      <c r="I1952" s="4"/>
      <c r="J1952" s="12" t="str">
        <f t="array" ref="J1952">IF(I1952:I5994="","",_xlfn.XLOOKUP(I1952:I5994,'参照_姫'!A:A,'参照_姫'!B:B,"見つかりません"))</f>
      </c>
      <c r="K1952" s="4">
        <v>95</v>
      </c>
      <c r="L1952" s="4">
        <v>200</v>
      </c>
      <c r="M1952" s="4"/>
      <c r="N1952" s="4"/>
      <c r="O1952" s="4"/>
      <c r="P1952" s="12" t="str">
        <f t="array" ref="P1952">IF(O1952:O5994="","",_xlfn.XLOOKUP(O1952:O5994,'参照_官位'!A:A,'参照_官位'!B:B,""))</f>
      </c>
      <c r="Q1952" s="12" t="str">
        <f t="array" ref="Q1952">IF(A1952:A5994="","",IFERROR(_xlfn.XLOOKUP(A1952:A5994,castles_state!K:K,castles_state!D:D)&amp;"主",IFERROR(_xlfn.XLOOKUP(A1952:A5994,kunishuClan!D:D,kunishuClan!B:B)&amp;"当主","")))</f>
      </c>
    </row>
    <row r="1953" ht="15.75" customHeight="1">
      <c r="A1953" s="4">
        <v>1047006</v>
      </c>
      <c r="B1953" s="12" t="str">
        <f t="array" ref="B1953">IF(A1953:A5995="","",_xlfn.XLOOKUP(A1953:A5995,'参照_武将'!A:A,'参照_武将'!B:B,"見つかりません"))</f>
      </c>
      <c r="C1953" s="4" t="s">
        <v>239</v>
      </c>
      <c r="D1953" s="4">
        <v>47</v>
      </c>
      <c r="E1953" s="12" t="str">
        <f t="array" ref="E1953">IF(D1953:D5995="","",IFERROR(_xlfn.XLOOKUP(D1953:D5995,'参照_勢力'!A:A,'参照_勢力'!B:B),IFERROR(_xlfn.XLOOKUP(F1953:F5995,kunishuClan!A:A,kunishuClan!B:B),"浪人")))</f>
      </c>
      <c r="F1953" s="4">
        <v>0</v>
      </c>
      <c r="G1953" s="4">
        <v>132</v>
      </c>
      <c r="H1953" s="12" t="str">
        <f t="array" ref="H1953">IF(G1953:G5995="","",_xlfn.XLOOKUP(G1953:G5995,castles_state!A:A,castles_state!D:D,"見つかりません"))</f>
      </c>
      <c r="I1953" s="4"/>
      <c r="J1953" s="12" t="str">
        <f t="array" ref="J1953">IF(I1953:I5995="","",_xlfn.XLOOKUP(I1953:I5995,'参照_姫'!A:A,'参照_姫'!B:B,"見つかりません"))</f>
      </c>
      <c r="K1953" s="4">
        <v>95</v>
      </c>
      <c r="L1953" s="4">
        <v>0</v>
      </c>
      <c r="M1953" s="4"/>
      <c r="N1953" s="4"/>
      <c r="O1953" s="4"/>
      <c r="P1953" s="12" t="str">
        <f t="array" ref="P1953">IF(O1953:O5995="","",_xlfn.XLOOKUP(O1953:O5995,'参照_官位'!A:A,'参照_官位'!B:B,""))</f>
      </c>
      <c r="Q1953" s="12" t="str">
        <f t="array" ref="Q1953">IF(A1953:A5995="","",IFERROR(_xlfn.XLOOKUP(A1953:A5995,castles_state!K:K,castles_state!D:D)&amp;"主",IFERROR(_xlfn.XLOOKUP(A1953:A5995,kunishuClan!D:D,kunishuClan!B:B)&amp;"当主","")))</f>
      </c>
    </row>
    <row r="1954" ht="15.75" customHeight="1">
      <c r="A1954" s="4">
        <v>1047007</v>
      </c>
      <c r="B1954" s="12" t="str">
        <f t="array" ref="B1954">IF(A1954:A5996="","",_xlfn.XLOOKUP(A1954:A5996,'参照_武将'!A:A,'参照_武将'!B:B,"見つかりません"))</f>
      </c>
      <c r="C1954" s="4" t="s">
        <v>239</v>
      </c>
      <c r="D1954" s="4">
        <v>47</v>
      </c>
      <c r="E1954" s="12" t="str">
        <f t="array" ref="E1954">IF(D1954:D5996="","",IFERROR(_xlfn.XLOOKUP(D1954:D5996,'参照_勢力'!A:A,'参照_勢力'!B:B),IFERROR(_xlfn.XLOOKUP(F1954:F5996,kunishuClan!A:A,kunishuClan!B:B),"浪人")))</f>
      </c>
      <c r="F1954" s="4">
        <v>0</v>
      </c>
      <c r="G1954" s="4">
        <v>132</v>
      </c>
      <c r="H1954" s="12" t="str">
        <f t="array" ref="H1954">IF(G1954:G5996="","",_xlfn.XLOOKUP(G1954:G5996,castles_state!A:A,castles_state!D:D,"見つかりません"))</f>
      </c>
      <c r="I1954" s="4"/>
      <c r="J1954" s="12" t="str">
        <f t="array" ref="J1954">IF(I1954:I5996="","",_xlfn.XLOOKUP(I1954:I5996,'参照_姫'!A:A,'参照_姫'!B:B,"見つかりません"))</f>
      </c>
      <c r="K1954" s="4">
        <v>95</v>
      </c>
      <c r="L1954" s="4">
        <v>0</v>
      </c>
      <c r="M1954" s="4"/>
      <c r="N1954" s="4"/>
      <c r="O1954" s="4"/>
      <c r="P1954" s="12" t="str">
        <f t="array" ref="P1954">IF(O1954:O5996="","",_xlfn.XLOOKUP(O1954:O5996,'参照_官位'!A:A,'参照_官位'!B:B,""))</f>
      </c>
      <c r="Q1954" s="12" t="str">
        <f t="array" ref="Q1954">IF(A1954:A5996="","",IFERROR(_xlfn.XLOOKUP(A1954:A5996,castles_state!K:K,castles_state!D:D)&amp;"主",IFERROR(_xlfn.XLOOKUP(A1954:A5996,kunishuClan!D:D,kunishuClan!B:B)&amp;"当主","")))</f>
      </c>
    </row>
    <row r="1955" ht="15.75" customHeight="1">
      <c r="A1955" s="4">
        <v>1047008</v>
      </c>
      <c r="B1955" s="12" t="str">
        <f t="array" ref="B1955">IF(A1955:A5997="","",_xlfn.XLOOKUP(A1955:A5997,'参照_武将'!A:A,'参照_武将'!B:B,"見つかりません"))</f>
      </c>
      <c r="C1955" s="4" t="s">
        <v>239</v>
      </c>
      <c r="D1955" s="4">
        <v>42</v>
      </c>
      <c r="E1955" s="12" t="str">
        <f t="array" ref="E1955">IF(D1955:D5997="","",IFERROR(_xlfn.XLOOKUP(D1955:D5997,'参照_勢力'!A:A,'参照_勢力'!B:B),IFERROR(_xlfn.XLOOKUP(F1955:F5997,kunishuClan!A:A,kunishuClan!B:B),"浪人")))</f>
      </c>
      <c r="F1955" s="4">
        <v>0</v>
      </c>
      <c r="G1955" s="4">
        <v>132</v>
      </c>
      <c r="H1955" s="12" t="str">
        <f t="array" ref="H1955">IF(G1955:G5997="","",_xlfn.XLOOKUP(G1955:G5997,castles_state!A:A,castles_state!D:D,"見つかりません"))</f>
      </c>
      <c r="I1955" s="4"/>
      <c r="J1955" s="12" t="str">
        <f t="array" ref="J1955">IF(I1955:I5997="","",_xlfn.XLOOKUP(I1955:I5997,'参照_姫'!A:A,'参照_姫'!B:B,"見つかりません"))</f>
      </c>
      <c r="K1955" s="4">
        <v>95</v>
      </c>
      <c r="L1955" s="4">
        <v>0</v>
      </c>
      <c r="M1955" s="4"/>
      <c r="N1955" s="4"/>
      <c r="O1955" s="4"/>
      <c r="P1955" s="12" t="str">
        <f t="array" ref="P1955">IF(O1955:O5997="","",_xlfn.XLOOKUP(O1955:O5997,'参照_官位'!A:A,'参照_官位'!B:B,""))</f>
      </c>
      <c r="Q1955" s="12" t="str">
        <f t="array" ref="Q1955">IF(A1955:A5997="","",IFERROR(_xlfn.XLOOKUP(A1955:A5997,castles_state!K:K,castles_state!D:D)&amp;"主",IFERROR(_xlfn.XLOOKUP(A1955:A5997,kunishuClan!D:D,kunishuClan!B:B)&amp;"当主","")))</f>
      </c>
    </row>
    <row r="1956" ht="15.75" customHeight="1">
      <c r="A1956" s="4">
        <v>1047009</v>
      </c>
      <c r="B1956" s="12" t="str">
        <f t="array" ref="B1956">IF(A1956:A5998="","",_xlfn.XLOOKUP(A1956:A5998,'参照_武将'!A:A,'参照_武将'!B:B,"見つかりません"))</f>
      </c>
      <c r="C1956" s="4" t="s">
        <v>239</v>
      </c>
      <c r="D1956" s="4">
        <v>42</v>
      </c>
      <c r="E1956" s="12" t="str">
        <f t="array" ref="E1956">IF(D1956:D5998="","",IFERROR(_xlfn.XLOOKUP(D1956:D5998,'参照_勢力'!A:A,'参照_勢力'!B:B),IFERROR(_xlfn.XLOOKUP(F1956:F5998,kunishuClan!A:A,kunishuClan!B:B),"浪人")))</f>
      </c>
      <c r="F1956" s="4">
        <v>0</v>
      </c>
      <c r="G1956" s="4">
        <v>132</v>
      </c>
      <c r="H1956" s="12" t="str">
        <f t="array" ref="H1956">IF(G1956:G5998="","",_xlfn.XLOOKUP(G1956:G5998,castles_state!A:A,castles_state!D:D,"見つかりません"))</f>
      </c>
      <c r="I1956" s="4"/>
      <c r="J1956" s="12" t="str">
        <f t="array" ref="J1956">IF(I1956:I5998="","",_xlfn.XLOOKUP(I1956:I5998,'参照_姫'!A:A,'参照_姫'!B:B,"見つかりません"))</f>
      </c>
      <c r="K1956" s="4">
        <v>95</v>
      </c>
      <c r="L1956" s="4">
        <v>0</v>
      </c>
      <c r="M1956" s="4"/>
      <c r="N1956" s="4"/>
      <c r="O1956" s="4"/>
      <c r="P1956" s="12" t="str">
        <f t="array" ref="P1956">IF(O1956:O5998="","",_xlfn.XLOOKUP(O1956:O5998,'参照_官位'!A:A,'参照_官位'!B:B,""))</f>
      </c>
      <c r="Q1956" s="12" t="str">
        <f t="array" ref="Q1956">IF(A1956:A5998="","",IFERROR(_xlfn.XLOOKUP(A1956:A5998,castles_state!K:K,castles_state!D:D)&amp;"主",IFERROR(_xlfn.XLOOKUP(A1956:A5998,kunishuClan!D:D,kunishuClan!B:B)&amp;"当主","")))</f>
      </c>
    </row>
    <row r="1957" ht="15.75" customHeight="1">
      <c r="A1957" s="4">
        <v>1047010</v>
      </c>
      <c r="B1957" s="12" t="str">
        <f t="array" ref="B1957">IF(A1957:A5999="","",_xlfn.XLOOKUP(A1957:A5999,'参照_武将'!A:A,'参照_武将'!B:B,"見つかりません"))</f>
      </c>
      <c r="C1957" s="4" t="s">
        <v>239</v>
      </c>
      <c r="D1957" s="4">
        <v>42</v>
      </c>
      <c r="E1957" s="12" t="str">
        <f t="array" ref="E1957">IF(D1957:D5999="","",IFERROR(_xlfn.XLOOKUP(D1957:D5999,'参照_勢力'!A:A,'参照_勢力'!B:B),IFERROR(_xlfn.XLOOKUP(F1957:F5999,kunishuClan!A:A,kunishuClan!B:B),"浪人")))</f>
      </c>
      <c r="F1957" s="4">
        <v>0</v>
      </c>
      <c r="G1957" s="4">
        <v>132</v>
      </c>
      <c r="H1957" s="12" t="str">
        <f t="array" ref="H1957">IF(G1957:G5999="","",_xlfn.XLOOKUP(G1957:G5999,castles_state!A:A,castles_state!D:D,"見つかりません"))</f>
      </c>
      <c r="I1957" s="4"/>
      <c r="J1957" s="12" t="str">
        <f t="array" ref="J1957">IF(I1957:I5999="","",_xlfn.XLOOKUP(I1957:I5999,'参照_姫'!A:A,'参照_姫'!B:B,"見つかりません"))</f>
      </c>
      <c r="K1957" s="4">
        <v>95</v>
      </c>
      <c r="L1957" s="4">
        <v>0</v>
      </c>
      <c r="M1957" s="4"/>
      <c r="N1957" s="4"/>
      <c r="O1957" s="4"/>
      <c r="P1957" s="12" t="str">
        <f t="array" ref="P1957">IF(O1957:O5999="","",_xlfn.XLOOKUP(O1957:O5999,'参照_官位'!A:A,'参照_官位'!B:B,""))</f>
      </c>
      <c r="Q1957" s="12" t="str">
        <f t="array" ref="Q1957">IF(A1957:A5999="","",IFERROR(_xlfn.XLOOKUP(A1957:A5999,castles_state!K:K,castles_state!D:D)&amp;"主",IFERROR(_xlfn.XLOOKUP(A1957:A5999,kunishuClan!D:D,kunishuClan!B:B)&amp;"当主","")))</f>
      </c>
    </row>
    <row r="1958" ht="15.75" customHeight="1">
      <c r="A1958" s="4">
        <v>1047011</v>
      </c>
      <c r="B1958" s="12" t="str">
        <f t="array" ref="B1958">IF(A1958:A6000="","",_xlfn.XLOOKUP(A1958:A6000,'参照_武将'!A:A,'参照_武将'!B:B,"見つかりません"))</f>
      </c>
      <c r="C1958" s="4" t="s">
        <v>239</v>
      </c>
      <c r="D1958" s="4">
        <v>42</v>
      </c>
      <c r="E1958" s="12" t="str">
        <f t="array" ref="E1958">IF(D1958:D6000="","",IFERROR(_xlfn.XLOOKUP(D1958:D6000,'参照_勢力'!A:A,'参照_勢力'!B:B),IFERROR(_xlfn.XLOOKUP(F1958:F6000,kunishuClan!A:A,kunishuClan!B:B),"浪人")))</f>
      </c>
      <c r="F1958" s="4">
        <v>0</v>
      </c>
      <c r="G1958" s="4">
        <v>132</v>
      </c>
      <c r="H1958" s="12" t="str">
        <f t="array" ref="H1958">IF(G1958:G6000="","",_xlfn.XLOOKUP(G1958:G6000,castles_state!A:A,castles_state!D:D,"見つかりません"))</f>
      </c>
      <c r="I1958" s="4"/>
      <c r="J1958" s="12" t="str">
        <f t="array" ref="J1958">IF(I1958:I6000="","",_xlfn.XLOOKUP(I1958:I6000,'参照_姫'!A:A,'参照_姫'!B:B,"見つかりません"))</f>
      </c>
      <c r="K1958" s="4">
        <v>95</v>
      </c>
      <c r="L1958" s="4">
        <v>0</v>
      </c>
      <c r="M1958" s="4"/>
      <c r="N1958" s="4"/>
      <c r="O1958" s="4"/>
      <c r="P1958" s="12" t="str">
        <f t="array" ref="P1958">IF(O1958:O6000="","",_xlfn.XLOOKUP(O1958:O6000,'参照_官位'!A:A,'参照_官位'!B:B,""))</f>
      </c>
      <c r="Q1958" s="12" t="str">
        <f t="array" ref="Q1958">IF(A1958:A6000="","",IFERROR(_xlfn.XLOOKUP(A1958:A6000,castles_state!K:K,castles_state!D:D)&amp;"主",IFERROR(_xlfn.XLOOKUP(A1958:A6000,kunishuClan!D:D,kunishuClan!B:B)&amp;"当主","")))</f>
      </c>
    </row>
    <row r="1959" ht="15.75" customHeight="1">
      <c r="A1959" s="4">
        <v>1047012</v>
      </c>
      <c r="B1959" s="12" t="str">
        <f t="array" ref="B1959">IF(A1959:A6001="","",_xlfn.XLOOKUP(A1959:A6001,'参照_武将'!A:A,'参照_武将'!B:B,"見つかりません"))</f>
      </c>
      <c r="C1959" s="4" t="s">
        <v>239</v>
      </c>
      <c r="D1959" s="4">
        <v>42</v>
      </c>
      <c r="E1959" s="12" t="str">
        <f t="array" ref="E1959">IF(D1959:D6001="","",IFERROR(_xlfn.XLOOKUP(D1959:D6001,'参照_勢力'!A:A,'参照_勢力'!B:B),IFERROR(_xlfn.XLOOKUP(F1959:F6001,kunishuClan!A:A,kunishuClan!B:B),"浪人")))</f>
      </c>
      <c r="F1959" s="4">
        <v>0</v>
      </c>
      <c r="G1959" s="4">
        <v>132</v>
      </c>
      <c r="H1959" s="12" t="str">
        <f t="array" ref="H1959">IF(G1959:G6001="","",_xlfn.XLOOKUP(G1959:G6001,castles_state!A:A,castles_state!D:D,"見つかりません"))</f>
      </c>
      <c r="I1959" s="4"/>
      <c r="J1959" s="12" t="str">
        <f t="array" ref="J1959">IF(I1959:I6001="","",_xlfn.XLOOKUP(I1959:I6001,'参照_姫'!A:A,'参照_姫'!B:B,"見つかりません"))</f>
      </c>
      <c r="K1959" s="4">
        <v>95</v>
      </c>
      <c r="L1959" s="4">
        <v>0</v>
      </c>
      <c r="M1959" s="4"/>
      <c r="N1959" s="4"/>
      <c r="O1959" s="4"/>
      <c r="P1959" s="12" t="str">
        <f t="array" ref="P1959">IF(O1959:O6001="","",_xlfn.XLOOKUP(O1959:O6001,'参照_官位'!A:A,'参照_官位'!B:B,""))</f>
      </c>
      <c r="Q1959" s="12" t="str">
        <f t="array" ref="Q1959">IF(A1959:A6001="","",IFERROR(_xlfn.XLOOKUP(A1959:A6001,castles_state!K:K,castles_state!D:D)&amp;"主",IFERROR(_xlfn.XLOOKUP(A1959:A6001,kunishuClan!D:D,kunishuClan!B:B)&amp;"当主","")))</f>
      </c>
    </row>
    <row r="1960" ht="15.75" customHeight="1">
      <c r="A1960" s="4">
        <v>1047013</v>
      </c>
      <c r="B1960" s="12" t="str">
        <f t="array" ref="B1960">IF(A1960:A6002="","",_xlfn.XLOOKUP(A1960:A6002,'参照_武将'!A:A,'参照_武将'!B:B,"見つかりません"))</f>
      </c>
      <c r="C1960" s="4" t="s">
        <v>239</v>
      </c>
      <c r="D1960" s="4">
        <v>47</v>
      </c>
      <c r="E1960" s="12" t="str">
        <f t="array" ref="E1960">IF(D1960:D6002="","",IFERROR(_xlfn.XLOOKUP(D1960:D6002,'参照_勢力'!A:A,'参照_勢力'!B:B),IFERROR(_xlfn.XLOOKUP(F1960:F6002,kunishuClan!A:A,kunishuClan!B:B),"浪人")))</f>
      </c>
      <c r="F1960" s="4">
        <v>0</v>
      </c>
      <c r="G1960" s="4">
        <v>132</v>
      </c>
      <c r="H1960" s="12" t="str">
        <f t="array" ref="H1960">IF(G1960:G6002="","",_xlfn.XLOOKUP(G1960:G6002,castles_state!A:A,castles_state!D:D,"見つかりません"))</f>
      </c>
      <c r="I1960" s="4"/>
      <c r="J1960" s="12" t="str">
        <f t="array" ref="J1960">IF(I1960:I6002="","",_xlfn.XLOOKUP(I1960:I6002,'参照_姫'!A:A,'参照_姫'!B:B,"見つかりません"))</f>
      </c>
      <c r="K1960" s="4">
        <v>95</v>
      </c>
      <c r="L1960" s="4">
        <v>0</v>
      </c>
      <c r="M1960" s="4"/>
      <c r="N1960" s="4"/>
      <c r="O1960" s="4"/>
      <c r="P1960" s="12" t="str">
        <f t="array" ref="P1960">IF(O1960:O6002="","",_xlfn.XLOOKUP(O1960:O6002,'参照_官位'!A:A,'参照_官位'!B:B,""))</f>
      </c>
      <c r="Q1960" s="12" t="str">
        <f t="array" ref="Q1960">IF(A1960:A6002="","",IFERROR(_xlfn.XLOOKUP(A1960:A6002,castles_state!K:K,castles_state!D:D)&amp;"主",IFERROR(_xlfn.XLOOKUP(A1960:A6002,kunishuClan!D:D,kunishuClan!B:B)&amp;"当主","")))</f>
      </c>
    </row>
    <row r="1961" ht="15.75" customHeight="1">
      <c r="A1961" s="4">
        <v>1047014</v>
      </c>
      <c r="B1961" s="12" t="str">
        <f t="array" ref="B1961">IF(A1961:A6003="","",_xlfn.XLOOKUP(A1961:A6003,'参照_武将'!A:A,'参照_武将'!B:B,"見つかりません"))</f>
      </c>
      <c r="C1961" s="4" t="s">
        <v>239</v>
      </c>
      <c r="D1961" s="4">
        <v>47</v>
      </c>
      <c r="E1961" s="12" t="str">
        <f t="array" ref="E1961">IF(D1961:D6003="","",IFERROR(_xlfn.XLOOKUP(D1961:D6003,'参照_勢力'!A:A,'参照_勢力'!B:B),IFERROR(_xlfn.XLOOKUP(F1961:F6003,kunishuClan!A:A,kunishuClan!B:B),"浪人")))</f>
      </c>
      <c r="F1961" s="4">
        <v>0</v>
      </c>
      <c r="G1961" s="4">
        <v>132</v>
      </c>
      <c r="H1961" s="12" t="str">
        <f t="array" ref="H1961">IF(G1961:G6003="","",_xlfn.XLOOKUP(G1961:G6003,castles_state!A:A,castles_state!D:D,"見つかりません"))</f>
      </c>
      <c r="I1961" s="4"/>
      <c r="J1961" s="12" t="str">
        <f t="array" ref="J1961">IF(I1961:I6003="","",_xlfn.XLOOKUP(I1961:I6003,'参照_姫'!A:A,'参照_姫'!B:B,"見つかりません"))</f>
      </c>
      <c r="K1961" s="4">
        <v>90</v>
      </c>
      <c r="L1961" s="4">
        <v>0</v>
      </c>
      <c r="M1961" s="4"/>
      <c r="N1961" s="4"/>
      <c r="O1961" s="4"/>
      <c r="P1961" s="12" t="str">
        <f t="array" ref="P1961">IF(O1961:O6003="","",_xlfn.XLOOKUP(O1961:O6003,'参照_官位'!A:A,'参照_官位'!B:B,""))</f>
      </c>
      <c r="Q1961" s="12" t="str">
        <f t="array" ref="Q1961">IF(A1961:A6003="","",IFERROR(_xlfn.XLOOKUP(A1961:A6003,castles_state!K:K,castles_state!D:D)&amp;"主",IFERROR(_xlfn.XLOOKUP(A1961:A6003,kunishuClan!D:D,kunishuClan!B:B)&amp;"当主","")))</f>
      </c>
    </row>
    <row r="1962" ht="15.75" customHeight="1">
      <c r="A1962" s="4">
        <v>1047015</v>
      </c>
      <c r="B1962" s="12" t="str">
        <f t="array" ref="B1962">IF(A1962:A6004="","",_xlfn.XLOOKUP(A1962:A6004,'参照_武将'!A:A,'参照_武将'!B:B,"見つかりません"))</f>
      </c>
      <c r="C1962" s="4" t="s">
        <v>239</v>
      </c>
      <c r="D1962" s="4">
        <v>42</v>
      </c>
      <c r="E1962" s="12" t="str">
        <f t="array" ref="E1962">IF(D1962:D6004="","",IFERROR(_xlfn.XLOOKUP(D1962:D6004,'参照_勢力'!A:A,'参照_勢力'!B:B),IFERROR(_xlfn.XLOOKUP(F1962:F6004,kunishuClan!A:A,kunishuClan!B:B),"浪人")))</f>
      </c>
      <c r="F1962" s="4">
        <v>0</v>
      </c>
      <c r="G1962" s="4">
        <v>132</v>
      </c>
      <c r="H1962" s="12" t="str">
        <f t="array" ref="H1962">IF(G1962:G6004="","",_xlfn.XLOOKUP(G1962:G6004,castles_state!A:A,castles_state!D:D,"見つかりません"))</f>
      </c>
      <c r="I1962" s="4"/>
      <c r="J1962" s="12" t="str">
        <f t="array" ref="J1962">IF(I1962:I6004="","",_xlfn.XLOOKUP(I1962:I6004,'参照_姫'!A:A,'参照_姫'!B:B,"見つかりません"))</f>
      </c>
      <c r="K1962" s="4">
        <v>90</v>
      </c>
      <c r="L1962" s="4">
        <v>0</v>
      </c>
      <c r="M1962" s="4"/>
      <c r="N1962" s="4"/>
      <c r="O1962" s="4"/>
      <c r="P1962" s="12" t="str">
        <f t="array" ref="P1962">IF(O1962:O6004="","",_xlfn.XLOOKUP(O1962:O6004,'参照_官位'!A:A,'参照_官位'!B:B,""))</f>
      </c>
      <c r="Q1962" s="12" t="str">
        <f t="array" ref="Q1962">IF(A1962:A6004="","",IFERROR(_xlfn.XLOOKUP(A1962:A6004,castles_state!K:K,castles_state!D:D)&amp;"主",IFERROR(_xlfn.XLOOKUP(A1962:A6004,kunishuClan!D:D,kunishuClan!B:B)&amp;"当主","")))</f>
      </c>
    </row>
    <row r="1963" ht="15.75" customHeight="1">
      <c r="A1963" s="4">
        <v>1047016</v>
      </c>
      <c r="B1963" s="12" t="str">
        <f t="array" ref="B1963">IF(A1963:A6005="","",_xlfn.XLOOKUP(A1963:A6005,'参照_武将'!A:A,'参照_武将'!B:B,"見つかりません"))</f>
      </c>
      <c r="C1963" s="4" t="s">
        <v>239</v>
      </c>
      <c r="D1963" s="4">
        <v>42</v>
      </c>
      <c r="E1963" s="12" t="str">
        <f t="array" ref="E1963">IF(D1963:D6005="","",IFERROR(_xlfn.XLOOKUP(D1963:D6005,'参照_勢力'!A:A,'参照_勢力'!B:B),IFERROR(_xlfn.XLOOKUP(F1963:F6005,kunishuClan!A:A,kunishuClan!B:B),"浪人")))</f>
      </c>
      <c r="F1963" s="4">
        <v>0</v>
      </c>
      <c r="G1963" s="4">
        <v>132</v>
      </c>
      <c r="H1963" s="12" t="str">
        <f t="array" ref="H1963">IF(G1963:G6005="","",_xlfn.XLOOKUP(G1963:G6005,castles_state!A:A,castles_state!D:D,"見つかりません"))</f>
      </c>
      <c r="I1963" s="4"/>
      <c r="J1963" s="12" t="str">
        <f t="array" ref="J1963">IF(I1963:I6005="","",_xlfn.XLOOKUP(I1963:I6005,'参照_姫'!A:A,'参照_姫'!B:B,"見つかりません"))</f>
      </c>
      <c r="K1963" s="4">
        <v>90</v>
      </c>
      <c r="L1963" s="4">
        <v>0</v>
      </c>
      <c r="M1963" s="4"/>
      <c r="N1963" s="4"/>
      <c r="O1963" s="4"/>
      <c r="P1963" s="12" t="str">
        <f t="array" ref="P1963">IF(O1963:O6005="","",_xlfn.XLOOKUP(O1963:O6005,'参照_官位'!A:A,'参照_官位'!B:B,""))</f>
      </c>
      <c r="Q1963" s="12" t="str">
        <f t="array" ref="Q1963">IF(A1963:A6005="","",IFERROR(_xlfn.XLOOKUP(A1963:A6005,castles_state!K:K,castles_state!D:D)&amp;"主",IFERROR(_xlfn.XLOOKUP(A1963:A6005,kunishuClan!D:D,kunishuClan!B:B)&amp;"当主","")))</f>
      </c>
    </row>
    <row r="1964" ht="15.75" customHeight="1">
      <c r="A1964" s="4">
        <v>1047017</v>
      </c>
      <c r="B1964" s="12" t="str">
        <f t="array" ref="B1964">IF(A1964:A6006="","",_xlfn.XLOOKUP(A1964:A6006,'参照_武将'!A:A,'参照_武将'!B:B,"見つかりません"))</f>
      </c>
      <c r="C1964" s="4" t="s">
        <v>239</v>
      </c>
      <c r="D1964" s="4">
        <v>47</v>
      </c>
      <c r="E1964" s="12" t="str">
        <f t="array" ref="E1964">IF(D1964:D6006="","",IFERROR(_xlfn.XLOOKUP(D1964:D6006,'参照_勢力'!A:A,'参照_勢力'!B:B),IFERROR(_xlfn.XLOOKUP(F1964:F6006,kunishuClan!A:A,kunishuClan!B:B),"浪人")))</f>
      </c>
      <c r="F1964" s="4">
        <v>0</v>
      </c>
      <c r="G1964" s="4">
        <v>132</v>
      </c>
      <c r="H1964" s="12" t="str">
        <f t="array" ref="H1964">IF(G1964:G6006="","",_xlfn.XLOOKUP(G1964:G6006,castles_state!A:A,castles_state!D:D,"見つかりません"))</f>
      </c>
      <c r="I1964" s="4"/>
      <c r="J1964" s="12" t="str">
        <f t="array" ref="J1964">IF(I1964:I6006="","",_xlfn.XLOOKUP(I1964:I6006,'参照_姫'!A:A,'参照_姫'!B:B,"見つかりません"))</f>
      </c>
      <c r="K1964" s="4">
        <v>90</v>
      </c>
      <c r="L1964" s="4">
        <v>0</v>
      </c>
      <c r="M1964" s="4"/>
      <c r="N1964" s="4"/>
      <c r="O1964" s="4"/>
      <c r="P1964" s="12" t="str">
        <f t="array" ref="P1964">IF(O1964:O6006="","",_xlfn.XLOOKUP(O1964:O6006,'参照_官位'!A:A,'参照_官位'!B:B,""))</f>
      </c>
      <c r="Q1964" s="12" t="str">
        <f t="array" ref="Q1964">IF(A1964:A6006="","",IFERROR(_xlfn.XLOOKUP(A1964:A6006,castles_state!K:K,castles_state!D:D)&amp;"主",IFERROR(_xlfn.XLOOKUP(A1964:A6006,kunishuClan!D:D,kunishuClan!B:B)&amp;"当主","")))</f>
      </c>
    </row>
    <row r="1965" ht="15.75" customHeight="1">
      <c r="A1965" s="4">
        <v>1047018</v>
      </c>
      <c r="B1965" s="12" t="str">
        <f t="array" ref="B1965">IF(A1965:A6007="","",_xlfn.XLOOKUP(A1965:A6007,'参照_武将'!A:A,'参照_武将'!B:B,"見つかりません"))</f>
      </c>
      <c r="C1965" s="4" t="s">
        <v>239</v>
      </c>
      <c r="D1965" s="4">
        <v>42</v>
      </c>
      <c r="E1965" s="12" t="str">
        <f t="array" ref="E1965">IF(D1965:D6007="","",IFERROR(_xlfn.XLOOKUP(D1965:D6007,'参照_勢力'!A:A,'参照_勢力'!B:B),IFERROR(_xlfn.XLOOKUP(F1965:F6007,kunishuClan!A:A,kunishuClan!B:B),"浪人")))</f>
      </c>
      <c r="F1965" s="4">
        <v>0</v>
      </c>
      <c r="G1965" s="4">
        <v>132</v>
      </c>
      <c r="H1965" s="12" t="str">
        <f t="array" ref="H1965">IF(G1965:G6007="","",_xlfn.XLOOKUP(G1965:G6007,castles_state!A:A,castles_state!D:D,"見つかりません"))</f>
      </c>
      <c r="I1965" s="4"/>
      <c r="J1965" s="12" t="str">
        <f t="array" ref="J1965">IF(I1965:I6007="","",_xlfn.XLOOKUP(I1965:I6007,'参照_姫'!A:A,'参照_姫'!B:B,"見つかりません"))</f>
      </c>
      <c r="K1965" s="4">
        <v>90</v>
      </c>
      <c r="L1965" s="4">
        <v>0</v>
      </c>
      <c r="M1965" s="4"/>
      <c r="N1965" s="4"/>
      <c r="O1965" s="4"/>
      <c r="P1965" s="12" t="str">
        <f t="array" ref="P1965">IF(O1965:O6007="","",_xlfn.XLOOKUP(O1965:O6007,'参照_官位'!A:A,'参照_官位'!B:B,""))</f>
      </c>
      <c r="Q1965" s="12" t="str">
        <f t="array" ref="Q1965">IF(A1965:A6007="","",IFERROR(_xlfn.XLOOKUP(A1965:A6007,castles_state!K:K,castles_state!D:D)&amp;"主",IFERROR(_xlfn.XLOOKUP(A1965:A6007,kunishuClan!D:D,kunishuClan!B:B)&amp;"当主","")))</f>
      </c>
    </row>
    <row r="1966" ht="15.75" customHeight="1">
      <c r="A1966" s="4">
        <v>1047019</v>
      </c>
      <c r="B1966" s="12" t="str">
        <f t="array" ref="B1966">IF(A1966:A6008="","",_xlfn.XLOOKUP(A1966:A6008,'参照_武将'!A:A,'参照_武将'!B:B,"見つかりません"))</f>
      </c>
      <c r="C1966" s="4" t="s">
        <v>239</v>
      </c>
      <c r="D1966" s="4">
        <v>42</v>
      </c>
      <c r="E1966" s="12" t="str">
        <f t="array" ref="E1966">IF(D1966:D6008="","",IFERROR(_xlfn.XLOOKUP(D1966:D6008,'参照_勢力'!A:A,'参照_勢力'!B:B),IFERROR(_xlfn.XLOOKUP(F1966:F6008,kunishuClan!A:A,kunishuClan!B:B),"浪人")))</f>
      </c>
      <c r="F1966" s="4">
        <v>0</v>
      </c>
      <c r="G1966" s="4">
        <v>132</v>
      </c>
      <c r="H1966" s="12" t="str">
        <f t="array" ref="H1966">IF(G1966:G6008="","",_xlfn.XLOOKUP(G1966:G6008,castles_state!A:A,castles_state!D:D,"見つかりません"))</f>
      </c>
      <c r="I1966" s="4"/>
      <c r="J1966" s="12" t="str">
        <f t="array" ref="J1966">IF(I1966:I6008="","",_xlfn.XLOOKUP(I1966:I6008,'参照_姫'!A:A,'参照_姫'!B:B,"見つかりません"))</f>
      </c>
      <c r="K1966" s="4">
        <v>90</v>
      </c>
      <c r="L1966" s="4">
        <v>0</v>
      </c>
      <c r="M1966" s="4"/>
      <c r="N1966" s="4"/>
      <c r="O1966" s="4"/>
      <c r="P1966" s="12" t="str">
        <f t="array" ref="P1966">IF(O1966:O6008="","",_xlfn.XLOOKUP(O1966:O6008,'参照_官位'!A:A,'参照_官位'!B:B,""))</f>
      </c>
      <c r="Q1966" s="12" t="str">
        <f t="array" ref="Q1966">IF(A1966:A6008="","",IFERROR(_xlfn.XLOOKUP(A1966:A6008,castles_state!K:K,castles_state!D:D)&amp;"主",IFERROR(_xlfn.XLOOKUP(A1966:A6008,kunishuClan!D:D,kunishuClan!B:B)&amp;"当主","")))</f>
      </c>
    </row>
    <row r="1967" ht="15.75" customHeight="1">
      <c r="A1967" s="4">
        <v>1047020</v>
      </c>
      <c r="B1967" s="12" t="str">
        <f t="array" ref="B1967">IF(A1967:A6009="","",_xlfn.XLOOKUP(A1967:A6009,'参照_武将'!A:A,'参照_武将'!B:B,"見つかりません"))</f>
      </c>
      <c r="C1967" s="4" t="s">
        <v>239</v>
      </c>
      <c r="D1967" s="4">
        <v>42</v>
      </c>
      <c r="E1967" s="12" t="str">
        <f t="array" ref="E1967">IF(D1967:D6009="","",IFERROR(_xlfn.XLOOKUP(D1967:D6009,'参照_勢力'!A:A,'参照_勢力'!B:B),IFERROR(_xlfn.XLOOKUP(F1967:F6009,kunishuClan!A:A,kunishuClan!B:B),"浪人")))</f>
      </c>
      <c r="F1967" s="4">
        <v>0</v>
      </c>
      <c r="G1967" s="4">
        <v>132</v>
      </c>
      <c r="H1967" s="12" t="str">
        <f t="array" ref="H1967">IF(G1967:G6009="","",_xlfn.XLOOKUP(G1967:G6009,castles_state!A:A,castles_state!D:D,"見つかりません"))</f>
      </c>
      <c r="I1967" s="4"/>
      <c r="J1967" s="12" t="str">
        <f t="array" ref="J1967">IF(I1967:I6009="","",_xlfn.XLOOKUP(I1967:I6009,'参照_姫'!A:A,'参照_姫'!B:B,"見つかりません"))</f>
      </c>
      <c r="K1967" s="4">
        <v>90</v>
      </c>
      <c r="L1967" s="4">
        <v>0</v>
      </c>
      <c r="M1967" s="4"/>
      <c r="N1967" s="4"/>
      <c r="O1967" s="4"/>
      <c r="P1967" s="12" t="str">
        <f t="array" ref="P1967">IF(O1967:O6009="","",_xlfn.XLOOKUP(O1967:O6009,'参照_官位'!A:A,'参照_官位'!B:B,""))</f>
      </c>
      <c r="Q1967" s="12" t="str">
        <f t="array" ref="Q1967">IF(A1967:A6009="","",IFERROR(_xlfn.XLOOKUP(A1967:A6009,castles_state!K:K,castles_state!D:D)&amp;"主",IFERROR(_xlfn.XLOOKUP(A1967:A6009,kunishuClan!D:D,kunishuClan!B:B)&amp;"当主","")))</f>
      </c>
    </row>
    <row r="1968" ht="15.75" customHeight="1">
      <c r="A1968" s="4">
        <v>1048001</v>
      </c>
      <c r="B1968" s="12" t="str">
        <f t="array" ref="B1968">IF(A1968:A6008="","",_xlfn.XLOOKUP(A1968:A6008,'参照_武将'!A:A,'参照_武将'!B:B,"見つかりません"))</f>
      </c>
      <c r="C1968" s="4" t="s">
        <v>242</v>
      </c>
      <c r="D1968" s="4">
        <v>48</v>
      </c>
      <c r="E1968" s="12" t="str">
        <f t="array" ref="E1968">IF(D1968:D6008="","",IFERROR(_xlfn.XLOOKUP(D1968:D6008,'参照_勢力'!A:A,'参照_勢力'!B:B),IFERROR(_xlfn.XLOOKUP(F1968:F6008,kunishuClan!A:A,kunishuClan!B:B),"浪人")))</f>
      </c>
      <c r="F1968" s="4">
        <v>0</v>
      </c>
      <c r="G1968" s="4">
        <v>135</v>
      </c>
      <c r="H1968" s="12" t="str">
        <f t="array" ref="H1968">IF(G1968:G6008="","",_xlfn.XLOOKUP(G1968:G6008,castles_state!A:A,castles_state!D:D,"見つかりません"))</f>
      </c>
      <c r="I1968" s="4"/>
      <c r="J1968" s="12" t="str">
        <f t="array" ref="J1968">IF(I1968:I6008="","",_xlfn.XLOOKUP(I1968:I6008,'参照_姫'!A:A,'参照_姫'!B:B,"見つかりません"))</f>
      </c>
      <c r="K1968" s="4">
        <v>95</v>
      </c>
      <c r="L1968" s="4">
        <v>0</v>
      </c>
      <c r="M1968" s="4"/>
      <c r="N1968" s="4"/>
      <c r="O1968" s="4"/>
      <c r="P1968" s="12" t="str">
        <f t="array" ref="P1968">IF(O1968:O6008="","",_xlfn.XLOOKUP(O1968:O6008,'参照_官位'!A:A,'参照_官位'!B:B,""))</f>
      </c>
      <c r="Q1968" s="12" t="str">
        <f t="array" ref="Q1968">IF(A1968:A6008="","",IFERROR(_xlfn.XLOOKUP(A1968:A6008,castles_state!K:K,castles_state!D:D)&amp;"主",IFERROR(_xlfn.XLOOKUP(A1968:A6008,kunishuClan!D:D,kunishuClan!B:B)&amp;"当主","")))</f>
      </c>
    </row>
    <row r="1969" ht="15.75" customHeight="1">
      <c r="A1969" s="4">
        <v>1048002</v>
      </c>
      <c r="B1969" s="12" t="str">
        <f t="array" ref="B1969">IF(A1969:A6009="","",_xlfn.XLOOKUP(A1969:A6009,'参照_武将'!A:A,'参照_武将'!B:B,"見つかりません"))</f>
      </c>
      <c r="C1969" s="4" t="s">
        <v>242</v>
      </c>
      <c r="D1969" s="4">
        <v>48</v>
      </c>
      <c r="E1969" s="12" t="str">
        <f t="array" ref="E1969">IF(D1969:D6009="","",IFERROR(_xlfn.XLOOKUP(D1969:D6009,'参照_勢力'!A:A,'参照_勢力'!B:B),IFERROR(_xlfn.XLOOKUP(F1969:F6009,kunishuClan!A:A,kunishuClan!B:B),"浪人")))</f>
      </c>
      <c r="F1969" s="4">
        <v>0</v>
      </c>
      <c r="G1969" s="4">
        <v>135</v>
      </c>
      <c r="H1969" s="12" t="str">
        <f t="array" ref="H1969">IF(G1969:G6009="","",_xlfn.XLOOKUP(G1969:G6009,castles_state!A:A,castles_state!D:D,"見つかりません"))</f>
      </c>
      <c r="I1969" s="4"/>
      <c r="J1969" s="12" t="str">
        <f t="array" ref="J1969">IF(I1969:I6009="","",_xlfn.XLOOKUP(I1969:I6009,'参照_姫'!A:A,'参照_姫'!B:B,"見つかりません"))</f>
      </c>
      <c r="K1969" s="4">
        <v>95</v>
      </c>
      <c r="L1969" s="4">
        <v>0</v>
      </c>
      <c r="M1969" s="4"/>
      <c r="N1969" s="4"/>
      <c r="O1969" s="4"/>
      <c r="P1969" s="12" t="str">
        <f t="array" ref="P1969">IF(O1969:O6009="","",_xlfn.XLOOKUP(O1969:O6009,'参照_官位'!A:A,'参照_官位'!B:B,""))</f>
      </c>
      <c r="Q1969" s="12" t="str">
        <f t="array" ref="Q1969">IF(A1969:A6009="","",IFERROR(_xlfn.XLOOKUP(A1969:A6009,castles_state!K:K,castles_state!D:D)&amp;"主",IFERROR(_xlfn.XLOOKUP(A1969:A6009,kunishuClan!D:D,kunishuClan!B:B)&amp;"当主","")))</f>
      </c>
    </row>
    <row r="1970" ht="15.75" customHeight="1">
      <c r="A1970" s="4">
        <v>1048003</v>
      </c>
      <c r="B1970" s="12" t="str">
        <f t="array" ref="B1970">IF(A1970:A6010="","",_xlfn.XLOOKUP(A1970:A6010,'参照_武将'!A:A,'参照_武将'!B:B,"見つかりません"))</f>
      </c>
      <c r="C1970" s="4" t="s">
        <v>242</v>
      </c>
      <c r="D1970" s="4">
        <v>48</v>
      </c>
      <c r="E1970" s="12" t="str">
        <f t="array" ref="E1970">IF(D1970:D6010="","",IFERROR(_xlfn.XLOOKUP(D1970:D6010,'参照_勢力'!A:A,'参照_勢力'!B:B),IFERROR(_xlfn.XLOOKUP(F1970:F6010,kunishuClan!A:A,kunishuClan!B:B),"浪人")))</f>
      </c>
      <c r="F1970" s="4">
        <v>0</v>
      </c>
      <c r="G1970" s="4">
        <v>135</v>
      </c>
      <c r="H1970" s="12" t="str">
        <f t="array" ref="H1970">IF(G1970:G6010="","",_xlfn.XLOOKUP(G1970:G6010,castles_state!A:A,castles_state!D:D,"見つかりません"))</f>
      </c>
      <c r="I1970" s="4"/>
      <c r="J1970" s="12" t="str">
        <f t="array" ref="J1970">IF(I1970:I6010="","",_xlfn.XLOOKUP(I1970:I6010,'参照_姫'!A:A,'参照_姫'!B:B,"見つかりません"))</f>
      </c>
      <c r="K1970" s="4">
        <v>100</v>
      </c>
      <c r="L1970" s="4">
        <v>200</v>
      </c>
      <c r="M1970" s="4"/>
      <c r="N1970" s="4" t="b">
        <v>1</v>
      </c>
      <c r="O1970" s="4"/>
      <c r="P1970" s="12" t="str">
        <f t="array" ref="P1970">IF(O1970:O6010="","",_xlfn.XLOOKUP(O1970:O6010,'参照_官位'!A:A,'参照_官位'!B:B,""))</f>
      </c>
      <c r="Q1970" s="12" t="str">
        <f t="array" ref="Q1970">IF(A1970:A6010="","",IFERROR(_xlfn.XLOOKUP(A1970:A6010,castles_state!K:K,castles_state!D:D)&amp;"主",IFERROR(_xlfn.XLOOKUP(A1970:A6010,kunishuClan!D:D,kunishuClan!B:B)&amp;"当主","")))</f>
      </c>
    </row>
    <row r="1971" ht="15.75" customHeight="1">
      <c r="A1971" s="4">
        <v>1048004</v>
      </c>
      <c r="B1971" s="12" t="str">
        <f t="array" ref="B1971">IF(A1971:A6011="","",_xlfn.XLOOKUP(A1971:A6011,'参照_武将'!A:A,'参照_武将'!B:B,"見つかりません"))</f>
      </c>
      <c r="C1971" s="4" t="s">
        <v>242</v>
      </c>
      <c r="D1971" s="4">
        <v>48</v>
      </c>
      <c r="E1971" s="12" t="str">
        <f t="array" ref="E1971">IF(D1971:D6011="","",IFERROR(_xlfn.XLOOKUP(D1971:D6011,'参照_勢力'!A:A,'参照_勢力'!B:B),IFERROR(_xlfn.XLOOKUP(F1971:F6011,kunishuClan!A:A,kunishuClan!B:B),"浪人")))</f>
      </c>
      <c r="F1971" s="4">
        <v>0</v>
      </c>
      <c r="G1971" s="4">
        <v>135</v>
      </c>
      <c r="H1971" s="12" t="str">
        <f t="array" ref="H1971">IF(G1971:G6011="","",_xlfn.XLOOKUP(G1971:G6011,castles_state!A:A,castles_state!D:D,"見つかりません"))</f>
      </c>
      <c r="I1971" s="4"/>
      <c r="J1971" s="12" t="str">
        <f t="array" ref="J1971">IF(I1971:I6011="","",_xlfn.XLOOKUP(I1971:I6011,'参照_姫'!A:A,'参照_姫'!B:B,"見つかりません"))</f>
      </c>
      <c r="K1971" s="4">
        <v>100</v>
      </c>
      <c r="L1971" s="4">
        <v>1000</v>
      </c>
      <c r="M1971" s="4"/>
      <c r="N1971" s="4"/>
      <c r="O1971" s="4"/>
      <c r="P1971" s="12" t="str">
        <f t="array" ref="P1971">IF(O1971:O6011="","",_xlfn.XLOOKUP(O1971:O6011,'参照_官位'!A:A,'参照_官位'!B:B,""))</f>
      </c>
      <c r="Q1971" s="12" t="str">
        <f t="array" ref="Q1971">IF(A1971:A6011="","",IFERROR(_xlfn.XLOOKUP(A1971:A6011,castles_state!K:K,castles_state!D:D)&amp;"主",IFERROR(_xlfn.XLOOKUP(A1971:A6011,kunishuClan!D:D,kunishuClan!B:B)&amp;"当主","")))</f>
      </c>
    </row>
    <row r="1972" ht="15.75" customHeight="1">
      <c r="A1972" s="4">
        <v>1048005</v>
      </c>
      <c r="B1972" s="12" t="str">
        <f t="array" ref="B1972">IF(A1972:A6012="","",_xlfn.XLOOKUP(A1972:A6012,'参照_武将'!A:A,'参照_武将'!B:B,"見つかりません"))</f>
      </c>
      <c r="C1972" s="4" t="s">
        <v>242</v>
      </c>
      <c r="D1972" s="4">
        <v>48</v>
      </c>
      <c r="E1972" s="12" t="str">
        <f t="array" ref="E1972">IF(D1972:D6012="","",IFERROR(_xlfn.XLOOKUP(D1972:D6012,'参照_勢力'!A:A,'参照_勢力'!B:B),IFERROR(_xlfn.XLOOKUP(F1972:F6012,kunishuClan!A:A,kunishuClan!B:B),"浪人")))</f>
      </c>
      <c r="F1972" s="4">
        <v>0</v>
      </c>
      <c r="G1972" s="4">
        <v>135</v>
      </c>
      <c r="H1972" s="12" t="str">
        <f t="array" ref="H1972">IF(G1972:G6012="","",_xlfn.XLOOKUP(G1972:G6012,castles_state!A:A,castles_state!D:D,"見つかりません"))</f>
      </c>
      <c r="I1972" s="4"/>
      <c r="J1972" s="12" t="str">
        <f t="array" ref="J1972">IF(I1972:I6012="","",_xlfn.XLOOKUP(I1972:I6012,'参照_姫'!A:A,'参照_姫'!B:B,"見つかりません"))</f>
      </c>
      <c r="K1972" s="4">
        <v>95</v>
      </c>
      <c r="L1972" s="4">
        <v>0</v>
      </c>
      <c r="M1972" s="4"/>
      <c r="N1972" s="4"/>
      <c r="O1972" s="4"/>
      <c r="P1972" s="12" t="str">
        <f t="array" ref="P1972">IF(O1972:O6012="","",_xlfn.XLOOKUP(O1972:O6012,'参照_官位'!A:A,'参照_官位'!B:B,""))</f>
      </c>
      <c r="Q1972" s="12" t="str">
        <f t="array" ref="Q1972">IF(A1972:A6012="","",IFERROR(_xlfn.XLOOKUP(A1972:A6012,castles_state!K:K,castles_state!D:D)&amp;"主",IFERROR(_xlfn.XLOOKUP(A1972:A6012,kunishuClan!D:D,kunishuClan!B:B)&amp;"当主","")))</f>
      </c>
    </row>
    <row r="1973" ht="15.75" customHeight="1">
      <c r="A1973" s="4">
        <v>1048006</v>
      </c>
      <c r="B1973" s="12" t="str">
        <f t="array" ref="B1973">IF(A1973:A6013="","",_xlfn.XLOOKUP(A1973:A6013,'参照_武将'!A:A,'参照_武将'!B:B,"見つかりません"))</f>
      </c>
      <c r="C1973" s="4" t="s">
        <v>242</v>
      </c>
      <c r="D1973" s="4">
        <v>48</v>
      </c>
      <c r="E1973" s="12" t="str">
        <f t="array" ref="E1973">IF(D1973:D6013="","",IFERROR(_xlfn.XLOOKUP(D1973:D6013,'参照_勢力'!A:A,'参照_勢力'!B:B),IFERROR(_xlfn.XLOOKUP(F1973:F6013,kunishuClan!A:A,kunishuClan!B:B),"浪人")))</f>
      </c>
      <c r="F1973" s="4">
        <v>0</v>
      </c>
      <c r="G1973" s="4">
        <v>135</v>
      </c>
      <c r="H1973" s="12" t="str">
        <f t="array" ref="H1973">IF(G1973:G6013="","",_xlfn.XLOOKUP(G1973:G6013,castles_state!A:A,castles_state!D:D,"見つかりません"))</f>
      </c>
      <c r="I1973" s="4"/>
      <c r="J1973" s="12" t="str">
        <f t="array" ref="J1973">IF(I1973:I6013="","",_xlfn.XLOOKUP(I1973:I6013,'参照_姫'!A:A,'参照_姫'!B:B,"見つかりません"))</f>
      </c>
      <c r="K1973" s="4">
        <v>95</v>
      </c>
      <c r="L1973" s="4">
        <v>0</v>
      </c>
      <c r="M1973" s="4"/>
      <c r="N1973" s="4"/>
      <c r="O1973" s="4"/>
      <c r="P1973" s="12" t="str">
        <f t="array" ref="P1973">IF(O1973:O6013="","",_xlfn.XLOOKUP(O1973:O6013,'参照_官位'!A:A,'参照_官位'!B:B,""))</f>
      </c>
      <c r="Q1973" s="12" t="str">
        <f t="array" ref="Q1973">IF(A1973:A6013="","",IFERROR(_xlfn.XLOOKUP(A1973:A6013,castles_state!K:K,castles_state!D:D)&amp;"主",IFERROR(_xlfn.XLOOKUP(A1973:A6013,kunishuClan!D:D,kunishuClan!B:B)&amp;"当主","")))</f>
      </c>
    </row>
    <row r="1974" ht="15.75" customHeight="1">
      <c r="A1974" s="4">
        <v>1048007</v>
      </c>
      <c r="B1974" s="12" t="str">
        <f t="array" ref="B1974">IF(A1974:A6014="","",_xlfn.XLOOKUP(A1974:A6014,'参照_武将'!A:A,'参照_武将'!B:B,"見つかりません"))</f>
      </c>
      <c r="C1974" s="4" t="s">
        <v>242</v>
      </c>
      <c r="D1974" s="4">
        <v>48</v>
      </c>
      <c r="E1974" s="12" t="str">
        <f t="array" ref="E1974">IF(D1974:D6014="","",IFERROR(_xlfn.XLOOKUP(D1974:D6014,'参照_勢力'!A:A,'参照_勢力'!B:B),IFERROR(_xlfn.XLOOKUP(F1974:F6014,kunishuClan!A:A,kunishuClan!B:B),"浪人")))</f>
      </c>
      <c r="F1974" s="4">
        <v>0</v>
      </c>
      <c r="G1974" s="4">
        <v>135</v>
      </c>
      <c r="H1974" s="12" t="str">
        <f t="array" ref="H1974">IF(G1974:G6014="","",_xlfn.XLOOKUP(G1974:G6014,castles_state!A:A,castles_state!D:D,"見つかりません"))</f>
      </c>
      <c r="I1974" s="4"/>
      <c r="J1974" s="12" t="str">
        <f t="array" ref="J1974">IF(I1974:I6014="","",_xlfn.XLOOKUP(I1974:I6014,'参照_姫'!A:A,'参照_姫'!B:B,"見つかりません"))</f>
      </c>
      <c r="K1974" s="4">
        <v>95</v>
      </c>
      <c r="L1974" s="4">
        <v>500</v>
      </c>
      <c r="M1974" s="4"/>
      <c r="N1974" s="4"/>
      <c r="O1974" s="4"/>
      <c r="P1974" s="12" t="str">
        <f t="array" ref="P1974">IF(O1974:O6014="","",_xlfn.XLOOKUP(O1974:O6014,'参照_官位'!A:A,'参照_官位'!B:B,""))</f>
      </c>
      <c r="Q1974" s="12" t="str">
        <f t="array" ref="Q1974">IF(A1974:A6014="","",IFERROR(_xlfn.XLOOKUP(A1974:A6014,castles_state!K:K,castles_state!D:D)&amp;"主",IFERROR(_xlfn.XLOOKUP(A1974:A6014,kunishuClan!D:D,kunishuClan!B:B)&amp;"当主","")))</f>
      </c>
    </row>
    <row r="1975" ht="15.75" customHeight="1">
      <c r="A1975" s="4">
        <v>1048008</v>
      </c>
      <c r="B1975" s="12" t="str">
        <f t="array" ref="B1975">IF(A1975:A6015="","",_xlfn.XLOOKUP(A1975:A6015,'参照_武将'!A:A,'参照_武将'!B:B,"見つかりません"))</f>
      </c>
      <c r="C1975" s="4" t="s">
        <v>242</v>
      </c>
      <c r="D1975" s="4">
        <v>48</v>
      </c>
      <c r="E1975" s="12" t="str">
        <f t="array" ref="E1975">IF(D1975:D6015="","",IFERROR(_xlfn.XLOOKUP(D1975:D6015,'参照_勢力'!A:A,'参照_勢力'!B:B),IFERROR(_xlfn.XLOOKUP(F1975:F6015,kunishuClan!A:A,kunishuClan!B:B),"浪人")))</f>
      </c>
      <c r="F1975" s="4">
        <v>0</v>
      </c>
      <c r="G1975" s="4">
        <v>135</v>
      </c>
      <c r="H1975" s="12" t="str">
        <f t="array" ref="H1975">IF(G1975:G6015="","",_xlfn.XLOOKUP(G1975:G6015,castles_state!A:A,castles_state!D:D,"見つかりません"))</f>
      </c>
      <c r="I1975" s="4"/>
      <c r="J1975" s="12" t="str">
        <f t="array" ref="J1975">IF(I1975:I6015="","",_xlfn.XLOOKUP(I1975:I6015,'参照_姫'!A:A,'参照_姫'!B:B,"見つかりません"))</f>
      </c>
      <c r="K1975" s="4">
        <v>95</v>
      </c>
      <c r="L1975" s="4">
        <v>0</v>
      </c>
      <c r="M1975" s="4"/>
      <c r="N1975" s="4"/>
      <c r="O1975" s="4"/>
      <c r="P1975" s="12" t="str">
        <f t="array" ref="P1975">IF(O1975:O6015="","",_xlfn.XLOOKUP(O1975:O6015,'参照_官位'!A:A,'参照_官位'!B:B,""))</f>
      </c>
      <c r="Q1975" s="12" t="str">
        <f t="array" ref="Q1975">IF(A1975:A6015="","",IFERROR(_xlfn.XLOOKUP(A1975:A6015,castles_state!K:K,castles_state!D:D)&amp;"主",IFERROR(_xlfn.XLOOKUP(A1975:A6015,kunishuClan!D:D,kunishuClan!B:B)&amp;"当主","")))</f>
      </c>
    </row>
    <row r="1976" ht="15.75" customHeight="1">
      <c r="A1976" s="4">
        <v>1048009</v>
      </c>
      <c r="B1976" s="12" t="str">
        <f t="array" ref="B1976">IF(A1976:A6016="","",_xlfn.XLOOKUP(A1976:A6016,'参照_武将'!A:A,'参照_武将'!B:B,"見つかりません"))</f>
      </c>
      <c r="C1976" s="4" t="s">
        <v>242</v>
      </c>
      <c r="D1976" s="4">
        <v>48</v>
      </c>
      <c r="E1976" s="12" t="str">
        <f t="array" ref="E1976">IF(D1976:D6016="","",IFERROR(_xlfn.XLOOKUP(D1976:D6016,'参照_勢力'!A:A,'参照_勢力'!B:B),IFERROR(_xlfn.XLOOKUP(F1976:F6016,kunishuClan!A:A,kunishuClan!B:B),"浪人")))</f>
      </c>
      <c r="F1976" s="4">
        <v>0</v>
      </c>
      <c r="G1976" s="4">
        <v>135</v>
      </c>
      <c r="H1976" s="12" t="str">
        <f t="array" ref="H1976">IF(G1976:G6016="","",_xlfn.XLOOKUP(G1976:G6016,castles_state!A:A,castles_state!D:D,"見つかりません"))</f>
      </c>
      <c r="I1976" s="4"/>
      <c r="J1976" s="12" t="str">
        <f t="array" ref="J1976">IF(I1976:I6016="","",_xlfn.XLOOKUP(I1976:I6016,'参照_姫'!A:A,'参照_姫'!B:B,"見つかりません"))</f>
      </c>
      <c r="K1976" s="4">
        <v>95</v>
      </c>
      <c r="L1976" s="4">
        <v>0</v>
      </c>
      <c r="M1976" s="4"/>
      <c r="N1976" s="4"/>
      <c r="O1976" s="4"/>
      <c r="P1976" s="12" t="str">
        <f t="array" ref="P1976">IF(O1976:O6016="","",_xlfn.XLOOKUP(O1976:O6016,'参照_官位'!A:A,'参照_官位'!B:B,""))</f>
      </c>
      <c r="Q1976" s="12" t="str">
        <f t="array" ref="Q1976">IF(A1976:A6016="","",IFERROR(_xlfn.XLOOKUP(A1976:A6016,castles_state!K:K,castles_state!D:D)&amp;"主",IFERROR(_xlfn.XLOOKUP(A1976:A6016,kunishuClan!D:D,kunishuClan!B:B)&amp;"当主","")))</f>
      </c>
    </row>
    <row r="1977" ht="15.75" customHeight="1">
      <c r="A1977" s="4">
        <v>1048010</v>
      </c>
      <c r="B1977" s="12" t="str">
        <f t="array" ref="B1977">IF(A1977:A6017="","",_xlfn.XLOOKUP(A1977:A6017,'参照_武将'!A:A,'参照_武将'!B:B,"見つかりません"))</f>
      </c>
      <c r="C1977" s="4" t="s">
        <v>242</v>
      </c>
      <c r="D1977" s="4">
        <v>48</v>
      </c>
      <c r="E1977" s="12" t="str">
        <f t="array" ref="E1977">IF(D1977:D6017="","",IFERROR(_xlfn.XLOOKUP(D1977:D6017,'参照_勢力'!A:A,'参照_勢力'!B:B),IFERROR(_xlfn.XLOOKUP(F1977:F6017,kunishuClan!A:A,kunishuClan!B:B),"浪人")))</f>
      </c>
      <c r="F1977" s="4">
        <v>0</v>
      </c>
      <c r="G1977" s="4">
        <v>135</v>
      </c>
      <c r="H1977" s="12" t="str">
        <f t="array" ref="H1977">IF(G1977:G6017="","",_xlfn.XLOOKUP(G1977:G6017,castles_state!A:A,castles_state!D:D,"見つかりません"))</f>
      </c>
      <c r="I1977" s="4"/>
      <c r="J1977" s="12" t="str">
        <f t="array" ref="J1977">IF(I1977:I6017="","",_xlfn.XLOOKUP(I1977:I6017,'参照_姫'!A:A,'参照_姫'!B:B,"見つかりません"))</f>
      </c>
      <c r="K1977" s="4">
        <v>95</v>
      </c>
      <c r="L1977" s="4">
        <v>500</v>
      </c>
      <c r="M1977" s="4" t="b">
        <v>1</v>
      </c>
      <c r="N1977" s="4"/>
      <c r="O1977" s="4"/>
      <c r="P1977" s="12" t="str">
        <f t="array" ref="P1977">IF(O1977:O6017="","",_xlfn.XLOOKUP(O1977:O6017,'参照_官位'!A:A,'参照_官位'!B:B,""))</f>
      </c>
      <c r="Q1977" s="12" t="str">
        <f t="array" ref="Q1977">IF(A1977:A6017="","",IFERROR(_xlfn.XLOOKUP(A1977:A6017,castles_state!K:K,castles_state!D:D)&amp;"主",IFERROR(_xlfn.XLOOKUP(A1977:A6017,kunishuClan!D:D,kunishuClan!B:B)&amp;"当主","")))</f>
      </c>
    </row>
    <row r="1978" ht="15.75" customHeight="1">
      <c r="A1978" s="4">
        <v>1048011</v>
      </c>
      <c r="B1978" s="12" t="str">
        <f t="array" ref="B1978">IF(A1978:A6018="","",_xlfn.XLOOKUP(A1978:A6018,'参照_武将'!A:A,'参照_武将'!B:B,"見つかりません"))</f>
      </c>
      <c r="C1978" s="4" t="s">
        <v>242</v>
      </c>
      <c r="D1978" s="4">
        <v>48</v>
      </c>
      <c r="E1978" s="12" t="str">
        <f t="array" ref="E1978">IF(D1978:D6018="","",IFERROR(_xlfn.XLOOKUP(D1978:D6018,'参照_勢力'!A:A,'参照_勢力'!B:B),IFERROR(_xlfn.XLOOKUP(F1978:F6018,kunishuClan!A:A,kunishuClan!B:B),"浪人")))</f>
      </c>
      <c r="F1978" s="4">
        <v>0</v>
      </c>
      <c r="G1978" s="4">
        <v>135</v>
      </c>
      <c r="H1978" s="12" t="str">
        <f t="array" ref="H1978">IF(G1978:G6018="","",_xlfn.XLOOKUP(G1978:G6018,castles_state!A:A,castles_state!D:D,"見つかりません"))</f>
      </c>
      <c r="I1978" s="4"/>
      <c r="J1978" s="12" t="str">
        <f t="array" ref="J1978">IF(I1978:I6018="","",_xlfn.XLOOKUP(I1978:I6018,'参照_姫'!A:A,'参照_姫'!B:B,"見つかりません"))</f>
      </c>
      <c r="K1978" s="4">
        <v>90</v>
      </c>
      <c r="L1978" s="4">
        <v>0</v>
      </c>
      <c r="M1978" s="4"/>
      <c r="N1978" s="4"/>
      <c r="O1978" s="4"/>
      <c r="P1978" s="12" t="str">
        <f t="array" ref="P1978">IF(O1978:O6018="","",_xlfn.XLOOKUP(O1978:O6018,'参照_官位'!A:A,'参照_官位'!B:B,""))</f>
      </c>
      <c r="Q1978" s="12" t="str">
        <f t="array" ref="Q1978">IF(A1978:A6018="","",IFERROR(_xlfn.XLOOKUP(A1978:A6018,castles_state!K:K,castles_state!D:D)&amp;"主",IFERROR(_xlfn.XLOOKUP(A1978:A6018,kunishuClan!D:D,kunishuClan!B:B)&amp;"当主","")))</f>
      </c>
    </row>
    <row r="1979" ht="15.75" customHeight="1">
      <c r="A1979" s="4">
        <v>1048012</v>
      </c>
      <c r="B1979" s="12" t="str">
        <f t="array" ref="B1979">IF(A1979:A6019="","",_xlfn.XLOOKUP(A1979:A6019,'参照_武将'!A:A,'参照_武将'!B:B,"見つかりません"))</f>
      </c>
      <c r="C1979" s="4" t="s">
        <v>242</v>
      </c>
      <c r="D1979" s="4">
        <v>48</v>
      </c>
      <c r="E1979" s="12" t="str">
        <f t="array" ref="E1979">IF(D1979:D6019="","",IFERROR(_xlfn.XLOOKUP(D1979:D6019,'参照_勢力'!A:A,'参照_勢力'!B:B),IFERROR(_xlfn.XLOOKUP(F1979:F6019,kunishuClan!A:A,kunishuClan!B:B),"浪人")))</f>
      </c>
      <c r="F1979" s="4">
        <v>0</v>
      </c>
      <c r="G1979" s="4">
        <v>135</v>
      </c>
      <c r="H1979" s="12" t="str">
        <f t="array" ref="H1979">IF(G1979:G6019="","",_xlfn.XLOOKUP(G1979:G6019,castles_state!A:A,castles_state!D:D,"見つかりません"))</f>
      </c>
      <c r="I1979" s="4"/>
      <c r="J1979" s="12" t="str">
        <f t="array" ref="J1979">IF(I1979:I6019="","",_xlfn.XLOOKUP(I1979:I6019,'参照_姫'!A:A,'参照_姫'!B:B,"見つかりません"))</f>
      </c>
      <c r="K1979" s="4">
        <v>90</v>
      </c>
      <c r="L1979" s="4">
        <v>0</v>
      </c>
      <c r="M1979" s="4"/>
      <c r="N1979" s="4"/>
      <c r="O1979" s="4"/>
      <c r="P1979" s="12" t="str">
        <f t="array" ref="P1979">IF(O1979:O6019="","",_xlfn.XLOOKUP(O1979:O6019,'参照_官位'!A:A,'参照_官位'!B:B,""))</f>
      </c>
      <c r="Q1979" s="12" t="str">
        <f t="array" ref="Q1979">IF(A1979:A6019="","",IFERROR(_xlfn.XLOOKUP(A1979:A6019,castles_state!K:K,castles_state!D:D)&amp;"主",IFERROR(_xlfn.XLOOKUP(A1979:A6019,kunishuClan!D:D,kunishuClan!B:B)&amp;"当主","")))</f>
      </c>
    </row>
    <row r="1980" ht="15.75" customHeight="1">
      <c r="A1980" s="4">
        <v>1049001</v>
      </c>
      <c r="B1980" s="12" t="str">
        <f t="array" ref="B1980">IF(A1980:A6022="","",_xlfn.XLOOKUP(A1980:A6022,'参照_武将'!A:A,'参照_武将'!B:B,"見つかりません"))</f>
      </c>
      <c r="C1980" s="4" t="s">
        <v>246</v>
      </c>
      <c r="D1980" s="4">
        <v>49</v>
      </c>
      <c r="E1980" s="12" t="str">
        <f t="array" ref="E1980">IF(D1980:D6022="","",IFERROR(_xlfn.XLOOKUP(D1980:D6022,'参照_勢力'!A:A,'参照_勢力'!B:B),IFERROR(_xlfn.XLOOKUP(F1980:F6022,kunishuClan!A:A,kunishuClan!B:B),"浪人")))</f>
      </c>
      <c r="F1980" s="4">
        <v>0</v>
      </c>
      <c r="G1980" s="4">
        <v>139</v>
      </c>
      <c r="H1980" s="12" t="str">
        <f t="array" ref="H1980">IF(G1980:G6022="","",_xlfn.XLOOKUP(G1980:G6022,castles_state!A:A,castles_state!D:D,"見つかりません"))</f>
      </c>
      <c r="I1980" s="4"/>
      <c r="J1980" s="12" t="str">
        <f t="array" ref="J1980">IF(I1980:I6022="","",_xlfn.XLOOKUP(I1980:I6022,'参照_姫'!A:A,'参照_姫'!B:B,"見つかりません"))</f>
      </c>
      <c r="K1980" s="4">
        <v>95</v>
      </c>
      <c r="L1980" s="4">
        <v>200</v>
      </c>
      <c r="M1980" s="4"/>
      <c r="N1980" s="4" t="b">
        <v>1</v>
      </c>
      <c r="O1980" s="4"/>
      <c r="P1980" s="12" t="str">
        <f t="array" ref="P1980">IF(O1980:O6022="","",_xlfn.XLOOKUP(O1980:O6022,'参照_官位'!A:A,'参照_官位'!B:B,""))</f>
      </c>
      <c r="Q1980" s="12" t="str">
        <f t="array" ref="Q1980">IF(A1980:A6022="","",IFERROR(_xlfn.XLOOKUP(A1980:A6022,castles_state!K:K,castles_state!D:D)&amp;"主",IFERROR(_xlfn.XLOOKUP(A1980:A6022,kunishuClan!D:D,kunishuClan!B:B)&amp;"当主","")))</f>
      </c>
    </row>
    <row r="1981" ht="15.75" customHeight="1">
      <c r="A1981" s="4">
        <v>1049002</v>
      </c>
      <c r="B1981" s="12" t="str">
        <f t="array" ref="B1981">IF(A1981:A6023="","",_xlfn.XLOOKUP(A1981:A6023,'参照_武将'!A:A,'参照_武将'!B:B,"見つかりません"))</f>
      </c>
      <c r="C1981" s="4" t="s">
        <v>246</v>
      </c>
      <c r="D1981" s="4">
        <v>49</v>
      </c>
      <c r="E1981" s="12" t="str">
        <f t="array" ref="E1981">IF(D1981:D6023="","",IFERROR(_xlfn.XLOOKUP(D1981:D6023,'参照_勢力'!A:A,'参照_勢力'!B:B),IFERROR(_xlfn.XLOOKUP(F1981:F6023,kunishuClan!A:A,kunishuClan!B:B),"浪人")))</f>
      </c>
      <c r="F1981" s="4">
        <v>0</v>
      </c>
      <c r="G1981" s="4">
        <v>139</v>
      </c>
      <c r="H1981" s="12" t="str">
        <f t="array" ref="H1981">IF(G1981:G6023="","",_xlfn.XLOOKUP(G1981:G6023,castles_state!A:A,castles_state!D:D,"見つかりません"))</f>
      </c>
      <c r="I1981" s="4"/>
      <c r="J1981" s="12" t="str">
        <f t="array" ref="J1981">IF(I1981:I6023="","",_xlfn.XLOOKUP(I1981:I6023,'参照_姫'!A:A,'参照_姫'!B:B,"見つかりません"))</f>
      </c>
      <c r="K1981" s="4">
        <v>95</v>
      </c>
      <c r="L1981" s="4">
        <v>0</v>
      </c>
      <c r="M1981" s="4"/>
      <c r="N1981" s="4"/>
      <c r="O1981" s="4"/>
      <c r="P1981" s="12" t="str">
        <f t="array" ref="P1981">IF(O1981:O6023="","",_xlfn.XLOOKUP(O1981:O6023,'参照_官位'!A:A,'参照_官位'!B:B,""))</f>
      </c>
      <c r="Q1981" s="12" t="str">
        <f t="array" ref="Q1981">IF(A1981:A6023="","",IFERROR(_xlfn.XLOOKUP(A1981:A6023,castles_state!K:K,castles_state!D:D)&amp;"主",IFERROR(_xlfn.XLOOKUP(A1981:A6023,kunishuClan!D:D,kunishuClan!B:B)&amp;"当主","")))</f>
      </c>
    </row>
    <row r="1982" ht="15.75" customHeight="1">
      <c r="A1982" s="4">
        <v>1049003</v>
      </c>
      <c r="B1982" s="12" t="str">
        <f t="array" ref="B1982">IF(A1982:A6024="","",_xlfn.XLOOKUP(A1982:A6024,'参照_武将'!A:A,'参照_武将'!B:B,"見つかりません"))</f>
      </c>
      <c r="C1982" s="4" t="s">
        <v>246</v>
      </c>
      <c r="D1982" s="4">
        <v>49</v>
      </c>
      <c r="E1982" s="12" t="str">
        <f t="array" ref="E1982">IF(D1982:D6024="","",IFERROR(_xlfn.XLOOKUP(D1982:D6024,'参照_勢力'!A:A,'参照_勢力'!B:B),IFERROR(_xlfn.XLOOKUP(F1982:F6024,kunishuClan!A:A,kunishuClan!B:B),"浪人")))</f>
      </c>
      <c r="F1982" s="4">
        <v>0</v>
      </c>
      <c r="G1982" s="4">
        <v>139</v>
      </c>
      <c r="H1982" s="12" t="str">
        <f t="array" ref="H1982">IF(G1982:G6024="","",_xlfn.XLOOKUP(G1982:G6024,castles_state!A:A,castles_state!D:D,"見つかりません"))</f>
      </c>
      <c r="I1982" s="4"/>
      <c r="J1982" s="12" t="str">
        <f t="array" ref="J1982">IF(I1982:I6024="","",_xlfn.XLOOKUP(I1982:I6024,'参照_姫'!A:A,'参照_姫'!B:B,"見つかりません"))</f>
      </c>
      <c r="K1982" s="4">
        <v>100</v>
      </c>
      <c r="L1982" s="4">
        <v>1500</v>
      </c>
      <c r="M1982" s="4"/>
      <c r="N1982" s="4"/>
      <c r="O1982" s="4"/>
      <c r="P1982" s="12" t="str">
        <f t="array" ref="P1982">IF(O1982:O6024="","",_xlfn.XLOOKUP(O1982:O6024,'参照_官位'!A:A,'参照_官位'!B:B,""))</f>
      </c>
      <c r="Q1982" s="12" t="str">
        <f t="array" ref="Q1982">IF(A1982:A6024="","",IFERROR(_xlfn.XLOOKUP(A1982:A6024,castles_state!K:K,castles_state!D:D)&amp;"主",IFERROR(_xlfn.XLOOKUP(A1982:A6024,kunishuClan!D:D,kunishuClan!B:B)&amp;"当主","")))</f>
      </c>
    </row>
    <row r="1983" ht="15.75" customHeight="1">
      <c r="A1983" s="4">
        <v>1049004</v>
      </c>
      <c r="B1983" s="12" t="str">
        <f t="array" ref="B1983">IF(A1983:A6025="","",_xlfn.XLOOKUP(A1983:A6025,'参照_武将'!A:A,'参照_武将'!B:B,"見つかりません"))</f>
      </c>
      <c r="C1983" s="4" t="s">
        <v>246</v>
      </c>
      <c r="D1983" s="4">
        <v>49</v>
      </c>
      <c r="E1983" s="12" t="str">
        <f t="array" ref="E1983">IF(D1983:D6025="","",IFERROR(_xlfn.XLOOKUP(D1983:D6025,'参照_勢力'!A:A,'参照_勢力'!B:B),IFERROR(_xlfn.XLOOKUP(F1983:F6025,kunishuClan!A:A,kunishuClan!B:B),"浪人")))</f>
      </c>
      <c r="F1983" s="4">
        <v>0</v>
      </c>
      <c r="G1983" s="4">
        <v>139</v>
      </c>
      <c r="H1983" s="12" t="str">
        <f t="array" ref="H1983">IF(G1983:G6025="","",_xlfn.XLOOKUP(G1983:G6025,castles_state!A:A,castles_state!D:D,"見つかりません"))</f>
      </c>
      <c r="I1983" s="4"/>
      <c r="J1983" s="12" t="str">
        <f t="array" ref="J1983">IF(I1983:I6025="","",_xlfn.XLOOKUP(I1983:I6025,'参照_姫'!A:A,'参照_姫'!B:B,"見つかりません"))</f>
      </c>
      <c r="K1983" s="4">
        <v>95</v>
      </c>
      <c r="L1983" s="4">
        <v>0</v>
      </c>
      <c r="M1983" s="4"/>
      <c r="N1983" s="4"/>
      <c r="O1983" s="4"/>
      <c r="P1983" s="12" t="str">
        <f t="array" ref="P1983">IF(O1983:O6025="","",_xlfn.XLOOKUP(O1983:O6025,'参照_官位'!A:A,'参照_官位'!B:B,""))</f>
      </c>
      <c r="Q1983" s="12" t="str">
        <f t="array" ref="Q1983">IF(A1983:A6025="","",IFERROR(_xlfn.XLOOKUP(A1983:A6025,castles_state!K:K,castles_state!D:D)&amp;"主",IFERROR(_xlfn.XLOOKUP(A1983:A6025,kunishuClan!D:D,kunishuClan!B:B)&amp;"当主","")))</f>
      </c>
    </row>
    <row r="1984" ht="15.75" customHeight="1">
      <c r="A1984" s="4">
        <v>1049005</v>
      </c>
      <c r="B1984" s="12" t="str">
        <f t="array" ref="B1984">IF(A1984:A6026="","",_xlfn.XLOOKUP(A1984:A6026,'参照_武将'!A:A,'参照_武将'!B:B,"見つかりません"))</f>
      </c>
      <c r="C1984" s="4" t="s">
        <v>246</v>
      </c>
      <c r="D1984" s="4">
        <v>49</v>
      </c>
      <c r="E1984" s="12" t="str">
        <f t="array" ref="E1984">IF(D1984:D6026="","",IFERROR(_xlfn.XLOOKUP(D1984:D6026,'参照_勢力'!A:A,'参照_勢力'!B:B),IFERROR(_xlfn.XLOOKUP(F1984:F6026,kunishuClan!A:A,kunishuClan!B:B),"浪人")))</f>
      </c>
      <c r="F1984" s="4">
        <v>0</v>
      </c>
      <c r="G1984" s="4">
        <v>139</v>
      </c>
      <c r="H1984" s="12" t="str">
        <f t="array" ref="H1984">IF(G1984:G6026="","",_xlfn.XLOOKUP(G1984:G6026,castles_state!A:A,castles_state!D:D,"見つかりません"))</f>
      </c>
      <c r="I1984" s="4"/>
      <c r="J1984" s="12" t="str">
        <f t="array" ref="J1984">IF(I1984:I6026="","",_xlfn.XLOOKUP(I1984:I6026,'参照_姫'!A:A,'参照_姫'!B:B,"見つかりません"))</f>
      </c>
      <c r="K1984" s="4">
        <v>95</v>
      </c>
      <c r="L1984" s="4">
        <v>0</v>
      </c>
      <c r="M1984" s="4"/>
      <c r="N1984" s="4"/>
      <c r="O1984" s="4"/>
      <c r="P1984" s="12" t="str">
        <f t="array" ref="P1984">IF(O1984:O6026="","",_xlfn.XLOOKUP(O1984:O6026,'参照_官位'!A:A,'参照_官位'!B:B,""))</f>
      </c>
      <c r="Q1984" s="12" t="str">
        <f t="array" ref="Q1984">IF(A1984:A6026="","",IFERROR(_xlfn.XLOOKUP(A1984:A6026,castles_state!K:K,castles_state!D:D)&amp;"主",IFERROR(_xlfn.XLOOKUP(A1984:A6026,kunishuClan!D:D,kunishuClan!B:B)&amp;"当主","")))</f>
      </c>
    </row>
    <row r="1985" ht="15.75" customHeight="1">
      <c r="A1985" s="4">
        <v>1049006</v>
      </c>
      <c r="B1985" s="12" t="str">
        <f t="array" ref="B1985">IF(A1985:A6027="","",_xlfn.XLOOKUP(A1985:A6027,'参照_武将'!A:A,'参照_武将'!B:B,"見つかりません"))</f>
      </c>
      <c r="C1985" s="4" t="s">
        <v>246</v>
      </c>
      <c r="D1985" s="4">
        <v>49</v>
      </c>
      <c r="E1985" s="12" t="str">
        <f t="array" ref="E1985">IF(D1985:D6027="","",IFERROR(_xlfn.XLOOKUP(D1985:D6027,'参照_勢力'!A:A,'参照_勢力'!B:B),IFERROR(_xlfn.XLOOKUP(F1985:F6027,kunishuClan!A:A,kunishuClan!B:B),"浪人")))</f>
      </c>
      <c r="F1985" s="4">
        <v>0</v>
      </c>
      <c r="G1985" s="4">
        <v>139</v>
      </c>
      <c r="H1985" s="12" t="str">
        <f t="array" ref="H1985">IF(G1985:G6027="","",_xlfn.XLOOKUP(G1985:G6027,castles_state!A:A,castles_state!D:D,"見つかりません"))</f>
      </c>
      <c r="I1985" s="4"/>
      <c r="J1985" s="12" t="str">
        <f t="array" ref="J1985">IF(I1985:I6027="","",_xlfn.XLOOKUP(I1985:I6027,'参照_姫'!A:A,'参照_姫'!B:B,"見つかりません"))</f>
      </c>
      <c r="K1985" s="4">
        <v>90</v>
      </c>
      <c r="L1985" s="4">
        <v>0</v>
      </c>
      <c r="M1985" s="4"/>
      <c r="N1985" s="4"/>
      <c r="O1985" s="4"/>
      <c r="P1985" s="12" t="str">
        <f t="array" ref="P1985">IF(O1985:O6027="","",_xlfn.XLOOKUP(O1985:O6027,'参照_官位'!A:A,'参照_官位'!B:B,""))</f>
      </c>
      <c r="Q1985" s="12" t="str">
        <f t="array" ref="Q1985">IF(A1985:A6027="","",IFERROR(_xlfn.XLOOKUP(A1985:A6027,castles_state!K:K,castles_state!D:D)&amp;"主",IFERROR(_xlfn.XLOOKUP(A1985:A6027,kunishuClan!D:D,kunishuClan!B:B)&amp;"当主","")))</f>
      </c>
    </row>
    <row r="1986" ht="15.75" customHeight="1">
      <c r="A1986" s="4">
        <v>1049007</v>
      </c>
      <c r="B1986" s="12" t="str">
        <f t="array" ref="B1986">IF(A1986:A6028="","",_xlfn.XLOOKUP(A1986:A6028,'参照_武将'!A:A,'参照_武将'!B:B,"見つかりません"))</f>
      </c>
      <c r="C1986" s="4" t="s">
        <v>246</v>
      </c>
      <c r="D1986" s="4">
        <v>49</v>
      </c>
      <c r="E1986" s="12" t="str">
        <f t="array" ref="E1986">IF(D1986:D6028="","",IFERROR(_xlfn.XLOOKUP(D1986:D6028,'参照_勢力'!A:A,'参照_勢力'!B:B),IFERROR(_xlfn.XLOOKUP(F1986:F6028,kunishuClan!A:A,kunishuClan!B:B),"浪人")))</f>
      </c>
      <c r="F1986" s="4">
        <v>0</v>
      </c>
      <c r="G1986" s="4">
        <v>139</v>
      </c>
      <c r="H1986" s="12" t="str">
        <f t="array" ref="H1986">IF(G1986:G6028="","",_xlfn.XLOOKUP(G1986:G6028,castles_state!A:A,castles_state!D:D,"見つかりません"))</f>
      </c>
      <c r="I1986" s="4"/>
      <c r="J1986" s="12" t="str">
        <f t="array" ref="J1986">IF(I1986:I6028="","",_xlfn.XLOOKUP(I1986:I6028,'参照_姫'!A:A,'参照_姫'!B:B,"見つかりません"))</f>
      </c>
      <c r="K1986" s="4">
        <v>95</v>
      </c>
      <c r="L1986" s="4">
        <v>200</v>
      </c>
      <c r="M1986" s="4"/>
      <c r="N1986" s="4" t="b">
        <v>1</v>
      </c>
      <c r="O1986" s="4"/>
      <c r="P1986" s="12" t="str">
        <f t="array" ref="P1986">IF(O1986:O6028="","",_xlfn.XLOOKUP(O1986:O6028,'参照_官位'!A:A,'参照_官位'!B:B,""))</f>
      </c>
      <c r="Q1986" s="12" t="str">
        <f t="array" ref="Q1986">IF(A1986:A6028="","",IFERROR(_xlfn.XLOOKUP(A1986:A6028,castles_state!K:K,castles_state!D:D)&amp;"主",IFERROR(_xlfn.XLOOKUP(A1986:A6028,kunishuClan!D:D,kunishuClan!B:B)&amp;"当主","")))</f>
      </c>
    </row>
    <row r="1987" ht="15.75" customHeight="1">
      <c r="A1987" s="4">
        <v>1049008</v>
      </c>
      <c r="B1987" s="12" t="str">
        <f t="array" ref="B1987">IF(A1987:A6029="","",_xlfn.XLOOKUP(A1987:A6029,'参照_武将'!A:A,'参照_武将'!B:B,"見つかりません"))</f>
      </c>
      <c r="C1987" s="4" t="s">
        <v>246</v>
      </c>
      <c r="D1987" s="4">
        <v>49</v>
      </c>
      <c r="E1987" s="12" t="str">
        <f t="array" ref="E1987">IF(D1987:D6029="","",IFERROR(_xlfn.XLOOKUP(D1987:D6029,'参照_勢力'!A:A,'参照_勢力'!B:B),IFERROR(_xlfn.XLOOKUP(F1987:F6029,kunishuClan!A:A,kunishuClan!B:B),"浪人")))</f>
      </c>
      <c r="F1987" s="4">
        <v>0</v>
      </c>
      <c r="G1987" s="4">
        <v>140</v>
      </c>
      <c r="H1987" s="12" t="str">
        <f t="array" ref="H1987">IF(G1987:G6029="","",_xlfn.XLOOKUP(G1987:G6029,castles_state!A:A,castles_state!D:D,"見つかりません"))</f>
      </c>
      <c r="I1987" s="4"/>
      <c r="J1987" s="12" t="str">
        <f t="array" ref="J1987">IF(I1987:I6029="","",_xlfn.XLOOKUP(I1987:I6029,'参照_姫'!A:A,'参照_姫'!B:B,"見つかりません"))</f>
      </c>
      <c r="K1987" s="4">
        <v>95</v>
      </c>
      <c r="L1987" s="4">
        <v>500</v>
      </c>
      <c r="M1987" s="4"/>
      <c r="N1987" s="4"/>
      <c r="O1987" s="4"/>
      <c r="P1987" s="12" t="str">
        <f t="array" ref="P1987">IF(O1987:O6029="","",_xlfn.XLOOKUP(O1987:O6029,'参照_官位'!A:A,'参照_官位'!B:B,""))</f>
      </c>
      <c r="Q1987" s="12" t="str">
        <f t="array" ref="Q1987">IF(A1987:A6029="","",IFERROR(_xlfn.XLOOKUP(A1987:A6029,castles_state!K:K,castles_state!D:D)&amp;"主",IFERROR(_xlfn.XLOOKUP(A1987:A6029,kunishuClan!D:D,kunishuClan!B:B)&amp;"当主","")))</f>
      </c>
    </row>
    <row r="1988" ht="15.75" customHeight="1">
      <c r="A1988" s="4">
        <v>1049009</v>
      </c>
      <c r="B1988" s="12" t="str">
        <f t="array" ref="B1988">IF(A1988:A6030="","",_xlfn.XLOOKUP(A1988:A6030,'参照_武将'!A:A,'参照_武将'!B:B,"見つかりません"))</f>
      </c>
      <c r="C1988" s="4" t="s">
        <v>246</v>
      </c>
      <c r="D1988" s="4">
        <v>49</v>
      </c>
      <c r="E1988" s="12" t="str">
        <f t="array" ref="E1988">IF(D1988:D6030="","",IFERROR(_xlfn.XLOOKUP(D1988:D6030,'参照_勢力'!A:A,'参照_勢力'!B:B),IFERROR(_xlfn.XLOOKUP(F1988:F6030,kunishuClan!A:A,kunishuClan!B:B),"浪人")))</f>
      </c>
      <c r="F1988" s="4">
        <v>0</v>
      </c>
      <c r="G1988" s="4">
        <v>138</v>
      </c>
      <c r="H1988" s="12" t="str">
        <f t="array" ref="H1988">IF(G1988:G6030="","",_xlfn.XLOOKUP(G1988:G6030,castles_state!A:A,castles_state!D:D,"見つかりません"))</f>
      </c>
      <c r="I1988" s="4"/>
      <c r="J1988" s="12" t="str">
        <f t="array" ref="J1988">IF(I1988:I6030="","",_xlfn.XLOOKUP(I1988:I6030,'参照_姫'!A:A,'参照_姫'!B:B,"見つかりません"))</f>
      </c>
      <c r="K1988" s="4">
        <v>95</v>
      </c>
      <c r="L1988" s="4">
        <v>500</v>
      </c>
      <c r="M1988" s="4"/>
      <c r="N1988" s="4"/>
      <c r="O1988" s="4"/>
      <c r="P1988" s="12" t="str">
        <f t="array" ref="P1988">IF(O1988:O6030="","",_xlfn.XLOOKUP(O1988:O6030,'参照_官位'!A:A,'参照_官位'!B:B,""))</f>
      </c>
      <c r="Q1988" s="12" t="str">
        <f t="array" ref="Q1988">IF(A1988:A6030="","",IFERROR(_xlfn.XLOOKUP(A1988:A6030,castles_state!K:K,castles_state!D:D)&amp;"主",IFERROR(_xlfn.XLOOKUP(A1988:A6030,kunishuClan!D:D,kunishuClan!B:B)&amp;"当主","")))</f>
      </c>
    </row>
    <row r="1989" ht="15.75" customHeight="1">
      <c r="A1989" s="4">
        <v>1049010</v>
      </c>
      <c r="B1989" s="12" t="str">
        <f t="array" ref="B1989">IF(A1989:A6031="","",_xlfn.XLOOKUP(A1989:A6031,'参照_武将'!A:A,'参照_武将'!B:B,"見つかりません"))</f>
      </c>
      <c r="C1989" s="4" t="s">
        <v>246</v>
      </c>
      <c r="D1989" s="4">
        <v>49</v>
      </c>
      <c r="E1989" s="12" t="str">
        <f t="array" ref="E1989">IF(D1989:D6031="","",IFERROR(_xlfn.XLOOKUP(D1989:D6031,'参照_勢力'!A:A,'参照_勢力'!B:B),IFERROR(_xlfn.XLOOKUP(F1989:F6031,kunishuClan!A:A,kunishuClan!B:B),"浪人")))</f>
      </c>
      <c r="F1989" s="4">
        <v>0</v>
      </c>
      <c r="G1989" s="4">
        <v>139</v>
      </c>
      <c r="H1989" s="12" t="str">
        <f t="array" ref="H1989">IF(G1989:G6031="","",_xlfn.XLOOKUP(G1989:G6031,castles_state!A:A,castles_state!D:D,"見つかりません"))</f>
      </c>
      <c r="I1989" s="4"/>
      <c r="J1989" s="12" t="str">
        <f t="array" ref="J1989">IF(I1989:I6031="","",_xlfn.XLOOKUP(I1989:I6031,'参照_姫'!A:A,'参照_姫'!B:B,"見つかりません"))</f>
      </c>
      <c r="K1989" s="4">
        <v>95</v>
      </c>
      <c r="L1989" s="4">
        <v>0</v>
      </c>
      <c r="M1989" s="4"/>
      <c r="N1989" s="4"/>
      <c r="O1989" s="4"/>
      <c r="P1989" s="12" t="str">
        <f t="array" ref="P1989">IF(O1989:O6031="","",_xlfn.XLOOKUP(O1989:O6031,'参照_官位'!A:A,'参照_官位'!B:B,""))</f>
      </c>
      <c r="Q1989" s="12" t="str">
        <f t="array" ref="Q1989">IF(A1989:A6031="","",IFERROR(_xlfn.XLOOKUP(A1989:A6031,castles_state!K:K,castles_state!D:D)&amp;"主",IFERROR(_xlfn.XLOOKUP(A1989:A6031,kunishuClan!D:D,kunishuClan!B:B)&amp;"当主","")))</f>
      </c>
    </row>
    <row r="1990" ht="15.75" customHeight="1">
      <c r="A1990" s="4">
        <v>1049011</v>
      </c>
      <c r="B1990" s="12" t="str">
        <f t="array" ref="B1990">IF(A1990:A6032="","",_xlfn.XLOOKUP(A1990:A6032,'参照_武将'!A:A,'参照_武将'!B:B,"見つかりません"))</f>
      </c>
      <c r="C1990" s="4" t="s">
        <v>246</v>
      </c>
      <c r="D1990" s="4">
        <v>49</v>
      </c>
      <c r="E1990" s="12" t="str">
        <f t="array" ref="E1990">IF(D1990:D6032="","",IFERROR(_xlfn.XLOOKUP(D1990:D6032,'参照_勢力'!A:A,'参照_勢力'!B:B),IFERROR(_xlfn.XLOOKUP(F1990:F6032,kunishuClan!A:A,kunishuClan!B:B),"浪人")))</f>
      </c>
      <c r="F1990" s="4">
        <v>0</v>
      </c>
      <c r="G1990" s="4">
        <v>139</v>
      </c>
      <c r="H1990" s="12" t="str">
        <f t="array" ref="H1990">IF(G1990:G6032="","",_xlfn.XLOOKUP(G1990:G6032,castles_state!A:A,castles_state!D:D,"見つかりません"))</f>
      </c>
      <c r="I1990" s="4"/>
      <c r="J1990" s="12" t="str">
        <f t="array" ref="J1990">IF(I1990:I6032="","",_xlfn.XLOOKUP(I1990:I6032,'参照_姫'!A:A,'参照_姫'!B:B,"見つかりません"))</f>
      </c>
      <c r="K1990" s="4">
        <v>95</v>
      </c>
      <c r="L1990" s="4">
        <v>0</v>
      </c>
      <c r="M1990" s="4"/>
      <c r="N1990" s="4"/>
      <c r="O1990" s="4"/>
      <c r="P1990" s="12" t="str">
        <f t="array" ref="P1990">IF(O1990:O6032="","",_xlfn.XLOOKUP(O1990:O6032,'参照_官位'!A:A,'参照_官位'!B:B,""))</f>
      </c>
      <c r="Q1990" s="12" t="str">
        <f t="array" ref="Q1990">IF(A1990:A6032="","",IFERROR(_xlfn.XLOOKUP(A1990:A6032,castles_state!K:K,castles_state!D:D)&amp;"主",IFERROR(_xlfn.XLOOKUP(A1990:A6032,kunishuClan!D:D,kunishuClan!B:B)&amp;"当主","")))</f>
      </c>
    </row>
    <row r="1991" ht="15.75" customHeight="1">
      <c r="A1991" s="4">
        <v>1049012</v>
      </c>
      <c r="B1991" s="12" t="str">
        <f t="array" ref="B1991">IF(A1991:A6033="","",_xlfn.XLOOKUP(A1991:A6033,'参照_武将'!A:A,'参照_武将'!B:B,"見つかりません"))</f>
      </c>
      <c r="C1991" s="4" t="s">
        <v>246</v>
      </c>
      <c r="D1991" s="4">
        <v>49</v>
      </c>
      <c r="E1991" s="12" t="str">
        <f t="array" ref="E1991">IF(D1991:D6033="","",IFERROR(_xlfn.XLOOKUP(D1991:D6033,'参照_勢力'!A:A,'参照_勢力'!B:B),IFERROR(_xlfn.XLOOKUP(F1991:F6033,kunishuClan!A:A,kunishuClan!B:B),"浪人")))</f>
      </c>
      <c r="F1991" s="4">
        <v>0</v>
      </c>
      <c r="G1991" s="4">
        <v>139</v>
      </c>
      <c r="H1991" s="12" t="str">
        <f t="array" ref="H1991">IF(G1991:G6033="","",_xlfn.XLOOKUP(G1991:G6033,castles_state!A:A,castles_state!D:D,"見つかりません"))</f>
      </c>
      <c r="I1991" s="4"/>
      <c r="J1991" s="12" t="str">
        <f t="array" ref="J1991">IF(I1991:I6033="","",_xlfn.XLOOKUP(I1991:I6033,'参照_姫'!A:A,'参照_姫'!B:B,"見つかりません"))</f>
      </c>
      <c r="K1991" s="4">
        <v>95</v>
      </c>
      <c r="L1991" s="4">
        <v>0</v>
      </c>
      <c r="M1991" s="4"/>
      <c r="N1991" s="4"/>
      <c r="O1991" s="4"/>
      <c r="P1991" s="12" t="str">
        <f t="array" ref="P1991">IF(O1991:O6033="","",_xlfn.XLOOKUP(O1991:O6033,'参照_官位'!A:A,'参照_官位'!B:B,""))</f>
      </c>
      <c r="Q1991" s="12" t="str">
        <f t="array" ref="Q1991">IF(A1991:A6033="","",IFERROR(_xlfn.XLOOKUP(A1991:A6033,castles_state!K:K,castles_state!D:D)&amp;"主",IFERROR(_xlfn.XLOOKUP(A1991:A6033,kunishuClan!D:D,kunishuClan!B:B)&amp;"当主","")))</f>
      </c>
    </row>
    <row r="1992" ht="15.75" customHeight="1">
      <c r="A1992" s="4">
        <v>1049013</v>
      </c>
      <c r="B1992" s="12" t="str">
        <f t="array" ref="B1992">IF(A1992:A6034="","",_xlfn.XLOOKUP(A1992:A6034,'参照_武将'!A:A,'参照_武将'!B:B,"見つかりません"))</f>
      </c>
      <c r="C1992" s="4" t="s">
        <v>246</v>
      </c>
      <c r="D1992" s="4">
        <v>49</v>
      </c>
      <c r="E1992" s="12" t="str">
        <f t="array" ref="E1992">IF(D1992:D6034="","",IFERROR(_xlfn.XLOOKUP(D1992:D6034,'参照_勢力'!A:A,'参照_勢力'!B:B),IFERROR(_xlfn.XLOOKUP(F1992:F6034,kunishuClan!A:A,kunishuClan!B:B),"浪人")))</f>
      </c>
      <c r="F1992" s="4">
        <v>0</v>
      </c>
      <c r="G1992" s="4">
        <v>139</v>
      </c>
      <c r="H1992" s="12" t="str">
        <f t="array" ref="H1992">IF(G1992:G6034="","",_xlfn.XLOOKUP(G1992:G6034,castles_state!A:A,castles_state!D:D,"見つかりません"))</f>
      </c>
      <c r="I1992" s="4"/>
      <c r="J1992" s="12" t="str">
        <f t="array" ref="J1992">IF(I1992:I6034="","",_xlfn.XLOOKUP(I1992:I6034,'参照_姫'!A:A,'参照_姫'!B:B,"見つかりません"))</f>
      </c>
      <c r="K1992" s="4">
        <v>95</v>
      </c>
      <c r="L1992" s="4">
        <v>0</v>
      </c>
      <c r="M1992" s="4"/>
      <c r="N1992" s="4"/>
      <c r="O1992" s="4"/>
      <c r="P1992" s="12" t="str">
        <f t="array" ref="P1992">IF(O1992:O6034="","",_xlfn.XLOOKUP(O1992:O6034,'参照_官位'!A:A,'参照_官位'!B:B,""))</f>
      </c>
      <c r="Q1992" s="12" t="str">
        <f t="array" ref="Q1992">IF(A1992:A6034="","",IFERROR(_xlfn.XLOOKUP(A1992:A6034,castles_state!K:K,castles_state!D:D)&amp;"主",IFERROR(_xlfn.XLOOKUP(A1992:A6034,kunishuClan!D:D,kunishuClan!B:B)&amp;"当主","")))</f>
      </c>
    </row>
    <row r="1993" ht="15.75" customHeight="1">
      <c r="A1993" s="4">
        <v>1049014</v>
      </c>
      <c r="B1993" s="12" t="str">
        <f t="array" ref="B1993">IF(A1993:A6035="","",_xlfn.XLOOKUP(A1993:A6035,'参照_武将'!A:A,'参照_武将'!B:B,"見つかりません"))</f>
      </c>
      <c r="C1993" s="4" t="s">
        <v>246</v>
      </c>
      <c r="D1993" s="4">
        <v>49</v>
      </c>
      <c r="E1993" s="12" t="str">
        <f t="array" ref="E1993">IF(D1993:D6035="","",IFERROR(_xlfn.XLOOKUP(D1993:D6035,'参照_勢力'!A:A,'参照_勢力'!B:B),IFERROR(_xlfn.XLOOKUP(F1993:F6035,kunishuClan!A:A,kunishuClan!B:B),"浪人")))</f>
      </c>
      <c r="F1993" s="4">
        <v>0</v>
      </c>
      <c r="G1993" s="4">
        <v>139</v>
      </c>
      <c r="H1993" s="12" t="str">
        <f t="array" ref="H1993">IF(G1993:G6035="","",_xlfn.XLOOKUP(G1993:G6035,castles_state!A:A,castles_state!D:D,"見つかりません"))</f>
      </c>
      <c r="I1993" s="4"/>
      <c r="J1993" s="12" t="str">
        <f t="array" ref="J1993">IF(I1993:I6035="","",_xlfn.XLOOKUP(I1993:I6035,'参照_姫'!A:A,'参照_姫'!B:B,"見つかりません"))</f>
      </c>
      <c r="K1993" s="4">
        <v>95</v>
      </c>
      <c r="L1993" s="4">
        <v>0</v>
      </c>
      <c r="M1993" s="4"/>
      <c r="N1993" s="4"/>
      <c r="O1993" s="4"/>
      <c r="P1993" s="12" t="str">
        <f t="array" ref="P1993">IF(O1993:O6035="","",_xlfn.XLOOKUP(O1993:O6035,'参照_官位'!A:A,'参照_官位'!B:B,""))</f>
      </c>
      <c r="Q1993" s="12" t="str">
        <f t="array" ref="Q1993">IF(A1993:A6035="","",IFERROR(_xlfn.XLOOKUP(A1993:A6035,castles_state!K:K,castles_state!D:D)&amp;"主",IFERROR(_xlfn.XLOOKUP(A1993:A6035,kunishuClan!D:D,kunishuClan!B:B)&amp;"当主","")))</f>
      </c>
    </row>
    <row r="1994" ht="15.75" customHeight="1">
      <c r="A1994" s="4">
        <v>1049015</v>
      </c>
      <c r="B1994" s="12" t="str">
        <f t="array" ref="B1994">IF(A1994:A6036="","",_xlfn.XLOOKUP(A1994:A6036,'参照_武将'!A:A,'参照_武将'!B:B,"見つかりません"))</f>
      </c>
      <c r="C1994" s="4" t="s">
        <v>246</v>
      </c>
      <c r="D1994" s="4">
        <v>49</v>
      </c>
      <c r="E1994" s="12" t="str">
        <f t="array" ref="E1994">IF(D1994:D6036="","",IFERROR(_xlfn.XLOOKUP(D1994:D6036,'参照_勢力'!A:A,'参照_勢力'!B:B),IFERROR(_xlfn.XLOOKUP(F1994:F6036,kunishuClan!A:A,kunishuClan!B:B),"浪人")))</f>
      </c>
      <c r="F1994" s="4">
        <v>0</v>
      </c>
      <c r="G1994" s="4">
        <v>139</v>
      </c>
      <c r="H1994" s="12" t="str">
        <f t="array" ref="H1994">IF(G1994:G6036="","",_xlfn.XLOOKUP(G1994:G6036,castles_state!A:A,castles_state!D:D,"見つかりません"))</f>
      </c>
      <c r="I1994" s="4"/>
      <c r="J1994" s="12" t="str">
        <f t="array" ref="J1994">IF(I1994:I6036="","",_xlfn.XLOOKUP(I1994:I6036,'参照_姫'!A:A,'参照_姫'!B:B,"見つかりません"))</f>
      </c>
      <c r="K1994" s="4">
        <v>95</v>
      </c>
      <c r="L1994" s="4">
        <v>0</v>
      </c>
      <c r="M1994" s="4"/>
      <c r="N1994" s="4"/>
      <c r="O1994" s="4"/>
      <c r="P1994" s="12" t="str">
        <f t="array" ref="P1994">IF(O1994:O6036="","",_xlfn.XLOOKUP(O1994:O6036,'参照_官位'!A:A,'参照_官位'!B:B,""))</f>
      </c>
      <c r="Q1994" s="12" t="str">
        <f t="array" ref="Q1994">IF(A1994:A6036="","",IFERROR(_xlfn.XLOOKUP(A1994:A6036,castles_state!K:K,castles_state!D:D)&amp;"主",IFERROR(_xlfn.XLOOKUP(A1994:A6036,kunishuClan!D:D,kunishuClan!B:B)&amp;"当主","")))</f>
      </c>
    </row>
    <row r="1995" ht="15.75" customHeight="1">
      <c r="A1995" s="4">
        <v>1049016</v>
      </c>
      <c r="B1995" s="12" t="str">
        <f t="array" ref="B1995">IF(A1995:A6037="","",_xlfn.XLOOKUP(A1995:A6037,'参照_武将'!A:A,'参照_武将'!B:B,"見つかりません"))</f>
      </c>
      <c r="C1995" s="4" t="s">
        <v>246</v>
      </c>
      <c r="D1995" s="4">
        <v>49</v>
      </c>
      <c r="E1995" s="12" t="str">
        <f t="array" ref="E1995">IF(D1995:D6037="","",IFERROR(_xlfn.XLOOKUP(D1995:D6037,'参照_勢力'!A:A,'参照_勢力'!B:B),IFERROR(_xlfn.XLOOKUP(F1995:F6037,kunishuClan!A:A,kunishuClan!B:B),"浪人")))</f>
      </c>
      <c r="F1995" s="4">
        <v>0</v>
      </c>
      <c r="G1995" s="4">
        <v>139</v>
      </c>
      <c r="H1995" s="12" t="str">
        <f t="array" ref="H1995">IF(G1995:G6037="","",_xlfn.XLOOKUP(G1995:G6037,castles_state!A:A,castles_state!D:D,"見つかりません"))</f>
      </c>
      <c r="I1995" s="4"/>
      <c r="J1995" s="12" t="str">
        <f t="array" ref="J1995">IF(I1995:I6037="","",_xlfn.XLOOKUP(I1995:I6037,'参照_姫'!A:A,'参照_姫'!B:B,"見つかりません"))</f>
      </c>
      <c r="K1995" s="4">
        <v>95</v>
      </c>
      <c r="L1995" s="4">
        <v>0</v>
      </c>
      <c r="M1995" s="4"/>
      <c r="N1995" s="4"/>
      <c r="O1995" s="4"/>
      <c r="P1995" s="12" t="str">
        <f t="array" ref="P1995">IF(O1995:O6037="","",_xlfn.XLOOKUP(O1995:O6037,'参照_官位'!A:A,'参照_官位'!B:B,""))</f>
      </c>
      <c r="Q1995" s="12" t="str">
        <f t="array" ref="Q1995">IF(A1995:A6037="","",IFERROR(_xlfn.XLOOKUP(A1995:A6037,castles_state!K:K,castles_state!D:D)&amp;"主",IFERROR(_xlfn.XLOOKUP(A1995:A6037,kunishuClan!D:D,kunishuClan!B:B)&amp;"当主","")))</f>
      </c>
    </row>
    <row r="1996" ht="15.75" customHeight="1">
      <c r="A1996" s="4">
        <v>1049017</v>
      </c>
      <c r="B1996" s="12" t="str">
        <f t="array" ref="B1996">IF(A1996:A6038="","",_xlfn.XLOOKUP(A1996:A6038,'参照_武将'!A:A,'参照_武将'!B:B,"見つかりません"))</f>
      </c>
      <c r="C1996" s="4" t="s">
        <v>246</v>
      </c>
      <c r="D1996" s="4">
        <v>49</v>
      </c>
      <c r="E1996" s="12" t="str">
        <f t="array" ref="E1996">IF(D1996:D6038="","",IFERROR(_xlfn.XLOOKUP(D1996:D6038,'参照_勢力'!A:A,'参照_勢力'!B:B),IFERROR(_xlfn.XLOOKUP(F1996:F6038,kunishuClan!A:A,kunishuClan!B:B),"浪人")))</f>
      </c>
      <c r="F1996" s="4">
        <v>0</v>
      </c>
      <c r="G1996" s="4">
        <v>139</v>
      </c>
      <c r="H1996" s="12" t="str">
        <f t="array" ref="H1996">IF(G1996:G6038="","",_xlfn.XLOOKUP(G1996:G6038,castles_state!A:A,castles_state!D:D,"見つかりません"))</f>
      </c>
      <c r="I1996" s="4"/>
      <c r="J1996" s="12" t="str">
        <f t="array" ref="J1996">IF(I1996:I6038="","",_xlfn.XLOOKUP(I1996:I6038,'参照_姫'!A:A,'参照_姫'!B:B,"見つかりません"))</f>
      </c>
      <c r="K1996" s="4">
        <v>95</v>
      </c>
      <c r="L1996" s="4">
        <v>0</v>
      </c>
      <c r="M1996" s="4"/>
      <c r="N1996" s="4"/>
      <c r="O1996" s="4"/>
      <c r="P1996" s="12" t="str">
        <f t="array" ref="P1996">IF(O1996:O6038="","",_xlfn.XLOOKUP(O1996:O6038,'参照_官位'!A:A,'参照_官位'!B:B,""))</f>
      </c>
      <c r="Q1996" s="12" t="str">
        <f t="array" ref="Q1996">IF(A1996:A6038="","",IFERROR(_xlfn.XLOOKUP(A1996:A6038,castles_state!K:K,castles_state!D:D)&amp;"主",IFERROR(_xlfn.XLOOKUP(A1996:A6038,kunishuClan!D:D,kunishuClan!B:B)&amp;"当主","")))</f>
      </c>
    </row>
    <row r="1997" ht="15.75" customHeight="1">
      <c r="A1997" s="4">
        <v>1049018</v>
      </c>
      <c r="B1997" s="12" t="str">
        <f t="array" ref="B1997">IF(A1997:A6039="","",_xlfn.XLOOKUP(A1997:A6039,'参照_武将'!A:A,'参照_武将'!B:B,"見つかりません"))</f>
      </c>
      <c r="C1997" s="4" t="s">
        <v>246</v>
      </c>
      <c r="D1997" s="4">
        <v>49</v>
      </c>
      <c r="E1997" s="12" t="str">
        <f t="array" ref="E1997">IF(D1997:D6039="","",IFERROR(_xlfn.XLOOKUP(D1997:D6039,'参照_勢力'!A:A,'参照_勢力'!B:B),IFERROR(_xlfn.XLOOKUP(F1997:F6039,kunishuClan!A:A,kunishuClan!B:B),"浪人")))</f>
      </c>
      <c r="F1997" s="4">
        <v>0</v>
      </c>
      <c r="G1997" s="4">
        <v>139</v>
      </c>
      <c r="H1997" s="12" t="str">
        <f t="array" ref="H1997">IF(G1997:G6039="","",_xlfn.XLOOKUP(G1997:G6039,castles_state!A:A,castles_state!D:D,"見つかりません"))</f>
      </c>
      <c r="I1997" s="4"/>
      <c r="J1997" s="12" t="str">
        <f t="array" ref="J1997">IF(I1997:I6039="","",_xlfn.XLOOKUP(I1997:I6039,'参照_姫'!A:A,'参照_姫'!B:B,"見つかりません"))</f>
      </c>
      <c r="K1997" s="4">
        <v>95</v>
      </c>
      <c r="L1997" s="4">
        <v>0</v>
      </c>
      <c r="M1997" s="4"/>
      <c r="N1997" s="4"/>
      <c r="O1997" s="4"/>
      <c r="P1997" s="12" t="str">
        <f t="array" ref="P1997">IF(O1997:O6039="","",_xlfn.XLOOKUP(O1997:O6039,'参照_官位'!A:A,'参照_官位'!B:B,""))</f>
      </c>
      <c r="Q1997" s="12" t="str">
        <f t="array" ref="Q1997">IF(A1997:A6039="","",IFERROR(_xlfn.XLOOKUP(A1997:A6039,castles_state!K:K,castles_state!D:D)&amp;"主",IFERROR(_xlfn.XLOOKUP(A1997:A6039,kunishuClan!D:D,kunishuClan!B:B)&amp;"当主","")))</f>
      </c>
    </row>
    <row r="1998" ht="15.75" customHeight="1">
      <c r="A1998" s="4">
        <v>1049019</v>
      </c>
      <c r="B1998" s="12" t="str">
        <f t="array" ref="B1998">IF(A1998:A6040="","",_xlfn.XLOOKUP(A1998:A6040,'参照_武将'!A:A,'参照_武将'!B:B,"見つかりません"))</f>
      </c>
      <c r="C1998" s="4" t="s">
        <v>246</v>
      </c>
      <c r="D1998" s="4">
        <v>49</v>
      </c>
      <c r="E1998" s="12" t="str">
        <f t="array" ref="E1998">IF(D1998:D6040="","",IFERROR(_xlfn.XLOOKUP(D1998:D6040,'参照_勢力'!A:A,'参照_勢力'!B:B),IFERROR(_xlfn.XLOOKUP(F1998:F6040,kunishuClan!A:A,kunishuClan!B:B),"浪人")))</f>
      </c>
      <c r="F1998" s="4">
        <v>0</v>
      </c>
      <c r="G1998" s="4">
        <v>139</v>
      </c>
      <c r="H1998" s="12" t="str">
        <f t="array" ref="H1998">IF(G1998:G6040="","",_xlfn.XLOOKUP(G1998:G6040,castles_state!A:A,castles_state!D:D,"見つかりません"))</f>
      </c>
      <c r="I1998" s="4"/>
      <c r="J1998" s="12" t="str">
        <f t="array" ref="J1998">IF(I1998:I6040="","",_xlfn.XLOOKUP(I1998:I6040,'参照_姫'!A:A,'参照_姫'!B:B,"見つかりません"))</f>
      </c>
      <c r="K1998" s="4">
        <v>95</v>
      </c>
      <c r="L1998" s="4">
        <v>0</v>
      </c>
      <c r="M1998" s="4"/>
      <c r="N1998" s="4"/>
      <c r="O1998" s="4"/>
      <c r="P1998" s="12" t="str">
        <f t="array" ref="P1998">IF(O1998:O6040="","",_xlfn.XLOOKUP(O1998:O6040,'参照_官位'!A:A,'参照_官位'!B:B,""))</f>
      </c>
      <c r="Q1998" s="12" t="str">
        <f t="array" ref="Q1998">IF(A1998:A6040="","",IFERROR(_xlfn.XLOOKUP(A1998:A6040,castles_state!K:K,castles_state!D:D)&amp;"主",IFERROR(_xlfn.XLOOKUP(A1998:A6040,kunishuClan!D:D,kunishuClan!B:B)&amp;"当主","")))</f>
      </c>
    </row>
    <row r="1999" ht="15.75" customHeight="1">
      <c r="A1999" s="4">
        <v>1049020</v>
      </c>
      <c r="B1999" s="12" t="str">
        <f t="array" ref="B1999">IF(A1999:A6041="","",_xlfn.XLOOKUP(A1999:A6041,'参照_武将'!A:A,'参照_武将'!B:B,"見つかりません"))</f>
      </c>
      <c r="C1999" s="4" t="s">
        <v>246</v>
      </c>
      <c r="D1999" s="4">
        <v>49</v>
      </c>
      <c r="E1999" s="12" t="str">
        <f t="array" ref="E1999">IF(D1999:D6041="","",IFERROR(_xlfn.XLOOKUP(D1999:D6041,'参照_勢力'!A:A,'参照_勢力'!B:B),IFERROR(_xlfn.XLOOKUP(F1999:F6041,kunishuClan!A:A,kunishuClan!B:B),"浪人")))</f>
      </c>
      <c r="F1999" s="4">
        <v>0</v>
      </c>
      <c r="G1999" s="4">
        <v>139</v>
      </c>
      <c r="H1999" s="12" t="str">
        <f t="array" ref="H1999">IF(G1999:G6041="","",_xlfn.XLOOKUP(G1999:G6041,castles_state!A:A,castles_state!D:D,"見つかりません"))</f>
      </c>
      <c r="I1999" s="4"/>
      <c r="J1999" s="12" t="str">
        <f t="array" ref="J1999">IF(I1999:I6041="","",_xlfn.XLOOKUP(I1999:I6041,'参照_姫'!A:A,'参照_姫'!B:B,"見つかりません"))</f>
      </c>
      <c r="K1999" s="4">
        <v>95</v>
      </c>
      <c r="L1999" s="4">
        <v>0</v>
      </c>
      <c r="M1999" s="4"/>
      <c r="N1999" s="4"/>
      <c r="O1999" s="4"/>
      <c r="P1999" s="12" t="str">
        <f t="array" ref="P1999">IF(O1999:O6041="","",_xlfn.XLOOKUP(O1999:O6041,'参照_官位'!A:A,'参照_官位'!B:B,""))</f>
      </c>
      <c r="Q1999" s="12" t="str">
        <f t="array" ref="Q1999">IF(A1999:A6041="","",IFERROR(_xlfn.XLOOKUP(A1999:A6041,castles_state!K:K,castles_state!D:D)&amp;"主",IFERROR(_xlfn.XLOOKUP(A1999:A6041,kunishuClan!D:D,kunishuClan!B:B)&amp;"当主","")))</f>
      </c>
    </row>
    <row r="2000" ht="15.75" customHeight="1">
      <c r="A2000" s="4">
        <v>1049021</v>
      </c>
      <c r="B2000" s="12" t="str">
        <f t="array" ref="B2000">IF(A2000:A6042="","",_xlfn.XLOOKUP(A2000:A6042,'参照_武将'!A:A,'参照_武将'!B:B,"見つかりません"))</f>
      </c>
      <c r="C2000" s="4" t="s">
        <v>246</v>
      </c>
      <c r="D2000" s="4">
        <v>49</v>
      </c>
      <c r="E2000" s="12" t="str">
        <f t="array" ref="E2000">IF(D2000:D6042="","",IFERROR(_xlfn.XLOOKUP(D2000:D6042,'参照_勢力'!A:A,'参照_勢力'!B:B),IFERROR(_xlfn.XLOOKUP(F2000:F6042,kunishuClan!A:A,kunishuClan!B:B),"浪人")))</f>
      </c>
      <c r="F2000" s="4">
        <v>0</v>
      </c>
      <c r="G2000" s="4">
        <v>139</v>
      </c>
      <c r="H2000" s="12" t="str">
        <f t="array" ref="H2000">IF(G2000:G6042="","",_xlfn.XLOOKUP(G2000:G6042,castles_state!A:A,castles_state!D:D,"見つかりません"))</f>
      </c>
      <c r="I2000" s="4"/>
      <c r="J2000" s="12" t="str">
        <f t="array" ref="J2000">IF(I2000:I6042="","",_xlfn.XLOOKUP(I2000:I6042,'参照_姫'!A:A,'参照_姫'!B:B,"見つかりません"))</f>
      </c>
      <c r="K2000" s="4">
        <v>95</v>
      </c>
      <c r="L2000" s="4">
        <v>0</v>
      </c>
      <c r="M2000" s="4"/>
      <c r="N2000" s="4"/>
      <c r="O2000" s="4"/>
      <c r="P2000" s="12" t="str">
        <f t="array" ref="P2000">IF(O2000:O6042="","",_xlfn.XLOOKUP(O2000:O6042,'参照_官位'!A:A,'参照_官位'!B:B,""))</f>
      </c>
      <c r="Q2000" s="12" t="str">
        <f t="array" ref="Q2000">IF(A2000:A6042="","",IFERROR(_xlfn.XLOOKUP(A2000:A6042,castles_state!K:K,castles_state!D:D)&amp;"主",IFERROR(_xlfn.XLOOKUP(A2000:A6042,kunishuClan!D:D,kunishuClan!B:B)&amp;"当主","")))</f>
      </c>
    </row>
    <row r="2001" ht="15.75" customHeight="1">
      <c r="A2001" s="4">
        <v>1049022</v>
      </c>
      <c r="B2001" s="12" t="str">
        <f t="array" ref="B2001">IF(A2001:A6043="","",_xlfn.XLOOKUP(A2001:A6043,'参照_武将'!A:A,'参照_武将'!B:B,"見つかりません"))</f>
      </c>
      <c r="C2001" s="4" t="s">
        <v>246</v>
      </c>
      <c r="D2001" s="4">
        <v>49</v>
      </c>
      <c r="E2001" s="12" t="str">
        <f t="array" ref="E2001">IF(D2001:D6043="","",IFERROR(_xlfn.XLOOKUP(D2001:D6043,'参照_勢力'!A:A,'参照_勢力'!B:B),IFERROR(_xlfn.XLOOKUP(F2001:F6043,kunishuClan!A:A,kunishuClan!B:B),"浪人")))</f>
      </c>
      <c r="F2001" s="4">
        <v>0</v>
      </c>
      <c r="G2001" s="4">
        <v>139</v>
      </c>
      <c r="H2001" s="12" t="str">
        <f t="array" ref="H2001">IF(G2001:G6043="","",_xlfn.XLOOKUP(G2001:G6043,castles_state!A:A,castles_state!D:D,"見つかりません"))</f>
      </c>
      <c r="I2001" s="4"/>
      <c r="J2001" s="12" t="str">
        <f t="array" ref="J2001">IF(I2001:I6043="","",_xlfn.XLOOKUP(I2001:I6043,'参照_姫'!A:A,'参照_姫'!B:B,"見つかりません"))</f>
      </c>
      <c r="K2001" s="4">
        <v>95</v>
      </c>
      <c r="L2001" s="4">
        <v>0</v>
      </c>
      <c r="M2001" s="4"/>
      <c r="N2001" s="4"/>
      <c r="O2001" s="4"/>
      <c r="P2001" s="12" t="str">
        <f t="array" ref="P2001">IF(O2001:O6043="","",_xlfn.XLOOKUP(O2001:O6043,'参照_官位'!A:A,'参照_官位'!B:B,""))</f>
      </c>
      <c r="Q2001" s="12" t="str">
        <f t="array" ref="Q2001">IF(A2001:A6043="","",IFERROR(_xlfn.XLOOKUP(A2001:A6043,castles_state!K:K,castles_state!D:D)&amp;"主",IFERROR(_xlfn.XLOOKUP(A2001:A6043,kunishuClan!D:D,kunishuClan!B:B)&amp;"当主","")))</f>
      </c>
    </row>
    <row r="2002" ht="15.75" customHeight="1">
      <c r="A2002" s="4">
        <v>1049023</v>
      </c>
      <c r="B2002" s="12" t="str">
        <f t="array" ref="B2002">IF(A2002:A6044="","",_xlfn.XLOOKUP(A2002:A6044,'参照_武将'!A:A,'参照_武将'!B:B,"見つかりません"))</f>
      </c>
      <c r="C2002" s="4" t="s">
        <v>246</v>
      </c>
      <c r="D2002" s="4">
        <v>49</v>
      </c>
      <c r="E2002" s="12" t="str">
        <f t="array" ref="E2002">IF(D2002:D6044="","",IFERROR(_xlfn.XLOOKUP(D2002:D6044,'参照_勢力'!A:A,'参照_勢力'!B:B),IFERROR(_xlfn.XLOOKUP(F2002:F6044,kunishuClan!A:A,kunishuClan!B:B),"浪人")))</f>
      </c>
      <c r="F2002" s="4">
        <v>0</v>
      </c>
      <c r="G2002" s="4">
        <v>139</v>
      </c>
      <c r="H2002" s="12" t="str">
        <f t="array" ref="H2002">IF(G2002:G6044="","",_xlfn.XLOOKUP(G2002:G6044,castles_state!A:A,castles_state!D:D,"見つかりません"))</f>
      </c>
      <c r="I2002" s="4"/>
      <c r="J2002" s="12" t="str">
        <f t="array" ref="J2002">IF(I2002:I6044="","",_xlfn.XLOOKUP(I2002:I6044,'参照_姫'!A:A,'参照_姫'!B:B,"見つかりません"))</f>
      </c>
      <c r="K2002" s="4">
        <v>95</v>
      </c>
      <c r="L2002" s="4">
        <v>200</v>
      </c>
      <c r="M2002" s="4" t="b">
        <v>1</v>
      </c>
      <c r="N2002" s="4"/>
      <c r="O2002" s="4"/>
      <c r="P2002" s="12" t="str">
        <f t="array" ref="P2002">IF(O2002:O6044="","",_xlfn.XLOOKUP(O2002:O6044,'参照_官位'!A:A,'参照_官位'!B:B,""))</f>
      </c>
      <c r="Q2002" s="12" t="str">
        <f t="array" ref="Q2002">IF(A2002:A6044="","",IFERROR(_xlfn.XLOOKUP(A2002:A6044,castles_state!K:K,castles_state!D:D)&amp;"主",IFERROR(_xlfn.XLOOKUP(A2002:A6044,kunishuClan!D:D,kunishuClan!B:B)&amp;"当主","")))</f>
      </c>
    </row>
    <row r="2003" ht="15.75" customHeight="1">
      <c r="A2003" s="4">
        <v>1049024</v>
      </c>
      <c r="B2003" s="12" t="str">
        <f t="array" ref="B2003">IF(A2003:A6045="","",_xlfn.XLOOKUP(A2003:A6045,'参照_武将'!A:A,'参照_武将'!B:B,"見つかりません"))</f>
      </c>
      <c r="C2003" s="4" t="s">
        <v>246</v>
      </c>
      <c r="D2003" s="4">
        <v>49</v>
      </c>
      <c r="E2003" s="12" t="str">
        <f t="array" ref="E2003">IF(D2003:D6045="","",IFERROR(_xlfn.XLOOKUP(D2003:D6045,'参照_勢力'!A:A,'参照_勢力'!B:B),IFERROR(_xlfn.XLOOKUP(F2003:F6045,kunishuClan!A:A,kunishuClan!B:B),"浪人")))</f>
      </c>
      <c r="F2003" s="4">
        <v>0</v>
      </c>
      <c r="G2003" s="4">
        <v>139</v>
      </c>
      <c r="H2003" s="12" t="str">
        <f t="array" ref="H2003">IF(G2003:G6045="","",_xlfn.XLOOKUP(G2003:G6045,castles_state!A:A,castles_state!D:D,"見つかりません"))</f>
      </c>
      <c r="I2003" s="4"/>
      <c r="J2003" s="12" t="str">
        <f t="array" ref="J2003">IF(I2003:I6045="","",_xlfn.XLOOKUP(I2003:I6045,'参照_姫'!A:A,'参照_姫'!B:B,"見つかりません"))</f>
      </c>
      <c r="K2003" s="4">
        <v>95</v>
      </c>
      <c r="L2003" s="4">
        <v>0</v>
      </c>
      <c r="M2003" s="4"/>
      <c r="N2003" s="4"/>
      <c r="O2003" s="4"/>
      <c r="P2003" s="12" t="str">
        <f t="array" ref="P2003">IF(O2003:O6045="","",_xlfn.XLOOKUP(O2003:O6045,'参照_官位'!A:A,'参照_官位'!B:B,""))</f>
      </c>
      <c r="Q2003" s="12" t="str">
        <f t="array" ref="Q2003">IF(A2003:A6045="","",IFERROR(_xlfn.XLOOKUP(A2003:A6045,castles_state!K:K,castles_state!D:D)&amp;"主",IFERROR(_xlfn.XLOOKUP(A2003:A6045,kunishuClan!D:D,kunishuClan!B:B)&amp;"当主","")))</f>
      </c>
    </row>
    <row r="2004" ht="15.75" customHeight="1">
      <c r="A2004" s="4">
        <v>1049025</v>
      </c>
      <c r="B2004" s="12" t="str">
        <f t="array" ref="B2004">IF(A2004:A6046="","",_xlfn.XLOOKUP(A2004:A6046,'参照_武将'!A:A,'参照_武将'!B:B,"見つかりません"))</f>
      </c>
      <c r="C2004" s="4" t="s">
        <v>246</v>
      </c>
      <c r="D2004" s="4">
        <v>49</v>
      </c>
      <c r="E2004" s="12" t="str">
        <f t="array" ref="E2004">IF(D2004:D6046="","",IFERROR(_xlfn.XLOOKUP(D2004:D6046,'参照_勢力'!A:A,'参照_勢力'!B:B),IFERROR(_xlfn.XLOOKUP(F2004:F6046,kunishuClan!A:A,kunishuClan!B:B),"浪人")))</f>
      </c>
      <c r="F2004" s="4">
        <v>0</v>
      </c>
      <c r="G2004" s="4">
        <v>138</v>
      </c>
      <c r="H2004" s="12" t="str">
        <f t="array" ref="H2004">IF(G2004:G6046="","",_xlfn.XLOOKUP(G2004:G6046,castles_state!A:A,castles_state!D:D,"見つかりません"))</f>
      </c>
      <c r="I2004" s="4"/>
      <c r="J2004" s="12" t="str">
        <f t="array" ref="J2004">IF(I2004:I6046="","",_xlfn.XLOOKUP(I2004:I6046,'参照_姫'!A:A,'参照_姫'!B:B,"見つかりません"))</f>
      </c>
      <c r="K2004" s="4">
        <v>95</v>
      </c>
      <c r="L2004" s="4">
        <v>0</v>
      </c>
      <c r="M2004" s="4"/>
      <c r="N2004" s="4"/>
      <c r="O2004" s="4"/>
      <c r="P2004" s="12" t="str">
        <f t="array" ref="P2004">IF(O2004:O6046="","",_xlfn.XLOOKUP(O2004:O6046,'参照_官位'!A:A,'参照_官位'!B:B,""))</f>
      </c>
      <c r="Q2004" s="12" t="str">
        <f t="array" ref="Q2004">IF(A2004:A6046="","",IFERROR(_xlfn.XLOOKUP(A2004:A6046,castles_state!K:K,castles_state!D:D)&amp;"主",IFERROR(_xlfn.XLOOKUP(A2004:A6046,kunishuClan!D:D,kunishuClan!B:B)&amp;"当主","")))</f>
      </c>
    </row>
    <row r="2005" ht="15.75" customHeight="1">
      <c r="A2005" s="4">
        <v>1049026</v>
      </c>
      <c r="B2005" s="12" t="str">
        <f t="array" ref="B2005">IF(A2005:A6047="","",_xlfn.XLOOKUP(A2005:A6047,'参照_武将'!A:A,'参照_武将'!B:B,"見つかりません"))</f>
      </c>
      <c r="C2005" s="4" t="s">
        <v>246</v>
      </c>
      <c r="D2005" s="4">
        <v>49</v>
      </c>
      <c r="E2005" s="12" t="str">
        <f t="array" ref="E2005">IF(D2005:D6047="","",IFERROR(_xlfn.XLOOKUP(D2005:D6047,'参照_勢力'!A:A,'参照_勢力'!B:B),IFERROR(_xlfn.XLOOKUP(F2005:F6047,kunishuClan!A:A,kunishuClan!B:B),"浪人")))</f>
      </c>
      <c r="F2005" s="4">
        <v>0</v>
      </c>
      <c r="G2005" s="4">
        <v>138</v>
      </c>
      <c r="H2005" s="12" t="str">
        <f t="array" ref="H2005">IF(G2005:G6047="","",_xlfn.XLOOKUP(G2005:G6047,castles_state!A:A,castles_state!D:D,"見つかりません"))</f>
      </c>
      <c r="I2005" s="4"/>
      <c r="J2005" s="12" t="str">
        <f t="array" ref="J2005">IF(I2005:I6047="","",_xlfn.XLOOKUP(I2005:I6047,'参照_姫'!A:A,'参照_姫'!B:B,"見つかりません"))</f>
      </c>
      <c r="K2005" s="4">
        <v>95</v>
      </c>
      <c r="L2005" s="4">
        <v>0</v>
      </c>
      <c r="M2005" s="4"/>
      <c r="N2005" s="4"/>
      <c r="O2005" s="4"/>
      <c r="P2005" s="12" t="str">
        <f t="array" ref="P2005">IF(O2005:O6047="","",_xlfn.XLOOKUP(O2005:O6047,'参照_官位'!A:A,'参照_官位'!B:B,""))</f>
      </c>
      <c r="Q2005" s="12" t="str">
        <f t="array" ref="Q2005">IF(A2005:A6047="","",IFERROR(_xlfn.XLOOKUP(A2005:A6047,castles_state!K:K,castles_state!D:D)&amp;"主",IFERROR(_xlfn.XLOOKUP(A2005:A6047,kunishuClan!D:D,kunishuClan!B:B)&amp;"当主","")))</f>
      </c>
    </row>
    <row r="2006" ht="15.75" customHeight="1">
      <c r="A2006" s="4">
        <v>1049027</v>
      </c>
      <c r="B2006" s="12" t="str">
        <f t="array" ref="B2006">IF(A2006:A6048="","",_xlfn.XLOOKUP(A2006:A6048,'参照_武将'!A:A,'参照_武将'!B:B,"見つかりません"))</f>
      </c>
      <c r="C2006" s="4" t="s">
        <v>246</v>
      </c>
      <c r="D2006" s="4">
        <v>49</v>
      </c>
      <c r="E2006" s="12" t="str">
        <f t="array" ref="E2006">IF(D2006:D6048="","",IFERROR(_xlfn.XLOOKUP(D2006:D6048,'参照_勢力'!A:A,'参照_勢力'!B:B),IFERROR(_xlfn.XLOOKUP(F2006:F6048,kunishuClan!A:A,kunishuClan!B:B),"浪人")))</f>
      </c>
      <c r="F2006" s="4">
        <v>0</v>
      </c>
      <c r="G2006" s="4">
        <v>138</v>
      </c>
      <c r="H2006" s="12" t="str">
        <f t="array" ref="H2006">IF(G2006:G6048="","",_xlfn.XLOOKUP(G2006:G6048,castles_state!A:A,castles_state!D:D,"見つかりません"))</f>
      </c>
      <c r="I2006" s="4"/>
      <c r="J2006" s="12" t="str">
        <f t="array" ref="J2006">IF(I2006:I6048="","",_xlfn.XLOOKUP(I2006:I6048,'参照_姫'!A:A,'参照_姫'!B:B,"見つかりません"))</f>
      </c>
      <c r="K2006" s="4">
        <v>95</v>
      </c>
      <c r="L2006" s="4">
        <v>0</v>
      </c>
      <c r="M2006" s="4"/>
      <c r="N2006" s="4"/>
      <c r="O2006" s="4"/>
      <c r="P2006" s="12" t="str">
        <f t="array" ref="P2006">IF(O2006:O6048="","",_xlfn.XLOOKUP(O2006:O6048,'参照_官位'!A:A,'参照_官位'!B:B,""))</f>
      </c>
      <c r="Q2006" s="12" t="str">
        <f t="array" ref="Q2006">IF(A2006:A6048="","",IFERROR(_xlfn.XLOOKUP(A2006:A6048,castles_state!K:K,castles_state!D:D)&amp;"主",IFERROR(_xlfn.XLOOKUP(A2006:A6048,kunishuClan!D:D,kunishuClan!B:B)&amp;"当主","")))</f>
      </c>
    </row>
    <row r="2007" ht="15.75" customHeight="1">
      <c r="A2007" s="4">
        <v>1049028</v>
      </c>
      <c r="B2007" s="12" t="str">
        <f t="array" ref="B2007">IF(A2007:A6049="","",_xlfn.XLOOKUP(A2007:A6049,'参照_武将'!A:A,'参照_武将'!B:B,"見つかりません"))</f>
      </c>
      <c r="C2007" s="4" t="s">
        <v>246</v>
      </c>
      <c r="D2007" s="4">
        <v>49</v>
      </c>
      <c r="E2007" s="12" t="str">
        <f t="array" ref="E2007">IF(D2007:D6049="","",IFERROR(_xlfn.XLOOKUP(D2007:D6049,'参照_勢力'!A:A,'参照_勢力'!B:B),IFERROR(_xlfn.XLOOKUP(F2007:F6049,kunishuClan!A:A,kunishuClan!B:B),"浪人")))</f>
      </c>
      <c r="F2007" s="4">
        <v>0</v>
      </c>
      <c r="G2007" s="4">
        <v>139</v>
      </c>
      <c r="H2007" s="12" t="str">
        <f t="array" ref="H2007">IF(G2007:G6049="","",_xlfn.XLOOKUP(G2007:G6049,castles_state!A:A,castles_state!D:D,"見つかりません"))</f>
      </c>
      <c r="I2007" s="4"/>
      <c r="J2007" s="12" t="str">
        <f t="array" ref="J2007">IF(I2007:I6049="","",_xlfn.XLOOKUP(I2007:I6049,'参照_姫'!A:A,'参照_姫'!B:B,"見つかりません"))</f>
      </c>
      <c r="K2007" s="4">
        <v>80</v>
      </c>
      <c r="L2007" s="4">
        <v>0</v>
      </c>
      <c r="M2007" s="4"/>
      <c r="N2007" s="4"/>
      <c r="O2007" s="4"/>
      <c r="P2007" s="12" t="str">
        <f t="array" ref="P2007">IF(O2007:O6049="","",_xlfn.XLOOKUP(O2007:O6049,'参照_官位'!A:A,'参照_官位'!B:B,""))</f>
      </c>
      <c r="Q2007" s="12" t="str">
        <f t="array" ref="Q2007">IF(A2007:A6049="","",IFERROR(_xlfn.XLOOKUP(A2007:A6049,castles_state!K:K,castles_state!D:D)&amp;"主",IFERROR(_xlfn.XLOOKUP(A2007:A6049,kunishuClan!D:D,kunishuClan!B:B)&amp;"当主","")))</f>
      </c>
    </row>
    <row r="2008" ht="15.75" customHeight="1">
      <c r="A2008" s="4">
        <v>1050001</v>
      </c>
      <c r="B2008" s="12" t="str">
        <f t="array" ref="B2008">IF(A2008:A6050="","",_xlfn.XLOOKUP(A2008:A6050,'参照_武将'!A:A,'参照_武将'!B:B,"見つかりません"))</f>
      </c>
      <c r="C2008" s="4" t="s">
        <v>249</v>
      </c>
      <c r="D2008" s="4">
        <v>50</v>
      </c>
      <c r="E2008" s="12" t="str">
        <f t="array" ref="E2008">IF(D2008:D6050="","",IFERROR(_xlfn.XLOOKUP(D2008:D6050,'参照_勢力'!A:A,'参照_勢力'!B:B),IFERROR(_xlfn.XLOOKUP(F2008:F6050,kunishuClan!A:A,kunishuClan!B:B),"浪人")))</f>
      </c>
      <c r="F2008" s="4">
        <v>0</v>
      </c>
      <c r="G2008" s="4">
        <v>136</v>
      </c>
      <c r="H2008" s="12" t="str">
        <f t="array" ref="H2008">IF(G2008:G6050="","",_xlfn.XLOOKUP(G2008:G6050,castles_state!A:A,castles_state!D:D,"見つかりません"))</f>
      </c>
      <c r="I2008" s="4"/>
      <c r="J2008" s="12" t="str">
        <f t="array" ref="J2008">IF(I2008:I6050="","",_xlfn.XLOOKUP(I2008:I6050,'参照_姫'!A:A,'参照_姫'!B:B,"見つかりません"))</f>
      </c>
      <c r="K2008" s="4">
        <v>95</v>
      </c>
      <c r="L2008" s="4">
        <v>0</v>
      </c>
      <c r="M2008" s="4"/>
      <c r="N2008" s="4"/>
      <c r="O2008" s="4"/>
      <c r="P2008" s="12" t="str">
        <f t="array" ref="P2008">IF(O2008:O6050="","",_xlfn.XLOOKUP(O2008:O6050,'参照_官位'!A:A,'参照_官位'!B:B,""))</f>
      </c>
      <c r="Q2008" s="12" t="str">
        <f t="array" ref="Q2008">IF(A2008:A6050="","",IFERROR(_xlfn.XLOOKUP(A2008:A6050,castles_state!K:K,castles_state!D:D)&amp;"主",IFERROR(_xlfn.XLOOKUP(A2008:A6050,kunishuClan!D:D,kunishuClan!B:B)&amp;"当主","")))</f>
      </c>
    </row>
    <row r="2009" ht="15.75" customHeight="1">
      <c r="A2009" s="4">
        <v>1050002</v>
      </c>
      <c r="B2009" s="12" t="str">
        <f t="array" ref="B2009">IF(A2009:A6051="","",_xlfn.XLOOKUP(A2009:A6051,'参照_武将'!A:A,'参照_武将'!B:B,"見つかりません"))</f>
      </c>
      <c r="C2009" s="4" t="s">
        <v>249</v>
      </c>
      <c r="D2009" s="4">
        <v>50</v>
      </c>
      <c r="E2009" s="12" t="str">
        <f t="array" ref="E2009">IF(D2009:D6051="","",IFERROR(_xlfn.XLOOKUP(D2009:D6051,'参照_勢力'!A:A,'参照_勢力'!B:B),IFERROR(_xlfn.XLOOKUP(F2009:F6051,kunishuClan!A:A,kunishuClan!B:B),"浪人")))</f>
      </c>
      <c r="F2009" s="4">
        <v>0</v>
      </c>
      <c r="G2009" s="4">
        <v>136</v>
      </c>
      <c r="H2009" s="12" t="str">
        <f t="array" ref="H2009">IF(G2009:G6051="","",_xlfn.XLOOKUP(G2009:G6051,castles_state!A:A,castles_state!D:D,"見つかりません"))</f>
      </c>
      <c r="I2009" s="4"/>
      <c r="J2009" s="12" t="str">
        <f t="array" ref="J2009">IF(I2009:I6051="","",_xlfn.XLOOKUP(I2009:I6051,'参照_姫'!A:A,'参照_姫'!B:B,"見つかりません"))</f>
      </c>
      <c r="K2009" s="4">
        <v>95</v>
      </c>
      <c r="L2009" s="4">
        <v>0</v>
      </c>
      <c r="M2009" s="4"/>
      <c r="N2009" s="4"/>
      <c r="O2009" s="4"/>
      <c r="P2009" s="12" t="str">
        <f t="array" ref="P2009">IF(O2009:O6051="","",_xlfn.XLOOKUP(O2009:O6051,'参照_官位'!A:A,'参照_官位'!B:B,""))</f>
      </c>
      <c r="Q2009" s="12" t="str">
        <f t="array" ref="Q2009">IF(A2009:A6051="","",IFERROR(_xlfn.XLOOKUP(A2009:A6051,castles_state!K:K,castles_state!D:D)&amp;"主",IFERROR(_xlfn.XLOOKUP(A2009:A6051,kunishuClan!D:D,kunishuClan!B:B)&amp;"当主","")))</f>
      </c>
    </row>
    <row r="2010" ht="15.75" customHeight="1">
      <c r="A2010" s="4">
        <v>1050003</v>
      </c>
      <c r="B2010" s="12" t="str">
        <f t="array" ref="B2010">IF(A2010:A6052="","",_xlfn.XLOOKUP(A2010:A6052,'参照_武将'!A:A,'参照_武将'!B:B,"見つかりません"))</f>
      </c>
      <c r="C2010" s="4" t="s">
        <v>249</v>
      </c>
      <c r="D2010" s="4">
        <v>50</v>
      </c>
      <c r="E2010" s="12" t="str">
        <f t="array" ref="E2010">IF(D2010:D6052="","",IFERROR(_xlfn.XLOOKUP(D2010:D6052,'参照_勢力'!A:A,'参照_勢力'!B:B),IFERROR(_xlfn.XLOOKUP(F2010:F6052,kunishuClan!A:A,kunishuClan!B:B),"浪人")))</f>
      </c>
      <c r="F2010" s="4">
        <v>0</v>
      </c>
      <c r="G2010" s="4">
        <v>136</v>
      </c>
      <c r="H2010" s="12" t="str">
        <f t="array" ref="H2010">IF(G2010:G6052="","",_xlfn.XLOOKUP(G2010:G6052,castles_state!A:A,castles_state!D:D,"見つかりません"))</f>
      </c>
      <c r="I2010" s="4"/>
      <c r="J2010" s="12" t="str">
        <f t="array" ref="J2010">IF(I2010:I6052="","",_xlfn.XLOOKUP(I2010:I6052,'参照_姫'!A:A,'参照_姫'!B:B,"見つかりません"))</f>
      </c>
      <c r="K2010" s="4">
        <v>95</v>
      </c>
      <c r="L2010" s="4">
        <v>0</v>
      </c>
      <c r="M2010" s="4"/>
      <c r="N2010" s="4"/>
      <c r="O2010" s="4"/>
      <c r="P2010" s="12" t="str">
        <f t="array" ref="P2010">IF(O2010:O6052="","",_xlfn.XLOOKUP(O2010:O6052,'参照_官位'!A:A,'参照_官位'!B:B,""))</f>
      </c>
      <c r="Q2010" s="12" t="str">
        <f t="array" ref="Q2010">IF(A2010:A6052="","",IFERROR(_xlfn.XLOOKUP(A2010:A6052,castles_state!K:K,castles_state!D:D)&amp;"主",IFERROR(_xlfn.XLOOKUP(A2010:A6052,kunishuClan!D:D,kunishuClan!B:B)&amp;"当主","")))</f>
      </c>
    </row>
    <row r="2011" ht="15.75" customHeight="1">
      <c r="A2011" s="4">
        <v>1050004</v>
      </c>
      <c r="B2011" s="12" t="str">
        <f t="array" ref="B2011">IF(A2011:A6053="","",_xlfn.XLOOKUP(A2011:A6053,'参照_武将'!A:A,'参照_武将'!B:B,"見つかりません"))</f>
      </c>
      <c r="C2011" s="4" t="s">
        <v>249</v>
      </c>
      <c r="D2011" s="4">
        <v>50</v>
      </c>
      <c r="E2011" s="12" t="str">
        <f t="array" ref="E2011">IF(D2011:D6053="","",IFERROR(_xlfn.XLOOKUP(D2011:D6053,'参照_勢力'!A:A,'参照_勢力'!B:B),IFERROR(_xlfn.XLOOKUP(F2011:F6053,kunishuClan!A:A,kunishuClan!B:B),"浪人")))</f>
      </c>
      <c r="F2011" s="4">
        <v>0</v>
      </c>
      <c r="G2011" s="4">
        <v>136</v>
      </c>
      <c r="H2011" s="12" t="str">
        <f t="array" ref="H2011">IF(G2011:G6053="","",_xlfn.XLOOKUP(G2011:G6053,castles_state!A:A,castles_state!D:D,"見つかりません"))</f>
      </c>
      <c r="I2011" s="4"/>
      <c r="J2011" s="12" t="str">
        <f t="array" ref="J2011">IF(I2011:I6053="","",_xlfn.XLOOKUP(I2011:I6053,'参照_姫'!A:A,'参照_姫'!B:B,"見つかりません"))</f>
      </c>
      <c r="K2011" s="4">
        <v>95</v>
      </c>
      <c r="L2011" s="4">
        <v>0</v>
      </c>
      <c r="M2011" s="4"/>
      <c r="N2011" s="4"/>
      <c r="O2011" s="4"/>
      <c r="P2011" s="12" t="str">
        <f t="array" ref="P2011">IF(O2011:O6053="","",_xlfn.XLOOKUP(O2011:O6053,'参照_官位'!A:A,'参照_官位'!B:B,""))</f>
      </c>
      <c r="Q2011" s="12" t="str">
        <f t="array" ref="Q2011">IF(A2011:A6053="","",IFERROR(_xlfn.XLOOKUP(A2011:A6053,castles_state!K:K,castles_state!D:D)&amp;"主",IFERROR(_xlfn.XLOOKUP(A2011:A6053,kunishuClan!D:D,kunishuClan!B:B)&amp;"当主","")))</f>
      </c>
    </row>
    <row r="2012" ht="15.75" customHeight="1">
      <c r="A2012" s="4">
        <v>1050005</v>
      </c>
      <c r="B2012" s="12" t="str">
        <f t="array" ref="B2012">IF(A2012:A6054="","",_xlfn.XLOOKUP(A2012:A6054,'参照_武将'!A:A,'参照_武将'!B:B,"見つかりません"))</f>
      </c>
      <c r="C2012" s="4" t="s">
        <v>249</v>
      </c>
      <c r="D2012" s="4">
        <v>50</v>
      </c>
      <c r="E2012" s="12" t="str">
        <f t="array" ref="E2012">IF(D2012:D6054="","",IFERROR(_xlfn.XLOOKUP(D2012:D6054,'参照_勢力'!A:A,'参照_勢力'!B:B),IFERROR(_xlfn.XLOOKUP(F2012:F6054,kunishuClan!A:A,kunishuClan!B:B),"浪人")))</f>
      </c>
      <c r="F2012" s="4">
        <v>0</v>
      </c>
      <c r="G2012" s="4">
        <v>136</v>
      </c>
      <c r="H2012" s="12" t="str">
        <f t="array" ref="H2012">IF(G2012:G6054="","",_xlfn.XLOOKUP(G2012:G6054,castles_state!A:A,castles_state!D:D,"見つかりません"))</f>
      </c>
      <c r="I2012" s="4"/>
      <c r="J2012" s="12" t="str">
        <f t="array" ref="J2012">IF(I2012:I6054="","",_xlfn.XLOOKUP(I2012:I6054,'参照_姫'!A:A,'参照_姫'!B:B,"見つかりません"))</f>
      </c>
      <c r="K2012" s="4">
        <v>100</v>
      </c>
      <c r="L2012" s="4">
        <v>1500</v>
      </c>
      <c r="M2012" s="4"/>
      <c r="N2012" s="4"/>
      <c r="O2012" s="4">
        <v>16</v>
      </c>
      <c r="P2012" s="12" t="str">
        <f t="array" ref="P2012">IF(O2012:O6054="","",_xlfn.XLOOKUP(O2012:O6054,'参照_官位'!A:A,'参照_官位'!B:B,""))</f>
      </c>
      <c r="Q2012" s="12" t="str">
        <f t="array" ref="Q2012">IF(A2012:A6054="","",IFERROR(_xlfn.XLOOKUP(A2012:A6054,castles_state!K:K,castles_state!D:D)&amp;"主",IFERROR(_xlfn.XLOOKUP(A2012:A6054,kunishuClan!D:D,kunishuClan!B:B)&amp;"当主","")))</f>
      </c>
    </row>
    <row r="2013" ht="15.75" customHeight="1">
      <c r="A2013" s="4">
        <v>1050006</v>
      </c>
      <c r="B2013" s="12" t="str">
        <f t="array" ref="B2013">IF(A2013:A6055="","",_xlfn.XLOOKUP(A2013:A6055,'参照_武将'!A:A,'参照_武将'!B:B,"見つかりません"))</f>
      </c>
      <c r="C2013" s="4" t="s">
        <v>249</v>
      </c>
      <c r="D2013" s="4">
        <v>50</v>
      </c>
      <c r="E2013" s="12" t="str">
        <f t="array" ref="E2013">IF(D2013:D6055="","",IFERROR(_xlfn.XLOOKUP(D2013:D6055,'参照_勢力'!A:A,'参照_勢力'!B:B),IFERROR(_xlfn.XLOOKUP(F2013:F6055,kunishuClan!A:A,kunishuClan!B:B),"浪人")))</f>
      </c>
      <c r="F2013" s="4">
        <v>0</v>
      </c>
      <c r="G2013" s="4">
        <v>136</v>
      </c>
      <c r="H2013" s="12" t="str">
        <f t="array" ref="H2013">IF(G2013:G6055="","",_xlfn.XLOOKUP(G2013:G6055,castles_state!A:A,castles_state!D:D,"見つかりません"))</f>
      </c>
      <c r="I2013" s="4"/>
      <c r="J2013" s="12" t="str">
        <f t="array" ref="J2013">IF(I2013:I6055="","",_xlfn.XLOOKUP(I2013:I6055,'参照_姫'!A:A,'参照_姫'!B:B,"見つかりません"))</f>
      </c>
      <c r="K2013" s="4">
        <v>95</v>
      </c>
      <c r="L2013" s="4">
        <v>700</v>
      </c>
      <c r="M2013" s="4"/>
      <c r="N2013" s="4"/>
      <c r="O2013" s="4"/>
      <c r="P2013" s="12" t="str">
        <f t="array" ref="P2013">IF(O2013:O6055="","",_xlfn.XLOOKUP(O2013:O6055,'参照_官位'!A:A,'参照_官位'!B:B,""))</f>
      </c>
      <c r="Q2013" s="12" t="str">
        <f t="array" ref="Q2013">IF(A2013:A6055="","",IFERROR(_xlfn.XLOOKUP(A2013:A6055,castles_state!K:K,castles_state!D:D)&amp;"主",IFERROR(_xlfn.XLOOKUP(A2013:A6055,kunishuClan!D:D,kunishuClan!B:B)&amp;"当主","")))</f>
      </c>
    </row>
    <row r="2014" ht="15.75" customHeight="1">
      <c r="A2014" s="4">
        <v>1050007</v>
      </c>
      <c r="B2014" s="12" t="str">
        <f t="array" ref="B2014">IF(A2014:A6056="","",_xlfn.XLOOKUP(A2014:A6056,'参照_武将'!A:A,'参照_武将'!B:B,"見つかりません"))</f>
      </c>
      <c r="C2014" s="4" t="s">
        <v>249</v>
      </c>
      <c r="D2014" s="4">
        <v>50</v>
      </c>
      <c r="E2014" s="12" t="str">
        <f t="array" ref="E2014">IF(D2014:D6056="","",IFERROR(_xlfn.XLOOKUP(D2014:D6056,'参照_勢力'!A:A,'参照_勢力'!B:B),IFERROR(_xlfn.XLOOKUP(F2014:F6056,kunishuClan!A:A,kunishuClan!B:B),"浪人")))</f>
      </c>
      <c r="F2014" s="4">
        <v>0</v>
      </c>
      <c r="G2014" s="4">
        <v>136</v>
      </c>
      <c r="H2014" s="12" t="str">
        <f t="array" ref="H2014">IF(G2014:G6056="","",_xlfn.XLOOKUP(G2014:G6056,castles_state!A:A,castles_state!D:D,"見つかりません"))</f>
      </c>
      <c r="I2014" s="4"/>
      <c r="J2014" s="12" t="str">
        <f t="array" ref="J2014">IF(I2014:I6056="","",_xlfn.XLOOKUP(I2014:I6056,'参照_姫'!A:A,'参照_姫'!B:B,"見つかりません"))</f>
      </c>
      <c r="K2014" s="4">
        <v>95</v>
      </c>
      <c r="L2014" s="4">
        <v>700</v>
      </c>
      <c r="M2014" s="4"/>
      <c r="N2014" s="4"/>
      <c r="O2014" s="4"/>
      <c r="P2014" s="12" t="str">
        <f t="array" ref="P2014">IF(O2014:O6056="","",_xlfn.XLOOKUP(O2014:O6056,'参照_官位'!A:A,'参照_官位'!B:B,""))</f>
      </c>
      <c r="Q2014" s="12" t="str">
        <f t="array" ref="Q2014">IF(A2014:A6056="","",IFERROR(_xlfn.XLOOKUP(A2014:A6056,castles_state!K:K,castles_state!D:D)&amp;"主",IFERROR(_xlfn.XLOOKUP(A2014:A6056,kunishuClan!D:D,kunishuClan!B:B)&amp;"当主","")))</f>
      </c>
    </row>
    <row r="2015" ht="15.75" customHeight="1">
      <c r="A2015" s="4">
        <v>1050008</v>
      </c>
      <c r="B2015" s="12" t="str">
        <f t="array" ref="B2015">IF(A2015:A6057="","",_xlfn.XLOOKUP(A2015:A6057,'参照_武将'!A:A,'参照_武将'!B:B,"見つかりません"))</f>
      </c>
      <c r="C2015" s="4" t="s">
        <v>249</v>
      </c>
      <c r="D2015" s="4">
        <v>50</v>
      </c>
      <c r="E2015" s="12" t="str">
        <f t="array" ref="E2015">IF(D2015:D6057="","",IFERROR(_xlfn.XLOOKUP(D2015:D6057,'参照_勢力'!A:A,'参照_勢力'!B:B),IFERROR(_xlfn.XLOOKUP(F2015:F6057,kunishuClan!A:A,kunishuClan!B:B),"浪人")))</f>
      </c>
      <c r="F2015" s="4">
        <v>0</v>
      </c>
      <c r="G2015" s="4">
        <v>136</v>
      </c>
      <c r="H2015" s="12" t="str">
        <f t="array" ref="H2015">IF(G2015:G6057="","",_xlfn.XLOOKUP(G2015:G6057,castles_state!A:A,castles_state!D:D,"見つかりません"))</f>
      </c>
      <c r="I2015" s="4"/>
      <c r="J2015" s="12" t="str">
        <f t="array" ref="J2015">IF(I2015:I6057="","",_xlfn.XLOOKUP(I2015:I6057,'参照_姫'!A:A,'参照_姫'!B:B,"見つかりません"))</f>
      </c>
      <c r="K2015" s="4">
        <v>90</v>
      </c>
      <c r="L2015" s="4">
        <v>500</v>
      </c>
      <c r="M2015" s="4" t="b">
        <v>1</v>
      </c>
      <c r="N2015" s="4"/>
      <c r="O2015" s="4"/>
      <c r="P2015" s="12" t="str">
        <f t="array" ref="P2015">IF(O2015:O6057="","",_xlfn.XLOOKUP(O2015:O6057,'参照_官位'!A:A,'参照_官位'!B:B,""))</f>
      </c>
      <c r="Q2015" s="12" t="str">
        <f t="array" ref="Q2015">IF(A2015:A6057="","",IFERROR(_xlfn.XLOOKUP(A2015:A6057,castles_state!K:K,castles_state!D:D)&amp;"主",IFERROR(_xlfn.XLOOKUP(A2015:A6057,kunishuClan!D:D,kunishuClan!B:B)&amp;"当主","")))</f>
      </c>
    </row>
    <row r="2016" ht="15.75" customHeight="1">
      <c r="A2016" s="4">
        <v>1050009</v>
      </c>
      <c r="B2016" s="12" t="str">
        <f t="array" ref="B2016">IF(A2016:A6058="","",_xlfn.XLOOKUP(A2016:A6058,'参照_武将'!A:A,'参照_武将'!B:B,"見つかりません"))</f>
      </c>
      <c r="C2016" s="4" t="s">
        <v>249</v>
      </c>
      <c r="D2016" s="4">
        <v>50</v>
      </c>
      <c r="E2016" s="12" t="str">
        <f t="array" ref="E2016">IF(D2016:D6058="","",IFERROR(_xlfn.XLOOKUP(D2016:D6058,'参照_勢力'!A:A,'参照_勢力'!B:B),IFERROR(_xlfn.XLOOKUP(F2016:F6058,kunishuClan!A:A,kunishuClan!B:B),"浪人")))</f>
      </c>
      <c r="F2016" s="4">
        <v>0</v>
      </c>
      <c r="G2016" s="4">
        <v>136</v>
      </c>
      <c r="H2016" s="12" t="str">
        <f t="array" ref="H2016">IF(G2016:G6058="","",_xlfn.XLOOKUP(G2016:G6058,castles_state!A:A,castles_state!D:D,"見つかりません"))</f>
      </c>
      <c r="I2016" s="4"/>
      <c r="J2016" s="12" t="str">
        <f t="array" ref="J2016">IF(I2016:I6058="","",_xlfn.XLOOKUP(I2016:I6058,'参照_姫'!A:A,'参照_姫'!B:B,"見つかりません"))</f>
      </c>
      <c r="K2016" s="4">
        <v>95</v>
      </c>
      <c r="L2016" s="4">
        <v>0</v>
      </c>
      <c r="M2016" s="4"/>
      <c r="N2016" s="4"/>
      <c r="O2016" s="4"/>
      <c r="P2016" s="12" t="str">
        <f t="array" ref="P2016">IF(O2016:O6058="","",_xlfn.XLOOKUP(O2016:O6058,'参照_官位'!A:A,'参照_官位'!B:B,""))</f>
      </c>
      <c r="Q2016" s="12" t="str">
        <f t="array" ref="Q2016">IF(A2016:A6058="","",IFERROR(_xlfn.XLOOKUP(A2016:A6058,castles_state!K:K,castles_state!D:D)&amp;"主",IFERROR(_xlfn.XLOOKUP(A2016:A6058,kunishuClan!D:D,kunishuClan!B:B)&amp;"当主","")))</f>
      </c>
    </row>
    <row r="2017" ht="15.75" customHeight="1">
      <c r="A2017" s="4">
        <v>1050010</v>
      </c>
      <c r="B2017" s="12" t="str">
        <f t="array" ref="B2017">IF(A2017:A6059="","",_xlfn.XLOOKUP(A2017:A6059,'参照_武将'!A:A,'参照_武将'!B:B,"見つかりません"))</f>
      </c>
      <c r="C2017" s="4" t="s">
        <v>249</v>
      </c>
      <c r="D2017" s="4">
        <v>50</v>
      </c>
      <c r="E2017" s="12" t="str">
        <f t="array" ref="E2017">IF(D2017:D6059="","",IFERROR(_xlfn.XLOOKUP(D2017:D6059,'参照_勢力'!A:A,'参照_勢力'!B:B),IFERROR(_xlfn.XLOOKUP(F2017:F6059,kunishuClan!A:A,kunishuClan!B:B),"浪人")))</f>
      </c>
      <c r="F2017" s="4">
        <v>0</v>
      </c>
      <c r="G2017" s="4">
        <v>136</v>
      </c>
      <c r="H2017" s="12" t="str">
        <f t="array" ref="H2017">IF(G2017:G6059="","",_xlfn.XLOOKUP(G2017:G6059,castles_state!A:A,castles_state!D:D,"見つかりません"))</f>
      </c>
      <c r="I2017" s="4"/>
      <c r="J2017" s="12" t="str">
        <f t="array" ref="J2017">IF(I2017:I6059="","",_xlfn.XLOOKUP(I2017:I6059,'参照_姫'!A:A,'参照_姫'!B:B,"見つかりません"))</f>
      </c>
      <c r="K2017" s="4">
        <v>95</v>
      </c>
      <c r="L2017" s="4">
        <v>200</v>
      </c>
      <c r="M2017" s="4"/>
      <c r="N2017" s="4"/>
      <c r="O2017" s="4">
        <v>83</v>
      </c>
      <c r="P2017" s="12" t="str">
        <f t="array" ref="P2017">IF(O2017:O6059="","",_xlfn.XLOOKUP(O2017:O6059,'参照_官位'!A:A,'参照_官位'!B:B,""))</f>
      </c>
      <c r="Q2017" s="12" t="str">
        <f t="array" ref="Q2017">IF(A2017:A6059="","",IFERROR(_xlfn.XLOOKUP(A2017:A6059,castles_state!K:K,castles_state!D:D)&amp;"主",IFERROR(_xlfn.XLOOKUP(A2017:A6059,kunishuClan!D:D,kunishuClan!B:B)&amp;"当主","")))</f>
      </c>
    </row>
    <row r="2018" ht="15.75" customHeight="1">
      <c r="A2018" s="4">
        <v>1050011</v>
      </c>
      <c r="B2018" s="12" t="str">
        <f t="array" ref="B2018">IF(A2018:A6060="","",_xlfn.XLOOKUP(A2018:A6060,'参照_武将'!A:A,'参照_武将'!B:B,"見つかりません"))</f>
      </c>
      <c r="C2018" s="4" t="s">
        <v>249</v>
      </c>
      <c r="D2018" s="4">
        <v>50</v>
      </c>
      <c r="E2018" s="12" t="str">
        <f t="array" ref="E2018">IF(D2018:D6060="","",IFERROR(_xlfn.XLOOKUP(D2018:D6060,'参照_勢力'!A:A,'参照_勢力'!B:B),IFERROR(_xlfn.XLOOKUP(F2018:F6060,kunishuClan!A:A,kunishuClan!B:B),"浪人")))</f>
      </c>
      <c r="F2018" s="4">
        <v>0</v>
      </c>
      <c r="G2018" s="4">
        <v>136</v>
      </c>
      <c r="H2018" s="12" t="str">
        <f t="array" ref="H2018">IF(G2018:G6060="","",_xlfn.XLOOKUP(G2018:G6060,castles_state!A:A,castles_state!D:D,"見つかりません"))</f>
      </c>
      <c r="I2018" s="4"/>
      <c r="J2018" s="12" t="str">
        <f t="array" ref="J2018">IF(I2018:I6060="","",_xlfn.XLOOKUP(I2018:I6060,'参照_姫'!A:A,'参照_姫'!B:B,"見つかりません"))</f>
      </c>
      <c r="K2018" s="4">
        <v>95</v>
      </c>
      <c r="L2018" s="4">
        <v>0</v>
      </c>
      <c r="M2018" s="4"/>
      <c r="N2018" s="4"/>
      <c r="O2018" s="4"/>
      <c r="P2018" s="12" t="str">
        <f t="array" ref="P2018">IF(O2018:O6060="","",_xlfn.XLOOKUP(O2018:O6060,'参照_官位'!A:A,'参照_官位'!B:B,""))</f>
      </c>
      <c r="Q2018" s="12" t="str">
        <f t="array" ref="Q2018">IF(A2018:A6060="","",IFERROR(_xlfn.XLOOKUP(A2018:A6060,castles_state!K:K,castles_state!D:D)&amp;"主",IFERROR(_xlfn.XLOOKUP(A2018:A6060,kunishuClan!D:D,kunishuClan!B:B)&amp;"当主","")))</f>
      </c>
    </row>
    <row r="2019" ht="15.75" customHeight="1">
      <c r="A2019" s="4">
        <v>1050012</v>
      </c>
      <c r="B2019" s="12" t="str">
        <f t="array" ref="B2019">IF(A2019:A6061="","",_xlfn.XLOOKUP(A2019:A6061,'参照_武将'!A:A,'参照_武将'!B:B,"見つかりません"))</f>
      </c>
      <c r="C2019" s="4" t="s">
        <v>249</v>
      </c>
      <c r="D2019" s="4">
        <v>50</v>
      </c>
      <c r="E2019" s="12" t="str">
        <f t="array" ref="E2019">IF(D2019:D6061="","",IFERROR(_xlfn.XLOOKUP(D2019:D6061,'参照_勢力'!A:A,'参照_勢力'!B:B),IFERROR(_xlfn.XLOOKUP(F2019:F6061,kunishuClan!A:A,kunishuClan!B:B),"浪人")))</f>
      </c>
      <c r="F2019" s="4">
        <v>0</v>
      </c>
      <c r="G2019" s="4">
        <v>136</v>
      </c>
      <c r="H2019" s="12" t="str">
        <f t="array" ref="H2019">IF(G2019:G6061="","",_xlfn.XLOOKUP(G2019:G6061,castles_state!A:A,castles_state!D:D,"見つかりません"))</f>
      </c>
      <c r="I2019" s="4"/>
      <c r="J2019" s="12" t="str">
        <f t="array" ref="J2019">IF(I2019:I6061="","",_xlfn.XLOOKUP(I2019:I6061,'参照_姫'!A:A,'参照_姫'!B:B,"見つかりません"))</f>
      </c>
      <c r="K2019" s="4">
        <v>95</v>
      </c>
      <c r="L2019" s="4">
        <v>100</v>
      </c>
      <c r="M2019" s="4"/>
      <c r="N2019" s="4"/>
      <c r="O2019" s="4"/>
      <c r="P2019" s="12" t="str">
        <f t="array" ref="P2019">IF(O2019:O6061="","",_xlfn.XLOOKUP(O2019:O6061,'参照_官位'!A:A,'参照_官位'!B:B,""))</f>
      </c>
      <c r="Q2019" s="12" t="str">
        <f t="array" ref="Q2019">IF(A2019:A6061="","",IFERROR(_xlfn.XLOOKUP(A2019:A6061,castles_state!K:K,castles_state!D:D)&amp;"主",IFERROR(_xlfn.XLOOKUP(A2019:A6061,kunishuClan!D:D,kunishuClan!B:B)&amp;"当主","")))</f>
      </c>
    </row>
    <row r="2020" ht="15.75" customHeight="1">
      <c r="A2020" s="4">
        <v>1050013</v>
      </c>
      <c r="B2020" s="12" t="str">
        <f t="array" ref="B2020">IF(A2020:A6062="","",_xlfn.XLOOKUP(A2020:A6062,'参照_武将'!A:A,'参照_武将'!B:B,"見つかりません"))</f>
      </c>
      <c r="C2020" s="4" t="s">
        <v>249</v>
      </c>
      <c r="D2020" s="4">
        <v>50</v>
      </c>
      <c r="E2020" s="12" t="str">
        <f t="array" ref="E2020">IF(D2020:D6062="","",IFERROR(_xlfn.XLOOKUP(D2020:D6062,'参照_勢力'!A:A,'参照_勢力'!B:B),IFERROR(_xlfn.XLOOKUP(F2020:F6062,kunishuClan!A:A,kunishuClan!B:B),"浪人")))</f>
      </c>
      <c r="F2020" s="4">
        <v>0</v>
      </c>
      <c r="G2020" s="4">
        <v>136</v>
      </c>
      <c r="H2020" s="12" t="str">
        <f t="array" ref="H2020">IF(G2020:G6062="","",_xlfn.XLOOKUP(G2020:G6062,castles_state!A:A,castles_state!D:D,"見つかりません"))</f>
      </c>
      <c r="I2020" s="4"/>
      <c r="J2020" s="12" t="str">
        <f t="array" ref="J2020">IF(I2020:I6062="","",_xlfn.XLOOKUP(I2020:I6062,'参照_姫'!A:A,'参照_姫'!B:B,"見つかりません"))</f>
      </c>
      <c r="K2020" s="4">
        <v>80</v>
      </c>
      <c r="L2020" s="4">
        <v>300</v>
      </c>
      <c r="M2020" s="4"/>
      <c r="N2020" s="4"/>
      <c r="O2020" s="4"/>
      <c r="P2020" s="12" t="str">
        <f t="array" ref="P2020">IF(O2020:O6062="","",_xlfn.XLOOKUP(O2020:O6062,'参照_官位'!A:A,'参照_官位'!B:B,""))</f>
      </c>
      <c r="Q2020" s="12" t="str">
        <f t="array" ref="Q2020">IF(A2020:A6062="","",IFERROR(_xlfn.XLOOKUP(A2020:A6062,castles_state!K:K,castles_state!D:D)&amp;"主",IFERROR(_xlfn.XLOOKUP(A2020:A6062,kunishuClan!D:D,kunishuClan!B:B)&amp;"当主","")))</f>
      </c>
    </row>
    <row r="2021" ht="15.75" customHeight="1">
      <c r="A2021" s="4">
        <v>1050014</v>
      </c>
      <c r="B2021" s="12" t="str">
        <f t="array" ref="B2021">IF(A2021:A6063="","",_xlfn.XLOOKUP(A2021:A6063,'参照_武将'!A:A,'参照_武将'!B:B,"見つかりません"))</f>
      </c>
      <c r="C2021" s="4" t="s">
        <v>249</v>
      </c>
      <c r="D2021" s="4">
        <v>50</v>
      </c>
      <c r="E2021" s="12" t="str">
        <f t="array" ref="E2021">IF(D2021:D6063="","",IFERROR(_xlfn.XLOOKUP(D2021:D6063,'参照_勢力'!A:A,'参照_勢力'!B:B),IFERROR(_xlfn.XLOOKUP(F2021:F6063,kunishuClan!A:A,kunishuClan!B:B),"浪人")))</f>
      </c>
      <c r="F2021" s="4">
        <v>0</v>
      </c>
      <c r="G2021" s="4">
        <v>137</v>
      </c>
      <c r="H2021" s="12" t="str">
        <f t="array" ref="H2021">IF(G2021:G6063="","",_xlfn.XLOOKUP(G2021:G6063,castles_state!A:A,castles_state!D:D,"見つかりません"))</f>
      </c>
      <c r="I2021" s="4"/>
      <c r="J2021" s="12" t="str">
        <f t="array" ref="J2021">IF(I2021:I6063="","",_xlfn.XLOOKUP(I2021:I6063,'参照_姫'!A:A,'参照_姫'!B:B,"見つかりません"))</f>
      </c>
      <c r="K2021" s="4">
        <v>90</v>
      </c>
      <c r="L2021" s="4">
        <v>0</v>
      </c>
      <c r="M2021" s="4"/>
      <c r="N2021" s="4"/>
      <c r="O2021" s="4"/>
      <c r="P2021" s="12" t="str">
        <f t="array" ref="P2021">IF(O2021:O6063="","",_xlfn.XLOOKUP(O2021:O6063,'参照_官位'!A:A,'参照_官位'!B:B,""))</f>
      </c>
      <c r="Q2021" s="12" t="str">
        <f t="array" ref="Q2021">IF(A2021:A6063="","",IFERROR(_xlfn.XLOOKUP(A2021:A6063,castles_state!K:K,castles_state!D:D)&amp;"主",IFERROR(_xlfn.XLOOKUP(A2021:A6063,kunishuClan!D:D,kunishuClan!B:B)&amp;"当主","")))</f>
      </c>
    </row>
    <row r="2022" ht="15.75" customHeight="1">
      <c r="A2022" s="4">
        <v>1050015</v>
      </c>
      <c r="B2022" s="12" t="str">
        <f t="array" ref="B2022">IF(A2022:A6064="","",_xlfn.XLOOKUP(A2022:A6064,'参照_武将'!A:A,'参照_武将'!B:B,"見つかりません"))</f>
      </c>
      <c r="C2022" s="4" t="s">
        <v>249</v>
      </c>
      <c r="D2022" s="4">
        <v>50</v>
      </c>
      <c r="E2022" s="12" t="str">
        <f t="array" ref="E2022">IF(D2022:D6064="","",IFERROR(_xlfn.XLOOKUP(D2022:D6064,'参照_勢力'!A:A,'参照_勢力'!B:B),IFERROR(_xlfn.XLOOKUP(F2022:F6064,kunishuClan!A:A,kunishuClan!B:B),"浪人")))</f>
      </c>
      <c r="F2022" s="4">
        <v>0</v>
      </c>
      <c r="G2022" s="4">
        <v>137</v>
      </c>
      <c r="H2022" s="12" t="str">
        <f t="array" ref="H2022">IF(G2022:G6064="","",_xlfn.XLOOKUP(G2022:G6064,castles_state!A:A,castles_state!D:D,"見つかりません"))</f>
      </c>
      <c r="I2022" s="4"/>
      <c r="J2022" s="12" t="str">
        <f t="array" ref="J2022">IF(I2022:I6064="","",_xlfn.XLOOKUP(I2022:I6064,'参照_姫'!A:A,'参照_姫'!B:B,"見つかりません"))</f>
      </c>
      <c r="K2022" s="4">
        <v>95</v>
      </c>
      <c r="L2022" s="4">
        <v>500</v>
      </c>
      <c r="M2022" s="4"/>
      <c r="N2022" s="4"/>
      <c r="O2022" s="4"/>
      <c r="P2022" s="12" t="str">
        <f t="array" ref="P2022">IF(O2022:O6064="","",_xlfn.XLOOKUP(O2022:O6064,'参照_官位'!A:A,'参照_官位'!B:B,""))</f>
      </c>
      <c r="Q2022" s="12" t="str">
        <f t="array" ref="Q2022">IF(A2022:A6064="","",IFERROR(_xlfn.XLOOKUP(A2022:A6064,castles_state!K:K,castles_state!D:D)&amp;"主",IFERROR(_xlfn.XLOOKUP(A2022:A6064,kunishuClan!D:D,kunishuClan!B:B)&amp;"当主","")))</f>
      </c>
    </row>
    <row r="2023" ht="15.75" customHeight="1">
      <c r="A2023" s="4">
        <v>1050016</v>
      </c>
      <c r="B2023" s="12" t="str">
        <f t="array" ref="B2023">IF(A2023:A6065="","",_xlfn.XLOOKUP(A2023:A6065,'参照_武将'!A:A,'参照_武将'!B:B,"見つかりません"))</f>
      </c>
      <c r="C2023" s="4" t="s">
        <v>249</v>
      </c>
      <c r="D2023" s="4">
        <v>50</v>
      </c>
      <c r="E2023" s="12" t="str">
        <f t="array" ref="E2023">IF(D2023:D6065="","",IFERROR(_xlfn.XLOOKUP(D2023:D6065,'参照_勢力'!A:A,'参照_勢力'!B:B),IFERROR(_xlfn.XLOOKUP(F2023:F6065,kunishuClan!A:A,kunishuClan!B:B),"浪人")))</f>
      </c>
      <c r="F2023" s="4">
        <v>0</v>
      </c>
      <c r="G2023" s="4">
        <v>137</v>
      </c>
      <c r="H2023" s="12" t="str">
        <f t="array" ref="H2023">IF(G2023:G6065="","",_xlfn.XLOOKUP(G2023:G6065,castles_state!A:A,castles_state!D:D,"見つかりません"))</f>
      </c>
      <c r="I2023" s="4"/>
      <c r="J2023" s="12" t="str">
        <f t="array" ref="J2023">IF(I2023:I6065="","",_xlfn.XLOOKUP(I2023:I6065,'参照_姫'!A:A,'参照_姫'!B:B,"見つかりません"))</f>
      </c>
      <c r="K2023" s="4">
        <v>95</v>
      </c>
      <c r="L2023" s="4">
        <v>0</v>
      </c>
      <c r="M2023" s="4"/>
      <c r="N2023" s="4"/>
      <c r="O2023" s="4"/>
      <c r="P2023" s="12" t="str">
        <f t="array" ref="P2023">IF(O2023:O6065="","",_xlfn.XLOOKUP(O2023:O6065,'参照_官位'!A:A,'参照_官位'!B:B,""))</f>
      </c>
      <c r="Q2023" s="12" t="str">
        <f t="array" ref="Q2023">IF(A2023:A6065="","",IFERROR(_xlfn.XLOOKUP(A2023:A6065,castles_state!K:K,castles_state!D:D)&amp;"主",IFERROR(_xlfn.XLOOKUP(A2023:A6065,kunishuClan!D:D,kunishuClan!B:B)&amp;"当主","")))</f>
      </c>
    </row>
    <row r="2024" ht="15.75" customHeight="1">
      <c r="A2024" s="4">
        <v>1050017</v>
      </c>
      <c r="B2024" s="12" t="str">
        <f t="array" ref="B2024">IF(A2024:A6066="","",_xlfn.XLOOKUP(A2024:A6066,'参照_武将'!A:A,'参照_武将'!B:B,"見つかりません"))</f>
      </c>
      <c r="C2024" s="4" t="s">
        <v>249</v>
      </c>
      <c r="D2024" s="4">
        <v>50</v>
      </c>
      <c r="E2024" s="12" t="str">
        <f t="array" ref="E2024">IF(D2024:D6066="","",IFERROR(_xlfn.XLOOKUP(D2024:D6066,'参照_勢力'!A:A,'参照_勢力'!B:B),IFERROR(_xlfn.XLOOKUP(F2024:F6066,kunishuClan!A:A,kunishuClan!B:B),"浪人")))</f>
      </c>
      <c r="F2024" s="4">
        <v>0</v>
      </c>
      <c r="G2024" s="4">
        <v>136</v>
      </c>
      <c r="H2024" s="12" t="str">
        <f t="array" ref="H2024">IF(G2024:G6066="","",_xlfn.XLOOKUP(G2024:G6066,castles_state!A:A,castles_state!D:D,"見つかりません"))</f>
      </c>
      <c r="I2024" s="4"/>
      <c r="J2024" s="12" t="str">
        <f t="array" ref="J2024">IF(I2024:I6066="","",_xlfn.XLOOKUP(I2024:I6066,'参照_姫'!A:A,'参照_姫'!B:B,"見つかりません"))</f>
      </c>
      <c r="K2024" s="4">
        <v>95</v>
      </c>
      <c r="L2024" s="4">
        <v>0</v>
      </c>
      <c r="M2024" s="4"/>
      <c r="N2024" s="4"/>
      <c r="O2024" s="4"/>
      <c r="P2024" s="12" t="str">
        <f t="array" ref="P2024">IF(O2024:O6066="","",_xlfn.XLOOKUP(O2024:O6066,'参照_官位'!A:A,'参照_官位'!B:B,""))</f>
      </c>
      <c r="Q2024" s="12" t="str">
        <f t="array" ref="Q2024">IF(A2024:A6066="","",IFERROR(_xlfn.XLOOKUP(A2024:A6066,castles_state!K:K,castles_state!D:D)&amp;"主",IFERROR(_xlfn.XLOOKUP(A2024:A6066,kunishuClan!D:D,kunishuClan!B:B)&amp;"当主","")))</f>
      </c>
    </row>
    <row r="2025" ht="15.75" customHeight="1">
      <c r="A2025" s="4">
        <v>1050018</v>
      </c>
      <c r="B2025" s="12" t="str">
        <f t="array" ref="B2025">IF(A2025:A6067="","",_xlfn.XLOOKUP(A2025:A6067,'参照_武将'!A:A,'参照_武将'!B:B,"見つかりません"))</f>
      </c>
      <c r="C2025" s="4" t="s">
        <v>249</v>
      </c>
      <c r="D2025" s="4">
        <v>50</v>
      </c>
      <c r="E2025" s="12" t="str">
        <f t="array" ref="E2025">IF(D2025:D6067="","",IFERROR(_xlfn.XLOOKUP(D2025:D6067,'参照_勢力'!A:A,'参照_勢力'!B:B),IFERROR(_xlfn.XLOOKUP(F2025:F6067,kunishuClan!A:A,kunishuClan!B:B),"浪人")))</f>
      </c>
      <c r="F2025" s="4">
        <v>0</v>
      </c>
      <c r="G2025" s="4">
        <v>137</v>
      </c>
      <c r="H2025" s="12" t="str">
        <f t="array" ref="H2025">IF(G2025:G6067="","",_xlfn.XLOOKUP(G2025:G6067,castles_state!A:A,castles_state!D:D,"見つかりません"))</f>
      </c>
      <c r="I2025" s="4"/>
      <c r="J2025" s="12" t="str">
        <f t="array" ref="J2025">IF(I2025:I6067="","",_xlfn.XLOOKUP(I2025:I6067,'参照_姫'!A:A,'参照_姫'!B:B,"見つかりません"))</f>
      </c>
      <c r="K2025" s="4">
        <v>90</v>
      </c>
      <c r="L2025" s="4">
        <v>0</v>
      </c>
      <c r="M2025" s="4"/>
      <c r="N2025" s="4"/>
      <c r="O2025" s="4"/>
      <c r="P2025" s="12" t="str">
        <f t="array" ref="P2025">IF(O2025:O6067="","",_xlfn.XLOOKUP(O2025:O6067,'参照_官位'!A:A,'参照_官位'!B:B,""))</f>
      </c>
      <c r="Q2025" s="12" t="str">
        <f t="array" ref="Q2025">IF(A2025:A6067="","",IFERROR(_xlfn.XLOOKUP(A2025:A6067,castles_state!K:K,castles_state!D:D)&amp;"主",IFERROR(_xlfn.XLOOKUP(A2025:A6067,kunishuClan!D:D,kunishuClan!B:B)&amp;"当主","")))</f>
      </c>
    </row>
    <row r="2026" ht="15.75" customHeight="1">
      <c r="A2026" s="4">
        <v>1050019</v>
      </c>
      <c r="B2026" s="12" t="str">
        <f t="array" ref="B2026">IF(A2026:A6068="","",_xlfn.XLOOKUP(A2026:A6068,'参照_武将'!A:A,'参照_武将'!B:B,"見つかりません"))</f>
      </c>
      <c r="C2026" s="4" t="s">
        <v>249</v>
      </c>
      <c r="D2026" s="4">
        <v>50</v>
      </c>
      <c r="E2026" s="12" t="str">
        <f t="array" ref="E2026">IF(D2026:D6068="","",IFERROR(_xlfn.XLOOKUP(D2026:D6068,'参照_勢力'!A:A,'参照_勢力'!B:B),IFERROR(_xlfn.XLOOKUP(F2026:F6068,kunishuClan!A:A,kunishuClan!B:B),"浪人")))</f>
      </c>
      <c r="F2026" s="4">
        <v>0</v>
      </c>
      <c r="G2026" s="4">
        <v>136</v>
      </c>
      <c r="H2026" s="12" t="str">
        <f t="array" ref="H2026">IF(G2026:G6068="","",_xlfn.XLOOKUP(G2026:G6068,castles_state!A:A,castles_state!D:D,"見つかりません"))</f>
      </c>
      <c r="I2026" s="4"/>
      <c r="J2026" s="12" t="str">
        <f t="array" ref="J2026">IF(I2026:I6068="","",_xlfn.XLOOKUP(I2026:I6068,'参照_姫'!A:A,'参照_姫'!B:B,"見つかりません"))</f>
      </c>
      <c r="K2026" s="4">
        <v>95</v>
      </c>
      <c r="L2026" s="4">
        <v>0</v>
      </c>
      <c r="M2026" s="4"/>
      <c r="N2026" s="4"/>
      <c r="O2026" s="4"/>
      <c r="P2026" s="12" t="str">
        <f t="array" ref="P2026">IF(O2026:O6068="","",_xlfn.XLOOKUP(O2026:O6068,'参照_官位'!A:A,'参照_官位'!B:B,""))</f>
      </c>
      <c r="Q2026" s="12" t="str">
        <f t="array" ref="Q2026">IF(A2026:A6068="","",IFERROR(_xlfn.XLOOKUP(A2026:A6068,castles_state!K:K,castles_state!D:D)&amp;"主",IFERROR(_xlfn.XLOOKUP(A2026:A6068,kunishuClan!D:D,kunishuClan!B:B)&amp;"当主","")))</f>
      </c>
    </row>
    <row r="2027" ht="15.75" customHeight="1">
      <c r="A2027" s="4">
        <v>1050020</v>
      </c>
      <c r="B2027" s="12" t="str">
        <f t="array" ref="B2027">IF(A2027:A6069="","",_xlfn.XLOOKUP(A2027:A6069,'参照_武将'!A:A,'参照_武将'!B:B,"見つかりません"))</f>
      </c>
      <c r="C2027" s="4" t="s">
        <v>249</v>
      </c>
      <c r="D2027" s="4">
        <v>50</v>
      </c>
      <c r="E2027" s="12" t="str">
        <f t="array" ref="E2027">IF(D2027:D6069="","",IFERROR(_xlfn.XLOOKUP(D2027:D6069,'参照_勢力'!A:A,'参照_勢力'!B:B),IFERROR(_xlfn.XLOOKUP(F2027:F6069,kunishuClan!A:A,kunishuClan!B:B),"浪人")))</f>
      </c>
      <c r="F2027" s="4">
        <v>0</v>
      </c>
      <c r="G2027" s="4">
        <v>136</v>
      </c>
      <c r="H2027" s="12" t="str">
        <f t="array" ref="H2027">IF(G2027:G6069="","",_xlfn.XLOOKUP(G2027:G6069,castles_state!A:A,castles_state!D:D,"見つかりません"))</f>
      </c>
      <c r="I2027" s="4"/>
      <c r="J2027" s="12" t="str">
        <f t="array" ref="J2027">IF(I2027:I6069="","",_xlfn.XLOOKUP(I2027:I6069,'参照_姫'!A:A,'参照_姫'!B:B,"見つかりません"))</f>
      </c>
      <c r="K2027" s="4">
        <v>95</v>
      </c>
      <c r="L2027" s="4">
        <v>0</v>
      </c>
      <c r="M2027" s="4"/>
      <c r="N2027" s="4"/>
      <c r="O2027" s="4"/>
      <c r="P2027" s="12" t="str">
        <f t="array" ref="P2027">IF(O2027:O6069="","",_xlfn.XLOOKUP(O2027:O6069,'参照_官位'!A:A,'参照_官位'!B:B,""))</f>
      </c>
      <c r="Q2027" s="12" t="str">
        <f t="array" ref="Q2027">IF(A2027:A6069="","",IFERROR(_xlfn.XLOOKUP(A2027:A6069,castles_state!K:K,castles_state!D:D)&amp;"主",IFERROR(_xlfn.XLOOKUP(A2027:A6069,kunishuClan!D:D,kunishuClan!B:B)&amp;"当主","")))</f>
      </c>
    </row>
    <row r="2028" ht="15.75" customHeight="1">
      <c r="A2028" s="4">
        <v>1050021</v>
      </c>
      <c r="B2028" s="12" t="str">
        <f t="array" ref="B2028">IF(A2028:A6070="","",_xlfn.XLOOKUP(A2028:A6070,'参照_武将'!A:A,'参照_武将'!B:B,"見つかりません"))</f>
      </c>
      <c r="C2028" s="4" t="s">
        <v>249</v>
      </c>
      <c r="D2028" s="4">
        <v>50</v>
      </c>
      <c r="E2028" s="12" t="str">
        <f t="array" ref="E2028">IF(D2028:D6070="","",IFERROR(_xlfn.XLOOKUP(D2028:D6070,'参照_勢力'!A:A,'参照_勢力'!B:B),IFERROR(_xlfn.XLOOKUP(F2028:F6070,kunishuClan!A:A,kunishuClan!B:B),"浪人")))</f>
      </c>
      <c r="F2028" s="4">
        <v>0</v>
      </c>
      <c r="G2028" s="4">
        <v>136</v>
      </c>
      <c r="H2028" s="12" t="str">
        <f t="array" ref="H2028">IF(G2028:G6070="","",_xlfn.XLOOKUP(G2028:G6070,castles_state!A:A,castles_state!D:D,"見つかりません"))</f>
      </c>
      <c r="I2028" s="4"/>
      <c r="J2028" s="12" t="str">
        <f t="array" ref="J2028">IF(I2028:I6070="","",_xlfn.XLOOKUP(I2028:I6070,'参照_姫'!A:A,'参照_姫'!B:B,"見つかりません"))</f>
      </c>
      <c r="K2028" s="4">
        <v>95</v>
      </c>
      <c r="L2028" s="4">
        <v>0</v>
      </c>
      <c r="M2028" s="4"/>
      <c r="N2028" s="4"/>
      <c r="O2028" s="4"/>
      <c r="P2028" s="12" t="str">
        <f t="array" ref="P2028">IF(O2028:O6070="","",_xlfn.XLOOKUP(O2028:O6070,'参照_官位'!A:A,'参照_官位'!B:B,""))</f>
      </c>
      <c r="Q2028" s="12" t="str">
        <f t="array" ref="Q2028">IF(A2028:A6070="","",IFERROR(_xlfn.XLOOKUP(A2028:A6070,castles_state!K:K,castles_state!D:D)&amp;"主",IFERROR(_xlfn.XLOOKUP(A2028:A6070,kunishuClan!D:D,kunishuClan!B:B)&amp;"当主","")))</f>
      </c>
    </row>
    <row r="2029" ht="15.75" customHeight="1">
      <c r="A2029" s="4">
        <v>1050022</v>
      </c>
      <c r="B2029" s="12" t="str">
        <f t="array" ref="B2029">IF(A2029:A6071="","",_xlfn.XLOOKUP(A2029:A6071,'参照_武将'!A:A,'参照_武将'!B:B,"見つかりません"))</f>
      </c>
      <c r="C2029" s="4" t="s">
        <v>249</v>
      </c>
      <c r="D2029" s="4">
        <v>50</v>
      </c>
      <c r="E2029" s="12" t="str">
        <f t="array" ref="E2029">IF(D2029:D6071="","",IFERROR(_xlfn.XLOOKUP(D2029:D6071,'参照_勢力'!A:A,'参照_勢力'!B:B),IFERROR(_xlfn.XLOOKUP(F2029:F6071,kunishuClan!A:A,kunishuClan!B:B),"浪人")))</f>
      </c>
      <c r="F2029" s="4">
        <v>0</v>
      </c>
      <c r="G2029" s="4">
        <v>136</v>
      </c>
      <c r="H2029" s="12" t="str">
        <f t="array" ref="H2029">IF(G2029:G6071="","",_xlfn.XLOOKUP(G2029:G6071,castles_state!A:A,castles_state!D:D,"見つかりません"))</f>
      </c>
      <c r="I2029" s="4"/>
      <c r="J2029" s="12" t="str">
        <f t="array" ref="J2029">IF(I2029:I6071="","",_xlfn.XLOOKUP(I2029:I6071,'参照_姫'!A:A,'参照_姫'!B:B,"見つかりません"))</f>
      </c>
      <c r="K2029" s="4">
        <v>95</v>
      </c>
      <c r="L2029" s="4">
        <v>0</v>
      </c>
      <c r="M2029" s="4"/>
      <c r="N2029" s="4"/>
      <c r="O2029" s="4"/>
      <c r="P2029" s="12" t="str">
        <f t="array" ref="P2029">IF(O2029:O6071="","",_xlfn.XLOOKUP(O2029:O6071,'参照_官位'!A:A,'参照_官位'!B:B,""))</f>
      </c>
      <c r="Q2029" s="12" t="str">
        <f t="array" ref="Q2029">IF(A2029:A6071="","",IFERROR(_xlfn.XLOOKUP(A2029:A6071,castles_state!K:K,castles_state!D:D)&amp;"主",IFERROR(_xlfn.XLOOKUP(A2029:A6071,kunishuClan!D:D,kunishuClan!B:B)&amp;"当主","")))</f>
      </c>
    </row>
    <row r="2030" ht="15.75" customHeight="1">
      <c r="A2030" s="4">
        <v>1050023</v>
      </c>
      <c r="B2030" s="12" t="str">
        <f t="array" ref="B2030">IF(A2030:A6072="","",_xlfn.XLOOKUP(A2030:A6072,'参照_武将'!A:A,'参照_武将'!B:B,"見つかりません"))</f>
      </c>
      <c r="C2030" s="4" t="s">
        <v>249</v>
      </c>
      <c r="D2030" s="4">
        <v>50</v>
      </c>
      <c r="E2030" s="12" t="str">
        <f t="array" ref="E2030">IF(D2030:D6072="","",IFERROR(_xlfn.XLOOKUP(D2030:D6072,'参照_勢力'!A:A,'参照_勢力'!B:B),IFERROR(_xlfn.XLOOKUP(F2030:F6072,kunishuClan!A:A,kunishuClan!B:B),"浪人")))</f>
      </c>
      <c r="F2030" s="4">
        <v>0</v>
      </c>
      <c r="G2030" s="4">
        <v>136</v>
      </c>
      <c r="H2030" s="12" t="str">
        <f t="array" ref="H2030">IF(G2030:G6072="","",_xlfn.XLOOKUP(G2030:G6072,castles_state!A:A,castles_state!D:D,"見つかりません"))</f>
      </c>
      <c r="I2030" s="4"/>
      <c r="J2030" s="12" t="str">
        <f t="array" ref="J2030">IF(I2030:I6072="","",_xlfn.XLOOKUP(I2030:I6072,'参照_姫'!A:A,'参照_姫'!B:B,"見つかりません"))</f>
      </c>
      <c r="K2030" s="4">
        <v>95</v>
      </c>
      <c r="L2030" s="4">
        <v>0</v>
      </c>
      <c r="M2030" s="4"/>
      <c r="N2030" s="4"/>
      <c r="O2030" s="4"/>
      <c r="P2030" s="12" t="str">
        <f t="array" ref="P2030">IF(O2030:O6072="","",_xlfn.XLOOKUP(O2030:O6072,'参照_官位'!A:A,'参照_官位'!B:B,""))</f>
      </c>
      <c r="Q2030" s="12" t="str">
        <f t="array" ref="Q2030">IF(A2030:A6072="","",IFERROR(_xlfn.XLOOKUP(A2030:A6072,castles_state!K:K,castles_state!D:D)&amp;"主",IFERROR(_xlfn.XLOOKUP(A2030:A6072,kunishuClan!D:D,kunishuClan!B:B)&amp;"当主","")))</f>
      </c>
    </row>
    <row r="2031" ht="15.75" customHeight="1">
      <c r="A2031" s="4">
        <v>1050024</v>
      </c>
      <c r="B2031" s="12" t="str">
        <f t="array" ref="B2031">IF(A2031:A6073="","",_xlfn.XLOOKUP(A2031:A6073,'参照_武将'!A:A,'参照_武将'!B:B,"見つかりません"))</f>
      </c>
      <c r="C2031" s="4" t="s">
        <v>249</v>
      </c>
      <c r="D2031" s="4">
        <v>50</v>
      </c>
      <c r="E2031" s="12" t="str">
        <f t="array" ref="E2031">IF(D2031:D6073="","",IFERROR(_xlfn.XLOOKUP(D2031:D6073,'参照_勢力'!A:A,'参照_勢力'!B:B),IFERROR(_xlfn.XLOOKUP(F2031:F6073,kunishuClan!A:A,kunishuClan!B:B),"浪人")))</f>
      </c>
      <c r="F2031" s="4">
        <v>0</v>
      </c>
      <c r="G2031" s="4">
        <v>136</v>
      </c>
      <c r="H2031" s="12" t="str">
        <f t="array" ref="H2031">IF(G2031:G6073="","",_xlfn.XLOOKUP(G2031:G6073,castles_state!A:A,castles_state!D:D,"見つかりません"))</f>
      </c>
      <c r="I2031" s="4"/>
      <c r="J2031" s="12" t="str">
        <f t="array" ref="J2031">IF(I2031:I6073="","",_xlfn.XLOOKUP(I2031:I6073,'参照_姫'!A:A,'参照_姫'!B:B,"見つかりません"))</f>
      </c>
      <c r="K2031" s="4">
        <v>95</v>
      </c>
      <c r="L2031" s="4">
        <v>0</v>
      </c>
      <c r="M2031" s="4"/>
      <c r="N2031" s="4"/>
      <c r="O2031" s="4"/>
      <c r="P2031" s="12" t="str">
        <f t="array" ref="P2031">IF(O2031:O6073="","",_xlfn.XLOOKUP(O2031:O6073,'参照_官位'!A:A,'参照_官位'!B:B,""))</f>
      </c>
      <c r="Q2031" s="12" t="str">
        <f t="array" ref="Q2031">IF(A2031:A6073="","",IFERROR(_xlfn.XLOOKUP(A2031:A6073,castles_state!K:K,castles_state!D:D)&amp;"主",IFERROR(_xlfn.XLOOKUP(A2031:A6073,kunishuClan!D:D,kunishuClan!B:B)&amp;"当主","")))</f>
      </c>
    </row>
    <row r="2032" ht="15.75" customHeight="1">
      <c r="A2032" s="4">
        <v>1050025</v>
      </c>
      <c r="B2032" s="12" t="str">
        <f t="array" ref="B2032">IF(A2032:A6074="","",_xlfn.XLOOKUP(A2032:A6074,'参照_武将'!A:A,'参照_武将'!B:B,"見つかりません"))</f>
      </c>
      <c r="C2032" s="4" t="s">
        <v>249</v>
      </c>
      <c r="D2032" s="4">
        <v>50</v>
      </c>
      <c r="E2032" s="12" t="str">
        <f t="array" ref="E2032">IF(D2032:D6074="","",IFERROR(_xlfn.XLOOKUP(D2032:D6074,'参照_勢力'!A:A,'参照_勢力'!B:B),IFERROR(_xlfn.XLOOKUP(F2032:F6074,kunishuClan!A:A,kunishuClan!B:B),"浪人")))</f>
      </c>
      <c r="F2032" s="4">
        <v>0</v>
      </c>
      <c r="G2032" s="4">
        <v>136</v>
      </c>
      <c r="H2032" s="12" t="str">
        <f t="array" ref="H2032">IF(G2032:G6074="","",_xlfn.XLOOKUP(G2032:G6074,castles_state!A:A,castles_state!D:D,"見つかりません"))</f>
      </c>
      <c r="I2032" s="4"/>
      <c r="J2032" s="12" t="str">
        <f t="array" ref="J2032">IF(I2032:I6074="","",_xlfn.XLOOKUP(I2032:I6074,'参照_姫'!A:A,'参照_姫'!B:B,"見つかりません"))</f>
      </c>
      <c r="K2032" s="4">
        <v>95</v>
      </c>
      <c r="L2032" s="4">
        <v>0</v>
      </c>
      <c r="M2032" s="4"/>
      <c r="N2032" s="4"/>
      <c r="O2032" s="4"/>
      <c r="P2032" s="12" t="str">
        <f t="array" ref="P2032">IF(O2032:O6074="","",_xlfn.XLOOKUP(O2032:O6074,'参照_官位'!A:A,'参照_官位'!B:B,""))</f>
      </c>
      <c r="Q2032" s="12" t="str">
        <f t="array" ref="Q2032">IF(A2032:A6074="","",IFERROR(_xlfn.XLOOKUP(A2032:A6074,castles_state!K:K,castles_state!D:D)&amp;"主",IFERROR(_xlfn.XLOOKUP(A2032:A6074,kunishuClan!D:D,kunishuClan!B:B)&amp;"当主","")))</f>
      </c>
    </row>
    <row r="2033" ht="15.75" customHeight="1">
      <c r="A2033" s="4">
        <v>1050026</v>
      </c>
      <c r="B2033" s="12" t="str">
        <f t="array" ref="B2033">IF(A2033:A6075="","",_xlfn.XLOOKUP(A2033:A6075,'参照_武将'!A:A,'参照_武将'!B:B,"見つかりません"))</f>
      </c>
      <c r="C2033" s="4" t="s">
        <v>249</v>
      </c>
      <c r="D2033" s="4">
        <v>50</v>
      </c>
      <c r="E2033" s="12" t="str">
        <f t="array" ref="E2033">IF(D2033:D6075="","",IFERROR(_xlfn.XLOOKUP(D2033:D6075,'参照_勢力'!A:A,'参照_勢力'!B:B),IFERROR(_xlfn.XLOOKUP(F2033:F6075,kunishuClan!A:A,kunishuClan!B:B),"浪人")))</f>
      </c>
      <c r="F2033" s="4">
        <v>0</v>
      </c>
      <c r="G2033" s="4">
        <v>136</v>
      </c>
      <c r="H2033" s="12" t="str">
        <f t="array" ref="H2033">IF(G2033:G6075="","",_xlfn.XLOOKUP(G2033:G6075,castles_state!A:A,castles_state!D:D,"見つかりません"))</f>
      </c>
      <c r="I2033" s="4"/>
      <c r="J2033" s="12" t="str">
        <f t="array" ref="J2033">IF(I2033:I6075="","",_xlfn.XLOOKUP(I2033:I6075,'参照_姫'!A:A,'参照_姫'!B:B,"見つかりません"))</f>
      </c>
      <c r="K2033" s="4">
        <v>95</v>
      </c>
      <c r="L2033" s="4">
        <v>1000</v>
      </c>
      <c r="M2033" s="4"/>
      <c r="N2033" s="4"/>
      <c r="O2033" s="4">
        <v>26</v>
      </c>
      <c r="P2033" s="12" t="str">
        <f t="array" ref="P2033">IF(O2033:O6075="","",_xlfn.XLOOKUP(O2033:O6075,'参照_官位'!A:A,'参照_官位'!B:B,""))</f>
      </c>
      <c r="Q2033" s="12" t="str">
        <f t="array" ref="Q2033">IF(A2033:A6075="","",IFERROR(_xlfn.XLOOKUP(A2033:A6075,castles_state!K:K,castles_state!D:D)&amp;"主",IFERROR(_xlfn.XLOOKUP(A2033:A6075,kunishuClan!D:D,kunishuClan!B:B)&amp;"当主","")))</f>
      </c>
    </row>
    <row r="2034" ht="15.75" customHeight="1">
      <c r="A2034" s="4">
        <v>1050027</v>
      </c>
      <c r="B2034" s="12" t="str">
        <f t="array" ref="B2034">IF(A2034:A6076="","",_xlfn.XLOOKUP(A2034:A6076,'参照_武将'!A:A,'参照_武将'!B:B,"見つかりません"))</f>
      </c>
      <c r="C2034" s="4" t="s">
        <v>249</v>
      </c>
      <c r="D2034" s="4">
        <v>50</v>
      </c>
      <c r="E2034" s="12" t="str">
        <f t="array" ref="E2034">IF(D2034:D6076="","",IFERROR(_xlfn.XLOOKUP(D2034:D6076,'参照_勢力'!A:A,'参照_勢力'!B:B),IFERROR(_xlfn.XLOOKUP(F2034:F6076,kunishuClan!A:A,kunishuClan!B:B),"浪人")))</f>
      </c>
      <c r="F2034" s="4">
        <v>0</v>
      </c>
      <c r="G2034" s="4">
        <v>136</v>
      </c>
      <c r="H2034" s="12" t="str">
        <f t="array" ref="H2034">IF(G2034:G6076="","",_xlfn.XLOOKUP(G2034:G6076,castles_state!A:A,castles_state!D:D,"見つかりません"))</f>
      </c>
      <c r="I2034" s="4"/>
      <c r="J2034" s="12" t="str">
        <f t="array" ref="J2034">IF(I2034:I6076="","",_xlfn.XLOOKUP(I2034:I6076,'参照_姫'!A:A,'参照_姫'!B:B,"見つかりません"))</f>
      </c>
      <c r="K2034" s="4">
        <v>90</v>
      </c>
      <c r="L2034" s="4">
        <v>0</v>
      </c>
      <c r="M2034" s="4"/>
      <c r="N2034" s="4"/>
      <c r="O2034" s="4"/>
      <c r="P2034" s="12" t="str">
        <f t="array" ref="P2034">IF(O2034:O6076="","",_xlfn.XLOOKUP(O2034:O6076,'参照_官位'!A:A,'参照_官位'!B:B,""))</f>
      </c>
      <c r="Q2034" s="12" t="str">
        <f t="array" ref="Q2034">IF(A2034:A6076="","",IFERROR(_xlfn.XLOOKUP(A2034:A6076,castles_state!K:K,castles_state!D:D)&amp;"主",IFERROR(_xlfn.XLOOKUP(A2034:A6076,kunishuClan!D:D,kunishuClan!B:B)&amp;"当主","")))</f>
      </c>
    </row>
    <row r="2035" ht="15.75" customHeight="1">
      <c r="A2035" s="4">
        <v>1050028</v>
      </c>
      <c r="B2035" s="12" t="str">
        <f t="array" ref="B2035">IF(A2035:A6077="","",_xlfn.XLOOKUP(A2035:A6077,'参照_武将'!A:A,'参照_武将'!B:B,"見つかりません"))</f>
      </c>
      <c r="C2035" s="4" t="s">
        <v>249</v>
      </c>
      <c r="D2035" s="4">
        <v>50</v>
      </c>
      <c r="E2035" s="12" t="str">
        <f t="array" ref="E2035">IF(D2035:D6077="","",IFERROR(_xlfn.XLOOKUP(D2035:D6077,'参照_勢力'!A:A,'参照_勢力'!B:B),IFERROR(_xlfn.XLOOKUP(F2035:F6077,kunishuClan!A:A,kunishuClan!B:B),"浪人")))</f>
      </c>
      <c r="F2035" s="4">
        <v>0</v>
      </c>
      <c r="G2035" s="4">
        <v>136</v>
      </c>
      <c r="H2035" s="12" t="str">
        <f t="array" ref="H2035">IF(G2035:G6077="","",_xlfn.XLOOKUP(G2035:G6077,castles_state!A:A,castles_state!D:D,"見つかりません"))</f>
      </c>
      <c r="I2035" s="4"/>
      <c r="J2035" s="12" t="str">
        <f t="array" ref="J2035">IF(I2035:I6077="","",_xlfn.XLOOKUP(I2035:I6077,'参照_姫'!A:A,'参照_姫'!B:B,"見つかりません"))</f>
      </c>
      <c r="K2035" s="4">
        <v>95</v>
      </c>
      <c r="L2035" s="4">
        <v>0</v>
      </c>
      <c r="M2035" s="4"/>
      <c r="N2035" s="4"/>
      <c r="O2035" s="4"/>
      <c r="P2035" s="12" t="str">
        <f t="array" ref="P2035">IF(O2035:O6077="","",_xlfn.XLOOKUP(O2035:O6077,'参照_官位'!A:A,'参照_官位'!B:B,""))</f>
      </c>
      <c r="Q2035" s="12" t="str">
        <f t="array" ref="Q2035">IF(A2035:A6077="","",IFERROR(_xlfn.XLOOKUP(A2035:A6077,castles_state!K:K,castles_state!D:D)&amp;"主",IFERROR(_xlfn.XLOOKUP(A2035:A6077,kunishuClan!D:D,kunishuClan!B:B)&amp;"当主","")))</f>
      </c>
    </row>
    <row r="2036" ht="15.75" customHeight="1">
      <c r="A2036" s="4">
        <v>1050029</v>
      </c>
      <c r="B2036" s="12" t="str">
        <f t="array" ref="B2036">IF(A2036:A6078="","",_xlfn.XLOOKUP(A2036:A6078,'参照_武将'!A:A,'参照_武将'!B:B,"見つかりません"))</f>
      </c>
      <c r="C2036" s="4" t="s">
        <v>249</v>
      </c>
      <c r="D2036" s="4">
        <v>50</v>
      </c>
      <c r="E2036" s="12" t="str">
        <f t="array" ref="E2036">IF(D2036:D6078="","",IFERROR(_xlfn.XLOOKUP(D2036:D6078,'参照_勢力'!A:A,'参照_勢力'!B:B),IFERROR(_xlfn.XLOOKUP(F2036:F6078,kunishuClan!A:A,kunishuClan!B:B),"浪人")))</f>
      </c>
      <c r="F2036" s="4">
        <v>0</v>
      </c>
      <c r="G2036" s="4">
        <v>136</v>
      </c>
      <c r="H2036" s="12" t="str">
        <f t="array" ref="H2036">IF(G2036:G6078="","",_xlfn.XLOOKUP(G2036:G6078,castles_state!A:A,castles_state!D:D,"見つかりません"))</f>
      </c>
      <c r="I2036" s="4"/>
      <c r="J2036" s="12" t="str">
        <f t="array" ref="J2036">IF(I2036:I6078="","",_xlfn.XLOOKUP(I2036:I6078,'参照_姫'!A:A,'参照_姫'!B:B,"見つかりません"))</f>
      </c>
      <c r="K2036" s="4">
        <v>80</v>
      </c>
      <c r="L2036" s="4">
        <v>300</v>
      </c>
      <c r="M2036" s="4"/>
      <c r="N2036" s="4"/>
      <c r="O2036" s="4"/>
      <c r="P2036" s="12" t="str">
        <f t="array" ref="P2036">IF(O2036:O6078="","",_xlfn.XLOOKUP(O2036:O6078,'参照_官位'!A:A,'参照_官位'!B:B,""))</f>
      </c>
      <c r="Q2036" s="12" t="str">
        <f t="array" ref="Q2036">IF(A2036:A6078="","",IFERROR(_xlfn.XLOOKUP(A2036:A6078,castles_state!K:K,castles_state!D:D)&amp;"主",IFERROR(_xlfn.XLOOKUP(A2036:A6078,kunishuClan!D:D,kunishuClan!B:B)&amp;"当主","")))</f>
      </c>
    </row>
    <row r="2037" ht="15.75" customHeight="1">
      <c r="A2037" s="4">
        <v>1050030</v>
      </c>
      <c r="B2037" s="12" t="str">
        <f t="array" ref="B2037">IF(A2037:A6079="","",_xlfn.XLOOKUP(A2037:A6079,'参照_武将'!A:A,'参照_武将'!B:B,"見つかりません"))</f>
      </c>
      <c r="C2037" s="4" t="s">
        <v>249</v>
      </c>
      <c r="D2037" s="4">
        <v>50</v>
      </c>
      <c r="E2037" s="12" t="str">
        <f t="array" ref="E2037">IF(D2037:D6079="","",IFERROR(_xlfn.XLOOKUP(D2037:D6079,'参照_勢力'!A:A,'参照_勢力'!B:B),IFERROR(_xlfn.XLOOKUP(F2037:F6079,kunishuClan!A:A,kunishuClan!B:B),"浪人")))</f>
      </c>
      <c r="F2037" s="4">
        <v>0</v>
      </c>
      <c r="G2037" s="4">
        <v>136</v>
      </c>
      <c r="H2037" s="12" t="str">
        <f t="array" ref="H2037">IF(G2037:G6079="","",_xlfn.XLOOKUP(G2037:G6079,castles_state!A:A,castles_state!D:D,"見つかりません"))</f>
      </c>
      <c r="I2037" s="4"/>
      <c r="J2037" s="12" t="str">
        <f t="array" ref="J2037">IF(I2037:I6079="","",_xlfn.XLOOKUP(I2037:I6079,'参照_姫'!A:A,'参照_姫'!B:B,"見つかりません"))</f>
      </c>
      <c r="K2037" s="4">
        <v>95</v>
      </c>
      <c r="L2037" s="4">
        <v>0</v>
      </c>
      <c r="M2037" s="4"/>
      <c r="N2037" s="4"/>
      <c r="O2037" s="4"/>
      <c r="P2037" s="12" t="str">
        <f t="array" ref="P2037">IF(O2037:O6079="","",_xlfn.XLOOKUP(O2037:O6079,'参照_官位'!A:A,'参照_官位'!B:B,""))</f>
      </c>
      <c r="Q2037" s="12" t="str">
        <f t="array" ref="Q2037">IF(A2037:A6079="","",IFERROR(_xlfn.XLOOKUP(A2037:A6079,castles_state!K:K,castles_state!D:D)&amp;"主",IFERROR(_xlfn.XLOOKUP(A2037:A6079,kunishuClan!D:D,kunishuClan!B:B)&amp;"当主","")))</f>
      </c>
    </row>
    <row r="2038" ht="15.75" customHeight="1">
      <c r="A2038" s="4">
        <v>1051001</v>
      </c>
      <c r="B2038" s="12" t="str">
        <f t="array" ref="B2038">IF(A2038:A6080="","",_xlfn.XLOOKUP(A2038:A6080,'参照_武将'!A:A,'参照_武将'!B:B,"見つかりません"))</f>
      </c>
      <c r="C2038" s="4" t="s">
        <v>252</v>
      </c>
      <c r="D2038" s="4">
        <v>51</v>
      </c>
      <c r="E2038" s="12" t="str">
        <f t="array" ref="E2038">IF(D2038:D6080="","",IFERROR(_xlfn.XLOOKUP(D2038:D6080,'参照_勢力'!A:A,'参照_勢力'!B:B),IFERROR(_xlfn.XLOOKUP(F2038:F6080,kunishuClan!A:A,kunishuClan!B:B),"浪人")))</f>
      </c>
      <c r="F2038" s="4">
        <v>0</v>
      </c>
      <c r="G2038" s="4">
        <v>141</v>
      </c>
      <c r="H2038" s="12" t="str">
        <f t="array" ref="H2038">IF(G2038:G6080="","",_xlfn.XLOOKUP(G2038:G6080,castles_state!A:A,castles_state!D:D,"見つかりません"))</f>
      </c>
      <c r="I2038" s="4"/>
      <c r="J2038" s="12" t="str">
        <f t="array" ref="J2038">IF(I2038:I6080="","",_xlfn.XLOOKUP(I2038:I6080,'参照_姫'!A:A,'参照_姫'!B:B,"見つかりません"))</f>
      </c>
      <c r="K2038" s="4">
        <v>95</v>
      </c>
      <c r="L2038" s="4">
        <v>0</v>
      </c>
      <c r="M2038" s="4"/>
      <c r="N2038" s="4"/>
      <c r="O2038" s="4"/>
      <c r="P2038" s="12" t="str">
        <f t="array" ref="P2038">IF(O2038:O6080="","",_xlfn.XLOOKUP(O2038:O6080,'参照_官位'!A:A,'参照_官位'!B:B,""))</f>
      </c>
      <c r="Q2038" s="12" t="str">
        <f t="array" ref="Q2038">IF(A2038:A6080="","",IFERROR(_xlfn.XLOOKUP(A2038:A6080,castles_state!K:K,castles_state!D:D)&amp;"主",IFERROR(_xlfn.XLOOKUP(A2038:A6080,kunishuClan!D:D,kunishuClan!B:B)&amp;"当主","")))</f>
      </c>
    </row>
    <row r="2039" ht="15.75" customHeight="1">
      <c r="A2039" s="4">
        <v>1051002</v>
      </c>
      <c r="B2039" s="12" t="str">
        <f t="array" ref="B2039">IF(A2039:A6081="","",_xlfn.XLOOKUP(A2039:A6081,'参照_武将'!A:A,'参照_武将'!B:B,"見つかりません"))</f>
      </c>
      <c r="C2039" s="4" t="s">
        <v>252</v>
      </c>
      <c r="D2039" s="4">
        <v>51</v>
      </c>
      <c r="E2039" s="12" t="str">
        <f t="array" ref="E2039">IF(D2039:D6081="","",IFERROR(_xlfn.XLOOKUP(D2039:D6081,'参照_勢力'!A:A,'参照_勢力'!B:B),IFERROR(_xlfn.XLOOKUP(F2039:F6081,kunishuClan!A:A,kunishuClan!B:B),"浪人")))</f>
      </c>
      <c r="F2039" s="4">
        <v>0</v>
      </c>
      <c r="G2039" s="4">
        <v>141</v>
      </c>
      <c r="H2039" s="12" t="str">
        <f t="array" ref="H2039">IF(G2039:G6081="","",_xlfn.XLOOKUP(G2039:G6081,castles_state!A:A,castles_state!D:D,"見つかりません"))</f>
      </c>
      <c r="I2039" s="4"/>
      <c r="J2039" s="12" t="str">
        <f t="array" ref="J2039">IF(I2039:I6081="","",_xlfn.XLOOKUP(I2039:I6081,'参照_姫'!A:A,'参照_姫'!B:B,"見つかりません"))</f>
      </c>
      <c r="K2039" s="4">
        <v>100</v>
      </c>
      <c r="L2039" s="4">
        <v>1500</v>
      </c>
      <c r="M2039" s="4"/>
      <c r="N2039" s="4"/>
      <c r="O2039" s="4">
        <v>84</v>
      </c>
      <c r="P2039" s="12" t="str">
        <f t="array" ref="P2039">IF(O2039:O6081="","",_xlfn.XLOOKUP(O2039:O6081,'参照_官位'!A:A,'参照_官位'!B:B,""))</f>
      </c>
      <c r="Q2039" s="12" t="str">
        <f t="array" ref="Q2039">IF(A2039:A6081="","",IFERROR(_xlfn.XLOOKUP(A2039:A6081,castles_state!K:K,castles_state!D:D)&amp;"主",IFERROR(_xlfn.XLOOKUP(A2039:A6081,kunishuClan!D:D,kunishuClan!B:B)&amp;"当主","")))</f>
      </c>
    </row>
    <row r="2040" ht="15.75" customHeight="1">
      <c r="A2040" s="4">
        <v>1051003</v>
      </c>
      <c r="B2040" s="12" t="str">
        <f t="array" ref="B2040">IF(A2040:A6082="","",_xlfn.XLOOKUP(A2040:A6082,'参照_武将'!A:A,'参照_武将'!B:B,"見つかりません"))</f>
      </c>
      <c r="C2040" s="4" t="s">
        <v>252</v>
      </c>
      <c r="D2040" s="4">
        <v>51</v>
      </c>
      <c r="E2040" s="12" t="str">
        <f t="array" ref="E2040">IF(D2040:D6082="","",IFERROR(_xlfn.XLOOKUP(D2040:D6082,'参照_勢力'!A:A,'参照_勢力'!B:B),IFERROR(_xlfn.XLOOKUP(F2040:F6082,kunishuClan!A:A,kunishuClan!B:B),"浪人")))</f>
      </c>
      <c r="F2040" s="4">
        <v>0</v>
      </c>
      <c r="G2040" s="4">
        <v>141</v>
      </c>
      <c r="H2040" s="12" t="str">
        <f t="array" ref="H2040">IF(G2040:G6082="","",_xlfn.XLOOKUP(G2040:G6082,castles_state!A:A,castles_state!D:D,"見つかりません"))</f>
      </c>
      <c r="I2040" s="4"/>
      <c r="J2040" s="12" t="str">
        <f t="array" ref="J2040">IF(I2040:I6082="","",_xlfn.XLOOKUP(I2040:I6082,'参照_姫'!A:A,'参照_姫'!B:B,"見つかりません"))</f>
      </c>
      <c r="K2040" s="4">
        <v>95</v>
      </c>
      <c r="L2040" s="4">
        <v>500</v>
      </c>
      <c r="M2040" s="4"/>
      <c r="N2040" s="4"/>
      <c r="O2040" s="4"/>
      <c r="P2040" s="12" t="str">
        <f t="array" ref="P2040">IF(O2040:O6082="","",_xlfn.XLOOKUP(O2040:O6082,'参照_官位'!A:A,'参照_官位'!B:B,""))</f>
      </c>
      <c r="Q2040" s="12" t="str">
        <f t="array" ref="Q2040">IF(A2040:A6082="","",IFERROR(_xlfn.XLOOKUP(A2040:A6082,castles_state!K:K,castles_state!D:D)&amp;"主",IFERROR(_xlfn.XLOOKUP(A2040:A6082,kunishuClan!D:D,kunishuClan!B:B)&amp;"当主","")))</f>
      </c>
    </row>
    <row r="2041" ht="15.75" customHeight="1">
      <c r="A2041" s="4">
        <v>1051004</v>
      </c>
      <c r="B2041" s="12" t="str">
        <f t="array" ref="B2041">IF(A2041:A6083="","",_xlfn.XLOOKUP(A2041:A6083,'参照_武将'!A:A,'参照_武将'!B:B,"見つかりません"))</f>
      </c>
      <c r="C2041" s="4" t="s">
        <v>252</v>
      </c>
      <c r="D2041" s="4">
        <v>51</v>
      </c>
      <c r="E2041" s="12" t="str">
        <f t="array" ref="E2041">IF(D2041:D6083="","",IFERROR(_xlfn.XLOOKUP(D2041:D6083,'参照_勢力'!A:A,'参照_勢力'!B:B),IFERROR(_xlfn.XLOOKUP(F2041:F6083,kunishuClan!A:A,kunishuClan!B:B),"浪人")))</f>
      </c>
      <c r="F2041" s="4">
        <v>0</v>
      </c>
      <c r="G2041" s="4">
        <v>141</v>
      </c>
      <c r="H2041" s="12" t="str">
        <f t="array" ref="H2041">IF(G2041:G6083="","",_xlfn.XLOOKUP(G2041:G6083,castles_state!A:A,castles_state!D:D,"見つかりません"))</f>
      </c>
      <c r="I2041" s="4"/>
      <c r="J2041" s="12" t="str">
        <f t="array" ref="J2041">IF(I2041:I6083="","",_xlfn.XLOOKUP(I2041:I6083,'参照_姫'!A:A,'参照_姫'!B:B,"見つかりません"))</f>
      </c>
      <c r="K2041" s="4">
        <v>95</v>
      </c>
      <c r="L2041" s="4">
        <v>0</v>
      </c>
      <c r="M2041" s="4"/>
      <c r="N2041" s="4"/>
      <c r="O2041" s="4"/>
      <c r="P2041" s="12" t="str">
        <f t="array" ref="P2041">IF(O2041:O6083="","",_xlfn.XLOOKUP(O2041:O6083,'参照_官位'!A:A,'参照_官位'!B:B,""))</f>
      </c>
      <c r="Q2041" s="12" t="str">
        <f t="array" ref="Q2041">IF(A2041:A6083="","",IFERROR(_xlfn.XLOOKUP(A2041:A6083,castles_state!K:K,castles_state!D:D)&amp;"主",IFERROR(_xlfn.XLOOKUP(A2041:A6083,kunishuClan!D:D,kunishuClan!B:B)&amp;"当主","")))</f>
      </c>
    </row>
    <row r="2042" ht="15.75" customHeight="1">
      <c r="A2042" s="4">
        <v>1051005</v>
      </c>
      <c r="B2042" s="12" t="str">
        <f t="array" ref="B2042">IF(A2042:A6084="","",_xlfn.XLOOKUP(A2042:A6084,'参照_武将'!A:A,'参照_武将'!B:B,"見つかりません"))</f>
      </c>
      <c r="C2042" s="4" t="s">
        <v>252</v>
      </c>
      <c r="D2042" s="4">
        <v>51</v>
      </c>
      <c r="E2042" s="12" t="str">
        <f t="array" ref="E2042">IF(D2042:D6084="","",IFERROR(_xlfn.XLOOKUP(D2042:D6084,'参照_勢力'!A:A,'参照_勢力'!B:B),IFERROR(_xlfn.XLOOKUP(F2042:F6084,kunishuClan!A:A,kunishuClan!B:B),"浪人")))</f>
      </c>
      <c r="F2042" s="4">
        <v>0</v>
      </c>
      <c r="G2042" s="4">
        <v>141</v>
      </c>
      <c r="H2042" s="12" t="str">
        <f t="array" ref="H2042">IF(G2042:G6084="","",_xlfn.XLOOKUP(G2042:G6084,castles_state!A:A,castles_state!D:D,"見つかりません"))</f>
      </c>
      <c r="I2042" s="4"/>
      <c r="J2042" s="12" t="str">
        <f t="array" ref="J2042">IF(I2042:I6084="","",_xlfn.XLOOKUP(I2042:I6084,'参照_姫'!A:A,'参照_姫'!B:B,"見つかりません"))</f>
      </c>
      <c r="K2042" s="4">
        <v>100</v>
      </c>
      <c r="L2042" s="4">
        <v>1500</v>
      </c>
      <c r="M2042" s="4"/>
      <c r="N2042" s="4"/>
      <c r="O2042" s="4"/>
      <c r="P2042" s="12" t="str">
        <f t="array" ref="P2042">IF(O2042:O6084="","",_xlfn.XLOOKUP(O2042:O6084,'参照_官位'!A:A,'参照_官位'!B:B,""))</f>
      </c>
      <c r="Q2042" s="12" t="str">
        <f t="array" ref="Q2042">IF(A2042:A6084="","",IFERROR(_xlfn.XLOOKUP(A2042:A6084,castles_state!K:K,castles_state!D:D)&amp;"主",IFERROR(_xlfn.XLOOKUP(A2042:A6084,kunishuClan!D:D,kunishuClan!B:B)&amp;"当主","")))</f>
      </c>
    </row>
    <row r="2043" ht="15.75" customHeight="1">
      <c r="A2043" s="4">
        <v>1051006</v>
      </c>
      <c r="B2043" s="12" t="str">
        <f t="array" ref="B2043">IF(A2043:A6085="","",_xlfn.XLOOKUP(A2043:A6085,'参照_武将'!A:A,'参照_武将'!B:B,"見つかりません"))</f>
      </c>
      <c r="C2043" s="4" t="s">
        <v>252</v>
      </c>
      <c r="D2043" s="4">
        <v>51</v>
      </c>
      <c r="E2043" s="12" t="str">
        <f t="array" ref="E2043">IF(D2043:D6085="","",IFERROR(_xlfn.XLOOKUP(D2043:D6085,'参照_勢力'!A:A,'参照_勢力'!B:B),IFERROR(_xlfn.XLOOKUP(F2043:F6085,kunishuClan!A:A,kunishuClan!B:B),"浪人")))</f>
      </c>
      <c r="F2043" s="4">
        <v>0</v>
      </c>
      <c r="G2043" s="4">
        <v>141</v>
      </c>
      <c r="H2043" s="12" t="str">
        <f t="array" ref="H2043">IF(G2043:G6085="","",_xlfn.XLOOKUP(G2043:G6085,castles_state!A:A,castles_state!D:D,"見つかりません"))</f>
      </c>
      <c r="I2043" s="4"/>
      <c r="J2043" s="12" t="str">
        <f t="array" ref="J2043">IF(I2043:I6085="","",_xlfn.XLOOKUP(I2043:I6085,'参照_姫'!A:A,'参照_姫'!B:B,"見つかりません"))</f>
      </c>
      <c r="K2043" s="4">
        <v>95</v>
      </c>
      <c r="L2043" s="4">
        <v>0</v>
      </c>
      <c r="M2043" s="4"/>
      <c r="N2043" s="4"/>
      <c r="O2043" s="4"/>
      <c r="P2043" s="12" t="str">
        <f t="array" ref="P2043">IF(O2043:O6085="","",_xlfn.XLOOKUP(O2043:O6085,'参照_官位'!A:A,'参照_官位'!B:B,""))</f>
      </c>
      <c r="Q2043" s="12" t="str">
        <f t="array" ref="Q2043">IF(A2043:A6085="","",IFERROR(_xlfn.XLOOKUP(A2043:A6085,castles_state!K:K,castles_state!D:D)&amp;"主",IFERROR(_xlfn.XLOOKUP(A2043:A6085,kunishuClan!D:D,kunishuClan!B:B)&amp;"当主","")))</f>
      </c>
    </row>
    <row r="2044" ht="15.75" customHeight="1">
      <c r="A2044" s="4">
        <v>1051007</v>
      </c>
      <c r="B2044" s="12" t="str">
        <f t="array" ref="B2044">IF(A2044:A6086="","",_xlfn.XLOOKUP(A2044:A6086,'参照_武将'!A:A,'参照_武将'!B:B,"見つかりません"))</f>
      </c>
      <c r="C2044" s="4" t="s">
        <v>252</v>
      </c>
      <c r="D2044" s="4">
        <v>51</v>
      </c>
      <c r="E2044" s="12" t="str">
        <f t="array" ref="E2044">IF(D2044:D6086="","",IFERROR(_xlfn.XLOOKUP(D2044:D6086,'参照_勢力'!A:A,'参照_勢力'!B:B),IFERROR(_xlfn.XLOOKUP(F2044:F6086,kunishuClan!A:A,kunishuClan!B:B),"浪人")))</f>
      </c>
      <c r="F2044" s="4">
        <v>0</v>
      </c>
      <c r="G2044" s="4">
        <v>141</v>
      </c>
      <c r="H2044" s="12" t="str">
        <f t="array" ref="H2044">IF(G2044:G6086="","",_xlfn.XLOOKUP(G2044:G6086,castles_state!A:A,castles_state!D:D,"見つかりません"))</f>
      </c>
      <c r="I2044" s="4"/>
      <c r="J2044" s="12" t="str">
        <f t="array" ref="J2044">IF(I2044:I6086="","",_xlfn.XLOOKUP(I2044:I6086,'参照_姫'!A:A,'参照_姫'!B:B,"見つかりません"))</f>
      </c>
      <c r="K2044" s="4">
        <v>95</v>
      </c>
      <c r="L2044" s="4">
        <v>0</v>
      </c>
      <c r="M2044" s="4"/>
      <c r="N2044" s="4"/>
      <c r="O2044" s="4"/>
      <c r="P2044" s="12" t="str">
        <f t="array" ref="P2044">IF(O2044:O6086="","",_xlfn.XLOOKUP(O2044:O6086,'参照_官位'!A:A,'参照_官位'!B:B,""))</f>
      </c>
      <c r="Q2044" s="12" t="str">
        <f t="array" ref="Q2044">IF(A2044:A6086="","",IFERROR(_xlfn.XLOOKUP(A2044:A6086,castles_state!K:K,castles_state!D:D)&amp;"主",IFERROR(_xlfn.XLOOKUP(A2044:A6086,kunishuClan!D:D,kunishuClan!B:B)&amp;"当主","")))</f>
      </c>
    </row>
    <row r="2045" ht="15.75" customHeight="1">
      <c r="A2045" s="4">
        <v>1051008</v>
      </c>
      <c r="B2045" s="12" t="str">
        <f t="array" ref="B2045">IF(A2045:A6087="","",_xlfn.XLOOKUP(A2045:A6087,'参照_武将'!A:A,'参照_武将'!B:B,"見つかりません"))</f>
      </c>
      <c r="C2045" s="4" t="s">
        <v>252</v>
      </c>
      <c r="D2045" s="4">
        <v>51</v>
      </c>
      <c r="E2045" s="12" t="str">
        <f t="array" ref="E2045">IF(D2045:D6087="","",IFERROR(_xlfn.XLOOKUP(D2045:D6087,'参照_勢力'!A:A,'参照_勢力'!B:B),IFERROR(_xlfn.XLOOKUP(F2045:F6087,kunishuClan!A:A,kunishuClan!B:B),"浪人")))</f>
      </c>
      <c r="F2045" s="4">
        <v>0</v>
      </c>
      <c r="G2045" s="4">
        <v>142</v>
      </c>
      <c r="H2045" s="12" t="str">
        <f t="array" ref="H2045">IF(G2045:G6087="","",_xlfn.XLOOKUP(G2045:G6087,castles_state!A:A,castles_state!D:D,"見つかりません"))</f>
      </c>
      <c r="I2045" s="4"/>
      <c r="J2045" s="12" t="str">
        <f t="array" ref="J2045">IF(I2045:I6087="","",_xlfn.XLOOKUP(I2045:I6087,'参照_姫'!A:A,'参照_姫'!B:B,"見つかりません"))</f>
      </c>
      <c r="K2045" s="4">
        <v>95</v>
      </c>
      <c r="L2045" s="4">
        <v>500</v>
      </c>
      <c r="M2045" s="4"/>
      <c r="N2045" s="4"/>
      <c r="O2045" s="4"/>
      <c r="P2045" s="12" t="str">
        <f t="array" ref="P2045">IF(O2045:O6087="","",_xlfn.XLOOKUP(O2045:O6087,'参照_官位'!A:A,'参照_官位'!B:B,""))</f>
      </c>
      <c r="Q2045" s="12" t="str">
        <f t="array" ref="Q2045">IF(A2045:A6087="","",IFERROR(_xlfn.XLOOKUP(A2045:A6087,castles_state!K:K,castles_state!D:D)&amp;"主",IFERROR(_xlfn.XLOOKUP(A2045:A6087,kunishuClan!D:D,kunishuClan!B:B)&amp;"当主","")))</f>
      </c>
    </row>
    <row r="2046" ht="15.75" customHeight="1">
      <c r="A2046" s="4">
        <v>1051009</v>
      </c>
      <c r="B2046" s="12" t="str">
        <f t="array" ref="B2046">IF(A2046:A6088="","",_xlfn.XLOOKUP(A2046:A6088,'参照_武将'!A:A,'参照_武将'!B:B,"見つかりません"))</f>
      </c>
      <c r="C2046" s="4" t="s">
        <v>252</v>
      </c>
      <c r="D2046" s="4">
        <v>51</v>
      </c>
      <c r="E2046" s="12" t="str">
        <f t="array" ref="E2046">IF(D2046:D6088="","",IFERROR(_xlfn.XLOOKUP(D2046:D6088,'参照_勢力'!A:A,'参照_勢力'!B:B),IFERROR(_xlfn.XLOOKUP(F2046:F6088,kunishuClan!A:A,kunishuClan!B:B),"浪人")))</f>
      </c>
      <c r="F2046" s="4">
        <v>0</v>
      </c>
      <c r="G2046" s="4">
        <v>142</v>
      </c>
      <c r="H2046" s="12" t="str">
        <f t="array" ref="H2046">IF(G2046:G6088="","",_xlfn.XLOOKUP(G2046:G6088,castles_state!A:A,castles_state!D:D,"見つかりません"))</f>
      </c>
      <c r="I2046" s="4"/>
      <c r="J2046" s="12" t="str">
        <f t="array" ref="J2046">IF(I2046:I6088="","",_xlfn.XLOOKUP(I2046:I6088,'参照_姫'!A:A,'参照_姫'!B:B,"見つかりません"))</f>
      </c>
      <c r="K2046" s="4">
        <v>95</v>
      </c>
      <c r="L2046" s="4">
        <v>0</v>
      </c>
      <c r="M2046" s="4"/>
      <c r="N2046" s="4"/>
      <c r="O2046" s="4"/>
      <c r="P2046" s="12" t="str">
        <f t="array" ref="P2046">IF(O2046:O6088="","",_xlfn.XLOOKUP(O2046:O6088,'参照_官位'!A:A,'参照_官位'!B:B,""))</f>
      </c>
      <c r="Q2046" s="12" t="str">
        <f t="array" ref="Q2046">IF(A2046:A6088="","",IFERROR(_xlfn.XLOOKUP(A2046:A6088,castles_state!K:K,castles_state!D:D)&amp;"主",IFERROR(_xlfn.XLOOKUP(A2046:A6088,kunishuClan!D:D,kunishuClan!B:B)&amp;"当主","")))</f>
      </c>
    </row>
    <row r="2047" ht="15.75" customHeight="1">
      <c r="A2047" s="4">
        <v>1051010</v>
      </c>
      <c r="B2047" s="12" t="str">
        <f t="array" ref="B2047">IF(A2047:A6089="","",_xlfn.XLOOKUP(A2047:A6089,'参照_武将'!A:A,'参照_武将'!B:B,"見つかりません"))</f>
      </c>
      <c r="C2047" s="4" t="s">
        <v>252</v>
      </c>
      <c r="D2047" s="4">
        <v>51</v>
      </c>
      <c r="E2047" s="12" t="str">
        <f t="array" ref="E2047">IF(D2047:D6089="","",IFERROR(_xlfn.XLOOKUP(D2047:D6089,'参照_勢力'!A:A,'参照_勢力'!B:B),IFERROR(_xlfn.XLOOKUP(F2047:F6089,kunishuClan!A:A,kunishuClan!B:B),"浪人")))</f>
      </c>
      <c r="F2047" s="4">
        <v>0</v>
      </c>
      <c r="G2047" s="4">
        <v>141</v>
      </c>
      <c r="H2047" s="12" t="str">
        <f t="array" ref="H2047">IF(G2047:G6089="","",_xlfn.XLOOKUP(G2047:G6089,castles_state!A:A,castles_state!D:D,"見つかりません"))</f>
      </c>
      <c r="I2047" s="4"/>
      <c r="J2047" s="12" t="str">
        <f t="array" ref="J2047">IF(I2047:I6089="","",_xlfn.XLOOKUP(I2047:I6089,'参照_姫'!A:A,'参照_姫'!B:B,"見つかりません"))</f>
      </c>
      <c r="K2047" s="4">
        <v>95</v>
      </c>
      <c r="L2047" s="4">
        <v>0</v>
      </c>
      <c r="M2047" s="4"/>
      <c r="N2047" s="4"/>
      <c r="O2047" s="4"/>
      <c r="P2047" s="12" t="str">
        <f t="array" ref="P2047">IF(O2047:O6089="","",_xlfn.XLOOKUP(O2047:O6089,'参照_官位'!A:A,'参照_官位'!B:B,""))</f>
      </c>
      <c r="Q2047" s="12" t="str">
        <f t="array" ref="Q2047">IF(A2047:A6089="","",IFERROR(_xlfn.XLOOKUP(A2047:A6089,castles_state!K:K,castles_state!D:D)&amp;"主",IFERROR(_xlfn.XLOOKUP(A2047:A6089,kunishuClan!D:D,kunishuClan!B:B)&amp;"当主","")))</f>
      </c>
    </row>
    <row r="2048" ht="15.75" customHeight="1">
      <c r="A2048" s="4">
        <v>1051011</v>
      </c>
      <c r="B2048" s="12" t="str">
        <f t="array" ref="B2048">IF(A2048:A6090="","",_xlfn.XLOOKUP(A2048:A6090,'参照_武将'!A:A,'参照_武将'!B:B,"見つかりません"))</f>
      </c>
      <c r="C2048" s="4" t="s">
        <v>252</v>
      </c>
      <c r="D2048" s="4">
        <v>51</v>
      </c>
      <c r="E2048" s="12" t="str">
        <f t="array" ref="E2048">IF(D2048:D6090="","",IFERROR(_xlfn.XLOOKUP(D2048:D6090,'参照_勢力'!A:A,'参照_勢力'!B:B),IFERROR(_xlfn.XLOOKUP(F2048:F6090,kunishuClan!A:A,kunishuClan!B:B),"浪人")))</f>
      </c>
      <c r="F2048" s="4">
        <v>0</v>
      </c>
      <c r="G2048" s="4">
        <v>141</v>
      </c>
      <c r="H2048" s="12" t="str">
        <f t="array" ref="H2048">IF(G2048:G6090="","",_xlfn.XLOOKUP(G2048:G6090,castles_state!A:A,castles_state!D:D,"見つかりません"))</f>
      </c>
      <c r="I2048" s="4"/>
      <c r="J2048" s="12" t="str">
        <f t="array" ref="J2048">IF(I2048:I6090="","",_xlfn.XLOOKUP(I2048:I6090,'参照_姫'!A:A,'参照_姫'!B:B,"見つかりません"))</f>
      </c>
      <c r="K2048" s="4">
        <v>95</v>
      </c>
      <c r="L2048" s="4">
        <v>0</v>
      </c>
      <c r="M2048" s="4" t="b">
        <v>1</v>
      </c>
      <c r="N2048" s="4"/>
      <c r="O2048" s="4"/>
      <c r="P2048" s="12" t="str">
        <f t="array" ref="P2048">IF(O2048:O6090="","",_xlfn.XLOOKUP(O2048:O6090,'参照_官位'!A:A,'参照_官位'!B:B,""))</f>
      </c>
      <c r="Q2048" s="12" t="str">
        <f t="array" ref="Q2048">IF(A2048:A6090="","",IFERROR(_xlfn.XLOOKUP(A2048:A6090,castles_state!K:K,castles_state!D:D)&amp;"主",IFERROR(_xlfn.XLOOKUP(A2048:A6090,kunishuClan!D:D,kunishuClan!B:B)&amp;"当主","")))</f>
      </c>
    </row>
    <row r="2049" ht="15.75" customHeight="1">
      <c r="A2049" s="4">
        <v>1051012</v>
      </c>
      <c r="B2049" s="12" t="str">
        <f t="array" ref="B2049">IF(A2049:A6091="","",_xlfn.XLOOKUP(A2049:A6091,'参照_武将'!A:A,'参照_武将'!B:B,"見つかりません"))</f>
      </c>
      <c r="C2049" s="4" t="s">
        <v>252</v>
      </c>
      <c r="D2049" s="4">
        <v>51</v>
      </c>
      <c r="E2049" s="12" t="str">
        <f t="array" ref="E2049">IF(D2049:D6091="","",IFERROR(_xlfn.XLOOKUP(D2049:D6091,'参照_勢力'!A:A,'参照_勢力'!B:B),IFERROR(_xlfn.XLOOKUP(F2049:F6091,kunishuClan!A:A,kunishuClan!B:B),"浪人")))</f>
      </c>
      <c r="F2049" s="4">
        <v>0</v>
      </c>
      <c r="G2049" s="4">
        <v>141</v>
      </c>
      <c r="H2049" s="12" t="str">
        <f t="array" ref="H2049">IF(G2049:G6091="","",_xlfn.XLOOKUP(G2049:G6091,castles_state!A:A,castles_state!D:D,"見つかりません"))</f>
      </c>
      <c r="I2049" s="4"/>
      <c r="J2049" s="12" t="str">
        <f t="array" ref="J2049">IF(I2049:I6091="","",_xlfn.XLOOKUP(I2049:I6091,'参照_姫'!A:A,'参照_姫'!B:B,"見つかりません"))</f>
      </c>
      <c r="K2049" s="4">
        <v>95</v>
      </c>
      <c r="L2049" s="4">
        <v>0</v>
      </c>
      <c r="M2049" s="4"/>
      <c r="N2049" s="4"/>
      <c r="O2049" s="4"/>
      <c r="P2049" s="12" t="str">
        <f t="array" ref="P2049">IF(O2049:O6091="","",_xlfn.XLOOKUP(O2049:O6091,'参照_官位'!A:A,'参照_官位'!B:B,""))</f>
      </c>
      <c r="Q2049" s="12" t="str">
        <f t="array" ref="Q2049">IF(A2049:A6091="","",IFERROR(_xlfn.XLOOKUP(A2049:A6091,castles_state!K:K,castles_state!D:D)&amp;"主",IFERROR(_xlfn.XLOOKUP(A2049:A6091,kunishuClan!D:D,kunishuClan!B:B)&amp;"当主","")))</f>
      </c>
    </row>
    <row r="2050" ht="15.75" customHeight="1">
      <c r="A2050" s="4">
        <v>1051013</v>
      </c>
      <c r="B2050" s="12" t="str">
        <f t="array" ref="B2050">IF(A2050:A6092="","",_xlfn.XLOOKUP(A2050:A6092,'参照_武将'!A:A,'参照_武将'!B:B,"見つかりません"))</f>
      </c>
      <c r="C2050" s="4" t="s">
        <v>252</v>
      </c>
      <c r="D2050" s="4">
        <v>51</v>
      </c>
      <c r="E2050" s="12" t="str">
        <f t="array" ref="E2050">IF(D2050:D6092="","",IFERROR(_xlfn.XLOOKUP(D2050:D6092,'参照_勢力'!A:A,'参照_勢力'!B:B),IFERROR(_xlfn.XLOOKUP(F2050:F6092,kunishuClan!A:A,kunishuClan!B:B),"浪人")))</f>
      </c>
      <c r="F2050" s="4">
        <v>0</v>
      </c>
      <c r="G2050" s="4">
        <v>141</v>
      </c>
      <c r="H2050" s="12" t="str">
        <f t="array" ref="H2050">IF(G2050:G6092="","",_xlfn.XLOOKUP(G2050:G6092,castles_state!A:A,castles_state!D:D,"見つかりません"))</f>
      </c>
      <c r="I2050" s="4"/>
      <c r="J2050" s="12" t="str">
        <f t="array" ref="J2050">IF(I2050:I6092="","",_xlfn.XLOOKUP(I2050:I6092,'参照_姫'!A:A,'参照_姫'!B:B,"見つかりません"))</f>
      </c>
      <c r="K2050" s="4">
        <v>95</v>
      </c>
      <c r="L2050" s="4">
        <v>0</v>
      </c>
      <c r="M2050" s="4"/>
      <c r="N2050" s="4"/>
      <c r="O2050" s="4"/>
      <c r="P2050" s="12" t="str">
        <f t="array" ref="P2050">IF(O2050:O6092="","",_xlfn.XLOOKUP(O2050:O6092,'参照_官位'!A:A,'参照_官位'!B:B,""))</f>
      </c>
      <c r="Q2050" s="12" t="str">
        <f t="array" ref="Q2050">IF(A2050:A6092="","",IFERROR(_xlfn.XLOOKUP(A2050:A6092,castles_state!K:K,castles_state!D:D)&amp;"主",IFERROR(_xlfn.XLOOKUP(A2050:A6092,kunishuClan!D:D,kunishuClan!B:B)&amp;"当主","")))</f>
      </c>
    </row>
    <row r="2051" ht="15.75" customHeight="1">
      <c r="A2051" s="4">
        <v>1051014</v>
      </c>
      <c r="B2051" s="12" t="str">
        <f t="array" ref="B2051">IF(A2051:A6093="","",_xlfn.XLOOKUP(A2051:A6093,'参照_武将'!A:A,'参照_武将'!B:B,"見つかりません"))</f>
      </c>
      <c r="C2051" s="4" t="s">
        <v>252</v>
      </c>
      <c r="D2051" s="4">
        <v>51</v>
      </c>
      <c r="E2051" s="12" t="str">
        <f t="array" ref="E2051">IF(D2051:D6093="","",IFERROR(_xlfn.XLOOKUP(D2051:D6093,'参照_勢力'!A:A,'参照_勢力'!B:B),IFERROR(_xlfn.XLOOKUP(F2051:F6093,kunishuClan!A:A,kunishuClan!B:B),"浪人")))</f>
      </c>
      <c r="F2051" s="4">
        <v>0</v>
      </c>
      <c r="G2051" s="4">
        <v>141</v>
      </c>
      <c r="H2051" s="12" t="str">
        <f t="array" ref="H2051">IF(G2051:G6093="","",_xlfn.XLOOKUP(G2051:G6093,castles_state!A:A,castles_state!D:D,"見つかりません"))</f>
      </c>
      <c r="I2051" s="4"/>
      <c r="J2051" s="12" t="str">
        <f t="array" ref="J2051">IF(I2051:I6093="","",_xlfn.XLOOKUP(I2051:I6093,'参照_姫'!A:A,'参照_姫'!B:B,"見つかりません"))</f>
      </c>
      <c r="K2051" s="4">
        <v>95</v>
      </c>
      <c r="L2051" s="4">
        <v>0</v>
      </c>
      <c r="M2051" s="4"/>
      <c r="N2051" s="4"/>
      <c r="O2051" s="4"/>
      <c r="P2051" s="12" t="str">
        <f t="array" ref="P2051">IF(O2051:O6093="","",_xlfn.XLOOKUP(O2051:O6093,'参照_官位'!A:A,'参照_官位'!B:B,""))</f>
      </c>
      <c r="Q2051" s="12" t="str">
        <f t="array" ref="Q2051">IF(A2051:A6093="","",IFERROR(_xlfn.XLOOKUP(A2051:A6093,castles_state!K:K,castles_state!D:D)&amp;"主",IFERROR(_xlfn.XLOOKUP(A2051:A6093,kunishuClan!D:D,kunishuClan!B:B)&amp;"当主","")))</f>
      </c>
    </row>
    <row r="2052" ht="15.75" customHeight="1">
      <c r="A2052" s="4">
        <v>1051015</v>
      </c>
      <c r="B2052" s="12" t="str">
        <f t="array" ref="B2052">IF(A2052:A6094="","",_xlfn.XLOOKUP(A2052:A6094,'参照_武将'!A:A,'参照_武将'!B:B,"見つかりません"))</f>
      </c>
      <c r="C2052" s="4" t="s">
        <v>252</v>
      </c>
      <c r="D2052" s="4">
        <v>51</v>
      </c>
      <c r="E2052" s="12" t="str">
        <f t="array" ref="E2052">IF(D2052:D6094="","",IFERROR(_xlfn.XLOOKUP(D2052:D6094,'参照_勢力'!A:A,'参照_勢力'!B:B),IFERROR(_xlfn.XLOOKUP(F2052:F6094,kunishuClan!A:A,kunishuClan!B:B),"浪人")))</f>
      </c>
      <c r="F2052" s="4">
        <v>0</v>
      </c>
      <c r="G2052" s="4">
        <v>142</v>
      </c>
      <c r="H2052" s="12" t="str">
        <f t="array" ref="H2052">IF(G2052:G6094="","",_xlfn.XLOOKUP(G2052:G6094,castles_state!A:A,castles_state!D:D,"見つかりません"))</f>
      </c>
      <c r="I2052" s="4"/>
      <c r="J2052" s="12" t="str">
        <f t="array" ref="J2052">IF(I2052:I6094="","",_xlfn.XLOOKUP(I2052:I6094,'参照_姫'!A:A,'参照_姫'!B:B,"見つかりません"))</f>
      </c>
      <c r="K2052" s="4">
        <v>95</v>
      </c>
      <c r="L2052" s="4">
        <v>0</v>
      </c>
      <c r="M2052" s="4"/>
      <c r="N2052" s="4"/>
      <c r="O2052" s="4"/>
      <c r="P2052" s="12" t="str">
        <f t="array" ref="P2052">IF(O2052:O6094="","",_xlfn.XLOOKUP(O2052:O6094,'参照_官位'!A:A,'参照_官位'!B:B,""))</f>
      </c>
      <c r="Q2052" s="12" t="str">
        <f t="array" ref="Q2052">IF(A2052:A6094="","",IFERROR(_xlfn.XLOOKUP(A2052:A6094,castles_state!K:K,castles_state!D:D)&amp;"主",IFERROR(_xlfn.XLOOKUP(A2052:A6094,kunishuClan!D:D,kunishuClan!B:B)&amp;"当主","")))</f>
      </c>
    </row>
    <row r="2053" ht="15.75" customHeight="1">
      <c r="A2053" s="4">
        <v>1051016</v>
      </c>
      <c r="B2053" s="12" t="str">
        <f t="array" ref="B2053">IF(A2053:A6095="","",_xlfn.XLOOKUP(A2053:A6095,'参照_武将'!A:A,'参照_武将'!B:B,"見つかりません"))</f>
      </c>
      <c r="C2053" s="4" t="s">
        <v>252</v>
      </c>
      <c r="D2053" s="4">
        <v>51</v>
      </c>
      <c r="E2053" s="12" t="str">
        <f t="array" ref="E2053">IF(D2053:D6095="","",IFERROR(_xlfn.XLOOKUP(D2053:D6095,'参照_勢力'!A:A,'参照_勢力'!B:B),IFERROR(_xlfn.XLOOKUP(F2053:F6095,kunishuClan!A:A,kunishuClan!B:B),"浪人")))</f>
      </c>
      <c r="F2053" s="4">
        <v>0</v>
      </c>
      <c r="G2053" s="4">
        <v>141</v>
      </c>
      <c r="H2053" s="12" t="str">
        <f t="array" ref="H2053">IF(G2053:G6095="","",_xlfn.XLOOKUP(G2053:G6095,castles_state!A:A,castles_state!D:D,"見つかりません"))</f>
      </c>
      <c r="I2053" s="4"/>
      <c r="J2053" s="12" t="str">
        <f t="array" ref="J2053">IF(I2053:I6095="","",_xlfn.XLOOKUP(I2053:I6095,'参照_姫'!A:A,'参照_姫'!B:B,"見つかりません"))</f>
      </c>
      <c r="K2053" s="4">
        <v>95</v>
      </c>
      <c r="L2053" s="4">
        <v>0</v>
      </c>
      <c r="M2053" s="4"/>
      <c r="N2053" s="4"/>
      <c r="O2053" s="4"/>
      <c r="P2053" s="12" t="str">
        <f t="array" ref="P2053">IF(O2053:O6095="","",_xlfn.XLOOKUP(O2053:O6095,'参照_官位'!A:A,'参照_官位'!B:B,""))</f>
      </c>
      <c r="Q2053" s="12" t="str">
        <f t="array" ref="Q2053">IF(A2053:A6095="","",IFERROR(_xlfn.XLOOKUP(A2053:A6095,castles_state!K:K,castles_state!D:D)&amp;"主",IFERROR(_xlfn.XLOOKUP(A2053:A6095,kunishuClan!D:D,kunishuClan!B:B)&amp;"当主","")))</f>
      </c>
    </row>
    <row r="2054" ht="15.75" customHeight="1">
      <c r="A2054" s="4">
        <v>1051017</v>
      </c>
      <c r="B2054" s="12" t="str">
        <f t="array" ref="B2054">IF(A2054:A6096="","",_xlfn.XLOOKUP(A2054:A6096,'参照_武将'!A:A,'参照_武将'!B:B,"見つかりません"))</f>
      </c>
      <c r="C2054" s="4" t="s">
        <v>252</v>
      </c>
      <c r="D2054" s="4">
        <v>51</v>
      </c>
      <c r="E2054" s="12" t="str">
        <f t="array" ref="E2054">IF(D2054:D6096="","",IFERROR(_xlfn.XLOOKUP(D2054:D6096,'参照_勢力'!A:A,'参照_勢力'!B:B),IFERROR(_xlfn.XLOOKUP(F2054:F6096,kunishuClan!A:A,kunishuClan!B:B),"浪人")))</f>
      </c>
      <c r="F2054" s="4">
        <v>0</v>
      </c>
      <c r="G2054" s="4">
        <v>141</v>
      </c>
      <c r="H2054" s="12" t="str">
        <f t="array" ref="H2054">IF(G2054:G6096="","",_xlfn.XLOOKUP(G2054:G6096,castles_state!A:A,castles_state!D:D,"見つかりません"))</f>
      </c>
      <c r="I2054" s="4"/>
      <c r="J2054" s="12" t="str">
        <f t="array" ref="J2054">IF(I2054:I6096="","",_xlfn.XLOOKUP(I2054:I6096,'参照_姫'!A:A,'参照_姫'!B:B,"見つかりません"))</f>
      </c>
      <c r="K2054" s="4">
        <v>95</v>
      </c>
      <c r="L2054" s="4">
        <v>300</v>
      </c>
      <c r="M2054" s="4"/>
      <c r="N2054" s="4"/>
      <c r="O2054" s="4"/>
      <c r="P2054" s="12" t="str">
        <f t="array" ref="P2054">IF(O2054:O6096="","",_xlfn.XLOOKUP(O2054:O6096,'参照_官位'!A:A,'参照_官位'!B:B,""))</f>
      </c>
      <c r="Q2054" s="12" t="str">
        <f t="array" ref="Q2054">IF(A2054:A6096="","",IFERROR(_xlfn.XLOOKUP(A2054:A6096,castles_state!K:K,castles_state!D:D)&amp;"主",IFERROR(_xlfn.XLOOKUP(A2054:A6096,kunishuClan!D:D,kunishuClan!B:B)&amp;"当主","")))</f>
      </c>
    </row>
    <row r="2055" ht="15.75" customHeight="1">
      <c r="A2055" s="4">
        <v>1051018</v>
      </c>
      <c r="B2055" s="12" t="str">
        <f t="array" ref="B2055">IF(A2055:A6097="","",_xlfn.XLOOKUP(A2055:A6097,'参照_武将'!A:A,'参照_武将'!B:B,"見つかりません"))</f>
      </c>
      <c r="C2055" s="4" t="s">
        <v>252</v>
      </c>
      <c r="D2055" s="4">
        <v>51</v>
      </c>
      <c r="E2055" s="12" t="str">
        <f t="array" ref="E2055">IF(D2055:D6097="","",IFERROR(_xlfn.XLOOKUP(D2055:D6097,'参照_勢力'!A:A,'参照_勢力'!B:B),IFERROR(_xlfn.XLOOKUP(F2055:F6097,kunishuClan!A:A,kunishuClan!B:B),"浪人")))</f>
      </c>
      <c r="F2055" s="4">
        <v>0</v>
      </c>
      <c r="G2055" s="4">
        <v>141</v>
      </c>
      <c r="H2055" s="12" t="str">
        <f t="array" ref="H2055">IF(G2055:G6097="","",_xlfn.XLOOKUP(G2055:G6097,castles_state!A:A,castles_state!D:D,"見つかりません"))</f>
      </c>
      <c r="I2055" s="4"/>
      <c r="J2055" s="12" t="str">
        <f t="array" ref="J2055">IF(I2055:I6097="","",_xlfn.XLOOKUP(I2055:I6097,'参照_姫'!A:A,'参照_姫'!B:B,"見つかりません"))</f>
      </c>
      <c r="K2055" s="4">
        <v>95</v>
      </c>
      <c r="L2055" s="4">
        <v>200</v>
      </c>
      <c r="M2055" s="4"/>
      <c r="N2055" s="4"/>
      <c r="O2055" s="4"/>
      <c r="P2055" s="12" t="str">
        <f t="array" ref="P2055">IF(O2055:O6097="","",_xlfn.XLOOKUP(O2055:O6097,'参照_官位'!A:A,'参照_官位'!B:B,""))</f>
      </c>
      <c r="Q2055" s="12" t="str">
        <f t="array" ref="Q2055">IF(A2055:A6097="","",IFERROR(_xlfn.XLOOKUP(A2055:A6097,castles_state!K:K,castles_state!D:D)&amp;"主",IFERROR(_xlfn.XLOOKUP(A2055:A6097,kunishuClan!D:D,kunishuClan!B:B)&amp;"当主","")))</f>
      </c>
    </row>
    <row r="2056" ht="15.75" customHeight="1">
      <c r="A2056" s="4">
        <v>1051019</v>
      </c>
      <c r="B2056" s="12" t="str">
        <f t="array" ref="B2056">IF(A2056:A6098="","",_xlfn.XLOOKUP(A2056:A6098,'参照_武将'!A:A,'参照_武将'!B:B,"見つかりません"))</f>
      </c>
      <c r="C2056" s="4" t="s">
        <v>252</v>
      </c>
      <c r="D2056" s="4">
        <v>51</v>
      </c>
      <c r="E2056" s="12" t="str">
        <f t="array" ref="E2056">IF(D2056:D6098="","",IFERROR(_xlfn.XLOOKUP(D2056:D6098,'参照_勢力'!A:A,'参照_勢力'!B:B),IFERROR(_xlfn.XLOOKUP(F2056:F6098,kunishuClan!A:A,kunishuClan!B:B),"浪人")))</f>
      </c>
      <c r="F2056" s="4">
        <v>0</v>
      </c>
      <c r="G2056" s="4">
        <v>142</v>
      </c>
      <c r="H2056" s="12" t="str">
        <f t="array" ref="H2056">IF(G2056:G6098="","",_xlfn.XLOOKUP(G2056:G6098,castles_state!A:A,castles_state!D:D,"見つかりません"))</f>
      </c>
      <c r="I2056" s="4"/>
      <c r="J2056" s="12" t="str">
        <f t="array" ref="J2056">IF(I2056:I6098="","",_xlfn.XLOOKUP(I2056:I6098,'参照_姫'!A:A,'参照_姫'!B:B,"見つかりません"))</f>
      </c>
      <c r="K2056" s="4">
        <v>95</v>
      </c>
      <c r="L2056" s="4">
        <v>0</v>
      </c>
      <c r="M2056" s="4"/>
      <c r="N2056" s="4"/>
      <c r="O2056" s="4"/>
      <c r="P2056" s="12" t="str">
        <f t="array" ref="P2056">IF(O2056:O6098="","",_xlfn.XLOOKUP(O2056:O6098,'参照_官位'!A:A,'参照_官位'!B:B,""))</f>
      </c>
      <c r="Q2056" s="12" t="str">
        <f t="array" ref="Q2056">IF(A2056:A6098="","",IFERROR(_xlfn.XLOOKUP(A2056:A6098,castles_state!K:K,castles_state!D:D)&amp;"主",IFERROR(_xlfn.XLOOKUP(A2056:A6098,kunishuClan!D:D,kunishuClan!B:B)&amp;"当主","")))</f>
      </c>
    </row>
    <row r="2057" ht="15.75" customHeight="1">
      <c r="A2057" s="4">
        <v>1051020</v>
      </c>
      <c r="B2057" s="12" t="str">
        <f t="array" ref="B2057">IF(A2057:A6099="","",_xlfn.XLOOKUP(A2057:A6099,'参照_武将'!A:A,'参照_武将'!B:B,"見つかりません"))</f>
      </c>
      <c r="C2057" s="4" t="s">
        <v>252</v>
      </c>
      <c r="D2057" s="4">
        <v>51</v>
      </c>
      <c r="E2057" s="12" t="str">
        <f t="array" ref="E2057">IF(D2057:D6099="","",IFERROR(_xlfn.XLOOKUP(D2057:D6099,'参照_勢力'!A:A,'参照_勢力'!B:B),IFERROR(_xlfn.XLOOKUP(F2057:F6099,kunishuClan!A:A,kunishuClan!B:B),"浪人")))</f>
      </c>
      <c r="F2057" s="4">
        <v>0</v>
      </c>
      <c r="G2057" s="4">
        <v>142</v>
      </c>
      <c r="H2057" s="12" t="str">
        <f t="array" ref="H2057">IF(G2057:G6099="","",_xlfn.XLOOKUP(G2057:G6099,castles_state!A:A,castles_state!D:D,"見つかりません"))</f>
      </c>
      <c r="I2057" s="4"/>
      <c r="J2057" s="12" t="str">
        <f t="array" ref="J2057">IF(I2057:I6099="","",_xlfn.XLOOKUP(I2057:I6099,'参照_姫'!A:A,'参照_姫'!B:B,"見つかりません"))</f>
      </c>
      <c r="K2057" s="4">
        <v>95</v>
      </c>
      <c r="L2057" s="4">
        <v>0</v>
      </c>
      <c r="M2057" s="4"/>
      <c r="N2057" s="4"/>
      <c r="O2057" s="4"/>
      <c r="P2057" s="12" t="str">
        <f t="array" ref="P2057">IF(O2057:O6099="","",_xlfn.XLOOKUP(O2057:O6099,'参照_官位'!A:A,'参照_官位'!B:B,""))</f>
      </c>
      <c r="Q2057" s="12" t="str">
        <f t="array" ref="Q2057">IF(A2057:A6099="","",IFERROR(_xlfn.XLOOKUP(A2057:A6099,castles_state!K:K,castles_state!D:D)&amp;"主",IFERROR(_xlfn.XLOOKUP(A2057:A6099,kunishuClan!D:D,kunishuClan!B:B)&amp;"当主","")))</f>
      </c>
    </row>
    <row r="2058" ht="15.75" customHeight="1">
      <c r="A2058" s="4">
        <v>1051021</v>
      </c>
      <c r="B2058" s="12" t="str">
        <f t="array" ref="B2058">IF(A2058:A6100="","",_xlfn.XLOOKUP(A2058:A6100,'参照_武将'!A:A,'参照_武将'!B:B,"見つかりません"))</f>
      </c>
      <c r="C2058" s="4" t="s">
        <v>252</v>
      </c>
      <c r="D2058" s="4">
        <v>51</v>
      </c>
      <c r="E2058" s="12" t="str">
        <f t="array" ref="E2058">IF(D2058:D6100="","",IFERROR(_xlfn.XLOOKUP(D2058:D6100,'参照_勢力'!A:A,'参照_勢力'!B:B),IFERROR(_xlfn.XLOOKUP(F2058:F6100,kunishuClan!A:A,kunishuClan!B:B),"浪人")))</f>
      </c>
      <c r="F2058" s="4">
        <v>0</v>
      </c>
      <c r="G2058" s="4">
        <v>142</v>
      </c>
      <c r="H2058" s="12" t="str">
        <f t="array" ref="H2058">IF(G2058:G6100="","",_xlfn.XLOOKUP(G2058:G6100,castles_state!A:A,castles_state!D:D,"見つかりません"))</f>
      </c>
      <c r="I2058" s="4"/>
      <c r="J2058" s="12" t="str">
        <f t="array" ref="J2058">IF(I2058:I6100="","",_xlfn.XLOOKUP(I2058:I6100,'参照_姫'!A:A,'参照_姫'!B:B,"見つかりません"))</f>
      </c>
      <c r="K2058" s="4">
        <v>90</v>
      </c>
      <c r="L2058" s="4">
        <v>0</v>
      </c>
      <c r="M2058" s="4"/>
      <c r="N2058" s="4"/>
      <c r="O2058" s="4"/>
      <c r="P2058" s="12" t="str">
        <f t="array" ref="P2058">IF(O2058:O6100="","",_xlfn.XLOOKUP(O2058:O6100,'参照_官位'!A:A,'参照_官位'!B:B,""))</f>
      </c>
      <c r="Q2058" s="12" t="str">
        <f t="array" ref="Q2058">IF(A2058:A6100="","",IFERROR(_xlfn.XLOOKUP(A2058:A6100,castles_state!K:K,castles_state!D:D)&amp;"主",IFERROR(_xlfn.XLOOKUP(A2058:A6100,kunishuClan!D:D,kunishuClan!B:B)&amp;"当主","")))</f>
      </c>
    </row>
    <row r="2059" ht="15.75" customHeight="1">
      <c r="A2059" s="4">
        <v>1051022</v>
      </c>
      <c r="B2059" s="12" t="str">
        <f t="array" ref="B2059">IF(A2059:A6101="","",_xlfn.XLOOKUP(A2059:A6101,'参照_武将'!A:A,'参照_武将'!B:B,"見つかりません"))</f>
      </c>
      <c r="C2059" s="4" t="s">
        <v>252</v>
      </c>
      <c r="D2059" s="4">
        <v>51</v>
      </c>
      <c r="E2059" s="12" t="str">
        <f t="array" ref="E2059">IF(D2059:D6101="","",IFERROR(_xlfn.XLOOKUP(D2059:D6101,'参照_勢力'!A:A,'参照_勢力'!B:B),IFERROR(_xlfn.XLOOKUP(F2059:F6101,kunishuClan!A:A,kunishuClan!B:B),"浪人")))</f>
      </c>
      <c r="F2059" s="4">
        <v>0</v>
      </c>
      <c r="G2059" s="4">
        <v>141</v>
      </c>
      <c r="H2059" s="12" t="str">
        <f t="array" ref="H2059">IF(G2059:G6101="","",_xlfn.XLOOKUP(G2059:G6101,castles_state!A:A,castles_state!D:D,"見つかりません"))</f>
      </c>
      <c r="I2059" s="4"/>
      <c r="J2059" s="12" t="str">
        <f t="array" ref="J2059">IF(I2059:I6101="","",_xlfn.XLOOKUP(I2059:I6101,'参照_姫'!A:A,'参照_姫'!B:B,"見つかりません"))</f>
      </c>
      <c r="K2059" s="4">
        <v>95</v>
      </c>
      <c r="L2059" s="4">
        <v>0</v>
      </c>
      <c r="M2059" s="4"/>
      <c r="N2059" s="4"/>
      <c r="O2059" s="4"/>
      <c r="P2059" s="12" t="str">
        <f t="array" ref="P2059">IF(O2059:O6101="","",_xlfn.XLOOKUP(O2059:O6101,'参照_官位'!A:A,'参照_官位'!B:B,""))</f>
      </c>
      <c r="Q2059" s="12" t="str">
        <f t="array" ref="Q2059">IF(A2059:A6101="","",IFERROR(_xlfn.XLOOKUP(A2059:A6101,castles_state!K:K,castles_state!D:D)&amp;"主",IFERROR(_xlfn.XLOOKUP(A2059:A6101,kunishuClan!D:D,kunishuClan!B:B)&amp;"当主","")))</f>
      </c>
    </row>
    <row r="2060" ht="15.75" customHeight="1">
      <c r="A2060" s="4">
        <v>1051023</v>
      </c>
      <c r="B2060" s="12" t="str">
        <f t="array" ref="B2060">IF(A2060:A6102="","",_xlfn.XLOOKUP(A2060:A6102,'参照_武将'!A:A,'参照_武将'!B:B,"見つかりません"))</f>
      </c>
      <c r="C2060" s="4" t="s">
        <v>252</v>
      </c>
      <c r="D2060" s="4">
        <v>51</v>
      </c>
      <c r="E2060" s="12" t="str">
        <f t="array" ref="E2060">IF(D2060:D6102="","",IFERROR(_xlfn.XLOOKUP(D2060:D6102,'参照_勢力'!A:A,'参照_勢力'!B:B),IFERROR(_xlfn.XLOOKUP(F2060:F6102,kunishuClan!A:A,kunishuClan!B:B),"浪人")))</f>
      </c>
      <c r="F2060" s="4">
        <v>0</v>
      </c>
      <c r="G2060" s="4">
        <v>142</v>
      </c>
      <c r="H2060" s="12" t="str">
        <f t="array" ref="H2060">IF(G2060:G6102="","",_xlfn.XLOOKUP(G2060:G6102,castles_state!A:A,castles_state!D:D,"見つかりません"))</f>
      </c>
      <c r="I2060" s="4"/>
      <c r="J2060" s="12" t="str">
        <f t="array" ref="J2060">IF(I2060:I6102="","",_xlfn.XLOOKUP(I2060:I6102,'参照_姫'!A:A,'参照_姫'!B:B,"見つかりません"))</f>
      </c>
      <c r="K2060" s="4">
        <v>95</v>
      </c>
      <c r="L2060" s="4">
        <v>500</v>
      </c>
      <c r="M2060" s="4"/>
      <c r="N2060" s="4"/>
      <c r="O2060" s="4"/>
      <c r="P2060" s="12" t="str">
        <f t="array" ref="P2060">IF(O2060:O6102="","",_xlfn.XLOOKUP(O2060:O6102,'参照_官位'!A:A,'参照_官位'!B:B,""))</f>
      </c>
      <c r="Q2060" s="12" t="str">
        <f t="array" ref="Q2060">IF(A2060:A6102="","",IFERROR(_xlfn.XLOOKUP(A2060:A6102,castles_state!K:K,castles_state!D:D)&amp;"主",IFERROR(_xlfn.XLOOKUP(A2060:A6102,kunishuClan!D:D,kunishuClan!B:B)&amp;"当主","")))</f>
      </c>
    </row>
    <row r="2061" ht="15.75" customHeight="1">
      <c r="A2061" s="4">
        <v>1051024</v>
      </c>
      <c r="B2061" s="12" t="str">
        <f t="array" ref="B2061">IF(A2061:A6103="","",_xlfn.XLOOKUP(A2061:A6103,'参照_武将'!A:A,'参照_武将'!B:B,"見つかりません"))</f>
      </c>
      <c r="C2061" s="4" t="s">
        <v>252</v>
      </c>
      <c r="D2061" s="4">
        <v>51</v>
      </c>
      <c r="E2061" s="12" t="str">
        <f t="array" ref="E2061">IF(D2061:D6103="","",IFERROR(_xlfn.XLOOKUP(D2061:D6103,'参照_勢力'!A:A,'参照_勢力'!B:B),IFERROR(_xlfn.XLOOKUP(F2061:F6103,kunishuClan!A:A,kunishuClan!B:B),"浪人")))</f>
      </c>
      <c r="F2061" s="4">
        <v>0</v>
      </c>
      <c r="G2061" s="4">
        <v>142</v>
      </c>
      <c r="H2061" s="12" t="str">
        <f t="array" ref="H2061">IF(G2061:G6103="","",_xlfn.XLOOKUP(G2061:G6103,castles_state!A:A,castles_state!D:D,"見つかりません"))</f>
      </c>
      <c r="I2061" s="4"/>
      <c r="J2061" s="12" t="str">
        <f t="array" ref="J2061">IF(I2061:I6103="","",_xlfn.XLOOKUP(I2061:I6103,'参照_姫'!A:A,'参照_姫'!B:B,"見つかりません"))</f>
      </c>
      <c r="K2061" s="4">
        <v>90</v>
      </c>
      <c r="L2061" s="4">
        <v>0</v>
      </c>
      <c r="M2061" s="4"/>
      <c r="N2061" s="4"/>
      <c r="O2061" s="4"/>
      <c r="P2061" s="12" t="str">
        <f t="array" ref="P2061">IF(O2061:O6103="","",_xlfn.XLOOKUP(O2061:O6103,'参照_官位'!A:A,'参照_官位'!B:B,""))</f>
      </c>
      <c r="Q2061" s="12" t="str">
        <f t="array" ref="Q2061">IF(A2061:A6103="","",IFERROR(_xlfn.XLOOKUP(A2061:A6103,castles_state!K:K,castles_state!D:D)&amp;"主",IFERROR(_xlfn.XLOOKUP(A2061:A6103,kunishuClan!D:D,kunishuClan!B:B)&amp;"当主","")))</f>
      </c>
    </row>
    <row r="2062" ht="15.75" customHeight="1">
      <c r="A2062" s="4">
        <v>1052001</v>
      </c>
      <c r="B2062" s="12" t="str">
        <f t="array" ref="B2062">IF(A2062:A6104="","",_xlfn.XLOOKUP(A2062:A6104,'参照_武将'!A:A,'参照_武将'!B:B,"見つかりません"))</f>
      </c>
      <c r="C2062" s="4" t="s">
        <v>5953</v>
      </c>
      <c r="D2062" s="4">
        <v>0</v>
      </c>
      <c r="E2062" s="12" t="str">
        <f t="array" ref="E2062">IF(D2062:D6104="","",IFERROR(_xlfn.XLOOKUP(D2062:D6104,'参照_勢力'!A:A,'参照_勢力'!B:B),IFERROR(_xlfn.XLOOKUP(F2062:F6104,kunishuClan!A:A,kunishuClan!B:B),"浪人")))</f>
      </c>
      <c r="F2062" s="4">
        <v>0</v>
      </c>
      <c r="G2062" s="4">
        <v>118</v>
      </c>
      <c r="H2062" s="12" t="str">
        <f t="array" ref="H2062">IF(G2062:G6104="","",_xlfn.XLOOKUP(G2062:G6104,castles_state!A:A,castles_state!D:D,"見つかりません"))</f>
      </c>
      <c r="I2062" s="4"/>
      <c r="J2062" s="12" t="str">
        <f t="array" ref="J2062">IF(I2062:I6104="","",_xlfn.XLOOKUP(I2062:I6104,'参照_姫'!A:A,'参照_姫'!B:B,"見つかりません"))</f>
      </c>
      <c r="K2062" s="4">
        <v>50</v>
      </c>
      <c r="L2062" s="4">
        <v>0</v>
      </c>
      <c r="M2062" s="4"/>
      <c r="N2062" s="4"/>
      <c r="O2062" s="4"/>
      <c r="P2062" s="12" t="str">
        <f t="array" ref="P2062">IF(O2062:O6104="","",_xlfn.XLOOKUP(O2062:O6104,'参照_官位'!A:A,'参照_官位'!B:B,""))</f>
      </c>
      <c r="Q2062" s="12" t="str">
        <f t="array" ref="Q2062">IF(A2062:A6104="","",IFERROR(_xlfn.XLOOKUP(A2062:A6104,castles_state!K:K,castles_state!D:D)&amp;"主",IFERROR(_xlfn.XLOOKUP(A2062:A6104,kunishuClan!D:D,kunishuClan!B:B)&amp;"当主","")))</f>
      </c>
    </row>
    <row r="2063" ht="15.75" customHeight="1">
      <c r="A2063" s="4">
        <v>1052002</v>
      </c>
      <c r="B2063" s="12" t="str">
        <f t="array" ref="B2063">IF(A2063:A6105="","",_xlfn.XLOOKUP(A2063:A6105,'参照_武将'!A:A,'参照_武将'!B:B,"見つかりません"))</f>
      </c>
      <c r="C2063" s="4" t="s">
        <v>5953</v>
      </c>
      <c r="D2063" s="4">
        <v>25</v>
      </c>
      <c r="E2063" s="12" t="str">
        <f t="array" ref="E2063">IF(D2063:D6105="","",IFERROR(_xlfn.XLOOKUP(D2063:D6105,'参照_勢力'!A:A,'参照_勢力'!B:B),IFERROR(_xlfn.XLOOKUP(F2063:F6105,kunishuClan!A:A,kunishuClan!B:B),"浪人")))</f>
      </c>
      <c r="F2063" s="4">
        <v>0</v>
      </c>
      <c r="G2063" s="4">
        <v>121</v>
      </c>
      <c r="H2063" s="12" t="str">
        <f t="array" ref="H2063">IF(G2063:G6105="","",_xlfn.XLOOKUP(G2063:G6105,castles_state!A:A,castles_state!D:D,"見つかりません"))</f>
      </c>
      <c r="I2063" s="4"/>
      <c r="J2063" s="12" t="str">
        <f t="array" ref="J2063">IF(I2063:I6105="","",_xlfn.XLOOKUP(I2063:I6105,'参照_姫'!A:A,'参照_姫'!B:B,"見つかりません"))</f>
      </c>
      <c r="K2063" s="4">
        <v>85</v>
      </c>
      <c r="L2063" s="4">
        <v>200</v>
      </c>
      <c r="M2063" s="4"/>
      <c r="N2063" s="4"/>
      <c r="O2063" s="4">
        <v>143</v>
      </c>
      <c r="P2063" s="12" t="str">
        <f t="array" ref="P2063">IF(O2063:O6105="","",_xlfn.XLOOKUP(O2063:O6105,'参照_官位'!A:A,'参照_官位'!B:B,""))</f>
      </c>
      <c r="Q2063" s="12" t="str">
        <f t="array" ref="Q2063">IF(A2063:A6105="","",IFERROR(_xlfn.XLOOKUP(A2063:A6105,castles_state!K:K,castles_state!D:D)&amp;"主",IFERROR(_xlfn.XLOOKUP(A2063:A6105,kunishuClan!D:D,kunishuClan!B:B)&amp;"当主","")))</f>
      </c>
    </row>
    <row r="2064" ht="15.75" customHeight="1">
      <c r="A2064" s="4">
        <v>1052003</v>
      </c>
      <c r="B2064" s="12" t="str">
        <f t="array" ref="B2064">IF(A2064:A6106="","",_xlfn.XLOOKUP(A2064:A6106,'参照_武将'!A:A,'参照_武将'!B:B,"見つかりません"))</f>
      </c>
      <c r="C2064" s="4" t="s">
        <v>5953</v>
      </c>
      <c r="D2064" s="4">
        <v>25</v>
      </c>
      <c r="E2064" s="12" t="str">
        <f t="array" ref="E2064">IF(D2064:D6106="","",IFERROR(_xlfn.XLOOKUP(D2064:D6106,'参照_勢力'!A:A,'参照_勢力'!B:B),IFERROR(_xlfn.XLOOKUP(F2064:F6106,kunishuClan!A:A,kunishuClan!B:B),"浪人")))</f>
      </c>
      <c r="F2064" s="4">
        <v>0</v>
      </c>
      <c r="G2064" s="4">
        <v>121</v>
      </c>
      <c r="H2064" s="12" t="str">
        <f t="array" ref="H2064">IF(G2064:G6106="","",_xlfn.XLOOKUP(G2064:G6106,castles_state!A:A,castles_state!D:D,"見つかりません"))</f>
      </c>
      <c r="I2064" s="4"/>
      <c r="J2064" s="12" t="str">
        <f t="array" ref="J2064">IF(I2064:I6106="","",_xlfn.XLOOKUP(I2064:I6106,'参照_姫'!A:A,'参照_姫'!B:B,"見つかりません"))</f>
      </c>
      <c r="K2064" s="4">
        <v>90</v>
      </c>
      <c r="L2064" s="4">
        <v>500</v>
      </c>
      <c r="M2064" s="4"/>
      <c r="N2064" s="4"/>
      <c r="O2064" s="4"/>
      <c r="P2064" s="12" t="str">
        <f t="array" ref="P2064">IF(O2064:O6106="","",_xlfn.XLOOKUP(O2064:O6106,'参照_官位'!A:A,'参照_官位'!B:B,""))</f>
      </c>
      <c r="Q2064" s="12" t="str">
        <f t="array" ref="Q2064">IF(A2064:A6106="","",IFERROR(_xlfn.XLOOKUP(A2064:A6106,castles_state!K:K,castles_state!D:D)&amp;"主",IFERROR(_xlfn.XLOOKUP(A2064:A6106,kunishuClan!D:D,kunishuClan!B:B)&amp;"当主","")))</f>
      </c>
    </row>
    <row r="2065" ht="15.75" customHeight="1">
      <c r="A2065" s="4">
        <v>1052004</v>
      </c>
      <c r="B2065" s="12" t="str">
        <f t="array" ref="B2065">IF(A2065:A6107="","",_xlfn.XLOOKUP(A2065:A6107,'参照_武将'!A:A,'参照_武将'!B:B,"見つかりません"))</f>
      </c>
      <c r="C2065" s="4" t="s">
        <v>5953</v>
      </c>
      <c r="D2065" s="4">
        <v>25</v>
      </c>
      <c r="E2065" s="12" t="str">
        <f t="array" ref="E2065">IF(D2065:D6107="","",IFERROR(_xlfn.XLOOKUP(D2065:D6107,'参照_勢力'!A:A,'参照_勢力'!B:B),IFERROR(_xlfn.XLOOKUP(F2065:F6107,kunishuClan!A:A,kunishuClan!B:B),"浪人")))</f>
      </c>
      <c r="F2065" s="4">
        <v>0</v>
      </c>
      <c r="G2065" s="4">
        <v>121</v>
      </c>
      <c r="H2065" s="12" t="str">
        <f t="array" ref="H2065">IF(G2065:G6107="","",_xlfn.XLOOKUP(G2065:G6107,castles_state!A:A,castles_state!D:D,"見つかりません"))</f>
      </c>
      <c r="I2065" s="4"/>
      <c r="J2065" s="12" t="str">
        <f t="array" ref="J2065">IF(I2065:I6107="","",_xlfn.XLOOKUP(I2065:I6107,'参照_姫'!A:A,'参照_姫'!B:B,"見つかりません"))</f>
      </c>
      <c r="K2065" s="4">
        <v>90</v>
      </c>
      <c r="L2065" s="4">
        <v>200</v>
      </c>
      <c r="M2065" s="4"/>
      <c r="N2065" s="4"/>
      <c r="O2065" s="4"/>
      <c r="P2065" s="12" t="str">
        <f t="array" ref="P2065">IF(O2065:O6107="","",_xlfn.XLOOKUP(O2065:O6107,'参照_官位'!A:A,'参照_官位'!B:B,""))</f>
      </c>
      <c r="Q2065" s="12" t="str">
        <f t="array" ref="Q2065">IF(A2065:A6107="","",IFERROR(_xlfn.XLOOKUP(A2065:A6107,castles_state!K:K,castles_state!D:D)&amp;"主",IFERROR(_xlfn.XLOOKUP(A2065:A6107,kunishuClan!D:D,kunishuClan!B:B)&amp;"当主","")))</f>
      </c>
    </row>
    <row r="2066" ht="15.75" customHeight="1">
      <c r="A2066" s="4">
        <v>1052005</v>
      </c>
      <c r="B2066" s="12" t="str">
        <f t="array" ref="B2066">IF(A2066:A6108="","",_xlfn.XLOOKUP(A2066:A6108,'参照_武将'!A:A,'参照_武将'!B:B,"見つかりません"))</f>
      </c>
      <c r="C2066" s="4" t="s">
        <v>5953</v>
      </c>
      <c r="D2066" s="4">
        <v>25</v>
      </c>
      <c r="E2066" s="12" t="str">
        <f t="array" ref="E2066">IF(D2066:D6108="","",IFERROR(_xlfn.XLOOKUP(D2066:D6108,'参照_勢力'!A:A,'参照_勢力'!B:B),IFERROR(_xlfn.XLOOKUP(F2066:F6108,kunishuClan!A:A,kunishuClan!B:B),"浪人")))</f>
      </c>
      <c r="F2066" s="4">
        <v>0</v>
      </c>
      <c r="G2066" s="4">
        <v>121</v>
      </c>
      <c r="H2066" s="12" t="str">
        <f t="array" ref="H2066">IF(G2066:G6108="","",_xlfn.XLOOKUP(G2066:G6108,castles_state!A:A,castles_state!D:D,"見つかりません"))</f>
      </c>
      <c r="I2066" s="4"/>
      <c r="J2066" s="12" t="str">
        <f t="array" ref="J2066">IF(I2066:I6108="","",_xlfn.XLOOKUP(I2066:I6108,'参照_姫'!A:A,'参照_姫'!B:B,"見つかりません"))</f>
      </c>
      <c r="K2066" s="4">
        <v>90</v>
      </c>
      <c r="L2066" s="4">
        <v>0</v>
      </c>
      <c r="M2066" s="4"/>
      <c r="N2066" s="4"/>
      <c r="O2066" s="4"/>
      <c r="P2066" s="12" t="str">
        <f t="array" ref="P2066">IF(O2066:O6108="","",_xlfn.XLOOKUP(O2066:O6108,'参照_官位'!A:A,'参照_官位'!B:B,""))</f>
      </c>
      <c r="Q2066" s="12" t="str">
        <f t="array" ref="Q2066">IF(A2066:A6108="","",IFERROR(_xlfn.XLOOKUP(A2066:A6108,castles_state!K:K,castles_state!D:D)&amp;"主",IFERROR(_xlfn.XLOOKUP(A2066:A6108,kunishuClan!D:D,kunishuClan!B:B)&amp;"当主","")))</f>
      </c>
    </row>
    <row r="2067" ht="15.75" customHeight="1">
      <c r="A2067" s="4">
        <v>1052006</v>
      </c>
      <c r="B2067" s="12" t="str">
        <f t="array" ref="B2067">IF(A2067:A6109="","",_xlfn.XLOOKUP(A2067:A6109,'参照_武将'!A:A,'参照_武将'!B:B,"見つかりません"))</f>
      </c>
      <c r="C2067" s="4" t="s">
        <v>5953</v>
      </c>
      <c r="D2067" s="4">
        <v>25</v>
      </c>
      <c r="E2067" s="12" t="str">
        <f t="array" ref="E2067">IF(D2067:D6109="","",IFERROR(_xlfn.XLOOKUP(D2067:D6109,'参照_勢力'!A:A,'参照_勢力'!B:B),IFERROR(_xlfn.XLOOKUP(F2067:F6109,kunishuClan!A:A,kunishuClan!B:B),"浪人")))</f>
      </c>
      <c r="F2067" s="4">
        <v>0</v>
      </c>
      <c r="G2067" s="4">
        <v>121</v>
      </c>
      <c r="H2067" s="12" t="str">
        <f t="array" ref="H2067">IF(G2067:G6109="","",_xlfn.XLOOKUP(G2067:G6109,castles_state!A:A,castles_state!D:D,"見つかりません"))</f>
      </c>
      <c r="I2067" s="4"/>
      <c r="J2067" s="12" t="str">
        <f t="array" ref="J2067">IF(I2067:I6109="","",_xlfn.XLOOKUP(I2067:I6109,'参照_姫'!A:A,'参照_姫'!B:B,"見つかりません"))</f>
      </c>
      <c r="K2067" s="4">
        <v>90</v>
      </c>
      <c r="L2067" s="4">
        <v>0</v>
      </c>
      <c r="M2067" s="4"/>
      <c r="N2067" s="4"/>
      <c r="O2067" s="4"/>
      <c r="P2067" s="12" t="str">
        <f t="array" ref="P2067">IF(O2067:O6109="","",_xlfn.XLOOKUP(O2067:O6109,'参照_官位'!A:A,'参照_官位'!B:B,""))</f>
      </c>
      <c r="Q2067" s="12" t="str">
        <f t="array" ref="Q2067">IF(A2067:A6109="","",IFERROR(_xlfn.XLOOKUP(A2067:A6109,castles_state!K:K,castles_state!D:D)&amp;"主",IFERROR(_xlfn.XLOOKUP(A2067:A6109,kunishuClan!D:D,kunishuClan!B:B)&amp;"当主","")))</f>
      </c>
    </row>
    <row r="2068" ht="15.75" customHeight="1">
      <c r="A2068" s="4">
        <v>1052007</v>
      </c>
      <c r="B2068" s="12" t="str">
        <f t="array" ref="B2068">IF(A2068:A6110="","",_xlfn.XLOOKUP(A2068:A6110,'参照_武将'!A:A,'参照_武将'!B:B,"見つかりません"))</f>
      </c>
      <c r="C2068" s="4" t="s">
        <v>5953</v>
      </c>
      <c r="D2068" s="4">
        <v>0</v>
      </c>
      <c r="E2068" s="12" t="str">
        <f t="array" ref="E2068">IF(D2068:D6110="","",IFERROR(_xlfn.XLOOKUP(D2068:D6110,'参照_勢力'!A:A,'参照_勢力'!B:B),IFERROR(_xlfn.XLOOKUP(F2068:F6110,kunishuClan!A:A,kunishuClan!B:B),"浪人")))</f>
      </c>
      <c r="F2068" s="4">
        <v>0</v>
      </c>
      <c r="G2068" s="4">
        <v>118</v>
      </c>
      <c r="H2068" s="12" t="str">
        <f t="array" ref="H2068">IF(G2068:G6110="","",_xlfn.XLOOKUP(G2068:G6110,castles_state!A:A,castles_state!D:D,"見つかりません"))</f>
      </c>
      <c r="I2068" s="4"/>
      <c r="J2068" s="12" t="str">
        <f t="array" ref="J2068">IF(I2068:I6110="","",_xlfn.XLOOKUP(I2068:I6110,'参照_姫'!A:A,'参照_姫'!B:B,"見つかりません"))</f>
      </c>
      <c r="K2068" s="4">
        <v>50</v>
      </c>
      <c r="L2068" s="4">
        <v>20</v>
      </c>
      <c r="M2068" s="4"/>
      <c r="N2068" s="4"/>
      <c r="O2068" s="4"/>
      <c r="P2068" s="12" t="str">
        <f t="array" ref="P2068">IF(O2068:O6110="","",_xlfn.XLOOKUP(O2068:O6110,'参照_官位'!A:A,'参照_官位'!B:B,""))</f>
      </c>
      <c r="Q2068" s="12" t="str">
        <f t="array" ref="Q2068">IF(A2068:A6110="","",IFERROR(_xlfn.XLOOKUP(A2068:A6110,castles_state!K:K,castles_state!D:D)&amp;"主",IFERROR(_xlfn.XLOOKUP(A2068:A6110,kunishuClan!D:D,kunishuClan!B:B)&amp;"当主","")))</f>
      </c>
    </row>
    <row r="2069" ht="15.75" customHeight="1">
      <c r="A2069" s="4">
        <v>1052008</v>
      </c>
      <c r="B2069" s="12" t="str">
        <f t="array" ref="B2069">IF(A2069:A6111="","",_xlfn.XLOOKUP(A2069:A6111,'参照_武将'!A:A,'参照_武将'!B:B,"見つかりません"))</f>
      </c>
      <c r="C2069" s="4" t="s">
        <v>5953</v>
      </c>
      <c r="D2069" s="4">
        <v>25</v>
      </c>
      <c r="E2069" s="12" t="str">
        <f t="array" ref="E2069">IF(D2069:D6111="","",IFERROR(_xlfn.XLOOKUP(D2069:D6111,'参照_勢力'!A:A,'参照_勢力'!B:B),IFERROR(_xlfn.XLOOKUP(F2069:F6111,kunishuClan!A:A,kunishuClan!B:B),"浪人")))</f>
      </c>
      <c r="F2069" s="4">
        <v>0</v>
      </c>
      <c r="G2069" s="4">
        <v>121</v>
      </c>
      <c r="H2069" s="12" t="str">
        <f t="array" ref="H2069">IF(G2069:G6111="","",_xlfn.XLOOKUP(G2069:G6111,castles_state!A:A,castles_state!D:D,"見つかりません"))</f>
      </c>
      <c r="I2069" s="4"/>
      <c r="J2069" s="12" t="str">
        <f t="array" ref="J2069">IF(I2069:I6111="","",_xlfn.XLOOKUP(I2069:I6111,'参照_姫'!A:A,'参照_姫'!B:B,"見つかりません"))</f>
      </c>
      <c r="K2069" s="4">
        <v>90</v>
      </c>
      <c r="L2069" s="4">
        <v>0</v>
      </c>
      <c r="M2069" s="4"/>
      <c r="N2069" s="4"/>
      <c r="O2069" s="4"/>
      <c r="P2069" s="12" t="str">
        <f t="array" ref="P2069">IF(O2069:O6111="","",_xlfn.XLOOKUP(O2069:O6111,'参照_官位'!A:A,'参照_官位'!B:B,""))</f>
      </c>
      <c r="Q2069" s="12" t="str">
        <f t="array" ref="Q2069">IF(A2069:A6111="","",IFERROR(_xlfn.XLOOKUP(A2069:A6111,castles_state!K:K,castles_state!D:D)&amp;"主",IFERROR(_xlfn.XLOOKUP(A2069:A6111,kunishuClan!D:D,kunishuClan!B:B)&amp;"当主","")))</f>
      </c>
    </row>
    <row r="2070" ht="15.75" customHeight="1">
      <c r="A2070" s="4">
        <v>1052009</v>
      </c>
      <c r="B2070" s="12" t="str">
        <f t="array" ref="B2070">IF(A2070:A6112="","",_xlfn.XLOOKUP(A2070:A6112,'参照_武将'!A:A,'参照_武将'!B:B,"見つかりません"))</f>
      </c>
      <c r="C2070" s="4" t="s">
        <v>5953</v>
      </c>
      <c r="D2070" s="4">
        <v>0</v>
      </c>
      <c r="E2070" s="12" t="str">
        <f t="array" ref="E2070">IF(D2070:D6112="","",IFERROR(_xlfn.XLOOKUP(D2070:D6112,'参照_勢力'!A:A,'参照_勢力'!B:B),IFERROR(_xlfn.XLOOKUP(F2070:F6112,kunishuClan!A:A,kunishuClan!B:B),"浪人")))</f>
      </c>
      <c r="F2070" s="4">
        <v>0</v>
      </c>
      <c r="G2070" s="4">
        <v>118</v>
      </c>
      <c r="H2070" s="12" t="str">
        <f t="array" ref="H2070">IF(G2070:G6112="","",_xlfn.XLOOKUP(G2070:G6112,castles_state!A:A,castles_state!D:D,"見つかりません"))</f>
      </c>
      <c r="I2070" s="4"/>
      <c r="J2070" s="12" t="str">
        <f t="array" ref="J2070">IF(I2070:I6112="","",_xlfn.XLOOKUP(I2070:I6112,'参照_姫'!A:A,'参照_姫'!B:B,"見つかりません"))</f>
      </c>
      <c r="K2070" s="4">
        <v>50</v>
      </c>
      <c r="L2070" s="4">
        <v>0</v>
      </c>
      <c r="M2070" s="4"/>
      <c r="N2070" s="4"/>
      <c r="O2070" s="4"/>
      <c r="P2070" s="12" t="str">
        <f t="array" ref="P2070">IF(O2070:O6112="","",_xlfn.XLOOKUP(O2070:O6112,'参照_官位'!A:A,'参照_官位'!B:B,""))</f>
      </c>
      <c r="Q2070" s="12" t="str">
        <f t="array" ref="Q2070">IF(A2070:A6112="","",IFERROR(_xlfn.XLOOKUP(A2070:A6112,castles_state!K:K,castles_state!D:D)&amp;"主",IFERROR(_xlfn.XLOOKUP(A2070:A6112,kunishuClan!D:D,kunishuClan!B:B)&amp;"当主","")))</f>
      </c>
    </row>
    <row r="2071" ht="15.75" customHeight="1">
      <c r="A2071" s="4">
        <v>1052010</v>
      </c>
      <c r="B2071" s="12" t="str">
        <f t="array" ref="B2071">IF(A2071:A6113="","",_xlfn.XLOOKUP(A2071:A6113,'参照_武将'!A:A,'参照_武将'!B:B,"見つかりません"))</f>
      </c>
      <c r="C2071" s="4" t="s">
        <v>5953</v>
      </c>
      <c r="D2071" s="4">
        <v>25</v>
      </c>
      <c r="E2071" s="12" t="str">
        <f t="array" ref="E2071">IF(D2071:D6113="","",IFERROR(_xlfn.XLOOKUP(D2071:D6113,'参照_勢力'!A:A,'参照_勢力'!B:B),IFERROR(_xlfn.XLOOKUP(F2071:F6113,kunishuClan!A:A,kunishuClan!B:B),"浪人")))</f>
      </c>
      <c r="F2071" s="4">
        <v>0</v>
      </c>
      <c r="G2071" s="4">
        <v>121</v>
      </c>
      <c r="H2071" s="12" t="str">
        <f t="array" ref="H2071">IF(G2071:G6113="","",_xlfn.XLOOKUP(G2071:G6113,castles_state!A:A,castles_state!D:D,"見つかりません"))</f>
      </c>
      <c r="I2071" s="4"/>
      <c r="J2071" s="12" t="str">
        <f t="array" ref="J2071">IF(I2071:I6113="","",_xlfn.XLOOKUP(I2071:I6113,'参照_姫'!A:A,'参照_姫'!B:B,"見つかりません"))</f>
      </c>
      <c r="K2071" s="4">
        <v>90</v>
      </c>
      <c r="L2071" s="4">
        <v>0</v>
      </c>
      <c r="M2071" s="4"/>
      <c r="N2071" s="4"/>
      <c r="O2071" s="4"/>
      <c r="P2071" s="12" t="str">
        <f t="array" ref="P2071">IF(O2071:O6113="","",_xlfn.XLOOKUP(O2071:O6113,'参照_官位'!A:A,'参照_官位'!B:B,""))</f>
      </c>
      <c r="Q2071" s="12" t="str">
        <f t="array" ref="Q2071">IF(A2071:A6113="","",IFERROR(_xlfn.XLOOKUP(A2071:A6113,castles_state!K:K,castles_state!D:D)&amp;"主",IFERROR(_xlfn.XLOOKUP(A2071:A6113,kunishuClan!D:D,kunishuClan!B:B)&amp;"当主","")))</f>
      </c>
    </row>
    <row r="2072" ht="15.75" customHeight="1">
      <c r="A2072" s="4">
        <v>1053001</v>
      </c>
      <c r="B2072" s="12" t="str">
        <f t="array" ref="B2072">IF(A2072:A6114="","",_xlfn.XLOOKUP(A2072:A6114,'参照_武将'!A:A,'参照_武将'!B:B,"見つかりません"))</f>
      </c>
      <c r="C2072" s="4" t="s">
        <v>259</v>
      </c>
      <c r="D2072" s="4">
        <v>53</v>
      </c>
      <c r="E2072" s="12" t="str">
        <f t="array" ref="E2072">IF(D2072:D6114="","",IFERROR(_xlfn.XLOOKUP(D2072:D6114,'参照_勢力'!A:A,'参照_勢力'!B:B),IFERROR(_xlfn.XLOOKUP(F2072:F6114,kunishuClan!A:A,kunishuClan!B:B),"浪人")))</f>
      </c>
      <c r="F2072" s="4">
        <v>0</v>
      </c>
      <c r="G2072" s="4">
        <v>146</v>
      </c>
      <c r="H2072" s="12" t="str">
        <f t="array" ref="H2072">IF(G2072:G6114="","",_xlfn.XLOOKUP(G2072:G6114,castles_state!A:A,castles_state!D:D,"見つかりません"))</f>
      </c>
      <c r="I2072" s="4"/>
      <c r="J2072" s="12" t="str">
        <f t="array" ref="J2072">IF(I2072:I6114="","",_xlfn.XLOOKUP(I2072:I6114,'参照_姫'!A:A,'参照_姫'!B:B,"見つかりません"))</f>
      </c>
      <c r="K2072" s="4">
        <v>95</v>
      </c>
      <c r="L2072" s="4">
        <v>0</v>
      </c>
      <c r="M2072" s="4"/>
      <c r="N2072" s="4"/>
      <c r="O2072" s="4"/>
      <c r="P2072" s="12" t="str">
        <f t="array" ref="P2072">IF(O2072:O6114="","",_xlfn.XLOOKUP(O2072:O6114,'参照_官位'!A:A,'参照_官位'!B:B,""))</f>
      </c>
      <c r="Q2072" s="12" t="str">
        <f t="array" ref="Q2072">IF(A2072:A6114="","",IFERROR(_xlfn.XLOOKUP(A2072:A6114,castles_state!K:K,castles_state!D:D)&amp;"主",IFERROR(_xlfn.XLOOKUP(A2072:A6114,kunishuClan!D:D,kunishuClan!B:B)&amp;"当主","")))</f>
      </c>
    </row>
    <row r="2073" ht="15.75" customHeight="1">
      <c r="A2073" s="4">
        <v>1053002</v>
      </c>
      <c r="B2073" s="12" t="str">
        <f t="array" ref="B2073">IF(A2073:A6115="","",_xlfn.XLOOKUP(A2073:A6115,'参照_武将'!A:A,'参照_武将'!B:B,"見つかりません"))</f>
      </c>
      <c r="C2073" s="4" t="s">
        <v>259</v>
      </c>
      <c r="D2073" s="4">
        <v>53</v>
      </c>
      <c r="E2073" s="12" t="str">
        <f t="array" ref="E2073">IF(D2073:D6115="","",IFERROR(_xlfn.XLOOKUP(D2073:D6115,'参照_勢力'!A:A,'参照_勢力'!B:B),IFERROR(_xlfn.XLOOKUP(F2073:F6115,kunishuClan!A:A,kunishuClan!B:B),"浪人")))</f>
      </c>
      <c r="F2073" s="4">
        <v>0</v>
      </c>
      <c r="G2073" s="4">
        <v>146</v>
      </c>
      <c r="H2073" s="12" t="str">
        <f t="array" ref="H2073">IF(G2073:G6115="","",_xlfn.XLOOKUP(G2073:G6115,castles_state!A:A,castles_state!D:D,"見つかりません"))</f>
      </c>
      <c r="I2073" s="4"/>
      <c r="J2073" s="12" t="str">
        <f t="array" ref="J2073">IF(I2073:I6115="","",_xlfn.XLOOKUP(I2073:I6115,'参照_姫'!A:A,'参照_姫'!B:B,"見つかりません"))</f>
      </c>
      <c r="K2073" s="4">
        <v>95</v>
      </c>
      <c r="L2073" s="4">
        <v>0</v>
      </c>
      <c r="M2073" s="4"/>
      <c r="N2073" s="4"/>
      <c r="O2073" s="4"/>
      <c r="P2073" s="12" t="str">
        <f t="array" ref="P2073">IF(O2073:O6115="","",_xlfn.XLOOKUP(O2073:O6115,'参照_官位'!A:A,'参照_官位'!B:B,""))</f>
      </c>
      <c r="Q2073" s="12" t="str">
        <f t="array" ref="Q2073">IF(A2073:A6115="","",IFERROR(_xlfn.XLOOKUP(A2073:A6115,castles_state!K:K,castles_state!D:D)&amp;"主",IFERROR(_xlfn.XLOOKUP(A2073:A6115,kunishuClan!D:D,kunishuClan!B:B)&amp;"当主","")))</f>
      </c>
    </row>
    <row r="2074" ht="15.75" customHeight="1">
      <c r="A2074" s="4">
        <v>1053003</v>
      </c>
      <c r="B2074" s="12" t="str">
        <f t="array" ref="B2074">IF(A2074:A6116="","",_xlfn.XLOOKUP(A2074:A6116,'参照_武将'!A:A,'参照_武将'!B:B,"見つかりません"))</f>
      </c>
      <c r="C2074" s="4" t="s">
        <v>259</v>
      </c>
      <c r="D2074" s="4">
        <v>53</v>
      </c>
      <c r="E2074" s="12" t="str">
        <f t="array" ref="E2074">IF(D2074:D6116="","",IFERROR(_xlfn.XLOOKUP(D2074:D6116,'参照_勢力'!A:A,'参照_勢力'!B:B),IFERROR(_xlfn.XLOOKUP(F2074:F6116,kunishuClan!A:A,kunishuClan!B:B),"浪人")))</f>
      </c>
      <c r="F2074" s="4">
        <v>0</v>
      </c>
      <c r="G2074" s="4">
        <v>146</v>
      </c>
      <c r="H2074" s="12" t="str">
        <f t="array" ref="H2074">IF(G2074:G6116="","",_xlfn.XLOOKUP(G2074:G6116,castles_state!A:A,castles_state!D:D,"見つかりません"))</f>
      </c>
      <c r="I2074" s="4"/>
      <c r="J2074" s="12" t="str">
        <f t="array" ref="J2074">IF(I2074:I6116="","",_xlfn.XLOOKUP(I2074:I6116,'参照_姫'!A:A,'参照_姫'!B:B,"見つかりません"))</f>
      </c>
      <c r="K2074" s="4">
        <v>100</v>
      </c>
      <c r="L2074" s="4">
        <v>1500</v>
      </c>
      <c r="M2074" s="4"/>
      <c r="N2074" s="4"/>
      <c r="O2074" s="4">
        <v>56</v>
      </c>
      <c r="P2074" s="12" t="str">
        <f t="array" ref="P2074">IF(O2074:O6116="","",_xlfn.XLOOKUP(O2074:O6116,'参照_官位'!A:A,'参照_官位'!B:B,""))</f>
      </c>
      <c r="Q2074" s="12" t="str">
        <f t="array" ref="Q2074">IF(A2074:A6116="","",IFERROR(_xlfn.XLOOKUP(A2074:A6116,castles_state!K:K,castles_state!D:D)&amp;"主",IFERROR(_xlfn.XLOOKUP(A2074:A6116,kunishuClan!D:D,kunishuClan!B:B)&amp;"当主","")))</f>
      </c>
    </row>
    <row r="2075" ht="15.75" customHeight="1">
      <c r="A2075" s="4">
        <v>1053004</v>
      </c>
      <c r="B2075" s="12" t="str">
        <f t="array" ref="B2075">IF(A2075:A6117="","",_xlfn.XLOOKUP(A2075:A6117,'参照_武将'!A:A,'参照_武将'!B:B,"見つかりません"))</f>
      </c>
      <c r="C2075" s="4" t="s">
        <v>259</v>
      </c>
      <c r="D2075" s="4">
        <v>53</v>
      </c>
      <c r="E2075" s="12" t="str">
        <f t="array" ref="E2075">IF(D2075:D6117="","",IFERROR(_xlfn.XLOOKUP(D2075:D6117,'参照_勢力'!A:A,'参照_勢力'!B:B),IFERROR(_xlfn.XLOOKUP(F2075:F6117,kunishuClan!A:A,kunishuClan!B:B),"浪人")))</f>
      </c>
      <c r="F2075" s="4">
        <v>0</v>
      </c>
      <c r="G2075" s="4">
        <v>146</v>
      </c>
      <c r="H2075" s="12" t="str">
        <f t="array" ref="H2075">IF(G2075:G6117="","",_xlfn.XLOOKUP(G2075:G6117,castles_state!A:A,castles_state!D:D,"見つかりません"))</f>
      </c>
      <c r="I2075" s="4"/>
      <c r="J2075" s="12" t="str">
        <f t="array" ref="J2075">IF(I2075:I6117="","",_xlfn.XLOOKUP(I2075:I6117,'参照_姫'!A:A,'参照_姫'!B:B,"見つかりません"))</f>
      </c>
      <c r="K2075" s="4">
        <v>95</v>
      </c>
      <c r="L2075" s="4">
        <v>500</v>
      </c>
      <c r="M2075" s="4"/>
      <c r="N2075" s="4"/>
      <c r="O2075" s="4"/>
      <c r="P2075" s="12" t="str">
        <f t="array" ref="P2075">IF(O2075:O6117="","",_xlfn.XLOOKUP(O2075:O6117,'参照_官位'!A:A,'参照_官位'!B:B,""))</f>
      </c>
      <c r="Q2075" s="12" t="str">
        <f t="array" ref="Q2075">IF(A2075:A6117="","",IFERROR(_xlfn.XLOOKUP(A2075:A6117,castles_state!K:K,castles_state!D:D)&amp;"主",IFERROR(_xlfn.XLOOKUP(A2075:A6117,kunishuClan!D:D,kunishuClan!B:B)&amp;"当主","")))</f>
      </c>
    </row>
    <row r="2076" ht="15.75" customHeight="1">
      <c r="A2076" s="4">
        <v>1053005</v>
      </c>
      <c r="B2076" s="12" t="str">
        <f t="array" ref="B2076">IF(A2076:A6118="","",_xlfn.XLOOKUP(A2076:A6118,'参照_武将'!A:A,'参照_武将'!B:B,"見つかりません"))</f>
      </c>
      <c r="C2076" s="4" t="s">
        <v>259</v>
      </c>
      <c r="D2076" s="4">
        <v>53</v>
      </c>
      <c r="E2076" s="12" t="str">
        <f t="array" ref="E2076">IF(D2076:D6118="","",IFERROR(_xlfn.XLOOKUP(D2076:D6118,'参照_勢力'!A:A,'参照_勢力'!B:B),IFERROR(_xlfn.XLOOKUP(F2076:F6118,kunishuClan!A:A,kunishuClan!B:B),"浪人")))</f>
      </c>
      <c r="F2076" s="4">
        <v>0</v>
      </c>
      <c r="G2076" s="4">
        <v>146</v>
      </c>
      <c r="H2076" s="12" t="str">
        <f t="array" ref="H2076">IF(G2076:G6118="","",_xlfn.XLOOKUP(G2076:G6118,castles_state!A:A,castles_state!D:D,"見つかりません"))</f>
      </c>
      <c r="I2076" s="4"/>
      <c r="J2076" s="12" t="str">
        <f t="array" ref="J2076">IF(I2076:I6118="","",_xlfn.XLOOKUP(I2076:I6118,'参照_姫'!A:A,'参照_姫'!B:B,"見つかりません"))</f>
      </c>
      <c r="K2076" s="4">
        <v>80</v>
      </c>
      <c r="L2076" s="4">
        <v>500</v>
      </c>
      <c r="M2076" s="4"/>
      <c r="N2076" s="4"/>
      <c r="O2076" s="4"/>
      <c r="P2076" s="12" t="str">
        <f t="array" ref="P2076">IF(O2076:O6118="","",_xlfn.XLOOKUP(O2076:O6118,'参照_官位'!A:A,'参照_官位'!B:B,""))</f>
      </c>
      <c r="Q2076" s="12" t="str">
        <f t="array" ref="Q2076">IF(A2076:A6118="","",IFERROR(_xlfn.XLOOKUP(A2076:A6118,castles_state!K:K,castles_state!D:D)&amp;"主",IFERROR(_xlfn.XLOOKUP(A2076:A6118,kunishuClan!D:D,kunishuClan!B:B)&amp;"当主","")))</f>
      </c>
    </row>
    <row r="2077" ht="15.75" customHeight="1">
      <c r="A2077" s="4">
        <v>1053006</v>
      </c>
      <c r="B2077" s="12" t="str">
        <f t="array" ref="B2077">IF(A2077:A6119="","",_xlfn.XLOOKUP(A2077:A6119,'参照_武将'!A:A,'参照_武将'!B:B,"見つかりません"))</f>
      </c>
      <c r="C2077" s="4" t="s">
        <v>259</v>
      </c>
      <c r="D2077" s="4">
        <v>53</v>
      </c>
      <c r="E2077" s="12" t="str">
        <f t="array" ref="E2077">IF(D2077:D6119="","",IFERROR(_xlfn.XLOOKUP(D2077:D6119,'参照_勢力'!A:A,'参照_勢力'!B:B),IFERROR(_xlfn.XLOOKUP(F2077:F6119,kunishuClan!A:A,kunishuClan!B:B),"浪人")))</f>
      </c>
      <c r="F2077" s="4">
        <v>0</v>
      </c>
      <c r="G2077" s="4">
        <v>148</v>
      </c>
      <c r="H2077" s="12" t="str">
        <f t="array" ref="H2077">IF(G2077:G6119="","",_xlfn.XLOOKUP(G2077:G6119,castles_state!A:A,castles_state!D:D,"見つかりません"))</f>
      </c>
      <c r="I2077" s="4"/>
      <c r="J2077" s="12" t="str">
        <f t="array" ref="J2077">IF(I2077:I6119="","",_xlfn.XLOOKUP(I2077:I6119,'参照_姫'!A:A,'参照_姫'!B:B,"見つかりません"))</f>
      </c>
      <c r="K2077" s="4">
        <v>95</v>
      </c>
      <c r="L2077" s="4">
        <v>0</v>
      </c>
      <c r="M2077" s="4"/>
      <c r="N2077" s="4"/>
      <c r="O2077" s="4"/>
      <c r="P2077" s="12" t="str">
        <f t="array" ref="P2077">IF(O2077:O6119="","",_xlfn.XLOOKUP(O2077:O6119,'参照_官位'!A:A,'参照_官位'!B:B,""))</f>
      </c>
      <c r="Q2077" s="12" t="str">
        <f t="array" ref="Q2077">IF(A2077:A6119="","",IFERROR(_xlfn.XLOOKUP(A2077:A6119,castles_state!K:K,castles_state!D:D)&amp;"主",IFERROR(_xlfn.XLOOKUP(A2077:A6119,kunishuClan!D:D,kunishuClan!B:B)&amp;"当主","")))</f>
      </c>
    </row>
    <row r="2078" ht="15.75" customHeight="1">
      <c r="A2078" s="4">
        <v>1053007</v>
      </c>
      <c r="B2078" s="12" t="str">
        <f t="array" ref="B2078">IF(A2078:A6120="","",_xlfn.XLOOKUP(A2078:A6120,'参照_武将'!A:A,'参照_武将'!B:B,"見つかりません"))</f>
      </c>
      <c r="C2078" s="4" t="s">
        <v>490</v>
      </c>
      <c r="D2078" s="4">
        <v>53</v>
      </c>
      <c r="E2078" s="12" t="str">
        <f t="array" ref="E2078">IF(D2078:D6120="","",IFERROR(_xlfn.XLOOKUP(D2078:D6120,'参照_勢力'!A:A,'参照_勢力'!B:B),IFERROR(_xlfn.XLOOKUP(F2078:F6120,kunishuClan!A:A,kunishuClan!B:B),"浪人")))</f>
      </c>
      <c r="F2078" s="4">
        <v>0</v>
      </c>
      <c r="G2078" s="4">
        <v>123</v>
      </c>
      <c r="H2078" s="12" t="str">
        <f t="array" ref="H2078">IF(G2078:G6120="","",_xlfn.XLOOKUP(G2078:G6120,castles_state!A:A,castles_state!D:D,"見つかりません"))</f>
      </c>
      <c r="I2078" s="4"/>
      <c r="J2078" s="12" t="str">
        <f t="array" ref="J2078">IF(I2078:I6120="","",_xlfn.XLOOKUP(I2078:I6120,'参照_姫'!A:A,'参照_姫'!B:B,"見つかりません"))</f>
      </c>
      <c r="K2078" s="4">
        <v>90</v>
      </c>
      <c r="L2078" s="4">
        <v>0</v>
      </c>
      <c r="M2078" s="4"/>
      <c r="N2078" s="4"/>
      <c r="O2078" s="4"/>
      <c r="P2078" s="12" t="str">
        <f t="array" ref="P2078">IF(O2078:O6120="","",_xlfn.XLOOKUP(O2078:O6120,'参照_官位'!A:A,'参照_官位'!B:B,""))</f>
      </c>
      <c r="Q2078" s="12" t="str">
        <f t="array" ref="Q2078">IF(A2078:A6120="","",IFERROR(_xlfn.XLOOKUP(A2078:A6120,castles_state!K:K,castles_state!D:D)&amp;"主",IFERROR(_xlfn.XLOOKUP(A2078:A6120,kunishuClan!D:D,kunishuClan!B:B)&amp;"当主","")))</f>
      </c>
    </row>
    <row r="2079" ht="15.75" customHeight="1">
      <c r="A2079" s="4">
        <v>1053008</v>
      </c>
      <c r="B2079" s="12" t="str">
        <f t="array" ref="B2079">IF(A2079:A6121="","",_xlfn.XLOOKUP(A2079:A6121,'参照_武将'!A:A,'参照_武将'!B:B,"見つかりません"))</f>
      </c>
      <c r="C2079" s="4" t="s">
        <v>259</v>
      </c>
      <c r="D2079" s="4">
        <v>53</v>
      </c>
      <c r="E2079" s="12" t="str">
        <f t="array" ref="E2079">IF(D2079:D6121="","",IFERROR(_xlfn.XLOOKUP(D2079:D6121,'参照_勢力'!A:A,'参照_勢力'!B:B),IFERROR(_xlfn.XLOOKUP(F2079:F6121,kunishuClan!A:A,kunishuClan!B:B),"浪人")))</f>
      </c>
      <c r="F2079" s="4">
        <v>0</v>
      </c>
      <c r="G2079" s="4">
        <v>146</v>
      </c>
      <c r="H2079" s="12" t="str">
        <f t="array" ref="H2079">IF(G2079:G6121="","",_xlfn.XLOOKUP(G2079:G6121,castles_state!A:A,castles_state!D:D,"見つかりません"))</f>
      </c>
      <c r="I2079" s="4"/>
      <c r="J2079" s="12" t="str">
        <f t="array" ref="J2079">IF(I2079:I6121="","",_xlfn.XLOOKUP(I2079:I6121,'参照_姫'!A:A,'参照_姫'!B:B,"見つかりません"))</f>
      </c>
      <c r="K2079" s="4">
        <v>95</v>
      </c>
      <c r="L2079" s="4">
        <v>0</v>
      </c>
      <c r="M2079" s="4"/>
      <c r="N2079" s="4"/>
      <c r="O2079" s="4"/>
      <c r="P2079" s="12" t="str">
        <f t="array" ref="P2079">IF(O2079:O6121="","",_xlfn.XLOOKUP(O2079:O6121,'参照_官位'!A:A,'参照_官位'!B:B,""))</f>
      </c>
      <c r="Q2079" s="12" t="str">
        <f t="array" ref="Q2079">IF(A2079:A6121="","",IFERROR(_xlfn.XLOOKUP(A2079:A6121,castles_state!K:K,castles_state!D:D)&amp;"主",IFERROR(_xlfn.XLOOKUP(A2079:A6121,kunishuClan!D:D,kunishuClan!B:B)&amp;"当主","")))</f>
      </c>
    </row>
    <row r="2080" ht="15.75" customHeight="1">
      <c r="A2080" s="4">
        <v>1053009</v>
      </c>
      <c r="B2080" s="12" t="str">
        <f t="array" ref="B2080">IF(A2080:A6122="","",_xlfn.XLOOKUP(A2080:A6122,'参照_武将'!A:A,'参照_武将'!B:B,"見つかりません"))</f>
      </c>
      <c r="C2080" s="4" t="s">
        <v>259</v>
      </c>
      <c r="D2080" s="4">
        <v>53</v>
      </c>
      <c r="E2080" s="12" t="str">
        <f t="array" ref="E2080">IF(D2080:D6122="","",IFERROR(_xlfn.XLOOKUP(D2080:D6122,'参照_勢力'!A:A,'参照_勢力'!B:B),IFERROR(_xlfn.XLOOKUP(F2080:F6122,kunishuClan!A:A,kunishuClan!B:B),"浪人")))</f>
      </c>
      <c r="F2080" s="4">
        <v>0</v>
      </c>
      <c r="G2080" s="4">
        <v>148</v>
      </c>
      <c r="H2080" s="12" t="str">
        <f t="array" ref="H2080">IF(G2080:G6122="","",_xlfn.XLOOKUP(G2080:G6122,castles_state!A:A,castles_state!D:D,"見つかりません"))</f>
      </c>
      <c r="I2080" s="4"/>
      <c r="J2080" s="12" t="str">
        <f t="array" ref="J2080">IF(I2080:I6122="","",_xlfn.XLOOKUP(I2080:I6122,'参照_姫'!A:A,'参照_姫'!B:B,"見つかりません"))</f>
      </c>
      <c r="K2080" s="4">
        <v>90</v>
      </c>
      <c r="L2080" s="4">
        <v>0</v>
      </c>
      <c r="M2080" s="4"/>
      <c r="N2080" s="4"/>
      <c r="O2080" s="4"/>
      <c r="P2080" s="12" t="str">
        <f t="array" ref="P2080">IF(O2080:O6122="","",_xlfn.XLOOKUP(O2080:O6122,'参照_官位'!A:A,'参照_官位'!B:B,""))</f>
      </c>
      <c r="Q2080" s="12" t="str">
        <f t="array" ref="Q2080">IF(A2080:A6122="","",IFERROR(_xlfn.XLOOKUP(A2080:A6122,castles_state!K:K,castles_state!D:D)&amp;"主",IFERROR(_xlfn.XLOOKUP(A2080:A6122,kunishuClan!D:D,kunishuClan!B:B)&amp;"当主","")))</f>
      </c>
    </row>
    <row r="2081" ht="15.75" customHeight="1">
      <c r="A2081" s="4">
        <v>1053010</v>
      </c>
      <c r="B2081" s="12" t="str">
        <f t="array" ref="B2081">IF(A2081:A6123="","",_xlfn.XLOOKUP(A2081:A6123,'参照_武将'!A:A,'参照_武将'!B:B,"見つかりません"))</f>
      </c>
      <c r="C2081" s="4" t="s">
        <v>259</v>
      </c>
      <c r="D2081" s="4">
        <v>53</v>
      </c>
      <c r="E2081" s="12" t="str">
        <f t="array" ref="E2081">IF(D2081:D6123="","",IFERROR(_xlfn.XLOOKUP(D2081:D6123,'参照_勢力'!A:A,'参照_勢力'!B:B),IFERROR(_xlfn.XLOOKUP(F2081:F6123,kunishuClan!A:A,kunishuClan!B:B),"浪人")))</f>
      </c>
      <c r="F2081" s="4">
        <v>0</v>
      </c>
      <c r="G2081" s="4">
        <v>148</v>
      </c>
      <c r="H2081" s="12" t="str">
        <f t="array" ref="H2081">IF(G2081:G6123="","",_xlfn.XLOOKUP(G2081:G6123,castles_state!A:A,castles_state!D:D,"見つかりません"))</f>
      </c>
      <c r="I2081" s="4"/>
      <c r="J2081" s="12" t="str">
        <f t="array" ref="J2081">IF(I2081:I6123="","",_xlfn.XLOOKUP(I2081:I6123,'参照_姫'!A:A,'参照_姫'!B:B,"見つかりません"))</f>
      </c>
      <c r="K2081" s="4">
        <v>90</v>
      </c>
      <c r="L2081" s="4">
        <v>0</v>
      </c>
      <c r="M2081" s="4"/>
      <c r="N2081" s="4"/>
      <c r="O2081" s="4"/>
      <c r="P2081" s="12" t="str">
        <f t="array" ref="P2081">IF(O2081:O6123="","",_xlfn.XLOOKUP(O2081:O6123,'参照_官位'!A:A,'参照_官位'!B:B,""))</f>
      </c>
      <c r="Q2081" s="12" t="str">
        <f t="array" ref="Q2081">IF(A2081:A6123="","",IFERROR(_xlfn.XLOOKUP(A2081:A6123,castles_state!K:K,castles_state!D:D)&amp;"主",IFERROR(_xlfn.XLOOKUP(A2081:A6123,kunishuClan!D:D,kunishuClan!B:B)&amp;"当主","")))</f>
      </c>
    </row>
    <row r="2082" ht="15.75" customHeight="1">
      <c r="A2082" s="4">
        <v>1053011</v>
      </c>
      <c r="B2082" s="12" t="str">
        <f t="array" ref="B2082">IF(A2082:A6124="","",_xlfn.XLOOKUP(A2082:A6124,'参照_武将'!A:A,'参照_武将'!B:B,"見つかりません"))</f>
      </c>
      <c r="C2082" s="4" t="s">
        <v>259</v>
      </c>
      <c r="D2082" s="4">
        <v>53</v>
      </c>
      <c r="E2082" s="12" t="str">
        <f t="array" ref="E2082">IF(D2082:D6124="","",IFERROR(_xlfn.XLOOKUP(D2082:D6124,'参照_勢力'!A:A,'参照_勢力'!B:B),IFERROR(_xlfn.XLOOKUP(F2082:F6124,kunishuClan!A:A,kunishuClan!B:B),"浪人")))</f>
      </c>
      <c r="F2082" s="4">
        <v>0</v>
      </c>
      <c r="G2082" s="4">
        <v>148</v>
      </c>
      <c r="H2082" s="12" t="str">
        <f t="array" ref="H2082">IF(G2082:G6124="","",_xlfn.XLOOKUP(G2082:G6124,castles_state!A:A,castles_state!D:D,"見つかりません"))</f>
      </c>
      <c r="I2082" s="4"/>
      <c r="J2082" s="12" t="str">
        <f t="array" ref="J2082">IF(I2082:I6124="","",_xlfn.XLOOKUP(I2082:I6124,'参照_姫'!A:A,'参照_姫'!B:B,"見つかりません"))</f>
      </c>
      <c r="K2082" s="4">
        <v>95</v>
      </c>
      <c r="L2082" s="4">
        <v>0</v>
      </c>
      <c r="M2082" s="4"/>
      <c r="N2082" s="4"/>
      <c r="O2082" s="4"/>
      <c r="P2082" s="12" t="str">
        <f t="array" ref="P2082">IF(O2082:O6124="","",_xlfn.XLOOKUP(O2082:O6124,'参照_官位'!A:A,'参照_官位'!B:B,""))</f>
      </c>
      <c r="Q2082" s="12" t="str">
        <f t="array" ref="Q2082">IF(A2082:A6124="","",IFERROR(_xlfn.XLOOKUP(A2082:A6124,castles_state!K:K,castles_state!D:D)&amp;"主",IFERROR(_xlfn.XLOOKUP(A2082:A6124,kunishuClan!D:D,kunishuClan!B:B)&amp;"当主","")))</f>
      </c>
    </row>
    <row r="2083" ht="15.75" customHeight="1">
      <c r="A2083" s="4">
        <v>1053012</v>
      </c>
      <c r="B2083" s="12" t="str">
        <f t="array" ref="B2083">IF(A2083:A6125="","",_xlfn.XLOOKUP(A2083:A6125,'参照_武将'!A:A,'参照_武将'!B:B,"見つかりません"))</f>
      </c>
      <c r="C2083" s="4" t="s">
        <v>259</v>
      </c>
      <c r="D2083" s="4">
        <v>53</v>
      </c>
      <c r="E2083" s="12" t="str">
        <f t="array" ref="E2083">IF(D2083:D6125="","",IFERROR(_xlfn.XLOOKUP(D2083:D6125,'参照_勢力'!A:A,'参照_勢力'!B:B),IFERROR(_xlfn.XLOOKUP(F2083:F6125,kunishuClan!A:A,kunishuClan!B:B),"浪人")))</f>
      </c>
      <c r="F2083" s="4">
        <v>0</v>
      </c>
      <c r="G2083" s="4">
        <v>148</v>
      </c>
      <c r="H2083" s="12" t="str">
        <f t="array" ref="H2083">IF(G2083:G6125="","",_xlfn.XLOOKUP(G2083:G6125,castles_state!A:A,castles_state!D:D,"見つかりません"))</f>
      </c>
      <c r="I2083" s="4"/>
      <c r="J2083" s="12" t="str">
        <f t="array" ref="J2083">IF(I2083:I6125="","",_xlfn.XLOOKUP(I2083:I6125,'参照_姫'!A:A,'参照_姫'!B:B,"見つかりません"))</f>
      </c>
      <c r="K2083" s="4">
        <v>95</v>
      </c>
      <c r="L2083" s="4">
        <v>0</v>
      </c>
      <c r="M2083" s="4"/>
      <c r="N2083" s="4"/>
      <c r="O2083" s="4"/>
      <c r="P2083" s="12" t="str">
        <f t="array" ref="P2083">IF(O2083:O6125="","",_xlfn.XLOOKUP(O2083:O6125,'参照_官位'!A:A,'参照_官位'!B:B,""))</f>
      </c>
      <c r="Q2083" s="12" t="str">
        <f t="array" ref="Q2083">IF(A2083:A6125="","",IFERROR(_xlfn.XLOOKUP(A2083:A6125,castles_state!K:K,castles_state!D:D)&amp;"主",IFERROR(_xlfn.XLOOKUP(A2083:A6125,kunishuClan!D:D,kunishuClan!B:B)&amp;"当主","")))</f>
      </c>
    </row>
    <row r="2084" ht="15.75" customHeight="1">
      <c r="A2084" s="4">
        <v>1053013</v>
      </c>
      <c r="B2084" s="12" t="str">
        <f t="array" ref="B2084">IF(A2084:A6126="","",_xlfn.XLOOKUP(A2084:A6126,'参照_武将'!A:A,'参照_武将'!B:B,"見つかりません"))</f>
      </c>
      <c r="C2084" s="4" t="s">
        <v>259</v>
      </c>
      <c r="D2084" s="4">
        <v>53</v>
      </c>
      <c r="E2084" s="12" t="str">
        <f t="array" ref="E2084">IF(D2084:D6126="","",IFERROR(_xlfn.XLOOKUP(D2084:D6126,'参照_勢力'!A:A,'参照_勢力'!B:B),IFERROR(_xlfn.XLOOKUP(F2084:F6126,kunishuClan!A:A,kunishuClan!B:B),"浪人")))</f>
      </c>
      <c r="F2084" s="4">
        <v>0</v>
      </c>
      <c r="G2084" s="4">
        <v>148</v>
      </c>
      <c r="H2084" s="12" t="str">
        <f t="array" ref="H2084">IF(G2084:G6126="","",_xlfn.XLOOKUP(G2084:G6126,castles_state!A:A,castles_state!D:D,"見つかりません"))</f>
      </c>
      <c r="I2084" s="4"/>
      <c r="J2084" s="12" t="str">
        <f t="array" ref="J2084">IF(I2084:I6126="","",_xlfn.XLOOKUP(I2084:I6126,'参照_姫'!A:A,'参照_姫'!B:B,"見つかりません"))</f>
      </c>
      <c r="K2084" s="4">
        <v>95</v>
      </c>
      <c r="L2084" s="4">
        <v>0</v>
      </c>
      <c r="M2084" s="4"/>
      <c r="N2084" s="4"/>
      <c r="O2084" s="4"/>
      <c r="P2084" s="12" t="str">
        <f t="array" ref="P2084">IF(O2084:O6126="","",_xlfn.XLOOKUP(O2084:O6126,'参照_官位'!A:A,'参照_官位'!B:B,""))</f>
      </c>
      <c r="Q2084" s="12" t="str">
        <f t="array" ref="Q2084">IF(A2084:A6126="","",IFERROR(_xlfn.XLOOKUP(A2084:A6126,castles_state!K:K,castles_state!D:D)&amp;"主",IFERROR(_xlfn.XLOOKUP(A2084:A6126,kunishuClan!D:D,kunishuClan!B:B)&amp;"当主","")))</f>
      </c>
    </row>
    <row r="2085" ht="15.75" customHeight="1">
      <c r="A2085" s="4">
        <v>1053014</v>
      </c>
      <c r="B2085" s="12" t="str">
        <f t="array" ref="B2085">IF(A2085:A6127="","",_xlfn.XLOOKUP(A2085:A6127,'参照_武将'!A:A,'参照_武将'!B:B,"見つかりません"))</f>
      </c>
      <c r="C2085" s="4" t="s">
        <v>259</v>
      </c>
      <c r="D2085" s="4">
        <v>53</v>
      </c>
      <c r="E2085" s="12" t="str">
        <f t="array" ref="E2085">IF(D2085:D6127="","",IFERROR(_xlfn.XLOOKUP(D2085:D6127,'参照_勢力'!A:A,'参照_勢力'!B:B),IFERROR(_xlfn.XLOOKUP(F2085:F6127,kunishuClan!A:A,kunishuClan!B:B),"浪人")))</f>
      </c>
      <c r="F2085" s="4">
        <v>0</v>
      </c>
      <c r="G2085" s="4">
        <v>148</v>
      </c>
      <c r="H2085" s="12" t="str">
        <f t="array" ref="H2085">IF(G2085:G6127="","",_xlfn.XLOOKUP(G2085:G6127,castles_state!A:A,castles_state!D:D,"見つかりません"))</f>
      </c>
      <c r="I2085" s="4"/>
      <c r="J2085" s="12" t="str">
        <f t="array" ref="J2085">IF(I2085:I6127="","",_xlfn.XLOOKUP(I2085:I6127,'参照_姫'!A:A,'参照_姫'!B:B,"見つかりません"))</f>
      </c>
      <c r="K2085" s="4">
        <v>95</v>
      </c>
      <c r="L2085" s="4">
        <v>0</v>
      </c>
      <c r="M2085" s="4"/>
      <c r="N2085" s="4"/>
      <c r="O2085" s="4"/>
      <c r="P2085" s="12" t="str">
        <f t="array" ref="P2085">IF(O2085:O6127="","",_xlfn.XLOOKUP(O2085:O6127,'参照_官位'!A:A,'参照_官位'!B:B,""))</f>
      </c>
      <c r="Q2085" s="12" t="str">
        <f t="array" ref="Q2085">IF(A2085:A6127="","",IFERROR(_xlfn.XLOOKUP(A2085:A6127,castles_state!K:K,castles_state!D:D)&amp;"主",IFERROR(_xlfn.XLOOKUP(A2085:A6127,kunishuClan!D:D,kunishuClan!B:B)&amp;"当主","")))</f>
      </c>
    </row>
    <row r="2086" ht="15.75" customHeight="1">
      <c r="A2086" s="4">
        <v>1053015</v>
      </c>
      <c r="B2086" s="12" t="str">
        <f t="array" ref="B2086">IF(A2086:A6128="","",_xlfn.XLOOKUP(A2086:A6128,'参照_武将'!A:A,'参照_武将'!B:B,"見つかりません"))</f>
      </c>
      <c r="C2086" s="4" t="s">
        <v>259</v>
      </c>
      <c r="D2086" s="4">
        <v>25</v>
      </c>
      <c r="E2086" s="12" t="str">
        <f t="array" ref="E2086">IF(D2086:D6128="","",IFERROR(_xlfn.XLOOKUP(D2086:D6128,'参照_勢力'!A:A,'参照_勢力'!B:B),IFERROR(_xlfn.XLOOKUP(F2086:F6128,kunishuClan!A:A,kunishuClan!B:B),"浪人")))</f>
      </c>
      <c r="F2086" s="4">
        <v>0</v>
      </c>
      <c r="G2086" s="4">
        <v>143</v>
      </c>
      <c r="H2086" s="12" t="str">
        <f t="array" ref="H2086">IF(G2086:G6128="","",_xlfn.XLOOKUP(G2086:G6128,castles_state!A:A,castles_state!D:D,"見つかりません"))</f>
      </c>
      <c r="I2086" s="4"/>
      <c r="J2086" s="12" t="str">
        <f t="array" ref="J2086">IF(I2086:I6128="","",_xlfn.XLOOKUP(I2086:I6128,'参照_姫'!A:A,'参照_姫'!B:B,"見つかりません"))</f>
      </c>
      <c r="K2086" s="4">
        <v>80</v>
      </c>
      <c r="L2086" s="4">
        <v>200</v>
      </c>
      <c r="M2086" s="4"/>
      <c r="N2086" s="4"/>
      <c r="O2086" s="4"/>
      <c r="P2086" s="12" t="str">
        <f t="array" ref="P2086">IF(O2086:O6128="","",_xlfn.XLOOKUP(O2086:O6128,'参照_官位'!A:A,'参照_官位'!B:B,""))</f>
      </c>
      <c r="Q2086" s="12" t="str">
        <f t="array" ref="Q2086">IF(A2086:A6128="","",IFERROR(_xlfn.XLOOKUP(A2086:A6128,castles_state!K:K,castles_state!D:D)&amp;"主",IFERROR(_xlfn.XLOOKUP(A2086:A6128,kunishuClan!D:D,kunishuClan!B:B)&amp;"当主","")))</f>
      </c>
    </row>
    <row r="2087" ht="15.75" customHeight="1">
      <c r="A2087" s="4">
        <v>1053016</v>
      </c>
      <c r="B2087" s="12" t="str">
        <f t="array" ref="B2087">IF(A2087:A6129="","",_xlfn.XLOOKUP(A2087:A6129,'参照_武将'!A:A,'参照_武将'!B:B,"見つかりません"))</f>
      </c>
      <c r="C2087" s="4" t="s">
        <v>259</v>
      </c>
      <c r="D2087" s="4">
        <v>53</v>
      </c>
      <c r="E2087" s="12" t="str">
        <f t="array" ref="E2087">IF(D2087:D6129="","",IFERROR(_xlfn.XLOOKUP(D2087:D6129,'参照_勢力'!A:A,'参照_勢力'!B:B),IFERROR(_xlfn.XLOOKUP(F2087:F6129,kunishuClan!A:A,kunishuClan!B:B),"浪人")))</f>
      </c>
      <c r="F2087" s="4">
        <v>0</v>
      </c>
      <c r="G2087" s="4">
        <v>146</v>
      </c>
      <c r="H2087" s="12" t="str">
        <f t="array" ref="H2087">IF(G2087:G6129="","",_xlfn.XLOOKUP(G2087:G6129,castles_state!A:A,castles_state!D:D,"見つかりません"))</f>
      </c>
      <c r="I2087" s="4"/>
      <c r="J2087" s="12" t="str">
        <f t="array" ref="J2087">IF(I2087:I6129="","",_xlfn.XLOOKUP(I2087:I6129,'参照_姫'!A:A,'参照_姫'!B:B,"見つかりません"))</f>
      </c>
      <c r="K2087" s="4">
        <v>95</v>
      </c>
      <c r="L2087" s="4">
        <v>0</v>
      </c>
      <c r="M2087" s="4"/>
      <c r="N2087" s="4"/>
      <c r="O2087" s="4"/>
      <c r="P2087" s="12" t="str">
        <f t="array" ref="P2087">IF(O2087:O6129="","",_xlfn.XLOOKUP(O2087:O6129,'参照_官位'!A:A,'参照_官位'!B:B,""))</f>
      </c>
      <c r="Q2087" s="12" t="str">
        <f t="array" ref="Q2087">IF(A2087:A6129="","",IFERROR(_xlfn.XLOOKUP(A2087:A6129,castles_state!K:K,castles_state!D:D)&amp;"主",IFERROR(_xlfn.XLOOKUP(A2087:A6129,kunishuClan!D:D,kunishuClan!B:B)&amp;"当主","")))</f>
      </c>
    </row>
    <row r="2088" ht="15.75" customHeight="1">
      <c r="A2088" s="4">
        <v>1053017</v>
      </c>
      <c r="B2088" s="12" t="str">
        <f t="array" ref="B2088">IF(A2088:A6130="","",_xlfn.XLOOKUP(A2088:A6130,'参照_武将'!A:A,'参照_武将'!B:B,"見つかりません"))</f>
      </c>
      <c r="C2088" s="4" t="s">
        <v>259</v>
      </c>
      <c r="D2088" s="4">
        <v>53</v>
      </c>
      <c r="E2088" s="12" t="str">
        <f t="array" ref="E2088">IF(D2088:D6130="","",IFERROR(_xlfn.XLOOKUP(D2088:D6130,'参照_勢力'!A:A,'参照_勢力'!B:B),IFERROR(_xlfn.XLOOKUP(F2088:F6130,kunishuClan!A:A,kunishuClan!B:B),"浪人")))</f>
      </c>
      <c r="F2088" s="4">
        <v>0</v>
      </c>
      <c r="G2088" s="4">
        <v>146</v>
      </c>
      <c r="H2088" s="12" t="str">
        <f t="array" ref="H2088">IF(G2088:G6130="","",_xlfn.XLOOKUP(G2088:G6130,castles_state!A:A,castles_state!D:D,"見つかりません"))</f>
      </c>
      <c r="I2088" s="4"/>
      <c r="J2088" s="12" t="str">
        <f t="array" ref="J2088">IF(I2088:I6130="","",_xlfn.XLOOKUP(I2088:I6130,'参照_姫'!A:A,'参照_姫'!B:B,"見つかりません"))</f>
      </c>
      <c r="K2088" s="4">
        <v>95</v>
      </c>
      <c r="L2088" s="4">
        <v>500</v>
      </c>
      <c r="M2088" s="4"/>
      <c r="N2088" s="4"/>
      <c r="O2088" s="4"/>
      <c r="P2088" s="12" t="str">
        <f t="array" ref="P2088">IF(O2088:O6130="","",_xlfn.XLOOKUP(O2088:O6130,'参照_官位'!A:A,'参照_官位'!B:B,""))</f>
      </c>
      <c r="Q2088" s="12" t="str">
        <f t="array" ref="Q2088">IF(A2088:A6130="","",IFERROR(_xlfn.XLOOKUP(A2088:A6130,castles_state!K:K,castles_state!D:D)&amp;"主",IFERROR(_xlfn.XLOOKUP(A2088:A6130,kunishuClan!D:D,kunishuClan!B:B)&amp;"当主","")))</f>
      </c>
    </row>
    <row r="2089" ht="15.75" customHeight="1">
      <c r="A2089" s="4">
        <v>1053018</v>
      </c>
      <c r="B2089" s="12" t="str">
        <f t="array" ref="B2089">IF(A2089:A6131="","",_xlfn.XLOOKUP(A2089:A6131,'参照_武将'!A:A,'参照_武将'!B:B,"見つかりません"))</f>
      </c>
      <c r="C2089" s="4" t="s">
        <v>259</v>
      </c>
      <c r="D2089" s="4">
        <v>53</v>
      </c>
      <c r="E2089" s="12" t="str">
        <f t="array" ref="E2089">IF(D2089:D6131="","",IFERROR(_xlfn.XLOOKUP(D2089:D6131,'参照_勢力'!A:A,'参照_勢力'!B:B),IFERROR(_xlfn.XLOOKUP(F2089:F6131,kunishuClan!A:A,kunishuClan!B:B),"浪人")))</f>
      </c>
      <c r="F2089" s="4">
        <v>0</v>
      </c>
      <c r="G2089" s="4">
        <v>146</v>
      </c>
      <c r="H2089" s="12" t="str">
        <f t="array" ref="H2089">IF(G2089:G6131="","",_xlfn.XLOOKUP(G2089:G6131,castles_state!A:A,castles_state!D:D,"見つかりません"))</f>
      </c>
      <c r="I2089" s="4"/>
      <c r="J2089" s="12" t="str">
        <f t="array" ref="J2089">IF(I2089:I6131="","",_xlfn.XLOOKUP(I2089:I6131,'参照_姫'!A:A,'参照_姫'!B:B,"見つかりません"))</f>
      </c>
      <c r="K2089" s="4">
        <v>95</v>
      </c>
      <c r="L2089" s="4">
        <v>0</v>
      </c>
      <c r="M2089" s="4"/>
      <c r="N2089" s="4"/>
      <c r="O2089" s="4"/>
      <c r="P2089" s="12" t="str">
        <f t="array" ref="P2089">IF(O2089:O6131="","",_xlfn.XLOOKUP(O2089:O6131,'参照_官位'!A:A,'参照_官位'!B:B,""))</f>
      </c>
      <c r="Q2089" s="12" t="str">
        <f t="array" ref="Q2089">IF(A2089:A6131="","",IFERROR(_xlfn.XLOOKUP(A2089:A6131,castles_state!K:K,castles_state!D:D)&amp;"主",IFERROR(_xlfn.XLOOKUP(A2089:A6131,kunishuClan!D:D,kunishuClan!B:B)&amp;"当主","")))</f>
      </c>
    </row>
    <row r="2090" ht="15.75" customHeight="1">
      <c r="A2090" s="4">
        <v>1053019</v>
      </c>
      <c r="B2090" s="12" t="str">
        <f t="array" ref="B2090">IF(A2090:A6132="","",_xlfn.XLOOKUP(A2090:A6132,'参照_武将'!A:A,'参照_武将'!B:B,"見つかりません"))</f>
      </c>
      <c r="C2090" s="4" t="s">
        <v>259</v>
      </c>
      <c r="D2090" s="4">
        <v>53</v>
      </c>
      <c r="E2090" s="12" t="str">
        <f t="array" ref="E2090">IF(D2090:D6132="","",IFERROR(_xlfn.XLOOKUP(D2090:D6132,'参照_勢力'!A:A,'参照_勢力'!B:B),IFERROR(_xlfn.XLOOKUP(F2090:F6132,kunishuClan!A:A,kunishuClan!B:B),"浪人")))</f>
      </c>
      <c r="F2090" s="4">
        <v>0</v>
      </c>
      <c r="G2090" s="4">
        <v>150</v>
      </c>
      <c r="H2090" s="12" t="str">
        <f t="array" ref="H2090">IF(G2090:G6132="","",_xlfn.XLOOKUP(G2090:G6132,castles_state!A:A,castles_state!D:D,"見つかりません"))</f>
      </c>
      <c r="I2090" s="4"/>
      <c r="J2090" s="12" t="str">
        <f t="array" ref="J2090">IF(I2090:I6132="","",_xlfn.XLOOKUP(I2090:I6132,'参照_姫'!A:A,'参照_姫'!B:B,"見つかりません"))</f>
      </c>
      <c r="K2090" s="4">
        <v>85</v>
      </c>
      <c r="L2090" s="4">
        <v>0</v>
      </c>
      <c r="M2090" s="4"/>
      <c r="N2090" s="4"/>
      <c r="O2090" s="4"/>
      <c r="P2090" s="12" t="str">
        <f t="array" ref="P2090">IF(O2090:O6132="","",_xlfn.XLOOKUP(O2090:O6132,'参照_官位'!A:A,'参照_官位'!B:B,""))</f>
      </c>
      <c r="Q2090" s="12" t="str">
        <f t="array" ref="Q2090">IF(A2090:A6132="","",IFERROR(_xlfn.XLOOKUP(A2090:A6132,castles_state!K:K,castles_state!D:D)&amp;"主",IFERROR(_xlfn.XLOOKUP(A2090:A6132,kunishuClan!D:D,kunishuClan!B:B)&amp;"当主","")))</f>
      </c>
    </row>
    <row r="2091" ht="15.75" customHeight="1">
      <c r="A2091" s="4">
        <v>1053020</v>
      </c>
      <c r="B2091" s="12" t="str">
        <f t="array" ref="B2091">IF(A2091:A6133="","",_xlfn.XLOOKUP(A2091:A6133,'参照_武将'!A:A,'参照_武将'!B:B,"見つかりません"))</f>
      </c>
      <c r="C2091" s="4" t="s">
        <v>259</v>
      </c>
      <c r="D2091" s="4">
        <v>53</v>
      </c>
      <c r="E2091" s="12" t="str">
        <f t="array" ref="E2091">IF(D2091:D6133="","",IFERROR(_xlfn.XLOOKUP(D2091:D6133,'参照_勢力'!A:A,'参照_勢力'!B:B),IFERROR(_xlfn.XLOOKUP(F2091:F6133,kunishuClan!A:A,kunishuClan!B:B),"浪人")))</f>
      </c>
      <c r="F2091" s="4">
        <v>0</v>
      </c>
      <c r="G2091" s="4">
        <v>148</v>
      </c>
      <c r="H2091" s="12" t="str">
        <f t="array" ref="H2091">IF(G2091:G6133="","",_xlfn.XLOOKUP(G2091:G6133,castles_state!A:A,castles_state!D:D,"見つかりません"))</f>
      </c>
      <c r="I2091" s="4"/>
      <c r="J2091" s="12" t="str">
        <f t="array" ref="J2091">IF(I2091:I6133="","",_xlfn.XLOOKUP(I2091:I6133,'参照_姫'!A:A,'参照_姫'!B:B,"見つかりません"))</f>
      </c>
      <c r="K2091" s="4">
        <v>90</v>
      </c>
      <c r="L2091" s="4">
        <v>0</v>
      </c>
      <c r="M2091" s="4"/>
      <c r="N2091" s="4"/>
      <c r="O2091" s="4"/>
      <c r="P2091" s="12" t="str">
        <f t="array" ref="P2091">IF(O2091:O6133="","",_xlfn.XLOOKUP(O2091:O6133,'参照_官位'!A:A,'参照_官位'!B:B,""))</f>
      </c>
      <c r="Q2091" s="12" t="str">
        <f t="array" ref="Q2091">IF(A2091:A6133="","",IFERROR(_xlfn.XLOOKUP(A2091:A6133,castles_state!K:K,castles_state!D:D)&amp;"主",IFERROR(_xlfn.XLOOKUP(A2091:A6133,kunishuClan!D:D,kunishuClan!B:B)&amp;"当主","")))</f>
      </c>
    </row>
    <row r="2092" ht="15.75" customHeight="1">
      <c r="A2092" s="4">
        <v>1053021</v>
      </c>
      <c r="B2092" s="12" t="str">
        <f t="array" ref="B2092">IF(A2092:A6134="","",_xlfn.XLOOKUP(A2092:A6134,'参照_武将'!A:A,'参照_武将'!B:B,"見つかりません"))</f>
      </c>
      <c r="C2092" s="4" t="s">
        <v>259</v>
      </c>
      <c r="D2092" s="4">
        <v>53</v>
      </c>
      <c r="E2092" s="12" t="str">
        <f t="array" ref="E2092">IF(D2092:D6134="","",IFERROR(_xlfn.XLOOKUP(D2092:D6134,'参照_勢力'!A:A,'参照_勢力'!B:B),IFERROR(_xlfn.XLOOKUP(F2092:F6134,kunishuClan!A:A,kunishuClan!B:B),"浪人")))</f>
      </c>
      <c r="F2092" s="4">
        <v>0</v>
      </c>
      <c r="G2092" s="4">
        <v>150</v>
      </c>
      <c r="H2092" s="12" t="str">
        <f t="array" ref="H2092">IF(G2092:G6134="","",_xlfn.XLOOKUP(G2092:G6134,castles_state!A:A,castles_state!D:D,"見つかりません"))</f>
      </c>
      <c r="I2092" s="4"/>
      <c r="J2092" s="12" t="str">
        <f t="array" ref="J2092">IF(I2092:I6134="","",_xlfn.XLOOKUP(I2092:I6134,'参照_姫'!A:A,'参照_姫'!B:B,"見つかりません"))</f>
      </c>
      <c r="K2092" s="4">
        <v>95</v>
      </c>
      <c r="L2092" s="4">
        <v>0</v>
      </c>
      <c r="M2092" s="4"/>
      <c r="N2092" s="4"/>
      <c r="O2092" s="4"/>
      <c r="P2092" s="12" t="str">
        <f t="array" ref="P2092">IF(O2092:O6134="","",_xlfn.XLOOKUP(O2092:O6134,'参照_官位'!A:A,'参照_官位'!B:B,""))</f>
      </c>
      <c r="Q2092" s="12" t="str">
        <f t="array" ref="Q2092">IF(A2092:A6134="","",IFERROR(_xlfn.XLOOKUP(A2092:A6134,castles_state!K:K,castles_state!D:D)&amp;"主",IFERROR(_xlfn.XLOOKUP(A2092:A6134,kunishuClan!D:D,kunishuClan!B:B)&amp;"当主","")))</f>
      </c>
    </row>
    <row r="2093" ht="15.75" customHeight="1">
      <c r="A2093" s="4">
        <v>1053022</v>
      </c>
      <c r="B2093" s="12" t="str">
        <f t="array" ref="B2093">IF(A2093:A6135="","",_xlfn.XLOOKUP(A2093:A6135,'参照_武将'!A:A,'参照_武将'!B:B,"見つかりません"))</f>
      </c>
      <c r="C2093" s="4" t="s">
        <v>259</v>
      </c>
      <c r="D2093" s="4">
        <v>53</v>
      </c>
      <c r="E2093" s="12" t="str">
        <f t="array" ref="E2093">IF(D2093:D6135="","",IFERROR(_xlfn.XLOOKUP(D2093:D6135,'参照_勢力'!A:A,'参照_勢力'!B:B),IFERROR(_xlfn.XLOOKUP(F2093:F6135,kunishuClan!A:A,kunishuClan!B:B),"浪人")))</f>
      </c>
      <c r="F2093" s="4">
        <v>0</v>
      </c>
      <c r="G2093" s="4">
        <v>150</v>
      </c>
      <c r="H2093" s="12" t="str">
        <f t="array" ref="H2093">IF(G2093:G6135="","",_xlfn.XLOOKUP(G2093:G6135,castles_state!A:A,castles_state!D:D,"見つかりません"))</f>
      </c>
      <c r="I2093" s="4"/>
      <c r="J2093" s="12" t="str">
        <f t="array" ref="J2093">IF(I2093:I6135="","",_xlfn.XLOOKUP(I2093:I6135,'参照_姫'!A:A,'参照_姫'!B:B,"見つかりません"))</f>
      </c>
      <c r="K2093" s="4">
        <v>95</v>
      </c>
      <c r="L2093" s="4">
        <v>0</v>
      </c>
      <c r="M2093" s="4"/>
      <c r="N2093" s="4"/>
      <c r="O2093" s="4"/>
      <c r="P2093" s="12" t="str">
        <f t="array" ref="P2093">IF(O2093:O6135="","",_xlfn.XLOOKUP(O2093:O6135,'参照_官位'!A:A,'参照_官位'!B:B,""))</f>
      </c>
      <c r="Q2093" s="12" t="str">
        <f t="array" ref="Q2093">IF(A2093:A6135="","",IFERROR(_xlfn.XLOOKUP(A2093:A6135,castles_state!K:K,castles_state!D:D)&amp;"主",IFERROR(_xlfn.XLOOKUP(A2093:A6135,kunishuClan!D:D,kunishuClan!B:B)&amp;"当主","")))</f>
      </c>
    </row>
    <row r="2094" ht="15.75" customHeight="1">
      <c r="A2094" s="4">
        <v>1053023</v>
      </c>
      <c r="B2094" s="12" t="str">
        <f t="array" ref="B2094">IF(A2094:A6136="","",_xlfn.XLOOKUP(A2094:A6136,'参照_武将'!A:A,'参照_武将'!B:B,"見つかりません"))</f>
      </c>
      <c r="C2094" s="4" t="s">
        <v>259</v>
      </c>
      <c r="D2094" s="4">
        <v>53</v>
      </c>
      <c r="E2094" s="12" t="str">
        <f t="array" ref="E2094">IF(D2094:D6136="","",IFERROR(_xlfn.XLOOKUP(D2094:D6136,'参照_勢力'!A:A,'参照_勢力'!B:B),IFERROR(_xlfn.XLOOKUP(F2094:F6136,kunishuClan!A:A,kunishuClan!B:B),"浪人")))</f>
      </c>
      <c r="F2094" s="4">
        <v>0</v>
      </c>
      <c r="G2094" s="4">
        <v>150</v>
      </c>
      <c r="H2094" s="12" t="str">
        <f t="array" ref="H2094">IF(G2094:G6136="","",_xlfn.XLOOKUP(G2094:G6136,castles_state!A:A,castles_state!D:D,"見つかりません"))</f>
      </c>
      <c r="I2094" s="4"/>
      <c r="J2094" s="12" t="str">
        <f t="array" ref="J2094">IF(I2094:I6136="","",_xlfn.XLOOKUP(I2094:I6136,'参照_姫'!A:A,'参照_姫'!B:B,"見つかりません"))</f>
      </c>
      <c r="K2094" s="4">
        <v>95</v>
      </c>
      <c r="L2094" s="4">
        <v>200</v>
      </c>
      <c r="M2094" s="4"/>
      <c r="N2094" s="4"/>
      <c r="O2094" s="4"/>
      <c r="P2094" s="12" t="str">
        <f t="array" ref="P2094">IF(O2094:O6136="","",_xlfn.XLOOKUP(O2094:O6136,'参照_官位'!A:A,'参照_官位'!B:B,""))</f>
      </c>
      <c r="Q2094" s="12" t="str">
        <f t="array" ref="Q2094">IF(A2094:A6136="","",IFERROR(_xlfn.XLOOKUP(A2094:A6136,castles_state!K:K,castles_state!D:D)&amp;"主",IFERROR(_xlfn.XLOOKUP(A2094:A6136,kunishuClan!D:D,kunishuClan!B:B)&amp;"当主","")))</f>
      </c>
    </row>
    <row r="2095" ht="15.75" customHeight="1">
      <c r="A2095" s="4">
        <v>1053024</v>
      </c>
      <c r="B2095" s="12" t="str">
        <f t="array" ref="B2095">IF(A2095:A6137="","",_xlfn.XLOOKUP(A2095:A6137,'参照_武将'!A:A,'参照_武将'!B:B,"見つかりません"))</f>
      </c>
      <c r="C2095" s="4" t="s">
        <v>259</v>
      </c>
      <c r="D2095" s="4">
        <v>53</v>
      </c>
      <c r="E2095" s="12" t="str">
        <f t="array" ref="E2095">IF(D2095:D6137="","",IFERROR(_xlfn.XLOOKUP(D2095:D6137,'参照_勢力'!A:A,'参照_勢力'!B:B),IFERROR(_xlfn.XLOOKUP(F2095:F6137,kunishuClan!A:A,kunishuClan!B:B),"浪人")))</f>
      </c>
      <c r="F2095" s="4">
        <v>0</v>
      </c>
      <c r="G2095" s="4">
        <v>144</v>
      </c>
      <c r="H2095" s="12" t="str">
        <f t="array" ref="H2095">IF(G2095:G6137="","",_xlfn.XLOOKUP(G2095:G6137,castles_state!A:A,castles_state!D:D,"見つかりません"))</f>
      </c>
      <c r="I2095" s="4"/>
      <c r="J2095" s="12" t="str">
        <f t="array" ref="J2095">IF(I2095:I6137="","",_xlfn.XLOOKUP(I2095:I6137,'参照_姫'!A:A,'参照_姫'!B:B,"見つかりません"))</f>
      </c>
      <c r="K2095" s="4">
        <v>90</v>
      </c>
      <c r="L2095" s="4">
        <v>200</v>
      </c>
      <c r="M2095" s="4"/>
      <c r="N2095" s="4" t="b">
        <v>1</v>
      </c>
      <c r="O2095" s="4"/>
      <c r="P2095" s="12" t="str">
        <f t="array" ref="P2095">IF(O2095:O6137="","",_xlfn.XLOOKUP(O2095:O6137,'参照_官位'!A:A,'参照_官位'!B:B,""))</f>
      </c>
      <c r="Q2095" s="12" t="str">
        <f t="array" ref="Q2095">IF(A2095:A6137="","",IFERROR(_xlfn.XLOOKUP(A2095:A6137,castles_state!K:K,castles_state!D:D)&amp;"主",IFERROR(_xlfn.XLOOKUP(A2095:A6137,kunishuClan!D:D,kunishuClan!B:B)&amp;"当主","")))</f>
      </c>
    </row>
    <row r="2096" ht="15.75" customHeight="1">
      <c r="A2096" s="4">
        <v>1053025</v>
      </c>
      <c r="B2096" s="12" t="str">
        <f t="array" ref="B2096">IF(A2096:A6138="","",_xlfn.XLOOKUP(A2096:A6138,'参照_武将'!A:A,'参照_武将'!B:B,"見つかりません"))</f>
      </c>
      <c r="C2096" s="4" t="s">
        <v>259</v>
      </c>
      <c r="D2096" s="4">
        <v>53</v>
      </c>
      <c r="E2096" s="12" t="str">
        <f t="array" ref="E2096">IF(D2096:D6138="","",IFERROR(_xlfn.XLOOKUP(D2096:D6138,'参照_勢力'!A:A,'参照_勢力'!B:B),IFERROR(_xlfn.XLOOKUP(F2096:F6138,kunishuClan!A:A,kunishuClan!B:B),"浪人")))</f>
      </c>
      <c r="F2096" s="4">
        <v>0</v>
      </c>
      <c r="G2096" s="4">
        <v>144</v>
      </c>
      <c r="H2096" s="12" t="str">
        <f t="array" ref="H2096">IF(G2096:G6138="","",_xlfn.XLOOKUP(G2096:G6138,castles_state!A:A,castles_state!D:D,"見つかりません"))</f>
      </c>
      <c r="I2096" s="4"/>
      <c r="J2096" s="12" t="str">
        <f t="array" ref="J2096">IF(I2096:I6138="","",_xlfn.XLOOKUP(I2096:I6138,'参照_姫'!A:A,'参照_姫'!B:B,"見つかりません"))</f>
      </c>
      <c r="K2096" s="4">
        <v>90</v>
      </c>
      <c r="L2096" s="4">
        <v>300</v>
      </c>
      <c r="M2096" s="4"/>
      <c r="N2096" s="4"/>
      <c r="O2096" s="4"/>
      <c r="P2096" s="12" t="str">
        <f t="array" ref="P2096">IF(O2096:O6138="","",_xlfn.XLOOKUP(O2096:O6138,'参照_官位'!A:A,'参照_官位'!B:B,""))</f>
      </c>
      <c r="Q2096" s="12" t="str">
        <f t="array" ref="Q2096">IF(A2096:A6138="","",IFERROR(_xlfn.XLOOKUP(A2096:A6138,castles_state!K:K,castles_state!D:D)&amp;"主",IFERROR(_xlfn.XLOOKUP(A2096:A6138,kunishuClan!D:D,kunishuClan!B:B)&amp;"当主","")))</f>
      </c>
    </row>
    <row r="2097" ht="15.75" customHeight="1">
      <c r="A2097" s="4">
        <v>1053026</v>
      </c>
      <c r="B2097" s="12" t="str">
        <f t="array" ref="B2097">IF(A2097:A6139="","",_xlfn.XLOOKUP(A2097:A6139,'参照_武将'!A:A,'参照_武将'!B:B,"見つかりません"))</f>
      </c>
      <c r="C2097" s="4" t="s">
        <v>259</v>
      </c>
      <c r="D2097" s="4">
        <v>53</v>
      </c>
      <c r="E2097" s="12" t="str">
        <f t="array" ref="E2097">IF(D2097:D6139="","",IFERROR(_xlfn.XLOOKUP(D2097:D6139,'参照_勢力'!A:A,'参照_勢力'!B:B),IFERROR(_xlfn.XLOOKUP(F2097:F6139,kunishuClan!A:A,kunishuClan!B:B),"浪人")))</f>
      </c>
      <c r="F2097" s="4">
        <v>0</v>
      </c>
      <c r="G2097" s="4">
        <v>144</v>
      </c>
      <c r="H2097" s="12" t="str">
        <f t="array" ref="H2097">IF(G2097:G6139="","",_xlfn.XLOOKUP(G2097:G6139,castles_state!A:A,castles_state!D:D,"見つかりません"))</f>
      </c>
      <c r="I2097" s="4"/>
      <c r="J2097" s="12" t="str">
        <f t="array" ref="J2097">IF(I2097:I6139="","",_xlfn.XLOOKUP(I2097:I6139,'参照_姫'!A:A,'参照_姫'!B:B,"見つかりません"))</f>
      </c>
      <c r="K2097" s="4">
        <v>90</v>
      </c>
      <c r="L2097" s="4">
        <v>0</v>
      </c>
      <c r="M2097" s="4"/>
      <c r="N2097" s="4"/>
      <c r="O2097" s="4"/>
      <c r="P2097" s="12" t="str">
        <f t="array" ref="P2097">IF(O2097:O6139="","",_xlfn.XLOOKUP(O2097:O6139,'参照_官位'!A:A,'参照_官位'!B:B,""))</f>
      </c>
      <c r="Q2097" s="12" t="str">
        <f t="array" ref="Q2097">IF(A2097:A6139="","",IFERROR(_xlfn.XLOOKUP(A2097:A6139,castles_state!K:K,castles_state!D:D)&amp;"主",IFERROR(_xlfn.XLOOKUP(A2097:A6139,kunishuClan!D:D,kunishuClan!B:B)&amp;"当主","")))</f>
      </c>
    </row>
    <row r="2098" ht="15.75" customHeight="1">
      <c r="A2098" s="4">
        <v>1053027</v>
      </c>
      <c r="B2098" s="12" t="str">
        <f t="array" ref="B2098">IF(A2098:A6140="","",_xlfn.XLOOKUP(A2098:A6140,'参照_武将'!A:A,'参照_武将'!B:B,"見つかりません"))</f>
      </c>
      <c r="C2098" s="4" t="s">
        <v>259</v>
      </c>
      <c r="D2098" s="4">
        <v>53</v>
      </c>
      <c r="E2098" s="12" t="str">
        <f t="array" ref="E2098">IF(D2098:D6140="","",IFERROR(_xlfn.XLOOKUP(D2098:D6140,'参照_勢力'!A:A,'参照_勢力'!B:B),IFERROR(_xlfn.XLOOKUP(F2098:F6140,kunishuClan!A:A,kunishuClan!B:B),"浪人")))</f>
      </c>
      <c r="F2098" s="4">
        <v>0</v>
      </c>
      <c r="G2098" s="4">
        <v>145</v>
      </c>
      <c r="H2098" s="12" t="str">
        <f t="array" ref="H2098">IF(G2098:G6140="","",_xlfn.XLOOKUP(G2098:G6140,castles_state!A:A,castles_state!D:D,"見つかりません"))</f>
      </c>
      <c r="I2098" s="4"/>
      <c r="J2098" s="12" t="str">
        <f t="array" ref="J2098">IF(I2098:I6140="","",_xlfn.XLOOKUP(I2098:I6140,'参照_姫'!A:A,'参照_姫'!B:B,"見つかりません"))</f>
      </c>
      <c r="K2098" s="4">
        <v>95</v>
      </c>
      <c r="L2098" s="4">
        <v>0</v>
      </c>
      <c r="M2098" s="4"/>
      <c r="N2098" s="4"/>
      <c r="O2098" s="4"/>
      <c r="P2098" s="12" t="str">
        <f t="array" ref="P2098">IF(O2098:O6140="","",_xlfn.XLOOKUP(O2098:O6140,'参照_官位'!A:A,'参照_官位'!B:B,""))</f>
      </c>
      <c r="Q2098" s="12" t="str">
        <f t="array" ref="Q2098">IF(A2098:A6140="","",IFERROR(_xlfn.XLOOKUP(A2098:A6140,castles_state!K:K,castles_state!D:D)&amp;"主",IFERROR(_xlfn.XLOOKUP(A2098:A6140,kunishuClan!D:D,kunishuClan!B:B)&amp;"当主","")))</f>
      </c>
    </row>
    <row r="2099" ht="15.75" customHeight="1">
      <c r="A2099" s="4">
        <v>1053028</v>
      </c>
      <c r="B2099" s="12" t="str">
        <f t="array" ref="B2099">IF(A2099:A6141="","",_xlfn.XLOOKUP(A2099:A6141,'参照_武将'!A:A,'参照_武将'!B:B,"見つかりません"))</f>
      </c>
      <c r="C2099" s="4" t="s">
        <v>259</v>
      </c>
      <c r="D2099" s="4">
        <v>53</v>
      </c>
      <c r="E2099" s="12" t="str">
        <f t="array" ref="E2099">IF(D2099:D6141="","",IFERROR(_xlfn.XLOOKUP(D2099:D6141,'参照_勢力'!A:A,'参照_勢力'!B:B),IFERROR(_xlfn.XLOOKUP(F2099:F6141,kunishuClan!A:A,kunishuClan!B:B),"浪人")))</f>
      </c>
      <c r="F2099" s="4">
        <v>0</v>
      </c>
      <c r="G2099" s="4">
        <v>146</v>
      </c>
      <c r="H2099" s="12" t="str">
        <f t="array" ref="H2099">IF(G2099:G6141="","",_xlfn.XLOOKUP(G2099:G6141,castles_state!A:A,castles_state!D:D,"見つかりません"))</f>
      </c>
      <c r="I2099" s="4"/>
      <c r="J2099" s="12" t="str">
        <f t="array" ref="J2099">IF(I2099:I6141="","",_xlfn.XLOOKUP(I2099:I6141,'参照_姫'!A:A,'参照_姫'!B:B,"見つかりません"))</f>
      </c>
      <c r="K2099" s="4">
        <v>95</v>
      </c>
      <c r="L2099" s="4">
        <v>0</v>
      </c>
      <c r="M2099" s="4"/>
      <c r="N2099" s="4"/>
      <c r="O2099" s="4"/>
      <c r="P2099" s="12" t="str">
        <f t="array" ref="P2099">IF(O2099:O6141="","",_xlfn.XLOOKUP(O2099:O6141,'参照_官位'!A:A,'参照_官位'!B:B,""))</f>
      </c>
      <c r="Q2099" s="12" t="str">
        <f t="array" ref="Q2099">IF(A2099:A6141="","",IFERROR(_xlfn.XLOOKUP(A2099:A6141,castles_state!K:K,castles_state!D:D)&amp;"主",IFERROR(_xlfn.XLOOKUP(A2099:A6141,kunishuClan!D:D,kunishuClan!B:B)&amp;"当主","")))</f>
      </c>
    </row>
    <row r="2100" ht="15.75" customHeight="1">
      <c r="A2100" s="4">
        <v>1053029</v>
      </c>
      <c r="B2100" s="12" t="str">
        <f t="array" ref="B2100">IF(A2100:A6142="","",_xlfn.XLOOKUP(A2100:A6142,'参照_武将'!A:A,'参照_武将'!B:B,"見つかりません"))</f>
      </c>
      <c r="C2100" s="4" t="s">
        <v>259</v>
      </c>
      <c r="D2100" s="4">
        <v>53</v>
      </c>
      <c r="E2100" s="12" t="str">
        <f t="array" ref="E2100">IF(D2100:D6142="","",IFERROR(_xlfn.XLOOKUP(D2100:D6142,'参照_勢力'!A:A,'参照_勢力'!B:B),IFERROR(_xlfn.XLOOKUP(F2100:F6142,kunishuClan!A:A,kunishuClan!B:B),"浪人")))</f>
      </c>
      <c r="F2100" s="4">
        <v>0</v>
      </c>
      <c r="G2100" s="4">
        <v>146</v>
      </c>
      <c r="H2100" s="12" t="str">
        <f t="array" ref="H2100">IF(G2100:G6142="","",_xlfn.XLOOKUP(G2100:G6142,castles_state!A:A,castles_state!D:D,"見つかりません"))</f>
      </c>
      <c r="I2100" s="4"/>
      <c r="J2100" s="12" t="str">
        <f t="array" ref="J2100">IF(I2100:I6142="","",_xlfn.XLOOKUP(I2100:I6142,'参照_姫'!A:A,'参照_姫'!B:B,"見つかりません"))</f>
      </c>
      <c r="K2100" s="4">
        <v>95</v>
      </c>
      <c r="L2100" s="4">
        <v>0</v>
      </c>
      <c r="M2100" s="4"/>
      <c r="N2100" s="4"/>
      <c r="O2100" s="4"/>
      <c r="P2100" s="12" t="str">
        <f t="array" ref="P2100">IF(O2100:O6142="","",_xlfn.XLOOKUP(O2100:O6142,'参照_官位'!A:A,'参照_官位'!B:B,""))</f>
      </c>
      <c r="Q2100" s="12" t="str">
        <f t="array" ref="Q2100">IF(A2100:A6142="","",IFERROR(_xlfn.XLOOKUP(A2100:A6142,castles_state!K:K,castles_state!D:D)&amp;"主",IFERROR(_xlfn.XLOOKUP(A2100:A6142,kunishuClan!D:D,kunishuClan!B:B)&amp;"当主","")))</f>
      </c>
    </row>
    <row r="2101" ht="15.75" customHeight="1">
      <c r="A2101" s="4">
        <v>1053030</v>
      </c>
      <c r="B2101" s="12" t="str">
        <f t="array" ref="B2101">IF(A2101:A6143="","",_xlfn.XLOOKUP(A2101:A6143,'参照_武将'!A:A,'参照_武将'!B:B,"見つかりません"))</f>
      </c>
      <c r="C2101" s="4" t="s">
        <v>259</v>
      </c>
      <c r="D2101" s="4">
        <v>53</v>
      </c>
      <c r="E2101" s="12" t="str">
        <f t="array" ref="E2101">IF(D2101:D6143="","",IFERROR(_xlfn.XLOOKUP(D2101:D6143,'参照_勢力'!A:A,'参照_勢力'!B:B),IFERROR(_xlfn.XLOOKUP(F2101:F6143,kunishuClan!A:A,kunishuClan!B:B),"浪人")))</f>
      </c>
      <c r="F2101" s="4">
        <v>0</v>
      </c>
      <c r="G2101" s="4">
        <v>146</v>
      </c>
      <c r="H2101" s="12" t="str">
        <f t="array" ref="H2101">IF(G2101:G6143="","",_xlfn.XLOOKUP(G2101:G6143,castles_state!A:A,castles_state!D:D,"見つかりません"))</f>
      </c>
      <c r="I2101" s="4"/>
      <c r="J2101" s="12" t="str">
        <f t="array" ref="J2101">IF(I2101:I6143="","",_xlfn.XLOOKUP(I2101:I6143,'参照_姫'!A:A,'参照_姫'!B:B,"見つかりません"))</f>
      </c>
      <c r="K2101" s="4">
        <v>95</v>
      </c>
      <c r="L2101" s="4">
        <v>0</v>
      </c>
      <c r="M2101" s="4"/>
      <c r="N2101" s="4"/>
      <c r="O2101" s="4"/>
      <c r="P2101" s="12" t="str">
        <f t="array" ref="P2101">IF(O2101:O6143="","",_xlfn.XLOOKUP(O2101:O6143,'参照_官位'!A:A,'参照_官位'!B:B,""))</f>
      </c>
      <c r="Q2101" s="12" t="str">
        <f t="array" ref="Q2101">IF(A2101:A6143="","",IFERROR(_xlfn.XLOOKUP(A2101:A6143,castles_state!K:K,castles_state!D:D)&amp;"主",IFERROR(_xlfn.XLOOKUP(A2101:A6143,kunishuClan!D:D,kunishuClan!B:B)&amp;"当主","")))</f>
      </c>
    </row>
    <row r="2102" ht="15.75" customHeight="1">
      <c r="A2102" s="4">
        <v>1053031</v>
      </c>
      <c r="B2102" s="12" t="str">
        <f t="array" ref="B2102">IF(A2102:A6144="","",_xlfn.XLOOKUP(A2102:A6144,'参照_武将'!A:A,'参照_武将'!B:B,"見つかりません"))</f>
      </c>
      <c r="C2102" s="4" t="s">
        <v>259</v>
      </c>
      <c r="D2102" s="4">
        <v>53</v>
      </c>
      <c r="E2102" s="12" t="str">
        <f t="array" ref="E2102">IF(D2102:D6144="","",IFERROR(_xlfn.XLOOKUP(D2102:D6144,'参照_勢力'!A:A,'参照_勢力'!B:B),IFERROR(_xlfn.XLOOKUP(F2102:F6144,kunishuClan!A:A,kunishuClan!B:B),"浪人")))</f>
      </c>
      <c r="F2102" s="4">
        <v>0</v>
      </c>
      <c r="G2102" s="4">
        <v>146</v>
      </c>
      <c r="H2102" s="12" t="str">
        <f t="array" ref="H2102">IF(G2102:G6144="","",_xlfn.XLOOKUP(G2102:G6144,castles_state!A:A,castles_state!D:D,"見つかりません"))</f>
      </c>
      <c r="I2102" s="4"/>
      <c r="J2102" s="12" t="str">
        <f t="array" ref="J2102">IF(I2102:I6144="","",_xlfn.XLOOKUP(I2102:I6144,'参照_姫'!A:A,'参照_姫'!B:B,"見つかりません"))</f>
      </c>
      <c r="K2102" s="4">
        <v>95</v>
      </c>
      <c r="L2102" s="4">
        <v>0</v>
      </c>
      <c r="M2102" s="4"/>
      <c r="N2102" s="4"/>
      <c r="O2102" s="4"/>
      <c r="P2102" s="12" t="str">
        <f t="array" ref="P2102">IF(O2102:O6144="","",_xlfn.XLOOKUP(O2102:O6144,'参照_官位'!A:A,'参照_官位'!B:B,""))</f>
      </c>
      <c r="Q2102" s="12" t="str">
        <f t="array" ref="Q2102">IF(A2102:A6144="","",IFERROR(_xlfn.XLOOKUP(A2102:A6144,castles_state!K:K,castles_state!D:D)&amp;"主",IFERROR(_xlfn.XLOOKUP(A2102:A6144,kunishuClan!D:D,kunishuClan!B:B)&amp;"当主","")))</f>
      </c>
    </row>
    <row r="2103" ht="15.75" customHeight="1">
      <c r="A2103" s="4">
        <v>1053032</v>
      </c>
      <c r="B2103" s="12" t="str">
        <f t="array" ref="B2103">IF(A2103:A6145="","",_xlfn.XLOOKUP(A2103:A6145,'参照_武将'!A:A,'参照_武将'!B:B,"見つかりません"))</f>
      </c>
      <c r="C2103" s="4" t="s">
        <v>259</v>
      </c>
      <c r="D2103" s="4">
        <v>53</v>
      </c>
      <c r="E2103" s="12" t="str">
        <f t="array" ref="E2103">IF(D2103:D6145="","",IFERROR(_xlfn.XLOOKUP(D2103:D6145,'参照_勢力'!A:A,'参照_勢力'!B:B),IFERROR(_xlfn.XLOOKUP(F2103:F6145,kunishuClan!A:A,kunishuClan!B:B),"浪人")))</f>
      </c>
      <c r="F2103" s="4">
        <v>0</v>
      </c>
      <c r="G2103" s="4">
        <v>144</v>
      </c>
      <c r="H2103" s="12" t="str">
        <f t="array" ref="H2103">IF(G2103:G6145="","",_xlfn.XLOOKUP(G2103:G6145,castles_state!A:A,castles_state!D:D,"見つかりません"))</f>
      </c>
      <c r="I2103" s="4"/>
      <c r="J2103" s="12" t="str">
        <f t="array" ref="J2103">IF(I2103:I6145="","",_xlfn.XLOOKUP(I2103:I6145,'参照_姫'!A:A,'参照_姫'!B:B,"見つかりません"))</f>
      </c>
      <c r="K2103" s="4">
        <v>90</v>
      </c>
      <c r="L2103" s="4">
        <v>0</v>
      </c>
      <c r="M2103" s="4"/>
      <c r="N2103" s="4"/>
      <c r="O2103" s="4"/>
      <c r="P2103" s="12" t="str">
        <f t="array" ref="P2103">IF(O2103:O6145="","",_xlfn.XLOOKUP(O2103:O6145,'参照_官位'!A:A,'参照_官位'!B:B,""))</f>
      </c>
      <c r="Q2103" s="12" t="str">
        <f t="array" ref="Q2103">IF(A2103:A6145="","",IFERROR(_xlfn.XLOOKUP(A2103:A6145,castles_state!K:K,castles_state!D:D)&amp;"主",IFERROR(_xlfn.XLOOKUP(A2103:A6145,kunishuClan!D:D,kunishuClan!B:B)&amp;"当主","")))</f>
      </c>
    </row>
    <row r="2104" ht="15.75" customHeight="1">
      <c r="A2104" s="4">
        <v>1053033</v>
      </c>
      <c r="B2104" s="12" t="str">
        <f t="array" ref="B2104">IF(A2104:A6146="","",_xlfn.XLOOKUP(A2104:A6146,'参照_武将'!A:A,'参照_武将'!B:B,"見つかりません"))</f>
      </c>
      <c r="C2104" s="4" t="s">
        <v>259</v>
      </c>
      <c r="D2104" s="4">
        <v>53</v>
      </c>
      <c r="E2104" s="12" t="str">
        <f t="array" ref="E2104">IF(D2104:D6146="","",IFERROR(_xlfn.XLOOKUP(D2104:D6146,'参照_勢力'!A:A,'参照_勢力'!B:B),IFERROR(_xlfn.XLOOKUP(F2104:F6146,kunishuClan!A:A,kunishuClan!B:B),"浪人")))</f>
      </c>
      <c r="F2104" s="4">
        <v>0</v>
      </c>
      <c r="G2104" s="4">
        <v>144</v>
      </c>
      <c r="H2104" s="12" t="str">
        <f t="array" ref="H2104">IF(G2104:G6146="","",_xlfn.XLOOKUP(G2104:G6146,castles_state!A:A,castles_state!D:D,"見つかりません"))</f>
      </c>
      <c r="I2104" s="4"/>
      <c r="J2104" s="12" t="str">
        <f t="array" ref="J2104">IF(I2104:I6146="","",_xlfn.XLOOKUP(I2104:I6146,'参照_姫'!A:A,'参照_姫'!B:B,"見つかりません"))</f>
      </c>
      <c r="K2104" s="4">
        <v>90</v>
      </c>
      <c r="L2104" s="4">
        <v>0</v>
      </c>
      <c r="M2104" s="4"/>
      <c r="N2104" s="4"/>
      <c r="O2104" s="4"/>
      <c r="P2104" s="12" t="str">
        <f t="array" ref="P2104">IF(O2104:O6146="","",_xlfn.XLOOKUP(O2104:O6146,'参照_官位'!A:A,'参照_官位'!B:B,""))</f>
      </c>
      <c r="Q2104" s="12" t="str">
        <f t="array" ref="Q2104">IF(A2104:A6146="","",IFERROR(_xlfn.XLOOKUP(A2104:A6146,castles_state!K:K,castles_state!D:D)&amp;"主",IFERROR(_xlfn.XLOOKUP(A2104:A6146,kunishuClan!D:D,kunishuClan!B:B)&amp;"当主","")))</f>
      </c>
    </row>
    <row r="2105" ht="15.75" customHeight="1">
      <c r="A2105" s="4">
        <v>1053034</v>
      </c>
      <c r="B2105" s="12" t="str">
        <f t="array" ref="B2105">IF(A2105:A6147="","",_xlfn.XLOOKUP(A2105:A6147,'参照_武将'!A:A,'参照_武将'!B:B,"見つかりません"))</f>
      </c>
      <c r="C2105" s="4" t="s">
        <v>259</v>
      </c>
      <c r="D2105" s="4">
        <v>53</v>
      </c>
      <c r="E2105" s="12" t="str">
        <f t="array" ref="E2105">IF(D2105:D6147="","",IFERROR(_xlfn.XLOOKUP(D2105:D6147,'参照_勢力'!A:A,'参照_勢力'!B:B),IFERROR(_xlfn.XLOOKUP(F2105:F6147,kunishuClan!A:A,kunishuClan!B:B),"浪人")))</f>
      </c>
      <c r="F2105" s="4">
        <v>0</v>
      </c>
      <c r="G2105" s="4">
        <v>176</v>
      </c>
      <c r="H2105" s="12" t="str">
        <f t="array" ref="H2105">IF(G2105:G6147="","",_xlfn.XLOOKUP(G2105:G6147,castles_state!A:A,castles_state!D:D,"見つかりません"))</f>
      </c>
      <c r="I2105" s="4"/>
      <c r="J2105" s="12" t="str">
        <f t="array" ref="J2105">IF(I2105:I6147="","",_xlfn.XLOOKUP(I2105:I6147,'参照_姫'!A:A,'参照_姫'!B:B,"見つかりません"))</f>
      </c>
      <c r="K2105" s="4">
        <v>95</v>
      </c>
      <c r="L2105" s="4">
        <v>300</v>
      </c>
      <c r="M2105" s="4"/>
      <c r="N2105" s="4"/>
      <c r="O2105" s="4"/>
      <c r="P2105" s="12" t="str">
        <f t="array" ref="P2105">IF(O2105:O6147="","",_xlfn.XLOOKUP(O2105:O6147,'参照_官位'!A:A,'参照_官位'!B:B,""))</f>
      </c>
      <c r="Q2105" s="12" t="str">
        <f t="array" ref="Q2105">IF(A2105:A6147="","",IFERROR(_xlfn.XLOOKUP(A2105:A6147,castles_state!K:K,castles_state!D:D)&amp;"主",IFERROR(_xlfn.XLOOKUP(A2105:A6147,kunishuClan!D:D,kunishuClan!B:B)&amp;"当主","")))</f>
      </c>
    </row>
    <row r="2106" ht="15.75" customHeight="1">
      <c r="A2106" s="4">
        <v>1053035</v>
      </c>
      <c r="B2106" s="12" t="str">
        <f t="array" ref="B2106">IF(A2106:A6148="","",_xlfn.XLOOKUP(A2106:A6148,'参照_武将'!A:A,'参照_武将'!B:B,"見つかりません"))</f>
      </c>
      <c r="C2106" s="4" t="s">
        <v>259</v>
      </c>
      <c r="D2106" s="4">
        <v>53</v>
      </c>
      <c r="E2106" s="12" t="str">
        <f t="array" ref="E2106">IF(D2106:D6148="","",IFERROR(_xlfn.XLOOKUP(D2106:D6148,'参照_勢力'!A:A,'参照_勢力'!B:B),IFERROR(_xlfn.XLOOKUP(F2106:F6148,kunishuClan!A:A,kunishuClan!B:B),"浪人")))</f>
      </c>
      <c r="F2106" s="4">
        <v>0</v>
      </c>
      <c r="G2106" s="4">
        <v>176</v>
      </c>
      <c r="H2106" s="12" t="str">
        <f t="array" ref="H2106">IF(G2106:G6148="","",_xlfn.XLOOKUP(G2106:G6148,castles_state!A:A,castles_state!D:D,"見つかりません"))</f>
      </c>
      <c r="I2106" s="4"/>
      <c r="J2106" s="12" t="str">
        <f t="array" ref="J2106">IF(I2106:I6148="","",_xlfn.XLOOKUP(I2106:I6148,'参照_姫'!A:A,'参照_姫'!B:B,"見つかりません"))</f>
      </c>
      <c r="K2106" s="4">
        <v>95</v>
      </c>
      <c r="L2106" s="4">
        <v>0</v>
      </c>
      <c r="M2106" s="4"/>
      <c r="N2106" s="4"/>
      <c r="O2106" s="4"/>
      <c r="P2106" s="12" t="str">
        <f t="array" ref="P2106">IF(O2106:O6148="","",_xlfn.XLOOKUP(O2106:O6148,'参照_官位'!A:A,'参照_官位'!B:B,""))</f>
      </c>
      <c r="Q2106" s="12" t="str">
        <f t="array" ref="Q2106">IF(A2106:A6148="","",IFERROR(_xlfn.XLOOKUP(A2106:A6148,castles_state!K:K,castles_state!D:D)&amp;"主",IFERROR(_xlfn.XLOOKUP(A2106:A6148,kunishuClan!D:D,kunishuClan!B:B)&amp;"当主","")))</f>
      </c>
    </row>
    <row r="2107" ht="15.75" customHeight="1">
      <c r="A2107" s="4">
        <v>1053036</v>
      </c>
      <c r="B2107" s="12" t="str">
        <f t="array" ref="B2107">IF(A2107:A6149="","",_xlfn.XLOOKUP(A2107:A6149,'参照_武将'!A:A,'参照_武将'!B:B,"見つかりません"))</f>
      </c>
      <c r="C2107" s="4" t="s">
        <v>259</v>
      </c>
      <c r="D2107" s="4">
        <v>53</v>
      </c>
      <c r="E2107" s="12" t="str">
        <f t="array" ref="E2107">IF(D2107:D6149="","",IFERROR(_xlfn.XLOOKUP(D2107:D6149,'参照_勢力'!A:A,'参照_勢力'!B:B),IFERROR(_xlfn.XLOOKUP(F2107:F6149,kunishuClan!A:A,kunishuClan!B:B),"浪人")))</f>
      </c>
      <c r="F2107" s="4">
        <v>0</v>
      </c>
      <c r="G2107" s="4">
        <v>176</v>
      </c>
      <c r="H2107" s="12" t="str">
        <f t="array" ref="H2107">IF(G2107:G6149="","",_xlfn.XLOOKUP(G2107:G6149,castles_state!A:A,castles_state!D:D,"見つかりません"))</f>
      </c>
      <c r="I2107" s="4"/>
      <c r="J2107" s="12" t="str">
        <f t="array" ref="J2107">IF(I2107:I6149="","",_xlfn.XLOOKUP(I2107:I6149,'参照_姫'!A:A,'参照_姫'!B:B,"見つかりません"))</f>
      </c>
      <c r="K2107" s="4">
        <v>95</v>
      </c>
      <c r="L2107" s="4">
        <v>0</v>
      </c>
      <c r="M2107" s="4"/>
      <c r="N2107" s="4"/>
      <c r="O2107" s="4"/>
      <c r="P2107" s="12" t="str">
        <f t="array" ref="P2107">IF(O2107:O6149="","",_xlfn.XLOOKUP(O2107:O6149,'参照_官位'!A:A,'参照_官位'!B:B,""))</f>
      </c>
      <c r="Q2107" s="12" t="str">
        <f t="array" ref="Q2107">IF(A2107:A6149="","",IFERROR(_xlfn.XLOOKUP(A2107:A6149,castles_state!K:K,castles_state!D:D)&amp;"主",IFERROR(_xlfn.XLOOKUP(A2107:A6149,kunishuClan!D:D,kunishuClan!B:B)&amp;"当主","")))</f>
      </c>
    </row>
    <row r="2108" ht="15.75" customHeight="1">
      <c r="A2108" s="4">
        <v>1053037</v>
      </c>
      <c r="B2108" s="12" t="str">
        <f t="array" ref="B2108">IF(A2108:A6150="","",_xlfn.XLOOKUP(A2108:A6150,'参照_武将'!A:A,'参照_武将'!B:B,"見つかりません"))</f>
      </c>
      <c r="C2108" s="4" t="s">
        <v>259</v>
      </c>
      <c r="D2108" s="4">
        <v>53</v>
      </c>
      <c r="E2108" s="12" t="str">
        <f t="array" ref="E2108">IF(D2108:D6150="","",IFERROR(_xlfn.XLOOKUP(D2108:D6150,'参照_勢力'!A:A,'参照_勢力'!B:B),IFERROR(_xlfn.XLOOKUP(F2108:F6150,kunishuClan!A:A,kunishuClan!B:B),"浪人")))</f>
      </c>
      <c r="F2108" s="4">
        <v>0</v>
      </c>
      <c r="G2108" s="4">
        <v>158</v>
      </c>
      <c r="H2108" s="12" t="str">
        <f t="array" ref="H2108">IF(G2108:G6150="","",_xlfn.XLOOKUP(G2108:G6150,castles_state!A:A,castles_state!D:D,"見つかりません"))</f>
      </c>
      <c r="I2108" s="4"/>
      <c r="J2108" s="12" t="str">
        <f t="array" ref="J2108">IF(I2108:I6150="","",_xlfn.XLOOKUP(I2108:I6150,'参照_姫'!A:A,'参照_姫'!B:B,"見つかりません"))</f>
      </c>
      <c r="K2108" s="4">
        <v>90</v>
      </c>
      <c r="L2108" s="4">
        <v>500</v>
      </c>
      <c r="M2108" s="4"/>
      <c r="N2108" s="4"/>
      <c r="O2108" s="4"/>
      <c r="P2108" s="12" t="str">
        <f t="array" ref="P2108">IF(O2108:O6150="","",_xlfn.XLOOKUP(O2108:O6150,'参照_官位'!A:A,'参照_官位'!B:B,""))</f>
      </c>
      <c r="Q2108" s="12" t="str">
        <f t="array" ref="Q2108">IF(A2108:A6150="","",IFERROR(_xlfn.XLOOKUP(A2108:A6150,castles_state!K:K,castles_state!D:D)&amp;"主",IFERROR(_xlfn.XLOOKUP(A2108:A6150,kunishuClan!D:D,kunishuClan!B:B)&amp;"当主","")))</f>
      </c>
    </row>
    <row r="2109" ht="15.75" customHeight="1">
      <c r="A2109" s="4">
        <v>1053038</v>
      </c>
      <c r="B2109" s="12" t="str">
        <f t="array" ref="B2109">IF(A2109:A6151="","",_xlfn.XLOOKUP(A2109:A6151,'参照_武将'!A:A,'参照_武将'!B:B,"見つかりません"))</f>
      </c>
      <c r="C2109" s="4" t="s">
        <v>259</v>
      </c>
      <c r="D2109" s="4">
        <v>53</v>
      </c>
      <c r="E2109" s="12" t="str">
        <f t="array" ref="E2109">IF(D2109:D6151="","",IFERROR(_xlfn.XLOOKUP(D2109:D6151,'参照_勢力'!A:A,'参照_勢力'!B:B),IFERROR(_xlfn.XLOOKUP(F2109:F6151,kunishuClan!A:A,kunishuClan!B:B),"浪人")))</f>
      </c>
      <c r="F2109" s="4">
        <v>0</v>
      </c>
      <c r="G2109" s="4">
        <v>158</v>
      </c>
      <c r="H2109" s="12" t="str">
        <f t="array" ref="H2109">IF(G2109:G6151="","",_xlfn.XLOOKUP(G2109:G6151,castles_state!A:A,castles_state!D:D,"見つかりません"))</f>
      </c>
      <c r="I2109" s="4"/>
      <c r="J2109" s="12" t="str">
        <f t="array" ref="J2109">IF(I2109:I6151="","",_xlfn.XLOOKUP(I2109:I6151,'参照_姫'!A:A,'参照_姫'!B:B,"見つかりません"))</f>
      </c>
      <c r="K2109" s="4">
        <v>90</v>
      </c>
      <c r="L2109" s="4">
        <v>0</v>
      </c>
      <c r="M2109" s="4"/>
      <c r="N2109" s="4"/>
      <c r="O2109" s="4"/>
      <c r="P2109" s="12" t="str">
        <f t="array" ref="P2109">IF(O2109:O6151="","",_xlfn.XLOOKUP(O2109:O6151,'参照_官位'!A:A,'参照_官位'!B:B,""))</f>
      </c>
      <c r="Q2109" s="12" t="str">
        <f t="array" ref="Q2109">IF(A2109:A6151="","",IFERROR(_xlfn.XLOOKUP(A2109:A6151,castles_state!K:K,castles_state!D:D)&amp;"主",IFERROR(_xlfn.XLOOKUP(A2109:A6151,kunishuClan!D:D,kunishuClan!B:B)&amp;"当主","")))</f>
      </c>
    </row>
    <row r="2110" ht="15.75" customHeight="1">
      <c r="A2110" s="4">
        <v>1053039</v>
      </c>
      <c r="B2110" s="12" t="str">
        <f t="array" ref="B2110">IF(A2110:A6152="","",_xlfn.XLOOKUP(A2110:A6152,'参照_武将'!A:A,'参照_武将'!B:B,"見つかりません"))</f>
      </c>
      <c r="C2110" s="4" t="s">
        <v>259</v>
      </c>
      <c r="D2110" s="4">
        <v>53</v>
      </c>
      <c r="E2110" s="12" t="str">
        <f t="array" ref="E2110">IF(D2110:D6152="","",IFERROR(_xlfn.XLOOKUP(D2110:D6152,'参照_勢力'!A:A,'参照_勢力'!B:B),IFERROR(_xlfn.XLOOKUP(F2110:F6152,kunishuClan!A:A,kunishuClan!B:B),"浪人")))</f>
      </c>
      <c r="F2110" s="4">
        <v>0</v>
      </c>
      <c r="G2110" s="4">
        <v>158</v>
      </c>
      <c r="H2110" s="12" t="str">
        <f t="array" ref="H2110">IF(G2110:G6152="","",_xlfn.XLOOKUP(G2110:G6152,castles_state!A:A,castles_state!D:D,"見つかりません"))</f>
      </c>
      <c r="I2110" s="4"/>
      <c r="J2110" s="12" t="str">
        <f t="array" ref="J2110">IF(I2110:I6152="","",_xlfn.XLOOKUP(I2110:I6152,'参照_姫'!A:A,'参照_姫'!B:B,"見つかりません"))</f>
      </c>
      <c r="K2110" s="4">
        <v>90</v>
      </c>
      <c r="L2110" s="4">
        <v>0</v>
      </c>
      <c r="M2110" s="4"/>
      <c r="N2110" s="4"/>
      <c r="O2110" s="4"/>
      <c r="P2110" s="12" t="str">
        <f t="array" ref="P2110">IF(O2110:O6152="","",_xlfn.XLOOKUP(O2110:O6152,'参照_官位'!A:A,'参照_官位'!B:B,""))</f>
      </c>
      <c r="Q2110" s="12" t="str">
        <f t="array" ref="Q2110">IF(A2110:A6152="","",IFERROR(_xlfn.XLOOKUP(A2110:A6152,castles_state!K:K,castles_state!D:D)&amp;"主",IFERROR(_xlfn.XLOOKUP(A2110:A6152,kunishuClan!D:D,kunishuClan!B:B)&amp;"当主","")))</f>
      </c>
    </row>
    <row r="2111" ht="15.75" customHeight="1">
      <c r="A2111" s="4">
        <v>1053040</v>
      </c>
      <c r="B2111" s="12" t="str">
        <f t="array" ref="B2111">IF(A2111:A6153="","",_xlfn.XLOOKUP(A2111:A6153,'参照_武将'!A:A,'参照_武将'!B:B,"見つかりません"))</f>
      </c>
      <c r="C2111" s="4" t="s">
        <v>259</v>
      </c>
      <c r="D2111" s="4">
        <v>53</v>
      </c>
      <c r="E2111" s="12" t="str">
        <f t="array" ref="E2111">IF(D2111:D6153="","",IFERROR(_xlfn.XLOOKUP(D2111:D6153,'参照_勢力'!A:A,'参照_勢力'!B:B),IFERROR(_xlfn.XLOOKUP(F2111:F6153,kunishuClan!A:A,kunishuClan!B:B),"浪人")))</f>
      </c>
      <c r="F2111" s="4">
        <v>0</v>
      </c>
      <c r="G2111" s="4">
        <v>147</v>
      </c>
      <c r="H2111" s="12" t="str">
        <f t="array" ref="H2111">IF(G2111:G6153="","",_xlfn.XLOOKUP(G2111:G6153,castles_state!A:A,castles_state!D:D,"見つかりません"))</f>
      </c>
      <c r="I2111" s="4"/>
      <c r="J2111" s="12" t="str">
        <f t="array" ref="J2111">IF(I2111:I6153="","",_xlfn.XLOOKUP(I2111:I6153,'参照_姫'!A:A,'参照_姫'!B:B,"見つかりません"))</f>
      </c>
      <c r="K2111" s="4">
        <v>95</v>
      </c>
      <c r="L2111" s="4">
        <v>0</v>
      </c>
      <c r="M2111" s="4"/>
      <c r="N2111" s="4"/>
      <c r="O2111" s="4"/>
      <c r="P2111" s="12" t="str">
        <f t="array" ref="P2111">IF(O2111:O6153="","",_xlfn.XLOOKUP(O2111:O6153,'参照_官位'!A:A,'参照_官位'!B:B,""))</f>
      </c>
      <c r="Q2111" s="12" t="str">
        <f t="array" ref="Q2111">IF(A2111:A6153="","",IFERROR(_xlfn.XLOOKUP(A2111:A6153,castles_state!K:K,castles_state!D:D)&amp;"主",IFERROR(_xlfn.XLOOKUP(A2111:A6153,kunishuClan!D:D,kunishuClan!B:B)&amp;"当主","")))</f>
      </c>
    </row>
    <row r="2112" ht="15.75" customHeight="1">
      <c r="A2112" s="4">
        <v>1053041</v>
      </c>
      <c r="B2112" s="12" t="str">
        <f t="array" ref="B2112">IF(A2112:A6154="","",_xlfn.XLOOKUP(A2112:A6154,'参照_武将'!A:A,'参照_武将'!B:B,"見つかりません"))</f>
      </c>
      <c r="C2112" s="4" t="s">
        <v>259</v>
      </c>
      <c r="D2112" s="4">
        <v>53</v>
      </c>
      <c r="E2112" s="12" t="str">
        <f t="array" ref="E2112">IF(D2112:D6154="","",IFERROR(_xlfn.XLOOKUP(D2112:D6154,'参照_勢力'!A:A,'参照_勢力'!B:B),IFERROR(_xlfn.XLOOKUP(F2112:F6154,kunishuClan!A:A,kunishuClan!B:B),"浪人")))</f>
      </c>
      <c r="F2112" s="4">
        <v>0</v>
      </c>
      <c r="G2112" s="4">
        <v>147</v>
      </c>
      <c r="H2112" s="12" t="str">
        <f t="array" ref="H2112">IF(G2112:G6154="","",_xlfn.XLOOKUP(G2112:G6154,castles_state!A:A,castles_state!D:D,"見つかりません"))</f>
      </c>
      <c r="I2112" s="4"/>
      <c r="J2112" s="12" t="str">
        <f t="array" ref="J2112">IF(I2112:I6154="","",_xlfn.XLOOKUP(I2112:I6154,'参照_姫'!A:A,'参照_姫'!B:B,"見つかりません"))</f>
      </c>
      <c r="K2112" s="4">
        <v>95</v>
      </c>
      <c r="L2112" s="4">
        <v>0</v>
      </c>
      <c r="M2112" s="4"/>
      <c r="N2112" s="4"/>
      <c r="O2112" s="4"/>
      <c r="P2112" s="12" t="str">
        <f t="array" ref="P2112">IF(O2112:O6154="","",_xlfn.XLOOKUP(O2112:O6154,'参照_官位'!A:A,'参照_官位'!B:B,""))</f>
      </c>
      <c r="Q2112" s="12" t="str">
        <f t="array" ref="Q2112">IF(A2112:A6154="","",IFERROR(_xlfn.XLOOKUP(A2112:A6154,castles_state!K:K,castles_state!D:D)&amp;"主",IFERROR(_xlfn.XLOOKUP(A2112:A6154,kunishuClan!D:D,kunishuClan!B:B)&amp;"当主","")))</f>
      </c>
    </row>
    <row r="2113" ht="15.75" customHeight="1">
      <c r="A2113" s="4">
        <v>1053042</v>
      </c>
      <c r="B2113" s="12" t="str">
        <f t="array" ref="B2113">IF(A2113:A6155="","",_xlfn.XLOOKUP(A2113:A6155,'参照_武将'!A:A,'参照_武将'!B:B,"見つかりません"))</f>
      </c>
      <c r="C2113" s="4" t="s">
        <v>259</v>
      </c>
      <c r="D2113" s="4">
        <v>53</v>
      </c>
      <c r="E2113" s="12" t="str">
        <f t="array" ref="E2113">IF(D2113:D6155="","",IFERROR(_xlfn.XLOOKUP(D2113:D6155,'参照_勢力'!A:A,'参照_勢力'!B:B),IFERROR(_xlfn.XLOOKUP(F2113:F6155,kunishuClan!A:A,kunishuClan!B:B),"浪人")))</f>
      </c>
      <c r="F2113" s="4">
        <v>0</v>
      </c>
      <c r="G2113" s="4">
        <v>147</v>
      </c>
      <c r="H2113" s="12" t="str">
        <f t="array" ref="H2113">IF(G2113:G6155="","",_xlfn.XLOOKUP(G2113:G6155,castles_state!A:A,castles_state!D:D,"見つかりません"))</f>
      </c>
      <c r="I2113" s="4"/>
      <c r="J2113" s="12" t="str">
        <f t="array" ref="J2113">IF(I2113:I6155="","",_xlfn.XLOOKUP(I2113:I6155,'参照_姫'!A:A,'参照_姫'!B:B,"見つかりません"))</f>
      </c>
      <c r="K2113" s="4">
        <v>95</v>
      </c>
      <c r="L2113" s="4">
        <v>0</v>
      </c>
      <c r="M2113" s="4"/>
      <c r="N2113" s="4"/>
      <c r="O2113" s="4"/>
      <c r="P2113" s="12" t="str">
        <f t="array" ref="P2113">IF(O2113:O6155="","",_xlfn.XLOOKUP(O2113:O6155,'参照_官位'!A:A,'参照_官位'!B:B,""))</f>
      </c>
      <c r="Q2113" s="12" t="str">
        <f t="array" ref="Q2113">IF(A2113:A6155="","",IFERROR(_xlfn.XLOOKUP(A2113:A6155,castles_state!K:K,castles_state!D:D)&amp;"主",IFERROR(_xlfn.XLOOKUP(A2113:A6155,kunishuClan!D:D,kunishuClan!B:B)&amp;"当主","")))</f>
      </c>
    </row>
    <row r="2114" ht="15.75" customHeight="1">
      <c r="A2114" s="4">
        <v>1053043</v>
      </c>
      <c r="B2114" s="12" t="str">
        <f t="array" ref="B2114">IF(A2114:A6156="","",_xlfn.XLOOKUP(A2114:A6156,'参照_武将'!A:A,'参照_武将'!B:B,"見つかりません"))</f>
      </c>
      <c r="C2114" s="4" t="s">
        <v>259</v>
      </c>
      <c r="D2114" s="4">
        <v>53</v>
      </c>
      <c r="E2114" s="12" t="str">
        <f t="array" ref="E2114">IF(D2114:D6156="","",IFERROR(_xlfn.XLOOKUP(D2114:D6156,'参照_勢力'!A:A,'参照_勢力'!B:B),IFERROR(_xlfn.XLOOKUP(F2114:F6156,kunishuClan!A:A,kunishuClan!B:B),"浪人")))</f>
      </c>
      <c r="F2114" s="4">
        <v>0</v>
      </c>
      <c r="G2114" s="4">
        <v>147</v>
      </c>
      <c r="H2114" s="12" t="str">
        <f t="array" ref="H2114">IF(G2114:G6156="","",_xlfn.XLOOKUP(G2114:G6156,castles_state!A:A,castles_state!D:D,"見つかりません"))</f>
      </c>
      <c r="I2114" s="4"/>
      <c r="J2114" s="12" t="str">
        <f t="array" ref="J2114">IF(I2114:I6156="","",_xlfn.XLOOKUP(I2114:I6156,'参照_姫'!A:A,'参照_姫'!B:B,"見つかりません"))</f>
      </c>
      <c r="K2114" s="4">
        <v>95</v>
      </c>
      <c r="L2114" s="4">
        <v>0</v>
      </c>
      <c r="M2114" s="4"/>
      <c r="N2114" s="4"/>
      <c r="O2114" s="4"/>
      <c r="P2114" s="12" t="str">
        <f t="array" ref="P2114">IF(O2114:O6156="","",_xlfn.XLOOKUP(O2114:O6156,'参照_官位'!A:A,'参照_官位'!B:B,""))</f>
      </c>
      <c r="Q2114" s="12" t="str">
        <f t="array" ref="Q2114">IF(A2114:A6156="","",IFERROR(_xlfn.XLOOKUP(A2114:A6156,castles_state!K:K,castles_state!D:D)&amp;"主",IFERROR(_xlfn.XLOOKUP(A2114:A6156,kunishuClan!D:D,kunishuClan!B:B)&amp;"当主","")))</f>
      </c>
    </row>
    <row r="2115" ht="15.75" customHeight="1">
      <c r="A2115" s="4">
        <v>1053044</v>
      </c>
      <c r="B2115" s="12" t="str">
        <f t="array" ref="B2115">IF(A2115:A6157="","",_xlfn.XLOOKUP(A2115:A6157,'参照_武将'!A:A,'参照_武将'!B:B,"見つかりません"))</f>
      </c>
      <c r="C2115" s="4" t="s">
        <v>259</v>
      </c>
      <c r="D2115" s="4">
        <v>53</v>
      </c>
      <c r="E2115" s="12" t="str">
        <f t="array" ref="E2115">IF(D2115:D6157="","",IFERROR(_xlfn.XLOOKUP(D2115:D6157,'参照_勢力'!A:A,'参照_勢力'!B:B),IFERROR(_xlfn.XLOOKUP(F2115:F6157,kunishuClan!A:A,kunishuClan!B:B),"浪人")))</f>
      </c>
      <c r="F2115" s="4">
        <v>0</v>
      </c>
      <c r="G2115" s="4">
        <v>150</v>
      </c>
      <c r="H2115" s="12" t="str">
        <f t="array" ref="H2115">IF(G2115:G6157="","",_xlfn.XLOOKUP(G2115:G6157,castles_state!A:A,castles_state!D:D,"見つかりません"))</f>
      </c>
      <c r="I2115" s="4"/>
      <c r="J2115" s="12" t="str">
        <f t="array" ref="J2115">IF(I2115:I6157="","",_xlfn.XLOOKUP(I2115:I6157,'参照_姫'!A:A,'参照_姫'!B:B,"見つかりません"))</f>
      </c>
      <c r="K2115" s="4">
        <v>85</v>
      </c>
      <c r="L2115" s="4">
        <v>0</v>
      </c>
      <c r="M2115" s="4"/>
      <c r="N2115" s="4"/>
      <c r="O2115" s="4"/>
      <c r="P2115" s="12" t="str">
        <f t="array" ref="P2115">IF(O2115:O6157="","",_xlfn.XLOOKUP(O2115:O6157,'参照_官位'!A:A,'参照_官位'!B:B,""))</f>
      </c>
      <c r="Q2115" s="12" t="str">
        <f t="array" ref="Q2115">IF(A2115:A6157="","",IFERROR(_xlfn.XLOOKUP(A2115:A6157,castles_state!K:K,castles_state!D:D)&amp;"主",IFERROR(_xlfn.XLOOKUP(A2115:A6157,kunishuClan!D:D,kunishuClan!B:B)&amp;"当主","")))</f>
      </c>
    </row>
    <row r="2116" ht="15.75" customHeight="1">
      <c r="A2116" s="4">
        <v>1053045</v>
      </c>
      <c r="B2116" s="12" t="str">
        <f t="array" ref="B2116">IF(A2116:A6158="","",_xlfn.XLOOKUP(A2116:A6158,'参照_武将'!A:A,'参照_武将'!B:B,"見つかりません"))</f>
      </c>
      <c r="C2116" s="4" t="s">
        <v>259</v>
      </c>
      <c r="D2116" s="4">
        <v>53</v>
      </c>
      <c r="E2116" s="12" t="str">
        <f t="array" ref="E2116">IF(D2116:D6158="","",IFERROR(_xlfn.XLOOKUP(D2116:D6158,'参照_勢力'!A:A,'参照_勢力'!B:B),IFERROR(_xlfn.XLOOKUP(F2116:F6158,kunishuClan!A:A,kunishuClan!B:B),"浪人")))</f>
      </c>
      <c r="F2116" s="4">
        <v>0</v>
      </c>
      <c r="G2116" s="4">
        <v>150</v>
      </c>
      <c r="H2116" s="12" t="str">
        <f t="array" ref="H2116">IF(G2116:G6158="","",_xlfn.XLOOKUP(G2116:G6158,castles_state!A:A,castles_state!D:D,"見つかりません"))</f>
      </c>
      <c r="I2116" s="4"/>
      <c r="J2116" s="12" t="str">
        <f t="array" ref="J2116">IF(I2116:I6158="","",_xlfn.XLOOKUP(I2116:I6158,'参照_姫'!A:A,'参照_姫'!B:B,"見つかりません"))</f>
      </c>
      <c r="K2116" s="4">
        <v>95</v>
      </c>
      <c r="L2116" s="4">
        <v>0</v>
      </c>
      <c r="M2116" s="4"/>
      <c r="N2116" s="4"/>
      <c r="O2116" s="4"/>
      <c r="P2116" s="12" t="str">
        <f t="array" ref="P2116">IF(O2116:O6158="","",_xlfn.XLOOKUP(O2116:O6158,'参照_官位'!A:A,'参照_官位'!B:B,""))</f>
      </c>
      <c r="Q2116" s="12" t="str">
        <f t="array" ref="Q2116">IF(A2116:A6158="","",IFERROR(_xlfn.XLOOKUP(A2116:A6158,castles_state!K:K,castles_state!D:D)&amp;"主",IFERROR(_xlfn.XLOOKUP(A2116:A6158,kunishuClan!D:D,kunishuClan!B:B)&amp;"当主","")))</f>
      </c>
    </row>
    <row r="2117" ht="15.75" customHeight="1">
      <c r="A2117" s="4">
        <v>1053046</v>
      </c>
      <c r="B2117" s="12" t="str">
        <f t="array" ref="B2117">IF(A2117:A6159="","",_xlfn.XLOOKUP(A2117:A6159,'参照_武将'!A:A,'参照_武将'!B:B,"見つかりません"))</f>
      </c>
      <c r="C2117" s="4" t="s">
        <v>259</v>
      </c>
      <c r="D2117" s="4">
        <v>53</v>
      </c>
      <c r="E2117" s="12" t="str">
        <f t="array" ref="E2117">IF(D2117:D6159="","",IFERROR(_xlfn.XLOOKUP(D2117:D6159,'参照_勢力'!A:A,'参照_勢力'!B:B),IFERROR(_xlfn.XLOOKUP(F2117:F6159,kunishuClan!A:A,kunishuClan!B:B),"浪人")))</f>
      </c>
      <c r="F2117" s="4">
        <v>0</v>
      </c>
      <c r="G2117" s="4">
        <v>150</v>
      </c>
      <c r="H2117" s="12" t="str">
        <f t="array" ref="H2117">IF(G2117:G6159="","",_xlfn.XLOOKUP(G2117:G6159,castles_state!A:A,castles_state!D:D,"見つかりません"))</f>
      </c>
      <c r="I2117" s="4"/>
      <c r="J2117" s="12" t="str">
        <f t="array" ref="J2117">IF(I2117:I6159="","",_xlfn.XLOOKUP(I2117:I6159,'参照_姫'!A:A,'参照_姫'!B:B,"見つかりません"))</f>
      </c>
      <c r="K2117" s="4">
        <v>95</v>
      </c>
      <c r="L2117" s="4">
        <v>0</v>
      </c>
      <c r="M2117" s="4"/>
      <c r="N2117" s="4"/>
      <c r="O2117" s="4"/>
      <c r="P2117" s="12" t="str">
        <f t="array" ref="P2117">IF(O2117:O6159="","",_xlfn.XLOOKUP(O2117:O6159,'参照_官位'!A:A,'参照_官位'!B:B,""))</f>
      </c>
      <c r="Q2117" s="12" t="str">
        <f t="array" ref="Q2117">IF(A2117:A6159="","",IFERROR(_xlfn.XLOOKUP(A2117:A6159,castles_state!K:K,castles_state!D:D)&amp;"主",IFERROR(_xlfn.XLOOKUP(A2117:A6159,kunishuClan!D:D,kunishuClan!B:B)&amp;"当主","")))</f>
      </c>
    </row>
    <row r="2118" ht="15.75" customHeight="1">
      <c r="A2118" s="4">
        <v>1053047</v>
      </c>
      <c r="B2118" s="12" t="str">
        <f t="array" ref="B2118">IF(A2118:A6160="","",_xlfn.XLOOKUP(A2118:A6160,'参照_武将'!A:A,'参照_武将'!B:B,"見つかりません"))</f>
      </c>
      <c r="C2118" s="4" t="s">
        <v>259</v>
      </c>
      <c r="D2118" s="4">
        <v>53</v>
      </c>
      <c r="E2118" s="12" t="str">
        <f t="array" ref="E2118">IF(D2118:D6160="","",IFERROR(_xlfn.XLOOKUP(D2118:D6160,'参照_勢力'!A:A,'参照_勢力'!B:B),IFERROR(_xlfn.XLOOKUP(F2118:F6160,kunishuClan!A:A,kunishuClan!B:B),"浪人")))</f>
      </c>
      <c r="F2118" s="4">
        <v>0</v>
      </c>
      <c r="G2118" s="4">
        <v>162</v>
      </c>
      <c r="H2118" s="12" t="str">
        <f t="array" ref="H2118">IF(G2118:G6160="","",_xlfn.XLOOKUP(G2118:G6160,castles_state!A:A,castles_state!D:D,"見つかりません"))</f>
      </c>
      <c r="I2118" s="4"/>
      <c r="J2118" s="12" t="str">
        <f t="array" ref="J2118">IF(I2118:I6160="","",_xlfn.XLOOKUP(I2118:I6160,'参照_姫'!A:A,'参照_姫'!B:B,"見つかりません"))</f>
      </c>
      <c r="K2118" s="4">
        <v>80</v>
      </c>
      <c r="L2118" s="4">
        <v>0</v>
      </c>
      <c r="M2118" s="4"/>
      <c r="N2118" s="4"/>
      <c r="O2118" s="4"/>
      <c r="P2118" s="12" t="str">
        <f t="array" ref="P2118">IF(O2118:O6160="","",_xlfn.XLOOKUP(O2118:O6160,'参照_官位'!A:A,'参照_官位'!B:B,""))</f>
      </c>
      <c r="Q2118" s="12" t="str">
        <f t="array" ref="Q2118">IF(A2118:A6160="","",IFERROR(_xlfn.XLOOKUP(A2118:A6160,castles_state!K:K,castles_state!D:D)&amp;"主",IFERROR(_xlfn.XLOOKUP(A2118:A6160,kunishuClan!D:D,kunishuClan!B:B)&amp;"当主","")))</f>
      </c>
    </row>
    <row r="2119" ht="15.75" customHeight="1">
      <c r="A2119" s="4">
        <v>1053048</v>
      </c>
      <c r="B2119" s="12" t="str">
        <f t="array" ref="B2119">IF(A2119:A6161="","",_xlfn.XLOOKUP(A2119:A6161,'参照_武将'!A:A,'参照_武将'!B:B,"見つかりません"))</f>
      </c>
      <c r="C2119" s="4" t="s">
        <v>259</v>
      </c>
      <c r="D2119" s="4">
        <v>53</v>
      </c>
      <c r="E2119" s="12" t="str">
        <f t="array" ref="E2119">IF(D2119:D6161="","",IFERROR(_xlfn.XLOOKUP(D2119:D6161,'参照_勢力'!A:A,'参照_勢力'!B:B),IFERROR(_xlfn.XLOOKUP(F2119:F6161,kunishuClan!A:A,kunishuClan!B:B),"浪人")))</f>
      </c>
      <c r="F2119" s="4">
        <v>0</v>
      </c>
      <c r="G2119" s="4">
        <v>162</v>
      </c>
      <c r="H2119" s="12" t="str">
        <f t="array" ref="H2119">IF(G2119:G6161="","",_xlfn.XLOOKUP(G2119:G6161,castles_state!A:A,castles_state!D:D,"見つかりません"))</f>
      </c>
      <c r="I2119" s="4"/>
      <c r="J2119" s="12" t="str">
        <f t="array" ref="J2119">IF(I2119:I6161="","",_xlfn.XLOOKUP(I2119:I6161,'参照_姫'!A:A,'参照_姫'!B:B,"見つかりません"))</f>
      </c>
      <c r="K2119" s="4">
        <v>80</v>
      </c>
      <c r="L2119" s="4">
        <v>200</v>
      </c>
      <c r="M2119" s="4"/>
      <c r="N2119" s="4"/>
      <c r="O2119" s="4"/>
      <c r="P2119" s="12" t="str">
        <f t="array" ref="P2119">IF(O2119:O6161="","",_xlfn.XLOOKUP(O2119:O6161,'参照_官位'!A:A,'参照_官位'!B:B,""))</f>
      </c>
      <c r="Q2119" s="12" t="str">
        <f t="array" ref="Q2119">IF(A2119:A6161="","",IFERROR(_xlfn.XLOOKUP(A2119:A6161,castles_state!K:K,castles_state!D:D)&amp;"主",IFERROR(_xlfn.XLOOKUP(A2119:A6161,kunishuClan!D:D,kunishuClan!B:B)&amp;"当主","")))</f>
      </c>
    </row>
    <row r="2120" ht="15.75" customHeight="1">
      <c r="A2120" s="4">
        <v>1053049</v>
      </c>
      <c r="B2120" s="12" t="str">
        <f t="array" ref="B2120">IF(A2120:A6162="","",_xlfn.XLOOKUP(A2120:A6162,'参照_武将'!A:A,'参照_武将'!B:B,"見つかりません"))</f>
      </c>
      <c r="C2120" s="4" t="s">
        <v>259</v>
      </c>
      <c r="D2120" s="4">
        <v>53</v>
      </c>
      <c r="E2120" s="12" t="str">
        <f t="array" ref="E2120">IF(D2120:D6162="","",IFERROR(_xlfn.XLOOKUP(D2120:D6162,'参照_勢力'!A:A,'参照_勢力'!B:B),IFERROR(_xlfn.XLOOKUP(F2120:F6162,kunishuClan!A:A,kunishuClan!B:B),"浪人")))</f>
      </c>
      <c r="F2120" s="4">
        <v>0</v>
      </c>
      <c r="G2120" s="4">
        <v>146</v>
      </c>
      <c r="H2120" s="12" t="str">
        <f t="array" ref="H2120">IF(G2120:G6162="","",_xlfn.XLOOKUP(G2120:G6162,castles_state!A:A,castles_state!D:D,"見つかりません"))</f>
      </c>
      <c r="I2120" s="4"/>
      <c r="J2120" s="12" t="str">
        <f t="array" ref="J2120">IF(I2120:I6162="","",_xlfn.XLOOKUP(I2120:I6162,'参照_姫'!A:A,'参照_姫'!B:B,"見つかりません"))</f>
      </c>
      <c r="K2120" s="4">
        <v>95</v>
      </c>
      <c r="L2120" s="4">
        <v>0</v>
      </c>
      <c r="M2120" s="4"/>
      <c r="N2120" s="4"/>
      <c r="O2120" s="4"/>
      <c r="P2120" s="12" t="str">
        <f t="array" ref="P2120">IF(O2120:O6162="","",_xlfn.XLOOKUP(O2120:O6162,'参照_官位'!A:A,'参照_官位'!B:B,""))</f>
      </c>
      <c r="Q2120" s="12" t="str">
        <f t="array" ref="Q2120">IF(A2120:A6162="","",IFERROR(_xlfn.XLOOKUP(A2120:A6162,castles_state!K:K,castles_state!D:D)&amp;"主",IFERROR(_xlfn.XLOOKUP(A2120:A6162,kunishuClan!D:D,kunishuClan!B:B)&amp;"当主","")))</f>
      </c>
    </row>
    <row r="2121" ht="15.75" customHeight="1">
      <c r="A2121" s="4">
        <v>1053050</v>
      </c>
      <c r="B2121" s="12" t="str">
        <f t="array" ref="B2121">IF(A2121:A6163="","",_xlfn.XLOOKUP(A2121:A6163,'参照_武将'!A:A,'参照_武将'!B:B,"見つかりません"))</f>
      </c>
      <c r="C2121" s="4" t="s">
        <v>259</v>
      </c>
      <c r="D2121" s="4">
        <v>53</v>
      </c>
      <c r="E2121" s="12" t="str">
        <f t="array" ref="E2121">IF(D2121:D6163="","",IFERROR(_xlfn.XLOOKUP(D2121:D6163,'参照_勢力'!A:A,'参照_勢力'!B:B),IFERROR(_xlfn.XLOOKUP(F2121:F6163,kunishuClan!A:A,kunishuClan!B:B),"浪人")))</f>
      </c>
      <c r="F2121" s="4">
        <v>0</v>
      </c>
      <c r="G2121" s="4">
        <v>162</v>
      </c>
      <c r="H2121" s="12" t="str">
        <f t="array" ref="H2121">IF(G2121:G6163="","",_xlfn.XLOOKUP(G2121:G6163,castles_state!A:A,castles_state!D:D,"見つかりません"))</f>
      </c>
      <c r="I2121" s="4"/>
      <c r="J2121" s="12" t="str">
        <f t="array" ref="J2121">IF(I2121:I6163="","",_xlfn.XLOOKUP(I2121:I6163,'参照_姫'!A:A,'参照_姫'!B:B,"見つかりません"))</f>
      </c>
      <c r="K2121" s="4">
        <v>80</v>
      </c>
      <c r="L2121" s="4">
        <v>0</v>
      </c>
      <c r="M2121" s="4"/>
      <c r="N2121" s="4"/>
      <c r="O2121" s="4"/>
      <c r="P2121" s="12" t="str">
        <f t="array" ref="P2121">IF(O2121:O6163="","",_xlfn.XLOOKUP(O2121:O6163,'参照_官位'!A:A,'参照_官位'!B:B,""))</f>
      </c>
      <c r="Q2121" s="12" t="str">
        <f t="array" ref="Q2121">IF(A2121:A6163="","",IFERROR(_xlfn.XLOOKUP(A2121:A6163,castles_state!K:K,castles_state!D:D)&amp;"主",IFERROR(_xlfn.XLOOKUP(A2121:A6163,kunishuClan!D:D,kunishuClan!B:B)&amp;"当主","")))</f>
      </c>
    </row>
    <row r="2122" ht="15.75" customHeight="1">
      <c r="A2122" s="4">
        <v>1053051</v>
      </c>
      <c r="B2122" s="12" t="str">
        <f t="array" ref="B2122">IF(A2122:A6164="","",_xlfn.XLOOKUP(A2122:A6164,'参照_武将'!A:A,'参照_武将'!B:B,"見つかりません"))</f>
      </c>
      <c r="C2122" s="4" t="s">
        <v>259</v>
      </c>
      <c r="D2122" s="4">
        <v>53</v>
      </c>
      <c r="E2122" s="12" t="str">
        <f t="array" ref="E2122">IF(D2122:D6164="","",IFERROR(_xlfn.XLOOKUP(D2122:D6164,'参照_勢力'!A:A,'参照_勢力'!B:B),IFERROR(_xlfn.XLOOKUP(F2122:F6164,kunishuClan!A:A,kunishuClan!B:B),"浪人")))</f>
      </c>
      <c r="F2122" s="4">
        <v>0</v>
      </c>
      <c r="G2122" s="4">
        <v>162</v>
      </c>
      <c r="H2122" s="12" t="str">
        <f t="array" ref="H2122">IF(G2122:G6164="","",_xlfn.XLOOKUP(G2122:G6164,castles_state!A:A,castles_state!D:D,"見つかりません"))</f>
      </c>
      <c r="I2122" s="4"/>
      <c r="J2122" s="12" t="str">
        <f t="array" ref="J2122">IF(I2122:I6164="","",_xlfn.XLOOKUP(I2122:I6164,'参照_姫'!A:A,'参照_姫'!B:B,"見つかりません"))</f>
      </c>
      <c r="K2122" s="4">
        <v>80</v>
      </c>
      <c r="L2122" s="4">
        <v>0</v>
      </c>
      <c r="M2122" s="4"/>
      <c r="N2122" s="4"/>
      <c r="O2122" s="4"/>
      <c r="P2122" s="12" t="str">
        <f t="array" ref="P2122">IF(O2122:O6164="","",_xlfn.XLOOKUP(O2122:O6164,'参照_官位'!A:A,'参照_官位'!B:B,""))</f>
      </c>
      <c r="Q2122" s="12" t="str">
        <f t="array" ref="Q2122">IF(A2122:A6164="","",IFERROR(_xlfn.XLOOKUP(A2122:A6164,castles_state!K:K,castles_state!D:D)&amp;"主",IFERROR(_xlfn.XLOOKUP(A2122:A6164,kunishuClan!D:D,kunishuClan!B:B)&amp;"当主","")))</f>
      </c>
    </row>
    <row r="2123" ht="15.75" customHeight="1">
      <c r="A2123" s="4">
        <v>1053052</v>
      </c>
      <c r="B2123" s="12" t="str">
        <f t="array" ref="B2123">IF(A2123:A6165="","",_xlfn.XLOOKUP(A2123:A6165,'参照_武将'!A:A,'参照_武将'!B:B,"見つかりません"))</f>
      </c>
      <c r="C2123" s="4" t="s">
        <v>259</v>
      </c>
      <c r="D2123" s="4">
        <v>53</v>
      </c>
      <c r="E2123" s="12" t="str">
        <f t="array" ref="E2123">IF(D2123:D6165="","",IFERROR(_xlfn.XLOOKUP(D2123:D6165,'参照_勢力'!A:A,'参照_勢力'!B:B),IFERROR(_xlfn.XLOOKUP(F2123:F6165,kunishuClan!A:A,kunishuClan!B:B),"浪人")))</f>
      </c>
      <c r="F2123" s="4">
        <v>0</v>
      </c>
      <c r="G2123" s="4">
        <v>150</v>
      </c>
      <c r="H2123" s="12" t="str">
        <f t="array" ref="H2123">IF(G2123:G6165="","",_xlfn.XLOOKUP(G2123:G6165,castles_state!A:A,castles_state!D:D,"見つかりません"))</f>
      </c>
      <c r="I2123" s="4"/>
      <c r="J2123" s="12" t="str">
        <f t="array" ref="J2123">IF(I2123:I6165="","",_xlfn.XLOOKUP(I2123:I6165,'参照_姫'!A:A,'参照_姫'!B:B,"見つかりません"))</f>
      </c>
      <c r="K2123" s="4">
        <v>85</v>
      </c>
      <c r="L2123" s="4">
        <v>0</v>
      </c>
      <c r="M2123" s="4"/>
      <c r="N2123" s="4"/>
      <c r="O2123" s="4"/>
      <c r="P2123" s="12" t="str">
        <f t="array" ref="P2123">IF(O2123:O6165="","",_xlfn.XLOOKUP(O2123:O6165,'参照_官位'!A:A,'参照_官位'!B:B,""))</f>
      </c>
      <c r="Q2123" s="12" t="str">
        <f t="array" ref="Q2123">IF(A2123:A6165="","",IFERROR(_xlfn.XLOOKUP(A2123:A6165,castles_state!K:K,castles_state!D:D)&amp;"主",IFERROR(_xlfn.XLOOKUP(A2123:A6165,kunishuClan!D:D,kunishuClan!B:B)&amp;"当主","")))</f>
      </c>
    </row>
    <row r="2124" ht="15.75" customHeight="1">
      <c r="A2124" s="4">
        <v>1053053</v>
      </c>
      <c r="B2124" s="12" t="str">
        <f t="array" ref="B2124">IF(A2124:A6166="","",_xlfn.XLOOKUP(A2124:A6166,'参照_武将'!A:A,'参照_武将'!B:B,"見つかりません"))</f>
      </c>
      <c r="C2124" s="4" t="s">
        <v>259</v>
      </c>
      <c r="D2124" s="4">
        <v>53</v>
      </c>
      <c r="E2124" s="12" t="str">
        <f t="array" ref="E2124">IF(D2124:D6166="","",IFERROR(_xlfn.XLOOKUP(D2124:D6166,'参照_勢力'!A:A,'参照_勢力'!B:B),IFERROR(_xlfn.XLOOKUP(F2124:F6166,kunishuClan!A:A,kunishuClan!B:B),"浪人")))</f>
      </c>
      <c r="F2124" s="4">
        <v>0</v>
      </c>
      <c r="G2124" s="4">
        <v>144</v>
      </c>
      <c r="H2124" s="12" t="str">
        <f t="array" ref="H2124">IF(G2124:G6166="","",_xlfn.XLOOKUP(G2124:G6166,castles_state!A:A,castles_state!D:D,"見つかりません"))</f>
      </c>
      <c r="I2124" s="4"/>
      <c r="J2124" s="12" t="str">
        <f t="array" ref="J2124">IF(I2124:I6166="","",_xlfn.XLOOKUP(I2124:I6166,'参照_姫'!A:A,'参照_姫'!B:B,"見つかりません"))</f>
      </c>
      <c r="K2124" s="4">
        <v>90</v>
      </c>
      <c r="L2124" s="4">
        <v>0</v>
      </c>
      <c r="M2124" s="4"/>
      <c r="N2124" s="4"/>
      <c r="O2124" s="4"/>
      <c r="P2124" s="12" t="str">
        <f t="array" ref="P2124">IF(O2124:O6166="","",_xlfn.XLOOKUP(O2124:O6166,'参照_官位'!A:A,'参照_官位'!B:B,""))</f>
      </c>
      <c r="Q2124" s="12" t="str">
        <f t="array" ref="Q2124">IF(A2124:A6166="","",IFERROR(_xlfn.XLOOKUP(A2124:A6166,castles_state!K:K,castles_state!D:D)&amp;"主",IFERROR(_xlfn.XLOOKUP(A2124:A6166,kunishuClan!D:D,kunishuClan!B:B)&amp;"当主","")))</f>
      </c>
    </row>
    <row r="2125" ht="15.75" customHeight="1">
      <c r="A2125" s="4">
        <v>1053054</v>
      </c>
      <c r="B2125" s="12" t="str">
        <f t="array" ref="B2125">IF(A2125:A6167="","",_xlfn.XLOOKUP(A2125:A6167,'参照_武将'!A:A,'参照_武将'!B:B,"見つかりません"))</f>
      </c>
      <c r="C2125" s="4" t="s">
        <v>259</v>
      </c>
      <c r="D2125" s="4">
        <v>53</v>
      </c>
      <c r="E2125" s="12" t="str">
        <f t="array" ref="E2125">IF(D2125:D6167="","",IFERROR(_xlfn.XLOOKUP(D2125:D6167,'参照_勢力'!A:A,'参照_勢力'!B:B),IFERROR(_xlfn.XLOOKUP(F2125:F6167,kunishuClan!A:A,kunishuClan!B:B),"浪人")))</f>
      </c>
      <c r="F2125" s="4">
        <v>0</v>
      </c>
      <c r="G2125" s="4">
        <v>150</v>
      </c>
      <c r="H2125" s="12" t="str">
        <f t="array" ref="H2125">IF(G2125:G6167="","",_xlfn.XLOOKUP(G2125:G6167,castles_state!A:A,castles_state!D:D,"見つかりません"))</f>
      </c>
      <c r="I2125" s="4"/>
      <c r="J2125" s="12" t="str">
        <f t="array" ref="J2125">IF(I2125:I6167="","",_xlfn.XLOOKUP(I2125:I6167,'参照_姫'!A:A,'参照_姫'!B:B,"見つかりません"))</f>
      </c>
      <c r="K2125" s="4">
        <v>90</v>
      </c>
      <c r="L2125" s="4">
        <v>0</v>
      </c>
      <c r="M2125" s="4"/>
      <c r="N2125" s="4"/>
      <c r="O2125" s="4"/>
      <c r="P2125" s="12" t="str">
        <f t="array" ref="P2125">IF(O2125:O6167="","",_xlfn.XLOOKUP(O2125:O6167,'参照_官位'!A:A,'参照_官位'!B:B,""))</f>
      </c>
      <c r="Q2125" s="12" t="str">
        <f t="array" ref="Q2125">IF(A2125:A6167="","",IFERROR(_xlfn.XLOOKUP(A2125:A6167,castles_state!K:K,castles_state!D:D)&amp;"主",IFERROR(_xlfn.XLOOKUP(A2125:A6167,kunishuClan!D:D,kunishuClan!B:B)&amp;"当主","")))</f>
      </c>
    </row>
    <row r="2126" ht="15.75" customHeight="1">
      <c r="A2126" s="4">
        <v>1053055</v>
      </c>
      <c r="B2126" s="12" t="str">
        <f t="array" ref="B2126">IF(A2126:A6168="","",_xlfn.XLOOKUP(A2126:A6168,'参照_武将'!A:A,'参照_武将'!B:B,"見つかりません"))</f>
      </c>
      <c r="C2126" s="4" t="s">
        <v>259</v>
      </c>
      <c r="D2126" s="4">
        <v>53</v>
      </c>
      <c r="E2126" s="12" t="str">
        <f t="array" ref="E2126">IF(D2126:D6168="","",IFERROR(_xlfn.XLOOKUP(D2126:D6168,'参照_勢力'!A:A,'参照_勢力'!B:B),IFERROR(_xlfn.XLOOKUP(F2126:F6168,kunishuClan!A:A,kunishuClan!B:B),"浪人")))</f>
      </c>
      <c r="F2126" s="4">
        <v>0</v>
      </c>
      <c r="G2126" s="4">
        <v>146</v>
      </c>
      <c r="H2126" s="12" t="str">
        <f t="array" ref="H2126">IF(G2126:G6168="","",_xlfn.XLOOKUP(G2126:G6168,castles_state!A:A,castles_state!D:D,"見つかりません"))</f>
      </c>
      <c r="I2126" s="4"/>
      <c r="J2126" s="12" t="str">
        <f t="array" ref="J2126">IF(I2126:I6168="","",_xlfn.XLOOKUP(I2126:I6168,'参照_姫'!A:A,'参照_姫'!B:B,"見つかりません"))</f>
      </c>
      <c r="K2126" s="4">
        <v>95</v>
      </c>
      <c r="L2126" s="4">
        <v>0</v>
      </c>
      <c r="M2126" s="4"/>
      <c r="N2126" s="4"/>
      <c r="O2126" s="4"/>
      <c r="P2126" s="12" t="str">
        <f t="array" ref="P2126">IF(O2126:O6168="","",_xlfn.XLOOKUP(O2126:O6168,'参照_官位'!A:A,'参照_官位'!B:B,""))</f>
      </c>
      <c r="Q2126" s="12" t="str">
        <f t="array" ref="Q2126">IF(A2126:A6168="","",IFERROR(_xlfn.XLOOKUP(A2126:A6168,castles_state!K:K,castles_state!D:D)&amp;"主",IFERROR(_xlfn.XLOOKUP(A2126:A6168,kunishuClan!D:D,kunishuClan!B:B)&amp;"当主","")))</f>
      </c>
    </row>
    <row r="2127" ht="15.75" customHeight="1">
      <c r="A2127" s="4">
        <v>1053056</v>
      </c>
      <c r="B2127" s="12" t="str">
        <f t="array" ref="B2127">IF(A2127:A6169="","",_xlfn.XLOOKUP(A2127:A6169,'参照_武将'!A:A,'参照_武将'!B:B,"見つかりません"))</f>
      </c>
      <c r="C2127" s="4" t="s">
        <v>259</v>
      </c>
      <c r="D2127" s="4">
        <v>53</v>
      </c>
      <c r="E2127" s="12" t="str">
        <f t="array" ref="E2127">IF(D2127:D6169="","",IFERROR(_xlfn.XLOOKUP(D2127:D6169,'参照_勢力'!A:A,'参照_勢力'!B:B),IFERROR(_xlfn.XLOOKUP(F2127:F6169,kunishuClan!A:A,kunishuClan!B:B),"浪人")))</f>
      </c>
      <c r="F2127" s="4">
        <v>0</v>
      </c>
      <c r="G2127" s="4">
        <v>150</v>
      </c>
      <c r="H2127" s="12" t="str">
        <f t="array" ref="H2127">IF(G2127:G6169="","",_xlfn.XLOOKUP(G2127:G6169,castles_state!A:A,castles_state!D:D,"見つかりません"))</f>
      </c>
      <c r="I2127" s="4"/>
      <c r="J2127" s="12" t="str">
        <f t="array" ref="J2127">IF(I2127:I6169="","",_xlfn.XLOOKUP(I2127:I6169,'参照_姫'!A:A,'参照_姫'!B:B,"見つかりません"))</f>
      </c>
      <c r="K2127" s="4">
        <v>90</v>
      </c>
      <c r="L2127" s="4">
        <v>0</v>
      </c>
      <c r="M2127" s="4"/>
      <c r="N2127" s="4"/>
      <c r="O2127" s="4"/>
      <c r="P2127" s="12" t="str">
        <f t="array" ref="P2127">IF(O2127:O6169="","",_xlfn.XLOOKUP(O2127:O6169,'参照_官位'!A:A,'参照_官位'!B:B,""))</f>
      </c>
      <c r="Q2127" s="12" t="str">
        <f t="array" ref="Q2127">IF(A2127:A6169="","",IFERROR(_xlfn.XLOOKUP(A2127:A6169,castles_state!K:K,castles_state!D:D)&amp;"主",IFERROR(_xlfn.XLOOKUP(A2127:A6169,kunishuClan!D:D,kunishuClan!B:B)&amp;"当主","")))</f>
      </c>
    </row>
    <row r="2128" ht="15.75" customHeight="1">
      <c r="A2128" s="4">
        <v>1053057</v>
      </c>
      <c r="B2128" s="12" t="str">
        <f t="array" ref="B2128">IF(A2128:A6170="","",_xlfn.XLOOKUP(A2128:A6170,'参照_武将'!A:A,'参照_武将'!B:B,"見つかりません"))</f>
      </c>
      <c r="C2128" s="4" t="s">
        <v>259</v>
      </c>
      <c r="D2128" s="4">
        <v>53</v>
      </c>
      <c r="E2128" s="12" t="str">
        <f t="array" ref="E2128">IF(D2128:D6170="","",IFERROR(_xlfn.XLOOKUP(D2128:D6170,'参照_勢力'!A:A,'参照_勢力'!B:B),IFERROR(_xlfn.XLOOKUP(F2128:F6170,kunishuClan!A:A,kunishuClan!B:B),"浪人")))</f>
      </c>
      <c r="F2128" s="4">
        <v>0</v>
      </c>
      <c r="G2128" s="4">
        <v>146</v>
      </c>
      <c r="H2128" s="12" t="str">
        <f t="array" ref="H2128">IF(G2128:G6170="","",_xlfn.XLOOKUP(G2128:G6170,castles_state!A:A,castles_state!D:D,"見つかりません"))</f>
      </c>
      <c r="I2128" s="4"/>
      <c r="J2128" s="12" t="str">
        <f t="array" ref="J2128">IF(I2128:I6170="","",_xlfn.XLOOKUP(I2128:I6170,'参照_姫'!A:A,'参照_姫'!B:B,"見つかりません"))</f>
      </c>
      <c r="K2128" s="4">
        <v>95</v>
      </c>
      <c r="L2128" s="4">
        <v>500</v>
      </c>
      <c r="M2128" s="4" t="b">
        <v>1</v>
      </c>
      <c r="N2128" s="4"/>
      <c r="O2128" s="4"/>
      <c r="P2128" s="12" t="str">
        <f t="array" ref="P2128">IF(O2128:O6170="","",_xlfn.XLOOKUP(O2128:O6170,'参照_官位'!A:A,'参照_官位'!B:B,""))</f>
      </c>
      <c r="Q2128" s="12" t="str">
        <f t="array" ref="Q2128">IF(A2128:A6170="","",IFERROR(_xlfn.XLOOKUP(A2128:A6170,castles_state!K:K,castles_state!D:D)&amp;"主",IFERROR(_xlfn.XLOOKUP(A2128:A6170,kunishuClan!D:D,kunishuClan!B:B)&amp;"当主","")))</f>
      </c>
    </row>
    <row r="2129" ht="15.75" customHeight="1">
      <c r="A2129" s="4">
        <v>1053058</v>
      </c>
      <c r="B2129" s="12" t="str">
        <f t="array" ref="B2129">IF(A2129:A6171="","",_xlfn.XLOOKUP(A2129:A6171,'参照_武将'!A:A,'参照_武将'!B:B,"見つかりません"))</f>
      </c>
      <c r="C2129" s="4" t="s">
        <v>259</v>
      </c>
      <c r="D2129" s="4">
        <v>53</v>
      </c>
      <c r="E2129" s="12" t="str">
        <f t="array" ref="E2129">IF(D2129:D6171="","",IFERROR(_xlfn.XLOOKUP(D2129:D6171,'参照_勢力'!A:A,'参照_勢力'!B:B),IFERROR(_xlfn.XLOOKUP(F2129:F6171,kunishuClan!A:A,kunishuClan!B:B),"浪人")))</f>
      </c>
      <c r="F2129" s="4">
        <v>0</v>
      </c>
      <c r="G2129" s="4">
        <v>146</v>
      </c>
      <c r="H2129" s="12" t="str">
        <f t="array" ref="H2129">IF(G2129:G6171="","",_xlfn.XLOOKUP(G2129:G6171,castles_state!A:A,castles_state!D:D,"見つかりません"))</f>
      </c>
      <c r="I2129" s="4"/>
      <c r="J2129" s="12" t="str">
        <f t="array" ref="J2129">IF(I2129:I6171="","",_xlfn.XLOOKUP(I2129:I6171,'参照_姫'!A:A,'参照_姫'!B:B,"見つかりません"))</f>
      </c>
      <c r="K2129" s="4">
        <v>95</v>
      </c>
      <c r="L2129" s="4">
        <v>0</v>
      </c>
      <c r="M2129" s="4"/>
      <c r="N2129" s="4"/>
      <c r="O2129" s="4"/>
      <c r="P2129" s="12" t="str">
        <f t="array" ref="P2129">IF(O2129:O6171="","",_xlfn.XLOOKUP(O2129:O6171,'参照_官位'!A:A,'参照_官位'!B:B,""))</f>
      </c>
      <c r="Q2129" s="12" t="str">
        <f t="array" ref="Q2129">IF(A2129:A6171="","",IFERROR(_xlfn.XLOOKUP(A2129:A6171,castles_state!K:K,castles_state!D:D)&amp;"主",IFERROR(_xlfn.XLOOKUP(A2129:A6171,kunishuClan!D:D,kunishuClan!B:B)&amp;"当主","")))</f>
      </c>
    </row>
    <row r="2130" ht="15.75" customHeight="1">
      <c r="A2130" s="4">
        <v>1053059</v>
      </c>
      <c r="B2130" s="12" t="str">
        <f t="array" ref="B2130">IF(A2130:A6172="","",_xlfn.XLOOKUP(A2130:A6172,'参照_武将'!A:A,'参照_武将'!B:B,"見つかりません"))</f>
      </c>
      <c r="C2130" s="4" t="s">
        <v>259</v>
      </c>
      <c r="D2130" s="4">
        <v>53</v>
      </c>
      <c r="E2130" s="12" t="str">
        <f t="array" ref="E2130">IF(D2130:D6172="","",IFERROR(_xlfn.XLOOKUP(D2130:D6172,'参照_勢力'!A:A,'参照_勢力'!B:B),IFERROR(_xlfn.XLOOKUP(F2130:F6172,kunishuClan!A:A,kunishuClan!B:B),"浪人")))</f>
      </c>
      <c r="F2130" s="4">
        <v>0</v>
      </c>
      <c r="G2130" s="4">
        <v>146</v>
      </c>
      <c r="H2130" s="12" t="str">
        <f t="array" ref="H2130">IF(G2130:G6172="","",_xlfn.XLOOKUP(G2130:G6172,castles_state!A:A,castles_state!D:D,"見つかりません"))</f>
      </c>
      <c r="I2130" s="4"/>
      <c r="J2130" s="12" t="str">
        <f t="array" ref="J2130">IF(I2130:I6172="","",_xlfn.XLOOKUP(I2130:I6172,'参照_姫'!A:A,'参照_姫'!B:B,"見つかりません"))</f>
      </c>
      <c r="K2130" s="4">
        <v>95</v>
      </c>
      <c r="L2130" s="4">
        <v>0</v>
      </c>
      <c r="M2130" s="4"/>
      <c r="N2130" s="4"/>
      <c r="O2130" s="4"/>
      <c r="P2130" s="12" t="str">
        <f t="array" ref="P2130">IF(O2130:O6172="","",_xlfn.XLOOKUP(O2130:O6172,'参照_官位'!A:A,'参照_官位'!B:B,""))</f>
      </c>
      <c r="Q2130" s="12" t="str">
        <f t="array" ref="Q2130">IF(A2130:A6172="","",IFERROR(_xlfn.XLOOKUP(A2130:A6172,castles_state!K:K,castles_state!D:D)&amp;"主",IFERROR(_xlfn.XLOOKUP(A2130:A6172,kunishuClan!D:D,kunishuClan!B:B)&amp;"当主","")))</f>
      </c>
    </row>
    <row r="2131" ht="15.75" customHeight="1">
      <c r="A2131" s="4">
        <v>1053060</v>
      </c>
      <c r="B2131" s="12" t="str">
        <f t="array" ref="B2131">IF(A2131:A6173="","",_xlfn.XLOOKUP(A2131:A6173,'参照_武将'!A:A,'参照_武将'!B:B,"見つかりません"))</f>
      </c>
      <c r="C2131" s="4" t="s">
        <v>259</v>
      </c>
      <c r="D2131" s="4">
        <v>53</v>
      </c>
      <c r="E2131" s="12" t="str">
        <f t="array" ref="E2131">IF(D2131:D6173="","",IFERROR(_xlfn.XLOOKUP(D2131:D6173,'参照_勢力'!A:A,'参照_勢力'!B:B),IFERROR(_xlfn.XLOOKUP(F2131:F6173,kunishuClan!A:A,kunishuClan!B:B),"浪人")))</f>
      </c>
      <c r="F2131" s="4">
        <v>0</v>
      </c>
      <c r="G2131" s="4">
        <v>146</v>
      </c>
      <c r="H2131" s="12" t="str">
        <f t="array" ref="H2131">IF(G2131:G6173="","",_xlfn.XLOOKUP(G2131:G6173,castles_state!A:A,castles_state!D:D,"見つかりません"))</f>
      </c>
      <c r="I2131" s="4"/>
      <c r="J2131" s="12" t="str">
        <f t="array" ref="J2131">IF(I2131:I6173="","",_xlfn.XLOOKUP(I2131:I6173,'参照_姫'!A:A,'参照_姫'!B:B,"見つかりません"))</f>
      </c>
      <c r="K2131" s="4">
        <v>95</v>
      </c>
      <c r="L2131" s="4">
        <v>0</v>
      </c>
      <c r="M2131" s="4"/>
      <c r="N2131" s="4"/>
      <c r="O2131" s="4"/>
      <c r="P2131" s="12" t="str">
        <f t="array" ref="P2131">IF(O2131:O6173="","",_xlfn.XLOOKUP(O2131:O6173,'参照_官位'!A:A,'参照_官位'!B:B,""))</f>
      </c>
      <c r="Q2131" s="12" t="str">
        <f t="array" ref="Q2131">IF(A2131:A6173="","",IFERROR(_xlfn.XLOOKUP(A2131:A6173,castles_state!K:K,castles_state!D:D)&amp;"主",IFERROR(_xlfn.XLOOKUP(A2131:A6173,kunishuClan!D:D,kunishuClan!B:B)&amp;"当主","")))</f>
      </c>
    </row>
    <row r="2132" ht="15.75" customHeight="1">
      <c r="A2132" s="4">
        <v>1054001</v>
      </c>
      <c r="B2132" s="12" t="str">
        <f t="array" ref="B2132">IF(A2132:A6172="","",_xlfn.XLOOKUP(A2132:A6172,'参照_武将'!A:A,'参照_武将'!B:B,"見つかりません"))</f>
      </c>
      <c r="C2132" s="4" t="s">
        <v>264</v>
      </c>
      <c r="D2132" s="4">
        <v>54</v>
      </c>
      <c r="E2132" s="12" t="str">
        <f t="array" ref="E2132">IF(D2132:D6172="","",IFERROR(_xlfn.XLOOKUP(D2132:D6172,'参照_勢力'!A:A,'参照_勢力'!B:B),IFERROR(_xlfn.XLOOKUP(F2132:F6172,kunishuClan!A:A,kunishuClan!B:B),"浪人")))</f>
      </c>
      <c r="F2132" s="4">
        <v>0</v>
      </c>
      <c r="G2132" s="4">
        <v>152</v>
      </c>
      <c r="H2132" s="12" t="str">
        <f t="array" ref="H2132">IF(G2132:G6172="","",_xlfn.XLOOKUP(G2132:G6172,castles_state!A:A,castles_state!D:D,"見つかりません"))</f>
      </c>
      <c r="I2132" s="4"/>
      <c r="J2132" s="12" t="str">
        <f t="array" ref="J2132">IF(I2132:I6172="","",_xlfn.XLOOKUP(I2132:I6172,'参照_姫'!A:A,'参照_姫'!B:B,"見つかりません"))</f>
      </c>
      <c r="K2132" s="4">
        <v>95</v>
      </c>
      <c r="L2132" s="4">
        <v>0</v>
      </c>
      <c r="M2132" s="4"/>
      <c r="N2132" s="4"/>
      <c r="O2132" s="4"/>
      <c r="P2132" s="12" t="str">
        <f t="array" ref="P2132">IF(O2132:O6172="","",_xlfn.XLOOKUP(O2132:O6172,'参照_官位'!A:A,'参照_官位'!B:B,""))</f>
      </c>
      <c r="Q2132" s="12" t="str">
        <f t="array" ref="Q2132">IF(A2132:A6172="","",IFERROR(_xlfn.XLOOKUP(A2132:A6172,castles_state!K:K,castles_state!D:D)&amp;"主",IFERROR(_xlfn.XLOOKUP(A2132:A6172,kunishuClan!D:D,kunishuClan!B:B)&amp;"当主","")))</f>
      </c>
    </row>
    <row r="2133" ht="15.75" customHeight="1">
      <c r="A2133" s="4">
        <v>1054002</v>
      </c>
      <c r="B2133" s="12" t="str">
        <f t="array" ref="B2133">IF(A2133:A6173="","",_xlfn.XLOOKUP(A2133:A6173,'参照_武将'!A:A,'参照_武将'!B:B,"見つかりません"))</f>
      </c>
      <c r="C2133" s="4" t="s">
        <v>264</v>
      </c>
      <c r="D2133" s="4">
        <v>54</v>
      </c>
      <c r="E2133" s="12" t="str">
        <f t="array" ref="E2133">IF(D2133:D6173="","",IFERROR(_xlfn.XLOOKUP(D2133:D6173,'参照_勢力'!A:A,'参照_勢力'!B:B),IFERROR(_xlfn.XLOOKUP(F2133:F6173,kunishuClan!A:A,kunishuClan!B:B),"浪人")))</f>
      </c>
      <c r="F2133" s="4">
        <v>0</v>
      </c>
      <c r="G2133" s="4">
        <v>152</v>
      </c>
      <c r="H2133" s="12" t="str">
        <f t="array" ref="H2133">IF(G2133:G6173="","",_xlfn.XLOOKUP(G2133:G6173,castles_state!A:A,castles_state!D:D,"見つかりません"))</f>
      </c>
      <c r="I2133" s="4"/>
      <c r="J2133" s="12" t="str">
        <f t="array" ref="J2133">IF(I2133:I6173="","",_xlfn.XLOOKUP(I2133:I6173,'参照_姫'!A:A,'参照_姫'!B:B,"見つかりません"))</f>
      </c>
      <c r="K2133" s="4">
        <v>95</v>
      </c>
      <c r="L2133" s="4">
        <v>0</v>
      </c>
      <c r="M2133" s="4"/>
      <c r="N2133" s="4"/>
      <c r="O2133" s="4"/>
      <c r="P2133" s="12" t="str">
        <f t="array" ref="P2133">IF(O2133:O6173="","",_xlfn.XLOOKUP(O2133:O6173,'参照_官位'!A:A,'参照_官位'!B:B,""))</f>
      </c>
      <c r="Q2133" s="12" t="str">
        <f t="array" ref="Q2133">IF(A2133:A6173="","",IFERROR(_xlfn.XLOOKUP(A2133:A6173,castles_state!K:K,castles_state!D:D)&amp;"主",IFERROR(_xlfn.XLOOKUP(A2133:A6173,kunishuClan!D:D,kunishuClan!B:B)&amp;"当主","")))</f>
      </c>
    </row>
    <row r="2134" ht="15.75" customHeight="1">
      <c r="A2134" s="4">
        <v>1054003</v>
      </c>
      <c r="B2134" s="12" t="str">
        <f t="array" ref="B2134">IF(A2134:A6174="","",_xlfn.XLOOKUP(A2134:A6174,'参照_武将'!A:A,'参照_武将'!B:B,"見つかりません"))</f>
      </c>
      <c r="C2134" s="4" t="s">
        <v>264</v>
      </c>
      <c r="D2134" s="4">
        <v>54</v>
      </c>
      <c r="E2134" s="12" t="str">
        <f t="array" ref="E2134">IF(D2134:D6174="","",IFERROR(_xlfn.XLOOKUP(D2134:D6174,'参照_勢力'!A:A,'参照_勢力'!B:B),IFERROR(_xlfn.XLOOKUP(F2134:F6174,kunishuClan!A:A,kunishuClan!B:B),"浪人")))</f>
      </c>
      <c r="F2134" s="4">
        <v>0</v>
      </c>
      <c r="G2134" s="4">
        <v>152</v>
      </c>
      <c r="H2134" s="12" t="str">
        <f t="array" ref="H2134">IF(G2134:G6174="","",_xlfn.XLOOKUP(G2134:G6174,castles_state!A:A,castles_state!D:D,"見つかりません"))</f>
      </c>
      <c r="I2134" s="4"/>
      <c r="J2134" s="12" t="str">
        <f t="array" ref="J2134">IF(I2134:I6174="","",_xlfn.XLOOKUP(I2134:I6174,'参照_姫'!A:A,'参照_姫'!B:B,"見つかりません"))</f>
      </c>
      <c r="K2134" s="4">
        <v>95</v>
      </c>
      <c r="L2134" s="4">
        <v>0</v>
      </c>
      <c r="M2134" s="4"/>
      <c r="N2134" s="4"/>
      <c r="O2134" s="4"/>
      <c r="P2134" s="12" t="str">
        <f t="array" ref="P2134">IF(O2134:O6174="","",_xlfn.XLOOKUP(O2134:O6174,'参照_官位'!A:A,'参照_官位'!B:B,""))</f>
      </c>
      <c r="Q2134" s="12" t="str">
        <f t="array" ref="Q2134">IF(A2134:A6174="","",IFERROR(_xlfn.XLOOKUP(A2134:A6174,castles_state!K:K,castles_state!D:D)&amp;"主",IFERROR(_xlfn.XLOOKUP(A2134:A6174,kunishuClan!D:D,kunishuClan!B:B)&amp;"当主","")))</f>
      </c>
    </row>
    <row r="2135" ht="15.75" customHeight="1">
      <c r="A2135" s="4">
        <v>1054004</v>
      </c>
      <c r="B2135" s="12" t="str">
        <f t="array" ref="B2135">IF(A2135:A6175="","",_xlfn.XLOOKUP(A2135:A6175,'参照_武将'!A:A,'参照_武将'!B:B,"見つかりません"))</f>
      </c>
      <c r="C2135" s="4" t="s">
        <v>264</v>
      </c>
      <c r="D2135" s="4">
        <v>54</v>
      </c>
      <c r="E2135" s="12" t="str">
        <f t="array" ref="E2135">IF(D2135:D6175="","",IFERROR(_xlfn.XLOOKUP(D2135:D6175,'参照_勢力'!A:A,'参照_勢力'!B:B),IFERROR(_xlfn.XLOOKUP(F2135:F6175,kunishuClan!A:A,kunishuClan!B:B),"浪人")))</f>
      </c>
      <c r="F2135" s="4">
        <v>0</v>
      </c>
      <c r="G2135" s="4">
        <v>152</v>
      </c>
      <c r="H2135" s="12" t="str">
        <f t="array" ref="H2135">IF(G2135:G6175="","",_xlfn.XLOOKUP(G2135:G6175,castles_state!A:A,castles_state!D:D,"見つかりません"))</f>
      </c>
      <c r="I2135" s="4"/>
      <c r="J2135" s="12" t="str">
        <f t="array" ref="J2135">IF(I2135:I6175="","",_xlfn.XLOOKUP(I2135:I6175,'参照_姫'!A:A,'参照_姫'!B:B,"見つかりません"))</f>
      </c>
      <c r="K2135" s="4">
        <v>95</v>
      </c>
      <c r="L2135" s="4">
        <v>0</v>
      </c>
      <c r="M2135" s="4"/>
      <c r="N2135" s="4"/>
      <c r="O2135" s="4"/>
      <c r="P2135" s="12" t="str">
        <f t="array" ref="P2135">IF(O2135:O6175="","",_xlfn.XLOOKUP(O2135:O6175,'参照_官位'!A:A,'参照_官位'!B:B,""))</f>
      </c>
      <c r="Q2135" s="12" t="str">
        <f t="array" ref="Q2135">IF(A2135:A6175="","",IFERROR(_xlfn.XLOOKUP(A2135:A6175,castles_state!K:K,castles_state!D:D)&amp;"主",IFERROR(_xlfn.XLOOKUP(A2135:A6175,kunishuClan!D:D,kunishuClan!B:B)&amp;"当主","")))</f>
      </c>
    </row>
    <row r="2136" ht="15.75" customHeight="1">
      <c r="A2136" s="4">
        <v>1054005</v>
      </c>
      <c r="B2136" s="12" t="str">
        <f t="array" ref="B2136">IF(A2136:A6176="","",_xlfn.XLOOKUP(A2136:A6176,'参照_武将'!A:A,'参照_武将'!B:B,"見つかりません"))</f>
      </c>
      <c r="C2136" s="4" t="s">
        <v>264</v>
      </c>
      <c r="D2136" s="4">
        <v>54</v>
      </c>
      <c r="E2136" s="12" t="str">
        <f t="array" ref="E2136">IF(D2136:D6176="","",IFERROR(_xlfn.XLOOKUP(D2136:D6176,'参照_勢力'!A:A,'参照_勢力'!B:B),IFERROR(_xlfn.XLOOKUP(F2136:F6176,kunishuClan!A:A,kunishuClan!B:B),"浪人")))</f>
      </c>
      <c r="F2136" s="4">
        <v>0</v>
      </c>
      <c r="G2136" s="4">
        <v>152</v>
      </c>
      <c r="H2136" s="12" t="str">
        <f t="array" ref="H2136">IF(G2136:G6176="","",_xlfn.XLOOKUP(G2136:G6176,castles_state!A:A,castles_state!D:D,"見つかりません"))</f>
      </c>
      <c r="I2136" s="4"/>
      <c r="J2136" s="12" t="str">
        <f t="array" ref="J2136">IF(I2136:I6176="","",_xlfn.XLOOKUP(I2136:I6176,'参照_姫'!A:A,'参照_姫'!B:B,"見つかりません"))</f>
      </c>
      <c r="K2136" s="4">
        <v>95</v>
      </c>
      <c r="L2136" s="4">
        <v>0</v>
      </c>
      <c r="M2136" s="4"/>
      <c r="N2136" s="4"/>
      <c r="O2136" s="4"/>
      <c r="P2136" s="12" t="str">
        <f t="array" ref="P2136">IF(O2136:O6176="","",_xlfn.XLOOKUP(O2136:O6176,'参照_官位'!A:A,'参照_官位'!B:B,""))</f>
      </c>
      <c r="Q2136" s="12" t="str">
        <f t="array" ref="Q2136">IF(A2136:A6176="","",IFERROR(_xlfn.XLOOKUP(A2136:A6176,castles_state!K:K,castles_state!D:D)&amp;"主",IFERROR(_xlfn.XLOOKUP(A2136:A6176,kunishuClan!D:D,kunishuClan!B:B)&amp;"当主","")))</f>
      </c>
    </row>
    <row r="2137" ht="15.75" customHeight="1">
      <c r="A2137" s="4">
        <v>1054006</v>
      </c>
      <c r="B2137" s="12" t="str">
        <f t="array" ref="B2137">IF(A2137:A6177="","",_xlfn.XLOOKUP(A2137:A6177,'参照_武将'!A:A,'参照_武将'!B:B,"見つかりません"))</f>
      </c>
      <c r="C2137" s="4" t="s">
        <v>264</v>
      </c>
      <c r="D2137" s="4">
        <v>54</v>
      </c>
      <c r="E2137" s="12" t="str">
        <f t="array" ref="E2137">IF(D2137:D6177="","",IFERROR(_xlfn.XLOOKUP(D2137:D6177,'参照_勢力'!A:A,'参照_勢力'!B:B),IFERROR(_xlfn.XLOOKUP(F2137:F6177,kunishuClan!A:A,kunishuClan!B:B),"浪人")))</f>
      </c>
      <c r="F2137" s="4">
        <v>0</v>
      </c>
      <c r="G2137" s="4">
        <v>152</v>
      </c>
      <c r="H2137" s="12" t="str">
        <f t="array" ref="H2137">IF(G2137:G6177="","",_xlfn.XLOOKUP(G2137:G6177,castles_state!A:A,castles_state!D:D,"見つかりません"))</f>
      </c>
      <c r="I2137" s="4"/>
      <c r="J2137" s="12" t="str">
        <f t="array" ref="J2137">IF(I2137:I6177="","",_xlfn.XLOOKUP(I2137:I6177,'参照_姫'!A:A,'参照_姫'!B:B,"見つかりません"))</f>
      </c>
      <c r="K2137" s="4">
        <v>95</v>
      </c>
      <c r="L2137" s="4">
        <v>300</v>
      </c>
      <c r="M2137" s="4"/>
      <c r="N2137" s="4"/>
      <c r="O2137" s="4"/>
      <c r="P2137" s="12" t="str">
        <f t="array" ref="P2137">IF(O2137:O6177="","",_xlfn.XLOOKUP(O2137:O6177,'参照_官位'!A:A,'参照_官位'!B:B,""))</f>
      </c>
      <c r="Q2137" s="12" t="str">
        <f t="array" ref="Q2137">IF(A2137:A6177="","",IFERROR(_xlfn.XLOOKUP(A2137:A6177,castles_state!K:K,castles_state!D:D)&amp;"主",IFERROR(_xlfn.XLOOKUP(A2137:A6177,kunishuClan!D:D,kunishuClan!B:B)&amp;"当主","")))</f>
      </c>
    </row>
    <row r="2138" ht="15.75" customHeight="1">
      <c r="A2138" s="4">
        <v>1054007</v>
      </c>
      <c r="B2138" s="12" t="str">
        <f t="array" ref="B2138">IF(A2138:A6178="","",_xlfn.XLOOKUP(A2138:A6178,'参照_武将'!A:A,'参照_武将'!B:B,"見つかりません"))</f>
      </c>
      <c r="C2138" s="4" t="s">
        <v>264</v>
      </c>
      <c r="D2138" s="4">
        <v>54</v>
      </c>
      <c r="E2138" s="12" t="str">
        <f t="array" ref="E2138">IF(D2138:D6178="","",IFERROR(_xlfn.XLOOKUP(D2138:D6178,'参照_勢力'!A:A,'参照_勢力'!B:B),IFERROR(_xlfn.XLOOKUP(F2138:F6178,kunishuClan!A:A,kunishuClan!B:B),"浪人")))</f>
      </c>
      <c r="F2138" s="4">
        <v>0</v>
      </c>
      <c r="G2138" s="4">
        <v>152</v>
      </c>
      <c r="H2138" s="12" t="str">
        <f t="array" ref="H2138">IF(G2138:G6178="","",_xlfn.XLOOKUP(G2138:G6178,castles_state!A:A,castles_state!D:D,"見つかりません"))</f>
      </c>
      <c r="I2138" s="4"/>
      <c r="J2138" s="12" t="str">
        <f t="array" ref="J2138">IF(I2138:I6178="","",_xlfn.XLOOKUP(I2138:I6178,'参照_姫'!A:A,'参照_姫'!B:B,"見つかりません"))</f>
      </c>
      <c r="K2138" s="4">
        <v>95</v>
      </c>
      <c r="L2138" s="4">
        <v>0</v>
      </c>
      <c r="M2138" s="4"/>
      <c r="N2138" s="4"/>
      <c r="O2138" s="4"/>
      <c r="P2138" s="12" t="str">
        <f t="array" ref="P2138">IF(O2138:O6178="","",_xlfn.XLOOKUP(O2138:O6178,'参照_官位'!A:A,'参照_官位'!B:B,""))</f>
      </c>
      <c r="Q2138" s="12" t="str">
        <f t="array" ref="Q2138">IF(A2138:A6178="","",IFERROR(_xlfn.XLOOKUP(A2138:A6178,castles_state!K:K,castles_state!D:D)&amp;"主",IFERROR(_xlfn.XLOOKUP(A2138:A6178,kunishuClan!D:D,kunishuClan!B:B)&amp;"当主","")))</f>
      </c>
    </row>
    <row r="2139" ht="15.75" customHeight="1">
      <c r="A2139" s="4">
        <v>1054008</v>
      </c>
      <c r="B2139" s="12" t="str">
        <f t="array" ref="B2139">IF(A2139:A6179="","",_xlfn.XLOOKUP(A2139:A6179,'参照_武将'!A:A,'参照_武将'!B:B,"見つかりません"))</f>
      </c>
      <c r="C2139" s="4" t="s">
        <v>264</v>
      </c>
      <c r="D2139" s="4">
        <v>54</v>
      </c>
      <c r="E2139" s="12" t="str">
        <f t="array" ref="E2139">IF(D2139:D6179="","",IFERROR(_xlfn.XLOOKUP(D2139:D6179,'参照_勢力'!A:A,'参照_勢力'!B:B),IFERROR(_xlfn.XLOOKUP(F2139:F6179,kunishuClan!A:A,kunishuClan!B:B),"浪人")))</f>
      </c>
      <c r="F2139" s="4">
        <v>0</v>
      </c>
      <c r="G2139" s="4">
        <v>152</v>
      </c>
      <c r="H2139" s="12" t="str">
        <f t="array" ref="H2139">IF(G2139:G6179="","",_xlfn.XLOOKUP(G2139:G6179,castles_state!A:A,castles_state!D:D,"見つかりません"))</f>
      </c>
      <c r="I2139" s="4"/>
      <c r="J2139" s="12" t="str">
        <f t="array" ref="J2139">IF(I2139:I6179="","",_xlfn.XLOOKUP(I2139:I6179,'参照_姫'!A:A,'参照_姫'!B:B,"見つかりません"))</f>
      </c>
      <c r="K2139" s="4">
        <v>95</v>
      </c>
      <c r="L2139" s="4">
        <v>0</v>
      </c>
      <c r="M2139" s="4"/>
      <c r="N2139" s="4"/>
      <c r="O2139" s="4"/>
      <c r="P2139" s="12" t="str">
        <f t="array" ref="P2139">IF(O2139:O6179="","",_xlfn.XLOOKUP(O2139:O6179,'参照_官位'!A:A,'参照_官位'!B:B,""))</f>
      </c>
      <c r="Q2139" s="12" t="str">
        <f t="array" ref="Q2139">IF(A2139:A6179="","",IFERROR(_xlfn.XLOOKUP(A2139:A6179,castles_state!K:K,castles_state!D:D)&amp;"主",IFERROR(_xlfn.XLOOKUP(A2139:A6179,kunishuClan!D:D,kunishuClan!B:B)&amp;"当主","")))</f>
      </c>
    </row>
    <row r="2140" ht="15.75" customHeight="1">
      <c r="A2140" s="4">
        <v>1054009</v>
      </c>
      <c r="B2140" s="12" t="str">
        <f t="array" ref="B2140">IF(A2140:A6180="","",_xlfn.XLOOKUP(A2140:A6180,'参照_武将'!A:A,'参照_武将'!B:B,"見つかりません"))</f>
      </c>
      <c r="C2140" s="4" t="s">
        <v>264</v>
      </c>
      <c r="D2140" s="4">
        <v>54</v>
      </c>
      <c r="E2140" s="12" t="str">
        <f t="array" ref="E2140">IF(D2140:D6180="","",IFERROR(_xlfn.XLOOKUP(D2140:D6180,'参照_勢力'!A:A,'参照_勢力'!B:B),IFERROR(_xlfn.XLOOKUP(F2140:F6180,kunishuClan!A:A,kunishuClan!B:B),"浪人")))</f>
      </c>
      <c r="F2140" s="4">
        <v>0</v>
      </c>
      <c r="G2140" s="4">
        <v>152</v>
      </c>
      <c r="H2140" s="12" t="str">
        <f t="array" ref="H2140">IF(G2140:G6180="","",_xlfn.XLOOKUP(G2140:G6180,castles_state!A:A,castles_state!D:D,"見つかりません"))</f>
      </c>
      <c r="I2140" s="4"/>
      <c r="J2140" s="12" t="str">
        <f t="array" ref="J2140">IF(I2140:I6180="","",_xlfn.XLOOKUP(I2140:I6180,'参照_姫'!A:A,'参照_姫'!B:B,"見つかりません"))</f>
      </c>
      <c r="K2140" s="4">
        <v>95</v>
      </c>
      <c r="L2140" s="4">
        <v>0</v>
      </c>
      <c r="M2140" s="4"/>
      <c r="N2140" s="4"/>
      <c r="O2140" s="4"/>
      <c r="P2140" s="12" t="str">
        <f t="array" ref="P2140">IF(O2140:O6180="","",_xlfn.XLOOKUP(O2140:O6180,'参照_官位'!A:A,'参照_官位'!B:B,""))</f>
      </c>
      <c r="Q2140" s="12" t="str">
        <f t="array" ref="Q2140">IF(A2140:A6180="","",IFERROR(_xlfn.XLOOKUP(A2140:A6180,castles_state!K:K,castles_state!D:D)&amp;"主",IFERROR(_xlfn.XLOOKUP(A2140:A6180,kunishuClan!D:D,kunishuClan!B:B)&amp;"当主","")))</f>
      </c>
    </row>
    <row r="2141" ht="15.75" customHeight="1">
      <c r="A2141" s="4">
        <v>1054010</v>
      </c>
      <c r="B2141" s="12" t="str">
        <f t="array" ref="B2141">IF(A2141:A6181="","",_xlfn.XLOOKUP(A2141:A6181,'参照_武将'!A:A,'参照_武将'!B:B,"見つかりません"))</f>
      </c>
      <c r="C2141" s="4" t="s">
        <v>264</v>
      </c>
      <c r="D2141" s="4">
        <v>54</v>
      </c>
      <c r="E2141" s="12" t="str">
        <f t="array" ref="E2141">IF(D2141:D6181="","",IFERROR(_xlfn.XLOOKUP(D2141:D6181,'参照_勢力'!A:A,'参照_勢力'!B:B),IFERROR(_xlfn.XLOOKUP(F2141:F6181,kunishuClan!A:A,kunishuClan!B:B),"浪人")))</f>
      </c>
      <c r="F2141" s="4">
        <v>0</v>
      </c>
      <c r="G2141" s="4">
        <v>152</v>
      </c>
      <c r="H2141" s="12" t="str">
        <f t="array" ref="H2141">IF(G2141:G6181="","",_xlfn.XLOOKUP(G2141:G6181,castles_state!A:A,castles_state!D:D,"見つかりません"))</f>
      </c>
      <c r="I2141" s="4"/>
      <c r="J2141" s="12" t="str">
        <f t="array" ref="J2141">IF(I2141:I6181="","",_xlfn.XLOOKUP(I2141:I6181,'参照_姫'!A:A,'参照_姫'!B:B,"見つかりません"))</f>
      </c>
      <c r="K2141" s="4">
        <v>100</v>
      </c>
      <c r="L2141" s="4">
        <v>1500</v>
      </c>
      <c r="M2141" s="4"/>
      <c r="N2141" s="4"/>
      <c r="O2141" s="4"/>
      <c r="P2141" s="12" t="str">
        <f t="array" ref="P2141">IF(O2141:O6181="","",_xlfn.XLOOKUP(O2141:O6181,'参照_官位'!A:A,'参照_官位'!B:B,""))</f>
      </c>
      <c r="Q2141" s="12" t="str">
        <f t="array" ref="Q2141">IF(A2141:A6181="","",IFERROR(_xlfn.XLOOKUP(A2141:A6181,castles_state!K:K,castles_state!D:D)&amp;"主",IFERROR(_xlfn.XLOOKUP(A2141:A6181,kunishuClan!D:D,kunishuClan!B:B)&amp;"当主","")))</f>
      </c>
    </row>
    <row r="2142" ht="15.75" customHeight="1">
      <c r="A2142" s="4">
        <v>1054011</v>
      </c>
      <c r="B2142" s="12" t="str">
        <f t="array" ref="B2142">IF(A2142:A6182="","",_xlfn.XLOOKUP(A2142:A6182,'参照_武将'!A:A,'参照_武将'!B:B,"見つかりません"))</f>
      </c>
      <c r="C2142" s="4" t="s">
        <v>264</v>
      </c>
      <c r="D2142" s="4">
        <v>54</v>
      </c>
      <c r="E2142" s="12" t="str">
        <f t="array" ref="E2142">IF(D2142:D6182="","",IFERROR(_xlfn.XLOOKUP(D2142:D6182,'参照_勢力'!A:A,'参照_勢力'!B:B),IFERROR(_xlfn.XLOOKUP(F2142:F6182,kunishuClan!A:A,kunishuClan!B:B),"浪人")))</f>
      </c>
      <c r="F2142" s="4">
        <v>0</v>
      </c>
      <c r="G2142" s="4">
        <v>152</v>
      </c>
      <c r="H2142" s="12" t="str">
        <f t="array" ref="H2142">IF(G2142:G6182="","",_xlfn.XLOOKUP(G2142:G6182,castles_state!A:A,castles_state!D:D,"見つかりません"))</f>
      </c>
      <c r="I2142" s="4"/>
      <c r="J2142" s="12" t="str">
        <f t="array" ref="J2142">IF(I2142:I6182="","",_xlfn.XLOOKUP(I2142:I6182,'参照_姫'!A:A,'参照_姫'!B:B,"見つかりません"))</f>
      </c>
      <c r="K2142" s="4">
        <v>95</v>
      </c>
      <c r="L2142" s="4">
        <v>300</v>
      </c>
      <c r="M2142" s="4"/>
      <c r="N2142" s="4"/>
      <c r="O2142" s="4"/>
      <c r="P2142" s="12" t="str">
        <f t="array" ref="P2142">IF(O2142:O6182="","",_xlfn.XLOOKUP(O2142:O6182,'参照_官位'!A:A,'参照_官位'!B:B,""))</f>
      </c>
      <c r="Q2142" s="12" t="str">
        <f t="array" ref="Q2142">IF(A2142:A6182="","",IFERROR(_xlfn.XLOOKUP(A2142:A6182,castles_state!K:K,castles_state!D:D)&amp;"主",IFERROR(_xlfn.XLOOKUP(A2142:A6182,kunishuClan!D:D,kunishuClan!B:B)&amp;"当主","")))</f>
      </c>
    </row>
    <row r="2143" ht="15.75" customHeight="1">
      <c r="A2143" s="4">
        <v>1054012</v>
      </c>
      <c r="B2143" s="12" t="str">
        <f t="array" ref="B2143">IF(A2143:A6183="","",_xlfn.XLOOKUP(A2143:A6183,'参照_武将'!A:A,'参照_武将'!B:B,"見つかりません"))</f>
      </c>
      <c r="C2143" s="4" t="s">
        <v>264</v>
      </c>
      <c r="D2143" s="4">
        <v>54</v>
      </c>
      <c r="E2143" s="12" t="str">
        <f t="array" ref="E2143">IF(D2143:D6183="","",IFERROR(_xlfn.XLOOKUP(D2143:D6183,'参照_勢力'!A:A,'参照_勢力'!B:B),IFERROR(_xlfn.XLOOKUP(F2143:F6183,kunishuClan!A:A,kunishuClan!B:B),"浪人")))</f>
      </c>
      <c r="F2143" s="4">
        <v>0</v>
      </c>
      <c r="G2143" s="4">
        <v>152</v>
      </c>
      <c r="H2143" s="12" t="str">
        <f t="array" ref="H2143">IF(G2143:G6183="","",_xlfn.XLOOKUP(G2143:G6183,castles_state!A:A,castles_state!D:D,"見つかりません"))</f>
      </c>
      <c r="I2143" s="4"/>
      <c r="J2143" s="12" t="str">
        <f t="array" ref="J2143">IF(I2143:I6183="","",_xlfn.XLOOKUP(I2143:I6183,'参照_姫'!A:A,'参照_姫'!B:B,"見つかりません"))</f>
      </c>
      <c r="K2143" s="4">
        <v>95</v>
      </c>
      <c r="L2143" s="4">
        <v>0</v>
      </c>
      <c r="M2143" s="4"/>
      <c r="N2143" s="4"/>
      <c r="O2143" s="4"/>
      <c r="P2143" s="12" t="str">
        <f t="array" ref="P2143">IF(O2143:O6183="","",_xlfn.XLOOKUP(O2143:O6183,'参照_官位'!A:A,'参照_官位'!B:B,""))</f>
      </c>
      <c r="Q2143" s="12" t="str">
        <f t="array" ref="Q2143">IF(A2143:A6183="","",IFERROR(_xlfn.XLOOKUP(A2143:A6183,castles_state!K:K,castles_state!D:D)&amp;"主",IFERROR(_xlfn.XLOOKUP(A2143:A6183,kunishuClan!D:D,kunishuClan!B:B)&amp;"当主","")))</f>
      </c>
    </row>
    <row r="2144" ht="15.75" customHeight="1">
      <c r="A2144" s="4">
        <v>1054013</v>
      </c>
      <c r="B2144" s="12" t="str">
        <f t="array" ref="B2144">IF(A2144:A6184="","",_xlfn.XLOOKUP(A2144:A6184,'参照_武将'!A:A,'参照_武将'!B:B,"見つかりません"))</f>
      </c>
      <c r="C2144" s="4" t="s">
        <v>264</v>
      </c>
      <c r="D2144" s="4">
        <v>54</v>
      </c>
      <c r="E2144" s="12" t="str">
        <f t="array" ref="E2144">IF(D2144:D6184="","",IFERROR(_xlfn.XLOOKUP(D2144:D6184,'参照_勢力'!A:A,'参照_勢力'!B:B),IFERROR(_xlfn.XLOOKUP(F2144:F6184,kunishuClan!A:A,kunishuClan!B:B),"浪人")))</f>
      </c>
      <c r="F2144" s="4">
        <v>0</v>
      </c>
      <c r="G2144" s="4">
        <v>152</v>
      </c>
      <c r="H2144" s="12" t="str">
        <f t="array" ref="H2144">IF(G2144:G6184="","",_xlfn.XLOOKUP(G2144:G6184,castles_state!A:A,castles_state!D:D,"見つかりません"))</f>
      </c>
      <c r="I2144" s="4"/>
      <c r="J2144" s="12" t="str">
        <f t="array" ref="J2144">IF(I2144:I6184="","",_xlfn.XLOOKUP(I2144:I6184,'参照_姫'!A:A,'参照_姫'!B:B,"見つかりません"))</f>
      </c>
      <c r="K2144" s="4">
        <v>95</v>
      </c>
      <c r="L2144" s="4">
        <v>0</v>
      </c>
      <c r="M2144" s="4"/>
      <c r="N2144" s="4"/>
      <c r="O2144" s="4"/>
      <c r="P2144" s="12" t="str">
        <f t="array" ref="P2144">IF(O2144:O6184="","",_xlfn.XLOOKUP(O2144:O6184,'参照_官位'!A:A,'参照_官位'!B:B,""))</f>
      </c>
      <c r="Q2144" s="12" t="str">
        <f t="array" ref="Q2144">IF(A2144:A6184="","",IFERROR(_xlfn.XLOOKUP(A2144:A6184,castles_state!K:K,castles_state!D:D)&amp;"主",IFERROR(_xlfn.XLOOKUP(A2144:A6184,kunishuClan!D:D,kunishuClan!B:B)&amp;"当主","")))</f>
      </c>
    </row>
    <row r="2145" ht="15.75" customHeight="1">
      <c r="A2145" s="4">
        <v>1054014</v>
      </c>
      <c r="B2145" s="12" t="str">
        <f t="array" ref="B2145">IF(A2145:A6185="","",_xlfn.XLOOKUP(A2145:A6185,'参照_武将'!A:A,'参照_武将'!B:B,"見つかりません"))</f>
      </c>
      <c r="C2145" s="4" t="s">
        <v>5954</v>
      </c>
      <c r="D2145" s="4">
        <v>0</v>
      </c>
      <c r="E2145" s="12" t="str">
        <f t="array" ref="E2145">IF(D2145:D6185="","",IFERROR(_xlfn.XLOOKUP(D2145:D6185,'参照_勢力'!A:A,'参照_勢力'!B:B),IFERROR(_xlfn.XLOOKUP(F2145:F6185,kunishuClan!A:A,kunishuClan!B:B),"浪人")))</f>
      </c>
      <c r="F2145" s="4">
        <v>49</v>
      </c>
      <c r="G2145" s="4">
        <v>154</v>
      </c>
      <c r="H2145" s="12" t="str">
        <f t="array" ref="H2145">IF(G2145:G6185="","",_xlfn.XLOOKUP(G2145:G6185,castles_state!A:A,castles_state!D:D,"見つかりません"))</f>
      </c>
      <c r="I2145" s="4"/>
      <c r="J2145" s="12" t="str">
        <f t="array" ref="J2145">IF(I2145:I6185="","",_xlfn.XLOOKUP(I2145:I6185,'参照_姫'!A:A,'参照_姫'!B:B,"見つかりません"))</f>
      </c>
      <c r="K2145" s="4">
        <v>50</v>
      </c>
      <c r="L2145" s="4">
        <v>0</v>
      </c>
      <c r="M2145" s="4"/>
      <c r="N2145" s="4"/>
      <c r="O2145" s="4"/>
      <c r="P2145" s="12" t="str">
        <f t="array" ref="P2145">IF(O2145:O6185="","",_xlfn.XLOOKUP(O2145:O6185,'参照_官位'!A:A,'参照_官位'!B:B,""))</f>
      </c>
      <c r="Q2145" s="12" t="str">
        <f t="array" ref="Q2145">IF(A2145:A6185="","",IFERROR(_xlfn.XLOOKUP(A2145:A6185,castles_state!K:K,castles_state!D:D)&amp;"主",IFERROR(_xlfn.XLOOKUP(A2145:A6185,kunishuClan!D:D,kunishuClan!B:B)&amp;"当主","")))</f>
      </c>
    </row>
    <row r="2146" ht="15.75" customHeight="1">
      <c r="A2146" s="4">
        <v>1054015</v>
      </c>
      <c r="B2146" s="12" t="str">
        <f t="array" ref="B2146">IF(A2146:A6186="","",_xlfn.XLOOKUP(A2146:A6186,'参照_武将'!A:A,'参照_武将'!B:B,"見つかりません"))</f>
      </c>
      <c r="C2146" s="4" t="s">
        <v>264</v>
      </c>
      <c r="D2146" s="4">
        <v>54</v>
      </c>
      <c r="E2146" s="12" t="str">
        <f t="array" ref="E2146">IF(D2146:D6186="","",IFERROR(_xlfn.XLOOKUP(D2146:D6186,'参照_勢力'!A:A,'参照_勢力'!B:B),IFERROR(_xlfn.XLOOKUP(F2146:F6186,kunishuClan!A:A,kunishuClan!B:B),"浪人")))</f>
      </c>
      <c r="F2146" s="4">
        <v>0</v>
      </c>
      <c r="G2146" s="4">
        <v>152</v>
      </c>
      <c r="H2146" s="12" t="str">
        <f t="array" ref="H2146">IF(G2146:G6186="","",_xlfn.XLOOKUP(G2146:G6186,castles_state!A:A,castles_state!D:D,"見つかりません"))</f>
      </c>
      <c r="I2146" s="4"/>
      <c r="J2146" s="12" t="str">
        <f t="array" ref="J2146">IF(I2146:I6186="","",_xlfn.XLOOKUP(I2146:I6186,'参照_姫'!A:A,'参照_姫'!B:B,"見つかりません"))</f>
      </c>
      <c r="K2146" s="4">
        <v>95</v>
      </c>
      <c r="L2146" s="4">
        <v>300</v>
      </c>
      <c r="M2146" s="4"/>
      <c r="N2146" s="4"/>
      <c r="O2146" s="4"/>
      <c r="P2146" s="12" t="str">
        <f t="array" ref="P2146">IF(O2146:O6186="","",_xlfn.XLOOKUP(O2146:O6186,'参照_官位'!A:A,'参照_官位'!B:B,""))</f>
      </c>
      <c r="Q2146" s="12" t="str">
        <f t="array" ref="Q2146">IF(A2146:A6186="","",IFERROR(_xlfn.XLOOKUP(A2146:A6186,castles_state!K:K,castles_state!D:D)&amp;"主",IFERROR(_xlfn.XLOOKUP(A2146:A6186,kunishuClan!D:D,kunishuClan!B:B)&amp;"当主","")))</f>
      </c>
    </row>
    <row r="2147" ht="15.75" customHeight="1">
      <c r="A2147" s="4">
        <v>1054016</v>
      </c>
      <c r="B2147" s="12" t="str">
        <f t="array" ref="B2147">IF(A2147:A6187="","",_xlfn.XLOOKUP(A2147:A6187,'参照_武将'!A:A,'参照_武将'!B:B,"見つかりません"))</f>
      </c>
      <c r="C2147" s="4" t="s">
        <v>264</v>
      </c>
      <c r="D2147" s="4">
        <v>54</v>
      </c>
      <c r="E2147" s="12" t="str">
        <f t="array" ref="E2147">IF(D2147:D6187="","",IFERROR(_xlfn.XLOOKUP(D2147:D6187,'参照_勢力'!A:A,'参照_勢力'!B:B),IFERROR(_xlfn.XLOOKUP(F2147:F6187,kunishuClan!A:A,kunishuClan!B:B),"浪人")))</f>
      </c>
      <c r="F2147" s="4">
        <v>0</v>
      </c>
      <c r="G2147" s="4">
        <v>152</v>
      </c>
      <c r="H2147" s="12" t="str">
        <f t="array" ref="H2147">IF(G2147:G6187="","",_xlfn.XLOOKUP(G2147:G6187,castles_state!A:A,castles_state!D:D,"見つかりません"))</f>
      </c>
      <c r="I2147" s="4"/>
      <c r="J2147" s="12" t="str">
        <f t="array" ref="J2147">IF(I2147:I6187="","",_xlfn.XLOOKUP(I2147:I6187,'参照_姫'!A:A,'参照_姫'!B:B,"見つかりません"))</f>
      </c>
      <c r="K2147" s="4">
        <v>95</v>
      </c>
      <c r="L2147" s="4">
        <v>300</v>
      </c>
      <c r="M2147" s="4"/>
      <c r="N2147" s="4"/>
      <c r="O2147" s="4"/>
      <c r="P2147" s="12" t="str">
        <f t="array" ref="P2147">IF(O2147:O6187="","",_xlfn.XLOOKUP(O2147:O6187,'参照_官位'!A:A,'参照_官位'!B:B,""))</f>
      </c>
      <c r="Q2147" s="12" t="str">
        <f t="array" ref="Q2147">IF(A2147:A6187="","",IFERROR(_xlfn.XLOOKUP(A2147:A6187,castles_state!K:K,castles_state!D:D)&amp;"主",IFERROR(_xlfn.XLOOKUP(A2147:A6187,kunishuClan!D:D,kunishuClan!B:B)&amp;"当主","")))</f>
      </c>
    </row>
    <row r="2148" ht="15.75" customHeight="1">
      <c r="A2148" s="4">
        <v>1054017</v>
      </c>
      <c r="B2148" s="12" t="str">
        <f t="array" ref="B2148">IF(A2148:A6188="","",_xlfn.XLOOKUP(A2148:A6188,'参照_武将'!A:A,'参照_武将'!B:B,"見つかりません"))</f>
      </c>
      <c r="C2148" s="4" t="s">
        <v>264</v>
      </c>
      <c r="D2148" s="4">
        <v>54</v>
      </c>
      <c r="E2148" s="12" t="str">
        <f t="array" ref="E2148">IF(D2148:D6188="","",IFERROR(_xlfn.XLOOKUP(D2148:D6188,'参照_勢力'!A:A,'参照_勢力'!B:B),IFERROR(_xlfn.XLOOKUP(F2148:F6188,kunishuClan!A:A,kunishuClan!B:B),"浪人")))</f>
      </c>
      <c r="F2148" s="4">
        <v>0</v>
      </c>
      <c r="G2148" s="4">
        <v>152</v>
      </c>
      <c r="H2148" s="12" t="str">
        <f t="array" ref="H2148">IF(G2148:G6188="","",_xlfn.XLOOKUP(G2148:G6188,castles_state!A:A,castles_state!D:D,"見つかりません"))</f>
      </c>
      <c r="I2148" s="4"/>
      <c r="J2148" s="12" t="str">
        <f t="array" ref="J2148">IF(I2148:I6188="","",_xlfn.XLOOKUP(I2148:I6188,'参照_姫'!A:A,'参照_姫'!B:B,"見つかりません"))</f>
      </c>
      <c r="K2148" s="4">
        <v>95</v>
      </c>
      <c r="L2148" s="4">
        <v>0</v>
      </c>
      <c r="M2148" s="4"/>
      <c r="N2148" s="4"/>
      <c r="O2148" s="4"/>
      <c r="P2148" s="12" t="str">
        <f t="array" ref="P2148">IF(O2148:O6188="","",_xlfn.XLOOKUP(O2148:O6188,'参照_官位'!A:A,'参照_官位'!B:B,""))</f>
      </c>
      <c r="Q2148" s="12" t="str">
        <f t="array" ref="Q2148">IF(A2148:A6188="","",IFERROR(_xlfn.XLOOKUP(A2148:A6188,castles_state!K:K,castles_state!D:D)&amp;"主",IFERROR(_xlfn.XLOOKUP(A2148:A6188,kunishuClan!D:D,kunishuClan!B:B)&amp;"当主","")))</f>
      </c>
    </row>
    <row r="2149" ht="15.75" customHeight="1">
      <c r="A2149" s="4">
        <v>1054018</v>
      </c>
      <c r="B2149" s="12" t="str">
        <f t="array" ref="B2149">IF(A2149:A6189="","",_xlfn.XLOOKUP(A2149:A6189,'参照_武将'!A:A,'参照_武将'!B:B,"見つかりません"))</f>
      </c>
      <c r="C2149" s="4" t="s">
        <v>264</v>
      </c>
      <c r="D2149" s="4">
        <v>54</v>
      </c>
      <c r="E2149" s="12" t="str">
        <f t="array" ref="E2149">IF(D2149:D6189="","",IFERROR(_xlfn.XLOOKUP(D2149:D6189,'参照_勢力'!A:A,'参照_勢力'!B:B),IFERROR(_xlfn.XLOOKUP(F2149:F6189,kunishuClan!A:A,kunishuClan!B:B),"浪人")))</f>
      </c>
      <c r="F2149" s="4">
        <v>0</v>
      </c>
      <c r="G2149" s="4">
        <v>152</v>
      </c>
      <c r="H2149" s="12" t="str">
        <f t="array" ref="H2149">IF(G2149:G6189="","",_xlfn.XLOOKUP(G2149:G6189,castles_state!A:A,castles_state!D:D,"見つかりません"))</f>
      </c>
      <c r="I2149" s="4"/>
      <c r="J2149" s="12" t="str">
        <f t="array" ref="J2149">IF(I2149:I6189="","",_xlfn.XLOOKUP(I2149:I6189,'参照_姫'!A:A,'参照_姫'!B:B,"見つかりません"))</f>
      </c>
      <c r="K2149" s="4">
        <v>95</v>
      </c>
      <c r="L2149" s="4">
        <v>0</v>
      </c>
      <c r="M2149" s="4"/>
      <c r="N2149" s="4"/>
      <c r="O2149" s="4"/>
      <c r="P2149" s="12" t="str">
        <f t="array" ref="P2149">IF(O2149:O6189="","",_xlfn.XLOOKUP(O2149:O6189,'参照_官位'!A:A,'参照_官位'!B:B,""))</f>
      </c>
      <c r="Q2149" s="12" t="str">
        <f t="array" ref="Q2149">IF(A2149:A6189="","",IFERROR(_xlfn.XLOOKUP(A2149:A6189,castles_state!K:K,castles_state!D:D)&amp;"主",IFERROR(_xlfn.XLOOKUP(A2149:A6189,kunishuClan!D:D,kunishuClan!B:B)&amp;"当主","")))</f>
      </c>
    </row>
    <row r="2150" ht="15.75" customHeight="1">
      <c r="A2150" s="4">
        <v>1054019</v>
      </c>
      <c r="B2150" s="12" t="str">
        <f t="array" ref="B2150">IF(A2150:A6190="","",_xlfn.XLOOKUP(A2150:A6190,'参照_武将'!A:A,'参照_武将'!B:B,"見つかりません"))</f>
      </c>
      <c r="C2150" s="4" t="s">
        <v>264</v>
      </c>
      <c r="D2150" s="4">
        <v>54</v>
      </c>
      <c r="E2150" s="12" t="str">
        <f t="array" ref="E2150">IF(D2150:D6190="","",IFERROR(_xlfn.XLOOKUP(D2150:D6190,'参照_勢力'!A:A,'参照_勢力'!B:B),IFERROR(_xlfn.XLOOKUP(F2150:F6190,kunishuClan!A:A,kunishuClan!B:B),"浪人")))</f>
      </c>
      <c r="F2150" s="4">
        <v>0</v>
      </c>
      <c r="G2150" s="4">
        <v>152</v>
      </c>
      <c r="H2150" s="12" t="str">
        <f t="array" ref="H2150">IF(G2150:G6190="","",_xlfn.XLOOKUP(G2150:G6190,castles_state!A:A,castles_state!D:D,"見つかりません"))</f>
      </c>
      <c r="I2150" s="4"/>
      <c r="J2150" s="12" t="str">
        <f t="array" ref="J2150">IF(I2150:I6190="","",_xlfn.XLOOKUP(I2150:I6190,'参照_姫'!A:A,'参照_姫'!B:B,"見つかりません"))</f>
      </c>
      <c r="K2150" s="4">
        <v>95</v>
      </c>
      <c r="L2150" s="4">
        <v>0</v>
      </c>
      <c r="M2150" s="4"/>
      <c r="N2150" s="4"/>
      <c r="O2150" s="4"/>
      <c r="P2150" s="12" t="str">
        <f t="array" ref="P2150">IF(O2150:O6190="","",_xlfn.XLOOKUP(O2150:O6190,'参照_官位'!A:A,'参照_官位'!B:B,""))</f>
      </c>
      <c r="Q2150" s="12" t="str">
        <f t="array" ref="Q2150">IF(A2150:A6190="","",IFERROR(_xlfn.XLOOKUP(A2150:A6190,castles_state!K:K,castles_state!D:D)&amp;"主",IFERROR(_xlfn.XLOOKUP(A2150:A6190,kunishuClan!D:D,kunishuClan!B:B)&amp;"当主","")))</f>
      </c>
    </row>
    <row r="2151" ht="15.75" customHeight="1">
      <c r="A2151" s="4">
        <v>1054020</v>
      </c>
      <c r="B2151" s="12" t="str">
        <f t="array" ref="B2151">IF(A2151:A6191="","",_xlfn.XLOOKUP(A2151:A6191,'参照_武将'!A:A,'参照_武将'!B:B,"見つかりません"))</f>
      </c>
      <c r="C2151" s="4" t="s">
        <v>264</v>
      </c>
      <c r="D2151" s="4">
        <v>54</v>
      </c>
      <c r="E2151" s="12" t="str">
        <f t="array" ref="E2151">IF(D2151:D6191="","",IFERROR(_xlfn.XLOOKUP(D2151:D6191,'参照_勢力'!A:A,'参照_勢力'!B:B),IFERROR(_xlfn.XLOOKUP(F2151:F6191,kunishuClan!A:A,kunishuClan!B:B),"浪人")))</f>
      </c>
      <c r="F2151" s="4">
        <v>0</v>
      </c>
      <c r="G2151" s="4">
        <v>152</v>
      </c>
      <c r="H2151" s="12" t="str">
        <f t="array" ref="H2151">IF(G2151:G6191="","",_xlfn.XLOOKUP(G2151:G6191,castles_state!A:A,castles_state!D:D,"見つかりません"))</f>
      </c>
      <c r="I2151" s="4"/>
      <c r="J2151" s="12" t="str">
        <f t="array" ref="J2151">IF(I2151:I6191="","",_xlfn.XLOOKUP(I2151:I6191,'参照_姫'!A:A,'参照_姫'!B:B,"見つかりません"))</f>
      </c>
      <c r="K2151" s="4">
        <v>95</v>
      </c>
      <c r="L2151" s="4">
        <v>0</v>
      </c>
      <c r="M2151" s="4"/>
      <c r="N2151" s="4"/>
      <c r="O2151" s="4"/>
      <c r="P2151" s="12" t="str">
        <f t="array" ref="P2151">IF(O2151:O6191="","",_xlfn.XLOOKUP(O2151:O6191,'参照_官位'!A:A,'参照_官位'!B:B,""))</f>
      </c>
      <c r="Q2151" s="12" t="str">
        <f t="array" ref="Q2151">IF(A2151:A6191="","",IFERROR(_xlfn.XLOOKUP(A2151:A6191,castles_state!K:K,castles_state!D:D)&amp;"主",IFERROR(_xlfn.XLOOKUP(A2151:A6191,kunishuClan!D:D,kunishuClan!B:B)&amp;"当主","")))</f>
      </c>
    </row>
    <row r="2152" ht="15.75" customHeight="1">
      <c r="A2152" s="4">
        <v>1054021</v>
      </c>
      <c r="B2152" s="12" t="str">
        <f t="array" ref="B2152">IF(A2152:A6192="","",_xlfn.XLOOKUP(A2152:A6192,'参照_武将'!A:A,'参照_武将'!B:B,"見つかりません"))</f>
      </c>
      <c r="C2152" s="4" t="s">
        <v>5955</v>
      </c>
      <c r="D2152" s="4">
        <v>54</v>
      </c>
      <c r="E2152" s="12" t="str">
        <f t="array" ref="E2152">IF(D2152:D6192="","",IFERROR(_xlfn.XLOOKUP(D2152:D6192,'参照_勢力'!A:A,'参照_勢力'!B:B),IFERROR(_xlfn.XLOOKUP(F2152:F6192,kunishuClan!A:A,kunishuClan!B:B),"浪人")))</f>
      </c>
      <c r="F2152" s="4">
        <v>0</v>
      </c>
      <c r="G2152" s="4">
        <v>152</v>
      </c>
      <c r="H2152" s="12" t="str">
        <f t="array" ref="H2152">IF(G2152:G6192="","",_xlfn.XLOOKUP(G2152:G6192,castles_state!A:A,castles_state!D:D,"見つかりません"))</f>
      </c>
      <c r="I2152" s="4"/>
      <c r="J2152" s="12" t="str">
        <f t="array" ref="J2152">IF(I2152:I6192="","",_xlfn.XLOOKUP(I2152:I6192,'参照_姫'!A:A,'参照_姫'!B:B,"見つかりません"))</f>
      </c>
      <c r="K2152" s="4">
        <v>95</v>
      </c>
      <c r="L2152" s="4">
        <v>0</v>
      </c>
      <c r="M2152" s="4"/>
      <c r="N2152" s="4"/>
      <c r="O2152" s="4"/>
      <c r="P2152" s="12" t="str">
        <f t="array" ref="P2152">IF(O2152:O6192="","",_xlfn.XLOOKUP(O2152:O6192,'参照_官位'!A:A,'参照_官位'!B:B,""))</f>
      </c>
      <c r="Q2152" s="12" t="str">
        <f t="array" ref="Q2152">IF(A2152:A6192="","",IFERROR(_xlfn.XLOOKUP(A2152:A6192,castles_state!K:K,castles_state!D:D)&amp;"主",IFERROR(_xlfn.XLOOKUP(A2152:A6192,kunishuClan!D:D,kunishuClan!B:B)&amp;"当主","")))</f>
      </c>
    </row>
    <row r="2153" ht="15.75" customHeight="1">
      <c r="A2153" s="4">
        <v>1054022</v>
      </c>
      <c r="B2153" s="12" t="str">
        <f t="array" ref="B2153">IF(A2153:A6193="","",_xlfn.XLOOKUP(A2153:A6193,'参照_武将'!A:A,'参照_武将'!B:B,"見つかりません"))</f>
      </c>
      <c r="C2153" s="4" t="s">
        <v>5956</v>
      </c>
      <c r="D2153" s="4">
        <v>54</v>
      </c>
      <c r="E2153" s="12" t="str">
        <f t="array" ref="E2153">IF(D2153:D6193="","",IFERROR(_xlfn.XLOOKUP(D2153:D6193,'参照_勢力'!A:A,'参照_勢力'!B:B),IFERROR(_xlfn.XLOOKUP(F2153:F6193,kunishuClan!A:A,kunishuClan!B:B),"浪人")))</f>
      </c>
      <c r="F2153" s="4">
        <v>0</v>
      </c>
      <c r="G2153" s="4">
        <v>152</v>
      </c>
      <c r="H2153" s="12" t="str">
        <f t="array" ref="H2153">IF(G2153:G6193="","",_xlfn.XLOOKUP(G2153:G6193,castles_state!A:A,castles_state!D:D,"見つかりません"))</f>
      </c>
      <c r="I2153" s="4"/>
      <c r="J2153" s="12" t="str">
        <f t="array" ref="J2153">IF(I2153:I6193="","",_xlfn.XLOOKUP(I2153:I6193,'参照_姫'!A:A,'参照_姫'!B:B,"見つかりません"))</f>
      </c>
      <c r="K2153" s="4">
        <v>95</v>
      </c>
      <c r="L2153" s="4">
        <v>0</v>
      </c>
      <c r="M2153" s="4"/>
      <c r="N2153" s="4"/>
      <c r="O2153" s="4"/>
      <c r="P2153" s="12" t="str">
        <f t="array" ref="P2153">IF(O2153:O6193="","",_xlfn.XLOOKUP(O2153:O6193,'参照_官位'!A:A,'参照_官位'!B:B,""))</f>
      </c>
      <c r="Q2153" s="12" t="str">
        <f t="array" ref="Q2153">IF(A2153:A6193="","",IFERROR(_xlfn.XLOOKUP(A2153:A6193,castles_state!K:K,castles_state!D:D)&amp;"主",IFERROR(_xlfn.XLOOKUP(A2153:A6193,kunishuClan!D:D,kunishuClan!B:B)&amp;"当主","")))</f>
      </c>
    </row>
    <row r="2154" ht="15.75" customHeight="1">
      <c r="A2154" s="4">
        <v>1054023</v>
      </c>
      <c r="B2154" s="12" t="str">
        <f t="array" ref="B2154">IF(A2154:A6194="","",_xlfn.XLOOKUP(A2154:A6194,'参照_武将'!A:A,'参照_武将'!B:B,"見つかりません"))</f>
      </c>
      <c r="C2154" s="4" t="s">
        <v>5956</v>
      </c>
      <c r="D2154" s="4">
        <v>54</v>
      </c>
      <c r="E2154" s="12" t="str">
        <f t="array" ref="E2154">IF(D2154:D6194="","",IFERROR(_xlfn.XLOOKUP(D2154:D6194,'参照_勢力'!A:A,'参照_勢力'!B:B),IFERROR(_xlfn.XLOOKUP(F2154:F6194,kunishuClan!A:A,kunishuClan!B:B),"浪人")))</f>
      </c>
      <c r="F2154" s="4">
        <v>0</v>
      </c>
      <c r="G2154" s="4">
        <v>152</v>
      </c>
      <c r="H2154" s="12" t="str">
        <f t="array" ref="H2154">IF(G2154:G6194="","",_xlfn.XLOOKUP(G2154:G6194,castles_state!A:A,castles_state!D:D,"見つかりません"))</f>
      </c>
      <c r="I2154" s="4"/>
      <c r="J2154" s="12" t="str">
        <f t="array" ref="J2154">IF(I2154:I6194="","",_xlfn.XLOOKUP(I2154:I6194,'参照_姫'!A:A,'参照_姫'!B:B,"見つかりません"))</f>
      </c>
      <c r="K2154" s="4">
        <v>95</v>
      </c>
      <c r="L2154" s="4">
        <v>100</v>
      </c>
      <c r="M2154" s="4" t="b">
        <v>1</v>
      </c>
      <c r="N2154" s="4"/>
      <c r="O2154" s="4"/>
      <c r="P2154" s="12" t="str">
        <f t="array" ref="P2154">IF(O2154:O6194="","",_xlfn.XLOOKUP(O2154:O6194,'参照_官位'!A:A,'参照_官位'!B:B,""))</f>
      </c>
      <c r="Q2154" s="12" t="str">
        <f t="array" ref="Q2154">IF(A2154:A6194="","",IFERROR(_xlfn.XLOOKUP(A2154:A6194,castles_state!K:K,castles_state!D:D)&amp;"主",IFERROR(_xlfn.XLOOKUP(A2154:A6194,kunishuClan!D:D,kunishuClan!B:B)&amp;"当主","")))</f>
      </c>
    </row>
    <row r="2155" ht="15.75" customHeight="1">
      <c r="A2155" s="4">
        <v>1054024</v>
      </c>
      <c r="B2155" s="12" t="str">
        <f t="array" ref="B2155">IF(A2155:A6195="","",_xlfn.XLOOKUP(A2155:A6195,'参照_武将'!A:A,'参照_武将'!B:B,"見つかりません"))</f>
      </c>
      <c r="C2155" s="4" t="s">
        <v>5956</v>
      </c>
      <c r="D2155" s="4">
        <v>54</v>
      </c>
      <c r="E2155" s="12" t="str">
        <f t="array" ref="E2155">IF(D2155:D6195="","",IFERROR(_xlfn.XLOOKUP(D2155:D6195,'参照_勢力'!A:A,'参照_勢力'!B:B),IFERROR(_xlfn.XLOOKUP(F2155:F6195,kunishuClan!A:A,kunishuClan!B:B),"浪人")))</f>
      </c>
      <c r="F2155" s="4">
        <v>0</v>
      </c>
      <c r="G2155" s="4">
        <v>152</v>
      </c>
      <c r="H2155" s="12" t="str">
        <f t="array" ref="H2155">IF(G2155:G6195="","",_xlfn.XLOOKUP(G2155:G6195,castles_state!A:A,castles_state!D:D,"見つかりません"))</f>
      </c>
      <c r="I2155" s="4"/>
      <c r="J2155" s="12" t="str">
        <f t="array" ref="J2155">IF(I2155:I6195="","",_xlfn.XLOOKUP(I2155:I6195,'参照_姫'!A:A,'参照_姫'!B:B,"見つかりません"))</f>
      </c>
      <c r="K2155" s="4">
        <v>95</v>
      </c>
      <c r="L2155" s="4">
        <v>0</v>
      </c>
      <c r="M2155" s="4"/>
      <c r="N2155" s="4"/>
      <c r="O2155" s="4"/>
      <c r="P2155" s="12" t="str">
        <f t="array" ref="P2155">IF(O2155:O6195="","",_xlfn.XLOOKUP(O2155:O6195,'参照_官位'!A:A,'参照_官位'!B:B,""))</f>
      </c>
      <c r="Q2155" s="12" t="str">
        <f t="array" ref="Q2155">IF(A2155:A6195="","",IFERROR(_xlfn.XLOOKUP(A2155:A6195,castles_state!K:K,castles_state!D:D)&amp;"主",IFERROR(_xlfn.XLOOKUP(A2155:A6195,kunishuClan!D:D,kunishuClan!B:B)&amp;"当主","")))</f>
      </c>
    </row>
    <row r="2156" ht="15.75" customHeight="1">
      <c r="A2156" s="4">
        <v>1054025</v>
      </c>
      <c r="B2156" s="12" t="str">
        <f t="array" ref="B2156">IF(A2156:A6196="","",_xlfn.XLOOKUP(A2156:A6196,'参照_武将'!A:A,'参照_武将'!B:B,"見つかりません"))</f>
      </c>
      <c r="C2156" s="4" t="s">
        <v>5956</v>
      </c>
      <c r="D2156" s="4">
        <v>54</v>
      </c>
      <c r="E2156" s="12" t="str">
        <f t="array" ref="E2156">IF(D2156:D6196="","",IFERROR(_xlfn.XLOOKUP(D2156:D6196,'参照_勢力'!A:A,'参照_勢力'!B:B),IFERROR(_xlfn.XLOOKUP(F2156:F6196,kunishuClan!A:A,kunishuClan!B:B),"浪人")))</f>
      </c>
      <c r="F2156" s="4">
        <v>0</v>
      </c>
      <c r="G2156" s="4">
        <v>152</v>
      </c>
      <c r="H2156" s="12" t="str">
        <f t="array" ref="H2156">IF(G2156:G6196="","",_xlfn.XLOOKUP(G2156:G6196,castles_state!A:A,castles_state!D:D,"見つかりません"))</f>
      </c>
      <c r="I2156" s="4"/>
      <c r="J2156" s="12" t="str">
        <f t="array" ref="J2156">IF(I2156:I6196="","",_xlfn.XLOOKUP(I2156:I6196,'参照_姫'!A:A,'参照_姫'!B:B,"見つかりません"))</f>
      </c>
      <c r="K2156" s="4">
        <v>95</v>
      </c>
      <c r="L2156" s="4">
        <v>0</v>
      </c>
      <c r="M2156" s="4"/>
      <c r="N2156" s="4"/>
      <c r="O2156" s="4"/>
      <c r="P2156" s="12" t="str">
        <f t="array" ref="P2156">IF(O2156:O6196="","",_xlfn.XLOOKUP(O2156:O6196,'参照_官位'!A:A,'参照_官位'!B:B,""))</f>
      </c>
      <c r="Q2156" s="12" t="str">
        <f t="array" ref="Q2156">IF(A2156:A6196="","",IFERROR(_xlfn.XLOOKUP(A2156:A6196,castles_state!K:K,castles_state!D:D)&amp;"主",IFERROR(_xlfn.XLOOKUP(A2156:A6196,kunishuClan!D:D,kunishuClan!B:B)&amp;"当主","")))</f>
      </c>
    </row>
    <row r="2157" ht="15.75" customHeight="1">
      <c r="A2157" s="4">
        <v>1054026</v>
      </c>
      <c r="B2157" s="12" t="str">
        <f t="array" ref="B2157">IF(A2157:A6197="","",_xlfn.XLOOKUP(A2157:A6197,'参照_武将'!A:A,'参照_武将'!B:B,"見つかりません"))</f>
      </c>
      <c r="C2157" s="4" t="s">
        <v>5956</v>
      </c>
      <c r="D2157" s="4">
        <v>54</v>
      </c>
      <c r="E2157" s="12" t="str">
        <f t="array" ref="E2157">IF(D2157:D6197="","",IFERROR(_xlfn.XLOOKUP(D2157:D6197,'参照_勢力'!A:A,'参照_勢力'!B:B),IFERROR(_xlfn.XLOOKUP(F2157:F6197,kunishuClan!A:A,kunishuClan!B:B),"浪人")))</f>
      </c>
      <c r="F2157" s="4">
        <v>0</v>
      </c>
      <c r="G2157" s="4">
        <v>152</v>
      </c>
      <c r="H2157" s="12" t="str">
        <f t="array" ref="H2157">IF(G2157:G6197="","",_xlfn.XLOOKUP(G2157:G6197,castles_state!A:A,castles_state!D:D,"見つかりません"))</f>
      </c>
      <c r="I2157" s="4"/>
      <c r="J2157" s="12" t="str">
        <f t="array" ref="J2157">IF(I2157:I6197="","",_xlfn.XLOOKUP(I2157:I6197,'参照_姫'!A:A,'参照_姫'!B:B,"見つかりません"))</f>
      </c>
      <c r="K2157" s="4">
        <v>95</v>
      </c>
      <c r="L2157" s="4">
        <v>0</v>
      </c>
      <c r="M2157" s="4"/>
      <c r="N2157" s="4"/>
      <c r="O2157" s="4"/>
      <c r="P2157" s="12" t="str">
        <f t="array" ref="P2157">IF(O2157:O6197="","",_xlfn.XLOOKUP(O2157:O6197,'参照_官位'!A:A,'参照_官位'!B:B,""))</f>
      </c>
      <c r="Q2157" s="12" t="str">
        <f t="array" ref="Q2157">IF(A2157:A6197="","",IFERROR(_xlfn.XLOOKUP(A2157:A6197,castles_state!K:K,castles_state!D:D)&amp;"主",IFERROR(_xlfn.XLOOKUP(A2157:A6197,kunishuClan!D:D,kunishuClan!B:B)&amp;"当主","")))</f>
      </c>
    </row>
    <row r="2158" ht="15.75" customHeight="1">
      <c r="A2158" s="4">
        <v>1054027</v>
      </c>
      <c r="B2158" s="12" t="str">
        <f t="array" ref="B2158">IF(A2158:A6198="","",_xlfn.XLOOKUP(A2158:A6198,'参照_武将'!A:A,'参照_武将'!B:B,"見つかりません"))</f>
      </c>
      <c r="C2158" s="4" t="s">
        <v>5956</v>
      </c>
      <c r="D2158" s="4">
        <v>54</v>
      </c>
      <c r="E2158" s="12" t="str">
        <f t="array" ref="E2158">IF(D2158:D6198="","",IFERROR(_xlfn.XLOOKUP(D2158:D6198,'参照_勢力'!A:A,'参照_勢力'!B:B),IFERROR(_xlfn.XLOOKUP(F2158:F6198,kunishuClan!A:A,kunishuClan!B:B),"浪人")))</f>
      </c>
      <c r="F2158" s="4">
        <v>0</v>
      </c>
      <c r="G2158" s="4">
        <v>152</v>
      </c>
      <c r="H2158" s="12" t="str">
        <f t="array" ref="H2158">IF(G2158:G6198="","",_xlfn.XLOOKUP(G2158:G6198,castles_state!A:A,castles_state!D:D,"見つかりません"))</f>
      </c>
      <c r="I2158" s="4"/>
      <c r="J2158" s="12" t="str">
        <f t="array" ref="J2158">IF(I2158:I6198="","",_xlfn.XLOOKUP(I2158:I6198,'参照_姫'!A:A,'参照_姫'!B:B,"見つかりません"))</f>
      </c>
      <c r="K2158" s="4">
        <v>95</v>
      </c>
      <c r="L2158" s="4">
        <v>0</v>
      </c>
      <c r="M2158" s="4"/>
      <c r="N2158" s="4"/>
      <c r="O2158" s="4"/>
      <c r="P2158" s="12" t="str">
        <f t="array" ref="P2158">IF(O2158:O6198="","",_xlfn.XLOOKUP(O2158:O6198,'参照_官位'!A:A,'参照_官位'!B:B,""))</f>
      </c>
      <c r="Q2158" s="12" t="str">
        <f t="array" ref="Q2158">IF(A2158:A6198="","",IFERROR(_xlfn.XLOOKUP(A2158:A6198,castles_state!K:K,castles_state!D:D)&amp;"主",IFERROR(_xlfn.XLOOKUP(A2158:A6198,kunishuClan!D:D,kunishuClan!B:B)&amp;"当主","")))</f>
      </c>
    </row>
    <row r="2159" ht="15.75" customHeight="1">
      <c r="A2159" s="4">
        <v>1054028</v>
      </c>
      <c r="B2159" s="12" t="str">
        <f t="array" ref="B2159">IF(A2159:A6199="","",_xlfn.XLOOKUP(A2159:A6199,'参照_武将'!A:A,'参照_武将'!B:B,"見つかりません"))</f>
      </c>
      <c r="C2159" s="4" t="s">
        <v>5956</v>
      </c>
      <c r="D2159" s="4">
        <v>54</v>
      </c>
      <c r="E2159" s="12" t="str">
        <f t="array" ref="E2159">IF(D2159:D6199="","",IFERROR(_xlfn.XLOOKUP(D2159:D6199,'参照_勢力'!A:A,'参照_勢力'!B:B),IFERROR(_xlfn.XLOOKUP(F2159:F6199,kunishuClan!A:A,kunishuClan!B:B),"浪人")))</f>
      </c>
      <c r="F2159" s="4">
        <v>0</v>
      </c>
      <c r="G2159" s="4">
        <v>152</v>
      </c>
      <c r="H2159" s="12" t="str">
        <f t="array" ref="H2159">IF(G2159:G6199="","",_xlfn.XLOOKUP(G2159:G6199,castles_state!A:A,castles_state!D:D,"見つかりません"))</f>
      </c>
      <c r="I2159" s="4"/>
      <c r="J2159" s="12" t="str">
        <f t="array" ref="J2159">IF(I2159:I6199="","",_xlfn.XLOOKUP(I2159:I6199,'参照_姫'!A:A,'参照_姫'!B:B,"見つかりません"))</f>
      </c>
      <c r="K2159" s="4">
        <v>95</v>
      </c>
      <c r="L2159" s="4">
        <v>0</v>
      </c>
      <c r="M2159" s="4"/>
      <c r="N2159" s="4"/>
      <c r="O2159" s="4"/>
      <c r="P2159" s="12" t="str">
        <f t="array" ref="P2159">IF(O2159:O6199="","",_xlfn.XLOOKUP(O2159:O6199,'参照_官位'!A:A,'参照_官位'!B:B,""))</f>
      </c>
      <c r="Q2159" s="12" t="str">
        <f t="array" ref="Q2159">IF(A2159:A6199="","",IFERROR(_xlfn.XLOOKUP(A2159:A6199,castles_state!K:K,castles_state!D:D)&amp;"主",IFERROR(_xlfn.XLOOKUP(A2159:A6199,kunishuClan!D:D,kunishuClan!B:B)&amp;"当主","")))</f>
      </c>
    </row>
    <row r="2160" ht="15.75" customHeight="1">
      <c r="A2160" s="4">
        <v>1054029</v>
      </c>
      <c r="B2160" s="12" t="str">
        <f t="array" ref="B2160">IF(A2160:A6200="","",_xlfn.XLOOKUP(A2160:A6200,'参照_武将'!A:A,'参照_武将'!B:B,"見つかりません"))</f>
      </c>
      <c r="C2160" s="4" t="s">
        <v>5956</v>
      </c>
      <c r="D2160" s="4">
        <v>54</v>
      </c>
      <c r="E2160" s="12" t="str">
        <f t="array" ref="E2160">IF(D2160:D6200="","",IFERROR(_xlfn.XLOOKUP(D2160:D6200,'参照_勢力'!A:A,'参照_勢力'!B:B),IFERROR(_xlfn.XLOOKUP(F2160:F6200,kunishuClan!A:A,kunishuClan!B:B),"浪人")))</f>
      </c>
      <c r="F2160" s="4">
        <v>0</v>
      </c>
      <c r="G2160" s="4">
        <v>152</v>
      </c>
      <c r="H2160" s="12" t="str">
        <f t="array" ref="H2160">IF(G2160:G6200="","",_xlfn.XLOOKUP(G2160:G6200,castles_state!A:A,castles_state!D:D,"見つかりません"))</f>
      </c>
      <c r="I2160" s="4"/>
      <c r="J2160" s="12" t="str">
        <f t="array" ref="J2160">IF(I2160:I6200="","",_xlfn.XLOOKUP(I2160:I6200,'参照_姫'!A:A,'参照_姫'!B:B,"見つかりません"))</f>
      </c>
      <c r="K2160" s="4">
        <v>95</v>
      </c>
      <c r="L2160" s="4">
        <v>0</v>
      </c>
      <c r="M2160" s="4"/>
      <c r="N2160" s="4"/>
      <c r="O2160" s="4"/>
      <c r="P2160" s="12" t="str">
        <f t="array" ref="P2160">IF(O2160:O6200="","",_xlfn.XLOOKUP(O2160:O6200,'参照_官位'!A:A,'参照_官位'!B:B,""))</f>
      </c>
      <c r="Q2160" s="12" t="str">
        <f t="array" ref="Q2160">IF(A2160:A6200="","",IFERROR(_xlfn.XLOOKUP(A2160:A6200,castles_state!K:K,castles_state!D:D)&amp;"主",IFERROR(_xlfn.XLOOKUP(A2160:A6200,kunishuClan!D:D,kunishuClan!B:B)&amp;"当主","")))</f>
      </c>
    </row>
    <row r="2161" ht="15.75" customHeight="1">
      <c r="A2161" s="4">
        <v>1054030</v>
      </c>
      <c r="B2161" s="12" t="str">
        <f t="array" ref="B2161">IF(A2161:A6201="","",_xlfn.XLOOKUP(A2161:A6201,'参照_武将'!A:A,'参照_武将'!B:B,"見つかりません"))</f>
      </c>
      <c r="C2161" s="4" t="s">
        <v>5956</v>
      </c>
      <c r="D2161" s="4">
        <v>54</v>
      </c>
      <c r="E2161" s="12" t="str">
        <f t="array" ref="E2161">IF(D2161:D6201="","",IFERROR(_xlfn.XLOOKUP(D2161:D6201,'参照_勢力'!A:A,'参照_勢力'!B:B),IFERROR(_xlfn.XLOOKUP(F2161:F6201,kunishuClan!A:A,kunishuClan!B:B),"浪人")))</f>
      </c>
      <c r="F2161" s="4">
        <v>0</v>
      </c>
      <c r="G2161" s="4">
        <v>152</v>
      </c>
      <c r="H2161" s="12" t="str">
        <f t="array" ref="H2161">IF(G2161:G6201="","",_xlfn.XLOOKUP(G2161:G6201,castles_state!A:A,castles_state!D:D,"見つかりません"))</f>
      </c>
      <c r="I2161" s="4"/>
      <c r="J2161" s="12" t="str">
        <f t="array" ref="J2161">IF(I2161:I6201="","",_xlfn.XLOOKUP(I2161:I6201,'参照_姫'!A:A,'参照_姫'!B:B,"見つかりません"))</f>
      </c>
      <c r="K2161" s="4">
        <v>95</v>
      </c>
      <c r="L2161" s="4">
        <v>0</v>
      </c>
      <c r="M2161" s="4"/>
      <c r="N2161" s="4"/>
      <c r="O2161" s="4"/>
      <c r="P2161" s="12" t="str">
        <f t="array" ref="P2161">IF(O2161:O6201="","",_xlfn.XLOOKUP(O2161:O6201,'参照_官位'!A:A,'参照_官位'!B:B,""))</f>
      </c>
      <c r="Q2161" s="12" t="str">
        <f t="array" ref="Q2161">IF(A2161:A6201="","",IFERROR(_xlfn.XLOOKUP(A2161:A6201,castles_state!K:K,castles_state!D:D)&amp;"主",IFERROR(_xlfn.XLOOKUP(A2161:A6201,kunishuClan!D:D,kunishuClan!B:B)&amp;"当主","")))</f>
      </c>
    </row>
    <row r="2162" ht="15.75" customHeight="1">
      <c r="A2162" s="4">
        <v>1054031</v>
      </c>
      <c r="B2162" s="12" t="str">
        <f t="array" ref="B2162">IF(A2162:A6202="","",_xlfn.XLOOKUP(A2162:A6202,'参照_武将'!A:A,'参照_武将'!B:B,"見つかりません"))</f>
      </c>
      <c r="C2162" s="4" t="s">
        <v>5957</v>
      </c>
      <c r="D2162" s="4">
        <v>54</v>
      </c>
      <c r="E2162" s="12" t="str">
        <f t="array" ref="E2162">IF(D2162:D6202="","",IFERROR(_xlfn.XLOOKUP(D2162:D6202,'参照_勢力'!A:A,'参照_勢力'!B:B),IFERROR(_xlfn.XLOOKUP(F2162:F6202,kunishuClan!A:A,kunishuClan!B:B),"浪人")))</f>
      </c>
      <c r="F2162" s="4">
        <v>0</v>
      </c>
      <c r="G2162" s="4">
        <v>152</v>
      </c>
      <c r="H2162" s="12" t="str">
        <f t="array" ref="H2162">IF(G2162:G6202="","",_xlfn.XLOOKUP(G2162:G6202,castles_state!A:A,castles_state!D:D,"見つかりません"))</f>
      </c>
      <c r="I2162" s="4"/>
      <c r="J2162" s="12" t="str">
        <f t="array" ref="J2162">IF(I2162:I6202="","",_xlfn.XLOOKUP(I2162:I6202,'参照_姫'!A:A,'参照_姫'!B:B,"見つかりません"))</f>
      </c>
      <c r="K2162" s="4">
        <v>95</v>
      </c>
      <c r="L2162" s="4">
        <v>0</v>
      </c>
      <c r="M2162" s="4"/>
      <c r="N2162" s="4"/>
      <c r="O2162" s="4"/>
      <c r="P2162" s="12" t="str">
        <f t="array" ref="P2162">IF(O2162:O6202="","",_xlfn.XLOOKUP(O2162:O6202,'参照_官位'!A:A,'参照_官位'!B:B,""))</f>
      </c>
      <c r="Q2162" s="12" t="str">
        <f t="array" ref="Q2162">IF(A2162:A6202="","",IFERROR(_xlfn.XLOOKUP(A2162:A6202,castles_state!K:K,castles_state!D:D)&amp;"主",IFERROR(_xlfn.XLOOKUP(A2162:A6202,kunishuClan!D:D,kunishuClan!B:B)&amp;"当主","")))</f>
      </c>
    </row>
    <row r="2163" ht="15.75" customHeight="1">
      <c r="A2163" s="4">
        <v>1054032</v>
      </c>
      <c r="B2163" s="12" t="str">
        <f t="array" ref="B2163">IF(A2163:A6203="","",_xlfn.XLOOKUP(A2163:A6203,'参照_武将'!A:A,'参照_武将'!B:B,"見つかりません"))</f>
      </c>
      <c r="C2163" s="4" t="s">
        <v>5957</v>
      </c>
      <c r="D2163" s="4">
        <v>54</v>
      </c>
      <c r="E2163" s="12" t="str">
        <f t="array" ref="E2163">IF(D2163:D6203="","",IFERROR(_xlfn.XLOOKUP(D2163:D6203,'参照_勢力'!A:A,'参照_勢力'!B:B),IFERROR(_xlfn.XLOOKUP(F2163:F6203,kunishuClan!A:A,kunishuClan!B:B),"浪人")))</f>
      </c>
      <c r="F2163" s="4">
        <v>0</v>
      </c>
      <c r="G2163" s="4">
        <v>152</v>
      </c>
      <c r="H2163" s="12" t="str">
        <f t="array" ref="H2163">IF(G2163:G6203="","",_xlfn.XLOOKUP(G2163:G6203,castles_state!A:A,castles_state!D:D,"見つかりません"))</f>
      </c>
      <c r="I2163" s="4"/>
      <c r="J2163" s="12" t="str">
        <f t="array" ref="J2163">IF(I2163:I6203="","",_xlfn.XLOOKUP(I2163:I6203,'参照_姫'!A:A,'参照_姫'!B:B,"見つかりません"))</f>
      </c>
      <c r="K2163" s="4">
        <v>95</v>
      </c>
      <c r="L2163" s="4">
        <v>0</v>
      </c>
      <c r="M2163" s="4"/>
      <c r="N2163" s="4"/>
      <c r="O2163" s="4"/>
      <c r="P2163" s="12" t="str">
        <f t="array" ref="P2163">IF(O2163:O6203="","",_xlfn.XLOOKUP(O2163:O6203,'参照_官位'!A:A,'参照_官位'!B:B,""))</f>
      </c>
      <c r="Q2163" s="12" t="str">
        <f t="array" ref="Q2163">IF(A2163:A6203="","",IFERROR(_xlfn.XLOOKUP(A2163:A6203,castles_state!K:K,castles_state!D:D)&amp;"主",IFERROR(_xlfn.XLOOKUP(A2163:A6203,kunishuClan!D:D,kunishuClan!B:B)&amp;"当主","")))</f>
      </c>
    </row>
    <row r="2164" ht="15.75" customHeight="1">
      <c r="A2164" s="4">
        <v>1054033</v>
      </c>
      <c r="B2164" s="12" t="str">
        <f t="array" ref="B2164">IF(A2164:A6204="","",_xlfn.XLOOKUP(A2164:A6204,'参照_武将'!A:A,'参照_武将'!B:B,"見つかりません"))</f>
      </c>
      <c r="C2164" s="4" t="s">
        <v>5957</v>
      </c>
      <c r="D2164" s="4">
        <v>54</v>
      </c>
      <c r="E2164" s="12" t="str">
        <f t="array" ref="E2164">IF(D2164:D6204="","",IFERROR(_xlfn.XLOOKUP(D2164:D6204,'参照_勢力'!A:A,'参照_勢力'!B:B),IFERROR(_xlfn.XLOOKUP(F2164:F6204,kunishuClan!A:A,kunishuClan!B:B),"浪人")))</f>
      </c>
      <c r="F2164" s="4">
        <v>0</v>
      </c>
      <c r="G2164" s="4">
        <v>152</v>
      </c>
      <c r="H2164" s="12" t="str">
        <f t="array" ref="H2164">IF(G2164:G6204="","",_xlfn.XLOOKUP(G2164:G6204,castles_state!A:A,castles_state!D:D,"見つかりません"))</f>
      </c>
      <c r="I2164" s="4"/>
      <c r="J2164" s="12" t="str">
        <f t="array" ref="J2164">IF(I2164:I6204="","",_xlfn.XLOOKUP(I2164:I6204,'参照_姫'!A:A,'参照_姫'!B:B,"見つかりません"))</f>
      </c>
      <c r="K2164" s="4">
        <v>95</v>
      </c>
      <c r="L2164" s="4">
        <v>0</v>
      </c>
      <c r="M2164" s="4"/>
      <c r="N2164" s="4"/>
      <c r="O2164" s="4"/>
      <c r="P2164" s="12" t="str">
        <f t="array" ref="P2164">IF(O2164:O6204="","",_xlfn.XLOOKUP(O2164:O6204,'参照_官位'!A:A,'参照_官位'!B:B,""))</f>
      </c>
      <c r="Q2164" s="12" t="str">
        <f t="array" ref="Q2164">IF(A2164:A6204="","",IFERROR(_xlfn.XLOOKUP(A2164:A6204,castles_state!K:K,castles_state!D:D)&amp;"主",IFERROR(_xlfn.XLOOKUP(A2164:A6204,kunishuClan!D:D,kunishuClan!B:B)&amp;"当主","")))</f>
      </c>
    </row>
    <row r="2165" ht="15.75" customHeight="1">
      <c r="A2165" s="4">
        <v>1054034</v>
      </c>
      <c r="B2165" s="12" t="str">
        <f t="array" ref="B2165">IF(A2165:A6205="","",_xlfn.XLOOKUP(A2165:A6205,'参照_武将'!A:A,'参照_武将'!B:B,"見つかりません"))</f>
      </c>
      <c r="C2165" s="4" t="s">
        <v>5957</v>
      </c>
      <c r="D2165" s="4">
        <v>54</v>
      </c>
      <c r="E2165" s="12" t="str">
        <f t="array" ref="E2165">IF(D2165:D6205="","",IFERROR(_xlfn.XLOOKUP(D2165:D6205,'参照_勢力'!A:A,'参照_勢力'!B:B),IFERROR(_xlfn.XLOOKUP(F2165:F6205,kunishuClan!A:A,kunishuClan!B:B),"浪人")))</f>
      </c>
      <c r="F2165" s="4">
        <v>0</v>
      </c>
      <c r="G2165" s="4">
        <v>152</v>
      </c>
      <c r="H2165" s="12" t="str">
        <f t="array" ref="H2165">IF(G2165:G6205="","",_xlfn.XLOOKUP(G2165:G6205,castles_state!A:A,castles_state!D:D,"見つかりません"))</f>
      </c>
      <c r="I2165" s="4"/>
      <c r="J2165" s="12" t="str">
        <f t="array" ref="J2165">IF(I2165:I6205="","",_xlfn.XLOOKUP(I2165:I6205,'参照_姫'!A:A,'参照_姫'!B:B,"見つかりません"))</f>
      </c>
      <c r="K2165" s="4">
        <v>95</v>
      </c>
      <c r="L2165" s="4">
        <v>0</v>
      </c>
      <c r="M2165" s="4"/>
      <c r="N2165" s="4"/>
      <c r="O2165" s="4"/>
      <c r="P2165" s="12" t="str">
        <f t="array" ref="P2165">IF(O2165:O6205="","",_xlfn.XLOOKUP(O2165:O6205,'参照_官位'!A:A,'参照_官位'!B:B,""))</f>
      </c>
      <c r="Q2165" s="12" t="str">
        <f t="array" ref="Q2165">IF(A2165:A6205="","",IFERROR(_xlfn.XLOOKUP(A2165:A6205,castles_state!K:K,castles_state!D:D)&amp;"主",IFERROR(_xlfn.XLOOKUP(A2165:A6205,kunishuClan!D:D,kunishuClan!B:B)&amp;"当主","")))</f>
      </c>
    </row>
    <row r="2166" ht="15.75" customHeight="1">
      <c r="A2166" s="4">
        <v>1054035</v>
      </c>
      <c r="B2166" s="12" t="str">
        <f t="array" ref="B2166">IF(A2166:A6206="","",_xlfn.XLOOKUP(A2166:A6206,'参照_武将'!A:A,'参照_武将'!B:B,"見つかりません"))</f>
      </c>
      <c r="C2166" s="4" t="s">
        <v>5957</v>
      </c>
      <c r="D2166" s="4">
        <v>54</v>
      </c>
      <c r="E2166" s="12" t="str">
        <f t="array" ref="E2166">IF(D2166:D6206="","",IFERROR(_xlfn.XLOOKUP(D2166:D6206,'参照_勢力'!A:A,'参照_勢力'!B:B),IFERROR(_xlfn.XLOOKUP(F2166:F6206,kunishuClan!A:A,kunishuClan!B:B),"浪人")))</f>
      </c>
      <c r="F2166" s="4">
        <v>0</v>
      </c>
      <c r="G2166" s="4">
        <v>152</v>
      </c>
      <c r="H2166" s="12" t="str">
        <f t="array" ref="H2166">IF(G2166:G6206="","",_xlfn.XLOOKUP(G2166:G6206,castles_state!A:A,castles_state!D:D,"見つかりません"))</f>
      </c>
      <c r="I2166" s="4"/>
      <c r="J2166" s="12" t="str">
        <f t="array" ref="J2166">IF(I2166:I6206="","",_xlfn.XLOOKUP(I2166:I6206,'参照_姫'!A:A,'参照_姫'!B:B,"見つかりません"))</f>
      </c>
      <c r="K2166" s="4">
        <v>95</v>
      </c>
      <c r="L2166" s="4">
        <v>0</v>
      </c>
      <c r="M2166" s="4"/>
      <c r="N2166" s="4"/>
      <c r="O2166" s="4"/>
      <c r="P2166" s="12" t="str">
        <f t="array" ref="P2166">IF(O2166:O6206="","",_xlfn.XLOOKUP(O2166:O6206,'参照_官位'!A:A,'参照_官位'!B:B,""))</f>
      </c>
      <c r="Q2166" s="12" t="str">
        <f t="array" ref="Q2166">IF(A2166:A6206="","",IFERROR(_xlfn.XLOOKUP(A2166:A6206,castles_state!K:K,castles_state!D:D)&amp;"主",IFERROR(_xlfn.XLOOKUP(A2166:A6206,kunishuClan!D:D,kunishuClan!B:B)&amp;"当主","")))</f>
      </c>
    </row>
    <row r="2167" ht="15.75" customHeight="1">
      <c r="A2167" s="4">
        <v>1054036</v>
      </c>
      <c r="B2167" s="12" t="str">
        <f t="array" ref="B2167">IF(A2167:A6207="","",_xlfn.XLOOKUP(A2167:A6207,'参照_武将'!A:A,'参照_武将'!B:B,"見つかりません"))</f>
      </c>
      <c r="C2167" s="4" t="s">
        <v>264</v>
      </c>
      <c r="D2167" s="4">
        <v>54</v>
      </c>
      <c r="E2167" s="12" t="str">
        <f t="array" ref="E2167">IF(D2167:D6207="","",IFERROR(_xlfn.XLOOKUP(D2167:D6207,'参照_勢力'!A:A,'参照_勢力'!B:B),IFERROR(_xlfn.XLOOKUP(F2167:F6207,kunishuClan!A:A,kunishuClan!B:B),"浪人")))</f>
      </c>
      <c r="F2167" s="4">
        <v>0</v>
      </c>
      <c r="G2167" s="4">
        <v>152</v>
      </c>
      <c r="H2167" s="12" t="str">
        <f t="array" ref="H2167">IF(G2167:G6207="","",_xlfn.XLOOKUP(G2167:G6207,castles_state!A:A,castles_state!D:D,"見つかりません"))</f>
      </c>
      <c r="I2167" s="4"/>
      <c r="J2167" s="12" t="str">
        <f t="array" ref="J2167">IF(I2167:I6207="","",_xlfn.XLOOKUP(I2167:I6207,'参照_姫'!A:A,'参照_姫'!B:B,"見つかりません"))</f>
      </c>
      <c r="K2167" s="4">
        <v>95</v>
      </c>
      <c r="L2167" s="4">
        <v>0</v>
      </c>
      <c r="M2167" s="4"/>
      <c r="N2167" s="4"/>
      <c r="O2167" s="4"/>
      <c r="P2167" s="12" t="str">
        <f t="array" ref="P2167">IF(O2167:O6207="","",_xlfn.XLOOKUP(O2167:O6207,'参照_官位'!A:A,'参照_官位'!B:B,""))</f>
      </c>
      <c r="Q2167" s="12" t="str">
        <f t="array" ref="Q2167">IF(A2167:A6207="","",IFERROR(_xlfn.XLOOKUP(A2167:A6207,castles_state!K:K,castles_state!D:D)&amp;"主",IFERROR(_xlfn.XLOOKUP(A2167:A6207,kunishuClan!D:D,kunishuClan!B:B)&amp;"当主","")))</f>
      </c>
    </row>
    <row r="2168" ht="15.75" customHeight="1">
      <c r="A2168" s="4">
        <v>1054037</v>
      </c>
      <c r="B2168" s="12" t="str">
        <f t="array" ref="B2168">IF(A2168:A6208="","",_xlfn.XLOOKUP(A2168:A6208,'参照_武将'!A:A,'参照_武将'!B:B,"見つかりません"))</f>
      </c>
      <c r="C2168" s="4" t="s">
        <v>264</v>
      </c>
      <c r="D2168" s="4">
        <v>54</v>
      </c>
      <c r="E2168" s="12" t="str">
        <f t="array" ref="E2168">IF(D2168:D6208="","",IFERROR(_xlfn.XLOOKUP(D2168:D6208,'参照_勢力'!A:A,'参照_勢力'!B:B),IFERROR(_xlfn.XLOOKUP(F2168:F6208,kunishuClan!A:A,kunishuClan!B:B),"浪人")))</f>
      </c>
      <c r="F2168" s="4">
        <v>0</v>
      </c>
      <c r="G2168" s="4">
        <v>152</v>
      </c>
      <c r="H2168" s="12" t="str">
        <f t="array" ref="H2168">IF(G2168:G6208="","",_xlfn.XLOOKUP(G2168:G6208,castles_state!A:A,castles_state!D:D,"見つかりません"))</f>
      </c>
      <c r="I2168" s="4"/>
      <c r="J2168" s="12" t="str">
        <f t="array" ref="J2168">IF(I2168:I6208="","",_xlfn.XLOOKUP(I2168:I6208,'参照_姫'!A:A,'参照_姫'!B:B,"見つかりません"))</f>
      </c>
      <c r="K2168" s="4">
        <v>95</v>
      </c>
      <c r="L2168" s="4">
        <v>300</v>
      </c>
      <c r="M2168" s="4"/>
      <c r="N2168" s="4"/>
      <c r="O2168" s="4"/>
      <c r="P2168" s="12" t="str">
        <f t="array" ref="P2168">IF(O2168:O6208="","",_xlfn.XLOOKUP(O2168:O6208,'参照_官位'!A:A,'参照_官位'!B:B,""))</f>
      </c>
      <c r="Q2168" s="12" t="str">
        <f t="array" ref="Q2168">IF(A2168:A6208="","",IFERROR(_xlfn.XLOOKUP(A2168:A6208,castles_state!K:K,castles_state!D:D)&amp;"主",IFERROR(_xlfn.XLOOKUP(A2168:A6208,kunishuClan!D:D,kunishuClan!B:B)&amp;"当主","")))</f>
      </c>
    </row>
    <row r="2169" ht="15.75" customHeight="1">
      <c r="A2169" s="4">
        <v>1054038</v>
      </c>
      <c r="B2169" s="12" t="str">
        <f t="array" ref="B2169">IF(A2169:A6209="","",_xlfn.XLOOKUP(A2169:A6209,'参照_武将'!A:A,'参照_武将'!B:B,"見つかりません"))</f>
      </c>
      <c r="C2169" s="4" t="s">
        <v>264</v>
      </c>
      <c r="D2169" s="4">
        <v>54</v>
      </c>
      <c r="E2169" s="12" t="str">
        <f t="array" ref="E2169">IF(D2169:D6209="","",IFERROR(_xlfn.XLOOKUP(D2169:D6209,'参照_勢力'!A:A,'参照_勢力'!B:B),IFERROR(_xlfn.XLOOKUP(F2169:F6209,kunishuClan!A:A,kunishuClan!B:B),"浪人")))</f>
      </c>
      <c r="F2169" s="4">
        <v>0</v>
      </c>
      <c r="G2169" s="4">
        <v>152</v>
      </c>
      <c r="H2169" s="12" t="str">
        <f t="array" ref="H2169">IF(G2169:G6209="","",_xlfn.XLOOKUP(G2169:G6209,castles_state!A:A,castles_state!D:D,"見つかりません"))</f>
      </c>
      <c r="I2169" s="4"/>
      <c r="J2169" s="12" t="str">
        <f t="array" ref="J2169">IF(I2169:I6209="","",_xlfn.XLOOKUP(I2169:I6209,'参照_姫'!A:A,'参照_姫'!B:B,"見つかりません"))</f>
      </c>
      <c r="K2169" s="4">
        <v>95</v>
      </c>
      <c r="L2169" s="4">
        <v>300</v>
      </c>
      <c r="M2169" s="4"/>
      <c r="N2169" s="4"/>
      <c r="O2169" s="4"/>
      <c r="P2169" s="12" t="str">
        <f t="array" ref="P2169">IF(O2169:O6209="","",_xlfn.XLOOKUP(O2169:O6209,'参照_官位'!A:A,'参照_官位'!B:B,""))</f>
      </c>
      <c r="Q2169" s="12" t="str">
        <f t="array" ref="Q2169">IF(A2169:A6209="","",IFERROR(_xlfn.XLOOKUP(A2169:A6209,castles_state!K:K,castles_state!D:D)&amp;"主",IFERROR(_xlfn.XLOOKUP(A2169:A6209,kunishuClan!D:D,kunishuClan!B:B)&amp;"当主","")))</f>
      </c>
    </row>
    <row r="2170" ht="15.75" customHeight="1">
      <c r="A2170" s="4">
        <v>1054039</v>
      </c>
      <c r="B2170" s="12" t="str">
        <f t="array" ref="B2170">IF(A2170:A6210="","",_xlfn.XLOOKUP(A2170:A6210,'参照_武将'!A:A,'参照_武将'!B:B,"見つかりません"))</f>
      </c>
      <c r="C2170" s="4" t="s">
        <v>264</v>
      </c>
      <c r="D2170" s="4">
        <v>54</v>
      </c>
      <c r="E2170" s="12" t="str">
        <f t="array" ref="E2170">IF(D2170:D6210="","",IFERROR(_xlfn.XLOOKUP(D2170:D6210,'参照_勢力'!A:A,'参照_勢力'!B:B),IFERROR(_xlfn.XLOOKUP(F2170:F6210,kunishuClan!A:A,kunishuClan!B:B),"浪人")))</f>
      </c>
      <c r="F2170" s="4">
        <v>0</v>
      </c>
      <c r="G2170" s="4">
        <v>152</v>
      </c>
      <c r="H2170" s="12" t="str">
        <f t="array" ref="H2170">IF(G2170:G6210="","",_xlfn.XLOOKUP(G2170:G6210,castles_state!A:A,castles_state!D:D,"見つかりません"))</f>
      </c>
      <c r="I2170" s="4"/>
      <c r="J2170" s="12" t="str">
        <f t="array" ref="J2170">IF(I2170:I6210="","",_xlfn.XLOOKUP(I2170:I6210,'参照_姫'!A:A,'参照_姫'!B:B,"見つかりません"))</f>
      </c>
      <c r="K2170" s="4">
        <v>95</v>
      </c>
      <c r="L2170" s="4">
        <v>0</v>
      </c>
      <c r="M2170" s="4"/>
      <c r="N2170" s="4"/>
      <c r="O2170" s="4"/>
      <c r="P2170" s="12" t="str">
        <f t="array" ref="P2170">IF(O2170:O6210="","",_xlfn.XLOOKUP(O2170:O6210,'参照_官位'!A:A,'参照_官位'!B:B,""))</f>
      </c>
      <c r="Q2170" s="12" t="str">
        <f t="array" ref="Q2170">IF(A2170:A6210="","",IFERROR(_xlfn.XLOOKUP(A2170:A6210,castles_state!K:K,castles_state!D:D)&amp;"主",IFERROR(_xlfn.XLOOKUP(A2170:A6210,kunishuClan!D:D,kunishuClan!B:B)&amp;"当主","")))</f>
      </c>
    </row>
    <row r="2171" ht="15.75" customHeight="1">
      <c r="A2171" s="4">
        <v>1054040</v>
      </c>
      <c r="B2171" s="12" t="str">
        <f t="array" ref="B2171">IF(A2171:A6211="","",_xlfn.XLOOKUP(A2171:A6211,'参照_武将'!A:A,'参照_武将'!B:B,"見つかりません"))</f>
      </c>
      <c r="C2171" s="4" t="s">
        <v>264</v>
      </c>
      <c r="D2171" s="4">
        <v>54</v>
      </c>
      <c r="E2171" s="12" t="str">
        <f t="array" ref="E2171">IF(D2171:D6211="","",IFERROR(_xlfn.XLOOKUP(D2171:D6211,'参照_勢力'!A:A,'参照_勢力'!B:B),IFERROR(_xlfn.XLOOKUP(F2171:F6211,kunishuClan!A:A,kunishuClan!B:B),"浪人")))</f>
      </c>
      <c r="F2171" s="4">
        <v>0</v>
      </c>
      <c r="G2171" s="4">
        <v>152</v>
      </c>
      <c r="H2171" s="12" t="str">
        <f t="array" ref="H2171">IF(G2171:G6211="","",_xlfn.XLOOKUP(G2171:G6211,castles_state!A:A,castles_state!D:D,"見つかりません"))</f>
      </c>
      <c r="I2171" s="4"/>
      <c r="J2171" s="12" t="str">
        <f t="array" ref="J2171">IF(I2171:I6211="","",_xlfn.XLOOKUP(I2171:I6211,'参照_姫'!A:A,'参照_姫'!B:B,"見つかりません"))</f>
      </c>
      <c r="K2171" s="4">
        <v>95</v>
      </c>
      <c r="L2171" s="4">
        <v>500</v>
      </c>
      <c r="M2171" s="4"/>
      <c r="N2171" s="4"/>
      <c r="O2171" s="4"/>
      <c r="P2171" s="12" t="str">
        <f t="array" ref="P2171">IF(O2171:O6211="","",_xlfn.XLOOKUP(O2171:O6211,'参照_官位'!A:A,'参照_官位'!B:B,""))</f>
      </c>
      <c r="Q2171" s="12" t="str">
        <f t="array" ref="Q2171">IF(A2171:A6211="","",IFERROR(_xlfn.XLOOKUP(A2171:A6211,castles_state!K:K,castles_state!D:D)&amp;"主",IFERROR(_xlfn.XLOOKUP(A2171:A6211,kunishuClan!D:D,kunishuClan!B:B)&amp;"当主","")))</f>
      </c>
    </row>
    <row r="2172" ht="15.75" customHeight="1">
      <c r="A2172" s="4">
        <v>1054041</v>
      </c>
      <c r="B2172" s="12" t="str">
        <f t="array" ref="B2172">IF(A2172:A6212="","",_xlfn.XLOOKUP(A2172:A6212,'参照_武将'!A:A,'参照_武将'!B:B,"見つかりません"))</f>
      </c>
      <c r="C2172" s="4" t="s">
        <v>264</v>
      </c>
      <c r="D2172" s="4">
        <v>54</v>
      </c>
      <c r="E2172" s="12" t="str">
        <f t="array" ref="E2172">IF(D2172:D6212="","",IFERROR(_xlfn.XLOOKUP(D2172:D6212,'参照_勢力'!A:A,'参照_勢力'!B:B),IFERROR(_xlfn.XLOOKUP(F2172:F6212,kunishuClan!A:A,kunishuClan!B:B),"浪人")))</f>
      </c>
      <c r="F2172" s="4">
        <v>0</v>
      </c>
      <c r="G2172" s="4">
        <v>152</v>
      </c>
      <c r="H2172" s="12" t="str">
        <f t="array" ref="H2172">IF(G2172:G6212="","",_xlfn.XLOOKUP(G2172:G6212,castles_state!A:A,castles_state!D:D,"見つかりません"))</f>
      </c>
      <c r="I2172" s="4"/>
      <c r="J2172" s="12" t="str">
        <f t="array" ref="J2172">IF(I2172:I6212="","",_xlfn.XLOOKUP(I2172:I6212,'参照_姫'!A:A,'参照_姫'!B:B,"見つかりません"))</f>
      </c>
      <c r="K2172" s="4">
        <v>95</v>
      </c>
      <c r="L2172" s="4">
        <v>0</v>
      </c>
      <c r="M2172" s="4"/>
      <c r="N2172" s="4"/>
      <c r="O2172" s="4"/>
      <c r="P2172" s="12" t="str">
        <f t="array" ref="P2172">IF(O2172:O6212="","",_xlfn.XLOOKUP(O2172:O6212,'参照_官位'!A:A,'参照_官位'!B:B,""))</f>
      </c>
      <c r="Q2172" s="12" t="str">
        <f t="array" ref="Q2172">IF(A2172:A6212="","",IFERROR(_xlfn.XLOOKUP(A2172:A6212,castles_state!K:K,castles_state!D:D)&amp;"主",IFERROR(_xlfn.XLOOKUP(A2172:A6212,kunishuClan!D:D,kunishuClan!B:B)&amp;"当主","")))</f>
      </c>
    </row>
    <row r="2173" ht="15.75" customHeight="1">
      <c r="A2173" s="4">
        <v>1054042</v>
      </c>
      <c r="B2173" s="12" t="str">
        <f t="array" ref="B2173">IF(A2173:A6213="","",_xlfn.XLOOKUP(A2173:A6213,'参照_武将'!A:A,'参照_武将'!B:B,"見つかりません"))</f>
      </c>
      <c r="C2173" s="4" t="s">
        <v>264</v>
      </c>
      <c r="D2173" s="4">
        <v>54</v>
      </c>
      <c r="E2173" s="12" t="str">
        <f t="array" ref="E2173">IF(D2173:D6213="","",IFERROR(_xlfn.XLOOKUP(D2173:D6213,'参照_勢力'!A:A,'参照_勢力'!B:B),IFERROR(_xlfn.XLOOKUP(F2173:F6213,kunishuClan!A:A,kunishuClan!B:B),"浪人")))</f>
      </c>
      <c r="F2173" s="4">
        <v>0</v>
      </c>
      <c r="G2173" s="4">
        <v>152</v>
      </c>
      <c r="H2173" s="12" t="str">
        <f t="array" ref="H2173">IF(G2173:G6213="","",_xlfn.XLOOKUP(G2173:G6213,castles_state!A:A,castles_state!D:D,"見つかりません"))</f>
      </c>
      <c r="I2173" s="4"/>
      <c r="J2173" s="12" t="str">
        <f t="array" ref="J2173">IF(I2173:I6213="","",_xlfn.XLOOKUP(I2173:I6213,'参照_姫'!A:A,'参照_姫'!B:B,"見つかりません"))</f>
      </c>
      <c r="K2173" s="4">
        <v>95</v>
      </c>
      <c r="L2173" s="4">
        <v>0</v>
      </c>
      <c r="M2173" s="4"/>
      <c r="N2173" s="4"/>
      <c r="O2173" s="4"/>
      <c r="P2173" s="12" t="str">
        <f t="array" ref="P2173">IF(O2173:O6213="","",_xlfn.XLOOKUP(O2173:O6213,'参照_官位'!A:A,'参照_官位'!B:B,""))</f>
      </c>
      <c r="Q2173" s="12" t="str">
        <f t="array" ref="Q2173">IF(A2173:A6213="","",IFERROR(_xlfn.XLOOKUP(A2173:A6213,castles_state!K:K,castles_state!D:D)&amp;"主",IFERROR(_xlfn.XLOOKUP(A2173:A6213,kunishuClan!D:D,kunishuClan!B:B)&amp;"当主","")))</f>
      </c>
    </row>
    <row r="2174" ht="15.75" customHeight="1">
      <c r="A2174" s="4">
        <v>1054043</v>
      </c>
      <c r="B2174" s="12" t="str">
        <f t="array" ref="B2174">IF(A2174:A6214="","",_xlfn.XLOOKUP(A2174:A6214,'参照_武将'!A:A,'参照_武将'!B:B,"見つかりません"))</f>
      </c>
      <c r="C2174" s="4" t="s">
        <v>264</v>
      </c>
      <c r="D2174" s="4">
        <v>54</v>
      </c>
      <c r="E2174" s="12" t="str">
        <f t="array" ref="E2174">IF(D2174:D6214="","",IFERROR(_xlfn.XLOOKUP(D2174:D6214,'参照_勢力'!A:A,'参照_勢力'!B:B),IFERROR(_xlfn.XLOOKUP(F2174:F6214,kunishuClan!A:A,kunishuClan!B:B),"浪人")))</f>
      </c>
      <c r="F2174" s="4">
        <v>0</v>
      </c>
      <c r="G2174" s="4">
        <v>152</v>
      </c>
      <c r="H2174" s="12" t="str">
        <f t="array" ref="H2174">IF(G2174:G6214="","",_xlfn.XLOOKUP(G2174:G6214,castles_state!A:A,castles_state!D:D,"見つかりません"))</f>
      </c>
      <c r="I2174" s="4">
        <v>23</v>
      </c>
      <c r="J2174" s="12" t="str">
        <f t="array" ref="J2174">IF(I2174:I6214="","",_xlfn.XLOOKUP(I2174:I6214,'参照_姫'!A:A,'参照_姫'!B:B,"見つかりません"))</f>
      </c>
      <c r="K2174" s="4">
        <v>95</v>
      </c>
      <c r="L2174" s="4">
        <v>0</v>
      </c>
      <c r="M2174" s="4"/>
      <c r="N2174" s="4"/>
      <c r="O2174" s="4"/>
      <c r="P2174" s="12" t="str">
        <f t="array" ref="P2174">IF(O2174:O6214="","",_xlfn.XLOOKUP(O2174:O6214,'参照_官位'!A:A,'参照_官位'!B:B,""))</f>
      </c>
      <c r="Q2174" s="12" t="str">
        <f t="array" ref="Q2174">IF(A2174:A6214="","",IFERROR(_xlfn.XLOOKUP(A2174:A6214,castles_state!K:K,castles_state!D:D)&amp;"主",IFERROR(_xlfn.XLOOKUP(A2174:A6214,kunishuClan!D:D,kunishuClan!B:B)&amp;"当主","")))</f>
      </c>
    </row>
    <row r="2175" ht="15.75" customHeight="1">
      <c r="A2175" s="4">
        <v>1054044</v>
      </c>
      <c r="B2175" s="12" t="str">
        <f t="array" ref="B2175">IF(A2175:A6215="","",_xlfn.XLOOKUP(A2175:A6215,'参照_武将'!A:A,'参照_武将'!B:B,"見つかりません"))</f>
      </c>
      <c r="C2175" s="4" t="s">
        <v>264</v>
      </c>
      <c r="D2175" s="4">
        <v>54</v>
      </c>
      <c r="E2175" s="12" t="str">
        <f t="array" ref="E2175">IF(D2175:D6215="","",IFERROR(_xlfn.XLOOKUP(D2175:D6215,'参照_勢力'!A:A,'参照_勢力'!B:B),IFERROR(_xlfn.XLOOKUP(F2175:F6215,kunishuClan!A:A,kunishuClan!B:B),"浪人")))</f>
      </c>
      <c r="F2175" s="4">
        <v>0</v>
      </c>
      <c r="G2175" s="4">
        <v>152</v>
      </c>
      <c r="H2175" s="12" t="str">
        <f t="array" ref="H2175">IF(G2175:G6215="","",_xlfn.XLOOKUP(G2175:G6215,castles_state!A:A,castles_state!D:D,"見つかりません"))</f>
      </c>
      <c r="I2175" s="4"/>
      <c r="J2175" s="12" t="str">
        <f t="array" ref="J2175">IF(I2175:I6215="","",_xlfn.XLOOKUP(I2175:I6215,'参照_姫'!A:A,'参照_姫'!B:B,"見つかりません"))</f>
      </c>
      <c r="K2175" s="4">
        <v>95</v>
      </c>
      <c r="L2175" s="4">
        <v>0</v>
      </c>
      <c r="M2175" s="4"/>
      <c r="N2175" s="4"/>
      <c r="O2175" s="4"/>
      <c r="P2175" s="12" t="str">
        <f t="array" ref="P2175">IF(O2175:O6215="","",_xlfn.XLOOKUP(O2175:O6215,'参照_官位'!A:A,'参照_官位'!B:B,""))</f>
      </c>
      <c r="Q2175" s="12" t="str">
        <f t="array" ref="Q2175">IF(A2175:A6215="","",IFERROR(_xlfn.XLOOKUP(A2175:A6215,castles_state!K:K,castles_state!D:D)&amp;"主",IFERROR(_xlfn.XLOOKUP(A2175:A6215,kunishuClan!D:D,kunishuClan!B:B)&amp;"当主","")))</f>
      </c>
    </row>
    <row r="2176" ht="15.75" customHeight="1">
      <c r="A2176" s="4">
        <v>1054045</v>
      </c>
      <c r="B2176" s="12" t="str">
        <f t="array" ref="B2176">IF(A2176:A6216="","",_xlfn.XLOOKUP(A2176:A6216,'参照_武将'!A:A,'参照_武将'!B:B,"見つかりません"))</f>
      </c>
      <c r="C2176" s="4" t="s">
        <v>264</v>
      </c>
      <c r="D2176" s="4">
        <v>54</v>
      </c>
      <c r="E2176" s="12" t="str">
        <f t="array" ref="E2176">IF(D2176:D6216="","",IFERROR(_xlfn.XLOOKUP(D2176:D6216,'参照_勢力'!A:A,'参照_勢力'!B:B),IFERROR(_xlfn.XLOOKUP(F2176:F6216,kunishuClan!A:A,kunishuClan!B:B),"浪人")))</f>
      </c>
      <c r="F2176" s="4">
        <v>0</v>
      </c>
      <c r="G2176" s="4">
        <v>152</v>
      </c>
      <c r="H2176" s="12" t="str">
        <f t="array" ref="H2176">IF(G2176:G6216="","",_xlfn.XLOOKUP(G2176:G6216,castles_state!A:A,castles_state!D:D,"見つかりません"))</f>
      </c>
      <c r="I2176" s="4"/>
      <c r="J2176" s="12" t="str">
        <f t="array" ref="J2176">IF(I2176:I6216="","",_xlfn.XLOOKUP(I2176:I6216,'参照_姫'!A:A,'参照_姫'!B:B,"見つかりません"))</f>
      </c>
      <c r="K2176" s="4">
        <v>95</v>
      </c>
      <c r="L2176" s="4">
        <v>500</v>
      </c>
      <c r="M2176" s="4"/>
      <c r="N2176" s="4"/>
      <c r="O2176" s="4"/>
      <c r="P2176" s="12" t="str">
        <f t="array" ref="P2176">IF(O2176:O6216="","",_xlfn.XLOOKUP(O2176:O6216,'参照_官位'!A:A,'参照_官位'!B:B,""))</f>
      </c>
      <c r="Q2176" s="12" t="str">
        <f t="array" ref="Q2176">IF(A2176:A6216="","",IFERROR(_xlfn.XLOOKUP(A2176:A6216,castles_state!K:K,castles_state!D:D)&amp;"主",IFERROR(_xlfn.XLOOKUP(A2176:A6216,kunishuClan!D:D,kunishuClan!B:B)&amp;"当主","")))</f>
      </c>
    </row>
    <row r="2177" ht="15.75" customHeight="1">
      <c r="A2177" s="4">
        <v>1054046</v>
      </c>
      <c r="B2177" s="12" t="str">
        <f t="array" ref="B2177">IF(A2177:A6217="","",_xlfn.XLOOKUP(A2177:A6217,'参照_武将'!A:A,'参照_武将'!B:B,"見つかりません"))</f>
      </c>
      <c r="C2177" s="4" t="s">
        <v>264</v>
      </c>
      <c r="D2177" s="4">
        <v>54</v>
      </c>
      <c r="E2177" s="12" t="str">
        <f t="array" ref="E2177">IF(D2177:D6217="","",IFERROR(_xlfn.XLOOKUP(D2177:D6217,'参照_勢力'!A:A,'参照_勢力'!B:B),IFERROR(_xlfn.XLOOKUP(F2177:F6217,kunishuClan!A:A,kunishuClan!B:B),"浪人")))</f>
      </c>
      <c r="F2177" s="4">
        <v>0</v>
      </c>
      <c r="G2177" s="4">
        <v>152</v>
      </c>
      <c r="H2177" s="12" t="str">
        <f t="array" ref="H2177">IF(G2177:G6217="","",_xlfn.XLOOKUP(G2177:G6217,castles_state!A:A,castles_state!D:D,"見つかりません"))</f>
      </c>
      <c r="I2177" s="4"/>
      <c r="J2177" s="12" t="str">
        <f t="array" ref="J2177">IF(I2177:I6217="","",_xlfn.XLOOKUP(I2177:I6217,'参照_姫'!A:A,'参照_姫'!B:B,"見つかりません"))</f>
      </c>
      <c r="K2177" s="4">
        <v>95</v>
      </c>
      <c r="L2177" s="4">
        <v>0</v>
      </c>
      <c r="M2177" s="4"/>
      <c r="N2177" s="4"/>
      <c r="O2177" s="4"/>
      <c r="P2177" s="12" t="str">
        <f t="array" ref="P2177">IF(O2177:O6217="","",_xlfn.XLOOKUP(O2177:O6217,'参照_官位'!A:A,'参照_官位'!B:B,""))</f>
      </c>
      <c r="Q2177" s="12" t="str">
        <f t="array" ref="Q2177">IF(A2177:A6217="","",IFERROR(_xlfn.XLOOKUP(A2177:A6217,castles_state!K:K,castles_state!D:D)&amp;"主",IFERROR(_xlfn.XLOOKUP(A2177:A6217,kunishuClan!D:D,kunishuClan!B:B)&amp;"当主","")))</f>
      </c>
    </row>
    <row r="2178" ht="15.75" customHeight="1">
      <c r="A2178" s="4">
        <v>1054501</v>
      </c>
      <c r="B2178" s="12" t="str">
        <f t="array" ref="B2178">IF(A2178:A6218="","",_xlfn.XLOOKUP(A2178:A6218,'参照_武将'!A:A,'参照_武将'!B:B,"見つかりません"))</f>
      </c>
      <c r="C2178" s="4" t="s">
        <v>5958</v>
      </c>
      <c r="D2178" s="4">
        <v>54</v>
      </c>
      <c r="E2178" s="12" t="str">
        <f t="array" ref="E2178">IF(D2178:D6218="","",IFERROR(_xlfn.XLOOKUP(D2178:D6218,'参照_勢力'!A:A,'参照_勢力'!B:B),IFERROR(_xlfn.XLOOKUP(F2178:F6218,kunishuClan!A:A,kunishuClan!B:B),"浪人")))</f>
      </c>
      <c r="F2178" s="4">
        <v>0</v>
      </c>
      <c r="G2178" s="4">
        <v>152</v>
      </c>
      <c r="H2178" s="12" t="str">
        <f t="array" ref="H2178">IF(G2178:G6218="","",_xlfn.XLOOKUP(G2178:G6218,castles_state!A:A,castles_state!D:D,"見つかりません"))</f>
      </c>
      <c r="I2178" s="4"/>
      <c r="J2178" s="12" t="str">
        <f t="array" ref="J2178">IF(I2178:I6218="","",_xlfn.XLOOKUP(I2178:I6218,'参照_姫'!A:A,'参照_姫'!B:B,"見つかりません"))</f>
      </c>
      <c r="K2178" s="4">
        <v>95</v>
      </c>
      <c r="L2178" s="4">
        <v>0</v>
      </c>
      <c r="M2178" s="4"/>
      <c r="N2178" s="4"/>
      <c r="O2178" s="4"/>
      <c r="P2178" s="12" t="str">
        <f t="array" ref="P2178">IF(O2178:O6218="","",_xlfn.XLOOKUP(O2178:O6218,'参照_官位'!A:A,'参照_官位'!B:B,""))</f>
      </c>
      <c r="Q2178" s="12" t="str">
        <f t="array" ref="Q2178">IF(A2178:A6218="","",IFERROR(_xlfn.XLOOKUP(A2178:A6218,castles_state!K:K,castles_state!D:D)&amp;"主",IFERROR(_xlfn.XLOOKUP(A2178:A6218,kunishuClan!D:D,kunishuClan!B:B)&amp;"当主","")))</f>
      </c>
    </row>
    <row r="2179" ht="15.75" customHeight="1">
      <c r="A2179" s="4">
        <v>1054502</v>
      </c>
      <c r="B2179" s="12" t="str">
        <f t="array" ref="B2179">IF(A2179:A6219="","",_xlfn.XLOOKUP(A2179:A6219,'参照_武将'!A:A,'参照_武将'!B:B,"見つかりません"))</f>
      </c>
      <c r="C2179" s="4" t="s">
        <v>5958</v>
      </c>
      <c r="D2179" s="4">
        <v>54</v>
      </c>
      <c r="E2179" s="12" t="str">
        <f t="array" ref="E2179">IF(D2179:D6219="","",IFERROR(_xlfn.XLOOKUP(D2179:D6219,'参照_勢力'!A:A,'参照_勢力'!B:B),IFERROR(_xlfn.XLOOKUP(F2179:F6219,kunishuClan!A:A,kunishuClan!B:B),"浪人")))</f>
      </c>
      <c r="F2179" s="4">
        <v>0</v>
      </c>
      <c r="G2179" s="4">
        <v>152</v>
      </c>
      <c r="H2179" s="12" t="str">
        <f t="array" ref="H2179">IF(G2179:G6219="","",_xlfn.XLOOKUP(G2179:G6219,castles_state!A:A,castles_state!D:D,"見つかりません"))</f>
      </c>
      <c r="I2179" s="4"/>
      <c r="J2179" s="12" t="str">
        <f t="array" ref="J2179">IF(I2179:I6219="","",_xlfn.XLOOKUP(I2179:I6219,'参照_姫'!A:A,'参照_姫'!B:B,"見つかりません"))</f>
      </c>
      <c r="K2179" s="4">
        <v>95</v>
      </c>
      <c r="L2179" s="4">
        <v>0</v>
      </c>
      <c r="M2179" s="4"/>
      <c r="N2179" s="4"/>
      <c r="O2179" s="4"/>
      <c r="P2179" s="12" t="str">
        <f t="array" ref="P2179">IF(O2179:O6219="","",_xlfn.XLOOKUP(O2179:O6219,'参照_官位'!A:A,'参照_官位'!B:B,""))</f>
      </c>
      <c r="Q2179" s="12" t="str">
        <f t="array" ref="Q2179">IF(A2179:A6219="","",IFERROR(_xlfn.XLOOKUP(A2179:A6219,castles_state!K:K,castles_state!D:D)&amp;"主",IFERROR(_xlfn.XLOOKUP(A2179:A6219,kunishuClan!D:D,kunishuClan!B:B)&amp;"当主","")))</f>
      </c>
    </row>
    <row r="2180" ht="15.75" customHeight="1">
      <c r="A2180" s="4">
        <v>1054503</v>
      </c>
      <c r="B2180" s="12" t="str">
        <f t="array" ref="B2180">IF(A2180:A6220="","",_xlfn.XLOOKUP(A2180:A6220,'参照_武将'!A:A,'参照_武将'!B:B,"見つかりません"))</f>
      </c>
      <c r="C2180" s="4" t="s">
        <v>5958</v>
      </c>
      <c r="D2180" s="4">
        <v>54</v>
      </c>
      <c r="E2180" s="12" t="str">
        <f t="array" ref="E2180">IF(D2180:D6220="","",IFERROR(_xlfn.XLOOKUP(D2180:D6220,'参照_勢力'!A:A,'参照_勢力'!B:B),IFERROR(_xlfn.XLOOKUP(F2180:F6220,kunishuClan!A:A,kunishuClan!B:B),"浪人")))</f>
      </c>
      <c r="F2180" s="4">
        <v>0</v>
      </c>
      <c r="G2180" s="4">
        <v>152</v>
      </c>
      <c r="H2180" s="12" t="str">
        <f t="array" ref="H2180">IF(G2180:G6220="","",_xlfn.XLOOKUP(G2180:G6220,castles_state!A:A,castles_state!D:D,"見つかりません"))</f>
      </c>
      <c r="I2180" s="4"/>
      <c r="J2180" s="12" t="str">
        <f t="array" ref="J2180">IF(I2180:I6220="","",_xlfn.XLOOKUP(I2180:I6220,'参照_姫'!A:A,'参照_姫'!B:B,"見つかりません"))</f>
      </c>
      <c r="K2180" s="4">
        <v>95</v>
      </c>
      <c r="L2180" s="4">
        <v>0</v>
      </c>
      <c r="M2180" s="4"/>
      <c r="N2180" s="4"/>
      <c r="O2180" s="4"/>
      <c r="P2180" s="12" t="str">
        <f t="array" ref="P2180">IF(O2180:O6220="","",_xlfn.XLOOKUP(O2180:O6220,'参照_官位'!A:A,'参照_官位'!B:B,""))</f>
      </c>
      <c r="Q2180" s="12" t="str">
        <f t="array" ref="Q2180">IF(A2180:A6220="","",IFERROR(_xlfn.XLOOKUP(A2180:A6220,castles_state!K:K,castles_state!D:D)&amp;"主",IFERROR(_xlfn.XLOOKUP(A2180:A6220,kunishuClan!D:D,kunishuClan!B:B)&amp;"当主","")))</f>
      </c>
    </row>
    <row r="2181" ht="15.75" customHeight="1">
      <c r="A2181" s="4">
        <v>1054504</v>
      </c>
      <c r="B2181" s="12" t="str">
        <f t="array" ref="B2181">IF(A2181:A6221="","",_xlfn.XLOOKUP(A2181:A6221,'参照_武将'!A:A,'参照_武将'!B:B,"見つかりません"))</f>
      </c>
      <c r="C2181" s="4" t="s">
        <v>5958</v>
      </c>
      <c r="D2181" s="4">
        <v>54</v>
      </c>
      <c r="E2181" s="12" t="str">
        <f t="array" ref="E2181">IF(D2181:D6221="","",IFERROR(_xlfn.XLOOKUP(D2181:D6221,'参照_勢力'!A:A,'参照_勢力'!B:B),IFERROR(_xlfn.XLOOKUP(F2181:F6221,kunishuClan!A:A,kunishuClan!B:B),"浪人")))</f>
      </c>
      <c r="F2181" s="4">
        <v>0</v>
      </c>
      <c r="G2181" s="4">
        <v>152</v>
      </c>
      <c r="H2181" s="12" t="str">
        <f t="array" ref="H2181">IF(G2181:G6221="","",_xlfn.XLOOKUP(G2181:G6221,castles_state!A:A,castles_state!D:D,"見つかりません"))</f>
      </c>
      <c r="I2181" s="4">
        <v>23</v>
      </c>
      <c r="J2181" s="12" t="str">
        <f t="array" ref="J2181">IF(I2181:I6221="","",_xlfn.XLOOKUP(I2181:I6221,'参照_姫'!A:A,'参照_姫'!B:B,"見つかりません"))</f>
      </c>
      <c r="K2181" s="4">
        <v>95</v>
      </c>
      <c r="L2181" s="4">
        <v>100</v>
      </c>
      <c r="M2181" s="4"/>
      <c r="N2181" s="4"/>
      <c r="O2181" s="4"/>
      <c r="P2181" s="12" t="str">
        <f t="array" ref="P2181">IF(O2181:O6221="","",_xlfn.XLOOKUP(O2181:O6221,'参照_官位'!A:A,'参照_官位'!B:B,""))</f>
      </c>
      <c r="Q2181" s="12" t="str">
        <f t="array" ref="Q2181">IF(A2181:A6221="","",IFERROR(_xlfn.XLOOKUP(A2181:A6221,castles_state!K:K,castles_state!D:D)&amp;"主",IFERROR(_xlfn.XLOOKUP(A2181:A6221,kunishuClan!D:D,kunishuClan!B:B)&amp;"当主","")))</f>
      </c>
    </row>
    <row r="2182" ht="15.75" customHeight="1">
      <c r="A2182" s="4">
        <v>1054505</v>
      </c>
      <c r="B2182" s="12" t="str">
        <f t="array" ref="B2182">IF(A2182:A6222="","",_xlfn.XLOOKUP(A2182:A6222,'参照_武将'!A:A,'参照_武将'!B:B,"見つかりません"))</f>
      </c>
      <c r="C2182" s="4" t="s">
        <v>5958</v>
      </c>
      <c r="D2182" s="4">
        <v>54</v>
      </c>
      <c r="E2182" s="12" t="str">
        <f t="array" ref="E2182">IF(D2182:D6222="","",IFERROR(_xlfn.XLOOKUP(D2182:D6222,'参照_勢力'!A:A,'参照_勢力'!B:B),IFERROR(_xlfn.XLOOKUP(F2182:F6222,kunishuClan!A:A,kunishuClan!B:B),"浪人")))</f>
      </c>
      <c r="F2182" s="4">
        <v>0</v>
      </c>
      <c r="G2182" s="4">
        <v>152</v>
      </c>
      <c r="H2182" s="12" t="str">
        <f t="array" ref="H2182">IF(G2182:G6222="","",_xlfn.XLOOKUP(G2182:G6222,castles_state!A:A,castles_state!D:D,"見つかりません"))</f>
      </c>
      <c r="I2182" s="4"/>
      <c r="J2182" s="12" t="str">
        <f t="array" ref="J2182">IF(I2182:I6222="","",_xlfn.XLOOKUP(I2182:I6222,'参照_姫'!A:A,'参照_姫'!B:B,"見つかりません"))</f>
      </c>
      <c r="K2182" s="4">
        <v>95</v>
      </c>
      <c r="L2182" s="4">
        <v>0</v>
      </c>
      <c r="M2182" s="4"/>
      <c r="N2182" s="4"/>
      <c r="O2182" s="4"/>
      <c r="P2182" s="12" t="str">
        <f t="array" ref="P2182">IF(O2182:O6222="","",_xlfn.XLOOKUP(O2182:O6222,'参照_官位'!A:A,'参照_官位'!B:B,""))</f>
      </c>
      <c r="Q2182" s="12" t="str">
        <f t="array" ref="Q2182">IF(A2182:A6222="","",IFERROR(_xlfn.XLOOKUP(A2182:A6222,castles_state!K:K,castles_state!D:D)&amp;"主",IFERROR(_xlfn.XLOOKUP(A2182:A6222,kunishuClan!D:D,kunishuClan!B:B)&amp;"当主","")))</f>
      </c>
    </row>
    <row r="2183" ht="15.75" customHeight="1">
      <c r="A2183" s="4">
        <v>1054506</v>
      </c>
      <c r="B2183" s="12" t="str">
        <f t="array" ref="B2183">IF(A2183:A6223="","",_xlfn.XLOOKUP(A2183:A6223,'参照_武将'!A:A,'参照_武将'!B:B,"見つかりません"))</f>
      </c>
      <c r="C2183" s="4" t="s">
        <v>5958</v>
      </c>
      <c r="D2183" s="4">
        <v>54</v>
      </c>
      <c r="E2183" s="12" t="str">
        <f t="array" ref="E2183">IF(D2183:D6223="","",IFERROR(_xlfn.XLOOKUP(D2183:D6223,'参照_勢力'!A:A,'参照_勢力'!B:B),IFERROR(_xlfn.XLOOKUP(F2183:F6223,kunishuClan!A:A,kunishuClan!B:B),"浪人")))</f>
      </c>
      <c r="F2183" s="4">
        <v>0</v>
      </c>
      <c r="G2183" s="4">
        <v>152</v>
      </c>
      <c r="H2183" s="12" t="str">
        <f t="array" ref="H2183">IF(G2183:G6223="","",_xlfn.XLOOKUP(G2183:G6223,castles_state!A:A,castles_state!D:D,"見つかりません"))</f>
      </c>
      <c r="I2183" s="4"/>
      <c r="J2183" s="12" t="str">
        <f t="array" ref="J2183">IF(I2183:I6223="","",_xlfn.XLOOKUP(I2183:I6223,'参照_姫'!A:A,'参照_姫'!B:B,"見つかりません"))</f>
      </c>
      <c r="K2183" s="4">
        <v>95</v>
      </c>
      <c r="L2183" s="4">
        <v>0</v>
      </c>
      <c r="M2183" s="4"/>
      <c r="N2183" s="4"/>
      <c r="O2183" s="4"/>
      <c r="P2183" s="12" t="str">
        <f t="array" ref="P2183">IF(O2183:O6223="","",_xlfn.XLOOKUP(O2183:O6223,'参照_官位'!A:A,'参照_官位'!B:B,""))</f>
      </c>
      <c r="Q2183" s="12" t="str">
        <f t="array" ref="Q2183">IF(A2183:A6223="","",IFERROR(_xlfn.XLOOKUP(A2183:A6223,castles_state!K:K,castles_state!D:D)&amp;"主",IFERROR(_xlfn.XLOOKUP(A2183:A6223,kunishuClan!D:D,kunishuClan!B:B)&amp;"当主","")))</f>
      </c>
    </row>
    <row r="2184" ht="15.75" customHeight="1">
      <c r="A2184" s="4">
        <v>1054507</v>
      </c>
      <c r="B2184" s="12" t="str">
        <f t="array" ref="B2184">IF(A2184:A6224="","",_xlfn.XLOOKUP(A2184:A6224,'参照_武将'!A:A,'参照_武将'!B:B,"見つかりません"))</f>
      </c>
      <c r="C2184" s="4" t="s">
        <v>5958</v>
      </c>
      <c r="D2184" s="4">
        <v>54</v>
      </c>
      <c r="E2184" s="12" t="str">
        <f t="array" ref="E2184">IF(D2184:D6224="","",IFERROR(_xlfn.XLOOKUP(D2184:D6224,'参照_勢力'!A:A,'参照_勢力'!B:B),IFERROR(_xlfn.XLOOKUP(F2184:F6224,kunishuClan!A:A,kunishuClan!B:B),"浪人")))</f>
      </c>
      <c r="F2184" s="4">
        <v>0</v>
      </c>
      <c r="G2184" s="4">
        <v>152</v>
      </c>
      <c r="H2184" s="12" t="str">
        <f t="array" ref="H2184">IF(G2184:G6224="","",_xlfn.XLOOKUP(G2184:G6224,castles_state!A:A,castles_state!D:D,"見つかりません"))</f>
      </c>
      <c r="I2184" s="4"/>
      <c r="J2184" s="12" t="str">
        <f t="array" ref="J2184">IF(I2184:I6224="","",_xlfn.XLOOKUP(I2184:I6224,'参照_姫'!A:A,'参照_姫'!B:B,"見つかりません"))</f>
      </c>
      <c r="K2184" s="4">
        <v>95</v>
      </c>
      <c r="L2184" s="4">
        <v>0</v>
      </c>
      <c r="M2184" s="4"/>
      <c r="N2184" s="4"/>
      <c r="O2184" s="4"/>
      <c r="P2184" s="12" t="str">
        <f t="array" ref="P2184">IF(O2184:O6224="","",_xlfn.XLOOKUP(O2184:O6224,'参照_官位'!A:A,'参照_官位'!B:B,""))</f>
      </c>
      <c r="Q2184" s="12" t="str">
        <f t="array" ref="Q2184">IF(A2184:A6224="","",IFERROR(_xlfn.XLOOKUP(A2184:A6224,castles_state!K:K,castles_state!D:D)&amp;"主",IFERROR(_xlfn.XLOOKUP(A2184:A6224,kunishuClan!D:D,kunishuClan!B:B)&amp;"当主","")))</f>
      </c>
    </row>
    <row r="2185" ht="15.75" customHeight="1">
      <c r="A2185" s="4">
        <v>1054508</v>
      </c>
      <c r="B2185" s="12" t="str">
        <f t="array" ref="B2185">IF(A2185:A6225="","",_xlfn.XLOOKUP(A2185:A6225,'参照_武将'!A:A,'参照_武将'!B:B,"見つかりません"))</f>
      </c>
      <c r="C2185" s="4" t="s">
        <v>5958</v>
      </c>
      <c r="D2185" s="4">
        <v>53</v>
      </c>
      <c r="E2185" s="12" t="str">
        <f t="array" ref="E2185">IF(D2185:D6225="","",IFERROR(_xlfn.XLOOKUP(D2185:D6225,'参照_勢力'!A:A,'参照_勢力'!B:B),IFERROR(_xlfn.XLOOKUP(F2185:F6225,kunishuClan!A:A,kunishuClan!B:B),"浪人")))</f>
      </c>
      <c r="F2185" s="4">
        <v>0</v>
      </c>
      <c r="G2185" s="4">
        <v>150</v>
      </c>
      <c r="H2185" s="12" t="str">
        <f t="array" ref="H2185">IF(G2185:G6225="","",_xlfn.XLOOKUP(G2185:G6225,castles_state!A:A,castles_state!D:D,"見つかりません"))</f>
      </c>
      <c r="I2185" s="4"/>
      <c r="J2185" s="12" t="str">
        <f t="array" ref="J2185">IF(I2185:I6225="","",_xlfn.XLOOKUP(I2185:I6225,'参照_姫'!A:A,'参照_姫'!B:B,"見つかりません"))</f>
      </c>
      <c r="K2185" s="4">
        <v>90</v>
      </c>
      <c r="L2185" s="4">
        <v>0</v>
      </c>
      <c r="M2185" s="4"/>
      <c r="N2185" s="4"/>
      <c r="O2185" s="4"/>
      <c r="P2185" s="12" t="str">
        <f t="array" ref="P2185">IF(O2185:O6225="","",_xlfn.XLOOKUP(O2185:O6225,'参照_官位'!A:A,'参照_官位'!B:B,""))</f>
      </c>
      <c r="Q2185" s="12" t="str">
        <f t="array" ref="Q2185">IF(A2185:A6225="","",IFERROR(_xlfn.XLOOKUP(A2185:A6225,castles_state!K:K,castles_state!D:D)&amp;"主",IFERROR(_xlfn.XLOOKUP(A2185:A6225,kunishuClan!D:D,kunishuClan!B:B)&amp;"当主","")))</f>
      </c>
    </row>
    <row r="2186" ht="15.75" customHeight="1">
      <c r="A2186" s="4">
        <v>1054513</v>
      </c>
      <c r="B2186" s="12" t="str">
        <f t="array" ref="B2186">IF(A2186:A6226="","",_xlfn.XLOOKUP(A2186:A6226,'参照_武将'!A:A,'参照_武将'!B:B,"見つかりません"))</f>
      </c>
      <c r="C2186" s="4" t="s">
        <v>5958</v>
      </c>
      <c r="D2186" s="4">
        <v>54</v>
      </c>
      <c r="E2186" s="12" t="str">
        <f t="array" ref="E2186">IF(D2186:D6226="","",IFERROR(_xlfn.XLOOKUP(D2186:D6226,'参照_勢力'!A:A,'参照_勢力'!B:B),IFERROR(_xlfn.XLOOKUP(F2186:F6226,kunishuClan!A:A,kunishuClan!B:B),"浪人")))</f>
      </c>
      <c r="F2186" s="4">
        <v>0</v>
      </c>
      <c r="G2186" s="4">
        <v>152</v>
      </c>
      <c r="H2186" s="12" t="str">
        <f t="array" ref="H2186">IF(G2186:G6226="","",_xlfn.XLOOKUP(G2186:G6226,castles_state!A:A,castles_state!D:D,"見つかりません"))</f>
      </c>
      <c r="I2186" s="4"/>
      <c r="J2186" s="12" t="str">
        <f t="array" ref="J2186">IF(I2186:I6226="","",_xlfn.XLOOKUP(I2186:I6226,'参照_姫'!A:A,'参照_姫'!B:B,"見つかりません"))</f>
      </c>
      <c r="K2186" s="4">
        <v>95</v>
      </c>
      <c r="L2186" s="4">
        <v>500</v>
      </c>
      <c r="M2186" s="4"/>
      <c r="N2186" s="4"/>
      <c r="O2186" s="4"/>
      <c r="P2186" s="12" t="str">
        <f t="array" ref="P2186">IF(O2186:O6226="","",_xlfn.XLOOKUP(O2186:O6226,'参照_官位'!A:A,'参照_官位'!B:B,""))</f>
      </c>
      <c r="Q2186" s="12" t="str">
        <f t="array" ref="Q2186">IF(A2186:A6226="","",IFERROR(_xlfn.XLOOKUP(A2186:A6226,castles_state!K:K,castles_state!D:D)&amp;"主",IFERROR(_xlfn.XLOOKUP(A2186:A6226,kunishuClan!D:D,kunishuClan!B:B)&amp;"当主","")))</f>
      </c>
    </row>
    <row r="2187" ht="15.75" customHeight="1">
      <c r="A2187" s="4">
        <v>1054514</v>
      </c>
      <c r="B2187" s="12" t="str">
        <f t="array" ref="B2187">IF(A2187:A6227="","",_xlfn.XLOOKUP(A2187:A6227,'参照_武将'!A:A,'参照_武将'!B:B,"見つかりません"))</f>
      </c>
      <c r="C2187" s="4" t="s">
        <v>5958</v>
      </c>
      <c r="D2187" s="4">
        <v>54</v>
      </c>
      <c r="E2187" s="12" t="str">
        <f t="array" ref="E2187">IF(D2187:D6227="","",IFERROR(_xlfn.XLOOKUP(D2187:D6227,'参照_勢力'!A:A,'参照_勢力'!B:B),IFERROR(_xlfn.XLOOKUP(F2187:F6227,kunishuClan!A:A,kunishuClan!B:B),"浪人")))</f>
      </c>
      <c r="F2187" s="4">
        <v>0</v>
      </c>
      <c r="G2187" s="4">
        <v>152</v>
      </c>
      <c r="H2187" s="12" t="str">
        <f t="array" ref="H2187">IF(G2187:G6227="","",_xlfn.XLOOKUP(G2187:G6227,castles_state!A:A,castles_state!D:D,"見つかりません"))</f>
      </c>
      <c r="I2187" s="4"/>
      <c r="J2187" s="12" t="str">
        <f t="array" ref="J2187">IF(I2187:I6227="","",_xlfn.XLOOKUP(I2187:I6227,'参照_姫'!A:A,'参照_姫'!B:B,"見つかりません"))</f>
      </c>
      <c r="K2187" s="4">
        <v>95</v>
      </c>
      <c r="L2187" s="4">
        <v>0</v>
      </c>
      <c r="M2187" s="4"/>
      <c r="N2187" s="4"/>
      <c r="O2187" s="4"/>
      <c r="P2187" s="12" t="str">
        <f t="array" ref="P2187">IF(O2187:O6227="","",_xlfn.XLOOKUP(O2187:O6227,'参照_官位'!A:A,'参照_官位'!B:B,""))</f>
      </c>
      <c r="Q2187" s="12" t="str">
        <f t="array" ref="Q2187">IF(A2187:A6227="","",IFERROR(_xlfn.XLOOKUP(A2187:A6227,castles_state!K:K,castles_state!D:D)&amp;"主",IFERROR(_xlfn.XLOOKUP(A2187:A6227,kunishuClan!D:D,kunishuClan!B:B)&amp;"当主","")))</f>
      </c>
    </row>
    <row r="2188" ht="15.75" customHeight="1">
      <c r="A2188" s="4">
        <v>1054515</v>
      </c>
      <c r="B2188" s="12" t="str">
        <f t="array" ref="B2188">IF(A2188:A6228="","",_xlfn.XLOOKUP(A2188:A6228,'参照_武将'!A:A,'参照_武将'!B:B,"見つかりません"))</f>
      </c>
      <c r="C2188" s="4" t="s">
        <v>5958</v>
      </c>
      <c r="D2188" s="4">
        <v>54</v>
      </c>
      <c r="E2188" s="12" t="str">
        <f t="array" ref="E2188">IF(D2188:D6228="","",IFERROR(_xlfn.XLOOKUP(D2188:D6228,'参照_勢力'!A:A,'参照_勢力'!B:B),IFERROR(_xlfn.XLOOKUP(F2188:F6228,kunishuClan!A:A,kunishuClan!B:B),"浪人")))</f>
      </c>
      <c r="F2188" s="4">
        <v>0</v>
      </c>
      <c r="G2188" s="4">
        <v>152</v>
      </c>
      <c r="H2188" s="12" t="str">
        <f t="array" ref="H2188">IF(G2188:G6228="","",_xlfn.XLOOKUP(G2188:G6228,castles_state!A:A,castles_state!D:D,"見つかりません"))</f>
      </c>
      <c r="I2188" s="4"/>
      <c r="J2188" s="12" t="str">
        <f t="array" ref="J2188">IF(I2188:I6228="","",_xlfn.XLOOKUP(I2188:I6228,'参照_姫'!A:A,'参照_姫'!B:B,"見つかりません"))</f>
      </c>
      <c r="K2188" s="4">
        <v>95</v>
      </c>
      <c r="L2188" s="4">
        <v>0</v>
      </c>
      <c r="M2188" s="4"/>
      <c r="N2188" s="4"/>
      <c r="O2188" s="4"/>
      <c r="P2188" s="12" t="str">
        <f t="array" ref="P2188">IF(O2188:O6228="","",_xlfn.XLOOKUP(O2188:O6228,'参照_官位'!A:A,'参照_官位'!B:B,""))</f>
      </c>
      <c r="Q2188" s="12" t="str">
        <f t="array" ref="Q2188">IF(A2188:A6228="","",IFERROR(_xlfn.XLOOKUP(A2188:A6228,castles_state!K:K,castles_state!D:D)&amp;"主",IFERROR(_xlfn.XLOOKUP(A2188:A6228,kunishuClan!D:D,kunishuClan!B:B)&amp;"当主","")))</f>
      </c>
    </row>
    <row r="2189" ht="15.75" customHeight="1">
      <c r="A2189" s="4">
        <v>1055001</v>
      </c>
      <c r="B2189" s="12" t="str">
        <f t="array" ref="B2189">IF(A2189:A6231="","",_xlfn.XLOOKUP(A2189:A6231,'参照_武将'!A:A,'参照_武将'!B:B,"見つかりません"))</f>
      </c>
      <c r="C2189" s="4" t="s">
        <v>268</v>
      </c>
      <c r="D2189" s="4">
        <v>53</v>
      </c>
      <c r="E2189" s="12" t="str">
        <f t="array" ref="E2189">IF(D2189:D6231="","",IFERROR(_xlfn.XLOOKUP(D2189:D6231,'参照_勢力'!A:A,'参照_勢力'!B:B),IFERROR(_xlfn.XLOOKUP(F2189:F6231,kunishuClan!A:A,kunishuClan!B:B),"浪人")))</f>
      </c>
      <c r="F2189" s="4">
        <v>0</v>
      </c>
      <c r="G2189" s="4">
        <v>149</v>
      </c>
      <c r="H2189" s="12" t="str">
        <f t="array" ref="H2189">IF(G2189:G6231="","",_xlfn.XLOOKUP(G2189:G6231,castles_state!A:A,castles_state!D:D,"見つかりません"))</f>
      </c>
      <c r="I2189" s="4"/>
      <c r="J2189" s="12" t="str">
        <f t="array" ref="J2189">IF(I2189:I6231="","",_xlfn.XLOOKUP(I2189:I6231,'参照_姫'!A:A,'参照_姫'!B:B,"見つかりません"))</f>
      </c>
      <c r="K2189" s="4">
        <v>95</v>
      </c>
      <c r="L2189" s="4">
        <v>0</v>
      </c>
      <c r="M2189" s="4"/>
      <c r="N2189" s="4"/>
      <c r="O2189" s="4"/>
      <c r="P2189" s="12" t="str">
        <f t="array" ref="P2189">IF(O2189:O6231="","",_xlfn.XLOOKUP(O2189:O6231,'参照_官位'!A:A,'参照_官位'!B:B,""))</f>
      </c>
      <c r="Q2189" s="12" t="str">
        <f t="array" ref="Q2189">IF(A2189:A6231="","",IFERROR(_xlfn.XLOOKUP(A2189:A6231,castles_state!K:K,castles_state!D:D)&amp;"主",IFERROR(_xlfn.XLOOKUP(A2189:A6231,kunishuClan!D:D,kunishuClan!B:B)&amp;"当主","")))</f>
      </c>
    </row>
    <row r="2190" ht="15.75" customHeight="1">
      <c r="A2190" s="4">
        <v>1055002</v>
      </c>
      <c r="B2190" s="12" t="str">
        <f t="array" ref="B2190">IF(A2190:A6232="","",_xlfn.XLOOKUP(A2190:A6232,'参照_武将'!A:A,'参照_武将'!B:B,"見つかりません"))</f>
      </c>
      <c r="C2190" s="4" t="s">
        <v>268</v>
      </c>
      <c r="D2190" s="4">
        <v>53</v>
      </c>
      <c r="E2190" s="12" t="str">
        <f t="array" ref="E2190">IF(D2190:D6232="","",IFERROR(_xlfn.XLOOKUP(D2190:D6232,'参照_勢力'!A:A,'参照_勢力'!B:B),IFERROR(_xlfn.XLOOKUP(F2190:F6232,kunishuClan!A:A,kunishuClan!B:B),"浪人")))</f>
      </c>
      <c r="F2190" s="4">
        <v>0</v>
      </c>
      <c r="G2190" s="4">
        <v>149</v>
      </c>
      <c r="H2190" s="12" t="str">
        <f t="array" ref="H2190">IF(G2190:G6232="","",_xlfn.XLOOKUP(G2190:G6232,castles_state!A:A,castles_state!D:D,"見つかりません"))</f>
      </c>
      <c r="I2190" s="4"/>
      <c r="J2190" s="12" t="str">
        <f t="array" ref="J2190">IF(I2190:I6232="","",_xlfn.XLOOKUP(I2190:I6232,'参照_姫'!A:A,'参照_姫'!B:B,"見つかりません"))</f>
      </c>
      <c r="K2190" s="4">
        <v>95</v>
      </c>
      <c r="L2190" s="4">
        <v>0</v>
      </c>
      <c r="M2190" s="4"/>
      <c r="N2190" s="4"/>
      <c r="O2190" s="4"/>
      <c r="P2190" s="12" t="str">
        <f t="array" ref="P2190">IF(O2190:O6232="","",_xlfn.XLOOKUP(O2190:O6232,'参照_官位'!A:A,'参照_官位'!B:B,""))</f>
      </c>
      <c r="Q2190" s="12" t="str">
        <f t="array" ref="Q2190">IF(A2190:A6232="","",IFERROR(_xlfn.XLOOKUP(A2190:A6232,castles_state!K:K,castles_state!D:D)&amp;"主",IFERROR(_xlfn.XLOOKUP(A2190:A6232,kunishuClan!D:D,kunishuClan!B:B)&amp;"当主","")))</f>
      </c>
    </row>
    <row r="2191" ht="15.75" customHeight="1">
      <c r="A2191" s="4">
        <v>1055003</v>
      </c>
      <c r="B2191" s="12" t="str">
        <f t="array" ref="B2191">IF(A2191:A6233="","",_xlfn.XLOOKUP(A2191:A6233,'参照_武将'!A:A,'参照_武将'!B:B,"見つかりません"))</f>
      </c>
      <c r="C2191" s="4" t="s">
        <v>268</v>
      </c>
      <c r="D2191" s="4">
        <v>55</v>
      </c>
      <c r="E2191" s="12" t="str">
        <f t="array" ref="E2191">IF(D2191:D6233="","",IFERROR(_xlfn.XLOOKUP(D2191:D6233,'参照_勢力'!A:A,'参照_勢力'!B:B),IFERROR(_xlfn.XLOOKUP(F2191:F6233,kunishuClan!A:A,kunishuClan!B:B),"浪人")))</f>
      </c>
      <c r="F2191" s="4">
        <v>0</v>
      </c>
      <c r="G2191" s="4">
        <v>149</v>
      </c>
      <c r="H2191" s="12" t="str">
        <f t="array" ref="H2191">IF(G2191:G6233="","",_xlfn.XLOOKUP(G2191:G6233,castles_state!A:A,castles_state!D:D,"見つかりません"))</f>
      </c>
      <c r="I2191" s="4"/>
      <c r="J2191" s="12" t="str">
        <f t="array" ref="J2191">IF(I2191:I6233="","",_xlfn.XLOOKUP(I2191:I6233,'参照_姫'!A:A,'参照_姫'!B:B,"見つかりません"))</f>
      </c>
      <c r="K2191" s="4">
        <v>100</v>
      </c>
      <c r="L2191" s="4">
        <v>1500</v>
      </c>
      <c r="M2191" s="4"/>
      <c r="N2191" s="4"/>
      <c r="O2191" s="4"/>
      <c r="P2191" s="12" t="str">
        <f t="array" ref="P2191">IF(O2191:O6233="","",_xlfn.XLOOKUP(O2191:O6233,'参照_官位'!A:A,'参照_官位'!B:B,""))</f>
      </c>
      <c r="Q2191" s="12" t="str">
        <f t="array" ref="Q2191">IF(A2191:A6233="","",IFERROR(_xlfn.XLOOKUP(A2191:A6233,castles_state!K:K,castles_state!D:D)&amp;"主",IFERROR(_xlfn.XLOOKUP(A2191:A6233,kunishuClan!D:D,kunishuClan!B:B)&amp;"当主","")))</f>
      </c>
    </row>
    <row r="2192" ht="15.75" customHeight="1">
      <c r="A2192" s="4">
        <v>1055004</v>
      </c>
      <c r="B2192" s="12" t="str">
        <f t="array" ref="B2192">IF(A2192:A6234="","",_xlfn.XLOOKUP(A2192:A6234,'参照_武将'!A:A,'参照_武将'!B:B,"見つかりません"))</f>
      </c>
      <c r="C2192" s="4" t="s">
        <v>268</v>
      </c>
      <c r="D2192" s="4">
        <v>53</v>
      </c>
      <c r="E2192" s="12" t="str">
        <f t="array" ref="E2192">IF(D2192:D6234="","",IFERROR(_xlfn.XLOOKUP(D2192:D6234,'参照_勢力'!A:A,'参照_勢力'!B:B),IFERROR(_xlfn.XLOOKUP(F2192:F6234,kunishuClan!A:A,kunishuClan!B:B),"浪人")))</f>
      </c>
      <c r="F2192" s="4">
        <v>0</v>
      </c>
      <c r="G2192" s="4">
        <v>149</v>
      </c>
      <c r="H2192" s="12" t="str">
        <f t="array" ref="H2192">IF(G2192:G6234="","",_xlfn.XLOOKUP(G2192:G6234,castles_state!A:A,castles_state!D:D,"見つかりません"))</f>
      </c>
      <c r="I2192" s="4"/>
      <c r="J2192" s="12" t="str">
        <f t="array" ref="J2192">IF(I2192:I6234="","",_xlfn.XLOOKUP(I2192:I6234,'参照_姫'!A:A,'参照_姫'!B:B,"見つかりません"))</f>
      </c>
      <c r="K2192" s="4">
        <v>95</v>
      </c>
      <c r="L2192" s="4">
        <v>500</v>
      </c>
      <c r="M2192" s="4"/>
      <c r="N2192" s="4"/>
      <c r="O2192" s="4"/>
      <c r="P2192" s="12" t="str">
        <f t="array" ref="P2192">IF(O2192:O6234="","",_xlfn.XLOOKUP(O2192:O6234,'参照_官位'!A:A,'参照_官位'!B:B,""))</f>
      </c>
      <c r="Q2192" s="12" t="str">
        <f t="array" ref="Q2192">IF(A2192:A6234="","",IFERROR(_xlfn.XLOOKUP(A2192:A6234,castles_state!K:K,castles_state!D:D)&amp;"主",IFERROR(_xlfn.XLOOKUP(A2192:A6234,kunishuClan!D:D,kunishuClan!B:B)&amp;"当主","")))</f>
      </c>
    </row>
    <row r="2193" ht="15.75" customHeight="1">
      <c r="A2193" s="4">
        <v>1055005</v>
      </c>
      <c r="B2193" s="12" t="str">
        <f t="array" ref="B2193">IF(A2193:A6235="","",_xlfn.XLOOKUP(A2193:A6235,'参照_武将'!A:A,'参照_武将'!B:B,"見つかりません"))</f>
      </c>
      <c r="C2193" s="4" t="s">
        <v>268</v>
      </c>
      <c r="D2193" s="4">
        <v>53</v>
      </c>
      <c r="E2193" s="12" t="str">
        <f t="array" ref="E2193">IF(D2193:D6235="","",IFERROR(_xlfn.XLOOKUP(D2193:D6235,'参照_勢力'!A:A,'参照_勢力'!B:B),IFERROR(_xlfn.XLOOKUP(F2193:F6235,kunishuClan!A:A,kunishuClan!B:B),"浪人")))</f>
      </c>
      <c r="F2193" s="4">
        <v>0</v>
      </c>
      <c r="G2193" s="4">
        <v>149</v>
      </c>
      <c r="H2193" s="12" t="str">
        <f t="array" ref="H2193">IF(G2193:G6235="","",_xlfn.XLOOKUP(G2193:G6235,castles_state!A:A,castles_state!D:D,"見つかりません"))</f>
      </c>
      <c r="I2193" s="4"/>
      <c r="J2193" s="12" t="str">
        <f t="array" ref="J2193">IF(I2193:I6235="","",_xlfn.XLOOKUP(I2193:I6235,'参照_姫'!A:A,'参照_姫'!B:B,"見つかりません"))</f>
      </c>
      <c r="K2193" s="4">
        <v>95</v>
      </c>
      <c r="L2193" s="4">
        <v>500</v>
      </c>
      <c r="M2193" s="4"/>
      <c r="N2193" s="4"/>
      <c r="O2193" s="4"/>
      <c r="P2193" s="12" t="str">
        <f t="array" ref="P2193">IF(O2193:O6235="","",_xlfn.XLOOKUP(O2193:O6235,'参照_官位'!A:A,'参照_官位'!B:B,""))</f>
      </c>
      <c r="Q2193" s="12" t="str">
        <f t="array" ref="Q2193">IF(A2193:A6235="","",IFERROR(_xlfn.XLOOKUP(A2193:A6235,castles_state!K:K,castles_state!D:D)&amp;"主",IFERROR(_xlfn.XLOOKUP(A2193:A6235,kunishuClan!D:D,kunishuClan!B:B)&amp;"当主","")))</f>
      </c>
    </row>
    <row r="2194" ht="15.75" customHeight="1">
      <c r="A2194" s="4">
        <v>1055006</v>
      </c>
      <c r="B2194" s="12" t="str">
        <f t="array" ref="B2194">IF(A2194:A6236="","",_xlfn.XLOOKUP(A2194:A6236,'参照_武将'!A:A,'参照_武将'!B:B,"見つかりません"))</f>
      </c>
      <c r="C2194" s="4" t="s">
        <v>268</v>
      </c>
      <c r="D2194" s="4">
        <v>55</v>
      </c>
      <c r="E2194" s="12" t="str">
        <f t="array" ref="E2194">IF(D2194:D6236="","",IFERROR(_xlfn.XLOOKUP(D2194:D6236,'参照_勢力'!A:A,'参照_勢力'!B:B),IFERROR(_xlfn.XLOOKUP(F2194:F6236,kunishuClan!A:A,kunishuClan!B:B),"浪人")))</f>
      </c>
      <c r="F2194" s="4">
        <v>0</v>
      </c>
      <c r="G2194" s="4">
        <v>149</v>
      </c>
      <c r="H2194" s="12" t="str">
        <f t="array" ref="H2194">IF(G2194:G6236="","",_xlfn.XLOOKUP(G2194:G6236,castles_state!A:A,castles_state!D:D,"見つかりません"))</f>
      </c>
      <c r="I2194" s="4"/>
      <c r="J2194" s="12" t="str">
        <f t="array" ref="J2194">IF(I2194:I6236="","",_xlfn.XLOOKUP(I2194:I6236,'参照_姫'!A:A,'参照_姫'!B:B,"見つかりません"))</f>
      </c>
      <c r="K2194" s="4">
        <v>95</v>
      </c>
      <c r="L2194" s="4">
        <v>700</v>
      </c>
      <c r="M2194" s="4"/>
      <c r="N2194" s="4"/>
      <c r="O2194" s="4"/>
      <c r="P2194" s="12" t="str">
        <f t="array" ref="P2194">IF(O2194:O6236="","",_xlfn.XLOOKUP(O2194:O6236,'参照_官位'!A:A,'参照_官位'!B:B,""))</f>
      </c>
      <c r="Q2194" s="12" t="str">
        <f t="array" ref="Q2194">IF(A2194:A6236="","",IFERROR(_xlfn.XLOOKUP(A2194:A6236,castles_state!K:K,castles_state!D:D)&amp;"主",IFERROR(_xlfn.XLOOKUP(A2194:A6236,kunishuClan!D:D,kunishuClan!B:B)&amp;"当主","")))</f>
      </c>
    </row>
    <row r="2195" ht="15.75" customHeight="1">
      <c r="A2195" s="4">
        <v>1055007</v>
      </c>
      <c r="B2195" s="12" t="str">
        <f t="array" ref="B2195">IF(A2195:A6237="","",_xlfn.XLOOKUP(A2195:A6237,'参照_武将'!A:A,'参照_武将'!B:B,"見つかりません"))</f>
      </c>
      <c r="C2195" s="4" t="s">
        <v>268</v>
      </c>
      <c r="D2195" s="4">
        <v>55</v>
      </c>
      <c r="E2195" s="12" t="str">
        <f t="array" ref="E2195">IF(D2195:D6237="","",IFERROR(_xlfn.XLOOKUP(D2195:D6237,'参照_勢力'!A:A,'参照_勢力'!B:B),IFERROR(_xlfn.XLOOKUP(F2195:F6237,kunishuClan!A:A,kunishuClan!B:B),"浪人")))</f>
      </c>
      <c r="F2195" s="4">
        <v>0</v>
      </c>
      <c r="G2195" s="4">
        <v>149</v>
      </c>
      <c r="H2195" s="12" t="str">
        <f t="array" ref="H2195">IF(G2195:G6237="","",_xlfn.XLOOKUP(G2195:G6237,castles_state!A:A,castles_state!D:D,"見つかりません"))</f>
      </c>
      <c r="I2195" s="4"/>
      <c r="J2195" s="12" t="str">
        <f t="array" ref="J2195">IF(I2195:I6237="","",_xlfn.XLOOKUP(I2195:I6237,'参照_姫'!A:A,'参照_姫'!B:B,"見つかりません"))</f>
      </c>
      <c r="K2195" s="4">
        <v>95</v>
      </c>
      <c r="L2195" s="4">
        <v>0</v>
      </c>
      <c r="M2195" s="4"/>
      <c r="N2195" s="4"/>
      <c r="O2195" s="4"/>
      <c r="P2195" s="12" t="str">
        <f t="array" ref="P2195">IF(O2195:O6237="","",_xlfn.XLOOKUP(O2195:O6237,'参照_官位'!A:A,'参照_官位'!B:B,""))</f>
      </c>
      <c r="Q2195" s="12" t="str">
        <f t="array" ref="Q2195">IF(A2195:A6237="","",IFERROR(_xlfn.XLOOKUP(A2195:A6237,castles_state!K:K,castles_state!D:D)&amp;"主",IFERROR(_xlfn.XLOOKUP(A2195:A6237,kunishuClan!D:D,kunishuClan!B:B)&amp;"当主","")))</f>
      </c>
    </row>
    <row r="2196" ht="15.75" customHeight="1">
      <c r="A2196" s="4">
        <v>1055008</v>
      </c>
      <c r="B2196" s="12" t="str">
        <f t="array" ref="B2196">IF(A2196:A6238="","",_xlfn.XLOOKUP(A2196:A6238,'参照_武将'!A:A,'参照_武将'!B:B,"見つかりません"))</f>
      </c>
      <c r="C2196" s="4" t="s">
        <v>268</v>
      </c>
      <c r="D2196" s="4">
        <v>53</v>
      </c>
      <c r="E2196" s="12" t="str">
        <f t="array" ref="E2196">IF(D2196:D6238="","",IFERROR(_xlfn.XLOOKUP(D2196:D6238,'参照_勢力'!A:A,'参照_勢力'!B:B),IFERROR(_xlfn.XLOOKUP(F2196:F6238,kunishuClan!A:A,kunishuClan!B:B),"浪人")))</f>
      </c>
      <c r="F2196" s="4">
        <v>0</v>
      </c>
      <c r="G2196" s="4">
        <v>149</v>
      </c>
      <c r="H2196" s="12" t="str">
        <f t="array" ref="H2196">IF(G2196:G6238="","",_xlfn.XLOOKUP(G2196:G6238,castles_state!A:A,castles_state!D:D,"見つかりません"))</f>
      </c>
      <c r="I2196" s="4"/>
      <c r="J2196" s="12" t="str">
        <f t="array" ref="J2196">IF(I2196:I6238="","",_xlfn.XLOOKUP(I2196:I6238,'参照_姫'!A:A,'参照_姫'!B:B,"見つかりません"))</f>
      </c>
      <c r="K2196" s="4">
        <v>95</v>
      </c>
      <c r="L2196" s="4">
        <v>0</v>
      </c>
      <c r="M2196" s="4"/>
      <c r="N2196" s="4"/>
      <c r="O2196" s="4"/>
      <c r="P2196" s="12" t="str">
        <f t="array" ref="P2196">IF(O2196:O6238="","",_xlfn.XLOOKUP(O2196:O6238,'参照_官位'!A:A,'参照_官位'!B:B,""))</f>
      </c>
      <c r="Q2196" s="12" t="str">
        <f t="array" ref="Q2196">IF(A2196:A6238="","",IFERROR(_xlfn.XLOOKUP(A2196:A6238,castles_state!K:K,castles_state!D:D)&amp;"主",IFERROR(_xlfn.XLOOKUP(A2196:A6238,kunishuClan!D:D,kunishuClan!B:B)&amp;"当主","")))</f>
      </c>
    </row>
    <row r="2197" ht="15.75" customHeight="1">
      <c r="A2197" s="4">
        <v>1055009</v>
      </c>
      <c r="B2197" s="12" t="str">
        <f t="array" ref="B2197">IF(A2197:A6239="","",_xlfn.XLOOKUP(A2197:A6239,'参照_武将'!A:A,'参照_武将'!B:B,"見つかりません"))</f>
      </c>
      <c r="C2197" s="4" t="s">
        <v>268</v>
      </c>
      <c r="D2197" s="4">
        <v>53</v>
      </c>
      <c r="E2197" s="12" t="str">
        <f t="array" ref="E2197">IF(D2197:D6239="","",IFERROR(_xlfn.XLOOKUP(D2197:D6239,'参照_勢力'!A:A,'参照_勢力'!B:B),IFERROR(_xlfn.XLOOKUP(F2197:F6239,kunishuClan!A:A,kunishuClan!B:B),"浪人")))</f>
      </c>
      <c r="F2197" s="4">
        <v>0</v>
      </c>
      <c r="G2197" s="4">
        <v>149</v>
      </c>
      <c r="H2197" s="12" t="str">
        <f t="array" ref="H2197">IF(G2197:G6239="","",_xlfn.XLOOKUP(G2197:G6239,castles_state!A:A,castles_state!D:D,"見つかりません"))</f>
      </c>
      <c r="I2197" s="4"/>
      <c r="J2197" s="12" t="str">
        <f t="array" ref="J2197">IF(I2197:I6239="","",_xlfn.XLOOKUP(I2197:I6239,'参照_姫'!A:A,'参照_姫'!B:B,"見つかりません"))</f>
      </c>
      <c r="K2197" s="4">
        <v>95</v>
      </c>
      <c r="L2197" s="4">
        <v>0</v>
      </c>
      <c r="M2197" s="4"/>
      <c r="N2197" s="4"/>
      <c r="O2197" s="4"/>
      <c r="P2197" s="12" t="str">
        <f t="array" ref="P2197">IF(O2197:O6239="","",_xlfn.XLOOKUP(O2197:O6239,'参照_官位'!A:A,'参照_官位'!B:B,""))</f>
      </c>
      <c r="Q2197" s="12" t="str">
        <f t="array" ref="Q2197">IF(A2197:A6239="","",IFERROR(_xlfn.XLOOKUP(A2197:A6239,castles_state!K:K,castles_state!D:D)&amp;"主",IFERROR(_xlfn.XLOOKUP(A2197:A6239,kunishuClan!D:D,kunishuClan!B:B)&amp;"当主","")))</f>
      </c>
    </row>
    <row r="2198" ht="15.75" customHeight="1">
      <c r="A2198" s="4">
        <v>1055010</v>
      </c>
      <c r="B2198" s="12" t="str">
        <f t="array" ref="B2198">IF(A2198:A6240="","",_xlfn.XLOOKUP(A2198:A6240,'参照_武将'!A:A,'参照_武将'!B:B,"見つかりません"))</f>
      </c>
      <c r="C2198" s="4" t="s">
        <v>268</v>
      </c>
      <c r="D2198" s="4">
        <v>53</v>
      </c>
      <c r="E2198" s="12" t="str">
        <f t="array" ref="E2198">IF(D2198:D6240="","",IFERROR(_xlfn.XLOOKUP(D2198:D6240,'参照_勢力'!A:A,'参照_勢力'!B:B),IFERROR(_xlfn.XLOOKUP(F2198:F6240,kunishuClan!A:A,kunishuClan!B:B),"浪人")))</f>
      </c>
      <c r="F2198" s="4">
        <v>0</v>
      </c>
      <c r="G2198" s="4">
        <v>149</v>
      </c>
      <c r="H2198" s="12" t="str">
        <f t="array" ref="H2198">IF(G2198:G6240="","",_xlfn.XLOOKUP(G2198:G6240,castles_state!A:A,castles_state!D:D,"見つかりません"))</f>
      </c>
      <c r="I2198" s="4"/>
      <c r="J2198" s="12" t="str">
        <f t="array" ref="J2198">IF(I2198:I6240="","",_xlfn.XLOOKUP(I2198:I6240,'参照_姫'!A:A,'参照_姫'!B:B,"見つかりません"))</f>
      </c>
      <c r="K2198" s="4">
        <v>95</v>
      </c>
      <c r="L2198" s="4">
        <v>0</v>
      </c>
      <c r="M2198" s="4"/>
      <c r="N2198" s="4"/>
      <c r="O2198" s="4"/>
      <c r="P2198" s="12" t="str">
        <f t="array" ref="P2198">IF(O2198:O6240="","",_xlfn.XLOOKUP(O2198:O6240,'参照_官位'!A:A,'参照_官位'!B:B,""))</f>
      </c>
      <c r="Q2198" s="12" t="str">
        <f t="array" ref="Q2198">IF(A2198:A6240="","",IFERROR(_xlfn.XLOOKUP(A2198:A6240,castles_state!K:K,castles_state!D:D)&amp;"主",IFERROR(_xlfn.XLOOKUP(A2198:A6240,kunishuClan!D:D,kunishuClan!B:B)&amp;"当主","")))</f>
      </c>
    </row>
    <row r="2199" ht="15.75" customHeight="1">
      <c r="A2199" s="4">
        <v>1055011</v>
      </c>
      <c r="B2199" s="12" t="str">
        <f t="array" ref="B2199">IF(A2199:A6241="","",_xlfn.XLOOKUP(A2199:A6241,'参照_武将'!A:A,'参照_武将'!B:B,"見つかりません"))</f>
      </c>
      <c r="C2199" s="4" t="s">
        <v>268</v>
      </c>
      <c r="D2199" s="4">
        <v>55</v>
      </c>
      <c r="E2199" s="12" t="str">
        <f t="array" ref="E2199">IF(D2199:D6241="","",IFERROR(_xlfn.XLOOKUP(D2199:D6241,'参照_勢力'!A:A,'参照_勢力'!B:B),IFERROR(_xlfn.XLOOKUP(F2199:F6241,kunishuClan!A:A,kunishuClan!B:B),"浪人")))</f>
      </c>
      <c r="F2199" s="4">
        <v>0</v>
      </c>
      <c r="G2199" s="4">
        <v>149</v>
      </c>
      <c r="H2199" s="12" t="str">
        <f t="array" ref="H2199">IF(G2199:G6241="","",_xlfn.XLOOKUP(G2199:G6241,castles_state!A:A,castles_state!D:D,"見つかりません"))</f>
      </c>
      <c r="I2199" s="4"/>
      <c r="J2199" s="12" t="str">
        <f t="array" ref="J2199">IF(I2199:I6241="","",_xlfn.XLOOKUP(I2199:I6241,'参照_姫'!A:A,'参照_姫'!B:B,"見つかりません"))</f>
      </c>
      <c r="K2199" s="4">
        <v>95</v>
      </c>
      <c r="L2199" s="4">
        <v>0</v>
      </c>
      <c r="M2199" s="4"/>
      <c r="N2199" s="4"/>
      <c r="O2199" s="4"/>
      <c r="P2199" s="12" t="str">
        <f t="array" ref="P2199">IF(O2199:O6241="","",_xlfn.XLOOKUP(O2199:O6241,'参照_官位'!A:A,'参照_官位'!B:B,""))</f>
      </c>
      <c r="Q2199" s="12" t="str">
        <f t="array" ref="Q2199">IF(A2199:A6241="","",IFERROR(_xlfn.XLOOKUP(A2199:A6241,castles_state!K:K,castles_state!D:D)&amp;"主",IFERROR(_xlfn.XLOOKUP(A2199:A6241,kunishuClan!D:D,kunishuClan!B:B)&amp;"当主","")))</f>
      </c>
    </row>
    <row r="2200" ht="15.75" customHeight="1">
      <c r="A2200" s="4">
        <v>1055012</v>
      </c>
      <c r="B2200" s="12" t="str">
        <f t="array" ref="B2200">IF(A2200:A6242="","",_xlfn.XLOOKUP(A2200:A6242,'参照_武将'!A:A,'参照_武将'!B:B,"見つかりません"))</f>
      </c>
      <c r="C2200" s="4" t="s">
        <v>268</v>
      </c>
      <c r="D2200" s="4">
        <v>53</v>
      </c>
      <c r="E2200" s="12" t="str">
        <f t="array" ref="E2200">IF(D2200:D6242="","",IFERROR(_xlfn.XLOOKUP(D2200:D6242,'参照_勢力'!A:A,'参照_勢力'!B:B),IFERROR(_xlfn.XLOOKUP(F2200:F6242,kunishuClan!A:A,kunishuClan!B:B),"浪人")))</f>
      </c>
      <c r="F2200" s="4">
        <v>0</v>
      </c>
      <c r="G2200" s="4">
        <v>149</v>
      </c>
      <c r="H2200" s="12" t="str">
        <f t="array" ref="H2200">IF(G2200:G6242="","",_xlfn.XLOOKUP(G2200:G6242,castles_state!A:A,castles_state!D:D,"見つかりません"))</f>
      </c>
      <c r="I2200" s="4"/>
      <c r="J2200" s="12" t="str">
        <f t="array" ref="J2200">IF(I2200:I6242="","",_xlfn.XLOOKUP(I2200:I6242,'参照_姫'!A:A,'参照_姫'!B:B,"見つかりません"))</f>
      </c>
      <c r="K2200" s="4">
        <v>95</v>
      </c>
      <c r="L2200" s="4">
        <v>0</v>
      </c>
      <c r="M2200" s="4"/>
      <c r="N2200" s="4"/>
      <c r="O2200" s="4"/>
      <c r="P2200" s="12" t="str">
        <f t="array" ref="P2200">IF(O2200:O6242="","",_xlfn.XLOOKUP(O2200:O6242,'参照_官位'!A:A,'参照_官位'!B:B,""))</f>
      </c>
      <c r="Q2200" s="12" t="str">
        <f t="array" ref="Q2200">IF(A2200:A6242="","",IFERROR(_xlfn.XLOOKUP(A2200:A6242,castles_state!K:K,castles_state!D:D)&amp;"主",IFERROR(_xlfn.XLOOKUP(A2200:A6242,kunishuClan!D:D,kunishuClan!B:B)&amp;"当主","")))</f>
      </c>
    </row>
    <row r="2201" ht="15.75" customHeight="1">
      <c r="A2201" s="4">
        <v>1055013</v>
      </c>
      <c r="B2201" s="12" t="str">
        <f t="array" ref="B2201">IF(A2201:A6243="","",_xlfn.XLOOKUP(A2201:A6243,'参照_武将'!A:A,'参照_武将'!B:B,"見つかりません"))</f>
      </c>
      <c r="C2201" s="4" t="s">
        <v>268</v>
      </c>
      <c r="D2201" s="4">
        <v>55</v>
      </c>
      <c r="E2201" s="12" t="str">
        <f t="array" ref="E2201">IF(D2201:D6243="","",IFERROR(_xlfn.XLOOKUP(D2201:D6243,'参照_勢力'!A:A,'参照_勢力'!B:B),IFERROR(_xlfn.XLOOKUP(F2201:F6243,kunishuClan!A:A,kunishuClan!B:B),"浪人")))</f>
      </c>
      <c r="F2201" s="4">
        <v>0</v>
      </c>
      <c r="G2201" s="4">
        <v>149</v>
      </c>
      <c r="H2201" s="12" t="str">
        <f t="array" ref="H2201">IF(G2201:G6243="","",_xlfn.XLOOKUP(G2201:G6243,castles_state!A:A,castles_state!D:D,"見つかりません"))</f>
      </c>
      <c r="I2201" s="4"/>
      <c r="J2201" s="12" t="str">
        <f t="array" ref="J2201">IF(I2201:I6243="","",_xlfn.XLOOKUP(I2201:I6243,'参照_姫'!A:A,'参照_姫'!B:B,"見つかりません"))</f>
      </c>
      <c r="K2201" s="4">
        <v>95</v>
      </c>
      <c r="L2201" s="4">
        <v>500</v>
      </c>
      <c r="M2201" s="4"/>
      <c r="N2201" s="4"/>
      <c r="O2201" s="4"/>
      <c r="P2201" s="12" t="str">
        <f t="array" ref="P2201">IF(O2201:O6243="","",_xlfn.XLOOKUP(O2201:O6243,'参照_官位'!A:A,'参照_官位'!B:B,""))</f>
      </c>
      <c r="Q2201" s="12" t="str">
        <f t="array" ref="Q2201">IF(A2201:A6243="","",IFERROR(_xlfn.XLOOKUP(A2201:A6243,castles_state!K:K,castles_state!D:D)&amp;"主",IFERROR(_xlfn.XLOOKUP(A2201:A6243,kunishuClan!D:D,kunishuClan!B:B)&amp;"当主","")))</f>
      </c>
    </row>
    <row r="2202" ht="15.75" customHeight="1">
      <c r="A2202" s="4">
        <v>1055014</v>
      </c>
      <c r="B2202" s="12" t="str">
        <f t="array" ref="B2202">IF(A2202:A6244="","",_xlfn.XLOOKUP(A2202:A6244,'参照_武将'!A:A,'参照_武将'!B:B,"見つかりません"))</f>
      </c>
      <c r="C2202" s="4" t="s">
        <v>268</v>
      </c>
      <c r="D2202" s="4">
        <v>53</v>
      </c>
      <c r="E2202" s="12" t="str">
        <f t="array" ref="E2202">IF(D2202:D6244="","",IFERROR(_xlfn.XLOOKUP(D2202:D6244,'参照_勢力'!A:A,'参照_勢力'!B:B),IFERROR(_xlfn.XLOOKUP(F2202:F6244,kunishuClan!A:A,kunishuClan!B:B),"浪人")))</f>
      </c>
      <c r="F2202" s="4">
        <v>0</v>
      </c>
      <c r="G2202" s="4">
        <v>149</v>
      </c>
      <c r="H2202" s="12" t="str">
        <f t="array" ref="H2202">IF(G2202:G6244="","",_xlfn.XLOOKUP(G2202:G6244,castles_state!A:A,castles_state!D:D,"見つかりません"))</f>
      </c>
      <c r="I2202" s="4"/>
      <c r="J2202" s="12" t="str">
        <f t="array" ref="J2202">IF(I2202:I6244="","",_xlfn.XLOOKUP(I2202:I6244,'参照_姫'!A:A,'参照_姫'!B:B,"見つかりません"))</f>
      </c>
      <c r="K2202" s="4">
        <v>95</v>
      </c>
      <c r="L2202" s="4">
        <v>0</v>
      </c>
      <c r="M2202" s="4"/>
      <c r="N2202" s="4"/>
      <c r="O2202" s="4"/>
      <c r="P2202" s="12" t="str">
        <f t="array" ref="P2202">IF(O2202:O6244="","",_xlfn.XLOOKUP(O2202:O6244,'参照_官位'!A:A,'参照_官位'!B:B,""))</f>
      </c>
      <c r="Q2202" s="12" t="str">
        <f t="array" ref="Q2202">IF(A2202:A6244="","",IFERROR(_xlfn.XLOOKUP(A2202:A6244,castles_state!K:K,castles_state!D:D)&amp;"主",IFERROR(_xlfn.XLOOKUP(A2202:A6244,kunishuClan!D:D,kunishuClan!B:B)&amp;"当主","")))</f>
      </c>
    </row>
    <row r="2203" ht="15.75" customHeight="1">
      <c r="A2203" s="4">
        <v>1055015</v>
      </c>
      <c r="B2203" s="12" t="str">
        <f t="array" ref="B2203">IF(A2203:A6245="","",_xlfn.XLOOKUP(A2203:A6245,'参照_武将'!A:A,'参照_武将'!B:B,"見つかりません"))</f>
      </c>
      <c r="C2203" s="4" t="s">
        <v>268</v>
      </c>
      <c r="D2203" s="4">
        <v>55</v>
      </c>
      <c r="E2203" s="12" t="str">
        <f t="array" ref="E2203">IF(D2203:D6245="","",IFERROR(_xlfn.XLOOKUP(D2203:D6245,'参照_勢力'!A:A,'参照_勢力'!B:B),IFERROR(_xlfn.XLOOKUP(F2203:F6245,kunishuClan!A:A,kunishuClan!B:B),"浪人")))</f>
      </c>
      <c r="F2203" s="4">
        <v>0</v>
      </c>
      <c r="G2203" s="4">
        <v>149</v>
      </c>
      <c r="H2203" s="12" t="str">
        <f t="array" ref="H2203">IF(G2203:G6245="","",_xlfn.XLOOKUP(G2203:G6245,castles_state!A:A,castles_state!D:D,"見つかりません"))</f>
      </c>
      <c r="I2203" s="4"/>
      <c r="J2203" s="12" t="str">
        <f t="array" ref="J2203">IF(I2203:I6245="","",_xlfn.XLOOKUP(I2203:I6245,'参照_姫'!A:A,'参照_姫'!B:B,"見つかりません"))</f>
      </c>
      <c r="K2203" s="4">
        <v>95</v>
      </c>
      <c r="L2203" s="4">
        <v>500</v>
      </c>
      <c r="M2203" s="4"/>
      <c r="N2203" s="4"/>
      <c r="O2203" s="4"/>
      <c r="P2203" s="12" t="str">
        <f t="array" ref="P2203">IF(O2203:O6245="","",_xlfn.XLOOKUP(O2203:O6245,'参照_官位'!A:A,'参照_官位'!B:B,""))</f>
      </c>
      <c r="Q2203" s="12" t="str">
        <f t="array" ref="Q2203">IF(A2203:A6245="","",IFERROR(_xlfn.XLOOKUP(A2203:A6245,castles_state!K:K,castles_state!D:D)&amp;"主",IFERROR(_xlfn.XLOOKUP(A2203:A6245,kunishuClan!D:D,kunishuClan!B:B)&amp;"当主","")))</f>
      </c>
    </row>
    <row r="2204" ht="15.75" customHeight="1">
      <c r="A2204" s="4">
        <v>1055016</v>
      </c>
      <c r="B2204" s="12" t="str">
        <f t="array" ref="B2204">IF(A2204:A6246="","",_xlfn.XLOOKUP(A2204:A6246,'参照_武将'!A:A,'参照_武将'!B:B,"見つかりません"))</f>
      </c>
      <c r="C2204" s="4" t="s">
        <v>268</v>
      </c>
      <c r="D2204" s="4">
        <v>53</v>
      </c>
      <c r="E2204" s="12" t="str">
        <f t="array" ref="E2204">IF(D2204:D6246="","",IFERROR(_xlfn.XLOOKUP(D2204:D6246,'参照_勢力'!A:A,'参照_勢力'!B:B),IFERROR(_xlfn.XLOOKUP(F2204:F6246,kunishuClan!A:A,kunishuClan!B:B),"浪人")))</f>
      </c>
      <c r="F2204" s="4">
        <v>0</v>
      </c>
      <c r="G2204" s="4">
        <v>143</v>
      </c>
      <c r="H2204" s="12" t="str">
        <f t="array" ref="H2204">IF(G2204:G6246="","",_xlfn.XLOOKUP(G2204:G6246,castles_state!A:A,castles_state!D:D,"見つかりません"))</f>
      </c>
      <c r="I2204" s="4"/>
      <c r="J2204" s="12" t="str">
        <f t="array" ref="J2204">IF(I2204:I6246="","",_xlfn.XLOOKUP(I2204:I6246,'参照_姫'!A:A,'参照_姫'!B:B,"見つかりません"))</f>
      </c>
      <c r="K2204" s="4">
        <v>95</v>
      </c>
      <c r="L2204" s="4">
        <v>0</v>
      </c>
      <c r="M2204" s="4"/>
      <c r="N2204" s="4"/>
      <c r="O2204" s="4"/>
      <c r="P2204" s="12" t="str">
        <f t="array" ref="P2204">IF(O2204:O6246="","",_xlfn.XLOOKUP(O2204:O6246,'参照_官位'!A:A,'参照_官位'!B:B,""))</f>
      </c>
      <c r="Q2204" s="12" t="str">
        <f t="array" ref="Q2204">IF(A2204:A6246="","",IFERROR(_xlfn.XLOOKUP(A2204:A6246,castles_state!K:K,castles_state!D:D)&amp;"主",IFERROR(_xlfn.XLOOKUP(A2204:A6246,kunishuClan!D:D,kunishuClan!B:B)&amp;"当主","")))</f>
      </c>
    </row>
    <row r="2205" ht="15.75" customHeight="1">
      <c r="A2205" s="4">
        <v>1055017</v>
      </c>
      <c r="B2205" s="12" t="str">
        <f t="array" ref="B2205">IF(A2205:A6247="","",_xlfn.XLOOKUP(A2205:A6247,'参照_武将'!A:A,'参照_武将'!B:B,"見つかりません"))</f>
      </c>
      <c r="C2205" s="4" t="s">
        <v>268</v>
      </c>
      <c r="D2205" s="4">
        <v>53</v>
      </c>
      <c r="E2205" s="12" t="str">
        <f t="array" ref="E2205">IF(D2205:D6247="","",IFERROR(_xlfn.XLOOKUP(D2205:D6247,'参照_勢力'!A:A,'参照_勢力'!B:B),IFERROR(_xlfn.XLOOKUP(F2205:F6247,kunishuClan!A:A,kunishuClan!B:B),"浪人")))</f>
      </c>
      <c r="F2205" s="4">
        <v>0</v>
      </c>
      <c r="G2205" s="4">
        <v>143</v>
      </c>
      <c r="H2205" s="12" t="str">
        <f t="array" ref="H2205">IF(G2205:G6247="","",_xlfn.XLOOKUP(G2205:G6247,castles_state!A:A,castles_state!D:D,"見つかりません"))</f>
      </c>
      <c r="I2205" s="4"/>
      <c r="J2205" s="12" t="str">
        <f t="array" ref="J2205">IF(I2205:I6247="","",_xlfn.XLOOKUP(I2205:I6247,'参照_姫'!A:A,'参照_姫'!B:B,"見つかりません"))</f>
      </c>
      <c r="K2205" s="4">
        <v>95</v>
      </c>
      <c r="L2205" s="4">
        <v>0</v>
      </c>
      <c r="M2205" s="4"/>
      <c r="N2205" s="4"/>
      <c r="O2205" s="4"/>
      <c r="P2205" s="12" t="str">
        <f t="array" ref="P2205">IF(O2205:O6247="","",_xlfn.XLOOKUP(O2205:O6247,'参照_官位'!A:A,'参照_官位'!B:B,""))</f>
      </c>
      <c r="Q2205" s="12" t="str">
        <f t="array" ref="Q2205">IF(A2205:A6247="","",IFERROR(_xlfn.XLOOKUP(A2205:A6247,castles_state!K:K,castles_state!D:D)&amp;"主",IFERROR(_xlfn.XLOOKUP(A2205:A6247,kunishuClan!D:D,kunishuClan!B:B)&amp;"当主","")))</f>
      </c>
    </row>
    <row r="2206" ht="15.75" customHeight="1">
      <c r="A2206" s="4">
        <v>1055018</v>
      </c>
      <c r="B2206" s="12" t="str">
        <f t="array" ref="B2206">IF(A2206:A6248="","",_xlfn.XLOOKUP(A2206:A6248,'参照_武将'!A:A,'参照_武将'!B:B,"見つかりません"))</f>
      </c>
      <c r="C2206" s="4" t="s">
        <v>268</v>
      </c>
      <c r="D2206" s="4">
        <v>55</v>
      </c>
      <c r="E2206" s="12" t="str">
        <f t="array" ref="E2206">IF(D2206:D6248="","",IFERROR(_xlfn.XLOOKUP(D2206:D6248,'参照_勢力'!A:A,'参照_勢力'!B:B),IFERROR(_xlfn.XLOOKUP(F2206:F6248,kunishuClan!A:A,kunishuClan!B:B),"浪人")))</f>
      </c>
      <c r="F2206" s="4">
        <v>0</v>
      </c>
      <c r="G2206" s="4">
        <v>149</v>
      </c>
      <c r="H2206" s="12" t="str">
        <f t="array" ref="H2206">IF(G2206:G6248="","",_xlfn.XLOOKUP(G2206:G6248,castles_state!A:A,castles_state!D:D,"見つかりません"))</f>
      </c>
      <c r="I2206" s="4"/>
      <c r="J2206" s="12" t="str">
        <f t="array" ref="J2206">IF(I2206:I6248="","",_xlfn.XLOOKUP(I2206:I6248,'参照_姫'!A:A,'参照_姫'!B:B,"見つかりません"))</f>
      </c>
      <c r="K2206" s="4">
        <v>90</v>
      </c>
      <c r="L2206" s="4">
        <v>0</v>
      </c>
      <c r="M2206" s="4"/>
      <c r="N2206" s="4"/>
      <c r="O2206" s="4"/>
      <c r="P2206" s="12" t="str">
        <f t="array" ref="P2206">IF(O2206:O6248="","",_xlfn.XLOOKUP(O2206:O6248,'参照_官位'!A:A,'参照_官位'!B:B,""))</f>
      </c>
      <c r="Q2206" s="12" t="str">
        <f t="array" ref="Q2206">IF(A2206:A6248="","",IFERROR(_xlfn.XLOOKUP(A2206:A6248,castles_state!K:K,castles_state!D:D)&amp;"主",IFERROR(_xlfn.XLOOKUP(A2206:A6248,kunishuClan!D:D,kunishuClan!B:B)&amp;"当主","")))</f>
      </c>
    </row>
    <row r="2207" ht="15.75" customHeight="1">
      <c r="A2207" s="4">
        <v>1055019</v>
      </c>
      <c r="B2207" s="12" t="str">
        <f t="array" ref="B2207">IF(A2207:A6249="","",_xlfn.XLOOKUP(A2207:A6249,'参照_武将'!A:A,'参照_武将'!B:B,"見つかりません"))</f>
      </c>
      <c r="C2207" s="4" t="s">
        <v>268</v>
      </c>
      <c r="D2207" s="4">
        <v>53</v>
      </c>
      <c r="E2207" s="12" t="str">
        <f t="array" ref="E2207">IF(D2207:D6249="","",IFERROR(_xlfn.XLOOKUP(D2207:D6249,'参照_勢力'!A:A,'参照_勢力'!B:B),IFERROR(_xlfn.XLOOKUP(F2207:F6249,kunishuClan!A:A,kunishuClan!B:B),"浪人")))</f>
      </c>
      <c r="F2207" s="4">
        <v>0</v>
      </c>
      <c r="G2207" s="4">
        <v>148</v>
      </c>
      <c r="H2207" s="12" t="str">
        <f t="array" ref="H2207">IF(G2207:G6249="","",_xlfn.XLOOKUP(G2207:G6249,castles_state!A:A,castles_state!D:D,"見つかりません"))</f>
      </c>
      <c r="I2207" s="4"/>
      <c r="J2207" s="12" t="str">
        <f t="array" ref="J2207">IF(I2207:I6249="","",_xlfn.XLOOKUP(I2207:I6249,'参照_姫'!A:A,'参照_姫'!B:B,"見つかりません"))</f>
      </c>
      <c r="K2207" s="4">
        <v>95</v>
      </c>
      <c r="L2207" s="4">
        <v>0</v>
      </c>
      <c r="M2207" s="4"/>
      <c r="N2207" s="4"/>
      <c r="O2207" s="4"/>
      <c r="P2207" s="12" t="str">
        <f t="array" ref="P2207">IF(O2207:O6249="","",_xlfn.XLOOKUP(O2207:O6249,'参照_官位'!A:A,'参照_官位'!B:B,""))</f>
      </c>
      <c r="Q2207" s="12" t="str">
        <f t="array" ref="Q2207">IF(A2207:A6249="","",IFERROR(_xlfn.XLOOKUP(A2207:A6249,castles_state!K:K,castles_state!D:D)&amp;"主",IFERROR(_xlfn.XLOOKUP(A2207:A6249,kunishuClan!D:D,kunishuClan!B:B)&amp;"当主","")))</f>
      </c>
    </row>
    <row r="2208" ht="15.75" customHeight="1">
      <c r="A2208" s="4">
        <v>1055020</v>
      </c>
      <c r="B2208" s="12" t="str">
        <f t="array" ref="B2208">IF(A2208:A6250="","",_xlfn.XLOOKUP(A2208:A6250,'参照_武将'!A:A,'参照_武将'!B:B,"見つかりません"))</f>
      </c>
      <c r="C2208" s="4" t="s">
        <v>268</v>
      </c>
      <c r="D2208" s="4">
        <v>53</v>
      </c>
      <c r="E2208" s="12" t="str">
        <f t="array" ref="E2208">IF(D2208:D6250="","",IFERROR(_xlfn.XLOOKUP(D2208:D6250,'参照_勢力'!A:A,'参照_勢力'!B:B),IFERROR(_xlfn.XLOOKUP(F2208:F6250,kunishuClan!A:A,kunishuClan!B:B),"浪人")))</f>
      </c>
      <c r="F2208" s="4">
        <v>0</v>
      </c>
      <c r="G2208" s="4">
        <v>149</v>
      </c>
      <c r="H2208" s="12" t="str">
        <f t="array" ref="H2208">IF(G2208:G6250="","",_xlfn.XLOOKUP(G2208:G6250,castles_state!A:A,castles_state!D:D,"見つかりません"))</f>
      </c>
      <c r="I2208" s="4"/>
      <c r="J2208" s="12" t="str">
        <f t="array" ref="J2208">IF(I2208:I6250="","",_xlfn.XLOOKUP(I2208:I6250,'参照_姫'!A:A,'参照_姫'!B:B,"見つかりません"))</f>
      </c>
      <c r="K2208" s="4">
        <v>95</v>
      </c>
      <c r="L2208" s="4">
        <v>0</v>
      </c>
      <c r="M2208" s="4"/>
      <c r="N2208" s="4"/>
      <c r="O2208" s="4"/>
      <c r="P2208" s="12" t="str">
        <f t="array" ref="P2208">IF(O2208:O6250="","",_xlfn.XLOOKUP(O2208:O6250,'参照_官位'!A:A,'参照_官位'!B:B,""))</f>
      </c>
      <c r="Q2208" s="12" t="str">
        <f t="array" ref="Q2208">IF(A2208:A6250="","",IFERROR(_xlfn.XLOOKUP(A2208:A6250,castles_state!K:K,castles_state!D:D)&amp;"主",IFERROR(_xlfn.XLOOKUP(A2208:A6250,kunishuClan!D:D,kunishuClan!B:B)&amp;"当主","")))</f>
      </c>
    </row>
    <row r="2209" ht="15.75" customHeight="1">
      <c r="A2209" s="4">
        <v>1055021</v>
      </c>
      <c r="B2209" s="12" t="str">
        <f t="array" ref="B2209">IF(A2209:A6251="","",_xlfn.XLOOKUP(A2209:A6251,'参照_武将'!A:A,'参照_武将'!B:B,"見つかりません"))</f>
      </c>
      <c r="C2209" s="4" t="s">
        <v>268</v>
      </c>
      <c r="D2209" s="4">
        <v>55</v>
      </c>
      <c r="E2209" s="12" t="str">
        <f t="array" ref="E2209">IF(D2209:D6251="","",IFERROR(_xlfn.XLOOKUP(D2209:D6251,'参照_勢力'!A:A,'参照_勢力'!B:B),IFERROR(_xlfn.XLOOKUP(F2209:F6251,kunishuClan!A:A,kunishuClan!B:B),"浪人")))</f>
      </c>
      <c r="F2209" s="4">
        <v>0</v>
      </c>
      <c r="G2209" s="4">
        <v>149</v>
      </c>
      <c r="H2209" s="12" t="str">
        <f t="array" ref="H2209">IF(G2209:G6251="","",_xlfn.XLOOKUP(G2209:G6251,castles_state!A:A,castles_state!D:D,"見つかりません"))</f>
      </c>
      <c r="I2209" s="4"/>
      <c r="J2209" s="12" t="str">
        <f t="array" ref="J2209">IF(I2209:I6251="","",_xlfn.XLOOKUP(I2209:I6251,'参照_姫'!A:A,'参照_姫'!B:B,"見つかりません"))</f>
      </c>
      <c r="K2209" s="4">
        <v>95</v>
      </c>
      <c r="L2209" s="4">
        <v>0</v>
      </c>
      <c r="M2209" s="4"/>
      <c r="N2209" s="4"/>
      <c r="O2209" s="4"/>
      <c r="P2209" s="12" t="str">
        <f t="array" ref="P2209">IF(O2209:O6251="","",_xlfn.XLOOKUP(O2209:O6251,'参照_官位'!A:A,'参照_官位'!B:B,""))</f>
      </c>
      <c r="Q2209" s="12" t="str">
        <f t="array" ref="Q2209">IF(A2209:A6251="","",IFERROR(_xlfn.XLOOKUP(A2209:A6251,castles_state!K:K,castles_state!D:D)&amp;"主",IFERROR(_xlfn.XLOOKUP(A2209:A6251,kunishuClan!D:D,kunishuClan!B:B)&amp;"当主","")))</f>
      </c>
    </row>
    <row r="2210" ht="15.75" customHeight="1">
      <c r="A2210" s="4">
        <v>1055022</v>
      </c>
      <c r="B2210" s="12" t="str">
        <f t="array" ref="B2210">IF(A2210:A6252="","",_xlfn.XLOOKUP(A2210:A6252,'参照_武将'!A:A,'参照_武将'!B:B,"見つかりません"))</f>
      </c>
      <c r="C2210" s="4" t="s">
        <v>268</v>
      </c>
      <c r="D2210" s="4">
        <v>53</v>
      </c>
      <c r="E2210" s="12" t="str">
        <f t="array" ref="E2210">IF(D2210:D6252="","",IFERROR(_xlfn.XLOOKUP(D2210:D6252,'参照_勢力'!A:A,'参照_勢力'!B:B),IFERROR(_xlfn.XLOOKUP(F2210:F6252,kunishuClan!A:A,kunishuClan!B:B),"浪人")))</f>
      </c>
      <c r="F2210" s="4">
        <v>0</v>
      </c>
      <c r="G2210" s="4">
        <v>143</v>
      </c>
      <c r="H2210" s="12" t="str">
        <f t="array" ref="H2210">IF(G2210:G6252="","",_xlfn.XLOOKUP(G2210:G6252,castles_state!A:A,castles_state!D:D,"見つかりません"))</f>
      </c>
      <c r="I2210" s="4"/>
      <c r="J2210" s="12" t="str">
        <f t="array" ref="J2210">IF(I2210:I6252="","",_xlfn.XLOOKUP(I2210:I6252,'参照_姫'!A:A,'参照_姫'!B:B,"見つかりません"))</f>
      </c>
      <c r="K2210" s="4">
        <v>80</v>
      </c>
      <c r="L2210" s="4">
        <v>0</v>
      </c>
      <c r="M2210" s="4"/>
      <c r="N2210" s="4"/>
      <c r="O2210" s="4"/>
      <c r="P2210" s="12" t="str">
        <f t="array" ref="P2210">IF(O2210:O6252="","",_xlfn.XLOOKUP(O2210:O6252,'参照_官位'!A:A,'参照_官位'!B:B,""))</f>
      </c>
      <c r="Q2210" s="12" t="str">
        <f t="array" ref="Q2210">IF(A2210:A6252="","",IFERROR(_xlfn.XLOOKUP(A2210:A6252,castles_state!K:K,castles_state!D:D)&amp;"主",IFERROR(_xlfn.XLOOKUP(A2210:A6252,kunishuClan!D:D,kunishuClan!B:B)&amp;"当主","")))</f>
      </c>
    </row>
    <row r="2211" ht="15.75" customHeight="1">
      <c r="A2211" s="4">
        <v>1055023</v>
      </c>
      <c r="B2211" s="12" t="str">
        <f t="array" ref="B2211">IF(A2211:A6253="","",_xlfn.XLOOKUP(A2211:A6253,'参照_武将'!A:A,'参照_武将'!B:B,"見つかりません"))</f>
      </c>
      <c r="C2211" s="4" t="s">
        <v>268</v>
      </c>
      <c r="D2211" s="4">
        <v>53</v>
      </c>
      <c r="E2211" s="12" t="str">
        <f t="array" ref="E2211">IF(D2211:D6253="","",IFERROR(_xlfn.XLOOKUP(D2211:D6253,'参照_勢力'!A:A,'参照_勢力'!B:B),IFERROR(_xlfn.XLOOKUP(F2211:F6253,kunishuClan!A:A,kunishuClan!B:B),"浪人")))</f>
      </c>
      <c r="F2211" s="4">
        <v>0</v>
      </c>
      <c r="G2211" s="4">
        <v>143</v>
      </c>
      <c r="H2211" s="12" t="str">
        <f t="array" ref="H2211">IF(G2211:G6253="","",_xlfn.XLOOKUP(G2211:G6253,castles_state!A:A,castles_state!D:D,"見つかりません"))</f>
      </c>
      <c r="I2211" s="4"/>
      <c r="J2211" s="12" t="str">
        <f t="array" ref="J2211">IF(I2211:I6253="","",_xlfn.XLOOKUP(I2211:I6253,'参照_姫'!A:A,'参照_姫'!B:B,"見つかりません"))</f>
      </c>
      <c r="K2211" s="4">
        <v>80</v>
      </c>
      <c r="L2211" s="4">
        <v>0</v>
      </c>
      <c r="M2211" s="4"/>
      <c r="N2211" s="4"/>
      <c r="O2211" s="4"/>
      <c r="P2211" s="12" t="str">
        <f t="array" ref="P2211">IF(O2211:O6253="","",_xlfn.XLOOKUP(O2211:O6253,'参照_官位'!A:A,'参照_官位'!B:B,""))</f>
      </c>
      <c r="Q2211" s="12" t="str">
        <f t="array" ref="Q2211">IF(A2211:A6253="","",IFERROR(_xlfn.XLOOKUP(A2211:A6253,castles_state!K:K,castles_state!D:D)&amp;"主",IFERROR(_xlfn.XLOOKUP(A2211:A6253,kunishuClan!D:D,kunishuClan!B:B)&amp;"当主","")))</f>
      </c>
    </row>
    <row r="2212" ht="15.75" customHeight="1">
      <c r="A2212" s="4">
        <v>1055024</v>
      </c>
      <c r="B2212" s="12" t="str">
        <f t="array" ref="B2212">IF(A2212:A6254="","",_xlfn.XLOOKUP(A2212:A6254,'参照_武将'!A:A,'参照_武将'!B:B,"見つかりません"))</f>
      </c>
      <c r="C2212" s="4" t="s">
        <v>268</v>
      </c>
      <c r="D2212" s="4">
        <v>55</v>
      </c>
      <c r="E2212" s="12" t="str">
        <f t="array" ref="E2212">IF(D2212:D6254="","",IFERROR(_xlfn.XLOOKUP(D2212:D6254,'参照_勢力'!A:A,'参照_勢力'!B:B),IFERROR(_xlfn.XLOOKUP(F2212:F6254,kunishuClan!A:A,kunishuClan!B:B),"浪人")))</f>
      </c>
      <c r="F2212" s="4">
        <v>0</v>
      </c>
      <c r="G2212" s="4">
        <v>149</v>
      </c>
      <c r="H2212" s="12" t="str">
        <f t="array" ref="H2212">IF(G2212:G6254="","",_xlfn.XLOOKUP(G2212:G6254,castles_state!A:A,castles_state!D:D,"見つかりません"))</f>
      </c>
      <c r="I2212" s="4"/>
      <c r="J2212" s="12" t="str">
        <f t="array" ref="J2212">IF(I2212:I6254="","",_xlfn.XLOOKUP(I2212:I6254,'参照_姫'!A:A,'参照_姫'!B:B,"見つかりません"))</f>
      </c>
      <c r="K2212" s="4">
        <v>95</v>
      </c>
      <c r="L2212" s="4">
        <v>500</v>
      </c>
      <c r="M2212" s="4" t="b">
        <v>1</v>
      </c>
      <c r="N2212" s="4"/>
      <c r="O2212" s="4"/>
      <c r="P2212" s="12" t="str">
        <f t="array" ref="P2212">IF(O2212:O6254="","",_xlfn.XLOOKUP(O2212:O6254,'参照_官位'!A:A,'参照_官位'!B:B,""))</f>
      </c>
      <c r="Q2212" s="12" t="str">
        <f t="array" ref="Q2212">IF(A2212:A6254="","",IFERROR(_xlfn.XLOOKUP(A2212:A6254,castles_state!K:K,castles_state!D:D)&amp;"主",IFERROR(_xlfn.XLOOKUP(A2212:A6254,kunishuClan!D:D,kunishuClan!B:B)&amp;"当主","")))</f>
      </c>
    </row>
    <row r="2213" ht="15.75" customHeight="1">
      <c r="A2213" s="4">
        <v>1055025</v>
      </c>
      <c r="B2213" s="12" t="str">
        <f t="array" ref="B2213">IF(A2213:A6255="","",_xlfn.XLOOKUP(A2213:A6255,'参照_武将'!A:A,'参照_武将'!B:B,"見つかりません"))</f>
      </c>
      <c r="C2213" s="4" t="s">
        <v>268</v>
      </c>
      <c r="D2213" s="4">
        <v>53</v>
      </c>
      <c r="E2213" s="12" t="str">
        <f t="array" ref="E2213">IF(D2213:D6255="","",IFERROR(_xlfn.XLOOKUP(D2213:D6255,'参照_勢力'!A:A,'参照_勢力'!B:B),IFERROR(_xlfn.XLOOKUP(F2213:F6255,kunishuClan!A:A,kunishuClan!B:B),"浪人")))</f>
      </c>
      <c r="F2213" s="4">
        <v>0</v>
      </c>
      <c r="G2213" s="4">
        <v>148</v>
      </c>
      <c r="H2213" s="12" t="str">
        <f t="array" ref="H2213">IF(G2213:G6255="","",_xlfn.XLOOKUP(G2213:G6255,castles_state!A:A,castles_state!D:D,"見つかりません"))</f>
      </c>
      <c r="I2213" s="4"/>
      <c r="J2213" s="12" t="str">
        <f t="array" ref="J2213">IF(I2213:I6255="","",_xlfn.XLOOKUP(I2213:I6255,'参照_姫'!A:A,'参照_姫'!B:B,"見つかりません"))</f>
      </c>
      <c r="K2213" s="4">
        <v>95</v>
      </c>
      <c r="L2213" s="4">
        <v>700</v>
      </c>
      <c r="M2213" s="4"/>
      <c r="N2213" s="4"/>
      <c r="O2213" s="4"/>
      <c r="P2213" s="12" t="str">
        <f t="array" ref="P2213">IF(O2213:O6255="","",_xlfn.XLOOKUP(O2213:O6255,'参照_官位'!A:A,'参照_官位'!B:B,""))</f>
      </c>
      <c r="Q2213" s="12" t="str">
        <f t="array" ref="Q2213">IF(A2213:A6255="","",IFERROR(_xlfn.XLOOKUP(A2213:A6255,castles_state!K:K,castles_state!D:D)&amp;"主",IFERROR(_xlfn.XLOOKUP(A2213:A6255,kunishuClan!D:D,kunishuClan!B:B)&amp;"当主","")))</f>
      </c>
    </row>
    <row r="2214" ht="15.75" customHeight="1">
      <c r="A2214" s="4">
        <v>1056001</v>
      </c>
      <c r="B2214" s="12" t="str">
        <f t="array" ref="B2214">IF(A2214:A6256="","",_xlfn.XLOOKUP(A2214:A6256,'参照_武将'!A:A,'参照_武将'!B:B,"見つかりません"))</f>
      </c>
      <c r="C2214" s="4" t="s">
        <v>272</v>
      </c>
      <c r="D2214" s="4">
        <v>56</v>
      </c>
      <c r="E2214" s="12" t="str">
        <f t="array" ref="E2214">IF(D2214:D6256="","",IFERROR(_xlfn.XLOOKUP(D2214:D6256,'参照_勢力'!A:A,'参照_勢力'!B:B),IFERROR(_xlfn.XLOOKUP(F2214:F6256,kunishuClan!A:A,kunishuClan!B:B),"浪人")))</f>
      </c>
      <c r="F2214" s="4">
        <v>0</v>
      </c>
      <c r="G2214" s="4">
        <v>155</v>
      </c>
      <c r="H2214" s="12" t="str">
        <f t="array" ref="H2214">IF(G2214:G6256="","",_xlfn.XLOOKUP(G2214:G6256,castles_state!A:A,castles_state!D:D,"見つかりません"))</f>
      </c>
      <c r="I2214" s="4"/>
      <c r="J2214" s="12" t="str">
        <f t="array" ref="J2214">IF(I2214:I6256="","",_xlfn.XLOOKUP(I2214:I6256,'参照_姫'!A:A,'参照_姫'!B:B,"見つかりません"))</f>
      </c>
      <c r="K2214" s="4">
        <v>95</v>
      </c>
      <c r="L2214" s="4">
        <v>0</v>
      </c>
      <c r="M2214" s="4"/>
      <c r="N2214" s="4"/>
      <c r="O2214" s="4"/>
      <c r="P2214" s="12" t="str">
        <f t="array" ref="P2214">IF(O2214:O6256="","",_xlfn.XLOOKUP(O2214:O6256,'参照_官位'!A:A,'参照_官位'!B:B,""))</f>
      </c>
      <c r="Q2214" s="12" t="str">
        <f t="array" ref="Q2214">IF(A2214:A6256="","",IFERROR(_xlfn.XLOOKUP(A2214:A6256,castles_state!K:K,castles_state!D:D)&amp;"主",IFERROR(_xlfn.XLOOKUP(A2214:A6256,kunishuClan!D:D,kunishuClan!B:B)&amp;"当主","")))</f>
      </c>
    </row>
    <row r="2215" ht="15.75" customHeight="1">
      <c r="A2215" s="4">
        <v>1056002</v>
      </c>
      <c r="B2215" s="12" t="str">
        <f t="array" ref="B2215">IF(A2215:A6257="","",_xlfn.XLOOKUP(A2215:A6257,'参照_武将'!A:A,'参照_武将'!B:B,"見つかりません"))</f>
      </c>
      <c r="C2215" s="4" t="s">
        <v>272</v>
      </c>
      <c r="D2215" s="4">
        <v>56</v>
      </c>
      <c r="E2215" s="12" t="str">
        <f t="array" ref="E2215">IF(D2215:D6257="","",IFERROR(_xlfn.XLOOKUP(D2215:D6257,'参照_勢力'!A:A,'参照_勢力'!B:B),IFERROR(_xlfn.XLOOKUP(F2215:F6257,kunishuClan!A:A,kunishuClan!B:B),"浪人")))</f>
      </c>
      <c r="F2215" s="4">
        <v>0</v>
      </c>
      <c r="G2215" s="4">
        <v>155</v>
      </c>
      <c r="H2215" s="12" t="str">
        <f t="array" ref="H2215">IF(G2215:G6257="","",_xlfn.XLOOKUP(G2215:G6257,castles_state!A:A,castles_state!D:D,"見つかりません"))</f>
      </c>
      <c r="I2215" s="4"/>
      <c r="J2215" s="12" t="str">
        <f t="array" ref="J2215">IF(I2215:I6257="","",_xlfn.XLOOKUP(I2215:I6257,'参照_姫'!A:A,'参照_姫'!B:B,"見つかりません"))</f>
      </c>
      <c r="K2215" s="4">
        <v>100</v>
      </c>
      <c r="L2215" s="4">
        <v>1000</v>
      </c>
      <c r="M2215" s="4"/>
      <c r="N2215" s="4" t="b">
        <v>1</v>
      </c>
      <c r="O2215" s="4"/>
      <c r="P2215" s="12" t="str">
        <f t="array" ref="P2215">IF(O2215:O6257="","",_xlfn.XLOOKUP(O2215:O6257,'参照_官位'!A:A,'参照_官位'!B:B,""))</f>
      </c>
      <c r="Q2215" s="12" t="str">
        <f t="array" ref="Q2215">IF(A2215:A6257="","",IFERROR(_xlfn.XLOOKUP(A2215:A6257,castles_state!K:K,castles_state!D:D)&amp;"主",IFERROR(_xlfn.XLOOKUP(A2215:A6257,kunishuClan!D:D,kunishuClan!B:B)&amp;"当主","")))</f>
      </c>
    </row>
    <row r="2216" ht="15.75" customHeight="1">
      <c r="A2216" s="4">
        <v>1056003</v>
      </c>
      <c r="B2216" s="12" t="str">
        <f t="array" ref="B2216">IF(A2216:A6258="","",_xlfn.XLOOKUP(A2216:A6258,'参照_武将'!A:A,'参照_武将'!B:B,"見つかりません"))</f>
      </c>
      <c r="C2216" s="4" t="s">
        <v>272</v>
      </c>
      <c r="D2216" s="4">
        <v>56</v>
      </c>
      <c r="E2216" s="12" t="str">
        <f t="array" ref="E2216">IF(D2216:D6258="","",IFERROR(_xlfn.XLOOKUP(D2216:D6258,'参照_勢力'!A:A,'参照_勢力'!B:B),IFERROR(_xlfn.XLOOKUP(F2216:F6258,kunishuClan!A:A,kunishuClan!B:B),"浪人")))</f>
      </c>
      <c r="F2216" s="4">
        <v>0</v>
      </c>
      <c r="G2216" s="4">
        <v>155</v>
      </c>
      <c r="H2216" s="12" t="str">
        <f t="array" ref="H2216">IF(G2216:G6258="","",_xlfn.XLOOKUP(G2216:G6258,castles_state!A:A,castles_state!D:D,"見つかりません"))</f>
      </c>
      <c r="I2216" s="4"/>
      <c r="J2216" s="12" t="str">
        <f t="array" ref="J2216">IF(I2216:I6258="","",_xlfn.XLOOKUP(I2216:I6258,'参照_姫'!A:A,'参照_姫'!B:B,"見つかりません"))</f>
      </c>
      <c r="K2216" s="4">
        <v>100</v>
      </c>
      <c r="L2216" s="4">
        <v>1500</v>
      </c>
      <c r="M2216" s="4"/>
      <c r="N2216" s="4"/>
      <c r="O2216" s="4"/>
      <c r="P2216" s="12" t="str">
        <f t="array" ref="P2216">IF(O2216:O6258="","",_xlfn.XLOOKUP(O2216:O6258,'参照_官位'!A:A,'参照_官位'!B:B,""))</f>
      </c>
      <c r="Q2216" s="12" t="str">
        <f t="array" ref="Q2216">IF(A2216:A6258="","",IFERROR(_xlfn.XLOOKUP(A2216:A6258,castles_state!K:K,castles_state!D:D)&amp;"主",IFERROR(_xlfn.XLOOKUP(A2216:A6258,kunishuClan!D:D,kunishuClan!B:B)&amp;"当主","")))</f>
      </c>
    </row>
    <row r="2217" ht="15.75" customHeight="1">
      <c r="A2217" s="4">
        <v>1056004</v>
      </c>
      <c r="B2217" s="12" t="str">
        <f t="array" ref="B2217">IF(A2217:A6259="","",_xlfn.XLOOKUP(A2217:A6259,'参照_武将'!A:A,'参照_武将'!B:B,"見つかりません"))</f>
      </c>
      <c r="C2217" s="4" t="s">
        <v>272</v>
      </c>
      <c r="D2217" s="4">
        <v>56</v>
      </c>
      <c r="E2217" s="12" t="str">
        <f t="array" ref="E2217">IF(D2217:D6259="","",IFERROR(_xlfn.XLOOKUP(D2217:D6259,'参照_勢力'!A:A,'参照_勢力'!B:B),IFERROR(_xlfn.XLOOKUP(F2217:F6259,kunishuClan!A:A,kunishuClan!B:B),"浪人")))</f>
      </c>
      <c r="F2217" s="4">
        <v>0</v>
      </c>
      <c r="G2217" s="4">
        <v>155</v>
      </c>
      <c r="H2217" s="12" t="str">
        <f t="array" ref="H2217">IF(G2217:G6259="","",_xlfn.XLOOKUP(G2217:G6259,castles_state!A:A,castles_state!D:D,"見つかりません"))</f>
      </c>
      <c r="I2217" s="4"/>
      <c r="J2217" s="12" t="str">
        <f t="array" ref="J2217">IF(I2217:I6259="","",_xlfn.XLOOKUP(I2217:I6259,'参照_姫'!A:A,'参照_姫'!B:B,"見つかりません"))</f>
      </c>
      <c r="K2217" s="4">
        <v>95</v>
      </c>
      <c r="L2217" s="4">
        <v>0</v>
      </c>
      <c r="M2217" s="4"/>
      <c r="N2217" s="4"/>
      <c r="O2217" s="4"/>
      <c r="P2217" s="12" t="str">
        <f t="array" ref="P2217">IF(O2217:O6259="","",_xlfn.XLOOKUP(O2217:O6259,'参照_官位'!A:A,'参照_官位'!B:B,""))</f>
      </c>
      <c r="Q2217" s="12" t="str">
        <f t="array" ref="Q2217">IF(A2217:A6259="","",IFERROR(_xlfn.XLOOKUP(A2217:A6259,castles_state!K:K,castles_state!D:D)&amp;"主",IFERROR(_xlfn.XLOOKUP(A2217:A6259,kunishuClan!D:D,kunishuClan!B:B)&amp;"当主","")))</f>
      </c>
    </row>
    <row r="2218" ht="15.75" customHeight="1">
      <c r="A2218" s="4">
        <v>1056005</v>
      </c>
      <c r="B2218" s="12" t="str">
        <f t="array" ref="B2218">IF(A2218:A6260="","",_xlfn.XLOOKUP(A2218:A6260,'参照_武将'!A:A,'参照_武将'!B:B,"見つかりません"))</f>
      </c>
      <c r="C2218" s="4" t="s">
        <v>272</v>
      </c>
      <c r="D2218" s="4">
        <v>56</v>
      </c>
      <c r="E2218" s="12" t="str">
        <f t="array" ref="E2218">IF(D2218:D6260="","",IFERROR(_xlfn.XLOOKUP(D2218:D6260,'参照_勢力'!A:A,'参照_勢力'!B:B),IFERROR(_xlfn.XLOOKUP(F2218:F6260,kunishuClan!A:A,kunishuClan!B:B),"浪人")))</f>
      </c>
      <c r="F2218" s="4">
        <v>0</v>
      </c>
      <c r="G2218" s="4">
        <v>155</v>
      </c>
      <c r="H2218" s="12" t="str">
        <f t="array" ref="H2218">IF(G2218:G6260="","",_xlfn.XLOOKUP(G2218:G6260,castles_state!A:A,castles_state!D:D,"見つかりません"))</f>
      </c>
      <c r="I2218" s="4"/>
      <c r="J2218" s="12" t="str">
        <f t="array" ref="J2218">IF(I2218:I6260="","",_xlfn.XLOOKUP(I2218:I6260,'参照_姫'!A:A,'参照_姫'!B:B,"見つかりません"))</f>
      </c>
      <c r="K2218" s="4">
        <v>95</v>
      </c>
      <c r="L2218" s="4">
        <v>0</v>
      </c>
      <c r="M2218" s="4"/>
      <c r="N2218" s="4"/>
      <c r="O2218" s="4"/>
      <c r="P2218" s="12" t="str">
        <f t="array" ref="P2218">IF(O2218:O6260="","",_xlfn.XLOOKUP(O2218:O6260,'参照_官位'!A:A,'参照_官位'!B:B,""))</f>
      </c>
      <c r="Q2218" s="12" t="str">
        <f t="array" ref="Q2218">IF(A2218:A6260="","",IFERROR(_xlfn.XLOOKUP(A2218:A6260,castles_state!K:K,castles_state!D:D)&amp;"主",IFERROR(_xlfn.XLOOKUP(A2218:A6260,kunishuClan!D:D,kunishuClan!B:B)&amp;"当主","")))</f>
      </c>
    </row>
    <row r="2219" ht="15.75" customHeight="1">
      <c r="A2219" s="4">
        <v>1056006</v>
      </c>
      <c r="B2219" s="12" t="str">
        <f t="array" ref="B2219">IF(A2219:A6261="","",_xlfn.XLOOKUP(A2219:A6261,'参照_武将'!A:A,'参照_武将'!B:B,"見つかりません"))</f>
      </c>
      <c r="C2219" s="4" t="s">
        <v>272</v>
      </c>
      <c r="D2219" s="4">
        <v>56</v>
      </c>
      <c r="E2219" s="12" t="str">
        <f t="array" ref="E2219">IF(D2219:D6261="","",IFERROR(_xlfn.XLOOKUP(D2219:D6261,'参照_勢力'!A:A,'参照_勢力'!B:B),IFERROR(_xlfn.XLOOKUP(F2219:F6261,kunishuClan!A:A,kunishuClan!B:B),"浪人")))</f>
      </c>
      <c r="F2219" s="4">
        <v>0</v>
      </c>
      <c r="G2219" s="4">
        <v>155</v>
      </c>
      <c r="H2219" s="12" t="str">
        <f t="array" ref="H2219">IF(G2219:G6261="","",_xlfn.XLOOKUP(G2219:G6261,castles_state!A:A,castles_state!D:D,"見つかりません"))</f>
      </c>
      <c r="I2219" s="4"/>
      <c r="J2219" s="12" t="str">
        <f t="array" ref="J2219">IF(I2219:I6261="","",_xlfn.XLOOKUP(I2219:I6261,'参照_姫'!A:A,'参照_姫'!B:B,"見つかりません"))</f>
      </c>
      <c r="K2219" s="4">
        <v>95</v>
      </c>
      <c r="L2219" s="4">
        <v>0</v>
      </c>
      <c r="M2219" s="4"/>
      <c r="N2219" s="4"/>
      <c r="O2219" s="4"/>
      <c r="P2219" s="12" t="str">
        <f t="array" ref="P2219">IF(O2219:O6261="","",_xlfn.XLOOKUP(O2219:O6261,'参照_官位'!A:A,'参照_官位'!B:B,""))</f>
      </c>
      <c r="Q2219" s="12" t="str">
        <f t="array" ref="Q2219">IF(A2219:A6261="","",IFERROR(_xlfn.XLOOKUP(A2219:A6261,castles_state!K:K,castles_state!D:D)&amp;"主",IFERROR(_xlfn.XLOOKUP(A2219:A6261,kunishuClan!D:D,kunishuClan!B:B)&amp;"当主","")))</f>
      </c>
    </row>
    <row r="2220" ht="15.75" customHeight="1">
      <c r="A2220" s="4">
        <v>1056007</v>
      </c>
      <c r="B2220" s="12" t="str">
        <f t="array" ref="B2220">IF(A2220:A6262="","",_xlfn.XLOOKUP(A2220:A6262,'参照_武将'!A:A,'参照_武将'!B:B,"見つかりません"))</f>
      </c>
      <c r="C2220" s="4" t="s">
        <v>5954</v>
      </c>
      <c r="D2220" s="4">
        <v>0</v>
      </c>
      <c r="E2220" s="12" t="str">
        <f t="array" ref="E2220">IF(D2220:D6262="","",IFERROR(_xlfn.XLOOKUP(D2220:D6262,'参照_勢力'!A:A,'参照_勢力'!B:B),IFERROR(_xlfn.XLOOKUP(F2220:F6262,kunishuClan!A:A,kunishuClan!B:B),"浪人")))</f>
      </c>
      <c r="F2220" s="4">
        <v>49</v>
      </c>
      <c r="G2220" s="4">
        <v>154</v>
      </c>
      <c r="H2220" s="12" t="str">
        <f t="array" ref="H2220">IF(G2220:G6262="","",_xlfn.XLOOKUP(G2220:G6262,castles_state!A:A,castles_state!D:D,"見つかりません"))</f>
      </c>
      <c r="I2220" s="4"/>
      <c r="J2220" s="12" t="str">
        <f t="array" ref="J2220">IF(I2220:I6262="","",_xlfn.XLOOKUP(I2220:I6262,'参照_姫'!A:A,'参照_姫'!B:B,"見つかりません"))</f>
      </c>
      <c r="K2220" s="4">
        <v>50</v>
      </c>
      <c r="L2220" s="4">
        <v>0</v>
      </c>
      <c r="M2220" s="4"/>
      <c r="N2220" s="4"/>
      <c r="O2220" s="4"/>
      <c r="P2220" s="12" t="str">
        <f t="array" ref="P2220">IF(O2220:O6262="","",_xlfn.XLOOKUP(O2220:O6262,'参照_官位'!A:A,'参照_官位'!B:B,""))</f>
      </c>
      <c r="Q2220" s="12" t="str">
        <f t="array" ref="Q2220">IF(A2220:A6262="","",IFERROR(_xlfn.XLOOKUP(A2220:A6262,castles_state!K:K,castles_state!D:D)&amp;"主",IFERROR(_xlfn.XLOOKUP(A2220:A6262,kunishuClan!D:D,kunishuClan!B:B)&amp;"当主","")))</f>
      </c>
    </row>
    <row r="2221" ht="15.75" customHeight="1">
      <c r="A2221" s="4">
        <v>1056008</v>
      </c>
      <c r="B2221" s="12" t="str">
        <f t="array" ref="B2221">IF(A2221:A6263="","",_xlfn.XLOOKUP(A2221:A6263,'参照_武将'!A:A,'参照_武将'!B:B,"見つかりません"))</f>
      </c>
      <c r="C2221" s="4" t="s">
        <v>272</v>
      </c>
      <c r="D2221" s="4">
        <v>56</v>
      </c>
      <c r="E2221" s="12" t="str">
        <f t="array" ref="E2221">IF(D2221:D6263="","",IFERROR(_xlfn.XLOOKUP(D2221:D6263,'参照_勢力'!A:A,'参照_勢力'!B:B),IFERROR(_xlfn.XLOOKUP(F2221:F6263,kunishuClan!A:A,kunishuClan!B:B),"浪人")))</f>
      </c>
      <c r="F2221" s="4">
        <v>0</v>
      </c>
      <c r="G2221" s="4">
        <v>155</v>
      </c>
      <c r="H2221" s="12" t="str">
        <f t="array" ref="H2221">IF(G2221:G6263="","",_xlfn.XLOOKUP(G2221:G6263,castles_state!A:A,castles_state!D:D,"見つかりません"))</f>
      </c>
      <c r="I2221" s="4"/>
      <c r="J2221" s="12" t="str">
        <f t="array" ref="J2221">IF(I2221:I6263="","",_xlfn.XLOOKUP(I2221:I6263,'参照_姫'!A:A,'参照_姫'!B:B,"見つかりません"))</f>
      </c>
      <c r="K2221" s="4">
        <v>95</v>
      </c>
      <c r="L2221" s="4">
        <v>0</v>
      </c>
      <c r="M2221" s="4"/>
      <c r="N2221" s="4"/>
      <c r="O2221" s="4"/>
      <c r="P2221" s="12" t="str">
        <f t="array" ref="P2221">IF(O2221:O6263="","",_xlfn.XLOOKUP(O2221:O6263,'参照_官位'!A:A,'参照_官位'!B:B,""))</f>
      </c>
      <c r="Q2221" s="12" t="str">
        <f t="array" ref="Q2221">IF(A2221:A6263="","",IFERROR(_xlfn.XLOOKUP(A2221:A6263,castles_state!K:K,castles_state!D:D)&amp;"主",IFERROR(_xlfn.XLOOKUP(A2221:A6263,kunishuClan!D:D,kunishuClan!B:B)&amp;"当主","")))</f>
      </c>
    </row>
    <row r="2222" ht="15.75" customHeight="1">
      <c r="A2222" s="4">
        <v>1056009</v>
      </c>
      <c r="B2222" s="12" t="str">
        <f t="array" ref="B2222">IF(A2222:A6264="","",_xlfn.XLOOKUP(A2222:A6264,'参照_武将'!A:A,'参照_武将'!B:B,"見つかりません"))</f>
      </c>
      <c r="C2222" s="4" t="s">
        <v>272</v>
      </c>
      <c r="D2222" s="4">
        <v>56</v>
      </c>
      <c r="E2222" s="12" t="str">
        <f t="array" ref="E2222">IF(D2222:D6264="","",IFERROR(_xlfn.XLOOKUP(D2222:D6264,'参照_勢力'!A:A,'参照_勢力'!B:B),IFERROR(_xlfn.XLOOKUP(F2222:F6264,kunishuClan!A:A,kunishuClan!B:B),"浪人")))</f>
      </c>
      <c r="F2222" s="4">
        <v>0</v>
      </c>
      <c r="G2222" s="4">
        <v>155</v>
      </c>
      <c r="H2222" s="12" t="str">
        <f t="array" ref="H2222">IF(G2222:G6264="","",_xlfn.XLOOKUP(G2222:G6264,castles_state!A:A,castles_state!D:D,"見つかりません"))</f>
      </c>
      <c r="I2222" s="4"/>
      <c r="J2222" s="12" t="str">
        <f t="array" ref="J2222">IF(I2222:I6264="","",_xlfn.XLOOKUP(I2222:I6264,'参照_姫'!A:A,'参照_姫'!B:B,"見つかりません"))</f>
      </c>
      <c r="K2222" s="4">
        <v>95</v>
      </c>
      <c r="L2222" s="4">
        <v>0</v>
      </c>
      <c r="M2222" s="4"/>
      <c r="N2222" s="4"/>
      <c r="O2222" s="4"/>
      <c r="P2222" s="12" t="str">
        <f t="array" ref="P2222">IF(O2222:O6264="","",_xlfn.XLOOKUP(O2222:O6264,'参照_官位'!A:A,'参照_官位'!B:B,""))</f>
      </c>
      <c r="Q2222" s="12" t="str">
        <f t="array" ref="Q2222">IF(A2222:A6264="","",IFERROR(_xlfn.XLOOKUP(A2222:A6264,castles_state!K:K,castles_state!D:D)&amp;"主",IFERROR(_xlfn.XLOOKUP(A2222:A6264,kunishuClan!D:D,kunishuClan!B:B)&amp;"当主","")))</f>
      </c>
    </row>
    <row r="2223" ht="15.75" customHeight="1">
      <c r="A2223" s="4">
        <v>1056010</v>
      </c>
      <c r="B2223" s="12" t="str">
        <f t="array" ref="B2223">IF(A2223:A6265="","",_xlfn.XLOOKUP(A2223:A6265,'参照_武将'!A:A,'参照_武将'!B:B,"見つかりません"))</f>
      </c>
      <c r="C2223" s="4" t="s">
        <v>272</v>
      </c>
      <c r="D2223" s="4">
        <v>56</v>
      </c>
      <c r="E2223" s="12" t="str">
        <f t="array" ref="E2223">IF(D2223:D6265="","",IFERROR(_xlfn.XLOOKUP(D2223:D6265,'参照_勢力'!A:A,'参照_勢力'!B:B),IFERROR(_xlfn.XLOOKUP(F2223:F6265,kunishuClan!A:A,kunishuClan!B:B),"浪人")))</f>
      </c>
      <c r="F2223" s="4">
        <v>0</v>
      </c>
      <c r="G2223" s="4">
        <v>155</v>
      </c>
      <c r="H2223" s="12" t="str">
        <f t="array" ref="H2223">IF(G2223:G6265="","",_xlfn.XLOOKUP(G2223:G6265,castles_state!A:A,castles_state!D:D,"見つかりません"))</f>
      </c>
      <c r="I2223" s="4"/>
      <c r="J2223" s="12" t="str">
        <f t="array" ref="J2223">IF(I2223:I6265="","",_xlfn.XLOOKUP(I2223:I6265,'参照_姫'!A:A,'参照_姫'!B:B,"見つかりません"))</f>
      </c>
      <c r="K2223" s="4">
        <v>95</v>
      </c>
      <c r="L2223" s="4">
        <v>0</v>
      </c>
      <c r="M2223" s="4"/>
      <c r="N2223" s="4"/>
      <c r="O2223" s="4"/>
      <c r="P2223" s="12" t="str">
        <f t="array" ref="P2223">IF(O2223:O6265="","",_xlfn.XLOOKUP(O2223:O6265,'参照_官位'!A:A,'参照_官位'!B:B,""))</f>
      </c>
      <c r="Q2223" s="12" t="str">
        <f t="array" ref="Q2223">IF(A2223:A6265="","",IFERROR(_xlfn.XLOOKUP(A2223:A6265,castles_state!K:K,castles_state!D:D)&amp;"主",IFERROR(_xlfn.XLOOKUP(A2223:A6265,kunishuClan!D:D,kunishuClan!B:B)&amp;"当主","")))</f>
      </c>
    </row>
    <row r="2224" ht="15.75" customHeight="1">
      <c r="A2224" s="4">
        <v>1056011</v>
      </c>
      <c r="B2224" s="12" t="str">
        <f t="array" ref="B2224">IF(A2224:A6266="","",_xlfn.XLOOKUP(A2224:A6266,'参照_武将'!A:A,'参照_武将'!B:B,"見つかりません"))</f>
      </c>
      <c r="C2224" s="4" t="s">
        <v>272</v>
      </c>
      <c r="D2224" s="4">
        <v>56</v>
      </c>
      <c r="E2224" s="12" t="str">
        <f t="array" ref="E2224">IF(D2224:D6266="","",IFERROR(_xlfn.XLOOKUP(D2224:D6266,'参照_勢力'!A:A,'参照_勢力'!B:B),IFERROR(_xlfn.XLOOKUP(F2224:F6266,kunishuClan!A:A,kunishuClan!B:B),"浪人")))</f>
      </c>
      <c r="F2224" s="4">
        <v>0</v>
      </c>
      <c r="G2224" s="4">
        <v>155</v>
      </c>
      <c r="H2224" s="12" t="str">
        <f t="array" ref="H2224">IF(G2224:G6266="","",_xlfn.XLOOKUP(G2224:G6266,castles_state!A:A,castles_state!D:D,"見つかりません"))</f>
      </c>
      <c r="I2224" s="4"/>
      <c r="J2224" s="12" t="str">
        <f t="array" ref="J2224">IF(I2224:I6266="","",_xlfn.XLOOKUP(I2224:I6266,'参照_姫'!A:A,'参照_姫'!B:B,"見つかりません"))</f>
      </c>
      <c r="K2224" s="4">
        <v>95</v>
      </c>
      <c r="L2224" s="4">
        <v>500</v>
      </c>
      <c r="M2224" s="4" t="b">
        <v>1</v>
      </c>
      <c r="N2224" s="4"/>
      <c r="O2224" s="4"/>
      <c r="P2224" s="12" t="str">
        <f t="array" ref="P2224">IF(O2224:O6266="","",_xlfn.XLOOKUP(O2224:O6266,'参照_官位'!A:A,'参照_官位'!B:B,""))</f>
      </c>
      <c r="Q2224" s="12" t="str">
        <f t="array" ref="Q2224">IF(A2224:A6266="","",IFERROR(_xlfn.XLOOKUP(A2224:A6266,castles_state!K:K,castles_state!D:D)&amp;"主",IFERROR(_xlfn.XLOOKUP(A2224:A6266,kunishuClan!D:D,kunishuClan!B:B)&amp;"当主","")))</f>
      </c>
    </row>
    <row r="2225" ht="15.75" customHeight="1">
      <c r="A2225" s="4">
        <v>1056012</v>
      </c>
      <c r="B2225" s="12" t="str">
        <f t="array" ref="B2225">IF(A2225:A6267="","",_xlfn.XLOOKUP(A2225:A6267,'参照_武将'!A:A,'参照_武将'!B:B,"見つかりません"))</f>
      </c>
      <c r="C2225" s="4" t="s">
        <v>272</v>
      </c>
      <c r="D2225" s="4">
        <v>56</v>
      </c>
      <c r="E2225" s="12" t="str">
        <f t="array" ref="E2225">IF(D2225:D6267="","",IFERROR(_xlfn.XLOOKUP(D2225:D6267,'参照_勢力'!A:A,'参照_勢力'!B:B),IFERROR(_xlfn.XLOOKUP(F2225:F6267,kunishuClan!A:A,kunishuClan!B:B),"浪人")))</f>
      </c>
      <c r="F2225" s="4">
        <v>0</v>
      </c>
      <c r="G2225" s="4">
        <v>155</v>
      </c>
      <c r="H2225" s="12" t="str">
        <f t="array" ref="H2225">IF(G2225:G6267="","",_xlfn.XLOOKUP(G2225:G6267,castles_state!A:A,castles_state!D:D,"見つかりません"))</f>
      </c>
      <c r="I2225" s="4"/>
      <c r="J2225" s="12" t="str">
        <f t="array" ref="J2225">IF(I2225:I6267="","",_xlfn.XLOOKUP(I2225:I6267,'参照_姫'!A:A,'参照_姫'!B:B,"見つかりません"))</f>
      </c>
      <c r="K2225" s="4">
        <v>95</v>
      </c>
      <c r="L2225" s="4">
        <v>0</v>
      </c>
      <c r="M2225" s="4"/>
      <c r="N2225" s="4"/>
      <c r="O2225" s="4"/>
      <c r="P2225" s="12" t="str">
        <f t="array" ref="P2225">IF(O2225:O6267="","",_xlfn.XLOOKUP(O2225:O6267,'参照_官位'!A:A,'参照_官位'!B:B,""))</f>
      </c>
      <c r="Q2225" s="12" t="str">
        <f t="array" ref="Q2225">IF(A2225:A6267="","",IFERROR(_xlfn.XLOOKUP(A2225:A6267,castles_state!K:K,castles_state!D:D)&amp;"主",IFERROR(_xlfn.XLOOKUP(A2225:A6267,kunishuClan!D:D,kunishuClan!B:B)&amp;"当主","")))</f>
      </c>
    </row>
    <row r="2226" ht="15.75" customHeight="1">
      <c r="A2226" s="4">
        <v>1056013</v>
      </c>
      <c r="B2226" s="12" t="str">
        <f t="array" ref="B2226">IF(A2226:A6268="","",_xlfn.XLOOKUP(A2226:A6268,'参照_武将'!A:A,'参照_武将'!B:B,"見つかりません"))</f>
      </c>
      <c r="C2226" s="4" t="s">
        <v>272</v>
      </c>
      <c r="D2226" s="4">
        <v>56</v>
      </c>
      <c r="E2226" s="12" t="str">
        <f t="array" ref="E2226">IF(D2226:D6268="","",IFERROR(_xlfn.XLOOKUP(D2226:D6268,'参照_勢力'!A:A,'参照_勢力'!B:B),IFERROR(_xlfn.XLOOKUP(F2226:F6268,kunishuClan!A:A,kunishuClan!B:B),"浪人")))</f>
      </c>
      <c r="F2226" s="4">
        <v>0</v>
      </c>
      <c r="G2226" s="4">
        <v>155</v>
      </c>
      <c r="H2226" s="12" t="str">
        <f t="array" ref="H2226">IF(G2226:G6268="","",_xlfn.XLOOKUP(G2226:G6268,castles_state!A:A,castles_state!D:D,"見つかりません"))</f>
      </c>
      <c r="I2226" s="4"/>
      <c r="J2226" s="12" t="str">
        <f t="array" ref="J2226">IF(I2226:I6268="","",_xlfn.XLOOKUP(I2226:I6268,'参照_姫'!A:A,'参照_姫'!B:B,"見つかりません"))</f>
      </c>
      <c r="K2226" s="4">
        <v>95</v>
      </c>
      <c r="L2226" s="4">
        <v>0</v>
      </c>
      <c r="M2226" s="4"/>
      <c r="N2226" s="4"/>
      <c r="O2226" s="4"/>
      <c r="P2226" s="12" t="str">
        <f t="array" ref="P2226">IF(O2226:O6268="","",_xlfn.XLOOKUP(O2226:O6268,'参照_官位'!A:A,'参照_官位'!B:B,""))</f>
      </c>
      <c r="Q2226" s="12" t="str">
        <f t="array" ref="Q2226">IF(A2226:A6268="","",IFERROR(_xlfn.XLOOKUP(A2226:A6268,castles_state!K:K,castles_state!D:D)&amp;"主",IFERROR(_xlfn.XLOOKUP(A2226:A6268,kunishuClan!D:D,kunishuClan!B:B)&amp;"当主","")))</f>
      </c>
    </row>
    <row r="2227" ht="15.75" customHeight="1">
      <c r="A2227" s="4">
        <v>1056014</v>
      </c>
      <c r="B2227" s="12" t="str">
        <f t="array" ref="B2227">IF(A2227:A6269="","",_xlfn.XLOOKUP(A2227:A6269,'参照_武将'!A:A,'参照_武将'!B:B,"見つかりません"))</f>
      </c>
      <c r="C2227" s="4" t="s">
        <v>272</v>
      </c>
      <c r="D2227" s="4">
        <v>56</v>
      </c>
      <c r="E2227" s="12" t="str">
        <f t="array" ref="E2227">IF(D2227:D6269="","",IFERROR(_xlfn.XLOOKUP(D2227:D6269,'参照_勢力'!A:A,'参照_勢力'!B:B),IFERROR(_xlfn.XLOOKUP(F2227:F6269,kunishuClan!A:A,kunishuClan!B:B),"浪人")))</f>
      </c>
      <c r="F2227" s="4">
        <v>0</v>
      </c>
      <c r="G2227" s="4">
        <v>153</v>
      </c>
      <c r="H2227" s="12" t="str">
        <f t="array" ref="H2227">IF(G2227:G6269="","",_xlfn.XLOOKUP(G2227:G6269,castles_state!A:A,castles_state!D:D,"見つかりません"))</f>
      </c>
      <c r="I2227" s="4"/>
      <c r="J2227" s="12" t="str">
        <f t="array" ref="J2227">IF(I2227:I6269="","",_xlfn.XLOOKUP(I2227:I6269,'参照_姫'!A:A,'参照_姫'!B:B,"見つかりません"))</f>
      </c>
      <c r="K2227" s="4">
        <v>90</v>
      </c>
      <c r="L2227" s="4">
        <v>500</v>
      </c>
      <c r="M2227" s="4"/>
      <c r="N2227" s="4"/>
      <c r="O2227" s="4"/>
      <c r="P2227" s="12" t="str">
        <f t="array" ref="P2227">IF(O2227:O6269="","",_xlfn.XLOOKUP(O2227:O6269,'参照_官位'!A:A,'参照_官位'!B:B,""))</f>
      </c>
      <c r="Q2227" s="12" t="str">
        <f t="array" ref="Q2227">IF(A2227:A6269="","",IFERROR(_xlfn.XLOOKUP(A2227:A6269,castles_state!K:K,castles_state!D:D)&amp;"主",IFERROR(_xlfn.XLOOKUP(A2227:A6269,kunishuClan!D:D,kunishuClan!B:B)&amp;"当主","")))</f>
      </c>
    </row>
    <row r="2228" ht="15.75" customHeight="1">
      <c r="A2228" s="4">
        <v>1056015</v>
      </c>
      <c r="B2228" s="12" t="str">
        <f t="array" ref="B2228">IF(A2228:A6270="","",_xlfn.XLOOKUP(A2228:A6270,'参照_武将'!A:A,'参照_武将'!B:B,"見つかりません"))</f>
      </c>
      <c r="C2228" s="4" t="s">
        <v>272</v>
      </c>
      <c r="D2228" s="4">
        <v>56</v>
      </c>
      <c r="E2228" s="12" t="str">
        <f t="array" ref="E2228">IF(D2228:D6270="","",IFERROR(_xlfn.XLOOKUP(D2228:D6270,'参照_勢力'!A:A,'参照_勢力'!B:B),IFERROR(_xlfn.XLOOKUP(F2228:F6270,kunishuClan!A:A,kunishuClan!B:B),"浪人")))</f>
      </c>
      <c r="F2228" s="4">
        <v>0</v>
      </c>
      <c r="G2228" s="4">
        <v>153</v>
      </c>
      <c r="H2228" s="12" t="str">
        <f t="array" ref="H2228">IF(G2228:G6270="","",_xlfn.XLOOKUP(G2228:G6270,castles_state!A:A,castles_state!D:D,"見つかりません"))</f>
      </c>
      <c r="I2228" s="4"/>
      <c r="J2228" s="12" t="str">
        <f t="array" ref="J2228">IF(I2228:I6270="","",_xlfn.XLOOKUP(I2228:I6270,'参照_姫'!A:A,'参照_姫'!B:B,"見つかりません"))</f>
      </c>
      <c r="K2228" s="4">
        <v>90</v>
      </c>
      <c r="L2228" s="4">
        <v>0</v>
      </c>
      <c r="M2228" s="4"/>
      <c r="N2228" s="4"/>
      <c r="O2228" s="4"/>
      <c r="P2228" s="12" t="str">
        <f t="array" ref="P2228">IF(O2228:O6270="","",_xlfn.XLOOKUP(O2228:O6270,'参照_官位'!A:A,'参照_官位'!B:B,""))</f>
      </c>
      <c r="Q2228" s="12" t="str">
        <f t="array" ref="Q2228">IF(A2228:A6270="","",IFERROR(_xlfn.XLOOKUP(A2228:A6270,castles_state!K:K,castles_state!D:D)&amp;"主",IFERROR(_xlfn.XLOOKUP(A2228:A6270,kunishuClan!D:D,kunishuClan!B:B)&amp;"当主","")))</f>
      </c>
    </row>
    <row r="2229" ht="15.75" customHeight="1">
      <c r="A2229" s="4">
        <v>1056016</v>
      </c>
      <c r="B2229" s="12" t="str">
        <f t="array" ref="B2229">IF(A2229:A6271="","",_xlfn.XLOOKUP(A2229:A6271,'参照_武将'!A:A,'参照_武将'!B:B,"見つかりません"))</f>
      </c>
      <c r="C2229" s="4" t="s">
        <v>272</v>
      </c>
      <c r="D2229" s="4">
        <v>56</v>
      </c>
      <c r="E2229" s="12" t="str">
        <f t="array" ref="E2229">IF(D2229:D6271="","",IFERROR(_xlfn.XLOOKUP(D2229:D6271,'参照_勢力'!A:A,'参照_勢力'!B:B),IFERROR(_xlfn.XLOOKUP(F2229:F6271,kunishuClan!A:A,kunishuClan!B:B),"浪人")))</f>
      </c>
      <c r="F2229" s="4">
        <v>0</v>
      </c>
      <c r="G2229" s="4">
        <v>153</v>
      </c>
      <c r="H2229" s="12" t="str">
        <f t="array" ref="H2229">IF(G2229:G6271="","",_xlfn.XLOOKUP(G2229:G6271,castles_state!A:A,castles_state!D:D,"見つかりません"))</f>
      </c>
      <c r="I2229" s="4"/>
      <c r="J2229" s="12" t="str">
        <f t="array" ref="J2229">IF(I2229:I6271="","",_xlfn.XLOOKUP(I2229:I6271,'参照_姫'!A:A,'参照_姫'!B:B,"見つかりません"))</f>
      </c>
      <c r="K2229" s="4">
        <v>90</v>
      </c>
      <c r="L2229" s="4">
        <v>0</v>
      </c>
      <c r="M2229" s="4"/>
      <c r="N2229" s="4"/>
      <c r="O2229" s="4"/>
      <c r="P2229" s="12" t="str">
        <f t="array" ref="P2229">IF(O2229:O6271="","",_xlfn.XLOOKUP(O2229:O6271,'参照_官位'!A:A,'参照_官位'!B:B,""))</f>
      </c>
      <c r="Q2229" s="12" t="str">
        <f t="array" ref="Q2229">IF(A2229:A6271="","",IFERROR(_xlfn.XLOOKUP(A2229:A6271,castles_state!K:K,castles_state!D:D)&amp;"主",IFERROR(_xlfn.XLOOKUP(A2229:A6271,kunishuClan!D:D,kunishuClan!B:B)&amp;"当主","")))</f>
      </c>
    </row>
    <row r="2230" ht="15.75" customHeight="1">
      <c r="A2230" s="4">
        <v>1056017</v>
      </c>
      <c r="B2230" s="12" t="str">
        <f t="array" ref="B2230">IF(A2230:A6272="","",_xlfn.XLOOKUP(A2230:A6272,'参照_武将'!A:A,'参照_武将'!B:B,"見つかりません"))</f>
      </c>
      <c r="C2230" s="4" t="s">
        <v>272</v>
      </c>
      <c r="D2230" s="4">
        <v>56</v>
      </c>
      <c r="E2230" s="12" t="str">
        <f t="array" ref="E2230">IF(D2230:D6272="","",IFERROR(_xlfn.XLOOKUP(D2230:D6272,'参照_勢力'!A:A,'参照_勢力'!B:B),IFERROR(_xlfn.XLOOKUP(F2230:F6272,kunishuClan!A:A,kunishuClan!B:B),"浪人")))</f>
      </c>
      <c r="F2230" s="4">
        <v>0</v>
      </c>
      <c r="G2230" s="4">
        <v>155</v>
      </c>
      <c r="H2230" s="12" t="str">
        <f t="array" ref="H2230">IF(G2230:G6272="","",_xlfn.XLOOKUP(G2230:G6272,castles_state!A:A,castles_state!D:D,"見つかりません"))</f>
      </c>
      <c r="I2230" s="4"/>
      <c r="J2230" s="12" t="str">
        <f t="array" ref="J2230">IF(I2230:I6272="","",_xlfn.XLOOKUP(I2230:I6272,'参照_姫'!A:A,'参照_姫'!B:B,"見つかりません"))</f>
      </c>
      <c r="K2230" s="4">
        <v>95</v>
      </c>
      <c r="L2230" s="4">
        <v>0</v>
      </c>
      <c r="M2230" s="4"/>
      <c r="N2230" s="4"/>
      <c r="O2230" s="4"/>
      <c r="P2230" s="12" t="str">
        <f t="array" ref="P2230">IF(O2230:O6272="","",_xlfn.XLOOKUP(O2230:O6272,'参照_官位'!A:A,'参照_官位'!B:B,""))</f>
      </c>
      <c r="Q2230" s="12" t="str">
        <f t="array" ref="Q2230">IF(A2230:A6272="","",IFERROR(_xlfn.XLOOKUP(A2230:A6272,castles_state!K:K,castles_state!D:D)&amp;"主",IFERROR(_xlfn.XLOOKUP(A2230:A6272,kunishuClan!D:D,kunishuClan!B:B)&amp;"当主","")))</f>
      </c>
    </row>
    <row r="2231" ht="15.75" customHeight="1">
      <c r="A2231" s="4">
        <v>1056201</v>
      </c>
      <c r="B2231" s="12" t="str">
        <f t="array" ref="B2231">IF(A2231:A6273="","",_xlfn.XLOOKUP(A2231:A6273,'参照_武将'!A:A,'参照_武将'!B:B,"見つかりません"))</f>
      </c>
      <c r="C2231" s="4" t="s">
        <v>5959</v>
      </c>
      <c r="D2231" s="4">
        <v>56</v>
      </c>
      <c r="E2231" s="12" t="str">
        <f t="array" ref="E2231">IF(D2231:D6273="","",IFERROR(_xlfn.XLOOKUP(D2231:D6273,'参照_勢力'!A:A,'参照_勢力'!B:B),IFERROR(_xlfn.XLOOKUP(F2231:F6273,kunishuClan!A:A,kunishuClan!B:B),"浪人")))</f>
      </c>
      <c r="F2231" s="4">
        <v>0</v>
      </c>
      <c r="G2231" s="4">
        <v>184</v>
      </c>
      <c r="H2231" s="12" t="str">
        <f t="array" ref="H2231">IF(G2231:G6273="","",_xlfn.XLOOKUP(G2231:G6273,castles_state!A:A,castles_state!D:D,"見つかりません"))</f>
      </c>
      <c r="I2231" s="4"/>
      <c r="J2231" s="12" t="str">
        <f t="array" ref="J2231">IF(I2231:I6273="","",_xlfn.XLOOKUP(I2231:I6273,'参照_姫'!A:A,'参照_姫'!B:B,"見つかりません"))</f>
      </c>
      <c r="K2231" s="4">
        <v>95</v>
      </c>
      <c r="L2231" s="4">
        <v>0</v>
      </c>
      <c r="M2231" s="4"/>
      <c r="N2231" s="4"/>
      <c r="O2231" s="4"/>
      <c r="P2231" s="12" t="str">
        <f t="array" ref="P2231">IF(O2231:O6273="","",_xlfn.XLOOKUP(O2231:O6273,'参照_官位'!A:A,'参照_官位'!B:B,""))</f>
      </c>
      <c r="Q2231" s="12" t="str">
        <f t="array" ref="Q2231">IF(A2231:A6273="","",IFERROR(_xlfn.XLOOKUP(A2231:A6273,castles_state!K:K,castles_state!D:D)&amp;"主",IFERROR(_xlfn.XLOOKUP(A2231:A6273,kunishuClan!D:D,kunishuClan!B:B)&amp;"当主","")))</f>
      </c>
    </row>
    <row r="2232" ht="15.75" customHeight="1">
      <c r="A2232" s="4">
        <v>1056202</v>
      </c>
      <c r="B2232" s="12" t="str">
        <f t="array" ref="B2232">IF(A2232:A6274="","",_xlfn.XLOOKUP(A2232:A6274,'参照_武将'!A:A,'参照_武将'!B:B,"見つかりません"))</f>
      </c>
      <c r="C2232" s="4" t="s">
        <v>5959</v>
      </c>
      <c r="D2232" s="4">
        <v>56</v>
      </c>
      <c r="E2232" s="12" t="str">
        <f t="array" ref="E2232">IF(D2232:D6274="","",IFERROR(_xlfn.XLOOKUP(D2232:D6274,'参照_勢力'!A:A,'参照_勢力'!B:B),IFERROR(_xlfn.XLOOKUP(F2232:F6274,kunishuClan!A:A,kunishuClan!B:B),"浪人")))</f>
      </c>
      <c r="F2232" s="4">
        <v>0</v>
      </c>
      <c r="G2232" s="4">
        <v>184</v>
      </c>
      <c r="H2232" s="12" t="str">
        <f t="array" ref="H2232">IF(G2232:G6274="","",_xlfn.XLOOKUP(G2232:G6274,castles_state!A:A,castles_state!D:D,"見つかりません"))</f>
      </c>
      <c r="I2232" s="4"/>
      <c r="J2232" s="12" t="str">
        <f t="array" ref="J2232">IF(I2232:I6274="","",_xlfn.XLOOKUP(I2232:I6274,'参照_姫'!A:A,'参照_姫'!B:B,"見つかりません"))</f>
      </c>
      <c r="K2232" s="4">
        <v>95</v>
      </c>
      <c r="L2232" s="4">
        <v>0</v>
      </c>
      <c r="M2232" s="4"/>
      <c r="N2232" s="4"/>
      <c r="O2232" s="4"/>
      <c r="P2232" s="12" t="str">
        <f t="array" ref="P2232">IF(O2232:O6274="","",_xlfn.XLOOKUP(O2232:O6274,'参照_官位'!A:A,'参照_官位'!B:B,""))</f>
      </c>
      <c r="Q2232" s="12" t="str">
        <f t="array" ref="Q2232">IF(A2232:A6274="","",IFERROR(_xlfn.XLOOKUP(A2232:A6274,castles_state!K:K,castles_state!D:D)&amp;"主",IFERROR(_xlfn.XLOOKUP(A2232:A6274,kunishuClan!D:D,kunishuClan!B:B)&amp;"当主","")))</f>
      </c>
    </row>
    <row r="2233" ht="15.75" customHeight="1">
      <c r="A2233" s="4">
        <v>1056203</v>
      </c>
      <c r="B2233" s="12" t="str">
        <f t="array" ref="B2233">IF(A2233:A6275="","",_xlfn.XLOOKUP(A2233:A6275,'参照_武将'!A:A,'参照_武将'!B:B,"見つかりません"))</f>
      </c>
      <c r="C2233" s="4" t="s">
        <v>5959</v>
      </c>
      <c r="D2233" s="4">
        <v>56</v>
      </c>
      <c r="E2233" s="12" t="str">
        <f t="array" ref="E2233">IF(D2233:D6275="","",IFERROR(_xlfn.XLOOKUP(D2233:D6275,'参照_勢力'!A:A,'参照_勢力'!B:B),IFERROR(_xlfn.XLOOKUP(F2233:F6275,kunishuClan!A:A,kunishuClan!B:B),"浪人")))</f>
      </c>
      <c r="F2233" s="4">
        <v>0</v>
      </c>
      <c r="G2233" s="4">
        <v>184</v>
      </c>
      <c r="H2233" s="12" t="str">
        <f t="array" ref="H2233">IF(G2233:G6275="","",_xlfn.XLOOKUP(G2233:G6275,castles_state!A:A,castles_state!D:D,"見つかりません"))</f>
      </c>
      <c r="I2233" s="4"/>
      <c r="J2233" s="12" t="str">
        <f t="array" ref="J2233">IF(I2233:I6275="","",_xlfn.XLOOKUP(I2233:I6275,'参照_姫'!A:A,'参照_姫'!B:B,"見つかりません"))</f>
      </c>
      <c r="K2233" s="4">
        <v>95</v>
      </c>
      <c r="L2233" s="4">
        <v>0</v>
      </c>
      <c r="M2233" s="4"/>
      <c r="N2233" s="4"/>
      <c r="O2233" s="4"/>
      <c r="P2233" s="12" t="str">
        <f t="array" ref="P2233">IF(O2233:O6275="","",_xlfn.XLOOKUP(O2233:O6275,'参照_官位'!A:A,'参照_官位'!B:B,""))</f>
      </c>
      <c r="Q2233" s="12" t="str">
        <f t="array" ref="Q2233">IF(A2233:A6275="","",IFERROR(_xlfn.XLOOKUP(A2233:A6275,castles_state!K:K,castles_state!D:D)&amp;"主",IFERROR(_xlfn.XLOOKUP(A2233:A6275,kunishuClan!D:D,kunishuClan!B:B)&amp;"当主","")))</f>
      </c>
    </row>
    <row r="2234" ht="15.75" customHeight="1">
      <c r="A2234" s="4">
        <v>1056204</v>
      </c>
      <c r="B2234" s="12" t="str">
        <f t="array" ref="B2234">IF(A2234:A6276="","",_xlfn.XLOOKUP(A2234:A6276,'参照_武将'!A:A,'参照_武将'!B:B,"見つかりません"))</f>
      </c>
      <c r="C2234" s="4" t="s">
        <v>5959</v>
      </c>
      <c r="D2234" s="4">
        <v>56</v>
      </c>
      <c r="E2234" s="12" t="str">
        <f t="array" ref="E2234">IF(D2234:D6276="","",IFERROR(_xlfn.XLOOKUP(D2234:D6276,'参照_勢力'!A:A,'参照_勢力'!B:B),IFERROR(_xlfn.XLOOKUP(F2234:F6276,kunishuClan!A:A,kunishuClan!B:B),"浪人")))</f>
      </c>
      <c r="F2234" s="4">
        <v>0</v>
      </c>
      <c r="G2234" s="4">
        <v>184</v>
      </c>
      <c r="H2234" s="12" t="str">
        <f t="array" ref="H2234">IF(G2234:G6276="","",_xlfn.XLOOKUP(G2234:G6276,castles_state!A:A,castles_state!D:D,"見つかりません"))</f>
      </c>
      <c r="I2234" s="4"/>
      <c r="J2234" s="12" t="str">
        <f t="array" ref="J2234">IF(I2234:I6276="","",_xlfn.XLOOKUP(I2234:I6276,'参照_姫'!A:A,'参照_姫'!B:B,"見つかりません"))</f>
      </c>
      <c r="K2234" s="4">
        <v>95</v>
      </c>
      <c r="L2234" s="4">
        <v>0</v>
      </c>
      <c r="M2234" s="4"/>
      <c r="N2234" s="4"/>
      <c r="O2234" s="4"/>
      <c r="P2234" s="12" t="str">
        <f t="array" ref="P2234">IF(O2234:O6276="","",_xlfn.XLOOKUP(O2234:O6276,'参照_官位'!A:A,'参照_官位'!B:B,""))</f>
      </c>
      <c r="Q2234" s="12" t="str">
        <f t="array" ref="Q2234">IF(A2234:A6276="","",IFERROR(_xlfn.XLOOKUP(A2234:A6276,castles_state!K:K,castles_state!D:D)&amp;"主",IFERROR(_xlfn.XLOOKUP(A2234:A6276,kunishuClan!D:D,kunishuClan!B:B)&amp;"当主","")))</f>
      </c>
    </row>
    <row r="2235" ht="15.75" customHeight="1">
      <c r="A2235" s="4">
        <v>1056205</v>
      </c>
      <c r="B2235" s="12" t="str">
        <f t="array" ref="B2235">IF(A2235:A6277="","",_xlfn.XLOOKUP(A2235:A6277,'参照_武将'!A:A,'参照_武将'!B:B,"見つかりません"))</f>
      </c>
      <c r="C2235" s="4" t="s">
        <v>5959</v>
      </c>
      <c r="D2235" s="4">
        <v>56</v>
      </c>
      <c r="E2235" s="12" t="str">
        <f t="array" ref="E2235">IF(D2235:D6277="","",IFERROR(_xlfn.XLOOKUP(D2235:D6277,'参照_勢力'!A:A,'参照_勢力'!B:B),IFERROR(_xlfn.XLOOKUP(F2235:F6277,kunishuClan!A:A,kunishuClan!B:B),"浪人")))</f>
      </c>
      <c r="F2235" s="4">
        <v>0</v>
      </c>
      <c r="G2235" s="4">
        <v>184</v>
      </c>
      <c r="H2235" s="12" t="str">
        <f t="array" ref="H2235">IF(G2235:G6277="","",_xlfn.XLOOKUP(G2235:G6277,castles_state!A:A,castles_state!D:D,"見つかりません"))</f>
      </c>
      <c r="I2235" s="4"/>
      <c r="J2235" s="12" t="str">
        <f t="array" ref="J2235">IF(I2235:I6277="","",_xlfn.XLOOKUP(I2235:I6277,'参照_姫'!A:A,'参照_姫'!B:B,"見つかりません"))</f>
      </c>
      <c r="K2235" s="4">
        <v>85</v>
      </c>
      <c r="L2235" s="4">
        <v>300</v>
      </c>
      <c r="M2235" s="4"/>
      <c r="N2235" s="4"/>
      <c r="O2235" s="4"/>
      <c r="P2235" s="12" t="str">
        <f t="array" ref="P2235">IF(O2235:O6277="","",_xlfn.XLOOKUP(O2235:O6277,'参照_官位'!A:A,'参照_官位'!B:B,""))</f>
      </c>
      <c r="Q2235" s="12" t="str">
        <f t="array" ref="Q2235">IF(A2235:A6277="","",IFERROR(_xlfn.XLOOKUP(A2235:A6277,castles_state!K:K,castles_state!D:D)&amp;"主",IFERROR(_xlfn.XLOOKUP(A2235:A6277,kunishuClan!D:D,kunishuClan!B:B)&amp;"当主","")))</f>
      </c>
    </row>
    <row r="2236" ht="15.75" customHeight="1">
      <c r="A2236" s="4">
        <v>1056206</v>
      </c>
      <c r="B2236" s="12" t="str">
        <f t="array" ref="B2236">IF(A2236:A6278="","",_xlfn.XLOOKUP(A2236:A6278,'参照_武将'!A:A,'参照_武将'!B:B,"見つかりません"))</f>
      </c>
      <c r="C2236" s="4" t="s">
        <v>5959</v>
      </c>
      <c r="D2236" s="4">
        <v>56</v>
      </c>
      <c r="E2236" s="12" t="str">
        <f t="array" ref="E2236">IF(D2236:D6278="","",IFERROR(_xlfn.XLOOKUP(D2236:D6278,'参照_勢力'!A:A,'参照_勢力'!B:B),IFERROR(_xlfn.XLOOKUP(F2236:F6278,kunishuClan!A:A,kunishuClan!B:B),"浪人")))</f>
      </c>
      <c r="F2236" s="4">
        <v>0</v>
      </c>
      <c r="G2236" s="4">
        <v>184</v>
      </c>
      <c r="H2236" s="12" t="str">
        <f t="array" ref="H2236">IF(G2236:G6278="","",_xlfn.XLOOKUP(G2236:G6278,castles_state!A:A,castles_state!D:D,"見つかりません"))</f>
      </c>
      <c r="I2236" s="4"/>
      <c r="J2236" s="12" t="str">
        <f t="array" ref="J2236">IF(I2236:I6278="","",_xlfn.XLOOKUP(I2236:I6278,'参照_姫'!A:A,'参照_姫'!B:B,"見つかりません"))</f>
      </c>
      <c r="K2236" s="4">
        <v>85</v>
      </c>
      <c r="L2236" s="4">
        <v>0</v>
      </c>
      <c r="M2236" s="4"/>
      <c r="N2236" s="4"/>
      <c r="O2236" s="4"/>
      <c r="P2236" s="12" t="str">
        <f t="array" ref="P2236">IF(O2236:O6278="","",_xlfn.XLOOKUP(O2236:O6278,'参照_官位'!A:A,'参照_官位'!B:B,""))</f>
      </c>
      <c r="Q2236" s="12" t="str">
        <f t="array" ref="Q2236">IF(A2236:A6278="","",IFERROR(_xlfn.XLOOKUP(A2236:A6278,castles_state!K:K,castles_state!D:D)&amp;"主",IFERROR(_xlfn.XLOOKUP(A2236:A6278,kunishuClan!D:D,kunishuClan!B:B)&amp;"当主","")))</f>
      </c>
    </row>
    <row r="2237" ht="15.75" customHeight="1">
      <c r="A2237" s="4">
        <v>1057001</v>
      </c>
      <c r="B2237" s="12" t="str">
        <f t="array" ref="B2237">IF(A2237:A6279="","",_xlfn.XLOOKUP(A2237:A6279,'参照_武将'!A:A,'参照_武将'!B:B,"見つかりません"))</f>
      </c>
      <c r="C2237" s="4" t="s">
        <v>276</v>
      </c>
      <c r="D2237" s="4">
        <v>57</v>
      </c>
      <c r="E2237" s="12" t="str">
        <f t="array" ref="E2237">IF(D2237:D6279="","",IFERROR(_xlfn.XLOOKUP(D2237:D6279,'参照_勢力'!A:A,'参照_勢力'!B:B),IFERROR(_xlfn.XLOOKUP(F2237:F6279,kunishuClan!A:A,kunishuClan!B:B),"浪人")))</f>
      </c>
      <c r="F2237" s="4">
        <v>0</v>
      </c>
      <c r="G2237" s="4">
        <v>157</v>
      </c>
      <c r="H2237" s="12" t="str">
        <f t="array" ref="H2237">IF(G2237:G6279="","",_xlfn.XLOOKUP(G2237:G6279,castles_state!A:A,castles_state!D:D,"見つかりません"))</f>
      </c>
      <c r="I2237" s="4"/>
      <c r="J2237" s="12" t="str">
        <f t="array" ref="J2237">IF(I2237:I6279="","",_xlfn.XLOOKUP(I2237:I6279,'参照_姫'!A:A,'参照_姫'!B:B,"見つかりません"))</f>
      </c>
      <c r="K2237" s="4">
        <v>100</v>
      </c>
      <c r="L2237" s="4">
        <v>1500</v>
      </c>
      <c r="M2237" s="4"/>
      <c r="N2237" s="4"/>
      <c r="O2237" s="4"/>
      <c r="P2237" s="12" t="str">
        <f t="array" ref="P2237">IF(O2237:O6279="","",_xlfn.XLOOKUP(O2237:O6279,'参照_官位'!A:A,'参照_官位'!B:B,""))</f>
      </c>
      <c r="Q2237" s="12" t="str">
        <f t="array" ref="Q2237">IF(A2237:A6279="","",IFERROR(_xlfn.XLOOKUP(A2237:A6279,castles_state!K:K,castles_state!D:D)&amp;"主",IFERROR(_xlfn.XLOOKUP(A2237:A6279,kunishuClan!D:D,kunishuClan!B:B)&amp;"当主","")))</f>
      </c>
    </row>
    <row r="2238" ht="15.75" customHeight="1">
      <c r="A2238" s="4">
        <v>1057002</v>
      </c>
      <c r="B2238" s="12" t="str">
        <f t="array" ref="B2238">IF(A2238:A6280="","",_xlfn.XLOOKUP(A2238:A6280,'参照_武将'!A:A,'参照_武将'!B:B,"見つかりません"))</f>
      </c>
      <c r="C2238" s="4" t="s">
        <v>276</v>
      </c>
      <c r="D2238" s="4">
        <v>57</v>
      </c>
      <c r="E2238" s="12" t="str">
        <f t="array" ref="E2238">IF(D2238:D6280="","",IFERROR(_xlfn.XLOOKUP(D2238:D6280,'参照_勢力'!A:A,'参照_勢力'!B:B),IFERROR(_xlfn.XLOOKUP(F2238:F6280,kunishuClan!A:A,kunishuClan!B:B),"浪人")))</f>
      </c>
      <c r="F2238" s="4">
        <v>0</v>
      </c>
      <c r="G2238" s="4">
        <v>157</v>
      </c>
      <c r="H2238" s="12" t="str">
        <f t="array" ref="H2238">IF(G2238:G6280="","",_xlfn.XLOOKUP(G2238:G6280,castles_state!A:A,castles_state!D:D,"見つかりません"))</f>
      </c>
      <c r="I2238" s="4"/>
      <c r="J2238" s="12" t="str">
        <f t="array" ref="J2238">IF(I2238:I6280="","",_xlfn.XLOOKUP(I2238:I6280,'参照_姫'!A:A,'参照_姫'!B:B,"見つかりません"))</f>
      </c>
      <c r="K2238" s="4">
        <v>95</v>
      </c>
      <c r="L2238" s="4">
        <v>200</v>
      </c>
      <c r="M2238" s="4"/>
      <c r="N2238" s="4" t="b">
        <v>1</v>
      </c>
      <c r="O2238" s="4"/>
      <c r="P2238" s="12" t="str">
        <f t="array" ref="P2238">IF(O2238:O6280="","",_xlfn.XLOOKUP(O2238:O6280,'参照_官位'!A:A,'参照_官位'!B:B,""))</f>
      </c>
      <c r="Q2238" s="12" t="str">
        <f t="array" ref="Q2238">IF(A2238:A6280="","",IFERROR(_xlfn.XLOOKUP(A2238:A6280,castles_state!K:K,castles_state!D:D)&amp;"主",IFERROR(_xlfn.XLOOKUP(A2238:A6280,kunishuClan!D:D,kunishuClan!B:B)&amp;"当主","")))</f>
      </c>
    </row>
    <row r="2239" ht="15.75" customHeight="1">
      <c r="A2239" s="4">
        <v>1057003</v>
      </c>
      <c r="B2239" s="12" t="str">
        <f t="array" ref="B2239">IF(A2239:A6281="","",_xlfn.XLOOKUP(A2239:A6281,'参照_武将'!A:A,'参照_武将'!B:B,"見つかりません"))</f>
      </c>
      <c r="C2239" s="4" t="s">
        <v>276</v>
      </c>
      <c r="D2239" s="4">
        <v>57</v>
      </c>
      <c r="E2239" s="12" t="str">
        <f t="array" ref="E2239">IF(D2239:D6281="","",IFERROR(_xlfn.XLOOKUP(D2239:D6281,'参照_勢力'!A:A,'参照_勢力'!B:B),IFERROR(_xlfn.XLOOKUP(F2239:F6281,kunishuClan!A:A,kunishuClan!B:B),"浪人")))</f>
      </c>
      <c r="F2239" s="4">
        <v>0</v>
      </c>
      <c r="G2239" s="4">
        <v>157</v>
      </c>
      <c r="H2239" s="12" t="str">
        <f t="array" ref="H2239">IF(G2239:G6281="","",_xlfn.XLOOKUP(G2239:G6281,castles_state!A:A,castles_state!D:D,"見つかりません"))</f>
      </c>
      <c r="I2239" s="4"/>
      <c r="J2239" s="12" t="str">
        <f t="array" ref="J2239">IF(I2239:I6281="","",_xlfn.XLOOKUP(I2239:I6281,'参照_姫'!A:A,'参照_姫'!B:B,"見つかりません"))</f>
      </c>
      <c r="K2239" s="4">
        <v>100</v>
      </c>
      <c r="L2239" s="4">
        <v>1000</v>
      </c>
      <c r="M2239" s="4"/>
      <c r="N2239" s="4"/>
      <c r="O2239" s="4"/>
      <c r="P2239" s="12" t="str">
        <f t="array" ref="P2239">IF(O2239:O6281="","",_xlfn.XLOOKUP(O2239:O6281,'参照_官位'!A:A,'参照_官位'!B:B,""))</f>
      </c>
      <c r="Q2239" s="12" t="str">
        <f t="array" ref="Q2239">IF(A2239:A6281="","",IFERROR(_xlfn.XLOOKUP(A2239:A6281,castles_state!K:K,castles_state!D:D)&amp;"主",IFERROR(_xlfn.XLOOKUP(A2239:A6281,kunishuClan!D:D,kunishuClan!B:B)&amp;"当主","")))</f>
      </c>
    </row>
    <row r="2240" ht="15.75" customHeight="1">
      <c r="A2240" s="4">
        <v>1057004</v>
      </c>
      <c r="B2240" s="12" t="str">
        <f t="array" ref="B2240">IF(A2240:A6282="","",_xlfn.XLOOKUP(A2240:A6282,'参照_武将'!A:A,'参照_武将'!B:B,"見つかりません"))</f>
      </c>
      <c r="C2240" s="4" t="s">
        <v>276</v>
      </c>
      <c r="D2240" s="4">
        <v>57</v>
      </c>
      <c r="E2240" s="12" t="str">
        <f t="array" ref="E2240">IF(D2240:D6282="","",IFERROR(_xlfn.XLOOKUP(D2240:D6282,'参照_勢力'!A:A,'参照_勢力'!B:B),IFERROR(_xlfn.XLOOKUP(F2240:F6282,kunishuClan!A:A,kunishuClan!B:B),"浪人")))</f>
      </c>
      <c r="F2240" s="4">
        <v>0</v>
      </c>
      <c r="G2240" s="4">
        <v>157</v>
      </c>
      <c r="H2240" s="12" t="str">
        <f t="array" ref="H2240">IF(G2240:G6282="","",_xlfn.XLOOKUP(G2240:G6282,castles_state!A:A,castles_state!D:D,"見つかりません"))</f>
      </c>
      <c r="I2240" s="4"/>
      <c r="J2240" s="12" t="str">
        <f t="array" ref="J2240">IF(I2240:I6282="","",_xlfn.XLOOKUP(I2240:I6282,'参照_姫'!A:A,'参照_姫'!B:B,"見つかりません"))</f>
      </c>
      <c r="K2240" s="4">
        <v>95</v>
      </c>
      <c r="L2240" s="4">
        <v>300</v>
      </c>
      <c r="M2240" s="4"/>
      <c r="N2240" s="4"/>
      <c r="O2240" s="4"/>
      <c r="P2240" s="12" t="str">
        <f t="array" ref="P2240">IF(O2240:O6282="","",_xlfn.XLOOKUP(O2240:O6282,'参照_官位'!A:A,'参照_官位'!B:B,""))</f>
      </c>
      <c r="Q2240" s="12" t="str">
        <f t="array" ref="Q2240">IF(A2240:A6282="","",IFERROR(_xlfn.XLOOKUP(A2240:A6282,castles_state!K:K,castles_state!D:D)&amp;"主",IFERROR(_xlfn.XLOOKUP(A2240:A6282,kunishuClan!D:D,kunishuClan!B:B)&amp;"当主","")))</f>
      </c>
    </row>
    <row r="2241" ht="15.75" customHeight="1">
      <c r="A2241" s="4">
        <v>1057005</v>
      </c>
      <c r="B2241" s="12" t="str">
        <f t="array" ref="B2241">IF(A2241:A6283="","",_xlfn.XLOOKUP(A2241:A6283,'参照_武将'!A:A,'参照_武将'!B:B,"見つかりません"))</f>
      </c>
      <c r="C2241" s="4" t="s">
        <v>5959</v>
      </c>
      <c r="D2241" s="4">
        <v>56</v>
      </c>
      <c r="E2241" s="12" t="str">
        <f t="array" ref="E2241">IF(D2241:D6283="","",IFERROR(_xlfn.XLOOKUP(D2241:D6283,'参照_勢力'!A:A,'参照_勢力'!B:B),IFERROR(_xlfn.XLOOKUP(F2241:F6283,kunishuClan!A:A,kunishuClan!B:B),"浪人")))</f>
      </c>
      <c r="F2241" s="4">
        <v>0</v>
      </c>
      <c r="G2241" s="4">
        <v>184</v>
      </c>
      <c r="H2241" s="12" t="str">
        <f t="array" ref="H2241">IF(G2241:G6283="","",_xlfn.XLOOKUP(G2241:G6283,castles_state!A:A,castles_state!D:D,"見つかりません"))</f>
      </c>
      <c r="I2241" s="4"/>
      <c r="J2241" s="12" t="str">
        <f t="array" ref="J2241">IF(I2241:I6283="","",_xlfn.XLOOKUP(I2241:I6283,'参照_姫'!A:A,'参照_姫'!B:B,"見つかりません"))</f>
      </c>
      <c r="K2241" s="4">
        <v>85</v>
      </c>
      <c r="L2241" s="4">
        <v>500</v>
      </c>
      <c r="M2241" s="4"/>
      <c r="N2241" s="4"/>
      <c r="O2241" s="4"/>
      <c r="P2241" s="12" t="str">
        <f t="array" ref="P2241">IF(O2241:O6283="","",_xlfn.XLOOKUP(O2241:O6283,'参照_官位'!A:A,'参照_官位'!B:B,""))</f>
      </c>
      <c r="Q2241" s="12" t="str">
        <f t="array" ref="Q2241">IF(A2241:A6283="","",IFERROR(_xlfn.XLOOKUP(A2241:A6283,castles_state!K:K,castles_state!D:D)&amp;"主",IFERROR(_xlfn.XLOOKUP(A2241:A6283,kunishuClan!D:D,kunishuClan!B:B)&amp;"当主","")))</f>
      </c>
    </row>
    <row r="2242" ht="15.75" customHeight="1">
      <c r="A2242" s="4">
        <v>1057006</v>
      </c>
      <c r="B2242" s="12" t="str">
        <f t="array" ref="B2242">IF(A2242:A6284="","",_xlfn.XLOOKUP(A2242:A6284,'参照_武将'!A:A,'参照_武将'!B:B,"見つかりません"))</f>
      </c>
      <c r="C2242" s="4" t="s">
        <v>5959</v>
      </c>
      <c r="D2242" s="4">
        <v>56</v>
      </c>
      <c r="E2242" s="12" t="str">
        <f t="array" ref="E2242">IF(D2242:D6284="","",IFERROR(_xlfn.XLOOKUP(D2242:D6284,'参照_勢力'!A:A,'参照_勢力'!B:B),IFERROR(_xlfn.XLOOKUP(F2242:F6284,kunishuClan!A:A,kunishuClan!B:B),"浪人")))</f>
      </c>
      <c r="F2242" s="4">
        <v>0</v>
      </c>
      <c r="G2242" s="4">
        <v>184</v>
      </c>
      <c r="H2242" s="12" t="str">
        <f t="array" ref="H2242">IF(G2242:G6284="","",_xlfn.XLOOKUP(G2242:G6284,castles_state!A:A,castles_state!D:D,"見つかりません"))</f>
      </c>
      <c r="I2242" s="4"/>
      <c r="J2242" s="12" t="str">
        <f t="array" ref="J2242">IF(I2242:I6284="","",_xlfn.XLOOKUP(I2242:I6284,'参照_姫'!A:A,'参照_姫'!B:B,"見つかりません"))</f>
      </c>
      <c r="K2242" s="4">
        <v>85</v>
      </c>
      <c r="L2242" s="4">
        <v>0</v>
      </c>
      <c r="M2242" s="4"/>
      <c r="N2242" s="4"/>
      <c r="O2242" s="4"/>
      <c r="P2242" s="12" t="str">
        <f t="array" ref="P2242">IF(O2242:O6284="","",_xlfn.XLOOKUP(O2242:O6284,'参照_官位'!A:A,'参照_官位'!B:B,""))</f>
      </c>
      <c r="Q2242" s="12" t="str">
        <f t="array" ref="Q2242">IF(A2242:A6284="","",IFERROR(_xlfn.XLOOKUP(A2242:A6284,castles_state!K:K,castles_state!D:D)&amp;"主",IFERROR(_xlfn.XLOOKUP(A2242:A6284,kunishuClan!D:D,kunishuClan!B:B)&amp;"当主","")))</f>
      </c>
    </row>
    <row r="2243" ht="15.75" customHeight="1">
      <c r="A2243" s="4">
        <v>1057007</v>
      </c>
      <c r="B2243" s="12" t="str">
        <f t="array" ref="B2243">IF(A2243:A6285="","",_xlfn.XLOOKUP(A2243:A6285,'参照_武将'!A:A,'参照_武将'!B:B,"見つかりません"))</f>
      </c>
      <c r="C2243" s="4" t="s">
        <v>276</v>
      </c>
      <c r="D2243" s="4">
        <v>57</v>
      </c>
      <c r="E2243" s="12" t="str">
        <f t="array" ref="E2243">IF(D2243:D6285="","",IFERROR(_xlfn.XLOOKUP(D2243:D6285,'参照_勢力'!A:A,'参照_勢力'!B:B),IFERROR(_xlfn.XLOOKUP(F2243:F6285,kunishuClan!A:A,kunishuClan!B:B),"浪人")))</f>
      </c>
      <c r="F2243" s="4">
        <v>0</v>
      </c>
      <c r="G2243" s="4">
        <v>156</v>
      </c>
      <c r="H2243" s="12" t="str">
        <f t="array" ref="H2243">IF(G2243:G6285="","",_xlfn.XLOOKUP(G2243:G6285,castles_state!A:A,castles_state!D:D,"見つかりません"))</f>
      </c>
      <c r="I2243" s="4"/>
      <c r="J2243" s="12" t="str">
        <f t="array" ref="J2243">IF(I2243:I6285="","",_xlfn.XLOOKUP(I2243:I6285,'参照_姫'!A:A,'参照_姫'!B:B,"見つかりません"))</f>
      </c>
      <c r="K2243" s="4">
        <v>95</v>
      </c>
      <c r="L2243" s="4">
        <v>500</v>
      </c>
      <c r="M2243" s="4"/>
      <c r="N2243" s="4"/>
      <c r="O2243" s="4"/>
      <c r="P2243" s="12" t="str">
        <f t="array" ref="P2243">IF(O2243:O6285="","",_xlfn.XLOOKUP(O2243:O6285,'参照_官位'!A:A,'参照_官位'!B:B,""))</f>
      </c>
      <c r="Q2243" s="12" t="str">
        <f t="array" ref="Q2243">IF(A2243:A6285="","",IFERROR(_xlfn.XLOOKUP(A2243:A6285,castles_state!K:K,castles_state!D:D)&amp;"主",IFERROR(_xlfn.XLOOKUP(A2243:A6285,kunishuClan!D:D,kunishuClan!B:B)&amp;"当主","")))</f>
      </c>
    </row>
    <row r="2244" ht="15.75" customHeight="1">
      <c r="A2244" s="4">
        <v>1057008</v>
      </c>
      <c r="B2244" s="12" t="str">
        <f t="array" ref="B2244">IF(A2244:A6286="","",_xlfn.XLOOKUP(A2244:A6286,'参照_武将'!A:A,'参照_武将'!B:B,"見つかりません"))</f>
      </c>
      <c r="C2244" s="4" t="s">
        <v>276</v>
      </c>
      <c r="D2244" s="4">
        <v>57</v>
      </c>
      <c r="E2244" s="12" t="str">
        <f t="array" ref="E2244">IF(D2244:D6286="","",IFERROR(_xlfn.XLOOKUP(D2244:D6286,'参照_勢力'!A:A,'参照_勢力'!B:B),IFERROR(_xlfn.XLOOKUP(F2244:F6286,kunishuClan!A:A,kunishuClan!B:B),"浪人")))</f>
      </c>
      <c r="F2244" s="4">
        <v>0</v>
      </c>
      <c r="G2244" s="4">
        <v>156</v>
      </c>
      <c r="H2244" s="12" t="str">
        <f t="array" ref="H2244">IF(G2244:G6286="","",_xlfn.XLOOKUP(G2244:G6286,castles_state!A:A,castles_state!D:D,"見つかりません"))</f>
      </c>
      <c r="I2244" s="4"/>
      <c r="J2244" s="12" t="str">
        <f t="array" ref="J2244">IF(I2244:I6286="","",_xlfn.XLOOKUP(I2244:I6286,'参照_姫'!A:A,'参照_姫'!B:B,"見つかりません"))</f>
      </c>
      <c r="K2244" s="4">
        <v>95</v>
      </c>
      <c r="L2244" s="4">
        <v>0</v>
      </c>
      <c r="M2244" s="4"/>
      <c r="N2244" s="4"/>
      <c r="O2244" s="4"/>
      <c r="P2244" s="12" t="str">
        <f t="array" ref="P2244">IF(O2244:O6286="","",_xlfn.XLOOKUP(O2244:O6286,'参照_官位'!A:A,'参照_官位'!B:B,""))</f>
      </c>
      <c r="Q2244" s="12" t="str">
        <f t="array" ref="Q2244">IF(A2244:A6286="","",IFERROR(_xlfn.XLOOKUP(A2244:A6286,castles_state!K:K,castles_state!D:D)&amp;"主",IFERROR(_xlfn.XLOOKUP(A2244:A6286,kunishuClan!D:D,kunishuClan!B:B)&amp;"当主","")))</f>
      </c>
    </row>
    <row r="2245" ht="15.75" customHeight="1">
      <c r="A2245" s="4">
        <v>1057009</v>
      </c>
      <c r="B2245" s="12" t="str">
        <f t="array" ref="B2245">IF(A2245:A6287="","",_xlfn.XLOOKUP(A2245:A6287,'参照_武将'!A:A,'参照_武将'!B:B,"見つかりません"))</f>
      </c>
      <c r="C2245" s="4" t="s">
        <v>276</v>
      </c>
      <c r="D2245" s="4">
        <v>57</v>
      </c>
      <c r="E2245" s="12" t="str">
        <f t="array" ref="E2245">IF(D2245:D6287="","",IFERROR(_xlfn.XLOOKUP(D2245:D6287,'参照_勢力'!A:A,'参照_勢力'!B:B),IFERROR(_xlfn.XLOOKUP(F2245:F6287,kunishuClan!A:A,kunishuClan!B:B),"浪人")))</f>
      </c>
      <c r="F2245" s="4">
        <v>0</v>
      </c>
      <c r="G2245" s="4">
        <v>156</v>
      </c>
      <c r="H2245" s="12" t="str">
        <f t="array" ref="H2245">IF(G2245:G6287="","",_xlfn.XLOOKUP(G2245:G6287,castles_state!A:A,castles_state!D:D,"見つかりません"))</f>
      </c>
      <c r="I2245" s="4"/>
      <c r="J2245" s="12" t="str">
        <f t="array" ref="J2245">IF(I2245:I6287="","",_xlfn.XLOOKUP(I2245:I6287,'参照_姫'!A:A,'参照_姫'!B:B,"見つかりません"))</f>
      </c>
      <c r="K2245" s="4">
        <v>95</v>
      </c>
      <c r="L2245" s="4">
        <v>0</v>
      </c>
      <c r="M2245" s="4"/>
      <c r="N2245" s="4"/>
      <c r="O2245" s="4"/>
      <c r="P2245" s="12" t="str">
        <f t="array" ref="P2245">IF(O2245:O6287="","",_xlfn.XLOOKUP(O2245:O6287,'参照_官位'!A:A,'参照_官位'!B:B,""))</f>
      </c>
      <c r="Q2245" s="12" t="str">
        <f t="array" ref="Q2245">IF(A2245:A6287="","",IFERROR(_xlfn.XLOOKUP(A2245:A6287,castles_state!K:K,castles_state!D:D)&amp;"主",IFERROR(_xlfn.XLOOKUP(A2245:A6287,kunishuClan!D:D,kunishuClan!B:B)&amp;"当主","")))</f>
      </c>
    </row>
    <row r="2246" ht="15.75" customHeight="1">
      <c r="A2246" s="4">
        <v>1057010</v>
      </c>
      <c r="B2246" s="12" t="str">
        <f t="array" ref="B2246">IF(A2246:A6288="","",_xlfn.XLOOKUP(A2246:A6288,'参照_武将'!A:A,'参照_武将'!B:B,"見つかりません"))</f>
      </c>
      <c r="C2246" s="4" t="s">
        <v>276</v>
      </c>
      <c r="D2246" s="4">
        <v>57</v>
      </c>
      <c r="E2246" s="12" t="str">
        <f t="array" ref="E2246">IF(D2246:D6288="","",IFERROR(_xlfn.XLOOKUP(D2246:D6288,'参照_勢力'!A:A,'参照_勢力'!B:B),IFERROR(_xlfn.XLOOKUP(F2246:F6288,kunishuClan!A:A,kunishuClan!B:B),"浪人")))</f>
      </c>
      <c r="F2246" s="4">
        <v>0</v>
      </c>
      <c r="G2246" s="4">
        <v>156</v>
      </c>
      <c r="H2246" s="12" t="str">
        <f t="array" ref="H2246">IF(G2246:G6288="","",_xlfn.XLOOKUP(G2246:G6288,castles_state!A:A,castles_state!D:D,"見つかりません"))</f>
      </c>
      <c r="I2246" s="4"/>
      <c r="J2246" s="12" t="str">
        <f t="array" ref="J2246">IF(I2246:I6288="","",_xlfn.XLOOKUP(I2246:I6288,'参照_姫'!A:A,'参照_姫'!B:B,"見つかりません"))</f>
      </c>
      <c r="K2246" s="4">
        <v>95</v>
      </c>
      <c r="L2246" s="4">
        <v>0</v>
      </c>
      <c r="M2246" s="4"/>
      <c r="N2246" s="4"/>
      <c r="O2246" s="4"/>
      <c r="P2246" s="12" t="str">
        <f t="array" ref="P2246">IF(O2246:O6288="","",_xlfn.XLOOKUP(O2246:O6288,'参照_官位'!A:A,'参照_官位'!B:B,""))</f>
      </c>
      <c r="Q2246" s="12" t="str">
        <f t="array" ref="Q2246">IF(A2246:A6288="","",IFERROR(_xlfn.XLOOKUP(A2246:A6288,castles_state!K:K,castles_state!D:D)&amp;"主",IFERROR(_xlfn.XLOOKUP(A2246:A6288,kunishuClan!D:D,kunishuClan!B:B)&amp;"当主","")))</f>
      </c>
    </row>
    <row r="2247" ht="15.75" customHeight="1">
      <c r="A2247" s="4">
        <v>1057011</v>
      </c>
      <c r="B2247" s="12" t="str">
        <f t="array" ref="B2247">IF(A2247:A6289="","",_xlfn.XLOOKUP(A2247:A6289,'参照_武将'!A:A,'参照_武将'!B:B,"見つかりません"))</f>
      </c>
      <c r="C2247" s="4" t="s">
        <v>276</v>
      </c>
      <c r="D2247" s="4">
        <v>57</v>
      </c>
      <c r="E2247" s="12" t="str">
        <f t="array" ref="E2247">IF(D2247:D6289="","",IFERROR(_xlfn.XLOOKUP(D2247:D6289,'参照_勢力'!A:A,'参照_勢力'!B:B),IFERROR(_xlfn.XLOOKUP(F2247:F6289,kunishuClan!A:A,kunishuClan!B:B),"浪人")))</f>
      </c>
      <c r="F2247" s="4">
        <v>0</v>
      </c>
      <c r="G2247" s="4">
        <v>156</v>
      </c>
      <c r="H2247" s="12" t="str">
        <f t="array" ref="H2247">IF(G2247:G6289="","",_xlfn.XLOOKUP(G2247:G6289,castles_state!A:A,castles_state!D:D,"見つかりません"))</f>
      </c>
      <c r="I2247" s="4"/>
      <c r="J2247" s="12" t="str">
        <f t="array" ref="J2247">IF(I2247:I6289="","",_xlfn.XLOOKUP(I2247:I6289,'参照_姫'!A:A,'参照_姫'!B:B,"見つかりません"))</f>
      </c>
      <c r="K2247" s="4">
        <v>95</v>
      </c>
      <c r="L2247" s="4">
        <v>0</v>
      </c>
      <c r="M2247" s="4"/>
      <c r="N2247" s="4"/>
      <c r="O2247" s="4"/>
      <c r="P2247" s="12" t="str">
        <f t="array" ref="P2247">IF(O2247:O6289="","",_xlfn.XLOOKUP(O2247:O6289,'参照_官位'!A:A,'参照_官位'!B:B,""))</f>
      </c>
      <c r="Q2247" s="12" t="str">
        <f t="array" ref="Q2247">IF(A2247:A6289="","",IFERROR(_xlfn.XLOOKUP(A2247:A6289,castles_state!K:K,castles_state!D:D)&amp;"主",IFERROR(_xlfn.XLOOKUP(A2247:A6289,kunishuClan!D:D,kunishuClan!B:B)&amp;"当主","")))</f>
      </c>
    </row>
    <row r="2248" ht="15.75" customHeight="1">
      <c r="A2248" s="4">
        <v>1057012</v>
      </c>
      <c r="B2248" s="12" t="str">
        <f t="array" ref="B2248">IF(A2248:A6290="","",_xlfn.XLOOKUP(A2248:A6290,'参照_武将'!A:A,'参照_武将'!B:B,"見つかりません"))</f>
      </c>
      <c r="C2248" s="4" t="s">
        <v>5954</v>
      </c>
      <c r="D2248" s="4">
        <v>0</v>
      </c>
      <c r="E2248" s="12" t="str">
        <f t="array" ref="E2248">IF(D2248:D6290="","",IFERROR(_xlfn.XLOOKUP(D2248:D6290,'参照_勢力'!A:A,'参照_勢力'!B:B),IFERROR(_xlfn.XLOOKUP(F2248:F6290,kunishuClan!A:A,kunishuClan!B:B),"浪人")))</f>
      </c>
      <c r="F2248" s="4">
        <v>49</v>
      </c>
      <c r="G2248" s="4">
        <v>154</v>
      </c>
      <c r="H2248" s="12" t="str">
        <f t="array" ref="H2248">IF(G2248:G6290="","",_xlfn.XLOOKUP(G2248:G6290,castles_state!A:A,castles_state!D:D,"見つかりません"))</f>
      </c>
      <c r="I2248" s="4"/>
      <c r="J2248" s="12" t="str">
        <f t="array" ref="J2248">IF(I2248:I6290="","",_xlfn.XLOOKUP(I2248:I6290,'参照_姫'!A:A,'参照_姫'!B:B,"見つかりません"))</f>
      </c>
      <c r="K2248" s="4">
        <v>50</v>
      </c>
      <c r="L2248" s="4">
        <v>0</v>
      </c>
      <c r="M2248" s="4"/>
      <c r="N2248" s="4"/>
      <c r="O2248" s="4"/>
      <c r="P2248" s="12" t="str">
        <f t="array" ref="P2248">IF(O2248:O6290="","",_xlfn.XLOOKUP(O2248:O6290,'参照_官位'!A:A,'参照_官位'!B:B,""))</f>
      </c>
      <c r="Q2248" s="12" t="str">
        <f t="array" ref="Q2248">IF(A2248:A6290="","",IFERROR(_xlfn.XLOOKUP(A2248:A6290,castles_state!K:K,castles_state!D:D)&amp;"主",IFERROR(_xlfn.XLOOKUP(A2248:A6290,kunishuClan!D:D,kunishuClan!B:B)&amp;"当主","")))</f>
      </c>
    </row>
    <row r="2249" ht="15.75" customHeight="1">
      <c r="A2249" s="4">
        <v>1057013</v>
      </c>
      <c r="B2249" s="12" t="str">
        <f t="array" ref="B2249">IF(A2249:A6291="","",_xlfn.XLOOKUP(A2249:A6291,'参照_武将'!A:A,'参照_武将'!B:B,"見つかりません"))</f>
      </c>
      <c r="C2249" s="4" t="s">
        <v>264</v>
      </c>
      <c r="D2249" s="4">
        <v>54</v>
      </c>
      <c r="E2249" s="12" t="str">
        <f t="array" ref="E2249">IF(D2249:D6291="","",IFERROR(_xlfn.XLOOKUP(D2249:D6291,'参照_勢力'!A:A,'参照_勢力'!B:B),IFERROR(_xlfn.XLOOKUP(F2249:F6291,kunishuClan!A:A,kunishuClan!B:B),"浪人")))</f>
      </c>
      <c r="F2249" s="4">
        <v>0</v>
      </c>
      <c r="G2249" s="4">
        <v>152</v>
      </c>
      <c r="H2249" s="12" t="str">
        <f t="array" ref="H2249">IF(G2249:G6291="","",_xlfn.XLOOKUP(G2249:G6291,castles_state!A:A,castles_state!D:D,"見つかりません"))</f>
      </c>
      <c r="I2249" s="4"/>
      <c r="J2249" s="12" t="str">
        <f t="array" ref="J2249">IF(I2249:I6291="","",_xlfn.XLOOKUP(I2249:I6291,'参照_姫'!A:A,'参照_姫'!B:B,"見つかりません"))</f>
      </c>
      <c r="K2249" s="4">
        <v>95</v>
      </c>
      <c r="L2249" s="4">
        <v>0</v>
      </c>
      <c r="M2249" s="4"/>
      <c r="N2249" s="4"/>
      <c r="O2249" s="4"/>
      <c r="P2249" s="12" t="str">
        <f t="array" ref="P2249">IF(O2249:O6291="","",_xlfn.XLOOKUP(O2249:O6291,'参照_官位'!A:A,'参照_官位'!B:B,""))</f>
      </c>
      <c r="Q2249" s="12" t="str">
        <f t="array" ref="Q2249">IF(A2249:A6291="","",IFERROR(_xlfn.XLOOKUP(A2249:A6291,castles_state!K:K,castles_state!D:D)&amp;"主",IFERROR(_xlfn.XLOOKUP(A2249:A6291,kunishuClan!D:D,kunishuClan!B:B)&amp;"当主","")))</f>
      </c>
    </row>
    <row r="2250" ht="15.75" customHeight="1">
      <c r="A2250" s="4">
        <v>1057014</v>
      </c>
      <c r="B2250" s="12" t="str">
        <f t="array" ref="B2250">IF(A2250:A6292="","",_xlfn.XLOOKUP(A2250:A6292,'参照_武将'!A:A,'参照_武将'!B:B,"見つかりません"))</f>
      </c>
      <c r="C2250" s="4" t="s">
        <v>5954</v>
      </c>
      <c r="D2250" s="4">
        <v>0</v>
      </c>
      <c r="E2250" s="12" t="str">
        <f t="array" ref="E2250">IF(D2250:D6292="","",IFERROR(_xlfn.XLOOKUP(D2250:D6292,'参照_勢力'!A:A,'参照_勢力'!B:B),IFERROR(_xlfn.XLOOKUP(F2250:F6292,kunishuClan!A:A,kunishuClan!B:B),"浪人")))</f>
      </c>
      <c r="F2250" s="4">
        <v>49</v>
      </c>
      <c r="G2250" s="4">
        <v>154</v>
      </c>
      <c r="H2250" s="12" t="str">
        <f t="array" ref="H2250">IF(G2250:G6292="","",_xlfn.XLOOKUP(G2250:G6292,castles_state!A:A,castles_state!D:D,"見つかりません"))</f>
      </c>
      <c r="I2250" s="4"/>
      <c r="J2250" s="12" t="str">
        <f t="array" ref="J2250">IF(I2250:I6292="","",_xlfn.XLOOKUP(I2250:I6292,'参照_姫'!A:A,'参照_姫'!B:B,"見つかりません"))</f>
      </c>
      <c r="K2250" s="4">
        <v>50</v>
      </c>
      <c r="L2250" s="4">
        <v>0</v>
      </c>
      <c r="M2250" s="4"/>
      <c r="N2250" s="4"/>
      <c r="O2250" s="4"/>
      <c r="P2250" s="12" t="str">
        <f t="array" ref="P2250">IF(O2250:O6292="","",_xlfn.XLOOKUP(O2250:O6292,'参照_官位'!A:A,'参照_官位'!B:B,""))</f>
      </c>
      <c r="Q2250" s="12" t="str">
        <f t="array" ref="Q2250">IF(A2250:A6292="","",IFERROR(_xlfn.XLOOKUP(A2250:A6292,castles_state!K:K,castles_state!D:D)&amp;"主",IFERROR(_xlfn.XLOOKUP(A2250:A6292,kunishuClan!D:D,kunishuClan!B:B)&amp;"当主","")))</f>
      </c>
    </row>
    <row r="2251" ht="15.75" customHeight="1">
      <c r="A2251" s="4">
        <v>1057015</v>
      </c>
      <c r="B2251" s="12" t="str">
        <f t="array" ref="B2251">IF(A2251:A6293="","",_xlfn.XLOOKUP(A2251:A6293,'参照_武将'!A:A,'参照_武将'!B:B,"見つかりません"))</f>
      </c>
      <c r="C2251" s="4" t="s">
        <v>276</v>
      </c>
      <c r="D2251" s="4">
        <v>57</v>
      </c>
      <c r="E2251" s="12" t="str">
        <f t="array" ref="E2251">IF(D2251:D6293="","",IFERROR(_xlfn.XLOOKUP(D2251:D6293,'参照_勢力'!A:A,'参照_勢力'!B:B),IFERROR(_xlfn.XLOOKUP(F2251:F6293,kunishuClan!A:A,kunishuClan!B:B),"浪人")))</f>
      </c>
      <c r="F2251" s="4">
        <v>0</v>
      </c>
      <c r="G2251" s="4">
        <v>157</v>
      </c>
      <c r="H2251" s="12" t="str">
        <f t="array" ref="H2251">IF(G2251:G6293="","",_xlfn.XLOOKUP(G2251:G6293,castles_state!A:A,castles_state!D:D,"見つかりません"))</f>
      </c>
      <c r="I2251" s="4"/>
      <c r="J2251" s="12" t="str">
        <f t="array" ref="J2251">IF(I2251:I6293="","",_xlfn.XLOOKUP(I2251:I6293,'参照_姫'!A:A,'参照_姫'!B:B,"見つかりません"))</f>
      </c>
      <c r="K2251" s="4">
        <v>95</v>
      </c>
      <c r="L2251" s="4">
        <v>0</v>
      </c>
      <c r="M2251" s="4"/>
      <c r="N2251" s="4"/>
      <c r="O2251" s="4"/>
      <c r="P2251" s="12" t="str">
        <f t="array" ref="P2251">IF(O2251:O6293="","",_xlfn.XLOOKUP(O2251:O6293,'参照_官位'!A:A,'参照_官位'!B:B,""))</f>
      </c>
      <c r="Q2251" s="12" t="str">
        <f t="array" ref="Q2251">IF(A2251:A6293="","",IFERROR(_xlfn.XLOOKUP(A2251:A6293,castles_state!K:K,castles_state!D:D)&amp;"主",IFERROR(_xlfn.XLOOKUP(A2251:A6293,kunishuClan!D:D,kunishuClan!B:B)&amp;"当主","")))</f>
      </c>
    </row>
    <row r="2252" ht="15.75" customHeight="1">
      <c r="A2252" s="4">
        <v>1057016</v>
      </c>
      <c r="B2252" s="12" t="str">
        <f t="array" ref="B2252">IF(A2252:A6294="","",_xlfn.XLOOKUP(A2252:A6294,'参照_武将'!A:A,'参照_武将'!B:B,"見つかりません"))</f>
      </c>
      <c r="C2252" s="4" t="s">
        <v>276</v>
      </c>
      <c r="D2252" s="4">
        <v>57</v>
      </c>
      <c r="E2252" s="12" t="str">
        <f t="array" ref="E2252">IF(D2252:D6294="","",IFERROR(_xlfn.XLOOKUP(D2252:D6294,'参照_勢力'!A:A,'参照_勢力'!B:B),IFERROR(_xlfn.XLOOKUP(F2252:F6294,kunishuClan!A:A,kunishuClan!B:B),"浪人")))</f>
      </c>
      <c r="F2252" s="4">
        <v>0</v>
      </c>
      <c r="G2252" s="4">
        <v>157</v>
      </c>
      <c r="H2252" s="12" t="str">
        <f t="array" ref="H2252">IF(G2252:G6294="","",_xlfn.XLOOKUP(G2252:G6294,castles_state!A:A,castles_state!D:D,"見つかりません"))</f>
      </c>
      <c r="I2252" s="4"/>
      <c r="J2252" s="12" t="str">
        <f t="array" ref="J2252">IF(I2252:I6294="","",_xlfn.XLOOKUP(I2252:I6294,'参照_姫'!A:A,'参照_姫'!B:B,"見つかりません"))</f>
      </c>
      <c r="K2252" s="4">
        <v>95</v>
      </c>
      <c r="L2252" s="4">
        <v>200</v>
      </c>
      <c r="M2252" s="4" t="b">
        <v>1</v>
      </c>
      <c r="N2252" s="4"/>
      <c r="O2252" s="4"/>
      <c r="P2252" s="12" t="str">
        <f t="array" ref="P2252">IF(O2252:O6294="","",_xlfn.XLOOKUP(O2252:O6294,'参照_官位'!A:A,'参照_官位'!B:B,""))</f>
      </c>
      <c r="Q2252" s="12" t="str">
        <f t="array" ref="Q2252">IF(A2252:A6294="","",IFERROR(_xlfn.XLOOKUP(A2252:A6294,castles_state!K:K,castles_state!D:D)&amp;"主",IFERROR(_xlfn.XLOOKUP(A2252:A6294,kunishuClan!D:D,kunishuClan!B:B)&amp;"当主","")))</f>
      </c>
    </row>
    <row r="2253" ht="15.75" customHeight="1">
      <c r="A2253" s="4">
        <v>1057017</v>
      </c>
      <c r="B2253" s="12" t="str">
        <f t="array" ref="B2253">IF(A2253:A6295="","",_xlfn.XLOOKUP(A2253:A6295,'参照_武将'!A:A,'参照_武将'!B:B,"見つかりません"))</f>
      </c>
      <c r="C2253" s="4" t="s">
        <v>276</v>
      </c>
      <c r="D2253" s="4">
        <v>57</v>
      </c>
      <c r="E2253" s="12" t="str">
        <f t="array" ref="E2253">IF(D2253:D6295="","",IFERROR(_xlfn.XLOOKUP(D2253:D6295,'参照_勢力'!A:A,'参照_勢力'!B:B),IFERROR(_xlfn.XLOOKUP(F2253:F6295,kunishuClan!A:A,kunishuClan!B:B),"浪人")))</f>
      </c>
      <c r="F2253" s="4">
        <v>0</v>
      </c>
      <c r="G2253" s="4">
        <v>157</v>
      </c>
      <c r="H2253" s="12" t="str">
        <f t="array" ref="H2253">IF(G2253:G6295="","",_xlfn.XLOOKUP(G2253:G6295,castles_state!A:A,castles_state!D:D,"見つかりません"))</f>
      </c>
      <c r="I2253" s="4"/>
      <c r="J2253" s="12" t="str">
        <f t="array" ref="J2253">IF(I2253:I6295="","",_xlfn.XLOOKUP(I2253:I6295,'参照_姫'!A:A,'参照_姫'!B:B,"見つかりません"))</f>
      </c>
      <c r="K2253" s="4">
        <v>95</v>
      </c>
      <c r="L2253" s="4">
        <v>0</v>
      </c>
      <c r="M2253" s="4"/>
      <c r="N2253" s="4"/>
      <c r="O2253" s="4"/>
      <c r="P2253" s="12" t="str">
        <f t="array" ref="P2253">IF(O2253:O6295="","",_xlfn.XLOOKUP(O2253:O6295,'参照_官位'!A:A,'参照_官位'!B:B,""))</f>
      </c>
      <c r="Q2253" s="12" t="str">
        <f t="array" ref="Q2253">IF(A2253:A6295="","",IFERROR(_xlfn.XLOOKUP(A2253:A6295,castles_state!K:K,castles_state!D:D)&amp;"主",IFERROR(_xlfn.XLOOKUP(A2253:A6295,kunishuClan!D:D,kunishuClan!B:B)&amp;"当主","")))</f>
      </c>
    </row>
    <row r="2254" ht="15.75" customHeight="1">
      <c r="A2254" s="4">
        <v>1057018</v>
      </c>
      <c r="B2254" s="12" t="str">
        <f t="array" ref="B2254">IF(A2254:A6296="","",_xlfn.XLOOKUP(A2254:A6296,'参照_武将'!A:A,'参照_武将'!B:B,"見つかりません"))</f>
      </c>
      <c r="C2254" s="4" t="s">
        <v>276</v>
      </c>
      <c r="D2254" s="4">
        <v>57</v>
      </c>
      <c r="E2254" s="12" t="str">
        <f t="array" ref="E2254">IF(D2254:D6296="","",IFERROR(_xlfn.XLOOKUP(D2254:D6296,'参照_勢力'!A:A,'参照_勢力'!B:B),IFERROR(_xlfn.XLOOKUP(F2254:F6296,kunishuClan!A:A,kunishuClan!B:B),"浪人")))</f>
      </c>
      <c r="F2254" s="4">
        <v>0</v>
      </c>
      <c r="G2254" s="4">
        <v>157</v>
      </c>
      <c r="H2254" s="12" t="str">
        <f t="array" ref="H2254">IF(G2254:G6296="","",_xlfn.XLOOKUP(G2254:G6296,castles_state!A:A,castles_state!D:D,"見つかりません"))</f>
      </c>
      <c r="I2254" s="4"/>
      <c r="J2254" s="12" t="str">
        <f t="array" ref="J2254">IF(I2254:I6296="","",_xlfn.XLOOKUP(I2254:I6296,'参照_姫'!A:A,'参照_姫'!B:B,"見つかりません"))</f>
      </c>
      <c r="K2254" s="4">
        <v>90</v>
      </c>
      <c r="L2254" s="4">
        <v>200</v>
      </c>
      <c r="M2254" s="4"/>
      <c r="N2254" s="4"/>
      <c r="O2254" s="4"/>
      <c r="P2254" s="12" t="str">
        <f t="array" ref="P2254">IF(O2254:O6296="","",_xlfn.XLOOKUP(O2254:O6296,'参照_官位'!A:A,'参照_官位'!B:B,""))</f>
      </c>
      <c r="Q2254" s="12" t="str">
        <f t="array" ref="Q2254">IF(A2254:A6296="","",IFERROR(_xlfn.XLOOKUP(A2254:A6296,castles_state!K:K,castles_state!D:D)&amp;"主",IFERROR(_xlfn.XLOOKUP(A2254:A6296,kunishuClan!D:D,kunishuClan!B:B)&amp;"当主","")))</f>
      </c>
    </row>
    <row r="2255" ht="15.75" customHeight="1">
      <c r="A2255" s="4">
        <v>1057019</v>
      </c>
      <c r="B2255" s="12" t="str">
        <f t="array" ref="B2255">IF(A2255:A6297="","",_xlfn.XLOOKUP(A2255:A6297,'参照_武将'!A:A,'参照_武将'!B:B,"見つかりません"))</f>
      </c>
      <c r="C2255" s="4" t="s">
        <v>276</v>
      </c>
      <c r="D2255" s="4">
        <v>57</v>
      </c>
      <c r="E2255" s="12" t="str">
        <f t="array" ref="E2255">IF(D2255:D6297="","",IFERROR(_xlfn.XLOOKUP(D2255:D6297,'参照_勢力'!A:A,'参照_勢力'!B:B),IFERROR(_xlfn.XLOOKUP(F2255:F6297,kunishuClan!A:A,kunishuClan!B:B),"浪人")))</f>
      </c>
      <c r="F2255" s="4">
        <v>0</v>
      </c>
      <c r="G2255" s="4">
        <v>157</v>
      </c>
      <c r="H2255" s="12" t="str">
        <f t="array" ref="H2255">IF(G2255:G6297="","",_xlfn.XLOOKUP(G2255:G6297,castles_state!A:A,castles_state!D:D,"見つかりません"))</f>
      </c>
      <c r="I2255" s="4"/>
      <c r="J2255" s="12" t="str">
        <f t="array" ref="J2255">IF(I2255:I6297="","",_xlfn.XLOOKUP(I2255:I6297,'参照_姫'!A:A,'参照_姫'!B:B,"見つかりません"))</f>
      </c>
      <c r="K2255" s="4">
        <v>90</v>
      </c>
      <c r="L2255" s="4">
        <v>0</v>
      </c>
      <c r="M2255" s="4"/>
      <c r="N2255" s="4"/>
      <c r="O2255" s="4"/>
      <c r="P2255" s="12" t="str">
        <f t="array" ref="P2255">IF(O2255:O6297="","",_xlfn.XLOOKUP(O2255:O6297,'参照_官位'!A:A,'参照_官位'!B:B,""))</f>
      </c>
      <c r="Q2255" s="12" t="str">
        <f t="array" ref="Q2255">IF(A2255:A6297="","",IFERROR(_xlfn.XLOOKUP(A2255:A6297,castles_state!K:K,castles_state!D:D)&amp;"主",IFERROR(_xlfn.XLOOKUP(A2255:A6297,kunishuClan!D:D,kunishuClan!B:B)&amp;"当主","")))</f>
      </c>
    </row>
    <row r="2256" ht="15.75" customHeight="1">
      <c r="A2256" s="4">
        <v>1057020</v>
      </c>
      <c r="B2256" s="12" t="str">
        <f t="array" ref="B2256">IF(A2256:A6298="","",_xlfn.XLOOKUP(A2256:A6298,'参照_武将'!A:A,'参照_武将'!B:B,"見つかりません"))</f>
      </c>
      <c r="C2256" s="4" t="s">
        <v>276</v>
      </c>
      <c r="D2256" s="4">
        <v>57</v>
      </c>
      <c r="E2256" s="12" t="str">
        <f t="array" ref="E2256">IF(D2256:D6298="","",IFERROR(_xlfn.XLOOKUP(D2256:D6298,'参照_勢力'!A:A,'参照_勢力'!B:B),IFERROR(_xlfn.XLOOKUP(F2256:F6298,kunishuClan!A:A,kunishuClan!B:B),"浪人")))</f>
      </c>
      <c r="F2256" s="4">
        <v>0</v>
      </c>
      <c r="G2256" s="4">
        <v>156</v>
      </c>
      <c r="H2256" s="12" t="str">
        <f t="array" ref="H2256">IF(G2256:G6298="","",_xlfn.XLOOKUP(G2256:G6298,castles_state!A:A,castles_state!D:D,"見つかりません"))</f>
      </c>
      <c r="I2256" s="4"/>
      <c r="J2256" s="12" t="str">
        <f t="array" ref="J2256">IF(I2256:I6298="","",_xlfn.XLOOKUP(I2256:I6298,'参照_姫'!A:A,'参照_姫'!B:B,"見つかりません"))</f>
      </c>
      <c r="K2256" s="4">
        <v>95</v>
      </c>
      <c r="L2256" s="4">
        <v>0</v>
      </c>
      <c r="M2256" s="4"/>
      <c r="N2256" s="4"/>
      <c r="O2256" s="4"/>
      <c r="P2256" s="12" t="str">
        <f t="array" ref="P2256">IF(O2256:O6298="","",_xlfn.XLOOKUP(O2256:O6298,'参照_官位'!A:A,'参照_官位'!B:B,""))</f>
      </c>
      <c r="Q2256" s="12" t="str">
        <f t="array" ref="Q2256">IF(A2256:A6298="","",IFERROR(_xlfn.XLOOKUP(A2256:A6298,castles_state!K:K,castles_state!D:D)&amp;"主",IFERROR(_xlfn.XLOOKUP(A2256:A6298,kunishuClan!D:D,kunishuClan!B:B)&amp;"当主","")))</f>
      </c>
    </row>
    <row r="2257" ht="15.75" customHeight="1">
      <c r="A2257" s="4">
        <v>1057021</v>
      </c>
      <c r="B2257" s="12" t="str">
        <f t="array" ref="B2257">IF(A2257:A6299="","",_xlfn.XLOOKUP(A2257:A6299,'参照_武将'!A:A,'参照_武将'!B:B,"見つかりません"))</f>
      </c>
      <c r="C2257" s="4" t="s">
        <v>276</v>
      </c>
      <c r="D2257" s="4">
        <v>57</v>
      </c>
      <c r="E2257" s="12" t="str">
        <f t="array" ref="E2257">IF(D2257:D6299="","",IFERROR(_xlfn.XLOOKUP(D2257:D6299,'参照_勢力'!A:A,'参照_勢力'!B:B),IFERROR(_xlfn.XLOOKUP(F2257:F6299,kunishuClan!A:A,kunishuClan!B:B),"浪人")))</f>
      </c>
      <c r="F2257" s="4">
        <v>0</v>
      </c>
      <c r="G2257" s="4">
        <v>156</v>
      </c>
      <c r="H2257" s="12" t="str">
        <f t="array" ref="H2257">IF(G2257:G6299="","",_xlfn.XLOOKUP(G2257:G6299,castles_state!A:A,castles_state!D:D,"見つかりません"))</f>
      </c>
      <c r="I2257" s="4"/>
      <c r="J2257" s="12" t="str">
        <f t="array" ref="J2257">IF(I2257:I6299="","",_xlfn.XLOOKUP(I2257:I6299,'参照_姫'!A:A,'参照_姫'!B:B,"見つかりません"))</f>
      </c>
      <c r="K2257" s="4">
        <v>95</v>
      </c>
      <c r="L2257" s="4">
        <v>0</v>
      </c>
      <c r="M2257" s="4"/>
      <c r="N2257" s="4"/>
      <c r="O2257" s="4"/>
      <c r="P2257" s="12" t="str">
        <f t="array" ref="P2257">IF(O2257:O6299="","",_xlfn.XLOOKUP(O2257:O6299,'参照_官位'!A:A,'参照_官位'!B:B,""))</f>
      </c>
      <c r="Q2257" s="12" t="str">
        <f t="array" ref="Q2257">IF(A2257:A6299="","",IFERROR(_xlfn.XLOOKUP(A2257:A6299,castles_state!K:K,castles_state!D:D)&amp;"主",IFERROR(_xlfn.XLOOKUP(A2257:A6299,kunishuClan!D:D,kunishuClan!B:B)&amp;"当主","")))</f>
      </c>
    </row>
    <row r="2258" ht="15.75" customHeight="1">
      <c r="A2258" s="4">
        <v>1057022</v>
      </c>
      <c r="B2258" s="12" t="str">
        <f t="array" ref="B2258">IF(A2258:A6300="","",_xlfn.XLOOKUP(A2258:A6300,'参照_武将'!A:A,'参照_武将'!B:B,"見つかりません"))</f>
      </c>
      <c r="C2258" s="4" t="s">
        <v>276</v>
      </c>
      <c r="D2258" s="4">
        <v>57</v>
      </c>
      <c r="E2258" s="12" t="str">
        <f t="array" ref="E2258">IF(D2258:D6300="","",IFERROR(_xlfn.XLOOKUP(D2258:D6300,'参照_勢力'!A:A,'参照_勢力'!B:B),IFERROR(_xlfn.XLOOKUP(F2258:F6300,kunishuClan!A:A,kunishuClan!B:B),"浪人")))</f>
      </c>
      <c r="F2258" s="4">
        <v>0</v>
      </c>
      <c r="G2258" s="4">
        <v>156</v>
      </c>
      <c r="H2258" s="12" t="str">
        <f t="array" ref="H2258">IF(G2258:G6300="","",_xlfn.XLOOKUP(G2258:G6300,castles_state!A:A,castles_state!D:D,"見つかりません"))</f>
      </c>
      <c r="I2258" s="4"/>
      <c r="J2258" s="12" t="str">
        <f t="array" ref="J2258">IF(I2258:I6300="","",_xlfn.XLOOKUP(I2258:I6300,'参照_姫'!A:A,'参照_姫'!B:B,"見つかりません"))</f>
      </c>
      <c r="K2258" s="4">
        <v>95</v>
      </c>
      <c r="L2258" s="4">
        <v>0</v>
      </c>
      <c r="M2258" s="4"/>
      <c r="N2258" s="4"/>
      <c r="O2258" s="4"/>
      <c r="P2258" s="12" t="str">
        <f t="array" ref="P2258">IF(O2258:O6300="","",_xlfn.XLOOKUP(O2258:O6300,'参照_官位'!A:A,'参照_官位'!B:B,""))</f>
      </c>
      <c r="Q2258" s="12" t="str">
        <f t="array" ref="Q2258">IF(A2258:A6300="","",IFERROR(_xlfn.XLOOKUP(A2258:A6300,castles_state!K:K,castles_state!D:D)&amp;"主",IFERROR(_xlfn.XLOOKUP(A2258:A6300,kunishuClan!D:D,kunishuClan!B:B)&amp;"当主","")))</f>
      </c>
    </row>
    <row r="2259" ht="15.75" customHeight="1">
      <c r="A2259" s="4">
        <v>1057023</v>
      </c>
      <c r="B2259" s="12" t="str">
        <f t="array" ref="B2259">IF(A2259:A6301="","",_xlfn.XLOOKUP(A2259:A6301,'参照_武将'!A:A,'参照_武将'!B:B,"見つかりません"))</f>
      </c>
      <c r="C2259" s="4" t="s">
        <v>276</v>
      </c>
      <c r="D2259" s="4">
        <v>57</v>
      </c>
      <c r="E2259" s="12" t="str">
        <f t="array" ref="E2259">IF(D2259:D6301="","",IFERROR(_xlfn.XLOOKUP(D2259:D6301,'参照_勢力'!A:A,'参照_勢力'!B:B),IFERROR(_xlfn.XLOOKUP(F2259:F6301,kunishuClan!A:A,kunishuClan!B:B),"浪人")))</f>
      </c>
      <c r="F2259" s="4">
        <v>0</v>
      </c>
      <c r="G2259" s="4">
        <v>154</v>
      </c>
      <c r="H2259" s="12" t="str">
        <f t="array" ref="H2259">IF(G2259:G6301="","",_xlfn.XLOOKUP(G2259:G6301,castles_state!A:A,castles_state!D:D,"見つかりません"))</f>
      </c>
      <c r="I2259" s="4"/>
      <c r="J2259" s="12" t="str">
        <f t="array" ref="J2259">IF(I2259:I6301="","",_xlfn.XLOOKUP(I2259:I6301,'参照_姫'!A:A,'参照_姫'!B:B,"見つかりません"))</f>
      </c>
      <c r="K2259" s="4">
        <v>95</v>
      </c>
      <c r="L2259" s="4">
        <v>500</v>
      </c>
      <c r="M2259" s="4"/>
      <c r="N2259" s="4"/>
      <c r="O2259" s="4"/>
      <c r="P2259" s="12" t="str">
        <f t="array" ref="P2259">IF(O2259:O6301="","",_xlfn.XLOOKUP(O2259:O6301,'参照_官位'!A:A,'参照_官位'!B:B,""))</f>
      </c>
      <c r="Q2259" s="12" t="str">
        <f t="array" ref="Q2259">IF(A2259:A6301="","",IFERROR(_xlfn.XLOOKUP(A2259:A6301,castles_state!K:K,castles_state!D:D)&amp;"主",IFERROR(_xlfn.XLOOKUP(A2259:A6301,kunishuClan!D:D,kunishuClan!B:B)&amp;"当主","")))</f>
      </c>
    </row>
    <row r="2260" ht="15.75" customHeight="1">
      <c r="A2260" s="4">
        <v>1057024</v>
      </c>
      <c r="B2260" s="12" t="str">
        <f t="array" ref="B2260">IF(A2260:A6302="","",_xlfn.XLOOKUP(A2260:A6302,'参照_武将'!A:A,'参照_武将'!B:B,"見つかりません"))</f>
      </c>
      <c r="C2260" s="4" t="s">
        <v>276</v>
      </c>
      <c r="D2260" s="4">
        <v>57</v>
      </c>
      <c r="E2260" s="12" t="str">
        <f t="array" ref="E2260">IF(D2260:D6302="","",IFERROR(_xlfn.XLOOKUP(D2260:D6302,'参照_勢力'!A:A,'参照_勢力'!B:B),IFERROR(_xlfn.XLOOKUP(F2260:F6302,kunishuClan!A:A,kunishuClan!B:B),"浪人")))</f>
      </c>
      <c r="F2260" s="4">
        <v>0</v>
      </c>
      <c r="G2260" s="4">
        <v>157</v>
      </c>
      <c r="H2260" s="12" t="str">
        <f t="array" ref="H2260">IF(G2260:G6302="","",_xlfn.XLOOKUP(G2260:G6302,castles_state!A:A,castles_state!D:D,"見つかりません"))</f>
      </c>
      <c r="I2260" s="4"/>
      <c r="J2260" s="12" t="str">
        <f t="array" ref="J2260">IF(I2260:I6302="","",_xlfn.XLOOKUP(I2260:I6302,'参照_姫'!A:A,'参照_姫'!B:B,"見つかりません"))</f>
      </c>
      <c r="K2260" s="4">
        <v>95</v>
      </c>
      <c r="L2260" s="4">
        <v>0</v>
      </c>
      <c r="M2260" s="4"/>
      <c r="N2260" s="4"/>
      <c r="O2260" s="4"/>
      <c r="P2260" s="12" t="str">
        <f t="array" ref="P2260">IF(O2260:O6302="","",_xlfn.XLOOKUP(O2260:O6302,'参照_官位'!A:A,'参照_官位'!B:B,""))</f>
      </c>
      <c r="Q2260" s="12" t="str">
        <f t="array" ref="Q2260">IF(A2260:A6302="","",IFERROR(_xlfn.XLOOKUP(A2260:A6302,castles_state!K:K,castles_state!D:D)&amp;"主",IFERROR(_xlfn.XLOOKUP(A2260:A6302,kunishuClan!D:D,kunishuClan!B:B)&amp;"当主","")))</f>
      </c>
    </row>
    <row r="2261" ht="15.75" customHeight="1">
      <c r="A2261" s="4">
        <v>1057025</v>
      </c>
      <c r="B2261" s="12" t="str">
        <f t="array" ref="B2261">IF(A2261:A6303="","",_xlfn.XLOOKUP(A2261:A6303,'参照_武将'!A:A,'参照_武将'!B:B,"見つかりません"))</f>
      </c>
      <c r="C2261" s="4" t="s">
        <v>276</v>
      </c>
      <c r="D2261" s="4">
        <v>57</v>
      </c>
      <c r="E2261" s="12" t="str">
        <f t="array" ref="E2261">IF(D2261:D6303="","",IFERROR(_xlfn.XLOOKUP(D2261:D6303,'参照_勢力'!A:A,'参照_勢力'!B:B),IFERROR(_xlfn.XLOOKUP(F2261:F6303,kunishuClan!A:A,kunishuClan!B:B),"浪人")))</f>
      </c>
      <c r="F2261" s="4">
        <v>0</v>
      </c>
      <c r="G2261" s="4">
        <v>157</v>
      </c>
      <c r="H2261" s="12" t="str">
        <f t="array" ref="H2261">IF(G2261:G6303="","",_xlfn.XLOOKUP(G2261:G6303,castles_state!A:A,castles_state!D:D,"見つかりません"))</f>
      </c>
      <c r="I2261" s="4"/>
      <c r="J2261" s="12" t="str">
        <f t="array" ref="J2261">IF(I2261:I6303="","",_xlfn.XLOOKUP(I2261:I6303,'参照_姫'!A:A,'参照_姫'!B:B,"見つかりません"))</f>
      </c>
      <c r="K2261" s="4">
        <v>95</v>
      </c>
      <c r="L2261" s="4">
        <v>0</v>
      </c>
      <c r="M2261" s="4"/>
      <c r="N2261" s="4"/>
      <c r="O2261" s="4"/>
      <c r="P2261" s="12" t="str">
        <f t="array" ref="P2261">IF(O2261:O6303="","",_xlfn.XLOOKUP(O2261:O6303,'参照_官位'!A:A,'参照_官位'!B:B,""))</f>
      </c>
      <c r="Q2261" s="12" t="str">
        <f t="array" ref="Q2261">IF(A2261:A6303="","",IFERROR(_xlfn.XLOOKUP(A2261:A6303,castles_state!K:K,castles_state!D:D)&amp;"主",IFERROR(_xlfn.XLOOKUP(A2261:A6303,kunishuClan!D:D,kunishuClan!B:B)&amp;"当主","")))</f>
      </c>
    </row>
    <row r="2262" ht="15.75" customHeight="1">
      <c r="A2262" s="4">
        <v>1057026</v>
      </c>
      <c r="B2262" s="12" t="str">
        <f t="array" ref="B2262">IF(A2262:A6304="","",_xlfn.XLOOKUP(A2262:A6304,'参照_武将'!A:A,'参照_武将'!B:B,"見つかりません"))</f>
      </c>
      <c r="C2262" s="4" t="s">
        <v>276</v>
      </c>
      <c r="D2262" s="4">
        <v>57</v>
      </c>
      <c r="E2262" s="12" t="str">
        <f t="array" ref="E2262">IF(D2262:D6304="","",IFERROR(_xlfn.XLOOKUP(D2262:D6304,'参照_勢力'!A:A,'参照_勢力'!B:B),IFERROR(_xlfn.XLOOKUP(F2262:F6304,kunishuClan!A:A,kunishuClan!B:B),"浪人")))</f>
      </c>
      <c r="F2262" s="4">
        <v>0</v>
      </c>
      <c r="G2262" s="4">
        <v>157</v>
      </c>
      <c r="H2262" s="12" t="str">
        <f t="array" ref="H2262">IF(G2262:G6304="","",_xlfn.XLOOKUP(G2262:G6304,castles_state!A:A,castles_state!D:D,"見つかりません"))</f>
      </c>
      <c r="I2262" s="4"/>
      <c r="J2262" s="12" t="str">
        <f t="array" ref="J2262">IF(I2262:I6304="","",_xlfn.XLOOKUP(I2262:I6304,'参照_姫'!A:A,'参照_姫'!B:B,"見つかりません"))</f>
      </c>
      <c r="K2262" s="4">
        <v>95</v>
      </c>
      <c r="L2262" s="4">
        <v>0</v>
      </c>
      <c r="M2262" s="4"/>
      <c r="N2262" s="4"/>
      <c r="O2262" s="4"/>
      <c r="P2262" s="12" t="str">
        <f t="array" ref="P2262">IF(O2262:O6304="","",_xlfn.XLOOKUP(O2262:O6304,'参照_官位'!A:A,'参照_官位'!B:B,""))</f>
      </c>
      <c r="Q2262" s="12" t="str">
        <f t="array" ref="Q2262">IF(A2262:A6304="","",IFERROR(_xlfn.XLOOKUP(A2262:A6304,castles_state!K:K,castles_state!D:D)&amp;"主",IFERROR(_xlfn.XLOOKUP(A2262:A6304,kunishuClan!D:D,kunishuClan!B:B)&amp;"当主","")))</f>
      </c>
    </row>
    <row r="2263" ht="15.75" customHeight="1">
      <c r="A2263" s="4">
        <v>1058001</v>
      </c>
      <c r="B2263" s="12" t="str">
        <f t="array" ref="B2263">IF(A2263:A6305="","",_xlfn.XLOOKUP(A2263:A6305,'参照_武将'!A:A,'参照_武将'!B:B,"見つかりません"))</f>
      </c>
      <c r="C2263" s="4" t="s">
        <v>280</v>
      </c>
      <c r="D2263" s="4">
        <v>58</v>
      </c>
      <c r="E2263" s="12" t="str">
        <f t="array" ref="E2263">IF(D2263:D6305="","",IFERROR(_xlfn.XLOOKUP(D2263:D6305,'参照_勢力'!A:A,'参照_勢力'!B:B),IFERROR(_xlfn.XLOOKUP(F2263:F6305,kunishuClan!A:A,kunishuClan!B:B),"浪人")))</f>
      </c>
      <c r="F2263" s="4">
        <v>0</v>
      </c>
      <c r="G2263" s="4">
        <v>159</v>
      </c>
      <c r="H2263" s="12" t="str">
        <f t="array" ref="H2263">IF(G2263:G6305="","",_xlfn.XLOOKUP(G2263:G6305,castles_state!A:A,castles_state!D:D,"見つかりません"))</f>
      </c>
      <c r="I2263" s="4"/>
      <c r="J2263" s="12" t="str">
        <f t="array" ref="J2263">IF(I2263:I6305="","",_xlfn.XLOOKUP(I2263:I6305,'参照_姫'!A:A,'参照_姫'!B:B,"見つかりません"))</f>
      </c>
      <c r="K2263" s="4">
        <v>95</v>
      </c>
      <c r="L2263" s="4">
        <v>0</v>
      </c>
      <c r="M2263" s="4"/>
      <c r="N2263" s="4"/>
      <c r="O2263" s="4"/>
      <c r="P2263" s="12" t="str">
        <f t="array" ref="P2263">IF(O2263:O6305="","",_xlfn.XLOOKUP(O2263:O6305,'参照_官位'!A:A,'参照_官位'!B:B,""))</f>
      </c>
      <c r="Q2263" s="12" t="str">
        <f t="array" ref="Q2263">IF(A2263:A6305="","",IFERROR(_xlfn.XLOOKUP(A2263:A6305,castles_state!K:K,castles_state!D:D)&amp;"主",IFERROR(_xlfn.XLOOKUP(A2263:A6305,kunishuClan!D:D,kunishuClan!B:B)&amp;"当主","")))</f>
      </c>
    </row>
    <row r="2264" ht="15.75" customHeight="1">
      <c r="A2264" s="4">
        <v>1058002</v>
      </c>
      <c r="B2264" s="12" t="str">
        <f t="array" ref="B2264">IF(A2264:A6306="","",_xlfn.XLOOKUP(A2264:A6306,'参照_武将'!A:A,'参照_武将'!B:B,"見つかりません"))</f>
      </c>
      <c r="C2264" s="4" t="s">
        <v>280</v>
      </c>
      <c r="D2264" s="4">
        <v>58</v>
      </c>
      <c r="E2264" s="12" t="str">
        <f t="array" ref="E2264">IF(D2264:D6306="","",IFERROR(_xlfn.XLOOKUP(D2264:D6306,'参照_勢力'!A:A,'参照_勢力'!B:B),IFERROR(_xlfn.XLOOKUP(F2264:F6306,kunishuClan!A:A,kunishuClan!B:B),"浪人")))</f>
      </c>
      <c r="F2264" s="4">
        <v>0</v>
      </c>
      <c r="G2264" s="4">
        <v>159</v>
      </c>
      <c r="H2264" s="12" t="str">
        <f t="array" ref="H2264">IF(G2264:G6306="","",_xlfn.XLOOKUP(G2264:G6306,castles_state!A:A,castles_state!D:D,"見つかりません"))</f>
      </c>
      <c r="I2264" s="4"/>
      <c r="J2264" s="12" t="str">
        <f t="array" ref="J2264">IF(I2264:I6306="","",_xlfn.XLOOKUP(I2264:I6306,'参照_姫'!A:A,'参照_姫'!B:B,"見つかりません"))</f>
      </c>
      <c r="K2264" s="4">
        <v>95</v>
      </c>
      <c r="L2264" s="4">
        <v>0</v>
      </c>
      <c r="M2264" s="4"/>
      <c r="N2264" s="4"/>
      <c r="O2264" s="4"/>
      <c r="P2264" s="12" t="str">
        <f t="array" ref="P2264">IF(O2264:O6306="","",_xlfn.XLOOKUP(O2264:O6306,'参照_官位'!A:A,'参照_官位'!B:B,""))</f>
      </c>
      <c r="Q2264" s="12" t="str">
        <f t="array" ref="Q2264">IF(A2264:A6306="","",IFERROR(_xlfn.XLOOKUP(A2264:A6306,castles_state!K:K,castles_state!D:D)&amp;"主",IFERROR(_xlfn.XLOOKUP(A2264:A6306,kunishuClan!D:D,kunishuClan!B:B)&amp;"当主","")))</f>
      </c>
    </row>
    <row r="2265" ht="15.75" customHeight="1">
      <c r="A2265" s="4">
        <v>1058003</v>
      </c>
      <c r="B2265" s="12" t="str">
        <f t="array" ref="B2265">IF(A2265:A6307="","",_xlfn.XLOOKUP(A2265:A6307,'参照_武将'!A:A,'参照_武将'!B:B,"見つかりません"))</f>
      </c>
      <c r="C2265" s="4" t="s">
        <v>280</v>
      </c>
      <c r="D2265" s="4">
        <v>58</v>
      </c>
      <c r="E2265" s="12" t="str">
        <f t="array" ref="E2265">IF(D2265:D6307="","",IFERROR(_xlfn.XLOOKUP(D2265:D6307,'参照_勢力'!A:A,'参照_勢力'!B:B),IFERROR(_xlfn.XLOOKUP(F2265:F6307,kunishuClan!A:A,kunishuClan!B:B),"浪人")))</f>
      </c>
      <c r="F2265" s="4">
        <v>0</v>
      </c>
      <c r="G2265" s="4">
        <v>159</v>
      </c>
      <c r="H2265" s="12" t="str">
        <f t="array" ref="H2265">IF(G2265:G6307="","",_xlfn.XLOOKUP(G2265:G6307,castles_state!A:A,castles_state!D:D,"見つかりません"))</f>
      </c>
      <c r="I2265" s="4"/>
      <c r="J2265" s="12" t="str">
        <f t="array" ref="J2265">IF(I2265:I6307="","",_xlfn.XLOOKUP(I2265:I6307,'参照_姫'!A:A,'参照_姫'!B:B,"見つかりません"))</f>
      </c>
      <c r="K2265" s="4">
        <v>100</v>
      </c>
      <c r="L2265" s="4">
        <v>1000</v>
      </c>
      <c r="M2265" s="4"/>
      <c r="N2265" s="4"/>
      <c r="O2265" s="4"/>
      <c r="P2265" s="12" t="str">
        <f t="array" ref="P2265">IF(O2265:O6307="","",_xlfn.XLOOKUP(O2265:O6307,'参照_官位'!A:A,'参照_官位'!B:B,""))</f>
      </c>
      <c r="Q2265" s="12" t="str">
        <f t="array" ref="Q2265">IF(A2265:A6307="","",IFERROR(_xlfn.XLOOKUP(A2265:A6307,castles_state!K:K,castles_state!D:D)&amp;"主",IFERROR(_xlfn.XLOOKUP(A2265:A6307,kunishuClan!D:D,kunishuClan!B:B)&amp;"当主","")))</f>
      </c>
    </row>
    <row r="2266" ht="15.75" customHeight="1">
      <c r="A2266" s="4">
        <v>1058004</v>
      </c>
      <c r="B2266" s="12" t="str">
        <f t="array" ref="B2266">IF(A2266:A6308="","",_xlfn.XLOOKUP(A2266:A6308,'参照_武将'!A:A,'参照_武将'!B:B,"見つかりません"))</f>
      </c>
      <c r="C2266" s="4" t="s">
        <v>280</v>
      </c>
      <c r="D2266" s="4">
        <v>58</v>
      </c>
      <c r="E2266" s="12" t="str">
        <f t="array" ref="E2266">IF(D2266:D6308="","",IFERROR(_xlfn.XLOOKUP(D2266:D6308,'参照_勢力'!A:A,'参照_勢力'!B:B),IFERROR(_xlfn.XLOOKUP(F2266:F6308,kunishuClan!A:A,kunishuClan!B:B),"浪人")))</f>
      </c>
      <c r="F2266" s="4">
        <v>0</v>
      </c>
      <c r="G2266" s="4">
        <v>159</v>
      </c>
      <c r="H2266" s="12" t="str">
        <f t="array" ref="H2266">IF(G2266:G6308="","",_xlfn.XLOOKUP(G2266:G6308,castles_state!A:A,castles_state!D:D,"見つかりません"))</f>
      </c>
      <c r="I2266" s="4"/>
      <c r="J2266" s="12" t="str">
        <f t="array" ref="J2266">IF(I2266:I6308="","",_xlfn.XLOOKUP(I2266:I6308,'参照_姫'!A:A,'参照_姫'!B:B,"見つかりません"))</f>
      </c>
      <c r="K2266" s="4">
        <v>95</v>
      </c>
      <c r="L2266" s="4">
        <v>500</v>
      </c>
      <c r="M2266" s="4" t="b">
        <v>1</v>
      </c>
      <c r="N2266" s="4"/>
      <c r="O2266" s="4"/>
      <c r="P2266" s="12" t="str">
        <f t="array" ref="P2266">IF(O2266:O6308="","",_xlfn.XLOOKUP(O2266:O6308,'参照_官位'!A:A,'参照_官位'!B:B,""))</f>
      </c>
      <c r="Q2266" s="12" t="str">
        <f t="array" ref="Q2266">IF(A2266:A6308="","",IFERROR(_xlfn.XLOOKUP(A2266:A6308,castles_state!K:K,castles_state!D:D)&amp;"主",IFERROR(_xlfn.XLOOKUP(A2266:A6308,kunishuClan!D:D,kunishuClan!B:B)&amp;"当主","")))</f>
      </c>
    </row>
    <row r="2267" ht="15.75" customHeight="1">
      <c r="A2267" s="4">
        <v>1058005</v>
      </c>
      <c r="B2267" s="12" t="str">
        <f t="array" ref="B2267">IF(A2267:A6309="","",_xlfn.XLOOKUP(A2267:A6309,'参照_武将'!A:A,'参照_武将'!B:B,"見つかりません"))</f>
      </c>
      <c r="C2267" s="4" t="s">
        <v>280</v>
      </c>
      <c r="D2267" s="4">
        <v>58</v>
      </c>
      <c r="E2267" s="12" t="str">
        <f t="array" ref="E2267">IF(D2267:D6309="","",IFERROR(_xlfn.XLOOKUP(D2267:D6309,'参照_勢力'!A:A,'参照_勢力'!B:B),IFERROR(_xlfn.XLOOKUP(F2267:F6309,kunishuClan!A:A,kunishuClan!B:B),"浪人")))</f>
      </c>
      <c r="F2267" s="4">
        <v>0</v>
      </c>
      <c r="G2267" s="4">
        <v>159</v>
      </c>
      <c r="H2267" s="12" t="str">
        <f t="array" ref="H2267">IF(G2267:G6309="","",_xlfn.XLOOKUP(G2267:G6309,castles_state!A:A,castles_state!D:D,"見つかりません"))</f>
      </c>
      <c r="I2267" s="4"/>
      <c r="J2267" s="12" t="str">
        <f t="array" ref="J2267">IF(I2267:I6309="","",_xlfn.XLOOKUP(I2267:I6309,'参照_姫'!A:A,'参照_姫'!B:B,"見つかりません"))</f>
      </c>
      <c r="K2267" s="4">
        <v>95</v>
      </c>
      <c r="L2267" s="4">
        <v>500</v>
      </c>
      <c r="M2267" s="4"/>
      <c r="N2267" s="4"/>
      <c r="O2267" s="4"/>
      <c r="P2267" s="12" t="str">
        <f t="array" ref="P2267">IF(O2267:O6309="","",_xlfn.XLOOKUP(O2267:O6309,'参照_官位'!A:A,'参照_官位'!B:B,""))</f>
      </c>
      <c r="Q2267" s="12" t="str">
        <f t="array" ref="Q2267">IF(A2267:A6309="","",IFERROR(_xlfn.XLOOKUP(A2267:A6309,castles_state!K:K,castles_state!D:D)&amp;"主",IFERROR(_xlfn.XLOOKUP(A2267:A6309,kunishuClan!D:D,kunishuClan!B:B)&amp;"当主","")))</f>
      </c>
    </row>
    <row r="2268" ht="15.75" customHeight="1">
      <c r="A2268" s="4">
        <v>1058006</v>
      </c>
      <c r="B2268" s="12" t="str">
        <f t="array" ref="B2268">IF(A2268:A6310="","",_xlfn.XLOOKUP(A2268:A6310,'参照_武将'!A:A,'参照_武将'!B:B,"見つかりません"))</f>
      </c>
      <c r="C2268" s="4" t="s">
        <v>280</v>
      </c>
      <c r="D2268" s="4">
        <v>58</v>
      </c>
      <c r="E2268" s="12" t="str">
        <f t="array" ref="E2268">IF(D2268:D6310="","",IFERROR(_xlfn.XLOOKUP(D2268:D6310,'参照_勢力'!A:A,'参照_勢力'!B:B),IFERROR(_xlfn.XLOOKUP(F2268:F6310,kunishuClan!A:A,kunishuClan!B:B),"浪人")))</f>
      </c>
      <c r="F2268" s="4">
        <v>0</v>
      </c>
      <c r="G2268" s="4">
        <v>159</v>
      </c>
      <c r="H2268" s="12" t="str">
        <f t="array" ref="H2268">IF(G2268:G6310="","",_xlfn.XLOOKUP(G2268:G6310,castles_state!A:A,castles_state!D:D,"見つかりません"))</f>
      </c>
      <c r="I2268" s="4"/>
      <c r="J2268" s="12" t="str">
        <f t="array" ref="J2268">IF(I2268:I6310="","",_xlfn.XLOOKUP(I2268:I6310,'参照_姫'!A:A,'参照_姫'!B:B,"見つかりません"))</f>
      </c>
      <c r="K2268" s="4">
        <v>95</v>
      </c>
      <c r="L2268" s="4">
        <v>0</v>
      </c>
      <c r="M2268" s="4"/>
      <c r="N2268" s="4"/>
      <c r="O2268" s="4"/>
      <c r="P2268" s="12" t="str">
        <f t="array" ref="P2268">IF(O2268:O6310="","",_xlfn.XLOOKUP(O2268:O6310,'参照_官位'!A:A,'参照_官位'!B:B,""))</f>
      </c>
      <c r="Q2268" s="12" t="str">
        <f t="array" ref="Q2268">IF(A2268:A6310="","",IFERROR(_xlfn.XLOOKUP(A2268:A6310,castles_state!K:K,castles_state!D:D)&amp;"主",IFERROR(_xlfn.XLOOKUP(A2268:A6310,kunishuClan!D:D,kunishuClan!B:B)&amp;"当主","")))</f>
      </c>
    </row>
    <row r="2269" ht="15.75" customHeight="1">
      <c r="A2269" s="4">
        <v>1058007</v>
      </c>
      <c r="B2269" s="12" t="str">
        <f t="array" ref="B2269">IF(A2269:A6311="","",_xlfn.XLOOKUP(A2269:A6311,'参照_武将'!A:A,'参照_武将'!B:B,"見つかりません"))</f>
      </c>
      <c r="C2269" s="4" t="s">
        <v>280</v>
      </c>
      <c r="D2269" s="4">
        <v>58</v>
      </c>
      <c r="E2269" s="12" t="str">
        <f t="array" ref="E2269">IF(D2269:D6311="","",IFERROR(_xlfn.XLOOKUP(D2269:D6311,'参照_勢力'!A:A,'参照_勢力'!B:B),IFERROR(_xlfn.XLOOKUP(F2269:F6311,kunishuClan!A:A,kunishuClan!B:B),"浪人")))</f>
      </c>
      <c r="F2269" s="4">
        <v>0</v>
      </c>
      <c r="G2269" s="4">
        <v>159</v>
      </c>
      <c r="H2269" s="12" t="str">
        <f t="array" ref="H2269">IF(G2269:G6311="","",_xlfn.XLOOKUP(G2269:G6311,castles_state!A:A,castles_state!D:D,"見つかりません"))</f>
      </c>
      <c r="I2269" s="4"/>
      <c r="J2269" s="12" t="str">
        <f t="array" ref="J2269">IF(I2269:I6311="","",_xlfn.XLOOKUP(I2269:I6311,'参照_姫'!A:A,'参照_姫'!B:B,"見つかりません"))</f>
      </c>
      <c r="K2269" s="4">
        <v>95</v>
      </c>
      <c r="L2269" s="4">
        <v>0</v>
      </c>
      <c r="M2269" s="4"/>
      <c r="N2269" s="4"/>
      <c r="O2269" s="4"/>
      <c r="P2269" s="12" t="str">
        <f t="array" ref="P2269">IF(O2269:O6311="","",_xlfn.XLOOKUP(O2269:O6311,'参照_官位'!A:A,'参照_官位'!B:B,""))</f>
      </c>
      <c r="Q2269" s="12" t="str">
        <f t="array" ref="Q2269">IF(A2269:A6311="","",IFERROR(_xlfn.XLOOKUP(A2269:A6311,castles_state!K:K,castles_state!D:D)&amp;"主",IFERROR(_xlfn.XLOOKUP(A2269:A6311,kunishuClan!D:D,kunishuClan!B:B)&amp;"当主","")))</f>
      </c>
    </row>
    <row r="2270" ht="15.75" customHeight="1">
      <c r="A2270" s="4">
        <v>1058008</v>
      </c>
      <c r="B2270" s="12" t="str">
        <f t="array" ref="B2270">IF(A2270:A6312="","",_xlfn.XLOOKUP(A2270:A6312,'参照_武将'!A:A,'参照_武将'!B:B,"見つかりません"))</f>
      </c>
      <c r="C2270" s="4" t="s">
        <v>280</v>
      </c>
      <c r="D2270" s="4">
        <v>58</v>
      </c>
      <c r="E2270" s="12" t="str">
        <f t="array" ref="E2270">IF(D2270:D6312="","",IFERROR(_xlfn.XLOOKUP(D2270:D6312,'参照_勢力'!A:A,'参照_勢力'!B:B),IFERROR(_xlfn.XLOOKUP(F2270:F6312,kunishuClan!A:A,kunishuClan!B:B),"浪人")))</f>
      </c>
      <c r="F2270" s="4">
        <v>0</v>
      </c>
      <c r="G2270" s="4">
        <v>159</v>
      </c>
      <c r="H2270" s="12" t="str">
        <f t="array" ref="H2270">IF(G2270:G6312="","",_xlfn.XLOOKUP(G2270:G6312,castles_state!A:A,castles_state!D:D,"見つかりません"))</f>
      </c>
      <c r="I2270" s="4"/>
      <c r="J2270" s="12" t="str">
        <f t="array" ref="J2270">IF(I2270:I6312="","",_xlfn.XLOOKUP(I2270:I6312,'参照_姫'!A:A,'参照_姫'!B:B,"見つかりません"))</f>
      </c>
      <c r="K2270" s="4">
        <v>95</v>
      </c>
      <c r="L2270" s="4">
        <v>700</v>
      </c>
      <c r="M2270" s="4"/>
      <c r="N2270" s="4"/>
      <c r="O2270" s="4"/>
      <c r="P2270" s="12" t="str">
        <f t="array" ref="P2270">IF(O2270:O6312="","",_xlfn.XLOOKUP(O2270:O6312,'参照_官位'!A:A,'参照_官位'!B:B,""))</f>
      </c>
      <c r="Q2270" s="12" t="str">
        <f t="array" ref="Q2270">IF(A2270:A6312="","",IFERROR(_xlfn.XLOOKUP(A2270:A6312,castles_state!K:K,castles_state!D:D)&amp;"主",IFERROR(_xlfn.XLOOKUP(A2270:A6312,kunishuClan!D:D,kunishuClan!B:B)&amp;"当主","")))</f>
      </c>
    </row>
    <row r="2271" ht="15.75" customHeight="1">
      <c r="A2271" s="4">
        <v>1058009</v>
      </c>
      <c r="B2271" s="12" t="str">
        <f t="array" ref="B2271">IF(A2271:A6313="","",_xlfn.XLOOKUP(A2271:A6313,'参照_武将'!A:A,'参照_武将'!B:B,"見つかりません"))</f>
      </c>
      <c r="C2271" s="4" t="s">
        <v>280</v>
      </c>
      <c r="D2271" s="4">
        <v>58</v>
      </c>
      <c r="E2271" s="12" t="str">
        <f t="array" ref="E2271">IF(D2271:D6313="","",IFERROR(_xlfn.XLOOKUP(D2271:D6313,'参照_勢力'!A:A,'参照_勢力'!B:B),IFERROR(_xlfn.XLOOKUP(F2271:F6313,kunishuClan!A:A,kunishuClan!B:B),"浪人")))</f>
      </c>
      <c r="F2271" s="4">
        <v>0</v>
      </c>
      <c r="G2271" s="4">
        <v>159</v>
      </c>
      <c r="H2271" s="12" t="str">
        <f t="array" ref="H2271">IF(G2271:G6313="","",_xlfn.XLOOKUP(G2271:G6313,castles_state!A:A,castles_state!D:D,"見つかりません"))</f>
      </c>
      <c r="I2271" s="4"/>
      <c r="J2271" s="12" t="str">
        <f t="array" ref="J2271">IF(I2271:I6313="","",_xlfn.XLOOKUP(I2271:I6313,'参照_姫'!A:A,'参照_姫'!B:B,"見つかりません"))</f>
      </c>
      <c r="K2271" s="4">
        <v>95</v>
      </c>
      <c r="L2271" s="4">
        <v>0</v>
      </c>
      <c r="M2271" s="4"/>
      <c r="N2271" s="4"/>
      <c r="O2271" s="4"/>
      <c r="P2271" s="12" t="str">
        <f t="array" ref="P2271">IF(O2271:O6313="","",_xlfn.XLOOKUP(O2271:O6313,'参照_官位'!A:A,'参照_官位'!B:B,""))</f>
      </c>
      <c r="Q2271" s="12" t="str">
        <f t="array" ref="Q2271">IF(A2271:A6313="","",IFERROR(_xlfn.XLOOKUP(A2271:A6313,castles_state!K:K,castles_state!D:D)&amp;"主",IFERROR(_xlfn.XLOOKUP(A2271:A6313,kunishuClan!D:D,kunishuClan!B:B)&amp;"当主","")))</f>
      </c>
    </row>
    <row r="2272" ht="15.75" customHeight="1">
      <c r="A2272" s="4">
        <v>1058010</v>
      </c>
      <c r="B2272" s="12" t="str">
        <f t="array" ref="B2272">IF(A2272:A6314="","",_xlfn.XLOOKUP(A2272:A6314,'参照_武将'!A:A,'参照_武将'!B:B,"見つかりません"))</f>
      </c>
      <c r="C2272" s="4" t="s">
        <v>280</v>
      </c>
      <c r="D2272" s="4">
        <v>58</v>
      </c>
      <c r="E2272" s="12" t="str">
        <f t="array" ref="E2272">IF(D2272:D6314="","",IFERROR(_xlfn.XLOOKUP(D2272:D6314,'参照_勢力'!A:A,'参照_勢力'!B:B),IFERROR(_xlfn.XLOOKUP(F2272:F6314,kunishuClan!A:A,kunishuClan!B:B),"浪人")))</f>
      </c>
      <c r="F2272" s="4">
        <v>0</v>
      </c>
      <c r="G2272" s="4">
        <v>159</v>
      </c>
      <c r="H2272" s="12" t="str">
        <f t="array" ref="H2272">IF(G2272:G6314="","",_xlfn.XLOOKUP(G2272:G6314,castles_state!A:A,castles_state!D:D,"見つかりません"))</f>
      </c>
      <c r="I2272" s="4"/>
      <c r="J2272" s="12" t="str">
        <f t="array" ref="J2272">IF(I2272:I6314="","",_xlfn.XLOOKUP(I2272:I6314,'参照_姫'!A:A,'参照_姫'!B:B,"見つかりません"))</f>
      </c>
      <c r="K2272" s="4">
        <v>90</v>
      </c>
      <c r="L2272" s="4">
        <v>0</v>
      </c>
      <c r="M2272" s="4"/>
      <c r="N2272" s="4"/>
      <c r="O2272" s="4"/>
      <c r="P2272" s="12" t="str">
        <f t="array" ref="P2272">IF(O2272:O6314="","",_xlfn.XLOOKUP(O2272:O6314,'参照_官位'!A:A,'参照_官位'!B:B,""))</f>
      </c>
      <c r="Q2272" s="12" t="str">
        <f t="array" ref="Q2272">IF(A2272:A6314="","",IFERROR(_xlfn.XLOOKUP(A2272:A6314,castles_state!K:K,castles_state!D:D)&amp;"主",IFERROR(_xlfn.XLOOKUP(A2272:A6314,kunishuClan!D:D,kunishuClan!B:B)&amp;"当主","")))</f>
      </c>
    </row>
    <row r="2273" ht="15.75" customHeight="1">
      <c r="A2273" s="4">
        <v>1058011</v>
      </c>
      <c r="B2273" s="12" t="str">
        <f t="array" ref="B2273">IF(A2273:A6315="","",_xlfn.XLOOKUP(A2273:A6315,'参照_武将'!A:A,'参照_武将'!B:B,"見つかりません"))</f>
      </c>
      <c r="C2273" s="4" t="s">
        <v>280</v>
      </c>
      <c r="D2273" s="4">
        <v>58</v>
      </c>
      <c r="E2273" s="12" t="str">
        <f t="array" ref="E2273">IF(D2273:D6315="","",IFERROR(_xlfn.XLOOKUP(D2273:D6315,'参照_勢力'!A:A,'参照_勢力'!B:B),IFERROR(_xlfn.XLOOKUP(F2273:F6315,kunishuClan!A:A,kunishuClan!B:B),"浪人")))</f>
      </c>
      <c r="F2273" s="4">
        <v>0</v>
      </c>
      <c r="G2273" s="4">
        <v>159</v>
      </c>
      <c r="H2273" s="12" t="str">
        <f t="array" ref="H2273">IF(G2273:G6315="","",_xlfn.XLOOKUP(G2273:G6315,castles_state!A:A,castles_state!D:D,"見つかりません"))</f>
      </c>
      <c r="I2273" s="4"/>
      <c r="J2273" s="12" t="str">
        <f t="array" ref="J2273">IF(I2273:I6315="","",_xlfn.XLOOKUP(I2273:I6315,'参照_姫'!A:A,'参照_姫'!B:B,"見つかりません"))</f>
      </c>
      <c r="K2273" s="4">
        <v>95</v>
      </c>
      <c r="L2273" s="4">
        <v>0</v>
      </c>
      <c r="M2273" s="4"/>
      <c r="N2273" s="4"/>
      <c r="O2273" s="4"/>
      <c r="P2273" s="12" t="str">
        <f t="array" ref="P2273">IF(O2273:O6315="","",_xlfn.XLOOKUP(O2273:O6315,'参照_官位'!A:A,'参照_官位'!B:B,""))</f>
      </c>
      <c r="Q2273" s="12" t="str">
        <f t="array" ref="Q2273">IF(A2273:A6315="","",IFERROR(_xlfn.XLOOKUP(A2273:A6315,castles_state!K:K,castles_state!D:D)&amp;"主",IFERROR(_xlfn.XLOOKUP(A2273:A6315,kunishuClan!D:D,kunishuClan!B:B)&amp;"当主","")))</f>
      </c>
    </row>
    <row r="2274" ht="15.75" customHeight="1">
      <c r="A2274" s="4">
        <v>1058012</v>
      </c>
      <c r="B2274" s="12" t="str">
        <f t="array" ref="B2274">IF(A2274:A6316="","",_xlfn.XLOOKUP(A2274:A6316,'参照_武将'!A:A,'参照_武将'!B:B,"見つかりません"))</f>
      </c>
      <c r="C2274" s="4" t="s">
        <v>280</v>
      </c>
      <c r="D2274" s="4">
        <v>58</v>
      </c>
      <c r="E2274" s="12" t="str">
        <f t="array" ref="E2274">IF(D2274:D6316="","",IFERROR(_xlfn.XLOOKUP(D2274:D6316,'参照_勢力'!A:A,'参照_勢力'!B:B),IFERROR(_xlfn.XLOOKUP(F2274:F6316,kunishuClan!A:A,kunishuClan!B:B),"浪人")))</f>
      </c>
      <c r="F2274" s="4">
        <v>0</v>
      </c>
      <c r="G2274" s="4">
        <v>159</v>
      </c>
      <c r="H2274" s="12" t="str">
        <f t="array" ref="H2274">IF(G2274:G6316="","",_xlfn.XLOOKUP(G2274:G6316,castles_state!A:A,castles_state!D:D,"見つかりません"))</f>
      </c>
      <c r="I2274" s="4"/>
      <c r="J2274" s="12" t="str">
        <f t="array" ref="J2274">IF(I2274:I6316="","",_xlfn.XLOOKUP(I2274:I6316,'参照_姫'!A:A,'参照_姫'!B:B,"見つかりません"))</f>
      </c>
      <c r="K2274" s="4">
        <v>95</v>
      </c>
      <c r="L2274" s="4">
        <v>0</v>
      </c>
      <c r="M2274" s="4"/>
      <c r="N2274" s="4"/>
      <c r="O2274" s="4"/>
      <c r="P2274" s="12" t="str">
        <f t="array" ref="P2274">IF(O2274:O6316="","",_xlfn.XLOOKUP(O2274:O6316,'参照_官位'!A:A,'参照_官位'!B:B,""))</f>
      </c>
      <c r="Q2274" s="12" t="str">
        <f t="array" ref="Q2274">IF(A2274:A6316="","",IFERROR(_xlfn.XLOOKUP(A2274:A6316,castles_state!K:K,castles_state!D:D)&amp;"主",IFERROR(_xlfn.XLOOKUP(A2274:A6316,kunishuClan!D:D,kunishuClan!B:B)&amp;"当主","")))</f>
      </c>
    </row>
    <row r="2275" ht="15.75" customHeight="1">
      <c r="A2275" s="4">
        <v>1058013</v>
      </c>
      <c r="B2275" s="12" t="str">
        <f t="array" ref="B2275">IF(A2275:A6317="","",_xlfn.XLOOKUP(A2275:A6317,'参照_武将'!A:A,'参照_武将'!B:B,"見つかりません"))</f>
      </c>
      <c r="C2275" s="4" t="s">
        <v>280</v>
      </c>
      <c r="D2275" s="4">
        <v>58</v>
      </c>
      <c r="E2275" s="12" t="str">
        <f t="array" ref="E2275">IF(D2275:D6317="","",IFERROR(_xlfn.XLOOKUP(D2275:D6317,'参照_勢力'!A:A,'参照_勢力'!B:B),IFERROR(_xlfn.XLOOKUP(F2275:F6317,kunishuClan!A:A,kunishuClan!B:B),"浪人")))</f>
      </c>
      <c r="F2275" s="4">
        <v>0</v>
      </c>
      <c r="G2275" s="4">
        <v>159</v>
      </c>
      <c r="H2275" s="12" t="str">
        <f t="array" ref="H2275">IF(G2275:G6317="","",_xlfn.XLOOKUP(G2275:G6317,castles_state!A:A,castles_state!D:D,"見つかりません"))</f>
      </c>
      <c r="I2275" s="4"/>
      <c r="J2275" s="12" t="str">
        <f t="array" ref="J2275">IF(I2275:I6317="","",_xlfn.XLOOKUP(I2275:I6317,'参照_姫'!A:A,'参照_姫'!B:B,"見つかりません"))</f>
      </c>
      <c r="K2275" s="4">
        <v>95</v>
      </c>
      <c r="L2275" s="4">
        <v>0</v>
      </c>
      <c r="M2275" s="4"/>
      <c r="N2275" s="4"/>
      <c r="O2275" s="4"/>
      <c r="P2275" s="12" t="str">
        <f t="array" ref="P2275">IF(O2275:O6317="","",_xlfn.XLOOKUP(O2275:O6317,'参照_官位'!A:A,'参照_官位'!B:B,""))</f>
      </c>
      <c r="Q2275" s="12" t="str">
        <f t="array" ref="Q2275">IF(A2275:A6317="","",IFERROR(_xlfn.XLOOKUP(A2275:A6317,castles_state!K:K,castles_state!D:D)&amp;"主",IFERROR(_xlfn.XLOOKUP(A2275:A6317,kunishuClan!D:D,kunishuClan!B:B)&amp;"当主","")))</f>
      </c>
    </row>
    <row r="2276" ht="15.75" customHeight="1">
      <c r="A2276" s="4">
        <v>1058014</v>
      </c>
      <c r="B2276" s="12" t="str">
        <f t="array" ref="B2276">IF(A2276:A6318="","",_xlfn.XLOOKUP(A2276:A6318,'参照_武将'!A:A,'参照_武将'!B:B,"見つかりません"))</f>
      </c>
      <c r="C2276" s="4" t="s">
        <v>280</v>
      </c>
      <c r="D2276" s="4">
        <v>58</v>
      </c>
      <c r="E2276" s="12" t="str">
        <f t="array" ref="E2276">IF(D2276:D6318="","",IFERROR(_xlfn.XLOOKUP(D2276:D6318,'参照_勢力'!A:A,'参照_勢力'!B:B),IFERROR(_xlfn.XLOOKUP(F2276:F6318,kunishuClan!A:A,kunishuClan!B:B),"浪人")))</f>
      </c>
      <c r="F2276" s="4">
        <v>0</v>
      </c>
      <c r="G2276" s="4">
        <v>159</v>
      </c>
      <c r="H2276" s="12" t="str">
        <f t="array" ref="H2276">IF(G2276:G6318="","",_xlfn.XLOOKUP(G2276:G6318,castles_state!A:A,castles_state!D:D,"見つかりません"))</f>
      </c>
      <c r="I2276" s="4"/>
      <c r="J2276" s="12" t="str">
        <f t="array" ref="J2276">IF(I2276:I6318="","",_xlfn.XLOOKUP(I2276:I6318,'参照_姫'!A:A,'参照_姫'!B:B,"見つかりません"))</f>
      </c>
      <c r="K2276" s="4">
        <v>95</v>
      </c>
      <c r="L2276" s="4">
        <v>0</v>
      </c>
      <c r="M2276" s="4"/>
      <c r="N2276" s="4"/>
      <c r="O2276" s="4"/>
      <c r="P2276" s="12" t="str">
        <f t="array" ref="P2276">IF(O2276:O6318="","",_xlfn.XLOOKUP(O2276:O6318,'参照_官位'!A:A,'参照_官位'!B:B,""))</f>
      </c>
      <c r="Q2276" s="12" t="str">
        <f t="array" ref="Q2276">IF(A2276:A6318="","",IFERROR(_xlfn.XLOOKUP(A2276:A6318,castles_state!K:K,castles_state!D:D)&amp;"主",IFERROR(_xlfn.XLOOKUP(A2276:A6318,kunishuClan!D:D,kunishuClan!B:B)&amp;"当主","")))</f>
      </c>
    </row>
    <row r="2277" ht="15.75" customHeight="1">
      <c r="A2277" s="4">
        <v>1059001</v>
      </c>
      <c r="B2277" s="12" t="str">
        <f t="array" ref="B2277">IF(A2277:A6319="","",_xlfn.XLOOKUP(A2277:A6319,'参照_武将'!A:A,'参照_武将'!B:B,"見つかりません"))</f>
      </c>
      <c r="C2277" s="4" t="s">
        <v>284</v>
      </c>
      <c r="D2277" s="4">
        <v>59</v>
      </c>
      <c r="E2277" s="12" t="str">
        <f t="array" ref="E2277">IF(D2277:D6319="","",IFERROR(_xlfn.XLOOKUP(D2277:D6319,'参照_勢力'!A:A,'参照_勢力'!B:B),IFERROR(_xlfn.XLOOKUP(F2277:F6319,kunishuClan!A:A,kunishuClan!B:B),"浪人")))</f>
      </c>
      <c r="F2277" s="4">
        <v>0</v>
      </c>
      <c r="G2277" s="4">
        <v>160</v>
      </c>
      <c r="H2277" s="12" t="str">
        <f t="array" ref="H2277">IF(G2277:G6319="","",_xlfn.XLOOKUP(G2277:G6319,castles_state!A:A,castles_state!D:D,"見つかりません"))</f>
      </c>
      <c r="I2277" s="4"/>
      <c r="J2277" s="12" t="str">
        <f t="array" ref="J2277">IF(I2277:I6319="","",_xlfn.XLOOKUP(I2277:I6319,'参照_姫'!A:A,'参照_姫'!B:B,"見つかりません"))</f>
      </c>
      <c r="K2277" s="4">
        <v>95</v>
      </c>
      <c r="L2277" s="4">
        <v>0</v>
      </c>
      <c r="M2277" s="4"/>
      <c r="N2277" s="4"/>
      <c r="O2277" s="4"/>
      <c r="P2277" s="12" t="str">
        <f t="array" ref="P2277">IF(O2277:O6319="","",_xlfn.XLOOKUP(O2277:O6319,'参照_官位'!A:A,'参照_官位'!B:B,""))</f>
      </c>
      <c r="Q2277" s="12" t="str">
        <f t="array" ref="Q2277">IF(A2277:A6319="","",IFERROR(_xlfn.XLOOKUP(A2277:A6319,castles_state!K:K,castles_state!D:D)&amp;"主",IFERROR(_xlfn.XLOOKUP(A2277:A6319,kunishuClan!D:D,kunishuClan!B:B)&amp;"当主","")))</f>
      </c>
    </row>
    <row r="2278" ht="15.75" customHeight="1">
      <c r="A2278" s="4">
        <v>1059002</v>
      </c>
      <c r="B2278" s="12" t="str">
        <f t="array" ref="B2278">IF(A2278:A6320="","",_xlfn.XLOOKUP(A2278:A6320,'参照_武将'!A:A,'参照_武将'!B:B,"見つかりません"))</f>
      </c>
      <c r="C2278" s="4" t="s">
        <v>284</v>
      </c>
      <c r="D2278" s="4">
        <v>59</v>
      </c>
      <c r="E2278" s="12" t="str">
        <f t="array" ref="E2278">IF(D2278:D6320="","",IFERROR(_xlfn.XLOOKUP(D2278:D6320,'参照_勢力'!A:A,'参照_勢力'!B:B),IFERROR(_xlfn.XLOOKUP(F2278:F6320,kunishuClan!A:A,kunishuClan!B:B),"浪人")))</f>
      </c>
      <c r="F2278" s="4">
        <v>0</v>
      </c>
      <c r="G2278" s="4">
        <v>160</v>
      </c>
      <c r="H2278" s="12" t="str">
        <f t="array" ref="H2278">IF(G2278:G6320="","",_xlfn.XLOOKUP(G2278:G6320,castles_state!A:A,castles_state!D:D,"見つかりません"))</f>
      </c>
      <c r="I2278" s="4"/>
      <c r="J2278" s="12" t="str">
        <f t="array" ref="J2278">IF(I2278:I6320="","",_xlfn.XLOOKUP(I2278:I6320,'参照_姫'!A:A,'参照_姫'!B:B,"見つかりません"))</f>
      </c>
      <c r="K2278" s="4">
        <v>95</v>
      </c>
      <c r="L2278" s="4">
        <v>0</v>
      </c>
      <c r="M2278" s="4"/>
      <c r="N2278" s="4"/>
      <c r="O2278" s="4"/>
      <c r="P2278" s="12" t="str">
        <f t="array" ref="P2278">IF(O2278:O6320="","",_xlfn.XLOOKUP(O2278:O6320,'参照_官位'!A:A,'参照_官位'!B:B,""))</f>
      </c>
      <c r="Q2278" s="12" t="str">
        <f t="array" ref="Q2278">IF(A2278:A6320="","",IFERROR(_xlfn.XLOOKUP(A2278:A6320,castles_state!K:K,castles_state!D:D)&amp;"主",IFERROR(_xlfn.XLOOKUP(A2278:A6320,kunishuClan!D:D,kunishuClan!B:B)&amp;"当主","")))</f>
      </c>
    </row>
    <row r="2279" ht="15.75" customHeight="1">
      <c r="A2279" s="4">
        <v>1059003</v>
      </c>
      <c r="B2279" s="12" t="str">
        <f t="array" ref="B2279">IF(A2279:A6321="","",_xlfn.XLOOKUP(A2279:A6321,'参照_武将'!A:A,'参照_武将'!B:B,"見つかりません"))</f>
      </c>
      <c r="C2279" s="4" t="s">
        <v>284</v>
      </c>
      <c r="D2279" s="4">
        <v>59</v>
      </c>
      <c r="E2279" s="12" t="str">
        <f t="array" ref="E2279">IF(D2279:D6321="","",IFERROR(_xlfn.XLOOKUP(D2279:D6321,'参照_勢力'!A:A,'参照_勢力'!B:B),IFERROR(_xlfn.XLOOKUP(F2279:F6321,kunishuClan!A:A,kunishuClan!B:B),"浪人")))</f>
      </c>
      <c r="F2279" s="4">
        <v>0</v>
      </c>
      <c r="G2279" s="4">
        <v>160</v>
      </c>
      <c r="H2279" s="12" t="str">
        <f t="array" ref="H2279">IF(G2279:G6321="","",_xlfn.XLOOKUP(G2279:G6321,castles_state!A:A,castles_state!D:D,"見つかりません"))</f>
      </c>
      <c r="I2279" s="4"/>
      <c r="J2279" s="12" t="str">
        <f t="array" ref="J2279">IF(I2279:I6321="","",_xlfn.XLOOKUP(I2279:I6321,'参照_姫'!A:A,'参照_姫'!B:B,"見つかりません"))</f>
      </c>
      <c r="K2279" s="4">
        <v>95</v>
      </c>
      <c r="L2279" s="4">
        <v>0</v>
      </c>
      <c r="M2279" s="4"/>
      <c r="N2279" s="4"/>
      <c r="O2279" s="4"/>
      <c r="P2279" s="12" t="str">
        <f t="array" ref="P2279">IF(O2279:O6321="","",_xlfn.XLOOKUP(O2279:O6321,'参照_官位'!A:A,'参照_官位'!B:B,""))</f>
      </c>
      <c r="Q2279" s="12" t="str">
        <f t="array" ref="Q2279">IF(A2279:A6321="","",IFERROR(_xlfn.XLOOKUP(A2279:A6321,castles_state!K:K,castles_state!D:D)&amp;"主",IFERROR(_xlfn.XLOOKUP(A2279:A6321,kunishuClan!D:D,kunishuClan!B:B)&amp;"当主","")))</f>
      </c>
    </row>
    <row r="2280" ht="15.75" customHeight="1">
      <c r="A2280" s="4">
        <v>1059004</v>
      </c>
      <c r="B2280" s="12" t="str">
        <f t="array" ref="B2280">IF(A2280:A6322="","",_xlfn.XLOOKUP(A2280:A6322,'参照_武将'!A:A,'参照_武将'!B:B,"見つかりません"))</f>
      </c>
      <c r="C2280" s="4" t="s">
        <v>284</v>
      </c>
      <c r="D2280" s="4">
        <v>59</v>
      </c>
      <c r="E2280" s="12" t="str">
        <f t="array" ref="E2280">IF(D2280:D6322="","",IFERROR(_xlfn.XLOOKUP(D2280:D6322,'参照_勢力'!A:A,'参照_勢力'!B:B),IFERROR(_xlfn.XLOOKUP(F2280:F6322,kunishuClan!A:A,kunishuClan!B:B),"浪人")))</f>
      </c>
      <c r="F2280" s="4">
        <v>0</v>
      </c>
      <c r="G2280" s="4">
        <v>160</v>
      </c>
      <c r="H2280" s="12" t="str">
        <f t="array" ref="H2280">IF(G2280:G6322="","",_xlfn.XLOOKUP(G2280:G6322,castles_state!A:A,castles_state!D:D,"見つかりません"))</f>
      </c>
      <c r="I2280" s="4"/>
      <c r="J2280" s="12" t="str">
        <f t="array" ref="J2280">IF(I2280:I6322="","",_xlfn.XLOOKUP(I2280:I6322,'参照_姫'!A:A,'参照_姫'!B:B,"見つかりません"))</f>
      </c>
      <c r="K2280" s="4">
        <v>95</v>
      </c>
      <c r="L2280" s="4">
        <v>0</v>
      </c>
      <c r="M2280" s="4"/>
      <c r="N2280" s="4"/>
      <c r="O2280" s="4"/>
      <c r="P2280" s="12" t="str">
        <f t="array" ref="P2280">IF(O2280:O6322="","",_xlfn.XLOOKUP(O2280:O6322,'参照_官位'!A:A,'参照_官位'!B:B,""))</f>
      </c>
      <c r="Q2280" s="12" t="str">
        <f t="array" ref="Q2280">IF(A2280:A6322="","",IFERROR(_xlfn.XLOOKUP(A2280:A6322,castles_state!K:K,castles_state!D:D)&amp;"主",IFERROR(_xlfn.XLOOKUP(A2280:A6322,kunishuClan!D:D,kunishuClan!B:B)&amp;"当主","")))</f>
      </c>
    </row>
    <row r="2281" ht="15.75" customHeight="1">
      <c r="A2281" s="4">
        <v>1059005</v>
      </c>
      <c r="B2281" s="12" t="str">
        <f t="array" ref="B2281">IF(A2281:A6323="","",_xlfn.XLOOKUP(A2281:A6323,'参照_武将'!A:A,'参照_武将'!B:B,"見つかりません"))</f>
      </c>
      <c r="C2281" s="4" t="s">
        <v>284</v>
      </c>
      <c r="D2281" s="4">
        <v>59</v>
      </c>
      <c r="E2281" s="12" t="str">
        <f t="array" ref="E2281">IF(D2281:D6323="","",IFERROR(_xlfn.XLOOKUP(D2281:D6323,'参照_勢力'!A:A,'参照_勢力'!B:B),IFERROR(_xlfn.XLOOKUP(F2281:F6323,kunishuClan!A:A,kunishuClan!B:B),"浪人")))</f>
      </c>
      <c r="F2281" s="4">
        <v>0</v>
      </c>
      <c r="G2281" s="4">
        <v>160</v>
      </c>
      <c r="H2281" s="12" t="str">
        <f t="array" ref="H2281">IF(G2281:G6323="","",_xlfn.XLOOKUP(G2281:G6323,castles_state!A:A,castles_state!D:D,"見つかりません"))</f>
      </c>
      <c r="I2281" s="4"/>
      <c r="J2281" s="12" t="str">
        <f t="array" ref="J2281">IF(I2281:I6323="","",_xlfn.XLOOKUP(I2281:I6323,'参照_姫'!A:A,'参照_姫'!B:B,"見つかりません"))</f>
      </c>
      <c r="K2281" s="4">
        <v>95</v>
      </c>
      <c r="L2281" s="4">
        <v>0</v>
      </c>
      <c r="M2281" s="4"/>
      <c r="N2281" s="4"/>
      <c r="O2281" s="4"/>
      <c r="P2281" s="12" t="str">
        <f t="array" ref="P2281">IF(O2281:O6323="","",_xlfn.XLOOKUP(O2281:O6323,'参照_官位'!A:A,'参照_官位'!B:B,""))</f>
      </c>
      <c r="Q2281" s="12" t="str">
        <f t="array" ref="Q2281">IF(A2281:A6323="","",IFERROR(_xlfn.XLOOKUP(A2281:A6323,castles_state!K:K,castles_state!D:D)&amp;"主",IFERROR(_xlfn.XLOOKUP(A2281:A6323,kunishuClan!D:D,kunishuClan!B:B)&amp;"当主","")))</f>
      </c>
    </row>
    <row r="2282" ht="15.75" customHeight="1">
      <c r="A2282" s="4">
        <v>1059006</v>
      </c>
      <c r="B2282" s="12" t="str">
        <f t="array" ref="B2282">IF(A2282:A6324="","",_xlfn.XLOOKUP(A2282:A6324,'参照_武将'!A:A,'参照_武将'!B:B,"見つかりません"))</f>
      </c>
      <c r="C2282" s="4" t="s">
        <v>284</v>
      </c>
      <c r="D2282" s="4">
        <v>59</v>
      </c>
      <c r="E2282" s="12" t="str">
        <f t="array" ref="E2282">IF(D2282:D6324="","",IFERROR(_xlfn.XLOOKUP(D2282:D6324,'参照_勢力'!A:A,'参照_勢力'!B:B),IFERROR(_xlfn.XLOOKUP(F2282:F6324,kunishuClan!A:A,kunishuClan!B:B),"浪人")))</f>
      </c>
      <c r="F2282" s="4">
        <v>0</v>
      </c>
      <c r="G2282" s="4">
        <v>160</v>
      </c>
      <c r="H2282" s="12" t="str">
        <f t="array" ref="H2282">IF(G2282:G6324="","",_xlfn.XLOOKUP(G2282:G6324,castles_state!A:A,castles_state!D:D,"見つかりません"))</f>
      </c>
      <c r="I2282" s="4"/>
      <c r="J2282" s="12" t="str">
        <f t="array" ref="J2282">IF(I2282:I6324="","",_xlfn.XLOOKUP(I2282:I6324,'参照_姫'!A:A,'参照_姫'!B:B,"見つかりません"))</f>
      </c>
      <c r="K2282" s="4">
        <v>95</v>
      </c>
      <c r="L2282" s="4">
        <v>0</v>
      </c>
      <c r="M2282" s="4"/>
      <c r="N2282" s="4"/>
      <c r="O2282" s="4"/>
      <c r="P2282" s="12" t="str">
        <f t="array" ref="P2282">IF(O2282:O6324="","",_xlfn.XLOOKUP(O2282:O6324,'参照_官位'!A:A,'参照_官位'!B:B,""))</f>
      </c>
      <c r="Q2282" s="12" t="str">
        <f t="array" ref="Q2282">IF(A2282:A6324="","",IFERROR(_xlfn.XLOOKUP(A2282:A6324,castles_state!K:K,castles_state!D:D)&amp;"主",IFERROR(_xlfn.XLOOKUP(A2282:A6324,kunishuClan!D:D,kunishuClan!B:B)&amp;"当主","")))</f>
      </c>
    </row>
    <row r="2283" ht="15.75" customHeight="1">
      <c r="A2283" s="4">
        <v>1059007</v>
      </c>
      <c r="B2283" s="12" t="str">
        <f t="array" ref="B2283">IF(A2283:A6325="","",_xlfn.XLOOKUP(A2283:A6325,'参照_武将'!A:A,'参照_武将'!B:B,"見つかりません"))</f>
      </c>
      <c r="C2283" s="4" t="s">
        <v>284</v>
      </c>
      <c r="D2283" s="4">
        <v>59</v>
      </c>
      <c r="E2283" s="12" t="str">
        <f t="array" ref="E2283">IF(D2283:D6325="","",IFERROR(_xlfn.XLOOKUP(D2283:D6325,'参照_勢力'!A:A,'参照_勢力'!B:B),IFERROR(_xlfn.XLOOKUP(F2283:F6325,kunishuClan!A:A,kunishuClan!B:B),"浪人")))</f>
      </c>
      <c r="F2283" s="4">
        <v>0</v>
      </c>
      <c r="G2283" s="4">
        <v>160</v>
      </c>
      <c r="H2283" s="12" t="str">
        <f t="array" ref="H2283">IF(G2283:G6325="","",_xlfn.XLOOKUP(G2283:G6325,castles_state!A:A,castles_state!D:D,"見つかりません"))</f>
      </c>
      <c r="I2283" s="4"/>
      <c r="J2283" s="12" t="str">
        <f t="array" ref="J2283">IF(I2283:I6325="","",_xlfn.XLOOKUP(I2283:I6325,'参照_姫'!A:A,'参照_姫'!B:B,"見つかりません"))</f>
      </c>
      <c r="K2283" s="4">
        <v>95</v>
      </c>
      <c r="L2283" s="4">
        <v>0</v>
      </c>
      <c r="M2283" s="4"/>
      <c r="N2283" s="4"/>
      <c r="O2283" s="4"/>
      <c r="P2283" s="12" t="str">
        <f t="array" ref="P2283">IF(O2283:O6325="","",_xlfn.XLOOKUP(O2283:O6325,'参照_官位'!A:A,'参照_官位'!B:B,""))</f>
      </c>
      <c r="Q2283" s="12" t="str">
        <f t="array" ref="Q2283">IF(A2283:A6325="","",IFERROR(_xlfn.XLOOKUP(A2283:A6325,castles_state!K:K,castles_state!D:D)&amp;"主",IFERROR(_xlfn.XLOOKUP(A2283:A6325,kunishuClan!D:D,kunishuClan!B:B)&amp;"当主","")))</f>
      </c>
    </row>
    <row r="2284" ht="15.75" customHeight="1">
      <c r="A2284" s="4">
        <v>1059008</v>
      </c>
      <c r="B2284" s="12" t="str">
        <f t="array" ref="B2284">IF(A2284:A6326="","",_xlfn.XLOOKUP(A2284:A6326,'参照_武将'!A:A,'参照_武将'!B:B,"見つかりません"))</f>
      </c>
      <c r="C2284" s="4" t="s">
        <v>284</v>
      </c>
      <c r="D2284" s="4">
        <v>59</v>
      </c>
      <c r="E2284" s="12" t="str">
        <f t="array" ref="E2284">IF(D2284:D6326="","",IFERROR(_xlfn.XLOOKUP(D2284:D6326,'参照_勢力'!A:A,'参照_勢力'!B:B),IFERROR(_xlfn.XLOOKUP(F2284:F6326,kunishuClan!A:A,kunishuClan!B:B),"浪人")))</f>
      </c>
      <c r="F2284" s="4">
        <v>0</v>
      </c>
      <c r="G2284" s="4">
        <v>160</v>
      </c>
      <c r="H2284" s="12" t="str">
        <f t="array" ref="H2284">IF(G2284:G6326="","",_xlfn.XLOOKUP(G2284:G6326,castles_state!A:A,castles_state!D:D,"見つかりません"))</f>
      </c>
      <c r="I2284" s="4"/>
      <c r="J2284" s="12" t="str">
        <f t="array" ref="J2284">IF(I2284:I6326="","",_xlfn.XLOOKUP(I2284:I6326,'参照_姫'!A:A,'参照_姫'!B:B,"見つかりません"))</f>
      </c>
      <c r="K2284" s="4">
        <v>100</v>
      </c>
      <c r="L2284" s="4">
        <v>1000</v>
      </c>
      <c r="M2284" s="4"/>
      <c r="N2284" s="4"/>
      <c r="O2284" s="4"/>
      <c r="P2284" s="12" t="str">
        <f t="array" ref="P2284">IF(O2284:O6326="","",_xlfn.XLOOKUP(O2284:O6326,'参照_官位'!A:A,'参照_官位'!B:B,""))</f>
      </c>
      <c r="Q2284" s="12" t="str">
        <f t="array" ref="Q2284">IF(A2284:A6326="","",IFERROR(_xlfn.XLOOKUP(A2284:A6326,castles_state!K:K,castles_state!D:D)&amp;"主",IFERROR(_xlfn.XLOOKUP(A2284:A6326,kunishuClan!D:D,kunishuClan!B:B)&amp;"当主","")))</f>
      </c>
    </row>
    <row r="2285" ht="15.75" customHeight="1">
      <c r="A2285" s="4">
        <v>1059009</v>
      </c>
      <c r="B2285" s="12" t="str">
        <f t="array" ref="B2285">IF(A2285:A6327="","",_xlfn.XLOOKUP(A2285:A6327,'参照_武将'!A:A,'参照_武将'!B:B,"見つかりません"))</f>
      </c>
      <c r="C2285" s="4" t="s">
        <v>284</v>
      </c>
      <c r="D2285" s="4">
        <v>59</v>
      </c>
      <c r="E2285" s="12" t="str">
        <f t="array" ref="E2285">IF(D2285:D6327="","",IFERROR(_xlfn.XLOOKUP(D2285:D6327,'参照_勢力'!A:A,'参照_勢力'!B:B),IFERROR(_xlfn.XLOOKUP(F2285:F6327,kunishuClan!A:A,kunishuClan!B:B),"浪人")))</f>
      </c>
      <c r="F2285" s="4">
        <v>0</v>
      </c>
      <c r="G2285" s="4">
        <v>160</v>
      </c>
      <c r="H2285" s="12" t="str">
        <f t="array" ref="H2285">IF(G2285:G6327="","",_xlfn.XLOOKUP(G2285:G6327,castles_state!A:A,castles_state!D:D,"見つかりません"))</f>
      </c>
      <c r="I2285" s="4"/>
      <c r="J2285" s="12" t="str">
        <f t="array" ref="J2285">IF(I2285:I6327="","",_xlfn.XLOOKUP(I2285:I6327,'参照_姫'!A:A,'参照_姫'!B:B,"見つかりません"))</f>
      </c>
      <c r="K2285" s="4">
        <v>95</v>
      </c>
      <c r="L2285" s="4">
        <v>500</v>
      </c>
      <c r="M2285" s="4"/>
      <c r="N2285" s="4"/>
      <c r="O2285" s="4"/>
      <c r="P2285" s="12" t="str">
        <f t="array" ref="P2285">IF(O2285:O6327="","",_xlfn.XLOOKUP(O2285:O6327,'参照_官位'!A:A,'参照_官位'!B:B,""))</f>
      </c>
      <c r="Q2285" s="12" t="str">
        <f t="array" ref="Q2285">IF(A2285:A6327="","",IFERROR(_xlfn.XLOOKUP(A2285:A6327,castles_state!K:K,castles_state!D:D)&amp;"主",IFERROR(_xlfn.XLOOKUP(A2285:A6327,kunishuClan!D:D,kunishuClan!B:B)&amp;"当主","")))</f>
      </c>
    </row>
    <row r="2286" ht="15.75" customHeight="1">
      <c r="A2286" s="4">
        <v>1059010</v>
      </c>
      <c r="B2286" s="12" t="str">
        <f t="array" ref="B2286">IF(A2286:A6328="","",_xlfn.XLOOKUP(A2286:A6328,'参照_武将'!A:A,'参照_武将'!B:B,"見つかりません"))</f>
      </c>
      <c r="C2286" s="4" t="s">
        <v>5960</v>
      </c>
      <c r="D2286" s="4">
        <v>59</v>
      </c>
      <c r="E2286" s="12" t="str">
        <f t="array" ref="E2286">IF(D2286:D6328="","",IFERROR(_xlfn.XLOOKUP(D2286:D6328,'参照_勢力'!A:A,'参照_勢力'!B:B),IFERROR(_xlfn.XLOOKUP(F2286:F6328,kunishuClan!A:A,kunishuClan!B:B),"浪人")))</f>
      </c>
      <c r="F2286" s="4">
        <v>0</v>
      </c>
      <c r="G2286" s="4">
        <v>160</v>
      </c>
      <c r="H2286" s="12" t="str">
        <f t="array" ref="H2286">IF(G2286:G6328="","",_xlfn.XLOOKUP(G2286:G6328,castles_state!A:A,castles_state!D:D,"見つかりません"))</f>
      </c>
      <c r="I2286" s="4"/>
      <c r="J2286" s="12" t="str">
        <f t="array" ref="J2286">IF(I2286:I6328="","",_xlfn.XLOOKUP(I2286:I6328,'参照_姫'!A:A,'参照_姫'!B:B,"見つかりません"))</f>
      </c>
      <c r="K2286" s="4">
        <v>80</v>
      </c>
      <c r="L2286" s="4">
        <v>0</v>
      </c>
      <c r="M2286" s="4"/>
      <c r="N2286" s="4"/>
      <c r="O2286" s="4"/>
      <c r="P2286" s="12" t="str">
        <f t="array" ref="P2286">IF(O2286:O6328="","",_xlfn.XLOOKUP(O2286:O6328,'参照_官位'!A:A,'参照_官位'!B:B,""))</f>
      </c>
      <c r="Q2286" s="12" t="str">
        <f t="array" ref="Q2286">IF(A2286:A6328="","",IFERROR(_xlfn.XLOOKUP(A2286:A6328,castles_state!K:K,castles_state!D:D)&amp;"主",IFERROR(_xlfn.XLOOKUP(A2286:A6328,kunishuClan!D:D,kunishuClan!B:B)&amp;"当主","")))</f>
      </c>
    </row>
    <row r="2287" ht="15.75" customHeight="1">
      <c r="A2287" s="4">
        <v>1059011</v>
      </c>
      <c r="B2287" s="12" t="str">
        <f t="array" ref="B2287">IF(A2287:A6329="","",_xlfn.XLOOKUP(A2287:A6329,'参照_武将'!A:A,'参照_武将'!B:B,"見つかりません"))</f>
      </c>
      <c r="C2287" s="4" t="s">
        <v>284</v>
      </c>
      <c r="D2287" s="4">
        <v>59</v>
      </c>
      <c r="E2287" s="12" t="str">
        <f t="array" ref="E2287">IF(D2287:D6329="","",IFERROR(_xlfn.XLOOKUP(D2287:D6329,'参照_勢力'!A:A,'参照_勢力'!B:B),IFERROR(_xlfn.XLOOKUP(F2287:F6329,kunishuClan!A:A,kunishuClan!B:B),"浪人")))</f>
      </c>
      <c r="F2287" s="4">
        <v>0</v>
      </c>
      <c r="G2287" s="4">
        <v>161</v>
      </c>
      <c r="H2287" s="12" t="str">
        <f t="array" ref="H2287">IF(G2287:G6329="","",_xlfn.XLOOKUP(G2287:G6329,castles_state!A:A,castles_state!D:D,"見つかりません"))</f>
      </c>
      <c r="I2287" s="4"/>
      <c r="J2287" s="12" t="str">
        <f t="array" ref="J2287">IF(I2287:I6329="","",_xlfn.XLOOKUP(I2287:I6329,'参照_姫'!A:A,'参照_姫'!B:B,"見つかりません"))</f>
      </c>
      <c r="K2287" s="4">
        <v>80</v>
      </c>
      <c r="L2287" s="4">
        <v>0</v>
      </c>
      <c r="M2287" s="4"/>
      <c r="N2287" s="4"/>
      <c r="O2287" s="4"/>
      <c r="P2287" s="12" t="str">
        <f t="array" ref="P2287">IF(O2287:O6329="","",_xlfn.XLOOKUP(O2287:O6329,'参照_官位'!A:A,'参照_官位'!B:B,""))</f>
      </c>
      <c r="Q2287" s="12" t="str">
        <f t="array" ref="Q2287">IF(A2287:A6329="","",IFERROR(_xlfn.XLOOKUP(A2287:A6329,castles_state!K:K,castles_state!D:D)&amp;"主",IFERROR(_xlfn.XLOOKUP(A2287:A6329,kunishuClan!D:D,kunishuClan!B:B)&amp;"当主","")))</f>
      </c>
    </row>
    <row r="2288" ht="15.75" customHeight="1">
      <c r="A2288" s="4">
        <v>1059012</v>
      </c>
      <c r="B2288" s="12" t="str">
        <f t="array" ref="B2288">IF(A2288:A6330="","",_xlfn.XLOOKUP(A2288:A6330,'参照_武将'!A:A,'参照_武将'!B:B,"見つかりません"))</f>
      </c>
      <c r="C2288" s="4" t="s">
        <v>284</v>
      </c>
      <c r="D2288" s="4">
        <v>59</v>
      </c>
      <c r="E2288" s="12" t="str">
        <f t="array" ref="E2288">IF(D2288:D6330="","",IFERROR(_xlfn.XLOOKUP(D2288:D6330,'参照_勢力'!A:A,'参照_勢力'!B:B),IFERROR(_xlfn.XLOOKUP(F2288:F6330,kunishuClan!A:A,kunishuClan!B:B),"浪人")))</f>
      </c>
      <c r="F2288" s="4">
        <v>0</v>
      </c>
      <c r="G2288" s="4">
        <v>161</v>
      </c>
      <c r="H2288" s="12" t="str">
        <f t="array" ref="H2288">IF(G2288:G6330="","",_xlfn.XLOOKUP(G2288:G6330,castles_state!A:A,castles_state!D:D,"見つかりません"))</f>
      </c>
      <c r="I2288" s="4"/>
      <c r="J2288" s="12" t="str">
        <f t="array" ref="J2288">IF(I2288:I6330="","",_xlfn.XLOOKUP(I2288:I6330,'参照_姫'!A:A,'参照_姫'!B:B,"見つかりません"))</f>
      </c>
      <c r="K2288" s="4">
        <v>95</v>
      </c>
      <c r="L2288" s="4">
        <v>500</v>
      </c>
      <c r="M2288" s="4"/>
      <c r="N2288" s="4"/>
      <c r="O2288" s="4"/>
      <c r="P2288" s="12" t="str">
        <f t="array" ref="P2288">IF(O2288:O6330="","",_xlfn.XLOOKUP(O2288:O6330,'参照_官位'!A:A,'参照_官位'!B:B,""))</f>
      </c>
      <c r="Q2288" s="12" t="str">
        <f t="array" ref="Q2288">IF(A2288:A6330="","",IFERROR(_xlfn.XLOOKUP(A2288:A6330,castles_state!K:K,castles_state!D:D)&amp;"主",IFERROR(_xlfn.XLOOKUP(A2288:A6330,kunishuClan!D:D,kunishuClan!B:B)&amp;"当主","")))</f>
      </c>
    </row>
    <row r="2289" ht="15.75" customHeight="1">
      <c r="A2289" s="4">
        <v>1059013</v>
      </c>
      <c r="B2289" s="12" t="str">
        <f t="array" ref="B2289">IF(A2289:A6331="","",_xlfn.XLOOKUP(A2289:A6331,'参照_武将'!A:A,'参照_武将'!B:B,"見つかりません"))</f>
      </c>
      <c r="C2289" s="4" t="s">
        <v>284</v>
      </c>
      <c r="D2289" s="4">
        <v>59</v>
      </c>
      <c r="E2289" s="12" t="str">
        <f t="array" ref="E2289">IF(D2289:D6331="","",IFERROR(_xlfn.XLOOKUP(D2289:D6331,'参照_勢力'!A:A,'参照_勢力'!B:B),IFERROR(_xlfn.XLOOKUP(F2289:F6331,kunishuClan!A:A,kunishuClan!B:B),"浪人")))</f>
      </c>
      <c r="F2289" s="4">
        <v>0</v>
      </c>
      <c r="G2289" s="4">
        <v>161</v>
      </c>
      <c r="H2289" s="12" t="str">
        <f t="array" ref="H2289">IF(G2289:G6331="","",_xlfn.XLOOKUP(G2289:G6331,castles_state!A:A,castles_state!D:D,"見つかりません"))</f>
      </c>
      <c r="I2289" s="4"/>
      <c r="J2289" s="12" t="str">
        <f t="array" ref="J2289">IF(I2289:I6331="","",_xlfn.XLOOKUP(I2289:I6331,'参照_姫'!A:A,'参照_姫'!B:B,"見つかりません"))</f>
      </c>
      <c r="K2289" s="4">
        <v>80</v>
      </c>
      <c r="L2289" s="4">
        <v>100</v>
      </c>
      <c r="M2289" s="4"/>
      <c r="N2289" s="4"/>
      <c r="O2289" s="4"/>
      <c r="P2289" s="12" t="str">
        <f t="array" ref="P2289">IF(O2289:O6331="","",_xlfn.XLOOKUP(O2289:O6331,'参照_官位'!A:A,'参照_官位'!B:B,""))</f>
      </c>
      <c r="Q2289" s="12" t="str">
        <f t="array" ref="Q2289">IF(A2289:A6331="","",IFERROR(_xlfn.XLOOKUP(A2289:A6331,castles_state!K:K,castles_state!D:D)&amp;"主",IFERROR(_xlfn.XLOOKUP(A2289:A6331,kunishuClan!D:D,kunishuClan!B:B)&amp;"当主","")))</f>
      </c>
    </row>
    <row r="2290" ht="15.75" customHeight="1">
      <c r="A2290" s="4">
        <v>1059014</v>
      </c>
      <c r="B2290" s="12" t="str">
        <f t="array" ref="B2290">IF(A2290:A6332="","",_xlfn.XLOOKUP(A2290:A6332,'参照_武将'!A:A,'参照_武将'!B:B,"見つかりません"))</f>
      </c>
      <c r="C2290" s="4" t="s">
        <v>284</v>
      </c>
      <c r="D2290" s="4">
        <v>59</v>
      </c>
      <c r="E2290" s="12" t="str">
        <f t="array" ref="E2290">IF(D2290:D6332="","",IFERROR(_xlfn.XLOOKUP(D2290:D6332,'参照_勢力'!A:A,'参照_勢力'!B:B),IFERROR(_xlfn.XLOOKUP(F2290:F6332,kunishuClan!A:A,kunishuClan!B:B),"浪人")))</f>
      </c>
      <c r="F2290" s="4">
        <v>0</v>
      </c>
      <c r="G2290" s="4">
        <v>161</v>
      </c>
      <c r="H2290" s="12" t="str">
        <f t="array" ref="H2290">IF(G2290:G6332="","",_xlfn.XLOOKUP(G2290:G6332,castles_state!A:A,castles_state!D:D,"見つかりません"))</f>
      </c>
      <c r="I2290" s="4"/>
      <c r="J2290" s="12" t="str">
        <f t="array" ref="J2290">IF(I2290:I6332="","",_xlfn.XLOOKUP(I2290:I6332,'参照_姫'!A:A,'参照_姫'!B:B,"見つかりません"))</f>
      </c>
      <c r="K2290" s="4">
        <v>80</v>
      </c>
      <c r="L2290" s="4">
        <v>0</v>
      </c>
      <c r="M2290" s="4"/>
      <c r="N2290" s="4"/>
      <c r="O2290" s="4"/>
      <c r="P2290" s="12" t="str">
        <f t="array" ref="P2290">IF(O2290:O6332="","",_xlfn.XLOOKUP(O2290:O6332,'参照_官位'!A:A,'参照_官位'!B:B,""))</f>
      </c>
      <c r="Q2290" s="12" t="str">
        <f t="array" ref="Q2290">IF(A2290:A6332="","",IFERROR(_xlfn.XLOOKUP(A2290:A6332,castles_state!K:K,castles_state!D:D)&amp;"主",IFERROR(_xlfn.XLOOKUP(A2290:A6332,kunishuClan!D:D,kunishuClan!B:B)&amp;"当主","")))</f>
      </c>
    </row>
    <row r="2291" ht="15.75" customHeight="1">
      <c r="A2291" s="4">
        <v>1059015</v>
      </c>
      <c r="B2291" s="12" t="str">
        <f t="array" ref="B2291">IF(A2291:A6333="","",_xlfn.XLOOKUP(A2291:A6333,'参照_武将'!A:A,'参照_武将'!B:B,"見つかりません"))</f>
      </c>
      <c r="C2291" s="4" t="s">
        <v>284</v>
      </c>
      <c r="D2291" s="4">
        <v>59</v>
      </c>
      <c r="E2291" s="12" t="str">
        <f t="array" ref="E2291">IF(D2291:D6333="","",IFERROR(_xlfn.XLOOKUP(D2291:D6333,'参照_勢力'!A:A,'参照_勢力'!B:B),IFERROR(_xlfn.XLOOKUP(F2291:F6333,kunishuClan!A:A,kunishuClan!B:B),"浪人")))</f>
      </c>
      <c r="F2291" s="4">
        <v>0</v>
      </c>
      <c r="G2291" s="4">
        <v>161</v>
      </c>
      <c r="H2291" s="12" t="str">
        <f t="array" ref="H2291">IF(G2291:G6333="","",_xlfn.XLOOKUP(G2291:G6333,castles_state!A:A,castles_state!D:D,"見つかりません"))</f>
      </c>
      <c r="I2291" s="4"/>
      <c r="J2291" s="12" t="str">
        <f t="array" ref="J2291">IF(I2291:I6333="","",_xlfn.XLOOKUP(I2291:I6333,'参照_姫'!A:A,'参照_姫'!B:B,"見つかりません"))</f>
      </c>
      <c r="K2291" s="4">
        <v>95</v>
      </c>
      <c r="L2291" s="4">
        <v>0</v>
      </c>
      <c r="M2291" s="4"/>
      <c r="N2291" s="4"/>
      <c r="O2291" s="4"/>
      <c r="P2291" s="12" t="str">
        <f t="array" ref="P2291">IF(O2291:O6333="","",_xlfn.XLOOKUP(O2291:O6333,'参照_官位'!A:A,'参照_官位'!B:B,""))</f>
      </c>
      <c r="Q2291" s="12" t="str">
        <f t="array" ref="Q2291">IF(A2291:A6333="","",IFERROR(_xlfn.XLOOKUP(A2291:A6333,castles_state!K:K,castles_state!D:D)&amp;"主",IFERROR(_xlfn.XLOOKUP(A2291:A6333,kunishuClan!D:D,kunishuClan!B:B)&amp;"当主","")))</f>
      </c>
    </row>
    <row r="2292" ht="15.75" customHeight="1">
      <c r="A2292" s="4">
        <v>1059016</v>
      </c>
      <c r="B2292" s="12" t="str">
        <f t="array" ref="B2292">IF(A2292:A6334="","",_xlfn.XLOOKUP(A2292:A6334,'参照_武将'!A:A,'参照_武将'!B:B,"見つかりません"))</f>
      </c>
      <c r="C2292" s="4" t="s">
        <v>284</v>
      </c>
      <c r="D2292" s="4">
        <v>59</v>
      </c>
      <c r="E2292" s="12" t="str">
        <f t="array" ref="E2292">IF(D2292:D6334="","",IFERROR(_xlfn.XLOOKUP(D2292:D6334,'参照_勢力'!A:A,'参照_勢力'!B:B),IFERROR(_xlfn.XLOOKUP(F2292:F6334,kunishuClan!A:A,kunishuClan!B:B),"浪人")))</f>
      </c>
      <c r="F2292" s="4">
        <v>0</v>
      </c>
      <c r="G2292" s="4">
        <v>160</v>
      </c>
      <c r="H2292" s="12" t="str">
        <f t="array" ref="H2292">IF(G2292:G6334="","",_xlfn.XLOOKUP(G2292:G6334,castles_state!A:A,castles_state!D:D,"見つかりません"))</f>
      </c>
      <c r="I2292" s="4"/>
      <c r="J2292" s="12" t="str">
        <f t="array" ref="J2292">IF(I2292:I6334="","",_xlfn.XLOOKUP(I2292:I6334,'参照_姫'!A:A,'参照_姫'!B:B,"見つかりません"))</f>
      </c>
      <c r="K2292" s="4">
        <v>80</v>
      </c>
      <c r="L2292" s="4">
        <v>0</v>
      </c>
      <c r="M2292" s="4"/>
      <c r="N2292" s="4"/>
      <c r="O2292" s="4"/>
      <c r="P2292" s="12" t="str">
        <f t="array" ref="P2292">IF(O2292:O6334="","",_xlfn.XLOOKUP(O2292:O6334,'参照_官位'!A:A,'参照_官位'!B:B,""))</f>
      </c>
      <c r="Q2292" s="12" t="str">
        <f t="array" ref="Q2292">IF(A2292:A6334="","",IFERROR(_xlfn.XLOOKUP(A2292:A6334,castles_state!K:K,castles_state!D:D)&amp;"主",IFERROR(_xlfn.XLOOKUP(A2292:A6334,kunishuClan!D:D,kunishuClan!B:B)&amp;"当主","")))</f>
      </c>
    </row>
    <row r="2293" ht="15.75" customHeight="1">
      <c r="A2293" s="4">
        <v>1059017</v>
      </c>
      <c r="B2293" s="12" t="str">
        <f t="array" ref="B2293">IF(A2293:A6335="","",_xlfn.XLOOKUP(A2293:A6335,'参照_武将'!A:A,'参照_武将'!B:B,"見つかりません"))</f>
      </c>
      <c r="C2293" s="4" t="s">
        <v>284</v>
      </c>
      <c r="D2293" s="4">
        <v>59</v>
      </c>
      <c r="E2293" s="12" t="str">
        <f t="array" ref="E2293">IF(D2293:D6335="","",IFERROR(_xlfn.XLOOKUP(D2293:D6335,'参照_勢力'!A:A,'参照_勢力'!B:B),IFERROR(_xlfn.XLOOKUP(F2293:F6335,kunishuClan!A:A,kunishuClan!B:B),"浪人")))</f>
      </c>
      <c r="F2293" s="4">
        <v>0</v>
      </c>
      <c r="G2293" s="4">
        <v>160</v>
      </c>
      <c r="H2293" s="12" t="str">
        <f t="array" ref="H2293">IF(G2293:G6335="","",_xlfn.XLOOKUP(G2293:G6335,castles_state!A:A,castles_state!D:D,"見つかりません"))</f>
      </c>
      <c r="I2293" s="4"/>
      <c r="J2293" s="12" t="str">
        <f t="array" ref="J2293">IF(I2293:I6335="","",_xlfn.XLOOKUP(I2293:I6335,'参照_姫'!A:A,'参照_姫'!B:B,"見つかりません"))</f>
      </c>
      <c r="K2293" s="4">
        <v>80</v>
      </c>
      <c r="L2293" s="4">
        <v>0</v>
      </c>
      <c r="M2293" s="4"/>
      <c r="N2293" s="4"/>
      <c r="O2293" s="4"/>
      <c r="P2293" s="12" t="str">
        <f t="array" ref="P2293">IF(O2293:O6335="","",_xlfn.XLOOKUP(O2293:O6335,'参照_官位'!A:A,'参照_官位'!B:B,""))</f>
      </c>
      <c r="Q2293" s="12" t="str">
        <f t="array" ref="Q2293">IF(A2293:A6335="","",IFERROR(_xlfn.XLOOKUP(A2293:A6335,castles_state!K:K,castles_state!D:D)&amp;"主",IFERROR(_xlfn.XLOOKUP(A2293:A6335,kunishuClan!D:D,kunishuClan!B:B)&amp;"当主","")))</f>
      </c>
    </row>
    <row r="2294" ht="15.75" customHeight="1">
      <c r="A2294" s="4">
        <v>1059018</v>
      </c>
      <c r="B2294" s="12" t="str">
        <f t="array" ref="B2294">IF(A2294:A6336="","",_xlfn.XLOOKUP(A2294:A6336,'参照_武将'!A:A,'参照_武将'!B:B,"見つかりません"))</f>
      </c>
      <c r="C2294" s="4" t="s">
        <v>284</v>
      </c>
      <c r="D2294" s="4">
        <v>59</v>
      </c>
      <c r="E2294" s="12" t="str">
        <f t="array" ref="E2294">IF(D2294:D6336="","",IFERROR(_xlfn.XLOOKUP(D2294:D6336,'参照_勢力'!A:A,'参照_勢力'!B:B),IFERROR(_xlfn.XLOOKUP(F2294:F6336,kunishuClan!A:A,kunishuClan!B:B),"浪人")))</f>
      </c>
      <c r="F2294" s="4">
        <v>0</v>
      </c>
      <c r="G2294" s="4">
        <v>160</v>
      </c>
      <c r="H2294" s="12" t="str">
        <f t="array" ref="H2294">IF(G2294:G6336="","",_xlfn.XLOOKUP(G2294:G6336,castles_state!A:A,castles_state!D:D,"見つかりません"))</f>
      </c>
      <c r="I2294" s="4"/>
      <c r="J2294" s="12" t="str">
        <f t="array" ref="J2294">IF(I2294:I6336="","",_xlfn.XLOOKUP(I2294:I6336,'参照_姫'!A:A,'参照_姫'!B:B,"見つかりません"))</f>
      </c>
      <c r="K2294" s="4">
        <v>80</v>
      </c>
      <c r="L2294" s="4">
        <v>0</v>
      </c>
      <c r="M2294" s="4"/>
      <c r="N2294" s="4"/>
      <c r="O2294" s="4"/>
      <c r="P2294" s="12" t="str">
        <f t="array" ref="P2294">IF(O2294:O6336="","",_xlfn.XLOOKUP(O2294:O6336,'参照_官位'!A:A,'参照_官位'!B:B,""))</f>
      </c>
      <c r="Q2294" s="12" t="str">
        <f t="array" ref="Q2294">IF(A2294:A6336="","",IFERROR(_xlfn.XLOOKUP(A2294:A6336,castles_state!K:K,castles_state!D:D)&amp;"主",IFERROR(_xlfn.XLOOKUP(A2294:A6336,kunishuClan!D:D,kunishuClan!B:B)&amp;"当主","")))</f>
      </c>
    </row>
    <row r="2295" ht="15.75" customHeight="1">
      <c r="A2295" s="4">
        <v>1059019</v>
      </c>
      <c r="B2295" s="12" t="str">
        <f t="array" ref="B2295">IF(A2295:A6337="","",_xlfn.XLOOKUP(A2295:A6337,'参照_武将'!A:A,'参照_武将'!B:B,"見つかりません"))</f>
      </c>
      <c r="C2295" s="4" t="s">
        <v>284</v>
      </c>
      <c r="D2295" s="4">
        <v>59</v>
      </c>
      <c r="E2295" s="12" t="str">
        <f t="array" ref="E2295">IF(D2295:D6337="","",IFERROR(_xlfn.XLOOKUP(D2295:D6337,'参照_勢力'!A:A,'参照_勢力'!B:B),IFERROR(_xlfn.XLOOKUP(F2295:F6337,kunishuClan!A:A,kunishuClan!B:B),"浪人")))</f>
      </c>
      <c r="F2295" s="4">
        <v>0</v>
      </c>
      <c r="G2295" s="4">
        <v>161</v>
      </c>
      <c r="H2295" s="12" t="str">
        <f t="array" ref="H2295">IF(G2295:G6337="","",_xlfn.XLOOKUP(G2295:G6337,castles_state!A:A,castles_state!D:D,"見つかりません"))</f>
      </c>
      <c r="I2295" s="4"/>
      <c r="J2295" s="12" t="str">
        <f t="array" ref="J2295">IF(I2295:I6337="","",_xlfn.XLOOKUP(I2295:I6337,'参照_姫'!A:A,'参照_姫'!B:B,"見つかりません"))</f>
      </c>
      <c r="K2295" s="4">
        <v>95</v>
      </c>
      <c r="L2295" s="4">
        <v>0</v>
      </c>
      <c r="M2295" s="4"/>
      <c r="N2295" s="4"/>
      <c r="O2295" s="4"/>
      <c r="P2295" s="12" t="str">
        <f t="array" ref="P2295">IF(O2295:O6337="","",_xlfn.XLOOKUP(O2295:O6337,'参照_官位'!A:A,'参照_官位'!B:B,""))</f>
      </c>
      <c r="Q2295" s="12" t="str">
        <f t="array" ref="Q2295">IF(A2295:A6337="","",IFERROR(_xlfn.XLOOKUP(A2295:A6337,castles_state!K:K,castles_state!D:D)&amp;"主",IFERROR(_xlfn.XLOOKUP(A2295:A6337,kunishuClan!D:D,kunishuClan!B:B)&amp;"当主","")))</f>
      </c>
    </row>
    <row r="2296" ht="15.75" customHeight="1">
      <c r="A2296" s="4">
        <v>1059020</v>
      </c>
      <c r="B2296" s="12" t="str">
        <f t="array" ref="B2296">IF(A2296:A6338="","",_xlfn.XLOOKUP(A2296:A6338,'参照_武将'!A:A,'参照_武将'!B:B,"見つかりません"))</f>
      </c>
      <c r="C2296" s="4" t="s">
        <v>284</v>
      </c>
      <c r="D2296" s="4">
        <v>59</v>
      </c>
      <c r="E2296" s="12" t="str">
        <f t="array" ref="E2296">IF(D2296:D6338="","",IFERROR(_xlfn.XLOOKUP(D2296:D6338,'参照_勢力'!A:A,'参照_勢力'!B:B),IFERROR(_xlfn.XLOOKUP(F2296:F6338,kunishuClan!A:A,kunishuClan!B:B),"浪人")))</f>
      </c>
      <c r="F2296" s="4">
        <v>0</v>
      </c>
      <c r="G2296" s="4">
        <v>161</v>
      </c>
      <c r="H2296" s="12" t="str">
        <f t="array" ref="H2296">IF(G2296:G6338="","",_xlfn.XLOOKUP(G2296:G6338,castles_state!A:A,castles_state!D:D,"見つかりません"))</f>
      </c>
      <c r="I2296" s="4"/>
      <c r="J2296" s="12" t="str">
        <f t="array" ref="J2296">IF(I2296:I6338="","",_xlfn.XLOOKUP(I2296:I6338,'参照_姫'!A:A,'参照_姫'!B:B,"見つかりません"))</f>
      </c>
      <c r="K2296" s="4">
        <v>95</v>
      </c>
      <c r="L2296" s="4">
        <v>0</v>
      </c>
      <c r="M2296" s="4"/>
      <c r="N2296" s="4"/>
      <c r="O2296" s="4"/>
      <c r="P2296" s="12" t="str">
        <f t="array" ref="P2296">IF(O2296:O6338="","",_xlfn.XLOOKUP(O2296:O6338,'参照_官位'!A:A,'参照_官位'!B:B,""))</f>
      </c>
      <c r="Q2296" s="12" t="str">
        <f t="array" ref="Q2296">IF(A2296:A6338="","",IFERROR(_xlfn.XLOOKUP(A2296:A6338,castles_state!K:K,castles_state!D:D)&amp;"主",IFERROR(_xlfn.XLOOKUP(A2296:A6338,kunishuClan!D:D,kunishuClan!B:B)&amp;"当主","")))</f>
      </c>
    </row>
    <row r="2297" ht="15.75" customHeight="1">
      <c r="A2297" s="4">
        <v>1059021</v>
      </c>
      <c r="B2297" s="12" t="str">
        <f t="array" ref="B2297">IF(A2297:A6339="","",_xlfn.XLOOKUP(A2297:A6339,'参照_武将'!A:A,'参照_武将'!B:B,"見つかりません"))</f>
      </c>
      <c r="C2297" s="4" t="s">
        <v>284</v>
      </c>
      <c r="D2297" s="4">
        <v>59</v>
      </c>
      <c r="E2297" s="12" t="str">
        <f t="array" ref="E2297">IF(D2297:D6339="","",IFERROR(_xlfn.XLOOKUP(D2297:D6339,'参照_勢力'!A:A,'参照_勢力'!B:B),IFERROR(_xlfn.XLOOKUP(F2297:F6339,kunishuClan!A:A,kunishuClan!B:B),"浪人")))</f>
      </c>
      <c r="F2297" s="4">
        <v>0</v>
      </c>
      <c r="G2297" s="4">
        <v>161</v>
      </c>
      <c r="H2297" s="12" t="str">
        <f t="array" ref="H2297">IF(G2297:G6339="","",_xlfn.XLOOKUP(G2297:G6339,castles_state!A:A,castles_state!D:D,"見つかりません"))</f>
      </c>
      <c r="I2297" s="4"/>
      <c r="J2297" s="12" t="str">
        <f t="array" ref="J2297">IF(I2297:I6339="","",_xlfn.XLOOKUP(I2297:I6339,'参照_姫'!A:A,'参照_姫'!B:B,"見つかりません"))</f>
      </c>
      <c r="K2297" s="4">
        <v>95</v>
      </c>
      <c r="L2297" s="4">
        <v>0</v>
      </c>
      <c r="M2297" s="4"/>
      <c r="N2297" s="4"/>
      <c r="O2297" s="4"/>
      <c r="P2297" s="12" t="str">
        <f t="array" ref="P2297">IF(O2297:O6339="","",_xlfn.XLOOKUP(O2297:O6339,'参照_官位'!A:A,'参照_官位'!B:B,""))</f>
      </c>
      <c r="Q2297" s="12" t="str">
        <f t="array" ref="Q2297">IF(A2297:A6339="","",IFERROR(_xlfn.XLOOKUP(A2297:A6339,castles_state!K:K,castles_state!D:D)&amp;"主",IFERROR(_xlfn.XLOOKUP(A2297:A6339,kunishuClan!D:D,kunishuClan!B:B)&amp;"当主","")))</f>
      </c>
    </row>
    <row r="2298" ht="15.75" customHeight="1">
      <c r="A2298" s="4">
        <v>1059022</v>
      </c>
      <c r="B2298" s="12" t="str">
        <f t="array" ref="B2298">IF(A2298:A6340="","",_xlfn.XLOOKUP(A2298:A6340,'参照_武将'!A:A,'参照_武将'!B:B,"見つかりません"))</f>
      </c>
      <c r="C2298" s="4" t="s">
        <v>284</v>
      </c>
      <c r="D2298" s="4">
        <v>59</v>
      </c>
      <c r="E2298" s="12" t="str">
        <f t="array" ref="E2298">IF(D2298:D6340="","",IFERROR(_xlfn.XLOOKUP(D2298:D6340,'参照_勢力'!A:A,'参照_勢力'!B:B),IFERROR(_xlfn.XLOOKUP(F2298:F6340,kunishuClan!A:A,kunishuClan!B:B),"浪人")))</f>
      </c>
      <c r="F2298" s="4">
        <v>0</v>
      </c>
      <c r="G2298" s="4">
        <v>160</v>
      </c>
      <c r="H2298" s="12" t="str">
        <f t="array" ref="H2298">IF(G2298:G6340="","",_xlfn.XLOOKUP(G2298:G6340,castles_state!A:A,castles_state!D:D,"見つかりません"))</f>
      </c>
      <c r="I2298" s="4"/>
      <c r="J2298" s="12" t="str">
        <f t="array" ref="J2298">IF(I2298:I6340="","",_xlfn.XLOOKUP(I2298:I6340,'参照_姫'!A:A,'参照_姫'!B:B,"見つかりません"))</f>
      </c>
      <c r="K2298" s="4">
        <v>95</v>
      </c>
      <c r="L2298" s="4">
        <v>0</v>
      </c>
      <c r="M2298" s="4"/>
      <c r="N2298" s="4"/>
      <c r="O2298" s="4"/>
      <c r="P2298" s="12" t="str">
        <f t="array" ref="P2298">IF(O2298:O6340="","",_xlfn.XLOOKUP(O2298:O6340,'参照_官位'!A:A,'参照_官位'!B:B,""))</f>
      </c>
      <c r="Q2298" s="12" t="str">
        <f t="array" ref="Q2298">IF(A2298:A6340="","",IFERROR(_xlfn.XLOOKUP(A2298:A6340,castles_state!K:K,castles_state!D:D)&amp;"主",IFERROR(_xlfn.XLOOKUP(A2298:A6340,kunishuClan!D:D,kunishuClan!B:B)&amp;"当主","")))</f>
      </c>
    </row>
    <row r="2299" ht="15.75" customHeight="1">
      <c r="A2299" s="4">
        <v>1059023</v>
      </c>
      <c r="B2299" s="12" t="str">
        <f t="array" ref="B2299">IF(A2299:A6341="","",_xlfn.XLOOKUP(A2299:A6341,'参照_武将'!A:A,'参照_武将'!B:B,"見つかりません"))</f>
      </c>
      <c r="C2299" s="4" t="s">
        <v>284</v>
      </c>
      <c r="D2299" s="4">
        <v>59</v>
      </c>
      <c r="E2299" s="12" t="str">
        <f t="array" ref="E2299">IF(D2299:D6341="","",IFERROR(_xlfn.XLOOKUP(D2299:D6341,'参照_勢力'!A:A,'参照_勢力'!B:B),IFERROR(_xlfn.XLOOKUP(F2299:F6341,kunishuClan!A:A,kunishuClan!B:B),"浪人")))</f>
      </c>
      <c r="F2299" s="4">
        <v>0</v>
      </c>
      <c r="G2299" s="4">
        <v>160</v>
      </c>
      <c r="H2299" s="12" t="str">
        <f t="array" ref="H2299">IF(G2299:G6341="","",_xlfn.XLOOKUP(G2299:G6341,castles_state!A:A,castles_state!D:D,"見つかりません"))</f>
      </c>
      <c r="I2299" s="4"/>
      <c r="J2299" s="12" t="str">
        <f t="array" ref="J2299">IF(I2299:I6341="","",_xlfn.XLOOKUP(I2299:I6341,'参照_姫'!A:A,'参照_姫'!B:B,"見つかりません"))</f>
      </c>
      <c r="K2299" s="4">
        <v>95</v>
      </c>
      <c r="L2299" s="4">
        <v>0</v>
      </c>
      <c r="M2299" s="4"/>
      <c r="N2299" s="4"/>
      <c r="O2299" s="4"/>
      <c r="P2299" s="12" t="str">
        <f t="array" ref="P2299">IF(O2299:O6341="","",_xlfn.XLOOKUP(O2299:O6341,'参照_官位'!A:A,'参照_官位'!B:B,""))</f>
      </c>
      <c r="Q2299" s="12" t="str">
        <f t="array" ref="Q2299">IF(A2299:A6341="","",IFERROR(_xlfn.XLOOKUP(A2299:A6341,castles_state!K:K,castles_state!D:D)&amp;"主",IFERROR(_xlfn.XLOOKUP(A2299:A6341,kunishuClan!D:D,kunishuClan!B:B)&amp;"当主","")))</f>
      </c>
    </row>
    <row r="2300" ht="15.75" customHeight="1">
      <c r="A2300" s="4">
        <v>1059024</v>
      </c>
      <c r="B2300" s="12" t="str">
        <f t="array" ref="B2300">IF(A2300:A6342="","",_xlfn.XLOOKUP(A2300:A6342,'参照_武将'!A:A,'参照_武将'!B:B,"見つかりません"))</f>
      </c>
      <c r="C2300" s="4" t="s">
        <v>284</v>
      </c>
      <c r="D2300" s="4">
        <v>59</v>
      </c>
      <c r="E2300" s="12" t="str">
        <f t="array" ref="E2300">IF(D2300:D6342="","",IFERROR(_xlfn.XLOOKUP(D2300:D6342,'参照_勢力'!A:A,'参照_勢力'!B:B),IFERROR(_xlfn.XLOOKUP(F2300:F6342,kunishuClan!A:A,kunishuClan!B:B),"浪人")))</f>
      </c>
      <c r="F2300" s="4">
        <v>0</v>
      </c>
      <c r="G2300" s="4">
        <v>160</v>
      </c>
      <c r="H2300" s="12" t="str">
        <f t="array" ref="H2300">IF(G2300:G6342="","",_xlfn.XLOOKUP(G2300:G6342,castles_state!A:A,castles_state!D:D,"見つかりません"))</f>
      </c>
      <c r="I2300" s="4"/>
      <c r="J2300" s="12" t="str">
        <f t="array" ref="J2300">IF(I2300:I6342="","",_xlfn.XLOOKUP(I2300:I6342,'参照_姫'!A:A,'参照_姫'!B:B,"見つかりません"))</f>
      </c>
      <c r="K2300" s="4">
        <v>95</v>
      </c>
      <c r="L2300" s="4">
        <v>0</v>
      </c>
      <c r="M2300" s="4"/>
      <c r="N2300" s="4"/>
      <c r="O2300" s="4"/>
      <c r="P2300" s="12" t="str">
        <f t="array" ref="P2300">IF(O2300:O6342="","",_xlfn.XLOOKUP(O2300:O6342,'参照_官位'!A:A,'参照_官位'!B:B,""))</f>
      </c>
      <c r="Q2300" s="12" t="str">
        <f t="array" ref="Q2300">IF(A2300:A6342="","",IFERROR(_xlfn.XLOOKUP(A2300:A6342,castles_state!K:K,castles_state!D:D)&amp;"主",IFERROR(_xlfn.XLOOKUP(A2300:A6342,kunishuClan!D:D,kunishuClan!B:B)&amp;"当主","")))</f>
      </c>
    </row>
    <row r="2301" ht="15.75" customHeight="1">
      <c r="A2301" s="4">
        <v>1059025</v>
      </c>
      <c r="B2301" s="12" t="str">
        <f t="array" ref="B2301">IF(A2301:A6343="","",_xlfn.XLOOKUP(A2301:A6343,'参照_武将'!A:A,'参照_武将'!B:B,"見つかりません"))</f>
      </c>
      <c r="C2301" s="4" t="s">
        <v>284</v>
      </c>
      <c r="D2301" s="4">
        <v>59</v>
      </c>
      <c r="E2301" s="12" t="str">
        <f t="array" ref="E2301">IF(D2301:D6343="","",IFERROR(_xlfn.XLOOKUP(D2301:D6343,'参照_勢力'!A:A,'参照_勢力'!B:B),IFERROR(_xlfn.XLOOKUP(F2301:F6343,kunishuClan!A:A,kunishuClan!B:B),"浪人")))</f>
      </c>
      <c r="F2301" s="4">
        <v>0</v>
      </c>
      <c r="G2301" s="4">
        <v>160</v>
      </c>
      <c r="H2301" s="12" t="str">
        <f t="array" ref="H2301">IF(G2301:G6343="","",_xlfn.XLOOKUP(G2301:G6343,castles_state!A:A,castles_state!D:D,"見つかりません"))</f>
      </c>
      <c r="I2301" s="4"/>
      <c r="J2301" s="12" t="str">
        <f t="array" ref="J2301">IF(I2301:I6343="","",_xlfn.XLOOKUP(I2301:I6343,'参照_姫'!A:A,'参照_姫'!B:B,"見つかりません"))</f>
      </c>
      <c r="K2301" s="4">
        <v>95</v>
      </c>
      <c r="L2301" s="4">
        <v>300</v>
      </c>
      <c r="M2301" s="4"/>
      <c r="N2301" s="4"/>
      <c r="O2301" s="4"/>
      <c r="P2301" s="12" t="str">
        <f t="array" ref="P2301">IF(O2301:O6343="","",_xlfn.XLOOKUP(O2301:O6343,'参照_官位'!A:A,'参照_官位'!B:B,""))</f>
      </c>
      <c r="Q2301" s="12" t="str">
        <f t="array" ref="Q2301">IF(A2301:A6343="","",IFERROR(_xlfn.XLOOKUP(A2301:A6343,castles_state!K:K,castles_state!D:D)&amp;"主",IFERROR(_xlfn.XLOOKUP(A2301:A6343,kunishuClan!D:D,kunishuClan!B:B)&amp;"当主","")))</f>
      </c>
    </row>
    <row r="2302" ht="15.75" customHeight="1">
      <c r="A2302" s="4">
        <v>1059026</v>
      </c>
      <c r="B2302" s="12" t="str">
        <f t="array" ref="B2302">IF(A2302:A6344="","",_xlfn.XLOOKUP(A2302:A6344,'参照_武将'!A:A,'参照_武将'!B:B,"見つかりません"))</f>
      </c>
      <c r="C2302" s="4" t="s">
        <v>284</v>
      </c>
      <c r="D2302" s="4">
        <v>59</v>
      </c>
      <c r="E2302" s="12" t="str">
        <f t="array" ref="E2302">IF(D2302:D6344="","",IFERROR(_xlfn.XLOOKUP(D2302:D6344,'参照_勢力'!A:A,'参照_勢力'!B:B),IFERROR(_xlfn.XLOOKUP(F2302:F6344,kunishuClan!A:A,kunishuClan!B:B),"浪人")))</f>
      </c>
      <c r="F2302" s="4">
        <v>0</v>
      </c>
      <c r="G2302" s="4">
        <v>160</v>
      </c>
      <c r="H2302" s="12" t="str">
        <f t="array" ref="H2302">IF(G2302:G6344="","",_xlfn.XLOOKUP(G2302:G6344,castles_state!A:A,castles_state!D:D,"見つかりません"))</f>
      </c>
      <c r="I2302" s="4"/>
      <c r="J2302" s="12" t="str">
        <f t="array" ref="J2302">IF(I2302:I6344="","",_xlfn.XLOOKUP(I2302:I6344,'参照_姫'!A:A,'参照_姫'!B:B,"見つかりません"))</f>
      </c>
      <c r="K2302" s="4">
        <v>95</v>
      </c>
      <c r="L2302" s="4">
        <v>100</v>
      </c>
      <c r="M2302" s="4"/>
      <c r="N2302" s="4"/>
      <c r="O2302" s="4"/>
      <c r="P2302" s="12" t="str">
        <f t="array" ref="P2302">IF(O2302:O6344="","",_xlfn.XLOOKUP(O2302:O6344,'参照_官位'!A:A,'参照_官位'!B:B,""))</f>
      </c>
      <c r="Q2302" s="12" t="str">
        <f t="array" ref="Q2302">IF(A2302:A6344="","",IFERROR(_xlfn.XLOOKUP(A2302:A6344,castles_state!K:K,castles_state!D:D)&amp;"主",IFERROR(_xlfn.XLOOKUP(A2302:A6344,kunishuClan!D:D,kunishuClan!B:B)&amp;"当主","")))</f>
      </c>
    </row>
    <row r="2303" ht="15.75" customHeight="1">
      <c r="A2303" s="4">
        <v>1059027</v>
      </c>
      <c r="B2303" s="12" t="str">
        <f t="array" ref="B2303">IF(A2303:A6345="","",_xlfn.XLOOKUP(A2303:A6345,'参照_武将'!A:A,'参照_武将'!B:B,"見つかりません"))</f>
      </c>
      <c r="C2303" s="4" t="s">
        <v>284</v>
      </c>
      <c r="D2303" s="4">
        <v>59</v>
      </c>
      <c r="E2303" s="12" t="str">
        <f t="array" ref="E2303">IF(D2303:D6345="","",IFERROR(_xlfn.XLOOKUP(D2303:D6345,'参照_勢力'!A:A,'参照_勢力'!B:B),IFERROR(_xlfn.XLOOKUP(F2303:F6345,kunishuClan!A:A,kunishuClan!B:B),"浪人")))</f>
      </c>
      <c r="F2303" s="4">
        <v>0</v>
      </c>
      <c r="G2303" s="4">
        <v>160</v>
      </c>
      <c r="H2303" s="12" t="str">
        <f t="array" ref="H2303">IF(G2303:G6345="","",_xlfn.XLOOKUP(G2303:G6345,castles_state!A:A,castles_state!D:D,"見つかりません"))</f>
      </c>
      <c r="I2303" s="4"/>
      <c r="J2303" s="12" t="str">
        <f t="array" ref="J2303">IF(I2303:I6345="","",_xlfn.XLOOKUP(I2303:I6345,'参照_姫'!A:A,'参照_姫'!B:B,"見つかりません"))</f>
      </c>
      <c r="K2303" s="4">
        <v>95</v>
      </c>
      <c r="L2303" s="4">
        <v>0</v>
      </c>
      <c r="M2303" s="4"/>
      <c r="N2303" s="4"/>
      <c r="O2303" s="4"/>
      <c r="P2303" s="12" t="str">
        <f t="array" ref="P2303">IF(O2303:O6345="","",_xlfn.XLOOKUP(O2303:O6345,'参照_官位'!A:A,'参照_官位'!B:B,""))</f>
      </c>
      <c r="Q2303" s="12" t="str">
        <f t="array" ref="Q2303">IF(A2303:A6345="","",IFERROR(_xlfn.XLOOKUP(A2303:A6345,castles_state!K:K,castles_state!D:D)&amp;"主",IFERROR(_xlfn.XLOOKUP(A2303:A6345,kunishuClan!D:D,kunishuClan!B:B)&amp;"当主","")))</f>
      </c>
    </row>
    <row r="2304" ht="15.75" customHeight="1">
      <c r="A2304" s="4">
        <v>1059028</v>
      </c>
      <c r="B2304" s="12" t="str">
        <f t="array" ref="B2304">IF(A2304:A6346="","",_xlfn.XLOOKUP(A2304:A6346,'参照_武将'!A:A,'参照_武将'!B:B,"見つかりません"))</f>
      </c>
      <c r="C2304" s="4" t="s">
        <v>284</v>
      </c>
      <c r="D2304" s="4">
        <v>59</v>
      </c>
      <c r="E2304" s="12" t="str">
        <f t="array" ref="E2304">IF(D2304:D6346="","",IFERROR(_xlfn.XLOOKUP(D2304:D6346,'参照_勢力'!A:A,'参照_勢力'!B:B),IFERROR(_xlfn.XLOOKUP(F2304:F6346,kunishuClan!A:A,kunishuClan!B:B),"浪人")))</f>
      </c>
      <c r="F2304" s="4">
        <v>0</v>
      </c>
      <c r="G2304" s="4">
        <v>161</v>
      </c>
      <c r="H2304" s="12" t="str">
        <f t="array" ref="H2304">IF(G2304:G6346="","",_xlfn.XLOOKUP(G2304:G6346,castles_state!A:A,castles_state!D:D,"見つかりません"))</f>
      </c>
      <c r="I2304" s="4"/>
      <c r="J2304" s="12" t="str">
        <f t="array" ref="J2304">IF(I2304:I6346="","",_xlfn.XLOOKUP(I2304:I6346,'参照_姫'!A:A,'参照_姫'!B:B,"見つかりません"))</f>
      </c>
      <c r="K2304" s="4">
        <v>80</v>
      </c>
      <c r="L2304" s="4">
        <v>0</v>
      </c>
      <c r="M2304" s="4"/>
      <c r="N2304" s="4"/>
      <c r="O2304" s="4"/>
      <c r="P2304" s="12" t="str">
        <f t="array" ref="P2304">IF(O2304:O6346="","",_xlfn.XLOOKUP(O2304:O6346,'参照_官位'!A:A,'参照_官位'!B:B,""))</f>
      </c>
      <c r="Q2304" s="12" t="str">
        <f t="array" ref="Q2304">IF(A2304:A6346="","",IFERROR(_xlfn.XLOOKUP(A2304:A6346,castles_state!K:K,castles_state!D:D)&amp;"主",IFERROR(_xlfn.XLOOKUP(A2304:A6346,kunishuClan!D:D,kunishuClan!B:B)&amp;"当主","")))</f>
      </c>
    </row>
    <row r="2305" ht="15.75" customHeight="1">
      <c r="A2305" s="4">
        <v>1059029</v>
      </c>
      <c r="B2305" s="12" t="str">
        <f t="array" ref="B2305">IF(A2305:A6347="","",_xlfn.XLOOKUP(A2305:A6347,'参照_武将'!A:A,'参照_武将'!B:B,"見つかりません"))</f>
      </c>
      <c r="C2305" s="4" t="s">
        <v>284</v>
      </c>
      <c r="D2305" s="4">
        <v>59</v>
      </c>
      <c r="E2305" s="12" t="str">
        <f t="array" ref="E2305">IF(D2305:D6347="","",IFERROR(_xlfn.XLOOKUP(D2305:D6347,'参照_勢力'!A:A,'参照_勢力'!B:B),IFERROR(_xlfn.XLOOKUP(F2305:F6347,kunishuClan!A:A,kunishuClan!B:B),"浪人")))</f>
      </c>
      <c r="F2305" s="4">
        <v>0</v>
      </c>
      <c r="G2305" s="4">
        <v>160</v>
      </c>
      <c r="H2305" s="12" t="str">
        <f t="array" ref="H2305">IF(G2305:G6347="","",_xlfn.XLOOKUP(G2305:G6347,castles_state!A:A,castles_state!D:D,"見つかりません"))</f>
      </c>
      <c r="I2305" s="4"/>
      <c r="J2305" s="12" t="str">
        <f t="array" ref="J2305">IF(I2305:I6347="","",_xlfn.XLOOKUP(I2305:I6347,'参照_姫'!A:A,'参照_姫'!B:B,"見つかりません"))</f>
      </c>
      <c r="K2305" s="4">
        <v>90</v>
      </c>
      <c r="L2305" s="4">
        <v>0</v>
      </c>
      <c r="M2305" s="4"/>
      <c r="N2305" s="4"/>
      <c r="O2305" s="4"/>
      <c r="P2305" s="12" t="str">
        <f t="array" ref="P2305">IF(O2305:O6347="","",_xlfn.XLOOKUP(O2305:O6347,'参照_官位'!A:A,'参照_官位'!B:B,""))</f>
      </c>
      <c r="Q2305" s="12" t="str">
        <f t="array" ref="Q2305">IF(A2305:A6347="","",IFERROR(_xlfn.XLOOKUP(A2305:A6347,castles_state!K:K,castles_state!D:D)&amp;"主",IFERROR(_xlfn.XLOOKUP(A2305:A6347,kunishuClan!D:D,kunishuClan!B:B)&amp;"当主","")))</f>
      </c>
    </row>
    <row r="2306" ht="15.75" customHeight="1">
      <c r="A2306" s="4">
        <v>1059030</v>
      </c>
      <c r="B2306" s="12" t="str">
        <f t="array" ref="B2306">IF(A2306:A6348="","",_xlfn.XLOOKUP(A2306:A6348,'参照_武将'!A:A,'参照_武将'!B:B,"見つかりません"))</f>
      </c>
      <c r="C2306" s="4" t="s">
        <v>284</v>
      </c>
      <c r="D2306" s="4">
        <v>59</v>
      </c>
      <c r="E2306" s="12" t="str">
        <f t="array" ref="E2306">IF(D2306:D6348="","",IFERROR(_xlfn.XLOOKUP(D2306:D6348,'参照_勢力'!A:A,'参照_勢力'!B:B),IFERROR(_xlfn.XLOOKUP(F2306:F6348,kunishuClan!A:A,kunishuClan!B:B),"浪人")))</f>
      </c>
      <c r="F2306" s="4">
        <v>0</v>
      </c>
      <c r="G2306" s="4">
        <v>160</v>
      </c>
      <c r="H2306" s="12" t="str">
        <f t="array" ref="H2306">IF(G2306:G6348="","",_xlfn.XLOOKUP(G2306:G6348,castles_state!A:A,castles_state!D:D,"見つかりません"))</f>
      </c>
      <c r="I2306" s="4"/>
      <c r="J2306" s="12" t="str">
        <f t="array" ref="J2306">IF(I2306:I6348="","",_xlfn.XLOOKUP(I2306:I6348,'参照_姫'!A:A,'参照_姫'!B:B,"見つかりません"))</f>
      </c>
      <c r="K2306" s="4">
        <v>95</v>
      </c>
      <c r="L2306" s="4">
        <v>0</v>
      </c>
      <c r="M2306" s="4"/>
      <c r="N2306" s="4"/>
      <c r="O2306" s="4"/>
      <c r="P2306" s="12" t="str">
        <f t="array" ref="P2306">IF(O2306:O6348="","",_xlfn.XLOOKUP(O2306:O6348,'参照_官位'!A:A,'参照_官位'!B:B,""))</f>
      </c>
      <c r="Q2306" s="12" t="str">
        <f t="array" ref="Q2306">IF(A2306:A6348="","",IFERROR(_xlfn.XLOOKUP(A2306:A6348,castles_state!K:K,castles_state!D:D)&amp;"主",IFERROR(_xlfn.XLOOKUP(A2306:A6348,kunishuClan!D:D,kunishuClan!B:B)&amp;"当主","")))</f>
      </c>
    </row>
    <row r="2307" ht="15.75" customHeight="1">
      <c r="A2307" s="4">
        <v>1059031</v>
      </c>
      <c r="B2307" s="12" t="str">
        <f t="array" ref="B2307">IF(A2307:A6349="","",_xlfn.XLOOKUP(A2307:A6349,'参照_武将'!A:A,'参照_武将'!B:B,"見つかりません"))</f>
      </c>
      <c r="C2307" s="4" t="s">
        <v>284</v>
      </c>
      <c r="D2307" s="4">
        <v>59</v>
      </c>
      <c r="E2307" s="12" t="str">
        <f t="array" ref="E2307">IF(D2307:D6349="","",IFERROR(_xlfn.XLOOKUP(D2307:D6349,'参照_勢力'!A:A,'参照_勢力'!B:B),IFERROR(_xlfn.XLOOKUP(F2307:F6349,kunishuClan!A:A,kunishuClan!B:B),"浪人")))</f>
      </c>
      <c r="F2307" s="4">
        <v>0</v>
      </c>
      <c r="G2307" s="4">
        <v>160</v>
      </c>
      <c r="H2307" s="12" t="str">
        <f t="array" ref="H2307">IF(G2307:G6349="","",_xlfn.XLOOKUP(G2307:G6349,castles_state!A:A,castles_state!D:D,"見つかりません"))</f>
      </c>
      <c r="I2307" s="4"/>
      <c r="J2307" s="12" t="str">
        <f t="array" ref="J2307">IF(I2307:I6349="","",_xlfn.XLOOKUP(I2307:I6349,'参照_姫'!A:A,'参照_姫'!B:B,"見つかりません"))</f>
      </c>
      <c r="K2307" s="4">
        <v>90</v>
      </c>
      <c r="L2307" s="4">
        <v>300</v>
      </c>
      <c r="M2307" s="4" t="b">
        <v>1</v>
      </c>
      <c r="N2307" s="4"/>
      <c r="O2307" s="4"/>
      <c r="P2307" s="12" t="str">
        <f t="array" ref="P2307">IF(O2307:O6349="","",_xlfn.XLOOKUP(O2307:O6349,'参照_官位'!A:A,'参照_官位'!B:B,""))</f>
      </c>
      <c r="Q2307" s="12" t="str">
        <f t="array" ref="Q2307">IF(A2307:A6349="","",IFERROR(_xlfn.XLOOKUP(A2307:A6349,castles_state!K:K,castles_state!D:D)&amp;"主",IFERROR(_xlfn.XLOOKUP(A2307:A6349,kunishuClan!D:D,kunishuClan!B:B)&amp;"当主","")))</f>
      </c>
    </row>
    <row r="2308" ht="15.75" customHeight="1">
      <c r="A2308" s="4">
        <v>1059032</v>
      </c>
      <c r="B2308" s="12" t="str">
        <f t="array" ref="B2308">IF(A2308:A6350="","",_xlfn.XLOOKUP(A2308:A6350,'参照_武将'!A:A,'参照_武将'!B:B,"見つかりません"))</f>
      </c>
      <c r="C2308" s="4" t="s">
        <v>284</v>
      </c>
      <c r="D2308" s="4">
        <v>59</v>
      </c>
      <c r="E2308" s="12" t="str">
        <f t="array" ref="E2308">IF(D2308:D6350="","",IFERROR(_xlfn.XLOOKUP(D2308:D6350,'参照_勢力'!A:A,'参照_勢力'!B:B),IFERROR(_xlfn.XLOOKUP(F2308:F6350,kunishuClan!A:A,kunishuClan!B:B),"浪人")))</f>
      </c>
      <c r="F2308" s="4">
        <v>0</v>
      </c>
      <c r="G2308" s="4">
        <v>160</v>
      </c>
      <c r="H2308" s="12" t="str">
        <f t="array" ref="H2308">IF(G2308:G6350="","",_xlfn.XLOOKUP(G2308:G6350,castles_state!A:A,castles_state!D:D,"見つかりません"))</f>
      </c>
      <c r="I2308" s="4"/>
      <c r="J2308" s="12" t="str">
        <f t="array" ref="J2308">IF(I2308:I6350="","",_xlfn.XLOOKUP(I2308:I6350,'参照_姫'!A:A,'参照_姫'!B:B,"見つかりません"))</f>
      </c>
      <c r="K2308" s="4">
        <v>90</v>
      </c>
      <c r="L2308" s="4">
        <v>100</v>
      </c>
      <c r="M2308" s="4"/>
      <c r="N2308" s="4"/>
      <c r="O2308" s="4"/>
      <c r="P2308" s="12" t="str">
        <f t="array" ref="P2308">IF(O2308:O6350="","",_xlfn.XLOOKUP(O2308:O6350,'参照_官位'!A:A,'参照_官位'!B:B,""))</f>
      </c>
      <c r="Q2308" s="12" t="str">
        <f t="array" ref="Q2308">IF(A2308:A6350="","",IFERROR(_xlfn.XLOOKUP(A2308:A6350,castles_state!K:K,castles_state!D:D)&amp;"主",IFERROR(_xlfn.XLOOKUP(A2308:A6350,kunishuClan!D:D,kunishuClan!B:B)&amp;"当主","")))</f>
      </c>
    </row>
    <row r="2309" ht="15.75" customHeight="1">
      <c r="A2309" s="4">
        <v>1059033</v>
      </c>
      <c r="B2309" s="12" t="str">
        <f t="array" ref="B2309">IF(A2309:A6351="","",_xlfn.XLOOKUP(A2309:A6351,'参照_武将'!A:A,'参照_武将'!B:B,"見つかりません"))</f>
      </c>
      <c r="C2309" s="4" t="s">
        <v>284</v>
      </c>
      <c r="D2309" s="4">
        <v>59</v>
      </c>
      <c r="E2309" s="12" t="str">
        <f t="array" ref="E2309">IF(D2309:D6351="","",IFERROR(_xlfn.XLOOKUP(D2309:D6351,'参照_勢力'!A:A,'参照_勢力'!B:B),IFERROR(_xlfn.XLOOKUP(F2309:F6351,kunishuClan!A:A,kunishuClan!B:B),"浪人")))</f>
      </c>
      <c r="F2309" s="4">
        <v>0</v>
      </c>
      <c r="G2309" s="4">
        <v>160</v>
      </c>
      <c r="H2309" s="12" t="str">
        <f t="array" ref="H2309">IF(G2309:G6351="","",_xlfn.XLOOKUP(G2309:G6351,castles_state!A:A,castles_state!D:D,"見つかりません"))</f>
      </c>
      <c r="I2309" s="4"/>
      <c r="J2309" s="12" t="str">
        <f t="array" ref="J2309">IF(I2309:I6351="","",_xlfn.XLOOKUP(I2309:I6351,'参照_姫'!A:A,'参照_姫'!B:B,"見つかりません"))</f>
      </c>
      <c r="K2309" s="4">
        <v>95</v>
      </c>
      <c r="L2309" s="4">
        <v>0</v>
      </c>
      <c r="M2309" s="4"/>
      <c r="N2309" s="4"/>
      <c r="O2309" s="4"/>
      <c r="P2309" s="12" t="str">
        <f t="array" ref="P2309">IF(O2309:O6351="","",_xlfn.XLOOKUP(O2309:O6351,'参照_官位'!A:A,'参照_官位'!B:B,""))</f>
      </c>
      <c r="Q2309" s="12" t="str">
        <f t="array" ref="Q2309">IF(A2309:A6351="","",IFERROR(_xlfn.XLOOKUP(A2309:A6351,castles_state!K:K,castles_state!D:D)&amp;"主",IFERROR(_xlfn.XLOOKUP(A2309:A6351,kunishuClan!D:D,kunishuClan!B:B)&amp;"当主","")))</f>
      </c>
    </row>
    <row r="2310" ht="15.75" customHeight="1">
      <c r="A2310" s="4">
        <v>1059034</v>
      </c>
      <c r="B2310" s="12" t="str">
        <f t="array" ref="B2310">IF(A2310:A6352="","",_xlfn.XLOOKUP(A2310:A6352,'参照_武将'!A:A,'参照_武将'!B:B,"見つかりません"))</f>
      </c>
      <c r="C2310" s="4" t="s">
        <v>294</v>
      </c>
      <c r="D2310" s="4">
        <v>60</v>
      </c>
      <c r="E2310" s="12" t="str">
        <f t="array" ref="E2310">IF(D2310:D6352="","",IFERROR(_xlfn.XLOOKUP(D2310:D6352,'参照_勢力'!A:A,'参照_勢力'!B:B),IFERROR(_xlfn.XLOOKUP(F2310:F6352,kunishuClan!A:A,kunishuClan!B:B),"浪人")))</f>
      </c>
      <c r="F2310" s="4">
        <v>0</v>
      </c>
      <c r="G2310" s="4">
        <v>164</v>
      </c>
      <c r="H2310" s="12" t="str">
        <f t="array" ref="H2310">IF(G2310:G6352="","",_xlfn.XLOOKUP(G2310:G6352,castles_state!A:A,castles_state!D:D,"見つかりません"))</f>
      </c>
      <c r="I2310" s="4"/>
      <c r="J2310" s="12" t="str">
        <f t="array" ref="J2310">IF(I2310:I6352="","",_xlfn.XLOOKUP(I2310:I6352,'参照_姫'!A:A,'参照_姫'!B:B,"見つかりません"))</f>
      </c>
      <c r="K2310" s="4">
        <v>95</v>
      </c>
      <c r="L2310" s="4">
        <v>0</v>
      </c>
      <c r="M2310" s="4"/>
      <c r="N2310" s="4"/>
      <c r="O2310" s="4"/>
      <c r="P2310" s="12" t="str">
        <f t="array" ref="P2310">IF(O2310:O6352="","",_xlfn.XLOOKUP(O2310:O6352,'参照_官位'!A:A,'参照_官位'!B:B,""))</f>
      </c>
      <c r="Q2310" s="12" t="str">
        <f t="array" ref="Q2310">IF(A2310:A6352="","",IFERROR(_xlfn.XLOOKUP(A2310:A6352,castles_state!K:K,castles_state!D:D)&amp;"主",IFERROR(_xlfn.XLOOKUP(A2310:A6352,kunishuClan!D:D,kunishuClan!B:B)&amp;"当主","")))</f>
      </c>
    </row>
    <row r="2311" ht="15.75" customHeight="1">
      <c r="A2311" s="4">
        <v>1060001</v>
      </c>
      <c r="B2311" s="12" t="str">
        <f t="array" ref="B2311">IF(A2311:A6353="","",_xlfn.XLOOKUP(A2311:A6353,'参照_武将'!A:A,'参照_武将'!B:B,"見つかりません"))</f>
      </c>
      <c r="C2311" s="4" t="s">
        <v>294</v>
      </c>
      <c r="D2311" s="4">
        <v>60</v>
      </c>
      <c r="E2311" s="12" t="str">
        <f t="array" ref="E2311">IF(D2311:D6353="","",IFERROR(_xlfn.XLOOKUP(D2311:D6353,'参照_勢力'!A:A,'参照_勢力'!B:B),IFERROR(_xlfn.XLOOKUP(F2311:F6353,kunishuClan!A:A,kunishuClan!B:B),"浪人")))</f>
      </c>
      <c r="F2311" s="4">
        <v>0</v>
      </c>
      <c r="G2311" s="4">
        <v>164</v>
      </c>
      <c r="H2311" s="12" t="str">
        <f t="array" ref="H2311">IF(G2311:G6353="","",_xlfn.XLOOKUP(G2311:G6353,castles_state!A:A,castles_state!D:D,"見つかりません"))</f>
      </c>
      <c r="I2311" s="4"/>
      <c r="J2311" s="12" t="str">
        <f t="array" ref="J2311">IF(I2311:I6353="","",_xlfn.XLOOKUP(I2311:I6353,'参照_姫'!A:A,'参照_姫'!B:B,"見つかりません"))</f>
      </c>
      <c r="K2311" s="4">
        <v>95</v>
      </c>
      <c r="L2311" s="4">
        <v>0</v>
      </c>
      <c r="M2311" s="4"/>
      <c r="N2311" s="4"/>
      <c r="O2311" s="4"/>
      <c r="P2311" s="12" t="str">
        <f t="array" ref="P2311">IF(O2311:O6353="","",_xlfn.XLOOKUP(O2311:O6353,'参照_官位'!A:A,'参照_官位'!B:B,""))</f>
      </c>
      <c r="Q2311" s="12" t="str">
        <f t="array" ref="Q2311">IF(A2311:A6353="","",IFERROR(_xlfn.XLOOKUP(A2311:A6353,castles_state!K:K,castles_state!D:D)&amp;"主",IFERROR(_xlfn.XLOOKUP(A2311:A6353,kunishuClan!D:D,kunishuClan!B:B)&amp;"当主","")))</f>
      </c>
    </row>
    <row r="2312" ht="15.75" customHeight="1">
      <c r="A2312" s="4">
        <v>1060002</v>
      </c>
      <c r="B2312" s="12" t="str">
        <f t="array" ref="B2312">IF(A2312:A6354="","",_xlfn.XLOOKUP(A2312:A6354,'参照_武将'!A:A,'参照_武将'!B:B,"見つかりません"))</f>
      </c>
      <c r="C2312" s="4" t="s">
        <v>294</v>
      </c>
      <c r="D2312" s="4">
        <v>60</v>
      </c>
      <c r="E2312" s="12" t="str">
        <f t="array" ref="E2312">IF(D2312:D6354="","",IFERROR(_xlfn.XLOOKUP(D2312:D6354,'参照_勢力'!A:A,'参照_勢力'!B:B),IFERROR(_xlfn.XLOOKUP(F2312:F6354,kunishuClan!A:A,kunishuClan!B:B),"浪人")))</f>
      </c>
      <c r="F2312" s="4">
        <v>0</v>
      </c>
      <c r="G2312" s="4">
        <v>164</v>
      </c>
      <c r="H2312" s="12" t="str">
        <f t="array" ref="H2312">IF(G2312:G6354="","",_xlfn.XLOOKUP(G2312:G6354,castles_state!A:A,castles_state!D:D,"見つかりません"))</f>
      </c>
      <c r="I2312" s="4"/>
      <c r="J2312" s="12" t="str">
        <f t="array" ref="J2312">IF(I2312:I6354="","",_xlfn.XLOOKUP(I2312:I6354,'参照_姫'!A:A,'参照_姫'!B:B,"見つかりません"))</f>
      </c>
      <c r="K2312" s="4">
        <v>95</v>
      </c>
      <c r="L2312" s="4">
        <v>0</v>
      </c>
      <c r="M2312" s="4"/>
      <c r="N2312" s="4"/>
      <c r="O2312" s="4"/>
      <c r="P2312" s="12" t="str">
        <f t="array" ref="P2312">IF(O2312:O6354="","",_xlfn.XLOOKUP(O2312:O6354,'参照_官位'!A:A,'参照_官位'!B:B,""))</f>
      </c>
      <c r="Q2312" s="12" t="str">
        <f t="array" ref="Q2312">IF(A2312:A6354="","",IFERROR(_xlfn.XLOOKUP(A2312:A6354,castles_state!K:K,castles_state!D:D)&amp;"主",IFERROR(_xlfn.XLOOKUP(A2312:A6354,kunishuClan!D:D,kunishuClan!B:B)&amp;"当主","")))</f>
      </c>
    </row>
    <row r="2313" ht="15.75" customHeight="1">
      <c r="A2313" s="4">
        <v>1060003</v>
      </c>
      <c r="B2313" s="12" t="str">
        <f t="array" ref="B2313">IF(A2313:A6355="","",_xlfn.XLOOKUP(A2313:A6355,'参照_武将'!A:A,'参照_武将'!B:B,"見つかりません"))</f>
      </c>
      <c r="C2313" s="4" t="s">
        <v>294</v>
      </c>
      <c r="D2313" s="4">
        <v>60</v>
      </c>
      <c r="E2313" s="12" t="str">
        <f t="array" ref="E2313">IF(D2313:D6355="","",IFERROR(_xlfn.XLOOKUP(D2313:D6355,'参照_勢力'!A:A,'参照_勢力'!B:B),IFERROR(_xlfn.XLOOKUP(F2313:F6355,kunishuClan!A:A,kunishuClan!B:B),"浪人")))</f>
      </c>
      <c r="F2313" s="4">
        <v>0</v>
      </c>
      <c r="G2313" s="4">
        <v>164</v>
      </c>
      <c r="H2313" s="12" t="str">
        <f t="array" ref="H2313">IF(G2313:G6355="","",_xlfn.XLOOKUP(G2313:G6355,castles_state!A:A,castles_state!D:D,"見つかりません"))</f>
      </c>
      <c r="I2313" s="4"/>
      <c r="J2313" s="12" t="str">
        <f t="array" ref="J2313">IF(I2313:I6355="","",_xlfn.XLOOKUP(I2313:I6355,'参照_姫'!A:A,'参照_姫'!B:B,"見つかりません"))</f>
      </c>
      <c r="K2313" s="4">
        <v>100</v>
      </c>
      <c r="L2313" s="4">
        <v>1500</v>
      </c>
      <c r="M2313" s="4"/>
      <c r="N2313" s="4"/>
      <c r="O2313" s="4">
        <v>66</v>
      </c>
      <c r="P2313" s="12" t="str">
        <f t="array" ref="P2313">IF(O2313:O6355="","",_xlfn.XLOOKUP(O2313:O6355,'参照_官位'!A:A,'参照_官位'!B:B,""))</f>
      </c>
      <c r="Q2313" s="12" t="str">
        <f t="array" ref="Q2313">IF(A2313:A6355="","",IFERROR(_xlfn.XLOOKUP(A2313:A6355,castles_state!K:K,castles_state!D:D)&amp;"主",IFERROR(_xlfn.XLOOKUP(A2313:A6355,kunishuClan!D:D,kunishuClan!B:B)&amp;"当主","")))</f>
      </c>
    </row>
    <row r="2314" ht="15.75" customHeight="1">
      <c r="A2314" s="4">
        <v>1060004</v>
      </c>
      <c r="B2314" s="12" t="str">
        <f t="array" ref="B2314">IF(A2314:A6356="","",_xlfn.XLOOKUP(A2314:A6356,'参照_武将'!A:A,'参照_武将'!B:B,"見つかりません"))</f>
      </c>
      <c r="C2314" s="4" t="s">
        <v>294</v>
      </c>
      <c r="D2314" s="4">
        <v>60</v>
      </c>
      <c r="E2314" s="12" t="str">
        <f t="array" ref="E2314">IF(D2314:D6356="","",IFERROR(_xlfn.XLOOKUP(D2314:D6356,'参照_勢力'!A:A,'参照_勢力'!B:B),IFERROR(_xlfn.XLOOKUP(F2314:F6356,kunishuClan!A:A,kunishuClan!B:B),"浪人")))</f>
      </c>
      <c r="F2314" s="4">
        <v>0</v>
      </c>
      <c r="G2314" s="4">
        <v>164</v>
      </c>
      <c r="H2314" s="12" t="str">
        <f t="array" ref="H2314">IF(G2314:G6356="","",_xlfn.XLOOKUP(G2314:G6356,castles_state!A:A,castles_state!D:D,"見つかりません"))</f>
      </c>
      <c r="I2314" s="4"/>
      <c r="J2314" s="12" t="str">
        <f t="array" ref="J2314">IF(I2314:I6356="","",_xlfn.XLOOKUP(I2314:I6356,'参照_姫'!A:A,'参照_姫'!B:B,"見つかりません"))</f>
      </c>
      <c r="K2314" s="4">
        <v>90</v>
      </c>
      <c r="L2314" s="4">
        <v>500</v>
      </c>
      <c r="M2314" s="4" t="b">
        <v>1</v>
      </c>
      <c r="N2314" s="4"/>
      <c r="O2314" s="4"/>
      <c r="P2314" s="12" t="str">
        <f t="array" ref="P2314">IF(O2314:O6356="","",_xlfn.XLOOKUP(O2314:O6356,'参照_官位'!A:A,'参照_官位'!B:B,""))</f>
      </c>
      <c r="Q2314" s="12" t="str">
        <f t="array" ref="Q2314">IF(A2314:A6356="","",IFERROR(_xlfn.XLOOKUP(A2314:A6356,castles_state!K:K,castles_state!D:D)&amp;"主",IFERROR(_xlfn.XLOOKUP(A2314:A6356,kunishuClan!D:D,kunishuClan!B:B)&amp;"当主","")))</f>
      </c>
    </row>
    <row r="2315" ht="15.75" customHeight="1">
      <c r="A2315" s="4">
        <v>1060005</v>
      </c>
      <c r="B2315" s="12" t="str">
        <f t="array" ref="B2315">IF(A2315:A6357="","",_xlfn.XLOOKUP(A2315:A6357,'参照_武将'!A:A,'参照_武将'!B:B,"見つかりません"))</f>
      </c>
      <c r="C2315" s="4" t="s">
        <v>294</v>
      </c>
      <c r="D2315" s="4">
        <v>60</v>
      </c>
      <c r="E2315" s="12" t="str">
        <f t="array" ref="E2315">IF(D2315:D6357="","",IFERROR(_xlfn.XLOOKUP(D2315:D6357,'参照_勢力'!A:A,'参照_勢力'!B:B),IFERROR(_xlfn.XLOOKUP(F2315:F6357,kunishuClan!A:A,kunishuClan!B:B),"浪人")))</f>
      </c>
      <c r="F2315" s="4">
        <v>0</v>
      </c>
      <c r="G2315" s="4">
        <v>164</v>
      </c>
      <c r="H2315" s="12" t="str">
        <f t="array" ref="H2315">IF(G2315:G6357="","",_xlfn.XLOOKUP(G2315:G6357,castles_state!A:A,castles_state!D:D,"見つかりません"))</f>
      </c>
      <c r="I2315" s="4"/>
      <c r="J2315" s="12" t="str">
        <f t="array" ref="J2315">IF(I2315:I6357="","",_xlfn.XLOOKUP(I2315:I6357,'参照_姫'!A:A,'参照_姫'!B:B,"見つかりません"))</f>
      </c>
      <c r="K2315" s="4">
        <v>95</v>
      </c>
      <c r="L2315" s="4">
        <v>300</v>
      </c>
      <c r="M2315" s="4"/>
      <c r="N2315" s="4"/>
      <c r="O2315" s="4"/>
      <c r="P2315" s="12" t="str">
        <f t="array" ref="P2315">IF(O2315:O6357="","",_xlfn.XLOOKUP(O2315:O6357,'参照_官位'!A:A,'参照_官位'!B:B,""))</f>
      </c>
      <c r="Q2315" s="12" t="str">
        <f t="array" ref="Q2315">IF(A2315:A6357="","",IFERROR(_xlfn.XLOOKUP(A2315:A6357,castles_state!K:K,castles_state!D:D)&amp;"主",IFERROR(_xlfn.XLOOKUP(A2315:A6357,kunishuClan!D:D,kunishuClan!B:B)&amp;"当主","")))</f>
      </c>
    </row>
    <row r="2316" ht="15.75" customHeight="1">
      <c r="A2316" s="4">
        <v>1060006</v>
      </c>
      <c r="B2316" s="12" t="str">
        <f t="array" ref="B2316">IF(A2316:A6358="","",_xlfn.XLOOKUP(A2316:A6358,'参照_武将'!A:A,'参照_武将'!B:B,"見つかりません"))</f>
      </c>
      <c r="C2316" s="4" t="s">
        <v>294</v>
      </c>
      <c r="D2316" s="4">
        <v>60</v>
      </c>
      <c r="E2316" s="12" t="str">
        <f t="array" ref="E2316">IF(D2316:D6358="","",IFERROR(_xlfn.XLOOKUP(D2316:D6358,'参照_勢力'!A:A,'参照_勢力'!B:B),IFERROR(_xlfn.XLOOKUP(F2316:F6358,kunishuClan!A:A,kunishuClan!B:B),"浪人")))</f>
      </c>
      <c r="F2316" s="4">
        <v>0</v>
      </c>
      <c r="G2316" s="4">
        <v>164</v>
      </c>
      <c r="H2316" s="12" t="str">
        <f t="array" ref="H2316">IF(G2316:G6358="","",_xlfn.XLOOKUP(G2316:G6358,castles_state!A:A,castles_state!D:D,"見つかりません"))</f>
      </c>
      <c r="I2316" s="4"/>
      <c r="J2316" s="12" t="str">
        <f t="array" ref="J2316">IF(I2316:I6358="","",_xlfn.XLOOKUP(I2316:I6358,'参照_姫'!A:A,'参照_姫'!B:B,"見つかりません"))</f>
      </c>
      <c r="K2316" s="4">
        <v>95</v>
      </c>
      <c r="L2316" s="4">
        <v>0</v>
      </c>
      <c r="M2316" s="4"/>
      <c r="N2316" s="4"/>
      <c r="O2316" s="4"/>
      <c r="P2316" s="12" t="str">
        <f t="array" ref="P2316">IF(O2316:O6358="","",_xlfn.XLOOKUP(O2316:O6358,'参照_官位'!A:A,'参照_官位'!B:B,""))</f>
      </c>
      <c r="Q2316" s="12" t="str">
        <f t="array" ref="Q2316">IF(A2316:A6358="","",IFERROR(_xlfn.XLOOKUP(A2316:A6358,castles_state!K:K,castles_state!D:D)&amp;"主",IFERROR(_xlfn.XLOOKUP(A2316:A6358,kunishuClan!D:D,kunishuClan!B:B)&amp;"当主","")))</f>
      </c>
    </row>
    <row r="2317" ht="15.75" customHeight="1">
      <c r="A2317" s="4">
        <v>1060007</v>
      </c>
      <c r="B2317" s="12" t="str">
        <f t="array" ref="B2317">IF(A2317:A6359="","",_xlfn.XLOOKUP(A2317:A6359,'参照_武将'!A:A,'参照_武将'!B:B,"見つかりません"))</f>
      </c>
      <c r="C2317" s="4" t="s">
        <v>294</v>
      </c>
      <c r="D2317" s="4">
        <v>60</v>
      </c>
      <c r="E2317" s="12" t="str">
        <f t="array" ref="E2317">IF(D2317:D6359="","",IFERROR(_xlfn.XLOOKUP(D2317:D6359,'参照_勢力'!A:A,'参照_勢力'!B:B),IFERROR(_xlfn.XLOOKUP(F2317:F6359,kunishuClan!A:A,kunishuClan!B:B),"浪人")))</f>
      </c>
      <c r="F2317" s="4">
        <v>0</v>
      </c>
      <c r="G2317" s="4">
        <v>165</v>
      </c>
      <c r="H2317" s="12" t="str">
        <f t="array" ref="H2317">IF(G2317:G6359="","",_xlfn.XLOOKUP(G2317:G6359,castles_state!A:A,castles_state!D:D,"見つかりません"))</f>
      </c>
      <c r="I2317" s="4"/>
      <c r="J2317" s="12" t="str">
        <f t="array" ref="J2317">IF(I2317:I6359="","",_xlfn.XLOOKUP(I2317:I6359,'参照_姫'!A:A,'参照_姫'!B:B,"見つかりません"))</f>
      </c>
      <c r="K2317" s="4">
        <v>95</v>
      </c>
      <c r="L2317" s="4">
        <v>500</v>
      </c>
      <c r="M2317" s="4"/>
      <c r="N2317" s="4"/>
      <c r="O2317" s="4"/>
      <c r="P2317" s="12" t="str">
        <f t="array" ref="P2317">IF(O2317:O6359="","",_xlfn.XLOOKUP(O2317:O6359,'参照_官位'!A:A,'参照_官位'!B:B,""))</f>
      </c>
      <c r="Q2317" s="12" t="str">
        <f t="array" ref="Q2317">IF(A2317:A6359="","",IFERROR(_xlfn.XLOOKUP(A2317:A6359,castles_state!K:K,castles_state!D:D)&amp;"主",IFERROR(_xlfn.XLOOKUP(A2317:A6359,kunishuClan!D:D,kunishuClan!B:B)&amp;"当主","")))</f>
      </c>
    </row>
    <row r="2318" ht="15.75" customHeight="1">
      <c r="A2318" s="4">
        <v>1060008</v>
      </c>
      <c r="B2318" s="12" t="str">
        <f t="array" ref="B2318">IF(A2318:A6360="","",_xlfn.XLOOKUP(A2318:A6360,'参照_武将'!A:A,'参照_武将'!B:B,"見つかりません"))</f>
      </c>
      <c r="C2318" s="4" t="s">
        <v>294</v>
      </c>
      <c r="D2318" s="4">
        <v>60</v>
      </c>
      <c r="E2318" s="12" t="str">
        <f t="array" ref="E2318">IF(D2318:D6360="","",IFERROR(_xlfn.XLOOKUP(D2318:D6360,'参照_勢力'!A:A,'参照_勢力'!B:B),IFERROR(_xlfn.XLOOKUP(F2318:F6360,kunishuClan!A:A,kunishuClan!B:B),"浪人")))</f>
      </c>
      <c r="F2318" s="4">
        <v>0</v>
      </c>
      <c r="G2318" s="4">
        <v>164</v>
      </c>
      <c r="H2318" s="12" t="str">
        <f t="array" ref="H2318">IF(G2318:G6360="","",_xlfn.XLOOKUP(G2318:G6360,castles_state!A:A,castles_state!D:D,"見つかりません"))</f>
      </c>
      <c r="I2318" s="4"/>
      <c r="J2318" s="12" t="str">
        <f t="array" ref="J2318">IF(I2318:I6360="","",_xlfn.XLOOKUP(I2318:I6360,'参照_姫'!A:A,'参照_姫'!B:B,"見つかりません"))</f>
      </c>
      <c r="K2318" s="4">
        <v>95</v>
      </c>
      <c r="L2318" s="4">
        <v>0</v>
      </c>
      <c r="M2318" s="4"/>
      <c r="N2318" s="4"/>
      <c r="O2318" s="4"/>
      <c r="P2318" s="12" t="str">
        <f t="array" ref="P2318">IF(O2318:O6360="","",_xlfn.XLOOKUP(O2318:O6360,'参照_官位'!A:A,'参照_官位'!B:B,""))</f>
      </c>
      <c r="Q2318" s="12" t="str">
        <f t="array" ref="Q2318">IF(A2318:A6360="","",IFERROR(_xlfn.XLOOKUP(A2318:A6360,castles_state!K:K,castles_state!D:D)&amp;"主",IFERROR(_xlfn.XLOOKUP(A2318:A6360,kunishuClan!D:D,kunishuClan!B:B)&amp;"当主","")))</f>
      </c>
    </row>
    <row r="2319" ht="15.75" customHeight="1">
      <c r="A2319" s="4">
        <v>1060009</v>
      </c>
      <c r="B2319" s="12" t="str">
        <f t="array" ref="B2319">IF(A2319:A6361="","",_xlfn.XLOOKUP(A2319:A6361,'参照_武将'!A:A,'参照_武将'!B:B,"見つかりません"))</f>
      </c>
      <c r="C2319" s="4" t="s">
        <v>294</v>
      </c>
      <c r="D2319" s="4">
        <v>60</v>
      </c>
      <c r="E2319" s="12" t="str">
        <f t="array" ref="E2319">IF(D2319:D6361="","",IFERROR(_xlfn.XLOOKUP(D2319:D6361,'参照_勢力'!A:A,'参照_勢力'!B:B),IFERROR(_xlfn.XLOOKUP(F2319:F6361,kunishuClan!A:A,kunishuClan!B:B),"浪人")))</f>
      </c>
      <c r="F2319" s="4">
        <v>0</v>
      </c>
      <c r="G2319" s="4">
        <v>164</v>
      </c>
      <c r="H2319" s="12" t="str">
        <f t="array" ref="H2319">IF(G2319:G6361="","",_xlfn.XLOOKUP(G2319:G6361,castles_state!A:A,castles_state!D:D,"見つかりません"))</f>
      </c>
      <c r="I2319" s="4"/>
      <c r="J2319" s="12" t="str">
        <f t="array" ref="J2319">IF(I2319:I6361="","",_xlfn.XLOOKUP(I2319:I6361,'参照_姫'!A:A,'参照_姫'!B:B,"見つかりません"))</f>
      </c>
      <c r="K2319" s="4">
        <v>95</v>
      </c>
      <c r="L2319" s="4">
        <v>0</v>
      </c>
      <c r="M2319" s="4"/>
      <c r="N2319" s="4"/>
      <c r="O2319" s="4"/>
      <c r="P2319" s="12" t="str">
        <f t="array" ref="P2319">IF(O2319:O6361="","",_xlfn.XLOOKUP(O2319:O6361,'参照_官位'!A:A,'参照_官位'!B:B,""))</f>
      </c>
      <c r="Q2319" s="12" t="str">
        <f t="array" ref="Q2319">IF(A2319:A6361="","",IFERROR(_xlfn.XLOOKUP(A2319:A6361,castles_state!K:K,castles_state!D:D)&amp;"主",IFERROR(_xlfn.XLOOKUP(A2319:A6361,kunishuClan!D:D,kunishuClan!B:B)&amp;"当主","")))</f>
      </c>
    </row>
    <row r="2320" ht="15.75" customHeight="1">
      <c r="A2320" s="4">
        <v>1060010</v>
      </c>
      <c r="B2320" s="12" t="str">
        <f t="array" ref="B2320">IF(A2320:A6362="","",_xlfn.XLOOKUP(A2320:A6362,'参照_武将'!A:A,'参照_武将'!B:B,"見つかりません"))</f>
      </c>
      <c r="C2320" s="4" t="s">
        <v>294</v>
      </c>
      <c r="D2320" s="4">
        <v>60</v>
      </c>
      <c r="E2320" s="12" t="str">
        <f t="array" ref="E2320">IF(D2320:D6362="","",IFERROR(_xlfn.XLOOKUP(D2320:D6362,'参照_勢力'!A:A,'参照_勢力'!B:B),IFERROR(_xlfn.XLOOKUP(F2320:F6362,kunishuClan!A:A,kunishuClan!B:B),"浪人")))</f>
      </c>
      <c r="F2320" s="4">
        <v>0</v>
      </c>
      <c r="G2320" s="4">
        <v>164</v>
      </c>
      <c r="H2320" s="12" t="str">
        <f t="array" ref="H2320">IF(G2320:G6362="","",_xlfn.XLOOKUP(G2320:G6362,castles_state!A:A,castles_state!D:D,"見つかりません"))</f>
      </c>
      <c r="I2320" s="4"/>
      <c r="J2320" s="12" t="str">
        <f t="array" ref="J2320">IF(I2320:I6362="","",_xlfn.XLOOKUP(I2320:I6362,'参照_姫'!A:A,'参照_姫'!B:B,"見つかりません"))</f>
      </c>
      <c r="K2320" s="4">
        <v>95</v>
      </c>
      <c r="L2320" s="4">
        <v>200</v>
      </c>
      <c r="M2320" s="4"/>
      <c r="N2320" s="4"/>
      <c r="O2320" s="4"/>
      <c r="P2320" s="12" t="str">
        <f t="array" ref="P2320">IF(O2320:O6362="","",_xlfn.XLOOKUP(O2320:O6362,'参照_官位'!A:A,'参照_官位'!B:B,""))</f>
      </c>
      <c r="Q2320" s="12" t="str">
        <f t="array" ref="Q2320">IF(A2320:A6362="","",IFERROR(_xlfn.XLOOKUP(A2320:A6362,castles_state!K:K,castles_state!D:D)&amp;"主",IFERROR(_xlfn.XLOOKUP(A2320:A6362,kunishuClan!D:D,kunishuClan!B:B)&amp;"当主","")))</f>
      </c>
    </row>
    <row r="2321" ht="15.75" customHeight="1">
      <c r="A2321" s="4">
        <v>1060011</v>
      </c>
      <c r="B2321" s="12" t="str">
        <f t="array" ref="B2321">IF(A2321:A6363="","",_xlfn.XLOOKUP(A2321:A6363,'参照_武将'!A:A,'参照_武将'!B:B,"見つかりません"))</f>
      </c>
      <c r="C2321" s="4" t="s">
        <v>294</v>
      </c>
      <c r="D2321" s="4">
        <v>60</v>
      </c>
      <c r="E2321" s="12" t="str">
        <f t="array" ref="E2321">IF(D2321:D6363="","",IFERROR(_xlfn.XLOOKUP(D2321:D6363,'参照_勢力'!A:A,'参照_勢力'!B:B),IFERROR(_xlfn.XLOOKUP(F2321:F6363,kunishuClan!A:A,kunishuClan!B:B),"浪人")))</f>
      </c>
      <c r="F2321" s="4">
        <v>0</v>
      </c>
      <c r="G2321" s="4">
        <v>164</v>
      </c>
      <c r="H2321" s="12" t="str">
        <f t="array" ref="H2321">IF(G2321:G6363="","",_xlfn.XLOOKUP(G2321:G6363,castles_state!A:A,castles_state!D:D,"見つかりません"))</f>
      </c>
      <c r="I2321" s="4">
        <v>14</v>
      </c>
      <c r="J2321" s="12" t="str">
        <f t="array" ref="J2321">IF(I2321:I6363="","",_xlfn.XLOOKUP(I2321:I6363,'参照_姫'!A:A,'参照_姫'!B:B,"見つかりません"))</f>
      </c>
      <c r="K2321" s="4">
        <v>95</v>
      </c>
      <c r="L2321" s="4">
        <v>0</v>
      </c>
      <c r="M2321" s="4"/>
      <c r="N2321" s="4"/>
      <c r="O2321" s="4"/>
      <c r="P2321" s="12" t="str">
        <f t="array" ref="P2321">IF(O2321:O6363="","",_xlfn.XLOOKUP(O2321:O6363,'参照_官位'!A:A,'参照_官位'!B:B,""))</f>
      </c>
      <c r="Q2321" s="12" t="str">
        <f t="array" ref="Q2321">IF(A2321:A6363="","",IFERROR(_xlfn.XLOOKUP(A2321:A6363,castles_state!K:K,castles_state!D:D)&amp;"主",IFERROR(_xlfn.XLOOKUP(A2321:A6363,kunishuClan!D:D,kunishuClan!B:B)&amp;"当主","")))</f>
      </c>
    </row>
    <row r="2322" ht="15.75" customHeight="1">
      <c r="A2322" s="4">
        <v>1060012</v>
      </c>
      <c r="B2322" s="12" t="str">
        <f t="array" ref="B2322">IF(A2322:A6364="","",_xlfn.XLOOKUP(A2322:A6364,'参照_武将'!A:A,'参照_武将'!B:B,"見つかりません"))</f>
      </c>
      <c r="C2322" s="4" t="s">
        <v>294</v>
      </c>
      <c r="D2322" s="4">
        <v>60</v>
      </c>
      <c r="E2322" s="12" t="str">
        <f t="array" ref="E2322">IF(D2322:D6364="","",IFERROR(_xlfn.XLOOKUP(D2322:D6364,'参照_勢力'!A:A,'参照_勢力'!B:B),IFERROR(_xlfn.XLOOKUP(F2322:F6364,kunishuClan!A:A,kunishuClan!B:B),"浪人")))</f>
      </c>
      <c r="F2322" s="4">
        <v>0</v>
      </c>
      <c r="G2322" s="4">
        <v>164</v>
      </c>
      <c r="H2322" s="12" t="str">
        <f t="array" ref="H2322">IF(G2322:G6364="","",_xlfn.XLOOKUP(G2322:G6364,castles_state!A:A,castles_state!D:D,"見つかりません"))</f>
      </c>
      <c r="I2322" s="4"/>
      <c r="J2322" s="12" t="str">
        <f t="array" ref="J2322">IF(I2322:I6364="","",_xlfn.XLOOKUP(I2322:I6364,'参照_姫'!A:A,'参照_姫'!B:B,"見つかりません"))</f>
      </c>
      <c r="K2322" s="4">
        <v>95</v>
      </c>
      <c r="L2322" s="4">
        <v>0</v>
      </c>
      <c r="M2322" s="4"/>
      <c r="N2322" s="4"/>
      <c r="O2322" s="4"/>
      <c r="P2322" s="12" t="str">
        <f t="array" ref="P2322">IF(O2322:O6364="","",_xlfn.XLOOKUP(O2322:O6364,'参照_官位'!A:A,'参照_官位'!B:B,""))</f>
      </c>
      <c r="Q2322" s="12" t="str">
        <f t="array" ref="Q2322">IF(A2322:A6364="","",IFERROR(_xlfn.XLOOKUP(A2322:A6364,castles_state!K:K,castles_state!D:D)&amp;"主",IFERROR(_xlfn.XLOOKUP(A2322:A6364,kunishuClan!D:D,kunishuClan!B:B)&amp;"当主","")))</f>
      </c>
    </row>
    <row r="2323" ht="15.75" customHeight="1">
      <c r="A2323" s="4">
        <v>1060013</v>
      </c>
      <c r="B2323" s="12" t="str">
        <f t="array" ref="B2323">IF(A2323:A6365="","",_xlfn.XLOOKUP(A2323:A6365,'参照_武将'!A:A,'参照_武将'!B:B,"見つかりません"))</f>
      </c>
      <c r="C2323" s="4" t="s">
        <v>294</v>
      </c>
      <c r="D2323" s="4">
        <v>60</v>
      </c>
      <c r="E2323" s="12" t="str">
        <f t="array" ref="E2323">IF(D2323:D6365="","",IFERROR(_xlfn.XLOOKUP(D2323:D6365,'参照_勢力'!A:A,'参照_勢力'!B:B),IFERROR(_xlfn.XLOOKUP(F2323:F6365,kunishuClan!A:A,kunishuClan!B:B),"浪人")))</f>
      </c>
      <c r="F2323" s="4">
        <v>0</v>
      </c>
      <c r="G2323" s="4">
        <v>164</v>
      </c>
      <c r="H2323" s="12" t="str">
        <f t="array" ref="H2323">IF(G2323:G6365="","",_xlfn.XLOOKUP(G2323:G6365,castles_state!A:A,castles_state!D:D,"見つかりません"))</f>
      </c>
      <c r="I2323" s="4"/>
      <c r="J2323" s="12" t="str">
        <f t="array" ref="J2323">IF(I2323:I6365="","",_xlfn.XLOOKUP(I2323:I6365,'参照_姫'!A:A,'参照_姫'!B:B,"見つかりません"))</f>
      </c>
      <c r="K2323" s="4">
        <v>95</v>
      </c>
      <c r="L2323" s="4">
        <v>0</v>
      </c>
      <c r="M2323" s="4"/>
      <c r="N2323" s="4"/>
      <c r="O2323" s="4"/>
      <c r="P2323" s="12" t="str">
        <f t="array" ref="P2323">IF(O2323:O6365="","",_xlfn.XLOOKUP(O2323:O6365,'参照_官位'!A:A,'参照_官位'!B:B,""))</f>
      </c>
      <c r="Q2323" s="12" t="str">
        <f t="array" ref="Q2323">IF(A2323:A6365="","",IFERROR(_xlfn.XLOOKUP(A2323:A6365,castles_state!K:K,castles_state!D:D)&amp;"主",IFERROR(_xlfn.XLOOKUP(A2323:A6365,kunishuClan!D:D,kunishuClan!B:B)&amp;"当主","")))</f>
      </c>
    </row>
    <row r="2324" ht="15.75" customHeight="1">
      <c r="A2324" s="4">
        <v>1060014</v>
      </c>
      <c r="B2324" s="12" t="str">
        <f t="array" ref="B2324">IF(A2324:A6366="","",_xlfn.XLOOKUP(A2324:A6366,'参照_武将'!A:A,'参照_武将'!B:B,"見つかりません"))</f>
      </c>
      <c r="C2324" s="4" t="s">
        <v>294</v>
      </c>
      <c r="D2324" s="4">
        <v>60</v>
      </c>
      <c r="E2324" s="12" t="str">
        <f t="array" ref="E2324">IF(D2324:D6366="","",IFERROR(_xlfn.XLOOKUP(D2324:D6366,'参照_勢力'!A:A,'参照_勢力'!B:B),IFERROR(_xlfn.XLOOKUP(F2324:F6366,kunishuClan!A:A,kunishuClan!B:B),"浪人")))</f>
      </c>
      <c r="F2324" s="4">
        <v>0</v>
      </c>
      <c r="G2324" s="4">
        <v>164</v>
      </c>
      <c r="H2324" s="12" t="str">
        <f t="array" ref="H2324">IF(G2324:G6366="","",_xlfn.XLOOKUP(G2324:G6366,castles_state!A:A,castles_state!D:D,"見つかりません"))</f>
      </c>
      <c r="I2324" s="4"/>
      <c r="J2324" s="12" t="str">
        <f t="array" ref="J2324">IF(I2324:I6366="","",_xlfn.XLOOKUP(I2324:I6366,'参照_姫'!A:A,'参照_姫'!B:B,"見つかりません"))</f>
      </c>
      <c r="K2324" s="4">
        <v>95</v>
      </c>
      <c r="L2324" s="4">
        <v>0</v>
      </c>
      <c r="M2324" s="4"/>
      <c r="N2324" s="4"/>
      <c r="O2324" s="4"/>
      <c r="P2324" s="12" t="str">
        <f t="array" ref="P2324">IF(O2324:O6366="","",_xlfn.XLOOKUP(O2324:O6366,'参照_官位'!A:A,'参照_官位'!B:B,""))</f>
      </c>
      <c r="Q2324" s="12" t="str">
        <f t="array" ref="Q2324">IF(A2324:A6366="","",IFERROR(_xlfn.XLOOKUP(A2324:A6366,castles_state!K:K,castles_state!D:D)&amp;"主",IFERROR(_xlfn.XLOOKUP(A2324:A6366,kunishuClan!D:D,kunishuClan!B:B)&amp;"当主","")))</f>
      </c>
    </row>
    <row r="2325" ht="15.75" customHeight="1">
      <c r="A2325" s="4">
        <v>1060015</v>
      </c>
      <c r="B2325" s="12" t="str">
        <f t="array" ref="B2325">IF(A2325:A6367="","",_xlfn.XLOOKUP(A2325:A6367,'参照_武将'!A:A,'参照_武将'!B:B,"見つかりません"))</f>
      </c>
      <c r="C2325" s="4" t="s">
        <v>294</v>
      </c>
      <c r="D2325" s="4">
        <v>60</v>
      </c>
      <c r="E2325" s="12" t="str">
        <f t="array" ref="E2325">IF(D2325:D6367="","",IFERROR(_xlfn.XLOOKUP(D2325:D6367,'参照_勢力'!A:A,'参照_勢力'!B:B),IFERROR(_xlfn.XLOOKUP(F2325:F6367,kunishuClan!A:A,kunishuClan!B:B),"浪人")))</f>
      </c>
      <c r="F2325" s="4">
        <v>0</v>
      </c>
      <c r="G2325" s="4">
        <v>164</v>
      </c>
      <c r="H2325" s="12" t="str">
        <f t="array" ref="H2325">IF(G2325:G6367="","",_xlfn.XLOOKUP(G2325:G6367,castles_state!A:A,castles_state!D:D,"見つかりません"))</f>
      </c>
      <c r="I2325" s="4"/>
      <c r="J2325" s="12" t="str">
        <f t="array" ref="J2325">IF(I2325:I6367="","",_xlfn.XLOOKUP(I2325:I6367,'参照_姫'!A:A,'参照_姫'!B:B,"見つかりません"))</f>
      </c>
      <c r="K2325" s="4">
        <v>80</v>
      </c>
      <c r="L2325" s="4">
        <v>500</v>
      </c>
      <c r="M2325" s="4"/>
      <c r="N2325" s="4"/>
      <c r="O2325" s="4"/>
      <c r="P2325" s="12" t="str">
        <f t="array" ref="P2325">IF(O2325:O6367="","",_xlfn.XLOOKUP(O2325:O6367,'参照_官位'!A:A,'参照_官位'!B:B,""))</f>
      </c>
      <c r="Q2325" s="12" t="str">
        <f t="array" ref="Q2325">IF(A2325:A6367="","",IFERROR(_xlfn.XLOOKUP(A2325:A6367,castles_state!K:K,castles_state!D:D)&amp;"主",IFERROR(_xlfn.XLOOKUP(A2325:A6367,kunishuClan!D:D,kunishuClan!B:B)&amp;"当主","")))</f>
      </c>
    </row>
    <row r="2326" ht="15.75" customHeight="1">
      <c r="A2326" s="4">
        <v>1060016</v>
      </c>
      <c r="B2326" s="12" t="str">
        <f t="array" ref="B2326">IF(A2326:A6368="","",_xlfn.XLOOKUP(A2326:A6368,'参照_武将'!A:A,'参照_武将'!B:B,"見つかりません"))</f>
      </c>
      <c r="C2326" s="4" t="s">
        <v>294</v>
      </c>
      <c r="D2326" s="4">
        <v>60</v>
      </c>
      <c r="E2326" s="12" t="str">
        <f t="array" ref="E2326">IF(D2326:D6368="","",IFERROR(_xlfn.XLOOKUP(D2326:D6368,'参照_勢力'!A:A,'参照_勢力'!B:B),IFERROR(_xlfn.XLOOKUP(F2326:F6368,kunishuClan!A:A,kunishuClan!B:B),"浪人")))</f>
      </c>
      <c r="F2326" s="4">
        <v>0</v>
      </c>
      <c r="G2326" s="4">
        <v>164</v>
      </c>
      <c r="H2326" s="12" t="str">
        <f t="array" ref="H2326">IF(G2326:G6368="","",_xlfn.XLOOKUP(G2326:G6368,castles_state!A:A,castles_state!D:D,"見つかりません"))</f>
      </c>
      <c r="I2326" s="4"/>
      <c r="J2326" s="12" t="str">
        <f t="array" ref="J2326">IF(I2326:I6368="","",_xlfn.XLOOKUP(I2326:I6368,'参照_姫'!A:A,'参照_姫'!B:B,"見つかりません"))</f>
      </c>
      <c r="K2326" s="4">
        <v>90</v>
      </c>
      <c r="L2326" s="4">
        <v>200</v>
      </c>
      <c r="M2326" s="4"/>
      <c r="N2326" s="4"/>
      <c r="O2326" s="4"/>
      <c r="P2326" s="12" t="str">
        <f t="array" ref="P2326">IF(O2326:O6368="","",_xlfn.XLOOKUP(O2326:O6368,'参照_官位'!A:A,'参照_官位'!B:B,""))</f>
      </c>
      <c r="Q2326" s="12" t="str">
        <f t="array" ref="Q2326">IF(A2326:A6368="","",IFERROR(_xlfn.XLOOKUP(A2326:A6368,castles_state!K:K,castles_state!D:D)&amp;"主",IFERROR(_xlfn.XLOOKUP(A2326:A6368,kunishuClan!D:D,kunishuClan!B:B)&amp;"当主","")))</f>
      </c>
    </row>
    <row r="2327" ht="15.75" customHeight="1">
      <c r="A2327" s="4">
        <v>1060017</v>
      </c>
      <c r="B2327" s="12" t="str">
        <f t="array" ref="B2327">IF(A2327:A6369="","",_xlfn.XLOOKUP(A2327:A6369,'参照_武将'!A:A,'参照_武将'!B:B,"見つかりません"))</f>
      </c>
      <c r="C2327" s="4" t="s">
        <v>294</v>
      </c>
      <c r="D2327" s="4">
        <v>60</v>
      </c>
      <c r="E2327" s="12" t="str">
        <f t="array" ref="E2327">IF(D2327:D6369="","",IFERROR(_xlfn.XLOOKUP(D2327:D6369,'参照_勢力'!A:A,'参照_勢力'!B:B),IFERROR(_xlfn.XLOOKUP(F2327:F6369,kunishuClan!A:A,kunishuClan!B:B),"浪人")))</f>
      </c>
      <c r="F2327" s="4">
        <v>0</v>
      </c>
      <c r="G2327" s="4">
        <v>164</v>
      </c>
      <c r="H2327" s="12" t="str">
        <f t="array" ref="H2327">IF(G2327:G6369="","",_xlfn.XLOOKUP(G2327:G6369,castles_state!A:A,castles_state!D:D,"見つかりません"))</f>
      </c>
      <c r="I2327" s="4"/>
      <c r="J2327" s="12" t="str">
        <f t="array" ref="J2327">IF(I2327:I6369="","",_xlfn.XLOOKUP(I2327:I6369,'参照_姫'!A:A,'参照_姫'!B:B,"見つかりません"))</f>
      </c>
      <c r="K2327" s="4">
        <v>95</v>
      </c>
      <c r="L2327" s="4">
        <v>0</v>
      </c>
      <c r="M2327" s="4"/>
      <c r="N2327" s="4"/>
      <c r="O2327" s="4"/>
      <c r="P2327" s="12" t="str">
        <f t="array" ref="P2327">IF(O2327:O6369="","",_xlfn.XLOOKUP(O2327:O6369,'参照_官位'!A:A,'参照_官位'!B:B,""))</f>
      </c>
      <c r="Q2327" s="12" t="str">
        <f t="array" ref="Q2327">IF(A2327:A6369="","",IFERROR(_xlfn.XLOOKUP(A2327:A6369,castles_state!K:K,castles_state!D:D)&amp;"主",IFERROR(_xlfn.XLOOKUP(A2327:A6369,kunishuClan!D:D,kunishuClan!B:B)&amp;"当主","")))</f>
      </c>
    </row>
    <row r="2328" ht="15.75" customHeight="1">
      <c r="A2328" s="4">
        <v>1060018</v>
      </c>
      <c r="B2328" s="12" t="str">
        <f t="array" ref="B2328">IF(A2328:A6370="","",_xlfn.XLOOKUP(A2328:A6370,'参照_武将'!A:A,'参照_武将'!B:B,"見つかりません"))</f>
      </c>
      <c r="C2328" s="4" t="s">
        <v>294</v>
      </c>
      <c r="D2328" s="4">
        <v>60</v>
      </c>
      <c r="E2328" s="12" t="str">
        <f t="array" ref="E2328">IF(D2328:D6370="","",IFERROR(_xlfn.XLOOKUP(D2328:D6370,'参照_勢力'!A:A,'参照_勢力'!B:B),IFERROR(_xlfn.XLOOKUP(F2328:F6370,kunishuClan!A:A,kunishuClan!B:B),"浪人")))</f>
      </c>
      <c r="F2328" s="4">
        <v>0</v>
      </c>
      <c r="G2328" s="4">
        <v>163</v>
      </c>
      <c r="H2328" s="12" t="str">
        <f t="array" ref="H2328">IF(G2328:G6370="","",_xlfn.XLOOKUP(G2328:G6370,castles_state!A:A,castles_state!D:D,"見つかりません"))</f>
      </c>
      <c r="I2328" s="4"/>
      <c r="J2328" s="12" t="str">
        <f t="array" ref="J2328">IF(I2328:I6370="","",_xlfn.XLOOKUP(I2328:I6370,'参照_姫'!A:A,'参照_姫'!B:B,"見つかりません"))</f>
      </c>
      <c r="K2328" s="4">
        <v>95</v>
      </c>
      <c r="L2328" s="4">
        <v>0</v>
      </c>
      <c r="M2328" s="4"/>
      <c r="N2328" s="4"/>
      <c r="O2328" s="4"/>
      <c r="P2328" s="12" t="str">
        <f t="array" ref="P2328">IF(O2328:O6370="","",_xlfn.XLOOKUP(O2328:O6370,'参照_官位'!A:A,'参照_官位'!B:B,""))</f>
      </c>
      <c r="Q2328" s="12" t="str">
        <f t="array" ref="Q2328">IF(A2328:A6370="","",IFERROR(_xlfn.XLOOKUP(A2328:A6370,castles_state!K:K,castles_state!D:D)&amp;"主",IFERROR(_xlfn.XLOOKUP(A2328:A6370,kunishuClan!D:D,kunishuClan!B:B)&amp;"当主","")))</f>
      </c>
    </row>
    <row r="2329" ht="15.75" customHeight="1">
      <c r="A2329" s="4">
        <v>1060019</v>
      </c>
      <c r="B2329" s="12" t="str">
        <f t="array" ref="B2329">IF(A2329:A6371="","",_xlfn.XLOOKUP(A2329:A6371,'参照_武将'!A:A,'参照_武将'!B:B,"見つかりません"))</f>
      </c>
      <c r="C2329" s="4" t="s">
        <v>294</v>
      </c>
      <c r="D2329" s="4">
        <v>60</v>
      </c>
      <c r="E2329" s="12" t="str">
        <f t="array" ref="E2329">IF(D2329:D6371="","",IFERROR(_xlfn.XLOOKUP(D2329:D6371,'参照_勢力'!A:A,'参照_勢力'!B:B),IFERROR(_xlfn.XLOOKUP(F2329:F6371,kunishuClan!A:A,kunishuClan!B:B),"浪人")))</f>
      </c>
      <c r="F2329" s="4">
        <v>0</v>
      </c>
      <c r="G2329" s="4">
        <v>163</v>
      </c>
      <c r="H2329" s="12" t="str">
        <f t="array" ref="H2329">IF(G2329:G6371="","",_xlfn.XLOOKUP(G2329:G6371,castles_state!A:A,castles_state!D:D,"見つかりません"))</f>
      </c>
      <c r="I2329" s="4"/>
      <c r="J2329" s="12" t="str">
        <f t="array" ref="J2329">IF(I2329:I6371="","",_xlfn.XLOOKUP(I2329:I6371,'参照_姫'!A:A,'参照_姫'!B:B,"見つかりません"))</f>
      </c>
      <c r="K2329" s="4">
        <v>95</v>
      </c>
      <c r="L2329" s="4">
        <v>0</v>
      </c>
      <c r="M2329" s="4"/>
      <c r="N2329" s="4"/>
      <c r="O2329" s="4"/>
      <c r="P2329" s="12" t="str">
        <f t="array" ref="P2329">IF(O2329:O6371="","",_xlfn.XLOOKUP(O2329:O6371,'参照_官位'!A:A,'参照_官位'!B:B,""))</f>
      </c>
      <c r="Q2329" s="12" t="str">
        <f t="array" ref="Q2329">IF(A2329:A6371="","",IFERROR(_xlfn.XLOOKUP(A2329:A6371,castles_state!K:K,castles_state!D:D)&amp;"主",IFERROR(_xlfn.XLOOKUP(A2329:A6371,kunishuClan!D:D,kunishuClan!B:B)&amp;"当主","")))</f>
      </c>
    </row>
    <row r="2330" ht="15.75" customHeight="1">
      <c r="A2330" s="4">
        <v>1060020</v>
      </c>
      <c r="B2330" s="12" t="str">
        <f t="array" ref="B2330">IF(A2330:A6372="","",_xlfn.XLOOKUP(A2330:A6372,'参照_武将'!A:A,'参照_武将'!B:B,"見つかりません"))</f>
      </c>
      <c r="C2330" s="4" t="s">
        <v>294</v>
      </c>
      <c r="D2330" s="4">
        <v>60</v>
      </c>
      <c r="E2330" s="12" t="str">
        <f t="array" ref="E2330">IF(D2330:D6372="","",IFERROR(_xlfn.XLOOKUP(D2330:D6372,'参照_勢力'!A:A,'参照_勢力'!B:B),IFERROR(_xlfn.XLOOKUP(F2330:F6372,kunishuClan!A:A,kunishuClan!B:B),"浪人")))</f>
      </c>
      <c r="F2330" s="4">
        <v>0</v>
      </c>
      <c r="G2330" s="4">
        <v>164</v>
      </c>
      <c r="H2330" s="12" t="str">
        <f t="array" ref="H2330">IF(G2330:G6372="","",_xlfn.XLOOKUP(G2330:G6372,castles_state!A:A,castles_state!D:D,"見つかりません"))</f>
      </c>
      <c r="I2330" s="4"/>
      <c r="J2330" s="12" t="str">
        <f t="array" ref="J2330">IF(I2330:I6372="","",_xlfn.XLOOKUP(I2330:I6372,'参照_姫'!A:A,'参照_姫'!B:B,"見つかりません"))</f>
      </c>
      <c r="K2330" s="4">
        <v>95</v>
      </c>
      <c r="L2330" s="4">
        <v>0</v>
      </c>
      <c r="M2330" s="4"/>
      <c r="N2330" s="4"/>
      <c r="O2330" s="4"/>
      <c r="P2330" s="12" t="str">
        <f t="array" ref="P2330">IF(O2330:O6372="","",_xlfn.XLOOKUP(O2330:O6372,'参照_官位'!A:A,'参照_官位'!B:B,""))</f>
      </c>
      <c r="Q2330" s="12" t="str">
        <f t="array" ref="Q2330">IF(A2330:A6372="","",IFERROR(_xlfn.XLOOKUP(A2330:A6372,castles_state!K:K,castles_state!D:D)&amp;"主",IFERROR(_xlfn.XLOOKUP(A2330:A6372,kunishuClan!D:D,kunishuClan!B:B)&amp;"当主","")))</f>
      </c>
    </row>
    <row r="2331" ht="15.75" customHeight="1">
      <c r="A2331" s="4">
        <v>1060021</v>
      </c>
      <c r="B2331" s="12" t="str">
        <f t="array" ref="B2331">IF(A2331:A6373="","",_xlfn.XLOOKUP(A2331:A6373,'参照_武将'!A:A,'参照_武将'!B:B,"見つかりません"))</f>
      </c>
      <c r="C2331" s="4" t="s">
        <v>294</v>
      </c>
      <c r="D2331" s="4">
        <v>60</v>
      </c>
      <c r="E2331" s="12" t="str">
        <f t="array" ref="E2331">IF(D2331:D6373="","",IFERROR(_xlfn.XLOOKUP(D2331:D6373,'参照_勢力'!A:A,'参照_勢力'!B:B),IFERROR(_xlfn.XLOOKUP(F2331:F6373,kunishuClan!A:A,kunishuClan!B:B),"浪人")))</f>
      </c>
      <c r="F2331" s="4">
        <v>0</v>
      </c>
      <c r="G2331" s="4">
        <v>164</v>
      </c>
      <c r="H2331" s="12" t="str">
        <f t="array" ref="H2331">IF(G2331:G6373="","",_xlfn.XLOOKUP(G2331:G6373,castles_state!A:A,castles_state!D:D,"見つかりません"))</f>
      </c>
      <c r="I2331" s="4"/>
      <c r="J2331" s="12" t="str">
        <f t="array" ref="J2331">IF(I2331:I6373="","",_xlfn.XLOOKUP(I2331:I6373,'参照_姫'!A:A,'参照_姫'!B:B,"見つかりません"))</f>
      </c>
      <c r="K2331" s="4">
        <v>95</v>
      </c>
      <c r="L2331" s="4">
        <v>0</v>
      </c>
      <c r="M2331" s="4"/>
      <c r="N2331" s="4"/>
      <c r="O2331" s="4"/>
      <c r="P2331" s="12" t="str">
        <f t="array" ref="P2331">IF(O2331:O6373="","",_xlfn.XLOOKUP(O2331:O6373,'参照_官位'!A:A,'参照_官位'!B:B,""))</f>
      </c>
      <c r="Q2331" s="12" t="str">
        <f t="array" ref="Q2331">IF(A2331:A6373="","",IFERROR(_xlfn.XLOOKUP(A2331:A6373,castles_state!K:K,castles_state!D:D)&amp;"主",IFERROR(_xlfn.XLOOKUP(A2331:A6373,kunishuClan!D:D,kunishuClan!B:B)&amp;"当主","")))</f>
      </c>
    </row>
    <row r="2332" ht="15.75" customHeight="1">
      <c r="A2332" s="4">
        <v>1060022</v>
      </c>
      <c r="B2332" s="12" t="str">
        <f t="array" ref="B2332">IF(A2332:A6374="","",_xlfn.XLOOKUP(A2332:A6374,'参照_武将'!A:A,'参照_武将'!B:B,"見つかりません"))</f>
      </c>
      <c r="C2332" s="4" t="s">
        <v>294</v>
      </c>
      <c r="D2332" s="4">
        <v>60</v>
      </c>
      <c r="E2332" s="12" t="str">
        <f t="array" ref="E2332">IF(D2332:D6374="","",IFERROR(_xlfn.XLOOKUP(D2332:D6374,'参照_勢力'!A:A,'参照_勢力'!B:B),IFERROR(_xlfn.XLOOKUP(F2332:F6374,kunishuClan!A:A,kunishuClan!B:B),"浪人")))</f>
      </c>
      <c r="F2332" s="4">
        <v>0</v>
      </c>
      <c r="G2332" s="4">
        <v>164</v>
      </c>
      <c r="H2332" s="12" t="str">
        <f t="array" ref="H2332">IF(G2332:G6374="","",_xlfn.XLOOKUP(G2332:G6374,castles_state!A:A,castles_state!D:D,"見つかりません"))</f>
      </c>
      <c r="I2332" s="4"/>
      <c r="J2332" s="12" t="str">
        <f t="array" ref="J2332">IF(I2332:I6374="","",_xlfn.XLOOKUP(I2332:I6374,'参照_姫'!A:A,'参照_姫'!B:B,"見つかりません"))</f>
      </c>
      <c r="K2332" s="4">
        <v>80</v>
      </c>
      <c r="L2332" s="4">
        <v>0</v>
      </c>
      <c r="M2332" s="4"/>
      <c r="N2332" s="4"/>
      <c r="O2332" s="4"/>
      <c r="P2332" s="12" t="str">
        <f t="array" ref="P2332">IF(O2332:O6374="","",_xlfn.XLOOKUP(O2332:O6374,'参照_官位'!A:A,'参照_官位'!B:B,""))</f>
      </c>
      <c r="Q2332" s="12" t="str">
        <f t="array" ref="Q2332">IF(A2332:A6374="","",IFERROR(_xlfn.XLOOKUP(A2332:A6374,castles_state!K:K,castles_state!D:D)&amp;"主",IFERROR(_xlfn.XLOOKUP(A2332:A6374,kunishuClan!D:D,kunishuClan!B:B)&amp;"当主","")))</f>
      </c>
    </row>
    <row r="2333" ht="15.75" customHeight="1">
      <c r="A2333" s="4">
        <v>1060023</v>
      </c>
      <c r="B2333" s="12" t="str">
        <f t="array" ref="B2333">IF(A2333:A6375="","",_xlfn.XLOOKUP(A2333:A6375,'参照_武将'!A:A,'参照_武将'!B:B,"見つかりません"))</f>
      </c>
      <c r="C2333" s="4" t="s">
        <v>294</v>
      </c>
      <c r="D2333" s="4">
        <v>60</v>
      </c>
      <c r="E2333" s="12" t="str">
        <f t="array" ref="E2333">IF(D2333:D6375="","",IFERROR(_xlfn.XLOOKUP(D2333:D6375,'参照_勢力'!A:A,'参照_勢力'!B:B),IFERROR(_xlfn.XLOOKUP(F2333:F6375,kunishuClan!A:A,kunishuClan!B:B),"浪人")))</f>
      </c>
      <c r="F2333" s="4">
        <v>0</v>
      </c>
      <c r="G2333" s="4">
        <v>163</v>
      </c>
      <c r="H2333" s="12" t="str">
        <f t="array" ref="H2333">IF(G2333:G6375="","",_xlfn.XLOOKUP(G2333:G6375,castles_state!A:A,castles_state!D:D,"見つかりません"))</f>
      </c>
      <c r="I2333" s="4"/>
      <c r="J2333" s="12" t="str">
        <f t="array" ref="J2333">IF(I2333:I6375="","",_xlfn.XLOOKUP(I2333:I6375,'参照_姫'!A:A,'参照_姫'!B:B,"見つかりません"))</f>
      </c>
      <c r="K2333" s="4">
        <v>95</v>
      </c>
      <c r="L2333" s="4">
        <v>300</v>
      </c>
      <c r="M2333" s="4"/>
      <c r="N2333" s="4"/>
      <c r="O2333" s="4"/>
      <c r="P2333" s="12" t="str">
        <f t="array" ref="P2333">IF(O2333:O6375="","",_xlfn.XLOOKUP(O2333:O6375,'参照_官位'!A:A,'参照_官位'!B:B,""))</f>
      </c>
      <c r="Q2333" s="12" t="str">
        <f t="array" ref="Q2333">IF(A2333:A6375="","",IFERROR(_xlfn.XLOOKUP(A2333:A6375,castles_state!K:K,castles_state!D:D)&amp;"主",IFERROR(_xlfn.XLOOKUP(A2333:A6375,kunishuClan!D:D,kunishuClan!B:B)&amp;"当主","")))</f>
      </c>
    </row>
    <row r="2334" ht="15.75" customHeight="1">
      <c r="A2334" s="4">
        <v>1060024</v>
      </c>
      <c r="B2334" s="12" t="str">
        <f t="array" ref="B2334">IF(A2334:A6376="","",_xlfn.XLOOKUP(A2334:A6376,'参照_武将'!A:A,'参照_武将'!B:B,"見つかりません"))</f>
      </c>
      <c r="C2334" s="4" t="s">
        <v>294</v>
      </c>
      <c r="D2334" s="4">
        <v>60</v>
      </c>
      <c r="E2334" s="12" t="str">
        <f t="array" ref="E2334">IF(D2334:D6376="","",IFERROR(_xlfn.XLOOKUP(D2334:D6376,'参照_勢力'!A:A,'参照_勢力'!B:B),IFERROR(_xlfn.XLOOKUP(F2334:F6376,kunishuClan!A:A,kunishuClan!B:B),"浪人")))</f>
      </c>
      <c r="F2334" s="4">
        <v>0</v>
      </c>
      <c r="G2334" s="4">
        <v>163</v>
      </c>
      <c r="H2334" s="12" t="str">
        <f t="array" ref="H2334">IF(G2334:G6376="","",_xlfn.XLOOKUP(G2334:G6376,castles_state!A:A,castles_state!D:D,"見つかりません"))</f>
      </c>
      <c r="I2334" s="4"/>
      <c r="J2334" s="12" t="str">
        <f t="array" ref="J2334">IF(I2334:I6376="","",_xlfn.XLOOKUP(I2334:I6376,'参照_姫'!A:A,'参照_姫'!B:B,"見つかりません"))</f>
      </c>
      <c r="K2334" s="4">
        <v>90</v>
      </c>
      <c r="L2334" s="4">
        <v>0</v>
      </c>
      <c r="M2334" s="4"/>
      <c r="N2334" s="4"/>
      <c r="O2334" s="4"/>
      <c r="P2334" s="12" t="str">
        <f t="array" ref="P2334">IF(O2334:O6376="","",_xlfn.XLOOKUP(O2334:O6376,'参照_官位'!A:A,'参照_官位'!B:B,""))</f>
      </c>
      <c r="Q2334" s="12" t="str">
        <f t="array" ref="Q2334">IF(A2334:A6376="","",IFERROR(_xlfn.XLOOKUP(A2334:A6376,castles_state!K:K,castles_state!D:D)&amp;"主",IFERROR(_xlfn.XLOOKUP(A2334:A6376,kunishuClan!D:D,kunishuClan!B:B)&amp;"当主","")))</f>
      </c>
    </row>
    <row r="2335" ht="15.75" customHeight="1">
      <c r="A2335" s="4">
        <v>1061001</v>
      </c>
      <c r="B2335" s="12" t="str">
        <f t="array" ref="B2335">IF(A2335:A6377="","",_xlfn.XLOOKUP(A2335:A6377,'参照_武将'!A:A,'参照_武将'!B:B,"見つかりません"))</f>
      </c>
      <c r="C2335" s="4" t="s">
        <v>299</v>
      </c>
      <c r="D2335" s="4">
        <v>61</v>
      </c>
      <c r="E2335" s="12" t="str">
        <f t="array" ref="E2335">IF(D2335:D6377="","",IFERROR(_xlfn.XLOOKUP(D2335:D6377,'参照_勢力'!A:A,'参照_勢力'!B:B),IFERROR(_xlfn.XLOOKUP(F2335:F6377,kunishuClan!A:A,kunishuClan!B:B),"浪人")))</f>
      </c>
      <c r="F2335" s="4">
        <v>0</v>
      </c>
      <c r="G2335" s="4">
        <v>173</v>
      </c>
      <c r="H2335" s="12" t="str">
        <f t="array" ref="H2335">IF(G2335:G6377="","",_xlfn.XLOOKUP(G2335:G6377,castles_state!A:A,castles_state!D:D,"見つかりません"))</f>
      </c>
      <c r="I2335" s="4"/>
      <c r="J2335" s="12" t="str">
        <f t="array" ref="J2335">IF(I2335:I6377="","",_xlfn.XLOOKUP(I2335:I6377,'参照_姫'!A:A,'参照_姫'!B:B,"見つかりません"))</f>
      </c>
      <c r="K2335" s="4">
        <v>95</v>
      </c>
      <c r="L2335" s="4">
        <v>0</v>
      </c>
      <c r="M2335" s="4"/>
      <c r="N2335" s="4"/>
      <c r="O2335" s="4"/>
      <c r="P2335" s="12" t="str">
        <f t="array" ref="P2335">IF(O2335:O6377="","",_xlfn.XLOOKUP(O2335:O6377,'参照_官位'!A:A,'参照_官位'!B:B,""))</f>
      </c>
      <c r="Q2335" s="12" t="str">
        <f t="array" ref="Q2335">IF(A2335:A6377="","",IFERROR(_xlfn.XLOOKUP(A2335:A6377,castles_state!K:K,castles_state!D:D)&amp;"主",IFERROR(_xlfn.XLOOKUP(A2335:A6377,kunishuClan!D:D,kunishuClan!B:B)&amp;"当主","")))</f>
      </c>
    </row>
    <row r="2336" ht="15.75" customHeight="1">
      <c r="A2336" s="4">
        <v>1061002</v>
      </c>
      <c r="B2336" s="12" t="str">
        <f t="array" ref="B2336">IF(A2336:A6378="","",_xlfn.XLOOKUP(A2336:A6378,'参照_武将'!A:A,'参照_武将'!B:B,"見つかりません"))</f>
      </c>
      <c r="C2336" s="4" t="s">
        <v>299</v>
      </c>
      <c r="D2336" s="4">
        <v>61</v>
      </c>
      <c r="E2336" s="12" t="str">
        <f t="array" ref="E2336">IF(D2336:D6378="","",IFERROR(_xlfn.XLOOKUP(D2336:D6378,'参照_勢力'!A:A,'参照_勢力'!B:B),IFERROR(_xlfn.XLOOKUP(F2336:F6378,kunishuClan!A:A,kunishuClan!B:B),"浪人")))</f>
      </c>
      <c r="F2336" s="4">
        <v>0</v>
      </c>
      <c r="G2336" s="4">
        <v>173</v>
      </c>
      <c r="H2336" s="12" t="str">
        <f t="array" ref="H2336">IF(G2336:G6378="","",_xlfn.XLOOKUP(G2336:G6378,castles_state!A:A,castles_state!D:D,"見つかりません"))</f>
      </c>
      <c r="I2336" s="4"/>
      <c r="J2336" s="12" t="str">
        <f t="array" ref="J2336">IF(I2336:I6378="","",_xlfn.XLOOKUP(I2336:I6378,'参照_姫'!A:A,'参照_姫'!B:B,"見つかりません"))</f>
      </c>
      <c r="K2336" s="4">
        <v>95</v>
      </c>
      <c r="L2336" s="4">
        <v>0</v>
      </c>
      <c r="M2336" s="4"/>
      <c r="N2336" s="4"/>
      <c r="O2336" s="4"/>
      <c r="P2336" s="12" t="str">
        <f t="array" ref="P2336">IF(O2336:O6378="","",_xlfn.XLOOKUP(O2336:O6378,'参照_官位'!A:A,'参照_官位'!B:B,""))</f>
      </c>
      <c r="Q2336" s="12" t="str">
        <f t="array" ref="Q2336">IF(A2336:A6378="","",IFERROR(_xlfn.XLOOKUP(A2336:A6378,castles_state!K:K,castles_state!D:D)&amp;"主",IFERROR(_xlfn.XLOOKUP(A2336:A6378,kunishuClan!D:D,kunishuClan!B:B)&amp;"当主","")))</f>
      </c>
    </row>
    <row r="2337" ht="15.75" customHeight="1">
      <c r="A2337" s="4">
        <v>1061003</v>
      </c>
      <c r="B2337" s="12" t="str">
        <f t="array" ref="B2337">IF(A2337:A6379="","",_xlfn.XLOOKUP(A2337:A6379,'参照_武将'!A:A,'参照_武将'!B:B,"見つかりません"))</f>
      </c>
      <c r="C2337" s="4" t="s">
        <v>299</v>
      </c>
      <c r="D2337" s="4">
        <v>61</v>
      </c>
      <c r="E2337" s="12" t="str">
        <f t="array" ref="E2337">IF(D2337:D6379="","",IFERROR(_xlfn.XLOOKUP(D2337:D6379,'参照_勢力'!A:A,'参照_勢力'!B:B),IFERROR(_xlfn.XLOOKUP(F2337:F6379,kunishuClan!A:A,kunishuClan!B:B),"浪人")))</f>
      </c>
      <c r="F2337" s="4">
        <v>0</v>
      </c>
      <c r="G2337" s="4">
        <v>173</v>
      </c>
      <c r="H2337" s="12" t="str">
        <f t="array" ref="H2337">IF(G2337:G6379="","",_xlfn.XLOOKUP(G2337:G6379,castles_state!A:A,castles_state!D:D,"見つかりません"))</f>
      </c>
      <c r="I2337" s="4"/>
      <c r="J2337" s="12" t="str">
        <f t="array" ref="J2337">IF(I2337:I6379="","",_xlfn.XLOOKUP(I2337:I6379,'参照_姫'!A:A,'参照_姫'!B:B,"見つかりません"))</f>
      </c>
      <c r="K2337" s="4">
        <v>95</v>
      </c>
      <c r="L2337" s="4">
        <v>0</v>
      </c>
      <c r="M2337" s="4"/>
      <c r="N2337" s="4"/>
      <c r="O2337" s="4"/>
      <c r="P2337" s="12" t="str">
        <f t="array" ref="P2337">IF(O2337:O6379="","",_xlfn.XLOOKUP(O2337:O6379,'参照_官位'!A:A,'参照_官位'!B:B,""))</f>
      </c>
      <c r="Q2337" s="12" t="str">
        <f t="array" ref="Q2337">IF(A2337:A6379="","",IFERROR(_xlfn.XLOOKUP(A2337:A6379,castles_state!K:K,castles_state!D:D)&amp;"主",IFERROR(_xlfn.XLOOKUP(A2337:A6379,kunishuClan!D:D,kunishuClan!B:B)&amp;"当主","")))</f>
      </c>
    </row>
    <row r="2338" ht="15.75" customHeight="1">
      <c r="A2338" s="4">
        <v>1061004</v>
      </c>
      <c r="B2338" s="12" t="str">
        <f t="array" ref="B2338">IF(A2338:A6380="","",_xlfn.XLOOKUP(A2338:A6380,'参照_武将'!A:A,'参照_武将'!B:B,"見つかりません"))</f>
      </c>
      <c r="C2338" s="4" t="s">
        <v>299</v>
      </c>
      <c r="D2338" s="4">
        <v>61</v>
      </c>
      <c r="E2338" s="12" t="str">
        <f t="array" ref="E2338">IF(D2338:D6380="","",IFERROR(_xlfn.XLOOKUP(D2338:D6380,'参照_勢力'!A:A,'参照_勢力'!B:B),IFERROR(_xlfn.XLOOKUP(F2338:F6380,kunishuClan!A:A,kunishuClan!B:B),"浪人")))</f>
      </c>
      <c r="F2338" s="4">
        <v>0</v>
      </c>
      <c r="G2338" s="4">
        <v>173</v>
      </c>
      <c r="H2338" s="12" t="str">
        <f t="array" ref="H2338">IF(G2338:G6380="","",_xlfn.XLOOKUP(G2338:G6380,castles_state!A:A,castles_state!D:D,"見つかりません"))</f>
      </c>
      <c r="I2338" s="4"/>
      <c r="J2338" s="12" t="str">
        <f t="array" ref="J2338">IF(I2338:I6380="","",_xlfn.XLOOKUP(I2338:I6380,'参照_姫'!A:A,'参照_姫'!B:B,"見つかりません"))</f>
      </c>
      <c r="K2338" s="4">
        <v>95</v>
      </c>
      <c r="L2338" s="4">
        <v>0</v>
      </c>
      <c r="M2338" s="4"/>
      <c r="N2338" s="4"/>
      <c r="O2338" s="4"/>
      <c r="P2338" s="12" t="str">
        <f t="array" ref="P2338">IF(O2338:O6380="","",_xlfn.XLOOKUP(O2338:O6380,'参照_官位'!A:A,'参照_官位'!B:B,""))</f>
      </c>
      <c r="Q2338" s="12" t="str">
        <f t="array" ref="Q2338">IF(A2338:A6380="","",IFERROR(_xlfn.XLOOKUP(A2338:A6380,castles_state!K:K,castles_state!D:D)&amp;"主",IFERROR(_xlfn.XLOOKUP(A2338:A6380,kunishuClan!D:D,kunishuClan!B:B)&amp;"当主","")))</f>
      </c>
    </row>
    <row r="2339" ht="15.75" customHeight="1">
      <c r="A2339" s="4">
        <v>1061005</v>
      </c>
      <c r="B2339" s="12" t="str">
        <f t="array" ref="B2339">IF(A2339:A6381="","",_xlfn.XLOOKUP(A2339:A6381,'参照_武将'!A:A,'参照_武将'!B:B,"見つかりません"))</f>
      </c>
      <c r="C2339" s="4" t="s">
        <v>299</v>
      </c>
      <c r="D2339" s="4">
        <v>61</v>
      </c>
      <c r="E2339" s="12" t="str">
        <f t="array" ref="E2339">IF(D2339:D6381="","",IFERROR(_xlfn.XLOOKUP(D2339:D6381,'参照_勢力'!A:A,'参照_勢力'!B:B),IFERROR(_xlfn.XLOOKUP(F2339:F6381,kunishuClan!A:A,kunishuClan!B:B),"浪人")))</f>
      </c>
      <c r="F2339" s="4">
        <v>0</v>
      </c>
      <c r="G2339" s="4">
        <v>173</v>
      </c>
      <c r="H2339" s="12" t="str">
        <f t="array" ref="H2339">IF(G2339:G6381="","",_xlfn.XLOOKUP(G2339:G6381,castles_state!A:A,castles_state!D:D,"見つかりません"))</f>
      </c>
      <c r="I2339" s="4"/>
      <c r="J2339" s="12" t="str">
        <f t="array" ref="J2339">IF(I2339:I6381="","",_xlfn.XLOOKUP(I2339:I6381,'参照_姫'!A:A,'参照_姫'!B:B,"見つかりません"))</f>
      </c>
      <c r="K2339" s="4">
        <v>100</v>
      </c>
      <c r="L2339" s="4">
        <v>1000</v>
      </c>
      <c r="M2339" s="4"/>
      <c r="N2339" s="4"/>
      <c r="O2339" s="4"/>
      <c r="P2339" s="12" t="str">
        <f t="array" ref="P2339">IF(O2339:O6381="","",_xlfn.XLOOKUP(O2339:O6381,'参照_官位'!A:A,'参照_官位'!B:B,""))</f>
      </c>
      <c r="Q2339" s="12" t="str">
        <f t="array" ref="Q2339">IF(A2339:A6381="","",IFERROR(_xlfn.XLOOKUP(A2339:A6381,castles_state!K:K,castles_state!D:D)&amp;"主",IFERROR(_xlfn.XLOOKUP(A2339:A6381,kunishuClan!D:D,kunishuClan!B:B)&amp;"当主","")))</f>
      </c>
    </row>
    <row r="2340" ht="15.75" customHeight="1">
      <c r="A2340" s="4">
        <v>1061006</v>
      </c>
      <c r="B2340" s="12" t="str">
        <f t="array" ref="B2340">IF(A2340:A6382="","",_xlfn.XLOOKUP(A2340:A6382,'参照_武将'!A:A,'参照_武将'!B:B,"見つかりません"))</f>
      </c>
      <c r="C2340" s="4" t="s">
        <v>299</v>
      </c>
      <c r="D2340" s="4">
        <v>61</v>
      </c>
      <c r="E2340" s="12" t="str">
        <f t="array" ref="E2340">IF(D2340:D6382="","",IFERROR(_xlfn.XLOOKUP(D2340:D6382,'参照_勢力'!A:A,'参照_勢力'!B:B),IFERROR(_xlfn.XLOOKUP(F2340:F6382,kunishuClan!A:A,kunishuClan!B:B),"浪人")))</f>
      </c>
      <c r="F2340" s="4">
        <v>0</v>
      </c>
      <c r="G2340" s="4">
        <v>173</v>
      </c>
      <c r="H2340" s="12" t="str">
        <f t="array" ref="H2340">IF(G2340:G6382="","",_xlfn.XLOOKUP(G2340:G6382,castles_state!A:A,castles_state!D:D,"見つかりません"))</f>
      </c>
      <c r="I2340" s="4"/>
      <c r="J2340" s="12" t="str">
        <f t="array" ref="J2340">IF(I2340:I6382="","",_xlfn.XLOOKUP(I2340:I6382,'参照_姫'!A:A,'参照_姫'!B:B,"見つかりません"))</f>
      </c>
      <c r="K2340" s="4">
        <v>100</v>
      </c>
      <c r="L2340" s="4">
        <v>1000</v>
      </c>
      <c r="M2340" s="4"/>
      <c r="N2340" s="4"/>
      <c r="O2340" s="4"/>
      <c r="P2340" s="12" t="str">
        <f t="array" ref="P2340">IF(O2340:O6382="","",_xlfn.XLOOKUP(O2340:O6382,'参照_官位'!A:A,'参照_官位'!B:B,""))</f>
      </c>
      <c r="Q2340" s="12" t="str">
        <f t="array" ref="Q2340">IF(A2340:A6382="","",IFERROR(_xlfn.XLOOKUP(A2340:A6382,castles_state!K:K,castles_state!D:D)&amp;"主",IFERROR(_xlfn.XLOOKUP(A2340:A6382,kunishuClan!D:D,kunishuClan!B:B)&amp;"当主","")))</f>
      </c>
    </row>
    <row r="2341" ht="15.75" customHeight="1">
      <c r="A2341" s="4">
        <v>1061007</v>
      </c>
      <c r="B2341" s="12" t="str">
        <f t="array" ref="B2341">IF(A2341:A6383="","",_xlfn.XLOOKUP(A2341:A6383,'参照_武将'!A:A,'参照_武将'!B:B,"見つかりません"))</f>
      </c>
      <c r="C2341" s="4" t="s">
        <v>299</v>
      </c>
      <c r="D2341" s="4">
        <v>61</v>
      </c>
      <c r="E2341" s="12" t="str">
        <f t="array" ref="E2341">IF(D2341:D6383="","",IFERROR(_xlfn.XLOOKUP(D2341:D6383,'参照_勢力'!A:A,'参照_勢力'!B:B),IFERROR(_xlfn.XLOOKUP(F2341:F6383,kunishuClan!A:A,kunishuClan!B:B),"浪人")))</f>
      </c>
      <c r="F2341" s="4">
        <v>0</v>
      </c>
      <c r="G2341" s="4">
        <v>173</v>
      </c>
      <c r="H2341" s="12" t="str">
        <f t="array" ref="H2341">IF(G2341:G6383="","",_xlfn.XLOOKUP(G2341:G6383,castles_state!A:A,castles_state!D:D,"見つかりません"))</f>
      </c>
      <c r="I2341" s="4"/>
      <c r="J2341" s="12" t="str">
        <f t="array" ref="J2341">IF(I2341:I6383="","",_xlfn.XLOOKUP(I2341:I6383,'参照_姫'!A:A,'参照_姫'!B:B,"見つかりません"))</f>
      </c>
      <c r="K2341" s="4">
        <v>95</v>
      </c>
      <c r="L2341" s="4">
        <v>0</v>
      </c>
      <c r="M2341" s="4"/>
      <c r="N2341" s="4"/>
      <c r="O2341" s="4"/>
      <c r="P2341" s="12" t="str">
        <f t="array" ref="P2341">IF(O2341:O6383="","",_xlfn.XLOOKUP(O2341:O6383,'参照_官位'!A:A,'参照_官位'!B:B,""))</f>
      </c>
      <c r="Q2341" s="12" t="str">
        <f t="array" ref="Q2341">IF(A2341:A6383="","",IFERROR(_xlfn.XLOOKUP(A2341:A6383,castles_state!K:K,castles_state!D:D)&amp;"主",IFERROR(_xlfn.XLOOKUP(A2341:A6383,kunishuClan!D:D,kunishuClan!B:B)&amp;"当主","")))</f>
      </c>
    </row>
    <row r="2342" ht="15.75" customHeight="1">
      <c r="A2342" s="4">
        <v>1061008</v>
      </c>
      <c r="B2342" s="12" t="str">
        <f t="array" ref="B2342">IF(A2342:A6384="","",_xlfn.XLOOKUP(A2342:A6384,'参照_武将'!A:A,'参照_武将'!B:B,"見つかりません"))</f>
      </c>
      <c r="C2342" s="4" t="s">
        <v>299</v>
      </c>
      <c r="D2342" s="4">
        <v>61</v>
      </c>
      <c r="E2342" s="12" t="str">
        <f t="array" ref="E2342">IF(D2342:D6384="","",IFERROR(_xlfn.XLOOKUP(D2342:D6384,'参照_勢力'!A:A,'参照_勢力'!B:B),IFERROR(_xlfn.XLOOKUP(F2342:F6384,kunishuClan!A:A,kunishuClan!B:B),"浪人")))</f>
      </c>
      <c r="F2342" s="4">
        <v>0</v>
      </c>
      <c r="G2342" s="4">
        <v>173</v>
      </c>
      <c r="H2342" s="12" t="str">
        <f t="array" ref="H2342">IF(G2342:G6384="","",_xlfn.XLOOKUP(G2342:G6384,castles_state!A:A,castles_state!D:D,"見つかりません"))</f>
      </c>
      <c r="I2342" s="4"/>
      <c r="J2342" s="12" t="str">
        <f t="array" ref="J2342">IF(I2342:I6384="","",_xlfn.XLOOKUP(I2342:I6384,'参照_姫'!A:A,'参照_姫'!B:B,"見つかりません"))</f>
      </c>
      <c r="K2342" s="4">
        <v>95</v>
      </c>
      <c r="L2342" s="4">
        <v>0</v>
      </c>
      <c r="M2342" s="4"/>
      <c r="N2342" s="4"/>
      <c r="O2342" s="4"/>
      <c r="P2342" s="12" t="str">
        <f t="array" ref="P2342">IF(O2342:O6384="","",_xlfn.XLOOKUP(O2342:O6384,'参照_官位'!A:A,'参照_官位'!B:B,""))</f>
      </c>
      <c r="Q2342" s="12" t="str">
        <f t="array" ref="Q2342">IF(A2342:A6384="","",IFERROR(_xlfn.XLOOKUP(A2342:A6384,castles_state!K:K,castles_state!D:D)&amp;"主",IFERROR(_xlfn.XLOOKUP(A2342:A6384,kunishuClan!D:D,kunishuClan!B:B)&amp;"当主","")))</f>
      </c>
    </row>
    <row r="2343" ht="15.75" customHeight="1">
      <c r="A2343" s="4">
        <v>1061009</v>
      </c>
      <c r="B2343" s="12" t="str">
        <f t="array" ref="B2343">IF(A2343:A6385="","",_xlfn.XLOOKUP(A2343:A6385,'参照_武将'!A:A,'参照_武将'!B:B,"見つかりません"))</f>
      </c>
      <c r="C2343" s="4" t="s">
        <v>299</v>
      </c>
      <c r="D2343" s="4">
        <v>61</v>
      </c>
      <c r="E2343" s="12" t="str">
        <f t="array" ref="E2343">IF(D2343:D6385="","",IFERROR(_xlfn.XLOOKUP(D2343:D6385,'参照_勢力'!A:A,'参照_勢力'!B:B),IFERROR(_xlfn.XLOOKUP(F2343:F6385,kunishuClan!A:A,kunishuClan!B:B),"浪人")))</f>
      </c>
      <c r="F2343" s="4">
        <v>0</v>
      </c>
      <c r="G2343" s="4">
        <v>173</v>
      </c>
      <c r="H2343" s="12" t="str">
        <f t="array" ref="H2343">IF(G2343:G6385="","",_xlfn.XLOOKUP(G2343:G6385,castles_state!A:A,castles_state!D:D,"見つかりません"))</f>
      </c>
      <c r="I2343" s="4"/>
      <c r="J2343" s="12" t="str">
        <f t="array" ref="J2343">IF(I2343:I6385="","",_xlfn.XLOOKUP(I2343:I6385,'参照_姫'!A:A,'参照_姫'!B:B,"見つかりません"))</f>
      </c>
      <c r="K2343" s="4">
        <v>95</v>
      </c>
      <c r="L2343" s="4">
        <v>0</v>
      </c>
      <c r="M2343" s="4"/>
      <c r="N2343" s="4"/>
      <c r="O2343" s="4"/>
      <c r="P2343" s="12" t="str">
        <f t="array" ref="P2343">IF(O2343:O6385="","",_xlfn.XLOOKUP(O2343:O6385,'参照_官位'!A:A,'参照_官位'!B:B,""))</f>
      </c>
      <c r="Q2343" s="12" t="str">
        <f t="array" ref="Q2343">IF(A2343:A6385="","",IFERROR(_xlfn.XLOOKUP(A2343:A6385,castles_state!K:K,castles_state!D:D)&amp;"主",IFERROR(_xlfn.XLOOKUP(A2343:A6385,kunishuClan!D:D,kunishuClan!B:B)&amp;"当主","")))</f>
      </c>
    </row>
    <row r="2344" ht="15.75" customHeight="1">
      <c r="A2344" s="4">
        <v>1061010</v>
      </c>
      <c r="B2344" s="12" t="str">
        <f t="array" ref="B2344">IF(A2344:A6386="","",_xlfn.XLOOKUP(A2344:A6386,'参照_武将'!A:A,'参照_武将'!B:B,"見つかりません"))</f>
      </c>
      <c r="C2344" s="4" t="s">
        <v>299</v>
      </c>
      <c r="D2344" s="4">
        <v>26</v>
      </c>
      <c r="E2344" s="12" t="str">
        <f t="array" ref="E2344">IF(D2344:D6386="","",IFERROR(_xlfn.XLOOKUP(D2344:D6386,'参照_勢力'!A:A,'参照_勢力'!B:B),IFERROR(_xlfn.XLOOKUP(F2344:F6386,kunishuClan!A:A,kunishuClan!B:B),"浪人")))</f>
      </c>
      <c r="F2344" s="4">
        <v>0</v>
      </c>
      <c r="G2344" s="4">
        <v>171</v>
      </c>
      <c r="H2344" s="12" t="str">
        <f t="array" ref="H2344">IF(G2344:G6386="","",_xlfn.XLOOKUP(G2344:G6386,castles_state!A:A,castles_state!D:D,"見つかりません"))</f>
      </c>
      <c r="I2344" s="4"/>
      <c r="J2344" s="12" t="str">
        <f t="array" ref="J2344">IF(I2344:I6386="","",_xlfn.XLOOKUP(I2344:I6386,'参照_姫'!A:A,'参照_姫'!B:B,"見つかりません"))</f>
      </c>
      <c r="K2344" s="4">
        <v>95</v>
      </c>
      <c r="L2344" s="4">
        <v>0</v>
      </c>
      <c r="M2344" s="4"/>
      <c r="N2344" s="4"/>
      <c r="O2344" s="4"/>
      <c r="P2344" s="12" t="str">
        <f t="array" ref="P2344">IF(O2344:O6386="","",_xlfn.XLOOKUP(O2344:O6386,'参照_官位'!A:A,'参照_官位'!B:B,""))</f>
      </c>
      <c r="Q2344" s="12" t="str">
        <f t="array" ref="Q2344">IF(A2344:A6386="","",IFERROR(_xlfn.XLOOKUP(A2344:A6386,castles_state!K:K,castles_state!D:D)&amp;"主",IFERROR(_xlfn.XLOOKUP(A2344:A6386,kunishuClan!D:D,kunishuClan!B:B)&amp;"当主","")))</f>
      </c>
    </row>
    <row r="2345" ht="15.75" customHeight="1">
      <c r="A2345" s="4">
        <v>1061011</v>
      </c>
      <c r="B2345" s="12" t="str">
        <f t="array" ref="B2345">IF(A2345:A6387="","",_xlfn.XLOOKUP(A2345:A6387,'参照_武将'!A:A,'参照_武将'!B:B,"見つかりません"))</f>
      </c>
      <c r="C2345" s="4" t="s">
        <v>299</v>
      </c>
      <c r="D2345" s="4">
        <v>26</v>
      </c>
      <c r="E2345" s="12" t="str">
        <f t="array" ref="E2345">IF(D2345:D6387="","",IFERROR(_xlfn.XLOOKUP(D2345:D6387,'参照_勢力'!A:A,'参照_勢力'!B:B),IFERROR(_xlfn.XLOOKUP(F2345:F6387,kunishuClan!A:A,kunishuClan!B:B),"浪人")))</f>
      </c>
      <c r="F2345" s="4">
        <v>0</v>
      </c>
      <c r="G2345" s="4">
        <v>171</v>
      </c>
      <c r="H2345" s="12" t="str">
        <f t="array" ref="H2345">IF(G2345:G6387="","",_xlfn.XLOOKUP(G2345:G6387,castles_state!A:A,castles_state!D:D,"見つかりません"))</f>
      </c>
      <c r="I2345" s="4"/>
      <c r="J2345" s="12" t="str">
        <f t="array" ref="J2345">IF(I2345:I6387="","",_xlfn.XLOOKUP(I2345:I6387,'参照_姫'!A:A,'参照_姫'!B:B,"見つかりません"))</f>
      </c>
      <c r="K2345" s="4">
        <v>95</v>
      </c>
      <c r="L2345" s="4">
        <v>0</v>
      </c>
      <c r="M2345" s="4"/>
      <c r="N2345" s="4"/>
      <c r="O2345" s="4"/>
      <c r="P2345" s="12" t="str">
        <f t="array" ref="P2345">IF(O2345:O6387="","",_xlfn.XLOOKUP(O2345:O6387,'参照_官位'!A:A,'参照_官位'!B:B,""))</f>
      </c>
      <c r="Q2345" s="12" t="str">
        <f t="array" ref="Q2345">IF(A2345:A6387="","",IFERROR(_xlfn.XLOOKUP(A2345:A6387,castles_state!K:K,castles_state!D:D)&amp;"主",IFERROR(_xlfn.XLOOKUP(A2345:A6387,kunishuClan!D:D,kunishuClan!B:B)&amp;"当主","")))</f>
      </c>
    </row>
    <row r="2346" ht="15.75" customHeight="1">
      <c r="A2346" s="4">
        <v>1061012</v>
      </c>
      <c r="B2346" s="12" t="str">
        <f t="array" ref="B2346">IF(A2346:A6388="","",_xlfn.XLOOKUP(A2346:A6388,'参照_武将'!A:A,'参照_武将'!B:B,"見つかりません"))</f>
      </c>
      <c r="C2346" s="4" t="s">
        <v>299</v>
      </c>
      <c r="D2346" s="4">
        <v>26</v>
      </c>
      <c r="E2346" s="12" t="str">
        <f t="array" ref="E2346">IF(D2346:D6388="","",IFERROR(_xlfn.XLOOKUP(D2346:D6388,'参照_勢力'!A:A,'参照_勢力'!B:B),IFERROR(_xlfn.XLOOKUP(F2346:F6388,kunishuClan!A:A,kunishuClan!B:B),"浪人")))</f>
      </c>
      <c r="F2346" s="4">
        <v>0</v>
      </c>
      <c r="G2346" s="4">
        <v>171</v>
      </c>
      <c r="H2346" s="12" t="str">
        <f t="array" ref="H2346">IF(G2346:G6388="","",_xlfn.XLOOKUP(G2346:G6388,castles_state!A:A,castles_state!D:D,"見つかりません"))</f>
      </c>
      <c r="I2346" s="4"/>
      <c r="J2346" s="12" t="str">
        <f t="array" ref="J2346">IF(I2346:I6388="","",_xlfn.XLOOKUP(I2346:I6388,'参照_姫'!A:A,'参照_姫'!B:B,"見つかりません"))</f>
      </c>
      <c r="K2346" s="4">
        <v>95</v>
      </c>
      <c r="L2346" s="4">
        <v>0</v>
      </c>
      <c r="M2346" s="4"/>
      <c r="N2346" s="4"/>
      <c r="O2346" s="4"/>
      <c r="P2346" s="12" t="str">
        <f t="array" ref="P2346">IF(O2346:O6388="","",_xlfn.XLOOKUP(O2346:O6388,'参照_官位'!A:A,'参照_官位'!B:B,""))</f>
      </c>
      <c r="Q2346" s="12" t="str">
        <f t="array" ref="Q2346">IF(A2346:A6388="","",IFERROR(_xlfn.XLOOKUP(A2346:A6388,castles_state!K:K,castles_state!D:D)&amp;"主",IFERROR(_xlfn.XLOOKUP(A2346:A6388,kunishuClan!D:D,kunishuClan!B:B)&amp;"当主","")))</f>
      </c>
    </row>
    <row r="2347" ht="15.75" customHeight="1">
      <c r="A2347" s="4">
        <v>1061013</v>
      </c>
      <c r="B2347" s="12" t="str">
        <f t="array" ref="B2347">IF(A2347:A6389="","",_xlfn.XLOOKUP(A2347:A6389,'参照_武将'!A:A,'参照_武将'!B:B,"見つかりません"))</f>
      </c>
      <c r="C2347" s="4" t="s">
        <v>299</v>
      </c>
      <c r="D2347" s="4">
        <v>26</v>
      </c>
      <c r="E2347" s="12" t="str">
        <f t="array" ref="E2347">IF(D2347:D6389="","",IFERROR(_xlfn.XLOOKUP(D2347:D6389,'参照_勢力'!A:A,'参照_勢力'!B:B),IFERROR(_xlfn.XLOOKUP(F2347:F6389,kunishuClan!A:A,kunishuClan!B:B),"浪人")))</f>
      </c>
      <c r="F2347" s="4">
        <v>0</v>
      </c>
      <c r="G2347" s="4">
        <v>171</v>
      </c>
      <c r="H2347" s="12" t="str">
        <f t="array" ref="H2347">IF(G2347:G6389="","",_xlfn.XLOOKUP(G2347:G6389,castles_state!A:A,castles_state!D:D,"見つかりません"))</f>
      </c>
      <c r="I2347" s="4"/>
      <c r="J2347" s="12" t="str">
        <f t="array" ref="J2347">IF(I2347:I6389="","",_xlfn.XLOOKUP(I2347:I6389,'参照_姫'!A:A,'参照_姫'!B:B,"見つかりません"))</f>
      </c>
      <c r="K2347" s="4">
        <v>95</v>
      </c>
      <c r="L2347" s="4">
        <v>0</v>
      </c>
      <c r="M2347" s="4"/>
      <c r="N2347" s="4"/>
      <c r="O2347" s="4"/>
      <c r="P2347" s="12" t="str">
        <f t="array" ref="P2347">IF(O2347:O6389="","",_xlfn.XLOOKUP(O2347:O6389,'参照_官位'!A:A,'参照_官位'!B:B,""))</f>
      </c>
      <c r="Q2347" s="12" t="str">
        <f t="array" ref="Q2347">IF(A2347:A6389="","",IFERROR(_xlfn.XLOOKUP(A2347:A6389,castles_state!K:K,castles_state!D:D)&amp;"主",IFERROR(_xlfn.XLOOKUP(A2347:A6389,kunishuClan!D:D,kunishuClan!B:B)&amp;"当主","")))</f>
      </c>
    </row>
    <row r="2348" ht="15.75" customHeight="1">
      <c r="A2348" s="4">
        <v>1061014</v>
      </c>
      <c r="B2348" s="12" t="str">
        <f t="array" ref="B2348">IF(A2348:A6390="","",_xlfn.XLOOKUP(A2348:A6390,'参照_武将'!A:A,'参照_武将'!B:B,"見つかりません"))</f>
      </c>
      <c r="C2348" s="4" t="s">
        <v>299</v>
      </c>
      <c r="D2348" s="4">
        <v>26</v>
      </c>
      <c r="E2348" s="12" t="str">
        <f t="array" ref="E2348">IF(D2348:D6390="","",IFERROR(_xlfn.XLOOKUP(D2348:D6390,'参照_勢力'!A:A,'参照_勢力'!B:B),IFERROR(_xlfn.XLOOKUP(F2348:F6390,kunishuClan!A:A,kunishuClan!B:B),"浪人")))</f>
      </c>
      <c r="F2348" s="4">
        <v>0</v>
      </c>
      <c r="G2348" s="4">
        <v>171</v>
      </c>
      <c r="H2348" s="12" t="str">
        <f t="array" ref="H2348">IF(G2348:G6390="","",_xlfn.XLOOKUP(G2348:G6390,castles_state!A:A,castles_state!D:D,"見つかりません"))</f>
      </c>
      <c r="I2348" s="4"/>
      <c r="J2348" s="12" t="str">
        <f t="array" ref="J2348">IF(I2348:I6390="","",_xlfn.XLOOKUP(I2348:I6390,'参照_姫'!A:A,'参照_姫'!B:B,"見つかりません"))</f>
      </c>
      <c r="K2348" s="4">
        <v>95</v>
      </c>
      <c r="L2348" s="4">
        <v>0</v>
      </c>
      <c r="M2348" s="4"/>
      <c r="N2348" s="4"/>
      <c r="O2348" s="4"/>
      <c r="P2348" s="12" t="str">
        <f t="array" ref="P2348">IF(O2348:O6390="","",_xlfn.XLOOKUP(O2348:O6390,'参照_官位'!A:A,'参照_官位'!B:B,""))</f>
      </c>
      <c r="Q2348" s="12" t="str">
        <f t="array" ref="Q2348">IF(A2348:A6390="","",IFERROR(_xlfn.XLOOKUP(A2348:A6390,castles_state!K:K,castles_state!D:D)&amp;"主",IFERROR(_xlfn.XLOOKUP(A2348:A6390,kunishuClan!D:D,kunishuClan!B:B)&amp;"当主","")))</f>
      </c>
    </row>
    <row r="2349" ht="15.75" customHeight="1">
      <c r="A2349" s="4">
        <v>1061015</v>
      </c>
      <c r="B2349" s="12" t="str">
        <f t="array" ref="B2349">IF(A2349:A6391="","",_xlfn.XLOOKUP(A2349:A6391,'参照_武将'!A:A,'参照_武将'!B:B,"見つかりません"))</f>
      </c>
      <c r="C2349" s="4" t="s">
        <v>299</v>
      </c>
      <c r="D2349" s="4">
        <v>26</v>
      </c>
      <c r="E2349" s="12" t="str">
        <f t="array" ref="E2349">IF(D2349:D6391="","",IFERROR(_xlfn.XLOOKUP(D2349:D6391,'参照_勢力'!A:A,'参照_勢力'!B:B),IFERROR(_xlfn.XLOOKUP(F2349:F6391,kunishuClan!A:A,kunishuClan!B:B),"浪人")))</f>
      </c>
      <c r="F2349" s="4">
        <v>0</v>
      </c>
      <c r="G2349" s="4">
        <v>171</v>
      </c>
      <c r="H2349" s="12" t="str">
        <f t="array" ref="H2349">IF(G2349:G6391="","",_xlfn.XLOOKUP(G2349:G6391,castles_state!A:A,castles_state!D:D,"見つかりません"))</f>
      </c>
      <c r="I2349" s="4"/>
      <c r="J2349" s="12" t="str">
        <f t="array" ref="J2349">IF(I2349:I6391="","",_xlfn.XLOOKUP(I2349:I6391,'参照_姫'!A:A,'参照_姫'!B:B,"見つかりません"))</f>
      </c>
      <c r="K2349" s="4">
        <v>95</v>
      </c>
      <c r="L2349" s="4">
        <v>0</v>
      </c>
      <c r="M2349" s="4"/>
      <c r="N2349" s="4"/>
      <c r="O2349" s="4"/>
      <c r="P2349" s="12" t="str">
        <f t="array" ref="P2349">IF(O2349:O6391="","",_xlfn.XLOOKUP(O2349:O6391,'参照_官位'!A:A,'参照_官位'!B:B,""))</f>
      </c>
      <c r="Q2349" s="12" t="str">
        <f t="array" ref="Q2349">IF(A2349:A6391="","",IFERROR(_xlfn.XLOOKUP(A2349:A6391,castles_state!K:K,castles_state!D:D)&amp;"主",IFERROR(_xlfn.XLOOKUP(A2349:A6391,kunishuClan!D:D,kunishuClan!B:B)&amp;"当主","")))</f>
      </c>
    </row>
    <row r="2350" ht="15.75" customHeight="1">
      <c r="A2350" s="4">
        <v>1061016</v>
      </c>
      <c r="B2350" s="12" t="str">
        <f t="array" ref="B2350">IF(A2350:A6392="","",_xlfn.XLOOKUP(A2350:A6392,'参照_武将'!A:A,'参照_武将'!B:B,"見つかりません"))</f>
      </c>
      <c r="C2350" s="4" t="s">
        <v>299</v>
      </c>
      <c r="D2350" s="4">
        <v>26</v>
      </c>
      <c r="E2350" s="12" t="str">
        <f t="array" ref="E2350">IF(D2350:D6392="","",IFERROR(_xlfn.XLOOKUP(D2350:D6392,'参照_勢力'!A:A,'参照_勢力'!B:B),IFERROR(_xlfn.XLOOKUP(F2350:F6392,kunishuClan!A:A,kunishuClan!B:B),"浪人")))</f>
      </c>
      <c r="F2350" s="4">
        <v>0</v>
      </c>
      <c r="G2350" s="4">
        <v>171</v>
      </c>
      <c r="H2350" s="12" t="str">
        <f t="array" ref="H2350">IF(G2350:G6392="","",_xlfn.XLOOKUP(G2350:G6392,castles_state!A:A,castles_state!D:D,"見つかりません"))</f>
      </c>
      <c r="I2350" s="4"/>
      <c r="J2350" s="12" t="str">
        <f t="array" ref="J2350">IF(I2350:I6392="","",_xlfn.XLOOKUP(I2350:I6392,'参照_姫'!A:A,'参照_姫'!B:B,"見つかりません"))</f>
      </c>
      <c r="K2350" s="4">
        <v>95</v>
      </c>
      <c r="L2350" s="4">
        <v>0</v>
      </c>
      <c r="M2350" s="4"/>
      <c r="N2350" s="4"/>
      <c r="O2350" s="4"/>
      <c r="P2350" s="12" t="str">
        <f t="array" ref="P2350">IF(O2350:O6392="","",_xlfn.XLOOKUP(O2350:O6392,'参照_官位'!A:A,'参照_官位'!B:B,""))</f>
      </c>
      <c r="Q2350" s="12" t="str">
        <f t="array" ref="Q2350">IF(A2350:A6392="","",IFERROR(_xlfn.XLOOKUP(A2350:A6392,castles_state!K:K,castles_state!D:D)&amp;"主",IFERROR(_xlfn.XLOOKUP(A2350:A6392,kunishuClan!D:D,kunishuClan!B:B)&amp;"当主","")))</f>
      </c>
    </row>
    <row r="2351" ht="15.75" customHeight="1">
      <c r="A2351" s="4">
        <v>1061017</v>
      </c>
      <c r="B2351" s="12" t="str">
        <f t="array" ref="B2351">IF(A2351:A6393="","",_xlfn.XLOOKUP(A2351:A6393,'参照_武将'!A:A,'参照_武将'!B:B,"見つかりません"))</f>
      </c>
      <c r="C2351" s="4" t="s">
        <v>299</v>
      </c>
      <c r="D2351" s="4">
        <v>61</v>
      </c>
      <c r="E2351" s="12" t="str">
        <f t="array" ref="E2351">IF(D2351:D6393="","",IFERROR(_xlfn.XLOOKUP(D2351:D6393,'参照_勢力'!A:A,'参照_勢力'!B:B),IFERROR(_xlfn.XLOOKUP(F2351:F6393,kunishuClan!A:A,kunishuClan!B:B),"浪人")))</f>
      </c>
      <c r="F2351" s="4">
        <v>0</v>
      </c>
      <c r="G2351" s="4">
        <v>173</v>
      </c>
      <c r="H2351" s="12" t="str">
        <f t="array" ref="H2351">IF(G2351:G6393="","",_xlfn.XLOOKUP(G2351:G6393,castles_state!A:A,castles_state!D:D,"見つかりません"))</f>
      </c>
      <c r="I2351" s="4"/>
      <c r="J2351" s="12" t="str">
        <f t="array" ref="J2351">IF(I2351:I6393="","",_xlfn.XLOOKUP(I2351:I6393,'参照_姫'!A:A,'参照_姫'!B:B,"見つかりません"))</f>
      </c>
      <c r="K2351" s="4">
        <v>95</v>
      </c>
      <c r="L2351" s="4">
        <v>0</v>
      </c>
      <c r="M2351" s="4"/>
      <c r="N2351" s="4"/>
      <c r="O2351" s="4"/>
      <c r="P2351" s="12" t="str">
        <f t="array" ref="P2351">IF(O2351:O6393="","",_xlfn.XLOOKUP(O2351:O6393,'参照_官位'!A:A,'参照_官位'!B:B,""))</f>
      </c>
      <c r="Q2351" s="12" t="str">
        <f t="array" ref="Q2351">IF(A2351:A6393="","",IFERROR(_xlfn.XLOOKUP(A2351:A6393,castles_state!K:K,castles_state!D:D)&amp;"主",IFERROR(_xlfn.XLOOKUP(A2351:A6393,kunishuClan!D:D,kunishuClan!B:B)&amp;"当主","")))</f>
      </c>
    </row>
    <row r="2352" ht="15.75" customHeight="1">
      <c r="A2352" s="4">
        <v>1061018</v>
      </c>
      <c r="B2352" s="12" t="str">
        <f t="array" ref="B2352">IF(A2352:A6394="","",_xlfn.XLOOKUP(A2352:A6394,'参照_武将'!A:A,'参照_武将'!B:B,"見つかりません"))</f>
      </c>
      <c r="C2352" s="4" t="s">
        <v>299</v>
      </c>
      <c r="D2352" s="4">
        <v>61</v>
      </c>
      <c r="E2352" s="12" t="str">
        <f t="array" ref="E2352">IF(D2352:D6394="","",IFERROR(_xlfn.XLOOKUP(D2352:D6394,'参照_勢力'!A:A,'参照_勢力'!B:B),IFERROR(_xlfn.XLOOKUP(F2352:F6394,kunishuClan!A:A,kunishuClan!B:B),"浪人")))</f>
      </c>
      <c r="F2352" s="4">
        <v>0</v>
      </c>
      <c r="G2352" s="4">
        <v>173</v>
      </c>
      <c r="H2352" s="12" t="str">
        <f t="array" ref="H2352">IF(G2352:G6394="","",_xlfn.XLOOKUP(G2352:G6394,castles_state!A:A,castles_state!D:D,"見つかりません"))</f>
      </c>
      <c r="I2352" s="4"/>
      <c r="J2352" s="12" t="str">
        <f t="array" ref="J2352">IF(I2352:I6394="","",_xlfn.XLOOKUP(I2352:I6394,'参照_姫'!A:A,'参照_姫'!B:B,"見つかりません"))</f>
      </c>
      <c r="K2352" s="4">
        <v>95</v>
      </c>
      <c r="L2352" s="4">
        <v>0</v>
      </c>
      <c r="M2352" s="4"/>
      <c r="N2352" s="4"/>
      <c r="O2352" s="4"/>
      <c r="P2352" s="12" t="str">
        <f t="array" ref="P2352">IF(O2352:O6394="","",_xlfn.XLOOKUP(O2352:O6394,'参照_官位'!A:A,'参照_官位'!B:B,""))</f>
      </c>
      <c r="Q2352" s="12" t="str">
        <f t="array" ref="Q2352">IF(A2352:A6394="","",IFERROR(_xlfn.XLOOKUP(A2352:A6394,castles_state!K:K,castles_state!D:D)&amp;"主",IFERROR(_xlfn.XLOOKUP(A2352:A6394,kunishuClan!D:D,kunishuClan!B:B)&amp;"当主","")))</f>
      </c>
    </row>
    <row r="2353" ht="15.75" customHeight="1">
      <c r="A2353" s="4">
        <v>1061019</v>
      </c>
      <c r="B2353" s="12" t="str">
        <f t="array" ref="B2353">IF(A2353:A6395="","",_xlfn.XLOOKUP(A2353:A6395,'参照_武将'!A:A,'参照_武将'!B:B,"見つかりません"))</f>
      </c>
      <c r="C2353" s="4" t="s">
        <v>299</v>
      </c>
      <c r="D2353" s="4">
        <v>61</v>
      </c>
      <c r="E2353" s="12" t="str">
        <f t="array" ref="E2353">IF(D2353:D6395="","",IFERROR(_xlfn.XLOOKUP(D2353:D6395,'参照_勢力'!A:A,'参照_勢力'!B:B),IFERROR(_xlfn.XLOOKUP(F2353:F6395,kunishuClan!A:A,kunishuClan!B:B),"浪人")))</f>
      </c>
      <c r="F2353" s="4">
        <v>0</v>
      </c>
      <c r="G2353" s="4">
        <v>173</v>
      </c>
      <c r="H2353" s="12" t="str">
        <f t="array" ref="H2353">IF(G2353:G6395="","",_xlfn.XLOOKUP(G2353:G6395,castles_state!A:A,castles_state!D:D,"見つかりません"))</f>
      </c>
      <c r="I2353" s="4"/>
      <c r="J2353" s="12" t="str">
        <f t="array" ref="J2353">IF(I2353:I6395="","",_xlfn.XLOOKUP(I2353:I6395,'参照_姫'!A:A,'参照_姫'!B:B,"見つかりません"))</f>
      </c>
      <c r="K2353" s="4">
        <v>95</v>
      </c>
      <c r="L2353" s="4">
        <v>0</v>
      </c>
      <c r="M2353" s="4"/>
      <c r="N2353" s="4"/>
      <c r="O2353" s="4"/>
      <c r="P2353" s="12" t="str">
        <f t="array" ref="P2353">IF(O2353:O6395="","",_xlfn.XLOOKUP(O2353:O6395,'参照_官位'!A:A,'参照_官位'!B:B,""))</f>
      </c>
      <c r="Q2353" s="12" t="str">
        <f t="array" ref="Q2353">IF(A2353:A6395="","",IFERROR(_xlfn.XLOOKUP(A2353:A6395,castles_state!K:K,castles_state!D:D)&amp;"主",IFERROR(_xlfn.XLOOKUP(A2353:A6395,kunishuClan!D:D,kunishuClan!B:B)&amp;"当主","")))</f>
      </c>
    </row>
    <row r="2354" ht="15.75" customHeight="1">
      <c r="A2354" s="4">
        <v>1061020</v>
      </c>
      <c r="B2354" s="12" t="str">
        <f t="array" ref="B2354">IF(A2354:A6396="","",_xlfn.XLOOKUP(A2354:A6396,'参照_武将'!A:A,'参照_武将'!B:B,"見つかりません"))</f>
      </c>
      <c r="C2354" s="4" t="s">
        <v>299</v>
      </c>
      <c r="D2354" s="4">
        <v>61</v>
      </c>
      <c r="E2354" s="12" t="str">
        <f t="array" ref="E2354">IF(D2354:D6396="","",IFERROR(_xlfn.XLOOKUP(D2354:D6396,'参照_勢力'!A:A,'参照_勢力'!B:B),IFERROR(_xlfn.XLOOKUP(F2354:F6396,kunishuClan!A:A,kunishuClan!B:B),"浪人")))</f>
      </c>
      <c r="F2354" s="4">
        <v>0</v>
      </c>
      <c r="G2354" s="4">
        <v>172</v>
      </c>
      <c r="H2354" s="12" t="str">
        <f t="array" ref="H2354">IF(G2354:G6396="","",_xlfn.XLOOKUP(G2354:G6396,castles_state!A:A,castles_state!D:D,"見つかりません"))</f>
      </c>
      <c r="I2354" s="4"/>
      <c r="J2354" s="12" t="str">
        <f t="array" ref="J2354">IF(I2354:I6396="","",_xlfn.XLOOKUP(I2354:I6396,'参照_姫'!A:A,'参照_姫'!B:B,"見つかりません"))</f>
      </c>
      <c r="K2354" s="4">
        <v>85</v>
      </c>
      <c r="L2354" s="4">
        <v>300</v>
      </c>
      <c r="M2354" s="4"/>
      <c r="N2354" s="4"/>
      <c r="O2354" s="4"/>
      <c r="P2354" s="12" t="str">
        <f t="array" ref="P2354">IF(O2354:O6396="","",_xlfn.XLOOKUP(O2354:O6396,'参照_官位'!A:A,'参照_官位'!B:B,""))</f>
      </c>
      <c r="Q2354" s="12" t="str">
        <f t="array" ref="Q2354">IF(A2354:A6396="","",IFERROR(_xlfn.XLOOKUP(A2354:A6396,castles_state!K:K,castles_state!D:D)&amp;"主",IFERROR(_xlfn.XLOOKUP(A2354:A6396,kunishuClan!D:D,kunishuClan!B:B)&amp;"当主","")))</f>
      </c>
    </row>
    <row r="2355" ht="15.75" customHeight="1">
      <c r="A2355" s="4">
        <v>1061021</v>
      </c>
      <c r="B2355" s="12" t="str">
        <f t="array" ref="B2355">IF(A2355:A6397="","",_xlfn.XLOOKUP(A2355:A6397,'参照_武将'!A:A,'参照_武将'!B:B,"見つかりません"))</f>
      </c>
      <c r="C2355" s="4" t="s">
        <v>299</v>
      </c>
      <c r="D2355" s="4">
        <v>61</v>
      </c>
      <c r="E2355" s="12" t="str">
        <f t="array" ref="E2355">IF(D2355:D6397="","",IFERROR(_xlfn.XLOOKUP(D2355:D6397,'参照_勢力'!A:A,'参照_勢力'!B:B),IFERROR(_xlfn.XLOOKUP(F2355:F6397,kunishuClan!A:A,kunishuClan!B:B),"浪人")))</f>
      </c>
      <c r="F2355" s="4">
        <v>0</v>
      </c>
      <c r="G2355" s="4">
        <v>172</v>
      </c>
      <c r="H2355" s="12" t="str">
        <f t="array" ref="H2355">IF(G2355:G6397="","",_xlfn.XLOOKUP(G2355:G6397,castles_state!A:A,castles_state!D:D,"見つかりません"))</f>
      </c>
      <c r="I2355" s="4"/>
      <c r="J2355" s="12" t="str">
        <f t="array" ref="J2355">IF(I2355:I6397="","",_xlfn.XLOOKUP(I2355:I6397,'参照_姫'!A:A,'参照_姫'!B:B,"見つかりません"))</f>
      </c>
      <c r="K2355" s="4">
        <v>85</v>
      </c>
      <c r="L2355" s="4">
        <v>0</v>
      </c>
      <c r="M2355" s="4"/>
      <c r="N2355" s="4"/>
      <c r="O2355" s="4"/>
      <c r="P2355" s="12" t="str">
        <f t="array" ref="P2355">IF(O2355:O6397="","",_xlfn.XLOOKUP(O2355:O6397,'参照_官位'!A:A,'参照_官位'!B:B,""))</f>
      </c>
      <c r="Q2355" s="12" t="str">
        <f t="array" ref="Q2355">IF(A2355:A6397="","",IFERROR(_xlfn.XLOOKUP(A2355:A6397,castles_state!K:K,castles_state!D:D)&amp;"主",IFERROR(_xlfn.XLOOKUP(A2355:A6397,kunishuClan!D:D,kunishuClan!B:B)&amp;"当主","")))</f>
      </c>
    </row>
    <row r="2356" ht="15.75" customHeight="1">
      <c r="A2356" s="4">
        <v>1061022</v>
      </c>
      <c r="B2356" s="12" t="str">
        <f t="array" ref="B2356">IF(A2356:A6398="","",_xlfn.XLOOKUP(A2356:A6398,'参照_武将'!A:A,'参照_武将'!B:B,"見つかりません"))</f>
      </c>
      <c r="C2356" s="4" t="s">
        <v>299</v>
      </c>
      <c r="D2356" s="4">
        <v>61</v>
      </c>
      <c r="E2356" s="12" t="str">
        <f t="array" ref="E2356">IF(D2356:D6398="","",IFERROR(_xlfn.XLOOKUP(D2356:D6398,'参照_勢力'!A:A,'参照_勢力'!B:B),IFERROR(_xlfn.XLOOKUP(F2356:F6398,kunishuClan!A:A,kunishuClan!B:B),"浪人")))</f>
      </c>
      <c r="F2356" s="4">
        <v>0</v>
      </c>
      <c r="G2356" s="4">
        <v>173</v>
      </c>
      <c r="H2356" s="12" t="str">
        <f t="array" ref="H2356">IF(G2356:G6398="","",_xlfn.XLOOKUP(G2356:G6398,castles_state!A:A,castles_state!D:D,"見つかりません"))</f>
      </c>
      <c r="I2356" s="4"/>
      <c r="J2356" s="12" t="str">
        <f t="array" ref="J2356">IF(I2356:I6398="","",_xlfn.XLOOKUP(I2356:I6398,'参照_姫'!A:A,'参照_姫'!B:B,"見つかりません"))</f>
      </c>
      <c r="K2356" s="4">
        <v>95</v>
      </c>
      <c r="L2356" s="4">
        <v>0</v>
      </c>
      <c r="M2356" s="4"/>
      <c r="N2356" s="4"/>
      <c r="O2356" s="4"/>
      <c r="P2356" s="12" t="str">
        <f t="array" ref="P2356">IF(O2356:O6398="","",_xlfn.XLOOKUP(O2356:O6398,'参照_官位'!A:A,'参照_官位'!B:B,""))</f>
      </c>
      <c r="Q2356" s="12" t="str">
        <f t="array" ref="Q2356">IF(A2356:A6398="","",IFERROR(_xlfn.XLOOKUP(A2356:A6398,castles_state!K:K,castles_state!D:D)&amp;"主",IFERROR(_xlfn.XLOOKUP(A2356:A6398,kunishuClan!D:D,kunishuClan!B:B)&amp;"当主","")))</f>
      </c>
    </row>
    <row r="2357" ht="15.75" customHeight="1">
      <c r="A2357" s="4">
        <v>1061023</v>
      </c>
      <c r="B2357" s="12" t="str">
        <f t="array" ref="B2357">IF(A2357:A6399="","",_xlfn.XLOOKUP(A2357:A6399,'参照_武将'!A:A,'参照_武将'!B:B,"見つかりません"))</f>
      </c>
      <c r="C2357" s="4" t="s">
        <v>299</v>
      </c>
      <c r="D2357" s="4">
        <v>61</v>
      </c>
      <c r="E2357" s="12" t="str">
        <f t="array" ref="E2357">IF(D2357:D6399="","",IFERROR(_xlfn.XLOOKUP(D2357:D6399,'参照_勢力'!A:A,'参照_勢力'!B:B),IFERROR(_xlfn.XLOOKUP(F2357:F6399,kunishuClan!A:A,kunishuClan!B:B),"浪人")))</f>
      </c>
      <c r="F2357" s="4">
        <v>0</v>
      </c>
      <c r="G2357" s="4">
        <v>173</v>
      </c>
      <c r="H2357" s="12" t="str">
        <f t="array" ref="H2357">IF(G2357:G6399="","",_xlfn.XLOOKUP(G2357:G6399,castles_state!A:A,castles_state!D:D,"見つかりません"))</f>
      </c>
      <c r="I2357" s="4"/>
      <c r="J2357" s="12" t="str">
        <f t="array" ref="J2357">IF(I2357:I6399="","",_xlfn.XLOOKUP(I2357:I6399,'参照_姫'!A:A,'参照_姫'!B:B,"見つかりません"))</f>
      </c>
      <c r="K2357" s="4">
        <v>95</v>
      </c>
      <c r="L2357" s="4">
        <v>0</v>
      </c>
      <c r="M2357" s="4"/>
      <c r="N2357" s="4"/>
      <c r="O2357" s="4"/>
      <c r="P2357" s="12" t="str">
        <f t="array" ref="P2357">IF(O2357:O6399="","",_xlfn.XLOOKUP(O2357:O6399,'参照_官位'!A:A,'参照_官位'!B:B,""))</f>
      </c>
      <c r="Q2357" s="12" t="str">
        <f t="array" ref="Q2357">IF(A2357:A6399="","",IFERROR(_xlfn.XLOOKUP(A2357:A6399,castles_state!K:K,castles_state!D:D)&amp;"主",IFERROR(_xlfn.XLOOKUP(A2357:A6399,kunishuClan!D:D,kunishuClan!B:B)&amp;"当主","")))</f>
      </c>
    </row>
    <row r="2358" ht="15.75" customHeight="1">
      <c r="A2358" s="4">
        <v>1061024</v>
      </c>
      <c r="B2358" s="12" t="str">
        <f t="array" ref="B2358">IF(A2358:A6400="","",_xlfn.XLOOKUP(A2358:A6400,'参照_武将'!A:A,'参照_武将'!B:B,"見つかりません"))</f>
      </c>
      <c r="C2358" s="4" t="s">
        <v>299</v>
      </c>
      <c r="D2358" s="4">
        <v>61</v>
      </c>
      <c r="E2358" s="12" t="str">
        <f t="array" ref="E2358">IF(D2358:D6400="","",IFERROR(_xlfn.XLOOKUP(D2358:D6400,'参照_勢力'!A:A,'参照_勢力'!B:B),IFERROR(_xlfn.XLOOKUP(F2358:F6400,kunishuClan!A:A,kunishuClan!B:B),"浪人")))</f>
      </c>
      <c r="F2358" s="4">
        <v>0</v>
      </c>
      <c r="G2358" s="4">
        <v>172</v>
      </c>
      <c r="H2358" s="12" t="str">
        <f t="array" ref="H2358">IF(G2358:G6400="","",_xlfn.XLOOKUP(G2358:G6400,castles_state!A:A,castles_state!D:D,"見つかりません"))</f>
      </c>
      <c r="I2358" s="4"/>
      <c r="J2358" s="12" t="str">
        <f t="array" ref="J2358">IF(I2358:I6400="","",_xlfn.XLOOKUP(I2358:I6400,'参照_姫'!A:A,'参照_姫'!B:B,"見つかりません"))</f>
      </c>
      <c r="K2358" s="4">
        <v>95</v>
      </c>
      <c r="L2358" s="4">
        <v>0</v>
      </c>
      <c r="M2358" s="4"/>
      <c r="N2358" s="4"/>
      <c r="O2358" s="4"/>
      <c r="P2358" s="12" t="str">
        <f t="array" ref="P2358">IF(O2358:O6400="","",_xlfn.XLOOKUP(O2358:O6400,'参照_官位'!A:A,'参照_官位'!B:B,""))</f>
      </c>
      <c r="Q2358" s="12" t="str">
        <f t="array" ref="Q2358">IF(A2358:A6400="","",IFERROR(_xlfn.XLOOKUP(A2358:A6400,castles_state!K:K,castles_state!D:D)&amp;"主",IFERROR(_xlfn.XLOOKUP(A2358:A6400,kunishuClan!D:D,kunishuClan!B:B)&amp;"当主","")))</f>
      </c>
    </row>
    <row r="2359" ht="15.75" customHeight="1">
      <c r="A2359" s="4">
        <v>1061025</v>
      </c>
      <c r="B2359" s="12" t="str">
        <f t="array" ref="B2359">IF(A2359:A6401="","",_xlfn.XLOOKUP(A2359:A6401,'参照_武将'!A:A,'参照_武将'!B:B,"見つかりません"))</f>
      </c>
      <c r="C2359" s="4" t="s">
        <v>299</v>
      </c>
      <c r="D2359" s="4">
        <v>61</v>
      </c>
      <c r="E2359" s="12" t="str">
        <f t="array" ref="E2359">IF(D2359:D6401="","",IFERROR(_xlfn.XLOOKUP(D2359:D6401,'参照_勢力'!A:A,'参照_勢力'!B:B),IFERROR(_xlfn.XLOOKUP(F2359:F6401,kunishuClan!A:A,kunishuClan!B:B),"浪人")))</f>
      </c>
      <c r="F2359" s="4">
        <v>0</v>
      </c>
      <c r="G2359" s="4">
        <v>172</v>
      </c>
      <c r="H2359" s="12" t="str">
        <f t="array" ref="H2359">IF(G2359:G6401="","",_xlfn.XLOOKUP(G2359:G6401,castles_state!A:A,castles_state!D:D,"見つかりません"))</f>
      </c>
      <c r="I2359" s="4"/>
      <c r="J2359" s="12" t="str">
        <f t="array" ref="J2359">IF(I2359:I6401="","",_xlfn.XLOOKUP(I2359:I6401,'参照_姫'!A:A,'参照_姫'!B:B,"見つかりません"))</f>
      </c>
      <c r="K2359" s="4">
        <v>85</v>
      </c>
      <c r="L2359" s="4">
        <v>0</v>
      </c>
      <c r="M2359" s="4"/>
      <c r="N2359" s="4"/>
      <c r="O2359" s="4"/>
      <c r="P2359" s="12" t="str">
        <f t="array" ref="P2359">IF(O2359:O6401="","",_xlfn.XLOOKUP(O2359:O6401,'参照_官位'!A:A,'参照_官位'!B:B,""))</f>
      </c>
      <c r="Q2359" s="12" t="str">
        <f t="array" ref="Q2359">IF(A2359:A6401="","",IFERROR(_xlfn.XLOOKUP(A2359:A6401,castles_state!K:K,castles_state!D:D)&amp;"主",IFERROR(_xlfn.XLOOKUP(A2359:A6401,kunishuClan!D:D,kunishuClan!B:B)&amp;"当主","")))</f>
      </c>
    </row>
    <row r="2360" ht="15.75" customHeight="1">
      <c r="A2360" s="4">
        <v>1061026</v>
      </c>
      <c r="B2360" s="12" t="str">
        <f t="array" ref="B2360">IF(A2360:A6402="","",_xlfn.XLOOKUP(A2360:A6402,'参照_武将'!A:A,'参照_武将'!B:B,"見つかりません"))</f>
      </c>
      <c r="C2360" s="4" t="s">
        <v>299</v>
      </c>
      <c r="D2360" s="4">
        <v>61</v>
      </c>
      <c r="E2360" s="12" t="str">
        <f t="array" ref="E2360">IF(D2360:D6402="","",IFERROR(_xlfn.XLOOKUP(D2360:D6402,'参照_勢力'!A:A,'参照_勢力'!B:B),IFERROR(_xlfn.XLOOKUP(F2360:F6402,kunishuClan!A:A,kunishuClan!B:B),"浪人")))</f>
      </c>
      <c r="F2360" s="4">
        <v>0</v>
      </c>
      <c r="G2360" s="4">
        <v>172</v>
      </c>
      <c r="H2360" s="12" t="str">
        <f t="array" ref="H2360">IF(G2360:G6402="","",_xlfn.XLOOKUP(G2360:G6402,castles_state!A:A,castles_state!D:D,"見つかりません"))</f>
      </c>
      <c r="I2360" s="4"/>
      <c r="J2360" s="12" t="str">
        <f t="array" ref="J2360">IF(I2360:I6402="","",_xlfn.XLOOKUP(I2360:I6402,'参照_姫'!A:A,'参照_姫'!B:B,"見つかりません"))</f>
      </c>
      <c r="K2360" s="4">
        <v>85</v>
      </c>
      <c r="L2360" s="4">
        <v>0</v>
      </c>
      <c r="M2360" s="4"/>
      <c r="N2360" s="4"/>
      <c r="O2360" s="4"/>
      <c r="P2360" s="12" t="str">
        <f t="array" ref="P2360">IF(O2360:O6402="","",_xlfn.XLOOKUP(O2360:O6402,'参照_官位'!A:A,'参照_官位'!B:B,""))</f>
      </c>
      <c r="Q2360" s="12" t="str">
        <f t="array" ref="Q2360">IF(A2360:A6402="","",IFERROR(_xlfn.XLOOKUP(A2360:A6402,castles_state!K:K,castles_state!D:D)&amp;"主",IFERROR(_xlfn.XLOOKUP(A2360:A6402,kunishuClan!D:D,kunishuClan!B:B)&amp;"当主","")))</f>
      </c>
    </row>
    <row r="2361" ht="15.75" customHeight="1">
      <c r="A2361" s="4">
        <v>1061027</v>
      </c>
      <c r="B2361" s="12" t="str">
        <f t="array" ref="B2361">IF(A2361:A6403="","",_xlfn.XLOOKUP(A2361:A6403,'参照_武将'!A:A,'参照_武将'!B:B,"見つかりません"))</f>
      </c>
      <c r="C2361" s="4" t="s">
        <v>299</v>
      </c>
      <c r="D2361" s="4">
        <v>61</v>
      </c>
      <c r="E2361" s="12" t="str">
        <f t="array" ref="E2361">IF(D2361:D6403="","",IFERROR(_xlfn.XLOOKUP(D2361:D6403,'参照_勢力'!A:A,'参照_勢力'!B:B),IFERROR(_xlfn.XLOOKUP(F2361:F6403,kunishuClan!A:A,kunishuClan!B:B),"浪人")))</f>
      </c>
      <c r="F2361" s="4">
        <v>0</v>
      </c>
      <c r="G2361" s="4">
        <v>173</v>
      </c>
      <c r="H2361" s="12" t="str">
        <f t="array" ref="H2361">IF(G2361:G6403="","",_xlfn.XLOOKUP(G2361:G6403,castles_state!A:A,castles_state!D:D,"見つかりません"))</f>
      </c>
      <c r="I2361" s="4"/>
      <c r="J2361" s="12" t="str">
        <f t="array" ref="J2361">IF(I2361:I6403="","",_xlfn.XLOOKUP(I2361:I6403,'参照_姫'!A:A,'参照_姫'!B:B,"見つかりません"))</f>
      </c>
      <c r="K2361" s="4">
        <v>95</v>
      </c>
      <c r="L2361" s="4">
        <v>500</v>
      </c>
      <c r="M2361" s="4" t="b">
        <v>1</v>
      </c>
      <c r="N2361" s="4"/>
      <c r="O2361" s="4"/>
      <c r="P2361" s="12" t="str">
        <f t="array" ref="P2361">IF(O2361:O6403="","",_xlfn.XLOOKUP(O2361:O6403,'参照_官位'!A:A,'参照_官位'!B:B,""))</f>
      </c>
      <c r="Q2361" s="12" t="str">
        <f t="array" ref="Q2361">IF(A2361:A6403="","",IFERROR(_xlfn.XLOOKUP(A2361:A6403,castles_state!K:K,castles_state!D:D)&amp;"主",IFERROR(_xlfn.XLOOKUP(A2361:A6403,kunishuClan!D:D,kunishuClan!B:B)&amp;"当主","")))</f>
      </c>
    </row>
    <row r="2362" ht="15.75" customHeight="1">
      <c r="A2362" s="4">
        <v>1061028</v>
      </c>
      <c r="B2362" s="12" t="str">
        <f t="array" ref="B2362">IF(A2362:A6404="","",_xlfn.XLOOKUP(A2362:A6404,'参照_武将'!A:A,'参照_武将'!B:B,"見つかりません"))</f>
      </c>
      <c r="C2362" s="4" t="s">
        <v>299</v>
      </c>
      <c r="D2362" s="4">
        <v>61</v>
      </c>
      <c r="E2362" s="12" t="str">
        <f t="array" ref="E2362">IF(D2362:D6404="","",IFERROR(_xlfn.XLOOKUP(D2362:D6404,'参照_勢力'!A:A,'参照_勢力'!B:B),IFERROR(_xlfn.XLOOKUP(F2362:F6404,kunishuClan!A:A,kunishuClan!B:B),"浪人")))</f>
      </c>
      <c r="F2362" s="4">
        <v>0</v>
      </c>
      <c r="G2362" s="4">
        <v>173</v>
      </c>
      <c r="H2362" s="12" t="str">
        <f t="array" ref="H2362">IF(G2362:G6404="","",_xlfn.XLOOKUP(G2362:G6404,castles_state!A:A,castles_state!D:D,"見つかりません"))</f>
      </c>
      <c r="I2362" s="4"/>
      <c r="J2362" s="12" t="str">
        <f t="array" ref="J2362">IF(I2362:I6404="","",_xlfn.XLOOKUP(I2362:I6404,'参照_姫'!A:A,'参照_姫'!B:B,"見つかりません"))</f>
      </c>
      <c r="K2362" s="4">
        <v>95</v>
      </c>
      <c r="L2362" s="4">
        <v>0</v>
      </c>
      <c r="M2362" s="4"/>
      <c r="N2362" s="4"/>
      <c r="O2362" s="4"/>
      <c r="P2362" s="12" t="str">
        <f t="array" ref="P2362">IF(O2362:O6404="","",_xlfn.XLOOKUP(O2362:O6404,'参照_官位'!A:A,'参照_官位'!B:B,""))</f>
      </c>
      <c r="Q2362" s="12" t="str">
        <f t="array" ref="Q2362">IF(A2362:A6404="","",IFERROR(_xlfn.XLOOKUP(A2362:A6404,castles_state!K:K,castles_state!D:D)&amp;"主",IFERROR(_xlfn.XLOOKUP(A2362:A6404,kunishuClan!D:D,kunishuClan!B:B)&amp;"当主","")))</f>
      </c>
    </row>
    <row r="2363" ht="15.75" customHeight="1">
      <c r="A2363" s="4">
        <v>1061029</v>
      </c>
      <c r="B2363" s="12" t="str">
        <f t="array" ref="B2363">IF(A2363:A6405="","",_xlfn.XLOOKUP(A2363:A6405,'参照_武将'!A:A,'参照_武将'!B:B,"見つかりません"))</f>
      </c>
      <c r="C2363" s="4" t="s">
        <v>299</v>
      </c>
      <c r="D2363" s="4">
        <v>61</v>
      </c>
      <c r="E2363" s="12" t="str">
        <f t="array" ref="E2363">IF(D2363:D6405="","",IFERROR(_xlfn.XLOOKUP(D2363:D6405,'参照_勢力'!A:A,'参照_勢力'!B:B),IFERROR(_xlfn.XLOOKUP(F2363:F6405,kunishuClan!A:A,kunishuClan!B:B),"浪人")))</f>
      </c>
      <c r="F2363" s="4">
        <v>0</v>
      </c>
      <c r="G2363" s="4">
        <v>173</v>
      </c>
      <c r="H2363" s="12" t="str">
        <f t="array" ref="H2363">IF(G2363:G6405="","",_xlfn.XLOOKUP(G2363:G6405,castles_state!A:A,castles_state!D:D,"見つかりません"))</f>
      </c>
      <c r="I2363" s="4"/>
      <c r="J2363" s="12" t="str">
        <f t="array" ref="J2363">IF(I2363:I6405="","",_xlfn.XLOOKUP(I2363:I6405,'参照_姫'!A:A,'参照_姫'!B:B,"見つかりません"))</f>
      </c>
      <c r="K2363" s="4">
        <v>95</v>
      </c>
      <c r="L2363" s="4">
        <v>0</v>
      </c>
      <c r="M2363" s="4"/>
      <c r="N2363" s="4"/>
      <c r="O2363" s="4"/>
      <c r="P2363" s="12" t="str">
        <f t="array" ref="P2363">IF(O2363:O6405="","",_xlfn.XLOOKUP(O2363:O6405,'参照_官位'!A:A,'参照_官位'!B:B,""))</f>
      </c>
      <c r="Q2363" s="12" t="str">
        <f t="array" ref="Q2363">IF(A2363:A6405="","",IFERROR(_xlfn.XLOOKUP(A2363:A6405,castles_state!K:K,castles_state!D:D)&amp;"主",IFERROR(_xlfn.XLOOKUP(A2363:A6405,kunishuClan!D:D,kunishuClan!B:B)&amp;"当主","")))</f>
      </c>
    </row>
    <row r="2364" ht="15.75" customHeight="1">
      <c r="A2364" s="4">
        <v>1062001</v>
      </c>
      <c r="B2364" s="12" t="str">
        <f t="array" ref="B2364">IF(A2364:A6406="","",_xlfn.XLOOKUP(A2364:A6406,'参照_武将'!A:A,'参照_武将'!B:B,"見つかりません"))</f>
      </c>
      <c r="C2364" s="4" t="s">
        <v>302</v>
      </c>
      <c r="D2364" s="4">
        <v>62</v>
      </c>
      <c r="E2364" s="12" t="str">
        <f t="array" ref="E2364">IF(D2364:D6406="","",IFERROR(_xlfn.XLOOKUP(D2364:D6406,'参照_勢力'!A:A,'参照_勢力'!B:B),IFERROR(_xlfn.XLOOKUP(F2364:F6406,kunishuClan!A:A,kunishuClan!B:B),"浪人")))</f>
      </c>
      <c r="F2364" s="4">
        <v>0</v>
      </c>
      <c r="G2364" s="4">
        <v>174</v>
      </c>
      <c r="H2364" s="12" t="str">
        <f t="array" ref="H2364">IF(G2364:G6406="","",_xlfn.XLOOKUP(G2364:G6406,castles_state!A:A,castles_state!D:D,"見つかりません"))</f>
      </c>
      <c r="I2364" s="4"/>
      <c r="J2364" s="12" t="str">
        <f t="array" ref="J2364">IF(I2364:I6406="","",_xlfn.XLOOKUP(I2364:I6406,'参照_姫'!A:A,'参照_姫'!B:B,"見つかりません"))</f>
      </c>
      <c r="K2364" s="4">
        <v>95</v>
      </c>
      <c r="L2364" s="4">
        <v>0</v>
      </c>
      <c r="M2364" s="4"/>
      <c r="N2364" s="4"/>
      <c r="O2364" s="4"/>
      <c r="P2364" s="12" t="str">
        <f t="array" ref="P2364">IF(O2364:O6406="","",_xlfn.XLOOKUP(O2364:O6406,'参照_官位'!A:A,'参照_官位'!B:B,""))</f>
      </c>
      <c r="Q2364" s="12" t="str">
        <f t="array" ref="Q2364">IF(A2364:A6406="","",IFERROR(_xlfn.XLOOKUP(A2364:A6406,castles_state!K:K,castles_state!D:D)&amp;"主",IFERROR(_xlfn.XLOOKUP(A2364:A6406,kunishuClan!D:D,kunishuClan!B:B)&amp;"当主","")))</f>
      </c>
    </row>
    <row r="2365" ht="15.75" customHeight="1">
      <c r="A2365" s="4">
        <v>1062002</v>
      </c>
      <c r="B2365" s="12" t="str">
        <f t="array" ref="B2365">IF(A2365:A6407="","",_xlfn.XLOOKUP(A2365:A6407,'参照_武将'!A:A,'参照_武将'!B:B,"見つかりません"))</f>
      </c>
      <c r="C2365" s="4" t="s">
        <v>302</v>
      </c>
      <c r="D2365" s="4">
        <v>62</v>
      </c>
      <c r="E2365" s="12" t="str">
        <f t="array" ref="E2365">IF(D2365:D6407="","",IFERROR(_xlfn.XLOOKUP(D2365:D6407,'参照_勢力'!A:A,'参照_勢力'!B:B),IFERROR(_xlfn.XLOOKUP(F2365:F6407,kunishuClan!A:A,kunishuClan!B:B),"浪人")))</f>
      </c>
      <c r="F2365" s="4">
        <v>0</v>
      </c>
      <c r="G2365" s="4">
        <v>174</v>
      </c>
      <c r="H2365" s="12" t="str">
        <f t="array" ref="H2365">IF(G2365:G6407="","",_xlfn.XLOOKUP(G2365:G6407,castles_state!A:A,castles_state!D:D,"見つかりません"))</f>
      </c>
      <c r="I2365" s="4"/>
      <c r="J2365" s="12" t="str">
        <f t="array" ref="J2365">IF(I2365:I6407="","",_xlfn.XLOOKUP(I2365:I6407,'参照_姫'!A:A,'参照_姫'!B:B,"見つかりません"))</f>
      </c>
      <c r="K2365" s="4">
        <v>95</v>
      </c>
      <c r="L2365" s="4">
        <v>0</v>
      </c>
      <c r="M2365" s="4"/>
      <c r="N2365" s="4"/>
      <c r="O2365" s="4"/>
      <c r="P2365" s="12" t="str">
        <f t="array" ref="P2365">IF(O2365:O6407="","",_xlfn.XLOOKUP(O2365:O6407,'参照_官位'!A:A,'参照_官位'!B:B,""))</f>
      </c>
      <c r="Q2365" s="12" t="str">
        <f t="array" ref="Q2365">IF(A2365:A6407="","",IFERROR(_xlfn.XLOOKUP(A2365:A6407,castles_state!K:K,castles_state!D:D)&amp;"主",IFERROR(_xlfn.XLOOKUP(A2365:A6407,kunishuClan!D:D,kunishuClan!B:B)&amp;"当主","")))</f>
      </c>
    </row>
    <row r="2366" ht="15.75" customHeight="1">
      <c r="A2366" s="4">
        <v>1062003</v>
      </c>
      <c r="B2366" s="12" t="str">
        <f t="array" ref="B2366">IF(A2366:A6408="","",_xlfn.XLOOKUP(A2366:A6408,'参照_武将'!A:A,'参照_武将'!B:B,"見つかりません"))</f>
      </c>
      <c r="C2366" s="4" t="s">
        <v>302</v>
      </c>
      <c r="D2366" s="4">
        <v>62</v>
      </c>
      <c r="E2366" s="12" t="str">
        <f t="array" ref="E2366">IF(D2366:D6408="","",IFERROR(_xlfn.XLOOKUP(D2366:D6408,'参照_勢力'!A:A,'参照_勢力'!B:B),IFERROR(_xlfn.XLOOKUP(F2366:F6408,kunishuClan!A:A,kunishuClan!B:B),"浪人")))</f>
      </c>
      <c r="F2366" s="4">
        <v>0</v>
      </c>
      <c r="G2366" s="4">
        <v>174</v>
      </c>
      <c r="H2366" s="12" t="str">
        <f t="array" ref="H2366">IF(G2366:G6408="","",_xlfn.XLOOKUP(G2366:G6408,castles_state!A:A,castles_state!D:D,"見つかりません"))</f>
      </c>
      <c r="I2366" s="4"/>
      <c r="J2366" s="12" t="str">
        <f t="array" ref="J2366">IF(I2366:I6408="","",_xlfn.XLOOKUP(I2366:I6408,'参照_姫'!A:A,'参照_姫'!B:B,"見つかりません"))</f>
      </c>
      <c r="K2366" s="4">
        <v>95</v>
      </c>
      <c r="L2366" s="4">
        <v>0</v>
      </c>
      <c r="M2366" s="4"/>
      <c r="N2366" s="4"/>
      <c r="O2366" s="4"/>
      <c r="P2366" s="12" t="str">
        <f t="array" ref="P2366">IF(O2366:O6408="","",_xlfn.XLOOKUP(O2366:O6408,'参照_官位'!A:A,'参照_官位'!B:B,""))</f>
      </c>
      <c r="Q2366" s="12" t="str">
        <f t="array" ref="Q2366">IF(A2366:A6408="","",IFERROR(_xlfn.XLOOKUP(A2366:A6408,castles_state!K:K,castles_state!D:D)&amp;"主",IFERROR(_xlfn.XLOOKUP(A2366:A6408,kunishuClan!D:D,kunishuClan!B:B)&amp;"当主","")))</f>
      </c>
    </row>
    <row r="2367" ht="15.75" customHeight="1">
      <c r="A2367" s="4">
        <v>1062004</v>
      </c>
      <c r="B2367" s="12" t="str">
        <f t="array" ref="B2367">IF(A2367:A6409="","",_xlfn.XLOOKUP(A2367:A6409,'参照_武将'!A:A,'参照_武将'!B:B,"見つかりません"))</f>
      </c>
      <c r="C2367" s="4" t="s">
        <v>302</v>
      </c>
      <c r="D2367" s="4">
        <v>62</v>
      </c>
      <c r="E2367" s="12" t="str">
        <f t="array" ref="E2367">IF(D2367:D6409="","",IFERROR(_xlfn.XLOOKUP(D2367:D6409,'参照_勢力'!A:A,'参照_勢力'!B:B),IFERROR(_xlfn.XLOOKUP(F2367:F6409,kunishuClan!A:A,kunishuClan!B:B),"浪人")))</f>
      </c>
      <c r="F2367" s="4">
        <v>0</v>
      </c>
      <c r="G2367" s="4">
        <v>174</v>
      </c>
      <c r="H2367" s="12" t="str">
        <f t="array" ref="H2367">IF(G2367:G6409="","",_xlfn.XLOOKUP(G2367:G6409,castles_state!A:A,castles_state!D:D,"見つかりません"))</f>
      </c>
      <c r="I2367" s="4"/>
      <c r="J2367" s="12" t="str">
        <f t="array" ref="J2367">IF(I2367:I6409="","",_xlfn.XLOOKUP(I2367:I6409,'参照_姫'!A:A,'参照_姫'!B:B,"見つかりません"))</f>
      </c>
      <c r="K2367" s="4">
        <v>95</v>
      </c>
      <c r="L2367" s="4">
        <v>0</v>
      </c>
      <c r="M2367" s="4"/>
      <c r="N2367" s="4"/>
      <c r="O2367" s="4"/>
      <c r="P2367" s="12" t="str">
        <f t="array" ref="P2367">IF(O2367:O6409="","",_xlfn.XLOOKUP(O2367:O6409,'参照_官位'!A:A,'参照_官位'!B:B,""))</f>
      </c>
      <c r="Q2367" s="12" t="str">
        <f t="array" ref="Q2367">IF(A2367:A6409="","",IFERROR(_xlfn.XLOOKUP(A2367:A6409,castles_state!K:K,castles_state!D:D)&amp;"主",IFERROR(_xlfn.XLOOKUP(A2367:A6409,kunishuClan!D:D,kunishuClan!B:B)&amp;"当主","")))</f>
      </c>
    </row>
    <row r="2368" ht="15.75" customHeight="1">
      <c r="A2368" s="4">
        <v>1062005</v>
      </c>
      <c r="B2368" s="12" t="str">
        <f t="array" ref="B2368">IF(A2368:A6410="","",_xlfn.XLOOKUP(A2368:A6410,'参照_武将'!A:A,'参照_武将'!B:B,"見つかりません"))</f>
      </c>
      <c r="C2368" s="4" t="s">
        <v>302</v>
      </c>
      <c r="D2368" s="4">
        <v>62</v>
      </c>
      <c r="E2368" s="12" t="str">
        <f t="array" ref="E2368">IF(D2368:D6410="","",IFERROR(_xlfn.XLOOKUP(D2368:D6410,'参照_勢力'!A:A,'参照_勢力'!B:B),IFERROR(_xlfn.XLOOKUP(F2368:F6410,kunishuClan!A:A,kunishuClan!B:B),"浪人")))</f>
      </c>
      <c r="F2368" s="4">
        <v>0</v>
      </c>
      <c r="G2368" s="4">
        <v>174</v>
      </c>
      <c r="H2368" s="12" t="str">
        <f t="array" ref="H2368">IF(G2368:G6410="","",_xlfn.XLOOKUP(G2368:G6410,castles_state!A:A,castles_state!D:D,"見つかりません"))</f>
      </c>
      <c r="I2368" s="4"/>
      <c r="J2368" s="12" t="str">
        <f t="array" ref="J2368">IF(I2368:I6410="","",_xlfn.XLOOKUP(I2368:I6410,'参照_姫'!A:A,'参照_姫'!B:B,"見つかりません"))</f>
      </c>
      <c r="K2368" s="4">
        <v>95</v>
      </c>
      <c r="L2368" s="4">
        <v>0</v>
      </c>
      <c r="M2368" s="4"/>
      <c r="N2368" s="4"/>
      <c r="O2368" s="4"/>
      <c r="P2368" s="12" t="str">
        <f t="array" ref="P2368">IF(O2368:O6410="","",_xlfn.XLOOKUP(O2368:O6410,'参照_官位'!A:A,'参照_官位'!B:B,""))</f>
      </c>
      <c r="Q2368" s="12" t="str">
        <f t="array" ref="Q2368">IF(A2368:A6410="","",IFERROR(_xlfn.XLOOKUP(A2368:A6410,castles_state!K:K,castles_state!D:D)&amp;"主",IFERROR(_xlfn.XLOOKUP(A2368:A6410,kunishuClan!D:D,kunishuClan!B:B)&amp;"当主","")))</f>
      </c>
    </row>
    <row r="2369" ht="15.75" customHeight="1">
      <c r="A2369" s="4">
        <v>1062006</v>
      </c>
      <c r="B2369" s="12" t="str">
        <f t="array" ref="B2369">IF(A2369:A6411="","",_xlfn.XLOOKUP(A2369:A6411,'参照_武将'!A:A,'参照_武将'!B:B,"見つかりません"))</f>
      </c>
      <c r="C2369" s="4" t="s">
        <v>302</v>
      </c>
      <c r="D2369" s="4">
        <v>62</v>
      </c>
      <c r="E2369" s="12" t="str">
        <f t="array" ref="E2369">IF(D2369:D6411="","",IFERROR(_xlfn.XLOOKUP(D2369:D6411,'参照_勢力'!A:A,'参照_勢力'!B:B),IFERROR(_xlfn.XLOOKUP(F2369:F6411,kunishuClan!A:A,kunishuClan!B:B),"浪人")))</f>
      </c>
      <c r="F2369" s="4">
        <v>0</v>
      </c>
      <c r="G2369" s="4">
        <v>174</v>
      </c>
      <c r="H2369" s="12" t="str">
        <f t="array" ref="H2369">IF(G2369:G6411="","",_xlfn.XLOOKUP(G2369:G6411,castles_state!A:A,castles_state!D:D,"見つかりません"))</f>
      </c>
      <c r="I2369" s="4"/>
      <c r="J2369" s="12" t="str">
        <f t="array" ref="J2369">IF(I2369:I6411="","",_xlfn.XLOOKUP(I2369:I6411,'参照_姫'!A:A,'参照_姫'!B:B,"見つかりません"))</f>
      </c>
      <c r="K2369" s="4">
        <v>95</v>
      </c>
      <c r="L2369" s="4">
        <v>0</v>
      </c>
      <c r="M2369" s="4"/>
      <c r="N2369" s="4"/>
      <c r="O2369" s="4"/>
      <c r="P2369" s="12" t="str">
        <f t="array" ref="P2369">IF(O2369:O6411="","",_xlfn.XLOOKUP(O2369:O6411,'参照_官位'!A:A,'参照_官位'!B:B,""))</f>
      </c>
      <c r="Q2369" s="12" t="str">
        <f t="array" ref="Q2369">IF(A2369:A6411="","",IFERROR(_xlfn.XLOOKUP(A2369:A6411,castles_state!K:K,castles_state!D:D)&amp;"主",IFERROR(_xlfn.XLOOKUP(A2369:A6411,kunishuClan!D:D,kunishuClan!B:B)&amp;"当主","")))</f>
      </c>
    </row>
    <row r="2370" ht="15.75" customHeight="1">
      <c r="A2370" s="4">
        <v>1062007</v>
      </c>
      <c r="B2370" s="12" t="str">
        <f t="array" ref="B2370">IF(A2370:A6412="","",_xlfn.XLOOKUP(A2370:A6412,'参照_武将'!A:A,'参照_武将'!B:B,"見つかりません"))</f>
      </c>
      <c r="C2370" s="4" t="s">
        <v>302</v>
      </c>
      <c r="D2370" s="4">
        <v>62</v>
      </c>
      <c r="E2370" s="12" t="str">
        <f t="array" ref="E2370">IF(D2370:D6412="","",IFERROR(_xlfn.XLOOKUP(D2370:D6412,'参照_勢力'!A:A,'参照_勢力'!B:B),IFERROR(_xlfn.XLOOKUP(F2370:F6412,kunishuClan!A:A,kunishuClan!B:B),"浪人")))</f>
      </c>
      <c r="F2370" s="4">
        <v>0</v>
      </c>
      <c r="G2370" s="4">
        <v>174</v>
      </c>
      <c r="H2370" s="12" t="str">
        <f t="array" ref="H2370">IF(G2370:G6412="","",_xlfn.XLOOKUP(G2370:G6412,castles_state!A:A,castles_state!D:D,"見つかりません"))</f>
      </c>
      <c r="I2370" s="4"/>
      <c r="J2370" s="12" t="str">
        <f t="array" ref="J2370">IF(I2370:I6412="","",_xlfn.XLOOKUP(I2370:I6412,'参照_姫'!A:A,'参照_姫'!B:B,"見つかりません"))</f>
      </c>
      <c r="K2370" s="4">
        <v>95</v>
      </c>
      <c r="L2370" s="4">
        <v>0</v>
      </c>
      <c r="M2370" s="4"/>
      <c r="N2370" s="4"/>
      <c r="O2370" s="4"/>
      <c r="P2370" s="12" t="str">
        <f t="array" ref="P2370">IF(O2370:O6412="","",_xlfn.XLOOKUP(O2370:O6412,'参照_官位'!A:A,'参照_官位'!B:B,""))</f>
      </c>
      <c r="Q2370" s="12" t="str">
        <f t="array" ref="Q2370">IF(A2370:A6412="","",IFERROR(_xlfn.XLOOKUP(A2370:A6412,castles_state!K:K,castles_state!D:D)&amp;"主",IFERROR(_xlfn.XLOOKUP(A2370:A6412,kunishuClan!D:D,kunishuClan!B:B)&amp;"当主","")))</f>
      </c>
    </row>
    <row r="2371" ht="15.75" customHeight="1">
      <c r="A2371" s="4">
        <v>1062008</v>
      </c>
      <c r="B2371" s="12" t="str">
        <f t="array" ref="B2371">IF(A2371:A6413="","",_xlfn.XLOOKUP(A2371:A6413,'参照_武将'!A:A,'参照_武将'!B:B,"見つかりません"))</f>
      </c>
      <c r="C2371" s="4" t="s">
        <v>302</v>
      </c>
      <c r="D2371" s="4">
        <v>62</v>
      </c>
      <c r="E2371" s="12" t="str">
        <f t="array" ref="E2371">IF(D2371:D6413="","",IFERROR(_xlfn.XLOOKUP(D2371:D6413,'参照_勢力'!A:A,'参照_勢力'!B:B),IFERROR(_xlfn.XLOOKUP(F2371:F6413,kunishuClan!A:A,kunishuClan!B:B),"浪人")))</f>
      </c>
      <c r="F2371" s="4">
        <v>0</v>
      </c>
      <c r="G2371" s="4">
        <v>174</v>
      </c>
      <c r="H2371" s="12" t="str">
        <f t="array" ref="H2371">IF(G2371:G6413="","",_xlfn.XLOOKUP(G2371:G6413,castles_state!A:A,castles_state!D:D,"見つかりません"))</f>
      </c>
      <c r="I2371" s="4"/>
      <c r="J2371" s="12" t="str">
        <f t="array" ref="J2371">IF(I2371:I6413="","",_xlfn.XLOOKUP(I2371:I6413,'参照_姫'!A:A,'参照_姫'!B:B,"見つかりません"))</f>
      </c>
      <c r="K2371" s="4">
        <v>95</v>
      </c>
      <c r="L2371" s="4">
        <v>0</v>
      </c>
      <c r="M2371" s="4"/>
      <c r="N2371" s="4"/>
      <c r="O2371" s="4"/>
      <c r="P2371" s="12" t="str">
        <f t="array" ref="P2371">IF(O2371:O6413="","",_xlfn.XLOOKUP(O2371:O6413,'参照_官位'!A:A,'参照_官位'!B:B,""))</f>
      </c>
      <c r="Q2371" s="12" t="str">
        <f t="array" ref="Q2371">IF(A2371:A6413="","",IFERROR(_xlfn.XLOOKUP(A2371:A6413,castles_state!K:K,castles_state!D:D)&amp;"主",IFERROR(_xlfn.XLOOKUP(A2371:A6413,kunishuClan!D:D,kunishuClan!B:B)&amp;"当主","")))</f>
      </c>
    </row>
    <row r="2372" ht="15.75" customHeight="1">
      <c r="A2372" s="4">
        <v>1062009</v>
      </c>
      <c r="B2372" s="12" t="str">
        <f t="array" ref="B2372">IF(A2372:A6414="","",_xlfn.XLOOKUP(A2372:A6414,'参照_武将'!A:A,'参照_武将'!B:B,"見つかりません"))</f>
      </c>
      <c r="C2372" s="4" t="s">
        <v>302</v>
      </c>
      <c r="D2372" s="4">
        <v>62</v>
      </c>
      <c r="E2372" s="12" t="str">
        <f t="array" ref="E2372">IF(D2372:D6414="","",IFERROR(_xlfn.XLOOKUP(D2372:D6414,'参照_勢力'!A:A,'参照_勢力'!B:B),IFERROR(_xlfn.XLOOKUP(F2372:F6414,kunishuClan!A:A,kunishuClan!B:B),"浪人")))</f>
      </c>
      <c r="F2372" s="4">
        <v>0</v>
      </c>
      <c r="G2372" s="4">
        <v>174</v>
      </c>
      <c r="H2372" s="12" t="str">
        <f t="array" ref="H2372">IF(G2372:G6414="","",_xlfn.XLOOKUP(G2372:G6414,castles_state!A:A,castles_state!D:D,"見つかりません"))</f>
      </c>
      <c r="I2372" s="4"/>
      <c r="J2372" s="12" t="str">
        <f t="array" ref="J2372">IF(I2372:I6414="","",_xlfn.XLOOKUP(I2372:I6414,'参照_姫'!A:A,'参照_姫'!B:B,"見つかりません"))</f>
      </c>
      <c r="K2372" s="4">
        <v>95</v>
      </c>
      <c r="L2372" s="4">
        <v>0</v>
      </c>
      <c r="M2372" s="4"/>
      <c r="N2372" s="4"/>
      <c r="O2372" s="4"/>
      <c r="P2372" s="12" t="str">
        <f t="array" ref="P2372">IF(O2372:O6414="","",_xlfn.XLOOKUP(O2372:O6414,'参照_官位'!A:A,'参照_官位'!B:B,""))</f>
      </c>
      <c r="Q2372" s="12" t="str">
        <f t="array" ref="Q2372">IF(A2372:A6414="","",IFERROR(_xlfn.XLOOKUP(A2372:A6414,castles_state!K:K,castles_state!D:D)&amp;"主",IFERROR(_xlfn.XLOOKUP(A2372:A6414,kunishuClan!D:D,kunishuClan!B:B)&amp;"当主","")))</f>
      </c>
    </row>
    <row r="2373" ht="15.75" customHeight="1">
      <c r="A2373" s="4">
        <v>1062010</v>
      </c>
      <c r="B2373" s="12" t="str">
        <f t="array" ref="B2373">IF(A2373:A6415="","",_xlfn.XLOOKUP(A2373:A6415,'参照_武将'!A:A,'参照_武将'!B:B,"見つかりません"))</f>
      </c>
      <c r="C2373" s="4" t="s">
        <v>302</v>
      </c>
      <c r="D2373" s="4">
        <v>62</v>
      </c>
      <c r="E2373" s="12" t="str">
        <f t="array" ref="E2373">IF(D2373:D6415="","",IFERROR(_xlfn.XLOOKUP(D2373:D6415,'参照_勢力'!A:A,'参照_勢力'!B:B),IFERROR(_xlfn.XLOOKUP(F2373:F6415,kunishuClan!A:A,kunishuClan!B:B),"浪人")))</f>
      </c>
      <c r="F2373" s="4">
        <v>0</v>
      </c>
      <c r="G2373" s="4">
        <v>174</v>
      </c>
      <c r="H2373" s="12" t="str">
        <f t="array" ref="H2373">IF(G2373:G6415="","",_xlfn.XLOOKUP(G2373:G6415,castles_state!A:A,castles_state!D:D,"見つかりません"))</f>
      </c>
      <c r="I2373" s="4"/>
      <c r="J2373" s="12" t="str">
        <f t="array" ref="J2373">IF(I2373:I6415="","",_xlfn.XLOOKUP(I2373:I6415,'参照_姫'!A:A,'参照_姫'!B:B,"見つかりません"))</f>
      </c>
      <c r="K2373" s="4">
        <v>95</v>
      </c>
      <c r="L2373" s="4">
        <v>0</v>
      </c>
      <c r="M2373" s="4"/>
      <c r="N2373" s="4"/>
      <c r="O2373" s="4"/>
      <c r="P2373" s="12" t="str">
        <f t="array" ref="P2373">IF(O2373:O6415="","",_xlfn.XLOOKUP(O2373:O6415,'参照_官位'!A:A,'参照_官位'!B:B,""))</f>
      </c>
      <c r="Q2373" s="12" t="str">
        <f t="array" ref="Q2373">IF(A2373:A6415="","",IFERROR(_xlfn.XLOOKUP(A2373:A6415,castles_state!K:K,castles_state!D:D)&amp;"主",IFERROR(_xlfn.XLOOKUP(A2373:A6415,kunishuClan!D:D,kunishuClan!B:B)&amp;"当主","")))</f>
      </c>
    </row>
    <row r="2374" ht="15.75" customHeight="1">
      <c r="A2374" s="4">
        <v>1062011</v>
      </c>
      <c r="B2374" s="12" t="str">
        <f t="array" ref="B2374">IF(A2374:A6416="","",_xlfn.XLOOKUP(A2374:A6416,'参照_武将'!A:A,'参照_武将'!B:B,"見つかりません"))</f>
      </c>
      <c r="C2374" s="4" t="s">
        <v>302</v>
      </c>
      <c r="D2374" s="4">
        <v>62</v>
      </c>
      <c r="E2374" s="12" t="str">
        <f t="array" ref="E2374">IF(D2374:D6416="","",IFERROR(_xlfn.XLOOKUP(D2374:D6416,'参照_勢力'!A:A,'参照_勢力'!B:B),IFERROR(_xlfn.XLOOKUP(F2374:F6416,kunishuClan!A:A,kunishuClan!B:B),"浪人")))</f>
      </c>
      <c r="F2374" s="4">
        <v>0</v>
      </c>
      <c r="G2374" s="4">
        <v>174</v>
      </c>
      <c r="H2374" s="12" t="str">
        <f t="array" ref="H2374">IF(G2374:G6416="","",_xlfn.XLOOKUP(G2374:G6416,castles_state!A:A,castles_state!D:D,"見つかりません"))</f>
      </c>
      <c r="I2374" s="4"/>
      <c r="J2374" s="12" t="str">
        <f t="array" ref="J2374">IF(I2374:I6416="","",_xlfn.XLOOKUP(I2374:I6416,'参照_姫'!A:A,'参照_姫'!B:B,"見つかりません"))</f>
      </c>
      <c r="K2374" s="4">
        <v>95</v>
      </c>
      <c r="L2374" s="4">
        <v>0</v>
      </c>
      <c r="M2374" s="4"/>
      <c r="N2374" s="4" t="b">
        <v>1</v>
      </c>
      <c r="O2374" s="4"/>
      <c r="P2374" s="12" t="str">
        <f t="array" ref="P2374">IF(O2374:O6416="","",_xlfn.XLOOKUP(O2374:O6416,'参照_官位'!A:A,'参照_官位'!B:B,""))</f>
      </c>
      <c r="Q2374" s="12" t="str">
        <f t="array" ref="Q2374">IF(A2374:A6416="","",IFERROR(_xlfn.XLOOKUP(A2374:A6416,castles_state!K:K,castles_state!D:D)&amp;"主",IFERROR(_xlfn.XLOOKUP(A2374:A6416,kunishuClan!D:D,kunishuClan!B:B)&amp;"当主","")))</f>
      </c>
    </row>
    <row r="2375" ht="15.75" customHeight="1">
      <c r="A2375" s="4">
        <v>1062012</v>
      </c>
      <c r="B2375" s="12" t="str">
        <f t="array" ref="B2375">IF(A2375:A6417="","",_xlfn.XLOOKUP(A2375:A6417,'参照_武将'!A:A,'参照_武将'!B:B,"見つかりません"))</f>
      </c>
      <c r="C2375" s="4" t="s">
        <v>302</v>
      </c>
      <c r="D2375" s="4">
        <v>62</v>
      </c>
      <c r="E2375" s="12" t="str">
        <f t="array" ref="E2375">IF(D2375:D6417="","",IFERROR(_xlfn.XLOOKUP(D2375:D6417,'参照_勢力'!A:A,'参照_勢力'!B:B),IFERROR(_xlfn.XLOOKUP(F2375:F6417,kunishuClan!A:A,kunishuClan!B:B),"浪人")))</f>
      </c>
      <c r="F2375" s="4">
        <v>0</v>
      </c>
      <c r="G2375" s="4">
        <v>174</v>
      </c>
      <c r="H2375" s="12" t="str">
        <f t="array" ref="H2375">IF(G2375:G6417="","",_xlfn.XLOOKUP(G2375:G6417,castles_state!A:A,castles_state!D:D,"見つかりません"))</f>
      </c>
      <c r="I2375" s="4"/>
      <c r="J2375" s="12" t="str">
        <f t="array" ref="J2375">IF(I2375:I6417="","",_xlfn.XLOOKUP(I2375:I6417,'参照_姫'!A:A,'参照_姫'!B:B,"見つかりません"))</f>
      </c>
      <c r="K2375" s="4">
        <v>95</v>
      </c>
      <c r="L2375" s="4">
        <v>0</v>
      </c>
      <c r="M2375" s="4"/>
      <c r="N2375" s="4"/>
      <c r="O2375" s="4"/>
      <c r="P2375" s="12" t="str">
        <f t="array" ref="P2375">IF(O2375:O6417="","",_xlfn.XLOOKUP(O2375:O6417,'参照_官位'!A:A,'参照_官位'!B:B,""))</f>
      </c>
      <c r="Q2375" s="12" t="str">
        <f t="array" ref="Q2375">IF(A2375:A6417="","",IFERROR(_xlfn.XLOOKUP(A2375:A6417,castles_state!K:K,castles_state!D:D)&amp;"主",IFERROR(_xlfn.XLOOKUP(A2375:A6417,kunishuClan!D:D,kunishuClan!B:B)&amp;"当主","")))</f>
      </c>
    </row>
    <row r="2376" ht="15.75" customHeight="1">
      <c r="A2376" s="4">
        <v>1062013</v>
      </c>
      <c r="B2376" s="12" t="str">
        <f t="array" ref="B2376">IF(A2376:A6418="","",_xlfn.XLOOKUP(A2376:A6418,'参照_武将'!A:A,'参照_武将'!B:B,"見つかりません"))</f>
      </c>
      <c r="C2376" s="4" t="s">
        <v>302</v>
      </c>
      <c r="D2376" s="4">
        <v>62</v>
      </c>
      <c r="E2376" s="12" t="str">
        <f t="array" ref="E2376">IF(D2376:D6418="","",IFERROR(_xlfn.XLOOKUP(D2376:D6418,'参照_勢力'!A:A,'参照_勢力'!B:B),IFERROR(_xlfn.XLOOKUP(F2376:F6418,kunishuClan!A:A,kunishuClan!B:B),"浪人")))</f>
      </c>
      <c r="F2376" s="4">
        <v>0</v>
      </c>
      <c r="G2376" s="4">
        <v>174</v>
      </c>
      <c r="H2376" s="12" t="str">
        <f t="array" ref="H2376">IF(G2376:G6418="","",_xlfn.XLOOKUP(G2376:G6418,castles_state!A:A,castles_state!D:D,"見つかりません"))</f>
      </c>
      <c r="I2376" s="4"/>
      <c r="J2376" s="12" t="str">
        <f t="array" ref="J2376">IF(I2376:I6418="","",_xlfn.XLOOKUP(I2376:I6418,'参照_姫'!A:A,'参照_姫'!B:B,"見つかりません"))</f>
      </c>
      <c r="K2376" s="4">
        <v>95</v>
      </c>
      <c r="L2376" s="4">
        <v>0</v>
      </c>
      <c r="M2376" s="4"/>
      <c r="N2376" s="4"/>
      <c r="O2376" s="4"/>
      <c r="P2376" s="12" t="str">
        <f t="array" ref="P2376">IF(O2376:O6418="","",_xlfn.XLOOKUP(O2376:O6418,'参照_官位'!A:A,'参照_官位'!B:B,""))</f>
      </c>
      <c r="Q2376" s="12" t="str">
        <f t="array" ref="Q2376">IF(A2376:A6418="","",IFERROR(_xlfn.XLOOKUP(A2376:A6418,castles_state!K:K,castles_state!D:D)&amp;"主",IFERROR(_xlfn.XLOOKUP(A2376:A6418,kunishuClan!D:D,kunishuClan!B:B)&amp;"当主","")))</f>
      </c>
    </row>
    <row r="2377" ht="15.75" customHeight="1">
      <c r="A2377" s="4">
        <v>1062014</v>
      </c>
      <c r="B2377" s="12" t="str">
        <f t="array" ref="B2377">IF(A2377:A6419="","",_xlfn.XLOOKUP(A2377:A6419,'参照_武将'!A:A,'参照_武将'!B:B,"見つかりません"))</f>
      </c>
      <c r="C2377" s="4" t="s">
        <v>302</v>
      </c>
      <c r="D2377" s="4">
        <v>62</v>
      </c>
      <c r="E2377" s="12" t="str">
        <f t="array" ref="E2377">IF(D2377:D6419="","",IFERROR(_xlfn.XLOOKUP(D2377:D6419,'参照_勢力'!A:A,'参照_勢力'!B:B),IFERROR(_xlfn.XLOOKUP(F2377:F6419,kunishuClan!A:A,kunishuClan!B:B),"浪人")))</f>
      </c>
      <c r="F2377" s="4">
        <v>0</v>
      </c>
      <c r="G2377" s="4">
        <v>174</v>
      </c>
      <c r="H2377" s="12" t="str">
        <f t="array" ref="H2377">IF(G2377:G6419="","",_xlfn.XLOOKUP(G2377:G6419,castles_state!A:A,castles_state!D:D,"見つかりません"))</f>
      </c>
      <c r="I2377" s="4"/>
      <c r="J2377" s="12" t="str">
        <f t="array" ref="J2377">IF(I2377:I6419="","",_xlfn.XLOOKUP(I2377:I6419,'参照_姫'!A:A,'参照_姫'!B:B,"見つかりません"))</f>
      </c>
      <c r="K2377" s="4">
        <v>95</v>
      </c>
      <c r="L2377" s="4">
        <v>0</v>
      </c>
      <c r="M2377" s="4"/>
      <c r="N2377" s="4"/>
      <c r="O2377" s="4"/>
      <c r="P2377" s="12" t="str">
        <f t="array" ref="P2377">IF(O2377:O6419="","",_xlfn.XLOOKUP(O2377:O6419,'参照_官位'!A:A,'参照_官位'!B:B,""))</f>
      </c>
      <c r="Q2377" s="12" t="str">
        <f t="array" ref="Q2377">IF(A2377:A6419="","",IFERROR(_xlfn.XLOOKUP(A2377:A6419,castles_state!K:K,castles_state!D:D)&amp;"主",IFERROR(_xlfn.XLOOKUP(A2377:A6419,kunishuClan!D:D,kunishuClan!B:B)&amp;"当主","")))</f>
      </c>
    </row>
    <row r="2378" ht="15.75" customHeight="1">
      <c r="A2378" s="4">
        <v>1062015</v>
      </c>
      <c r="B2378" s="12" t="str">
        <f t="array" ref="B2378">IF(A2378:A6420="","",_xlfn.XLOOKUP(A2378:A6420,'参照_武将'!A:A,'参照_武将'!B:B,"見つかりません"))</f>
      </c>
      <c r="C2378" s="4" t="s">
        <v>302</v>
      </c>
      <c r="D2378" s="4">
        <v>62</v>
      </c>
      <c r="E2378" s="12" t="str">
        <f t="array" ref="E2378">IF(D2378:D6420="","",IFERROR(_xlfn.XLOOKUP(D2378:D6420,'参照_勢力'!A:A,'参照_勢力'!B:B),IFERROR(_xlfn.XLOOKUP(F2378:F6420,kunishuClan!A:A,kunishuClan!B:B),"浪人")))</f>
      </c>
      <c r="F2378" s="4">
        <v>0</v>
      </c>
      <c r="G2378" s="4">
        <v>174</v>
      </c>
      <c r="H2378" s="12" t="str">
        <f t="array" ref="H2378">IF(G2378:G6420="","",_xlfn.XLOOKUP(G2378:G6420,castles_state!A:A,castles_state!D:D,"見つかりません"))</f>
      </c>
      <c r="I2378" s="4"/>
      <c r="J2378" s="12" t="str">
        <f t="array" ref="J2378">IF(I2378:I6420="","",_xlfn.XLOOKUP(I2378:I6420,'参照_姫'!A:A,'参照_姫'!B:B,"見つかりません"))</f>
      </c>
      <c r="K2378" s="4">
        <v>95</v>
      </c>
      <c r="L2378" s="4">
        <v>500</v>
      </c>
      <c r="M2378" s="4"/>
      <c r="N2378" s="4"/>
      <c r="O2378" s="4"/>
      <c r="P2378" s="12" t="str">
        <f t="array" ref="P2378">IF(O2378:O6420="","",_xlfn.XLOOKUP(O2378:O6420,'参照_官位'!A:A,'参照_官位'!B:B,""))</f>
      </c>
      <c r="Q2378" s="12" t="str">
        <f t="array" ref="Q2378">IF(A2378:A6420="","",IFERROR(_xlfn.XLOOKUP(A2378:A6420,castles_state!K:K,castles_state!D:D)&amp;"主",IFERROR(_xlfn.XLOOKUP(A2378:A6420,kunishuClan!D:D,kunishuClan!B:B)&amp;"当主","")))</f>
      </c>
    </row>
    <row r="2379" ht="15.75" customHeight="1">
      <c r="A2379" s="4">
        <v>1062016</v>
      </c>
      <c r="B2379" s="12" t="str">
        <f t="array" ref="B2379">IF(A2379:A6421="","",_xlfn.XLOOKUP(A2379:A6421,'参照_武将'!A:A,'参照_武将'!B:B,"見つかりません"))</f>
      </c>
      <c r="C2379" s="4" t="s">
        <v>302</v>
      </c>
      <c r="D2379" s="4">
        <v>62</v>
      </c>
      <c r="E2379" s="12" t="str">
        <f t="array" ref="E2379">IF(D2379:D6421="","",IFERROR(_xlfn.XLOOKUP(D2379:D6421,'参照_勢力'!A:A,'参照_勢力'!B:B),IFERROR(_xlfn.XLOOKUP(F2379:F6421,kunishuClan!A:A,kunishuClan!B:B),"浪人")))</f>
      </c>
      <c r="F2379" s="4">
        <v>0</v>
      </c>
      <c r="G2379" s="4">
        <v>174</v>
      </c>
      <c r="H2379" s="12" t="str">
        <f t="array" ref="H2379">IF(G2379:G6421="","",_xlfn.XLOOKUP(G2379:G6421,castles_state!A:A,castles_state!D:D,"見つかりません"))</f>
      </c>
      <c r="I2379" s="4"/>
      <c r="J2379" s="12" t="str">
        <f t="array" ref="J2379">IF(I2379:I6421="","",_xlfn.XLOOKUP(I2379:I6421,'参照_姫'!A:A,'参照_姫'!B:B,"見つかりません"))</f>
      </c>
      <c r="K2379" s="4">
        <v>95</v>
      </c>
      <c r="L2379" s="4">
        <v>0</v>
      </c>
      <c r="M2379" s="4"/>
      <c r="N2379" s="4"/>
      <c r="O2379" s="4"/>
      <c r="P2379" s="12" t="str">
        <f t="array" ref="P2379">IF(O2379:O6421="","",_xlfn.XLOOKUP(O2379:O6421,'参照_官位'!A:A,'参照_官位'!B:B,""))</f>
      </c>
      <c r="Q2379" s="12" t="str">
        <f t="array" ref="Q2379">IF(A2379:A6421="","",IFERROR(_xlfn.XLOOKUP(A2379:A6421,castles_state!K:K,castles_state!D:D)&amp;"主",IFERROR(_xlfn.XLOOKUP(A2379:A6421,kunishuClan!D:D,kunishuClan!B:B)&amp;"当主","")))</f>
      </c>
    </row>
    <row r="2380" ht="15.75" customHeight="1">
      <c r="A2380" s="4">
        <v>1062017</v>
      </c>
      <c r="B2380" s="12" t="str">
        <f t="array" ref="B2380">IF(A2380:A6422="","",_xlfn.XLOOKUP(A2380:A6422,'参照_武将'!A:A,'参照_武将'!B:B,"見つかりません"))</f>
      </c>
      <c r="C2380" s="4" t="s">
        <v>302</v>
      </c>
      <c r="D2380" s="4">
        <v>62</v>
      </c>
      <c r="E2380" s="12" t="str">
        <f t="array" ref="E2380">IF(D2380:D6422="","",IFERROR(_xlfn.XLOOKUP(D2380:D6422,'参照_勢力'!A:A,'参照_勢力'!B:B),IFERROR(_xlfn.XLOOKUP(F2380:F6422,kunishuClan!A:A,kunishuClan!B:B),"浪人")))</f>
      </c>
      <c r="F2380" s="4">
        <v>0</v>
      </c>
      <c r="G2380" s="4">
        <v>174</v>
      </c>
      <c r="H2380" s="12" t="str">
        <f t="array" ref="H2380">IF(G2380:G6422="","",_xlfn.XLOOKUP(G2380:G6422,castles_state!A:A,castles_state!D:D,"見つかりません"))</f>
      </c>
      <c r="I2380" s="4"/>
      <c r="J2380" s="12" t="str">
        <f t="array" ref="J2380">IF(I2380:I6422="","",_xlfn.XLOOKUP(I2380:I6422,'参照_姫'!A:A,'参照_姫'!B:B,"見つかりません"))</f>
      </c>
      <c r="K2380" s="4">
        <v>100</v>
      </c>
      <c r="L2380" s="4">
        <v>200</v>
      </c>
      <c r="M2380" s="4"/>
      <c r="N2380" s="4" t="b">
        <v>1</v>
      </c>
      <c r="O2380" s="4"/>
      <c r="P2380" s="12" t="str">
        <f t="array" ref="P2380">IF(O2380:O6422="","",_xlfn.XLOOKUP(O2380:O6422,'参照_官位'!A:A,'参照_官位'!B:B,""))</f>
      </c>
      <c r="Q2380" s="12" t="str">
        <f t="array" ref="Q2380">IF(A2380:A6422="","",IFERROR(_xlfn.XLOOKUP(A2380:A6422,castles_state!K:K,castles_state!D:D)&amp;"主",IFERROR(_xlfn.XLOOKUP(A2380:A6422,kunishuClan!D:D,kunishuClan!B:B)&amp;"当主","")))</f>
      </c>
    </row>
    <row r="2381" ht="15.75" customHeight="1">
      <c r="A2381" s="4">
        <v>1062018</v>
      </c>
      <c r="B2381" s="12" t="str">
        <f t="array" ref="B2381">IF(A2381:A6423="","",_xlfn.XLOOKUP(A2381:A6423,'参照_武将'!A:A,'参照_武将'!B:B,"見つかりません"))</f>
      </c>
      <c r="C2381" s="4" t="s">
        <v>302</v>
      </c>
      <c r="D2381" s="4">
        <v>62</v>
      </c>
      <c r="E2381" s="12" t="str">
        <f t="array" ref="E2381">IF(D2381:D6423="","",IFERROR(_xlfn.XLOOKUP(D2381:D6423,'参照_勢力'!A:A,'参照_勢力'!B:B),IFERROR(_xlfn.XLOOKUP(F2381:F6423,kunishuClan!A:A,kunishuClan!B:B),"浪人")))</f>
      </c>
      <c r="F2381" s="4">
        <v>0</v>
      </c>
      <c r="G2381" s="4">
        <v>174</v>
      </c>
      <c r="H2381" s="12" t="str">
        <f t="array" ref="H2381">IF(G2381:G6423="","",_xlfn.XLOOKUP(G2381:G6423,castles_state!A:A,castles_state!D:D,"見つかりません"))</f>
      </c>
      <c r="I2381" s="4"/>
      <c r="J2381" s="12" t="str">
        <f t="array" ref="J2381">IF(I2381:I6423="","",_xlfn.XLOOKUP(I2381:I6423,'参照_姫'!A:A,'参照_姫'!B:B,"見つかりません"))</f>
      </c>
      <c r="K2381" s="4">
        <v>100</v>
      </c>
      <c r="L2381" s="4">
        <v>1000</v>
      </c>
      <c r="M2381" s="4"/>
      <c r="N2381" s="4"/>
      <c r="O2381" s="4"/>
      <c r="P2381" s="12" t="str">
        <f t="array" ref="P2381">IF(O2381:O6423="","",_xlfn.XLOOKUP(O2381:O6423,'参照_官位'!A:A,'参照_官位'!B:B,""))</f>
      </c>
      <c r="Q2381" s="12" t="str">
        <f t="array" ref="Q2381">IF(A2381:A6423="","",IFERROR(_xlfn.XLOOKUP(A2381:A6423,castles_state!K:K,castles_state!D:D)&amp;"主",IFERROR(_xlfn.XLOOKUP(A2381:A6423,kunishuClan!D:D,kunishuClan!B:B)&amp;"当主","")))</f>
      </c>
    </row>
    <row r="2382" ht="15.75" customHeight="1">
      <c r="A2382" s="4">
        <v>1062019</v>
      </c>
      <c r="B2382" s="12" t="str">
        <f t="array" ref="B2382">IF(A2382:A6424="","",_xlfn.XLOOKUP(A2382:A6424,'参照_武将'!A:A,'参照_武将'!B:B,"見つかりません"))</f>
      </c>
      <c r="C2382" s="4" t="s">
        <v>302</v>
      </c>
      <c r="D2382" s="4">
        <v>62</v>
      </c>
      <c r="E2382" s="12" t="str">
        <f t="array" ref="E2382">IF(D2382:D6424="","",IFERROR(_xlfn.XLOOKUP(D2382:D6424,'参照_勢力'!A:A,'参照_勢力'!B:B),IFERROR(_xlfn.XLOOKUP(F2382:F6424,kunishuClan!A:A,kunishuClan!B:B),"浪人")))</f>
      </c>
      <c r="F2382" s="4">
        <v>0</v>
      </c>
      <c r="G2382" s="4">
        <v>174</v>
      </c>
      <c r="H2382" s="12" t="str">
        <f t="array" ref="H2382">IF(G2382:G6424="","",_xlfn.XLOOKUP(G2382:G6424,castles_state!A:A,castles_state!D:D,"見つかりません"))</f>
      </c>
      <c r="I2382" s="4"/>
      <c r="J2382" s="12" t="str">
        <f t="array" ref="J2382">IF(I2382:I6424="","",_xlfn.XLOOKUP(I2382:I6424,'参照_姫'!A:A,'参照_姫'!B:B,"見つかりません"))</f>
      </c>
      <c r="K2382" s="4">
        <v>95</v>
      </c>
      <c r="L2382" s="4">
        <v>0</v>
      </c>
      <c r="M2382" s="4"/>
      <c r="N2382" s="4"/>
      <c r="O2382" s="4"/>
      <c r="P2382" s="12" t="str">
        <f t="array" ref="P2382">IF(O2382:O6424="","",_xlfn.XLOOKUP(O2382:O6424,'参照_官位'!A:A,'参照_官位'!B:B,""))</f>
      </c>
      <c r="Q2382" s="12" t="str">
        <f t="array" ref="Q2382">IF(A2382:A6424="","",IFERROR(_xlfn.XLOOKUP(A2382:A6424,castles_state!K:K,castles_state!D:D)&amp;"主",IFERROR(_xlfn.XLOOKUP(A2382:A6424,kunishuClan!D:D,kunishuClan!B:B)&amp;"当主","")))</f>
      </c>
    </row>
    <row r="2383" ht="15.75" customHeight="1">
      <c r="A2383" s="4">
        <v>1062020</v>
      </c>
      <c r="B2383" s="12" t="str">
        <f t="array" ref="B2383">IF(A2383:A6425="","",_xlfn.XLOOKUP(A2383:A6425,'参照_武将'!A:A,'参照_武将'!B:B,"見つかりません"))</f>
      </c>
      <c r="C2383" s="4" t="s">
        <v>302</v>
      </c>
      <c r="D2383" s="4">
        <v>62</v>
      </c>
      <c r="E2383" s="12" t="str">
        <f t="array" ref="E2383">IF(D2383:D6425="","",IFERROR(_xlfn.XLOOKUP(D2383:D6425,'参照_勢力'!A:A,'参照_勢力'!B:B),IFERROR(_xlfn.XLOOKUP(F2383:F6425,kunishuClan!A:A,kunishuClan!B:B),"浪人")))</f>
      </c>
      <c r="F2383" s="4">
        <v>0</v>
      </c>
      <c r="G2383" s="4">
        <v>174</v>
      </c>
      <c r="H2383" s="12" t="str">
        <f t="array" ref="H2383">IF(G2383:G6425="","",_xlfn.XLOOKUP(G2383:G6425,castles_state!A:A,castles_state!D:D,"見つかりません"))</f>
      </c>
      <c r="I2383" s="4"/>
      <c r="J2383" s="12" t="str">
        <f t="array" ref="J2383">IF(I2383:I6425="","",_xlfn.XLOOKUP(I2383:I6425,'参照_姫'!A:A,'参照_姫'!B:B,"見つかりません"))</f>
      </c>
      <c r="K2383" s="4">
        <v>95</v>
      </c>
      <c r="L2383" s="4">
        <v>0</v>
      </c>
      <c r="M2383" s="4"/>
      <c r="N2383" s="4"/>
      <c r="O2383" s="4"/>
      <c r="P2383" s="12" t="str">
        <f t="array" ref="P2383">IF(O2383:O6425="","",_xlfn.XLOOKUP(O2383:O6425,'参照_官位'!A:A,'参照_官位'!B:B,""))</f>
      </c>
      <c r="Q2383" s="12" t="str">
        <f t="array" ref="Q2383">IF(A2383:A6425="","",IFERROR(_xlfn.XLOOKUP(A2383:A6425,castles_state!K:K,castles_state!D:D)&amp;"主",IFERROR(_xlfn.XLOOKUP(A2383:A6425,kunishuClan!D:D,kunishuClan!B:B)&amp;"当主","")))</f>
      </c>
    </row>
    <row r="2384" ht="15.75" customHeight="1">
      <c r="A2384" s="4">
        <v>1062021</v>
      </c>
      <c r="B2384" s="12" t="str">
        <f t="array" ref="B2384">IF(A2384:A6426="","",_xlfn.XLOOKUP(A2384:A6426,'参照_武将'!A:A,'参照_武将'!B:B,"見つかりません"))</f>
      </c>
      <c r="C2384" s="4" t="s">
        <v>302</v>
      </c>
      <c r="D2384" s="4">
        <v>62</v>
      </c>
      <c r="E2384" s="12" t="str">
        <f t="array" ref="E2384">IF(D2384:D6426="","",IFERROR(_xlfn.XLOOKUP(D2384:D6426,'参照_勢力'!A:A,'参照_勢力'!B:B),IFERROR(_xlfn.XLOOKUP(F2384:F6426,kunishuClan!A:A,kunishuClan!B:B),"浪人")))</f>
      </c>
      <c r="F2384" s="4">
        <v>0</v>
      </c>
      <c r="G2384" s="4">
        <v>174</v>
      </c>
      <c r="H2384" s="12" t="str">
        <f t="array" ref="H2384">IF(G2384:G6426="","",_xlfn.XLOOKUP(G2384:G6426,castles_state!A:A,castles_state!D:D,"見つかりません"))</f>
      </c>
      <c r="I2384" s="4"/>
      <c r="J2384" s="12" t="str">
        <f t="array" ref="J2384">IF(I2384:I6426="","",_xlfn.XLOOKUP(I2384:I6426,'参照_姫'!A:A,'参照_姫'!B:B,"見つかりません"))</f>
      </c>
      <c r="K2384" s="4">
        <v>95</v>
      </c>
      <c r="L2384" s="4">
        <v>0</v>
      </c>
      <c r="M2384" s="4"/>
      <c r="N2384" s="4"/>
      <c r="O2384" s="4"/>
      <c r="P2384" s="12" t="str">
        <f t="array" ref="P2384">IF(O2384:O6426="","",_xlfn.XLOOKUP(O2384:O6426,'参照_官位'!A:A,'参照_官位'!B:B,""))</f>
      </c>
      <c r="Q2384" s="12" t="str">
        <f t="array" ref="Q2384">IF(A2384:A6426="","",IFERROR(_xlfn.XLOOKUP(A2384:A6426,castles_state!K:K,castles_state!D:D)&amp;"主",IFERROR(_xlfn.XLOOKUP(A2384:A6426,kunishuClan!D:D,kunishuClan!B:B)&amp;"当主","")))</f>
      </c>
    </row>
    <row r="2385" ht="15.75" customHeight="1">
      <c r="A2385" s="4">
        <v>1062022</v>
      </c>
      <c r="B2385" s="12" t="str">
        <f t="array" ref="B2385">IF(A2385:A6427="","",_xlfn.XLOOKUP(A2385:A6427,'参照_武将'!A:A,'参照_武将'!B:B,"見つかりません"))</f>
      </c>
      <c r="C2385" s="4" t="s">
        <v>302</v>
      </c>
      <c r="D2385" s="4">
        <v>62</v>
      </c>
      <c r="E2385" s="12" t="str">
        <f t="array" ref="E2385">IF(D2385:D6427="","",IFERROR(_xlfn.XLOOKUP(D2385:D6427,'参照_勢力'!A:A,'参照_勢力'!B:B),IFERROR(_xlfn.XLOOKUP(F2385:F6427,kunishuClan!A:A,kunishuClan!B:B),"浪人")))</f>
      </c>
      <c r="F2385" s="4">
        <v>0</v>
      </c>
      <c r="G2385" s="4">
        <v>174</v>
      </c>
      <c r="H2385" s="12" t="str">
        <f t="array" ref="H2385">IF(G2385:G6427="","",_xlfn.XLOOKUP(G2385:G6427,castles_state!A:A,castles_state!D:D,"見つかりません"))</f>
      </c>
      <c r="I2385" s="4"/>
      <c r="J2385" s="12" t="str">
        <f t="array" ref="J2385">IF(I2385:I6427="","",_xlfn.XLOOKUP(I2385:I6427,'参照_姫'!A:A,'参照_姫'!B:B,"見つかりません"))</f>
      </c>
      <c r="K2385" s="4">
        <v>95</v>
      </c>
      <c r="L2385" s="4">
        <v>0</v>
      </c>
      <c r="M2385" s="4"/>
      <c r="N2385" s="4"/>
      <c r="O2385" s="4"/>
      <c r="P2385" s="12" t="str">
        <f t="array" ref="P2385">IF(O2385:O6427="","",_xlfn.XLOOKUP(O2385:O6427,'参照_官位'!A:A,'参照_官位'!B:B,""))</f>
      </c>
      <c r="Q2385" s="12" t="str">
        <f t="array" ref="Q2385">IF(A2385:A6427="","",IFERROR(_xlfn.XLOOKUP(A2385:A6427,castles_state!K:K,castles_state!D:D)&amp;"主",IFERROR(_xlfn.XLOOKUP(A2385:A6427,kunishuClan!D:D,kunishuClan!B:B)&amp;"当主","")))</f>
      </c>
    </row>
    <row r="2386" ht="15.75" customHeight="1">
      <c r="A2386" s="4">
        <v>1062023</v>
      </c>
      <c r="B2386" s="12" t="str">
        <f t="array" ref="B2386">IF(A2386:A6428="","",_xlfn.XLOOKUP(A2386:A6428,'参照_武将'!A:A,'参照_武将'!B:B,"見つかりません"))</f>
      </c>
      <c r="C2386" s="4" t="s">
        <v>302</v>
      </c>
      <c r="D2386" s="4">
        <v>62</v>
      </c>
      <c r="E2386" s="12" t="str">
        <f t="array" ref="E2386">IF(D2386:D6428="","",IFERROR(_xlfn.XLOOKUP(D2386:D6428,'参照_勢力'!A:A,'参照_勢力'!B:B),IFERROR(_xlfn.XLOOKUP(F2386:F6428,kunishuClan!A:A,kunishuClan!B:B),"浪人")))</f>
      </c>
      <c r="F2386" s="4">
        <v>0</v>
      </c>
      <c r="G2386" s="4">
        <v>174</v>
      </c>
      <c r="H2386" s="12" t="str">
        <f t="array" ref="H2386">IF(G2386:G6428="","",_xlfn.XLOOKUP(G2386:G6428,castles_state!A:A,castles_state!D:D,"見つかりません"))</f>
      </c>
      <c r="I2386" s="4"/>
      <c r="J2386" s="12" t="str">
        <f t="array" ref="J2386">IF(I2386:I6428="","",_xlfn.XLOOKUP(I2386:I6428,'参照_姫'!A:A,'参照_姫'!B:B,"見つかりません"))</f>
      </c>
      <c r="K2386" s="4">
        <v>95</v>
      </c>
      <c r="L2386" s="4">
        <v>0</v>
      </c>
      <c r="M2386" s="4"/>
      <c r="N2386" s="4"/>
      <c r="O2386" s="4"/>
      <c r="P2386" s="12" t="str">
        <f t="array" ref="P2386">IF(O2386:O6428="","",_xlfn.XLOOKUP(O2386:O6428,'参照_官位'!A:A,'参照_官位'!B:B,""))</f>
      </c>
      <c r="Q2386" s="12" t="str">
        <f t="array" ref="Q2386">IF(A2386:A6428="","",IFERROR(_xlfn.XLOOKUP(A2386:A6428,castles_state!K:K,castles_state!D:D)&amp;"主",IFERROR(_xlfn.XLOOKUP(A2386:A6428,kunishuClan!D:D,kunishuClan!B:B)&amp;"当主","")))</f>
      </c>
    </row>
    <row r="2387" ht="15.75" customHeight="1">
      <c r="A2387" s="4">
        <v>1062024</v>
      </c>
      <c r="B2387" s="12" t="str">
        <f t="array" ref="B2387">IF(A2387:A6429="","",_xlfn.XLOOKUP(A2387:A6429,'参照_武将'!A:A,'参照_武将'!B:B,"見つかりません"))</f>
      </c>
      <c r="C2387" s="4" t="s">
        <v>302</v>
      </c>
      <c r="D2387" s="4">
        <v>62</v>
      </c>
      <c r="E2387" s="12" t="str">
        <f t="array" ref="E2387">IF(D2387:D6429="","",IFERROR(_xlfn.XLOOKUP(D2387:D6429,'参照_勢力'!A:A,'参照_勢力'!B:B),IFERROR(_xlfn.XLOOKUP(F2387:F6429,kunishuClan!A:A,kunishuClan!B:B),"浪人")))</f>
      </c>
      <c r="F2387" s="4">
        <v>0</v>
      </c>
      <c r="G2387" s="4">
        <v>174</v>
      </c>
      <c r="H2387" s="12" t="str">
        <f t="array" ref="H2387">IF(G2387:G6429="","",_xlfn.XLOOKUP(G2387:G6429,castles_state!A:A,castles_state!D:D,"見つかりません"))</f>
      </c>
      <c r="I2387" s="4"/>
      <c r="J2387" s="12" t="str">
        <f t="array" ref="J2387">IF(I2387:I6429="","",_xlfn.XLOOKUP(I2387:I6429,'参照_姫'!A:A,'参照_姫'!B:B,"見つかりません"))</f>
      </c>
      <c r="K2387" s="4">
        <v>95</v>
      </c>
      <c r="L2387" s="4">
        <v>0</v>
      </c>
      <c r="M2387" s="4"/>
      <c r="N2387" s="4"/>
      <c r="O2387" s="4"/>
      <c r="P2387" s="12" t="str">
        <f t="array" ref="P2387">IF(O2387:O6429="","",_xlfn.XLOOKUP(O2387:O6429,'参照_官位'!A:A,'参照_官位'!B:B,""))</f>
      </c>
      <c r="Q2387" s="12" t="str">
        <f t="array" ref="Q2387">IF(A2387:A6429="","",IFERROR(_xlfn.XLOOKUP(A2387:A6429,castles_state!K:K,castles_state!D:D)&amp;"主",IFERROR(_xlfn.XLOOKUP(A2387:A6429,kunishuClan!D:D,kunishuClan!B:B)&amp;"当主","")))</f>
      </c>
    </row>
    <row r="2388" ht="15.75" customHeight="1">
      <c r="A2388" s="4">
        <v>1062025</v>
      </c>
      <c r="B2388" s="12" t="str">
        <f t="array" ref="B2388">IF(A2388:A6430="","",_xlfn.XLOOKUP(A2388:A6430,'参照_武将'!A:A,'参照_武将'!B:B,"見つかりません"))</f>
      </c>
      <c r="C2388" s="4" t="s">
        <v>302</v>
      </c>
      <c r="D2388" s="4">
        <v>62</v>
      </c>
      <c r="E2388" s="12" t="str">
        <f t="array" ref="E2388">IF(D2388:D6430="","",IFERROR(_xlfn.XLOOKUP(D2388:D6430,'参照_勢力'!A:A,'参照_勢力'!B:B),IFERROR(_xlfn.XLOOKUP(F2388:F6430,kunishuClan!A:A,kunishuClan!B:B),"浪人")))</f>
      </c>
      <c r="F2388" s="4">
        <v>0</v>
      </c>
      <c r="G2388" s="4">
        <v>174</v>
      </c>
      <c r="H2388" s="12" t="str">
        <f t="array" ref="H2388">IF(G2388:G6430="","",_xlfn.XLOOKUP(G2388:G6430,castles_state!A:A,castles_state!D:D,"見つかりません"))</f>
      </c>
      <c r="I2388" s="4"/>
      <c r="J2388" s="12" t="str">
        <f t="array" ref="J2388">IF(I2388:I6430="","",_xlfn.XLOOKUP(I2388:I6430,'参照_姫'!A:A,'参照_姫'!B:B,"見つかりません"))</f>
      </c>
      <c r="K2388" s="4">
        <v>95</v>
      </c>
      <c r="L2388" s="4">
        <v>200</v>
      </c>
      <c r="M2388" s="4"/>
      <c r="N2388" s="4" t="b">
        <v>1</v>
      </c>
      <c r="O2388" s="4"/>
      <c r="P2388" s="12" t="str">
        <f t="array" ref="P2388">IF(O2388:O6430="","",_xlfn.XLOOKUP(O2388:O6430,'参照_官位'!A:A,'参照_官位'!B:B,""))</f>
      </c>
      <c r="Q2388" s="12" t="str">
        <f t="array" ref="Q2388">IF(A2388:A6430="","",IFERROR(_xlfn.XLOOKUP(A2388:A6430,castles_state!K:K,castles_state!D:D)&amp;"主",IFERROR(_xlfn.XLOOKUP(A2388:A6430,kunishuClan!D:D,kunishuClan!B:B)&amp;"当主","")))</f>
      </c>
    </row>
    <row r="2389" ht="15.75" customHeight="1">
      <c r="A2389" s="4">
        <v>1062026</v>
      </c>
      <c r="B2389" s="12" t="str">
        <f t="array" ref="B2389">IF(A2389:A6431="","",_xlfn.XLOOKUP(A2389:A6431,'参照_武将'!A:A,'参照_武将'!B:B,"見つかりません"))</f>
      </c>
      <c r="C2389" s="4" t="s">
        <v>302</v>
      </c>
      <c r="D2389" s="4">
        <v>62</v>
      </c>
      <c r="E2389" s="12" t="str">
        <f t="array" ref="E2389">IF(D2389:D6431="","",IFERROR(_xlfn.XLOOKUP(D2389:D6431,'参照_勢力'!A:A,'参照_勢力'!B:B),IFERROR(_xlfn.XLOOKUP(F2389:F6431,kunishuClan!A:A,kunishuClan!B:B),"浪人")))</f>
      </c>
      <c r="F2389" s="4">
        <v>0</v>
      </c>
      <c r="G2389" s="4">
        <v>174</v>
      </c>
      <c r="H2389" s="12" t="str">
        <f t="array" ref="H2389">IF(G2389:G6431="","",_xlfn.XLOOKUP(G2389:G6431,castles_state!A:A,castles_state!D:D,"見つかりません"))</f>
      </c>
      <c r="I2389" s="4"/>
      <c r="J2389" s="12" t="str">
        <f t="array" ref="J2389">IF(I2389:I6431="","",_xlfn.XLOOKUP(I2389:I6431,'参照_姫'!A:A,'参照_姫'!B:B,"見つかりません"))</f>
      </c>
      <c r="K2389" s="4">
        <v>95</v>
      </c>
      <c r="L2389" s="4">
        <v>500</v>
      </c>
      <c r="M2389" s="4" t="b">
        <v>1</v>
      </c>
      <c r="N2389" s="4"/>
      <c r="O2389" s="4"/>
      <c r="P2389" s="12" t="str">
        <f t="array" ref="P2389">IF(O2389:O6431="","",_xlfn.XLOOKUP(O2389:O6431,'参照_官位'!A:A,'参照_官位'!B:B,""))</f>
      </c>
      <c r="Q2389" s="12" t="str">
        <f t="array" ref="Q2389">IF(A2389:A6431="","",IFERROR(_xlfn.XLOOKUP(A2389:A6431,castles_state!K:K,castles_state!D:D)&amp;"主",IFERROR(_xlfn.XLOOKUP(A2389:A6431,kunishuClan!D:D,kunishuClan!B:B)&amp;"当主","")))</f>
      </c>
    </row>
    <row r="2390" ht="15.75" customHeight="1">
      <c r="A2390" s="4">
        <v>1062027</v>
      </c>
      <c r="B2390" s="12" t="str">
        <f t="array" ref="B2390">IF(A2390:A6432="","",_xlfn.XLOOKUP(A2390:A6432,'参照_武将'!A:A,'参照_武将'!B:B,"見つかりません"))</f>
      </c>
      <c r="C2390" s="4" t="s">
        <v>302</v>
      </c>
      <c r="D2390" s="4">
        <v>62</v>
      </c>
      <c r="E2390" s="12" t="str">
        <f t="array" ref="E2390">IF(D2390:D6432="","",IFERROR(_xlfn.XLOOKUP(D2390:D6432,'参照_勢力'!A:A,'参照_勢力'!B:B),IFERROR(_xlfn.XLOOKUP(F2390:F6432,kunishuClan!A:A,kunishuClan!B:B),"浪人")))</f>
      </c>
      <c r="F2390" s="4">
        <v>0</v>
      </c>
      <c r="G2390" s="4">
        <v>174</v>
      </c>
      <c r="H2390" s="12" t="str">
        <f t="array" ref="H2390">IF(G2390:G6432="","",_xlfn.XLOOKUP(G2390:G6432,castles_state!A:A,castles_state!D:D,"見つかりません"))</f>
      </c>
      <c r="I2390" s="4"/>
      <c r="J2390" s="12" t="str">
        <f t="array" ref="J2390">IF(I2390:I6432="","",_xlfn.XLOOKUP(I2390:I6432,'参照_姫'!A:A,'参照_姫'!B:B,"見つかりません"))</f>
      </c>
      <c r="K2390" s="4">
        <v>95</v>
      </c>
      <c r="L2390" s="4">
        <v>200</v>
      </c>
      <c r="M2390" s="4"/>
      <c r="N2390" s="4"/>
      <c r="O2390" s="4"/>
      <c r="P2390" s="12" t="str">
        <f t="array" ref="P2390">IF(O2390:O6432="","",_xlfn.XLOOKUP(O2390:O6432,'参照_官位'!A:A,'参照_官位'!B:B,""))</f>
      </c>
      <c r="Q2390" s="12" t="str">
        <f t="array" ref="Q2390">IF(A2390:A6432="","",IFERROR(_xlfn.XLOOKUP(A2390:A6432,castles_state!K:K,castles_state!D:D)&amp;"主",IFERROR(_xlfn.XLOOKUP(A2390:A6432,kunishuClan!D:D,kunishuClan!B:B)&amp;"当主","")))</f>
      </c>
    </row>
    <row r="2391" ht="15.75" customHeight="1">
      <c r="A2391" s="4">
        <v>1062028</v>
      </c>
      <c r="B2391" s="12" t="str">
        <f t="array" ref="B2391">IF(A2391:A6433="","",_xlfn.XLOOKUP(A2391:A6433,'参照_武将'!A:A,'参照_武将'!B:B,"見つかりません"))</f>
      </c>
      <c r="C2391" s="4" t="s">
        <v>302</v>
      </c>
      <c r="D2391" s="4">
        <v>62</v>
      </c>
      <c r="E2391" s="12" t="str">
        <f t="array" ref="E2391">IF(D2391:D6433="","",IFERROR(_xlfn.XLOOKUP(D2391:D6433,'参照_勢力'!A:A,'参照_勢力'!B:B),IFERROR(_xlfn.XLOOKUP(F2391:F6433,kunishuClan!A:A,kunishuClan!B:B),"浪人")))</f>
      </c>
      <c r="F2391" s="4">
        <v>0</v>
      </c>
      <c r="G2391" s="4">
        <v>174</v>
      </c>
      <c r="H2391" s="12" t="str">
        <f t="array" ref="H2391">IF(G2391:G6433="","",_xlfn.XLOOKUP(G2391:G6433,castles_state!A:A,castles_state!D:D,"見つかりません"))</f>
      </c>
      <c r="I2391" s="4"/>
      <c r="J2391" s="12" t="str">
        <f t="array" ref="J2391">IF(I2391:I6433="","",_xlfn.XLOOKUP(I2391:I6433,'参照_姫'!A:A,'参照_姫'!B:B,"見つかりません"))</f>
      </c>
      <c r="K2391" s="4">
        <v>95</v>
      </c>
      <c r="L2391" s="4">
        <v>100</v>
      </c>
      <c r="M2391" s="4"/>
      <c r="N2391" s="4"/>
      <c r="O2391" s="4"/>
      <c r="P2391" s="12" t="str">
        <f t="array" ref="P2391">IF(O2391:O6433="","",_xlfn.XLOOKUP(O2391:O6433,'参照_官位'!A:A,'参照_官位'!B:B,""))</f>
      </c>
      <c r="Q2391" s="12" t="str">
        <f t="array" ref="Q2391">IF(A2391:A6433="","",IFERROR(_xlfn.XLOOKUP(A2391:A6433,castles_state!K:K,castles_state!D:D)&amp;"主",IFERROR(_xlfn.XLOOKUP(A2391:A6433,kunishuClan!D:D,kunishuClan!B:B)&amp;"当主","")))</f>
      </c>
    </row>
    <row r="2392" ht="15.75" customHeight="1">
      <c r="A2392" s="4">
        <v>1062029</v>
      </c>
      <c r="B2392" s="12" t="str">
        <f t="array" ref="B2392">IF(A2392:A6434="","",_xlfn.XLOOKUP(A2392:A6434,'参照_武将'!A:A,'参照_武将'!B:B,"見つかりません"))</f>
      </c>
      <c r="C2392" s="4" t="s">
        <v>302</v>
      </c>
      <c r="D2392" s="4">
        <v>62</v>
      </c>
      <c r="E2392" s="12" t="str">
        <f t="array" ref="E2392">IF(D2392:D6434="","",IFERROR(_xlfn.XLOOKUP(D2392:D6434,'参照_勢力'!A:A,'参照_勢力'!B:B),IFERROR(_xlfn.XLOOKUP(F2392:F6434,kunishuClan!A:A,kunishuClan!B:B),"浪人")))</f>
      </c>
      <c r="F2392" s="4">
        <v>0</v>
      </c>
      <c r="G2392" s="4">
        <v>174</v>
      </c>
      <c r="H2392" s="12" t="str">
        <f t="array" ref="H2392">IF(G2392:G6434="","",_xlfn.XLOOKUP(G2392:G6434,castles_state!A:A,castles_state!D:D,"見つかりません"))</f>
      </c>
      <c r="I2392" s="4"/>
      <c r="J2392" s="12" t="str">
        <f t="array" ref="J2392">IF(I2392:I6434="","",_xlfn.XLOOKUP(I2392:I6434,'参照_姫'!A:A,'参照_姫'!B:B,"見つかりません"))</f>
      </c>
      <c r="K2392" s="4">
        <v>95</v>
      </c>
      <c r="L2392" s="4">
        <v>0</v>
      </c>
      <c r="M2392" s="4"/>
      <c r="N2392" s="4"/>
      <c r="O2392" s="4"/>
      <c r="P2392" s="12" t="str">
        <f t="array" ref="P2392">IF(O2392:O6434="","",_xlfn.XLOOKUP(O2392:O6434,'参照_官位'!A:A,'参照_官位'!B:B,""))</f>
      </c>
      <c r="Q2392" s="12" t="str">
        <f t="array" ref="Q2392">IF(A2392:A6434="","",IFERROR(_xlfn.XLOOKUP(A2392:A6434,castles_state!K:K,castles_state!D:D)&amp;"主",IFERROR(_xlfn.XLOOKUP(A2392:A6434,kunishuClan!D:D,kunishuClan!B:B)&amp;"当主","")))</f>
      </c>
    </row>
    <row r="2393" ht="15.75" customHeight="1">
      <c r="A2393" s="4">
        <v>1062030</v>
      </c>
      <c r="B2393" s="12" t="str">
        <f t="array" ref="B2393">IF(A2393:A6435="","",_xlfn.XLOOKUP(A2393:A6435,'参照_武将'!A:A,'参照_武将'!B:B,"見つかりません"))</f>
      </c>
      <c r="C2393" s="4" t="s">
        <v>302</v>
      </c>
      <c r="D2393" s="4">
        <v>62</v>
      </c>
      <c r="E2393" s="12" t="str">
        <f t="array" ref="E2393">IF(D2393:D6435="","",IFERROR(_xlfn.XLOOKUP(D2393:D6435,'参照_勢力'!A:A,'参照_勢力'!B:B),IFERROR(_xlfn.XLOOKUP(F2393:F6435,kunishuClan!A:A,kunishuClan!B:B),"浪人")))</f>
      </c>
      <c r="F2393" s="4">
        <v>0</v>
      </c>
      <c r="G2393" s="4">
        <v>174</v>
      </c>
      <c r="H2393" s="12" t="str">
        <f t="array" ref="H2393">IF(G2393:G6435="","",_xlfn.XLOOKUP(G2393:G6435,castles_state!A:A,castles_state!D:D,"見つかりません"))</f>
      </c>
      <c r="I2393" s="4"/>
      <c r="J2393" s="12" t="str">
        <f t="array" ref="J2393">IF(I2393:I6435="","",_xlfn.XLOOKUP(I2393:I6435,'参照_姫'!A:A,'参照_姫'!B:B,"見つかりません"))</f>
      </c>
      <c r="K2393" s="4">
        <v>95</v>
      </c>
      <c r="L2393" s="4">
        <v>0</v>
      </c>
      <c r="M2393" s="4"/>
      <c r="N2393" s="4"/>
      <c r="O2393" s="4"/>
      <c r="P2393" s="12" t="str">
        <f t="array" ref="P2393">IF(O2393:O6435="","",_xlfn.XLOOKUP(O2393:O6435,'参照_官位'!A:A,'参照_官位'!B:B,""))</f>
      </c>
      <c r="Q2393" s="12" t="str">
        <f t="array" ref="Q2393">IF(A2393:A6435="","",IFERROR(_xlfn.XLOOKUP(A2393:A6435,castles_state!K:K,castles_state!D:D)&amp;"主",IFERROR(_xlfn.XLOOKUP(A2393:A6435,kunishuClan!D:D,kunishuClan!B:B)&amp;"当主","")))</f>
      </c>
    </row>
    <row r="2394" ht="15.75" customHeight="1">
      <c r="A2394" s="4">
        <v>1062031</v>
      </c>
      <c r="B2394" s="12" t="str">
        <f t="array" ref="B2394">IF(A2394:A6436="","",_xlfn.XLOOKUP(A2394:A6436,'参照_武将'!A:A,'参照_武将'!B:B,"見つかりません"))</f>
      </c>
      <c r="C2394" s="4" t="s">
        <v>302</v>
      </c>
      <c r="D2394" s="4">
        <v>62</v>
      </c>
      <c r="E2394" s="12" t="str">
        <f t="array" ref="E2394">IF(D2394:D6436="","",IFERROR(_xlfn.XLOOKUP(D2394:D6436,'参照_勢力'!A:A,'参照_勢力'!B:B),IFERROR(_xlfn.XLOOKUP(F2394:F6436,kunishuClan!A:A,kunishuClan!B:B),"浪人")))</f>
      </c>
      <c r="F2394" s="4">
        <v>0</v>
      </c>
      <c r="G2394" s="4">
        <v>174</v>
      </c>
      <c r="H2394" s="12" t="str">
        <f t="array" ref="H2394">IF(G2394:G6436="","",_xlfn.XLOOKUP(G2394:G6436,castles_state!A:A,castles_state!D:D,"見つかりません"))</f>
      </c>
      <c r="I2394" s="4"/>
      <c r="J2394" s="12" t="str">
        <f t="array" ref="J2394">IF(I2394:I6436="","",_xlfn.XLOOKUP(I2394:I6436,'参照_姫'!A:A,'参照_姫'!B:B,"見つかりません"))</f>
      </c>
      <c r="K2394" s="4">
        <v>95</v>
      </c>
      <c r="L2394" s="4">
        <v>100</v>
      </c>
      <c r="M2394" s="4"/>
      <c r="N2394" s="4"/>
      <c r="O2394" s="4"/>
      <c r="P2394" s="12" t="str">
        <f t="array" ref="P2394">IF(O2394:O6436="","",_xlfn.XLOOKUP(O2394:O6436,'参照_官位'!A:A,'参照_官位'!B:B,""))</f>
      </c>
      <c r="Q2394" s="12" t="str">
        <f t="array" ref="Q2394">IF(A2394:A6436="","",IFERROR(_xlfn.XLOOKUP(A2394:A6436,castles_state!K:K,castles_state!D:D)&amp;"主",IFERROR(_xlfn.XLOOKUP(A2394:A6436,kunishuClan!D:D,kunishuClan!B:B)&amp;"当主","")))</f>
      </c>
    </row>
    <row r="2395" ht="15.75" customHeight="1">
      <c r="A2395" s="4">
        <v>1062032</v>
      </c>
      <c r="B2395" s="12" t="str">
        <f t="array" ref="B2395">IF(A2395:A6437="","",_xlfn.XLOOKUP(A2395:A6437,'参照_武将'!A:A,'参照_武将'!B:B,"見つかりません"))</f>
      </c>
      <c r="C2395" s="4" t="s">
        <v>302</v>
      </c>
      <c r="D2395" s="4">
        <v>62</v>
      </c>
      <c r="E2395" s="12" t="str">
        <f t="array" ref="E2395">IF(D2395:D6437="","",IFERROR(_xlfn.XLOOKUP(D2395:D6437,'参照_勢力'!A:A,'参照_勢力'!B:B),IFERROR(_xlfn.XLOOKUP(F2395:F6437,kunishuClan!A:A,kunishuClan!B:B),"浪人")))</f>
      </c>
      <c r="F2395" s="4">
        <v>0</v>
      </c>
      <c r="G2395" s="4">
        <v>174</v>
      </c>
      <c r="H2395" s="12" t="str">
        <f t="array" ref="H2395">IF(G2395:G6437="","",_xlfn.XLOOKUP(G2395:G6437,castles_state!A:A,castles_state!D:D,"見つかりません"))</f>
      </c>
      <c r="I2395" s="4"/>
      <c r="J2395" s="12" t="str">
        <f t="array" ref="J2395">IF(I2395:I6437="","",_xlfn.XLOOKUP(I2395:I6437,'参照_姫'!A:A,'参照_姫'!B:B,"見つかりません"))</f>
      </c>
      <c r="K2395" s="4">
        <v>95</v>
      </c>
      <c r="L2395" s="4">
        <v>100</v>
      </c>
      <c r="M2395" s="4"/>
      <c r="N2395" s="4"/>
      <c r="O2395" s="4"/>
      <c r="P2395" s="12" t="str">
        <f t="array" ref="P2395">IF(O2395:O6437="","",_xlfn.XLOOKUP(O2395:O6437,'参照_官位'!A:A,'参照_官位'!B:B,""))</f>
      </c>
      <c r="Q2395" s="12" t="str">
        <f t="array" ref="Q2395">IF(A2395:A6437="","",IFERROR(_xlfn.XLOOKUP(A2395:A6437,castles_state!K:K,castles_state!D:D)&amp;"主",IFERROR(_xlfn.XLOOKUP(A2395:A6437,kunishuClan!D:D,kunishuClan!B:B)&amp;"当主","")))</f>
      </c>
    </row>
    <row r="2396" ht="15.75" customHeight="1">
      <c r="A2396" s="4">
        <v>1062033</v>
      </c>
      <c r="B2396" s="12" t="str">
        <f t="array" ref="B2396">IF(A2396:A6438="","",_xlfn.XLOOKUP(A2396:A6438,'参照_武将'!A:A,'参照_武将'!B:B,"見つかりません"))</f>
      </c>
      <c r="C2396" s="4" t="s">
        <v>302</v>
      </c>
      <c r="D2396" s="4">
        <v>62</v>
      </c>
      <c r="E2396" s="12" t="str">
        <f t="array" ref="E2396">IF(D2396:D6438="","",IFERROR(_xlfn.XLOOKUP(D2396:D6438,'参照_勢力'!A:A,'参照_勢力'!B:B),IFERROR(_xlfn.XLOOKUP(F2396:F6438,kunishuClan!A:A,kunishuClan!B:B),"浪人")))</f>
      </c>
      <c r="F2396" s="4">
        <v>0</v>
      </c>
      <c r="G2396" s="4">
        <v>174</v>
      </c>
      <c r="H2396" s="12" t="str">
        <f t="array" ref="H2396">IF(G2396:G6438="","",_xlfn.XLOOKUP(G2396:G6438,castles_state!A:A,castles_state!D:D,"見つかりません"))</f>
      </c>
      <c r="I2396" s="4"/>
      <c r="J2396" s="12" t="str">
        <f t="array" ref="J2396">IF(I2396:I6438="","",_xlfn.XLOOKUP(I2396:I6438,'参照_姫'!A:A,'参照_姫'!B:B,"見つかりません"))</f>
      </c>
      <c r="K2396" s="4">
        <v>95</v>
      </c>
      <c r="L2396" s="4">
        <v>500</v>
      </c>
      <c r="M2396" s="4"/>
      <c r="N2396" s="4"/>
      <c r="O2396" s="4"/>
      <c r="P2396" s="12" t="str">
        <f t="array" ref="P2396">IF(O2396:O6438="","",_xlfn.XLOOKUP(O2396:O6438,'参照_官位'!A:A,'参照_官位'!B:B,""))</f>
      </c>
      <c r="Q2396" s="12" t="str">
        <f t="array" ref="Q2396">IF(A2396:A6438="","",IFERROR(_xlfn.XLOOKUP(A2396:A6438,castles_state!K:K,castles_state!D:D)&amp;"主",IFERROR(_xlfn.XLOOKUP(A2396:A6438,kunishuClan!D:D,kunishuClan!B:B)&amp;"当主","")))</f>
      </c>
    </row>
    <row r="2397" ht="15.75" customHeight="1">
      <c r="A2397" s="4">
        <v>1062034</v>
      </c>
      <c r="B2397" s="12" t="str">
        <f t="array" ref="B2397">IF(A2397:A6439="","",_xlfn.XLOOKUP(A2397:A6439,'参照_武将'!A:A,'参照_武将'!B:B,"見つかりません"))</f>
      </c>
      <c r="C2397" s="4" t="s">
        <v>302</v>
      </c>
      <c r="D2397" s="4">
        <v>62</v>
      </c>
      <c r="E2397" s="12" t="str">
        <f t="array" ref="E2397">IF(D2397:D6439="","",IFERROR(_xlfn.XLOOKUP(D2397:D6439,'参照_勢力'!A:A,'参照_勢力'!B:B),IFERROR(_xlfn.XLOOKUP(F2397:F6439,kunishuClan!A:A,kunishuClan!B:B),"浪人")))</f>
      </c>
      <c r="F2397" s="4">
        <v>0</v>
      </c>
      <c r="G2397" s="4">
        <v>174</v>
      </c>
      <c r="H2397" s="12" t="str">
        <f t="array" ref="H2397">IF(G2397:G6439="","",_xlfn.XLOOKUP(G2397:G6439,castles_state!A:A,castles_state!D:D,"見つかりません"))</f>
      </c>
      <c r="I2397" s="4"/>
      <c r="J2397" s="12" t="str">
        <f t="array" ref="J2397">IF(I2397:I6439="","",_xlfn.XLOOKUP(I2397:I6439,'参照_姫'!A:A,'参照_姫'!B:B,"見つかりません"))</f>
      </c>
      <c r="K2397" s="4">
        <v>95</v>
      </c>
      <c r="L2397" s="4">
        <v>200</v>
      </c>
      <c r="M2397" s="4"/>
      <c r="N2397" s="4"/>
      <c r="O2397" s="4"/>
      <c r="P2397" s="12" t="str">
        <f t="array" ref="P2397">IF(O2397:O6439="","",_xlfn.XLOOKUP(O2397:O6439,'参照_官位'!A:A,'参照_官位'!B:B,""))</f>
      </c>
      <c r="Q2397" s="12" t="str">
        <f t="array" ref="Q2397">IF(A2397:A6439="","",IFERROR(_xlfn.XLOOKUP(A2397:A6439,castles_state!K:K,castles_state!D:D)&amp;"主",IFERROR(_xlfn.XLOOKUP(A2397:A6439,kunishuClan!D:D,kunishuClan!B:B)&amp;"当主","")))</f>
      </c>
    </row>
    <row r="2398" ht="15.75" customHeight="1">
      <c r="A2398" s="4">
        <v>1062035</v>
      </c>
      <c r="B2398" s="12" t="str">
        <f t="array" ref="B2398">IF(A2398:A6440="","",_xlfn.XLOOKUP(A2398:A6440,'参照_武将'!A:A,'参照_武将'!B:B,"見つかりません"))</f>
      </c>
      <c r="C2398" s="4" t="s">
        <v>302</v>
      </c>
      <c r="D2398" s="4">
        <v>62</v>
      </c>
      <c r="E2398" s="12" t="str">
        <f t="array" ref="E2398">IF(D2398:D6440="","",IFERROR(_xlfn.XLOOKUP(D2398:D6440,'参照_勢力'!A:A,'参照_勢力'!B:B),IFERROR(_xlfn.XLOOKUP(F2398:F6440,kunishuClan!A:A,kunishuClan!B:B),"浪人")))</f>
      </c>
      <c r="F2398" s="4">
        <v>0</v>
      </c>
      <c r="G2398" s="4">
        <v>174</v>
      </c>
      <c r="H2398" s="12" t="str">
        <f t="array" ref="H2398">IF(G2398:G6440="","",_xlfn.XLOOKUP(G2398:G6440,castles_state!A:A,castles_state!D:D,"見つかりません"))</f>
      </c>
      <c r="I2398" s="4"/>
      <c r="J2398" s="12" t="str">
        <f t="array" ref="J2398">IF(I2398:I6440="","",_xlfn.XLOOKUP(I2398:I6440,'参照_姫'!A:A,'参照_姫'!B:B,"見つかりません"))</f>
      </c>
      <c r="K2398" s="4">
        <v>90</v>
      </c>
      <c r="L2398" s="4">
        <v>200</v>
      </c>
      <c r="M2398" s="4"/>
      <c r="N2398" s="4"/>
      <c r="O2398" s="4"/>
      <c r="P2398" s="12" t="str">
        <f t="array" ref="P2398">IF(O2398:O6440="","",_xlfn.XLOOKUP(O2398:O6440,'参照_官位'!A:A,'参照_官位'!B:B,""))</f>
      </c>
      <c r="Q2398" s="12" t="str">
        <f t="array" ref="Q2398">IF(A2398:A6440="","",IFERROR(_xlfn.XLOOKUP(A2398:A6440,castles_state!K:K,castles_state!D:D)&amp;"主",IFERROR(_xlfn.XLOOKUP(A2398:A6440,kunishuClan!D:D,kunishuClan!B:B)&amp;"当主","")))</f>
      </c>
    </row>
    <row r="2399" ht="15.75" customHeight="1">
      <c r="A2399" s="4">
        <v>1062036</v>
      </c>
      <c r="B2399" s="12" t="str">
        <f t="array" ref="B2399">IF(A2399:A6441="","",_xlfn.XLOOKUP(A2399:A6441,'参照_武将'!A:A,'参照_武将'!B:B,"見つかりません"))</f>
      </c>
      <c r="C2399" s="4" t="s">
        <v>302</v>
      </c>
      <c r="D2399" s="4">
        <v>62</v>
      </c>
      <c r="E2399" s="12" t="str">
        <f t="array" ref="E2399">IF(D2399:D6441="","",IFERROR(_xlfn.XLOOKUP(D2399:D6441,'参照_勢力'!A:A,'参照_勢力'!B:B),IFERROR(_xlfn.XLOOKUP(F2399:F6441,kunishuClan!A:A,kunishuClan!B:B),"浪人")))</f>
      </c>
      <c r="F2399" s="4">
        <v>0</v>
      </c>
      <c r="G2399" s="4">
        <v>174</v>
      </c>
      <c r="H2399" s="12" t="str">
        <f t="array" ref="H2399">IF(G2399:G6441="","",_xlfn.XLOOKUP(G2399:G6441,castles_state!A:A,castles_state!D:D,"見つかりません"))</f>
      </c>
      <c r="I2399" s="4"/>
      <c r="J2399" s="12" t="str">
        <f t="array" ref="J2399">IF(I2399:I6441="","",_xlfn.XLOOKUP(I2399:I6441,'参照_姫'!A:A,'参照_姫'!B:B,"見つかりません"))</f>
      </c>
      <c r="K2399" s="4">
        <v>95</v>
      </c>
      <c r="L2399" s="4">
        <v>0</v>
      </c>
      <c r="M2399" s="4"/>
      <c r="N2399" s="4"/>
      <c r="O2399" s="4"/>
      <c r="P2399" s="12" t="str">
        <f t="array" ref="P2399">IF(O2399:O6441="","",_xlfn.XLOOKUP(O2399:O6441,'参照_官位'!A:A,'参照_官位'!B:B,""))</f>
      </c>
      <c r="Q2399" s="12" t="str">
        <f t="array" ref="Q2399">IF(A2399:A6441="","",IFERROR(_xlfn.XLOOKUP(A2399:A6441,castles_state!K:K,castles_state!D:D)&amp;"主",IFERROR(_xlfn.XLOOKUP(A2399:A6441,kunishuClan!D:D,kunishuClan!B:B)&amp;"当主","")))</f>
      </c>
    </row>
    <row r="2400" ht="15.75" customHeight="1">
      <c r="A2400" s="4">
        <v>1062037</v>
      </c>
      <c r="B2400" s="12" t="str">
        <f t="array" ref="B2400">IF(A2400:A6442="","",_xlfn.XLOOKUP(A2400:A6442,'参照_武将'!A:A,'参照_武将'!B:B,"見つかりません"))</f>
      </c>
      <c r="C2400" s="4" t="s">
        <v>302</v>
      </c>
      <c r="D2400" s="4">
        <v>62</v>
      </c>
      <c r="E2400" s="12" t="str">
        <f t="array" ref="E2400">IF(D2400:D6442="","",IFERROR(_xlfn.XLOOKUP(D2400:D6442,'参照_勢力'!A:A,'参照_勢力'!B:B),IFERROR(_xlfn.XLOOKUP(F2400:F6442,kunishuClan!A:A,kunishuClan!B:B),"浪人")))</f>
      </c>
      <c r="F2400" s="4">
        <v>0</v>
      </c>
      <c r="G2400" s="4">
        <v>174</v>
      </c>
      <c r="H2400" s="12" t="str">
        <f t="array" ref="H2400">IF(G2400:G6442="","",_xlfn.XLOOKUP(G2400:G6442,castles_state!A:A,castles_state!D:D,"見つかりません"))</f>
      </c>
      <c r="I2400" s="4"/>
      <c r="J2400" s="12" t="str">
        <f t="array" ref="J2400">IF(I2400:I6442="","",_xlfn.XLOOKUP(I2400:I6442,'参照_姫'!A:A,'参照_姫'!B:B,"見つかりません"))</f>
      </c>
      <c r="K2400" s="4">
        <v>95</v>
      </c>
      <c r="L2400" s="4">
        <v>0</v>
      </c>
      <c r="M2400" s="4"/>
      <c r="N2400" s="4"/>
      <c r="O2400" s="4"/>
      <c r="P2400" s="12" t="str">
        <f t="array" ref="P2400">IF(O2400:O6442="","",_xlfn.XLOOKUP(O2400:O6442,'参照_官位'!A:A,'参照_官位'!B:B,""))</f>
      </c>
      <c r="Q2400" s="12" t="str">
        <f t="array" ref="Q2400">IF(A2400:A6442="","",IFERROR(_xlfn.XLOOKUP(A2400:A6442,castles_state!K:K,castles_state!D:D)&amp;"主",IFERROR(_xlfn.XLOOKUP(A2400:A6442,kunishuClan!D:D,kunishuClan!B:B)&amp;"当主","")))</f>
      </c>
    </row>
    <row r="2401" ht="15.75" customHeight="1">
      <c r="A2401" s="4">
        <v>1063001</v>
      </c>
      <c r="B2401" s="12" t="str">
        <f t="array" ref="B2401">IF(A2401:A6443="","",_xlfn.XLOOKUP(A2401:A6443,'参照_武将'!A:A,'参照_武将'!B:B,"見つかりません"))</f>
      </c>
      <c r="C2401" s="4" t="s">
        <v>307</v>
      </c>
      <c r="D2401" s="4">
        <v>63</v>
      </c>
      <c r="E2401" s="12" t="str">
        <f t="array" ref="E2401">IF(D2401:D6443="","",IFERROR(_xlfn.XLOOKUP(D2401:D6443,'参照_勢力'!A:A,'参照_勢力'!B:B),IFERROR(_xlfn.XLOOKUP(F2401:F6443,kunishuClan!A:A,kunishuClan!B:B),"浪人")))</f>
      </c>
      <c r="F2401" s="4">
        <v>0</v>
      </c>
      <c r="G2401" s="4">
        <v>128</v>
      </c>
      <c r="H2401" s="12" t="str">
        <f t="array" ref="H2401">IF(G2401:G6443="","",_xlfn.XLOOKUP(G2401:G6443,castles_state!A:A,castles_state!D:D,"見つかりません"))</f>
      </c>
      <c r="I2401" s="4"/>
      <c r="J2401" s="12" t="str">
        <f t="array" ref="J2401">IF(I2401:I6443="","",_xlfn.XLOOKUP(I2401:I6443,'参照_姫'!A:A,'参照_姫'!B:B,"見つかりません"))</f>
      </c>
      <c r="K2401" s="4">
        <v>95</v>
      </c>
      <c r="L2401" s="4">
        <v>0</v>
      </c>
      <c r="M2401" s="4"/>
      <c r="N2401" s="4"/>
      <c r="O2401" s="4"/>
      <c r="P2401" s="12" t="str">
        <f t="array" ref="P2401">IF(O2401:O6443="","",_xlfn.XLOOKUP(O2401:O6443,'参照_官位'!A:A,'参照_官位'!B:B,""))</f>
      </c>
      <c r="Q2401" s="12" t="str">
        <f t="array" ref="Q2401">IF(A2401:A6443="","",IFERROR(_xlfn.XLOOKUP(A2401:A6443,castles_state!K:K,castles_state!D:D)&amp;"主",IFERROR(_xlfn.XLOOKUP(A2401:A6443,kunishuClan!D:D,kunishuClan!B:B)&amp;"当主","")))</f>
      </c>
    </row>
    <row r="2402" ht="15.75" customHeight="1">
      <c r="A2402" s="4">
        <v>1063002</v>
      </c>
      <c r="B2402" s="12" t="str">
        <f t="array" ref="B2402">IF(A2402:A6444="","",_xlfn.XLOOKUP(A2402:A6444,'参照_武将'!A:A,'参照_武将'!B:B,"見つかりません"))</f>
      </c>
      <c r="C2402" s="4" t="s">
        <v>307</v>
      </c>
      <c r="D2402" s="4">
        <v>63</v>
      </c>
      <c r="E2402" s="12" t="str">
        <f t="array" ref="E2402">IF(D2402:D6444="","",IFERROR(_xlfn.XLOOKUP(D2402:D6444,'参照_勢力'!A:A,'参照_勢力'!B:B),IFERROR(_xlfn.XLOOKUP(F2402:F6444,kunishuClan!A:A,kunishuClan!B:B),"浪人")))</f>
      </c>
      <c r="F2402" s="4">
        <v>0</v>
      </c>
      <c r="G2402" s="4">
        <v>128</v>
      </c>
      <c r="H2402" s="12" t="str">
        <f t="array" ref="H2402">IF(G2402:G6444="","",_xlfn.XLOOKUP(G2402:G6444,castles_state!A:A,castles_state!D:D,"見つかりません"))</f>
      </c>
      <c r="I2402" s="4"/>
      <c r="J2402" s="12" t="str">
        <f t="array" ref="J2402">IF(I2402:I6444="","",_xlfn.XLOOKUP(I2402:I6444,'参照_姫'!A:A,'参照_姫'!B:B,"見つかりません"))</f>
      </c>
      <c r="K2402" s="4">
        <v>95</v>
      </c>
      <c r="L2402" s="4">
        <v>0</v>
      </c>
      <c r="M2402" s="4"/>
      <c r="N2402" s="4"/>
      <c r="O2402" s="4"/>
      <c r="P2402" s="12" t="str">
        <f t="array" ref="P2402">IF(O2402:O6444="","",_xlfn.XLOOKUP(O2402:O6444,'参照_官位'!A:A,'参照_官位'!B:B,""))</f>
      </c>
      <c r="Q2402" s="12" t="str">
        <f t="array" ref="Q2402">IF(A2402:A6444="","",IFERROR(_xlfn.XLOOKUP(A2402:A6444,castles_state!K:K,castles_state!D:D)&amp;"主",IFERROR(_xlfn.XLOOKUP(A2402:A6444,kunishuClan!D:D,kunishuClan!B:B)&amp;"当主","")))</f>
      </c>
    </row>
    <row r="2403" ht="15.75" customHeight="1">
      <c r="A2403" s="4">
        <v>1063003</v>
      </c>
      <c r="B2403" s="12" t="str">
        <f t="array" ref="B2403">IF(A2403:A6445="","",_xlfn.XLOOKUP(A2403:A6445,'参照_武将'!A:A,'参照_武将'!B:B,"見つかりません"))</f>
      </c>
      <c r="C2403" s="4" t="s">
        <v>307</v>
      </c>
      <c r="D2403" s="4">
        <v>63</v>
      </c>
      <c r="E2403" s="12" t="str">
        <f t="array" ref="E2403">IF(D2403:D6445="","",IFERROR(_xlfn.XLOOKUP(D2403:D6445,'参照_勢力'!A:A,'参照_勢力'!B:B),IFERROR(_xlfn.XLOOKUP(F2403:F6445,kunishuClan!A:A,kunishuClan!B:B),"浪人")))</f>
      </c>
      <c r="F2403" s="4">
        <v>0</v>
      </c>
      <c r="G2403" s="4">
        <v>128</v>
      </c>
      <c r="H2403" s="12" t="str">
        <f t="array" ref="H2403">IF(G2403:G6445="","",_xlfn.XLOOKUP(G2403:G6445,castles_state!A:A,castles_state!D:D,"見つかりません"))</f>
      </c>
      <c r="I2403" s="4"/>
      <c r="J2403" s="12" t="str">
        <f t="array" ref="J2403">IF(I2403:I6445="","",_xlfn.XLOOKUP(I2403:I6445,'参照_姫'!A:A,'参照_姫'!B:B,"見つかりません"))</f>
      </c>
      <c r="K2403" s="4">
        <v>95</v>
      </c>
      <c r="L2403" s="4">
        <v>0</v>
      </c>
      <c r="M2403" s="4"/>
      <c r="N2403" s="4"/>
      <c r="O2403" s="4"/>
      <c r="P2403" s="12" t="str">
        <f t="array" ref="P2403">IF(O2403:O6445="","",_xlfn.XLOOKUP(O2403:O6445,'参照_官位'!A:A,'参照_官位'!B:B,""))</f>
      </c>
      <c r="Q2403" s="12" t="str">
        <f t="array" ref="Q2403">IF(A2403:A6445="","",IFERROR(_xlfn.XLOOKUP(A2403:A6445,castles_state!K:K,castles_state!D:D)&amp;"主",IFERROR(_xlfn.XLOOKUP(A2403:A6445,kunishuClan!D:D,kunishuClan!B:B)&amp;"当主","")))</f>
      </c>
    </row>
    <row r="2404" ht="15.75" customHeight="1">
      <c r="A2404" s="4">
        <v>1063004</v>
      </c>
      <c r="B2404" s="12" t="str">
        <f t="array" ref="B2404">IF(A2404:A6446="","",_xlfn.XLOOKUP(A2404:A6446,'参照_武将'!A:A,'参照_武将'!B:B,"見つかりません"))</f>
      </c>
      <c r="C2404" s="4" t="s">
        <v>307</v>
      </c>
      <c r="D2404" s="4">
        <v>63</v>
      </c>
      <c r="E2404" s="12" t="str">
        <f t="array" ref="E2404">IF(D2404:D6446="","",IFERROR(_xlfn.XLOOKUP(D2404:D6446,'参照_勢力'!A:A,'参照_勢力'!B:B),IFERROR(_xlfn.XLOOKUP(F2404:F6446,kunishuClan!A:A,kunishuClan!B:B),"浪人")))</f>
      </c>
      <c r="F2404" s="4">
        <v>0</v>
      </c>
      <c r="G2404" s="4">
        <v>128</v>
      </c>
      <c r="H2404" s="12" t="str">
        <f t="array" ref="H2404">IF(G2404:G6446="","",_xlfn.XLOOKUP(G2404:G6446,castles_state!A:A,castles_state!D:D,"見つかりません"))</f>
      </c>
      <c r="I2404" s="4"/>
      <c r="J2404" s="12" t="str">
        <f t="array" ref="J2404">IF(I2404:I6446="","",_xlfn.XLOOKUP(I2404:I6446,'参照_姫'!A:A,'参照_姫'!B:B,"見つかりません"))</f>
      </c>
      <c r="K2404" s="4">
        <v>95</v>
      </c>
      <c r="L2404" s="4">
        <v>0</v>
      </c>
      <c r="M2404" s="4"/>
      <c r="N2404" s="4"/>
      <c r="O2404" s="4"/>
      <c r="P2404" s="12" t="str">
        <f t="array" ref="P2404">IF(O2404:O6446="","",_xlfn.XLOOKUP(O2404:O6446,'参照_官位'!A:A,'参照_官位'!B:B,""))</f>
      </c>
      <c r="Q2404" s="12" t="str">
        <f t="array" ref="Q2404">IF(A2404:A6446="","",IFERROR(_xlfn.XLOOKUP(A2404:A6446,castles_state!K:K,castles_state!D:D)&amp;"主",IFERROR(_xlfn.XLOOKUP(A2404:A6446,kunishuClan!D:D,kunishuClan!B:B)&amp;"当主","")))</f>
      </c>
    </row>
    <row r="2405" ht="15.75" customHeight="1">
      <c r="A2405" s="4">
        <v>1063005</v>
      </c>
      <c r="B2405" s="12" t="str">
        <f t="array" ref="B2405">IF(A2405:A6447="","",_xlfn.XLOOKUP(A2405:A6447,'参照_武将'!A:A,'参照_武将'!B:B,"見つかりません"))</f>
      </c>
      <c r="C2405" s="4" t="s">
        <v>307</v>
      </c>
      <c r="D2405" s="4">
        <v>63</v>
      </c>
      <c r="E2405" s="12" t="str">
        <f t="array" ref="E2405">IF(D2405:D6447="","",IFERROR(_xlfn.XLOOKUP(D2405:D6447,'参照_勢力'!A:A,'参照_勢力'!B:B),IFERROR(_xlfn.XLOOKUP(F2405:F6447,kunishuClan!A:A,kunishuClan!B:B),"浪人")))</f>
      </c>
      <c r="F2405" s="4">
        <v>0</v>
      </c>
      <c r="G2405" s="4">
        <v>128</v>
      </c>
      <c r="H2405" s="12" t="str">
        <f t="array" ref="H2405">IF(G2405:G6447="","",_xlfn.XLOOKUP(G2405:G6447,castles_state!A:A,castles_state!D:D,"見つかりません"))</f>
      </c>
      <c r="I2405" s="4"/>
      <c r="J2405" s="12" t="str">
        <f t="array" ref="J2405">IF(I2405:I6447="","",_xlfn.XLOOKUP(I2405:I6447,'参照_姫'!A:A,'参照_姫'!B:B,"見つかりません"))</f>
      </c>
      <c r="K2405" s="4">
        <v>95</v>
      </c>
      <c r="L2405" s="4">
        <v>0</v>
      </c>
      <c r="M2405" s="4"/>
      <c r="N2405" s="4"/>
      <c r="O2405" s="4"/>
      <c r="P2405" s="12" t="str">
        <f t="array" ref="P2405">IF(O2405:O6447="","",_xlfn.XLOOKUP(O2405:O6447,'参照_官位'!A:A,'参照_官位'!B:B,""))</f>
      </c>
      <c r="Q2405" s="12" t="str">
        <f t="array" ref="Q2405">IF(A2405:A6447="","",IFERROR(_xlfn.XLOOKUP(A2405:A6447,castles_state!K:K,castles_state!D:D)&amp;"主",IFERROR(_xlfn.XLOOKUP(A2405:A6447,kunishuClan!D:D,kunishuClan!B:B)&amp;"当主","")))</f>
      </c>
    </row>
    <row r="2406" ht="15.75" customHeight="1">
      <c r="A2406" s="4">
        <v>1063006</v>
      </c>
      <c r="B2406" s="12" t="str">
        <f t="array" ref="B2406">IF(A2406:A6448="","",_xlfn.XLOOKUP(A2406:A6448,'参照_武将'!A:A,'参照_武将'!B:B,"見つかりません"))</f>
      </c>
      <c r="C2406" s="4" t="s">
        <v>307</v>
      </c>
      <c r="D2406" s="4">
        <v>63</v>
      </c>
      <c r="E2406" s="12" t="str">
        <f t="array" ref="E2406">IF(D2406:D6448="","",IFERROR(_xlfn.XLOOKUP(D2406:D6448,'参照_勢力'!A:A,'参照_勢力'!B:B),IFERROR(_xlfn.XLOOKUP(F2406:F6448,kunishuClan!A:A,kunishuClan!B:B),"浪人")))</f>
      </c>
      <c r="F2406" s="4">
        <v>0</v>
      </c>
      <c r="G2406" s="4">
        <v>128</v>
      </c>
      <c r="H2406" s="12" t="str">
        <f t="array" ref="H2406">IF(G2406:G6448="","",_xlfn.XLOOKUP(G2406:G6448,castles_state!A:A,castles_state!D:D,"見つかりません"))</f>
      </c>
      <c r="I2406" s="4"/>
      <c r="J2406" s="12" t="str">
        <f t="array" ref="J2406">IF(I2406:I6448="","",_xlfn.XLOOKUP(I2406:I6448,'参照_姫'!A:A,'参照_姫'!B:B,"見つかりません"))</f>
      </c>
      <c r="K2406" s="4">
        <v>100</v>
      </c>
      <c r="L2406" s="4">
        <v>0</v>
      </c>
      <c r="M2406" s="4"/>
      <c r="N2406" s="4"/>
      <c r="O2406" s="4"/>
      <c r="P2406" s="12" t="str">
        <f t="array" ref="P2406">IF(O2406:O6448="","",_xlfn.XLOOKUP(O2406:O6448,'参照_官位'!A:A,'参照_官位'!B:B,""))</f>
      </c>
      <c r="Q2406" s="12" t="str">
        <f t="array" ref="Q2406">IF(A2406:A6448="","",IFERROR(_xlfn.XLOOKUP(A2406:A6448,castles_state!K:K,castles_state!D:D)&amp;"主",IFERROR(_xlfn.XLOOKUP(A2406:A6448,kunishuClan!D:D,kunishuClan!B:B)&amp;"当主","")))</f>
      </c>
    </row>
    <row r="2407" ht="15.75" customHeight="1">
      <c r="A2407" s="4">
        <v>1063007</v>
      </c>
      <c r="B2407" s="12" t="str">
        <f t="array" ref="B2407">IF(A2407:A6449="","",_xlfn.XLOOKUP(A2407:A6449,'参照_武将'!A:A,'参照_武将'!B:B,"見つかりません"))</f>
      </c>
      <c r="C2407" s="4" t="s">
        <v>307</v>
      </c>
      <c r="D2407" s="4">
        <v>63</v>
      </c>
      <c r="E2407" s="12" t="str">
        <f t="array" ref="E2407">IF(D2407:D6449="","",IFERROR(_xlfn.XLOOKUP(D2407:D6449,'参照_勢力'!A:A,'参照_勢力'!B:B),IFERROR(_xlfn.XLOOKUP(F2407:F6449,kunishuClan!A:A,kunishuClan!B:B),"浪人")))</f>
      </c>
      <c r="F2407" s="4">
        <v>0</v>
      </c>
      <c r="G2407" s="4">
        <v>128</v>
      </c>
      <c r="H2407" s="12" t="str">
        <f t="array" ref="H2407">IF(G2407:G6449="","",_xlfn.XLOOKUP(G2407:G6449,castles_state!A:A,castles_state!D:D,"見つかりません"))</f>
      </c>
      <c r="I2407" s="4"/>
      <c r="J2407" s="12" t="str">
        <f t="array" ref="J2407">IF(I2407:I6449="","",_xlfn.XLOOKUP(I2407:I6449,'参照_姫'!A:A,'参照_姫'!B:B,"見つかりません"))</f>
      </c>
      <c r="K2407" s="4">
        <v>100</v>
      </c>
      <c r="L2407" s="4">
        <v>1000</v>
      </c>
      <c r="M2407" s="4"/>
      <c r="N2407" s="4"/>
      <c r="O2407" s="4"/>
      <c r="P2407" s="12" t="str">
        <f t="array" ref="P2407">IF(O2407:O6449="","",_xlfn.XLOOKUP(O2407:O6449,'参照_官位'!A:A,'参照_官位'!B:B,""))</f>
      </c>
      <c r="Q2407" s="12" t="str">
        <f t="array" ref="Q2407">IF(A2407:A6449="","",IFERROR(_xlfn.XLOOKUP(A2407:A6449,castles_state!K:K,castles_state!D:D)&amp;"主",IFERROR(_xlfn.XLOOKUP(A2407:A6449,kunishuClan!D:D,kunishuClan!B:B)&amp;"当主","")))</f>
      </c>
    </row>
    <row r="2408" ht="15.75" customHeight="1">
      <c r="A2408" s="4">
        <v>1063008</v>
      </c>
      <c r="B2408" s="12" t="str">
        <f t="array" ref="B2408">IF(A2408:A6450="","",_xlfn.XLOOKUP(A2408:A6450,'参照_武将'!A:A,'参照_武将'!B:B,"見つかりません"))</f>
      </c>
      <c r="C2408" s="4" t="s">
        <v>307</v>
      </c>
      <c r="D2408" s="4">
        <v>63</v>
      </c>
      <c r="E2408" s="12" t="str">
        <f t="array" ref="E2408">IF(D2408:D6450="","",IFERROR(_xlfn.XLOOKUP(D2408:D6450,'参照_勢力'!A:A,'参照_勢力'!B:B),IFERROR(_xlfn.XLOOKUP(F2408:F6450,kunishuClan!A:A,kunishuClan!B:B),"浪人")))</f>
      </c>
      <c r="F2408" s="4">
        <v>0</v>
      </c>
      <c r="G2408" s="4">
        <v>128</v>
      </c>
      <c r="H2408" s="12" t="str">
        <f t="array" ref="H2408">IF(G2408:G6450="","",_xlfn.XLOOKUP(G2408:G6450,castles_state!A:A,castles_state!D:D,"見つかりません"))</f>
      </c>
      <c r="I2408" s="4"/>
      <c r="J2408" s="12" t="str">
        <f t="array" ref="J2408">IF(I2408:I6450="","",_xlfn.XLOOKUP(I2408:I6450,'参照_姫'!A:A,'参照_姫'!B:B,"見つかりません"))</f>
      </c>
      <c r="K2408" s="4">
        <v>95</v>
      </c>
      <c r="L2408" s="4">
        <v>500</v>
      </c>
      <c r="M2408" s="4"/>
      <c r="N2408" s="4"/>
      <c r="O2408" s="4"/>
      <c r="P2408" s="12" t="str">
        <f t="array" ref="P2408">IF(O2408:O6450="","",_xlfn.XLOOKUP(O2408:O6450,'参照_官位'!A:A,'参照_官位'!B:B,""))</f>
      </c>
      <c r="Q2408" s="12" t="str">
        <f t="array" ref="Q2408">IF(A2408:A6450="","",IFERROR(_xlfn.XLOOKUP(A2408:A6450,castles_state!K:K,castles_state!D:D)&amp;"主",IFERROR(_xlfn.XLOOKUP(A2408:A6450,kunishuClan!D:D,kunishuClan!B:B)&amp;"当主","")))</f>
      </c>
    </row>
    <row r="2409" ht="15.75" customHeight="1">
      <c r="A2409" s="4">
        <v>1063009</v>
      </c>
      <c r="B2409" s="12" t="str">
        <f t="array" ref="B2409">IF(A2409:A6451="","",_xlfn.XLOOKUP(A2409:A6451,'参照_武将'!A:A,'参照_武将'!B:B,"見つかりません"))</f>
      </c>
      <c r="C2409" s="4" t="s">
        <v>307</v>
      </c>
      <c r="D2409" s="4">
        <v>63</v>
      </c>
      <c r="E2409" s="12" t="str">
        <f t="array" ref="E2409">IF(D2409:D6451="","",IFERROR(_xlfn.XLOOKUP(D2409:D6451,'参照_勢力'!A:A,'参照_勢力'!B:B),IFERROR(_xlfn.XLOOKUP(F2409:F6451,kunishuClan!A:A,kunishuClan!B:B),"浪人")))</f>
      </c>
      <c r="F2409" s="4">
        <v>0</v>
      </c>
      <c r="G2409" s="4">
        <v>128</v>
      </c>
      <c r="H2409" s="12" t="str">
        <f t="array" ref="H2409">IF(G2409:G6451="","",_xlfn.XLOOKUP(G2409:G6451,castles_state!A:A,castles_state!D:D,"見つかりません"))</f>
      </c>
      <c r="I2409" s="4"/>
      <c r="J2409" s="12" t="str">
        <f t="array" ref="J2409">IF(I2409:I6451="","",_xlfn.XLOOKUP(I2409:I6451,'参照_姫'!A:A,'参照_姫'!B:B,"見つかりません"))</f>
      </c>
      <c r="K2409" s="4">
        <v>95</v>
      </c>
      <c r="L2409" s="4">
        <v>0</v>
      </c>
      <c r="M2409" s="4"/>
      <c r="N2409" s="4"/>
      <c r="O2409" s="4"/>
      <c r="P2409" s="12" t="str">
        <f t="array" ref="P2409">IF(O2409:O6451="","",_xlfn.XLOOKUP(O2409:O6451,'参照_官位'!A:A,'参照_官位'!B:B,""))</f>
      </c>
      <c r="Q2409" s="12" t="str">
        <f t="array" ref="Q2409">IF(A2409:A6451="","",IFERROR(_xlfn.XLOOKUP(A2409:A6451,castles_state!K:K,castles_state!D:D)&amp;"主",IFERROR(_xlfn.XLOOKUP(A2409:A6451,kunishuClan!D:D,kunishuClan!B:B)&amp;"当主","")))</f>
      </c>
    </row>
    <row r="2410" ht="15.75" customHeight="1">
      <c r="A2410" s="4">
        <v>1063010</v>
      </c>
      <c r="B2410" s="12" t="str">
        <f t="array" ref="B2410">IF(A2410:A6452="","",_xlfn.XLOOKUP(A2410:A6452,'参照_武将'!A:A,'参照_武将'!B:B,"見つかりません"))</f>
      </c>
      <c r="C2410" s="4" t="s">
        <v>307</v>
      </c>
      <c r="D2410" s="4">
        <v>63</v>
      </c>
      <c r="E2410" s="12" t="str">
        <f t="array" ref="E2410">IF(D2410:D6452="","",IFERROR(_xlfn.XLOOKUP(D2410:D6452,'参照_勢力'!A:A,'参照_勢力'!B:B),IFERROR(_xlfn.XLOOKUP(F2410:F6452,kunishuClan!A:A,kunishuClan!B:B),"浪人")))</f>
      </c>
      <c r="F2410" s="4">
        <v>0</v>
      </c>
      <c r="G2410" s="4">
        <v>128</v>
      </c>
      <c r="H2410" s="12" t="str">
        <f t="array" ref="H2410">IF(G2410:G6452="","",_xlfn.XLOOKUP(G2410:G6452,castles_state!A:A,castles_state!D:D,"見つかりません"))</f>
      </c>
      <c r="I2410" s="4"/>
      <c r="J2410" s="12" t="str">
        <f t="array" ref="J2410">IF(I2410:I6452="","",_xlfn.XLOOKUP(I2410:I6452,'参照_姫'!A:A,'参照_姫'!B:B,"見つかりません"))</f>
      </c>
      <c r="K2410" s="4">
        <v>95</v>
      </c>
      <c r="L2410" s="4">
        <v>0</v>
      </c>
      <c r="M2410" s="4"/>
      <c r="N2410" s="4"/>
      <c r="O2410" s="4"/>
      <c r="P2410" s="12" t="str">
        <f t="array" ref="P2410">IF(O2410:O6452="","",_xlfn.XLOOKUP(O2410:O6452,'参照_官位'!A:A,'参照_官位'!B:B,""))</f>
      </c>
      <c r="Q2410" s="12" t="str">
        <f t="array" ref="Q2410">IF(A2410:A6452="","",IFERROR(_xlfn.XLOOKUP(A2410:A6452,castles_state!K:K,castles_state!D:D)&amp;"主",IFERROR(_xlfn.XLOOKUP(A2410:A6452,kunishuClan!D:D,kunishuClan!B:B)&amp;"当主","")))</f>
      </c>
    </row>
    <row r="2411" ht="15.75" customHeight="1">
      <c r="A2411" s="4">
        <v>1063011</v>
      </c>
      <c r="B2411" s="12" t="str">
        <f t="array" ref="B2411">IF(A2411:A6453="","",_xlfn.XLOOKUP(A2411:A6453,'参照_武将'!A:A,'参照_武将'!B:B,"見つかりません"))</f>
      </c>
      <c r="C2411" s="4" t="s">
        <v>307</v>
      </c>
      <c r="D2411" s="4">
        <v>63</v>
      </c>
      <c r="E2411" s="12" t="str">
        <f t="array" ref="E2411">IF(D2411:D6453="","",IFERROR(_xlfn.XLOOKUP(D2411:D6453,'参照_勢力'!A:A,'参照_勢力'!B:B),IFERROR(_xlfn.XLOOKUP(F2411:F6453,kunishuClan!A:A,kunishuClan!B:B),"浪人")))</f>
      </c>
      <c r="F2411" s="4">
        <v>0</v>
      </c>
      <c r="G2411" s="4">
        <v>128</v>
      </c>
      <c r="H2411" s="12" t="str">
        <f t="array" ref="H2411">IF(G2411:G6453="","",_xlfn.XLOOKUP(G2411:G6453,castles_state!A:A,castles_state!D:D,"見つかりません"))</f>
      </c>
      <c r="I2411" s="4"/>
      <c r="J2411" s="12" t="str">
        <f t="array" ref="J2411">IF(I2411:I6453="","",_xlfn.XLOOKUP(I2411:I6453,'参照_姫'!A:A,'参照_姫'!B:B,"見つかりません"))</f>
      </c>
      <c r="K2411" s="4">
        <v>95</v>
      </c>
      <c r="L2411" s="4">
        <v>0</v>
      </c>
      <c r="M2411" s="4"/>
      <c r="N2411" s="4"/>
      <c r="O2411" s="4"/>
      <c r="P2411" s="12" t="str">
        <f t="array" ref="P2411">IF(O2411:O6453="","",_xlfn.XLOOKUP(O2411:O6453,'参照_官位'!A:A,'参照_官位'!B:B,""))</f>
      </c>
      <c r="Q2411" s="12" t="str">
        <f t="array" ref="Q2411">IF(A2411:A6453="","",IFERROR(_xlfn.XLOOKUP(A2411:A6453,castles_state!K:K,castles_state!D:D)&amp;"主",IFERROR(_xlfn.XLOOKUP(A2411:A6453,kunishuClan!D:D,kunishuClan!B:B)&amp;"当主","")))</f>
      </c>
    </row>
    <row r="2412" ht="15.75" customHeight="1">
      <c r="A2412" s="4">
        <v>1063012</v>
      </c>
      <c r="B2412" s="12" t="str">
        <f t="array" ref="B2412">IF(A2412:A6454="","",_xlfn.XLOOKUP(A2412:A6454,'参照_武将'!A:A,'参照_武将'!B:B,"見つかりません"))</f>
      </c>
      <c r="C2412" s="4" t="s">
        <v>307</v>
      </c>
      <c r="D2412" s="4">
        <v>63</v>
      </c>
      <c r="E2412" s="12" t="str">
        <f t="array" ref="E2412">IF(D2412:D6454="","",IFERROR(_xlfn.XLOOKUP(D2412:D6454,'参照_勢力'!A:A,'参照_勢力'!B:B),IFERROR(_xlfn.XLOOKUP(F2412:F6454,kunishuClan!A:A,kunishuClan!B:B),"浪人")))</f>
      </c>
      <c r="F2412" s="4">
        <v>0</v>
      </c>
      <c r="G2412" s="4">
        <v>128</v>
      </c>
      <c r="H2412" s="12" t="str">
        <f t="array" ref="H2412">IF(G2412:G6454="","",_xlfn.XLOOKUP(G2412:G6454,castles_state!A:A,castles_state!D:D,"見つかりません"))</f>
      </c>
      <c r="I2412" s="4"/>
      <c r="J2412" s="12" t="str">
        <f t="array" ref="J2412">IF(I2412:I6454="","",_xlfn.XLOOKUP(I2412:I6454,'参照_姫'!A:A,'参照_姫'!B:B,"見つかりません"))</f>
      </c>
      <c r="K2412" s="4">
        <v>95</v>
      </c>
      <c r="L2412" s="4">
        <v>0</v>
      </c>
      <c r="M2412" s="4"/>
      <c r="N2412" s="4"/>
      <c r="O2412" s="4"/>
      <c r="P2412" s="12" t="str">
        <f t="array" ref="P2412">IF(O2412:O6454="","",_xlfn.XLOOKUP(O2412:O6454,'参照_官位'!A:A,'参照_官位'!B:B,""))</f>
      </c>
      <c r="Q2412" s="12" t="str">
        <f t="array" ref="Q2412">IF(A2412:A6454="","",IFERROR(_xlfn.XLOOKUP(A2412:A6454,castles_state!K:K,castles_state!D:D)&amp;"主",IFERROR(_xlfn.XLOOKUP(A2412:A6454,kunishuClan!D:D,kunishuClan!B:B)&amp;"当主","")))</f>
      </c>
    </row>
    <row r="2413" ht="15.75" customHeight="1">
      <c r="A2413" s="4">
        <v>1063013</v>
      </c>
      <c r="B2413" s="12" t="str">
        <f t="array" ref="B2413">IF(A2413:A6455="","",_xlfn.XLOOKUP(A2413:A6455,'参照_武将'!A:A,'参照_武将'!B:B,"見つかりません"))</f>
      </c>
      <c r="C2413" s="4" t="s">
        <v>307</v>
      </c>
      <c r="D2413" s="4">
        <v>63</v>
      </c>
      <c r="E2413" s="12" t="str">
        <f t="array" ref="E2413">IF(D2413:D6455="","",IFERROR(_xlfn.XLOOKUP(D2413:D6455,'参照_勢力'!A:A,'参照_勢力'!B:B),IFERROR(_xlfn.XLOOKUP(F2413:F6455,kunishuClan!A:A,kunishuClan!B:B),"浪人")))</f>
      </c>
      <c r="F2413" s="4">
        <v>0</v>
      </c>
      <c r="G2413" s="4">
        <v>128</v>
      </c>
      <c r="H2413" s="12" t="str">
        <f t="array" ref="H2413">IF(G2413:G6455="","",_xlfn.XLOOKUP(G2413:G6455,castles_state!A:A,castles_state!D:D,"見つかりません"))</f>
      </c>
      <c r="I2413" s="4"/>
      <c r="J2413" s="12" t="str">
        <f t="array" ref="J2413">IF(I2413:I6455="","",_xlfn.XLOOKUP(I2413:I6455,'参照_姫'!A:A,'参照_姫'!B:B,"見つかりません"))</f>
      </c>
      <c r="K2413" s="4">
        <v>95</v>
      </c>
      <c r="L2413" s="4">
        <v>0</v>
      </c>
      <c r="M2413" s="4"/>
      <c r="N2413" s="4"/>
      <c r="O2413" s="4"/>
      <c r="P2413" s="12" t="str">
        <f t="array" ref="P2413">IF(O2413:O6455="","",_xlfn.XLOOKUP(O2413:O6455,'参照_官位'!A:A,'参照_官位'!B:B,""))</f>
      </c>
      <c r="Q2413" s="12" t="str">
        <f t="array" ref="Q2413">IF(A2413:A6455="","",IFERROR(_xlfn.XLOOKUP(A2413:A6455,castles_state!K:K,castles_state!D:D)&amp;"主",IFERROR(_xlfn.XLOOKUP(A2413:A6455,kunishuClan!D:D,kunishuClan!B:B)&amp;"当主","")))</f>
      </c>
    </row>
    <row r="2414" ht="15.75" customHeight="1">
      <c r="A2414" s="4">
        <v>1063014</v>
      </c>
      <c r="B2414" s="12" t="str">
        <f t="array" ref="B2414">IF(A2414:A6456="","",_xlfn.XLOOKUP(A2414:A6456,'参照_武将'!A:A,'参照_武将'!B:B,"見つかりません"))</f>
      </c>
      <c r="C2414" s="4" t="s">
        <v>307</v>
      </c>
      <c r="D2414" s="4">
        <v>63</v>
      </c>
      <c r="E2414" s="12" t="str">
        <f t="array" ref="E2414">IF(D2414:D6456="","",IFERROR(_xlfn.XLOOKUP(D2414:D6456,'参照_勢力'!A:A,'参照_勢力'!B:B),IFERROR(_xlfn.XLOOKUP(F2414:F6456,kunishuClan!A:A,kunishuClan!B:B),"浪人")))</f>
      </c>
      <c r="F2414" s="4">
        <v>0</v>
      </c>
      <c r="G2414" s="4">
        <v>128</v>
      </c>
      <c r="H2414" s="12" t="str">
        <f t="array" ref="H2414">IF(G2414:G6456="","",_xlfn.XLOOKUP(G2414:G6456,castles_state!A:A,castles_state!D:D,"見つかりません"))</f>
      </c>
      <c r="I2414" s="4"/>
      <c r="J2414" s="12" t="str">
        <f t="array" ref="J2414">IF(I2414:I6456="","",_xlfn.XLOOKUP(I2414:I6456,'参照_姫'!A:A,'参照_姫'!B:B,"見つかりません"))</f>
      </c>
      <c r="K2414" s="4">
        <v>95</v>
      </c>
      <c r="L2414" s="4">
        <v>0</v>
      </c>
      <c r="M2414" s="4"/>
      <c r="N2414" s="4"/>
      <c r="O2414" s="4"/>
      <c r="P2414" s="12" t="str">
        <f t="array" ref="P2414">IF(O2414:O6456="","",_xlfn.XLOOKUP(O2414:O6456,'参照_官位'!A:A,'参照_官位'!B:B,""))</f>
      </c>
      <c r="Q2414" s="12" t="str">
        <f t="array" ref="Q2414">IF(A2414:A6456="","",IFERROR(_xlfn.XLOOKUP(A2414:A6456,castles_state!K:K,castles_state!D:D)&amp;"主",IFERROR(_xlfn.XLOOKUP(A2414:A6456,kunishuClan!D:D,kunishuClan!B:B)&amp;"当主","")))</f>
      </c>
    </row>
    <row r="2415" ht="15.75" customHeight="1">
      <c r="A2415" s="4">
        <v>1063015</v>
      </c>
      <c r="B2415" s="12" t="str">
        <f t="array" ref="B2415">IF(A2415:A6457="","",_xlfn.XLOOKUP(A2415:A6457,'参照_武将'!A:A,'参照_武将'!B:B,"見つかりません"))</f>
      </c>
      <c r="C2415" s="4" t="s">
        <v>307</v>
      </c>
      <c r="D2415" s="4">
        <v>63</v>
      </c>
      <c r="E2415" s="12" t="str">
        <f t="array" ref="E2415">IF(D2415:D6457="","",IFERROR(_xlfn.XLOOKUP(D2415:D6457,'参照_勢力'!A:A,'参照_勢力'!B:B),IFERROR(_xlfn.XLOOKUP(F2415:F6457,kunishuClan!A:A,kunishuClan!B:B),"浪人")))</f>
      </c>
      <c r="F2415" s="4">
        <v>0</v>
      </c>
      <c r="G2415" s="4">
        <v>128</v>
      </c>
      <c r="H2415" s="12" t="str">
        <f t="array" ref="H2415">IF(G2415:G6457="","",_xlfn.XLOOKUP(G2415:G6457,castles_state!A:A,castles_state!D:D,"見つかりません"))</f>
      </c>
      <c r="I2415" s="4"/>
      <c r="J2415" s="12" t="str">
        <f t="array" ref="J2415">IF(I2415:I6457="","",_xlfn.XLOOKUP(I2415:I6457,'参照_姫'!A:A,'参照_姫'!B:B,"見つかりません"))</f>
      </c>
      <c r="K2415" s="4">
        <v>95</v>
      </c>
      <c r="L2415" s="4">
        <v>0</v>
      </c>
      <c r="M2415" s="4"/>
      <c r="N2415" s="4"/>
      <c r="O2415" s="4"/>
      <c r="P2415" s="12" t="str">
        <f t="array" ref="P2415">IF(O2415:O6457="","",_xlfn.XLOOKUP(O2415:O6457,'参照_官位'!A:A,'参照_官位'!B:B,""))</f>
      </c>
      <c r="Q2415" s="12" t="str">
        <f t="array" ref="Q2415">IF(A2415:A6457="","",IFERROR(_xlfn.XLOOKUP(A2415:A6457,castles_state!K:K,castles_state!D:D)&amp;"主",IFERROR(_xlfn.XLOOKUP(A2415:A6457,kunishuClan!D:D,kunishuClan!B:B)&amp;"当主","")))</f>
      </c>
    </row>
    <row r="2416" ht="15.75" customHeight="1">
      <c r="A2416" s="4">
        <v>1063016</v>
      </c>
      <c r="B2416" s="12" t="str">
        <f t="array" ref="B2416">IF(A2416:A6458="","",_xlfn.XLOOKUP(A2416:A6458,'参照_武将'!A:A,'参照_武将'!B:B,"見つかりません"))</f>
      </c>
      <c r="C2416" s="4" t="s">
        <v>307</v>
      </c>
      <c r="D2416" s="4">
        <v>63</v>
      </c>
      <c r="E2416" s="12" t="str">
        <f t="array" ref="E2416">IF(D2416:D6458="","",IFERROR(_xlfn.XLOOKUP(D2416:D6458,'参照_勢力'!A:A,'参照_勢力'!B:B),IFERROR(_xlfn.XLOOKUP(F2416:F6458,kunishuClan!A:A,kunishuClan!B:B),"浪人")))</f>
      </c>
      <c r="F2416" s="4">
        <v>0</v>
      </c>
      <c r="G2416" s="4">
        <v>128</v>
      </c>
      <c r="H2416" s="12" t="str">
        <f t="array" ref="H2416">IF(G2416:G6458="","",_xlfn.XLOOKUP(G2416:G6458,castles_state!A:A,castles_state!D:D,"見つかりません"))</f>
      </c>
      <c r="I2416" s="4"/>
      <c r="J2416" s="12" t="str">
        <f t="array" ref="J2416">IF(I2416:I6458="","",_xlfn.XLOOKUP(I2416:I6458,'参照_姫'!A:A,'参照_姫'!B:B,"見つかりません"))</f>
      </c>
      <c r="K2416" s="4">
        <v>95</v>
      </c>
      <c r="L2416" s="4">
        <v>0</v>
      </c>
      <c r="M2416" s="4"/>
      <c r="N2416" s="4"/>
      <c r="O2416" s="4"/>
      <c r="P2416" s="12" t="str">
        <f t="array" ref="P2416">IF(O2416:O6458="","",_xlfn.XLOOKUP(O2416:O6458,'参照_官位'!A:A,'参照_官位'!B:B,""))</f>
      </c>
      <c r="Q2416" s="12" t="str">
        <f t="array" ref="Q2416">IF(A2416:A6458="","",IFERROR(_xlfn.XLOOKUP(A2416:A6458,castles_state!K:K,castles_state!D:D)&amp;"主",IFERROR(_xlfn.XLOOKUP(A2416:A6458,kunishuClan!D:D,kunishuClan!B:B)&amp;"当主","")))</f>
      </c>
    </row>
    <row r="2417" ht="15.75" customHeight="1">
      <c r="A2417" s="4">
        <v>1063017</v>
      </c>
      <c r="B2417" s="12" t="str">
        <f t="array" ref="B2417">IF(A2417:A6459="","",_xlfn.XLOOKUP(A2417:A6459,'参照_武将'!A:A,'参照_武将'!B:B,"見つかりません"))</f>
      </c>
      <c r="C2417" s="4" t="s">
        <v>307</v>
      </c>
      <c r="D2417" s="4">
        <v>63</v>
      </c>
      <c r="E2417" s="12" t="str">
        <f t="array" ref="E2417">IF(D2417:D6459="","",IFERROR(_xlfn.XLOOKUP(D2417:D6459,'参照_勢力'!A:A,'参照_勢力'!B:B),IFERROR(_xlfn.XLOOKUP(F2417:F6459,kunishuClan!A:A,kunishuClan!B:B),"浪人")))</f>
      </c>
      <c r="F2417" s="4">
        <v>0</v>
      </c>
      <c r="G2417" s="4">
        <v>128</v>
      </c>
      <c r="H2417" s="12" t="str">
        <f t="array" ref="H2417">IF(G2417:G6459="","",_xlfn.XLOOKUP(G2417:G6459,castles_state!A:A,castles_state!D:D,"見つかりません"))</f>
      </c>
      <c r="I2417" s="4"/>
      <c r="J2417" s="12" t="str">
        <f t="array" ref="J2417">IF(I2417:I6459="","",_xlfn.XLOOKUP(I2417:I6459,'参照_姫'!A:A,'参照_姫'!B:B,"見つかりません"))</f>
      </c>
      <c r="K2417" s="4">
        <v>95</v>
      </c>
      <c r="L2417" s="4">
        <v>0</v>
      </c>
      <c r="M2417" s="4"/>
      <c r="N2417" s="4"/>
      <c r="O2417" s="4"/>
      <c r="P2417" s="12" t="str">
        <f t="array" ref="P2417">IF(O2417:O6459="","",_xlfn.XLOOKUP(O2417:O6459,'参照_官位'!A:A,'参照_官位'!B:B,""))</f>
      </c>
      <c r="Q2417" s="12" t="str">
        <f t="array" ref="Q2417">IF(A2417:A6459="","",IFERROR(_xlfn.XLOOKUP(A2417:A6459,castles_state!K:K,castles_state!D:D)&amp;"主",IFERROR(_xlfn.XLOOKUP(A2417:A6459,kunishuClan!D:D,kunishuClan!B:B)&amp;"当主","")))</f>
      </c>
    </row>
    <row r="2418" ht="15.75" customHeight="1">
      <c r="A2418" s="4">
        <v>1063018</v>
      </c>
      <c r="B2418" s="12" t="str">
        <f t="array" ref="B2418">IF(A2418:A6460="","",_xlfn.XLOOKUP(A2418:A6460,'参照_武将'!A:A,'参照_武将'!B:B,"見つかりません"))</f>
      </c>
      <c r="C2418" s="4" t="s">
        <v>307</v>
      </c>
      <c r="D2418" s="4">
        <v>63</v>
      </c>
      <c r="E2418" s="12" t="str">
        <f t="array" ref="E2418">IF(D2418:D6460="","",IFERROR(_xlfn.XLOOKUP(D2418:D6460,'参照_勢力'!A:A,'参照_勢力'!B:B),IFERROR(_xlfn.XLOOKUP(F2418:F6460,kunishuClan!A:A,kunishuClan!B:B),"浪人")))</f>
      </c>
      <c r="F2418" s="4">
        <v>0</v>
      </c>
      <c r="G2418" s="4">
        <v>128</v>
      </c>
      <c r="H2418" s="12" t="str">
        <f t="array" ref="H2418">IF(G2418:G6460="","",_xlfn.XLOOKUP(G2418:G6460,castles_state!A:A,castles_state!D:D,"見つかりません"))</f>
      </c>
      <c r="I2418" s="4"/>
      <c r="J2418" s="12" t="str">
        <f t="array" ref="J2418">IF(I2418:I6460="","",_xlfn.XLOOKUP(I2418:I6460,'参照_姫'!A:A,'参照_姫'!B:B,"見つかりません"))</f>
      </c>
      <c r="K2418" s="4">
        <v>95</v>
      </c>
      <c r="L2418" s="4">
        <v>500</v>
      </c>
      <c r="M2418" s="4"/>
      <c r="N2418" s="4"/>
      <c r="O2418" s="4"/>
      <c r="P2418" s="12" t="str">
        <f t="array" ref="P2418">IF(O2418:O6460="","",_xlfn.XLOOKUP(O2418:O6460,'参照_官位'!A:A,'参照_官位'!B:B,""))</f>
      </c>
      <c r="Q2418" s="12" t="str">
        <f t="array" ref="Q2418">IF(A2418:A6460="","",IFERROR(_xlfn.XLOOKUP(A2418:A6460,castles_state!K:K,castles_state!D:D)&amp;"主",IFERROR(_xlfn.XLOOKUP(A2418:A6460,kunishuClan!D:D,kunishuClan!B:B)&amp;"当主","")))</f>
      </c>
    </row>
    <row r="2419" ht="15.75" customHeight="1">
      <c r="A2419" s="4">
        <v>1063019</v>
      </c>
      <c r="B2419" s="12" t="str">
        <f t="array" ref="B2419">IF(A2419:A6461="","",_xlfn.XLOOKUP(A2419:A6461,'参照_武将'!A:A,'参照_武将'!B:B,"見つかりません"))</f>
      </c>
      <c r="C2419" s="4" t="s">
        <v>307</v>
      </c>
      <c r="D2419" s="4">
        <v>63</v>
      </c>
      <c r="E2419" s="12" t="str">
        <f t="array" ref="E2419">IF(D2419:D6461="","",IFERROR(_xlfn.XLOOKUP(D2419:D6461,'参照_勢力'!A:A,'参照_勢力'!B:B),IFERROR(_xlfn.XLOOKUP(F2419:F6461,kunishuClan!A:A,kunishuClan!B:B),"浪人")))</f>
      </c>
      <c r="F2419" s="4">
        <v>0</v>
      </c>
      <c r="G2419" s="4">
        <v>128</v>
      </c>
      <c r="H2419" s="12" t="str">
        <f t="array" ref="H2419">IF(G2419:G6461="","",_xlfn.XLOOKUP(G2419:G6461,castles_state!A:A,castles_state!D:D,"見つかりません"))</f>
      </c>
      <c r="I2419" s="4"/>
      <c r="J2419" s="12" t="str">
        <f t="array" ref="J2419">IF(I2419:I6461="","",_xlfn.XLOOKUP(I2419:I6461,'参照_姫'!A:A,'参照_姫'!B:B,"見つかりません"))</f>
      </c>
      <c r="K2419" s="4">
        <v>95</v>
      </c>
      <c r="L2419" s="4">
        <v>0</v>
      </c>
      <c r="M2419" s="4"/>
      <c r="N2419" s="4"/>
      <c r="O2419" s="4"/>
      <c r="P2419" s="12" t="str">
        <f t="array" ref="P2419">IF(O2419:O6461="","",_xlfn.XLOOKUP(O2419:O6461,'参照_官位'!A:A,'参照_官位'!B:B,""))</f>
      </c>
      <c r="Q2419" s="12" t="str">
        <f t="array" ref="Q2419">IF(A2419:A6461="","",IFERROR(_xlfn.XLOOKUP(A2419:A6461,castles_state!K:K,castles_state!D:D)&amp;"主",IFERROR(_xlfn.XLOOKUP(A2419:A6461,kunishuClan!D:D,kunishuClan!B:B)&amp;"当主","")))</f>
      </c>
    </row>
    <row r="2420" ht="15.75" customHeight="1">
      <c r="A2420" s="4">
        <v>1063020</v>
      </c>
      <c r="B2420" s="12" t="str">
        <f t="array" ref="B2420">IF(A2420:A6462="","",_xlfn.XLOOKUP(A2420:A6462,'参照_武将'!A:A,'参照_武将'!B:B,"見つかりません"))</f>
      </c>
      <c r="C2420" s="4" t="s">
        <v>307</v>
      </c>
      <c r="D2420" s="4">
        <v>63</v>
      </c>
      <c r="E2420" s="12" t="str">
        <f t="array" ref="E2420">IF(D2420:D6462="","",IFERROR(_xlfn.XLOOKUP(D2420:D6462,'参照_勢力'!A:A,'参照_勢力'!B:B),IFERROR(_xlfn.XLOOKUP(F2420:F6462,kunishuClan!A:A,kunishuClan!B:B),"浪人")))</f>
      </c>
      <c r="F2420" s="4">
        <v>0</v>
      </c>
      <c r="G2420" s="4">
        <v>128</v>
      </c>
      <c r="H2420" s="12" t="str">
        <f t="array" ref="H2420">IF(G2420:G6462="","",_xlfn.XLOOKUP(G2420:G6462,castles_state!A:A,castles_state!D:D,"見つかりません"))</f>
      </c>
      <c r="I2420" s="4"/>
      <c r="J2420" s="12" t="str">
        <f t="array" ref="J2420">IF(I2420:I6462="","",_xlfn.XLOOKUP(I2420:I6462,'参照_姫'!A:A,'参照_姫'!B:B,"見つかりません"))</f>
      </c>
      <c r="K2420" s="4">
        <v>95</v>
      </c>
      <c r="L2420" s="4">
        <v>0</v>
      </c>
      <c r="M2420" s="4"/>
      <c r="N2420" s="4"/>
      <c r="O2420" s="4"/>
      <c r="P2420" s="12" t="str">
        <f t="array" ref="P2420">IF(O2420:O6462="","",_xlfn.XLOOKUP(O2420:O6462,'参照_官位'!A:A,'参照_官位'!B:B,""))</f>
      </c>
      <c r="Q2420" s="12" t="str">
        <f t="array" ref="Q2420">IF(A2420:A6462="","",IFERROR(_xlfn.XLOOKUP(A2420:A6462,castles_state!K:K,castles_state!D:D)&amp;"主",IFERROR(_xlfn.XLOOKUP(A2420:A6462,kunishuClan!D:D,kunishuClan!B:B)&amp;"当主","")))</f>
      </c>
    </row>
    <row r="2421" ht="15.75" customHeight="1">
      <c r="A2421" s="4">
        <v>1063021</v>
      </c>
      <c r="B2421" s="12" t="str">
        <f t="array" ref="B2421">IF(A2421:A6463="","",_xlfn.XLOOKUP(A2421:A6463,'参照_武将'!A:A,'参照_武将'!B:B,"見つかりません"))</f>
      </c>
      <c r="C2421" s="4" t="s">
        <v>307</v>
      </c>
      <c r="D2421" s="4">
        <v>63</v>
      </c>
      <c r="E2421" s="12" t="str">
        <f t="array" ref="E2421">IF(D2421:D6463="","",IFERROR(_xlfn.XLOOKUP(D2421:D6463,'参照_勢力'!A:A,'参照_勢力'!B:B),IFERROR(_xlfn.XLOOKUP(F2421:F6463,kunishuClan!A:A,kunishuClan!B:B),"浪人")))</f>
      </c>
      <c r="F2421" s="4">
        <v>0</v>
      </c>
      <c r="G2421" s="4">
        <v>128</v>
      </c>
      <c r="H2421" s="12" t="str">
        <f t="array" ref="H2421">IF(G2421:G6463="","",_xlfn.XLOOKUP(G2421:G6463,castles_state!A:A,castles_state!D:D,"見つかりません"))</f>
      </c>
      <c r="I2421" s="4"/>
      <c r="J2421" s="12" t="str">
        <f t="array" ref="J2421">IF(I2421:I6463="","",_xlfn.XLOOKUP(I2421:I6463,'参照_姫'!A:A,'参照_姫'!B:B,"見つかりません"))</f>
      </c>
      <c r="K2421" s="4">
        <v>95</v>
      </c>
      <c r="L2421" s="4">
        <v>0</v>
      </c>
      <c r="M2421" s="4"/>
      <c r="N2421" s="4"/>
      <c r="O2421" s="4"/>
      <c r="P2421" s="12" t="str">
        <f t="array" ref="P2421">IF(O2421:O6463="","",_xlfn.XLOOKUP(O2421:O6463,'参照_官位'!A:A,'参照_官位'!B:B,""))</f>
      </c>
      <c r="Q2421" s="12" t="str">
        <f t="array" ref="Q2421">IF(A2421:A6463="","",IFERROR(_xlfn.XLOOKUP(A2421:A6463,castles_state!K:K,castles_state!D:D)&amp;"主",IFERROR(_xlfn.XLOOKUP(A2421:A6463,kunishuClan!D:D,kunishuClan!B:B)&amp;"当主","")))</f>
      </c>
    </row>
    <row r="2422" ht="15.75" customHeight="1">
      <c r="A2422" s="4">
        <v>1063022</v>
      </c>
      <c r="B2422" s="12" t="str">
        <f t="array" ref="B2422">IF(A2422:A6464="","",_xlfn.XLOOKUP(A2422:A6464,'参照_武将'!A:A,'参照_武将'!B:B,"見つかりません"))</f>
      </c>
      <c r="C2422" s="4" t="s">
        <v>307</v>
      </c>
      <c r="D2422" s="4">
        <v>63</v>
      </c>
      <c r="E2422" s="12" t="str">
        <f t="array" ref="E2422">IF(D2422:D6464="","",IFERROR(_xlfn.XLOOKUP(D2422:D6464,'参照_勢力'!A:A,'参照_勢力'!B:B),IFERROR(_xlfn.XLOOKUP(F2422:F6464,kunishuClan!A:A,kunishuClan!B:B),"浪人")))</f>
      </c>
      <c r="F2422" s="4">
        <v>0</v>
      </c>
      <c r="G2422" s="4">
        <v>128</v>
      </c>
      <c r="H2422" s="12" t="str">
        <f t="array" ref="H2422">IF(G2422:G6464="","",_xlfn.XLOOKUP(G2422:G6464,castles_state!A:A,castles_state!D:D,"見つかりません"))</f>
      </c>
      <c r="I2422" s="4"/>
      <c r="J2422" s="12" t="str">
        <f t="array" ref="J2422">IF(I2422:I6464="","",_xlfn.XLOOKUP(I2422:I6464,'参照_姫'!A:A,'参照_姫'!B:B,"見つかりません"))</f>
      </c>
      <c r="K2422" s="4">
        <v>95</v>
      </c>
      <c r="L2422" s="4">
        <v>0</v>
      </c>
      <c r="M2422" s="4"/>
      <c r="N2422" s="4"/>
      <c r="O2422" s="4"/>
      <c r="P2422" s="12" t="str">
        <f t="array" ref="P2422">IF(O2422:O6464="","",_xlfn.XLOOKUP(O2422:O6464,'参照_官位'!A:A,'参照_官位'!B:B,""))</f>
      </c>
      <c r="Q2422" s="12" t="str">
        <f t="array" ref="Q2422">IF(A2422:A6464="","",IFERROR(_xlfn.XLOOKUP(A2422:A6464,castles_state!K:K,castles_state!D:D)&amp;"主",IFERROR(_xlfn.XLOOKUP(A2422:A6464,kunishuClan!D:D,kunishuClan!B:B)&amp;"当主","")))</f>
      </c>
    </row>
    <row r="2423" ht="15.75" customHeight="1">
      <c r="A2423" s="4">
        <v>1063023</v>
      </c>
      <c r="B2423" s="12" t="str">
        <f t="array" ref="B2423">IF(A2423:A6465="","",_xlfn.XLOOKUP(A2423:A6465,'参照_武将'!A:A,'参照_武将'!B:B,"見つかりません"))</f>
      </c>
      <c r="C2423" s="4" t="s">
        <v>307</v>
      </c>
      <c r="D2423" s="4">
        <v>63</v>
      </c>
      <c r="E2423" s="12" t="str">
        <f t="array" ref="E2423">IF(D2423:D6465="","",IFERROR(_xlfn.XLOOKUP(D2423:D6465,'参照_勢力'!A:A,'参照_勢力'!B:B),IFERROR(_xlfn.XLOOKUP(F2423:F6465,kunishuClan!A:A,kunishuClan!B:B),"浪人")))</f>
      </c>
      <c r="F2423" s="4">
        <v>0</v>
      </c>
      <c r="G2423" s="4">
        <v>128</v>
      </c>
      <c r="H2423" s="12" t="str">
        <f t="array" ref="H2423">IF(G2423:G6465="","",_xlfn.XLOOKUP(G2423:G6465,castles_state!A:A,castles_state!D:D,"見つかりません"))</f>
      </c>
      <c r="I2423" s="4"/>
      <c r="J2423" s="12" t="str">
        <f t="array" ref="J2423">IF(I2423:I6465="","",_xlfn.XLOOKUP(I2423:I6465,'参照_姫'!A:A,'参照_姫'!B:B,"見つかりません"))</f>
      </c>
      <c r="K2423" s="4">
        <v>95</v>
      </c>
      <c r="L2423" s="4">
        <v>0</v>
      </c>
      <c r="M2423" s="4"/>
      <c r="N2423" s="4"/>
      <c r="O2423" s="4"/>
      <c r="P2423" s="12" t="str">
        <f t="array" ref="P2423">IF(O2423:O6465="","",_xlfn.XLOOKUP(O2423:O6465,'参照_官位'!A:A,'参照_官位'!B:B,""))</f>
      </c>
      <c r="Q2423" s="12" t="str">
        <f t="array" ref="Q2423">IF(A2423:A6465="","",IFERROR(_xlfn.XLOOKUP(A2423:A6465,castles_state!K:K,castles_state!D:D)&amp;"主",IFERROR(_xlfn.XLOOKUP(A2423:A6465,kunishuClan!D:D,kunishuClan!B:B)&amp;"当主","")))</f>
      </c>
    </row>
    <row r="2424" ht="15.75" customHeight="1">
      <c r="A2424" s="4">
        <v>1063024</v>
      </c>
      <c r="B2424" s="12" t="str">
        <f t="array" ref="B2424">IF(A2424:A6466="","",_xlfn.XLOOKUP(A2424:A6466,'参照_武将'!A:A,'参照_武将'!B:B,"見つかりません"))</f>
      </c>
      <c r="C2424" s="4" t="s">
        <v>307</v>
      </c>
      <c r="D2424" s="4">
        <v>63</v>
      </c>
      <c r="E2424" s="12" t="str">
        <f t="array" ref="E2424">IF(D2424:D6466="","",IFERROR(_xlfn.XLOOKUP(D2424:D6466,'参照_勢力'!A:A,'参照_勢力'!B:B),IFERROR(_xlfn.XLOOKUP(F2424:F6466,kunishuClan!A:A,kunishuClan!B:B),"浪人")))</f>
      </c>
      <c r="F2424" s="4">
        <v>0</v>
      </c>
      <c r="G2424" s="4">
        <v>128</v>
      </c>
      <c r="H2424" s="12" t="str">
        <f t="array" ref="H2424">IF(G2424:G6466="","",_xlfn.XLOOKUP(G2424:G6466,castles_state!A:A,castles_state!D:D,"見つかりません"))</f>
      </c>
      <c r="I2424" s="4"/>
      <c r="J2424" s="12" t="str">
        <f t="array" ref="J2424">IF(I2424:I6466="","",_xlfn.XLOOKUP(I2424:I6466,'参照_姫'!A:A,'参照_姫'!B:B,"見つかりません"))</f>
      </c>
      <c r="K2424" s="4">
        <v>95</v>
      </c>
      <c r="L2424" s="4">
        <v>0</v>
      </c>
      <c r="M2424" s="4"/>
      <c r="N2424" s="4"/>
      <c r="O2424" s="4"/>
      <c r="P2424" s="12" t="str">
        <f t="array" ref="P2424">IF(O2424:O6466="","",_xlfn.XLOOKUP(O2424:O6466,'参照_官位'!A:A,'参照_官位'!B:B,""))</f>
      </c>
      <c r="Q2424" s="12" t="str">
        <f t="array" ref="Q2424">IF(A2424:A6466="","",IFERROR(_xlfn.XLOOKUP(A2424:A6466,castles_state!K:K,castles_state!D:D)&amp;"主",IFERROR(_xlfn.XLOOKUP(A2424:A6466,kunishuClan!D:D,kunishuClan!B:B)&amp;"当主","")))</f>
      </c>
    </row>
    <row r="2425" ht="15.75" customHeight="1">
      <c r="A2425" s="4">
        <v>1063025</v>
      </c>
      <c r="B2425" s="12" t="str">
        <f t="array" ref="B2425">IF(A2425:A6467="","",_xlfn.XLOOKUP(A2425:A6467,'参照_武将'!A:A,'参照_武将'!B:B,"見つかりません"))</f>
      </c>
      <c r="C2425" s="4" t="s">
        <v>307</v>
      </c>
      <c r="D2425" s="4">
        <v>63</v>
      </c>
      <c r="E2425" s="12" t="str">
        <f t="array" ref="E2425">IF(D2425:D6467="","",IFERROR(_xlfn.XLOOKUP(D2425:D6467,'参照_勢力'!A:A,'参照_勢力'!B:B),IFERROR(_xlfn.XLOOKUP(F2425:F6467,kunishuClan!A:A,kunishuClan!B:B),"浪人")))</f>
      </c>
      <c r="F2425" s="4">
        <v>0</v>
      </c>
      <c r="G2425" s="4">
        <v>128</v>
      </c>
      <c r="H2425" s="12" t="str">
        <f t="array" ref="H2425">IF(G2425:G6467="","",_xlfn.XLOOKUP(G2425:G6467,castles_state!A:A,castles_state!D:D,"見つかりません"))</f>
      </c>
      <c r="I2425" s="4"/>
      <c r="J2425" s="12" t="str">
        <f t="array" ref="J2425">IF(I2425:I6467="","",_xlfn.XLOOKUP(I2425:I6467,'参照_姫'!A:A,'参照_姫'!B:B,"見つかりません"))</f>
      </c>
      <c r="K2425" s="4">
        <v>95</v>
      </c>
      <c r="L2425" s="4">
        <v>0</v>
      </c>
      <c r="M2425" s="4"/>
      <c r="N2425" s="4"/>
      <c r="O2425" s="4"/>
      <c r="P2425" s="12" t="str">
        <f t="array" ref="P2425">IF(O2425:O6467="","",_xlfn.XLOOKUP(O2425:O6467,'参照_官位'!A:A,'参照_官位'!B:B,""))</f>
      </c>
      <c r="Q2425" s="12" t="str">
        <f t="array" ref="Q2425">IF(A2425:A6467="","",IFERROR(_xlfn.XLOOKUP(A2425:A6467,castles_state!K:K,castles_state!D:D)&amp;"主",IFERROR(_xlfn.XLOOKUP(A2425:A6467,kunishuClan!D:D,kunishuClan!B:B)&amp;"当主","")))</f>
      </c>
    </row>
    <row r="2426" ht="15.75" customHeight="1">
      <c r="A2426" s="4">
        <v>1063026</v>
      </c>
      <c r="B2426" s="12" t="str">
        <f t="array" ref="B2426">IF(A2426:A6468="","",_xlfn.XLOOKUP(A2426:A6468,'参照_武将'!A:A,'参照_武将'!B:B,"見つかりません"))</f>
      </c>
      <c r="C2426" s="4" t="s">
        <v>307</v>
      </c>
      <c r="D2426" s="4">
        <v>63</v>
      </c>
      <c r="E2426" s="12" t="str">
        <f t="array" ref="E2426">IF(D2426:D6468="","",IFERROR(_xlfn.XLOOKUP(D2426:D6468,'参照_勢力'!A:A,'参照_勢力'!B:B),IFERROR(_xlfn.XLOOKUP(F2426:F6468,kunishuClan!A:A,kunishuClan!B:B),"浪人")))</f>
      </c>
      <c r="F2426" s="4">
        <v>0</v>
      </c>
      <c r="G2426" s="4">
        <v>128</v>
      </c>
      <c r="H2426" s="12" t="str">
        <f t="array" ref="H2426">IF(G2426:G6468="","",_xlfn.XLOOKUP(G2426:G6468,castles_state!A:A,castles_state!D:D,"見つかりません"))</f>
      </c>
      <c r="I2426" s="4"/>
      <c r="J2426" s="12" t="str">
        <f t="array" ref="J2426">IF(I2426:I6468="","",_xlfn.XLOOKUP(I2426:I6468,'参照_姫'!A:A,'参照_姫'!B:B,"見つかりません"))</f>
      </c>
      <c r="K2426" s="4">
        <v>95</v>
      </c>
      <c r="L2426" s="4">
        <v>200</v>
      </c>
      <c r="M2426" s="4"/>
      <c r="N2426" s="4"/>
      <c r="O2426" s="4"/>
      <c r="P2426" s="12" t="str">
        <f t="array" ref="P2426">IF(O2426:O6468="","",_xlfn.XLOOKUP(O2426:O6468,'参照_官位'!A:A,'参照_官位'!B:B,""))</f>
      </c>
      <c r="Q2426" s="12" t="str">
        <f t="array" ref="Q2426">IF(A2426:A6468="","",IFERROR(_xlfn.XLOOKUP(A2426:A6468,castles_state!K:K,castles_state!D:D)&amp;"主",IFERROR(_xlfn.XLOOKUP(A2426:A6468,kunishuClan!D:D,kunishuClan!B:B)&amp;"当主","")))</f>
      </c>
    </row>
    <row r="2427" ht="15.75" customHeight="1">
      <c r="A2427" s="4">
        <v>1063027</v>
      </c>
      <c r="B2427" s="12" t="str">
        <f t="array" ref="B2427">IF(A2427:A6469="","",_xlfn.XLOOKUP(A2427:A6469,'参照_武将'!A:A,'参照_武将'!B:B,"見つかりません"))</f>
      </c>
      <c r="C2427" s="4" t="s">
        <v>307</v>
      </c>
      <c r="D2427" s="4">
        <v>63</v>
      </c>
      <c r="E2427" s="12" t="str">
        <f t="array" ref="E2427">IF(D2427:D6469="","",IFERROR(_xlfn.XLOOKUP(D2427:D6469,'参照_勢力'!A:A,'参照_勢力'!B:B),IFERROR(_xlfn.XLOOKUP(F2427:F6469,kunishuClan!A:A,kunishuClan!B:B),"浪人")))</f>
      </c>
      <c r="F2427" s="4">
        <v>0</v>
      </c>
      <c r="G2427" s="4">
        <v>128</v>
      </c>
      <c r="H2427" s="12" t="str">
        <f t="array" ref="H2427">IF(G2427:G6469="","",_xlfn.XLOOKUP(G2427:G6469,castles_state!A:A,castles_state!D:D,"見つかりません"))</f>
      </c>
      <c r="I2427" s="4"/>
      <c r="J2427" s="12" t="str">
        <f t="array" ref="J2427">IF(I2427:I6469="","",_xlfn.XLOOKUP(I2427:I6469,'参照_姫'!A:A,'参照_姫'!B:B,"見つかりません"))</f>
      </c>
      <c r="K2427" s="4">
        <v>95</v>
      </c>
      <c r="L2427" s="4">
        <v>200</v>
      </c>
      <c r="M2427" s="4" t="b">
        <v>1</v>
      </c>
      <c r="N2427" s="4"/>
      <c r="O2427" s="4"/>
      <c r="P2427" s="12" t="str">
        <f t="array" ref="P2427">IF(O2427:O6469="","",_xlfn.XLOOKUP(O2427:O6469,'参照_官位'!A:A,'参照_官位'!B:B,""))</f>
      </c>
      <c r="Q2427" s="12" t="str">
        <f t="array" ref="Q2427">IF(A2427:A6469="","",IFERROR(_xlfn.XLOOKUP(A2427:A6469,castles_state!K:K,castles_state!D:D)&amp;"主",IFERROR(_xlfn.XLOOKUP(A2427:A6469,kunishuClan!D:D,kunishuClan!B:B)&amp;"当主","")))</f>
      </c>
    </row>
    <row r="2428" ht="15.75" customHeight="1">
      <c r="A2428" s="4">
        <v>1063028</v>
      </c>
      <c r="B2428" s="12" t="str">
        <f t="array" ref="B2428">IF(A2428:A6470="","",_xlfn.XLOOKUP(A2428:A6470,'参照_武将'!A:A,'参照_武将'!B:B,"見つかりません"))</f>
      </c>
      <c r="C2428" s="4" t="s">
        <v>307</v>
      </c>
      <c r="D2428" s="4">
        <v>63</v>
      </c>
      <c r="E2428" s="12" t="str">
        <f t="array" ref="E2428">IF(D2428:D6470="","",IFERROR(_xlfn.XLOOKUP(D2428:D6470,'参照_勢力'!A:A,'参照_勢力'!B:B),IFERROR(_xlfn.XLOOKUP(F2428:F6470,kunishuClan!A:A,kunishuClan!B:B),"浪人")))</f>
      </c>
      <c r="F2428" s="4">
        <v>0</v>
      </c>
      <c r="G2428" s="4">
        <v>128</v>
      </c>
      <c r="H2428" s="12" t="str">
        <f t="array" ref="H2428">IF(G2428:G6470="","",_xlfn.XLOOKUP(G2428:G6470,castles_state!A:A,castles_state!D:D,"見つかりません"))</f>
      </c>
      <c r="I2428" s="4"/>
      <c r="J2428" s="12" t="str">
        <f t="array" ref="J2428">IF(I2428:I6470="","",_xlfn.XLOOKUP(I2428:I6470,'参照_姫'!A:A,'参照_姫'!B:B,"見つかりません"))</f>
      </c>
      <c r="K2428" s="4">
        <v>95</v>
      </c>
      <c r="L2428" s="4">
        <v>500</v>
      </c>
      <c r="M2428" s="4"/>
      <c r="N2428" s="4"/>
      <c r="O2428" s="4"/>
      <c r="P2428" s="12" t="str">
        <f t="array" ref="P2428">IF(O2428:O6470="","",_xlfn.XLOOKUP(O2428:O6470,'参照_官位'!A:A,'参照_官位'!B:B,""))</f>
      </c>
      <c r="Q2428" s="12" t="str">
        <f t="array" ref="Q2428">IF(A2428:A6470="","",IFERROR(_xlfn.XLOOKUP(A2428:A6470,castles_state!K:K,castles_state!D:D)&amp;"主",IFERROR(_xlfn.XLOOKUP(A2428:A6470,kunishuClan!D:D,kunishuClan!B:B)&amp;"当主","")))</f>
      </c>
    </row>
    <row r="2429" ht="15.75" customHeight="1">
      <c r="A2429" s="4">
        <v>1063029</v>
      </c>
      <c r="B2429" s="12" t="str">
        <f t="array" ref="B2429">IF(A2429:A6471="","",_xlfn.XLOOKUP(A2429:A6471,'参照_武将'!A:A,'参照_武将'!B:B,"見つかりません"))</f>
      </c>
      <c r="C2429" s="4" t="s">
        <v>307</v>
      </c>
      <c r="D2429" s="4">
        <v>63</v>
      </c>
      <c r="E2429" s="12" t="str">
        <f t="array" ref="E2429">IF(D2429:D6471="","",IFERROR(_xlfn.XLOOKUP(D2429:D6471,'参照_勢力'!A:A,'参照_勢力'!B:B),IFERROR(_xlfn.XLOOKUP(F2429:F6471,kunishuClan!A:A,kunishuClan!B:B),"浪人")))</f>
      </c>
      <c r="F2429" s="4">
        <v>0</v>
      </c>
      <c r="G2429" s="4">
        <v>128</v>
      </c>
      <c r="H2429" s="12" t="str">
        <f t="array" ref="H2429">IF(G2429:G6471="","",_xlfn.XLOOKUP(G2429:G6471,castles_state!A:A,castles_state!D:D,"見つかりません"))</f>
      </c>
      <c r="I2429" s="4"/>
      <c r="J2429" s="12" t="str">
        <f t="array" ref="J2429">IF(I2429:I6471="","",_xlfn.XLOOKUP(I2429:I6471,'参照_姫'!A:A,'参照_姫'!B:B,"見つかりません"))</f>
      </c>
      <c r="K2429" s="4">
        <v>95</v>
      </c>
      <c r="L2429" s="4">
        <v>0</v>
      </c>
      <c r="M2429" s="4"/>
      <c r="N2429" s="4"/>
      <c r="O2429" s="4"/>
      <c r="P2429" s="12" t="str">
        <f t="array" ref="P2429">IF(O2429:O6471="","",_xlfn.XLOOKUP(O2429:O6471,'参照_官位'!A:A,'参照_官位'!B:B,""))</f>
      </c>
      <c r="Q2429" s="12" t="str">
        <f t="array" ref="Q2429">IF(A2429:A6471="","",IFERROR(_xlfn.XLOOKUP(A2429:A6471,castles_state!K:K,castles_state!D:D)&amp;"主",IFERROR(_xlfn.XLOOKUP(A2429:A6471,kunishuClan!D:D,kunishuClan!B:B)&amp;"当主","")))</f>
      </c>
    </row>
    <row r="2430" ht="15.75" customHeight="1">
      <c r="A2430" s="4">
        <v>1063030</v>
      </c>
      <c r="B2430" s="12" t="str">
        <f t="array" ref="B2430">IF(A2430:A6472="","",_xlfn.XLOOKUP(A2430:A6472,'参照_武将'!A:A,'参照_武将'!B:B,"見つかりません"))</f>
      </c>
      <c r="C2430" s="4" t="s">
        <v>307</v>
      </c>
      <c r="D2430" s="4">
        <v>63</v>
      </c>
      <c r="E2430" s="12" t="str">
        <f t="array" ref="E2430">IF(D2430:D6472="","",IFERROR(_xlfn.XLOOKUP(D2430:D6472,'参照_勢力'!A:A,'参照_勢力'!B:B),IFERROR(_xlfn.XLOOKUP(F2430:F6472,kunishuClan!A:A,kunishuClan!B:B),"浪人")))</f>
      </c>
      <c r="F2430" s="4">
        <v>0</v>
      </c>
      <c r="G2430" s="4">
        <v>128</v>
      </c>
      <c r="H2430" s="12" t="str">
        <f t="array" ref="H2430">IF(G2430:G6472="","",_xlfn.XLOOKUP(G2430:G6472,castles_state!A:A,castles_state!D:D,"見つかりません"))</f>
      </c>
      <c r="I2430" s="4"/>
      <c r="J2430" s="12" t="str">
        <f t="array" ref="J2430">IF(I2430:I6472="","",_xlfn.XLOOKUP(I2430:I6472,'参照_姫'!A:A,'参照_姫'!B:B,"見つかりません"))</f>
      </c>
      <c r="K2430" s="4">
        <v>95</v>
      </c>
      <c r="L2430" s="4">
        <v>0</v>
      </c>
      <c r="M2430" s="4"/>
      <c r="N2430" s="4"/>
      <c r="O2430" s="4"/>
      <c r="P2430" s="12" t="str">
        <f t="array" ref="P2430">IF(O2430:O6472="","",_xlfn.XLOOKUP(O2430:O6472,'参照_官位'!A:A,'参照_官位'!B:B,""))</f>
      </c>
      <c r="Q2430" s="12" t="str">
        <f t="array" ref="Q2430">IF(A2430:A6472="","",IFERROR(_xlfn.XLOOKUP(A2430:A6472,castles_state!K:K,castles_state!D:D)&amp;"主",IFERROR(_xlfn.XLOOKUP(A2430:A6472,kunishuClan!D:D,kunishuClan!B:B)&amp;"当主","")))</f>
      </c>
    </row>
    <row r="2431" ht="15.75" customHeight="1">
      <c r="A2431" s="4">
        <v>1063031</v>
      </c>
      <c r="B2431" s="12" t="str">
        <f t="array" ref="B2431">IF(A2431:A6473="","",_xlfn.XLOOKUP(A2431:A6473,'参照_武将'!A:A,'参照_武将'!B:B,"見つかりません"))</f>
      </c>
      <c r="C2431" s="4" t="s">
        <v>307</v>
      </c>
      <c r="D2431" s="4">
        <v>63</v>
      </c>
      <c r="E2431" s="12" t="str">
        <f t="array" ref="E2431">IF(D2431:D6473="","",IFERROR(_xlfn.XLOOKUP(D2431:D6473,'参照_勢力'!A:A,'参照_勢力'!B:B),IFERROR(_xlfn.XLOOKUP(F2431:F6473,kunishuClan!A:A,kunishuClan!B:B),"浪人")))</f>
      </c>
      <c r="F2431" s="4">
        <v>0</v>
      </c>
      <c r="G2431" s="4">
        <v>128</v>
      </c>
      <c r="H2431" s="12" t="str">
        <f t="array" ref="H2431">IF(G2431:G6473="","",_xlfn.XLOOKUP(G2431:G6473,castles_state!A:A,castles_state!D:D,"見つかりません"))</f>
      </c>
      <c r="I2431" s="4"/>
      <c r="J2431" s="12" t="str">
        <f t="array" ref="J2431">IF(I2431:I6473="","",_xlfn.XLOOKUP(I2431:I6473,'参照_姫'!A:A,'参照_姫'!B:B,"見つかりません"))</f>
      </c>
      <c r="K2431" s="4">
        <v>95</v>
      </c>
      <c r="L2431" s="4">
        <v>0</v>
      </c>
      <c r="M2431" s="4"/>
      <c r="N2431" s="4"/>
      <c r="O2431" s="4"/>
      <c r="P2431" s="12" t="str">
        <f t="array" ref="P2431">IF(O2431:O6473="","",_xlfn.XLOOKUP(O2431:O6473,'参照_官位'!A:A,'参照_官位'!B:B,""))</f>
      </c>
      <c r="Q2431" s="12" t="str">
        <f t="array" ref="Q2431">IF(A2431:A6473="","",IFERROR(_xlfn.XLOOKUP(A2431:A6473,castles_state!K:K,castles_state!D:D)&amp;"主",IFERROR(_xlfn.XLOOKUP(A2431:A6473,kunishuClan!D:D,kunishuClan!B:B)&amp;"当主","")))</f>
      </c>
    </row>
    <row r="2432" ht="15.75" customHeight="1">
      <c r="A2432" s="4">
        <v>1064001</v>
      </c>
      <c r="B2432" s="12" t="str">
        <f t="array" ref="B2432">IF(A2432:A6474="","",_xlfn.XLOOKUP(A2432:A6474,'参照_武将'!A:A,'参照_武将'!B:B,"見つかりません"))</f>
      </c>
      <c r="C2432" s="4" t="s">
        <v>310</v>
      </c>
      <c r="D2432" s="4">
        <v>64</v>
      </c>
      <c r="E2432" s="12" t="str">
        <f t="array" ref="E2432">IF(D2432:D6474="","",IFERROR(_xlfn.XLOOKUP(D2432:D6474,'参照_勢力'!A:A,'参照_勢力'!B:B),IFERROR(_xlfn.XLOOKUP(F2432:F6474,kunishuClan!A:A,kunishuClan!B:B),"浪人")))</f>
      </c>
      <c r="F2432" s="4">
        <v>0</v>
      </c>
      <c r="G2432" s="4">
        <v>131</v>
      </c>
      <c r="H2432" s="12" t="str">
        <f t="array" ref="H2432">IF(G2432:G6474="","",_xlfn.XLOOKUP(G2432:G6474,castles_state!A:A,castles_state!D:D,"見つかりません"))</f>
      </c>
      <c r="I2432" s="4"/>
      <c r="J2432" s="12" t="str">
        <f t="array" ref="J2432">IF(I2432:I6474="","",_xlfn.XLOOKUP(I2432:I6474,'参照_姫'!A:A,'参照_姫'!B:B,"見つかりません"))</f>
      </c>
      <c r="K2432" s="4">
        <v>95</v>
      </c>
      <c r="L2432" s="4">
        <v>0</v>
      </c>
      <c r="M2432" s="4"/>
      <c r="N2432" s="4"/>
      <c r="O2432" s="4"/>
      <c r="P2432" s="12" t="str">
        <f t="array" ref="P2432">IF(O2432:O6474="","",_xlfn.XLOOKUP(O2432:O6474,'参照_官位'!A:A,'参照_官位'!B:B,""))</f>
      </c>
      <c r="Q2432" s="12" t="str">
        <f t="array" ref="Q2432">IF(A2432:A6474="","",IFERROR(_xlfn.XLOOKUP(A2432:A6474,castles_state!K:K,castles_state!D:D)&amp;"主",IFERROR(_xlfn.XLOOKUP(A2432:A6474,kunishuClan!D:D,kunishuClan!B:B)&amp;"当主","")))</f>
      </c>
    </row>
    <row r="2433" ht="15.75" customHeight="1">
      <c r="A2433" s="4">
        <v>1064002</v>
      </c>
      <c r="B2433" s="12" t="str">
        <f t="array" ref="B2433">IF(A2433:A6475="","",_xlfn.XLOOKUP(A2433:A6475,'参照_武将'!A:A,'参照_武将'!B:B,"見つかりません"))</f>
      </c>
      <c r="C2433" s="4" t="s">
        <v>310</v>
      </c>
      <c r="D2433" s="4">
        <v>64</v>
      </c>
      <c r="E2433" s="12" t="str">
        <f t="array" ref="E2433">IF(D2433:D6475="","",IFERROR(_xlfn.XLOOKUP(D2433:D6475,'参照_勢力'!A:A,'参照_勢力'!B:B),IFERROR(_xlfn.XLOOKUP(F2433:F6475,kunishuClan!A:A,kunishuClan!B:B),"浪人")))</f>
      </c>
      <c r="F2433" s="4">
        <v>0</v>
      </c>
      <c r="G2433" s="4">
        <v>131</v>
      </c>
      <c r="H2433" s="12" t="str">
        <f t="array" ref="H2433">IF(G2433:G6475="","",_xlfn.XLOOKUP(G2433:G6475,castles_state!A:A,castles_state!D:D,"見つかりません"))</f>
      </c>
      <c r="I2433" s="4"/>
      <c r="J2433" s="12" t="str">
        <f t="array" ref="J2433">IF(I2433:I6475="","",_xlfn.XLOOKUP(I2433:I6475,'参照_姫'!A:A,'参照_姫'!B:B,"見つかりません"))</f>
      </c>
      <c r="K2433" s="4">
        <v>100</v>
      </c>
      <c r="L2433" s="4">
        <v>200</v>
      </c>
      <c r="M2433" s="4"/>
      <c r="N2433" s="4" t="b">
        <v>1</v>
      </c>
      <c r="O2433" s="4"/>
      <c r="P2433" s="12" t="str">
        <f t="array" ref="P2433">IF(O2433:O6475="","",_xlfn.XLOOKUP(O2433:O6475,'参照_官位'!A:A,'参照_官位'!B:B,""))</f>
      </c>
      <c r="Q2433" s="12" t="str">
        <f t="array" ref="Q2433">IF(A2433:A6475="","",IFERROR(_xlfn.XLOOKUP(A2433:A6475,castles_state!K:K,castles_state!D:D)&amp;"主",IFERROR(_xlfn.XLOOKUP(A2433:A6475,kunishuClan!D:D,kunishuClan!B:B)&amp;"当主","")))</f>
      </c>
    </row>
    <row r="2434" ht="15.75" customHeight="1">
      <c r="A2434" s="4">
        <v>1064003</v>
      </c>
      <c r="B2434" s="12" t="str">
        <f t="array" ref="B2434">IF(A2434:A6476="","",_xlfn.XLOOKUP(A2434:A6476,'参照_武将'!A:A,'参照_武将'!B:B,"見つかりません"))</f>
      </c>
      <c r="C2434" s="4" t="s">
        <v>310</v>
      </c>
      <c r="D2434" s="4">
        <v>64</v>
      </c>
      <c r="E2434" s="12" t="str">
        <f t="array" ref="E2434">IF(D2434:D6476="","",IFERROR(_xlfn.XLOOKUP(D2434:D6476,'参照_勢力'!A:A,'参照_勢力'!B:B),IFERROR(_xlfn.XLOOKUP(F2434:F6476,kunishuClan!A:A,kunishuClan!B:B),"浪人")))</f>
      </c>
      <c r="F2434" s="4">
        <v>0</v>
      </c>
      <c r="G2434" s="4">
        <v>131</v>
      </c>
      <c r="H2434" s="12" t="str">
        <f t="array" ref="H2434">IF(G2434:G6476="","",_xlfn.XLOOKUP(G2434:G6476,castles_state!A:A,castles_state!D:D,"見つかりません"))</f>
      </c>
      <c r="I2434" s="4"/>
      <c r="J2434" s="12" t="str">
        <f t="array" ref="J2434">IF(I2434:I6476="","",_xlfn.XLOOKUP(I2434:I6476,'参照_姫'!A:A,'参照_姫'!B:B,"見つかりません"))</f>
      </c>
      <c r="K2434" s="4">
        <v>100</v>
      </c>
      <c r="L2434" s="4">
        <v>1000</v>
      </c>
      <c r="M2434" s="4"/>
      <c r="N2434" s="4"/>
      <c r="O2434" s="4"/>
      <c r="P2434" s="12" t="str">
        <f t="array" ref="P2434">IF(O2434:O6476="","",_xlfn.XLOOKUP(O2434:O6476,'参照_官位'!A:A,'参照_官位'!B:B,""))</f>
      </c>
      <c r="Q2434" s="12" t="str">
        <f t="array" ref="Q2434">IF(A2434:A6476="","",IFERROR(_xlfn.XLOOKUP(A2434:A6476,castles_state!K:K,castles_state!D:D)&amp;"主",IFERROR(_xlfn.XLOOKUP(A2434:A6476,kunishuClan!D:D,kunishuClan!B:B)&amp;"当主","")))</f>
      </c>
    </row>
    <row r="2435" ht="15.75" customHeight="1">
      <c r="A2435" s="4">
        <v>1064004</v>
      </c>
      <c r="B2435" s="12" t="str">
        <f t="array" ref="B2435">IF(A2435:A6477="","",_xlfn.XLOOKUP(A2435:A6477,'参照_武将'!A:A,'参照_武将'!B:B,"見つかりません"))</f>
      </c>
      <c r="C2435" s="4" t="s">
        <v>310</v>
      </c>
      <c r="D2435" s="4">
        <v>64</v>
      </c>
      <c r="E2435" s="12" t="str">
        <f t="array" ref="E2435">IF(D2435:D6477="","",IFERROR(_xlfn.XLOOKUP(D2435:D6477,'参照_勢力'!A:A,'参照_勢力'!B:B),IFERROR(_xlfn.XLOOKUP(F2435:F6477,kunishuClan!A:A,kunishuClan!B:B),"浪人")))</f>
      </c>
      <c r="F2435" s="4">
        <v>0</v>
      </c>
      <c r="G2435" s="4">
        <v>131</v>
      </c>
      <c r="H2435" s="12" t="str">
        <f t="array" ref="H2435">IF(G2435:G6477="","",_xlfn.XLOOKUP(G2435:G6477,castles_state!A:A,castles_state!D:D,"見つかりません"))</f>
      </c>
      <c r="I2435" s="4"/>
      <c r="J2435" s="12" t="str">
        <f t="array" ref="J2435">IF(I2435:I6477="","",_xlfn.XLOOKUP(I2435:I6477,'参照_姫'!A:A,'参照_姫'!B:B,"見つかりません"))</f>
      </c>
      <c r="K2435" s="4">
        <v>95</v>
      </c>
      <c r="L2435" s="4">
        <v>0</v>
      </c>
      <c r="M2435" s="4"/>
      <c r="N2435" s="4"/>
      <c r="O2435" s="4"/>
      <c r="P2435" s="12" t="str">
        <f t="array" ref="P2435">IF(O2435:O6477="","",_xlfn.XLOOKUP(O2435:O6477,'参照_官位'!A:A,'参照_官位'!B:B,""))</f>
      </c>
      <c r="Q2435" s="12" t="str">
        <f t="array" ref="Q2435">IF(A2435:A6477="","",IFERROR(_xlfn.XLOOKUP(A2435:A6477,castles_state!K:K,castles_state!D:D)&amp;"主",IFERROR(_xlfn.XLOOKUP(A2435:A6477,kunishuClan!D:D,kunishuClan!B:B)&amp;"当主","")))</f>
      </c>
    </row>
    <row r="2436" ht="15.75" customHeight="1">
      <c r="A2436" s="4">
        <v>1064005</v>
      </c>
      <c r="B2436" s="12" t="str">
        <f t="array" ref="B2436">IF(A2436:A6478="","",_xlfn.XLOOKUP(A2436:A6478,'参照_武将'!A:A,'参照_武将'!B:B,"見つかりません"))</f>
      </c>
      <c r="C2436" s="4" t="s">
        <v>310</v>
      </c>
      <c r="D2436" s="4">
        <v>64</v>
      </c>
      <c r="E2436" s="12" t="str">
        <f t="array" ref="E2436">IF(D2436:D6478="","",IFERROR(_xlfn.XLOOKUP(D2436:D6478,'参照_勢力'!A:A,'参照_勢力'!B:B),IFERROR(_xlfn.XLOOKUP(F2436:F6478,kunishuClan!A:A,kunishuClan!B:B),"浪人")))</f>
      </c>
      <c r="F2436" s="4">
        <v>0</v>
      </c>
      <c r="G2436" s="4">
        <v>131</v>
      </c>
      <c r="H2436" s="12" t="str">
        <f t="array" ref="H2436">IF(G2436:G6478="","",_xlfn.XLOOKUP(G2436:G6478,castles_state!A:A,castles_state!D:D,"見つかりません"))</f>
      </c>
      <c r="I2436" s="4"/>
      <c r="J2436" s="12" t="str">
        <f t="array" ref="J2436">IF(I2436:I6478="","",_xlfn.XLOOKUP(I2436:I6478,'参照_姫'!A:A,'参照_姫'!B:B,"見つかりません"))</f>
      </c>
      <c r="K2436" s="4">
        <v>95</v>
      </c>
      <c r="L2436" s="4">
        <v>0</v>
      </c>
      <c r="M2436" s="4"/>
      <c r="N2436" s="4"/>
      <c r="O2436" s="4"/>
      <c r="P2436" s="12" t="str">
        <f t="array" ref="P2436">IF(O2436:O6478="","",_xlfn.XLOOKUP(O2436:O6478,'参照_官位'!A:A,'参照_官位'!B:B,""))</f>
      </c>
      <c r="Q2436" s="12" t="str">
        <f t="array" ref="Q2436">IF(A2436:A6478="","",IFERROR(_xlfn.XLOOKUP(A2436:A6478,castles_state!K:K,castles_state!D:D)&amp;"主",IFERROR(_xlfn.XLOOKUP(A2436:A6478,kunishuClan!D:D,kunishuClan!B:B)&amp;"当主","")))</f>
      </c>
    </row>
    <row r="2437" ht="15.75" customHeight="1">
      <c r="A2437" s="4">
        <v>1064006</v>
      </c>
      <c r="B2437" s="12" t="str">
        <f t="array" ref="B2437">IF(A2437:A6479="","",_xlfn.XLOOKUP(A2437:A6479,'参照_武将'!A:A,'参照_武将'!B:B,"見つかりません"))</f>
      </c>
      <c r="C2437" s="4" t="s">
        <v>310</v>
      </c>
      <c r="D2437" s="4">
        <v>64</v>
      </c>
      <c r="E2437" s="12" t="str">
        <f t="array" ref="E2437">IF(D2437:D6479="","",IFERROR(_xlfn.XLOOKUP(D2437:D6479,'参照_勢力'!A:A,'参照_勢力'!B:B),IFERROR(_xlfn.XLOOKUP(F2437:F6479,kunishuClan!A:A,kunishuClan!B:B),"浪人")))</f>
      </c>
      <c r="F2437" s="4">
        <v>0</v>
      </c>
      <c r="G2437" s="4">
        <v>131</v>
      </c>
      <c r="H2437" s="12" t="str">
        <f t="array" ref="H2437">IF(G2437:G6479="","",_xlfn.XLOOKUP(G2437:G6479,castles_state!A:A,castles_state!D:D,"見つかりません"))</f>
      </c>
      <c r="I2437" s="4"/>
      <c r="J2437" s="12" t="str">
        <f t="array" ref="J2437">IF(I2437:I6479="","",_xlfn.XLOOKUP(I2437:I6479,'参照_姫'!A:A,'参照_姫'!B:B,"見つかりません"))</f>
      </c>
      <c r="K2437" s="4">
        <v>95</v>
      </c>
      <c r="L2437" s="4">
        <v>500</v>
      </c>
      <c r="M2437" s="4"/>
      <c r="N2437" s="4"/>
      <c r="O2437" s="4"/>
      <c r="P2437" s="12" t="str">
        <f t="array" ref="P2437">IF(O2437:O6479="","",_xlfn.XLOOKUP(O2437:O6479,'参照_官位'!A:A,'参照_官位'!B:B,""))</f>
      </c>
      <c r="Q2437" s="12" t="str">
        <f t="array" ref="Q2437">IF(A2437:A6479="","",IFERROR(_xlfn.XLOOKUP(A2437:A6479,castles_state!K:K,castles_state!D:D)&amp;"主",IFERROR(_xlfn.XLOOKUP(A2437:A6479,kunishuClan!D:D,kunishuClan!B:B)&amp;"当主","")))</f>
      </c>
    </row>
    <row r="2438" ht="15.75" customHeight="1">
      <c r="A2438" s="4">
        <v>1064007</v>
      </c>
      <c r="B2438" s="12" t="str">
        <f t="array" ref="B2438">IF(A2438:A6480="","",_xlfn.XLOOKUP(A2438:A6480,'参照_武将'!A:A,'参照_武将'!B:B,"見つかりません"))</f>
      </c>
      <c r="C2438" s="4" t="s">
        <v>310</v>
      </c>
      <c r="D2438" s="4">
        <v>64</v>
      </c>
      <c r="E2438" s="12" t="str">
        <f t="array" ref="E2438">IF(D2438:D6480="","",IFERROR(_xlfn.XLOOKUP(D2438:D6480,'参照_勢力'!A:A,'参照_勢力'!B:B),IFERROR(_xlfn.XLOOKUP(F2438:F6480,kunishuClan!A:A,kunishuClan!B:B),"浪人")))</f>
      </c>
      <c r="F2438" s="4">
        <v>0</v>
      </c>
      <c r="G2438" s="4">
        <v>131</v>
      </c>
      <c r="H2438" s="12" t="str">
        <f t="array" ref="H2438">IF(G2438:G6480="","",_xlfn.XLOOKUP(G2438:G6480,castles_state!A:A,castles_state!D:D,"見つかりません"))</f>
      </c>
      <c r="I2438" s="4"/>
      <c r="J2438" s="12" t="str">
        <f t="array" ref="J2438">IF(I2438:I6480="","",_xlfn.XLOOKUP(I2438:I6480,'参照_姫'!A:A,'参照_姫'!B:B,"見つかりません"))</f>
      </c>
      <c r="K2438" s="4">
        <v>95</v>
      </c>
      <c r="L2438" s="4">
        <v>300</v>
      </c>
      <c r="M2438" s="4" t="b">
        <v>1</v>
      </c>
      <c r="N2438" s="4"/>
      <c r="O2438" s="4"/>
      <c r="P2438" s="12" t="str">
        <f t="array" ref="P2438">IF(O2438:O6480="","",_xlfn.XLOOKUP(O2438:O6480,'参照_官位'!A:A,'参照_官位'!B:B,""))</f>
      </c>
      <c r="Q2438" s="12" t="str">
        <f t="array" ref="Q2438">IF(A2438:A6480="","",IFERROR(_xlfn.XLOOKUP(A2438:A6480,castles_state!K:K,castles_state!D:D)&amp;"主",IFERROR(_xlfn.XLOOKUP(A2438:A6480,kunishuClan!D:D,kunishuClan!B:B)&amp;"当主","")))</f>
      </c>
    </row>
    <row r="2439" ht="15.75" customHeight="1">
      <c r="A2439" s="4">
        <v>1064008</v>
      </c>
      <c r="B2439" s="12" t="str">
        <f t="array" ref="B2439">IF(A2439:A6481="","",_xlfn.XLOOKUP(A2439:A6481,'参照_武将'!A:A,'参照_武将'!B:B,"見つかりません"))</f>
      </c>
      <c r="C2439" s="4" t="s">
        <v>310</v>
      </c>
      <c r="D2439" s="4">
        <v>64</v>
      </c>
      <c r="E2439" s="12" t="str">
        <f t="array" ref="E2439">IF(D2439:D6481="","",IFERROR(_xlfn.XLOOKUP(D2439:D6481,'参照_勢力'!A:A,'参照_勢力'!B:B),IFERROR(_xlfn.XLOOKUP(F2439:F6481,kunishuClan!A:A,kunishuClan!B:B),"浪人")))</f>
      </c>
      <c r="F2439" s="4">
        <v>0</v>
      </c>
      <c r="G2439" s="4">
        <v>131</v>
      </c>
      <c r="H2439" s="12" t="str">
        <f t="array" ref="H2439">IF(G2439:G6481="","",_xlfn.XLOOKUP(G2439:G6481,castles_state!A:A,castles_state!D:D,"見つかりません"))</f>
      </c>
      <c r="I2439" s="4"/>
      <c r="J2439" s="12" t="str">
        <f t="array" ref="J2439">IF(I2439:I6481="","",_xlfn.XLOOKUP(I2439:I6481,'参照_姫'!A:A,'参照_姫'!B:B,"見つかりません"))</f>
      </c>
      <c r="K2439" s="4">
        <v>95</v>
      </c>
      <c r="L2439" s="4">
        <v>0</v>
      </c>
      <c r="M2439" s="4"/>
      <c r="N2439" s="4"/>
      <c r="O2439" s="4"/>
      <c r="P2439" s="12" t="str">
        <f t="array" ref="P2439">IF(O2439:O6481="","",_xlfn.XLOOKUP(O2439:O6481,'参照_官位'!A:A,'参照_官位'!B:B,""))</f>
      </c>
      <c r="Q2439" s="12" t="str">
        <f t="array" ref="Q2439">IF(A2439:A6481="","",IFERROR(_xlfn.XLOOKUP(A2439:A6481,castles_state!K:K,castles_state!D:D)&amp;"主",IFERROR(_xlfn.XLOOKUP(A2439:A6481,kunishuClan!D:D,kunishuClan!B:B)&amp;"当主","")))</f>
      </c>
    </row>
    <row r="2440" ht="15.75" customHeight="1">
      <c r="A2440" s="4">
        <v>1064009</v>
      </c>
      <c r="B2440" s="12" t="str">
        <f t="array" ref="B2440">IF(A2440:A6482="","",_xlfn.XLOOKUP(A2440:A6482,'参照_武将'!A:A,'参照_武将'!B:B,"見つかりません"))</f>
      </c>
      <c r="C2440" s="4" t="s">
        <v>310</v>
      </c>
      <c r="D2440" s="4">
        <v>64</v>
      </c>
      <c r="E2440" s="12" t="str">
        <f t="array" ref="E2440">IF(D2440:D6482="","",IFERROR(_xlfn.XLOOKUP(D2440:D6482,'参照_勢力'!A:A,'参照_勢力'!B:B),IFERROR(_xlfn.XLOOKUP(F2440:F6482,kunishuClan!A:A,kunishuClan!B:B),"浪人")))</f>
      </c>
      <c r="F2440" s="4">
        <v>0</v>
      </c>
      <c r="G2440" s="4">
        <v>131</v>
      </c>
      <c r="H2440" s="12" t="str">
        <f t="array" ref="H2440">IF(G2440:G6482="","",_xlfn.XLOOKUP(G2440:G6482,castles_state!A:A,castles_state!D:D,"見つかりません"))</f>
      </c>
      <c r="I2440" s="4"/>
      <c r="J2440" s="12" t="str">
        <f t="array" ref="J2440">IF(I2440:I6482="","",_xlfn.XLOOKUP(I2440:I6482,'参照_姫'!A:A,'参照_姫'!B:B,"見つかりません"))</f>
      </c>
      <c r="K2440" s="4">
        <v>95</v>
      </c>
      <c r="L2440" s="4">
        <v>0</v>
      </c>
      <c r="M2440" s="4"/>
      <c r="N2440" s="4"/>
      <c r="O2440" s="4"/>
      <c r="P2440" s="12" t="str">
        <f t="array" ref="P2440">IF(O2440:O6482="","",_xlfn.XLOOKUP(O2440:O6482,'参照_官位'!A:A,'参照_官位'!B:B,""))</f>
      </c>
      <c r="Q2440" s="12" t="str">
        <f t="array" ref="Q2440">IF(A2440:A6482="","",IFERROR(_xlfn.XLOOKUP(A2440:A6482,castles_state!K:K,castles_state!D:D)&amp;"主",IFERROR(_xlfn.XLOOKUP(A2440:A6482,kunishuClan!D:D,kunishuClan!B:B)&amp;"当主","")))</f>
      </c>
    </row>
    <row r="2441" ht="15.75" customHeight="1">
      <c r="A2441" s="4">
        <v>1064010</v>
      </c>
      <c r="B2441" s="12" t="str">
        <f t="array" ref="B2441">IF(A2441:A6483="","",_xlfn.XLOOKUP(A2441:A6483,'参照_武将'!A:A,'参照_武将'!B:B,"見つかりません"))</f>
      </c>
      <c r="C2441" s="4" t="s">
        <v>310</v>
      </c>
      <c r="D2441" s="4">
        <v>64</v>
      </c>
      <c r="E2441" s="12" t="str">
        <f t="array" ref="E2441">IF(D2441:D6483="","",IFERROR(_xlfn.XLOOKUP(D2441:D6483,'参照_勢力'!A:A,'参照_勢力'!B:B),IFERROR(_xlfn.XLOOKUP(F2441:F6483,kunishuClan!A:A,kunishuClan!B:B),"浪人")))</f>
      </c>
      <c r="F2441" s="4">
        <v>0</v>
      </c>
      <c r="G2441" s="4">
        <v>131</v>
      </c>
      <c r="H2441" s="12" t="str">
        <f t="array" ref="H2441">IF(G2441:G6483="","",_xlfn.XLOOKUP(G2441:G6483,castles_state!A:A,castles_state!D:D,"見つかりません"))</f>
      </c>
      <c r="I2441" s="4"/>
      <c r="J2441" s="12" t="str">
        <f t="array" ref="J2441">IF(I2441:I6483="","",_xlfn.XLOOKUP(I2441:I6483,'参照_姫'!A:A,'参照_姫'!B:B,"見つかりません"))</f>
      </c>
      <c r="K2441" s="4">
        <v>95</v>
      </c>
      <c r="L2441" s="4">
        <v>0</v>
      </c>
      <c r="M2441" s="4"/>
      <c r="N2441" s="4"/>
      <c r="O2441" s="4"/>
      <c r="P2441" s="12" t="str">
        <f t="array" ref="P2441">IF(O2441:O6483="","",_xlfn.XLOOKUP(O2441:O6483,'参照_官位'!A:A,'参照_官位'!B:B,""))</f>
      </c>
      <c r="Q2441" s="12" t="str">
        <f t="array" ref="Q2441">IF(A2441:A6483="","",IFERROR(_xlfn.XLOOKUP(A2441:A6483,castles_state!K:K,castles_state!D:D)&amp;"主",IFERROR(_xlfn.XLOOKUP(A2441:A6483,kunishuClan!D:D,kunishuClan!B:B)&amp;"当主","")))</f>
      </c>
    </row>
    <row r="2442" ht="15.75" customHeight="1">
      <c r="A2442" s="4">
        <v>1064011</v>
      </c>
      <c r="B2442" s="12" t="str">
        <f t="array" ref="B2442">IF(A2442:A6484="","",_xlfn.XLOOKUP(A2442:A6484,'参照_武将'!A:A,'参照_武将'!B:B,"見つかりません"))</f>
      </c>
      <c r="C2442" s="4" t="s">
        <v>310</v>
      </c>
      <c r="D2442" s="4">
        <v>64</v>
      </c>
      <c r="E2442" s="12" t="str">
        <f t="array" ref="E2442">IF(D2442:D6484="","",IFERROR(_xlfn.XLOOKUP(D2442:D6484,'参照_勢力'!A:A,'参照_勢力'!B:B),IFERROR(_xlfn.XLOOKUP(F2442:F6484,kunishuClan!A:A,kunishuClan!B:B),"浪人")))</f>
      </c>
      <c r="F2442" s="4">
        <v>0</v>
      </c>
      <c r="G2442" s="4">
        <v>131</v>
      </c>
      <c r="H2442" s="12" t="str">
        <f t="array" ref="H2442">IF(G2442:G6484="","",_xlfn.XLOOKUP(G2442:G6484,castles_state!A:A,castles_state!D:D,"見つかりません"))</f>
      </c>
      <c r="I2442" s="4"/>
      <c r="J2442" s="12" t="str">
        <f t="array" ref="J2442">IF(I2442:I6484="","",_xlfn.XLOOKUP(I2442:I6484,'参照_姫'!A:A,'参照_姫'!B:B,"見つかりません"))</f>
      </c>
      <c r="K2442" s="4">
        <v>95</v>
      </c>
      <c r="L2442" s="4">
        <v>0</v>
      </c>
      <c r="M2442" s="4"/>
      <c r="N2442" s="4"/>
      <c r="O2442" s="4"/>
      <c r="P2442" s="12" t="str">
        <f t="array" ref="P2442">IF(O2442:O6484="","",_xlfn.XLOOKUP(O2442:O6484,'参照_官位'!A:A,'参照_官位'!B:B,""))</f>
      </c>
      <c r="Q2442" s="12" t="str">
        <f t="array" ref="Q2442">IF(A2442:A6484="","",IFERROR(_xlfn.XLOOKUP(A2442:A6484,castles_state!K:K,castles_state!D:D)&amp;"主",IFERROR(_xlfn.XLOOKUP(A2442:A6484,kunishuClan!D:D,kunishuClan!B:B)&amp;"当主","")))</f>
      </c>
    </row>
    <row r="2443" ht="15.75" customHeight="1">
      <c r="A2443" s="4">
        <v>1064012</v>
      </c>
      <c r="B2443" s="12" t="str">
        <f t="array" ref="B2443">IF(A2443:A6485="","",_xlfn.XLOOKUP(A2443:A6485,'参照_武将'!A:A,'参照_武将'!B:B,"見つかりません"))</f>
      </c>
      <c r="C2443" s="4" t="s">
        <v>310</v>
      </c>
      <c r="D2443" s="4">
        <v>64</v>
      </c>
      <c r="E2443" s="12" t="str">
        <f t="array" ref="E2443">IF(D2443:D6485="","",IFERROR(_xlfn.XLOOKUP(D2443:D6485,'参照_勢力'!A:A,'参照_勢力'!B:B),IFERROR(_xlfn.XLOOKUP(F2443:F6485,kunishuClan!A:A,kunishuClan!B:B),"浪人")))</f>
      </c>
      <c r="F2443" s="4">
        <v>0</v>
      </c>
      <c r="G2443" s="4">
        <v>131</v>
      </c>
      <c r="H2443" s="12" t="str">
        <f t="array" ref="H2443">IF(G2443:G6485="","",_xlfn.XLOOKUP(G2443:G6485,castles_state!A:A,castles_state!D:D,"見つかりません"))</f>
      </c>
      <c r="I2443" s="4"/>
      <c r="J2443" s="12" t="str">
        <f t="array" ref="J2443">IF(I2443:I6485="","",_xlfn.XLOOKUP(I2443:I6485,'参照_姫'!A:A,'参照_姫'!B:B,"見つかりません"))</f>
      </c>
      <c r="K2443" s="4">
        <v>95</v>
      </c>
      <c r="L2443" s="4">
        <v>0</v>
      </c>
      <c r="M2443" s="4"/>
      <c r="N2443" s="4"/>
      <c r="O2443" s="4"/>
      <c r="P2443" s="12" t="str">
        <f t="array" ref="P2443">IF(O2443:O6485="","",_xlfn.XLOOKUP(O2443:O6485,'参照_官位'!A:A,'参照_官位'!B:B,""))</f>
      </c>
      <c r="Q2443" s="12" t="str">
        <f t="array" ref="Q2443">IF(A2443:A6485="","",IFERROR(_xlfn.XLOOKUP(A2443:A6485,castles_state!K:K,castles_state!D:D)&amp;"主",IFERROR(_xlfn.XLOOKUP(A2443:A6485,kunishuClan!D:D,kunishuClan!B:B)&amp;"当主","")))</f>
      </c>
    </row>
    <row r="2444" ht="15.75" customHeight="1">
      <c r="A2444" s="4">
        <v>1064013</v>
      </c>
      <c r="B2444" s="12" t="str">
        <f t="array" ref="B2444">IF(A2444:A6486="","",_xlfn.XLOOKUP(A2444:A6486,'参照_武将'!A:A,'参照_武将'!B:B,"見つかりません"))</f>
      </c>
      <c r="C2444" s="4" t="s">
        <v>310</v>
      </c>
      <c r="D2444" s="4">
        <v>64</v>
      </c>
      <c r="E2444" s="12" t="str">
        <f t="array" ref="E2444">IF(D2444:D6486="","",IFERROR(_xlfn.XLOOKUP(D2444:D6486,'参照_勢力'!A:A,'参照_勢力'!B:B),IFERROR(_xlfn.XLOOKUP(F2444:F6486,kunishuClan!A:A,kunishuClan!B:B),"浪人")))</f>
      </c>
      <c r="F2444" s="4">
        <v>0</v>
      </c>
      <c r="G2444" s="4">
        <v>131</v>
      </c>
      <c r="H2444" s="12" t="str">
        <f t="array" ref="H2444">IF(G2444:G6486="","",_xlfn.XLOOKUP(G2444:G6486,castles_state!A:A,castles_state!D:D,"見つかりません"))</f>
      </c>
      <c r="I2444" s="4"/>
      <c r="J2444" s="12" t="str">
        <f t="array" ref="J2444">IF(I2444:I6486="","",_xlfn.XLOOKUP(I2444:I6486,'参照_姫'!A:A,'参照_姫'!B:B,"見つかりません"))</f>
      </c>
      <c r="K2444" s="4">
        <v>95</v>
      </c>
      <c r="L2444" s="4">
        <v>0</v>
      </c>
      <c r="M2444" s="4"/>
      <c r="N2444" s="4"/>
      <c r="O2444" s="4"/>
      <c r="P2444" s="12" t="str">
        <f t="array" ref="P2444">IF(O2444:O6486="","",_xlfn.XLOOKUP(O2444:O6486,'参照_官位'!A:A,'参照_官位'!B:B,""))</f>
      </c>
      <c r="Q2444" s="12" t="str">
        <f t="array" ref="Q2444">IF(A2444:A6486="","",IFERROR(_xlfn.XLOOKUP(A2444:A6486,castles_state!K:K,castles_state!D:D)&amp;"主",IFERROR(_xlfn.XLOOKUP(A2444:A6486,kunishuClan!D:D,kunishuClan!B:B)&amp;"当主","")))</f>
      </c>
    </row>
    <row r="2445" ht="15.75" customHeight="1">
      <c r="A2445" s="4">
        <v>1064014</v>
      </c>
      <c r="B2445" s="12" t="str">
        <f t="array" ref="B2445">IF(A2445:A6487="","",_xlfn.XLOOKUP(A2445:A6487,'参照_武将'!A:A,'参照_武将'!B:B,"見つかりません"))</f>
      </c>
      <c r="C2445" s="4" t="s">
        <v>310</v>
      </c>
      <c r="D2445" s="4">
        <v>64</v>
      </c>
      <c r="E2445" s="12" t="str">
        <f t="array" ref="E2445">IF(D2445:D6487="","",IFERROR(_xlfn.XLOOKUP(D2445:D6487,'参照_勢力'!A:A,'参照_勢力'!B:B),IFERROR(_xlfn.XLOOKUP(F2445:F6487,kunishuClan!A:A,kunishuClan!B:B),"浪人")))</f>
      </c>
      <c r="F2445" s="4">
        <v>0</v>
      </c>
      <c r="G2445" s="4">
        <v>131</v>
      </c>
      <c r="H2445" s="12" t="str">
        <f t="array" ref="H2445">IF(G2445:G6487="","",_xlfn.XLOOKUP(G2445:G6487,castles_state!A:A,castles_state!D:D,"見つかりません"))</f>
      </c>
      <c r="I2445" s="4"/>
      <c r="J2445" s="12" t="str">
        <f t="array" ref="J2445">IF(I2445:I6487="","",_xlfn.XLOOKUP(I2445:I6487,'参照_姫'!A:A,'参照_姫'!B:B,"見つかりません"))</f>
      </c>
      <c r="K2445" s="4">
        <v>85</v>
      </c>
      <c r="L2445" s="4">
        <v>0</v>
      </c>
      <c r="M2445" s="4"/>
      <c r="N2445" s="4"/>
      <c r="O2445" s="4"/>
      <c r="P2445" s="12" t="str">
        <f t="array" ref="P2445">IF(O2445:O6487="","",_xlfn.XLOOKUP(O2445:O6487,'参照_官位'!A:A,'参照_官位'!B:B,""))</f>
      </c>
      <c r="Q2445" s="12" t="str">
        <f t="array" ref="Q2445">IF(A2445:A6487="","",IFERROR(_xlfn.XLOOKUP(A2445:A6487,castles_state!K:K,castles_state!D:D)&amp;"主",IFERROR(_xlfn.XLOOKUP(A2445:A6487,kunishuClan!D:D,kunishuClan!B:B)&amp;"当主","")))</f>
      </c>
    </row>
    <row r="2446" ht="15.75" customHeight="1">
      <c r="A2446" s="4">
        <v>1065001</v>
      </c>
      <c r="B2446" s="12" t="str">
        <f t="array" ref="B2446">IF(A2446:A6488="","",_xlfn.XLOOKUP(A2446:A6488,'参照_武将'!A:A,'参照_武将'!B:B,"見つかりません"))</f>
      </c>
      <c r="C2446" s="4" t="s">
        <v>313</v>
      </c>
      <c r="D2446" s="4">
        <v>65</v>
      </c>
      <c r="E2446" s="12" t="str">
        <f t="array" ref="E2446">IF(D2446:D6488="","",IFERROR(_xlfn.XLOOKUP(D2446:D6488,'参照_勢力'!A:A,'参照_勢力'!B:B),IFERROR(_xlfn.XLOOKUP(F2446:F6488,kunishuClan!A:A,kunishuClan!B:B),"浪人")))</f>
      </c>
      <c r="F2446" s="4">
        <v>0</v>
      </c>
      <c r="G2446" s="4">
        <v>178</v>
      </c>
      <c r="H2446" s="12" t="str">
        <f t="array" ref="H2446">IF(G2446:G6488="","",_xlfn.XLOOKUP(G2446:G6488,castles_state!A:A,castles_state!D:D,"見つかりません"))</f>
      </c>
      <c r="I2446" s="4"/>
      <c r="J2446" s="12" t="str">
        <f t="array" ref="J2446">IF(I2446:I6488="","",_xlfn.XLOOKUP(I2446:I6488,'参照_姫'!A:A,'参照_姫'!B:B,"見つかりません"))</f>
      </c>
      <c r="K2446" s="4">
        <v>100</v>
      </c>
      <c r="L2446" s="4">
        <v>1000</v>
      </c>
      <c r="M2446" s="4"/>
      <c r="N2446" s="4"/>
      <c r="O2446" s="4"/>
      <c r="P2446" s="12" t="str">
        <f t="array" ref="P2446">IF(O2446:O6488="","",_xlfn.XLOOKUP(O2446:O6488,'参照_官位'!A:A,'参照_官位'!B:B,""))</f>
      </c>
      <c r="Q2446" s="12" t="str">
        <f t="array" ref="Q2446">IF(A2446:A6488="","",IFERROR(_xlfn.XLOOKUP(A2446:A6488,castles_state!K:K,castles_state!D:D)&amp;"主",IFERROR(_xlfn.XLOOKUP(A2446:A6488,kunishuClan!D:D,kunishuClan!B:B)&amp;"当主","")))</f>
      </c>
    </row>
    <row r="2447" ht="15.75" customHeight="1">
      <c r="A2447" s="4">
        <v>1065002</v>
      </c>
      <c r="B2447" s="12" t="str">
        <f t="array" ref="B2447">IF(A2447:A6489="","",_xlfn.XLOOKUP(A2447:A6489,'参照_武将'!A:A,'参照_武将'!B:B,"見つかりません"))</f>
      </c>
      <c r="C2447" s="4" t="s">
        <v>313</v>
      </c>
      <c r="D2447" s="4">
        <v>65</v>
      </c>
      <c r="E2447" s="12" t="str">
        <f t="array" ref="E2447">IF(D2447:D6489="","",IFERROR(_xlfn.XLOOKUP(D2447:D6489,'参照_勢力'!A:A,'参照_勢力'!B:B),IFERROR(_xlfn.XLOOKUP(F2447:F6489,kunishuClan!A:A,kunishuClan!B:B),"浪人")))</f>
      </c>
      <c r="F2447" s="4">
        <v>0</v>
      </c>
      <c r="G2447" s="4">
        <v>178</v>
      </c>
      <c r="H2447" s="12" t="str">
        <f t="array" ref="H2447">IF(G2447:G6489="","",_xlfn.XLOOKUP(G2447:G6489,castles_state!A:A,castles_state!D:D,"見つかりません"))</f>
      </c>
      <c r="I2447" s="4"/>
      <c r="J2447" s="12" t="str">
        <f t="array" ref="J2447">IF(I2447:I6489="","",_xlfn.XLOOKUP(I2447:I6489,'参照_姫'!A:A,'参照_姫'!B:B,"見つかりません"))</f>
      </c>
      <c r="K2447" s="4">
        <v>95</v>
      </c>
      <c r="L2447" s="4">
        <v>700</v>
      </c>
      <c r="M2447" s="4"/>
      <c r="N2447" s="4"/>
      <c r="O2447" s="4"/>
      <c r="P2447" s="12" t="str">
        <f t="array" ref="P2447">IF(O2447:O6489="","",_xlfn.XLOOKUP(O2447:O6489,'参照_官位'!A:A,'参照_官位'!B:B,""))</f>
      </c>
      <c r="Q2447" s="12" t="str">
        <f t="array" ref="Q2447">IF(A2447:A6489="","",IFERROR(_xlfn.XLOOKUP(A2447:A6489,castles_state!K:K,castles_state!D:D)&amp;"主",IFERROR(_xlfn.XLOOKUP(A2447:A6489,kunishuClan!D:D,kunishuClan!B:B)&amp;"当主","")))</f>
      </c>
    </row>
    <row r="2448" ht="15.75" customHeight="1">
      <c r="A2448" s="4">
        <v>1065003</v>
      </c>
      <c r="B2448" s="12" t="str">
        <f t="array" ref="B2448">IF(A2448:A6490="","",_xlfn.XLOOKUP(A2448:A6490,'参照_武将'!A:A,'参照_武将'!B:B,"見つかりません"))</f>
      </c>
      <c r="C2448" s="4" t="s">
        <v>313</v>
      </c>
      <c r="D2448" s="4">
        <v>65</v>
      </c>
      <c r="E2448" s="12" t="str">
        <f t="array" ref="E2448">IF(D2448:D6490="","",IFERROR(_xlfn.XLOOKUP(D2448:D6490,'参照_勢力'!A:A,'参照_勢力'!B:B),IFERROR(_xlfn.XLOOKUP(F2448:F6490,kunishuClan!A:A,kunishuClan!B:B),"浪人")))</f>
      </c>
      <c r="F2448" s="4">
        <v>0</v>
      </c>
      <c r="G2448" s="4">
        <v>178</v>
      </c>
      <c r="H2448" s="12" t="str">
        <f t="array" ref="H2448">IF(G2448:G6490="","",_xlfn.XLOOKUP(G2448:G6490,castles_state!A:A,castles_state!D:D,"見つかりません"))</f>
      </c>
      <c r="I2448" s="4"/>
      <c r="J2448" s="12" t="str">
        <f t="array" ref="J2448">IF(I2448:I6490="","",_xlfn.XLOOKUP(I2448:I6490,'参照_姫'!A:A,'参照_姫'!B:B,"見つかりません"))</f>
      </c>
      <c r="K2448" s="4">
        <v>95</v>
      </c>
      <c r="L2448" s="4">
        <v>500</v>
      </c>
      <c r="M2448" s="4"/>
      <c r="N2448" s="4"/>
      <c r="O2448" s="4"/>
      <c r="P2448" s="12" t="str">
        <f t="array" ref="P2448">IF(O2448:O6490="","",_xlfn.XLOOKUP(O2448:O6490,'参照_官位'!A:A,'参照_官位'!B:B,""))</f>
      </c>
      <c r="Q2448" s="12" t="str">
        <f t="array" ref="Q2448">IF(A2448:A6490="","",IFERROR(_xlfn.XLOOKUP(A2448:A6490,castles_state!K:K,castles_state!D:D)&amp;"主",IFERROR(_xlfn.XLOOKUP(A2448:A6490,kunishuClan!D:D,kunishuClan!B:B)&amp;"当主","")))</f>
      </c>
    </row>
    <row r="2449" ht="15.75" customHeight="1">
      <c r="A2449" s="4">
        <v>1065004</v>
      </c>
      <c r="B2449" s="12" t="str">
        <f t="array" ref="B2449">IF(A2449:A6491="","",_xlfn.XLOOKUP(A2449:A6491,'参照_武将'!A:A,'参照_武将'!B:B,"見つかりません"))</f>
      </c>
      <c r="C2449" s="4" t="s">
        <v>313</v>
      </c>
      <c r="D2449" s="4">
        <v>65</v>
      </c>
      <c r="E2449" s="12" t="str">
        <f t="array" ref="E2449">IF(D2449:D6491="","",IFERROR(_xlfn.XLOOKUP(D2449:D6491,'参照_勢力'!A:A,'参照_勢力'!B:B),IFERROR(_xlfn.XLOOKUP(F2449:F6491,kunishuClan!A:A,kunishuClan!B:B),"浪人")))</f>
      </c>
      <c r="F2449" s="4">
        <v>0</v>
      </c>
      <c r="G2449" s="4">
        <v>178</v>
      </c>
      <c r="H2449" s="12" t="str">
        <f t="array" ref="H2449">IF(G2449:G6491="","",_xlfn.XLOOKUP(G2449:G6491,castles_state!A:A,castles_state!D:D,"見つかりません"))</f>
      </c>
      <c r="I2449" s="4"/>
      <c r="J2449" s="12" t="str">
        <f t="array" ref="J2449">IF(I2449:I6491="","",_xlfn.XLOOKUP(I2449:I6491,'参照_姫'!A:A,'参照_姫'!B:B,"見つかりません"))</f>
      </c>
      <c r="K2449" s="4">
        <v>95</v>
      </c>
      <c r="L2449" s="4">
        <v>500</v>
      </c>
      <c r="M2449" s="4"/>
      <c r="N2449" s="4"/>
      <c r="O2449" s="4"/>
      <c r="P2449" s="12" t="str">
        <f t="array" ref="P2449">IF(O2449:O6491="","",_xlfn.XLOOKUP(O2449:O6491,'参照_官位'!A:A,'参照_官位'!B:B,""))</f>
      </c>
      <c r="Q2449" s="12" t="str">
        <f t="array" ref="Q2449">IF(A2449:A6491="","",IFERROR(_xlfn.XLOOKUP(A2449:A6491,castles_state!K:K,castles_state!D:D)&amp;"主",IFERROR(_xlfn.XLOOKUP(A2449:A6491,kunishuClan!D:D,kunishuClan!B:B)&amp;"当主","")))</f>
      </c>
    </row>
    <row r="2450" ht="15.75" customHeight="1">
      <c r="A2450" s="4">
        <v>1065005</v>
      </c>
      <c r="B2450" s="12" t="str">
        <f t="array" ref="B2450">IF(A2450:A6492="","",_xlfn.XLOOKUP(A2450:A6492,'参照_武将'!A:A,'参照_武将'!B:B,"見つかりません"))</f>
      </c>
      <c r="C2450" s="4" t="s">
        <v>313</v>
      </c>
      <c r="D2450" s="4">
        <v>65</v>
      </c>
      <c r="E2450" s="12" t="str">
        <f t="array" ref="E2450">IF(D2450:D6492="","",IFERROR(_xlfn.XLOOKUP(D2450:D6492,'参照_勢力'!A:A,'参照_勢力'!B:B),IFERROR(_xlfn.XLOOKUP(F2450:F6492,kunishuClan!A:A,kunishuClan!B:B),"浪人")))</f>
      </c>
      <c r="F2450" s="4">
        <v>0</v>
      </c>
      <c r="G2450" s="4">
        <v>178</v>
      </c>
      <c r="H2450" s="12" t="str">
        <f t="array" ref="H2450">IF(G2450:G6492="","",_xlfn.XLOOKUP(G2450:G6492,castles_state!A:A,castles_state!D:D,"見つかりません"))</f>
      </c>
      <c r="I2450" s="4"/>
      <c r="J2450" s="12" t="str">
        <f t="array" ref="J2450">IF(I2450:I6492="","",_xlfn.XLOOKUP(I2450:I6492,'参照_姫'!A:A,'参照_姫'!B:B,"見つかりません"))</f>
      </c>
      <c r="K2450" s="4">
        <v>95</v>
      </c>
      <c r="L2450" s="4">
        <v>0</v>
      </c>
      <c r="M2450" s="4"/>
      <c r="N2450" s="4"/>
      <c r="O2450" s="4"/>
      <c r="P2450" s="12" t="str">
        <f t="array" ref="P2450">IF(O2450:O6492="","",_xlfn.XLOOKUP(O2450:O6492,'参照_官位'!A:A,'参照_官位'!B:B,""))</f>
      </c>
      <c r="Q2450" s="12" t="str">
        <f t="array" ref="Q2450">IF(A2450:A6492="","",IFERROR(_xlfn.XLOOKUP(A2450:A6492,castles_state!K:K,castles_state!D:D)&amp;"主",IFERROR(_xlfn.XLOOKUP(A2450:A6492,kunishuClan!D:D,kunishuClan!B:B)&amp;"当主","")))</f>
      </c>
    </row>
    <row r="2451" ht="15.75" customHeight="1">
      <c r="A2451" s="4">
        <v>1065006</v>
      </c>
      <c r="B2451" s="12" t="str">
        <f t="array" ref="B2451">IF(A2451:A6493="","",_xlfn.XLOOKUP(A2451:A6493,'参照_武将'!A:A,'参照_武将'!B:B,"見つかりません"))</f>
      </c>
      <c r="C2451" s="4" t="s">
        <v>313</v>
      </c>
      <c r="D2451" s="4">
        <v>65</v>
      </c>
      <c r="E2451" s="12" t="str">
        <f t="array" ref="E2451">IF(D2451:D6493="","",IFERROR(_xlfn.XLOOKUP(D2451:D6493,'参照_勢力'!A:A,'参照_勢力'!B:B),IFERROR(_xlfn.XLOOKUP(F2451:F6493,kunishuClan!A:A,kunishuClan!B:B),"浪人")))</f>
      </c>
      <c r="F2451" s="4">
        <v>0</v>
      </c>
      <c r="G2451" s="4">
        <v>178</v>
      </c>
      <c r="H2451" s="12" t="str">
        <f t="array" ref="H2451">IF(G2451:G6493="","",_xlfn.XLOOKUP(G2451:G6493,castles_state!A:A,castles_state!D:D,"見つかりません"))</f>
      </c>
      <c r="I2451" s="4"/>
      <c r="J2451" s="12" t="str">
        <f t="array" ref="J2451">IF(I2451:I6493="","",_xlfn.XLOOKUP(I2451:I6493,'参照_姫'!A:A,'参照_姫'!B:B,"見つかりません"))</f>
      </c>
      <c r="K2451" s="4">
        <v>95</v>
      </c>
      <c r="L2451" s="4">
        <v>0</v>
      </c>
      <c r="M2451" s="4"/>
      <c r="N2451" s="4"/>
      <c r="O2451" s="4"/>
      <c r="P2451" s="12" t="str">
        <f t="array" ref="P2451">IF(O2451:O6493="","",_xlfn.XLOOKUP(O2451:O6493,'参照_官位'!A:A,'参照_官位'!B:B,""))</f>
      </c>
      <c r="Q2451" s="12" t="str">
        <f t="array" ref="Q2451">IF(A2451:A6493="","",IFERROR(_xlfn.XLOOKUP(A2451:A6493,castles_state!K:K,castles_state!D:D)&amp;"主",IFERROR(_xlfn.XLOOKUP(A2451:A6493,kunishuClan!D:D,kunishuClan!B:B)&amp;"当主","")))</f>
      </c>
    </row>
    <row r="2452" ht="15.75" customHeight="1">
      <c r="A2452" s="4">
        <v>1065007</v>
      </c>
      <c r="B2452" s="12" t="str">
        <f t="array" ref="B2452">IF(A2452:A6494="","",_xlfn.XLOOKUP(A2452:A6494,'参照_武将'!A:A,'参照_武将'!B:B,"見つかりません"))</f>
      </c>
      <c r="C2452" s="4" t="s">
        <v>313</v>
      </c>
      <c r="D2452" s="4">
        <v>65</v>
      </c>
      <c r="E2452" s="12" t="str">
        <f t="array" ref="E2452">IF(D2452:D6494="","",IFERROR(_xlfn.XLOOKUP(D2452:D6494,'参照_勢力'!A:A,'参照_勢力'!B:B),IFERROR(_xlfn.XLOOKUP(F2452:F6494,kunishuClan!A:A,kunishuClan!B:B),"浪人")))</f>
      </c>
      <c r="F2452" s="4">
        <v>0</v>
      </c>
      <c r="G2452" s="4">
        <v>178</v>
      </c>
      <c r="H2452" s="12" t="str">
        <f t="array" ref="H2452">IF(G2452:G6494="","",_xlfn.XLOOKUP(G2452:G6494,castles_state!A:A,castles_state!D:D,"見つかりません"))</f>
      </c>
      <c r="I2452" s="4"/>
      <c r="J2452" s="12" t="str">
        <f t="array" ref="J2452">IF(I2452:I6494="","",_xlfn.XLOOKUP(I2452:I6494,'参照_姫'!A:A,'参照_姫'!B:B,"見つかりません"))</f>
      </c>
      <c r="K2452" s="4">
        <v>95</v>
      </c>
      <c r="L2452" s="4">
        <v>0</v>
      </c>
      <c r="M2452" s="4"/>
      <c r="N2452" s="4"/>
      <c r="O2452" s="4"/>
      <c r="P2452" s="12" t="str">
        <f t="array" ref="P2452">IF(O2452:O6494="","",_xlfn.XLOOKUP(O2452:O6494,'参照_官位'!A:A,'参照_官位'!B:B,""))</f>
      </c>
      <c r="Q2452" s="12" t="str">
        <f t="array" ref="Q2452">IF(A2452:A6494="","",IFERROR(_xlfn.XLOOKUP(A2452:A6494,castles_state!K:K,castles_state!D:D)&amp;"主",IFERROR(_xlfn.XLOOKUP(A2452:A6494,kunishuClan!D:D,kunishuClan!B:B)&amp;"当主","")))</f>
      </c>
    </row>
    <row r="2453" ht="15.75" customHeight="1">
      <c r="A2453" s="4">
        <v>1065008</v>
      </c>
      <c r="B2453" s="12" t="str">
        <f t="array" ref="B2453">IF(A2453:A6495="","",_xlfn.XLOOKUP(A2453:A6495,'参照_武将'!A:A,'参照_武将'!B:B,"見つかりません"))</f>
      </c>
      <c r="C2453" s="4" t="s">
        <v>313</v>
      </c>
      <c r="D2453" s="4">
        <v>65</v>
      </c>
      <c r="E2453" s="12" t="str">
        <f t="array" ref="E2453">IF(D2453:D6495="","",IFERROR(_xlfn.XLOOKUP(D2453:D6495,'参照_勢力'!A:A,'参照_勢力'!B:B),IFERROR(_xlfn.XLOOKUP(F2453:F6495,kunishuClan!A:A,kunishuClan!B:B),"浪人")))</f>
      </c>
      <c r="F2453" s="4">
        <v>0</v>
      </c>
      <c r="G2453" s="4">
        <v>178</v>
      </c>
      <c r="H2453" s="12" t="str">
        <f t="array" ref="H2453">IF(G2453:G6495="","",_xlfn.XLOOKUP(G2453:G6495,castles_state!A:A,castles_state!D:D,"見つかりません"))</f>
      </c>
      <c r="I2453" s="4"/>
      <c r="J2453" s="12" t="str">
        <f t="array" ref="J2453">IF(I2453:I6495="","",_xlfn.XLOOKUP(I2453:I6495,'参照_姫'!A:A,'参照_姫'!B:B,"見つかりません"))</f>
      </c>
      <c r="K2453" s="4">
        <v>95</v>
      </c>
      <c r="L2453" s="4">
        <v>0</v>
      </c>
      <c r="M2453" s="4"/>
      <c r="N2453" s="4"/>
      <c r="O2453" s="4"/>
      <c r="P2453" s="12" t="str">
        <f t="array" ref="P2453">IF(O2453:O6495="","",_xlfn.XLOOKUP(O2453:O6495,'参照_官位'!A:A,'参照_官位'!B:B,""))</f>
      </c>
      <c r="Q2453" s="12" t="str">
        <f t="array" ref="Q2453">IF(A2453:A6495="","",IFERROR(_xlfn.XLOOKUP(A2453:A6495,castles_state!K:K,castles_state!D:D)&amp;"主",IFERROR(_xlfn.XLOOKUP(A2453:A6495,kunishuClan!D:D,kunishuClan!B:B)&amp;"当主","")))</f>
      </c>
    </row>
    <row r="2454" ht="15.75" customHeight="1">
      <c r="A2454" s="4">
        <v>1065009</v>
      </c>
      <c r="B2454" s="12" t="str">
        <f t="array" ref="B2454">IF(A2454:A6496="","",_xlfn.XLOOKUP(A2454:A6496,'参照_武将'!A:A,'参照_武将'!B:B,"見つかりません"))</f>
      </c>
      <c r="C2454" s="4" t="s">
        <v>313</v>
      </c>
      <c r="D2454" s="4">
        <v>65</v>
      </c>
      <c r="E2454" s="12" t="str">
        <f t="array" ref="E2454">IF(D2454:D6496="","",IFERROR(_xlfn.XLOOKUP(D2454:D6496,'参照_勢力'!A:A,'参照_勢力'!B:B),IFERROR(_xlfn.XLOOKUP(F2454:F6496,kunishuClan!A:A,kunishuClan!B:B),"浪人")))</f>
      </c>
      <c r="F2454" s="4">
        <v>0</v>
      </c>
      <c r="G2454" s="4">
        <v>178</v>
      </c>
      <c r="H2454" s="12" t="str">
        <f t="array" ref="H2454">IF(G2454:G6496="","",_xlfn.XLOOKUP(G2454:G6496,castles_state!A:A,castles_state!D:D,"見つかりません"))</f>
      </c>
      <c r="I2454" s="4"/>
      <c r="J2454" s="12" t="str">
        <f t="array" ref="J2454">IF(I2454:I6496="","",_xlfn.XLOOKUP(I2454:I6496,'参照_姫'!A:A,'参照_姫'!B:B,"見つかりません"))</f>
      </c>
      <c r="K2454" s="4">
        <v>95</v>
      </c>
      <c r="L2454" s="4">
        <v>0</v>
      </c>
      <c r="M2454" s="4"/>
      <c r="N2454" s="4"/>
      <c r="O2454" s="4"/>
      <c r="P2454" s="12" t="str">
        <f t="array" ref="P2454">IF(O2454:O6496="","",_xlfn.XLOOKUP(O2454:O6496,'参照_官位'!A:A,'参照_官位'!B:B,""))</f>
      </c>
      <c r="Q2454" s="12" t="str">
        <f t="array" ref="Q2454">IF(A2454:A6496="","",IFERROR(_xlfn.XLOOKUP(A2454:A6496,castles_state!K:K,castles_state!D:D)&amp;"主",IFERROR(_xlfn.XLOOKUP(A2454:A6496,kunishuClan!D:D,kunishuClan!B:B)&amp;"当主","")))</f>
      </c>
    </row>
    <row r="2455" ht="15.75" customHeight="1">
      <c r="A2455" s="4">
        <v>1065010</v>
      </c>
      <c r="B2455" s="12" t="str">
        <f t="array" ref="B2455">IF(A2455:A6497="","",_xlfn.XLOOKUP(A2455:A6497,'参照_武将'!A:A,'参照_武将'!B:B,"見つかりません"))</f>
      </c>
      <c r="C2455" s="4" t="s">
        <v>313</v>
      </c>
      <c r="D2455" s="4">
        <v>65</v>
      </c>
      <c r="E2455" s="12" t="str">
        <f t="array" ref="E2455">IF(D2455:D6497="","",IFERROR(_xlfn.XLOOKUP(D2455:D6497,'参照_勢力'!A:A,'参照_勢力'!B:B),IFERROR(_xlfn.XLOOKUP(F2455:F6497,kunishuClan!A:A,kunishuClan!B:B),"浪人")))</f>
      </c>
      <c r="F2455" s="4">
        <v>0</v>
      </c>
      <c r="G2455" s="4">
        <v>178</v>
      </c>
      <c r="H2455" s="12" t="str">
        <f t="array" ref="H2455">IF(G2455:G6497="","",_xlfn.XLOOKUP(G2455:G6497,castles_state!A:A,castles_state!D:D,"見つかりません"))</f>
      </c>
      <c r="I2455" s="4"/>
      <c r="J2455" s="12" t="str">
        <f t="array" ref="J2455">IF(I2455:I6497="","",_xlfn.XLOOKUP(I2455:I6497,'参照_姫'!A:A,'参照_姫'!B:B,"見つかりません"))</f>
      </c>
      <c r="K2455" s="4">
        <v>95</v>
      </c>
      <c r="L2455" s="4">
        <v>0</v>
      </c>
      <c r="M2455" s="4"/>
      <c r="N2455" s="4"/>
      <c r="O2455" s="4"/>
      <c r="P2455" s="12" t="str">
        <f t="array" ref="P2455">IF(O2455:O6497="","",_xlfn.XLOOKUP(O2455:O6497,'参照_官位'!A:A,'参照_官位'!B:B,""))</f>
      </c>
      <c r="Q2455" s="12" t="str">
        <f t="array" ref="Q2455">IF(A2455:A6497="","",IFERROR(_xlfn.XLOOKUP(A2455:A6497,castles_state!K:K,castles_state!D:D)&amp;"主",IFERROR(_xlfn.XLOOKUP(A2455:A6497,kunishuClan!D:D,kunishuClan!B:B)&amp;"当主","")))</f>
      </c>
    </row>
    <row r="2456" ht="15.75" customHeight="1">
      <c r="A2456" s="4">
        <v>1065011</v>
      </c>
      <c r="B2456" s="12" t="str">
        <f t="array" ref="B2456">IF(A2456:A6498="","",_xlfn.XLOOKUP(A2456:A6498,'参照_武将'!A:A,'参照_武将'!B:B,"見つかりません"))</f>
      </c>
      <c r="C2456" s="4" t="s">
        <v>313</v>
      </c>
      <c r="D2456" s="4">
        <v>65</v>
      </c>
      <c r="E2456" s="12" t="str">
        <f t="array" ref="E2456">IF(D2456:D6498="","",IFERROR(_xlfn.XLOOKUP(D2456:D6498,'参照_勢力'!A:A,'参照_勢力'!B:B),IFERROR(_xlfn.XLOOKUP(F2456:F6498,kunishuClan!A:A,kunishuClan!B:B),"浪人")))</f>
      </c>
      <c r="F2456" s="4">
        <v>0</v>
      </c>
      <c r="G2456" s="4">
        <v>178</v>
      </c>
      <c r="H2456" s="12" t="str">
        <f t="array" ref="H2456">IF(G2456:G6498="","",_xlfn.XLOOKUP(G2456:G6498,castles_state!A:A,castles_state!D:D,"見つかりません"))</f>
      </c>
      <c r="I2456" s="4"/>
      <c r="J2456" s="12" t="str">
        <f t="array" ref="J2456">IF(I2456:I6498="","",_xlfn.XLOOKUP(I2456:I6498,'参照_姫'!A:A,'参照_姫'!B:B,"見つかりません"))</f>
      </c>
      <c r="K2456" s="4">
        <v>95</v>
      </c>
      <c r="L2456" s="4">
        <v>0</v>
      </c>
      <c r="M2456" s="4"/>
      <c r="N2456" s="4"/>
      <c r="O2456" s="4"/>
      <c r="P2456" s="12" t="str">
        <f t="array" ref="P2456">IF(O2456:O6498="","",_xlfn.XLOOKUP(O2456:O6498,'参照_官位'!A:A,'参照_官位'!B:B,""))</f>
      </c>
      <c r="Q2456" s="12" t="str">
        <f t="array" ref="Q2456">IF(A2456:A6498="","",IFERROR(_xlfn.XLOOKUP(A2456:A6498,castles_state!K:K,castles_state!D:D)&amp;"主",IFERROR(_xlfn.XLOOKUP(A2456:A6498,kunishuClan!D:D,kunishuClan!B:B)&amp;"当主","")))</f>
      </c>
    </row>
    <row r="2457" ht="15.75" customHeight="1">
      <c r="A2457" s="4">
        <v>1065012</v>
      </c>
      <c r="B2457" s="12" t="str">
        <f t="array" ref="B2457">IF(A2457:A6499="","",_xlfn.XLOOKUP(A2457:A6499,'参照_武将'!A:A,'参照_武将'!B:B,"見つかりません"))</f>
      </c>
      <c r="C2457" s="4" t="s">
        <v>313</v>
      </c>
      <c r="D2457" s="4">
        <v>65</v>
      </c>
      <c r="E2457" s="12" t="str">
        <f t="array" ref="E2457">IF(D2457:D6499="","",IFERROR(_xlfn.XLOOKUP(D2457:D6499,'参照_勢力'!A:A,'参照_勢力'!B:B),IFERROR(_xlfn.XLOOKUP(F2457:F6499,kunishuClan!A:A,kunishuClan!B:B),"浪人")))</f>
      </c>
      <c r="F2457" s="4">
        <v>0</v>
      </c>
      <c r="G2457" s="4">
        <v>178</v>
      </c>
      <c r="H2457" s="12" t="str">
        <f t="array" ref="H2457">IF(G2457:G6499="","",_xlfn.XLOOKUP(G2457:G6499,castles_state!A:A,castles_state!D:D,"見つかりません"))</f>
      </c>
      <c r="I2457" s="4"/>
      <c r="J2457" s="12" t="str">
        <f t="array" ref="J2457">IF(I2457:I6499="","",_xlfn.XLOOKUP(I2457:I6499,'参照_姫'!A:A,'参照_姫'!B:B,"見つかりません"))</f>
      </c>
      <c r="K2457" s="4">
        <v>95</v>
      </c>
      <c r="L2457" s="4">
        <v>0</v>
      </c>
      <c r="M2457" s="4"/>
      <c r="N2457" s="4"/>
      <c r="O2457" s="4"/>
      <c r="P2457" s="12" t="str">
        <f t="array" ref="P2457">IF(O2457:O6499="","",_xlfn.XLOOKUP(O2457:O6499,'参照_官位'!A:A,'参照_官位'!B:B,""))</f>
      </c>
      <c r="Q2457" s="12" t="str">
        <f t="array" ref="Q2457">IF(A2457:A6499="","",IFERROR(_xlfn.XLOOKUP(A2457:A6499,castles_state!K:K,castles_state!D:D)&amp;"主",IFERROR(_xlfn.XLOOKUP(A2457:A6499,kunishuClan!D:D,kunishuClan!B:B)&amp;"当主","")))</f>
      </c>
    </row>
    <row r="2458" ht="15.75" customHeight="1">
      <c r="A2458" s="4">
        <v>1065013</v>
      </c>
      <c r="B2458" s="12" t="str">
        <f t="array" ref="B2458">IF(A2458:A6500="","",_xlfn.XLOOKUP(A2458:A6500,'参照_武将'!A:A,'参照_武将'!B:B,"見つかりません"))</f>
      </c>
      <c r="C2458" s="4" t="s">
        <v>313</v>
      </c>
      <c r="D2458" s="4">
        <v>65</v>
      </c>
      <c r="E2458" s="12" t="str">
        <f t="array" ref="E2458">IF(D2458:D6500="","",IFERROR(_xlfn.XLOOKUP(D2458:D6500,'参照_勢力'!A:A,'参照_勢力'!B:B),IFERROR(_xlfn.XLOOKUP(F2458:F6500,kunishuClan!A:A,kunishuClan!B:B),"浪人")))</f>
      </c>
      <c r="F2458" s="4">
        <v>0</v>
      </c>
      <c r="G2458" s="4">
        <v>178</v>
      </c>
      <c r="H2458" s="12" t="str">
        <f t="array" ref="H2458">IF(G2458:G6500="","",_xlfn.XLOOKUP(G2458:G6500,castles_state!A:A,castles_state!D:D,"見つかりません"))</f>
      </c>
      <c r="I2458" s="4"/>
      <c r="J2458" s="12" t="str">
        <f t="array" ref="J2458">IF(I2458:I6500="","",_xlfn.XLOOKUP(I2458:I6500,'参照_姫'!A:A,'参照_姫'!B:B,"見つかりません"))</f>
      </c>
      <c r="K2458" s="4">
        <v>95</v>
      </c>
      <c r="L2458" s="4">
        <v>500</v>
      </c>
      <c r="M2458" s="4" t="b">
        <v>1</v>
      </c>
      <c r="N2458" s="4"/>
      <c r="O2458" s="4"/>
      <c r="P2458" s="12" t="str">
        <f t="array" ref="P2458">IF(O2458:O6500="","",_xlfn.XLOOKUP(O2458:O6500,'参照_官位'!A:A,'参照_官位'!B:B,""))</f>
      </c>
      <c r="Q2458" s="12" t="str">
        <f t="array" ref="Q2458">IF(A2458:A6500="","",IFERROR(_xlfn.XLOOKUP(A2458:A6500,castles_state!K:K,castles_state!D:D)&amp;"主",IFERROR(_xlfn.XLOOKUP(A2458:A6500,kunishuClan!D:D,kunishuClan!B:B)&amp;"当主","")))</f>
      </c>
    </row>
    <row r="2459" ht="15.75" customHeight="1">
      <c r="A2459" s="4">
        <v>1065014</v>
      </c>
      <c r="B2459" s="12" t="str">
        <f t="array" ref="B2459">IF(A2459:A6501="","",_xlfn.XLOOKUP(A2459:A6501,'参照_武将'!A:A,'参照_武将'!B:B,"見つかりません"))</f>
      </c>
      <c r="C2459" s="4" t="s">
        <v>313</v>
      </c>
      <c r="D2459" s="4">
        <v>65</v>
      </c>
      <c r="E2459" s="12" t="str">
        <f t="array" ref="E2459">IF(D2459:D6501="","",IFERROR(_xlfn.XLOOKUP(D2459:D6501,'参照_勢力'!A:A,'参照_勢力'!B:B),IFERROR(_xlfn.XLOOKUP(F2459:F6501,kunishuClan!A:A,kunishuClan!B:B),"浪人")))</f>
      </c>
      <c r="F2459" s="4">
        <v>0</v>
      </c>
      <c r="G2459" s="4">
        <v>178</v>
      </c>
      <c r="H2459" s="12" t="str">
        <f t="array" ref="H2459">IF(G2459:G6501="","",_xlfn.XLOOKUP(G2459:G6501,castles_state!A:A,castles_state!D:D,"見つかりません"))</f>
      </c>
      <c r="I2459" s="4"/>
      <c r="J2459" s="12" t="str">
        <f t="array" ref="J2459">IF(I2459:I6501="","",_xlfn.XLOOKUP(I2459:I6501,'参照_姫'!A:A,'参照_姫'!B:B,"見つかりません"))</f>
      </c>
      <c r="K2459" s="4">
        <v>95</v>
      </c>
      <c r="L2459" s="4">
        <v>500</v>
      </c>
      <c r="M2459" s="4"/>
      <c r="N2459" s="4"/>
      <c r="O2459" s="4"/>
      <c r="P2459" s="12" t="str">
        <f t="array" ref="P2459">IF(O2459:O6501="","",_xlfn.XLOOKUP(O2459:O6501,'参照_官位'!A:A,'参照_官位'!B:B,""))</f>
      </c>
      <c r="Q2459" s="12" t="str">
        <f t="array" ref="Q2459">IF(A2459:A6501="","",IFERROR(_xlfn.XLOOKUP(A2459:A6501,castles_state!K:K,castles_state!D:D)&amp;"主",IFERROR(_xlfn.XLOOKUP(A2459:A6501,kunishuClan!D:D,kunishuClan!B:B)&amp;"当主","")))</f>
      </c>
    </row>
    <row r="2460" ht="15.75" customHeight="1">
      <c r="A2460" s="4">
        <v>1065015</v>
      </c>
      <c r="B2460" s="12" t="str">
        <f t="array" ref="B2460">IF(A2460:A6502="","",_xlfn.XLOOKUP(A2460:A6502,'参照_武将'!A:A,'参照_武将'!B:B,"見つかりません"))</f>
      </c>
      <c r="C2460" s="4" t="s">
        <v>313</v>
      </c>
      <c r="D2460" s="4">
        <v>65</v>
      </c>
      <c r="E2460" s="12" t="str">
        <f t="array" ref="E2460">IF(D2460:D6502="","",IFERROR(_xlfn.XLOOKUP(D2460:D6502,'参照_勢力'!A:A,'参照_勢力'!B:B),IFERROR(_xlfn.XLOOKUP(F2460:F6502,kunishuClan!A:A,kunishuClan!B:B),"浪人")))</f>
      </c>
      <c r="F2460" s="4">
        <v>0</v>
      </c>
      <c r="G2460" s="4">
        <v>178</v>
      </c>
      <c r="H2460" s="12" t="str">
        <f t="array" ref="H2460">IF(G2460:G6502="","",_xlfn.XLOOKUP(G2460:G6502,castles_state!A:A,castles_state!D:D,"見つかりません"))</f>
      </c>
      <c r="I2460" s="4"/>
      <c r="J2460" s="12" t="str">
        <f t="array" ref="J2460">IF(I2460:I6502="","",_xlfn.XLOOKUP(I2460:I6502,'参照_姫'!A:A,'参照_姫'!B:B,"見つかりません"))</f>
      </c>
      <c r="K2460" s="4">
        <v>95</v>
      </c>
      <c r="L2460" s="4">
        <v>200</v>
      </c>
      <c r="M2460" s="4"/>
      <c r="N2460" s="4"/>
      <c r="O2460" s="4"/>
      <c r="P2460" s="12" t="str">
        <f t="array" ref="P2460">IF(O2460:O6502="","",_xlfn.XLOOKUP(O2460:O6502,'参照_官位'!A:A,'参照_官位'!B:B,""))</f>
      </c>
      <c r="Q2460" s="12" t="str">
        <f t="array" ref="Q2460">IF(A2460:A6502="","",IFERROR(_xlfn.XLOOKUP(A2460:A6502,castles_state!K:K,castles_state!D:D)&amp;"主",IFERROR(_xlfn.XLOOKUP(A2460:A6502,kunishuClan!D:D,kunishuClan!B:B)&amp;"当主","")))</f>
      </c>
    </row>
    <row r="2461" ht="15.75" customHeight="1">
      <c r="A2461" s="4">
        <v>1066001</v>
      </c>
      <c r="B2461" s="12" t="str">
        <f t="array" ref="B2461">IF(A2461:A6503="","",_xlfn.XLOOKUP(A2461:A6503,'参照_武将'!A:A,'参照_武将'!B:B,"見つかりません"))</f>
      </c>
      <c r="C2461" s="4" t="s">
        <v>317</v>
      </c>
      <c r="D2461" s="4">
        <v>66</v>
      </c>
      <c r="E2461" s="12" t="str">
        <f t="array" ref="E2461">IF(D2461:D6503="","",IFERROR(_xlfn.XLOOKUP(D2461:D6503,'参照_勢力'!A:A,'参照_勢力'!B:B),IFERROR(_xlfn.XLOOKUP(F2461:F6503,kunishuClan!A:A,kunishuClan!B:B),"浪人")))</f>
      </c>
      <c r="F2461" s="4">
        <v>0</v>
      </c>
      <c r="G2461" s="4">
        <v>83</v>
      </c>
      <c r="H2461" s="12" t="str">
        <f t="array" ref="H2461">IF(G2461:G6503="","",_xlfn.XLOOKUP(G2461:G6503,castles_state!A:A,castles_state!D:D,"見つかりません"))</f>
      </c>
      <c r="I2461" s="4"/>
      <c r="J2461" s="12" t="str">
        <f t="array" ref="J2461">IF(I2461:I6503="","",_xlfn.XLOOKUP(I2461:I6503,'参照_姫'!A:A,'参照_姫'!B:B,"見つかりません"))</f>
      </c>
      <c r="K2461" s="4">
        <v>95</v>
      </c>
      <c r="L2461" s="4">
        <v>500</v>
      </c>
      <c r="M2461" s="4"/>
      <c r="N2461" s="4"/>
      <c r="O2461" s="4"/>
      <c r="P2461" s="12" t="str">
        <f t="array" ref="P2461">IF(O2461:O6503="","",_xlfn.XLOOKUP(O2461:O6503,'参照_官位'!A:A,'参照_官位'!B:B,""))</f>
      </c>
      <c r="Q2461" s="12" t="str">
        <f t="array" ref="Q2461">IF(A2461:A6503="","",IFERROR(_xlfn.XLOOKUP(A2461:A6503,castles_state!K:K,castles_state!D:D)&amp;"主",IFERROR(_xlfn.XLOOKUP(A2461:A6503,kunishuClan!D:D,kunishuClan!B:B)&amp;"当主","")))</f>
      </c>
    </row>
    <row r="2462" ht="15.75" customHeight="1">
      <c r="A2462" s="4">
        <v>1066002</v>
      </c>
      <c r="B2462" s="12" t="str">
        <f t="array" ref="B2462">IF(A2462:A6504="","",_xlfn.XLOOKUP(A2462:A6504,'参照_武将'!A:A,'参照_武将'!B:B,"見つかりません"))</f>
      </c>
      <c r="C2462" s="4" t="s">
        <v>317</v>
      </c>
      <c r="D2462" s="4">
        <v>66</v>
      </c>
      <c r="E2462" s="12" t="str">
        <f t="array" ref="E2462">IF(D2462:D6504="","",IFERROR(_xlfn.XLOOKUP(D2462:D6504,'参照_勢力'!A:A,'参照_勢力'!B:B),IFERROR(_xlfn.XLOOKUP(F2462:F6504,kunishuClan!A:A,kunishuClan!B:B),"浪人")))</f>
      </c>
      <c r="F2462" s="4">
        <v>0</v>
      </c>
      <c r="G2462" s="4">
        <v>83</v>
      </c>
      <c r="H2462" s="12" t="str">
        <f t="array" ref="H2462">IF(G2462:G6504="","",_xlfn.XLOOKUP(G2462:G6504,castles_state!A:A,castles_state!D:D,"見つかりません"))</f>
      </c>
      <c r="I2462" s="4"/>
      <c r="J2462" s="12" t="str">
        <f t="array" ref="J2462">IF(I2462:I6504="","",_xlfn.XLOOKUP(I2462:I6504,'参照_姫'!A:A,'参照_姫'!B:B,"見つかりません"))</f>
      </c>
      <c r="K2462" s="4">
        <v>95</v>
      </c>
      <c r="L2462" s="4">
        <v>0</v>
      </c>
      <c r="M2462" s="4"/>
      <c r="N2462" s="4"/>
      <c r="O2462" s="4"/>
      <c r="P2462" s="12" t="str">
        <f t="array" ref="P2462">IF(O2462:O6504="","",_xlfn.XLOOKUP(O2462:O6504,'参照_官位'!A:A,'参照_官位'!B:B,""))</f>
      </c>
      <c r="Q2462" s="12" t="str">
        <f t="array" ref="Q2462">IF(A2462:A6504="","",IFERROR(_xlfn.XLOOKUP(A2462:A6504,castles_state!K:K,castles_state!D:D)&amp;"主",IFERROR(_xlfn.XLOOKUP(A2462:A6504,kunishuClan!D:D,kunishuClan!B:B)&amp;"当主","")))</f>
      </c>
    </row>
    <row r="2463" ht="15.75" customHeight="1">
      <c r="A2463" s="4">
        <v>1066003</v>
      </c>
      <c r="B2463" s="12" t="str">
        <f t="array" ref="B2463">IF(A2463:A6505="","",_xlfn.XLOOKUP(A2463:A6505,'参照_武将'!A:A,'参照_武将'!B:B,"見つかりません"))</f>
      </c>
      <c r="C2463" s="4" t="s">
        <v>317</v>
      </c>
      <c r="D2463" s="4">
        <v>66</v>
      </c>
      <c r="E2463" s="12" t="str">
        <f t="array" ref="E2463">IF(D2463:D6505="","",IFERROR(_xlfn.XLOOKUP(D2463:D6505,'参照_勢力'!A:A,'参照_勢力'!B:B),IFERROR(_xlfn.XLOOKUP(F2463:F6505,kunishuClan!A:A,kunishuClan!B:B),"浪人")))</f>
      </c>
      <c r="F2463" s="4">
        <v>0</v>
      </c>
      <c r="G2463" s="4">
        <v>83</v>
      </c>
      <c r="H2463" s="12" t="str">
        <f t="array" ref="H2463">IF(G2463:G6505="","",_xlfn.XLOOKUP(G2463:G6505,castles_state!A:A,castles_state!D:D,"見つかりません"))</f>
      </c>
      <c r="I2463" s="4"/>
      <c r="J2463" s="12" t="str">
        <f t="array" ref="J2463">IF(I2463:I6505="","",_xlfn.XLOOKUP(I2463:I6505,'参照_姫'!A:A,'参照_姫'!B:B,"見つかりません"))</f>
      </c>
      <c r="K2463" s="4">
        <v>95</v>
      </c>
      <c r="L2463" s="4">
        <v>0</v>
      </c>
      <c r="M2463" s="4"/>
      <c r="N2463" s="4"/>
      <c r="O2463" s="4"/>
      <c r="P2463" s="12" t="str">
        <f t="array" ref="P2463">IF(O2463:O6505="","",_xlfn.XLOOKUP(O2463:O6505,'参照_官位'!A:A,'参照_官位'!B:B,""))</f>
      </c>
      <c r="Q2463" s="12" t="str">
        <f t="array" ref="Q2463">IF(A2463:A6505="","",IFERROR(_xlfn.XLOOKUP(A2463:A6505,castles_state!K:K,castles_state!D:D)&amp;"主",IFERROR(_xlfn.XLOOKUP(A2463:A6505,kunishuClan!D:D,kunishuClan!B:B)&amp;"当主","")))</f>
      </c>
    </row>
    <row r="2464" ht="15.75" customHeight="1">
      <c r="A2464" s="4">
        <v>1066004</v>
      </c>
      <c r="B2464" s="12" t="str">
        <f t="array" ref="B2464">IF(A2464:A6506="","",_xlfn.XLOOKUP(A2464:A6506,'参照_武将'!A:A,'参照_武将'!B:B,"見つかりません"))</f>
      </c>
      <c r="C2464" s="4" t="s">
        <v>317</v>
      </c>
      <c r="D2464" s="4">
        <v>66</v>
      </c>
      <c r="E2464" s="12" t="str">
        <f t="array" ref="E2464">IF(D2464:D6506="","",IFERROR(_xlfn.XLOOKUP(D2464:D6506,'参照_勢力'!A:A,'参照_勢力'!B:B),IFERROR(_xlfn.XLOOKUP(F2464:F6506,kunishuClan!A:A,kunishuClan!B:B),"浪人")))</f>
      </c>
      <c r="F2464" s="4">
        <v>0</v>
      </c>
      <c r="G2464" s="4">
        <v>83</v>
      </c>
      <c r="H2464" s="12" t="str">
        <f t="array" ref="H2464">IF(G2464:G6506="","",_xlfn.XLOOKUP(G2464:G6506,castles_state!A:A,castles_state!D:D,"見つかりません"))</f>
      </c>
      <c r="I2464" s="4"/>
      <c r="J2464" s="12" t="str">
        <f t="array" ref="J2464">IF(I2464:I6506="","",_xlfn.XLOOKUP(I2464:I6506,'参照_姫'!A:A,'参照_姫'!B:B,"見つかりません"))</f>
      </c>
      <c r="K2464" s="4">
        <v>100</v>
      </c>
      <c r="L2464" s="4">
        <v>1500</v>
      </c>
      <c r="M2464" s="4"/>
      <c r="N2464" s="4"/>
      <c r="O2464" s="4"/>
      <c r="P2464" s="12" t="str">
        <f t="array" ref="P2464">IF(O2464:O6506="","",_xlfn.XLOOKUP(O2464:O6506,'参照_官位'!A:A,'参照_官位'!B:B,""))</f>
      </c>
      <c r="Q2464" s="12" t="str">
        <f t="array" ref="Q2464">IF(A2464:A6506="","",IFERROR(_xlfn.XLOOKUP(A2464:A6506,castles_state!K:K,castles_state!D:D)&amp;"主",IFERROR(_xlfn.XLOOKUP(A2464:A6506,kunishuClan!D:D,kunishuClan!B:B)&amp;"当主","")))</f>
      </c>
    </row>
    <row r="2465" ht="15.75" customHeight="1">
      <c r="A2465" s="4">
        <v>1066005</v>
      </c>
      <c r="B2465" s="12" t="str">
        <f t="array" ref="B2465">IF(A2465:A6507="","",_xlfn.XLOOKUP(A2465:A6507,'参照_武将'!A:A,'参照_武将'!B:B,"見つかりません"))</f>
      </c>
      <c r="C2465" s="4" t="s">
        <v>317</v>
      </c>
      <c r="D2465" s="4">
        <v>66</v>
      </c>
      <c r="E2465" s="12" t="str">
        <f t="array" ref="E2465">IF(D2465:D6507="","",IFERROR(_xlfn.XLOOKUP(D2465:D6507,'参照_勢力'!A:A,'参照_勢力'!B:B),IFERROR(_xlfn.XLOOKUP(F2465:F6507,kunishuClan!A:A,kunishuClan!B:B),"浪人")))</f>
      </c>
      <c r="F2465" s="4">
        <v>0</v>
      </c>
      <c r="G2465" s="4">
        <v>83</v>
      </c>
      <c r="H2465" s="12" t="str">
        <f t="array" ref="H2465">IF(G2465:G6507="","",_xlfn.XLOOKUP(G2465:G6507,castles_state!A:A,castles_state!D:D,"見つかりません"))</f>
      </c>
      <c r="I2465" s="4"/>
      <c r="J2465" s="12" t="str">
        <f t="array" ref="J2465">IF(I2465:I6507="","",_xlfn.XLOOKUP(I2465:I6507,'参照_姫'!A:A,'参照_姫'!B:B,"見つかりません"))</f>
      </c>
      <c r="K2465" s="4">
        <v>95</v>
      </c>
      <c r="L2465" s="4">
        <v>500</v>
      </c>
      <c r="M2465" s="4"/>
      <c r="N2465" s="4"/>
      <c r="O2465" s="4"/>
      <c r="P2465" s="12" t="str">
        <f t="array" ref="P2465">IF(O2465:O6507="","",_xlfn.XLOOKUP(O2465:O6507,'参照_官位'!A:A,'参照_官位'!B:B,""))</f>
      </c>
      <c r="Q2465" s="12" t="str">
        <f t="array" ref="Q2465">IF(A2465:A6507="","",IFERROR(_xlfn.XLOOKUP(A2465:A6507,castles_state!K:K,castles_state!D:D)&amp;"主",IFERROR(_xlfn.XLOOKUP(A2465:A6507,kunishuClan!D:D,kunishuClan!B:B)&amp;"当主","")))</f>
      </c>
    </row>
    <row r="2466" ht="15.75" customHeight="1">
      <c r="A2466" s="4">
        <v>1066006</v>
      </c>
      <c r="B2466" s="12" t="str">
        <f t="array" ref="B2466">IF(A2466:A6508="","",_xlfn.XLOOKUP(A2466:A6508,'参照_武将'!A:A,'参照_武将'!B:B,"見つかりません"))</f>
      </c>
      <c r="C2466" s="4" t="s">
        <v>317</v>
      </c>
      <c r="D2466" s="4">
        <v>66</v>
      </c>
      <c r="E2466" s="12" t="str">
        <f t="array" ref="E2466">IF(D2466:D6508="","",IFERROR(_xlfn.XLOOKUP(D2466:D6508,'参照_勢力'!A:A,'参照_勢力'!B:B),IFERROR(_xlfn.XLOOKUP(F2466:F6508,kunishuClan!A:A,kunishuClan!B:B),"浪人")))</f>
      </c>
      <c r="F2466" s="4">
        <v>0</v>
      </c>
      <c r="G2466" s="4">
        <v>83</v>
      </c>
      <c r="H2466" s="12" t="str">
        <f t="array" ref="H2466">IF(G2466:G6508="","",_xlfn.XLOOKUP(G2466:G6508,castles_state!A:A,castles_state!D:D,"見つかりません"))</f>
      </c>
      <c r="I2466" s="4"/>
      <c r="J2466" s="12" t="str">
        <f t="array" ref="J2466">IF(I2466:I6508="","",_xlfn.XLOOKUP(I2466:I6508,'参照_姫'!A:A,'参照_姫'!B:B,"見つかりません"))</f>
      </c>
      <c r="K2466" s="4">
        <v>95</v>
      </c>
      <c r="L2466" s="4">
        <v>200</v>
      </c>
      <c r="M2466" s="4"/>
      <c r="N2466" s="4"/>
      <c r="O2466" s="4"/>
      <c r="P2466" s="12" t="str">
        <f t="array" ref="P2466">IF(O2466:O6508="","",_xlfn.XLOOKUP(O2466:O6508,'参照_官位'!A:A,'参照_官位'!B:B,""))</f>
      </c>
      <c r="Q2466" s="12" t="str">
        <f t="array" ref="Q2466">IF(A2466:A6508="","",IFERROR(_xlfn.XLOOKUP(A2466:A6508,castles_state!K:K,castles_state!D:D)&amp;"主",IFERROR(_xlfn.XLOOKUP(A2466:A6508,kunishuClan!D:D,kunishuClan!B:B)&amp;"当主","")))</f>
      </c>
    </row>
    <row r="2467" ht="15.75" customHeight="1">
      <c r="A2467" s="4">
        <v>1066007</v>
      </c>
      <c r="B2467" s="12" t="str">
        <f t="array" ref="B2467">IF(A2467:A6509="","",_xlfn.XLOOKUP(A2467:A6509,'参照_武将'!A:A,'参照_武将'!B:B,"見つかりません"))</f>
      </c>
      <c r="C2467" s="4" t="s">
        <v>317</v>
      </c>
      <c r="D2467" s="4">
        <v>66</v>
      </c>
      <c r="E2467" s="12" t="str">
        <f t="array" ref="E2467">IF(D2467:D6509="","",IFERROR(_xlfn.XLOOKUP(D2467:D6509,'参照_勢力'!A:A,'参照_勢力'!B:B),IFERROR(_xlfn.XLOOKUP(F2467:F6509,kunishuClan!A:A,kunishuClan!B:B),"浪人")))</f>
      </c>
      <c r="F2467" s="4">
        <v>0</v>
      </c>
      <c r="G2467" s="4">
        <v>83</v>
      </c>
      <c r="H2467" s="12" t="str">
        <f t="array" ref="H2467">IF(G2467:G6509="","",_xlfn.XLOOKUP(G2467:G6509,castles_state!A:A,castles_state!D:D,"見つかりません"))</f>
      </c>
      <c r="I2467" s="4"/>
      <c r="J2467" s="12" t="str">
        <f t="array" ref="J2467">IF(I2467:I6509="","",_xlfn.XLOOKUP(I2467:I6509,'参照_姫'!A:A,'参照_姫'!B:B,"見つかりません"))</f>
      </c>
      <c r="K2467" s="4">
        <v>95</v>
      </c>
      <c r="L2467" s="4">
        <v>500</v>
      </c>
      <c r="M2467" s="4"/>
      <c r="N2467" s="4"/>
      <c r="O2467" s="4"/>
      <c r="P2467" s="12" t="str">
        <f t="array" ref="P2467">IF(O2467:O6509="","",_xlfn.XLOOKUP(O2467:O6509,'参照_官位'!A:A,'参照_官位'!B:B,""))</f>
      </c>
      <c r="Q2467" s="12" t="str">
        <f t="array" ref="Q2467">IF(A2467:A6509="","",IFERROR(_xlfn.XLOOKUP(A2467:A6509,castles_state!K:K,castles_state!D:D)&amp;"主",IFERROR(_xlfn.XLOOKUP(A2467:A6509,kunishuClan!D:D,kunishuClan!B:B)&amp;"当主","")))</f>
      </c>
    </row>
    <row r="2468" ht="15.75" customHeight="1">
      <c r="A2468" s="4">
        <v>1066008</v>
      </c>
      <c r="B2468" s="12" t="str">
        <f t="array" ref="B2468">IF(A2468:A6510="","",_xlfn.XLOOKUP(A2468:A6510,'参照_武将'!A:A,'参照_武将'!B:B,"見つかりません"))</f>
      </c>
      <c r="C2468" s="4" t="s">
        <v>317</v>
      </c>
      <c r="D2468" s="4">
        <v>66</v>
      </c>
      <c r="E2468" s="12" t="str">
        <f t="array" ref="E2468">IF(D2468:D6510="","",IFERROR(_xlfn.XLOOKUP(D2468:D6510,'参照_勢力'!A:A,'参照_勢力'!B:B),IFERROR(_xlfn.XLOOKUP(F2468:F6510,kunishuClan!A:A,kunishuClan!B:B),"浪人")))</f>
      </c>
      <c r="F2468" s="4">
        <v>0</v>
      </c>
      <c r="G2468" s="4">
        <v>83</v>
      </c>
      <c r="H2468" s="12" t="str">
        <f t="array" ref="H2468">IF(G2468:G6510="","",_xlfn.XLOOKUP(G2468:G6510,castles_state!A:A,castles_state!D:D,"見つかりません"))</f>
      </c>
      <c r="I2468" s="4"/>
      <c r="J2468" s="12" t="str">
        <f t="array" ref="J2468">IF(I2468:I6510="","",_xlfn.XLOOKUP(I2468:I6510,'参照_姫'!A:A,'参照_姫'!B:B,"見つかりません"))</f>
      </c>
      <c r="K2468" s="4">
        <v>95</v>
      </c>
      <c r="L2468" s="4">
        <v>0</v>
      </c>
      <c r="M2468" s="4"/>
      <c r="N2468" s="4"/>
      <c r="O2468" s="4"/>
      <c r="P2468" s="12" t="str">
        <f t="array" ref="P2468">IF(O2468:O6510="","",_xlfn.XLOOKUP(O2468:O6510,'参照_官位'!A:A,'参照_官位'!B:B,""))</f>
      </c>
      <c r="Q2468" s="12" t="str">
        <f t="array" ref="Q2468">IF(A2468:A6510="","",IFERROR(_xlfn.XLOOKUP(A2468:A6510,castles_state!K:K,castles_state!D:D)&amp;"主",IFERROR(_xlfn.XLOOKUP(A2468:A6510,kunishuClan!D:D,kunishuClan!B:B)&amp;"当主","")))</f>
      </c>
    </row>
    <row r="2469" ht="15.75" customHeight="1">
      <c r="A2469" s="4">
        <v>1066009</v>
      </c>
      <c r="B2469" s="12" t="str">
        <f t="array" ref="B2469">IF(A2469:A6511="","",_xlfn.XLOOKUP(A2469:A6511,'参照_武将'!A:A,'参照_武将'!B:B,"見つかりません"))</f>
      </c>
      <c r="C2469" s="4" t="s">
        <v>317</v>
      </c>
      <c r="D2469" s="4">
        <v>66</v>
      </c>
      <c r="E2469" s="12" t="str">
        <f t="array" ref="E2469">IF(D2469:D6511="","",IFERROR(_xlfn.XLOOKUP(D2469:D6511,'参照_勢力'!A:A,'参照_勢力'!B:B),IFERROR(_xlfn.XLOOKUP(F2469:F6511,kunishuClan!A:A,kunishuClan!B:B),"浪人")))</f>
      </c>
      <c r="F2469" s="4">
        <v>0</v>
      </c>
      <c r="G2469" s="4">
        <v>83</v>
      </c>
      <c r="H2469" s="12" t="str">
        <f t="array" ref="H2469">IF(G2469:G6511="","",_xlfn.XLOOKUP(G2469:G6511,castles_state!A:A,castles_state!D:D,"見つかりません"))</f>
      </c>
      <c r="I2469" s="4"/>
      <c r="J2469" s="12" t="str">
        <f t="array" ref="J2469">IF(I2469:I6511="","",_xlfn.XLOOKUP(I2469:I6511,'参照_姫'!A:A,'参照_姫'!B:B,"見つかりません"))</f>
      </c>
      <c r="K2469" s="4">
        <v>95</v>
      </c>
      <c r="L2469" s="4">
        <v>0</v>
      </c>
      <c r="M2469" s="4"/>
      <c r="N2469" s="4"/>
      <c r="O2469" s="4"/>
      <c r="P2469" s="12" t="str">
        <f t="array" ref="P2469">IF(O2469:O6511="","",_xlfn.XLOOKUP(O2469:O6511,'参照_官位'!A:A,'参照_官位'!B:B,""))</f>
      </c>
      <c r="Q2469" s="12" t="str">
        <f t="array" ref="Q2469">IF(A2469:A6511="","",IFERROR(_xlfn.XLOOKUP(A2469:A6511,castles_state!K:K,castles_state!D:D)&amp;"主",IFERROR(_xlfn.XLOOKUP(A2469:A6511,kunishuClan!D:D,kunishuClan!B:B)&amp;"当主","")))</f>
      </c>
    </row>
    <row r="2470" ht="15.75" customHeight="1">
      <c r="A2470" s="4">
        <v>1066010</v>
      </c>
      <c r="B2470" s="12" t="str">
        <f t="array" ref="B2470">IF(A2470:A6512="","",_xlfn.XLOOKUP(A2470:A6512,'参照_武将'!A:A,'参照_武将'!B:B,"見つかりません"))</f>
      </c>
      <c r="C2470" s="4" t="s">
        <v>317</v>
      </c>
      <c r="D2470" s="4">
        <v>66</v>
      </c>
      <c r="E2470" s="12" t="str">
        <f t="array" ref="E2470">IF(D2470:D6512="","",IFERROR(_xlfn.XLOOKUP(D2470:D6512,'参照_勢力'!A:A,'参照_勢力'!B:B),IFERROR(_xlfn.XLOOKUP(F2470:F6512,kunishuClan!A:A,kunishuClan!B:B),"浪人")))</f>
      </c>
      <c r="F2470" s="4">
        <v>0</v>
      </c>
      <c r="G2470" s="4">
        <v>83</v>
      </c>
      <c r="H2470" s="12" t="str">
        <f t="array" ref="H2470">IF(G2470:G6512="","",_xlfn.XLOOKUP(G2470:G6512,castles_state!A:A,castles_state!D:D,"見つかりません"))</f>
      </c>
      <c r="I2470" s="4"/>
      <c r="J2470" s="12" t="str">
        <f t="array" ref="J2470">IF(I2470:I6512="","",_xlfn.XLOOKUP(I2470:I6512,'参照_姫'!A:A,'参照_姫'!B:B,"見つかりません"))</f>
      </c>
      <c r="K2470" s="4">
        <v>95</v>
      </c>
      <c r="L2470" s="4">
        <v>0</v>
      </c>
      <c r="M2470" s="4"/>
      <c r="N2470" s="4"/>
      <c r="O2470" s="4"/>
      <c r="P2470" s="12" t="str">
        <f t="array" ref="P2470">IF(O2470:O6512="","",_xlfn.XLOOKUP(O2470:O6512,'参照_官位'!A:A,'参照_官位'!B:B,""))</f>
      </c>
      <c r="Q2470" s="12" t="str">
        <f t="array" ref="Q2470">IF(A2470:A6512="","",IFERROR(_xlfn.XLOOKUP(A2470:A6512,castles_state!K:K,castles_state!D:D)&amp;"主",IFERROR(_xlfn.XLOOKUP(A2470:A6512,kunishuClan!D:D,kunishuClan!B:B)&amp;"当主","")))</f>
      </c>
    </row>
    <row r="2471" ht="15.75" customHeight="1">
      <c r="A2471" s="4">
        <v>1066011</v>
      </c>
      <c r="B2471" s="12" t="str">
        <f t="array" ref="B2471">IF(A2471:A6513="","",_xlfn.XLOOKUP(A2471:A6513,'参照_武将'!A:A,'参照_武将'!B:B,"見つかりません"))</f>
      </c>
      <c r="C2471" s="4" t="s">
        <v>317</v>
      </c>
      <c r="D2471" s="4">
        <v>66</v>
      </c>
      <c r="E2471" s="12" t="str">
        <f t="array" ref="E2471">IF(D2471:D6513="","",IFERROR(_xlfn.XLOOKUP(D2471:D6513,'参照_勢力'!A:A,'参照_勢力'!B:B),IFERROR(_xlfn.XLOOKUP(F2471:F6513,kunishuClan!A:A,kunishuClan!B:B),"浪人")))</f>
      </c>
      <c r="F2471" s="4">
        <v>0</v>
      </c>
      <c r="G2471" s="4">
        <v>83</v>
      </c>
      <c r="H2471" s="12" t="str">
        <f t="array" ref="H2471">IF(G2471:G6513="","",_xlfn.XLOOKUP(G2471:G6513,castles_state!A:A,castles_state!D:D,"見つかりません"))</f>
      </c>
      <c r="I2471" s="4"/>
      <c r="J2471" s="12" t="str">
        <f t="array" ref="J2471">IF(I2471:I6513="","",_xlfn.XLOOKUP(I2471:I6513,'参照_姫'!A:A,'参照_姫'!B:B,"見つかりません"))</f>
      </c>
      <c r="K2471" s="4">
        <v>95</v>
      </c>
      <c r="L2471" s="4">
        <v>200</v>
      </c>
      <c r="M2471" s="4"/>
      <c r="N2471" s="4"/>
      <c r="O2471" s="4"/>
      <c r="P2471" s="12" t="str">
        <f t="array" ref="P2471">IF(O2471:O6513="","",_xlfn.XLOOKUP(O2471:O6513,'参照_官位'!A:A,'参照_官位'!B:B,""))</f>
      </c>
      <c r="Q2471" s="12" t="str">
        <f t="array" ref="Q2471">IF(A2471:A6513="","",IFERROR(_xlfn.XLOOKUP(A2471:A6513,castles_state!K:K,castles_state!D:D)&amp;"主",IFERROR(_xlfn.XLOOKUP(A2471:A6513,kunishuClan!D:D,kunishuClan!B:B)&amp;"当主","")))</f>
      </c>
    </row>
    <row r="2472" ht="15.75" customHeight="1">
      <c r="A2472" s="4">
        <v>1066012</v>
      </c>
      <c r="B2472" s="12" t="str">
        <f t="array" ref="B2472">IF(A2472:A6514="","",_xlfn.XLOOKUP(A2472:A6514,'参照_武将'!A:A,'参照_武将'!B:B,"見つかりません"))</f>
      </c>
      <c r="C2472" s="4" t="s">
        <v>317</v>
      </c>
      <c r="D2472" s="4">
        <v>66</v>
      </c>
      <c r="E2472" s="12" t="str">
        <f t="array" ref="E2472">IF(D2472:D6514="","",IFERROR(_xlfn.XLOOKUP(D2472:D6514,'参照_勢力'!A:A,'参照_勢力'!B:B),IFERROR(_xlfn.XLOOKUP(F2472:F6514,kunishuClan!A:A,kunishuClan!B:B),"浪人")))</f>
      </c>
      <c r="F2472" s="4">
        <v>0</v>
      </c>
      <c r="G2472" s="4">
        <v>83</v>
      </c>
      <c r="H2472" s="12" t="str">
        <f t="array" ref="H2472">IF(G2472:G6514="","",_xlfn.XLOOKUP(G2472:G6514,castles_state!A:A,castles_state!D:D,"見つかりません"))</f>
      </c>
      <c r="I2472" s="4"/>
      <c r="J2472" s="12" t="str">
        <f t="array" ref="J2472">IF(I2472:I6514="","",_xlfn.XLOOKUP(I2472:I6514,'参照_姫'!A:A,'参照_姫'!B:B,"見つかりません"))</f>
      </c>
      <c r="K2472" s="4">
        <v>95</v>
      </c>
      <c r="L2472" s="4">
        <v>0</v>
      </c>
      <c r="M2472" s="4"/>
      <c r="N2472" s="4"/>
      <c r="O2472" s="4"/>
      <c r="P2472" s="12" t="str">
        <f t="array" ref="P2472">IF(O2472:O6514="","",_xlfn.XLOOKUP(O2472:O6514,'参照_官位'!A:A,'参照_官位'!B:B,""))</f>
      </c>
      <c r="Q2472" s="12" t="str">
        <f t="array" ref="Q2472">IF(A2472:A6514="","",IFERROR(_xlfn.XLOOKUP(A2472:A6514,castles_state!K:K,castles_state!D:D)&amp;"主",IFERROR(_xlfn.XLOOKUP(A2472:A6514,kunishuClan!D:D,kunishuClan!B:B)&amp;"当主","")))</f>
      </c>
    </row>
    <row r="2473" ht="15.75" customHeight="1">
      <c r="A2473" s="4">
        <v>1066013</v>
      </c>
      <c r="B2473" s="12" t="str">
        <f t="array" ref="B2473">IF(A2473:A6515="","",_xlfn.XLOOKUP(A2473:A6515,'参照_武将'!A:A,'参照_武将'!B:B,"見つかりません"))</f>
      </c>
      <c r="C2473" s="4" t="s">
        <v>317</v>
      </c>
      <c r="D2473" s="4">
        <v>66</v>
      </c>
      <c r="E2473" s="12" t="str">
        <f t="array" ref="E2473">IF(D2473:D6515="","",IFERROR(_xlfn.XLOOKUP(D2473:D6515,'参照_勢力'!A:A,'参照_勢力'!B:B),IFERROR(_xlfn.XLOOKUP(F2473:F6515,kunishuClan!A:A,kunishuClan!B:B),"浪人")))</f>
      </c>
      <c r="F2473" s="4">
        <v>0</v>
      </c>
      <c r="G2473" s="4">
        <v>83</v>
      </c>
      <c r="H2473" s="12" t="str">
        <f t="array" ref="H2473">IF(G2473:G6515="","",_xlfn.XLOOKUP(G2473:G6515,castles_state!A:A,castles_state!D:D,"見つかりません"))</f>
      </c>
      <c r="I2473" s="4"/>
      <c r="J2473" s="12" t="str">
        <f t="array" ref="J2473">IF(I2473:I6515="","",_xlfn.XLOOKUP(I2473:I6515,'参照_姫'!A:A,'参照_姫'!B:B,"見つかりません"))</f>
      </c>
      <c r="K2473" s="4">
        <v>95</v>
      </c>
      <c r="L2473" s="4">
        <v>0</v>
      </c>
      <c r="M2473" s="4"/>
      <c r="N2473" s="4"/>
      <c r="O2473" s="4"/>
      <c r="P2473" s="12" t="str">
        <f t="array" ref="P2473">IF(O2473:O6515="","",_xlfn.XLOOKUP(O2473:O6515,'参照_官位'!A:A,'参照_官位'!B:B,""))</f>
      </c>
      <c r="Q2473" s="12" t="str">
        <f t="array" ref="Q2473">IF(A2473:A6515="","",IFERROR(_xlfn.XLOOKUP(A2473:A6515,castles_state!K:K,castles_state!D:D)&amp;"主",IFERROR(_xlfn.XLOOKUP(A2473:A6515,kunishuClan!D:D,kunishuClan!B:B)&amp;"当主","")))</f>
      </c>
    </row>
    <row r="2474" ht="15.75" customHeight="1">
      <c r="A2474" s="4">
        <v>1066014</v>
      </c>
      <c r="B2474" s="12" t="str">
        <f t="array" ref="B2474">IF(A2474:A6516="","",_xlfn.XLOOKUP(A2474:A6516,'参照_武将'!A:A,'参照_武将'!B:B,"見つかりません"))</f>
      </c>
      <c r="C2474" s="4" t="s">
        <v>317</v>
      </c>
      <c r="D2474" s="4">
        <v>66</v>
      </c>
      <c r="E2474" s="12" t="str">
        <f t="array" ref="E2474">IF(D2474:D6516="","",IFERROR(_xlfn.XLOOKUP(D2474:D6516,'参照_勢力'!A:A,'参照_勢力'!B:B),IFERROR(_xlfn.XLOOKUP(F2474:F6516,kunishuClan!A:A,kunishuClan!B:B),"浪人")))</f>
      </c>
      <c r="F2474" s="4">
        <v>0</v>
      </c>
      <c r="G2474" s="4">
        <v>83</v>
      </c>
      <c r="H2474" s="12" t="str">
        <f t="array" ref="H2474">IF(G2474:G6516="","",_xlfn.XLOOKUP(G2474:G6516,castles_state!A:A,castles_state!D:D,"見つかりません"))</f>
      </c>
      <c r="I2474" s="4"/>
      <c r="J2474" s="12" t="str">
        <f t="array" ref="J2474">IF(I2474:I6516="","",_xlfn.XLOOKUP(I2474:I6516,'参照_姫'!A:A,'参照_姫'!B:B,"見つかりません"))</f>
      </c>
      <c r="K2474" s="4">
        <v>95</v>
      </c>
      <c r="L2474" s="4">
        <v>0</v>
      </c>
      <c r="M2474" s="4"/>
      <c r="N2474" s="4"/>
      <c r="O2474" s="4"/>
      <c r="P2474" s="12" t="str">
        <f t="array" ref="P2474">IF(O2474:O6516="","",_xlfn.XLOOKUP(O2474:O6516,'参照_官位'!A:A,'参照_官位'!B:B,""))</f>
      </c>
      <c r="Q2474" s="12" t="str">
        <f t="array" ref="Q2474">IF(A2474:A6516="","",IFERROR(_xlfn.XLOOKUP(A2474:A6516,castles_state!K:K,castles_state!D:D)&amp;"主",IFERROR(_xlfn.XLOOKUP(A2474:A6516,kunishuClan!D:D,kunishuClan!B:B)&amp;"当主","")))</f>
      </c>
    </row>
    <row r="2475" ht="15.75" customHeight="1">
      <c r="A2475" s="4">
        <v>1066015</v>
      </c>
      <c r="B2475" s="12" t="str">
        <f t="array" ref="B2475">IF(A2475:A6517="","",_xlfn.XLOOKUP(A2475:A6517,'参照_武将'!A:A,'参照_武将'!B:B,"見つかりません"))</f>
      </c>
      <c r="C2475" s="4" t="s">
        <v>317</v>
      </c>
      <c r="D2475" s="4">
        <v>66</v>
      </c>
      <c r="E2475" s="12" t="str">
        <f t="array" ref="E2475">IF(D2475:D6517="","",IFERROR(_xlfn.XLOOKUP(D2475:D6517,'参照_勢力'!A:A,'参照_勢力'!B:B),IFERROR(_xlfn.XLOOKUP(F2475:F6517,kunishuClan!A:A,kunishuClan!B:B),"浪人")))</f>
      </c>
      <c r="F2475" s="4">
        <v>0</v>
      </c>
      <c r="G2475" s="4">
        <v>83</v>
      </c>
      <c r="H2475" s="12" t="str">
        <f t="array" ref="H2475">IF(G2475:G6517="","",_xlfn.XLOOKUP(G2475:G6517,castles_state!A:A,castles_state!D:D,"見つかりません"))</f>
      </c>
      <c r="I2475" s="4"/>
      <c r="J2475" s="12" t="str">
        <f t="array" ref="J2475">IF(I2475:I6517="","",_xlfn.XLOOKUP(I2475:I6517,'参照_姫'!A:A,'参照_姫'!B:B,"見つかりません"))</f>
      </c>
      <c r="K2475" s="4">
        <v>95</v>
      </c>
      <c r="L2475" s="4">
        <v>0</v>
      </c>
      <c r="M2475" s="4"/>
      <c r="N2475" s="4"/>
      <c r="O2475" s="4"/>
      <c r="P2475" s="12" t="str">
        <f t="array" ref="P2475">IF(O2475:O6517="","",_xlfn.XLOOKUP(O2475:O6517,'参照_官位'!A:A,'参照_官位'!B:B,""))</f>
      </c>
      <c r="Q2475" s="12" t="str">
        <f t="array" ref="Q2475">IF(A2475:A6517="","",IFERROR(_xlfn.XLOOKUP(A2475:A6517,castles_state!K:K,castles_state!D:D)&amp;"主",IFERROR(_xlfn.XLOOKUP(A2475:A6517,kunishuClan!D:D,kunishuClan!B:B)&amp;"当主","")))</f>
      </c>
    </row>
    <row r="2476" ht="15.75" customHeight="1">
      <c r="A2476" s="4">
        <v>1066016</v>
      </c>
      <c r="B2476" s="12" t="str">
        <f t="array" ref="B2476">IF(A2476:A6518="","",_xlfn.XLOOKUP(A2476:A6518,'参照_武将'!A:A,'参照_武将'!B:B,"見つかりません"))</f>
      </c>
      <c r="C2476" s="4" t="s">
        <v>317</v>
      </c>
      <c r="D2476" s="4">
        <v>66</v>
      </c>
      <c r="E2476" s="12" t="str">
        <f t="array" ref="E2476">IF(D2476:D6518="","",IFERROR(_xlfn.XLOOKUP(D2476:D6518,'参照_勢力'!A:A,'参照_勢力'!B:B),IFERROR(_xlfn.XLOOKUP(F2476:F6518,kunishuClan!A:A,kunishuClan!B:B),"浪人")))</f>
      </c>
      <c r="F2476" s="4">
        <v>0</v>
      </c>
      <c r="G2476" s="4">
        <v>83</v>
      </c>
      <c r="H2476" s="12" t="str">
        <f t="array" ref="H2476">IF(G2476:G6518="","",_xlfn.XLOOKUP(G2476:G6518,castles_state!A:A,castles_state!D:D,"見つかりません"))</f>
      </c>
      <c r="I2476" s="4"/>
      <c r="J2476" s="12" t="str">
        <f t="array" ref="J2476">IF(I2476:I6518="","",_xlfn.XLOOKUP(I2476:I6518,'参照_姫'!A:A,'参照_姫'!B:B,"見つかりません"))</f>
      </c>
      <c r="K2476" s="4">
        <v>95</v>
      </c>
      <c r="L2476" s="4">
        <v>0</v>
      </c>
      <c r="M2476" s="4"/>
      <c r="N2476" s="4"/>
      <c r="O2476" s="4"/>
      <c r="P2476" s="12" t="str">
        <f t="array" ref="P2476">IF(O2476:O6518="","",_xlfn.XLOOKUP(O2476:O6518,'参照_官位'!A:A,'参照_官位'!B:B,""))</f>
      </c>
      <c r="Q2476" s="12" t="str">
        <f t="array" ref="Q2476">IF(A2476:A6518="","",IFERROR(_xlfn.XLOOKUP(A2476:A6518,castles_state!K:K,castles_state!D:D)&amp;"主",IFERROR(_xlfn.XLOOKUP(A2476:A6518,kunishuClan!D:D,kunishuClan!B:B)&amp;"当主","")))</f>
      </c>
    </row>
    <row r="2477" ht="15.75" customHeight="1">
      <c r="A2477" s="4">
        <v>1066017</v>
      </c>
      <c r="B2477" s="12" t="str">
        <f t="array" ref="B2477">IF(A2477:A6519="","",_xlfn.XLOOKUP(A2477:A6519,'参照_武将'!A:A,'参照_武将'!B:B,"見つかりません"))</f>
      </c>
      <c r="C2477" s="4" t="s">
        <v>317</v>
      </c>
      <c r="D2477" s="4">
        <v>66</v>
      </c>
      <c r="E2477" s="12" t="str">
        <f t="array" ref="E2477">IF(D2477:D6519="","",IFERROR(_xlfn.XLOOKUP(D2477:D6519,'参照_勢力'!A:A,'参照_勢力'!B:B),IFERROR(_xlfn.XLOOKUP(F2477:F6519,kunishuClan!A:A,kunishuClan!B:B),"浪人")))</f>
      </c>
      <c r="F2477" s="4">
        <v>0</v>
      </c>
      <c r="G2477" s="4">
        <v>83</v>
      </c>
      <c r="H2477" s="12" t="str">
        <f t="array" ref="H2477">IF(G2477:G6519="","",_xlfn.XLOOKUP(G2477:G6519,castles_state!A:A,castles_state!D:D,"見つかりません"))</f>
      </c>
      <c r="I2477" s="4"/>
      <c r="J2477" s="12" t="str">
        <f t="array" ref="J2477">IF(I2477:I6519="","",_xlfn.XLOOKUP(I2477:I6519,'参照_姫'!A:A,'参照_姫'!B:B,"見つかりません"))</f>
      </c>
      <c r="K2477" s="4">
        <v>95</v>
      </c>
      <c r="L2477" s="4">
        <v>0</v>
      </c>
      <c r="M2477" s="4"/>
      <c r="N2477" s="4"/>
      <c r="O2477" s="4"/>
      <c r="P2477" s="12" t="str">
        <f t="array" ref="P2477">IF(O2477:O6519="","",_xlfn.XLOOKUP(O2477:O6519,'参照_官位'!A:A,'参照_官位'!B:B,""))</f>
      </c>
      <c r="Q2477" s="12" t="str">
        <f t="array" ref="Q2477">IF(A2477:A6519="","",IFERROR(_xlfn.XLOOKUP(A2477:A6519,castles_state!K:K,castles_state!D:D)&amp;"主",IFERROR(_xlfn.XLOOKUP(A2477:A6519,kunishuClan!D:D,kunishuClan!B:B)&amp;"当主","")))</f>
      </c>
    </row>
    <row r="2478" ht="15.75" customHeight="1">
      <c r="A2478" s="4">
        <v>1066018</v>
      </c>
      <c r="B2478" s="12" t="str">
        <f t="array" ref="B2478">IF(A2478:A6520="","",_xlfn.XLOOKUP(A2478:A6520,'参照_武将'!A:A,'参照_武将'!B:B,"見つかりません"))</f>
      </c>
      <c r="C2478" s="4" t="s">
        <v>317</v>
      </c>
      <c r="D2478" s="4">
        <v>66</v>
      </c>
      <c r="E2478" s="12" t="str">
        <f t="array" ref="E2478">IF(D2478:D6520="","",IFERROR(_xlfn.XLOOKUP(D2478:D6520,'参照_勢力'!A:A,'参照_勢力'!B:B),IFERROR(_xlfn.XLOOKUP(F2478:F6520,kunishuClan!A:A,kunishuClan!B:B),"浪人")))</f>
      </c>
      <c r="F2478" s="4">
        <v>0</v>
      </c>
      <c r="G2478" s="4">
        <v>83</v>
      </c>
      <c r="H2478" s="12" t="str">
        <f t="array" ref="H2478">IF(G2478:G6520="","",_xlfn.XLOOKUP(G2478:G6520,castles_state!A:A,castles_state!D:D,"見つかりません"))</f>
      </c>
      <c r="I2478" s="4"/>
      <c r="J2478" s="12" t="str">
        <f t="array" ref="J2478">IF(I2478:I6520="","",_xlfn.XLOOKUP(I2478:I6520,'参照_姫'!A:A,'参照_姫'!B:B,"見つかりません"))</f>
      </c>
      <c r="K2478" s="4">
        <v>95</v>
      </c>
      <c r="L2478" s="4">
        <v>0</v>
      </c>
      <c r="M2478" s="4"/>
      <c r="N2478" s="4"/>
      <c r="O2478" s="4"/>
      <c r="P2478" s="12" t="str">
        <f t="array" ref="P2478">IF(O2478:O6520="","",_xlfn.XLOOKUP(O2478:O6520,'参照_官位'!A:A,'参照_官位'!B:B,""))</f>
      </c>
      <c r="Q2478" s="12" t="str">
        <f t="array" ref="Q2478">IF(A2478:A6520="","",IFERROR(_xlfn.XLOOKUP(A2478:A6520,castles_state!K:K,castles_state!D:D)&amp;"主",IFERROR(_xlfn.XLOOKUP(A2478:A6520,kunishuClan!D:D,kunishuClan!B:B)&amp;"当主","")))</f>
      </c>
    </row>
    <row r="2479" ht="15.75" customHeight="1">
      <c r="A2479" s="4">
        <v>1066019</v>
      </c>
      <c r="B2479" s="12" t="str">
        <f t="array" ref="B2479">IF(A2479:A6521="","",_xlfn.XLOOKUP(A2479:A6521,'参照_武将'!A:A,'参照_武将'!B:B,"見つかりません"))</f>
      </c>
      <c r="C2479" s="4" t="s">
        <v>317</v>
      </c>
      <c r="D2479" s="4">
        <v>66</v>
      </c>
      <c r="E2479" s="12" t="str">
        <f t="array" ref="E2479">IF(D2479:D6521="","",IFERROR(_xlfn.XLOOKUP(D2479:D6521,'参照_勢力'!A:A,'参照_勢力'!B:B),IFERROR(_xlfn.XLOOKUP(F2479:F6521,kunishuClan!A:A,kunishuClan!B:B),"浪人")))</f>
      </c>
      <c r="F2479" s="4">
        <v>0</v>
      </c>
      <c r="G2479" s="4">
        <v>83</v>
      </c>
      <c r="H2479" s="12" t="str">
        <f t="array" ref="H2479">IF(G2479:G6521="","",_xlfn.XLOOKUP(G2479:G6521,castles_state!A:A,castles_state!D:D,"見つかりません"))</f>
      </c>
      <c r="I2479" s="4"/>
      <c r="J2479" s="12" t="str">
        <f t="array" ref="J2479">IF(I2479:I6521="","",_xlfn.XLOOKUP(I2479:I6521,'参照_姫'!A:A,'参照_姫'!B:B,"見つかりません"))</f>
      </c>
      <c r="K2479" s="4">
        <v>95</v>
      </c>
      <c r="L2479" s="4">
        <v>0</v>
      </c>
      <c r="M2479" s="4"/>
      <c r="N2479" s="4"/>
      <c r="O2479" s="4"/>
      <c r="P2479" s="12" t="str">
        <f t="array" ref="P2479">IF(O2479:O6521="","",_xlfn.XLOOKUP(O2479:O6521,'参照_官位'!A:A,'参照_官位'!B:B,""))</f>
      </c>
      <c r="Q2479" s="12" t="str">
        <f t="array" ref="Q2479">IF(A2479:A6521="","",IFERROR(_xlfn.XLOOKUP(A2479:A6521,castles_state!K:K,castles_state!D:D)&amp;"主",IFERROR(_xlfn.XLOOKUP(A2479:A6521,kunishuClan!D:D,kunishuClan!B:B)&amp;"当主","")))</f>
      </c>
    </row>
    <row r="2480" ht="15.75" customHeight="1">
      <c r="A2480" s="4">
        <v>1066020</v>
      </c>
      <c r="B2480" s="12" t="str">
        <f t="array" ref="B2480">IF(A2480:A6522="","",_xlfn.XLOOKUP(A2480:A6522,'参照_武将'!A:A,'参照_武将'!B:B,"見つかりません"))</f>
      </c>
      <c r="C2480" s="4" t="s">
        <v>317</v>
      </c>
      <c r="D2480" s="4">
        <v>66</v>
      </c>
      <c r="E2480" s="12" t="str">
        <f t="array" ref="E2480">IF(D2480:D6522="","",IFERROR(_xlfn.XLOOKUP(D2480:D6522,'参照_勢力'!A:A,'参照_勢力'!B:B),IFERROR(_xlfn.XLOOKUP(F2480:F6522,kunishuClan!A:A,kunishuClan!B:B),"浪人")))</f>
      </c>
      <c r="F2480" s="4">
        <v>0</v>
      </c>
      <c r="G2480" s="4">
        <v>83</v>
      </c>
      <c r="H2480" s="12" t="str">
        <f t="array" ref="H2480">IF(G2480:G6522="","",_xlfn.XLOOKUP(G2480:G6522,castles_state!A:A,castles_state!D:D,"見つかりません"))</f>
      </c>
      <c r="I2480" s="4"/>
      <c r="J2480" s="12" t="str">
        <f t="array" ref="J2480">IF(I2480:I6522="","",_xlfn.XLOOKUP(I2480:I6522,'参照_姫'!A:A,'参照_姫'!B:B,"見つかりません"))</f>
      </c>
      <c r="K2480" s="4">
        <v>95</v>
      </c>
      <c r="L2480" s="4">
        <v>200</v>
      </c>
      <c r="M2480" s="4" t="b">
        <v>1</v>
      </c>
      <c r="N2480" s="4"/>
      <c r="O2480" s="4"/>
      <c r="P2480" s="12" t="str">
        <f t="array" ref="P2480">IF(O2480:O6522="","",_xlfn.XLOOKUP(O2480:O6522,'参照_官位'!A:A,'参照_官位'!B:B,""))</f>
      </c>
      <c r="Q2480" s="12" t="str">
        <f t="array" ref="Q2480">IF(A2480:A6522="","",IFERROR(_xlfn.XLOOKUP(A2480:A6522,castles_state!K:K,castles_state!D:D)&amp;"主",IFERROR(_xlfn.XLOOKUP(A2480:A6522,kunishuClan!D:D,kunishuClan!B:B)&amp;"当主","")))</f>
      </c>
    </row>
    <row r="2481" ht="15.75" customHeight="1">
      <c r="A2481" s="4">
        <v>1067001</v>
      </c>
      <c r="B2481" s="12" t="str">
        <f t="array" ref="B2481">IF(A2481:A6523="","",_xlfn.XLOOKUP(A2481:A6523,'参照_武将'!A:A,'参照_武将'!B:B,"見つかりません"))</f>
      </c>
      <c r="C2481" s="4" t="s">
        <v>321</v>
      </c>
      <c r="D2481" s="4">
        <v>67</v>
      </c>
      <c r="E2481" s="12" t="str">
        <f t="array" ref="E2481">IF(D2481:D6523="","",IFERROR(_xlfn.XLOOKUP(D2481:D6523,'参照_勢力'!A:A,'参照_勢力'!B:B),IFERROR(_xlfn.XLOOKUP(F2481:F6523,kunishuClan!A:A,kunishuClan!B:B),"浪人")))</f>
      </c>
      <c r="F2481" s="4">
        <v>0</v>
      </c>
      <c r="G2481" s="4">
        <v>187</v>
      </c>
      <c r="H2481" s="12" t="str">
        <f t="array" ref="H2481">IF(G2481:G6523="","",_xlfn.XLOOKUP(G2481:G6523,castles_state!A:A,castles_state!D:D,"見つかりません"))</f>
      </c>
      <c r="I2481" s="4"/>
      <c r="J2481" s="12" t="str">
        <f t="array" ref="J2481">IF(I2481:I6523="","",_xlfn.XLOOKUP(I2481:I6523,'参照_姫'!A:A,'参照_姫'!B:B,"見つかりません"))</f>
      </c>
      <c r="K2481" s="4">
        <v>95</v>
      </c>
      <c r="L2481" s="4">
        <v>0</v>
      </c>
      <c r="M2481" s="4"/>
      <c r="N2481" s="4"/>
      <c r="O2481" s="4"/>
      <c r="P2481" s="12" t="str">
        <f t="array" ref="P2481">IF(O2481:O6523="","",_xlfn.XLOOKUP(O2481:O6523,'参照_官位'!A:A,'参照_官位'!B:B,""))</f>
      </c>
      <c r="Q2481" s="12" t="str">
        <f t="array" ref="Q2481">IF(A2481:A6523="","",IFERROR(_xlfn.XLOOKUP(A2481:A6523,castles_state!K:K,castles_state!D:D)&amp;"主",IFERROR(_xlfn.XLOOKUP(A2481:A6523,kunishuClan!D:D,kunishuClan!B:B)&amp;"当主","")))</f>
      </c>
    </row>
    <row r="2482" ht="15.75" customHeight="1">
      <c r="A2482" s="4">
        <v>1067002</v>
      </c>
      <c r="B2482" s="12" t="str">
        <f t="array" ref="B2482">IF(A2482:A6524="","",_xlfn.XLOOKUP(A2482:A6524,'参照_武将'!A:A,'参照_武将'!B:B,"見つかりません"))</f>
      </c>
      <c r="C2482" s="4" t="s">
        <v>321</v>
      </c>
      <c r="D2482" s="4">
        <v>67</v>
      </c>
      <c r="E2482" s="12" t="str">
        <f t="array" ref="E2482">IF(D2482:D6524="","",IFERROR(_xlfn.XLOOKUP(D2482:D6524,'参照_勢力'!A:A,'参照_勢力'!B:B),IFERROR(_xlfn.XLOOKUP(F2482:F6524,kunishuClan!A:A,kunishuClan!B:B),"浪人")))</f>
      </c>
      <c r="F2482" s="4">
        <v>0</v>
      </c>
      <c r="G2482" s="4">
        <v>187</v>
      </c>
      <c r="H2482" s="12" t="str">
        <f t="array" ref="H2482">IF(G2482:G6524="","",_xlfn.XLOOKUP(G2482:G6524,castles_state!A:A,castles_state!D:D,"見つかりません"))</f>
      </c>
      <c r="I2482" s="4"/>
      <c r="J2482" s="12" t="str">
        <f t="array" ref="J2482">IF(I2482:I6524="","",_xlfn.XLOOKUP(I2482:I6524,'参照_姫'!A:A,'参照_姫'!B:B,"見つかりません"))</f>
      </c>
      <c r="K2482" s="4">
        <v>95</v>
      </c>
      <c r="L2482" s="4">
        <v>0</v>
      </c>
      <c r="M2482" s="4"/>
      <c r="N2482" s="4"/>
      <c r="O2482" s="4"/>
      <c r="P2482" s="12" t="str">
        <f t="array" ref="P2482">IF(O2482:O6524="","",_xlfn.XLOOKUP(O2482:O6524,'参照_官位'!A:A,'参照_官位'!B:B,""))</f>
      </c>
      <c r="Q2482" s="12" t="str">
        <f t="array" ref="Q2482">IF(A2482:A6524="","",IFERROR(_xlfn.XLOOKUP(A2482:A6524,castles_state!K:K,castles_state!D:D)&amp;"主",IFERROR(_xlfn.XLOOKUP(A2482:A6524,kunishuClan!D:D,kunishuClan!B:B)&amp;"当主","")))</f>
      </c>
    </row>
    <row r="2483" ht="15.75" customHeight="1">
      <c r="A2483" s="4">
        <v>1067003</v>
      </c>
      <c r="B2483" s="12" t="str">
        <f t="array" ref="B2483">IF(A2483:A6525="","",_xlfn.XLOOKUP(A2483:A6525,'参照_武将'!A:A,'参照_武将'!B:B,"見つかりません"))</f>
      </c>
      <c r="C2483" s="4" t="s">
        <v>321</v>
      </c>
      <c r="D2483" s="4">
        <v>67</v>
      </c>
      <c r="E2483" s="12" t="str">
        <f t="array" ref="E2483">IF(D2483:D6525="","",IFERROR(_xlfn.XLOOKUP(D2483:D6525,'参照_勢力'!A:A,'参照_勢力'!B:B),IFERROR(_xlfn.XLOOKUP(F2483:F6525,kunishuClan!A:A,kunishuClan!B:B),"浪人")))</f>
      </c>
      <c r="F2483" s="4">
        <v>0</v>
      </c>
      <c r="G2483" s="4">
        <v>187</v>
      </c>
      <c r="H2483" s="12" t="str">
        <f t="array" ref="H2483">IF(G2483:G6525="","",_xlfn.XLOOKUP(G2483:G6525,castles_state!A:A,castles_state!D:D,"見つかりません"))</f>
      </c>
      <c r="I2483" s="4"/>
      <c r="J2483" s="12" t="str">
        <f t="array" ref="J2483">IF(I2483:I6525="","",_xlfn.XLOOKUP(I2483:I6525,'参照_姫'!A:A,'参照_姫'!B:B,"見つかりません"))</f>
      </c>
      <c r="K2483" s="4">
        <v>100</v>
      </c>
      <c r="L2483" s="4">
        <v>1000</v>
      </c>
      <c r="M2483" s="4"/>
      <c r="N2483" s="4"/>
      <c r="O2483" s="4"/>
      <c r="P2483" s="12" t="str">
        <f t="array" ref="P2483">IF(O2483:O6525="","",_xlfn.XLOOKUP(O2483:O6525,'参照_官位'!A:A,'参照_官位'!B:B,""))</f>
      </c>
      <c r="Q2483" s="12" t="str">
        <f t="array" ref="Q2483">IF(A2483:A6525="","",IFERROR(_xlfn.XLOOKUP(A2483:A6525,castles_state!K:K,castles_state!D:D)&amp;"主",IFERROR(_xlfn.XLOOKUP(A2483:A6525,kunishuClan!D:D,kunishuClan!B:B)&amp;"当主","")))</f>
      </c>
    </row>
    <row r="2484" ht="15.75" customHeight="1">
      <c r="A2484" s="4">
        <v>1067004</v>
      </c>
      <c r="B2484" s="12" t="str">
        <f t="array" ref="B2484">IF(A2484:A6526="","",_xlfn.XLOOKUP(A2484:A6526,'参照_武将'!A:A,'参照_武将'!B:B,"見つかりません"))</f>
      </c>
      <c r="C2484" s="4" t="s">
        <v>321</v>
      </c>
      <c r="D2484" s="4">
        <v>67</v>
      </c>
      <c r="E2484" s="12" t="str">
        <f t="array" ref="E2484">IF(D2484:D6526="","",IFERROR(_xlfn.XLOOKUP(D2484:D6526,'参照_勢力'!A:A,'参照_勢力'!B:B),IFERROR(_xlfn.XLOOKUP(F2484:F6526,kunishuClan!A:A,kunishuClan!B:B),"浪人")))</f>
      </c>
      <c r="F2484" s="4">
        <v>0</v>
      </c>
      <c r="G2484" s="4">
        <v>187</v>
      </c>
      <c r="H2484" s="12" t="str">
        <f t="array" ref="H2484">IF(G2484:G6526="","",_xlfn.XLOOKUP(G2484:G6526,castles_state!A:A,castles_state!D:D,"見つかりません"))</f>
      </c>
      <c r="I2484" s="4"/>
      <c r="J2484" s="12" t="str">
        <f t="array" ref="J2484">IF(I2484:I6526="","",_xlfn.XLOOKUP(I2484:I6526,'参照_姫'!A:A,'参照_姫'!B:B,"見つかりません"))</f>
      </c>
      <c r="K2484" s="4">
        <v>95</v>
      </c>
      <c r="L2484" s="4">
        <v>500</v>
      </c>
      <c r="M2484" s="4"/>
      <c r="N2484" s="4"/>
      <c r="O2484" s="4"/>
      <c r="P2484" s="12" t="str">
        <f t="array" ref="P2484">IF(O2484:O6526="","",_xlfn.XLOOKUP(O2484:O6526,'参照_官位'!A:A,'参照_官位'!B:B,""))</f>
      </c>
      <c r="Q2484" s="12" t="str">
        <f t="array" ref="Q2484">IF(A2484:A6526="","",IFERROR(_xlfn.XLOOKUP(A2484:A6526,castles_state!K:K,castles_state!D:D)&amp;"主",IFERROR(_xlfn.XLOOKUP(A2484:A6526,kunishuClan!D:D,kunishuClan!B:B)&amp;"当主","")))</f>
      </c>
    </row>
    <row r="2485" ht="15.75" customHeight="1">
      <c r="A2485" s="4">
        <v>1067005</v>
      </c>
      <c r="B2485" s="12" t="str">
        <f t="array" ref="B2485">IF(A2485:A6527="","",_xlfn.XLOOKUP(A2485:A6527,'参照_武将'!A:A,'参照_武将'!B:B,"見つかりません"))</f>
      </c>
      <c r="C2485" s="4" t="s">
        <v>321</v>
      </c>
      <c r="D2485" s="4">
        <v>67</v>
      </c>
      <c r="E2485" s="12" t="str">
        <f t="array" ref="E2485">IF(D2485:D6527="","",IFERROR(_xlfn.XLOOKUP(D2485:D6527,'参照_勢力'!A:A,'参照_勢力'!B:B),IFERROR(_xlfn.XLOOKUP(F2485:F6527,kunishuClan!A:A,kunishuClan!B:B),"浪人")))</f>
      </c>
      <c r="F2485" s="4">
        <v>0</v>
      </c>
      <c r="G2485" s="4">
        <v>187</v>
      </c>
      <c r="H2485" s="12" t="str">
        <f t="array" ref="H2485">IF(G2485:G6527="","",_xlfn.XLOOKUP(G2485:G6527,castles_state!A:A,castles_state!D:D,"見つかりません"))</f>
      </c>
      <c r="I2485" s="4"/>
      <c r="J2485" s="12" t="str">
        <f t="array" ref="J2485">IF(I2485:I6527="","",_xlfn.XLOOKUP(I2485:I6527,'参照_姫'!A:A,'参照_姫'!B:B,"見つかりません"))</f>
      </c>
      <c r="K2485" s="4">
        <v>95</v>
      </c>
      <c r="L2485" s="4">
        <v>0</v>
      </c>
      <c r="M2485" s="4"/>
      <c r="N2485" s="4"/>
      <c r="O2485" s="4"/>
      <c r="P2485" s="12" t="str">
        <f t="array" ref="P2485">IF(O2485:O6527="","",_xlfn.XLOOKUP(O2485:O6527,'参照_官位'!A:A,'参照_官位'!B:B,""))</f>
      </c>
      <c r="Q2485" s="12" t="str">
        <f t="array" ref="Q2485">IF(A2485:A6527="","",IFERROR(_xlfn.XLOOKUP(A2485:A6527,castles_state!K:K,castles_state!D:D)&amp;"主",IFERROR(_xlfn.XLOOKUP(A2485:A6527,kunishuClan!D:D,kunishuClan!B:B)&amp;"当主","")))</f>
      </c>
    </row>
    <row r="2486" ht="15.75" customHeight="1">
      <c r="A2486" s="4">
        <v>1067006</v>
      </c>
      <c r="B2486" s="12" t="str">
        <f t="array" ref="B2486">IF(A2486:A6528="","",_xlfn.XLOOKUP(A2486:A6528,'参照_武将'!A:A,'参照_武将'!B:B,"見つかりません"))</f>
      </c>
      <c r="C2486" s="4" t="s">
        <v>321</v>
      </c>
      <c r="D2486" s="4">
        <v>67</v>
      </c>
      <c r="E2486" s="12" t="str">
        <f t="array" ref="E2486">IF(D2486:D6528="","",IFERROR(_xlfn.XLOOKUP(D2486:D6528,'参照_勢力'!A:A,'参照_勢力'!B:B),IFERROR(_xlfn.XLOOKUP(F2486:F6528,kunishuClan!A:A,kunishuClan!B:B),"浪人")))</f>
      </c>
      <c r="F2486" s="4">
        <v>0</v>
      </c>
      <c r="G2486" s="4">
        <v>187</v>
      </c>
      <c r="H2486" s="12" t="str">
        <f t="array" ref="H2486">IF(G2486:G6528="","",_xlfn.XLOOKUP(G2486:G6528,castles_state!A:A,castles_state!D:D,"見つかりません"))</f>
      </c>
      <c r="I2486" s="4"/>
      <c r="J2486" s="12" t="str">
        <f t="array" ref="J2486">IF(I2486:I6528="","",_xlfn.XLOOKUP(I2486:I6528,'参照_姫'!A:A,'参照_姫'!B:B,"見つかりません"))</f>
      </c>
      <c r="K2486" s="4">
        <v>95</v>
      </c>
      <c r="L2486" s="4">
        <v>500</v>
      </c>
      <c r="M2486" s="4" t="b">
        <v>1</v>
      </c>
      <c r="N2486" s="4"/>
      <c r="O2486" s="4"/>
      <c r="P2486" s="12" t="str">
        <f t="array" ref="P2486">IF(O2486:O6528="","",_xlfn.XLOOKUP(O2486:O6528,'参照_官位'!A:A,'参照_官位'!B:B,""))</f>
      </c>
      <c r="Q2486" s="12" t="str">
        <f t="array" ref="Q2486">IF(A2486:A6528="","",IFERROR(_xlfn.XLOOKUP(A2486:A6528,castles_state!K:K,castles_state!D:D)&amp;"主",IFERROR(_xlfn.XLOOKUP(A2486:A6528,kunishuClan!D:D,kunishuClan!B:B)&amp;"当主","")))</f>
      </c>
    </row>
    <row r="2487" ht="15.75" customHeight="1">
      <c r="A2487" s="4">
        <v>1067007</v>
      </c>
      <c r="B2487" s="12" t="str">
        <f t="array" ref="B2487">IF(A2487:A6529="","",_xlfn.XLOOKUP(A2487:A6529,'参照_武将'!A:A,'参照_武将'!B:B,"見つかりません"))</f>
      </c>
      <c r="C2487" s="4" t="s">
        <v>321</v>
      </c>
      <c r="D2487" s="4">
        <v>67</v>
      </c>
      <c r="E2487" s="12" t="str">
        <f t="array" ref="E2487">IF(D2487:D6529="","",IFERROR(_xlfn.XLOOKUP(D2487:D6529,'参照_勢力'!A:A,'参照_勢力'!B:B),IFERROR(_xlfn.XLOOKUP(F2487:F6529,kunishuClan!A:A,kunishuClan!B:B),"浪人")))</f>
      </c>
      <c r="F2487" s="4">
        <v>0</v>
      </c>
      <c r="G2487" s="4">
        <v>187</v>
      </c>
      <c r="H2487" s="12" t="str">
        <f t="array" ref="H2487">IF(G2487:G6529="","",_xlfn.XLOOKUP(G2487:G6529,castles_state!A:A,castles_state!D:D,"見つかりません"))</f>
      </c>
      <c r="I2487" s="4"/>
      <c r="J2487" s="12" t="str">
        <f t="array" ref="J2487">IF(I2487:I6529="","",_xlfn.XLOOKUP(I2487:I6529,'参照_姫'!A:A,'参照_姫'!B:B,"見つかりません"))</f>
      </c>
      <c r="K2487" s="4">
        <v>95</v>
      </c>
      <c r="L2487" s="4">
        <v>300</v>
      </c>
      <c r="M2487" s="4"/>
      <c r="N2487" s="4"/>
      <c r="O2487" s="4"/>
      <c r="P2487" s="12" t="str">
        <f t="array" ref="P2487">IF(O2487:O6529="","",_xlfn.XLOOKUP(O2487:O6529,'参照_官位'!A:A,'参照_官位'!B:B,""))</f>
      </c>
      <c r="Q2487" s="12" t="str">
        <f t="array" ref="Q2487">IF(A2487:A6529="","",IFERROR(_xlfn.XLOOKUP(A2487:A6529,castles_state!K:K,castles_state!D:D)&amp;"主",IFERROR(_xlfn.XLOOKUP(A2487:A6529,kunishuClan!D:D,kunishuClan!B:B)&amp;"当主","")))</f>
      </c>
    </row>
    <row r="2488" ht="15.75" customHeight="1">
      <c r="A2488" s="4">
        <v>1067008</v>
      </c>
      <c r="B2488" s="12" t="str">
        <f t="array" ref="B2488">IF(A2488:A6530="","",_xlfn.XLOOKUP(A2488:A6530,'参照_武将'!A:A,'参照_武将'!B:B,"見つかりません"))</f>
      </c>
      <c r="C2488" s="4" t="s">
        <v>321</v>
      </c>
      <c r="D2488" s="4">
        <v>67</v>
      </c>
      <c r="E2488" s="12" t="str">
        <f t="array" ref="E2488">IF(D2488:D6530="","",IFERROR(_xlfn.XLOOKUP(D2488:D6530,'参照_勢力'!A:A,'参照_勢力'!B:B),IFERROR(_xlfn.XLOOKUP(F2488:F6530,kunishuClan!A:A,kunishuClan!B:B),"浪人")))</f>
      </c>
      <c r="F2488" s="4">
        <v>0</v>
      </c>
      <c r="G2488" s="4">
        <v>187</v>
      </c>
      <c r="H2488" s="12" t="str">
        <f t="array" ref="H2488">IF(G2488:G6530="","",_xlfn.XLOOKUP(G2488:G6530,castles_state!A:A,castles_state!D:D,"見つかりません"))</f>
      </c>
      <c r="I2488" s="4"/>
      <c r="J2488" s="12" t="str">
        <f t="array" ref="J2488">IF(I2488:I6530="","",_xlfn.XLOOKUP(I2488:I6530,'参照_姫'!A:A,'参照_姫'!B:B,"見つかりません"))</f>
      </c>
      <c r="K2488" s="4">
        <v>95</v>
      </c>
      <c r="L2488" s="4">
        <v>100</v>
      </c>
      <c r="M2488" s="4"/>
      <c r="N2488" s="4"/>
      <c r="O2488" s="4"/>
      <c r="P2488" s="12" t="str">
        <f t="array" ref="P2488">IF(O2488:O6530="","",_xlfn.XLOOKUP(O2488:O6530,'参照_官位'!A:A,'参照_官位'!B:B,""))</f>
      </c>
      <c r="Q2488" s="12" t="str">
        <f t="array" ref="Q2488">IF(A2488:A6530="","",IFERROR(_xlfn.XLOOKUP(A2488:A6530,castles_state!K:K,castles_state!D:D)&amp;"主",IFERROR(_xlfn.XLOOKUP(A2488:A6530,kunishuClan!D:D,kunishuClan!B:B)&amp;"当主","")))</f>
      </c>
    </row>
    <row r="2489" ht="15.75" customHeight="1">
      <c r="A2489" s="4">
        <v>1067009</v>
      </c>
      <c r="B2489" s="12" t="str">
        <f t="array" ref="B2489">IF(A2489:A6531="","",_xlfn.XLOOKUP(A2489:A6531,'参照_武将'!A:A,'参照_武将'!B:B,"見つかりません"))</f>
      </c>
      <c r="C2489" s="4" t="s">
        <v>321</v>
      </c>
      <c r="D2489" s="4">
        <v>67</v>
      </c>
      <c r="E2489" s="12" t="str">
        <f t="array" ref="E2489">IF(D2489:D6531="","",IFERROR(_xlfn.XLOOKUP(D2489:D6531,'参照_勢力'!A:A,'参照_勢力'!B:B),IFERROR(_xlfn.XLOOKUP(F2489:F6531,kunishuClan!A:A,kunishuClan!B:B),"浪人")))</f>
      </c>
      <c r="F2489" s="4">
        <v>0</v>
      </c>
      <c r="G2489" s="4">
        <v>187</v>
      </c>
      <c r="H2489" s="12" t="str">
        <f t="array" ref="H2489">IF(G2489:G6531="","",_xlfn.XLOOKUP(G2489:G6531,castles_state!A:A,castles_state!D:D,"見つかりません"))</f>
      </c>
      <c r="I2489" s="4"/>
      <c r="J2489" s="12" t="str">
        <f t="array" ref="J2489">IF(I2489:I6531="","",_xlfn.XLOOKUP(I2489:I6531,'参照_姫'!A:A,'参照_姫'!B:B,"見つかりません"))</f>
      </c>
      <c r="K2489" s="4">
        <v>95</v>
      </c>
      <c r="L2489" s="4">
        <v>0</v>
      </c>
      <c r="M2489" s="4"/>
      <c r="N2489" s="4"/>
      <c r="O2489" s="4"/>
      <c r="P2489" s="12" t="str">
        <f t="array" ref="P2489">IF(O2489:O6531="","",_xlfn.XLOOKUP(O2489:O6531,'参照_官位'!A:A,'参照_官位'!B:B,""))</f>
      </c>
      <c r="Q2489" s="12" t="str">
        <f t="array" ref="Q2489">IF(A2489:A6531="","",IFERROR(_xlfn.XLOOKUP(A2489:A6531,castles_state!K:K,castles_state!D:D)&amp;"主",IFERROR(_xlfn.XLOOKUP(A2489:A6531,kunishuClan!D:D,kunishuClan!B:B)&amp;"当主","")))</f>
      </c>
    </row>
    <row r="2490" ht="15.75" customHeight="1">
      <c r="A2490" s="4">
        <v>1067010</v>
      </c>
      <c r="B2490" s="12" t="str">
        <f t="array" ref="B2490">IF(A2490:A6532="","",_xlfn.XLOOKUP(A2490:A6532,'参照_武将'!A:A,'参照_武将'!B:B,"見つかりません"))</f>
      </c>
      <c r="C2490" s="4" t="s">
        <v>321</v>
      </c>
      <c r="D2490" s="4">
        <v>67</v>
      </c>
      <c r="E2490" s="12" t="str">
        <f t="array" ref="E2490">IF(D2490:D6532="","",IFERROR(_xlfn.XLOOKUP(D2490:D6532,'参照_勢力'!A:A,'参照_勢力'!B:B),IFERROR(_xlfn.XLOOKUP(F2490:F6532,kunishuClan!A:A,kunishuClan!B:B),"浪人")))</f>
      </c>
      <c r="F2490" s="4">
        <v>0</v>
      </c>
      <c r="G2490" s="4">
        <v>187</v>
      </c>
      <c r="H2490" s="12" t="str">
        <f t="array" ref="H2490">IF(G2490:G6532="","",_xlfn.XLOOKUP(G2490:G6532,castles_state!A:A,castles_state!D:D,"見つかりません"))</f>
      </c>
      <c r="I2490" s="4"/>
      <c r="J2490" s="12" t="str">
        <f t="array" ref="J2490">IF(I2490:I6532="","",_xlfn.XLOOKUP(I2490:I6532,'参照_姫'!A:A,'参照_姫'!B:B,"見つかりません"))</f>
      </c>
      <c r="K2490" s="4">
        <v>95</v>
      </c>
      <c r="L2490" s="4">
        <v>0</v>
      </c>
      <c r="M2490" s="4"/>
      <c r="N2490" s="4"/>
      <c r="O2490" s="4"/>
      <c r="P2490" s="12" t="str">
        <f t="array" ref="P2490">IF(O2490:O6532="","",_xlfn.XLOOKUP(O2490:O6532,'参照_官位'!A:A,'参照_官位'!B:B,""))</f>
      </c>
      <c r="Q2490" s="12" t="str">
        <f t="array" ref="Q2490">IF(A2490:A6532="","",IFERROR(_xlfn.XLOOKUP(A2490:A6532,castles_state!K:K,castles_state!D:D)&amp;"主",IFERROR(_xlfn.XLOOKUP(A2490:A6532,kunishuClan!D:D,kunishuClan!B:B)&amp;"当主","")))</f>
      </c>
    </row>
    <row r="2491" ht="15.75" customHeight="1">
      <c r="A2491" s="4">
        <v>1067011</v>
      </c>
      <c r="B2491" s="12" t="str">
        <f t="array" ref="B2491">IF(A2491:A6533="","",_xlfn.XLOOKUP(A2491:A6533,'参照_武将'!A:A,'参照_武将'!B:B,"見つかりません"))</f>
      </c>
      <c r="C2491" s="4" t="s">
        <v>321</v>
      </c>
      <c r="D2491" s="4">
        <v>67</v>
      </c>
      <c r="E2491" s="12" t="str">
        <f t="array" ref="E2491">IF(D2491:D6533="","",IFERROR(_xlfn.XLOOKUP(D2491:D6533,'参照_勢力'!A:A,'参照_勢力'!B:B),IFERROR(_xlfn.XLOOKUP(F2491:F6533,kunishuClan!A:A,kunishuClan!B:B),"浪人")))</f>
      </c>
      <c r="F2491" s="4">
        <v>0</v>
      </c>
      <c r="G2491" s="4">
        <v>187</v>
      </c>
      <c r="H2491" s="12" t="str">
        <f t="array" ref="H2491">IF(G2491:G6533="","",_xlfn.XLOOKUP(G2491:G6533,castles_state!A:A,castles_state!D:D,"見つかりません"))</f>
      </c>
      <c r="I2491" s="4"/>
      <c r="J2491" s="12" t="str">
        <f t="array" ref="J2491">IF(I2491:I6533="","",_xlfn.XLOOKUP(I2491:I6533,'参照_姫'!A:A,'参照_姫'!B:B,"見つかりません"))</f>
      </c>
      <c r="K2491" s="4">
        <v>95</v>
      </c>
      <c r="L2491" s="4">
        <v>0</v>
      </c>
      <c r="M2491" s="4"/>
      <c r="N2491" s="4"/>
      <c r="O2491" s="4"/>
      <c r="P2491" s="12" t="str">
        <f t="array" ref="P2491">IF(O2491:O6533="","",_xlfn.XLOOKUP(O2491:O6533,'参照_官位'!A:A,'参照_官位'!B:B,""))</f>
      </c>
      <c r="Q2491" s="12" t="str">
        <f t="array" ref="Q2491">IF(A2491:A6533="","",IFERROR(_xlfn.XLOOKUP(A2491:A6533,castles_state!K:K,castles_state!D:D)&amp;"主",IFERROR(_xlfn.XLOOKUP(A2491:A6533,kunishuClan!D:D,kunishuClan!B:B)&amp;"当主","")))</f>
      </c>
    </row>
    <row r="2492" ht="15.75" customHeight="1">
      <c r="A2492" s="4">
        <v>1067012</v>
      </c>
      <c r="B2492" s="12" t="str">
        <f t="array" ref="B2492">IF(A2492:A6534="","",_xlfn.XLOOKUP(A2492:A6534,'参照_武将'!A:A,'参照_武将'!B:B,"見つかりません"))</f>
      </c>
      <c r="C2492" s="4" t="s">
        <v>321</v>
      </c>
      <c r="D2492" s="4">
        <v>67</v>
      </c>
      <c r="E2492" s="12" t="str">
        <f t="array" ref="E2492">IF(D2492:D6534="","",IFERROR(_xlfn.XLOOKUP(D2492:D6534,'参照_勢力'!A:A,'参照_勢力'!B:B),IFERROR(_xlfn.XLOOKUP(F2492:F6534,kunishuClan!A:A,kunishuClan!B:B),"浪人")))</f>
      </c>
      <c r="F2492" s="4">
        <v>0</v>
      </c>
      <c r="G2492" s="4">
        <v>187</v>
      </c>
      <c r="H2492" s="12" t="str">
        <f t="array" ref="H2492">IF(G2492:G6534="","",_xlfn.XLOOKUP(G2492:G6534,castles_state!A:A,castles_state!D:D,"見つかりません"))</f>
      </c>
      <c r="I2492" s="4"/>
      <c r="J2492" s="12" t="str">
        <f t="array" ref="J2492">IF(I2492:I6534="","",_xlfn.XLOOKUP(I2492:I6534,'参照_姫'!A:A,'参照_姫'!B:B,"見つかりません"))</f>
      </c>
      <c r="K2492" s="4">
        <v>95</v>
      </c>
      <c r="L2492" s="4">
        <v>0</v>
      </c>
      <c r="M2492" s="4"/>
      <c r="N2492" s="4"/>
      <c r="O2492" s="4"/>
      <c r="P2492" s="12" t="str">
        <f t="array" ref="P2492">IF(O2492:O6534="","",_xlfn.XLOOKUP(O2492:O6534,'参照_官位'!A:A,'参照_官位'!B:B,""))</f>
      </c>
      <c r="Q2492" s="12" t="str">
        <f t="array" ref="Q2492">IF(A2492:A6534="","",IFERROR(_xlfn.XLOOKUP(A2492:A6534,castles_state!K:K,castles_state!D:D)&amp;"主",IFERROR(_xlfn.XLOOKUP(A2492:A6534,kunishuClan!D:D,kunishuClan!B:B)&amp;"当主","")))</f>
      </c>
    </row>
    <row r="2493" ht="15.75" customHeight="1">
      <c r="A2493" s="4">
        <v>1067013</v>
      </c>
      <c r="B2493" s="12" t="str">
        <f t="array" ref="B2493">IF(A2493:A6535="","",_xlfn.XLOOKUP(A2493:A6535,'参照_武将'!A:A,'参照_武将'!B:B,"見つかりません"))</f>
      </c>
      <c r="C2493" s="4" t="s">
        <v>321</v>
      </c>
      <c r="D2493" s="4">
        <v>67</v>
      </c>
      <c r="E2493" s="12" t="str">
        <f t="array" ref="E2493">IF(D2493:D6535="","",IFERROR(_xlfn.XLOOKUP(D2493:D6535,'参照_勢力'!A:A,'参照_勢力'!B:B),IFERROR(_xlfn.XLOOKUP(F2493:F6535,kunishuClan!A:A,kunishuClan!B:B),"浪人")))</f>
      </c>
      <c r="F2493" s="4">
        <v>0</v>
      </c>
      <c r="G2493" s="4">
        <v>187</v>
      </c>
      <c r="H2493" s="12" t="str">
        <f t="array" ref="H2493">IF(G2493:G6535="","",_xlfn.XLOOKUP(G2493:G6535,castles_state!A:A,castles_state!D:D,"見つかりません"))</f>
      </c>
      <c r="I2493" s="4"/>
      <c r="J2493" s="12" t="str">
        <f t="array" ref="J2493">IF(I2493:I6535="","",_xlfn.XLOOKUP(I2493:I6535,'参照_姫'!A:A,'参照_姫'!B:B,"見つかりません"))</f>
      </c>
      <c r="K2493" s="4">
        <v>95</v>
      </c>
      <c r="L2493" s="4">
        <v>0</v>
      </c>
      <c r="M2493" s="4"/>
      <c r="N2493" s="4"/>
      <c r="O2493" s="4"/>
      <c r="P2493" s="12" t="str">
        <f t="array" ref="P2493">IF(O2493:O6535="","",_xlfn.XLOOKUP(O2493:O6535,'参照_官位'!A:A,'参照_官位'!B:B,""))</f>
      </c>
      <c r="Q2493" s="12" t="str">
        <f t="array" ref="Q2493">IF(A2493:A6535="","",IFERROR(_xlfn.XLOOKUP(A2493:A6535,castles_state!K:K,castles_state!D:D)&amp;"主",IFERROR(_xlfn.XLOOKUP(A2493:A6535,kunishuClan!D:D,kunishuClan!B:B)&amp;"当主","")))</f>
      </c>
    </row>
    <row r="2494" ht="15.75" customHeight="1">
      <c r="A2494" s="4">
        <v>1067014</v>
      </c>
      <c r="B2494" s="12" t="str">
        <f t="array" ref="B2494">IF(A2494:A6536="","",_xlfn.XLOOKUP(A2494:A6536,'参照_武将'!A:A,'参照_武将'!B:B,"見つかりません"))</f>
      </c>
      <c r="C2494" s="4" t="s">
        <v>321</v>
      </c>
      <c r="D2494" s="4">
        <v>67</v>
      </c>
      <c r="E2494" s="12" t="str">
        <f t="array" ref="E2494">IF(D2494:D6536="","",IFERROR(_xlfn.XLOOKUP(D2494:D6536,'参照_勢力'!A:A,'参照_勢力'!B:B),IFERROR(_xlfn.XLOOKUP(F2494:F6536,kunishuClan!A:A,kunishuClan!B:B),"浪人")))</f>
      </c>
      <c r="F2494" s="4">
        <v>0</v>
      </c>
      <c r="G2494" s="4">
        <v>187</v>
      </c>
      <c r="H2494" s="12" t="str">
        <f t="array" ref="H2494">IF(G2494:G6536="","",_xlfn.XLOOKUP(G2494:G6536,castles_state!A:A,castles_state!D:D,"見つかりません"))</f>
      </c>
      <c r="I2494" s="4"/>
      <c r="J2494" s="12" t="str">
        <f t="array" ref="J2494">IF(I2494:I6536="","",_xlfn.XLOOKUP(I2494:I6536,'参照_姫'!A:A,'参照_姫'!B:B,"見つかりません"))</f>
      </c>
      <c r="K2494" s="4">
        <v>95</v>
      </c>
      <c r="L2494" s="4">
        <v>0</v>
      </c>
      <c r="M2494" s="4"/>
      <c r="N2494" s="4"/>
      <c r="O2494" s="4"/>
      <c r="P2494" s="12" t="str">
        <f t="array" ref="P2494">IF(O2494:O6536="","",_xlfn.XLOOKUP(O2494:O6536,'参照_官位'!A:A,'参照_官位'!B:B,""))</f>
      </c>
      <c r="Q2494" s="12" t="str">
        <f t="array" ref="Q2494">IF(A2494:A6536="","",IFERROR(_xlfn.XLOOKUP(A2494:A6536,castles_state!K:K,castles_state!D:D)&amp;"主",IFERROR(_xlfn.XLOOKUP(A2494:A6536,kunishuClan!D:D,kunishuClan!B:B)&amp;"当主","")))</f>
      </c>
    </row>
    <row r="2495" ht="15.75" customHeight="1">
      <c r="A2495" s="4">
        <v>1067015</v>
      </c>
      <c r="B2495" s="12" t="str">
        <f t="array" ref="B2495">IF(A2495:A6537="","",_xlfn.XLOOKUP(A2495:A6537,'参照_武将'!A:A,'参照_武将'!B:B,"見つかりません"))</f>
      </c>
      <c r="C2495" s="4" t="s">
        <v>321</v>
      </c>
      <c r="D2495" s="4">
        <v>67</v>
      </c>
      <c r="E2495" s="12" t="str">
        <f t="array" ref="E2495">IF(D2495:D6537="","",IFERROR(_xlfn.XLOOKUP(D2495:D6537,'参照_勢力'!A:A,'参照_勢力'!B:B),IFERROR(_xlfn.XLOOKUP(F2495:F6537,kunishuClan!A:A,kunishuClan!B:B),"浪人")))</f>
      </c>
      <c r="F2495" s="4">
        <v>0</v>
      </c>
      <c r="G2495" s="4">
        <v>187</v>
      </c>
      <c r="H2495" s="12" t="str">
        <f t="array" ref="H2495">IF(G2495:G6537="","",_xlfn.XLOOKUP(G2495:G6537,castles_state!A:A,castles_state!D:D,"見つかりません"))</f>
      </c>
      <c r="I2495" s="4"/>
      <c r="J2495" s="12" t="str">
        <f t="array" ref="J2495">IF(I2495:I6537="","",_xlfn.XLOOKUP(I2495:I6537,'参照_姫'!A:A,'参照_姫'!B:B,"見つかりません"))</f>
      </c>
      <c r="K2495" s="4">
        <v>95</v>
      </c>
      <c r="L2495" s="4">
        <v>0</v>
      </c>
      <c r="M2495" s="4"/>
      <c r="N2495" s="4"/>
      <c r="O2495" s="4"/>
      <c r="P2495" s="12" t="str">
        <f t="array" ref="P2495">IF(O2495:O6537="","",_xlfn.XLOOKUP(O2495:O6537,'参照_官位'!A:A,'参照_官位'!B:B,""))</f>
      </c>
      <c r="Q2495" s="12" t="str">
        <f t="array" ref="Q2495">IF(A2495:A6537="","",IFERROR(_xlfn.XLOOKUP(A2495:A6537,castles_state!K:K,castles_state!D:D)&amp;"主",IFERROR(_xlfn.XLOOKUP(A2495:A6537,kunishuClan!D:D,kunishuClan!B:B)&amp;"当主","")))</f>
      </c>
    </row>
    <row r="2496" ht="15.75" customHeight="1">
      <c r="A2496" s="4">
        <v>1067016</v>
      </c>
      <c r="B2496" s="12" t="str">
        <f t="array" ref="B2496">IF(A2496:A6538="","",_xlfn.XLOOKUP(A2496:A6538,'参照_武将'!A:A,'参照_武将'!B:B,"見つかりません"))</f>
      </c>
      <c r="C2496" s="4" t="s">
        <v>321</v>
      </c>
      <c r="D2496" s="4">
        <v>67</v>
      </c>
      <c r="E2496" s="12" t="str">
        <f t="array" ref="E2496">IF(D2496:D6538="","",IFERROR(_xlfn.XLOOKUP(D2496:D6538,'参照_勢力'!A:A,'参照_勢力'!B:B),IFERROR(_xlfn.XLOOKUP(F2496:F6538,kunishuClan!A:A,kunishuClan!B:B),"浪人")))</f>
      </c>
      <c r="F2496" s="4">
        <v>0</v>
      </c>
      <c r="G2496" s="4">
        <v>187</v>
      </c>
      <c r="H2496" s="12" t="str">
        <f t="array" ref="H2496">IF(G2496:G6538="","",_xlfn.XLOOKUP(G2496:G6538,castles_state!A:A,castles_state!D:D,"見つかりません"))</f>
      </c>
      <c r="I2496" s="4"/>
      <c r="J2496" s="12" t="str">
        <f t="array" ref="J2496">IF(I2496:I6538="","",_xlfn.XLOOKUP(I2496:I6538,'参照_姫'!A:A,'参照_姫'!B:B,"見つかりません"))</f>
      </c>
      <c r="K2496" s="4">
        <v>95</v>
      </c>
      <c r="L2496" s="4">
        <v>0</v>
      </c>
      <c r="M2496" s="4"/>
      <c r="N2496" s="4"/>
      <c r="O2496" s="4"/>
      <c r="P2496" s="12" t="str">
        <f t="array" ref="P2496">IF(O2496:O6538="","",_xlfn.XLOOKUP(O2496:O6538,'参照_官位'!A:A,'参照_官位'!B:B,""))</f>
      </c>
      <c r="Q2496" s="12" t="str">
        <f t="array" ref="Q2496">IF(A2496:A6538="","",IFERROR(_xlfn.XLOOKUP(A2496:A6538,castles_state!K:K,castles_state!D:D)&amp;"主",IFERROR(_xlfn.XLOOKUP(A2496:A6538,kunishuClan!D:D,kunishuClan!B:B)&amp;"当主","")))</f>
      </c>
    </row>
    <row r="2497" ht="15.75" customHeight="1">
      <c r="A2497" s="4">
        <v>1067017</v>
      </c>
      <c r="B2497" s="12" t="str">
        <f t="array" ref="B2497">IF(A2497:A6539="","",_xlfn.XLOOKUP(A2497:A6539,'参照_武将'!A:A,'参照_武将'!B:B,"見つかりません"))</f>
      </c>
      <c r="C2497" s="4" t="s">
        <v>321</v>
      </c>
      <c r="D2497" s="4">
        <v>67</v>
      </c>
      <c r="E2497" s="12" t="str">
        <f t="array" ref="E2497">IF(D2497:D6539="","",IFERROR(_xlfn.XLOOKUP(D2497:D6539,'参照_勢力'!A:A,'参照_勢力'!B:B),IFERROR(_xlfn.XLOOKUP(F2497:F6539,kunishuClan!A:A,kunishuClan!B:B),"浪人")))</f>
      </c>
      <c r="F2497" s="4">
        <v>0</v>
      </c>
      <c r="G2497" s="4">
        <v>187</v>
      </c>
      <c r="H2497" s="12" t="str">
        <f t="array" ref="H2497">IF(G2497:G6539="","",_xlfn.XLOOKUP(G2497:G6539,castles_state!A:A,castles_state!D:D,"見つかりません"))</f>
      </c>
      <c r="I2497" s="4"/>
      <c r="J2497" s="12" t="str">
        <f t="array" ref="J2497">IF(I2497:I6539="","",_xlfn.XLOOKUP(I2497:I6539,'参照_姫'!A:A,'参照_姫'!B:B,"見つかりません"))</f>
      </c>
      <c r="K2497" s="4">
        <v>95</v>
      </c>
      <c r="L2497" s="4">
        <v>0</v>
      </c>
      <c r="M2497" s="4"/>
      <c r="N2497" s="4"/>
      <c r="O2497" s="4"/>
      <c r="P2497" s="12" t="str">
        <f t="array" ref="P2497">IF(O2497:O6539="","",_xlfn.XLOOKUP(O2497:O6539,'参照_官位'!A:A,'参照_官位'!B:B,""))</f>
      </c>
      <c r="Q2497" s="12" t="str">
        <f t="array" ref="Q2497">IF(A2497:A6539="","",IFERROR(_xlfn.XLOOKUP(A2497:A6539,castles_state!K:K,castles_state!D:D)&amp;"主",IFERROR(_xlfn.XLOOKUP(A2497:A6539,kunishuClan!D:D,kunishuClan!B:B)&amp;"当主","")))</f>
      </c>
    </row>
    <row r="2498" ht="15.75" customHeight="1">
      <c r="A2498" s="4">
        <v>1067018</v>
      </c>
      <c r="B2498" s="12" t="str">
        <f t="array" ref="B2498">IF(A2498:A6540="","",_xlfn.XLOOKUP(A2498:A6540,'参照_武将'!A:A,'参照_武将'!B:B,"見つかりません"))</f>
      </c>
      <c r="C2498" s="4" t="s">
        <v>321</v>
      </c>
      <c r="D2498" s="4">
        <v>67</v>
      </c>
      <c r="E2498" s="12" t="str">
        <f t="array" ref="E2498">IF(D2498:D6540="","",IFERROR(_xlfn.XLOOKUP(D2498:D6540,'参照_勢力'!A:A,'参照_勢力'!B:B),IFERROR(_xlfn.XLOOKUP(F2498:F6540,kunishuClan!A:A,kunishuClan!B:B),"浪人")))</f>
      </c>
      <c r="F2498" s="4">
        <v>0</v>
      </c>
      <c r="G2498" s="4">
        <v>187</v>
      </c>
      <c r="H2498" s="12" t="str">
        <f t="array" ref="H2498">IF(G2498:G6540="","",_xlfn.XLOOKUP(G2498:G6540,castles_state!A:A,castles_state!D:D,"見つかりません"))</f>
      </c>
      <c r="I2498" s="4"/>
      <c r="J2498" s="12" t="str">
        <f t="array" ref="J2498">IF(I2498:I6540="","",_xlfn.XLOOKUP(I2498:I6540,'参照_姫'!A:A,'参照_姫'!B:B,"見つかりません"))</f>
      </c>
      <c r="K2498" s="4">
        <v>95</v>
      </c>
      <c r="L2498" s="4">
        <v>0</v>
      </c>
      <c r="M2498" s="4"/>
      <c r="N2498" s="4"/>
      <c r="O2498" s="4"/>
      <c r="P2498" s="12" t="str">
        <f t="array" ref="P2498">IF(O2498:O6540="","",_xlfn.XLOOKUP(O2498:O6540,'参照_官位'!A:A,'参照_官位'!B:B,""))</f>
      </c>
      <c r="Q2498" s="12" t="str">
        <f t="array" ref="Q2498">IF(A2498:A6540="","",IFERROR(_xlfn.XLOOKUP(A2498:A6540,castles_state!K:K,castles_state!D:D)&amp;"主",IFERROR(_xlfn.XLOOKUP(A2498:A6540,kunishuClan!D:D,kunishuClan!B:B)&amp;"当主","")))</f>
      </c>
    </row>
    <row r="2499" ht="15.75" customHeight="1">
      <c r="A2499" s="4">
        <v>1067019</v>
      </c>
      <c r="B2499" s="12" t="str">
        <f t="array" ref="B2499">IF(A2499:A6541="","",_xlfn.XLOOKUP(A2499:A6541,'参照_武将'!A:A,'参照_武将'!B:B,"見つかりません"))</f>
      </c>
      <c r="C2499" s="4" t="s">
        <v>321</v>
      </c>
      <c r="D2499" s="4">
        <v>67</v>
      </c>
      <c r="E2499" s="12" t="str">
        <f t="array" ref="E2499">IF(D2499:D6541="","",IFERROR(_xlfn.XLOOKUP(D2499:D6541,'参照_勢力'!A:A,'参照_勢力'!B:B),IFERROR(_xlfn.XLOOKUP(F2499:F6541,kunishuClan!A:A,kunishuClan!B:B),"浪人")))</f>
      </c>
      <c r="F2499" s="4">
        <v>0</v>
      </c>
      <c r="G2499" s="4">
        <v>187</v>
      </c>
      <c r="H2499" s="12" t="str">
        <f t="array" ref="H2499">IF(G2499:G6541="","",_xlfn.XLOOKUP(G2499:G6541,castles_state!A:A,castles_state!D:D,"見つかりません"))</f>
      </c>
      <c r="I2499" s="4"/>
      <c r="J2499" s="12" t="str">
        <f t="array" ref="J2499">IF(I2499:I6541="","",_xlfn.XLOOKUP(I2499:I6541,'参照_姫'!A:A,'参照_姫'!B:B,"見つかりません"))</f>
      </c>
      <c r="K2499" s="4">
        <v>95</v>
      </c>
      <c r="L2499" s="4">
        <v>0</v>
      </c>
      <c r="M2499" s="4"/>
      <c r="N2499" s="4"/>
      <c r="O2499" s="4"/>
      <c r="P2499" s="12" t="str">
        <f t="array" ref="P2499">IF(O2499:O6541="","",_xlfn.XLOOKUP(O2499:O6541,'参照_官位'!A:A,'参照_官位'!B:B,""))</f>
      </c>
      <c r="Q2499" s="12" t="str">
        <f t="array" ref="Q2499">IF(A2499:A6541="","",IFERROR(_xlfn.XLOOKUP(A2499:A6541,castles_state!K:K,castles_state!D:D)&amp;"主",IFERROR(_xlfn.XLOOKUP(A2499:A6541,kunishuClan!D:D,kunishuClan!B:B)&amp;"当主","")))</f>
      </c>
    </row>
    <row r="2500" ht="15.75" customHeight="1">
      <c r="A2500" s="4">
        <v>1067020</v>
      </c>
      <c r="B2500" s="12" t="str">
        <f t="array" ref="B2500">IF(A2500:A6542="","",_xlfn.XLOOKUP(A2500:A6542,'参照_武将'!A:A,'参照_武将'!B:B,"見つかりません"))</f>
      </c>
      <c r="C2500" s="4" t="s">
        <v>321</v>
      </c>
      <c r="D2500" s="4">
        <v>67</v>
      </c>
      <c r="E2500" s="12" t="str">
        <f t="array" ref="E2500">IF(D2500:D6542="","",IFERROR(_xlfn.XLOOKUP(D2500:D6542,'参照_勢力'!A:A,'参照_勢力'!B:B),IFERROR(_xlfn.XLOOKUP(F2500:F6542,kunishuClan!A:A,kunishuClan!B:B),"浪人")))</f>
      </c>
      <c r="F2500" s="4">
        <v>0</v>
      </c>
      <c r="G2500" s="4">
        <v>187</v>
      </c>
      <c r="H2500" s="12" t="str">
        <f t="array" ref="H2500">IF(G2500:G6542="","",_xlfn.XLOOKUP(G2500:G6542,castles_state!A:A,castles_state!D:D,"見つかりません"))</f>
      </c>
      <c r="I2500" s="4"/>
      <c r="J2500" s="12" t="str">
        <f t="array" ref="J2500">IF(I2500:I6542="","",_xlfn.XLOOKUP(I2500:I6542,'参照_姫'!A:A,'参照_姫'!B:B,"見つかりません"))</f>
      </c>
      <c r="K2500" s="4">
        <v>90</v>
      </c>
      <c r="L2500" s="4">
        <v>0</v>
      </c>
      <c r="M2500" s="4"/>
      <c r="N2500" s="4"/>
      <c r="O2500" s="4"/>
      <c r="P2500" s="12" t="str">
        <f t="array" ref="P2500">IF(O2500:O6542="","",_xlfn.XLOOKUP(O2500:O6542,'参照_官位'!A:A,'参照_官位'!B:B,""))</f>
      </c>
      <c r="Q2500" s="12" t="str">
        <f t="array" ref="Q2500">IF(A2500:A6542="","",IFERROR(_xlfn.XLOOKUP(A2500:A6542,castles_state!K:K,castles_state!D:D)&amp;"主",IFERROR(_xlfn.XLOOKUP(A2500:A6542,kunishuClan!D:D,kunishuClan!B:B)&amp;"当主","")))</f>
      </c>
    </row>
    <row r="2501" ht="15.75" customHeight="1">
      <c r="A2501" s="4">
        <v>1067021</v>
      </c>
      <c r="B2501" s="12" t="str">
        <f t="array" ref="B2501">IF(A2501:A6543="","",_xlfn.XLOOKUP(A2501:A6543,'参照_武将'!A:A,'参照_武将'!B:B,"見つかりません"))</f>
      </c>
      <c r="C2501" s="4" t="s">
        <v>321</v>
      </c>
      <c r="D2501" s="4">
        <v>67</v>
      </c>
      <c r="E2501" s="12" t="str">
        <f t="array" ref="E2501">IF(D2501:D6543="","",IFERROR(_xlfn.XLOOKUP(D2501:D6543,'参照_勢力'!A:A,'参照_勢力'!B:B),IFERROR(_xlfn.XLOOKUP(F2501:F6543,kunishuClan!A:A,kunishuClan!B:B),"浪人")))</f>
      </c>
      <c r="F2501" s="4">
        <v>0</v>
      </c>
      <c r="G2501" s="4">
        <v>187</v>
      </c>
      <c r="H2501" s="12" t="str">
        <f t="array" ref="H2501">IF(G2501:G6543="","",_xlfn.XLOOKUP(G2501:G6543,castles_state!A:A,castles_state!D:D,"見つかりません"))</f>
      </c>
      <c r="I2501" s="4"/>
      <c r="J2501" s="12" t="str">
        <f t="array" ref="J2501">IF(I2501:I6543="","",_xlfn.XLOOKUP(I2501:I6543,'参照_姫'!A:A,'参照_姫'!B:B,"見つかりません"))</f>
      </c>
      <c r="K2501" s="4">
        <v>95</v>
      </c>
      <c r="L2501" s="4">
        <v>0</v>
      </c>
      <c r="M2501" s="4"/>
      <c r="N2501" s="4"/>
      <c r="O2501" s="4"/>
      <c r="P2501" s="12" t="str">
        <f t="array" ref="P2501">IF(O2501:O6543="","",_xlfn.XLOOKUP(O2501:O6543,'参照_官位'!A:A,'参照_官位'!B:B,""))</f>
      </c>
      <c r="Q2501" s="12" t="str">
        <f t="array" ref="Q2501">IF(A2501:A6543="","",IFERROR(_xlfn.XLOOKUP(A2501:A6543,castles_state!K:K,castles_state!D:D)&amp;"主",IFERROR(_xlfn.XLOOKUP(A2501:A6543,kunishuClan!D:D,kunishuClan!B:B)&amp;"当主","")))</f>
      </c>
    </row>
    <row r="2502" ht="15.75" customHeight="1">
      <c r="A2502" s="4">
        <v>1067022</v>
      </c>
      <c r="B2502" s="12" t="str">
        <f t="array" ref="B2502">IF(A2502:A6544="","",_xlfn.XLOOKUP(A2502:A6544,'参照_武将'!A:A,'参照_武将'!B:B,"見つかりません"))</f>
      </c>
      <c r="C2502" s="4" t="s">
        <v>321</v>
      </c>
      <c r="D2502" s="4">
        <v>67</v>
      </c>
      <c r="E2502" s="12" t="str">
        <f t="array" ref="E2502">IF(D2502:D6544="","",IFERROR(_xlfn.XLOOKUP(D2502:D6544,'参照_勢力'!A:A,'参照_勢力'!B:B),IFERROR(_xlfn.XLOOKUP(F2502:F6544,kunishuClan!A:A,kunishuClan!B:B),"浪人")))</f>
      </c>
      <c r="F2502" s="4">
        <v>0</v>
      </c>
      <c r="G2502" s="4">
        <v>187</v>
      </c>
      <c r="H2502" s="12" t="str">
        <f t="array" ref="H2502">IF(G2502:G6544="","",_xlfn.XLOOKUP(G2502:G6544,castles_state!A:A,castles_state!D:D,"見つかりません"))</f>
      </c>
      <c r="I2502" s="4"/>
      <c r="J2502" s="12" t="str">
        <f t="array" ref="J2502">IF(I2502:I6544="","",_xlfn.XLOOKUP(I2502:I6544,'参照_姫'!A:A,'参照_姫'!B:B,"見つかりません"))</f>
      </c>
      <c r="K2502" s="4">
        <v>95</v>
      </c>
      <c r="L2502" s="4">
        <v>0</v>
      </c>
      <c r="M2502" s="4"/>
      <c r="N2502" s="4"/>
      <c r="O2502" s="4"/>
      <c r="P2502" s="12" t="str">
        <f t="array" ref="P2502">IF(O2502:O6544="","",_xlfn.XLOOKUP(O2502:O6544,'参照_官位'!A:A,'参照_官位'!B:B,""))</f>
      </c>
      <c r="Q2502" s="12" t="str">
        <f t="array" ref="Q2502">IF(A2502:A6544="","",IFERROR(_xlfn.XLOOKUP(A2502:A6544,castles_state!K:K,castles_state!D:D)&amp;"主",IFERROR(_xlfn.XLOOKUP(A2502:A6544,kunishuClan!D:D,kunishuClan!B:B)&amp;"当主","")))</f>
      </c>
    </row>
    <row r="2503" ht="15.75" customHeight="1">
      <c r="A2503" s="4">
        <v>1067025</v>
      </c>
      <c r="B2503" s="12" t="str">
        <f t="array" ref="B2503">IF(A2503:A6545="","",_xlfn.XLOOKUP(A2503:A6545,'参照_武将'!A:A,'参照_武将'!B:B,"見つかりません"))</f>
      </c>
      <c r="C2503" s="4" t="s">
        <v>321</v>
      </c>
      <c r="D2503" s="4">
        <v>67</v>
      </c>
      <c r="E2503" s="12" t="str">
        <f t="array" ref="E2503">IF(D2503:D6545="","",IFERROR(_xlfn.XLOOKUP(D2503:D6545,'参照_勢力'!A:A,'参照_勢力'!B:B),IFERROR(_xlfn.XLOOKUP(F2503:F6545,kunishuClan!A:A,kunishuClan!B:B),"浪人")))</f>
      </c>
      <c r="F2503" s="4">
        <v>0</v>
      </c>
      <c r="G2503" s="4">
        <v>187</v>
      </c>
      <c r="H2503" s="12" t="str">
        <f t="array" ref="H2503">IF(G2503:G6545="","",_xlfn.XLOOKUP(G2503:G6545,castles_state!A:A,castles_state!D:D,"見つかりません"))</f>
      </c>
      <c r="I2503" s="4"/>
      <c r="J2503" s="12" t="str">
        <f t="array" ref="J2503">IF(I2503:I6545="","",_xlfn.XLOOKUP(I2503:I6545,'参照_姫'!A:A,'参照_姫'!B:B,"見つかりません"))</f>
      </c>
      <c r="K2503" s="4">
        <v>95</v>
      </c>
      <c r="L2503" s="4">
        <v>0</v>
      </c>
      <c r="M2503" s="4"/>
      <c r="N2503" s="4"/>
      <c r="O2503" s="4"/>
      <c r="P2503" s="12" t="str">
        <f t="array" ref="P2503">IF(O2503:O6545="","",_xlfn.XLOOKUP(O2503:O6545,'参照_官位'!A:A,'参照_官位'!B:B,""))</f>
      </c>
      <c r="Q2503" s="12" t="str">
        <f t="array" ref="Q2503">IF(A2503:A6545="","",IFERROR(_xlfn.XLOOKUP(A2503:A6545,castles_state!K:K,castles_state!D:D)&amp;"主",IFERROR(_xlfn.XLOOKUP(A2503:A6545,kunishuClan!D:D,kunishuClan!B:B)&amp;"当主","")))</f>
      </c>
    </row>
    <row r="2504" ht="15.75" customHeight="1">
      <c r="A2504" s="4">
        <v>1067026</v>
      </c>
      <c r="B2504" s="12" t="str">
        <f t="array" ref="B2504">IF(A2504:A6546="","",_xlfn.XLOOKUP(A2504:A6546,'参照_武将'!A:A,'参照_武将'!B:B,"見つかりません"))</f>
      </c>
      <c r="C2504" s="4" t="s">
        <v>321</v>
      </c>
      <c r="D2504" s="4">
        <v>67</v>
      </c>
      <c r="E2504" s="12" t="str">
        <f t="array" ref="E2504">IF(D2504:D6546="","",IFERROR(_xlfn.XLOOKUP(D2504:D6546,'参照_勢力'!A:A,'参照_勢力'!B:B),IFERROR(_xlfn.XLOOKUP(F2504:F6546,kunishuClan!A:A,kunishuClan!B:B),"浪人")))</f>
      </c>
      <c r="F2504" s="4">
        <v>0</v>
      </c>
      <c r="G2504" s="4">
        <v>187</v>
      </c>
      <c r="H2504" s="12" t="str">
        <f t="array" ref="H2504">IF(G2504:G6546="","",_xlfn.XLOOKUP(G2504:G6546,castles_state!A:A,castles_state!D:D,"見つかりません"))</f>
      </c>
      <c r="I2504" s="4"/>
      <c r="J2504" s="12" t="str">
        <f t="array" ref="J2504">IF(I2504:I6546="","",_xlfn.XLOOKUP(I2504:I6546,'参照_姫'!A:A,'参照_姫'!B:B,"見つかりません"))</f>
      </c>
      <c r="K2504" s="4">
        <v>95</v>
      </c>
      <c r="L2504" s="4">
        <v>0</v>
      </c>
      <c r="M2504" s="4"/>
      <c r="N2504" s="4"/>
      <c r="O2504" s="4"/>
      <c r="P2504" s="12" t="str">
        <f t="array" ref="P2504">IF(O2504:O6546="","",_xlfn.XLOOKUP(O2504:O6546,'参照_官位'!A:A,'参照_官位'!B:B,""))</f>
      </c>
      <c r="Q2504" s="12" t="str">
        <f t="array" ref="Q2504">IF(A2504:A6546="","",IFERROR(_xlfn.XLOOKUP(A2504:A6546,castles_state!K:K,castles_state!D:D)&amp;"主",IFERROR(_xlfn.XLOOKUP(A2504:A6546,kunishuClan!D:D,kunishuClan!B:B)&amp;"当主","")))</f>
      </c>
    </row>
    <row r="2505" ht="15.75" customHeight="1">
      <c r="A2505" s="4">
        <v>1067027</v>
      </c>
      <c r="B2505" s="12" t="str">
        <f t="array" ref="B2505">IF(A2505:A6547="","",_xlfn.XLOOKUP(A2505:A6547,'参照_武将'!A:A,'参照_武将'!B:B,"見つかりません"))</f>
      </c>
      <c r="C2505" s="4" t="s">
        <v>321</v>
      </c>
      <c r="D2505" s="4">
        <v>67</v>
      </c>
      <c r="E2505" s="12" t="str">
        <f t="array" ref="E2505">IF(D2505:D6547="","",IFERROR(_xlfn.XLOOKUP(D2505:D6547,'参照_勢力'!A:A,'参照_勢力'!B:B),IFERROR(_xlfn.XLOOKUP(F2505:F6547,kunishuClan!A:A,kunishuClan!B:B),"浪人")))</f>
      </c>
      <c r="F2505" s="4">
        <v>0</v>
      </c>
      <c r="G2505" s="4">
        <v>187</v>
      </c>
      <c r="H2505" s="12" t="str">
        <f t="array" ref="H2505">IF(G2505:G6547="","",_xlfn.XLOOKUP(G2505:G6547,castles_state!A:A,castles_state!D:D,"見つかりません"))</f>
      </c>
      <c r="I2505" s="4"/>
      <c r="J2505" s="12" t="str">
        <f t="array" ref="J2505">IF(I2505:I6547="","",_xlfn.XLOOKUP(I2505:I6547,'参照_姫'!A:A,'参照_姫'!B:B,"見つかりません"))</f>
      </c>
      <c r="K2505" s="4">
        <v>95</v>
      </c>
      <c r="L2505" s="4">
        <v>0</v>
      </c>
      <c r="M2505" s="4"/>
      <c r="N2505" s="4"/>
      <c r="O2505" s="4"/>
      <c r="P2505" s="12" t="str">
        <f t="array" ref="P2505">IF(O2505:O6547="","",_xlfn.XLOOKUP(O2505:O6547,'参照_官位'!A:A,'参照_官位'!B:B,""))</f>
      </c>
      <c r="Q2505" s="12" t="str">
        <f t="array" ref="Q2505">IF(A2505:A6547="","",IFERROR(_xlfn.XLOOKUP(A2505:A6547,castles_state!K:K,castles_state!D:D)&amp;"主",IFERROR(_xlfn.XLOOKUP(A2505:A6547,kunishuClan!D:D,kunishuClan!B:B)&amp;"当主","")))</f>
      </c>
    </row>
    <row r="2506" ht="15.75" customHeight="1">
      <c r="A2506" s="4">
        <v>1067028</v>
      </c>
      <c r="B2506" s="12" t="str">
        <f t="array" ref="B2506">IF(A2506:A6548="","",_xlfn.XLOOKUP(A2506:A6548,'参照_武将'!A:A,'参照_武将'!B:B,"見つかりません"))</f>
      </c>
      <c r="C2506" s="4" t="s">
        <v>321</v>
      </c>
      <c r="D2506" s="4">
        <v>67</v>
      </c>
      <c r="E2506" s="12" t="str">
        <f t="array" ref="E2506">IF(D2506:D6548="","",IFERROR(_xlfn.XLOOKUP(D2506:D6548,'参照_勢力'!A:A,'参照_勢力'!B:B),IFERROR(_xlfn.XLOOKUP(F2506:F6548,kunishuClan!A:A,kunishuClan!B:B),"浪人")))</f>
      </c>
      <c r="F2506" s="4">
        <v>0</v>
      </c>
      <c r="G2506" s="4">
        <v>187</v>
      </c>
      <c r="H2506" s="12" t="str">
        <f t="array" ref="H2506">IF(G2506:G6548="","",_xlfn.XLOOKUP(G2506:G6548,castles_state!A:A,castles_state!D:D,"見つかりません"))</f>
      </c>
      <c r="I2506" s="4"/>
      <c r="J2506" s="12" t="str">
        <f t="array" ref="J2506">IF(I2506:I6548="","",_xlfn.XLOOKUP(I2506:I6548,'参照_姫'!A:A,'参照_姫'!B:B,"見つかりません"))</f>
      </c>
      <c r="K2506" s="4">
        <v>95</v>
      </c>
      <c r="L2506" s="4">
        <v>0</v>
      </c>
      <c r="M2506" s="4"/>
      <c r="N2506" s="4"/>
      <c r="O2506" s="4"/>
      <c r="P2506" s="12" t="str">
        <f t="array" ref="P2506">IF(O2506:O6548="","",_xlfn.XLOOKUP(O2506:O6548,'参照_官位'!A:A,'参照_官位'!B:B,""))</f>
      </c>
      <c r="Q2506" s="12" t="str">
        <f t="array" ref="Q2506">IF(A2506:A6548="","",IFERROR(_xlfn.XLOOKUP(A2506:A6548,castles_state!K:K,castles_state!D:D)&amp;"主",IFERROR(_xlfn.XLOOKUP(A2506:A6548,kunishuClan!D:D,kunishuClan!B:B)&amp;"当主","")))</f>
      </c>
    </row>
    <row r="2507" ht="15.75" customHeight="1">
      <c r="A2507" s="4">
        <v>1068001</v>
      </c>
      <c r="B2507" s="12" t="str">
        <f t="array" ref="B2507">IF(A2507:A6549="","",_xlfn.XLOOKUP(A2507:A6549,'参照_武将'!A:A,'参照_武将'!B:B,"見つかりません"))</f>
      </c>
      <c r="C2507" s="4" t="s">
        <v>325</v>
      </c>
      <c r="D2507" s="4">
        <v>68</v>
      </c>
      <c r="E2507" s="12" t="str">
        <f t="array" ref="E2507">IF(D2507:D6549="","",IFERROR(_xlfn.XLOOKUP(D2507:D6549,'参照_勢力'!A:A,'参照_勢力'!B:B),IFERROR(_xlfn.XLOOKUP(F2507:F6549,kunishuClan!A:A,kunishuClan!B:B),"浪人")))</f>
      </c>
      <c r="F2507" s="4">
        <v>0</v>
      </c>
      <c r="G2507" s="4">
        <v>194</v>
      </c>
      <c r="H2507" s="12" t="str">
        <f t="array" ref="H2507">IF(G2507:G6549="","",_xlfn.XLOOKUP(G2507:G6549,castles_state!A:A,castles_state!D:D,"見つかりません"))</f>
      </c>
      <c r="I2507" s="4"/>
      <c r="J2507" s="12" t="str">
        <f t="array" ref="J2507">IF(I2507:I6549="","",_xlfn.XLOOKUP(I2507:I6549,'参照_姫'!A:A,'参照_姫'!B:B,"見つかりません"))</f>
      </c>
      <c r="K2507" s="4">
        <v>95</v>
      </c>
      <c r="L2507" s="4">
        <v>0</v>
      </c>
      <c r="M2507" s="4"/>
      <c r="N2507" s="4"/>
      <c r="O2507" s="4"/>
      <c r="P2507" s="12" t="str">
        <f t="array" ref="P2507">IF(O2507:O6549="","",_xlfn.XLOOKUP(O2507:O6549,'参照_官位'!A:A,'参照_官位'!B:B,""))</f>
      </c>
      <c r="Q2507" s="12" t="str">
        <f t="array" ref="Q2507">IF(A2507:A6549="","",IFERROR(_xlfn.XLOOKUP(A2507:A6549,castles_state!K:K,castles_state!D:D)&amp;"主",IFERROR(_xlfn.XLOOKUP(A2507:A6549,kunishuClan!D:D,kunishuClan!B:B)&amp;"当主","")))</f>
      </c>
    </row>
    <row r="2508" ht="15.75" customHeight="1">
      <c r="A2508" s="4">
        <v>1068002</v>
      </c>
      <c r="B2508" s="12" t="str">
        <f t="array" ref="B2508">IF(A2508:A6550="","",_xlfn.XLOOKUP(A2508:A6550,'参照_武将'!A:A,'参照_武将'!B:B,"見つかりません"))</f>
      </c>
      <c r="C2508" s="4" t="s">
        <v>325</v>
      </c>
      <c r="D2508" s="4">
        <v>68</v>
      </c>
      <c r="E2508" s="12" t="str">
        <f t="array" ref="E2508">IF(D2508:D6550="","",IFERROR(_xlfn.XLOOKUP(D2508:D6550,'参照_勢力'!A:A,'参照_勢力'!B:B),IFERROR(_xlfn.XLOOKUP(F2508:F6550,kunishuClan!A:A,kunishuClan!B:B),"浪人")))</f>
      </c>
      <c r="F2508" s="4">
        <v>0</v>
      </c>
      <c r="G2508" s="4">
        <v>194</v>
      </c>
      <c r="H2508" s="12" t="str">
        <f t="array" ref="H2508">IF(G2508:G6550="","",_xlfn.XLOOKUP(G2508:G6550,castles_state!A:A,castles_state!D:D,"見つかりません"))</f>
      </c>
      <c r="I2508" s="4"/>
      <c r="J2508" s="12" t="str">
        <f t="array" ref="J2508">IF(I2508:I6550="","",_xlfn.XLOOKUP(I2508:I6550,'参照_姫'!A:A,'参照_姫'!B:B,"見つかりません"))</f>
      </c>
      <c r="K2508" s="4">
        <v>95</v>
      </c>
      <c r="L2508" s="4">
        <v>0</v>
      </c>
      <c r="M2508" s="4"/>
      <c r="N2508" s="4"/>
      <c r="O2508" s="4"/>
      <c r="P2508" s="12" t="str">
        <f t="array" ref="P2508">IF(O2508:O6550="","",_xlfn.XLOOKUP(O2508:O6550,'参照_官位'!A:A,'参照_官位'!B:B,""))</f>
      </c>
      <c r="Q2508" s="12" t="str">
        <f t="array" ref="Q2508">IF(A2508:A6550="","",IFERROR(_xlfn.XLOOKUP(A2508:A6550,castles_state!K:K,castles_state!D:D)&amp;"主",IFERROR(_xlfn.XLOOKUP(A2508:A6550,kunishuClan!D:D,kunishuClan!B:B)&amp;"当主","")))</f>
      </c>
    </row>
    <row r="2509" ht="15.75" customHeight="1">
      <c r="A2509" s="4">
        <v>1068003</v>
      </c>
      <c r="B2509" s="12" t="str">
        <f t="array" ref="B2509">IF(A2509:A6551="","",_xlfn.XLOOKUP(A2509:A6551,'参照_武将'!A:A,'参照_武将'!B:B,"見つかりません"))</f>
      </c>
      <c r="C2509" s="4" t="s">
        <v>325</v>
      </c>
      <c r="D2509" s="4">
        <v>68</v>
      </c>
      <c r="E2509" s="12" t="str">
        <f t="array" ref="E2509">IF(D2509:D6551="","",IFERROR(_xlfn.XLOOKUP(D2509:D6551,'参照_勢力'!A:A,'参照_勢力'!B:B),IFERROR(_xlfn.XLOOKUP(F2509:F6551,kunishuClan!A:A,kunishuClan!B:B),"浪人")))</f>
      </c>
      <c r="F2509" s="4">
        <v>0</v>
      </c>
      <c r="G2509" s="4">
        <v>194</v>
      </c>
      <c r="H2509" s="12" t="str">
        <f t="array" ref="H2509">IF(G2509:G6551="","",_xlfn.XLOOKUP(G2509:G6551,castles_state!A:A,castles_state!D:D,"見つかりません"))</f>
      </c>
      <c r="I2509" s="4"/>
      <c r="J2509" s="12" t="str">
        <f t="array" ref="J2509">IF(I2509:I6551="","",_xlfn.XLOOKUP(I2509:I6551,'参照_姫'!A:A,'参照_姫'!B:B,"見つかりません"))</f>
      </c>
      <c r="K2509" s="4">
        <v>95</v>
      </c>
      <c r="L2509" s="4">
        <v>0</v>
      </c>
      <c r="M2509" s="4"/>
      <c r="N2509" s="4"/>
      <c r="O2509" s="4"/>
      <c r="P2509" s="12" t="str">
        <f t="array" ref="P2509">IF(O2509:O6551="","",_xlfn.XLOOKUP(O2509:O6551,'参照_官位'!A:A,'参照_官位'!B:B,""))</f>
      </c>
      <c r="Q2509" s="12" t="str">
        <f t="array" ref="Q2509">IF(A2509:A6551="","",IFERROR(_xlfn.XLOOKUP(A2509:A6551,castles_state!K:K,castles_state!D:D)&amp;"主",IFERROR(_xlfn.XLOOKUP(A2509:A6551,kunishuClan!D:D,kunishuClan!B:B)&amp;"当主","")))</f>
      </c>
    </row>
    <row r="2510" ht="15.75" customHeight="1">
      <c r="A2510" s="4">
        <v>1068004</v>
      </c>
      <c r="B2510" s="12" t="str">
        <f t="array" ref="B2510">IF(A2510:A6552="","",_xlfn.XLOOKUP(A2510:A6552,'参照_武将'!A:A,'参照_武将'!B:B,"見つかりません"))</f>
      </c>
      <c r="C2510" s="4" t="s">
        <v>325</v>
      </c>
      <c r="D2510" s="4">
        <v>68</v>
      </c>
      <c r="E2510" s="12" t="str">
        <f t="array" ref="E2510">IF(D2510:D6552="","",IFERROR(_xlfn.XLOOKUP(D2510:D6552,'参照_勢力'!A:A,'参照_勢力'!B:B),IFERROR(_xlfn.XLOOKUP(F2510:F6552,kunishuClan!A:A,kunishuClan!B:B),"浪人")))</f>
      </c>
      <c r="F2510" s="4">
        <v>0</v>
      </c>
      <c r="G2510" s="4">
        <v>194</v>
      </c>
      <c r="H2510" s="12" t="str">
        <f t="array" ref="H2510">IF(G2510:G6552="","",_xlfn.XLOOKUP(G2510:G6552,castles_state!A:A,castles_state!D:D,"見つかりません"))</f>
      </c>
      <c r="I2510" s="4"/>
      <c r="J2510" s="12" t="str">
        <f t="array" ref="J2510">IF(I2510:I6552="","",_xlfn.XLOOKUP(I2510:I6552,'参照_姫'!A:A,'参照_姫'!B:B,"見つかりません"))</f>
      </c>
      <c r="K2510" s="4">
        <v>95</v>
      </c>
      <c r="L2510" s="4">
        <v>0</v>
      </c>
      <c r="M2510" s="4"/>
      <c r="N2510" s="4"/>
      <c r="O2510" s="4"/>
      <c r="P2510" s="12" t="str">
        <f t="array" ref="P2510">IF(O2510:O6552="","",_xlfn.XLOOKUP(O2510:O6552,'参照_官位'!A:A,'参照_官位'!B:B,""))</f>
      </c>
      <c r="Q2510" s="12" t="str">
        <f t="array" ref="Q2510">IF(A2510:A6552="","",IFERROR(_xlfn.XLOOKUP(A2510:A6552,castles_state!K:K,castles_state!D:D)&amp;"主",IFERROR(_xlfn.XLOOKUP(A2510:A6552,kunishuClan!D:D,kunishuClan!B:B)&amp;"当主","")))</f>
      </c>
    </row>
    <row r="2511" ht="15.75" customHeight="1">
      <c r="A2511" s="4">
        <v>1068005</v>
      </c>
      <c r="B2511" s="12" t="str">
        <f t="array" ref="B2511">IF(A2511:A6553="","",_xlfn.XLOOKUP(A2511:A6553,'参照_武将'!A:A,'参照_武将'!B:B,"見つかりません"))</f>
      </c>
      <c r="C2511" s="4" t="s">
        <v>325</v>
      </c>
      <c r="D2511" s="4">
        <v>68</v>
      </c>
      <c r="E2511" s="12" t="str">
        <f t="array" ref="E2511">IF(D2511:D6553="","",IFERROR(_xlfn.XLOOKUP(D2511:D6553,'参照_勢力'!A:A,'参照_勢力'!B:B),IFERROR(_xlfn.XLOOKUP(F2511:F6553,kunishuClan!A:A,kunishuClan!B:B),"浪人")))</f>
      </c>
      <c r="F2511" s="4">
        <v>0</v>
      </c>
      <c r="G2511" s="4">
        <v>188</v>
      </c>
      <c r="H2511" s="12" t="str">
        <f t="array" ref="H2511">IF(G2511:G6553="","",_xlfn.XLOOKUP(G2511:G6553,castles_state!A:A,castles_state!D:D,"見つかりません"))</f>
      </c>
      <c r="I2511" s="4"/>
      <c r="J2511" s="12" t="str">
        <f t="array" ref="J2511">IF(I2511:I6553="","",_xlfn.XLOOKUP(I2511:I6553,'参照_姫'!A:A,'参照_姫'!B:B,"見つかりません"))</f>
      </c>
      <c r="K2511" s="4">
        <v>95</v>
      </c>
      <c r="L2511" s="4">
        <v>300</v>
      </c>
      <c r="M2511" s="4"/>
      <c r="N2511" s="4"/>
      <c r="O2511" s="4"/>
      <c r="P2511" s="12" t="str">
        <f t="array" ref="P2511">IF(O2511:O6553="","",_xlfn.XLOOKUP(O2511:O6553,'参照_官位'!A:A,'参照_官位'!B:B,""))</f>
      </c>
      <c r="Q2511" s="12" t="str">
        <f t="array" ref="Q2511">IF(A2511:A6553="","",IFERROR(_xlfn.XLOOKUP(A2511:A6553,castles_state!K:K,castles_state!D:D)&amp;"主",IFERROR(_xlfn.XLOOKUP(A2511:A6553,kunishuClan!D:D,kunishuClan!B:B)&amp;"当主","")))</f>
      </c>
    </row>
    <row r="2512" ht="15.75" customHeight="1">
      <c r="A2512" s="4">
        <v>1068006</v>
      </c>
      <c r="B2512" s="12" t="str">
        <f t="array" ref="B2512">IF(A2512:A6554="","",_xlfn.XLOOKUP(A2512:A6554,'参照_武将'!A:A,'参照_武将'!B:B,"見つかりません"))</f>
      </c>
      <c r="C2512" s="4" t="s">
        <v>325</v>
      </c>
      <c r="D2512" s="4">
        <v>68</v>
      </c>
      <c r="E2512" s="12" t="str">
        <f t="array" ref="E2512">IF(D2512:D6554="","",IFERROR(_xlfn.XLOOKUP(D2512:D6554,'参照_勢力'!A:A,'参照_勢力'!B:B),IFERROR(_xlfn.XLOOKUP(F2512:F6554,kunishuClan!A:A,kunishuClan!B:B),"浪人")))</f>
      </c>
      <c r="F2512" s="4">
        <v>0</v>
      </c>
      <c r="G2512" s="4">
        <v>188</v>
      </c>
      <c r="H2512" s="12" t="str">
        <f t="array" ref="H2512">IF(G2512:G6554="","",_xlfn.XLOOKUP(G2512:G6554,castles_state!A:A,castles_state!D:D,"見つかりません"))</f>
      </c>
      <c r="I2512" s="4"/>
      <c r="J2512" s="12" t="str">
        <f t="array" ref="J2512">IF(I2512:I6554="","",_xlfn.XLOOKUP(I2512:I6554,'参照_姫'!A:A,'参照_姫'!B:B,"見つかりません"))</f>
      </c>
      <c r="K2512" s="4">
        <v>95</v>
      </c>
      <c r="L2512" s="4">
        <v>0</v>
      </c>
      <c r="M2512" s="4"/>
      <c r="N2512" s="4"/>
      <c r="O2512" s="4"/>
      <c r="P2512" s="12" t="str">
        <f t="array" ref="P2512">IF(O2512:O6554="","",_xlfn.XLOOKUP(O2512:O6554,'参照_官位'!A:A,'参照_官位'!B:B,""))</f>
      </c>
      <c r="Q2512" s="12" t="str">
        <f t="array" ref="Q2512">IF(A2512:A6554="","",IFERROR(_xlfn.XLOOKUP(A2512:A6554,castles_state!K:K,castles_state!D:D)&amp;"主",IFERROR(_xlfn.XLOOKUP(A2512:A6554,kunishuClan!D:D,kunishuClan!B:B)&amp;"当主","")))</f>
      </c>
    </row>
    <row r="2513" ht="15.75" customHeight="1">
      <c r="A2513" s="4">
        <v>1068007</v>
      </c>
      <c r="B2513" s="12" t="str">
        <f t="array" ref="B2513">IF(A2513:A6555="","",_xlfn.XLOOKUP(A2513:A6555,'参照_武将'!A:A,'参照_武将'!B:B,"見つかりません"))</f>
      </c>
      <c r="C2513" s="4" t="s">
        <v>325</v>
      </c>
      <c r="D2513" s="4">
        <v>68</v>
      </c>
      <c r="E2513" s="12" t="str">
        <f t="array" ref="E2513">IF(D2513:D6555="","",IFERROR(_xlfn.XLOOKUP(D2513:D6555,'参照_勢力'!A:A,'参照_勢力'!B:B),IFERROR(_xlfn.XLOOKUP(F2513:F6555,kunishuClan!A:A,kunishuClan!B:B),"浪人")))</f>
      </c>
      <c r="F2513" s="4">
        <v>0</v>
      </c>
      <c r="G2513" s="4">
        <v>188</v>
      </c>
      <c r="H2513" s="12" t="str">
        <f t="array" ref="H2513">IF(G2513:G6555="","",_xlfn.XLOOKUP(G2513:G6555,castles_state!A:A,castles_state!D:D,"見つかりません"))</f>
      </c>
      <c r="I2513" s="4"/>
      <c r="J2513" s="12" t="str">
        <f t="array" ref="J2513">IF(I2513:I6555="","",_xlfn.XLOOKUP(I2513:I6555,'参照_姫'!A:A,'参照_姫'!B:B,"見つかりません"))</f>
      </c>
      <c r="K2513" s="4">
        <v>95</v>
      </c>
      <c r="L2513" s="4">
        <v>500</v>
      </c>
      <c r="M2513" s="4"/>
      <c r="N2513" s="4"/>
      <c r="O2513" s="4"/>
      <c r="P2513" s="12" t="str">
        <f t="array" ref="P2513">IF(O2513:O6555="","",_xlfn.XLOOKUP(O2513:O6555,'参照_官位'!A:A,'参照_官位'!B:B,""))</f>
      </c>
      <c r="Q2513" s="12" t="str">
        <f t="array" ref="Q2513">IF(A2513:A6555="","",IFERROR(_xlfn.XLOOKUP(A2513:A6555,castles_state!K:K,castles_state!D:D)&amp;"主",IFERROR(_xlfn.XLOOKUP(A2513:A6555,kunishuClan!D:D,kunishuClan!B:B)&amp;"当主","")))</f>
      </c>
    </row>
    <row r="2514" ht="15.75" customHeight="1">
      <c r="A2514" s="4">
        <v>1068008</v>
      </c>
      <c r="B2514" s="12" t="str">
        <f t="array" ref="B2514">IF(A2514:A6556="","",_xlfn.XLOOKUP(A2514:A6556,'参照_武将'!A:A,'参照_武将'!B:B,"見つかりません"))</f>
      </c>
      <c r="C2514" s="4" t="s">
        <v>325</v>
      </c>
      <c r="D2514" s="4">
        <v>68</v>
      </c>
      <c r="E2514" s="12" t="str">
        <f t="array" ref="E2514">IF(D2514:D6556="","",IFERROR(_xlfn.XLOOKUP(D2514:D6556,'参照_勢力'!A:A,'参照_勢力'!B:B),IFERROR(_xlfn.XLOOKUP(F2514:F6556,kunishuClan!A:A,kunishuClan!B:B),"浪人")))</f>
      </c>
      <c r="F2514" s="4">
        <v>0</v>
      </c>
      <c r="G2514" s="4">
        <v>194</v>
      </c>
      <c r="H2514" s="12" t="str">
        <f t="array" ref="H2514">IF(G2514:G6556="","",_xlfn.XLOOKUP(G2514:G6556,castles_state!A:A,castles_state!D:D,"見つかりません"))</f>
      </c>
      <c r="I2514" s="4"/>
      <c r="J2514" s="12" t="str">
        <f t="array" ref="J2514">IF(I2514:I6556="","",_xlfn.XLOOKUP(I2514:I6556,'参照_姫'!A:A,'参照_姫'!B:B,"見つかりません"))</f>
      </c>
      <c r="K2514" s="4">
        <v>95</v>
      </c>
      <c r="L2514" s="4">
        <v>0</v>
      </c>
      <c r="M2514" s="4"/>
      <c r="N2514" s="4"/>
      <c r="O2514" s="4"/>
      <c r="P2514" s="12" t="str">
        <f t="array" ref="P2514">IF(O2514:O6556="","",_xlfn.XLOOKUP(O2514:O6556,'参照_官位'!A:A,'参照_官位'!B:B,""))</f>
      </c>
      <c r="Q2514" s="12" t="str">
        <f t="array" ref="Q2514">IF(A2514:A6556="","",IFERROR(_xlfn.XLOOKUP(A2514:A6556,castles_state!K:K,castles_state!D:D)&amp;"主",IFERROR(_xlfn.XLOOKUP(A2514:A6556,kunishuClan!D:D,kunishuClan!B:B)&amp;"当主","")))</f>
      </c>
    </row>
    <row r="2515" ht="15.75" customHeight="1">
      <c r="A2515" s="4">
        <v>1068009</v>
      </c>
      <c r="B2515" s="12" t="str">
        <f t="array" ref="B2515">IF(A2515:A6557="","",_xlfn.XLOOKUP(A2515:A6557,'参照_武将'!A:A,'参照_武将'!B:B,"見つかりません"))</f>
      </c>
      <c r="C2515" s="4" t="s">
        <v>325</v>
      </c>
      <c r="D2515" s="4">
        <v>68</v>
      </c>
      <c r="E2515" s="12" t="str">
        <f t="array" ref="E2515">IF(D2515:D6557="","",IFERROR(_xlfn.XLOOKUP(D2515:D6557,'参照_勢力'!A:A,'参照_勢力'!B:B),IFERROR(_xlfn.XLOOKUP(F2515:F6557,kunishuClan!A:A,kunishuClan!B:B),"浪人")))</f>
      </c>
      <c r="F2515" s="4">
        <v>0</v>
      </c>
      <c r="G2515" s="4">
        <v>194</v>
      </c>
      <c r="H2515" s="12" t="str">
        <f t="array" ref="H2515">IF(G2515:G6557="","",_xlfn.XLOOKUP(G2515:G6557,castles_state!A:A,castles_state!D:D,"見つかりません"))</f>
      </c>
      <c r="I2515" s="4"/>
      <c r="J2515" s="12" t="str">
        <f t="array" ref="J2515">IF(I2515:I6557="","",_xlfn.XLOOKUP(I2515:I6557,'参照_姫'!A:A,'参照_姫'!B:B,"見つかりません"))</f>
      </c>
      <c r="K2515" s="4">
        <v>95</v>
      </c>
      <c r="L2515" s="4">
        <v>0</v>
      </c>
      <c r="M2515" s="4"/>
      <c r="N2515" s="4"/>
      <c r="O2515" s="4"/>
      <c r="P2515" s="12" t="str">
        <f t="array" ref="P2515">IF(O2515:O6557="","",_xlfn.XLOOKUP(O2515:O6557,'参照_官位'!A:A,'参照_官位'!B:B,""))</f>
      </c>
      <c r="Q2515" s="12" t="str">
        <f t="array" ref="Q2515">IF(A2515:A6557="","",IFERROR(_xlfn.XLOOKUP(A2515:A6557,castles_state!K:K,castles_state!D:D)&amp;"主",IFERROR(_xlfn.XLOOKUP(A2515:A6557,kunishuClan!D:D,kunishuClan!B:B)&amp;"当主","")))</f>
      </c>
    </row>
    <row r="2516" ht="15.75" customHeight="1">
      <c r="A2516" s="4">
        <v>1068010</v>
      </c>
      <c r="B2516" s="12" t="str">
        <f t="array" ref="B2516">IF(A2516:A6558="","",_xlfn.XLOOKUP(A2516:A6558,'参照_武将'!A:A,'参照_武将'!B:B,"見つかりません"))</f>
      </c>
      <c r="C2516" s="4" t="s">
        <v>325</v>
      </c>
      <c r="D2516" s="4">
        <v>68</v>
      </c>
      <c r="E2516" s="12" t="str">
        <f t="array" ref="E2516">IF(D2516:D6558="","",IFERROR(_xlfn.XLOOKUP(D2516:D6558,'参照_勢力'!A:A,'参照_勢力'!B:B),IFERROR(_xlfn.XLOOKUP(F2516:F6558,kunishuClan!A:A,kunishuClan!B:B),"浪人")))</f>
      </c>
      <c r="F2516" s="4">
        <v>0</v>
      </c>
      <c r="G2516" s="4">
        <v>194</v>
      </c>
      <c r="H2516" s="12" t="str">
        <f t="array" ref="H2516">IF(G2516:G6558="","",_xlfn.XLOOKUP(G2516:G6558,castles_state!A:A,castles_state!D:D,"見つかりません"))</f>
      </c>
      <c r="I2516" s="4"/>
      <c r="J2516" s="12" t="str">
        <f t="array" ref="J2516">IF(I2516:I6558="","",_xlfn.XLOOKUP(I2516:I6558,'参照_姫'!A:A,'参照_姫'!B:B,"見つかりません"))</f>
      </c>
      <c r="K2516" s="4">
        <v>95</v>
      </c>
      <c r="L2516" s="4">
        <v>0</v>
      </c>
      <c r="M2516" s="4"/>
      <c r="N2516" s="4"/>
      <c r="O2516" s="4"/>
      <c r="P2516" s="12" t="str">
        <f t="array" ref="P2516">IF(O2516:O6558="","",_xlfn.XLOOKUP(O2516:O6558,'参照_官位'!A:A,'参照_官位'!B:B,""))</f>
      </c>
      <c r="Q2516" s="12" t="str">
        <f t="array" ref="Q2516">IF(A2516:A6558="","",IFERROR(_xlfn.XLOOKUP(A2516:A6558,castles_state!K:K,castles_state!D:D)&amp;"主",IFERROR(_xlfn.XLOOKUP(A2516:A6558,kunishuClan!D:D,kunishuClan!B:B)&amp;"当主","")))</f>
      </c>
    </row>
    <row r="2517" ht="15.75" customHeight="1">
      <c r="A2517" s="4">
        <v>1068011</v>
      </c>
      <c r="B2517" s="12" t="str">
        <f t="array" ref="B2517">IF(A2517:A6559="","",_xlfn.XLOOKUP(A2517:A6559,'参照_武将'!A:A,'参照_武将'!B:B,"見つかりません"))</f>
      </c>
      <c r="C2517" s="4" t="s">
        <v>325</v>
      </c>
      <c r="D2517" s="4">
        <v>68</v>
      </c>
      <c r="E2517" s="12" t="str">
        <f t="array" ref="E2517">IF(D2517:D6559="","",IFERROR(_xlfn.XLOOKUP(D2517:D6559,'参照_勢力'!A:A,'参照_勢力'!B:B),IFERROR(_xlfn.XLOOKUP(F2517:F6559,kunishuClan!A:A,kunishuClan!B:B),"浪人")))</f>
      </c>
      <c r="F2517" s="4">
        <v>0</v>
      </c>
      <c r="G2517" s="4">
        <v>194</v>
      </c>
      <c r="H2517" s="12" t="str">
        <f t="array" ref="H2517">IF(G2517:G6559="","",_xlfn.XLOOKUP(G2517:G6559,castles_state!A:A,castles_state!D:D,"見つかりません"))</f>
      </c>
      <c r="I2517" s="4"/>
      <c r="J2517" s="12" t="str">
        <f t="array" ref="J2517">IF(I2517:I6559="","",_xlfn.XLOOKUP(I2517:I6559,'参照_姫'!A:A,'参照_姫'!B:B,"見つかりません"))</f>
      </c>
      <c r="K2517" s="4">
        <v>95</v>
      </c>
      <c r="L2517" s="4">
        <v>0</v>
      </c>
      <c r="M2517" s="4"/>
      <c r="N2517" s="4"/>
      <c r="O2517" s="4"/>
      <c r="P2517" s="12" t="str">
        <f t="array" ref="P2517">IF(O2517:O6559="","",_xlfn.XLOOKUP(O2517:O6559,'参照_官位'!A:A,'参照_官位'!B:B,""))</f>
      </c>
      <c r="Q2517" s="12" t="str">
        <f t="array" ref="Q2517">IF(A2517:A6559="","",IFERROR(_xlfn.XLOOKUP(A2517:A6559,castles_state!K:K,castles_state!D:D)&amp;"主",IFERROR(_xlfn.XLOOKUP(A2517:A6559,kunishuClan!D:D,kunishuClan!B:B)&amp;"当主","")))</f>
      </c>
    </row>
    <row r="2518" ht="15.75" customHeight="1">
      <c r="A2518" s="4">
        <v>1068012</v>
      </c>
      <c r="B2518" s="12" t="str">
        <f t="array" ref="B2518">IF(A2518:A6560="","",_xlfn.XLOOKUP(A2518:A6560,'参照_武将'!A:A,'参照_武将'!B:B,"見つかりません"))</f>
      </c>
      <c r="C2518" s="4" t="s">
        <v>325</v>
      </c>
      <c r="D2518" s="4">
        <v>68</v>
      </c>
      <c r="E2518" s="12" t="str">
        <f t="array" ref="E2518">IF(D2518:D6560="","",IFERROR(_xlfn.XLOOKUP(D2518:D6560,'参照_勢力'!A:A,'参照_勢力'!B:B),IFERROR(_xlfn.XLOOKUP(F2518:F6560,kunishuClan!A:A,kunishuClan!B:B),"浪人")))</f>
      </c>
      <c r="F2518" s="4">
        <v>0</v>
      </c>
      <c r="G2518" s="4">
        <v>194</v>
      </c>
      <c r="H2518" s="12" t="str">
        <f t="array" ref="H2518">IF(G2518:G6560="","",_xlfn.XLOOKUP(G2518:G6560,castles_state!A:A,castles_state!D:D,"見つかりません"))</f>
      </c>
      <c r="I2518" s="4"/>
      <c r="J2518" s="12" t="str">
        <f t="array" ref="J2518">IF(I2518:I6560="","",_xlfn.XLOOKUP(I2518:I6560,'参照_姫'!A:A,'参照_姫'!B:B,"見つかりません"))</f>
      </c>
      <c r="K2518" s="4">
        <v>100</v>
      </c>
      <c r="L2518" s="4">
        <v>1500</v>
      </c>
      <c r="M2518" s="4"/>
      <c r="N2518" s="4"/>
      <c r="O2518" s="4">
        <v>131</v>
      </c>
      <c r="P2518" s="12" t="str">
        <f t="array" ref="P2518">IF(O2518:O6560="","",_xlfn.XLOOKUP(O2518:O6560,'参照_官位'!A:A,'参照_官位'!B:B,""))</f>
      </c>
      <c r="Q2518" s="12" t="str">
        <f t="array" ref="Q2518">IF(A2518:A6560="","",IFERROR(_xlfn.XLOOKUP(A2518:A6560,castles_state!K:K,castles_state!D:D)&amp;"主",IFERROR(_xlfn.XLOOKUP(A2518:A6560,kunishuClan!D:D,kunishuClan!B:B)&amp;"当主","")))</f>
      </c>
    </row>
    <row r="2519" ht="15.75" customHeight="1">
      <c r="A2519" s="4">
        <v>1068013</v>
      </c>
      <c r="B2519" s="12" t="str">
        <f t="array" ref="B2519">IF(A2519:A6561="","",_xlfn.XLOOKUP(A2519:A6561,'参照_武将'!A:A,'参照_武将'!B:B,"見つかりません"))</f>
      </c>
      <c r="C2519" s="4" t="s">
        <v>325</v>
      </c>
      <c r="D2519" s="4">
        <v>68</v>
      </c>
      <c r="E2519" s="12" t="str">
        <f t="array" ref="E2519">IF(D2519:D6561="","",IFERROR(_xlfn.XLOOKUP(D2519:D6561,'参照_勢力'!A:A,'参照_勢力'!B:B),IFERROR(_xlfn.XLOOKUP(F2519:F6561,kunishuClan!A:A,kunishuClan!B:B),"浪人")))</f>
      </c>
      <c r="F2519" s="4">
        <v>0</v>
      </c>
      <c r="G2519" s="4">
        <v>193</v>
      </c>
      <c r="H2519" s="12" t="str">
        <f t="array" ref="H2519">IF(G2519:G6561="","",_xlfn.XLOOKUP(G2519:G6561,castles_state!A:A,castles_state!D:D,"見つかりません"))</f>
      </c>
      <c r="I2519" s="4"/>
      <c r="J2519" s="12" t="str">
        <f t="array" ref="J2519">IF(I2519:I6561="","",_xlfn.XLOOKUP(I2519:I6561,'参照_姫'!A:A,'参照_姫'!B:B,"見つかりません"))</f>
      </c>
      <c r="K2519" s="4">
        <v>95</v>
      </c>
      <c r="L2519" s="4">
        <v>300</v>
      </c>
      <c r="M2519" s="4"/>
      <c r="N2519" s="4"/>
      <c r="O2519" s="4"/>
      <c r="P2519" s="12" t="str">
        <f t="array" ref="P2519">IF(O2519:O6561="","",_xlfn.XLOOKUP(O2519:O6561,'参照_官位'!A:A,'参照_官位'!B:B,""))</f>
      </c>
      <c r="Q2519" s="12" t="str">
        <f t="array" ref="Q2519">IF(A2519:A6561="","",IFERROR(_xlfn.XLOOKUP(A2519:A6561,castles_state!K:K,castles_state!D:D)&amp;"主",IFERROR(_xlfn.XLOOKUP(A2519:A6561,kunishuClan!D:D,kunishuClan!B:B)&amp;"当主","")))</f>
      </c>
    </row>
    <row r="2520" ht="15.75" customHeight="1">
      <c r="A2520" s="4">
        <v>1068014</v>
      </c>
      <c r="B2520" s="12" t="str">
        <f t="array" ref="B2520">IF(A2520:A6562="","",_xlfn.XLOOKUP(A2520:A6562,'参照_武将'!A:A,'参照_武将'!B:B,"見つかりません"))</f>
      </c>
      <c r="C2520" s="4" t="s">
        <v>325</v>
      </c>
      <c r="D2520" s="4">
        <v>68</v>
      </c>
      <c r="E2520" s="12" t="str">
        <f t="array" ref="E2520">IF(D2520:D6562="","",IFERROR(_xlfn.XLOOKUP(D2520:D6562,'参照_勢力'!A:A,'参照_勢力'!B:B),IFERROR(_xlfn.XLOOKUP(F2520:F6562,kunishuClan!A:A,kunishuClan!B:B),"浪人")))</f>
      </c>
      <c r="F2520" s="4">
        <v>0</v>
      </c>
      <c r="G2520" s="4">
        <v>193</v>
      </c>
      <c r="H2520" s="12" t="str">
        <f t="array" ref="H2520">IF(G2520:G6562="","",_xlfn.XLOOKUP(G2520:G6562,castles_state!A:A,castles_state!D:D,"見つかりません"))</f>
      </c>
      <c r="I2520" s="4"/>
      <c r="J2520" s="12" t="str">
        <f t="array" ref="J2520">IF(I2520:I6562="","",_xlfn.XLOOKUP(I2520:I6562,'参照_姫'!A:A,'参照_姫'!B:B,"見つかりません"))</f>
      </c>
      <c r="K2520" s="4">
        <v>95</v>
      </c>
      <c r="L2520" s="4">
        <v>0</v>
      </c>
      <c r="M2520" s="4"/>
      <c r="N2520" s="4"/>
      <c r="O2520" s="4"/>
      <c r="P2520" s="12" t="str">
        <f t="array" ref="P2520">IF(O2520:O6562="","",_xlfn.XLOOKUP(O2520:O6562,'参照_官位'!A:A,'参照_官位'!B:B,""))</f>
      </c>
      <c r="Q2520" s="12" t="str">
        <f t="array" ref="Q2520">IF(A2520:A6562="","",IFERROR(_xlfn.XLOOKUP(A2520:A6562,castles_state!K:K,castles_state!D:D)&amp;"主",IFERROR(_xlfn.XLOOKUP(A2520:A6562,kunishuClan!D:D,kunishuClan!B:B)&amp;"当主","")))</f>
      </c>
    </row>
    <row r="2521" ht="15.75" customHeight="1">
      <c r="A2521" s="4">
        <v>1068015</v>
      </c>
      <c r="B2521" s="12" t="str">
        <f t="array" ref="B2521">IF(A2521:A6563="","",_xlfn.XLOOKUP(A2521:A6563,'参照_武将'!A:A,'参照_武将'!B:B,"見つかりません"))</f>
      </c>
      <c r="C2521" s="4" t="s">
        <v>325</v>
      </c>
      <c r="D2521" s="4">
        <v>68</v>
      </c>
      <c r="E2521" s="12" t="str">
        <f t="array" ref="E2521">IF(D2521:D6563="","",IFERROR(_xlfn.XLOOKUP(D2521:D6563,'参照_勢力'!A:A,'参照_勢力'!B:B),IFERROR(_xlfn.XLOOKUP(F2521:F6563,kunishuClan!A:A,kunishuClan!B:B),"浪人")))</f>
      </c>
      <c r="F2521" s="4">
        <v>0</v>
      </c>
      <c r="G2521" s="4">
        <v>193</v>
      </c>
      <c r="H2521" s="12" t="str">
        <f t="array" ref="H2521">IF(G2521:G6563="","",_xlfn.XLOOKUP(G2521:G6563,castles_state!A:A,castles_state!D:D,"見つかりません"))</f>
      </c>
      <c r="I2521" s="4"/>
      <c r="J2521" s="12" t="str">
        <f t="array" ref="J2521">IF(I2521:I6563="","",_xlfn.XLOOKUP(I2521:I6563,'参照_姫'!A:A,'参照_姫'!B:B,"見つかりません"))</f>
      </c>
      <c r="K2521" s="4">
        <v>95</v>
      </c>
      <c r="L2521" s="4">
        <v>0</v>
      </c>
      <c r="M2521" s="4"/>
      <c r="N2521" s="4"/>
      <c r="O2521" s="4"/>
      <c r="P2521" s="12" t="str">
        <f t="array" ref="P2521">IF(O2521:O6563="","",_xlfn.XLOOKUP(O2521:O6563,'参照_官位'!A:A,'参照_官位'!B:B,""))</f>
      </c>
      <c r="Q2521" s="12" t="str">
        <f t="array" ref="Q2521">IF(A2521:A6563="","",IFERROR(_xlfn.XLOOKUP(A2521:A6563,castles_state!K:K,castles_state!D:D)&amp;"主",IFERROR(_xlfn.XLOOKUP(A2521:A6563,kunishuClan!D:D,kunishuClan!B:B)&amp;"当主","")))</f>
      </c>
    </row>
    <row r="2522" ht="15.75" customHeight="1">
      <c r="A2522" s="4">
        <v>1068016</v>
      </c>
      <c r="B2522" s="12" t="str">
        <f t="array" ref="B2522">IF(A2522:A6564="","",_xlfn.XLOOKUP(A2522:A6564,'参照_武将'!A:A,'参照_武将'!B:B,"見つかりません"))</f>
      </c>
      <c r="C2522" s="4" t="s">
        <v>325</v>
      </c>
      <c r="D2522" s="4">
        <v>68</v>
      </c>
      <c r="E2522" s="12" t="str">
        <f t="array" ref="E2522">IF(D2522:D6564="","",IFERROR(_xlfn.XLOOKUP(D2522:D6564,'参照_勢力'!A:A,'参照_勢力'!B:B),IFERROR(_xlfn.XLOOKUP(F2522:F6564,kunishuClan!A:A,kunishuClan!B:B),"浪人")))</f>
      </c>
      <c r="F2522" s="4">
        <v>0</v>
      </c>
      <c r="G2522" s="4">
        <v>193</v>
      </c>
      <c r="H2522" s="12" t="str">
        <f t="array" ref="H2522">IF(G2522:G6564="","",_xlfn.XLOOKUP(G2522:G6564,castles_state!A:A,castles_state!D:D,"見つかりません"))</f>
      </c>
      <c r="I2522" s="4"/>
      <c r="J2522" s="12" t="str">
        <f t="array" ref="J2522">IF(I2522:I6564="","",_xlfn.XLOOKUP(I2522:I6564,'参照_姫'!A:A,'参照_姫'!B:B,"見つかりません"))</f>
      </c>
      <c r="K2522" s="4">
        <v>95</v>
      </c>
      <c r="L2522" s="4">
        <v>0</v>
      </c>
      <c r="M2522" s="4"/>
      <c r="N2522" s="4"/>
      <c r="O2522" s="4"/>
      <c r="P2522" s="12" t="str">
        <f t="array" ref="P2522">IF(O2522:O6564="","",_xlfn.XLOOKUP(O2522:O6564,'参照_官位'!A:A,'参照_官位'!B:B,""))</f>
      </c>
      <c r="Q2522" s="12" t="str">
        <f t="array" ref="Q2522">IF(A2522:A6564="","",IFERROR(_xlfn.XLOOKUP(A2522:A6564,castles_state!K:K,castles_state!D:D)&amp;"主",IFERROR(_xlfn.XLOOKUP(A2522:A6564,kunishuClan!D:D,kunishuClan!B:B)&amp;"当主","")))</f>
      </c>
    </row>
    <row r="2523" ht="15.75" customHeight="1">
      <c r="A2523" s="4">
        <v>1068017</v>
      </c>
      <c r="B2523" s="12" t="str">
        <f t="array" ref="B2523">IF(A2523:A6565="","",_xlfn.XLOOKUP(A2523:A6565,'参照_武将'!A:A,'参照_武将'!B:B,"見つかりません"))</f>
      </c>
      <c r="C2523" s="4" t="s">
        <v>325</v>
      </c>
      <c r="D2523" s="4">
        <v>68</v>
      </c>
      <c r="E2523" s="12" t="str">
        <f t="array" ref="E2523">IF(D2523:D6565="","",IFERROR(_xlfn.XLOOKUP(D2523:D6565,'参照_勢力'!A:A,'参照_勢力'!B:B),IFERROR(_xlfn.XLOOKUP(F2523:F6565,kunishuClan!A:A,kunishuClan!B:B),"浪人")))</f>
      </c>
      <c r="F2523" s="4">
        <v>0</v>
      </c>
      <c r="G2523" s="4">
        <v>190</v>
      </c>
      <c r="H2523" s="12" t="str">
        <f t="array" ref="H2523">IF(G2523:G6565="","",_xlfn.XLOOKUP(G2523:G6565,castles_state!A:A,castles_state!D:D,"見つかりません"))</f>
      </c>
      <c r="I2523" s="4"/>
      <c r="J2523" s="12" t="str">
        <f t="array" ref="J2523">IF(I2523:I6565="","",_xlfn.XLOOKUP(I2523:I6565,'参照_姫'!A:A,'参照_姫'!B:B,"見つかりません"))</f>
      </c>
      <c r="K2523" s="4">
        <v>95</v>
      </c>
      <c r="L2523" s="4">
        <v>700</v>
      </c>
      <c r="M2523" s="4"/>
      <c r="N2523" s="4"/>
      <c r="O2523" s="4"/>
      <c r="P2523" s="12" t="str">
        <f t="array" ref="P2523">IF(O2523:O6565="","",_xlfn.XLOOKUP(O2523:O6565,'参照_官位'!A:A,'参照_官位'!B:B,""))</f>
      </c>
      <c r="Q2523" s="12" t="str">
        <f t="array" ref="Q2523">IF(A2523:A6565="","",IFERROR(_xlfn.XLOOKUP(A2523:A6565,castles_state!K:K,castles_state!D:D)&amp;"主",IFERROR(_xlfn.XLOOKUP(A2523:A6565,kunishuClan!D:D,kunishuClan!B:B)&amp;"当主","")))</f>
      </c>
    </row>
    <row r="2524" ht="15.75" customHeight="1">
      <c r="A2524" s="4">
        <v>1068018</v>
      </c>
      <c r="B2524" s="12" t="str">
        <f t="array" ref="B2524">IF(A2524:A6566="","",_xlfn.XLOOKUP(A2524:A6566,'参照_武将'!A:A,'参照_武将'!B:B,"見つかりません"))</f>
      </c>
      <c r="C2524" s="4" t="s">
        <v>325</v>
      </c>
      <c r="D2524" s="4">
        <v>68</v>
      </c>
      <c r="E2524" s="12" t="str">
        <f t="array" ref="E2524">IF(D2524:D6566="","",IFERROR(_xlfn.XLOOKUP(D2524:D6566,'参照_勢力'!A:A,'参照_勢力'!B:B),IFERROR(_xlfn.XLOOKUP(F2524:F6566,kunishuClan!A:A,kunishuClan!B:B),"浪人")))</f>
      </c>
      <c r="F2524" s="4">
        <v>0</v>
      </c>
      <c r="G2524" s="4">
        <v>194</v>
      </c>
      <c r="H2524" s="12" t="str">
        <f t="array" ref="H2524">IF(G2524:G6566="","",_xlfn.XLOOKUP(G2524:G6566,castles_state!A:A,castles_state!D:D,"見つかりません"))</f>
      </c>
      <c r="I2524" s="4"/>
      <c r="J2524" s="12" t="str">
        <f t="array" ref="J2524">IF(I2524:I6566="","",_xlfn.XLOOKUP(I2524:I6566,'参照_姫'!A:A,'参照_姫'!B:B,"見つかりません"))</f>
      </c>
      <c r="K2524" s="4">
        <v>95</v>
      </c>
      <c r="L2524" s="4">
        <v>500</v>
      </c>
      <c r="M2524" s="4"/>
      <c r="N2524" s="4"/>
      <c r="O2524" s="4"/>
      <c r="P2524" s="12" t="str">
        <f t="array" ref="P2524">IF(O2524:O6566="","",_xlfn.XLOOKUP(O2524:O6566,'参照_官位'!A:A,'参照_官位'!B:B,""))</f>
      </c>
      <c r="Q2524" s="12" t="str">
        <f t="array" ref="Q2524">IF(A2524:A6566="","",IFERROR(_xlfn.XLOOKUP(A2524:A6566,castles_state!K:K,castles_state!D:D)&amp;"主",IFERROR(_xlfn.XLOOKUP(A2524:A6566,kunishuClan!D:D,kunishuClan!B:B)&amp;"当主","")))</f>
      </c>
    </row>
    <row r="2525" ht="15.75" customHeight="1">
      <c r="A2525" s="4">
        <v>1068019</v>
      </c>
      <c r="B2525" s="12" t="str">
        <f t="array" ref="B2525">IF(A2525:A6567="","",_xlfn.XLOOKUP(A2525:A6567,'参照_武将'!A:A,'参照_武将'!B:B,"見つかりません"))</f>
      </c>
      <c r="C2525" s="4" t="s">
        <v>325</v>
      </c>
      <c r="D2525" s="4">
        <v>68</v>
      </c>
      <c r="E2525" s="12" t="str">
        <f t="array" ref="E2525">IF(D2525:D6567="","",IFERROR(_xlfn.XLOOKUP(D2525:D6567,'参照_勢力'!A:A,'参照_勢力'!B:B),IFERROR(_xlfn.XLOOKUP(F2525:F6567,kunishuClan!A:A,kunishuClan!B:B),"浪人")))</f>
      </c>
      <c r="F2525" s="4">
        <v>0</v>
      </c>
      <c r="G2525" s="4">
        <v>194</v>
      </c>
      <c r="H2525" s="12" t="str">
        <f t="array" ref="H2525">IF(G2525:G6567="","",_xlfn.XLOOKUP(G2525:G6567,castles_state!A:A,castles_state!D:D,"見つかりません"))</f>
      </c>
      <c r="I2525" s="4"/>
      <c r="J2525" s="12" t="str">
        <f t="array" ref="J2525">IF(I2525:I6567="","",_xlfn.XLOOKUP(I2525:I6567,'参照_姫'!A:A,'参照_姫'!B:B,"見つかりません"))</f>
      </c>
      <c r="K2525" s="4">
        <v>95</v>
      </c>
      <c r="L2525" s="4">
        <v>300</v>
      </c>
      <c r="M2525" s="4"/>
      <c r="N2525" s="4"/>
      <c r="O2525" s="4"/>
      <c r="P2525" s="12" t="str">
        <f t="array" ref="P2525">IF(O2525:O6567="","",_xlfn.XLOOKUP(O2525:O6567,'参照_官位'!A:A,'参照_官位'!B:B,""))</f>
      </c>
      <c r="Q2525" s="12" t="str">
        <f t="array" ref="Q2525">IF(A2525:A6567="","",IFERROR(_xlfn.XLOOKUP(A2525:A6567,castles_state!K:K,castles_state!D:D)&amp;"主",IFERROR(_xlfn.XLOOKUP(A2525:A6567,kunishuClan!D:D,kunishuClan!B:B)&amp;"当主","")))</f>
      </c>
    </row>
    <row r="2526" ht="15.75" customHeight="1">
      <c r="A2526" s="4">
        <v>1068020</v>
      </c>
      <c r="B2526" s="12" t="str">
        <f t="array" ref="B2526">IF(A2526:A6568="","",_xlfn.XLOOKUP(A2526:A6568,'参照_武将'!A:A,'参照_武将'!B:B,"見つかりません"))</f>
      </c>
      <c r="C2526" s="4" t="s">
        <v>325</v>
      </c>
      <c r="D2526" s="4">
        <v>68</v>
      </c>
      <c r="E2526" s="12" t="str">
        <f t="array" ref="E2526">IF(D2526:D6568="","",IFERROR(_xlfn.XLOOKUP(D2526:D6568,'参照_勢力'!A:A,'参照_勢力'!B:B),IFERROR(_xlfn.XLOOKUP(F2526:F6568,kunishuClan!A:A,kunishuClan!B:B),"浪人")))</f>
      </c>
      <c r="F2526" s="4">
        <v>0</v>
      </c>
      <c r="G2526" s="4">
        <v>194</v>
      </c>
      <c r="H2526" s="12" t="str">
        <f t="array" ref="H2526">IF(G2526:G6568="","",_xlfn.XLOOKUP(G2526:G6568,castles_state!A:A,castles_state!D:D,"見つかりません"))</f>
      </c>
      <c r="I2526" s="4"/>
      <c r="J2526" s="12" t="str">
        <f t="array" ref="J2526">IF(I2526:I6568="","",_xlfn.XLOOKUP(I2526:I6568,'参照_姫'!A:A,'参照_姫'!B:B,"見つかりません"))</f>
      </c>
      <c r="K2526" s="4">
        <v>95</v>
      </c>
      <c r="L2526" s="4">
        <v>0</v>
      </c>
      <c r="M2526" s="4"/>
      <c r="N2526" s="4"/>
      <c r="O2526" s="4"/>
      <c r="P2526" s="12" t="str">
        <f t="array" ref="P2526">IF(O2526:O6568="","",_xlfn.XLOOKUP(O2526:O6568,'参照_官位'!A:A,'参照_官位'!B:B,""))</f>
      </c>
      <c r="Q2526" s="12" t="str">
        <f t="array" ref="Q2526">IF(A2526:A6568="","",IFERROR(_xlfn.XLOOKUP(A2526:A6568,castles_state!K:K,castles_state!D:D)&amp;"主",IFERROR(_xlfn.XLOOKUP(A2526:A6568,kunishuClan!D:D,kunishuClan!B:B)&amp;"当主","")))</f>
      </c>
    </row>
    <row r="2527" ht="15.75" customHeight="1">
      <c r="A2527" s="4">
        <v>1068021</v>
      </c>
      <c r="B2527" s="12" t="str">
        <f t="array" ref="B2527">IF(A2527:A6569="","",_xlfn.XLOOKUP(A2527:A6569,'参照_武将'!A:A,'参照_武将'!B:B,"見つかりません"))</f>
      </c>
      <c r="C2527" s="4" t="s">
        <v>325</v>
      </c>
      <c r="D2527" s="4">
        <v>68</v>
      </c>
      <c r="E2527" s="12" t="str">
        <f t="array" ref="E2527">IF(D2527:D6569="","",IFERROR(_xlfn.XLOOKUP(D2527:D6569,'参照_勢力'!A:A,'参照_勢力'!B:B),IFERROR(_xlfn.XLOOKUP(F2527:F6569,kunishuClan!A:A,kunishuClan!B:B),"浪人")))</f>
      </c>
      <c r="F2527" s="4">
        <v>0</v>
      </c>
      <c r="G2527" s="4">
        <v>194</v>
      </c>
      <c r="H2527" s="12" t="str">
        <f t="array" ref="H2527">IF(G2527:G6569="","",_xlfn.XLOOKUP(G2527:G6569,castles_state!A:A,castles_state!D:D,"見つかりません"))</f>
      </c>
      <c r="I2527" s="4"/>
      <c r="J2527" s="12" t="str">
        <f t="array" ref="J2527">IF(I2527:I6569="","",_xlfn.XLOOKUP(I2527:I6569,'参照_姫'!A:A,'参照_姫'!B:B,"見つかりません"))</f>
      </c>
      <c r="K2527" s="4">
        <v>95</v>
      </c>
      <c r="L2527" s="4">
        <v>0</v>
      </c>
      <c r="M2527" s="4"/>
      <c r="N2527" s="4"/>
      <c r="O2527" s="4"/>
      <c r="P2527" s="12" t="str">
        <f t="array" ref="P2527">IF(O2527:O6569="","",_xlfn.XLOOKUP(O2527:O6569,'参照_官位'!A:A,'参照_官位'!B:B,""))</f>
      </c>
      <c r="Q2527" s="12" t="str">
        <f t="array" ref="Q2527">IF(A2527:A6569="","",IFERROR(_xlfn.XLOOKUP(A2527:A6569,castles_state!K:K,castles_state!D:D)&amp;"主",IFERROR(_xlfn.XLOOKUP(A2527:A6569,kunishuClan!D:D,kunishuClan!B:B)&amp;"当主","")))</f>
      </c>
    </row>
    <row r="2528" ht="15.75" customHeight="1">
      <c r="A2528" s="4">
        <v>1068022</v>
      </c>
      <c r="B2528" s="12" t="str">
        <f t="array" ref="B2528">IF(A2528:A6570="","",_xlfn.XLOOKUP(A2528:A6570,'参照_武将'!A:A,'参照_武将'!B:B,"見つかりません"))</f>
      </c>
      <c r="C2528" s="4" t="s">
        <v>325</v>
      </c>
      <c r="D2528" s="4">
        <v>68</v>
      </c>
      <c r="E2528" s="12" t="str">
        <f t="array" ref="E2528">IF(D2528:D6570="","",IFERROR(_xlfn.XLOOKUP(D2528:D6570,'参照_勢力'!A:A,'参照_勢力'!B:B),IFERROR(_xlfn.XLOOKUP(F2528:F6570,kunishuClan!A:A,kunishuClan!B:B),"浪人")))</f>
      </c>
      <c r="F2528" s="4">
        <v>0</v>
      </c>
      <c r="G2528" s="4">
        <v>190</v>
      </c>
      <c r="H2528" s="12" t="str">
        <f t="array" ref="H2528">IF(G2528:G6570="","",_xlfn.XLOOKUP(G2528:G6570,castles_state!A:A,castles_state!D:D,"見つかりません"))</f>
      </c>
      <c r="I2528" s="4"/>
      <c r="J2528" s="12" t="str">
        <f t="array" ref="J2528">IF(I2528:I6570="","",_xlfn.XLOOKUP(I2528:I6570,'参照_姫'!A:A,'参照_姫'!B:B,"見つかりません"))</f>
      </c>
      <c r="K2528" s="4">
        <v>95</v>
      </c>
      <c r="L2528" s="4">
        <v>0</v>
      </c>
      <c r="M2528" s="4"/>
      <c r="N2528" s="4"/>
      <c r="O2528" s="4"/>
      <c r="P2528" s="12" t="str">
        <f t="array" ref="P2528">IF(O2528:O6570="","",_xlfn.XLOOKUP(O2528:O6570,'参照_官位'!A:A,'参照_官位'!B:B,""))</f>
      </c>
      <c r="Q2528" s="12" t="str">
        <f t="array" ref="Q2528">IF(A2528:A6570="","",IFERROR(_xlfn.XLOOKUP(A2528:A6570,castles_state!K:K,castles_state!D:D)&amp;"主",IFERROR(_xlfn.XLOOKUP(A2528:A6570,kunishuClan!D:D,kunishuClan!B:B)&amp;"当主","")))</f>
      </c>
    </row>
    <row r="2529" ht="15.75" customHeight="1">
      <c r="A2529" s="4">
        <v>1068023</v>
      </c>
      <c r="B2529" s="12" t="str">
        <f t="array" ref="B2529">IF(A2529:A6571="","",_xlfn.XLOOKUP(A2529:A6571,'参照_武将'!A:A,'参照_武将'!B:B,"見つかりません"))</f>
      </c>
      <c r="C2529" s="4" t="s">
        <v>325</v>
      </c>
      <c r="D2529" s="4">
        <v>68</v>
      </c>
      <c r="E2529" s="12" t="str">
        <f t="array" ref="E2529">IF(D2529:D6571="","",IFERROR(_xlfn.XLOOKUP(D2529:D6571,'参照_勢力'!A:A,'参照_勢力'!B:B),IFERROR(_xlfn.XLOOKUP(F2529:F6571,kunishuClan!A:A,kunishuClan!B:B),"浪人")))</f>
      </c>
      <c r="F2529" s="4">
        <v>0</v>
      </c>
      <c r="G2529" s="4">
        <v>194</v>
      </c>
      <c r="H2529" s="12" t="str">
        <f t="array" ref="H2529">IF(G2529:G6571="","",_xlfn.XLOOKUP(G2529:G6571,castles_state!A:A,castles_state!D:D,"見つかりません"))</f>
      </c>
      <c r="I2529" s="4"/>
      <c r="J2529" s="12" t="str">
        <f t="array" ref="J2529">IF(I2529:I6571="","",_xlfn.XLOOKUP(I2529:I6571,'参照_姫'!A:A,'参照_姫'!B:B,"見つかりません"))</f>
      </c>
      <c r="K2529" s="4">
        <v>95</v>
      </c>
      <c r="L2529" s="4">
        <v>0</v>
      </c>
      <c r="M2529" s="4"/>
      <c r="N2529" s="4"/>
      <c r="O2529" s="4"/>
      <c r="P2529" s="12" t="str">
        <f t="array" ref="P2529">IF(O2529:O6571="","",_xlfn.XLOOKUP(O2529:O6571,'参照_官位'!A:A,'参照_官位'!B:B,""))</f>
      </c>
      <c r="Q2529" s="12" t="str">
        <f t="array" ref="Q2529">IF(A2529:A6571="","",IFERROR(_xlfn.XLOOKUP(A2529:A6571,castles_state!K:K,castles_state!D:D)&amp;"主",IFERROR(_xlfn.XLOOKUP(A2529:A6571,kunishuClan!D:D,kunishuClan!B:B)&amp;"当主","")))</f>
      </c>
    </row>
    <row r="2530" ht="15.75" customHeight="1">
      <c r="A2530" s="4">
        <v>1068024</v>
      </c>
      <c r="B2530" s="12" t="str">
        <f t="array" ref="B2530">IF(A2530:A6572="","",_xlfn.XLOOKUP(A2530:A6572,'参照_武将'!A:A,'参照_武将'!B:B,"見つかりません"))</f>
      </c>
      <c r="C2530" s="4" t="s">
        <v>325</v>
      </c>
      <c r="D2530" s="4">
        <v>68</v>
      </c>
      <c r="E2530" s="12" t="str">
        <f t="array" ref="E2530">IF(D2530:D6572="","",IFERROR(_xlfn.XLOOKUP(D2530:D6572,'参照_勢力'!A:A,'参照_勢力'!B:B),IFERROR(_xlfn.XLOOKUP(F2530:F6572,kunishuClan!A:A,kunishuClan!B:B),"浪人")))</f>
      </c>
      <c r="F2530" s="4">
        <v>0</v>
      </c>
      <c r="G2530" s="4">
        <v>194</v>
      </c>
      <c r="H2530" s="12" t="str">
        <f t="array" ref="H2530">IF(G2530:G6572="","",_xlfn.XLOOKUP(G2530:G6572,castles_state!A:A,castles_state!D:D,"見つかりません"))</f>
      </c>
      <c r="I2530" s="4"/>
      <c r="J2530" s="12" t="str">
        <f t="array" ref="J2530">IF(I2530:I6572="","",_xlfn.XLOOKUP(I2530:I6572,'参照_姫'!A:A,'参照_姫'!B:B,"見つかりません"))</f>
      </c>
      <c r="K2530" s="4">
        <v>95</v>
      </c>
      <c r="L2530" s="4">
        <v>0</v>
      </c>
      <c r="M2530" s="4"/>
      <c r="N2530" s="4"/>
      <c r="O2530" s="4"/>
      <c r="P2530" s="12" t="str">
        <f t="array" ref="P2530">IF(O2530:O6572="","",_xlfn.XLOOKUP(O2530:O6572,'参照_官位'!A:A,'参照_官位'!B:B,""))</f>
      </c>
      <c r="Q2530" s="12" t="str">
        <f t="array" ref="Q2530">IF(A2530:A6572="","",IFERROR(_xlfn.XLOOKUP(A2530:A6572,castles_state!K:K,castles_state!D:D)&amp;"主",IFERROR(_xlfn.XLOOKUP(A2530:A6572,kunishuClan!D:D,kunishuClan!B:B)&amp;"当主","")))</f>
      </c>
    </row>
    <row r="2531" ht="15.75" customHeight="1">
      <c r="A2531" s="4">
        <v>1068025</v>
      </c>
      <c r="B2531" s="12" t="str">
        <f t="array" ref="B2531">IF(A2531:A6573="","",_xlfn.XLOOKUP(A2531:A6573,'参照_武将'!A:A,'参照_武将'!B:B,"見つかりません"))</f>
      </c>
      <c r="C2531" s="4" t="s">
        <v>325</v>
      </c>
      <c r="D2531" s="4">
        <v>68</v>
      </c>
      <c r="E2531" s="12" t="str">
        <f t="array" ref="E2531">IF(D2531:D6573="","",IFERROR(_xlfn.XLOOKUP(D2531:D6573,'参照_勢力'!A:A,'参照_勢力'!B:B),IFERROR(_xlfn.XLOOKUP(F2531:F6573,kunishuClan!A:A,kunishuClan!B:B),"浪人")))</f>
      </c>
      <c r="F2531" s="4">
        <v>0</v>
      </c>
      <c r="G2531" s="4">
        <v>194</v>
      </c>
      <c r="H2531" s="12" t="str">
        <f t="array" ref="H2531">IF(G2531:G6573="","",_xlfn.XLOOKUP(G2531:G6573,castles_state!A:A,castles_state!D:D,"見つかりません"))</f>
      </c>
      <c r="I2531" s="4"/>
      <c r="J2531" s="12" t="str">
        <f t="array" ref="J2531">IF(I2531:I6573="","",_xlfn.XLOOKUP(I2531:I6573,'参照_姫'!A:A,'参照_姫'!B:B,"見つかりません"))</f>
      </c>
      <c r="K2531" s="4">
        <v>95</v>
      </c>
      <c r="L2531" s="4">
        <v>0</v>
      </c>
      <c r="M2531" s="4"/>
      <c r="N2531" s="4"/>
      <c r="O2531" s="4"/>
      <c r="P2531" s="12" t="str">
        <f t="array" ref="P2531">IF(O2531:O6573="","",_xlfn.XLOOKUP(O2531:O6573,'参照_官位'!A:A,'参照_官位'!B:B,""))</f>
      </c>
      <c r="Q2531" s="12" t="str">
        <f t="array" ref="Q2531">IF(A2531:A6573="","",IFERROR(_xlfn.XLOOKUP(A2531:A6573,castles_state!K:K,castles_state!D:D)&amp;"主",IFERROR(_xlfn.XLOOKUP(A2531:A6573,kunishuClan!D:D,kunishuClan!B:B)&amp;"当主","")))</f>
      </c>
    </row>
    <row r="2532" ht="15.75" customHeight="1">
      <c r="A2532" s="4">
        <v>1068026</v>
      </c>
      <c r="B2532" s="12" t="str">
        <f t="array" ref="B2532">IF(A2532:A6574="","",_xlfn.XLOOKUP(A2532:A6574,'参照_武将'!A:A,'参照_武将'!B:B,"見つかりません"))</f>
      </c>
      <c r="C2532" s="4" t="s">
        <v>325</v>
      </c>
      <c r="D2532" s="4">
        <v>68</v>
      </c>
      <c r="E2532" s="12" t="str">
        <f t="array" ref="E2532">IF(D2532:D6574="","",IFERROR(_xlfn.XLOOKUP(D2532:D6574,'参照_勢力'!A:A,'参照_勢力'!B:B),IFERROR(_xlfn.XLOOKUP(F2532:F6574,kunishuClan!A:A,kunishuClan!B:B),"浪人")))</f>
      </c>
      <c r="F2532" s="4">
        <v>0</v>
      </c>
      <c r="G2532" s="4">
        <v>194</v>
      </c>
      <c r="H2532" s="12" t="str">
        <f t="array" ref="H2532">IF(G2532:G6574="","",_xlfn.XLOOKUP(G2532:G6574,castles_state!A:A,castles_state!D:D,"見つかりません"))</f>
      </c>
      <c r="I2532" s="4"/>
      <c r="J2532" s="12" t="str">
        <f t="array" ref="J2532">IF(I2532:I6574="","",_xlfn.XLOOKUP(I2532:I6574,'参照_姫'!A:A,'参照_姫'!B:B,"見つかりません"))</f>
      </c>
      <c r="K2532" s="4">
        <v>95</v>
      </c>
      <c r="L2532" s="4">
        <v>0</v>
      </c>
      <c r="M2532" s="4"/>
      <c r="N2532" s="4"/>
      <c r="O2532" s="4"/>
      <c r="P2532" s="12" t="str">
        <f t="array" ref="P2532">IF(O2532:O6574="","",_xlfn.XLOOKUP(O2532:O6574,'参照_官位'!A:A,'参照_官位'!B:B,""))</f>
      </c>
      <c r="Q2532" s="12" t="str">
        <f t="array" ref="Q2532">IF(A2532:A6574="","",IFERROR(_xlfn.XLOOKUP(A2532:A6574,castles_state!K:K,castles_state!D:D)&amp;"主",IFERROR(_xlfn.XLOOKUP(A2532:A6574,kunishuClan!D:D,kunishuClan!B:B)&amp;"当主","")))</f>
      </c>
    </row>
    <row r="2533" ht="15.75" customHeight="1">
      <c r="A2533" s="4">
        <v>1068027</v>
      </c>
      <c r="B2533" s="12" t="str">
        <f t="array" ref="B2533">IF(A2533:A6575="","",_xlfn.XLOOKUP(A2533:A6575,'参照_武将'!A:A,'参照_武将'!B:B,"見つかりません"))</f>
      </c>
      <c r="C2533" s="4" t="s">
        <v>325</v>
      </c>
      <c r="D2533" s="4">
        <v>68</v>
      </c>
      <c r="E2533" s="12" t="str">
        <f t="array" ref="E2533">IF(D2533:D6575="","",IFERROR(_xlfn.XLOOKUP(D2533:D6575,'参照_勢力'!A:A,'参照_勢力'!B:B),IFERROR(_xlfn.XLOOKUP(F2533:F6575,kunishuClan!A:A,kunishuClan!B:B),"浪人")))</f>
      </c>
      <c r="F2533" s="4">
        <v>0</v>
      </c>
      <c r="G2533" s="4">
        <v>194</v>
      </c>
      <c r="H2533" s="12" t="str">
        <f t="array" ref="H2533">IF(G2533:G6575="","",_xlfn.XLOOKUP(G2533:G6575,castles_state!A:A,castles_state!D:D,"見つかりません"))</f>
      </c>
      <c r="I2533" s="4"/>
      <c r="J2533" s="12" t="str">
        <f t="array" ref="J2533">IF(I2533:I6575="","",_xlfn.XLOOKUP(I2533:I6575,'参照_姫'!A:A,'参照_姫'!B:B,"見つかりません"))</f>
      </c>
      <c r="K2533" s="4">
        <v>95</v>
      </c>
      <c r="L2533" s="4">
        <v>0</v>
      </c>
      <c r="M2533" s="4"/>
      <c r="N2533" s="4"/>
      <c r="O2533" s="4"/>
      <c r="P2533" s="12" t="str">
        <f t="array" ref="P2533">IF(O2533:O6575="","",_xlfn.XLOOKUP(O2533:O6575,'参照_官位'!A:A,'参照_官位'!B:B,""))</f>
      </c>
      <c r="Q2533" s="12" t="str">
        <f t="array" ref="Q2533">IF(A2533:A6575="","",IFERROR(_xlfn.XLOOKUP(A2533:A6575,castles_state!K:K,castles_state!D:D)&amp;"主",IFERROR(_xlfn.XLOOKUP(A2533:A6575,kunishuClan!D:D,kunishuClan!B:B)&amp;"当主","")))</f>
      </c>
    </row>
    <row r="2534" ht="15.75" customHeight="1">
      <c r="A2534" s="4">
        <v>1068028</v>
      </c>
      <c r="B2534" s="12" t="str">
        <f t="array" ref="B2534">IF(A2534:A6576="","",_xlfn.XLOOKUP(A2534:A6576,'参照_武将'!A:A,'参照_武将'!B:B,"見つかりません"))</f>
      </c>
      <c r="C2534" s="4" t="s">
        <v>325</v>
      </c>
      <c r="D2534" s="4">
        <v>68</v>
      </c>
      <c r="E2534" s="12" t="str">
        <f t="array" ref="E2534">IF(D2534:D6576="","",IFERROR(_xlfn.XLOOKUP(D2534:D6576,'参照_勢力'!A:A,'参照_勢力'!B:B),IFERROR(_xlfn.XLOOKUP(F2534:F6576,kunishuClan!A:A,kunishuClan!B:B),"浪人")))</f>
      </c>
      <c r="F2534" s="4">
        <v>0</v>
      </c>
      <c r="G2534" s="4">
        <v>194</v>
      </c>
      <c r="H2534" s="12" t="str">
        <f t="array" ref="H2534">IF(G2534:G6576="","",_xlfn.XLOOKUP(G2534:G6576,castles_state!A:A,castles_state!D:D,"見つかりません"))</f>
      </c>
      <c r="I2534" s="4"/>
      <c r="J2534" s="12" t="str">
        <f t="array" ref="J2534">IF(I2534:I6576="","",_xlfn.XLOOKUP(I2534:I6576,'参照_姫'!A:A,'参照_姫'!B:B,"見つかりません"))</f>
      </c>
      <c r="K2534" s="4">
        <v>95</v>
      </c>
      <c r="L2534" s="4">
        <v>0</v>
      </c>
      <c r="M2534" s="4"/>
      <c r="N2534" s="4"/>
      <c r="O2534" s="4"/>
      <c r="P2534" s="12" t="str">
        <f t="array" ref="P2534">IF(O2534:O6576="","",_xlfn.XLOOKUP(O2534:O6576,'参照_官位'!A:A,'参照_官位'!B:B,""))</f>
      </c>
      <c r="Q2534" s="12" t="str">
        <f t="array" ref="Q2534">IF(A2534:A6576="","",IFERROR(_xlfn.XLOOKUP(A2534:A6576,castles_state!K:K,castles_state!D:D)&amp;"主",IFERROR(_xlfn.XLOOKUP(A2534:A6576,kunishuClan!D:D,kunishuClan!B:B)&amp;"当主","")))</f>
      </c>
    </row>
    <row r="2535" ht="15.75" customHeight="1">
      <c r="A2535" s="4">
        <v>1068029</v>
      </c>
      <c r="B2535" s="12" t="str">
        <f t="array" ref="B2535">IF(A2535:A6577="","",_xlfn.XLOOKUP(A2535:A6577,'参照_武将'!A:A,'参照_武将'!B:B,"見つかりません"))</f>
      </c>
      <c r="C2535" s="4" t="s">
        <v>325</v>
      </c>
      <c r="D2535" s="4">
        <v>68</v>
      </c>
      <c r="E2535" s="12" t="str">
        <f t="array" ref="E2535">IF(D2535:D6577="","",IFERROR(_xlfn.XLOOKUP(D2535:D6577,'参照_勢力'!A:A,'参照_勢力'!B:B),IFERROR(_xlfn.XLOOKUP(F2535:F6577,kunishuClan!A:A,kunishuClan!B:B),"浪人")))</f>
      </c>
      <c r="F2535" s="4">
        <v>0</v>
      </c>
      <c r="G2535" s="4">
        <v>194</v>
      </c>
      <c r="H2535" s="12" t="str">
        <f t="array" ref="H2535">IF(G2535:G6577="","",_xlfn.XLOOKUP(G2535:G6577,castles_state!A:A,castles_state!D:D,"見つかりません"))</f>
      </c>
      <c r="I2535" s="4"/>
      <c r="J2535" s="12" t="str">
        <f t="array" ref="J2535">IF(I2535:I6577="","",_xlfn.XLOOKUP(I2535:I6577,'参照_姫'!A:A,'参照_姫'!B:B,"見つかりません"))</f>
      </c>
      <c r="K2535" s="4">
        <v>95</v>
      </c>
      <c r="L2535" s="4">
        <v>0</v>
      </c>
      <c r="M2535" s="4" t="b">
        <v>1</v>
      </c>
      <c r="N2535" s="4"/>
      <c r="O2535" s="4"/>
      <c r="P2535" s="12" t="str">
        <f t="array" ref="P2535">IF(O2535:O6577="","",_xlfn.XLOOKUP(O2535:O6577,'参照_官位'!A:A,'参照_官位'!B:B,""))</f>
      </c>
      <c r="Q2535" s="12" t="str">
        <f t="array" ref="Q2535">IF(A2535:A6577="","",IFERROR(_xlfn.XLOOKUP(A2535:A6577,castles_state!K:K,castles_state!D:D)&amp;"主",IFERROR(_xlfn.XLOOKUP(A2535:A6577,kunishuClan!D:D,kunishuClan!B:B)&amp;"当主","")))</f>
      </c>
    </row>
    <row r="2536" ht="15.75" customHeight="1">
      <c r="A2536" s="4">
        <v>1068030</v>
      </c>
      <c r="B2536" s="12" t="str">
        <f t="array" ref="B2536">IF(A2536:A6578="","",_xlfn.XLOOKUP(A2536:A6578,'参照_武将'!A:A,'参照_武将'!B:B,"見つかりません"))</f>
      </c>
      <c r="C2536" s="4" t="s">
        <v>325</v>
      </c>
      <c r="D2536" s="4">
        <v>68</v>
      </c>
      <c r="E2536" s="12" t="str">
        <f t="array" ref="E2536">IF(D2536:D6578="","",IFERROR(_xlfn.XLOOKUP(D2536:D6578,'参照_勢力'!A:A,'参照_勢力'!B:B),IFERROR(_xlfn.XLOOKUP(F2536:F6578,kunishuClan!A:A,kunishuClan!B:B),"浪人")))</f>
      </c>
      <c r="F2536" s="4">
        <v>0</v>
      </c>
      <c r="G2536" s="4">
        <v>194</v>
      </c>
      <c r="H2536" s="12" t="str">
        <f t="array" ref="H2536">IF(G2536:G6578="","",_xlfn.XLOOKUP(G2536:G6578,castles_state!A:A,castles_state!D:D,"見つかりません"))</f>
      </c>
      <c r="I2536" s="4"/>
      <c r="J2536" s="12" t="str">
        <f t="array" ref="J2536">IF(I2536:I6578="","",_xlfn.XLOOKUP(I2536:I6578,'参照_姫'!A:A,'参照_姫'!B:B,"見つかりません"))</f>
      </c>
      <c r="K2536" s="4">
        <v>95</v>
      </c>
      <c r="L2536" s="4">
        <v>0</v>
      </c>
      <c r="M2536" s="4"/>
      <c r="N2536" s="4"/>
      <c r="O2536" s="4"/>
      <c r="P2536" s="12" t="str">
        <f t="array" ref="P2536">IF(O2536:O6578="","",_xlfn.XLOOKUP(O2536:O6578,'参照_官位'!A:A,'参照_官位'!B:B,""))</f>
      </c>
      <c r="Q2536" s="12" t="str">
        <f t="array" ref="Q2536">IF(A2536:A6578="","",IFERROR(_xlfn.XLOOKUP(A2536:A6578,castles_state!K:K,castles_state!D:D)&amp;"主",IFERROR(_xlfn.XLOOKUP(A2536:A6578,kunishuClan!D:D,kunishuClan!B:B)&amp;"当主","")))</f>
      </c>
    </row>
    <row r="2537" ht="15.75" customHeight="1">
      <c r="A2537" s="4">
        <v>1068031</v>
      </c>
      <c r="B2537" s="12" t="str">
        <f t="array" ref="B2537">IF(A2537:A6579="","",_xlfn.XLOOKUP(A2537:A6579,'参照_武将'!A:A,'参照_武将'!B:B,"見つかりません"))</f>
      </c>
      <c r="C2537" s="4" t="s">
        <v>325</v>
      </c>
      <c r="D2537" s="4">
        <v>68</v>
      </c>
      <c r="E2537" s="12" t="str">
        <f t="array" ref="E2537">IF(D2537:D6579="","",IFERROR(_xlfn.XLOOKUP(D2537:D6579,'参照_勢力'!A:A,'参照_勢力'!B:B),IFERROR(_xlfn.XLOOKUP(F2537:F6579,kunishuClan!A:A,kunishuClan!B:B),"浪人")))</f>
      </c>
      <c r="F2537" s="4">
        <v>0</v>
      </c>
      <c r="G2537" s="4">
        <v>194</v>
      </c>
      <c r="H2537" s="12" t="str">
        <f t="array" ref="H2537">IF(G2537:G6579="","",_xlfn.XLOOKUP(G2537:G6579,castles_state!A:A,castles_state!D:D,"見つかりません"))</f>
      </c>
      <c r="I2537" s="4"/>
      <c r="J2537" s="12" t="str">
        <f t="array" ref="J2537">IF(I2537:I6579="","",_xlfn.XLOOKUP(I2537:I6579,'参照_姫'!A:A,'参照_姫'!B:B,"見つかりません"))</f>
      </c>
      <c r="K2537" s="4">
        <v>95</v>
      </c>
      <c r="L2537" s="4">
        <v>0</v>
      </c>
      <c r="M2537" s="4"/>
      <c r="N2537" s="4"/>
      <c r="O2537" s="4"/>
      <c r="P2537" s="12" t="str">
        <f t="array" ref="P2537">IF(O2537:O6579="","",_xlfn.XLOOKUP(O2537:O6579,'参照_官位'!A:A,'参照_官位'!B:B,""))</f>
      </c>
      <c r="Q2537" s="12" t="str">
        <f t="array" ref="Q2537">IF(A2537:A6579="","",IFERROR(_xlfn.XLOOKUP(A2537:A6579,castles_state!K:K,castles_state!D:D)&amp;"主",IFERROR(_xlfn.XLOOKUP(A2537:A6579,kunishuClan!D:D,kunishuClan!B:B)&amp;"当主","")))</f>
      </c>
    </row>
    <row r="2538" ht="15.75" customHeight="1">
      <c r="A2538" s="4">
        <v>1068032</v>
      </c>
      <c r="B2538" s="12" t="str">
        <f t="array" ref="B2538">IF(A2538:A6580="","",_xlfn.XLOOKUP(A2538:A6580,'参照_武将'!A:A,'参照_武将'!B:B,"見つかりません"))</f>
      </c>
      <c r="C2538" s="4" t="s">
        <v>5961</v>
      </c>
      <c r="D2538" s="4">
        <v>68</v>
      </c>
      <c r="E2538" s="12" t="str">
        <f t="array" ref="E2538">IF(D2538:D6580="","",IFERROR(_xlfn.XLOOKUP(D2538:D6580,'参照_勢力'!A:A,'参照_勢力'!B:B),IFERROR(_xlfn.XLOOKUP(F2538:F6580,kunishuClan!A:A,kunishuClan!B:B),"浪人")))</f>
      </c>
      <c r="F2538" s="4">
        <v>0</v>
      </c>
      <c r="G2538" s="4">
        <v>194</v>
      </c>
      <c r="H2538" s="12" t="str">
        <f t="array" ref="H2538">IF(G2538:G6580="","",_xlfn.XLOOKUP(G2538:G6580,castles_state!A:A,castles_state!D:D,"見つかりません"))</f>
      </c>
      <c r="I2538" s="4"/>
      <c r="J2538" s="12" t="str">
        <f t="array" ref="J2538">IF(I2538:I6580="","",_xlfn.XLOOKUP(I2538:I6580,'参照_姫'!A:A,'参照_姫'!B:B,"見つかりません"))</f>
      </c>
      <c r="K2538" s="4">
        <v>95</v>
      </c>
      <c r="L2538" s="4">
        <v>0</v>
      </c>
      <c r="M2538" s="4"/>
      <c r="N2538" s="4"/>
      <c r="O2538" s="4"/>
      <c r="P2538" s="12" t="str">
        <f t="array" ref="P2538">IF(O2538:O6580="","",_xlfn.XLOOKUP(O2538:O6580,'参照_官位'!A:A,'参照_官位'!B:B,""))</f>
      </c>
      <c r="Q2538" s="12" t="str">
        <f t="array" ref="Q2538">IF(A2538:A6580="","",IFERROR(_xlfn.XLOOKUP(A2538:A6580,castles_state!K:K,castles_state!D:D)&amp;"主",IFERROR(_xlfn.XLOOKUP(A2538:A6580,kunishuClan!D:D,kunishuClan!B:B)&amp;"当主","")))</f>
      </c>
    </row>
    <row r="2539" ht="15.75" customHeight="1">
      <c r="A2539" s="4">
        <v>1068033</v>
      </c>
      <c r="B2539" s="12" t="str">
        <f t="array" ref="B2539">IF(A2539:A6581="","",_xlfn.XLOOKUP(A2539:A6581,'参照_武将'!A:A,'参照_武将'!B:B,"見つかりません"))</f>
      </c>
      <c r="C2539" s="4" t="s">
        <v>5961</v>
      </c>
      <c r="D2539" s="4">
        <v>68</v>
      </c>
      <c r="E2539" s="12" t="str">
        <f t="array" ref="E2539">IF(D2539:D6581="","",IFERROR(_xlfn.XLOOKUP(D2539:D6581,'参照_勢力'!A:A,'参照_勢力'!B:B),IFERROR(_xlfn.XLOOKUP(F2539:F6581,kunishuClan!A:A,kunishuClan!B:B),"浪人")))</f>
      </c>
      <c r="F2539" s="4">
        <v>0</v>
      </c>
      <c r="G2539" s="4">
        <v>193</v>
      </c>
      <c r="H2539" s="12" t="str">
        <f t="array" ref="H2539">IF(G2539:G6581="","",_xlfn.XLOOKUP(G2539:G6581,castles_state!A:A,castles_state!D:D,"見つかりません"))</f>
      </c>
      <c r="I2539" s="4"/>
      <c r="J2539" s="12" t="str">
        <f t="array" ref="J2539">IF(I2539:I6581="","",_xlfn.XLOOKUP(I2539:I6581,'参照_姫'!A:A,'参照_姫'!B:B,"見つかりません"))</f>
      </c>
      <c r="K2539" s="4">
        <v>95</v>
      </c>
      <c r="L2539" s="4">
        <v>0</v>
      </c>
      <c r="M2539" s="4"/>
      <c r="N2539" s="4"/>
      <c r="O2539" s="4"/>
      <c r="P2539" s="12" t="str">
        <f t="array" ref="P2539">IF(O2539:O6581="","",_xlfn.XLOOKUP(O2539:O6581,'参照_官位'!A:A,'参照_官位'!B:B,""))</f>
      </c>
      <c r="Q2539" s="12" t="str">
        <f t="array" ref="Q2539">IF(A2539:A6581="","",IFERROR(_xlfn.XLOOKUP(A2539:A6581,castles_state!K:K,castles_state!D:D)&amp;"主",IFERROR(_xlfn.XLOOKUP(A2539:A6581,kunishuClan!D:D,kunishuClan!B:B)&amp;"当主","")))</f>
      </c>
    </row>
    <row r="2540" ht="15.75" customHeight="1">
      <c r="A2540" s="4">
        <v>1068034</v>
      </c>
      <c r="B2540" s="12" t="str">
        <f t="array" ref="B2540">IF(A2540:A6582="","",_xlfn.XLOOKUP(A2540:A6582,'参照_武将'!A:A,'参照_武将'!B:B,"見つかりません"))</f>
      </c>
      <c r="C2540" s="4" t="s">
        <v>5961</v>
      </c>
      <c r="D2540" s="4">
        <v>68</v>
      </c>
      <c r="E2540" s="12" t="str">
        <f t="array" ref="E2540">IF(D2540:D6582="","",IFERROR(_xlfn.XLOOKUP(D2540:D6582,'参照_勢力'!A:A,'参照_勢力'!B:B),IFERROR(_xlfn.XLOOKUP(F2540:F6582,kunishuClan!A:A,kunishuClan!B:B),"浪人")))</f>
      </c>
      <c r="F2540" s="4">
        <v>0</v>
      </c>
      <c r="G2540" s="4">
        <v>191</v>
      </c>
      <c r="H2540" s="12" t="str">
        <f t="array" ref="H2540">IF(G2540:G6582="","",_xlfn.XLOOKUP(G2540:G6582,castles_state!A:A,castles_state!D:D,"見つかりません"))</f>
      </c>
      <c r="I2540" s="4"/>
      <c r="J2540" s="12" t="str">
        <f t="array" ref="J2540">IF(I2540:I6582="","",_xlfn.XLOOKUP(I2540:I6582,'参照_姫'!A:A,'参照_姫'!B:B,"見つかりません"))</f>
      </c>
      <c r="K2540" s="4">
        <v>95</v>
      </c>
      <c r="L2540" s="4">
        <v>200</v>
      </c>
      <c r="M2540" s="4"/>
      <c r="N2540" s="4" t="b">
        <v>1</v>
      </c>
      <c r="O2540" s="4"/>
      <c r="P2540" s="12" t="str">
        <f t="array" ref="P2540">IF(O2540:O6582="","",_xlfn.XLOOKUP(O2540:O6582,'参照_官位'!A:A,'参照_官位'!B:B,""))</f>
      </c>
      <c r="Q2540" s="12" t="str">
        <f t="array" ref="Q2540">IF(A2540:A6582="","",IFERROR(_xlfn.XLOOKUP(A2540:A6582,castles_state!K:K,castles_state!D:D)&amp;"主",IFERROR(_xlfn.XLOOKUP(A2540:A6582,kunishuClan!D:D,kunishuClan!B:B)&amp;"当主","")))</f>
      </c>
    </row>
    <row r="2541" ht="15.75" customHeight="1">
      <c r="A2541" s="4">
        <v>1068035</v>
      </c>
      <c r="B2541" s="12" t="str">
        <f t="array" ref="B2541">IF(A2541:A6583="","",_xlfn.XLOOKUP(A2541:A6583,'参照_武将'!A:A,'参照_武将'!B:B,"見つかりません"))</f>
      </c>
      <c r="C2541" s="4" t="s">
        <v>5961</v>
      </c>
      <c r="D2541" s="4">
        <v>68</v>
      </c>
      <c r="E2541" s="12" t="str">
        <f t="array" ref="E2541">IF(D2541:D6583="","",IFERROR(_xlfn.XLOOKUP(D2541:D6583,'参照_勢力'!A:A,'参照_勢力'!B:B),IFERROR(_xlfn.XLOOKUP(F2541:F6583,kunishuClan!A:A,kunishuClan!B:B),"浪人")))</f>
      </c>
      <c r="F2541" s="4">
        <v>0</v>
      </c>
      <c r="G2541" s="4">
        <v>191</v>
      </c>
      <c r="H2541" s="12" t="str">
        <f t="array" ref="H2541">IF(G2541:G6583="","",_xlfn.XLOOKUP(G2541:G6583,castles_state!A:A,castles_state!D:D,"見つかりません"))</f>
      </c>
      <c r="I2541" s="4"/>
      <c r="J2541" s="12" t="str">
        <f t="array" ref="J2541">IF(I2541:I6583="","",_xlfn.XLOOKUP(I2541:I6583,'参照_姫'!A:A,'参照_姫'!B:B,"見つかりません"))</f>
      </c>
      <c r="K2541" s="4">
        <v>95</v>
      </c>
      <c r="L2541" s="4">
        <v>500</v>
      </c>
      <c r="M2541" s="4"/>
      <c r="N2541" s="4"/>
      <c r="O2541" s="4"/>
      <c r="P2541" s="12" t="str">
        <f t="array" ref="P2541">IF(O2541:O6583="","",_xlfn.XLOOKUP(O2541:O6583,'参照_官位'!A:A,'参照_官位'!B:B,""))</f>
      </c>
      <c r="Q2541" s="12" t="str">
        <f t="array" ref="Q2541">IF(A2541:A6583="","",IFERROR(_xlfn.XLOOKUP(A2541:A6583,castles_state!K:K,castles_state!D:D)&amp;"主",IFERROR(_xlfn.XLOOKUP(A2541:A6583,kunishuClan!D:D,kunishuClan!B:B)&amp;"当主","")))</f>
      </c>
    </row>
    <row r="2542" ht="15.75" customHeight="1">
      <c r="A2542" s="4">
        <v>1068036</v>
      </c>
      <c r="B2542" s="12" t="str">
        <f t="array" ref="B2542">IF(A2542:A6584="","",_xlfn.XLOOKUP(A2542:A6584,'参照_武将'!A:A,'参照_武将'!B:B,"見つかりません"))</f>
      </c>
      <c r="C2542" s="4" t="s">
        <v>5961</v>
      </c>
      <c r="D2542" s="4">
        <v>68</v>
      </c>
      <c r="E2542" s="12" t="str">
        <f t="array" ref="E2542">IF(D2542:D6584="","",IFERROR(_xlfn.XLOOKUP(D2542:D6584,'参照_勢力'!A:A,'参照_勢力'!B:B),IFERROR(_xlfn.XLOOKUP(F2542:F6584,kunishuClan!A:A,kunishuClan!B:B),"浪人")))</f>
      </c>
      <c r="F2542" s="4">
        <v>0</v>
      </c>
      <c r="G2542" s="4">
        <v>191</v>
      </c>
      <c r="H2542" s="12" t="str">
        <f t="array" ref="H2542">IF(G2542:G6584="","",_xlfn.XLOOKUP(G2542:G6584,castles_state!A:A,castles_state!D:D,"見つかりません"))</f>
      </c>
      <c r="I2542" s="4"/>
      <c r="J2542" s="12" t="str">
        <f t="array" ref="J2542">IF(I2542:I6584="","",_xlfn.XLOOKUP(I2542:I6584,'参照_姫'!A:A,'参照_姫'!B:B,"見つかりません"))</f>
      </c>
      <c r="K2542" s="4">
        <v>95</v>
      </c>
      <c r="L2542" s="4">
        <v>0</v>
      </c>
      <c r="M2542" s="4"/>
      <c r="N2542" s="4"/>
      <c r="O2542" s="4"/>
      <c r="P2542" s="12" t="str">
        <f t="array" ref="P2542">IF(O2542:O6584="","",_xlfn.XLOOKUP(O2542:O6584,'参照_官位'!A:A,'参照_官位'!B:B,""))</f>
      </c>
      <c r="Q2542" s="12" t="str">
        <f t="array" ref="Q2542">IF(A2542:A6584="","",IFERROR(_xlfn.XLOOKUP(A2542:A6584,castles_state!K:K,castles_state!D:D)&amp;"主",IFERROR(_xlfn.XLOOKUP(A2542:A6584,kunishuClan!D:D,kunishuClan!B:B)&amp;"当主","")))</f>
      </c>
    </row>
    <row r="2543" ht="15.75" customHeight="1">
      <c r="A2543" s="4">
        <v>1068037</v>
      </c>
      <c r="B2543" s="12" t="str">
        <f t="array" ref="B2543">IF(A2543:A6585="","",_xlfn.XLOOKUP(A2543:A6585,'参照_武将'!A:A,'参照_武将'!B:B,"見つかりません"))</f>
      </c>
      <c r="C2543" s="4" t="s">
        <v>5961</v>
      </c>
      <c r="D2543" s="4">
        <v>68</v>
      </c>
      <c r="E2543" s="12" t="str">
        <f t="array" ref="E2543">IF(D2543:D6585="","",IFERROR(_xlfn.XLOOKUP(D2543:D6585,'参照_勢力'!A:A,'参照_勢力'!B:B),IFERROR(_xlfn.XLOOKUP(F2543:F6585,kunishuClan!A:A,kunishuClan!B:B),"浪人")))</f>
      </c>
      <c r="F2543" s="4">
        <v>0</v>
      </c>
      <c r="G2543" s="4">
        <v>191</v>
      </c>
      <c r="H2543" s="12" t="str">
        <f t="array" ref="H2543">IF(G2543:G6585="","",_xlfn.XLOOKUP(G2543:G6585,castles_state!A:A,castles_state!D:D,"見つかりません"))</f>
      </c>
      <c r="I2543" s="4"/>
      <c r="J2543" s="12" t="str">
        <f t="array" ref="J2543">IF(I2543:I6585="","",_xlfn.XLOOKUP(I2543:I6585,'参照_姫'!A:A,'参照_姫'!B:B,"見つかりません"))</f>
      </c>
      <c r="K2543" s="4">
        <v>95</v>
      </c>
      <c r="L2543" s="4">
        <v>0</v>
      </c>
      <c r="M2543" s="4"/>
      <c r="N2543" s="4"/>
      <c r="O2543" s="4"/>
      <c r="P2543" s="12" t="str">
        <f t="array" ref="P2543">IF(O2543:O6585="","",_xlfn.XLOOKUP(O2543:O6585,'参照_官位'!A:A,'参照_官位'!B:B,""))</f>
      </c>
      <c r="Q2543" s="12" t="str">
        <f t="array" ref="Q2543">IF(A2543:A6585="","",IFERROR(_xlfn.XLOOKUP(A2543:A6585,castles_state!K:K,castles_state!D:D)&amp;"主",IFERROR(_xlfn.XLOOKUP(A2543:A6585,kunishuClan!D:D,kunishuClan!B:B)&amp;"当主","")))</f>
      </c>
    </row>
    <row r="2544" ht="15.75" customHeight="1">
      <c r="A2544" s="4">
        <v>1068038</v>
      </c>
      <c r="B2544" s="12" t="str">
        <f t="array" ref="B2544">IF(A2544:A6586="","",_xlfn.XLOOKUP(A2544:A6586,'参照_武将'!A:A,'参照_武将'!B:B,"見つかりません"))</f>
      </c>
      <c r="C2544" s="4" t="s">
        <v>5961</v>
      </c>
      <c r="D2544" s="4">
        <v>68</v>
      </c>
      <c r="E2544" s="12" t="str">
        <f t="array" ref="E2544">IF(D2544:D6586="","",IFERROR(_xlfn.XLOOKUP(D2544:D6586,'参照_勢力'!A:A,'参照_勢力'!B:B),IFERROR(_xlfn.XLOOKUP(F2544:F6586,kunishuClan!A:A,kunishuClan!B:B),"浪人")))</f>
      </c>
      <c r="F2544" s="4">
        <v>0</v>
      </c>
      <c r="G2544" s="4">
        <v>193</v>
      </c>
      <c r="H2544" s="12" t="str">
        <f t="array" ref="H2544">IF(G2544:G6586="","",_xlfn.XLOOKUP(G2544:G6586,castles_state!A:A,castles_state!D:D,"見つかりません"))</f>
      </c>
      <c r="I2544" s="4"/>
      <c r="J2544" s="12" t="str">
        <f t="array" ref="J2544">IF(I2544:I6586="","",_xlfn.XLOOKUP(I2544:I6586,'参照_姫'!A:A,'参照_姫'!B:B,"見つかりません"))</f>
      </c>
      <c r="K2544" s="4">
        <v>95</v>
      </c>
      <c r="L2544" s="4">
        <v>500</v>
      </c>
      <c r="M2544" s="4"/>
      <c r="N2544" s="4"/>
      <c r="O2544" s="4"/>
      <c r="P2544" s="12" t="str">
        <f t="array" ref="P2544">IF(O2544:O6586="","",_xlfn.XLOOKUP(O2544:O6586,'参照_官位'!A:A,'参照_官位'!B:B,""))</f>
      </c>
      <c r="Q2544" s="12" t="str">
        <f t="array" ref="Q2544">IF(A2544:A6586="","",IFERROR(_xlfn.XLOOKUP(A2544:A6586,castles_state!K:K,castles_state!D:D)&amp;"主",IFERROR(_xlfn.XLOOKUP(A2544:A6586,kunishuClan!D:D,kunishuClan!B:B)&amp;"当主","")))</f>
      </c>
    </row>
    <row r="2545" ht="15.75" customHeight="1">
      <c r="A2545" s="4">
        <v>1068039</v>
      </c>
      <c r="B2545" s="12" t="str">
        <f t="array" ref="B2545">IF(A2545:A6587="","",_xlfn.XLOOKUP(A2545:A6587,'参照_武将'!A:A,'参照_武将'!B:B,"見つかりません"))</f>
      </c>
      <c r="C2545" s="4" t="s">
        <v>5961</v>
      </c>
      <c r="D2545" s="4">
        <v>68</v>
      </c>
      <c r="E2545" s="12" t="str">
        <f t="array" ref="E2545">IF(D2545:D6587="","",IFERROR(_xlfn.XLOOKUP(D2545:D6587,'参照_勢力'!A:A,'参照_勢力'!B:B),IFERROR(_xlfn.XLOOKUP(F2545:F6587,kunishuClan!A:A,kunishuClan!B:B),"浪人")))</f>
      </c>
      <c r="F2545" s="4">
        <v>0</v>
      </c>
      <c r="G2545" s="4">
        <v>193</v>
      </c>
      <c r="H2545" s="12" t="str">
        <f t="array" ref="H2545">IF(G2545:G6587="","",_xlfn.XLOOKUP(G2545:G6587,castles_state!A:A,castles_state!D:D,"見つかりません"))</f>
      </c>
      <c r="I2545" s="4"/>
      <c r="J2545" s="12" t="str">
        <f t="array" ref="J2545">IF(I2545:I6587="","",_xlfn.XLOOKUP(I2545:I6587,'参照_姫'!A:A,'参照_姫'!B:B,"見つかりません"))</f>
      </c>
      <c r="K2545" s="4">
        <v>95</v>
      </c>
      <c r="L2545" s="4">
        <v>0</v>
      </c>
      <c r="M2545" s="4"/>
      <c r="N2545" s="4"/>
      <c r="O2545" s="4"/>
      <c r="P2545" s="12" t="str">
        <f t="array" ref="P2545">IF(O2545:O6587="","",_xlfn.XLOOKUP(O2545:O6587,'参照_官位'!A:A,'参照_官位'!B:B,""))</f>
      </c>
      <c r="Q2545" s="12" t="str">
        <f t="array" ref="Q2545">IF(A2545:A6587="","",IFERROR(_xlfn.XLOOKUP(A2545:A6587,castles_state!K:K,castles_state!D:D)&amp;"主",IFERROR(_xlfn.XLOOKUP(A2545:A6587,kunishuClan!D:D,kunishuClan!B:B)&amp;"当主","")))</f>
      </c>
    </row>
    <row r="2546" ht="15.75" customHeight="1">
      <c r="A2546" s="4">
        <v>1068040</v>
      </c>
      <c r="B2546" s="12" t="str">
        <f t="array" ref="B2546">IF(A2546:A6588="","",_xlfn.XLOOKUP(A2546:A6588,'参照_武将'!A:A,'参照_武将'!B:B,"見つかりません"))</f>
      </c>
      <c r="C2546" s="4" t="s">
        <v>5961</v>
      </c>
      <c r="D2546" s="4">
        <v>68</v>
      </c>
      <c r="E2546" s="12" t="str">
        <f t="array" ref="E2546">IF(D2546:D6588="","",IFERROR(_xlfn.XLOOKUP(D2546:D6588,'参照_勢力'!A:A,'参照_勢力'!B:B),IFERROR(_xlfn.XLOOKUP(F2546:F6588,kunishuClan!A:A,kunishuClan!B:B),"浪人")))</f>
      </c>
      <c r="F2546" s="4">
        <v>0</v>
      </c>
      <c r="G2546" s="4">
        <v>193</v>
      </c>
      <c r="H2546" s="12" t="str">
        <f t="array" ref="H2546">IF(G2546:G6588="","",_xlfn.XLOOKUP(G2546:G6588,castles_state!A:A,castles_state!D:D,"見つかりません"))</f>
      </c>
      <c r="I2546" s="4"/>
      <c r="J2546" s="12" t="str">
        <f t="array" ref="J2546">IF(I2546:I6588="","",_xlfn.XLOOKUP(I2546:I6588,'参照_姫'!A:A,'参照_姫'!B:B,"見つかりません"))</f>
      </c>
      <c r="K2546" s="4">
        <v>95</v>
      </c>
      <c r="L2546" s="4">
        <v>0</v>
      </c>
      <c r="M2546" s="4"/>
      <c r="N2546" s="4"/>
      <c r="O2546" s="4"/>
      <c r="P2546" s="12" t="str">
        <f t="array" ref="P2546">IF(O2546:O6588="","",_xlfn.XLOOKUP(O2546:O6588,'参照_官位'!A:A,'参照_官位'!B:B,""))</f>
      </c>
      <c r="Q2546" s="12" t="str">
        <f t="array" ref="Q2546">IF(A2546:A6588="","",IFERROR(_xlfn.XLOOKUP(A2546:A6588,castles_state!K:K,castles_state!D:D)&amp;"主",IFERROR(_xlfn.XLOOKUP(A2546:A6588,kunishuClan!D:D,kunishuClan!B:B)&amp;"当主","")))</f>
      </c>
    </row>
    <row r="2547" ht="15.75" customHeight="1">
      <c r="A2547" s="4">
        <v>1068041</v>
      </c>
      <c r="B2547" s="12" t="str">
        <f t="array" ref="B2547">IF(A2547:A6589="","",_xlfn.XLOOKUP(A2547:A6589,'参照_武将'!A:A,'参照_武将'!B:B,"見つかりません"))</f>
      </c>
      <c r="C2547" s="4" t="s">
        <v>5962</v>
      </c>
      <c r="D2547" s="4">
        <v>68</v>
      </c>
      <c r="E2547" s="12" t="str">
        <f t="array" ref="E2547">IF(D2547:D6589="","",IFERROR(_xlfn.XLOOKUP(D2547:D6589,'参照_勢力'!A:A,'参照_勢力'!B:B),IFERROR(_xlfn.XLOOKUP(F2547:F6589,kunishuClan!A:A,kunishuClan!B:B),"浪人")))</f>
      </c>
      <c r="F2547" s="4">
        <v>0</v>
      </c>
      <c r="G2547" s="4">
        <v>192</v>
      </c>
      <c r="H2547" s="12" t="str">
        <f t="array" ref="H2547">IF(G2547:G6589="","",_xlfn.XLOOKUP(G2547:G6589,castles_state!A:A,castles_state!D:D,"見つかりません"))</f>
      </c>
      <c r="I2547" s="4"/>
      <c r="J2547" s="12" t="str">
        <f t="array" ref="J2547">IF(I2547:I6589="","",_xlfn.XLOOKUP(I2547:I6589,'参照_姫'!A:A,'参照_姫'!B:B,"見つかりません"))</f>
      </c>
      <c r="K2547" s="4">
        <v>95</v>
      </c>
      <c r="L2547" s="4">
        <v>0</v>
      </c>
      <c r="M2547" s="4"/>
      <c r="N2547" s="4"/>
      <c r="O2547" s="4"/>
      <c r="P2547" s="12" t="str">
        <f t="array" ref="P2547">IF(O2547:O6589="","",_xlfn.XLOOKUP(O2547:O6589,'参照_官位'!A:A,'参照_官位'!B:B,""))</f>
      </c>
      <c r="Q2547" s="12" t="str">
        <f t="array" ref="Q2547">IF(A2547:A6589="","",IFERROR(_xlfn.XLOOKUP(A2547:A6589,castles_state!K:K,castles_state!D:D)&amp;"主",IFERROR(_xlfn.XLOOKUP(A2547:A6589,kunishuClan!D:D,kunishuClan!B:B)&amp;"当主","")))</f>
      </c>
    </row>
    <row r="2548" ht="15.75" customHeight="1">
      <c r="A2548" s="4">
        <v>1068042</v>
      </c>
      <c r="B2548" s="12" t="str">
        <f t="array" ref="B2548">IF(A2548:A6590="","",_xlfn.XLOOKUP(A2548:A6590,'参照_武将'!A:A,'参照_武将'!B:B,"見つかりません"))</f>
      </c>
      <c r="C2548" s="4" t="s">
        <v>5962</v>
      </c>
      <c r="D2548" s="4">
        <v>68</v>
      </c>
      <c r="E2548" s="12" t="str">
        <f t="array" ref="E2548">IF(D2548:D6590="","",IFERROR(_xlfn.XLOOKUP(D2548:D6590,'参照_勢力'!A:A,'参照_勢力'!B:B),IFERROR(_xlfn.XLOOKUP(F2548:F6590,kunishuClan!A:A,kunishuClan!B:B),"浪人")))</f>
      </c>
      <c r="F2548" s="4">
        <v>0</v>
      </c>
      <c r="G2548" s="4">
        <v>192</v>
      </c>
      <c r="H2548" s="12" t="str">
        <f t="array" ref="H2548">IF(G2548:G6590="","",_xlfn.XLOOKUP(G2548:G6590,castles_state!A:A,castles_state!D:D,"見つかりません"))</f>
      </c>
      <c r="I2548" s="4"/>
      <c r="J2548" s="12" t="str">
        <f t="array" ref="J2548">IF(I2548:I6590="","",_xlfn.XLOOKUP(I2548:I6590,'参照_姫'!A:A,'参照_姫'!B:B,"見つかりません"))</f>
      </c>
      <c r="K2548" s="4">
        <v>95</v>
      </c>
      <c r="L2548" s="4">
        <v>200</v>
      </c>
      <c r="M2548" s="4"/>
      <c r="N2548" s="4"/>
      <c r="O2548" s="4"/>
      <c r="P2548" s="12" t="str">
        <f t="array" ref="P2548">IF(O2548:O6590="","",_xlfn.XLOOKUP(O2548:O6590,'参照_官位'!A:A,'参照_官位'!B:B,""))</f>
      </c>
      <c r="Q2548" s="12" t="str">
        <f t="array" ref="Q2548">IF(A2548:A6590="","",IFERROR(_xlfn.XLOOKUP(A2548:A6590,castles_state!K:K,castles_state!D:D)&amp;"主",IFERROR(_xlfn.XLOOKUP(A2548:A6590,kunishuClan!D:D,kunishuClan!B:B)&amp;"当主","")))</f>
      </c>
    </row>
    <row r="2549" ht="15.75" customHeight="1">
      <c r="A2549" s="4">
        <v>1068043</v>
      </c>
      <c r="B2549" s="12" t="str">
        <f t="array" ref="B2549">IF(A2549:A6591="","",_xlfn.XLOOKUP(A2549:A6591,'参照_武将'!A:A,'参照_武将'!B:B,"見つかりません"))</f>
      </c>
      <c r="C2549" s="4" t="s">
        <v>5962</v>
      </c>
      <c r="D2549" s="4">
        <v>68</v>
      </c>
      <c r="E2549" s="12" t="str">
        <f t="array" ref="E2549">IF(D2549:D6591="","",IFERROR(_xlfn.XLOOKUP(D2549:D6591,'参照_勢力'!A:A,'参照_勢力'!B:B),IFERROR(_xlfn.XLOOKUP(F2549:F6591,kunishuClan!A:A,kunishuClan!B:B),"浪人")))</f>
      </c>
      <c r="F2549" s="4">
        <v>0</v>
      </c>
      <c r="G2549" s="4">
        <v>192</v>
      </c>
      <c r="H2549" s="12" t="str">
        <f t="array" ref="H2549">IF(G2549:G6591="","",_xlfn.XLOOKUP(G2549:G6591,castles_state!A:A,castles_state!D:D,"見つかりません"))</f>
      </c>
      <c r="I2549" s="4"/>
      <c r="J2549" s="12" t="str">
        <f t="array" ref="J2549">IF(I2549:I6591="","",_xlfn.XLOOKUP(I2549:I6591,'参照_姫'!A:A,'参照_姫'!B:B,"見つかりません"))</f>
      </c>
      <c r="K2549" s="4">
        <v>95</v>
      </c>
      <c r="L2549" s="4">
        <v>0</v>
      </c>
      <c r="M2549" s="4"/>
      <c r="N2549" s="4"/>
      <c r="O2549" s="4"/>
      <c r="P2549" s="12" t="str">
        <f t="array" ref="P2549">IF(O2549:O6591="","",_xlfn.XLOOKUP(O2549:O6591,'参照_官位'!A:A,'参照_官位'!B:B,""))</f>
      </c>
      <c r="Q2549" s="12" t="str">
        <f t="array" ref="Q2549">IF(A2549:A6591="","",IFERROR(_xlfn.XLOOKUP(A2549:A6591,castles_state!K:K,castles_state!D:D)&amp;"主",IFERROR(_xlfn.XLOOKUP(A2549:A6591,kunishuClan!D:D,kunishuClan!B:B)&amp;"当主","")))</f>
      </c>
    </row>
    <row r="2550" ht="15.75" customHeight="1">
      <c r="A2550" s="4">
        <v>1068044</v>
      </c>
      <c r="B2550" s="12" t="str">
        <f t="array" ref="B2550">IF(A2550:A6592="","",_xlfn.XLOOKUP(A2550:A6592,'参照_武将'!A:A,'参照_武将'!B:B,"見つかりません"))</f>
      </c>
      <c r="C2550" s="4" t="s">
        <v>5963</v>
      </c>
      <c r="D2550" s="4">
        <v>68</v>
      </c>
      <c r="E2550" s="12" t="str">
        <f t="array" ref="E2550">IF(D2550:D6592="","",IFERROR(_xlfn.XLOOKUP(D2550:D6592,'参照_勢力'!A:A,'参照_勢力'!B:B),IFERROR(_xlfn.XLOOKUP(F2550:F6592,kunishuClan!A:A,kunishuClan!B:B),"浪人")))</f>
      </c>
      <c r="F2550" s="4">
        <v>0</v>
      </c>
      <c r="G2550" s="4">
        <v>195</v>
      </c>
      <c r="H2550" s="12" t="str">
        <f t="array" ref="H2550">IF(G2550:G6592="","",_xlfn.XLOOKUP(G2550:G6592,castles_state!A:A,castles_state!D:D,"見つかりません"))</f>
      </c>
      <c r="I2550" s="4"/>
      <c r="J2550" s="12" t="str">
        <f t="array" ref="J2550">IF(I2550:I6592="","",_xlfn.XLOOKUP(I2550:I6592,'参照_姫'!A:A,'参照_姫'!B:B,"見つかりません"))</f>
      </c>
      <c r="K2550" s="4">
        <v>95</v>
      </c>
      <c r="L2550" s="4">
        <v>0</v>
      </c>
      <c r="M2550" s="4"/>
      <c r="N2550" s="4"/>
      <c r="O2550" s="4"/>
      <c r="P2550" s="12" t="str">
        <f t="array" ref="P2550">IF(O2550:O6592="","",_xlfn.XLOOKUP(O2550:O6592,'参照_官位'!A:A,'参照_官位'!B:B,""))</f>
      </c>
      <c r="Q2550" s="12" t="str">
        <f t="array" ref="Q2550">IF(A2550:A6592="","",IFERROR(_xlfn.XLOOKUP(A2550:A6592,castles_state!K:K,castles_state!D:D)&amp;"主",IFERROR(_xlfn.XLOOKUP(A2550:A6592,kunishuClan!D:D,kunishuClan!B:B)&amp;"当主","")))</f>
      </c>
    </row>
    <row r="2551" ht="15.75" customHeight="1">
      <c r="A2551" s="4">
        <v>1068045</v>
      </c>
      <c r="B2551" s="12" t="str">
        <f t="array" ref="B2551">IF(A2551:A6593="","",_xlfn.XLOOKUP(A2551:A6593,'参照_武将'!A:A,'参照_武将'!B:B,"見つかりません"))</f>
      </c>
      <c r="C2551" s="4" t="s">
        <v>5963</v>
      </c>
      <c r="D2551" s="4">
        <v>68</v>
      </c>
      <c r="E2551" s="12" t="str">
        <f t="array" ref="E2551">IF(D2551:D6593="","",IFERROR(_xlfn.XLOOKUP(D2551:D6593,'参照_勢力'!A:A,'参照_勢力'!B:B),IFERROR(_xlfn.XLOOKUP(F2551:F6593,kunishuClan!A:A,kunishuClan!B:B),"浪人")))</f>
      </c>
      <c r="F2551" s="4">
        <v>0</v>
      </c>
      <c r="G2551" s="4">
        <v>195</v>
      </c>
      <c r="H2551" s="12" t="str">
        <f t="array" ref="H2551">IF(G2551:G6593="","",_xlfn.XLOOKUP(G2551:G6593,castles_state!A:A,castles_state!D:D,"見つかりません"))</f>
      </c>
      <c r="I2551" s="4"/>
      <c r="J2551" s="12" t="str">
        <f t="array" ref="J2551">IF(I2551:I6593="","",_xlfn.XLOOKUP(I2551:I6593,'参照_姫'!A:A,'参照_姫'!B:B,"見つかりません"))</f>
      </c>
      <c r="K2551" s="4">
        <v>95</v>
      </c>
      <c r="L2551" s="4">
        <v>0</v>
      </c>
      <c r="M2551" s="4"/>
      <c r="N2551" s="4"/>
      <c r="O2551" s="4"/>
      <c r="P2551" s="12" t="str">
        <f t="array" ref="P2551">IF(O2551:O6593="","",_xlfn.XLOOKUP(O2551:O6593,'参照_官位'!A:A,'参照_官位'!B:B,""))</f>
      </c>
      <c r="Q2551" s="12" t="str">
        <f t="array" ref="Q2551">IF(A2551:A6593="","",IFERROR(_xlfn.XLOOKUP(A2551:A6593,castles_state!K:K,castles_state!D:D)&amp;"主",IFERROR(_xlfn.XLOOKUP(A2551:A6593,kunishuClan!D:D,kunishuClan!B:B)&amp;"当主","")))</f>
      </c>
    </row>
    <row r="2552" ht="15.75" customHeight="1">
      <c r="A2552" s="4">
        <v>1068046</v>
      </c>
      <c r="B2552" s="12" t="str">
        <f t="array" ref="B2552">IF(A2552:A6594="","",_xlfn.XLOOKUP(A2552:A6594,'参照_武将'!A:A,'参照_武将'!B:B,"見つかりません"))</f>
      </c>
      <c r="C2552" s="4" t="s">
        <v>5963</v>
      </c>
      <c r="D2552" s="4">
        <v>68</v>
      </c>
      <c r="E2552" s="12" t="str">
        <f t="array" ref="E2552">IF(D2552:D6594="","",IFERROR(_xlfn.XLOOKUP(D2552:D6594,'参照_勢力'!A:A,'参照_勢力'!B:B),IFERROR(_xlfn.XLOOKUP(F2552:F6594,kunishuClan!A:A,kunishuClan!B:B),"浪人")))</f>
      </c>
      <c r="F2552" s="4">
        <v>0</v>
      </c>
      <c r="G2552" s="4">
        <v>195</v>
      </c>
      <c r="H2552" s="12" t="str">
        <f t="array" ref="H2552">IF(G2552:G6594="","",_xlfn.XLOOKUP(G2552:G6594,castles_state!A:A,castles_state!D:D,"見つかりません"))</f>
      </c>
      <c r="I2552" s="4"/>
      <c r="J2552" s="12" t="str">
        <f t="array" ref="J2552">IF(I2552:I6594="","",_xlfn.XLOOKUP(I2552:I6594,'参照_姫'!A:A,'参照_姫'!B:B,"見つかりません"))</f>
      </c>
      <c r="K2552" s="4">
        <v>95</v>
      </c>
      <c r="L2552" s="4">
        <v>500</v>
      </c>
      <c r="M2552" s="4"/>
      <c r="N2552" s="4"/>
      <c r="O2552" s="4"/>
      <c r="P2552" s="12" t="str">
        <f t="array" ref="P2552">IF(O2552:O6594="","",_xlfn.XLOOKUP(O2552:O6594,'参照_官位'!A:A,'参照_官位'!B:B,""))</f>
      </c>
      <c r="Q2552" s="12" t="str">
        <f t="array" ref="Q2552">IF(A2552:A6594="","",IFERROR(_xlfn.XLOOKUP(A2552:A6594,castles_state!K:K,castles_state!D:D)&amp;"主",IFERROR(_xlfn.XLOOKUP(A2552:A6594,kunishuClan!D:D,kunishuClan!B:B)&amp;"当主","")))</f>
      </c>
    </row>
    <row r="2553" ht="15.75" customHeight="1">
      <c r="A2553" s="4">
        <v>1068047</v>
      </c>
      <c r="B2553" s="12" t="str">
        <f t="array" ref="B2553">IF(A2553:A6595="","",_xlfn.XLOOKUP(A2553:A6595,'参照_武将'!A:A,'参照_武将'!B:B,"見つかりません"))</f>
      </c>
      <c r="C2553" s="4" t="s">
        <v>5963</v>
      </c>
      <c r="D2553" s="4">
        <v>68</v>
      </c>
      <c r="E2553" s="12" t="str">
        <f t="array" ref="E2553">IF(D2553:D6595="","",IFERROR(_xlfn.XLOOKUP(D2553:D6595,'参照_勢力'!A:A,'参照_勢力'!B:B),IFERROR(_xlfn.XLOOKUP(F2553:F6595,kunishuClan!A:A,kunishuClan!B:B),"浪人")))</f>
      </c>
      <c r="F2553" s="4">
        <v>0</v>
      </c>
      <c r="G2553" s="4">
        <v>195</v>
      </c>
      <c r="H2553" s="12" t="str">
        <f t="array" ref="H2553">IF(G2553:G6595="","",_xlfn.XLOOKUP(G2553:G6595,castles_state!A:A,castles_state!D:D,"見つかりません"))</f>
      </c>
      <c r="I2553" s="4"/>
      <c r="J2553" s="12" t="str">
        <f t="array" ref="J2553">IF(I2553:I6595="","",_xlfn.XLOOKUP(I2553:I6595,'参照_姫'!A:A,'参照_姫'!B:B,"見つかりません"))</f>
      </c>
      <c r="K2553" s="4">
        <v>85</v>
      </c>
      <c r="L2553" s="4">
        <v>500</v>
      </c>
      <c r="M2553" s="4"/>
      <c r="N2553" s="4"/>
      <c r="O2553" s="4"/>
      <c r="P2553" s="12" t="str">
        <f t="array" ref="P2553">IF(O2553:O6595="","",_xlfn.XLOOKUP(O2553:O6595,'参照_官位'!A:A,'参照_官位'!B:B,""))</f>
      </c>
      <c r="Q2553" s="12" t="str">
        <f t="array" ref="Q2553">IF(A2553:A6595="","",IFERROR(_xlfn.XLOOKUP(A2553:A6595,castles_state!K:K,castles_state!D:D)&amp;"主",IFERROR(_xlfn.XLOOKUP(A2553:A6595,kunishuClan!D:D,kunishuClan!B:B)&amp;"当主","")))</f>
      </c>
    </row>
    <row r="2554" ht="15.75" customHeight="1">
      <c r="A2554" s="4">
        <v>1068048</v>
      </c>
      <c r="B2554" s="12" t="str">
        <f t="array" ref="B2554">IF(A2554:A6596="","",_xlfn.XLOOKUP(A2554:A6596,'参照_武将'!A:A,'参照_武将'!B:B,"見つかりません"))</f>
      </c>
      <c r="C2554" s="4" t="s">
        <v>5963</v>
      </c>
      <c r="D2554" s="4">
        <v>68</v>
      </c>
      <c r="E2554" s="12" t="str">
        <f t="array" ref="E2554">IF(D2554:D6596="","",IFERROR(_xlfn.XLOOKUP(D2554:D6596,'参照_勢力'!A:A,'参照_勢力'!B:B),IFERROR(_xlfn.XLOOKUP(F2554:F6596,kunishuClan!A:A,kunishuClan!B:B),"浪人")))</f>
      </c>
      <c r="F2554" s="4">
        <v>0</v>
      </c>
      <c r="G2554" s="4">
        <v>195</v>
      </c>
      <c r="H2554" s="12" t="str">
        <f t="array" ref="H2554">IF(G2554:G6596="","",_xlfn.XLOOKUP(G2554:G6596,castles_state!A:A,castles_state!D:D,"見つかりません"))</f>
      </c>
      <c r="I2554" s="4"/>
      <c r="J2554" s="12" t="str">
        <f t="array" ref="J2554">IF(I2554:I6596="","",_xlfn.XLOOKUP(I2554:I6596,'参照_姫'!A:A,'参照_姫'!B:B,"見つかりません"))</f>
      </c>
      <c r="K2554" s="4">
        <v>85</v>
      </c>
      <c r="L2554" s="4">
        <v>0</v>
      </c>
      <c r="M2554" s="4"/>
      <c r="N2554" s="4"/>
      <c r="O2554" s="4"/>
      <c r="P2554" s="12" t="str">
        <f t="array" ref="P2554">IF(O2554:O6596="","",_xlfn.XLOOKUP(O2554:O6596,'参照_官位'!A:A,'参照_官位'!B:B,""))</f>
      </c>
      <c r="Q2554" s="12" t="str">
        <f t="array" ref="Q2554">IF(A2554:A6596="","",IFERROR(_xlfn.XLOOKUP(A2554:A6596,castles_state!K:K,castles_state!D:D)&amp;"主",IFERROR(_xlfn.XLOOKUP(A2554:A6596,kunishuClan!D:D,kunishuClan!B:B)&amp;"当主","")))</f>
      </c>
    </row>
    <row r="2555" ht="15.75" customHeight="1">
      <c r="A2555" s="4">
        <v>1068049</v>
      </c>
      <c r="B2555" s="12" t="str">
        <f t="array" ref="B2555">IF(A2555:A6597="","",_xlfn.XLOOKUP(A2555:A6597,'参照_武将'!A:A,'参照_武将'!B:B,"見つかりません"))</f>
      </c>
      <c r="C2555" s="4" t="s">
        <v>5964</v>
      </c>
      <c r="D2555" s="4">
        <v>71</v>
      </c>
      <c r="E2555" s="12" t="str">
        <f t="array" ref="E2555">IF(D2555:D6597="","",IFERROR(_xlfn.XLOOKUP(D2555:D6597,'参照_勢力'!A:A,'参照_勢力'!B:B),IFERROR(_xlfn.XLOOKUP(F2555:F6597,kunishuClan!A:A,kunishuClan!B:B),"浪人")))</f>
      </c>
      <c r="F2555" s="4">
        <v>0</v>
      </c>
      <c r="G2555" s="4">
        <v>197</v>
      </c>
      <c r="H2555" s="12" t="str">
        <f t="array" ref="H2555">IF(G2555:G6597="","",_xlfn.XLOOKUP(G2555:G6597,castles_state!A:A,castles_state!D:D,"見つかりません"))</f>
      </c>
      <c r="I2555" s="4"/>
      <c r="J2555" s="12" t="str">
        <f t="array" ref="J2555">IF(I2555:I6597="","",_xlfn.XLOOKUP(I2555:I6597,'参照_姫'!A:A,'参照_姫'!B:B,"見つかりません"))</f>
      </c>
      <c r="K2555" s="4">
        <v>95</v>
      </c>
      <c r="L2555" s="4">
        <v>0</v>
      </c>
      <c r="M2555" s="4"/>
      <c r="N2555" s="4"/>
      <c r="O2555" s="4"/>
      <c r="P2555" s="12" t="str">
        <f t="array" ref="P2555">IF(O2555:O6597="","",_xlfn.XLOOKUP(O2555:O6597,'参照_官位'!A:A,'参照_官位'!B:B,""))</f>
      </c>
      <c r="Q2555" s="12" t="str">
        <f t="array" ref="Q2555">IF(A2555:A6597="","",IFERROR(_xlfn.XLOOKUP(A2555:A6597,castles_state!K:K,castles_state!D:D)&amp;"主",IFERROR(_xlfn.XLOOKUP(A2555:A6597,kunishuClan!D:D,kunishuClan!B:B)&amp;"当主","")))</f>
      </c>
    </row>
    <row r="2556" ht="15.75" customHeight="1">
      <c r="A2556" s="4">
        <v>1068050</v>
      </c>
      <c r="B2556" s="12" t="str">
        <f t="array" ref="B2556">IF(A2556:A6598="","",_xlfn.XLOOKUP(A2556:A6598,'参照_武将'!A:A,'参照_武将'!B:B,"見つかりません"))</f>
      </c>
      <c r="C2556" s="4" t="s">
        <v>5964</v>
      </c>
      <c r="D2556" s="4">
        <v>71</v>
      </c>
      <c r="E2556" s="12" t="str">
        <f t="array" ref="E2556">IF(D2556:D6598="","",IFERROR(_xlfn.XLOOKUP(D2556:D6598,'参照_勢力'!A:A,'参照_勢力'!B:B),IFERROR(_xlfn.XLOOKUP(F2556:F6598,kunishuClan!A:A,kunishuClan!B:B),"浪人")))</f>
      </c>
      <c r="F2556" s="4">
        <v>0</v>
      </c>
      <c r="G2556" s="4">
        <v>197</v>
      </c>
      <c r="H2556" s="12" t="str">
        <f t="array" ref="H2556">IF(G2556:G6598="","",_xlfn.XLOOKUP(G2556:G6598,castles_state!A:A,castles_state!D:D,"見つかりません"))</f>
      </c>
      <c r="I2556" s="4"/>
      <c r="J2556" s="12" t="str">
        <f t="array" ref="J2556">IF(I2556:I6598="","",_xlfn.XLOOKUP(I2556:I6598,'参照_姫'!A:A,'参照_姫'!B:B,"見つかりません"))</f>
      </c>
      <c r="K2556" s="4">
        <v>95</v>
      </c>
      <c r="L2556" s="4">
        <v>0</v>
      </c>
      <c r="M2556" s="4"/>
      <c r="N2556" s="4"/>
      <c r="O2556" s="4"/>
      <c r="P2556" s="12" t="str">
        <f t="array" ref="P2556">IF(O2556:O6598="","",_xlfn.XLOOKUP(O2556:O6598,'参照_官位'!A:A,'参照_官位'!B:B,""))</f>
      </c>
      <c r="Q2556" s="12" t="str">
        <f t="array" ref="Q2556">IF(A2556:A6598="","",IFERROR(_xlfn.XLOOKUP(A2556:A6598,castles_state!K:K,castles_state!D:D)&amp;"主",IFERROR(_xlfn.XLOOKUP(A2556:A6598,kunishuClan!D:D,kunishuClan!B:B)&amp;"当主","")))</f>
      </c>
    </row>
    <row r="2557" ht="15.75" customHeight="1">
      <c r="A2557" s="4">
        <v>1068051</v>
      </c>
      <c r="B2557" s="12" t="str">
        <f t="array" ref="B2557">IF(A2557:A6599="","",_xlfn.XLOOKUP(A2557:A6599,'参照_武将'!A:A,'参照_武将'!B:B,"見つかりません"))</f>
      </c>
      <c r="C2557" s="4" t="s">
        <v>325</v>
      </c>
      <c r="D2557" s="4">
        <v>68</v>
      </c>
      <c r="E2557" s="12" t="str">
        <f t="array" ref="E2557">IF(D2557:D6599="","",IFERROR(_xlfn.XLOOKUP(D2557:D6599,'参照_勢力'!A:A,'参照_勢力'!B:B),IFERROR(_xlfn.XLOOKUP(F2557:F6599,kunishuClan!A:A,kunishuClan!B:B),"浪人")))</f>
      </c>
      <c r="F2557" s="4">
        <v>0</v>
      </c>
      <c r="G2557" s="4">
        <v>194</v>
      </c>
      <c r="H2557" s="12" t="str">
        <f t="array" ref="H2557">IF(G2557:G6599="","",_xlfn.XLOOKUP(G2557:G6599,castles_state!A:A,castles_state!D:D,"見つかりません"))</f>
      </c>
      <c r="I2557" s="4"/>
      <c r="J2557" s="12" t="str">
        <f t="array" ref="J2557">IF(I2557:I6599="","",_xlfn.XLOOKUP(I2557:I6599,'参照_姫'!A:A,'参照_姫'!B:B,"見つかりません"))</f>
      </c>
      <c r="K2557" s="4">
        <v>95</v>
      </c>
      <c r="L2557" s="4">
        <v>0</v>
      </c>
      <c r="M2557" s="4"/>
      <c r="N2557" s="4"/>
      <c r="O2557" s="4"/>
      <c r="P2557" s="12" t="str">
        <f t="array" ref="P2557">IF(O2557:O6599="","",_xlfn.XLOOKUP(O2557:O6599,'参照_官位'!A:A,'参照_官位'!B:B,""))</f>
      </c>
      <c r="Q2557" s="12" t="str">
        <f t="array" ref="Q2557">IF(A2557:A6599="","",IFERROR(_xlfn.XLOOKUP(A2557:A6599,castles_state!K:K,castles_state!D:D)&amp;"主",IFERROR(_xlfn.XLOOKUP(A2557:A6599,kunishuClan!D:D,kunishuClan!B:B)&amp;"当主","")))</f>
      </c>
    </row>
    <row r="2558" ht="15.75" customHeight="1">
      <c r="A2558" s="4">
        <v>1068052</v>
      </c>
      <c r="B2558" s="12" t="str">
        <f t="array" ref="B2558">IF(A2558:A6600="","",_xlfn.XLOOKUP(A2558:A6600,'参照_武将'!A:A,'参照_武将'!B:B,"見つかりません"))</f>
      </c>
      <c r="C2558" s="4" t="s">
        <v>325</v>
      </c>
      <c r="D2558" s="4">
        <v>68</v>
      </c>
      <c r="E2558" s="12" t="str">
        <f t="array" ref="E2558">IF(D2558:D6600="","",IFERROR(_xlfn.XLOOKUP(D2558:D6600,'参照_勢力'!A:A,'参照_勢力'!B:B),IFERROR(_xlfn.XLOOKUP(F2558:F6600,kunishuClan!A:A,kunishuClan!B:B),"浪人")))</f>
      </c>
      <c r="F2558" s="4">
        <v>0</v>
      </c>
      <c r="G2558" s="4">
        <v>194</v>
      </c>
      <c r="H2558" s="12" t="str">
        <f t="array" ref="H2558">IF(G2558:G6600="","",_xlfn.XLOOKUP(G2558:G6600,castles_state!A:A,castles_state!D:D,"見つかりません"))</f>
      </c>
      <c r="I2558" s="4"/>
      <c r="J2558" s="12" t="str">
        <f t="array" ref="J2558">IF(I2558:I6600="","",_xlfn.XLOOKUP(I2558:I6600,'参照_姫'!A:A,'参照_姫'!B:B,"見つかりません"))</f>
      </c>
      <c r="K2558" s="4">
        <v>95</v>
      </c>
      <c r="L2558" s="4">
        <v>0</v>
      </c>
      <c r="M2558" s="4"/>
      <c r="N2558" s="4"/>
      <c r="O2558" s="4"/>
      <c r="P2558" s="12" t="str">
        <f t="array" ref="P2558">IF(O2558:O6600="","",_xlfn.XLOOKUP(O2558:O6600,'参照_官位'!A:A,'参照_官位'!B:B,""))</f>
      </c>
      <c r="Q2558" s="12" t="str">
        <f t="array" ref="Q2558">IF(A2558:A6600="","",IFERROR(_xlfn.XLOOKUP(A2558:A6600,castles_state!K:K,castles_state!D:D)&amp;"主",IFERROR(_xlfn.XLOOKUP(A2558:A6600,kunishuClan!D:D,kunishuClan!B:B)&amp;"当主","")))</f>
      </c>
    </row>
    <row r="2559" ht="15.75" customHeight="1">
      <c r="A2559" s="4">
        <v>1068053</v>
      </c>
      <c r="B2559" s="12" t="str">
        <f t="array" ref="B2559">IF(A2559:A6601="","",_xlfn.XLOOKUP(A2559:A6601,'参照_武将'!A:A,'参照_武将'!B:B,"見つかりません"))</f>
      </c>
      <c r="C2559" s="4" t="s">
        <v>325</v>
      </c>
      <c r="D2559" s="4">
        <v>68</v>
      </c>
      <c r="E2559" s="12" t="str">
        <f t="array" ref="E2559">IF(D2559:D6601="","",IFERROR(_xlfn.XLOOKUP(D2559:D6601,'参照_勢力'!A:A,'参照_勢力'!B:B),IFERROR(_xlfn.XLOOKUP(F2559:F6601,kunishuClan!A:A,kunishuClan!B:B),"浪人")))</f>
      </c>
      <c r="F2559" s="4">
        <v>0</v>
      </c>
      <c r="G2559" s="4">
        <v>194</v>
      </c>
      <c r="H2559" s="12" t="str">
        <f t="array" ref="H2559">IF(G2559:G6601="","",_xlfn.XLOOKUP(G2559:G6601,castles_state!A:A,castles_state!D:D,"見つかりません"))</f>
      </c>
      <c r="I2559" s="4"/>
      <c r="J2559" s="12" t="str">
        <f t="array" ref="J2559">IF(I2559:I6601="","",_xlfn.XLOOKUP(I2559:I6601,'参照_姫'!A:A,'参照_姫'!B:B,"見つかりません"))</f>
      </c>
      <c r="K2559" s="4">
        <v>95</v>
      </c>
      <c r="L2559" s="4">
        <v>0</v>
      </c>
      <c r="M2559" s="4"/>
      <c r="N2559" s="4"/>
      <c r="O2559" s="4"/>
      <c r="P2559" s="12" t="str">
        <f t="array" ref="P2559">IF(O2559:O6601="","",_xlfn.XLOOKUP(O2559:O6601,'参照_官位'!A:A,'参照_官位'!B:B,""))</f>
      </c>
      <c r="Q2559" s="12" t="str">
        <f t="array" ref="Q2559">IF(A2559:A6601="","",IFERROR(_xlfn.XLOOKUP(A2559:A6601,castles_state!K:K,castles_state!D:D)&amp;"主",IFERROR(_xlfn.XLOOKUP(A2559:A6601,kunishuClan!D:D,kunishuClan!B:B)&amp;"当主","")))</f>
      </c>
    </row>
    <row r="2560" ht="15.75" customHeight="1">
      <c r="A2560" s="4">
        <v>1068054</v>
      </c>
      <c r="B2560" s="12" t="str">
        <f t="array" ref="B2560">IF(A2560:A6602="","",_xlfn.XLOOKUP(A2560:A6602,'参照_武将'!A:A,'参照_武将'!B:B,"見つかりません"))</f>
      </c>
      <c r="C2560" s="4" t="s">
        <v>325</v>
      </c>
      <c r="D2560" s="4">
        <v>68</v>
      </c>
      <c r="E2560" s="12" t="str">
        <f t="array" ref="E2560">IF(D2560:D6602="","",IFERROR(_xlfn.XLOOKUP(D2560:D6602,'参照_勢力'!A:A,'参照_勢力'!B:B),IFERROR(_xlfn.XLOOKUP(F2560:F6602,kunishuClan!A:A,kunishuClan!B:B),"浪人")))</f>
      </c>
      <c r="F2560" s="4">
        <v>0</v>
      </c>
      <c r="G2560" s="4">
        <v>188</v>
      </c>
      <c r="H2560" s="12" t="str">
        <f t="array" ref="H2560">IF(G2560:G6602="","",_xlfn.XLOOKUP(G2560:G6602,castles_state!A:A,castles_state!D:D,"見つかりません"))</f>
      </c>
      <c r="I2560" s="4"/>
      <c r="J2560" s="12" t="str">
        <f t="array" ref="J2560">IF(I2560:I6602="","",_xlfn.XLOOKUP(I2560:I6602,'参照_姫'!A:A,'参照_姫'!B:B,"見つかりません"))</f>
      </c>
      <c r="K2560" s="4">
        <v>95</v>
      </c>
      <c r="L2560" s="4">
        <v>0</v>
      </c>
      <c r="M2560" s="4"/>
      <c r="N2560" s="4"/>
      <c r="O2560" s="4"/>
      <c r="P2560" s="12" t="str">
        <f t="array" ref="P2560">IF(O2560:O6602="","",_xlfn.XLOOKUP(O2560:O6602,'参照_官位'!A:A,'参照_官位'!B:B,""))</f>
      </c>
      <c r="Q2560" s="12" t="str">
        <f t="array" ref="Q2560">IF(A2560:A6602="","",IFERROR(_xlfn.XLOOKUP(A2560:A6602,castles_state!K:K,castles_state!D:D)&amp;"主",IFERROR(_xlfn.XLOOKUP(A2560:A6602,kunishuClan!D:D,kunishuClan!B:B)&amp;"当主","")))</f>
      </c>
    </row>
    <row r="2561" ht="15.75" customHeight="1">
      <c r="A2561" s="4">
        <v>1068055</v>
      </c>
      <c r="B2561" s="12" t="str">
        <f t="array" ref="B2561">IF(A2561:A6603="","",_xlfn.XLOOKUP(A2561:A6603,'参照_武将'!A:A,'参照_武将'!B:B,"見つかりません"))</f>
      </c>
      <c r="C2561" s="4" t="s">
        <v>325</v>
      </c>
      <c r="D2561" s="4">
        <v>68</v>
      </c>
      <c r="E2561" s="12" t="str">
        <f t="array" ref="E2561">IF(D2561:D6603="","",IFERROR(_xlfn.XLOOKUP(D2561:D6603,'参照_勢力'!A:A,'参照_勢力'!B:B),IFERROR(_xlfn.XLOOKUP(F2561:F6603,kunishuClan!A:A,kunishuClan!B:B),"浪人")))</f>
      </c>
      <c r="F2561" s="4">
        <v>0</v>
      </c>
      <c r="G2561" s="4">
        <v>188</v>
      </c>
      <c r="H2561" s="12" t="str">
        <f t="array" ref="H2561">IF(G2561:G6603="","",_xlfn.XLOOKUP(G2561:G6603,castles_state!A:A,castles_state!D:D,"見つかりません"))</f>
      </c>
      <c r="I2561" s="4"/>
      <c r="J2561" s="12" t="str">
        <f t="array" ref="J2561">IF(I2561:I6603="","",_xlfn.XLOOKUP(I2561:I6603,'参照_姫'!A:A,'参照_姫'!B:B,"見つかりません"))</f>
      </c>
      <c r="K2561" s="4">
        <v>95</v>
      </c>
      <c r="L2561" s="4">
        <v>0</v>
      </c>
      <c r="M2561" s="4"/>
      <c r="N2561" s="4"/>
      <c r="O2561" s="4"/>
      <c r="P2561" s="12" t="str">
        <f t="array" ref="P2561">IF(O2561:O6603="","",_xlfn.XLOOKUP(O2561:O6603,'参照_官位'!A:A,'参照_官位'!B:B,""))</f>
      </c>
      <c r="Q2561" s="12" t="str">
        <f t="array" ref="Q2561">IF(A2561:A6603="","",IFERROR(_xlfn.XLOOKUP(A2561:A6603,castles_state!K:K,castles_state!D:D)&amp;"主",IFERROR(_xlfn.XLOOKUP(A2561:A6603,kunishuClan!D:D,kunishuClan!B:B)&amp;"当主","")))</f>
      </c>
    </row>
    <row r="2562" ht="15.75" customHeight="1">
      <c r="A2562" s="4">
        <v>1068056</v>
      </c>
      <c r="B2562" s="12" t="str">
        <f t="array" ref="B2562">IF(A2562:A6604="","",_xlfn.XLOOKUP(A2562:A6604,'参照_武将'!A:A,'参照_武将'!B:B,"見つかりません"))</f>
      </c>
      <c r="C2562" s="4" t="s">
        <v>325</v>
      </c>
      <c r="D2562" s="4">
        <v>68</v>
      </c>
      <c r="E2562" s="12" t="str">
        <f t="array" ref="E2562">IF(D2562:D6604="","",IFERROR(_xlfn.XLOOKUP(D2562:D6604,'参照_勢力'!A:A,'参照_勢力'!B:B),IFERROR(_xlfn.XLOOKUP(F2562:F6604,kunishuClan!A:A,kunishuClan!B:B),"浪人")))</f>
      </c>
      <c r="F2562" s="4">
        <v>0</v>
      </c>
      <c r="G2562" s="4">
        <v>193</v>
      </c>
      <c r="H2562" s="12" t="str">
        <f t="array" ref="H2562">IF(G2562:G6604="","",_xlfn.XLOOKUP(G2562:G6604,castles_state!A:A,castles_state!D:D,"見つかりません"))</f>
      </c>
      <c r="I2562" s="4"/>
      <c r="J2562" s="12" t="str">
        <f t="array" ref="J2562">IF(I2562:I6604="","",_xlfn.XLOOKUP(I2562:I6604,'参照_姫'!A:A,'参照_姫'!B:B,"見つかりません"))</f>
      </c>
      <c r="K2562" s="4">
        <v>95</v>
      </c>
      <c r="L2562" s="4">
        <v>0</v>
      </c>
      <c r="M2562" s="4"/>
      <c r="N2562" s="4"/>
      <c r="O2562" s="4"/>
      <c r="P2562" s="12" t="str">
        <f t="array" ref="P2562">IF(O2562:O6604="","",_xlfn.XLOOKUP(O2562:O6604,'参照_官位'!A:A,'参照_官位'!B:B,""))</f>
      </c>
      <c r="Q2562" s="12" t="str">
        <f t="array" ref="Q2562">IF(A2562:A6604="","",IFERROR(_xlfn.XLOOKUP(A2562:A6604,castles_state!K:K,castles_state!D:D)&amp;"主",IFERROR(_xlfn.XLOOKUP(A2562:A6604,kunishuClan!D:D,kunishuClan!B:B)&amp;"当主","")))</f>
      </c>
    </row>
    <row r="2563" ht="15.75" customHeight="1">
      <c r="A2563" s="4">
        <v>1068057</v>
      </c>
      <c r="B2563" s="12" t="str">
        <f t="array" ref="B2563">IF(A2563:A6605="","",_xlfn.XLOOKUP(A2563:A6605,'参照_武将'!A:A,'参照_武将'!B:B,"見つかりません"))</f>
      </c>
      <c r="C2563" s="4" t="s">
        <v>5961</v>
      </c>
      <c r="D2563" s="4">
        <v>68</v>
      </c>
      <c r="E2563" s="12" t="str">
        <f t="array" ref="E2563">IF(D2563:D6605="","",IFERROR(_xlfn.XLOOKUP(D2563:D6605,'参照_勢力'!A:A,'参照_勢力'!B:B),IFERROR(_xlfn.XLOOKUP(F2563:F6605,kunishuClan!A:A,kunishuClan!B:B),"浪人")))</f>
      </c>
      <c r="F2563" s="4">
        <v>0</v>
      </c>
      <c r="G2563" s="4">
        <v>193</v>
      </c>
      <c r="H2563" s="12" t="str">
        <f t="array" ref="H2563">IF(G2563:G6605="","",_xlfn.XLOOKUP(G2563:G6605,castles_state!A:A,castles_state!D:D,"見つかりません"))</f>
      </c>
      <c r="I2563" s="4"/>
      <c r="J2563" s="12" t="str">
        <f t="array" ref="J2563">IF(I2563:I6605="","",_xlfn.XLOOKUP(I2563:I6605,'参照_姫'!A:A,'参照_姫'!B:B,"見つかりません"))</f>
      </c>
      <c r="K2563" s="4">
        <v>95</v>
      </c>
      <c r="L2563" s="4">
        <v>0</v>
      </c>
      <c r="M2563" s="4"/>
      <c r="N2563" s="4"/>
      <c r="O2563" s="4"/>
      <c r="P2563" s="12" t="str">
        <f t="array" ref="P2563">IF(O2563:O6605="","",_xlfn.XLOOKUP(O2563:O6605,'参照_官位'!A:A,'参照_官位'!B:B,""))</f>
      </c>
      <c r="Q2563" s="12" t="str">
        <f t="array" ref="Q2563">IF(A2563:A6605="","",IFERROR(_xlfn.XLOOKUP(A2563:A6605,castles_state!K:K,castles_state!D:D)&amp;"主",IFERROR(_xlfn.XLOOKUP(A2563:A6605,kunishuClan!D:D,kunishuClan!B:B)&amp;"当主","")))</f>
      </c>
    </row>
    <row r="2564" ht="15.75" customHeight="1">
      <c r="A2564" s="4">
        <v>1068058</v>
      </c>
      <c r="B2564" s="12" t="str">
        <f t="array" ref="B2564">IF(A2564:A6606="","",_xlfn.XLOOKUP(A2564:A6606,'参照_武将'!A:A,'参照_武将'!B:B,"見つかりません"))</f>
      </c>
      <c r="C2564" s="4" t="s">
        <v>5961</v>
      </c>
      <c r="D2564" s="4">
        <v>68</v>
      </c>
      <c r="E2564" s="12" t="str">
        <f t="array" ref="E2564">IF(D2564:D6606="","",IFERROR(_xlfn.XLOOKUP(D2564:D6606,'参照_勢力'!A:A,'参照_勢力'!B:B),IFERROR(_xlfn.XLOOKUP(F2564:F6606,kunishuClan!A:A,kunishuClan!B:B),"浪人")))</f>
      </c>
      <c r="F2564" s="4">
        <v>0</v>
      </c>
      <c r="G2564" s="4">
        <v>193</v>
      </c>
      <c r="H2564" s="12" t="str">
        <f t="array" ref="H2564">IF(G2564:G6606="","",_xlfn.XLOOKUP(G2564:G6606,castles_state!A:A,castles_state!D:D,"見つかりません"))</f>
      </c>
      <c r="I2564" s="4"/>
      <c r="J2564" s="12" t="str">
        <f t="array" ref="J2564">IF(I2564:I6606="","",_xlfn.XLOOKUP(I2564:I6606,'参照_姫'!A:A,'参照_姫'!B:B,"見つかりません"))</f>
      </c>
      <c r="K2564" s="4">
        <v>95</v>
      </c>
      <c r="L2564" s="4">
        <v>0</v>
      </c>
      <c r="M2564" s="4"/>
      <c r="N2564" s="4"/>
      <c r="O2564" s="4"/>
      <c r="P2564" s="12" t="str">
        <f t="array" ref="P2564">IF(O2564:O6606="","",_xlfn.XLOOKUP(O2564:O6606,'参照_官位'!A:A,'参照_官位'!B:B,""))</f>
      </c>
      <c r="Q2564" s="12" t="str">
        <f t="array" ref="Q2564">IF(A2564:A6606="","",IFERROR(_xlfn.XLOOKUP(A2564:A6606,castles_state!K:K,castles_state!D:D)&amp;"主",IFERROR(_xlfn.XLOOKUP(A2564:A6606,kunishuClan!D:D,kunishuClan!B:B)&amp;"当主","")))</f>
      </c>
    </row>
    <row r="2565" ht="15.75" customHeight="1">
      <c r="A2565" s="4">
        <v>1068059</v>
      </c>
      <c r="B2565" s="12" t="str">
        <f t="array" ref="B2565">IF(A2565:A6607="","",_xlfn.XLOOKUP(A2565:A6607,'参照_武将'!A:A,'参照_武将'!B:B,"見つかりません"))</f>
      </c>
      <c r="C2565" s="4" t="s">
        <v>5961</v>
      </c>
      <c r="D2565" s="4">
        <v>68</v>
      </c>
      <c r="E2565" s="12" t="str">
        <f t="array" ref="E2565">IF(D2565:D6607="","",IFERROR(_xlfn.XLOOKUP(D2565:D6607,'参照_勢力'!A:A,'参照_勢力'!B:B),IFERROR(_xlfn.XLOOKUP(F2565:F6607,kunishuClan!A:A,kunishuClan!B:B),"浪人")))</f>
      </c>
      <c r="F2565" s="4">
        <v>0</v>
      </c>
      <c r="G2565" s="4">
        <v>193</v>
      </c>
      <c r="H2565" s="12" t="str">
        <f t="array" ref="H2565">IF(G2565:G6607="","",_xlfn.XLOOKUP(G2565:G6607,castles_state!A:A,castles_state!D:D,"見つかりません"))</f>
      </c>
      <c r="I2565" s="4"/>
      <c r="J2565" s="12" t="str">
        <f t="array" ref="J2565">IF(I2565:I6607="","",_xlfn.XLOOKUP(I2565:I6607,'参照_姫'!A:A,'参照_姫'!B:B,"見つかりません"))</f>
      </c>
      <c r="K2565" s="4">
        <v>95</v>
      </c>
      <c r="L2565" s="4">
        <v>0</v>
      </c>
      <c r="M2565" s="4"/>
      <c r="N2565" s="4"/>
      <c r="O2565" s="4"/>
      <c r="P2565" s="12" t="str">
        <f t="array" ref="P2565">IF(O2565:O6607="","",_xlfn.XLOOKUP(O2565:O6607,'参照_官位'!A:A,'参照_官位'!B:B,""))</f>
      </c>
      <c r="Q2565" s="12" t="str">
        <f t="array" ref="Q2565">IF(A2565:A6607="","",IFERROR(_xlfn.XLOOKUP(A2565:A6607,castles_state!K:K,castles_state!D:D)&amp;"主",IFERROR(_xlfn.XLOOKUP(A2565:A6607,kunishuClan!D:D,kunishuClan!B:B)&amp;"当主","")))</f>
      </c>
    </row>
    <row r="2566" ht="15.75" customHeight="1">
      <c r="A2566" s="4">
        <v>1068060</v>
      </c>
      <c r="B2566" s="12" t="str">
        <f t="array" ref="B2566">IF(A2566:A6608="","",_xlfn.XLOOKUP(A2566:A6608,'参照_武将'!A:A,'参照_武将'!B:B,"見つかりません"))</f>
      </c>
      <c r="C2566" s="4" t="s">
        <v>5961</v>
      </c>
      <c r="D2566" s="4">
        <v>68</v>
      </c>
      <c r="E2566" s="12" t="str">
        <f t="array" ref="E2566">IF(D2566:D6608="","",IFERROR(_xlfn.XLOOKUP(D2566:D6608,'参照_勢力'!A:A,'参照_勢力'!B:B),IFERROR(_xlfn.XLOOKUP(F2566:F6608,kunishuClan!A:A,kunishuClan!B:B),"浪人")))</f>
      </c>
      <c r="F2566" s="4">
        <v>0</v>
      </c>
      <c r="G2566" s="4">
        <v>193</v>
      </c>
      <c r="H2566" s="12" t="str">
        <f t="array" ref="H2566">IF(G2566:G6608="","",_xlfn.XLOOKUP(G2566:G6608,castles_state!A:A,castles_state!D:D,"見つかりません"))</f>
      </c>
      <c r="I2566" s="4"/>
      <c r="J2566" s="12" t="str">
        <f t="array" ref="J2566">IF(I2566:I6608="","",_xlfn.XLOOKUP(I2566:I6608,'参照_姫'!A:A,'参照_姫'!B:B,"見つかりません"))</f>
      </c>
      <c r="K2566" s="4">
        <v>95</v>
      </c>
      <c r="L2566" s="4">
        <v>0</v>
      </c>
      <c r="M2566" s="4"/>
      <c r="N2566" s="4"/>
      <c r="O2566" s="4"/>
      <c r="P2566" s="12" t="str">
        <f t="array" ref="P2566">IF(O2566:O6608="","",_xlfn.XLOOKUP(O2566:O6608,'参照_官位'!A:A,'参照_官位'!B:B,""))</f>
      </c>
      <c r="Q2566" s="12" t="str">
        <f t="array" ref="Q2566">IF(A2566:A6608="","",IFERROR(_xlfn.XLOOKUP(A2566:A6608,castles_state!K:K,castles_state!D:D)&amp;"主",IFERROR(_xlfn.XLOOKUP(A2566:A6608,kunishuClan!D:D,kunishuClan!B:B)&amp;"当主","")))</f>
      </c>
    </row>
    <row r="2567" ht="15.75" customHeight="1">
      <c r="A2567" s="4">
        <v>1068061</v>
      </c>
      <c r="B2567" s="12" t="str">
        <f t="array" ref="B2567">IF(A2567:A6609="","",_xlfn.XLOOKUP(A2567:A6609,'参照_武将'!A:A,'参照_武将'!B:B,"見つかりません"))</f>
      </c>
      <c r="C2567" s="4" t="s">
        <v>5961</v>
      </c>
      <c r="D2567" s="4">
        <v>68</v>
      </c>
      <c r="E2567" s="12" t="str">
        <f t="array" ref="E2567">IF(D2567:D6609="","",IFERROR(_xlfn.XLOOKUP(D2567:D6609,'参照_勢力'!A:A,'参照_勢力'!B:B),IFERROR(_xlfn.XLOOKUP(F2567:F6609,kunishuClan!A:A,kunishuClan!B:B),"浪人")))</f>
      </c>
      <c r="F2567" s="4">
        <v>0</v>
      </c>
      <c r="G2567" s="4">
        <v>193</v>
      </c>
      <c r="H2567" s="12" t="str">
        <f t="array" ref="H2567">IF(G2567:G6609="","",_xlfn.XLOOKUP(G2567:G6609,castles_state!A:A,castles_state!D:D,"見つかりません"))</f>
      </c>
      <c r="I2567" s="4"/>
      <c r="J2567" s="12" t="str">
        <f t="array" ref="J2567">IF(I2567:I6609="","",_xlfn.XLOOKUP(I2567:I6609,'参照_姫'!A:A,'参照_姫'!B:B,"見つかりません"))</f>
      </c>
      <c r="K2567" s="4">
        <v>95</v>
      </c>
      <c r="L2567" s="4">
        <v>0</v>
      </c>
      <c r="M2567" s="4"/>
      <c r="N2567" s="4"/>
      <c r="O2567" s="4"/>
      <c r="P2567" s="12" t="str">
        <f t="array" ref="P2567">IF(O2567:O6609="","",_xlfn.XLOOKUP(O2567:O6609,'参照_官位'!A:A,'参照_官位'!B:B,""))</f>
      </c>
      <c r="Q2567" s="12" t="str">
        <f t="array" ref="Q2567">IF(A2567:A6609="","",IFERROR(_xlfn.XLOOKUP(A2567:A6609,castles_state!K:K,castles_state!D:D)&amp;"主",IFERROR(_xlfn.XLOOKUP(A2567:A6609,kunishuClan!D:D,kunishuClan!B:B)&amp;"当主","")))</f>
      </c>
    </row>
    <row r="2568" ht="15.75" customHeight="1">
      <c r="A2568" s="4">
        <v>1068062</v>
      </c>
      <c r="B2568" s="12" t="str">
        <f t="array" ref="B2568">IF(A2568:A6610="","",_xlfn.XLOOKUP(A2568:A6610,'参照_武将'!A:A,'参照_武将'!B:B,"見つかりません"))</f>
      </c>
      <c r="C2568" s="4" t="s">
        <v>325</v>
      </c>
      <c r="D2568" s="4">
        <v>68</v>
      </c>
      <c r="E2568" s="12" t="str">
        <f t="array" ref="E2568">IF(D2568:D6610="","",IFERROR(_xlfn.XLOOKUP(D2568:D6610,'参照_勢力'!A:A,'参照_勢力'!B:B),IFERROR(_xlfn.XLOOKUP(F2568:F6610,kunishuClan!A:A,kunishuClan!B:B),"浪人")))</f>
      </c>
      <c r="F2568" s="4">
        <v>0</v>
      </c>
      <c r="G2568" s="4">
        <v>194</v>
      </c>
      <c r="H2568" s="12" t="str">
        <f t="array" ref="H2568">IF(G2568:G6610="","",_xlfn.XLOOKUP(G2568:G6610,castles_state!A:A,castles_state!D:D,"見つかりません"))</f>
      </c>
      <c r="I2568" s="4"/>
      <c r="J2568" s="12" t="str">
        <f t="array" ref="J2568">IF(I2568:I6610="","",_xlfn.XLOOKUP(I2568:I6610,'参照_姫'!A:A,'参照_姫'!B:B,"見つかりません"))</f>
      </c>
      <c r="K2568" s="4">
        <v>95</v>
      </c>
      <c r="L2568" s="4">
        <v>0</v>
      </c>
      <c r="M2568" s="4"/>
      <c r="N2568" s="4"/>
      <c r="O2568" s="4"/>
      <c r="P2568" s="12" t="str">
        <f t="array" ref="P2568">IF(O2568:O6610="","",_xlfn.XLOOKUP(O2568:O6610,'参照_官位'!A:A,'参照_官位'!B:B,""))</f>
      </c>
      <c r="Q2568" s="12" t="str">
        <f t="array" ref="Q2568">IF(A2568:A6610="","",IFERROR(_xlfn.XLOOKUP(A2568:A6610,castles_state!K:K,castles_state!D:D)&amp;"主",IFERROR(_xlfn.XLOOKUP(A2568:A6610,kunishuClan!D:D,kunishuClan!B:B)&amp;"当主","")))</f>
      </c>
    </row>
    <row r="2569" ht="15.75" customHeight="1">
      <c r="A2569" s="4">
        <v>1068063</v>
      </c>
      <c r="B2569" s="12" t="str">
        <f t="array" ref="B2569">IF(A2569:A6611="","",_xlfn.XLOOKUP(A2569:A6611,'参照_武将'!A:A,'参照_武将'!B:B,"見つかりません"))</f>
      </c>
      <c r="C2569" s="4" t="s">
        <v>325</v>
      </c>
      <c r="D2569" s="4">
        <v>68</v>
      </c>
      <c r="E2569" s="12" t="str">
        <f t="array" ref="E2569">IF(D2569:D6611="","",IFERROR(_xlfn.XLOOKUP(D2569:D6611,'参照_勢力'!A:A,'参照_勢力'!B:B),IFERROR(_xlfn.XLOOKUP(F2569:F6611,kunishuClan!A:A,kunishuClan!B:B),"浪人")))</f>
      </c>
      <c r="F2569" s="4">
        <v>0</v>
      </c>
      <c r="G2569" s="4">
        <v>194</v>
      </c>
      <c r="H2569" s="12" t="str">
        <f t="array" ref="H2569">IF(G2569:G6611="","",_xlfn.XLOOKUP(G2569:G6611,castles_state!A:A,castles_state!D:D,"見つかりません"))</f>
      </c>
      <c r="I2569" s="4"/>
      <c r="J2569" s="12" t="str">
        <f t="array" ref="J2569">IF(I2569:I6611="","",_xlfn.XLOOKUP(I2569:I6611,'参照_姫'!A:A,'参照_姫'!B:B,"見つかりません"))</f>
      </c>
      <c r="K2569" s="4">
        <v>95</v>
      </c>
      <c r="L2569" s="4">
        <v>0</v>
      </c>
      <c r="M2569" s="4"/>
      <c r="N2569" s="4"/>
      <c r="O2569" s="4"/>
      <c r="P2569" s="12" t="str">
        <f t="array" ref="P2569">IF(O2569:O6611="","",_xlfn.XLOOKUP(O2569:O6611,'参照_官位'!A:A,'参照_官位'!B:B,""))</f>
      </c>
      <c r="Q2569" s="12" t="str">
        <f t="array" ref="Q2569">IF(A2569:A6611="","",IFERROR(_xlfn.XLOOKUP(A2569:A6611,castles_state!K:K,castles_state!D:D)&amp;"主",IFERROR(_xlfn.XLOOKUP(A2569:A6611,kunishuClan!D:D,kunishuClan!B:B)&amp;"当主","")))</f>
      </c>
    </row>
    <row r="2570" ht="15.75" customHeight="1">
      <c r="A2570" s="4">
        <v>1068064</v>
      </c>
      <c r="B2570" s="12" t="str">
        <f t="array" ref="B2570">IF(A2570:A6612="","",_xlfn.XLOOKUP(A2570:A6612,'参照_武将'!A:A,'参照_武将'!B:B,"見つかりません"))</f>
      </c>
      <c r="C2570" s="4" t="s">
        <v>325</v>
      </c>
      <c r="D2570" s="4">
        <v>68</v>
      </c>
      <c r="E2570" s="12" t="str">
        <f t="array" ref="E2570">IF(D2570:D6612="","",IFERROR(_xlfn.XLOOKUP(D2570:D6612,'参照_勢力'!A:A,'参照_勢力'!B:B),IFERROR(_xlfn.XLOOKUP(F2570:F6612,kunishuClan!A:A,kunishuClan!B:B),"浪人")))</f>
      </c>
      <c r="F2570" s="4">
        <v>0</v>
      </c>
      <c r="G2570" s="4">
        <v>194</v>
      </c>
      <c r="H2570" s="12" t="str">
        <f t="array" ref="H2570">IF(G2570:G6612="","",_xlfn.XLOOKUP(G2570:G6612,castles_state!A:A,castles_state!D:D,"見つかりません"))</f>
      </c>
      <c r="I2570" s="4"/>
      <c r="J2570" s="12" t="str">
        <f t="array" ref="J2570">IF(I2570:I6612="","",_xlfn.XLOOKUP(I2570:I6612,'参照_姫'!A:A,'参照_姫'!B:B,"見つかりません"))</f>
      </c>
      <c r="K2570" s="4">
        <v>95</v>
      </c>
      <c r="L2570" s="4">
        <v>0</v>
      </c>
      <c r="M2570" s="4"/>
      <c r="N2570" s="4"/>
      <c r="O2570" s="4"/>
      <c r="P2570" s="12" t="str">
        <f t="array" ref="P2570">IF(O2570:O6612="","",_xlfn.XLOOKUP(O2570:O6612,'参照_官位'!A:A,'参照_官位'!B:B,""))</f>
      </c>
      <c r="Q2570" s="12" t="str">
        <f t="array" ref="Q2570">IF(A2570:A6612="","",IFERROR(_xlfn.XLOOKUP(A2570:A6612,castles_state!K:K,castles_state!D:D)&amp;"主",IFERROR(_xlfn.XLOOKUP(A2570:A6612,kunishuClan!D:D,kunishuClan!B:B)&amp;"当主","")))</f>
      </c>
    </row>
    <row r="2571" ht="15.75" customHeight="1">
      <c r="A2571" s="4">
        <v>1068065</v>
      </c>
      <c r="B2571" s="12" t="str">
        <f t="array" ref="B2571">IF(A2571:A6613="","",_xlfn.XLOOKUP(A2571:A6613,'参照_武将'!A:A,'参照_武将'!B:B,"見つかりません"))</f>
      </c>
      <c r="C2571" s="4" t="s">
        <v>5965</v>
      </c>
      <c r="D2571" s="4">
        <v>68</v>
      </c>
      <c r="E2571" s="12" t="str">
        <f t="array" ref="E2571">IF(D2571:D6613="","",IFERROR(_xlfn.XLOOKUP(D2571:D6613,'参照_勢力'!A:A,'参照_勢力'!B:B),IFERROR(_xlfn.XLOOKUP(F2571:F6613,kunishuClan!A:A,kunishuClan!B:B),"浪人")))</f>
      </c>
      <c r="F2571" s="4">
        <v>0</v>
      </c>
      <c r="G2571" s="4">
        <v>190</v>
      </c>
      <c r="H2571" s="12" t="str">
        <f t="array" ref="H2571">IF(G2571:G6613="","",_xlfn.XLOOKUP(G2571:G6613,castles_state!A:A,castles_state!D:D,"見つかりません"))</f>
      </c>
      <c r="I2571" s="4"/>
      <c r="J2571" s="12" t="str">
        <f t="array" ref="J2571">IF(I2571:I6613="","",_xlfn.XLOOKUP(I2571:I6613,'参照_姫'!A:A,'参照_姫'!B:B,"見つかりません"))</f>
      </c>
      <c r="K2571" s="4">
        <v>90</v>
      </c>
      <c r="L2571" s="4">
        <v>0</v>
      </c>
      <c r="M2571" s="4"/>
      <c r="N2571" s="4"/>
      <c r="O2571" s="4"/>
      <c r="P2571" s="12" t="str">
        <f t="array" ref="P2571">IF(O2571:O6613="","",_xlfn.XLOOKUP(O2571:O6613,'参照_官位'!A:A,'参照_官位'!B:B,""))</f>
      </c>
      <c r="Q2571" s="12" t="str">
        <f t="array" ref="Q2571">IF(A2571:A6613="","",IFERROR(_xlfn.XLOOKUP(A2571:A6613,castles_state!K:K,castles_state!D:D)&amp;"主",IFERROR(_xlfn.XLOOKUP(A2571:A6613,kunishuClan!D:D,kunishuClan!B:B)&amp;"当主","")))</f>
      </c>
    </row>
    <row r="2572" ht="15.75" customHeight="1">
      <c r="A2572" s="4">
        <v>1068066</v>
      </c>
      <c r="B2572" s="12" t="str">
        <f t="array" ref="B2572">IF(A2572:A6614="","",_xlfn.XLOOKUP(A2572:A6614,'参照_武将'!A:A,'参照_武将'!B:B,"見つかりません"))</f>
      </c>
      <c r="C2572" s="4" t="s">
        <v>5966</v>
      </c>
      <c r="D2572" s="4">
        <v>68</v>
      </c>
      <c r="E2572" s="12" t="str">
        <f t="array" ref="E2572">IF(D2572:D6614="","",IFERROR(_xlfn.XLOOKUP(D2572:D6614,'参照_勢力'!A:A,'参照_勢力'!B:B),IFERROR(_xlfn.XLOOKUP(F2572:F6614,kunishuClan!A:A,kunishuClan!B:B),"浪人")))</f>
      </c>
      <c r="F2572" s="4">
        <v>0</v>
      </c>
      <c r="G2572" s="4">
        <v>190</v>
      </c>
      <c r="H2572" s="12" t="str">
        <f t="array" ref="H2572">IF(G2572:G6614="","",_xlfn.XLOOKUP(G2572:G6614,castles_state!A:A,castles_state!D:D,"見つかりません"))</f>
      </c>
      <c r="I2572" s="4"/>
      <c r="J2572" s="12" t="str">
        <f t="array" ref="J2572">IF(I2572:I6614="","",_xlfn.XLOOKUP(I2572:I6614,'参照_姫'!A:A,'参照_姫'!B:B,"見つかりません"))</f>
      </c>
      <c r="K2572" s="4">
        <v>95</v>
      </c>
      <c r="L2572" s="4">
        <v>0</v>
      </c>
      <c r="M2572" s="4"/>
      <c r="N2572" s="4"/>
      <c r="O2572" s="4"/>
      <c r="P2572" s="12" t="str">
        <f t="array" ref="P2572">IF(O2572:O6614="","",_xlfn.XLOOKUP(O2572:O6614,'参照_官位'!A:A,'参照_官位'!B:B,""))</f>
      </c>
      <c r="Q2572" s="12" t="str">
        <f t="array" ref="Q2572">IF(A2572:A6614="","",IFERROR(_xlfn.XLOOKUP(A2572:A6614,castles_state!K:K,castles_state!D:D)&amp;"主",IFERROR(_xlfn.XLOOKUP(A2572:A6614,kunishuClan!D:D,kunishuClan!B:B)&amp;"当主","")))</f>
      </c>
    </row>
    <row r="2573" ht="15.75" customHeight="1">
      <c r="A2573" s="4">
        <v>1068067</v>
      </c>
      <c r="B2573" s="12" t="str">
        <f t="array" ref="B2573">IF(A2573:A6615="","",_xlfn.XLOOKUP(A2573:A6615,'参照_武将'!A:A,'参照_武将'!B:B,"見つかりません"))</f>
      </c>
      <c r="C2573" s="4" t="s">
        <v>5966</v>
      </c>
      <c r="D2573" s="4">
        <v>68</v>
      </c>
      <c r="E2573" s="12" t="str">
        <f t="array" ref="E2573">IF(D2573:D6615="","",IFERROR(_xlfn.XLOOKUP(D2573:D6615,'参照_勢力'!A:A,'参照_勢力'!B:B),IFERROR(_xlfn.XLOOKUP(F2573:F6615,kunishuClan!A:A,kunishuClan!B:B),"浪人")))</f>
      </c>
      <c r="F2573" s="4">
        <v>0</v>
      </c>
      <c r="G2573" s="4">
        <v>190</v>
      </c>
      <c r="H2573" s="12" t="str">
        <f t="array" ref="H2573">IF(G2573:G6615="","",_xlfn.XLOOKUP(G2573:G6615,castles_state!A:A,castles_state!D:D,"見つかりません"))</f>
      </c>
      <c r="I2573" s="4"/>
      <c r="J2573" s="12" t="str">
        <f t="array" ref="J2573">IF(I2573:I6615="","",_xlfn.XLOOKUP(I2573:I6615,'参照_姫'!A:A,'参照_姫'!B:B,"見つかりません"))</f>
      </c>
      <c r="K2573" s="4">
        <v>95</v>
      </c>
      <c r="L2573" s="4">
        <v>0</v>
      </c>
      <c r="M2573" s="4"/>
      <c r="N2573" s="4"/>
      <c r="O2573" s="4"/>
      <c r="P2573" s="12" t="str">
        <f t="array" ref="P2573">IF(O2573:O6615="","",_xlfn.XLOOKUP(O2573:O6615,'参照_官位'!A:A,'参照_官位'!B:B,""))</f>
      </c>
      <c r="Q2573" s="12" t="str">
        <f t="array" ref="Q2573">IF(A2573:A6615="","",IFERROR(_xlfn.XLOOKUP(A2573:A6615,castles_state!K:K,castles_state!D:D)&amp;"主",IFERROR(_xlfn.XLOOKUP(A2573:A6615,kunishuClan!D:D,kunishuClan!B:B)&amp;"当主","")))</f>
      </c>
    </row>
    <row r="2574" ht="15.75" customHeight="1">
      <c r="A2574" s="4">
        <v>1068068</v>
      </c>
      <c r="B2574" s="12" t="str">
        <f t="array" ref="B2574">IF(A2574:A6616="","",_xlfn.XLOOKUP(A2574:A6616,'参照_武将'!A:A,'参照_武将'!B:B,"見つかりません"))</f>
      </c>
      <c r="C2574" s="4" t="s">
        <v>5961</v>
      </c>
      <c r="D2574" s="4">
        <v>68</v>
      </c>
      <c r="E2574" s="12" t="str">
        <f t="array" ref="E2574">IF(D2574:D6616="","",IFERROR(_xlfn.XLOOKUP(D2574:D6616,'参照_勢力'!A:A,'参照_勢力'!B:B),IFERROR(_xlfn.XLOOKUP(F2574:F6616,kunishuClan!A:A,kunishuClan!B:B),"浪人")))</f>
      </c>
      <c r="F2574" s="4">
        <v>0</v>
      </c>
      <c r="G2574" s="4">
        <v>191</v>
      </c>
      <c r="H2574" s="12" t="str">
        <f t="array" ref="H2574">IF(G2574:G6616="","",_xlfn.XLOOKUP(G2574:G6616,castles_state!A:A,castles_state!D:D,"見つかりません"))</f>
      </c>
      <c r="I2574" s="4"/>
      <c r="J2574" s="12" t="str">
        <f t="array" ref="J2574">IF(I2574:I6616="","",_xlfn.XLOOKUP(I2574:I6616,'参照_姫'!A:A,'参照_姫'!B:B,"見つかりません"))</f>
      </c>
      <c r="K2574" s="4">
        <v>95</v>
      </c>
      <c r="L2574" s="4">
        <v>0</v>
      </c>
      <c r="M2574" s="4"/>
      <c r="N2574" s="4"/>
      <c r="O2574" s="4"/>
      <c r="P2574" s="12" t="str">
        <f t="array" ref="P2574">IF(O2574:O6616="","",_xlfn.XLOOKUP(O2574:O6616,'参照_官位'!A:A,'参照_官位'!B:B,""))</f>
      </c>
      <c r="Q2574" s="12" t="str">
        <f t="array" ref="Q2574">IF(A2574:A6616="","",IFERROR(_xlfn.XLOOKUP(A2574:A6616,castles_state!K:K,castles_state!D:D)&amp;"主",IFERROR(_xlfn.XLOOKUP(A2574:A6616,kunishuClan!D:D,kunishuClan!B:B)&amp;"当主","")))</f>
      </c>
    </row>
    <row r="2575" ht="15.75" customHeight="1">
      <c r="A2575" s="4">
        <v>1068069</v>
      </c>
      <c r="B2575" s="12" t="str">
        <f t="array" ref="B2575">IF(A2575:A6617="","",_xlfn.XLOOKUP(A2575:A6617,'参照_武将'!A:A,'参照_武将'!B:B,"見つかりません"))</f>
      </c>
      <c r="C2575" s="4" t="s">
        <v>5961</v>
      </c>
      <c r="D2575" s="4">
        <v>68</v>
      </c>
      <c r="E2575" s="12" t="str">
        <f t="array" ref="E2575">IF(D2575:D6617="","",IFERROR(_xlfn.XLOOKUP(D2575:D6617,'参照_勢力'!A:A,'参照_勢力'!B:B),IFERROR(_xlfn.XLOOKUP(F2575:F6617,kunishuClan!A:A,kunishuClan!B:B),"浪人")))</f>
      </c>
      <c r="F2575" s="4">
        <v>0</v>
      </c>
      <c r="G2575" s="4">
        <v>191</v>
      </c>
      <c r="H2575" s="12" t="str">
        <f t="array" ref="H2575">IF(G2575:G6617="","",_xlfn.XLOOKUP(G2575:G6617,castles_state!A:A,castles_state!D:D,"見つかりません"))</f>
      </c>
      <c r="I2575" s="4"/>
      <c r="J2575" s="12" t="str">
        <f t="array" ref="J2575">IF(I2575:I6617="","",_xlfn.XLOOKUP(I2575:I6617,'参照_姫'!A:A,'参照_姫'!B:B,"見つかりません"))</f>
      </c>
      <c r="K2575" s="4">
        <v>95</v>
      </c>
      <c r="L2575" s="4">
        <v>0</v>
      </c>
      <c r="M2575" s="4"/>
      <c r="N2575" s="4"/>
      <c r="O2575" s="4"/>
      <c r="P2575" s="12" t="str">
        <f t="array" ref="P2575">IF(O2575:O6617="","",_xlfn.XLOOKUP(O2575:O6617,'参照_官位'!A:A,'参照_官位'!B:B,""))</f>
      </c>
      <c r="Q2575" s="12" t="str">
        <f t="array" ref="Q2575">IF(A2575:A6617="","",IFERROR(_xlfn.XLOOKUP(A2575:A6617,castles_state!K:K,castles_state!D:D)&amp;"主",IFERROR(_xlfn.XLOOKUP(A2575:A6617,kunishuClan!D:D,kunishuClan!B:B)&amp;"当主","")))</f>
      </c>
    </row>
    <row r="2576" ht="15.75" customHeight="1">
      <c r="A2576" s="4">
        <v>1069001</v>
      </c>
      <c r="B2576" s="12" t="str">
        <f t="array" ref="B2576">IF(A2576:A6618="","",_xlfn.XLOOKUP(A2576:A6618,'参照_武将'!A:A,'参照_武将'!B:B,"見つかりません"))</f>
      </c>
      <c r="C2576" s="4" t="s">
        <v>168</v>
      </c>
      <c r="D2576" s="4">
        <v>1</v>
      </c>
      <c r="E2576" s="12" t="str">
        <f t="array" ref="E2576">IF(D2576:D6618="","",IFERROR(_xlfn.XLOOKUP(D2576:D6618,'参照_勢力'!A:A,'参照_勢力'!B:B),IFERROR(_xlfn.XLOOKUP(F2576:F6618,kunishuClan!A:A,kunishuClan!B:B),"浪人")))</f>
      </c>
      <c r="F2576" s="4">
        <v>0</v>
      </c>
      <c r="G2576" s="4">
        <v>47</v>
      </c>
      <c r="H2576" s="12" t="str">
        <f t="array" ref="H2576">IF(G2576:G6618="","",_xlfn.XLOOKUP(G2576:G6618,castles_state!A:A,castles_state!D:D,"見つかりません"))</f>
      </c>
      <c r="I2576" s="4"/>
      <c r="J2576" s="12" t="str">
        <f t="array" ref="J2576">IF(I2576:I6618="","",_xlfn.XLOOKUP(I2576:I6618,'参照_姫'!A:A,'参照_姫'!B:B,"見つかりません"))</f>
      </c>
      <c r="K2576" s="4">
        <v>95</v>
      </c>
      <c r="L2576" s="4">
        <v>0</v>
      </c>
      <c r="M2576" s="4"/>
      <c r="N2576" s="4"/>
      <c r="O2576" s="4"/>
      <c r="P2576" s="12" t="str">
        <f t="array" ref="P2576">IF(O2576:O6618="","",_xlfn.XLOOKUP(O2576:O6618,'参照_官位'!A:A,'参照_官位'!B:B,""))</f>
      </c>
      <c r="Q2576" s="12" t="str">
        <f t="array" ref="Q2576">IF(A2576:A6618="","",IFERROR(_xlfn.XLOOKUP(A2576:A6618,castles_state!K:K,castles_state!D:D)&amp;"主",IFERROR(_xlfn.XLOOKUP(A2576:A6618,kunishuClan!D:D,kunishuClan!B:B)&amp;"当主","")))</f>
      </c>
    </row>
    <row r="2577" ht="15.75" customHeight="1">
      <c r="A2577" s="4">
        <v>1069002</v>
      </c>
      <c r="B2577" s="12" t="str">
        <f t="array" ref="B2577">IF(A2577:A6619="","",_xlfn.XLOOKUP(A2577:A6619,'参照_武将'!A:A,'参照_武将'!B:B,"見つかりません"))</f>
      </c>
      <c r="C2577" s="4" t="s">
        <v>168</v>
      </c>
      <c r="D2577" s="4">
        <v>1</v>
      </c>
      <c r="E2577" s="12" t="str">
        <f t="array" ref="E2577">IF(D2577:D6619="","",IFERROR(_xlfn.XLOOKUP(D2577:D6619,'参照_勢力'!A:A,'参照_勢力'!B:B),IFERROR(_xlfn.XLOOKUP(F2577:F6619,kunishuClan!A:A,kunishuClan!B:B),"浪人")))</f>
      </c>
      <c r="F2577" s="4">
        <v>0</v>
      </c>
      <c r="G2577" s="4">
        <v>47</v>
      </c>
      <c r="H2577" s="12" t="str">
        <f t="array" ref="H2577">IF(G2577:G6619="","",_xlfn.XLOOKUP(G2577:G6619,castles_state!A:A,castles_state!D:D,"見つかりません"))</f>
      </c>
      <c r="I2577" s="4"/>
      <c r="J2577" s="12" t="str">
        <f t="array" ref="J2577">IF(I2577:I6619="","",_xlfn.XLOOKUP(I2577:I6619,'参照_姫'!A:A,'参照_姫'!B:B,"見つかりません"))</f>
      </c>
      <c r="K2577" s="4">
        <v>95</v>
      </c>
      <c r="L2577" s="4">
        <v>0</v>
      </c>
      <c r="M2577" s="4"/>
      <c r="N2577" s="4"/>
      <c r="O2577" s="4"/>
      <c r="P2577" s="12" t="str">
        <f t="array" ref="P2577">IF(O2577:O6619="","",_xlfn.XLOOKUP(O2577:O6619,'参照_官位'!A:A,'参照_官位'!B:B,""))</f>
      </c>
      <c r="Q2577" s="12" t="str">
        <f t="array" ref="Q2577">IF(A2577:A6619="","",IFERROR(_xlfn.XLOOKUP(A2577:A6619,castles_state!K:K,castles_state!D:D)&amp;"主",IFERROR(_xlfn.XLOOKUP(A2577:A6619,kunishuClan!D:D,kunishuClan!B:B)&amp;"当主","")))</f>
      </c>
    </row>
    <row r="2578" ht="15.75" customHeight="1">
      <c r="A2578" s="4">
        <v>1069003</v>
      </c>
      <c r="B2578" s="12" t="str">
        <f t="array" ref="B2578">IF(A2578:A6620="","",_xlfn.XLOOKUP(A2578:A6620,'参照_武将'!A:A,'参照_武将'!B:B,"見つかりません"))</f>
      </c>
      <c r="C2578" s="4" t="s">
        <v>329</v>
      </c>
      <c r="D2578" s="4">
        <v>69</v>
      </c>
      <c r="E2578" s="12" t="str">
        <f t="array" ref="E2578">IF(D2578:D6620="","",IFERROR(_xlfn.XLOOKUP(D2578:D6620,'参照_勢力'!A:A,'参照_勢力'!B:B),IFERROR(_xlfn.XLOOKUP(F2578:F6620,kunishuClan!A:A,kunishuClan!B:B),"浪人")))</f>
      </c>
      <c r="F2578" s="4">
        <v>0</v>
      </c>
      <c r="G2578" s="4">
        <v>189</v>
      </c>
      <c r="H2578" s="12" t="str">
        <f t="array" ref="H2578">IF(G2578:G6620="","",_xlfn.XLOOKUP(G2578:G6620,castles_state!A:A,castles_state!D:D,"見つかりません"))</f>
      </c>
      <c r="I2578" s="4"/>
      <c r="J2578" s="12" t="str">
        <f t="array" ref="J2578">IF(I2578:I6620="","",_xlfn.XLOOKUP(I2578:I6620,'参照_姫'!A:A,'参照_姫'!B:B,"見つかりません"))</f>
      </c>
      <c r="K2578" s="4">
        <v>95</v>
      </c>
      <c r="L2578" s="4">
        <v>0</v>
      </c>
      <c r="M2578" s="4"/>
      <c r="N2578" s="4"/>
      <c r="O2578" s="4"/>
      <c r="P2578" s="12" t="str">
        <f t="array" ref="P2578">IF(O2578:O6620="","",_xlfn.XLOOKUP(O2578:O6620,'参照_官位'!A:A,'参照_官位'!B:B,""))</f>
      </c>
      <c r="Q2578" s="12" t="str">
        <f t="array" ref="Q2578">IF(A2578:A6620="","",IFERROR(_xlfn.XLOOKUP(A2578:A6620,castles_state!K:K,castles_state!D:D)&amp;"主",IFERROR(_xlfn.XLOOKUP(A2578:A6620,kunishuClan!D:D,kunishuClan!B:B)&amp;"当主","")))</f>
      </c>
    </row>
    <row r="2579" ht="15.75" customHeight="1">
      <c r="A2579" s="4">
        <v>1069004</v>
      </c>
      <c r="B2579" s="12" t="str">
        <f t="array" ref="B2579">IF(A2579:A6621="","",_xlfn.XLOOKUP(A2579:A6621,'参照_武将'!A:A,'参照_武将'!B:B,"見つかりません"))</f>
      </c>
      <c r="C2579" s="4" t="s">
        <v>329</v>
      </c>
      <c r="D2579" s="4">
        <v>69</v>
      </c>
      <c r="E2579" s="12" t="str">
        <f t="array" ref="E2579">IF(D2579:D6621="","",IFERROR(_xlfn.XLOOKUP(D2579:D6621,'参照_勢力'!A:A,'参照_勢力'!B:B),IFERROR(_xlfn.XLOOKUP(F2579:F6621,kunishuClan!A:A,kunishuClan!B:B),"浪人")))</f>
      </c>
      <c r="F2579" s="4">
        <v>0</v>
      </c>
      <c r="G2579" s="4">
        <v>189</v>
      </c>
      <c r="H2579" s="12" t="str">
        <f t="array" ref="H2579">IF(G2579:G6621="","",_xlfn.XLOOKUP(G2579:G6621,castles_state!A:A,castles_state!D:D,"見つかりません"))</f>
      </c>
      <c r="I2579" s="4"/>
      <c r="J2579" s="12" t="str">
        <f t="array" ref="J2579">IF(I2579:I6621="","",_xlfn.XLOOKUP(I2579:I6621,'参照_姫'!A:A,'参照_姫'!B:B,"見つかりません"))</f>
      </c>
      <c r="K2579" s="4">
        <v>95</v>
      </c>
      <c r="L2579" s="4">
        <v>0</v>
      </c>
      <c r="M2579" s="4"/>
      <c r="N2579" s="4"/>
      <c r="O2579" s="4"/>
      <c r="P2579" s="12" t="str">
        <f t="array" ref="P2579">IF(O2579:O6621="","",_xlfn.XLOOKUP(O2579:O6621,'参照_官位'!A:A,'参照_官位'!B:B,""))</f>
      </c>
      <c r="Q2579" s="12" t="str">
        <f t="array" ref="Q2579">IF(A2579:A6621="","",IFERROR(_xlfn.XLOOKUP(A2579:A6621,castles_state!K:K,castles_state!D:D)&amp;"主",IFERROR(_xlfn.XLOOKUP(A2579:A6621,kunishuClan!D:D,kunishuClan!B:B)&amp;"当主","")))</f>
      </c>
    </row>
    <row r="2580" ht="15.75" customHeight="1">
      <c r="A2580" s="4">
        <v>1069005</v>
      </c>
      <c r="B2580" s="12" t="str">
        <f t="array" ref="B2580">IF(A2580:A6622="","",_xlfn.XLOOKUP(A2580:A6622,'参照_武将'!A:A,'参照_武将'!B:B,"見つかりません"))</f>
      </c>
      <c r="C2580" s="4" t="s">
        <v>329</v>
      </c>
      <c r="D2580" s="4">
        <v>69</v>
      </c>
      <c r="E2580" s="12" t="str">
        <f t="array" ref="E2580">IF(D2580:D6622="","",IFERROR(_xlfn.XLOOKUP(D2580:D6622,'参照_勢力'!A:A,'参照_勢力'!B:B),IFERROR(_xlfn.XLOOKUP(F2580:F6622,kunishuClan!A:A,kunishuClan!B:B),"浪人")))</f>
      </c>
      <c r="F2580" s="4">
        <v>0</v>
      </c>
      <c r="G2580" s="4">
        <v>189</v>
      </c>
      <c r="H2580" s="12" t="str">
        <f t="array" ref="H2580">IF(G2580:G6622="","",_xlfn.XLOOKUP(G2580:G6622,castles_state!A:A,castles_state!D:D,"見つかりません"))</f>
      </c>
      <c r="I2580" s="4"/>
      <c r="J2580" s="12" t="str">
        <f t="array" ref="J2580">IF(I2580:I6622="","",_xlfn.XLOOKUP(I2580:I6622,'参照_姫'!A:A,'参照_姫'!B:B,"見つかりません"))</f>
      </c>
      <c r="K2580" s="4">
        <v>95</v>
      </c>
      <c r="L2580" s="4">
        <v>0</v>
      </c>
      <c r="M2580" s="4"/>
      <c r="N2580" s="4" t="b">
        <v>1</v>
      </c>
      <c r="O2580" s="4"/>
      <c r="P2580" s="12" t="str">
        <f t="array" ref="P2580">IF(O2580:O6622="","",_xlfn.XLOOKUP(O2580:O6622,'参照_官位'!A:A,'参照_官位'!B:B,""))</f>
      </c>
      <c r="Q2580" s="12" t="str">
        <f t="array" ref="Q2580">IF(A2580:A6622="","",IFERROR(_xlfn.XLOOKUP(A2580:A6622,castles_state!K:K,castles_state!D:D)&amp;"主",IFERROR(_xlfn.XLOOKUP(A2580:A6622,kunishuClan!D:D,kunishuClan!B:B)&amp;"当主","")))</f>
      </c>
    </row>
    <row r="2581" ht="15.75" customHeight="1">
      <c r="A2581" s="4">
        <v>1069006</v>
      </c>
      <c r="B2581" s="12" t="str">
        <f t="array" ref="B2581">IF(A2581:A6623="","",_xlfn.XLOOKUP(A2581:A6623,'参照_武将'!A:A,'参照_武将'!B:B,"見つかりません"))</f>
      </c>
      <c r="C2581" s="4" t="s">
        <v>329</v>
      </c>
      <c r="D2581" s="4">
        <v>69</v>
      </c>
      <c r="E2581" s="12" t="str">
        <f t="array" ref="E2581">IF(D2581:D6623="","",IFERROR(_xlfn.XLOOKUP(D2581:D6623,'参照_勢力'!A:A,'参照_勢力'!B:B),IFERROR(_xlfn.XLOOKUP(F2581:F6623,kunishuClan!A:A,kunishuClan!B:B),"浪人")))</f>
      </c>
      <c r="F2581" s="4">
        <v>0</v>
      </c>
      <c r="G2581" s="4">
        <v>189</v>
      </c>
      <c r="H2581" s="12" t="str">
        <f t="array" ref="H2581">IF(G2581:G6623="","",_xlfn.XLOOKUP(G2581:G6623,castles_state!A:A,castles_state!D:D,"見つかりません"))</f>
      </c>
      <c r="I2581" s="4"/>
      <c r="J2581" s="12" t="str">
        <f t="array" ref="J2581">IF(I2581:I6623="","",_xlfn.XLOOKUP(I2581:I6623,'参照_姫'!A:A,'参照_姫'!B:B,"見つかりません"))</f>
      </c>
      <c r="K2581" s="4">
        <v>75</v>
      </c>
      <c r="L2581" s="4">
        <v>700</v>
      </c>
      <c r="M2581" s="4"/>
      <c r="N2581" s="4"/>
      <c r="O2581" s="4"/>
      <c r="P2581" s="12" t="str">
        <f t="array" ref="P2581">IF(O2581:O6623="","",_xlfn.XLOOKUP(O2581:O6623,'参照_官位'!A:A,'参照_官位'!B:B,""))</f>
      </c>
      <c r="Q2581" s="12" t="str">
        <f t="array" ref="Q2581">IF(A2581:A6623="","",IFERROR(_xlfn.XLOOKUP(A2581:A6623,castles_state!K:K,castles_state!D:D)&amp;"主",IFERROR(_xlfn.XLOOKUP(A2581:A6623,kunishuClan!D:D,kunishuClan!B:B)&amp;"当主","")))</f>
      </c>
    </row>
    <row r="2582" ht="15.75" customHeight="1">
      <c r="A2582" s="4">
        <v>1069007</v>
      </c>
      <c r="B2582" s="12" t="str">
        <f t="array" ref="B2582">IF(A2582:A6624="","",_xlfn.XLOOKUP(A2582:A6624,'参照_武将'!A:A,'参照_武将'!B:B,"見つかりません"))</f>
      </c>
      <c r="C2582" s="4" t="s">
        <v>329</v>
      </c>
      <c r="D2582" s="4">
        <v>69</v>
      </c>
      <c r="E2582" s="12" t="str">
        <f t="array" ref="E2582">IF(D2582:D6624="","",IFERROR(_xlfn.XLOOKUP(D2582:D6624,'参照_勢力'!A:A,'参照_勢力'!B:B),IFERROR(_xlfn.XLOOKUP(F2582:F6624,kunishuClan!A:A,kunishuClan!B:B),"浪人")))</f>
      </c>
      <c r="F2582" s="4">
        <v>0</v>
      </c>
      <c r="G2582" s="4">
        <v>189</v>
      </c>
      <c r="H2582" s="12" t="str">
        <f t="array" ref="H2582">IF(G2582:G6624="","",_xlfn.XLOOKUP(G2582:G6624,castles_state!A:A,castles_state!D:D,"見つかりません"))</f>
      </c>
      <c r="I2582" s="4"/>
      <c r="J2582" s="12" t="str">
        <f t="array" ref="J2582">IF(I2582:I6624="","",_xlfn.XLOOKUP(I2582:I6624,'参照_姫'!A:A,'参照_姫'!B:B,"見つかりません"))</f>
      </c>
      <c r="K2582" s="4">
        <v>85</v>
      </c>
      <c r="L2582" s="4">
        <v>0</v>
      </c>
      <c r="M2582" s="4"/>
      <c r="N2582" s="4"/>
      <c r="O2582" s="4"/>
      <c r="P2582" s="12" t="str">
        <f t="array" ref="P2582">IF(O2582:O6624="","",_xlfn.XLOOKUP(O2582:O6624,'参照_官位'!A:A,'参照_官位'!B:B,""))</f>
      </c>
      <c r="Q2582" s="12" t="str">
        <f t="array" ref="Q2582">IF(A2582:A6624="","",IFERROR(_xlfn.XLOOKUP(A2582:A6624,castles_state!K:K,castles_state!D:D)&amp;"主",IFERROR(_xlfn.XLOOKUP(A2582:A6624,kunishuClan!D:D,kunishuClan!B:B)&amp;"当主","")))</f>
      </c>
    </row>
    <row r="2583" ht="15.75" customHeight="1">
      <c r="A2583" s="4">
        <v>1069008</v>
      </c>
      <c r="B2583" s="12" t="str">
        <f t="array" ref="B2583">IF(A2583:A6625="","",_xlfn.XLOOKUP(A2583:A6625,'参照_武将'!A:A,'参照_武将'!B:B,"見つかりません"))</f>
      </c>
      <c r="C2583" s="4" t="s">
        <v>329</v>
      </c>
      <c r="D2583" s="4">
        <v>69</v>
      </c>
      <c r="E2583" s="12" t="str">
        <f t="array" ref="E2583">IF(D2583:D6625="","",IFERROR(_xlfn.XLOOKUP(D2583:D6625,'参照_勢力'!A:A,'参照_勢力'!B:B),IFERROR(_xlfn.XLOOKUP(F2583:F6625,kunishuClan!A:A,kunishuClan!B:B),"浪人")))</f>
      </c>
      <c r="F2583" s="4">
        <v>0</v>
      </c>
      <c r="G2583" s="4">
        <v>189</v>
      </c>
      <c r="H2583" s="12" t="str">
        <f t="array" ref="H2583">IF(G2583:G6625="","",_xlfn.XLOOKUP(G2583:G6625,castles_state!A:A,castles_state!D:D,"見つかりません"))</f>
      </c>
      <c r="I2583" s="4"/>
      <c r="J2583" s="12" t="str">
        <f t="array" ref="J2583">IF(I2583:I6625="","",_xlfn.XLOOKUP(I2583:I6625,'参照_姫'!A:A,'参照_姫'!B:B,"見つかりません"))</f>
      </c>
      <c r="K2583" s="4">
        <v>85</v>
      </c>
      <c r="L2583" s="4">
        <v>0</v>
      </c>
      <c r="M2583" s="4"/>
      <c r="N2583" s="4"/>
      <c r="O2583" s="4"/>
      <c r="P2583" s="12" t="str">
        <f t="array" ref="P2583">IF(O2583:O6625="","",_xlfn.XLOOKUP(O2583:O6625,'参照_官位'!A:A,'参照_官位'!B:B,""))</f>
      </c>
      <c r="Q2583" s="12" t="str">
        <f t="array" ref="Q2583">IF(A2583:A6625="","",IFERROR(_xlfn.XLOOKUP(A2583:A6625,castles_state!K:K,castles_state!D:D)&amp;"主",IFERROR(_xlfn.XLOOKUP(A2583:A6625,kunishuClan!D:D,kunishuClan!B:B)&amp;"当主","")))</f>
      </c>
    </row>
    <row r="2584" ht="15.75" customHeight="1">
      <c r="A2584" s="4">
        <v>1069009</v>
      </c>
      <c r="B2584" s="12" t="str">
        <f t="array" ref="B2584">IF(A2584:A6626="","",_xlfn.XLOOKUP(A2584:A6626,'参照_武将'!A:A,'参照_武将'!B:B,"見つかりません"))</f>
      </c>
      <c r="C2584" s="4" t="s">
        <v>329</v>
      </c>
      <c r="D2584" s="4">
        <v>69</v>
      </c>
      <c r="E2584" s="12" t="str">
        <f t="array" ref="E2584">IF(D2584:D6626="","",IFERROR(_xlfn.XLOOKUP(D2584:D6626,'参照_勢力'!A:A,'参照_勢力'!B:B),IFERROR(_xlfn.XLOOKUP(F2584:F6626,kunishuClan!A:A,kunishuClan!B:B),"浪人")))</f>
      </c>
      <c r="F2584" s="4">
        <v>0</v>
      </c>
      <c r="G2584" s="4">
        <v>189</v>
      </c>
      <c r="H2584" s="12" t="str">
        <f t="array" ref="H2584">IF(G2584:G6626="","",_xlfn.XLOOKUP(G2584:G6626,castles_state!A:A,castles_state!D:D,"見つかりません"))</f>
      </c>
      <c r="I2584" s="4"/>
      <c r="J2584" s="12" t="str">
        <f t="array" ref="J2584">IF(I2584:I6626="","",_xlfn.XLOOKUP(I2584:I6626,'参照_姫'!A:A,'参照_姫'!B:B,"見つかりません"))</f>
      </c>
      <c r="K2584" s="4">
        <v>100</v>
      </c>
      <c r="L2584" s="4">
        <v>1500</v>
      </c>
      <c r="M2584" s="4"/>
      <c r="N2584" s="4"/>
      <c r="O2584" s="4">
        <v>115</v>
      </c>
      <c r="P2584" s="12" t="str">
        <f t="array" ref="P2584">IF(O2584:O6626="","",_xlfn.XLOOKUP(O2584:O6626,'参照_官位'!A:A,'参照_官位'!B:B,""))</f>
      </c>
      <c r="Q2584" s="12" t="str">
        <f t="array" ref="Q2584">IF(A2584:A6626="","",IFERROR(_xlfn.XLOOKUP(A2584:A6626,castles_state!K:K,castles_state!D:D)&amp;"主",IFERROR(_xlfn.XLOOKUP(A2584:A6626,kunishuClan!D:D,kunishuClan!B:B)&amp;"当主","")))</f>
      </c>
    </row>
    <row r="2585" ht="15.75" customHeight="1">
      <c r="A2585" s="4">
        <v>1069010</v>
      </c>
      <c r="B2585" s="12" t="str">
        <f t="array" ref="B2585">IF(A2585:A6627="","",_xlfn.XLOOKUP(A2585:A6627,'参照_武将'!A:A,'参照_武将'!B:B,"見つかりません"))</f>
      </c>
      <c r="C2585" s="4" t="s">
        <v>329</v>
      </c>
      <c r="D2585" s="4">
        <v>69</v>
      </c>
      <c r="E2585" s="12" t="str">
        <f t="array" ref="E2585">IF(D2585:D6627="","",IFERROR(_xlfn.XLOOKUP(D2585:D6627,'参照_勢力'!A:A,'参照_勢力'!B:B),IFERROR(_xlfn.XLOOKUP(F2585:F6627,kunishuClan!A:A,kunishuClan!B:B),"浪人")))</f>
      </c>
      <c r="F2585" s="4">
        <v>0</v>
      </c>
      <c r="G2585" s="4">
        <v>189</v>
      </c>
      <c r="H2585" s="12" t="str">
        <f t="array" ref="H2585">IF(G2585:G6627="","",_xlfn.XLOOKUP(G2585:G6627,castles_state!A:A,castles_state!D:D,"見つかりません"))</f>
      </c>
      <c r="I2585" s="4"/>
      <c r="J2585" s="12" t="str">
        <f t="array" ref="J2585">IF(I2585:I6627="","",_xlfn.XLOOKUP(I2585:I6627,'参照_姫'!A:A,'参照_姫'!B:B,"見つかりません"))</f>
      </c>
      <c r="K2585" s="4">
        <v>100</v>
      </c>
      <c r="L2585" s="4">
        <v>1500</v>
      </c>
      <c r="M2585" s="4"/>
      <c r="N2585" s="4"/>
      <c r="O2585" s="4">
        <v>122</v>
      </c>
      <c r="P2585" s="12" t="str">
        <f t="array" ref="P2585">IF(O2585:O6627="","",_xlfn.XLOOKUP(O2585:O6627,'参照_官位'!A:A,'参照_官位'!B:B,""))</f>
      </c>
      <c r="Q2585" s="12" t="str">
        <f t="array" ref="Q2585">IF(A2585:A6627="","",IFERROR(_xlfn.XLOOKUP(A2585:A6627,castles_state!K:K,castles_state!D:D)&amp;"主",IFERROR(_xlfn.XLOOKUP(A2585:A6627,kunishuClan!D:D,kunishuClan!B:B)&amp;"当主","")))</f>
      </c>
    </row>
    <row r="2586" ht="15.75" customHeight="1">
      <c r="A2586" s="4">
        <v>1069011</v>
      </c>
      <c r="B2586" s="12" t="str">
        <f t="array" ref="B2586">IF(A2586:A6628="","",_xlfn.XLOOKUP(A2586:A6628,'参照_武将'!A:A,'参照_武将'!B:B,"見つかりません"))</f>
      </c>
      <c r="C2586" s="4" t="s">
        <v>329</v>
      </c>
      <c r="D2586" s="4">
        <v>69</v>
      </c>
      <c r="E2586" s="12" t="str">
        <f t="array" ref="E2586">IF(D2586:D6628="","",IFERROR(_xlfn.XLOOKUP(D2586:D6628,'参照_勢力'!A:A,'参照_勢力'!B:B),IFERROR(_xlfn.XLOOKUP(F2586:F6628,kunishuClan!A:A,kunishuClan!B:B),"浪人")))</f>
      </c>
      <c r="F2586" s="4">
        <v>0</v>
      </c>
      <c r="G2586" s="4">
        <v>189</v>
      </c>
      <c r="H2586" s="12" t="str">
        <f t="array" ref="H2586">IF(G2586:G6628="","",_xlfn.XLOOKUP(G2586:G6628,castles_state!A:A,castles_state!D:D,"見つかりません"))</f>
      </c>
      <c r="I2586" s="4"/>
      <c r="J2586" s="12" t="str">
        <f t="array" ref="J2586">IF(I2586:I6628="","",_xlfn.XLOOKUP(I2586:I6628,'参照_姫'!A:A,'参照_姫'!B:B,"見つかりません"))</f>
      </c>
      <c r="K2586" s="4">
        <v>95</v>
      </c>
      <c r="L2586" s="4">
        <v>0</v>
      </c>
      <c r="M2586" s="4"/>
      <c r="N2586" s="4"/>
      <c r="O2586" s="4"/>
      <c r="P2586" s="12" t="str">
        <f t="array" ref="P2586">IF(O2586:O6628="","",_xlfn.XLOOKUP(O2586:O6628,'参照_官位'!A:A,'参照_官位'!B:B,""))</f>
      </c>
      <c r="Q2586" s="12" t="str">
        <f t="array" ref="Q2586">IF(A2586:A6628="","",IFERROR(_xlfn.XLOOKUP(A2586:A6628,castles_state!K:K,castles_state!D:D)&amp;"主",IFERROR(_xlfn.XLOOKUP(A2586:A6628,kunishuClan!D:D,kunishuClan!B:B)&amp;"当主","")))</f>
      </c>
    </row>
    <row r="2587" ht="15.75" customHeight="1">
      <c r="A2587" s="4">
        <v>1069012</v>
      </c>
      <c r="B2587" s="12" t="str">
        <f t="array" ref="B2587">IF(A2587:A6629="","",_xlfn.XLOOKUP(A2587:A6629,'参照_武将'!A:A,'参照_武将'!B:B,"見つかりません"))</f>
      </c>
      <c r="C2587" s="4" t="s">
        <v>329</v>
      </c>
      <c r="D2587" s="4">
        <v>69</v>
      </c>
      <c r="E2587" s="12" t="str">
        <f t="array" ref="E2587">IF(D2587:D6629="","",IFERROR(_xlfn.XLOOKUP(D2587:D6629,'参照_勢力'!A:A,'参照_勢力'!B:B),IFERROR(_xlfn.XLOOKUP(F2587:F6629,kunishuClan!A:A,kunishuClan!B:B),"浪人")))</f>
      </c>
      <c r="F2587" s="4">
        <v>0</v>
      </c>
      <c r="G2587" s="4">
        <v>189</v>
      </c>
      <c r="H2587" s="12" t="str">
        <f t="array" ref="H2587">IF(G2587:G6629="","",_xlfn.XLOOKUP(G2587:G6629,castles_state!A:A,castles_state!D:D,"見つかりません"))</f>
      </c>
      <c r="I2587" s="4"/>
      <c r="J2587" s="12" t="str">
        <f t="array" ref="J2587">IF(I2587:I6629="","",_xlfn.XLOOKUP(I2587:I6629,'参照_姫'!A:A,'参照_姫'!B:B,"見つかりません"))</f>
      </c>
      <c r="K2587" s="4">
        <v>95</v>
      </c>
      <c r="L2587" s="4">
        <v>0</v>
      </c>
      <c r="M2587" s="4"/>
      <c r="N2587" s="4"/>
      <c r="O2587" s="4"/>
      <c r="P2587" s="12" t="str">
        <f t="array" ref="P2587">IF(O2587:O6629="","",_xlfn.XLOOKUP(O2587:O6629,'参照_官位'!A:A,'参照_官位'!B:B,""))</f>
      </c>
      <c r="Q2587" s="12" t="str">
        <f t="array" ref="Q2587">IF(A2587:A6629="","",IFERROR(_xlfn.XLOOKUP(A2587:A6629,castles_state!K:K,castles_state!D:D)&amp;"主",IFERROR(_xlfn.XLOOKUP(A2587:A6629,kunishuClan!D:D,kunishuClan!B:B)&amp;"当主","")))</f>
      </c>
    </row>
    <row r="2588" ht="15.75" customHeight="1">
      <c r="A2588" s="4">
        <v>1069013</v>
      </c>
      <c r="B2588" s="12" t="str">
        <f t="array" ref="B2588">IF(A2588:A6630="","",_xlfn.XLOOKUP(A2588:A6630,'参照_武将'!A:A,'参照_武将'!B:B,"見つかりません"))</f>
      </c>
      <c r="C2588" s="4" t="s">
        <v>329</v>
      </c>
      <c r="D2588" s="4">
        <v>69</v>
      </c>
      <c r="E2588" s="12" t="str">
        <f t="array" ref="E2588">IF(D2588:D6630="","",IFERROR(_xlfn.XLOOKUP(D2588:D6630,'参照_勢力'!A:A,'参照_勢力'!B:B),IFERROR(_xlfn.XLOOKUP(F2588:F6630,kunishuClan!A:A,kunishuClan!B:B),"浪人")))</f>
      </c>
      <c r="F2588" s="4">
        <v>0</v>
      </c>
      <c r="G2588" s="4">
        <v>189</v>
      </c>
      <c r="H2588" s="12" t="str">
        <f t="array" ref="H2588">IF(G2588:G6630="","",_xlfn.XLOOKUP(G2588:G6630,castles_state!A:A,castles_state!D:D,"見つかりません"))</f>
      </c>
      <c r="I2588" s="4"/>
      <c r="J2588" s="12" t="str">
        <f t="array" ref="J2588">IF(I2588:I6630="","",_xlfn.XLOOKUP(I2588:I6630,'参照_姫'!A:A,'参照_姫'!B:B,"見つかりません"))</f>
      </c>
      <c r="K2588" s="4">
        <v>95</v>
      </c>
      <c r="L2588" s="4">
        <v>0</v>
      </c>
      <c r="M2588" s="4" t="b">
        <v>1</v>
      </c>
      <c r="N2588" s="4"/>
      <c r="O2588" s="4"/>
      <c r="P2588" s="12" t="str">
        <f t="array" ref="P2588">IF(O2588:O6630="","",_xlfn.XLOOKUP(O2588:O6630,'参照_官位'!A:A,'参照_官位'!B:B,""))</f>
      </c>
      <c r="Q2588" s="12" t="str">
        <f t="array" ref="Q2588">IF(A2588:A6630="","",IFERROR(_xlfn.XLOOKUP(A2588:A6630,castles_state!K:K,castles_state!D:D)&amp;"主",IFERROR(_xlfn.XLOOKUP(A2588:A6630,kunishuClan!D:D,kunishuClan!B:B)&amp;"当主","")))</f>
      </c>
    </row>
    <row r="2589" ht="15.75" customHeight="1">
      <c r="A2589" s="4">
        <v>1069014</v>
      </c>
      <c r="B2589" s="12" t="str">
        <f t="array" ref="B2589">IF(A2589:A6631="","",_xlfn.XLOOKUP(A2589:A6631,'参照_武将'!A:A,'参照_武将'!B:B,"見つかりません"))</f>
      </c>
      <c r="C2589" s="4" t="s">
        <v>329</v>
      </c>
      <c r="D2589" s="4">
        <v>69</v>
      </c>
      <c r="E2589" s="12" t="str">
        <f t="array" ref="E2589">IF(D2589:D6631="","",IFERROR(_xlfn.XLOOKUP(D2589:D6631,'参照_勢力'!A:A,'参照_勢力'!B:B),IFERROR(_xlfn.XLOOKUP(F2589:F6631,kunishuClan!A:A,kunishuClan!B:B),"浪人")))</f>
      </c>
      <c r="F2589" s="4">
        <v>0</v>
      </c>
      <c r="G2589" s="4">
        <v>189</v>
      </c>
      <c r="H2589" s="12" t="str">
        <f t="array" ref="H2589">IF(G2589:G6631="","",_xlfn.XLOOKUP(G2589:G6631,castles_state!A:A,castles_state!D:D,"見つかりません"))</f>
      </c>
      <c r="I2589" s="4"/>
      <c r="J2589" s="12" t="str">
        <f t="array" ref="J2589">IF(I2589:I6631="","",_xlfn.XLOOKUP(I2589:I6631,'参照_姫'!A:A,'参照_姫'!B:B,"見つかりません"))</f>
      </c>
      <c r="K2589" s="4">
        <v>95</v>
      </c>
      <c r="L2589" s="4">
        <v>0</v>
      </c>
      <c r="M2589" s="4"/>
      <c r="N2589" s="4"/>
      <c r="O2589" s="4"/>
      <c r="P2589" s="12" t="str">
        <f t="array" ref="P2589">IF(O2589:O6631="","",_xlfn.XLOOKUP(O2589:O6631,'参照_官位'!A:A,'参照_官位'!B:B,""))</f>
      </c>
      <c r="Q2589" s="12" t="str">
        <f t="array" ref="Q2589">IF(A2589:A6631="","",IFERROR(_xlfn.XLOOKUP(A2589:A6631,castles_state!K:K,castles_state!D:D)&amp;"主",IFERROR(_xlfn.XLOOKUP(A2589:A6631,kunishuClan!D:D,kunishuClan!B:B)&amp;"当主","")))</f>
      </c>
    </row>
    <row r="2590" ht="15.75" customHeight="1">
      <c r="A2590" s="4">
        <v>1069015</v>
      </c>
      <c r="B2590" s="12" t="str">
        <f t="array" ref="B2590">IF(A2590:A6632="","",_xlfn.XLOOKUP(A2590:A6632,'参照_武将'!A:A,'参照_武将'!B:B,"見つかりません"))</f>
      </c>
      <c r="C2590" s="4" t="s">
        <v>329</v>
      </c>
      <c r="D2590" s="4">
        <v>69</v>
      </c>
      <c r="E2590" s="12" t="str">
        <f t="array" ref="E2590">IF(D2590:D6632="","",IFERROR(_xlfn.XLOOKUP(D2590:D6632,'参照_勢力'!A:A,'参照_勢力'!B:B),IFERROR(_xlfn.XLOOKUP(F2590:F6632,kunishuClan!A:A,kunishuClan!B:B),"浪人")))</f>
      </c>
      <c r="F2590" s="4">
        <v>0</v>
      </c>
      <c r="G2590" s="4">
        <v>189</v>
      </c>
      <c r="H2590" s="12" t="str">
        <f t="array" ref="H2590">IF(G2590:G6632="","",_xlfn.XLOOKUP(G2590:G6632,castles_state!A:A,castles_state!D:D,"見つかりません"))</f>
      </c>
      <c r="I2590" s="4"/>
      <c r="J2590" s="12" t="str">
        <f t="array" ref="J2590">IF(I2590:I6632="","",_xlfn.XLOOKUP(I2590:I6632,'参照_姫'!A:A,'参照_姫'!B:B,"見つかりません"))</f>
      </c>
      <c r="K2590" s="4">
        <v>95</v>
      </c>
      <c r="L2590" s="4">
        <v>0</v>
      </c>
      <c r="M2590" s="4"/>
      <c r="N2590" s="4"/>
      <c r="O2590" s="4"/>
      <c r="P2590" s="12" t="str">
        <f t="array" ref="P2590">IF(O2590:O6632="","",_xlfn.XLOOKUP(O2590:O6632,'参照_官位'!A:A,'参照_官位'!B:B,""))</f>
      </c>
      <c r="Q2590" s="12" t="str">
        <f t="array" ref="Q2590">IF(A2590:A6632="","",IFERROR(_xlfn.XLOOKUP(A2590:A6632,castles_state!K:K,castles_state!D:D)&amp;"主",IFERROR(_xlfn.XLOOKUP(A2590:A6632,kunishuClan!D:D,kunishuClan!B:B)&amp;"当主","")))</f>
      </c>
    </row>
    <row r="2591" ht="15.75" customHeight="1">
      <c r="A2591" s="4">
        <v>1069016</v>
      </c>
      <c r="B2591" s="12" t="str">
        <f t="array" ref="B2591">IF(A2591:A6633="","",_xlfn.XLOOKUP(A2591:A6633,'参照_武将'!A:A,'参照_武将'!B:B,"見つかりません"))</f>
      </c>
      <c r="C2591" s="4" t="s">
        <v>329</v>
      </c>
      <c r="D2591" s="4">
        <v>69</v>
      </c>
      <c r="E2591" s="12" t="str">
        <f t="array" ref="E2591">IF(D2591:D6633="","",IFERROR(_xlfn.XLOOKUP(D2591:D6633,'参照_勢力'!A:A,'参照_勢力'!B:B),IFERROR(_xlfn.XLOOKUP(F2591:F6633,kunishuClan!A:A,kunishuClan!B:B),"浪人")))</f>
      </c>
      <c r="F2591" s="4">
        <v>0</v>
      </c>
      <c r="G2591" s="4">
        <v>189</v>
      </c>
      <c r="H2591" s="12" t="str">
        <f t="array" ref="H2591">IF(G2591:G6633="","",_xlfn.XLOOKUP(G2591:G6633,castles_state!A:A,castles_state!D:D,"見つかりません"))</f>
      </c>
      <c r="I2591" s="4"/>
      <c r="J2591" s="12" t="str">
        <f t="array" ref="J2591">IF(I2591:I6633="","",_xlfn.XLOOKUP(I2591:I6633,'参照_姫'!A:A,'参照_姫'!B:B,"見つかりません"))</f>
      </c>
      <c r="K2591" s="4">
        <v>95</v>
      </c>
      <c r="L2591" s="4">
        <v>0</v>
      </c>
      <c r="M2591" s="4"/>
      <c r="N2591" s="4"/>
      <c r="O2591" s="4"/>
      <c r="P2591" s="12" t="str">
        <f t="array" ref="P2591">IF(O2591:O6633="","",_xlfn.XLOOKUP(O2591:O6633,'参照_官位'!A:A,'参照_官位'!B:B,""))</f>
      </c>
      <c r="Q2591" s="12" t="str">
        <f t="array" ref="Q2591">IF(A2591:A6633="","",IFERROR(_xlfn.XLOOKUP(A2591:A6633,castles_state!K:K,castles_state!D:D)&amp;"主",IFERROR(_xlfn.XLOOKUP(A2591:A6633,kunishuClan!D:D,kunishuClan!B:B)&amp;"当主","")))</f>
      </c>
    </row>
    <row r="2592" ht="15.75" customHeight="1">
      <c r="A2592" s="4">
        <v>1069017</v>
      </c>
      <c r="B2592" s="12" t="str">
        <f t="array" ref="B2592">IF(A2592:A6634="","",_xlfn.XLOOKUP(A2592:A6634,'参照_武将'!A:A,'参照_武将'!B:B,"見つかりません"))</f>
      </c>
      <c r="C2592" s="4" t="s">
        <v>329</v>
      </c>
      <c r="D2592" s="4">
        <v>69</v>
      </c>
      <c r="E2592" s="12" t="str">
        <f t="array" ref="E2592">IF(D2592:D6634="","",IFERROR(_xlfn.XLOOKUP(D2592:D6634,'参照_勢力'!A:A,'参照_勢力'!B:B),IFERROR(_xlfn.XLOOKUP(F2592:F6634,kunishuClan!A:A,kunishuClan!B:B),"浪人")))</f>
      </c>
      <c r="F2592" s="4">
        <v>0</v>
      </c>
      <c r="G2592" s="4">
        <v>189</v>
      </c>
      <c r="H2592" s="12" t="str">
        <f t="array" ref="H2592">IF(G2592:G6634="","",_xlfn.XLOOKUP(G2592:G6634,castles_state!A:A,castles_state!D:D,"見つかりません"))</f>
      </c>
      <c r="I2592" s="4"/>
      <c r="J2592" s="12" t="str">
        <f t="array" ref="J2592">IF(I2592:I6634="","",_xlfn.XLOOKUP(I2592:I6634,'参照_姫'!A:A,'参照_姫'!B:B,"見つかりません"))</f>
      </c>
      <c r="K2592" s="4">
        <v>95</v>
      </c>
      <c r="L2592" s="4">
        <v>0</v>
      </c>
      <c r="M2592" s="4"/>
      <c r="N2592" s="4"/>
      <c r="O2592" s="4"/>
      <c r="P2592" s="12" t="str">
        <f t="array" ref="P2592">IF(O2592:O6634="","",_xlfn.XLOOKUP(O2592:O6634,'参照_官位'!A:A,'参照_官位'!B:B,""))</f>
      </c>
      <c r="Q2592" s="12" t="str">
        <f t="array" ref="Q2592">IF(A2592:A6634="","",IFERROR(_xlfn.XLOOKUP(A2592:A6634,castles_state!K:K,castles_state!D:D)&amp;"主",IFERROR(_xlfn.XLOOKUP(A2592:A6634,kunishuClan!D:D,kunishuClan!B:B)&amp;"当主","")))</f>
      </c>
    </row>
    <row r="2593" ht="15.75" customHeight="1">
      <c r="A2593" s="4">
        <v>1069018</v>
      </c>
      <c r="B2593" s="12" t="str">
        <f t="array" ref="B2593">IF(A2593:A6635="","",_xlfn.XLOOKUP(A2593:A6635,'参照_武将'!A:A,'参照_武将'!B:B,"見つかりません"))</f>
      </c>
      <c r="C2593" s="4" t="s">
        <v>329</v>
      </c>
      <c r="D2593" s="4">
        <v>69</v>
      </c>
      <c r="E2593" s="12" t="str">
        <f t="array" ref="E2593">IF(D2593:D6635="","",IFERROR(_xlfn.XLOOKUP(D2593:D6635,'参照_勢力'!A:A,'参照_勢力'!B:B),IFERROR(_xlfn.XLOOKUP(F2593:F6635,kunishuClan!A:A,kunishuClan!B:B),"浪人")))</f>
      </c>
      <c r="F2593" s="4">
        <v>0</v>
      </c>
      <c r="G2593" s="4">
        <v>189</v>
      </c>
      <c r="H2593" s="12" t="str">
        <f t="array" ref="H2593">IF(G2593:G6635="","",_xlfn.XLOOKUP(G2593:G6635,castles_state!A:A,castles_state!D:D,"見つかりません"))</f>
      </c>
      <c r="I2593" s="4"/>
      <c r="J2593" s="12" t="str">
        <f t="array" ref="J2593">IF(I2593:I6635="","",_xlfn.XLOOKUP(I2593:I6635,'参照_姫'!A:A,'参照_姫'!B:B,"見つかりません"))</f>
      </c>
      <c r="K2593" s="4">
        <v>95</v>
      </c>
      <c r="L2593" s="4">
        <v>0</v>
      </c>
      <c r="M2593" s="4"/>
      <c r="N2593" s="4" t="b">
        <v>1</v>
      </c>
      <c r="O2593" s="4"/>
      <c r="P2593" s="12" t="str">
        <f t="array" ref="P2593">IF(O2593:O6635="","",_xlfn.XLOOKUP(O2593:O6635,'参照_官位'!A:A,'参照_官位'!B:B,""))</f>
      </c>
      <c r="Q2593" s="12" t="str">
        <f t="array" ref="Q2593">IF(A2593:A6635="","",IFERROR(_xlfn.XLOOKUP(A2593:A6635,castles_state!K:K,castles_state!D:D)&amp;"主",IFERROR(_xlfn.XLOOKUP(A2593:A6635,kunishuClan!D:D,kunishuClan!B:B)&amp;"当主","")))</f>
      </c>
    </row>
    <row r="2594" ht="15.75" customHeight="1">
      <c r="A2594" s="4">
        <v>1069019</v>
      </c>
      <c r="B2594" s="12" t="str">
        <f t="array" ref="B2594">IF(A2594:A6636="","",_xlfn.XLOOKUP(A2594:A6636,'参照_武将'!A:A,'参照_武将'!B:B,"見つかりません"))</f>
      </c>
      <c r="C2594" s="4" t="s">
        <v>329</v>
      </c>
      <c r="D2594" s="4">
        <v>69</v>
      </c>
      <c r="E2594" s="12" t="str">
        <f t="array" ref="E2594">IF(D2594:D6636="","",IFERROR(_xlfn.XLOOKUP(D2594:D6636,'参照_勢力'!A:A,'参照_勢力'!B:B),IFERROR(_xlfn.XLOOKUP(F2594:F6636,kunishuClan!A:A,kunishuClan!B:B),"浪人")))</f>
      </c>
      <c r="F2594" s="4">
        <v>0</v>
      </c>
      <c r="G2594" s="4">
        <v>189</v>
      </c>
      <c r="H2594" s="12" t="str">
        <f t="array" ref="H2594">IF(G2594:G6636="","",_xlfn.XLOOKUP(G2594:G6636,castles_state!A:A,castles_state!D:D,"見つかりません"))</f>
      </c>
      <c r="I2594" s="4"/>
      <c r="J2594" s="12" t="str">
        <f t="array" ref="J2594">IF(I2594:I6636="","",_xlfn.XLOOKUP(I2594:I6636,'参照_姫'!A:A,'参照_姫'!B:B,"見つかりません"))</f>
      </c>
      <c r="K2594" s="4">
        <v>95</v>
      </c>
      <c r="L2594" s="4">
        <v>200</v>
      </c>
      <c r="M2594" s="4"/>
      <c r="N2594" s="4"/>
      <c r="O2594" s="4"/>
      <c r="P2594" s="12" t="str">
        <f t="array" ref="P2594">IF(O2594:O6636="","",_xlfn.XLOOKUP(O2594:O6636,'参照_官位'!A:A,'参照_官位'!B:B,""))</f>
      </c>
      <c r="Q2594" s="12" t="str">
        <f t="array" ref="Q2594">IF(A2594:A6636="","",IFERROR(_xlfn.XLOOKUP(A2594:A6636,castles_state!K:K,castles_state!D:D)&amp;"主",IFERROR(_xlfn.XLOOKUP(A2594:A6636,kunishuClan!D:D,kunishuClan!B:B)&amp;"当主","")))</f>
      </c>
    </row>
    <row r="2595" ht="15.75" customHeight="1">
      <c r="A2595" s="4">
        <v>1069020</v>
      </c>
      <c r="B2595" s="12" t="str">
        <f t="array" ref="B2595">IF(A2595:A6637="","",_xlfn.XLOOKUP(A2595:A6637,'参照_武将'!A:A,'参照_武将'!B:B,"見つかりません"))</f>
      </c>
      <c r="C2595" s="4" t="s">
        <v>329</v>
      </c>
      <c r="D2595" s="4">
        <v>69</v>
      </c>
      <c r="E2595" s="12" t="str">
        <f t="array" ref="E2595">IF(D2595:D6637="","",IFERROR(_xlfn.XLOOKUP(D2595:D6637,'参照_勢力'!A:A,'参照_勢力'!B:B),IFERROR(_xlfn.XLOOKUP(F2595:F6637,kunishuClan!A:A,kunishuClan!B:B),"浪人")))</f>
      </c>
      <c r="F2595" s="4">
        <v>0</v>
      </c>
      <c r="G2595" s="4">
        <v>189</v>
      </c>
      <c r="H2595" s="12" t="str">
        <f t="array" ref="H2595">IF(G2595:G6637="","",_xlfn.XLOOKUP(G2595:G6637,castles_state!A:A,castles_state!D:D,"見つかりません"))</f>
      </c>
      <c r="I2595" s="4"/>
      <c r="J2595" s="12" t="str">
        <f t="array" ref="J2595">IF(I2595:I6637="","",_xlfn.XLOOKUP(I2595:I6637,'参照_姫'!A:A,'参照_姫'!B:B,"見つかりません"))</f>
      </c>
      <c r="K2595" s="4">
        <v>95</v>
      </c>
      <c r="L2595" s="4">
        <v>0</v>
      </c>
      <c r="M2595" s="4"/>
      <c r="N2595" s="4"/>
      <c r="O2595" s="4"/>
      <c r="P2595" s="12" t="str">
        <f t="array" ref="P2595">IF(O2595:O6637="","",_xlfn.XLOOKUP(O2595:O6637,'参照_官位'!A:A,'参照_官位'!B:B,""))</f>
      </c>
      <c r="Q2595" s="12" t="str">
        <f t="array" ref="Q2595">IF(A2595:A6637="","",IFERROR(_xlfn.XLOOKUP(A2595:A6637,castles_state!K:K,castles_state!D:D)&amp;"主",IFERROR(_xlfn.XLOOKUP(A2595:A6637,kunishuClan!D:D,kunishuClan!B:B)&amp;"当主","")))</f>
      </c>
    </row>
    <row r="2596" ht="15.75" customHeight="1">
      <c r="A2596" s="4">
        <v>1069021</v>
      </c>
      <c r="B2596" s="12" t="str">
        <f t="array" ref="B2596">IF(A2596:A6638="","",_xlfn.XLOOKUP(A2596:A6638,'参照_武将'!A:A,'参照_武将'!B:B,"見つかりません"))</f>
      </c>
      <c r="C2596" s="4" t="s">
        <v>329</v>
      </c>
      <c r="D2596" s="4">
        <v>69</v>
      </c>
      <c r="E2596" s="12" t="str">
        <f t="array" ref="E2596">IF(D2596:D6638="","",IFERROR(_xlfn.XLOOKUP(D2596:D6638,'参照_勢力'!A:A,'参照_勢力'!B:B),IFERROR(_xlfn.XLOOKUP(F2596:F6638,kunishuClan!A:A,kunishuClan!B:B),"浪人")))</f>
      </c>
      <c r="F2596" s="4">
        <v>0</v>
      </c>
      <c r="G2596" s="4">
        <v>189</v>
      </c>
      <c r="H2596" s="12" t="str">
        <f t="array" ref="H2596">IF(G2596:G6638="","",_xlfn.XLOOKUP(G2596:G6638,castles_state!A:A,castles_state!D:D,"見つかりません"))</f>
      </c>
      <c r="I2596" s="4"/>
      <c r="J2596" s="12" t="str">
        <f t="array" ref="J2596">IF(I2596:I6638="","",_xlfn.XLOOKUP(I2596:I6638,'参照_姫'!A:A,'参照_姫'!B:B,"見つかりません"))</f>
      </c>
      <c r="K2596" s="4">
        <v>95</v>
      </c>
      <c r="L2596" s="4">
        <v>0</v>
      </c>
      <c r="M2596" s="4"/>
      <c r="N2596" s="4"/>
      <c r="O2596" s="4"/>
      <c r="P2596" s="12" t="str">
        <f t="array" ref="P2596">IF(O2596:O6638="","",_xlfn.XLOOKUP(O2596:O6638,'参照_官位'!A:A,'参照_官位'!B:B,""))</f>
      </c>
      <c r="Q2596" s="12" t="str">
        <f t="array" ref="Q2596">IF(A2596:A6638="","",IFERROR(_xlfn.XLOOKUP(A2596:A6638,castles_state!K:K,castles_state!D:D)&amp;"主",IFERROR(_xlfn.XLOOKUP(A2596:A6638,kunishuClan!D:D,kunishuClan!B:B)&amp;"当主","")))</f>
      </c>
    </row>
    <row r="2597" ht="15.75" customHeight="1">
      <c r="A2597" s="4">
        <v>1069022</v>
      </c>
      <c r="B2597" s="12" t="str">
        <f t="array" ref="B2597">IF(A2597:A6639="","",_xlfn.XLOOKUP(A2597:A6639,'参照_武将'!A:A,'参照_武将'!B:B,"見つかりません"))</f>
      </c>
      <c r="C2597" s="4" t="s">
        <v>329</v>
      </c>
      <c r="D2597" s="4">
        <v>69</v>
      </c>
      <c r="E2597" s="12" t="str">
        <f t="array" ref="E2597">IF(D2597:D6639="","",IFERROR(_xlfn.XLOOKUP(D2597:D6639,'参照_勢力'!A:A,'参照_勢力'!B:B),IFERROR(_xlfn.XLOOKUP(F2597:F6639,kunishuClan!A:A,kunishuClan!B:B),"浪人")))</f>
      </c>
      <c r="F2597" s="4">
        <v>0</v>
      </c>
      <c r="G2597" s="4">
        <v>189</v>
      </c>
      <c r="H2597" s="12" t="str">
        <f t="array" ref="H2597">IF(G2597:G6639="","",_xlfn.XLOOKUP(G2597:G6639,castles_state!A:A,castles_state!D:D,"見つかりません"))</f>
      </c>
      <c r="I2597" s="4"/>
      <c r="J2597" s="12" t="str">
        <f t="array" ref="J2597">IF(I2597:I6639="","",_xlfn.XLOOKUP(I2597:I6639,'参照_姫'!A:A,'参照_姫'!B:B,"見つかりません"))</f>
      </c>
      <c r="K2597" s="4">
        <v>95</v>
      </c>
      <c r="L2597" s="4">
        <v>0</v>
      </c>
      <c r="M2597" s="4"/>
      <c r="N2597" s="4"/>
      <c r="O2597" s="4"/>
      <c r="P2597" s="12" t="str">
        <f t="array" ref="P2597">IF(O2597:O6639="","",_xlfn.XLOOKUP(O2597:O6639,'参照_官位'!A:A,'参照_官位'!B:B,""))</f>
      </c>
      <c r="Q2597" s="12" t="str">
        <f t="array" ref="Q2597">IF(A2597:A6639="","",IFERROR(_xlfn.XLOOKUP(A2597:A6639,castles_state!K:K,castles_state!D:D)&amp;"主",IFERROR(_xlfn.XLOOKUP(A2597:A6639,kunishuClan!D:D,kunishuClan!B:B)&amp;"当主","")))</f>
      </c>
    </row>
    <row r="2598" ht="15.75" customHeight="1">
      <c r="A2598" s="4">
        <v>1070001</v>
      </c>
      <c r="B2598" s="12" t="str">
        <f t="array" ref="B2598">IF(A2598:A6640="","",_xlfn.XLOOKUP(A2598:A6640,'参照_武将'!A:A,'参照_武将'!B:B,"見つかりません"))</f>
      </c>
      <c r="C2598" s="4" t="s">
        <v>334</v>
      </c>
      <c r="D2598" s="4">
        <v>70</v>
      </c>
      <c r="E2598" s="12" t="str">
        <f t="array" ref="E2598">IF(D2598:D6640="","",IFERROR(_xlfn.XLOOKUP(D2598:D6640,'参照_勢力'!A:A,'参照_勢力'!B:B),IFERROR(_xlfn.XLOOKUP(F2598:F6640,kunishuClan!A:A,kunishuClan!B:B),"浪人")))</f>
      </c>
      <c r="F2598" s="4">
        <v>0</v>
      </c>
      <c r="G2598" s="4">
        <v>200</v>
      </c>
      <c r="H2598" s="12" t="str">
        <f t="array" ref="H2598">IF(G2598:G6640="","",_xlfn.XLOOKUP(G2598:G6640,castles_state!A:A,castles_state!D:D,"見つかりません"))</f>
      </c>
      <c r="I2598" s="4"/>
      <c r="J2598" s="12" t="str">
        <f t="array" ref="J2598">IF(I2598:I6640="","",_xlfn.XLOOKUP(I2598:I6640,'参照_姫'!A:A,'参照_姫'!B:B,"見つかりません"))</f>
      </c>
      <c r="K2598" s="4">
        <v>95</v>
      </c>
      <c r="L2598" s="4">
        <v>0</v>
      </c>
      <c r="M2598" s="4"/>
      <c r="N2598" s="4"/>
      <c r="O2598" s="4"/>
      <c r="P2598" s="12" t="str">
        <f t="array" ref="P2598">IF(O2598:O6640="","",_xlfn.XLOOKUP(O2598:O6640,'参照_官位'!A:A,'参照_官位'!B:B,""))</f>
      </c>
      <c r="Q2598" s="12" t="str">
        <f t="array" ref="Q2598">IF(A2598:A6640="","",IFERROR(_xlfn.XLOOKUP(A2598:A6640,castles_state!K:K,castles_state!D:D)&amp;"主",IFERROR(_xlfn.XLOOKUP(A2598:A6640,kunishuClan!D:D,kunishuClan!B:B)&amp;"当主","")))</f>
      </c>
    </row>
    <row r="2599" ht="15.75" customHeight="1">
      <c r="A2599" s="4">
        <v>1070002</v>
      </c>
      <c r="B2599" s="12" t="str">
        <f t="array" ref="B2599">IF(A2599:A6641="","",_xlfn.XLOOKUP(A2599:A6641,'参照_武将'!A:A,'参照_武将'!B:B,"見つかりません"))</f>
      </c>
      <c r="C2599" s="4" t="s">
        <v>334</v>
      </c>
      <c r="D2599" s="4">
        <v>70</v>
      </c>
      <c r="E2599" s="12" t="str">
        <f t="array" ref="E2599">IF(D2599:D6641="","",IFERROR(_xlfn.XLOOKUP(D2599:D6641,'参照_勢力'!A:A,'参照_勢力'!B:B),IFERROR(_xlfn.XLOOKUP(F2599:F6641,kunishuClan!A:A,kunishuClan!B:B),"浪人")))</f>
      </c>
      <c r="F2599" s="4">
        <v>0</v>
      </c>
      <c r="G2599" s="4">
        <v>200</v>
      </c>
      <c r="H2599" s="12" t="str">
        <f t="array" ref="H2599">IF(G2599:G6641="","",_xlfn.XLOOKUP(G2599:G6641,castles_state!A:A,castles_state!D:D,"見つかりません"))</f>
      </c>
      <c r="I2599" s="4"/>
      <c r="J2599" s="12" t="str">
        <f t="array" ref="J2599">IF(I2599:I6641="","",_xlfn.XLOOKUP(I2599:I6641,'参照_姫'!A:A,'参照_姫'!B:B,"見つかりません"))</f>
      </c>
      <c r="K2599" s="4">
        <v>95</v>
      </c>
      <c r="L2599" s="4">
        <v>0</v>
      </c>
      <c r="M2599" s="4"/>
      <c r="N2599" s="4"/>
      <c r="O2599" s="4"/>
      <c r="P2599" s="12" t="str">
        <f t="array" ref="P2599">IF(O2599:O6641="","",_xlfn.XLOOKUP(O2599:O6641,'参照_官位'!A:A,'参照_官位'!B:B,""))</f>
      </c>
      <c r="Q2599" s="12" t="str">
        <f t="array" ref="Q2599">IF(A2599:A6641="","",IFERROR(_xlfn.XLOOKUP(A2599:A6641,castles_state!K:K,castles_state!D:D)&amp;"主",IFERROR(_xlfn.XLOOKUP(A2599:A6641,kunishuClan!D:D,kunishuClan!B:B)&amp;"当主","")))</f>
      </c>
    </row>
    <row r="2600" ht="15.75" customHeight="1">
      <c r="A2600" s="4">
        <v>1070003</v>
      </c>
      <c r="B2600" s="12" t="str">
        <f t="array" ref="B2600">IF(A2600:A6642="","",_xlfn.XLOOKUP(A2600:A6642,'参照_武将'!A:A,'参照_武将'!B:B,"見つかりません"))</f>
      </c>
      <c r="C2600" s="4" t="s">
        <v>334</v>
      </c>
      <c r="D2600" s="4">
        <v>70</v>
      </c>
      <c r="E2600" s="12" t="str">
        <f t="array" ref="E2600">IF(D2600:D6642="","",IFERROR(_xlfn.XLOOKUP(D2600:D6642,'参照_勢力'!A:A,'参照_勢力'!B:B),IFERROR(_xlfn.XLOOKUP(F2600:F6642,kunishuClan!A:A,kunishuClan!B:B),"浪人")))</f>
      </c>
      <c r="F2600" s="4">
        <v>0</v>
      </c>
      <c r="G2600" s="4">
        <v>200</v>
      </c>
      <c r="H2600" s="12" t="str">
        <f t="array" ref="H2600">IF(G2600:G6642="","",_xlfn.XLOOKUP(G2600:G6642,castles_state!A:A,castles_state!D:D,"見つかりません"))</f>
      </c>
      <c r="I2600" s="4"/>
      <c r="J2600" s="12" t="str">
        <f t="array" ref="J2600">IF(I2600:I6642="","",_xlfn.XLOOKUP(I2600:I6642,'参照_姫'!A:A,'参照_姫'!B:B,"見つかりません"))</f>
      </c>
      <c r="K2600" s="4">
        <v>95</v>
      </c>
      <c r="L2600" s="4">
        <v>0</v>
      </c>
      <c r="M2600" s="4"/>
      <c r="N2600" s="4"/>
      <c r="O2600" s="4"/>
      <c r="P2600" s="12" t="str">
        <f t="array" ref="P2600">IF(O2600:O6642="","",_xlfn.XLOOKUP(O2600:O6642,'参照_官位'!A:A,'参照_官位'!B:B,""))</f>
      </c>
      <c r="Q2600" s="12" t="str">
        <f t="array" ref="Q2600">IF(A2600:A6642="","",IFERROR(_xlfn.XLOOKUP(A2600:A6642,castles_state!K:K,castles_state!D:D)&amp;"主",IFERROR(_xlfn.XLOOKUP(A2600:A6642,kunishuClan!D:D,kunishuClan!B:B)&amp;"当主","")))</f>
      </c>
    </row>
    <row r="2601" ht="15.75" customHeight="1">
      <c r="A2601" s="4">
        <v>1070004</v>
      </c>
      <c r="B2601" s="12" t="str">
        <f t="array" ref="B2601">IF(A2601:A6643="","",_xlfn.XLOOKUP(A2601:A6643,'参照_武将'!A:A,'参照_武将'!B:B,"見つかりません"))</f>
      </c>
      <c r="C2601" s="4" t="s">
        <v>334</v>
      </c>
      <c r="D2601" s="4">
        <v>70</v>
      </c>
      <c r="E2601" s="12" t="str">
        <f t="array" ref="E2601">IF(D2601:D6643="","",IFERROR(_xlfn.XLOOKUP(D2601:D6643,'参照_勢力'!A:A,'参照_勢力'!B:B),IFERROR(_xlfn.XLOOKUP(F2601:F6643,kunishuClan!A:A,kunishuClan!B:B),"浪人")))</f>
      </c>
      <c r="F2601" s="4">
        <v>0</v>
      </c>
      <c r="G2601" s="4">
        <v>200</v>
      </c>
      <c r="H2601" s="12" t="str">
        <f t="array" ref="H2601">IF(G2601:G6643="","",_xlfn.XLOOKUP(G2601:G6643,castles_state!A:A,castles_state!D:D,"見つかりません"))</f>
      </c>
      <c r="I2601" s="4"/>
      <c r="J2601" s="12" t="str">
        <f t="array" ref="J2601">IF(I2601:I6643="","",_xlfn.XLOOKUP(I2601:I6643,'参照_姫'!A:A,'参照_姫'!B:B,"見つかりません"))</f>
      </c>
      <c r="K2601" s="4">
        <v>95</v>
      </c>
      <c r="L2601" s="4">
        <v>0</v>
      </c>
      <c r="M2601" s="4"/>
      <c r="N2601" s="4"/>
      <c r="O2601" s="4"/>
      <c r="P2601" s="12" t="str">
        <f t="array" ref="P2601">IF(O2601:O6643="","",_xlfn.XLOOKUP(O2601:O6643,'参照_官位'!A:A,'参照_官位'!B:B,""))</f>
      </c>
      <c r="Q2601" s="12" t="str">
        <f t="array" ref="Q2601">IF(A2601:A6643="","",IFERROR(_xlfn.XLOOKUP(A2601:A6643,castles_state!K:K,castles_state!D:D)&amp;"主",IFERROR(_xlfn.XLOOKUP(A2601:A6643,kunishuClan!D:D,kunishuClan!B:B)&amp;"当主","")))</f>
      </c>
    </row>
    <row r="2602" ht="15.75" customHeight="1">
      <c r="A2602" s="4">
        <v>1070005</v>
      </c>
      <c r="B2602" s="12" t="str">
        <f t="array" ref="B2602">IF(A2602:A6644="","",_xlfn.XLOOKUP(A2602:A6644,'参照_武将'!A:A,'参照_武将'!B:B,"見つかりません"))</f>
      </c>
      <c r="C2602" s="4" t="s">
        <v>334</v>
      </c>
      <c r="D2602" s="4">
        <v>70</v>
      </c>
      <c r="E2602" s="12" t="str">
        <f t="array" ref="E2602">IF(D2602:D6644="","",IFERROR(_xlfn.XLOOKUP(D2602:D6644,'参照_勢力'!A:A,'参照_勢力'!B:B),IFERROR(_xlfn.XLOOKUP(F2602:F6644,kunishuClan!A:A,kunishuClan!B:B),"浪人")))</f>
      </c>
      <c r="F2602" s="4">
        <v>0</v>
      </c>
      <c r="G2602" s="4">
        <v>200</v>
      </c>
      <c r="H2602" s="12" t="str">
        <f t="array" ref="H2602">IF(G2602:G6644="","",_xlfn.XLOOKUP(G2602:G6644,castles_state!A:A,castles_state!D:D,"見つかりません"))</f>
      </c>
      <c r="I2602" s="4"/>
      <c r="J2602" s="12" t="str">
        <f t="array" ref="J2602">IF(I2602:I6644="","",_xlfn.XLOOKUP(I2602:I6644,'参照_姫'!A:A,'参照_姫'!B:B,"見つかりません"))</f>
      </c>
      <c r="K2602" s="4">
        <v>95</v>
      </c>
      <c r="L2602" s="4">
        <v>0</v>
      </c>
      <c r="M2602" s="4"/>
      <c r="N2602" s="4"/>
      <c r="O2602" s="4"/>
      <c r="P2602" s="12" t="str">
        <f t="array" ref="P2602">IF(O2602:O6644="","",_xlfn.XLOOKUP(O2602:O6644,'参照_官位'!A:A,'参照_官位'!B:B,""))</f>
      </c>
      <c r="Q2602" s="12" t="str">
        <f t="array" ref="Q2602">IF(A2602:A6644="","",IFERROR(_xlfn.XLOOKUP(A2602:A6644,castles_state!K:K,castles_state!D:D)&amp;"主",IFERROR(_xlfn.XLOOKUP(A2602:A6644,kunishuClan!D:D,kunishuClan!B:B)&amp;"当主","")))</f>
      </c>
    </row>
    <row r="2603" ht="15.75" customHeight="1">
      <c r="A2603" s="4">
        <v>1070006</v>
      </c>
      <c r="B2603" s="12" t="str">
        <f t="array" ref="B2603">IF(A2603:A6645="","",_xlfn.XLOOKUP(A2603:A6645,'参照_武将'!A:A,'参照_武将'!B:B,"見つかりません"))</f>
      </c>
      <c r="C2603" s="4" t="s">
        <v>334</v>
      </c>
      <c r="D2603" s="4">
        <v>70</v>
      </c>
      <c r="E2603" s="12" t="str">
        <f t="array" ref="E2603">IF(D2603:D6645="","",IFERROR(_xlfn.XLOOKUP(D2603:D6645,'参照_勢力'!A:A,'参照_勢力'!B:B),IFERROR(_xlfn.XLOOKUP(F2603:F6645,kunishuClan!A:A,kunishuClan!B:B),"浪人")))</f>
      </c>
      <c r="F2603" s="4">
        <v>0</v>
      </c>
      <c r="G2603" s="4">
        <v>200</v>
      </c>
      <c r="H2603" s="12" t="str">
        <f t="array" ref="H2603">IF(G2603:G6645="","",_xlfn.XLOOKUP(G2603:G6645,castles_state!A:A,castles_state!D:D,"見つかりません"))</f>
      </c>
      <c r="I2603" s="4"/>
      <c r="J2603" s="12" t="str">
        <f t="array" ref="J2603">IF(I2603:I6645="","",_xlfn.XLOOKUP(I2603:I6645,'参照_姫'!A:A,'参照_姫'!B:B,"見つかりません"))</f>
      </c>
      <c r="K2603" s="4">
        <v>95</v>
      </c>
      <c r="L2603" s="4">
        <v>0</v>
      </c>
      <c r="M2603" s="4"/>
      <c r="N2603" s="4"/>
      <c r="O2603" s="4"/>
      <c r="P2603" s="12" t="str">
        <f t="array" ref="P2603">IF(O2603:O6645="","",_xlfn.XLOOKUP(O2603:O6645,'参照_官位'!A:A,'参照_官位'!B:B,""))</f>
      </c>
      <c r="Q2603" s="12" t="str">
        <f t="array" ref="Q2603">IF(A2603:A6645="","",IFERROR(_xlfn.XLOOKUP(A2603:A6645,castles_state!K:K,castles_state!D:D)&amp;"主",IFERROR(_xlfn.XLOOKUP(A2603:A6645,kunishuClan!D:D,kunishuClan!B:B)&amp;"当主","")))</f>
      </c>
    </row>
    <row r="2604" ht="15.75" customHeight="1">
      <c r="A2604" s="4">
        <v>1070007</v>
      </c>
      <c r="B2604" s="12" t="str">
        <f t="array" ref="B2604">IF(A2604:A6646="","",_xlfn.XLOOKUP(A2604:A6646,'参照_武将'!A:A,'参照_武将'!B:B,"見つかりません"))</f>
      </c>
      <c r="C2604" s="4" t="s">
        <v>334</v>
      </c>
      <c r="D2604" s="4">
        <v>70</v>
      </c>
      <c r="E2604" s="12" t="str">
        <f t="array" ref="E2604">IF(D2604:D6646="","",IFERROR(_xlfn.XLOOKUP(D2604:D6646,'参照_勢力'!A:A,'参照_勢力'!B:B),IFERROR(_xlfn.XLOOKUP(F2604:F6646,kunishuClan!A:A,kunishuClan!B:B),"浪人")))</f>
      </c>
      <c r="F2604" s="4">
        <v>0</v>
      </c>
      <c r="G2604" s="4">
        <v>200</v>
      </c>
      <c r="H2604" s="12" t="str">
        <f t="array" ref="H2604">IF(G2604:G6646="","",_xlfn.XLOOKUP(G2604:G6646,castles_state!A:A,castles_state!D:D,"見つかりません"))</f>
      </c>
      <c r="I2604" s="4"/>
      <c r="J2604" s="12" t="str">
        <f t="array" ref="J2604">IF(I2604:I6646="","",_xlfn.XLOOKUP(I2604:I6646,'参照_姫'!A:A,'参照_姫'!B:B,"見つかりません"))</f>
      </c>
      <c r="K2604" s="4">
        <v>95</v>
      </c>
      <c r="L2604" s="4">
        <v>200</v>
      </c>
      <c r="M2604" s="4"/>
      <c r="N2604" s="4" t="b">
        <v>1</v>
      </c>
      <c r="O2604" s="4"/>
      <c r="P2604" s="12" t="str">
        <f t="array" ref="P2604">IF(O2604:O6646="","",_xlfn.XLOOKUP(O2604:O6646,'参照_官位'!A:A,'参照_官位'!B:B,""))</f>
      </c>
      <c r="Q2604" s="12" t="str">
        <f t="array" ref="Q2604">IF(A2604:A6646="","",IFERROR(_xlfn.XLOOKUP(A2604:A6646,castles_state!K:K,castles_state!D:D)&amp;"主",IFERROR(_xlfn.XLOOKUP(A2604:A6646,kunishuClan!D:D,kunishuClan!B:B)&amp;"当主","")))</f>
      </c>
    </row>
    <row r="2605" ht="15.75" customHeight="1">
      <c r="A2605" s="4">
        <v>1070008</v>
      </c>
      <c r="B2605" s="12" t="str">
        <f t="array" ref="B2605">IF(A2605:A6647="","",_xlfn.XLOOKUP(A2605:A6647,'参照_武将'!A:A,'参照_武将'!B:B,"見つかりません"))</f>
      </c>
      <c r="C2605" s="4" t="s">
        <v>334</v>
      </c>
      <c r="D2605" s="4">
        <v>70</v>
      </c>
      <c r="E2605" s="12" t="str">
        <f t="array" ref="E2605">IF(D2605:D6647="","",IFERROR(_xlfn.XLOOKUP(D2605:D6647,'参照_勢力'!A:A,'参照_勢力'!B:B),IFERROR(_xlfn.XLOOKUP(F2605:F6647,kunishuClan!A:A,kunishuClan!B:B),"浪人")))</f>
      </c>
      <c r="F2605" s="4">
        <v>0</v>
      </c>
      <c r="G2605" s="4">
        <v>200</v>
      </c>
      <c r="H2605" s="12" t="str">
        <f t="array" ref="H2605">IF(G2605:G6647="","",_xlfn.XLOOKUP(G2605:G6647,castles_state!A:A,castles_state!D:D,"見つかりません"))</f>
      </c>
      <c r="I2605" s="4"/>
      <c r="J2605" s="12" t="str">
        <f t="array" ref="J2605">IF(I2605:I6647="","",_xlfn.XLOOKUP(I2605:I6647,'参照_姫'!A:A,'参照_姫'!B:B,"見つかりません"))</f>
      </c>
      <c r="K2605" s="4">
        <v>100</v>
      </c>
      <c r="L2605" s="4">
        <v>1000</v>
      </c>
      <c r="M2605" s="4"/>
      <c r="N2605" s="4"/>
      <c r="O2605" s="4"/>
      <c r="P2605" s="12" t="str">
        <f t="array" ref="P2605">IF(O2605:O6647="","",_xlfn.XLOOKUP(O2605:O6647,'参照_官位'!A:A,'参照_官位'!B:B,""))</f>
      </c>
      <c r="Q2605" s="12" t="str">
        <f t="array" ref="Q2605">IF(A2605:A6647="","",IFERROR(_xlfn.XLOOKUP(A2605:A6647,castles_state!K:K,castles_state!D:D)&amp;"主",IFERROR(_xlfn.XLOOKUP(A2605:A6647,kunishuClan!D:D,kunishuClan!B:B)&amp;"当主","")))</f>
      </c>
    </row>
    <row r="2606" ht="15.75" customHeight="1">
      <c r="A2606" s="4">
        <v>1070009</v>
      </c>
      <c r="B2606" s="12" t="str">
        <f t="array" ref="B2606">IF(A2606:A6648="","",_xlfn.XLOOKUP(A2606:A6648,'参照_武将'!A:A,'参照_武将'!B:B,"見つかりません"))</f>
      </c>
      <c r="C2606" s="4" t="s">
        <v>334</v>
      </c>
      <c r="D2606" s="4">
        <v>70</v>
      </c>
      <c r="E2606" s="12" t="str">
        <f t="array" ref="E2606">IF(D2606:D6648="","",IFERROR(_xlfn.XLOOKUP(D2606:D6648,'参照_勢力'!A:A,'参照_勢力'!B:B),IFERROR(_xlfn.XLOOKUP(F2606:F6648,kunishuClan!A:A,kunishuClan!B:B),"浪人")))</f>
      </c>
      <c r="F2606" s="4">
        <v>0</v>
      </c>
      <c r="G2606" s="4">
        <v>200</v>
      </c>
      <c r="H2606" s="12" t="str">
        <f t="array" ref="H2606">IF(G2606:G6648="","",_xlfn.XLOOKUP(G2606:G6648,castles_state!A:A,castles_state!D:D,"見つかりません"))</f>
      </c>
      <c r="I2606" s="4"/>
      <c r="J2606" s="12" t="str">
        <f t="array" ref="J2606">IF(I2606:I6648="","",_xlfn.XLOOKUP(I2606:I6648,'参照_姫'!A:A,'参照_姫'!B:B,"見つかりません"))</f>
      </c>
      <c r="K2606" s="4">
        <v>95</v>
      </c>
      <c r="L2606" s="4">
        <v>500</v>
      </c>
      <c r="M2606" s="4"/>
      <c r="N2606" s="4"/>
      <c r="O2606" s="4"/>
      <c r="P2606" s="12" t="str">
        <f t="array" ref="P2606">IF(O2606:O6648="","",_xlfn.XLOOKUP(O2606:O6648,'参照_官位'!A:A,'参照_官位'!B:B,""))</f>
      </c>
      <c r="Q2606" s="12" t="str">
        <f t="array" ref="Q2606">IF(A2606:A6648="","",IFERROR(_xlfn.XLOOKUP(A2606:A6648,castles_state!K:K,castles_state!D:D)&amp;"主",IFERROR(_xlfn.XLOOKUP(A2606:A6648,kunishuClan!D:D,kunishuClan!B:B)&amp;"当主","")))</f>
      </c>
    </row>
    <row r="2607" ht="15.75" customHeight="1">
      <c r="A2607" s="4">
        <v>1070010</v>
      </c>
      <c r="B2607" s="12" t="str">
        <f t="array" ref="B2607">IF(A2607:A6649="","",_xlfn.XLOOKUP(A2607:A6649,'参照_武将'!A:A,'参照_武将'!B:B,"見つかりません"))</f>
      </c>
      <c r="C2607" s="4" t="s">
        <v>334</v>
      </c>
      <c r="D2607" s="4">
        <v>70</v>
      </c>
      <c r="E2607" s="12" t="str">
        <f t="array" ref="E2607">IF(D2607:D6649="","",IFERROR(_xlfn.XLOOKUP(D2607:D6649,'参照_勢力'!A:A,'参照_勢力'!B:B),IFERROR(_xlfn.XLOOKUP(F2607:F6649,kunishuClan!A:A,kunishuClan!B:B),"浪人")))</f>
      </c>
      <c r="F2607" s="4">
        <v>0</v>
      </c>
      <c r="G2607" s="4">
        <v>200</v>
      </c>
      <c r="H2607" s="12" t="str">
        <f t="array" ref="H2607">IF(G2607:G6649="","",_xlfn.XLOOKUP(G2607:G6649,castles_state!A:A,castles_state!D:D,"見つかりません"))</f>
      </c>
      <c r="I2607" s="4"/>
      <c r="J2607" s="12" t="str">
        <f t="array" ref="J2607">IF(I2607:I6649="","",_xlfn.XLOOKUP(I2607:I6649,'参照_姫'!A:A,'参照_姫'!B:B,"見つかりません"))</f>
      </c>
      <c r="K2607" s="4">
        <v>95</v>
      </c>
      <c r="L2607" s="4">
        <v>0</v>
      </c>
      <c r="M2607" s="4"/>
      <c r="N2607" s="4"/>
      <c r="O2607" s="4"/>
      <c r="P2607" s="12" t="str">
        <f t="array" ref="P2607">IF(O2607:O6649="","",_xlfn.XLOOKUP(O2607:O6649,'参照_官位'!A:A,'参照_官位'!B:B,""))</f>
      </c>
      <c r="Q2607" s="12" t="str">
        <f t="array" ref="Q2607">IF(A2607:A6649="","",IFERROR(_xlfn.XLOOKUP(A2607:A6649,castles_state!K:K,castles_state!D:D)&amp;"主",IFERROR(_xlfn.XLOOKUP(A2607:A6649,kunishuClan!D:D,kunishuClan!B:B)&amp;"当主","")))</f>
      </c>
    </row>
    <row r="2608" ht="15.75" customHeight="1">
      <c r="A2608" s="4">
        <v>1070011</v>
      </c>
      <c r="B2608" s="12" t="str">
        <f t="array" ref="B2608">IF(A2608:A6650="","",_xlfn.XLOOKUP(A2608:A6650,'参照_武将'!A:A,'参照_武将'!B:B,"見つかりません"))</f>
      </c>
      <c r="C2608" s="4" t="s">
        <v>334</v>
      </c>
      <c r="D2608" s="4">
        <v>70</v>
      </c>
      <c r="E2608" s="12" t="str">
        <f t="array" ref="E2608">IF(D2608:D6650="","",IFERROR(_xlfn.XLOOKUP(D2608:D6650,'参照_勢力'!A:A,'参照_勢力'!B:B),IFERROR(_xlfn.XLOOKUP(F2608:F6650,kunishuClan!A:A,kunishuClan!B:B),"浪人")))</f>
      </c>
      <c r="F2608" s="4">
        <v>0</v>
      </c>
      <c r="G2608" s="4">
        <v>200</v>
      </c>
      <c r="H2608" s="12" t="str">
        <f t="array" ref="H2608">IF(G2608:G6650="","",_xlfn.XLOOKUP(G2608:G6650,castles_state!A:A,castles_state!D:D,"見つかりません"))</f>
      </c>
      <c r="I2608" s="4"/>
      <c r="J2608" s="12" t="str">
        <f t="array" ref="J2608">IF(I2608:I6650="","",_xlfn.XLOOKUP(I2608:I6650,'参照_姫'!A:A,'参照_姫'!B:B,"見つかりません"))</f>
      </c>
      <c r="K2608" s="4">
        <v>95</v>
      </c>
      <c r="L2608" s="4">
        <v>500</v>
      </c>
      <c r="M2608" s="4"/>
      <c r="N2608" s="4"/>
      <c r="O2608" s="4"/>
      <c r="P2608" s="12" t="str">
        <f t="array" ref="P2608">IF(O2608:O6650="","",_xlfn.XLOOKUP(O2608:O6650,'参照_官位'!A:A,'参照_官位'!B:B,""))</f>
      </c>
      <c r="Q2608" s="12" t="str">
        <f t="array" ref="Q2608">IF(A2608:A6650="","",IFERROR(_xlfn.XLOOKUP(A2608:A6650,castles_state!K:K,castles_state!D:D)&amp;"主",IFERROR(_xlfn.XLOOKUP(A2608:A6650,kunishuClan!D:D,kunishuClan!B:B)&amp;"当主","")))</f>
      </c>
    </row>
    <row r="2609" ht="15.75" customHeight="1">
      <c r="A2609" s="4">
        <v>1070012</v>
      </c>
      <c r="B2609" s="12" t="str">
        <f t="array" ref="B2609">IF(A2609:A6651="","",_xlfn.XLOOKUP(A2609:A6651,'参照_武将'!A:A,'参照_武将'!B:B,"見つかりません"))</f>
      </c>
      <c r="C2609" s="4" t="s">
        <v>334</v>
      </c>
      <c r="D2609" s="4">
        <v>70</v>
      </c>
      <c r="E2609" s="12" t="str">
        <f t="array" ref="E2609">IF(D2609:D6651="","",IFERROR(_xlfn.XLOOKUP(D2609:D6651,'参照_勢力'!A:A,'参照_勢力'!B:B),IFERROR(_xlfn.XLOOKUP(F2609:F6651,kunishuClan!A:A,kunishuClan!B:B),"浪人")))</f>
      </c>
      <c r="F2609" s="4">
        <v>0</v>
      </c>
      <c r="G2609" s="4">
        <v>200</v>
      </c>
      <c r="H2609" s="12" t="str">
        <f t="array" ref="H2609">IF(G2609:G6651="","",_xlfn.XLOOKUP(G2609:G6651,castles_state!A:A,castles_state!D:D,"見つかりません"))</f>
      </c>
      <c r="I2609" s="4"/>
      <c r="J2609" s="12" t="str">
        <f t="array" ref="J2609">IF(I2609:I6651="","",_xlfn.XLOOKUP(I2609:I6651,'参照_姫'!A:A,'参照_姫'!B:B,"見つかりません"))</f>
      </c>
      <c r="K2609" s="4">
        <v>95</v>
      </c>
      <c r="L2609" s="4">
        <v>300</v>
      </c>
      <c r="M2609" s="4"/>
      <c r="N2609" s="4"/>
      <c r="O2609" s="4"/>
      <c r="P2609" s="12" t="str">
        <f t="array" ref="P2609">IF(O2609:O6651="","",_xlfn.XLOOKUP(O2609:O6651,'参照_官位'!A:A,'参照_官位'!B:B,""))</f>
      </c>
      <c r="Q2609" s="12" t="str">
        <f t="array" ref="Q2609">IF(A2609:A6651="","",IFERROR(_xlfn.XLOOKUP(A2609:A6651,castles_state!K:K,castles_state!D:D)&amp;"主",IFERROR(_xlfn.XLOOKUP(A2609:A6651,kunishuClan!D:D,kunishuClan!B:B)&amp;"当主","")))</f>
      </c>
    </row>
    <row r="2610" ht="15.75" customHeight="1">
      <c r="A2610" s="4">
        <v>1070013</v>
      </c>
      <c r="B2610" s="12" t="str">
        <f t="array" ref="B2610">IF(A2610:A6652="","",_xlfn.XLOOKUP(A2610:A6652,'参照_武将'!A:A,'参照_武将'!B:B,"見つかりません"))</f>
      </c>
      <c r="C2610" s="4" t="s">
        <v>334</v>
      </c>
      <c r="D2610" s="4">
        <v>70</v>
      </c>
      <c r="E2610" s="12" t="str">
        <f t="array" ref="E2610">IF(D2610:D6652="","",IFERROR(_xlfn.XLOOKUP(D2610:D6652,'参照_勢力'!A:A,'参照_勢力'!B:B),IFERROR(_xlfn.XLOOKUP(F2610:F6652,kunishuClan!A:A,kunishuClan!B:B),"浪人")))</f>
      </c>
      <c r="F2610" s="4">
        <v>0</v>
      </c>
      <c r="G2610" s="4">
        <v>200</v>
      </c>
      <c r="H2610" s="12" t="str">
        <f t="array" ref="H2610">IF(G2610:G6652="","",_xlfn.XLOOKUP(G2610:G6652,castles_state!A:A,castles_state!D:D,"見つかりません"))</f>
      </c>
      <c r="I2610" s="4"/>
      <c r="J2610" s="12" t="str">
        <f t="array" ref="J2610">IF(I2610:I6652="","",_xlfn.XLOOKUP(I2610:I6652,'参照_姫'!A:A,'参照_姫'!B:B,"見つかりません"))</f>
      </c>
      <c r="K2610" s="4">
        <v>95</v>
      </c>
      <c r="L2610" s="4">
        <v>200</v>
      </c>
      <c r="M2610" s="4"/>
      <c r="N2610" s="4"/>
      <c r="O2610" s="4"/>
      <c r="P2610" s="12" t="str">
        <f t="array" ref="P2610">IF(O2610:O6652="","",_xlfn.XLOOKUP(O2610:O6652,'参照_官位'!A:A,'参照_官位'!B:B,""))</f>
      </c>
      <c r="Q2610" s="12" t="str">
        <f t="array" ref="Q2610">IF(A2610:A6652="","",IFERROR(_xlfn.XLOOKUP(A2610:A6652,castles_state!K:K,castles_state!D:D)&amp;"主",IFERROR(_xlfn.XLOOKUP(A2610:A6652,kunishuClan!D:D,kunishuClan!B:B)&amp;"当主","")))</f>
      </c>
    </row>
    <row r="2611" ht="15.75" customHeight="1">
      <c r="A2611" s="4">
        <v>1070014</v>
      </c>
      <c r="B2611" s="12" t="str">
        <f t="array" ref="B2611">IF(A2611:A6653="","",_xlfn.XLOOKUP(A2611:A6653,'参照_武将'!A:A,'参照_武将'!B:B,"見つかりません"))</f>
      </c>
      <c r="C2611" s="4" t="s">
        <v>334</v>
      </c>
      <c r="D2611" s="4">
        <v>70</v>
      </c>
      <c r="E2611" s="12" t="str">
        <f t="array" ref="E2611">IF(D2611:D6653="","",IFERROR(_xlfn.XLOOKUP(D2611:D6653,'参照_勢力'!A:A,'参照_勢力'!B:B),IFERROR(_xlfn.XLOOKUP(F2611:F6653,kunishuClan!A:A,kunishuClan!B:B),"浪人")))</f>
      </c>
      <c r="F2611" s="4">
        <v>0</v>
      </c>
      <c r="G2611" s="4">
        <v>200</v>
      </c>
      <c r="H2611" s="12" t="str">
        <f t="array" ref="H2611">IF(G2611:G6653="","",_xlfn.XLOOKUP(G2611:G6653,castles_state!A:A,castles_state!D:D,"見つかりません"))</f>
      </c>
      <c r="I2611" s="4"/>
      <c r="J2611" s="12" t="str">
        <f t="array" ref="J2611">IF(I2611:I6653="","",_xlfn.XLOOKUP(I2611:I6653,'参照_姫'!A:A,'参照_姫'!B:B,"見つかりません"))</f>
      </c>
      <c r="K2611" s="4">
        <v>90</v>
      </c>
      <c r="L2611" s="4">
        <v>0</v>
      </c>
      <c r="M2611" s="4"/>
      <c r="N2611" s="4"/>
      <c r="O2611" s="4"/>
      <c r="P2611" s="12" t="str">
        <f t="array" ref="P2611">IF(O2611:O6653="","",_xlfn.XLOOKUP(O2611:O6653,'参照_官位'!A:A,'参照_官位'!B:B,""))</f>
      </c>
      <c r="Q2611" s="12" t="str">
        <f t="array" ref="Q2611">IF(A2611:A6653="","",IFERROR(_xlfn.XLOOKUP(A2611:A6653,castles_state!K:K,castles_state!D:D)&amp;"主",IFERROR(_xlfn.XLOOKUP(A2611:A6653,kunishuClan!D:D,kunishuClan!B:B)&amp;"当主","")))</f>
      </c>
    </row>
    <row r="2612" ht="15.75" customHeight="1">
      <c r="A2612" s="4">
        <v>1070015</v>
      </c>
      <c r="B2612" s="12" t="str">
        <f t="array" ref="B2612">IF(A2612:A6654="","",_xlfn.XLOOKUP(A2612:A6654,'参照_武将'!A:A,'参照_武将'!B:B,"見つかりません"))</f>
      </c>
      <c r="C2612" s="4" t="s">
        <v>334</v>
      </c>
      <c r="D2612" s="4">
        <v>70</v>
      </c>
      <c r="E2612" s="12" t="str">
        <f t="array" ref="E2612">IF(D2612:D6654="","",IFERROR(_xlfn.XLOOKUP(D2612:D6654,'参照_勢力'!A:A,'参照_勢力'!B:B),IFERROR(_xlfn.XLOOKUP(F2612:F6654,kunishuClan!A:A,kunishuClan!B:B),"浪人")))</f>
      </c>
      <c r="F2612" s="4">
        <v>0</v>
      </c>
      <c r="G2612" s="4">
        <v>200</v>
      </c>
      <c r="H2612" s="12" t="str">
        <f t="array" ref="H2612">IF(G2612:G6654="","",_xlfn.XLOOKUP(G2612:G6654,castles_state!A:A,castles_state!D:D,"見つかりません"))</f>
      </c>
      <c r="I2612" s="4"/>
      <c r="J2612" s="12" t="str">
        <f t="array" ref="J2612">IF(I2612:I6654="","",_xlfn.XLOOKUP(I2612:I6654,'参照_姫'!A:A,'参照_姫'!B:B,"見つかりません"))</f>
      </c>
      <c r="K2612" s="4">
        <v>95</v>
      </c>
      <c r="L2612" s="4">
        <v>0</v>
      </c>
      <c r="M2612" s="4"/>
      <c r="N2612" s="4"/>
      <c r="O2612" s="4"/>
      <c r="P2612" s="12" t="str">
        <f t="array" ref="P2612">IF(O2612:O6654="","",_xlfn.XLOOKUP(O2612:O6654,'参照_官位'!A:A,'参照_官位'!B:B,""))</f>
      </c>
      <c r="Q2612" s="12" t="str">
        <f t="array" ref="Q2612">IF(A2612:A6654="","",IFERROR(_xlfn.XLOOKUP(A2612:A6654,castles_state!K:K,castles_state!D:D)&amp;"主",IFERROR(_xlfn.XLOOKUP(A2612:A6654,kunishuClan!D:D,kunishuClan!B:B)&amp;"当主","")))</f>
      </c>
    </row>
    <row r="2613" ht="15.75" customHeight="1">
      <c r="A2613" s="4">
        <v>1070016</v>
      </c>
      <c r="B2613" s="12" t="str">
        <f t="array" ref="B2613">IF(A2613:A6655="","",_xlfn.XLOOKUP(A2613:A6655,'参照_武将'!A:A,'参照_武将'!B:B,"見つかりません"))</f>
      </c>
      <c r="C2613" s="4" t="s">
        <v>334</v>
      </c>
      <c r="D2613" s="4">
        <v>70</v>
      </c>
      <c r="E2613" s="12" t="str">
        <f t="array" ref="E2613">IF(D2613:D6655="","",IFERROR(_xlfn.XLOOKUP(D2613:D6655,'参照_勢力'!A:A,'参照_勢力'!B:B),IFERROR(_xlfn.XLOOKUP(F2613:F6655,kunishuClan!A:A,kunishuClan!B:B),"浪人")))</f>
      </c>
      <c r="F2613" s="4">
        <v>0</v>
      </c>
      <c r="G2613" s="4">
        <v>200</v>
      </c>
      <c r="H2613" s="12" t="str">
        <f t="array" ref="H2613">IF(G2613:G6655="","",_xlfn.XLOOKUP(G2613:G6655,castles_state!A:A,castles_state!D:D,"見つかりません"))</f>
      </c>
      <c r="I2613" s="4"/>
      <c r="J2613" s="12" t="str">
        <f t="array" ref="J2613">IF(I2613:I6655="","",_xlfn.XLOOKUP(I2613:I6655,'参照_姫'!A:A,'参照_姫'!B:B,"見つかりません"))</f>
      </c>
      <c r="K2613" s="4">
        <v>95</v>
      </c>
      <c r="L2613" s="4">
        <v>0</v>
      </c>
      <c r="M2613" s="4"/>
      <c r="N2613" s="4"/>
      <c r="O2613" s="4"/>
      <c r="P2613" s="12" t="str">
        <f t="array" ref="P2613">IF(O2613:O6655="","",_xlfn.XLOOKUP(O2613:O6655,'参照_官位'!A:A,'参照_官位'!B:B,""))</f>
      </c>
      <c r="Q2613" s="12" t="str">
        <f t="array" ref="Q2613">IF(A2613:A6655="","",IFERROR(_xlfn.XLOOKUP(A2613:A6655,castles_state!K:K,castles_state!D:D)&amp;"主",IFERROR(_xlfn.XLOOKUP(A2613:A6655,kunishuClan!D:D,kunishuClan!B:B)&amp;"当主","")))</f>
      </c>
    </row>
    <row r="2614" ht="15.75" customHeight="1">
      <c r="A2614" s="4">
        <v>1070017</v>
      </c>
      <c r="B2614" s="12" t="str">
        <f t="array" ref="B2614">IF(A2614:A6656="","",_xlfn.XLOOKUP(A2614:A6656,'参照_武将'!A:A,'参照_武将'!B:B,"見つかりません"))</f>
      </c>
      <c r="C2614" s="4" t="s">
        <v>334</v>
      </c>
      <c r="D2614" s="4">
        <v>70</v>
      </c>
      <c r="E2614" s="12" t="str">
        <f t="array" ref="E2614">IF(D2614:D6656="","",IFERROR(_xlfn.XLOOKUP(D2614:D6656,'参照_勢力'!A:A,'参照_勢力'!B:B),IFERROR(_xlfn.XLOOKUP(F2614:F6656,kunishuClan!A:A,kunishuClan!B:B),"浪人")))</f>
      </c>
      <c r="F2614" s="4">
        <v>0</v>
      </c>
      <c r="G2614" s="4">
        <v>200</v>
      </c>
      <c r="H2614" s="12" t="str">
        <f t="array" ref="H2614">IF(G2614:G6656="","",_xlfn.XLOOKUP(G2614:G6656,castles_state!A:A,castles_state!D:D,"見つかりません"))</f>
      </c>
      <c r="I2614" s="4"/>
      <c r="J2614" s="12" t="str">
        <f t="array" ref="J2614">IF(I2614:I6656="","",_xlfn.XLOOKUP(I2614:I6656,'参照_姫'!A:A,'参照_姫'!B:B,"見つかりません"))</f>
      </c>
      <c r="K2614" s="4">
        <v>95</v>
      </c>
      <c r="L2614" s="4">
        <v>300</v>
      </c>
      <c r="M2614" s="4" t="b">
        <v>1</v>
      </c>
      <c r="N2614" s="4"/>
      <c r="O2614" s="4"/>
      <c r="P2614" s="12" t="str">
        <f t="array" ref="P2614">IF(O2614:O6656="","",_xlfn.XLOOKUP(O2614:O6656,'参照_官位'!A:A,'参照_官位'!B:B,""))</f>
      </c>
      <c r="Q2614" s="12" t="str">
        <f t="array" ref="Q2614">IF(A2614:A6656="","",IFERROR(_xlfn.XLOOKUP(A2614:A6656,castles_state!K:K,castles_state!D:D)&amp;"主",IFERROR(_xlfn.XLOOKUP(A2614:A6656,kunishuClan!D:D,kunishuClan!B:B)&amp;"当主","")))</f>
      </c>
    </row>
    <row r="2615" ht="15.75" customHeight="1">
      <c r="A2615" s="4">
        <v>1070018</v>
      </c>
      <c r="B2615" s="12" t="str">
        <f t="array" ref="B2615">IF(A2615:A6657="","",_xlfn.XLOOKUP(A2615:A6657,'参照_武将'!A:A,'参照_武将'!B:B,"見つかりません"))</f>
      </c>
      <c r="C2615" s="4" t="s">
        <v>334</v>
      </c>
      <c r="D2615" s="4">
        <v>70</v>
      </c>
      <c r="E2615" s="12" t="str">
        <f t="array" ref="E2615">IF(D2615:D6657="","",IFERROR(_xlfn.XLOOKUP(D2615:D6657,'参照_勢力'!A:A,'参照_勢力'!B:B),IFERROR(_xlfn.XLOOKUP(F2615:F6657,kunishuClan!A:A,kunishuClan!B:B),"浪人")))</f>
      </c>
      <c r="F2615" s="4">
        <v>0</v>
      </c>
      <c r="G2615" s="4">
        <v>200</v>
      </c>
      <c r="H2615" s="12" t="str">
        <f t="array" ref="H2615">IF(G2615:G6657="","",_xlfn.XLOOKUP(G2615:G6657,castles_state!A:A,castles_state!D:D,"見つかりません"))</f>
      </c>
      <c r="I2615" s="4"/>
      <c r="J2615" s="12" t="str">
        <f t="array" ref="J2615">IF(I2615:I6657="","",_xlfn.XLOOKUP(I2615:I6657,'参照_姫'!A:A,'参照_姫'!B:B,"見つかりません"))</f>
      </c>
      <c r="K2615" s="4">
        <v>95</v>
      </c>
      <c r="L2615" s="4">
        <v>0</v>
      </c>
      <c r="M2615" s="4"/>
      <c r="N2615" s="4"/>
      <c r="O2615" s="4"/>
      <c r="P2615" s="12" t="str">
        <f t="array" ref="P2615">IF(O2615:O6657="","",_xlfn.XLOOKUP(O2615:O6657,'参照_官位'!A:A,'参照_官位'!B:B,""))</f>
      </c>
      <c r="Q2615" s="12" t="str">
        <f t="array" ref="Q2615">IF(A2615:A6657="","",IFERROR(_xlfn.XLOOKUP(A2615:A6657,castles_state!K:K,castles_state!D:D)&amp;"主",IFERROR(_xlfn.XLOOKUP(A2615:A6657,kunishuClan!D:D,kunishuClan!B:B)&amp;"当主","")))</f>
      </c>
    </row>
    <row r="2616" ht="15.75" customHeight="1">
      <c r="A2616" s="4">
        <v>1070019</v>
      </c>
      <c r="B2616" s="12" t="str">
        <f t="array" ref="B2616">IF(A2616:A6658="","",_xlfn.XLOOKUP(A2616:A6658,'参照_武将'!A:A,'参照_武将'!B:B,"見つかりません"))</f>
      </c>
      <c r="C2616" s="4" t="s">
        <v>334</v>
      </c>
      <c r="D2616" s="4">
        <v>70</v>
      </c>
      <c r="E2616" s="12" t="str">
        <f t="array" ref="E2616">IF(D2616:D6658="","",IFERROR(_xlfn.XLOOKUP(D2616:D6658,'参照_勢力'!A:A,'参照_勢力'!B:B),IFERROR(_xlfn.XLOOKUP(F2616:F6658,kunishuClan!A:A,kunishuClan!B:B),"浪人")))</f>
      </c>
      <c r="F2616" s="4">
        <v>0</v>
      </c>
      <c r="G2616" s="4">
        <v>200</v>
      </c>
      <c r="H2616" s="12" t="str">
        <f t="array" ref="H2616">IF(G2616:G6658="","",_xlfn.XLOOKUP(G2616:G6658,castles_state!A:A,castles_state!D:D,"見つかりません"))</f>
      </c>
      <c r="I2616" s="4"/>
      <c r="J2616" s="12" t="str">
        <f t="array" ref="J2616">IF(I2616:I6658="","",_xlfn.XLOOKUP(I2616:I6658,'参照_姫'!A:A,'参照_姫'!B:B,"見つかりません"))</f>
      </c>
      <c r="K2616" s="4">
        <v>95</v>
      </c>
      <c r="L2616" s="4">
        <v>0</v>
      </c>
      <c r="M2616" s="4"/>
      <c r="N2616" s="4"/>
      <c r="O2616" s="4"/>
      <c r="P2616" s="12" t="str">
        <f t="array" ref="P2616">IF(O2616:O6658="","",_xlfn.XLOOKUP(O2616:O6658,'参照_官位'!A:A,'参照_官位'!B:B,""))</f>
      </c>
      <c r="Q2616" s="12" t="str">
        <f t="array" ref="Q2616">IF(A2616:A6658="","",IFERROR(_xlfn.XLOOKUP(A2616:A6658,castles_state!K:K,castles_state!D:D)&amp;"主",IFERROR(_xlfn.XLOOKUP(A2616:A6658,kunishuClan!D:D,kunishuClan!B:B)&amp;"当主","")))</f>
      </c>
    </row>
    <row r="2617" ht="15.75" customHeight="1">
      <c r="A2617" s="4">
        <v>1070020</v>
      </c>
      <c r="B2617" s="12" t="str">
        <f t="array" ref="B2617">IF(A2617:A6659="","",_xlfn.XLOOKUP(A2617:A6659,'参照_武将'!A:A,'参照_武将'!B:B,"見つかりません"))</f>
      </c>
      <c r="C2617" s="4" t="s">
        <v>334</v>
      </c>
      <c r="D2617" s="4">
        <v>70</v>
      </c>
      <c r="E2617" s="12" t="str">
        <f t="array" ref="E2617">IF(D2617:D6659="","",IFERROR(_xlfn.XLOOKUP(D2617:D6659,'参照_勢力'!A:A,'参照_勢力'!B:B),IFERROR(_xlfn.XLOOKUP(F2617:F6659,kunishuClan!A:A,kunishuClan!B:B),"浪人")))</f>
      </c>
      <c r="F2617" s="4">
        <v>0</v>
      </c>
      <c r="G2617" s="4">
        <v>200</v>
      </c>
      <c r="H2617" s="12" t="str">
        <f t="array" ref="H2617">IF(G2617:G6659="","",_xlfn.XLOOKUP(G2617:G6659,castles_state!A:A,castles_state!D:D,"見つかりません"))</f>
      </c>
      <c r="I2617" s="4"/>
      <c r="J2617" s="12" t="str">
        <f t="array" ref="J2617">IF(I2617:I6659="","",_xlfn.XLOOKUP(I2617:I6659,'参照_姫'!A:A,'参照_姫'!B:B,"見つかりません"))</f>
      </c>
      <c r="K2617" s="4">
        <v>95</v>
      </c>
      <c r="L2617" s="4">
        <v>0</v>
      </c>
      <c r="M2617" s="4"/>
      <c r="N2617" s="4"/>
      <c r="O2617" s="4"/>
      <c r="P2617" s="12" t="str">
        <f t="array" ref="P2617">IF(O2617:O6659="","",_xlfn.XLOOKUP(O2617:O6659,'参照_官位'!A:A,'参照_官位'!B:B,""))</f>
      </c>
      <c r="Q2617" s="12" t="str">
        <f t="array" ref="Q2617">IF(A2617:A6659="","",IFERROR(_xlfn.XLOOKUP(A2617:A6659,castles_state!K:K,castles_state!D:D)&amp;"主",IFERROR(_xlfn.XLOOKUP(A2617:A6659,kunishuClan!D:D,kunishuClan!B:B)&amp;"当主","")))</f>
      </c>
    </row>
    <row r="2618" ht="15.75" customHeight="1">
      <c r="A2618" s="4">
        <v>1070021</v>
      </c>
      <c r="B2618" s="12" t="str">
        <f t="array" ref="B2618">IF(A2618:A6660="","",_xlfn.XLOOKUP(A2618:A6660,'参照_武将'!A:A,'参照_武将'!B:B,"見つかりません"))</f>
      </c>
      <c r="C2618" s="4" t="s">
        <v>334</v>
      </c>
      <c r="D2618" s="4">
        <v>70</v>
      </c>
      <c r="E2618" s="12" t="str">
        <f t="array" ref="E2618">IF(D2618:D6660="","",IFERROR(_xlfn.XLOOKUP(D2618:D6660,'参照_勢力'!A:A,'参照_勢力'!B:B),IFERROR(_xlfn.XLOOKUP(F2618:F6660,kunishuClan!A:A,kunishuClan!B:B),"浪人")))</f>
      </c>
      <c r="F2618" s="4">
        <v>0</v>
      </c>
      <c r="G2618" s="4">
        <v>199</v>
      </c>
      <c r="H2618" s="12" t="str">
        <f t="array" ref="H2618">IF(G2618:G6660="","",_xlfn.XLOOKUP(G2618:G6660,castles_state!A:A,castles_state!D:D,"見つかりません"))</f>
      </c>
      <c r="I2618" s="4"/>
      <c r="J2618" s="12" t="str">
        <f t="array" ref="J2618">IF(I2618:I6660="","",_xlfn.XLOOKUP(I2618:I6660,'参照_姫'!A:A,'参照_姫'!B:B,"見つかりません"))</f>
      </c>
      <c r="K2618" s="4">
        <v>95</v>
      </c>
      <c r="L2618" s="4">
        <v>300</v>
      </c>
      <c r="M2618" s="4"/>
      <c r="N2618" s="4"/>
      <c r="O2618" s="4"/>
      <c r="P2618" s="12" t="str">
        <f t="array" ref="P2618">IF(O2618:O6660="","",_xlfn.XLOOKUP(O2618:O6660,'参照_官位'!A:A,'参照_官位'!B:B,""))</f>
      </c>
      <c r="Q2618" s="12" t="str">
        <f t="array" ref="Q2618">IF(A2618:A6660="","",IFERROR(_xlfn.XLOOKUP(A2618:A6660,castles_state!K:K,castles_state!D:D)&amp;"主",IFERROR(_xlfn.XLOOKUP(A2618:A6660,kunishuClan!D:D,kunishuClan!B:B)&amp;"当主","")))</f>
      </c>
    </row>
    <row r="2619" ht="15.75" customHeight="1">
      <c r="A2619" s="4">
        <v>1070022</v>
      </c>
      <c r="B2619" s="12" t="str">
        <f t="array" ref="B2619">IF(A2619:A6661="","",_xlfn.XLOOKUP(A2619:A6661,'参照_武将'!A:A,'参照_武将'!B:B,"見つかりません"))</f>
      </c>
      <c r="C2619" s="4" t="s">
        <v>334</v>
      </c>
      <c r="D2619" s="4">
        <v>70</v>
      </c>
      <c r="E2619" s="12" t="str">
        <f t="array" ref="E2619">IF(D2619:D6661="","",IFERROR(_xlfn.XLOOKUP(D2619:D6661,'参照_勢力'!A:A,'参照_勢力'!B:B),IFERROR(_xlfn.XLOOKUP(F2619:F6661,kunishuClan!A:A,kunishuClan!B:B),"浪人")))</f>
      </c>
      <c r="F2619" s="4">
        <v>0</v>
      </c>
      <c r="G2619" s="4">
        <v>199</v>
      </c>
      <c r="H2619" s="12" t="str">
        <f t="array" ref="H2619">IF(G2619:G6661="","",_xlfn.XLOOKUP(G2619:G6661,castles_state!A:A,castles_state!D:D,"見つかりません"))</f>
      </c>
      <c r="I2619" s="4"/>
      <c r="J2619" s="12" t="str">
        <f t="array" ref="J2619">IF(I2619:I6661="","",_xlfn.XLOOKUP(I2619:I6661,'参照_姫'!A:A,'参照_姫'!B:B,"見つかりません"))</f>
      </c>
      <c r="K2619" s="4">
        <v>95</v>
      </c>
      <c r="L2619" s="4">
        <v>0</v>
      </c>
      <c r="M2619" s="4"/>
      <c r="N2619" s="4"/>
      <c r="O2619" s="4"/>
      <c r="P2619" s="12" t="str">
        <f t="array" ref="P2619">IF(O2619:O6661="","",_xlfn.XLOOKUP(O2619:O6661,'参照_官位'!A:A,'参照_官位'!B:B,""))</f>
      </c>
      <c r="Q2619" s="12" t="str">
        <f t="array" ref="Q2619">IF(A2619:A6661="","",IFERROR(_xlfn.XLOOKUP(A2619:A6661,castles_state!K:K,castles_state!D:D)&amp;"主",IFERROR(_xlfn.XLOOKUP(A2619:A6661,kunishuClan!D:D,kunishuClan!B:B)&amp;"当主","")))</f>
      </c>
    </row>
    <row r="2620" ht="15.75" customHeight="1">
      <c r="A2620" s="4">
        <v>1070023</v>
      </c>
      <c r="B2620" s="12" t="str">
        <f t="array" ref="B2620">IF(A2620:A6662="","",_xlfn.XLOOKUP(A2620:A6662,'参照_武将'!A:A,'参照_武将'!B:B,"見つかりません"))</f>
      </c>
      <c r="C2620" s="4" t="s">
        <v>334</v>
      </c>
      <c r="D2620" s="4">
        <v>70</v>
      </c>
      <c r="E2620" s="12" t="str">
        <f t="array" ref="E2620">IF(D2620:D6662="","",IFERROR(_xlfn.XLOOKUP(D2620:D6662,'参照_勢力'!A:A,'参照_勢力'!B:B),IFERROR(_xlfn.XLOOKUP(F2620:F6662,kunishuClan!A:A,kunishuClan!B:B),"浪人")))</f>
      </c>
      <c r="F2620" s="4">
        <v>0</v>
      </c>
      <c r="G2620" s="4">
        <v>199</v>
      </c>
      <c r="H2620" s="12" t="str">
        <f t="array" ref="H2620">IF(G2620:G6662="","",_xlfn.XLOOKUP(G2620:G6662,castles_state!A:A,castles_state!D:D,"見つかりません"))</f>
      </c>
      <c r="I2620" s="4"/>
      <c r="J2620" s="12" t="str">
        <f t="array" ref="J2620">IF(I2620:I6662="","",_xlfn.XLOOKUP(I2620:I6662,'参照_姫'!A:A,'参照_姫'!B:B,"見つかりません"))</f>
      </c>
      <c r="K2620" s="4">
        <v>95</v>
      </c>
      <c r="L2620" s="4">
        <v>0</v>
      </c>
      <c r="M2620" s="4"/>
      <c r="N2620" s="4"/>
      <c r="O2620" s="4"/>
      <c r="P2620" s="12" t="str">
        <f t="array" ref="P2620">IF(O2620:O6662="","",_xlfn.XLOOKUP(O2620:O6662,'参照_官位'!A:A,'参照_官位'!B:B,""))</f>
      </c>
      <c r="Q2620" s="12" t="str">
        <f t="array" ref="Q2620">IF(A2620:A6662="","",IFERROR(_xlfn.XLOOKUP(A2620:A6662,castles_state!K:K,castles_state!D:D)&amp;"主",IFERROR(_xlfn.XLOOKUP(A2620:A6662,kunishuClan!D:D,kunishuClan!B:B)&amp;"当主","")))</f>
      </c>
    </row>
    <row r="2621" ht="15.75" customHeight="1">
      <c r="A2621" s="4">
        <v>1070024</v>
      </c>
      <c r="B2621" s="12" t="str">
        <f t="array" ref="B2621">IF(A2621:A6663="","",_xlfn.XLOOKUP(A2621:A6663,'参照_武将'!A:A,'参照_武将'!B:B,"見つかりません"))</f>
      </c>
      <c r="C2621" s="4" t="s">
        <v>334</v>
      </c>
      <c r="D2621" s="4">
        <v>70</v>
      </c>
      <c r="E2621" s="12" t="str">
        <f t="array" ref="E2621">IF(D2621:D6663="","",IFERROR(_xlfn.XLOOKUP(D2621:D6663,'参照_勢力'!A:A,'参照_勢力'!B:B),IFERROR(_xlfn.XLOOKUP(F2621:F6663,kunishuClan!A:A,kunishuClan!B:B),"浪人")))</f>
      </c>
      <c r="F2621" s="4">
        <v>0</v>
      </c>
      <c r="G2621" s="4">
        <v>199</v>
      </c>
      <c r="H2621" s="12" t="str">
        <f t="array" ref="H2621">IF(G2621:G6663="","",_xlfn.XLOOKUP(G2621:G6663,castles_state!A:A,castles_state!D:D,"見つかりません"))</f>
      </c>
      <c r="I2621" s="4"/>
      <c r="J2621" s="12" t="str">
        <f t="array" ref="J2621">IF(I2621:I6663="","",_xlfn.XLOOKUP(I2621:I6663,'参照_姫'!A:A,'参照_姫'!B:B,"見つかりません"))</f>
      </c>
      <c r="K2621" s="4">
        <v>95</v>
      </c>
      <c r="L2621" s="4">
        <v>0</v>
      </c>
      <c r="M2621" s="4"/>
      <c r="N2621" s="4"/>
      <c r="O2621" s="4"/>
      <c r="P2621" s="12" t="str">
        <f t="array" ref="P2621">IF(O2621:O6663="","",_xlfn.XLOOKUP(O2621:O6663,'参照_官位'!A:A,'参照_官位'!B:B,""))</f>
      </c>
      <c r="Q2621" s="12" t="str">
        <f t="array" ref="Q2621">IF(A2621:A6663="","",IFERROR(_xlfn.XLOOKUP(A2621:A6663,castles_state!K:K,castles_state!D:D)&amp;"主",IFERROR(_xlfn.XLOOKUP(A2621:A6663,kunishuClan!D:D,kunishuClan!B:B)&amp;"当主","")))</f>
      </c>
    </row>
    <row r="2622" ht="15.75" customHeight="1">
      <c r="A2622" s="4">
        <v>1070025</v>
      </c>
      <c r="B2622" s="12" t="str">
        <f t="array" ref="B2622">IF(A2622:A6664="","",_xlfn.XLOOKUP(A2622:A6664,'参照_武将'!A:A,'参照_武将'!B:B,"見つかりません"))</f>
      </c>
      <c r="C2622" s="4" t="s">
        <v>334</v>
      </c>
      <c r="D2622" s="4">
        <v>70</v>
      </c>
      <c r="E2622" s="12" t="str">
        <f t="array" ref="E2622">IF(D2622:D6664="","",IFERROR(_xlfn.XLOOKUP(D2622:D6664,'参照_勢力'!A:A,'参照_勢力'!B:B),IFERROR(_xlfn.XLOOKUP(F2622:F6664,kunishuClan!A:A,kunishuClan!B:B),"浪人")))</f>
      </c>
      <c r="F2622" s="4">
        <v>0</v>
      </c>
      <c r="G2622" s="4">
        <v>199</v>
      </c>
      <c r="H2622" s="12" t="str">
        <f t="array" ref="H2622">IF(G2622:G6664="","",_xlfn.XLOOKUP(G2622:G6664,castles_state!A:A,castles_state!D:D,"見つかりません"))</f>
      </c>
      <c r="I2622" s="4"/>
      <c r="J2622" s="12" t="str">
        <f t="array" ref="J2622">IF(I2622:I6664="","",_xlfn.XLOOKUP(I2622:I6664,'参照_姫'!A:A,'参照_姫'!B:B,"見つかりません"))</f>
      </c>
      <c r="K2622" s="4">
        <v>95</v>
      </c>
      <c r="L2622" s="4">
        <v>0</v>
      </c>
      <c r="M2622" s="4"/>
      <c r="N2622" s="4"/>
      <c r="O2622" s="4"/>
      <c r="P2622" s="12" t="str">
        <f t="array" ref="P2622">IF(O2622:O6664="","",_xlfn.XLOOKUP(O2622:O6664,'参照_官位'!A:A,'参照_官位'!B:B,""))</f>
      </c>
      <c r="Q2622" s="12" t="str">
        <f t="array" ref="Q2622">IF(A2622:A6664="","",IFERROR(_xlfn.XLOOKUP(A2622:A6664,castles_state!K:K,castles_state!D:D)&amp;"主",IFERROR(_xlfn.XLOOKUP(A2622:A6664,kunishuClan!D:D,kunishuClan!B:B)&amp;"当主","")))</f>
      </c>
    </row>
    <row r="2623" ht="15.75" customHeight="1">
      <c r="A2623" s="4">
        <v>1070026</v>
      </c>
      <c r="B2623" s="12" t="str">
        <f t="array" ref="B2623">IF(A2623:A6665="","",_xlfn.XLOOKUP(A2623:A6665,'参照_武将'!A:A,'参照_武将'!B:B,"見つかりません"))</f>
      </c>
      <c r="C2623" s="4" t="s">
        <v>334</v>
      </c>
      <c r="D2623" s="4">
        <v>70</v>
      </c>
      <c r="E2623" s="12" t="str">
        <f t="array" ref="E2623">IF(D2623:D6665="","",IFERROR(_xlfn.XLOOKUP(D2623:D6665,'参照_勢力'!A:A,'参照_勢力'!B:B),IFERROR(_xlfn.XLOOKUP(F2623:F6665,kunishuClan!A:A,kunishuClan!B:B),"浪人")))</f>
      </c>
      <c r="F2623" s="4">
        <v>0</v>
      </c>
      <c r="G2623" s="4">
        <v>201</v>
      </c>
      <c r="H2623" s="12" t="str">
        <f t="array" ref="H2623">IF(G2623:G6665="","",_xlfn.XLOOKUP(G2623:G6665,castles_state!A:A,castles_state!D:D,"見つかりません"))</f>
      </c>
      <c r="I2623" s="4"/>
      <c r="J2623" s="12" t="str">
        <f t="array" ref="J2623">IF(I2623:I6665="","",_xlfn.XLOOKUP(I2623:I6665,'参照_姫'!A:A,'参照_姫'!B:B,"見つかりません"))</f>
      </c>
      <c r="K2623" s="4">
        <v>95</v>
      </c>
      <c r="L2623" s="4">
        <v>0</v>
      </c>
      <c r="M2623" s="4"/>
      <c r="N2623" s="4"/>
      <c r="O2623" s="4"/>
      <c r="P2623" s="12" t="str">
        <f t="array" ref="P2623">IF(O2623:O6665="","",_xlfn.XLOOKUP(O2623:O6665,'参照_官位'!A:A,'参照_官位'!B:B,""))</f>
      </c>
      <c r="Q2623" s="12" t="str">
        <f t="array" ref="Q2623">IF(A2623:A6665="","",IFERROR(_xlfn.XLOOKUP(A2623:A6665,castles_state!K:K,castles_state!D:D)&amp;"主",IFERROR(_xlfn.XLOOKUP(A2623:A6665,kunishuClan!D:D,kunishuClan!B:B)&amp;"当主","")))</f>
      </c>
    </row>
    <row r="2624" ht="15.75" customHeight="1">
      <c r="A2624" s="4">
        <v>1070027</v>
      </c>
      <c r="B2624" s="12" t="str">
        <f t="array" ref="B2624">IF(A2624:A6666="","",_xlfn.XLOOKUP(A2624:A6666,'参照_武将'!A:A,'参照_武将'!B:B,"見つかりません"))</f>
      </c>
      <c r="C2624" s="4" t="s">
        <v>334</v>
      </c>
      <c r="D2624" s="4">
        <v>70</v>
      </c>
      <c r="E2624" s="12" t="str">
        <f t="array" ref="E2624">IF(D2624:D6666="","",IFERROR(_xlfn.XLOOKUP(D2624:D6666,'参照_勢力'!A:A,'参照_勢力'!B:B),IFERROR(_xlfn.XLOOKUP(F2624:F6666,kunishuClan!A:A,kunishuClan!B:B),"浪人")))</f>
      </c>
      <c r="F2624" s="4">
        <v>0</v>
      </c>
      <c r="G2624" s="4">
        <v>201</v>
      </c>
      <c r="H2624" s="12" t="str">
        <f t="array" ref="H2624">IF(G2624:G6666="","",_xlfn.XLOOKUP(G2624:G6666,castles_state!A:A,castles_state!D:D,"見つかりません"))</f>
      </c>
      <c r="I2624" s="4"/>
      <c r="J2624" s="12" t="str">
        <f t="array" ref="J2624">IF(I2624:I6666="","",_xlfn.XLOOKUP(I2624:I6666,'参照_姫'!A:A,'参照_姫'!B:B,"見つかりません"))</f>
      </c>
      <c r="K2624" s="4">
        <v>95</v>
      </c>
      <c r="L2624" s="4">
        <v>0</v>
      </c>
      <c r="M2624" s="4"/>
      <c r="N2624" s="4"/>
      <c r="O2624" s="4"/>
      <c r="P2624" s="12" t="str">
        <f t="array" ref="P2624">IF(O2624:O6666="","",_xlfn.XLOOKUP(O2624:O6666,'参照_官位'!A:A,'参照_官位'!B:B,""))</f>
      </c>
      <c r="Q2624" s="12" t="str">
        <f t="array" ref="Q2624">IF(A2624:A6666="","",IFERROR(_xlfn.XLOOKUP(A2624:A6666,castles_state!K:K,castles_state!D:D)&amp;"主",IFERROR(_xlfn.XLOOKUP(A2624:A6666,kunishuClan!D:D,kunishuClan!B:B)&amp;"当主","")))</f>
      </c>
    </row>
    <row r="2625" ht="15.75" customHeight="1">
      <c r="A2625" s="4">
        <v>1070028</v>
      </c>
      <c r="B2625" s="12" t="str">
        <f t="array" ref="B2625">IF(A2625:A6667="","",_xlfn.XLOOKUP(A2625:A6667,'参照_武将'!A:A,'参照_武将'!B:B,"見つかりません"))</f>
      </c>
      <c r="C2625" s="4" t="s">
        <v>334</v>
      </c>
      <c r="D2625" s="4">
        <v>70</v>
      </c>
      <c r="E2625" s="12" t="str">
        <f t="array" ref="E2625">IF(D2625:D6667="","",IFERROR(_xlfn.XLOOKUP(D2625:D6667,'参照_勢力'!A:A,'参照_勢力'!B:B),IFERROR(_xlfn.XLOOKUP(F2625:F6667,kunishuClan!A:A,kunishuClan!B:B),"浪人")))</f>
      </c>
      <c r="F2625" s="4">
        <v>0</v>
      </c>
      <c r="G2625" s="4">
        <v>201</v>
      </c>
      <c r="H2625" s="12" t="str">
        <f t="array" ref="H2625">IF(G2625:G6667="","",_xlfn.XLOOKUP(G2625:G6667,castles_state!A:A,castles_state!D:D,"見つかりません"))</f>
      </c>
      <c r="I2625" s="4"/>
      <c r="J2625" s="12" t="str">
        <f t="array" ref="J2625">IF(I2625:I6667="","",_xlfn.XLOOKUP(I2625:I6667,'参照_姫'!A:A,'参照_姫'!B:B,"見つかりません"))</f>
      </c>
      <c r="K2625" s="4">
        <v>95</v>
      </c>
      <c r="L2625" s="4">
        <v>0</v>
      </c>
      <c r="M2625" s="4"/>
      <c r="N2625" s="4"/>
      <c r="O2625" s="4"/>
      <c r="P2625" s="12" t="str">
        <f t="array" ref="P2625">IF(O2625:O6667="","",_xlfn.XLOOKUP(O2625:O6667,'参照_官位'!A:A,'参照_官位'!B:B,""))</f>
      </c>
      <c r="Q2625" s="12" t="str">
        <f t="array" ref="Q2625">IF(A2625:A6667="","",IFERROR(_xlfn.XLOOKUP(A2625:A6667,castles_state!K:K,castles_state!D:D)&amp;"主",IFERROR(_xlfn.XLOOKUP(A2625:A6667,kunishuClan!D:D,kunishuClan!B:B)&amp;"当主","")))</f>
      </c>
    </row>
    <row r="2626" ht="15.75" customHeight="1">
      <c r="A2626" s="4">
        <v>1070029</v>
      </c>
      <c r="B2626" s="12" t="str">
        <f t="array" ref="B2626">IF(A2626:A6668="","",_xlfn.XLOOKUP(A2626:A6668,'参照_武将'!A:A,'参照_武将'!B:B,"見つかりません"))</f>
      </c>
      <c r="C2626" s="4" t="s">
        <v>334</v>
      </c>
      <c r="D2626" s="4">
        <v>70</v>
      </c>
      <c r="E2626" s="12" t="str">
        <f t="array" ref="E2626">IF(D2626:D6668="","",IFERROR(_xlfn.XLOOKUP(D2626:D6668,'参照_勢力'!A:A,'参照_勢力'!B:B),IFERROR(_xlfn.XLOOKUP(F2626:F6668,kunishuClan!A:A,kunishuClan!B:B),"浪人")))</f>
      </c>
      <c r="F2626" s="4">
        <v>0</v>
      </c>
      <c r="G2626" s="4">
        <v>201</v>
      </c>
      <c r="H2626" s="12" t="str">
        <f t="array" ref="H2626">IF(G2626:G6668="","",_xlfn.XLOOKUP(G2626:G6668,castles_state!A:A,castles_state!D:D,"見つかりません"))</f>
      </c>
      <c r="I2626" s="4"/>
      <c r="J2626" s="12" t="str">
        <f t="array" ref="J2626">IF(I2626:I6668="","",_xlfn.XLOOKUP(I2626:I6668,'参照_姫'!A:A,'参照_姫'!B:B,"見つかりません"))</f>
      </c>
      <c r="K2626" s="4">
        <v>95</v>
      </c>
      <c r="L2626" s="4">
        <v>300</v>
      </c>
      <c r="M2626" s="4"/>
      <c r="N2626" s="4"/>
      <c r="O2626" s="4"/>
      <c r="P2626" s="12" t="str">
        <f t="array" ref="P2626">IF(O2626:O6668="","",_xlfn.XLOOKUP(O2626:O6668,'参照_官位'!A:A,'参照_官位'!B:B,""))</f>
      </c>
      <c r="Q2626" s="12" t="str">
        <f t="array" ref="Q2626">IF(A2626:A6668="","",IFERROR(_xlfn.XLOOKUP(A2626:A6668,castles_state!K:K,castles_state!D:D)&amp;"主",IFERROR(_xlfn.XLOOKUP(A2626:A6668,kunishuClan!D:D,kunishuClan!B:B)&amp;"当主","")))</f>
      </c>
    </row>
    <row r="2627" ht="15.75" customHeight="1">
      <c r="A2627" s="4">
        <v>1070030</v>
      </c>
      <c r="B2627" s="12" t="str">
        <f t="array" ref="B2627">IF(A2627:A6669="","",_xlfn.XLOOKUP(A2627:A6669,'参照_武将'!A:A,'参照_武将'!B:B,"見つかりません"))</f>
      </c>
      <c r="C2627" s="4" t="s">
        <v>334</v>
      </c>
      <c r="D2627" s="4">
        <v>70</v>
      </c>
      <c r="E2627" s="12" t="str">
        <f t="array" ref="E2627">IF(D2627:D6669="","",IFERROR(_xlfn.XLOOKUP(D2627:D6669,'参照_勢力'!A:A,'参照_勢力'!B:B),IFERROR(_xlfn.XLOOKUP(F2627:F6669,kunishuClan!A:A,kunishuClan!B:B),"浪人")))</f>
      </c>
      <c r="F2627" s="4">
        <v>0</v>
      </c>
      <c r="G2627" s="4">
        <v>201</v>
      </c>
      <c r="H2627" s="12" t="str">
        <f t="array" ref="H2627">IF(G2627:G6669="","",_xlfn.XLOOKUP(G2627:G6669,castles_state!A:A,castles_state!D:D,"見つかりません"))</f>
      </c>
      <c r="I2627" s="4"/>
      <c r="J2627" s="12" t="str">
        <f t="array" ref="J2627">IF(I2627:I6669="","",_xlfn.XLOOKUP(I2627:I6669,'参照_姫'!A:A,'参照_姫'!B:B,"見つかりません"))</f>
      </c>
      <c r="K2627" s="4">
        <v>95</v>
      </c>
      <c r="L2627" s="4">
        <v>0</v>
      </c>
      <c r="M2627" s="4"/>
      <c r="N2627" s="4"/>
      <c r="O2627" s="4"/>
      <c r="P2627" s="12" t="str">
        <f t="array" ref="P2627">IF(O2627:O6669="","",_xlfn.XLOOKUP(O2627:O6669,'参照_官位'!A:A,'参照_官位'!B:B,""))</f>
      </c>
      <c r="Q2627" s="12" t="str">
        <f t="array" ref="Q2627">IF(A2627:A6669="","",IFERROR(_xlfn.XLOOKUP(A2627:A6669,castles_state!K:K,castles_state!D:D)&amp;"主",IFERROR(_xlfn.XLOOKUP(A2627:A6669,kunishuClan!D:D,kunishuClan!B:B)&amp;"当主","")))</f>
      </c>
    </row>
    <row r="2628" ht="15.75" customHeight="1">
      <c r="A2628" s="4">
        <v>1070031</v>
      </c>
      <c r="B2628" s="12" t="str">
        <f t="array" ref="B2628">IF(A2628:A6670="","",_xlfn.XLOOKUP(A2628:A6670,'参照_武将'!A:A,'参照_武将'!B:B,"見つかりません"))</f>
      </c>
      <c r="C2628" s="4" t="s">
        <v>334</v>
      </c>
      <c r="D2628" s="4">
        <v>70</v>
      </c>
      <c r="E2628" s="12" t="str">
        <f t="array" ref="E2628">IF(D2628:D6670="","",IFERROR(_xlfn.XLOOKUP(D2628:D6670,'参照_勢力'!A:A,'参照_勢力'!B:B),IFERROR(_xlfn.XLOOKUP(F2628:F6670,kunishuClan!A:A,kunishuClan!B:B),"浪人")))</f>
      </c>
      <c r="F2628" s="4">
        <v>0</v>
      </c>
      <c r="G2628" s="4">
        <v>201</v>
      </c>
      <c r="H2628" s="12" t="str">
        <f t="array" ref="H2628">IF(G2628:G6670="","",_xlfn.XLOOKUP(G2628:G6670,castles_state!A:A,castles_state!D:D,"見つかりません"))</f>
      </c>
      <c r="I2628" s="4"/>
      <c r="J2628" s="12" t="str">
        <f t="array" ref="J2628">IF(I2628:I6670="","",_xlfn.XLOOKUP(I2628:I6670,'参照_姫'!A:A,'参照_姫'!B:B,"見つかりません"))</f>
      </c>
      <c r="K2628" s="4">
        <v>95</v>
      </c>
      <c r="L2628" s="4">
        <v>0</v>
      </c>
      <c r="M2628" s="4"/>
      <c r="N2628" s="4"/>
      <c r="O2628" s="4"/>
      <c r="P2628" s="12" t="str">
        <f t="array" ref="P2628">IF(O2628:O6670="","",_xlfn.XLOOKUP(O2628:O6670,'参照_官位'!A:A,'参照_官位'!B:B,""))</f>
      </c>
      <c r="Q2628" s="12" t="str">
        <f t="array" ref="Q2628">IF(A2628:A6670="","",IFERROR(_xlfn.XLOOKUP(A2628:A6670,castles_state!K:K,castles_state!D:D)&amp;"主",IFERROR(_xlfn.XLOOKUP(A2628:A6670,kunishuClan!D:D,kunishuClan!B:B)&amp;"当主","")))</f>
      </c>
    </row>
    <row r="2629" ht="15.75" customHeight="1">
      <c r="A2629" s="4">
        <v>1070032</v>
      </c>
      <c r="B2629" s="12" t="str">
        <f t="array" ref="B2629">IF(A2629:A6671="","",_xlfn.XLOOKUP(A2629:A6671,'参照_武将'!A:A,'参照_武将'!B:B,"見つかりません"))</f>
      </c>
      <c r="C2629" s="4" t="s">
        <v>334</v>
      </c>
      <c r="D2629" s="4">
        <v>70</v>
      </c>
      <c r="E2629" s="12" t="str">
        <f t="array" ref="E2629">IF(D2629:D6671="","",IFERROR(_xlfn.XLOOKUP(D2629:D6671,'参照_勢力'!A:A,'参照_勢力'!B:B),IFERROR(_xlfn.XLOOKUP(F2629:F6671,kunishuClan!A:A,kunishuClan!B:B),"浪人")))</f>
      </c>
      <c r="F2629" s="4">
        <v>0</v>
      </c>
      <c r="G2629" s="4">
        <v>201</v>
      </c>
      <c r="H2629" s="12" t="str">
        <f t="array" ref="H2629">IF(G2629:G6671="","",_xlfn.XLOOKUP(G2629:G6671,castles_state!A:A,castles_state!D:D,"見つかりません"))</f>
      </c>
      <c r="I2629" s="4"/>
      <c r="J2629" s="12" t="str">
        <f t="array" ref="J2629">IF(I2629:I6671="","",_xlfn.XLOOKUP(I2629:I6671,'参照_姫'!A:A,'参照_姫'!B:B,"見つかりません"))</f>
      </c>
      <c r="K2629" s="4">
        <v>95</v>
      </c>
      <c r="L2629" s="4">
        <v>0</v>
      </c>
      <c r="M2629" s="4"/>
      <c r="N2629" s="4"/>
      <c r="O2629" s="4"/>
      <c r="P2629" s="12" t="str">
        <f t="array" ref="P2629">IF(O2629:O6671="","",_xlfn.XLOOKUP(O2629:O6671,'参照_官位'!A:A,'参照_官位'!B:B,""))</f>
      </c>
      <c r="Q2629" s="12" t="str">
        <f t="array" ref="Q2629">IF(A2629:A6671="","",IFERROR(_xlfn.XLOOKUP(A2629:A6671,castles_state!K:K,castles_state!D:D)&amp;"主",IFERROR(_xlfn.XLOOKUP(A2629:A6671,kunishuClan!D:D,kunishuClan!B:B)&amp;"当主","")))</f>
      </c>
    </row>
    <row r="2630" ht="15.75" customHeight="1">
      <c r="A2630" s="4">
        <v>1070033</v>
      </c>
      <c r="B2630" s="12" t="str">
        <f t="array" ref="B2630">IF(A2630:A6672="","",_xlfn.XLOOKUP(A2630:A6672,'参照_武将'!A:A,'参照_武将'!B:B,"見つかりません"))</f>
      </c>
      <c r="C2630" s="4" t="s">
        <v>334</v>
      </c>
      <c r="D2630" s="4">
        <v>70</v>
      </c>
      <c r="E2630" s="12" t="str">
        <f t="array" ref="E2630">IF(D2630:D6672="","",IFERROR(_xlfn.XLOOKUP(D2630:D6672,'参照_勢力'!A:A,'参照_勢力'!B:B),IFERROR(_xlfn.XLOOKUP(F2630:F6672,kunishuClan!A:A,kunishuClan!B:B),"浪人")))</f>
      </c>
      <c r="F2630" s="4">
        <v>0</v>
      </c>
      <c r="G2630" s="4">
        <v>201</v>
      </c>
      <c r="H2630" s="12" t="str">
        <f t="array" ref="H2630">IF(G2630:G6672="","",_xlfn.XLOOKUP(G2630:G6672,castles_state!A:A,castles_state!D:D,"見つかりません"))</f>
      </c>
      <c r="I2630" s="4"/>
      <c r="J2630" s="12" t="str">
        <f t="array" ref="J2630">IF(I2630:I6672="","",_xlfn.XLOOKUP(I2630:I6672,'参照_姫'!A:A,'参照_姫'!B:B,"見つかりません"))</f>
      </c>
      <c r="K2630" s="4">
        <v>95</v>
      </c>
      <c r="L2630" s="4">
        <v>0</v>
      </c>
      <c r="M2630" s="4"/>
      <c r="N2630" s="4"/>
      <c r="O2630" s="4"/>
      <c r="P2630" s="12" t="str">
        <f t="array" ref="P2630">IF(O2630:O6672="","",_xlfn.XLOOKUP(O2630:O6672,'参照_官位'!A:A,'参照_官位'!B:B,""))</f>
      </c>
      <c r="Q2630" s="12" t="str">
        <f t="array" ref="Q2630">IF(A2630:A6672="","",IFERROR(_xlfn.XLOOKUP(A2630:A6672,castles_state!K:K,castles_state!D:D)&amp;"主",IFERROR(_xlfn.XLOOKUP(A2630:A6672,kunishuClan!D:D,kunishuClan!B:B)&amp;"当主","")))</f>
      </c>
    </row>
    <row r="2631" ht="15.75" customHeight="1">
      <c r="A2631" s="4">
        <v>1070034</v>
      </c>
      <c r="B2631" s="12" t="str">
        <f t="array" ref="B2631">IF(A2631:A6673="","",_xlfn.XLOOKUP(A2631:A6673,'参照_武将'!A:A,'参照_武将'!B:B,"見つかりません"))</f>
      </c>
      <c r="C2631" s="4" t="s">
        <v>334</v>
      </c>
      <c r="D2631" s="4">
        <v>70</v>
      </c>
      <c r="E2631" s="12" t="str">
        <f t="array" ref="E2631">IF(D2631:D6673="","",IFERROR(_xlfn.XLOOKUP(D2631:D6673,'参照_勢力'!A:A,'参照_勢力'!B:B),IFERROR(_xlfn.XLOOKUP(F2631:F6673,kunishuClan!A:A,kunishuClan!B:B),"浪人")))</f>
      </c>
      <c r="F2631" s="4">
        <v>0</v>
      </c>
      <c r="G2631" s="4">
        <v>201</v>
      </c>
      <c r="H2631" s="12" t="str">
        <f t="array" ref="H2631">IF(G2631:G6673="","",_xlfn.XLOOKUP(G2631:G6673,castles_state!A:A,castles_state!D:D,"見つかりません"))</f>
      </c>
      <c r="I2631" s="4"/>
      <c r="J2631" s="12" t="str">
        <f t="array" ref="J2631">IF(I2631:I6673="","",_xlfn.XLOOKUP(I2631:I6673,'参照_姫'!A:A,'参照_姫'!B:B,"見つかりません"))</f>
      </c>
      <c r="K2631" s="4">
        <v>95</v>
      </c>
      <c r="L2631" s="4">
        <v>0</v>
      </c>
      <c r="M2631" s="4"/>
      <c r="N2631" s="4"/>
      <c r="O2631" s="4"/>
      <c r="P2631" s="12" t="str">
        <f t="array" ref="P2631">IF(O2631:O6673="","",_xlfn.XLOOKUP(O2631:O6673,'参照_官位'!A:A,'参照_官位'!B:B,""))</f>
      </c>
      <c r="Q2631" s="12" t="str">
        <f t="array" ref="Q2631">IF(A2631:A6673="","",IFERROR(_xlfn.XLOOKUP(A2631:A6673,castles_state!K:K,castles_state!D:D)&amp;"主",IFERROR(_xlfn.XLOOKUP(A2631:A6673,kunishuClan!D:D,kunishuClan!B:B)&amp;"当主","")))</f>
      </c>
    </row>
    <row r="2632" ht="15.75" customHeight="1">
      <c r="A2632" s="4">
        <v>1070035</v>
      </c>
      <c r="B2632" s="12" t="str">
        <f t="array" ref="B2632">IF(A2632:A6674="","",_xlfn.XLOOKUP(A2632:A6674,'参照_武将'!A:A,'参照_武将'!B:B,"見つかりません"))</f>
      </c>
      <c r="C2632" s="4" t="s">
        <v>334</v>
      </c>
      <c r="D2632" s="4">
        <v>70</v>
      </c>
      <c r="E2632" s="12" t="str">
        <f t="array" ref="E2632">IF(D2632:D6674="","",IFERROR(_xlfn.XLOOKUP(D2632:D6674,'参照_勢力'!A:A,'参照_勢力'!B:B),IFERROR(_xlfn.XLOOKUP(F2632:F6674,kunishuClan!A:A,kunishuClan!B:B),"浪人")))</f>
      </c>
      <c r="F2632" s="4">
        <v>0</v>
      </c>
      <c r="G2632" s="4">
        <v>200</v>
      </c>
      <c r="H2632" s="12" t="str">
        <f t="array" ref="H2632">IF(G2632:G6674="","",_xlfn.XLOOKUP(G2632:G6674,castles_state!A:A,castles_state!D:D,"見つかりません"))</f>
      </c>
      <c r="I2632" s="4"/>
      <c r="J2632" s="12" t="str">
        <f t="array" ref="J2632">IF(I2632:I6674="","",_xlfn.XLOOKUP(I2632:I6674,'参照_姫'!A:A,'参照_姫'!B:B,"見つかりません"))</f>
      </c>
      <c r="K2632" s="4">
        <v>95</v>
      </c>
      <c r="L2632" s="4">
        <v>0</v>
      </c>
      <c r="M2632" s="4"/>
      <c r="N2632" s="4"/>
      <c r="O2632" s="4"/>
      <c r="P2632" s="12" t="str">
        <f t="array" ref="P2632">IF(O2632:O6674="","",_xlfn.XLOOKUP(O2632:O6674,'参照_官位'!A:A,'参照_官位'!B:B,""))</f>
      </c>
      <c r="Q2632" s="12" t="str">
        <f t="array" ref="Q2632">IF(A2632:A6674="","",IFERROR(_xlfn.XLOOKUP(A2632:A6674,castles_state!K:K,castles_state!D:D)&amp;"主",IFERROR(_xlfn.XLOOKUP(A2632:A6674,kunishuClan!D:D,kunishuClan!B:B)&amp;"当主","")))</f>
      </c>
    </row>
    <row r="2633" ht="15.75" customHeight="1">
      <c r="A2633" s="4">
        <v>1070036</v>
      </c>
      <c r="B2633" s="12" t="str">
        <f t="array" ref="B2633">IF(A2633:A6675="","",_xlfn.XLOOKUP(A2633:A6675,'参照_武将'!A:A,'参照_武将'!B:B,"見つかりません"))</f>
      </c>
      <c r="C2633" s="4" t="s">
        <v>334</v>
      </c>
      <c r="D2633" s="4">
        <v>70</v>
      </c>
      <c r="E2633" s="12" t="str">
        <f t="array" ref="E2633">IF(D2633:D6675="","",IFERROR(_xlfn.XLOOKUP(D2633:D6675,'参照_勢力'!A:A,'参照_勢力'!B:B),IFERROR(_xlfn.XLOOKUP(F2633:F6675,kunishuClan!A:A,kunishuClan!B:B),"浪人")))</f>
      </c>
      <c r="F2633" s="4">
        <v>0</v>
      </c>
      <c r="G2633" s="4">
        <v>200</v>
      </c>
      <c r="H2633" s="12" t="str">
        <f t="array" ref="H2633">IF(G2633:G6675="","",_xlfn.XLOOKUP(G2633:G6675,castles_state!A:A,castles_state!D:D,"見つかりません"))</f>
      </c>
      <c r="I2633" s="4"/>
      <c r="J2633" s="12" t="str">
        <f t="array" ref="J2633">IF(I2633:I6675="","",_xlfn.XLOOKUP(I2633:I6675,'参照_姫'!A:A,'参照_姫'!B:B,"見つかりません"))</f>
      </c>
      <c r="K2633" s="4">
        <v>95</v>
      </c>
      <c r="L2633" s="4">
        <v>0</v>
      </c>
      <c r="M2633" s="4"/>
      <c r="N2633" s="4"/>
      <c r="O2633" s="4"/>
      <c r="P2633" s="12" t="str">
        <f t="array" ref="P2633">IF(O2633:O6675="","",_xlfn.XLOOKUP(O2633:O6675,'参照_官位'!A:A,'参照_官位'!B:B,""))</f>
      </c>
      <c r="Q2633" s="12" t="str">
        <f t="array" ref="Q2633">IF(A2633:A6675="","",IFERROR(_xlfn.XLOOKUP(A2633:A6675,castles_state!K:K,castles_state!D:D)&amp;"主",IFERROR(_xlfn.XLOOKUP(A2633:A6675,kunishuClan!D:D,kunishuClan!B:B)&amp;"当主","")))</f>
      </c>
    </row>
    <row r="2634" ht="15.75" customHeight="1">
      <c r="A2634" s="4">
        <v>1070037</v>
      </c>
      <c r="B2634" s="12" t="str">
        <f t="array" ref="B2634">IF(A2634:A6676="","",_xlfn.XLOOKUP(A2634:A6676,'参照_武将'!A:A,'参照_武将'!B:B,"見つかりません"))</f>
      </c>
      <c r="C2634" s="4" t="s">
        <v>334</v>
      </c>
      <c r="D2634" s="4">
        <v>70</v>
      </c>
      <c r="E2634" s="12" t="str">
        <f t="array" ref="E2634">IF(D2634:D6676="","",IFERROR(_xlfn.XLOOKUP(D2634:D6676,'参照_勢力'!A:A,'参照_勢力'!B:B),IFERROR(_xlfn.XLOOKUP(F2634:F6676,kunishuClan!A:A,kunishuClan!B:B),"浪人")))</f>
      </c>
      <c r="F2634" s="4">
        <v>0</v>
      </c>
      <c r="G2634" s="4">
        <v>200</v>
      </c>
      <c r="H2634" s="12" t="str">
        <f t="array" ref="H2634">IF(G2634:G6676="","",_xlfn.XLOOKUP(G2634:G6676,castles_state!A:A,castles_state!D:D,"見つかりません"))</f>
      </c>
      <c r="I2634" s="4"/>
      <c r="J2634" s="12" t="str">
        <f t="array" ref="J2634">IF(I2634:I6676="","",_xlfn.XLOOKUP(I2634:I6676,'参照_姫'!A:A,'参照_姫'!B:B,"見つかりません"))</f>
      </c>
      <c r="K2634" s="4">
        <v>95</v>
      </c>
      <c r="L2634" s="4">
        <v>0</v>
      </c>
      <c r="M2634" s="4"/>
      <c r="N2634" s="4"/>
      <c r="O2634" s="4"/>
      <c r="P2634" s="12" t="str">
        <f t="array" ref="P2634">IF(O2634:O6676="","",_xlfn.XLOOKUP(O2634:O6676,'参照_官位'!A:A,'参照_官位'!B:B,""))</f>
      </c>
      <c r="Q2634" s="12" t="str">
        <f t="array" ref="Q2634">IF(A2634:A6676="","",IFERROR(_xlfn.XLOOKUP(A2634:A6676,castles_state!K:K,castles_state!D:D)&amp;"主",IFERROR(_xlfn.XLOOKUP(A2634:A6676,kunishuClan!D:D,kunishuClan!B:B)&amp;"当主","")))</f>
      </c>
    </row>
    <row r="2635" ht="15.75" customHeight="1">
      <c r="A2635" s="4">
        <v>1070038</v>
      </c>
      <c r="B2635" s="12" t="str">
        <f t="array" ref="B2635">IF(A2635:A6677="","",_xlfn.XLOOKUP(A2635:A6677,'参照_武将'!A:A,'参照_武将'!B:B,"見つかりません"))</f>
      </c>
      <c r="C2635" s="4" t="s">
        <v>334</v>
      </c>
      <c r="D2635" s="4">
        <v>70</v>
      </c>
      <c r="E2635" s="12" t="str">
        <f t="array" ref="E2635">IF(D2635:D6677="","",IFERROR(_xlfn.XLOOKUP(D2635:D6677,'参照_勢力'!A:A,'参照_勢力'!B:B),IFERROR(_xlfn.XLOOKUP(F2635:F6677,kunishuClan!A:A,kunishuClan!B:B),"浪人")))</f>
      </c>
      <c r="F2635" s="4">
        <v>0</v>
      </c>
      <c r="G2635" s="4">
        <v>200</v>
      </c>
      <c r="H2635" s="12" t="str">
        <f t="array" ref="H2635">IF(G2635:G6677="","",_xlfn.XLOOKUP(G2635:G6677,castles_state!A:A,castles_state!D:D,"見つかりません"))</f>
      </c>
      <c r="I2635" s="4"/>
      <c r="J2635" s="12" t="str">
        <f t="array" ref="J2635">IF(I2635:I6677="","",_xlfn.XLOOKUP(I2635:I6677,'参照_姫'!A:A,'参照_姫'!B:B,"見つかりません"))</f>
      </c>
      <c r="K2635" s="4">
        <v>95</v>
      </c>
      <c r="L2635" s="4">
        <v>0</v>
      </c>
      <c r="M2635" s="4"/>
      <c r="N2635" s="4"/>
      <c r="O2635" s="4"/>
      <c r="P2635" s="12" t="str">
        <f t="array" ref="P2635">IF(O2635:O6677="","",_xlfn.XLOOKUP(O2635:O6677,'参照_官位'!A:A,'参照_官位'!B:B,""))</f>
      </c>
      <c r="Q2635" s="12" t="str">
        <f t="array" ref="Q2635">IF(A2635:A6677="","",IFERROR(_xlfn.XLOOKUP(A2635:A6677,castles_state!K:K,castles_state!D:D)&amp;"主",IFERROR(_xlfn.XLOOKUP(A2635:A6677,kunishuClan!D:D,kunishuClan!B:B)&amp;"当主","")))</f>
      </c>
    </row>
    <row r="2636" ht="15.75" customHeight="1">
      <c r="A2636" s="4">
        <v>1070039</v>
      </c>
      <c r="B2636" s="12" t="str">
        <f t="array" ref="B2636">IF(A2636:A6678="","",_xlfn.XLOOKUP(A2636:A6678,'参照_武将'!A:A,'参照_武将'!B:B,"見つかりません"))</f>
      </c>
      <c r="C2636" s="4" t="s">
        <v>334</v>
      </c>
      <c r="D2636" s="4">
        <v>70</v>
      </c>
      <c r="E2636" s="12" t="str">
        <f t="array" ref="E2636">IF(D2636:D6678="","",IFERROR(_xlfn.XLOOKUP(D2636:D6678,'参照_勢力'!A:A,'参照_勢力'!B:B),IFERROR(_xlfn.XLOOKUP(F2636:F6678,kunishuClan!A:A,kunishuClan!B:B),"浪人")))</f>
      </c>
      <c r="F2636" s="4">
        <v>0</v>
      </c>
      <c r="G2636" s="4">
        <v>200</v>
      </c>
      <c r="H2636" s="12" t="str">
        <f t="array" ref="H2636">IF(G2636:G6678="","",_xlfn.XLOOKUP(G2636:G6678,castles_state!A:A,castles_state!D:D,"見つかりません"))</f>
      </c>
      <c r="I2636" s="4"/>
      <c r="J2636" s="12" t="str">
        <f t="array" ref="J2636">IF(I2636:I6678="","",_xlfn.XLOOKUP(I2636:I6678,'参照_姫'!A:A,'参照_姫'!B:B,"見つかりません"))</f>
      </c>
      <c r="K2636" s="4">
        <v>95</v>
      </c>
      <c r="L2636" s="4">
        <v>0</v>
      </c>
      <c r="M2636" s="4"/>
      <c r="N2636" s="4"/>
      <c r="O2636" s="4"/>
      <c r="P2636" s="12" t="str">
        <f t="array" ref="P2636">IF(O2636:O6678="","",_xlfn.XLOOKUP(O2636:O6678,'参照_官位'!A:A,'参照_官位'!B:B,""))</f>
      </c>
      <c r="Q2636" s="12" t="str">
        <f t="array" ref="Q2636">IF(A2636:A6678="","",IFERROR(_xlfn.XLOOKUP(A2636:A6678,castles_state!K:K,castles_state!D:D)&amp;"主",IFERROR(_xlfn.XLOOKUP(A2636:A6678,kunishuClan!D:D,kunishuClan!B:B)&amp;"当主","")))</f>
      </c>
    </row>
    <row r="2637" ht="15.75" customHeight="1">
      <c r="A2637" s="4">
        <v>1070040</v>
      </c>
      <c r="B2637" s="12" t="str">
        <f t="array" ref="B2637">IF(A2637:A6679="","",_xlfn.XLOOKUP(A2637:A6679,'参照_武将'!A:A,'参照_武将'!B:B,"見つかりません"))</f>
      </c>
      <c r="C2637" s="4" t="s">
        <v>334</v>
      </c>
      <c r="D2637" s="4">
        <v>70</v>
      </c>
      <c r="E2637" s="12" t="str">
        <f t="array" ref="E2637">IF(D2637:D6679="","",IFERROR(_xlfn.XLOOKUP(D2637:D6679,'参照_勢力'!A:A,'参照_勢力'!B:B),IFERROR(_xlfn.XLOOKUP(F2637:F6679,kunishuClan!A:A,kunishuClan!B:B),"浪人")))</f>
      </c>
      <c r="F2637" s="4">
        <v>0</v>
      </c>
      <c r="G2637" s="4">
        <v>200</v>
      </c>
      <c r="H2637" s="12" t="str">
        <f t="array" ref="H2637">IF(G2637:G6679="","",_xlfn.XLOOKUP(G2637:G6679,castles_state!A:A,castles_state!D:D,"見つかりません"))</f>
      </c>
      <c r="I2637" s="4"/>
      <c r="J2637" s="12" t="str">
        <f t="array" ref="J2637">IF(I2637:I6679="","",_xlfn.XLOOKUP(I2637:I6679,'参照_姫'!A:A,'参照_姫'!B:B,"見つかりません"))</f>
      </c>
      <c r="K2637" s="4">
        <v>95</v>
      </c>
      <c r="L2637" s="4">
        <v>0</v>
      </c>
      <c r="M2637" s="4"/>
      <c r="N2637" s="4"/>
      <c r="O2637" s="4"/>
      <c r="P2637" s="12" t="str">
        <f t="array" ref="P2637">IF(O2637:O6679="","",_xlfn.XLOOKUP(O2637:O6679,'参照_官位'!A:A,'参照_官位'!B:B,""))</f>
      </c>
      <c r="Q2637" s="12" t="str">
        <f t="array" ref="Q2637">IF(A2637:A6679="","",IFERROR(_xlfn.XLOOKUP(A2637:A6679,castles_state!K:K,castles_state!D:D)&amp;"主",IFERROR(_xlfn.XLOOKUP(A2637:A6679,kunishuClan!D:D,kunishuClan!B:B)&amp;"当主","")))</f>
      </c>
    </row>
    <row r="2638" ht="15.75" customHeight="1">
      <c r="A2638" s="4">
        <v>1070041</v>
      </c>
      <c r="B2638" s="12" t="str">
        <f t="array" ref="B2638">IF(A2638:A6680="","",_xlfn.XLOOKUP(A2638:A6680,'参照_武将'!A:A,'参照_武将'!B:B,"見つかりません"))</f>
      </c>
      <c r="C2638" s="4" t="s">
        <v>334</v>
      </c>
      <c r="D2638" s="4">
        <v>70</v>
      </c>
      <c r="E2638" s="12" t="str">
        <f t="array" ref="E2638">IF(D2638:D6680="","",IFERROR(_xlfn.XLOOKUP(D2638:D6680,'参照_勢力'!A:A,'参照_勢力'!B:B),IFERROR(_xlfn.XLOOKUP(F2638:F6680,kunishuClan!A:A,kunishuClan!B:B),"浪人")))</f>
      </c>
      <c r="F2638" s="4">
        <v>0</v>
      </c>
      <c r="G2638" s="4">
        <v>200</v>
      </c>
      <c r="H2638" s="12" t="str">
        <f t="array" ref="H2638">IF(G2638:G6680="","",_xlfn.XLOOKUP(G2638:G6680,castles_state!A:A,castles_state!D:D,"見つかりません"))</f>
      </c>
      <c r="I2638" s="4"/>
      <c r="J2638" s="12" t="str">
        <f t="array" ref="J2638">IF(I2638:I6680="","",_xlfn.XLOOKUP(I2638:I6680,'参照_姫'!A:A,'参照_姫'!B:B,"見つかりません"))</f>
      </c>
      <c r="K2638" s="4">
        <v>95</v>
      </c>
      <c r="L2638" s="4">
        <v>0</v>
      </c>
      <c r="M2638" s="4"/>
      <c r="N2638" s="4"/>
      <c r="O2638" s="4"/>
      <c r="P2638" s="12" t="str">
        <f t="array" ref="P2638">IF(O2638:O6680="","",_xlfn.XLOOKUP(O2638:O6680,'参照_官位'!A:A,'参照_官位'!B:B,""))</f>
      </c>
      <c r="Q2638" s="12" t="str">
        <f t="array" ref="Q2638">IF(A2638:A6680="","",IFERROR(_xlfn.XLOOKUP(A2638:A6680,castles_state!K:K,castles_state!D:D)&amp;"主",IFERROR(_xlfn.XLOOKUP(A2638:A6680,kunishuClan!D:D,kunishuClan!B:B)&amp;"当主","")))</f>
      </c>
    </row>
    <row r="2639" ht="15.75" customHeight="1">
      <c r="A2639" s="4">
        <v>1070042</v>
      </c>
      <c r="B2639" s="12" t="str">
        <f t="array" ref="B2639">IF(A2639:A6681="","",_xlfn.XLOOKUP(A2639:A6681,'参照_武将'!A:A,'参照_武将'!B:B,"見つかりません"))</f>
      </c>
      <c r="C2639" s="4" t="s">
        <v>334</v>
      </c>
      <c r="D2639" s="4">
        <v>70</v>
      </c>
      <c r="E2639" s="12" t="str">
        <f t="array" ref="E2639">IF(D2639:D6681="","",IFERROR(_xlfn.XLOOKUP(D2639:D6681,'参照_勢力'!A:A,'参照_勢力'!B:B),IFERROR(_xlfn.XLOOKUP(F2639:F6681,kunishuClan!A:A,kunishuClan!B:B),"浪人")))</f>
      </c>
      <c r="F2639" s="4">
        <v>0</v>
      </c>
      <c r="G2639" s="4">
        <v>200</v>
      </c>
      <c r="H2639" s="12" t="str">
        <f t="array" ref="H2639">IF(G2639:G6681="","",_xlfn.XLOOKUP(G2639:G6681,castles_state!A:A,castles_state!D:D,"見つかりません"))</f>
      </c>
      <c r="I2639" s="4"/>
      <c r="J2639" s="12" t="str">
        <f t="array" ref="J2639">IF(I2639:I6681="","",_xlfn.XLOOKUP(I2639:I6681,'参照_姫'!A:A,'参照_姫'!B:B,"見つかりません"))</f>
      </c>
      <c r="K2639" s="4">
        <v>95</v>
      </c>
      <c r="L2639" s="4">
        <v>0</v>
      </c>
      <c r="M2639" s="4"/>
      <c r="N2639" s="4"/>
      <c r="O2639" s="4"/>
      <c r="P2639" s="12" t="str">
        <f t="array" ref="P2639">IF(O2639:O6681="","",_xlfn.XLOOKUP(O2639:O6681,'参照_官位'!A:A,'参照_官位'!B:B,""))</f>
      </c>
      <c r="Q2639" s="12" t="str">
        <f t="array" ref="Q2639">IF(A2639:A6681="","",IFERROR(_xlfn.XLOOKUP(A2639:A6681,castles_state!K:K,castles_state!D:D)&amp;"主",IFERROR(_xlfn.XLOOKUP(A2639:A6681,kunishuClan!D:D,kunishuClan!B:B)&amp;"当主","")))</f>
      </c>
    </row>
    <row r="2640" ht="15.75" customHeight="1">
      <c r="A2640" s="4">
        <v>1070043</v>
      </c>
      <c r="B2640" s="12" t="str">
        <f t="array" ref="B2640">IF(A2640:A6682="","",_xlfn.XLOOKUP(A2640:A6682,'参照_武将'!A:A,'参照_武将'!B:B,"見つかりません"))</f>
      </c>
      <c r="C2640" s="4" t="s">
        <v>334</v>
      </c>
      <c r="D2640" s="4">
        <v>70</v>
      </c>
      <c r="E2640" s="12" t="str">
        <f t="array" ref="E2640">IF(D2640:D6682="","",IFERROR(_xlfn.XLOOKUP(D2640:D6682,'参照_勢力'!A:A,'参照_勢力'!B:B),IFERROR(_xlfn.XLOOKUP(F2640:F6682,kunishuClan!A:A,kunishuClan!B:B),"浪人")))</f>
      </c>
      <c r="F2640" s="4">
        <v>0</v>
      </c>
      <c r="G2640" s="4">
        <v>200</v>
      </c>
      <c r="H2640" s="12" t="str">
        <f t="array" ref="H2640">IF(G2640:G6682="","",_xlfn.XLOOKUP(G2640:G6682,castles_state!A:A,castles_state!D:D,"見つかりません"))</f>
      </c>
      <c r="I2640" s="4"/>
      <c r="J2640" s="12" t="str">
        <f t="array" ref="J2640">IF(I2640:I6682="","",_xlfn.XLOOKUP(I2640:I6682,'参照_姫'!A:A,'参照_姫'!B:B,"見つかりません"))</f>
      </c>
      <c r="K2640" s="4">
        <v>95</v>
      </c>
      <c r="L2640" s="4">
        <v>0</v>
      </c>
      <c r="M2640" s="4"/>
      <c r="N2640" s="4"/>
      <c r="O2640" s="4"/>
      <c r="P2640" s="12" t="str">
        <f t="array" ref="P2640">IF(O2640:O6682="","",_xlfn.XLOOKUP(O2640:O6682,'参照_官位'!A:A,'参照_官位'!B:B,""))</f>
      </c>
      <c r="Q2640" s="12" t="str">
        <f t="array" ref="Q2640">IF(A2640:A6682="","",IFERROR(_xlfn.XLOOKUP(A2640:A6682,castles_state!K:K,castles_state!D:D)&amp;"主",IFERROR(_xlfn.XLOOKUP(A2640:A6682,kunishuClan!D:D,kunishuClan!B:B)&amp;"当主","")))</f>
      </c>
    </row>
    <row r="2641" ht="15.75" customHeight="1">
      <c r="A2641" s="4">
        <v>1071001</v>
      </c>
      <c r="B2641" s="12" t="str">
        <f t="array" ref="B2641">IF(A2641:A6683="","",_xlfn.XLOOKUP(A2641:A6683,'参照_武将'!A:A,'参照_武将'!B:B,"見つかりません"))</f>
      </c>
      <c r="C2641" s="4" t="s">
        <v>5964</v>
      </c>
      <c r="D2641" s="4">
        <v>71</v>
      </c>
      <c r="E2641" s="12" t="str">
        <f t="array" ref="E2641">IF(D2641:D6683="","",IFERROR(_xlfn.XLOOKUP(D2641:D6683,'参照_勢力'!A:A,'参照_勢力'!B:B),IFERROR(_xlfn.XLOOKUP(F2641:F6683,kunishuClan!A:A,kunishuClan!B:B),"浪人")))</f>
      </c>
      <c r="F2641" s="4">
        <v>0</v>
      </c>
      <c r="G2641" s="4">
        <v>197</v>
      </c>
      <c r="H2641" s="12" t="str">
        <f t="array" ref="H2641">IF(G2641:G6683="","",_xlfn.XLOOKUP(G2641:G6683,castles_state!A:A,castles_state!D:D,"見つかりません"))</f>
      </c>
      <c r="I2641" s="4"/>
      <c r="J2641" s="12" t="str">
        <f t="array" ref="J2641">IF(I2641:I6683="","",_xlfn.XLOOKUP(I2641:I6683,'参照_姫'!A:A,'参照_姫'!B:B,"見つかりません"))</f>
      </c>
      <c r="K2641" s="4">
        <v>95</v>
      </c>
      <c r="L2641" s="4">
        <v>0</v>
      </c>
      <c r="M2641" s="4"/>
      <c r="N2641" s="4"/>
      <c r="O2641" s="4"/>
      <c r="P2641" s="12" t="str">
        <f t="array" ref="P2641">IF(O2641:O6683="","",_xlfn.XLOOKUP(O2641:O6683,'参照_官位'!A:A,'参照_官位'!B:B,""))</f>
      </c>
      <c r="Q2641" s="12" t="str">
        <f t="array" ref="Q2641">IF(A2641:A6683="","",IFERROR(_xlfn.XLOOKUP(A2641:A6683,castles_state!K:K,castles_state!D:D)&amp;"主",IFERROR(_xlfn.XLOOKUP(A2641:A6683,kunishuClan!D:D,kunishuClan!B:B)&amp;"当主","")))</f>
      </c>
    </row>
    <row r="2642" ht="15.75" customHeight="1">
      <c r="A2642" s="4">
        <v>1071002</v>
      </c>
      <c r="B2642" s="12" t="str">
        <f t="array" ref="B2642">IF(A2642:A6684="","",_xlfn.XLOOKUP(A2642:A6684,'参照_武将'!A:A,'参照_武将'!B:B,"見つかりません"))</f>
      </c>
      <c r="C2642" s="4" t="s">
        <v>5964</v>
      </c>
      <c r="D2642" s="4">
        <v>71</v>
      </c>
      <c r="E2642" s="12" t="str">
        <f t="array" ref="E2642">IF(D2642:D6684="","",IFERROR(_xlfn.XLOOKUP(D2642:D6684,'参照_勢力'!A:A,'参照_勢力'!B:B),IFERROR(_xlfn.XLOOKUP(F2642:F6684,kunishuClan!A:A,kunishuClan!B:B),"浪人")))</f>
      </c>
      <c r="F2642" s="4">
        <v>0</v>
      </c>
      <c r="G2642" s="4">
        <v>197</v>
      </c>
      <c r="H2642" s="12" t="str">
        <f t="array" ref="H2642">IF(G2642:G6684="","",_xlfn.XLOOKUP(G2642:G6684,castles_state!A:A,castles_state!D:D,"見つかりません"))</f>
      </c>
      <c r="I2642" s="4"/>
      <c r="J2642" s="12" t="str">
        <f t="array" ref="J2642">IF(I2642:I6684="","",_xlfn.XLOOKUP(I2642:I6684,'参照_姫'!A:A,'参照_姫'!B:B,"見つかりません"))</f>
      </c>
      <c r="K2642" s="4">
        <v>95</v>
      </c>
      <c r="L2642" s="4">
        <v>0</v>
      </c>
      <c r="M2642" s="4"/>
      <c r="N2642" s="4"/>
      <c r="O2642" s="4"/>
      <c r="P2642" s="12" t="str">
        <f t="array" ref="P2642">IF(O2642:O6684="","",_xlfn.XLOOKUP(O2642:O6684,'参照_官位'!A:A,'参照_官位'!B:B,""))</f>
      </c>
      <c r="Q2642" s="12" t="str">
        <f t="array" ref="Q2642">IF(A2642:A6684="","",IFERROR(_xlfn.XLOOKUP(A2642:A6684,castles_state!K:K,castles_state!D:D)&amp;"主",IFERROR(_xlfn.XLOOKUP(A2642:A6684,kunishuClan!D:D,kunishuClan!B:B)&amp;"当主","")))</f>
      </c>
    </row>
    <row r="2643" ht="15.75" customHeight="1">
      <c r="A2643" s="4">
        <v>1071003</v>
      </c>
      <c r="B2643" s="12" t="str">
        <f t="array" ref="B2643">IF(A2643:A6685="","",_xlfn.XLOOKUP(A2643:A6685,'参照_武将'!A:A,'参照_武将'!B:B,"見つかりません"))</f>
      </c>
      <c r="C2643" s="4" t="s">
        <v>5964</v>
      </c>
      <c r="D2643" s="4">
        <v>71</v>
      </c>
      <c r="E2643" s="12" t="str">
        <f t="array" ref="E2643">IF(D2643:D6685="","",IFERROR(_xlfn.XLOOKUP(D2643:D6685,'参照_勢力'!A:A,'参照_勢力'!B:B),IFERROR(_xlfn.XLOOKUP(F2643:F6685,kunishuClan!A:A,kunishuClan!B:B),"浪人")))</f>
      </c>
      <c r="F2643" s="4">
        <v>0</v>
      </c>
      <c r="G2643" s="4">
        <v>197</v>
      </c>
      <c r="H2643" s="12" t="str">
        <f t="array" ref="H2643">IF(G2643:G6685="","",_xlfn.XLOOKUP(G2643:G6685,castles_state!A:A,castles_state!D:D,"見つかりません"))</f>
      </c>
      <c r="I2643" s="4"/>
      <c r="J2643" s="12" t="str">
        <f t="array" ref="J2643">IF(I2643:I6685="","",_xlfn.XLOOKUP(I2643:I6685,'参照_姫'!A:A,'参照_姫'!B:B,"見つかりません"))</f>
      </c>
      <c r="K2643" s="4">
        <v>100</v>
      </c>
      <c r="L2643" s="4">
        <v>1500</v>
      </c>
      <c r="M2643" s="4"/>
      <c r="N2643" s="4"/>
      <c r="O2643" s="4">
        <v>124</v>
      </c>
      <c r="P2643" s="12" t="str">
        <f t="array" ref="P2643">IF(O2643:O6685="","",_xlfn.XLOOKUP(O2643:O6685,'参照_官位'!A:A,'参照_官位'!B:B,""))</f>
      </c>
      <c r="Q2643" s="12" t="str">
        <f t="array" ref="Q2643">IF(A2643:A6685="","",IFERROR(_xlfn.XLOOKUP(A2643:A6685,castles_state!K:K,castles_state!D:D)&amp;"主",IFERROR(_xlfn.XLOOKUP(A2643:A6685,kunishuClan!D:D,kunishuClan!B:B)&amp;"当主","")))</f>
      </c>
    </row>
    <row r="2644" ht="15.75" customHeight="1">
      <c r="A2644" s="4">
        <v>1071004</v>
      </c>
      <c r="B2644" s="12" t="str">
        <f t="array" ref="B2644">IF(A2644:A6686="","",_xlfn.XLOOKUP(A2644:A6686,'参照_武将'!A:A,'参照_武将'!B:B,"見つかりません"))</f>
      </c>
      <c r="C2644" s="4" t="s">
        <v>5964</v>
      </c>
      <c r="D2644" s="4">
        <v>71</v>
      </c>
      <c r="E2644" s="12" t="str">
        <f t="array" ref="E2644">IF(D2644:D6686="","",IFERROR(_xlfn.XLOOKUP(D2644:D6686,'参照_勢力'!A:A,'参照_勢力'!B:B),IFERROR(_xlfn.XLOOKUP(F2644:F6686,kunishuClan!A:A,kunishuClan!B:B),"浪人")))</f>
      </c>
      <c r="F2644" s="4">
        <v>0</v>
      </c>
      <c r="G2644" s="4">
        <v>197</v>
      </c>
      <c r="H2644" s="12" t="str">
        <f t="array" ref="H2644">IF(G2644:G6686="","",_xlfn.XLOOKUP(G2644:G6686,castles_state!A:A,castles_state!D:D,"見つかりません"))</f>
      </c>
      <c r="I2644" s="4"/>
      <c r="J2644" s="12" t="str">
        <f t="array" ref="J2644">IF(I2644:I6686="","",_xlfn.XLOOKUP(I2644:I6686,'参照_姫'!A:A,'参照_姫'!B:B,"見つかりません"))</f>
      </c>
      <c r="K2644" s="4">
        <v>95</v>
      </c>
      <c r="L2644" s="4">
        <v>700</v>
      </c>
      <c r="M2644" s="4"/>
      <c r="N2644" s="4"/>
      <c r="O2644" s="4"/>
      <c r="P2644" s="12" t="str">
        <f t="array" ref="P2644">IF(O2644:O6686="","",_xlfn.XLOOKUP(O2644:O6686,'参照_官位'!A:A,'参照_官位'!B:B,""))</f>
      </c>
      <c r="Q2644" s="12" t="str">
        <f t="array" ref="Q2644">IF(A2644:A6686="","",IFERROR(_xlfn.XLOOKUP(A2644:A6686,castles_state!K:K,castles_state!D:D)&amp;"主",IFERROR(_xlfn.XLOOKUP(A2644:A6686,kunishuClan!D:D,kunishuClan!B:B)&amp;"当主","")))</f>
      </c>
    </row>
    <row r="2645" ht="15.75" customHeight="1">
      <c r="A2645" s="4">
        <v>1071005</v>
      </c>
      <c r="B2645" s="12" t="str">
        <f t="array" ref="B2645">IF(A2645:A6687="","",_xlfn.XLOOKUP(A2645:A6687,'参照_武将'!A:A,'参照_武将'!B:B,"見つかりません"))</f>
      </c>
      <c r="C2645" s="4" t="s">
        <v>5964</v>
      </c>
      <c r="D2645" s="4">
        <v>71</v>
      </c>
      <c r="E2645" s="12" t="str">
        <f t="array" ref="E2645">IF(D2645:D6687="","",IFERROR(_xlfn.XLOOKUP(D2645:D6687,'参照_勢力'!A:A,'参照_勢力'!B:B),IFERROR(_xlfn.XLOOKUP(F2645:F6687,kunishuClan!A:A,kunishuClan!B:B),"浪人")))</f>
      </c>
      <c r="F2645" s="4">
        <v>0</v>
      </c>
      <c r="G2645" s="4">
        <v>197</v>
      </c>
      <c r="H2645" s="12" t="str">
        <f t="array" ref="H2645">IF(G2645:G6687="","",_xlfn.XLOOKUP(G2645:G6687,castles_state!A:A,castles_state!D:D,"見つかりません"))</f>
      </c>
      <c r="I2645" s="4"/>
      <c r="J2645" s="12" t="str">
        <f t="array" ref="J2645">IF(I2645:I6687="","",_xlfn.XLOOKUP(I2645:I6687,'参照_姫'!A:A,'参照_姫'!B:B,"見つかりません"))</f>
      </c>
      <c r="K2645" s="4">
        <v>95</v>
      </c>
      <c r="L2645" s="4">
        <v>300</v>
      </c>
      <c r="M2645" s="4"/>
      <c r="N2645" s="4"/>
      <c r="O2645" s="4"/>
      <c r="P2645" s="12" t="str">
        <f t="array" ref="P2645">IF(O2645:O6687="","",_xlfn.XLOOKUP(O2645:O6687,'参照_官位'!A:A,'参照_官位'!B:B,""))</f>
      </c>
      <c r="Q2645" s="12" t="str">
        <f t="array" ref="Q2645">IF(A2645:A6687="","",IFERROR(_xlfn.XLOOKUP(A2645:A6687,castles_state!K:K,castles_state!D:D)&amp;"主",IFERROR(_xlfn.XLOOKUP(A2645:A6687,kunishuClan!D:D,kunishuClan!B:B)&amp;"当主","")))</f>
      </c>
    </row>
    <row r="2646" ht="15.75" customHeight="1">
      <c r="A2646" s="4">
        <v>1071006</v>
      </c>
      <c r="B2646" s="12" t="str">
        <f t="array" ref="B2646">IF(A2646:A6688="","",_xlfn.XLOOKUP(A2646:A6688,'参照_武将'!A:A,'参照_武将'!B:B,"見つかりません"))</f>
      </c>
      <c r="C2646" s="4" t="s">
        <v>5964</v>
      </c>
      <c r="D2646" s="4">
        <v>71</v>
      </c>
      <c r="E2646" s="12" t="str">
        <f t="array" ref="E2646">IF(D2646:D6688="","",IFERROR(_xlfn.XLOOKUP(D2646:D6688,'参照_勢力'!A:A,'参照_勢力'!B:B),IFERROR(_xlfn.XLOOKUP(F2646:F6688,kunishuClan!A:A,kunishuClan!B:B),"浪人")))</f>
      </c>
      <c r="F2646" s="4">
        <v>0</v>
      </c>
      <c r="G2646" s="4">
        <v>197</v>
      </c>
      <c r="H2646" s="12" t="str">
        <f t="array" ref="H2646">IF(G2646:G6688="","",_xlfn.XLOOKUP(G2646:G6688,castles_state!A:A,castles_state!D:D,"見つかりません"))</f>
      </c>
      <c r="I2646" s="4"/>
      <c r="J2646" s="12" t="str">
        <f t="array" ref="J2646">IF(I2646:I6688="","",_xlfn.XLOOKUP(I2646:I6688,'参照_姫'!A:A,'参照_姫'!B:B,"見つかりません"))</f>
      </c>
      <c r="K2646" s="4">
        <v>95</v>
      </c>
      <c r="L2646" s="4">
        <v>0</v>
      </c>
      <c r="M2646" s="4"/>
      <c r="N2646" s="4"/>
      <c r="O2646" s="4"/>
      <c r="P2646" s="12" t="str">
        <f t="array" ref="P2646">IF(O2646:O6688="","",_xlfn.XLOOKUP(O2646:O6688,'参照_官位'!A:A,'参照_官位'!B:B,""))</f>
      </c>
      <c r="Q2646" s="12" t="str">
        <f t="array" ref="Q2646">IF(A2646:A6688="","",IFERROR(_xlfn.XLOOKUP(A2646:A6688,castles_state!K:K,castles_state!D:D)&amp;"主",IFERROR(_xlfn.XLOOKUP(A2646:A6688,kunishuClan!D:D,kunishuClan!B:B)&amp;"当主","")))</f>
      </c>
    </row>
    <row r="2647" ht="15.75" customHeight="1">
      <c r="A2647" s="4">
        <v>1071007</v>
      </c>
      <c r="B2647" s="12" t="str">
        <f t="array" ref="B2647">IF(A2647:A6689="","",_xlfn.XLOOKUP(A2647:A6689,'参照_武将'!A:A,'参照_武将'!B:B,"見つかりません"))</f>
      </c>
      <c r="C2647" s="4" t="s">
        <v>5964</v>
      </c>
      <c r="D2647" s="4">
        <v>71</v>
      </c>
      <c r="E2647" s="12" t="str">
        <f t="array" ref="E2647">IF(D2647:D6689="","",IFERROR(_xlfn.XLOOKUP(D2647:D6689,'参照_勢力'!A:A,'参照_勢力'!B:B),IFERROR(_xlfn.XLOOKUP(F2647:F6689,kunishuClan!A:A,kunishuClan!B:B),"浪人")))</f>
      </c>
      <c r="F2647" s="4">
        <v>0</v>
      </c>
      <c r="G2647" s="4">
        <v>197</v>
      </c>
      <c r="H2647" s="12" t="str">
        <f t="array" ref="H2647">IF(G2647:G6689="","",_xlfn.XLOOKUP(G2647:G6689,castles_state!A:A,castles_state!D:D,"見つかりません"))</f>
      </c>
      <c r="I2647" s="4"/>
      <c r="J2647" s="12" t="str">
        <f t="array" ref="J2647">IF(I2647:I6689="","",_xlfn.XLOOKUP(I2647:I6689,'参照_姫'!A:A,'参照_姫'!B:B,"見つかりません"))</f>
      </c>
      <c r="K2647" s="4">
        <v>95</v>
      </c>
      <c r="L2647" s="4">
        <v>0</v>
      </c>
      <c r="M2647" s="4"/>
      <c r="N2647" s="4"/>
      <c r="O2647" s="4"/>
      <c r="P2647" s="12" t="str">
        <f t="array" ref="P2647">IF(O2647:O6689="","",_xlfn.XLOOKUP(O2647:O6689,'参照_官位'!A:A,'参照_官位'!B:B,""))</f>
      </c>
      <c r="Q2647" s="12" t="str">
        <f t="array" ref="Q2647">IF(A2647:A6689="","",IFERROR(_xlfn.XLOOKUP(A2647:A6689,castles_state!K:K,castles_state!D:D)&amp;"主",IFERROR(_xlfn.XLOOKUP(A2647:A6689,kunishuClan!D:D,kunishuClan!B:B)&amp;"当主","")))</f>
      </c>
    </row>
    <row r="2648" ht="15.75" customHeight="1">
      <c r="A2648" s="4">
        <v>1071008</v>
      </c>
      <c r="B2648" s="12" t="str">
        <f t="array" ref="B2648">IF(A2648:A6690="","",_xlfn.XLOOKUP(A2648:A6690,'参照_武将'!A:A,'参照_武将'!B:B,"見つかりません"))</f>
      </c>
      <c r="C2648" s="4" t="s">
        <v>5964</v>
      </c>
      <c r="D2648" s="4">
        <v>71</v>
      </c>
      <c r="E2648" s="12" t="str">
        <f t="array" ref="E2648">IF(D2648:D6690="","",IFERROR(_xlfn.XLOOKUP(D2648:D6690,'参照_勢力'!A:A,'参照_勢力'!B:B),IFERROR(_xlfn.XLOOKUP(F2648:F6690,kunishuClan!A:A,kunishuClan!B:B),"浪人")))</f>
      </c>
      <c r="F2648" s="4">
        <v>0</v>
      </c>
      <c r="G2648" s="4">
        <v>197</v>
      </c>
      <c r="H2648" s="12" t="str">
        <f t="array" ref="H2648">IF(G2648:G6690="","",_xlfn.XLOOKUP(G2648:G6690,castles_state!A:A,castles_state!D:D,"見つかりません"))</f>
      </c>
      <c r="I2648" s="4"/>
      <c r="J2648" s="12" t="str">
        <f t="array" ref="J2648">IF(I2648:I6690="","",_xlfn.XLOOKUP(I2648:I6690,'参照_姫'!A:A,'参照_姫'!B:B,"見つかりません"))</f>
      </c>
      <c r="K2648" s="4">
        <v>95</v>
      </c>
      <c r="L2648" s="4">
        <v>0</v>
      </c>
      <c r="M2648" s="4"/>
      <c r="N2648" s="4"/>
      <c r="O2648" s="4"/>
      <c r="P2648" s="12" t="str">
        <f t="array" ref="P2648">IF(O2648:O6690="","",_xlfn.XLOOKUP(O2648:O6690,'参照_官位'!A:A,'参照_官位'!B:B,""))</f>
      </c>
      <c r="Q2648" s="12" t="str">
        <f t="array" ref="Q2648">IF(A2648:A6690="","",IFERROR(_xlfn.XLOOKUP(A2648:A6690,castles_state!K:K,castles_state!D:D)&amp;"主",IFERROR(_xlfn.XLOOKUP(A2648:A6690,kunishuClan!D:D,kunishuClan!B:B)&amp;"当主","")))</f>
      </c>
    </row>
    <row r="2649" ht="15.75" customHeight="1">
      <c r="A2649" s="4">
        <v>1071009</v>
      </c>
      <c r="B2649" s="12" t="str">
        <f t="array" ref="B2649">IF(A2649:A6691="","",_xlfn.XLOOKUP(A2649:A6691,'参照_武将'!A:A,'参照_武将'!B:B,"見つかりません"))</f>
      </c>
      <c r="C2649" s="4" t="s">
        <v>5964</v>
      </c>
      <c r="D2649" s="4">
        <v>71</v>
      </c>
      <c r="E2649" s="12" t="str">
        <f t="array" ref="E2649">IF(D2649:D6691="","",IFERROR(_xlfn.XLOOKUP(D2649:D6691,'参照_勢力'!A:A,'参照_勢力'!B:B),IFERROR(_xlfn.XLOOKUP(F2649:F6691,kunishuClan!A:A,kunishuClan!B:B),"浪人")))</f>
      </c>
      <c r="F2649" s="4">
        <v>0</v>
      </c>
      <c r="G2649" s="4">
        <v>197</v>
      </c>
      <c r="H2649" s="12" t="str">
        <f t="array" ref="H2649">IF(G2649:G6691="","",_xlfn.XLOOKUP(G2649:G6691,castles_state!A:A,castles_state!D:D,"見つかりません"))</f>
      </c>
      <c r="I2649" s="4"/>
      <c r="J2649" s="12" t="str">
        <f t="array" ref="J2649">IF(I2649:I6691="","",_xlfn.XLOOKUP(I2649:I6691,'参照_姫'!A:A,'参照_姫'!B:B,"見つかりません"))</f>
      </c>
      <c r="K2649" s="4">
        <v>95</v>
      </c>
      <c r="L2649" s="4">
        <v>0</v>
      </c>
      <c r="M2649" s="4"/>
      <c r="N2649" s="4"/>
      <c r="O2649" s="4"/>
      <c r="P2649" s="12" t="str">
        <f t="array" ref="P2649">IF(O2649:O6691="","",_xlfn.XLOOKUP(O2649:O6691,'参照_官位'!A:A,'参照_官位'!B:B,""))</f>
      </c>
      <c r="Q2649" s="12" t="str">
        <f t="array" ref="Q2649">IF(A2649:A6691="","",IFERROR(_xlfn.XLOOKUP(A2649:A6691,castles_state!K:K,castles_state!D:D)&amp;"主",IFERROR(_xlfn.XLOOKUP(A2649:A6691,kunishuClan!D:D,kunishuClan!B:B)&amp;"当主","")))</f>
      </c>
    </row>
    <row r="2650" ht="15.75" customHeight="1">
      <c r="A2650" s="4">
        <v>1071010</v>
      </c>
      <c r="B2650" s="12" t="str">
        <f t="array" ref="B2650">IF(A2650:A6692="","",_xlfn.XLOOKUP(A2650:A6692,'参照_武将'!A:A,'参照_武将'!B:B,"見つかりません"))</f>
      </c>
      <c r="C2650" s="4" t="s">
        <v>5964</v>
      </c>
      <c r="D2650" s="4">
        <v>71</v>
      </c>
      <c r="E2650" s="12" t="str">
        <f t="array" ref="E2650">IF(D2650:D6692="","",IFERROR(_xlfn.XLOOKUP(D2650:D6692,'参照_勢力'!A:A,'参照_勢力'!B:B),IFERROR(_xlfn.XLOOKUP(F2650:F6692,kunishuClan!A:A,kunishuClan!B:B),"浪人")))</f>
      </c>
      <c r="F2650" s="4">
        <v>0</v>
      </c>
      <c r="G2650" s="4">
        <v>197</v>
      </c>
      <c r="H2650" s="12" t="str">
        <f t="array" ref="H2650">IF(G2650:G6692="","",_xlfn.XLOOKUP(G2650:G6692,castles_state!A:A,castles_state!D:D,"見つかりません"))</f>
      </c>
      <c r="I2650" s="4"/>
      <c r="J2650" s="12" t="str">
        <f t="array" ref="J2650">IF(I2650:I6692="","",_xlfn.XLOOKUP(I2650:I6692,'参照_姫'!A:A,'参照_姫'!B:B,"見つかりません"))</f>
      </c>
      <c r="K2650" s="4">
        <v>95</v>
      </c>
      <c r="L2650" s="4">
        <v>0</v>
      </c>
      <c r="M2650" s="4"/>
      <c r="N2650" s="4"/>
      <c r="O2650" s="4"/>
      <c r="P2650" s="12" t="str">
        <f t="array" ref="P2650">IF(O2650:O6692="","",_xlfn.XLOOKUP(O2650:O6692,'参照_官位'!A:A,'参照_官位'!B:B,""))</f>
      </c>
      <c r="Q2650" s="12" t="str">
        <f t="array" ref="Q2650">IF(A2650:A6692="","",IFERROR(_xlfn.XLOOKUP(A2650:A6692,castles_state!K:K,castles_state!D:D)&amp;"主",IFERROR(_xlfn.XLOOKUP(A2650:A6692,kunishuClan!D:D,kunishuClan!B:B)&amp;"当主","")))</f>
      </c>
    </row>
    <row r="2651" ht="15.75" customHeight="1">
      <c r="A2651" s="4">
        <v>1071011</v>
      </c>
      <c r="B2651" s="12" t="str">
        <f t="array" ref="B2651">IF(A2651:A6693="","",_xlfn.XLOOKUP(A2651:A6693,'参照_武将'!A:A,'参照_武将'!B:B,"見つかりません"))</f>
      </c>
      <c r="C2651" s="4" t="s">
        <v>5964</v>
      </c>
      <c r="D2651" s="4">
        <v>71</v>
      </c>
      <c r="E2651" s="12" t="str">
        <f t="array" ref="E2651">IF(D2651:D6693="","",IFERROR(_xlfn.XLOOKUP(D2651:D6693,'参照_勢力'!A:A,'参照_勢力'!B:B),IFERROR(_xlfn.XLOOKUP(F2651:F6693,kunishuClan!A:A,kunishuClan!B:B),"浪人")))</f>
      </c>
      <c r="F2651" s="4">
        <v>0</v>
      </c>
      <c r="G2651" s="4">
        <v>197</v>
      </c>
      <c r="H2651" s="12" t="str">
        <f t="array" ref="H2651">IF(G2651:G6693="","",_xlfn.XLOOKUP(G2651:G6693,castles_state!A:A,castles_state!D:D,"見つかりません"))</f>
      </c>
      <c r="I2651" s="4"/>
      <c r="J2651" s="12" t="str">
        <f t="array" ref="J2651">IF(I2651:I6693="","",_xlfn.XLOOKUP(I2651:I6693,'参照_姫'!A:A,'参照_姫'!B:B,"見つかりません"))</f>
      </c>
      <c r="K2651" s="4">
        <v>95</v>
      </c>
      <c r="L2651" s="4">
        <v>0</v>
      </c>
      <c r="M2651" s="4"/>
      <c r="N2651" s="4"/>
      <c r="O2651" s="4"/>
      <c r="P2651" s="12" t="str">
        <f t="array" ref="P2651">IF(O2651:O6693="","",_xlfn.XLOOKUP(O2651:O6693,'参照_官位'!A:A,'参照_官位'!B:B,""))</f>
      </c>
      <c r="Q2651" s="12" t="str">
        <f t="array" ref="Q2651">IF(A2651:A6693="","",IFERROR(_xlfn.XLOOKUP(A2651:A6693,castles_state!K:K,castles_state!D:D)&amp;"主",IFERROR(_xlfn.XLOOKUP(A2651:A6693,kunishuClan!D:D,kunishuClan!B:B)&amp;"当主","")))</f>
      </c>
    </row>
    <row r="2652" ht="15.75" customHeight="1">
      <c r="A2652" s="4">
        <v>1071012</v>
      </c>
      <c r="B2652" s="12" t="str">
        <f t="array" ref="B2652">IF(A2652:A6694="","",_xlfn.XLOOKUP(A2652:A6694,'参照_武将'!A:A,'参照_武将'!B:B,"見つかりません"))</f>
      </c>
      <c r="C2652" s="4" t="s">
        <v>5964</v>
      </c>
      <c r="D2652" s="4">
        <v>71</v>
      </c>
      <c r="E2652" s="12" t="str">
        <f t="array" ref="E2652">IF(D2652:D6694="","",IFERROR(_xlfn.XLOOKUP(D2652:D6694,'参照_勢力'!A:A,'参照_勢力'!B:B),IFERROR(_xlfn.XLOOKUP(F2652:F6694,kunishuClan!A:A,kunishuClan!B:B),"浪人")))</f>
      </c>
      <c r="F2652" s="4">
        <v>0</v>
      </c>
      <c r="G2652" s="4">
        <v>197</v>
      </c>
      <c r="H2652" s="12" t="str">
        <f t="array" ref="H2652">IF(G2652:G6694="","",_xlfn.XLOOKUP(G2652:G6694,castles_state!A:A,castles_state!D:D,"見つかりません"))</f>
      </c>
      <c r="I2652" s="4"/>
      <c r="J2652" s="12" t="str">
        <f t="array" ref="J2652">IF(I2652:I6694="","",_xlfn.XLOOKUP(I2652:I6694,'参照_姫'!A:A,'参照_姫'!B:B,"見つかりません"))</f>
      </c>
      <c r="K2652" s="4">
        <v>95</v>
      </c>
      <c r="L2652" s="4">
        <v>0</v>
      </c>
      <c r="M2652" s="4"/>
      <c r="N2652" s="4"/>
      <c r="O2652" s="4"/>
      <c r="P2652" s="12" t="str">
        <f t="array" ref="P2652">IF(O2652:O6694="","",_xlfn.XLOOKUP(O2652:O6694,'参照_官位'!A:A,'参照_官位'!B:B,""))</f>
      </c>
      <c r="Q2652" s="12" t="str">
        <f t="array" ref="Q2652">IF(A2652:A6694="","",IFERROR(_xlfn.XLOOKUP(A2652:A6694,castles_state!K:K,castles_state!D:D)&amp;"主",IFERROR(_xlfn.XLOOKUP(A2652:A6694,kunishuClan!D:D,kunishuClan!B:B)&amp;"当主","")))</f>
      </c>
    </row>
    <row r="2653" ht="15.75" customHeight="1">
      <c r="A2653" s="4">
        <v>1071013</v>
      </c>
      <c r="B2653" s="12" t="str">
        <f t="array" ref="B2653">IF(A2653:A6695="","",_xlfn.XLOOKUP(A2653:A6695,'参照_武将'!A:A,'参照_武将'!B:B,"見つかりません"))</f>
      </c>
      <c r="C2653" s="4" t="s">
        <v>5964</v>
      </c>
      <c r="D2653" s="4">
        <v>71</v>
      </c>
      <c r="E2653" s="12" t="str">
        <f t="array" ref="E2653">IF(D2653:D6695="","",IFERROR(_xlfn.XLOOKUP(D2653:D6695,'参照_勢力'!A:A,'参照_勢力'!B:B),IFERROR(_xlfn.XLOOKUP(F2653:F6695,kunishuClan!A:A,kunishuClan!B:B),"浪人")))</f>
      </c>
      <c r="F2653" s="4">
        <v>0</v>
      </c>
      <c r="G2653" s="4">
        <v>197</v>
      </c>
      <c r="H2653" s="12" t="str">
        <f t="array" ref="H2653">IF(G2653:G6695="","",_xlfn.XLOOKUP(G2653:G6695,castles_state!A:A,castles_state!D:D,"見つかりません"))</f>
      </c>
      <c r="I2653" s="4"/>
      <c r="J2653" s="12" t="str">
        <f t="array" ref="J2653">IF(I2653:I6695="","",_xlfn.XLOOKUP(I2653:I6695,'参照_姫'!A:A,'参照_姫'!B:B,"見つかりません"))</f>
      </c>
      <c r="K2653" s="4">
        <v>95</v>
      </c>
      <c r="L2653" s="4">
        <v>0</v>
      </c>
      <c r="M2653" s="4"/>
      <c r="N2653" s="4"/>
      <c r="O2653" s="4"/>
      <c r="P2653" s="12" t="str">
        <f t="array" ref="P2653">IF(O2653:O6695="","",_xlfn.XLOOKUP(O2653:O6695,'参照_官位'!A:A,'参照_官位'!B:B,""))</f>
      </c>
      <c r="Q2653" s="12" t="str">
        <f t="array" ref="Q2653">IF(A2653:A6695="","",IFERROR(_xlfn.XLOOKUP(A2653:A6695,castles_state!K:K,castles_state!D:D)&amp;"主",IFERROR(_xlfn.XLOOKUP(A2653:A6695,kunishuClan!D:D,kunishuClan!B:B)&amp;"当主","")))</f>
      </c>
    </row>
    <row r="2654" ht="15.75" customHeight="1">
      <c r="A2654" s="4">
        <v>1071014</v>
      </c>
      <c r="B2654" s="12" t="str">
        <f t="array" ref="B2654">IF(A2654:A6696="","",_xlfn.XLOOKUP(A2654:A6696,'参照_武将'!A:A,'参照_武将'!B:B,"見つかりません"))</f>
      </c>
      <c r="C2654" s="4" t="s">
        <v>5964</v>
      </c>
      <c r="D2654" s="4">
        <v>71</v>
      </c>
      <c r="E2654" s="12" t="str">
        <f t="array" ref="E2654">IF(D2654:D6696="","",IFERROR(_xlfn.XLOOKUP(D2654:D6696,'参照_勢力'!A:A,'参照_勢力'!B:B),IFERROR(_xlfn.XLOOKUP(F2654:F6696,kunishuClan!A:A,kunishuClan!B:B),"浪人")))</f>
      </c>
      <c r="F2654" s="4">
        <v>0</v>
      </c>
      <c r="G2654" s="4">
        <v>197</v>
      </c>
      <c r="H2654" s="12" t="str">
        <f t="array" ref="H2654">IF(G2654:G6696="","",_xlfn.XLOOKUP(G2654:G6696,castles_state!A:A,castles_state!D:D,"見つかりません"))</f>
      </c>
      <c r="I2654" s="4"/>
      <c r="J2654" s="12" t="str">
        <f t="array" ref="J2654">IF(I2654:I6696="","",_xlfn.XLOOKUP(I2654:I6696,'参照_姫'!A:A,'参照_姫'!B:B,"見つかりません"))</f>
      </c>
      <c r="K2654" s="4">
        <v>95</v>
      </c>
      <c r="L2654" s="4">
        <v>0</v>
      </c>
      <c r="M2654" s="4" t="b">
        <v>1</v>
      </c>
      <c r="N2654" s="4"/>
      <c r="O2654" s="4"/>
      <c r="P2654" s="12" t="str">
        <f t="array" ref="P2654">IF(O2654:O6696="","",_xlfn.XLOOKUP(O2654:O6696,'参照_官位'!A:A,'参照_官位'!B:B,""))</f>
      </c>
      <c r="Q2654" s="12" t="str">
        <f t="array" ref="Q2654">IF(A2654:A6696="","",IFERROR(_xlfn.XLOOKUP(A2654:A6696,castles_state!K:K,castles_state!D:D)&amp;"主",IFERROR(_xlfn.XLOOKUP(A2654:A6696,kunishuClan!D:D,kunishuClan!B:B)&amp;"当主","")))</f>
      </c>
    </row>
    <row r="2655" ht="15.75" customHeight="1">
      <c r="A2655" s="4">
        <v>1071015</v>
      </c>
      <c r="B2655" s="12" t="str">
        <f t="array" ref="B2655">IF(A2655:A6697="","",_xlfn.XLOOKUP(A2655:A6697,'参照_武将'!A:A,'参照_武将'!B:B,"見つかりません"))</f>
      </c>
      <c r="C2655" s="4" t="s">
        <v>5964</v>
      </c>
      <c r="D2655" s="4">
        <v>71</v>
      </c>
      <c r="E2655" s="12" t="str">
        <f t="array" ref="E2655">IF(D2655:D6697="","",IFERROR(_xlfn.XLOOKUP(D2655:D6697,'参照_勢力'!A:A,'参照_勢力'!B:B),IFERROR(_xlfn.XLOOKUP(F2655:F6697,kunishuClan!A:A,kunishuClan!B:B),"浪人")))</f>
      </c>
      <c r="F2655" s="4">
        <v>0</v>
      </c>
      <c r="G2655" s="4">
        <v>197</v>
      </c>
      <c r="H2655" s="12" t="str">
        <f t="array" ref="H2655">IF(G2655:G6697="","",_xlfn.XLOOKUP(G2655:G6697,castles_state!A:A,castles_state!D:D,"見つかりません"))</f>
      </c>
      <c r="I2655" s="4"/>
      <c r="J2655" s="12" t="str">
        <f t="array" ref="J2655">IF(I2655:I6697="","",_xlfn.XLOOKUP(I2655:I6697,'参照_姫'!A:A,'参照_姫'!B:B,"見つかりません"))</f>
      </c>
      <c r="K2655" s="4">
        <v>95</v>
      </c>
      <c r="L2655" s="4">
        <v>0</v>
      </c>
      <c r="M2655" s="4"/>
      <c r="N2655" s="4"/>
      <c r="O2655" s="4"/>
      <c r="P2655" s="12" t="str">
        <f t="array" ref="P2655">IF(O2655:O6697="","",_xlfn.XLOOKUP(O2655:O6697,'参照_官位'!A:A,'参照_官位'!B:B,""))</f>
      </c>
      <c r="Q2655" s="12" t="str">
        <f t="array" ref="Q2655">IF(A2655:A6697="","",IFERROR(_xlfn.XLOOKUP(A2655:A6697,castles_state!K:K,castles_state!D:D)&amp;"主",IFERROR(_xlfn.XLOOKUP(A2655:A6697,kunishuClan!D:D,kunishuClan!B:B)&amp;"当主","")))</f>
      </c>
    </row>
    <row r="2656" ht="15.75" customHeight="1">
      <c r="A2656" s="4">
        <v>1071016</v>
      </c>
      <c r="B2656" s="12" t="str">
        <f t="array" ref="B2656">IF(A2656:A6698="","",_xlfn.XLOOKUP(A2656:A6698,'参照_武将'!A:A,'参照_武将'!B:B,"見つかりません"))</f>
      </c>
      <c r="C2656" s="4" t="s">
        <v>5964</v>
      </c>
      <c r="D2656" s="4">
        <v>71</v>
      </c>
      <c r="E2656" s="12" t="str">
        <f t="array" ref="E2656">IF(D2656:D6698="","",IFERROR(_xlfn.XLOOKUP(D2656:D6698,'参照_勢力'!A:A,'参照_勢力'!B:B),IFERROR(_xlfn.XLOOKUP(F2656:F6698,kunishuClan!A:A,kunishuClan!B:B),"浪人")))</f>
      </c>
      <c r="F2656" s="4">
        <v>0</v>
      </c>
      <c r="G2656" s="4">
        <v>197</v>
      </c>
      <c r="H2656" s="12" t="str">
        <f t="array" ref="H2656">IF(G2656:G6698="","",_xlfn.XLOOKUP(G2656:G6698,castles_state!A:A,castles_state!D:D,"見つかりません"))</f>
      </c>
      <c r="I2656" s="4"/>
      <c r="J2656" s="12" t="str">
        <f t="array" ref="J2656">IF(I2656:I6698="","",_xlfn.XLOOKUP(I2656:I6698,'参照_姫'!A:A,'参照_姫'!B:B,"見つかりません"))</f>
      </c>
      <c r="K2656" s="4">
        <v>95</v>
      </c>
      <c r="L2656" s="4">
        <v>0</v>
      </c>
      <c r="M2656" s="4"/>
      <c r="N2656" s="4"/>
      <c r="O2656" s="4"/>
      <c r="P2656" s="12" t="str">
        <f t="array" ref="P2656">IF(O2656:O6698="","",_xlfn.XLOOKUP(O2656:O6698,'参照_官位'!A:A,'参照_官位'!B:B,""))</f>
      </c>
      <c r="Q2656" s="12" t="str">
        <f t="array" ref="Q2656">IF(A2656:A6698="","",IFERROR(_xlfn.XLOOKUP(A2656:A6698,castles_state!K:K,castles_state!D:D)&amp;"主",IFERROR(_xlfn.XLOOKUP(A2656:A6698,kunishuClan!D:D,kunishuClan!B:B)&amp;"当主","")))</f>
      </c>
    </row>
    <row r="2657" ht="15.75" customHeight="1">
      <c r="A2657" s="4">
        <v>1071017</v>
      </c>
      <c r="B2657" s="12" t="str">
        <f t="array" ref="B2657">IF(A2657:A6699="","",_xlfn.XLOOKUP(A2657:A6699,'参照_武将'!A:A,'参照_武将'!B:B,"見つかりません"))</f>
      </c>
      <c r="C2657" s="4" t="s">
        <v>5964</v>
      </c>
      <c r="D2657" s="4">
        <v>71</v>
      </c>
      <c r="E2657" s="12" t="str">
        <f t="array" ref="E2657">IF(D2657:D6699="","",IFERROR(_xlfn.XLOOKUP(D2657:D6699,'参照_勢力'!A:A,'参照_勢力'!B:B),IFERROR(_xlfn.XLOOKUP(F2657:F6699,kunishuClan!A:A,kunishuClan!B:B),"浪人")))</f>
      </c>
      <c r="F2657" s="4">
        <v>0</v>
      </c>
      <c r="G2657" s="4">
        <v>197</v>
      </c>
      <c r="H2657" s="12" t="str">
        <f t="array" ref="H2657">IF(G2657:G6699="","",_xlfn.XLOOKUP(G2657:G6699,castles_state!A:A,castles_state!D:D,"見つかりません"))</f>
      </c>
      <c r="I2657" s="4"/>
      <c r="J2657" s="12" t="str">
        <f t="array" ref="J2657">IF(I2657:I6699="","",_xlfn.XLOOKUP(I2657:I6699,'参照_姫'!A:A,'参照_姫'!B:B,"見つかりません"))</f>
      </c>
      <c r="K2657" s="4">
        <v>95</v>
      </c>
      <c r="L2657" s="4">
        <v>0</v>
      </c>
      <c r="M2657" s="4"/>
      <c r="N2657" s="4"/>
      <c r="O2657" s="4"/>
      <c r="P2657" s="12" t="str">
        <f t="array" ref="P2657">IF(O2657:O6699="","",_xlfn.XLOOKUP(O2657:O6699,'参照_官位'!A:A,'参照_官位'!B:B,""))</f>
      </c>
      <c r="Q2657" s="12" t="str">
        <f t="array" ref="Q2657">IF(A2657:A6699="","",IFERROR(_xlfn.XLOOKUP(A2657:A6699,castles_state!K:K,castles_state!D:D)&amp;"主",IFERROR(_xlfn.XLOOKUP(A2657:A6699,kunishuClan!D:D,kunishuClan!B:B)&amp;"当主","")))</f>
      </c>
    </row>
    <row r="2658" ht="15.75" customHeight="1">
      <c r="A2658" s="4">
        <v>1071018</v>
      </c>
      <c r="B2658" s="12" t="str">
        <f t="array" ref="B2658">IF(A2658:A6700="","",_xlfn.XLOOKUP(A2658:A6700,'参照_武将'!A:A,'参照_武将'!B:B,"見つかりません"))</f>
      </c>
      <c r="C2658" s="4" t="s">
        <v>5964</v>
      </c>
      <c r="D2658" s="4">
        <v>71</v>
      </c>
      <c r="E2658" s="12" t="str">
        <f t="array" ref="E2658">IF(D2658:D6700="","",IFERROR(_xlfn.XLOOKUP(D2658:D6700,'参照_勢力'!A:A,'参照_勢力'!B:B),IFERROR(_xlfn.XLOOKUP(F2658:F6700,kunishuClan!A:A,kunishuClan!B:B),"浪人")))</f>
      </c>
      <c r="F2658" s="4">
        <v>0</v>
      </c>
      <c r="G2658" s="4">
        <v>197</v>
      </c>
      <c r="H2658" s="12" t="str">
        <f t="array" ref="H2658">IF(G2658:G6700="","",_xlfn.XLOOKUP(G2658:G6700,castles_state!A:A,castles_state!D:D,"見つかりません"))</f>
      </c>
      <c r="I2658" s="4"/>
      <c r="J2658" s="12" t="str">
        <f t="array" ref="J2658">IF(I2658:I6700="","",_xlfn.XLOOKUP(I2658:I6700,'参照_姫'!A:A,'参照_姫'!B:B,"見つかりません"))</f>
      </c>
      <c r="K2658" s="4">
        <v>95</v>
      </c>
      <c r="L2658" s="4">
        <v>0</v>
      </c>
      <c r="M2658" s="4"/>
      <c r="N2658" s="4"/>
      <c r="O2658" s="4"/>
      <c r="P2658" s="12" t="str">
        <f t="array" ref="P2658">IF(O2658:O6700="","",_xlfn.XLOOKUP(O2658:O6700,'参照_官位'!A:A,'参照_官位'!B:B,""))</f>
      </c>
      <c r="Q2658" s="12" t="str">
        <f t="array" ref="Q2658">IF(A2658:A6700="","",IFERROR(_xlfn.XLOOKUP(A2658:A6700,castles_state!K:K,castles_state!D:D)&amp;"主",IFERROR(_xlfn.XLOOKUP(A2658:A6700,kunishuClan!D:D,kunishuClan!B:B)&amp;"当主","")))</f>
      </c>
    </row>
    <row r="2659" ht="15.75" customHeight="1">
      <c r="A2659" s="4">
        <v>1071019</v>
      </c>
      <c r="B2659" s="12" t="str">
        <f t="array" ref="B2659">IF(A2659:A6701="","",_xlfn.XLOOKUP(A2659:A6701,'参照_武将'!A:A,'参照_武将'!B:B,"見つかりません"))</f>
      </c>
      <c r="C2659" s="4" t="s">
        <v>5964</v>
      </c>
      <c r="D2659" s="4">
        <v>71</v>
      </c>
      <c r="E2659" s="12" t="str">
        <f t="array" ref="E2659">IF(D2659:D6701="","",IFERROR(_xlfn.XLOOKUP(D2659:D6701,'参照_勢力'!A:A,'参照_勢力'!B:B),IFERROR(_xlfn.XLOOKUP(F2659:F6701,kunishuClan!A:A,kunishuClan!B:B),"浪人")))</f>
      </c>
      <c r="F2659" s="4">
        <v>0</v>
      </c>
      <c r="G2659" s="4">
        <v>197</v>
      </c>
      <c r="H2659" s="12" t="str">
        <f t="array" ref="H2659">IF(G2659:G6701="","",_xlfn.XLOOKUP(G2659:G6701,castles_state!A:A,castles_state!D:D,"見つかりません"))</f>
      </c>
      <c r="I2659" s="4"/>
      <c r="J2659" s="12" t="str">
        <f t="array" ref="J2659">IF(I2659:I6701="","",_xlfn.XLOOKUP(I2659:I6701,'参照_姫'!A:A,'参照_姫'!B:B,"見つかりません"))</f>
      </c>
      <c r="K2659" s="4">
        <v>95</v>
      </c>
      <c r="L2659" s="4">
        <v>0</v>
      </c>
      <c r="M2659" s="4"/>
      <c r="N2659" s="4"/>
      <c r="O2659" s="4"/>
      <c r="P2659" s="12" t="str">
        <f t="array" ref="P2659">IF(O2659:O6701="","",_xlfn.XLOOKUP(O2659:O6701,'参照_官位'!A:A,'参照_官位'!B:B,""))</f>
      </c>
      <c r="Q2659" s="12" t="str">
        <f t="array" ref="Q2659">IF(A2659:A6701="","",IFERROR(_xlfn.XLOOKUP(A2659:A6701,castles_state!K:K,castles_state!D:D)&amp;"主",IFERROR(_xlfn.XLOOKUP(A2659:A6701,kunishuClan!D:D,kunishuClan!B:B)&amp;"当主","")))</f>
      </c>
    </row>
    <row r="2660" ht="15.75" customHeight="1">
      <c r="A2660" s="4">
        <v>1071020</v>
      </c>
      <c r="B2660" s="12" t="str">
        <f t="array" ref="B2660">IF(A2660:A6702="","",_xlfn.XLOOKUP(A2660:A6702,'参照_武将'!A:A,'参照_武将'!B:B,"見つかりません"))</f>
      </c>
      <c r="C2660" s="4" t="s">
        <v>5964</v>
      </c>
      <c r="D2660" s="4">
        <v>71</v>
      </c>
      <c r="E2660" s="12" t="str">
        <f t="array" ref="E2660">IF(D2660:D6702="","",IFERROR(_xlfn.XLOOKUP(D2660:D6702,'参照_勢力'!A:A,'参照_勢力'!B:B),IFERROR(_xlfn.XLOOKUP(F2660:F6702,kunishuClan!A:A,kunishuClan!B:B),"浪人")))</f>
      </c>
      <c r="F2660" s="4">
        <v>0</v>
      </c>
      <c r="G2660" s="4">
        <v>197</v>
      </c>
      <c r="H2660" s="12" t="str">
        <f t="array" ref="H2660">IF(G2660:G6702="","",_xlfn.XLOOKUP(G2660:G6702,castles_state!A:A,castles_state!D:D,"見つかりません"))</f>
      </c>
      <c r="I2660" s="4"/>
      <c r="J2660" s="12" t="str">
        <f t="array" ref="J2660">IF(I2660:I6702="","",_xlfn.XLOOKUP(I2660:I6702,'参照_姫'!A:A,'参照_姫'!B:B,"見つかりません"))</f>
      </c>
      <c r="K2660" s="4">
        <v>95</v>
      </c>
      <c r="L2660" s="4">
        <v>0</v>
      </c>
      <c r="M2660" s="4"/>
      <c r="N2660" s="4"/>
      <c r="O2660" s="4"/>
      <c r="P2660" s="12" t="str">
        <f t="array" ref="P2660">IF(O2660:O6702="","",_xlfn.XLOOKUP(O2660:O6702,'参照_官位'!A:A,'参照_官位'!B:B,""))</f>
      </c>
      <c r="Q2660" s="12" t="str">
        <f t="array" ref="Q2660">IF(A2660:A6702="","",IFERROR(_xlfn.XLOOKUP(A2660:A6702,castles_state!K:K,castles_state!D:D)&amp;"主",IFERROR(_xlfn.XLOOKUP(A2660:A6702,kunishuClan!D:D,kunishuClan!B:B)&amp;"当主","")))</f>
      </c>
    </row>
    <row r="2661" ht="15.75" customHeight="1">
      <c r="A2661" s="4">
        <v>1071021</v>
      </c>
      <c r="B2661" s="12" t="str">
        <f t="array" ref="B2661">IF(A2661:A6703="","",_xlfn.XLOOKUP(A2661:A6703,'参照_武将'!A:A,'参照_武将'!B:B,"見つかりません"))</f>
      </c>
      <c r="C2661" s="4" t="s">
        <v>5964</v>
      </c>
      <c r="D2661" s="4">
        <v>71</v>
      </c>
      <c r="E2661" s="12" t="str">
        <f t="array" ref="E2661">IF(D2661:D6703="","",IFERROR(_xlfn.XLOOKUP(D2661:D6703,'参照_勢力'!A:A,'参照_勢力'!B:B),IFERROR(_xlfn.XLOOKUP(F2661:F6703,kunishuClan!A:A,kunishuClan!B:B),"浪人")))</f>
      </c>
      <c r="F2661" s="4">
        <v>0</v>
      </c>
      <c r="G2661" s="4">
        <v>197</v>
      </c>
      <c r="H2661" s="12" t="str">
        <f t="array" ref="H2661">IF(G2661:G6703="","",_xlfn.XLOOKUP(G2661:G6703,castles_state!A:A,castles_state!D:D,"見つかりません"))</f>
      </c>
      <c r="I2661" s="4"/>
      <c r="J2661" s="12" t="str">
        <f t="array" ref="J2661">IF(I2661:I6703="","",_xlfn.XLOOKUP(I2661:I6703,'参照_姫'!A:A,'参照_姫'!B:B,"見つかりません"))</f>
      </c>
      <c r="K2661" s="4">
        <v>95</v>
      </c>
      <c r="L2661" s="4">
        <v>0</v>
      </c>
      <c r="M2661" s="4"/>
      <c r="N2661" s="4"/>
      <c r="O2661" s="4"/>
      <c r="P2661" s="12" t="str">
        <f t="array" ref="P2661">IF(O2661:O6703="","",_xlfn.XLOOKUP(O2661:O6703,'参照_官位'!A:A,'参照_官位'!B:B,""))</f>
      </c>
      <c r="Q2661" s="12" t="str">
        <f t="array" ref="Q2661">IF(A2661:A6703="","",IFERROR(_xlfn.XLOOKUP(A2661:A6703,castles_state!K:K,castles_state!D:D)&amp;"主",IFERROR(_xlfn.XLOOKUP(A2661:A6703,kunishuClan!D:D,kunishuClan!B:B)&amp;"当主","")))</f>
      </c>
    </row>
    <row r="2662" ht="15.75" customHeight="1">
      <c r="A2662" s="4">
        <v>1071022</v>
      </c>
      <c r="B2662" s="12" t="str">
        <f t="array" ref="B2662">IF(A2662:A6704="","",_xlfn.XLOOKUP(A2662:A6704,'参照_武将'!A:A,'参照_武将'!B:B,"見つかりません"))</f>
      </c>
      <c r="C2662" s="4" t="s">
        <v>5964</v>
      </c>
      <c r="D2662" s="4">
        <v>71</v>
      </c>
      <c r="E2662" s="12" t="str">
        <f t="array" ref="E2662">IF(D2662:D6704="","",IFERROR(_xlfn.XLOOKUP(D2662:D6704,'参照_勢力'!A:A,'参照_勢力'!B:B),IFERROR(_xlfn.XLOOKUP(F2662:F6704,kunishuClan!A:A,kunishuClan!B:B),"浪人")))</f>
      </c>
      <c r="F2662" s="4">
        <v>0</v>
      </c>
      <c r="G2662" s="4">
        <v>197</v>
      </c>
      <c r="H2662" s="12" t="str">
        <f t="array" ref="H2662">IF(G2662:G6704="","",_xlfn.XLOOKUP(G2662:G6704,castles_state!A:A,castles_state!D:D,"見つかりません"))</f>
      </c>
      <c r="I2662" s="4"/>
      <c r="J2662" s="12" t="str">
        <f t="array" ref="J2662">IF(I2662:I6704="","",_xlfn.XLOOKUP(I2662:I6704,'参照_姫'!A:A,'参照_姫'!B:B,"見つかりません"))</f>
      </c>
      <c r="K2662" s="4">
        <v>95</v>
      </c>
      <c r="L2662" s="4">
        <v>0</v>
      </c>
      <c r="M2662" s="4"/>
      <c r="N2662" s="4"/>
      <c r="O2662" s="4"/>
      <c r="P2662" s="12" t="str">
        <f t="array" ref="P2662">IF(O2662:O6704="","",_xlfn.XLOOKUP(O2662:O6704,'参照_官位'!A:A,'参照_官位'!B:B,""))</f>
      </c>
      <c r="Q2662" s="12" t="str">
        <f t="array" ref="Q2662">IF(A2662:A6704="","",IFERROR(_xlfn.XLOOKUP(A2662:A6704,castles_state!K:K,castles_state!D:D)&amp;"主",IFERROR(_xlfn.XLOOKUP(A2662:A6704,kunishuClan!D:D,kunishuClan!B:B)&amp;"当主","")))</f>
      </c>
    </row>
    <row r="2663" ht="15.75" customHeight="1">
      <c r="A2663" s="4">
        <v>1071023</v>
      </c>
      <c r="B2663" s="12" t="str">
        <f t="array" ref="B2663">IF(A2663:A6705="","",_xlfn.XLOOKUP(A2663:A6705,'参照_武将'!A:A,'参照_武将'!B:B,"見つかりません"))</f>
      </c>
      <c r="C2663" s="4" t="s">
        <v>5964</v>
      </c>
      <c r="D2663" s="4">
        <v>71</v>
      </c>
      <c r="E2663" s="12" t="str">
        <f t="array" ref="E2663">IF(D2663:D6705="","",IFERROR(_xlfn.XLOOKUP(D2663:D6705,'参照_勢力'!A:A,'参照_勢力'!B:B),IFERROR(_xlfn.XLOOKUP(F2663:F6705,kunishuClan!A:A,kunishuClan!B:B),"浪人")))</f>
      </c>
      <c r="F2663" s="4">
        <v>0</v>
      </c>
      <c r="G2663" s="4">
        <v>197</v>
      </c>
      <c r="H2663" s="12" t="str">
        <f t="array" ref="H2663">IF(G2663:G6705="","",_xlfn.XLOOKUP(G2663:G6705,castles_state!A:A,castles_state!D:D,"見つかりません"))</f>
      </c>
      <c r="I2663" s="4"/>
      <c r="J2663" s="12" t="str">
        <f t="array" ref="J2663">IF(I2663:I6705="","",_xlfn.XLOOKUP(I2663:I6705,'参照_姫'!A:A,'参照_姫'!B:B,"見つかりません"))</f>
      </c>
      <c r="K2663" s="4">
        <v>85</v>
      </c>
      <c r="L2663" s="4">
        <v>0</v>
      </c>
      <c r="M2663" s="4"/>
      <c r="N2663" s="4"/>
      <c r="O2663" s="4"/>
      <c r="P2663" s="12" t="str">
        <f t="array" ref="P2663">IF(O2663:O6705="","",_xlfn.XLOOKUP(O2663:O6705,'参照_官位'!A:A,'参照_官位'!B:B,""))</f>
      </c>
      <c r="Q2663" s="12" t="str">
        <f t="array" ref="Q2663">IF(A2663:A6705="","",IFERROR(_xlfn.XLOOKUP(A2663:A6705,castles_state!K:K,castles_state!D:D)&amp;"主",IFERROR(_xlfn.XLOOKUP(A2663:A6705,kunishuClan!D:D,kunishuClan!B:B)&amp;"当主","")))</f>
      </c>
    </row>
    <row r="2664" ht="15.75" customHeight="1">
      <c r="A2664" s="4">
        <v>1071024</v>
      </c>
      <c r="B2664" s="12" t="str">
        <f t="array" ref="B2664">IF(A2664:A6706="","",_xlfn.XLOOKUP(A2664:A6706,'参照_武将'!A:A,'参照_武将'!B:B,"見つかりません"))</f>
      </c>
      <c r="C2664" s="4" t="s">
        <v>5964</v>
      </c>
      <c r="D2664" s="4">
        <v>71</v>
      </c>
      <c r="E2664" s="12" t="str">
        <f t="array" ref="E2664">IF(D2664:D6706="","",IFERROR(_xlfn.XLOOKUP(D2664:D6706,'参照_勢力'!A:A,'参照_勢力'!B:B),IFERROR(_xlfn.XLOOKUP(F2664:F6706,kunishuClan!A:A,kunishuClan!B:B),"浪人")))</f>
      </c>
      <c r="F2664" s="4">
        <v>0</v>
      </c>
      <c r="G2664" s="4">
        <v>197</v>
      </c>
      <c r="H2664" s="12" t="str">
        <f t="array" ref="H2664">IF(G2664:G6706="","",_xlfn.XLOOKUP(G2664:G6706,castles_state!A:A,castles_state!D:D,"見つかりません"))</f>
      </c>
      <c r="I2664" s="4"/>
      <c r="J2664" s="12" t="str">
        <f t="array" ref="J2664">IF(I2664:I6706="","",_xlfn.XLOOKUP(I2664:I6706,'参照_姫'!A:A,'参照_姫'!B:B,"見つかりません"))</f>
      </c>
      <c r="K2664" s="4">
        <v>85</v>
      </c>
      <c r="L2664" s="4">
        <v>0</v>
      </c>
      <c r="M2664" s="4"/>
      <c r="N2664" s="4"/>
      <c r="O2664" s="4"/>
      <c r="P2664" s="12" t="str">
        <f t="array" ref="P2664">IF(O2664:O6706="","",_xlfn.XLOOKUP(O2664:O6706,'参照_官位'!A:A,'参照_官位'!B:B,""))</f>
      </c>
      <c r="Q2664" s="12" t="str">
        <f t="array" ref="Q2664">IF(A2664:A6706="","",IFERROR(_xlfn.XLOOKUP(A2664:A6706,castles_state!K:K,castles_state!D:D)&amp;"主",IFERROR(_xlfn.XLOOKUP(A2664:A6706,kunishuClan!D:D,kunishuClan!B:B)&amp;"当主","")))</f>
      </c>
    </row>
    <row r="2665" ht="15.75" customHeight="1">
      <c r="A2665" s="4">
        <v>1072001</v>
      </c>
      <c r="B2665" s="12" t="str">
        <f t="array" ref="B2665">IF(A2665:A6707="","",_xlfn.XLOOKUP(A2665:A6707,'参照_武将'!A:A,'参照_武将'!B:B,"見つかりません"))</f>
      </c>
      <c r="C2665" s="4" t="s">
        <v>340</v>
      </c>
      <c r="D2665" s="4">
        <v>72</v>
      </c>
      <c r="E2665" s="12" t="str">
        <f t="array" ref="E2665">IF(D2665:D6707="","",IFERROR(_xlfn.XLOOKUP(D2665:D6707,'参照_勢力'!A:A,'参照_勢力'!B:B),IFERROR(_xlfn.XLOOKUP(F2665:F6707,kunishuClan!A:A,kunishuClan!B:B),"浪人")))</f>
      </c>
      <c r="F2665" s="4">
        <v>0</v>
      </c>
      <c r="G2665" s="4">
        <v>198</v>
      </c>
      <c r="H2665" s="12" t="str">
        <f t="array" ref="H2665">IF(G2665:G6707="","",_xlfn.XLOOKUP(G2665:G6707,castles_state!A:A,castles_state!D:D,"見つかりません"))</f>
      </c>
      <c r="I2665" s="4"/>
      <c r="J2665" s="12" t="str">
        <f t="array" ref="J2665">IF(I2665:I6707="","",_xlfn.XLOOKUP(I2665:I6707,'参照_姫'!A:A,'参照_姫'!B:B,"見つかりません"))</f>
      </c>
      <c r="K2665" s="4">
        <v>100</v>
      </c>
      <c r="L2665" s="4">
        <v>1000</v>
      </c>
      <c r="M2665" s="4"/>
      <c r="N2665" s="4"/>
      <c r="O2665" s="4"/>
      <c r="P2665" s="12" t="str">
        <f t="array" ref="P2665">IF(O2665:O6707="","",_xlfn.XLOOKUP(O2665:O6707,'参照_官位'!A:A,'参照_官位'!B:B,""))</f>
      </c>
      <c r="Q2665" s="12" t="str">
        <f t="array" ref="Q2665">IF(A2665:A6707="","",IFERROR(_xlfn.XLOOKUP(A2665:A6707,castles_state!K:K,castles_state!D:D)&amp;"主",IFERROR(_xlfn.XLOOKUP(A2665:A6707,kunishuClan!D:D,kunishuClan!B:B)&amp;"当主","")))</f>
      </c>
    </row>
    <row r="2666" ht="15.75" customHeight="1">
      <c r="A2666" s="4">
        <v>1072002</v>
      </c>
      <c r="B2666" s="12" t="str">
        <f t="array" ref="B2666">IF(A2666:A6708="","",_xlfn.XLOOKUP(A2666:A6708,'参照_武将'!A:A,'参照_武将'!B:B,"見つかりません"))</f>
      </c>
      <c r="C2666" s="4" t="s">
        <v>340</v>
      </c>
      <c r="D2666" s="4">
        <v>72</v>
      </c>
      <c r="E2666" s="12" t="str">
        <f t="array" ref="E2666">IF(D2666:D6708="","",IFERROR(_xlfn.XLOOKUP(D2666:D6708,'参照_勢力'!A:A,'参照_勢力'!B:B),IFERROR(_xlfn.XLOOKUP(F2666:F6708,kunishuClan!A:A,kunishuClan!B:B),"浪人")))</f>
      </c>
      <c r="F2666" s="4">
        <v>0</v>
      </c>
      <c r="G2666" s="4">
        <v>198</v>
      </c>
      <c r="H2666" s="12" t="str">
        <f t="array" ref="H2666">IF(G2666:G6708="","",_xlfn.XLOOKUP(G2666:G6708,castles_state!A:A,castles_state!D:D,"見つかりません"))</f>
      </c>
      <c r="I2666" s="4"/>
      <c r="J2666" s="12" t="str">
        <f t="array" ref="J2666">IF(I2666:I6708="","",_xlfn.XLOOKUP(I2666:I6708,'参照_姫'!A:A,'参照_姫'!B:B,"見つかりません"))</f>
      </c>
      <c r="K2666" s="4">
        <v>100</v>
      </c>
      <c r="L2666" s="4">
        <v>1000</v>
      </c>
      <c r="M2666" s="4"/>
      <c r="N2666" s="4"/>
      <c r="O2666" s="4"/>
      <c r="P2666" s="12" t="str">
        <f t="array" ref="P2666">IF(O2666:O6708="","",_xlfn.XLOOKUP(O2666:O6708,'参照_官位'!A:A,'参照_官位'!B:B,""))</f>
      </c>
      <c r="Q2666" s="12" t="str">
        <f t="array" ref="Q2666">IF(A2666:A6708="","",IFERROR(_xlfn.XLOOKUP(A2666:A6708,castles_state!K:K,castles_state!D:D)&amp;"主",IFERROR(_xlfn.XLOOKUP(A2666:A6708,kunishuClan!D:D,kunishuClan!B:B)&amp;"当主","")))</f>
      </c>
    </row>
    <row r="2667" ht="15.75" customHeight="1">
      <c r="A2667" s="4">
        <v>1072003</v>
      </c>
      <c r="B2667" s="12" t="str">
        <f t="array" ref="B2667">IF(A2667:A6709="","",_xlfn.XLOOKUP(A2667:A6709,'参照_武将'!A:A,'参照_武将'!B:B,"見つかりません"))</f>
      </c>
      <c r="C2667" s="4" t="s">
        <v>340</v>
      </c>
      <c r="D2667" s="4">
        <v>72</v>
      </c>
      <c r="E2667" s="12" t="str">
        <f t="array" ref="E2667">IF(D2667:D6709="","",IFERROR(_xlfn.XLOOKUP(D2667:D6709,'参照_勢力'!A:A,'参照_勢力'!B:B),IFERROR(_xlfn.XLOOKUP(F2667:F6709,kunishuClan!A:A,kunishuClan!B:B),"浪人")))</f>
      </c>
      <c r="F2667" s="4">
        <v>0</v>
      </c>
      <c r="G2667" s="4">
        <v>198</v>
      </c>
      <c r="H2667" s="12" t="str">
        <f t="array" ref="H2667">IF(G2667:G6709="","",_xlfn.XLOOKUP(G2667:G6709,castles_state!A:A,castles_state!D:D,"見つかりません"))</f>
      </c>
      <c r="I2667" s="4"/>
      <c r="J2667" s="12" t="str">
        <f t="array" ref="J2667">IF(I2667:I6709="","",_xlfn.XLOOKUP(I2667:I6709,'参照_姫'!A:A,'参照_姫'!B:B,"見つかりません"))</f>
      </c>
      <c r="K2667" s="4">
        <v>95</v>
      </c>
      <c r="L2667" s="4">
        <v>500</v>
      </c>
      <c r="M2667" s="4"/>
      <c r="N2667" s="4"/>
      <c r="O2667" s="4"/>
      <c r="P2667" s="12" t="str">
        <f t="array" ref="P2667">IF(O2667:O6709="","",_xlfn.XLOOKUP(O2667:O6709,'参照_官位'!A:A,'参照_官位'!B:B,""))</f>
      </c>
      <c r="Q2667" s="12" t="str">
        <f t="array" ref="Q2667">IF(A2667:A6709="","",IFERROR(_xlfn.XLOOKUP(A2667:A6709,castles_state!K:K,castles_state!D:D)&amp;"主",IFERROR(_xlfn.XLOOKUP(A2667:A6709,kunishuClan!D:D,kunishuClan!B:B)&amp;"当主","")))</f>
      </c>
    </row>
    <row r="2668" ht="15.75" customHeight="1">
      <c r="A2668" s="4">
        <v>1072004</v>
      </c>
      <c r="B2668" s="12" t="str">
        <f t="array" ref="B2668">IF(A2668:A6710="","",_xlfn.XLOOKUP(A2668:A6710,'参照_武将'!A:A,'参照_武将'!B:B,"見つかりません"))</f>
      </c>
      <c r="C2668" s="4" t="s">
        <v>340</v>
      </c>
      <c r="D2668" s="4">
        <v>72</v>
      </c>
      <c r="E2668" s="12" t="str">
        <f t="array" ref="E2668">IF(D2668:D6710="","",IFERROR(_xlfn.XLOOKUP(D2668:D6710,'参照_勢力'!A:A,'参照_勢力'!B:B),IFERROR(_xlfn.XLOOKUP(F2668:F6710,kunishuClan!A:A,kunishuClan!B:B),"浪人")))</f>
      </c>
      <c r="F2668" s="4">
        <v>0</v>
      </c>
      <c r="G2668" s="4">
        <v>198</v>
      </c>
      <c r="H2668" s="12" t="str">
        <f t="array" ref="H2668">IF(G2668:G6710="","",_xlfn.XLOOKUP(G2668:G6710,castles_state!A:A,castles_state!D:D,"見つかりません"))</f>
      </c>
      <c r="I2668" s="4"/>
      <c r="J2668" s="12" t="str">
        <f t="array" ref="J2668">IF(I2668:I6710="","",_xlfn.XLOOKUP(I2668:I6710,'参照_姫'!A:A,'参照_姫'!B:B,"見つかりません"))</f>
      </c>
      <c r="K2668" s="4">
        <v>95</v>
      </c>
      <c r="L2668" s="4">
        <v>0</v>
      </c>
      <c r="M2668" s="4"/>
      <c r="N2668" s="4"/>
      <c r="O2668" s="4"/>
      <c r="P2668" s="12" t="str">
        <f t="array" ref="P2668">IF(O2668:O6710="","",_xlfn.XLOOKUP(O2668:O6710,'参照_官位'!A:A,'参照_官位'!B:B,""))</f>
      </c>
      <c r="Q2668" s="12" t="str">
        <f t="array" ref="Q2668">IF(A2668:A6710="","",IFERROR(_xlfn.XLOOKUP(A2668:A6710,castles_state!K:K,castles_state!D:D)&amp;"主",IFERROR(_xlfn.XLOOKUP(A2668:A6710,kunishuClan!D:D,kunishuClan!B:B)&amp;"当主","")))</f>
      </c>
    </row>
    <row r="2669" ht="15.75" customHeight="1">
      <c r="A2669" s="4">
        <v>1072005</v>
      </c>
      <c r="B2669" s="12" t="str">
        <f t="array" ref="B2669">IF(A2669:A6711="","",_xlfn.XLOOKUP(A2669:A6711,'参照_武将'!A:A,'参照_武将'!B:B,"見つかりません"))</f>
      </c>
      <c r="C2669" s="4" t="s">
        <v>340</v>
      </c>
      <c r="D2669" s="4">
        <v>72</v>
      </c>
      <c r="E2669" s="12" t="str">
        <f t="array" ref="E2669">IF(D2669:D6711="","",IFERROR(_xlfn.XLOOKUP(D2669:D6711,'参照_勢力'!A:A,'参照_勢力'!B:B),IFERROR(_xlfn.XLOOKUP(F2669:F6711,kunishuClan!A:A,kunishuClan!B:B),"浪人")))</f>
      </c>
      <c r="F2669" s="4">
        <v>0</v>
      </c>
      <c r="G2669" s="4">
        <v>198</v>
      </c>
      <c r="H2669" s="12" t="str">
        <f t="array" ref="H2669">IF(G2669:G6711="","",_xlfn.XLOOKUP(G2669:G6711,castles_state!A:A,castles_state!D:D,"見つかりません"))</f>
      </c>
      <c r="I2669" s="4"/>
      <c r="J2669" s="12" t="str">
        <f t="array" ref="J2669">IF(I2669:I6711="","",_xlfn.XLOOKUP(I2669:I6711,'参照_姫'!A:A,'参照_姫'!B:B,"見つかりません"))</f>
      </c>
      <c r="K2669" s="4">
        <v>95</v>
      </c>
      <c r="L2669" s="4">
        <v>0</v>
      </c>
      <c r="M2669" s="4"/>
      <c r="N2669" s="4"/>
      <c r="O2669" s="4"/>
      <c r="P2669" s="12" t="str">
        <f t="array" ref="P2669">IF(O2669:O6711="","",_xlfn.XLOOKUP(O2669:O6711,'参照_官位'!A:A,'参照_官位'!B:B,""))</f>
      </c>
      <c r="Q2669" s="12" t="str">
        <f t="array" ref="Q2669">IF(A2669:A6711="","",IFERROR(_xlfn.XLOOKUP(A2669:A6711,castles_state!K:K,castles_state!D:D)&amp;"主",IFERROR(_xlfn.XLOOKUP(A2669:A6711,kunishuClan!D:D,kunishuClan!B:B)&amp;"当主","")))</f>
      </c>
    </row>
    <row r="2670" ht="15.75" customHeight="1">
      <c r="A2670" s="4">
        <v>1072006</v>
      </c>
      <c r="B2670" s="12" t="str">
        <f t="array" ref="B2670">IF(A2670:A6712="","",_xlfn.XLOOKUP(A2670:A6712,'参照_武将'!A:A,'参照_武将'!B:B,"見つかりません"))</f>
      </c>
      <c r="C2670" s="4" t="s">
        <v>340</v>
      </c>
      <c r="D2670" s="4">
        <v>72</v>
      </c>
      <c r="E2670" s="12" t="str">
        <f t="array" ref="E2670">IF(D2670:D6712="","",IFERROR(_xlfn.XLOOKUP(D2670:D6712,'参照_勢力'!A:A,'参照_勢力'!B:B),IFERROR(_xlfn.XLOOKUP(F2670:F6712,kunishuClan!A:A,kunishuClan!B:B),"浪人")))</f>
      </c>
      <c r="F2670" s="4">
        <v>0</v>
      </c>
      <c r="G2670" s="4">
        <v>198</v>
      </c>
      <c r="H2670" s="12" t="str">
        <f t="array" ref="H2670">IF(G2670:G6712="","",_xlfn.XLOOKUP(G2670:G6712,castles_state!A:A,castles_state!D:D,"見つかりません"))</f>
      </c>
      <c r="I2670" s="4"/>
      <c r="J2670" s="12" t="str">
        <f t="array" ref="J2670">IF(I2670:I6712="","",_xlfn.XLOOKUP(I2670:I6712,'参照_姫'!A:A,'参照_姫'!B:B,"見つかりません"))</f>
      </c>
      <c r="K2670" s="4">
        <v>95</v>
      </c>
      <c r="L2670" s="4">
        <v>300</v>
      </c>
      <c r="M2670" s="4" t="b">
        <v>1</v>
      </c>
      <c r="N2670" s="4"/>
      <c r="O2670" s="4"/>
      <c r="P2670" s="12" t="str">
        <f t="array" ref="P2670">IF(O2670:O6712="","",_xlfn.XLOOKUP(O2670:O6712,'参照_官位'!A:A,'参照_官位'!B:B,""))</f>
      </c>
      <c r="Q2670" s="12" t="str">
        <f t="array" ref="Q2670">IF(A2670:A6712="","",IFERROR(_xlfn.XLOOKUP(A2670:A6712,castles_state!K:K,castles_state!D:D)&amp;"主",IFERROR(_xlfn.XLOOKUP(A2670:A6712,kunishuClan!D:D,kunishuClan!B:B)&amp;"当主","")))</f>
      </c>
    </row>
    <row r="2671" ht="15.75" customHeight="1">
      <c r="A2671" s="4">
        <v>1072007</v>
      </c>
      <c r="B2671" s="12" t="str">
        <f t="array" ref="B2671">IF(A2671:A6713="","",_xlfn.XLOOKUP(A2671:A6713,'参照_武将'!A:A,'参照_武将'!B:B,"見つかりません"))</f>
      </c>
      <c r="C2671" s="4" t="s">
        <v>340</v>
      </c>
      <c r="D2671" s="4">
        <v>72</v>
      </c>
      <c r="E2671" s="12" t="str">
        <f t="array" ref="E2671">IF(D2671:D6713="","",IFERROR(_xlfn.XLOOKUP(D2671:D6713,'参照_勢力'!A:A,'参照_勢力'!B:B),IFERROR(_xlfn.XLOOKUP(F2671:F6713,kunishuClan!A:A,kunishuClan!B:B),"浪人")))</f>
      </c>
      <c r="F2671" s="4">
        <v>0</v>
      </c>
      <c r="G2671" s="4">
        <v>198</v>
      </c>
      <c r="H2671" s="12" t="str">
        <f t="array" ref="H2671">IF(G2671:G6713="","",_xlfn.XLOOKUP(G2671:G6713,castles_state!A:A,castles_state!D:D,"見つかりません"))</f>
      </c>
      <c r="I2671" s="4"/>
      <c r="J2671" s="12" t="str">
        <f t="array" ref="J2671">IF(I2671:I6713="","",_xlfn.XLOOKUP(I2671:I6713,'参照_姫'!A:A,'参照_姫'!B:B,"見つかりません"))</f>
      </c>
      <c r="K2671" s="4">
        <v>95</v>
      </c>
      <c r="L2671" s="4">
        <v>0</v>
      </c>
      <c r="M2671" s="4"/>
      <c r="N2671" s="4"/>
      <c r="O2671" s="4"/>
      <c r="P2671" s="12" t="str">
        <f t="array" ref="P2671">IF(O2671:O6713="","",_xlfn.XLOOKUP(O2671:O6713,'参照_官位'!A:A,'参照_官位'!B:B,""))</f>
      </c>
      <c r="Q2671" s="12" t="str">
        <f t="array" ref="Q2671">IF(A2671:A6713="","",IFERROR(_xlfn.XLOOKUP(A2671:A6713,castles_state!K:K,castles_state!D:D)&amp;"主",IFERROR(_xlfn.XLOOKUP(A2671:A6713,kunishuClan!D:D,kunishuClan!B:B)&amp;"当主","")))</f>
      </c>
    </row>
    <row r="2672" ht="15.75" customHeight="1">
      <c r="A2672" s="4">
        <v>1072008</v>
      </c>
      <c r="B2672" s="12" t="str">
        <f t="array" ref="B2672">IF(A2672:A6714="","",_xlfn.XLOOKUP(A2672:A6714,'参照_武将'!A:A,'参照_武将'!B:B,"見つかりません"))</f>
      </c>
      <c r="C2672" s="4" t="s">
        <v>340</v>
      </c>
      <c r="D2672" s="4">
        <v>72</v>
      </c>
      <c r="E2672" s="12" t="str">
        <f t="array" ref="E2672">IF(D2672:D6714="","",IFERROR(_xlfn.XLOOKUP(D2672:D6714,'参照_勢力'!A:A,'参照_勢力'!B:B),IFERROR(_xlfn.XLOOKUP(F2672:F6714,kunishuClan!A:A,kunishuClan!B:B),"浪人")))</f>
      </c>
      <c r="F2672" s="4">
        <v>0</v>
      </c>
      <c r="G2672" s="4">
        <v>198</v>
      </c>
      <c r="H2672" s="12" t="str">
        <f t="array" ref="H2672">IF(G2672:G6714="","",_xlfn.XLOOKUP(G2672:G6714,castles_state!A:A,castles_state!D:D,"見つかりません"))</f>
      </c>
      <c r="I2672" s="4"/>
      <c r="J2672" s="12" t="str">
        <f t="array" ref="J2672">IF(I2672:I6714="","",_xlfn.XLOOKUP(I2672:I6714,'参照_姫'!A:A,'参照_姫'!B:B,"見つかりません"))</f>
      </c>
      <c r="K2672" s="4">
        <v>95</v>
      </c>
      <c r="L2672" s="4">
        <v>0</v>
      </c>
      <c r="M2672" s="4"/>
      <c r="N2672" s="4"/>
      <c r="O2672" s="4"/>
      <c r="P2672" s="12" t="str">
        <f t="array" ref="P2672">IF(O2672:O6714="","",_xlfn.XLOOKUP(O2672:O6714,'参照_官位'!A:A,'参照_官位'!B:B,""))</f>
      </c>
      <c r="Q2672" s="12" t="str">
        <f t="array" ref="Q2672">IF(A2672:A6714="","",IFERROR(_xlfn.XLOOKUP(A2672:A6714,castles_state!K:K,castles_state!D:D)&amp;"主",IFERROR(_xlfn.XLOOKUP(A2672:A6714,kunishuClan!D:D,kunishuClan!B:B)&amp;"当主","")))</f>
      </c>
    </row>
    <row r="2673" ht="15.75" customHeight="1">
      <c r="A2673" s="4">
        <v>1072009</v>
      </c>
      <c r="B2673" s="12" t="str">
        <f t="array" ref="B2673">IF(A2673:A6715="","",_xlfn.XLOOKUP(A2673:A6715,'参照_武将'!A:A,'参照_武将'!B:B,"見つかりません"))</f>
      </c>
      <c r="C2673" s="4" t="s">
        <v>340</v>
      </c>
      <c r="D2673" s="4">
        <v>72</v>
      </c>
      <c r="E2673" s="12" t="str">
        <f t="array" ref="E2673">IF(D2673:D6715="","",IFERROR(_xlfn.XLOOKUP(D2673:D6715,'参照_勢力'!A:A,'参照_勢力'!B:B),IFERROR(_xlfn.XLOOKUP(F2673:F6715,kunishuClan!A:A,kunishuClan!B:B),"浪人")))</f>
      </c>
      <c r="F2673" s="4">
        <v>0</v>
      </c>
      <c r="G2673" s="4">
        <v>198</v>
      </c>
      <c r="H2673" s="12" t="str">
        <f t="array" ref="H2673">IF(G2673:G6715="","",_xlfn.XLOOKUP(G2673:G6715,castles_state!A:A,castles_state!D:D,"見つかりません"))</f>
      </c>
      <c r="I2673" s="4"/>
      <c r="J2673" s="12" t="str">
        <f t="array" ref="J2673">IF(I2673:I6715="","",_xlfn.XLOOKUP(I2673:I6715,'参照_姫'!A:A,'参照_姫'!B:B,"見つかりません"))</f>
      </c>
      <c r="K2673" s="4">
        <v>95</v>
      </c>
      <c r="L2673" s="4">
        <v>0</v>
      </c>
      <c r="M2673" s="4"/>
      <c r="N2673" s="4"/>
      <c r="O2673" s="4"/>
      <c r="P2673" s="12" t="str">
        <f t="array" ref="P2673">IF(O2673:O6715="","",_xlfn.XLOOKUP(O2673:O6715,'参照_官位'!A:A,'参照_官位'!B:B,""))</f>
      </c>
      <c r="Q2673" s="12" t="str">
        <f t="array" ref="Q2673">IF(A2673:A6715="","",IFERROR(_xlfn.XLOOKUP(A2673:A6715,castles_state!K:K,castles_state!D:D)&amp;"主",IFERROR(_xlfn.XLOOKUP(A2673:A6715,kunishuClan!D:D,kunishuClan!B:B)&amp;"当主","")))</f>
      </c>
    </row>
    <row r="2674" ht="15.75" customHeight="1">
      <c r="A2674" s="4">
        <v>1072010</v>
      </c>
      <c r="B2674" s="12" t="str">
        <f t="array" ref="B2674">IF(A2674:A6716="","",_xlfn.XLOOKUP(A2674:A6716,'参照_武将'!A:A,'参照_武将'!B:B,"見つかりません"))</f>
      </c>
      <c r="C2674" s="4" t="s">
        <v>340</v>
      </c>
      <c r="D2674" s="4">
        <v>72</v>
      </c>
      <c r="E2674" s="12" t="str">
        <f t="array" ref="E2674">IF(D2674:D6716="","",IFERROR(_xlfn.XLOOKUP(D2674:D6716,'参照_勢力'!A:A,'参照_勢力'!B:B),IFERROR(_xlfn.XLOOKUP(F2674:F6716,kunishuClan!A:A,kunishuClan!B:B),"浪人")))</f>
      </c>
      <c r="F2674" s="4">
        <v>0</v>
      </c>
      <c r="G2674" s="4">
        <v>198</v>
      </c>
      <c r="H2674" s="12" t="str">
        <f t="array" ref="H2674">IF(G2674:G6716="","",_xlfn.XLOOKUP(G2674:G6716,castles_state!A:A,castles_state!D:D,"見つかりません"))</f>
      </c>
      <c r="I2674" s="4"/>
      <c r="J2674" s="12" t="str">
        <f t="array" ref="J2674">IF(I2674:I6716="","",_xlfn.XLOOKUP(I2674:I6716,'参照_姫'!A:A,'参照_姫'!B:B,"見つかりません"))</f>
      </c>
      <c r="K2674" s="4">
        <v>95</v>
      </c>
      <c r="L2674" s="4">
        <v>0</v>
      </c>
      <c r="M2674" s="4"/>
      <c r="N2674" s="4"/>
      <c r="O2674" s="4"/>
      <c r="P2674" s="12" t="str">
        <f t="array" ref="P2674">IF(O2674:O6716="","",_xlfn.XLOOKUP(O2674:O6716,'参照_官位'!A:A,'参照_官位'!B:B,""))</f>
      </c>
      <c r="Q2674" s="12" t="str">
        <f t="array" ref="Q2674">IF(A2674:A6716="","",IFERROR(_xlfn.XLOOKUP(A2674:A6716,castles_state!K:K,castles_state!D:D)&amp;"主",IFERROR(_xlfn.XLOOKUP(A2674:A6716,kunishuClan!D:D,kunishuClan!B:B)&amp;"当主","")))</f>
      </c>
    </row>
    <row r="2675" ht="15.75" customHeight="1">
      <c r="A2675" s="4">
        <v>1072011</v>
      </c>
      <c r="B2675" s="12" t="str">
        <f t="array" ref="B2675">IF(A2675:A6717="","",_xlfn.XLOOKUP(A2675:A6717,'参照_武将'!A:A,'参照_武将'!B:B,"見つかりません"))</f>
      </c>
      <c r="C2675" s="4" t="s">
        <v>340</v>
      </c>
      <c r="D2675" s="4">
        <v>72</v>
      </c>
      <c r="E2675" s="12" t="str">
        <f t="array" ref="E2675">IF(D2675:D6717="","",IFERROR(_xlfn.XLOOKUP(D2675:D6717,'参照_勢力'!A:A,'参照_勢力'!B:B),IFERROR(_xlfn.XLOOKUP(F2675:F6717,kunishuClan!A:A,kunishuClan!B:B),"浪人")))</f>
      </c>
      <c r="F2675" s="4">
        <v>0</v>
      </c>
      <c r="G2675" s="4">
        <v>198</v>
      </c>
      <c r="H2675" s="12" t="str">
        <f t="array" ref="H2675">IF(G2675:G6717="","",_xlfn.XLOOKUP(G2675:G6717,castles_state!A:A,castles_state!D:D,"見つかりません"))</f>
      </c>
      <c r="I2675" s="4"/>
      <c r="J2675" s="12" t="str">
        <f t="array" ref="J2675">IF(I2675:I6717="","",_xlfn.XLOOKUP(I2675:I6717,'参照_姫'!A:A,'参照_姫'!B:B,"見つかりません"))</f>
      </c>
      <c r="K2675" s="4">
        <v>95</v>
      </c>
      <c r="L2675" s="4">
        <v>0</v>
      </c>
      <c r="M2675" s="4"/>
      <c r="N2675" s="4"/>
      <c r="O2675" s="4"/>
      <c r="P2675" s="12" t="str">
        <f t="array" ref="P2675">IF(O2675:O6717="","",_xlfn.XLOOKUP(O2675:O6717,'参照_官位'!A:A,'参照_官位'!B:B,""))</f>
      </c>
      <c r="Q2675" s="12" t="str">
        <f t="array" ref="Q2675">IF(A2675:A6717="","",IFERROR(_xlfn.XLOOKUP(A2675:A6717,castles_state!K:K,castles_state!D:D)&amp;"主",IFERROR(_xlfn.XLOOKUP(A2675:A6717,kunishuClan!D:D,kunishuClan!B:B)&amp;"当主","")))</f>
      </c>
    </row>
    <row r="2676" ht="15.75" customHeight="1">
      <c r="A2676" s="4">
        <v>1072012</v>
      </c>
      <c r="B2676" s="12" t="str">
        <f t="array" ref="B2676">IF(A2676:A6718="","",_xlfn.XLOOKUP(A2676:A6718,'参照_武将'!A:A,'参照_武将'!B:B,"見つかりません"))</f>
      </c>
      <c r="C2676" s="4" t="s">
        <v>340</v>
      </c>
      <c r="D2676" s="4">
        <v>72</v>
      </c>
      <c r="E2676" s="12" t="str">
        <f t="array" ref="E2676">IF(D2676:D6718="","",IFERROR(_xlfn.XLOOKUP(D2676:D6718,'参照_勢力'!A:A,'参照_勢力'!B:B),IFERROR(_xlfn.XLOOKUP(F2676:F6718,kunishuClan!A:A,kunishuClan!B:B),"浪人")))</f>
      </c>
      <c r="F2676" s="4">
        <v>0</v>
      </c>
      <c r="G2676" s="4">
        <v>198</v>
      </c>
      <c r="H2676" s="12" t="str">
        <f t="array" ref="H2676">IF(G2676:G6718="","",_xlfn.XLOOKUP(G2676:G6718,castles_state!A:A,castles_state!D:D,"見つかりません"))</f>
      </c>
      <c r="I2676" s="4"/>
      <c r="J2676" s="12" t="str">
        <f t="array" ref="J2676">IF(I2676:I6718="","",_xlfn.XLOOKUP(I2676:I6718,'参照_姫'!A:A,'参照_姫'!B:B,"見つかりません"))</f>
      </c>
      <c r="K2676" s="4">
        <v>95</v>
      </c>
      <c r="L2676" s="4">
        <v>0</v>
      </c>
      <c r="M2676" s="4"/>
      <c r="N2676" s="4"/>
      <c r="O2676" s="4"/>
      <c r="P2676" s="12" t="str">
        <f t="array" ref="P2676">IF(O2676:O6718="","",_xlfn.XLOOKUP(O2676:O6718,'参照_官位'!A:A,'参照_官位'!B:B,""))</f>
      </c>
      <c r="Q2676" s="12" t="str">
        <f t="array" ref="Q2676">IF(A2676:A6718="","",IFERROR(_xlfn.XLOOKUP(A2676:A6718,castles_state!K:K,castles_state!D:D)&amp;"主",IFERROR(_xlfn.XLOOKUP(A2676:A6718,kunishuClan!D:D,kunishuClan!B:B)&amp;"当主","")))</f>
      </c>
    </row>
    <row r="2677" ht="15.75" customHeight="1">
      <c r="A2677" s="4">
        <v>1072013</v>
      </c>
      <c r="B2677" s="12" t="str">
        <f t="array" ref="B2677">IF(A2677:A6719="","",_xlfn.XLOOKUP(A2677:A6719,'参照_武将'!A:A,'参照_武将'!B:B,"見つかりません"))</f>
      </c>
      <c r="C2677" s="4" t="s">
        <v>340</v>
      </c>
      <c r="D2677" s="4">
        <v>72</v>
      </c>
      <c r="E2677" s="12" t="str">
        <f t="array" ref="E2677">IF(D2677:D6719="","",IFERROR(_xlfn.XLOOKUP(D2677:D6719,'参照_勢力'!A:A,'参照_勢力'!B:B),IFERROR(_xlfn.XLOOKUP(F2677:F6719,kunishuClan!A:A,kunishuClan!B:B),"浪人")))</f>
      </c>
      <c r="F2677" s="4">
        <v>0</v>
      </c>
      <c r="G2677" s="4">
        <v>198</v>
      </c>
      <c r="H2677" s="12" t="str">
        <f t="array" ref="H2677">IF(G2677:G6719="","",_xlfn.XLOOKUP(G2677:G6719,castles_state!A:A,castles_state!D:D,"見つかりません"))</f>
      </c>
      <c r="I2677" s="4"/>
      <c r="J2677" s="12" t="str">
        <f t="array" ref="J2677">IF(I2677:I6719="","",_xlfn.XLOOKUP(I2677:I6719,'参照_姫'!A:A,'参照_姫'!B:B,"見つかりません"))</f>
      </c>
      <c r="K2677" s="4">
        <v>95</v>
      </c>
      <c r="L2677" s="4">
        <v>0</v>
      </c>
      <c r="M2677" s="4"/>
      <c r="N2677" s="4"/>
      <c r="O2677" s="4"/>
      <c r="P2677" s="12" t="str">
        <f t="array" ref="P2677">IF(O2677:O6719="","",_xlfn.XLOOKUP(O2677:O6719,'参照_官位'!A:A,'参照_官位'!B:B,""))</f>
      </c>
      <c r="Q2677" s="12" t="str">
        <f t="array" ref="Q2677">IF(A2677:A6719="","",IFERROR(_xlfn.XLOOKUP(A2677:A6719,castles_state!K:K,castles_state!D:D)&amp;"主",IFERROR(_xlfn.XLOOKUP(A2677:A6719,kunishuClan!D:D,kunishuClan!B:B)&amp;"当主","")))</f>
      </c>
    </row>
    <row r="2678" ht="15.75" customHeight="1">
      <c r="A2678" s="4">
        <v>1072014</v>
      </c>
      <c r="B2678" s="12" t="str">
        <f t="array" ref="B2678">IF(A2678:A6720="","",_xlfn.XLOOKUP(A2678:A6720,'参照_武将'!A:A,'参照_武将'!B:B,"見つかりません"))</f>
      </c>
      <c r="C2678" s="4" t="s">
        <v>340</v>
      </c>
      <c r="D2678" s="4">
        <v>72</v>
      </c>
      <c r="E2678" s="12" t="str">
        <f t="array" ref="E2678">IF(D2678:D6720="","",IFERROR(_xlfn.XLOOKUP(D2678:D6720,'参照_勢力'!A:A,'参照_勢力'!B:B),IFERROR(_xlfn.XLOOKUP(F2678:F6720,kunishuClan!A:A,kunishuClan!B:B),"浪人")))</f>
      </c>
      <c r="F2678" s="4">
        <v>0</v>
      </c>
      <c r="G2678" s="4">
        <v>198</v>
      </c>
      <c r="H2678" s="12" t="str">
        <f t="array" ref="H2678">IF(G2678:G6720="","",_xlfn.XLOOKUP(G2678:G6720,castles_state!A:A,castles_state!D:D,"見つかりません"))</f>
      </c>
      <c r="I2678" s="4"/>
      <c r="J2678" s="12" t="str">
        <f t="array" ref="J2678">IF(I2678:I6720="","",_xlfn.XLOOKUP(I2678:I6720,'参照_姫'!A:A,'参照_姫'!B:B,"見つかりません"))</f>
      </c>
      <c r="K2678" s="4">
        <v>95</v>
      </c>
      <c r="L2678" s="4">
        <v>0</v>
      </c>
      <c r="M2678" s="4"/>
      <c r="N2678" s="4"/>
      <c r="O2678" s="4"/>
      <c r="P2678" s="12" t="str">
        <f t="array" ref="P2678">IF(O2678:O6720="","",_xlfn.XLOOKUP(O2678:O6720,'参照_官位'!A:A,'参照_官位'!B:B,""))</f>
      </c>
      <c r="Q2678" s="12" t="str">
        <f t="array" ref="Q2678">IF(A2678:A6720="","",IFERROR(_xlfn.XLOOKUP(A2678:A6720,castles_state!K:K,castles_state!D:D)&amp;"主",IFERROR(_xlfn.XLOOKUP(A2678:A6720,kunishuClan!D:D,kunishuClan!B:B)&amp;"当主","")))</f>
      </c>
    </row>
    <row r="2679" ht="15.75" customHeight="1">
      <c r="A2679" s="4">
        <v>1072015</v>
      </c>
      <c r="B2679" s="12" t="str">
        <f t="array" ref="B2679">IF(A2679:A6721="","",_xlfn.XLOOKUP(A2679:A6721,'参照_武将'!A:A,'参照_武将'!B:B,"見つかりません"))</f>
      </c>
      <c r="C2679" s="4" t="s">
        <v>340</v>
      </c>
      <c r="D2679" s="4">
        <v>72</v>
      </c>
      <c r="E2679" s="12" t="str">
        <f t="array" ref="E2679">IF(D2679:D6721="","",IFERROR(_xlfn.XLOOKUP(D2679:D6721,'参照_勢力'!A:A,'参照_勢力'!B:B),IFERROR(_xlfn.XLOOKUP(F2679:F6721,kunishuClan!A:A,kunishuClan!B:B),"浪人")))</f>
      </c>
      <c r="F2679" s="4">
        <v>0</v>
      </c>
      <c r="G2679" s="4">
        <v>198</v>
      </c>
      <c r="H2679" s="12" t="str">
        <f t="array" ref="H2679">IF(G2679:G6721="","",_xlfn.XLOOKUP(G2679:G6721,castles_state!A:A,castles_state!D:D,"見つかりません"))</f>
      </c>
      <c r="I2679" s="4"/>
      <c r="J2679" s="12" t="str">
        <f t="array" ref="J2679">IF(I2679:I6721="","",_xlfn.XLOOKUP(I2679:I6721,'参照_姫'!A:A,'参照_姫'!B:B,"見つかりません"))</f>
      </c>
      <c r="K2679" s="4">
        <v>95</v>
      </c>
      <c r="L2679" s="4">
        <v>0</v>
      </c>
      <c r="M2679" s="4"/>
      <c r="N2679" s="4"/>
      <c r="O2679" s="4"/>
      <c r="P2679" s="12" t="str">
        <f t="array" ref="P2679">IF(O2679:O6721="","",_xlfn.XLOOKUP(O2679:O6721,'参照_官位'!A:A,'参照_官位'!B:B,""))</f>
      </c>
      <c r="Q2679" s="12" t="str">
        <f t="array" ref="Q2679">IF(A2679:A6721="","",IFERROR(_xlfn.XLOOKUP(A2679:A6721,castles_state!K:K,castles_state!D:D)&amp;"主",IFERROR(_xlfn.XLOOKUP(A2679:A6721,kunishuClan!D:D,kunishuClan!B:B)&amp;"当主","")))</f>
      </c>
    </row>
    <row r="2680" ht="15.75" customHeight="1">
      <c r="A2680" s="4">
        <v>1072016</v>
      </c>
      <c r="B2680" s="12" t="str">
        <f t="array" ref="B2680">IF(A2680:A6722="","",_xlfn.XLOOKUP(A2680:A6722,'参照_武将'!A:A,'参照_武将'!B:B,"見つかりません"))</f>
      </c>
      <c r="C2680" s="4" t="s">
        <v>340</v>
      </c>
      <c r="D2680" s="4">
        <v>72</v>
      </c>
      <c r="E2680" s="12" t="str">
        <f t="array" ref="E2680">IF(D2680:D6722="","",IFERROR(_xlfn.XLOOKUP(D2680:D6722,'参照_勢力'!A:A,'参照_勢力'!B:B),IFERROR(_xlfn.XLOOKUP(F2680:F6722,kunishuClan!A:A,kunishuClan!B:B),"浪人")))</f>
      </c>
      <c r="F2680" s="4">
        <v>0</v>
      </c>
      <c r="G2680" s="4">
        <v>198</v>
      </c>
      <c r="H2680" s="12" t="str">
        <f t="array" ref="H2680">IF(G2680:G6722="","",_xlfn.XLOOKUP(G2680:G6722,castles_state!A:A,castles_state!D:D,"見つかりません"))</f>
      </c>
      <c r="I2680" s="4"/>
      <c r="J2680" s="12" t="str">
        <f t="array" ref="J2680">IF(I2680:I6722="","",_xlfn.XLOOKUP(I2680:I6722,'参照_姫'!A:A,'参照_姫'!B:B,"見つかりません"))</f>
      </c>
      <c r="K2680" s="4">
        <v>95</v>
      </c>
      <c r="L2680" s="4">
        <v>0</v>
      </c>
      <c r="M2680" s="4"/>
      <c r="N2680" s="4"/>
      <c r="O2680" s="4"/>
      <c r="P2680" s="12" t="str">
        <f t="array" ref="P2680">IF(O2680:O6722="","",_xlfn.XLOOKUP(O2680:O6722,'参照_官位'!A:A,'参照_官位'!B:B,""))</f>
      </c>
      <c r="Q2680" s="12" t="str">
        <f t="array" ref="Q2680">IF(A2680:A6722="","",IFERROR(_xlfn.XLOOKUP(A2680:A6722,castles_state!K:K,castles_state!D:D)&amp;"主",IFERROR(_xlfn.XLOOKUP(A2680:A6722,kunishuClan!D:D,kunishuClan!B:B)&amp;"当主","")))</f>
      </c>
    </row>
    <row r="2681" ht="15.75" customHeight="1">
      <c r="A2681" s="4">
        <v>1072017</v>
      </c>
      <c r="B2681" s="12" t="str">
        <f t="array" ref="B2681">IF(A2681:A6723="","",_xlfn.XLOOKUP(A2681:A6723,'参照_武将'!A:A,'参照_武将'!B:B,"見つかりません"))</f>
      </c>
      <c r="C2681" s="4" t="s">
        <v>340</v>
      </c>
      <c r="D2681" s="4">
        <v>72</v>
      </c>
      <c r="E2681" s="12" t="str">
        <f t="array" ref="E2681">IF(D2681:D6723="","",IFERROR(_xlfn.XLOOKUP(D2681:D6723,'参照_勢力'!A:A,'参照_勢力'!B:B),IFERROR(_xlfn.XLOOKUP(F2681:F6723,kunishuClan!A:A,kunishuClan!B:B),"浪人")))</f>
      </c>
      <c r="F2681" s="4">
        <v>0</v>
      </c>
      <c r="G2681" s="4">
        <v>198</v>
      </c>
      <c r="H2681" s="12" t="str">
        <f t="array" ref="H2681">IF(G2681:G6723="","",_xlfn.XLOOKUP(G2681:G6723,castles_state!A:A,castles_state!D:D,"見つかりません"))</f>
      </c>
      <c r="I2681" s="4"/>
      <c r="J2681" s="12" t="str">
        <f t="array" ref="J2681">IF(I2681:I6723="","",_xlfn.XLOOKUP(I2681:I6723,'参照_姫'!A:A,'参照_姫'!B:B,"見つかりません"))</f>
      </c>
      <c r="K2681" s="4">
        <v>95</v>
      </c>
      <c r="L2681" s="4">
        <v>0</v>
      </c>
      <c r="M2681" s="4"/>
      <c r="N2681" s="4"/>
      <c r="O2681" s="4"/>
      <c r="P2681" s="12" t="str">
        <f t="array" ref="P2681">IF(O2681:O6723="","",_xlfn.XLOOKUP(O2681:O6723,'参照_官位'!A:A,'参照_官位'!B:B,""))</f>
      </c>
      <c r="Q2681" s="12" t="str">
        <f t="array" ref="Q2681">IF(A2681:A6723="","",IFERROR(_xlfn.XLOOKUP(A2681:A6723,castles_state!K:K,castles_state!D:D)&amp;"主",IFERROR(_xlfn.XLOOKUP(A2681:A6723,kunishuClan!D:D,kunishuClan!B:B)&amp;"当主","")))</f>
      </c>
    </row>
    <row r="2682" ht="15.75" customHeight="1">
      <c r="A2682" s="4">
        <v>1072018</v>
      </c>
      <c r="B2682" s="12" t="str">
        <f t="array" ref="B2682">IF(A2682:A6724="","",_xlfn.XLOOKUP(A2682:A6724,'参照_武将'!A:A,'参照_武将'!B:B,"見つかりません"))</f>
      </c>
      <c r="C2682" s="4" t="s">
        <v>340</v>
      </c>
      <c r="D2682" s="4">
        <v>72</v>
      </c>
      <c r="E2682" s="12" t="str">
        <f t="array" ref="E2682">IF(D2682:D6724="","",IFERROR(_xlfn.XLOOKUP(D2682:D6724,'参照_勢力'!A:A,'参照_勢力'!B:B),IFERROR(_xlfn.XLOOKUP(F2682:F6724,kunishuClan!A:A,kunishuClan!B:B),"浪人")))</f>
      </c>
      <c r="F2682" s="4">
        <v>0</v>
      </c>
      <c r="G2682" s="4">
        <v>198</v>
      </c>
      <c r="H2682" s="12" t="str">
        <f t="array" ref="H2682">IF(G2682:G6724="","",_xlfn.XLOOKUP(G2682:G6724,castles_state!A:A,castles_state!D:D,"見つかりません"))</f>
      </c>
      <c r="I2682" s="4"/>
      <c r="J2682" s="12" t="str">
        <f t="array" ref="J2682">IF(I2682:I6724="","",_xlfn.XLOOKUP(I2682:I6724,'参照_姫'!A:A,'参照_姫'!B:B,"見つかりません"))</f>
      </c>
      <c r="K2682" s="4">
        <v>95</v>
      </c>
      <c r="L2682" s="4">
        <v>0</v>
      </c>
      <c r="M2682" s="4"/>
      <c r="N2682" s="4"/>
      <c r="O2682" s="4"/>
      <c r="P2682" s="12" t="str">
        <f t="array" ref="P2682">IF(O2682:O6724="","",_xlfn.XLOOKUP(O2682:O6724,'参照_官位'!A:A,'参照_官位'!B:B,""))</f>
      </c>
      <c r="Q2682" s="12" t="str">
        <f t="array" ref="Q2682">IF(A2682:A6724="","",IFERROR(_xlfn.XLOOKUP(A2682:A6724,castles_state!K:K,castles_state!D:D)&amp;"主",IFERROR(_xlfn.XLOOKUP(A2682:A6724,kunishuClan!D:D,kunishuClan!B:B)&amp;"当主","")))</f>
      </c>
    </row>
    <row r="2683" ht="15.75" customHeight="1">
      <c r="A2683" s="4">
        <v>1072019</v>
      </c>
      <c r="B2683" s="12" t="str">
        <f t="array" ref="B2683">IF(A2683:A6725="","",_xlfn.XLOOKUP(A2683:A6725,'参照_武将'!A:A,'参照_武将'!B:B,"見つかりません"))</f>
      </c>
      <c r="C2683" s="4" t="s">
        <v>340</v>
      </c>
      <c r="D2683" s="4">
        <v>72</v>
      </c>
      <c r="E2683" s="12" t="str">
        <f t="array" ref="E2683">IF(D2683:D6725="","",IFERROR(_xlfn.XLOOKUP(D2683:D6725,'参照_勢力'!A:A,'参照_勢力'!B:B),IFERROR(_xlfn.XLOOKUP(F2683:F6725,kunishuClan!A:A,kunishuClan!B:B),"浪人")))</f>
      </c>
      <c r="F2683" s="4">
        <v>0</v>
      </c>
      <c r="G2683" s="4">
        <v>198</v>
      </c>
      <c r="H2683" s="12" t="str">
        <f t="array" ref="H2683">IF(G2683:G6725="","",_xlfn.XLOOKUP(G2683:G6725,castles_state!A:A,castles_state!D:D,"見つかりません"))</f>
      </c>
      <c r="I2683" s="4"/>
      <c r="J2683" s="12" t="str">
        <f t="array" ref="J2683">IF(I2683:I6725="","",_xlfn.XLOOKUP(I2683:I6725,'参照_姫'!A:A,'参照_姫'!B:B,"見つかりません"))</f>
      </c>
      <c r="K2683" s="4">
        <v>95</v>
      </c>
      <c r="L2683" s="4">
        <v>0</v>
      </c>
      <c r="M2683" s="4"/>
      <c r="N2683" s="4"/>
      <c r="O2683" s="4"/>
      <c r="P2683" s="12" t="str">
        <f t="array" ref="P2683">IF(O2683:O6725="","",_xlfn.XLOOKUP(O2683:O6725,'参照_官位'!A:A,'参照_官位'!B:B,""))</f>
      </c>
      <c r="Q2683" s="12" t="str">
        <f t="array" ref="Q2683">IF(A2683:A6725="","",IFERROR(_xlfn.XLOOKUP(A2683:A6725,castles_state!K:K,castles_state!D:D)&amp;"主",IFERROR(_xlfn.XLOOKUP(A2683:A6725,kunishuClan!D:D,kunishuClan!B:B)&amp;"当主","")))</f>
      </c>
    </row>
    <row r="2684" ht="15.75" customHeight="1">
      <c r="A2684" s="4">
        <v>1072020</v>
      </c>
      <c r="B2684" s="12" t="str">
        <f t="array" ref="B2684">IF(A2684:A6726="","",_xlfn.XLOOKUP(A2684:A6726,'参照_武将'!A:A,'参照_武将'!B:B,"見つかりません"))</f>
      </c>
      <c r="C2684" s="4" t="s">
        <v>340</v>
      </c>
      <c r="D2684" s="4">
        <v>72</v>
      </c>
      <c r="E2684" s="12" t="str">
        <f t="array" ref="E2684">IF(D2684:D6726="","",IFERROR(_xlfn.XLOOKUP(D2684:D6726,'参照_勢力'!A:A,'参照_勢力'!B:B),IFERROR(_xlfn.XLOOKUP(F2684:F6726,kunishuClan!A:A,kunishuClan!B:B),"浪人")))</f>
      </c>
      <c r="F2684" s="4">
        <v>0</v>
      </c>
      <c r="G2684" s="4">
        <v>198</v>
      </c>
      <c r="H2684" s="12" t="str">
        <f t="array" ref="H2684">IF(G2684:G6726="","",_xlfn.XLOOKUP(G2684:G6726,castles_state!A:A,castles_state!D:D,"見つかりません"))</f>
      </c>
      <c r="I2684" s="4"/>
      <c r="J2684" s="12" t="str">
        <f t="array" ref="J2684">IF(I2684:I6726="","",_xlfn.XLOOKUP(I2684:I6726,'参照_姫'!A:A,'参照_姫'!B:B,"見つかりません"))</f>
      </c>
      <c r="K2684" s="4">
        <v>95</v>
      </c>
      <c r="L2684" s="4">
        <v>300</v>
      </c>
      <c r="M2684" s="4"/>
      <c r="N2684" s="4"/>
      <c r="O2684" s="4"/>
      <c r="P2684" s="12" t="str">
        <f t="array" ref="P2684">IF(O2684:O6726="","",_xlfn.XLOOKUP(O2684:O6726,'参照_官位'!A:A,'参照_官位'!B:B,""))</f>
      </c>
      <c r="Q2684" s="12" t="str">
        <f t="array" ref="Q2684">IF(A2684:A6726="","",IFERROR(_xlfn.XLOOKUP(A2684:A6726,castles_state!K:K,castles_state!D:D)&amp;"主",IFERROR(_xlfn.XLOOKUP(A2684:A6726,kunishuClan!D:D,kunishuClan!B:B)&amp;"当主","")))</f>
      </c>
    </row>
    <row r="2685" ht="15.75" customHeight="1">
      <c r="A2685" s="4">
        <v>1072021</v>
      </c>
      <c r="B2685" s="12" t="str">
        <f t="array" ref="B2685">IF(A2685:A6727="","",_xlfn.XLOOKUP(A2685:A6727,'参照_武将'!A:A,'参照_武将'!B:B,"見つかりません"))</f>
      </c>
      <c r="C2685" s="4" t="s">
        <v>340</v>
      </c>
      <c r="D2685" s="4">
        <v>72</v>
      </c>
      <c r="E2685" s="12" t="str">
        <f t="array" ref="E2685">IF(D2685:D6727="","",IFERROR(_xlfn.XLOOKUP(D2685:D6727,'参照_勢力'!A:A,'参照_勢力'!B:B),IFERROR(_xlfn.XLOOKUP(F2685:F6727,kunishuClan!A:A,kunishuClan!B:B),"浪人")))</f>
      </c>
      <c r="F2685" s="4">
        <v>0</v>
      </c>
      <c r="G2685" s="4">
        <v>198</v>
      </c>
      <c r="H2685" s="12" t="str">
        <f t="array" ref="H2685">IF(G2685:G6727="","",_xlfn.XLOOKUP(G2685:G6727,castles_state!A:A,castles_state!D:D,"見つかりません"))</f>
      </c>
      <c r="I2685" s="4"/>
      <c r="J2685" s="12" t="str">
        <f t="array" ref="J2685">IF(I2685:I6727="","",_xlfn.XLOOKUP(I2685:I6727,'参照_姫'!A:A,'参照_姫'!B:B,"見つかりません"))</f>
      </c>
      <c r="K2685" s="4">
        <v>95</v>
      </c>
      <c r="L2685" s="4">
        <v>0</v>
      </c>
      <c r="M2685" s="4"/>
      <c r="N2685" s="4"/>
      <c r="O2685" s="4"/>
      <c r="P2685" s="12" t="str">
        <f t="array" ref="P2685">IF(O2685:O6727="","",_xlfn.XLOOKUP(O2685:O6727,'参照_官位'!A:A,'参照_官位'!B:B,""))</f>
      </c>
      <c r="Q2685" s="12" t="str">
        <f t="array" ref="Q2685">IF(A2685:A6727="","",IFERROR(_xlfn.XLOOKUP(A2685:A6727,castles_state!K:K,castles_state!D:D)&amp;"主",IFERROR(_xlfn.XLOOKUP(A2685:A6727,kunishuClan!D:D,kunishuClan!B:B)&amp;"当主","")))</f>
      </c>
    </row>
    <row r="2686" ht="15.75" customHeight="1">
      <c r="A2686" s="4">
        <v>1072022</v>
      </c>
      <c r="B2686" s="12" t="str">
        <f t="array" ref="B2686">IF(A2686:A6728="","",_xlfn.XLOOKUP(A2686:A6728,'参照_武将'!A:A,'参照_武将'!B:B,"見つかりません"))</f>
      </c>
      <c r="C2686" s="4" t="s">
        <v>340</v>
      </c>
      <c r="D2686" s="4">
        <v>72</v>
      </c>
      <c r="E2686" s="12" t="str">
        <f t="array" ref="E2686">IF(D2686:D6728="","",IFERROR(_xlfn.XLOOKUP(D2686:D6728,'参照_勢力'!A:A,'参照_勢力'!B:B),IFERROR(_xlfn.XLOOKUP(F2686:F6728,kunishuClan!A:A,kunishuClan!B:B),"浪人")))</f>
      </c>
      <c r="F2686" s="4">
        <v>0</v>
      </c>
      <c r="G2686" s="4">
        <v>198</v>
      </c>
      <c r="H2686" s="12" t="str">
        <f t="array" ref="H2686">IF(G2686:G6728="","",_xlfn.XLOOKUP(G2686:G6728,castles_state!A:A,castles_state!D:D,"見つかりません"))</f>
      </c>
      <c r="I2686" s="4"/>
      <c r="J2686" s="12" t="str">
        <f t="array" ref="J2686">IF(I2686:I6728="","",_xlfn.XLOOKUP(I2686:I6728,'参照_姫'!A:A,'参照_姫'!B:B,"見つかりません"))</f>
      </c>
      <c r="K2686" s="4">
        <v>95</v>
      </c>
      <c r="L2686" s="4">
        <v>0</v>
      </c>
      <c r="M2686" s="4"/>
      <c r="N2686" s="4"/>
      <c r="O2686" s="4"/>
      <c r="P2686" s="12" t="str">
        <f t="array" ref="P2686">IF(O2686:O6728="","",_xlfn.XLOOKUP(O2686:O6728,'参照_官位'!A:A,'参照_官位'!B:B,""))</f>
      </c>
      <c r="Q2686" s="12" t="str">
        <f t="array" ref="Q2686">IF(A2686:A6728="","",IFERROR(_xlfn.XLOOKUP(A2686:A6728,castles_state!K:K,castles_state!D:D)&amp;"主",IFERROR(_xlfn.XLOOKUP(A2686:A6728,kunishuClan!D:D,kunishuClan!B:B)&amp;"当主","")))</f>
      </c>
    </row>
    <row r="2687" ht="15.75" customHeight="1">
      <c r="A2687" s="4">
        <v>1073001</v>
      </c>
      <c r="B2687" s="12" t="str">
        <f t="array" ref="B2687">IF(A2687:A6729="","",_xlfn.XLOOKUP(A2687:A6729,'参照_武将'!A:A,'参照_武将'!B:B,"見つかりません"))</f>
      </c>
      <c r="C2687" s="4" t="s">
        <v>5967</v>
      </c>
      <c r="D2687" s="4">
        <v>73</v>
      </c>
      <c r="E2687" s="12" t="str">
        <f t="array" ref="E2687">IF(D2687:D6729="","",IFERROR(_xlfn.XLOOKUP(D2687:D6729,'参照_勢力'!A:A,'参照_勢力'!B:B),IFERROR(_xlfn.XLOOKUP(F2687:F6729,kunishuClan!A:A,kunishuClan!B:B),"浪人")))</f>
      </c>
      <c r="F2687" s="4">
        <v>0</v>
      </c>
      <c r="G2687" s="4">
        <v>218</v>
      </c>
      <c r="H2687" s="12" t="str">
        <f t="array" ref="H2687">IF(G2687:G6729="","",_xlfn.XLOOKUP(G2687:G6729,castles_state!A:A,castles_state!D:D,"見つかりません"))</f>
      </c>
      <c r="I2687" s="4"/>
      <c r="J2687" s="12" t="str">
        <f t="array" ref="J2687">IF(I2687:I6729="","",_xlfn.XLOOKUP(I2687:I6729,'参照_姫'!A:A,'参照_姫'!B:B,"見つかりません"))</f>
      </c>
      <c r="K2687" s="4">
        <v>95</v>
      </c>
      <c r="L2687" s="4">
        <v>0</v>
      </c>
      <c r="M2687" s="4"/>
      <c r="N2687" s="4"/>
      <c r="O2687" s="4"/>
      <c r="P2687" s="12" t="str">
        <f t="array" ref="P2687">IF(O2687:O6729="","",_xlfn.XLOOKUP(O2687:O6729,'参照_官位'!A:A,'参照_官位'!B:B,""))</f>
      </c>
      <c r="Q2687" s="12" t="str">
        <f t="array" ref="Q2687">IF(A2687:A6729="","",IFERROR(_xlfn.XLOOKUP(A2687:A6729,castles_state!K:K,castles_state!D:D)&amp;"主",IFERROR(_xlfn.XLOOKUP(A2687:A6729,kunishuClan!D:D,kunishuClan!B:B)&amp;"当主","")))</f>
      </c>
    </row>
    <row r="2688" ht="15.75" customHeight="1">
      <c r="A2688" s="4">
        <v>1073002</v>
      </c>
      <c r="B2688" s="12" t="str">
        <f t="array" ref="B2688">IF(A2688:A6730="","",_xlfn.XLOOKUP(A2688:A6730,'参照_武将'!A:A,'参照_武将'!B:B,"見つかりません"))</f>
      </c>
      <c r="C2688" s="4" t="s">
        <v>5967</v>
      </c>
      <c r="D2688" s="4">
        <v>73</v>
      </c>
      <c r="E2688" s="12" t="str">
        <f t="array" ref="E2688">IF(D2688:D6730="","",IFERROR(_xlfn.XLOOKUP(D2688:D6730,'参照_勢力'!A:A,'参照_勢力'!B:B),IFERROR(_xlfn.XLOOKUP(F2688:F6730,kunishuClan!A:A,kunishuClan!B:B),"浪人")))</f>
      </c>
      <c r="F2688" s="4">
        <v>0</v>
      </c>
      <c r="G2688" s="4">
        <v>218</v>
      </c>
      <c r="H2688" s="12" t="str">
        <f t="array" ref="H2688">IF(G2688:G6730="","",_xlfn.XLOOKUP(G2688:G6730,castles_state!A:A,castles_state!D:D,"見つかりません"))</f>
      </c>
      <c r="I2688" s="4"/>
      <c r="J2688" s="12" t="str">
        <f t="array" ref="J2688">IF(I2688:I6730="","",_xlfn.XLOOKUP(I2688:I6730,'参照_姫'!A:A,'参照_姫'!B:B,"見つかりません"))</f>
      </c>
      <c r="K2688" s="4">
        <v>95</v>
      </c>
      <c r="L2688" s="4">
        <v>0</v>
      </c>
      <c r="M2688" s="4"/>
      <c r="N2688" s="4"/>
      <c r="O2688" s="4"/>
      <c r="P2688" s="12" t="str">
        <f t="array" ref="P2688">IF(O2688:O6730="","",_xlfn.XLOOKUP(O2688:O6730,'参照_官位'!A:A,'参照_官位'!B:B,""))</f>
      </c>
      <c r="Q2688" s="12" t="str">
        <f t="array" ref="Q2688">IF(A2688:A6730="","",IFERROR(_xlfn.XLOOKUP(A2688:A6730,castles_state!K:K,castles_state!D:D)&amp;"主",IFERROR(_xlfn.XLOOKUP(A2688:A6730,kunishuClan!D:D,kunishuClan!B:B)&amp;"当主","")))</f>
      </c>
    </row>
    <row r="2689" ht="15.75" customHeight="1">
      <c r="A2689" s="4">
        <v>1073003</v>
      </c>
      <c r="B2689" s="12" t="str">
        <f t="array" ref="B2689">IF(A2689:A6731="","",_xlfn.XLOOKUP(A2689:A6731,'参照_武将'!A:A,'参照_武将'!B:B,"見つかりません"))</f>
      </c>
      <c r="C2689" s="4" t="s">
        <v>5967</v>
      </c>
      <c r="D2689" s="4">
        <v>73</v>
      </c>
      <c r="E2689" s="12" t="str">
        <f t="array" ref="E2689">IF(D2689:D6731="","",IFERROR(_xlfn.XLOOKUP(D2689:D6731,'参照_勢力'!A:A,'参照_勢力'!B:B),IFERROR(_xlfn.XLOOKUP(F2689:F6731,kunishuClan!A:A,kunishuClan!B:B),"浪人")))</f>
      </c>
      <c r="F2689" s="4">
        <v>0</v>
      </c>
      <c r="G2689" s="4">
        <v>218</v>
      </c>
      <c r="H2689" s="12" t="str">
        <f t="array" ref="H2689">IF(G2689:G6731="","",_xlfn.XLOOKUP(G2689:G6731,castles_state!A:A,castles_state!D:D,"見つかりません"))</f>
      </c>
      <c r="I2689" s="4"/>
      <c r="J2689" s="12" t="str">
        <f t="array" ref="J2689">IF(I2689:I6731="","",_xlfn.XLOOKUP(I2689:I6731,'参照_姫'!A:A,'参照_姫'!B:B,"見つかりません"))</f>
      </c>
      <c r="K2689" s="4">
        <v>95</v>
      </c>
      <c r="L2689" s="4">
        <v>0</v>
      </c>
      <c r="M2689" s="4"/>
      <c r="N2689" s="4"/>
      <c r="O2689" s="4"/>
      <c r="P2689" s="12" t="str">
        <f t="array" ref="P2689">IF(O2689:O6731="","",_xlfn.XLOOKUP(O2689:O6731,'参照_官位'!A:A,'参照_官位'!B:B,""))</f>
      </c>
      <c r="Q2689" s="12" t="str">
        <f t="array" ref="Q2689">IF(A2689:A6731="","",IFERROR(_xlfn.XLOOKUP(A2689:A6731,castles_state!K:K,castles_state!D:D)&amp;"主",IFERROR(_xlfn.XLOOKUP(A2689:A6731,kunishuClan!D:D,kunishuClan!B:B)&amp;"当主","")))</f>
      </c>
    </row>
    <row r="2690" ht="15.75" customHeight="1">
      <c r="A2690" s="4">
        <v>1073004</v>
      </c>
      <c r="B2690" s="12" t="str">
        <f t="array" ref="B2690">IF(A2690:A6732="","",_xlfn.XLOOKUP(A2690:A6732,'参照_武将'!A:A,'参照_武将'!B:B,"見つかりません"))</f>
      </c>
      <c r="C2690" s="4" t="s">
        <v>5968</v>
      </c>
      <c r="D2690" s="4">
        <v>73</v>
      </c>
      <c r="E2690" s="12" t="str">
        <f t="array" ref="E2690">IF(D2690:D6732="","",IFERROR(_xlfn.XLOOKUP(D2690:D6732,'参照_勢力'!A:A,'参照_勢力'!B:B),IFERROR(_xlfn.XLOOKUP(F2690:F6732,kunishuClan!A:A,kunishuClan!B:B),"浪人")))</f>
      </c>
      <c r="F2690" s="4">
        <v>0</v>
      </c>
      <c r="G2690" s="4">
        <v>219</v>
      </c>
      <c r="H2690" s="12" t="str">
        <f t="array" ref="H2690">IF(G2690:G6732="","",_xlfn.XLOOKUP(G2690:G6732,castles_state!A:A,castles_state!D:D,"見つかりません"))</f>
      </c>
      <c r="I2690" s="4"/>
      <c r="J2690" s="12" t="str">
        <f t="array" ref="J2690">IF(I2690:I6732="","",_xlfn.XLOOKUP(I2690:I6732,'参照_姫'!A:A,'参照_姫'!B:B,"見つかりません"))</f>
      </c>
      <c r="K2690" s="4">
        <v>95</v>
      </c>
      <c r="L2690" s="4">
        <v>0</v>
      </c>
      <c r="M2690" s="4"/>
      <c r="N2690" s="4"/>
      <c r="O2690" s="4"/>
      <c r="P2690" s="12" t="str">
        <f t="array" ref="P2690">IF(O2690:O6732="","",_xlfn.XLOOKUP(O2690:O6732,'参照_官位'!A:A,'参照_官位'!B:B,""))</f>
      </c>
      <c r="Q2690" s="12" t="str">
        <f t="array" ref="Q2690">IF(A2690:A6732="","",IFERROR(_xlfn.XLOOKUP(A2690:A6732,castles_state!K:K,castles_state!D:D)&amp;"主",IFERROR(_xlfn.XLOOKUP(A2690:A6732,kunishuClan!D:D,kunishuClan!B:B)&amp;"当主","")))</f>
      </c>
    </row>
    <row r="2691" ht="15.75" customHeight="1">
      <c r="A2691" s="4">
        <v>1073005</v>
      </c>
      <c r="B2691" s="12" t="str">
        <f t="array" ref="B2691">IF(A2691:A6733="","",_xlfn.XLOOKUP(A2691:A6733,'参照_武将'!A:A,'参照_武将'!B:B,"見つかりません"))</f>
      </c>
      <c r="C2691" s="4" t="s">
        <v>5968</v>
      </c>
      <c r="D2691" s="4">
        <v>73</v>
      </c>
      <c r="E2691" s="12" t="str">
        <f t="array" ref="E2691">IF(D2691:D6733="","",IFERROR(_xlfn.XLOOKUP(D2691:D6733,'参照_勢力'!A:A,'参照_勢力'!B:B),IFERROR(_xlfn.XLOOKUP(F2691:F6733,kunishuClan!A:A,kunishuClan!B:B),"浪人")))</f>
      </c>
      <c r="F2691" s="4">
        <v>0</v>
      </c>
      <c r="G2691" s="4">
        <v>219</v>
      </c>
      <c r="H2691" s="12" t="str">
        <f t="array" ref="H2691">IF(G2691:G6733="","",_xlfn.XLOOKUP(G2691:G6733,castles_state!A:A,castles_state!D:D,"見つかりません"))</f>
      </c>
      <c r="I2691" s="4"/>
      <c r="J2691" s="12" t="str">
        <f t="array" ref="J2691">IF(I2691:I6733="","",_xlfn.XLOOKUP(I2691:I6733,'参照_姫'!A:A,'参照_姫'!B:B,"見つかりません"))</f>
      </c>
      <c r="K2691" s="4">
        <v>95</v>
      </c>
      <c r="L2691" s="4">
        <v>0</v>
      </c>
      <c r="M2691" s="4"/>
      <c r="N2691" s="4"/>
      <c r="O2691" s="4"/>
      <c r="P2691" s="12" t="str">
        <f t="array" ref="P2691">IF(O2691:O6733="","",_xlfn.XLOOKUP(O2691:O6733,'参照_官位'!A:A,'参照_官位'!B:B,""))</f>
      </c>
      <c r="Q2691" s="12" t="str">
        <f t="array" ref="Q2691">IF(A2691:A6733="","",IFERROR(_xlfn.XLOOKUP(A2691:A6733,castles_state!K:K,castles_state!D:D)&amp;"主",IFERROR(_xlfn.XLOOKUP(A2691:A6733,kunishuClan!D:D,kunishuClan!B:B)&amp;"当主","")))</f>
      </c>
    </row>
    <row r="2692" ht="15.75" customHeight="1">
      <c r="A2692" s="4">
        <v>1073006</v>
      </c>
      <c r="B2692" s="12" t="str">
        <f t="array" ref="B2692">IF(A2692:A6734="","",_xlfn.XLOOKUP(A2692:A6734,'参照_武将'!A:A,'参照_武将'!B:B,"見つかりません"))</f>
      </c>
      <c r="C2692" s="4" t="s">
        <v>5968</v>
      </c>
      <c r="D2692" s="4">
        <v>73</v>
      </c>
      <c r="E2692" s="12" t="str">
        <f t="array" ref="E2692">IF(D2692:D6734="","",IFERROR(_xlfn.XLOOKUP(D2692:D6734,'参照_勢力'!A:A,'参照_勢力'!B:B),IFERROR(_xlfn.XLOOKUP(F2692:F6734,kunishuClan!A:A,kunishuClan!B:B),"浪人")))</f>
      </c>
      <c r="F2692" s="4">
        <v>0</v>
      </c>
      <c r="G2692" s="4">
        <v>219</v>
      </c>
      <c r="H2692" s="12" t="str">
        <f t="array" ref="H2692">IF(G2692:G6734="","",_xlfn.XLOOKUP(G2692:G6734,castles_state!A:A,castles_state!D:D,"見つかりません"))</f>
      </c>
      <c r="I2692" s="4"/>
      <c r="J2692" s="12" t="str">
        <f t="array" ref="J2692">IF(I2692:I6734="","",_xlfn.XLOOKUP(I2692:I6734,'参照_姫'!A:A,'参照_姫'!B:B,"見つかりません"))</f>
      </c>
      <c r="K2692" s="4">
        <v>95</v>
      </c>
      <c r="L2692" s="4">
        <v>0</v>
      </c>
      <c r="M2692" s="4"/>
      <c r="N2692" s="4"/>
      <c r="O2692" s="4"/>
      <c r="P2692" s="12" t="str">
        <f t="array" ref="P2692">IF(O2692:O6734="","",_xlfn.XLOOKUP(O2692:O6734,'参照_官位'!A:A,'参照_官位'!B:B,""))</f>
      </c>
      <c r="Q2692" s="12" t="str">
        <f t="array" ref="Q2692">IF(A2692:A6734="","",IFERROR(_xlfn.XLOOKUP(A2692:A6734,castles_state!K:K,castles_state!D:D)&amp;"主",IFERROR(_xlfn.XLOOKUP(A2692:A6734,kunishuClan!D:D,kunishuClan!B:B)&amp;"当主","")))</f>
      </c>
    </row>
    <row r="2693" ht="15.75" customHeight="1">
      <c r="A2693" s="4">
        <v>1073007</v>
      </c>
      <c r="B2693" s="12" t="str">
        <f t="array" ref="B2693">IF(A2693:A6735="","",_xlfn.XLOOKUP(A2693:A6735,'参照_武将'!A:A,'参照_武将'!B:B,"見つかりません"))</f>
      </c>
      <c r="C2693" s="4" t="s">
        <v>5969</v>
      </c>
      <c r="D2693" s="4">
        <v>73</v>
      </c>
      <c r="E2693" s="12" t="str">
        <f t="array" ref="E2693">IF(D2693:D6735="","",IFERROR(_xlfn.XLOOKUP(D2693:D6735,'参照_勢力'!A:A,'参照_勢力'!B:B),IFERROR(_xlfn.XLOOKUP(F2693:F6735,kunishuClan!A:A,kunishuClan!B:B),"浪人")))</f>
      </c>
      <c r="F2693" s="4">
        <v>0</v>
      </c>
      <c r="G2693" s="4">
        <v>218</v>
      </c>
      <c r="H2693" s="12" t="str">
        <f t="array" ref="H2693">IF(G2693:G6735="","",_xlfn.XLOOKUP(G2693:G6735,castles_state!A:A,castles_state!D:D,"見つかりません"))</f>
      </c>
      <c r="I2693" s="4"/>
      <c r="J2693" s="12" t="str">
        <f t="array" ref="J2693">IF(I2693:I6735="","",_xlfn.XLOOKUP(I2693:I6735,'参照_姫'!A:A,'参照_姫'!B:B,"見つかりません"))</f>
      </c>
      <c r="K2693" s="4">
        <v>95</v>
      </c>
      <c r="L2693" s="4">
        <v>0</v>
      </c>
      <c r="M2693" s="4"/>
      <c r="N2693" s="4"/>
      <c r="O2693" s="4"/>
      <c r="P2693" s="12" t="str">
        <f t="array" ref="P2693">IF(O2693:O6735="","",_xlfn.XLOOKUP(O2693:O6735,'参照_官位'!A:A,'参照_官位'!B:B,""))</f>
      </c>
      <c r="Q2693" s="12" t="str">
        <f t="array" ref="Q2693">IF(A2693:A6735="","",IFERROR(_xlfn.XLOOKUP(A2693:A6735,castles_state!K:K,castles_state!D:D)&amp;"主",IFERROR(_xlfn.XLOOKUP(A2693:A6735,kunishuClan!D:D,kunishuClan!B:B)&amp;"当主","")))</f>
      </c>
    </row>
    <row r="2694" ht="15.75" customHeight="1">
      <c r="A2694" s="4">
        <v>1073008</v>
      </c>
      <c r="B2694" s="12" t="str">
        <f t="array" ref="B2694">IF(A2694:A6736="","",_xlfn.XLOOKUP(A2694:A6736,'参照_武将'!A:A,'参照_武将'!B:B,"見つかりません"))</f>
      </c>
      <c r="C2694" s="4" t="s">
        <v>5969</v>
      </c>
      <c r="D2694" s="4">
        <v>73</v>
      </c>
      <c r="E2694" s="12" t="str">
        <f t="array" ref="E2694">IF(D2694:D6736="","",IFERROR(_xlfn.XLOOKUP(D2694:D6736,'参照_勢力'!A:A,'参照_勢力'!B:B),IFERROR(_xlfn.XLOOKUP(F2694:F6736,kunishuClan!A:A,kunishuClan!B:B),"浪人")))</f>
      </c>
      <c r="F2694" s="4">
        <v>0</v>
      </c>
      <c r="G2694" s="4">
        <v>218</v>
      </c>
      <c r="H2694" s="12" t="str">
        <f t="array" ref="H2694">IF(G2694:G6736="","",_xlfn.XLOOKUP(G2694:G6736,castles_state!A:A,castles_state!D:D,"見つかりません"))</f>
      </c>
      <c r="I2694" s="4"/>
      <c r="J2694" s="12" t="str">
        <f t="array" ref="J2694">IF(I2694:I6736="","",_xlfn.XLOOKUP(I2694:I6736,'参照_姫'!A:A,'参照_姫'!B:B,"見つかりません"))</f>
      </c>
      <c r="K2694" s="4">
        <v>95</v>
      </c>
      <c r="L2694" s="4">
        <v>0</v>
      </c>
      <c r="M2694" s="4"/>
      <c r="N2694" s="4"/>
      <c r="O2694" s="4"/>
      <c r="P2694" s="12" t="str">
        <f t="array" ref="P2694">IF(O2694:O6736="","",_xlfn.XLOOKUP(O2694:O6736,'参照_官位'!A:A,'参照_官位'!B:B,""))</f>
      </c>
      <c r="Q2694" s="12" t="str">
        <f t="array" ref="Q2694">IF(A2694:A6736="","",IFERROR(_xlfn.XLOOKUP(A2694:A6736,castles_state!K:K,castles_state!D:D)&amp;"主",IFERROR(_xlfn.XLOOKUP(A2694:A6736,kunishuClan!D:D,kunishuClan!B:B)&amp;"当主","")))</f>
      </c>
    </row>
    <row r="2695" ht="15.75" customHeight="1">
      <c r="A2695" s="4">
        <v>1073009</v>
      </c>
      <c r="B2695" s="12" t="str">
        <f t="array" ref="B2695">IF(A2695:A6737="","",_xlfn.XLOOKUP(A2695:A6737,'参照_武将'!A:A,'参照_武将'!B:B,"見つかりません"))</f>
      </c>
      <c r="C2695" s="4" t="s">
        <v>5967</v>
      </c>
      <c r="D2695" s="4">
        <v>73</v>
      </c>
      <c r="E2695" s="12" t="str">
        <f t="array" ref="E2695">IF(D2695:D6737="","",IFERROR(_xlfn.XLOOKUP(D2695:D6737,'参照_勢力'!A:A,'参照_勢力'!B:B),IFERROR(_xlfn.XLOOKUP(F2695:F6737,kunishuClan!A:A,kunishuClan!B:B),"浪人")))</f>
      </c>
      <c r="F2695" s="4">
        <v>0</v>
      </c>
      <c r="G2695" s="4">
        <v>218</v>
      </c>
      <c r="H2695" s="12" t="str">
        <f t="array" ref="H2695">IF(G2695:G6737="","",_xlfn.XLOOKUP(G2695:G6737,castles_state!A:A,castles_state!D:D,"見つかりません"))</f>
      </c>
      <c r="I2695" s="4"/>
      <c r="J2695" s="12" t="str">
        <f t="array" ref="J2695">IF(I2695:I6737="","",_xlfn.XLOOKUP(I2695:I6737,'参照_姫'!A:A,'参照_姫'!B:B,"見つかりません"))</f>
      </c>
      <c r="K2695" s="4">
        <v>95</v>
      </c>
      <c r="L2695" s="4">
        <v>0</v>
      </c>
      <c r="M2695" s="4"/>
      <c r="N2695" s="4"/>
      <c r="O2695" s="4"/>
      <c r="P2695" s="12" t="str">
        <f t="array" ref="P2695">IF(O2695:O6737="","",_xlfn.XLOOKUP(O2695:O6737,'参照_官位'!A:A,'参照_官位'!B:B,""))</f>
      </c>
      <c r="Q2695" s="12" t="str">
        <f t="array" ref="Q2695">IF(A2695:A6737="","",IFERROR(_xlfn.XLOOKUP(A2695:A6737,castles_state!K:K,castles_state!D:D)&amp;"主",IFERROR(_xlfn.XLOOKUP(A2695:A6737,kunishuClan!D:D,kunishuClan!B:B)&amp;"当主","")))</f>
      </c>
    </row>
    <row r="2696" ht="15.75" customHeight="1">
      <c r="A2696" s="4">
        <v>1073010</v>
      </c>
      <c r="B2696" s="12" t="str">
        <f t="array" ref="B2696">IF(A2696:A6738="","",_xlfn.XLOOKUP(A2696:A6738,'参照_武将'!A:A,'参照_武将'!B:B,"見つかりません"))</f>
      </c>
      <c r="C2696" s="4" t="s">
        <v>5967</v>
      </c>
      <c r="D2696" s="4">
        <v>73</v>
      </c>
      <c r="E2696" s="12" t="str">
        <f t="array" ref="E2696">IF(D2696:D6738="","",IFERROR(_xlfn.XLOOKUP(D2696:D6738,'参照_勢力'!A:A,'参照_勢力'!B:B),IFERROR(_xlfn.XLOOKUP(F2696:F6738,kunishuClan!A:A,kunishuClan!B:B),"浪人")))</f>
      </c>
      <c r="F2696" s="4">
        <v>0</v>
      </c>
      <c r="G2696" s="4">
        <v>218</v>
      </c>
      <c r="H2696" s="12" t="str">
        <f t="array" ref="H2696">IF(G2696:G6738="","",_xlfn.XLOOKUP(G2696:G6738,castles_state!A:A,castles_state!D:D,"見つかりません"))</f>
      </c>
      <c r="I2696" s="4"/>
      <c r="J2696" s="12" t="str">
        <f t="array" ref="J2696">IF(I2696:I6738="","",_xlfn.XLOOKUP(I2696:I6738,'参照_姫'!A:A,'参照_姫'!B:B,"見つかりません"))</f>
      </c>
      <c r="K2696" s="4">
        <v>95</v>
      </c>
      <c r="L2696" s="4">
        <v>0</v>
      </c>
      <c r="M2696" s="4"/>
      <c r="N2696" s="4"/>
      <c r="O2696" s="4"/>
      <c r="P2696" s="12" t="str">
        <f t="array" ref="P2696">IF(O2696:O6738="","",_xlfn.XLOOKUP(O2696:O6738,'参照_官位'!A:A,'参照_官位'!B:B,""))</f>
      </c>
      <c r="Q2696" s="12" t="str">
        <f t="array" ref="Q2696">IF(A2696:A6738="","",IFERROR(_xlfn.XLOOKUP(A2696:A6738,castles_state!K:K,castles_state!D:D)&amp;"主",IFERROR(_xlfn.XLOOKUP(A2696:A6738,kunishuClan!D:D,kunishuClan!B:B)&amp;"当主","")))</f>
      </c>
    </row>
    <row r="2697" ht="15.75" customHeight="1">
      <c r="A2697" s="4">
        <v>1073011</v>
      </c>
      <c r="B2697" s="12" t="str">
        <f t="array" ref="B2697">IF(A2697:A6739="","",_xlfn.XLOOKUP(A2697:A6739,'参照_武将'!A:A,'参照_武将'!B:B,"見つかりません"))</f>
      </c>
      <c r="C2697" s="4" t="s">
        <v>5967</v>
      </c>
      <c r="D2697" s="4">
        <v>73</v>
      </c>
      <c r="E2697" s="12" t="str">
        <f t="array" ref="E2697">IF(D2697:D6739="","",IFERROR(_xlfn.XLOOKUP(D2697:D6739,'参照_勢力'!A:A,'参照_勢力'!B:B),IFERROR(_xlfn.XLOOKUP(F2697:F6739,kunishuClan!A:A,kunishuClan!B:B),"浪人")))</f>
      </c>
      <c r="F2697" s="4">
        <v>0</v>
      </c>
      <c r="G2697" s="4">
        <v>218</v>
      </c>
      <c r="H2697" s="12" t="str">
        <f t="array" ref="H2697">IF(G2697:G6739="","",_xlfn.XLOOKUP(G2697:G6739,castles_state!A:A,castles_state!D:D,"見つかりません"))</f>
      </c>
      <c r="I2697" s="4"/>
      <c r="J2697" s="12" t="str">
        <f t="array" ref="J2697">IF(I2697:I6739="","",_xlfn.XLOOKUP(I2697:I6739,'参照_姫'!A:A,'参照_姫'!B:B,"見つかりません"))</f>
      </c>
      <c r="K2697" s="4">
        <v>95</v>
      </c>
      <c r="L2697" s="4">
        <v>0</v>
      </c>
      <c r="M2697" s="4"/>
      <c r="N2697" s="4"/>
      <c r="O2697" s="4"/>
      <c r="P2697" s="12" t="str">
        <f t="array" ref="P2697">IF(O2697:O6739="","",_xlfn.XLOOKUP(O2697:O6739,'参照_官位'!A:A,'参照_官位'!B:B,""))</f>
      </c>
      <c r="Q2697" s="12" t="str">
        <f t="array" ref="Q2697">IF(A2697:A6739="","",IFERROR(_xlfn.XLOOKUP(A2697:A6739,castles_state!K:K,castles_state!D:D)&amp;"主",IFERROR(_xlfn.XLOOKUP(A2697:A6739,kunishuClan!D:D,kunishuClan!B:B)&amp;"当主","")))</f>
      </c>
    </row>
    <row r="2698" ht="15.75" customHeight="1">
      <c r="A2698" s="4">
        <v>1073012</v>
      </c>
      <c r="B2698" s="12" t="str">
        <f t="array" ref="B2698">IF(A2698:A6740="","",_xlfn.XLOOKUP(A2698:A6740,'参照_武将'!A:A,'参照_武将'!B:B,"見つかりません"))</f>
      </c>
      <c r="C2698" s="4" t="s">
        <v>5967</v>
      </c>
      <c r="D2698" s="4">
        <v>73</v>
      </c>
      <c r="E2698" s="12" t="str">
        <f t="array" ref="E2698">IF(D2698:D6740="","",IFERROR(_xlfn.XLOOKUP(D2698:D6740,'参照_勢力'!A:A,'参照_勢力'!B:B),IFERROR(_xlfn.XLOOKUP(F2698:F6740,kunishuClan!A:A,kunishuClan!B:B),"浪人")))</f>
      </c>
      <c r="F2698" s="4">
        <v>0</v>
      </c>
      <c r="G2698" s="4">
        <v>218</v>
      </c>
      <c r="H2698" s="12" t="str">
        <f t="array" ref="H2698">IF(G2698:G6740="","",_xlfn.XLOOKUP(G2698:G6740,castles_state!A:A,castles_state!D:D,"見つかりません"))</f>
      </c>
      <c r="I2698" s="4"/>
      <c r="J2698" s="12" t="str">
        <f t="array" ref="J2698">IF(I2698:I6740="","",_xlfn.XLOOKUP(I2698:I6740,'参照_姫'!A:A,'参照_姫'!B:B,"見つかりません"))</f>
      </c>
      <c r="K2698" s="4">
        <v>100</v>
      </c>
      <c r="L2698" s="4">
        <v>0</v>
      </c>
      <c r="M2698" s="4"/>
      <c r="N2698" s="4"/>
      <c r="O2698" s="4"/>
      <c r="P2698" s="12" t="str">
        <f t="array" ref="P2698">IF(O2698:O6740="","",_xlfn.XLOOKUP(O2698:O6740,'参照_官位'!A:A,'参照_官位'!B:B,""))</f>
      </c>
      <c r="Q2698" s="12" t="str">
        <f t="array" ref="Q2698">IF(A2698:A6740="","",IFERROR(_xlfn.XLOOKUP(A2698:A6740,castles_state!K:K,castles_state!D:D)&amp;"主",IFERROR(_xlfn.XLOOKUP(A2698:A6740,kunishuClan!D:D,kunishuClan!B:B)&amp;"当主","")))</f>
      </c>
    </row>
    <row r="2699" ht="15.75" customHeight="1">
      <c r="A2699" s="4">
        <v>1073013</v>
      </c>
      <c r="B2699" s="12" t="str">
        <f t="array" ref="B2699">IF(A2699:A6741="","",_xlfn.XLOOKUP(A2699:A6741,'参照_武将'!A:A,'参照_武将'!B:B,"見つかりません"))</f>
      </c>
      <c r="C2699" s="4" t="s">
        <v>5967</v>
      </c>
      <c r="D2699" s="4">
        <v>73</v>
      </c>
      <c r="E2699" s="12" t="str">
        <f t="array" ref="E2699">IF(D2699:D6741="","",IFERROR(_xlfn.XLOOKUP(D2699:D6741,'参照_勢力'!A:A,'参照_勢力'!B:B),IFERROR(_xlfn.XLOOKUP(F2699:F6741,kunishuClan!A:A,kunishuClan!B:B),"浪人")))</f>
      </c>
      <c r="F2699" s="4">
        <v>0</v>
      </c>
      <c r="G2699" s="4">
        <v>218</v>
      </c>
      <c r="H2699" s="12" t="str">
        <f t="array" ref="H2699">IF(G2699:G6741="","",_xlfn.XLOOKUP(G2699:G6741,castles_state!A:A,castles_state!D:D,"見つかりません"))</f>
      </c>
      <c r="I2699" s="4"/>
      <c r="J2699" s="12" t="str">
        <f t="array" ref="J2699">IF(I2699:I6741="","",_xlfn.XLOOKUP(I2699:I6741,'参照_姫'!A:A,'参照_姫'!B:B,"見つかりません"))</f>
      </c>
      <c r="K2699" s="4">
        <v>100</v>
      </c>
      <c r="L2699" s="4">
        <v>1500</v>
      </c>
      <c r="M2699" s="4"/>
      <c r="N2699" s="4"/>
      <c r="O2699" s="4"/>
      <c r="P2699" s="12" t="str">
        <f t="array" ref="P2699">IF(O2699:O6741="","",_xlfn.XLOOKUP(O2699:O6741,'参照_官位'!A:A,'参照_官位'!B:B,""))</f>
      </c>
      <c r="Q2699" s="12" t="str">
        <f t="array" ref="Q2699">IF(A2699:A6741="","",IFERROR(_xlfn.XLOOKUP(A2699:A6741,castles_state!K:K,castles_state!D:D)&amp;"主",IFERROR(_xlfn.XLOOKUP(A2699:A6741,kunishuClan!D:D,kunishuClan!B:B)&amp;"当主","")))</f>
      </c>
    </row>
    <row r="2700" ht="15.75" customHeight="1">
      <c r="A2700" s="4">
        <v>1073014</v>
      </c>
      <c r="B2700" s="12" t="str">
        <f t="array" ref="B2700">IF(A2700:A6742="","",_xlfn.XLOOKUP(A2700:A6742,'参照_武将'!A:A,'参照_武将'!B:B,"見つかりません"))</f>
      </c>
      <c r="C2700" s="4" t="s">
        <v>5967</v>
      </c>
      <c r="D2700" s="4">
        <v>73</v>
      </c>
      <c r="E2700" s="12" t="str">
        <f t="array" ref="E2700">IF(D2700:D6742="","",IFERROR(_xlfn.XLOOKUP(D2700:D6742,'参照_勢力'!A:A,'参照_勢力'!B:B),IFERROR(_xlfn.XLOOKUP(F2700:F6742,kunishuClan!A:A,kunishuClan!B:B),"浪人")))</f>
      </c>
      <c r="F2700" s="4">
        <v>0</v>
      </c>
      <c r="G2700" s="4">
        <v>218</v>
      </c>
      <c r="H2700" s="12" t="str">
        <f t="array" ref="H2700">IF(G2700:G6742="","",_xlfn.XLOOKUP(G2700:G6742,castles_state!A:A,castles_state!D:D,"見つかりません"))</f>
      </c>
      <c r="I2700" s="4"/>
      <c r="J2700" s="12" t="str">
        <f t="array" ref="J2700">IF(I2700:I6742="","",_xlfn.XLOOKUP(I2700:I6742,'参照_姫'!A:A,'参照_姫'!B:B,"見つかりません"))</f>
      </c>
      <c r="K2700" s="4">
        <v>95</v>
      </c>
      <c r="L2700" s="4">
        <v>0</v>
      </c>
      <c r="M2700" s="4"/>
      <c r="N2700" s="4"/>
      <c r="O2700" s="4"/>
      <c r="P2700" s="12" t="str">
        <f t="array" ref="P2700">IF(O2700:O6742="","",_xlfn.XLOOKUP(O2700:O6742,'参照_官位'!A:A,'参照_官位'!B:B,""))</f>
      </c>
      <c r="Q2700" s="12" t="str">
        <f t="array" ref="Q2700">IF(A2700:A6742="","",IFERROR(_xlfn.XLOOKUP(A2700:A6742,castles_state!K:K,castles_state!D:D)&amp;"主",IFERROR(_xlfn.XLOOKUP(A2700:A6742,kunishuClan!D:D,kunishuClan!B:B)&amp;"当主","")))</f>
      </c>
    </row>
    <row r="2701" ht="15.75" customHeight="1">
      <c r="A2701" s="4">
        <v>1073015</v>
      </c>
      <c r="B2701" s="12" t="str">
        <f t="array" ref="B2701">IF(A2701:A6743="","",_xlfn.XLOOKUP(A2701:A6743,'参照_武将'!A:A,'参照_武将'!B:B,"見つかりません"))</f>
      </c>
      <c r="C2701" s="4" t="s">
        <v>5967</v>
      </c>
      <c r="D2701" s="4">
        <v>73</v>
      </c>
      <c r="E2701" s="12" t="str">
        <f t="array" ref="E2701">IF(D2701:D6743="","",IFERROR(_xlfn.XLOOKUP(D2701:D6743,'参照_勢力'!A:A,'参照_勢力'!B:B),IFERROR(_xlfn.XLOOKUP(F2701:F6743,kunishuClan!A:A,kunishuClan!B:B),"浪人")))</f>
      </c>
      <c r="F2701" s="4">
        <v>0</v>
      </c>
      <c r="G2701" s="4">
        <v>218</v>
      </c>
      <c r="H2701" s="12" t="str">
        <f t="array" ref="H2701">IF(G2701:G6743="","",_xlfn.XLOOKUP(G2701:G6743,castles_state!A:A,castles_state!D:D,"見つかりません"))</f>
      </c>
      <c r="I2701" s="4"/>
      <c r="J2701" s="12" t="str">
        <f t="array" ref="J2701">IF(I2701:I6743="","",_xlfn.XLOOKUP(I2701:I6743,'参照_姫'!A:A,'参照_姫'!B:B,"見つかりません"))</f>
      </c>
      <c r="K2701" s="4">
        <v>95</v>
      </c>
      <c r="L2701" s="4">
        <v>500</v>
      </c>
      <c r="M2701" s="4"/>
      <c r="N2701" s="4"/>
      <c r="O2701" s="4"/>
      <c r="P2701" s="12" t="str">
        <f t="array" ref="P2701">IF(O2701:O6743="","",_xlfn.XLOOKUP(O2701:O6743,'参照_官位'!A:A,'参照_官位'!B:B,""))</f>
      </c>
      <c r="Q2701" s="12" t="str">
        <f t="array" ref="Q2701">IF(A2701:A6743="","",IFERROR(_xlfn.XLOOKUP(A2701:A6743,castles_state!K:K,castles_state!D:D)&amp;"主",IFERROR(_xlfn.XLOOKUP(A2701:A6743,kunishuClan!D:D,kunishuClan!B:B)&amp;"当主","")))</f>
      </c>
    </row>
    <row r="2702" ht="15.75" customHeight="1">
      <c r="A2702" s="4">
        <v>1073016</v>
      </c>
      <c r="B2702" s="12" t="str">
        <f t="array" ref="B2702">IF(A2702:A6744="","",_xlfn.XLOOKUP(A2702:A6744,'参照_武将'!A:A,'参照_武将'!B:B,"見つかりません"))</f>
      </c>
      <c r="C2702" s="4" t="s">
        <v>5967</v>
      </c>
      <c r="D2702" s="4">
        <v>73</v>
      </c>
      <c r="E2702" s="12" t="str">
        <f t="array" ref="E2702">IF(D2702:D6744="","",IFERROR(_xlfn.XLOOKUP(D2702:D6744,'参照_勢力'!A:A,'参照_勢力'!B:B),IFERROR(_xlfn.XLOOKUP(F2702:F6744,kunishuClan!A:A,kunishuClan!B:B),"浪人")))</f>
      </c>
      <c r="F2702" s="4">
        <v>0</v>
      </c>
      <c r="G2702" s="4">
        <v>218</v>
      </c>
      <c r="H2702" s="12" t="str">
        <f t="array" ref="H2702">IF(G2702:G6744="","",_xlfn.XLOOKUP(G2702:G6744,castles_state!A:A,castles_state!D:D,"見つかりません"))</f>
      </c>
      <c r="I2702" s="4"/>
      <c r="J2702" s="12" t="str">
        <f t="array" ref="J2702">IF(I2702:I6744="","",_xlfn.XLOOKUP(I2702:I6744,'参照_姫'!A:A,'参照_姫'!B:B,"見つかりません"))</f>
      </c>
      <c r="K2702" s="4">
        <v>95</v>
      </c>
      <c r="L2702" s="4">
        <v>500</v>
      </c>
      <c r="M2702" s="4"/>
      <c r="N2702" s="4"/>
      <c r="O2702" s="4"/>
      <c r="P2702" s="12" t="str">
        <f t="array" ref="P2702">IF(O2702:O6744="","",_xlfn.XLOOKUP(O2702:O6744,'参照_官位'!A:A,'参照_官位'!B:B,""))</f>
      </c>
      <c r="Q2702" s="12" t="str">
        <f t="array" ref="Q2702">IF(A2702:A6744="","",IFERROR(_xlfn.XLOOKUP(A2702:A6744,castles_state!K:K,castles_state!D:D)&amp;"主",IFERROR(_xlfn.XLOOKUP(A2702:A6744,kunishuClan!D:D,kunishuClan!B:B)&amp;"当主","")))</f>
      </c>
    </row>
    <row r="2703" ht="15.75" customHeight="1">
      <c r="A2703" s="4">
        <v>1073017</v>
      </c>
      <c r="B2703" s="12" t="str">
        <f t="array" ref="B2703">IF(A2703:A6745="","",_xlfn.XLOOKUP(A2703:A6745,'参照_武将'!A:A,'参照_武将'!B:B,"見つかりません"))</f>
      </c>
      <c r="C2703" s="4" t="s">
        <v>5967</v>
      </c>
      <c r="D2703" s="4">
        <v>73</v>
      </c>
      <c r="E2703" s="12" t="str">
        <f t="array" ref="E2703">IF(D2703:D6745="","",IFERROR(_xlfn.XLOOKUP(D2703:D6745,'参照_勢力'!A:A,'参照_勢力'!B:B),IFERROR(_xlfn.XLOOKUP(F2703:F6745,kunishuClan!A:A,kunishuClan!B:B),"浪人")))</f>
      </c>
      <c r="F2703" s="4">
        <v>0</v>
      </c>
      <c r="G2703" s="4">
        <v>218</v>
      </c>
      <c r="H2703" s="12" t="str">
        <f t="array" ref="H2703">IF(G2703:G6745="","",_xlfn.XLOOKUP(G2703:G6745,castles_state!A:A,castles_state!D:D,"見つかりません"))</f>
      </c>
      <c r="I2703" s="4"/>
      <c r="J2703" s="12" t="str">
        <f t="array" ref="J2703">IF(I2703:I6745="","",_xlfn.XLOOKUP(I2703:I6745,'参照_姫'!A:A,'参照_姫'!B:B,"見つかりません"))</f>
      </c>
      <c r="K2703" s="4">
        <v>95</v>
      </c>
      <c r="L2703" s="4">
        <v>500</v>
      </c>
      <c r="M2703" s="4"/>
      <c r="N2703" s="4"/>
      <c r="O2703" s="4"/>
      <c r="P2703" s="12" t="str">
        <f t="array" ref="P2703">IF(O2703:O6745="","",_xlfn.XLOOKUP(O2703:O6745,'参照_官位'!A:A,'参照_官位'!B:B,""))</f>
      </c>
      <c r="Q2703" s="12" t="str">
        <f t="array" ref="Q2703">IF(A2703:A6745="","",IFERROR(_xlfn.XLOOKUP(A2703:A6745,castles_state!K:K,castles_state!D:D)&amp;"主",IFERROR(_xlfn.XLOOKUP(A2703:A6745,kunishuClan!D:D,kunishuClan!B:B)&amp;"当主","")))</f>
      </c>
    </row>
    <row r="2704" ht="15.75" customHeight="1">
      <c r="A2704" s="4">
        <v>1073018</v>
      </c>
      <c r="B2704" s="12" t="str">
        <f t="array" ref="B2704">IF(A2704:A6746="","",_xlfn.XLOOKUP(A2704:A6746,'参照_武将'!A:A,'参照_武将'!B:B,"見つかりません"))</f>
      </c>
      <c r="C2704" s="4" t="s">
        <v>5968</v>
      </c>
      <c r="D2704" s="4">
        <v>73</v>
      </c>
      <c r="E2704" s="12" t="str">
        <f t="array" ref="E2704">IF(D2704:D6746="","",IFERROR(_xlfn.XLOOKUP(D2704:D6746,'参照_勢力'!A:A,'参照_勢力'!B:B),IFERROR(_xlfn.XLOOKUP(F2704:F6746,kunishuClan!A:A,kunishuClan!B:B),"浪人")))</f>
      </c>
      <c r="F2704" s="4">
        <v>0</v>
      </c>
      <c r="G2704" s="4">
        <v>219</v>
      </c>
      <c r="H2704" s="12" t="str">
        <f t="array" ref="H2704">IF(G2704:G6746="","",_xlfn.XLOOKUP(G2704:G6746,castles_state!A:A,castles_state!D:D,"見つかりません"))</f>
      </c>
      <c r="I2704" s="4"/>
      <c r="J2704" s="12" t="str">
        <f t="array" ref="J2704">IF(I2704:I6746="","",_xlfn.XLOOKUP(I2704:I6746,'参照_姫'!A:A,'参照_姫'!B:B,"見つかりません"))</f>
      </c>
      <c r="K2704" s="4">
        <v>95</v>
      </c>
      <c r="L2704" s="4">
        <v>500</v>
      </c>
      <c r="M2704" s="4"/>
      <c r="N2704" s="4"/>
      <c r="O2704" s="4"/>
      <c r="P2704" s="12" t="str">
        <f t="array" ref="P2704">IF(O2704:O6746="","",_xlfn.XLOOKUP(O2704:O6746,'参照_官位'!A:A,'参照_官位'!B:B,""))</f>
      </c>
      <c r="Q2704" s="12" t="str">
        <f t="array" ref="Q2704">IF(A2704:A6746="","",IFERROR(_xlfn.XLOOKUP(A2704:A6746,castles_state!K:K,castles_state!D:D)&amp;"主",IFERROR(_xlfn.XLOOKUP(A2704:A6746,kunishuClan!D:D,kunishuClan!B:B)&amp;"当主","")))</f>
      </c>
    </row>
    <row r="2705" ht="15.75" customHeight="1">
      <c r="A2705" s="4">
        <v>1073019</v>
      </c>
      <c r="B2705" s="12" t="str">
        <f t="array" ref="B2705">IF(A2705:A6747="","",_xlfn.XLOOKUP(A2705:A6747,'参照_武将'!A:A,'参照_武将'!B:B,"見つかりません"))</f>
      </c>
      <c r="C2705" s="4" t="s">
        <v>5968</v>
      </c>
      <c r="D2705" s="4">
        <v>73</v>
      </c>
      <c r="E2705" s="12" t="str">
        <f t="array" ref="E2705">IF(D2705:D6747="","",IFERROR(_xlfn.XLOOKUP(D2705:D6747,'参照_勢力'!A:A,'参照_勢力'!B:B),IFERROR(_xlfn.XLOOKUP(F2705:F6747,kunishuClan!A:A,kunishuClan!B:B),"浪人")))</f>
      </c>
      <c r="F2705" s="4">
        <v>0</v>
      </c>
      <c r="G2705" s="4">
        <v>219</v>
      </c>
      <c r="H2705" s="12" t="str">
        <f t="array" ref="H2705">IF(G2705:G6747="","",_xlfn.XLOOKUP(G2705:G6747,castles_state!A:A,castles_state!D:D,"見つかりません"))</f>
      </c>
      <c r="I2705" s="4"/>
      <c r="J2705" s="12" t="str">
        <f t="array" ref="J2705">IF(I2705:I6747="","",_xlfn.XLOOKUP(I2705:I6747,'参照_姫'!A:A,'参照_姫'!B:B,"見つかりません"))</f>
      </c>
      <c r="K2705" s="4">
        <v>95</v>
      </c>
      <c r="L2705" s="4">
        <v>0</v>
      </c>
      <c r="M2705" s="4"/>
      <c r="N2705" s="4"/>
      <c r="O2705" s="4"/>
      <c r="P2705" s="12" t="str">
        <f t="array" ref="P2705">IF(O2705:O6747="","",_xlfn.XLOOKUP(O2705:O6747,'参照_官位'!A:A,'参照_官位'!B:B,""))</f>
      </c>
      <c r="Q2705" s="12" t="str">
        <f t="array" ref="Q2705">IF(A2705:A6747="","",IFERROR(_xlfn.XLOOKUP(A2705:A6747,castles_state!K:K,castles_state!D:D)&amp;"主",IFERROR(_xlfn.XLOOKUP(A2705:A6747,kunishuClan!D:D,kunishuClan!B:B)&amp;"当主","")))</f>
      </c>
    </row>
    <row r="2706" ht="15.75" customHeight="1">
      <c r="A2706" s="4">
        <v>1073020</v>
      </c>
      <c r="B2706" s="12" t="str">
        <f t="array" ref="B2706">IF(A2706:A6748="","",_xlfn.XLOOKUP(A2706:A6748,'参照_武将'!A:A,'参照_武将'!B:B,"見つかりません"))</f>
      </c>
      <c r="C2706" s="4" t="s">
        <v>5968</v>
      </c>
      <c r="D2706" s="4">
        <v>73</v>
      </c>
      <c r="E2706" s="12" t="str">
        <f t="array" ref="E2706">IF(D2706:D6748="","",IFERROR(_xlfn.XLOOKUP(D2706:D6748,'参照_勢力'!A:A,'参照_勢力'!B:B),IFERROR(_xlfn.XLOOKUP(F2706:F6748,kunishuClan!A:A,kunishuClan!B:B),"浪人")))</f>
      </c>
      <c r="F2706" s="4">
        <v>0</v>
      </c>
      <c r="G2706" s="4">
        <v>219</v>
      </c>
      <c r="H2706" s="12" t="str">
        <f t="array" ref="H2706">IF(G2706:G6748="","",_xlfn.XLOOKUP(G2706:G6748,castles_state!A:A,castles_state!D:D,"見つかりません"))</f>
      </c>
      <c r="I2706" s="4"/>
      <c r="J2706" s="12" t="str">
        <f t="array" ref="J2706">IF(I2706:I6748="","",_xlfn.XLOOKUP(I2706:I6748,'参照_姫'!A:A,'参照_姫'!B:B,"見つかりません"))</f>
      </c>
      <c r="K2706" s="4">
        <v>95</v>
      </c>
      <c r="L2706" s="4">
        <v>0</v>
      </c>
      <c r="M2706" s="4"/>
      <c r="N2706" s="4"/>
      <c r="O2706" s="4"/>
      <c r="P2706" s="12" t="str">
        <f t="array" ref="P2706">IF(O2706:O6748="","",_xlfn.XLOOKUP(O2706:O6748,'参照_官位'!A:A,'参照_官位'!B:B,""))</f>
      </c>
      <c r="Q2706" s="12" t="str">
        <f t="array" ref="Q2706">IF(A2706:A6748="","",IFERROR(_xlfn.XLOOKUP(A2706:A6748,castles_state!K:K,castles_state!D:D)&amp;"主",IFERROR(_xlfn.XLOOKUP(A2706:A6748,kunishuClan!D:D,kunishuClan!B:B)&amp;"当主","")))</f>
      </c>
    </row>
    <row r="2707" ht="15.75" customHeight="1">
      <c r="A2707" s="4">
        <v>1073021</v>
      </c>
      <c r="B2707" s="12" t="str">
        <f t="array" ref="B2707">IF(A2707:A6749="","",_xlfn.XLOOKUP(A2707:A6749,'参照_武将'!A:A,'参照_武将'!B:B,"見つかりません"))</f>
      </c>
      <c r="C2707" s="4" t="s">
        <v>5968</v>
      </c>
      <c r="D2707" s="4">
        <v>73</v>
      </c>
      <c r="E2707" s="12" t="str">
        <f t="array" ref="E2707">IF(D2707:D6749="","",IFERROR(_xlfn.XLOOKUP(D2707:D6749,'参照_勢力'!A:A,'参照_勢力'!B:B),IFERROR(_xlfn.XLOOKUP(F2707:F6749,kunishuClan!A:A,kunishuClan!B:B),"浪人")))</f>
      </c>
      <c r="F2707" s="4">
        <v>0</v>
      </c>
      <c r="G2707" s="4">
        <v>219</v>
      </c>
      <c r="H2707" s="12" t="str">
        <f t="array" ref="H2707">IF(G2707:G6749="","",_xlfn.XLOOKUP(G2707:G6749,castles_state!A:A,castles_state!D:D,"見つかりません"))</f>
      </c>
      <c r="I2707" s="4"/>
      <c r="J2707" s="12" t="str">
        <f t="array" ref="J2707">IF(I2707:I6749="","",_xlfn.XLOOKUP(I2707:I6749,'参照_姫'!A:A,'参照_姫'!B:B,"見つかりません"))</f>
      </c>
      <c r="K2707" s="4">
        <v>95</v>
      </c>
      <c r="L2707" s="4">
        <v>0</v>
      </c>
      <c r="M2707" s="4"/>
      <c r="N2707" s="4"/>
      <c r="O2707" s="4"/>
      <c r="P2707" s="12" t="str">
        <f t="array" ref="P2707">IF(O2707:O6749="","",_xlfn.XLOOKUP(O2707:O6749,'参照_官位'!A:A,'参照_官位'!B:B,""))</f>
      </c>
      <c r="Q2707" s="12" t="str">
        <f t="array" ref="Q2707">IF(A2707:A6749="","",IFERROR(_xlfn.XLOOKUP(A2707:A6749,castles_state!K:K,castles_state!D:D)&amp;"主",IFERROR(_xlfn.XLOOKUP(A2707:A6749,kunishuClan!D:D,kunishuClan!B:B)&amp;"当主","")))</f>
      </c>
    </row>
    <row r="2708" ht="15.75" customHeight="1">
      <c r="A2708" s="4">
        <v>1073022</v>
      </c>
      <c r="B2708" s="12" t="str">
        <f t="array" ref="B2708">IF(A2708:A6750="","",_xlfn.XLOOKUP(A2708:A6750,'参照_武将'!A:A,'参照_武将'!B:B,"見つかりません"))</f>
      </c>
      <c r="C2708" s="4" t="s">
        <v>5970</v>
      </c>
      <c r="D2708" s="4">
        <v>73</v>
      </c>
      <c r="E2708" s="12" t="str">
        <f t="array" ref="E2708">IF(D2708:D6750="","",IFERROR(_xlfn.XLOOKUP(D2708:D6750,'参照_勢力'!A:A,'参照_勢力'!B:B),IFERROR(_xlfn.XLOOKUP(F2708:F6750,kunishuClan!A:A,kunishuClan!B:B),"浪人")))</f>
      </c>
      <c r="F2708" s="4">
        <v>0</v>
      </c>
      <c r="G2708" s="4">
        <v>218</v>
      </c>
      <c r="H2708" s="12" t="str">
        <f t="array" ref="H2708">IF(G2708:G6750="","",_xlfn.XLOOKUP(G2708:G6750,castles_state!A:A,castles_state!D:D,"見つかりません"))</f>
      </c>
      <c r="I2708" s="4"/>
      <c r="J2708" s="12" t="str">
        <f t="array" ref="J2708">IF(I2708:I6750="","",_xlfn.XLOOKUP(I2708:I6750,'参照_姫'!A:A,'参照_姫'!B:B,"見つかりません"))</f>
      </c>
      <c r="K2708" s="4">
        <v>95</v>
      </c>
      <c r="L2708" s="4">
        <v>0</v>
      </c>
      <c r="M2708" s="4"/>
      <c r="N2708" s="4"/>
      <c r="O2708" s="4"/>
      <c r="P2708" s="12" t="str">
        <f t="array" ref="P2708">IF(O2708:O6750="","",_xlfn.XLOOKUP(O2708:O6750,'参照_官位'!A:A,'参照_官位'!B:B,""))</f>
      </c>
      <c r="Q2708" s="12" t="str">
        <f t="array" ref="Q2708">IF(A2708:A6750="","",IFERROR(_xlfn.XLOOKUP(A2708:A6750,castles_state!K:K,castles_state!D:D)&amp;"主",IFERROR(_xlfn.XLOOKUP(A2708:A6750,kunishuClan!D:D,kunishuClan!B:B)&amp;"当主","")))</f>
      </c>
    </row>
    <row r="2709" ht="15.75" customHeight="1">
      <c r="A2709" s="4">
        <v>1073023</v>
      </c>
      <c r="B2709" s="12" t="str">
        <f t="array" ref="B2709">IF(A2709:A6751="","",_xlfn.XLOOKUP(A2709:A6751,'参照_武将'!A:A,'参照_武将'!B:B,"見つかりません"))</f>
      </c>
      <c r="C2709" s="4" t="s">
        <v>5970</v>
      </c>
      <c r="D2709" s="4">
        <v>73</v>
      </c>
      <c r="E2709" s="12" t="str">
        <f t="array" ref="E2709">IF(D2709:D6751="","",IFERROR(_xlfn.XLOOKUP(D2709:D6751,'参照_勢力'!A:A,'参照_勢力'!B:B),IFERROR(_xlfn.XLOOKUP(F2709:F6751,kunishuClan!A:A,kunishuClan!B:B),"浪人")))</f>
      </c>
      <c r="F2709" s="4">
        <v>0</v>
      </c>
      <c r="G2709" s="4">
        <v>218</v>
      </c>
      <c r="H2709" s="12" t="str">
        <f t="array" ref="H2709">IF(G2709:G6751="","",_xlfn.XLOOKUP(G2709:G6751,castles_state!A:A,castles_state!D:D,"見つかりません"))</f>
      </c>
      <c r="I2709" s="4"/>
      <c r="J2709" s="12" t="str">
        <f t="array" ref="J2709">IF(I2709:I6751="","",_xlfn.XLOOKUP(I2709:I6751,'参照_姫'!A:A,'参照_姫'!B:B,"見つかりません"))</f>
      </c>
      <c r="K2709" s="4">
        <v>95</v>
      </c>
      <c r="L2709" s="4">
        <v>0</v>
      </c>
      <c r="M2709" s="4"/>
      <c r="N2709" s="4"/>
      <c r="O2709" s="4"/>
      <c r="P2709" s="12" t="str">
        <f t="array" ref="P2709">IF(O2709:O6751="","",_xlfn.XLOOKUP(O2709:O6751,'参照_官位'!A:A,'参照_官位'!B:B,""))</f>
      </c>
      <c r="Q2709" s="12" t="str">
        <f t="array" ref="Q2709">IF(A2709:A6751="","",IFERROR(_xlfn.XLOOKUP(A2709:A6751,castles_state!K:K,castles_state!D:D)&amp;"主",IFERROR(_xlfn.XLOOKUP(A2709:A6751,kunishuClan!D:D,kunishuClan!B:B)&amp;"当主","")))</f>
      </c>
    </row>
    <row r="2710" ht="15.75" customHeight="1">
      <c r="A2710" s="4">
        <v>1073024</v>
      </c>
      <c r="B2710" s="12" t="str">
        <f t="array" ref="B2710">IF(A2710:A6752="","",_xlfn.XLOOKUP(A2710:A6752,'参照_武将'!A:A,'参照_武将'!B:B,"見つかりません"))</f>
      </c>
      <c r="C2710" s="4" t="s">
        <v>5969</v>
      </c>
      <c r="D2710" s="4">
        <v>67</v>
      </c>
      <c r="E2710" s="12" t="str">
        <f t="array" ref="E2710">IF(D2710:D6752="","",IFERROR(_xlfn.XLOOKUP(D2710:D6752,'参照_勢力'!A:A,'参照_勢力'!B:B),IFERROR(_xlfn.XLOOKUP(F2710:F6752,kunishuClan!A:A,kunishuClan!B:B),"浪人")))</f>
      </c>
      <c r="F2710" s="4">
        <v>0</v>
      </c>
      <c r="G2710" s="4">
        <v>187</v>
      </c>
      <c r="H2710" s="12" t="str">
        <f t="array" ref="H2710">IF(G2710:G6752="","",_xlfn.XLOOKUP(G2710:G6752,castles_state!A:A,castles_state!D:D,"見つかりません"))</f>
      </c>
      <c r="I2710" s="4"/>
      <c r="J2710" s="12" t="str">
        <f t="array" ref="J2710">IF(I2710:I6752="","",_xlfn.XLOOKUP(I2710:I6752,'参照_姫'!A:A,'参照_姫'!B:B,"見つかりません"))</f>
      </c>
      <c r="K2710" s="4">
        <v>95</v>
      </c>
      <c r="L2710" s="4">
        <v>0</v>
      </c>
      <c r="M2710" s="4"/>
      <c r="N2710" s="4"/>
      <c r="O2710" s="4"/>
      <c r="P2710" s="12" t="str">
        <f t="array" ref="P2710">IF(O2710:O6752="","",_xlfn.XLOOKUP(O2710:O6752,'参照_官位'!A:A,'参照_官位'!B:B,""))</f>
      </c>
      <c r="Q2710" s="12" t="str">
        <f t="array" ref="Q2710">IF(A2710:A6752="","",IFERROR(_xlfn.XLOOKUP(A2710:A6752,castles_state!K:K,castles_state!D:D)&amp;"主",IFERROR(_xlfn.XLOOKUP(A2710:A6752,kunishuClan!D:D,kunishuClan!B:B)&amp;"当主","")))</f>
      </c>
    </row>
    <row r="2711" ht="15.75" customHeight="1">
      <c r="A2711" s="4">
        <v>1073025</v>
      </c>
      <c r="B2711" s="12" t="str">
        <f t="array" ref="B2711">IF(A2711:A6753="","",_xlfn.XLOOKUP(A2711:A6753,'参照_武将'!A:A,'参照_武将'!B:B,"見つかりません"))</f>
      </c>
      <c r="C2711" s="4" t="s">
        <v>5969</v>
      </c>
      <c r="D2711" s="4">
        <v>67</v>
      </c>
      <c r="E2711" s="12" t="str">
        <f t="array" ref="E2711">IF(D2711:D6753="","",IFERROR(_xlfn.XLOOKUP(D2711:D6753,'参照_勢力'!A:A,'参照_勢力'!B:B),IFERROR(_xlfn.XLOOKUP(F2711:F6753,kunishuClan!A:A,kunishuClan!B:B),"浪人")))</f>
      </c>
      <c r="F2711" s="4">
        <v>0</v>
      </c>
      <c r="G2711" s="4">
        <v>187</v>
      </c>
      <c r="H2711" s="12" t="str">
        <f t="array" ref="H2711">IF(G2711:G6753="","",_xlfn.XLOOKUP(G2711:G6753,castles_state!A:A,castles_state!D:D,"見つかりません"))</f>
      </c>
      <c r="I2711" s="4"/>
      <c r="J2711" s="12" t="str">
        <f t="array" ref="J2711">IF(I2711:I6753="","",_xlfn.XLOOKUP(I2711:I6753,'参照_姫'!A:A,'参照_姫'!B:B,"見つかりません"))</f>
      </c>
      <c r="K2711" s="4">
        <v>95</v>
      </c>
      <c r="L2711" s="4">
        <v>0</v>
      </c>
      <c r="M2711" s="4"/>
      <c r="N2711" s="4"/>
      <c r="O2711" s="4"/>
      <c r="P2711" s="12" t="str">
        <f t="array" ref="P2711">IF(O2711:O6753="","",_xlfn.XLOOKUP(O2711:O6753,'参照_官位'!A:A,'参照_官位'!B:B,""))</f>
      </c>
      <c r="Q2711" s="12" t="str">
        <f t="array" ref="Q2711">IF(A2711:A6753="","",IFERROR(_xlfn.XLOOKUP(A2711:A6753,castles_state!K:K,castles_state!D:D)&amp;"主",IFERROR(_xlfn.XLOOKUP(A2711:A6753,kunishuClan!D:D,kunishuClan!B:B)&amp;"当主","")))</f>
      </c>
    </row>
    <row r="2712" ht="15.75" customHeight="1">
      <c r="A2712" s="4">
        <v>1073026</v>
      </c>
      <c r="B2712" s="12" t="str">
        <f t="array" ref="B2712">IF(A2712:A6754="","",_xlfn.XLOOKUP(A2712:A6754,'参照_武将'!A:A,'参照_武将'!B:B,"見つかりません"))</f>
      </c>
      <c r="C2712" s="4" t="s">
        <v>5969</v>
      </c>
      <c r="D2712" s="4">
        <v>67</v>
      </c>
      <c r="E2712" s="12" t="str">
        <f t="array" ref="E2712">IF(D2712:D6754="","",IFERROR(_xlfn.XLOOKUP(D2712:D6754,'参照_勢力'!A:A,'参照_勢力'!B:B),IFERROR(_xlfn.XLOOKUP(F2712:F6754,kunishuClan!A:A,kunishuClan!B:B),"浪人")))</f>
      </c>
      <c r="F2712" s="4">
        <v>0</v>
      </c>
      <c r="G2712" s="4">
        <v>187</v>
      </c>
      <c r="H2712" s="12" t="str">
        <f t="array" ref="H2712">IF(G2712:G6754="","",_xlfn.XLOOKUP(G2712:G6754,castles_state!A:A,castles_state!D:D,"見つかりません"))</f>
      </c>
      <c r="I2712" s="4"/>
      <c r="J2712" s="12" t="str">
        <f t="array" ref="J2712">IF(I2712:I6754="","",_xlfn.XLOOKUP(I2712:I6754,'参照_姫'!A:A,'参照_姫'!B:B,"見つかりません"))</f>
      </c>
      <c r="K2712" s="4">
        <v>95</v>
      </c>
      <c r="L2712" s="4">
        <v>0</v>
      </c>
      <c r="M2712" s="4"/>
      <c r="N2712" s="4"/>
      <c r="O2712" s="4"/>
      <c r="P2712" s="12" t="str">
        <f t="array" ref="P2712">IF(O2712:O6754="","",_xlfn.XLOOKUP(O2712:O6754,'参照_官位'!A:A,'参照_官位'!B:B,""))</f>
      </c>
      <c r="Q2712" s="12" t="str">
        <f t="array" ref="Q2712">IF(A2712:A6754="","",IFERROR(_xlfn.XLOOKUP(A2712:A6754,castles_state!K:K,castles_state!D:D)&amp;"主",IFERROR(_xlfn.XLOOKUP(A2712:A6754,kunishuClan!D:D,kunishuClan!B:B)&amp;"当主","")))</f>
      </c>
    </row>
    <row r="2713" ht="15.75" customHeight="1">
      <c r="A2713" s="4">
        <v>1073027</v>
      </c>
      <c r="B2713" s="12" t="str">
        <f t="array" ref="B2713">IF(A2713:A6755="","",_xlfn.XLOOKUP(A2713:A6755,'参照_武将'!A:A,'参照_武将'!B:B,"見つかりません"))</f>
      </c>
      <c r="C2713" s="4" t="s">
        <v>5969</v>
      </c>
      <c r="D2713" s="4">
        <v>67</v>
      </c>
      <c r="E2713" s="12" t="str">
        <f t="array" ref="E2713">IF(D2713:D6755="","",IFERROR(_xlfn.XLOOKUP(D2713:D6755,'参照_勢力'!A:A,'参照_勢力'!B:B),IFERROR(_xlfn.XLOOKUP(F2713:F6755,kunishuClan!A:A,kunishuClan!B:B),"浪人")))</f>
      </c>
      <c r="F2713" s="4">
        <v>0</v>
      </c>
      <c r="G2713" s="4">
        <v>187</v>
      </c>
      <c r="H2713" s="12" t="str">
        <f t="array" ref="H2713">IF(G2713:G6755="","",_xlfn.XLOOKUP(G2713:G6755,castles_state!A:A,castles_state!D:D,"見つかりません"))</f>
      </c>
      <c r="I2713" s="4"/>
      <c r="J2713" s="12" t="str">
        <f t="array" ref="J2713">IF(I2713:I6755="","",_xlfn.XLOOKUP(I2713:I6755,'参照_姫'!A:A,'参照_姫'!B:B,"見つかりません"))</f>
      </c>
      <c r="K2713" s="4">
        <v>95</v>
      </c>
      <c r="L2713" s="4">
        <v>0</v>
      </c>
      <c r="M2713" s="4"/>
      <c r="N2713" s="4"/>
      <c r="O2713" s="4"/>
      <c r="P2713" s="12" t="str">
        <f t="array" ref="P2713">IF(O2713:O6755="","",_xlfn.XLOOKUP(O2713:O6755,'参照_官位'!A:A,'参照_官位'!B:B,""))</f>
      </c>
      <c r="Q2713" s="12" t="str">
        <f t="array" ref="Q2713">IF(A2713:A6755="","",IFERROR(_xlfn.XLOOKUP(A2713:A6755,castles_state!K:K,castles_state!D:D)&amp;"主",IFERROR(_xlfn.XLOOKUP(A2713:A6755,kunishuClan!D:D,kunishuClan!B:B)&amp;"当主","")))</f>
      </c>
    </row>
    <row r="2714" ht="15.75" customHeight="1">
      <c r="A2714" s="4">
        <v>1073028</v>
      </c>
      <c r="B2714" s="12" t="str">
        <f t="array" ref="B2714">IF(A2714:A6756="","",_xlfn.XLOOKUP(A2714:A6756,'参照_武将'!A:A,'参照_武将'!B:B,"見つかりません"))</f>
      </c>
      <c r="C2714" s="4" t="s">
        <v>343</v>
      </c>
      <c r="D2714" s="4">
        <v>73</v>
      </c>
      <c r="E2714" s="12" t="str">
        <f t="array" ref="E2714">IF(D2714:D6756="","",IFERROR(_xlfn.XLOOKUP(D2714:D6756,'参照_勢力'!A:A,'参照_勢力'!B:B),IFERROR(_xlfn.XLOOKUP(F2714:F6756,kunishuClan!A:A,kunishuClan!B:B),"浪人")))</f>
      </c>
      <c r="F2714" s="4">
        <v>0</v>
      </c>
      <c r="G2714" s="4">
        <v>219</v>
      </c>
      <c r="H2714" s="12" t="str">
        <f t="array" ref="H2714">IF(G2714:G6756="","",_xlfn.XLOOKUP(G2714:G6756,castles_state!A:A,castles_state!D:D,"見つかりません"))</f>
      </c>
      <c r="I2714" s="4"/>
      <c r="J2714" s="12" t="str">
        <f t="array" ref="J2714">IF(I2714:I6756="","",_xlfn.XLOOKUP(I2714:I6756,'参照_姫'!A:A,'参照_姫'!B:B,"見つかりません"))</f>
      </c>
      <c r="K2714" s="4">
        <v>90</v>
      </c>
      <c r="L2714" s="4">
        <v>0</v>
      </c>
      <c r="M2714" s="4"/>
      <c r="N2714" s="4"/>
      <c r="O2714" s="4"/>
      <c r="P2714" s="12" t="str">
        <f t="array" ref="P2714">IF(O2714:O6756="","",_xlfn.XLOOKUP(O2714:O6756,'参照_官位'!A:A,'参照_官位'!B:B,""))</f>
      </c>
      <c r="Q2714" s="12" t="str">
        <f t="array" ref="Q2714">IF(A2714:A6756="","",IFERROR(_xlfn.XLOOKUP(A2714:A6756,castles_state!K:K,castles_state!D:D)&amp;"主",IFERROR(_xlfn.XLOOKUP(A2714:A6756,kunishuClan!D:D,kunishuClan!B:B)&amp;"当主","")))</f>
      </c>
    </row>
    <row r="2715" ht="15.75" customHeight="1">
      <c r="A2715" s="4">
        <v>1073029</v>
      </c>
      <c r="B2715" s="12" t="str">
        <f t="array" ref="B2715">IF(A2715:A6757="","",_xlfn.XLOOKUP(A2715:A6757,'参照_武将'!A:A,'参照_武将'!B:B,"見つかりません"))</f>
      </c>
      <c r="C2715" s="4" t="s">
        <v>343</v>
      </c>
      <c r="D2715" s="4">
        <v>73</v>
      </c>
      <c r="E2715" s="12" t="str">
        <f t="array" ref="E2715">IF(D2715:D6757="","",IFERROR(_xlfn.XLOOKUP(D2715:D6757,'参照_勢力'!A:A,'参照_勢力'!B:B),IFERROR(_xlfn.XLOOKUP(F2715:F6757,kunishuClan!A:A,kunishuClan!B:B),"浪人")))</f>
      </c>
      <c r="F2715" s="4">
        <v>0</v>
      </c>
      <c r="G2715" s="4">
        <v>219</v>
      </c>
      <c r="H2715" s="12" t="str">
        <f t="array" ref="H2715">IF(G2715:G6757="","",_xlfn.XLOOKUP(G2715:G6757,castles_state!A:A,castles_state!D:D,"見つかりません"))</f>
      </c>
      <c r="I2715" s="4"/>
      <c r="J2715" s="12" t="str">
        <f t="array" ref="J2715">IF(I2715:I6757="","",_xlfn.XLOOKUP(I2715:I6757,'参照_姫'!A:A,'参照_姫'!B:B,"見つかりません"))</f>
      </c>
      <c r="K2715" s="4">
        <v>90</v>
      </c>
      <c r="L2715" s="4">
        <v>0</v>
      </c>
      <c r="M2715" s="4"/>
      <c r="N2715" s="4"/>
      <c r="O2715" s="4"/>
      <c r="P2715" s="12" t="str">
        <f t="array" ref="P2715">IF(O2715:O6757="","",_xlfn.XLOOKUP(O2715:O6757,'参照_官位'!A:A,'参照_官位'!B:B,""))</f>
      </c>
      <c r="Q2715" s="12" t="str">
        <f t="array" ref="Q2715">IF(A2715:A6757="","",IFERROR(_xlfn.XLOOKUP(A2715:A6757,castles_state!K:K,castles_state!D:D)&amp;"主",IFERROR(_xlfn.XLOOKUP(A2715:A6757,kunishuClan!D:D,kunishuClan!B:B)&amp;"当主","")))</f>
      </c>
    </row>
    <row r="2716" ht="15.75" customHeight="1">
      <c r="A2716" s="4">
        <v>1073030</v>
      </c>
      <c r="B2716" s="12" t="str">
        <f t="array" ref="B2716">IF(A2716:A6758="","",_xlfn.XLOOKUP(A2716:A6758,'参照_武将'!A:A,'参照_武将'!B:B,"見つかりません"))</f>
      </c>
      <c r="C2716" s="4" t="s">
        <v>343</v>
      </c>
      <c r="D2716" s="4">
        <v>73</v>
      </c>
      <c r="E2716" s="12" t="str">
        <f t="array" ref="E2716">IF(D2716:D6758="","",IFERROR(_xlfn.XLOOKUP(D2716:D6758,'参照_勢力'!A:A,'参照_勢力'!B:B),IFERROR(_xlfn.XLOOKUP(F2716:F6758,kunishuClan!A:A,kunishuClan!B:B),"浪人")))</f>
      </c>
      <c r="F2716" s="4">
        <v>0</v>
      </c>
      <c r="G2716" s="4">
        <v>219</v>
      </c>
      <c r="H2716" s="12" t="str">
        <f t="array" ref="H2716">IF(G2716:G6758="","",_xlfn.XLOOKUP(G2716:G6758,castles_state!A:A,castles_state!D:D,"見つかりません"))</f>
      </c>
      <c r="I2716" s="4"/>
      <c r="J2716" s="12" t="str">
        <f t="array" ref="J2716">IF(I2716:I6758="","",_xlfn.XLOOKUP(I2716:I6758,'参照_姫'!A:A,'参照_姫'!B:B,"見つかりません"))</f>
      </c>
      <c r="K2716" s="4">
        <v>90</v>
      </c>
      <c r="L2716" s="4">
        <v>0</v>
      </c>
      <c r="M2716" s="4"/>
      <c r="N2716" s="4"/>
      <c r="O2716" s="4"/>
      <c r="P2716" s="12" t="str">
        <f t="array" ref="P2716">IF(O2716:O6758="","",_xlfn.XLOOKUP(O2716:O6758,'参照_官位'!A:A,'参照_官位'!B:B,""))</f>
      </c>
      <c r="Q2716" s="12" t="str">
        <f t="array" ref="Q2716">IF(A2716:A6758="","",IFERROR(_xlfn.XLOOKUP(A2716:A6758,castles_state!K:K,castles_state!D:D)&amp;"主",IFERROR(_xlfn.XLOOKUP(A2716:A6758,kunishuClan!D:D,kunishuClan!B:B)&amp;"当主","")))</f>
      </c>
    </row>
    <row r="2717" ht="15.75" customHeight="1">
      <c r="A2717" s="4">
        <v>1073031</v>
      </c>
      <c r="B2717" s="12" t="str">
        <f t="array" ref="B2717">IF(A2717:A6759="","",_xlfn.XLOOKUP(A2717:A6759,'参照_武将'!A:A,'参照_武将'!B:B,"見つかりません"))</f>
      </c>
      <c r="C2717" s="4" t="s">
        <v>343</v>
      </c>
      <c r="D2717" s="4">
        <v>73</v>
      </c>
      <c r="E2717" s="12" t="str">
        <f t="array" ref="E2717">IF(D2717:D6759="","",IFERROR(_xlfn.XLOOKUP(D2717:D6759,'参照_勢力'!A:A,'参照_勢力'!B:B),IFERROR(_xlfn.XLOOKUP(F2717:F6759,kunishuClan!A:A,kunishuClan!B:B),"浪人")))</f>
      </c>
      <c r="F2717" s="4">
        <v>0</v>
      </c>
      <c r="G2717" s="4">
        <v>218</v>
      </c>
      <c r="H2717" s="12" t="str">
        <f t="array" ref="H2717">IF(G2717:G6759="","",_xlfn.XLOOKUP(G2717:G6759,castles_state!A:A,castles_state!D:D,"見つかりません"))</f>
      </c>
      <c r="I2717" s="4"/>
      <c r="J2717" s="12" t="str">
        <f t="array" ref="J2717">IF(I2717:I6759="","",_xlfn.XLOOKUP(I2717:I6759,'参照_姫'!A:A,'参照_姫'!B:B,"見つかりません"))</f>
      </c>
      <c r="K2717" s="4">
        <v>95</v>
      </c>
      <c r="L2717" s="4">
        <v>0</v>
      </c>
      <c r="M2717" s="4"/>
      <c r="N2717" s="4"/>
      <c r="O2717" s="4"/>
      <c r="P2717" s="12" t="str">
        <f t="array" ref="P2717">IF(O2717:O6759="","",_xlfn.XLOOKUP(O2717:O6759,'参照_官位'!A:A,'参照_官位'!B:B,""))</f>
      </c>
      <c r="Q2717" s="12" t="str">
        <f t="array" ref="Q2717">IF(A2717:A6759="","",IFERROR(_xlfn.XLOOKUP(A2717:A6759,castles_state!K:K,castles_state!D:D)&amp;"主",IFERROR(_xlfn.XLOOKUP(A2717:A6759,kunishuClan!D:D,kunishuClan!B:B)&amp;"当主","")))</f>
      </c>
    </row>
    <row r="2718" ht="15.75" customHeight="1">
      <c r="A2718" s="4">
        <v>1073032</v>
      </c>
      <c r="B2718" s="12" t="str">
        <f t="array" ref="B2718">IF(A2718:A6760="","",_xlfn.XLOOKUP(A2718:A6760,'参照_武将'!A:A,'参照_武将'!B:B,"見つかりません"))</f>
      </c>
      <c r="C2718" s="4" t="s">
        <v>343</v>
      </c>
      <c r="D2718" s="4">
        <v>73</v>
      </c>
      <c r="E2718" s="12" t="str">
        <f t="array" ref="E2718">IF(D2718:D6760="","",IFERROR(_xlfn.XLOOKUP(D2718:D6760,'参照_勢力'!A:A,'参照_勢力'!B:B),IFERROR(_xlfn.XLOOKUP(F2718:F6760,kunishuClan!A:A,kunishuClan!B:B),"浪人")))</f>
      </c>
      <c r="F2718" s="4">
        <v>0</v>
      </c>
      <c r="G2718" s="4">
        <v>218</v>
      </c>
      <c r="H2718" s="12" t="str">
        <f t="array" ref="H2718">IF(G2718:G6760="","",_xlfn.XLOOKUP(G2718:G6760,castles_state!A:A,castles_state!D:D,"見つかりません"))</f>
      </c>
      <c r="I2718" s="4"/>
      <c r="J2718" s="12" t="str">
        <f t="array" ref="J2718">IF(I2718:I6760="","",_xlfn.XLOOKUP(I2718:I6760,'参照_姫'!A:A,'参照_姫'!B:B,"見つかりません"))</f>
      </c>
      <c r="K2718" s="4">
        <v>95</v>
      </c>
      <c r="L2718" s="4">
        <v>0</v>
      </c>
      <c r="M2718" s="4"/>
      <c r="N2718" s="4"/>
      <c r="O2718" s="4"/>
      <c r="P2718" s="12" t="str">
        <f t="array" ref="P2718">IF(O2718:O6760="","",_xlfn.XLOOKUP(O2718:O6760,'参照_官位'!A:A,'参照_官位'!B:B,""))</f>
      </c>
      <c r="Q2718" s="12" t="str">
        <f t="array" ref="Q2718">IF(A2718:A6760="","",IFERROR(_xlfn.XLOOKUP(A2718:A6760,castles_state!K:K,castles_state!D:D)&amp;"主",IFERROR(_xlfn.XLOOKUP(A2718:A6760,kunishuClan!D:D,kunishuClan!B:B)&amp;"当主","")))</f>
      </c>
    </row>
    <row r="2719" ht="15.75" customHeight="1">
      <c r="A2719" s="4">
        <v>1073033</v>
      </c>
      <c r="B2719" s="12" t="str">
        <f t="array" ref="B2719">IF(A2719:A6761="","",_xlfn.XLOOKUP(A2719:A6761,'参照_武将'!A:A,'参照_武将'!B:B,"見つかりません"))</f>
      </c>
      <c r="C2719" s="4" t="s">
        <v>343</v>
      </c>
      <c r="D2719" s="4">
        <v>73</v>
      </c>
      <c r="E2719" s="12" t="str">
        <f t="array" ref="E2719">IF(D2719:D6761="","",IFERROR(_xlfn.XLOOKUP(D2719:D6761,'参照_勢力'!A:A,'参照_勢力'!B:B),IFERROR(_xlfn.XLOOKUP(F2719:F6761,kunishuClan!A:A,kunishuClan!B:B),"浪人")))</f>
      </c>
      <c r="F2719" s="4">
        <v>0</v>
      </c>
      <c r="G2719" s="4">
        <v>218</v>
      </c>
      <c r="H2719" s="12" t="str">
        <f t="array" ref="H2719">IF(G2719:G6761="","",_xlfn.XLOOKUP(G2719:G6761,castles_state!A:A,castles_state!D:D,"見つかりません"))</f>
      </c>
      <c r="I2719" s="4"/>
      <c r="J2719" s="12" t="str">
        <f t="array" ref="J2719">IF(I2719:I6761="","",_xlfn.XLOOKUP(I2719:I6761,'参照_姫'!A:A,'参照_姫'!B:B,"見つかりません"))</f>
      </c>
      <c r="K2719" s="4">
        <v>95</v>
      </c>
      <c r="L2719" s="4">
        <v>0</v>
      </c>
      <c r="M2719" s="4" t="b">
        <v>1</v>
      </c>
      <c r="N2719" s="4"/>
      <c r="O2719" s="4"/>
      <c r="P2719" s="12" t="str">
        <f t="array" ref="P2719">IF(O2719:O6761="","",_xlfn.XLOOKUP(O2719:O6761,'参照_官位'!A:A,'参照_官位'!B:B,""))</f>
      </c>
      <c r="Q2719" s="12" t="str">
        <f t="array" ref="Q2719">IF(A2719:A6761="","",IFERROR(_xlfn.XLOOKUP(A2719:A6761,castles_state!K:K,castles_state!D:D)&amp;"主",IFERROR(_xlfn.XLOOKUP(A2719:A6761,kunishuClan!D:D,kunishuClan!B:B)&amp;"当主","")))</f>
      </c>
    </row>
    <row r="2720" ht="15.75" customHeight="1">
      <c r="A2720" s="4">
        <v>1073034</v>
      </c>
      <c r="B2720" s="12" t="str">
        <f t="array" ref="B2720">IF(A2720:A6762="","",_xlfn.XLOOKUP(A2720:A6762,'参照_武将'!A:A,'参照_武将'!B:B,"見つかりません"))</f>
      </c>
      <c r="C2720" s="4" t="s">
        <v>343</v>
      </c>
      <c r="D2720" s="4">
        <v>73</v>
      </c>
      <c r="E2720" s="12" t="str">
        <f t="array" ref="E2720">IF(D2720:D6762="","",IFERROR(_xlfn.XLOOKUP(D2720:D6762,'参照_勢力'!A:A,'参照_勢力'!B:B),IFERROR(_xlfn.XLOOKUP(F2720:F6762,kunishuClan!A:A,kunishuClan!B:B),"浪人")))</f>
      </c>
      <c r="F2720" s="4">
        <v>0</v>
      </c>
      <c r="G2720" s="4">
        <v>218</v>
      </c>
      <c r="H2720" s="12" t="str">
        <f t="array" ref="H2720">IF(G2720:G6762="","",_xlfn.XLOOKUP(G2720:G6762,castles_state!A:A,castles_state!D:D,"見つかりません"))</f>
      </c>
      <c r="I2720" s="4"/>
      <c r="J2720" s="12" t="str">
        <f t="array" ref="J2720">IF(I2720:I6762="","",_xlfn.XLOOKUP(I2720:I6762,'参照_姫'!A:A,'参照_姫'!B:B,"見つかりません"))</f>
      </c>
      <c r="K2720" s="4">
        <v>95</v>
      </c>
      <c r="L2720" s="4">
        <v>0</v>
      </c>
      <c r="M2720" s="4"/>
      <c r="N2720" s="4"/>
      <c r="O2720" s="4"/>
      <c r="P2720" s="12" t="str">
        <f t="array" ref="P2720">IF(O2720:O6762="","",_xlfn.XLOOKUP(O2720:O6762,'参照_官位'!A:A,'参照_官位'!B:B,""))</f>
      </c>
      <c r="Q2720" s="12" t="str">
        <f t="array" ref="Q2720">IF(A2720:A6762="","",IFERROR(_xlfn.XLOOKUP(A2720:A6762,castles_state!K:K,castles_state!D:D)&amp;"主",IFERROR(_xlfn.XLOOKUP(A2720:A6762,kunishuClan!D:D,kunishuClan!B:B)&amp;"当主","")))</f>
      </c>
    </row>
    <row r="2721" ht="15.75" customHeight="1">
      <c r="A2721" s="4">
        <v>1073035</v>
      </c>
      <c r="B2721" s="12" t="str">
        <f t="array" ref="B2721">IF(A2721:A6763="","",_xlfn.XLOOKUP(A2721:A6763,'参照_武将'!A:A,'参照_武将'!B:B,"見つかりません"))</f>
      </c>
      <c r="C2721" s="4" t="s">
        <v>343</v>
      </c>
      <c r="D2721" s="4">
        <v>73</v>
      </c>
      <c r="E2721" s="12" t="str">
        <f t="array" ref="E2721">IF(D2721:D6763="","",IFERROR(_xlfn.XLOOKUP(D2721:D6763,'参照_勢力'!A:A,'参照_勢力'!B:B),IFERROR(_xlfn.XLOOKUP(F2721:F6763,kunishuClan!A:A,kunishuClan!B:B),"浪人")))</f>
      </c>
      <c r="F2721" s="4">
        <v>0</v>
      </c>
      <c r="G2721" s="4">
        <v>219</v>
      </c>
      <c r="H2721" s="12" t="str">
        <f t="array" ref="H2721">IF(G2721:G6763="","",_xlfn.XLOOKUP(G2721:G6763,castles_state!A:A,castles_state!D:D,"見つかりません"))</f>
      </c>
      <c r="I2721" s="4"/>
      <c r="J2721" s="12" t="str">
        <f t="array" ref="J2721">IF(I2721:I6763="","",_xlfn.XLOOKUP(I2721:I6763,'参照_姫'!A:A,'参照_姫'!B:B,"見つかりません"))</f>
      </c>
      <c r="K2721" s="4">
        <v>90</v>
      </c>
      <c r="L2721" s="4">
        <v>0</v>
      </c>
      <c r="M2721" s="4"/>
      <c r="N2721" s="4"/>
      <c r="O2721" s="4"/>
      <c r="P2721" s="12" t="str">
        <f t="array" ref="P2721">IF(O2721:O6763="","",_xlfn.XLOOKUP(O2721:O6763,'参照_官位'!A:A,'参照_官位'!B:B,""))</f>
      </c>
      <c r="Q2721" s="12" t="str">
        <f t="array" ref="Q2721">IF(A2721:A6763="","",IFERROR(_xlfn.XLOOKUP(A2721:A6763,castles_state!K:K,castles_state!D:D)&amp;"主",IFERROR(_xlfn.XLOOKUP(A2721:A6763,kunishuClan!D:D,kunishuClan!B:B)&amp;"当主","")))</f>
      </c>
    </row>
    <row r="2722" ht="15.75" customHeight="1">
      <c r="A2722" s="4">
        <v>1073036</v>
      </c>
      <c r="B2722" s="12" t="str">
        <f t="array" ref="B2722">IF(A2722:A6764="","",_xlfn.XLOOKUP(A2722:A6764,'参照_武将'!A:A,'参照_武将'!B:B,"見つかりません"))</f>
      </c>
      <c r="C2722" s="4" t="s">
        <v>343</v>
      </c>
      <c r="D2722" s="4">
        <v>73</v>
      </c>
      <c r="E2722" s="12" t="str">
        <f t="array" ref="E2722">IF(D2722:D6764="","",IFERROR(_xlfn.XLOOKUP(D2722:D6764,'参照_勢力'!A:A,'参照_勢力'!B:B),IFERROR(_xlfn.XLOOKUP(F2722:F6764,kunishuClan!A:A,kunishuClan!B:B),"浪人")))</f>
      </c>
      <c r="F2722" s="4">
        <v>0</v>
      </c>
      <c r="G2722" s="4">
        <v>218</v>
      </c>
      <c r="H2722" s="12" t="str">
        <f t="array" ref="H2722">IF(G2722:G6764="","",_xlfn.XLOOKUP(G2722:G6764,castles_state!A:A,castles_state!D:D,"見つかりません"))</f>
      </c>
      <c r="I2722" s="4"/>
      <c r="J2722" s="12" t="str">
        <f t="array" ref="J2722">IF(I2722:I6764="","",_xlfn.XLOOKUP(I2722:I6764,'参照_姫'!A:A,'参照_姫'!B:B,"見つかりません"))</f>
      </c>
      <c r="K2722" s="4">
        <v>95</v>
      </c>
      <c r="L2722" s="4">
        <v>0</v>
      </c>
      <c r="M2722" s="4"/>
      <c r="N2722" s="4"/>
      <c r="O2722" s="4"/>
      <c r="P2722" s="12" t="str">
        <f t="array" ref="P2722">IF(O2722:O6764="","",_xlfn.XLOOKUP(O2722:O6764,'参照_官位'!A:A,'参照_官位'!B:B,""))</f>
      </c>
      <c r="Q2722" s="12" t="str">
        <f t="array" ref="Q2722">IF(A2722:A6764="","",IFERROR(_xlfn.XLOOKUP(A2722:A6764,castles_state!K:K,castles_state!D:D)&amp;"主",IFERROR(_xlfn.XLOOKUP(A2722:A6764,kunishuClan!D:D,kunishuClan!B:B)&amp;"当主","")))</f>
      </c>
    </row>
    <row r="2723" ht="15.75" customHeight="1">
      <c r="A2723" s="4">
        <v>1073037</v>
      </c>
      <c r="B2723" s="12" t="str">
        <f t="array" ref="B2723">IF(A2723:A6765="","",_xlfn.XLOOKUP(A2723:A6765,'参照_武将'!A:A,'参照_武将'!B:B,"見つかりません"))</f>
      </c>
      <c r="C2723" s="4" t="s">
        <v>343</v>
      </c>
      <c r="D2723" s="4">
        <v>73</v>
      </c>
      <c r="E2723" s="12" t="str">
        <f t="array" ref="E2723">IF(D2723:D6765="","",IFERROR(_xlfn.XLOOKUP(D2723:D6765,'参照_勢力'!A:A,'参照_勢力'!B:B),IFERROR(_xlfn.XLOOKUP(F2723:F6765,kunishuClan!A:A,kunishuClan!B:B),"浪人")))</f>
      </c>
      <c r="F2723" s="4">
        <v>0</v>
      </c>
      <c r="G2723" s="4">
        <v>218</v>
      </c>
      <c r="H2723" s="12" t="str">
        <f t="array" ref="H2723">IF(G2723:G6765="","",_xlfn.XLOOKUP(G2723:G6765,castles_state!A:A,castles_state!D:D,"見つかりません"))</f>
      </c>
      <c r="I2723" s="4"/>
      <c r="J2723" s="12" t="str">
        <f t="array" ref="J2723">IF(I2723:I6765="","",_xlfn.XLOOKUP(I2723:I6765,'参照_姫'!A:A,'参照_姫'!B:B,"見つかりません"))</f>
      </c>
      <c r="K2723" s="4">
        <v>95</v>
      </c>
      <c r="L2723" s="4">
        <v>0</v>
      </c>
      <c r="M2723" s="4"/>
      <c r="N2723" s="4"/>
      <c r="O2723" s="4"/>
      <c r="P2723" s="12" t="str">
        <f t="array" ref="P2723">IF(O2723:O6765="","",_xlfn.XLOOKUP(O2723:O6765,'参照_官位'!A:A,'参照_官位'!B:B,""))</f>
      </c>
      <c r="Q2723" s="12" t="str">
        <f t="array" ref="Q2723">IF(A2723:A6765="","",IFERROR(_xlfn.XLOOKUP(A2723:A6765,castles_state!K:K,castles_state!D:D)&amp;"主",IFERROR(_xlfn.XLOOKUP(A2723:A6765,kunishuClan!D:D,kunishuClan!B:B)&amp;"当主","")))</f>
      </c>
    </row>
    <row r="2724" ht="15.75" customHeight="1">
      <c r="A2724" s="4">
        <v>1073038</v>
      </c>
      <c r="B2724" s="12" t="str">
        <f t="array" ref="B2724">IF(A2724:A6766="","",_xlfn.XLOOKUP(A2724:A6766,'参照_武将'!A:A,'参照_武将'!B:B,"見つかりません"))</f>
      </c>
      <c r="C2724" s="4" t="s">
        <v>343</v>
      </c>
      <c r="D2724" s="4">
        <v>73</v>
      </c>
      <c r="E2724" s="12" t="str">
        <f t="array" ref="E2724">IF(D2724:D6766="","",IFERROR(_xlfn.XLOOKUP(D2724:D6766,'参照_勢力'!A:A,'参照_勢力'!B:B),IFERROR(_xlfn.XLOOKUP(F2724:F6766,kunishuClan!A:A,kunishuClan!B:B),"浪人")))</f>
      </c>
      <c r="F2724" s="4">
        <v>0</v>
      </c>
      <c r="G2724" s="4">
        <v>218</v>
      </c>
      <c r="H2724" s="12" t="str">
        <f t="array" ref="H2724">IF(G2724:G6766="","",_xlfn.XLOOKUP(G2724:G6766,castles_state!A:A,castles_state!D:D,"見つかりません"))</f>
      </c>
      <c r="I2724" s="4"/>
      <c r="J2724" s="12" t="str">
        <f t="array" ref="J2724">IF(I2724:I6766="","",_xlfn.XLOOKUP(I2724:I6766,'参照_姫'!A:A,'参照_姫'!B:B,"見つかりません"))</f>
      </c>
      <c r="K2724" s="4">
        <v>95</v>
      </c>
      <c r="L2724" s="4">
        <v>0</v>
      </c>
      <c r="M2724" s="4"/>
      <c r="N2724" s="4"/>
      <c r="O2724" s="4"/>
      <c r="P2724" s="12" t="str">
        <f t="array" ref="P2724">IF(O2724:O6766="","",_xlfn.XLOOKUP(O2724:O6766,'参照_官位'!A:A,'参照_官位'!B:B,""))</f>
      </c>
      <c r="Q2724" s="12" t="str">
        <f t="array" ref="Q2724">IF(A2724:A6766="","",IFERROR(_xlfn.XLOOKUP(A2724:A6766,castles_state!K:K,castles_state!D:D)&amp;"主",IFERROR(_xlfn.XLOOKUP(A2724:A6766,kunishuClan!D:D,kunishuClan!B:B)&amp;"当主","")))</f>
      </c>
    </row>
    <row r="2725" ht="15.75" customHeight="1">
      <c r="A2725" s="4">
        <v>1073039</v>
      </c>
      <c r="B2725" s="12" t="str">
        <f t="array" ref="B2725">IF(A2725:A6767="","",_xlfn.XLOOKUP(A2725:A6767,'参照_武将'!A:A,'参照_武将'!B:B,"見つかりません"))</f>
      </c>
      <c r="C2725" s="4" t="s">
        <v>343</v>
      </c>
      <c r="D2725" s="4">
        <v>73</v>
      </c>
      <c r="E2725" s="12" t="str">
        <f t="array" ref="E2725">IF(D2725:D6767="","",IFERROR(_xlfn.XLOOKUP(D2725:D6767,'参照_勢力'!A:A,'参照_勢力'!B:B),IFERROR(_xlfn.XLOOKUP(F2725:F6767,kunishuClan!A:A,kunishuClan!B:B),"浪人")))</f>
      </c>
      <c r="F2725" s="4">
        <v>0</v>
      </c>
      <c r="G2725" s="4">
        <v>218</v>
      </c>
      <c r="H2725" s="12" t="str">
        <f t="array" ref="H2725">IF(G2725:G6767="","",_xlfn.XLOOKUP(G2725:G6767,castles_state!A:A,castles_state!D:D,"見つかりません"))</f>
      </c>
      <c r="I2725" s="4"/>
      <c r="J2725" s="12" t="str">
        <f t="array" ref="J2725">IF(I2725:I6767="","",_xlfn.XLOOKUP(I2725:I6767,'参照_姫'!A:A,'参照_姫'!B:B,"見つかりません"))</f>
      </c>
      <c r="K2725" s="4">
        <v>95</v>
      </c>
      <c r="L2725" s="4">
        <v>0</v>
      </c>
      <c r="M2725" s="4"/>
      <c r="N2725" s="4"/>
      <c r="O2725" s="4"/>
      <c r="P2725" s="12" t="str">
        <f t="array" ref="P2725">IF(O2725:O6767="","",_xlfn.XLOOKUP(O2725:O6767,'参照_官位'!A:A,'参照_官位'!B:B,""))</f>
      </c>
      <c r="Q2725" s="12" t="str">
        <f t="array" ref="Q2725">IF(A2725:A6767="","",IFERROR(_xlfn.XLOOKUP(A2725:A6767,castles_state!K:K,castles_state!D:D)&amp;"主",IFERROR(_xlfn.XLOOKUP(A2725:A6767,kunishuClan!D:D,kunishuClan!B:B)&amp;"当主","")))</f>
      </c>
    </row>
    <row r="2726" ht="15.75" customHeight="1">
      <c r="A2726" s="4">
        <v>1073040</v>
      </c>
      <c r="B2726" s="12" t="str">
        <f t="array" ref="B2726">IF(A2726:A6768="","",_xlfn.XLOOKUP(A2726:A6768,'参照_武将'!A:A,'参照_武将'!B:B,"見つかりません"))</f>
      </c>
      <c r="C2726" s="4" t="s">
        <v>343</v>
      </c>
      <c r="D2726" s="4">
        <v>73</v>
      </c>
      <c r="E2726" s="12" t="str">
        <f t="array" ref="E2726">IF(D2726:D6768="","",IFERROR(_xlfn.XLOOKUP(D2726:D6768,'参照_勢力'!A:A,'参照_勢力'!B:B),IFERROR(_xlfn.XLOOKUP(F2726:F6768,kunishuClan!A:A,kunishuClan!B:B),"浪人")))</f>
      </c>
      <c r="F2726" s="4">
        <v>0</v>
      </c>
      <c r="G2726" s="4">
        <v>218</v>
      </c>
      <c r="H2726" s="12" t="str">
        <f t="array" ref="H2726">IF(G2726:G6768="","",_xlfn.XLOOKUP(G2726:G6768,castles_state!A:A,castles_state!D:D,"見つかりません"))</f>
      </c>
      <c r="I2726" s="4"/>
      <c r="J2726" s="12" t="str">
        <f t="array" ref="J2726">IF(I2726:I6768="","",_xlfn.XLOOKUP(I2726:I6768,'参照_姫'!A:A,'参照_姫'!B:B,"見つかりません"))</f>
      </c>
      <c r="K2726" s="4">
        <v>90</v>
      </c>
      <c r="L2726" s="4">
        <v>0</v>
      </c>
      <c r="M2726" s="4"/>
      <c r="N2726" s="4"/>
      <c r="O2726" s="4"/>
      <c r="P2726" s="12" t="str">
        <f t="array" ref="P2726">IF(O2726:O6768="","",_xlfn.XLOOKUP(O2726:O6768,'参照_官位'!A:A,'参照_官位'!B:B,""))</f>
      </c>
      <c r="Q2726" s="12" t="str">
        <f t="array" ref="Q2726">IF(A2726:A6768="","",IFERROR(_xlfn.XLOOKUP(A2726:A6768,castles_state!K:K,castles_state!D:D)&amp;"主",IFERROR(_xlfn.XLOOKUP(A2726:A6768,kunishuClan!D:D,kunishuClan!B:B)&amp;"当主","")))</f>
      </c>
    </row>
    <row r="2727" ht="15.75" customHeight="1">
      <c r="A2727" s="4">
        <v>1073041</v>
      </c>
      <c r="B2727" s="12" t="str">
        <f t="array" ref="B2727">IF(A2727:A6769="","",_xlfn.XLOOKUP(A2727:A6769,'参照_武将'!A:A,'参照_武将'!B:B,"見つかりません"))</f>
      </c>
      <c r="C2727" s="4" t="s">
        <v>343</v>
      </c>
      <c r="D2727" s="4">
        <v>73</v>
      </c>
      <c r="E2727" s="12" t="str">
        <f t="array" ref="E2727">IF(D2727:D6769="","",IFERROR(_xlfn.XLOOKUP(D2727:D6769,'参照_勢力'!A:A,'参照_勢力'!B:B),IFERROR(_xlfn.XLOOKUP(F2727:F6769,kunishuClan!A:A,kunishuClan!B:B),"浪人")))</f>
      </c>
      <c r="F2727" s="4">
        <v>0</v>
      </c>
      <c r="G2727" s="4">
        <v>218</v>
      </c>
      <c r="H2727" s="12" t="str">
        <f t="array" ref="H2727">IF(G2727:G6769="","",_xlfn.XLOOKUP(G2727:G6769,castles_state!A:A,castles_state!D:D,"見つかりません"))</f>
      </c>
      <c r="I2727" s="4"/>
      <c r="J2727" s="12" t="str">
        <f t="array" ref="J2727">IF(I2727:I6769="","",_xlfn.XLOOKUP(I2727:I6769,'参照_姫'!A:A,'参照_姫'!B:B,"見つかりません"))</f>
      </c>
      <c r="K2727" s="4">
        <v>90</v>
      </c>
      <c r="L2727" s="4">
        <v>0</v>
      </c>
      <c r="M2727" s="4"/>
      <c r="N2727" s="4"/>
      <c r="O2727" s="4"/>
      <c r="P2727" s="12" t="str">
        <f t="array" ref="P2727">IF(O2727:O6769="","",_xlfn.XLOOKUP(O2727:O6769,'参照_官位'!A:A,'参照_官位'!B:B,""))</f>
      </c>
      <c r="Q2727" s="12" t="str">
        <f t="array" ref="Q2727">IF(A2727:A6769="","",IFERROR(_xlfn.XLOOKUP(A2727:A6769,castles_state!K:K,castles_state!D:D)&amp;"主",IFERROR(_xlfn.XLOOKUP(A2727:A6769,kunishuClan!D:D,kunishuClan!B:B)&amp;"当主","")))</f>
      </c>
    </row>
    <row r="2728" ht="15.75" customHeight="1">
      <c r="A2728" s="4">
        <v>1073042</v>
      </c>
      <c r="B2728" s="12" t="str">
        <f t="array" ref="B2728">IF(A2728:A6770="","",_xlfn.XLOOKUP(A2728:A6770,'参照_武将'!A:A,'参照_武将'!B:B,"見つかりません"))</f>
      </c>
      <c r="C2728" s="4" t="s">
        <v>343</v>
      </c>
      <c r="D2728" s="4">
        <v>73</v>
      </c>
      <c r="E2728" s="12" t="str">
        <f t="array" ref="E2728">IF(D2728:D6770="","",IFERROR(_xlfn.XLOOKUP(D2728:D6770,'参照_勢力'!A:A,'参照_勢力'!B:B),IFERROR(_xlfn.XLOOKUP(F2728:F6770,kunishuClan!A:A,kunishuClan!B:B),"浪人")))</f>
      </c>
      <c r="F2728" s="4">
        <v>0</v>
      </c>
      <c r="G2728" s="4">
        <v>219</v>
      </c>
      <c r="H2728" s="12" t="str">
        <f t="array" ref="H2728">IF(G2728:G6770="","",_xlfn.XLOOKUP(G2728:G6770,castles_state!A:A,castles_state!D:D,"見つかりません"))</f>
      </c>
      <c r="I2728" s="4"/>
      <c r="J2728" s="12" t="str">
        <f t="array" ref="J2728">IF(I2728:I6770="","",_xlfn.XLOOKUP(I2728:I6770,'参照_姫'!A:A,'参照_姫'!B:B,"見つかりません"))</f>
      </c>
      <c r="K2728" s="4">
        <v>90</v>
      </c>
      <c r="L2728" s="4">
        <v>0</v>
      </c>
      <c r="M2728" s="4"/>
      <c r="N2728" s="4"/>
      <c r="O2728" s="4"/>
      <c r="P2728" s="12" t="str">
        <f t="array" ref="P2728">IF(O2728:O6770="","",_xlfn.XLOOKUP(O2728:O6770,'参照_官位'!A:A,'参照_官位'!B:B,""))</f>
      </c>
      <c r="Q2728" s="12" t="str">
        <f t="array" ref="Q2728">IF(A2728:A6770="","",IFERROR(_xlfn.XLOOKUP(A2728:A6770,castles_state!K:K,castles_state!D:D)&amp;"主",IFERROR(_xlfn.XLOOKUP(A2728:A6770,kunishuClan!D:D,kunishuClan!B:B)&amp;"当主","")))</f>
      </c>
    </row>
    <row r="2729" ht="15.75" customHeight="1">
      <c r="A2729" s="4">
        <v>1073043</v>
      </c>
      <c r="B2729" s="12" t="str">
        <f t="array" ref="B2729">IF(A2729:A6771="","",_xlfn.XLOOKUP(A2729:A6771,'参照_武将'!A:A,'参照_武将'!B:B,"見つかりません"))</f>
      </c>
      <c r="C2729" s="4" t="s">
        <v>343</v>
      </c>
      <c r="D2729" s="4">
        <v>73</v>
      </c>
      <c r="E2729" s="12" t="str">
        <f t="array" ref="E2729">IF(D2729:D6771="","",IFERROR(_xlfn.XLOOKUP(D2729:D6771,'参照_勢力'!A:A,'参照_勢力'!B:B),IFERROR(_xlfn.XLOOKUP(F2729:F6771,kunishuClan!A:A,kunishuClan!B:B),"浪人")))</f>
      </c>
      <c r="F2729" s="4">
        <v>0</v>
      </c>
      <c r="G2729" s="4">
        <v>218</v>
      </c>
      <c r="H2729" s="12" t="str">
        <f t="array" ref="H2729">IF(G2729:G6771="","",_xlfn.XLOOKUP(G2729:G6771,castles_state!A:A,castles_state!D:D,"見つかりません"))</f>
      </c>
      <c r="I2729" s="4"/>
      <c r="J2729" s="12" t="str">
        <f t="array" ref="J2729">IF(I2729:I6771="","",_xlfn.XLOOKUP(I2729:I6771,'参照_姫'!A:A,'参照_姫'!B:B,"見つかりません"))</f>
      </c>
      <c r="K2729" s="4">
        <v>90</v>
      </c>
      <c r="L2729" s="4">
        <v>0</v>
      </c>
      <c r="M2729" s="4"/>
      <c r="N2729" s="4"/>
      <c r="O2729" s="4"/>
      <c r="P2729" s="12" t="str">
        <f t="array" ref="P2729">IF(O2729:O6771="","",_xlfn.XLOOKUP(O2729:O6771,'参照_官位'!A:A,'参照_官位'!B:B,""))</f>
      </c>
      <c r="Q2729" s="12" t="str">
        <f t="array" ref="Q2729">IF(A2729:A6771="","",IFERROR(_xlfn.XLOOKUP(A2729:A6771,castles_state!K:K,castles_state!D:D)&amp;"主",IFERROR(_xlfn.XLOOKUP(A2729:A6771,kunishuClan!D:D,kunishuClan!B:B)&amp;"当主","")))</f>
      </c>
    </row>
    <row r="2730" ht="15.75" customHeight="1">
      <c r="A2730" s="4">
        <v>1073044</v>
      </c>
      <c r="B2730" s="12" t="str">
        <f t="array" ref="B2730">IF(A2730:A6772="","",_xlfn.XLOOKUP(A2730:A6772,'参照_武将'!A:A,'参照_武将'!B:B,"見つかりません"))</f>
      </c>
      <c r="C2730" s="4" t="s">
        <v>343</v>
      </c>
      <c r="D2730" s="4">
        <v>68</v>
      </c>
      <c r="E2730" s="12" t="str">
        <f t="array" ref="E2730">IF(D2730:D6772="","",IFERROR(_xlfn.XLOOKUP(D2730:D6772,'参照_勢力'!A:A,'参照_勢力'!B:B),IFERROR(_xlfn.XLOOKUP(F2730:F6772,kunishuClan!A:A,kunishuClan!B:B),"浪人")))</f>
      </c>
      <c r="F2730" s="4">
        <v>0</v>
      </c>
      <c r="G2730" s="4">
        <v>196</v>
      </c>
      <c r="H2730" s="12" t="str">
        <f t="array" ref="H2730">IF(G2730:G6772="","",_xlfn.XLOOKUP(G2730:G6772,castles_state!A:A,castles_state!D:D,"見つかりません"))</f>
      </c>
      <c r="I2730" s="4"/>
      <c r="J2730" s="12" t="str">
        <f t="array" ref="J2730">IF(I2730:I6772="","",_xlfn.XLOOKUP(I2730:I6772,'参照_姫'!A:A,'参照_姫'!B:B,"見つかりません"))</f>
      </c>
      <c r="K2730" s="4">
        <v>90</v>
      </c>
      <c r="L2730" s="4">
        <v>200</v>
      </c>
      <c r="M2730" s="4"/>
      <c r="N2730" s="4"/>
      <c r="O2730" s="4"/>
      <c r="P2730" s="12" t="str">
        <f t="array" ref="P2730">IF(O2730:O6772="","",_xlfn.XLOOKUP(O2730:O6772,'参照_官位'!A:A,'参照_官位'!B:B,""))</f>
      </c>
      <c r="Q2730" s="12" t="str">
        <f t="array" ref="Q2730">IF(A2730:A6772="","",IFERROR(_xlfn.XLOOKUP(A2730:A6772,castles_state!K:K,castles_state!D:D)&amp;"主",IFERROR(_xlfn.XLOOKUP(A2730:A6772,kunishuClan!D:D,kunishuClan!B:B)&amp;"当主","")))</f>
      </c>
    </row>
    <row r="2731" ht="15.75" customHeight="1">
      <c r="A2731" s="4">
        <v>1073045</v>
      </c>
      <c r="B2731" s="12" t="str">
        <f t="array" ref="B2731">IF(A2731:A6773="","",_xlfn.XLOOKUP(A2731:A6773,'参照_武将'!A:A,'参照_武将'!B:B,"見つかりません"))</f>
      </c>
      <c r="C2731" s="4" t="s">
        <v>343</v>
      </c>
      <c r="D2731" s="4">
        <v>68</v>
      </c>
      <c r="E2731" s="12" t="str">
        <f t="array" ref="E2731">IF(D2731:D6773="","",IFERROR(_xlfn.XLOOKUP(D2731:D6773,'参照_勢力'!A:A,'参照_勢力'!B:B),IFERROR(_xlfn.XLOOKUP(F2731:F6773,kunishuClan!A:A,kunishuClan!B:B),"浪人")))</f>
      </c>
      <c r="F2731" s="4">
        <v>0</v>
      </c>
      <c r="G2731" s="4">
        <v>196</v>
      </c>
      <c r="H2731" s="12" t="str">
        <f t="array" ref="H2731">IF(G2731:G6773="","",_xlfn.XLOOKUP(G2731:G6773,castles_state!A:A,castles_state!D:D,"見つかりません"))</f>
      </c>
      <c r="I2731" s="4"/>
      <c r="J2731" s="12" t="str">
        <f t="array" ref="J2731">IF(I2731:I6773="","",_xlfn.XLOOKUP(I2731:I6773,'参照_姫'!A:A,'参照_姫'!B:B,"見つかりません"))</f>
      </c>
      <c r="K2731" s="4">
        <v>90</v>
      </c>
      <c r="L2731" s="4">
        <v>0</v>
      </c>
      <c r="M2731" s="4"/>
      <c r="N2731" s="4"/>
      <c r="O2731" s="4"/>
      <c r="P2731" s="12" t="str">
        <f t="array" ref="P2731">IF(O2731:O6773="","",_xlfn.XLOOKUP(O2731:O6773,'参照_官位'!A:A,'参照_官位'!B:B,""))</f>
      </c>
      <c r="Q2731" s="12" t="str">
        <f t="array" ref="Q2731">IF(A2731:A6773="","",IFERROR(_xlfn.XLOOKUP(A2731:A6773,castles_state!K:K,castles_state!D:D)&amp;"主",IFERROR(_xlfn.XLOOKUP(A2731:A6773,kunishuClan!D:D,kunishuClan!B:B)&amp;"当主","")))</f>
      </c>
    </row>
    <row r="2732" ht="15.75" customHeight="1">
      <c r="A2732" s="4">
        <v>1073046</v>
      </c>
      <c r="B2732" s="12" t="str">
        <f t="array" ref="B2732">IF(A2732:A6774="","",_xlfn.XLOOKUP(A2732:A6774,'参照_武将'!A:A,'参照_武将'!B:B,"見つかりません"))</f>
      </c>
      <c r="C2732" s="4" t="s">
        <v>343</v>
      </c>
      <c r="D2732" s="4">
        <v>73</v>
      </c>
      <c r="E2732" s="12" t="str">
        <f t="array" ref="E2732">IF(D2732:D6774="","",IFERROR(_xlfn.XLOOKUP(D2732:D6774,'参照_勢力'!A:A,'参照_勢力'!B:B),IFERROR(_xlfn.XLOOKUP(F2732:F6774,kunishuClan!A:A,kunishuClan!B:B),"浪人")))</f>
      </c>
      <c r="F2732" s="4">
        <v>0</v>
      </c>
      <c r="G2732" s="4">
        <v>219</v>
      </c>
      <c r="H2732" s="12" t="str">
        <f t="array" ref="H2732">IF(G2732:G6774="","",_xlfn.XLOOKUP(G2732:G6774,castles_state!A:A,castles_state!D:D,"見つかりません"))</f>
      </c>
      <c r="I2732" s="4"/>
      <c r="J2732" s="12" t="str">
        <f t="array" ref="J2732">IF(I2732:I6774="","",_xlfn.XLOOKUP(I2732:I6774,'参照_姫'!A:A,'参照_姫'!B:B,"見つかりません"))</f>
      </c>
      <c r="K2732" s="4">
        <v>90</v>
      </c>
      <c r="L2732" s="4">
        <v>0</v>
      </c>
      <c r="M2732" s="4"/>
      <c r="N2732" s="4"/>
      <c r="O2732" s="4"/>
      <c r="P2732" s="12" t="str">
        <f t="array" ref="P2732">IF(O2732:O6774="","",_xlfn.XLOOKUP(O2732:O6774,'参照_官位'!A:A,'参照_官位'!B:B,""))</f>
      </c>
      <c r="Q2732" s="12" t="str">
        <f t="array" ref="Q2732">IF(A2732:A6774="","",IFERROR(_xlfn.XLOOKUP(A2732:A6774,castles_state!K:K,castles_state!D:D)&amp;"主",IFERROR(_xlfn.XLOOKUP(A2732:A6774,kunishuClan!D:D,kunishuClan!B:B)&amp;"当主","")))</f>
      </c>
    </row>
    <row r="2733" ht="15.75" customHeight="1">
      <c r="A2733" s="4">
        <v>1073047</v>
      </c>
      <c r="B2733" s="12" t="str">
        <f t="array" ref="B2733">IF(A2733:A6775="","",_xlfn.XLOOKUP(A2733:A6775,'参照_武将'!A:A,'参照_武将'!B:B,"見つかりません"))</f>
      </c>
      <c r="C2733" s="4" t="s">
        <v>343</v>
      </c>
      <c r="D2733" s="4">
        <v>73</v>
      </c>
      <c r="E2733" s="12" t="str">
        <f t="array" ref="E2733">IF(D2733:D6775="","",IFERROR(_xlfn.XLOOKUP(D2733:D6775,'参照_勢力'!A:A,'参照_勢力'!B:B),IFERROR(_xlfn.XLOOKUP(F2733:F6775,kunishuClan!A:A,kunishuClan!B:B),"浪人")))</f>
      </c>
      <c r="F2733" s="4">
        <v>0</v>
      </c>
      <c r="G2733" s="4">
        <v>219</v>
      </c>
      <c r="H2733" s="12" t="str">
        <f t="array" ref="H2733">IF(G2733:G6775="","",_xlfn.XLOOKUP(G2733:G6775,castles_state!A:A,castles_state!D:D,"見つかりません"))</f>
      </c>
      <c r="I2733" s="4"/>
      <c r="J2733" s="12" t="str">
        <f t="array" ref="J2733">IF(I2733:I6775="","",_xlfn.XLOOKUP(I2733:I6775,'参照_姫'!A:A,'参照_姫'!B:B,"見つかりません"))</f>
      </c>
      <c r="K2733" s="4">
        <v>90</v>
      </c>
      <c r="L2733" s="4">
        <v>0</v>
      </c>
      <c r="M2733" s="4"/>
      <c r="N2733" s="4"/>
      <c r="O2733" s="4"/>
      <c r="P2733" s="12" t="str">
        <f t="array" ref="P2733">IF(O2733:O6775="","",_xlfn.XLOOKUP(O2733:O6775,'参照_官位'!A:A,'参照_官位'!B:B,""))</f>
      </c>
      <c r="Q2733" s="12" t="str">
        <f t="array" ref="Q2733">IF(A2733:A6775="","",IFERROR(_xlfn.XLOOKUP(A2733:A6775,castles_state!K:K,castles_state!D:D)&amp;"主",IFERROR(_xlfn.XLOOKUP(A2733:A6775,kunishuClan!D:D,kunishuClan!B:B)&amp;"当主","")))</f>
      </c>
    </row>
    <row r="2734" ht="15.75" customHeight="1">
      <c r="A2734" s="4">
        <v>1074001</v>
      </c>
      <c r="B2734" s="12" t="str">
        <f t="array" ref="B2734">IF(A2734:A6776="","",_xlfn.XLOOKUP(A2734:A6776,'参照_武将'!A:A,'参照_武将'!B:B,"見つかりません"))</f>
      </c>
      <c r="C2734" s="4" t="s">
        <v>347</v>
      </c>
      <c r="D2734" s="4">
        <v>74</v>
      </c>
      <c r="E2734" s="12" t="str">
        <f t="array" ref="E2734">IF(D2734:D6776="","",IFERROR(_xlfn.XLOOKUP(D2734:D6776,'参照_勢力'!A:A,'参照_勢力'!B:B),IFERROR(_xlfn.XLOOKUP(F2734:F6776,kunishuClan!A:A,kunishuClan!B:B),"浪人")))</f>
      </c>
      <c r="F2734" s="4">
        <v>0</v>
      </c>
      <c r="G2734" s="4">
        <v>228</v>
      </c>
      <c r="H2734" s="12" t="str">
        <f t="array" ref="H2734">IF(G2734:G6776="","",_xlfn.XLOOKUP(G2734:G6776,castles_state!A:A,castles_state!D:D,"見つかりません"))</f>
      </c>
      <c r="I2734" s="4"/>
      <c r="J2734" s="12" t="str">
        <f t="array" ref="J2734">IF(I2734:I6776="","",_xlfn.XLOOKUP(I2734:I6776,'参照_姫'!A:A,'参照_姫'!B:B,"見つかりません"))</f>
      </c>
      <c r="K2734" s="4">
        <v>100</v>
      </c>
      <c r="L2734" s="4">
        <v>0</v>
      </c>
      <c r="M2734" s="4"/>
      <c r="N2734" s="4"/>
      <c r="O2734" s="4"/>
      <c r="P2734" s="12" t="str">
        <f t="array" ref="P2734">IF(O2734:O6776="","",_xlfn.XLOOKUP(O2734:O6776,'参照_官位'!A:A,'参照_官位'!B:B,""))</f>
      </c>
      <c r="Q2734" s="12" t="str">
        <f t="array" ref="Q2734">IF(A2734:A6776="","",IFERROR(_xlfn.XLOOKUP(A2734:A6776,castles_state!K:K,castles_state!D:D)&amp;"主",IFERROR(_xlfn.XLOOKUP(A2734:A6776,kunishuClan!D:D,kunishuClan!B:B)&amp;"当主","")))</f>
      </c>
    </row>
    <row r="2735" ht="15.75" customHeight="1">
      <c r="A2735" s="4">
        <v>1074002</v>
      </c>
      <c r="B2735" s="12" t="str">
        <f t="array" ref="B2735">IF(A2735:A6777="","",_xlfn.XLOOKUP(A2735:A6777,'参照_武将'!A:A,'参照_武将'!B:B,"見つかりません"))</f>
      </c>
      <c r="C2735" s="4" t="s">
        <v>347</v>
      </c>
      <c r="D2735" s="4">
        <v>74</v>
      </c>
      <c r="E2735" s="12" t="str">
        <f t="array" ref="E2735">IF(D2735:D6777="","",IFERROR(_xlfn.XLOOKUP(D2735:D6777,'参照_勢力'!A:A,'参照_勢力'!B:B),IFERROR(_xlfn.XLOOKUP(F2735:F6777,kunishuClan!A:A,kunishuClan!B:B),"浪人")))</f>
      </c>
      <c r="F2735" s="4">
        <v>0</v>
      </c>
      <c r="G2735" s="4">
        <v>228</v>
      </c>
      <c r="H2735" s="12" t="str">
        <f t="array" ref="H2735">IF(G2735:G6777="","",_xlfn.XLOOKUP(G2735:G6777,castles_state!A:A,castles_state!D:D,"見つかりません"))</f>
      </c>
      <c r="I2735" s="4"/>
      <c r="J2735" s="12" t="str">
        <f t="array" ref="J2735">IF(I2735:I6777="","",_xlfn.XLOOKUP(I2735:I6777,'参照_姫'!A:A,'参照_姫'!B:B,"見つかりません"))</f>
      </c>
      <c r="K2735" s="4">
        <v>100</v>
      </c>
      <c r="L2735" s="4">
        <v>0</v>
      </c>
      <c r="M2735" s="4"/>
      <c r="N2735" s="4"/>
      <c r="O2735" s="4"/>
      <c r="P2735" s="12" t="str">
        <f t="array" ref="P2735">IF(O2735:O6777="","",_xlfn.XLOOKUP(O2735:O6777,'参照_官位'!A:A,'参照_官位'!B:B,""))</f>
      </c>
      <c r="Q2735" s="12" t="str">
        <f t="array" ref="Q2735">IF(A2735:A6777="","",IFERROR(_xlfn.XLOOKUP(A2735:A6777,castles_state!K:K,castles_state!D:D)&amp;"主",IFERROR(_xlfn.XLOOKUP(A2735:A6777,kunishuClan!D:D,kunishuClan!B:B)&amp;"当主","")))</f>
      </c>
    </row>
    <row r="2736" ht="15.75" customHeight="1">
      <c r="A2736" s="4">
        <v>1074003</v>
      </c>
      <c r="B2736" s="12" t="str">
        <f t="array" ref="B2736">IF(A2736:A6778="","",_xlfn.XLOOKUP(A2736:A6778,'参照_武将'!A:A,'参照_武将'!B:B,"見つかりません"))</f>
      </c>
      <c r="C2736" s="4" t="s">
        <v>347</v>
      </c>
      <c r="D2736" s="4">
        <v>74</v>
      </c>
      <c r="E2736" s="12" t="str">
        <f t="array" ref="E2736">IF(D2736:D6778="","",IFERROR(_xlfn.XLOOKUP(D2736:D6778,'参照_勢力'!A:A,'参照_勢力'!B:B),IFERROR(_xlfn.XLOOKUP(F2736:F6778,kunishuClan!A:A,kunishuClan!B:B),"浪人")))</f>
      </c>
      <c r="F2736" s="4">
        <v>0</v>
      </c>
      <c r="G2736" s="4">
        <v>228</v>
      </c>
      <c r="H2736" s="12" t="str">
        <f t="array" ref="H2736">IF(G2736:G6778="","",_xlfn.XLOOKUP(G2736:G6778,castles_state!A:A,castles_state!D:D,"見つかりません"))</f>
      </c>
      <c r="I2736" s="4"/>
      <c r="J2736" s="12" t="str">
        <f t="array" ref="J2736">IF(I2736:I6778="","",_xlfn.XLOOKUP(I2736:I6778,'参照_姫'!A:A,'参照_姫'!B:B,"見つかりません"))</f>
      </c>
      <c r="K2736" s="4">
        <v>85</v>
      </c>
      <c r="L2736" s="4">
        <v>1000</v>
      </c>
      <c r="M2736" s="4"/>
      <c r="N2736" s="4"/>
      <c r="O2736" s="4"/>
      <c r="P2736" s="12" t="str">
        <f t="array" ref="P2736">IF(O2736:O6778="","",_xlfn.XLOOKUP(O2736:O6778,'参照_官位'!A:A,'参照_官位'!B:B,""))</f>
      </c>
      <c r="Q2736" s="12" t="str">
        <f t="array" ref="Q2736">IF(A2736:A6778="","",IFERROR(_xlfn.XLOOKUP(A2736:A6778,castles_state!K:K,castles_state!D:D)&amp;"主",IFERROR(_xlfn.XLOOKUP(A2736:A6778,kunishuClan!D:D,kunishuClan!B:B)&amp;"当主","")))</f>
      </c>
    </row>
    <row r="2737" ht="15.75" customHeight="1">
      <c r="A2737" s="4">
        <v>1074004</v>
      </c>
      <c r="B2737" s="12" t="str">
        <f t="array" ref="B2737">IF(A2737:A6779="","",_xlfn.XLOOKUP(A2737:A6779,'参照_武将'!A:A,'参照_武将'!B:B,"見つかりません"))</f>
      </c>
      <c r="C2737" s="4" t="s">
        <v>347</v>
      </c>
      <c r="D2737" s="4">
        <v>74</v>
      </c>
      <c r="E2737" s="12" t="str">
        <f t="array" ref="E2737">IF(D2737:D6779="","",IFERROR(_xlfn.XLOOKUP(D2737:D6779,'参照_勢力'!A:A,'参照_勢力'!B:B),IFERROR(_xlfn.XLOOKUP(F2737:F6779,kunishuClan!A:A,kunishuClan!B:B),"浪人")))</f>
      </c>
      <c r="F2737" s="4">
        <v>0</v>
      </c>
      <c r="G2737" s="4">
        <v>214</v>
      </c>
      <c r="H2737" s="12" t="str">
        <f t="array" ref="H2737">IF(G2737:G6779="","",_xlfn.XLOOKUP(G2737:G6779,castles_state!A:A,castles_state!D:D,"見つかりません"))</f>
      </c>
      <c r="I2737" s="4"/>
      <c r="J2737" s="12" t="str">
        <f t="array" ref="J2737">IF(I2737:I6779="","",_xlfn.XLOOKUP(I2737:I6779,'参照_姫'!A:A,'参照_姫'!B:B,"見つかりません"))</f>
      </c>
      <c r="K2737" s="4">
        <v>100</v>
      </c>
      <c r="L2737" s="4">
        <v>200</v>
      </c>
      <c r="M2737" s="4"/>
      <c r="N2737" s="4" t="b">
        <v>1</v>
      </c>
      <c r="O2737" s="23">
        <v>38</v>
      </c>
      <c r="P2737" s="12" t="str">
        <f t="array" ref="P2737">IF(O2737:O6779="","",_xlfn.XLOOKUP(O2737:O6779,'参照_官位'!A:A,'参照_官位'!B:B,""))</f>
      </c>
      <c r="Q2737" s="12" t="str">
        <f t="array" ref="Q2737">IF(A2737:A6779="","",IFERROR(_xlfn.XLOOKUP(A2737:A6779,castles_state!K:K,castles_state!D:D)&amp;"主",IFERROR(_xlfn.XLOOKUP(A2737:A6779,kunishuClan!D:D,kunishuClan!B:B)&amp;"当主","")))</f>
      </c>
    </row>
    <row r="2738" ht="15.75" customHeight="1">
      <c r="A2738" s="4">
        <v>1074005</v>
      </c>
      <c r="B2738" s="12" t="str">
        <f t="array" ref="B2738">IF(A2738:A6780="","",_xlfn.XLOOKUP(A2738:A6780,'参照_武将'!A:A,'参照_武将'!B:B,"見つかりません"))</f>
      </c>
      <c r="C2738" s="4" t="s">
        <v>356</v>
      </c>
      <c r="D2738" s="4">
        <v>76</v>
      </c>
      <c r="E2738" s="12" t="str">
        <f t="array" ref="E2738">IF(D2738:D6780="","",IFERROR(_xlfn.XLOOKUP(D2738:D6780,'参照_勢力'!A:A,'参照_勢力'!B:B),IFERROR(_xlfn.XLOOKUP(F2738:F6780,kunishuClan!A:A,kunishuClan!B:B),"浪人")))</f>
      </c>
      <c r="F2738" s="4">
        <v>0</v>
      </c>
      <c r="G2738" s="4">
        <v>203</v>
      </c>
      <c r="H2738" s="12" t="str">
        <f t="array" ref="H2738">IF(G2738:G6780="","",_xlfn.XLOOKUP(G2738:G6780,castles_state!A:A,castles_state!D:D,"見つかりません"))</f>
      </c>
      <c r="I2738" s="4"/>
      <c r="J2738" s="12" t="str">
        <f t="array" ref="J2738">IF(I2738:I6780="","",_xlfn.XLOOKUP(I2738:I6780,'参照_姫'!A:A,'参照_姫'!B:B,"見つかりません"))</f>
      </c>
      <c r="K2738" s="4">
        <v>95</v>
      </c>
      <c r="L2738" s="4">
        <v>0</v>
      </c>
      <c r="M2738" s="4"/>
      <c r="N2738" s="4"/>
      <c r="O2738" s="4"/>
      <c r="P2738" s="12" t="str">
        <f t="array" ref="P2738">IF(O2738:O6780="","",_xlfn.XLOOKUP(O2738:O6780,'参照_官位'!A:A,'参照_官位'!B:B,""))</f>
      </c>
      <c r="Q2738" s="12" t="str">
        <f t="array" ref="Q2738">IF(A2738:A6780="","",IFERROR(_xlfn.XLOOKUP(A2738:A6780,castles_state!K:K,castles_state!D:D)&amp;"主",IFERROR(_xlfn.XLOOKUP(A2738:A6780,kunishuClan!D:D,kunishuClan!B:B)&amp;"当主","")))</f>
      </c>
    </row>
    <row r="2739" ht="15.75" customHeight="1">
      <c r="A2739" s="4">
        <v>1074006</v>
      </c>
      <c r="B2739" s="12" t="str">
        <f t="array" ref="B2739">IF(A2739:A6781="","",_xlfn.XLOOKUP(A2739:A6781,'参照_武将'!A:A,'参照_武将'!B:B,"見つかりません"))</f>
      </c>
      <c r="C2739" s="4" t="s">
        <v>347</v>
      </c>
      <c r="D2739" s="4">
        <v>74</v>
      </c>
      <c r="E2739" s="12" t="str">
        <f t="array" ref="E2739">IF(D2739:D6781="","",IFERROR(_xlfn.XLOOKUP(D2739:D6781,'参照_勢力'!A:A,'参照_勢力'!B:B),IFERROR(_xlfn.XLOOKUP(F2739:F6781,kunishuClan!A:A,kunishuClan!B:B),"浪人")))</f>
      </c>
      <c r="F2739" s="4">
        <v>0</v>
      </c>
      <c r="G2739" s="4">
        <v>228</v>
      </c>
      <c r="H2739" s="12" t="str">
        <f t="array" ref="H2739">IF(G2739:G6781="","",_xlfn.XLOOKUP(G2739:G6781,castles_state!A:A,castles_state!D:D,"見つかりません"))</f>
      </c>
      <c r="I2739" s="4"/>
      <c r="J2739" s="12" t="str">
        <f t="array" ref="J2739">IF(I2739:I6781="","",_xlfn.XLOOKUP(I2739:I6781,'参照_姫'!A:A,'参照_姫'!B:B,"見つかりません"))</f>
      </c>
      <c r="K2739" s="4">
        <v>95</v>
      </c>
      <c r="L2739" s="4">
        <v>500</v>
      </c>
      <c r="M2739" s="4"/>
      <c r="N2739" s="4"/>
      <c r="O2739" s="4"/>
      <c r="P2739" s="12" t="str">
        <f t="array" ref="P2739">IF(O2739:O6781="","",_xlfn.XLOOKUP(O2739:O6781,'参照_官位'!A:A,'参照_官位'!B:B,""))</f>
      </c>
      <c r="Q2739" s="12" t="str">
        <f t="array" ref="Q2739">IF(A2739:A6781="","",IFERROR(_xlfn.XLOOKUP(A2739:A6781,castles_state!K:K,castles_state!D:D)&amp;"主",IFERROR(_xlfn.XLOOKUP(A2739:A6781,kunishuClan!D:D,kunishuClan!B:B)&amp;"当主","")))</f>
      </c>
    </row>
    <row r="2740" ht="15.75" customHeight="1">
      <c r="A2740" s="4">
        <v>1074007</v>
      </c>
      <c r="B2740" s="12" t="str">
        <f t="array" ref="B2740">IF(A2740:A6782="","",_xlfn.XLOOKUP(A2740:A6782,'参照_武将'!A:A,'参照_武将'!B:B,"見つかりません"))</f>
      </c>
      <c r="C2740" s="4" t="s">
        <v>347</v>
      </c>
      <c r="D2740" s="4">
        <v>74</v>
      </c>
      <c r="E2740" s="12" t="str">
        <f t="array" ref="E2740">IF(D2740:D6782="","",IFERROR(_xlfn.XLOOKUP(D2740:D6782,'参照_勢力'!A:A,'参照_勢力'!B:B),IFERROR(_xlfn.XLOOKUP(F2740:F6782,kunishuClan!A:A,kunishuClan!B:B),"浪人")))</f>
      </c>
      <c r="F2740" s="4">
        <v>0</v>
      </c>
      <c r="G2740" s="4">
        <v>228</v>
      </c>
      <c r="H2740" s="12" t="str">
        <f t="array" ref="H2740">IF(G2740:G6782="","",_xlfn.XLOOKUP(G2740:G6782,castles_state!A:A,castles_state!D:D,"見つかりません"))</f>
      </c>
      <c r="I2740" s="4"/>
      <c r="J2740" s="12" t="str">
        <f t="array" ref="J2740">IF(I2740:I6782="","",_xlfn.XLOOKUP(I2740:I6782,'参照_姫'!A:A,'参照_姫'!B:B,"見つかりません"))</f>
      </c>
      <c r="K2740" s="4">
        <v>95</v>
      </c>
      <c r="L2740" s="4">
        <v>0</v>
      </c>
      <c r="M2740" s="4"/>
      <c r="N2740" s="4"/>
      <c r="O2740" s="4"/>
      <c r="P2740" s="12" t="str">
        <f t="array" ref="P2740">IF(O2740:O6782="","",_xlfn.XLOOKUP(O2740:O6782,'参照_官位'!A:A,'参照_官位'!B:B,""))</f>
      </c>
      <c r="Q2740" s="12" t="str">
        <f t="array" ref="Q2740">IF(A2740:A6782="","",IFERROR(_xlfn.XLOOKUP(A2740:A6782,castles_state!K:K,castles_state!D:D)&amp;"主",IFERROR(_xlfn.XLOOKUP(A2740:A6782,kunishuClan!D:D,kunishuClan!B:B)&amp;"当主","")))</f>
      </c>
    </row>
    <row r="2741" ht="15.75" customHeight="1">
      <c r="A2741" s="4">
        <v>1074008</v>
      </c>
      <c r="B2741" s="12" t="str">
        <f t="array" ref="B2741">IF(A2741:A6783="","",_xlfn.XLOOKUP(A2741:A6783,'参照_武将'!A:A,'参照_武将'!B:B,"見つかりません"))</f>
      </c>
      <c r="C2741" s="4" t="s">
        <v>347</v>
      </c>
      <c r="D2741" s="4">
        <v>74</v>
      </c>
      <c r="E2741" s="12" t="str">
        <f t="array" ref="E2741">IF(D2741:D6783="","",IFERROR(_xlfn.XLOOKUP(D2741:D6783,'参照_勢力'!A:A,'参照_勢力'!B:B),IFERROR(_xlfn.XLOOKUP(F2741:F6783,kunishuClan!A:A,kunishuClan!B:B),"浪人")))</f>
      </c>
      <c r="F2741" s="4">
        <v>0</v>
      </c>
      <c r="G2741" s="4">
        <v>228</v>
      </c>
      <c r="H2741" s="12" t="str">
        <f t="array" ref="H2741">IF(G2741:G6783="","",_xlfn.XLOOKUP(G2741:G6783,castles_state!A:A,castles_state!D:D,"見つかりません"))</f>
      </c>
      <c r="I2741" s="4"/>
      <c r="J2741" s="12" t="str">
        <f t="array" ref="J2741">IF(I2741:I6783="","",_xlfn.XLOOKUP(I2741:I6783,'参照_姫'!A:A,'参照_姫'!B:B,"見つかりません"))</f>
      </c>
      <c r="K2741" s="4">
        <v>100</v>
      </c>
      <c r="L2741" s="4">
        <v>1500</v>
      </c>
      <c r="M2741" s="4"/>
      <c r="N2741" s="4"/>
      <c r="O2741" s="4"/>
      <c r="P2741" s="12" t="str">
        <f t="array" ref="P2741">IF(O2741:O6783="","",_xlfn.XLOOKUP(O2741:O6783,'参照_官位'!A:A,'参照_官位'!B:B,""))</f>
      </c>
      <c r="Q2741" s="12" t="str">
        <f t="array" ref="Q2741">IF(A2741:A6783="","",IFERROR(_xlfn.XLOOKUP(A2741:A6783,castles_state!K:K,castles_state!D:D)&amp;"主",IFERROR(_xlfn.XLOOKUP(A2741:A6783,kunishuClan!D:D,kunishuClan!B:B)&amp;"当主","")))</f>
      </c>
    </row>
    <row r="2742" ht="15.75" customHeight="1">
      <c r="A2742" s="4">
        <v>1074009</v>
      </c>
      <c r="B2742" s="12" t="str">
        <f t="array" ref="B2742">IF(A2742:A6784="","",_xlfn.XLOOKUP(A2742:A6784,'参照_武将'!A:A,'参照_武将'!B:B,"見つかりません"))</f>
      </c>
      <c r="C2742" s="4" t="s">
        <v>347</v>
      </c>
      <c r="D2742" s="4">
        <v>74</v>
      </c>
      <c r="E2742" s="12" t="str">
        <f t="array" ref="E2742">IF(D2742:D6784="","",IFERROR(_xlfn.XLOOKUP(D2742:D6784,'参照_勢力'!A:A,'参照_勢力'!B:B),IFERROR(_xlfn.XLOOKUP(F2742:F6784,kunishuClan!A:A,kunishuClan!B:B),"浪人")))</f>
      </c>
      <c r="F2742" s="4">
        <v>0</v>
      </c>
      <c r="G2742" s="4">
        <v>228</v>
      </c>
      <c r="H2742" s="12" t="str">
        <f t="array" ref="H2742">IF(G2742:G6784="","",_xlfn.XLOOKUP(G2742:G6784,castles_state!A:A,castles_state!D:D,"見つかりません"))</f>
      </c>
      <c r="I2742" s="4"/>
      <c r="J2742" s="12" t="str">
        <f t="array" ref="J2742">IF(I2742:I6784="","",_xlfn.XLOOKUP(I2742:I6784,'参照_姫'!A:A,'参照_姫'!B:B,"見つかりません"))</f>
      </c>
      <c r="K2742" s="4">
        <v>95</v>
      </c>
      <c r="L2742" s="4">
        <v>500</v>
      </c>
      <c r="M2742" s="4"/>
      <c r="N2742" s="4"/>
      <c r="O2742" s="4"/>
      <c r="P2742" s="12" t="str">
        <f t="array" ref="P2742">IF(O2742:O6784="","",_xlfn.XLOOKUP(O2742:O6784,'参照_官位'!A:A,'参照_官位'!B:B,""))</f>
      </c>
      <c r="Q2742" s="12" t="str">
        <f t="array" ref="Q2742">IF(A2742:A6784="","",IFERROR(_xlfn.XLOOKUP(A2742:A6784,castles_state!K:K,castles_state!D:D)&amp;"主",IFERROR(_xlfn.XLOOKUP(A2742:A6784,kunishuClan!D:D,kunishuClan!B:B)&amp;"当主","")))</f>
      </c>
    </row>
    <row r="2743" ht="15.75" customHeight="1">
      <c r="A2743" s="4">
        <v>1074010</v>
      </c>
      <c r="B2743" s="12" t="str">
        <f t="array" ref="B2743">IF(A2743:A6785="","",_xlfn.XLOOKUP(A2743:A6785,'参照_武将'!A:A,'参照_武将'!B:B,"見つかりません"))</f>
      </c>
      <c r="C2743" s="4" t="s">
        <v>347</v>
      </c>
      <c r="D2743" s="4">
        <v>74</v>
      </c>
      <c r="E2743" s="12" t="str">
        <f t="array" ref="E2743">IF(D2743:D6785="","",IFERROR(_xlfn.XLOOKUP(D2743:D6785,'参照_勢力'!A:A,'参照_勢力'!B:B),IFERROR(_xlfn.XLOOKUP(F2743:F6785,kunishuClan!A:A,kunishuClan!B:B),"浪人")))</f>
      </c>
      <c r="F2743" s="4">
        <v>0</v>
      </c>
      <c r="G2743" s="4">
        <v>228</v>
      </c>
      <c r="H2743" s="12" t="str">
        <f t="array" ref="H2743">IF(G2743:G6785="","",_xlfn.XLOOKUP(G2743:G6785,castles_state!A:A,castles_state!D:D,"見つかりません"))</f>
      </c>
      <c r="I2743" s="4"/>
      <c r="J2743" s="12" t="str">
        <f t="array" ref="J2743">IF(I2743:I6785="","",_xlfn.XLOOKUP(I2743:I6785,'参照_姫'!A:A,'参照_姫'!B:B,"見つかりません"))</f>
      </c>
      <c r="K2743" s="4">
        <v>95</v>
      </c>
      <c r="L2743" s="4">
        <v>0</v>
      </c>
      <c r="M2743" s="4"/>
      <c r="N2743" s="4"/>
      <c r="O2743" s="4"/>
      <c r="P2743" s="12" t="str">
        <f t="array" ref="P2743">IF(O2743:O6785="","",_xlfn.XLOOKUP(O2743:O6785,'参照_官位'!A:A,'参照_官位'!B:B,""))</f>
      </c>
      <c r="Q2743" s="12" t="str">
        <f t="array" ref="Q2743">IF(A2743:A6785="","",IFERROR(_xlfn.XLOOKUP(A2743:A6785,castles_state!K:K,castles_state!D:D)&amp;"主",IFERROR(_xlfn.XLOOKUP(A2743:A6785,kunishuClan!D:D,kunishuClan!B:B)&amp;"当主","")))</f>
      </c>
    </row>
    <row r="2744" ht="15.75" customHeight="1">
      <c r="A2744" s="4">
        <v>1074011</v>
      </c>
      <c r="B2744" s="12" t="str">
        <f t="array" ref="B2744">IF(A2744:A6786="","",_xlfn.XLOOKUP(A2744:A6786,'参照_武将'!A:A,'参照_武将'!B:B,"見つかりません"))</f>
      </c>
      <c r="C2744" s="4" t="s">
        <v>347</v>
      </c>
      <c r="D2744" s="4">
        <v>74</v>
      </c>
      <c r="E2744" s="12" t="str">
        <f t="array" ref="E2744">IF(D2744:D6786="","",IFERROR(_xlfn.XLOOKUP(D2744:D6786,'参照_勢力'!A:A,'参照_勢力'!B:B),IFERROR(_xlfn.XLOOKUP(F2744:F6786,kunishuClan!A:A,kunishuClan!B:B),"浪人")))</f>
      </c>
      <c r="F2744" s="4">
        <v>0</v>
      </c>
      <c r="G2744" s="4">
        <v>228</v>
      </c>
      <c r="H2744" s="12" t="str">
        <f t="array" ref="H2744">IF(G2744:G6786="","",_xlfn.XLOOKUP(G2744:G6786,castles_state!A:A,castles_state!D:D,"見つかりません"))</f>
      </c>
      <c r="I2744" s="4"/>
      <c r="J2744" s="12" t="str">
        <f t="array" ref="J2744">IF(I2744:I6786="","",_xlfn.XLOOKUP(I2744:I6786,'参照_姫'!A:A,'参照_姫'!B:B,"見つかりません"))</f>
      </c>
      <c r="K2744" s="4">
        <v>95</v>
      </c>
      <c r="L2744" s="4">
        <v>500</v>
      </c>
      <c r="M2744" s="4"/>
      <c r="N2744" s="4"/>
      <c r="O2744" s="4"/>
      <c r="P2744" s="12" t="str">
        <f t="array" ref="P2744">IF(O2744:O6786="","",_xlfn.XLOOKUP(O2744:O6786,'参照_官位'!A:A,'参照_官位'!B:B,""))</f>
      </c>
      <c r="Q2744" s="12" t="str">
        <f t="array" ref="Q2744">IF(A2744:A6786="","",IFERROR(_xlfn.XLOOKUP(A2744:A6786,castles_state!K:K,castles_state!D:D)&amp;"主",IFERROR(_xlfn.XLOOKUP(A2744:A6786,kunishuClan!D:D,kunishuClan!B:B)&amp;"当主","")))</f>
      </c>
    </row>
    <row r="2745" ht="15.75" customHeight="1">
      <c r="A2745" s="4">
        <v>1074012</v>
      </c>
      <c r="B2745" s="12" t="str">
        <f t="array" ref="B2745">IF(A2745:A6787="","",_xlfn.XLOOKUP(A2745:A6787,'参照_武将'!A:A,'参照_武将'!B:B,"見つかりません"))</f>
      </c>
      <c r="C2745" s="4" t="s">
        <v>347</v>
      </c>
      <c r="D2745" s="4">
        <v>74</v>
      </c>
      <c r="E2745" s="12" t="str">
        <f t="array" ref="E2745">IF(D2745:D6787="","",IFERROR(_xlfn.XLOOKUP(D2745:D6787,'参照_勢力'!A:A,'参照_勢力'!B:B),IFERROR(_xlfn.XLOOKUP(F2745:F6787,kunishuClan!A:A,kunishuClan!B:B),"浪人")))</f>
      </c>
      <c r="F2745" s="4">
        <v>0</v>
      </c>
      <c r="G2745" s="4">
        <v>228</v>
      </c>
      <c r="H2745" s="12" t="str">
        <f t="array" ref="H2745">IF(G2745:G6787="","",_xlfn.XLOOKUP(G2745:G6787,castles_state!A:A,castles_state!D:D,"見つかりません"))</f>
      </c>
      <c r="I2745" s="4"/>
      <c r="J2745" s="12" t="str">
        <f t="array" ref="J2745">IF(I2745:I6787="","",_xlfn.XLOOKUP(I2745:I6787,'参照_姫'!A:A,'参照_姫'!B:B,"見つかりません"))</f>
      </c>
      <c r="K2745" s="4">
        <v>85</v>
      </c>
      <c r="L2745" s="4">
        <v>0</v>
      </c>
      <c r="M2745" s="4"/>
      <c r="N2745" s="4"/>
      <c r="O2745" s="4"/>
      <c r="P2745" s="12" t="str">
        <f t="array" ref="P2745">IF(O2745:O6787="","",_xlfn.XLOOKUP(O2745:O6787,'参照_官位'!A:A,'参照_官位'!B:B,""))</f>
      </c>
      <c r="Q2745" s="12" t="str">
        <f t="array" ref="Q2745">IF(A2745:A6787="","",IFERROR(_xlfn.XLOOKUP(A2745:A6787,castles_state!K:K,castles_state!D:D)&amp;"主",IFERROR(_xlfn.XLOOKUP(A2745:A6787,kunishuClan!D:D,kunishuClan!B:B)&amp;"当主","")))</f>
      </c>
    </row>
    <row r="2746" ht="15.75" customHeight="1">
      <c r="A2746" s="4">
        <v>1074013</v>
      </c>
      <c r="B2746" s="12" t="str">
        <f t="array" ref="B2746">IF(A2746:A6788="","",_xlfn.XLOOKUP(A2746:A6788,'参照_武将'!A:A,'参照_武将'!B:B,"見つかりません"))</f>
      </c>
      <c r="C2746" s="4" t="s">
        <v>347</v>
      </c>
      <c r="D2746" s="4">
        <v>74</v>
      </c>
      <c r="E2746" s="12" t="str">
        <f t="array" ref="E2746">IF(D2746:D6788="","",IFERROR(_xlfn.XLOOKUP(D2746:D6788,'参照_勢力'!A:A,'参照_勢力'!B:B),IFERROR(_xlfn.XLOOKUP(F2746:F6788,kunishuClan!A:A,kunishuClan!B:B),"浪人")))</f>
      </c>
      <c r="F2746" s="4">
        <v>0</v>
      </c>
      <c r="G2746" s="4">
        <v>228</v>
      </c>
      <c r="H2746" s="12" t="str">
        <f t="array" ref="H2746">IF(G2746:G6788="","",_xlfn.XLOOKUP(G2746:G6788,castles_state!A:A,castles_state!D:D,"見つかりません"))</f>
      </c>
      <c r="I2746" s="4"/>
      <c r="J2746" s="12" t="str">
        <f t="array" ref="J2746">IF(I2746:I6788="","",_xlfn.XLOOKUP(I2746:I6788,'参照_姫'!A:A,'参照_姫'!B:B,"見つかりません"))</f>
      </c>
      <c r="K2746" s="4">
        <v>95</v>
      </c>
      <c r="L2746" s="4">
        <v>0</v>
      </c>
      <c r="M2746" s="4"/>
      <c r="N2746" s="4"/>
      <c r="O2746" s="4"/>
      <c r="P2746" s="12" t="str">
        <f t="array" ref="P2746">IF(O2746:O6788="","",_xlfn.XLOOKUP(O2746:O6788,'参照_官位'!A:A,'参照_官位'!B:B,""))</f>
      </c>
      <c r="Q2746" s="12" t="str">
        <f t="array" ref="Q2746">IF(A2746:A6788="","",IFERROR(_xlfn.XLOOKUP(A2746:A6788,castles_state!K:K,castles_state!D:D)&amp;"主",IFERROR(_xlfn.XLOOKUP(A2746:A6788,kunishuClan!D:D,kunishuClan!B:B)&amp;"当主","")))</f>
      </c>
    </row>
    <row r="2747" ht="15.75" customHeight="1">
      <c r="A2747" s="4">
        <v>1074014</v>
      </c>
      <c r="B2747" s="12" t="s">
        <v>3886</v>
      </c>
      <c r="C2747" s="4" t="s">
        <v>347</v>
      </c>
      <c r="D2747" s="4">
        <v>74</v>
      </c>
      <c r="E2747" s="12" t="str">
        <f t="array" ref="E2747">IF(D2747:D6789="","",IFERROR(_xlfn.XLOOKUP(D2747:D6789,'参照_勢力'!A:A,'参照_勢力'!B:B),IFERROR(_xlfn.XLOOKUP(F2747:F6789,kunishuClan!A:A,kunishuClan!B:B),"浪人")))</f>
      </c>
      <c r="F2747" s="4">
        <v>0</v>
      </c>
      <c r="G2747" s="4">
        <v>228</v>
      </c>
      <c r="H2747" s="12" t="str">
        <f t="array" ref="H2747">IF(G2747:G6789="","",_xlfn.XLOOKUP(G2747:G6789,castles_state!A:A,castles_state!D:D,"見つかりません"))</f>
      </c>
      <c r="I2747" s="4"/>
      <c r="J2747" s="12" t="str">
        <f t="array" ref="J2747">IF(I2747:I6789="","",_xlfn.XLOOKUP(I2747:I6789,'参照_姫'!A:A,'参照_姫'!B:B,"見つかりません"))</f>
      </c>
      <c r="K2747" s="4">
        <v>95</v>
      </c>
      <c r="L2747" s="4">
        <v>0</v>
      </c>
      <c r="M2747" s="4"/>
      <c r="N2747" s="4"/>
      <c r="O2747" s="4"/>
      <c r="P2747" s="12" t="str">
        <f t="array" ref="P2747">IF(O2747:O6789="","",_xlfn.XLOOKUP(O2747:O6789,'参照_官位'!A:A,'参照_官位'!B:B,""))</f>
      </c>
      <c r="Q2747" s="12" t="str">
        <f t="array" ref="Q2747">IF(A2747:A6789="","",IFERROR(_xlfn.XLOOKUP(A2747:A6789,castles_state!K:K,castles_state!D:D)&amp;"主",IFERROR(_xlfn.XLOOKUP(A2747:A6789,kunishuClan!D:D,kunishuClan!B:B)&amp;"当主","")))</f>
      </c>
    </row>
    <row r="2748" ht="15.75" customHeight="1">
      <c r="A2748" s="4">
        <v>1074016</v>
      </c>
      <c r="B2748" s="12" t="str">
        <f t="array" ref="B2748">IF(A2748:A6791="","",_xlfn.XLOOKUP(A2748:A6791,'参照_武将'!A:A,'参照_武将'!B:B,"見つかりません"))</f>
      </c>
      <c r="C2748" s="4" t="s">
        <v>347</v>
      </c>
      <c r="D2748" s="4">
        <v>74</v>
      </c>
      <c r="E2748" s="12" t="str">
        <f t="array" ref="E2748">IF(D2748:D6791="","",IFERROR(_xlfn.XLOOKUP(D2748:D6791,'参照_勢力'!A:A,'参照_勢力'!B:B),IFERROR(_xlfn.XLOOKUP(F2748:F6791,kunishuClan!A:A,kunishuClan!B:B),"浪人")))</f>
      </c>
      <c r="F2748" s="4">
        <v>0</v>
      </c>
      <c r="G2748" s="4">
        <v>228</v>
      </c>
      <c r="H2748" s="12" t="str">
        <f t="array" ref="H2748">IF(G2748:G6791="","",_xlfn.XLOOKUP(G2748:G6791,castles_state!A:A,castles_state!D:D,"見つかりません"))</f>
      </c>
      <c r="I2748" s="4"/>
      <c r="J2748" s="12" t="str">
        <f t="array" ref="J2748">IF(I2748:I6791="","",_xlfn.XLOOKUP(I2748:I6791,'参照_姫'!A:A,'参照_姫'!B:B,"見つかりません"))</f>
      </c>
      <c r="K2748" s="4">
        <v>95</v>
      </c>
      <c r="L2748" s="4">
        <v>0</v>
      </c>
      <c r="M2748" s="4"/>
      <c r="N2748" s="4"/>
      <c r="O2748" s="4"/>
      <c r="P2748" s="12" t="str">
        <f t="array" ref="P2748">IF(O2748:O6791="","",_xlfn.XLOOKUP(O2748:O6791,'参照_官位'!A:A,'参照_官位'!B:B,""))</f>
      </c>
      <c r="Q2748" s="12" t="str">
        <f t="array" ref="Q2748">IF(A2748:A6791="","",IFERROR(_xlfn.XLOOKUP(A2748:A6791,castles_state!K:K,castles_state!D:D)&amp;"主",IFERROR(_xlfn.XLOOKUP(A2748:A6791,kunishuClan!D:D,kunishuClan!B:B)&amp;"当主","")))</f>
      </c>
    </row>
    <row r="2749" ht="15.75" customHeight="1">
      <c r="A2749" s="4">
        <v>1074017</v>
      </c>
      <c r="B2749" s="12" t="str">
        <f t="array" ref="B2749">IF(A2749:A6792="","",_xlfn.XLOOKUP(A2749:A6792,'参照_武将'!A:A,'参照_武将'!B:B,"見つかりません"))</f>
      </c>
      <c r="C2749" s="4" t="s">
        <v>347</v>
      </c>
      <c r="D2749" s="4">
        <v>74</v>
      </c>
      <c r="E2749" s="12" t="str">
        <f t="array" ref="E2749">IF(D2749:D6792="","",IFERROR(_xlfn.XLOOKUP(D2749:D6792,'参照_勢力'!A:A,'参照_勢力'!B:B),IFERROR(_xlfn.XLOOKUP(F2749:F6792,kunishuClan!A:A,kunishuClan!B:B),"浪人")))</f>
      </c>
      <c r="F2749" s="4">
        <v>0</v>
      </c>
      <c r="G2749" s="4">
        <v>228</v>
      </c>
      <c r="H2749" s="12" t="str">
        <f t="array" ref="H2749">IF(G2749:G6792="","",_xlfn.XLOOKUP(G2749:G6792,castles_state!A:A,castles_state!D:D,"見つかりません"))</f>
      </c>
      <c r="I2749" s="4"/>
      <c r="J2749" s="12" t="str">
        <f t="array" ref="J2749">IF(I2749:I6792="","",_xlfn.XLOOKUP(I2749:I6792,'参照_姫'!A:A,'参照_姫'!B:B,"見つかりません"))</f>
      </c>
      <c r="K2749" s="4">
        <v>100</v>
      </c>
      <c r="L2749" s="4">
        <v>0</v>
      </c>
      <c r="M2749" s="4"/>
      <c r="N2749" s="4"/>
      <c r="O2749" s="4"/>
      <c r="P2749" s="12" t="str">
        <f t="array" ref="P2749">IF(O2749:O6792="","",_xlfn.XLOOKUP(O2749:O6792,'参照_官位'!A:A,'参照_官位'!B:B,""))</f>
      </c>
      <c r="Q2749" s="12" t="str">
        <f t="array" ref="Q2749">IF(A2749:A6792="","",IFERROR(_xlfn.XLOOKUP(A2749:A6792,castles_state!K:K,castles_state!D:D)&amp;"主",IFERROR(_xlfn.XLOOKUP(A2749:A6792,kunishuClan!D:D,kunishuClan!B:B)&amp;"当主","")))</f>
      </c>
    </row>
    <row r="2750" ht="15.75" customHeight="1">
      <c r="A2750" s="4">
        <v>1074018</v>
      </c>
      <c r="B2750" s="12" t="str">
        <f t="array" ref="B2750">IF(A2750:A6793="","",_xlfn.XLOOKUP(A2750:A6793,'参照_武将'!A:A,'参照_武将'!B:B,"見つかりません"))</f>
      </c>
      <c r="C2750" s="4" t="s">
        <v>347</v>
      </c>
      <c r="D2750" s="4">
        <v>74</v>
      </c>
      <c r="E2750" s="12" t="str">
        <f t="array" ref="E2750">IF(D2750:D6793="","",IFERROR(_xlfn.XLOOKUP(D2750:D6793,'参照_勢力'!A:A,'参照_勢力'!B:B),IFERROR(_xlfn.XLOOKUP(F2750:F6793,kunishuClan!A:A,kunishuClan!B:B),"浪人")))</f>
      </c>
      <c r="F2750" s="4">
        <v>0</v>
      </c>
      <c r="G2750" s="4">
        <v>205</v>
      </c>
      <c r="H2750" s="12" t="str">
        <f t="array" ref="H2750">IF(G2750:G6793="","",_xlfn.XLOOKUP(G2750:G6793,castles_state!A:A,castles_state!D:D,"見つかりません"))</f>
      </c>
      <c r="I2750" s="4"/>
      <c r="J2750" s="12" t="str">
        <f t="array" ref="J2750">IF(I2750:I6793="","",_xlfn.XLOOKUP(I2750:I6793,'参照_姫'!A:A,'参照_姫'!B:B,"見つかりません"))</f>
      </c>
      <c r="K2750" s="4">
        <v>95</v>
      </c>
      <c r="L2750" s="4">
        <v>300</v>
      </c>
      <c r="M2750" s="4"/>
      <c r="N2750" s="4"/>
      <c r="O2750" s="4"/>
      <c r="P2750" s="12" t="str">
        <f t="array" ref="P2750">IF(O2750:O6793="","",_xlfn.XLOOKUP(O2750:O6793,'参照_官位'!A:A,'参照_官位'!B:B,""))</f>
      </c>
      <c r="Q2750" s="12" t="str">
        <f t="array" ref="Q2750">IF(A2750:A6793="","",IFERROR(_xlfn.XLOOKUP(A2750:A6793,castles_state!K:K,castles_state!D:D)&amp;"主",IFERROR(_xlfn.XLOOKUP(A2750:A6793,kunishuClan!D:D,kunishuClan!B:B)&amp;"当主","")))</f>
      </c>
    </row>
    <row r="2751" ht="15.75" customHeight="1">
      <c r="A2751" s="4">
        <v>1074019</v>
      </c>
      <c r="B2751" s="12" t="str">
        <f t="array" ref="B2751">IF(A2751:A6794="","",_xlfn.XLOOKUP(A2751:A6794,'参照_武将'!A:A,'参照_武将'!B:B,"見つかりません"))</f>
      </c>
      <c r="C2751" s="4" t="s">
        <v>347</v>
      </c>
      <c r="D2751" s="4">
        <v>74</v>
      </c>
      <c r="E2751" s="12" t="str">
        <f t="array" ref="E2751">IF(D2751:D6794="","",IFERROR(_xlfn.XLOOKUP(D2751:D6794,'参照_勢力'!A:A,'参照_勢力'!B:B),IFERROR(_xlfn.XLOOKUP(F2751:F6794,kunishuClan!A:A,kunishuClan!B:B),"浪人")))</f>
      </c>
      <c r="F2751" s="4">
        <v>0</v>
      </c>
      <c r="G2751" s="4">
        <v>205</v>
      </c>
      <c r="H2751" s="12" t="str">
        <f t="array" ref="H2751">IF(G2751:G6794="","",_xlfn.XLOOKUP(G2751:G6794,castles_state!A:A,castles_state!D:D,"見つかりません"))</f>
      </c>
      <c r="I2751" s="4"/>
      <c r="J2751" s="12" t="str">
        <f t="array" ref="J2751">IF(I2751:I6794="","",_xlfn.XLOOKUP(I2751:I6794,'参照_姫'!A:A,'参照_姫'!B:B,"見つかりません"))</f>
      </c>
      <c r="K2751" s="4">
        <v>95</v>
      </c>
      <c r="L2751" s="4">
        <v>500</v>
      </c>
      <c r="M2751" s="4"/>
      <c r="N2751" s="4"/>
      <c r="O2751" s="4"/>
      <c r="P2751" s="12" t="str">
        <f t="array" ref="P2751">IF(O2751:O6794="","",_xlfn.XLOOKUP(O2751:O6794,'参照_官位'!A:A,'参照_官位'!B:B,""))</f>
      </c>
      <c r="Q2751" s="12" t="str">
        <f t="array" ref="Q2751">IF(A2751:A6794="","",IFERROR(_xlfn.XLOOKUP(A2751:A6794,castles_state!K:K,castles_state!D:D)&amp;"主",IFERROR(_xlfn.XLOOKUP(A2751:A6794,kunishuClan!D:D,kunishuClan!B:B)&amp;"当主","")))</f>
      </c>
    </row>
    <row r="2752" ht="15.75" customHeight="1">
      <c r="A2752" s="4">
        <v>1074020</v>
      </c>
      <c r="B2752" s="12" t="str">
        <f t="array" ref="B2752">IF(A2752:A6795="","",_xlfn.XLOOKUP(A2752:A6795,'参照_武将'!A:A,'参照_武将'!B:B,"見つかりません"))</f>
      </c>
      <c r="C2752" s="4" t="s">
        <v>347</v>
      </c>
      <c r="D2752" s="4">
        <v>74</v>
      </c>
      <c r="E2752" s="12" t="str">
        <f t="array" ref="E2752">IF(D2752:D6795="","",IFERROR(_xlfn.XLOOKUP(D2752:D6795,'参照_勢力'!A:A,'参照_勢力'!B:B),IFERROR(_xlfn.XLOOKUP(F2752:F6795,kunishuClan!A:A,kunishuClan!B:B),"浪人")))</f>
      </c>
      <c r="F2752" s="4">
        <v>0</v>
      </c>
      <c r="G2752" s="4">
        <v>205</v>
      </c>
      <c r="H2752" s="12" t="str">
        <f t="array" ref="H2752">IF(G2752:G6795="","",_xlfn.XLOOKUP(G2752:G6795,castles_state!A:A,castles_state!D:D,"見つかりません"))</f>
      </c>
      <c r="I2752" s="4"/>
      <c r="J2752" s="12" t="str">
        <f t="array" ref="J2752">IF(I2752:I6795="","",_xlfn.XLOOKUP(I2752:I6795,'参照_姫'!A:A,'参照_姫'!B:B,"見つかりません"))</f>
      </c>
      <c r="K2752" s="4">
        <v>95</v>
      </c>
      <c r="L2752" s="4">
        <v>0</v>
      </c>
      <c r="M2752" s="4"/>
      <c r="N2752" s="4"/>
      <c r="O2752" s="4"/>
      <c r="P2752" s="12" t="str">
        <f t="array" ref="P2752">IF(O2752:O6795="","",_xlfn.XLOOKUP(O2752:O6795,'参照_官位'!A:A,'参照_官位'!B:B,""))</f>
      </c>
      <c r="Q2752" s="12" t="str">
        <f t="array" ref="Q2752">IF(A2752:A6795="","",IFERROR(_xlfn.XLOOKUP(A2752:A6795,castles_state!K:K,castles_state!D:D)&amp;"主",IFERROR(_xlfn.XLOOKUP(A2752:A6795,kunishuClan!D:D,kunishuClan!B:B)&amp;"当主","")))</f>
      </c>
    </row>
    <row r="2753" ht="15.75" customHeight="1">
      <c r="A2753" s="4">
        <v>1074021</v>
      </c>
      <c r="B2753" s="12" t="str">
        <f t="array" ref="B2753">IF(A2753:A6796="","",_xlfn.XLOOKUP(A2753:A6796,'参照_武将'!A:A,'参照_武将'!B:B,"見つかりません"))</f>
      </c>
      <c r="C2753" s="4" t="s">
        <v>347</v>
      </c>
      <c r="D2753" s="4">
        <v>74</v>
      </c>
      <c r="E2753" s="12" t="str">
        <f t="array" ref="E2753">IF(D2753:D6796="","",IFERROR(_xlfn.XLOOKUP(D2753:D6796,'参照_勢力'!A:A,'参照_勢力'!B:B),IFERROR(_xlfn.XLOOKUP(F2753:F6796,kunishuClan!A:A,kunishuClan!B:B),"浪人")))</f>
      </c>
      <c r="F2753" s="4">
        <v>0</v>
      </c>
      <c r="G2753" s="4">
        <v>205</v>
      </c>
      <c r="H2753" s="12" t="str">
        <f t="array" ref="H2753">IF(G2753:G6796="","",_xlfn.XLOOKUP(G2753:G6796,castles_state!A:A,castles_state!D:D,"見つかりません"))</f>
      </c>
      <c r="I2753" s="4"/>
      <c r="J2753" s="12" t="str">
        <f t="array" ref="J2753">IF(I2753:I6796="","",_xlfn.XLOOKUP(I2753:I6796,'参照_姫'!A:A,'参照_姫'!B:B,"見つかりません"))</f>
      </c>
      <c r="K2753" s="4">
        <v>95</v>
      </c>
      <c r="L2753" s="4">
        <v>0</v>
      </c>
      <c r="M2753" s="4"/>
      <c r="N2753" s="4"/>
      <c r="O2753" s="4"/>
      <c r="P2753" s="12" t="str">
        <f t="array" ref="P2753">IF(O2753:O6796="","",_xlfn.XLOOKUP(O2753:O6796,'参照_官位'!A:A,'参照_官位'!B:B,""))</f>
      </c>
      <c r="Q2753" s="12" t="str">
        <f t="array" ref="Q2753">IF(A2753:A6796="","",IFERROR(_xlfn.XLOOKUP(A2753:A6796,castles_state!K:K,castles_state!D:D)&amp;"主",IFERROR(_xlfn.XLOOKUP(A2753:A6796,kunishuClan!D:D,kunishuClan!B:B)&amp;"当主","")))</f>
      </c>
    </row>
    <row r="2754" ht="15.75" customHeight="1">
      <c r="A2754" s="4">
        <v>1074022</v>
      </c>
      <c r="B2754" s="12" t="str">
        <f t="array" ref="B2754">IF(A2754:A6797="","",_xlfn.XLOOKUP(A2754:A6797,'参照_武将'!A:A,'参照_武将'!B:B,"見つかりません"))</f>
      </c>
      <c r="C2754" s="4" t="s">
        <v>347</v>
      </c>
      <c r="D2754" s="4">
        <v>74</v>
      </c>
      <c r="E2754" s="12" t="str">
        <f t="array" ref="E2754">IF(D2754:D6797="","",IFERROR(_xlfn.XLOOKUP(D2754:D6797,'参照_勢力'!A:A,'参照_勢力'!B:B),IFERROR(_xlfn.XLOOKUP(F2754:F6797,kunishuClan!A:A,kunishuClan!B:B),"浪人")))</f>
      </c>
      <c r="F2754" s="4">
        <v>0</v>
      </c>
      <c r="G2754" s="4">
        <v>228</v>
      </c>
      <c r="H2754" s="12" t="str">
        <f t="array" ref="H2754">IF(G2754:G6797="","",_xlfn.XLOOKUP(G2754:G6797,castles_state!A:A,castles_state!D:D,"見つかりません"))</f>
      </c>
      <c r="I2754" s="4"/>
      <c r="J2754" s="12" t="str">
        <f t="array" ref="J2754">IF(I2754:I6797="","",_xlfn.XLOOKUP(I2754:I6797,'参照_姫'!A:A,'参照_姫'!B:B,"見つかりません"))</f>
      </c>
      <c r="K2754" s="4">
        <v>95</v>
      </c>
      <c r="L2754" s="4">
        <v>0</v>
      </c>
      <c r="M2754" s="4"/>
      <c r="N2754" s="4"/>
      <c r="O2754" s="4"/>
      <c r="P2754" s="12" t="str">
        <f t="array" ref="P2754">IF(O2754:O6797="","",_xlfn.XLOOKUP(O2754:O6797,'参照_官位'!A:A,'参照_官位'!B:B,""))</f>
      </c>
      <c r="Q2754" s="12" t="str">
        <f t="array" ref="Q2754">IF(A2754:A6797="","",IFERROR(_xlfn.XLOOKUP(A2754:A6797,castles_state!K:K,castles_state!D:D)&amp;"主",IFERROR(_xlfn.XLOOKUP(A2754:A6797,kunishuClan!D:D,kunishuClan!B:B)&amp;"当主","")))</f>
      </c>
    </row>
    <row r="2755" ht="15.75" customHeight="1">
      <c r="A2755" s="4">
        <v>1074023</v>
      </c>
      <c r="B2755" s="12" t="str">
        <f t="array" ref="B2755">IF(A2755:A6798="","",_xlfn.XLOOKUP(A2755:A6798,'参照_武将'!A:A,'参照_武将'!B:B,"見つかりません"))</f>
      </c>
      <c r="C2755" s="4" t="s">
        <v>334</v>
      </c>
      <c r="D2755" s="4">
        <v>70</v>
      </c>
      <c r="E2755" s="12" t="str">
        <f t="array" ref="E2755">IF(D2755:D6798="","",IFERROR(_xlfn.XLOOKUP(D2755:D6798,'参照_勢力'!A:A,'参照_勢力'!B:B),IFERROR(_xlfn.XLOOKUP(F2755:F6798,kunishuClan!A:A,kunishuClan!B:B),"浪人")))</f>
      </c>
      <c r="F2755" s="4">
        <v>0</v>
      </c>
      <c r="G2755" s="4">
        <v>200</v>
      </c>
      <c r="H2755" s="12" t="str">
        <f t="array" ref="H2755">IF(G2755:G6798="","",_xlfn.XLOOKUP(G2755:G6798,castles_state!A:A,castles_state!D:D,"見つかりません"))</f>
      </c>
      <c r="I2755" s="4"/>
      <c r="J2755" s="12" t="str">
        <f t="array" ref="J2755">IF(I2755:I6798="","",_xlfn.XLOOKUP(I2755:I6798,'参照_姫'!A:A,'参照_姫'!B:B,"見つかりません"))</f>
      </c>
      <c r="K2755" s="4">
        <v>95</v>
      </c>
      <c r="L2755" s="4">
        <v>0</v>
      </c>
      <c r="M2755" s="4"/>
      <c r="N2755" s="4"/>
      <c r="O2755" s="4"/>
      <c r="P2755" s="12" t="str">
        <f t="array" ref="P2755">IF(O2755:O6798="","",_xlfn.XLOOKUP(O2755:O6798,'参照_官位'!A:A,'参照_官位'!B:B,""))</f>
      </c>
      <c r="Q2755" s="12" t="str">
        <f t="array" ref="Q2755">IF(A2755:A6798="","",IFERROR(_xlfn.XLOOKUP(A2755:A6798,castles_state!K:K,castles_state!D:D)&amp;"主",IFERROR(_xlfn.XLOOKUP(A2755:A6798,kunishuClan!D:D,kunishuClan!B:B)&amp;"当主","")))</f>
      </c>
    </row>
    <row r="2756" ht="15.75" customHeight="1">
      <c r="A2756" s="4">
        <v>1074024</v>
      </c>
      <c r="B2756" s="12" t="str">
        <f t="array" ref="B2756">IF(A2756:A6799="","",_xlfn.XLOOKUP(A2756:A6799,'参照_武将'!A:A,'参照_武将'!B:B,"見つかりません"))</f>
      </c>
      <c r="C2756" s="4" t="s">
        <v>347</v>
      </c>
      <c r="D2756" s="4">
        <v>74</v>
      </c>
      <c r="E2756" s="12" t="str">
        <f t="array" ref="E2756">IF(D2756:D6799="","",IFERROR(_xlfn.XLOOKUP(D2756:D6799,'参照_勢力'!A:A,'参照_勢力'!B:B),IFERROR(_xlfn.XLOOKUP(F2756:F6799,kunishuClan!A:A,kunishuClan!B:B),"浪人")))</f>
      </c>
      <c r="F2756" s="4">
        <v>0</v>
      </c>
      <c r="G2756" s="4">
        <v>228</v>
      </c>
      <c r="H2756" s="12" t="str">
        <f t="array" ref="H2756">IF(G2756:G6799="","",_xlfn.XLOOKUP(G2756:G6799,castles_state!A:A,castles_state!D:D,"見つかりません"))</f>
      </c>
      <c r="I2756" s="4"/>
      <c r="J2756" s="12" t="str">
        <f t="array" ref="J2756">IF(I2756:I6799="","",_xlfn.XLOOKUP(I2756:I6799,'参照_姫'!A:A,'参照_姫'!B:B,"見つかりません"))</f>
      </c>
      <c r="K2756" s="4">
        <v>95</v>
      </c>
      <c r="L2756" s="4">
        <v>0</v>
      </c>
      <c r="M2756" s="4"/>
      <c r="N2756" s="4"/>
      <c r="O2756" s="4"/>
      <c r="P2756" s="12" t="str">
        <f t="array" ref="P2756">IF(O2756:O6799="","",_xlfn.XLOOKUP(O2756:O6799,'参照_官位'!A:A,'参照_官位'!B:B,""))</f>
      </c>
      <c r="Q2756" s="12" t="str">
        <f t="array" ref="Q2756">IF(A2756:A6799="","",IFERROR(_xlfn.XLOOKUP(A2756:A6799,castles_state!K:K,castles_state!D:D)&amp;"主",IFERROR(_xlfn.XLOOKUP(A2756:A6799,kunishuClan!D:D,kunishuClan!B:B)&amp;"当主","")))</f>
      </c>
    </row>
    <row r="2757" ht="15.75" customHeight="1">
      <c r="A2757" s="4">
        <v>1074025</v>
      </c>
      <c r="B2757" s="12" t="str">
        <f t="array" ref="B2757">IF(A2757:A6800="","",_xlfn.XLOOKUP(A2757:A6800,'参照_武将'!A:A,'参照_武将'!B:B,"見つかりません"))</f>
      </c>
      <c r="C2757" s="4" t="s">
        <v>196</v>
      </c>
      <c r="D2757" s="4">
        <v>33</v>
      </c>
      <c r="E2757" s="12" t="str">
        <f t="array" ref="E2757">IF(D2757:D6800="","",IFERROR(_xlfn.XLOOKUP(D2757:D6800,'参照_勢力'!A:A,'参照_勢力'!B:B),IFERROR(_xlfn.XLOOKUP(F2757:F6800,kunishuClan!A:A,kunishuClan!B:B),"浪人")))</f>
      </c>
      <c r="F2757" s="4">
        <v>0</v>
      </c>
      <c r="G2757" s="4">
        <v>61</v>
      </c>
      <c r="H2757" s="12" t="str">
        <f t="array" ref="H2757">IF(G2757:G6800="","",_xlfn.XLOOKUP(G2757:G6800,castles_state!A:A,castles_state!D:D,"見つかりません"))</f>
      </c>
      <c r="I2757" s="4"/>
      <c r="J2757" s="12" t="str">
        <f t="array" ref="J2757">IF(I2757:I6800="","",_xlfn.XLOOKUP(I2757:I6800,'参照_姫'!A:A,'参照_姫'!B:B,"見つかりません"))</f>
      </c>
      <c r="K2757" s="4">
        <v>95</v>
      </c>
      <c r="L2757" s="4">
        <v>0</v>
      </c>
      <c r="M2757" s="4"/>
      <c r="N2757" s="4"/>
      <c r="O2757" s="4"/>
      <c r="P2757" s="12" t="str">
        <f t="array" ref="P2757">IF(O2757:O6800="","",_xlfn.XLOOKUP(O2757:O6800,'参照_官位'!A:A,'参照_官位'!B:B,""))</f>
      </c>
      <c r="Q2757" s="12" t="str">
        <f t="array" ref="Q2757">IF(A2757:A6800="","",IFERROR(_xlfn.XLOOKUP(A2757:A6800,castles_state!K:K,castles_state!D:D)&amp;"主",IFERROR(_xlfn.XLOOKUP(A2757:A6800,kunishuClan!D:D,kunishuClan!B:B)&amp;"当主","")))</f>
      </c>
    </row>
    <row r="2758" ht="15.75" customHeight="1">
      <c r="A2758" s="4">
        <v>1074026</v>
      </c>
      <c r="B2758" s="12" t="str">
        <f t="array" ref="B2758">IF(A2758:A6801="","",_xlfn.XLOOKUP(A2758:A6801,'参照_武将'!A:A,'参照_武将'!B:B,"見つかりません"))</f>
      </c>
      <c r="C2758" s="4" t="s">
        <v>347</v>
      </c>
      <c r="D2758" s="4">
        <v>74</v>
      </c>
      <c r="E2758" s="12" t="str">
        <f t="array" ref="E2758">IF(D2758:D6801="","",IFERROR(_xlfn.XLOOKUP(D2758:D6801,'参照_勢力'!A:A,'参照_勢力'!B:B),IFERROR(_xlfn.XLOOKUP(F2758:F6801,kunishuClan!A:A,kunishuClan!B:B),"浪人")))</f>
      </c>
      <c r="F2758" s="4">
        <v>0</v>
      </c>
      <c r="G2758" s="4">
        <v>228</v>
      </c>
      <c r="H2758" s="12" t="str">
        <f t="array" ref="H2758">IF(G2758:G6801="","",_xlfn.XLOOKUP(G2758:G6801,castles_state!A:A,castles_state!D:D,"見つかりません"))</f>
      </c>
      <c r="I2758" s="4"/>
      <c r="J2758" s="12" t="str">
        <f t="array" ref="J2758">IF(I2758:I6801="","",_xlfn.XLOOKUP(I2758:I6801,'参照_姫'!A:A,'参照_姫'!B:B,"見つかりません"))</f>
      </c>
      <c r="K2758" s="4">
        <v>95</v>
      </c>
      <c r="L2758" s="4">
        <v>0</v>
      </c>
      <c r="M2758" s="4" t="b">
        <v>1</v>
      </c>
      <c r="N2758" s="4"/>
      <c r="O2758" s="4"/>
      <c r="P2758" s="12" t="str">
        <f t="array" ref="P2758">IF(O2758:O6801="","",_xlfn.XLOOKUP(O2758:O6801,'参照_官位'!A:A,'参照_官位'!B:B,""))</f>
      </c>
      <c r="Q2758" s="12" t="str">
        <f t="array" ref="Q2758">IF(A2758:A6801="","",IFERROR(_xlfn.XLOOKUP(A2758:A6801,castles_state!K:K,castles_state!D:D)&amp;"主",IFERROR(_xlfn.XLOOKUP(A2758:A6801,kunishuClan!D:D,kunishuClan!B:B)&amp;"当主","")))</f>
      </c>
    </row>
    <row r="2759" ht="15.75" customHeight="1">
      <c r="A2759" s="4">
        <v>1074027</v>
      </c>
      <c r="B2759" s="12" t="str">
        <f t="array" ref="B2759">IF(A2759:A6802="","",_xlfn.XLOOKUP(A2759:A6802,'参照_武将'!A:A,'参照_武将'!B:B,"見つかりません"))</f>
      </c>
      <c r="C2759" s="4" t="s">
        <v>347</v>
      </c>
      <c r="D2759" s="4">
        <v>74</v>
      </c>
      <c r="E2759" s="12" t="str">
        <f t="array" ref="E2759">IF(D2759:D6802="","",IFERROR(_xlfn.XLOOKUP(D2759:D6802,'参照_勢力'!A:A,'参照_勢力'!B:B),IFERROR(_xlfn.XLOOKUP(F2759:F6802,kunishuClan!A:A,kunishuClan!B:B),"浪人")))</f>
      </c>
      <c r="F2759" s="4">
        <v>0</v>
      </c>
      <c r="G2759" s="4">
        <v>228</v>
      </c>
      <c r="H2759" s="12" t="str">
        <f t="array" ref="H2759">IF(G2759:G6802="","",_xlfn.XLOOKUP(G2759:G6802,castles_state!A:A,castles_state!D:D,"見つかりません"))</f>
      </c>
      <c r="I2759" s="4"/>
      <c r="J2759" s="12" t="str">
        <f t="array" ref="J2759">IF(I2759:I6802="","",_xlfn.XLOOKUP(I2759:I6802,'参照_姫'!A:A,'参照_姫'!B:B,"見つかりません"))</f>
      </c>
      <c r="K2759" s="4">
        <v>95</v>
      </c>
      <c r="L2759" s="4">
        <v>0</v>
      </c>
      <c r="M2759" s="4"/>
      <c r="N2759" s="4"/>
      <c r="O2759" s="4"/>
      <c r="P2759" s="12" t="str">
        <f t="array" ref="P2759">IF(O2759:O6802="","",_xlfn.XLOOKUP(O2759:O6802,'参照_官位'!A:A,'参照_官位'!B:B,""))</f>
      </c>
      <c r="Q2759" s="12" t="str">
        <f t="array" ref="Q2759">IF(A2759:A6802="","",IFERROR(_xlfn.XLOOKUP(A2759:A6802,castles_state!K:K,castles_state!D:D)&amp;"主",IFERROR(_xlfn.XLOOKUP(A2759:A6802,kunishuClan!D:D,kunishuClan!B:B)&amp;"当主","")))</f>
      </c>
    </row>
    <row r="2760" ht="15.75" customHeight="1">
      <c r="A2760" s="4">
        <v>1074028</v>
      </c>
      <c r="B2760" s="12" t="str">
        <f t="array" ref="B2760">IF(A2760:A6803="","",_xlfn.XLOOKUP(A2760:A6803,'参照_武将'!A:A,'参照_武将'!B:B,"見つかりません"))</f>
      </c>
      <c r="C2760" s="4" t="s">
        <v>347</v>
      </c>
      <c r="D2760" s="4">
        <v>74</v>
      </c>
      <c r="E2760" s="12" t="str">
        <f t="array" ref="E2760">IF(D2760:D6803="","",IFERROR(_xlfn.XLOOKUP(D2760:D6803,'参照_勢力'!A:A,'参照_勢力'!B:B),IFERROR(_xlfn.XLOOKUP(F2760:F6803,kunishuClan!A:A,kunishuClan!B:B),"浪人")))</f>
      </c>
      <c r="F2760" s="4">
        <v>0</v>
      </c>
      <c r="G2760" s="4">
        <v>228</v>
      </c>
      <c r="H2760" s="12" t="str">
        <f t="array" ref="H2760">IF(G2760:G6803="","",_xlfn.XLOOKUP(G2760:G6803,castles_state!A:A,castles_state!D:D,"見つかりません"))</f>
      </c>
      <c r="I2760" s="4"/>
      <c r="J2760" s="12" t="str">
        <f t="array" ref="J2760">IF(I2760:I6803="","",_xlfn.XLOOKUP(I2760:I6803,'参照_姫'!A:A,'参照_姫'!B:B,"見つかりません"))</f>
      </c>
      <c r="K2760" s="4">
        <v>95</v>
      </c>
      <c r="L2760" s="4">
        <v>0</v>
      </c>
      <c r="M2760" s="4"/>
      <c r="N2760" s="4"/>
      <c r="O2760" s="4"/>
      <c r="P2760" s="12" t="str">
        <f t="array" ref="P2760">IF(O2760:O6803="","",_xlfn.XLOOKUP(O2760:O6803,'参照_官位'!A:A,'参照_官位'!B:B,""))</f>
      </c>
      <c r="Q2760" s="12" t="str">
        <f t="array" ref="Q2760">IF(A2760:A6803="","",IFERROR(_xlfn.XLOOKUP(A2760:A6803,castles_state!K:K,castles_state!D:D)&amp;"主",IFERROR(_xlfn.XLOOKUP(A2760:A6803,kunishuClan!D:D,kunishuClan!B:B)&amp;"当主","")))</f>
      </c>
    </row>
    <row r="2761" ht="15.75" customHeight="1">
      <c r="A2761" s="4">
        <v>1074029</v>
      </c>
      <c r="B2761" s="12" t="str">
        <f t="array" ref="B2761">IF(A2761:A6804="","",_xlfn.XLOOKUP(A2761:A6804,'参照_武将'!A:A,'参照_武将'!B:B,"見つかりません"))</f>
      </c>
      <c r="C2761" s="4" t="s">
        <v>347</v>
      </c>
      <c r="D2761" s="4">
        <v>74</v>
      </c>
      <c r="E2761" s="12" t="str">
        <f t="array" ref="E2761">IF(D2761:D6804="","",IFERROR(_xlfn.XLOOKUP(D2761:D6804,'参照_勢力'!A:A,'参照_勢力'!B:B),IFERROR(_xlfn.XLOOKUP(F2761:F6804,kunishuClan!A:A,kunishuClan!B:B),"浪人")))</f>
      </c>
      <c r="F2761" s="4">
        <v>0</v>
      </c>
      <c r="G2761" s="4">
        <v>228</v>
      </c>
      <c r="H2761" s="12" t="str">
        <f t="array" ref="H2761">IF(G2761:G6804="","",_xlfn.XLOOKUP(G2761:G6804,castles_state!A:A,castles_state!D:D,"見つかりません"))</f>
      </c>
      <c r="I2761" s="4"/>
      <c r="J2761" s="12" t="str">
        <f t="array" ref="J2761">IF(I2761:I6804="","",_xlfn.XLOOKUP(I2761:I6804,'参照_姫'!A:A,'参照_姫'!B:B,"見つかりません"))</f>
      </c>
      <c r="K2761" s="4">
        <v>95</v>
      </c>
      <c r="L2761" s="4">
        <v>0</v>
      </c>
      <c r="M2761" s="4"/>
      <c r="N2761" s="4"/>
      <c r="O2761" s="4"/>
      <c r="P2761" s="12" t="str">
        <f t="array" ref="P2761">IF(O2761:O6804="","",_xlfn.XLOOKUP(O2761:O6804,'参照_官位'!A:A,'参照_官位'!B:B,""))</f>
      </c>
      <c r="Q2761" s="12" t="str">
        <f t="array" ref="Q2761">IF(A2761:A6804="","",IFERROR(_xlfn.XLOOKUP(A2761:A6804,castles_state!K:K,castles_state!D:D)&amp;"主",IFERROR(_xlfn.XLOOKUP(A2761:A6804,kunishuClan!D:D,kunishuClan!B:B)&amp;"当主","")))</f>
      </c>
    </row>
    <row r="2762" ht="15.75" customHeight="1">
      <c r="A2762" s="4">
        <v>1074030</v>
      </c>
      <c r="B2762" s="12" t="str">
        <f t="array" ref="B2762">IF(A2762:A6805="","",_xlfn.XLOOKUP(A2762:A6805,'参照_武将'!A:A,'参照_武将'!B:B,"見つかりません"))</f>
      </c>
      <c r="C2762" s="4" t="s">
        <v>347</v>
      </c>
      <c r="D2762" s="4">
        <v>74</v>
      </c>
      <c r="E2762" s="12" t="str">
        <f t="array" ref="E2762">IF(D2762:D6805="","",IFERROR(_xlfn.XLOOKUP(D2762:D6805,'参照_勢力'!A:A,'参照_勢力'!B:B),IFERROR(_xlfn.XLOOKUP(F2762:F6805,kunishuClan!A:A,kunishuClan!B:B),"浪人")))</f>
      </c>
      <c r="F2762" s="4">
        <v>0</v>
      </c>
      <c r="G2762" s="4">
        <v>228</v>
      </c>
      <c r="H2762" s="12" t="str">
        <f t="array" ref="H2762">IF(G2762:G6805="","",_xlfn.XLOOKUP(G2762:G6805,castles_state!A:A,castles_state!D:D,"見つかりません"))</f>
      </c>
      <c r="I2762" s="4"/>
      <c r="J2762" s="12" t="str">
        <f t="array" ref="J2762">IF(I2762:I6805="","",_xlfn.XLOOKUP(I2762:I6805,'参照_姫'!A:A,'参照_姫'!B:B,"見つかりません"))</f>
      </c>
      <c r="K2762" s="4">
        <v>95</v>
      </c>
      <c r="L2762" s="4">
        <v>0</v>
      </c>
      <c r="M2762" s="4"/>
      <c r="N2762" s="4"/>
      <c r="O2762" s="4"/>
      <c r="P2762" s="12" t="str">
        <f t="array" ref="P2762">IF(O2762:O6805="","",_xlfn.XLOOKUP(O2762:O6805,'参照_官位'!A:A,'参照_官位'!B:B,""))</f>
      </c>
      <c r="Q2762" s="12" t="str">
        <f t="array" ref="Q2762">IF(A2762:A6805="","",IFERROR(_xlfn.XLOOKUP(A2762:A6805,castles_state!K:K,castles_state!D:D)&amp;"主",IFERROR(_xlfn.XLOOKUP(A2762:A6805,kunishuClan!D:D,kunishuClan!B:B)&amp;"当主","")))</f>
      </c>
    </row>
    <row r="2763" ht="15.75" customHeight="1">
      <c r="A2763" s="4">
        <v>1074031</v>
      </c>
      <c r="B2763" s="12" t="str">
        <f t="array" ref="B2763">IF(A2763:A6806="","",_xlfn.XLOOKUP(A2763:A6806,'参照_武将'!A:A,'参照_武将'!B:B,"見つかりません"))</f>
      </c>
      <c r="C2763" s="4" t="s">
        <v>347</v>
      </c>
      <c r="D2763" s="4">
        <v>74</v>
      </c>
      <c r="E2763" s="12" t="str">
        <f t="array" ref="E2763">IF(D2763:D6806="","",IFERROR(_xlfn.XLOOKUP(D2763:D6806,'参照_勢力'!A:A,'参照_勢力'!B:B),IFERROR(_xlfn.XLOOKUP(F2763:F6806,kunishuClan!A:A,kunishuClan!B:B),"浪人")))</f>
      </c>
      <c r="F2763" s="4">
        <v>0</v>
      </c>
      <c r="G2763" s="4">
        <v>228</v>
      </c>
      <c r="H2763" s="12" t="str">
        <f t="array" ref="H2763">IF(G2763:G6806="","",_xlfn.XLOOKUP(G2763:G6806,castles_state!A:A,castles_state!D:D,"見つかりません"))</f>
      </c>
      <c r="I2763" s="4"/>
      <c r="J2763" s="12" t="str">
        <f t="array" ref="J2763">IF(I2763:I6806="","",_xlfn.XLOOKUP(I2763:I6806,'参照_姫'!A:A,'参照_姫'!B:B,"見つかりません"))</f>
      </c>
      <c r="K2763" s="4">
        <v>95</v>
      </c>
      <c r="L2763" s="4">
        <v>0</v>
      </c>
      <c r="M2763" s="4"/>
      <c r="N2763" s="4"/>
      <c r="O2763" s="4"/>
      <c r="P2763" s="12" t="str">
        <f t="array" ref="P2763">IF(O2763:O6806="","",_xlfn.XLOOKUP(O2763:O6806,'参照_官位'!A:A,'参照_官位'!B:B,""))</f>
      </c>
      <c r="Q2763" s="12" t="str">
        <f t="array" ref="Q2763">IF(A2763:A6806="","",IFERROR(_xlfn.XLOOKUP(A2763:A6806,castles_state!K:K,castles_state!D:D)&amp;"主",IFERROR(_xlfn.XLOOKUP(A2763:A6806,kunishuClan!D:D,kunishuClan!B:B)&amp;"当主","")))</f>
      </c>
    </row>
    <row r="2764" ht="15.75" customHeight="1">
      <c r="A2764" s="4">
        <v>1074032</v>
      </c>
      <c r="B2764" s="12" t="str">
        <f t="array" ref="B2764">IF(A2764:A6807="","",_xlfn.XLOOKUP(A2764:A6807,'参照_武将'!A:A,'参照_武将'!B:B,"見つかりません"))</f>
      </c>
      <c r="C2764" s="4" t="s">
        <v>347</v>
      </c>
      <c r="D2764" s="4">
        <v>74</v>
      </c>
      <c r="E2764" s="12" t="str">
        <f t="array" ref="E2764">IF(D2764:D6807="","",IFERROR(_xlfn.XLOOKUP(D2764:D6807,'参照_勢力'!A:A,'参照_勢力'!B:B),IFERROR(_xlfn.XLOOKUP(F2764:F6807,kunishuClan!A:A,kunishuClan!B:B),"浪人")))</f>
      </c>
      <c r="F2764" s="4">
        <v>0</v>
      </c>
      <c r="G2764" s="4">
        <v>214</v>
      </c>
      <c r="H2764" s="12" t="str">
        <f t="array" ref="H2764">IF(G2764:G6807="","",_xlfn.XLOOKUP(G2764:G6807,castles_state!A:A,castles_state!D:D,"見つかりません"))</f>
      </c>
      <c r="I2764" s="4"/>
      <c r="J2764" s="12" t="str">
        <f t="array" ref="J2764">IF(I2764:I6807="","",_xlfn.XLOOKUP(I2764:I6807,'参照_姫'!A:A,'参照_姫'!B:B,"見つかりません"))</f>
      </c>
      <c r="K2764" s="4">
        <v>95</v>
      </c>
      <c r="L2764" s="4">
        <v>0</v>
      </c>
      <c r="M2764" s="4"/>
      <c r="N2764" s="4"/>
      <c r="O2764" s="4"/>
      <c r="P2764" s="12" t="str">
        <f t="array" ref="P2764">IF(O2764:O6807="","",_xlfn.XLOOKUP(O2764:O6807,'参照_官位'!A:A,'参照_官位'!B:B,""))</f>
      </c>
      <c r="Q2764" s="12" t="str">
        <f t="array" ref="Q2764">IF(A2764:A6807="","",IFERROR(_xlfn.XLOOKUP(A2764:A6807,castles_state!K:K,castles_state!D:D)&amp;"主",IFERROR(_xlfn.XLOOKUP(A2764:A6807,kunishuClan!D:D,kunishuClan!B:B)&amp;"当主","")))</f>
      </c>
    </row>
    <row r="2765" ht="15.75" customHeight="1">
      <c r="A2765" s="4">
        <v>1074033</v>
      </c>
      <c r="B2765" s="12" t="str">
        <f t="array" ref="B2765">IF(A2765:A6808="","",_xlfn.XLOOKUP(A2765:A6808,'参照_武将'!A:A,'参照_武将'!B:B,"見つかりません"))</f>
      </c>
      <c r="C2765" s="4" t="s">
        <v>347</v>
      </c>
      <c r="D2765" s="4">
        <v>74</v>
      </c>
      <c r="E2765" s="12" t="str">
        <f t="array" ref="E2765">IF(D2765:D6808="","",IFERROR(_xlfn.XLOOKUP(D2765:D6808,'参照_勢力'!A:A,'参照_勢力'!B:B),IFERROR(_xlfn.XLOOKUP(F2765:F6808,kunishuClan!A:A,kunishuClan!B:B),"浪人")))</f>
      </c>
      <c r="F2765" s="4">
        <v>0</v>
      </c>
      <c r="G2765" s="4">
        <v>214</v>
      </c>
      <c r="H2765" s="12" t="str">
        <f t="array" ref="H2765">IF(G2765:G6808="","",_xlfn.XLOOKUP(G2765:G6808,castles_state!A:A,castles_state!D:D,"見つかりません"))</f>
      </c>
      <c r="I2765" s="4"/>
      <c r="J2765" s="12" t="str">
        <f t="array" ref="J2765">IF(I2765:I6808="","",_xlfn.XLOOKUP(I2765:I6808,'参照_姫'!A:A,'参照_姫'!B:B,"見つかりません"))</f>
      </c>
      <c r="K2765" s="4">
        <v>95</v>
      </c>
      <c r="L2765" s="4">
        <v>0</v>
      </c>
      <c r="M2765" s="4"/>
      <c r="N2765" s="4"/>
      <c r="O2765" s="4"/>
      <c r="P2765" s="12" t="str">
        <f t="array" ref="P2765">IF(O2765:O6808="","",_xlfn.XLOOKUP(O2765:O6808,'参照_官位'!A:A,'参照_官位'!B:B,""))</f>
      </c>
      <c r="Q2765" s="12" t="str">
        <f t="array" ref="Q2765">IF(A2765:A6808="","",IFERROR(_xlfn.XLOOKUP(A2765:A6808,castles_state!K:K,castles_state!D:D)&amp;"主",IFERROR(_xlfn.XLOOKUP(A2765:A6808,kunishuClan!D:D,kunishuClan!B:B)&amp;"当主","")))</f>
      </c>
    </row>
    <row r="2766" ht="15.75" customHeight="1">
      <c r="A2766" s="4">
        <v>1074034</v>
      </c>
      <c r="B2766" s="12" t="str">
        <f t="array" ref="B2766">IF(A2766:A6809="","",_xlfn.XLOOKUP(A2766:A6809,'参照_武将'!A:A,'参照_武将'!B:B,"見つかりません"))</f>
      </c>
      <c r="C2766" s="4" t="s">
        <v>347</v>
      </c>
      <c r="D2766" s="4">
        <v>74</v>
      </c>
      <c r="E2766" s="12" t="str">
        <f t="array" ref="E2766">IF(D2766:D6809="","",IFERROR(_xlfn.XLOOKUP(D2766:D6809,'参照_勢力'!A:A,'参照_勢力'!B:B),IFERROR(_xlfn.XLOOKUP(F2766:F6809,kunishuClan!A:A,kunishuClan!B:B),"浪人")))</f>
      </c>
      <c r="F2766" s="4">
        <v>0</v>
      </c>
      <c r="G2766" s="4">
        <v>214</v>
      </c>
      <c r="H2766" s="12" t="str">
        <f t="array" ref="H2766">IF(G2766:G6809="","",_xlfn.XLOOKUP(G2766:G6809,castles_state!A:A,castles_state!D:D,"見つかりません"))</f>
      </c>
      <c r="I2766" s="4"/>
      <c r="J2766" s="12" t="str">
        <f t="array" ref="J2766">IF(I2766:I6809="","",_xlfn.XLOOKUP(I2766:I6809,'参照_姫'!A:A,'参照_姫'!B:B,"見つかりません"))</f>
      </c>
      <c r="K2766" s="4">
        <v>95</v>
      </c>
      <c r="L2766" s="4">
        <v>0</v>
      </c>
      <c r="M2766" s="4"/>
      <c r="N2766" s="4"/>
      <c r="O2766" s="4"/>
      <c r="P2766" s="12" t="str">
        <f t="array" ref="P2766">IF(O2766:O6809="","",_xlfn.XLOOKUP(O2766:O6809,'参照_官位'!A:A,'参照_官位'!B:B,""))</f>
      </c>
      <c r="Q2766" s="12" t="str">
        <f t="array" ref="Q2766">IF(A2766:A6809="","",IFERROR(_xlfn.XLOOKUP(A2766:A6809,castles_state!K:K,castles_state!D:D)&amp;"主",IFERROR(_xlfn.XLOOKUP(A2766:A6809,kunishuClan!D:D,kunishuClan!B:B)&amp;"当主","")))</f>
      </c>
    </row>
    <row r="2767" ht="15.75" customHeight="1">
      <c r="A2767" s="4">
        <v>1074035</v>
      </c>
      <c r="B2767" s="12" t="str">
        <f t="array" ref="B2767">IF(A2767:A6810="","",_xlfn.XLOOKUP(A2767:A6810,'参照_武将'!A:A,'参照_武将'!B:B,"見つかりません"))</f>
      </c>
      <c r="C2767" s="4" t="s">
        <v>347</v>
      </c>
      <c r="D2767" s="4">
        <v>74</v>
      </c>
      <c r="E2767" s="12" t="str">
        <f t="array" ref="E2767">IF(D2767:D6810="","",IFERROR(_xlfn.XLOOKUP(D2767:D6810,'参照_勢力'!A:A,'参照_勢力'!B:B),IFERROR(_xlfn.XLOOKUP(F2767:F6810,kunishuClan!A:A,kunishuClan!B:B),"浪人")))</f>
      </c>
      <c r="F2767" s="4">
        <v>0</v>
      </c>
      <c r="G2767" s="4">
        <v>214</v>
      </c>
      <c r="H2767" s="12" t="str">
        <f t="array" ref="H2767">IF(G2767:G6810="","",_xlfn.XLOOKUP(G2767:G6810,castles_state!A:A,castles_state!D:D,"見つかりません"))</f>
      </c>
      <c r="I2767" s="4"/>
      <c r="J2767" s="12" t="str">
        <f t="array" ref="J2767">IF(I2767:I6810="","",_xlfn.XLOOKUP(I2767:I6810,'参照_姫'!A:A,'参照_姫'!B:B,"見つかりません"))</f>
      </c>
      <c r="K2767" s="4">
        <v>95</v>
      </c>
      <c r="L2767" s="4">
        <v>0</v>
      </c>
      <c r="M2767" s="4"/>
      <c r="N2767" s="4"/>
      <c r="O2767" s="4"/>
      <c r="P2767" s="12" t="str">
        <f t="array" ref="P2767">IF(O2767:O6810="","",_xlfn.XLOOKUP(O2767:O6810,'参照_官位'!A:A,'参照_官位'!B:B,""))</f>
      </c>
      <c r="Q2767" s="12" t="str">
        <f t="array" ref="Q2767">IF(A2767:A6810="","",IFERROR(_xlfn.XLOOKUP(A2767:A6810,castles_state!K:K,castles_state!D:D)&amp;"主",IFERROR(_xlfn.XLOOKUP(A2767:A6810,kunishuClan!D:D,kunishuClan!B:B)&amp;"当主","")))</f>
      </c>
    </row>
    <row r="2768" ht="15.75" customHeight="1">
      <c r="A2768" s="4">
        <v>1074036</v>
      </c>
      <c r="B2768" s="12" t="str">
        <f t="array" ref="B2768">IF(A2768:A6811="","",_xlfn.XLOOKUP(A2768:A6811,'参照_武将'!A:A,'参照_武将'!B:B,"見つかりません"))</f>
      </c>
      <c r="C2768" s="4" t="s">
        <v>347</v>
      </c>
      <c r="D2768" s="4">
        <v>74</v>
      </c>
      <c r="E2768" s="12" t="str">
        <f t="array" ref="E2768">IF(D2768:D6811="","",IFERROR(_xlfn.XLOOKUP(D2768:D6811,'参照_勢力'!A:A,'参照_勢力'!B:B),IFERROR(_xlfn.XLOOKUP(F2768:F6811,kunishuClan!A:A,kunishuClan!B:B),"浪人")))</f>
      </c>
      <c r="F2768" s="4">
        <v>0</v>
      </c>
      <c r="G2768" s="4">
        <v>228</v>
      </c>
      <c r="H2768" s="12" t="str">
        <f t="array" ref="H2768">IF(G2768:G6811="","",_xlfn.XLOOKUP(G2768:G6811,castles_state!A:A,castles_state!D:D,"見つかりません"))</f>
      </c>
      <c r="I2768" s="4"/>
      <c r="J2768" s="12" t="str">
        <f t="array" ref="J2768">IF(I2768:I6811="","",_xlfn.XLOOKUP(I2768:I6811,'参照_姫'!A:A,'参照_姫'!B:B,"見つかりません"))</f>
      </c>
      <c r="K2768" s="4">
        <v>95</v>
      </c>
      <c r="L2768" s="4">
        <v>0</v>
      </c>
      <c r="M2768" s="4"/>
      <c r="N2768" s="4"/>
      <c r="O2768" s="4"/>
      <c r="P2768" s="12" t="str">
        <f t="array" ref="P2768">IF(O2768:O6811="","",_xlfn.XLOOKUP(O2768:O6811,'参照_官位'!A:A,'参照_官位'!B:B,""))</f>
      </c>
      <c r="Q2768" s="12" t="str">
        <f t="array" ref="Q2768">IF(A2768:A6811="","",IFERROR(_xlfn.XLOOKUP(A2768:A6811,castles_state!K:K,castles_state!D:D)&amp;"主",IFERROR(_xlfn.XLOOKUP(A2768:A6811,kunishuClan!D:D,kunishuClan!B:B)&amp;"当主","")))</f>
      </c>
    </row>
    <row r="2769" ht="15.75" customHeight="1">
      <c r="A2769" s="4">
        <v>1074037</v>
      </c>
      <c r="B2769" s="12" t="str">
        <f t="array" ref="B2769">IF(A2769:A6812="","",_xlfn.XLOOKUP(A2769:A6812,'参照_武将'!A:A,'参照_武将'!B:B,"見つかりません"))</f>
      </c>
      <c r="C2769" s="4" t="s">
        <v>347</v>
      </c>
      <c r="D2769" s="4">
        <v>74</v>
      </c>
      <c r="E2769" s="12" t="str">
        <f t="array" ref="E2769">IF(D2769:D6812="","",IFERROR(_xlfn.XLOOKUP(D2769:D6812,'参照_勢力'!A:A,'参照_勢力'!B:B),IFERROR(_xlfn.XLOOKUP(F2769:F6812,kunishuClan!A:A,kunishuClan!B:B),"浪人")))</f>
      </c>
      <c r="F2769" s="4">
        <v>0</v>
      </c>
      <c r="G2769" s="4">
        <v>227</v>
      </c>
      <c r="H2769" s="12" t="str">
        <f t="array" ref="H2769">IF(G2769:G6812="","",_xlfn.XLOOKUP(G2769:G6812,castles_state!A:A,castles_state!D:D,"見つかりません"))</f>
      </c>
      <c r="I2769" s="4"/>
      <c r="J2769" s="12" t="str">
        <f t="array" ref="J2769">IF(I2769:I6812="","",_xlfn.XLOOKUP(I2769:I6812,'参照_姫'!A:A,'参照_姫'!B:B,"見つかりません"))</f>
      </c>
      <c r="K2769" s="4">
        <v>95</v>
      </c>
      <c r="L2769" s="4">
        <v>0</v>
      </c>
      <c r="M2769" s="4"/>
      <c r="N2769" s="4"/>
      <c r="O2769" s="4"/>
      <c r="P2769" s="12" t="str">
        <f t="array" ref="P2769">IF(O2769:O6812="","",_xlfn.XLOOKUP(O2769:O6812,'参照_官位'!A:A,'参照_官位'!B:B,""))</f>
      </c>
      <c r="Q2769" s="12" t="str">
        <f t="array" ref="Q2769">IF(A2769:A6812="","",IFERROR(_xlfn.XLOOKUP(A2769:A6812,castles_state!K:K,castles_state!D:D)&amp;"主",IFERROR(_xlfn.XLOOKUP(A2769:A6812,kunishuClan!D:D,kunishuClan!B:B)&amp;"当主","")))</f>
      </c>
    </row>
    <row r="2770" ht="15.75" customHeight="1">
      <c r="A2770" s="4">
        <v>1074038</v>
      </c>
      <c r="B2770" s="12" t="str">
        <f t="array" ref="B2770">IF(A2770:A6813="","",_xlfn.XLOOKUP(A2770:A6813,'参照_武将'!A:A,'参照_武将'!B:B,"見つかりません"))</f>
      </c>
      <c r="C2770" s="4" t="s">
        <v>347</v>
      </c>
      <c r="D2770" s="4">
        <v>74</v>
      </c>
      <c r="E2770" s="12" t="str">
        <f t="array" ref="E2770">IF(D2770:D6813="","",IFERROR(_xlfn.XLOOKUP(D2770:D6813,'参照_勢力'!A:A,'参照_勢力'!B:B),IFERROR(_xlfn.XLOOKUP(F2770:F6813,kunishuClan!A:A,kunishuClan!B:B),"浪人")))</f>
      </c>
      <c r="F2770" s="4">
        <v>0</v>
      </c>
      <c r="G2770" s="4">
        <v>227</v>
      </c>
      <c r="H2770" s="12" t="str">
        <f t="array" ref="H2770">IF(G2770:G6813="","",_xlfn.XLOOKUP(G2770:G6813,castles_state!A:A,castles_state!D:D,"見つかりません"))</f>
      </c>
      <c r="I2770" s="4"/>
      <c r="J2770" s="12" t="str">
        <f t="array" ref="J2770">IF(I2770:I6813="","",_xlfn.XLOOKUP(I2770:I6813,'参照_姫'!A:A,'参照_姫'!B:B,"見つかりません"))</f>
      </c>
      <c r="K2770" s="4">
        <v>95</v>
      </c>
      <c r="L2770" s="4">
        <v>0</v>
      </c>
      <c r="M2770" s="4"/>
      <c r="N2770" s="4"/>
      <c r="O2770" s="4"/>
      <c r="P2770" s="12" t="str">
        <f t="array" ref="P2770">IF(O2770:O6813="","",_xlfn.XLOOKUP(O2770:O6813,'参照_官位'!A:A,'参照_官位'!B:B,""))</f>
      </c>
      <c r="Q2770" s="12" t="str">
        <f t="array" ref="Q2770">IF(A2770:A6813="","",IFERROR(_xlfn.XLOOKUP(A2770:A6813,castles_state!K:K,castles_state!D:D)&amp;"主",IFERROR(_xlfn.XLOOKUP(A2770:A6813,kunishuClan!D:D,kunishuClan!B:B)&amp;"当主","")))</f>
      </c>
    </row>
    <row r="2771" ht="15.75" customHeight="1">
      <c r="A2771" s="4">
        <v>1074039</v>
      </c>
      <c r="B2771" s="12" t="str">
        <f t="array" ref="B2771">IF(A2771:A6814="","",_xlfn.XLOOKUP(A2771:A6814,'参照_武将'!A:A,'参照_武将'!B:B,"見つかりません"))</f>
      </c>
      <c r="C2771" s="4" t="s">
        <v>347</v>
      </c>
      <c r="D2771" s="4">
        <v>74</v>
      </c>
      <c r="E2771" s="12" t="str">
        <f t="array" ref="E2771">IF(D2771:D6814="","",IFERROR(_xlfn.XLOOKUP(D2771:D6814,'参照_勢力'!A:A,'参照_勢力'!B:B),IFERROR(_xlfn.XLOOKUP(F2771:F6814,kunishuClan!A:A,kunishuClan!B:B),"浪人")))</f>
      </c>
      <c r="F2771" s="4">
        <v>0</v>
      </c>
      <c r="G2771" s="4">
        <v>227</v>
      </c>
      <c r="H2771" s="12" t="str">
        <f t="array" ref="H2771">IF(G2771:G6814="","",_xlfn.XLOOKUP(G2771:G6814,castles_state!A:A,castles_state!D:D,"見つかりません"))</f>
      </c>
      <c r="I2771" s="4"/>
      <c r="J2771" s="12" t="str">
        <f t="array" ref="J2771">IF(I2771:I6814="","",_xlfn.XLOOKUP(I2771:I6814,'参照_姫'!A:A,'参照_姫'!B:B,"見つかりません"))</f>
      </c>
      <c r="K2771" s="4">
        <v>95</v>
      </c>
      <c r="L2771" s="4">
        <v>0</v>
      </c>
      <c r="M2771" s="4"/>
      <c r="N2771" s="4"/>
      <c r="O2771" s="4"/>
      <c r="P2771" s="12" t="str">
        <f t="array" ref="P2771">IF(O2771:O6814="","",_xlfn.XLOOKUP(O2771:O6814,'参照_官位'!A:A,'参照_官位'!B:B,""))</f>
      </c>
      <c r="Q2771" s="12" t="str">
        <f t="array" ref="Q2771">IF(A2771:A6814="","",IFERROR(_xlfn.XLOOKUP(A2771:A6814,castles_state!K:K,castles_state!D:D)&amp;"主",IFERROR(_xlfn.XLOOKUP(A2771:A6814,kunishuClan!D:D,kunishuClan!B:B)&amp;"当主","")))</f>
      </c>
    </row>
    <row r="2772" ht="15.75" customHeight="1">
      <c r="A2772" s="4">
        <v>1074040</v>
      </c>
      <c r="B2772" s="12" t="str">
        <f t="array" ref="B2772">IF(A2772:A6815="","",_xlfn.XLOOKUP(A2772:A6815,'参照_武将'!A:A,'参照_武将'!B:B,"見つかりません"))</f>
      </c>
      <c r="C2772" s="4" t="s">
        <v>347</v>
      </c>
      <c r="D2772" s="4">
        <v>74</v>
      </c>
      <c r="E2772" s="12" t="str">
        <f t="array" ref="E2772">IF(D2772:D6815="","",IFERROR(_xlfn.XLOOKUP(D2772:D6815,'参照_勢力'!A:A,'参照_勢力'!B:B),IFERROR(_xlfn.XLOOKUP(F2772:F6815,kunishuClan!A:A,kunishuClan!B:B),"浪人")))</f>
      </c>
      <c r="F2772" s="4">
        <v>0</v>
      </c>
      <c r="G2772" s="4">
        <v>227</v>
      </c>
      <c r="H2772" s="12" t="str">
        <f t="array" ref="H2772">IF(G2772:G6815="","",_xlfn.XLOOKUP(G2772:G6815,castles_state!A:A,castles_state!D:D,"見つかりません"))</f>
      </c>
      <c r="I2772" s="4"/>
      <c r="J2772" s="12" t="str">
        <f t="array" ref="J2772">IF(I2772:I6815="","",_xlfn.XLOOKUP(I2772:I6815,'参照_姫'!A:A,'参照_姫'!B:B,"見つかりません"))</f>
      </c>
      <c r="K2772" s="4">
        <v>95</v>
      </c>
      <c r="L2772" s="4">
        <v>500</v>
      </c>
      <c r="M2772" s="4"/>
      <c r="N2772" s="4"/>
      <c r="O2772" s="4"/>
      <c r="P2772" s="12" t="str">
        <f t="array" ref="P2772">IF(O2772:O6815="","",_xlfn.XLOOKUP(O2772:O6815,'参照_官位'!A:A,'参照_官位'!B:B,""))</f>
      </c>
      <c r="Q2772" s="12" t="str">
        <f t="array" ref="Q2772">IF(A2772:A6815="","",IFERROR(_xlfn.XLOOKUP(A2772:A6815,castles_state!K:K,castles_state!D:D)&amp;"主",IFERROR(_xlfn.XLOOKUP(A2772:A6815,kunishuClan!D:D,kunishuClan!B:B)&amp;"当主","")))</f>
      </c>
    </row>
    <row r="2773" ht="15.75" customHeight="1">
      <c r="A2773" s="4">
        <v>1074041</v>
      </c>
      <c r="B2773" s="12" t="str">
        <f t="array" ref="B2773">IF(A2773:A6816="","",_xlfn.XLOOKUP(A2773:A6816,'参照_武将'!A:A,'参照_武将'!B:B,"見つかりません"))</f>
      </c>
      <c r="C2773" s="4" t="s">
        <v>347</v>
      </c>
      <c r="D2773" s="4">
        <v>74</v>
      </c>
      <c r="E2773" s="12" t="str">
        <f t="array" ref="E2773">IF(D2773:D6816="","",IFERROR(_xlfn.XLOOKUP(D2773:D6816,'参照_勢力'!A:A,'参照_勢力'!B:B),IFERROR(_xlfn.XLOOKUP(F2773:F6816,kunishuClan!A:A,kunishuClan!B:B),"浪人")))</f>
      </c>
      <c r="F2773" s="4">
        <v>0</v>
      </c>
      <c r="G2773" s="4">
        <v>227</v>
      </c>
      <c r="H2773" s="12" t="str">
        <f t="array" ref="H2773">IF(G2773:G6816="","",_xlfn.XLOOKUP(G2773:G6816,castles_state!A:A,castles_state!D:D,"見つかりません"))</f>
      </c>
      <c r="I2773" s="4"/>
      <c r="J2773" s="12" t="str">
        <f t="array" ref="J2773">IF(I2773:I6816="","",_xlfn.XLOOKUP(I2773:I6816,'参照_姫'!A:A,'参照_姫'!B:B,"見つかりません"))</f>
      </c>
      <c r="K2773" s="4">
        <v>95</v>
      </c>
      <c r="L2773" s="4">
        <v>0</v>
      </c>
      <c r="M2773" s="4"/>
      <c r="N2773" s="4"/>
      <c r="O2773" s="4"/>
      <c r="P2773" s="12" t="str">
        <f t="array" ref="P2773">IF(O2773:O6816="","",_xlfn.XLOOKUP(O2773:O6816,'参照_官位'!A:A,'参照_官位'!B:B,""))</f>
      </c>
      <c r="Q2773" s="12" t="str">
        <f t="array" ref="Q2773">IF(A2773:A6816="","",IFERROR(_xlfn.XLOOKUP(A2773:A6816,castles_state!K:K,castles_state!D:D)&amp;"主",IFERROR(_xlfn.XLOOKUP(A2773:A6816,kunishuClan!D:D,kunishuClan!B:B)&amp;"当主","")))</f>
      </c>
    </row>
    <row r="2774" ht="15.75" customHeight="1">
      <c r="A2774" s="4">
        <v>1074042</v>
      </c>
      <c r="B2774" s="12" t="str">
        <f t="array" ref="B2774">IF(A2774:A6817="","",_xlfn.XLOOKUP(A2774:A6817,'参照_武将'!A:A,'参照_武将'!B:B,"見つかりません"))</f>
      </c>
      <c r="C2774" s="4" t="s">
        <v>347</v>
      </c>
      <c r="D2774" s="4">
        <v>74</v>
      </c>
      <c r="E2774" s="12" t="str">
        <f t="array" ref="E2774">IF(D2774:D6817="","",IFERROR(_xlfn.XLOOKUP(D2774:D6817,'参照_勢力'!A:A,'参照_勢力'!B:B),IFERROR(_xlfn.XLOOKUP(F2774:F6817,kunishuClan!A:A,kunishuClan!B:B),"浪人")))</f>
      </c>
      <c r="F2774" s="4">
        <v>0</v>
      </c>
      <c r="G2774" s="4">
        <v>227</v>
      </c>
      <c r="H2774" s="12" t="str">
        <f t="array" ref="H2774">IF(G2774:G6817="","",_xlfn.XLOOKUP(G2774:G6817,castles_state!A:A,castles_state!D:D,"見つかりません"))</f>
      </c>
      <c r="I2774" s="4"/>
      <c r="J2774" s="12" t="str">
        <f t="array" ref="J2774">IF(I2774:I6817="","",_xlfn.XLOOKUP(I2774:I6817,'参照_姫'!A:A,'参照_姫'!B:B,"見つかりません"))</f>
      </c>
      <c r="K2774" s="4">
        <v>95</v>
      </c>
      <c r="L2774" s="4">
        <v>0</v>
      </c>
      <c r="M2774" s="4"/>
      <c r="N2774" s="4"/>
      <c r="O2774" s="4"/>
      <c r="P2774" s="12" t="str">
        <f t="array" ref="P2774">IF(O2774:O6817="","",_xlfn.XLOOKUP(O2774:O6817,'参照_官位'!A:A,'参照_官位'!B:B,""))</f>
      </c>
      <c r="Q2774" s="12" t="str">
        <f t="array" ref="Q2774">IF(A2774:A6817="","",IFERROR(_xlfn.XLOOKUP(A2774:A6817,castles_state!K:K,castles_state!D:D)&amp;"主",IFERROR(_xlfn.XLOOKUP(A2774:A6817,kunishuClan!D:D,kunishuClan!B:B)&amp;"当主","")))</f>
      </c>
    </row>
    <row r="2775" ht="15.75" customHeight="1">
      <c r="A2775" s="4">
        <v>1074043</v>
      </c>
      <c r="B2775" s="12" t="str">
        <f t="array" ref="B2775">IF(A2775:A6818="","",_xlfn.XLOOKUP(A2775:A6818,'参照_武将'!A:A,'参照_武将'!B:B,"見つかりません"))</f>
      </c>
      <c r="C2775" s="4" t="s">
        <v>347</v>
      </c>
      <c r="D2775" s="4">
        <v>74</v>
      </c>
      <c r="E2775" s="12" t="str">
        <f t="array" ref="E2775">IF(D2775:D6818="","",IFERROR(_xlfn.XLOOKUP(D2775:D6818,'参照_勢力'!A:A,'参照_勢力'!B:B),IFERROR(_xlfn.XLOOKUP(F2775:F6818,kunishuClan!A:A,kunishuClan!B:B),"浪人")))</f>
      </c>
      <c r="F2775" s="4">
        <v>0</v>
      </c>
      <c r="G2775" s="4">
        <v>227</v>
      </c>
      <c r="H2775" s="12" t="str">
        <f t="array" ref="H2775">IF(G2775:G6818="","",_xlfn.XLOOKUP(G2775:G6818,castles_state!A:A,castles_state!D:D,"見つかりません"))</f>
      </c>
      <c r="I2775" s="4"/>
      <c r="J2775" s="12" t="str">
        <f t="array" ref="J2775">IF(I2775:I6818="","",_xlfn.XLOOKUP(I2775:I6818,'参照_姫'!A:A,'参照_姫'!B:B,"見つかりません"))</f>
      </c>
      <c r="K2775" s="4">
        <v>95</v>
      </c>
      <c r="L2775" s="4">
        <v>0</v>
      </c>
      <c r="M2775" s="4"/>
      <c r="N2775" s="4"/>
      <c r="O2775" s="4"/>
      <c r="P2775" s="12" t="str">
        <f t="array" ref="P2775">IF(O2775:O6818="","",_xlfn.XLOOKUP(O2775:O6818,'参照_官位'!A:A,'参照_官位'!B:B,""))</f>
      </c>
      <c r="Q2775" s="12" t="str">
        <f t="array" ref="Q2775">IF(A2775:A6818="","",IFERROR(_xlfn.XLOOKUP(A2775:A6818,castles_state!K:K,castles_state!D:D)&amp;"主",IFERROR(_xlfn.XLOOKUP(A2775:A6818,kunishuClan!D:D,kunishuClan!B:B)&amp;"当主","")))</f>
      </c>
    </row>
    <row r="2776" ht="15.75" customHeight="1">
      <c r="A2776" s="4">
        <v>1074044</v>
      </c>
      <c r="B2776" s="12" t="str">
        <f t="array" ref="B2776">IF(A2776:A6819="","",_xlfn.XLOOKUP(A2776:A6819,'参照_武将'!A:A,'参照_武将'!B:B,"見つかりません"))</f>
      </c>
      <c r="C2776" s="4" t="s">
        <v>347</v>
      </c>
      <c r="D2776" s="4">
        <v>74</v>
      </c>
      <c r="E2776" s="12" t="str">
        <f t="array" ref="E2776">IF(D2776:D6819="","",IFERROR(_xlfn.XLOOKUP(D2776:D6819,'参照_勢力'!A:A,'参照_勢力'!B:B),IFERROR(_xlfn.XLOOKUP(F2776:F6819,kunishuClan!A:A,kunishuClan!B:B),"浪人")))</f>
      </c>
      <c r="F2776" s="4">
        <v>0</v>
      </c>
      <c r="G2776" s="4">
        <v>228</v>
      </c>
      <c r="H2776" s="12" t="str">
        <f t="array" ref="H2776">IF(G2776:G6819="","",_xlfn.XLOOKUP(G2776:G6819,castles_state!A:A,castles_state!D:D,"見つかりません"))</f>
      </c>
      <c r="I2776" s="4"/>
      <c r="J2776" s="12" t="str">
        <f t="array" ref="J2776">IF(I2776:I6819="","",_xlfn.XLOOKUP(I2776:I6819,'参照_姫'!A:A,'参照_姫'!B:B,"見つかりません"))</f>
      </c>
      <c r="K2776" s="4">
        <v>95</v>
      </c>
      <c r="L2776" s="4">
        <v>0</v>
      </c>
      <c r="M2776" s="4"/>
      <c r="N2776" s="4"/>
      <c r="O2776" s="4"/>
      <c r="P2776" s="12" t="str">
        <f t="array" ref="P2776">IF(O2776:O6819="","",_xlfn.XLOOKUP(O2776:O6819,'参照_官位'!A:A,'参照_官位'!B:B,""))</f>
      </c>
      <c r="Q2776" s="12" t="str">
        <f t="array" ref="Q2776">IF(A2776:A6819="","",IFERROR(_xlfn.XLOOKUP(A2776:A6819,castles_state!K:K,castles_state!D:D)&amp;"主",IFERROR(_xlfn.XLOOKUP(A2776:A6819,kunishuClan!D:D,kunishuClan!B:B)&amp;"当主","")))</f>
      </c>
    </row>
    <row r="2777" ht="15.75" customHeight="1">
      <c r="A2777" s="4">
        <v>1074045</v>
      </c>
      <c r="B2777" s="12" t="str">
        <f t="array" ref="B2777">IF(A2777:A6820="","",_xlfn.XLOOKUP(A2777:A6820,'参照_武将'!A:A,'参照_武将'!B:B,"見つかりません"))</f>
      </c>
      <c r="C2777" s="4" t="s">
        <v>347</v>
      </c>
      <c r="D2777" s="4">
        <v>74</v>
      </c>
      <c r="E2777" s="12" t="str">
        <f t="array" ref="E2777">IF(D2777:D6820="","",IFERROR(_xlfn.XLOOKUP(D2777:D6820,'参照_勢力'!A:A,'参照_勢力'!B:B),IFERROR(_xlfn.XLOOKUP(F2777:F6820,kunishuClan!A:A,kunishuClan!B:B),"浪人")))</f>
      </c>
      <c r="F2777" s="4">
        <v>0</v>
      </c>
      <c r="G2777" s="4">
        <v>228</v>
      </c>
      <c r="H2777" s="12" t="str">
        <f t="array" ref="H2777">IF(G2777:G6820="","",_xlfn.XLOOKUP(G2777:G6820,castles_state!A:A,castles_state!D:D,"見つかりません"))</f>
      </c>
      <c r="I2777" s="4"/>
      <c r="J2777" s="12" t="str">
        <f t="array" ref="J2777">IF(I2777:I6820="","",_xlfn.XLOOKUP(I2777:I6820,'参照_姫'!A:A,'参照_姫'!B:B,"見つかりません"))</f>
      </c>
      <c r="K2777" s="4">
        <v>95</v>
      </c>
      <c r="L2777" s="4">
        <v>0</v>
      </c>
      <c r="M2777" s="4"/>
      <c r="N2777" s="4"/>
      <c r="O2777" s="4"/>
      <c r="P2777" s="12" t="str">
        <f t="array" ref="P2777">IF(O2777:O6820="","",_xlfn.XLOOKUP(O2777:O6820,'参照_官位'!A:A,'参照_官位'!B:B,""))</f>
      </c>
      <c r="Q2777" s="12" t="str">
        <f t="array" ref="Q2777">IF(A2777:A6820="","",IFERROR(_xlfn.XLOOKUP(A2777:A6820,castles_state!K:K,castles_state!D:D)&amp;"主",IFERROR(_xlfn.XLOOKUP(A2777:A6820,kunishuClan!D:D,kunishuClan!B:B)&amp;"当主","")))</f>
      </c>
    </row>
    <row r="2778" ht="15.75" customHeight="1">
      <c r="A2778" s="4">
        <v>1074046</v>
      </c>
      <c r="B2778" s="12" t="str">
        <f t="array" ref="B2778">IF(A2778:A6821="","",_xlfn.XLOOKUP(A2778:A6821,'参照_武将'!A:A,'参照_武将'!B:B,"見つかりません"))</f>
      </c>
      <c r="C2778" s="4" t="s">
        <v>347</v>
      </c>
      <c r="D2778" s="4">
        <v>74</v>
      </c>
      <c r="E2778" s="12" t="str">
        <f t="array" ref="E2778">IF(D2778:D6821="","",IFERROR(_xlfn.XLOOKUP(D2778:D6821,'参照_勢力'!A:A,'参照_勢力'!B:B),IFERROR(_xlfn.XLOOKUP(F2778:F6821,kunishuClan!A:A,kunishuClan!B:B),"浪人")))</f>
      </c>
      <c r="F2778" s="4">
        <v>0</v>
      </c>
      <c r="G2778" s="4">
        <v>206</v>
      </c>
      <c r="H2778" s="12" t="str">
        <f t="array" ref="H2778">IF(G2778:G6821="","",_xlfn.XLOOKUP(G2778:G6821,castles_state!A:A,castles_state!D:D,"見つかりません"))</f>
      </c>
      <c r="I2778" s="4"/>
      <c r="J2778" s="12" t="str">
        <f t="array" ref="J2778">IF(I2778:I6821="","",_xlfn.XLOOKUP(I2778:I6821,'参照_姫'!A:A,'参照_姫'!B:B,"見つかりません"))</f>
      </c>
      <c r="K2778" s="4">
        <v>95</v>
      </c>
      <c r="L2778" s="4">
        <v>0</v>
      </c>
      <c r="M2778" s="4"/>
      <c r="N2778" s="4"/>
      <c r="O2778" s="4"/>
      <c r="P2778" s="12" t="str">
        <f t="array" ref="P2778">IF(O2778:O6821="","",_xlfn.XLOOKUP(O2778:O6821,'参照_官位'!A:A,'参照_官位'!B:B,""))</f>
      </c>
      <c r="Q2778" s="12" t="str">
        <f t="array" ref="Q2778">IF(A2778:A6821="","",IFERROR(_xlfn.XLOOKUP(A2778:A6821,castles_state!K:K,castles_state!D:D)&amp;"主",IFERROR(_xlfn.XLOOKUP(A2778:A6821,kunishuClan!D:D,kunishuClan!B:B)&amp;"当主","")))</f>
      </c>
    </row>
    <row r="2779" ht="15.75" customHeight="1">
      <c r="A2779" s="4">
        <v>1074047</v>
      </c>
      <c r="B2779" s="12" t="str">
        <f t="array" ref="B2779">IF(A2779:A6822="","",_xlfn.XLOOKUP(A2779:A6822,'参照_武将'!A:A,'参照_武将'!B:B,"見つかりません"))</f>
      </c>
      <c r="C2779" s="4" t="s">
        <v>347</v>
      </c>
      <c r="D2779" s="4">
        <v>74</v>
      </c>
      <c r="E2779" s="12" t="str">
        <f t="array" ref="E2779">IF(D2779:D6822="","",IFERROR(_xlfn.XLOOKUP(D2779:D6822,'参照_勢力'!A:A,'参照_勢力'!B:B),IFERROR(_xlfn.XLOOKUP(F2779:F6822,kunishuClan!A:A,kunishuClan!B:B),"浪人")))</f>
      </c>
      <c r="F2779" s="4">
        <v>0</v>
      </c>
      <c r="G2779" s="4">
        <v>206</v>
      </c>
      <c r="H2779" s="12" t="str">
        <f t="array" ref="H2779">IF(G2779:G6822="","",_xlfn.XLOOKUP(G2779:G6822,castles_state!A:A,castles_state!D:D,"見つかりません"))</f>
      </c>
      <c r="I2779" s="4"/>
      <c r="J2779" s="12" t="str">
        <f t="array" ref="J2779">IF(I2779:I6822="","",_xlfn.XLOOKUP(I2779:I6822,'参照_姫'!A:A,'参照_姫'!B:B,"見つかりません"))</f>
      </c>
      <c r="K2779" s="4">
        <v>95</v>
      </c>
      <c r="L2779" s="4">
        <v>500</v>
      </c>
      <c r="M2779" s="4"/>
      <c r="N2779" s="4"/>
      <c r="O2779" s="4"/>
      <c r="P2779" s="12" t="str">
        <f t="array" ref="P2779">IF(O2779:O6822="","",_xlfn.XLOOKUP(O2779:O6822,'参照_官位'!A:A,'参照_官位'!B:B,""))</f>
      </c>
      <c r="Q2779" s="12" t="str">
        <f t="array" ref="Q2779">IF(A2779:A6822="","",IFERROR(_xlfn.XLOOKUP(A2779:A6822,castles_state!K:K,castles_state!D:D)&amp;"主",IFERROR(_xlfn.XLOOKUP(A2779:A6822,kunishuClan!D:D,kunishuClan!B:B)&amp;"当主","")))</f>
      </c>
    </row>
    <row r="2780" ht="15.75" customHeight="1">
      <c r="A2780" s="4">
        <v>1074048</v>
      </c>
      <c r="B2780" s="12" t="str">
        <f t="array" ref="B2780">IF(A2780:A6823="","",_xlfn.XLOOKUP(A2780:A6823,'参照_武将'!A:A,'参照_武将'!B:B,"見つかりません"))</f>
      </c>
      <c r="C2780" s="4" t="s">
        <v>347</v>
      </c>
      <c r="D2780" s="4">
        <v>74</v>
      </c>
      <c r="E2780" s="12" t="str">
        <f t="array" ref="E2780">IF(D2780:D6823="","",IFERROR(_xlfn.XLOOKUP(D2780:D6823,'参照_勢力'!A:A,'参照_勢力'!B:B),IFERROR(_xlfn.XLOOKUP(F2780:F6823,kunishuClan!A:A,kunishuClan!B:B),"浪人")))</f>
      </c>
      <c r="F2780" s="4">
        <v>0</v>
      </c>
      <c r="G2780" s="4">
        <v>206</v>
      </c>
      <c r="H2780" s="12" t="str">
        <f t="array" ref="H2780">IF(G2780:G6823="","",_xlfn.XLOOKUP(G2780:G6823,castles_state!A:A,castles_state!D:D,"見つかりません"))</f>
      </c>
      <c r="I2780" s="4"/>
      <c r="J2780" s="12" t="str">
        <f t="array" ref="J2780">IF(I2780:I6823="","",_xlfn.XLOOKUP(I2780:I6823,'参照_姫'!A:A,'参照_姫'!B:B,"見つかりません"))</f>
      </c>
      <c r="K2780" s="4">
        <v>95</v>
      </c>
      <c r="L2780" s="4">
        <v>0</v>
      </c>
      <c r="M2780" s="4"/>
      <c r="N2780" s="4"/>
      <c r="O2780" s="4"/>
      <c r="P2780" s="12" t="str">
        <f t="array" ref="P2780">IF(O2780:O6823="","",_xlfn.XLOOKUP(O2780:O6823,'参照_官位'!A:A,'参照_官位'!B:B,""))</f>
      </c>
      <c r="Q2780" s="12" t="str">
        <f t="array" ref="Q2780">IF(A2780:A6823="","",IFERROR(_xlfn.XLOOKUP(A2780:A6823,castles_state!K:K,castles_state!D:D)&amp;"主",IFERROR(_xlfn.XLOOKUP(A2780:A6823,kunishuClan!D:D,kunishuClan!B:B)&amp;"当主","")))</f>
      </c>
    </row>
    <row r="2781" ht="15.75" customHeight="1">
      <c r="A2781" s="4">
        <v>1074049</v>
      </c>
      <c r="B2781" s="12" t="str">
        <f t="array" ref="B2781">IF(A2781:A6824="","",_xlfn.XLOOKUP(A2781:A6824,'参照_武将'!A:A,'参照_武将'!B:B,"見つかりません"))</f>
      </c>
      <c r="C2781" s="4" t="s">
        <v>347</v>
      </c>
      <c r="D2781" s="4">
        <v>74</v>
      </c>
      <c r="E2781" s="12" t="str">
        <f t="array" ref="E2781">IF(D2781:D6824="","",IFERROR(_xlfn.XLOOKUP(D2781:D6824,'参照_勢力'!A:A,'参照_勢力'!B:B),IFERROR(_xlfn.XLOOKUP(F2781:F6824,kunishuClan!A:A,kunishuClan!B:B),"浪人")))</f>
      </c>
      <c r="F2781" s="4">
        <v>0</v>
      </c>
      <c r="G2781" s="4">
        <v>206</v>
      </c>
      <c r="H2781" s="12" t="str">
        <f t="array" ref="H2781">IF(G2781:G6824="","",_xlfn.XLOOKUP(G2781:G6824,castles_state!A:A,castles_state!D:D,"見つかりません"))</f>
      </c>
      <c r="I2781" s="4"/>
      <c r="J2781" s="12" t="str">
        <f t="array" ref="J2781">IF(I2781:I6824="","",_xlfn.XLOOKUP(I2781:I6824,'参照_姫'!A:A,'参照_姫'!B:B,"見つかりません"))</f>
      </c>
      <c r="K2781" s="4">
        <v>95</v>
      </c>
      <c r="L2781" s="4">
        <v>0</v>
      </c>
      <c r="M2781" s="4"/>
      <c r="N2781" s="4"/>
      <c r="O2781" s="4"/>
      <c r="P2781" s="12" t="str">
        <f t="array" ref="P2781">IF(O2781:O6824="","",_xlfn.XLOOKUP(O2781:O6824,'参照_官位'!A:A,'参照_官位'!B:B,""))</f>
      </c>
      <c r="Q2781" s="12" t="str">
        <f t="array" ref="Q2781">IF(A2781:A6824="","",IFERROR(_xlfn.XLOOKUP(A2781:A6824,castles_state!K:K,castles_state!D:D)&amp;"主",IFERROR(_xlfn.XLOOKUP(A2781:A6824,kunishuClan!D:D,kunishuClan!B:B)&amp;"当主","")))</f>
      </c>
    </row>
    <row r="2782" ht="15.75" customHeight="1">
      <c r="A2782" s="4">
        <v>1074050</v>
      </c>
      <c r="B2782" s="12" t="str">
        <f t="array" ref="B2782">IF(A2782:A6825="","",_xlfn.XLOOKUP(A2782:A6825,'参照_武将'!A:A,'参照_武将'!B:B,"見つかりません"))</f>
      </c>
      <c r="C2782" s="4" t="s">
        <v>347</v>
      </c>
      <c r="D2782" s="4">
        <v>74</v>
      </c>
      <c r="E2782" s="12" t="str">
        <f t="array" ref="E2782">IF(D2782:D6825="","",IFERROR(_xlfn.XLOOKUP(D2782:D6825,'参照_勢力'!A:A,'参照_勢力'!B:B),IFERROR(_xlfn.XLOOKUP(F2782:F6825,kunishuClan!A:A,kunishuClan!B:B),"浪人")))</f>
      </c>
      <c r="F2782" s="4">
        <v>0</v>
      </c>
      <c r="G2782" s="4">
        <v>206</v>
      </c>
      <c r="H2782" s="12" t="str">
        <f t="array" ref="H2782">IF(G2782:G6825="","",_xlfn.XLOOKUP(G2782:G6825,castles_state!A:A,castles_state!D:D,"見つかりません"))</f>
      </c>
      <c r="I2782" s="4"/>
      <c r="J2782" s="12" t="str">
        <f t="array" ref="J2782">IF(I2782:I6825="","",_xlfn.XLOOKUP(I2782:I6825,'参照_姫'!A:A,'参照_姫'!B:B,"見つかりません"))</f>
      </c>
      <c r="K2782" s="4">
        <v>95</v>
      </c>
      <c r="L2782" s="4">
        <v>0</v>
      </c>
      <c r="M2782" s="4"/>
      <c r="N2782" s="4"/>
      <c r="O2782" s="4"/>
      <c r="P2782" s="12" t="str">
        <f t="array" ref="P2782">IF(O2782:O6825="","",_xlfn.XLOOKUP(O2782:O6825,'参照_官位'!A:A,'参照_官位'!B:B,""))</f>
      </c>
      <c r="Q2782" s="12" t="str">
        <f t="array" ref="Q2782">IF(A2782:A6825="","",IFERROR(_xlfn.XLOOKUP(A2782:A6825,castles_state!K:K,castles_state!D:D)&amp;"主",IFERROR(_xlfn.XLOOKUP(A2782:A6825,kunishuClan!D:D,kunishuClan!B:B)&amp;"当主","")))</f>
      </c>
    </row>
    <row r="2783" ht="15.75" customHeight="1">
      <c r="A2783" s="4">
        <v>1074051</v>
      </c>
      <c r="B2783" s="12" t="str">
        <f t="array" ref="B2783">IF(A2783:A6826="","",_xlfn.XLOOKUP(A2783:A6826,'参照_武将'!A:A,'参照_武将'!B:B,"見つかりません"))</f>
      </c>
      <c r="C2783" s="4" t="s">
        <v>347</v>
      </c>
      <c r="D2783" s="4">
        <v>74</v>
      </c>
      <c r="E2783" s="12" t="str">
        <f t="array" ref="E2783">IF(D2783:D6826="","",IFERROR(_xlfn.XLOOKUP(D2783:D6826,'参照_勢力'!A:A,'参照_勢力'!B:B),IFERROR(_xlfn.XLOOKUP(F2783:F6826,kunishuClan!A:A,kunishuClan!B:B),"浪人")))</f>
      </c>
      <c r="F2783" s="4">
        <v>0</v>
      </c>
      <c r="G2783" s="4">
        <v>206</v>
      </c>
      <c r="H2783" s="12" t="str">
        <f t="array" ref="H2783">IF(G2783:G6826="","",_xlfn.XLOOKUP(G2783:G6826,castles_state!A:A,castles_state!D:D,"見つかりません"))</f>
      </c>
      <c r="I2783" s="4"/>
      <c r="J2783" s="12" t="str">
        <f t="array" ref="J2783">IF(I2783:I6826="","",_xlfn.XLOOKUP(I2783:I6826,'参照_姫'!A:A,'参照_姫'!B:B,"見つかりません"))</f>
      </c>
      <c r="K2783" s="4">
        <v>95</v>
      </c>
      <c r="L2783" s="4">
        <v>0</v>
      </c>
      <c r="M2783" s="4"/>
      <c r="N2783" s="4"/>
      <c r="O2783" s="4"/>
      <c r="P2783" s="12" t="str">
        <f t="array" ref="P2783">IF(O2783:O6826="","",_xlfn.XLOOKUP(O2783:O6826,'参照_官位'!A:A,'参照_官位'!B:B,""))</f>
      </c>
      <c r="Q2783" s="12" t="str">
        <f t="array" ref="Q2783">IF(A2783:A6826="","",IFERROR(_xlfn.XLOOKUP(A2783:A6826,castles_state!K:K,castles_state!D:D)&amp;"主",IFERROR(_xlfn.XLOOKUP(A2783:A6826,kunishuClan!D:D,kunishuClan!B:B)&amp;"当主","")))</f>
      </c>
    </row>
    <row r="2784" ht="15.75" customHeight="1">
      <c r="A2784" s="4">
        <v>1074052</v>
      </c>
      <c r="B2784" s="12" t="str">
        <f t="array" ref="B2784">IF(A2784:A6827="","",_xlfn.XLOOKUP(A2784:A6827,'参照_武将'!A:A,'参照_武将'!B:B,"見つかりません"))</f>
      </c>
      <c r="C2784" s="4" t="s">
        <v>347</v>
      </c>
      <c r="D2784" s="4">
        <v>74</v>
      </c>
      <c r="E2784" s="12" t="str">
        <f t="array" ref="E2784">IF(D2784:D6827="","",IFERROR(_xlfn.XLOOKUP(D2784:D6827,'参照_勢力'!A:A,'参照_勢力'!B:B),IFERROR(_xlfn.XLOOKUP(F2784:F6827,kunishuClan!A:A,kunishuClan!B:B),"浪人")))</f>
      </c>
      <c r="F2784" s="4">
        <v>0</v>
      </c>
      <c r="G2784" s="4">
        <v>228</v>
      </c>
      <c r="H2784" s="12" t="str">
        <f t="array" ref="H2784">IF(G2784:G6827="","",_xlfn.XLOOKUP(G2784:G6827,castles_state!A:A,castles_state!D:D,"見つかりません"))</f>
      </c>
      <c r="I2784" s="4"/>
      <c r="J2784" s="12" t="str">
        <f t="array" ref="J2784">IF(I2784:I6827="","",_xlfn.XLOOKUP(I2784:I6827,'参照_姫'!A:A,'参照_姫'!B:B,"見つかりません"))</f>
      </c>
      <c r="K2784" s="4">
        <v>95</v>
      </c>
      <c r="L2784" s="4">
        <v>0</v>
      </c>
      <c r="M2784" s="4"/>
      <c r="N2784" s="4"/>
      <c r="O2784" s="4"/>
      <c r="P2784" s="12" t="str">
        <f t="array" ref="P2784">IF(O2784:O6827="","",_xlfn.XLOOKUP(O2784:O6827,'参照_官位'!A:A,'参照_官位'!B:B,""))</f>
      </c>
      <c r="Q2784" s="12" t="str">
        <f t="array" ref="Q2784">IF(A2784:A6827="","",IFERROR(_xlfn.XLOOKUP(A2784:A6827,castles_state!K:K,castles_state!D:D)&amp;"主",IFERROR(_xlfn.XLOOKUP(A2784:A6827,kunishuClan!D:D,kunishuClan!B:B)&amp;"当主","")))</f>
      </c>
    </row>
    <row r="2785" ht="15.75" customHeight="1">
      <c r="A2785" s="4">
        <v>1074053</v>
      </c>
      <c r="B2785" s="12" t="str">
        <f t="array" ref="B2785">IF(A2785:A6828="","",_xlfn.XLOOKUP(A2785:A6828,'参照_武将'!A:A,'参照_武将'!B:B,"見つかりません"))</f>
      </c>
      <c r="C2785" s="4" t="s">
        <v>347</v>
      </c>
      <c r="D2785" s="4">
        <v>77</v>
      </c>
      <c r="E2785" s="12" t="str">
        <f t="array" ref="E2785">IF(D2785:D6828="","",IFERROR(_xlfn.XLOOKUP(D2785:D6828,'参照_勢力'!A:A,'参照_勢力'!B:B),IFERROR(_xlfn.XLOOKUP(F2785:F6828,kunishuClan!A:A,kunishuClan!B:B),"浪人")))</f>
      </c>
      <c r="F2785" s="4">
        <v>0</v>
      </c>
      <c r="G2785" s="4">
        <v>209</v>
      </c>
      <c r="H2785" s="12" t="str">
        <f t="array" ref="H2785">IF(G2785:G6828="","",_xlfn.XLOOKUP(G2785:G6828,castles_state!A:A,castles_state!D:D,"見つかりません"))</f>
      </c>
      <c r="I2785" s="4"/>
      <c r="J2785" s="12" t="str">
        <f t="array" ref="J2785">IF(I2785:I6828="","",_xlfn.XLOOKUP(I2785:I6828,'参照_姫'!A:A,'参照_姫'!B:B,"見つかりません"))</f>
      </c>
      <c r="K2785" s="4">
        <v>85</v>
      </c>
      <c r="L2785" s="4">
        <v>500</v>
      </c>
      <c r="M2785" s="4"/>
      <c r="N2785" s="4"/>
      <c r="O2785" s="4"/>
      <c r="P2785" s="12" t="str">
        <f t="array" ref="P2785">IF(O2785:O6828="","",_xlfn.XLOOKUP(O2785:O6828,'参照_官位'!A:A,'参照_官位'!B:B,""))</f>
      </c>
      <c r="Q2785" s="12" t="str">
        <f t="array" ref="Q2785">IF(A2785:A6828="","",IFERROR(_xlfn.XLOOKUP(A2785:A6828,castles_state!K:K,castles_state!D:D)&amp;"主",IFERROR(_xlfn.XLOOKUP(A2785:A6828,kunishuClan!D:D,kunishuClan!B:B)&amp;"当主","")))</f>
      </c>
    </row>
    <row r="2786" ht="15.75" customHeight="1">
      <c r="A2786" s="4">
        <v>1074054</v>
      </c>
      <c r="B2786" s="12" t="str">
        <f t="array" ref="B2786">IF(A2786:A6829="","",_xlfn.XLOOKUP(A2786:A6829,'参照_武将'!A:A,'参照_武将'!B:B,"見つかりません"))</f>
      </c>
      <c r="C2786" s="4" t="s">
        <v>347</v>
      </c>
      <c r="D2786" s="4">
        <v>74</v>
      </c>
      <c r="E2786" s="12" t="str">
        <f t="array" ref="E2786">IF(D2786:D6829="","",IFERROR(_xlfn.XLOOKUP(D2786:D6829,'参照_勢力'!A:A,'参照_勢力'!B:B),IFERROR(_xlfn.XLOOKUP(F2786:F6829,kunishuClan!A:A,kunishuClan!B:B),"浪人")))</f>
      </c>
      <c r="F2786" s="4">
        <v>0</v>
      </c>
      <c r="G2786" s="4">
        <v>214</v>
      </c>
      <c r="H2786" s="12" t="str">
        <f t="array" ref="H2786">IF(G2786:G6829="","",_xlfn.XLOOKUP(G2786:G6829,castles_state!A:A,castles_state!D:D,"見つかりません"))</f>
      </c>
      <c r="I2786" s="4"/>
      <c r="J2786" s="12" t="str">
        <f t="array" ref="J2786">IF(I2786:I6829="","",_xlfn.XLOOKUP(I2786:I6829,'参照_姫'!A:A,'参照_姫'!B:B,"見つかりません"))</f>
      </c>
      <c r="K2786" s="4">
        <v>95</v>
      </c>
      <c r="L2786" s="4">
        <v>0</v>
      </c>
      <c r="M2786" s="4"/>
      <c r="N2786" s="4"/>
      <c r="O2786" s="4"/>
      <c r="P2786" s="12" t="str">
        <f t="array" ref="P2786">IF(O2786:O6829="","",_xlfn.XLOOKUP(O2786:O6829,'参照_官位'!A:A,'参照_官位'!B:B,""))</f>
      </c>
      <c r="Q2786" s="12" t="str">
        <f t="array" ref="Q2786">IF(A2786:A6829="","",IFERROR(_xlfn.XLOOKUP(A2786:A6829,castles_state!K:K,castles_state!D:D)&amp;"主",IFERROR(_xlfn.XLOOKUP(A2786:A6829,kunishuClan!D:D,kunishuClan!B:B)&amp;"当主","")))</f>
      </c>
    </row>
    <row r="2787" ht="15.75" customHeight="1">
      <c r="A2787" s="4">
        <v>1074055</v>
      </c>
      <c r="B2787" s="12" t="str">
        <f t="array" ref="B2787">IF(A2787:A6830="","",_xlfn.XLOOKUP(A2787:A6830,'参照_武将'!A:A,'参照_武将'!B:B,"見つかりません"))</f>
      </c>
      <c r="C2787" s="4" t="s">
        <v>347</v>
      </c>
      <c r="D2787" s="4">
        <v>77</v>
      </c>
      <c r="E2787" s="12" t="str">
        <f t="array" ref="E2787">IF(D2787:D6830="","",IFERROR(_xlfn.XLOOKUP(D2787:D6830,'参照_勢力'!A:A,'参照_勢力'!B:B),IFERROR(_xlfn.XLOOKUP(F2787:F6830,kunishuClan!A:A,kunishuClan!B:B),"浪人")))</f>
      </c>
      <c r="F2787" s="4">
        <v>0</v>
      </c>
      <c r="G2787" s="4">
        <v>209</v>
      </c>
      <c r="H2787" s="12" t="str">
        <f t="array" ref="H2787">IF(G2787:G6830="","",_xlfn.XLOOKUP(G2787:G6830,castles_state!A:A,castles_state!D:D,"見つかりません"))</f>
      </c>
      <c r="I2787" s="4"/>
      <c r="J2787" s="12" t="str">
        <f t="array" ref="J2787">IF(I2787:I6830="","",_xlfn.XLOOKUP(I2787:I6830,'参照_姫'!A:A,'参照_姫'!B:B,"見つかりません"))</f>
      </c>
      <c r="K2787" s="4">
        <v>85</v>
      </c>
      <c r="L2787" s="4">
        <v>0</v>
      </c>
      <c r="M2787" s="4"/>
      <c r="N2787" s="4"/>
      <c r="O2787" s="4"/>
      <c r="P2787" s="12" t="str">
        <f t="array" ref="P2787">IF(O2787:O6830="","",_xlfn.XLOOKUP(O2787:O6830,'参照_官位'!A:A,'参照_官位'!B:B,""))</f>
      </c>
      <c r="Q2787" s="12" t="str">
        <f t="array" ref="Q2787">IF(A2787:A6830="","",IFERROR(_xlfn.XLOOKUP(A2787:A6830,castles_state!K:K,castles_state!D:D)&amp;"主",IFERROR(_xlfn.XLOOKUP(A2787:A6830,kunishuClan!D:D,kunishuClan!B:B)&amp;"当主","")))</f>
      </c>
    </row>
    <row r="2788" ht="15.75" customHeight="1">
      <c r="A2788" s="4">
        <v>1074056</v>
      </c>
      <c r="B2788" s="12" t="str">
        <f t="array" ref="B2788">IF(A2788:A6831="","",_xlfn.XLOOKUP(A2788:A6831,'参照_武将'!A:A,'参照_武将'!B:B,"見つかりません"))</f>
      </c>
      <c r="C2788" s="4" t="s">
        <v>347</v>
      </c>
      <c r="D2788" s="4">
        <v>74</v>
      </c>
      <c r="E2788" s="12" t="str">
        <f t="array" ref="E2788">IF(D2788:D6831="","",IFERROR(_xlfn.XLOOKUP(D2788:D6831,'参照_勢力'!A:A,'参照_勢力'!B:B),IFERROR(_xlfn.XLOOKUP(F2788:F6831,kunishuClan!A:A,kunishuClan!B:B),"浪人")))</f>
      </c>
      <c r="F2788" s="4">
        <v>0</v>
      </c>
      <c r="G2788" s="4">
        <v>228</v>
      </c>
      <c r="H2788" s="12" t="str">
        <f t="array" ref="H2788">IF(G2788:G6831="","",_xlfn.XLOOKUP(G2788:G6831,castles_state!A:A,castles_state!D:D,"見つかりません"))</f>
      </c>
      <c r="I2788" s="4"/>
      <c r="J2788" s="12" t="str">
        <f t="array" ref="J2788">IF(I2788:I6831="","",_xlfn.XLOOKUP(I2788:I6831,'参照_姫'!A:A,'参照_姫'!B:B,"見つかりません"))</f>
      </c>
      <c r="K2788" s="4">
        <v>95</v>
      </c>
      <c r="L2788" s="4">
        <v>0</v>
      </c>
      <c r="M2788" s="4"/>
      <c r="N2788" s="4"/>
      <c r="O2788" s="4"/>
      <c r="P2788" s="12" t="str">
        <f t="array" ref="P2788">IF(O2788:O6831="","",_xlfn.XLOOKUP(O2788:O6831,'参照_官位'!A:A,'参照_官位'!B:B,""))</f>
      </c>
      <c r="Q2788" s="12" t="str">
        <f t="array" ref="Q2788">IF(A2788:A6831="","",IFERROR(_xlfn.XLOOKUP(A2788:A6831,castles_state!K:K,castles_state!D:D)&amp;"主",IFERROR(_xlfn.XLOOKUP(A2788:A6831,kunishuClan!D:D,kunishuClan!B:B)&amp;"当主","")))</f>
      </c>
    </row>
    <row r="2789" ht="15.75" customHeight="1">
      <c r="A2789" s="4">
        <v>1074057</v>
      </c>
      <c r="B2789" s="12" t="str">
        <f t="array" ref="B2789">IF(A2789:A6832="","",_xlfn.XLOOKUP(A2789:A6832,'参照_武将'!A:A,'参照_武将'!B:B,"見つかりません"))</f>
      </c>
      <c r="C2789" s="4" t="s">
        <v>347</v>
      </c>
      <c r="D2789" s="4">
        <v>74</v>
      </c>
      <c r="E2789" s="12" t="str">
        <f t="array" ref="E2789">IF(D2789:D6832="","",IFERROR(_xlfn.XLOOKUP(D2789:D6832,'参照_勢力'!A:A,'参照_勢力'!B:B),IFERROR(_xlfn.XLOOKUP(F2789:F6832,kunishuClan!A:A,kunishuClan!B:B),"浪人")))</f>
      </c>
      <c r="F2789" s="4">
        <v>0</v>
      </c>
      <c r="G2789" s="4">
        <v>228</v>
      </c>
      <c r="H2789" s="12" t="str">
        <f t="array" ref="H2789">IF(G2789:G6832="","",_xlfn.XLOOKUP(G2789:G6832,castles_state!A:A,castles_state!D:D,"見つかりません"))</f>
      </c>
      <c r="I2789" s="4"/>
      <c r="J2789" s="12" t="str">
        <f t="array" ref="J2789">IF(I2789:I6832="","",_xlfn.XLOOKUP(I2789:I6832,'参照_姫'!A:A,'参照_姫'!B:B,"見つかりません"))</f>
      </c>
      <c r="K2789" s="4">
        <v>95</v>
      </c>
      <c r="L2789" s="4">
        <v>0</v>
      </c>
      <c r="M2789" s="4"/>
      <c r="N2789" s="4"/>
      <c r="O2789" s="4"/>
      <c r="P2789" s="12" t="str">
        <f t="array" ref="P2789">IF(O2789:O6832="","",_xlfn.XLOOKUP(O2789:O6832,'参照_官位'!A:A,'参照_官位'!B:B,""))</f>
      </c>
      <c r="Q2789" s="12" t="str">
        <f t="array" ref="Q2789">IF(A2789:A6832="","",IFERROR(_xlfn.XLOOKUP(A2789:A6832,castles_state!K:K,castles_state!D:D)&amp;"主",IFERROR(_xlfn.XLOOKUP(A2789:A6832,kunishuClan!D:D,kunishuClan!B:B)&amp;"当主","")))</f>
      </c>
    </row>
    <row r="2790" ht="15.75" customHeight="1">
      <c r="A2790" s="4">
        <v>1074058</v>
      </c>
      <c r="B2790" s="12" t="str">
        <f t="array" ref="B2790">IF(A2790:A6833="","",_xlfn.XLOOKUP(A2790:A6833,'参照_武将'!A:A,'参照_武将'!B:B,"見つかりません"))</f>
      </c>
      <c r="C2790" s="4" t="s">
        <v>347</v>
      </c>
      <c r="D2790" s="4">
        <v>74</v>
      </c>
      <c r="E2790" s="12" t="str">
        <f t="array" ref="E2790">IF(D2790:D6833="","",IFERROR(_xlfn.XLOOKUP(D2790:D6833,'参照_勢力'!A:A,'参照_勢力'!B:B),IFERROR(_xlfn.XLOOKUP(F2790:F6833,kunishuClan!A:A,kunishuClan!B:B),"浪人")))</f>
      </c>
      <c r="F2790" s="4">
        <v>0</v>
      </c>
      <c r="G2790" s="4">
        <v>228</v>
      </c>
      <c r="H2790" s="12" t="str">
        <f t="array" ref="H2790">IF(G2790:G6833="","",_xlfn.XLOOKUP(G2790:G6833,castles_state!A:A,castles_state!D:D,"見つかりません"))</f>
      </c>
      <c r="I2790" s="4"/>
      <c r="J2790" s="12" t="str">
        <f t="array" ref="J2790">IF(I2790:I6833="","",_xlfn.XLOOKUP(I2790:I6833,'参照_姫'!A:A,'参照_姫'!B:B,"見つかりません"))</f>
      </c>
      <c r="K2790" s="4">
        <v>95</v>
      </c>
      <c r="L2790" s="4">
        <v>0</v>
      </c>
      <c r="M2790" s="4"/>
      <c r="N2790" s="4"/>
      <c r="O2790" s="4"/>
      <c r="P2790" s="12" t="str">
        <f t="array" ref="P2790">IF(O2790:O6833="","",_xlfn.XLOOKUP(O2790:O6833,'参照_官位'!A:A,'参照_官位'!B:B,""))</f>
      </c>
      <c r="Q2790" s="12" t="str">
        <f t="array" ref="Q2790">IF(A2790:A6833="","",IFERROR(_xlfn.XLOOKUP(A2790:A6833,castles_state!K:K,castles_state!D:D)&amp;"主",IFERROR(_xlfn.XLOOKUP(A2790:A6833,kunishuClan!D:D,kunishuClan!B:B)&amp;"当主","")))</f>
      </c>
    </row>
    <row r="2791" ht="15.75" customHeight="1">
      <c r="A2791" s="4">
        <v>1074059</v>
      </c>
      <c r="B2791" s="12" t="str">
        <f t="array" ref="B2791">IF(A2791:A6834="","",_xlfn.XLOOKUP(A2791:A6834,'参照_武将'!A:A,'参照_武将'!B:B,"見つかりません"))</f>
      </c>
      <c r="C2791" s="4" t="s">
        <v>347</v>
      </c>
      <c r="D2791" s="4">
        <v>74</v>
      </c>
      <c r="E2791" s="12" t="str">
        <f t="array" ref="E2791">IF(D2791:D6834="","",IFERROR(_xlfn.XLOOKUP(D2791:D6834,'参照_勢力'!A:A,'参照_勢力'!B:B),IFERROR(_xlfn.XLOOKUP(F2791:F6834,kunishuClan!A:A,kunishuClan!B:B),"浪人")))</f>
      </c>
      <c r="F2791" s="4">
        <v>0</v>
      </c>
      <c r="G2791" s="4">
        <v>228</v>
      </c>
      <c r="H2791" s="12" t="str">
        <f t="array" ref="H2791">IF(G2791:G6834="","",_xlfn.XLOOKUP(G2791:G6834,castles_state!A:A,castles_state!D:D,"見つかりません"))</f>
      </c>
      <c r="I2791" s="4"/>
      <c r="J2791" s="12" t="str">
        <f t="array" ref="J2791">IF(I2791:I6834="","",_xlfn.XLOOKUP(I2791:I6834,'参照_姫'!A:A,'参照_姫'!B:B,"見つかりません"))</f>
      </c>
      <c r="K2791" s="4">
        <v>95</v>
      </c>
      <c r="L2791" s="4">
        <v>0</v>
      </c>
      <c r="M2791" s="4"/>
      <c r="N2791" s="4"/>
      <c r="O2791" s="4"/>
      <c r="P2791" s="12" t="str">
        <f t="array" ref="P2791">IF(O2791:O6834="","",_xlfn.XLOOKUP(O2791:O6834,'参照_官位'!A:A,'参照_官位'!B:B,""))</f>
      </c>
      <c r="Q2791" s="12" t="str">
        <f t="array" ref="Q2791">IF(A2791:A6834="","",IFERROR(_xlfn.XLOOKUP(A2791:A6834,castles_state!K:K,castles_state!D:D)&amp;"主",IFERROR(_xlfn.XLOOKUP(A2791:A6834,kunishuClan!D:D,kunishuClan!B:B)&amp;"当主","")))</f>
      </c>
    </row>
    <row r="2792" ht="15.75" customHeight="1">
      <c r="A2792" s="4">
        <v>1074060</v>
      </c>
      <c r="B2792" s="12" t="str">
        <f t="array" ref="B2792">IF(A2792:A6835="","",_xlfn.XLOOKUP(A2792:A6835,'参照_武将'!A:A,'参照_武将'!B:B,"見つかりません"))</f>
      </c>
      <c r="C2792" s="4" t="s">
        <v>347</v>
      </c>
      <c r="D2792" s="4">
        <v>74</v>
      </c>
      <c r="E2792" s="12" t="str">
        <f t="array" ref="E2792">IF(D2792:D6835="","",IFERROR(_xlfn.XLOOKUP(D2792:D6835,'参照_勢力'!A:A,'参照_勢力'!B:B),IFERROR(_xlfn.XLOOKUP(F2792:F6835,kunishuClan!A:A,kunishuClan!B:B),"浪人")))</f>
      </c>
      <c r="F2792" s="4">
        <v>0</v>
      </c>
      <c r="G2792" s="4">
        <v>228</v>
      </c>
      <c r="H2792" s="12" t="str">
        <f t="array" ref="H2792">IF(G2792:G6835="","",_xlfn.XLOOKUP(G2792:G6835,castles_state!A:A,castles_state!D:D,"見つかりません"))</f>
      </c>
      <c r="I2792" s="4"/>
      <c r="J2792" s="12" t="str">
        <f t="array" ref="J2792">IF(I2792:I6835="","",_xlfn.XLOOKUP(I2792:I6835,'参照_姫'!A:A,'参照_姫'!B:B,"見つかりません"))</f>
      </c>
      <c r="K2792" s="4">
        <v>95</v>
      </c>
      <c r="L2792" s="4">
        <v>0</v>
      </c>
      <c r="M2792" s="4"/>
      <c r="N2792" s="4"/>
      <c r="O2792" s="4"/>
      <c r="P2792" s="12" t="str">
        <f t="array" ref="P2792">IF(O2792:O6835="","",_xlfn.XLOOKUP(O2792:O6835,'参照_官位'!A:A,'参照_官位'!B:B,""))</f>
      </c>
      <c r="Q2792" s="12" t="str">
        <f t="array" ref="Q2792">IF(A2792:A6835="","",IFERROR(_xlfn.XLOOKUP(A2792:A6835,castles_state!K:K,castles_state!D:D)&amp;"主",IFERROR(_xlfn.XLOOKUP(A2792:A6835,kunishuClan!D:D,kunishuClan!B:B)&amp;"当主","")))</f>
      </c>
    </row>
    <row r="2793" ht="15.75" customHeight="1">
      <c r="A2793" s="4">
        <v>1074061</v>
      </c>
      <c r="B2793" s="12" t="str">
        <f t="array" ref="B2793">IF(A2793:A6836="","",_xlfn.XLOOKUP(A2793:A6836,'参照_武将'!A:A,'参照_武将'!B:B,"見つかりません"))</f>
      </c>
      <c r="C2793" s="4" t="s">
        <v>347</v>
      </c>
      <c r="D2793" s="4">
        <v>74</v>
      </c>
      <c r="E2793" s="12" t="str">
        <f t="array" ref="E2793">IF(D2793:D6836="","",IFERROR(_xlfn.XLOOKUP(D2793:D6836,'参照_勢力'!A:A,'参照_勢力'!B:B),IFERROR(_xlfn.XLOOKUP(F2793:F6836,kunishuClan!A:A,kunishuClan!B:B),"浪人")))</f>
      </c>
      <c r="F2793" s="4">
        <v>0</v>
      </c>
      <c r="G2793" s="4">
        <v>228</v>
      </c>
      <c r="H2793" s="12" t="str">
        <f t="array" ref="H2793">IF(G2793:G6836="","",_xlfn.XLOOKUP(G2793:G6836,castles_state!A:A,castles_state!D:D,"見つかりません"))</f>
      </c>
      <c r="I2793" s="4"/>
      <c r="J2793" s="12" t="str">
        <f t="array" ref="J2793">IF(I2793:I6836="","",_xlfn.XLOOKUP(I2793:I6836,'参照_姫'!A:A,'参照_姫'!B:B,"見つかりません"))</f>
      </c>
      <c r="K2793" s="4">
        <v>95</v>
      </c>
      <c r="L2793" s="4">
        <v>0</v>
      </c>
      <c r="M2793" s="4"/>
      <c r="N2793" s="4"/>
      <c r="O2793" s="4"/>
      <c r="P2793" s="12" t="str">
        <f t="array" ref="P2793">IF(O2793:O6836="","",_xlfn.XLOOKUP(O2793:O6836,'参照_官位'!A:A,'参照_官位'!B:B,""))</f>
      </c>
      <c r="Q2793" s="12" t="str">
        <f t="array" ref="Q2793">IF(A2793:A6836="","",IFERROR(_xlfn.XLOOKUP(A2793:A6836,castles_state!K:K,castles_state!D:D)&amp;"主",IFERROR(_xlfn.XLOOKUP(A2793:A6836,kunishuClan!D:D,kunishuClan!B:B)&amp;"当主","")))</f>
      </c>
    </row>
    <row r="2794" ht="15.75" customHeight="1">
      <c r="A2794" s="4">
        <v>1074062</v>
      </c>
      <c r="B2794" s="12" t="str">
        <f t="array" ref="B2794">IF(A2794:A6837="","",_xlfn.XLOOKUP(A2794:A6837,'参照_武将'!A:A,'参照_武将'!B:B,"見つかりません"))</f>
      </c>
      <c r="C2794" s="4" t="s">
        <v>347</v>
      </c>
      <c r="D2794" s="4">
        <v>74</v>
      </c>
      <c r="E2794" s="12" t="str">
        <f t="array" ref="E2794">IF(D2794:D6837="","",IFERROR(_xlfn.XLOOKUP(D2794:D6837,'参照_勢力'!A:A,'参照_勢力'!B:B),IFERROR(_xlfn.XLOOKUP(F2794:F6837,kunishuClan!A:A,kunishuClan!B:B),"浪人")))</f>
      </c>
      <c r="F2794" s="4">
        <v>0</v>
      </c>
      <c r="G2794" s="4">
        <v>228</v>
      </c>
      <c r="H2794" s="12" t="str">
        <f t="array" ref="H2794">IF(G2794:G6837="","",_xlfn.XLOOKUP(G2794:G6837,castles_state!A:A,castles_state!D:D,"見つかりません"))</f>
      </c>
      <c r="I2794" s="4"/>
      <c r="J2794" s="12" t="str">
        <f t="array" ref="J2794">IF(I2794:I6837="","",_xlfn.XLOOKUP(I2794:I6837,'参照_姫'!A:A,'参照_姫'!B:B,"見つかりません"))</f>
      </c>
      <c r="K2794" s="4">
        <v>95</v>
      </c>
      <c r="L2794" s="4">
        <v>0</v>
      </c>
      <c r="M2794" s="4"/>
      <c r="N2794" s="4"/>
      <c r="O2794" s="4"/>
      <c r="P2794" s="12" t="str">
        <f t="array" ref="P2794">IF(O2794:O6837="","",_xlfn.XLOOKUP(O2794:O6837,'参照_官位'!A:A,'参照_官位'!B:B,""))</f>
      </c>
      <c r="Q2794" s="12" t="str">
        <f t="array" ref="Q2794">IF(A2794:A6837="","",IFERROR(_xlfn.XLOOKUP(A2794:A6837,castles_state!K:K,castles_state!D:D)&amp;"主",IFERROR(_xlfn.XLOOKUP(A2794:A6837,kunishuClan!D:D,kunishuClan!B:B)&amp;"当主","")))</f>
      </c>
    </row>
    <row r="2795" ht="15.75" customHeight="1">
      <c r="A2795" s="4">
        <v>1074063</v>
      </c>
      <c r="B2795" s="12" t="str">
        <f t="array" ref="B2795">IF(A2795:A6838="","",_xlfn.XLOOKUP(A2795:A6838,'参照_武将'!A:A,'参照_武将'!B:B,"見つかりません"))</f>
      </c>
      <c r="C2795" s="4" t="s">
        <v>347</v>
      </c>
      <c r="D2795" s="4">
        <v>74</v>
      </c>
      <c r="E2795" s="12" t="str">
        <f t="array" ref="E2795">IF(D2795:D6838="","",IFERROR(_xlfn.XLOOKUP(D2795:D6838,'参照_勢力'!A:A,'参照_勢力'!B:B),IFERROR(_xlfn.XLOOKUP(F2795:F6838,kunishuClan!A:A,kunishuClan!B:B),"浪人")))</f>
      </c>
      <c r="F2795" s="4">
        <v>0</v>
      </c>
      <c r="G2795" s="4">
        <v>228</v>
      </c>
      <c r="H2795" s="12" t="str">
        <f t="array" ref="H2795">IF(G2795:G6838="","",_xlfn.XLOOKUP(G2795:G6838,castles_state!A:A,castles_state!D:D,"見つかりません"))</f>
      </c>
      <c r="I2795" s="4"/>
      <c r="J2795" s="12" t="str">
        <f t="array" ref="J2795">IF(I2795:I6838="","",_xlfn.XLOOKUP(I2795:I6838,'参照_姫'!A:A,'参照_姫'!B:B,"見つかりません"))</f>
      </c>
      <c r="K2795" s="4">
        <v>100</v>
      </c>
      <c r="L2795" s="4">
        <v>0</v>
      </c>
      <c r="M2795" s="4"/>
      <c r="N2795" s="4"/>
      <c r="O2795" s="4"/>
      <c r="P2795" s="12" t="str">
        <f t="array" ref="P2795">IF(O2795:O6838="","",_xlfn.XLOOKUP(O2795:O6838,'参照_官位'!A:A,'参照_官位'!B:B,""))</f>
      </c>
      <c r="Q2795" s="12" t="str">
        <f t="array" ref="Q2795">IF(A2795:A6838="","",IFERROR(_xlfn.XLOOKUP(A2795:A6838,castles_state!K:K,castles_state!D:D)&amp;"主",IFERROR(_xlfn.XLOOKUP(A2795:A6838,kunishuClan!D:D,kunishuClan!B:B)&amp;"当主","")))</f>
      </c>
    </row>
    <row r="2796" ht="15.75" customHeight="1">
      <c r="A2796" s="4">
        <v>1074064</v>
      </c>
      <c r="B2796" s="12" t="str">
        <f t="array" ref="B2796">IF(A2796:A6839="","",_xlfn.XLOOKUP(A2796:A6839,'参照_武将'!A:A,'参照_武将'!B:B,"見つかりません"))</f>
      </c>
      <c r="C2796" s="4" t="s">
        <v>347</v>
      </c>
      <c r="D2796" s="4">
        <v>74</v>
      </c>
      <c r="E2796" s="12" t="str">
        <f t="array" ref="E2796">IF(D2796:D6839="","",IFERROR(_xlfn.XLOOKUP(D2796:D6839,'参照_勢力'!A:A,'参照_勢力'!B:B),IFERROR(_xlfn.XLOOKUP(F2796:F6839,kunishuClan!A:A,kunishuClan!B:B),"浪人")))</f>
      </c>
      <c r="F2796" s="4">
        <v>0</v>
      </c>
      <c r="G2796" s="4">
        <v>207</v>
      </c>
      <c r="H2796" s="12" t="str">
        <f t="array" ref="H2796">IF(G2796:G6839="","",_xlfn.XLOOKUP(G2796:G6839,castles_state!A:A,castles_state!D:D,"見つかりません"))</f>
      </c>
      <c r="I2796" s="4"/>
      <c r="J2796" s="12" t="str">
        <f t="array" ref="J2796">IF(I2796:I6839="","",_xlfn.XLOOKUP(I2796:I6839,'参照_姫'!A:A,'参照_姫'!B:B,"見つかりません"))</f>
      </c>
      <c r="K2796" s="4">
        <v>95</v>
      </c>
      <c r="L2796" s="4">
        <v>500</v>
      </c>
      <c r="M2796" s="4"/>
      <c r="N2796" s="4"/>
      <c r="O2796" s="4"/>
      <c r="P2796" s="12" t="str">
        <f t="array" ref="P2796">IF(O2796:O6839="","",_xlfn.XLOOKUP(O2796:O6839,'参照_官位'!A:A,'参照_官位'!B:B,""))</f>
      </c>
      <c r="Q2796" s="12" t="str">
        <f t="array" ref="Q2796">IF(A2796:A6839="","",IFERROR(_xlfn.XLOOKUP(A2796:A6839,castles_state!K:K,castles_state!D:D)&amp;"主",IFERROR(_xlfn.XLOOKUP(A2796:A6839,kunishuClan!D:D,kunishuClan!B:B)&amp;"当主","")))</f>
      </c>
    </row>
    <row r="2797" ht="15.75" customHeight="1">
      <c r="A2797" s="4">
        <v>1074065</v>
      </c>
      <c r="B2797" s="12" t="str">
        <f t="array" ref="B2797">IF(A2797:A6840="","",_xlfn.XLOOKUP(A2797:A6840,'参照_武将'!A:A,'参照_武将'!B:B,"見つかりません"))</f>
      </c>
      <c r="C2797" s="4" t="s">
        <v>347</v>
      </c>
      <c r="D2797" s="4">
        <v>74</v>
      </c>
      <c r="E2797" s="12" t="str">
        <f t="array" ref="E2797">IF(D2797:D6840="","",IFERROR(_xlfn.XLOOKUP(D2797:D6840,'参照_勢力'!A:A,'参照_勢力'!B:B),IFERROR(_xlfn.XLOOKUP(F2797:F6840,kunishuClan!A:A,kunishuClan!B:B),"浪人")))</f>
      </c>
      <c r="F2797" s="4">
        <v>0</v>
      </c>
      <c r="G2797" s="4">
        <v>207</v>
      </c>
      <c r="H2797" s="12" t="str">
        <f t="array" ref="H2797">IF(G2797:G6840="","",_xlfn.XLOOKUP(G2797:G6840,castles_state!A:A,castles_state!D:D,"見つかりません"))</f>
      </c>
      <c r="I2797" s="4"/>
      <c r="J2797" s="12" t="str">
        <f t="array" ref="J2797">IF(I2797:I6840="","",_xlfn.XLOOKUP(I2797:I6840,'参照_姫'!A:A,'参照_姫'!B:B,"見つかりません"))</f>
      </c>
      <c r="K2797" s="4">
        <v>95</v>
      </c>
      <c r="L2797" s="4">
        <v>0</v>
      </c>
      <c r="M2797" s="4"/>
      <c r="N2797" s="4"/>
      <c r="O2797" s="4"/>
      <c r="P2797" s="12" t="str">
        <f t="array" ref="P2797">IF(O2797:O6840="","",_xlfn.XLOOKUP(O2797:O6840,'参照_官位'!A:A,'参照_官位'!B:B,""))</f>
      </c>
      <c r="Q2797" s="12" t="str">
        <f t="array" ref="Q2797">IF(A2797:A6840="","",IFERROR(_xlfn.XLOOKUP(A2797:A6840,castles_state!K:K,castles_state!D:D)&amp;"主",IFERROR(_xlfn.XLOOKUP(A2797:A6840,kunishuClan!D:D,kunishuClan!B:B)&amp;"当主","")))</f>
      </c>
    </row>
    <row r="2798" ht="15.75" customHeight="1">
      <c r="A2798" s="4">
        <v>1074066</v>
      </c>
      <c r="B2798" s="12" t="str">
        <f t="array" ref="B2798">IF(A2798:A6841="","",_xlfn.XLOOKUP(A2798:A6841,'参照_武将'!A:A,'参照_武将'!B:B,"見つかりません"))</f>
      </c>
      <c r="C2798" s="4" t="s">
        <v>347</v>
      </c>
      <c r="D2798" s="4">
        <v>74</v>
      </c>
      <c r="E2798" s="12" t="str">
        <f t="array" ref="E2798">IF(D2798:D6841="","",IFERROR(_xlfn.XLOOKUP(D2798:D6841,'参照_勢力'!A:A,'参照_勢力'!B:B),IFERROR(_xlfn.XLOOKUP(F2798:F6841,kunishuClan!A:A,kunishuClan!B:B),"浪人")))</f>
      </c>
      <c r="F2798" s="4">
        <v>0</v>
      </c>
      <c r="G2798" s="4">
        <v>207</v>
      </c>
      <c r="H2798" s="12" t="str">
        <f t="array" ref="H2798">IF(G2798:G6841="","",_xlfn.XLOOKUP(G2798:G6841,castles_state!A:A,castles_state!D:D,"見つかりません"))</f>
      </c>
      <c r="I2798" s="4"/>
      <c r="J2798" s="12" t="str">
        <f t="array" ref="J2798">IF(I2798:I6841="","",_xlfn.XLOOKUP(I2798:I6841,'参照_姫'!A:A,'参照_姫'!B:B,"見つかりません"))</f>
      </c>
      <c r="K2798" s="4">
        <v>95</v>
      </c>
      <c r="L2798" s="4">
        <v>0</v>
      </c>
      <c r="M2798" s="4"/>
      <c r="N2798" s="4"/>
      <c r="O2798" s="4"/>
      <c r="P2798" s="12" t="str">
        <f t="array" ref="P2798">IF(O2798:O6841="","",_xlfn.XLOOKUP(O2798:O6841,'参照_官位'!A:A,'参照_官位'!B:B,""))</f>
      </c>
      <c r="Q2798" s="12" t="str">
        <f t="array" ref="Q2798">IF(A2798:A6841="","",IFERROR(_xlfn.XLOOKUP(A2798:A6841,castles_state!K:K,castles_state!D:D)&amp;"主",IFERROR(_xlfn.XLOOKUP(A2798:A6841,kunishuClan!D:D,kunishuClan!B:B)&amp;"当主","")))</f>
      </c>
    </row>
    <row r="2799" ht="15.75" customHeight="1">
      <c r="A2799" s="4">
        <v>1074067</v>
      </c>
      <c r="B2799" s="12" t="str">
        <f t="array" ref="B2799">IF(A2799:A6842="","",_xlfn.XLOOKUP(A2799:A6842,'参照_武将'!A:A,'参照_武将'!B:B,"見つかりません"))</f>
      </c>
      <c r="C2799" s="4" t="s">
        <v>347</v>
      </c>
      <c r="D2799" s="4">
        <v>74</v>
      </c>
      <c r="E2799" s="12" t="str">
        <f t="array" ref="E2799">IF(D2799:D6842="","",IFERROR(_xlfn.XLOOKUP(D2799:D6842,'参照_勢力'!A:A,'参照_勢力'!B:B),IFERROR(_xlfn.XLOOKUP(F2799:F6842,kunishuClan!A:A,kunishuClan!B:B),"浪人")))</f>
      </c>
      <c r="F2799" s="4">
        <v>0</v>
      </c>
      <c r="G2799" s="4">
        <v>205</v>
      </c>
      <c r="H2799" s="12" t="str">
        <f t="array" ref="H2799">IF(G2799:G6842="","",_xlfn.XLOOKUP(G2799:G6842,castles_state!A:A,castles_state!D:D,"見つかりません"))</f>
      </c>
      <c r="I2799" s="4"/>
      <c r="J2799" s="12" t="str">
        <f t="array" ref="J2799">IF(I2799:I6842="","",_xlfn.XLOOKUP(I2799:I6842,'参照_姫'!A:A,'参照_姫'!B:B,"見つかりません"))</f>
      </c>
      <c r="K2799" s="4">
        <v>95</v>
      </c>
      <c r="L2799" s="4">
        <v>0</v>
      </c>
      <c r="M2799" s="4"/>
      <c r="N2799" s="4"/>
      <c r="O2799" s="4"/>
      <c r="P2799" s="12" t="str">
        <f t="array" ref="P2799">IF(O2799:O6842="","",_xlfn.XLOOKUP(O2799:O6842,'参照_官位'!A:A,'参照_官位'!B:B,""))</f>
      </c>
      <c r="Q2799" s="12" t="str">
        <f t="array" ref="Q2799">IF(A2799:A6842="","",IFERROR(_xlfn.XLOOKUP(A2799:A6842,castles_state!K:K,castles_state!D:D)&amp;"主",IFERROR(_xlfn.XLOOKUP(A2799:A6842,kunishuClan!D:D,kunishuClan!B:B)&amp;"当主","")))</f>
      </c>
    </row>
    <row r="2800" ht="15.75" customHeight="1">
      <c r="A2800" s="4">
        <v>1075001</v>
      </c>
      <c r="B2800" s="12" t="str">
        <f t="array" ref="B2800">IF(A2800:A6843="","",_xlfn.XLOOKUP(A2800:A6843,'参照_武将'!A:A,'参照_武将'!B:B,"見つかりません"))</f>
      </c>
      <c r="C2800" s="4" t="s">
        <v>351</v>
      </c>
      <c r="D2800" s="4">
        <v>75</v>
      </c>
      <c r="E2800" s="12" t="str">
        <f t="array" ref="E2800">IF(D2800:D6843="","",IFERROR(_xlfn.XLOOKUP(D2800:D6843,'参照_勢力'!A:A,'参照_勢力'!B:B),IFERROR(_xlfn.XLOOKUP(F2800:F6843,kunishuClan!A:A,kunishuClan!B:B),"浪人")))</f>
      </c>
      <c r="F2800" s="4">
        <v>0</v>
      </c>
      <c r="G2800" s="4">
        <v>204</v>
      </c>
      <c r="H2800" s="12" t="str">
        <f t="array" ref="H2800">IF(G2800:G6843="","",_xlfn.XLOOKUP(G2800:G6843,castles_state!A:A,castles_state!D:D,"見つかりません"))</f>
      </c>
      <c r="I2800" s="4"/>
      <c r="J2800" s="12" t="str">
        <f t="array" ref="J2800">IF(I2800:I6843="","",_xlfn.XLOOKUP(I2800:I6843,'参照_姫'!A:A,'参照_姫'!B:B,"見つかりません"))</f>
      </c>
      <c r="K2800" s="4">
        <v>95</v>
      </c>
      <c r="L2800" s="4">
        <v>0</v>
      </c>
      <c r="M2800" s="4"/>
      <c r="N2800" s="4"/>
      <c r="O2800" s="4"/>
      <c r="P2800" s="12" t="str">
        <f t="array" ref="P2800">IF(O2800:O6843="","",_xlfn.XLOOKUP(O2800:O6843,'参照_官位'!A:A,'参照_官位'!B:B,""))</f>
      </c>
      <c r="Q2800" s="12" t="str">
        <f t="array" ref="Q2800">IF(A2800:A6843="","",IFERROR(_xlfn.XLOOKUP(A2800:A6843,castles_state!K:K,castles_state!D:D)&amp;"主",IFERROR(_xlfn.XLOOKUP(A2800:A6843,kunishuClan!D:D,kunishuClan!B:B)&amp;"当主","")))</f>
      </c>
    </row>
    <row r="2801" ht="15.75" customHeight="1">
      <c r="A2801" s="4">
        <v>1075002</v>
      </c>
      <c r="B2801" s="12" t="str">
        <f t="array" ref="B2801">IF(A2801:A6844="","",_xlfn.XLOOKUP(A2801:A6844,'参照_武将'!A:A,'参照_武将'!B:B,"見つかりません"))</f>
      </c>
      <c r="C2801" s="4" t="s">
        <v>351</v>
      </c>
      <c r="D2801" s="4">
        <v>75</v>
      </c>
      <c r="E2801" s="12" t="str">
        <f t="array" ref="E2801">IF(D2801:D6844="","",IFERROR(_xlfn.XLOOKUP(D2801:D6844,'参照_勢力'!A:A,'参照_勢力'!B:B),IFERROR(_xlfn.XLOOKUP(F2801:F6844,kunishuClan!A:A,kunishuClan!B:B),"浪人")))</f>
      </c>
      <c r="F2801" s="4">
        <v>0</v>
      </c>
      <c r="G2801" s="4">
        <v>204</v>
      </c>
      <c r="H2801" s="12" t="str">
        <f t="array" ref="H2801">IF(G2801:G6844="","",_xlfn.XLOOKUP(G2801:G6844,castles_state!A:A,castles_state!D:D,"見つかりません"))</f>
      </c>
      <c r="I2801" s="4"/>
      <c r="J2801" s="12" t="str">
        <f t="array" ref="J2801">IF(I2801:I6844="","",_xlfn.XLOOKUP(I2801:I6844,'参照_姫'!A:A,'参照_姫'!B:B,"見つかりません"))</f>
      </c>
      <c r="K2801" s="4">
        <v>95</v>
      </c>
      <c r="L2801" s="4">
        <v>200</v>
      </c>
      <c r="M2801" s="4"/>
      <c r="N2801" s="4"/>
      <c r="O2801" s="4"/>
      <c r="P2801" s="12" t="str">
        <f t="array" ref="P2801">IF(O2801:O6844="","",_xlfn.XLOOKUP(O2801:O6844,'参照_官位'!A:A,'参照_官位'!B:B,""))</f>
      </c>
      <c r="Q2801" s="12" t="str">
        <f t="array" ref="Q2801">IF(A2801:A6844="","",IFERROR(_xlfn.XLOOKUP(A2801:A6844,castles_state!K:K,castles_state!D:D)&amp;"主",IFERROR(_xlfn.XLOOKUP(A2801:A6844,kunishuClan!D:D,kunishuClan!B:B)&amp;"当主","")))</f>
      </c>
    </row>
    <row r="2802" ht="15.75" customHeight="1">
      <c r="A2802" s="4">
        <v>1075003</v>
      </c>
      <c r="B2802" s="12" t="str">
        <f t="array" ref="B2802">IF(A2802:A6845="","",_xlfn.XLOOKUP(A2802:A6845,'参照_武将'!A:A,'参照_武将'!B:B,"見つかりません"))</f>
      </c>
      <c r="C2802" s="4" t="s">
        <v>351</v>
      </c>
      <c r="D2802" s="4">
        <v>75</v>
      </c>
      <c r="E2802" s="12" t="str">
        <f t="array" ref="E2802">IF(D2802:D6845="","",IFERROR(_xlfn.XLOOKUP(D2802:D6845,'参照_勢力'!A:A,'参照_勢力'!B:B),IFERROR(_xlfn.XLOOKUP(F2802:F6845,kunishuClan!A:A,kunishuClan!B:B),"浪人")))</f>
      </c>
      <c r="F2802" s="4">
        <v>0</v>
      </c>
      <c r="G2802" s="4">
        <v>204</v>
      </c>
      <c r="H2802" s="12" t="str">
        <f t="array" ref="H2802">IF(G2802:G6845="","",_xlfn.XLOOKUP(G2802:G6845,castles_state!A:A,castles_state!D:D,"見つかりません"))</f>
      </c>
      <c r="I2802" s="4"/>
      <c r="J2802" s="12" t="str">
        <f t="array" ref="J2802">IF(I2802:I6845="","",_xlfn.XLOOKUP(I2802:I6845,'参照_姫'!A:A,'参照_姫'!B:B,"見つかりません"))</f>
      </c>
      <c r="K2802" s="4">
        <v>100</v>
      </c>
      <c r="L2802" s="4">
        <v>1000</v>
      </c>
      <c r="M2802" s="4"/>
      <c r="N2802" s="4" t="b">
        <v>1</v>
      </c>
      <c r="O2802" s="4"/>
      <c r="P2802" s="12" t="str">
        <f t="array" ref="P2802">IF(O2802:O6845="","",_xlfn.XLOOKUP(O2802:O6845,'参照_官位'!A:A,'参照_官位'!B:B,""))</f>
      </c>
      <c r="Q2802" s="12" t="str">
        <f t="array" ref="Q2802">IF(A2802:A6845="","",IFERROR(_xlfn.XLOOKUP(A2802:A6845,castles_state!K:K,castles_state!D:D)&amp;"主",IFERROR(_xlfn.XLOOKUP(A2802:A6845,kunishuClan!D:D,kunishuClan!B:B)&amp;"当主","")))</f>
      </c>
    </row>
    <row r="2803" ht="15.75" customHeight="1">
      <c r="A2803" s="4">
        <v>1075004</v>
      </c>
      <c r="B2803" s="12" t="str">
        <f t="array" ref="B2803">IF(A2803:A6846="","",_xlfn.XLOOKUP(A2803:A6846,'参照_武将'!A:A,'参照_武将'!B:B,"見つかりません"))</f>
      </c>
      <c r="C2803" s="4" t="s">
        <v>351</v>
      </c>
      <c r="D2803" s="4">
        <v>75</v>
      </c>
      <c r="E2803" s="12" t="str">
        <f t="array" ref="E2803">IF(D2803:D6846="","",IFERROR(_xlfn.XLOOKUP(D2803:D6846,'参照_勢力'!A:A,'参照_勢力'!B:B),IFERROR(_xlfn.XLOOKUP(F2803:F6846,kunishuClan!A:A,kunishuClan!B:B),"浪人")))</f>
      </c>
      <c r="F2803" s="4">
        <v>0</v>
      </c>
      <c r="G2803" s="4">
        <v>204</v>
      </c>
      <c r="H2803" s="12" t="str">
        <f t="array" ref="H2803">IF(G2803:G6846="","",_xlfn.XLOOKUP(G2803:G6846,castles_state!A:A,castles_state!D:D,"見つかりません"))</f>
      </c>
      <c r="I2803" s="4"/>
      <c r="J2803" s="12" t="str">
        <f t="array" ref="J2803">IF(I2803:I6846="","",_xlfn.XLOOKUP(I2803:I6846,'参照_姫'!A:A,'参照_姫'!B:B,"見つかりません"))</f>
      </c>
      <c r="K2803" s="4">
        <v>100</v>
      </c>
      <c r="L2803" s="4">
        <v>1000</v>
      </c>
      <c r="M2803" s="4"/>
      <c r="N2803" s="4"/>
      <c r="O2803" s="4"/>
      <c r="P2803" s="12" t="str">
        <f t="array" ref="P2803">IF(O2803:O6846="","",_xlfn.XLOOKUP(O2803:O6846,'参照_官位'!A:A,'参照_官位'!B:B,""))</f>
      </c>
      <c r="Q2803" s="12" t="str">
        <f t="array" ref="Q2803">IF(A2803:A6846="","",IFERROR(_xlfn.XLOOKUP(A2803:A6846,castles_state!K:K,castles_state!D:D)&amp;"主",IFERROR(_xlfn.XLOOKUP(A2803:A6846,kunishuClan!D:D,kunishuClan!B:B)&amp;"当主","")))</f>
      </c>
    </row>
    <row r="2804" ht="15.75" customHeight="1">
      <c r="A2804" s="4">
        <v>1075005</v>
      </c>
      <c r="B2804" s="12" t="str">
        <f t="array" ref="B2804">IF(A2804:A6847="","",_xlfn.XLOOKUP(A2804:A6847,'参照_武将'!A:A,'参照_武将'!B:B,"見つかりません"))</f>
      </c>
      <c r="C2804" s="4" t="s">
        <v>351</v>
      </c>
      <c r="D2804" s="4">
        <v>75</v>
      </c>
      <c r="E2804" s="12" t="str">
        <f t="array" ref="E2804">IF(D2804:D6847="","",IFERROR(_xlfn.XLOOKUP(D2804:D6847,'参照_勢力'!A:A,'参照_勢力'!B:B),IFERROR(_xlfn.XLOOKUP(F2804:F6847,kunishuClan!A:A,kunishuClan!B:B),"浪人")))</f>
      </c>
      <c r="F2804" s="4">
        <v>0</v>
      </c>
      <c r="G2804" s="4">
        <v>204</v>
      </c>
      <c r="H2804" s="12" t="str">
        <f t="array" ref="H2804">IF(G2804:G6847="","",_xlfn.XLOOKUP(G2804:G6847,castles_state!A:A,castles_state!D:D,"見つかりません"))</f>
      </c>
      <c r="I2804" s="4"/>
      <c r="J2804" s="12" t="str">
        <f t="array" ref="J2804">IF(I2804:I6847="","",_xlfn.XLOOKUP(I2804:I6847,'参照_姫'!A:A,'参照_姫'!B:B,"見つかりません"))</f>
      </c>
      <c r="K2804" s="4">
        <v>95</v>
      </c>
      <c r="L2804" s="4">
        <v>0</v>
      </c>
      <c r="M2804" s="4"/>
      <c r="N2804" s="4"/>
      <c r="O2804" s="4"/>
      <c r="P2804" s="12" t="str">
        <f t="array" ref="P2804">IF(O2804:O6847="","",_xlfn.XLOOKUP(O2804:O6847,'参照_官位'!A:A,'参照_官位'!B:B,""))</f>
      </c>
      <c r="Q2804" s="12" t="str">
        <f t="array" ref="Q2804">IF(A2804:A6847="","",IFERROR(_xlfn.XLOOKUP(A2804:A6847,castles_state!K:K,castles_state!D:D)&amp;"主",IFERROR(_xlfn.XLOOKUP(A2804:A6847,kunishuClan!D:D,kunishuClan!B:B)&amp;"当主","")))</f>
      </c>
    </row>
    <row r="2805" ht="15.75" customHeight="1">
      <c r="A2805" s="4">
        <v>1075006</v>
      </c>
      <c r="B2805" s="12" t="str">
        <f t="array" ref="B2805">IF(A2805:A6848="","",_xlfn.XLOOKUP(A2805:A6848,'参照_武将'!A:A,'参照_武将'!B:B,"見つかりません"))</f>
      </c>
      <c r="C2805" s="4" t="s">
        <v>351</v>
      </c>
      <c r="D2805" s="4">
        <v>75</v>
      </c>
      <c r="E2805" s="12" t="str">
        <f t="array" ref="E2805">IF(D2805:D6848="","",IFERROR(_xlfn.XLOOKUP(D2805:D6848,'参照_勢力'!A:A,'参照_勢力'!B:B),IFERROR(_xlfn.XLOOKUP(F2805:F6848,kunishuClan!A:A,kunishuClan!B:B),"浪人")))</f>
      </c>
      <c r="F2805" s="4">
        <v>0</v>
      </c>
      <c r="G2805" s="4">
        <v>204</v>
      </c>
      <c r="H2805" s="12" t="str">
        <f t="array" ref="H2805">IF(G2805:G6848="","",_xlfn.XLOOKUP(G2805:G6848,castles_state!A:A,castles_state!D:D,"見つかりません"))</f>
      </c>
      <c r="I2805" s="4"/>
      <c r="J2805" s="12" t="str">
        <f t="array" ref="J2805">IF(I2805:I6848="","",_xlfn.XLOOKUP(I2805:I6848,'参照_姫'!A:A,'参照_姫'!B:B,"見つかりません"))</f>
      </c>
      <c r="K2805" s="4">
        <v>95</v>
      </c>
      <c r="L2805" s="4">
        <v>0</v>
      </c>
      <c r="M2805" s="4"/>
      <c r="N2805" s="4"/>
      <c r="O2805" s="4"/>
      <c r="P2805" s="12" t="str">
        <f t="array" ref="P2805">IF(O2805:O6848="","",_xlfn.XLOOKUP(O2805:O6848,'参照_官位'!A:A,'参照_官位'!B:B,""))</f>
      </c>
      <c r="Q2805" s="12" t="str">
        <f t="array" ref="Q2805">IF(A2805:A6848="","",IFERROR(_xlfn.XLOOKUP(A2805:A6848,castles_state!K:K,castles_state!D:D)&amp;"主",IFERROR(_xlfn.XLOOKUP(A2805:A6848,kunishuClan!D:D,kunishuClan!B:B)&amp;"当主","")))</f>
      </c>
    </row>
    <row r="2806" ht="15.75" customHeight="1">
      <c r="A2806" s="4">
        <v>1075007</v>
      </c>
      <c r="B2806" s="12" t="str">
        <f t="array" ref="B2806">IF(A2806:A6849="","",_xlfn.XLOOKUP(A2806:A6849,'参照_武将'!A:A,'参照_武将'!B:B,"見つかりません"))</f>
      </c>
      <c r="C2806" s="4" t="s">
        <v>351</v>
      </c>
      <c r="D2806" s="4">
        <v>75</v>
      </c>
      <c r="E2806" s="12" t="str">
        <f t="array" ref="E2806">IF(D2806:D6849="","",IFERROR(_xlfn.XLOOKUP(D2806:D6849,'参照_勢力'!A:A,'参照_勢力'!B:B),IFERROR(_xlfn.XLOOKUP(F2806:F6849,kunishuClan!A:A,kunishuClan!B:B),"浪人")))</f>
      </c>
      <c r="F2806" s="4">
        <v>0</v>
      </c>
      <c r="G2806" s="4">
        <v>204</v>
      </c>
      <c r="H2806" s="12" t="str">
        <f t="array" ref="H2806">IF(G2806:G6849="","",_xlfn.XLOOKUP(G2806:G6849,castles_state!A:A,castles_state!D:D,"見つかりません"))</f>
      </c>
      <c r="I2806" s="4"/>
      <c r="J2806" s="12" t="str">
        <f t="array" ref="J2806">IF(I2806:I6849="","",_xlfn.XLOOKUP(I2806:I6849,'参照_姫'!A:A,'参照_姫'!B:B,"見つかりません"))</f>
      </c>
      <c r="K2806" s="4">
        <v>95</v>
      </c>
      <c r="L2806" s="4">
        <v>0</v>
      </c>
      <c r="M2806" s="4"/>
      <c r="N2806" s="4"/>
      <c r="O2806" s="4"/>
      <c r="P2806" s="12" t="str">
        <f t="array" ref="P2806">IF(O2806:O6849="","",_xlfn.XLOOKUP(O2806:O6849,'参照_官位'!A:A,'参照_官位'!B:B,""))</f>
      </c>
      <c r="Q2806" s="12" t="str">
        <f t="array" ref="Q2806">IF(A2806:A6849="","",IFERROR(_xlfn.XLOOKUP(A2806:A6849,castles_state!K:K,castles_state!D:D)&amp;"主",IFERROR(_xlfn.XLOOKUP(A2806:A6849,kunishuClan!D:D,kunishuClan!B:B)&amp;"当主","")))</f>
      </c>
    </row>
    <row r="2807" ht="15.75" customHeight="1">
      <c r="A2807" s="4">
        <v>1075008</v>
      </c>
      <c r="B2807" s="12" t="str">
        <f t="array" ref="B2807">IF(A2807:A6850="","",_xlfn.XLOOKUP(A2807:A6850,'参照_武将'!A:A,'参照_武将'!B:B,"見つかりません"))</f>
      </c>
      <c r="C2807" s="4" t="s">
        <v>351</v>
      </c>
      <c r="D2807" s="4">
        <v>75</v>
      </c>
      <c r="E2807" s="12" t="str">
        <f t="array" ref="E2807">IF(D2807:D6850="","",IFERROR(_xlfn.XLOOKUP(D2807:D6850,'参照_勢力'!A:A,'参照_勢力'!B:B),IFERROR(_xlfn.XLOOKUP(F2807:F6850,kunishuClan!A:A,kunishuClan!B:B),"浪人")))</f>
      </c>
      <c r="F2807" s="4">
        <v>0</v>
      </c>
      <c r="G2807" s="4">
        <v>204</v>
      </c>
      <c r="H2807" s="12" t="str">
        <f t="array" ref="H2807">IF(G2807:G6850="","",_xlfn.XLOOKUP(G2807:G6850,castles_state!A:A,castles_state!D:D,"見つかりません"))</f>
      </c>
      <c r="I2807" s="4"/>
      <c r="J2807" s="12" t="str">
        <f t="array" ref="J2807">IF(I2807:I6850="","",_xlfn.XLOOKUP(I2807:I6850,'参照_姫'!A:A,'参照_姫'!B:B,"見つかりません"))</f>
      </c>
      <c r="K2807" s="4">
        <v>95</v>
      </c>
      <c r="L2807" s="4">
        <v>0</v>
      </c>
      <c r="M2807" s="4"/>
      <c r="N2807" s="4"/>
      <c r="O2807" s="4"/>
      <c r="P2807" s="12" t="str">
        <f t="array" ref="P2807">IF(O2807:O6850="","",_xlfn.XLOOKUP(O2807:O6850,'参照_官位'!A:A,'参照_官位'!B:B,""))</f>
      </c>
      <c r="Q2807" s="12" t="str">
        <f t="array" ref="Q2807">IF(A2807:A6850="","",IFERROR(_xlfn.XLOOKUP(A2807:A6850,castles_state!K:K,castles_state!D:D)&amp;"主",IFERROR(_xlfn.XLOOKUP(A2807:A6850,kunishuClan!D:D,kunishuClan!B:B)&amp;"当主","")))</f>
      </c>
    </row>
    <row r="2808" ht="15.75" customHeight="1">
      <c r="A2808" s="4">
        <v>1075009</v>
      </c>
      <c r="B2808" s="12" t="str">
        <f t="array" ref="B2808">IF(A2808:A6851="","",_xlfn.XLOOKUP(A2808:A6851,'参照_武将'!A:A,'参照_武将'!B:B,"見つかりません"))</f>
      </c>
      <c r="C2808" s="4" t="s">
        <v>351</v>
      </c>
      <c r="D2808" s="4">
        <v>75</v>
      </c>
      <c r="E2808" s="12" t="str">
        <f t="array" ref="E2808">IF(D2808:D6851="","",IFERROR(_xlfn.XLOOKUP(D2808:D6851,'参照_勢力'!A:A,'参照_勢力'!B:B),IFERROR(_xlfn.XLOOKUP(F2808:F6851,kunishuClan!A:A,kunishuClan!B:B),"浪人")))</f>
      </c>
      <c r="F2808" s="4">
        <v>0</v>
      </c>
      <c r="G2808" s="4">
        <v>204</v>
      </c>
      <c r="H2808" s="12" t="str">
        <f t="array" ref="H2808">IF(G2808:G6851="","",_xlfn.XLOOKUP(G2808:G6851,castles_state!A:A,castles_state!D:D,"見つかりません"))</f>
      </c>
      <c r="I2808" s="4"/>
      <c r="J2808" s="12" t="str">
        <f t="array" ref="J2808">IF(I2808:I6851="","",_xlfn.XLOOKUP(I2808:I6851,'参照_姫'!A:A,'参照_姫'!B:B,"見つかりません"))</f>
      </c>
      <c r="K2808" s="4">
        <v>95</v>
      </c>
      <c r="L2808" s="4">
        <v>0</v>
      </c>
      <c r="M2808" s="4"/>
      <c r="N2808" s="4"/>
      <c r="O2808" s="4"/>
      <c r="P2808" s="12" t="str">
        <f t="array" ref="P2808">IF(O2808:O6851="","",_xlfn.XLOOKUP(O2808:O6851,'参照_官位'!A:A,'参照_官位'!B:B,""))</f>
      </c>
      <c r="Q2808" s="12" t="str">
        <f t="array" ref="Q2808">IF(A2808:A6851="","",IFERROR(_xlfn.XLOOKUP(A2808:A6851,castles_state!K:K,castles_state!D:D)&amp;"主",IFERROR(_xlfn.XLOOKUP(A2808:A6851,kunishuClan!D:D,kunishuClan!B:B)&amp;"当主","")))</f>
      </c>
    </row>
    <row r="2809" ht="15.75" customHeight="1">
      <c r="A2809" s="4">
        <v>1075010</v>
      </c>
      <c r="B2809" s="12" t="str">
        <f t="array" ref="B2809">IF(A2809:A6852="","",_xlfn.XLOOKUP(A2809:A6852,'参照_武将'!A:A,'参照_武将'!B:B,"見つかりません"))</f>
      </c>
      <c r="C2809" s="4" t="s">
        <v>351</v>
      </c>
      <c r="D2809" s="4">
        <v>75</v>
      </c>
      <c r="E2809" s="12" t="str">
        <f t="array" ref="E2809">IF(D2809:D6852="","",IFERROR(_xlfn.XLOOKUP(D2809:D6852,'参照_勢力'!A:A,'参照_勢力'!B:B),IFERROR(_xlfn.XLOOKUP(F2809:F6852,kunishuClan!A:A,kunishuClan!B:B),"浪人")))</f>
      </c>
      <c r="F2809" s="4">
        <v>0</v>
      </c>
      <c r="G2809" s="4">
        <v>204</v>
      </c>
      <c r="H2809" s="12" t="str">
        <f t="array" ref="H2809">IF(G2809:G6852="","",_xlfn.XLOOKUP(G2809:G6852,castles_state!A:A,castles_state!D:D,"見つかりません"))</f>
      </c>
      <c r="I2809" s="4"/>
      <c r="J2809" s="12" t="str">
        <f t="array" ref="J2809">IF(I2809:I6852="","",_xlfn.XLOOKUP(I2809:I6852,'参照_姫'!A:A,'参照_姫'!B:B,"見つかりません"))</f>
      </c>
      <c r="K2809" s="4">
        <v>95</v>
      </c>
      <c r="L2809" s="4">
        <v>0</v>
      </c>
      <c r="M2809" s="4"/>
      <c r="N2809" s="4"/>
      <c r="O2809" s="4"/>
      <c r="P2809" s="12" t="str">
        <f t="array" ref="P2809">IF(O2809:O6852="","",_xlfn.XLOOKUP(O2809:O6852,'参照_官位'!A:A,'参照_官位'!B:B,""))</f>
      </c>
      <c r="Q2809" s="12" t="str">
        <f t="array" ref="Q2809">IF(A2809:A6852="","",IFERROR(_xlfn.XLOOKUP(A2809:A6852,castles_state!K:K,castles_state!D:D)&amp;"主",IFERROR(_xlfn.XLOOKUP(A2809:A6852,kunishuClan!D:D,kunishuClan!B:B)&amp;"当主","")))</f>
      </c>
    </row>
    <row r="2810" ht="15.75" customHeight="1">
      <c r="A2810" s="4">
        <v>1075011</v>
      </c>
      <c r="B2810" s="12" t="str">
        <f t="array" ref="B2810">IF(A2810:A6853="","",_xlfn.XLOOKUP(A2810:A6853,'参照_武将'!A:A,'参照_武将'!B:B,"見つかりません"))</f>
      </c>
      <c r="C2810" s="4" t="s">
        <v>351</v>
      </c>
      <c r="D2810" s="4">
        <v>75</v>
      </c>
      <c r="E2810" s="12" t="str">
        <f t="array" ref="E2810">IF(D2810:D6853="","",IFERROR(_xlfn.XLOOKUP(D2810:D6853,'参照_勢力'!A:A,'参照_勢力'!B:B),IFERROR(_xlfn.XLOOKUP(F2810:F6853,kunishuClan!A:A,kunishuClan!B:B),"浪人")))</f>
      </c>
      <c r="F2810" s="4">
        <v>0</v>
      </c>
      <c r="G2810" s="4">
        <v>204</v>
      </c>
      <c r="H2810" s="12" t="str">
        <f t="array" ref="H2810">IF(G2810:G6853="","",_xlfn.XLOOKUP(G2810:G6853,castles_state!A:A,castles_state!D:D,"見つかりません"))</f>
      </c>
      <c r="I2810" s="4"/>
      <c r="J2810" s="12" t="str">
        <f t="array" ref="J2810">IF(I2810:I6853="","",_xlfn.XLOOKUP(I2810:I6853,'参照_姫'!A:A,'参照_姫'!B:B,"見つかりません"))</f>
      </c>
      <c r="K2810" s="4">
        <v>95</v>
      </c>
      <c r="L2810" s="4">
        <v>0</v>
      </c>
      <c r="M2810" s="4"/>
      <c r="N2810" s="4"/>
      <c r="O2810" s="4"/>
      <c r="P2810" s="12" t="str">
        <f t="array" ref="P2810">IF(O2810:O6853="","",_xlfn.XLOOKUP(O2810:O6853,'参照_官位'!A:A,'参照_官位'!B:B,""))</f>
      </c>
      <c r="Q2810" s="12" t="str">
        <f t="array" ref="Q2810">IF(A2810:A6853="","",IFERROR(_xlfn.XLOOKUP(A2810:A6853,castles_state!K:K,castles_state!D:D)&amp;"主",IFERROR(_xlfn.XLOOKUP(A2810:A6853,kunishuClan!D:D,kunishuClan!B:B)&amp;"当主","")))</f>
      </c>
    </row>
    <row r="2811" ht="15.75" customHeight="1">
      <c r="A2811" s="4">
        <v>1075012</v>
      </c>
      <c r="B2811" s="12" t="str">
        <f t="array" ref="B2811">IF(A2811:A6854="","",_xlfn.XLOOKUP(A2811:A6854,'参照_武将'!A:A,'参照_武将'!B:B,"見つかりません"))</f>
      </c>
      <c r="C2811" s="4" t="s">
        <v>351</v>
      </c>
      <c r="D2811" s="4">
        <v>75</v>
      </c>
      <c r="E2811" s="12" t="str">
        <f t="array" ref="E2811">IF(D2811:D6854="","",IFERROR(_xlfn.XLOOKUP(D2811:D6854,'参照_勢力'!A:A,'参照_勢力'!B:B),IFERROR(_xlfn.XLOOKUP(F2811:F6854,kunishuClan!A:A,kunishuClan!B:B),"浪人")))</f>
      </c>
      <c r="F2811" s="4">
        <v>0</v>
      </c>
      <c r="G2811" s="4">
        <v>204</v>
      </c>
      <c r="H2811" s="12" t="str">
        <f t="array" ref="H2811">IF(G2811:G6854="","",_xlfn.XLOOKUP(G2811:G6854,castles_state!A:A,castles_state!D:D,"見つかりません"))</f>
      </c>
      <c r="I2811" s="4"/>
      <c r="J2811" s="12" t="str">
        <f t="array" ref="J2811">IF(I2811:I6854="","",_xlfn.XLOOKUP(I2811:I6854,'参照_姫'!A:A,'参照_姫'!B:B,"見つかりません"))</f>
      </c>
      <c r="K2811" s="4">
        <v>95</v>
      </c>
      <c r="L2811" s="4">
        <v>0</v>
      </c>
      <c r="M2811" s="4"/>
      <c r="N2811" s="4"/>
      <c r="O2811" s="4"/>
      <c r="P2811" s="12" t="str">
        <f t="array" ref="P2811">IF(O2811:O6854="","",_xlfn.XLOOKUP(O2811:O6854,'参照_官位'!A:A,'参照_官位'!B:B,""))</f>
      </c>
      <c r="Q2811" s="12" t="str">
        <f t="array" ref="Q2811">IF(A2811:A6854="","",IFERROR(_xlfn.XLOOKUP(A2811:A6854,castles_state!K:K,castles_state!D:D)&amp;"主",IFERROR(_xlfn.XLOOKUP(A2811:A6854,kunishuClan!D:D,kunishuClan!B:B)&amp;"当主","")))</f>
      </c>
    </row>
    <row r="2812" ht="15.75" customHeight="1">
      <c r="A2812" s="4">
        <v>1075013</v>
      </c>
      <c r="B2812" s="12" t="str">
        <f t="array" ref="B2812">IF(A2812:A6855="","",_xlfn.XLOOKUP(A2812:A6855,'参照_武将'!A:A,'参照_武将'!B:B,"見つかりません"))</f>
      </c>
      <c r="C2812" s="4" t="s">
        <v>351</v>
      </c>
      <c r="D2812" s="4">
        <v>75</v>
      </c>
      <c r="E2812" s="12" t="str">
        <f t="array" ref="E2812">IF(D2812:D6855="","",IFERROR(_xlfn.XLOOKUP(D2812:D6855,'参照_勢力'!A:A,'参照_勢力'!B:B),IFERROR(_xlfn.XLOOKUP(F2812:F6855,kunishuClan!A:A,kunishuClan!B:B),"浪人")))</f>
      </c>
      <c r="F2812" s="4">
        <v>0</v>
      </c>
      <c r="G2812" s="4">
        <v>204</v>
      </c>
      <c r="H2812" s="12" t="str">
        <f t="array" ref="H2812">IF(G2812:G6855="","",_xlfn.XLOOKUP(G2812:G6855,castles_state!A:A,castles_state!D:D,"見つかりません"))</f>
      </c>
      <c r="I2812" s="4"/>
      <c r="J2812" s="12" t="str">
        <f t="array" ref="J2812">IF(I2812:I6855="","",_xlfn.XLOOKUP(I2812:I6855,'参照_姫'!A:A,'参照_姫'!B:B,"見つかりません"))</f>
      </c>
      <c r="K2812" s="4">
        <v>95</v>
      </c>
      <c r="L2812" s="4">
        <v>0</v>
      </c>
      <c r="M2812" s="4" t="b">
        <v>1</v>
      </c>
      <c r="N2812" s="4"/>
      <c r="O2812" s="4"/>
      <c r="P2812" s="12" t="str">
        <f t="array" ref="P2812">IF(O2812:O6855="","",_xlfn.XLOOKUP(O2812:O6855,'参照_官位'!A:A,'参照_官位'!B:B,""))</f>
      </c>
      <c r="Q2812" s="12" t="str">
        <f t="array" ref="Q2812">IF(A2812:A6855="","",IFERROR(_xlfn.XLOOKUP(A2812:A6855,castles_state!K:K,castles_state!D:D)&amp;"主",IFERROR(_xlfn.XLOOKUP(A2812:A6855,kunishuClan!D:D,kunishuClan!B:B)&amp;"当主","")))</f>
      </c>
    </row>
    <row r="2813" ht="15.75" customHeight="1">
      <c r="A2813" s="4">
        <v>1075014</v>
      </c>
      <c r="B2813" s="12" t="str">
        <f t="array" ref="B2813">IF(A2813:A6856="","",_xlfn.XLOOKUP(A2813:A6856,'参照_武将'!A:A,'参照_武将'!B:B,"見つかりません"))</f>
      </c>
      <c r="C2813" s="4" t="s">
        <v>351</v>
      </c>
      <c r="D2813" s="4">
        <v>75</v>
      </c>
      <c r="E2813" s="12" t="str">
        <f t="array" ref="E2813">IF(D2813:D6856="","",IFERROR(_xlfn.XLOOKUP(D2813:D6856,'参照_勢力'!A:A,'参照_勢力'!B:B),IFERROR(_xlfn.XLOOKUP(F2813:F6856,kunishuClan!A:A,kunishuClan!B:B),"浪人")))</f>
      </c>
      <c r="F2813" s="4">
        <v>0</v>
      </c>
      <c r="G2813" s="4">
        <v>204</v>
      </c>
      <c r="H2813" s="12" t="str">
        <f t="array" ref="H2813">IF(G2813:G6856="","",_xlfn.XLOOKUP(G2813:G6856,castles_state!A:A,castles_state!D:D,"見つかりません"))</f>
      </c>
      <c r="I2813" s="4"/>
      <c r="J2813" s="12" t="str">
        <f t="array" ref="J2813">IF(I2813:I6856="","",_xlfn.XLOOKUP(I2813:I6856,'参照_姫'!A:A,'参照_姫'!B:B,"見つかりません"))</f>
      </c>
      <c r="K2813" s="4">
        <v>95</v>
      </c>
      <c r="L2813" s="4">
        <v>0</v>
      </c>
      <c r="M2813" s="4"/>
      <c r="N2813" s="4"/>
      <c r="O2813" s="4"/>
      <c r="P2813" s="12" t="str">
        <f t="array" ref="P2813">IF(O2813:O6856="","",_xlfn.XLOOKUP(O2813:O6856,'参照_官位'!A:A,'参照_官位'!B:B,""))</f>
      </c>
      <c r="Q2813" s="12" t="str">
        <f t="array" ref="Q2813">IF(A2813:A6856="","",IFERROR(_xlfn.XLOOKUP(A2813:A6856,castles_state!K:K,castles_state!D:D)&amp;"主",IFERROR(_xlfn.XLOOKUP(A2813:A6856,kunishuClan!D:D,kunishuClan!B:B)&amp;"当主","")))</f>
      </c>
    </row>
    <row r="2814" ht="15.75" customHeight="1">
      <c r="A2814" s="4">
        <v>1075015</v>
      </c>
      <c r="B2814" s="12" t="str">
        <f t="array" ref="B2814">IF(A2814:A6857="","",_xlfn.XLOOKUP(A2814:A6857,'参照_武将'!A:A,'参照_武将'!B:B,"見つかりません"))</f>
      </c>
      <c r="C2814" s="4" t="s">
        <v>351</v>
      </c>
      <c r="D2814" s="4">
        <v>75</v>
      </c>
      <c r="E2814" s="12" t="str">
        <f t="array" ref="E2814">IF(D2814:D6857="","",IFERROR(_xlfn.XLOOKUP(D2814:D6857,'参照_勢力'!A:A,'参照_勢力'!B:B),IFERROR(_xlfn.XLOOKUP(F2814:F6857,kunishuClan!A:A,kunishuClan!B:B),"浪人")))</f>
      </c>
      <c r="F2814" s="4">
        <v>0</v>
      </c>
      <c r="G2814" s="4">
        <v>204</v>
      </c>
      <c r="H2814" s="12" t="str">
        <f t="array" ref="H2814">IF(G2814:G6857="","",_xlfn.XLOOKUP(G2814:G6857,castles_state!A:A,castles_state!D:D,"見つかりません"))</f>
      </c>
      <c r="I2814" s="4"/>
      <c r="J2814" s="12" t="str">
        <f t="array" ref="J2814">IF(I2814:I6857="","",_xlfn.XLOOKUP(I2814:I6857,'参照_姫'!A:A,'参照_姫'!B:B,"見つかりません"))</f>
      </c>
      <c r="K2814" s="4">
        <v>95</v>
      </c>
      <c r="L2814" s="4">
        <v>0</v>
      </c>
      <c r="M2814" s="4"/>
      <c r="N2814" s="4"/>
      <c r="O2814" s="4"/>
      <c r="P2814" s="12" t="str">
        <f t="array" ref="P2814">IF(O2814:O6857="","",_xlfn.XLOOKUP(O2814:O6857,'参照_官位'!A:A,'参照_官位'!B:B,""))</f>
      </c>
      <c r="Q2814" s="12" t="str">
        <f t="array" ref="Q2814">IF(A2814:A6857="","",IFERROR(_xlfn.XLOOKUP(A2814:A6857,castles_state!K:K,castles_state!D:D)&amp;"主",IFERROR(_xlfn.XLOOKUP(A2814:A6857,kunishuClan!D:D,kunishuClan!B:B)&amp;"当主","")))</f>
      </c>
    </row>
    <row r="2815" ht="15.75" customHeight="1">
      <c r="A2815" s="4">
        <v>1076001</v>
      </c>
      <c r="B2815" s="12" t="str">
        <f t="array" ref="B2815">IF(A2815:A6858="","",_xlfn.XLOOKUP(A2815:A6858,'参照_武将'!A:A,'参照_武将'!B:B,"見つかりません"))</f>
      </c>
      <c r="C2815" s="4" t="s">
        <v>356</v>
      </c>
      <c r="D2815" s="4">
        <v>76</v>
      </c>
      <c r="E2815" s="12" t="str">
        <f t="array" ref="E2815">IF(D2815:D6858="","",IFERROR(_xlfn.XLOOKUP(D2815:D6858,'参照_勢力'!A:A,'参照_勢力'!B:B),IFERROR(_xlfn.XLOOKUP(F2815:F6858,kunishuClan!A:A,kunishuClan!B:B),"浪人")))</f>
      </c>
      <c r="F2815" s="4">
        <v>0</v>
      </c>
      <c r="G2815" s="4">
        <v>203</v>
      </c>
      <c r="H2815" s="12" t="str">
        <f t="array" ref="H2815">IF(G2815:G6858="","",_xlfn.XLOOKUP(G2815:G6858,castles_state!A:A,castles_state!D:D,"見つかりません"))</f>
      </c>
      <c r="I2815" s="4"/>
      <c r="J2815" s="12" t="str">
        <f t="array" ref="J2815">IF(I2815:I6858="","",_xlfn.XLOOKUP(I2815:I6858,'参照_姫'!A:A,'参照_姫'!B:B,"見つかりません"))</f>
      </c>
      <c r="K2815" s="4">
        <v>95</v>
      </c>
      <c r="L2815" s="4">
        <v>0</v>
      </c>
      <c r="M2815" s="4"/>
      <c r="N2815" s="4"/>
      <c r="O2815" s="4"/>
      <c r="P2815" s="12" t="str">
        <f t="array" ref="P2815">IF(O2815:O6858="","",_xlfn.XLOOKUP(O2815:O6858,'参照_官位'!A:A,'参照_官位'!B:B,""))</f>
      </c>
      <c r="Q2815" s="12" t="str">
        <f t="array" ref="Q2815">IF(A2815:A6858="","",IFERROR(_xlfn.XLOOKUP(A2815:A6858,castles_state!K:K,castles_state!D:D)&amp;"主",IFERROR(_xlfn.XLOOKUP(A2815:A6858,kunishuClan!D:D,kunishuClan!B:B)&amp;"当主","")))</f>
      </c>
    </row>
    <row r="2816" ht="15.75" customHeight="1">
      <c r="A2816" s="4">
        <v>1076002</v>
      </c>
      <c r="B2816" s="12" t="str">
        <f t="array" ref="B2816">IF(A2816:A6859="","",_xlfn.XLOOKUP(A2816:A6859,'参照_武将'!A:A,'参照_武将'!B:B,"見つかりません"))</f>
      </c>
      <c r="C2816" s="4" t="s">
        <v>356</v>
      </c>
      <c r="D2816" s="4">
        <v>76</v>
      </c>
      <c r="E2816" s="12" t="str">
        <f t="array" ref="E2816">IF(D2816:D6859="","",IFERROR(_xlfn.XLOOKUP(D2816:D6859,'参照_勢力'!A:A,'参照_勢力'!B:B),IFERROR(_xlfn.XLOOKUP(F2816:F6859,kunishuClan!A:A,kunishuClan!B:B),"浪人")))</f>
      </c>
      <c r="F2816" s="4">
        <v>0</v>
      </c>
      <c r="G2816" s="4">
        <v>203</v>
      </c>
      <c r="H2816" s="12" t="str">
        <f t="array" ref="H2816">IF(G2816:G6859="","",_xlfn.XLOOKUP(G2816:G6859,castles_state!A:A,castles_state!D:D,"見つかりません"))</f>
      </c>
      <c r="I2816" s="4"/>
      <c r="J2816" s="12" t="str">
        <f t="array" ref="J2816">IF(I2816:I6859="","",_xlfn.XLOOKUP(I2816:I6859,'参照_姫'!A:A,'参照_姫'!B:B,"見つかりません"))</f>
      </c>
      <c r="K2816" s="4">
        <v>95</v>
      </c>
      <c r="L2816" s="4">
        <v>0</v>
      </c>
      <c r="M2816" s="4"/>
      <c r="N2816" s="4"/>
      <c r="O2816" s="4"/>
      <c r="P2816" s="12" t="str">
        <f t="array" ref="P2816">IF(O2816:O6859="","",_xlfn.XLOOKUP(O2816:O6859,'参照_官位'!A:A,'参照_官位'!B:B,""))</f>
      </c>
      <c r="Q2816" s="12" t="str">
        <f t="array" ref="Q2816">IF(A2816:A6859="","",IFERROR(_xlfn.XLOOKUP(A2816:A6859,castles_state!K:K,castles_state!D:D)&amp;"主",IFERROR(_xlfn.XLOOKUP(A2816:A6859,kunishuClan!D:D,kunishuClan!B:B)&amp;"当主","")))</f>
      </c>
    </row>
    <row r="2817" ht="15.75" customHeight="1">
      <c r="A2817" s="4">
        <v>1076003</v>
      </c>
      <c r="B2817" s="12" t="str">
        <f t="array" ref="B2817">IF(A2817:A6860="","",_xlfn.XLOOKUP(A2817:A6860,'参照_武将'!A:A,'参照_武将'!B:B,"見つかりません"))</f>
      </c>
      <c r="C2817" s="4" t="s">
        <v>356</v>
      </c>
      <c r="D2817" s="4">
        <v>76</v>
      </c>
      <c r="E2817" s="12" t="str">
        <f t="array" ref="E2817">IF(D2817:D6860="","",IFERROR(_xlfn.XLOOKUP(D2817:D6860,'参照_勢力'!A:A,'参照_勢力'!B:B),IFERROR(_xlfn.XLOOKUP(F2817:F6860,kunishuClan!A:A,kunishuClan!B:B),"浪人")))</f>
      </c>
      <c r="F2817" s="4">
        <v>0</v>
      </c>
      <c r="G2817" s="4">
        <v>203</v>
      </c>
      <c r="H2817" s="12" t="str">
        <f t="array" ref="H2817">IF(G2817:G6860="","",_xlfn.XLOOKUP(G2817:G6860,castles_state!A:A,castles_state!D:D,"見つかりません"))</f>
      </c>
      <c r="I2817" s="4"/>
      <c r="J2817" s="12" t="str">
        <f t="array" ref="J2817">IF(I2817:I6860="","",_xlfn.XLOOKUP(I2817:I6860,'参照_姫'!A:A,'参照_姫'!B:B,"見つかりません"))</f>
      </c>
      <c r="K2817" s="4">
        <v>95</v>
      </c>
      <c r="L2817" s="4">
        <v>0</v>
      </c>
      <c r="M2817" s="4"/>
      <c r="N2817" s="4"/>
      <c r="O2817" s="4"/>
      <c r="P2817" s="12" t="str">
        <f t="array" ref="P2817">IF(O2817:O6860="","",_xlfn.XLOOKUP(O2817:O6860,'参照_官位'!A:A,'参照_官位'!B:B,""))</f>
      </c>
      <c r="Q2817" s="12" t="str">
        <f t="array" ref="Q2817">IF(A2817:A6860="","",IFERROR(_xlfn.XLOOKUP(A2817:A6860,castles_state!K:K,castles_state!D:D)&amp;"主",IFERROR(_xlfn.XLOOKUP(A2817:A6860,kunishuClan!D:D,kunishuClan!B:B)&amp;"当主","")))</f>
      </c>
    </row>
    <row r="2818" ht="15.75" customHeight="1">
      <c r="A2818" s="4">
        <v>1076004</v>
      </c>
      <c r="B2818" s="12" t="str">
        <f t="array" ref="B2818">IF(A2818:A6861="","",_xlfn.XLOOKUP(A2818:A6861,'参照_武将'!A:A,'参照_武将'!B:B,"見つかりません"))</f>
      </c>
      <c r="C2818" s="4" t="s">
        <v>356</v>
      </c>
      <c r="D2818" s="4">
        <v>76</v>
      </c>
      <c r="E2818" s="12" t="str">
        <f t="array" ref="E2818">IF(D2818:D6861="","",IFERROR(_xlfn.XLOOKUP(D2818:D6861,'参照_勢力'!A:A,'参照_勢力'!B:B),IFERROR(_xlfn.XLOOKUP(F2818:F6861,kunishuClan!A:A,kunishuClan!B:B),"浪人")))</f>
      </c>
      <c r="F2818" s="4">
        <v>0</v>
      </c>
      <c r="G2818" s="4">
        <v>203</v>
      </c>
      <c r="H2818" s="12" t="str">
        <f t="array" ref="H2818">IF(G2818:G6861="","",_xlfn.XLOOKUP(G2818:G6861,castles_state!A:A,castles_state!D:D,"見つかりません"))</f>
      </c>
      <c r="I2818" s="4"/>
      <c r="J2818" s="12" t="str">
        <f t="array" ref="J2818">IF(I2818:I6861="","",_xlfn.XLOOKUP(I2818:I6861,'参照_姫'!A:A,'参照_姫'!B:B,"見つかりません"))</f>
      </c>
      <c r="K2818" s="4">
        <v>100</v>
      </c>
      <c r="L2818" s="4">
        <v>1500</v>
      </c>
      <c r="M2818" s="4"/>
      <c r="N2818" s="4"/>
      <c r="O2818" s="23">
        <v>39</v>
      </c>
      <c r="P2818" s="12" t="str">
        <f t="array" ref="P2818">IF(O2818:O6861="","",_xlfn.XLOOKUP(O2818:O6861,'参照_官位'!A:A,'参照_官位'!B:B,""))</f>
      </c>
      <c r="Q2818" s="12" t="str">
        <f t="array" ref="Q2818">IF(A2818:A6861="","",IFERROR(_xlfn.XLOOKUP(A2818:A6861,castles_state!K:K,castles_state!D:D)&amp;"主",IFERROR(_xlfn.XLOOKUP(A2818:A6861,kunishuClan!D:D,kunishuClan!B:B)&amp;"当主","")))</f>
      </c>
    </row>
    <row r="2819" ht="15.75" customHeight="1">
      <c r="A2819" s="4">
        <v>1076005</v>
      </c>
      <c r="B2819" s="12" t="str">
        <f t="array" ref="B2819">IF(A2819:A6862="","",_xlfn.XLOOKUP(A2819:A6862,'参照_武将'!A:A,'参照_武将'!B:B,"見つかりません"))</f>
      </c>
      <c r="C2819" s="4" t="s">
        <v>356</v>
      </c>
      <c r="D2819" s="4">
        <v>76</v>
      </c>
      <c r="E2819" s="12" t="str">
        <f t="array" ref="E2819">IF(D2819:D6862="","",IFERROR(_xlfn.XLOOKUP(D2819:D6862,'参照_勢力'!A:A,'参照_勢力'!B:B),IFERROR(_xlfn.XLOOKUP(F2819:F6862,kunishuClan!A:A,kunishuClan!B:B),"浪人")))</f>
      </c>
      <c r="F2819" s="4">
        <v>0</v>
      </c>
      <c r="G2819" s="4">
        <v>203</v>
      </c>
      <c r="H2819" s="12" t="str">
        <f t="array" ref="H2819">IF(G2819:G6862="","",_xlfn.XLOOKUP(G2819:G6862,castles_state!A:A,castles_state!D:D,"見つかりません"))</f>
      </c>
      <c r="I2819" s="4"/>
      <c r="J2819" s="12" t="str">
        <f t="array" ref="J2819">IF(I2819:I6862="","",_xlfn.XLOOKUP(I2819:I6862,'参照_姫'!A:A,'参照_姫'!B:B,"見つかりません"))</f>
      </c>
      <c r="K2819" s="4">
        <v>95</v>
      </c>
      <c r="L2819" s="4">
        <v>500</v>
      </c>
      <c r="M2819" s="4"/>
      <c r="N2819" s="4"/>
      <c r="O2819" s="4"/>
      <c r="P2819" s="12" t="str">
        <f t="array" ref="P2819">IF(O2819:O6862="","",_xlfn.XLOOKUP(O2819:O6862,'参照_官位'!A:A,'参照_官位'!B:B,""))</f>
      </c>
      <c r="Q2819" s="12" t="str">
        <f t="array" ref="Q2819">IF(A2819:A6862="","",IFERROR(_xlfn.XLOOKUP(A2819:A6862,castles_state!K:K,castles_state!D:D)&amp;"主",IFERROR(_xlfn.XLOOKUP(A2819:A6862,kunishuClan!D:D,kunishuClan!B:B)&amp;"当主","")))</f>
      </c>
    </row>
    <row r="2820" ht="15.75" customHeight="1">
      <c r="A2820" s="4">
        <v>1076006</v>
      </c>
      <c r="B2820" s="12" t="str">
        <f t="array" ref="B2820">IF(A2820:A6863="","",_xlfn.XLOOKUP(A2820:A6863,'参照_武将'!A:A,'参照_武将'!B:B,"見つかりません"))</f>
      </c>
      <c r="C2820" s="4" t="s">
        <v>356</v>
      </c>
      <c r="D2820" s="4">
        <v>76</v>
      </c>
      <c r="E2820" s="12" t="str">
        <f t="array" ref="E2820">IF(D2820:D6863="","",IFERROR(_xlfn.XLOOKUP(D2820:D6863,'参照_勢力'!A:A,'参照_勢力'!B:B),IFERROR(_xlfn.XLOOKUP(F2820:F6863,kunishuClan!A:A,kunishuClan!B:B),"浪人")))</f>
      </c>
      <c r="F2820" s="4">
        <v>0</v>
      </c>
      <c r="G2820" s="4">
        <v>203</v>
      </c>
      <c r="H2820" s="12" t="str">
        <f t="array" ref="H2820">IF(G2820:G6863="","",_xlfn.XLOOKUP(G2820:G6863,castles_state!A:A,castles_state!D:D,"見つかりません"))</f>
      </c>
      <c r="I2820" s="4"/>
      <c r="J2820" s="12" t="str">
        <f t="array" ref="J2820">IF(I2820:I6863="","",_xlfn.XLOOKUP(I2820:I6863,'参照_姫'!A:A,'参照_姫'!B:B,"見つかりません"))</f>
      </c>
      <c r="K2820" s="4">
        <v>95</v>
      </c>
      <c r="L2820" s="4">
        <v>0</v>
      </c>
      <c r="M2820" s="4"/>
      <c r="N2820" s="4"/>
      <c r="O2820" s="4"/>
      <c r="P2820" s="12" t="str">
        <f t="array" ref="P2820">IF(O2820:O6863="","",_xlfn.XLOOKUP(O2820:O6863,'参照_官位'!A:A,'参照_官位'!B:B,""))</f>
      </c>
      <c r="Q2820" s="12" t="str">
        <f t="array" ref="Q2820">IF(A2820:A6863="","",IFERROR(_xlfn.XLOOKUP(A2820:A6863,castles_state!K:K,castles_state!D:D)&amp;"主",IFERROR(_xlfn.XLOOKUP(A2820:A6863,kunishuClan!D:D,kunishuClan!B:B)&amp;"当主","")))</f>
      </c>
    </row>
    <row r="2821" ht="15.75" customHeight="1">
      <c r="A2821" s="4">
        <v>1076007</v>
      </c>
      <c r="B2821" s="12" t="str">
        <f t="array" ref="B2821">IF(A2821:A6864="","",_xlfn.XLOOKUP(A2821:A6864,'参照_武将'!A:A,'参照_武将'!B:B,"見つかりません"))</f>
      </c>
      <c r="C2821" s="4" t="s">
        <v>356</v>
      </c>
      <c r="D2821" s="4">
        <v>76</v>
      </c>
      <c r="E2821" s="12" t="str">
        <f t="array" ref="E2821">IF(D2821:D6864="","",IFERROR(_xlfn.XLOOKUP(D2821:D6864,'参照_勢力'!A:A,'参照_勢力'!B:B),IFERROR(_xlfn.XLOOKUP(F2821:F6864,kunishuClan!A:A,kunishuClan!B:B),"浪人")))</f>
      </c>
      <c r="F2821" s="4">
        <v>0</v>
      </c>
      <c r="G2821" s="4">
        <v>203</v>
      </c>
      <c r="H2821" s="12" t="str">
        <f t="array" ref="H2821">IF(G2821:G6864="","",_xlfn.XLOOKUP(G2821:G6864,castles_state!A:A,castles_state!D:D,"見つかりません"))</f>
      </c>
      <c r="I2821" s="4"/>
      <c r="J2821" s="12" t="str">
        <f t="array" ref="J2821">IF(I2821:I6864="","",_xlfn.XLOOKUP(I2821:I6864,'参照_姫'!A:A,'参照_姫'!B:B,"見つかりません"))</f>
      </c>
      <c r="K2821" s="4">
        <v>95</v>
      </c>
      <c r="L2821" s="4">
        <v>0</v>
      </c>
      <c r="M2821" s="4"/>
      <c r="N2821" s="4"/>
      <c r="O2821" s="4"/>
      <c r="P2821" s="12" t="str">
        <f t="array" ref="P2821">IF(O2821:O6864="","",_xlfn.XLOOKUP(O2821:O6864,'参照_官位'!A:A,'参照_官位'!B:B,""))</f>
      </c>
      <c r="Q2821" s="12" t="str">
        <f t="array" ref="Q2821">IF(A2821:A6864="","",IFERROR(_xlfn.XLOOKUP(A2821:A6864,castles_state!K:K,castles_state!D:D)&amp;"主",IFERROR(_xlfn.XLOOKUP(A2821:A6864,kunishuClan!D:D,kunishuClan!B:B)&amp;"当主","")))</f>
      </c>
    </row>
    <row r="2822" ht="15.75" customHeight="1">
      <c r="A2822" s="4">
        <v>1076008</v>
      </c>
      <c r="B2822" s="12" t="str">
        <f t="array" ref="B2822">IF(A2822:A6865="","",_xlfn.XLOOKUP(A2822:A6865,'参照_武将'!A:A,'参照_武将'!B:B,"見つかりません"))</f>
      </c>
      <c r="C2822" s="4" t="s">
        <v>356</v>
      </c>
      <c r="D2822" s="4">
        <v>76</v>
      </c>
      <c r="E2822" s="12" t="str">
        <f t="array" ref="E2822">IF(D2822:D6865="","",IFERROR(_xlfn.XLOOKUP(D2822:D6865,'参照_勢力'!A:A,'参照_勢力'!B:B),IFERROR(_xlfn.XLOOKUP(F2822:F6865,kunishuClan!A:A,kunishuClan!B:B),"浪人")))</f>
      </c>
      <c r="F2822" s="4">
        <v>0</v>
      </c>
      <c r="G2822" s="4">
        <v>203</v>
      </c>
      <c r="H2822" s="12" t="str">
        <f t="array" ref="H2822">IF(G2822:G6865="","",_xlfn.XLOOKUP(G2822:G6865,castles_state!A:A,castles_state!D:D,"見つかりません"))</f>
      </c>
      <c r="I2822" s="4"/>
      <c r="J2822" s="12" t="str">
        <f t="array" ref="J2822">IF(I2822:I6865="","",_xlfn.XLOOKUP(I2822:I6865,'参照_姫'!A:A,'参照_姫'!B:B,"見つかりません"))</f>
      </c>
      <c r="K2822" s="4">
        <v>95</v>
      </c>
      <c r="L2822" s="4">
        <v>0</v>
      </c>
      <c r="M2822" s="4"/>
      <c r="N2822" s="4"/>
      <c r="O2822" s="4"/>
      <c r="P2822" s="12" t="str">
        <f t="array" ref="P2822">IF(O2822:O6865="","",_xlfn.XLOOKUP(O2822:O6865,'参照_官位'!A:A,'参照_官位'!B:B,""))</f>
      </c>
      <c r="Q2822" s="12" t="str">
        <f t="array" ref="Q2822">IF(A2822:A6865="","",IFERROR(_xlfn.XLOOKUP(A2822:A6865,castles_state!K:K,castles_state!D:D)&amp;"主",IFERROR(_xlfn.XLOOKUP(A2822:A6865,kunishuClan!D:D,kunishuClan!B:B)&amp;"当主","")))</f>
      </c>
    </row>
    <row r="2823" ht="15.75" customHeight="1">
      <c r="A2823" s="4">
        <v>1076009</v>
      </c>
      <c r="B2823" s="12" t="str">
        <f t="array" ref="B2823">IF(A2823:A6866="","",_xlfn.XLOOKUP(A2823:A6866,'参照_武将'!A:A,'参照_武将'!B:B,"見つかりません"))</f>
      </c>
      <c r="C2823" s="4" t="s">
        <v>356</v>
      </c>
      <c r="D2823" s="4">
        <v>76</v>
      </c>
      <c r="E2823" s="12" t="str">
        <f t="array" ref="E2823">IF(D2823:D6866="","",IFERROR(_xlfn.XLOOKUP(D2823:D6866,'参照_勢力'!A:A,'参照_勢力'!B:B),IFERROR(_xlfn.XLOOKUP(F2823:F6866,kunishuClan!A:A,kunishuClan!B:B),"浪人")))</f>
      </c>
      <c r="F2823" s="4">
        <v>0</v>
      </c>
      <c r="G2823" s="4">
        <v>203</v>
      </c>
      <c r="H2823" s="12" t="str">
        <f t="array" ref="H2823">IF(G2823:G6866="","",_xlfn.XLOOKUP(G2823:G6866,castles_state!A:A,castles_state!D:D,"見つかりません"))</f>
      </c>
      <c r="I2823" s="4"/>
      <c r="J2823" s="12" t="str">
        <f t="array" ref="J2823">IF(I2823:I6866="","",_xlfn.XLOOKUP(I2823:I6866,'参照_姫'!A:A,'参照_姫'!B:B,"見つかりません"))</f>
      </c>
      <c r="K2823" s="4">
        <v>95</v>
      </c>
      <c r="L2823" s="4">
        <v>0</v>
      </c>
      <c r="M2823" s="4"/>
      <c r="N2823" s="4"/>
      <c r="O2823" s="4"/>
      <c r="P2823" s="12" t="str">
        <f t="array" ref="P2823">IF(O2823:O6866="","",_xlfn.XLOOKUP(O2823:O6866,'参照_官位'!A:A,'参照_官位'!B:B,""))</f>
      </c>
      <c r="Q2823" s="12" t="str">
        <f t="array" ref="Q2823">IF(A2823:A6866="","",IFERROR(_xlfn.XLOOKUP(A2823:A6866,castles_state!K:K,castles_state!D:D)&amp;"主",IFERROR(_xlfn.XLOOKUP(A2823:A6866,kunishuClan!D:D,kunishuClan!B:B)&amp;"当主","")))</f>
      </c>
    </row>
    <row r="2824" ht="15.75" customHeight="1">
      <c r="A2824" s="4">
        <v>1076010</v>
      </c>
      <c r="B2824" s="12" t="str">
        <f t="array" ref="B2824">IF(A2824:A6867="","",_xlfn.XLOOKUP(A2824:A6867,'参照_武将'!A:A,'参照_武将'!B:B,"見つかりません"))</f>
      </c>
      <c r="C2824" s="4" t="s">
        <v>356</v>
      </c>
      <c r="D2824" s="4">
        <v>76</v>
      </c>
      <c r="E2824" s="12" t="str">
        <f t="array" ref="E2824">IF(D2824:D6867="","",IFERROR(_xlfn.XLOOKUP(D2824:D6867,'参照_勢力'!A:A,'参照_勢力'!B:B),IFERROR(_xlfn.XLOOKUP(F2824:F6867,kunishuClan!A:A,kunishuClan!B:B),"浪人")))</f>
      </c>
      <c r="F2824" s="4">
        <v>0</v>
      </c>
      <c r="G2824" s="4">
        <v>203</v>
      </c>
      <c r="H2824" s="12" t="str">
        <f t="array" ref="H2824">IF(G2824:G6867="","",_xlfn.XLOOKUP(G2824:G6867,castles_state!A:A,castles_state!D:D,"見つかりません"))</f>
      </c>
      <c r="I2824" s="4"/>
      <c r="J2824" s="12" t="str">
        <f t="array" ref="J2824">IF(I2824:I6867="","",_xlfn.XLOOKUP(I2824:I6867,'参照_姫'!A:A,'参照_姫'!B:B,"見つかりません"))</f>
      </c>
      <c r="K2824" s="4">
        <v>95</v>
      </c>
      <c r="L2824" s="4">
        <v>0</v>
      </c>
      <c r="M2824" s="4"/>
      <c r="N2824" s="4"/>
      <c r="O2824" s="4"/>
      <c r="P2824" s="12" t="str">
        <f t="array" ref="P2824">IF(O2824:O6867="","",_xlfn.XLOOKUP(O2824:O6867,'参照_官位'!A:A,'参照_官位'!B:B,""))</f>
      </c>
      <c r="Q2824" s="12" t="str">
        <f t="array" ref="Q2824">IF(A2824:A6867="","",IFERROR(_xlfn.XLOOKUP(A2824:A6867,castles_state!K:K,castles_state!D:D)&amp;"主",IFERROR(_xlfn.XLOOKUP(A2824:A6867,kunishuClan!D:D,kunishuClan!B:B)&amp;"当主","")))</f>
      </c>
    </row>
    <row r="2825" ht="15.75" customHeight="1">
      <c r="A2825" s="4">
        <v>1076011</v>
      </c>
      <c r="B2825" s="12" t="str">
        <f t="array" ref="B2825">IF(A2825:A6868="","",_xlfn.XLOOKUP(A2825:A6868,'参照_武将'!A:A,'参照_武将'!B:B,"見つかりません"))</f>
      </c>
      <c r="C2825" s="4" t="s">
        <v>356</v>
      </c>
      <c r="D2825" s="4">
        <v>76</v>
      </c>
      <c r="E2825" s="12" t="str">
        <f t="array" ref="E2825">IF(D2825:D6868="","",IFERROR(_xlfn.XLOOKUP(D2825:D6868,'参照_勢力'!A:A,'参照_勢力'!B:B),IFERROR(_xlfn.XLOOKUP(F2825:F6868,kunishuClan!A:A,kunishuClan!B:B),"浪人")))</f>
      </c>
      <c r="F2825" s="4">
        <v>0</v>
      </c>
      <c r="G2825" s="4">
        <v>202</v>
      </c>
      <c r="H2825" s="12" t="str">
        <f t="array" ref="H2825">IF(G2825:G6868="","",_xlfn.XLOOKUP(G2825:G6868,castles_state!A:A,castles_state!D:D,"見つかりません"))</f>
      </c>
      <c r="I2825" s="4"/>
      <c r="J2825" s="12" t="str">
        <f t="array" ref="J2825">IF(I2825:I6868="","",_xlfn.XLOOKUP(I2825:I6868,'参照_姫'!A:A,'参照_姫'!B:B,"見つかりません"))</f>
      </c>
      <c r="K2825" s="4">
        <v>95</v>
      </c>
      <c r="L2825" s="4">
        <v>0</v>
      </c>
      <c r="M2825" s="4"/>
      <c r="N2825" s="4"/>
      <c r="O2825" s="4"/>
      <c r="P2825" s="12" t="str">
        <f t="array" ref="P2825">IF(O2825:O6868="","",_xlfn.XLOOKUP(O2825:O6868,'参照_官位'!A:A,'参照_官位'!B:B,""))</f>
      </c>
      <c r="Q2825" s="12" t="str">
        <f t="array" ref="Q2825">IF(A2825:A6868="","",IFERROR(_xlfn.XLOOKUP(A2825:A6868,castles_state!K:K,castles_state!D:D)&amp;"主",IFERROR(_xlfn.XLOOKUP(A2825:A6868,kunishuClan!D:D,kunishuClan!B:B)&amp;"当主","")))</f>
      </c>
    </row>
    <row r="2826" ht="15.75" customHeight="1">
      <c r="A2826" s="4">
        <v>1076012</v>
      </c>
      <c r="B2826" s="12" t="str">
        <f t="array" ref="B2826">IF(A2826:A6869="","",_xlfn.XLOOKUP(A2826:A6869,'参照_武将'!A:A,'参照_武将'!B:B,"見つかりません"))</f>
      </c>
      <c r="C2826" s="4" t="s">
        <v>356</v>
      </c>
      <c r="D2826" s="4">
        <v>76</v>
      </c>
      <c r="E2826" s="12" t="str">
        <f t="array" ref="E2826">IF(D2826:D6869="","",IFERROR(_xlfn.XLOOKUP(D2826:D6869,'参照_勢力'!A:A,'参照_勢力'!B:B),IFERROR(_xlfn.XLOOKUP(F2826:F6869,kunishuClan!A:A,kunishuClan!B:B),"浪人")))</f>
      </c>
      <c r="F2826" s="4">
        <v>0</v>
      </c>
      <c r="G2826" s="4">
        <v>203</v>
      </c>
      <c r="H2826" s="12" t="str">
        <f t="array" ref="H2826">IF(G2826:G6869="","",_xlfn.XLOOKUP(G2826:G6869,castles_state!A:A,castles_state!D:D,"見つかりません"))</f>
      </c>
      <c r="I2826" s="4"/>
      <c r="J2826" s="12" t="str">
        <f t="array" ref="J2826">IF(I2826:I6869="","",_xlfn.XLOOKUP(I2826:I6869,'参照_姫'!A:A,'参照_姫'!B:B,"見つかりません"))</f>
      </c>
      <c r="K2826" s="4">
        <v>95</v>
      </c>
      <c r="L2826" s="4">
        <v>0</v>
      </c>
      <c r="M2826" s="4"/>
      <c r="N2826" s="4"/>
      <c r="O2826" s="4"/>
      <c r="P2826" s="12" t="str">
        <f t="array" ref="P2826">IF(O2826:O6869="","",_xlfn.XLOOKUP(O2826:O6869,'参照_官位'!A:A,'参照_官位'!B:B,""))</f>
      </c>
      <c r="Q2826" s="12" t="str">
        <f t="array" ref="Q2826">IF(A2826:A6869="","",IFERROR(_xlfn.XLOOKUP(A2826:A6869,castles_state!K:K,castles_state!D:D)&amp;"主",IFERROR(_xlfn.XLOOKUP(A2826:A6869,kunishuClan!D:D,kunishuClan!B:B)&amp;"当主","")))</f>
      </c>
    </row>
    <row r="2827" ht="15.75" customHeight="1">
      <c r="A2827" s="4">
        <v>1076013</v>
      </c>
      <c r="B2827" s="12" t="str">
        <f t="array" ref="B2827">IF(A2827:A6870="","",_xlfn.XLOOKUP(A2827:A6870,'参照_武将'!A:A,'参照_武将'!B:B,"見つかりません"))</f>
      </c>
      <c r="C2827" s="4" t="s">
        <v>356</v>
      </c>
      <c r="D2827" s="4">
        <v>76</v>
      </c>
      <c r="E2827" s="12" t="str">
        <f t="array" ref="E2827">IF(D2827:D6870="","",IFERROR(_xlfn.XLOOKUP(D2827:D6870,'参照_勢力'!A:A,'参照_勢力'!B:B),IFERROR(_xlfn.XLOOKUP(F2827:F6870,kunishuClan!A:A,kunishuClan!B:B),"浪人")))</f>
      </c>
      <c r="F2827" s="4">
        <v>0</v>
      </c>
      <c r="G2827" s="4">
        <v>203</v>
      </c>
      <c r="H2827" s="12" t="str">
        <f t="array" ref="H2827">IF(G2827:G6870="","",_xlfn.XLOOKUP(G2827:G6870,castles_state!A:A,castles_state!D:D,"見つかりません"))</f>
      </c>
      <c r="I2827" s="4"/>
      <c r="J2827" s="12" t="str">
        <f t="array" ref="J2827">IF(I2827:I6870="","",_xlfn.XLOOKUP(I2827:I6870,'参照_姫'!A:A,'参照_姫'!B:B,"見つかりません"))</f>
      </c>
      <c r="K2827" s="4">
        <v>95</v>
      </c>
      <c r="L2827" s="4">
        <v>0</v>
      </c>
      <c r="M2827" s="4"/>
      <c r="N2827" s="4"/>
      <c r="O2827" s="4"/>
      <c r="P2827" s="12" t="str">
        <f t="array" ref="P2827">IF(O2827:O6870="","",_xlfn.XLOOKUP(O2827:O6870,'参照_官位'!A:A,'参照_官位'!B:B,""))</f>
      </c>
      <c r="Q2827" s="12" t="str">
        <f t="array" ref="Q2827">IF(A2827:A6870="","",IFERROR(_xlfn.XLOOKUP(A2827:A6870,castles_state!K:K,castles_state!D:D)&amp;"主",IFERROR(_xlfn.XLOOKUP(A2827:A6870,kunishuClan!D:D,kunishuClan!B:B)&amp;"当主","")))</f>
      </c>
    </row>
    <row r="2828" ht="15.75" customHeight="1">
      <c r="A2828" s="4">
        <v>1076014</v>
      </c>
      <c r="B2828" s="12" t="str">
        <f t="array" ref="B2828">IF(A2828:A6871="","",_xlfn.XLOOKUP(A2828:A6871,'参照_武将'!A:A,'参照_武将'!B:B,"見つかりません"))</f>
      </c>
      <c r="C2828" s="4" t="s">
        <v>356</v>
      </c>
      <c r="D2828" s="4">
        <v>76</v>
      </c>
      <c r="E2828" s="12" t="str">
        <f t="array" ref="E2828">IF(D2828:D6871="","",IFERROR(_xlfn.XLOOKUP(D2828:D6871,'参照_勢力'!A:A,'参照_勢力'!B:B),IFERROR(_xlfn.XLOOKUP(F2828:F6871,kunishuClan!A:A,kunishuClan!B:B),"浪人")))</f>
      </c>
      <c r="F2828" s="4">
        <v>0</v>
      </c>
      <c r="G2828" s="4">
        <v>203</v>
      </c>
      <c r="H2828" s="12" t="str">
        <f t="array" ref="H2828">IF(G2828:G6871="","",_xlfn.XLOOKUP(G2828:G6871,castles_state!A:A,castles_state!D:D,"見つかりません"))</f>
      </c>
      <c r="I2828" s="4"/>
      <c r="J2828" s="12" t="str">
        <f t="array" ref="J2828">IF(I2828:I6871="","",_xlfn.XLOOKUP(I2828:I6871,'参照_姫'!A:A,'参照_姫'!B:B,"見つかりません"))</f>
      </c>
      <c r="K2828" s="4">
        <v>95</v>
      </c>
      <c r="L2828" s="4">
        <v>0</v>
      </c>
      <c r="M2828" s="4"/>
      <c r="N2828" s="4"/>
      <c r="O2828" s="4"/>
      <c r="P2828" s="12" t="str">
        <f t="array" ref="P2828">IF(O2828:O6871="","",_xlfn.XLOOKUP(O2828:O6871,'参照_官位'!A:A,'参照_官位'!B:B,""))</f>
      </c>
      <c r="Q2828" s="12" t="str">
        <f t="array" ref="Q2828">IF(A2828:A6871="","",IFERROR(_xlfn.XLOOKUP(A2828:A6871,castles_state!K:K,castles_state!D:D)&amp;"主",IFERROR(_xlfn.XLOOKUP(A2828:A6871,kunishuClan!D:D,kunishuClan!B:B)&amp;"当主","")))</f>
      </c>
    </row>
    <row r="2829" ht="15.75" customHeight="1">
      <c r="A2829" s="4">
        <v>1076015</v>
      </c>
      <c r="B2829" s="12" t="str">
        <f t="array" ref="B2829">IF(A2829:A6872="","",_xlfn.XLOOKUP(A2829:A6872,'参照_武将'!A:A,'参照_武将'!B:B,"見つかりません"))</f>
      </c>
      <c r="C2829" s="4" t="s">
        <v>356</v>
      </c>
      <c r="D2829" s="4">
        <v>76</v>
      </c>
      <c r="E2829" s="12" t="str">
        <f t="array" ref="E2829">IF(D2829:D6872="","",IFERROR(_xlfn.XLOOKUP(D2829:D6872,'参照_勢力'!A:A,'参照_勢力'!B:B),IFERROR(_xlfn.XLOOKUP(F2829:F6872,kunishuClan!A:A,kunishuClan!B:B),"浪人")))</f>
      </c>
      <c r="F2829" s="4">
        <v>0</v>
      </c>
      <c r="G2829" s="4">
        <v>202</v>
      </c>
      <c r="H2829" s="12" t="str">
        <f t="array" ref="H2829">IF(G2829:G6872="","",_xlfn.XLOOKUP(G2829:G6872,castles_state!A:A,castles_state!D:D,"見つかりません"))</f>
      </c>
      <c r="I2829" s="4"/>
      <c r="J2829" s="12" t="str">
        <f t="array" ref="J2829">IF(I2829:I6872="","",_xlfn.XLOOKUP(I2829:I6872,'参照_姫'!A:A,'参照_姫'!B:B,"見つかりません"))</f>
      </c>
      <c r="K2829" s="4">
        <v>95</v>
      </c>
      <c r="L2829" s="4">
        <v>0</v>
      </c>
      <c r="M2829" s="4"/>
      <c r="N2829" s="4"/>
      <c r="O2829" s="4"/>
      <c r="P2829" s="12" t="str">
        <f t="array" ref="P2829">IF(O2829:O6872="","",_xlfn.XLOOKUP(O2829:O6872,'参照_官位'!A:A,'参照_官位'!B:B,""))</f>
      </c>
      <c r="Q2829" s="12" t="str">
        <f t="array" ref="Q2829">IF(A2829:A6872="","",IFERROR(_xlfn.XLOOKUP(A2829:A6872,castles_state!K:K,castles_state!D:D)&amp;"主",IFERROR(_xlfn.XLOOKUP(A2829:A6872,kunishuClan!D:D,kunishuClan!B:B)&amp;"当主","")))</f>
      </c>
    </row>
    <row r="2830" ht="15.75" customHeight="1">
      <c r="A2830" s="4">
        <v>1076016</v>
      </c>
      <c r="B2830" s="12" t="str">
        <f t="array" ref="B2830">IF(A2830:A6873="","",_xlfn.XLOOKUP(A2830:A6873,'参照_武将'!A:A,'参照_武将'!B:B,"見つかりません"))</f>
      </c>
      <c r="C2830" s="4" t="s">
        <v>356</v>
      </c>
      <c r="D2830" s="4">
        <v>76</v>
      </c>
      <c r="E2830" s="12" t="str">
        <f t="array" ref="E2830">IF(D2830:D6873="","",IFERROR(_xlfn.XLOOKUP(D2830:D6873,'参照_勢力'!A:A,'参照_勢力'!B:B),IFERROR(_xlfn.XLOOKUP(F2830:F6873,kunishuClan!A:A,kunishuClan!B:B),"浪人")))</f>
      </c>
      <c r="F2830" s="4">
        <v>0</v>
      </c>
      <c r="G2830" s="4">
        <v>202</v>
      </c>
      <c r="H2830" s="12" t="str">
        <f t="array" ref="H2830">IF(G2830:G6873="","",_xlfn.XLOOKUP(G2830:G6873,castles_state!A:A,castles_state!D:D,"見つかりません"))</f>
      </c>
      <c r="I2830" s="4"/>
      <c r="J2830" s="12" t="str">
        <f t="array" ref="J2830">IF(I2830:I6873="","",_xlfn.XLOOKUP(I2830:I6873,'参照_姫'!A:A,'参照_姫'!B:B,"見つかりません"))</f>
      </c>
      <c r="K2830" s="4">
        <v>95</v>
      </c>
      <c r="L2830" s="4">
        <v>0</v>
      </c>
      <c r="M2830" s="4"/>
      <c r="N2830" s="4" t="b">
        <v>1</v>
      </c>
      <c r="O2830" s="4"/>
      <c r="P2830" s="12" t="str">
        <f t="array" ref="P2830">IF(O2830:O6873="","",_xlfn.XLOOKUP(O2830:O6873,'参照_官位'!A:A,'参照_官位'!B:B,""))</f>
      </c>
      <c r="Q2830" s="12" t="str">
        <f t="array" ref="Q2830">IF(A2830:A6873="","",IFERROR(_xlfn.XLOOKUP(A2830:A6873,castles_state!K:K,castles_state!D:D)&amp;"主",IFERROR(_xlfn.XLOOKUP(A2830:A6873,kunishuClan!D:D,kunishuClan!B:B)&amp;"当主","")))</f>
      </c>
    </row>
    <row r="2831" ht="15.75" customHeight="1">
      <c r="A2831" s="4">
        <v>1076017</v>
      </c>
      <c r="B2831" s="12" t="str">
        <f t="array" ref="B2831">IF(A2831:A6874="","",_xlfn.XLOOKUP(A2831:A6874,'参照_武将'!A:A,'参照_武将'!B:B,"見つかりません"))</f>
      </c>
      <c r="C2831" s="4" t="s">
        <v>356</v>
      </c>
      <c r="D2831" s="4">
        <v>76</v>
      </c>
      <c r="E2831" s="12" t="str">
        <f t="array" ref="E2831">IF(D2831:D6874="","",IFERROR(_xlfn.XLOOKUP(D2831:D6874,'参照_勢力'!A:A,'参照_勢力'!B:B),IFERROR(_xlfn.XLOOKUP(F2831:F6874,kunishuClan!A:A,kunishuClan!B:B),"浪人")))</f>
      </c>
      <c r="F2831" s="4">
        <v>0</v>
      </c>
      <c r="G2831" s="4">
        <v>202</v>
      </c>
      <c r="H2831" s="12" t="str">
        <f t="array" ref="H2831">IF(G2831:G6874="","",_xlfn.XLOOKUP(G2831:G6874,castles_state!A:A,castles_state!D:D,"見つかりません"))</f>
      </c>
      <c r="I2831" s="4"/>
      <c r="J2831" s="12" t="str">
        <f t="array" ref="J2831">IF(I2831:I6874="","",_xlfn.XLOOKUP(I2831:I6874,'参照_姫'!A:A,'参照_姫'!B:B,"見つかりません"))</f>
      </c>
      <c r="K2831" s="4">
        <v>95</v>
      </c>
      <c r="L2831" s="4">
        <v>300</v>
      </c>
      <c r="M2831" s="4"/>
      <c r="N2831" s="4"/>
      <c r="O2831" s="4"/>
      <c r="P2831" s="12" t="str">
        <f t="array" ref="P2831">IF(O2831:O6874="","",_xlfn.XLOOKUP(O2831:O6874,'参照_官位'!A:A,'参照_官位'!B:B,""))</f>
      </c>
      <c r="Q2831" s="12" t="str">
        <f t="array" ref="Q2831">IF(A2831:A6874="","",IFERROR(_xlfn.XLOOKUP(A2831:A6874,castles_state!K:K,castles_state!D:D)&amp;"主",IFERROR(_xlfn.XLOOKUP(A2831:A6874,kunishuClan!D:D,kunishuClan!B:B)&amp;"当主","")))</f>
      </c>
    </row>
    <row r="2832" ht="15.75" customHeight="1">
      <c r="A2832" s="4">
        <v>1076018</v>
      </c>
      <c r="B2832" s="12" t="str">
        <f t="array" ref="B2832">IF(A2832:A6875="","",_xlfn.XLOOKUP(A2832:A6875,'参照_武将'!A:A,'参照_武将'!B:B,"見つかりません"))</f>
      </c>
      <c r="C2832" s="4" t="s">
        <v>356</v>
      </c>
      <c r="D2832" s="4">
        <v>76</v>
      </c>
      <c r="E2832" s="12" t="str">
        <f t="array" ref="E2832">IF(D2832:D6875="","",IFERROR(_xlfn.XLOOKUP(D2832:D6875,'参照_勢力'!A:A,'参照_勢力'!B:B),IFERROR(_xlfn.XLOOKUP(F2832:F6875,kunishuClan!A:A,kunishuClan!B:B),"浪人")))</f>
      </c>
      <c r="F2832" s="4">
        <v>0</v>
      </c>
      <c r="G2832" s="4">
        <v>203</v>
      </c>
      <c r="H2832" s="12" t="str">
        <f t="array" ref="H2832">IF(G2832:G6875="","",_xlfn.XLOOKUP(G2832:G6875,castles_state!A:A,castles_state!D:D,"見つかりません"))</f>
      </c>
      <c r="I2832" s="4"/>
      <c r="J2832" s="12" t="str">
        <f t="array" ref="J2832">IF(I2832:I6875="","",_xlfn.XLOOKUP(I2832:I6875,'参照_姫'!A:A,'参照_姫'!B:B,"見つかりません"))</f>
      </c>
      <c r="K2832" s="4">
        <v>95</v>
      </c>
      <c r="L2832" s="4">
        <v>0</v>
      </c>
      <c r="M2832" s="4"/>
      <c r="N2832" s="4"/>
      <c r="O2832" s="4"/>
      <c r="P2832" s="12" t="str">
        <f t="array" ref="P2832">IF(O2832:O6875="","",_xlfn.XLOOKUP(O2832:O6875,'参照_官位'!A:A,'参照_官位'!B:B,""))</f>
      </c>
      <c r="Q2832" s="12" t="str">
        <f t="array" ref="Q2832">IF(A2832:A6875="","",IFERROR(_xlfn.XLOOKUP(A2832:A6875,castles_state!K:K,castles_state!D:D)&amp;"主",IFERROR(_xlfn.XLOOKUP(A2832:A6875,kunishuClan!D:D,kunishuClan!B:B)&amp;"当主","")))</f>
      </c>
    </row>
    <row r="2833" ht="15.75" customHeight="1">
      <c r="A2833" s="4">
        <v>1076019</v>
      </c>
      <c r="B2833" s="12" t="str">
        <f t="array" ref="B2833">IF(A2833:A6876="","",_xlfn.XLOOKUP(A2833:A6876,'参照_武将'!A:A,'参照_武将'!B:B,"見つかりません"))</f>
      </c>
      <c r="C2833" s="4" t="s">
        <v>356</v>
      </c>
      <c r="D2833" s="4">
        <v>76</v>
      </c>
      <c r="E2833" s="12" t="str">
        <f t="array" ref="E2833">IF(D2833:D6876="","",IFERROR(_xlfn.XLOOKUP(D2833:D6876,'参照_勢力'!A:A,'参照_勢力'!B:B),IFERROR(_xlfn.XLOOKUP(F2833:F6876,kunishuClan!A:A,kunishuClan!B:B),"浪人")))</f>
      </c>
      <c r="F2833" s="4">
        <v>0</v>
      </c>
      <c r="G2833" s="4">
        <v>203</v>
      </c>
      <c r="H2833" s="12" t="str">
        <f t="array" ref="H2833">IF(G2833:G6876="","",_xlfn.XLOOKUP(G2833:G6876,castles_state!A:A,castles_state!D:D,"見つかりません"))</f>
      </c>
      <c r="I2833" s="4"/>
      <c r="J2833" s="12" t="str">
        <f t="array" ref="J2833">IF(I2833:I6876="","",_xlfn.XLOOKUP(I2833:I6876,'参照_姫'!A:A,'参照_姫'!B:B,"見つかりません"))</f>
      </c>
      <c r="K2833" s="4">
        <v>95</v>
      </c>
      <c r="L2833" s="4">
        <v>0</v>
      </c>
      <c r="M2833" s="4"/>
      <c r="N2833" s="4"/>
      <c r="O2833" s="4"/>
      <c r="P2833" s="12" t="str">
        <f t="array" ref="P2833">IF(O2833:O6876="","",_xlfn.XLOOKUP(O2833:O6876,'参照_官位'!A:A,'参照_官位'!B:B,""))</f>
      </c>
      <c r="Q2833" s="12" t="str">
        <f t="array" ref="Q2833">IF(A2833:A6876="","",IFERROR(_xlfn.XLOOKUP(A2833:A6876,castles_state!K:K,castles_state!D:D)&amp;"主",IFERROR(_xlfn.XLOOKUP(A2833:A6876,kunishuClan!D:D,kunishuClan!B:B)&amp;"当主","")))</f>
      </c>
    </row>
    <row r="2834" ht="15.75" customHeight="1">
      <c r="A2834" s="4">
        <v>1076020</v>
      </c>
      <c r="B2834" s="12" t="str">
        <f t="array" ref="B2834">IF(A2834:A6877="","",_xlfn.XLOOKUP(A2834:A6877,'参照_武将'!A:A,'参照_武将'!B:B,"見つかりません"))</f>
      </c>
      <c r="C2834" s="4" t="s">
        <v>356</v>
      </c>
      <c r="D2834" s="4">
        <v>76</v>
      </c>
      <c r="E2834" s="12" t="str">
        <f t="array" ref="E2834">IF(D2834:D6877="","",IFERROR(_xlfn.XLOOKUP(D2834:D6877,'参照_勢力'!A:A,'参照_勢力'!B:B),IFERROR(_xlfn.XLOOKUP(F2834:F6877,kunishuClan!A:A,kunishuClan!B:B),"浪人")))</f>
      </c>
      <c r="F2834" s="4">
        <v>0</v>
      </c>
      <c r="G2834" s="4">
        <v>203</v>
      </c>
      <c r="H2834" s="12" t="str">
        <f t="array" ref="H2834">IF(G2834:G6877="","",_xlfn.XLOOKUP(G2834:G6877,castles_state!A:A,castles_state!D:D,"見つかりません"))</f>
      </c>
      <c r="I2834" s="4"/>
      <c r="J2834" s="12" t="str">
        <f t="array" ref="J2834">IF(I2834:I6877="","",_xlfn.XLOOKUP(I2834:I6877,'参照_姫'!A:A,'参照_姫'!B:B,"見つかりません"))</f>
      </c>
      <c r="K2834" s="4">
        <v>95</v>
      </c>
      <c r="L2834" s="4">
        <v>0</v>
      </c>
      <c r="M2834" s="4"/>
      <c r="N2834" s="4"/>
      <c r="O2834" s="4"/>
      <c r="P2834" s="12" t="str">
        <f t="array" ref="P2834">IF(O2834:O6877="","",_xlfn.XLOOKUP(O2834:O6877,'参照_官位'!A:A,'参照_官位'!B:B,""))</f>
      </c>
      <c r="Q2834" s="12" t="str">
        <f t="array" ref="Q2834">IF(A2834:A6877="","",IFERROR(_xlfn.XLOOKUP(A2834:A6877,castles_state!K:K,castles_state!D:D)&amp;"主",IFERROR(_xlfn.XLOOKUP(A2834:A6877,kunishuClan!D:D,kunishuClan!B:B)&amp;"当主","")))</f>
      </c>
    </row>
    <row r="2835" ht="15.75" customHeight="1">
      <c r="A2835" s="4">
        <v>1076021</v>
      </c>
      <c r="B2835" s="12" t="str">
        <f t="array" ref="B2835">IF(A2835:A6878="","",_xlfn.XLOOKUP(A2835:A6878,'参照_武将'!A:A,'参照_武将'!B:B,"見つかりません"))</f>
      </c>
      <c r="C2835" s="4" t="s">
        <v>356</v>
      </c>
      <c r="D2835" s="4">
        <v>76</v>
      </c>
      <c r="E2835" s="12" t="str">
        <f t="array" ref="E2835">IF(D2835:D6878="","",IFERROR(_xlfn.XLOOKUP(D2835:D6878,'参照_勢力'!A:A,'参照_勢力'!B:B),IFERROR(_xlfn.XLOOKUP(F2835:F6878,kunishuClan!A:A,kunishuClan!B:B),"浪人")))</f>
      </c>
      <c r="F2835" s="4">
        <v>0</v>
      </c>
      <c r="G2835" s="4">
        <v>203</v>
      </c>
      <c r="H2835" s="12" t="str">
        <f t="array" ref="H2835">IF(G2835:G6878="","",_xlfn.XLOOKUP(G2835:G6878,castles_state!A:A,castles_state!D:D,"見つかりません"))</f>
      </c>
      <c r="I2835" s="4"/>
      <c r="J2835" s="12" t="str">
        <f t="array" ref="J2835">IF(I2835:I6878="","",_xlfn.XLOOKUP(I2835:I6878,'参照_姫'!A:A,'参照_姫'!B:B,"見つかりません"))</f>
      </c>
      <c r="K2835" s="4">
        <v>95</v>
      </c>
      <c r="L2835" s="4">
        <v>500</v>
      </c>
      <c r="M2835" s="4"/>
      <c r="N2835" s="4"/>
      <c r="O2835" s="4"/>
      <c r="P2835" s="12" t="str">
        <f t="array" ref="P2835">IF(O2835:O6878="","",_xlfn.XLOOKUP(O2835:O6878,'参照_官位'!A:A,'参照_官位'!B:B,""))</f>
      </c>
      <c r="Q2835" s="12" t="str">
        <f t="array" ref="Q2835">IF(A2835:A6878="","",IFERROR(_xlfn.XLOOKUP(A2835:A6878,castles_state!K:K,castles_state!D:D)&amp;"主",IFERROR(_xlfn.XLOOKUP(A2835:A6878,kunishuClan!D:D,kunishuClan!B:B)&amp;"当主","")))</f>
      </c>
    </row>
    <row r="2836" ht="15.75" customHeight="1">
      <c r="A2836" s="4">
        <v>1076022</v>
      </c>
      <c r="B2836" s="12" t="str">
        <f t="array" ref="B2836">IF(A2836:A6879="","",_xlfn.XLOOKUP(A2836:A6879,'参照_武将'!A:A,'参照_武将'!B:B,"見つかりません"))</f>
      </c>
      <c r="C2836" s="4" t="s">
        <v>356</v>
      </c>
      <c r="D2836" s="4">
        <v>76</v>
      </c>
      <c r="E2836" s="12" t="str">
        <f t="array" ref="E2836">IF(D2836:D6879="","",IFERROR(_xlfn.XLOOKUP(D2836:D6879,'参照_勢力'!A:A,'参照_勢力'!B:B),IFERROR(_xlfn.XLOOKUP(F2836:F6879,kunishuClan!A:A,kunishuClan!B:B),"浪人")))</f>
      </c>
      <c r="F2836" s="4">
        <v>0</v>
      </c>
      <c r="G2836" s="4">
        <v>203</v>
      </c>
      <c r="H2836" s="12" t="str">
        <f t="array" ref="H2836">IF(G2836:G6879="","",_xlfn.XLOOKUP(G2836:G6879,castles_state!A:A,castles_state!D:D,"見つかりません"))</f>
      </c>
      <c r="I2836" s="4"/>
      <c r="J2836" s="12" t="str">
        <f t="array" ref="J2836">IF(I2836:I6879="","",_xlfn.XLOOKUP(I2836:I6879,'参照_姫'!A:A,'参照_姫'!B:B,"見つかりません"))</f>
      </c>
      <c r="K2836" s="4">
        <v>95</v>
      </c>
      <c r="L2836" s="4">
        <v>0</v>
      </c>
      <c r="M2836" s="4"/>
      <c r="N2836" s="4"/>
      <c r="O2836" s="4"/>
      <c r="P2836" s="12" t="str">
        <f t="array" ref="P2836">IF(O2836:O6879="","",_xlfn.XLOOKUP(O2836:O6879,'参照_官位'!A:A,'参照_官位'!B:B,""))</f>
      </c>
      <c r="Q2836" s="12" t="str">
        <f t="array" ref="Q2836">IF(A2836:A6879="","",IFERROR(_xlfn.XLOOKUP(A2836:A6879,castles_state!K:K,castles_state!D:D)&amp;"主",IFERROR(_xlfn.XLOOKUP(A2836:A6879,kunishuClan!D:D,kunishuClan!B:B)&amp;"当主","")))</f>
      </c>
    </row>
    <row r="2837" ht="15.75" customHeight="1">
      <c r="A2837" s="4">
        <v>1076023</v>
      </c>
      <c r="B2837" s="12" t="str">
        <f t="array" ref="B2837">IF(A2837:A6880="","",_xlfn.XLOOKUP(A2837:A6880,'参照_武将'!A:A,'参照_武将'!B:B,"見つかりません"))</f>
      </c>
      <c r="C2837" s="4" t="s">
        <v>356</v>
      </c>
      <c r="D2837" s="4">
        <v>76</v>
      </c>
      <c r="E2837" s="12" t="str">
        <f t="array" ref="E2837">IF(D2837:D6880="","",IFERROR(_xlfn.XLOOKUP(D2837:D6880,'参照_勢力'!A:A,'参照_勢力'!B:B),IFERROR(_xlfn.XLOOKUP(F2837:F6880,kunishuClan!A:A,kunishuClan!B:B),"浪人")))</f>
      </c>
      <c r="F2837" s="4">
        <v>0</v>
      </c>
      <c r="G2837" s="4">
        <v>203</v>
      </c>
      <c r="H2837" s="12" t="str">
        <f t="array" ref="H2837">IF(G2837:G6880="","",_xlfn.XLOOKUP(G2837:G6880,castles_state!A:A,castles_state!D:D,"見つかりません"))</f>
      </c>
      <c r="I2837" s="4"/>
      <c r="J2837" s="12" t="str">
        <f t="array" ref="J2837">IF(I2837:I6880="","",_xlfn.XLOOKUP(I2837:I6880,'参照_姫'!A:A,'参照_姫'!B:B,"見つかりません"))</f>
      </c>
      <c r="K2837" s="4">
        <v>95</v>
      </c>
      <c r="L2837" s="4">
        <v>500</v>
      </c>
      <c r="M2837" s="4" t="b">
        <v>1</v>
      </c>
      <c r="N2837" s="4"/>
      <c r="O2837" s="4"/>
      <c r="P2837" s="12" t="str">
        <f t="array" ref="P2837">IF(O2837:O6880="","",_xlfn.XLOOKUP(O2837:O6880,'参照_官位'!A:A,'参照_官位'!B:B,""))</f>
      </c>
      <c r="Q2837" s="12" t="str">
        <f t="array" ref="Q2837">IF(A2837:A6880="","",IFERROR(_xlfn.XLOOKUP(A2837:A6880,castles_state!K:K,castles_state!D:D)&amp;"主",IFERROR(_xlfn.XLOOKUP(A2837:A6880,kunishuClan!D:D,kunishuClan!B:B)&amp;"当主","")))</f>
      </c>
    </row>
    <row r="2838" ht="15.75" customHeight="1">
      <c r="A2838" s="4">
        <v>1076024</v>
      </c>
      <c r="B2838" s="12" t="str">
        <f t="array" ref="B2838">IF(A2838:A6881="","",_xlfn.XLOOKUP(A2838:A6881,'参照_武将'!A:A,'参照_武将'!B:B,"見つかりません"))</f>
      </c>
      <c r="C2838" s="4" t="s">
        <v>356</v>
      </c>
      <c r="D2838" s="4">
        <v>76</v>
      </c>
      <c r="E2838" s="12" t="str">
        <f t="array" ref="E2838">IF(D2838:D6881="","",IFERROR(_xlfn.XLOOKUP(D2838:D6881,'参照_勢力'!A:A,'参照_勢力'!B:B),IFERROR(_xlfn.XLOOKUP(F2838:F6881,kunishuClan!A:A,kunishuClan!B:B),"浪人")))</f>
      </c>
      <c r="F2838" s="4">
        <v>0</v>
      </c>
      <c r="G2838" s="4">
        <v>203</v>
      </c>
      <c r="H2838" s="12" t="str">
        <f t="array" ref="H2838">IF(G2838:G6881="","",_xlfn.XLOOKUP(G2838:G6881,castles_state!A:A,castles_state!D:D,"見つかりません"))</f>
      </c>
      <c r="I2838" s="4"/>
      <c r="J2838" s="12" t="str">
        <f t="array" ref="J2838">IF(I2838:I6881="","",_xlfn.XLOOKUP(I2838:I6881,'参照_姫'!A:A,'参照_姫'!B:B,"見つかりません"))</f>
      </c>
      <c r="K2838" s="4">
        <v>95</v>
      </c>
      <c r="L2838" s="4">
        <v>0</v>
      </c>
      <c r="M2838" s="4"/>
      <c r="N2838" s="4"/>
      <c r="O2838" s="4"/>
      <c r="P2838" s="12" t="str">
        <f t="array" ref="P2838">IF(O2838:O6881="","",_xlfn.XLOOKUP(O2838:O6881,'参照_官位'!A:A,'参照_官位'!B:B,""))</f>
      </c>
      <c r="Q2838" s="12" t="str">
        <f t="array" ref="Q2838">IF(A2838:A6881="","",IFERROR(_xlfn.XLOOKUP(A2838:A6881,castles_state!K:K,castles_state!D:D)&amp;"主",IFERROR(_xlfn.XLOOKUP(A2838:A6881,kunishuClan!D:D,kunishuClan!B:B)&amp;"当主","")))</f>
      </c>
    </row>
    <row r="2839" ht="15.75" customHeight="1">
      <c r="A2839" s="4">
        <v>1076025</v>
      </c>
      <c r="B2839" s="12" t="str">
        <f t="array" ref="B2839">IF(A2839:A6882="","",_xlfn.XLOOKUP(A2839:A6882,'参照_武将'!A:A,'参照_武将'!B:B,"見つかりません"))</f>
      </c>
      <c r="C2839" s="4" t="s">
        <v>356</v>
      </c>
      <c r="D2839" s="4">
        <v>76</v>
      </c>
      <c r="E2839" s="12" t="str">
        <f t="array" ref="E2839">IF(D2839:D6882="","",IFERROR(_xlfn.XLOOKUP(D2839:D6882,'参照_勢力'!A:A,'参照_勢力'!B:B),IFERROR(_xlfn.XLOOKUP(F2839:F6882,kunishuClan!A:A,kunishuClan!B:B),"浪人")))</f>
      </c>
      <c r="F2839" s="4">
        <v>0</v>
      </c>
      <c r="G2839" s="4">
        <v>203</v>
      </c>
      <c r="H2839" s="12" t="str">
        <f t="array" ref="H2839">IF(G2839:G6882="","",_xlfn.XLOOKUP(G2839:G6882,castles_state!A:A,castles_state!D:D,"見つかりません"))</f>
      </c>
      <c r="I2839" s="4"/>
      <c r="J2839" s="12" t="str">
        <f t="array" ref="J2839">IF(I2839:I6882="","",_xlfn.XLOOKUP(I2839:I6882,'参照_姫'!A:A,'参照_姫'!B:B,"見つかりません"))</f>
      </c>
      <c r="K2839" s="4">
        <v>95</v>
      </c>
      <c r="L2839" s="4">
        <v>0</v>
      </c>
      <c r="M2839" s="4"/>
      <c r="N2839" s="4"/>
      <c r="O2839" s="4"/>
      <c r="P2839" s="12" t="str">
        <f t="array" ref="P2839">IF(O2839:O6882="","",_xlfn.XLOOKUP(O2839:O6882,'参照_官位'!A:A,'参照_官位'!B:B,""))</f>
      </c>
      <c r="Q2839" s="12" t="str">
        <f t="array" ref="Q2839">IF(A2839:A6882="","",IFERROR(_xlfn.XLOOKUP(A2839:A6882,castles_state!K:K,castles_state!D:D)&amp;"主",IFERROR(_xlfn.XLOOKUP(A2839:A6882,kunishuClan!D:D,kunishuClan!B:B)&amp;"当主","")))</f>
      </c>
    </row>
    <row r="2840" ht="15.75" customHeight="1">
      <c r="A2840" s="4">
        <v>1076026</v>
      </c>
      <c r="B2840" s="12" t="str">
        <f t="array" ref="B2840">IF(A2840:A6883="","",_xlfn.XLOOKUP(A2840:A6883,'参照_武将'!A:A,'参照_武将'!B:B,"見つかりません"))</f>
      </c>
      <c r="C2840" s="4" t="s">
        <v>356</v>
      </c>
      <c r="D2840" s="4">
        <v>76</v>
      </c>
      <c r="E2840" s="12" t="str">
        <f t="array" ref="E2840">IF(D2840:D6883="","",IFERROR(_xlfn.XLOOKUP(D2840:D6883,'参照_勢力'!A:A,'参照_勢力'!B:B),IFERROR(_xlfn.XLOOKUP(F2840:F6883,kunishuClan!A:A,kunishuClan!B:B),"浪人")))</f>
      </c>
      <c r="F2840" s="4">
        <v>0</v>
      </c>
      <c r="G2840" s="4">
        <v>203</v>
      </c>
      <c r="H2840" s="12" t="str">
        <f t="array" ref="H2840">IF(G2840:G6883="","",_xlfn.XLOOKUP(G2840:G6883,castles_state!A:A,castles_state!D:D,"見つかりません"))</f>
      </c>
      <c r="I2840" s="4"/>
      <c r="J2840" s="12" t="str">
        <f t="array" ref="J2840">IF(I2840:I6883="","",_xlfn.XLOOKUP(I2840:I6883,'参照_姫'!A:A,'参照_姫'!B:B,"見つかりません"))</f>
      </c>
      <c r="K2840" s="4">
        <v>95</v>
      </c>
      <c r="L2840" s="4">
        <v>500</v>
      </c>
      <c r="M2840" s="4"/>
      <c r="N2840" s="4"/>
      <c r="O2840" s="4"/>
      <c r="P2840" s="12" t="str">
        <f t="array" ref="P2840">IF(O2840:O6883="","",_xlfn.XLOOKUP(O2840:O6883,'参照_官位'!A:A,'参照_官位'!B:B,""))</f>
      </c>
      <c r="Q2840" s="12" t="str">
        <f t="array" ref="Q2840">IF(A2840:A6883="","",IFERROR(_xlfn.XLOOKUP(A2840:A6883,castles_state!K:K,castles_state!D:D)&amp;"主",IFERROR(_xlfn.XLOOKUP(A2840:A6883,kunishuClan!D:D,kunishuClan!B:B)&amp;"当主","")))</f>
      </c>
    </row>
    <row r="2841" ht="15.75" customHeight="1">
      <c r="A2841" s="4">
        <v>1076027</v>
      </c>
      <c r="B2841" s="12" t="str">
        <f t="array" ref="B2841">IF(A2841:A6884="","",_xlfn.XLOOKUP(A2841:A6884,'参照_武将'!A:A,'参照_武将'!B:B,"見つかりません"))</f>
      </c>
      <c r="C2841" s="4" t="s">
        <v>356</v>
      </c>
      <c r="D2841" s="4">
        <v>76</v>
      </c>
      <c r="E2841" s="12" t="str">
        <f t="array" ref="E2841">IF(D2841:D6884="","",IFERROR(_xlfn.XLOOKUP(D2841:D6884,'参照_勢力'!A:A,'参照_勢力'!B:B),IFERROR(_xlfn.XLOOKUP(F2841:F6884,kunishuClan!A:A,kunishuClan!B:B),"浪人")))</f>
      </c>
      <c r="F2841" s="4">
        <v>0</v>
      </c>
      <c r="G2841" s="4">
        <v>203</v>
      </c>
      <c r="H2841" s="12" t="str">
        <f t="array" ref="H2841">IF(G2841:G6884="","",_xlfn.XLOOKUP(G2841:G6884,castles_state!A:A,castles_state!D:D,"見つかりません"))</f>
      </c>
      <c r="I2841" s="4"/>
      <c r="J2841" s="12" t="str">
        <f t="array" ref="J2841">IF(I2841:I6884="","",_xlfn.XLOOKUP(I2841:I6884,'参照_姫'!A:A,'参照_姫'!B:B,"見つかりません"))</f>
      </c>
      <c r="K2841" s="4">
        <v>95</v>
      </c>
      <c r="L2841" s="4">
        <v>0</v>
      </c>
      <c r="M2841" s="4"/>
      <c r="N2841" s="4"/>
      <c r="O2841" s="4"/>
      <c r="P2841" s="12" t="str">
        <f t="array" ref="P2841">IF(O2841:O6884="","",_xlfn.XLOOKUP(O2841:O6884,'参照_官位'!A:A,'参照_官位'!B:B,""))</f>
      </c>
      <c r="Q2841" s="12" t="str">
        <f t="array" ref="Q2841">IF(A2841:A6884="","",IFERROR(_xlfn.XLOOKUP(A2841:A6884,castles_state!K:K,castles_state!D:D)&amp;"主",IFERROR(_xlfn.XLOOKUP(A2841:A6884,kunishuClan!D:D,kunishuClan!B:B)&amp;"当主","")))</f>
      </c>
    </row>
    <row r="2842" ht="15.75" customHeight="1">
      <c r="A2842" s="4">
        <v>1076028</v>
      </c>
      <c r="B2842" s="12" t="str">
        <f t="array" ref="B2842">IF(A2842:A6885="","",_xlfn.XLOOKUP(A2842:A6885,'参照_武将'!A:A,'参照_武将'!B:B,"見つかりません"))</f>
      </c>
      <c r="C2842" s="4" t="s">
        <v>356</v>
      </c>
      <c r="D2842" s="4">
        <v>76</v>
      </c>
      <c r="E2842" s="12" t="str">
        <f t="array" ref="E2842">IF(D2842:D6885="","",IFERROR(_xlfn.XLOOKUP(D2842:D6885,'参照_勢力'!A:A,'参照_勢力'!B:B),IFERROR(_xlfn.XLOOKUP(F2842:F6885,kunishuClan!A:A,kunishuClan!B:B),"浪人")))</f>
      </c>
      <c r="F2842" s="4">
        <v>0</v>
      </c>
      <c r="G2842" s="4">
        <v>203</v>
      </c>
      <c r="H2842" s="12" t="str">
        <f t="array" ref="H2842">IF(G2842:G6885="","",_xlfn.XLOOKUP(G2842:G6885,castles_state!A:A,castles_state!D:D,"見つかりません"))</f>
      </c>
      <c r="I2842" s="4"/>
      <c r="J2842" s="12" t="str">
        <f t="array" ref="J2842">IF(I2842:I6885="","",_xlfn.XLOOKUP(I2842:I6885,'参照_姫'!A:A,'参照_姫'!B:B,"見つかりません"))</f>
      </c>
      <c r="K2842" s="4">
        <v>95</v>
      </c>
      <c r="L2842" s="4">
        <v>0</v>
      </c>
      <c r="M2842" s="4"/>
      <c r="N2842" s="4"/>
      <c r="O2842" s="4"/>
      <c r="P2842" s="12" t="str">
        <f t="array" ref="P2842">IF(O2842:O6885="","",_xlfn.XLOOKUP(O2842:O6885,'参照_官位'!A:A,'参照_官位'!B:B,""))</f>
      </c>
      <c r="Q2842" s="12" t="str">
        <f t="array" ref="Q2842">IF(A2842:A6885="","",IFERROR(_xlfn.XLOOKUP(A2842:A6885,castles_state!K:K,castles_state!D:D)&amp;"主",IFERROR(_xlfn.XLOOKUP(A2842:A6885,kunishuClan!D:D,kunishuClan!B:B)&amp;"当主","")))</f>
      </c>
    </row>
    <row r="2843" ht="15.75" customHeight="1">
      <c r="A2843" s="4">
        <v>1076029</v>
      </c>
      <c r="B2843" s="12" t="str">
        <f t="array" ref="B2843">IF(A2843:A6886="","",_xlfn.XLOOKUP(A2843:A6886,'参照_武将'!A:A,'参照_武将'!B:B,"見つかりません"))</f>
      </c>
      <c r="C2843" s="4" t="s">
        <v>356</v>
      </c>
      <c r="D2843" s="4">
        <v>76</v>
      </c>
      <c r="E2843" s="12" t="str">
        <f t="array" ref="E2843">IF(D2843:D6886="","",IFERROR(_xlfn.XLOOKUP(D2843:D6886,'参照_勢力'!A:A,'参照_勢力'!B:B),IFERROR(_xlfn.XLOOKUP(F2843:F6886,kunishuClan!A:A,kunishuClan!B:B),"浪人")))</f>
      </c>
      <c r="F2843" s="4">
        <v>0</v>
      </c>
      <c r="G2843" s="4">
        <v>203</v>
      </c>
      <c r="H2843" s="12" t="str">
        <f t="array" ref="H2843">IF(G2843:G6886="","",_xlfn.XLOOKUP(G2843:G6886,castles_state!A:A,castles_state!D:D,"見つかりません"))</f>
      </c>
      <c r="I2843" s="4"/>
      <c r="J2843" s="12" t="str">
        <f t="array" ref="J2843">IF(I2843:I6886="","",_xlfn.XLOOKUP(I2843:I6886,'参照_姫'!A:A,'参照_姫'!B:B,"見つかりません"))</f>
      </c>
      <c r="K2843" s="4">
        <v>95</v>
      </c>
      <c r="L2843" s="4">
        <v>0</v>
      </c>
      <c r="M2843" s="4"/>
      <c r="N2843" s="4"/>
      <c r="O2843" s="4"/>
      <c r="P2843" s="12" t="str">
        <f t="array" ref="P2843">IF(O2843:O6886="","",_xlfn.XLOOKUP(O2843:O6886,'参照_官位'!A:A,'参照_官位'!B:B,""))</f>
      </c>
      <c r="Q2843" s="12" t="str">
        <f t="array" ref="Q2843">IF(A2843:A6886="","",IFERROR(_xlfn.XLOOKUP(A2843:A6886,castles_state!K:K,castles_state!D:D)&amp;"主",IFERROR(_xlfn.XLOOKUP(A2843:A6886,kunishuClan!D:D,kunishuClan!B:B)&amp;"当主","")))</f>
      </c>
    </row>
    <row r="2844" ht="15.75" customHeight="1">
      <c r="A2844" s="4">
        <v>1076030</v>
      </c>
      <c r="B2844" s="12" t="str">
        <f t="array" ref="B2844">IF(A2844:A6887="","",_xlfn.XLOOKUP(A2844:A6887,'参照_武将'!A:A,'参照_武将'!B:B,"見つかりません"))</f>
      </c>
      <c r="C2844" s="4" t="s">
        <v>356</v>
      </c>
      <c r="D2844" s="4">
        <v>76</v>
      </c>
      <c r="E2844" s="12" t="str">
        <f t="array" ref="E2844">IF(D2844:D6887="","",IFERROR(_xlfn.XLOOKUP(D2844:D6887,'参照_勢力'!A:A,'参照_勢力'!B:B),IFERROR(_xlfn.XLOOKUP(F2844:F6887,kunishuClan!A:A,kunishuClan!B:B),"浪人")))</f>
      </c>
      <c r="F2844" s="4">
        <v>0</v>
      </c>
      <c r="G2844" s="4">
        <v>203</v>
      </c>
      <c r="H2844" s="12" t="str">
        <f t="array" ref="H2844">IF(G2844:G6887="","",_xlfn.XLOOKUP(G2844:G6887,castles_state!A:A,castles_state!D:D,"見つかりません"))</f>
      </c>
      <c r="I2844" s="4"/>
      <c r="J2844" s="12" t="str">
        <f t="array" ref="J2844">IF(I2844:I6887="","",_xlfn.XLOOKUP(I2844:I6887,'参照_姫'!A:A,'参照_姫'!B:B,"見つかりません"))</f>
      </c>
      <c r="K2844" s="4">
        <v>95</v>
      </c>
      <c r="L2844" s="4">
        <v>500</v>
      </c>
      <c r="M2844" s="4"/>
      <c r="N2844" s="4"/>
      <c r="O2844" s="4"/>
      <c r="P2844" s="12" t="str">
        <f t="array" ref="P2844">IF(O2844:O6887="","",_xlfn.XLOOKUP(O2844:O6887,'参照_官位'!A:A,'参照_官位'!B:B,""))</f>
      </c>
      <c r="Q2844" s="12" t="str">
        <f t="array" ref="Q2844">IF(A2844:A6887="","",IFERROR(_xlfn.XLOOKUP(A2844:A6887,castles_state!K:K,castles_state!D:D)&amp;"主",IFERROR(_xlfn.XLOOKUP(A2844:A6887,kunishuClan!D:D,kunishuClan!B:B)&amp;"当主","")))</f>
      </c>
    </row>
    <row r="2845" ht="15.75" customHeight="1">
      <c r="A2845" s="4">
        <v>1076031</v>
      </c>
      <c r="B2845" s="12" t="str">
        <f t="array" ref="B2845">IF(A2845:A6888="","",_xlfn.XLOOKUP(A2845:A6888,'参照_武将'!A:A,'参照_武将'!B:B,"見つかりません"))</f>
      </c>
      <c r="C2845" s="4" t="s">
        <v>356</v>
      </c>
      <c r="D2845" s="4">
        <v>76</v>
      </c>
      <c r="E2845" s="12" t="str">
        <f t="array" ref="E2845">IF(D2845:D6888="","",IFERROR(_xlfn.XLOOKUP(D2845:D6888,'参照_勢力'!A:A,'参照_勢力'!B:B),IFERROR(_xlfn.XLOOKUP(F2845:F6888,kunishuClan!A:A,kunishuClan!B:B),"浪人")))</f>
      </c>
      <c r="F2845" s="4">
        <v>0</v>
      </c>
      <c r="G2845" s="4">
        <v>203</v>
      </c>
      <c r="H2845" s="12" t="str">
        <f t="array" ref="H2845">IF(G2845:G6888="","",_xlfn.XLOOKUP(G2845:G6888,castles_state!A:A,castles_state!D:D,"見つかりません"))</f>
      </c>
      <c r="I2845" s="4"/>
      <c r="J2845" s="12" t="str">
        <f t="array" ref="J2845">IF(I2845:I6888="","",_xlfn.XLOOKUP(I2845:I6888,'参照_姫'!A:A,'参照_姫'!B:B,"見つかりません"))</f>
      </c>
      <c r="K2845" s="4">
        <v>95</v>
      </c>
      <c r="L2845" s="4">
        <v>0</v>
      </c>
      <c r="M2845" s="4"/>
      <c r="N2845" s="4"/>
      <c r="O2845" s="4"/>
      <c r="P2845" s="12" t="str">
        <f t="array" ref="P2845">IF(O2845:O6888="","",_xlfn.XLOOKUP(O2845:O6888,'参照_官位'!A:A,'参照_官位'!B:B,""))</f>
      </c>
      <c r="Q2845" s="12" t="str">
        <f t="array" ref="Q2845">IF(A2845:A6888="","",IFERROR(_xlfn.XLOOKUP(A2845:A6888,castles_state!K:K,castles_state!D:D)&amp;"主",IFERROR(_xlfn.XLOOKUP(A2845:A6888,kunishuClan!D:D,kunishuClan!B:B)&amp;"当主","")))</f>
      </c>
    </row>
    <row r="2846" ht="15.75" customHeight="1">
      <c r="A2846" s="4">
        <v>1077001</v>
      </c>
      <c r="B2846" s="12" t="str">
        <f t="array" ref="B2846">IF(A2846:A6889="","",_xlfn.XLOOKUP(A2846:A6889,'参照_武将'!A:A,'参照_武将'!B:B,"見つかりません"))</f>
      </c>
      <c r="C2846" s="4" t="s">
        <v>361</v>
      </c>
      <c r="D2846" s="4">
        <v>77</v>
      </c>
      <c r="E2846" s="12" t="str">
        <f t="array" ref="E2846">IF(D2846:D6889="","",IFERROR(_xlfn.XLOOKUP(D2846:D6889,'参照_勢力'!A:A,'参照_勢力'!B:B),IFERROR(_xlfn.XLOOKUP(F2846:F6889,kunishuClan!A:A,kunishuClan!B:B),"浪人")))</f>
      </c>
      <c r="F2846" s="4">
        <v>0</v>
      </c>
      <c r="G2846" s="4">
        <v>209</v>
      </c>
      <c r="H2846" s="12" t="str">
        <f t="array" ref="H2846">IF(G2846:G6889="","",_xlfn.XLOOKUP(G2846:G6889,castles_state!A:A,castles_state!D:D,"見つかりません"))</f>
      </c>
      <c r="I2846" s="4"/>
      <c r="J2846" s="12" t="str">
        <f t="array" ref="J2846">IF(I2846:I6889="","",_xlfn.XLOOKUP(I2846:I6889,'参照_姫'!A:A,'参照_姫'!B:B,"見つかりません"))</f>
      </c>
      <c r="K2846" s="4">
        <v>95</v>
      </c>
      <c r="L2846" s="4">
        <v>0</v>
      </c>
      <c r="M2846" s="4"/>
      <c r="N2846" s="4"/>
      <c r="O2846" s="4"/>
      <c r="P2846" s="12" t="str">
        <f t="array" ref="P2846">IF(O2846:O6889="","",_xlfn.XLOOKUP(O2846:O6889,'参照_官位'!A:A,'参照_官位'!B:B,""))</f>
      </c>
      <c r="Q2846" s="12" t="str">
        <f t="array" ref="Q2846">IF(A2846:A6889="","",IFERROR(_xlfn.XLOOKUP(A2846:A6889,castles_state!K:K,castles_state!D:D)&amp;"主",IFERROR(_xlfn.XLOOKUP(A2846:A6889,kunishuClan!D:D,kunishuClan!B:B)&amp;"当主","")))</f>
      </c>
    </row>
    <row r="2847" ht="15.75" customHeight="1">
      <c r="A2847" s="4">
        <v>1077002</v>
      </c>
      <c r="B2847" s="12" t="str">
        <f t="array" ref="B2847">IF(A2847:A6890="","",_xlfn.XLOOKUP(A2847:A6890,'参照_武将'!A:A,'参照_武将'!B:B,"見つかりません"))</f>
      </c>
      <c r="C2847" s="4" t="s">
        <v>361</v>
      </c>
      <c r="D2847" s="4">
        <v>77</v>
      </c>
      <c r="E2847" s="12" t="str">
        <f t="array" ref="E2847">IF(D2847:D6890="","",IFERROR(_xlfn.XLOOKUP(D2847:D6890,'参照_勢力'!A:A,'参照_勢力'!B:B),IFERROR(_xlfn.XLOOKUP(F2847:F6890,kunishuClan!A:A,kunishuClan!B:B),"浪人")))</f>
      </c>
      <c r="F2847" s="4">
        <v>0</v>
      </c>
      <c r="G2847" s="4">
        <v>209</v>
      </c>
      <c r="H2847" s="12" t="str">
        <f t="array" ref="H2847">IF(G2847:G6890="","",_xlfn.XLOOKUP(G2847:G6890,castles_state!A:A,castles_state!D:D,"見つかりません"))</f>
      </c>
      <c r="I2847" s="4">
        <v>28</v>
      </c>
      <c r="J2847" s="12" t="str">
        <f t="array" ref="J2847">IF(I2847:I6890="","",_xlfn.XLOOKUP(I2847:I6890,'参照_姫'!A:A,'参照_姫'!B:B,"見つかりません"))</f>
      </c>
      <c r="K2847" s="4">
        <v>100</v>
      </c>
      <c r="L2847" s="4">
        <v>0</v>
      </c>
      <c r="M2847" s="4"/>
      <c r="N2847" s="4"/>
      <c r="O2847" s="4"/>
      <c r="P2847" s="12" t="str">
        <f t="array" ref="P2847">IF(O2847:O6890="","",_xlfn.XLOOKUP(O2847:O6890,'参照_官位'!A:A,'参照_官位'!B:B,""))</f>
      </c>
      <c r="Q2847" s="12" t="str">
        <f t="array" ref="Q2847">IF(A2847:A6890="","",IFERROR(_xlfn.XLOOKUP(A2847:A6890,castles_state!K:K,castles_state!D:D)&amp;"主",IFERROR(_xlfn.XLOOKUP(A2847:A6890,kunishuClan!D:D,kunishuClan!B:B)&amp;"当主","")))</f>
      </c>
    </row>
    <row r="2848" ht="15.75" customHeight="1">
      <c r="A2848" s="4">
        <v>1077003</v>
      </c>
      <c r="B2848" s="12" t="str">
        <f t="array" ref="B2848">IF(A2848:A6891="","",_xlfn.XLOOKUP(A2848:A6891,'参照_武将'!A:A,'参照_武将'!B:B,"見つかりません"))</f>
      </c>
      <c r="C2848" s="4" t="s">
        <v>361</v>
      </c>
      <c r="D2848" s="4">
        <v>77</v>
      </c>
      <c r="E2848" s="12" t="str">
        <f t="array" ref="E2848">IF(D2848:D6891="","",IFERROR(_xlfn.XLOOKUP(D2848:D6891,'参照_勢力'!A:A,'参照_勢力'!B:B),IFERROR(_xlfn.XLOOKUP(F2848:F6891,kunishuClan!A:A,kunishuClan!B:B),"浪人")))</f>
      </c>
      <c r="F2848" s="4">
        <v>0</v>
      </c>
      <c r="G2848" s="4">
        <v>209</v>
      </c>
      <c r="H2848" s="12" t="str">
        <f t="array" ref="H2848">IF(G2848:G6891="","",_xlfn.XLOOKUP(G2848:G6891,castles_state!A:A,castles_state!D:D,"見つかりません"))</f>
      </c>
      <c r="I2848" s="4"/>
      <c r="J2848" s="12" t="str">
        <f t="array" ref="J2848">IF(I2848:I6891="","",_xlfn.XLOOKUP(I2848:I6891,'参照_姫'!A:A,'参照_姫'!B:B,"見つかりません"))</f>
      </c>
      <c r="K2848" s="4">
        <v>100</v>
      </c>
      <c r="L2848" s="4">
        <v>1500</v>
      </c>
      <c r="M2848" s="4"/>
      <c r="N2848" s="4"/>
      <c r="O2848" s="4"/>
      <c r="P2848" s="12" t="str">
        <f t="array" ref="P2848">IF(O2848:O6891="","",_xlfn.XLOOKUP(O2848:O6891,'参照_官位'!A:A,'参照_官位'!B:B,""))</f>
      </c>
      <c r="Q2848" s="12" t="str">
        <f t="array" ref="Q2848">IF(A2848:A6891="","",IFERROR(_xlfn.XLOOKUP(A2848:A6891,castles_state!K:K,castles_state!D:D)&amp;"主",IFERROR(_xlfn.XLOOKUP(A2848:A6891,kunishuClan!D:D,kunishuClan!B:B)&amp;"当主","")))</f>
      </c>
    </row>
    <row r="2849" ht="15.75" customHeight="1">
      <c r="A2849" s="4">
        <v>1077004</v>
      </c>
      <c r="B2849" s="12" t="str">
        <f t="array" ref="B2849">IF(A2849:A6892="","",_xlfn.XLOOKUP(A2849:A6892,'参照_武将'!A:A,'参照_武将'!B:B,"見つかりません"))</f>
      </c>
      <c r="C2849" s="4" t="s">
        <v>361</v>
      </c>
      <c r="D2849" s="4">
        <v>77</v>
      </c>
      <c r="E2849" s="12" t="str">
        <f t="array" ref="E2849">IF(D2849:D6892="","",IFERROR(_xlfn.XLOOKUP(D2849:D6892,'参照_勢力'!A:A,'参照_勢力'!B:B),IFERROR(_xlfn.XLOOKUP(F2849:F6892,kunishuClan!A:A,kunishuClan!B:B),"浪人")))</f>
      </c>
      <c r="F2849" s="4">
        <v>0</v>
      </c>
      <c r="G2849" s="4">
        <v>209</v>
      </c>
      <c r="H2849" s="12" t="str">
        <f t="array" ref="H2849">IF(G2849:G6892="","",_xlfn.XLOOKUP(G2849:G6892,castles_state!A:A,castles_state!D:D,"見つかりません"))</f>
      </c>
      <c r="I2849" s="4"/>
      <c r="J2849" s="12" t="str">
        <f t="array" ref="J2849">IF(I2849:I6892="","",_xlfn.XLOOKUP(I2849:I6892,'参照_姫'!A:A,'参照_姫'!B:B,"見つかりません"))</f>
      </c>
      <c r="K2849" s="4">
        <v>95</v>
      </c>
      <c r="L2849" s="4">
        <v>500</v>
      </c>
      <c r="M2849" s="4"/>
      <c r="N2849" s="4"/>
      <c r="O2849" s="4"/>
      <c r="P2849" s="12" t="str">
        <f t="array" ref="P2849">IF(O2849:O6892="","",_xlfn.XLOOKUP(O2849:O6892,'参照_官位'!A:A,'参照_官位'!B:B,""))</f>
      </c>
      <c r="Q2849" s="12" t="str">
        <f t="array" ref="Q2849">IF(A2849:A6892="","",IFERROR(_xlfn.XLOOKUP(A2849:A6892,castles_state!K:K,castles_state!D:D)&amp;"主",IFERROR(_xlfn.XLOOKUP(A2849:A6892,kunishuClan!D:D,kunishuClan!B:B)&amp;"当主","")))</f>
      </c>
    </row>
    <row r="2850" ht="15.75" customHeight="1">
      <c r="A2850" s="4">
        <v>1077005</v>
      </c>
      <c r="B2850" s="12" t="str">
        <f t="array" ref="B2850">IF(A2850:A6893="","",_xlfn.XLOOKUP(A2850:A6893,'参照_武将'!A:A,'参照_武将'!B:B,"見つかりません"))</f>
      </c>
      <c r="C2850" s="4" t="s">
        <v>361</v>
      </c>
      <c r="D2850" s="4">
        <v>77</v>
      </c>
      <c r="E2850" s="12" t="str">
        <f t="array" ref="E2850">IF(D2850:D6893="","",IFERROR(_xlfn.XLOOKUP(D2850:D6893,'参照_勢力'!A:A,'参照_勢力'!B:B),IFERROR(_xlfn.XLOOKUP(F2850:F6893,kunishuClan!A:A,kunishuClan!B:B),"浪人")))</f>
      </c>
      <c r="F2850" s="4">
        <v>0</v>
      </c>
      <c r="G2850" s="4">
        <v>209</v>
      </c>
      <c r="H2850" s="12" t="str">
        <f t="array" ref="H2850">IF(G2850:G6893="","",_xlfn.XLOOKUP(G2850:G6893,castles_state!A:A,castles_state!D:D,"見つかりません"))</f>
      </c>
      <c r="I2850" s="4"/>
      <c r="J2850" s="12" t="str">
        <f t="array" ref="J2850">IF(I2850:I6893="","",_xlfn.XLOOKUP(I2850:I6893,'参照_姫'!A:A,'参照_姫'!B:B,"見つかりません"))</f>
      </c>
      <c r="K2850" s="4">
        <v>95</v>
      </c>
      <c r="L2850" s="4">
        <v>200</v>
      </c>
      <c r="M2850" s="4"/>
      <c r="N2850" s="4"/>
      <c r="O2850" s="4"/>
      <c r="P2850" s="12" t="str">
        <f t="array" ref="P2850">IF(O2850:O6893="","",_xlfn.XLOOKUP(O2850:O6893,'参照_官位'!A:A,'参照_官位'!B:B,""))</f>
      </c>
      <c r="Q2850" s="12" t="str">
        <f t="array" ref="Q2850">IF(A2850:A6893="","",IFERROR(_xlfn.XLOOKUP(A2850:A6893,castles_state!K:K,castles_state!D:D)&amp;"主",IFERROR(_xlfn.XLOOKUP(A2850:A6893,kunishuClan!D:D,kunishuClan!B:B)&amp;"当主","")))</f>
      </c>
    </row>
    <row r="2851" ht="15.75" customHeight="1">
      <c r="A2851" s="4">
        <v>1077006</v>
      </c>
      <c r="B2851" s="12" t="str">
        <f t="array" ref="B2851">IF(A2851:A6894="","",_xlfn.XLOOKUP(A2851:A6894,'参照_武将'!A:A,'参照_武将'!B:B,"見つかりません"))</f>
      </c>
      <c r="C2851" s="4" t="s">
        <v>361</v>
      </c>
      <c r="D2851" s="4">
        <v>77</v>
      </c>
      <c r="E2851" s="12" t="str">
        <f t="array" ref="E2851">IF(D2851:D6894="","",IFERROR(_xlfn.XLOOKUP(D2851:D6894,'参照_勢力'!A:A,'参照_勢力'!B:B),IFERROR(_xlfn.XLOOKUP(F2851:F6894,kunishuClan!A:A,kunishuClan!B:B),"浪人")))</f>
      </c>
      <c r="F2851" s="4">
        <v>0</v>
      </c>
      <c r="G2851" s="4">
        <v>209</v>
      </c>
      <c r="H2851" s="12" t="str">
        <f t="array" ref="H2851">IF(G2851:G6894="","",_xlfn.XLOOKUP(G2851:G6894,castles_state!A:A,castles_state!D:D,"見つかりません"))</f>
      </c>
      <c r="I2851" s="4"/>
      <c r="J2851" s="12" t="str">
        <f t="array" ref="J2851">IF(I2851:I6894="","",_xlfn.XLOOKUP(I2851:I6894,'参照_姫'!A:A,'参照_姫'!B:B,"見つかりません"))</f>
      </c>
      <c r="K2851" s="4">
        <v>95</v>
      </c>
      <c r="L2851" s="4">
        <v>0</v>
      </c>
      <c r="M2851" s="4"/>
      <c r="N2851" s="4"/>
      <c r="O2851" s="4"/>
      <c r="P2851" s="12" t="str">
        <f t="array" ref="P2851">IF(O2851:O6894="","",_xlfn.XLOOKUP(O2851:O6894,'参照_官位'!A:A,'参照_官位'!B:B,""))</f>
      </c>
      <c r="Q2851" s="12" t="str">
        <f t="array" ref="Q2851">IF(A2851:A6894="","",IFERROR(_xlfn.XLOOKUP(A2851:A6894,castles_state!K:K,castles_state!D:D)&amp;"主",IFERROR(_xlfn.XLOOKUP(A2851:A6894,kunishuClan!D:D,kunishuClan!B:B)&amp;"当主","")))</f>
      </c>
    </row>
    <row r="2852" ht="15.75" customHeight="1">
      <c r="A2852" s="4">
        <v>1077007</v>
      </c>
      <c r="B2852" s="12" t="str">
        <f t="array" ref="B2852">IF(A2852:A6895="","",_xlfn.XLOOKUP(A2852:A6895,'参照_武将'!A:A,'参照_武将'!B:B,"見つかりません"))</f>
      </c>
      <c r="C2852" s="4" t="s">
        <v>361</v>
      </c>
      <c r="D2852" s="4">
        <v>77</v>
      </c>
      <c r="E2852" s="12" t="str">
        <f t="array" ref="E2852">IF(D2852:D6895="","",IFERROR(_xlfn.XLOOKUP(D2852:D6895,'参照_勢力'!A:A,'参照_勢力'!B:B),IFERROR(_xlfn.XLOOKUP(F2852:F6895,kunishuClan!A:A,kunishuClan!B:B),"浪人")))</f>
      </c>
      <c r="F2852" s="4">
        <v>0</v>
      </c>
      <c r="G2852" s="4">
        <v>209</v>
      </c>
      <c r="H2852" s="12" t="str">
        <f t="array" ref="H2852">IF(G2852:G6895="","",_xlfn.XLOOKUP(G2852:G6895,castles_state!A:A,castles_state!D:D,"見つかりません"))</f>
      </c>
      <c r="I2852" s="4"/>
      <c r="J2852" s="12" t="str">
        <f t="array" ref="J2852">IF(I2852:I6895="","",_xlfn.XLOOKUP(I2852:I6895,'参照_姫'!A:A,'参照_姫'!B:B,"見つかりません"))</f>
      </c>
      <c r="K2852" s="4">
        <v>95</v>
      </c>
      <c r="L2852" s="4">
        <v>0</v>
      </c>
      <c r="M2852" s="4"/>
      <c r="N2852" s="4"/>
      <c r="O2852" s="4"/>
      <c r="P2852" s="12" t="str">
        <f t="array" ref="P2852">IF(O2852:O6895="","",_xlfn.XLOOKUP(O2852:O6895,'参照_官位'!A:A,'参照_官位'!B:B,""))</f>
      </c>
      <c r="Q2852" s="12" t="str">
        <f t="array" ref="Q2852">IF(A2852:A6895="","",IFERROR(_xlfn.XLOOKUP(A2852:A6895,castles_state!K:K,castles_state!D:D)&amp;"主",IFERROR(_xlfn.XLOOKUP(A2852:A6895,kunishuClan!D:D,kunishuClan!B:B)&amp;"当主","")))</f>
      </c>
    </row>
    <row r="2853" ht="15.75" customHeight="1">
      <c r="A2853" s="4">
        <v>1077008</v>
      </c>
      <c r="B2853" s="12" t="str">
        <f t="array" ref="B2853">IF(A2853:A6896="","",_xlfn.XLOOKUP(A2853:A6896,'参照_武将'!A:A,'参照_武将'!B:B,"見つかりません"))</f>
      </c>
      <c r="C2853" s="4" t="s">
        <v>361</v>
      </c>
      <c r="D2853" s="4">
        <v>77</v>
      </c>
      <c r="E2853" s="12" t="str">
        <f t="array" ref="E2853">IF(D2853:D6896="","",IFERROR(_xlfn.XLOOKUP(D2853:D6896,'参照_勢力'!A:A,'参照_勢力'!B:B),IFERROR(_xlfn.XLOOKUP(F2853:F6896,kunishuClan!A:A,kunishuClan!B:B),"浪人")))</f>
      </c>
      <c r="F2853" s="4">
        <v>0</v>
      </c>
      <c r="G2853" s="4">
        <v>209</v>
      </c>
      <c r="H2853" s="12" t="str">
        <f t="array" ref="H2853">IF(G2853:G6896="","",_xlfn.XLOOKUP(G2853:G6896,castles_state!A:A,castles_state!D:D,"見つかりません"))</f>
      </c>
      <c r="I2853" s="4"/>
      <c r="J2853" s="12" t="str">
        <f t="array" ref="J2853">IF(I2853:I6896="","",_xlfn.XLOOKUP(I2853:I6896,'参照_姫'!A:A,'参照_姫'!B:B,"見つかりません"))</f>
      </c>
      <c r="K2853" s="4">
        <v>95</v>
      </c>
      <c r="L2853" s="4">
        <v>0</v>
      </c>
      <c r="M2853" s="4"/>
      <c r="N2853" s="4"/>
      <c r="O2853" s="4"/>
      <c r="P2853" s="12" t="str">
        <f t="array" ref="P2853">IF(O2853:O6896="","",_xlfn.XLOOKUP(O2853:O6896,'参照_官位'!A:A,'参照_官位'!B:B,""))</f>
      </c>
      <c r="Q2853" s="12" t="str">
        <f t="array" ref="Q2853">IF(A2853:A6896="","",IFERROR(_xlfn.XLOOKUP(A2853:A6896,castles_state!K:K,castles_state!D:D)&amp;"主",IFERROR(_xlfn.XLOOKUP(A2853:A6896,kunishuClan!D:D,kunishuClan!B:B)&amp;"当主","")))</f>
      </c>
    </row>
    <row r="2854" ht="15.75" customHeight="1">
      <c r="A2854" s="4">
        <v>1077009</v>
      </c>
      <c r="B2854" s="12" t="str">
        <f t="array" ref="B2854">IF(A2854:A6897="","",_xlfn.XLOOKUP(A2854:A6897,'参照_武将'!A:A,'参照_武将'!B:B,"見つかりません"))</f>
      </c>
      <c r="C2854" s="4" t="s">
        <v>361</v>
      </c>
      <c r="D2854" s="4">
        <v>77</v>
      </c>
      <c r="E2854" s="12" t="str">
        <f t="array" ref="E2854">IF(D2854:D6897="","",IFERROR(_xlfn.XLOOKUP(D2854:D6897,'参照_勢力'!A:A,'参照_勢力'!B:B),IFERROR(_xlfn.XLOOKUP(F2854:F6897,kunishuClan!A:A,kunishuClan!B:B),"浪人")))</f>
      </c>
      <c r="F2854" s="4">
        <v>0</v>
      </c>
      <c r="G2854" s="4">
        <v>208</v>
      </c>
      <c r="H2854" s="12" t="str">
        <f t="array" ref="H2854">IF(G2854:G6897="","",_xlfn.XLOOKUP(G2854:G6897,castles_state!A:A,castles_state!D:D,"見つかりません"))</f>
      </c>
      <c r="I2854" s="4"/>
      <c r="J2854" s="12" t="str">
        <f t="array" ref="J2854">IF(I2854:I6897="","",_xlfn.XLOOKUP(I2854:I6897,'参照_姫'!A:A,'参照_姫'!B:B,"見つかりません"))</f>
      </c>
      <c r="K2854" s="4">
        <v>95</v>
      </c>
      <c r="L2854" s="4">
        <v>500</v>
      </c>
      <c r="M2854" s="4"/>
      <c r="N2854" s="4"/>
      <c r="O2854" s="4"/>
      <c r="P2854" s="12" t="str">
        <f t="array" ref="P2854">IF(O2854:O6897="","",_xlfn.XLOOKUP(O2854:O6897,'参照_官位'!A:A,'参照_官位'!B:B,""))</f>
      </c>
      <c r="Q2854" s="12" t="str">
        <f t="array" ref="Q2854">IF(A2854:A6897="","",IFERROR(_xlfn.XLOOKUP(A2854:A6897,castles_state!K:K,castles_state!D:D)&amp;"主",IFERROR(_xlfn.XLOOKUP(A2854:A6897,kunishuClan!D:D,kunishuClan!B:B)&amp;"当主","")))</f>
      </c>
    </row>
    <row r="2855" ht="15.75" customHeight="1">
      <c r="A2855" s="4">
        <v>1077010</v>
      </c>
      <c r="B2855" s="12" t="str">
        <f t="array" ref="B2855">IF(A2855:A6898="","",_xlfn.XLOOKUP(A2855:A6898,'参照_武将'!A:A,'参照_武将'!B:B,"見つかりません"))</f>
      </c>
      <c r="C2855" s="4" t="s">
        <v>361</v>
      </c>
      <c r="D2855" s="4">
        <v>77</v>
      </c>
      <c r="E2855" s="12" t="str">
        <f t="array" ref="E2855">IF(D2855:D6898="","",IFERROR(_xlfn.XLOOKUP(D2855:D6898,'参照_勢力'!A:A,'参照_勢力'!B:B),IFERROR(_xlfn.XLOOKUP(F2855:F6898,kunishuClan!A:A,kunishuClan!B:B),"浪人")))</f>
      </c>
      <c r="F2855" s="4">
        <v>0</v>
      </c>
      <c r="G2855" s="4">
        <v>208</v>
      </c>
      <c r="H2855" s="12" t="str">
        <f t="array" ref="H2855">IF(G2855:G6898="","",_xlfn.XLOOKUP(G2855:G6898,castles_state!A:A,castles_state!D:D,"見つかりません"))</f>
      </c>
      <c r="I2855" s="4"/>
      <c r="J2855" s="12" t="str">
        <f t="array" ref="J2855">IF(I2855:I6898="","",_xlfn.XLOOKUP(I2855:I6898,'参照_姫'!A:A,'参照_姫'!B:B,"見つかりません"))</f>
      </c>
      <c r="K2855" s="4">
        <v>95</v>
      </c>
      <c r="L2855" s="4">
        <v>0</v>
      </c>
      <c r="M2855" s="4"/>
      <c r="N2855" s="4"/>
      <c r="O2855" s="4"/>
      <c r="P2855" s="12" t="str">
        <f t="array" ref="P2855">IF(O2855:O6898="","",_xlfn.XLOOKUP(O2855:O6898,'参照_官位'!A:A,'参照_官位'!B:B,""))</f>
      </c>
      <c r="Q2855" s="12" t="str">
        <f t="array" ref="Q2855">IF(A2855:A6898="","",IFERROR(_xlfn.XLOOKUP(A2855:A6898,castles_state!K:K,castles_state!D:D)&amp;"主",IFERROR(_xlfn.XLOOKUP(A2855:A6898,kunishuClan!D:D,kunishuClan!B:B)&amp;"当主","")))</f>
      </c>
    </row>
    <row r="2856" ht="15.75" customHeight="1">
      <c r="A2856" s="4">
        <v>1077011</v>
      </c>
      <c r="B2856" s="12" t="str">
        <f t="array" ref="B2856">IF(A2856:A6899="","",_xlfn.XLOOKUP(A2856:A6899,'参照_武将'!A:A,'参照_武将'!B:B,"見つかりません"))</f>
      </c>
      <c r="C2856" s="4" t="s">
        <v>361</v>
      </c>
      <c r="D2856" s="4">
        <v>77</v>
      </c>
      <c r="E2856" s="12" t="str">
        <f t="array" ref="E2856">IF(D2856:D6899="","",IFERROR(_xlfn.XLOOKUP(D2856:D6899,'参照_勢力'!A:A,'参照_勢力'!B:B),IFERROR(_xlfn.XLOOKUP(F2856:F6899,kunishuClan!A:A,kunishuClan!B:B),"浪人")))</f>
      </c>
      <c r="F2856" s="4">
        <v>0</v>
      </c>
      <c r="G2856" s="4">
        <v>209</v>
      </c>
      <c r="H2856" s="12" t="str">
        <f t="array" ref="H2856">IF(G2856:G6899="","",_xlfn.XLOOKUP(G2856:G6899,castles_state!A:A,castles_state!D:D,"見つかりません"))</f>
      </c>
      <c r="I2856" s="4"/>
      <c r="J2856" s="12" t="str">
        <f t="array" ref="J2856">IF(I2856:I6899="","",_xlfn.XLOOKUP(I2856:I6899,'参照_姫'!A:A,'参照_姫'!B:B,"見つかりません"))</f>
      </c>
      <c r="K2856" s="4">
        <v>95</v>
      </c>
      <c r="L2856" s="4">
        <v>200</v>
      </c>
      <c r="M2856" s="4"/>
      <c r="N2856" s="4" t="b">
        <v>1</v>
      </c>
      <c r="O2856" s="4"/>
      <c r="P2856" s="12" t="str">
        <f t="array" ref="P2856">IF(O2856:O6899="","",_xlfn.XLOOKUP(O2856:O6899,'参照_官位'!A:A,'参照_官位'!B:B,""))</f>
      </c>
      <c r="Q2856" s="12" t="str">
        <f t="array" ref="Q2856">IF(A2856:A6899="","",IFERROR(_xlfn.XLOOKUP(A2856:A6899,castles_state!K:K,castles_state!D:D)&amp;"主",IFERROR(_xlfn.XLOOKUP(A2856:A6899,kunishuClan!D:D,kunishuClan!B:B)&amp;"当主","")))</f>
      </c>
    </row>
    <row r="2857" ht="15.75" customHeight="1">
      <c r="A2857" s="4">
        <v>1077012</v>
      </c>
      <c r="B2857" s="12" t="str">
        <f t="array" ref="B2857">IF(A2857:A6900="","",_xlfn.XLOOKUP(A2857:A6900,'参照_武将'!A:A,'参照_武将'!B:B,"見つかりません"))</f>
      </c>
      <c r="C2857" s="4" t="s">
        <v>347</v>
      </c>
      <c r="D2857" s="4">
        <v>74</v>
      </c>
      <c r="E2857" s="12" t="str">
        <f t="array" ref="E2857">IF(D2857:D6900="","",IFERROR(_xlfn.XLOOKUP(D2857:D6900,'参照_勢力'!A:A,'参照_勢力'!B:B),IFERROR(_xlfn.XLOOKUP(F2857:F6900,kunishuClan!A:A,kunishuClan!B:B),"浪人")))</f>
      </c>
      <c r="F2857" s="4">
        <v>0</v>
      </c>
      <c r="G2857" s="4">
        <v>228</v>
      </c>
      <c r="H2857" s="12" t="str">
        <f t="array" ref="H2857">IF(G2857:G6900="","",_xlfn.XLOOKUP(G2857:G6900,castles_state!A:A,castles_state!D:D,"見つかりません"))</f>
      </c>
      <c r="I2857" s="4"/>
      <c r="J2857" s="12" t="str">
        <f t="array" ref="J2857">IF(I2857:I6900="","",_xlfn.XLOOKUP(I2857:I6900,'参照_姫'!A:A,'参照_姫'!B:B,"見つかりません"))</f>
      </c>
      <c r="K2857" s="4">
        <v>95</v>
      </c>
      <c r="L2857" s="4">
        <v>0</v>
      </c>
      <c r="M2857" s="4"/>
      <c r="N2857" s="4"/>
      <c r="O2857" s="4"/>
      <c r="P2857" s="12" t="str">
        <f t="array" ref="P2857">IF(O2857:O6900="","",_xlfn.XLOOKUP(O2857:O6900,'参照_官位'!A:A,'参照_官位'!B:B,""))</f>
      </c>
      <c r="Q2857" s="12" t="str">
        <f t="array" ref="Q2857">IF(A2857:A6900="","",IFERROR(_xlfn.XLOOKUP(A2857:A6900,castles_state!K:K,castles_state!D:D)&amp;"主",IFERROR(_xlfn.XLOOKUP(A2857:A6900,kunishuClan!D:D,kunishuClan!B:B)&amp;"当主","")))</f>
      </c>
    </row>
    <row r="2858" ht="15.75" customHeight="1">
      <c r="A2858" s="4">
        <v>1077013</v>
      </c>
      <c r="B2858" s="12" t="str">
        <f t="array" ref="B2858">IF(A2858:A6901="","",_xlfn.XLOOKUP(A2858:A6901,'参照_武将'!A:A,'参照_武将'!B:B,"見つかりません"))</f>
      </c>
      <c r="C2858" s="4" t="s">
        <v>347</v>
      </c>
      <c r="D2858" s="4">
        <v>74</v>
      </c>
      <c r="E2858" s="12" t="str">
        <f t="array" ref="E2858">IF(D2858:D6901="","",IFERROR(_xlfn.XLOOKUP(D2858:D6901,'参照_勢力'!A:A,'参照_勢力'!B:B),IFERROR(_xlfn.XLOOKUP(F2858:F6901,kunishuClan!A:A,kunishuClan!B:B),"浪人")))</f>
      </c>
      <c r="F2858" s="4">
        <v>0</v>
      </c>
      <c r="G2858" s="4">
        <v>228</v>
      </c>
      <c r="H2858" s="12" t="str">
        <f t="array" ref="H2858">IF(G2858:G6901="","",_xlfn.XLOOKUP(G2858:G6901,castles_state!A:A,castles_state!D:D,"見つかりません"))</f>
      </c>
      <c r="I2858" s="4"/>
      <c r="J2858" s="12" t="str">
        <f t="array" ref="J2858">IF(I2858:I6901="","",_xlfn.XLOOKUP(I2858:I6901,'参照_姫'!A:A,'参照_姫'!B:B,"見つかりません"))</f>
      </c>
      <c r="K2858" s="4">
        <v>95</v>
      </c>
      <c r="L2858" s="4">
        <v>0</v>
      </c>
      <c r="M2858" s="4"/>
      <c r="N2858" s="4"/>
      <c r="O2858" s="4"/>
      <c r="P2858" s="12" t="str">
        <f t="array" ref="P2858">IF(O2858:O6901="","",_xlfn.XLOOKUP(O2858:O6901,'参照_官位'!A:A,'参照_官位'!B:B,""))</f>
      </c>
      <c r="Q2858" s="12" t="str">
        <f t="array" ref="Q2858">IF(A2858:A6901="","",IFERROR(_xlfn.XLOOKUP(A2858:A6901,castles_state!K:K,castles_state!D:D)&amp;"主",IFERROR(_xlfn.XLOOKUP(A2858:A6901,kunishuClan!D:D,kunishuClan!B:B)&amp;"当主","")))</f>
      </c>
    </row>
    <row r="2859" ht="15.75" customHeight="1">
      <c r="A2859" s="4">
        <v>1077014</v>
      </c>
      <c r="B2859" s="12" t="str">
        <f t="array" ref="B2859">IF(A2859:A6902="","",_xlfn.XLOOKUP(A2859:A6902,'参照_武将'!A:A,'参照_武将'!B:B,"見つかりません"))</f>
      </c>
      <c r="C2859" s="4" t="s">
        <v>361</v>
      </c>
      <c r="D2859" s="4">
        <v>77</v>
      </c>
      <c r="E2859" s="12" t="str">
        <f t="array" ref="E2859">IF(D2859:D6902="","",IFERROR(_xlfn.XLOOKUP(D2859:D6902,'参照_勢力'!A:A,'参照_勢力'!B:B),IFERROR(_xlfn.XLOOKUP(F2859:F6902,kunishuClan!A:A,kunishuClan!B:B),"浪人")))</f>
      </c>
      <c r="F2859" s="4">
        <v>0</v>
      </c>
      <c r="G2859" s="4">
        <v>208</v>
      </c>
      <c r="H2859" s="12" t="str">
        <f t="array" ref="H2859">IF(G2859:G6902="","",_xlfn.XLOOKUP(G2859:G6902,castles_state!A:A,castles_state!D:D,"見つかりません"))</f>
      </c>
      <c r="I2859" s="4"/>
      <c r="J2859" s="12" t="str">
        <f t="array" ref="J2859">IF(I2859:I6902="","",_xlfn.XLOOKUP(I2859:I6902,'参照_姫'!A:A,'参照_姫'!B:B,"見つかりません"))</f>
      </c>
      <c r="K2859" s="4">
        <v>95</v>
      </c>
      <c r="L2859" s="4">
        <v>0</v>
      </c>
      <c r="M2859" s="4"/>
      <c r="N2859" s="4"/>
      <c r="O2859" s="4"/>
      <c r="P2859" s="12" t="str">
        <f t="array" ref="P2859">IF(O2859:O6902="","",_xlfn.XLOOKUP(O2859:O6902,'参照_官位'!A:A,'参照_官位'!B:B,""))</f>
      </c>
      <c r="Q2859" s="12" t="str">
        <f t="array" ref="Q2859">IF(A2859:A6902="","",IFERROR(_xlfn.XLOOKUP(A2859:A6902,castles_state!K:K,castles_state!D:D)&amp;"主",IFERROR(_xlfn.XLOOKUP(A2859:A6902,kunishuClan!D:D,kunishuClan!B:B)&amp;"当主","")))</f>
      </c>
    </row>
    <row r="2860" ht="15.75" customHeight="1">
      <c r="A2860" s="4">
        <v>1077015</v>
      </c>
      <c r="B2860" s="12" t="str">
        <f t="array" ref="B2860">IF(A2860:A6903="","",_xlfn.XLOOKUP(A2860:A6903,'参照_武将'!A:A,'参照_武将'!B:B,"見つかりません"))</f>
      </c>
      <c r="C2860" s="4" t="s">
        <v>361</v>
      </c>
      <c r="D2860" s="4">
        <v>77</v>
      </c>
      <c r="E2860" s="12" t="str">
        <f t="array" ref="E2860">IF(D2860:D6903="","",IFERROR(_xlfn.XLOOKUP(D2860:D6903,'参照_勢力'!A:A,'参照_勢力'!B:B),IFERROR(_xlfn.XLOOKUP(F2860:F6903,kunishuClan!A:A,kunishuClan!B:B),"浪人")))</f>
      </c>
      <c r="F2860" s="4">
        <v>0</v>
      </c>
      <c r="G2860" s="4">
        <v>208</v>
      </c>
      <c r="H2860" s="12" t="str">
        <f t="array" ref="H2860">IF(G2860:G6903="","",_xlfn.XLOOKUP(G2860:G6903,castles_state!A:A,castles_state!D:D,"見つかりません"))</f>
      </c>
      <c r="I2860" s="4"/>
      <c r="J2860" s="12" t="str">
        <f t="array" ref="J2860">IF(I2860:I6903="","",_xlfn.XLOOKUP(I2860:I6903,'参照_姫'!A:A,'参照_姫'!B:B,"見つかりません"))</f>
      </c>
      <c r="K2860" s="4">
        <v>85</v>
      </c>
      <c r="L2860" s="4">
        <v>0</v>
      </c>
      <c r="M2860" s="4"/>
      <c r="N2860" s="4"/>
      <c r="O2860" s="4"/>
      <c r="P2860" s="12" t="str">
        <f t="array" ref="P2860">IF(O2860:O6903="","",_xlfn.XLOOKUP(O2860:O6903,'参照_官位'!A:A,'参照_官位'!B:B,""))</f>
      </c>
      <c r="Q2860" s="12" t="str">
        <f t="array" ref="Q2860">IF(A2860:A6903="","",IFERROR(_xlfn.XLOOKUP(A2860:A6903,castles_state!K:K,castles_state!D:D)&amp;"主",IFERROR(_xlfn.XLOOKUP(A2860:A6903,kunishuClan!D:D,kunishuClan!B:B)&amp;"当主","")))</f>
      </c>
    </row>
    <row r="2861" ht="15.75" customHeight="1">
      <c r="A2861" s="4">
        <v>1077016</v>
      </c>
      <c r="B2861" s="12" t="str">
        <f t="array" ref="B2861">IF(A2861:A6904="","",_xlfn.XLOOKUP(A2861:A6904,'参照_武将'!A:A,'参照_武将'!B:B,"見つかりません"))</f>
      </c>
      <c r="C2861" s="4" t="s">
        <v>361</v>
      </c>
      <c r="D2861" s="4">
        <v>77</v>
      </c>
      <c r="E2861" s="12" t="str">
        <f t="array" ref="E2861">IF(D2861:D6904="","",IFERROR(_xlfn.XLOOKUP(D2861:D6904,'参照_勢力'!A:A,'参照_勢力'!B:B),IFERROR(_xlfn.XLOOKUP(F2861:F6904,kunishuClan!A:A,kunishuClan!B:B),"浪人")))</f>
      </c>
      <c r="F2861" s="4">
        <v>0</v>
      </c>
      <c r="G2861" s="4">
        <v>208</v>
      </c>
      <c r="H2861" s="12" t="str">
        <f t="array" ref="H2861">IF(G2861:G6904="","",_xlfn.XLOOKUP(G2861:G6904,castles_state!A:A,castles_state!D:D,"見つかりません"))</f>
      </c>
      <c r="I2861" s="4"/>
      <c r="J2861" s="12" t="str">
        <f t="array" ref="J2861">IF(I2861:I6904="","",_xlfn.XLOOKUP(I2861:I6904,'参照_姫'!A:A,'参照_姫'!B:B,"見つかりません"))</f>
      </c>
      <c r="K2861" s="4">
        <v>85</v>
      </c>
      <c r="L2861" s="4">
        <v>0</v>
      </c>
      <c r="M2861" s="4"/>
      <c r="N2861" s="4"/>
      <c r="O2861" s="4"/>
      <c r="P2861" s="12" t="str">
        <f t="array" ref="P2861">IF(O2861:O6904="","",_xlfn.XLOOKUP(O2861:O6904,'参照_官位'!A:A,'参照_官位'!B:B,""))</f>
      </c>
      <c r="Q2861" s="12" t="str">
        <f t="array" ref="Q2861">IF(A2861:A6904="","",IFERROR(_xlfn.XLOOKUP(A2861:A6904,castles_state!K:K,castles_state!D:D)&amp;"主",IFERROR(_xlfn.XLOOKUP(A2861:A6904,kunishuClan!D:D,kunishuClan!B:B)&amp;"当主","")))</f>
      </c>
    </row>
    <row r="2862" ht="15.75" customHeight="1">
      <c r="A2862" s="4">
        <v>1077017</v>
      </c>
      <c r="B2862" s="12" t="str">
        <f t="array" ref="B2862">IF(A2862:A6905="","",_xlfn.XLOOKUP(A2862:A6905,'参照_武将'!A:A,'参照_武将'!B:B,"見つかりません"))</f>
      </c>
      <c r="C2862" s="4" t="s">
        <v>361</v>
      </c>
      <c r="D2862" s="4">
        <v>77</v>
      </c>
      <c r="E2862" s="12" t="str">
        <f t="array" ref="E2862">IF(D2862:D6905="","",IFERROR(_xlfn.XLOOKUP(D2862:D6905,'参照_勢力'!A:A,'参照_勢力'!B:B),IFERROR(_xlfn.XLOOKUP(F2862:F6905,kunishuClan!A:A,kunishuClan!B:B),"浪人")))</f>
      </c>
      <c r="F2862" s="4">
        <v>0</v>
      </c>
      <c r="G2862" s="4">
        <v>208</v>
      </c>
      <c r="H2862" s="12" t="str">
        <f t="array" ref="H2862">IF(G2862:G6905="","",_xlfn.XLOOKUP(G2862:G6905,castles_state!A:A,castles_state!D:D,"見つかりません"))</f>
      </c>
      <c r="I2862" s="4"/>
      <c r="J2862" s="12" t="str">
        <f t="array" ref="J2862">IF(I2862:I6905="","",_xlfn.XLOOKUP(I2862:I6905,'参照_姫'!A:A,'参照_姫'!B:B,"見つかりません"))</f>
      </c>
      <c r="K2862" s="4">
        <v>95</v>
      </c>
      <c r="L2862" s="4">
        <v>0</v>
      </c>
      <c r="M2862" s="4"/>
      <c r="N2862" s="4"/>
      <c r="O2862" s="4"/>
      <c r="P2862" s="12" t="str">
        <f t="array" ref="P2862">IF(O2862:O6905="","",_xlfn.XLOOKUP(O2862:O6905,'参照_官位'!A:A,'参照_官位'!B:B,""))</f>
      </c>
      <c r="Q2862" s="12" t="str">
        <f t="array" ref="Q2862">IF(A2862:A6905="","",IFERROR(_xlfn.XLOOKUP(A2862:A6905,castles_state!K:K,castles_state!D:D)&amp;"主",IFERROR(_xlfn.XLOOKUP(A2862:A6905,kunishuClan!D:D,kunishuClan!B:B)&amp;"当主","")))</f>
      </c>
    </row>
    <row r="2863" ht="15.75" customHeight="1">
      <c r="A2863" s="4">
        <v>1077018</v>
      </c>
      <c r="B2863" s="12" t="str">
        <f t="array" ref="B2863">IF(A2863:A6906="","",_xlfn.XLOOKUP(A2863:A6906,'参照_武将'!A:A,'参照_武将'!B:B,"見つかりません"))</f>
      </c>
      <c r="C2863" s="4" t="s">
        <v>361</v>
      </c>
      <c r="D2863" s="4">
        <v>77</v>
      </c>
      <c r="E2863" s="12" t="str">
        <f t="array" ref="E2863">IF(D2863:D6906="","",IFERROR(_xlfn.XLOOKUP(D2863:D6906,'参照_勢力'!A:A,'参照_勢力'!B:B),IFERROR(_xlfn.XLOOKUP(F2863:F6906,kunishuClan!A:A,kunishuClan!B:B),"浪人")))</f>
      </c>
      <c r="F2863" s="4">
        <v>0</v>
      </c>
      <c r="G2863" s="4">
        <v>208</v>
      </c>
      <c r="H2863" s="12" t="str">
        <f t="array" ref="H2863">IF(G2863:G6906="","",_xlfn.XLOOKUP(G2863:G6906,castles_state!A:A,castles_state!D:D,"見つかりません"))</f>
      </c>
      <c r="I2863" s="4"/>
      <c r="J2863" s="12" t="str">
        <f t="array" ref="J2863">IF(I2863:I6906="","",_xlfn.XLOOKUP(I2863:I6906,'参照_姫'!A:A,'参照_姫'!B:B,"見つかりません"))</f>
      </c>
      <c r="K2863" s="4">
        <v>95</v>
      </c>
      <c r="L2863" s="4">
        <v>0</v>
      </c>
      <c r="M2863" s="4"/>
      <c r="N2863" s="4"/>
      <c r="O2863" s="4"/>
      <c r="P2863" s="12" t="str">
        <f t="array" ref="P2863">IF(O2863:O6906="","",_xlfn.XLOOKUP(O2863:O6906,'参照_官位'!A:A,'参照_官位'!B:B,""))</f>
      </c>
      <c r="Q2863" s="12" t="str">
        <f t="array" ref="Q2863">IF(A2863:A6906="","",IFERROR(_xlfn.XLOOKUP(A2863:A6906,castles_state!K:K,castles_state!D:D)&amp;"主",IFERROR(_xlfn.XLOOKUP(A2863:A6906,kunishuClan!D:D,kunishuClan!B:B)&amp;"当主","")))</f>
      </c>
    </row>
    <row r="2864" ht="15.75" customHeight="1">
      <c r="A2864" s="4">
        <v>1077019</v>
      </c>
      <c r="B2864" s="12" t="str">
        <f t="array" ref="B2864">IF(A2864:A6907="","",_xlfn.XLOOKUP(A2864:A6907,'参照_武将'!A:A,'参照_武将'!B:B,"見つかりません"))</f>
      </c>
      <c r="C2864" s="4" t="s">
        <v>361</v>
      </c>
      <c r="D2864" s="4">
        <v>77</v>
      </c>
      <c r="E2864" s="12" t="str">
        <f t="array" ref="E2864">IF(D2864:D6907="","",IFERROR(_xlfn.XLOOKUP(D2864:D6907,'参照_勢力'!A:A,'参照_勢力'!B:B),IFERROR(_xlfn.XLOOKUP(F2864:F6907,kunishuClan!A:A,kunishuClan!B:B),"浪人")))</f>
      </c>
      <c r="F2864" s="4">
        <v>0</v>
      </c>
      <c r="G2864" s="4">
        <v>208</v>
      </c>
      <c r="H2864" s="12" t="str">
        <f t="array" ref="H2864">IF(G2864:G6907="","",_xlfn.XLOOKUP(G2864:G6907,castles_state!A:A,castles_state!D:D,"見つかりません"))</f>
      </c>
      <c r="I2864" s="4"/>
      <c r="J2864" s="12" t="str">
        <f t="array" ref="J2864">IF(I2864:I6907="","",_xlfn.XLOOKUP(I2864:I6907,'参照_姫'!A:A,'参照_姫'!B:B,"見つかりません"))</f>
      </c>
      <c r="K2864" s="4">
        <v>95</v>
      </c>
      <c r="L2864" s="4">
        <v>500</v>
      </c>
      <c r="M2864" s="4"/>
      <c r="N2864" s="4"/>
      <c r="O2864" s="4"/>
      <c r="P2864" s="12" t="str">
        <f t="array" ref="P2864">IF(O2864:O6907="","",_xlfn.XLOOKUP(O2864:O6907,'参照_官位'!A:A,'参照_官位'!B:B,""))</f>
      </c>
      <c r="Q2864" s="12" t="str">
        <f t="array" ref="Q2864">IF(A2864:A6907="","",IFERROR(_xlfn.XLOOKUP(A2864:A6907,castles_state!K:K,castles_state!D:D)&amp;"主",IFERROR(_xlfn.XLOOKUP(A2864:A6907,kunishuClan!D:D,kunishuClan!B:B)&amp;"当主","")))</f>
      </c>
    </row>
    <row r="2865" ht="15.75" customHeight="1">
      <c r="A2865" s="4">
        <v>1077020</v>
      </c>
      <c r="B2865" s="12" t="str">
        <f t="array" ref="B2865">IF(A2865:A6908="","",_xlfn.XLOOKUP(A2865:A6908,'参照_武将'!A:A,'参照_武将'!B:B,"見つかりません"))</f>
      </c>
      <c r="C2865" s="4" t="s">
        <v>361</v>
      </c>
      <c r="D2865" s="4">
        <v>77</v>
      </c>
      <c r="E2865" s="12" t="str">
        <f t="array" ref="E2865">IF(D2865:D6908="","",IFERROR(_xlfn.XLOOKUP(D2865:D6908,'参照_勢力'!A:A,'参照_勢力'!B:B),IFERROR(_xlfn.XLOOKUP(F2865:F6908,kunishuClan!A:A,kunishuClan!B:B),"浪人")))</f>
      </c>
      <c r="F2865" s="4">
        <v>0</v>
      </c>
      <c r="G2865" s="4">
        <v>208</v>
      </c>
      <c r="H2865" s="12" t="str">
        <f t="array" ref="H2865">IF(G2865:G6908="","",_xlfn.XLOOKUP(G2865:G6908,castles_state!A:A,castles_state!D:D,"見つかりません"))</f>
      </c>
      <c r="I2865" s="4"/>
      <c r="J2865" s="12" t="str">
        <f t="array" ref="J2865">IF(I2865:I6908="","",_xlfn.XLOOKUP(I2865:I6908,'参照_姫'!A:A,'参照_姫'!B:B,"見つかりません"))</f>
      </c>
      <c r="K2865" s="4">
        <v>95</v>
      </c>
      <c r="L2865" s="4">
        <v>0</v>
      </c>
      <c r="M2865" s="4"/>
      <c r="N2865" s="4"/>
      <c r="O2865" s="4"/>
      <c r="P2865" s="12" t="str">
        <f t="array" ref="P2865">IF(O2865:O6908="","",_xlfn.XLOOKUP(O2865:O6908,'参照_官位'!A:A,'参照_官位'!B:B,""))</f>
      </c>
      <c r="Q2865" s="12" t="str">
        <f t="array" ref="Q2865">IF(A2865:A6908="","",IFERROR(_xlfn.XLOOKUP(A2865:A6908,castles_state!K:K,castles_state!D:D)&amp;"主",IFERROR(_xlfn.XLOOKUP(A2865:A6908,kunishuClan!D:D,kunishuClan!B:B)&amp;"当主","")))</f>
      </c>
    </row>
    <row r="2866" ht="15.75" customHeight="1">
      <c r="A2866" s="4">
        <v>1077021</v>
      </c>
      <c r="B2866" s="12" t="str">
        <f t="array" ref="B2866">IF(A2866:A6909="","",_xlfn.XLOOKUP(A2866:A6909,'参照_武将'!A:A,'参照_武将'!B:B,"見つかりません"))</f>
      </c>
      <c r="C2866" s="4" t="s">
        <v>361</v>
      </c>
      <c r="D2866" s="4">
        <v>77</v>
      </c>
      <c r="E2866" s="12" t="str">
        <f t="array" ref="E2866">IF(D2866:D6909="","",IFERROR(_xlfn.XLOOKUP(D2866:D6909,'参照_勢力'!A:A,'参照_勢力'!B:B),IFERROR(_xlfn.XLOOKUP(F2866:F6909,kunishuClan!A:A,kunishuClan!B:B),"浪人")))</f>
      </c>
      <c r="F2866" s="4">
        <v>0</v>
      </c>
      <c r="G2866" s="4">
        <v>208</v>
      </c>
      <c r="H2866" s="12" t="str">
        <f t="array" ref="H2866">IF(G2866:G6909="","",_xlfn.XLOOKUP(G2866:G6909,castles_state!A:A,castles_state!D:D,"見つかりません"))</f>
      </c>
      <c r="I2866" s="4"/>
      <c r="J2866" s="12" t="str">
        <f t="array" ref="J2866">IF(I2866:I6909="","",_xlfn.XLOOKUP(I2866:I6909,'参照_姫'!A:A,'参照_姫'!B:B,"見つかりません"))</f>
      </c>
      <c r="K2866" s="4">
        <v>95</v>
      </c>
      <c r="L2866" s="4">
        <v>0</v>
      </c>
      <c r="M2866" s="4"/>
      <c r="N2866" s="4"/>
      <c r="O2866" s="4"/>
      <c r="P2866" s="12" t="str">
        <f t="array" ref="P2866">IF(O2866:O6909="","",_xlfn.XLOOKUP(O2866:O6909,'参照_官位'!A:A,'参照_官位'!B:B,""))</f>
      </c>
      <c r="Q2866" s="12" t="str">
        <f t="array" ref="Q2866">IF(A2866:A6909="","",IFERROR(_xlfn.XLOOKUP(A2866:A6909,castles_state!K:K,castles_state!D:D)&amp;"主",IFERROR(_xlfn.XLOOKUP(A2866:A6909,kunishuClan!D:D,kunishuClan!B:B)&amp;"当主","")))</f>
      </c>
    </row>
    <row r="2867" ht="15.75" customHeight="1">
      <c r="A2867" s="4">
        <v>1077022</v>
      </c>
      <c r="B2867" s="12" t="str">
        <f t="array" ref="B2867">IF(A2867:A6910="","",_xlfn.XLOOKUP(A2867:A6910,'参照_武将'!A:A,'参照_武将'!B:B,"見つかりません"))</f>
      </c>
      <c r="C2867" s="4" t="s">
        <v>361</v>
      </c>
      <c r="D2867" s="4">
        <v>77</v>
      </c>
      <c r="E2867" s="12" t="str">
        <f t="array" ref="E2867">IF(D2867:D6910="","",IFERROR(_xlfn.XLOOKUP(D2867:D6910,'参照_勢力'!A:A,'参照_勢力'!B:B),IFERROR(_xlfn.XLOOKUP(F2867:F6910,kunishuClan!A:A,kunishuClan!B:B),"浪人")))</f>
      </c>
      <c r="F2867" s="4">
        <v>0</v>
      </c>
      <c r="G2867" s="4">
        <v>208</v>
      </c>
      <c r="H2867" s="12" t="str">
        <f t="array" ref="H2867">IF(G2867:G6910="","",_xlfn.XLOOKUP(G2867:G6910,castles_state!A:A,castles_state!D:D,"見つかりません"))</f>
      </c>
      <c r="I2867" s="4"/>
      <c r="J2867" s="12" t="str">
        <f t="array" ref="J2867">IF(I2867:I6910="","",_xlfn.XLOOKUP(I2867:I6910,'参照_姫'!A:A,'参照_姫'!B:B,"見つかりません"))</f>
      </c>
      <c r="K2867" s="4">
        <v>95</v>
      </c>
      <c r="L2867" s="4">
        <v>0</v>
      </c>
      <c r="M2867" s="4"/>
      <c r="N2867" s="4"/>
      <c r="O2867" s="4"/>
      <c r="P2867" s="12" t="str">
        <f t="array" ref="P2867">IF(O2867:O6910="","",_xlfn.XLOOKUP(O2867:O6910,'参照_官位'!A:A,'参照_官位'!B:B,""))</f>
      </c>
      <c r="Q2867" s="12" t="str">
        <f t="array" ref="Q2867">IF(A2867:A6910="","",IFERROR(_xlfn.XLOOKUP(A2867:A6910,castles_state!K:K,castles_state!D:D)&amp;"主",IFERROR(_xlfn.XLOOKUP(A2867:A6910,kunishuClan!D:D,kunishuClan!B:B)&amp;"当主","")))</f>
      </c>
    </row>
    <row r="2868" ht="15.75" customHeight="1">
      <c r="A2868" s="4">
        <v>1077023</v>
      </c>
      <c r="B2868" s="12" t="str">
        <f t="array" ref="B2868">IF(A2868:A6911="","",_xlfn.XLOOKUP(A2868:A6911,'参照_武将'!A:A,'参照_武将'!B:B,"見つかりません"))</f>
      </c>
      <c r="C2868" s="4" t="s">
        <v>361</v>
      </c>
      <c r="D2868" s="4">
        <v>77</v>
      </c>
      <c r="E2868" s="12" t="str">
        <f t="array" ref="E2868">IF(D2868:D6911="","",IFERROR(_xlfn.XLOOKUP(D2868:D6911,'参照_勢力'!A:A,'参照_勢力'!B:B),IFERROR(_xlfn.XLOOKUP(F2868:F6911,kunishuClan!A:A,kunishuClan!B:B),"浪人")))</f>
      </c>
      <c r="F2868" s="4">
        <v>0</v>
      </c>
      <c r="G2868" s="4">
        <v>209</v>
      </c>
      <c r="H2868" s="12" t="str">
        <f t="array" ref="H2868">IF(G2868:G6911="","",_xlfn.XLOOKUP(G2868:G6911,castles_state!A:A,castles_state!D:D,"見つかりません"))</f>
      </c>
      <c r="I2868" s="4"/>
      <c r="J2868" s="12" t="str">
        <f t="array" ref="J2868">IF(I2868:I6911="","",_xlfn.XLOOKUP(I2868:I6911,'参照_姫'!A:A,'参照_姫'!B:B,"見つかりません"))</f>
      </c>
      <c r="K2868" s="4">
        <v>85</v>
      </c>
      <c r="L2868" s="4">
        <v>0</v>
      </c>
      <c r="M2868" s="4"/>
      <c r="N2868" s="4"/>
      <c r="O2868" s="4"/>
      <c r="P2868" s="12" t="str">
        <f t="array" ref="P2868">IF(O2868:O6911="","",_xlfn.XLOOKUP(O2868:O6911,'参照_官位'!A:A,'参照_官位'!B:B,""))</f>
      </c>
      <c r="Q2868" s="12" t="str">
        <f t="array" ref="Q2868">IF(A2868:A6911="","",IFERROR(_xlfn.XLOOKUP(A2868:A6911,castles_state!K:K,castles_state!D:D)&amp;"主",IFERROR(_xlfn.XLOOKUP(A2868:A6911,kunishuClan!D:D,kunishuClan!B:B)&amp;"当主","")))</f>
      </c>
    </row>
    <row r="2869" ht="15.75" customHeight="1">
      <c r="A2869" s="4">
        <v>1077024</v>
      </c>
      <c r="B2869" s="12" t="str">
        <f t="array" ref="B2869">IF(A2869:A6912="","",_xlfn.XLOOKUP(A2869:A6912,'参照_武将'!A:A,'参照_武将'!B:B,"見つかりません"))</f>
      </c>
      <c r="C2869" s="4" t="s">
        <v>361</v>
      </c>
      <c r="D2869" s="4">
        <v>77</v>
      </c>
      <c r="E2869" s="12" t="str">
        <f t="array" ref="E2869">IF(D2869:D6912="","",IFERROR(_xlfn.XLOOKUP(D2869:D6912,'参照_勢力'!A:A,'参照_勢力'!B:B),IFERROR(_xlfn.XLOOKUP(F2869:F6912,kunishuClan!A:A,kunishuClan!B:B),"浪人")))</f>
      </c>
      <c r="F2869" s="4">
        <v>0</v>
      </c>
      <c r="G2869" s="4">
        <v>209</v>
      </c>
      <c r="H2869" s="12" t="str">
        <f t="array" ref="H2869">IF(G2869:G6912="","",_xlfn.XLOOKUP(G2869:G6912,castles_state!A:A,castles_state!D:D,"見つかりません"))</f>
      </c>
      <c r="I2869" s="4"/>
      <c r="J2869" s="12" t="str">
        <f t="array" ref="J2869">IF(I2869:I6912="","",_xlfn.XLOOKUP(I2869:I6912,'参照_姫'!A:A,'参照_姫'!B:B,"見つかりません"))</f>
      </c>
      <c r="K2869" s="4">
        <v>95</v>
      </c>
      <c r="L2869" s="4">
        <v>0</v>
      </c>
      <c r="M2869" s="4"/>
      <c r="N2869" s="4"/>
      <c r="O2869" s="4"/>
      <c r="P2869" s="12" t="str">
        <f t="array" ref="P2869">IF(O2869:O6912="","",_xlfn.XLOOKUP(O2869:O6912,'参照_官位'!A:A,'参照_官位'!B:B,""))</f>
      </c>
      <c r="Q2869" s="12" t="str">
        <f t="array" ref="Q2869">IF(A2869:A6912="","",IFERROR(_xlfn.XLOOKUP(A2869:A6912,castles_state!K:K,castles_state!D:D)&amp;"主",IFERROR(_xlfn.XLOOKUP(A2869:A6912,kunishuClan!D:D,kunishuClan!B:B)&amp;"当主","")))</f>
      </c>
    </row>
    <row r="2870" ht="15.75" customHeight="1">
      <c r="A2870" s="4">
        <v>1077025</v>
      </c>
      <c r="B2870" s="12" t="str">
        <f t="array" ref="B2870">IF(A2870:A6913="","",_xlfn.XLOOKUP(A2870:A6913,'参照_武将'!A:A,'参照_武将'!B:B,"見つかりません"))</f>
      </c>
      <c r="C2870" s="4" t="s">
        <v>361</v>
      </c>
      <c r="D2870" s="4">
        <v>77</v>
      </c>
      <c r="E2870" s="12" t="str">
        <f t="array" ref="E2870">IF(D2870:D6913="","",IFERROR(_xlfn.XLOOKUP(D2870:D6913,'参照_勢力'!A:A,'参照_勢力'!B:B),IFERROR(_xlfn.XLOOKUP(F2870:F6913,kunishuClan!A:A,kunishuClan!B:B),"浪人")))</f>
      </c>
      <c r="F2870" s="4">
        <v>0</v>
      </c>
      <c r="G2870" s="4">
        <v>209</v>
      </c>
      <c r="H2870" s="12" t="str">
        <f t="array" ref="H2870">IF(G2870:G6913="","",_xlfn.XLOOKUP(G2870:G6913,castles_state!A:A,castles_state!D:D,"見つかりません"))</f>
      </c>
      <c r="I2870" s="4"/>
      <c r="J2870" s="12" t="str">
        <f t="array" ref="J2870">IF(I2870:I6913="","",_xlfn.XLOOKUP(I2870:I6913,'参照_姫'!A:A,'参照_姫'!B:B,"見つかりません"))</f>
      </c>
      <c r="K2870" s="4">
        <v>95</v>
      </c>
      <c r="L2870" s="4">
        <v>300</v>
      </c>
      <c r="M2870" s="4"/>
      <c r="N2870" s="4"/>
      <c r="O2870" s="4"/>
      <c r="P2870" s="12" t="str">
        <f t="array" ref="P2870">IF(O2870:O6913="","",_xlfn.XLOOKUP(O2870:O6913,'参照_官位'!A:A,'参照_官位'!B:B,""))</f>
      </c>
      <c r="Q2870" s="12" t="str">
        <f t="array" ref="Q2870">IF(A2870:A6913="","",IFERROR(_xlfn.XLOOKUP(A2870:A6913,castles_state!K:K,castles_state!D:D)&amp;"主",IFERROR(_xlfn.XLOOKUP(A2870:A6913,kunishuClan!D:D,kunishuClan!B:B)&amp;"当主","")))</f>
      </c>
    </row>
    <row r="2871" ht="15.75" customHeight="1">
      <c r="A2871" s="4">
        <v>1077026</v>
      </c>
      <c r="B2871" s="12" t="str">
        <f t="array" ref="B2871">IF(A2871:A6914="","",_xlfn.XLOOKUP(A2871:A6914,'参照_武将'!A:A,'参照_武将'!B:B,"見つかりません"))</f>
      </c>
      <c r="C2871" s="4" t="s">
        <v>361</v>
      </c>
      <c r="D2871" s="4">
        <v>77</v>
      </c>
      <c r="E2871" s="12" t="str">
        <f t="array" ref="E2871">IF(D2871:D6914="","",IFERROR(_xlfn.XLOOKUP(D2871:D6914,'参照_勢力'!A:A,'参照_勢力'!B:B),IFERROR(_xlfn.XLOOKUP(F2871:F6914,kunishuClan!A:A,kunishuClan!B:B),"浪人")))</f>
      </c>
      <c r="F2871" s="4">
        <v>0</v>
      </c>
      <c r="G2871" s="4">
        <v>209</v>
      </c>
      <c r="H2871" s="12" t="str">
        <f t="array" ref="H2871">IF(G2871:G6914="","",_xlfn.XLOOKUP(G2871:G6914,castles_state!A:A,castles_state!D:D,"見つかりません"))</f>
      </c>
      <c r="I2871" s="4"/>
      <c r="J2871" s="12" t="str">
        <f t="array" ref="J2871">IF(I2871:I6914="","",_xlfn.XLOOKUP(I2871:I6914,'参照_姫'!A:A,'参照_姫'!B:B,"見つかりません"))</f>
      </c>
      <c r="K2871" s="4">
        <v>95</v>
      </c>
      <c r="L2871" s="4">
        <v>0</v>
      </c>
      <c r="M2871" s="4"/>
      <c r="N2871" s="4"/>
      <c r="O2871" s="4"/>
      <c r="P2871" s="12" t="str">
        <f t="array" ref="P2871">IF(O2871:O6914="","",_xlfn.XLOOKUP(O2871:O6914,'参照_官位'!A:A,'参照_官位'!B:B,""))</f>
      </c>
      <c r="Q2871" s="12" t="str">
        <f t="array" ref="Q2871">IF(A2871:A6914="","",IFERROR(_xlfn.XLOOKUP(A2871:A6914,castles_state!K:K,castles_state!D:D)&amp;"主",IFERROR(_xlfn.XLOOKUP(A2871:A6914,kunishuClan!D:D,kunishuClan!B:B)&amp;"当主","")))</f>
      </c>
    </row>
    <row r="2872" ht="15.75" customHeight="1">
      <c r="A2872" s="4">
        <v>1077027</v>
      </c>
      <c r="B2872" s="12" t="str">
        <f t="array" ref="B2872">IF(A2872:A6915="","",_xlfn.XLOOKUP(A2872:A6915,'参照_武将'!A:A,'参照_武将'!B:B,"見つかりません"))</f>
      </c>
      <c r="C2872" s="4" t="s">
        <v>361</v>
      </c>
      <c r="D2872" s="4">
        <v>77</v>
      </c>
      <c r="E2872" s="12" t="str">
        <f t="array" ref="E2872">IF(D2872:D6915="","",IFERROR(_xlfn.XLOOKUP(D2872:D6915,'参照_勢力'!A:A,'参照_勢力'!B:B),IFERROR(_xlfn.XLOOKUP(F2872:F6915,kunishuClan!A:A,kunishuClan!B:B),"浪人")))</f>
      </c>
      <c r="F2872" s="4">
        <v>0</v>
      </c>
      <c r="G2872" s="4">
        <v>209</v>
      </c>
      <c r="H2872" s="12" t="str">
        <f t="array" ref="H2872">IF(G2872:G6915="","",_xlfn.XLOOKUP(G2872:G6915,castles_state!A:A,castles_state!D:D,"見つかりません"))</f>
      </c>
      <c r="I2872" s="4"/>
      <c r="J2872" s="12" t="str">
        <f t="array" ref="J2872">IF(I2872:I6915="","",_xlfn.XLOOKUP(I2872:I6915,'参照_姫'!A:A,'参照_姫'!B:B,"見つかりません"))</f>
      </c>
      <c r="K2872" s="4">
        <v>85</v>
      </c>
      <c r="L2872" s="4">
        <v>0</v>
      </c>
      <c r="M2872" s="4"/>
      <c r="N2872" s="4"/>
      <c r="O2872" s="4"/>
      <c r="P2872" s="12" t="str">
        <f t="array" ref="P2872">IF(O2872:O6915="","",_xlfn.XLOOKUP(O2872:O6915,'参照_官位'!A:A,'参照_官位'!B:B,""))</f>
      </c>
      <c r="Q2872" s="12" t="str">
        <f t="array" ref="Q2872">IF(A2872:A6915="","",IFERROR(_xlfn.XLOOKUP(A2872:A6915,castles_state!K:K,castles_state!D:D)&amp;"主",IFERROR(_xlfn.XLOOKUP(A2872:A6915,kunishuClan!D:D,kunishuClan!B:B)&amp;"当主","")))</f>
      </c>
    </row>
    <row r="2873" ht="15.75" customHeight="1">
      <c r="A2873" s="4">
        <v>1077028</v>
      </c>
      <c r="B2873" s="12" t="str">
        <f t="array" ref="B2873">IF(A2873:A6916="","",_xlfn.XLOOKUP(A2873:A6916,'参照_武将'!A:A,'参照_武将'!B:B,"見つかりません"))</f>
      </c>
      <c r="C2873" s="4" t="s">
        <v>361</v>
      </c>
      <c r="D2873" s="4">
        <v>77</v>
      </c>
      <c r="E2873" s="12" t="str">
        <f t="array" ref="E2873">IF(D2873:D6916="","",IFERROR(_xlfn.XLOOKUP(D2873:D6916,'参照_勢力'!A:A,'参照_勢力'!B:B),IFERROR(_xlfn.XLOOKUP(F2873:F6916,kunishuClan!A:A,kunishuClan!B:B),"浪人")))</f>
      </c>
      <c r="F2873" s="4">
        <v>0</v>
      </c>
      <c r="G2873" s="4">
        <v>209</v>
      </c>
      <c r="H2873" s="12" t="str">
        <f t="array" ref="H2873">IF(G2873:G6916="","",_xlfn.XLOOKUP(G2873:G6916,castles_state!A:A,castles_state!D:D,"見つかりません"))</f>
      </c>
      <c r="I2873" s="4"/>
      <c r="J2873" s="12" t="str">
        <f t="array" ref="J2873">IF(I2873:I6916="","",_xlfn.XLOOKUP(I2873:I6916,'参照_姫'!A:A,'参照_姫'!B:B,"見つかりません"))</f>
      </c>
      <c r="K2873" s="4">
        <v>95</v>
      </c>
      <c r="L2873" s="4">
        <v>0</v>
      </c>
      <c r="M2873" s="4"/>
      <c r="N2873" s="4"/>
      <c r="O2873" s="4"/>
      <c r="P2873" s="12" t="str">
        <f t="array" ref="P2873">IF(O2873:O6916="","",_xlfn.XLOOKUP(O2873:O6916,'参照_官位'!A:A,'参照_官位'!B:B,""))</f>
      </c>
      <c r="Q2873" s="12" t="str">
        <f t="array" ref="Q2873">IF(A2873:A6916="","",IFERROR(_xlfn.XLOOKUP(A2873:A6916,castles_state!K:K,castles_state!D:D)&amp;"主",IFERROR(_xlfn.XLOOKUP(A2873:A6916,kunishuClan!D:D,kunishuClan!B:B)&amp;"当主","")))</f>
      </c>
    </row>
    <row r="2874" ht="15.75" customHeight="1">
      <c r="A2874" s="4">
        <v>1077029</v>
      </c>
      <c r="B2874" s="12" t="str">
        <f t="array" ref="B2874">IF(A2874:A6917="","",_xlfn.XLOOKUP(A2874:A6917,'参照_武将'!A:A,'参照_武将'!B:B,"見つかりません"))</f>
      </c>
      <c r="C2874" s="4" t="s">
        <v>361</v>
      </c>
      <c r="D2874" s="4">
        <v>77</v>
      </c>
      <c r="E2874" s="12" t="str">
        <f t="array" ref="E2874">IF(D2874:D6917="","",IFERROR(_xlfn.XLOOKUP(D2874:D6917,'参照_勢力'!A:A,'参照_勢力'!B:B),IFERROR(_xlfn.XLOOKUP(F2874:F6917,kunishuClan!A:A,kunishuClan!B:B),"浪人")))</f>
      </c>
      <c r="F2874" s="4">
        <v>0</v>
      </c>
      <c r="G2874" s="4">
        <v>209</v>
      </c>
      <c r="H2874" s="12" t="str">
        <f t="array" ref="H2874">IF(G2874:G6917="","",_xlfn.XLOOKUP(G2874:G6917,castles_state!A:A,castles_state!D:D,"見つかりません"))</f>
      </c>
      <c r="I2874" s="4"/>
      <c r="J2874" s="12" t="str">
        <f t="array" ref="J2874">IF(I2874:I6917="","",_xlfn.XLOOKUP(I2874:I6917,'参照_姫'!A:A,'参照_姫'!B:B,"見つかりません"))</f>
      </c>
      <c r="K2874" s="4">
        <v>95</v>
      </c>
      <c r="L2874" s="4">
        <v>0</v>
      </c>
      <c r="M2874" s="4" t="b">
        <v>1</v>
      </c>
      <c r="N2874" s="4"/>
      <c r="O2874" s="4"/>
      <c r="P2874" s="12" t="str">
        <f t="array" ref="P2874">IF(O2874:O6917="","",_xlfn.XLOOKUP(O2874:O6917,'参照_官位'!A:A,'参照_官位'!B:B,""))</f>
      </c>
      <c r="Q2874" s="12" t="str">
        <f t="array" ref="Q2874">IF(A2874:A6917="","",IFERROR(_xlfn.XLOOKUP(A2874:A6917,castles_state!K:K,castles_state!D:D)&amp;"主",IFERROR(_xlfn.XLOOKUP(A2874:A6917,kunishuClan!D:D,kunishuClan!B:B)&amp;"当主","")))</f>
      </c>
    </row>
    <row r="2875" ht="15.75" customHeight="1">
      <c r="A2875" s="4">
        <v>1077030</v>
      </c>
      <c r="B2875" s="12" t="str">
        <f t="array" ref="B2875">IF(A2875:A6918="","",_xlfn.XLOOKUP(A2875:A6918,'参照_武将'!A:A,'参照_武将'!B:B,"見つかりません"))</f>
      </c>
      <c r="C2875" s="4" t="s">
        <v>361</v>
      </c>
      <c r="D2875" s="4">
        <v>77</v>
      </c>
      <c r="E2875" s="12" t="str">
        <f t="array" ref="E2875">IF(D2875:D6918="","",IFERROR(_xlfn.XLOOKUP(D2875:D6918,'参照_勢力'!A:A,'参照_勢力'!B:B),IFERROR(_xlfn.XLOOKUP(F2875:F6918,kunishuClan!A:A,kunishuClan!B:B),"浪人")))</f>
      </c>
      <c r="F2875" s="4">
        <v>0</v>
      </c>
      <c r="G2875" s="4">
        <v>209</v>
      </c>
      <c r="H2875" s="12" t="str">
        <f t="array" ref="H2875">IF(G2875:G6918="","",_xlfn.XLOOKUP(G2875:G6918,castles_state!A:A,castles_state!D:D,"見つかりません"))</f>
      </c>
      <c r="I2875" s="4"/>
      <c r="J2875" s="12" t="str">
        <f t="array" ref="J2875">IF(I2875:I6918="","",_xlfn.XLOOKUP(I2875:I6918,'参照_姫'!A:A,'参照_姫'!B:B,"見つかりません"))</f>
      </c>
      <c r="K2875" s="4">
        <v>90</v>
      </c>
      <c r="L2875" s="4">
        <v>0</v>
      </c>
      <c r="M2875" s="4"/>
      <c r="N2875" s="4"/>
      <c r="O2875" s="4"/>
      <c r="P2875" s="12" t="str">
        <f t="array" ref="P2875">IF(O2875:O6918="","",_xlfn.XLOOKUP(O2875:O6918,'参照_官位'!A:A,'参照_官位'!B:B,""))</f>
      </c>
      <c r="Q2875" s="12" t="str">
        <f t="array" ref="Q2875">IF(A2875:A6918="","",IFERROR(_xlfn.XLOOKUP(A2875:A6918,castles_state!K:K,castles_state!D:D)&amp;"主",IFERROR(_xlfn.XLOOKUP(A2875:A6918,kunishuClan!D:D,kunishuClan!B:B)&amp;"当主","")))</f>
      </c>
    </row>
    <row r="2876" ht="15.75" customHeight="1">
      <c r="A2876" s="4">
        <v>1077031</v>
      </c>
      <c r="B2876" s="12" t="str">
        <f t="array" ref="B2876">IF(A2876:A6919="","",_xlfn.XLOOKUP(A2876:A6919,'参照_武将'!A:A,'参照_武将'!B:B,"見つかりません"))</f>
      </c>
      <c r="C2876" s="4" t="s">
        <v>361</v>
      </c>
      <c r="D2876" s="4">
        <v>77</v>
      </c>
      <c r="E2876" s="12" t="str">
        <f t="array" ref="E2876">IF(D2876:D6919="","",IFERROR(_xlfn.XLOOKUP(D2876:D6919,'参照_勢力'!A:A,'参照_勢力'!B:B),IFERROR(_xlfn.XLOOKUP(F2876:F6919,kunishuClan!A:A,kunishuClan!B:B),"浪人")))</f>
      </c>
      <c r="F2876" s="4">
        <v>0</v>
      </c>
      <c r="G2876" s="4">
        <v>209</v>
      </c>
      <c r="H2876" s="12" t="str">
        <f t="array" ref="H2876">IF(G2876:G6919="","",_xlfn.XLOOKUP(G2876:G6919,castles_state!A:A,castles_state!D:D,"見つかりません"))</f>
      </c>
      <c r="I2876" s="4"/>
      <c r="J2876" s="12" t="str">
        <f t="array" ref="J2876">IF(I2876:I6919="","",_xlfn.XLOOKUP(I2876:I6919,'参照_姫'!A:A,'参照_姫'!B:B,"見つかりません"))</f>
      </c>
      <c r="K2876" s="4">
        <v>85</v>
      </c>
      <c r="L2876" s="4">
        <v>0</v>
      </c>
      <c r="M2876" s="4"/>
      <c r="N2876" s="4"/>
      <c r="O2876" s="4"/>
      <c r="P2876" s="12" t="str">
        <f t="array" ref="P2876">IF(O2876:O6919="","",_xlfn.XLOOKUP(O2876:O6919,'参照_官位'!A:A,'参照_官位'!B:B,""))</f>
      </c>
      <c r="Q2876" s="12" t="str">
        <f t="array" ref="Q2876">IF(A2876:A6919="","",IFERROR(_xlfn.XLOOKUP(A2876:A6919,castles_state!K:K,castles_state!D:D)&amp;"主",IFERROR(_xlfn.XLOOKUP(A2876:A6919,kunishuClan!D:D,kunishuClan!B:B)&amp;"当主","")))</f>
      </c>
    </row>
    <row r="2877" ht="15.75" customHeight="1">
      <c r="A2877" s="4">
        <v>1077032</v>
      </c>
      <c r="B2877" s="12" t="str">
        <f t="array" ref="B2877">IF(A2877:A6920="","",_xlfn.XLOOKUP(A2877:A6920,'参照_武将'!A:A,'参照_武将'!B:B,"見つかりません"))</f>
      </c>
      <c r="C2877" s="4" t="s">
        <v>361</v>
      </c>
      <c r="D2877" s="4">
        <v>77</v>
      </c>
      <c r="E2877" s="12" t="str">
        <f t="array" ref="E2877">IF(D2877:D6920="","",IFERROR(_xlfn.XLOOKUP(D2877:D6920,'参照_勢力'!A:A,'参照_勢力'!B:B),IFERROR(_xlfn.XLOOKUP(F2877:F6920,kunishuClan!A:A,kunishuClan!B:B),"浪人")))</f>
      </c>
      <c r="F2877" s="4">
        <v>0</v>
      </c>
      <c r="G2877" s="4">
        <v>209</v>
      </c>
      <c r="H2877" s="12" t="str">
        <f t="array" ref="H2877">IF(G2877:G6920="","",_xlfn.XLOOKUP(G2877:G6920,castles_state!A:A,castles_state!D:D,"見つかりません"))</f>
      </c>
      <c r="I2877" s="4"/>
      <c r="J2877" s="12" t="str">
        <f t="array" ref="J2877">IF(I2877:I6920="","",_xlfn.XLOOKUP(I2877:I6920,'参照_姫'!A:A,'参照_姫'!B:B,"見つかりません"))</f>
      </c>
      <c r="K2877" s="4">
        <v>85</v>
      </c>
      <c r="L2877" s="4">
        <v>0</v>
      </c>
      <c r="M2877" s="4"/>
      <c r="N2877" s="4"/>
      <c r="O2877" s="4"/>
      <c r="P2877" s="12" t="str">
        <f t="array" ref="P2877">IF(O2877:O6920="","",_xlfn.XLOOKUP(O2877:O6920,'参照_官位'!A:A,'参照_官位'!B:B,""))</f>
      </c>
      <c r="Q2877" s="12" t="str">
        <f t="array" ref="Q2877">IF(A2877:A6920="","",IFERROR(_xlfn.XLOOKUP(A2877:A6920,castles_state!K:K,castles_state!D:D)&amp;"主",IFERROR(_xlfn.XLOOKUP(A2877:A6920,kunishuClan!D:D,kunishuClan!B:B)&amp;"当主","")))</f>
      </c>
    </row>
    <row r="2878" ht="15.75" customHeight="1">
      <c r="A2878" s="4">
        <v>1077033</v>
      </c>
      <c r="B2878" s="12" t="str">
        <f t="array" ref="B2878">IF(A2878:A6921="","",_xlfn.XLOOKUP(A2878:A6921,'参照_武将'!A:A,'参照_武将'!B:B,"見つかりません"))</f>
      </c>
      <c r="C2878" s="4" t="s">
        <v>361</v>
      </c>
      <c r="D2878" s="4">
        <v>77</v>
      </c>
      <c r="E2878" s="12" t="str">
        <f t="array" ref="E2878">IF(D2878:D6921="","",IFERROR(_xlfn.XLOOKUP(D2878:D6921,'参照_勢力'!A:A,'参照_勢力'!B:B),IFERROR(_xlfn.XLOOKUP(F2878:F6921,kunishuClan!A:A,kunishuClan!B:B),"浪人")))</f>
      </c>
      <c r="F2878" s="4">
        <v>0</v>
      </c>
      <c r="G2878" s="4">
        <v>209</v>
      </c>
      <c r="H2878" s="12" t="str">
        <f t="array" ref="H2878">IF(G2878:G6921="","",_xlfn.XLOOKUP(G2878:G6921,castles_state!A:A,castles_state!D:D,"見つかりません"))</f>
      </c>
      <c r="I2878" s="4"/>
      <c r="J2878" s="12" t="str">
        <f t="array" ref="J2878">IF(I2878:I6921="","",_xlfn.XLOOKUP(I2878:I6921,'参照_姫'!A:A,'参照_姫'!B:B,"見つかりません"))</f>
      </c>
      <c r="K2878" s="4">
        <v>95</v>
      </c>
      <c r="L2878" s="4">
        <v>0</v>
      </c>
      <c r="M2878" s="4"/>
      <c r="N2878" s="4"/>
      <c r="O2878" s="4"/>
      <c r="P2878" s="12" t="str">
        <f t="array" ref="P2878">IF(O2878:O6921="","",_xlfn.XLOOKUP(O2878:O6921,'参照_官位'!A:A,'参照_官位'!B:B,""))</f>
      </c>
      <c r="Q2878" s="12" t="str">
        <f t="array" ref="Q2878">IF(A2878:A6921="","",IFERROR(_xlfn.XLOOKUP(A2878:A6921,castles_state!K:K,castles_state!D:D)&amp;"主",IFERROR(_xlfn.XLOOKUP(A2878:A6921,kunishuClan!D:D,kunishuClan!B:B)&amp;"当主","")))</f>
      </c>
    </row>
    <row r="2879" ht="15.75" customHeight="1">
      <c r="A2879" s="4">
        <v>1077034</v>
      </c>
      <c r="B2879" s="12" t="str">
        <f t="array" ref="B2879">IF(A2879:A6922="","",_xlfn.XLOOKUP(A2879:A6922,'参照_武将'!A:A,'参照_武将'!B:B,"見つかりません"))</f>
      </c>
      <c r="C2879" s="4" t="s">
        <v>361</v>
      </c>
      <c r="D2879" s="4">
        <v>77</v>
      </c>
      <c r="E2879" s="12" t="str">
        <f t="array" ref="E2879">IF(D2879:D6922="","",IFERROR(_xlfn.XLOOKUP(D2879:D6922,'参照_勢力'!A:A,'参照_勢力'!B:B),IFERROR(_xlfn.XLOOKUP(F2879:F6922,kunishuClan!A:A,kunishuClan!B:B),"浪人")))</f>
      </c>
      <c r="F2879" s="4">
        <v>0</v>
      </c>
      <c r="G2879" s="4">
        <v>209</v>
      </c>
      <c r="H2879" s="12" t="str">
        <f t="array" ref="H2879">IF(G2879:G6922="","",_xlfn.XLOOKUP(G2879:G6922,castles_state!A:A,castles_state!D:D,"見つかりません"))</f>
      </c>
      <c r="I2879" s="4"/>
      <c r="J2879" s="12" t="str">
        <f t="array" ref="J2879">IF(I2879:I6922="","",_xlfn.XLOOKUP(I2879:I6922,'参照_姫'!A:A,'参照_姫'!B:B,"見つかりません"))</f>
      </c>
      <c r="K2879" s="4">
        <v>95</v>
      </c>
      <c r="L2879" s="4">
        <v>0</v>
      </c>
      <c r="M2879" s="4"/>
      <c r="N2879" s="4"/>
      <c r="O2879" s="4"/>
      <c r="P2879" s="12" t="str">
        <f t="array" ref="P2879">IF(O2879:O6922="","",_xlfn.XLOOKUP(O2879:O6922,'参照_官位'!A:A,'参照_官位'!B:B,""))</f>
      </c>
      <c r="Q2879" s="12" t="str">
        <f t="array" ref="Q2879">IF(A2879:A6922="","",IFERROR(_xlfn.XLOOKUP(A2879:A6922,castles_state!K:K,castles_state!D:D)&amp;"主",IFERROR(_xlfn.XLOOKUP(A2879:A6922,kunishuClan!D:D,kunishuClan!B:B)&amp;"当主","")))</f>
      </c>
    </row>
    <row r="2880" ht="15.75" customHeight="1">
      <c r="A2880" s="4">
        <v>1077035</v>
      </c>
      <c r="B2880" s="12" t="str">
        <f t="array" ref="B2880">IF(A2880:A6923="","",_xlfn.XLOOKUP(A2880:A6923,'参照_武将'!A:A,'参照_武将'!B:B,"見つかりません"))</f>
      </c>
      <c r="C2880" s="4" t="s">
        <v>361</v>
      </c>
      <c r="D2880" s="4">
        <v>77</v>
      </c>
      <c r="E2880" s="12" t="str">
        <f t="array" ref="E2880">IF(D2880:D6923="","",IFERROR(_xlfn.XLOOKUP(D2880:D6923,'参照_勢力'!A:A,'参照_勢力'!B:B),IFERROR(_xlfn.XLOOKUP(F2880:F6923,kunishuClan!A:A,kunishuClan!B:B),"浪人")))</f>
      </c>
      <c r="F2880" s="4">
        <v>0</v>
      </c>
      <c r="G2880" s="4">
        <v>209</v>
      </c>
      <c r="H2880" s="12" t="str">
        <f t="array" ref="H2880">IF(G2880:G6923="","",_xlfn.XLOOKUP(G2880:G6923,castles_state!A:A,castles_state!D:D,"見つかりません"))</f>
      </c>
      <c r="I2880" s="4"/>
      <c r="J2880" s="12" t="str">
        <f t="array" ref="J2880">IF(I2880:I6923="","",_xlfn.XLOOKUP(I2880:I6923,'参照_姫'!A:A,'参照_姫'!B:B,"見つかりません"))</f>
      </c>
      <c r="K2880" s="4">
        <v>95</v>
      </c>
      <c r="L2880" s="4">
        <v>0</v>
      </c>
      <c r="M2880" s="4"/>
      <c r="N2880" s="4"/>
      <c r="O2880" s="4"/>
      <c r="P2880" s="12" t="str">
        <f t="array" ref="P2880">IF(O2880:O6923="","",_xlfn.XLOOKUP(O2880:O6923,'参照_官位'!A:A,'参照_官位'!B:B,""))</f>
      </c>
      <c r="Q2880" s="12" t="str">
        <f t="array" ref="Q2880">IF(A2880:A6923="","",IFERROR(_xlfn.XLOOKUP(A2880:A6923,castles_state!K:K,castles_state!D:D)&amp;"主",IFERROR(_xlfn.XLOOKUP(A2880:A6923,kunishuClan!D:D,kunishuClan!B:B)&amp;"当主","")))</f>
      </c>
    </row>
    <row r="2881" ht="15.75" customHeight="1">
      <c r="A2881" s="4">
        <v>1077036</v>
      </c>
      <c r="B2881" s="12" t="str">
        <f t="array" ref="B2881">IF(A2881:A6924="","",_xlfn.XLOOKUP(A2881:A6924,'参照_武将'!A:A,'参照_武将'!B:B,"見つかりません"))</f>
      </c>
      <c r="C2881" s="4" t="s">
        <v>361</v>
      </c>
      <c r="D2881" s="4">
        <v>77</v>
      </c>
      <c r="E2881" s="12" t="str">
        <f t="array" ref="E2881">IF(D2881:D6924="","",IFERROR(_xlfn.XLOOKUP(D2881:D6924,'参照_勢力'!A:A,'参照_勢力'!B:B),IFERROR(_xlfn.XLOOKUP(F2881:F6924,kunishuClan!A:A,kunishuClan!B:B),"浪人")))</f>
      </c>
      <c r="F2881" s="4">
        <v>0</v>
      </c>
      <c r="G2881" s="4">
        <v>209</v>
      </c>
      <c r="H2881" s="12" t="str">
        <f t="array" ref="H2881">IF(G2881:G6924="","",_xlfn.XLOOKUP(G2881:G6924,castles_state!A:A,castles_state!D:D,"見つかりません"))</f>
      </c>
      <c r="I2881" s="4"/>
      <c r="J2881" s="12" t="str">
        <f t="array" ref="J2881">IF(I2881:I6924="","",_xlfn.XLOOKUP(I2881:I6924,'参照_姫'!A:A,'参照_姫'!B:B,"見つかりません"))</f>
      </c>
      <c r="K2881" s="4">
        <v>95</v>
      </c>
      <c r="L2881" s="4">
        <v>0</v>
      </c>
      <c r="M2881" s="4"/>
      <c r="N2881" s="4"/>
      <c r="O2881" s="4"/>
      <c r="P2881" s="12" t="str">
        <f t="array" ref="P2881">IF(O2881:O6924="","",_xlfn.XLOOKUP(O2881:O6924,'参照_官位'!A:A,'参照_官位'!B:B,""))</f>
      </c>
      <c r="Q2881" s="12" t="str">
        <f t="array" ref="Q2881">IF(A2881:A6924="","",IFERROR(_xlfn.XLOOKUP(A2881:A6924,castles_state!K:K,castles_state!D:D)&amp;"主",IFERROR(_xlfn.XLOOKUP(A2881:A6924,kunishuClan!D:D,kunishuClan!B:B)&amp;"当主","")))</f>
      </c>
    </row>
    <row r="2882" ht="15.75" customHeight="1">
      <c r="A2882" s="4">
        <v>1078001</v>
      </c>
      <c r="B2882" s="12" t="str">
        <f t="array" ref="B2882">IF(A2882:A6923="","",_xlfn.XLOOKUP(A2882:A6923,'参照_武将'!A:A,'参照_武将'!B:B,"見つかりません"))</f>
      </c>
      <c r="C2882" s="4" t="s">
        <v>5971</v>
      </c>
      <c r="D2882" s="4">
        <v>78</v>
      </c>
      <c r="E2882" s="12" t="str">
        <f t="array" ref="E2882">IF(D2882:D6923="","",IFERROR(_xlfn.XLOOKUP(D2882:D6923,'参照_勢力'!A:A,'参照_勢力'!B:B),IFERROR(_xlfn.XLOOKUP(F2882:F6923,kunishuClan!A:A,kunishuClan!B:B),"浪人")))</f>
      </c>
      <c r="F2882" s="4">
        <v>0</v>
      </c>
      <c r="G2882" s="4">
        <v>213</v>
      </c>
      <c r="H2882" s="12" t="str">
        <f t="array" ref="H2882">IF(G2882:G6923="","",_xlfn.XLOOKUP(G2882:G6923,castles_state!A:A,castles_state!D:D,"見つかりません"))</f>
      </c>
      <c r="I2882" s="4"/>
      <c r="J2882" s="12" t="str">
        <f t="array" ref="J2882">IF(I2882:I6923="","",_xlfn.XLOOKUP(I2882:I6923,'参照_姫'!A:A,'参照_姫'!B:B,"見つかりません"))</f>
      </c>
      <c r="K2882" s="4">
        <v>95</v>
      </c>
      <c r="L2882" s="4">
        <v>0</v>
      </c>
      <c r="M2882" s="4"/>
      <c r="N2882" s="4"/>
      <c r="O2882" s="4"/>
      <c r="P2882" s="12" t="str">
        <f t="array" ref="P2882">IF(O2882:O6923="","",_xlfn.XLOOKUP(O2882:O6923,'参照_官位'!A:A,'参照_官位'!B:B,""))</f>
      </c>
      <c r="Q2882" s="12" t="str">
        <f t="array" ref="Q2882">IF(A2882:A6923="","",IFERROR(_xlfn.XLOOKUP(A2882:A6923,castles_state!K:K,castles_state!D:D)&amp;"主",IFERROR(_xlfn.XLOOKUP(A2882:A6923,kunishuClan!D:D,kunishuClan!B:B)&amp;"当主","")))</f>
      </c>
    </row>
    <row r="2883" ht="15.75" customHeight="1">
      <c r="A2883" s="4">
        <v>1078002</v>
      </c>
      <c r="B2883" s="12" t="str">
        <f t="array" ref="B2883">IF(A2883:A6924="","",_xlfn.XLOOKUP(A2883:A6924,'参照_武将'!A:A,'参照_武将'!B:B,"見つかりません"))</f>
      </c>
      <c r="C2883" s="4" t="s">
        <v>5971</v>
      </c>
      <c r="D2883" s="4">
        <v>78</v>
      </c>
      <c r="E2883" s="12" t="str">
        <f t="array" ref="E2883">IF(D2883:D6924="","",IFERROR(_xlfn.XLOOKUP(D2883:D6924,'参照_勢力'!A:A,'参照_勢力'!B:B),IFERROR(_xlfn.XLOOKUP(F2883:F6924,kunishuClan!A:A,kunishuClan!B:B),"浪人")))</f>
      </c>
      <c r="F2883" s="4">
        <v>0</v>
      </c>
      <c r="G2883" s="4">
        <v>213</v>
      </c>
      <c r="H2883" s="12" t="str">
        <f t="array" ref="H2883">IF(G2883:G6924="","",_xlfn.XLOOKUP(G2883:G6924,castles_state!A:A,castles_state!D:D,"見つかりません"))</f>
      </c>
      <c r="I2883" s="4"/>
      <c r="J2883" s="12" t="str">
        <f t="array" ref="J2883">IF(I2883:I6924="","",_xlfn.XLOOKUP(I2883:I6924,'参照_姫'!A:A,'参照_姫'!B:B,"見つかりません"))</f>
      </c>
      <c r="K2883" s="4">
        <v>95</v>
      </c>
      <c r="L2883" s="4">
        <v>0</v>
      </c>
      <c r="M2883" s="4"/>
      <c r="N2883" s="4"/>
      <c r="O2883" s="4"/>
      <c r="P2883" s="12" t="str">
        <f t="array" ref="P2883">IF(O2883:O6924="","",_xlfn.XLOOKUP(O2883:O6924,'参照_官位'!A:A,'参照_官位'!B:B,""))</f>
      </c>
      <c r="Q2883" s="12" t="str">
        <f t="array" ref="Q2883">IF(A2883:A6924="","",IFERROR(_xlfn.XLOOKUP(A2883:A6924,castles_state!K:K,castles_state!D:D)&amp;"主",IFERROR(_xlfn.XLOOKUP(A2883:A6924,kunishuClan!D:D,kunishuClan!B:B)&amp;"当主","")))</f>
      </c>
    </row>
    <row r="2884" ht="15.75" customHeight="1">
      <c r="A2884" s="4">
        <v>1078003</v>
      </c>
      <c r="B2884" s="12" t="str">
        <f t="array" ref="B2884">IF(A2884:A6925="","",_xlfn.XLOOKUP(A2884:A6925,'参照_武将'!A:A,'参照_武将'!B:B,"見つかりません"))</f>
      </c>
      <c r="C2884" s="4" t="s">
        <v>5971</v>
      </c>
      <c r="D2884" s="4">
        <v>78</v>
      </c>
      <c r="E2884" s="12" t="str">
        <f t="array" ref="E2884">IF(D2884:D6925="","",IFERROR(_xlfn.XLOOKUP(D2884:D6925,'参照_勢力'!A:A,'参照_勢力'!B:B),IFERROR(_xlfn.XLOOKUP(F2884:F6925,kunishuClan!A:A,kunishuClan!B:B),"浪人")))</f>
      </c>
      <c r="F2884" s="4">
        <v>0</v>
      </c>
      <c r="G2884" s="4">
        <v>213</v>
      </c>
      <c r="H2884" s="12" t="str">
        <f t="array" ref="H2884">IF(G2884:G6925="","",_xlfn.XLOOKUP(G2884:G6925,castles_state!A:A,castles_state!D:D,"見つかりません"))</f>
      </c>
      <c r="I2884" s="4"/>
      <c r="J2884" s="12" t="str">
        <f t="array" ref="J2884">IF(I2884:I6925="","",_xlfn.XLOOKUP(I2884:I6925,'参照_姫'!A:A,'参照_姫'!B:B,"見つかりません"))</f>
      </c>
      <c r="K2884" s="4">
        <v>95</v>
      </c>
      <c r="L2884" s="4">
        <v>0</v>
      </c>
      <c r="M2884" s="4"/>
      <c r="N2884" s="4"/>
      <c r="O2884" s="4"/>
      <c r="P2884" s="12" t="str">
        <f t="array" ref="P2884">IF(O2884:O6925="","",_xlfn.XLOOKUP(O2884:O6925,'参照_官位'!A:A,'参照_官位'!B:B,""))</f>
      </c>
      <c r="Q2884" s="12" t="str">
        <f t="array" ref="Q2884">IF(A2884:A6925="","",IFERROR(_xlfn.XLOOKUP(A2884:A6925,castles_state!K:K,castles_state!D:D)&amp;"主",IFERROR(_xlfn.XLOOKUP(A2884:A6925,kunishuClan!D:D,kunishuClan!B:B)&amp;"当主","")))</f>
      </c>
    </row>
    <row r="2885" ht="15.75" customHeight="1">
      <c r="A2885" s="4">
        <v>1078004</v>
      </c>
      <c r="B2885" s="12" t="str">
        <f t="array" ref="B2885">IF(A2885:A6926="","",_xlfn.XLOOKUP(A2885:A6926,'参照_武将'!A:A,'参照_武将'!B:B,"見つかりません"))</f>
      </c>
      <c r="C2885" s="4" t="s">
        <v>5971</v>
      </c>
      <c r="D2885" s="4">
        <v>78</v>
      </c>
      <c r="E2885" s="12" t="str">
        <f t="array" ref="E2885">IF(D2885:D6926="","",IFERROR(_xlfn.XLOOKUP(D2885:D6926,'参照_勢力'!A:A,'参照_勢力'!B:B),IFERROR(_xlfn.XLOOKUP(F2885:F6926,kunishuClan!A:A,kunishuClan!B:B),"浪人")))</f>
      </c>
      <c r="F2885" s="4">
        <v>0</v>
      </c>
      <c r="G2885" s="4">
        <v>213</v>
      </c>
      <c r="H2885" s="12" t="str">
        <f t="array" ref="H2885">IF(G2885:G6926="","",_xlfn.XLOOKUP(G2885:G6926,castles_state!A:A,castles_state!D:D,"見つかりません"))</f>
      </c>
      <c r="I2885" s="4"/>
      <c r="J2885" s="12" t="str">
        <f t="array" ref="J2885">IF(I2885:I6926="","",_xlfn.XLOOKUP(I2885:I6926,'参照_姫'!A:A,'参照_姫'!B:B,"見つかりません"))</f>
      </c>
      <c r="K2885" s="4">
        <v>100</v>
      </c>
      <c r="L2885" s="4">
        <v>1500</v>
      </c>
      <c r="M2885" s="4"/>
      <c r="N2885" s="4"/>
      <c r="O2885" s="23">
        <v>40</v>
      </c>
      <c r="P2885" s="12" t="str">
        <f t="array" ref="P2885">IF(O2885:O6926="","",_xlfn.XLOOKUP(O2885:O6926,'参照_官位'!A:A,'参照_官位'!B:B,""))</f>
      </c>
      <c r="Q2885" s="12" t="str">
        <f t="array" ref="Q2885">IF(A2885:A6926="","",IFERROR(_xlfn.XLOOKUP(A2885:A6926,castles_state!K:K,castles_state!D:D)&amp;"主",IFERROR(_xlfn.XLOOKUP(A2885:A6926,kunishuClan!D:D,kunishuClan!B:B)&amp;"当主","")))</f>
      </c>
    </row>
    <row r="2886" ht="15.75" customHeight="1">
      <c r="A2886" s="4">
        <v>1078005</v>
      </c>
      <c r="B2886" s="12" t="str">
        <f t="array" ref="B2886">IF(A2886:A6927="","",_xlfn.XLOOKUP(A2886:A6927,'参照_武将'!A:A,'参照_武将'!B:B,"見つかりません"))</f>
      </c>
      <c r="C2886" s="4" t="s">
        <v>5971</v>
      </c>
      <c r="D2886" s="4">
        <v>78</v>
      </c>
      <c r="E2886" s="12" t="str">
        <f t="array" ref="E2886">IF(D2886:D6927="","",IFERROR(_xlfn.XLOOKUP(D2886:D6927,'参照_勢力'!A:A,'参照_勢力'!B:B),IFERROR(_xlfn.XLOOKUP(F2886:F6927,kunishuClan!A:A,kunishuClan!B:B),"浪人")))</f>
      </c>
      <c r="F2886" s="4">
        <v>0</v>
      </c>
      <c r="G2886" s="4">
        <v>213</v>
      </c>
      <c r="H2886" s="12" t="str">
        <f t="array" ref="H2886">IF(G2886:G6927="","",_xlfn.XLOOKUP(G2886:G6927,castles_state!A:A,castles_state!D:D,"見つかりません"))</f>
      </c>
      <c r="I2886" s="4"/>
      <c r="J2886" s="12" t="str">
        <f t="array" ref="J2886">IF(I2886:I6927="","",_xlfn.XLOOKUP(I2886:I6927,'参照_姫'!A:A,'参照_姫'!B:B,"見つかりません"))</f>
      </c>
      <c r="K2886" s="4">
        <v>95</v>
      </c>
      <c r="L2886" s="4">
        <v>0</v>
      </c>
      <c r="M2886" s="4"/>
      <c r="N2886" s="4"/>
      <c r="O2886" s="4"/>
      <c r="P2886" s="12" t="str">
        <f t="array" ref="P2886">IF(O2886:O6927="","",_xlfn.XLOOKUP(O2886:O6927,'参照_官位'!A:A,'参照_官位'!B:B,""))</f>
      </c>
      <c r="Q2886" s="12" t="str">
        <f t="array" ref="Q2886">IF(A2886:A6927="","",IFERROR(_xlfn.XLOOKUP(A2886:A6927,castles_state!K:K,castles_state!D:D)&amp;"主",IFERROR(_xlfn.XLOOKUP(A2886:A6927,kunishuClan!D:D,kunishuClan!B:B)&amp;"当主","")))</f>
      </c>
    </row>
    <row r="2887" ht="15.75" customHeight="1">
      <c r="A2887" s="4">
        <v>1078006</v>
      </c>
      <c r="B2887" s="12" t="str">
        <f t="array" ref="B2887">IF(A2887:A6928="","",_xlfn.XLOOKUP(A2887:A6928,'参照_武将'!A:A,'参照_武将'!B:B,"見つかりません"))</f>
      </c>
      <c r="C2887" s="4" t="s">
        <v>5971</v>
      </c>
      <c r="D2887" s="4">
        <v>78</v>
      </c>
      <c r="E2887" s="12" t="str">
        <f t="array" ref="E2887">IF(D2887:D6928="","",IFERROR(_xlfn.XLOOKUP(D2887:D6928,'参照_勢力'!A:A,'参照_勢力'!B:B),IFERROR(_xlfn.XLOOKUP(F2887:F6928,kunishuClan!A:A,kunishuClan!B:B),"浪人")))</f>
      </c>
      <c r="F2887" s="4">
        <v>0</v>
      </c>
      <c r="G2887" s="4">
        <v>213</v>
      </c>
      <c r="H2887" s="12" t="str">
        <f t="array" ref="H2887">IF(G2887:G6928="","",_xlfn.XLOOKUP(G2887:G6928,castles_state!A:A,castles_state!D:D,"見つかりません"))</f>
      </c>
      <c r="I2887" s="4"/>
      <c r="J2887" s="12" t="str">
        <f t="array" ref="J2887">IF(I2887:I6928="","",_xlfn.XLOOKUP(I2887:I6928,'参照_姫'!A:A,'参照_姫'!B:B,"見つかりません"))</f>
      </c>
      <c r="K2887" s="4">
        <v>95</v>
      </c>
      <c r="L2887" s="4">
        <v>0</v>
      </c>
      <c r="M2887" s="4"/>
      <c r="N2887" s="4"/>
      <c r="O2887" s="4"/>
      <c r="P2887" s="12" t="str">
        <f t="array" ref="P2887">IF(O2887:O6928="","",_xlfn.XLOOKUP(O2887:O6928,'参照_官位'!A:A,'参照_官位'!B:B,""))</f>
      </c>
      <c r="Q2887" s="12" t="str">
        <f t="array" ref="Q2887">IF(A2887:A6928="","",IFERROR(_xlfn.XLOOKUP(A2887:A6928,castles_state!K:K,castles_state!D:D)&amp;"主",IFERROR(_xlfn.XLOOKUP(A2887:A6928,kunishuClan!D:D,kunishuClan!B:B)&amp;"当主","")))</f>
      </c>
    </row>
    <row r="2888" ht="15.75" customHeight="1">
      <c r="A2888" s="4">
        <v>1078007</v>
      </c>
      <c r="B2888" s="12" t="str">
        <f t="array" ref="B2888">IF(A2888:A6929="","",_xlfn.XLOOKUP(A2888:A6929,'参照_武将'!A:A,'参照_武将'!B:B,"見つかりません"))</f>
      </c>
      <c r="C2888" s="4" t="s">
        <v>5971</v>
      </c>
      <c r="D2888" s="4">
        <v>78</v>
      </c>
      <c r="E2888" s="12" t="str">
        <f t="array" ref="E2888">IF(D2888:D6929="","",IFERROR(_xlfn.XLOOKUP(D2888:D6929,'参照_勢力'!A:A,'参照_勢力'!B:B),IFERROR(_xlfn.XLOOKUP(F2888:F6929,kunishuClan!A:A,kunishuClan!B:B),"浪人")))</f>
      </c>
      <c r="F2888" s="4">
        <v>0</v>
      </c>
      <c r="G2888" s="4">
        <v>213</v>
      </c>
      <c r="H2888" s="12" t="str">
        <f t="array" ref="H2888">IF(G2888:G6929="","",_xlfn.XLOOKUP(G2888:G6929,castles_state!A:A,castles_state!D:D,"見つかりません"))</f>
      </c>
      <c r="I2888" s="4"/>
      <c r="J2888" s="12" t="str">
        <f t="array" ref="J2888">IF(I2888:I6929="","",_xlfn.XLOOKUP(I2888:I6929,'参照_姫'!A:A,'参照_姫'!B:B,"見つかりません"))</f>
      </c>
      <c r="K2888" s="4">
        <v>95</v>
      </c>
      <c r="L2888" s="4">
        <v>0</v>
      </c>
      <c r="M2888" s="4"/>
      <c r="N2888" s="4"/>
      <c r="O2888" s="4"/>
      <c r="P2888" s="12" t="str">
        <f t="array" ref="P2888">IF(O2888:O6929="","",_xlfn.XLOOKUP(O2888:O6929,'参照_官位'!A:A,'参照_官位'!B:B,""))</f>
      </c>
      <c r="Q2888" s="12" t="str">
        <f t="array" ref="Q2888">IF(A2888:A6929="","",IFERROR(_xlfn.XLOOKUP(A2888:A6929,castles_state!K:K,castles_state!D:D)&amp;"主",IFERROR(_xlfn.XLOOKUP(A2888:A6929,kunishuClan!D:D,kunishuClan!B:B)&amp;"当主","")))</f>
      </c>
    </row>
    <row r="2889" ht="15.75" customHeight="1">
      <c r="A2889" s="4">
        <v>1078008</v>
      </c>
      <c r="B2889" s="12" t="str">
        <f t="array" ref="B2889">IF(A2889:A6930="","",_xlfn.XLOOKUP(A2889:A6930,'参照_武将'!A:A,'参照_武将'!B:B,"見つかりません"))</f>
      </c>
      <c r="C2889" s="4" t="s">
        <v>5971</v>
      </c>
      <c r="D2889" s="4">
        <v>78</v>
      </c>
      <c r="E2889" s="12" t="str">
        <f t="array" ref="E2889">IF(D2889:D6930="","",IFERROR(_xlfn.XLOOKUP(D2889:D6930,'参照_勢力'!A:A,'参照_勢力'!B:B),IFERROR(_xlfn.XLOOKUP(F2889:F6930,kunishuClan!A:A,kunishuClan!B:B),"浪人")))</f>
      </c>
      <c r="F2889" s="4">
        <v>0</v>
      </c>
      <c r="G2889" s="4">
        <v>213</v>
      </c>
      <c r="H2889" s="12" t="str">
        <f t="array" ref="H2889">IF(G2889:G6930="","",_xlfn.XLOOKUP(G2889:G6930,castles_state!A:A,castles_state!D:D,"見つかりません"))</f>
      </c>
      <c r="I2889" s="4"/>
      <c r="J2889" s="12" t="str">
        <f t="array" ref="J2889">IF(I2889:I6930="","",_xlfn.XLOOKUP(I2889:I6930,'参照_姫'!A:A,'参照_姫'!B:B,"見つかりません"))</f>
      </c>
      <c r="K2889" s="4">
        <v>95</v>
      </c>
      <c r="L2889" s="4">
        <v>0</v>
      </c>
      <c r="M2889" s="4"/>
      <c r="N2889" s="4"/>
      <c r="O2889" s="4"/>
      <c r="P2889" s="12" t="str">
        <f t="array" ref="P2889">IF(O2889:O6930="","",_xlfn.XLOOKUP(O2889:O6930,'参照_官位'!A:A,'参照_官位'!B:B,""))</f>
      </c>
      <c r="Q2889" s="12" t="str">
        <f t="array" ref="Q2889">IF(A2889:A6930="","",IFERROR(_xlfn.XLOOKUP(A2889:A6930,castles_state!K:K,castles_state!D:D)&amp;"主",IFERROR(_xlfn.XLOOKUP(A2889:A6930,kunishuClan!D:D,kunishuClan!B:B)&amp;"当主","")))</f>
      </c>
    </row>
    <row r="2890" ht="15.75" customHeight="1">
      <c r="A2890" s="4">
        <v>1078009</v>
      </c>
      <c r="B2890" s="12" t="str">
        <f t="array" ref="B2890">IF(A2890:A6931="","",_xlfn.XLOOKUP(A2890:A6931,'参照_武将'!A:A,'参照_武将'!B:B,"見つかりません"))</f>
      </c>
      <c r="C2890" s="4" t="s">
        <v>5971</v>
      </c>
      <c r="D2890" s="4">
        <v>78</v>
      </c>
      <c r="E2890" s="12" t="str">
        <f t="array" ref="E2890">IF(D2890:D6931="","",IFERROR(_xlfn.XLOOKUP(D2890:D6931,'参照_勢力'!A:A,'参照_勢力'!B:B),IFERROR(_xlfn.XLOOKUP(F2890:F6931,kunishuClan!A:A,kunishuClan!B:B),"浪人")))</f>
      </c>
      <c r="F2890" s="4">
        <v>0</v>
      </c>
      <c r="G2890" s="4">
        <v>213</v>
      </c>
      <c r="H2890" s="12" t="str">
        <f t="array" ref="H2890">IF(G2890:G6931="","",_xlfn.XLOOKUP(G2890:G6931,castles_state!A:A,castles_state!D:D,"見つかりません"))</f>
      </c>
      <c r="I2890" s="4"/>
      <c r="J2890" s="12" t="str">
        <f t="array" ref="J2890">IF(I2890:I6931="","",_xlfn.XLOOKUP(I2890:I6931,'参照_姫'!A:A,'参照_姫'!B:B,"見つかりません"))</f>
      </c>
      <c r="K2890" s="4">
        <v>95</v>
      </c>
      <c r="L2890" s="4">
        <v>500</v>
      </c>
      <c r="M2890" s="4"/>
      <c r="N2890" s="4"/>
      <c r="O2890" s="4"/>
      <c r="P2890" s="12" t="str">
        <f t="array" ref="P2890">IF(O2890:O6931="","",_xlfn.XLOOKUP(O2890:O6931,'参照_官位'!A:A,'参照_官位'!B:B,""))</f>
      </c>
      <c r="Q2890" s="12" t="str">
        <f t="array" ref="Q2890">IF(A2890:A6931="","",IFERROR(_xlfn.XLOOKUP(A2890:A6931,castles_state!K:K,castles_state!D:D)&amp;"主",IFERROR(_xlfn.XLOOKUP(A2890:A6931,kunishuClan!D:D,kunishuClan!B:B)&amp;"当主","")))</f>
      </c>
    </row>
    <row r="2891" ht="15.75" customHeight="1">
      <c r="A2891" s="4">
        <v>1078010</v>
      </c>
      <c r="B2891" s="12" t="str">
        <f t="array" ref="B2891">IF(A2891:A6932="","",_xlfn.XLOOKUP(A2891:A6932,'参照_武将'!A:A,'参照_武将'!B:B,"見つかりません"))</f>
      </c>
      <c r="C2891" s="4" t="s">
        <v>5971</v>
      </c>
      <c r="D2891" s="4">
        <v>78</v>
      </c>
      <c r="E2891" s="12" t="str">
        <f t="array" ref="E2891">IF(D2891:D6932="","",IFERROR(_xlfn.XLOOKUP(D2891:D6932,'参照_勢力'!A:A,'参照_勢力'!B:B),IFERROR(_xlfn.XLOOKUP(F2891:F6932,kunishuClan!A:A,kunishuClan!B:B),"浪人")))</f>
      </c>
      <c r="F2891" s="4">
        <v>0</v>
      </c>
      <c r="G2891" s="4">
        <v>213</v>
      </c>
      <c r="H2891" s="12" t="str">
        <f t="array" ref="H2891">IF(G2891:G6932="","",_xlfn.XLOOKUP(G2891:G6932,castles_state!A:A,castles_state!D:D,"見つかりません"))</f>
      </c>
      <c r="I2891" s="4"/>
      <c r="J2891" s="12" t="str">
        <f t="array" ref="J2891">IF(I2891:I6932="","",_xlfn.XLOOKUP(I2891:I6932,'参照_姫'!A:A,'参照_姫'!B:B,"見つかりません"))</f>
      </c>
      <c r="K2891" s="4">
        <v>95</v>
      </c>
      <c r="L2891" s="4">
        <v>200</v>
      </c>
      <c r="M2891" s="4"/>
      <c r="N2891" s="4"/>
      <c r="O2891" s="4"/>
      <c r="P2891" s="12" t="str">
        <f t="array" ref="P2891">IF(O2891:O6932="","",_xlfn.XLOOKUP(O2891:O6932,'参照_官位'!A:A,'参照_官位'!B:B,""))</f>
      </c>
      <c r="Q2891" s="12" t="str">
        <f t="array" ref="Q2891">IF(A2891:A6932="","",IFERROR(_xlfn.XLOOKUP(A2891:A6932,castles_state!K:K,castles_state!D:D)&amp;"主",IFERROR(_xlfn.XLOOKUP(A2891:A6932,kunishuClan!D:D,kunishuClan!B:B)&amp;"当主","")))</f>
      </c>
    </row>
    <row r="2892" ht="15.75" customHeight="1">
      <c r="A2892" s="4">
        <v>1078011</v>
      </c>
      <c r="B2892" s="12" t="str">
        <f t="array" ref="B2892">IF(A2892:A6933="","",_xlfn.XLOOKUP(A2892:A6933,'参照_武将'!A:A,'参照_武将'!B:B,"見つかりません"))</f>
      </c>
      <c r="C2892" s="4" t="s">
        <v>5971</v>
      </c>
      <c r="D2892" s="4">
        <v>78</v>
      </c>
      <c r="E2892" s="12" t="str">
        <f t="array" ref="E2892">IF(D2892:D6933="","",IFERROR(_xlfn.XLOOKUP(D2892:D6933,'参照_勢力'!A:A,'参照_勢力'!B:B),IFERROR(_xlfn.XLOOKUP(F2892:F6933,kunishuClan!A:A,kunishuClan!B:B),"浪人")))</f>
      </c>
      <c r="F2892" s="4">
        <v>0</v>
      </c>
      <c r="G2892" s="4">
        <v>213</v>
      </c>
      <c r="H2892" s="12" t="str">
        <f t="array" ref="H2892">IF(G2892:G6933="","",_xlfn.XLOOKUP(G2892:G6933,castles_state!A:A,castles_state!D:D,"見つかりません"))</f>
      </c>
      <c r="I2892" s="4"/>
      <c r="J2892" s="12" t="str">
        <f t="array" ref="J2892">IF(I2892:I6933="","",_xlfn.XLOOKUP(I2892:I6933,'参照_姫'!A:A,'参照_姫'!B:B,"見つかりません"))</f>
      </c>
      <c r="K2892" s="4">
        <v>95</v>
      </c>
      <c r="L2892" s="4">
        <v>0</v>
      </c>
      <c r="M2892" s="4"/>
      <c r="N2892" s="4"/>
      <c r="O2892" s="4"/>
      <c r="P2892" s="12" t="str">
        <f t="array" ref="P2892">IF(O2892:O6933="","",_xlfn.XLOOKUP(O2892:O6933,'参照_官位'!A:A,'参照_官位'!B:B,""))</f>
      </c>
      <c r="Q2892" s="12" t="str">
        <f t="array" ref="Q2892">IF(A2892:A6933="","",IFERROR(_xlfn.XLOOKUP(A2892:A6933,castles_state!K:K,castles_state!D:D)&amp;"主",IFERROR(_xlfn.XLOOKUP(A2892:A6933,kunishuClan!D:D,kunishuClan!B:B)&amp;"当主","")))</f>
      </c>
    </row>
    <row r="2893" ht="15.75" customHeight="1">
      <c r="A2893" s="4">
        <v>1078012</v>
      </c>
      <c r="B2893" s="12" t="str">
        <f t="array" ref="B2893">IF(A2893:A6934="","",_xlfn.XLOOKUP(A2893:A6934,'参照_武将'!A:A,'参照_武将'!B:B,"見つかりません"))</f>
      </c>
      <c r="C2893" s="4" t="s">
        <v>5971</v>
      </c>
      <c r="D2893" s="4">
        <v>78</v>
      </c>
      <c r="E2893" s="12" t="str">
        <f t="array" ref="E2893">IF(D2893:D6934="","",IFERROR(_xlfn.XLOOKUP(D2893:D6934,'参照_勢力'!A:A,'参照_勢力'!B:B),IFERROR(_xlfn.XLOOKUP(F2893:F6934,kunishuClan!A:A,kunishuClan!B:B),"浪人")))</f>
      </c>
      <c r="F2893" s="4">
        <v>0</v>
      </c>
      <c r="G2893" s="4">
        <v>213</v>
      </c>
      <c r="H2893" s="12" t="str">
        <f t="array" ref="H2893">IF(G2893:G6934="","",_xlfn.XLOOKUP(G2893:G6934,castles_state!A:A,castles_state!D:D,"見つかりません"))</f>
      </c>
      <c r="I2893" s="4"/>
      <c r="J2893" s="12" t="str">
        <f t="array" ref="J2893">IF(I2893:I6934="","",_xlfn.XLOOKUP(I2893:I6934,'参照_姫'!A:A,'参照_姫'!B:B,"見つかりません"))</f>
      </c>
      <c r="K2893" s="4">
        <v>95</v>
      </c>
      <c r="L2893" s="4">
        <v>300</v>
      </c>
      <c r="M2893" s="4"/>
      <c r="N2893" s="4"/>
      <c r="O2893" s="4"/>
      <c r="P2893" s="12" t="str">
        <f t="array" ref="P2893">IF(O2893:O6934="","",_xlfn.XLOOKUP(O2893:O6934,'参照_官位'!A:A,'参照_官位'!B:B,""))</f>
      </c>
      <c r="Q2893" s="12" t="str">
        <f t="array" ref="Q2893">IF(A2893:A6934="","",IFERROR(_xlfn.XLOOKUP(A2893:A6934,castles_state!K:K,castles_state!D:D)&amp;"主",IFERROR(_xlfn.XLOOKUP(A2893:A6934,kunishuClan!D:D,kunishuClan!B:B)&amp;"当主","")))</f>
      </c>
    </row>
    <row r="2894" ht="15.75" customHeight="1">
      <c r="A2894" s="4">
        <v>1078013</v>
      </c>
      <c r="B2894" s="12" t="str">
        <f t="array" ref="B2894">IF(A2894:A6935="","",_xlfn.XLOOKUP(A2894:A6935,'参照_武将'!A:A,'参照_武将'!B:B,"見つかりません"))</f>
      </c>
      <c r="C2894" s="4" t="s">
        <v>5971</v>
      </c>
      <c r="D2894" s="4">
        <v>78</v>
      </c>
      <c r="E2894" s="12" t="str">
        <f t="array" ref="E2894">IF(D2894:D6935="","",IFERROR(_xlfn.XLOOKUP(D2894:D6935,'参照_勢力'!A:A,'参照_勢力'!B:B),IFERROR(_xlfn.XLOOKUP(F2894:F6935,kunishuClan!A:A,kunishuClan!B:B),"浪人")))</f>
      </c>
      <c r="F2894" s="4">
        <v>0</v>
      </c>
      <c r="G2894" s="4">
        <v>213</v>
      </c>
      <c r="H2894" s="12" t="str">
        <f t="array" ref="H2894">IF(G2894:G6935="","",_xlfn.XLOOKUP(G2894:G6935,castles_state!A:A,castles_state!D:D,"見つかりません"))</f>
      </c>
      <c r="I2894" s="4"/>
      <c r="J2894" s="12" t="str">
        <f t="array" ref="J2894">IF(I2894:I6935="","",_xlfn.XLOOKUP(I2894:I6935,'参照_姫'!A:A,'参照_姫'!B:B,"見つかりません"))</f>
      </c>
      <c r="K2894" s="4">
        <v>90</v>
      </c>
      <c r="L2894" s="4">
        <v>0</v>
      </c>
      <c r="M2894" s="4"/>
      <c r="N2894" s="4"/>
      <c r="O2894" s="4"/>
      <c r="P2894" s="12" t="str">
        <f t="array" ref="P2894">IF(O2894:O6935="","",_xlfn.XLOOKUP(O2894:O6935,'参照_官位'!A:A,'参照_官位'!B:B,""))</f>
      </c>
      <c r="Q2894" s="12" t="str">
        <f t="array" ref="Q2894">IF(A2894:A6935="","",IFERROR(_xlfn.XLOOKUP(A2894:A6935,castles_state!K:K,castles_state!D:D)&amp;"主",IFERROR(_xlfn.XLOOKUP(A2894:A6935,kunishuClan!D:D,kunishuClan!B:B)&amp;"当主","")))</f>
      </c>
    </row>
    <row r="2895" ht="15.75" customHeight="1">
      <c r="A2895" s="4">
        <v>1078014</v>
      </c>
      <c r="B2895" s="12" t="str">
        <f t="array" ref="B2895">IF(A2895:A6936="","",_xlfn.XLOOKUP(A2895:A6936,'参照_武将'!A:A,'参照_武将'!B:B,"見つかりません"))</f>
      </c>
      <c r="C2895" s="4" t="s">
        <v>5971</v>
      </c>
      <c r="D2895" s="4">
        <v>78</v>
      </c>
      <c r="E2895" s="12" t="str">
        <f t="array" ref="E2895">IF(D2895:D6936="","",IFERROR(_xlfn.XLOOKUP(D2895:D6936,'参照_勢力'!A:A,'参照_勢力'!B:B),IFERROR(_xlfn.XLOOKUP(F2895:F6936,kunishuClan!A:A,kunishuClan!B:B),"浪人")))</f>
      </c>
      <c r="F2895" s="4">
        <v>0</v>
      </c>
      <c r="G2895" s="4">
        <v>213</v>
      </c>
      <c r="H2895" s="12" t="str">
        <f t="array" ref="H2895">IF(G2895:G6936="","",_xlfn.XLOOKUP(G2895:G6936,castles_state!A:A,castles_state!D:D,"見つかりません"))</f>
      </c>
      <c r="I2895" s="4"/>
      <c r="J2895" s="12" t="str">
        <f t="array" ref="J2895">IF(I2895:I6936="","",_xlfn.XLOOKUP(I2895:I6936,'参照_姫'!A:A,'参照_姫'!B:B,"見つかりません"))</f>
      </c>
      <c r="K2895" s="4">
        <v>90</v>
      </c>
      <c r="L2895" s="4">
        <v>0</v>
      </c>
      <c r="M2895" s="4"/>
      <c r="N2895" s="4"/>
      <c r="O2895" s="4"/>
      <c r="P2895" s="12" t="str">
        <f t="array" ref="P2895">IF(O2895:O6936="","",_xlfn.XLOOKUP(O2895:O6936,'参照_官位'!A:A,'参照_官位'!B:B,""))</f>
      </c>
      <c r="Q2895" s="12" t="str">
        <f t="array" ref="Q2895">IF(A2895:A6936="","",IFERROR(_xlfn.XLOOKUP(A2895:A6936,castles_state!K:K,castles_state!D:D)&amp;"主",IFERROR(_xlfn.XLOOKUP(A2895:A6936,kunishuClan!D:D,kunishuClan!B:B)&amp;"当主","")))</f>
      </c>
    </row>
    <row r="2896" ht="15.75" customHeight="1">
      <c r="A2896" s="4">
        <v>1078015</v>
      </c>
      <c r="B2896" s="12" t="str">
        <f t="array" ref="B2896">IF(A2896:A6937="","",_xlfn.XLOOKUP(A2896:A6937,'参照_武将'!A:A,'参照_武将'!B:B,"見つかりません"))</f>
      </c>
      <c r="C2896" s="4" t="s">
        <v>5971</v>
      </c>
      <c r="D2896" s="4">
        <v>78</v>
      </c>
      <c r="E2896" s="12" t="str">
        <f t="array" ref="E2896">IF(D2896:D6937="","",IFERROR(_xlfn.XLOOKUP(D2896:D6937,'参照_勢力'!A:A,'参照_勢力'!B:B),IFERROR(_xlfn.XLOOKUP(F2896:F6937,kunishuClan!A:A,kunishuClan!B:B),"浪人")))</f>
      </c>
      <c r="F2896" s="4">
        <v>0</v>
      </c>
      <c r="G2896" s="4">
        <v>213</v>
      </c>
      <c r="H2896" s="12" t="str">
        <f t="array" ref="H2896">IF(G2896:G6937="","",_xlfn.XLOOKUP(G2896:G6937,castles_state!A:A,castles_state!D:D,"見つかりません"))</f>
      </c>
      <c r="I2896" s="4"/>
      <c r="J2896" s="12" t="str">
        <f t="array" ref="J2896">IF(I2896:I6937="","",_xlfn.XLOOKUP(I2896:I6937,'参照_姫'!A:A,'参照_姫'!B:B,"見つかりません"))</f>
      </c>
      <c r="K2896" s="4">
        <v>95</v>
      </c>
      <c r="L2896" s="4">
        <v>0</v>
      </c>
      <c r="M2896" s="4"/>
      <c r="N2896" s="4"/>
      <c r="O2896" s="4"/>
      <c r="P2896" s="12" t="str">
        <f t="array" ref="P2896">IF(O2896:O6937="","",_xlfn.XLOOKUP(O2896:O6937,'参照_官位'!A:A,'参照_官位'!B:B,""))</f>
      </c>
      <c r="Q2896" s="12" t="str">
        <f t="array" ref="Q2896">IF(A2896:A6937="","",IFERROR(_xlfn.XLOOKUP(A2896:A6937,castles_state!K:K,castles_state!D:D)&amp;"主",IFERROR(_xlfn.XLOOKUP(A2896:A6937,kunishuClan!D:D,kunishuClan!B:B)&amp;"当主","")))</f>
      </c>
    </row>
    <row r="2897" ht="15.75" customHeight="1">
      <c r="A2897" s="4">
        <v>1078016</v>
      </c>
      <c r="B2897" s="12" t="str">
        <f t="array" ref="B2897">IF(A2897:A6938="","",_xlfn.XLOOKUP(A2897:A6938,'参照_武将'!A:A,'参照_武将'!B:B,"見つかりません"))</f>
      </c>
      <c r="C2897" s="4" t="s">
        <v>5971</v>
      </c>
      <c r="D2897" s="4">
        <v>78</v>
      </c>
      <c r="E2897" s="12" t="str">
        <f t="array" ref="E2897">IF(D2897:D6938="","",IFERROR(_xlfn.XLOOKUP(D2897:D6938,'参照_勢力'!A:A,'参照_勢力'!B:B),IFERROR(_xlfn.XLOOKUP(F2897:F6938,kunishuClan!A:A,kunishuClan!B:B),"浪人")))</f>
      </c>
      <c r="F2897" s="4">
        <v>0</v>
      </c>
      <c r="G2897" s="4">
        <v>213</v>
      </c>
      <c r="H2897" s="12" t="str">
        <f t="array" ref="H2897">IF(G2897:G6938="","",_xlfn.XLOOKUP(G2897:G6938,castles_state!A:A,castles_state!D:D,"見つかりません"))</f>
      </c>
      <c r="I2897" s="4"/>
      <c r="J2897" s="12" t="str">
        <f t="array" ref="J2897">IF(I2897:I6938="","",_xlfn.XLOOKUP(I2897:I6938,'参照_姫'!A:A,'参照_姫'!B:B,"見つかりません"))</f>
      </c>
      <c r="K2897" s="4">
        <v>95</v>
      </c>
      <c r="L2897" s="4">
        <v>0</v>
      </c>
      <c r="M2897" s="4"/>
      <c r="N2897" s="4"/>
      <c r="O2897" s="4"/>
      <c r="P2897" s="12" t="str">
        <f t="array" ref="P2897">IF(O2897:O6938="","",_xlfn.XLOOKUP(O2897:O6938,'参照_官位'!A:A,'参照_官位'!B:B,""))</f>
      </c>
      <c r="Q2897" s="12" t="str">
        <f t="array" ref="Q2897">IF(A2897:A6938="","",IFERROR(_xlfn.XLOOKUP(A2897:A6938,castles_state!K:K,castles_state!D:D)&amp;"主",IFERROR(_xlfn.XLOOKUP(A2897:A6938,kunishuClan!D:D,kunishuClan!B:B)&amp;"当主","")))</f>
      </c>
    </row>
    <row r="2898" ht="15.75" customHeight="1">
      <c r="A2898" s="4">
        <v>1078017</v>
      </c>
      <c r="B2898" s="12" t="str">
        <f t="array" ref="B2898">IF(A2898:A6939="","",_xlfn.XLOOKUP(A2898:A6939,'参照_武将'!A:A,'参照_武将'!B:B,"見つかりません"))</f>
      </c>
      <c r="C2898" s="4" t="s">
        <v>5971</v>
      </c>
      <c r="D2898" s="4">
        <v>78</v>
      </c>
      <c r="E2898" s="12" t="str">
        <f t="array" ref="E2898">IF(D2898:D6939="","",IFERROR(_xlfn.XLOOKUP(D2898:D6939,'参照_勢力'!A:A,'参照_勢力'!B:B),IFERROR(_xlfn.XLOOKUP(F2898:F6939,kunishuClan!A:A,kunishuClan!B:B),"浪人")))</f>
      </c>
      <c r="F2898" s="4">
        <v>0</v>
      </c>
      <c r="G2898" s="4">
        <v>213</v>
      </c>
      <c r="H2898" s="12" t="str">
        <f t="array" ref="H2898">IF(G2898:G6939="","",_xlfn.XLOOKUP(G2898:G6939,castles_state!A:A,castles_state!D:D,"見つかりません"))</f>
      </c>
      <c r="I2898" s="4"/>
      <c r="J2898" s="12" t="str">
        <f t="array" ref="J2898">IF(I2898:I6939="","",_xlfn.XLOOKUP(I2898:I6939,'参照_姫'!A:A,'参照_姫'!B:B,"見つかりません"))</f>
      </c>
      <c r="K2898" s="4">
        <v>95</v>
      </c>
      <c r="L2898" s="4">
        <v>0</v>
      </c>
      <c r="M2898" s="4"/>
      <c r="N2898" s="4"/>
      <c r="O2898" s="4"/>
      <c r="P2898" s="12" t="str">
        <f t="array" ref="P2898">IF(O2898:O6939="","",_xlfn.XLOOKUP(O2898:O6939,'参照_官位'!A:A,'参照_官位'!B:B,""))</f>
      </c>
      <c r="Q2898" s="12" t="str">
        <f t="array" ref="Q2898">IF(A2898:A6939="","",IFERROR(_xlfn.XLOOKUP(A2898:A6939,castles_state!K:K,castles_state!D:D)&amp;"主",IFERROR(_xlfn.XLOOKUP(A2898:A6939,kunishuClan!D:D,kunishuClan!B:B)&amp;"当主","")))</f>
      </c>
    </row>
    <row r="2899" ht="15.75" customHeight="1">
      <c r="A2899" s="4">
        <v>1078018</v>
      </c>
      <c r="B2899" s="12" t="str">
        <f t="array" ref="B2899">IF(A2899:A6940="","",_xlfn.XLOOKUP(A2899:A6940,'参照_武将'!A:A,'参照_武将'!B:B,"見つかりません"))</f>
      </c>
      <c r="C2899" s="4" t="s">
        <v>5971</v>
      </c>
      <c r="D2899" s="4">
        <v>78</v>
      </c>
      <c r="E2899" s="12" t="str">
        <f t="array" ref="E2899">IF(D2899:D6940="","",IFERROR(_xlfn.XLOOKUP(D2899:D6940,'参照_勢力'!A:A,'参照_勢力'!B:B),IFERROR(_xlfn.XLOOKUP(F2899:F6940,kunishuClan!A:A,kunishuClan!B:B),"浪人")))</f>
      </c>
      <c r="F2899" s="4">
        <v>0</v>
      </c>
      <c r="G2899" s="4">
        <v>213</v>
      </c>
      <c r="H2899" s="12" t="str">
        <f t="array" ref="H2899">IF(G2899:G6940="","",_xlfn.XLOOKUP(G2899:G6940,castles_state!A:A,castles_state!D:D,"見つかりません"))</f>
      </c>
      <c r="I2899" s="4"/>
      <c r="J2899" s="12" t="str">
        <f t="array" ref="J2899">IF(I2899:I6940="","",_xlfn.XLOOKUP(I2899:I6940,'参照_姫'!A:A,'参照_姫'!B:B,"見つかりません"))</f>
      </c>
      <c r="K2899" s="4">
        <v>95</v>
      </c>
      <c r="L2899" s="4">
        <v>0</v>
      </c>
      <c r="M2899" s="4"/>
      <c r="N2899" s="4"/>
      <c r="O2899" s="4"/>
      <c r="P2899" s="12" t="str">
        <f t="array" ref="P2899">IF(O2899:O6940="","",_xlfn.XLOOKUP(O2899:O6940,'参照_官位'!A:A,'参照_官位'!B:B,""))</f>
      </c>
      <c r="Q2899" s="12" t="str">
        <f t="array" ref="Q2899">IF(A2899:A6940="","",IFERROR(_xlfn.XLOOKUP(A2899:A6940,castles_state!K:K,castles_state!D:D)&amp;"主",IFERROR(_xlfn.XLOOKUP(A2899:A6940,kunishuClan!D:D,kunishuClan!B:B)&amp;"当主","")))</f>
      </c>
    </row>
    <row r="2900" ht="15.75" customHeight="1">
      <c r="A2900" s="4">
        <v>1078019</v>
      </c>
      <c r="B2900" s="12" t="str">
        <f t="array" ref="B2900">IF(A2900:A6941="","",_xlfn.XLOOKUP(A2900:A6941,'参照_武将'!A:A,'参照_武将'!B:B,"見つかりません"))</f>
      </c>
      <c r="C2900" s="4" t="s">
        <v>5971</v>
      </c>
      <c r="D2900" s="4">
        <v>78</v>
      </c>
      <c r="E2900" s="12" t="str">
        <f t="array" ref="E2900">IF(D2900:D6941="","",IFERROR(_xlfn.XLOOKUP(D2900:D6941,'参照_勢力'!A:A,'参照_勢力'!B:B),IFERROR(_xlfn.XLOOKUP(F2900:F6941,kunishuClan!A:A,kunishuClan!B:B),"浪人")))</f>
      </c>
      <c r="F2900" s="4">
        <v>0</v>
      </c>
      <c r="G2900" s="4">
        <v>213</v>
      </c>
      <c r="H2900" s="12" t="str">
        <f t="array" ref="H2900">IF(G2900:G6941="","",_xlfn.XLOOKUP(G2900:G6941,castles_state!A:A,castles_state!D:D,"見つかりません"))</f>
      </c>
      <c r="I2900" s="4"/>
      <c r="J2900" s="12" t="str">
        <f t="array" ref="J2900">IF(I2900:I6941="","",_xlfn.XLOOKUP(I2900:I6941,'参照_姫'!A:A,'参照_姫'!B:B,"見つかりません"))</f>
      </c>
      <c r="K2900" s="4">
        <v>95</v>
      </c>
      <c r="L2900" s="4">
        <v>0</v>
      </c>
      <c r="M2900" s="4"/>
      <c r="N2900" s="4"/>
      <c r="O2900" s="4"/>
      <c r="P2900" s="12" t="str">
        <f t="array" ref="P2900">IF(O2900:O6941="","",_xlfn.XLOOKUP(O2900:O6941,'参照_官位'!A:A,'参照_官位'!B:B,""))</f>
      </c>
      <c r="Q2900" s="12" t="str">
        <f t="array" ref="Q2900">IF(A2900:A6941="","",IFERROR(_xlfn.XLOOKUP(A2900:A6941,castles_state!K:K,castles_state!D:D)&amp;"主",IFERROR(_xlfn.XLOOKUP(A2900:A6941,kunishuClan!D:D,kunishuClan!B:B)&amp;"当主","")))</f>
      </c>
    </row>
    <row r="2901" ht="15.75" customHeight="1">
      <c r="A2901" s="4">
        <v>1078020</v>
      </c>
      <c r="B2901" s="12" t="str">
        <f t="array" ref="B2901">IF(A2901:A6942="","",_xlfn.XLOOKUP(A2901:A6942,'参照_武将'!A:A,'参照_武将'!B:B,"見つかりません"))</f>
      </c>
      <c r="C2901" s="4" t="s">
        <v>5971</v>
      </c>
      <c r="D2901" s="4">
        <v>78</v>
      </c>
      <c r="E2901" s="12" t="str">
        <f t="array" ref="E2901">IF(D2901:D6942="","",IFERROR(_xlfn.XLOOKUP(D2901:D6942,'参照_勢力'!A:A,'参照_勢力'!B:B),IFERROR(_xlfn.XLOOKUP(F2901:F6942,kunishuClan!A:A,kunishuClan!B:B),"浪人")))</f>
      </c>
      <c r="F2901" s="4">
        <v>0</v>
      </c>
      <c r="G2901" s="4">
        <v>213</v>
      </c>
      <c r="H2901" s="12" t="str">
        <f t="array" ref="H2901">IF(G2901:G6942="","",_xlfn.XLOOKUP(G2901:G6942,castles_state!A:A,castles_state!D:D,"見つかりません"))</f>
      </c>
      <c r="I2901" s="4"/>
      <c r="J2901" s="12" t="str">
        <f t="array" ref="J2901">IF(I2901:I6942="","",_xlfn.XLOOKUP(I2901:I6942,'参照_姫'!A:A,'参照_姫'!B:B,"見つかりません"))</f>
      </c>
      <c r="K2901" s="4">
        <v>95</v>
      </c>
      <c r="L2901" s="4">
        <v>0</v>
      </c>
      <c r="M2901" s="4"/>
      <c r="N2901" s="4"/>
      <c r="O2901" s="4"/>
      <c r="P2901" s="12" t="str">
        <f t="array" ref="P2901">IF(O2901:O6942="","",_xlfn.XLOOKUP(O2901:O6942,'参照_官位'!A:A,'参照_官位'!B:B,""))</f>
      </c>
      <c r="Q2901" s="12" t="str">
        <f t="array" ref="Q2901">IF(A2901:A6942="","",IFERROR(_xlfn.XLOOKUP(A2901:A6942,castles_state!K:K,castles_state!D:D)&amp;"主",IFERROR(_xlfn.XLOOKUP(A2901:A6942,kunishuClan!D:D,kunishuClan!B:B)&amp;"当主","")))</f>
      </c>
    </row>
    <row r="2902" ht="15.75" customHeight="1">
      <c r="A2902" s="4">
        <v>1078021</v>
      </c>
      <c r="B2902" s="12" t="str">
        <f t="array" ref="B2902">IF(A2902:A6943="","",_xlfn.XLOOKUP(A2902:A6943,'参照_武将'!A:A,'参照_武将'!B:B,"見つかりません"))</f>
      </c>
      <c r="C2902" s="4" t="s">
        <v>5971</v>
      </c>
      <c r="D2902" s="4">
        <v>78</v>
      </c>
      <c r="E2902" s="12" t="str">
        <f t="array" ref="E2902">IF(D2902:D6943="","",IFERROR(_xlfn.XLOOKUP(D2902:D6943,'参照_勢力'!A:A,'参照_勢力'!B:B),IFERROR(_xlfn.XLOOKUP(F2902:F6943,kunishuClan!A:A,kunishuClan!B:B),"浪人")))</f>
      </c>
      <c r="F2902" s="4">
        <v>0</v>
      </c>
      <c r="G2902" s="4">
        <v>213</v>
      </c>
      <c r="H2902" s="12" t="str">
        <f t="array" ref="H2902">IF(G2902:G6943="","",_xlfn.XLOOKUP(G2902:G6943,castles_state!A:A,castles_state!D:D,"見つかりません"))</f>
      </c>
      <c r="I2902" s="4"/>
      <c r="J2902" s="12" t="str">
        <f t="array" ref="J2902">IF(I2902:I6943="","",_xlfn.XLOOKUP(I2902:I6943,'参照_姫'!A:A,'参照_姫'!B:B,"見つかりません"))</f>
      </c>
      <c r="K2902" s="4">
        <v>95</v>
      </c>
      <c r="L2902" s="4">
        <v>0</v>
      </c>
      <c r="M2902" s="4" t="b">
        <v>1</v>
      </c>
      <c r="N2902" s="4"/>
      <c r="O2902" s="4"/>
      <c r="P2902" s="12" t="str">
        <f t="array" ref="P2902">IF(O2902:O6943="","",_xlfn.XLOOKUP(O2902:O6943,'参照_官位'!A:A,'参照_官位'!B:B,""))</f>
      </c>
      <c r="Q2902" s="12" t="str">
        <f t="array" ref="Q2902">IF(A2902:A6943="","",IFERROR(_xlfn.XLOOKUP(A2902:A6943,castles_state!K:K,castles_state!D:D)&amp;"主",IFERROR(_xlfn.XLOOKUP(A2902:A6943,kunishuClan!D:D,kunishuClan!B:B)&amp;"当主","")))</f>
      </c>
    </row>
    <row r="2903" ht="15.75" customHeight="1">
      <c r="A2903" s="4">
        <v>1078022</v>
      </c>
      <c r="B2903" s="12" t="str">
        <f t="array" ref="B2903">IF(A2903:A6944="","",_xlfn.XLOOKUP(A2903:A6944,'参照_武将'!A:A,'参照_武将'!B:B,"見つかりません"))</f>
      </c>
      <c r="C2903" s="4" t="s">
        <v>5971</v>
      </c>
      <c r="D2903" s="4">
        <v>78</v>
      </c>
      <c r="E2903" s="12" t="str">
        <f t="array" ref="E2903">IF(D2903:D6944="","",IFERROR(_xlfn.XLOOKUP(D2903:D6944,'参照_勢力'!A:A,'参照_勢力'!B:B),IFERROR(_xlfn.XLOOKUP(F2903:F6944,kunishuClan!A:A,kunishuClan!B:B),"浪人")))</f>
      </c>
      <c r="F2903" s="4">
        <v>0</v>
      </c>
      <c r="G2903" s="4">
        <v>213</v>
      </c>
      <c r="H2903" s="12" t="str">
        <f t="array" ref="H2903">IF(G2903:G6944="","",_xlfn.XLOOKUP(G2903:G6944,castles_state!A:A,castles_state!D:D,"見つかりません"))</f>
      </c>
      <c r="I2903" s="4"/>
      <c r="J2903" s="12" t="str">
        <f t="array" ref="J2903">IF(I2903:I6944="","",_xlfn.XLOOKUP(I2903:I6944,'参照_姫'!A:A,'参照_姫'!B:B,"見つかりません"))</f>
      </c>
      <c r="K2903" s="4">
        <v>95</v>
      </c>
      <c r="L2903" s="4">
        <v>0</v>
      </c>
      <c r="M2903" s="4"/>
      <c r="N2903" s="4"/>
      <c r="O2903" s="4"/>
      <c r="P2903" s="12" t="str">
        <f t="array" ref="P2903">IF(O2903:O6944="","",_xlfn.XLOOKUP(O2903:O6944,'参照_官位'!A:A,'参照_官位'!B:B,""))</f>
      </c>
      <c r="Q2903" s="12" t="str">
        <f t="array" ref="Q2903">IF(A2903:A6944="","",IFERROR(_xlfn.XLOOKUP(A2903:A6944,castles_state!K:K,castles_state!D:D)&amp;"主",IFERROR(_xlfn.XLOOKUP(A2903:A6944,kunishuClan!D:D,kunishuClan!B:B)&amp;"当主","")))</f>
      </c>
    </row>
    <row r="2904" ht="15.75" customHeight="1">
      <c r="A2904" s="4">
        <v>1078023</v>
      </c>
      <c r="B2904" s="12" t="str">
        <f t="array" ref="B2904">IF(A2904:A6945="","",_xlfn.XLOOKUP(A2904:A6945,'参照_武将'!A:A,'参照_武将'!B:B,"見つかりません"))</f>
      </c>
      <c r="C2904" s="4" t="s">
        <v>5971</v>
      </c>
      <c r="D2904" s="4">
        <v>78</v>
      </c>
      <c r="E2904" s="12" t="str">
        <f t="array" ref="E2904">IF(D2904:D6945="","",IFERROR(_xlfn.XLOOKUP(D2904:D6945,'参照_勢力'!A:A,'参照_勢力'!B:B),IFERROR(_xlfn.XLOOKUP(F2904:F6945,kunishuClan!A:A,kunishuClan!B:B),"浪人")))</f>
      </c>
      <c r="F2904" s="4">
        <v>0</v>
      </c>
      <c r="G2904" s="4">
        <v>213</v>
      </c>
      <c r="H2904" s="12" t="str">
        <f t="array" ref="H2904">IF(G2904:G6945="","",_xlfn.XLOOKUP(G2904:G6945,castles_state!A:A,castles_state!D:D,"見つかりません"))</f>
      </c>
      <c r="I2904" s="4"/>
      <c r="J2904" s="12" t="str">
        <f t="array" ref="J2904">IF(I2904:I6945="","",_xlfn.XLOOKUP(I2904:I6945,'参照_姫'!A:A,'参照_姫'!B:B,"見つかりません"))</f>
      </c>
      <c r="K2904" s="4">
        <v>95</v>
      </c>
      <c r="L2904" s="4">
        <v>0</v>
      </c>
      <c r="M2904" s="4"/>
      <c r="N2904" s="4"/>
      <c r="O2904" s="4"/>
      <c r="P2904" s="12" t="str">
        <f t="array" ref="P2904">IF(O2904:O6945="","",_xlfn.XLOOKUP(O2904:O6945,'参照_官位'!A:A,'参照_官位'!B:B,""))</f>
      </c>
      <c r="Q2904" s="12" t="str">
        <f t="array" ref="Q2904">IF(A2904:A6945="","",IFERROR(_xlfn.XLOOKUP(A2904:A6945,castles_state!K:K,castles_state!D:D)&amp;"主",IFERROR(_xlfn.XLOOKUP(A2904:A6945,kunishuClan!D:D,kunishuClan!B:B)&amp;"当主","")))</f>
      </c>
    </row>
    <row r="2905" ht="15.75" customHeight="1">
      <c r="A2905" s="4">
        <v>1078024</v>
      </c>
      <c r="B2905" s="12" t="str">
        <f t="array" ref="B2905">IF(A2905:A6946="","",_xlfn.XLOOKUP(A2905:A6946,'参照_武将'!A:A,'参照_武将'!B:B,"見つかりません"))</f>
      </c>
      <c r="C2905" s="4" t="s">
        <v>5971</v>
      </c>
      <c r="D2905" s="4">
        <v>78</v>
      </c>
      <c r="E2905" s="12" t="str">
        <f t="array" ref="E2905">IF(D2905:D6946="","",IFERROR(_xlfn.XLOOKUP(D2905:D6946,'参照_勢力'!A:A,'参照_勢力'!B:B),IFERROR(_xlfn.XLOOKUP(F2905:F6946,kunishuClan!A:A,kunishuClan!B:B),"浪人")))</f>
      </c>
      <c r="F2905" s="4">
        <v>0</v>
      </c>
      <c r="G2905" s="4">
        <v>213</v>
      </c>
      <c r="H2905" s="12" t="str">
        <f t="array" ref="H2905">IF(G2905:G6946="","",_xlfn.XLOOKUP(G2905:G6946,castles_state!A:A,castles_state!D:D,"見つかりません"))</f>
      </c>
      <c r="I2905" s="4"/>
      <c r="J2905" s="12" t="str">
        <f t="array" ref="J2905">IF(I2905:I6946="","",_xlfn.XLOOKUP(I2905:I6946,'参照_姫'!A:A,'参照_姫'!B:B,"見つかりません"))</f>
      </c>
      <c r="K2905" s="4">
        <v>95</v>
      </c>
      <c r="L2905" s="4">
        <v>0</v>
      </c>
      <c r="M2905" s="4"/>
      <c r="N2905" s="4"/>
      <c r="O2905" s="4"/>
      <c r="P2905" s="12" t="str">
        <f t="array" ref="P2905">IF(O2905:O6946="","",_xlfn.XLOOKUP(O2905:O6946,'参照_官位'!A:A,'参照_官位'!B:B,""))</f>
      </c>
      <c r="Q2905" s="12" t="str">
        <f t="array" ref="Q2905">IF(A2905:A6946="","",IFERROR(_xlfn.XLOOKUP(A2905:A6946,castles_state!K:K,castles_state!D:D)&amp;"主",IFERROR(_xlfn.XLOOKUP(A2905:A6946,kunishuClan!D:D,kunishuClan!B:B)&amp;"当主","")))</f>
      </c>
    </row>
    <row r="2906" ht="15.75" customHeight="1">
      <c r="A2906" s="4">
        <v>1078025</v>
      </c>
      <c r="B2906" s="12" t="str">
        <f t="array" ref="B2906">IF(A2906:A6947="","",_xlfn.XLOOKUP(A2906:A6947,'参照_武将'!A:A,'参照_武将'!B:B,"見つかりません"))</f>
      </c>
      <c r="C2906" s="4" t="s">
        <v>5971</v>
      </c>
      <c r="D2906" s="4">
        <v>78</v>
      </c>
      <c r="E2906" s="12" t="str">
        <f t="array" ref="E2906">IF(D2906:D6947="","",IFERROR(_xlfn.XLOOKUP(D2906:D6947,'参照_勢力'!A:A,'参照_勢力'!B:B),IFERROR(_xlfn.XLOOKUP(F2906:F6947,kunishuClan!A:A,kunishuClan!B:B),"浪人")))</f>
      </c>
      <c r="F2906" s="4">
        <v>0</v>
      </c>
      <c r="G2906" s="4">
        <v>213</v>
      </c>
      <c r="H2906" s="12" t="str">
        <f t="array" ref="H2906">IF(G2906:G6947="","",_xlfn.XLOOKUP(G2906:G6947,castles_state!A:A,castles_state!D:D,"見つかりません"))</f>
      </c>
      <c r="I2906" s="4"/>
      <c r="J2906" s="12" t="str">
        <f t="array" ref="J2906">IF(I2906:I6947="","",_xlfn.XLOOKUP(I2906:I6947,'参照_姫'!A:A,'参照_姫'!B:B,"見つかりません"))</f>
      </c>
      <c r="K2906" s="4">
        <v>95</v>
      </c>
      <c r="L2906" s="4">
        <v>0</v>
      </c>
      <c r="M2906" s="4"/>
      <c r="N2906" s="4"/>
      <c r="O2906" s="4"/>
      <c r="P2906" s="12" t="str">
        <f t="array" ref="P2906">IF(O2906:O6947="","",_xlfn.XLOOKUP(O2906:O6947,'参照_官位'!A:A,'参照_官位'!B:B,""))</f>
      </c>
      <c r="Q2906" s="12" t="str">
        <f t="array" ref="Q2906">IF(A2906:A6947="","",IFERROR(_xlfn.XLOOKUP(A2906:A6947,castles_state!K:K,castles_state!D:D)&amp;"主",IFERROR(_xlfn.XLOOKUP(A2906:A6947,kunishuClan!D:D,kunishuClan!B:B)&amp;"当主","")))</f>
      </c>
    </row>
    <row r="2907" ht="15.75" customHeight="1">
      <c r="A2907" s="4">
        <v>1078026</v>
      </c>
      <c r="B2907" s="12" t="str">
        <f t="array" ref="B2907">IF(A2907:A6948="","",_xlfn.XLOOKUP(A2907:A6948,'参照_武将'!A:A,'参照_武将'!B:B,"見つかりません"))</f>
      </c>
      <c r="C2907" s="4" t="s">
        <v>5971</v>
      </c>
      <c r="D2907" s="4">
        <v>78</v>
      </c>
      <c r="E2907" s="12" t="str">
        <f t="array" ref="E2907">IF(D2907:D6948="","",IFERROR(_xlfn.XLOOKUP(D2907:D6948,'参照_勢力'!A:A,'参照_勢力'!B:B),IFERROR(_xlfn.XLOOKUP(F2907:F6948,kunishuClan!A:A,kunishuClan!B:B),"浪人")))</f>
      </c>
      <c r="F2907" s="4">
        <v>0</v>
      </c>
      <c r="G2907" s="4">
        <v>213</v>
      </c>
      <c r="H2907" s="12" t="str">
        <f t="array" ref="H2907">IF(G2907:G6948="","",_xlfn.XLOOKUP(G2907:G6948,castles_state!A:A,castles_state!D:D,"見つかりません"))</f>
      </c>
      <c r="I2907" s="4"/>
      <c r="J2907" s="12" t="str">
        <f t="array" ref="J2907">IF(I2907:I6948="","",_xlfn.XLOOKUP(I2907:I6948,'参照_姫'!A:A,'参照_姫'!B:B,"見つかりません"))</f>
      </c>
      <c r="K2907" s="4">
        <v>95</v>
      </c>
      <c r="L2907" s="4">
        <v>0</v>
      </c>
      <c r="M2907" s="4"/>
      <c r="N2907" s="4"/>
      <c r="O2907" s="4"/>
      <c r="P2907" s="12" t="str">
        <f t="array" ref="P2907">IF(O2907:O6948="","",_xlfn.XLOOKUP(O2907:O6948,'参照_官位'!A:A,'参照_官位'!B:B,""))</f>
      </c>
      <c r="Q2907" s="12" t="str">
        <f t="array" ref="Q2907">IF(A2907:A6948="","",IFERROR(_xlfn.XLOOKUP(A2907:A6948,castles_state!K:K,castles_state!D:D)&amp;"主",IFERROR(_xlfn.XLOOKUP(A2907:A6948,kunishuClan!D:D,kunishuClan!B:B)&amp;"当主","")))</f>
      </c>
    </row>
    <row r="2908" ht="15.75" customHeight="1">
      <c r="A2908" s="4">
        <v>1078027</v>
      </c>
      <c r="B2908" s="12" t="str">
        <f t="array" ref="B2908">IF(A2908:A6949="","",_xlfn.XLOOKUP(A2908:A6949,'参照_武将'!A:A,'参照_武将'!B:B,"見つかりません"))</f>
      </c>
      <c r="C2908" s="4" t="s">
        <v>5971</v>
      </c>
      <c r="D2908" s="4">
        <v>78</v>
      </c>
      <c r="E2908" s="12" t="str">
        <f t="array" ref="E2908">IF(D2908:D6949="","",IFERROR(_xlfn.XLOOKUP(D2908:D6949,'参照_勢力'!A:A,'参照_勢力'!B:B),IFERROR(_xlfn.XLOOKUP(F2908:F6949,kunishuClan!A:A,kunishuClan!B:B),"浪人")))</f>
      </c>
      <c r="F2908" s="4">
        <v>0</v>
      </c>
      <c r="G2908" s="4">
        <v>213</v>
      </c>
      <c r="H2908" s="12" t="str">
        <f t="array" ref="H2908">IF(G2908:G6949="","",_xlfn.XLOOKUP(G2908:G6949,castles_state!A:A,castles_state!D:D,"見つかりません"))</f>
      </c>
      <c r="I2908" s="4"/>
      <c r="J2908" s="12" t="str">
        <f t="array" ref="J2908">IF(I2908:I6949="","",_xlfn.XLOOKUP(I2908:I6949,'参照_姫'!A:A,'参照_姫'!B:B,"見つかりません"))</f>
      </c>
      <c r="K2908" s="4">
        <v>95</v>
      </c>
      <c r="L2908" s="4">
        <v>0</v>
      </c>
      <c r="M2908" s="4"/>
      <c r="N2908" s="4"/>
      <c r="O2908" s="4"/>
      <c r="P2908" s="12" t="str">
        <f t="array" ref="P2908">IF(O2908:O6949="","",_xlfn.XLOOKUP(O2908:O6949,'参照_官位'!A:A,'参照_官位'!B:B,""))</f>
      </c>
      <c r="Q2908" s="12" t="str">
        <f t="array" ref="Q2908">IF(A2908:A6949="","",IFERROR(_xlfn.XLOOKUP(A2908:A6949,castles_state!K:K,castles_state!D:D)&amp;"主",IFERROR(_xlfn.XLOOKUP(A2908:A6949,kunishuClan!D:D,kunishuClan!B:B)&amp;"当主","")))</f>
      </c>
    </row>
    <row r="2909" ht="15.75" customHeight="1">
      <c r="A2909" s="4">
        <v>1079001</v>
      </c>
      <c r="B2909" s="12" t="str">
        <f t="array" ref="B2909">IF(A2909:A6952="","",_xlfn.XLOOKUP(A2909:A6952,'参照_武将'!A:A,'参照_武将'!B:B,"見つかりません"))</f>
      </c>
      <c r="C2909" s="4" t="s">
        <v>370</v>
      </c>
      <c r="D2909" s="4">
        <v>79</v>
      </c>
      <c r="E2909" s="12" t="str">
        <f t="array" ref="E2909">IF(D2909:D6952="","",IFERROR(_xlfn.XLOOKUP(D2909:D6952,'参照_勢力'!A:A,'参照_勢力'!B:B),IFERROR(_xlfn.XLOOKUP(F2909:F6952,kunishuClan!A:A,kunishuClan!B:B),"浪人")))</f>
      </c>
      <c r="F2909" s="4">
        <v>0</v>
      </c>
      <c r="G2909" s="4">
        <v>212</v>
      </c>
      <c r="H2909" s="12" t="str">
        <f t="array" ref="H2909">IF(G2909:G6952="","",_xlfn.XLOOKUP(G2909:G6952,castles_state!A:A,castles_state!D:D,"見つかりません"))</f>
      </c>
      <c r="I2909" s="4"/>
      <c r="J2909" s="12" t="str">
        <f t="array" ref="J2909">IF(I2909:I6952="","",_xlfn.XLOOKUP(I2909:I6952,'参照_姫'!A:A,'参照_姫'!B:B,"見つかりません"))</f>
      </c>
      <c r="K2909" s="4">
        <v>95</v>
      </c>
      <c r="L2909" s="4">
        <v>0</v>
      </c>
      <c r="M2909" s="4"/>
      <c r="N2909" s="4"/>
      <c r="O2909" s="4"/>
      <c r="P2909" s="12" t="str">
        <f t="array" ref="P2909">IF(O2909:O6952="","",_xlfn.XLOOKUP(O2909:O6952,'参照_官位'!A:A,'参照_官位'!B:B,""))</f>
      </c>
      <c r="Q2909" s="12" t="str">
        <f t="array" ref="Q2909">IF(A2909:A6952="","",IFERROR(_xlfn.XLOOKUP(A2909:A6952,castles_state!K:K,castles_state!D:D)&amp;"主",IFERROR(_xlfn.XLOOKUP(A2909:A6952,kunishuClan!D:D,kunishuClan!B:B)&amp;"当主","")))</f>
      </c>
    </row>
    <row r="2910" ht="15.75" customHeight="1">
      <c r="A2910" s="4">
        <v>1079002</v>
      </c>
      <c r="B2910" s="12" t="str">
        <f t="array" ref="B2910">IF(A2910:A6953="","",_xlfn.XLOOKUP(A2910:A6953,'参照_武将'!A:A,'参照_武将'!B:B,"見つかりません"))</f>
      </c>
      <c r="C2910" s="4" t="s">
        <v>370</v>
      </c>
      <c r="D2910" s="4">
        <v>79</v>
      </c>
      <c r="E2910" s="12" t="str">
        <f t="array" ref="E2910">IF(D2910:D6953="","",IFERROR(_xlfn.XLOOKUP(D2910:D6953,'参照_勢力'!A:A,'参照_勢力'!B:B),IFERROR(_xlfn.XLOOKUP(F2910:F6953,kunishuClan!A:A,kunishuClan!B:B),"浪人")))</f>
      </c>
      <c r="F2910" s="4">
        <v>0</v>
      </c>
      <c r="G2910" s="4">
        <v>212</v>
      </c>
      <c r="H2910" s="12" t="str">
        <f t="array" ref="H2910">IF(G2910:G6953="","",_xlfn.XLOOKUP(G2910:G6953,castles_state!A:A,castles_state!D:D,"見つかりません"))</f>
      </c>
      <c r="I2910" s="4"/>
      <c r="J2910" s="12" t="str">
        <f t="array" ref="J2910">IF(I2910:I6953="","",_xlfn.XLOOKUP(I2910:I6953,'参照_姫'!A:A,'参照_姫'!B:B,"見つかりません"))</f>
      </c>
      <c r="K2910" s="4">
        <v>100</v>
      </c>
      <c r="L2910" s="4">
        <v>1000</v>
      </c>
      <c r="M2910" s="4"/>
      <c r="N2910" s="4"/>
      <c r="O2910" s="4"/>
      <c r="P2910" s="12" t="str">
        <f t="array" ref="P2910">IF(O2910:O6953="","",_xlfn.XLOOKUP(O2910:O6953,'参照_官位'!A:A,'参照_官位'!B:B,""))</f>
      </c>
      <c r="Q2910" s="12" t="str">
        <f t="array" ref="Q2910">IF(A2910:A6953="","",IFERROR(_xlfn.XLOOKUP(A2910:A6953,castles_state!K:K,castles_state!D:D)&amp;"主",IFERROR(_xlfn.XLOOKUP(A2910:A6953,kunishuClan!D:D,kunishuClan!B:B)&amp;"当主","")))</f>
      </c>
    </row>
    <row r="2911" ht="15.75" customHeight="1">
      <c r="A2911" s="4">
        <v>1079003</v>
      </c>
      <c r="B2911" s="12" t="str">
        <f t="array" ref="B2911">IF(A2911:A6954="","",_xlfn.XLOOKUP(A2911:A6954,'参照_武将'!A:A,'参照_武将'!B:B,"見つかりません"))</f>
      </c>
      <c r="C2911" s="4" t="s">
        <v>370</v>
      </c>
      <c r="D2911" s="4">
        <v>79</v>
      </c>
      <c r="E2911" s="12" t="str">
        <f t="array" ref="E2911">IF(D2911:D6954="","",IFERROR(_xlfn.XLOOKUP(D2911:D6954,'参照_勢力'!A:A,'参照_勢力'!B:B),IFERROR(_xlfn.XLOOKUP(F2911:F6954,kunishuClan!A:A,kunishuClan!B:B),"浪人")))</f>
      </c>
      <c r="F2911" s="4">
        <v>0</v>
      </c>
      <c r="G2911" s="4">
        <v>212</v>
      </c>
      <c r="H2911" s="12" t="str">
        <f t="array" ref="H2911">IF(G2911:G6954="","",_xlfn.XLOOKUP(G2911:G6954,castles_state!A:A,castles_state!D:D,"見つかりません"))</f>
      </c>
      <c r="I2911" s="4"/>
      <c r="J2911" s="12" t="str">
        <f t="array" ref="J2911">IF(I2911:I6954="","",_xlfn.XLOOKUP(I2911:I6954,'参照_姫'!A:A,'参照_姫'!B:B,"見つかりません"))</f>
      </c>
      <c r="K2911" s="4">
        <v>100</v>
      </c>
      <c r="L2911" s="4">
        <v>1000</v>
      </c>
      <c r="M2911" s="4"/>
      <c r="N2911" s="4"/>
      <c r="O2911" s="4"/>
      <c r="P2911" s="12" t="str">
        <f t="array" ref="P2911">IF(O2911:O6954="","",_xlfn.XLOOKUP(O2911:O6954,'参照_官位'!A:A,'参照_官位'!B:B,""))</f>
      </c>
      <c r="Q2911" s="12" t="str">
        <f t="array" ref="Q2911">IF(A2911:A6954="","",IFERROR(_xlfn.XLOOKUP(A2911:A6954,castles_state!K:K,castles_state!D:D)&amp;"主",IFERROR(_xlfn.XLOOKUP(A2911:A6954,kunishuClan!D:D,kunishuClan!B:B)&amp;"当主","")))</f>
      </c>
    </row>
    <row r="2912" ht="15.75" customHeight="1">
      <c r="A2912" s="4">
        <v>1079004</v>
      </c>
      <c r="B2912" s="12" t="str">
        <f t="array" ref="B2912">IF(A2912:A6955="","",_xlfn.XLOOKUP(A2912:A6955,'参照_武将'!A:A,'参照_武将'!B:B,"見つかりません"))</f>
      </c>
      <c r="C2912" s="4" t="s">
        <v>370</v>
      </c>
      <c r="D2912" s="4">
        <v>79</v>
      </c>
      <c r="E2912" s="12" t="str">
        <f t="array" ref="E2912">IF(D2912:D6955="","",IFERROR(_xlfn.XLOOKUP(D2912:D6955,'参照_勢力'!A:A,'参照_勢力'!B:B),IFERROR(_xlfn.XLOOKUP(F2912:F6955,kunishuClan!A:A,kunishuClan!B:B),"浪人")))</f>
      </c>
      <c r="F2912" s="4">
        <v>0</v>
      </c>
      <c r="G2912" s="4">
        <v>212</v>
      </c>
      <c r="H2912" s="12" t="str">
        <f t="array" ref="H2912">IF(G2912:G6955="","",_xlfn.XLOOKUP(G2912:G6955,castles_state!A:A,castles_state!D:D,"見つかりません"))</f>
      </c>
      <c r="I2912" s="4"/>
      <c r="J2912" s="12" t="str">
        <f t="array" ref="J2912">IF(I2912:I6955="","",_xlfn.XLOOKUP(I2912:I6955,'参照_姫'!A:A,'参照_姫'!B:B,"見つかりません"))</f>
      </c>
      <c r="K2912" s="4">
        <v>95</v>
      </c>
      <c r="L2912" s="4">
        <v>500</v>
      </c>
      <c r="M2912" s="4"/>
      <c r="N2912" s="4"/>
      <c r="O2912" s="4"/>
      <c r="P2912" s="12" t="str">
        <f t="array" ref="P2912">IF(O2912:O6955="","",_xlfn.XLOOKUP(O2912:O6955,'参照_官位'!A:A,'参照_官位'!B:B,""))</f>
      </c>
      <c r="Q2912" s="12" t="str">
        <f t="array" ref="Q2912">IF(A2912:A6955="","",IFERROR(_xlfn.XLOOKUP(A2912:A6955,castles_state!K:K,castles_state!D:D)&amp;"主",IFERROR(_xlfn.XLOOKUP(A2912:A6955,kunishuClan!D:D,kunishuClan!B:B)&amp;"当主","")))</f>
      </c>
    </row>
    <row r="2913" ht="15.75" customHeight="1">
      <c r="A2913" s="4">
        <v>1079005</v>
      </c>
      <c r="B2913" s="12" t="str">
        <f t="array" ref="B2913">IF(A2913:A6956="","",_xlfn.XLOOKUP(A2913:A6956,'参照_武将'!A:A,'参照_武将'!B:B,"見つかりません"))</f>
      </c>
      <c r="C2913" s="4" t="s">
        <v>370</v>
      </c>
      <c r="D2913" s="4">
        <v>79</v>
      </c>
      <c r="E2913" s="12" t="str">
        <f t="array" ref="E2913">IF(D2913:D6956="","",IFERROR(_xlfn.XLOOKUP(D2913:D6956,'参照_勢力'!A:A,'参照_勢力'!B:B),IFERROR(_xlfn.XLOOKUP(F2913:F6956,kunishuClan!A:A,kunishuClan!B:B),"浪人")))</f>
      </c>
      <c r="F2913" s="4">
        <v>0</v>
      </c>
      <c r="G2913" s="4">
        <v>212</v>
      </c>
      <c r="H2913" s="12" t="str">
        <f t="array" ref="H2913">IF(G2913:G6956="","",_xlfn.XLOOKUP(G2913:G6956,castles_state!A:A,castles_state!D:D,"見つかりません"))</f>
      </c>
      <c r="I2913" s="4"/>
      <c r="J2913" s="12" t="str">
        <f t="array" ref="J2913">IF(I2913:I6956="","",_xlfn.XLOOKUP(I2913:I6956,'参照_姫'!A:A,'参照_姫'!B:B,"見つかりません"))</f>
      </c>
      <c r="K2913" s="4">
        <v>95</v>
      </c>
      <c r="L2913" s="4">
        <v>0</v>
      </c>
      <c r="M2913" s="4"/>
      <c r="N2913" s="4"/>
      <c r="O2913" s="4"/>
      <c r="P2913" s="12" t="str">
        <f t="array" ref="P2913">IF(O2913:O6956="","",_xlfn.XLOOKUP(O2913:O6956,'参照_官位'!A:A,'参照_官位'!B:B,""))</f>
      </c>
      <c r="Q2913" s="12" t="str">
        <f t="array" ref="Q2913">IF(A2913:A6956="","",IFERROR(_xlfn.XLOOKUP(A2913:A6956,castles_state!K:K,castles_state!D:D)&amp;"主",IFERROR(_xlfn.XLOOKUP(A2913:A6956,kunishuClan!D:D,kunishuClan!B:B)&amp;"当主","")))</f>
      </c>
    </row>
    <row r="2914" ht="15.75" customHeight="1">
      <c r="A2914" s="4">
        <v>1079006</v>
      </c>
      <c r="B2914" s="12" t="str">
        <f t="array" ref="B2914">IF(A2914:A6957="","",_xlfn.XLOOKUP(A2914:A6957,'参照_武将'!A:A,'参照_武将'!B:B,"見つかりません"))</f>
      </c>
      <c r="C2914" s="4" t="s">
        <v>370</v>
      </c>
      <c r="D2914" s="4">
        <v>79</v>
      </c>
      <c r="E2914" s="12" t="str">
        <f t="array" ref="E2914">IF(D2914:D6957="","",IFERROR(_xlfn.XLOOKUP(D2914:D6957,'参照_勢力'!A:A,'参照_勢力'!B:B),IFERROR(_xlfn.XLOOKUP(F2914:F6957,kunishuClan!A:A,kunishuClan!B:B),"浪人")))</f>
      </c>
      <c r="F2914" s="4">
        <v>0</v>
      </c>
      <c r="G2914" s="4">
        <v>212</v>
      </c>
      <c r="H2914" s="12" t="str">
        <f t="array" ref="H2914">IF(G2914:G6957="","",_xlfn.XLOOKUP(G2914:G6957,castles_state!A:A,castles_state!D:D,"見つかりません"))</f>
      </c>
      <c r="I2914" s="4"/>
      <c r="J2914" s="12" t="str">
        <f t="array" ref="J2914">IF(I2914:I6957="","",_xlfn.XLOOKUP(I2914:I6957,'参照_姫'!A:A,'参照_姫'!B:B,"見つかりません"))</f>
      </c>
      <c r="K2914" s="4">
        <v>95</v>
      </c>
      <c r="L2914" s="4">
        <v>0</v>
      </c>
      <c r="M2914" s="4"/>
      <c r="N2914" s="4"/>
      <c r="O2914" s="4"/>
      <c r="P2914" s="12" t="str">
        <f t="array" ref="P2914">IF(O2914:O6957="","",_xlfn.XLOOKUP(O2914:O6957,'参照_官位'!A:A,'参照_官位'!B:B,""))</f>
      </c>
      <c r="Q2914" s="12" t="str">
        <f t="array" ref="Q2914">IF(A2914:A6957="","",IFERROR(_xlfn.XLOOKUP(A2914:A6957,castles_state!K:K,castles_state!D:D)&amp;"主",IFERROR(_xlfn.XLOOKUP(A2914:A6957,kunishuClan!D:D,kunishuClan!B:B)&amp;"当主","")))</f>
      </c>
    </row>
    <row r="2915" ht="15.75" customHeight="1">
      <c r="A2915" s="4">
        <v>1079007</v>
      </c>
      <c r="B2915" s="12" t="str">
        <f t="array" ref="B2915">IF(A2915:A6958="","",_xlfn.XLOOKUP(A2915:A6958,'参照_武将'!A:A,'参照_武将'!B:B,"見つかりません"))</f>
      </c>
      <c r="C2915" s="4" t="s">
        <v>370</v>
      </c>
      <c r="D2915" s="4">
        <v>79</v>
      </c>
      <c r="E2915" s="12" t="str">
        <f t="array" ref="E2915">IF(D2915:D6958="","",IFERROR(_xlfn.XLOOKUP(D2915:D6958,'参照_勢力'!A:A,'参照_勢力'!B:B),IFERROR(_xlfn.XLOOKUP(F2915:F6958,kunishuClan!A:A,kunishuClan!B:B),"浪人")))</f>
      </c>
      <c r="F2915" s="4">
        <v>0</v>
      </c>
      <c r="G2915" s="4">
        <v>212</v>
      </c>
      <c r="H2915" s="12" t="str">
        <f t="array" ref="H2915">IF(G2915:G6958="","",_xlfn.XLOOKUP(G2915:G6958,castles_state!A:A,castles_state!D:D,"見つかりません"))</f>
      </c>
      <c r="I2915" s="4"/>
      <c r="J2915" s="12" t="str">
        <f t="array" ref="J2915">IF(I2915:I6958="","",_xlfn.XLOOKUP(I2915:I6958,'参照_姫'!A:A,'参照_姫'!B:B,"見つかりません"))</f>
      </c>
      <c r="K2915" s="4">
        <v>95</v>
      </c>
      <c r="L2915" s="4">
        <v>0</v>
      </c>
      <c r="M2915" s="4"/>
      <c r="N2915" s="4"/>
      <c r="O2915" s="4"/>
      <c r="P2915" s="12" t="str">
        <f t="array" ref="P2915">IF(O2915:O6958="","",_xlfn.XLOOKUP(O2915:O6958,'参照_官位'!A:A,'参照_官位'!B:B,""))</f>
      </c>
      <c r="Q2915" s="12" t="str">
        <f t="array" ref="Q2915">IF(A2915:A6958="","",IFERROR(_xlfn.XLOOKUP(A2915:A6958,castles_state!K:K,castles_state!D:D)&amp;"主",IFERROR(_xlfn.XLOOKUP(A2915:A6958,kunishuClan!D:D,kunishuClan!B:B)&amp;"当主","")))</f>
      </c>
    </row>
    <row r="2916" ht="15.75" customHeight="1">
      <c r="A2916" s="4">
        <v>1079008</v>
      </c>
      <c r="B2916" s="12" t="str">
        <f t="array" ref="B2916">IF(A2916:A6959="","",_xlfn.XLOOKUP(A2916:A6959,'参照_武将'!A:A,'参照_武将'!B:B,"見つかりません"))</f>
      </c>
      <c r="C2916" s="4" t="s">
        <v>370</v>
      </c>
      <c r="D2916" s="4">
        <v>79</v>
      </c>
      <c r="E2916" s="12" t="str">
        <f t="array" ref="E2916">IF(D2916:D6959="","",IFERROR(_xlfn.XLOOKUP(D2916:D6959,'参照_勢力'!A:A,'参照_勢力'!B:B),IFERROR(_xlfn.XLOOKUP(F2916:F6959,kunishuClan!A:A,kunishuClan!B:B),"浪人")))</f>
      </c>
      <c r="F2916" s="4">
        <v>0</v>
      </c>
      <c r="G2916" s="4">
        <v>212</v>
      </c>
      <c r="H2916" s="12" t="str">
        <f t="array" ref="H2916">IF(G2916:G6959="","",_xlfn.XLOOKUP(G2916:G6959,castles_state!A:A,castles_state!D:D,"見つかりません"))</f>
      </c>
      <c r="I2916" s="4"/>
      <c r="J2916" s="12" t="str">
        <f t="array" ref="J2916">IF(I2916:I6959="","",_xlfn.XLOOKUP(I2916:I6959,'参照_姫'!A:A,'参照_姫'!B:B,"見つかりません"))</f>
      </c>
      <c r="K2916" s="4">
        <v>85</v>
      </c>
      <c r="L2916" s="4">
        <v>0</v>
      </c>
      <c r="M2916" s="4" t="b">
        <v>1</v>
      </c>
      <c r="N2916" s="4"/>
      <c r="O2916" s="4"/>
      <c r="P2916" s="12" t="str">
        <f t="array" ref="P2916">IF(O2916:O6959="","",_xlfn.XLOOKUP(O2916:O6959,'参照_官位'!A:A,'参照_官位'!B:B,""))</f>
      </c>
      <c r="Q2916" s="12" t="str">
        <f t="array" ref="Q2916">IF(A2916:A6959="","",IFERROR(_xlfn.XLOOKUP(A2916:A6959,castles_state!K:K,castles_state!D:D)&amp;"主",IFERROR(_xlfn.XLOOKUP(A2916:A6959,kunishuClan!D:D,kunishuClan!B:B)&amp;"当主","")))</f>
      </c>
    </row>
    <row r="2917" ht="15.75" customHeight="1">
      <c r="A2917" s="4">
        <v>1079009</v>
      </c>
      <c r="B2917" s="12" t="str">
        <f t="array" ref="B2917">IF(A2917:A6960="","",_xlfn.XLOOKUP(A2917:A6960,'参照_武将'!A:A,'参照_武将'!B:B,"見つかりません"))</f>
      </c>
      <c r="C2917" s="4" t="s">
        <v>370</v>
      </c>
      <c r="D2917" s="4">
        <v>79</v>
      </c>
      <c r="E2917" s="12" t="str">
        <f t="array" ref="E2917">IF(D2917:D6960="","",IFERROR(_xlfn.XLOOKUP(D2917:D6960,'参照_勢力'!A:A,'参照_勢力'!B:B),IFERROR(_xlfn.XLOOKUP(F2917:F6960,kunishuClan!A:A,kunishuClan!B:B),"浪人")))</f>
      </c>
      <c r="F2917" s="4">
        <v>0</v>
      </c>
      <c r="G2917" s="4">
        <v>212</v>
      </c>
      <c r="H2917" s="12" t="str">
        <f t="array" ref="H2917">IF(G2917:G6960="","",_xlfn.XLOOKUP(G2917:G6960,castles_state!A:A,castles_state!D:D,"見つかりません"))</f>
      </c>
      <c r="I2917" s="4"/>
      <c r="J2917" s="12" t="str">
        <f t="array" ref="J2917">IF(I2917:I6960="","",_xlfn.XLOOKUP(I2917:I6960,'参照_姫'!A:A,'参照_姫'!B:B,"見つかりません"))</f>
      </c>
      <c r="K2917" s="4">
        <v>85</v>
      </c>
      <c r="L2917" s="4">
        <v>0</v>
      </c>
      <c r="M2917" s="4"/>
      <c r="N2917" s="4"/>
      <c r="O2917" s="4"/>
      <c r="P2917" s="12" t="str">
        <f t="array" ref="P2917">IF(O2917:O6960="","",_xlfn.XLOOKUP(O2917:O6960,'参照_官位'!A:A,'参照_官位'!B:B,""))</f>
      </c>
      <c r="Q2917" s="12" t="str">
        <f t="array" ref="Q2917">IF(A2917:A6960="","",IFERROR(_xlfn.XLOOKUP(A2917:A6960,castles_state!K:K,castles_state!D:D)&amp;"主",IFERROR(_xlfn.XLOOKUP(A2917:A6960,kunishuClan!D:D,kunishuClan!B:B)&amp;"当主","")))</f>
      </c>
    </row>
    <row r="2918" ht="15.75" customHeight="1">
      <c r="A2918" s="4">
        <v>1079010</v>
      </c>
      <c r="B2918" s="12" t="str">
        <f t="array" ref="B2918">IF(A2918:A6961="","",_xlfn.XLOOKUP(A2918:A6961,'参照_武将'!A:A,'参照_武将'!B:B,"見つかりません"))</f>
      </c>
      <c r="C2918" s="4" t="s">
        <v>370</v>
      </c>
      <c r="D2918" s="4">
        <v>79</v>
      </c>
      <c r="E2918" s="12" t="str">
        <f t="array" ref="E2918">IF(D2918:D6961="","",IFERROR(_xlfn.XLOOKUP(D2918:D6961,'参照_勢力'!A:A,'参照_勢力'!B:B),IFERROR(_xlfn.XLOOKUP(F2918:F6961,kunishuClan!A:A,kunishuClan!B:B),"浪人")))</f>
      </c>
      <c r="F2918" s="4">
        <v>0</v>
      </c>
      <c r="G2918" s="4">
        <v>212</v>
      </c>
      <c r="H2918" s="12" t="str">
        <f t="array" ref="H2918">IF(G2918:G6961="","",_xlfn.XLOOKUP(G2918:G6961,castles_state!A:A,castles_state!D:D,"見つかりません"))</f>
      </c>
      <c r="I2918" s="4"/>
      <c r="J2918" s="12" t="str">
        <f t="array" ref="J2918">IF(I2918:I6961="","",_xlfn.XLOOKUP(I2918:I6961,'参照_姫'!A:A,'参照_姫'!B:B,"見つかりません"))</f>
      </c>
      <c r="K2918" s="4">
        <v>85</v>
      </c>
      <c r="L2918" s="4">
        <v>0</v>
      </c>
      <c r="M2918" s="4"/>
      <c r="N2918" s="4"/>
      <c r="O2918" s="4"/>
      <c r="P2918" s="12" t="str">
        <f t="array" ref="P2918">IF(O2918:O6961="","",_xlfn.XLOOKUP(O2918:O6961,'参照_官位'!A:A,'参照_官位'!B:B,""))</f>
      </c>
      <c r="Q2918" s="12" t="str">
        <f t="array" ref="Q2918">IF(A2918:A6961="","",IFERROR(_xlfn.XLOOKUP(A2918:A6961,castles_state!K:K,castles_state!D:D)&amp;"主",IFERROR(_xlfn.XLOOKUP(A2918:A6961,kunishuClan!D:D,kunishuClan!B:B)&amp;"当主","")))</f>
      </c>
    </row>
    <row r="2919" ht="15.75" customHeight="1">
      <c r="A2919" s="4">
        <v>1079011</v>
      </c>
      <c r="B2919" s="12" t="str">
        <f t="array" ref="B2919">IF(A2919:A6962="","",_xlfn.XLOOKUP(A2919:A6962,'参照_武将'!A:A,'参照_武将'!B:B,"見つかりません"))</f>
      </c>
      <c r="C2919" s="4" t="s">
        <v>370</v>
      </c>
      <c r="D2919" s="4">
        <v>79</v>
      </c>
      <c r="E2919" s="12" t="str">
        <f t="array" ref="E2919">IF(D2919:D6962="","",IFERROR(_xlfn.XLOOKUP(D2919:D6962,'参照_勢力'!A:A,'参照_勢力'!B:B),IFERROR(_xlfn.XLOOKUP(F2919:F6962,kunishuClan!A:A,kunishuClan!B:B),"浪人")))</f>
      </c>
      <c r="F2919" s="4">
        <v>0</v>
      </c>
      <c r="G2919" s="4">
        <v>212</v>
      </c>
      <c r="H2919" s="12" t="str">
        <f t="array" ref="H2919">IF(G2919:G6962="","",_xlfn.XLOOKUP(G2919:G6962,castles_state!A:A,castles_state!D:D,"見つかりません"))</f>
      </c>
      <c r="I2919" s="4"/>
      <c r="J2919" s="12" t="str">
        <f t="array" ref="J2919">IF(I2919:I6962="","",_xlfn.XLOOKUP(I2919:I6962,'参照_姫'!A:A,'参照_姫'!B:B,"見つかりません"))</f>
      </c>
      <c r="K2919" s="4">
        <v>85</v>
      </c>
      <c r="L2919" s="4">
        <v>0</v>
      </c>
      <c r="M2919" s="4"/>
      <c r="N2919" s="4"/>
      <c r="O2919" s="4"/>
      <c r="P2919" s="12" t="str">
        <f t="array" ref="P2919">IF(O2919:O6962="","",_xlfn.XLOOKUP(O2919:O6962,'参照_官位'!A:A,'参照_官位'!B:B,""))</f>
      </c>
      <c r="Q2919" s="12" t="str">
        <f t="array" ref="Q2919">IF(A2919:A6962="","",IFERROR(_xlfn.XLOOKUP(A2919:A6962,castles_state!K:K,castles_state!D:D)&amp;"主",IFERROR(_xlfn.XLOOKUP(A2919:A6962,kunishuClan!D:D,kunishuClan!B:B)&amp;"当主","")))</f>
      </c>
    </row>
    <row r="2920" ht="15.75" customHeight="1">
      <c r="A2920" s="4">
        <v>1079012</v>
      </c>
      <c r="B2920" s="12" t="str">
        <f t="array" ref="B2920">IF(A2920:A6963="","",_xlfn.XLOOKUP(A2920:A6963,'参照_武将'!A:A,'参照_武将'!B:B,"見つかりません"))</f>
      </c>
      <c r="C2920" s="4" t="s">
        <v>370</v>
      </c>
      <c r="D2920" s="4">
        <v>79</v>
      </c>
      <c r="E2920" s="12" t="str">
        <f t="array" ref="E2920">IF(D2920:D6963="","",IFERROR(_xlfn.XLOOKUP(D2920:D6963,'参照_勢力'!A:A,'参照_勢力'!B:B),IFERROR(_xlfn.XLOOKUP(F2920:F6963,kunishuClan!A:A,kunishuClan!B:B),"浪人")))</f>
      </c>
      <c r="F2920" s="4">
        <v>0</v>
      </c>
      <c r="G2920" s="4">
        <v>212</v>
      </c>
      <c r="H2920" s="12" t="str">
        <f t="array" ref="H2920">IF(G2920:G6963="","",_xlfn.XLOOKUP(G2920:G6963,castles_state!A:A,castles_state!D:D,"見つかりません"))</f>
      </c>
      <c r="I2920" s="4"/>
      <c r="J2920" s="12" t="str">
        <f t="array" ref="J2920">IF(I2920:I6963="","",_xlfn.XLOOKUP(I2920:I6963,'参照_姫'!A:A,'参照_姫'!B:B,"見つかりません"))</f>
      </c>
      <c r="K2920" s="4">
        <v>95</v>
      </c>
      <c r="L2920" s="4">
        <v>0</v>
      </c>
      <c r="M2920" s="4"/>
      <c r="N2920" s="4"/>
      <c r="O2920" s="4"/>
      <c r="P2920" s="12" t="str">
        <f t="array" ref="P2920">IF(O2920:O6963="","",_xlfn.XLOOKUP(O2920:O6963,'参照_官位'!A:A,'参照_官位'!B:B,""))</f>
      </c>
      <c r="Q2920" s="12" t="str">
        <f t="array" ref="Q2920">IF(A2920:A6963="","",IFERROR(_xlfn.XLOOKUP(A2920:A6963,castles_state!K:K,castles_state!D:D)&amp;"主",IFERROR(_xlfn.XLOOKUP(A2920:A6963,kunishuClan!D:D,kunishuClan!B:B)&amp;"当主","")))</f>
      </c>
    </row>
    <row r="2921" ht="15.75" customHeight="1">
      <c r="A2921" s="4">
        <v>1079013</v>
      </c>
      <c r="B2921" s="12" t="str">
        <f t="array" ref="B2921">IF(A2921:A6964="","",_xlfn.XLOOKUP(A2921:A6964,'参照_武将'!A:A,'参照_武将'!B:B,"見つかりません"))</f>
      </c>
      <c r="C2921" s="4" t="s">
        <v>370</v>
      </c>
      <c r="D2921" s="4">
        <v>79</v>
      </c>
      <c r="E2921" s="12" t="str">
        <f t="array" ref="E2921">IF(D2921:D6964="","",IFERROR(_xlfn.XLOOKUP(D2921:D6964,'参照_勢力'!A:A,'参照_勢力'!B:B),IFERROR(_xlfn.XLOOKUP(F2921:F6964,kunishuClan!A:A,kunishuClan!B:B),"浪人")))</f>
      </c>
      <c r="F2921" s="4">
        <v>0</v>
      </c>
      <c r="G2921" s="4">
        <v>212</v>
      </c>
      <c r="H2921" s="12" t="str">
        <f t="array" ref="H2921">IF(G2921:G6964="","",_xlfn.XLOOKUP(G2921:G6964,castles_state!A:A,castles_state!D:D,"見つかりません"))</f>
      </c>
      <c r="I2921" s="4"/>
      <c r="J2921" s="12" t="str">
        <f t="array" ref="J2921">IF(I2921:I6964="","",_xlfn.XLOOKUP(I2921:I6964,'参照_姫'!A:A,'参照_姫'!B:B,"見つかりません"))</f>
      </c>
      <c r="K2921" s="4">
        <v>95</v>
      </c>
      <c r="L2921" s="4">
        <v>0</v>
      </c>
      <c r="M2921" s="4"/>
      <c r="N2921" s="4"/>
      <c r="O2921" s="4"/>
      <c r="P2921" s="12" t="str">
        <f t="array" ref="P2921">IF(O2921:O6964="","",_xlfn.XLOOKUP(O2921:O6964,'参照_官位'!A:A,'参照_官位'!B:B,""))</f>
      </c>
      <c r="Q2921" s="12" t="str">
        <f t="array" ref="Q2921">IF(A2921:A6964="","",IFERROR(_xlfn.XLOOKUP(A2921:A6964,castles_state!K:K,castles_state!D:D)&amp;"主",IFERROR(_xlfn.XLOOKUP(A2921:A6964,kunishuClan!D:D,kunishuClan!B:B)&amp;"当主","")))</f>
      </c>
    </row>
    <row r="2922" ht="15.75" customHeight="1">
      <c r="A2922" s="4">
        <v>1079014</v>
      </c>
      <c r="B2922" s="12" t="str">
        <f t="array" ref="B2922">IF(A2922:A6965="","",_xlfn.XLOOKUP(A2922:A6965,'参照_武将'!A:A,'参照_武将'!B:B,"見つかりません"))</f>
      </c>
      <c r="C2922" s="4" t="s">
        <v>397</v>
      </c>
      <c r="D2922" s="4">
        <v>86</v>
      </c>
      <c r="E2922" s="12" t="str">
        <f t="array" ref="E2922">IF(D2922:D6965="","",IFERROR(_xlfn.XLOOKUP(D2922:D6965,'参照_勢力'!A:A,'参照_勢力'!B:B),IFERROR(_xlfn.XLOOKUP(F2922:F6965,kunishuClan!A:A,kunishuClan!B:B),"浪人")))</f>
      </c>
      <c r="F2922" s="4">
        <v>0</v>
      </c>
      <c r="G2922" s="4">
        <v>221</v>
      </c>
      <c r="H2922" s="12" t="str">
        <f t="array" ref="H2922">IF(G2922:G6965="","",_xlfn.XLOOKUP(G2922:G6965,castles_state!A:A,castles_state!D:D,"見つかりません"))</f>
      </c>
      <c r="I2922" s="4"/>
      <c r="J2922" s="12" t="str">
        <f t="array" ref="J2922">IF(I2922:I6965="","",_xlfn.XLOOKUP(I2922:I6965,'参照_姫'!A:A,'参照_姫'!B:B,"見つかりません"))</f>
      </c>
      <c r="K2922" s="4">
        <v>95</v>
      </c>
      <c r="L2922" s="4">
        <v>0</v>
      </c>
      <c r="M2922" s="4"/>
      <c r="N2922" s="4"/>
      <c r="O2922" s="4"/>
      <c r="P2922" s="12" t="str">
        <f t="array" ref="P2922">IF(O2922:O6965="","",_xlfn.XLOOKUP(O2922:O6965,'参照_官位'!A:A,'参照_官位'!B:B,""))</f>
      </c>
      <c r="Q2922" s="12" t="str">
        <f t="array" ref="Q2922">IF(A2922:A6965="","",IFERROR(_xlfn.XLOOKUP(A2922:A6965,castles_state!K:K,castles_state!D:D)&amp;"主",IFERROR(_xlfn.XLOOKUP(A2922:A6965,kunishuClan!D:D,kunishuClan!B:B)&amp;"当主","")))</f>
      </c>
    </row>
    <row r="2923" ht="15.75" customHeight="1">
      <c r="A2923" s="4">
        <v>1079015</v>
      </c>
      <c r="B2923" s="12" t="str">
        <f t="array" ref="B2923">IF(A2923:A6966="","",_xlfn.XLOOKUP(A2923:A6966,'参照_武将'!A:A,'参照_武将'!B:B,"見つかりません"))</f>
      </c>
      <c r="C2923" s="4" t="s">
        <v>397</v>
      </c>
      <c r="D2923" s="4">
        <v>86</v>
      </c>
      <c r="E2923" s="12" t="str">
        <f t="array" ref="E2923">IF(D2923:D6966="","",IFERROR(_xlfn.XLOOKUP(D2923:D6966,'参照_勢力'!A:A,'参照_勢力'!B:B),IFERROR(_xlfn.XLOOKUP(F2923:F6966,kunishuClan!A:A,kunishuClan!B:B),"浪人")))</f>
      </c>
      <c r="F2923" s="4">
        <v>0</v>
      </c>
      <c r="G2923" s="4">
        <v>221</v>
      </c>
      <c r="H2923" s="12" t="str">
        <f t="array" ref="H2923">IF(G2923:G6966="","",_xlfn.XLOOKUP(G2923:G6966,castles_state!A:A,castles_state!D:D,"見つかりません"))</f>
      </c>
      <c r="I2923" s="4"/>
      <c r="J2923" s="12" t="str">
        <f t="array" ref="J2923">IF(I2923:I6966="","",_xlfn.XLOOKUP(I2923:I6966,'参照_姫'!A:A,'参照_姫'!B:B,"見つかりません"))</f>
      </c>
      <c r="K2923" s="4">
        <v>95</v>
      </c>
      <c r="L2923" s="4">
        <v>0</v>
      </c>
      <c r="M2923" s="4"/>
      <c r="N2923" s="4"/>
      <c r="O2923" s="4"/>
      <c r="P2923" s="12" t="str">
        <f t="array" ref="P2923">IF(O2923:O6966="","",_xlfn.XLOOKUP(O2923:O6966,'参照_官位'!A:A,'参照_官位'!B:B,""))</f>
      </c>
      <c r="Q2923" s="12" t="str">
        <f t="array" ref="Q2923">IF(A2923:A6966="","",IFERROR(_xlfn.XLOOKUP(A2923:A6966,castles_state!K:K,castles_state!D:D)&amp;"主",IFERROR(_xlfn.XLOOKUP(A2923:A6966,kunishuClan!D:D,kunishuClan!B:B)&amp;"当主","")))</f>
      </c>
    </row>
    <row r="2924" ht="15.75" customHeight="1">
      <c r="A2924" s="4">
        <v>1080001</v>
      </c>
      <c r="B2924" s="12" t="str">
        <f t="array" ref="B2924">IF(A2924:A6967="","",_xlfn.XLOOKUP(A2924:A6967,'参照_武将'!A:A,'参照_武将'!B:B,"見つかりません"))</f>
      </c>
      <c r="C2924" s="4" t="s">
        <v>374</v>
      </c>
      <c r="D2924" s="4">
        <v>80</v>
      </c>
      <c r="E2924" s="12" t="str">
        <f t="array" ref="E2924">IF(D2924:D6967="","",IFERROR(_xlfn.XLOOKUP(D2924:D6967,'参照_勢力'!A:A,'参照_勢力'!B:B),IFERROR(_xlfn.XLOOKUP(F2924:F6967,kunishuClan!A:A,kunishuClan!B:B),"浪人")))</f>
      </c>
      <c r="F2924" s="4">
        <v>0</v>
      </c>
      <c r="G2924" s="4">
        <v>210</v>
      </c>
      <c r="H2924" s="12" t="str">
        <f t="array" ref="H2924">IF(G2924:G6967="","",_xlfn.XLOOKUP(G2924:G6967,castles_state!A:A,castles_state!D:D,"見つかりません"))</f>
      </c>
      <c r="I2924" s="4"/>
      <c r="J2924" s="12" t="str">
        <f t="array" ref="J2924">IF(I2924:I6967="","",_xlfn.XLOOKUP(I2924:I6967,'参照_姫'!A:A,'参照_姫'!B:B,"見つかりません"))</f>
      </c>
      <c r="K2924" s="4">
        <v>95</v>
      </c>
      <c r="L2924" s="4">
        <v>0</v>
      </c>
      <c r="M2924" s="4"/>
      <c r="N2924" s="4"/>
      <c r="O2924" s="4"/>
      <c r="P2924" s="12" t="str">
        <f t="array" ref="P2924">IF(O2924:O6967="","",_xlfn.XLOOKUP(O2924:O6967,'参照_官位'!A:A,'参照_官位'!B:B,""))</f>
      </c>
      <c r="Q2924" s="12" t="str">
        <f t="array" ref="Q2924">IF(A2924:A6967="","",IFERROR(_xlfn.XLOOKUP(A2924:A6967,castles_state!K:K,castles_state!D:D)&amp;"主",IFERROR(_xlfn.XLOOKUP(A2924:A6967,kunishuClan!D:D,kunishuClan!B:B)&amp;"当主","")))</f>
      </c>
    </row>
    <row r="2925" ht="15.75" customHeight="1">
      <c r="A2925" s="4">
        <v>1080002</v>
      </c>
      <c r="B2925" s="12" t="str">
        <f t="array" ref="B2925">IF(A2925:A6968="","",_xlfn.XLOOKUP(A2925:A6968,'参照_武将'!A:A,'参照_武将'!B:B,"見つかりません"))</f>
      </c>
      <c r="C2925" s="4" t="s">
        <v>374</v>
      </c>
      <c r="D2925" s="4">
        <v>80</v>
      </c>
      <c r="E2925" s="12" t="str">
        <f t="array" ref="E2925">IF(D2925:D6968="","",IFERROR(_xlfn.XLOOKUP(D2925:D6968,'参照_勢力'!A:A,'参照_勢力'!B:B),IFERROR(_xlfn.XLOOKUP(F2925:F6968,kunishuClan!A:A,kunishuClan!B:B),"浪人")))</f>
      </c>
      <c r="F2925" s="4">
        <v>0</v>
      </c>
      <c r="G2925" s="4">
        <v>210</v>
      </c>
      <c r="H2925" s="12" t="str">
        <f t="array" ref="H2925">IF(G2925:G6968="","",_xlfn.XLOOKUP(G2925:G6968,castles_state!A:A,castles_state!D:D,"見つかりません"))</f>
      </c>
      <c r="I2925" s="4"/>
      <c r="J2925" s="12" t="str">
        <f t="array" ref="J2925">IF(I2925:I6968="","",_xlfn.XLOOKUP(I2925:I6968,'参照_姫'!A:A,'参照_姫'!B:B,"見つかりません"))</f>
      </c>
      <c r="K2925" s="4">
        <v>95</v>
      </c>
      <c r="L2925" s="4">
        <v>0</v>
      </c>
      <c r="M2925" s="4"/>
      <c r="N2925" s="4"/>
      <c r="O2925" s="4"/>
      <c r="P2925" s="12" t="str">
        <f t="array" ref="P2925">IF(O2925:O6968="","",_xlfn.XLOOKUP(O2925:O6968,'参照_官位'!A:A,'参照_官位'!B:B,""))</f>
      </c>
      <c r="Q2925" s="12" t="str">
        <f t="array" ref="Q2925">IF(A2925:A6968="","",IFERROR(_xlfn.XLOOKUP(A2925:A6968,castles_state!K:K,castles_state!D:D)&amp;"主",IFERROR(_xlfn.XLOOKUP(A2925:A6968,kunishuClan!D:D,kunishuClan!B:B)&amp;"当主","")))</f>
      </c>
    </row>
    <row r="2926" ht="15.75" customHeight="1">
      <c r="A2926" s="4">
        <v>1080003</v>
      </c>
      <c r="B2926" s="12" t="str">
        <f t="array" ref="B2926">IF(A2926:A6969="","",_xlfn.XLOOKUP(A2926:A6969,'参照_武将'!A:A,'参照_武将'!B:B,"見つかりません"))</f>
      </c>
      <c r="C2926" s="4" t="s">
        <v>374</v>
      </c>
      <c r="D2926" s="4">
        <v>80</v>
      </c>
      <c r="E2926" s="12" t="str">
        <f t="array" ref="E2926">IF(D2926:D6969="","",IFERROR(_xlfn.XLOOKUP(D2926:D6969,'参照_勢力'!A:A,'参照_勢力'!B:B),IFERROR(_xlfn.XLOOKUP(F2926:F6969,kunishuClan!A:A,kunishuClan!B:B),"浪人")))</f>
      </c>
      <c r="F2926" s="4">
        <v>0</v>
      </c>
      <c r="G2926" s="4">
        <v>210</v>
      </c>
      <c r="H2926" s="12" t="str">
        <f t="array" ref="H2926">IF(G2926:G6969="","",_xlfn.XLOOKUP(G2926:G6969,castles_state!A:A,castles_state!D:D,"見つかりません"))</f>
      </c>
      <c r="I2926" s="4"/>
      <c r="J2926" s="12" t="str">
        <f t="array" ref="J2926">IF(I2926:I6969="","",_xlfn.XLOOKUP(I2926:I6969,'参照_姫'!A:A,'参照_姫'!B:B,"見つかりません"))</f>
      </c>
      <c r="K2926" s="4">
        <v>95</v>
      </c>
      <c r="L2926" s="4">
        <v>0</v>
      </c>
      <c r="M2926" s="4"/>
      <c r="N2926" s="4"/>
      <c r="O2926" s="4"/>
      <c r="P2926" s="12" t="str">
        <f t="array" ref="P2926">IF(O2926:O6969="","",_xlfn.XLOOKUP(O2926:O6969,'参照_官位'!A:A,'参照_官位'!B:B,""))</f>
      </c>
      <c r="Q2926" s="12" t="str">
        <f t="array" ref="Q2926">IF(A2926:A6969="","",IFERROR(_xlfn.XLOOKUP(A2926:A6969,castles_state!K:K,castles_state!D:D)&amp;"主",IFERROR(_xlfn.XLOOKUP(A2926:A6969,kunishuClan!D:D,kunishuClan!B:B)&amp;"当主","")))</f>
      </c>
    </row>
    <row r="2927" ht="15.75" customHeight="1">
      <c r="A2927" s="4">
        <v>1080004</v>
      </c>
      <c r="B2927" s="12" t="str">
        <f t="array" ref="B2927">IF(A2927:A6970="","",_xlfn.XLOOKUP(A2927:A6970,'参照_武将'!A:A,'参照_武将'!B:B,"見つかりません"))</f>
      </c>
      <c r="C2927" s="4" t="s">
        <v>374</v>
      </c>
      <c r="D2927" s="4">
        <v>80</v>
      </c>
      <c r="E2927" s="12" t="str">
        <f t="array" ref="E2927">IF(D2927:D6970="","",IFERROR(_xlfn.XLOOKUP(D2927:D6970,'参照_勢力'!A:A,'参照_勢力'!B:B),IFERROR(_xlfn.XLOOKUP(F2927:F6970,kunishuClan!A:A,kunishuClan!B:B),"浪人")))</f>
      </c>
      <c r="F2927" s="4">
        <v>0</v>
      </c>
      <c r="G2927" s="4">
        <v>210</v>
      </c>
      <c r="H2927" s="12" t="str">
        <f t="array" ref="H2927">IF(G2927:G6970="","",_xlfn.XLOOKUP(G2927:G6970,castles_state!A:A,castles_state!D:D,"見つかりません"))</f>
      </c>
      <c r="I2927" s="4"/>
      <c r="J2927" s="12" t="str">
        <f t="array" ref="J2927">IF(I2927:I6970="","",_xlfn.XLOOKUP(I2927:I6970,'参照_姫'!A:A,'参照_姫'!B:B,"見つかりません"))</f>
      </c>
      <c r="K2927" s="4">
        <v>95</v>
      </c>
      <c r="L2927" s="4">
        <v>0</v>
      </c>
      <c r="M2927" s="4"/>
      <c r="N2927" s="4"/>
      <c r="O2927" s="4"/>
      <c r="P2927" s="12" t="str">
        <f t="array" ref="P2927">IF(O2927:O6970="","",_xlfn.XLOOKUP(O2927:O6970,'参照_官位'!A:A,'参照_官位'!B:B,""))</f>
      </c>
      <c r="Q2927" s="12" t="str">
        <f t="array" ref="Q2927">IF(A2927:A6970="","",IFERROR(_xlfn.XLOOKUP(A2927:A6970,castles_state!K:K,castles_state!D:D)&amp;"主",IFERROR(_xlfn.XLOOKUP(A2927:A6970,kunishuClan!D:D,kunishuClan!B:B)&amp;"当主","")))</f>
      </c>
    </row>
    <row r="2928" ht="15.75" customHeight="1">
      <c r="A2928" s="4">
        <v>1080005</v>
      </c>
      <c r="B2928" s="12" t="str">
        <f t="array" ref="B2928">IF(A2928:A6971="","",_xlfn.XLOOKUP(A2928:A6971,'参照_武将'!A:A,'参照_武将'!B:B,"見つかりません"))</f>
      </c>
      <c r="C2928" s="4" t="s">
        <v>374</v>
      </c>
      <c r="D2928" s="4">
        <v>80</v>
      </c>
      <c r="E2928" s="12" t="str">
        <f t="array" ref="E2928">IF(D2928:D6971="","",IFERROR(_xlfn.XLOOKUP(D2928:D6971,'参照_勢力'!A:A,'参照_勢力'!B:B),IFERROR(_xlfn.XLOOKUP(F2928:F6971,kunishuClan!A:A,kunishuClan!B:B),"浪人")))</f>
      </c>
      <c r="F2928" s="4">
        <v>0</v>
      </c>
      <c r="G2928" s="4">
        <v>210</v>
      </c>
      <c r="H2928" s="12" t="str">
        <f t="array" ref="H2928">IF(G2928:G6971="","",_xlfn.XLOOKUP(G2928:G6971,castles_state!A:A,castles_state!D:D,"見つかりません"))</f>
      </c>
      <c r="I2928" s="4"/>
      <c r="J2928" s="12" t="str">
        <f t="array" ref="J2928">IF(I2928:I6971="","",_xlfn.XLOOKUP(I2928:I6971,'参照_姫'!A:A,'参照_姫'!B:B,"見つかりません"))</f>
      </c>
      <c r="K2928" s="4">
        <v>95</v>
      </c>
      <c r="L2928" s="4">
        <v>0</v>
      </c>
      <c r="M2928" s="4"/>
      <c r="N2928" s="4"/>
      <c r="O2928" s="4"/>
      <c r="P2928" s="12" t="str">
        <f t="array" ref="P2928">IF(O2928:O6971="","",_xlfn.XLOOKUP(O2928:O6971,'参照_官位'!A:A,'参照_官位'!B:B,""))</f>
      </c>
      <c r="Q2928" s="12" t="str">
        <f t="array" ref="Q2928">IF(A2928:A6971="","",IFERROR(_xlfn.XLOOKUP(A2928:A6971,castles_state!K:K,castles_state!D:D)&amp;"主",IFERROR(_xlfn.XLOOKUP(A2928:A6971,kunishuClan!D:D,kunishuClan!B:B)&amp;"当主","")))</f>
      </c>
    </row>
    <row r="2929" ht="15.75" customHeight="1">
      <c r="A2929" s="4">
        <v>1080006</v>
      </c>
      <c r="B2929" s="12" t="str">
        <f t="array" ref="B2929">IF(A2929:A6972="","",_xlfn.XLOOKUP(A2929:A6972,'参照_武将'!A:A,'参照_武将'!B:B,"見つかりません"))</f>
      </c>
      <c r="C2929" s="4" t="s">
        <v>374</v>
      </c>
      <c r="D2929" s="4">
        <v>80</v>
      </c>
      <c r="E2929" s="12" t="str">
        <f t="array" ref="E2929">IF(D2929:D6972="","",IFERROR(_xlfn.XLOOKUP(D2929:D6972,'参照_勢力'!A:A,'参照_勢力'!B:B),IFERROR(_xlfn.XLOOKUP(F2929:F6972,kunishuClan!A:A,kunishuClan!B:B),"浪人")))</f>
      </c>
      <c r="F2929" s="4">
        <v>0</v>
      </c>
      <c r="G2929" s="4">
        <v>210</v>
      </c>
      <c r="H2929" s="12" t="str">
        <f t="array" ref="H2929">IF(G2929:G6972="","",_xlfn.XLOOKUP(G2929:G6972,castles_state!A:A,castles_state!D:D,"見つかりません"))</f>
      </c>
      <c r="I2929" s="4"/>
      <c r="J2929" s="12" t="str">
        <f t="array" ref="J2929">IF(I2929:I6972="","",_xlfn.XLOOKUP(I2929:I6972,'参照_姫'!A:A,'参照_姫'!B:B,"見つかりません"))</f>
      </c>
      <c r="K2929" s="4">
        <v>100</v>
      </c>
      <c r="L2929" s="4">
        <v>1000</v>
      </c>
      <c r="M2929" s="4"/>
      <c r="N2929" s="4"/>
      <c r="O2929" s="4"/>
      <c r="P2929" s="12" t="str">
        <f t="array" ref="P2929">IF(O2929:O6972="","",_xlfn.XLOOKUP(O2929:O6972,'参照_官位'!A:A,'参照_官位'!B:B,""))</f>
      </c>
      <c r="Q2929" s="12" t="str">
        <f t="array" ref="Q2929">IF(A2929:A6972="","",IFERROR(_xlfn.XLOOKUP(A2929:A6972,castles_state!K:K,castles_state!D:D)&amp;"主",IFERROR(_xlfn.XLOOKUP(A2929:A6972,kunishuClan!D:D,kunishuClan!B:B)&amp;"当主","")))</f>
      </c>
    </row>
    <row r="2930" ht="15.75" customHeight="1">
      <c r="A2930" s="4">
        <v>1080007</v>
      </c>
      <c r="B2930" s="12" t="str">
        <f t="array" ref="B2930">IF(A2930:A6973="","",_xlfn.XLOOKUP(A2930:A6973,'参照_武将'!A:A,'参照_武将'!B:B,"見つかりません"))</f>
      </c>
      <c r="C2930" s="4" t="s">
        <v>374</v>
      </c>
      <c r="D2930" s="4">
        <v>80</v>
      </c>
      <c r="E2930" s="12" t="str">
        <f t="array" ref="E2930">IF(D2930:D6973="","",IFERROR(_xlfn.XLOOKUP(D2930:D6973,'参照_勢力'!A:A,'参照_勢力'!B:B),IFERROR(_xlfn.XLOOKUP(F2930:F6973,kunishuClan!A:A,kunishuClan!B:B),"浪人")))</f>
      </c>
      <c r="F2930" s="4">
        <v>0</v>
      </c>
      <c r="G2930" s="4">
        <v>210</v>
      </c>
      <c r="H2930" s="12" t="str">
        <f t="array" ref="H2930">IF(G2930:G6973="","",_xlfn.XLOOKUP(G2930:G6973,castles_state!A:A,castles_state!D:D,"見つかりません"))</f>
      </c>
      <c r="I2930" s="4"/>
      <c r="J2930" s="12" t="str">
        <f t="array" ref="J2930">IF(I2930:I6973="","",_xlfn.XLOOKUP(I2930:I6973,'参照_姫'!A:A,'参照_姫'!B:B,"見つかりません"))</f>
      </c>
      <c r="K2930" s="4">
        <v>100</v>
      </c>
      <c r="L2930" s="4">
        <v>1000</v>
      </c>
      <c r="M2930" s="4"/>
      <c r="N2930" s="4"/>
      <c r="O2930" s="4"/>
      <c r="P2930" s="12" t="str">
        <f t="array" ref="P2930">IF(O2930:O6973="","",_xlfn.XLOOKUP(O2930:O6973,'参照_官位'!A:A,'参照_官位'!B:B,""))</f>
      </c>
      <c r="Q2930" s="12" t="str">
        <f t="array" ref="Q2930">IF(A2930:A6973="","",IFERROR(_xlfn.XLOOKUP(A2930:A6973,castles_state!K:K,castles_state!D:D)&amp;"主",IFERROR(_xlfn.XLOOKUP(A2930:A6973,kunishuClan!D:D,kunishuClan!B:B)&amp;"当主","")))</f>
      </c>
    </row>
    <row r="2931" ht="15.75" customHeight="1">
      <c r="A2931" s="4">
        <v>1080008</v>
      </c>
      <c r="B2931" s="12" t="str">
        <f t="array" ref="B2931">IF(A2931:A6974="","",_xlfn.XLOOKUP(A2931:A6974,'参照_武将'!A:A,'参照_武将'!B:B,"見つかりません"))</f>
      </c>
      <c r="C2931" s="4" t="s">
        <v>374</v>
      </c>
      <c r="D2931" s="4">
        <v>80</v>
      </c>
      <c r="E2931" s="12" t="str">
        <f t="array" ref="E2931">IF(D2931:D6974="","",IFERROR(_xlfn.XLOOKUP(D2931:D6974,'参照_勢力'!A:A,'参照_勢力'!B:B),IFERROR(_xlfn.XLOOKUP(F2931:F6974,kunishuClan!A:A,kunishuClan!B:B),"浪人")))</f>
      </c>
      <c r="F2931" s="4">
        <v>0</v>
      </c>
      <c r="G2931" s="4">
        <v>210</v>
      </c>
      <c r="H2931" s="12" t="str">
        <f t="array" ref="H2931">IF(G2931:G6974="","",_xlfn.XLOOKUP(G2931:G6974,castles_state!A:A,castles_state!D:D,"見つかりません"))</f>
      </c>
      <c r="I2931" s="4"/>
      <c r="J2931" s="12" t="str">
        <f t="array" ref="J2931">IF(I2931:I6974="","",_xlfn.XLOOKUP(I2931:I6974,'参照_姫'!A:A,'参照_姫'!B:B,"見つかりません"))</f>
      </c>
      <c r="K2931" s="4">
        <v>95</v>
      </c>
      <c r="L2931" s="4">
        <v>0</v>
      </c>
      <c r="M2931" s="4"/>
      <c r="N2931" s="4"/>
      <c r="O2931" s="4"/>
      <c r="P2931" s="12" t="str">
        <f t="array" ref="P2931">IF(O2931:O6974="","",_xlfn.XLOOKUP(O2931:O6974,'参照_官位'!A:A,'参照_官位'!B:B,""))</f>
      </c>
      <c r="Q2931" s="12" t="str">
        <f t="array" ref="Q2931">IF(A2931:A6974="","",IFERROR(_xlfn.XLOOKUP(A2931:A6974,castles_state!K:K,castles_state!D:D)&amp;"主",IFERROR(_xlfn.XLOOKUP(A2931:A6974,kunishuClan!D:D,kunishuClan!B:B)&amp;"当主","")))</f>
      </c>
    </row>
    <row r="2932" ht="15.75" customHeight="1">
      <c r="A2932" s="4">
        <v>1080009</v>
      </c>
      <c r="B2932" s="12" t="str">
        <f t="array" ref="B2932">IF(A2932:A6975="","",_xlfn.XLOOKUP(A2932:A6975,'参照_武将'!A:A,'参照_武将'!B:B,"見つかりません"))</f>
      </c>
      <c r="C2932" s="4" t="s">
        <v>374</v>
      </c>
      <c r="D2932" s="4">
        <v>80</v>
      </c>
      <c r="E2932" s="12" t="str">
        <f t="array" ref="E2932">IF(D2932:D6975="","",IFERROR(_xlfn.XLOOKUP(D2932:D6975,'参照_勢力'!A:A,'参照_勢力'!B:B),IFERROR(_xlfn.XLOOKUP(F2932:F6975,kunishuClan!A:A,kunishuClan!B:B),"浪人")))</f>
      </c>
      <c r="F2932" s="4">
        <v>0</v>
      </c>
      <c r="G2932" s="4">
        <v>210</v>
      </c>
      <c r="H2932" s="12" t="str">
        <f t="array" ref="H2932">IF(G2932:G6975="","",_xlfn.XLOOKUP(G2932:G6975,castles_state!A:A,castles_state!D:D,"見つかりません"))</f>
      </c>
      <c r="I2932" s="4"/>
      <c r="J2932" s="12" t="str">
        <f t="array" ref="J2932">IF(I2932:I6975="","",_xlfn.XLOOKUP(I2932:I6975,'参照_姫'!A:A,'参照_姫'!B:B,"見つかりません"))</f>
      </c>
      <c r="K2932" s="4">
        <v>95</v>
      </c>
      <c r="L2932" s="4">
        <v>0</v>
      </c>
      <c r="M2932" s="4"/>
      <c r="N2932" s="4"/>
      <c r="O2932" s="4"/>
      <c r="P2932" s="12" t="str">
        <f t="array" ref="P2932">IF(O2932:O6975="","",_xlfn.XLOOKUP(O2932:O6975,'参照_官位'!A:A,'参照_官位'!B:B,""))</f>
      </c>
      <c r="Q2932" s="12" t="str">
        <f t="array" ref="Q2932">IF(A2932:A6975="","",IFERROR(_xlfn.XLOOKUP(A2932:A6975,castles_state!K:K,castles_state!D:D)&amp;"主",IFERROR(_xlfn.XLOOKUP(A2932:A6975,kunishuClan!D:D,kunishuClan!B:B)&amp;"当主","")))</f>
      </c>
    </row>
    <row r="2933" ht="15.75" customHeight="1">
      <c r="A2933" s="4">
        <v>1080010</v>
      </c>
      <c r="B2933" s="12" t="str">
        <f t="array" ref="B2933">IF(A2933:A6976="","",_xlfn.XLOOKUP(A2933:A6976,'参照_武将'!A:A,'参照_武将'!B:B,"見つかりません"))</f>
      </c>
      <c r="C2933" s="4" t="s">
        <v>374</v>
      </c>
      <c r="D2933" s="4">
        <v>80</v>
      </c>
      <c r="E2933" s="12" t="str">
        <f t="array" ref="E2933">IF(D2933:D6976="","",IFERROR(_xlfn.XLOOKUP(D2933:D6976,'参照_勢力'!A:A,'参照_勢力'!B:B),IFERROR(_xlfn.XLOOKUP(F2933:F6976,kunishuClan!A:A,kunishuClan!B:B),"浪人")))</f>
      </c>
      <c r="F2933" s="4">
        <v>0</v>
      </c>
      <c r="G2933" s="4">
        <v>210</v>
      </c>
      <c r="H2933" s="12" t="str">
        <f t="array" ref="H2933">IF(G2933:G6976="","",_xlfn.XLOOKUP(G2933:G6976,castles_state!A:A,castles_state!D:D,"見つかりません"))</f>
      </c>
      <c r="I2933" s="4"/>
      <c r="J2933" s="12" t="str">
        <f t="array" ref="J2933">IF(I2933:I6976="","",_xlfn.XLOOKUP(I2933:I6976,'参照_姫'!A:A,'参照_姫'!B:B,"見つかりません"))</f>
      </c>
      <c r="K2933" s="4">
        <v>95</v>
      </c>
      <c r="L2933" s="4">
        <v>0</v>
      </c>
      <c r="M2933" s="4"/>
      <c r="N2933" s="4"/>
      <c r="O2933" s="4"/>
      <c r="P2933" s="12" t="str">
        <f t="array" ref="P2933">IF(O2933:O6976="","",_xlfn.XLOOKUP(O2933:O6976,'参照_官位'!A:A,'参照_官位'!B:B,""))</f>
      </c>
      <c r="Q2933" s="12" t="str">
        <f t="array" ref="Q2933">IF(A2933:A6976="","",IFERROR(_xlfn.XLOOKUP(A2933:A6976,castles_state!K:K,castles_state!D:D)&amp;"主",IFERROR(_xlfn.XLOOKUP(A2933:A6976,kunishuClan!D:D,kunishuClan!B:B)&amp;"当主","")))</f>
      </c>
    </row>
    <row r="2934" ht="15.75" customHeight="1">
      <c r="A2934" s="4">
        <v>1080011</v>
      </c>
      <c r="B2934" s="12" t="str">
        <f t="array" ref="B2934">IF(A2934:A6977="","",_xlfn.XLOOKUP(A2934:A6977,'参照_武将'!A:A,'参照_武将'!B:B,"見つかりません"))</f>
      </c>
      <c r="C2934" s="4" t="s">
        <v>374</v>
      </c>
      <c r="D2934" s="4">
        <v>80</v>
      </c>
      <c r="E2934" s="12" t="str">
        <f t="array" ref="E2934">IF(D2934:D6977="","",IFERROR(_xlfn.XLOOKUP(D2934:D6977,'参照_勢力'!A:A,'参照_勢力'!B:B),IFERROR(_xlfn.XLOOKUP(F2934:F6977,kunishuClan!A:A,kunishuClan!B:B),"浪人")))</f>
      </c>
      <c r="F2934" s="4">
        <v>0</v>
      </c>
      <c r="G2934" s="4">
        <v>210</v>
      </c>
      <c r="H2934" s="12" t="str">
        <f t="array" ref="H2934">IF(G2934:G6977="","",_xlfn.XLOOKUP(G2934:G6977,castles_state!A:A,castles_state!D:D,"見つかりません"))</f>
      </c>
      <c r="I2934" s="4"/>
      <c r="J2934" s="12" t="str">
        <f t="array" ref="J2934">IF(I2934:I6977="","",_xlfn.XLOOKUP(I2934:I6977,'参照_姫'!A:A,'参照_姫'!B:B,"見つかりません"))</f>
      </c>
      <c r="K2934" s="4">
        <v>95</v>
      </c>
      <c r="L2934" s="4">
        <v>0</v>
      </c>
      <c r="M2934" s="4"/>
      <c r="N2934" s="4"/>
      <c r="O2934" s="4"/>
      <c r="P2934" s="12" t="str">
        <f t="array" ref="P2934">IF(O2934:O6977="","",_xlfn.XLOOKUP(O2934:O6977,'参照_官位'!A:A,'参照_官位'!B:B,""))</f>
      </c>
      <c r="Q2934" s="12" t="str">
        <f t="array" ref="Q2934">IF(A2934:A6977="","",IFERROR(_xlfn.XLOOKUP(A2934:A6977,castles_state!K:K,castles_state!D:D)&amp;"主",IFERROR(_xlfn.XLOOKUP(A2934:A6977,kunishuClan!D:D,kunishuClan!B:B)&amp;"当主","")))</f>
      </c>
    </row>
    <row r="2935" ht="15.75" customHeight="1">
      <c r="A2935" s="4">
        <v>1080012</v>
      </c>
      <c r="B2935" s="12" t="str">
        <f t="array" ref="B2935">IF(A2935:A6978="","",_xlfn.XLOOKUP(A2935:A6978,'参照_武将'!A:A,'参照_武将'!B:B,"見つかりません"))</f>
      </c>
      <c r="C2935" s="4" t="s">
        <v>192</v>
      </c>
      <c r="D2935" s="4">
        <v>32</v>
      </c>
      <c r="E2935" s="12" t="str">
        <f t="array" ref="E2935">IF(D2935:D6978="","",IFERROR(_xlfn.XLOOKUP(D2935:D6978,'参照_勢力'!A:A,'参照_勢力'!B:B),IFERROR(_xlfn.XLOOKUP(F2935:F6978,kunishuClan!A:A,kunishuClan!B:B),"浪人")))</f>
      </c>
      <c r="F2935" s="4">
        <v>0</v>
      </c>
      <c r="G2935" s="4">
        <v>59</v>
      </c>
      <c r="H2935" s="12" t="str">
        <f t="array" ref="H2935">IF(G2935:G6978="","",_xlfn.XLOOKUP(G2935:G6978,castles_state!A:A,castles_state!D:D,"見つかりません"))</f>
      </c>
      <c r="I2935" s="4"/>
      <c r="J2935" s="12" t="str">
        <f t="array" ref="J2935">IF(I2935:I6978="","",_xlfn.XLOOKUP(I2935:I6978,'参照_姫'!A:A,'参照_姫'!B:B,"見つかりません"))</f>
      </c>
      <c r="K2935" s="4">
        <v>95</v>
      </c>
      <c r="L2935" s="4">
        <v>0</v>
      </c>
      <c r="M2935" s="4"/>
      <c r="N2935" s="4"/>
      <c r="O2935" s="4"/>
      <c r="P2935" s="12" t="str">
        <f t="array" ref="P2935">IF(O2935:O6978="","",_xlfn.XLOOKUP(O2935:O6978,'参照_官位'!A:A,'参照_官位'!B:B,""))</f>
      </c>
      <c r="Q2935" s="12" t="str">
        <f t="array" ref="Q2935">IF(A2935:A6978="","",IFERROR(_xlfn.XLOOKUP(A2935:A6978,castles_state!K:K,castles_state!D:D)&amp;"主",IFERROR(_xlfn.XLOOKUP(A2935:A6978,kunishuClan!D:D,kunishuClan!B:B)&amp;"当主","")))</f>
      </c>
    </row>
    <row r="2936" ht="15.75" customHeight="1">
      <c r="A2936" s="4">
        <v>1080013</v>
      </c>
      <c r="B2936" s="12" t="str">
        <f t="array" ref="B2936">IF(A2936:A6979="","",_xlfn.XLOOKUP(A2936:A6979,'参照_武将'!A:A,'参照_武将'!B:B,"見つかりません"))</f>
      </c>
      <c r="C2936" s="4" t="s">
        <v>192</v>
      </c>
      <c r="D2936" s="4">
        <v>32</v>
      </c>
      <c r="E2936" s="12" t="str">
        <f t="array" ref="E2936">IF(D2936:D6979="","",IFERROR(_xlfn.XLOOKUP(D2936:D6979,'参照_勢力'!A:A,'参照_勢力'!B:B),IFERROR(_xlfn.XLOOKUP(F2936:F6979,kunishuClan!A:A,kunishuClan!B:B),"浪人")))</f>
      </c>
      <c r="F2936" s="4">
        <v>0</v>
      </c>
      <c r="G2936" s="4">
        <v>59</v>
      </c>
      <c r="H2936" s="12" t="str">
        <f t="array" ref="H2936">IF(G2936:G6979="","",_xlfn.XLOOKUP(G2936:G6979,castles_state!A:A,castles_state!D:D,"見つかりません"))</f>
      </c>
      <c r="I2936" s="4"/>
      <c r="J2936" s="12" t="str">
        <f t="array" ref="J2936">IF(I2936:I6979="","",_xlfn.XLOOKUP(I2936:I6979,'参照_姫'!A:A,'参照_姫'!B:B,"見つかりません"))</f>
      </c>
      <c r="K2936" s="4">
        <v>95</v>
      </c>
      <c r="L2936" s="4">
        <v>0</v>
      </c>
      <c r="M2936" s="4"/>
      <c r="N2936" s="4"/>
      <c r="O2936" s="4"/>
      <c r="P2936" s="12" t="str">
        <f t="array" ref="P2936">IF(O2936:O6979="","",_xlfn.XLOOKUP(O2936:O6979,'参照_官位'!A:A,'参照_官位'!B:B,""))</f>
      </c>
      <c r="Q2936" s="12" t="str">
        <f t="array" ref="Q2936">IF(A2936:A6979="","",IFERROR(_xlfn.XLOOKUP(A2936:A6979,castles_state!K:K,castles_state!D:D)&amp;"主",IFERROR(_xlfn.XLOOKUP(A2936:A6979,kunishuClan!D:D,kunishuClan!B:B)&amp;"当主","")))</f>
      </c>
    </row>
    <row r="2937" ht="15.75" customHeight="1">
      <c r="A2937" s="4">
        <v>1080014</v>
      </c>
      <c r="B2937" s="12" t="str">
        <f t="array" ref="B2937">IF(A2937:A6980="","",_xlfn.XLOOKUP(A2937:A6980,'参照_武将'!A:A,'参照_武将'!B:B,"見つかりません"))</f>
      </c>
      <c r="C2937" s="4" t="s">
        <v>192</v>
      </c>
      <c r="D2937" s="4">
        <v>32</v>
      </c>
      <c r="E2937" s="12" t="str">
        <f t="array" ref="E2937">IF(D2937:D6980="","",IFERROR(_xlfn.XLOOKUP(D2937:D6980,'参照_勢力'!A:A,'参照_勢力'!B:B),IFERROR(_xlfn.XLOOKUP(F2937:F6980,kunishuClan!A:A,kunishuClan!B:B),"浪人")))</f>
      </c>
      <c r="F2937" s="4">
        <v>0</v>
      </c>
      <c r="G2937" s="4">
        <v>59</v>
      </c>
      <c r="H2937" s="12" t="str">
        <f t="array" ref="H2937">IF(G2937:G6980="","",_xlfn.XLOOKUP(G2937:G6980,castles_state!A:A,castles_state!D:D,"見つかりません"))</f>
      </c>
      <c r="I2937" s="4"/>
      <c r="J2937" s="12" t="str">
        <f t="array" ref="J2937">IF(I2937:I6980="","",_xlfn.XLOOKUP(I2937:I6980,'参照_姫'!A:A,'参照_姫'!B:B,"見つかりません"))</f>
      </c>
      <c r="K2937" s="4">
        <v>95</v>
      </c>
      <c r="L2937" s="4">
        <v>0</v>
      </c>
      <c r="M2937" s="4"/>
      <c r="N2937" s="4"/>
      <c r="O2937" s="4"/>
      <c r="P2937" s="12" t="str">
        <f t="array" ref="P2937">IF(O2937:O6980="","",_xlfn.XLOOKUP(O2937:O6980,'参照_官位'!A:A,'参照_官位'!B:B,""))</f>
      </c>
      <c r="Q2937" s="12" t="str">
        <f t="array" ref="Q2937">IF(A2937:A6980="","",IFERROR(_xlfn.XLOOKUP(A2937:A6980,castles_state!K:K,castles_state!D:D)&amp;"主",IFERROR(_xlfn.XLOOKUP(A2937:A6980,kunishuClan!D:D,kunishuClan!B:B)&amp;"当主","")))</f>
      </c>
    </row>
    <row r="2938" ht="15.75" customHeight="1">
      <c r="A2938" s="4">
        <v>1080015</v>
      </c>
      <c r="B2938" s="12" t="str">
        <f t="array" ref="B2938">IF(A2938:A6981="","",_xlfn.XLOOKUP(A2938:A6981,'参照_武将'!A:A,'参照_武将'!B:B,"見つかりません"))</f>
      </c>
      <c r="C2938" s="4" t="s">
        <v>374</v>
      </c>
      <c r="D2938" s="4">
        <v>80</v>
      </c>
      <c r="E2938" s="12" t="str">
        <f t="array" ref="E2938">IF(D2938:D6981="","",IFERROR(_xlfn.XLOOKUP(D2938:D6981,'参照_勢力'!A:A,'参照_勢力'!B:B),IFERROR(_xlfn.XLOOKUP(F2938:F6981,kunishuClan!A:A,kunishuClan!B:B),"浪人")))</f>
      </c>
      <c r="F2938" s="4">
        <v>0</v>
      </c>
      <c r="G2938" s="4">
        <v>210</v>
      </c>
      <c r="H2938" s="12" t="str">
        <f t="array" ref="H2938">IF(G2938:G6981="","",_xlfn.XLOOKUP(G2938:G6981,castles_state!A:A,castles_state!D:D,"見つかりません"))</f>
      </c>
      <c r="I2938" s="4"/>
      <c r="J2938" s="12" t="str">
        <f t="array" ref="J2938">IF(I2938:I6981="","",_xlfn.XLOOKUP(I2938:I6981,'参照_姫'!A:A,'参照_姫'!B:B,"見つかりません"))</f>
      </c>
      <c r="K2938" s="4">
        <v>95</v>
      </c>
      <c r="L2938" s="4">
        <v>0</v>
      </c>
      <c r="M2938" s="4"/>
      <c r="N2938" s="4"/>
      <c r="O2938" s="4"/>
      <c r="P2938" s="12" t="str">
        <f t="array" ref="P2938">IF(O2938:O6981="","",_xlfn.XLOOKUP(O2938:O6981,'参照_官位'!A:A,'参照_官位'!B:B,""))</f>
      </c>
      <c r="Q2938" s="12" t="str">
        <f t="array" ref="Q2938">IF(A2938:A6981="","",IFERROR(_xlfn.XLOOKUP(A2938:A6981,castles_state!K:K,castles_state!D:D)&amp;"主",IFERROR(_xlfn.XLOOKUP(A2938:A6981,kunishuClan!D:D,kunishuClan!B:B)&amp;"当主","")))</f>
      </c>
    </row>
    <row r="2939" ht="15.75" customHeight="1">
      <c r="A2939" s="4">
        <v>1080016</v>
      </c>
      <c r="B2939" s="12" t="str">
        <f t="array" ref="B2939">IF(A2939:A6982="","",_xlfn.XLOOKUP(A2939:A6982,'参照_武将'!A:A,'参照_武将'!B:B,"見つかりません"))</f>
      </c>
      <c r="C2939" s="4" t="s">
        <v>374</v>
      </c>
      <c r="D2939" s="4">
        <v>80</v>
      </c>
      <c r="E2939" s="12" t="str">
        <f t="array" ref="E2939">IF(D2939:D6982="","",IFERROR(_xlfn.XLOOKUP(D2939:D6982,'参照_勢力'!A:A,'参照_勢力'!B:B),IFERROR(_xlfn.XLOOKUP(F2939:F6982,kunishuClan!A:A,kunishuClan!B:B),"浪人")))</f>
      </c>
      <c r="F2939" s="4">
        <v>0</v>
      </c>
      <c r="G2939" s="4">
        <v>210</v>
      </c>
      <c r="H2939" s="12" t="str">
        <f t="array" ref="H2939">IF(G2939:G6982="","",_xlfn.XLOOKUP(G2939:G6982,castles_state!A:A,castles_state!D:D,"見つかりません"))</f>
      </c>
      <c r="I2939" s="4"/>
      <c r="J2939" s="12" t="str">
        <f t="array" ref="J2939">IF(I2939:I6982="","",_xlfn.XLOOKUP(I2939:I6982,'参照_姫'!A:A,'参照_姫'!B:B,"見つかりません"))</f>
      </c>
      <c r="K2939" s="4">
        <v>95</v>
      </c>
      <c r="L2939" s="4">
        <v>0</v>
      </c>
      <c r="M2939" s="4"/>
      <c r="N2939" s="4"/>
      <c r="O2939" s="4"/>
      <c r="P2939" s="12" t="str">
        <f t="array" ref="P2939">IF(O2939:O6982="","",_xlfn.XLOOKUP(O2939:O6982,'参照_官位'!A:A,'参照_官位'!B:B,""))</f>
      </c>
      <c r="Q2939" s="12" t="str">
        <f t="array" ref="Q2939">IF(A2939:A6982="","",IFERROR(_xlfn.XLOOKUP(A2939:A6982,castles_state!K:K,castles_state!D:D)&amp;"主",IFERROR(_xlfn.XLOOKUP(A2939:A6982,kunishuClan!D:D,kunishuClan!B:B)&amp;"当主","")))</f>
      </c>
    </row>
    <row r="2940" ht="15.75" customHeight="1">
      <c r="A2940" s="4">
        <v>1080017</v>
      </c>
      <c r="B2940" s="12" t="str">
        <f t="array" ref="B2940">IF(A2940:A6983="","",_xlfn.XLOOKUP(A2940:A6983,'参照_武将'!A:A,'参照_武将'!B:B,"見つかりません"))</f>
      </c>
      <c r="C2940" s="4" t="s">
        <v>374</v>
      </c>
      <c r="D2940" s="4">
        <v>80</v>
      </c>
      <c r="E2940" s="12" t="str">
        <f t="array" ref="E2940">IF(D2940:D6983="","",IFERROR(_xlfn.XLOOKUP(D2940:D6983,'参照_勢力'!A:A,'参照_勢力'!B:B),IFERROR(_xlfn.XLOOKUP(F2940:F6983,kunishuClan!A:A,kunishuClan!B:B),"浪人")))</f>
      </c>
      <c r="F2940" s="4">
        <v>0</v>
      </c>
      <c r="G2940" s="4">
        <v>210</v>
      </c>
      <c r="H2940" s="12" t="str">
        <f t="array" ref="H2940">IF(G2940:G6983="","",_xlfn.XLOOKUP(G2940:G6983,castles_state!A:A,castles_state!D:D,"見つかりません"))</f>
      </c>
      <c r="I2940" s="4"/>
      <c r="J2940" s="12" t="str">
        <f t="array" ref="J2940">IF(I2940:I6983="","",_xlfn.XLOOKUP(I2940:I6983,'参照_姫'!A:A,'参照_姫'!B:B,"見つかりません"))</f>
      </c>
      <c r="K2940" s="4">
        <v>95</v>
      </c>
      <c r="L2940" s="4">
        <v>0</v>
      </c>
      <c r="M2940" s="4"/>
      <c r="N2940" s="4"/>
      <c r="O2940" s="4"/>
      <c r="P2940" s="12" t="str">
        <f t="array" ref="P2940">IF(O2940:O6983="","",_xlfn.XLOOKUP(O2940:O6983,'参照_官位'!A:A,'参照_官位'!B:B,""))</f>
      </c>
      <c r="Q2940" s="12" t="str">
        <f t="array" ref="Q2940">IF(A2940:A6983="","",IFERROR(_xlfn.XLOOKUP(A2940:A6983,castles_state!K:K,castles_state!D:D)&amp;"主",IFERROR(_xlfn.XLOOKUP(A2940:A6983,kunishuClan!D:D,kunishuClan!B:B)&amp;"当主","")))</f>
      </c>
    </row>
    <row r="2941" ht="15.75" customHeight="1">
      <c r="A2941" s="4">
        <v>1080018</v>
      </c>
      <c r="B2941" s="12" t="str">
        <f t="array" ref="B2941">IF(A2941:A6984="","",_xlfn.XLOOKUP(A2941:A6984,'参照_武将'!A:A,'参照_武将'!B:B,"見つかりません"))</f>
      </c>
      <c r="C2941" s="4" t="s">
        <v>374</v>
      </c>
      <c r="D2941" s="4">
        <v>80</v>
      </c>
      <c r="E2941" s="12" t="str">
        <f t="array" ref="E2941">IF(D2941:D6984="","",IFERROR(_xlfn.XLOOKUP(D2941:D6984,'参照_勢力'!A:A,'参照_勢力'!B:B),IFERROR(_xlfn.XLOOKUP(F2941:F6984,kunishuClan!A:A,kunishuClan!B:B),"浪人")))</f>
      </c>
      <c r="F2941" s="4">
        <v>0</v>
      </c>
      <c r="G2941" s="4">
        <v>210</v>
      </c>
      <c r="H2941" s="12" t="str">
        <f t="array" ref="H2941">IF(G2941:G6984="","",_xlfn.XLOOKUP(G2941:G6984,castles_state!A:A,castles_state!D:D,"見つかりません"))</f>
      </c>
      <c r="I2941" s="4"/>
      <c r="J2941" s="12" t="str">
        <f t="array" ref="J2941">IF(I2941:I6984="","",_xlfn.XLOOKUP(I2941:I6984,'参照_姫'!A:A,'参照_姫'!B:B,"見つかりません"))</f>
      </c>
      <c r="K2941" s="4">
        <v>95</v>
      </c>
      <c r="L2941" s="4">
        <v>0</v>
      </c>
      <c r="M2941" s="4"/>
      <c r="N2941" s="4"/>
      <c r="O2941" s="4"/>
      <c r="P2941" s="12" t="str">
        <f t="array" ref="P2941">IF(O2941:O6984="","",_xlfn.XLOOKUP(O2941:O6984,'参照_官位'!A:A,'参照_官位'!B:B,""))</f>
      </c>
      <c r="Q2941" s="12" t="str">
        <f t="array" ref="Q2941">IF(A2941:A6984="","",IFERROR(_xlfn.XLOOKUP(A2941:A6984,castles_state!K:K,castles_state!D:D)&amp;"主",IFERROR(_xlfn.XLOOKUP(A2941:A6984,kunishuClan!D:D,kunishuClan!B:B)&amp;"当主","")))</f>
      </c>
    </row>
    <row r="2942" ht="15.75" customHeight="1">
      <c r="A2942" s="4">
        <v>1080019</v>
      </c>
      <c r="B2942" s="12" t="str">
        <f t="array" ref="B2942">IF(A2942:A6985="","",_xlfn.XLOOKUP(A2942:A6985,'参照_武将'!A:A,'参照_武将'!B:B,"見つかりません"))</f>
      </c>
      <c r="C2942" s="4" t="s">
        <v>5972</v>
      </c>
      <c r="D2942" s="4">
        <v>80</v>
      </c>
      <c r="E2942" s="12" t="str">
        <f t="array" ref="E2942">IF(D2942:D6985="","",IFERROR(_xlfn.XLOOKUP(D2942:D6985,'参照_勢力'!A:A,'参照_勢力'!B:B),IFERROR(_xlfn.XLOOKUP(F2942:F6985,kunishuClan!A:A,kunishuClan!B:B),"浪人")))</f>
      </c>
      <c r="F2942" s="4">
        <v>0</v>
      </c>
      <c r="G2942" s="4">
        <v>210</v>
      </c>
      <c r="H2942" s="12" t="str">
        <f t="array" ref="H2942">IF(G2942:G6985="","",_xlfn.XLOOKUP(G2942:G6985,castles_state!A:A,castles_state!D:D,"見つかりません"))</f>
      </c>
      <c r="I2942" s="4"/>
      <c r="J2942" s="12" t="str">
        <f t="array" ref="J2942">IF(I2942:I6985="","",_xlfn.XLOOKUP(I2942:I6985,'参照_姫'!A:A,'参照_姫'!B:B,"見つかりません"))</f>
      </c>
      <c r="K2942" s="4">
        <v>95</v>
      </c>
      <c r="L2942" s="4">
        <v>0</v>
      </c>
      <c r="M2942" s="4"/>
      <c r="N2942" s="4"/>
      <c r="O2942" s="4"/>
      <c r="P2942" s="12" t="str">
        <f t="array" ref="P2942">IF(O2942:O6985="","",_xlfn.XLOOKUP(O2942:O6985,'参照_官位'!A:A,'参照_官位'!B:B,""))</f>
      </c>
      <c r="Q2942" s="12" t="str">
        <f t="array" ref="Q2942">IF(A2942:A6985="","",IFERROR(_xlfn.XLOOKUP(A2942:A6985,castles_state!K:K,castles_state!D:D)&amp;"主",IFERROR(_xlfn.XLOOKUP(A2942:A6985,kunishuClan!D:D,kunishuClan!B:B)&amp;"当主","")))</f>
      </c>
    </row>
    <row r="2943" ht="15.75" customHeight="1">
      <c r="A2943" s="4">
        <v>1080020</v>
      </c>
      <c r="B2943" s="12" t="str">
        <f t="array" ref="B2943">IF(A2943:A6986="","",_xlfn.XLOOKUP(A2943:A6986,'参照_武将'!A:A,'参照_武将'!B:B,"見つかりません"))</f>
      </c>
      <c r="C2943" s="4" t="s">
        <v>5973</v>
      </c>
      <c r="D2943" s="4">
        <v>80</v>
      </c>
      <c r="E2943" s="12" t="str">
        <f t="array" ref="E2943">IF(D2943:D6986="","",IFERROR(_xlfn.XLOOKUP(D2943:D6986,'参照_勢力'!A:A,'参照_勢力'!B:B),IFERROR(_xlfn.XLOOKUP(F2943:F6986,kunishuClan!A:A,kunishuClan!B:B),"浪人")))</f>
      </c>
      <c r="F2943" s="4">
        <v>0</v>
      </c>
      <c r="G2943" s="4">
        <v>210</v>
      </c>
      <c r="H2943" s="12" t="str">
        <f t="array" ref="H2943">IF(G2943:G6986="","",_xlfn.XLOOKUP(G2943:G6986,castles_state!A:A,castles_state!D:D,"見つかりません"))</f>
      </c>
      <c r="I2943" s="4"/>
      <c r="J2943" s="12" t="str">
        <f t="array" ref="J2943">IF(I2943:I6986="","",_xlfn.XLOOKUP(I2943:I6986,'参照_姫'!A:A,'参照_姫'!B:B,"見つかりません"))</f>
      </c>
      <c r="K2943" s="4">
        <v>95</v>
      </c>
      <c r="L2943" s="4">
        <v>0</v>
      </c>
      <c r="M2943" s="4"/>
      <c r="N2943" s="4"/>
      <c r="O2943" s="4"/>
      <c r="P2943" s="12" t="str">
        <f t="array" ref="P2943">IF(O2943:O6986="","",_xlfn.XLOOKUP(O2943:O6986,'参照_官位'!A:A,'参照_官位'!B:B,""))</f>
      </c>
      <c r="Q2943" s="12" t="str">
        <f t="array" ref="Q2943">IF(A2943:A6986="","",IFERROR(_xlfn.XLOOKUP(A2943:A6986,castles_state!K:K,castles_state!D:D)&amp;"主",IFERROR(_xlfn.XLOOKUP(A2943:A6986,kunishuClan!D:D,kunishuClan!B:B)&amp;"当主","")))</f>
      </c>
    </row>
    <row r="2944" ht="15.75" customHeight="1">
      <c r="A2944" s="4">
        <v>1080021</v>
      </c>
      <c r="B2944" s="12" t="str">
        <f t="array" ref="B2944">IF(A2944:A6987="","",_xlfn.XLOOKUP(A2944:A6987,'参照_武将'!A:A,'参照_武将'!B:B,"見つかりません"))</f>
      </c>
      <c r="C2944" s="4" t="s">
        <v>5973</v>
      </c>
      <c r="D2944" s="4">
        <v>80</v>
      </c>
      <c r="E2944" s="12" t="str">
        <f t="array" ref="E2944">IF(D2944:D6987="","",IFERROR(_xlfn.XLOOKUP(D2944:D6987,'参照_勢力'!A:A,'参照_勢力'!B:B),IFERROR(_xlfn.XLOOKUP(F2944:F6987,kunishuClan!A:A,kunishuClan!B:B),"浪人")))</f>
      </c>
      <c r="F2944" s="4">
        <v>0</v>
      </c>
      <c r="G2944" s="4">
        <v>210</v>
      </c>
      <c r="H2944" s="12" t="str">
        <f t="array" ref="H2944">IF(G2944:G6987="","",_xlfn.XLOOKUP(G2944:G6987,castles_state!A:A,castles_state!D:D,"見つかりません"))</f>
      </c>
      <c r="I2944" s="4"/>
      <c r="J2944" s="12" t="str">
        <f t="array" ref="J2944">IF(I2944:I6987="","",_xlfn.XLOOKUP(I2944:I6987,'参照_姫'!A:A,'参照_姫'!B:B,"見つかりません"))</f>
      </c>
      <c r="K2944" s="4">
        <v>95</v>
      </c>
      <c r="L2944" s="4">
        <v>0</v>
      </c>
      <c r="M2944" s="4"/>
      <c r="N2944" s="4"/>
      <c r="O2944" s="4"/>
      <c r="P2944" s="12" t="str">
        <f t="array" ref="P2944">IF(O2944:O6987="","",_xlfn.XLOOKUP(O2944:O6987,'参照_官位'!A:A,'参照_官位'!B:B,""))</f>
      </c>
      <c r="Q2944" s="12" t="str">
        <f t="array" ref="Q2944">IF(A2944:A6987="","",IFERROR(_xlfn.XLOOKUP(A2944:A6987,castles_state!K:K,castles_state!D:D)&amp;"主",IFERROR(_xlfn.XLOOKUP(A2944:A6987,kunishuClan!D:D,kunishuClan!B:B)&amp;"当主","")))</f>
      </c>
    </row>
    <row r="2945" ht="15.75" customHeight="1">
      <c r="A2945" s="4">
        <v>1080022</v>
      </c>
      <c r="B2945" s="12" t="str">
        <f t="array" ref="B2945">IF(A2945:A6988="","",_xlfn.XLOOKUP(A2945:A6988,'参照_武将'!A:A,'参照_武将'!B:B,"見つかりません"))</f>
      </c>
      <c r="C2945" s="4" t="s">
        <v>374</v>
      </c>
      <c r="D2945" s="4">
        <v>80</v>
      </c>
      <c r="E2945" s="12" t="str">
        <f t="array" ref="E2945">IF(D2945:D6988="","",IFERROR(_xlfn.XLOOKUP(D2945:D6988,'参照_勢力'!A:A,'参照_勢力'!B:B),IFERROR(_xlfn.XLOOKUP(F2945:F6988,kunishuClan!A:A,kunishuClan!B:B),"浪人")))</f>
      </c>
      <c r="F2945" s="4">
        <v>0</v>
      </c>
      <c r="G2945" s="4">
        <v>210</v>
      </c>
      <c r="H2945" s="12" t="str">
        <f t="array" ref="H2945">IF(G2945:G6988="","",_xlfn.XLOOKUP(G2945:G6988,castles_state!A:A,castles_state!D:D,"見つかりません"))</f>
      </c>
      <c r="I2945" s="4"/>
      <c r="J2945" s="12" t="str">
        <f t="array" ref="J2945">IF(I2945:I6988="","",_xlfn.XLOOKUP(I2945:I6988,'参照_姫'!A:A,'参照_姫'!B:B,"見つかりません"))</f>
      </c>
      <c r="K2945" s="4">
        <v>95</v>
      </c>
      <c r="L2945" s="4">
        <v>0</v>
      </c>
      <c r="M2945" s="4"/>
      <c r="N2945" s="4"/>
      <c r="O2945" s="4"/>
      <c r="P2945" s="12" t="str">
        <f t="array" ref="P2945">IF(O2945:O6988="","",_xlfn.XLOOKUP(O2945:O6988,'参照_官位'!A:A,'参照_官位'!B:B,""))</f>
      </c>
      <c r="Q2945" s="12" t="str">
        <f t="array" ref="Q2945">IF(A2945:A6988="","",IFERROR(_xlfn.XLOOKUP(A2945:A6988,castles_state!K:K,castles_state!D:D)&amp;"主",IFERROR(_xlfn.XLOOKUP(A2945:A6988,kunishuClan!D:D,kunishuClan!B:B)&amp;"当主","")))</f>
      </c>
    </row>
    <row r="2946" ht="15.75" customHeight="1">
      <c r="A2946" s="4">
        <v>1080023</v>
      </c>
      <c r="B2946" s="12" t="str">
        <f t="array" ref="B2946">IF(A2946:A6989="","",_xlfn.XLOOKUP(A2946:A6989,'参照_武将'!A:A,'参照_武将'!B:B,"見つかりません"))</f>
      </c>
      <c r="C2946" s="4" t="s">
        <v>374</v>
      </c>
      <c r="D2946" s="4">
        <v>80</v>
      </c>
      <c r="E2946" s="12" t="str">
        <f t="array" ref="E2946">IF(D2946:D6989="","",IFERROR(_xlfn.XLOOKUP(D2946:D6989,'参照_勢力'!A:A,'参照_勢力'!B:B),IFERROR(_xlfn.XLOOKUP(F2946:F6989,kunishuClan!A:A,kunishuClan!B:B),"浪人")))</f>
      </c>
      <c r="F2946" s="4">
        <v>0</v>
      </c>
      <c r="G2946" s="4">
        <v>210</v>
      </c>
      <c r="H2946" s="12" t="str">
        <f t="array" ref="H2946">IF(G2946:G6989="","",_xlfn.XLOOKUP(G2946:G6989,castles_state!A:A,castles_state!D:D,"見つかりません"))</f>
      </c>
      <c r="I2946" s="4"/>
      <c r="J2946" s="12" t="str">
        <f t="array" ref="J2946">IF(I2946:I6989="","",_xlfn.XLOOKUP(I2946:I6989,'参照_姫'!A:A,'参照_姫'!B:B,"見つかりません"))</f>
      </c>
      <c r="K2946" s="4">
        <v>95</v>
      </c>
      <c r="L2946" s="4">
        <v>0</v>
      </c>
      <c r="M2946" s="4" t="b">
        <v>1</v>
      </c>
      <c r="N2946" s="4"/>
      <c r="O2946" s="4"/>
      <c r="P2946" s="12" t="str">
        <f t="array" ref="P2946">IF(O2946:O6989="","",_xlfn.XLOOKUP(O2946:O6989,'参照_官位'!A:A,'参照_官位'!B:B,""))</f>
      </c>
      <c r="Q2946" s="12" t="str">
        <f t="array" ref="Q2946">IF(A2946:A6989="","",IFERROR(_xlfn.XLOOKUP(A2946:A6989,castles_state!K:K,castles_state!D:D)&amp;"主",IFERROR(_xlfn.XLOOKUP(A2946:A6989,kunishuClan!D:D,kunishuClan!B:B)&amp;"当主","")))</f>
      </c>
    </row>
    <row r="2947" ht="15.75" customHeight="1">
      <c r="A2947" s="4">
        <v>1080024</v>
      </c>
      <c r="B2947" s="12" t="str">
        <f t="array" ref="B2947">IF(A2947:A6990="","",_xlfn.XLOOKUP(A2947:A6990,'参照_武将'!A:A,'参照_武将'!B:B,"見つかりません"))</f>
      </c>
      <c r="C2947" s="4" t="s">
        <v>374</v>
      </c>
      <c r="D2947" s="4">
        <v>80</v>
      </c>
      <c r="E2947" s="12" t="str">
        <f t="array" ref="E2947">IF(D2947:D6990="","",IFERROR(_xlfn.XLOOKUP(D2947:D6990,'参照_勢力'!A:A,'参照_勢力'!B:B),IFERROR(_xlfn.XLOOKUP(F2947:F6990,kunishuClan!A:A,kunishuClan!B:B),"浪人")))</f>
      </c>
      <c r="F2947" s="4">
        <v>0</v>
      </c>
      <c r="G2947" s="4">
        <v>210</v>
      </c>
      <c r="H2947" s="12" t="str">
        <f t="array" ref="H2947">IF(G2947:G6990="","",_xlfn.XLOOKUP(G2947:G6990,castles_state!A:A,castles_state!D:D,"見つかりません"))</f>
      </c>
      <c r="I2947" s="4"/>
      <c r="J2947" s="12" t="str">
        <f t="array" ref="J2947">IF(I2947:I6990="","",_xlfn.XLOOKUP(I2947:I6990,'参照_姫'!A:A,'参照_姫'!B:B,"見つかりません"))</f>
      </c>
      <c r="K2947" s="4">
        <v>95</v>
      </c>
      <c r="L2947" s="4">
        <v>0</v>
      </c>
      <c r="M2947" s="4"/>
      <c r="N2947" s="4"/>
      <c r="O2947" s="4"/>
      <c r="P2947" s="12" t="str">
        <f t="array" ref="P2947">IF(O2947:O6990="","",_xlfn.XLOOKUP(O2947:O6990,'参照_官位'!A:A,'参照_官位'!B:B,""))</f>
      </c>
      <c r="Q2947" s="12" t="str">
        <f t="array" ref="Q2947">IF(A2947:A6990="","",IFERROR(_xlfn.XLOOKUP(A2947:A6990,castles_state!K:K,castles_state!D:D)&amp;"主",IFERROR(_xlfn.XLOOKUP(A2947:A6990,kunishuClan!D:D,kunishuClan!B:B)&amp;"当主","")))</f>
      </c>
    </row>
    <row r="2948" ht="15.75" customHeight="1">
      <c r="A2948" s="4">
        <v>1080025</v>
      </c>
      <c r="B2948" s="12" t="str">
        <f t="array" ref="B2948">IF(A2948:A6991="","",_xlfn.XLOOKUP(A2948:A6991,'参照_武将'!A:A,'参照_武将'!B:B,"見つかりません"))</f>
      </c>
      <c r="C2948" s="4" t="s">
        <v>374</v>
      </c>
      <c r="D2948" s="4">
        <v>80</v>
      </c>
      <c r="E2948" s="12" t="str">
        <f t="array" ref="E2948">IF(D2948:D6991="","",IFERROR(_xlfn.XLOOKUP(D2948:D6991,'参照_勢力'!A:A,'参照_勢力'!B:B),IFERROR(_xlfn.XLOOKUP(F2948:F6991,kunishuClan!A:A,kunishuClan!B:B),"浪人")))</f>
      </c>
      <c r="F2948" s="4">
        <v>0</v>
      </c>
      <c r="G2948" s="4">
        <v>210</v>
      </c>
      <c r="H2948" s="12" t="str">
        <f t="array" ref="H2948">IF(G2948:G6991="","",_xlfn.XLOOKUP(G2948:G6991,castles_state!A:A,castles_state!D:D,"見つかりません"))</f>
      </c>
      <c r="I2948" s="4"/>
      <c r="J2948" s="12" t="str">
        <f t="array" ref="J2948">IF(I2948:I6991="","",_xlfn.XLOOKUP(I2948:I6991,'参照_姫'!A:A,'参照_姫'!B:B,"見つかりません"))</f>
      </c>
      <c r="K2948" s="4">
        <v>95</v>
      </c>
      <c r="L2948" s="4">
        <v>0</v>
      </c>
      <c r="M2948" s="4"/>
      <c r="N2948" s="4"/>
      <c r="O2948" s="4"/>
      <c r="P2948" s="12" t="str">
        <f t="array" ref="P2948">IF(O2948:O6991="","",_xlfn.XLOOKUP(O2948:O6991,'参照_官位'!A:A,'参照_官位'!B:B,""))</f>
      </c>
      <c r="Q2948" s="12" t="str">
        <f t="array" ref="Q2948">IF(A2948:A6991="","",IFERROR(_xlfn.XLOOKUP(A2948:A6991,castles_state!K:K,castles_state!D:D)&amp;"主",IFERROR(_xlfn.XLOOKUP(A2948:A6991,kunishuClan!D:D,kunishuClan!B:B)&amp;"当主","")))</f>
      </c>
    </row>
    <row r="2949" ht="15.75" customHeight="1">
      <c r="A2949" s="4">
        <v>1080026</v>
      </c>
      <c r="B2949" s="12" t="str">
        <f t="array" ref="B2949">IF(A2949:A6992="","",_xlfn.XLOOKUP(A2949:A6992,'参照_武将'!A:A,'参照_武将'!B:B,"見つかりません"))</f>
      </c>
      <c r="C2949" s="4" t="s">
        <v>374</v>
      </c>
      <c r="D2949" s="4">
        <v>80</v>
      </c>
      <c r="E2949" s="12" t="str">
        <f t="array" ref="E2949">IF(D2949:D6992="","",IFERROR(_xlfn.XLOOKUP(D2949:D6992,'参照_勢力'!A:A,'参照_勢力'!B:B),IFERROR(_xlfn.XLOOKUP(F2949:F6992,kunishuClan!A:A,kunishuClan!B:B),"浪人")))</f>
      </c>
      <c r="F2949" s="4">
        <v>0</v>
      </c>
      <c r="G2949" s="4">
        <v>210</v>
      </c>
      <c r="H2949" s="12" t="str">
        <f t="array" ref="H2949">IF(G2949:G6992="","",_xlfn.XLOOKUP(G2949:G6992,castles_state!A:A,castles_state!D:D,"見つかりません"))</f>
      </c>
      <c r="I2949" s="4"/>
      <c r="J2949" s="12" t="str">
        <f t="array" ref="J2949">IF(I2949:I6992="","",_xlfn.XLOOKUP(I2949:I6992,'参照_姫'!A:A,'参照_姫'!B:B,"見つかりません"))</f>
      </c>
      <c r="K2949" s="4">
        <v>95</v>
      </c>
      <c r="L2949" s="4">
        <v>0</v>
      </c>
      <c r="M2949" s="4"/>
      <c r="N2949" s="4"/>
      <c r="O2949" s="4"/>
      <c r="P2949" s="12" t="str">
        <f t="array" ref="P2949">IF(O2949:O6992="","",_xlfn.XLOOKUP(O2949:O6992,'参照_官位'!A:A,'参照_官位'!B:B,""))</f>
      </c>
      <c r="Q2949" s="12" t="str">
        <f t="array" ref="Q2949">IF(A2949:A6992="","",IFERROR(_xlfn.XLOOKUP(A2949:A6992,castles_state!K:K,castles_state!D:D)&amp;"主",IFERROR(_xlfn.XLOOKUP(A2949:A6992,kunishuClan!D:D,kunishuClan!B:B)&amp;"当主","")))</f>
      </c>
    </row>
    <row r="2950" ht="15.75" customHeight="1">
      <c r="A2950" s="4">
        <v>1081001</v>
      </c>
      <c r="B2950" s="12" t="str">
        <f t="array" ref="B2950">IF(A2950:A6993="","",_xlfn.XLOOKUP(A2950:A6993,'参照_武将'!A:A,'参照_武将'!B:B,"見つかりません"))</f>
      </c>
      <c r="C2950" s="4" t="s">
        <v>378</v>
      </c>
      <c r="D2950" s="4">
        <v>81</v>
      </c>
      <c r="E2950" s="12" t="str">
        <f t="array" ref="E2950">IF(D2950:D6993="","",IFERROR(_xlfn.XLOOKUP(D2950:D6993,'参照_勢力'!A:A,'参照_勢力'!B:B),IFERROR(_xlfn.XLOOKUP(F2950:F6993,kunishuClan!A:A,kunishuClan!B:B),"浪人")))</f>
      </c>
      <c r="F2950" s="4">
        <v>0</v>
      </c>
      <c r="G2950" s="4">
        <v>211</v>
      </c>
      <c r="H2950" s="12" t="str">
        <f t="array" ref="H2950">IF(G2950:G6993="","",_xlfn.XLOOKUP(G2950:G6993,castles_state!A:A,castles_state!D:D,"見つかりません"))</f>
      </c>
      <c r="I2950" s="4"/>
      <c r="J2950" s="12" t="str">
        <f t="array" ref="J2950">IF(I2950:I6993="","",_xlfn.XLOOKUP(I2950:I6993,'参照_姫'!A:A,'参照_姫'!B:B,"見つかりません"))</f>
      </c>
      <c r="K2950" s="4">
        <v>95</v>
      </c>
      <c r="L2950" s="4">
        <v>0</v>
      </c>
      <c r="M2950" s="4"/>
      <c r="N2950" s="4"/>
      <c r="O2950" s="4"/>
      <c r="P2950" s="12" t="str">
        <f t="array" ref="P2950">IF(O2950:O6993="","",_xlfn.XLOOKUP(O2950:O6993,'参照_官位'!A:A,'参照_官位'!B:B,""))</f>
      </c>
      <c r="Q2950" s="12" t="str">
        <f t="array" ref="Q2950">IF(A2950:A6993="","",IFERROR(_xlfn.XLOOKUP(A2950:A6993,castles_state!K:K,castles_state!D:D)&amp;"主",IFERROR(_xlfn.XLOOKUP(A2950:A6993,kunishuClan!D:D,kunishuClan!B:B)&amp;"当主","")))</f>
      </c>
    </row>
    <row r="2951" ht="15.75" customHeight="1">
      <c r="A2951" s="4">
        <v>1081002</v>
      </c>
      <c r="B2951" s="12" t="str">
        <f t="array" ref="B2951">IF(A2951:A6994="","",_xlfn.XLOOKUP(A2951:A6994,'参照_武将'!A:A,'参照_武将'!B:B,"見つかりません"))</f>
      </c>
      <c r="C2951" s="4" t="s">
        <v>378</v>
      </c>
      <c r="D2951" s="4">
        <v>81</v>
      </c>
      <c r="E2951" s="12" t="str">
        <f t="array" ref="E2951">IF(D2951:D6994="","",IFERROR(_xlfn.XLOOKUP(D2951:D6994,'参照_勢力'!A:A,'参照_勢力'!B:B),IFERROR(_xlfn.XLOOKUP(F2951:F6994,kunishuClan!A:A,kunishuClan!B:B),"浪人")))</f>
      </c>
      <c r="F2951" s="4">
        <v>0</v>
      </c>
      <c r="G2951" s="4">
        <v>211</v>
      </c>
      <c r="H2951" s="12" t="str">
        <f t="array" ref="H2951">IF(G2951:G6994="","",_xlfn.XLOOKUP(G2951:G6994,castles_state!A:A,castles_state!D:D,"見つかりません"))</f>
      </c>
      <c r="I2951" s="4"/>
      <c r="J2951" s="12" t="str">
        <f t="array" ref="J2951">IF(I2951:I6994="","",_xlfn.XLOOKUP(I2951:I6994,'参照_姫'!A:A,'参照_姫'!B:B,"見つかりません"))</f>
      </c>
      <c r="K2951" s="4">
        <v>95</v>
      </c>
      <c r="L2951" s="4">
        <v>200</v>
      </c>
      <c r="M2951" s="4"/>
      <c r="N2951" s="4" t="b">
        <v>1</v>
      </c>
      <c r="O2951" s="4"/>
      <c r="P2951" s="12" t="str">
        <f t="array" ref="P2951">IF(O2951:O6994="","",_xlfn.XLOOKUP(O2951:O6994,'参照_官位'!A:A,'参照_官位'!B:B,""))</f>
      </c>
      <c r="Q2951" s="12" t="str">
        <f t="array" ref="Q2951">IF(A2951:A6994="","",IFERROR(_xlfn.XLOOKUP(A2951:A6994,castles_state!K:K,castles_state!D:D)&amp;"主",IFERROR(_xlfn.XLOOKUP(A2951:A6994,kunishuClan!D:D,kunishuClan!B:B)&amp;"当主","")))</f>
      </c>
    </row>
    <row r="2952" ht="15.75" customHeight="1">
      <c r="A2952" s="4">
        <v>1081003</v>
      </c>
      <c r="B2952" s="12" t="str">
        <f t="array" ref="B2952">IF(A2952:A6995="","",_xlfn.XLOOKUP(A2952:A6995,'参照_武将'!A:A,'参照_武将'!B:B,"見つかりません"))</f>
      </c>
      <c r="C2952" s="4" t="s">
        <v>378</v>
      </c>
      <c r="D2952" s="4">
        <v>81</v>
      </c>
      <c r="E2952" s="12" t="str">
        <f t="array" ref="E2952">IF(D2952:D6995="","",IFERROR(_xlfn.XLOOKUP(D2952:D6995,'参照_勢力'!A:A,'参照_勢力'!B:B),IFERROR(_xlfn.XLOOKUP(F2952:F6995,kunishuClan!A:A,kunishuClan!B:B),"浪人")))</f>
      </c>
      <c r="F2952" s="4">
        <v>0</v>
      </c>
      <c r="G2952" s="4">
        <v>211</v>
      </c>
      <c r="H2952" s="12" t="str">
        <f t="array" ref="H2952">IF(G2952:G6995="","",_xlfn.XLOOKUP(G2952:G6995,castles_state!A:A,castles_state!D:D,"見つかりません"))</f>
      </c>
      <c r="I2952" s="4"/>
      <c r="J2952" s="12" t="str">
        <f t="array" ref="J2952">IF(I2952:I6995="","",_xlfn.XLOOKUP(I2952:I6995,'参照_姫'!A:A,'参照_姫'!B:B,"見つかりません"))</f>
      </c>
      <c r="K2952" s="4">
        <v>100</v>
      </c>
      <c r="L2952" s="4">
        <v>200</v>
      </c>
      <c r="M2952" s="4"/>
      <c r="N2952" s="4" t="b">
        <v>1</v>
      </c>
      <c r="O2952" s="4"/>
      <c r="P2952" s="12" t="str">
        <f t="array" ref="P2952">IF(O2952:O6995="","",_xlfn.XLOOKUP(O2952:O6995,'参照_官位'!A:A,'参照_官位'!B:B,""))</f>
      </c>
      <c r="Q2952" s="12" t="str">
        <f t="array" ref="Q2952">IF(A2952:A6995="","",IFERROR(_xlfn.XLOOKUP(A2952:A6995,castles_state!K:K,castles_state!D:D)&amp;"主",IFERROR(_xlfn.XLOOKUP(A2952:A6995,kunishuClan!D:D,kunishuClan!B:B)&amp;"当主","")))</f>
      </c>
    </row>
    <row r="2953" ht="15.75" customHeight="1">
      <c r="A2953" s="4">
        <v>1081004</v>
      </c>
      <c r="B2953" s="12" t="str">
        <f t="array" ref="B2953">IF(A2953:A6996="","",_xlfn.XLOOKUP(A2953:A6996,'参照_武将'!A:A,'参照_武将'!B:B,"見つかりません"))</f>
      </c>
      <c r="C2953" s="4" t="s">
        <v>378</v>
      </c>
      <c r="D2953" s="4">
        <v>81</v>
      </c>
      <c r="E2953" s="12" t="str">
        <f t="array" ref="E2953">IF(D2953:D6996="","",IFERROR(_xlfn.XLOOKUP(D2953:D6996,'参照_勢力'!A:A,'参照_勢力'!B:B),IFERROR(_xlfn.XLOOKUP(F2953:F6996,kunishuClan!A:A,kunishuClan!B:B),"浪人")))</f>
      </c>
      <c r="F2953" s="4">
        <v>0</v>
      </c>
      <c r="G2953" s="4">
        <v>211</v>
      </c>
      <c r="H2953" s="12" t="str">
        <f t="array" ref="H2953">IF(G2953:G6996="","",_xlfn.XLOOKUP(G2953:G6996,castles_state!A:A,castles_state!D:D,"見つかりません"))</f>
      </c>
      <c r="I2953" s="4"/>
      <c r="J2953" s="12" t="str">
        <f t="array" ref="J2953">IF(I2953:I6996="","",_xlfn.XLOOKUP(I2953:I6996,'参照_姫'!A:A,'参照_姫'!B:B,"見つかりません"))</f>
      </c>
      <c r="K2953" s="4">
        <v>100</v>
      </c>
      <c r="L2953" s="4">
        <v>1000</v>
      </c>
      <c r="M2953" s="4"/>
      <c r="N2953" s="4"/>
      <c r="O2953" s="4"/>
      <c r="P2953" s="12" t="str">
        <f t="array" ref="P2953">IF(O2953:O6996="","",_xlfn.XLOOKUP(O2953:O6996,'参照_官位'!A:A,'参照_官位'!B:B,""))</f>
      </c>
      <c r="Q2953" s="12" t="str">
        <f t="array" ref="Q2953">IF(A2953:A6996="","",IFERROR(_xlfn.XLOOKUP(A2953:A6996,castles_state!K:K,castles_state!D:D)&amp;"主",IFERROR(_xlfn.XLOOKUP(A2953:A6996,kunishuClan!D:D,kunishuClan!B:B)&amp;"当主","")))</f>
      </c>
    </row>
    <row r="2954" ht="15.75" customHeight="1">
      <c r="A2954" s="4">
        <v>1081005</v>
      </c>
      <c r="B2954" s="12" t="str">
        <f t="array" ref="B2954">IF(A2954:A6997="","",_xlfn.XLOOKUP(A2954:A6997,'参照_武将'!A:A,'参照_武将'!B:B,"見つかりません"))</f>
      </c>
      <c r="C2954" s="4" t="s">
        <v>378</v>
      </c>
      <c r="D2954" s="4">
        <v>81</v>
      </c>
      <c r="E2954" s="12" t="str">
        <f t="array" ref="E2954">IF(D2954:D6997="","",IFERROR(_xlfn.XLOOKUP(D2954:D6997,'参照_勢力'!A:A,'参照_勢力'!B:B),IFERROR(_xlfn.XLOOKUP(F2954:F6997,kunishuClan!A:A,kunishuClan!B:B),"浪人")))</f>
      </c>
      <c r="F2954" s="4">
        <v>0</v>
      </c>
      <c r="G2954" s="4">
        <v>211</v>
      </c>
      <c r="H2954" s="12" t="str">
        <f t="array" ref="H2954">IF(G2954:G6997="","",_xlfn.XLOOKUP(G2954:G6997,castles_state!A:A,castles_state!D:D,"見つかりません"))</f>
      </c>
      <c r="I2954" s="4"/>
      <c r="J2954" s="12" t="str">
        <f t="array" ref="J2954">IF(I2954:I6997="","",_xlfn.XLOOKUP(I2954:I6997,'参照_姫'!A:A,'参照_姫'!B:B,"見つかりません"))</f>
      </c>
      <c r="K2954" s="4">
        <v>95</v>
      </c>
      <c r="L2954" s="4">
        <v>0</v>
      </c>
      <c r="M2954" s="4"/>
      <c r="N2954" s="4"/>
      <c r="O2954" s="4"/>
      <c r="P2954" s="12" t="str">
        <f t="array" ref="P2954">IF(O2954:O6997="","",_xlfn.XLOOKUP(O2954:O6997,'参照_官位'!A:A,'参照_官位'!B:B,""))</f>
      </c>
      <c r="Q2954" s="12" t="str">
        <f t="array" ref="Q2954">IF(A2954:A6997="","",IFERROR(_xlfn.XLOOKUP(A2954:A6997,castles_state!K:K,castles_state!D:D)&amp;"主",IFERROR(_xlfn.XLOOKUP(A2954:A6997,kunishuClan!D:D,kunishuClan!B:B)&amp;"当主","")))</f>
      </c>
    </row>
    <row r="2955" ht="15.75" customHeight="1">
      <c r="A2955" s="4">
        <v>1081006</v>
      </c>
      <c r="B2955" s="12" t="str">
        <f t="array" ref="B2955">IF(A2955:A6998="","",_xlfn.XLOOKUP(A2955:A6998,'参照_武将'!A:A,'参照_武将'!B:B,"見つかりません"))</f>
      </c>
      <c r="C2955" s="4" t="s">
        <v>378</v>
      </c>
      <c r="D2955" s="4">
        <v>81</v>
      </c>
      <c r="E2955" s="12" t="str">
        <f t="array" ref="E2955">IF(D2955:D6998="","",IFERROR(_xlfn.XLOOKUP(D2955:D6998,'参照_勢力'!A:A,'参照_勢力'!B:B),IFERROR(_xlfn.XLOOKUP(F2955:F6998,kunishuClan!A:A,kunishuClan!B:B),"浪人")))</f>
      </c>
      <c r="F2955" s="4">
        <v>0</v>
      </c>
      <c r="G2955" s="4">
        <v>211</v>
      </c>
      <c r="H2955" s="12" t="str">
        <f t="array" ref="H2955">IF(G2955:G6998="","",_xlfn.XLOOKUP(G2955:G6998,castles_state!A:A,castles_state!D:D,"見つかりません"))</f>
      </c>
      <c r="I2955" s="4"/>
      <c r="J2955" s="12" t="str">
        <f t="array" ref="J2955">IF(I2955:I6998="","",_xlfn.XLOOKUP(I2955:I6998,'参照_姫'!A:A,'参照_姫'!B:B,"見つかりません"))</f>
      </c>
      <c r="K2955" s="4">
        <v>95</v>
      </c>
      <c r="L2955" s="4">
        <v>0</v>
      </c>
      <c r="M2955" s="4"/>
      <c r="N2955" s="4"/>
      <c r="O2955" s="4"/>
      <c r="P2955" s="12" t="str">
        <f t="array" ref="P2955">IF(O2955:O6998="","",_xlfn.XLOOKUP(O2955:O6998,'参照_官位'!A:A,'参照_官位'!B:B,""))</f>
      </c>
      <c r="Q2955" s="12" t="str">
        <f t="array" ref="Q2955">IF(A2955:A6998="","",IFERROR(_xlfn.XLOOKUP(A2955:A6998,castles_state!K:K,castles_state!D:D)&amp;"主",IFERROR(_xlfn.XLOOKUP(A2955:A6998,kunishuClan!D:D,kunishuClan!B:B)&amp;"当主","")))</f>
      </c>
    </row>
    <row r="2956" ht="15.75" customHeight="1">
      <c r="A2956" s="4">
        <v>1081007</v>
      </c>
      <c r="B2956" s="12" t="str">
        <f t="array" ref="B2956">IF(A2956:A6999="","",_xlfn.XLOOKUP(A2956:A6999,'参照_武将'!A:A,'参照_武将'!B:B,"見つかりません"))</f>
      </c>
      <c r="C2956" s="4" t="s">
        <v>378</v>
      </c>
      <c r="D2956" s="4">
        <v>81</v>
      </c>
      <c r="E2956" s="12" t="str">
        <f t="array" ref="E2956">IF(D2956:D6999="","",IFERROR(_xlfn.XLOOKUP(D2956:D6999,'参照_勢力'!A:A,'参照_勢力'!B:B),IFERROR(_xlfn.XLOOKUP(F2956:F6999,kunishuClan!A:A,kunishuClan!B:B),"浪人")))</f>
      </c>
      <c r="F2956" s="4">
        <v>0</v>
      </c>
      <c r="G2956" s="4">
        <v>211</v>
      </c>
      <c r="H2956" s="12" t="str">
        <f t="array" ref="H2956">IF(G2956:G6999="","",_xlfn.XLOOKUP(G2956:G6999,castles_state!A:A,castles_state!D:D,"見つかりません"))</f>
      </c>
      <c r="I2956" s="4"/>
      <c r="J2956" s="12" t="str">
        <f t="array" ref="J2956">IF(I2956:I6999="","",_xlfn.XLOOKUP(I2956:I6999,'参照_姫'!A:A,'参照_姫'!B:B,"見つかりません"))</f>
      </c>
      <c r="K2956" s="4">
        <v>95</v>
      </c>
      <c r="L2956" s="4">
        <v>0</v>
      </c>
      <c r="M2956" s="4"/>
      <c r="N2956" s="4"/>
      <c r="O2956" s="4"/>
      <c r="P2956" s="12" t="str">
        <f t="array" ref="P2956">IF(O2956:O6999="","",_xlfn.XLOOKUP(O2956:O6999,'参照_官位'!A:A,'参照_官位'!B:B,""))</f>
      </c>
      <c r="Q2956" s="12" t="str">
        <f t="array" ref="Q2956">IF(A2956:A6999="","",IFERROR(_xlfn.XLOOKUP(A2956:A6999,castles_state!K:K,castles_state!D:D)&amp;"主",IFERROR(_xlfn.XLOOKUP(A2956:A6999,kunishuClan!D:D,kunishuClan!B:B)&amp;"当主","")))</f>
      </c>
    </row>
    <row r="2957" ht="15.75" customHeight="1">
      <c r="A2957" s="4">
        <v>1081008</v>
      </c>
      <c r="B2957" s="12" t="str">
        <f t="array" ref="B2957">IF(A2957:A7000="","",_xlfn.XLOOKUP(A2957:A7000,'参照_武将'!A:A,'参照_武将'!B:B,"見つかりません"))</f>
      </c>
      <c r="C2957" s="4" t="s">
        <v>378</v>
      </c>
      <c r="D2957" s="4">
        <v>81</v>
      </c>
      <c r="E2957" s="12" t="str">
        <f t="array" ref="E2957">IF(D2957:D7000="","",IFERROR(_xlfn.XLOOKUP(D2957:D7000,'参照_勢力'!A:A,'参照_勢力'!B:B),IFERROR(_xlfn.XLOOKUP(F2957:F7000,kunishuClan!A:A,kunishuClan!B:B),"浪人")))</f>
      </c>
      <c r="F2957" s="4">
        <v>0</v>
      </c>
      <c r="G2957" s="4">
        <v>211</v>
      </c>
      <c r="H2957" s="12" t="str">
        <f t="array" ref="H2957">IF(G2957:G7000="","",_xlfn.XLOOKUP(G2957:G7000,castles_state!A:A,castles_state!D:D,"見つかりません"))</f>
      </c>
      <c r="I2957" s="4"/>
      <c r="J2957" s="12" t="str">
        <f t="array" ref="J2957">IF(I2957:I7000="","",_xlfn.XLOOKUP(I2957:I7000,'参照_姫'!A:A,'参照_姫'!B:B,"見つかりません"))</f>
      </c>
      <c r="K2957" s="4">
        <v>95</v>
      </c>
      <c r="L2957" s="4">
        <v>0</v>
      </c>
      <c r="M2957" s="4" t="b">
        <v>1</v>
      </c>
      <c r="N2957" s="4" t="b">
        <v>1</v>
      </c>
      <c r="O2957" s="4"/>
      <c r="P2957" s="12" t="str">
        <f t="array" ref="P2957">IF(O2957:O7000="","",_xlfn.XLOOKUP(O2957:O7000,'参照_官位'!A:A,'参照_官位'!B:B,""))</f>
      </c>
      <c r="Q2957" s="12" t="str">
        <f t="array" ref="Q2957">IF(A2957:A7000="","",IFERROR(_xlfn.XLOOKUP(A2957:A7000,castles_state!K:K,castles_state!D:D)&amp;"主",IFERROR(_xlfn.XLOOKUP(A2957:A7000,kunishuClan!D:D,kunishuClan!B:B)&amp;"当主","")))</f>
      </c>
    </row>
    <row r="2958" ht="15.75" customHeight="1">
      <c r="A2958" s="4">
        <v>1081009</v>
      </c>
      <c r="B2958" s="12" t="str">
        <f t="array" ref="B2958">IF(A2958:A7001="","",_xlfn.XLOOKUP(A2958:A7001,'参照_武将'!A:A,'参照_武将'!B:B,"見つかりません"))</f>
      </c>
      <c r="C2958" s="4" t="s">
        <v>378</v>
      </c>
      <c r="D2958" s="4">
        <v>81</v>
      </c>
      <c r="E2958" s="12" t="str">
        <f t="array" ref="E2958">IF(D2958:D7001="","",IFERROR(_xlfn.XLOOKUP(D2958:D7001,'参照_勢力'!A:A,'参照_勢力'!B:B),IFERROR(_xlfn.XLOOKUP(F2958:F7001,kunishuClan!A:A,kunishuClan!B:B),"浪人")))</f>
      </c>
      <c r="F2958" s="4">
        <v>0</v>
      </c>
      <c r="G2958" s="4">
        <v>211</v>
      </c>
      <c r="H2958" s="12" t="str">
        <f t="array" ref="H2958">IF(G2958:G7001="","",_xlfn.XLOOKUP(G2958:G7001,castles_state!A:A,castles_state!D:D,"見つかりません"))</f>
      </c>
      <c r="I2958" s="4"/>
      <c r="J2958" s="12" t="str">
        <f t="array" ref="J2958">IF(I2958:I7001="","",_xlfn.XLOOKUP(I2958:I7001,'参照_姫'!A:A,'参照_姫'!B:B,"見つかりません"))</f>
      </c>
      <c r="K2958" s="4">
        <v>95</v>
      </c>
      <c r="L2958" s="4">
        <v>0</v>
      </c>
      <c r="M2958" s="4"/>
      <c r="N2958" s="4" t="b">
        <v>1</v>
      </c>
      <c r="O2958" s="4"/>
      <c r="P2958" s="12" t="str">
        <f t="array" ref="P2958">IF(O2958:O7001="","",_xlfn.XLOOKUP(O2958:O7001,'参照_官位'!A:A,'参照_官位'!B:B,""))</f>
      </c>
      <c r="Q2958" s="12" t="str">
        <f t="array" ref="Q2958">IF(A2958:A7001="","",IFERROR(_xlfn.XLOOKUP(A2958:A7001,castles_state!K:K,castles_state!D:D)&amp;"主",IFERROR(_xlfn.XLOOKUP(A2958:A7001,kunishuClan!D:D,kunishuClan!B:B)&amp;"当主","")))</f>
      </c>
    </row>
    <row r="2959" ht="15.75" customHeight="1">
      <c r="A2959" s="4">
        <v>1081010</v>
      </c>
      <c r="B2959" s="12" t="str">
        <f t="array" ref="B2959">IF(A2959:A7002="","",_xlfn.XLOOKUP(A2959:A7002,'参照_武将'!A:A,'参照_武将'!B:B,"見つかりません"))</f>
      </c>
      <c r="C2959" s="4" t="s">
        <v>378</v>
      </c>
      <c r="D2959" s="4">
        <v>81</v>
      </c>
      <c r="E2959" s="12" t="str">
        <f t="array" ref="E2959">IF(D2959:D7002="","",IFERROR(_xlfn.XLOOKUP(D2959:D7002,'参照_勢力'!A:A,'参照_勢力'!B:B),IFERROR(_xlfn.XLOOKUP(F2959:F7002,kunishuClan!A:A,kunishuClan!B:B),"浪人")))</f>
      </c>
      <c r="F2959" s="4">
        <v>0</v>
      </c>
      <c r="G2959" s="4">
        <v>211</v>
      </c>
      <c r="H2959" s="12" t="str">
        <f t="array" ref="H2959">IF(G2959:G7002="","",_xlfn.XLOOKUP(G2959:G7002,castles_state!A:A,castles_state!D:D,"見つかりません"))</f>
      </c>
      <c r="I2959" s="4"/>
      <c r="J2959" s="12" t="str">
        <f t="array" ref="J2959">IF(I2959:I7002="","",_xlfn.XLOOKUP(I2959:I7002,'参照_姫'!A:A,'参照_姫'!B:B,"見つかりません"))</f>
      </c>
      <c r="K2959" s="4">
        <v>95</v>
      </c>
      <c r="L2959" s="4">
        <v>0</v>
      </c>
      <c r="M2959" s="4"/>
      <c r="N2959" s="4"/>
      <c r="O2959" s="4"/>
      <c r="P2959" s="12" t="str">
        <f t="array" ref="P2959">IF(O2959:O7002="","",_xlfn.XLOOKUP(O2959:O7002,'参照_官位'!A:A,'参照_官位'!B:B,""))</f>
      </c>
      <c r="Q2959" s="12" t="str">
        <f t="array" ref="Q2959">IF(A2959:A7002="","",IFERROR(_xlfn.XLOOKUP(A2959:A7002,castles_state!K:K,castles_state!D:D)&amp;"主",IFERROR(_xlfn.XLOOKUP(A2959:A7002,kunishuClan!D:D,kunishuClan!B:B)&amp;"当主","")))</f>
      </c>
    </row>
    <row r="2960" ht="15.75" customHeight="1">
      <c r="A2960" s="4">
        <v>1081011</v>
      </c>
      <c r="B2960" s="12" t="str">
        <f t="array" ref="B2960">IF(A2960:A7003="","",_xlfn.XLOOKUP(A2960:A7003,'参照_武将'!A:A,'参照_武将'!B:B,"見つかりません"))</f>
      </c>
      <c r="C2960" s="4" t="s">
        <v>378</v>
      </c>
      <c r="D2960" s="4">
        <v>81</v>
      </c>
      <c r="E2960" s="12" t="str">
        <f t="array" ref="E2960">IF(D2960:D7003="","",IFERROR(_xlfn.XLOOKUP(D2960:D7003,'参照_勢力'!A:A,'参照_勢力'!B:B),IFERROR(_xlfn.XLOOKUP(F2960:F7003,kunishuClan!A:A,kunishuClan!B:B),"浪人")))</f>
      </c>
      <c r="F2960" s="4">
        <v>0</v>
      </c>
      <c r="G2960" s="4">
        <v>211</v>
      </c>
      <c r="H2960" s="12" t="str">
        <f t="array" ref="H2960">IF(G2960:G7003="","",_xlfn.XLOOKUP(G2960:G7003,castles_state!A:A,castles_state!D:D,"見つかりません"))</f>
      </c>
      <c r="I2960" s="4"/>
      <c r="J2960" s="12" t="str">
        <f t="array" ref="J2960">IF(I2960:I7003="","",_xlfn.XLOOKUP(I2960:I7003,'参照_姫'!A:A,'参照_姫'!B:B,"見つかりません"))</f>
      </c>
      <c r="K2960" s="4">
        <v>95</v>
      </c>
      <c r="L2960" s="4">
        <v>0</v>
      </c>
      <c r="M2960" s="4"/>
      <c r="N2960" s="4"/>
      <c r="O2960" s="4"/>
      <c r="P2960" s="12" t="str">
        <f t="array" ref="P2960">IF(O2960:O7003="","",_xlfn.XLOOKUP(O2960:O7003,'参照_官位'!A:A,'参照_官位'!B:B,""))</f>
      </c>
      <c r="Q2960" s="12" t="str">
        <f t="array" ref="Q2960">IF(A2960:A7003="","",IFERROR(_xlfn.XLOOKUP(A2960:A7003,castles_state!K:K,castles_state!D:D)&amp;"主",IFERROR(_xlfn.XLOOKUP(A2960:A7003,kunishuClan!D:D,kunishuClan!B:B)&amp;"当主","")))</f>
      </c>
    </row>
    <row r="2961" ht="15.75" customHeight="1">
      <c r="A2961" s="4">
        <v>1081012</v>
      </c>
      <c r="B2961" s="12" t="str">
        <f t="array" ref="B2961">IF(A2961:A7004="","",_xlfn.XLOOKUP(A2961:A7004,'参照_武将'!A:A,'参照_武将'!B:B,"見つかりません"))</f>
      </c>
      <c r="C2961" s="4" t="s">
        <v>378</v>
      </c>
      <c r="D2961" s="4">
        <v>81</v>
      </c>
      <c r="E2961" s="12" t="str">
        <f t="array" ref="E2961">IF(D2961:D7004="","",IFERROR(_xlfn.XLOOKUP(D2961:D7004,'参照_勢力'!A:A,'参照_勢力'!B:B),IFERROR(_xlfn.XLOOKUP(F2961:F7004,kunishuClan!A:A,kunishuClan!B:B),"浪人")))</f>
      </c>
      <c r="F2961" s="4">
        <v>0</v>
      </c>
      <c r="G2961" s="4">
        <v>211</v>
      </c>
      <c r="H2961" s="12" t="str">
        <f t="array" ref="H2961">IF(G2961:G7004="","",_xlfn.XLOOKUP(G2961:G7004,castles_state!A:A,castles_state!D:D,"見つかりません"))</f>
      </c>
      <c r="I2961" s="4"/>
      <c r="J2961" s="12" t="str">
        <f t="array" ref="J2961">IF(I2961:I7004="","",_xlfn.XLOOKUP(I2961:I7004,'参照_姫'!A:A,'参照_姫'!B:B,"見つかりません"))</f>
      </c>
      <c r="K2961" s="4">
        <v>95</v>
      </c>
      <c r="L2961" s="4">
        <v>0</v>
      </c>
      <c r="M2961" s="4"/>
      <c r="N2961" s="4"/>
      <c r="O2961" s="4"/>
      <c r="P2961" s="12" t="str">
        <f t="array" ref="P2961">IF(O2961:O7004="","",_xlfn.XLOOKUP(O2961:O7004,'参照_官位'!A:A,'参照_官位'!B:B,""))</f>
      </c>
      <c r="Q2961" s="12" t="str">
        <f t="array" ref="Q2961">IF(A2961:A7004="","",IFERROR(_xlfn.XLOOKUP(A2961:A7004,castles_state!K:K,castles_state!D:D)&amp;"主",IFERROR(_xlfn.XLOOKUP(A2961:A7004,kunishuClan!D:D,kunishuClan!B:B)&amp;"当主","")))</f>
      </c>
    </row>
    <row r="2962" ht="15.75" customHeight="1">
      <c r="A2962" s="4">
        <v>1081013</v>
      </c>
      <c r="B2962" s="12" t="str">
        <f t="array" ref="B2962">IF(A2962:A7005="","",_xlfn.XLOOKUP(A2962:A7005,'参照_武将'!A:A,'参照_武将'!B:B,"見つかりません"))</f>
      </c>
      <c r="C2962" s="4" t="s">
        <v>378</v>
      </c>
      <c r="D2962" s="4">
        <v>81</v>
      </c>
      <c r="E2962" s="12" t="str">
        <f t="array" ref="E2962">IF(D2962:D7005="","",IFERROR(_xlfn.XLOOKUP(D2962:D7005,'参照_勢力'!A:A,'参照_勢力'!B:B),IFERROR(_xlfn.XLOOKUP(F2962:F7005,kunishuClan!A:A,kunishuClan!B:B),"浪人")))</f>
      </c>
      <c r="F2962" s="4">
        <v>0</v>
      </c>
      <c r="G2962" s="4">
        <v>211</v>
      </c>
      <c r="H2962" s="12" t="str">
        <f t="array" ref="H2962">IF(G2962:G7005="","",_xlfn.XLOOKUP(G2962:G7005,castles_state!A:A,castles_state!D:D,"見つかりません"))</f>
      </c>
      <c r="I2962" s="4"/>
      <c r="J2962" s="12" t="str">
        <f t="array" ref="J2962">IF(I2962:I7005="","",_xlfn.XLOOKUP(I2962:I7005,'参照_姫'!A:A,'参照_姫'!B:B,"見つかりません"))</f>
      </c>
      <c r="K2962" s="4">
        <v>95</v>
      </c>
      <c r="L2962" s="4">
        <v>0</v>
      </c>
      <c r="M2962" s="4"/>
      <c r="N2962" s="4"/>
      <c r="O2962" s="4"/>
      <c r="P2962" s="12" t="str">
        <f t="array" ref="P2962">IF(O2962:O7005="","",_xlfn.XLOOKUP(O2962:O7005,'参照_官位'!A:A,'参照_官位'!B:B,""))</f>
      </c>
      <c r="Q2962" s="12" t="str">
        <f t="array" ref="Q2962">IF(A2962:A7005="","",IFERROR(_xlfn.XLOOKUP(A2962:A7005,castles_state!K:K,castles_state!D:D)&amp;"主",IFERROR(_xlfn.XLOOKUP(A2962:A7005,kunishuClan!D:D,kunishuClan!B:B)&amp;"当主","")))</f>
      </c>
    </row>
    <row r="2963" ht="15.75" customHeight="1">
      <c r="A2963" s="4">
        <v>1081014</v>
      </c>
      <c r="B2963" s="12" t="str">
        <f t="array" ref="B2963">IF(A2963:A7006="","",_xlfn.XLOOKUP(A2963:A7006,'参照_武将'!A:A,'参照_武将'!B:B,"見つかりません"))</f>
      </c>
      <c r="C2963" s="4" t="s">
        <v>378</v>
      </c>
      <c r="D2963" s="4">
        <v>81</v>
      </c>
      <c r="E2963" s="12" t="str">
        <f t="array" ref="E2963">IF(D2963:D7006="","",IFERROR(_xlfn.XLOOKUP(D2963:D7006,'参照_勢力'!A:A,'参照_勢力'!B:B),IFERROR(_xlfn.XLOOKUP(F2963:F7006,kunishuClan!A:A,kunishuClan!B:B),"浪人")))</f>
      </c>
      <c r="F2963" s="4">
        <v>0</v>
      </c>
      <c r="G2963" s="4">
        <v>211</v>
      </c>
      <c r="H2963" s="12" t="str">
        <f t="array" ref="H2963">IF(G2963:G7006="","",_xlfn.XLOOKUP(G2963:G7006,castles_state!A:A,castles_state!D:D,"見つかりません"))</f>
      </c>
      <c r="I2963" s="4"/>
      <c r="J2963" s="12" t="str">
        <f t="array" ref="J2963">IF(I2963:I7006="","",_xlfn.XLOOKUP(I2963:I7006,'参照_姫'!A:A,'参照_姫'!B:B,"見つかりません"))</f>
      </c>
      <c r="K2963" s="4">
        <v>95</v>
      </c>
      <c r="L2963" s="4">
        <v>0</v>
      </c>
      <c r="M2963" s="4"/>
      <c r="N2963" s="4"/>
      <c r="O2963" s="4"/>
      <c r="P2963" s="12" t="str">
        <f t="array" ref="P2963">IF(O2963:O7006="","",_xlfn.XLOOKUP(O2963:O7006,'参照_官位'!A:A,'参照_官位'!B:B,""))</f>
      </c>
      <c r="Q2963" s="12" t="str">
        <f t="array" ref="Q2963">IF(A2963:A7006="","",IFERROR(_xlfn.XLOOKUP(A2963:A7006,castles_state!K:K,castles_state!D:D)&amp;"主",IFERROR(_xlfn.XLOOKUP(A2963:A7006,kunishuClan!D:D,kunishuClan!B:B)&amp;"当主","")))</f>
      </c>
    </row>
    <row r="2964" ht="15.75" customHeight="1">
      <c r="A2964" s="4">
        <v>1081015</v>
      </c>
      <c r="B2964" s="12" t="str">
        <f t="array" ref="B2964">IF(A2964:A7007="","",_xlfn.XLOOKUP(A2964:A7007,'参照_武将'!A:A,'参照_武将'!B:B,"見つかりません"))</f>
      </c>
      <c r="C2964" s="4" t="s">
        <v>378</v>
      </c>
      <c r="D2964" s="4">
        <v>81</v>
      </c>
      <c r="E2964" s="12" t="str">
        <f t="array" ref="E2964">IF(D2964:D7007="","",IFERROR(_xlfn.XLOOKUP(D2964:D7007,'参照_勢力'!A:A,'参照_勢力'!B:B),IFERROR(_xlfn.XLOOKUP(F2964:F7007,kunishuClan!A:A,kunishuClan!B:B),"浪人")))</f>
      </c>
      <c r="F2964" s="4">
        <v>0</v>
      </c>
      <c r="G2964" s="4">
        <v>211</v>
      </c>
      <c r="H2964" s="12" t="str">
        <f t="array" ref="H2964">IF(G2964:G7007="","",_xlfn.XLOOKUP(G2964:G7007,castles_state!A:A,castles_state!D:D,"見つかりません"))</f>
      </c>
      <c r="I2964" s="4"/>
      <c r="J2964" s="12" t="str">
        <f t="array" ref="J2964">IF(I2964:I7007="","",_xlfn.XLOOKUP(I2964:I7007,'参照_姫'!A:A,'参照_姫'!B:B,"見つかりません"))</f>
      </c>
      <c r="K2964" s="4">
        <v>95</v>
      </c>
      <c r="L2964" s="4">
        <v>0</v>
      </c>
      <c r="M2964" s="4"/>
      <c r="N2964" s="4"/>
      <c r="O2964" s="4"/>
      <c r="P2964" s="12" t="str">
        <f t="array" ref="P2964">IF(O2964:O7007="","",_xlfn.XLOOKUP(O2964:O7007,'参照_官位'!A:A,'参照_官位'!B:B,""))</f>
      </c>
      <c r="Q2964" s="12" t="str">
        <f t="array" ref="Q2964">IF(A2964:A7007="","",IFERROR(_xlfn.XLOOKUP(A2964:A7007,castles_state!K:K,castles_state!D:D)&amp;"主",IFERROR(_xlfn.XLOOKUP(A2964:A7007,kunishuClan!D:D,kunishuClan!B:B)&amp;"当主","")))</f>
      </c>
    </row>
    <row r="2965" ht="15.75" customHeight="1">
      <c r="A2965" s="4">
        <v>1081016</v>
      </c>
      <c r="B2965" s="12" t="str">
        <f t="array" ref="B2965">IF(A2965:A7008="","",_xlfn.XLOOKUP(A2965:A7008,'参照_武将'!A:A,'参照_武将'!B:B,"見つかりません"))</f>
      </c>
      <c r="C2965" s="4" t="s">
        <v>378</v>
      </c>
      <c r="D2965" s="4">
        <v>81</v>
      </c>
      <c r="E2965" s="12" t="str">
        <f t="array" ref="E2965">IF(D2965:D7008="","",IFERROR(_xlfn.XLOOKUP(D2965:D7008,'参照_勢力'!A:A,'参照_勢力'!B:B),IFERROR(_xlfn.XLOOKUP(F2965:F7008,kunishuClan!A:A,kunishuClan!B:B),"浪人")))</f>
      </c>
      <c r="F2965" s="4">
        <v>0</v>
      </c>
      <c r="G2965" s="4">
        <v>211</v>
      </c>
      <c r="H2965" s="12" t="str">
        <f t="array" ref="H2965">IF(G2965:G7008="","",_xlfn.XLOOKUP(G2965:G7008,castles_state!A:A,castles_state!D:D,"見つかりません"))</f>
      </c>
      <c r="I2965" s="4"/>
      <c r="J2965" s="12" t="str">
        <f t="array" ref="J2965">IF(I2965:I7008="","",_xlfn.XLOOKUP(I2965:I7008,'参照_姫'!A:A,'参照_姫'!B:B,"見つかりません"))</f>
      </c>
      <c r="K2965" s="4">
        <v>95</v>
      </c>
      <c r="L2965" s="4">
        <v>0</v>
      </c>
      <c r="M2965" s="4"/>
      <c r="N2965" s="4"/>
      <c r="O2965" s="4"/>
      <c r="P2965" s="12" t="str">
        <f t="array" ref="P2965">IF(O2965:O7008="","",_xlfn.XLOOKUP(O2965:O7008,'参照_官位'!A:A,'参照_官位'!B:B,""))</f>
      </c>
      <c r="Q2965" s="12" t="str">
        <f t="array" ref="Q2965">IF(A2965:A7008="","",IFERROR(_xlfn.XLOOKUP(A2965:A7008,castles_state!K:K,castles_state!D:D)&amp;"主",IFERROR(_xlfn.XLOOKUP(A2965:A7008,kunishuClan!D:D,kunishuClan!B:B)&amp;"当主","")))</f>
      </c>
    </row>
    <row r="2966" ht="15.75" customHeight="1">
      <c r="A2966" s="4">
        <v>1082001</v>
      </c>
      <c r="B2966" s="12" t="str">
        <f t="array" ref="B2966">IF(A2966:A7009="","",_xlfn.XLOOKUP(A2966:A7009,'参照_武将'!A:A,'参照_武将'!B:B,"見つかりません"))</f>
      </c>
      <c r="C2966" s="4" t="s">
        <v>382</v>
      </c>
      <c r="D2966" s="4">
        <v>82</v>
      </c>
      <c r="E2966" s="12" t="str">
        <f t="array" ref="E2966">IF(D2966:D7009="","",IFERROR(_xlfn.XLOOKUP(D2966:D7009,'参照_勢力'!A:A,'参照_勢力'!B:B),IFERROR(_xlfn.XLOOKUP(F2966:F7009,kunishuClan!A:A,kunishuClan!B:B),"浪人")))</f>
      </c>
      <c r="F2966" s="4">
        <v>0</v>
      </c>
      <c r="G2966" s="4">
        <v>215</v>
      </c>
      <c r="H2966" s="12" t="str">
        <f t="array" ref="H2966">IF(G2966:G7009="","",_xlfn.XLOOKUP(G2966:G7009,castles_state!A:A,castles_state!D:D,"見つかりません"))</f>
      </c>
      <c r="I2966" s="4"/>
      <c r="J2966" s="12" t="str">
        <f t="array" ref="J2966">IF(I2966:I7009="","",_xlfn.XLOOKUP(I2966:I7009,'参照_姫'!A:A,'参照_姫'!B:B,"見つかりません"))</f>
      </c>
      <c r="K2966" s="4">
        <v>95</v>
      </c>
      <c r="L2966" s="4">
        <v>0</v>
      </c>
      <c r="M2966" s="4"/>
      <c r="N2966" s="4"/>
      <c r="O2966" s="4"/>
      <c r="P2966" s="12" t="str">
        <f t="array" ref="P2966">IF(O2966:O7009="","",_xlfn.XLOOKUP(O2966:O7009,'参照_官位'!A:A,'参照_官位'!B:B,""))</f>
      </c>
      <c r="Q2966" s="12" t="str">
        <f t="array" ref="Q2966">IF(A2966:A7009="","",IFERROR(_xlfn.XLOOKUP(A2966:A7009,castles_state!K:K,castles_state!D:D)&amp;"主",IFERROR(_xlfn.XLOOKUP(A2966:A7009,kunishuClan!D:D,kunishuClan!B:B)&amp;"当主","")))</f>
      </c>
    </row>
    <row r="2967" ht="15.75" customHeight="1">
      <c r="A2967" s="4">
        <v>1082002</v>
      </c>
      <c r="B2967" s="12" t="str">
        <f t="array" ref="B2967">IF(A2967:A7010="","",_xlfn.XLOOKUP(A2967:A7010,'参照_武将'!A:A,'参照_武将'!B:B,"見つかりません"))</f>
      </c>
      <c r="C2967" s="4" t="s">
        <v>382</v>
      </c>
      <c r="D2967" s="4">
        <v>82</v>
      </c>
      <c r="E2967" s="12" t="str">
        <f t="array" ref="E2967">IF(D2967:D7010="","",IFERROR(_xlfn.XLOOKUP(D2967:D7010,'参照_勢力'!A:A,'参照_勢力'!B:B),IFERROR(_xlfn.XLOOKUP(F2967:F7010,kunishuClan!A:A,kunishuClan!B:B),"浪人")))</f>
      </c>
      <c r="F2967" s="4">
        <v>0</v>
      </c>
      <c r="G2967" s="4">
        <v>215</v>
      </c>
      <c r="H2967" s="12" t="str">
        <f t="array" ref="H2967">IF(G2967:G7010="","",_xlfn.XLOOKUP(G2967:G7010,castles_state!A:A,castles_state!D:D,"見つかりません"))</f>
      </c>
      <c r="I2967" s="4"/>
      <c r="J2967" s="12" t="str">
        <f t="array" ref="J2967">IF(I2967:I7010="","",_xlfn.XLOOKUP(I2967:I7010,'参照_姫'!A:A,'参照_姫'!B:B,"見つかりません"))</f>
      </c>
      <c r="K2967" s="4">
        <v>95</v>
      </c>
      <c r="L2967" s="4">
        <v>0</v>
      </c>
      <c r="M2967" s="4"/>
      <c r="N2967" s="4"/>
      <c r="O2967" s="4"/>
      <c r="P2967" s="12" t="str">
        <f t="array" ref="P2967">IF(O2967:O7010="","",_xlfn.XLOOKUP(O2967:O7010,'参照_官位'!A:A,'参照_官位'!B:B,""))</f>
      </c>
      <c r="Q2967" s="12" t="str">
        <f t="array" ref="Q2967">IF(A2967:A7010="","",IFERROR(_xlfn.XLOOKUP(A2967:A7010,castles_state!K:K,castles_state!D:D)&amp;"主",IFERROR(_xlfn.XLOOKUP(A2967:A7010,kunishuClan!D:D,kunishuClan!B:B)&amp;"当主","")))</f>
      </c>
    </row>
    <row r="2968" ht="15.75" customHeight="1">
      <c r="A2968" s="4">
        <v>1082003</v>
      </c>
      <c r="B2968" s="12" t="str">
        <f t="array" ref="B2968">IF(A2968:A7011="","",_xlfn.XLOOKUP(A2968:A7011,'参照_武将'!A:A,'参照_武将'!B:B,"見つかりません"))</f>
      </c>
      <c r="C2968" s="4" t="s">
        <v>382</v>
      </c>
      <c r="D2968" s="4">
        <v>82</v>
      </c>
      <c r="E2968" s="12" t="str">
        <f t="array" ref="E2968">IF(D2968:D7011="","",IFERROR(_xlfn.XLOOKUP(D2968:D7011,'参照_勢力'!A:A,'参照_勢力'!B:B),IFERROR(_xlfn.XLOOKUP(F2968:F7011,kunishuClan!A:A,kunishuClan!B:B),"浪人")))</f>
      </c>
      <c r="F2968" s="4">
        <v>0</v>
      </c>
      <c r="G2968" s="4">
        <v>215</v>
      </c>
      <c r="H2968" s="12" t="str">
        <f t="array" ref="H2968">IF(G2968:G7011="","",_xlfn.XLOOKUP(G2968:G7011,castles_state!A:A,castles_state!D:D,"見つかりません"))</f>
      </c>
      <c r="I2968" s="4"/>
      <c r="J2968" s="12" t="str">
        <f t="array" ref="J2968">IF(I2968:I7011="","",_xlfn.XLOOKUP(I2968:I7011,'参照_姫'!A:A,'参照_姫'!B:B,"見つかりません"))</f>
      </c>
      <c r="K2968" s="4">
        <v>95</v>
      </c>
      <c r="L2968" s="4">
        <v>0</v>
      </c>
      <c r="M2968" s="4"/>
      <c r="N2968" s="4"/>
      <c r="O2968" s="4"/>
      <c r="P2968" s="12" t="str">
        <f t="array" ref="P2968">IF(O2968:O7011="","",_xlfn.XLOOKUP(O2968:O7011,'参照_官位'!A:A,'参照_官位'!B:B,""))</f>
      </c>
      <c r="Q2968" s="12" t="str">
        <f t="array" ref="Q2968">IF(A2968:A7011="","",IFERROR(_xlfn.XLOOKUP(A2968:A7011,castles_state!K:K,castles_state!D:D)&amp;"主",IFERROR(_xlfn.XLOOKUP(A2968:A7011,kunishuClan!D:D,kunishuClan!B:B)&amp;"当主","")))</f>
      </c>
    </row>
    <row r="2969" ht="15.75" customHeight="1">
      <c r="A2969" s="4">
        <v>1082004</v>
      </c>
      <c r="B2969" s="12" t="str">
        <f t="array" ref="B2969">IF(A2969:A7012="","",_xlfn.XLOOKUP(A2969:A7012,'参照_武将'!A:A,'参照_武将'!B:B,"見つかりません"))</f>
      </c>
      <c r="C2969" s="4" t="s">
        <v>382</v>
      </c>
      <c r="D2969" s="4">
        <v>82</v>
      </c>
      <c r="E2969" s="12" t="str">
        <f t="array" ref="E2969">IF(D2969:D7012="","",IFERROR(_xlfn.XLOOKUP(D2969:D7012,'参照_勢力'!A:A,'参照_勢力'!B:B),IFERROR(_xlfn.XLOOKUP(F2969:F7012,kunishuClan!A:A,kunishuClan!B:B),"浪人")))</f>
      </c>
      <c r="F2969" s="4">
        <v>0</v>
      </c>
      <c r="G2969" s="4">
        <v>215</v>
      </c>
      <c r="H2969" s="12" t="str">
        <f t="array" ref="H2969">IF(G2969:G7012="","",_xlfn.XLOOKUP(G2969:G7012,castles_state!A:A,castles_state!D:D,"見つかりません"))</f>
      </c>
      <c r="I2969" s="4"/>
      <c r="J2969" s="12" t="str">
        <f t="array" ref="J2969">IF(I2969:I7012="","",_xlfn.XLOOKUP(I2969:I7012,'参照_姫'!A:A,'参照_姫'!B:B,"見つかりません"))</f>
      </c>
      <c r="K2969" s="4">
        <v>95</v>
      </c>
      <c r="L2969" s="4">
        <v>0</v>
      </c>
      <c r="M2969" s="4"/>
      <c r="N2969" s="4"/>
      <c r="O2969" s="4"/>
      <c r="P2969" s="12" t="str">
        <f t="array" ref="P2969">IF(O2969:O7012="","",_xlfn.XLOOKUP(O2969:O7012,'参照_官位'!A:A,'参照_官位'!B:B,""))</f>
      </c>
      <c r="Q2969" s="12" t="str">
        <f t="array" ref="Q2969">IF(A2969:A7012="","",IFERROR(_xlfn.XLOOKUP(A2969:A7012,castles_state!K:K,castles_state!D:D)&amp;"主",IFERROR(_xlfn.XLOOKUP(A2969:A7012,kunishuClan!D:D,kunishuClan!B:B)&amp;"当主","")))</f>
      </c>
    </row>
    <row r="2970" ht="15.75" customHeight="1">
      <c r="A2970" s="4">
        <v>1082005</v>
      </c>
      <c r="B2970" s="12" t="str">
        <f t="array" ref="B2970">IF(A2970:A7013="","",_xlfn.XLOOKUP(A2970:A7013,'参照_武将'!A:A,'参照_武将'!B:B,"見つかりません"))</f>
      </c>
      <c r="C2970" s="4" t="s">
        <v>382</v>
      </c>
      <c r="D2970" s="4">
        <v>82</v>
      </c>
      <c r="E2970" s="12" t="str">
        <f t="array" ref="E2970">IF(D2970:D7013="","",IFERROR(_xlfn.XLOOKUP(D2970:D7013,'参照_勢力'!A:A,'参照_勢力'!B:B),IFERROR(_xlfn.XLOOKUP(F2970:F7013,kunishuClan!A:A,kunishuClan!B:B),"浪人")))</f>
      </c>
      <c r="F2970" s="4">
        <v>0</v>
      </c>
      <c r="G2970" s="4">
        <v>215</v>
      </c>
      <c r="H2970" s="12" t="str">
        <f t="array" ref="H2970">IF(G2970:G7013="","",_xlfn.XLOOKUP(G2970:G7013,castles_state!A:A,castles_state!D:D,"見つかりません"))</f>
      </c>
      <c r="I2970" s="4"/>
      <c r="J2970" s="12" t="str">
        <f t="array" ref="J2970">IF(I2970:I7013="","",_xlfn.XLOOKUP(I2970:I7013,'参照_姫'!A:A,'参照_姫'!B:B,"見つかりません"))</f>
      </c>
      <c r="K2970" s="4">
        <v>95</v>
      </c>
      <c r="L2970" s="4">
        <v>0</v>
      </c>
      <c r="M2970" s="4"/>
      <c r="N2970" s="4"/>
      <c r="O2970" s="4"/>
      <c r="P2970" s="12" t="str">
        <f t="array" ref="P2970">IF(O2970:O7013="","",_xlfn.XLOOKUP(O2970:O7013,'参照_官位'!A:A,'参照_官位'!B:B,""))</f>
      </c>
      <c r="Q2970" s="12" t="str">
        <f t="array" ref="Q2970">IF(A2970:A7013="","",IFERROR(_xlfn.XLOOKUP(A2970:A7013,castles_state!K:K,castles_state!D:D)&amp;"主",IFERROR(_xlfn.XLOOKUP(A2970:A7013,kunishuClan!D:D,kunishuClan!B:B)&amp;"当主","")))</f>
      </c>
    </row>
    <row r="2971" ht="15.75" customHeight="1">
      <c r="A2971" s="4">
        <v>1082006</v>
      </c>
      <c r="B2971" s="12" t="str">
        <f t="array" ref="B2971">IF(A2971:A7014="","",_xlfn.XLOOKUP(A2971:A7014,'参照_武将'!A:A,'参照_武将'!B:B,"見つかりません"))</f>
      </c>
      <c r="C2971" s="4" t="s">
        <v>382</v>
      </c>
      <c r="D2971" s="4">
        <v>82</v>
      </c>
      <c r="E2971" s="12" t="str">
        <f t="array" ref="E2971">IF(D2971:D7014="","",IFERROR(_xlfn.XLOOKUP(D2971:D7014,'参照_勢力'!A:A,'参照_勢力'!B:B),IFERROR(_xlfn.XLOOKUP(F2971:F7014,kunishuClan!A:A,kunishuClan!B:B),"浪人")))</f>
      </c>
      <c r="F2971" s="4">
        <v>0</v>
      </c>
      <c r="G2971" s="4">
        <v>215</v>
      </c>
      <c r="H2971" s="12" t="str">
        <f t="array" ref="H2971">IF(G2971:G7014="","",_xlfn.XLOOKUP(G2971:G7014,castles_state!A:A,castles_state!D:D,"見つかりません"))</f>
      </c>
      <c r="I2971" s="4"/>
      <c r="J2971" s="12" t="str">
        <f t="array" ref="J2971">IF(I2971:I7014="","",_xlfn.XLOOKUP(I2971:I7014,'参照_姫'!A:A,'参照_姫'!B:B,"見つかりません"))</f>
      </c>
      <c r="K2971" s="4">
        <v>95</v>
      </c>
      <c r="L2971" s="4">
        <v>0</v>
      </c>
      <c r="M2971" s="4"/>
      <c r="N2971" s="4"/>
      <c r="O2971" s="4"/>
      <c r="P2971" s="12" t="str">
        <f t="array" ref="P2971">IF(O2971:O7014="","",_xlfn.XLOOKUP(O2971:O7014,'参照_官位'!A:A,'参照_官位'!B:B,""))</f>
      </c>
      <c r="Q2971" s="12" t="str">
        <f t="array" ref="Q2971">IF(A2971:A7014="","",IFERROR(_xlfn.XLOOKUP(A2971:A7014,castles_state!K:K,castles_state!D:D)&amp;"主",IFERROR(_xlfn.XLOOKUP(A2971:A7014,kunishuClan!D:D,kunishuClan!B:B)&amp;"当主","")))</f>
      </c>
    </row>
    <row r="2972" ht="15.75" customHeight="1">
      <c r="A2972" s="4">
        <v>1082007</v>
      </c>
      <c r="B2972" s="12" t="str">
        <f t="array" ref="B2972">IF(A2972:A7015="","",_xlfn.XLOOKUP(A2972:A7015,'参照_武将'!A:A,'参照_武将'!B:B,"見つかりません"))</f>
      </c>
      <c r="C2972" s="4" t="s">
        <v>382</v>
      </c>
      <c r="D2972" s="4">
        <v>82</v>
      </c>
      <c r="E2972" s="12" t="str">
        <f t="array" ref="E2972">IF(D2972:D7015="","",IFERROR(_xlfn.XLOOKUP(D2972:D7015,'参照_勢力'!A:A,'参照_勢力'!B:B),IFERROR(_xlfn.XLOOKUP(F2972:F7015,kunishuClan!A:A,kunishuClan!B:B),"浪人")))</f>
      </c>
      <c r="F2972" s="4">
        <v>0</v>
      </c>
      <c r="G2972" s="4">
        <v>215</v>
      </c>
      <c r="H2972" s="12" t="str">
        <f t="array" ref="H2972">IF(G2972:G7015="","",_xlfn.XLOOKUP(G2972:G7015,castles_state!A:A,castles_state!D:D,"見つかりません"))</f>
      </c>
      <c r="I2972" s="4"/>
      <c r="J2972" s="12" t="str">
        <f t="array" ref="J2972">IF(I2972:I7015="","",_xlfn.XLOOKUP(I2972:I7015,'参照_姫'!A:A,'参照_姫'!B:B,"見つかりません"))</f>
      </c>
      <c r="K2972" s="4">
        <v>100</v>
      </c>
      <c r="L2972" s="4">
        <v>1000</v>
      </c>
      <c r="M2972" s="4"/>
      <c r="N2972" s="4"/>
      <c r="O2972" s="4">
        <v>71</v>
      </c>
      <c r="P2972" s="12" t="str">
        <f t="array" ref="P2972">IF(O2972:O7015="","",_xlfn.XLOOKUP(O2972:O7015,'参照_官位'!A:A,'参照_官位'!B:B,""))</f>
      </c>
      <c r="Q2972" s="12" t="str">
        <f t="array" ref="Q2972">IF(A2972:A7015="","",IFERROR(_xlfn.XLOOKUP(A2972:A7015,castles_state!K:K,castles_state!D:D)&amp;"主",IFERROR(_xlfn.XLOOKUP(A2972:A7015,kunishuClan!D:D,kunishuClan!B:B)&amp;"当主","")))</f>
      </c>
    </row>
    <row r="2973" ht="15.75" customHeight="1">
      <c r="A2973" s="4">
        <v>1082008</v>
      </c>
      <c r="B2973" s="12" t="str">
        <f t="array" ref="B2973">IF(A2973:A7016="","",_xlfn.XLOOKUP(A2973:A7016,'参照_武将'!A:A,'参照_武将'!B:B,"見つかりません"))</f>
      </c>
      <c r="C2973" s="4" t="s">
        <v>382</v>
      </c>
      <c r="D2973" s="4">
        <v>82</v>
      </c>
      <c r="E2973" s="12" t="str">
        <f t="array" ref="E2973">IF(D2973:D7016="","",IFERROR(_xlfn.XLOOKUP(D2973:D7016,'参照_勢力'!A:A,'参照_勢力'!B:B),IFERROR(_xlfn.XLOOKUP(F2973:F7016,kunishuClan!A:A,kunishuClan!B:B),"浪人")))</f>
      </c>
      <c r="F2973" s="4">
        <v>0</v>
      </c>
      <c r="G2973" s="4">
        <v>215</v>
      </c>
      <c r="H2973" s="12" t="str">
        <f t="array" ref="H2973">IF(G2973:G7016="","",_xlfn.XLOOKUP(G2973:G7016,castles_state!A:A,castles_state!D:D,"見つかりません"))</f>
      </c>
      <c r="I2973" s="4"/>
      <c r="J2973" s="12" t="str">
        <f t="array" ref="J2973">IF(I2973:I7016="","",_xlfn.XLOOKUP(I2973:I7016,'参照_姫'!A:A,'参照_姫'!B:B,"見つかりません"))</f>
      </c>
      <c r="K2973" s="4">
        <v>95</v>
      </c>
      <c r="L2973" s="4">
        <v>500</v>
      </c>
      <c r="M2973" s="4"/>
      <c r="N2973" s="4"/>
      <c r="O2973" s="4"/>
      <c r="P2973" s="12" t="str">
        <f t="array" ref="P2973">IF(O2973:O7016="","",_xlfn.XLOOKUP(O2973:O7016,'参照_官位'!A:A,'参照_官位'!B:B,""))</f>
      </c>
      <c r="Q2973" s="12" t="str">
        <f t="array" ref="Q2973">IF(A2973:A7016="","",IFERROR(_xlfn.XLOOKUP(A2973:A7016,castles_state!K:K,castles_state!D:D)&amp;"主",IFERROR(_xlfn.XLOOKUP(A2973:A7016,kunishuClan!D:D,kunishuClan!B:B)&amp;"当主","")))</f>
      </c>
    </row>
    <row r="2974" ht="15.75" customHeight="1">
      <c r="A2974" s="4">
        <v>1082009</v>
      </c>
      <c r="B2974" s="12" t="str">
        <f t="array" ref="B2974">IF(A2974:A7017="","",_xlfn.XLOOKUP(A2974:A7017,'参照_武将'!A:A,'参照_武将'!B:B,"見つかりません"))</f>
      </c>
      <c r="C2974" s="4" t="s">
        <v>382</v>
      </c>
      <c r="D2974" s="4">
        <v>82</v>
      </c>
      <c r="E2974" s="12" t="str">
        <f t="array" ref="E2974">IF(D2974:D7017="","",IFERROR(_xlfn.XLOOKUP(D2974:D7017,'参照_勢力'!A:A,'参照_勢力'!B:B),IFERROR(_xlfn.XLOOKUP(F2974:F7017,kunishuClan!A:A,kunishuClan!B:B),"浪人")))</f>
      </c>
      <c r="F2974" s="4">
        <v>0</v>
      </c>
      <c r="G2974" s="4">
        <v>215</v>
      </c>
      <c r="H2974" s="12" t="str">
        <f t="array" ref="H2974">IF(G2974:G7017="","",_xlfn.XLOOKUP(G2974:G7017,castles_state!A:A,castles_state!D:D,"見つかりません"))</f>
      </c>
      <c r="I2974" s="4"/>
      <c r="J2974" s="12" t="str">
        <f t="array" ref="J2974">IF(I2974:I7017="","",_xlfn.XLOOKUP(I2974:I7017,'参照_姫'!A:A,'参照_姫'!B:B,"見つかりません"))</f>
      </c>
      <c r="K2974" s="4">
        <v>95</v>
      </c>
      <c r="L2974" s="4">
        <v>300</v>
      </c>
      <c r="M2974" s="4"/>
      <c r="N2974" s="4"/>
      <c r="O2974" s="4"/>
      <c r="P2974" s="12" t="str">
        <f t="array" ref="P2974">IF(O2974:O7017="","",_xlfn.XLOOKUP(O2974:O7017,'参照_官位'!A:A,'参照_官位'!B:B,""))</f>
      </c>
      <c r="Q2974" s="12" t="str">
        <f t="array" ref="Q2974">IF(A2974:A7017="","",IFERROR(_xlfn.XLOOKUP(A2974:A7017,castles_state!K:K,castles_state!D:D)&amp;"主",IFERROR(_xlfn.XLOOKUP(A2974:A7017,kunishuClan!D:D,kunishuClan!B:B)&amp;"当主","")))</f>
      </c>
    </row>
    <row r="2975" ht="15.75" customHeight="1">
      <c r="A2975" s="4">
        <v>1082010</v>
      </c>
      <c r="B2975" s="12" t="str">
        <f t="array" ref="B2975">IF(A2975:A7018="","",_xlfn.XLOOKUP(A2975:A7018,'参照_武将'!A:A,'参照_武将'!B:B,"見つかりません"))</f>
      </c>
      <c r="C2975" s="4" t="s">
        <v>382</v>
      </c>
      <c r="D2975" s="4">
        <v>82</v>
      </c>
      <c r="E2975" s="12" t="str">
        <f t="array" ref="E2975">IF(D2975:D7018="","",IFERROR(_xlfn.XLOOKUP(D2975:D7018,'参照_勢力'!A:A,'参照_勢力'!B:B),IFERROR(_xlfn.XLOOKUP(F2975:F7018,kunishuClan!A:A,kunishuClan!B:B),"浪人")))</f>
      </c>
      <c r="F2975" s="4">
        <v>0</v>
      </c>
      <c r="G2975" s="4">
        <v>215</v>
      </c>
      <c r="H2975" s="12" t="str">
        <f t="array" ref="H2975">IF(G2975:G7018="","",_xlfn.XLOOKUP(G2975:G7018,castles_state!A:A,castles_state!D:D,"見つかりません"))</f>
      </c>
      <c r="I2975" s="4"/>
      <c r="J2975" s="12" t="str">
        <f t="array" ref="J2975">IF(I2975:I7018="","",_xlfn.XLOOKUP(I2975:I7018,'参照_姫'!A:A,'参照_姫'!B:B,"見つかりません"))</f>
      </c>
      <c r="K2975" s="4">
        <v>95</v>
      </c>
      <c r="L2975" s="4">
        <v>0</v>
      </c>
      <c r="M2975" s="4"/>
      <c r="N2975" s="4"/>
      <c r="O2975" s="4"/>
      <c r="P2975" s="12" t="str">
        <f t="array" ref="P2975">IF(O2975:O7018="","",_xlfn.XLOOKUP(O2975:O7018,'参照_官位'!A:A,'参照_官位'!B:B,""))</f>
      </c>
      <c r="Q2975" s="12" t="str">
        <f t="array" ref="Q2975">IF(A2975:A7018="","",IFERROR(_xlfn.XLOOKUP(A2975:A7018,castles_state!K:K,castles_state!D:D)&amp;"主",IFERROR(_xlfn.XLOOKUP(A2975:A7018,kunishuClan!D:D,kunishuClan!B:B)&amp;"当主","")))</f>
      </c>
    </row>
    <row r="2976" ht="15.75" customHeight="1">
      <c r="A2976" s="4">
        <v>1082011</v>
      </c>
      <c r="B2976" s="12" t="str">
        <f t="array" ref="B2976">IF(A2976:A7019="","",_xlfn.XLOOKUP(A2976:A7019,'参照_武将'!A:A,'参照_武将'!B:B,"見つかりません"))</f>
      </c>
      <c r="C2976" s="4" t="s">
        <v>382</v>
      </c>
      <c r="D2976" s="4">
        <v>82</v>
      </c>
      <c r="E2976" s="12" t="str">
        <f t="array" ref="E2976">IF(D2976:D7019="","",IFERROR(_xlfn.XLOOKUP(D2976:D7019,'参照_勢力'!A:A,'参照_勢力'!B:B),IFERROR(_xlfn.XLOOKUP(F2976:F7019,kunishuClan!A:A,kunishuClan!B:B),"浪人")))</f>
      </c>
      <c r="F2976" s="4">
        <v>0</v>
      </c>
      <c r="G2976" s="4">
        <v>215</v>
      </c>
      <c r="H2976" s="12" t="str">
        <f t="array" ref="H2976">IF(G2976:G7019="","",_xlfn.XLOOKUP(G2976:G7019,castles_state!A:A,castles_state!D:D,"見つかりません"))</f>
      </c>
      <c r="I2976" s="4"/>
      <c r="J2976" s="12" t="str">
        <f t="array" ref="J2976">IF(I2976:I7019="","",_xlfn.XLOOKUP(I2976:I7019,'参照_姫'!A:A,'参照_姫'!B:B,"見つかりません"))</f>
      </c>
      <c r="K2976" s="4">
        <v>95</v>
      </c>
      <c r="L2976" s="4">
        <v>300</v>
      </c>
      <c r="M2976" s="4" t="b">
        <v>1</v>
      </c>
      <c r="N2976" s="4"/>
      <c r="O2976" s="4"/>
      <c r="P2976" s="12" t="str">
        <f t="array" ref="P2976">IF(O2976:O7019="","",_xlfn.XLOOKUP(O2976:O7019,'参照_官位'!A:A,'参照_官位'!B:B,""))</f>
      </c>
      <c r="Q2976" s="12" t="str">
        <f t="array" ref="Q2976">IF(A2976:A7019="","",IFERROR(_xlfn.XLOOKUP(A2976:A7019,castles_state!K:K,castles_state!D:D)&amp;"主",IFERROR(_xlfn.XLOOKUP(A2976:A7019,kunishuClan!D:D,kunishuClan!B:B)&amp;"当主","")))</f>
      </c>
    </row>
    <row r="2977" ht="15.75" customHeight="1">
      <c r="A2977" s="4">
        <v>1082012</v>
      </c>
      <c r="B2977" s="12" t="str">
        <f t="array" ref="B2977">IF(A2977:A7020="","",_xlfn.XLOOKUP(A2977:A7020,'参照_武将'!A:A,'参照_武将'!B:B,"見つかりません"))</f>
      </c>
      <c r="C2977" s="4" t="s">
        <v>382</v>
      </c>
      <c r="D2977" s="4">
        <v>82</v>
      </c>
      <c r="E2977" s="12" t="str">
        <f t="array" ref="E2977">IF(D2977:D7020="","",IFERROR(_xlfn.XLOOKUP(D2977:D7020,'参照_勢力'!A:A,'参照_勢力'!B:B),IFERROR(_xlfn.XLOOKUP(F2977:F7020,kunishuClan!A:A,kunishuClan!B:B),"浪人")))</f>
      </c>
      <c r="F2977" s="4">
        <v>0</v>
      </c>
      <c r="G2977" s="4">
        <v>215</v>
      </c>
      <c r="H2977" s="12" t="str">
        <f t="array" ref="H2977">IF(G2977:G7020="","",_xlfn.XLOOKUP(G2977:G7020,castles_state!A:A,castles_state!D:D,"見つかりません"))</f>
      </c>
      <c r="I2977" s="4"/>
      <c r="J2977" s="12" t="str">
        <f t="array" ref="J2977">IF(I2977:I7020="","",_xlfn.XLOOKUP(I2977:I7020,'参照_姫'!A:A,'参照_姫'!B:B,"見つかりません"))</f>
      </c>
      <c r="K2977" s="4">
        <v>95</v>
      </c>
      <c r="L2977" s="4">
        <v>0</v>
      </c>
      <c r="M2977" s="4"/>
      <c r="N2977" s="4"/>
      <c r="O2977" s="4"/>
      <c r="P2977" s="12" t="str">
        <f t="array" ref="P2977">IF(O2977:O7020="","",_xlfn.XLOOKUP(O2977:O7020,'参照_官位'!A:A,'参照_官位'!B:B,""))</f>
      </c>
      <c r="Q2977" s="12" t="str">
        <f t="array" ref="Q2977">IF(A2977:A7020="","",IFERROR(_xlfn.XLOOKUP(A2977:A7020,castles_state!K:K,castles_state!D:D)&amp;"主",IFERROR(_xlfn.XLOOKUP(A2977:A7020,kunishuClan!D:D,kunishuClan!B:B)&amp;"当主","")))</f>
      </c>
    </row>
    <row r="2978" ht="15.75" customHeight="1">
      <c r="A2978" s="4">
        <v>1082013</v>
      </c>
      <c r="B2978" s="12" t="str">
        <f t="array" ref="B2978">IF(A2978:A7021="","",_xlfn.XLOOKUP(A2978:A7021,'参照_武将'!A:A,'参照_武将'!B:B,"見つかりません"))</f>
      </c>
      <c r="C2978" s="4" t="s">
        <v>382</v>
      </c>
      <c r="D2978" s="4">
        <v>82</v>
      </c>
      <c r="E2978" s="12" t="str">
        <f t="array" ref="E2978">IF(D2978:D7021="","",IFERROR(_xlfn.XLOOKUP(D2978:D7021,'参照_勢力'!A:A,'参照_勢力'!B:B),IFERROR(_xlfn.XLOOKUP(F2978:F7021,kunishuClan!A:A,kunishuClan!B:B),"浪人")))</f>
      </c>
      <c r="F2978" s="4">
        <v>0</v>
      </c>
      <c r="G2978" s="4">
        <v>215</v>
      </c>
      <c r="H2978" s="12" t="str">
        <f t="array" ref="H2978">IF(G2978:G7021="","",_xlfn.XLOOKUP(G2978:G7021,castles_state!A:A,castles_state!D:D,"見つかりません"))</f>
      </c>
      <c r="I2978" s="4"/>
      <c r="J2978" s="12" t="str">
        <f t="array" ref="J2978">IF(I2978:I7021="","",_xlfn.XLOOKUP(I2978:I7021,'参照_姫'!A:A,'参照_姫'!B:B,"見つかりません"))</f>
      </c>
      <c r="K2978" s="4">
        <v>95</v>
      </c>
      <c r="L2978" s="4">
        <v>0</v>
      </c>
      <c r="M2978" s="4"/>
      <c r="N2978" s="4"/>
      <c r="O2978" s="4"/>
      <c r="P2978" s="12" t="str">
        <f t="array" ref="P2978">IF(O2978:O7021="","",_xlfn.XLOOKUP(O2978:O7021,'参照_官位'!A:A,'参照_官位'!B:B,""))</f>
      </c>
      <c r="Q2978" s="12" t="str">
        <f t="array" ref="Q2978">IF(A2978:A7021="","",IFERROR(_xlfn.XLOOKUP(A2978:A7021,castles_state!K:K,castles_state!D:D)&amp;"主",IFERROR(_xlfn.XLOOKUP(A2978:A7021,kunishuClan!D:D,kunishuClan!B:B)&amp;"当主","")))</f>
      </c>
    </row>
    <row r="2979" ht="15.75" customHeight="1">
      <c r="A2979" s="4">
        <v>1082014</v>
      </c>
      <c r="B2979" s="12" t="str">
        <f t="array" ref="B2979">IF(A2979:A7022="","",_xlfn.XLOOKUP(A2979:A7022,'参照_武将'!A:A,'参照_武将'!B:B,"見つかりません"))</f>
      </c>
      <c r="C2979" s="4" t="s">
        <v>382</v>
      </c>
      <c r="D2979" s="4">
        <v>82</v>
      </c>
      <c r="E2979" s="12" t="str">
        <f t="array" ref="E2979">IF(D2979:D7022="","",IFERROR(_xlfn.XLOOKUP(D2979:D7022,'参照_勢力'!A:A,'参照_勢力'!B:B),IFERROR(_xlfn.XLOOKUP(F2979:F7022,kunishuClan!A:A,kunishuClan!B:B),"浪人")))</f>
      </c>
      <c r="F2979" s="4">
        <v>0</v>
      </c>
      <c r="G2979" s="4">
        <v>215</v>
      </c>
      <c r="H2979" s="12" t="str">
        <f t="array" ref="H2979">IF(G2979:G7022="","",_xlfn.XLOOKUP(G2979:G7022,castles_state!A:A,castles_state!D:D,"見つかりません"))</f>
      </c>
      <c r="I2979" s="4"/>
      <c r="J2979" s="12" t="str">
        <f t="array" ref="J2979">IF(I2979:I7022="","",_xlfn.XLOOKUP(I2979:I7022,'参照_姫'!A:A,'参照_姫'!B:B,"見つかりません"))</f>
      </c>
      <c r="K2979" s="4">
        <v>95</v>
      </c>
      <c r="L2979" s="4">
        <v>0</v>
      </c>
      <c r="M2979" s="4"/>
      <c r="N2979" s="4"/>
      <c r="O2979" s="4"/>
      <c r="P2979" s="12" t="str">
        <f t="array" ref="P2979">IF(O2979:O7022="","",_xlfn.XLOOKUP(O2979:O7022,'参照_官位'!A:A,'参照_官位'!B:B,""))</f>
      </c>
      <c r="Q2979" s="12" t="str">
        <f t="array" ref="Q2979">IF(A2979:A7022="","",IFERROR(_xlfn.XLOOKUP(A2979:A7022,castles_state!K:K,castles_state!D:D)&amp;"主",IFERROR(_xlfn.XLOOKUP(A2979:A7022,kunishuClan!D:D,kunishuClan!B:B)&amp;"当主","")))</f>
      </c>
    </row>
    <row r="2980" ht="15.75" customHeight="1">
      <c r="A2980" s="4">
        <v>1082015</v>
      </c>
      <c r="B2980" s="12" t="str">
        <f t="array" ref="B2980">IF(A2980:A7023="","",_xlfn.XLOOKUP(A2980:A7023,'参照_武将'!A:A,'参照_武将'!B:B,"見つかりません"))</f>
      </c>
      <c r="C2980" s="4" t="s">
        <v>382</v>
      </c>
      <c r="D2980" s="4">
        <v>82</v>
      </c>
      <c r="E2980" s="12" t="str">
        <f t="array" ref="E2980">IF(D2980:D7023="","",IFERROR(_xlfn.XLOOKUP(D2980:D7023,'参照_勢力'!A:A,'参照_勢力'!B:B),IFERROR(_xlfn.XLOOKUP(F2980:F7023,kunishuClan!A:A,kunishuClan!B:B),"浪人")))</f>
      </c>
      <c r="F2980" s="4">
        <v>0</v>
      </c>
      <c r="G2980" s="4">
        <v>215</v>
      </c>
      <c r="H2980" s="12" t="str">
        <f t="array" ref="H2980">IF(G2980:G7023="","",_xlfn.XLOOKUP(G2980:G7023,castles_state!A:A,castles_state!D:D,"見つかりません"))</f>
      </c>
      <c r="I2980" s="4"/>
      <c r="J2980" s="12" t="str">
        <f t="array" ref="J2980">IF(I2980:I7023="","",_xlfn.XLOOKUP(I2980:I7023,'参照_姫'!A:A,'参照_姫'!B:B,"見つかりません"))</f>
      </c>
      <c r="K2980" s="4">
        <v>95</v>
      </c>
      <c r="L2980" s="4">
        <v>0</v>
      </c>
      <c r="M2980" s="4"/>
      <c r="N2980" s="4"/>
      <c r="O2980" s="4"/>
      <c r="P2980" s="12" t="str">
        <f t="array" ref="P2980">IF(O2980:O7023="","",_xlfn.XLOOKUP(O2980:O7023,'参照_官位'!A:A,'参照_官位'!B:B,""))</f>
      </c>
      <c r="Q2980" s="12" t="str">
        <f t="array" ref="Q2980">IF(A2980:A7023="","",IFERROR(_xlfn.XLOOKUP(A2980:A7023,castles_state!K:K,castles_state!D:D)&amp;"主",IFERROR(_xlfn.XLOOKUP(A2980:A7023,kunishuClan!D:D,kunishuClan!B:B)&amp;"当主","")))</f>
      </c>
    </row>
    <row r="2981" ht="15.75" customHeight="1">
      <c r="A2981" s="4">
        <v>1082016</v>
      </c>
      <c r="B2981" s="12" t="str">
        <f t="array" ref="B2981">IF(A2981:A7024="","",_xlfn.XLOOKUP(A2981:A7024,'参照_武将'!A:A,'参照_武将'!B:B,"見つかりません"))</f>
      </c>
      <c r="C2981" s="4" t="s">
        <v>382</v>
      </c>
      <c r="D2981" s="4">
        <v>82</v>
      </c>
      <c r="E2981" s="12" t="str">
        <f t="array" ref="E2981">IF(D2981:D7024="","",IFERROR(_xlfn.XLOOKUP(D2981:D7024,'参照_勢力'!A:A,'参照_勢力'!B:B),IFERROR(_xlfn.XLOOKUP(F2981:F7024,kunishuClan!A:A,kunishuClan!B:B),"浪人")))</f>
      </c>
      <c r="F2981" s="4">
        <v>0</v>
      </c>
      <c r="G2981" s="4">
        <v>215</v>
      </c>
      <c r="H2981" s="12" t="str">
        <f t="array" ref="H2981">IF(G2981:G7024="","",_xlfn.XLOOKUP(G2981:G7024,castles_state!A:A,castles_state!D:D,"見つかりません"))</f>
      </c>
      <c r="I2981" s="4"/>
      <c r="J2981" s="12" t="str">
        <f t="array" ref="J2981">IF(I2981:I7024="","",_xlfn.XLOOKUP(I2981:I7024,'参照_姫'!A:A,'参照_姫'!B:B,"見つかりません"))</f>
      </c>
      <c r="K2981" s="4">
        <v>95</v>
      </c>
      <c r="L2981" s="4">
        <v>0</v>
      </c>
      <c r="M2981" s="4"/>
      <c r="N2981" s="4"/>
      <c r="O2981" s="4"/>
      <c r="P2981" s="12" t="str">
        <f t="array" ref="P2981">IF(O2981:O7024="","",_xlfn.XLOOKUP(O2981:O7024,'参照_官位'!A:A,'参照_官位'!B:B,""))</f>
      </c>
      <c r="Q2981" s="12" t="str">
        <f t="array" ref="Q2981">IF(A2981:A7024="","",IFERROR(_xlfn.XLOOKUP(A2981:A7024,castles_state!K:K,castles_state!D:D)&amp;"主",IFERROR(_xlfn.XLOOKUP(A2981:A7024,kunishuClan!D:D,kunishuClan!B:B)&amp;"当主","")))</f>
      </c>
    </row>
    <row r="2982" ht="15.75" customHeight="1">
      <c r="A2982" s="4">
        <v>1082017</v>
      </c>
      <c r="B2982" s="12" t="str">
        <f t="array" ref="B2982">IF(A2982:A7025="","",_xlfn.XLOOKUP(A2982:A7025,'参照_武将'!A:A,'参照_武将'!B:B,"見つかりません"))</f>
      </c>
      <c r="C2982" s="4" t="s">
        <v>382</v>
      </c>
      <c r="D2982" s="4">
        <v>82</v>
      </c>
      <c r="E2982" s="12" t="str">
        <f t="array" ref="E2982">IF(D2982:D7025="","",IFERROR(_xlfn.XLOOKUP(D2982:D7025,'参照_勢力'!A:A,'参照_勢力'!B:B),IFERROR(_xlfn.XLOOKUP(F2982:F7025,kunishuClan!A:A,kunishuClan!B:B),"浪人")))</f>
      </c>
      <c r="F2982" s="4">
        <v>0</v>
      </c>
      <c r="G2982" s="4">
        <v>215</v>
      </c>
      <c r="H2982" s="12" t="str">
        <f t="array" ref="H2982">IF(G2982:G7025="","",_xlfn.XLOOKUP(G2982:G7025,castles_state!A:A,castles_state!D:D,"見つかりません"))</f>
      </c>
      <c r="I2982" s="4"/>
      <c r="J2982" s="12" t="str">
        <f t="array" ref="J2982">IF(I2982:I7025="","",_xlfn.XLOOKUP(I2982:I7025,'参照_姫'!A:A,'参照_姫'!B:B,"見つかりません"))</f>
      </c>
      <c r="K2982" s="4">
        <v>95</v>
      </c>
      <c r="L2982" s="4">
        <v>300</v>
      </c>
      <c r="M2982" s="4"/>
      <c r="N2982" s="4"/>
      <c r="O2982" s="4"/>
      <c r="P2982" s="12" t="str">
        <f t="array" ref="P2982">IF(O2982:O7025="","",_xlfn.XLOOKUP(O2982:O7025,'参照_官位'!A:A,'参照_官位'!B:B,""))</f>
      </c>
      <c r="Q2982" s="12" t="str">
        <f t="array" ref="Q2982">IF(A2982:A7025="","",IFERROR(_xlfn.XLOOKUP(A2982:A7025,castles_state!K:K,castles_state!D:D)&amp;"主",IFERROR(_xlfn.XLOOKUP(A2982:A7025,kunishuClan!D:D,kunishuClan!B:B)&amp;"当主","")))</f>
      </c>
    </row>
    <row r="2983" ht="15.75" customHeight="1">
      <c r="A2983" s="4">
        <v>1082018</v>
      </c>
      <c r="B2983" s="12" t="str">
        <f t="array" ref="B2983">IF(A2983:A7026="","",_xlfn.XLOOKUP(A2983:A7026,'参照_武将'!A:A,'参照_武将'!B:B,"見つかりません"))</f>
      </c>
      <c r="C2983" s="4" t="s">
        <v>382</v>
      </c>
      <c r="D2983" s="4">
        <v>82</v>
      </c>
      <c r="E2983" s="12" t="str">
        <f t="array" ref="E2983">IF(D2983:D7026="","",IFERROR(_xlfn.XLOOKUP(D2983:D7026,'参照_勢力'!A:A,'参照_勢力'!B:B),IFERROR(_xlfn.XLOOKUP(F2983:F7026,kunishuClan!A:A,kunishuClan!B:B),"浪人")))</f>
      </c>
      <c r="F2983" s="4">
        <v>0</v>
      </c>
      <c r="G2983" s="4">
        <v>215</v>
      </c>
      <c r="H2983" s="12" t="str">
        <f t="array" ref="H2983">IF(G2983:G7026="","",_xlfn.XLOOKUP(G2983:G7026,castles_state!A:A,castles_state!D:D,"見つかりません"))</f>
      </c>
      <c r="I2983" s="4"/>
      <c r="J2983" s="12" t="str">
        <f t="array" ref="J2983">IF(I2983:I7026="","",_xlfn.XLOOKUP(I2983:I7026,'参照_姫'!A:A,'参照_姫'!B:B,"見つかりません"))</f>
      </c>
      <c r="K2983" s="4">
        <v>95</v>
      </c>
      <c r="L2983" s="4">
        <v>0</v>
      </c>
      <c r="M2983" s="4"/>
      <c r="N2983" s="4"/>
      <c r="O2983" s="4"/>
      <c r="P2983" s="12" t="str">
        <f t="array" ref="P2983">IF(O2983:O7026="","",_xlfn.XLOOKUP(O2983:O7026,'参照_官位'!A:A,'参照_官位'!B:B,""))</f>
      </c>
      <c r="Q2983" s="12" t="str">
        <f t="array" ref="Q2983">IF(A2983:A7026="","",IFERROR(_xlfn.XLOOKUP(A2983:A7026,castles_state!K:K,castles_state!D:D)&amp;"主",IFERROR(_xlfn.XLOOKUP(A2983:A7026,kunishuClan!D:D,kunishuClan!B:B)&amp;"当主","")))</f>
      </c>
    </row>
    <row r="2984" ht="15.75" customHeight="1">
      <c r="A2984" s="4">
        <v>1082019</v>
      </c>
      <c r="B2984" s="12" t="str">
        <f t="array" ref="B2984">IF(A2984:A7027="","",_xlfn.XLOOKUP(A2984:A7027,'参照_武将'!A:A,'参照_武将'!B:B,"見つかりません"))</f>
      </c>
      <c r="C2984" s="4" t="s">
        <v>382</v>
      </c>
      <c r="D2984" s="4">
        <v>82</v>
      </c>
      <c r="E2984" s="12" t="str">
        <f t="array" ref="E2984">IF(D2984:D7027="","",IFERROR(_xlfn.XLOOKUP(D2984:D7027,'参照_勢力'!A:A,'参照_勢力'!B:B),IFERROR(_xlfn.XLOOKUP(F2984:F7027,kunishuClan!A:A,kunishuClan!B:B),"浪人")))</f>
      </c>
      <c r="F2984" s="4">
        <v>0</v>
      </c>
      <c r="G2984" s="4">
        <v>215</v>
      </c>
      <c r="H2984" s="12" t="str">
        <f t="array" ref="H2984">IF(G2984:G7027="","",_xlfn.XLOOKUP(G2984:G7027,castles_state!A:A,castles_state!D:D,"見つかりません"))</f>
      </c>
      <c r="I2984" s="4"/>
      <c r="J2984" s="12" t="str">
        <f t="array" ref="J2984">IF(I2984:I7027="","",_xlfn.XLOOKUP(I2984:I7027,'参照_姫'!A:A,'参照_姫'!B:B,"見つかりません"))</f>
      </c>
      <c r="K2984" s="4">
        <v>95</v>
      </c>
      <c r="L2984" s="4">
        <v>300</v>
      </c>
      <c r="M2984" s="4"/>
      <c r="N2984" s="4"/>
      <c r="O2984" s="4"/>
      <c r="P2984" s="12" t="str">
        <f t="array" ref="P2984">IF(O2984:O7027="","",_xlfn.XLOOKUP(O2984:O7027,'参照_官位'!A:A,'参照_官位'!B:B,""))</f>
      </c>
      <c r="Q2984" s="12" t="str">
        <f t="array" ref="Q2984">IF(A2984:A7027="","",IFERROR(_xlfn.XLOOKUP(A2984:A7027,castles_state!K:K,castles_state!D:D)&amp;"主",IFERROR(_xlfn.XLOOKUP(A2984:A7027,kunishuClan!D:D,kunishuClan!B:B)&amp;"当主","")))</f>
      </c>
    </row>
    <row r="2985" ht="15.75" customHeight="1">
      <c r="A2985" s="4">
        <v>1082020</v>
      </c>
      <c r="B2985" s="12" t="str">
        <f t="array" ref="B2985">IF(A2985:A7028="","",_xlfn.XLOOKUP(A2985:A7028,'参照_武将'!A:A,'参照_武将'!B:B,"見つかりません"))</f>
      </c>
      <c r="C2985" s="4" t="s">
        <v>382</v>
      </c>
      <c r="D2985" s="4">
        <v>82</v>
      </c>
      <c r="E2985" s="12" t="str">
        <f t="array" ref="E2985">IF(D2985:D7028="","",IFERROR(_xlfn.XLOOKUP(D2985:D7028,'参照_勢力'!A:A,'参照_勢力'!B:B),IFERROR(_xlfn.XLOOKUP(F2985:F7028,kunishuClan!A:A,kunishuClan!B:B),"浪人")))</f>
      </c>
      <c r="F2985" s="4">
        <v>0</v>
      </c>
      <c r="G2985" s="4">
        <v>215</v>
      </c>
      <c r="H2985" s="12" t="str">
        <f t="array" ref="H2985">IF(G2985:G7028="","",_xlfn.XLOOKUP(G2985:G7028,castles_state!A:A,castles_state!D:D,"見つかりません"))</f>
      </c>
      <c r="I2985" s="4"/>
      <c r="J2985" s="12" t="str">
        <f t="array" ref="J2985">IF(I2985:I7028="","",_xlfn.XLOOKUP(I2985:I7028,'参照_姫'!A:A,'参照_姫'!B:B,"見つかりません"))</f>
      </c>
      <c r="K2985" s="4">
        <v>95</v>
      </c>
      <c r="L2985" s="4">
        <v>0</v>
      </c>
      <c r="M2985" s="4"/>
      <c r="N2985" s="4"/>
      <c r="O2985" s="4"/>
      <c r="P2985" s="12" t="str">
        <f t="array" ref="P2985">IF(O2985:O7028="","",_xlfn.XLOOKUP(O2985:O7028,'参照_官位'!A:A,'参照_官位'!B:B,""))</f>
      </c>
      <c r="Q2985" s="12" t="str">
        <f t="array" ref="Q2985">IF(A2985:A7028="","",IFERROR(_xlfn.XLOOKUP(A2985:A7028,castles_state!K:K,castles_state!D:D)&amp;"主",IFERROR(_xlfn.XLOOKUP(A2985:A7028,kunishuClan!D:D,kunishuClan!B:B)&amp;"当主","")))</f>
      </c>
    </row>
    <row r="2986" ht="15.75" customHeight="1">
      <c r="A2986" s="4">
        <v>1082021</v>
      </c>
      <c r="B2986" s="12" t="str">
        <f t="array" ref="B2986">IF(A2986:A7029="","",_xlfn.XLOOKUP(A2986:A7029,'参照_武将'!A:A,'参照_武将'!B:B,"見つかりません"))</f>
      </c>
      <c r="C2986" s="4" t="s">
        <v>382</v>
      </c>
      <c r="D2986" s="4">
        <v>82</v>
      </c>
      <c r="E2986" s="12" t="str">
        <f t="array" ref="E2986">IF(D2986:D7029="","",IFERROR(_xlfn.XLOOKUP(D2986:D7029,'参照_勢力'!A:A,'参照_勢力'!B:B),IFERROR(_xlfn.XLOOKUP(F2986:F7029,kunishuClan!A:A,kunishuClan!B:B),"浪人")))</f>
      </c>
      <c r="F2986" s="4">
        <v>0</v>
      </c>
      <c r="G2986" s="4">
        <v>215</v>
      </c>
      <c r="H2986" s="12" t="str">
        <f t="array" ref="H2986">IF(G2986:G7029="","",_xlfn.XLOOKUP(G2986:G7029,castles_state!A:A,castles_state!D:D,"見つかりません"))</f>
      </c>
      <c r="I2986" s="4"/>
      <c r="J2986" s="12" t="str">
        <f t="array" ref="J2986">IF(I2986:I7029="","",_xlfn.XLOOKUP(I2986:I7029,'参照_姫'!A:A,'参照_姫'!B:B,"見つかりません"))</f>
      </c>
      <c r="K2986" s="4">
        <v>95</v>
      </c>
      <c r="L2986" s="4">
        <v>0</v>
      </c>
      <c r="M2986" s="4"/>
      <c r="N2986" s="4"/>
      <c r="O2986" s="4"/>
      <c r="P2986" s="12" t="str">
        <f t="array" ref="P2986">IF(O2986:O7029="","",_xlfn.XLOOKUP(O2986:O7029,'参照_官位'!A:A,'参照_官位'!B:B,""))</f>
      </c>
      <c r="Q2986" s="12" t="str">
        <f t="array" ref="Q2986">IF(A2986:A7029="","",IFERROR(_xlfn.XLOOKUP(A2986:A7029,castles_state!K:K,castles_state!D:D)&amp;"主",IFERROR(_xlfn.XLOOKUP(A2986:A7029,kunishuClan!D:D,kunishuClan!B:B)&amp;"当主","")))</f>
      </c>
    </row>
    <row r="2987" ht="15.75" customHeight="1">
      <c r="A2987" s="4">
        <v>1082022</v>
      </c>
      <c r="B2987" s="12" t="str">
        <f t="array" ref="B2987">IF(A2987:A7030="","",_xlfn.XLOOKUP(A2987:A7030,'参照_武将'!A:A,'参照_武将'!B:B,"見つかりません"))</f>
      </c>
      <c r="C2987" s="4" t="s">
        <v>382</v>
      </c>
      <c r="D2987" s="4">
        <v>82</v>
      </c>
      <c r="E2987" s="12" t="str">
        <f t="array" ref="E2987">IF(D2987:D7030="","",IFERROR(_xlfn.XLOOKUP(D2987:D7030,'参照_勢力'!A:A,'参照_勢力'!B:B),IFERROR(_xlfn.XLOOKUP(F2987:F7030,kunishuClan!A:A,kunishuClan!B:B),"浪人")))</f>
      </c>
      <c r="F2987" s="4">
        <v>0</v>
      </c>
      <c r="G2987" s="4">
        <v>215</v>
      </c>
      <c r="H2987" s="12" t="str">
        <f t="array" ref="H2987">IF(G2987:G7030="","",_xlfn.XLOOKUP(G2987:G7030,castles_state!A:A,castles_state!D:D,"見つかりません"))</f>
      </c>
      <c r="I2987" s="4"/>
      <c r="J2987" s="12" t="str">
        <f t="array" ref="J2987">IF(I2987:I7030="","",_xlfn.XLOOKUP(I2987:I7030,'参照_姫'!A:A,'参照_姫'!B:B,"見つかりません"))</f>
      </c>
      <c r="K2987" s="4">
        <v>95</v>
      </c>
      <c r="L2987" s="4">
        <v>0</v>
      </c>
      <c r="M2987" s="4"/>
      <c r="N2987" s="4"/>
      <c r="O2987" s="4"/>
      <c r="P2987" s="12" t="str">
        <f t="array" ref="P2987">IF(O2987:O7030="","",_xlfn.XLOOKUP(O2987:O7030,'参照_官位'!A:A,'参照_官位'!B:B,""))</f>
      </c>
      <c r="Q2987" s="12" t="str">
        <f t="array" ref="Q2987">IF(A2987:A7030="","",IFERROR(_xlfn.XLOOKUP(A2987:A7030,castles_state!K:K,castles_state!D:D)&amp;"主",IFERROR(_xlfn.XLOOKUP(A2987:A7030,kunishuClan!D:D,kunishuClan!B:B)&amp;"当主","")))</f>
      </c>
    </row>
    <row r="2988" ht="15.75" customHeight="1">
      <c r="A2988" s="4">
        <v>1082023</v>
      </c>
      <c r="B2988" s="12" t="str">
        <f t="array" ref="B2988">IF(A2988:A7031="","",_xlfn.XLOOKUP(A2988:A7031,'参照_武将'!A:A,'参照_武将'!B:B,"見つかりません"))</f>
      </c>
      <c r="C2988" s="4" t="s">
        <v>382</v>
      </c>
      <c r="D2988" s="4">
        <v>82</v>
      </c>
      <c r="E2988" s="12" t="str">
        <f t="array" ref="E2988">IF(D2988:D7031="","",IFERROR(_xlfn.XLOOKUP(D2988:D7031,'参照_勢力'!A:A,'参照_勢力'!B:B),IFERROR(_xlfn.XLOOKUP(F2988:F7031,kunishuClan!A:A,kunishuClan!B:B),"浪人")))</f>
      </c>
      <c r="F2988" s="4">
        <v>0</v>
      </c>
      <c r="G2988" s="4">
        <v>215</v>
      </c>
      <c r="H2988" s="12" t="str">
        <f t="array" ref="H2988">IF(G2988:G7031="","",_xlfn.XLOOKUP(G2988:G7031,castles_state!A:A,castles_state!D:D,"見つかりません"))</f>
      </c>
      <c r="I2988" s="4"/>
      <c r="J2988" s="12" t="str">
        <f t="array" ref="J2988">IF(I2988:I7031="","",_xlfn.XLOOKUP(I2988:I7031,'参照_姫'!A:A,'参照_姫'!B:B,"見つかりません"))</f>
      </c>
      <c r="K2988" s="4">
        <v>95</v>
      </c>
      <c r="L2988" s="4">
        <v>0</v>
      </c>
      <c r="M2988" s="4"/>
      <c r="N2988" s="4"/>
      <c r="O2988" s="4"/>
      <c r="P2988" s="12" t="str">
        <f t="array" ref="P2988">IF(O2988:O7031="","",_xlfn.XLOOKUP(O2988:O7031,'参照_官位'!A:A,'参照_官位'!B:B,""))</f>
      </c>
      <c r="Q2988" s="12" t="str">
        <f t="array" ref="Q2988">IF(A2988:A7031="","",IFERROR(_xlfn.XLOOKUP(A2988:A7031,castles_state!K:K,castles_state!D:D)&amp;"主",IFERROR(_xlfn.XLOOKUP(A2988:A7031,kunishuClan!D:D,kunishuClan!B:B)&amp;"当主","")))</f>
      </c>
    </row>
    <row r="2989" ht="15.75" customHeight="1">
      <c r="A2989" s="4">
        <v>1083001</v>
      </c>
      <c r="B2989" s="12" t="str">
        <f t="array" ref="B2989">IF(A2989:A7032="","",_xlfn.XLOOKUP(A2989:A7032,'参照_武将'!A:A,'参照_武将'!B:B,"見つかりません"))</f>
      </c>
      <c r="C2989" s="4" t="s">
        <v>385</v>
      </c>
      <c r="D2989" s="4">
        <v>83</v>
      </c>
      <c r="E2989" s="12" t="str">
        <f t="array" ref="E2989">IF(D2989:D7032="","",IFERROR(_xlfn.XLOOKUP(D2989:D7032,'参照_勢力'!A:A,'参照_勢力'!B:B),IFERROR(_xlfn.XLOOKUP(F2989:F7032,kunishuClan!A:A,kunishuClan!B:B),"浪人")))</f>
      </c>
      <c r="F2989" s="4">
        <v>0</v>
      </c>
      <c r="G2989" s="4">
        <v>220</v>
      </c>
      <c r="H2989" s="12" t="str">
        <f t="array" ref="H2989">IF(G2989:G7032="","",_xlfn.XLOOKUP(G2989:G7032,castles_state!A:A,castles_state!D:D,"見つかりません"))</f>
      </c>
      <c r="I2989" s="4"/>
      <c r="J2989" s="12" t="str">
        <f t="array" ref="J2989">IF(I2989:I7032="","",_xlfn.XLOOKUP(I2989:I7032,'参照_姫'!A:A,'参照_姫'!B:B,"見つかりません"))</f>
      </c>
      <c r="K2989" s="4">
        <v>95</v>
      </c>
      <c r="L2989" s="4">
        <v>0</v>
      </c>
      <c r="M2989" s="4"/>
      <c r="N2989" s="4"/>
      <c r="O2989" s="4"/>
      <c r="P2989" s="12" t="str">
        <f t="array" ref="P2989">IF(O2989:O7032="","",_xlfn.XLOOKUP(O2989:O7032,'参照_官位'!A:A,'参照_官位'!B:B,""))</f>
      </c>
      <c r="Q2989" s="12" t="str">
        <f t="array" ref="Q2989">IF(A2989:A7032="","",IFERROR(_xlfn.XLOOKUP(A2989:A7032,castles_state!K:K,castles_state!D:D)&amp;"主",IFERROR(_xlfn.XLOOKUP(A2989:A7032,kunishuClan!D:D,kunishuClan!B:B)&amp;"当主","")))</f>
      </c>
    </row>
    <row r="2990" ht="15.75" customHeight="1">
      <c r="A2990" s="4">
        <v>1083002</v>
      </c>
      <c r="B2990" s="12" t="str">
        <f t="array" ref="B2990">IF(A2990:A7033="","",_xlfn.XLOOKUP(A2990:A7033,'参照_武将'!A:A,'参照_武将'!B:B,"見つかりません"))</f>
      </c>
      <c r="C2990" s="4" t="s">
        <v>385</v>
      </c>
      <c r="D2990" s="4">
        <v>83</v>
      </c>
      <c r="E2990" s="12" t="str">
        <f t="array" ref="E2990">IF(D2990:D7033="","",IFERROR(_xlfn.XLOOKUP(D2990:D7033,'参照_勢力'!A:A,'参照_勢力'!B:B),IFERROR(_xlfn.XLOOKUP(F2990:F7033,kunishuClan!A:A,kunishuClan!B:B),"浪人")))</f>
      </c>
      <c r="F2990" s="4">
        <v>0</v>
      </c>
      <c r="G2990" s="4">
        <v>220</v>
      </c>
      <c r="H2990" s="12" t="str">
        <f t="array" ref="H2990">IF(G2990:G7033="","",_xlfn.XLOOKUP(G2990:G7033,castles_state!A:A,castles_state!D:D,"見つかりません"))</f>
      </c>
      <c r="I2990" s="4"/>
      <c r="J2990" s="12" t="str">
        <f t="array" ref="J2990">IF(I2990:I7033="","",_xlfn.XLOOKUP(I2990:I7033,'参照_姫'!A:A,'参照_姫'!B:B,"見つかりません"))</f>
      </c>
      <c r="K2990" s="4">
        <v>95</v>
      </c>
      <c r="L2990" s="4">
        <v>0</v>
      </c>
      <c r="M2990" s="4"/>
      <c r="N2990" s="4"/>
      <c r="O2990" s="4"/>
      <c r="P2990" s="12" t="str">
        <f t="array" ref="P2990">IF(O2990:O7033="","",_xlfn.XLOOKUP(O2990:O7033,'参照_官位'!A:A,'参照_官位'!B:B,""))</f>
      </c>
      <c r="Q2990" s="12" t="str">
        <f t="array" ref="Q2990">IF(A2990:A7033="","",IFERROR(_xlfn.XLOOKUP(A2990:A7033,castles_state!K:K,castles_state!D:D)&amp;"主",IFERROR(_xlfn.XLOOKUP(A2990:A7033,kunishuClan!D:D,kunishuClan!B:B)&amp;"当主","")))</f>
      </c>
    </row>
    <row r="2991" ht="15.75" customHeight="1">
      <c r="A2991" s="4">
        <v>1083003</v>
      </c>
      <c r="B2991" s="12" t="str">
        <f t="array" ref="B2991">IF(A2991:A7034="","",_xlfn.XLOOKUP(A2991:A7034,'参照_武将'!A:A,'参照_武将'!B:B,"見つかりません"))</f>
      </c>
      <c r="C2991" s="4" t="s">
        <v>385</v>
      </c>
      <c r="D2991" s="4">
        <v>83</v>
      </c>
      <c r="E2991" s="12" t="str">
        <f t="array" ref="E2991">IF(D2991:D7034="","",IFERROR(_xlfn.XLOOKUP(D2991:D7034,'参照_勢力'!A:A,'参照_勢力'!B:B),IFERROR(_xlfn.XLOOKUP(F2991:F7034,kunishuClan!A:A,kunishuClan!B:B),"浪人")))</f>
      </c>
      <c r="F2991" s="4">
        <v>0</v>
      </c>
      <c r="G2991" s="4">
        <v>220</v>
      </c>
      <c r="H2991" s="12" t="str">
        <f t="array" ref="H2991">IF(G2991:G7034="","",_xlfn.XLOOKUP(G2991:G7034,castles_state!A:A,castles_state!D:D,"見つかりません"))</f>
      </c>
      <c r="I2991" s="4"/>
      <c r="J2991" s="12" t="str">
        <f t="array" ref="J2991">IF(I2991:I7034="","",_xlfn.XLOOKUP(I2991:I7034,'参照_姫'!A:A,'参照_姫'!B:B,"見つかりません"))</f>
      </c>
      <c r="K2991" s="4">
        <v>100</v>
      </c>
      <c r="L2991" s="4">
        <v>1000</v>
      </c>
      <c r="M2991" s="4"/>
      <c r="N2991" s="4"/>
      <c r="O2991" s="4"/>
      <c r="P2991" s="12" t="str">
        <f t="array" ref="P2991">IF(O2991:O7034="","",_xlfn.XLOOKUP(O2991:O7034,'参照_官位'!A:A,'参照_官位'!B:B,""))</f>
      </c>
      <c r="Q2991" s="12" t="str">
        <f t="array" ref="Q2991">IF(A2991:A7034="","",IFERROR(_xlfn.XLOOKUP(A2991:A7034,castles_state!K:K,castles_state!D:D)&amp;"主",IFERROR(_xlfn.XLOOKUP(A2991:A7034,kunishuClan!D:D,kunishuClan!B:B)&amp;"当主","")))</f>
      </c>
    </row>
    <row r="2992" ht="15.75" customHeight="1">
      <c r="A2992" s="4">
        <v>1083004</v>
      </c>
      <c r="B2992" s="12" t="str">
        <f t="array" ref="B2992">IF(A2992:A7035="","",_xlfn.XLOOKUP(A2992:A7035,'参照_武将'!A:A,'参照_武将'!B:B,"見つかりません"))</f>
      </c>
      <c r="C2992" s="4" t="s">
        <v>385</v>
      </c>
      <c r="D2992" s="4">
        <v>83</v>
      </c>
      <c r="E2992" s="12" t="str">
        <f t="array" ref="E2992">IF(D2992:D7035="","",IFERROR(_xlfn.XLOOKUP(D2992:D7035,'参照_勢力'!A:A,'参照_勢力'!B:B),IFERROR(_xlfn.XLOOKUP(F2992:F7035,kunishuClan!A:A,kunishuClan!B:B),"浪人")))</f>
      </c>
      <c r="F2992" s="4">
        <v>0</v>
      </c>
      <c r="G2992" s="4">
        <v>220</v>
      </c>
      <c r="H2992" s="12" t="str">
        <f t="array" ref="H2992">IF(G2992:G7035="","",_xlfn.XLOOKUP(G2992:G7035,castles_state!A:A,castles_state!D:D,"見つかりません"))</f>
      </c>
      <c r="I2992" s="4"/>
      <c r="J2992" s="12" t="str">
        <f t="array" ref="J2992">IF(I2992:I7035="","",_xlfn.XLOOKUP(I2992:I7035,'参照_姫'!A:A,'参照_姫'!B:B,"見つかりません"))</f>
      </c>
      <c r="K2992" s="4">
        <v>95</v>
      </c>
      <c r="L2992" s="4">
        <v>500</v>
      </c>
      <c r="M2992" s="4"/>
      <c r="N2992" s="4"/>
      <c r="O2992" s="4"/>
      <c r="P2992" s="12" t="str">
        <f t="array" ref="P2992">IF(O2992:O7035="","",_xlfn.XLOOKUP(O2992:O7035,'参照_官位'!A:A,'参照_官位'!B:B,""))</f>
      </c>
      <c r="Q2992" s="12" t="str">
        <f t="array" ref="Q2992">IF(A2992:A7035="","",IFERROR(_xlfn.XLOOKUP(A2992:A7035,castles_state!K:K,castles_state!D:D)&amp;"主",IFERROR(_xlfn.XLOOKUP(A2992:A7035,kunishuClan!D:D,kunishuClan!B:B)&amp;"当主","")))</f>
      </c>
    </row>
    <row r="2993" ht="15.75" customHeight="1">
      <c r="A2993" s="4">
        <v>1083005</v>
      </c>
      <c r="B2993" s="12" t="str">
        <f t="array" ref="B2993">IF(A2993:A7036="","",_xlfn.XLOOKUP(A2993:A7036,'参照_武将'!A:A,'参照_武将'!B:B,"見つかりません"))</f>
      </c>
      <c r="C2993" s="4" t="s">
        <v>385</v>
      </c>
      <c r="D2993" s="4">
        <v>83</v>
      </c>
      <c r="E2993" s="12" t="str">
        <f t="array" ref="E2993">IF(D2993:D7036="","",IFERROR(_xlfn.XLOOKUP(D2993:D7036,'参照_勢力'!A:A,'参照_勢力'!B:B),IFERROR(_xlfn.XLOOKUP(F2993:F7036,kunishuClan!A:A,kunishuClan!B:B),"浪人")))</f>
      </c>
      <c r="F2993" s="4">
        <v>0</v>
      </c>
      <c r="G2993" s="4">
        <v>220</v>
      </c>
      <c r="H2993" s="12" t="str">
        <f t="array" ref="H2993">IF(G2993:G7036="","",_xlfn.XLOOKUP(G2993:G7036,castles_state!A:A,castles_state!D:D,"見つかりません"))</f>
      </c>
      <c r="I2993" s="4"/>
      <c r="J2993" s="12" t="str">
        <f t="array" ref="J2993">IF(I2993:I7036="","",_xlfn.XLOOKUP(I2993:I7036,'参照_姫'!A:A,'参照_姫'!B:B,"見つかりません"))</f>
      </c>
      <c r="K2993" s="4">
        <v>95</v>
      </c>
      <c r="L2993" s="4">
        <v>0</v>
      </c>
      <c r="M2993" s="4"/>
      <c r="N2993" s="4"/>
      <c r="O2993" s="4"/>
      <c r="P2993" s="12" t="str">
        <f t="array" ref="P2993">IF(O2993:O7036="","",_xlfn.XLOOKUP(O2993:O7036,'参照_官位'!A:A,'参照_官位'!B:B,""))</f>
      </c>
      <c r="Q2993" s="12" t="str">
        <f t="array" ref="Q2993">IF(A2993:A7036="","",IFERROR(_xlfn.XLOOKUP(A2993:A7036,castles_state!K:K,castles_state!D:D)&amp;"主",IFERROR(_xlfn.XLOOKUP(A2993:A7036,kunishuClan!D:D,kunishuClan!B:B)&amp;"当主","")))</f>
      </c>
    </row>
    <row r="2994" ht="15.75" customHeight="1">
      <c r="A2994" s="4">
        <v>1083006</v>
      </c>
      <c r="B2994" s="12" t="str">
        <f t="array" ref="B2994">IF(A2994:A7037="","",_xlfn.XLOOKUP(A2994:A7037,'参照_武将'!A:A,'参照_武将'!B:B,"見つかりません"))</f>
      </c>
      <c r="C2994" s="4" t="s">
        <v>385</v>
      </c>
      <c r="D2994" s="4">
        <v>83</v>
      </c>
      <c r="E2994" s="12" t="str">
        <f t="array" ref="E2994">IF(D2994:D7037="","",IFERROR(_xlfn.XLOOKUP(D2994:D7037,'参照_勢力'!A:A,'参照_勢力'!B:B),IFERROR(_xlfn.XLOOKUP(F2994:F7037,kunishuClan!A:A,kunishuClan!B:B),"浪人")))</f>
      </c>
      <c r="F2994" s="4">
        <v>0</v>
      </c>
      <c r="G2994" s="4">
        <v>220</v>
      </c>
      <c r="H2994" s="12" t="str">
        <f t="array" ref="H2994">IF(G2994:G7037="","",_xlfn.XLOOKUP(G2994:G7037,castles_state!A:A,castles_state!D:D,"見つかりません"))</f>
      </c>
      <c r="I2994" s="4"/>
      <c r="J2994" s="12" t="str">
        <f t="array" ref="J2994">IF(I2994:I7037="","",_xlfn.XLOOKUP(I2994:I7037,'参照_姫'!A:A,'参照_姫'!B:B,"見つかりません"))</f>
      </c>
      <c r="K2994" s="4">
        <v>95</v>
      </c>
      <c r="L2994" s="4">
        <v>0</v>
      </c>
      <c r="M2994" s="4"/>
      <c r="N2994" s="4"/>
      <c r="O2994" s="4"/>
      <c r="P2994" s="12" t="str">
        <f t="array" ref="P2994">IF(O2994:O7037="","",_xlfn.XLOOKUP(O2994:O7037,'参照_官位'!A:A,'参照_官位'!B:B,""))</f>
      </c>
      <c r="Q2994" s="12" t="str">
        <f t="array" ref="Q2994">IF(A2994:A7037="","",IFERROR(_xlfn.XLOOKUP(A2994:A7037,castles_state!K:K,castles_state!D:D)&amp;"主",IFERROR(_xlfn.XLOOKUP(A2994:A7037,kunishuClan!D:D,kunishuClan!B:B)&amp;"当主","")))</f>
      </c>
    </row>
    <row r="2995" ht="15.75" customHeight="1">
      <c r="A2995" s="4">
        <v>1083007</v>
      </c>
      <c r="B2995" s="12" t="str">
        <f t="array" ref="B2995">IF(A2995:A7038="","",_xlfn.XLOOKUP(A2995:A7038,'参照_武将'!A:A,'参照_武将'!B:B,"見つかりません"))</f>
      </c>
      <c r="C2995" s="4" t="s">
        <v>385</v>
      </c>
      <c r="D2995" s="4">
        <v>83</v>
      </c>
      <c r="E2995" s="12" t="str">
        <f t="array" ref="E2995">IF(D2995:D7038="","",IFERROR(_xlfn.XLOOKUP(D2995:D7038,'参照_勢力'!A:A,'参照_勢力'!B:B),IFERROR(_xlfn.XLOOKUP(F2995:F7038,kunishuClan!A:A,kunishuClan!B:B),"浪人")))</f>
      </c>
      <c r="F2995" s="4">
        <v>0</v>
      </c>
      <c r="G2995" s="4">
        <v>220</v>
      </c>
      <c r="H2995" s="12" t="str">
        <f t="array" ref="H2995">IF(G2995:G7038="","",_xlfn.XLOOKUP(G2995:G7038,castles_state!A:A,castles_state!D:D,"見つかりません"))</f>
      </c>
      <c r="I2995" s="4"/>
      <c r="J2995" s="12" t="str">
        <f t="array" ref="J2995">IF(I2995:I7038="","",_xlfn.XLOOKUP(I2995:I7038,'参照_姫'!A:A,'参照_姫'!B:B,"見つかりません"))</f>
      </c>
      <c r="K2995" s="4">
        <v>95</v>
      </c>
      <c r="L2995" s="4">
        <v>0</v>
      </c>
      <c r="M2995" s="4"/>
      <c r="N2995" s="4"/>
      <c r="O2995" s="4"/>
      <c r="P2995" s="12" t="str">
        <f t="array" ref="P2995">IF(O2995:O7038="","",_xlfn.XLOOKUP(O2995:O7038,'参照_官位'!A:A,'参照_官位'!B:B,""))</f>
      </c>
      <c r="Q2995" s="12" t="str">
        <f t="array" ref="Q2995">IF(A2995:A7038="","",IFERROR(_xlfn.XLOOKUP(A2995:A7038,castles_state!K:K,castles_state!D:D)&amp;"主",IFERROR(_xlfn.XLOOKUP(A2995:A7038,kunishuClan!D:D,kunishuClan!B:B)&amp;"当主","")))</f>
      </c>
    </row>
    <row r="2996" ht="15.75" customHeight="1">
      <c r="A2996" s="4">
        <v>1083008</v>
      </c>
      <c r="B2996" s="12" t="str">
        <f t="array" ref="B2996">IF(A2996:A7039="","",_xlfn.XLOOKUP(A2996:A7039,'参照_武将'!A:A,'参照_武将'!B:B,"見つかりません"))</f>
      </c>
      <c r="C2996" s="4" t="s">
        <v>385</v>
      </c>
      <c r="D2996" s="4">
        <v>83</v>
      </c>
      <c r="E2996" s="12" t="str">
        <f t="array" ref="E2996">IF(D2996:D7039="","",IFERROR(_xlfn.XLOOKUP(D2996:D7039,'参照_勢力'!A:A,'参照_勢力'!B:B),IFERROR(_xlfn.XLOOKUP(F2996:F7039,kunishuClan!A:A,kunishuClan!B:B),"浪人")))</f>
      </c>
      <c r="F2996" s="4">
        <v>0</v>
      </c>
      <c r="G2996" s="4">
        <v>220</v>
      </c>
      <c r="H2996" s="12" t="str">
        <f t="array" ref="H2996">IF(G2996:G7039="","",_xlfn.XLOOKUP(G2996:G7039,castles_state!A:A,castles_state!D:D,"見つかりません"))</f>
      </c>
      <c r="I2996" s="4"/>
      <c r="J2996" s="12" t="str">
        <f t="array" ref="J2996">IF(I2996:I7039="","",_xlfn.XLOOKUP(I2996:I7039,'参照_姫'!A:A,'参照_姫'!B:B,"見つかりません"))</f>
      </c>
      <c r="K2996" s="4">
        <v>95</v>
      </c>
      <c r="L2996" s="4">
        <v>0</v>
      </c>
      <c r="M2996" s="4"/>
      <c r="N2996" s="4"/>
      <c r="O2996" s="4"/>
      <c r="P2996" s="12" t="str">
        <f t="array" ref="P2996">IF(O2996:O7039="","",_xlfn.XLOOKUP(O2996:O7039,'参照_官位'!A:A,'参照_官位'!B:B,""))</f>
      </c>
      <c r="Q2996" s="12" t="str">
        <f t="array" ref="Q2996">IF(A2996:A7039="","",IFERROR(_xlfn.XLOOKUP(A2996:A7039,castles_state!K:K,castles_state!D:D)&amp;"主",IFERROR(_xlfn.XLOOKUP(A2996:A7039,kunishuClan!D:D,kunishuClan!B:B)&amp;"当主","")))</f>
      </c>
    </row>
    <row r="2997" ht="15.75" customHeight="1">
      <c r="A2997" s="4">
        <v>1083009</v>
      </c>
      <c r="B2997" s="12" t="str">
        <f t="array" ref="B2997">IF(A2997:A7040="","",_xlfn.XLOOKUP(A2997:A7040,'参照_武将'!A:A,'参照_武将'!B:B,"見つかりません"))</f>
      </c>
      <c r="C2997" s="4" t="s">
        <v>385</v>
      </c>
      <c r="D2997" s="4">
        <v>83</v>
      </c>
      <c r="E2997" s="12" t="str">
        <f t="array" ref="E2997">IF(D2997:D7040="","",IFERROR(_xlfn.XLOOKUP(D2997:D7040,'参照_勢力'!A:A,'参照_勢力'!B:B),IFERROR(_xlfn.XLOOKUP(F2997:F7040,kunishuClan!A:A,kunishuClan!B:B),"浪人")))</f>
      </c>
      <c r="F2997" s="4">
        <v>0</v>
      </c>
      <c r="G2997" s="4">
        <v>220</v>
      </c>
      <c r="H2997" s="12" t="str">
        <f t="array" ref="H2997">IF(G2997:G7040="","",_xlfn.XLOOKUP(G2997:G7040,castles_state!A:A,castles_state!D:D,"見つかりません"))</f>
      </c>
      <c r="I2997" s="4"/>
      <c r="J2997" s="12" t="str">
        <f t="array" ref="J2997">IF(I2997:I7040="","",_xlfn.XLOOKUP(I2997:I7040,'参照_姫'!A:A,'参照_姫'!B:B,"見つかりません"))</f>
      </c>
      <c r="K2997" s="4">
        <v>95</v>
      </c>
      <c r="L2997" s="4">
        <v>0</v>
      </c>
      <c r="M2997" s="4"/>
      <c r="N2997" s="4"/>
      <c r="O2997" s="4"/>
      <c r="P2997" s="12" t="str">
        <f t="array" ref="P2997">IF(O2997:O7040="","",_xlfn.XLOOKUP(O2997:O7040,'参照_官位'!A:A,'参照_官位'!B:B,""))</f>
      </c>
      <c r="Q2997" s="12" t="str">
        <f t="array" ref="Q2997">IF(A2997:A7040="","",IFERROR(_xlfn.XLOOKUP(A2997:A7040,castles_state!K:K,castles_state!D:D)&amp;"主",IFERROR(_xlfn.XLOOKUP(A2997:A7040,kunishuClan!D:D,kunishuClan!B:B)&amp;"当主","")))</f>
      </c>
    </row>
    <row r="2998" ht="15.75" customHeight="1">
      <c r="A2998" s="4">
        <v>1083010</v>
      </c>
      <c r="B2998" s="12" t="str">
        <f t="array" ref="B2998">IF(A2998:A7041="","",_xlfn.XLOOKUP(A2998:A7041,'参照_武将'!A:A,'参照_武将'!B:B,"見つかりません"))</f>
      </c>
      <c r="C2998" s="4" t="s">
        <v>385</v>
      </c>
      <c r="D2998" s="4">
        <v>83</v>
      </c>
      <c r="E2998" s="12" t="str">
        <f t="array" ref="E2998">IF(D2998:D7041="","",IFERROR(_xlfn.XLOOKUP(D2998:D7041,'参照_勢力'!A:A,'参照_勢力'!B:B),IFERROR(_xlfn.XLOOKUP(F2998:F7041,kunishuClan!A:A,kunishuClan!B:B),"浪人")))</f>
      </c>
      <c r="F2998" s="4">
        <v>0</v>
      </c>
      <c r="G2998" s="4">
        <v>220</v>
      </c>
      <c r="H2998" s="12" t="str">
        <f t="array" ref="H2998">IF(G2998:G7041="","",_xlfn.XLOOKUP(G2998:G7041,castles_state!A:A,castles_state!D:D,"見つかりません"))</f>
      </c>
      <c r="I2998" s="4"/>
      <c r="J2998" s="12" t="str">
        <f t="array" ref="J2998">IF(I2998:I7041="","",_xlfn.XLOOKUP(I2998:I7041,'参照_姫'!A:A,'参照_姫'!B:B,"見つかりません"))</f>
      </c>
      <c r="K2998" s="4">
        <v>95</v>
      </c>
      <c r="L2998" s="4">
        <v>500</v>
      </c>
      <c r="M2998" s="4" t="b">
        <v>1</v>
      </c>
      <c r="N2998" s="4"/>
      <c r="O2998" s="4"/>
      <c r="P2998" s="12" t="str">
        <f t="array" ref="P2998">IF(O2998:O7041="","",_xlfn.XLOOKUP(O2998:O7041,'参照_官位'!A:A,'参照_官位'!B:B,""))</f>
      </c>
      <c r="Q2998" s="12" t="str">
        <f t="array" ref="Q2998">IF(A2998:A7041="","",IFERROR(_xlfn.XLOOKUP(A2998:A7041,castles_state!K:K,castles_state!D:D)&amp;"主",IFERROR(_xlfn.XLOOKUP(A2998:A7041,kunishuClan!D:D,kunishuClan!B:B)&amp;"当主","")))</f>
      </c>
    </row>
    <row r="2999" ht="15.75" customHeight="1">
      <c r="A2999" s="4">
        <v>1083011</v>
      </c>
      <c r="B2999" s="12" t="str">
        <f t="array" ref="B2999">IF(A2999:A7042="","",_xlfn.XLOOKUP(A2999:A7042,'参照_武将'!A:A,'参照_武将'!B:B,"見つかりません"))</f>
      </c>
      <c r="C2999" s="4" t="s">
        <v>385</v>
      </c>
      <c r="D2999" s="4">
        <v>83</v>
      </c>
      <c r="E2999" s="12" t="str">
        <f t="array" ref="E2999">IF(D2999:D7042="","",IFERROR(_xlfn.XLOOKUP(D2999:D7042,'参照_勢力'!A:A,'参照_勢力'!B:B),IFERROR(_xlfn.XLOOKUP(F2999:F7042,kunishuClan!A:A,kunishuClan!B:B),"浪人")))</f>
      </c>
      <c r="F2999" s="4">
        <v>0</v>
      </c>
      <c r="G2999" s="4">
        <v>220</v>
      </c>
      <c r="H2999" s="12" t="str">
        <f t="array" ref="H2999">IF(G2999:G7042="","",_xlfn.XLOOKUP(G2999:G7042,castles_state!A:A,castles_state!D:D,"見つかりません"))</f>
      </c>
      <c r="I2999" s="4"/>
      <c r="J2999" s="12" t="str">
        <f t="array" ref="J2999">IF(I2999:I7042="","",_xlfn.XLOOKUP(I2999:I7042,'参照_姫'!A:A,'参照_姫'!B:B,"見つかりません"))</f>
      </c>
      <c r="K2999" s="4">
        <v>85</v>
      </c>
      <c r="L2999" s="4">
        <v>0</v>
      </c>
      <c r="M2999" s="4"/>
      <c r="N2999" s="4"/>
      <c r="O2999" s="4"/>
      <c r="P2999" s="12" t="str">
        <f t="array" ref="P2999">IF(O2999:O7042="","",_xlfn.XLOOKUP(O2999:O7042,'参照_官位'!A:A,'参照_官位'!B:B,""))</f>
      </c>
      <c r="Q2999" s="12" t="str">
        <f t="array" ref="Q2999">IF(A2999:A7042="","",IFERROR(_xlfn.XLOOKUP(A2999:A7042,castles_state!K:K,castles_state!D:D)&amp;"主",IFERROR(_xlfn.XLOOKUP(A2999:A7042,kunishuClan!D:D,kunishuClan!B:B)&amp;"当主","")))</f>
      </c>
    </row>
    <row r="3000" ht="15.75" customHeight="1">
      <c r="A3000" s="4">
        <v>1083012</v>
      </c>
      <c r="B3000" s="12" t="str">
        <f t="array" ref="B3000">IF(A3000:A7043="","",_xlfn.XLOOKUP(A3000:A7043,'参照_武将'!A:A,'参照_武将'!B:B,"見つかりません"))</f>
      </c>
      <c r="C3000" s="4" t="s">
        <v>385</v>
      </c>
      <c r="D3000" s="4">
        <v>83</v>
      </c>
      <c r="E3000" s="12" t="str">
        <f t="array" ref="E3000">IF(D3000:D7043="","",IFERROR(_xlfn.XLOOKUP(D3000:D7043,'参照_勢力'!A:A,'参照_勢力'!B:B),IFERROR(_xlfn.XLOOKUP(F3000:F7043,kunishuClan!A:A,kunishuClan!B:B),"浪人")))</f>
      </c>
      <c r="F3000" s="4">
        <v>0</v>
      </c>
      <c r="G3000" s="4">
        <v>220</v>
      </c>
      <c r="H3000" s="12" t="str">
        <f t="array" ref="H3000">IF(G3000:G7043="","",_xlfn.XLOOKUP(G3000:G7043,castles_state!A:A,castles_state!D:D,"見つかりません"))</f>
      </c>
      <c r="I3000" s="4"/>
      <c r="J3000" s="12" t="str">
        <f t="array" ref="J3000">IF(I3000:I7043="","",_xlfn.XLOOKUP(I3000:I7043,'参照_姫'!A:A,'参照_姫'!B:B,"見つかりません"))</f>
      </c>
      <c r="K3000" s="4">
        <v>95</v>
      </c>
      <c r="L3000" s="4">
        <v>300</v>
      </c>
      <c r="M3000" s="4"/>
      <c r="N3000" s="4"/>
      <c r="O3000" s="4"/>
      <c r="P3000" s="12" t="str">
        <f t="array" ref="P3000">IF(O3000:O7043="","",_xlfn.XLOOKUP(O3000:O7043,'参照_官位'!A:A,'参照_官位'!B:B,""))</f>
      </c>
      <c r="Q3000" s="12" t="str">
        <f t="array" ref="Q3000">IF(A3000:A7043="","",IFERROR(_xlfn.XLOOKUP(A3000:A7043,castles_state!K:K,castles_state!D:D)&amp;"主",IFERROR(_xlfn.XLOOKUP(A3000:A7043,kunishuClan!D:D,kunishuClan!B:B)&amp;"当主","")))</f>
      </c>
    </row>
    <row r="3001" ht="15.75" customHeight="1">
      <c r="A3001" s="4">
        <v>1083013</v>
      </c>
      <c r="B3001" s="12" t="str">
        <f t="array" ref="B3001">IF(A3001:A7044="","",_xlfn.XLOOKUP(A3001:A7044,'参照_武将'!A:A,'参照_武将'!B:B,"見つかりません"))</f>
      </c>
      <c r="C3001" s="4" t="s">
        <v>385</v>
      </c>
      <c r="D3001" s="4">
        <v>83</v>
      </c>
      <c r="E3001" s="12" t="str">
        <f t="array" ref="E3001">IF(D3001:D7044="","",IFERROR(_xlfn.XLOOKUP(D3001:D7044,'参照_勢力'!A:A,'参照_勢力'!B:B),IFERROR(_xlfn.XLOOKUP(F3001:F7044,kunishuClan!A:A,kunishuClan!B:B),"浪人")))</f>
      </c>
      <c r="F3001" s="4">
        <v>0</v>
      </c>
      <c r="G3001" s="4">
        <v>220</v>
      </c>
      <c r="H3001" s="12" t="str">
        <f t="array" ref="H3001">IF(G3001:G7044="","",_xlfn.XLOOKUP(G3001:G7044,castles_state!A:A,castles_state!D:D,"見つかりません"))</f>
      </c>
      <c r="I3001" s="4"/>
      <c r="J3001" s="12" t="str">
        <f t="array" ref="J3001">IF(I3001:I7044="","",_xlfn.XLOOKUP(I3001:I7044,'参照_姫'!A:A,'参照_姫'!B:B,"見つかりません"))</f>
      </c>
      <c r="K3001" s="4">
        <v>95</v>
      </c>
      <c r="L3001" s="4">
        <v>0</v>
      </c>
      <c r="M3001" s="4"/>
      <c r="N3001" s="4"/>
      <c r="O3001" s="4"/>
      <c r="P3001" s="12" t="str">
        <f t="array" ref="P3001">IF(O3001:O7044="","",_xlfn.XLOOKUP(O3001:O7044,'参照_官位'!A:A,'参照_官位'!B:B,""))</f>
      </c>
      <c r="Q3001" s="12" t="str">
        <f t="array" ref="Q3001">IF(A3001:A7044="","",IFERROR(_xlfn.XLOOKUP(A3001:A7044,castles_state!K:K,castles_state!D:D)&amp;"主",IFERROR(_xlfn.XLOOKUP(A3001:A7044,kunishuClan!D:D,kunishuClan!B:B)&amp;"当主","")))</f>
      </c>
    </row>
    <row r="3002" ht="15.75" customHeight="1">
      <c r="A3002" s="4">
        <v>1083014</v>
      </c>
      <c r="B3002" s="12" t="str">
        <f t="array" ref="B3002">IF(A3002:A7045="","",_xlfn.XLOOKUP(A3002:A7045,'参照_武将'!A:A,'参照_武将'!B:B,"見つかりません"))</f>
      </c>
      <c r="C3002" s="4" t="s">
        <v>385</v>
      </c>
      <c r="D3002" s="4">
        <v>83</v>
      </c>
      <c r="E3002" s="12" t="str">
        <f t="array" ref="E3002">IF(D3002:D7045="","",IFERROR(_xlfn.XLOOKUP(D3002:D7045,'参照_勢力'!A:A,'参照_勢力'!B:B),IFERROR(_xlfn.XLOOKUP(F3002:F7045,kunishuClan!A:A,kunishuClan!B:B),"浪人")))</f>
      </c>
      <c r="F3002" s="4">
        <v>0</v>
      </c>
      <c r="G3002" s="4">
        <v>220</v>
      </c>
      <c r="H3002" s="12" t="str">
        <f t="array" ref="H3002">IF(G3002:G7045="","",_xlfn.XLOOKUP(G3002:G7045,castles_state!A:A,castles_state!D:D,"見つかりません"))</f>
      </c>
      <c r="I3002" s="4"/>
      <c r="J3002" s="12" t="str">
        <f t="array" ref="J3002">IF(I3002:I7045="","",_xlfn.XLOOKUP(I3002:I7045,'参照_姫'!A:A,'参照_姫'!B:B,"見つかりません"))</f>
      </c>
      <c r="K3002" s="4">
        <v>95</v>
      </c>
      <c r="L3002" s="4">
        <v>0</v>
      </c>
      <c r="M3002" s="4"/>
      <c r="N3002" s="4"/>
      <c r="O3002" s="4"/>
      <c r="P3002" s="12" t="str">
        <f t="array" ref="P3002">IF(O3002:O7045="","",_xlfn.XLOOKUP(O3002:O7045,'参照_官位'!A:A,'参照_官位'!B:B,""))</f>
      </c>
      <c r="Q3002" s="12" t="str">
        <f t="array" ref="Q3002">IF(A3002:A7045="","",IFERROR(_xlfn.XLOOKUP(A3002:A7045,castles_state!K:K,castles_state!D:D)&amp;"主",IFERROR(_xlfn.XLOOKUP(A3002:A7045,kunishuClan!D:D,kunishuClan!B:B)&amp;"当主","")))</f>
      </c>
    </row>
    <row r="3003" ht="15.75" customHeight="1">
      <c r="A3003" s="4">
        <v>1083015</v>
      </c>
      <c r="B3003" s="12" t="str">
        <f t="array" ref="B3003">IF(A3003:A7046="","",_xlfn.XLOOKUP(A3003:A7046,'参照_武将'!A:A,'参照_武将'!B:B,"見つかりません"))</f>
      </c>
      <c r="C3003" s="4" t="s">
        <v>385</v>
      </c>
      <c r="D3003" s="4">
        <v>83</v>
      </c>
      <c r="E3003" s="12" t="str">
        <f t="array" ref="E3003">IF(D3003:D7046="","",IFERROR(_xlfn.XLOOKUP(D3003:D7046,'参照_勢力'!A:A,'参照_勢力'!B:B),IFERROR(_xlfn.XLOOKUP(F3003:F7046,kunishuClan!A:A,kunishuClan!B:B),"浪人")))</f>
      </c>
      <c r="F3003" s="4">
        <v>0</v>
      </c>
      <c r="G3003" s="4">
        <v>220</v>
      </c>
      <c r="H3003" s="12" t="str">
        <f t="array" ref="H3003">IF(G3003:G7046="","",_xlfn.XLOOKUP(G3003:G7046,castles_state!A:A,castles_state!D:D,"見つかりません"))</f>
      </c>
      <c r="I3003" s="4"/>
      <c r="J3003" s="12" t="str">
        <f t="array" ref="J3003">IF(I3003:I7046="","",_xlfn.XLOOKUP(I3003:I7046,'参照_姫'!A:A,'参照_姫'!B:B,"見つかりません"))</f>
      </c>
      <c r="K3003" s="4">
        <v>95</v>
      </c>
      <c r="L3003" s="4">
        <v>0</v>
      </c>
      <c r="M3003" s="4"/>
      <c r="N3003" s="4"/>
      <c r="O3003" s="4"/>
      <c r="P3003" s="12" t="str">
        <f t="array" ref="P3003">IF(O3003:O7046="","",_xlfn.XLOOKUP(O3003:O7046,'参照_官位'!A:A,'参照_官位'!B:B,""))</f>
      </c>
      <c r="Q3003" s="12" t="str">
        <f t="array" ref="Q3003">IF(A3003:A7046="","",IFERROR(_xlfn.XLOOKUP(A3003:A7046,castles_state!K:K,castles_state!D:D)&amp;"主",IFERROR(_xlfn.XLOOKUP(A3003:A7046,kunishuClan!D:D,kunishuClan!B:B)&amp;"当主","")))</f>
      </c>
    </row>
    <row r="3004" ht="15.75" customHeight="1">
      <c r="A3004" s="4">
        <v>1083016</v>
      </c>
      <c r="B3004" s="12" t="str">
        <f t="array" ref="B3004">IF(A3004:A7047="","",_xlfn.XLOOKUP(A3004:A7047,'参照_武将'!A:A,'参照_武将'!B:B,"見つかりません"))</f>
      </c>
      <c r="C3004" s="4" t="s">
        <v>385</v>
      </c>
      <c r="D3004" s="4">
        <v>83</v>
      </c>
      <c r="E3004" s="12" t="str">
        <f t="array" ref="E3004">IF(D3004:D7047="","",IFERROR(_xlfn.XLOOKUP(D3004:D7047,'参照_勢力'!A:A,'参照_勢力'!B:B),IFERROR(_xlfn.XLOOKUP(F3004:F7047,kunishuClan!A:A,kunishuClan!B:B),"浪人")))</f>
      </c>
      <c r="F3004" s="4">
        <v>0</v>
      </c>
      <c r="G3004" s="4">
        <v>220</v>
      </c>
      <c r="H3004" s="12" t="str">
        <f t="array" ref="H3004">IF(G3004:G7047="","",_xlfn.XLOOKUP(G3004:G7047,castles_state!A:A,castles_state!D:D,"見つかりません"))</f>
      </c>
      <c r="I3004" s="4"/>
      <c r="J3004" s="12" t="str">
        <f t="array" ref="J3004">IF(I3004:I7047="","",_xlfn.XLOOKUP(I3004:I7047,'参照_姫'!A:A,'参照_姫'!B:B,"見つかりません"))</f>
      </c>
      <c r="K3004" s="4">
        <v>95</v>
      </c>
      <c r="L3004" s="4">
        <v>0</v>
      </c>
      <c r="M3004" s="4"/>
      <c r="N3004" s="4"/>
      <c r="O3004" s="4"/>
      <c r="P3004" s="12" t="str">
        <f t="array" ref="P3004">IF(O3004:O7047="","",_xlfn.XLOOKUP(O3004:O7047,'参照_官位'!A:A,'参照_官位'!B:B,""))</f>
      </c>
      <c r="Q3004" s="12" t="str">
        <f t="array" ref="Q3004">IF(A3004:A7047="","",IFERROR(_xlfn.XLOOKUP(A3004:A7047,castles_state!K:K,castles_state!D:D)&amp;"主",IFERROR(_xlfn.XLOOKUP(A3004:A7047,kunishuClan!D:D,kunishuClan!B:B)&amp;"当主","")))</f>
      </c>
    </row>
    <row r="3005" ht="15.75" customHeight="1">
      <c r="A3005" s="4">
        <v>1083017</v>
      </c>
      <c r="B3005" s="12" t="str">
        <f t="array" ref="B3005">IF(A3005:A7048="","",_xlfn.XLOOKUP(A3005:A7048,'参照_武将'!A:A,'参照_武将'!B:B,"見つかりません"))</f>
      </c>
      <c r="C3005" s="4" t="s">
        <v>385</v>
      </c>
      <c r="D3005" s="4">
        <v>83</v>
      </c>
      <c r="E3005" s="12" t="str">
        <f t="array" ref="E3005">IF(D3005:D7048="","",IFERROR(_xlfn.XLOOKUP(D3005:D7048,'参照_勢力'!A:A,'参照_勢力'!B:B),IFERROR(_xlfn.XLOOKUP(F3005:F7048,kunishuClan!A:A,kunishuClan!B:B),"浪人")))</f>
      </c>
      <c r="F3005" s="4">
        <v>0</v>
      </c>
      <c r="G3005" s="4">
        <v>220</v>
      </c>
      <c r="H3005" s="12" t="str">
        <f t="array" ref="H3005">IF(G3005:G7048="","",_xlfn.XLOOKUP(G3005:G7048,castles_state!A:A,castles_state!D:D,"見つかりません"))</f>
      </c>
      <c r="I3005" s="4"/>
      <c r="J3005" s="12" t="str">
        <f t="array" ref="J3005">IF(I3005:I7048="","",_xlfn.XLOOKUP(I3005:I7048,'参照_姫'!A:A,'参照_姫'!B:B,"見つかりません"))</f>
      </c>
      <c r="K3005" s="4">
        <v>95</v>
      </c>
      <c r="L3005" s="4">
        <v>0</v>
      </c>
      <c r="M3005" s="4"/>
      <c r="N3005" s="4"/>
      <c r="O3005" s="4"/>
      <c r="P3005" s="12" t="str">
        <f t="array" ref="P3005">IF(O3005:O7048="","",_xlfn.XLOOKUP(O3005:O7048,'参照_官位'!A:A,'参照_官位'!B:B,""))</f>
      </c>
      <c r="Q3005" s="12" t="str">
        <f t="array" ref="Q3005">IF(A3005:A7048="","",IFERROR(_xlfn.XLOOKUP(A3005:A7048,castles_state!K:K,castles_state!D:D)&amp;"主",IFERROR(_xlfn.XLOOKUP(A3005:A7048,kunishuClan!D:D,kunishuClan!B:B)&amp;"当主","")))</f>
      </c>
    </row>
    <row r="3006" ht="15.75" customHeight="1">
      <c r="A3006" s="4">
        <v>1083018</v>
      </c>
      <c r="B3006" s="12" t="str">
        <f t="array" ref="B3006">IF(A3006:A7049="","",_xlfn.XLOOKUP(A3006:A7049,'参照_武将'!A:A,'参照_武将'!B:B,"見つかりません"))</f>
      </c>
      <c r="C3006" s="4" t="s">
        <v>385</v>
      </c>
      <c r="D3006" s="4">
        <v>83</v>
      </c>
      <c r="E3006" s="12" t="str">
        <f t="array" ref="E3006">IF(D3006:D7049="","",IFERROR(_xlfn.XLOOKUP(D3006:D7049,'参照_勢力'!A:A,'参照_勢力'!B:B),IFERROR(_xlfn.XLOOKUP(F3006:F7049,kunishuClan!A:A,kunishuClan!B:B),"浪人")))</f>
      </c>
      <c r="F3006" s="4">
        <v>0</v>
      </c>
      <c r="G3006" s="4">
        <v>220</v>
      </c>
      <c r="H3006" s="12" t="str">
        <f t="array" ref="H3006">IF(G3006:G7049="","",_xlfn.XLOOKUP(G3006:G7049,castles_state!A:A,castles_state!D:D,"見つかりません"))</f>
      </c>
      <c r="I3006" s="4"/>
      <c r="J3006" s="12" t="str">
        <f t="array" ref="J3006">IF(I3006:I7049="","",_xlfn.XLOOKUP(I3006:I7049,'参照_姫'!A:A,'参照_姫'!B:B,"見つかりません"))</f>
      </c>
      <c r="K3006" s="4">
        <v>95</v>
      </c>
      <c r="L3006" s="4">
        <v>0</v>
      </c>
      <c r="M3006" s="4"/>
      <c r="N3006" s="4"/>
      <c r="O3006" s="4"/>
      <c r="P3006" s="12" t="str">
        <f t="array" ref="P3006">IF(O3006:O7049="","",_xlfn.XLOOKUP(O3006:O7049,'参照_官位'!A:A,'参照_官位'!B:B,""))</f>
      </c>
      <c r="Q3006" s="12" t="str">
        <f t="array" ref="Q3006">IF(A3006:A7049="","",IFERROR(_xlfn.XLOOKUP(A3006:A7049,castles_state!K:K,castles_state!D:D)&amp;"主",IFERROR(_xlfn.XLOOKUP(A3006:A7049,kunishuClan!D:D,kunishuClan!B:B)&amp;"当主","")))</f>
      </c>
    </row>
    <row r="3007" ht="15.75" customHeight="1">
      <c r="A3007" s="4">
        <v>1083019</v>
      </c>
      <c r="B3007" s="12" t="str">
        <f t="array" ref="B3007">IF(A3007:A7050="","",_xlfn.XLOOKUP(A3007:A7050,'参照_武将'!A:A,'参照_武将'!B:B,"見つかりません"))</f>
      </c>
      <c r="C3007" s="4" t="s">
        <v>385</v>
      </c>
      <c r="D3007" s="4">
        <v>83</v>
      </c>
      <c r="E3007" s="12" t="str">
        <f t="array" ref="E3007">IF(D3007:D7050="","",IFERROR(_xlfn.XLOOKUP(D3007:D7050,'参照_勢力'!A:A,'参照_勢力'!B:B),IFERROR(_xlfn.XLOOKUP(F3007:F7050,kunishuClan!A:A,kunishuClan!B:B),"浪人")))</f>
      </c>
      <c r="F3007" s="4">
        <v>0</v>
      </c>
      <c r="G3007" s="4">
        <v>220</v>
      </c>
      <c r="H3007" s="12" t="str">
        <f t="array" ref="H3007">IF(G3007:G7050="","",_xlfn.XLOOKUP(G3007:G7050,castles_state!A:A,castles_state!D:D,"見つかりません"))</f>
      </c>
      <c r="I3007" s="4"/>
      <c r="J3007" s="12" t="str">
        <f t="array" ref="J3007">IF(I3007:I7050="","",_xlfn.XLOOKUP(I3007:I7050,'参照_姫'!A:A,'参照_姫'!B:B,"見つかりません"))</f>
      </c>
      <c r="K3007" s="4">
        <v>95</v>
      </c>
      <c r="L3007" s="4">
        <v>0</v>
      </c>
      <c r="M3007" s="4"/>
      <c r="N3007" s="4"/>
      <c r="O3007" s="4"/>
      <c r="P3007" s="12" t="str">
        <f t="array" ref="P3007">IF(O3007:O7050="","",_xlfn.XLOOKUP(O3007:O7050,'参照_官位'!A:A,'参照_官位'!B:B,""))</f>
      </c>
      <c r="Q3007" s="12" t="str">
        <f t="array" ref="Q3007">IF(A3007:A7050="","",IFERROR(_xlfn.XLOOKUP(A3007:A7050,castles_state!K:K,castles_state!D:D)&amp;"主",IFERROR(_xlfn.XLOOKUP(A3007:A7050,kunishuClan!D:D,kunishuClan!B:B)&amp;"当主","")))</f>
      </c>
    </row>
    <row r="3008" ht="15.75" customHeight="1">
      <c r="A3008" s="4">
        <v>1083020</v>
      </c>
      <c r="B3008" s="12" t="str">
        <f t="array" ref="B3008">IF(A3008:A7051="","",_xlfn.XLOOKUP(A3008:A7051,'参照_武将'!A:A,'参照_武将'!B:B,"見つかりません"))</f>
      </c>
      <c r="C3008" s="4" t="s">
        <v>385</v>
      </c>
      <c r="D3008" s="4">
        <v>83</v>
      </c>
      <c r="E3008" s="12" t="str">
        <f t="array" ref="E3008">IF(D3008:D7051="","",IFERROR(_xlfn.XLOOKUP(D3008:D7051,'参照_勢力'!A:A,'参照_勢力'!B:B),IFERROR(_xlfn.XLOOKUP(F3008:F7051,kunishuClan!A:A,kunishuClan!B:B),"浪人")))</f>
      </c>
      <c r="F3008" s="4">
        <v>0</v>
      </c>
      <c r="G3008" s="4">
        <v>220</v>
      </c>
      <c r="H3008" s="12" t="str">
        <f t="array" ref="H3008">IF(G3008:G7051="","",_xlfn.XLOOKUP(G3008:G7051,castles_state!A:A,castles_state!D:D,"見つかりません"))</f>
      </c>
      <c r="I3008" s="4"/>
      <c r="J3008" s="12" t="str">
        <f t="array" ref="J3008">IF(I3008:I7051="","",_xlfn.XLOOKUP(I3008:I7051,'参照_姫'!A:A,'参照_姫'!B:B,"見つかりません"))</f>
      </c>
      <c r="K3008" s="4">
        <v>95</v>
      </c>
      <c r="L3008" s="4">
        <v>0</v>
      </c>
      <c r="M3008" s="4"/>
      <c r="N3008" s="4"/>
      <c r="O3008" s="4"/>
      <c r="P3008" s="12" t="str">
        <f t="array" ref="P3008">IF(O3008:O7051="","",_xlfn.XLOOKUP(O3008:O7051,'参照_官位'!A:A,'参照_官位'!B:B,""))</f>
      </c>
      <c r="Q3008" s="12" t="str">
        <f t="array" ref="Q3008">IF(A3008:A7051="","",IFERROR(_xlfn.XLOOKUP(A3008:A7051,castles_state!K:K,castles_state!D:D)&amp;"主",IFERROR(_xlfn.XLOOKUP(A3008:A7051,kunishuClan!D:D,kunishuClan!B:B)&amp;"当主","")))</f>
      </c>
    </row>
    <row r="3009" ht="15.75" customHeight="1">
      <c r="A3009" s="4">
        <v>1083021</v>
      </c>
      <c r="B3009" s="12" t="str">
        <f t="array" ref="B3009">IF(A3009:A7052="","",_xlfn.XLOOKUP(A3009:A7052,'参照_武将'!A:A,'参照_武将'!B:B,"見つかりません"))</f>
      </c>
      <c r="C3009" s="4" t="s">
        <v>385</v>
      </c>
      <c r="D3009" s="4">
        <v>83</v>
      </c>
      <c r="E3009" s="12" t="str">
        <f t="array" ref="E3009">IF(D3009:D7052="","",IFERROR(_xlfn.XLOOKUP(D3009:D7052,'参照_勢力'!A:A,'参照_勢力'!B:B),IFERROR(_xlfn.XLOOKUP(F3009:F7052,kunishuClan!A:A,kunishuClan!B:B),"浪人")))</f>
      </c>
      <c r="F3009" s="4">
        <v>0</v>
      </c>
      <c r="G3009" s="4">
        <v>220</v>
      </c>
      <c r="H3009" s="12" t="str">
        <f t="array" ref="H3009">IF(G3009:G7052="","",_xlfn.XLOOKUP(G3009:G7052,castles_state!A:A,castles_state!D:D,"見つかりません"))</f>
      </c>
      <c r="I3009" s="4"/>
      <c r="J3009" s="12" t="str">
        <f t="array" ref="J3009">IF(I3009:I7052="","",_xlfn.XLOOKUP(I3009:I7052,'参照_姫'!A:A,'参照_姫'!B:B,"見つかりません"))</f>
      </c>
      <c r="K3009" s="4">
        <v>95</v>
      </c>
      <c r="L3009" s="4">
        <v>0</v>
      </c>
      <c r="M3009" s="4"/>
      <c r="N3009" s="4"/>
      <c r="O3009" s="4"/>
      <c r="P3009" s="12" t="str">
        <f t="array" ref="P3009">IF(O3009:O7052="","",_xlfn.XLOOKUP(O3009:O7052,'参照_官位'!A:A,'参照_官位'!B:B,""))</f>
      </c>
      <c r="Q3009" s="12" t="str">
        <f t="array" ref="Q3009">IF(A3009:A7052="","",IFERROR(_xlfn.XLOOKUP(A3009:A7052,castles_state!K:K,castles_state!D:D)&amp;"主",IFERROR(_xlfn.XLOOKUP(A3009:A7052,kunishuClan!D:D,kunishuClan!B:B)&amp;"当主","")))</f>
      </c>
    </row>
    <row r="3010" ht="15.75" customHeight="1">
      <c r="A3010" s="4">
        <v>1083022</v>
      </c>
      <c r="B3010" s="12" t="str">
        <f t="array" ref="B3010">IF(A3010:A7053="","",_xlfn.XLOOKUP(A3010:A7053,'参照_武将'!A:A,'参照_武将'!B:B,"見つかりません"))</f>
      </c>
      <c r="C3010" s="4" t="s">
        <v>385</v>
      </c>
      <c r="D3010" s="4">
        <v>83</v>
      </c>
      <c r="E3010" s="12" t="str">
        <f t="array" ref="E3010">IF(D3010:D7053="","",IFERROR(_xlfn.XLOOKUP(D3010:D7053,'参照_勢力'!A:A,'参照_勢力'!B:B),IFERROR(_xlfn.XLOOKUP(F3010:F7053,kunishuClan!A:A,kunishuClan!B:B),"浪人")))</f>
      </c>
      <c r="F3010" s="4">
        <v>0</v>
      </c>
      <c r="G3010" s="4">
        <v>220</v>
      </c>
      <c r="H3010" s="12" t="str">
        <f t="array" ref="H3010">IF(G3010:G7053="","",_xlfn.XLOOKUP(G3010:G7053,castles_state!A:A,castles_state!D:D,"見つかりません"))</f>
      </c>
      <c r="I3010" s="4"/>
      <c r="J3010" s="12" t="str">
        <f t="array" ref="J3010">IF(I3010:I7053="","",_xlfn.XLOOKUP(I3010:I7053,'参照_姫'!A:A,'参照_姫'!B:B,"見つかりません"))</f>
      </c>
      <c r="K3010" s="4">
        <v>95</v>
      </c>
      <c r="L3010" s="4">
        <v>300</v>
      </c>
      <c r="M3010" s="4"/>
      <c r="N3010" s="4"/>
      <c r="O3010" s="4"/>
      <c r="P3010" s="12" t="str">
        <f t="array" ref="P3010">IF(O3010:O7053="","",_xlfn.XLOOKUP(O3010:O7053,'参照_官位'!A:A,'参照_官位'!B:B,""))</f>
      </c>
      <c r="Q3010" s="12" t="str">
        <f t="array" ref="Q3010">IF(A3010:A7053="","",IFERROR(_xlfn.XLOOKUP(A3010:A7053,castles_state!K:K,castles_state!D:D)&amp;"主",IFERROR(_xlfn.XLOOKUP(A3010:A7053,kunishuClan!D:D,kunishuClan!B:B)&amp;"当主","")))</f>
      </c>
    </row>
    <row r="3011" ht="15.75" customHeight="1">
      <c r="A3011" s="4">
        <v>1083023</v>
      </c>
      <c r="B3011" s="12" t="str">
        <f t="array" ref="B3011">IF(A3011:A7054="","",_xlfn.XLOOKUP(A3011:A7054,'参照_武将'!A:A,'参照_武将'!B:B,"見つかりません"))</f>
      </c>
      <c r="C3011" s="4" t="s">
        <v>385</v>
      </c>
      <c r="D3011" s="4">
        <v>83</v>
      </c>
      <c r="E3011" s="12" t="str">
        <f t="array" ref="E3011">IF(D3011:D7054="","",IFERROR(_xlfn.XLOOKUP(D3011:D7054,'参照_勢力'!A:A,'参照_勢力'!B:B),IFERROR(_xlfn.XLOOKUP(F3011:F7054,kunishuClan!A:A,kunishuClan!B:B),"浪人")))</f>
      </c>
      <c r="F3011" s="4">
        <v>0</v>
      </c>
      <c r="G3011" s="4">
        <v>220</v>
      </c>
      <c r="H3011" s="12" t="str">
        <f t="array" ref="H3011">IF(G3011:G7054="","",_xlfn.XLOOKUP(G3011:G7054,castles_state!A:A,castles_state!D:D,"見つかりません"))</f>
      </c>
      <c r="I3011" s="4"/>
      <c r="J3011" s="12" t="str">
        <f t="array" ref="J3011">IF(I3011:I7054="","",_xlfn.XLOOKUP(I3011:I7054,'参照_姫'!A:A,'参照_姫'!B:B,"見つかりません"))</f>
      </c>
      <c r="K3011" s="4">
        <v>95</v>
      </c>
      <c r="L3011" s="4">
        <v>0</v>
      </c>
      <c r="M3011" s="4"/>
      <c r="N3011" s="4"/>
      <c r="O3011" s="4"/>
      <c r="P3011" s="12" t="str">
        <f t="array" ref="P3011">IF(O3011:O7054="","",_xlfn.XLOOKUP(O3011:O7054,'参照_官位'!A:A,'参照_官位'!B:B,""))</f>
      </c>
      <c r="Q3011" s="12" t="str">
        <f t="array" ref="Q3011">IF(A3011:A7054="","",IFERROR(_xlfn.XLOOKUP(A3011:A7054,castles_state!K:K,castles_state!D:D)&amp;"主",IFERROR(_xlfn.XLOOKUP(A3011:A7054,kunishuClan!D:D,kunishuClan!B:B)&amp;"当主","")))</f>
      </c>
    </row>
    <row r="3012" ht="15.75" customHeight="1">
      <c r="A3012" s="4">
        <v>1083024</v>
      </c>
      <c r="B3012" s="12" t="str">
        <f t="array" ref="B3012">IF(A3012:A7055="","",_xlfn.XLOOKUP(A3012:A7055,'参照_武将'!A:A,'参照_武将'!B:B,"見つかりません"))</f>
      </c>
      <c r="C3012" s="4" t="s">
        <v>385</v>
      </c>
      <c r="D3012" s="4">
        <v>83</v>
      </c>
      <c r="E3012" s="12" t="str">
        <f t="array" ref="E3012">IF(D3012:D7055="","",IFERROR(_xlfn.XLOOKUP(D3012:D7055,'参照_勢力'!A:A,'参照_勢力'!B:B),IFERROR(_xlfn.XLOOKUP(F3012:F7055,kunishuClan!A:A,kunishuClan!B:B),"浪人")))</f>
      </c>
      <c r="F3012" s="4">
        <v>0</v>
      </c>
      <c r="G3012" s="4">
        <v>220</v>
      </c>
      <c r="H3012" s="12" t="str">
        <f t="array" ref="H3012">IF(G3012:G7055="","",_xlfn.XLOOKUP(G3012:G7055,castles_state!A:A,castles_state!D:D,"見つかりません"))</f>
      </c>
      <c r="I3012" s="4"/>
      <c r="J3012" s="12" t="str">
        <f t="array" ref="J3012">IF(I3012:I7055="","",_xlfn.XLOOKUP(I3012:I7055,'参照_姫'!A:A,'参照_姫'!B:B,"見つかりません"))</f>
      </c>
      <c r="K3012" s="4">
        <v>95</v>
      </c>
      <c r="L3012" s="4">
        <v>0</v>
      </c>
      <c r="M3012" s="4"/>
      <c r="N3012" s="4"/>
      <c r="O3012" s="4"/>
      <c r="P3012" s="12" t="str">
        <f t="array" ref="P3012">IF(O3012:O7055="","",_xlfn.XLOOKUP(O3012:O7055,'参照_官位'!A:A,'参照_官位'!B:B,""))</f>
      </c>
      <c r="Q3012" s="12" t="str">
        <f t="array" ref="Q3012">IF(A3012:A7055="","",IFERROR(_xlfn.XLOOKUP(A3012:A7055,castles_state!K:K,castles_state!D:D)&amp;"主",IFERROR(_xlfn.XLOOKUP(A3012:A7055,kunishuClan!D:D,kunishuClan!B:B)&amp;"当主","")))</f>
      </c>
    </row>
    <row r="3013" ht="15.75" customHeight="1">
      <c r="A3013" s="4">
        <v>1084001</v>
      </c>
      <c r="B3013" s="12" t="str">
        <f t="array" ref="B3013">IF(A3013:A7056="","",_xlfn.XLOOKUP(A3013:A7056,'参照_武将'!A:A,'参照_武将'!B:B,"見つかりません"))</f>
      </c>
      <c r="C3013" s="4" t="s">
        <v>387</v>
      </c>
      <c r="D3013" s="4">
        <v>84</v>
      </c>
      <c r="E3013" s="12" t="str">
        <f t="array" ref="E3013">IF(D3013:D7056="","",IFERROR(_xlfn.XLOOKUP(D3013:D7056,'参照_勢力'!A:A,'参照_勢力'!B:B),IFERROR(_xlfn.XLOOKUP(F3013:F7056,kunishuClan!A:A,kunishuClan!B:B),"浪人")))</f>
      </c>
      <c r="F3013" s="4">
        <v>0</v>
      </c>
      <c r="G3013" s="4">
        <v>217</v>
      </c>
      <c r="H3013" s="12" t="str">
        <f t="array" ref="H3013">IF(G3013:G7056="","",_xlfn.XLOOKUP(G3013:G7056,castles_state!A:A,castles_state!D:D,"見つかりません"))</f>
      </c>
      <c r="I3013" s="4"/>
      <c r="J3013" s="12" t="str">
        <f t="array" ref="J3013">IF(I3013:I7056="","",_xlfn.XLOOKUP(I3013:I7056,'参照_姫'!A:A,'参照_姫'!B:B,"見つかりません"))</f>
      </c>
      <c r="K3013" s="4">
        <v>95</v>
      </c>
      <c r="L3013" s="4">
        <v>0</v>
      </c>
      <c r="M3013" s="4"/>
      <c r="N3013" s="4"/>
      <c r="O3013" s="4"/>
      <c r="P3013" s="12" t="str">
        <f t="array" ref="P3013">IF(O3013:O7056="","",_xlfn.XLOOKUP(O3013:O7056,'参照_官位'!A:A,'参照_官位'!B:B,""))</f>
      </c>
      <c r="Q3013" s="12" t="str">
        <f t="array" ref="Q3013">IF(A3013:A7056="","",IFERROR(_xlfn.XLOOKUP(A3013:A7056,castles_state!K:K,castles_state!D:D)&amp;"主",IFERROR(_xlfn.XLOOKUP(A3013:A7056,kunishuClan!D:D,kunishuClan!B:B)&amp;"当主","")))</f>
      </c>
    </row>
    <row r="3014" ht="15.75" customHeight="1">
      <c r="A3014" s="4">
        <v>1084002</v>
      </c>
      <c r="B3014" s="12" t="str">
        <f t="array" ref="B3014">IF(A3014:A7057="","",_xlfn.XLOOKUP(A3014:A7057,'参照_武将'!A:A,'参照_武将'!B:B,"見つかりません"))</f>
      </c>
      <c r="C3014" s="4" t="s">
        <v>387</v>
      </c>
      <c r="D3014" s="4">
        <v>84</v>
      </c>
      <c r="E3014" s="12" t="str">
        <f t="array" ref="E3014">IF(D3014:D7057="","",IFERROR(_xlfn.XLOOKUP(D3014:D7057,'参照_勢力'!A:A,'参照_勢力'!B:B),IFERROR(_xlfn.XLOOKUP(F3014:F7057,kunishuClan!A:A,kunishuClan!B:B),"浪人")))</f>
      </c>
      <c r="F3014" s="4">
        <v>0</v>
      </c>
      <c r="G3014" s="4">
        <v>217</v>
      </c>
      <c r="H3014" s="12" t="str">
        <f t="array" ref="H3014">IF(G3014:G7057="","",_xlfn.XLOOKUP(G3014:G7057,castles_state!A:A,castles_state!D:D,"見つかりません"))</f>
      </c>
      <c r="I3014" s="4"/>
      <c r="J3014" s="12" t="str">
        <f t="array" ref="J3014">IF(I3014:I7057="","",_xlfn.XLOOKUP(I3014:I7057,'参照_姫'!A:A,'参照_姫'!B:B,"見つかりません"))</f>
      </c>
      <c r="K3014" s="4">
        <v>95</v>
      </c>
      <c r="L3014" s="4">
        <v>0</v>
      </c>
      <c r="M3014" s="4"/>
      <c r="N3014" s="4"/>
      <c r="O3014" s="4"/>
      <c r="P3014" s="12" t="str">
        <f t="array" ref="P3014">IF(O3014:O7057="","",_xlfn.XLOOKUP(O3014:O7057,'参照_官位'!A:A,'参照_官位'!B:B,""))</f>
      </c>
      <c r="Q3014" s="12" t="str">
        <f t="array" ref="Q3014">IF(A3014:A7057="","",IFERROR(_xlfn.XLOOKUP(A3014:A7057,castles_state!K:K,castles_state!D:D)&amp;"主",IFERROR(_xlfn.XLOOKUP(A3014:A7057,kunishuClan!D:D,kunishuClan!B:B)&amp;"当主","")))</f>
      </c>
    </row>
    <row r="3015" ht="15.75" customHeight="1">
      <c r="A3015" s="4">
        <v>1084003</v>
      </c>
      <c r="B3015" s="12" t="str">
        <f t="array" ref="B3015">IF(A3015:A7058="","",_xlfn.XLOOKUP(A3015:A7058,'参照_武将'!A:A,'参照_武将'!B:B,"見つかりません"))</f>
      </c>
      <c r="C3015" s="4" t="s">
        <v>387</v>
      </c>
      <c r="D3015" s="4">
        <v>84</v>
      </c>
      <c r="E3015" s="12" t="str">
        <f t="array" ref="E3015">IF(D3015:D7058="","",IFERROR(_xlfn.XLOOKUP(D3015:D7058,'参照_勢力'!A:A,'参照_勢力'!B:B),IFERROR(_xlfn.XLOOKUP(F3015:F7058,kunishuClan!A:A,kunishuClan!B:B),"浪人")))</f>
      </c>
      <c r="F3015" s="4">
        <v>0</v>
      </c>
      <c r="G3015" s="4">
        <v>217</v>
      </c>
      <c r="H3015" s="12" t="str">
        <f t="array" ref="H3015">IF(G3015:G7058="","",_xlfn.XLOOKUP(G3015:G7058,castles_state!A:A,castles_state!D:D,"見つかりません"))</f>
      </c>
      <c r="I3015" s="4"/>
      <c r="J3015" s="12" t="str">
        <f t="array" ref="J3015">IF(I3015:I7058="","",_xlfn.XLOOKUP(I3015:I7058,'参照_姫'!A:A,'参照_姫'!B:B,"見つかりません"))</f>
      </c>
      <c r="K3015" s="4">
        <v>100</v>
      </c>
      <c r="L3015" s="4">
        <v>1000</v>
      </c>
      <c r="M3015" s="4"/>
      <c r="N3015" s="4"/>
      <c r="O3015" s="4"/>
      <c r="P3015" s="12" t="str">
        <f t="array" ref="P3015">IF(O3015:O7058="","",_xlfn.XLOOKUP(O3015:O7058,'参照_官位'!A:A,'参照_官位'!B:B,""))</f>
      </c>
      <c r="Q3015" s="12" t="str">
        <f t="array" ref="Q3015">IF(A3015:A7058="","",IFERROR(_xlfn.XLOOKUP(A3015:A7058,castles_state!K:K,castles_state!D:D)&amp;"主",IFERROR(_xlfn.XLOOKUP(A3015:A7058,kunishuClan!D:D,kunishuClan!B:B)&amp;"当主","")))</f>
      </c>
    </row>
    <row r="3016" ht="15.75" customHeight="1">
      <c r="A3016" s="4">
        <v>1084004</v>
      </c>
      <c r="B3016" s="12" t="str">
        <f t="array" ref="B3016">IF(A3016:A7059="","",_xlfn.XLOOKUP(A3016:A7059,'参照_武将'!A:A,'参照_武将'!B:B,"見つかりません"))</f>
      </c>
      <c r="C3016" s="4" t="s">
        <v>387</v>
      </c>
      <c r="D3016" s="4">
        <v>84</v>
      </c>
      <c r="E3016" s="12" t="str">
        <f t="array" ref="E3016">IF(D3016:D7059="","",IFERROR(_xlfn.XLOOKUP(D3016:D7059,'参照_勢力'!A:A,'参照_勢力'!B:B),IFERROR(_xlfn.XLOOKUP(F3016:F7059,kunishuClan!A:A,kunishuClan!B:B),"浪人")))</f>
      </c>
      <c r="F3016" s="4">
        <v>0</v>
      </c>
      <c r="G3016" s="4">
        <v>217</v>
      </c>
      <c r="H3016" s="12" t="str">
        <f t="array" ref="H3016">IF(G3016:G7059="","",_xlfn.XLOOKUP(G3016:G7059,castles_state!A:A,castles_state!D:D,"見つかりません"))</f>
      </c>
      <c r="I3016" s="4"/>
      <c r="J3016" s="12" t="str">
        <f t="array" ref="J3016">IF(I3016:I7059="","",_xlfn.XLOOKUP(I3016:I7059,'参照_姫'!A:A,'参照_姫'!B:B,"見つかりません"))</f>
      </c>
      <c r="K3016" s="4">
        <v>100</v>
      </c>
      <c r="L3016" s="4">
        <v>1000</v>
      </c>
      <c r="M3016" s="4"/>
      <c r="N3016" s="4"/>
      <c r="O3016" s="4"/>
      <c r="P3016" s="12" t="str">
        <f t="array" ref="P3016">IF(O3016:O7059="","",_xlfn.XLOOKUP(O3016:O7059,'参照_官位'!A:A,'参照_官位'!B:B,""))</f>
      </c>
      <c r="Q3016" s="12" t="str">
        <f t="array" ref="Q3016">IF(A3016:A7059="","",IFERROR(_xlfn.XLOOKUP(A3016:A7059,castles_state!K:K,castles_state!D:D)&amp;"主",IFERROR(_xlfn.XLOOKUP(A3016:A7059,kunishuClan!D:D,kunishuClan!B:B)&amp;"当主","")))</f>
      </c>
    </row>
    <row r="3017" ht="15.75" customHeight="1">
      <c r="A3017" s="4">
        <v>1084005</v>
      </c>
      <c r="B3017" s="12" t="str">
        <f t="array" ref="B3017">IF(A3017:A7060="","",_xlfn.XLOOKUP(A3017:A7060,'参照_武将'!A:A,'参照_武将'!B:B,"見つかりません"))</f>
      </c>
      <c r="C3017" s="4" t="s">
        <v>387</v>
      </c>
      <c r="D3017" s="4">
        <v>84</v>
      </c>
      <c r="E3017" s="12" t="str">
        <f t="array" ref="E3017">IF(D3017:D7060="","",IFERROR(_xlfn.XLOOKUP(D3017:D7060,'参照_勢力'!A:A,'参照_勢力'!B:B),IFERROR(_xlfn.XLOOKUP(F3017:F7060,kunishuClan!A:A,kunishuClan!B:B),"浪人")))</f>
      </c>
      <c r="F3017" s="4">
        <v>0</v>
      </c>
      <c r="G3017" s="4">
        <v>217</v>
      </c>
      <c r="H3017" s="12" t="str">
        <f t="array" ref="H3017">IF(G3017:G7060="","",_xlfn.XLOOKUP(G3017:G7060,castles_state!A:A,castles_state!D:D,"見つかりません"))</f>
      </c>
      <c r="I3017" s="4"/>
      <c r="J3017" s="12" t="str">
        <f t="array" ref="J3017">IF(I3017:I7060="","",_xlfn.XLOOKUP(I3017:I7060,'参照_姫'!A:A,'参照_姫'!B:B,"見つかりません"))</f>
      </c>
      <c r="K3017" s="4">
        <v>95</v>
      </c>
      <c r="L3017" s="4">
        <v>0</v>
      </c>
      <c r="M3017" s="4"/>
      <c r="N3017" s="4"/>
      <c r="O3017" s="4"/>
      <c r="P3017" s="12" t="str">
        <f t="array" ref="P3017">IF(O3017:O7060="","",_xlfn.XLOOKUP(O3017:O7060,'参照_官位'!A:A,'参照_官位'!B:B,""))</f>
      </c>
      <c r="Q3017" s="12" t="str">
        <f t="array" ref="Q3017">IF(A3017:A7060="","",IFERROR(_xlfn.XLOOKUP(A3017:A7060,castles_state!K:K,castles_state!D:D)&amp;"主",IFERROR(_xlfn.XLOOKUP(A3017:A7060,kunishuClan!D:D,kunishuClan!B:B)&amp;"当主","")))</f>
      </c>
    </row>
    <row r="3018" ht="15.75" customHeight="1">
      <c r="A3018" s="4">
        <v>1084006</v>
      </c>
      <c r="B3018" s="12" t="str">
        <f t="array" ref="B3018">IF(A3018:A7061="","",_xlfn.XLOOKUP(A3018:A7061,'参照_武将'!A:A,'参照_武将'!B:B,"見つかりません"))</f>
      </c>
      <c r="C3018" s="4" t="s">
        <v>387</v>
      </c>
      <c r="D3018" s="4">
        <v>84</v>
      </c>
      <c r="E3018" s="12" t="str">
        <f t="array" ref="E3018">IF(D3018:D7061="","",IFERROR(_xlfn.XLOOKUP(D3018:D7061,'参照_勢力'!A:A,'参照_勢力'!B:B),IFERROR(_xlfn.XLOOKUP(F3018:F7061,kunishuClan!A:A,kunishuClan!B:B),"浪人")))</f>
      </c>
      <c r="F3018" s="4">
        <v>0</v>
      </c>
      <c r="G3018" s="4">
        <v>217</v>
      </c>
      <c r="H3018" s="12" t="str">
        <f t="array" ref="H3018">IF(G3018:G7061="","",_xlfn.XLOOKUP(G3018:G7061,castles_state!A:A,castles_state!D:D,"見つかりません"))</f>
      </c>
      <c r="I3018" s="4"/>
      <c r="J3018" s="12" t="str">
        <f t="array" ref="J3018">IF(I3018:I7061="","",_xlfn.XLOOKUP(I3018:I7061,'参照_姫'!A:A,'参照_姫'!B:B,"見つかりません"))</f>
      </c>
      <c r="K3018" s="4">
        <v>95</v>
      </c>
      <c r="L3018" s="4">
        <v>0</v>
      </c>
      <c r="M3018" s="4"/>
      <c r="N3018" s="4"/>
      <c r="O3018" s="4"/>
      <c r="P3018" s="12" t="str">
        <f t="array" ref="P3018">IF(O3018:O7061="","",_xlfn.XLOOKUP(O3018:O7061,'参照_官位'!A:A,'参照_官位'!B:B,""))</f>
      </c>
      <c r="Q3018" s="12" t="str">
        <f t="array" ref="Q3018">IF(A3018:A7061="","",IFERROR(_xlfn.XLOOKUP(A3018:A7061,castles_state!K:K,castles_state!D:D)&amp;"主",IFERROR(_xlfn.XLOOKUP(A3018:A7061,kunishuClan!D:D,kunishuClan!B:B)&amp;"当主","")))</f>
      </c>
    </row>
    <row r="3019" ht="15.75" customHeight="1">
      <c r="A3019" s="4">
        <v>1084007</v>
      </c>
      <c r="B3019" s="12" t="str">
        <f t="array" ref="B3019">IF(A3019:A7062="","",_xlfn.XLOOKUP(A3019:A7062,'参照_武将'!A:A,'参照_武将'!B:B,"見つかりません"))</f>
      </c>
      <c r="C3019" s="4" t="s">
        <v>387</v>
      </c>
      <c r="D3019" s="4">
        <v>84</v>
      </c>
      <c r="E3019" s="12" t="str">
        <f t="array" ref="E3019">IF(D3019:D7062="","",IFERROR(_xlfn.XLOOKUP(D3019:D7062,'参照_勢力'!A:A,'参照_勢力'!B:B),IFERROR(_xlfn.XLOOKUP(F3019:F7062,kunishuClan!A:A,kunishuClan!B:B),"浪人")))</f>
      </c>
      <c r="F3019" s="4">
        <v>0</v>
      </c>
      <c r="G3019" s="4">
        <v>217</v>
      </c>
      <c r="H3019" s="12" t="str">
        <f t="array" ref="H3019">IF(G3019:G7062="","",_xlfn.XLOOKUP(G3019:G7062,castles_state!A:A,castles_state!D:D,"見つかりません"))</f>
      </c>
      <c r="I3019" s="4"/>
      <c r="J3019" s="12" t="str">
        <f t="array" ref="J3019">IF(I3019:I7062="","",_xlfn.XLOOKUP(I3019:I7062,'参照_姫'!A:A,'参照_姫'!B:B,"見つかりません"))</f>
      </c>
      <c r="K3019" s="4">
        <v>95</v>
      </c>
      <c r="L3019" s="4">
        <v>0</v>
      </c>
      <c r="M3019" s="4"/>
      <c r="N3019" s="4"/>
      <c r="O3019" s="4"/>
      <c r="P3019" s="12" t="str">
        <f t="array" ref="P3019">IF(O3019:O7062="","",_xlfn.XLOOKUP(O3019:O7062,'参照_官位'!A:A,'参照_官位'!B:B,""))</f>
      </c>
      <c r="Q3019" s="12" t="str">
        <f t="array" ref="Q3019">IF(A3019:A7062="","",IFERROR(_xlfn.XLOOKUP(A3019:A7062,castles_state!K:K,castles_state!D:D)&amp;"主",IFERROR(_xlfn.XLOOKUP(A3019:A7062,kunishuClan!D:D,kunishuClan!B:B)&amp;"当主","")))</f>
      </c>
    </row>
    <row r="3020" ht="15.75" customHeight="1">
      <c r="A3020" s="4">
        <v>1084008</v>
      </c>
      <c r="B3020" s="12" t="str">
        <f t="array" ref="B3020">IF(A3020:A7063="","",_xlfn.XLOOKUP(A3020:A7063,'参照_武将'!A:A,'参照_武将'!B:B,"見つかりません"))</f>
      </c>
      <c r="C3020" s="4" t="s">
        <v>387</v>
      </c>
      <c r="D3020" s="4">
        <v>84</v>
      </c>
      <c r="E3020" s="12" t="str">
        <f t="array" ref="E3020">IF(D3020:D7063="","",IFERROR(_xlfn.XLOOKUP(D3020:D7063,'参照_勢力'!A:A,'参照_勢力'!B:B),IFERROR(_xlfn.XLOOKUP(F3020:F7063,kunishuClan!A:A,kunishuClan!B:B),"浪人")))</f>
      </c>
      <c r="F3020" s="4">
        <v>0</v>
      </c>
      <c r="G3020" s="4">
        <v>217</v>
      </c>
      <c r="H3020" s="12" t="str">
        <f t="array" ref="H3020">IF(G3020:G7063="","",_xlfn.XLOOKUP(G3020:G7063,castles_state!A:A,castles_state!D:D,"見つかりません"))</f>
      </c>
      <c r="I3020" s="4"/>
      <c r="J3020" s="12" t="str">
        <f t="array" ref="J3020">IF(I3020:I7063="","",_xlfn.XLOOKUP(I3020:I7063,'参照_姫'!A:A,'参照_姫'!B:B,"見つかりません"))</f>
      </c>
      <c r="K3020" s="4">
        <v>95</v>
      </c>
      <c r="L3020" s="4">
        <v>0</v>
      </c>
      <c r="M3020" s="4"/>
      <c r="N3020" s="4"/>
      <c r="O3020" s="4"/>
      <c r="P3020" s="12" t="str">
        <f t="array" ref="P3020">IF(O3020:O7063="","",_xlfn.XLOOKUP(O3020:O7063,'参照_官位'!A:A,'参照_官位'!B:B,""))</f>
      </c>
      <c r="Q3020" s="12" t="str">
        <f t="array" ref="Q3020">IF(A3020:A7063="","",IFERROR(_xlfn.XLOOKUP(A3020:A7063,castles_state!K:K,castles_state!D:D)&amp;"主",IFERROR(_xlfn.XLOOKUP(A3020:A7063,kunishuClan!D:D,kunishuClan!B:B)&amp;"当主","")))</f>
      </c>
    </row>
    <row r="3021" ht="15.75" customHeight="1">
      <c r="A3021" s="4">
        <v>1084009</v>
      </c>
      <c r="B3021" s="12" t="str">
        <f t="array" ref="B3021">IF(A3021:A7064="","",_xlfn.XLOOKUP(A3021:A7064,'参照_武将'!A:A,'参照_武将'!B:B,"見つかりません"))</f>
      </c>
      <c r="C3021" s="4" t="s">
        <v>387</v>
      </c>
      <c r="D3021" s="4">
        <v>84</v>
      </c>
      <c r="E3021" s="12" t="str">
        <f t="array" ref="E3021">IF(D3021:D7064="","",IFERROR(_xlfn.XLOOKUP(D3021:D7064,'参照_勢力'!A:A,'参照_勢力'!B:B),IFERROR(_xlfn.XLOOKUP(F3021:F7064,kunishuClan!A:A,kunishuClan!B:B),"浪人")))</f>
      </c>
      <c r="F3021" s="4">
        <v>0</v>
      </c>
      <c r="G3021" s="4">
        <v>217</v>
      </c>
      <c r="H3021" s="12" t="str">
        <f t="array" ref="H3021">IF(G3021:G7064="","",_xlfn.XLOOKUP(G3021:G7064,castles_state!A:A,castles_state!D:D,"見つかりません"))</f>
      </c>
      <c r="I3021" s="4"/>
      <c r="J3021" s="12" t="str">
        <f t="array" ref="J3021">IF(I3021:I7064="","",_xlfn.XLOOKUP(I3021:I7064,'参照_姫'!A:A,'参照_姫'!B:B,"見つかりません"))</f>
      </c>
      <c r="K3021" s="4">
        <v>95</v>
      </c>
      <c r="L3021" s="4">
        <v>0</v>
      </c>
      <c r="M3021" s="4"/>
      <c r="N3021" s="4"/>
      <c r="O3021" s="4"/>
      <c r="P3021" s="12" t="str">
        <f t="array" ref="P3021">IF(O3021:O7064="","",_xlfn.XLOOKUP(O3021:O7064,'参照_官位'!A:A,'参照_官位'!B:B,""))</f>
      </c>
      <c r="Q3021" s="12" t="str">
        <f t="array" ref="Q3021">IF(A3021:A7064="","",IFERROR(_xlfn.XLOOKUP(A3021:A7064,castles_state!K:K,castles_state!D:D)&amp;"主",IFERROR(_xlfn.XLOOKUP(A3021:A7064,kunishuClan!D:D,kunishuClan!B:B)&amp;"当主","")))</f>
      </c>
    </row>
    <row r="3022" ht="15.75" customHeight="1">
      <c r="A3022" s="4">
        <v>1084010</v>
      </c>
      <c r="B3022" s="12" t="str">
        <f t="array" ref="B3022">IF(A3022:A7065="","",_xlfn.XLOOKUP(A3022:A7065,'参照_武将'!A:A,'参照_武将'!B:B,"見つかりません"))</f>
      </c>
      <c r="C3022" s="4" t="s">
        <v>387</v>
      </c>
      <c r="D3022" s="4">
        <v>84</v>
      </c>
      <c r="E3022" s="12" t="str">
        <f t="array" ref="E3022">IF(D3022:D7065="","",IFERROR(_xlfn.XLOOKUP(D3022:D7065,'参照_勢力'!A:A,'参照_勢力'!B:B),IFERROR(_xlfn.XLOOKUP(F3022:F7065,kunishuClan!A:A,kunishuClan!B:B),"浪人")))</f>
      </c>
      <c r="F3022" s="4">
        <v>0</v>
      </c>
      <c r="G3022" s="4">
        <v>217</v>
      </c>
      <c r="H3022" s="12" t="str">
        <f t="array" ref="H3022">IF(G3022:G7065="","",_xlfn.XLOOKUP(G3022:G7065,castles_state!A:A,castles_state!D:D,"見つかりません"))</f>
      </c>
      <c r="I3022" s="4"/>
      <c r="J3022" s="12" t="str">
        <f t="array" ref="J3022">IF(I3022:I7065="","",_xlfn.XLOOKUP(I3022:I7065,'参照_姫'!A:A,'参照_姫'!B:B,"見つかりません"))</f>
      </c>
      <c r="K3022" s="4">
        <v>95</v>
      </c>
      <c r="L3022" s="4">
        <v>500</v>
      </c>
      <c r="M3022" s="4"/>
      <c r="N3022" s="4"/>
      <c r="O3022" s="4"/>
      <c r="P3022" s="12" t="str">
        <f t="array" ref="P3022">IF(O3022:O7065="","",_xlfn.XLOOKUP(O3022:O7065,'参照_官位'!A:A,'参照_官位'!B:B,""))</f>
      </c>
      <c r="Q3022" s="12" t="str">
        <f t="array" ref="Q3022">IF(A3022:A7065="","",IFERROR(_xlfn.XLOOKUP(A3022:A7065,castles_state!K:K,castles_state!D:D)&amp;"主",IFERROR(_xlfn.XLOOKUP(A3022:A7065,kunishuClan!D:D,kunishuClan!B:B)&amp;"当主","")))</f>
      </c>
    </row>
    <row r="3023" ht="15.75" customHeight="1">
      <c r="A3023" s="4">
        <v>1084011</v>
      </c>
      <c r="B3023" s="12" t="str">
        <f t="array" ref="B3023">IF(A3023:A7066="","",_xlfn.XLOOKUP(A3023:A7066,'参照_武将'!A:A,'参照_武将'!B:B,"見つかりません"))</f>
      </c>
      <c r="C3023" s="4" t="s">
        <v>387</v>
      </c>
      <c r="D3023" s="4">
        <v>84</v>
      </c>
      <c r="E3023" s="12" t="str">
        <f t="array" ref="E3023">IF(D3023:D7066="","",IFERROR(_xlfn.XLOOKUP(D3023:D7066,'参照_勢力'!A:A,'参照_勢力'!B:B),IFERROR(_xlfn.XLOOKUP(F3023:F7066,kunishuClan!A:A,kunishuClan!B:B),"浪人")))</f>
      </c>
      <c r="F3023" s="4">
        <v>0</v>
      </c>
      <c r="G3023" s="4">
        <v>217</v>
      </c>
      <c r="H3023" s="12" t="str">
        <f t="array" ref="H3023">IF(G3023:G7066="","",_xlfn.XLOOKUP(G3023:G7066,castles_state!A:A,castles_state!D:D,"見つかりません"))</f>
      </c>
      <c r="I3023" s="4"/>
      <c r="J3023" s="12" t="str">
        <f t="array" ref="J3023">IF(I3023:I7066="","",_xlfn.XLOOKUP(I3023:I7066,'参照_姫'!A:A,'参照_姫'!B:B,"見つかりません"))</f>
      </c>
      <c r="K3023" s="4">
        <v>85</v>
      </c>
      <c r="L3023" s="4">
        <v>300</v>
      </c>
      <c r="M3023" s="4" t="b">
        <v>1</v>
      </c>
      <c r="N3023" s="4"/>
      <c r="O3023" s="4"/>
      <c r="P3023" s="12" t="str">
        <f t="array" ref="P3023">IF(O3023:O7066="","",_xlfn.XLOOKUP(O3023:O7066,'参照_官位'!A:A,'参照_官位'!B:B,""))</f>
      </c>
      <c r="Q3023" s="12" t="str">
        <f t="array" ref="Q3023">IF(A3023:A7066="","",IFERROR(_xlfn.XLOOKUP(A3023:A7066,castles_state!K:K,castles_state!D:D)&amp;"主",IFERROR(_xlfn.XLOOKUP(A3023:A7066,kunishuClan!D:D,kunishuClan!B:B)&amp;"当主","")))</f>
      </c>
    </row>
    <row r="3024" ht="15.75" customHeight="1">
      <c r="A3024" s="4">
        <v>1084012</v>
      </c>
      <c r="B3024" s="12" t="str">
        <f t="array" ref="B3024">IF(A3024:A7067="","",_xlfn.XLOOKUP(A3024:A7067,'参照_武将'!A:A,'参照_武将'!B:B,"見つかりません"))</f>
      </c>
      <c r="C3024" s="4" t="s">
        <v>387</v>
      </c>
      <c r="D3024" s="4">
        <v>84</v>
      </c>
      <c r="E3024" s="12" t="str">
        <f t="array" ref="E3024">IF(D3024:D7067="","",IFERROR(_xlfn.XLOOKUP(D3024:D7067,'参照_勢力'!A:A,'参照_勢力'!B:B),IFERROR(_xlfn.XLOOKUP(F3024:F7067,kunishuClan!A:A,kunishuClan!B:B),"浪人")))</f>
      </c>
      <c r="F3024" s="4">
        <v>0</v>
      </c>
      <c r="G3024" s="4">
        <v>217</v>
      </c>
      <c r="H3024" s="12" t="str">
        <f t="array" ref="H3024">IF(G3024:G7067="","",_xlfn.XLOOKUP(G3024:G7067,castles_state!A:A,castles_state!D:D,"見つかりません"))</f>
      </c>
      <c r="I3024" s="4"/>
      <c r="J3024" s="12" t="str">
        <f t="array" ref="J3024">IF(I3024:I7067="","",_xlfn.XLOOKUP(I3024:I7067,'参照_姫'!A:A,'参照_姫'!B:B,"見つかりません"))</f>
      </c>
      <c r="K3024" s="4">
        <v>95</v>
      </c>
      <c r="L3024" s="4">
        <v>0</v>
      </c>
      <c r="M3024" s="4"/>
      <c r="N3024" s="4"/>
      <c r="O3024" s="4"/>
      <c r="P3024" s="12" t="str">
        <f t="array" ref="P3024">IF(O3024:O7067="","",_xlfn.XLOOKUP(O3024:O7067,'参照_官位'!A:A,'参照_官位'!B:B,""))</f>
      </c>
      <c r="Q3024" s="12" t="str">
        <f t="array" ref="Q3024">IF(A3024:A7067="","",IFERROR(_xlfn.XLOOKUP(A3024:A7067,castles_state!K:K,castles_state!D:D)&amp;"主",IFERROR(_xlfn.XLOOKUP(A3024:A7067,kunishuClan!D:D,kunishuClan!B:B)&amp;"当主","")))</f>
      </c>
    </row>
    <row r="3025" ht="15.75" customHeight="1">
      <c r="A3025" s="4">
        <v>1084013</v>
      </c>
      <c r="B3025" s="12" t="str">
        <f t="array" ref="B3025">IF(A3025:A7068="","",_xlfn.XLOOKUP(A3025:A7068,'参照_武将'!A:A,'参照_武将'!B:B,"見つかりません"))</f>
      </c>
      <c r="C3025" s="4" t="s">
        <v>387</v>
      </c>
      <c r="D3025" s="4">
        <v>84</v>
      </c>
      <c r="E3025" s="12" t="str">
        <f t="array" ref="E3025">IF(D3025:D7068="","",IFERROR(_xlfn.XLOOKUP(D3025:D7068,'参照_勢力'!A:A,'参照_勢力'!B:B),IFERROR(_xlfn.XLOOKUP(F3025:F7068,kunishuClan!A:A,kunishuClan!B:B),"浪人")))</f>
      </c>
      <c r="F3025" s="4">
        <v>0</v>
      </c>
      <c r="G3025" s="4">
        <v>217</v>
      </c>
      <c r="H3025" s="12" t="str">
        <f t="array" ref="H3025">IF(G3025:G7068="","",_xlfn.XLOOKUP(G3025:G7068,castles_state!A:A,castles_state!D:D,"見つかりません"))</f>
      </c>
      <c r="I3025" s="4"/>
      <c r="J3025" s="12" t="str">
        <f t="array" ref="J3025">IF(I3025:I7068="","",_xlfn.XLOOKUP(I3025:I7068,'参照_姫'!A:A,'参照_姫'!B:B,"見つかりません"))</f>
      </c>
      <c r="K3025" s="4">
        <v>95</v>
      </c>
      <c r="L3025" s="4">
        <v>200</v>
      </c>
      <c r="M3025" s="4"/>
      <c r="N3025" s="4"/>
      <c r="O3025" s="4"/>
      <c r="P3025" s="12" t="str">
        <f t="array" ref="P3025">IF(O3025:O7068="","",_xlfn.XLOOKUP(O3025:O7068,'参照_官位'!A:A,'参照_官位'!B:B,""))</f>
      </c>
      <c r="Q3025" s="12" t="str">
        <f t="array" ref="Q3025">IF(A3025:A7068="","",IFERROR(_xlfn.XLOOKUP(A3025:A7068,castles_state!K:K,castles_state!D:D)&amp;"主",IFERROR(_xlfn.XLOOKUP(A3025:A7068,kunishuClan!D:D,kunishuClan!B:B)&amp;"当主","")))</f>
      </c>
    </row>
    <row r="3026" ht="15.75" customHeight="1">
      <c r="A3026" s="4">
        <v>1084014</v>
      </c>
      <c r="B3026" s="12" t="str">
        <f t="array" ref="B3026">IF(A3026:A7069="","",_xlfn.XLOOKUP(A3026:A7069,'参照_武将'!A:A,'参照_武将'!B:B,"見つかりません"))</f>
      </c>
      <c r="C3026" s="4" t="s">
        <v>387</v>
      </c>
      <c r="D3026" s="4">
        <v>84</v>
      </c>
      <c r="E3026" s="12" t="str">
        <f t="array" ref="E3026">IF(D3026:D7069="","",IFERROR(_xlfn.XLOOKUP(D3026:D7069,'参照_勢力'!A:A,'参照_勢力'!B:B),IFERROR(_xlfn.XLOOKUP(F3026:F7069,kunishuClan!A:A,kunishuClan!B:B),"浪人")))</f>
      </c>
      <c r="F3026" s="4">
        <v>0</v>
      </c>
      <c r="G3026" s="4">
        <v>217</v>
      </c>
      <c r="H3026" s="12" t="str">
        <f t="array" ref="H3026">IF(G3026:G7069="","",_xlfn.XLOOKUP(G3026:G7069,castles_state!A:A,castles_state!D:D,"見つかりません"))</f>
      </c>
      <c r="I3026" s="4"/>
      <c r="J3026" s="12" t="str">
        <f t="array" ref="J3026">IF(I3026:I7069="","",_xlfn.XLOOKUP(I3026:I7069,'参照_姫'!A:A,'参照_姫'!B:B,"見つかりません"))</f>
      </c>
      <c r="K3026" s="4">
        <v>95</v>
      </c>
      <c r="L3026" s="4">
        <v>0</v>
      </c>
      <c r="M3026" s="4"/>
      <c r="N3026" s="4"/>
      <c r="O3026" s="4"/>
      <c r="P3026" s="12" t="str">
        <f t="array" ref="P3026">IF(O3026:O7069="","",_xlfn.XLOOKUP(O3026:O7069,'参照_官位'!A:A,'参照_官位'!B:B,""))</f>
      </c>
      <c r="Q3026" s="12" t="str">
        <f t="array" ref="Q3026">IF(A3026:A7069="","",IFERROR(_xlfn.XLOOKUP(A3026:A7069,castles_state!K:K,castles_state!D:D)&amp;"主",IFERROR(_xlfn.XLOOKUP(A3026:A7069,kunishuClan!D:D,kunishuClan!B:B)&amp;"当主","")))</f>
      </c>
    </row>
    <row r="3027" ht="15.75" customHeight="1">
      <c r="A3027" s="4">
        <v>1084015</v>
      </c>
      <c r="B3027" s="12" t="str">
        <f t="array" ref="B3027">IF(A3027:A7070="","",_xlfn.XLOOKUP(A3027:A7070,'参照_武将'!A:A,'参照_武将'!B:B,"見つかりません"))</f>
      </c>
      <c r="C3027" s="4" t="s">
        <v>387</v>
      </c>
      <c r="D3027" s="4">
        <v>84</v>
      </c>
      <c r="E3027" s="12" t="str">
        <f t="array" ref="E3027">IF(D3027:D7070="","",IFERROR(_xlfn.XLOOKUP(D3027:D7070,'参照_勢力'!A:A,'参照_勢力'!B:B),IFERROR(_xlfn.XLOOKUP(F3027:F7070,kunishuClan!A:A,kunishuClan!B:B),"浪人")))</f>
      </c>
      <c r="F3027" s="4">
        <v>0</v>
      </c>
      <c r="G3027" s="4">
        <v>217</v>
      </c>
      <c r="H3027" s="12" t="str">
        <f t="array" ref="H3027">IF(G3027:G7070="","",_xlfn.XLOOKUP(G3027:G7070,castles_state!A:A,castles_state!D:D,"見つかりません"))</f>
      </c>
      <c r="I3027" s="4"/>
      <c r="J3027" s="12" t="str">
        <f t="array" ref="J3027">IF(I3027:I7070="","",_xlfn.XLOOKUP(I3027:I7070,'参照_姫'!A:A,'参照_姫'!B:B,"見つかりません"))</f>
      </c>
      <c r="K3027" s="4">
        <v>80</v>
      </c>
      <c r="L3027" s="4">
        <v>0</v>
      </c>
      <c r="M3027" s="4"/>
      <c r="N3027" s="4"/>
      <c r="O3027" s="4"/>
      <c r="P3027" s="12" t="str">
        <f t="array" ref="P3027">IF(O3027:O7070="","",_xlfn.XLOOKUP(O3027:O7070,'参照_官位'!A:A,'参照_官位'!B:B,""))</f>
      </c>
      <c r="Q3027" s="12" t="str">
        <f t="array" ref="Q3027">IF(A3027:A7070="","",IFERROR(_xlfn.XLOOKUP(A3027:A7070,castles_state!K:K,castles_state!D:D)&amp;"主",IFERROR(_xlfn.XLOOKUP(A3027:A7070,kunishuClan!D:D,kunishuClan!B:B)&amp;"当主","")))</f>
      </c>
    </row>
    <row r="3028" ht="15.75" customHeight="1">
      <c r="A3028" s="4">
        <v>1084016</v>
      </c>
      <c r="B3028" s="12" t="str">
        <f t="array" ref="B3028">IF(A3028:A7071="","",_xlfn.XLOOKUP(A3028:A7071,'参照_武将'!A:A,'参照_武将'!B:B,"見つかりません"))</f>
      </c>
      <c r="C3028" s="4" t="s">
        <v>387</v>
      </c>
      <c r="D3028" s="4">
        <v>84</v>
      </c>
      <c r="E3028" s="12" t="str">
        <f t="array" ref="E3028">IF(D3028:D7071="","",IFERROR(_xlfn.XLOOKUP(D3028:D7071,'参照_勢力'!A:A,'参照_勢力'!B:B),IFERROR(_xlfn.XLOOKUP(F3028:F7071,kunishuClan!A:A,kunishuClan!B:B),"浪人")))</f>
      </c>
      <c r="F3028" s="4">
        <v>0</v>
      </c>
      <c r="G3028" s="4">
        <v>217</v>
      </c>
      <c r="H3028" s="12" t="str">
        <f t="array" ref="H3028">IF(G3028:G7071="","",_xlfn.XLOOKUP(G3028:G7071,castles_state!A:A,castles_state!D:D,"見つかりません"))</f>
      </c>
      <c r="I3028" s="4"/>
      <c r="J3028" s="12" t="str">
        <f t="array" ref="J3028">IF(I3028:I7071="","",_xlfn.XLOOKUP(I3028:I7071,'参照_姫'!A:A,'参照_姫'!B:B,"見つかりません"))</f>
      </c>
      <c r="K3028" s="4">
        <v>95</v>
      </c>
      <c r="L3028" s="4">
        <v>300</v>
      </c>
      <c r="M3028" s="4"/>
      <c r="N3028" s="4"/>
      <c r="O3028" s="4"/>
      <c r="P3028" s="12" t="str">
        <f t="array" ref="P3028">IF(O3028:O7071="","",_xlfn.XLOOKUP(O3028:O7071,'参照_官位'!A:A,'参照_官位'!B:B,""))</f>
      </c>
      <c r="Q3028" s="12" t="str">
        <f t="array" ref="Q3028">IF(A3028:A7071="","",IFERROR(_xlfn.XLOOKUP(A3028:A7071,castles_state!K:K,castles_state!D:D)&amp;"主",IFERROR(_xlfn.XLOOKUP(A3028:A7071,kunishuClan!D:D,kunishuClan!B:B)&amp;"当主","")))</f>
      </c>
    </row>
    <row r="3029" ht="15.75" customHeight="1">
      <c r="A3029" s="4">
        <v>1084017</v>
      </c>
      <c r="B3029" s="12" t="str">
        <f t="array" ref="B3029">IF(A3029:A7072="","",_xlfn.XLOOKUP(A3029:A7072,'参照_武将'!A:A,'参照_武将'!B:B,"見つかりません"))</f>
      </c>
      <c r="C3029" s="4" t="s">
        <v>387</v>
      </c>
      <c r="D3029" s="4">
        <v>84</v>
      </c>
      <c r="E3029" s="12" t="str">
        <f t="array" ref="E3029">IF(D3029:D7072="","",IFERROR(_xlfn.XLOOKUP(D3029:D7072,'参照_勢力'!A:A,'参照_勢力'!B:B),IFERROR(_xlfn.XLOOKUP(F3029:F7072,kunishuClan!A:A,kunishuClan!B:B),"浪人")))</f>
      </c>
      <c r="F3029" s="4">
        <v>0</v>
      </c>
      <c r="G3029" s="4">
        <v>217</v>
      </c>
      <c r="H3029" s="12" t="str">
        <f t="array" ref="H3029">IF(G3029:G7072="","",_xlfn.XLOOKUP(G3029:G7072,castles_state!A:A,castles_state!D:D,"見つかりません"))</f>
      </c>
      <c r="I3029" s="4"/>
      <c r="J3029" s="12" t="str">
        <f t="array" ref="J3029">IF(I3029:I7072="","",_xlfn.XLOOKUP(I3029:I7072,'参照_姫'!A:A,'参照_姫'!B:B,"見つかりません"))</f>
      </c>
      <c r="K3029" s="4">
        <v>95</v>
      </c>
      <c r="L3029" s="4">
        <v>300</v>
      </c>
      <c r="M3029" s="4"/>
      <c r="N3029" s="4"/>
      <c r="O3029" s="4"/>
      <c r="P3029" s="12" t="str">
        <f t="array" ref="P3029">IF(O3029:O7072="","",_xlfn.XLOOKUP(O3029:O7072,'参照_官位'!A:A,'参照_官位'!B:B,""))</f>
      </c>
      <c r="Q3029" s="12" t="str">
        <f t="array" ref="Q3029">IF(A3029:A7072="","",IFERROR(_xlfn.XLOOKUP(A3029:A7072,castles_state!K:K,castles_state!D:D)&amp;"主",IFERROR(_xlfn.XLOOKUP(A3029:A7072,kunishuClan!D:D,kunishuClan!B:B)&amp;"当主","")))</f>
      </c>
    </row>
    <row r="3030" ht="15.75" customHeight="1">
      <c r="A3030" s="4">
        <v>1085001</v>
      </c>
      <c r="B3030" s="12" t="str">
        <f t="array" ref="B3030">IF(A3030:A7073="","",_xlfn.XLOOKUP(A3030:A7073,'参照_武将'!A:A,'参照_武将'!B:B,"見つかりません"))</f>
      </c>
      <c r="C3030" s="4" t="s">
        <v>391</v>
      </c>
      <c r="D3030" s="4">
        <v>85</v>
      </c>
      <c r="E3030" s="12" t="str">
        <f t="array" ref="E3030">IF(D3030:D7073="","",IFERROR(_xlfn.XLOOKUP(D3030:D7073,'参照_勢力'!A:A,'参照_勢力'!B:B),IFERROR(_xlfn.XLOOKUP(F3030:F7073,kunishuClan!A:A,kunishuClan!B:B),"浪人")))</f>
      </c>
      <c r="F3030" s="4">
        <v>0</v>
      </c>
      <c r="G3030" s="4">
        <v>243</v>
      </c>
      <c r="H3030" s="12" t="str">
        <f t="array" ref="H3030">IF(G3030:G7073="","",_xlfn.XLOOKUP(G3030:G7073,castles_state!A:A,castles_state!D:D,"見つかりません"))</f>
      </c>
      <c r="I3030" s="4"/>
      <c r="J3030" s="12" t="str">
        <f t="array" ref="J3030">IF(I3030:I7073="","",_xlfn.XLOOKUP(I3030:I7073,'参照_姫'!A:A,'参照_姫'!B:B,"見つかりません"))</f>
      </c>
      <c r="K3030" s="4">
        <v>100</v>
      </c>
      <c r="L3030" s="4">
        <v>1000</v>
      </c>
      <c r="M3030" s="4"/>
      <c r="N3030" s="4"/>
      <c r="O3030" s="4"/>
      <c r="P3030" s="12" t="str">
        <f t="array" ref="P3030">IF(O3030:O7073="","",_xlfn.XLOOKUP(O3030:O7073,'参照_官位'!A:A,'参照_官位'!B:B,""))</f>
      </c>
      <c r="Q3030" s="12" t="str">
        <f t="array" ref="Q3030">IF(A3030:A7073="","",IFERROR(_xlfn.XLOOKUP(A3030:A7073,castles_state!K:K,castles_state!D:D)&amp;"主",IFERROR(_xlfn.XLOOKUP(A3030:A7073,kunishuClan!D:D,kunishuClan!B:B)&amp;"当主","")))</f>
      </c>
    </row>
    <row r="3031" ht="15.75" customHeight="1">
      <c r="A3031" s="4">
        <v>1085002</v>
      </c>
      <c r="B3031" s="12" t="str">
        <f t="array" ref="B3031">IF(A3031:A7074="","",_xlfn.XLOOKUP(A3031:A7074,'参照_武将'!A:A,'参照_武将'!B:B,"見つかりません"))</f>
      </c>
      <c r="C3031" s="4" t="s">
        <v>391</v>
      </c>
      <c r="D3031" s="4">
        <v>85</v>
      </c>
      <c r="E3031" s="12" t="str">
        <f t="array" ref="E3031">IF(D3031:D7074="","",IFERROR(_xlfn.XLOOKUP(D3031:D7074,'参照_勢力'!A:A,'参照_勢力'!B:B),IFERROR(_xlfn.XLOOKUP(F3031:F7074,kunishuClan!A:A,kunishuClan!B:B),"浪人")))</f>
      </c>
      <c r="F3031" s="4">
        <v>0</v>
      </c>
      <c r="G3031" s="4">
        <v>243</v>
      </c>
      <c r="H3031" s="12" t="str">
        <f t="array" ref="H3031">IF(G3031:G7074="","",_xlfn.XLOOKUP(G3031:G7074,castles_state!A:A,castles_state!D:D,"見つかりません"))</f>
      </c>
      <c r="I3031" s="4"/>
      <c r="J3031" s="12" t="str">
        <f t="array" ref="J3031">IF(I3031:I7074="","",_xlfn.XLOOKUP(I3031:I7074,'参照_姫'!A:A,'参照_姫'!B:B,"見つかりません"))</f>
      </c>
      <c r="K3031" s="4">
        <v>100</v>
      </c>
      <c r="L3031" s="4">
        <v>1000</v>
      </c>
      <c r="M3031" s="4"/>
      <c r="N3031" s="4"/>
      <c r="O3031" s="4"/>
      <c r="P3031" s="12" t="str">
        <f t="array" ref="P3031">IF(O3031:O7074="","",_xlfn.XLOOKUP(O3031:O7074,'参照_官位'!A:A,'参照_官位'!B:B,""))</f>
      </c>
      <c r="Q3031" s="12" t="str">
        <f t="array" ref="Q3031">IF(A3031:A7074="","",IFERROR(_xlfn.XLOOKUP(A3031:A7074,castles_state!K:K,castles_state!D:D)&amp;"主",IFERROR(_xlfn.XLOOKUP(A3031:A7074,kunishuClan!D:D,kunishuClan!B:B)&amp;"当主","")))</f>
      </c>
    </row>
    <row r="3032" ht="15.75" customHeight="1">
      <c r="A3032" s="4">
        <v>1085003</v>
      </c>
      <c r="B3032" s="12" t="str">
        <f t="array" ref="B3032">IF(A3032:A7075="","",_xlfn.XLOOKUP(A3032:A7075,'参照_武将'!A:A,'参照_武将'!B:B,"見つかりません"))</f>
      </c>
      <c r="C3032" s="4" t="s">
        <v>391</v>
      </c>
      <c r="D3032" s="4">
        <v>85</v>
      </c>
      <c r="E3032" s="12" t="str">
        <f t="array" ref="E3032">IF(D3032:D7075="","",IFERROR(_xlfn.XLOOKUP(D3032:D7075,'参照_勢力'!A:A,'参照_勢力'!B:B),IFERROR(_xlfn.XLOOKUP(F3032:F7075,kunishuClan!A:A,kunishuClan!B:B),"浪人")))</f>
      </c>
      <c r="F3032" s="4">
        <v>0</v>
      </c>
      <c r="G3032" s="4">
        <v>243</v>
      </c>
      <c r="H3032" s="12" t="str">
        <f t="array" ref="H3032">IF(G3032:G7075="","",_xlfn.XLOOKUP(G3032:G7075,castles_state!A:A,castles_state!D:D,"見つかりません"))</f>
      </c>
      <c r="I3032" s="4"/>
      <c r="J3032" s="12" t="str">
        <f t="array" ref="J3032">IF(I3032:I7075="","",_xlfn.XLOOKUP(I3032:I7075,'参照_姫'!A:A,'参照_姫'!B:B,"見つかりません"))</f>
      </c>
      <c r="K3032" s="4">
        <v>95</v>
      </c>
      <c r="L3032" s="4">
        <v>0</v>
      </c>
      <c r="M3032" s="4"/>
      <c r="N3032" s="4"/>
      <c r="O3032" s="4"/>
      <c r="P3032" s="12" t="str">
        <f t="array" ref="P3032">IF(O3032:O7075="","",_xlfn.XLOOKUP(O3032:O7075,'参照_官位'!A:A,'参照_官位'!B:B,""))</f>
      </c>
      <c r="Q3032" s="12" t="str">
        <f t="array" ref="Q3032">IF(A3032:A7075="","",IFERROR(_xlfn.XLOOKUP(A3032:A7075,castles_state!K:K,castles_state!D:D)&amp;"主",IFERROR(_xlfn.XLOOKUP(A3032:A7075,kunishuClan!D:D,kunishuClan!B:B)&amp;"当主","")))</f>
      </c>
    </row>
    <row r="3033" ht="15.75" customHeight="1">
      <c r="A3033" s="4">
        <v>1085004</v>
      </c>
      <c r="B3033" s="12" t="str">
        <f t="array" ref="B3033">IF(A3033:A7076="","",_xlfn.XLOOKUP(A3033:A7076,'参照_武将'!A:A,'参照_武将'!B:B,"見つかりません"))</f>
      </c>
      <c r="C3033" s="4" t="s">
        <v>391</v>
      </c>
      <c r="D3033" s="4">
        <v>85</v>
      </c>
      <c r="E3033" s="12" t="str">
        <f t="array" ref="E3033">IF(D3033:D7076="","",IFERROR(_xlfn.XLOOKUP(D3033:D7076,'参照_勢力'!A:A,'参照_勢力'!B:B),IFERROR(_xlfn.XLOOKUP(F3033:F7076,kunishuClan!A:A,kunishuClan!B:B),"浪人")))</f>
      </c>
      <c r="F3033" s="4">
        <v>0</v>
      </c>
      <c r="G3033" s="4">
        <v>243</v>
      </c>
      <c r="H3033" s="12" t="str">
        <f t="array" ref="H3033">IF(G3033:G7076="","",_xlfn.XLOOKUP(G3033:G7076,castles_state!A:A,castles_state!D:D,"見つかりません"))</f>
      </c>
      <c r="I3033" s="4"/>
      <c r="J3033" s="12" t="str">
        <f t="array" ref="J3033">IF(I3033:I7076="","",_xlfn.XLOOKUP(I3033:I7076,'参照_姫'!A:A,'参照_姫'!B:B,"見つかりません"))</f>
      </c>
      <c r="K3033" s="4">
        <v>95</v>
      </c>
      <c r="L3033" s="4">
        <v>0</v>
      </c>
      <c r="M3033" s="4"/>
      <c r="N3033" s="4"/>
      <c r="O3033" s="4"/>
      <c r="P3033" s="12" t="str">
        <f t="array" ref="P3033">IF(O3033:O7076="","",_xlfn.XLOOKUP(O3033:O7076,'参照_官位'!A:A,'参照_官位'!B:B,""))</f>
      </c>
      <c r="Q3033" s="12" t="str">
        <f t="array" ref="Q3033">IF(A3033:A7076="","",IFERROR(_xlfn.XLOOKUP(A3033:A7076,castles_state!K:K,castles_state!D:D)&amp;"主",IFERROR(_xlfn.XLOOKUP(A3033:A7076,kunishuClan!D:D,kunishuClan!B:B)&amp;"当主","")))</f>
      </c>
    </row>
    <row r="3034" ht="15.75" customHeight="1">
      <c r="A3034" s="4">
        <v>1085005</v>
      </c>
      <c r="B3034" s="12" t="str">
        <f t="array" ref="B3034">IF(A3034:A7077="","",_xlfn.XLOOKUP(A3034:A7077,'参照_武将'!A:A,'参照_武将'!B:B,"見つかりません"))</f>
      </c>
      <c r="C3034" s="4" t="s">
        <v>391</v>
      </c>
      <c r="D3034" s="4">
        <v>85</v>
      </c>
      <c r="E3034" s="12" t="str">
        <f t="array" ref="E3034">IF(D3034:D7077="","",IFERROR(_xlfn.XLOOKUP(D3034:D7077,'参照_勢力'!A:A,'参照_勢力'!B:B),IFERROR(_xlfn.XLOOKUP(F3034:F7077,kunishuClan!A:A,kunishuClan!B:B),"浪人")))</f>
      </c>
      <c r="F3034" s="4">
        <v>0</v>
      </c>
      <c r="G3034" s="4">
        <v>243</v>
      </c>
      <c r="H3034" s="12" t="str">
        <f t="array" ref="H3034">IF(G3034:G7077="","",_xlfn.XLOOKUP(G3034:G7077,castles_state!A:A,castles_state!D:D,"見つかりません"))</f>
      </c>
      <c r="I3034" s="4"/>
      <c r="J3034" s="12" t="str">
        <f t="array" ref="J3034">IF(I3034:I7077="","",_xlfn.XLOOKUP(I3034:I7077,'参照_姫'!A:A,'参照_姫'!B:B,"見つかりません"))</f>
      </c>
      <c r="K3034" s="4">
        <v>90</v>
      </c>
      <c r="L3034" s="4">
        <v>0</v>
      </c>
      <c r="M3034" s="4"/>
      <c r="N3034" s="4"/>
      <c r="O3034" s="4"/>
      <c r="P3034" s="12" t="str">
        <f t="array" ref="P3034">IF(O3034:O7077="","",_xlfn.XLOOKUP(O3034:O7077,'参照_官位'!A:A,'参照_官位'!B:B,""))</f>
      </c>
      <c r="Q3034" s="12" t="str">
        <f t="array" ref="Q3034">IF(A3034:A7077="","",IFERROR(_xlfn.XLOOKUP(A3034:A7077,castles_state!K:K,castles_state!D:D)&amp;"主",IFERROR(_xlfn.XLOOKUP(A3034:A7077,kunishuClan!D:D,kunishuClan!B:B)&amp;"当主","")))</f>
      </c>
    </row>
    <row r="3035" ht="15.75" customHeight="1">
      <c r="A3035" s="4">
        <v>1085006</v>
      </c>
      <c r="B3035" s="12" t="str">
        <f t="array" ref="B3035">IF(A3035:A7078="","",_xlfn.XLOOKUP(A3035:A7078,'参照_武将'!A:A,'参照_武将'!B:B,"見つかりません"))</f>
      </c>
      <c r="C3035" s="4" t="s">
        <v>391</v>
      </c>
      <c r="D3035" s="4">
        <v>85</v>
      </c>
      <c r="E3035" s="12" t="str">
        <f t="array" ref="E3035">IF(D3035:D7078="","",IFERROR(_xlfn.XLOOKUP(D3035:D7078,'参照_勢力'!A:A,'参照_勢力'!B:B),IFERROR(_xlfn.XLOOKUP(F3035:F7078,kunishuClan!A:A,kunishuClan!B:B),"浪人")))</f>
      </c>
      <c r="F3035" s="4">
        <v>0</v>
      </c>
      <c r="G3035" s="4">
        <v>243</v>
      </c>
      <c r="H3035" s="12" t="str">
        <f t="array" ref="H3035">IF(G3035:G7078="","",_xlfn.XLOOKUP(G3035:G7078,castles_state!A:A,castles_state!D:D,"見つかりません"))</f>
      </c>
      <c r="I3035" s="4"/>
      <c r="J3035" s="12" t="str">
        <f t="array" ref="J3035">IF(I3035:I7078="","",_xlfn.XLOOKUP(I3035:I7078,'参照_姫'!A:A,'参照_姫'!B:B,"見つかりません"))</f>
      </c>
      <c r="K3035" s="4">
        <v>90</v>
      </c>
      <c r="L3035" s="4">
        <v>0</v>
      </c>
      <c r="M3035" s="4"/>
      <c r="N3035" s="4"/>
      <c r="O3035" s="4"/>
      <c r="P3035" s="12" t="str">
        <f t="array" ref="P3035">IF(O3035:O7078="","",_xlfn.XLOOKUP(O3035:O7078,'参照_官位'!A:A,'参照_官位'!B:B,""))</f>
      </c>
      <c r="Q3035" s="12" t="str">
        <f t="array" ref="Q3035">IF(A3035:A7078="","",IFERROR(_xlfn.XLOOKUP(A3035:A7078,castles_state!K:K,castles_state!D:D)&amp;"主",IFERROR(_xlfn.XLOOKUP(A3035:A7078,kunishuClan!D:D,kunishuClan!B:B)&amp;"当主","")))</f>
      </c>
    </row>
    <row r="3036" ht="15.75" customHeight="1">
      <c r="A3036" s="4">
        <v>1085007</v>
      </c>
      <c r="B3036" s="12" t="str">
        <f t="array" ref="B3036">IF(A3036:A7079="","",_xlfn.XLOOKUP(A3036:A7079,'参照_武将'!A:A,'参照_武将'!B:B,"見つかりません"))</f>
      </c>
      <c r="C3036" s="4" t="s">
        <v>391</v>
      </c>
      <c r="D3036" s="4">
        <v>85</v>
      </c>
      <c r="E3036" s="12" t="str">
        <f t="array" ref="E3036">IF(D3036:D7079="","",IFERROR(_xlfn.XLOOKUP(D3036:D7079,'参照_勢力'!A:A,'参照_勢力'!B:B),IFERROR(_xlfn.XLOOKUP(F3036:F7079,kunishuClan!A:A,kunishuClan!B:B),"浪人")))</f>
      </c>
      <c r="F3036" s="4">
        <v>0</v>
      </c>
      <c r="G3036" s="4">
        <v>243</v>
      </c>
      <c r="H3036" s="12" t="str">
        <f t="array" ref="H3036">IF(G3036:G7079="","",_xlfn.XLOOKUP(G3036:G7079,castles_state!A:A,castles_state!D:D,"見つかりません"))</f>
      </c>
      <c r="I3036" s="4"/>
      <c r="J3036" s="12" t="str">
        <f t="array" ref="J3036">IF(I3036:I7079="","",_xlfn.XLOOKUP(I3036:I7079,'参照_姫'!A:A,'参照_姫'!B:B,"見つかりません"))</f>
      </c>
      <c r="K3036" s="4">
        <v>85</v>
      </c>
      <c r="L3036" s="4">
        <v>500</v>
      </c>
      <c r="M3036" s="4"/>
      <c r="N3036" s="4"/>
      <c r="O3036" s="4"/>
      <c r="P3036" s="12" t="str">
        <f t="array" ref="P3036">IF(O3036:O7079="","",_xlfn.XLOOKUP(O3036:O7079,'参照_官位'!A:A,'参照_官位'!B:B,""))</f>
      </c>
      <c r="Q3036" s="12" t="str">
        <f t="array" ref="Q3036">IF(A3036:A7079="","",IFERROR(_xlfn.XLOOKUP(A3036:A7079,castles_state!K:K,castles_state!D:D)&amp;"主",IFERROR(_xlfn.XLOOKUP(A3036:A7079,kunishuClan!D:D,kunishuClan!B:B)&amp;"当主","")))</f>
      </c>
    </row>
    <row r="3037" ht="15.75" customHeight="1">
      <c r="A3037" s="4">
        <v>1085008</v>
      </c>
      <c r="B3037" s="12" t="str">
        <f t="array" ref="B3037">IF(A3037:A7080="","",_xlfn.XLOOKUP(A3037:A7080,'参照_武将'!A:A,'参照_武将'!B:B,"見つかりません"))</f>
      </c>
      <c r="C3037" s="4" t="s">
        <v>391</v>
      </c>
      <c r="D3037" s="4">
        <v>85</v>
      </c>
      <c r="E3037" s="12" t="str">
        <f t="array" ref="E3037">IF(D3037:D7080="","",IFERROR(_xlfn.XLOOKUP(D3037:D7080,'参照_勢力'!A:A,'参照_勢力'!B:B),IFERROR(_xlfn.XLOOKUP(F3037:F7080,kunishuClan!A:A,kunishuClan!B:B),"浪人")))</f>
      </c>
      <c r="F3037" s="4">
        <v>0</v>
      </c>
      <c r="G3037" s="4">
        <v>243</v>
      </c>
      <c r="H3037" s="12" t="str">
        <f t="array" ref="H3037">IF(G3037:G7080="","",_xlfn.XLOOKUP(G3037:G7080,castles_state!A:A,castles_state!D:D,"見つかりません"))</f>
      </c>
      <c r="I3037" s="4"/>
      <c r="J3037" s="12" t="str">
        <f t="array" ref="J3037">IF(I3037:I7080="","",_xlfn.XLOOKUP(I3037:I7080,'参照_姫'!A:A,'参照_姫'!B:B,"見つかりません"))</f>
      </c>
      <c r="K3037" s="4">
        <v>85</v>
      </c>
      <c r="L3037" s="4">
        <v>0</v>
      </c>
      <c r="M3037" s="4"/>
      <c r="N3037" s="4"/>
      <c r="O3037" s="4"/>
      <c r="P3037" s="12" t="str">
        <f t="array" ref="P3037">IF(O3037:O7080="","",_xlfn.XLOOKUP(O3037:O7080,'参照_官位'!A:A,'参照_官位'!B:B,""))</f>
      </c>
      <c r="Q3037" s="12" t="str">
        <f t="array" ref="Q3037">IF(A3037:A7080="","",IFERROR(_xlfn.XLOOKUP(A3037:A7080,castles_state!K:K,castles_state!D:D)&amp;"主",IFERROR(_xlfn.XLOOKUP(A3037:A7080,kunishuClan!D:D,kunishuClan!B:B)&amp;"当主","")))</f>
      </c>
    </row>
    <row r="3038" ht="15.75" customHeight="1">
      <c r="A3038" s="4">
        <v>1085009</v>
      </c>
      <c r="B3038" s="12" t="str">
        <f t="array" ref="B3038">IF(A3038:A7081="","",_xlfn.XLOOKUP(A3038:A7081,'参照_武将'!A:A,'参照_武将'!B:B,"見つかりません"))</f>
      </c>
      <c r="C3038" s="4" t="s">
        <v>391</v>
      </c>
      <c r="D3038" s="4">
        <v>85</v>
      </c>
      <c r="E3038" s="12" t="str">
        <f t="array" ref="E3038">IF(D3038:D7081="","",IFERROR(_xlfn.XLOOKUP(D3038:D7081,'参照_勢力'!A:A,'参照_勢力'!B:B),IFERROR(_xlfn.XLOOKUP(F3038:F7081,kunishuClan!A:A,kunishuClan!B:B),"浪人")))</f>
      </c>
      <c r="F3038" s="4">
        <v>0</v>
      </c>
      <c r="G3038" s="4">
        <v>243</v>
      </c>
      <c r="H3038" s="12" t="str">
        <f t="array" ref="H3038">IF(G3038:G7081="","",_xlfn.XLOOKUP(G3038:G7081,castles_state!A:A,castles_state!D:D,"見つかりません"))</f>
      </c>
      <c r="I3038" s="4"/>
      <c r="J3038" s="12" t="str">
        <f t="array" ref="J3038">IF(I3038:I7081="","",_xlfn.XLOOKUP(I3038:I7081,'参照_姫'!A:A,'参照_姫'!B:B,"見つかりません"))</f>
      </c>
      <c r="K3038" s="4">
        <v>85</v>
      </c>
      <c r="L3038" s="4">
        <v>0</v>
      </c>
      <c r="M3038" s="4"/>
      <c r="N3038" s="4"/>
      <c r="O3038" s="4"/>
      <c r="P3038" s="12" t="str">
        <f t="array" ref="P3038">IF(O3038:O7081="","",_xlfn.XLOOKUP(O3038:O7081,'参照_官位'!A:A,'参照_官位'!B:B,""))</f>
      </c>
      <c r="Q3038" s="12" t="str">
        <f t="array" ref="Q3038">IF(A3038:A7081="","",IFERROR(_xlfn.XLOOKUP(A3038:A7081,castles_state!K:K,castles_state!D:D)&amp;"主",IFERROR(_xlfn.XLOOKUP(A3038:A7081,kunishuClan!D:D,kunishuClan!B:B)&amp;"当主","")))</f>
      </c>
    </row>
    <row r="3039" ht="15.75" customHeight="1">
      <c r="A3039" s="4">
        <v>1085010</v>
      </c>
      <c r="B3039" s="12" t="str">
        <f t="array" ref="B3039">IF(A3039:A7082="","",_xlfn.XLOOKUP(A3039:A7082,'参照_武将'!A:A,'参照_武将'!B:B,"見つかりません"))</f>
      </c>
      <c r="C3039" s="4" t="s">
        <v>391</v>
      </c>
      <c r="D3039" s="4">
        <v>85</v>
      </c>
      <c r="E3039" s="12" t="str">
        <f t="array" ref="E3039">IF(D3039:D7082="","",IFERROR(_xlfn.XLOOKUP(D3039:D7082,'参照_勢力'!A:A,'参照_勢力'!B:B),IFERROR(_xlfn.XLOOKUP(F3039:F7082,kunishuClan!A:A,kunishuClan!B:B),"浪人")))</f>
      </c>
      <c r="F3039" s="4">
        <v>0</v>
      </c>
      <c r="G3039" s="4">
        <v>243</v>
      </c>
      <c r="H3039" s="12" t="str">
        <f t="array" ref="H3039">IF(G3039:G7082="","",_xlfn.XLOOKUP(G3039:G7082,castles_state!A:A,castles_state!D:D,"見つかりません"))</f>
      </c>
      <c r="I3039" s="4"/>
      <c r="J3039" s="12" t="str">
        <f t="array" ref="J3039">IF(I3039:I7082="","",_xlfn.XLOOKUP(I3039:I7082,'参照_姫'!A:A,'参照_姫'!B:B,"見つかりません"))</f>
      </c>
      <c r="K3039" s="4">
        <v>90</v>
      </c>
      <c r="L3039" s="4">
        <v>500</v>
      </c>
      <c r="M3039" s="4" t="b">
        <v>1</v>
      </c>
      <c r="N3039" s="4"/>
      <c r="O3039" s="4"/>
      <c r="P3039" s="12" t="str">
        <f t="array" ref="P3039">IF(O3039:O7082="","",_xlfn.XLOOKUP(O3039:O7082,'参照_官位'!A:A,'参照_官位'!B:B,""))</f>
      </c>
      <c r="Q3039" s="12" t="str">
        <f t="array" ref="Q3039">IF(A3039:A7082="","",IFERROR(_xlfn.XLOOKUP(A3039:A7082,castles_state!K:K,castles_state!D:D)&amp;"主",IFERROR(_xlfn.XLOOKUP(A3039:A7082,kunishuClan!D:D,kunishuClan!B:B)&amp;"当主","")))</f>
      </c>
    </row>
    <row r="3040" ht="15.75" customHeight="1">
      <c r="A3040" s="4">
        <v>1085011</v>
      </c>
      <c r="B3040" s="12" t="str">
        <f t="array" ref="B3040">IF(A3040:A7083="","",_xlfn.XLOOKUP(A3040:A7083,'参照_武将'!A:A,'参照_武将'!B:B,"見つかりません"))</f>
      </c>
      <c r="C3040" s="4" t="s">
        <v>391</v>
      </c>
      <c r="D3040" s="4">
        <v>85</v>
      </c>
      <c r="E3040" s="12" t="str">
        <f t="array" ref="E3040">IF(D3040:D7083="","",IFERROR(_xlfn.XLOOKUP(D3040:D7083,'参照_勢力'!A:A,'参照_勢力'!B:B),IFERROR(_xlfn.XLOOKUP(F3040:F7083,kunishuClan!A:A,kunishuClan!B:B),"浪人")))</f>
      </c>
      <c r="F3040" s="4">
        <v>0</v>
      </c>
      <c r="G3040" s="4">
        <v>243</v>
      </c>
      <c r="H3040" s="12" t="str">
        <f t="array" ref="H3040">IF(G3040:G7083="","",_xlfn.XLOOKUP(G3040:G7083,castles_state!A:A,castles_state!D:D,"見つかりません"))</f>
      </c>
      <c r="I3040" s="4"/>
      <c r="J3040" s="12" t="str">
        <f t="array" ref="J3040">IF(I3040:I7083="","",_xlfn.XLOOKUP(I3040:I7083,'参照_姫'!A:A,'参照_姫'!B:B,"見つかりません"))</f>
      </c>
      <c r="K3040" s="4">
        <v>90</v>
      </c>
      <c r="L3040" s="4">
        <v>0</v>
      </c>
      <c r="M3040" s="4"/>
      <c r="N3040" s="4"/>
      <c r="O3040" s="4"/>
      <c r="P3040" s="12" t="str">
        <f t="array" ref="P3040">IF(O3040:O7083="","",_xlfn.XLOOKUP(O3040:O7083,'参照_官位'!A:A,'参照_官位'!B:B,""))</f>
      </c>
      <c r="Q3040" s="12" t="str">
        <f t="array" ref="Q3040">IF(A3040:A7083="","",IFERROR(_xlfn.XLOOKUP(A3040:A7083,castles_state!K:K,castles_state!D:D)&amp;"主",IFERROR(_xlfn.XLOOKUP(A3040:A7083,kunishuClan!D:D,kunishuClan!B:B)&amp;"当主","")))</f>
      </c>
    </row>
    <row r="3041" ht="15.75" customHeight="1">
      <c r="A3041" s="4">
        <v>1085012</v>
      </c>
      <c r="B3041" s="12" t="str">
        <f t="array" ref="B3041">IF(A3041:A7084="","",_xlfn.XLOOKUP(A3041:A7084,'参照_武将'!A:A,'参照_武将'!B:B,"見つかりません"))</f>
      </c>
      <c r="C3041" s="4" t="s">
        <v>391</v>
      </c>
      <c r="D3041" s="4">
        <v>85</v>
      </c>
      <c r="E3041" s="12" t="str">
        <f t="array" ref="E3041">IF(D3041:D7084="","",IFERROR(_xlfn.XLOOKUP(D3041:D7084,'参照_勢力'!A:A,'参照_勢力'!B:B),IFERROR(_xlfn.XLOOKUP(F3041:F7084,kunishuClan!A:A,kunishuClan!B:B),"浪人")))</f>
      </c>
      <c r="F3041" s="4">
        <v>0</v>
      </c>
      <c r="G3041" s="4">
        <v>243</v>
      </c>
      <c r="H3041" s="12" t="str">
        <f t="array" ref="H3041">IF(G3041:G7084="","",_xlfn.XLOOKUP(G3041:G7084,castles_state!A:A,castles_state!D:D,"見つかりません"))</f>
      </c>
      <c r="I3041" s="4"/>
      <c r="J3041" s="12" t="str">
        <f t="array" ref="J3041">IF(I3041:I7084="","",_xlfn.XLOOKUP(I3041:I7084,'参照_姫'!A:A,'参照_姫'!B:B,"見つかりません"))</f>
      </c>
      <c r="K3041" s="4">
        <v>90</v>
      </c>
      <c r="L3041" s="4">
        <v>0</v>
      </c>
      <c r="M3041" s="4"/>
      <c r="N3041" s="4"/>
      <c r="O3041" s="4"/>
      <c r="P3041" s="12" t="str">
        <f t="array" ref="P3041">IF(O3041:O7084="","",_xlfn.XLOOKUP(O3041:O7084,'参照_官位'!A:A,'参照_官位'!B:B,""))</f>
      </c>
      <c r="Q3041" s="12" t="str">
        <f t="array" ref="Q3041">IF(A3041:A7084="","",IFERROR(_xlfn.XLOOKUP(A3041:A7084,castles_state!K:K,castles_state!D:D)&amp;"主",IFERROR(_xlfn.XLOOKUP(A3041:A7084,kunishuClan!D:D,kunishuClan!B:B)&amp;"当主","")))</f>
      </c>
    </row>
    <row r="3042" ht="15.75" customHeight="1">
      <c r="A3042" s="4">
        <v>1085013</v>
      </c>
      <c r="B3042" s="12" t="str">
        <f t="array" ref="B3042">IF(A3042:A7085="","",_xlfn.XLOOKUP(A3042:A7085,'参照_武将'!A:A,'参照_武将'!B:B,"見つかりません"))</f>
      </c>
      <c r="C3042" s="4" t="s">
        <v>391</v>
      </c>
      <c r="D3042" s="4">
        <v>85</v>
      </c>
      <c r="E3042" s="12" t="str">
        <f t="array" ref="E3042">IF(D3042:D7085="","",IFERROR(_xlfn.XLOOKUP(D3042:D7085,'参照_勢力'!A:A,'参照_勢力'!B:B),IFERROR(_xlfn.XLOOKUP(F3042:F7085,kunishuClan!A:A,kunishuClan!B:B),"浪人")))</f>
      </c>
      <c r="F3042" s="4">
        <v>0</v>
      </c>
      <c r="G3042" s="4">
        <v>243</v>
      </c>
      <c r="H3042" s="12" t="str">
        <f t="array" ref="H3042">IF(G3042:G7085="","",_xlfn.XLOOKUP(G3042:G7085,castles_state!A:A,castles_state!D:D,"見つかりません"))</f>
      </c>
      <c r="I3042" s="4"/>
      <c r="J3042" s="12" t="str">
        <f t="array" ref="J3042">IF(I3042:I7085="","",_xlfn.XLOOKUP(I3042:I7085,'参照_姫'!A:A,'参照_姫'!B:B,"見つかりません"))</f>
      </c>
      <c r="K3042" s="4">
        <v>90</v>
      </c>
      <c r="L3042" s="4">
        <v>0</v>
      </c>
      <c r="M3042" s="4"/>
      <c r="N3042" s="4"/>
      <c r="O3042" s="4"/>
      <c r="P3042" s="12" t="str">
        <f t="array" ref="P3042">IF(O3042:O7085="","",_xlfn.XLOOKUP(O3042:O7085,'参照_官位'!A:A,'参照_官位'!B:B,""))</f>
      </c>
      <c r="Q3042" s="12" t="str">
        <f t="array" ref="Q3042">IF(A3042:A7085="","",IFERROR(_xlfn.XLOOKUP(A3042:A7085,castles_state!K:K,castles_state!D:D)&amp;"主",IFERROR(_xlfn.XLOOKUP(A3042:A7085,kunishuClan!D:D,kunishuClan!B:B)&amp;"当主","")))</f>
      </c>
    </row>
    <row r="3043" ht="15.75" customHeight="1">
      <c r="A3043" s="4">
        <v>1086001</v>
      </c>
      <c r="B3043" s="12" t="str">
        <f t="array" ref="B3043">IF(A3043:A7086="","",_xlfn.XLOOKUP(A3043:A7086,'参照_武将'!A:A,'参照_武将'!B:B,"見つかりません"))</f>
      </c>
      <c r="C3043" s="4" t="s">
        <v>397</v>
      </c>
      <c r="D3043" s="4">
        <v>86</v>
      </c>
      <c r="E3043" s="12" t="str">
        <f t="array" ref="E3043">IF(D3043:D7086="","",IFERROR(_xlfn.XLOOKUP(D3043:D7086,'参照_勢力'!A:A,'参照_勢力'!B:B),IFERROR(_xlfn.XLOOKUP(F3043:F7086,kunishuClan!A:A,kunishuClan!B:B),"浪人")))</f>
      </c>
      <c r="F3043" s="4">
        <v>0</v>
      </c>
      <c r="G3043" s="4">
        <v>221</v>
      </c>
      <c r="H3043" s="12" t="str">
        <f t="array" ref="H3043">IF(G3043:G7086="","",_xlfn.XLOOKUP(G3043:G7086,castles_state!A:A,castles_state!D:D,"見つかりません"))</f>
      </c>
      <c r="I3043" s="4"/>
      <c r="J3043" s="12" t="str">
        <f t="array" ref="J3043">IF(I3043:I7086="","",_xlfn.XLOOKUP(I3043:I7086,'参照_姫'!A:A,'参照_姫'!B:B,"見つかりません"))</f>
      </c>
      <c r="K3043" s="4">
        <v>95</v>
      </c>
      <c r="L3043" s="4">
        <v>0</v>
      </c>
      <c r="M3043" s="4"/>
      <c r="N3043" s="4"/>
      <c r="O3043" s="4"/>
      <c r="P3043" s="12" t="str">
        <f t="array" ref="P3043">IF(O3043:O7086="","",_xlfn.XLOOKUP(O3043:O7086,'参照_官位'!A:A,'参照_官位'!B:B,""))</f>
      </c>
      <c r="Q3043" s="12" t="str">
        <f t="array" ref="Q3043">IF(A3043:A7086="","",IFERROR(_xlfn.XLOOKUP(A3043:A7086,castles_state!K:K,castles_state!D:D)&amp;"主",IFERROR(_xlfn.XLOOKUP(A3043:A7086,kunishuClan!D:D,kunishuClan!B:B)&amp;"当主","")))</f>
      </c>
    </row>
    <row r="3044" ht="15.75" customHeight="1">
      <c r="A3044" s="4">
        <v>1086002</v>
      </c>
      <c r="B3044" s="12" t="str">
        <f t="array" ref="B3044">IF(A3044:A7087="","",_xlfn.XLOOKUP(A3044:A7087,'参照_武将'!A:A,'参照_武将'!B:B,"見つかりません"))</f>
      </c>
      <c r="C3044" s="4" t="s">
        <v>397</v>
      </c>
      <c r="D3044" s="4">
        <v>86</v>
      </c>
      <c r="E3044" s="12" t="str">
        <f t="array" ref="E3044">IF(D3044:D7087="","",IFERROR(_xlfn.XLOOKUP(D3044:D7087,'参照_勢力'!A:A,'参照_勢力'!B:B),IFERROR(_xlfn.XLOOKUP(F3044:F7087,kunishuClan!A:A,kunishuClan!B:B),"浪人")))</f>
      </c>
      <c r="F3044" s="4">
        <v>0</v>
      </c>
      <c r="G3044" s="4">
        <v>221</v>
      </c>
      <c r="H3044" s="12" t="str">
        <f t="array" ref="H3044">IF(G3044:G7087="","",_xlfn.XLOOKUP(G3044:G7087,castles_state!A:A,castles_state!D:D,"見つかりません"))</f>
      </c>
      <c r="I3044" s="4"/>
      <c r="J3044" s="12" t="str">
        <f t="array" ref="J3044">IF(I3044:I7087="","",_xlfn.XLOOKUP(I3044:I7087,'参照_姫'!A:A,'参照_姫'!B:B,"見つかりません"))</f>
      </c>
      <c r="K3044" s="4">
        <v>95</v>
      </c>
      <c r="L3044" s="4">
        <v>0</v>
      </c>
      <c r="M3044" s="4"/>
      <c r="N3044" s="4"/>
      <c r="O3044" s="4"/>
      <c r="P3044" s="12" t="str">
        <f t="array" ref="P3044">IF(O3044:O7087="","",_xlfn.XLOOKUP(O3044:O7087,'参照_官位'!A:A,'参照_官位'!B:B,""))</f>
      </c>
      <c r="Q3044" s="12" t="str">
        <f t="array" ref="Q3044">IF(A3044:A7087="","",IFERROR(_xlfn.XLOOKUP(A3044:A7087,castles_state!K:K,castles_state!D:D)&amp;"主",IFERROR(_xlfn.XLOOKUP(A3044:A7087,kunishuClan!D:D,kunishuClan!B:B)&amp;"当主","")))</f>
      </c>
    </row>
    <row r="3045" ht="15.75" customHeight="1">
      <c r="A3045" s="4">
        <v>1086003</v>
      </c>
      <c r="B3045" s="12" t="str">
        <f t="array" ref="B3045">IF(A3045:A7088="","",_xlfn.XLOOKUP(A3045:A7088,'参照_武将'!A:A,'参照_武将'!B:B,"見つかりません"))</f>
      </c>
      <c r="C3045" s="4" t="s">
        <v>397</v>
      </c>
      <c r="D3045" s="4">
        <v>86</v>
      </c>
      <c r="E3045" s="12" t="str">
        <f t="array" ref="E3045">IF(D3045:D7088="","",IFERROR(_xlfn.XLOOKUP(D3045:D7088,'参照_勢力'!A:A,'参照_勢力'!B:B),IFERROR(_xlfn.XLOOKUP(F3045:F7088,kunishuClan!A:A,kunishuClan!B:B),"浪人")))</f>
      </c>
      <c r="F3045" s="4">
        <v>0</v>
      </c>
      <c r="G3045" s="4">
        <v>221</v>
      </c>
      <c r="H3045" s="12" t="str">
        <f t="array" ref="H3045">IF(G3045:G7088="","",_xlfn.XLOOKUP(G3045:G7088,castles_state!A:A,castles_state!D:D,"見つかりません"))</f>
      </c>
      <c r="I3045" s="4"/>
      <c r="J3045" s="12" t="str">
        <f t="array" ref="J3045">IF(I3045:I7088="","",_xlfn.XLOOKUP(I3045:I7088,'参照_姫'!A:A,'参照_姫'!B:B,"見つかりません"))</f>
      </c>
      <c r="K3045" s="4">
        <v>95</v>
      </c>
      <c r="L3045" s="4">
        <v>0</v>
      </c>
      <c r="M3045" s="4"/>
      <c r="N3045" s="4" t="b">
        <v>1</v>
      </c>
      <c r="O3045" s="4"/>
      <c r="P3045" s="12" t="str">
        <f t="array" ref="P3045">IF(O3045:O7088="","",_xlfn.XLOOKUP(O3045:O7088,'参照_官位'!A:A,'参照_官位'!B:B,""))</f>
      </c>
      <c r="Q3045" s="12" t="str">
        <f t="array" ref="Q3045">IF(A3045:A7088="","",IFERROR(_xlfn.XLOOKUP(A3045:A7088,castles_state!K:K,castles_state!D:D)&amp;"主",IFERROR(_xlfn.XLOOKUP(A3045:A7088,kunishuClan!D:D,kunishuClan!B:B)&amp;"当主","")))</f>
      </c>
    </row>
    <row r="3046" ht="15.75" customHeight="1">
      <c r="A3046" s="4">
        <v>1086004</v>
      </c>
      <c r="B3046" s="12" t="str">
        <f t="array" ref="B3046">IF(A3046:A7089="","",_xlfn.XLOOKUP(A3046:A7089,'参照_武将'!A:A,'参照_武将'!B:B,"見つかりません"))</f>
      </c>
      <c r="C3046" s="4" t="s">
        <v>397</v>
      </c>
      <c r="D3046" s="4">
        <v>86</v>
      </c>
      <c r="E3046" s="12" t="str">
        <f t="array" ref="E3046">IF(D3046:D7089="","",IFERROR(_xlfn.XLOOKUP(D3046:D7089,'参照_勢力'!A:A,'参照_勢力'!B:B),IFERROR(_xlfn.XLOOKUP(F3046:F7089,kunishuClan!A:A,kunishuClan!B:B),"浪人")))</f>
      </c>
      <c r="F3046" s="4">
        <v>0</v>
      </c>
      <c r="G3046" s="4">
        <v>221</v>
      </c>
      <c r="H3046" s="12" t="str">
        <f t="array" ref="H3046">IF(G3046:G7089="","",_xlfn.XLOOKUP(G3046:G7089,castles_state!A:A,castles_state!D:D,"見つかりません"))</f>
      </c>
      <c r="I3046" s="4"/>
      <c r="J3046" s="12" t="str">
        <f t="array" ref="J3046">IF(I3046:I7089="","",_xlfn.XLOOKUP(I3046:I7089,'参照_姫'!A:A,'参照_姫'!B:B,"見つかりません"))</f>
      </c>
      <c r="K3046" s="4">
        <v>100</v>
      </c>
      <c r="L3046" s="4">
        <v>1000</v>
      </c>
      <c r="M3046" s="4"/>
      <c r="N3046" s="4"/>
      <c r="O3046" s="4"/>
      <c r="P3046" s="12" t="str">
        <f t="array" ref="P3046">IF(O3046:O7089="","",_xlfn.XLOOKUP(O3046:O7089,'参照_官位'!A:A,'参照_官位'!B:B,""))</f>
      </c>
      <c r="Q3046" s="12" t="str">
        <f t="array" ref="Q3046">IF(A3046:A7089="","",IFERROR(_xlfn.XLOOKUP(A3046:A7089,castles_state!K:K,castles_state!D:D)&amp;"主",IFERROR(_xlfn.XLOOKUP(A3046:A7089,kunishuClan!D:D,kunishuClan!B:B)&amp;"当主","")))</f>
      </c>
    </row>
    <row r="3047" ht="15.75" customHeight="1">
      <c r="A3047" s="4">
        <v>1086005</v>
      </c>
      <c r="B3047" s="12" t="str">
        <f t="array" ref="B3047">IF(A3047:A7090="","",_xlfn.XLOOKUP(A3047:A7090,'参照_武将'!A:A,'参照_武将'!B:B,"見つかりません"))</f>
      </c>
      <c r="C3047" s="4" t="s">
        <v>397</v>
      </c>
      <c r="D3047" s="4">
        <v>86</v>
      </c>
      <c r="E3047" s="12" t="str">
        <f t="array" ref="E3047">IF(D3047:D7090="","",IFERROR(_xlfn.XLOOKUP(D3047:D7090,'参照_勢力'!A:A,'参照_勢力'!B:B),IFERROR(_xlfn.XLOOKUP(F3047:F7090,kunishuClan!A:A,kunishuClan!B:B),"浪人")))</f>
      </c>
      <c r="F3047" s="4">
        <v>0</v>
      </c>
      <c r="G3047" s="4">
        <v>221</v>
      </c>
      <c r="H3047" s="12" t="str">
        <f t="array" ref="H3047">IF(G3047:G7090="","",_xlfn.XLOOKUP(G3047:G7090,castles_state!A:A,castles_state!D:D,"見つかりません"))</f>
      </c>
      <c r="I3047" s="4"/>
      <c r="J3047" s="12" t="str">
        <f t="array" ref="J3047">IF(I3047:I7090="","",_xlfn.XLOOKUP(I3047:I7090,'参照_姫'!A:A,'参照_姫'!B:B,"見つかりません"))</f>
      </c>
      <c r="K3047" s="4">
        <v>95</v>
      </c>
      <c r="L3047" s="4">
        <v>500</v>
      </c>
      <c r="M3047" s="4"/>
      <c r="N3047" s="4"/>
      <c r="O3047" s="4"/>
      <c r="P3047" s="12" t="str">
        <f t="array" ref="P3047">IF(O3047:O7090="","",_xlfn.XLOOKUP(O3047:O7090,'参照_官位'!A:A,'参照_官位'!B:B,""))</f>
      </c>
      <c r="Q3047" s="12" t="str">
        <f t="array" ref="Q3047">IF(A3047:A7090="","",IFERROR(_xlfn.XLOOKUP(A3047:A7090,castles_state!K:K,castles_state!D:D)&amp;"主",IFERROR(_xlfn.XLOOKUP(A3047:A7090,kunishuClan!D:D,kunishuClan!B:B)&amp;"当主","")))</f>
      </c>
    </row>
    <row r="3048" ht="15.75" customHeight="1">
      <c r="A3048" s="4">
        <v>1086006</v>
      </c>
      <c r="B3048" s="12" t="str">
        <f t="array" ref="B3048">IF(A3048:A7091="","",_xlfn.XLOOKUP(A3048:A7091,'参照_武将'!A:A,'参照_武将'!B:B,"見つかりません"))</f>
      </c>
      <c r="C3048" s="4" t="s">
        <v>397</v>
      </c>
      <c r="D3048" s="4">
        <v>86</v>
      </c>
      <c r="E3048" s="12" t="str">
        <f t="array" ref="E3048">IF(D3048:D7091="","",IFERROR(_xlfn.XLOOKUP(D3048:D7091,'参照_勢力'!A:A,'参照_勢力'!B:B),IFERROR(_xlfn.XLOOKUP(F3048:F7091,kunishuClan!A:A,kunishuClan!B:B),"浪人")))</f>
      </c>
      <c r="F3048" s="4">
        <v>0</v>
      </c>
      <c r="G3048" s="4">
        <v>221</v>
      </c>
      <c r="H3048" s="12" t="str">
        <f t="array" ref="H3048">IF(G3048:G7091="","",_xlfn.XLOOKUP(G3048:G7091,castles_state!A:A,castles_state!D:D,"見つかりません"))</f>
      </c>
      <c r="I3048" s="4"/>
      <c r="J3048" s="12" t="str">
        <f t="array" ref="J3048">IF(I3048:I7091="","",_xlfn.XLOOKUP(I3048:I7091,'参照_姫'!A:A,'参照_姫'!B:B,"見つかりません"))</f>
      </c>
      <c r="K3048" s="4">
        <v>95</v>
      </c>
      <c r="L3048" s="4">
        <v>300</v>
      </c>
      <c r="M3048" s="4"/>
      <c r="N3048" s="4"/>
      <c r="O3048" s="4"/>
      <c r="P3048" s="12" t="str">
        <f t="array" ref="P3048">IF(O3048:O7091="","",_xlfn.XLOOKUP(O3048:O7091,'参照_官位'!A:A,'参照_官位'!B:B,""))</f>
      </c>
      <c r="Q3048" s="12" t="str">
        <f t="array" ref="Q3048">IF(A3048:A7091="","",IFERROR(_xlfn.XLOOKUP(A3048:A7091,castles_state!K:K,castles_state!D:D)&amp;"主",IFERROR(_xlfn.XLOOKUP(A3048:A7091,kunishuClan!D:D,kunishuClan!B:B)&amp;"当主","")))</f>
      </c>
    </row>
    <row r="3049" ht="15.75" customHeight="1">
      <c r="A3049" s="4">
        <v>1086007</v>
      </c>
      <c r="B3049" s="12" t="str">
        <f t="array" ref="B3049">IF(A3049:A7092="","",_xlfn.XLOOKUP(A3049:A7092,'参照_武将'!A:A,'参照_武将'!B:B,"見つかりません"))</f>
      </c>
      <c r="C3049" s="4" t="s">
        <v>397</v>
      </c>
      <c r="D3049" s="4">
        <v>86</v>
      </c>
      <c r="E3049" s="12" t="str">
        <f t="array" ref="E3049">IF(D3049:D7092="","",IFERROR(_xlfn.XLOOKUP(D3049:D7092,'参照_勢力'!A:A,'参照_勢力'!B:B),IFERROR(_xlfn.XLOOKUP(F3049:F7092,kunishuClan!A:A,kunishuClan!B:B),"浪人")))</f>
      </c>
      <c r="F3049" s="4">
        <v>0</v>
      </c>
      <c r="G3049" s="4">
        <v>221</v>
      </c>
      <c r="H3049" s="12" t="str">
        <f t="array" ref="H3049">IF(G3049:G7092="","",_xlfn.XLOOKUP(G3049:G7092,castles_state!A:A,castles_state!D:D,"見つかりません"))</f>
      </c>
      <c r="I3049" s="4"/>
      <c r="J3049" s="12" t="str">
        <f t="array" ref="J3049">IF(I3049:I7092="","",_xlfn.XLOOKUP(I3049:I7092,'参照_姫'!A:A,'参照_姫'!B:B,"見つかりません"))</f>
      </c>
      <c r="K3049" s="4">
        <v>95</v>
      </c>
      <c r="L3049" s="4">
        <v>0</v>
      </c>
      <c r="M3049" s="4"/>
      <c r="N3049" s="4"/>
      <c r="O3049" s="4"/>
      <c r="P3049" s="12" t="str">
        <f t="array" ref="P3049">IF(O3049:O7092="","",_xlfn.XLOOKUP(O3049:O7092,'参照_官位'!A:A,'参照_官位'!B:B,""))</f>
      </c>
      <c r="Q3049" s="12" t="str">
        <f t="array" ref="Q3049">IF(A3049:A7092="","",IFERROR(_xlfn.XLOOKUP(A3049:A7092,castles_state!K:K,castles_state!D:D)&amp;"主",IFERROR(_xlfn.XLOOKUP(A3049:A7092,kunishuClan!D:D,kunishuClan!B:B)&amp;"当主","")))</f>
      </c>
    </row>
    <row r="3050" ht="15.75" customHeight="1">
      <c r="A3050" s="4">
        <v>1086008</v>
      </c>
      <c r="B3050" s="12" t="str">
        <f t="array" ref="B3050">IF(A3050:A7093="","",_xlfn.XLOOKUP(A3050:A7093,'参照_武将'!A:A,'参照_武将'!B:B,"見つかりません"))</f>
      </c>
      <c r="C3050" s="4" t="s">
        <v>397</v>
      </c>
      <c r="D3050" s="4">
        <v>86</v>
      </c>
      <c r="E3050" s="12" t="str">
        <f t="array" ref="E3050">IF(D3050:D7093="","",IFERROR(_xlfn.XLOOKUP(D3050:D7093,'参照_勢力'!A:A,'参照_勢力'!B:B),IFERROR(_xlfn.XLOOKUP(F3050:F7093,kunishuClan!A:A,kunishuClan!B:B),"浪人")))</f>
      </c>
      <c r="F3050" s="4">
        <v>0</v>
      </c>
      <c r="G3050" s="4">
        <v>221</v>
      </c>
      <c r="H3050" s="12" t="str">
        <f t="array" ref="H3050">IF(G3050:G7093="","",_xlfn.XLOOKUP(G3050:G7093,castles_state!A:A,castles_state!D:D,"見つかりません"))</f>
      </c>
      <c r="I3050" s="4"/>
      <c r="J3050" s="12" t="str">
        <f t="array" ref="J3050">IF(I3050:I7093="","",_xlfn.XLOOKUP(I3050:I7093,'参照_姫'!A:A,'参照_姫'!B:B,"見つかりません"))</f>
      </c>
      <c r="K3050" s="4">
        <v>95</v>
      </c>
      <c r="L3050" s="4">
        <v>0</v>
      </c>
      <c r="M3050" s="4"/>
      <c r="N3050" s="4"/>
      <c r="O3050" s="4"/>
      <c r="P3050" s="12" t="str">
        <f t="array" ref="P3050">IF(O3050:O7093="","",_xlfn.XLOOKUP(O3050:O7093,'参照_官位'!A:A,'参照_官位'!B:B,""))</f>
      </c>
      <c r="Q3050" s="12" t="str">
        <f t="array" ref="Q3050">IF(A3050:A7093="","",IFERROR(_xlfn.XLOOKUP(A3050:A7093,castles_state!K:K,castles_state!D:D)&amp;"主",IFERROR(_xlfn.XLOOKUP(A3050:A7093,kunishuClan!D:D,kunishuClan!B:B)&amp;"当主","")))</f>
      </c>
    </row>
    <row r="3051" ht="15.75" customHeight="1">
      <c r="A3051" s="4">
        <v>1086009</v>
      </c>
      <c r="B3051" s="12" t="str">
        <f t="array" ref="B3051">IF(A3051:A7094="","",_xlfn.XLOOKUP(A3051:A7094,'参照_武将'!A:A,'参照_武将'!B:B,"見つかりません"))</f>
      </c>
      <c r="C3051" s="4" t="s">
        <v>397</v>
      </c>
      <c r="D3051" s="4">
        <v>86</v>
      </c>
      <c r="E3051" s="12" t="str">
        <f t="array" ref="E3051">IF(D3051:D7094="","",IFERROR(_xlfn.XLOOKUP(D3051:D7094,'参照_勢力'!A:A,'参照_勢力'!B:B),IFERROR(_xlfn.XLOOKUP(F3051:F7094,kunishuClan!A:A,kunishuClan!B:B),"浪人")))</f>
      </c>
      <c r="F3051" s="4">
        <v>0</v>
      </c>
      <c r="G3051" s="4">
        <v>222</v>
      </c>
      <c r="H3051" s="12" t="str">
        <f t="array" ref="H3051">IF(G3051:G7094="","",_xlfn.XLOOKUP(G3051:G7094,castles_state!A:A,castles_state!D:D,"見つかりません"))</f>
      </c>
      <c r="I3051" s="4"/>
      <c r="J3051" s="12" t="str">
        <f t="array" ref="J3051">IF(I3051:I7094="","",_xlfn.XLOOKUP(I3051:I7094,'参照_姫'!A:A,'参照_姫'!B:B,"見つかりません"))</f>
      </c>
      <c r="K3051" s="4">
        <v>95</v>
      </c>
      <c r="L3051" s="4">
        <v>300</v>
      </c>
      <c r="M3051" s="4"/>
      <c r="N3051" s="4"/>
      <c r="O3051" s="4"/>
      <c r="P3051" s="12" t="str">
        <f t="array" ref="P3051">IF(O3051:O7094="","",_xlfn.XLOOKUP(O3051:O7094,'参照_官位'!A:A,'参照_官位'!B:B,""))</f>
      </c>
      <c r="Q3051" s="12" t="str">
        <f t="array" ref="Q3051">IF(A3051:A7094="","",IFERROR(_xlfn.XLOOKUP(A3051:A7094,castles_state!K:K,castles_state!D:D)&amp;"主",IFERROR(_xlfn.XLOOKUP(A3051:A7094,kunishuClan!D:D,kunishuClan!B:B)&amp;"当主","")))</f>
      </c>
    </row>
    <row r="3052" ht="15.75" customHeight="1">
      <c r="A3052" s="4">
        <v>1086010</v>
      </c>
      <c r="B3052" s="12" t="str">
        <f t="array" ref="B3052">IF(A3052:A7095="","",_xlfn.XLOOKUP(A3052:A7095,'参照_武将'!A:A,'参照_武将'!B:B,"見つかりません"))</f>
      </c>
      <c r="C3052" s="4" t="s">
        <v>397</v>
      </c>
      <c r="D3052" s="4">
        <v>86</v>
      </c>
      <c r="E3052" s="12" t="str">
        <f t="array" ref="E3052">IF(D3052:D7095="","",IFERROR(_xlfn.XLOOKUP(D3052:D7095,'参照_勢力'!A:A,'参照_勢力'!B:B),IFERROR(_xlfn.XLOOKUP(F3052:F7095,kunishuClan!A:A,kunishuClan!B:B),"浪人")))</f>
      </c>
      <c r="F3052" s="4">
        <v>0</v>
      </c>
      <c r="G3052" s="4">
        <v>222</v>
      </c>
      <c r="H3052" s="12" t="str">
        <f t="array" ref="H3052">IF(G3052:G7095="","",_xlfn.XLOOKUP(G3052:G7095,castles_state!A:A,castles_state!D:D,"見つかりません"))</f>
      </c>
      <c r="I3052" s="4"/>
      <c r="J3052" s="12" t="str">
        <f t="array" ref="J3052">IF(I3052:I7095="","",_xlfn.XLOOKUP(I3052:I7095,'参照_姫'!A:A,'参照_姫'!B:B,"見つかりません"))</f>
      </c>
      <c r="K3052" s="4">
        <v>95</v>
      </c>
      <c r="L3052" s="4">
        <v>0</v>
      </c>
      <c r="M3052" s="4"/>
      <c r="N3052" s="4"/>
      <c r="O3052" s="4"/>
      <c r="P3052" s="12" t="str">
        <f t="array" ref="P3052">IF(O3052:O7095="","",_xlfn.XLOOKUP(O3052:O7095,'参照_官位'!A:A,'参照_官位'!B:B,""))</f>
      </c>
      <c r="Q3052" s="12" t="str">
        <f t="array" ref="Q3052">IF(A3052:A7095="","",IFERROR(_xlfn.XLOOKUP(A3052:A7095,castles_state!K:K,castles_state!D:D)&amp;"主",IFERROR(_xlfn.XLOOKUP(A3052:A7095,kunishuClan!D:D,kunishuClan!B:B)&amp;"当主","")))</f>
      </c>
    </row>
    <row r="3053" ht="15.75" customHeight="1">
      <c r="A3053" s="4">
        <v>1086011</v>
      </c>
      <c r="B3053" s="12" t="str">
        <f t="array" ref="B3053">IF(A3053:A7096="","",_xlfn.XLOOKUP(A3053:A7096,'参照_武将'!A:A,'参照_武将'!B:B,"見つかりません"))</f>
      </c>
      <c r="C3053" s="4" t="s">
        <v>397</v>
      </c>
      <c r="D3053" s="4">
        <v>86</v>
      </c>
      <c r="E3053" s="12" t="str">
        <f t="array" ref="E3053">IF(D3053:D7096="","",IFERROR(_xlfn.XLOOKUP(D3053:D7096,'参照_勢力'!A:A,'参照_勢力'!B:B),IFERROR(_xlfn.XLOOKUP(F3053:F7096,kunishuClan!A:A,kunishuClan!B:B),"浪人")))</f>
      </c>
      <c r="F3053" s="4">
        <v>0</v>
      </c>
      <c r="G3053" s="4">
        <v>221</v>
      </c>
      <c r="H3053" s="12" t="str">
        <f t="array" ref="H3053">IF(G3053:G7096="","",_xlfn.XLOOKUP(G3053:G7096,castles_state!A:A,castles_state!D:D,"見つかりません"))</f>
      </c>
      <c r="I3053" s="4"/>
      <c r="J3053" s="12" t="str">
        <f t="array" ref="J3053">IF(I3053:I7096="","",_xlfn.XLOOKUP(I3053:I7096,'参照_姫'!A:A,'参照_姫'!B:B,"見つかりません"))</f>
      </c>
      <c r="K3053" s="4">
        <v>95</v>
      </c>
      <c r="L3053" s="4">
        <v>0</v>
      </c>
      <c r="M3053" s="4"/>
      <c r="N3053" s="4"/>
      <c r="O3053" s="4"/>
      <c r="P3053" s="12" t="str">
        <f t="array" ref="P3053">IF(O3053:O7096="","",_xlfn.XLOOKUP(O3053:O7096,'参照_官位'!A:A,'参照_官位'!B:B,""))</f>
      </c>
      <c r="Q3053" s="12" t="str">
        <f t="array" ref="Q3053">IF(A3053:A7096="","",IFERROR(_xlfn.XLOOKUP(A3053:A7096,castles_state!K:K,castles_state!D:D)&amp;"主",IFERROR(_xlfn.XLOOKUP(A3053:A7096,kunishuClan!D:D,kunishuClan!B:B)&amp;"当主","")))</f>
      </c>
    </row>
    <row r="3054" ht="15.75" customHeight="1">
      <c r="A3054" s="4">
        <v>1086012</v>
      </c>
      <c r="B3054" s="12" t="str">
        <f t="array" ref="B3054">IF(A3054:A7097="","",_xlfn.XLOOKUP(A3054:A7097,'参照_武将'!A:A,'参照_武将'!B:B,"見つかりません"))</f>
      </c>
      <c r="C3054" s="4" t="s">
        <v>397</v>
      </c>
      <c r="D3054" s="4">
        <v>86</v>
      </c>
      <c r="E3054" s="12" t="str">
        <f t="array" ref="E3054">IF(D3054:D7097="","",IFERROR(_xlfn.XLOOKUP(D3054:D7097,'参照_勢力'!A:A,'参照_勢力'!B:B),IFERROR(_xlfn.XLOOKUP(F3054:F7097,kunishuClan!A:A,kunishuClan!B:B),"浪人")))</f>
      </c>
      <c r="F3054" s="4">
        <v>0</v>
      </c>
      <c r="G3054" s="4">
        <v>221</v>
      </c>
      <c r="H3054" s="12" t="str">
        <f t="array" ref="H3054">IF(G3054:G7097="","",_xlfn.XLOOKUP(G3054:G7097,castles_state!A:A,castles_state!D:D,"見つかりません"))</f>
      </c>
      <c r="I3054" s="4"/>
      <c r="J3054" s="12" t="str">
        <f t="array" ref="J3054">IF(I3054:I7097="","",_xlfn.XLOOKUP(I3054:I7097,'参照_姫'!A:A,'参照_姫'!B:B,"見つかりません"))</f>
      </c>
      <c r="K3054" s="4">
        <v>95</v>
      </c>
      <c r="L3054" s="4">
        <v>300</v>
      </c>
      <c r="M3054" s="4"/>
      <c r="N3054" s="4"/>
      <c r="O3054" s="4"/>
      <c r="P3054" s="12" t="str">
        <f t="array" ref="P3054">IF(O3054:O7097="","",_xlfn.XLOOKUP(O3054:O7097,'参照_官位'!A:A,'参照_官位'!B:B,""))</f>
      </c>
      <c r="Q3054" s="12" t="str">
        <f t="array" ref="Q3054">IF(A3054:A7097="","",IFERROR(_xlfn.XLOOKUP(A3054:A7097,castles_state!K:K,castles_state!D:D)&amp;"主",IFERROR(_xlfn.XLOOKUP(A3054:A7097,kunishuClan!D:D,kunishuClan!B:B)&amp;"当主","")))</f>
      </c>
    </row>
    <row r="3055" ht="15.75" customHeight="1">
      <c r="A3055" s="4">
        <v>1086013</v>
      </c>
      <c r="B3055" s="12" t="str">
        <f t="array" ref="B3055">IF(A3055:A7098="","",_xlfn.XLOOKUP(A3055:A7098,'参照_武将'!A:A,'参照_武将'!B:B,"見つかりません"))</f>
      </c>
      <c r="C3055" s="4" t="s">
        <v>397</v>
      </c>
      <c r="D3055" s="4">
        <v>86</v>
      </c>
      <c r="E3055" s="12" t="str">
        <f t="array" ref="E3055">IF(D3055:D7098="","",IFERROR(_xlfn.XLOOKUP(D3055:D7098,'参照_勢力'!A:A,'参照_勢力'!B:B),IFERROR(_xlfn.XLOOKUP(F3055:F7098,kunishuClan!A:A,kunishuClan!B:B),"浪人")))</f>
      </c>
      <c r="F3055" s="4">
        <v>0</v>
      </c>
      <c r="G3055" s="4">
        <v>222</v>
      </c>
      <c r="H3055" s="12" t="str">
        <f t="array" ref="H3055">IF(G3055:G7098="","",_xlfn.XLOOKUP(G3055:G7098,castles_state!A:A,castles_state!D:D,"見つかりません"))</f>
      </c>
      <c r="I3055" s="4"/>
      <c r="J3055" s="12" t="str">
        <f t="array" ref="J3055">IF(I3055:I7098="","",_xlfn.XLOOKUP(I3055:I7098,'参照_姫'!A:A,'参照_姫'!B:B,"見つかりません"))</f>
      </c>
      <c r="K3055" s="4">
        <v>85</v>
      </c>
      <c r="L3055" s="4">
        <v>300</v>
      </c>
      <c r="M3055" s="4"/>
      <c r="N3055" s="4"/>
      <c r="O3055" s="4"/>
      <c r="P3055" s="12" t="str">
        <f t="array" ref="P3055">IF(O3055:O7098="","",_xlfn.XLOOKUP(O3055:O7098,'参照_官位'!A:A,'参照_官位'!B:B,""))</f>
      </c>
      <c r="Q3055" s="12" t="str">
        <f t="array" ref="Q3055">IF(A3055:A7098="","",IFERROR(_xlfn.XLOOKUP(A3055:A7098,castles_state!K:K,castles_state!D:D)&amp;"主",IFERROR(_xlfn.XLOOKUP(A3055:A7098,kunishuClan!D:D,kunishuClan!B:B)&amp;"当主","")))</f>
      </c>
    </row>
    <row r="3056" ht="15.75" customHeight="1">
      <c r="A3056" s="4">
        <v>1086014</v>
      </c>
      <c r="B3056" s="12" t="str">
        <f t="array" ref="B3056">IF(A3056:A7099="","",_xlfn.XLOOKUP(A3056:A7099,'参照_武将'!A:A,'参照_武将'!B:B,"見つかりません"))</f>
      </c>
      <c r="C3056" s="4" t="s">
        <v>397</v>
      </c>
      <c r="D3056" s="4">
        <v>86</v>
      </c>
      <c r="E3056" s="12" t="str">
        <f t="array" ref="E3056">IF(D3056:D7099="","",IFERROR(_xlfn.XLOOKUP(D3056:D7099,'参照_勢力'!A:A,'参照_勢力'!B:B),IFERROR(_xlfn.XLOOKUP(F3056:F7099,kunishuClan!A:A,kunishuClan!B:B),"浪人")))</f>
      </c>
      <c r="F3056" s="4">
        <v>0</v>
      </c>
      <c r="G3056" s="4">
        <v>222</v>
      </c>
      <c r="H3056" s="12" t="str">
        <f t="array" ref="H3056">IF(G3056:G7099="","",_xlfn.XLOOKUP(G3056:G7099,castles_state!A:A,castles_state!D:D,"見つかりません"))</f>
      </c>
      <c r="I3056" s="4"/>
      <c r="J3056" s="12" t="str">
        <f t="array" ref="J3056">IF(I3056:I7099="","",_xlfn.XLOOKUP(I3056:I7099,'参照_姫'!A:A,'参照_姫'!B:B,"見つかりません"))</f>
      </c>
      <c r="K3056" s="4">
        <v>85</v>
      </c>
      <c r="L3056" s="4">
        <v>0</v>
      </c>
      <c r="M3056" s="4"/>
      <c r="N3056" s="4"/>
      <c r="O3056" s="4"/>
      <c r="P3056" s="12" t="str">
        <f t="array" ref="P3056">IF(O3056:O7099="","",_xlfn.XLOOKUP(O3056:O7099,'参照_官位'!A:A,'参照_官位'!B:B,""))</f>
      </c>
      <c r="Q3056" s="12" t="str">
        <f t="array" ref="Q3056">IF(A3056:A7099="","",IFERROR(_xlfn.XLOOKUP(A3056:A7099,castles_state!K:K,castles_state!D:D)&amp;"主",IFERROR(_xlfn.XLOOKUP(A3056:A7099,kunishuClan!D:D,kunishuClan!B:B)&amp;"当主","")))</f>
      </c>
    </row>
    <row r="3057" ht="15.75" customHeight="1">
      <c r="A3057" s="4">
        <v>1086015</v>
      </c>
      <c r="B3057" s="12" t="str">
        <f t="array" ref="B3057">IF(A3057:A7100="","",_xlfn.XLOOKUP(A3057:A7100,'参照_武将'!A:A,'参照_武将'!B:B,"見つかりません"))</f>
      </c>
      <c r="C3057" s="4" t="s">
        <v>397</v>
      </c>
      <c r="D3057" s="4">
        <v>86</v>
      </c>
      <c r="E3057" s="12" t="str">
        <f t="array" ref="E3057">IF(D3057:D7100="","",IFERROR(_xlfn.XLOOKUP(D3057:D7100,'参照_勢力'!A:A,'参照_勢力'!B:B),IFERROR(_xlfn.XLOOKUP(F3057:F7100,kunishuClan!A:A,kunishuClan!B:B),"浪人")))</f>
      </c>
      <c r="F3057" s="4">
        <v>0</v>
      </c>
      <c r="G3057" s="4">
        <v>222</v>
      </c>
      <c r="H3057" s="12" t="str">
        <f t="array" ref="H3057">IF(G3057:G7100="","",_xlfn.XLOOKUP(G3057:G7100,castles_state!A:A,castles_state!D:D,"見つかりません"))</f>
      </c>
      <c r="I3057" s="4"/>
      <c r="J3057" s="12" t="str">
        <f t="array" ref="J3057">IF(I3057:I7100="","",_xlfn.XLOOKUP(I3057:I7100,'参照_姫'!A:A,'参照_姫'!B:B,"見つかりません"))</f>
      </c>
      <c r="K3057" s="4">
        <v>95</v>
      </c>
      <c r="L3057" s="4">
        <v>0</v>
      </c>
      <c r="M3057" s="4"/>
      <c r="N3057" s="4"/>
      <c r="O3057" s="4"/>
      <c r="P3057" s="12" t="str">
        <f t="array" ref="P3057">IF(O3057:O7100="","",_xlfn.XLOOKUP(O3057:O7100,'参照_官位'!A:A,'参照_官位'!B:B,""))</f>
      </c>
      <c r="Q3057" s="12" t="str">
        <f t="array" ref="Q3057">IF(A3057:A7100="","",IFERROR(_xlfn.XLOOKUP(A3057:A7100,castles_state!K:K,castles_state!D:D)&amp;"主",IFERROR(_xlfn.XLOOKUP(A3057:A7100,kunishuClan!D:D,kunishuClan!B:B)&amp;"当主","")))</f>
      </c>
    </row>
    <row r="3058" ht="15.75" customHeight="1">
      <c r="A3058" s="4">
        <v>1086016</v>
      </c>
      <c r="B3058" s="12" t="str">
        <f t="array" ref="B3058">IF(A3058:A7101="","",_xlfn.XLOOKUP(A3058:A7101,'参照_武将'!A:A,'参照_武将'!B:B,"見つかりません"))</f>
      </c>
      <c r="C3058" s="4" t="s">
        <v>397</v>
      </c>
      <c r="D3058" s="4">
        <v>86</v>
      </c>
      <c r="E3058" s="12" t="str">
        <f t="array" ref="E3058">IF(D3058:D7101="","",IFERROR(_xlfn.XLOOKUP(D3058:D7101,'参照_勢力'!A:A,'参照_勢力'!B:B),IFERROR(_xlfn.XLOOKUP(F3058:F7101,kunishuClan!A:A,kunishuClan!B:B),"浪人")))</f>
      </c>
      <c r="F3058" s="4">
        <v>0</v>
      </c>
      <c r="G3058" s="4">
        <v>221</v>
      </c>
      <c r="H3058" s="12" t="str">
        <f t="array" ref="H3058">IF(G3058:G7101="","",_xlfn.XLOOKUP(G3058:G7101,castles_state!A:A,castles_state!D:D,"見つかりません"))</f>
      </c>
      <c r="I3058" s="4"/>
      <c r="J3058" s="12" t="str">
        <f t="array" ref="J3058">IF(I3058:I7101="","",_xlfn.XLOOKUP(I3058:I7101,'参照_姫'!A:A,'参照_姫'!B:B,"見つかりません"))</f>
      </c>
      <c r="K3058" s="4">
        <v>95</v>
      </c>
      <c r="L3058" s="4">
        <v>0</v>
      </c>
      <c r="M3058" s="4"/>
      <c r="N3058" s="4"/>
      <c r="O3058" s="4"/>
      <c r="P3058" s="12" t="str">
        <f t="array" ref="P3058">IF(O3058:O7101="","",_xlfn.XLOOKUP(O3058:O7101,'参照_官位'!A:A,'参照_官位'!B:B,""))</f>
      </c>
      <c r="Q3058" s="12" t="str">
        <f t="array" ref="Q3058">IF(A3058:A7101="","",IFERROR(_xlfn.XLOOKUP(A3058:A7101,castles_state!K:K,castles_state!D:D)&amp;"主",IFERROR(_xlfn.XLOOKUP(A3058:A7101,kunishuClan!D:D,kunishuClan!B:B)&amp;"当主","")))</f>
      </c>
    </row>
    <row r="3059" ht="15.75" customHeight="1">
      <c r="A3059" s="4">
        <v>1086017</v>
      </c>
      <c r="B3059" s="12" t="str">
        <f t="array" ref="B3059">IF(A3059:A7102="","",_xlfn.XLOOKUP(A3059:A7102,'参照_武将'!A:A,'参照_武将'!B:B,"見つかりません"))</f>
      </c>
      <c r="C3059" s="4" t="s">
        <v>397</v>
      </c>
      <c r="D3059" s="4">
        <v>86</v>
      </c>
      <c r="E3059" s="12" t="str">
        <f t="array" ref="E3059">IF(D3059:D7102="","",IFERROR(_xlfn.XLOOKUP(D3059:D7102,'参照_勢力'!A:A,'参照_勢力'!B:B),IFERROR(_xlfn.XLOOKUP(F3059:F7102,kunishuClan!A:A,kunishuClan!B:B),"浪人")))</f>
      </c>
      <c r="F3059" s="4">
        <v>0</v>
      </c>
      <c r="G3059" s="4">
        <v>221</v>
      </c>
      <c r="H3059" s="12" t="str">
        <f t="array" ref="H3059">IF(G3059:G7102="","",_xlfn.XLOOKUP(G3059:G7102,castles_state!A:A,castles_state!D:D,"見つかりません"))</f>
      </c>
      <c r="I3059" s="4"/>
      <c r="J3059" s="12" t="str">
        <f t="array" ref="J3059">IF(I3059:I7102="","",_xlfn.XLOOKUP(I3059:I7102,'参照_姫'!A:A,'参照_姫'!B:B,"見つかりません"))</f>
      </c>
      <c r="K3059" s="4">
        <v>95</v>
      </c>
      <c r="L3059" s="4">
        <v>0</v>
      </c>
      <c r="M3059" s="4"/>
      <c r="N3059" s="4"/>
      <c r="O3059" s="4"/>
      <c r="P3059" s="12" t="str">
        <f t="array" ref="P3059">IF(O3059:O7102="","",_xlfn.XLOOKUP(O3059:O7102,'参照_官位'!A:A,'参照_官位'!B:B,""))</f>
      </c>
      <c r="Q3059" s="12" t="str">
        <f t="array" ref="Q3059">IF(A3059:A7102="","",IFERROR(_xlfn.XLOOKUP(A3059:A7102,castles_state!K:K,castles_state!D:D)&amp;"主",IFERROR(_xlfn.XLOOKUP(A3059:A7102,kunishuClan!D:D,kunishuClan!B:B)&amp;"当主","")))</f>
      </c>
    </row>
    <row r="3060" ht="15.75" customHeight="1">
      <c r="A3060" s="4">
        <v>1086018</v>
      </c>
      <c r="B3060" s="12" t="str">
        <f t="array" ref="B3060">IF(A3060:A7103="","",_xlfn.XLOOKUP(A3060:A7103,'参照_武将'!A:A,'参照_武将'!B:B,"見つかりません"))</f>
      </c>
      <c r="C3060" s="4" t="s">
        <v>397</v>
      </c>
      <c r="D3060" s="4">
        <v>86</v>
      </c>
      <c r="E3060" s="12" t="str">
        <f t="array" ref="E3060">IF(D3060:D7103="","",IFERROR(_xlfn.XLOOKUP(D3060:D7103,'参照_勢力'!A:A,'参照_勢力'!B:B),IFERROR(_xlfn.XLOOKUP(F3060:F7103,kunishuClan!A:A,kunishuClan!B:B),"浪人")))</f>
      </c>
      <c r="F3060" s="4">
        <v>0</v>
      </c>
      <c r="G3060" s="4">
        <v>221</v>
      </c>
      <c r="H3060" s="12" t="str">
        <f t="array" ref="H3060">IF(G3060:G7103="","",_xlfn.XLOOKUP(G3060:G7103,castles_state!A:A,castles_state!D:D,"見つかりません"))</f>
      </c>
      <c r="I3060" s="4"/>
      <c r="J3060" s="12" t="str">
        <f t="array" ref="J3060">IF(I3060:I7103="","",_xlfn.XLOOKUP(I3060:I7103,'参照_姫'!A:A,'参照_姫'!B:B,"見つかりません"))</f>
      </c>
      <c r="K3060" s="4">
        <v>95</v>
      </c>
      <c r="L3060" s="4">
        <v>0</v>
      </c>
      <c r="M3060" s="4"/>
      <c r="N3060" s="4"/>
      <c r="O3060" s="4"/>
      <c r="P3060" s="12" t="str">
        <f t="array" ref="P3060">IF(O3060:O7103="","",_xlfn.XLOOKUP(O3060:O7103,'参照_官位'!A:A,'参照_官位'!B:B,""))</f>
      </c>
      <c r="Q3060" s="12" t="str">
        <f t="array" ref="Q3060">IF(A3060:A7103="","",IFERROR(_xlfn.XLOOKUP(A3060:A7103,castles_state!K:K,castles_state!D:D)&amp;"主",IFERROR(_xlfn.XLOOKUP(A3060:A7103,kunishuClan!D:D,kunishuClan!B:B)&amp;"当主","")))</f>
      </c>
    </row>
    <row r="3061" ht="15.75" customHeight="1">
      <c r="A3061" s="4">
        <v>1086019</v>
      </c>
      <c r="B3061" s="12" t="str">
        <f t="array" ref="B3061">IF(A3061:A7104="","",_xlfn.XLOOKUP(A3061:A7104,'参照_武将'!A:A,'参照_武将'!B:B,"見つかりません"))</f>
      </c>
      <c r="C3061" s="4" t="s">
        <v>397</v>
      </c>
      <c r="D3061" s="4">
        <v>86</v>
      </c>
      <c r="E3061" s="12" t="str">
        <f t="array" ref="E3061">IF(D3061:D7104="","",IFERROR(_xlfn.XLOOKUP(D3061:D7104,'参照_勢力'!A:A,'参照_勢力'!B:B),IFERROR(_xlfn.XLOOKUP(F3061:F7104,kunishuClan!A:A,kunishuClan!B:B),"浪人")))</f>
      </c>
      <c r="F3061" s="4">
        <v>0</v>
      </c>
      <c r="G3061" s="4">
        <v>221</v>
      </c>
      <c r="H3061" s="12" t="str">
        <f t="array" ref="H3061">IF(G3061:G7104="","",_xlfn.XLOOKUP(G3061:G7104,castles_state!A:A,castles_state!D:D,"見つかりません"))</f>
      </c>
      <c r="I3061" s="4"/>
      <c r="J3061" s="12" t="str">
        <f t="array" ref="J3061">IF(I3061:I7104="","",_xlfn.XLOOKUP(I3061:I7104,'参照_姫'!A:A,'参照_姫'!B:B,"見つかりません"))</f>
      </c>
      <c r="K3061" s="4">
        <v>95</v>
      </c>
      <c r="L3061" s="4">
        <v>0</v>
      </c>
      <c r="M3061" s="4"/>
      <c r="N3061" s="4"/>
      <c r="O3061" s="4"/>
      <c r="P3061" s="12" t="str">
        <f t="array" ref="P3061">IF(O3061:O7104="","",_xlfn.XLOOKUP(O3061:O7104,'参照_官位'!A:A,'参照_官位'!B:B,""))</f>
      </c>
      <c r="Q3061" s="12" t="str">
        <f t="array" ref="Q3061">IF(A3061:A7104="","",IFERROR(_xlfn.XLOOKUP(A3061:A7104,castles_state!K:K,castles_state!D:D)&amp;"主",IFERROR(_xlfn.XLOOKUP(A3061:A7104,kunishuClan!D:D,kunishuClan!B:B)&amp;"当主","")))</f>
      </c>
    </row>
    <row r="3062" ht="15.75" customHeight="1">
      <c r="A3062" s="4">
        <v>1086020</v>
      </c>
      <c r="B3062" s="12" t="str">
        <f t="array" ref="B3062">IF(A3062:A7105="","",_xlfn.XLOOKUP(A3062:A7105,'参照_武将'!A:A,'参照_武将'!B:B,"見つかりません"))</f>
      </c>
      <c r="C3062" s="4" t="s">
        <v>397</v>
      </c>
      <c r="D3062" s="4">
        <v>86</v>
      </c>
      <c r="E3062" s="12" t="str">
        <f t="array" ref="E3062">IF(D3062:D7105="","",IFERROR(_xlfn.XLOOKUP(D3062:D7105,'参照_勢力'!A:A,'参照_勢力'!B:B),IFERROR(_xlfn.XLOOKUP(F3062:F7105,kunishuClan!A:A,kunishuClan!B:B),"浪人")))</f>
      </c>
      <c r="F3062" s="4">
        <v>0</v>
      </c>
      <c r="G3062" s="4">
        <v>221</v>
      </c>
      <c r="H3062" s="12" t="str">
        <f t="array" ref="H3062">IF(G3062:G7105="","",_xlfn.XLOOKUP(G3062:G7105,castles_state!A:A,castles_state!D:D,"見つかりません"))</f>
      </c>
      <c r="I3062" s="4"/>
      <c r="J3062" s="12" t="str">
        <f t="array" ref="J3062">IF(I3062:I7105="","",_xlfn.XLOOKUP(I3062:I7105,'参照_姫'!A:A,'参照_姫'!B:B,"見つかりません"))</f>
      </c>
      <c r="K3062" s="4">
        <v>95</v>
      </c>
      <c r="L3062" s="4">
        <v>300</v>
      </c>
      <c r="M3062" s="4" t="b">
        <v>1</v>
      </c>
      <c r="N3062" s="4"/>
      <c r="O3062" s="4"/>
      <c r="P3062" s="12" t="str">
        <f t="array" ref="P3062">IF(O3062:O7105="","",_xlfn.XLOOKUP(O3062:O7105,'参照_官位'!A:A,'参照_官位'!B:B,""))</f>
      </c>
      <c r="Q3062" s="12" t="str">
        <f t="array" ref="Q3062">IF(A3062:A7105="","",IFERROR(_xlfn.XLOOKUP(A3062:A7105,castles_state!K:K,castles_state!D:D)&amp;"主",IFERROR(_xlfn.XLOOKUP(A3062:A7105,kunishuClan!D:D,kunishuClan!B:B)&amp;"当主","")))</f>
      </c>
    </row>
    <row r="3063" ht="15.75" customHeight="1">
      <c r="A3063" s="4">
        <v>1087001</v>
      </c>
      <c r="B3063" s="12" t="str">
        <f t="array" ref="B3063">IF(A3063:A7106="","",_xlfn.XLOOKUP(A3063:A7106,'参照_武将'!A:A,'参照_武将'!B:B,"見つかりません"))</f>
      </c>
      <c r="C3063" s="4" t="s">
        <v>402</v>
      </c>
      <c r="D3063" s="4">
        <v>87</v>
      </c>
      <c r="E3063" s="12" t="str">
        <f t="array" ref="E3063">IF(D3063:D7106="","",IFERROR(_xlfn.XLOOKUP(D3063:D7106,'参照_勢力'!A:A,'参照_勢力'!B:B),IFERROR(_xlfn.XLOOKUP(F3063:F7106,kunishuClan!A:A,kunishuClan!B:B),"浪人")))</f>
      </c>
      <c r="F3063" s="4">
        <v>0</v>
      </c>
      <c r="G3063" s="4">
        <v>223</v>
      </c>
      <c r="H3063" s="12" t="str">
        <f t="array" ref="H3063">IF(G3063:G7106="","",_xlfn.XLOOKUP(G3063:G7106,castles_state!A:A,castles_state!D:D,"見つかりません"))</f>
      </c>
      <c r="I3063" s="4"/>
      <c r="J3063" s="12" t="str">
        <f t="array" ref="J3063">IF(I3063:I7106="","",_xlfn.XLOOKUP(I3063:I7106,'参照_姫'!A:A,'参照_姫'!B:B,"見つかりません"))</f>
      </c>
      <c r="K3063" s="4">
        <v>95</v>
      </c>
      <c r="L3063" s="4">
        <v>0</v>
      </c>
      <c r="M3063" s="4"/>
      <c r="N3063" s="4"/>
      <c r="O3063" s="4"/>
      <c r="P3063" s="12" t="str">
        <f t="array" ref="P3063">IF(O3063:O7106="","",_xlfn.XLOOKUP(O3063:O7106,'参照_官位'!A:A,'参照_官位'!B:B,""))</f>
      </c>
      <c r="Q3063" s="12" t="str">
        <f t="array" ref="Q3063">IF(A3063:A7106="","",IFERROR(_xlfn.XLOOKUP(A3063:A7106,castles_state!K:K,castles_state!D:D)&amp;"主",IFERROR(_xlfn.XLOOKUP(A3063:A7106,kunishuClan!D:D,kunishuClan!B:B)&amp;"当主","")))</f>
      </c>
    </row>
    <row r="3064" ht="15.75" customHeight="1">
      <c r="A3064" s="4">
        <v>1087002</v>
      </c>
      <c r="B3064" s="12" t="str">
        <f t="array" ref="B3064">IF(A3064:A7107="","",_xlfn.XLOOKUP(A3064:A7107,'参照_武将'!A:A,'参照_武将'!B:B,"見つかりません"))</f>
      </c>
      <c r="C3064" s="4" t="s">
        <v>402</v>
      </c>
      <c r="D3064" s="4">
        <v>87</v>
      </c>
      <c r="E3064" s="12" t="str">
        <f t="array" ref="E3064">IF(D3064:D7107="","",IFERROR(_xlfn.XLOOKUP(D3064:D7107,'参照_勢力'!A:A,'参照_勢力'!B:B),IFERROR(_xlfn.XLOOKUP(F3064:F7107,kunishuClan!A:A,kunishuClan!B:B),"浪人")))</f>
      </c>
      <c r="F3064" s="4">
        <v>0</v>
      </c>
      <c r="G3064" s="4">
        <v>223</v>
      </c>
      <c r="H3064" s="12" t="str">
        <f t="array" ref="H3064">IF(G3064:G7107="","",_xlfn.XLOOKUP(G3064:G7107,castles_state!A:A,castles_state!D:D,"見つかりません"))</f>
      </c>
      <c r="I3064" s="4"/>
      <c r="J3064" s="12" t="str">
        <f t="array" ref="J3064">IF(I3064:I7107="","",_xlfn.XLOOKUP(I3064:I7107,'参照_姫'!A:A,'参照_姫'!B:B,"見つかりません"))</f>
      </c>
      <c r="K3064" s="4">
        <v>95</v>
      </c>
      <c r="L3064" s="4">
        <v>0</v>
      </c>
      <c r="M3064" s="4"/>
      <c r="N3064" s="4"/>
      <c r="O3064" s="4"/>
      <c r="P3064" s="12" t="str">
        <f t="array" ref="P3064">IF(O3064:O7107="","",_xlfn.XLOOKUP(O3064:O7107,'参照_官位'!A:A,'参照_官位'!B:B,""))</f>
      </c>
      <c r="Q3064" s="12" t="str">
        <f t="array" ref="Q3064">IF(A3064:A7107="","",IFERROR(_xlfn.XLOOKUP(A3064:A7107,castles_state!K:K,castles_state!D:D)&amp;"主",IFERROR(_xlfn.XLOOKUP(A3064:A7107,kunishuClan!D:D,kunishuClan!B:B)&amp;"当主","")))</f>
      </c>
    </row>
    <row r="3065" ht="15.75" customHeight="1">
      <c r="A3065" s="4">
        <v>1087003</v>
      </c>
      <c r="B3065" s="12" t="str">
        <f t="array" ref="B3065">IF(A3065:A7108="","",_xlfn.XLOOKUP(A3065:A7108,'参照_武将'!A:A,'参照_武将'!B:B,"見つかりません"))</f>
      </c>
      <c r="C3065" s="4" t="s">
        <v>402</v>
      </c>
      <c r="D3065" s="4">
        <v>87</v>
      </c>
      <c r="E3065" s="12" t="str">
        <f t="array" ref="E3065">IF(D3065:D7108="","",IFERROR(_xlfn.XLOOKUP(D3065:D7108,'参照_勢力'!A:A,'参照_勢力'!B:B),IFERROR(_xlfn.XLOOKUP(F3065:F7108,kunishuClan!A:A,kunishuClan!B:B),"浪人")))</f>
      </c>
      <c r="F3065" s="4">
        <v>0</v>
      </c>
      <c r="G3065" s="4">
        <v>223</v>
      </c>
      <c r="H3065" s="12" t="str">
        <f t="array" ref="H3065">IF(G3065:G7108="","",_xlfn.XLOOKUP(G3065:G7108,castles_state!A:A,castles_state!D:D,"見つかりません"))</f>
      </c>
      <c r="I3065" s="4"/>
      <c r="J3065" s="12" t="str">
        <f t="array" ref="J3065">IF(I3065:I7108="","",_xlfn.XLOOKUP(I3065:I7108,'参照_姫'!A:A,'参照_姫'!B:B,"見つかりません"))</f>
      </c>
      <c r="K3065" s="4">
        <v>95</v>
      </c>
      <c r="L3065" s="4">
        <v>0</v>
      </c>
      <c r="M3065" s="4"/>
      <c r="N3065" s="4"/>
      <c r="O3065" s="4"/>
      <c r="P3065" s="12" t="str">
        <f t="array" ref="P3065">IF(O3065:O7108="","",_xlfn.XLOOKUP(O3065:O7108,'参照_官位'!A:A,'参照_官位'!B:B,""))</f>
      </c>
      <c r="Q3065" s="12" t="str">
        <f t="array" ref="Q3065">IF(A3065:A7108="","",IFERROR(_xlfn.XLOOKUP(A3065:A7108,castles_state!K:K,castles_state!D:D)&amp;"主",IFERROR(_xlfn.XLOOKUP(A3065:A7108,kunishuClan!D:D,kunishuClan!B:B)&amp;"当主","")))</f>
      </c>
    </row>
    <row r="3066" ht="15.75" customHeight="1">
      <c r="A3066" s="4">
        <v>1087004</v>
      </c>
      <c r="B3066" s="12" t="str">
        <f t="array" ref="B3066">IF(A3066:A7109="","",_xlfn.XLOOKUP(A3066:A7109,'参照_武将'!A:A,'参照_武将'!B:B,"見つかりません"))</f>
      </c>
      <c r="C3066" s="4" t="s">
        <v>402</v>
      </c>
      <c r="D3066" s="4">
        <v>87</v>
      </c>
      <c r="E3066" s="12" t="str">
        <f t="array" ref="E3066">IF(D3066:D7109="","",IFERROR(_xlfn.XLOOKUP(D3066:D7109,'参照_勢力'!A:A,'参照_勢力'!B:B),IFERROR(_xlfn.XLOOKUP(F3066:F7109,kunishuClan!A:A,kunishuClan!B:B),"浪人")))</f>
      </c>
      <c r="F3066" s="4">
        <v>0</v>
      </c>
      <c r="G3066" s="4">
        <v>223</v>
      </c>
      <c r="H3066" s="12" t="str">
        <f t="array" ref="H3066">IF(G3066:G7109="","",_xlfn.XLOOKUP(G3066:G7109,castles_state!A:A,castles_state!D:D,"見つかりません"))</f>
      </c>
      <c r="I3066" s="4"/>
      <c r="J3066" s="12" t="str">
        <f t="array" ref="J3066">IF(I3066:I7109="","",_xlfn.XLOOKUP(I3066:I7109,'参照_姫'!A:A,'参照_姫'!B:B,"見つかりません"))</f>
      </c>
      <c r="K3066" s="4">
        <v>95</v>
      </c>
      <c r="L3066" s="4">
        <v>0</v>
      </c>
      <c r="M3066" s="4"/>
      <c r="N3066" s="4"/>
      <c r="O3066" s="4"/>
      <c r="P3066" s="12" t="str">
        <f t="array" ref="P3066">IF(O3066:O7109="","",_xlfn.XLOOKUP(O3066:O7109,'参照_官位'!A:A,'参照_官位'!B:B,""))</f>
      </c>
      <c r="Q3066" s="12" t="str">
        <f t="array" ref="Q3066">IF(A3066:A7109="","",IFERROR(_xlfn.XLOOKUP(A3066:A7109,castles_state!K:K,castles_state!D:D)&amp;"主",IFERROR(_xlfn.XLOOKUP(A3066:A7109,kunishuClan!D:D,kunishuClan!B:B)&amp;"当主","")))</f>
      </c>
    </row>
    <row r="3067" ht="15.75" customHeight="1">
      <c r="A3067" s="4">
        <v>1087005</v>
      </c>
      <c r="B3067" s="12" t="str">
        <f t="array" ref="B3067">IF(A3067:A7110="","",_xlfn.XLOOKUP(A3067:A7110,'参照_武将'!A:A,'参照_武将'!B:B,"見つかりません"))</f>
      </c>
      <c r="C3067" s="4" t="s">
        <v>402</v>
      </c>
      <c r="D3067" s="4">
        <v>87</v>
      </c>
      <c r="E3067" s="12" t="str">
        <f t="array" ref="E3067">IF(D3067:D7110="","",IFERROR(_xlfn.XLOOKUP(D3067:D7110,'参照_勢力'!A:A,'参照_勢力'!B:B),IFERROR(_xlfn.XLOOKUP(F3067:F7110,kunishuClan!A:A,kunishuClan!B:B),"浪人")))</f>
      </c>
      <c r="F3067" s="4">
        <v>0</v>
      </c>
      <c r="G3067" s="4">
        <v>223</v>
      </c>
      <c r="H3067" s="12" t="str">
        <f t="array" ref="H3067">IF(G3067:G7110="","",_xlfn.XLOOKUP(G3067:G7110,castles_state!A:A,castles_state!D:D,"見つかりません"))</f>
      </c>
      <c r="I3067" s="4"/>
      <c r="J3067" s="12" t="str">
        <f t="array" ref="J3067">IF(I3067:I7110="","",_xlfn.XLOOKUP(I3067:I7110,'参照_姫'!A:A,'参照_姫'!B:B,"見つかりません"))</f>
      </c>
      <c r="K3067" s="4">
        <v>95</v>
      </c>
      <c r="L3067" s="4">
        <v>0</v>
      </c>
      <c r="M3067" s="4"/>
      <c r="N3067" s="4"/>
      <c r="O3067" s="4"/>
      <c r="P3067" s="12" t="str">
        <f t="array" ref="P3067">IF(O3067:O7110="","",_xlfn.XLOOKUP(O3067:O7110,'参照_官位'!A:A,'参照_官位'!B:B,""))</f>
      </c>
      <c r="Q3067" s="12" t="str">
        <f t="array" ref="Q3067">IF(A3067:A7110="","",IFERROR(_xlfn.XLOOKUP(A3067:A7110,castles_state!K:K,castles_state!D:D)&amp;"主",IFERROR(_xlfn.XLOOKUP(A3067:A7110,kunishuClan!D:D,kunishuClan!B:B)&amp;"当主","")))</f>
      </c>
    </row>
    <row r="3068" ht="15.75" customHeight="1">
      <c r="A3068" s="4">
        <v>1087006</v>
      </c>
      <c r="B3068" s="12" t="str">
        <f t="array" ref="B3068">IF(A3068:A7111="","",_xlfn.XLOOKUP(A3068:A7111,'参照_武将'!A:A,'参照_武将'!B:B,"見つかりません"))</f>
      </c>
      <c r="C3068" s="4" t="s">
        <v>402</v>
      </c>
      <c r="D3068" s="4">
        <v>87</v>
      </c>
      <c r="E3068" s="12" t="str">
        <f t="array" ref="E3068">IF(D3068:D7111="","",IFERROR(_xlfn.XLOOKUP(D3068:D7111,'参照_勢力'!A:A,'参照_勢力'!B:B),IFERROR(_xlfn.XLOOKUP(F3068:F7111,kunishuClan!A:A,kunishuClan!B:B),"浪人")))</f>
      </c>
      <c r="F3068" s="4">
        <v>0</v>
      </c>
      <c r="G3068" s="4">
        <v>223</v>
      </c>
      <c r="H3068" s="12" t="str">
        <f t="array" ref="H3068">IF(G3068:G7111="","",_xlfn.XLOOKUP(G3068:G7111,castles_state!A:A,castles_state!D:D,"見つかりません"))</f>
      </c>
      <c r="I3068" s="4"/>
      <c r="J3068" s="12" t="str">
        <f t="array" ref="J3068">IF(I3068:I7111="","",_xlfn.XLOOKUP(I3068:I7111,'参照_姫'!A:A,'参照_姫'!B:B,"見つかりません"))</f>
      </c>
      <c r="K3068" s="4">
        <v>100</v>
      </c>
      <c r="L3068" s="4">
        <v>200</v>
      </c>
      <c r="M3068" s="4"/>
      <c r="N3068" s="4" t="b">
        <v>1</v>
      </c>
      <c r="O3068" s="4"/>
      <c r="P3068" s="12" t="str">
        <f t="array" ref="P3068">IF(O3068:O7111="","",_xlfn.XLOOKUP(O3068:O7111,'参照_官位'!A:A,'参照_官位'!B:B,""))</f>
      </c>
      <c r="Q3068" s="12" t="str">
        <f t="array" ref="Q3068">IF(A3068:A7111="","",IFERROR(_xlfn.XLOOKUP(A3068:A7111,castles_state!K:K,castles_state!D:D)&amp;"主",IFERROR(_xlfn.XLOOKUP(A3068:A7111,kunishuClan!D:D,kunishuClan!B:B)&amp;"当主","")))</f>
      </c>
    </row>
    <row r="3069" ht="15.75" customHeight="1">
      <c r="A3069" s="4">
        <v>1087007</v>
      </c>
      <c r="B3069" s="12" t="str">
        <f t="array" ref="B3069">IF(A3069:A7112="","",_xlfn.XLOOKUP(A3069:A7112,'参照_武将'!A:A,'参照_武将'!B:B,"見つかりません"))</f>
      </c>
      <c r="C3069" s="4" t="s">
        <v>402</v>
      </c>
      <c r="D3069" s="4">
        <v>87</v>
      </c>
      <c r="E3069" s="12" t="str">
        <f t="array" ref="E3069">IF(D3069:D7112="","",IFERROR(_xlfn.XLOOKUP(D3069:D7112,'参照_勢力'!A:A,'参照_勢力'!B:B),IFERROR(_xlfn.XLOOKUP(F3069:F7112,kunishuClan!A:A,kunishuClan!B:B),"浪人")))</f>
      </c>
      <c r="F3069" s="4">
        <v>0</v>
      </c>
      <c r="G3069" s="4">
        <v>223</v>
      </c>
      <c r="H3069" s="12" t="str">
        <f t="array" ref="H3069">IF(G3069:G7112="","",_xlfn.XLOOKUP(G3069:G7112,castles_state!A:A,castles_state!D:D,"見つかりません"))</f>
      </c>
      <c r="I3069" s="4"/>
      <c r="J3069" s="12" t="str">
        <f t="array" ref="J3069">IF(I3069:I7112="","",_xlfn.XLOOKUP(I3069:I7112,'参照_姫'!A:A,'参照_姫'!B:B,"見つかりません"))</f>
      </c>
      <c r="K3069" s="4">
        <v>100</v>
      </c>
      <c r="L3069" s="4">
        <v>1000</v>
      </c>
      <c r="M3069" s="4"/>
      <c r="N3069" s="4"/>
      <c r="O3069" s="4"/>
      <c r="P3069" s="12" t="str">
        <f t="array" ref="P3069">IF(O3069:O7112="","",_xlfn.XLOOKUP(O3069:O7112,'参照_官位'!A:A,'参照_官位'!B:B,""))</f>
      </c>
      <c r="Q3069" s="12" t="str">
        <f t="array" ref="Q3069">IF(A3069:A7112="","",IFERROR(_xlfn.XLOOKUP(A3069:A7112,castles_state!K:K,castles_state!D:D)&amp;"主",IFERROR(_xlfn.XLOOKUP(A3069:A7112,kunishuClan!D:D,kunishuClan!B:B)&amp;"当主","")))</f>
      </c>
    </row>
    <row r="3070" ht="15.75" customHeight="1">
      <c r="A3070" s="4">
        <v>1087008</v>
      </c>
      <c r="B3070" s="12" t="str">
        <f t="array" ref="B3070">IF(A3070:A7113="","",_xlfn.XLOOKUP(A3070:A7113,'参照_武将'!A:A,'参照_武将'!B:B,"見つかりません"))</f>
      </c>
      <c r="C3070" s="4" t="s">
        <v>402</v>
      </c>
      <c r="D3070" s="4">
        <v>87</v>
      </c>
      <c r="E3070" s="12" t="str">
        <f t="array" ref="E3070">IF(D3070:D7113="","",IFERROR(_xlfn.XLOOKUP(D3070:D7113,'参照_勢力'!A:A,'参照_勢力'!B:B),IFERROR(_xlfn.XLOOKUP(F3070:F7113,kunishuClan!A:A,kunishuClan!B:B),"浪人")))</f>
      </c>
      <c r="F3070" s="4">
        <v>0</v>
      </c>
      <c r="G3070" s="4">
        <v>223</v>
      </c>
      <c r="H3070" s="12" t="str">
        <f t="array" ref="H3070">IF(G3070:G7113="","",_xlfn.XLOOKUP(G3070:G7113,castles_state!A:A,castles_state!D:D,"見つかりません"))</f>
      </c>
      <c r="I3070" s="4"/>
      <c r="J3070" s="12" t="str">
        <f t="array" ref="J3070">IF(I3070:I7113="","",_xlfn.XLOOKUP(I3070:I7113,'参照_姫'!A:A,'参照_姫'!B:B,"見つかりません"))</f>
      </c>
      <c r="K3070" s="4">
        <v>95</v>
      </c>
      <c r="L3070" s="4">
        <v>200</v>
      </c>
      <c r="M3070" s="4"/>
      <c r="N3070" s="4"/>
      <c r="O3070" s="4"/>
      <c r="P3070" s="12" t="str">
        <f t="array" ref="P3070">IF(O3070:O7113="","",_xlfn.XLOOKUP(O3070:O7113,'参照_官位'!A:A,'参照_官位'!B:B,""))</f>
      </c>
      <c r="Q3070" s="12" t="str">
        <f t="array" ref="Q3070">IF(A3070:A7113="","",IFERROR(_xlfn.XLOOKUP(A3070:A7113,castles_state!K:K,castles_state!D:D)&amp;"主",IFERROR(_xlfn.XLOOKUP(A3070:A7113,kunishuClan!D:D,kunishuClan!B:B)&amp;"当主","")))</f>
      </c>
    </row>
    <row r="3071" ht="15.75" customHeight="1">
      <c r="A3071" s="4">
        <v>1087009</v>
      </c>
      <c r="B3071" s="12" t="str">
        <f t="array" ref="B3071">IF(A3071:A7114="","",_xlfn.XLOOKUP(A3071:A7114,'参照_武将'!A:A,'参照_武将'!B:B,"見つかりません"))</f>
      </c>
      <c r="C3071" s="4" t="s">
        <v>402</v>
      </c>
      <c r="D3071" s="4">
        <v>87</v>
      </c>
      <c r="E3071" s="12" t="str">
        <f t="array" ref="E3071">IF(D3071:D7114="","",IFERROR(_xlfn.XLOOKUP(D3071:D7114,'参照_勢力'!A:A,'参照_勢力'!B:B),IFERROR(_xlfn.XLOOKUP(F3071:F7114,kunishuClan!A:A,kunishuClan!B:B),"浪人")))</f>
      </c>
      <c r="F3071" s="4">
        <v>0</v>
      </c>
      <c r="G3071" s="4">
        <v>223</v>
      </c>
      <c r="H3071" s="12" t="str">
        <f t="array" ref="H3071">IF(G3071:G7114="","",_xlfn.XLOOKUP(G3071:G7114,castles_state!A:A,castles_state!D:D,"見つかりません"))</f>
      </c>
      <c r="I3071" s="4"/>
      <c r="J3071" s="12" t="str">
        <f t="array" ref="J3071">IF(I3071:I7114="","",_xlfn.XLOOKUP(I3071:I7114,'参照_姫'!A:A,'参照_姫'!B:B,"見つかりません"))</f>
      </c>
      <c r="K3071" s="4">
        <v>95</v>
      </c>
      <c r="L3071" s="4">
        <v>200</v>
      </c>
      <c r="M3071" s="4" t="b">
        <v>1</v>
      </c>
      <c r="N3071" s="4"/>
      <c r="O3071" s="4"/>
      <c r="P3071" s="12" t="str">
        <f t="array" ref="P3071">IF(O3071:O7114="","",_xlfn.XLOOKUP(O3071:O7114,'参照_官位'!A:A,'参照_官位'!B:B,""))</f>
      </c>
      <c r="Q3071" s="12" t="str">
        <f t="array" ref="Q3071">IF(A3071:A7114="","",IFERROR(_xlfn.XLOOKUP(A3071:A7114,castles_state!K:K,castles_state!D:D)&amp;"主",IFERROR(_xlfn.XLOOKUP(A3071:A7114,kunishuClan!D:D,kunishuClan!B:B)&amp;"当主","")))</f>
      </c>
    </row>
    <row r="3072" ht="15.75" customHeight="1">
      <c r="A3072" s="4">
        <v>1087010</v>
      </c>
      <c r="B3072" s="12" t="str">
        <f t="array" ref="B3072">IF(A3072:A7115="","",_xlfn.XLOOKUP(A3072:A7115,'参照_武将'!A:A,'参照_武将'!B:B,"見つかりません"))</f>
      </c>
      <c r="C3072" s="4" t="s">
        <v>402</v>
      </c>
      <c r="D3072" s="4">
        <v>87</v>
      </c>
      <c r="E3072" s="12" t="str">
        <f t="array" ref="E3072">IF(D3072:D7115="","",IFERROR(_xlfn.XLOOKUP(D3072:D7115,'参照_勢力'!A:A,'参照_勢力'!B:B),IFERROR(_xlfn.XLOOKUP(F3072:F7115,kunishuClan!A:A,kunishuClan!B:B),"浪人")))</f>
      </c>
      <c r="F3072" s="4">
        <v>0</v>
      </c>
      <c r="G3072" s="4">
        <v>223</v>
      </c>
      <c r="H3072" s="12" t="str">
        <f t="array" ref="H3072">IF(G3072:G7115="","",_xlfn.XLOOKUP(G3072:G7115,castles_state!A:A,castles_state!D:D,"見つかりません"))</f>
      </c>
      <c r="I3072" s="4"/>
      <c r="J3072" s="12" t="str">
        <f t="array" ref="J3072">IF(I3072:I7115="","",_xlfn.XLOOKUP(I3072:I7115,'参照_姫'!A:A,'参照_姫'!B:B,"見つかりません"))</f>
      </c>
      <c r="K3072" s="4">
        <v>95</v>
      </c>
      <c r="L3072" s="4">
        <v>0</v>
      </c>
      <c r="M3072" s="4"/>
      <c r="N3072" s="4"/>
      <c r="O3072" s="4"/>
      <c r="P3072" s="12" t="str">
        <f t="array" ref="P3072">IF(O3072:O7115="","",_xlfn.XLOOKUP(O3072:O7115,'参照_官位'!A:A,'参照_官位'!B:B,""))</f>
      </c>
      <c r="Q3072" s="12" t="str">
        <f t="array" ref="Q3072">IF(A3072:A7115="","",IFERROR(_xlfn.XLOOKUP(A3072:A7115,castles_state!K:K,castles_state!D:D)&amp;"主",IFERROR(_xlfn.XLOOKUP(A3072:A7115,kunishuClan!D:D,kunishuClan!B:B)&amp;"当主","")))</f>
      </c>
    </row>
    <row r="3073" ht="15.75" customHeight="1">
      <c r="A3073" s="4">
        <v>1087011</v>
      </c>
      <c r="B3073" s="12" t="str">
        <f t="array" ref="B3073">IF(A3073:A7116="","",_xlfn.XLOOKUP(A3073:A7116,'参照_武将'!A:A,'参照_武将'!B:B,"見つかりません"))</f>
      </c>
      <c r="C3073" s="4" t="s">
        <v>402</v>
      </c>
      <c r="D3073" s="4">
        <v>87</v>
      </c>
      <c r="E3073" s="12" t="str">
        <f t="array" ref="E3073">IF(D3073:D7116="","",IFERROR(_xlfn.XLOOKUP(D3073:D7116,'参照_勢力'!A:A,'参照_勢力'!B:B),IFERROR(_xlfn.XLOOKUP(F3073:F7116,kunishuClan!A:A,kunishuClan!B:B),"浪人")))</f>
      </c>
      <c r="F3073" s="4">
        <v>0</v>
      </c>
      <c r="G3073" s="4">
        <v>223</v>
      </c>
      <c r="H3073" s="12" t="str">
        <f t="array" ref="H3073">IF(G3073:G7116="","",_xlfn.XLOOKUP(G3073:G7116,castles_state!A:A,castles_state!D:D,"見つかりません"))</f>
      </c>
      <c r="I3073" s="4"/>
      <c r="J3073" s="12" t="str">
        <f t="array" ref="J3073">IF(I3073:I7116="","",_xlfn.XLOOKUP(I3073:I7116,'参照_姫'!A:A,'参照_姫'!B:B,"見つかりません"))</f>
      </c>
      <c r="K3073" s="4">
        <v>90</v>
      </c>
      <c r="L3073" s="4">
        <v>0</v>
      </c>
      <c r="M3073" s="4"/>
      <c r="N3073" s="4"/>
      <c r="O3073" s="4"/>
      <c r="P3073" s="12" t="str">
        <f t="array" ref="P3073">IF(O3073:O7116="","",_xlfn.XLOOKUP(O3073:O7116,'参照_官位'!A:A,'参照_官位'!B:B,""))</f>
      </c>
      <c r="Q3073" s="12" t="str">
        <f t="array" ref="Q3073">IF(A3073:A7116="","",IFERROR(_xlfn.XLOOKUP(A3073:A7116,castles_state!K:K,castles_state!D:D)&amp;"主",IFERROR(_xlfn.XLOOKUP(A3073:A7116,kunishuClan!D:D,kunishuClan!B:B)&amp;"当主","")))</f>
      </c>
    </row>
    <row r="3074" ht="15.75" customHeight="1">
      <c r="A3074" s="4">
        <v>1087012</v>
      </c>
      <c r="B3074" s="12" t="str">
        <f t="array" ref="B3074">IF(A3074:A7117="","",_xlfn.XLOOKUP(A3074:A7117,'参照_武将'!A:A,'参照_武将'!B:B,"見つかりません"))</f>
      </c>
      <c r="C3074" s="4" t="s">
        <v>402</v>
      </c>
      <c r="D3074" s="4">
        <v>87</v>
      </c>
      <c r="E3074" s="12" t="str">
        <f t="array" ref="E3074">IF(D3074:D7117="","",IFERROR(_xlfn.XLOOKUP(D3074:D7117,'参照_勢力'!A:A,'参照_勢力'!B:B),IFERROR(_xlfn.XLOOKUP(F3074:F7117,kunishuClan!A:A,kunishuClan!B:B),"浪人")))</f>
      </c>
      <c r="F3074" s="4">
        <v>0</v>
      </c>
      <c r="G3074" s="4">
        <v>223</v>
      </c>
      <c r="H3074" s="12" t="str">
        <f t="array" ref="H3074">IF(G3074:G7117="","",_xlfn.XLOOKUP(G3074:G7117,castles_state!A:A,castles_state!D:D,"見つかりません"))</f>
      </c>
      <c r="I3074" s="4"/>
      <c r="J3074" s="12" t="str">
        <f t="array" ref="J3074">IF(I3074:I7117="","",_xlfn.XLOOKUP(I3074:I7117,'参照_姫'!A:A,'参照_姫'!B:B,"見つかりません"))</f>
      </c>
      <c r="K3074" s="4">
        <v>90</v>
      </c>
      <c r="L3074" s="4">
        <v>0</v>
      </c>
      <c r="M3074" s="4"/>
      <c r="N3074" s="4"/>
      <c r="O3074" s="4"/>
      <c r="P3074" s="12" t="str">
        <f t="array" ref="P3074">IF(O3074:O7117="","",_xlfn.XLOOKUP(O3074:O7117,'参照_官位'!A:A,'参照_官位'!B:B,""))</f>
      </c>
      <c r="Q3074" s="12" t="str">
        <f t="array" ref="Q3074">IF(A3074:A7117="","",IFERROR(_xlfn.XLOOKUP(A3074:A7117,castles_state!K:K,castles_state!D:D)&amp;"主",IFERROR(_xlfn.XLOOKUP(A3074:A7117,kunishuClan!D:D,kunishuClan!B:B)&amp;"当主","")))</f>
      </c>
    </row>
    <row r="3075" ht="15.75" customHeight="1">
      <c r="A3075" s="4">
        <v>1087013</v>
      </c>
      <c r="B3075" s="12" t="str">
        <f t="array" ref="B3075">IF(A3075:A7118="","",_xlfn.XLOOKUP(A3075:A7118,'参照_武将'!A:A,'参照_武将'!B:B,"見つかりません"))</f>
      </c>
      <c r="C3075" s="4" t="s">
        <v>402</v>
      </c>
      <c r="D3075" s="4">
        <v>87</v>
      </c>
      <c r="E3075" s="12" t="str">
        <f t="array" ref="E3075">IF(D3075:D7118="","",IFERROR(_xlfn.XLOOKUP(D3075:D7118,'参照_勢力'!A:A,'参照_勢力'!B:B),IFERROR(_xlfn.XLOOKUP(F3075:F7118,kunishuClan!A:A,kunishuClan!B:B),"浪人")))</f>
      </c>
      <c r="F3075" s="4">
        <v>0</v>
      </c>
      <c r="G3075" s="4">
        <v>223</v>
      </c>
      <c r="H3075" s="12" t="str">
        <f t="array" ref="H3075">IF(G3075:G7118="","",_xlfn.XLOOKUP(G3075:G7118,castles_state!A:A,castles_state!D:D,"見つかりません"))</f>
      </c>
      <c r="I3075" s="4"/>
      <c r="J3075" s="12" t="str">
        <f t="array" ref="J3075">IF(I3075:I7118="","",_xlfn.XLOOKUP(I3075:I7118,'参照_姫'!A:A,'参照_姫'!B:B,"見つかりません"))</f>
      </c>
      <c r="K3075" s="4">
        <v>90</v>
      </c>
      <c r="L3075" s="4">
        <v>0</v>
      </c>
      <c r="M3075" s="4"/>
      <c r="N3075" s="4"/>
      <c r="O3075" s="4"/>
      <c r="P3075" s="12" t="str">
        <f t="array" ref="P3075">IF(O3075:O7118="","",_xlfn.XLOOKUP(O3075:O7118,'参照_官位'!A:A,'参照_官位'!B:B,""))</f>
      </c>
      <c r="Q3075" s="12" t="str">
        <f t="array" ref="Q3075">IF(A3075:A7118="","",IFERROR(_xlfn.XLOOKUP(A3075:A7118,castles_state!K:K,castles_state!D:D)&amp;"主",IFERROR(_xlfn.XLOOKUP(A3075:A7118,kunishuClan!D:D,kunishuClan!B:B)&amp;"当主","")))</f>
      </c>
    </row>
    <row r="3076" ht="15.75" customHeight="1">
      <c r="A3076" s="4">
        <v>1087014</v>
      </c>
      <c r="B3076" s="12" t="str">
        <f t="array" ref="B3076">IF(A3076:A7119="","",_xlfn.XLOOKUP(A3076:A7119,'参照_武将'!A:A,'参照_武将'!B:B,"見つかりません"))</f>
      </c>
      <c r="C3076" s="4" t="s">
        <v>402</v>
      </c>
      <c r="D3076" s="4">
        <v>87</v>
      </c>
      <c r="E3076" s="12" t="str">
        <f t="array" ref="E3076">IF(D3076:D7119="","",IFERROR(_xlfn.XLOOKUP(D3076:D7119,'参照_勢力'!A:A,'参照_勢力'!B:B),IFERROR(_xlfn.XLOOKUP(F3076:F7119,kunishuClan!A:A,kunishuClan!B:B),"浪人")))</f>
      </c>
      <c r="F3076" s="4">
        <v>0</v>
      </c>
      <c r="G3076" s="4">
        <v>223</v>
      </c>
      <c r="H3076" s="12" t="str">
        <f t="array" ref="H3076">IF(G3076:G7119="","",_xlfn.XLOOKUP(G3076:G7119,castles_state!A:A,castles_state!D:D,"見つかりません"))</f>
      </c>
      <c r="I3076" s="4"/>
      <c r="J3076" s="12" t="str">
        <f t="array" ref="J3076">IF(I3076:I7119="","",_xlfn.XLOOKUP(I3076:I7119,'参照_姫'!A:A,'参照_姫'!B:B,"見つかりません"))</f>
      </c>
      <c r="K3076" s="4">
        <v>95</v>
      </c>
      <c r="L3076" s="4">
        <v>0</v>
      </c>
      <c r="M3076" s="4"/>
      <c r="N3076" s="4"/>
      <c r="O3076" s="4"/>
      <c r="P3076" s="12" t="str">
        <f t="array" ref="P3076">IF(O3076:O7119="","",_xlfn.XLOOKUP(O3076:O7119,'参照_官位'!A:A,'参照_官位'!B:B,""))</f>
      </c>
      <c r="Q3076" s="12" t="str">
        <f t="array" ref="Q3076">IF(A3076:A7119="","",IFERROR(_xlfn.XLOOKUP(A3076:A7119,castles_state!K:K,castles_state!D:D)&amp;"主",IFERROR(_xlfn.XLOOKUP(A3076:A7119,kunishuClan!D:D,kunishuClan!B:B)&amp;"当主","")))</f>
      </c>
    </row>
    <row r="3077" ht="15.75" customHeight="1">
      <c r="A3077" s="4">
        <v>1087015</v>
      </c>
      <c r="B3077" s="12" t="str">
        <f t="array" ref="B3077">IF(A3077:A7120="","",_xlfn.XLOOKUP(A3077:A7120,'参照_武将'!A:A,'参照_武将'!B:B,"見つかりません"))</f>
      </c>
      <c r="C3077" s="4" t="s">
        <v>402</v>
      </c>
      <c r="D3077" s="4">
        <v>87</v>
      </c>
      <c r="E3077" s="12" t="str">
        <f t="array" ref="E3077">IF(D3077:D7120="","",IFERROR(_xlfn.XLOOKUP(D3077:D7120,'参照_勢力'!A:A,'参照_勢力'!B:B),IFERROR(_xlfn.XLOOKUP(F3077:F7120,kunishuClan!A:A,kunishuClan!B:B),"浪人")))</f>
      </c>
      <c r="F3077" s="4">
        <v>0</v>
      </c>
      <c r="G3077" s="4">
        <v>223</v>
      </c>
      <c r="H3077" s="12" t="str">
        <f t="array" ref="H3077">IF(G3077:G7120="","",_xlfn.XLOOKUP(G3077:G7120,castles_state!A:A,castles_state!D:D,"見つかりません"))</f>
      </c>
      <c r="I3077" s="4"/>
      <c r="J3077" s="12" t="str">
        <f t="array" ref="J3077">IF(I3077:I7120="","",_xlfn.XLOOKUP(I3077:I7120,'参照_姫'!A:A,'参照_姫'!B:B,"見つかりません"))</f>
      </c>
      <c r="K3077" s="4">
        <v>95</v>
      </c>
      <c r="L3077" s="4">
        <v>300</v>
      </c>
      <c r="M3077" s="4"/>
      <c r="N3077" s="4"/>
      <c r="O3077" s="4"/>
      <c r="P3077" s="12" t="str">
        <f t="array" ref="P3077">IF(O3077:O7120="","",_xlfn.XLOOKUP(O3077:O7120,'参照_官位'!A:A,'参照_官位'!B:B,""))</f>
      </c>
      <c r="Q3077" s="12" t="str">
        <f t="array" ref="Q3077">IF(A3077:A7120="","",IFERROR(_xlfn.XLOOKUP(A3077:A7120,castles_state!K:K,castles_state!D:D)&amp;"主",IFERROR(_xlfn.XLOOKUP(A3077:A7120,kunishuClan!D:D,kunishuClan!B:B)&amp;"当主","")))</f>
      </c>
    </row>
    <row r="3078" ht="15.75" customHeight="1">
      <c r="A3078" s="4">
        <v>1087016</v>
      </c>
      <c r="B3078" s="12" t="str">
        <f t="array" ref="B3078">IF(A3078:A7121="","",_xlfn.XLOOKUP(A3078:A7121,'参照_武将'!A:A,'参照_武将'!B:B,"見つかりません"))</f>
      </c>
      <c r="C3078" s="4" t="s">
        <v>402</v>
      </c>
      <c r="D3078" s="4">
        <v>87</v>
      </c>
      <c r="E3078" s="12" t="str">
        <f t="array" ref="E3078">IF(D3078:D7121="","",IFERROR(_xlfn.XLOOKUP(D3078:D7121,'参照_勢力'!A:A,'参照_勢力'!B:B),IFERROR(_xlfn.XLOOKUP(F3078:F7121,kunishuClan!A:A,kunishuClan!B:B),"浪人")))</f>
      </c>
      <c r="F3078" s="4">
        <v>0</v>
      </c>
      <c r="G3078" s="4">
        <v>223</v>
      </c>
      <c r="H3078" s="12" t="str">
        <f t="array" ref="H3078">IF(G3078:G7121="","",_xlfn.XLOOKUP(G3078:G7121,castles_state!A:A,castles_state!D:D,"見つかりません"))</f>
      </c>
      <c r="I3078" s="4"/>
      <c r="J3078" s="12" t="str">
        <f t="array" ref="J3078">IF(I3078:I7121="","",_xlfn.XLOOKUP(I3078:I7121,'参照_姫'!A:A,'参照_姫'!B:B,"見つかりません"))</f>
      </c>
      <c r="K3078" s="4">
        <v>95</v>
      </c>
      <c r="L3078" s="4">
        <v>0</v>
      </c>
      <c r="M3078" s="4"/>
      <c r="N3078" s="4"/>
      <c r="O3078" s="4"/>
      <c r="P3078" s="12" t="str">
        <f t="array" ref="P3078">IF(O3078:O7121="","",_xlfn.XLOOKUP(O3078:O7121,'参照_官位'!A:A,'参照_官位'!B:B,""))</f>
      </c>
      <c r="Q3078" s="12" t="str">
        <f t="array" ref="Q3078">IF(A3078:A7121="","",IFERROR(_xlfn.XLOOKUP(A3078:A7121,castles_state!K:K,castles_state!D:D)&amp;"主",IFERROR(_xlfn.XLOOKUP(A3078:A7121,kunishuClan!D:D,kunishuClan!B:B)&amp;"当主","")))</f>
      </c>
    </row>
    <row r="3079" ht="15.75" customHeight="1">
      <c r="A3079" s="4">
        <v>1087017</v>
      </c>
      <c r="B3079" s="12" t="str">
        <f t="array" ref="B3079">IF(A3079:A7122="","",_xlfn.XLOOKUP(A3079:A7122,'参照_武将'!A:A,'参照_武将'!B:B,"見つかりません"))</f>
      </c>
      <c r="C3079" s="4" t="s">
        <v>402</v>
      </c>
      <c r="D3079" s="4">
        <v>87</v>
      </c>
      <c r="E3079" s="12" t="str">
        <f t="array" ref="E3079">IF(D3079:D7122="","",IFERROR(_xlfn.XLOOKUP(D3079:D7122,'参照_勢力'!A:A,'参照_勢力'!B:B),IFERROR(_xlfn.XLOOKUP(F3079:F7122,kunishuClan!A:A,kunishuClan!B:B),"浪人")))</f>
      </c>
      <c r="F3079" s="4">
        <v>0</v>
      </c>
      <c r="G3079" s="4">
        <v>223</v>
      </c>
      <c r="H3079" s="12" t="str">
        <f t="array" ref="H3079">IF(G3079:G7122="","",_xlfn.XLOOKUP(G3079:G7122,castles_state!A:A,castles_state!D:D,"見つかりません"))</f>
      </c>
      <c r="I3079" s="4"/>
      <c r="J3079" s="12" t="str">
        <f t="array" ref="J3079">IF(I3079:I7122="","",_xlfn.XLOOKUP(I3079:I7122,'参照_姫'!A:A,'参照_姫'!B:B,"見つかりません"))</f>
      </c>
      <c r="K3079" s="4">
        <v>95</v>
      </c>
      <c r="L3079" s="4">
        <v>0</v>
      </c>
      <c r="M3079" s="4"/>
      <c r="N3079" s="4"/>
      <c r="O3079" s="4"/>
      <c r="P3079" s="12" t="str">
        <f t="array" ref="P3079">IF(O3079:O7122="","",_xlfn.XLOOKUP(O3079:O7122,'参照_官位'!A:A,'参照_官位'!B:B,""))</f>
      </c>
      <c r="Q3079" s="12" t="str">
        <f t="array" ref="Q3079">IF(A3079:A7122="","",IFERROR(_xlfn.XLOOKUP(A3079:A7122,castles_state!K:K,castles_state!D:D)&amp;"主",IFERROR(_xlfn.XLOOKUP(A3079:A7122,kunishuClan!D:D,kunishuClan!B:B)&amp;"当主","")))</f>
      </c>
    </row>
    <row r="3080" ht="15.75" customHeight="1">
      <c r="A3080" s="4">
        <v>1087018</v>
      </c>
      <c r="B3080" s="12" t="str">
        <f t="array" ref="B3080">IF(A3080:A7123="","",_xlfn.XLOOKUP(A3080:A7123,'参照_武将'!A:A,'参照_武将'!B:B,"見つかりません"))</f>
      </c>
      <c r="C3080" s="4" t="s">
        <v>402</v>
      </c>
      <c r="D3080" s="4">
        <v>87</v>
      </c>
      <c r="E3080" s="12" t="str">
        <f t="array" ref="E3080">IF(D3080:D7123="","",IFERROR(_xlfn.XLOOKUP(D3080:D7123,'参照_勢力'!A:A,'参照_勢力'!B:B),IFERROR(_xlfn.XLOOKUP(F3080:F7123,kunishuClan!A:A,kunishuClan!B:B),"浪人")))</f>
      </c>
      <c r="F3080" s="4">
        <v>0</v>
      </c>
      <c r="G3080" s="4">
        <v>223</v>
      </c>
      <c r="H3080" s="12" t="str">
        <f t="array" ref="H3080">IF(G3080:G7123="","",_xlfn.XLOOKUP(G3080:G7123,castles_state!A:A,castles_state!D:D,"見つかりません"))</f>
      </c>
      <c r="I3080" s="4"/>
      <c r="J3080" s="12" t="str">
        <f t="array" ref="J3080">IF(I3080:I7123="","",_xlfn.XLOOKUP(I3080:I7123,'参照_姫'!A:A,'参照_姫'!B:B,"見つかりません"))</f>
      </c>
      <c r="K3080" s="4">
        <v>95</v>
      </c>
      <c r="L3080" s="4">
        <v>0</v>
      </c>
      <c r="M3080" s="4"/>
      <c r="N3080" s="4"/>
      <c r="O3080" s="4"/>
      <c r="P3080" s="12" t="str">
        <f t="array" ref="P3080">IF(O3080:O7123="","",_xlfn.XLOOKUP(O3080:O7123,'参照_官位'!A:A,'参照_官位'!B:B,""))</f>
      </c>
      <c r="Q3080" s="12" t="str">
        <f t="array" ref="Q3080">IF(A3080:A7123="","",IFERROR(_xlfn.XLOOKUP(A3080:A7123,castles_state!K:K,castles_state!D:D)&amp;"主",IFERROR(_xlfn.XLOOKUP(A3080:A7123,kunishuClan!D:D,kunishuClan!B:B)&amp;"当主","")))</f>
      </c>
    </row>
    <row r="3081" ht="15.75" customHeight="1">
      <c r="A3081" s="4">
        <v>1087019</v>
      </c>
      <c r="B3081" s="12" t="str">
        <f t="array" ref="B3081">IF(A3081:A7124="","",_xlfn.XLOOKUP(A3081:A7124,'参照_武将'!A:A,'参照_武将'!B:B,"見つかりません"))</f>
      </c>
      <c r="C3081" s="4" t="s">
        <v>402</v>
      </c>
      <c r="D3081" s="4">
        <v>87</v>
      </c>
      <c r="E3081" s="12" t="str">
        <f t="array" ref="E3081">IF(D3081:D7124="","",IFERROR(_xlfn.XLOOKUP(D3081:D7124,'参照_勢力'!A:A,'参照_勢力'!B:B),IFERROR(_xlfn.XLOOKUP(F3081:F7124,kunishuClan!A:A,kunishuClan!B:B),"浪人")))</f>
      </c>
      <c r="F3081" s="4">
        <v>0</v>
      </c>
      <c r="G3081" s="4">
        <v>223</v>
      </c>
      <c r="H3081" s="12" t="str">
        <f t="array" ref="H3081">IF(G3081:G7124="","",_xlfn.XLOOKUP(G3081:G7124,castles_state!A:A,castles_state!D:D,"見つかりません"))</f>
      </c>
      <c r="I3081" s="4"/>
      <c r="J3081" s="12" t="str">
        <f t="array" ref="J3081">IF(I3081:I7124="","",_xlfn.XLOOKUP(I3081:I7124,'参照_姫'!A:A,'参照_姫'!B:B,"見つかりません"))</f>
      </c>
      <c r="K3081" s="4">
        <v>95</v>
      </c>
      <c r="L3081" s="4">
        <v>0</v>
      </c>
      <c r="M3081" s="4"/>
      <c r="N3081" s="4"/>
      <c r="O3081" s="4"/>
      <c r="P3081" s="12" t="str">
        <f t="array" ref="P3081">IF(O3081:O7124="","",_xlfn.XLOOKUP(O3081:O7124,'参照_官位'!A:A,'参照_官位'!B:B,""))</f>
      </c>
      <c r="Q3081" s="12" t="str">
        <f t="array" ref="Q3081">IF(A3081:A7124="","",IFERROR(_xlfn.XLOOKUP(A3081:A7124,castles_state!K:K,castles_state!D:D)&amp;"主",IFERROR(_xlfn.XLOOKUP(A3081:A7124,kunishuClan!D:D,kunishuClan!B:B)&amp;"当主","")))</f>
      </c>
    </row>
    <row r="3082" ht="15.75" customHeight="1">
      <c r="A3082" s="4">
        <v>1087020</v>
      </c>
      <c r="B3082" s="12" t="str">
        <f t="array" ref="B3082">IF(A3082:A7125="","",_xlfn.XLOOKUP(A3082:A7125,'参照_武将'!A:A,'参照_武将'!B:B,"見つかりません"))</f>
      </c>
      <c r="C3082" s="4" t="s">
        <v>402</v>
      </c>
      <c r="D3082" s="4">
        <v>87</v>
      </c>
      <c r="E3082" s="12" t="str">
        <f t="array" ref="E3082">IF(D3082:D7125="","",IFERROR(_xlfn.XLOOKUP(D3082:D7125,'参照_勢力'!A:A,'参照_勢力'!B:B),IFERROR(_xlfn.XLOOKUP(F3082:F7125,kunishuClan!A:A,kunishuClan!B:B),"浪人")))</f>
      </c>
      <c r="F3082" s="4">
        <v>0</v>
      </c>
      <c r="G3082" s="4">
        <v>244</v>
      </c>
      <c r="H3082" s="12" t="str">
        <f t="array" ref="H3082">IF(G3082:G7125="","",_xlfn.XLOOKUP(G3082:G7125,castles_state!A:A,castles_state!D:D,"見つかりません"))</f>
      </c>
      <c r="I3082" s="4"/>
      <c r="J3082" s="12" t="str">
        <f t="array" ref="J3082">IF(I3082:I7125="","",_xlfn.XLOOKUP(I3082:I7125,'参照_姫'!A:A,'参照_姫'!B:B,"見つかりません"))</f>
      </c>
      <c r="K3082" s="4">
        <v>85</v>
      </c>
      <c r="L3082" s="4">
        <v>300</v>
      </c>
      <c r="M3082" s="4"/>
      <c r="N3082" s="4"/>
      <c r="O3082" s="4"/>
      <c r="P3082" s="12" t="str">
        <f t="array" ref="P3082">IF(O3082:O7125="","",_xlfn.XLOOKUP(O3082:O7125,'参照_官位'!A:A,'参照_官位'!B:B,""))</f>
      </c>
      <c r="Q3082" s="12" t="str">
        <f t="array" ref="Q3082">IF(A3082:A7125="","",IFERROR(_xlfn.XLOOKUP(A3082:A7125,castles_state!K:K,castles_state!D:D)&amp;"主",IFERROR(_xlfn.XLOOKUP(A3082:A7125,kunishuClan!D:D,kunishuClan!B:B)&amp;"当主","")))</f>
      </c>
    </row>
    <row r="3083" ht="15.75" customHeight="1">
      <c r="A3083" s="4">
        <v>1087021</v>
      </c>
      <c r="B3083" s="12" t="str">
        <f t="array" ref="B3083">IF(A3083:A7126="","",_xlfn.XLOOKUP(A3083:A7126,'参照_武将'!A:A,'参照_武将'!B:B,"見つかりません"))</f>
      </c>
      <c r="C3083" s="4" t="s">
        <v>402</v>
      </c>
      <c r="D3083" s="4">
        <v>87</v>
      </c>
      <c r="E3083" s="12" t="str">
        <f t="array" ref="E3083">IF(D3083:D7126="","",IFERROR(_xlfn.XLOOKUP(D3083:D7126,'参照_勢力'!A:A,'参照_勢力'!B:B),IFERROR(_xlfn.XLOOKUP(F3083:F7126,kunishuClan!A:A,kunishuClan!B:B),"浪人")))</f>
      </c>
      <c r="F3083" s="4">
        <v>0</v>
      </c>
      <c r="G3083" s="4">
        <v>244</v>
      </c>
      <c r="H3083" s="12" t="str">
        <f t="array" ref="H3083">IF(G3083:G7126="","",_xlfn.XLOOKUP(G3083:G7126,castles_state!A:A,castles_state!D:D,"見つかりません"))</f>
      </c>
      <c r="I3083" s="4"/>
      <c r="J3083" s="12" t="str">
        <f t="array" ref="J3083">IF(I3083:I7126="","",_xlfn.XLOOKUP(I3083:I7126,'参照_姫'!A:A,'参照_姫'!B:B,"見つかりません"))</f>
      </c>
      <c r="K3083" s="4">
        <v>85</v>
      </c>
      <c r="L3083" s="4">
        <v>0</v>
      </c>
      <c r="M3083" s="4"/>
      <c r="N3083" s="4"/>
      <c r="O3083" s="4"/>
      <c r="P3083" s="12" t="str">
        <f t="array" ref="P3083">IF(O3083:O7126="","",_xlfn.XLOOKUP(O3083:O7126,'参照_官位'!A:A,'参照_官位'!B:B,""))</f>
      </c>
      <c r="Q3083" s="12" t="str">
        <f t="array" ref="Q3083">IF(A3083:A7126="","",IFERROR(_xlfn.XLOOKUP(A3083:A7126,castles_state!K:K,castles_state!D:D)&amp;"主",IFERROR(_xlfn.XLOOKUP(A3083:A7126,kunishuClan!D:D,kunishuClan!B:B)&amp;"当主","")))</f>
      </c>
    </row>
    <row r="3084" ht="15.75" customHeight="1">
      <c r="A3084" s="4">
        <v>1087022</v>
      </c>
      <c r="B3084" s="12" t="str">
        <f t="array" ref="B3084">IF(A3084:A7127="","",_xlfn.XLOOKUP(A3084:A7127,'参照_武将'!A:A,'参照_武将'!B:B,"見つかりません"))</f>
      </c>
      <c r="C3084" s="4" t="s">
        <v>402</v>
      </c>
      <c r="D3084" s="4">
        <v>87</v>
      </c>
      <c r="E3084" s="12" t="str">
        <f t="array" ref="E3084">IF(D3084:D7127="","",IFERROR(_xlfn.XLOOKUP(D3084:D7127,'参照_勢力'!A:A,'参照_勢力'!B:B),IFERROR(_xlfn.XLOOKUP(F3084:F7127,kunishuClan!A:A,kunishuClan!B:B),"浪人")))</f>
      </c>
      <c r="F3084" s="4">
        <v>0</v>
      </c>
      <c r="G3084" s="4">
        <v>223</v>
      </c>
      <c r="H3084" s="12" t="str">
        <f t="array" ref="H3084">IF(G3084:G7127="","",_xlfn.XLOOKUP(G3084:G7127,castles_state!A:A,castles_state!D:D,"見つかりません"))</f>
      </c>
      <c r="I3084" s="4"/>
      <c r="J3084" s="12" t="str">
        <f t="array" ref="J3084">IF(I3084:I7127="","",_xlfn.XLOOKUP(I3084:I7127,'参照_姫'!A:A,'参照_姫'!B:B,"見つかりません"))</f>
      </c>
      <c r="K3084" s="4">
        <v>85</v>
      </c>
      <c r="L3084" s="4">
        <v>0</v>
      </c>
      <c r="M3084" s="4"/>
      <c r="N3084" s="4"/>
      <c r="O3084" s="4"/>
      <c r="P3084" s="12" t="str">
        <f t="array" ref="P3084">IF(O3084:O7127="","",_xlfn.XLOOKUP(O3084:O7127,'参照_官位'!A:A,'参照_官位'!B:B,""))</f>
      </c>
      <c r="Q3084" s="12" t="str">
        <f t="array" ref="Q3084">IF(A3084:A7127="","",IFERROR(_xlfn.XLOOKUP(A3084:A7127,castles_state!K:K,castles_state!D:D)&amp;"主",IFERROR(_xlfn.XLOOKUP(A3084:A7127,kunishuClan!D:D,kunishuClan!B:B)&amp;"当主","")))</f>
      </c>
    </row>
    <row r="3085" ht="15.75" customHeight="1">
      <c r="A3085" s="4">
        <v>1087023</v>
      </c>
      <c r="B3085" s="12" t="str">
        <f t="array" ref="B3085">IF(A3085:A7128="","",_xlfn.XLOOKUP(A3085:A7128,'参照_武将'!A:A,'参照_武将'!B:B,"見つかりません"))</f>
      </c>
      <c r="C3085" s="4" t="s">
        <v>402</v>
      </c>
      <c r="D3085" s="4">
        <v>87</v>
      </c>
      <c r="E3085" s="12" t="str">
        <f t="array" ref="E3085">IF(D3085:D7128="","",IFERROR(_xlfn.XLOOKUP(D3085:D7128,'参照_勢力'!A:A,'参照_勢力'!B:B),IFERROR(_xlfn.XLOOKUP(F3085:F7128,kunishuClan!A:A,kunishuClan!B:B),"浪人")))</f>
      </c>
      <c r="F3085" s="4">
        <v>0</v>
      </c>
      <c r="G3085" s="4">
        <v>223</v>
      </c>
      <c r="H3085" s="12" t="str">
        <f t="array" ref="H3085">IF(G3085:G7128="","",_xlfn.XLOOKUP(G3085:G7128,castles_state!A:A,castles_state!D:D,"見つかりません"))</f>
      </c>
      <c r="I3085" s="4"/>
      <c r="J3085" s="12" t="str">
        <f t="array" ref="J3085">IF(I3085:I7128="","",_xlfn.XLOOKUP(I3085:I7128,'参照_姫'!A:A,'参照_姫'!B:B,"見つかりません"))</f>
      </c>
      <c r="K3085" s="4">
        <v>85</v>
      </c>
      <c r="L3085" s="4">
        <v>0</v>
      </c>
      <c r="M3085" s="4"/>
      <c r="N3085" s="4"/>
      <c r="O3085" s="4"/>
      <c r="P3085" s="12" t="str">
        <f t="array" ref="P3085">IF(O3085:O7128="","",_xlfn.XLOOKUP(O3085:O7128,'参照_官位'!A:A,'参照_官位'!B:B,""))</f>
      </c>
      <c r="Q3085" s="12" t="str">
        <f t="array" ref="Q3085">IF(A3085:A7128="","",IFERROR(_xlfn.XLOOKUP(A3085:A7128,castles_state!K:K,castles_state!D:D)&amp;"主",IFERROR(_xlfn.XLOOKUP(A3085:A7128,kunishuClan!D:D,kunishuClan!B:B)&amp;"当主","")))</f>
      </c>
    </row>
    <row r="3086" ht="15.75" customHeight="1">
      <c r="A3086" s="4">
        <v>1087024</v>
      </c>
      <c r="B3086" s="12" t="str">
        <f t="array" ref="B3086">IF(A3086:A7129="","",_xlfn.XLOOKUP(A3086:A7129,'参照_武将'!A:A,'参照_武将'!B:B,"見つかりません"))</f>
      </c>
      <c r="C3086" s="4" t="s">
        <v>402</v>
      </c>
      <c r="D3086" s="4">
        <v>87</v>
      </c>
      <c r="E3086" s="12" t="str">
        <f t="array" ref="E3086">IF(D3086:D7129="","",IFERROR(_xlfn.XLOOKUP(D3086:D7129,'参照_勢力'!A:A,'参照_勢力'!B:B),IFERROR(_xlfn.XLOOKUP(F3086:F7129,kunishuClan!A:A,kunishuClan!B:B),"浪人")))</f>
      </c>
      <c r="F3086" s="4">
        <v>0</v>
      </c>
      <c r="G3086" s="4">
        <v>223</v>
      </c>
      <c r="H3086" s="12" t="str">
        <f t="array" ref="H3086">IF(G3086:G7129="","",_xlfn.XLOOKUP(G3086:G7129,castles_state!A:A,castles_state!D:D,"見つかりません"))</f>
      </c>
      <c r="I3086" s="4"/>
      <c r="J3086" s="12" t="str">
        <f t="array" ref="J3086">IF(I3086:I7129="","",_xlfn.XLOOKUP(I3086:I7129,'参照_姫'!A:A,'参照_姫'!B:B,"見つかりません"))</f>
      </c>
      <c r="K3086" s="4">
        <v>95</v>
      </c>
      <c r="L3086" s="4">
        <v>0</v>
      </c>
      <c r="M3086" s="4"/>
      <c r="N3086" s="4"/>
      <c r="O3086" s="4"/>
      <c r="P3086" s="12" t="str">
        <f t="array" ref="P3086">IF(O3086:O7129="","",_xlfn.XLOOKUP(O3086:O7129,'参照_官位'!A:A,'参照_官位'!B:B,""))</f>
      </c>
      <c r="Q3086" s="12" t="str">
        <f t="array" ref="Q3086">IF(A3086:A7129="","",IFERROR(_xlfn.XLOOKUP(A3086:A7129,castles_state!K:K,castles_state!D:D)&amp;"主",IFERROR(_xlfn.XLOOKUP(A3086:A7129,kunishuClan!D:D,kunishuClan!B:B)&amp;"当主","")))</f>
      </c>
    </row>
    <row r="3087" ht="15.75" customHeight="1">
      <c r="A3087" s="4">
        <v>1088001</v>
      </c>
      <c r="B3087" s="12" t="str">
        <f t="array" ref="B3087">IF(A3087:A7130="","",_xlfn.XLOOKUP(A3087:A7130,'参照_武将'!A:A,'参照_武将'!B:B,"見つかりません"))</f>
      </c>
      <c r="C3087" s="4" t="s">
        <v>405</v>
      </c>
      <c r="D3087" s="4">
        <v>88</v>
      </c>
      <c r="E3087" s="12" t="str">
        <f t="array" ref="E3087">IF(D3087:D7130="","",IFERROR(_xlfn.XLOOKUP(D3087:D7130,'参照_勢力'!A:A,'参照_勢力'!B:B),IFERROR(_xlfn.XLOOKUP(F3087:F7130,kunishuClan!A:A,kunishuClan!B:B),"浪人")))</f>
      </c>
      <c r="F3087" s="4">
        <v>0</v>
      </c>
      <c r="G3087" s="4">
        <v>225</v>
      </c>
      <c r="H3087" s="12" t="str">
        <f t="array" ref="H3087">IF(G3087:G7130="","",_xlfn.XLOOKUP(G3087:G7130,castles_state!A:A,castles_state!D:D,"見つかりません"))</f>
      </c>
      <c r="I3087" s="4"/>
      <c r="J3087" s="12" t="str">
        <f t="array" ref="J3087">IF(I3087:I7130="","",_xlfn.XLOOKUP(I3087:I7130,'参照_姫'!A:A,'参照_姫'!B:B,"見つかりません"))</f>
      </c>
      <c r="K3087" s="4">
        <v>95</v>
      </c>
      <c r="L3087" s="4">
        <v>0</v>
      </c>
      <c r="M3087" s="4"/>
      <c r="N3087" s="4"/>
      <c r="O3087" s="4"/>
      <c r="P3087" s="12" t="str">
        <f t="array" ref="P3087">IF(O3087:O7130="","",_xlfn.XLOOKUP(O3087:O7130,'参照_官位'!A:A,'参照_官位'!B:B,""))</f>
      </c>
      <c r="Q3087" s="12" t="str">
        <f t="array" ref="Q3087">IF(A3087:A7130="","",IFERROR(_xlfn.XLOOKUP(A3087:A7130,castles_state!K:K,castles_state!D:D)&amp;"主",IFERROR(_xlfn.XLOOKUP(A3087:A7130,kunishuClan!D:D,kunishuClan!B:B)&amp;"当主","")))</f>
      </c>
    </row>
    <row r="3088" ht="15.75" customHeight="1">
      <c r="A3088" s="4">
        <v>1088002</v>
      </c>
      <c r="B3088" s="12" t="str">
        <f t="array" ref="B3088">IF(A3088:A7131="","",_xlfn.XLOOKUP(A3088:A7131,'参照_武将'!A:A,'参照_武将'!B:B,"見つかりません"))</f>
      </c>
      <c r="C3088" s="4" t="s">
        <v>405</v>
      </c>
      <c r="D3088" s="4">
        <v>88</v>
      </c>
      <c r="E3088" s="12" t="str">
        <f t="array" ref="E3088">IF(D3088:D7131="","",IFERROR(_xlfn.XLOOKUP(D3088:D7131,'参照_勢力'!A:A,'参照_勢力'!B:B),IFERROR(_xlfn.XLOOKUP(F3088:F7131,kunishuClan!A:A,kunishuClan!B:B),"浪人")))</f>
      </c>
      <c r="F3088" s="4">
        <v>0</v>
      </c>
      <c r="G3088" s="4">
        <v>225</v>
      </c>
      <c r="H3088" s="12" t="str">
        <f t="array" ref="H3088">IF(G3088:G7131="","",_xlfn.XLOOKUP(G3088:G7131,castles_state!A:A,castles_state!D:D,"見つかりません"))</f>
      </c>
      <c r="I3088" s="4"/>
      <c r="J3088" s="12" t="str">
        <f t="array" ref="J3088">IF(I3088:I7131="","",_xlfn.XLOOKUP(I3088:I7131,'参照_姫'!A:A,'参照_姫'!B:B,"見つかりません"))</f>
      </c>
      <c r="K3088" s="4">
        <v>95</v>
      </c>
      <c r="L3088" s="4">
        <v>0</v>
      </c>
      <c r="M3088" s="4"/>
      <c r="N3088" s="4"/>
      <c r="O3088" s="4"/>
      <c r="P3088" s="12" t="str">
        <f t="array" ref="P3088">IF(O3088:O7131="","",_xlfn.XLOOKUP(O3088:O7131,'参照_官位'!A:A,'参照_官位'!B:B,""))</f>
      </c>
      <c r="Q3088" s="12" t="str">
        <f t="array" ref="Q3088">IF(A3088:A7131="","",IFERROR(_xlfn.XLOOKUP(A3088:A7131,castles_state!K:K,castles_state!D:D)&amp;"主",IFERROR(_xlfn.XLOOKUP(A3088:A7131,kunishuClan!D:D,kunishuClan!B:B)&amp;"当主","")))</f>
      </c>
    </row>
    <row r="3089" ht="15.75" customHeight="1">
      <c r="A3089" s="4">
        <v>1088003</v>
      </c>
      <c r="B3089" s="12" t="str">
        <f t="array" ref="B3089">IF(A3089:A7132="","",_xlfn.XLOOKUP(A3089:A7132,'参照_武将'!A:A,'参照_武将'!B:B,"見つかりません"))</f>
      </c>
      <c r="C3089" s="4" t="s">
        <v>405</v>
      </c>
      <c r="D3089" s="4">
        <v>88</v>
      </c>
      <c r="E3089" s="12" t="str">
        <f t="array" ref="E3089">IF(D3089:D7132="","",IFERROR(_xlfn.XLOOKUP(D3089:D7132,'参照_勢力'!A:A,'参照_勢力'!B:B),IFERROR(_xlfn.XLOOKUP(F3089:F7132,kunishuClan!A:A,kunishuClan!B:B),"浪人")))</f>
      </c>
      <c r="F3089" s="4">
        <v>0</v>
      </c>
      <c r="G3089" s="4">
        <v>225</v>
      </c>
      <c r="H3089" s="12" t="str">
        <f t="array" ref="H3089">IF(G3089:G7132="","",_xlfn.XLOOKUP(G3089:G7132,castles_state!A:A,castles_state!D:D,"見つかりません"))</f>
      </c>
      <c r="I3089" s="4"/>
      <c r="J3089" s="12" t="str">
        <f t="array" ref="J3089">IF(I3089:I7132="","",_xlfn.XLOOKUP(I3089:I7132,'参照_姫'!A:A,'参照_姫'!B:B,"見つかりません"))</f>
      </c>
      <c r="K3089" s="4">
        <v>95</v>
      </c>
      <c r="L3089" s="4">
        <v>0</v>
      </c>
      <c r="M3089" s="4"/>
      <c r="N3089" s="4"/>
      <c r="O3089" s="4"/>
      <c r="P3089" s="12" t="str">
        <f t="array" ref="P3089">IF(O3089:O7132="","",_xlfn.XLOOKUP(O3089:O7132,'参照_官位'!A:A,'参照_官位'!B:B,""))</f>
      </c>
      <c r="Q3089" s="12" t="str">
        <f t="array" ref="Q3089">IF(A3089:A7132="","",IFERROR(_xlfn.XLOOKUP(A3089:A7132,castles_state!K:K,castles_state!D:D)&amp;"主",IFERROR(_xlfn.XLOOKUP(A3089:A7132,kunishuClan!D:D,kunishuClan!B:B)&amp;"当主","")))</f>
      </c>
    </row>
    <row r="3090" ht="15.75" customHeight="1">
      <c r="A3090" s="4">
        <v>1088004</v>
      </c>
      <c r="B3090" s="12" t="str">
        <f t="array" ref="B3090">IF(A3090:A7133="","",_xlfn.XLOOKUP(A3090:A7133,'参照_武将'!A:A,'参照_武将'!B:B,"見つかりません"))</f>
      </c>
      <c r="C3090" s="4" t="s">
        <v>405</v>
      </c>
      <c r="D3090" s="4">
        <v>88</v>
      </c>
      <c r="E3090" s="12" t="str">
        <f t="array" ref="E3090">IF(D3090:D7133="","",IFERROR(_xlfn.XLOOKUP(D3090:D7133,'参照_勢力'!A:A,'参照_勢力'!B:B),IFERROR(_xlfn.XLOOKUP(F3090:F7133,kunishuClan!A:A,kunishuClan!B:B),"浪人")))</f>
      </c>
      <c r="F3090" s="4">
        <v>0</v>
      </c>
      <c r="G3090" s="4">
        <v>225</v>
      </c>
      <c r="H3090" s="12" t="str">
        <f t="array" ref="H3090">IF(G3090:G7133="","",_xlfn.XLOOKUP(G3090:G7133,castles_state!A:A,castles_state!D:D,"見つかりません"))</f>
      </c>
      <c r="I3090" s="4"/>
      <c r="J3090" s="12" t="str">
        <f t="array" ref="J3090">IF(I3090:I7133="","",_xlfn.XLOOKUP(I3090:I7133,'参照_姫'!A:A,'参照_姫'!B:B,"見つかりません"))</f>
      </c>
      <c r="K3090" s="4">
        <v>100</v>
      </c>
      <c r="L3090" s="4">
        <v>1000</v>
      </c>
      <c r="M3090" s="4"/>
      <c r="N3090" s="4"/>
      <c r="O3090" s="4"/>
      <c r="P3090" s="12" t="str">
        <f t="array" ref="P3090">IF(O3090:O7133="","",_xlfn.XLOOKUP(O3090:O7133,'参照_官位'!A:A,'参照_官位'!B:B,""))</f>
      </c>
      <c r="Q3090" s="12" t="str">
        <f t="array" ref="Q3090">IF(A3090:A7133="","",IFERROR(_xlfn.XLOOKUP(A3090:A7133,castles_state!K:K,castles_state!D:D)&amp;"主",IFERROR(_xlfn.XLOOKUP(A3090:A7133,kunishuClan!D:D,kunishuClan!B:B)&amp;"当主","")))</f>
      </c>
    </row>
    <row r="3091" ht="15.75" customHeight="1">
      <c r="A3091" s="4">
        <v>1088005</v>
      </c>
      <c r="B3091" s="12" t="str">
        <f t="array" ref="B3091">IF(A3091:A7134="","",_xlfn.XLOOKUP(A3091:A7134,'参照_武将'!A:A,'参照_武将'!B:B,"見つかりません"))</f>
      </c>
      <c r="C3091" s="4" t="s">
        <v>405</v>
      </c>
      <c r="D3091" s="4">
        <v>88</v>
      </c>
      <c r="E3091" s="12" t="str">
        <f t="array" ref="E3091">IF(D3091:D7134="","",IFERROR(_xlfn.XLOOKUP(D3091:D7134,'参照_勢力'!A:A,'参照_勢力'!B:B),IFERROR(_xlfn.XLOOKUP(F3091:F7134,kunishuClan!A:A,kunishuClan!B:B),"浪人")))</f>
      </c>
      <c r="F3091" s="4">
        <v>0</v>
      </c>
      <c r="G3091" s="4">
        <v>225</v>
      </c>
      <c r="H3091" s="12" t="str">
        <f t="array" ref="H3091">IF(G3091:G7134="","",_xlfn.XLOOKUP(G3091:G7134,castles_state!A:A,castles_state!D:D,"見つかりません"))</f>
      </c>
      <c r="I3091" s="4"/>
      <c r="J3091" s="12" t="str">
        <f t="array" ref="J3091">IF(I3091:I7134="","",_xlfn.XLOOKUP(I3091:I7134,'参照_姫'!A:A,'参照_姫'!B:B,"見つかりません"))</f>
      </c>
      <c r="K3091" s="4">
        <v>100</v>
      </c>
      <c r="L3091" s="4">
        <v>1000</v>
      </c>
      <c r="M3091" s="4"/>
      <c r="N3091" s="4"/>
      <c r="O3091" s="4"/>
      <c r="P3091" s="12" t="str">
        <f t="array" ref="P3091">IF(O3091:O7134="","",_xlfn.XLOOKUP(O3091:O7134,'参照_官位'!A:A,'参照_官位'!B:B,""))</f>
      </c>
      <c r="Q3091" s="12" t="str">
        <f t="array" ref="Q3091">IF(A3091:A7134="","",IFERROR(_xlfn.XLOOKUP(A3091:A7134,castles_state!K:K,castles_state!D:D)&amp;"主",IFERROR(_xlfn.XLOOKUP(A3091:A7134,kunishuClan!D:D,kunishuClan!B:B)&amp;"当主","")))</f>
      </c>
    </row>
    <row r="3092" ht="15.75" customHeight="1">
      <c r="A3092" s="4">
        <v>1088006</v>
      </c>
      <c r="B3092" s="12" t="str">
        <f t="array" ref="B3092">IF(A3092:A7135="","",_xlfn.XLOOKUP(A3092:A7135,'参照_武将'!A:A,'参照_武将'!B:B,"見つかりません"))</f>
      </c>
      <c r="C3092" s="4" t="s">
        <v>405</v>
      </c>
      <c r="D3092" s="4">
        <v>88</v>
      </c>
      <c r="E3092" s="12" t="str">
        <f t="array" ref="E3092">IF(D3092:D7135="","",IFERROR(_xlfn.XLOOKUP(D3092:D7135,'参照_勢力'!A:A,'参照_勢力'!B:B),IFERROR(_xlfn.XLOOKUP(F3092:F7135,kunishuClan!A:A,kunishuClan!B:B),"浪人")))</f>
      </c>
      <c r="F3092" s="4">
        <v>0</v>
      </c>
      <c r="G3092" s="4">
        <v>225</v>
      </c>
      <c r="H3092" s="12" t="str">
        <f t="array" ref="H3092">IF(G3092:G7135="","",_xlfn.XLOOKUP(G3092:G7135,castles_state!A:A,castles_state!D:D,"見つかりません"))</f>
      </c>
      <c r="I3092" s="4"/>
      <c r="J3092" s="12" t="str">
        <f t="array" ref="J3092">IF(I3092:I7135="","",_xlfn.XLOOKUP(I3092:I7135,'参照_姫'!A:A,'参照_姫'!B:B,"見つかりません"))</f>
      </c>
      <c r="K3092" s="4">
        <v>95</v>
      </c>
      <c r="L3092" s="4">
        <v>0</v>
      </c>
      <c r="M3092" s="4"/>
      <c r="N3092" s="4"/>
      <c r="O3092" s="4"/>
      <c r="P3092" s="12" t="str">
        <f t="array" ref="P3092">IF(O3092:O7135="","",_xlfn.XLOOKUP(O3092:O7135,'参照_官位'!A:A,'参照_官位'!B:B,""))</f>
      </c>
      <c r="Q3092" s="12" t="str">
        <f t="array" ref="Q3092">IF(A3092:A7135="","",IFERROR(_xlfn.XLOOKUP(A3092:A7135,castles_state!K:K,castles_state!D:D)&amp;"主",IFERROR(_xlfn.XLOOKUP(A3092:A7135,kunishuClan!D:D,kunishuClan!B:B)&amp;"当主","")))</f>
      </c>
    </row>
    <row r="3093" ht="15.75" customHeight="1">
      <c r="A3093" s="4">
        <v>1088007</v>
      </c>
      <c r="B3093" s="12" t="str">
        <f t="array" ref="B3093">IF(A3093:A7136="","",_xlfn.XLOOKUP(A3093:A7136,'参照_武将'!A:A,'参照_武将'!B:B,"見つかりません"))</f>
      </c>
      <c r="C3093" s="4" t="s">
        <v>405</v>
      </c>
      <c r="D3093" s="4">
        <v>88</v>
      </c>
      <c r="E3093" s="12" t="str">
        <f t="array" ref="E3093">IF(D3093:D7136="","",IFERROR(_xlfn.XLOOKUP(D3093:D7136,'参照_勢力'!A:A,'参照_勢力'!B:B),IFERROR(_xlfn.XLOOKUP(F3093:F7136,kunishuClan!A:A,kunishuClan!B:B),"浪人")))</f>
      </c>
      <c r="F3093" s="4">
        <v>0</v>
      </c>
      <c r="G3093" s="4">
        <v>225</v>
      </c>
      <c r="H3093" s="12" t="str">
        <f t="array" ref="H3093">IF(G3093:G7136="","",_xlfn.XLOOKUP(G3093:G7136,castles_state!A:A,castles_state!D:D,"見つかりません"))</f>
      </c>
      <c r="I3093" s="4"/>
      <c r="J3093" s="12" t="str">
        <f t="array" ref="J3093">IF(I3093:I7136="","",_xlfn.XLOOKUP(I3093:I7136,'参照_姫'!A:A,'参照_姫'!B:B,"見つかりません"))</f>
      </c>
      <c r="K3093" s="4">
        <v>95</v>
      </c>
      <c r="L3093" s="4">
        <v>0</v>
      </c>
      <c r="M3093" s="4"/>
      <c r="N3093" s="4"/>
      <c r="O3093" s="4"/>
      <c r="P3093" s="12" t="str">
        <f t="array" ref="P3093">IF(O3093:O7136="","",_xlfn.XLOOKUP(O3093:O7136,'参照_官位'!A:A,'参照_官位'!B:B,""))</f>
      </c>
      <c r="Q3093" s="12" t="str">
        <f t="array" ref="Q3093">IF(A3093:A7136="","",IFERROR(_xlfn.XLOOKUP(A3093:A7136,castles_state!K:K,castles_state!D:D)&amp;"主",IFERROR(_xlfn.XLOOKUP(A3093:A7136,kunishuClan!D:D,kunishuClan!B:B)&amp;"当主","")))</f>
      </c>
    </row>
    <row r="3094" ht="15.75" customHeight="1">
      <c r="A3094" s="4">
        <v>1088008</v>
      </c>
      <c r="B3094" s="12" t="str">
        <f t="array" ref="B3094">IF(A3094:A7137="","",_xlfn.XLOOKUP(A3094:A7137,'参照_武将'!A:A,'参照_武将'!B:B,"見つかりません"))</f>
      </c>
      <c r="C3094" s="4" t="s">
        <v>405</v>
      </c>
      <c r="D3094" s="4">
        <v>88</v>
      </c>
      <c r="E3094" s="12" t="str">
        <f t="array" ref="E3094">IF(D3094:D7137="","",IFERROR(_xlfn.XLOOKUP(D3094:D7137,'参照_勢力'!A:A,'参照_勢力'!B:B),IFERROR(_xlfn.XLOOKUP(F3094:F7137,kunishuClan!A:A,kunishuClan!B:B),"浪人")))</f>
      </c>
      <c r="F3094" s="4">
        <v>0</v>
      </c>
      <c r="G3094" s="4">
        <v>225</v>
      </c>
      <c r="H3094" s="12" t="str">
        <f t="array" ref="H3094">IF(G3094:G7137="","",_xlfn.XLOOKUP(G3094:G7137,castles_state!A:A,castles_state!D:D,"見つかりません"))</f>
      </c>
      <c r="I3094" s="4"/>
      <c r="J3094" s="12" t="str">
        <f t="array" ref="J3094">IF(I3094:I7137="","",_xlfn.XLOOKUP(I3094:I7137,'参照_姫'!A:A,'参照_姫'!B:B,"見つかりません"))</f>
      </c>
      <c r="K3094" s="4">
        <v>95</v>
      </c>
      <c r="L3094" s="4">
        <v>0</v>
      </c>
      <c r="M3094" s="4"/>
      <c r="N3094" s="4"/>
      <c r="O3094" s="4"/>
      <c r="P3094" s="12" t="str">
        <f t="array" ref="P3094">IF(O3094:O7137="","",_xlfn.XLOOKUP(O3094:O7137,'参照_官位'!A:A,'参照_官位'!B:B,""))</f>
      </c>
      <c r="Q3094" s="12" t="str">
        <f t="array" ref="Q3094">IF(A3094:A7137="","",IFERROR(_xlfn.XLOOKUP(A3094:A7137,castles_state!K:K,castles_state!D:D)&amp;"主",IFERROR(_xlfn.XLOOKUP(A3094:A7137,kunishuClan!D:D,kunishuClan!B:B)&amp;"当主","")))</f>
      </c>
    </row>
    <row r="3095" ht="15.75" customHeight="1">
      <c r="A3095" s="4">
        <v>1088009</v>
      </c>
      <c r="B3095" s="12" t="str">
        <f t="array" ref="B3095">IF(A3095:A7138="","",_xlfn.XLOOKUP(A3095:A7138,'参照_武将'!A:A,'参照_武将'!B:B,"見つかりません"))</f>
      </c>
      <c r="C3095" s="4" t="s">
        <v>405</v>
      </c>
      <c r="D3095" s="4">
        <v>88</v>
      </c>
      <c r="E3095" s="12" t="str">
        <f t="array" ref="E3095">IF(D3095:D7138="","",IFERROR(_xlfn.XLOOKUP(D3095:D7138,'参照_勢力'!A:A,'参照_勢力'!B:B),IFERROR(_xlfn.XLOOKUP(F3095:F7138,kunishuClan!A:A,kunishuClan!B:B),"浪人")))</f>
      </c>
      <c r="F3095" s="4">
        <v>0</v>
      </c>
      <c r="G3095" s="4">
        <v>225</v>
      </c>
      <c r="H3095" s="12" t="str">
        <f t="array" ref="H3095">IF(G3095:G7138="","",_xlfn.XLOOKUP(G3095:G7138,castles_state!A:A,castles_state!D:D,"見つかりません"))</f>
      </c>
      <c r="I3095" s="4"/>
      <c r="J3095" s="12" t="str">
        <f t="array" ref="J3095">IF(I3095:I7138="","",_xlfn.XLOOKUP(I3095:I7138,'参照_姫'!A:A,'参照_姫'!B:B,"見つかりません"))</f>
      </c>
      <c r="K3095" s="4">
        <v>95</v>
      </c>
      <c r="L3095" s="4">
        <v>0</v>
      </c>
      <c r="M3095" s="4"/>
      <c r="N3095" s="4"/>
      <c r="O3095" s="4"/>
      <c r="P3095" s="12" t="str">
        <f t="array" ref="P3095">IF(O3095:O7138="","",_xlfn.XLOOKUP(O3095:O7138,'参照_官位'!A:A,'参照_官位'!B:B,""))</f>
      </c>
      <c r="Q3095" s="12" t="str">
        <f t="array" ref="Q3095">IF(A3095:A7138="","",IFERROR(_xlfn.XLOOKUP(A3095:A7138,castles_state!K:K,castles_state!D:D)&amp;"主",IFERROR(_xlfn.XLOOKUP(A3095:A7138,kunishuClan!D:D,kunishuClan!B:B)&amp;"当主","")))</f>
      </c>
    </row>
    <row r="3096" ht="15.75" customHeight="1">
      <c r="A3096" s="4">
        <v>1088010</v>
      </c>
      <c r="B3096" s="12" t="str">
        <f t="array" ref="B3096">IF(A3096:A7139="","",_xlfn.XLOOKUP(A3096:A7139,'参照_武将'!A:A,'参照_武将'!B:B,"見つかりません"))</f>
      </c>
      <c r="C3096" s="4" t="s">
        <v>405</v>
      </c>
      <c r="D3096" s="4">
        <v>88</v>
      </c>
      <c r="E3096" s="12" t="str">
        <f t="array" ref="E3096">IF(D3096:D7139="","",IFERROR(_xlfn.XLOOKUP(D3096:D7139,'参照_勢力'!A:A,'参照_勢力'!B:B),IFERROR(_xlfn.XLOOKUP(F3096:F7139,kunishuClan!A:A,kunishuClan!B:B),"浪人")))</f>
      </c>
      <c r="F3096" s="4">
        <v>0</v>
      </c>
      <c r="G3096" s="4">
        <v>224</v>
      </c>
      <c r="H3096" s="12" t="str">
        <f t="array" ref="H3096">IF(G3096:G7139="","",_xlfn.XLOOKUP(G3096:G7139,castles_state!A:A,castles_state!D:D,"見つかりません"))</f>
      </c>
      <c r="I3096" s="4"/>
      <c r="J3096" s="12" t="str">
        <f t="array" ref="J3096">IF(I3096:I7139="","",_xlfn.XLOOKUP(I3096:I7139,'参照_姫'!A:A,'参照_姫'!B:B,"見つかりません"))</f>
      </c>
      <c r="K3096" s="4">
        <v>80</v>
      </c>
      <c r="L3096" s="4">
        <v>0</v>
      </c>
      <c r="M3096" s="4"/>
      <c r="N3096" s="4"/>
      <c r="O3096" s="4"/>
      <c r="P3096" s="12" t="str">
        <f t="array" ref="P3096">IF(O3096:O7139="","",_xlfn.XLOOKUP(O3096:O7139,'参照_官位'!A:A,'参照_官位'!B:B,""))</f>
      </c>
      <c r="Q3096" s="12" t="str">
        <f t="array" ref="Q3096">IF(A3096:A7139="","",IFERROR(_xlfn.XLOOKUP(A3096:A7139,castles_state!K:K,castles_state!D:D)&amp;"主",IFERROR(_xlfn.XLOOKUP(A3096:A7139,kunishuClan!D:D,kunishuClan!B:B)&amp;"当主","")))</f>
      </c>
    </row>
    <row r="3097" ht="15.75" customHeight="1">
      <c r="A3097" s="4">
        <v>1088011</v>
      </c>
      <c r="B3097" s="12" t="str">
        <f t="array" ref="B3097">IF(A3097:A7140="","",_xlfn.XLOOKUP(A3097:A7140,'参照_武将'!A:A,'参照_武将'!B:B,"見つかりません"))</f>
      </c>
      <c r="C3097" s="4" t="s">
        <v>405</v>
      </c>
      <c r="D3097" s="4">
        <v>88</v>
      </c>
      <c r="E3097" s="12" t="str">
        <f t="array" ref="E3097">IF(D3097:D7140="","",IFERROR(_xlfn.XLOOKUP(D3097:D7140,'参照_勢力'!A:A,'参照_勢力'!B:B),IFERROR(_xlfn.XLOOKUP(F3097:F7140,kunishuClan!A:A,kunishuClan!B:B),"浪人")))</f>
      </c>
      <c r="F3097" s="4">
        <v>0</v>
      </c>
      <c r="G3097" s="4">
        <v>225</v>
      </c>
      <c r="H3097" s="12" t="str">
        <f t="array" ref="H3097">IF(G3097:G7140="","",_xlfn.XLOOKUP(G3097:G7140,castles_state!A:A,castles_state!D:D,"見つかりません"))</f>
      </c>
      <c r="I3097" s="4"/>
      <c r="J3097" s="12" t="str">
        <f t="array" ref="J3097">IF(I3097:I7140="","",_xlfn.XLOOKUP(I3097:I7140,'参照_姫'!A:A,'参照_姫'!B:B,"見つかりません"))</f>
      </c>
      <c r="K3097" s="4">
        <v>95</v>
      </c>
      <c r="L3097" s="4">
        <v>0</v>
      </c>
      <c r="M3097" s="4"/>
      <c r="N3097" s="4"/>
      <c r="O3097" s="4"/>
      <c r="P3097" s="12" t="str">
        <f t="array" ref="P3097">IF(O3097:O7140="","",_xlfn.XLOOKUP(O3097:O7140,'参照_官位'!A:A,'参照_官位'!B:B,""))</f>
      </c>
      <c r="Q3097" s="12" t="str">
        <f t="array" ref="Q3097">IF(A3097:A7140="","",IFERROR(_xlfn.XLOOKUP(A3097:A7140,castles_state!K:K,castles_state!D:D)&amp;"主",IFERROR(_xlfn.XLOOKUP(A3097:A7140,kunishuClan!D:D,kunishuClan!B:B)&amp;"当主","")))</f>
      </c>
    </row>
    <row r="3098" ht="15.75" customHeight="1">
      <c r="A3098" s="4">
        <v>1088012</v>
      </c>
      <c r="B3098" s="12" t="str">
        <f t="array" ref="B3098">IF(A3098:A7141="","",_xlfn.XLOOKUP(A3098:A7141,'参照_武将'!A:A,'参照_武将'!B:B,"見つかりません"))</f>
      </c>
      <c r="C3098" s="4" t="s">
        <v>405</v>
      </c>
      <c r="D3098" s="4">
        <v>88</v>
      </c>
      <c r="E3098" s="12" t="str">
        <f t="array" ref="E3098">IF(D3098:D7141="","",IFERROR(_xlfn.XLOOKUP(D3098:D7141,'参照_勢力'!A:A,'参照_勢力'!B:B),IFERROR(_xlfn.XLOOKUP(F3098:F7141,kunishuClan!A:A,kunishuClan!B:B),"浪人")))</f>
      </c>
      <c r="F3098" s="4">
        <v>0</v>
      </c>
      <c r="G3098" s="4">
        <v>225</v>
      </c>
      <c r="H3098" s="12" t="str">
        <f t="array" ref="H3098">IF(G3098:G7141="","",_xlfn.XLOOKUP(G3098:G7141,castles_state!A:A,castles_state!D:D,"見つかりません"))</f>
      </c>
      <c r="I3098" s="4"/>
      <c r="J3098" s="12" t="str">
        <f t="array" ref="J3098">IF(I3098:I7141="","",_xlfn.XLOOKUP(I3098:I7141,'参照_姫'!A:A,'参照_姫'!B:B,"見つかりません"))</f>
      </c>
      <c r="K3098" s="4">
        <v>95</v>
      </c>
      <c r="L3098" s="4">
        <v>0</v>
      </c>
      <c r="M3098" s="4" t="b">
        <v>1</v>
      </c>
      <c r="N3098" s="4"/>
      <c r="O3098" s="4"/>
      <c r="P3098" s="12" t="str">
        <f t="array" ref="P3098">IF(O3098:O7141="","",_xlfn.XLOOKUP(O3098:O7141,'参照_官位'!A:A,'参照_官位'!B:B,""))</f>
      </c>
      <c r="Q3098" s="12" t="str">
        <f t="array" ref="Q3098">IF(A3098:A7141="","",IFERROR(_xlfn.XLOOKUP(A3098:A7141,castles_state!K:K,castles_state!D:D)&amp;"主",IFERROR(_xlfn.XLOOKUP(A3098:A7141,kunishuClan!D:D,kunishuClan!B:B)&amp;"当主","")))</f>
      </c>
    </row>
    <row r="3099" ht="15.75" customHeight="1">
      <c r="A3099" s="4">
        <v>1088013</v>
      </c>
      <c r="B3099" s="12" t="str">
        <f t="array" ref="B3099">IF(A3099:A7142="","",_xlfn.XLOOKUP(A3099:A7142,'参照_武将'!A:A,'参照_武将'!B:B,"見つかりません"))</f>
      </c>
      <c r="C3099" s="4" t="s">
        <v>405</v>
      </c>
      <c r="D3099" s="4">
        <v>88</v>
      </c>
      <c r="E3099" s="12" t="str">
        <f t="array" ref="E3099">IF(D3099:D7142="","",IFERROR(_xlfn.XLOOKUP(D3099:D7142,'参照_勢力'!A:A,'参照_勢力'!B:B),IFERROR(_xlfn.XLOOKUP(F3099:F7142,kunishuClan!A:A,kunishuClan!B:B),"浪人")))</f>
      </c>
      <c r="F3099" s="4">
        <v>0</v>
      </c>
      <c r="G3099" s="4">
        <v>225</v>
      </c>
      <c r="H3099" s="12" t="str">
        <f t="array" ref="H3099">IF(G3099:G7142="","",_xlfn.XLOOKUP(G3099:G7142,castles_state!A:A,castles_state!D:D,"見つかりません"))</f>
      </c>
      <c r="I3099" s="4"/>
      <c r="J3099" s="12" t="str">
        <f t="array" ref="J3099">IF(I3099:I7142="","",_xlfn.XLOOKUP(I3099:I7142,'参照_姫'!A:A,'参照_姫'!B:B,"見つかりません"))</f>
      </c>
      <c r="K3099" s="4">
        <v>95</v>
      </c>
      <c r="L3099" s="4">
        <v>0</v>
      </c>
      <c r="M3099" s="4"/>
      <c r="N3099" s="4"/>
      <c r="O3099" s="4"/>
      <c r="P3099" s="12" t="str">
        <f t="array" ref="P3099">IF(O3099:O7142="","",_xlfn.XLOOKUP(O3099:O7142,'参照_官位'!A:A,'参照_官位'!B:B,""))</f>
      </c>
      <c r="Q3099" s="12" t="str">
        <f t="array" ref="Q3099">IF(A3099:A7142="","",IFERROR(_xlfn.XLOOKUP(A3099:A7142,castles_state!K:K,castles_state!D:D)&amp;"主",IFERROR(_xlfn.XLOOKUP(A3099:A7142,kunishuClan!D:D,kunishuClan!B:B)&amp;"当主","")))</f>
      </c>
    </row>
    <row r="3100" ht="15.75" customHeight="1">
      <c r="A3100" s="4">
        <v>1088014</v>
      </c>
      <c r="B3100" s="12" t="str">
        <f t="array" ref="B3100">IF(A3100:A7143="","",_xlfn.XLOOKUP(A3100:A7143,'参照_武将'!A:A,'参照_武将'!B:B,"見つかりません"))</f>
      </c>
      <c r="C3100" s="4" t="s">
        <v>405</v>
      </c>
      <c r="D3100" s="4">
        <v>88</v>
      </c>
      <c r="E3100" s="12" t="str">
        <f t="array" ref="E3100">IF(D3100:D7143="","",IFERROR(_xlfn.XLOOKUP(D3100:D7143,'参照_勢力'!A:A,'参照_勢力'!B:B),IFERROR(_xlfn.XLOOKUP(F3100:F7143,kunishuClan!A:A,kunishuClan!B:B),"浪人")))</f>
      </c>
      <c r="F3100" s="4">
        <v>0</v>
      </c>
      <c r="G3100" s="4">
        <v>225</v>
      </c>
      <c r="H3100" s="12" t="str">
        <f t="array" ref="H3100">IF(G3100:G7143="","",_xlfn.XLOOKUP(G3100:G7143,castles_state!A:A,castles_state!D:D,"見つかりません"))</f>
      </c>
      <c r="I3100" s="4"/>
      <c r="J3100" s="12" t="str">
        <f t="array" ref="J3100">IF(I3100:I7143="","",_xlfn.XLOOKUP(I3100:I7143,'参照_姫'!A:A,'参照_姫'!B:B,"見つかりません"))</f>
      </c>
      <c r="K3100" s="4">
        <v>95</v>
      </c>
      <c r="L3100" s="4">
        <v>0</v>
      </c>
      <c r="M3100" s="4"/>
      <c r="N3100" s="4"/>
      <c r="O3100" s="4"/>
      <c r="P3100" s="12" t="str">
        <f t="array" ref="P3100">IF(O3100:O7143="","",_xlfn.XLOOKUP(O3100:O7143,'参照_官位'!A:A,'参照_官位'!B:B,""))</f>
      </c>
      <c r="Q3100" s="12" t="str">
        <f t="array" ref="Q3100">IF(A3100:A7143="","",IFERROR(_xlfn.XLOOKUP(A3100:A7143,castles_state!K:K,castles_state!D:D)&amp;"主",IFERROR(_xlfn.XLOOKUP(A3100:A7143,kunishuClan!D:D,kunishuClan!B:B)&amp;"当主","")))</f>
      </c>
    </row>
    <row r="3101" ht="15.75" customHeight="1">
      <c r="A3101" s="4">
        <v>1088015</v>
      </c>
      <c r="B3101" s="12" t="str">
        <f t="array" ref="B3101">IF(A3101:A7144="","",_xlfn.XLOOKUP(A3101:A7144,'参照_武将'!A:A,'参照_武将'!B:B,"見つかりません"))</f>
      </c>
      <c r="C3101" s="4" t="s">
        <v>405</v>
      </c>
      <c r="D3101" s="4">
        <v>88</v>
      </c>
      <c r="E3101" s="12" t="str">
        <f t="array" ref="E3101">IF(D3101:D7144="","",IFERROR(_xlfn.XLOOKUP(D3101:D7144,'参照_勢力'!A:A,'参照_勢力'!B:B),IFERROR(_xlfn.XLOOKUP(F3101:F7144,kunishuClan!A:A,kunishuClan!B:B),"浪人")))</f>
      </c>
      <c r="F3101" s="4">
        <v>0</v>
      </c>
      <c r="G3101" s="4">
        <v>225</v>
      </c>
      <c r="H3101" s="12" t="str">
        <f t="array" ref="H3101">IF(G3101:G7144="","",_xlfn.XLOOKUP(G3101:G7144,castles_state!A:A,castles_state!D:D,"見つかりません"))</f>
      </c>
      <c r="I3101" s="4"/>
      <c r="J3101" s="12" t="str">
        <f t="array" ref="J3101">IF(I3101:I7144="","",_xlfn.XLOOKUP(I3101:I7144,'参照_姫'!A:A,'参照_姫'!B:B,"見つかりません"))</f>
      </c>
      <c r="K3101" s="4">
        <v>95</v>
      </c>
      <c r="L3101" s="4">
        <v>0</v>
      </c>
      <c r="M3101" s="4"/>
      <c r="N3101" s="4"/>
      <c r="O3101" s="4"/>
      <c r="P3101" s="12" t="str">
        <f t="array" ref="P3101">IF(O3101:O7144="","",_xlfn.XLOOKUP(O3101:O7144,'参照_官位'!A:A,'参照_官位'!B:B,""))</f>
      </c>
      <c r="Q3101" s="12" t="str">
        <f t="array" ref="Q3101">IF(A3101:A7144="","",IFERROR(_xlfn.XLOOKUP(A3101:A7144,castles_state!K:K,castles_state!D:D)&amp;"主",IFERROR(_xlfn.XLOOKUP(A3101:A7144,kunishuClan!D:D,kunishuClan!B:B)&amp;"当主","")))</f>
      </c>
    </row>
    <row r="3102" ht="15.75" customHeight="1">
      <c r="A3102" s="4">
        <v>1088016</v>
      </c>
      <c r="B3102" s="12" t="str">
        <f t="array" ref="B3102">IF(A3102:A7145="","",_xlfn.XLOOKUP(A3102:A7145,'参照_武将'!A:A,'参照_武将'!B:B,"見つかりません"))</f>
      </c>
      <c r="C3102" s="4" t="s">
        <v>405</v>
      </c>
      <c r="D3102" s="4">
        <v>88</v>
      </c>
      <c r="E3102" s="12" t="str">
        <f t="array" ref="E3102">IF(D3102:D7145="","",IFERROR(_xlfn.XLOOKUP(D3102:D7145,'参照_勢力'!A:A,'参照_勢力'!B:B),IFERROR(_xlfn.XLOOKUP(F3102:F7145,kunishuClan!A:A,kunishuClan!B:B),"浪人")))</f>
      </c>
      <c r="F3102" s="4">
        <v>0</v>
      </c>
      <c r="G3102" s="4">
        <v>224</v>
      </c>
      <c r="H3102" s="12" t="str">
        <f t="array" ref="H3102">IF(G3102:G7145="","",_xlfn.XLOOKUP(G3102:G7145,castles_state!A:A,castles_state!D:D,"見つかりません"))</f>
      </c>
      <c r="I3102" s="4"/>
      <c r="J3102" s="12" t="str">
        <f t="array" ref="J3102">IF(I3102:I7145="","",_xlfn.XLOOKUP(I3102:I7145,'参照_姫'!A:A,'参照_姫'!B:B,"見つかりません"))</f>
      </c>
      <c r="K3102" s="4">
        <v>95</v>
      </c>
      <c r="L3102" s="4">
        <v>0</v>
      </c>
      <c r="M3102" s="4"/>
      <c r="N3102" s="4"/>
      <c r="O3102" s="4"/>
      <c r="P3102" s="12" t="str">
        <f t="array" ref="P3102">IF(O3102:O7145="","",_xlfn.XLOOKUP(O3102:O7145,'参照_官位'!A:A,'参照_官位'!B:B,""))</f>
      </c>
      <c r="Q3102" s="12" t="str">
        <f t="array" ref="Q3102">IF(A3102:A7145="","",IFERROR(_xlfn.XLOOKUP(A3102:A7145,castles_state!K:K,castles_state!D:D)&amp;"主",IFERROR(_xlfn.XLOOKUP(A3102:A7145,kunishuClan!D:D,kunishuClan!B:B)&amp;"当主","")))</f>
      </c>
    </row>
    <row r="3103" ht="15.75" customHeight="1">
      <c r="A3103" s="4">
        <v>1088017</v>
      </c>
      <c r="B3103" s="12" t="str">
        <f t="array" ref="B3103">IF(A3103:A7146="","",_xlfn.XLOOKUP(A3103:A7146,'参照_武将'!A:A,'参照_武将'!B:B,"見つかりません"))</f>
      </c>
      <c r="C3103" s="4" t="s">
        <v>405</v>
      </c>
      <c r="D3103" s="4">
        <v>88</v>
      </c>
      <c r="E3103" s="12" t="str">
        <f t="array" ref="E3103">IF(D3103:D7146="","",IFERROR(_xlfn.XLOOKUP(D3103:D7146,'参照_勢力'!A:A,'参照_勢力'!B:B),IFERROR(_xlfn.XLOOKUP(F3103:F7146,kunishuClan!A:A,kunishuClan!B:B),"浪人")))</f>
      </c>
      <c r="F3103" s="4">
        <v>0</v>
      </c>
      <c r="G3103" s="4">
        <v>224</v>
      </c>
      <c r="H3103" s="12" t="str">
        <f t="array" ref="H3103">IF(G3103:G7146="","",_xlfn.XLOOKUP(G3103:G7146,castles_state!A:A,castles_state!D:D,"見つかりません"))</f>
      </c>
      <c r="I3103" s="4"/>
      <c r="J3103" s="12" t="str">
        <f t="array" ref="J3103">IF(I3103:I7146="","",_xlfn.XLOOKUP(I3103:I7146,'参照_姫'!A:A,'参照_姫'!B:B,"見つかりません"))</f>
      </c>
      <c r="K3103" s="4">
        <v>95</v>
      </c>
      <c r="L3103" s="4">
        <v>300</v>
      </c>
      <c r="M3103" s="4"/>
      <c r="N3103" s="4"/>
      <c r="O3103" s="4"/>
      <c r="P3103" s="12" t="str">
        <f t="array" ref="P3103">IF(O3103:O7146="","",_xlfn.XLOOKUP(O3103:O7146,'参照_官位'!A:A,'参照_官位'!B:B,""))</f>
      </c>
      <c r="Q3103" s="12" t="str">
        <f t="array" ref="Q3103">IF(A3103:A7146="","",IFERROR(_xlfn.XLOOKUP(A3103:A7146,castles_state!K:K,castles_state!D:D)&amp;"主",IFERROR(_xlfn.XLOOKUP(A3103:A7146,kunishuClan!D:D,kunishuClan!B:B)&amp;"当主","")))</f>
      </c>
    </row>
    <row r="3104" ht="15.75" customHeight="1">
      <c r="A3104" s="4">
        <v>1088018</v>
      </c>
      <c r="B3104" s="12" t="str">
        <f t="array" ref="B3104">IF(A3104:A7147="","",_xlfn.XLOOKUP(A3104:A7147,'参照_武将'!A:A,'参照_武将'!B:B,"見つかりません"))</f>
      </c>
      <c r="C3104" s="4" t="s">
        <v>405</v>
      </c>
      <c r="D3104" s="4">
        <v>88</v>
      </c>
      <c r="E3104" s="12" t="str">
        <f t="array" ref="E3104">IF(D3104:D7147="","",IFERROR(_xlfn.XLOOKUP(D3104:D7147,'参照_勢力'!A:A,'参照_勢力'!B:B),IFERROR(_xlfn.XLOOKUP(F3104:F7147,kunishuClan!A:A,kunishuClan!B:B),"浪人")))</f>
      </c>
      <c r="F3104" s="4">
        <v>0</v>
      </c>
      <c r="G3104" s="4">
        <v>224</v>
      </c>
      <c r="H3104" s="12" t="str">
        <f t="array" ref="H3104">IF(G3104:G7147="","",_xlfn.XLOOKUP(G3104:G7147,castles_state!A:A,castles_state!D:D,"見つかりません"))</f>
      </c>
      <c r="I3104" s="4"/>
      <c r="J3104" s="12" t="str">
        <f t="array" ref="J3104">IF(I3104:I7147="","",_xlfn.XLOOKUP(I3104:I7147,'参照_姫'!A:A,'参照_姫'!B:B,"見つかりません"))</f>
      </c>
      <c r="K3104" s="4">
        <v>95</v>
      </c>
      <c r="L3104" s="4">
        <v>0</v>
      </c>
      <c r="M3104" s="4"/>
      <c r="N3104" s="4"/>
      <c r="O3104" s="4"/>
      <c r="P3104" s="12" t="str">
        <f t="array" ref="P3104">IF(O3104:O7147="","",_xlfn.XLOOKUP(O3104:O7147,'参照_官位'!A:A,'参照_官位'!B:B,""))</f>
      </c>
      <c r="Q3104" s="12" t="str">
        <f t="array" ref="Q3104">IF(A3104:A7147="","",IFERROR(_xlfn.XLOOKUP(A3104:A7147,castles_state!K:K,castles_state!D:D)&amp;"主",IFERROR(_xlfn.XLOOKUP(A3104:A7147,kunishuClan!D:D,kunishuClan!B:B)&amp;"当主","")))</f>
      </c>
    </row>
    <row r="3105" ht="15.75" customHeight="1">
      <c r="A3105" s="4">
        <v>1088019</v>
      </c>
      <c r="B3105" s="12" t="str">
        <f t="array" ref="B3105">IF(A3105:A7148="","",_xlfn.XLOOKUP(A3105:A7148,'参照_武将'!A:A,'参照_武将'!B:B,"見つかりません"))</f>
      </c>
      <c r="C3105" s="4" t="s">
        <v>405</v>
      </c>
      <c r="D3105" s="4">
        <v>88</v>
      </c>
      <c r="E3105" s="12" t="str">
        <f t="array" ref="E3105">IF(D3105:D7148="","",IFERROR(_xlfn.XLOOKUP(D3105:D7148,'参照_勢力'!A:A,'参照_勢力'!B:B),IFERROR(_xlfn.XLOOKUP(F3105:F7148,kunishuClan!A:A,kunishuClan!B:B),"浪人")))</f>
      </c>
      <c r="F3105" s="4">
        <v>0</v>
      </c>
      <c r="G3105" s="4">
        <v>225</v>
      </c>
      <c r="H3105" s="12" t="str">
        <f t="array" ref="H3105">IF(G3105:G7148="","",_xlfn.XLOOKUP(G3105:G7148,castles_state!A:A,castles_state!D:D,"見つかりません"))</f>
      </c>
      <c r="I3105" s="4"/>
      <c r="J3105" s="12" t="str">
        <f t="array" ref="J3105">IF(I3105:I7148="","",_xlfn.XLOOKUP(I3105:I7148,'参照_姫'!A:A,'参照_姫'!B:B,"見つかりません"))</f>
      </c>
      <c r="K3105" s="4">
        <v>95</v>
      </c>
      <c r="L3105" s="4">
        <v>300</v>
      </c>
      <c r="M3105" s="4"/>
      <c r="N3105" s="4"/>
      <c r="O3105" s="4"/>
      <c r="P3105" s="12" t="str">
        <f t="array" ref="P3105">IF(O3105:O7148="","",_xlfn.XLOOKUP(O3105:O7148,'参照_官位'!A:A,'参照_官位'!B:B,""))</f>
      </c>
      <c r="Q3105" s="12" t="str">
        <f t="array" ref="Q3105">IF(A3105:A7148="","",IFERROR(_xlfn.XLOOKUP(A3105:A7148,castles_state!K:K,castles_state!D:D)&amp;"主",IFERROR(_xlfn.XLOOKUP(A3105:A7148,kunishuClan!D:D,kunishuClan!B:B)&amp;"当主","")))</f>
      </c>
    </row>
    <row r="3106" ht="15.75" customHeight="1">
      <c r="A3106" s="4">
        <v>1088020</v>
      </c>
      <c r="B3106" s="12" t="str">
        <f t="array" ref="B3106">IF(A3106:A7149="","",_xlfn.XLOOKUP(A3106:A7149,'参照_武将'!A:A,'参照_武将'!B:B,"見つかりません"))</f>
      </c>
      <c r="C3106" s="4" t="s">
        <v>405</v>
      </c>
      <c r="D3106" s="4">
        <v>88</v>
      </c>
      <c r="E3106" s="12" t="str">
        <f t="array" ref="E3106">IF(D3106:D7149="","",IFERROR(_xlfn.XLOOKUP(D3106:D7149,'参照_勢力'!A:A,'参照_勢力'!B:B),IFERROR(_xlfn.XLOOKUP(F3106:F7149,kunishuClan!A:A,kunishuClan!B:B),"浪人")))</f>
      </c>
      <c r="F3106" s="4">
        <v>0</v>
      </c>
      <c r="G3106" s="4">
        <v>225</v>
      </c>
      <c r="H3106" s="12" t="str">
        <f t="array" ref="H3106">IF(G3106:G7149="","",_xlfn.XLOOKUP(G3106:G7149,castles_state!A:A,castles_state!D:D,"見つかりません"))</f>
      </c>
      <c r="I3106" s="4"/>
      <c r="J3106" s="12" t="str">
        <f t="array" ref="J3106">IF(I3106:I7149="","",_xlfn.XLOOKUP(I3106:I7149,'参照_姫'!A:A,'参照_姫'!B:B,"見つかりません"))</f>
      </c>
      <c r="K3106" s="4">
        <v>95</v>
      </c>
      <c r="L3106" s="4">
        <v>0</v>
      </c>
      <c r="M3106" s="4"/>
      <c r="N3106" s="4"/>
      <c r="O3106" s="4"/>
      <c r="P3106" s="12" t="str">
        <f t="array" ref="P3106">IF(O3106:O7149="","",_xlfn.XLOOKUP(O3106:O7149,'参照_官位'!A:A,'参照_官位'!B:B,""))</f>
      </c>
      <c r="Q3106" s="12" t="str">
        <f t="array" ref="Q3106">IF(A3106:A7149="","",IFERROR(_xlfn.XLOOKUP(A3106:A7149,castles_state!K:K,castles_state!D:D)&amp;"主",IFERROR(_xlfn.XLOOKUP(A3106:A7149,kunishuClan!D:D,kunishuClan!B:B)&amp;"当主","")))</f>
      </c>
    </row>
    <row r="3107" ht="15.75" customHeight="1">
      <c r="A3107" s="4">
        <v>1088021</v>
      </c>
      <c r="B3107" s="12" t="str">
        <f t="array" ref="B3107">IF(A3107:A7150="","",_xlfn.XLOOKUP(A3107:A7150,'参照_武将'!A:A,'参照_武将'!B:B,"見つかりません"))</f>
      </c>
      <c r="C3107" s="4" t="s">
        <v>405</v>
      </c>
      <c r="D3107" s="4">
        <v>88</v>
      </c>
      <c r="E3107" s="12" t="str">
        <f t="array" ref="E3107">IF(D3107:D7150="","",IFERROR(_xlfn.XLOOKUP(D3107:D7150,'参照_勢力'!A:A,'参照_勢力'!B:B),IFERROR(_xlfn.XLOOKUP(F3107:F7150,kunishuClan!A:A,kunishuClan!B:B),"浪人")))</f>
      </c>
      <c r="F3107" s="4">
        <v>0</v>
      </c>
      <c r="G3107" s="4">
        <v>225</v>
      </c>
      <c r="H3107" s="12" t="str">
        <f t="array" ref="H3107">IF(G3107:G7150="","",_xlfn.XLOOKUP(G3107:G7150,castles_state!A:A,castles_state!D:D,"見つかりません"))</f>
      </c>
      <c r="I3107" s="4"/>
      <c r="J3107" s="12" t="str">
        <f t="array" ref="J3107">IF(I3107:I7150="","",_xlfn.XLOOKUP(I3107:I7150,'参照_姫'!A:A,'参照_姫'!B:B,"見つかりません"))</f>
      </c>
      <c r="K3107" s="4">
        <v>95</v>
      </c>
      <c r="L3107" s="4">
        <v>0</v>
      </c>
      <c r="M3107" s="4"/>
      <c r="N3107" s="4"/>
      <c r="O3107" s="4"/>
      <c r="P3107" s="12" t="str">
        <f t="array" ref="P3107">IF(O3107:O7150="","",_xlfn.XLOOKUP(O3107:O7150,'参照_官位'!A:A,'参照_官位'!B:B,""))</f>
      </c>
      <c r="Q3107" s="12" t="str">
        <f t="array" ref="Q3107">IF(A3107:A7150="","",IFERROR(_xlfn.XLOOKUP(A3107:A7150,castles_state!K:K,castles_state!D:D)&amp;"主",IFERROR(_xlfn.XLOOKUP(A3107:A7150,kunishuClan!D:D,kunishuClan!B:B)&amp;"当主","")))</f>
      </c>
    </row>
    <row r="3108" ht="15.75" customHeight="1">
      <c r="A3108" s="4">
        <v>1089001</v>
      </c>
      <c r="B3108" s="12" t="str">
        <f t="array" ref="B3108">IF(A3108:A7149="","",_xlfn.XLOOKUP(A3108:A7149,'参照_武将'!A:A,'参照_武将'!B:B,"見つかりません"))</f>
      </c>
      <c r="C3108" s="4" t="s">
        <v>409</v>
      </c>
      <c r="D3108" s="4">
        <v>89</v>
      </c>
      <c r="E3108" s="12" t="str">
        <f t="array" ref="E3108">IF(D3108:D7149="","",IFERROR(_xlfn.XLOOKUP(D3108:D7149,'参照_勢力'!A:A,'参照_勢力'!B:B),IFERROR(_xlfn.XLOOKUP(F3108:F7149,kunishuClan!A:A,kunishuClan!B:B),"浪人")))</f>
      </c>
      <c r="F3108" s="4">
        <v>0</v>
      </c>
      <c r="G3108" s="4">
        <v>226</v>
      </c>
      <c r="H3108" s="12" t="str">
        <f t="array" ref="H3108">IF(G3108:G7149="","",_xlfn.XLOOKUP(G3108:G7149,castles_state!A:A,castles_state!D:D,"見つかりません"))</f>
      </c>
      <c r="I3108" s="4"/>
      <c r="J3108" s="12" t="str">
        <f t="array" ref="J3108">IF(I3108:I7149="","",_xlfn.XLOOKUP(I3108:I7149,'参照_姫'!A:A,'参照_姫'!B:B,"見つかりません"))</f>
      </c>
      <c r="K3108" s="4">
        <v>95</v>
      </c>
      <c r="L3108" s="4">
        <v>0</v>
      </c>
      <c r="M3108" s="4"/>
      <c r="N3108" s="4"/>
      <c r="O3108" s="4"/>
      <c r="P3108" s="12" t="str">
        <f t="array" ref="P3108">IF(O3108:O7149="","",_xlfn.XLOOKUP(O3108:O7149,'参照_官位'!A:A,'参照_官位'!B:B,""))</f>
      </c>
      <c r="Q3108" s="12" t="str">
        <f t="array" ref="Q3108">IF(A3108:A7149="","",IFERROR(_xlfn.XLOOKUP(A3108:A7149,castles_state!K:K,castles_state!D:D)&amp;"主",IFERROR(_xlfn.XLOOKUP(A3108:A7149,kunishuClan!D:D,kunishuClan!B:B)&amp;"当主","")))</f>
      </c>
    </row>
    <row r="3109" ht="15.75" customHeight="1">
      <c r="A3109" s="4">
        <v>1089002</v>
      </c>
      <c r="B3109" s="12" t="str">
        <f t="array" ref="B3109">IF(A3109:A7150="","",_xlfn.XLOOKUP(A3109:A7150,'参照_武将'!A:A,'参照_武将'!B:B,"見つかりません"))</f>
      </c>
      <c r="C3109" s="4" t="s">
        <v>409</v>
      </c>
      <c r="D3109" s="4">
        <v>89</v>
      </c>
      <c r="E3109" s="12" t="str">
        <f t="array" ref="E3109">IF(D3109:D7150="","",IFERROR(_xlfn.XLOOKUP(D3109:D7150,'参照_勢力'!A:A,'参照_勢力'!B:B),IFERROR(_xlfn.XLOOKUP(F3109:F7150,kunishuClan!A:A,kunishuClan!B:B),"浪人")))</f>
      </c>
      <c r="F3109" s="4">
        <v>0</v>
      </c>
      <c r="G3109" s="4">
        <v>226</v>
      </c>
      <c r="H3109" s="12" t="str">
        <f t="array" ref="H3109">IF(G3109:G7150="","",_xlfn.XLOOKUP(G3109:G7150,castles_state!A:A,castles_state!D:D,"見つかりません"))</f>
      </c>
      <c r="I3109" s="4"/>
      <c r="J3109" s="12" t="str">
        <f t="array" ref="J3109">IF(I3109:I7150="","",_xlfn.XLOOKUP(I3109:I7150,'参照_姫'!A:A,'参照_姫'!B:B,"見つかりません"))</f>
      </c>
      <c r="K3109" s="4">
        <v>95</v>
      </c>
      <c r="L3109" s="4">
        <v>0</v>
      </c>
      <c r="M3109" s="4"/>
      <c r="N3109" s="4"/>
      <c r="O3109" s="4"/>
      <c r="P3109" s="12" t="str">
        <f t="array" ref="P3109">IF(O3109:O7150="","",_xlfn.XLOOKUP(O3109:O7150,'参照_官位'!A:A,'参照_官位'!B:B,""))</f>
      </c>
      <c r="Q3109" s="12" t="str">
        <f t="array" ref="Q3109">IF(A3109:A7150="","",IFERROR(_xlfn.XLOOKUP(A3109:A7150,castles_state!K:K,castles_state!D:D)&amp;"主",IFERROR(_xlfn.XLOOKUP(A3109:A7150,kunishuClan!D:D,kunishuClan!B:B)&amp;"当主","")))</f>
      </c>
    </row>
    <row r="3110" ht="15.75" customHeight="1">
      <c r="A3110" s="4">
        <v>1089003</v>
      </c>
      <c r="B3110" s="12" t="str">
        <f t="array" ref="B3110">IF(A3110:A7151="","",_xlfn.XLOOKUP(A3110:A7151,'参照_武将'!A:A,'参照_武将'!B:B,"見つかりません"))</f>
      </c>
      <c r="C3110" s="4" t="s">
        <v>409</v>
      </c>
      <c r="D3110" s="4">
        <v>89</v>
      </c>
      <c r="E3110" s="12" t="str">
        <f t="array" ref="E3110">IF(D3110:D7151="","",IFERROR(_xlfn.XLOOKUP(D3110:D7151,'参照_勢力'!A:A,'参照_勢力'!B:B),IFERROR(_xlfn.XLOOKUP(F3110:F7151,kunishuClan!A:A,kunishuClan!B:B),"浪人")))</f>
      </c>
      <c r="F3110" s="4">
        <v>0</v>
      </c>
      <c r="G3110" s="4">
        <v>226</v>
      </c>
      <c r="H3110" s="12" t="str">
        <f t="array" ref="H3110">IF(G3110:G7151="","",_xlfn.XLOOKUP(G3110:G7151,castles_state!A:A,castles_state!D:D,"見つかりません"))</f>
      </c>
      <c r="I3110" s="4"/>
      <c r="J3110" s="12" t="str">
        <f t="array" ref="J3110">IF(I3110:I7151="","",_xlfn.XLOOKUP(I3110:I7151,'参照_姫'!A:A,'参照_姫'!B:B,"見つかりません"))</f>
      </c>
      <c r="K3110" s="4">
        <v>95</v>
      </c>
      <c r="L3110" s="4">
        <v>0</v>
      </c>
      <c r="M3110" s="4"/>
      <c r="N3110" s="4"/>
      <c r="O3110" s="4"/>
      <c r="P3110" s="12" t="str">
        <f t="array" ref="P3110">IF(O3110:O7151="","",_xlfn.XLOOKUP(O3110:O7151,'参照_官位'!A:A,'参照_官位'!B:B,""))</f>
      </c>
      <c r="Q3110" s="12" t="str">
        <f t="array" ref="Q3110">IF(A3110:A7151="","",IFERROR(_xlfn.XLOOKUP(A3110:A7151,castles_state!K:K,castles_state!D:D)&amp;"主",IFERROR(_xlfn.XLOOKUP(A3110:A7151,kunishuClan!D:D,kunishuClan!B:B)&amp;"当主","")))</f>
      </c>
    </row>
    <row r="3111" ht="15.75" customHeight="1">
      <c r="A3111" s="4">
        <v>1089004</v>
      </c>
      <c r="B3111" s="12" t="str">
        <f t="array" ref="B3111">IF(A3111:A7152="","",_xlfn.XLOOKUP(A3111:A7152,'参照_武将'!A:A,'参照_武将'!B:B,"見つかりません"))</f>
      </c>
      <c r="C3111" s="4" t="s">
        <v>409</v>
      </c>
      <c r="D3111" s="4">
        <v>89</v>
      </c>
      <c r="E3111" s="12" t="str">
        <f t="array" ref="E3111">IF(D3111:D7152="","",IFERROR(_xlfn.XLOOKUP(D3111:D7152,'参照_勢力'!A:A,'参照_勢力'!B:B),IFERROR(_xlfn.XLOOKUP(F3111:F7152,kunishuClan!A:A,kunishuClan!B:B),"浪人")))</f>
      </c>
      <c r="F3111" s="4">
        <v>0</v>
      </c>
      <c r="G3111" s="4">
        <v>226</v>
      </c>
      <c r="H3111" s="12" t="str">
        <f t="array" ref="H3111">IF(G3111:G7152="","",_xlfn.XLOOKUP(G3111:G7152,castles_state!A:A,castles_state!D:D,"見つかりません"))</f>
      </c>
      <c r="I3111" s="4"/>
      <c r="J3111" s="12" t="str">
        <f t="array" ref="J3111">IF(I3111:I7152="","",_xlfn.XLOOKUP(I3111:I7152,'参照_姫'!A:A,'参照_姫'!B:B,"見つかりません"))</f>
      </c>
      <c r="K3111" s="4">
        <v>95</v>
      </c>
      <c r="L3111" s="4">
        <v>0</v>
      </c>
      <c r="M3111" s="4"/>
      <c r="N3111" s="4"/>
      <c r="O3111" s="4"/>
      <c r="P3111" s="12" t="str">
        <f t="array" ref="P3111">IF(O3111:O7152="","",_xlfn.XLOOKUP(O3111:O7152,'参照_官位'!A:A,'参照_官位'!B:B,""))</f>
      </c>
      <c r="Q3111" s="12" t="str">
        <f t="array" ref="Q3111">IF(A3111:A7152="","",IFERROR(_xlfn.XLOOKUP(A3111:A7152,castles_state!K:K,castles_state!D:D)&amp;"主",IFERROR(_xlfn.XLOOKUP(A3111:A7152,kunishuClan!D:D,kunishuClan!B:B)&amp;"当主","")))</f>
      </c>
    </row>
    <row r="3112" ht="15.75" customHeight="1">
      <c r="A3112" s="4">
        <v>1089005</v>
      </c>
      <c r="B3112" s="12" t="str">
        <f t="array" ref="B3112">IF(A3112:A7153="","",_xlfn.XLOOKUP(A3112:A7153,'参照_武将'!A:A,'参照_武将'!B:B,"見つかりません"))</f>
      </c>
      <c r="C3112" s="4" t="s">
        <v>409</v>
      </c>
      <c r="D3112" s="4">
        <v>89</v>
      </c>
      <c r="E3112" s="12" t="str">
        <f t="array" ref="E3112">IF(D3112:D7153="","",IFERROR(_xlfn.XLOOKUP(D3112:D7153,'参照_勢力'!A:A,'参照_勢力'!B:B),IFERROR(_xlfn.XLOOKUP(F3112:F7153,kunishuClan!A:A,kunishuClan!B:B),"浪人")))</f>
      </c>
      <c r="F3112" s="4">
        <v>0</v>
      </c>
      <c r="G3112" s="4">
        <v>226</v>
      </c>
      <c r="H3112" s="12" t="str">
        <f t="array" ref="H3112">IF(G3112:G7153="","",_xlfn.XLOOKUP(G3112:G7153,castles_state!A:A,castles_state!D:D,"見つかりません"))</f>
      </c>
      <c r="I3112" s="4"/>
      <c r="J3112" s="12" t="str">
        <f t="array" ref="J3112">IF(I3112:I7153="","",_xlfn.XLOOKUP(I3112:I7153,'参照_姫'!A:A,'参照_姫'!B:B,"見つかりません"))</f>
      </c>
      <c r="K3112" s="4">
        <v>95</v>
      </c>
      <c r="L3112" s="4">
        <v>0</v>
      </c>
      <c r="M3112" s="4"/>
      <c r="N3112" s="4"/>
      <c r="O3112" s="4"/>
      <c r="P3112" s="12" t="str">
        <f t="array" ref="P3112">IF(O3112:O7153="","",_xlfn.XLOOKUP(O3112:O7153,'参照_官位'!A:A,'参照_官位'!B:B,""))</f>
      </c>
      <c r="Q3112" s="12" t="str">
        <f t="array" ref="Q3112">IF(A3112:A7153="","",IFERROR(_xlfn.XLOOKUP(A3112:A7153,castles_state!K:K,castles_state!D:D)&amp;"主",IFERROR(_xlfn.XLOOKUP(A3112:A7153,kunishuClan!D:D,kunishuClan!B:B)&amp;"当主","")))</f>
      </c>
    </row>
    <row r="3113" ht="15.75" customHeight="1">
      <c r="A3113" s="4">
        <v>1089006</v>
      </c>
      <c r="B3113" s="12" t="str">
        <f t="array" ref="B3113">IF(A3113:A7154="","",_xlfn.XLOOKUP(A3113:A7154,'参照_武将'!A:A,'参照_武将'!B:B,"見つかりません"))</f>
      </c>
      <c r="C3113" s="4" t="s">
        <v>409</v>
      </c>
      <c r="D3113" s="4">
        <v>89</v>
      </c>
      <c r="E3113" s="12" t="str">
        <f t="array" ref="E3113">IF(D3113:D7154="","",IFERROR(_xlfn.XLOOKUP(D3113:D7154,'参照_勢力'!A:A,'参照_勢力'!B:B),IFERROR(_xlfn.XLOOKUP(F3113:F7154,kunishuClan!A:A,kunishuClan!B:B),"浪人")))</f>
      </c>
      <c r="F3113" s="4">
        <v>0</v>
      </c>
      <c r="G3113" s="4">
        <v>226</v>
      </c>
      <c r="H3113" s="12" t="str">
        <f t="array" ref="H3113">IF(G3113:G7154="","",_xlfn.XLOOKUP(G3113:G7154,castles_state!A:A,castles_state!D:D,"見つかりません"))</f>
      </c>
      <c r="I3113" s="4"/>
      <c r="J3113" s="12" t="str">
        <f t="array" ref="J3113">IF(I3113:I7154="","",_xlfn.XLOOKUP(I3113:I7154,'参照_姫'!A:A,'参照_姫'!B:B,"見つかりません"))</f>
      </c>
      <c r="K3113" s="4">
        <v>95</v>
      </c>
      <c r="L3113" s="4">
        <v>0</v>
      </c>
      <c r="M3113" s="4"/>
      <c r="N3113" s="4"/>
      <c r="O3113" s="4"/>
      <c r="P3113" s="12" t="str">
        <f t="array" ref="P3113">IF(O3113:O7154="","",_xlfn.XLOOKUP(O3113:O7154,'参照_官位'!A:A,'参照_官位'!B:B,""))</f>
      </c>
      <c r="Q3113" s="12" t="str">
        <f t="array" ref="Q3113">IF(A3113:A7154="","",IFERROR(_xlfn.XLOOKUP(A3113:A7154,castles_state!K:K,castles_state!D:D)&amp;"主",IFERROR(_xlfn.XLOOKUP(A3113:A7154,kunishuClan!D:D,kunishuClan!B:B)&amp;"当主","")))</f>
      </c>
    </row>
    <row r="3114" ht="15.75" customHeight="1">
      <c r="A3114" s="4">
        <v>1089007</v>
      </c>
      <c r="B3114" s="12" t="str">
        <f t="array" ref="B3114">IF(A3114:A7155="","",_xlfn.XLOOKUP(A3114:A7155,'参照_武将'!A:A,'参照_武将'!B:B,"見つかりません"))</f>
      </c>
      <c r="C3114" s="4" t="s">
        <v>409</v>
      </c>
      <c r="D3114" s="4">
        <v>89</v>
      </c>
      <c r="E3114" s="12" t="str">
        <f t="array" ref="E3114">IF(D3114:D7155="","",IFERROR(_xlfn.XLOOKUP(D3114:D7155,'参照_勢力'!A:A,'参照_勢力'!B:B),IFERROR(_xlfn.XLOOKUP(F3114:F7155,kunishuClan!A:A,kunishuClan!B:B),"浪人")))</f>
      </c>
      <c r="F3114" s="4">
        <v>0</v>
      </c>
      <c r="G3114" s="4">
        <v>226</v>
      </c>
      <c r="H3114" s="12" t="str">
        <f t="array" ref="H3114">IF(G3114:G7155="","",_xlfn.XLOOKUP(G3114:G7155,castles_state!A:A,castles_state!D:D,"見つかりません"))</f>
      </c>
      <c r="I3114" s="4"/>
      <c r="J3114" s="12" t="str">
        <f t="array" ref="J3114">IF(I3114:I7155="","",_xlfn.XLOOKUP(I3114:I7155,'参照_姫'!A:A,'参照_姫'!B:B,"見つかりません"))</f>
      </c>
      <c r="K3114" s="4">
        <v>95</v>
      </c>
      <c r="L3114" s="4">
        <v>0</v>
      </c>
      <c r="M3114" s="4"/>
      <c r="N3114" s="4"/>
      <c r="O3114" s="4"/>
      <c r="P3114" s="12" t="str">
        <f t="array" ref="P3114">IF(O3114:O7155="","",_xlfn.XLOOKUP(O3114:O7155,'参照_官位'!A:A,'参照_官位'!B:B,""))</f>
      </c>
      <c r="Q3114" s="12" t="str">
        <f t="array" ref="Q3114">IF(A3114:A7155="","",IFERROR(_xlfn.XLOOKUP(A3114:A7155,castles_state!K:K,castles_state!D:D)&amp;"主",IFERROR(_xlfn.XLOOKUP(A3114:A7155,kunishuClan!D:D,kunishuClan!B:B)&amp;"当主","")))</f>
      </c>
    </row>
    <row r="3115" ht="15.75" customHeight="1">
      <c r="A3115" s="4">
        <v>1089008</v>
      </c>
      <c r="B3115" s="12" t="str">
        <f t="array" ref="B3115">IF(A3115:A7156="","",_xlfn.XLOOKUP(A3115:A7156,'参照_武将'!A:A,'参照_武将'!B:B,"見つかりません"))</f>
      </c>
      <c r="C3115" s="4" t="s">
        <v>409</v>
      </c>
      <c r="D3115" s="4">
        <v>89</v>
      </c>
      <c r="E3115" s="12" t="str">
        <f t="array" ref="E3115">IF(D3115:D7156="","",IFERROR(_xlfn.XLOOKUP(D3115:D7156,'参照_勢力'!A:A,'参照_勢力'!B:B),IFERROR(_xlfn.XLOOKUP(F3115:F7156,kunishuClan!A:A,kunishuClan!B:B),"浪人")))</f>
      </c>
      <c r="F3115" s="4">
        <v>0</v>
      </c>
      <c r="G3115" s="4">
        <v>226</v>
      </c>
      <c r="H3115" s="12" t="str">
        <f t="array" ref="H3115">IF(G3115:G7156="","",_xlfn.XLOOKUP(G3115:G7156,castles_state!A:A,castles_state!D:D,"見つかりません"))</f>
      </c>
      <c r="I3115" s="4"/>
      <c r="J3115" s="12" t="str">
        <f t="array" ref="J3115">IF(I3115:I7156="","",_xlfn.XLOOKUP(I3115:I7156,'参照_姫'!A:A,'参照_姫'!B:B,"見つかりません"))</f>
      </c>
      <c r="K3115" s="4">
        <v>95</v>
      </c>
      <c r="L3115" s="4">
        <v>0</v>
      </c>
      <c r="M3115" s="4"/>
      <c r="N3115" s="4"/>
      <c r="O3115" s="4"/>
      <c r="P3115" s="12" t="str">
        <f t="array" ref="P3115">IF(O3115:O7156="","",_xlfn.XLOOKUP(O3115:O7156,'参照_官位'!A:A,'参照_官位'!B:B,""))</f>
      </c>
      <c r="Q3115" s="12" t="str">
        <f t="array" ref="Q3115">IF(A3115:A7156="","",IFERROR(_xlfn.XLOOKUP(A3115:A7156,castles_state!K:K,castles_state!D:D)&amp;"主",IFERROR(_xlfn.XLOOKUP(A3115:A7156,kunishuClan!D:D,kunishuClan!B:B)&amp;"当主","")))</f>
      </c>
    </row>
    <row r="3116" ht="15.75" customHeight="1">
      <c r="A3116" s="4">
        <v>1089009</v>
      </c>
      <c r="B3116" s="12" t="str">
        <f t="array" ref="B3116">IF(A3116:A7157="","",_xlfn.XLOOKUP(A3116:A7157,'参照_武将'!A:A,'参照_武将'!B:B,"見つかりません"))</f>
      </c>
      <c r="C3116" s="4" t="s">
        <v>409</v>
      </c>
      <c r="D3116" s="4">
        <v>89</v>
      </c>
      <c r="E3116" s="12" t="str">
        <f t="array" ref="E3116">IF(D3116:D7157="","",IFERROR(_xlfn.XLOOKUP(D3116:D7157,'参照_勢力'!A:A,'参照_勢力'!B:B),IFERROR(_xlfn.XLOOKUP(F3116:F7157,kunishuClan!A:A,kunishuClan!B:B),"浪人")))</f>
      </c>
      <c r="F3116" s="4">
        <v>0</v>
      </c>
      <c r="G3116" s="4">
        <v>226</v>
      </c>
      <c r="H3116" s="12" t="str">
        <f t="array" ref="H3116">IF(G3116:G7157="","",_xlfn.XLOOKUP(G3116:G7157,castles_state!A:A,castles_state!D:D,"見つかりません"))</f>
      </c>
      <c r="I3116" s="4"/>
      <c r="J3116" s="12" t="str">
        <f t="array" ref="J3116">IF(I3116:I7157="","",_xlfn.XLOOKUP(I3116:I7157,'参照_姫'!A:A,'参照_姫'!B:B,"見つかりません"))</f>
      </c>
      <c r="K3116" s="4">
        <v>95</v>
      </c>
      <c r="L3116" s="4">
        <v>0</v>
      </c>
      <c r="M3116" s="4"/>
      <c r="N3116" s="4"/>
      <c r="O3116" s="4"/>
      <c r="P3116" s="12" t="str">
        <f t="array" ref="P3116">IF(O3116:O7157="","",_xlfn.XLOOKUP(O3116:O7157,'参照_官位'!A:A,'参照_官位'!B:B,""))</f>
      </c>
      <c r="Q3116" s="12" t="str">
        <f t="array" ref="Q3116">IF(A3116:A7157="","",IFERROR(_xlfn.XLOOKUP(A3116:A7157,castles_state!K:K,castles_state!D:D)&amp;"主",IFERROR(_xlfn.XLOOKUP(A3116:A7157,kunishuClan!D:D,kunishuClan!B:B)&amp;"当主","")))</f>
      </c>
    </row>
    <row r="3117" ht="15.75" customHeight="1">
      <c r="A3117" s="4">
        <v>1089010</v>
      </c>
      <c r="B3117" s="12" t="str">
        <f t="array" ref="B3117">IF(A3117:A7158="","",_xlfn.XLOOKUP(A3117:A7158,'参照_武将'!A:A,'参照_武将'!B:B,"見つかりません"))</f>
      </c>
      <c r="C3117" s="4" t="s">
        <v>409</v>
      </c>
      <c r="D3117" s="4">
        <v>89</v>
      </c>
      <c r="E3117" s="12" t="str">
        <f t="array" ref="E3117">IF(D3117:D7158="","",IFERROR(_xlfn.XLOOKUP(D3117:D7158,'参照_勢力'!A:A,'参照_勢力'!B:B),IFERROR(_xlfn.XLOOKUP(F3117:F7158,kunishuClan!A:A,kunishuClan!B:B),"浪人")))</f>
      </c>
      <c r="F3117" s="4">
        <v>0</v>
      </c>
      <c r="G3117" s="4">
        <v>226</v>
      </c>
      <c r="H3117" s="12" t="str">
        <f t="array" ref="H3117">IF(G3117:G7158="","",_xlfn.XLOOKUP(G3117:G7158,castles_state!A:A,castles_state!D:D,"見つかりません"))</f>
      </c>
      <c r="I3117" s="4"/>
      <c r="J3117" s="12" t="str">
        <f t="array" ref="J3117">IF(I3117:I7158="","",_xlfn.XLOOKUP(I3117:I7158,'参照_姫'!A:A,'参照_姫'!B:B,"見つかりません"))</f>
      </c>
      <c r="K3117" s="4">
        <v>95</v>
      </c>
      <c r="L3117" s="4">
        <v>0</v>
      </c>
      <c r="M3117" s="4"/>
      <c r="N3117" s="4"/>
      <c r="O3117" s="4"/>
      <c r="P3117" s="12" t="str">
        <f t="array" ref="P3117">IF(O3117:O7158="","",_xlfn.XLOOKUP(O3117:O7158,'参照_官位'!A:A,'参照_官位'!B:B,""))</f>
      </c>
      <c r="Q3117" s="12" t="str">
        <f t="array" ref="Q3117">IF(A3117:A7158="","",IFERROR(_xlfn.XLOOKUP(A3117:A7158,castles_state!K:K,castles_state!D:D)&amp;"主",IFERROR(_xlfn.XLOOKUP(A3117:A7158,kunishuClan!D:D,kunishuClan!B:B)&amp;"当主","")))</f>
      </c>
    </row>
    <row r="3118" ht="15.75" customHeight="1">
      <c r="A3118" s="4">
        <v>1089011</v>
      </c>
      <c r="B3118" s="12" t="str">
        <f t="array" ref="B3118">IF(A3118:A7159="","",_xlfn.XLOOKUP(A3118:A7159,'参照_武将'!A:A,'参照_武将'!B:B,"見つかりません"))</f>
      </c>
      <c r="C3118" s="4" t="s">
        <v>409</v>
      </c>
      <c r="D3118" s="4">
        <v>89</v>
      </c>
      <c r="E3118" s="12" t="str">
        <f t="array" ref="E3118">IF(D3118:D7159="","",IFERROR(_xlfn.XLOOKUP(D3118:D7159,'参照_勢力'!A:A,'参照_勢力'!B:B),IFERROR(_xlfn.XLOOKUP(F3118:F7159,kunishuClan!A:A,kunishuClan!B:B),"浪人")))</f>
      </c>
      <c r="F3118" s="4">
        <v>0</v>
      </c>
      <c r="G3118" s="4">
        <v>226</v>
      </c>
      <c r="H3118" s="12" t="str">
        <f t="array" ref="H3118">IF(G3118:G7159="","",_xlfn.XLOOKUP(G3118:G7159,castles_state!A:A,castles_state!D:D,"見つかりません"))</f>
      </c>
      <c r="I3118" s="4"/>
      <c r="J3118" s="12" t="str">
        <f t="array" ref="J3118">IF(I3118:I7159="","",_xlfn.XLOOKUP(I3118:I7159,'参照_姫'!A:A,'参照_姫'!B:B,"見つかりません"))</f>
      </c>
      <c r="K3118" s="4">
        <v>100</v>
      </c>
      <c r="L3118" s="4">
        <v>1500</v>
      </c>
      <c r="M3118" s="4"/>
      <c r="N3118" s="4"/>
      <c r="O3118" s="4"/>
      <c r="P3118" s="12" t="str">
        <f t="array" ref="P3118">IF(O3118:O7159="","",_xlfn.XLOOKUP(O3118:O7159,'参照_官位'!A:A,'参照_官位'!B:B,""))</f>
      </c>
      <c r="Q3118" s="12" t="str">
        <f t="array" ref="Q3118">IF(A3118:A7159="","",IFERROR(_xlfn.XLOOKUP(A3118:A7159,castles_state!K:K,castles_state!D:D)&amp;"主",IFERROR(_xlfn.XLOOKUP(A3118:A7159,kunishuClan!D:D,kunishuClan!B:B)&amp;"当主","")))</f>
      </c>
    </row>
    <row r="3119" ht="15.75" customHeight="1">
      <c r="A3119" s="4">
        <v>1089012</v>
      </c>
      <c r="B3119" s="12" t="str">
        <f t="array" ref="B3119">IF(A3119:A7160="","",_xlfn.XLOOKUP(A3119:A7160,'参照_武将'!A:A,'参照_武将'!B:B,"見つかりません"))</f>
      </c>
      <c r="C3119" s="4" t="s">
        <v>409</v>
      </c>
      <c r="D3119" s="4">
        <v>89</v>
      </c>
      <c r="E3119" s="12" t="str">
        <f t="array" ref="E3119">IF(D3119:D7160="","",IFERROR(_xlfn.XLOOKUP(D3119:D7160,'参照_勢力'!A:A,'参照_勢力'!B:B),IFERROR(_xlfn.XLOOKUP(F3119:F7160,kunishuClan!A:A,kunishuClan!B:B),"浪人")))</f>
      </c>
      <c r="F3119" s="4">
        <v>0</v>
      </c>
      <c r="G3119" s="4">
        <v>226</v>
      </c>
      <c r="H3119" s="12" t="str">
        <f t="array" ref="H3119">IF(G3119:G7160="","",_xlfn.XLOOKUP(G3119:G7160,castles_state!A:A,castles_state!D:D,"見つかりません"))</f>
      </c>
      <c r="I3119" s="4"/>
      <c r="J3119" s="12" t="str">
        <f t="array" ref="J3119">IF(I3119:I7160="","",_xlfn.XLOOKUP(I3119:I7160,'参照_姫'!A:A,'参照_姫'!B:B,"見つかりません"))</f>
      </c>
      <c r="K3119" s="4">
        <v>95</v>
      </c>
      <c r="L3119" s="4">
        <v>700</v>
      </c>
      <c r="M3119" s="4"/>
      <c r="N3119" s="4"/>
      <c r="O3119" s="4"/>
      <c r="P3119" s="12" t="str">
        <f t="array" ref="P3119">IF(O3119:O7160="","",_xlfn.XLOOKUP(O3119:O7160,'参照_官位'!A:A,'参照_官位'!B:B,""))</f>
      </c>
      <c r="Q3119" s="12" t="str">
        <f t="array" ref="Q3119">IF(A3119:A7160="","",IFERROR(_xlfn.XLOOKUP(A3119:A7160,castles_state!K:K,castles_state!D:D)&amp;"主",IFERROR(_xlfn.XLOOKUP(A3119:A7160,kunishuClan!D:D,kunishuClan!B:B)&amp;"当主","")))</f>
      </c>
    </row>
    <row r="3120" ht="15.75" customHeight="1">
      <c r="A3120" s="4">
        <v>1089013</v>
      </c>
      <c r="B3120" s="12" t="str">
        <f t="array" ref="B3120">IF(A3120:A7161="","",_xlfn.XLOOKUP(A3120:A7161,'参照_武将'!A:A,'参照_武将'!B:B,"見つかりません"))</f>
      </c>
      <c r="C3120" s="4" t="s">
        <v>409</v>
      </c>
      <c r="D3120" s="4">
        <v>89</v>
      </c>
      <c r="E3120" s="12" t="str">
        <f t="array" ref="E3120">IF(D3120:D7161="","",IFERROR(_xlfn.XLOOKUP(D3120:D7161,'参照_勢力'!A:A,'参照_勢力'!B:B),IFERROR(_xlfn.XLOOKUP(F3120:F7161,kunishuClan!A:A,kunishuClan!B:B),"浪人")))</f>
      </c>
      <c r="F3120" s="4">
        <v>0</v>
      </c>
      <c r="G3120" s="4">
        <v>226</v>
      </c>
      <c r="H3120" s="12" t="str">
        <f t="array" ref="H3120">IF(G3120:G7161="","",_xlfn.XLOOKUP(G3120:G7161,castles_state!A:A,castles_state!D:D,"見つかりません"))</f>
      </c>
      <c r="I3120" s="4"/>
      <c r="J3120" s="12" t="str">
        <f t="array" ref="J3120">IF(I3120:I7161="","",_xlfn.XLOOKUP(I3120:I7161,'参照_姫'!A:A,'参照_姫'!B:B,"見つかりません"))</f>
      </c>
      <c r="K3120" s="4">
        <v>95</v>
      </c>
      <c r="L3120" s="4">
        <v>0</v>
      </c>
      <c r="M3120" s="4"/>
      <c r="N3120" s="4"/>
      <c r="O3120" s="4"/>
      <c r="P3120" s="12" t="str">
        <f t="array" ref="P3120">IF(O3120:O7161="","",_xlfn.XLOOKUP(O3120:O7161,'参照_官位'!A:A,'参照_官位'!B:B,""))</f>
      </c>
      <c r="Q3120" s="12" t="str">
        <f t="array" ref="Q3120">IF(A3120:A7161="","",IFERROR(_xlfn.XLOOKUP(A3120:A7161,castles_state!K:K,castles_state!D:D)&amp;"主",IFERROR(_xlfn.XLOOKUP(A3120:A7161,kunishuClan!D:D,kunishuClan!B:B)&amp;"当主","")))</f>
      </c>
    </row>
    <row r="3121" ht="15.75" customHeight="1">
      <c r="A3121" s="4">
        <v>1089014</v>
      </c>
      <c r="B3121" s="12" t="str">
        <f t="array" ref="B3121">IF(A3121:A7162="","",_xlfn.XLOOKUP(A3121:A7162,'参照_武将'!A:A,'参照_武将'!B:B,"見つかりません"))</f>
      </c>
      <c r="C3121" s="4" t="s">
        <v>409</v>
      </c>
      <c r="D3121" s="4">
        <v>89</v>
      </c>
      <c r="E3121" s="12" t="str">
        <f t="array" ref="E3121">IF(D3121:D7162="","",IFERROR(_xlfn.XLOOKUP(D3121:D7162,'参照_勢力'!A:A,'参照_勢力'!B:B),IFERROR(_xlfn.XLOOKUP(F3121:F7162,kunishuClan!A:A,kunishuClan!B:B),"浪人")))</f>
      </c>
      <c r="F3121" s="4">
        <v>0</v>
      </c>
      <c r="G3121" s="4">
        <v>226</v>
      </c>
      <c r="H3121" s="12" t="str">
        <f t="array" ref="H3121">IF(G3121:G7162="","",_xlfn.XLOOKUP(G3121:G7162,castles_state!A:A,castles_state!D:D,"見つかりません"))</f>
      </c>
      <c r="I3121" s="4"/>
      <c r="J3121" s="12" t="str">
        <f t="array" ref="J3121">IF(I3121:I7162="","",_xlfn.XLOOKUP(I3121:I7162,'参照_姫'!A:A,'参照_姫'!B:B,"見つかりません"))</f>
      </c>
      <c r="K3121" s="4">
        <v>95</v>
      </c>
      <c r="L3121" s="4">
        <v>200</v>
      </c>
      <c r="M3121" s="4"/>
      <c r="N3121" s="4"/>
      <c r="O3121" s="4"/>
      <c r="P3121" s="12" t="str">
        <f t="array" ref="P3121">IF(O3121:O7162="","",_xlfn.XLOOKUP(O3121:O7162,'参照_官位'!A:A,'参照_官位'!B:B,""))</f>
      </c>
      <c r="Q3121" s="12" t="str">
        <f t="array" ref="Q3121">IF(A3121:A7162="","",IFERROR(_xlfn.XLOOKUP(A3121:A7162,castles_state!K:K,castles_state!D:D)&amp;"主",IFERROR(_xlfn.XLOOKUP(A3121:A7162,kunishuClan!D:D,kunishuClan!B:B)&amp;"当主","")))</f>
      </c>
    </row>
    <row r="3122" ht="15.75" customHeight="1">
      <c r="A3122" s="4">
        <v>1089015</v>
      </c>
      <c r="B3122" s="12" t="str">
        <f t="array" ref="B3122">IF(A3122:A7163="","",_xlfn.XLOOKUP(A3122:A7163,'参照_武将'!A:A,'参照_武将'!B:B,"見つかりません"))</f>
      </c>
      <c r="C3122" s="4" t="s">
        <v>409</v>
      </c>
      <c r="D3122" s="4">
        <v>89</v>
      </c>
      <c r="E3122" s="12" t="str">
        <f t="array" ref="E3122">IF(D3122:D7163="","",IFERROR(_xlfn.XLOOKUP(D3122:D7163,'参照_勢力'!A:A,'参照_勢力'!B:B),IFERROR(_xlfn.XLOOKUP(F3122:F7163,kunishuClan!A:A,kunishuClan!B:B),"浪人")))</f>
      </c>
      <c r="F3122" s="4">
        <v>0</v>
      </c>
      <c r="G3122" s="4">
        <v>226</v>
      </c>
      <c r="H3122" s="12" t="str">
        <f t="array" ref="H3122">IF(G3122:G7163="","",_xlfn.XLOOKUP(G3122:G7163,castles_state!A:A,castles_state!D:D,"見つかりません"))</f>
      </c>
      <c r="I3122" s="4"/>
      <c r="J3122" s="12" t="str">
        <f t="array" ref="J3122">IF(I3122:I7163="","",_xlfn.XLOOKUP(I3122:I7163,'参照_姫'!A:A,'参照_姫'!B:B,"見つかりません"))</f>
      </c>
      <c r="K3122" s="4">
        <v>95</v>
      </c>
      <c r="L3122" s="4">
        <v>100</v>
      </c>
      <c r="M3122" s="4"/>
      <c r="N3122" s="4"/>
      <c r="O3122" s="4"/>
      <c r="P3122" s="12" t="str">
        <f t="array" ref="P3122">IF(O3122:O7163="","",_xlfn.XLOOKUP(O3122:O7163,'参照_官位'!A:A,'参照_官位'!B:B,""))</f>
      </c>
      <c r="Q3122" s="12" t="str">
        <f t="array" ref="Q3122">IF(A3122:A7163="","",IFERROR(_xlfn.XLOOKUP(A3122:A7163,castles_state!K:K,castles_state!D:D)&amp;"主",IFERROR(_xlfn.XLOOKUP(A3122:A7163,kunishuClan!D:D,kunishuClan!B:B)&amp;"当主","")))</f>
      </c>
    </row>
    <row r="3123" ht="15.75" customHeight="1">
      <c r="A3123" s="4">
        <v>1089016</v>
      </c>
      <c r="B3123" s="12" t="str">
        <f t="array" ref="B3123">IF(A3123:A7164="","",_xlfn.XLOOKUP(A3123:A7164,'参照_武将'!A:A,'参照_武将'!B:B,"見つかりません"))</f>
      </c>
      <c r="C3123" s="4" t="s">
        <v>409</v>
      </c>
      <c r="D3123" s="4">
        <v>89</v>
      </c>
      <c r="E3123" s="12" t="str">
        <f t="array" ref="E3123">IF(D3123:D7164="","",IFERROR(_xlfn.XLOOKUP(D3123:D7164,'参照_勢力'!A:A,'参照_勢力'!B:B),IFERROR(_xlfn.XLOOKUP(F3123:F7164,kunishuClan!A:A,kunishuClan!B:B),"浪人")))</f>
      </c>
      <c r="F3123" s="4">
        <v>0</v>
      </c>
      <c r="G3123" s="4">
        <v>226</v>
      </c>
      <c r="H3123" s="12" t="str">
        <f t="array" ref="H3123">IF(G3123:G7164="","",_xlfn.XLOOKUP(G3123:G7164,castles_state!A:A,castles_state!D:D,"見つかりません"))</f>
      </c>
      <c r="I3123" s="4"/>
      <c r="J3123" s="12" t="str">
        <f t="array" ref="J3123">IF(I3123:I7164="","",_xlfn.XLOOKUP(I3123:I7164,'参照_姫'!A:A,'参照_姫'!B:B,"見つかりません"))</f>
      </c>
      <c r="K3123" s="4">
        <v>95</v>
      </c>
      <c r="L3123" s="4">
        <v>100</v>
      </c>
      <c r="M3123" s="4"/>
      <c r="N3123" s="4"/>
      <c r="O3123" s="4"/>
      <c r="P3123" s="12" t="str">
        <f t="array" ref="P3123">IF(O3123:O7164="","",_xlfn.XLOOKUP(O3123:O7164,'参照_官位'!A:A,'参照_官位'!B:B,""))</f>
      </c>
      <c r="Q3123" s="12" t="str">
        <f t="array" ref="Q3123">IF(A3123:A7164="","",IFERROR(_xlfn.XLOOKUP(A3123:A7164,castles_state!K:K,castles_state!D:D)&amp;"主",IFERROR(_xlfn.XLOOKUP(A3123:A7164,kunishuClan!D:D,kunishuClan!B:B)&amp;"当主","")))</f>
      </c>
    </row>
    <row r="3124" ht="15.75" customHeight="1">
      <c r="A3124" s="4">
        <v>1089017</v>
      </c>
      <c r="B3124" s="12" t="str">
        <f t="array" ref="B3124">IF(A3124:A7165="","",_xlfn.XLOOKUP(A3124:A7165,'参照_武将'!A:A,'参照_武将'!B:B,"見つかりません"))</f>
      </c>
      <c r="C3124" s="4" t="s">
        <v>409</v>
      </c>
      <c r="D3124" s="4">
        <v>89</v>
      </c>
      <c r="E3124" s="12" t="str">
        <f t="array" ref="E3124">IF(D3124:D7165="","",IFERROR(_xlfn.XLOOKUP(D3124:D7165,'参照_勢力'!A:A,'参照_勢力'!B:B),IFERROR(_xlfn.XLOOKUP(F3124:F7165,kunishuClan!A:A,kunishuClan!B:B),"浪人")))</f>
      </c>
      <c r="F3124" s="4">
        <v>0</v>
      </c>
      <c r="G3124" s="4">
        <v>226</v>
      </c>
      <c r="H3124" s="12" t="str">
        <f t="array" ref="H3124">IF(G3124:G7165="","",_xlfn.XLOOKUP(G3124:G7165,castles_state!A:A,castles_state!D:D,"見つかりません"))</f>
      </c>
      <c r="I3124" s="4"/>
      <c r="J3124" s="12" t="str">
        <f t="array" ref="J3124">IF(I3124:I7165="","",_xlfn.XLOOKUP(I3124:I7165,'参照_姫'!A:A,'参照_姫'!B:B,"見つかりません"))</f>
      </c>
      <c r="K3124" s="4">
        <v>95</v>
      </c>
      <c r="L3124" s="4">
        <v>0</v>
      </c>
      <c r="M3124" s="4"/>
      <c r="N3124" s="4"/>
      <c r="O3124" s="4"/>
      <c r="P3124" s="12" t="str">
        <f t="array" ref="P3124">IF(O3124:O7165="","",_xlfn.XLOOKUP(O3124:O7165,'参照_官位'!A:A,'参照_官位'!B:B,""))</f>
      </c>
      <c r="Q3124" s="12" t="str">
        <f t="array" ref="Q3124">IF(A3124:A7165="","",IFERROR(_xlfn.XLOOKUP(A3124:A7165,castles_state!K:K,castles_state!D:D)&amp;"主",IFERROR(_xlfn.XLOOKUP(A3124:A7165,kunishuClan!D:D,kunishuClan!B:B)&amp;"当主","")))</f>
      </c>
    </row>
    <row r="3125" ht="15.75" customHeight="1">
      <c r="A3125" s="4">
        <v>1089018</v>
      </c>
      <c r="B3125" s="12" t="str">
        <f t="array" ref="B3125">IF(A3125:A7166="","",_xlfn.XLOOKUP(A3125:A7166,'参照_武将'!A:A,'参照_武将'!B:B,"見つかりません"))</f>
      </c>
      <c r="C3125" s="4" t="s">
        <v>409</v>
      </c>
      <c r="D3125" s="4">
        <v>89</v>
      </c>
      <c r="E3125" s="12" t="str">
        <f t="array" ref="E3125">IF(D3125:D7166="","",IFERROR(_xlfn.XLOOKUP(D3125:D7166,'参照_勢力'!A:A,'参照_勢力'!B:B),IFERROR(_xlfn.XLOOKUP(F3125:F7166,kunishuClan!A:A,kunishuClan!B:B),"浪人")))</f>
      </c>
      <c r="F3125" s="4">
        <v>0</v>
      </c>
      <c r="G3125" s="4">
        <v>226</v>
      </c>
      <c r="H3125" s="12" t="str">
        <f t="array" ref="H3125">IF(G3125:G7166="","",_xlfn.XLOOKUP(G3125:G7166,castles_state!A:A,castles_state!D:D,"見つかりません"))</f>
      </c>
      <c r="I3125" s="4"/>
      <c r="J3125" s="12" t="str">
        <f t="array" ref="J3125">IF(I3125:I7166="","",_xlfn.XLOOKUP(I3125:I7166,'参照_姫'!A:A,'参照_姫'!B:B,"見つかりません"))</f>
      </c>
      <c r="K3125" s="4">
        <v>95</v>
      </c>
      <c r="L3125" s="4">
        <v>0</v>
      </c>
      <c r="M3125" s="4"/>
      <c r="N3125" s="4"/>
      <c r="O3125" s="4"/>
      <c r="P3125" s="12" t="str">
        <f t="array" ref="P3125">IF(O3125:O7166="","",_xlfn.XLOOKUP(O3125:O7166,'参照_官位'!A:A,'参照_官位'!B:B,""))</f>
      </c>
      <c r="Q3125" s="12" t="str">
        <f t="array" ref="Q3125">IF(A3125:A7166="","",IFERROR(_xlfn.XLOOKUP(A3125:A7166,castles_state!K:K,castles_state!D:D)&amp;"主",IFERROR(_xlfn.XLOOKUP(A3125:A7166,kunishuClan!D:D,kunishuClan!B:B)&amp;"当主","")))</f>
      </c>
    </row>
    <row r="3126" ht="15.75" customHeight="1">
      <c r="A3126" s="4">
        <v>1089019</v>
      </c>
      <c r="B3126" s="12" t="str">
        <f t="array" ref="B3126">IF(A3126:A7167="","",_xlfn.XLOOKUP(A3126:A7167,'参照_武将'!A:A,'参照_武将'!B:B,"見つかりません"))</f>
      </c>
      <c r="C3126" s="4" t="s">
        <v>409</v>
      </c>
      <c r="D3126" s="4">
        <v>89</v>
      </c>
      <c r="E3126" s="12" t="str">
        <f t="array" ref="E3126">IF(D3126:D7167="","",IFERROR(_xlfn.XLOOKUP(D3126:D7167,'参照_勢力'!A:A,'参照_勢力'!B:B),IFERROR(_xlfn.XLOOKUP(F3126:F7167,kunishuClan!A:A,kunishuClan!B:B),"浪人")))</f>
      </c>
      <c r="F3126" s="4">
        <v>0</v>
      </c>
      <c r="G3126" s="4">
        <v>226</v>
      </c>
      <c r="H3126" s="12" t="str">
        <f t="array" ref="H3126">IF(G3126:G7167="","",_xlfn.XLOOKUP(G3126:G7167,castles_state!A:A,castles_state!D:D,"見つかりません"))</f>
      </c>
      <c r="I3126" s="4"/>
      <c r="J3126" s="12" t="str">
        <f t="array" ref="J3126">IF(I3126:I7167="","",_xlfn.XLOOKUP(I3126:I7167,'参照_姫'!A:A,'参照_姫'!B:B,"見つかりません"))</f>
      </c>
      <c r="K3126" s="4">
        <v>95</v>
      </c>
      <c r="L3126" s="4">
        <v>0</v>
      </c>
      <c r="M3126" s="4"/>
      <c r="N3126" s="4"/>
      <c r="O3126" s="4"/>
      <c r="P3126" s="12" t="str">
        <f t="array" ref="P3126">IF(O3126:O7167="","",_xlfn.XLOOKUP(O3126:O7167,'参照_官位'!A:A,'参照_官位'!B:B,""))</f>
      </c>
      <c r="Q3126" s="12" t="str">
        <f t="array" ref="Q3126">IF(A3126:A7167="","",IFERROR(_xlfn.XLOOKUP(A3126:A7167,castles_state!K:K,castles_state!D:D)&amp;"主",IFERROR(_xlfn.XLOOKUP(A3126:A7167,kunishuClan!D:D,kunishuClan!B:B)&amp;"当主","")))</f>
      </c>
    </row>
    <row r="3127" ht="15.75" customHeight="1">
      <c r="A3127" s="4">
        <v>1089020</v>
      </c>
      <c r="B3127" s="12" t="str">
        <f t="array" ref="B3127">IF(A3127:A7168="","",_xlfn.XLOOKUP(A3127:A7168,'参照_武将'!A:A,'参照_武将'!B:B,"見つかりません"))</f>
      </c>
      <c r="C3127" s="4" t="s">
        <v>409</v>
      </c>
      <c r="D3127" s="4">
        <v>89</v>
      </c>
      <c r="E3127" s="12" t="str">
        <f t="array" ref="E3127">IF(D3127:D7168="","",IFERROR(_xlfn.XLOOKUP(D3127:D7168,'参照_勢力'!A:A,'参照_勢力'!B:B),IFERROR(_xlfn.XLOOKUP(F3127:F7168,kunishuClan!A:A,kunishuClan!B:B),"浪人")))</f>
      </c>
      <c r="F3127" s="4">
        <v>0</v>
      </c>
      <c r="G3127" s="4">
        <v>226</v>
      </c>
      <c r="H3127" s="12" t="str">
        <f t="array" ref="H3127">IF(G3127:G7168="","",_xlfn.XLOOKUP(G3127:G7168,castles_state!A:A,castles_state!D:D,"見つかりません"))</f>
      </c>
      <c r="I3127" s="4"/>
      <c r="J3127" s="12" t="str">
        <f t="array" ref="J3127">IF(I3127:I7168="","",_xlfn.XLOOKUP(I3127:I7168,'参照_姫'!A:A,'参照_姫'!B:B,"見つかりません"))</f>
      </c>
      <c r="K3127" s="4">
        <v>95</v>
      </c>
      <c r="L3127" s="4">
        <v>0</v>
      </c>
      <c r="M3127" s="4"/>
      <c r="N3127" s="4"/>
      <c r="O3127" s="4"/>
      <c r="P3127" s="12" t="str">
        <f t="array" ref="P3127">IF(O3127:O7168="","",_xlfn.XLOOKUP(O3127:O7168,'参照_官位'!A:A,'参照_官位'!B:B,""))</f>
      </c>
      <c r="Q3127" s="12" t="str">
        <f t="array" ref="Q3127">IF(A3127:A7168="","",IFERROR(_xlfn.XLOOKUP(A3127:A7168,castles_state!K:K,castles_state!D:D)&amp;"主",IFERROR(_xlfn.XLOOKUP(A3127:A7168,kunishuClan!D:D,kunishuClan!B:B)&amp;"当主","")))</f>
      </c>
    </row>
    <row r="3128" ht="15.75" customHeight="1">
      <c r="A3128" s="4">
        <v>1089021</v>
      </c>
      <c r="B3128" s="12" t="str">
        <f t="array" ref="B3128">IF(A3128:A7169="","",_xlfn.XLOOKUP(A3128:A7169,'参照_武将'!A:A,'参照_武将'!B:B,"見つかりません"))</f>
      </c>
      <c r="C3128" s="4" t="s">
        <v>409</v>
      </c>
      <c r="D3128" s="4">
        <v>89</v>
      </c>
      <c r="E3128" s="12" t="str">
        <f t="array" ref="E3128">IF(D3128:D7169="","",IFERROR(_xlfn.XLOOKUP(D3128:D7169,'参照_勢力'!A:A,'参照_勢力'!B:B),IFERROR(_xlfn.XLOOKUP(F3128:F7169,kunishuClan!A:A,kunishuClan!B:B),"浪人")))</f>
      </c>
      <c r="F3128" s="4">
        <v>0</v>
      </c>
      <c r="G3128" s="4">
        <v>226</v>
      </c>
      <c r="H3128" s="12" t="str">
        <f t="array" ref="H3128">IF(G3128:G7169="","",_xlfn.XLOOKUP(G3128:G7169,castles_state!A:A,castles_state!D:D,"見つかりません"))</f>
      </c>
      <c r="I3128" s="4"/>
      <c r="J3128" s="12" t="str">
        <f t="array" ref="J3128">IF(I3128:I7169="","",_xlfn.XLOOKUP(I3128:I7169,'参照_姫'!A:A,'参照_姫'!B:B,"見つかりません"))</f>
      </c>
      <c r="K3128" s="4">
        <v>95</v>
      </c>
      <c r="L3128" s="4">
        <v>0</v>
      </c>
      <c r="M3128" s="4"/>
      <c r="N3128" s="4"/>
      <c r="O3128" s="4"/>
      <c r="P3128" s="12" t="str">
        <f t="array" ref="P3128">IF(O3128:O7169="","",_xlfn.XLOOKUP(O3128:O7169,'参照_官位'!A:A,'参照_官位'!B:B,""))</f>
      </c>
      <c r="Q3128" s="12" t="str">
        <f t="array" ref="Q3128">IF(A3128:A7169="","",IFERROR(_xlfn.XLOOKUP(A3128:A7169,castles_state!K:K,castles_state!D:D)&amp;"主",IFERROR(_xlfn.XLOOKUP(A3128:A7169,kunishuClan!D:D,kunishuClan!B:B)&amp;"当主","")))</f>
      </c>
    </row>
    <row r="3129" ht="15.75" customHeight="1">
      <c r="A3129" s="4">
        <v>1089022</v>
      </c>
      <c r="B3129" s="12" t="str">
        <f t="array" ref="B3129">IF(A3129:A7170="","",_xlfn.XLOOKUP(A3129:A7170,'参照_武将'!A:A,'参照_武将'!B:B,"見つかりません"))</f>
      </c>
      <c r="C3129" s="4" t="s">
        <v>409</v>
      </c>
      <c r="D3129" s="4">
        <v>89</v>
      </c>
      <c r="E3129" s="12" t="str">
        <f t="array" ref="E3129">IF(D3129:D7170="","",IFERROR(_xlfn.XLOOKUP(D3129:D7170,'参照_勢力'!A:A,'参照_勢力'!B:B),IFERROR(_xlfn.XLOOKUP(F3129:F7170,kunishuClan!A:A,kunishuClan!B:B),"浪人")))</f>
      </c>
      <c r="F3129" s="4">
        <v>0</v>
      </c>
      <c r="G3129" s="4">
        <v>226</v>
      </c>
      <c r="H3129" s="12" t="str">
        <f t="array" ref="H3129">IF(G3129:G7170="","",_xlfn.XLOOKUP(G3129:G7170,castles_state!A:A,castles_state!D:D,"見つかりません"))</f>
      </c>
      <c r="I3129" s="4"/>
      <c r="J3129" s="12" t="str">
        <f t="array" ref="J3129">IF(I3129:I7170="","",_xlfn.XLOOKUP(I3129:I7170,'参照_姫'!A:A,'参照_姫'!B:B,"見つかりません"))</f>
      </c>
      <c r="K3129" s="4">
        <v>95</v>
      </c>
      <c r="L3129" s="4">
        <v>0</v>
      </c>
      <c r="M3129" s="4"/>
      <c r="N3129" s="4"/>
      <c r="O3129" s="4"/>
      <c r="P3129" s="12" t="str">
        <f t="array" ref="P3129">IF(O3129:O7170="","",_xlfn.XLOOKUP(O3129:O7170,'参照_官位'!A:A,'参照_官位'!B:B,""))</f>
      </c>
      <c r="Q3129" s="12" t="str">
        <f t="array" ref="Q3129">IF(A3129:A7170="","",IFERROR(_xlfn.XLOOKUP(A3129:A7170,castles_state!K:K,castles_state!D:D)&amp;"主",IFERROR(_xlfn.XLOOKUP(A3129:A7170,kunishuClan!D:D,kunishuClan!B:B)&amp;"当主","")))</f>
      </c>
    </row>
    <row r="3130" ht="15.75" customHeight="1">
      <c r="A3130" s="4">
        <v>1089023</v>
      </c>
      <c r="B3130" s="12" t="str">
        <f t="array" ref="B3130">IF(A3130:A7171="","",_xlfn.XLOOKUP(A3130:A7171,'参照_武将'!A:A,'参照_武将'!B:B,"見つかりません"))</f>
      </c>
      <c r="C3130" s="4" t="s">
        <v>409</v>
      </c>
      <c r="D3130" s="4">
        <v>89</v>
      </c>
      <c r="E3130" s="12" t="str">
        <f t="array" ref="E3130">IF(D3130:D7171="","",IFERROR(_xlfn.XLOOKUP(D3130:D7171,'参照_勢力'!A:A,'参照_勢力'!B:B),IFERROR(_xlfn.XLOOKUP(F3130:F7171,kunishuClan!A:A,kunishuClan!B:B),"浪人")))</f>
      </c>
      <c r="F3130" s="4">
        <v>0</v>
      </c>
      <c r="G3130" s="4">
        <v>226</v>
      </c>
      <c r="H3130" s="12" t="str">
        <f t="array" ref="H3130">IF(G3130:G7171="","",_xlfn.XLOOKUP(G3130:G7171,castles_state!A:A,castles_state!D:D,"見つかりません"))</f>
      </c>
      <c r="I3130" s="4"/>
      <c r="J3130" s="12" t="str">
        <f t="array" ref="J3130">IF(I3130:I7171="","",_xlfn.XLOOKUP(I3130:I7171,'参照_姫'!A:A,'参照_姫'!B:B,"見つかりません"))</f>
      </c>
      <c r="K3130" s="4">
        <v>95</v>
      </c>
      <c r="L3130" s="4">
        <v>0</v>
      </c>
      <c r="M3130" s="4"/>
      <c r="N3130" s="4"/>
      <c r="O3130" s="4"/>
      <c r="P3130" s="12" t="str">
        <f t="array" ref="P3130">IF(O3130:O7171="","",_xlfn.XLOOKUP(O3130:O7171,'参照_官位'!A:A,'参照_官位'!B:B,""))</f>
      </c>
      <c r="Q3130" s="12" t="str">
        <f t="array" ref="Q3130">IF(A3130:A7171="","",IFERROR(_xlfn.XLOOKUP(A3130:A7171,castles_state!K:K,castles_state!D:D)&amp;"主",IFERROR(_xlfn.XLOOKUP(A3130:A7171,kunishuClan!D:D,kunishuClan!B:B)&amp;"当主","")))</f>
      </c>
    </row>
    <row r="3131" ht="15.75" customHeight="1">
      <c r="A3131" s="4">
        <v>1089024</v>
      </c>
      <c r="B3131" s="12" t="str">
        <f t="array" ref="B3131">IF(A3131:A7172="","",_xlfn.XLOOKUP(A3131:A7172,'参照_武将'!A:A,'参照_武将'!B:B,"見つかりません"))</f>
      </c>
      <c r="C3131" s="4" t="s">
        <v>409</v>
      </c>
      <c r="D3131" s="4">
        <v>89</v>
      </c>
      <c r="E3131" s="12" t="str">
        <f t="array" ref="E3131">IF(D3131:D7172="","",IFERROR(_xlfn.XLOOKUP(D3131:D7172,'参照_勢力'!A:A,'参照_勢力'!B:B),IFERROR(_xlfn.XLOOKUP(F3131:F7172,kunishuClan!A:A,kunishuClan!B:B),"浪人")))</f>
      </c>
      <c r="F3131" s="4">
        <v>0</v>
      </c>
      <c r="G3131" s="4">
        <v>226</v>
      </c>
      <c r="H3131" s="12" t="str">
        <f t="array" ref="H3131">IF(G3131:G7172="","",_xlfn.XLOOKUP(G3131:G7172,castles_state!A:A,castles_state!D:D,"見つかりません"))</f>
      </c>
      <c r="I3131" s="4"/>
      <c r="J3131" s="12" t="str">
        <f t="array" ref="J3131">IF(I3131:I7172="","",_xlfn.XLOOKUP(I3131:I7172,'参照_姫'!A:A,'参照_姫'!B:B,"見つかりません"))</f>
      </c>
      <c r="K3131" s="4">
        <v>95</v>
      </c>
      <c r="L3131" s="4">
        <v>0</v>
      </c>
      <c r="M3131" s="4"/>
      <c r="N3131" s="4"/>
      <c r="O3131" s="4"/>
      <c r="P3131" s="12" t="str">
        <f t="array" ref="P3131">IF(O3131:O7172="","",_xlfn.XLOOKUP(O3131:O7172,'参照_官位'!A:A,'参照_官位'!B:B,""))</f>
      </c>
      <c r="Q3131" s="12" t="str">
        <f t="array" ref="Q3131">IF(A3131:A7172="","",IFERROR(_xlfn.XLOOKUP(A3131:A7172,castles_state!K:K,castles_state!D:D)&amp;"主",IFERROR(_xlfn.XLOOKUP(A3131:A7172,kunishuClan!D:D,kunishuClan!B:B)&amp;"当主","")))</f>
      </c>
    </row>
    <row r="3132" ht="15.75" customHeight="1">
      <c r="A3132" s="4">
        <v>1089025</v>
      </c>
      <c r="B3132" s="12" t="str">
        <f t="array" ref="B3132">IF(A3132:A7173="","",_xlfn.XLOOKUP(A3132:A7173,'参照_武将'!A:A,'参照_武将'!B:B,"見つかりません"))</f>
      </c>
      <c r="C3132" s="4" t="s">
        <v>409</v>
      </c>
      <c r="D3132" s="4">
        <v>89</v>
      </c>
      <c r="E3132" s="12" t="str">
        <f t="array" ref="E3132">IF(D3132:D7173="","",IFERROR(_xlfn.XLOOKUP(D3132:D7173,'参照_勢力'!A:A,'参照_勢力'!B:B),IFERROR(_xlfn.XLOOKUP(F3132:F7173,kunishuClan!A:A,kunishuClan!B:B),"浪人")))</f>
      </c>
      <c r="F3132" s="4">
        <v>0</v>
      </c>
      <c r="G3132" s="4">
        <v>253</v>
      </c>
      <c r="H3132" s="12" t="str">
        <f t="array" ref="H3132">IF(G3132:G7173="","",_xlfn.XLOOKUP(G3132:G7173,castles_state!A:A,castles_state!D:D,"見つかりません"))</f>
      </c>
      <c r="I3132" s="4"/>
      <c r="J3132" s="12" t="str">
        <f t="array" ref="J3132">IF(I3132:I7173="","",_xlfn.XLOOKUP(I3132:I7173,'参照_姫'!A:A,'参照_姫'!B:B,"見つかりません"))</f>
      </c>
      <c r="K3132" s="4">
        <v>95</v>
      </c>
      <c r="L3132" s="4">
        <v>300</v>
      </c>
      <c r="M3132" s="4"/>
      <c r="N3132" s="4"/>
      <c r="O3132" s="4"/>
      <c r="P3132" s="12" t="str">
        <f t="array" ref="P3132">IF(O3132:O7173="","",_xlfn.XLOOKUP(O3132:O7173,'参照_官位'!A:A,'参照_官位'!B:B,""))</f>
      </c>
      <c r="Q3132" s="12" t="str">
        <f t="array" ref="Q3132">IF(A3132:A7173="","",IFERROR(_xlfn.XLOOKUP(A3132:A7173,castles_state!K:K,castles_state!D:D)&amp;"主",IFERROR(_xlfn.XLOOKUP(A3132:A7173,kunishuClan!D:D,kunishuClan!B:B)&amp;"当主","")))</f>
      </c>
    </row>
    <row r="3133" ht="15.75" customHeight="1">
      <c r="A3133" s="4">
        <v>1089026</v>
      </c>
      <c r="B3133" s="12" t="str">
        <f t="array" ref="B3133">IF(A3133:A7174="","",_xlfn.XLOOKUP(A3133:A7174,'参照_武将'!A:A,'参照_武将'!B:B,"見つかりません"))</f>
      </c>
      <c r="C3133" s="4" t="s">
        <v>409</v>
      </c>
      <c r="D3133" s="4">
        <v>89</v>
      </c>
      <c r="E3133" s="12" t="str">
        <f t="array" ref="E3133">IF(D3133:D7174="","",IFERROR(_xlfn.XLOOKUP(D3133:D7174,'参照_勢力'!A:A,'参照_勢力'!B:B),IFERROR(_xlfn.XLOOKUP(F3133:F7174,kunishuClan!A:A,kunishuClan!B:B),"浪人")))</f>
      </c>
      <c r="F3133" s="4">
        <v>0</v>
      </c>
      <c r="G3133" s="4">
        <v>253</v>
      </c>
      <c r="H3133" s="12" t="str">
        <f t="array" ref="H3133">IF(G3133:G7174="","",_xlfn.XLOOKUP(G3133:G7174,castles_state!A:A,castles_state!D:D,"見つかりません"))</f>
      </c>
      <c r="I3133" s="4"/>
      <c r="J3133" s="12" t="str">
        <f t="array" ref="J3133">IF(I3133:I7174="","",_xlfn.XLOOKUP(I3133:I7174,'参照_姫'!A:A,'参照_姫'!B:B,"見つかりません"))</f>
      </c>
      <c r="K3133" s="4">
        <v>95</v>
      </c>
      <c r="L3133" s="4">
        <v>0</v>
      </c>
      <c r="M3133" s="4"/>
      <c r="N3133" s="4"/>
      <c r="O3133" s="4"/>
      <c r="P3133" s="12" t="str">
        <f t="array" ref="P3133">IF(O3133:O7174="","",_xlfn.XLOOKUP(O3133:O7174,'参照_官位'!A:A,'参照_官位'!B:B,""))</f>
      </c>
      <c r="Q3133" s="12" t="str">
        <f t="array" ref="Q3133">IF(A3133:A7174="","",IFERROR(_xlfn.XLOOKUP(A3133:A7174,castles_state!K:K,castles_state!D:D)&amp;"主",IFERROR(_xlfn.XLOOKUP(A3133:A7174,kunishuClan!D:D,kunishuClan!B:B)&amp;"当主","")))</f>
      </c>
    </row>
    <row r="3134" ht="15.75" customHeight="1">
      <c r="A3134" s="4">
        <v>1089027</v>
      </c>
      <c r="B3134" s="12" t="str">
        <f t="array" ref="B3134">IF(A3134:A7175="","",_xlfn.XLOOKUP(A3134:A7175,'参照_武将'!A:A,'参照_武将'!B:B,"見つかりません"))</f>
      </c>
      <c r="C3134" s="4" t="s">
        <v>409</v>
      </c>
      <c r="D3134" s="4">
        <v>89</v>
      </c>
      <c r="E3134" s="12" t="str">
        <f t="array" ref="E3134">IF(D3134:D7175="","",IFERROR(_xlfn.XLOOKUP(D3134:D7175,'参照_勢力'!A:A,'参照_勢力'!B:B),IFERROR(_xlfn.XLOOKUP(F3134:F7175,kunishuClan!A:A,kunishuClan!B:B),"浪人")))</f>
      </c>
      <c r="F3134" s="4">
        <v>0</v>
      </c>
      <c r="G3134" s="4">
        <v>253</v>
      </c>
      <c r="H3134" s="12" t="str">
        <f t="array" ref="H3134">IF(G3134:G7175="","",_xlfn.XLOOKUP(G3134:G7175,castles_state!A:A,castles_state!D:D,"見つかりません"))</f>
      </c>
      <c r="I3134" s="4"/>
      <c r="J3134" s="12" t="str">
        <f t="array" ref="J3134">IF(I3134:I7175="","",_xlfn.XLOOKUP(I3134:I7175,'参照_姫'!A:A,'参照_姫'!B:B,"見つかりません"))</f>
      </c>
      <c r="K3134" s="4">
        <v>95</v>
      </c>
      <c r="L3134" s="4">
        <v>0</v>
      </c>
      <c r="M3134" s="4"/>
      <c r="N3134" s="4"/>
      <c r="O3134" s="4"/>
      <c r="P3134" s="12" t="str">
        <f t="array" ref="P3134">IF(O3134:O7175="","",_xlfn.XLOOKUP(O3134:O7175,'参照_官位'!A:A,'参照_官位'!B:B,""))</f>
      </c>
      <c r="Q3134" s="12" t="str">
        <f t="array" ref="Q3134">IF(A3134:A7175="","",IFERROR(_xlfn.XLOOKUP(A3134:A7175,castles_state!K:K,castles_state!D:D)&amp;"主",IFERROR(_xlfn.XLOOKUP(A3134:A7175,kunishuClan!D:D,kunishuClan!B:B)&amp;"当主","")))</f>
      </c>
    </row>
    <row r="3135" ht="15.75" customHeight="1">
      <c r="A3135" s="4">
        <v>1089028</v>
      </c>
      <c r="B3135" s="12" t="str">
        <f t="array" ref="B3135">IF(A3135:A7176="","",_xlfn.XLOOKUP(A3135:A7176,'参照_武将'!A:A,'参照_武将'!B:B,"見つかりません"))</f>
      </c>
      <c r="C3135" s="4" t="s">
        <v>409</v>
      </c>
      <c r="D3135" s="4">
        <v>89</v>
      </c>
      <c r="E3135" s="12" t="str">
        <f t="array" ref="E3135">IF(D3135:D7176="","",IFERROR(_xlfn.XLOOKUP(D3135:D7176,'参照_勢力'!A:A,'参照_勢力'!B:B),IFERROR(_xlfn.XLOOKUP(F3135:F7176,kunishuClan!A:A,kunishuClan!B:B),"浪人")))</f>
      </c>
      <c r="F3135" s="4">
        <v>0</v>
      </c>
      <c r="G3135" s="4">
        <v>253</v>
      </c>
      <c r="H3135" s="12" t="str">
        <f t="array" ref="H3135">IF(G3135:G7176="","",_xlfn.XLOOKUP(G3135:G7176,castles_state!A:A,castles_state!D:D,"見つかりません"))</f>
      </c>
      <c r="I3135" s="4"/>
      <c r="J3135" s="12" t="str">
        <f t="array" ref="J3135">IF(I3135:I7176="","",_xlfn.XLOOKUP(I3135:I7176,'参照_姫'!A:A,'参照_姫'!B:B,"見つかりません"))</f>
      </c>
      <c r="K3135" s="4">
        <v>95</v>
      </c>
      <c r="L3135" s="4">
        <v>0</v>
      </c>
      <c r="M3135" s="4"/>
      <c r="N3135" s="4"/>
      <c r="O3135" s="4"/>
      <c r="P3135" s="12" t="str">
        <f t="array" ref="P3135">IF(O3135:O7176="","",_xlfn.XLOOKUP(O3135:O7176,'参照_官位'!A:A,'参照_官位'!B:B,""))</f>
      </c>
      <c r="Q3135" s="12" t="str">
        <f t="array" ref="Q3135">IF(A3135:A7176="","",IFERROR(_xlfn.XLOOKUP(A3135:A7176,castles_state!K:K,castles_state!D:D)&amp;"主",IFERROR(_xlfn.XLOOKUP(A3135:A7176,kunishuClan!D:D,kunishuClan!B:B)&amp;"当主","")))</f>
      </c>
    </row>
    <row r="3136" ht="15.75" customHeight="1">
      <c r="A3136" s="4">
        <v>1089029</v>
      </c>
      <c r="B3136" s="12" t="str">
        <f t="array" ref="B3136">IF(A3136:A7177="","",_xlfn.XLOOKUP(A3136:A7177,'参照_武将'!A:A,'参照_武将'!B:B,"見つかりません"))</f>
      </c>
      <c r="C3136" s="4" t="s">
        <v>409</v>
      </c>
      <c r="D3136" s="4">
        <v>89</v>
      </c>
      <c r="E3136" s="12" t="str">
        <f t="array" ref="E3136">IF(D3136:D7177="","",IFERROR(_xlfn.XLOOKUP(D3136:D7177,'参照_勢力'!A:A,'参照_勢力'!B:B),IFERROR(_xlfn.XLOOKUP(F3136:F7177,kunishuClan!A:A,kunishuClan!B:B),"浪人")))</f>
      </c>
      <c r="F3136" s="4">
        <v>0</v>
      </c>
      <c r="G3136" s="4">
        <v>253</v>
      </c>
      <c r="H3136" s="12" t="str">
        <f t="array" ref="H3136">IF(G3136:G7177="","",_xlfn.XLOOKUP(G3136:G7177,castles_state!A:A,castles_state!D:D,"見つかりません"))</f>
      </c>
      <c r="I3136" s="4"/>
      <c r="J3136" s="12" t="str">
        <f t="array" ref="J3136">IF(I3136:I7177="","",_xlfn.XLOOKUP(I3136:I7177,'参照_姫'!A:A,'参照_姫'!B:B,"見つかりません"))</f>
      </c>
      <c r="K3136" s="4">
        <v>95</v>
      </c>
      <c r="L3136" s="4">
        <v>0</v>
      </c>
      <c r="M3136" s="4"/>
      <c r="N3136" s="4"/>
      <c r="O3136" s="4"/>
      <c r="P3136" s="12" t="str">
        <f t="array" ref="P3136">IF(O3136:O7177="","",_xlfn.XLOOKUP(O3136:O7177,'参照_官位'!A:A,'参照_官位'!B:B,""))</f>
      </c>
      <c r="Q3136" s="12" t="str">
        <f t="array" ref="Q3136">IF(A3136:A7177="","",IFERROR(_xlfn.XLOOKUP(A3136:A7177,castles_state!K:K,castles_state!D:D)&amp;"主",IFERROR(_xlfn.XLOOKUP(A3136:A7177,kunishuClan!D:D,kunishuClan!B:B)&amp;"当主","")))</f>
      </c>
    </row>
    <row r="3137" ht="15.75" customHeight="1">
      <c r="A3137" s="4">
        <v>1089030</v>
      </c>
      <c r="B3137" s="12" t="str">
        <f t="array" ref="B3137">IF(A3137:A7178="","",_xlfn.XLOOKUP(A3137:A7178,'参照_武将'!A:A,'参照_武将'!B:B,"見つかりません"))</f>
      </c>
      <c r="C3137" s="4" t="s">
        <v>409</v>
      </c>
      <c r="D3137" s="4">
        <v>89</v>
      </c>
      <c r="E3137" s="12" t="str">
        <f t="array" ref="E3137">IF(D3137:D7178="","",IFERROR(_xlfn.XLOOKUP(D3137:D7178,'参照_勢力'!A:A,'参照_勢力'!B:B),IFERROR(_xlfn.XLOOKUP(F3137:F7178,kunishuClan!A:A,kunishuClan!B:B),"浪人")))</f>
      </c>
      <c r="F3137" s="4">
        <v>0</v>
      </c>
      <c r="G3137" s="4">
        <v>253</v>
      </c>
      <c r="H3137" s="12" t="str">
        <f t="array" ref="H3137">IF(G3137:G7178="","",_xlfn.XLOOKUP(G3137:G7178,castles_state!A:A,castles_state!D:D,"見つかりません"))</f>
      </c>
      <c r="I3137" s="4"/>
      <c r="J3137" s="12" t="str">
        <f t="array" ref="J3137">IF(I3137:I7178="","",_xlfn.XLOOKUP(I3137:I7178,'参照_姫'!A:A,'参照_姫'!B:B,"見つかりません"))</f>
      </c>
      <c r="K3137" s="4">
        <v>95</v>
      </c>
      <c r="L3137" s="4">
        <v>0</v>
      </c>
      <c r="M3137" s="4"/>
      <c r="N3137" s="4"/>
      <c r="O3137" s="4"/>
      <c r="P3137" s="12" t="str">
        <f t="array" ref="P3137">IF(O3137:O7178="","",_xlfn.XLOOKUP(O3137:O7178,'参照_官位'!A:A,'参照_官位'!B:B,""))</f>
      </c>
      <c r="Q3137" s="12" t="str">
        <f t="array" ref="Q3137">IF(A3137:A7178="","",IFERROR(_xlfn.XLOOKUP(A3137:A7178,castles_state!K:K,castles_state!D:D)&amp;"主",IFERROR(_xlfn.XLOOKUP(A3137:A7178,kunishuClan!D:D,kunishuClan!B:B)&amp;"当主","")))</f>
      </c>
    </row>
    <row r="3138" ht="15.75" customHeight="1">
      <c r="A3138" s="4">
        <v>1089031</v>
      </c>
      <c r="B3138" s="12" t="str">
        <f t="array" ref="B3138">IF(A3138:A7179="","",_xlfn.XLOOKUP(A3138:A7179,'参照_武将'!A:A,'参照_武将'!B:B,"見つかりません"))</f>
      </c>
      <c r="C3138" s="4" t="s">
        <v>409</v>
      </c>
      <c r="D3138" s="4">
        <v>89</v>
      </c>
      <c r="E3138" s="12" t="str">
        <f t="array" ref="E3138">IF(D3138:D7179="","",IFERROR(_xlfn.XLOOKUP(D3138:D7179,'参照_勢力'!A:A,'参照_勢力'!B:B),IFERROR(_xlfn.XLOOKUP(F3138:F7179,kunishuClan!A:A,kunishuClan!B:B),"浪人")))</f>
      </c>
      <c r="F3138" s="4">
        <v>0</v>
      </c>
      <c r="G3138" s="4">
        <v>253</v>
      </c>
      <c r="H3138" s="12" t="str">
        <f t="array" ref="H3138">IF(G3138:G7179="","",_xlfn.XLOOKUP(G3138:G7179,castles_state!A:A,castles_state!D:D,"見つかりません"))</f>
      </c>
      <c r="I3138" s="4"/>
      <c r="J3138" s="12" t="str">
        <f t="array" ref="J3138">IF(I3138:I7179="","",_xlfn.XLOOKUP(I3138:I7179,'参照_姫'!A:A,'参照_姫'!B:B,"見つかりません"))</f>
      </c>
      <c r="K3138" s="4">
        <v>95</v>
      </c>
      <c r="L3138" s="4">
        <v>0</v>
      </c>
      <c r="M3138" s="4"/>
      <c r="N3138" s="4"/>
      <c r="O3138" s="4"/>
      <c r="P3138" s="12" t="str">
        <f t="array" ref="P3138">IF(O3138:O7179="","",_xlfn.XLOOKUP(O3138:O7179,'参照_官位'!A:A,'参照_官位'!B:B,""))</f>
      </c>
      <c r="Q3138" s="12" t="str">
        <f t="array" ref="Q3138">IF(A3138:A7179="","",IFERROR(_xlfn.XLOOKUP(A3138:A7179,castles_state!K:K,castles_state!D:D)&amp;"主",IFERROR(_xlfn.XLOOKUP(A3138:A7179,kunishuClan!D:D,kunishuClan!B:B)&amp;"当主","")))</f>
      </c>
    </row>
    <row r="3139" ht="15.75" customHeight="1">
      <c r="A3139" s="4">
        <v>1089032</v>
      </c>
      <c r="B3139" s="12" t="str">
        <f t="array" ref="B3139">IF(A3139:A7180="","",_xlfn.XLOOKUP(A3139:A7180,'参照_武将'!A:A,'参照_武将'!B:B,"見つかりません"))</f>
      </c>
      <c r="C3139" s="4" t="s">
        <v>409</v>
      </c>
      <c r="D3139" s="4">
        <v>89</v>
      </c>
      <c r="E3139" s="12" t="str">
        <f t="array" ref="E3139">IF(D3139:D7180="","",IFERROR(_xlfn.XLOOKUP(D3139:D7180,'参照_勢力'!A:A,'参照_勢力'!B:B),IFERROR(_xlfn.XLOOKUP(F3139:F7180,kunishuClan!A:A,kunishuClan!B:B),"浪人")))</f>
      </c>
      <c r="F3139" s="4">
        <v>0</v>
      </c>
      <c r="G3139" s="4">
        <v>226</v>
      </c>
      <c r="H3139" s="12" t="str">
        <f t="array" ref="H3139">IF(G3139:G7180="","",_xlfn.XLOOKUP(G3139:G7180,castles_state!A:A,castles_state!D:D,"見つかりません"))</f>
      </c>
      <c r="I3139" s="4"/>
      <c r="J3139" s="12" t="str">
        <f t="array" ref="J3139">IF(I3139:I7180="","",_xlfn.XLOOKUP(I3139:I7180,'参照_姫'!A:A,'参照_姫'!B:B,"見つかりません"))</f>
      </c>
      <c r="K3139" s="4">
        <v>95</v>
      </c>
      <c r="L3139" s="4">
        <v>0</v>
      </c>
      <c r="M3139" s="4"/>
      <c r="N3139" s="4"/>
      <c r="O3139" s="4"/>
      <c r="P3139" s="12" t="str">
        <f t="array" ref="P3139">IF(O3139:O7180="","",_xlfn.XLOOKUP(O3139:O7180,'参照_官位'!A:A,'参照_官位'!B:B,""))</f>
      </c>
      <c r="Q3139" s="12" t="str">
        <f t="array" ref="Q3139">IF(A3139:A7180="","",IFERROR(_xlfn.XLOOKUP(A3139:A7180,castles_state!K:K,castles_state!D:D)&amp;"主",IFERROR(_xlfn.XLOOKUP(A3139:A7180,kunishuClan!D:D,kunishuClan!B:B)&amp;"当主","")))</f>
      </c>
    </row>
    <row r="3140" ht="15.75" customHeight="1">
      <c r="A3140" s="4">
        <v>1089033</v>
      </c>
      <c r="B3140" s="12" t="str">
        <f t="array" ref="B3140">IF(A3140:A7181="","",_xlfn.XLOOKUP(A3140:A7181,'参照_武将'!A:A,'参照_武将'!B:B,"見つかりません"))</f>
      </c>
      <c r="C3140" s="4" t="s">
        <v>409</v>
      </c>
      <c r="D3140" s="4">
        <v>89</v>
      </c>
      <c r="E3140" s="12" t="str">
        <f t="array" ref="E3140">IF(D3140:D7181="","",IFERROR(_xlfn.XLOOKUP(D3140:D7181,'参照_勢力'!A:A,'参照_勢力'!B:B),IFERROR(_xlfn.XLOOKUP(F3140:F7181,kunishuClan!A:A,kunishuClan!B:B),"浪人")))</f>
      </c>
      <c r="F3140" s="4">
        <v>0</v>
      </c>
      <c r="G3140" s="4">
        <v>226</v>
      </c>
      <c r="H3140" s="12" t="str">
        <f t="array" ref="H3140">IF(G3140:G7181="","",_xlfn.XLOOKUP(G3140:G7181,castles_state!A:A,castles_state!D:D,"見つかりません"))</f>
      </c>
      <c r="I3140" s="4"/>
      <c r="J3140" s="12" t="str">
        <f t="array" ref="J3140">IF(I3140:I7181="","",_xlfn.XLOOKUP(I3140:I7181,'参照_姫'!A:A,'参照_姫'!B:B,"見つかりません"))</f>
      </c>
      <c r="K3140" s="4">
        <v>95</v>
      </c>
      <c r="L3140" s="4">
        <v>0</v>
      </c>
      <c r="M3140" s="4"/>
      <c r="N3140" s="4"/>
      <c r="O3140" s="4"/>
      <c r="P3140" s="12" t="str">
        <f t="array" ref="P3140">IF(O3140:O7181="","",_xlfn.XLOOKUP(O3140:O7181,'参照_官位'!A:A,'参照_官位'!B:B,""))</f>
      </c>
      <c r="Q3140" s="12" t="str">
        <f t="array" ref="Q3140">IF(A3140:A7181="","",IFERROR(_xlfn.XLOOKUP(A3140:A7181,castles_state!K:K,castles_state!D:D)&amp;"主",IFERROR(_xlfn.XLOOKUP(A3140:A7181,kunishuClan!D:D,kunishuClan!B:B)&amp;"当主","")))</f>
      </c>
    </row>
    <row r="3141" ht="15.75" customHeight="1">
      <c r="A3141" s="4">
        <v>1089034</v>
      </c>
      <c r="B3141" s="12" t="str">
        <f t="array" ref="B3141">IF(A3141:A7182="","",_xlfn.XLOOKUP(A3141:A7182,'参照_武将'!A:A,'参照_武将'!B:B,"見つかりません"))</f>
      </c>
      <c r="C3141" s="4" t="s">
        <v>409</v>
      </c>
      <c r="D3141" s="4">
        <v>89</v>
      </c>
      <c r="E3141" s="12" t="str">
        <f t="array" ref="E3141">IF(D3141:D7182="","",IFERROR(_xlfn.XLOOKUP(D3141:D7182,'参照_勢力'!A:A,'参照_勢力'!B:B),IFERROR(_xlfn.XLOOKUP(F3141:F7182,kunishuClan!A:A,kunishuClan!B:B),"浪人")))</f>
      </c>
      <c r="F3141" s="4">
        <v>0</v>
      </c>
      <c r="G3141" s="4">
        <v>226</v>
      </c>
      <c r="H3141" s="12" t="str">
        <f t="array" ref="H3141">IF(G3141:G7182="","",_xlfn.XLOOKUP(G3141:G7182,castles_state!A:A,castles_state!D:D,"見つかりません"))</f>
      </c>
      <c r="I3141" s="4"/>
      <c r="J3141" s="12" t="str">
        <f t="array" ref="J3141">IF(I3141:I7182="","",_xlfn.XLOOKUP(I3141:I7182,'参照_姫'!A:A,'参照_姫'!B:B,"見つかりません"))</f>
      </c>
      <c r="K3141" s="4">
        <v>95</v>
      </c>
      <c r="L3141" s="4">
        <v>0</v>
      </c>
      <c r="M3141" s="4"/>
      <c r="N3141" s="4"/>
      <c r="O3141" s="4"/>
      <c r="P3141" s="12" t="str">
        <f t="array" ref="P3141">IF(O3141:O7182="","",_xlfn.XLOOKUP(O3141:O7182,'参照_官位'!A:A,'参照_官位'!B:B,""))</f>
      </c>
      <c r="Q3141" s="12" t="str">
        <f t="array" ref="Q3141">IF(A3141:A7182="","",IFERROR(_xlfn.XLOOKUP(A3141:A7182,castles_state!K:K,castles_state!D:D)&amp;"主",IFERROR(_xlfn.XLOOKUP(A3141:A7182,kunishuClan!D:D,kunishuClan!B:B)&amp;"当主","")))</f>
      </c>
    </row>
    <row r="3142" ht="15.75" customHeight="1">
      <c r="A3142" s="4">
        <v>1089035</v>
      </c>
      <c r="B3142" s="12" t="str">
        <f t="array" ref="B3142">IF(A3142:A7183="","",_xlfn.XLOOKUP(A3142:A7183,'参照_武将'!A:A,'参照_武将'!B:B,"見つかりません"))</f>
      </c>
      <c r="C3142" s="4" t="s">
        <v>409</v>
      </c>
      <c r="D3142" s="4">
        <v>89</v>
      </c>
      <c r="E3142" s="12" t="str">
        <f t="array" ref="E3142">IF(D3142:D7183="","",IFERROR(_xlfn.XLOOKUP(D3142:D7183,'参照_勢力'!A:A,'参照_勢力'!B:B),IFERROR(_xlfn.XLOOKUP(F3142:F7183,kunishuClan!A:A,kunishuClan!B:B),"浪人")))</f>
      </c>
      <c r="F3142" s="4">
        <v>0</v>
      </c>
      <c r="G3142" s="4">
        <v>226</v>
      </c>
      <c r="H3142" s="12" t="str">
        <f t="array" ref="H3142">IF(G3142:G7183="","",_xlfn.XLOOKUP(G3142:G7183,castles_state!A:A,castles_state!D:D,"見つかりません"))</f>
      </c>
      <c r="I3142" s="4"/>
      <c r="J3142" s="12" t="str">
        <f t="array" ref="J3142">IF(I3142:I7183="","",_xlfn.XLOOKUP(I3142:I7183,'参照_姫'!A:A,'参照_姫'!B:B,"見つかりません"))</f>
      </c>
      <c r="K3142" s="4">
        <v>95</v>
      </c>
      <c r="L3142" s="4">
        <v>300</v>
      </c>
      <c r="M3142" s="4" t="b">
        <v>1</v>
      </c>
      <c r="N3142" s="4"/>
      <c r="O3142" s="4"/>
      <c r="P3142" s="12" t="str">
        <f t="array" ref="P3142">IF(O3142:O7183="","",_xlfn.XLOOKUP(O3142:O7183,'参照_官位'!A:A,'参照_官位'!B:B,""))</f>
      </c>
      <c r="Q3142" s="12" t="str">
        <f t="array" ref="Q3142">IF(A3142:A7183="","",IFERROR(_xlfn.XLOOKUP(A3142:A7183,castles_state!K:K,castles_state!D:D)&amp;"主",IFERROR(_xlfn.XLOOKUP(A3142:A7183,kunishuClan!D:D,kunishuClan!B:B)&amp;"当主","")))</f>
      </c>
    </row>
    <row r="3143" ht="15.75" customHeight="1">
      <c r="A3143" s="4">
        <v>1089036</v>
      </c>
      <c r="B3143" s="12" t="str">
        <f t="array" ref="B3143">IF(A3143:A7184="","",_xlfn.XLOOKUP(A3143:A7184,'参照_武将'!A:A,'参照_武将'!B:B,"見つかりません"))</f>
      </c>
      <c r="C3143" s="4" t="s">
        <v>409</v>
      </c>
      <c r="D3143" s="4">
        <v>89</v>
      </c>
      <c r="E3143" s="12" t="str">
        <f t="array" ref="E3143">IF(D3143:D7184="","",IFERROR(_xlfn.XLOOKUP(D3143:D7184,'参照_勢力'!A:A,'参照_勢力'!B:B),IFERROR(_xlfn.XLOOKUP(F3143:F7184,kunishuClan!A:A,kunishuClan!B:B),"浪人")))</f>
      </c>
      <c r="F3143" s="4">
        <v>0</v>
      </c>
      <c r="G3143" s="4">
        <v>226</v>
      </c>
      <c r="H3143" s="12" t="str">
        <f t="array" ref="H3143">IF(G3143:G7184="","",_xlfn.XLOOKUP(G3143:G7184,castles_state!A:A,castles_state!D:D,"見つかりません"))</f>
      </c>
      <c r="I3143" s="4"/>
      <c r="J3143" s="12" t="str">
        <f t="array" ref="J3143">IF(I3143:I7184="","",_xlfn.XLOOKUP(I3143:I7184,'参照_姫'!A:A,'参照_姫'!B:B,"見つかりません"))</f>
      </c>
      <c r="K3143" s="4">
        <v>95</v>
      </c>
      <c r="L3143" s="4">
        <v>0</v>
      </c>
      <c r="M3143" s="4"/>
      <c r="N3143" s="4"/>
      <c r="O3143" s="4"/>
      <c r="P3143" s="12" t="str">
        <f t="array" ref="P3143">IF(O3143:O7184="","",_xlfn.XLOOKUP(O3143:O7184,'参照_官位'!A:A,'参照_官位'!B:B,""))</f>
      </c>
      <c r="Q3143" s="12" t="str">
        <f t="array" ref="Q3143">IF(A3143:A7184="","",IFERROR(_xlfn.XLOOKUP(A3143:A7184,castles_state!K:K,castles_state!D:D)&amp;"主",IFERROR(_xlfn.XLOOKUP(A3143:A7184,kunishuClan!D:D,kunishuClan!B:B)&amp;"当主","")))</f>
      </c>
    </row>
    <row r="3144" ht="15.75" customHeight="1">
      <c r="A3144" s="4">
        <v>1089037</v>
      </c>
      <c r="B3144" s="12" t="str">
        <f t="array" ref="B3144">IF(A3144:A7185="","",_xlfn.XLOOKUP(A3144:A7185,'参照_武将'!A:A,'参照_武将'!B:B,"見つかりません"))</f>
      </c>
      <c r="C3144" s="4" t="s">
        <v>409</v>
      </c>
      <c r="D3144" s="4">
        <v>89</v>
      </c>
      <c r="E3144" s="12" t="str">
        <f t="array" ref="E3144">IF(D3144:D7185="","",IFERROR(_xlfn.XLOOKUP(D3144:D7185,'参照_勢力'!A:A,'参照_勢力'!B:B),IFERROR(_xlfn.XLOOKUP(F3144:F7185,kunishuClan!A:A,kunishuClan!B:B),"浪人")))</f>
      </c>
      <c r="F3144" s="4">
        <v>0</v>
      </c>
      <c r="G3144" s="4">
        <v>226</v>
      </c>
      <c r="H3144" s="12" t="str">
        <f t="array" ref="H3144">IF(G3144:G7185="","",_xlfn.XLOOKUP(G3144:G7185,castles_state!A:A,castles_state!D:D,"見つかりません"))</f>
      </c>
      <c r="I3144" s="4"/>
      <c r="J3144" s="12" t="str">
        <f t="array" ref="J3144">IF(I3144:I7185="","",_xlfn.XLOOKUP(I3144:I7185,'参照_姫'!A:A,'参照_姫'!B:B,"見つかりません"))</f>
      </c>
      <c r="K3144" s="4">
        <v>95</v>
      </c>
      <c r="L3144" s="4">
        <v>0</v>
      </c>
      <c r="M3144" s="4"/>
      <c r="N3144" s="4"/>
      <c r="O3144" s="4"/>
      <c r="P3144" s="12" t="str">
        <f t="array" ref="P3144">IF(O3144:O7185="","",_xlfn.XLOOKUP(O3144:O7185,'参照_官位'!A:A,'参照_官位'!B:B,""))</f>
      </c>
      <c r="Q3144" s="12" t="str">
        <f t="array" ref="Q3144">IF(A3144:A7185="","",IFERROR(_xlfn.XLOOKUP(A3144:A7185,castles_state!K:K,castles_state!D:D)&amp;"主",IFERROR(_xlfn.XLOOKUP(A3144:A7185,kunishuClan!D:D,kunishuClan!B:B)&amp;"当主","")))</f>
      </c>
    </row>
    <row r="3145" ht="15.75" customHeight="1">
      <c r="A3145" s="4">
        <v>1089038</v>
      </c>
      <c r="B3145" s="12" t="str">
        <f t="array" ref="B3145">IF(A3145:A7186="","",_xlfn.XLOOKUP(A3145:A7186,'参照_武将'!A:A,'参照_武将'!B:B,"見つかりません"))</f>
      </c>
      <c r="C3145" s="4" t="s">
        <v>409</v>
      </c>
      <c r="D3145" s="4">
        <v>89</v>
      </c>
      <c r="E3145" s="12" t="str">
        <f t="array" ref="E3145">IF(D3145:D7186="","",IFERROR(_xlfn.XLOOKUP(D3145:D7186,'参照_勢力'!A:A,'参照_勢力'!B:B),IFERROR(_xlfn.XLOOKUP(F3145:F7186,kunishuClan!A:A,kunishuClan!B:B),"浪人")))</f>
      </c>
      <c r="F3145" s="4">
        <v>0</v>
      </c>
      <c r="G3145" s="4">
        <v>226</v>
      </c>
      <c r="H3145" s="12" t="str">
        <f t="array" ref="H3145">IF(G3145:G7186="","",_xlfn.XLOOKUP(G3145:G7186,castles_state!A:A,castles_state!D:D,"見つかりません"))</f>
      </c>
      <c r="I3145" s="4"/>
      <c r="J3145" s="12" t="str">
        <f t="array" ref="J3145">IF(I3145:I7186="","",_xlfn.XLOOKUP(I3145:I7186,'参照_姫'!A:A,'参照_姫'!B:B,"見つかりません"))</f>
      </c>
      <c r="K3145" s="4">
        <v>95</v>
      </c>
      <c r="L3145" s="4">
        <v>0</v>
      </c>
      <c r="M3145" s="4"/>
      <c r="N3145" s="4"/>
      <c r="O3145" s="4"/>
      <c r="P3145" s="12" t="str">
        <f t="array" ref="P3145">IF(O3145:O7186="","",_xlfn.XLOOKUP(O3145:O7186,'参照_官位'!A:A,'参照_官位'!B:B,""))</f>
      </c>
      <c r="Q3145" s="12" t="str">
        <f t="array" ref="Q3145">IF(A3145:A7186="","",IFERROR(_xlfn.XLOOKUP(A3145:A7186,castles_state!K:K,castles_state!D:D)&amp;"主",IFERROR(_xlfn.XLOOKUP(A3145:A7186,kunishuClan!D:D,kunishuClan!B:B)&amp;"当主","")))</f>
      </c>
    </row>
    <row r="3146" ht="15.75" customHeight="1">
      <c r="A3146" s="4">
        <v>1089039</v>
      </c>
      <c r="B3146" s="12" t="str">
        <f t="array" ref="B3146">IF(A3146:A7187="","",_xlfn.XLOOKUP(A3146:A7187,'参照_武将'!A:A,'参照_武将'!B:B,"見つかりません"))</f>
      </c>
      <c r="C3146" s="4" t="s">
        <v>409</v>
      </c>
      <c r="D3146" s="4">
        <v>89</v>
      </c>
      <c r="E3146" s="12" t="str">
        <f t="array" ref="E3146">IF(D3146:D7187="","",IFERROR(_xlfn.XLOOKUP(D3146:D7187,'参照_勢力'!A:A,'参照_勢力'!B:B),IFERROR(_xlfn.XLOOKUP(F3146:F7187,kunishuClan!A:A,kunishuClan!B:B),"浪人")))</f>
      </c>
      <c r="F3146" s="4">
        <v>0</v>
      </c>
      <c r="G3146" s="4">
        <v>226</v>
      </c>
      <c r="H3146" s="12" t="str">
        <f t="array" ref="H3146">IF(G3146:G7187="","",_xlfn.XLOOKUP(G3146:G7187,castles_state!A:A,castles_state!D:D,"見つかりません"))</f>
      </c>
      <c r="I3146" s="4"/>
      <c r="J3146" s="12" t="str">
        <f t="array" ref="J3146">IF(I3146:I7187="","",_xlfn.XLOOKUP(I3146:I7187,'参照_姫'!A:A,'参照_姫'!B:B,"見つかりません"))</f>
      </c>
      <c r="K3146" s="4">
        <v>95</v>
      </c>
      <c r="L3146" s="4">
        <v>0</v>
      </c>
      <c r="M3146" s="4"/>
      <c r="N3146" s="4"/>
      <c r="O3146" s="4"/>
      <c r="P3146" s="12" t="str">
        <f t="array" ref="P3146">IF(O3146:O7187="","",_xlfn.XLOOKUP(O3146:O7187,'参照_官位'!A:A,'参照_官位'!B:B,""))</f>
      </c>
      <c r="Q3146" s="12" t="str">
        <f t="array" ref="Q3146">IF(A3146:A7187="","",IFERROR(_xlfn.XLOOKUP(A3146:A7187,castles_state!K:K,castles_state!D:D)&amp;"主",IFERROR(_xlfn.XLOOKUP(A3146:A7187,kunishuClan!D:D,kunishuClan!B:B)&amp;"当主","")))</f>
      </c>
    </row>
    <row r="3147" ht="15.75" customHeight="1">
      <c r="A3147" s="4">
        <v>1089040</v>
      </c>
      <c r="B3147" s="12" t="str">
        <f t="array" ref="B3147">IF(A3147:A7188="","",_xlfn.XLOOKUP(A3147:A7188,'参照_武将'!A:A,'参照_武将'!B:B,"見つかりません"))</f>
      </c>
      <c r="C3147" s="4" t="s">
        <v>409</v>
      </c>
      <c r="D3147" s="4">
        <v>89</v>
      </c>
      <c r="E3147" s="12" t="str">
        <f t="array" ref="E3147">IF(D3147:D7188="","",IFERROR(_xlfn.XLOOKUP(D3147:D7188,'参照_勢力'!A:A,'参照_勢力'!B:B),IFERROR(_xlfn.XLOOKUP(F3147:F7188,kunishuClan!A:A,kunishuClan!B:B),"浪人")))</f>
      </c>
      <c r="F3147" s="4">
        <v>0</v>
      </c>
      <c r="G3147" s="4">
        <v>226</v>
      </c>
      <c r="H3147" s="12" t="str">
        <f t="array" ref="H3147">IF(G3147:G7188="","",_xlfn.XLOOKUP(G3147:G7188,castles_state!A:A,castles_state!D:D,"見つかりません"))</f>
      </c>
      <c r="I3147" s="4"/>
      <c r="J3147" s="12" t="str">
        <f t="array" ref="J3147">IF(I3147:I7188="","",_xlfn.XLOOKUP(I3147:I7188,'参照_姫'!A:A,'参照_姫'!B:B,"見つかりません"))</f>
      </c>
      <c r="K3147" s="4">
        <v>95</v>
      </c>
      <c r="L3147" s="4">
        <v>0</v>
      </c>
      <c r="M3147" s="4"/>
      <c r="N3147" s="4"/>
      <c r="O3147" s="4"/>
      <c r="P3147" s="12" t="str">
        <f t="array" ref="P3147">IF(O3147:O7188="","",_xlfn.XLOOKUP(O3147:O7188,'参照_官位'!A:A,'参照_官位'!B:B,""))</f>
      </c>
      <c r="Q3147" s="12" t="str">
        <f t="array" ref="Q3147">IF(A3147:A7188="","",IFERROR(_xlfn.XLOOKUP(A3147:A7188,castles_state!K:K,castles_state!D:D)&amp;"主",IFERROR(_xlfn.XLOOKUP(A3147:A7188,kunishuClan!D:D,kunishuClan!B:B)&amp;"当主","")))</f>
      </c>
    </row>
    <row r="3148" ht="15.75" customHeight="1">
      <c r="A3148" s="4">
        <v>1089041</v>
      </c>
      <c r="B3148" s="12" t="str">
        <f t="array" ref="B3148">IF(A3148:A7189="","",_xlfn.XLOOKUP(A3148:A7189,'参照_武将'!A:A,'参照_武将'!B:B,"見つかりません"))</f>
      </c>
      <c r="C3148" s="4" t="s">
        <v>409</v>
      </c>
      <c r="D3148" s="4">
        <v>89</v>
      </c>
      <c r="E3148" s="12" t="str">
        <f t="array" ref="E3148">IF(D3148:D7189="","",IFERROR(_xlfn.XLOOKUP(D3148:D7189,'参照_勢力'!A:A,'参照_勢力'!B:B),IFERROR(_xlfn.XLOOKUP(F3148:F7189,kunishuClan!A:A,kunishuClan!B:B),"浪人")))</f>
      </c>
      <c r="F3148" s="4">
        <v>0</v>
      </c>
      <c r="G3148" s="4">
        <v>226</v>
      </c>
      <c r="H3148" s="12" t="str">
        <f t="array" ref="H3148">IF(G3148:G7189="","",_xlfn.XLOOKUP(G3148:G7189,castles_state!A:A,castles_state!D:D,"見つかりません"))</f>
      </c>
      <c r="I3148" s="4"/>
      <c r="J3148" s="12" t="str">
        <f t="array" ref="J3148">IF(I3148:I7189="","",_xlfn.XLOOKUP(I3148:I7189,'参照_姫'!A:A,'参照_姫'!B:B,"見つかりません"))</f>
      </c>
      <c r="K3148" s="4">
        <v>95</v>
      </c>
      <c r="L3148" s="4">
        <v>300</v>
      </c>
      <c r="M3148" s="4"/>
      <c r="N3148" s="4"/>
      <c r="O3148" s="4"/>
      <c r="P3148" s="12" t="str">
        <f t="array" ref="P3148">IF(O3148:O7189="","",_xlfn.XLOOKUP(O3148:O7189,'参照_官位'!A:A,'参照_官位'!B:B,""))</f>
      </c>
      <c r="Q3148" s="12" t="str">
        <f t="array" ref="Q3148">IF(A3148:A7189="","",IFERROR(_xlfn.XLOOKUP(A3148:A7189,castles_state!K:K,castles_state!D:D)&amp;"主",IFERROR(_xlfn.XLOOKUP(A3148:A7189,kunishuClan!D:D,kunishuClan!B:B)&amp;"当主","")))</f>
      </c>
    </row>
    <row r="3149" ht="15.75" customHeight="1">
      <c r="A3149" s="4">
        <v>1089042</v>
      </c>
      <c r="B3149" s="12" t="str">
        <f t="array" ref="B3149">IF(A3149:A7190="","",_xlfn.XLOOKUP(A3149:A7190,'参照_武将'!A:A,'参照_武将'!B:B,"見つかりません"))</f>
      </c>
      <c r="C3149" s="4" t="s">
        <v>409</v>
      </c>
      <c r="D3149" s="4">
        <v>89</v>
      </c>
      <c r="E3149" s="12" t="str">
        <f t="array" ref="E3149">IF(D3149:D7190="","",IFERROR(_xlfn.XLOOKUP(D3149:D7190,'参照_勢力'!A:A,'参照_勢力'!B:B),IFERROR(_xlfn.XLOOKUP(F3149:F7190,kunishuClan!A:A,kunishuClan!B:B),"浪人")))</f>
      </c>
      <c r="F3149" s="4">
        <v>0</v>
      </c>
      <c r="G3149" s="4">
        <v>226</v>
      </c>
      <c r="H3149" s="12" t="str">
        <f t="array" ref="H3149">IF(G3149:G7190="","",_xlfn.XLOOKUP(G3149:G7190,castles_state!A:A,castles_state!D:D,"見つかりません"))</f>
      </c>
      <c r="I3149" s="4"/>
      <c r="J3149" s="12" t="str">
        <f t="array" ref="J3149">IF(I3149:I7190="","",_xlfn.XLOOKUP(I3149:I7190,'参照_姫'!A:A,'参照_姫'!B:B,"見つかりません"))</f>
      </c>
      <c r="K3149" s="4">
        <v>95</v>
      </c>
      <c r="L3149" s="4">
        <v>0</v>
      </c>
      <c r="M3149" s="4"/>
      <c r="N3149" s="4"/>
      <c r="O3149" s="4"/>
      <c r="P3149" s="12" t="str">
        <f t="array" ref="P3149">IF(O3149:O7190="","",_xlfn.XLOOKUP(O3149:O7190,'参照_官位'!A:A,'参照_官位'!B:B,""))</f>
      </c>
      <c r="Q3149" s="12" t="str">
        <f t="array" ref="Q3149">IF(A3149:A7190="","",IFERROR(_xlfn.XLOOKUP(A3149:A7190,castles_state!K:K,castles_state!D:D)&amp;"主",IFERROR(_xlfn.XLOOKUP(A3149:A7190,kunishuClan!D:D,kunishuClan!B:B)&amp;"当主","")))</f>
      </c>
    </row>
    <row r="3150" ht="15.75" customHeight="1">
      <c r="A3150" s="4">
        <v>1089043</v>
      </c>
      <c r="B3150" s="12" t="str">
        <f t="array" ref="B3150">IF(A3150:A7191="","",_xlfn.XLOOKUP(A3150:A7191,'参照_武将'!A:A,'参照_武将'!B:B,"見つかりません"))</f>
      </c>
      <c r="C3150" s="4" t="s">
        <v>409</v>
      </c>
      <c r="D3150" s="4">
        <v>89</v>
      </c>
      <c r="E3150" s="12" t="str">
        <f t="array" ref="E3150">IF(D3150:D7191="","",IFERROR(_xlfn.XLOOKUP(D3150:D7191,'参照_勢力'!A:A,'参照_勢力'!B:B),IFERROR(_xlfn.XLOOKUP(F3150:F7191,kunishuClan!A:A,kunishuClan!B:B),"浪人")))</f>
      </c>
      <c r="F3150" s="4">
        <v>0</v>
      </c>
      <c r="G3150" s="4">
        <v>226</v>
      </c>
      <c r="H3150" s="12" t="str">
        <f t="array" ref="H3150">IF(G3150:G7191="","",_xlfn.XLOOKUP(G3150:G7191,castles_state!A:A,castles_state!D:D,"見つかりません"))</f>
      </c>
      <c r="I3150" s="4"/>
      <c r="J3150" s="12" t="str">
        <f t="array" ref="J3150">IF(I3150:I7191="","",_xlfn.XLOOKUP(I3150:I7191,'参照_姫'!A:A,'参照_姫'!B:B,"見つかりません"))</f>
      </c>
      <c r="K3150" s="4">
        <v>95</v>
      </c>
      <c r="L3150" s="4">
        <v>0</v>
      </c>
      <c r="M3150" s="4"/>
      <c r="N3150" s="4"/>
      <c r="O3150" s="4"/>
      <c r="P3150" s="12" t="str">
        <f t="array" ref="P3150">IF(O3150:O7191="","",_xlfn.XLOOKUP(O3150:O7191,'参照_官位'!A:A,'参照_官位'!B:B,""))</f>
      </c>
      <c r="Q3150" s="12" t="str">
        <f t="array" ref="Q3150">IF(A3150:A7191="","",IFERROR(_xlfn.XLOOKUP(A3150:A7191,castles_state!K:K,castles_state!D:D)&amp;"主",IFERROR(_xlfn.XLOOKUP(A3150:A7191,kunishuClan!D:D,kunishuClan!B:B)&amp;"当主","")))</f>
      </c>
    </row>
    <row r="3151" ht="15.75" customHeight="1">
      <c r="A3151" s="4">
        <v>1089044</v>
      </c>
      <c r="B3151" s="12" t="str">
        <f t="array" ref="B3151">IF(A3151:A7192="","",_xlfn.XLOOKUP(A3151:A7192,'参照_武将'!A:A,'参照_武将'!B:B,"見つかりません"))</f>
      </c>
      <c r="C3151" s="4" t="s">
        <v>409</v>
      </c>
      <c r="D3151" s="4">
        <v>89</v>
      </c>
      <c r="E3151" s="12" t="str">
        <f t="array" ref="E3151">IF(D3151:D7192="","",IFERROR(_xlfn.XLOOKUP(D3151:D7192,'参照_勢力'!A:A,'参照_勢力'!B:B),IFERROR(_xlfn.XLOOKUP(F3151:F7192,kunishuClan!A:A,kunishuClan!B:B),"浪人")))</f>
      </c>
      <c r="F3151" s="4">
        <v>0</v>
      </c>
      <c r="G3151" s="4">
        <v>226</v>
      </c>
      <c r="H3151" s="12" t="str">
        <f t="array" ref="H3151">IF(G3151:G7192="","",_xlfn.XLOOKUP(G3151:G7192,castles_state!A:A,castles_state!D:D,"見つかりません"))</f>
      </c>
      <c r="I3151" s="4"/>
      <c r="J3151" s="12" t="str">
        <f t="array" ref="J3151">IF(I3151:I7192="","",_xlfn.XLOOKUP(I3151:I7192,'参照_姫'!A:A,'参照_姫'!B:B,"見つかりません"))</f>
      </c>
      <c r="K3151" s="4">
        <v>95</v>
      </c>
      <c r="L3151" s="4">
        <v>0</v>
      </c>
      <c r="M3151" s="4"/>
      <c r="N3151" s="4"/>
      <c r="O3151" s="4"/>
      <c r="P3151" s="12" t="str">
        <f t="array" ref="P3151">IF(O3151:O7192="","",_xlfn.XLOOKUP(O3151:O7192,'参照_官位'!A:A,'参照_官位'!B:B,""))</f>
      </c>
      <c r="Q3151" s="12" t="str">
        <f t="array" ref="Q3151">IF(A3151:A7192="","",IFERROR(_xlfn.XLOOKUP(A3151:A7192,castles_state!K:K,castles_state!D:D)&amp;"主",IFERROR(_xlfn.XLOOKUP(A3151:A7192,kunishuClan!D:D,kunishuClan!B:B)&amp;"当主","")))</f>
      </c>
    </row>
    <row r="3152" ht="15.75" customHeight="1">
      <c r="A3152" s="4">
        <v>1091001</v>
      </c>
      <c r="B3152" s="12" t="str">
        <f t="array" ref="B3152">IF(A3152:A7195="","",_xlfn.XLOOKUP(A3152:A7195,'参照_武将'!A:A,'参照_武将'!B:B,"見つかりません"))</f>
      </c>
      <c r="C3152" s="4" t="s">
        <v>5974</v>
      </c>
      <c r="D3152" s="4">
        <v>2</v>
      </c>
      <c r="E3152" s="12" t="str">
        <f t="array" ref="E3152">IF(D3152:D7195="","",IFERROR(_xlfn.XLOOKUP(D3152:D7195,'参照_勢力'!A:A,'参照_勢力'!B:B),IFERROR(_xlfn.XLOOKUP(F3152:F7195,kunishuClan!A:A,kunishuClan!B:B),"浪人")))</f>
      </c>
      <c r="F3152" s="4">
        <v>0</v>
      </c>
      <c r="G3152" s="4">
        <v>234</v>
      </c>
      <c r="H3152" s="12" t="str">
        <f t="array" ref="H3152">IF(G3152:G7195="","",_xlfn.XLOOKUP(G3152:G7195,castles_state!A:A,castles_state!D:D,"見つかりません"))</f>
      </c>
      <c r="I3152" s="4"/>
      <c r="J3152" s="12" t="str">
        <f t="array" ref="J3152">IF(I3152:I7195="","",_xlfn.XLOOKUP(I3152:I7195,'参照_姫'!A:A,'参照_姫'!B:B,"見つかりません"))</f>
      </c>
      <c r="K3152" s="4">
        <v>100</v>
      </c>
      <c r="L3152" s="4">
        <v>0</v>
      </c>
      <c r="M3152" s="4"/>
      <c r="N3152" s="4"/>
      <c r="O3152" s="4"/>
      <c r="P3152" s="12" t="str">
        <f t="array" ref="P3152">IF(O3152:O7195="","",_xlfn.XLOOKUP(O3152:O7195,'参照_官位'!A:A,'参照_官位'!B:B,""))</f>
      </c>
      <c r="Q3152" s="12" t="str">
        <f t="array" ref="Q3152">IF(A3152:A7195="","",IFERROR(_xlfn.XLOOKUP(A3152:A7195,castles_state!K:K,castles_state!D:D)&amp;"主",IFERROR(_xlfn.XLOOKUP(A3152:A7195,kunishuClan!D:D,kunishuClan!B:B)&amp;"当主","")))</f>
      </c>
    </row>
    <row r="3153" ht="15.75" customHeight="1">
      <c r="A3153" s="4">
        <v>1091002</v>
      </c>
      <c r="B3153" s="12" t="str">
        <f t="array" ref="B3153">IF(A3153:A7196="","",_xlfn.XLOOKUP(A3153:A7196,'参照_武将'!A:A,'参照_武将'!B:B,"見つかりません"))</f>
      </c>
      <c r="C3153" s="4" t="s">
        <v>5974</v>
      </c>
      <c r="D3153" s="4">
        <v>2</v>
      </c>
      <c r="E3153" s="12" t="str">
        <f t="array" ref="E3153">IF(D3153:D7196="","",IFERROR(_xlfn.XLOOKUP(D3153:D7196,'参照_勢力'!A:A,'参照_勢力'!B:B),IFERROR(_xlfn.XLOOKUP(F3153:F7196,kunishuClan!A:A,kunishuClan!B:B),"浪人")))</f>
      </c>
      <c r="F3153" s="4">
        <v>0</v>
      </c>
      <c r="G3153" s="4">
        <v>234</v>
      </c>
      <c r="H3153" s="12" t="str">
        <f t="array" ref="H3153">IF(G3153:G7196="","",_xlfn.XLOOKUP(G3153:G7196,castles_state!A:A,castles_state!D:D,"見つかりません"))</f>
      </c>
      <c r="I3153" s="4"/>
      <c r="J3153" s="12" t="str">
        <f t="array" ref="J3153">IF(I3153:I7196="","",_xlfn.XLOOKUP(I3153:I7196,'参照_姫'!A:A,'参照_姫'!B:B,"見つかりません"))</f>
      </c>
      <c r="K3153" s="4">
        <v>100</v>
      </c>
      <c r="L3153" s="4">
        <v>0</v>
      </c>
      <c r="M3153" s="4"/>
      <c r="N3153" s="4"/>
      <c r="O3153" s="4"/>
      <c r="P3153" s="12" t="str">
        <f t="array" ref="P3153">IF(O3153:O7196="","",_xlfn.XLOOKUP(O3153:O7196,'参照_官位'!A:A,'参照_官位'!B:B,""))</f>
      </c>
      <c r="Q3153" s="12" t="str">
        <f t="array" ref="Q3153">IF(A3153:A7196="","",IFERROR(_xlfn.XLOOKUP(A3153:A7196,castles_state!K:K,castles_state!D:D)&amp;"主",IFERROR(_xlfn.XLOOKUP(A3153:A7196,kunishuClan!D:D,kunishuClan!B:B)&amp;"当主","")))</f>
      </c>
    </row>
    <row r="3154" ht="15.75" customHeight="1">
      <c r="A3154" s="4">
        <v>1091003</v>
      </c>
      <c r="B3154" s="12" t="str">
        <f t="array" ref="B3154">IF(A3154:A7197="","",_xlfn.XLOOKUP(A3154:A7197,'参照_武将'!A:A,'参照_武将'!B:B,"見つかりません"))</f>
      </c>
      <c r="C3154" s="4" t="s">
        <v>5974</v>
      </c>
      <c r="D3154" s="4">
        <v>2</v>
      </c>
      <c r="E3154" s="12" t="str">
        <f t="array" ref="E3154">IF(D3154:D7197="","",IFERROR(_xlfn.XLOOKUP(D3154:D7197,'参照_勢力'!A:A,'参照_勢力'!B:B),IFERROR(_xlfn.XLOOKUP(F3154:F7197,kunishuClan!A:A,kunishuClan!B:B),"浪人")))</f>
      </c>
      <c r="F3154" s="4">
        <v>0</v>
      </c>
      <c r="G3154" s="4">
        <v>234</v>
      </c>
      <c r="H3154" s="12" t="str">
        <f t="array" ref="H3154">IF(G3154:G7197="","",_xlfn.XLOOKUP(G3154:G7197,castles_state!A:A,castles_state!D:D,"見つかりません"))</f>
      </c>
      <c r="I3154" s="4"/>
      <c r="J3154" s="12" t="str">
        <f t="array" ref="J3154">IF(I3154:I7197="","",_xlfn.XLOOKUP(I3154:I7197,'参照_姫'!A:A,'参照_姫'!B:B,"見つかりません"))</f>
      </c>
      <c r="K3154" s="4">
        <v>100</v>
      </c>
      <c r="L3154" s="4">
        <v>0</v>
      </c>
      <c r="M3154" s="4"/>
      <c r="N3154" s="4"/>
      <c r="O3154" s="4"/>
      <c r="P3154" s="12" t="str">
        <f t="array" ref="P3154">IF(O3154:O7197="","",_xlfn.XLOOKUP(O3154:O7197,'参照_官位'!A:A,'参照_官位'!B:B,""))</f>
      </c>
      <c r="Q3154" s="12" t="str">
        <f t="array" ref="Q3154">IF(A3154:A7197="","",IFERROR(_xlfn.XLOOKUP(A3154:A7197,castles_state!K:K,castles_state!D:D)&amp;"主",IFERROR(_xlfn.XLOOKUP(A3154:A7197,kunishuClan!D:D,kunishuClan!B:B)&amp;"当主","")))</f>
      </c>
    </row>
    <row r="3155" ht="15.75" customHeight="1">
      <c r="A3155" s="4">
        <v>1091004</v>
      </c>
      <c r="B3155" s="12" t="str">
        <f t="array" ref="B3155">IF(A3155:A7198="","",_xlfn.XLOOKUP(A3155:A7198,'参照_武将'!A:A,'参照_武将'!B:B,"見つかりません"))</f>
      </c>
      <c r="C3155" s="4" t="s">
        <v>5974</v>
      </c>
      <c r="D3155" s="4">
        <v>2</v>
      </c>
      <c r="E3155" s="12" t="str">
        <f t="array" ref="E3155">IF(D3155:D7198="","",IFERROR(_xlfn.XLOOKUP(D3155:D7198,'参照_勢力'!A:A,'参照_勢力'!B:B),IFERROR(_xlfn.XLOOKUP(F3155:F7198,kunishuClan!A:A,kunishuClan!B:B),"浪人")))</f>
      </c>
      <c r="F3155" s="4">
        <v>0</v>
      </c>
      <c r="G3155" s="4">
        <v>234</v>
      </c>
      <c r="H3155" s="12" t="str">
        <f t="array" ref="H3155">IF(G3155:G7198="","",_xlfn.XLOOKUP(G3155:G7198,castles_state!A:A,castles_state!D:D,"見つかりません"))</f>
      </c>
      <c r="I3155" s="4"/>
      <c r="J3155" s="12" t="str">
        <f t="array" ref="J3155">IF(I3155:I7198="","",_xlfn.XLOOKUP(I3155:I7198,'参照_姫'!A:A,'参照_姫'!B:B,"見つかりません"))</f>
      </c>
      <c r="K3155" s="4">
        <v>100</v>
      </c>
      <c r="L3155" s="4">
        <v>0</v>
      </c>
      <c r="M3155" s="4"/>
      <c r="N3155" s="4"/>
      <c r="O3155" s="4"/>
      <c r="P3155" s="12" t="str">
        <f t="array" ref="P3155">IF(O3155:O7198="","",_xlfn.XLOOKUP(O3155:O7198,'参照_官位'!A:A,'参照_官位'!B:B,""))</f>
      </c>
      <c r="Q3155" s="12" t="str">
        <f t="array" ref="Q3155">IF(A3155:A7198="","",IFERROR(_xlfn.XLOOKUP(A3155:A7198,castles_state!K:K,castles_state!D:D)&amp;"主",IFERROR(_xlfn.XLOOKUP(A3155:A7198,kunishuClan!D:D,kunishuClan!B:B)&amp;"当主","")))</f>
      </c>
    </row>
    <row r="3156" ht="15.75" customHeight="1">
      <c r="A3156" s="4">
        <v>1091005</v>
      </c>
      <c r="B3156" s="12" t="str">
        <f t="array" ref="B3156">IF(A3156:A7199="","",_xlfn.XLOOKUP(A3156:A7199,'参照_武将'!A:A,'参照_武将'!B:B,"見つかりません"))</f>
      </c>
      <c r="C3156" s="4" t="s">
        <v>5974</v>
      </c>
      <c r="D3156" s="4">
        <v>2</v>
      </c>
      <c r="E3156" s="12" t="str">
        <f t="array" ref="E3156">IF(D3156:D7199="","",IFERROR(_xlfn.XLOOKUP(D3156:D7199,'参照_勢力'!A:A,'参照_勢力'!B:B),IFERROR(_xlfn.XLOOKUP(F3156:F7199,kunishuClan!A:A,kunishuClan!B:B),"浪人")))</f>
      </c>
      <c r="F3156" s="4">
        <v>0</v>
      </c>
      <c r="G3156" s="4">
        <v>234</v>
      </c>
      <c r="H3156" s="12" t="str">
        <f t="array" ref="H3156">IF(G3156:G7199="","",_xlfn.XLOOKUP(G3156:G7199,castles_state!A:A,castles_state!D:D,"見つかりません"))</f>
      </c>
      <c r="I3156" s="4"/>
      <c r="J3156" s="12" t="str">
        <f t="array" ref="J3156">IF(I3156:I7199="","",_xlfn.XLOOKUP(I3156:I7199,'参照_姫'!A:A,'参照_姫'!B:B,"見つかりません"))</f>
      </c>
      <c r="K3156" s="4">
        <v>100</v>
      </c>
      <c r="L3156" s="4">
        <v>700</v>
      </c>
      <c r="M3156" s="4"/>
      <c r="N3156" s="4"/>
      <c r="O3156" s="4"/>
      <c r="P3156" s="12" t="str">
        <f t="array" ref="P3156">IF(O3156:O7199="","",_xlfn.XLOOKUP(O3156:O7199,'参照_官位'!A:A,'参照_官位'!B:B,""))</f>
      </c>
      <c r="Q3156" s="12" t="str">
        <f t="array" ref="Q3156">IF(A3156:A7199="","",IFERROR(_xlfn.XLOOKUP(A3156:A7199,castles_state!K:K,castles_state!D:D)&amp;"主",IFERROR(_xlfn.XLOOKUP(A3156:A7199,kunishuClan!D:D,kunishuClan!B:B)&amp;"当主","")))</f>
      </c>
    </row>
    <row r="3157" ht="15.75" customHeight="1">
      <c r="A3157" s="4">
        <v>1091006</v>
      </c>
      <c r="B3157" s="12" t="str">
        <f t="array" ref="B3157">IF(A3157:A7200="","",_xlfn.XLOOKUP(A3157:A7200,'参照_武将'!A:A,'参照_武将'!B:B,"見つかりません"))</f>
      </c>
      <c r="C3157" s="4" t="s">
        <v>5974</v>
      </c>
      <c r="D3157" s="4">
        <v>91</v>
      </c>
      <c r="E3157" s="12" t="str">
        <f t="array" ref="E3157">IF(D3157:D7200="","",IFERROR(_xlfn.XLOOKUP(D3157:D7200,'参照_勢力'!A:A,'参照_勢力'!B:B),IFERROR(_xlfn.XLOOKUP(F3157:F7200,kunishuClan!A:A,kunishuClan!B:B),"浪人")))</f>
      </c>
      <c r="F3157" s="4">
        <v>0</v>
      </c>
      <c r="G3157" s="4">
        <v>235</v>
      </c>
      <c r="H3157" s="12" t="str">
        <f t="array" ref="H3157">IF(G3157:G7200="","",_xlfn.XLOOKUP(G3157:G7200,castles_state!A:A,castles_state!D:D,"見つかりません"))</f>
      </c>
      <c r="I3157" s="4">
        <v>12</v>
      </c>
      <c r="J3157" s="12" t="str">
        <f t="array" ref="J3157">IF(I3157:I7200="","",_xlfn.XLOOKUP(I3157:I7200,'参照_姫'!A:A,'参照_姫'!B:B,"見つかりません"))</f>
      </c>
      <c r="K3157" s="4">
        <v>100</v>
      </c>
      <c r="L3157" s="4">
        <v>1500</v>
      </c>
      <c r="M3157" s="4"/>
      <c r="N3157" s="4"/>
      <c r="O3157" s="4">
        <v>64</v>
      </c>
      <c r="P3157" s="12" t="str">
        <f t="array" ref="P3157">IF(O3157:O7200="","",_xlfn.XLOOKUP(O3157:O7200,'参照_官位'!A:A,'参照_官位'!B:B,""))</f>
      </c>
      <c r="Q3157" s="12" t="str">
        <f t="array" ref="Q3157">IF(A3157:A7200="","",IFERROR(_xlfn.XLOOKUP(A3157:A7200,castles_state!K:K,castles_state!D:D)&amp;"主",IFERROR(_xlfn.XLOOKUP(A3157:A7200,kunishuClan!D:D,kunishuClan!B:B)&amp;"当主","")))</f>
      </c>
    </row>
    <row r="3158" ht="15.75" customHeight="1">
      <c r="A3158" s="4">
        <v>1091007</v>
      </c>
      <c r="B3158" s="12" t="str">
        <f t="array" ref="B3158">IF(A3158:A7201="","",_xlfn.XLOOKUP(A3158:A7201,'参照_武将'!A:A,'参照_武将'!B:B,"見つかりません"))</f>
      </c>
      <c r="C3158" s="4" t="s">
        <v>5974</v>
      </c>
      <c r="D3158" s="4">
        <v>91</v>
      </c>
      <c r="E3158" s="12" t="str">
        <f t="array" ref="E3158">IF(D3158:D7201="","",IFERROR(_xlfn.XLOOKUP(D3158:D7201,'参照_勢力'!A:A,'参照_勢力'!B:B),IFERROR(_xlfn.XLOOKUP(F3158:F7201,kunishuClan!A:A,kunishuClan!B:B),"浪人")))</f>
      </c>
      <c r="F3158" s="4">
        <v>0</v>
      </c>
      <c r="G3158" s="4">
        <v>235</v>
      </c>
      <c r="H3158" s="12" t="str">
        <f t="array" ref="H3158">IF(G3158:G7201="","",_xlfn.XLOOKUP(G3158:G7201,castles_state!A:A,castles_state!D:D,"見つかりません"))</f>
      </c>
      <c r="I3158" s="4"/>
      <c r="J3158" s="12" t="str">
        <f t="array" ref="J3158">IF(I3158:I7201="","",_xlfn.XLOOKUP(I3158:I7201,'参照_姫'!A:A,'参照_姫'!B:B,"見つかりません"))</f>
      </c>
      <c r="K3158" s="4">
        <v>100</v>
      </c>
      <c r="L3158" s="4">
        <v>1000</v>
      </c>
      <c r="M3158" s="4"/>
      <c r="N3158" s="4"/>
      <c r="O3158" s="4"/>
      <c r="P3158" s="12" t="str">
        <f t="array" ref="P3158">IF(O3158:O7201="","",_xlfn.XLOOKUP(O3158:O7201,'参照_官位'!A:A,'参照_官位'!B:B,""))</f>
      </c>
      <c r="Q3158" s="12" t="str">
        <f t="array" ref="Q3158">IF(A3158:A7201="","",IFERROR(_xlfn.XLOOKUP(A3158:A7201,castles_state!K:K,castles_state!D:D)&amp;"主",IFERROR(_xlfn.XLOOKUP(A3158:A7201,kunishuClan!D:D,kunishuClan!B:B)&amp;"当主","")))</f>
      </c>
    </row>
    <row r="3159" ht="15.75" customHeight="1">
      <c r="A3159" s="4">
        <v>1091008</v>
      </c>
      <c r="B3159" s="12" t="str">
        <f t="array" ref="B3159">IF(A3159:A7202="","",_xlfn.XLOOKUP(A3159:A7202,'参照_武将'!A:A,'参照_武将'!B:B,"見つかりません"))</f>
      </c>
      <c r="C3159" s="4" t="s">
        <v>5974</v>
      </c>
      <c r="D3159" s="4">
        <v>2</v>
      </c>
      <c r="E3159" s="12" t="str">
        <f t="array" ref="E3159">IF(D3159:D7202="","",IFERROR(_xlfn.XLOOKUP(D3159:D7202,'参照_勢力'!A:A,'参照_勢力'!B:B),IFERROR(_xlfn.XLOOKUP(F3159:F7202,kunishuClan!A:A,kunishuClan!B:B),"浪人")))</f>
      </c>
      <c r="F3159" s="4">
        <v>0</v>
      </c>
      <c r="G3159" s="4">
        <v>234</v>
      </c>
      <c r="H3159" s="12" t="str">
        <f t="array" ref="H3159">IF(G3159:G7202="","",_xlfn.XLOOKUP(G3159:G7202,castles_state!A:A,castles_state!D:D,"見つかりません"))</f>
      </c>
      <c r="I3159" s="4"/>
      <c r="J3159" s="12" t="str">
        <f t="array" ref="J3159">IF(I3159:I7202="","",_xlfn.XLOOKUP(I3159:I7202,'参照_姫'!A:A,'参照_姫'!B:B,"見つかりません"))</f>
      </c>
      <c r="K3159" s="4">
        <v>100</v>
      </c>
      <c r="L3159" s="4">
        <v>200</v>
      </c>
      <c r="M3159" s="4"/>
      <c r="N3159" s="4"/>
      <c r="O3159" s="4"/>
      <c r="P3159" s="12" t="str">
        <f t="array" ref="P3159">IF(O3159:O7202="","",_xlfn.XLOOKUP(O3159:O7202,'参照_官位'!A:A,'参照_官位'!B:B,""))</f>
      </c>
      <c r="Q3159" s="12" t="str">
        <f t="array" ref="Q3159">IF(A3159:A7202="","",IFERROR(_xlfn.XLOOKUP(A3159:A7202,castles_state!K:K,castles_state!D:D)&amp;"主",IFERROR(_xlfn.XLOOKUP(A3159:A7202,kunishuClan!D:D,kunishuClan!B:B)&amp;"当主","")))</f>
      </c>
    </row>
    <row r="3160" ht="15.75" customHeight="1">
      <c r="A3160" s="4">
        <v>1091009</v>
      </c>
      <c r="B3160" s="12" t="str">
        <f t="array" ref="B3160">IF(A3160:A7203="","",_xlfn.XLOOKUP(A3160:A7203,'参照_武将'!A:A,'参照_武将'!B:B,"見つかりません"))</f>
      </c>
      <c r="C3160" s="4" t="s">
        <v>5974</v>
      </c>
      <c r="D3160" s="4">
        <v>2</v>
      </c>
      <c r="E3160" s="12" t="str">
        <f t="array" ref="E3160">IF(D3160:D7203="","",IFERROR(_xlfn.XLOOKUP(D3160:D7203,'参照_勢力'!A:A,'参照_勢力'!B:B),IFERROR(_xlfn.XLOOKUP(F3160:F7203,kunishuClan!A:A,kunishuClan!B:B),"浪人")))</f>
      </c>
      <c r="F3160" s="4">
        <v>0</v>
      </c>
      <c r="G3160" s="4">
        <v>234</v>
      </c>
      <c r="H3160" s="12" t="str">
        <f t="array" ref="H3160">IF(G3160:G7203="","",_xlfn.XLOOKUP(G3160:G7203,castles_state!A:A,castles_state!D:D,"見つかりません"))</f>
      </c>
      <c r="I3160" s="4"/>
      <c r="J3160" s="12" t="str">
        <f t="array" ref="J3160">IF(I3160:I7203="","",_xlfn.XLOOKUP(I3160:I7203,'参照_姫'!A:A,'参照_姫'!B:B,"見つかりません"))</f>
      </c>
      <c r="K3160" s="4">
        <v>95</v>
      </c>
      <c r="L3160" s="4">
        <v>200</v>
      </c>
      <c r="M3160" s="4"/>
      <c r="N3160" s="4"/>
      <c r="O3160" s="4"/>
      <c r="P3160" s="12" t="str">
        <f t="array" ref="P3160">IF(O3160:O7203="","",_xlfn.XLOOKUP(O3160:O7203,'参照_官位'!A:A,'参照_官位'!B:B,""))</f>
      </c>
      <c r="Q3160" s="12" t="str">
        <f t="array" ref="Q3160">IF(A3160:A7203="","",IFERROR(_xlfn.XLOOKUP(A3160:A7203,castles_state!K:K,castles_state!D:D)&amp;"主",IFERROR(_xlfn.XLOOKUP(A3160:A7203,kunishuClan!D:D,kunishuClan!B:B)&amp;"当主","")))</f>
      </c>
    </row>
    <row r="3161" ht="15.75" customHeight="1">
      <c r="A3161" s="4">
        <v>1091010</v>
      </c>
      <c r="B3161" s="12" t="str">
        <f t="array" ref="B3161">IF(A3161:A7204="","",_xlfn.XLOOKUP(A3161:A7204,'参照_武将'!A:A,'参照_武将'!B:B,"見つかりません"))</f>
      </c>
      <c r="C3161" s="4" t="s">
        <v>5974</v>
      </c>
      <c r="D3161" s="4">
        <v>91</v>
      </c>
      <c r="E3161" s="12" t="str">
        <f t="array" ref="E3161">IF(D3161:D7204="","",IFERROR(_xlfn.XLOOKUP(D3161:D7204,'参照_勢力'!A:A,'参照_勢力'!B:B),IFERROR(_xlfn.XLOOKUP(F3161:F7204,kunishuClan!A:A,kunishuClan!B:B),"浪人")))</f>
      </c>
      <c r="F3161" s="4">
        <v>0</v>
      </c>
      <c r="G3161" s="4">
        <v>235</v>
      </c>
      <c r="H3161" s="12" t="str">
        <f t="array" ref="H3161">IF(G3161:G7204="","",_xlfn.XLOOKUP(G3161:G7204,castles_state!A:A,castles_state!D:D,"見つかりません"))</f>
      </c>
      <c r="I3161" s="4"/>
      <c r="J3161" s="12" t="str">
        <f t="array" ref="J3161">IF(I3161:I7204="","",_xlfn.XLOOKUP(I3161:I7204,'参照_姫'!A:A,'参照_姫'!B:B,"見つかりません"))</f>
      </c>
      <c r="K3161" s="4">
        <v>95</v>
      </c>
      <c r="L3161" s="4">
        <v>500</v>
      </c>
      <c r="M3161" s="4"/>
      <c r="N3161" s="4"/>
      <c r="O3161" s="4"/>
      <c r="P3161" s="12" t="str">
        <f t="array" ref="P3161">IF(O3161:O7204="","",_xlfn.XLOOKUP(O3161:O7204,'参照_官位'!A:A,'参照_官位'!B:B,""))</f>
      </c>
      <c r="Q3161" s="12" t="str">
        <f t="array" ref="Q3161">IF(A3161:A7204="","",IFERROR(_xlfn.XLOOKUP(A3161:A7204,castles_state!K:K,castles_state!D:D)&amp;"主",IFERROR(_xlfn.XLOOKUP(A3161:A7204,kunishuClan!D:D,kunishuClan!B:B)&amp;"当主","")))</f>
      </c>
    </row>
    <row r="3162" ht="15.75" customHeight="1">
      <c r="A3162" s="4">
        <v>1091011</v>
      </c>
      <c r="B3162" s="12" t="str">
        <f t="array" ref="B3162">IF(A3162:A7205="","",_xlfn.XLOOKUP(A3162:A7205,'参照_武将'!A:A,'参照_武将'!B:B,"見つかりません"))</f>
      </c>
      <c r="C3162" s="4" t="s">
        <v>481</v>
      </c>
      <c r="D3162" s="4">
        <v>0</v>
      </c>
      <c r="E3162" s="12" t="str">
        <f t="array" ref="E3162">IF(D3162:D7205="","",IFERROR(_xlfn.XLOOKUP(D3162:D7205,'参照_勢力'!A:A,'参照_勢力'!B:B),IFERROR(_xlfn.XLOOKUP(F3162:F7205,kunishuClan!A:A,kunishuClan!B:B),"浪人")))</f>
      </c>
      <c r="F3162" s="4">
        <v>0</v>
      </c>
      <c r="G3162" s="4">
        <v>6</v>
      </c>
      <c r="H3162" s="12" t="str">
        <f t="array" ref="H3162">IF(G3162:G7205="","",_xlfn.XLOOKUP(G3162:G7205,castles_state!A:A,castles_state!D:D,"見つかりません"))</f>
      </c>
      <c r="I3162" s="4"/>
      <c r="J3162" s="12" t="str">
        <f t="array" ref="J3162">IF(I3162:I7205="","",_xlfn.XLOOKUP(I3162:I7205,'参照_姫'!A:A,'参照_姫'!B:B,"見つかりません"))</f>
      </c>
      <c r="K3162" s="4">
        <v>50</v>
      </c>
      <c r="L3162" s="4">
        <v>0</v>
      </c>
      <c r="M3162" s="4"/>
      <c r="N3162" s="4"/>
      <c r="O3162" s="4"/>
      <c r="P3162" s="12" t="str">
        <f t="array" ref="P3162">IF(O3162:O7205="","",_xlfn.XLOOKUP(O3162:O7205,'参照_官位'!A:A,'参照_官位'!B:B,""))</f>
      </c>
      <c r="Q3162" s="12" t="str">
        <f t="array" ref="Q3162">IF(A3162:A7205="","",IFERROR(_xlfn.XLOOKUP(A3162:A7205,castles_state!K:K,castles_state!D:D)&amp;"主",IFERROR(_xlfn.XLOOKUP(A3162:A7205,kunishuClan!D:D,kunishuClan!B:B)&amp;"当主","")))</f>
      </c>
    </row>
    <row r="3163" ht="15.75" customHeight="1">
      <c r="A3163" s="4">
        <v>1091012</v>
      </c>
      <c r="B3163" s="12" t="str">
        <f t="array" ref="B3163">IF(A3163:A7206="","",_xlfn.XLOOKUP(A3163:A7206,'参照_武将'!A:A,'参照_武将'!B:B,"見つかりません"))</f>
      </c>
      <c r="C3163" s="4" t="s">
        <v>5975</v>
      </c>
      <c r="D3163" s="4">
        <v>27</v>
      </c>
      <c r="E3163" s="12" t="str">
        <f t="array" ref="E3163">IF(D3163:D7206="","",IFERROR(_xlfn.XLOOKUP(D3163:D7206,'参照_勢力'!A:A,'参照_勢力'!B:B),IFERROR(_xlfn.XLOOKUP(F3163:F7206,kunishuClan!A:A,kunishuClan!B:B),"浪人")))</f>
      </c>
      <c r="F3163" s="4">
        <v>0</v>
      </c>
      <c r="G3163" s="4">
        <v>252</v>
      </c>
      <c r="H3163" s="12" t="str">
        <f t="array" ref="H3163">IF(G3163:G7206="","",_xlfn.XLOOKUP(G3163:G7206,castles_state!A:A,castles_state!D:D,"見つかりません"))</f>
      </c>
      <c r="I3163" s="4"/>
      <c r="J3163" s="12" t="str">
        <f t="array" ref="J3163">IF(I3163:I7206="","",_xlfn.XLOOKUP(I3163:I7206,'参照_姫'!A:A,'参照_姫'!B:B,"見つかりません"))</f>
      </c>
      <c r="K3163" s="4">
        <v>95</v>
      </c>
      <c r="L3163" s="4">
        <v>0</v>
      </c>
      <c r="M3163" s="4"/>
      <c r="N3163" s="4"/>
      <c r="O3163" s="4"/>
      <c r="P3163" s="12" t="str">
        <f t="array" ref="P3163">IF(O3163:O7206="","",_xlfn.XLOOKUP(O3163:O7206,'参照_官位'!A:A,'参照_官位'!B:B,""))</f>
      </c>
      <c r="Q3163" s="12" t="str">
        <f t="array" ref="Q3163">IF(A3163:A7206="","",IFERROR(_xlfn.XLOOKUP(A3163:A7206,castles_state!K:K,castles_state!D:D)&amp;"主",IFERROR(_xlfn.XLOOKUP(A3163:A7206,kunishuClan!D:D,kunishuClan!B:B)&amp;"当主","")))</f>
      </c>
    </row>
    <row r="3164" ht="15.75" customHeight="1">
      <c r="A3164" s="4">
        <v>1091013</v>
      </c>
      <c r="B3164" s="12" t="str">
        <f t="array" ref="B3164">IF(A3164:A7207="","",_xlfn.XLOOKUP(A3164:A7207,'参照_武将'!A:A,'参照_武将'!B:B,"見つかりません"))</f>
      </c>
      <c r="C3164" s="4" t="s">
        <v>5975</v>
      </c>
      <c r="D3164" s="4">
        <v>27</v>
      </c>
      <c r="E3164" s="12" t="str">
        <f t="array" ref="E3164">IF(D3164:D7207="","",IFERROR(_xlfn.XLOOKUP(D3164:D7207,'参照_勢力'!A:A,'参照_勢力'!B:B),IFERROR(_xlfn.XLOOKUP(F3164:F7207,kunishuClan!A:A,kunishuClan!B:B),"浪人")))</f>
      </c>
      <c r="F3164" s="4">
        <v>0</v>
      </c>
      <c r="G3164" s="4">
        <v>252</v>
      </c>
      <c r="H3164" s="12" t="str">
        <f t="array" ref="H3164">IF(G3164:G7207="","",_xlfn.XLOOKUP(G3164:G7207,castles_state!A:A,castles_state!D:D,"見つかりません"))</f>
      </c>
      <c r="I3164" s="4"/>
      <c r="J3164" s="12" t="str">
        <f t="array" ref="J3164">IF(I3164:I7207="","",_xlfn.XLOOKUP(I3164:I7207,'参照_姫'!A:A,'参照_姫'!B:B,"見つかりません"))</f>
      </c>
      <c r="K3164" s="4">
        <v>90</v>
      </c>
      <c r="L3164" s="4">
        <v>1000</v>
      </c>
      <c r="M3164" s="4"/>
      <c r="N3164" s="4"/>
      <c r="O3164" s="4">
        <v>59</v>
      </c>
      <c r="P3164" s="12" t="str">
        <f t="array" ref="P3164">IF(O3164:O7207="","",_xlfn.XLOOKUP(O3164:O7207,'参照_官位'!A:A,'参照_官位'!B:B,""))</f>
      </c>
      <c r="Q3164" s="12" t="str">
        <f t="array" ref="Q3164">IF(A3164:A7207="","",IFERROR(_xlfn.XLOOKUP(A3164:A7207,castles_state!K:K,castles_state!D:D)&amp;"主",IFERROR(_xlfn.XLOOKUP(A3164:A7207,kunishuClan!D:D,kunishuClan!B:B)&amp;"当主","")))</f>
      </c>
    </row>
    <row r="3165" ht="15.75" customHeight="1">
      <c r="A3165" s="4">
        <v>1091014</v>
      </c>
      <c r="B3165" s="12" t="str">
        <f t="array" ref="B3165">IF(A3165:A7208="","",_xlfn.XLOOKUP(A3165:A7208,'参照_武将'!A:A,'参照_武将'!B:B,"見つかりません"))</f>
      </c>
      <c r="C3165" s="4" t="s">
        <v>5975</v>
      </c>
      <c r="D3165" s="4">
        <v>91</v>
      </c>
      <c r="E3165" s="12" t="str">
        <f t="array" ref="E3165">IF(D3165:D7208="","",IFERROR(_xlfn.XLOOKUP(D3165:D7208,'参照_勢力'!A:A,'参照_勢力'!B:B),IFERROR(_xlfn.XLOOKUP(F3165:F7208,kunishuClan!A:A,kunishuClan!B:B),"浪人")))</f>
      </c>
      <c r="F3165" s="4">
        <v>0</v>
      </c>
      <c r="G3165" s="4">
        <v>235</v>
      </c>
      <c r="H3165" s="12" t="str">
        <f t="array" ref="H3165">IF(G3165:G7208="","",_xlfn.XLOOKUP(G3165:G7208,castles_state!A:A,castles_state!D:D,"見つかりません"))</f>
      </c>
      <c r="I3165" s="4"/>
      <c r="J3165" s="12" t="str">
        <f t="array" ref="J3165">IF(I3165:I7208="","",_xlfn.XLOOKUP(I3165:I7208,'参照_姫'!A:A,'参照_姫'!B:B,"見つかりません"))</f>
      </c>
      <c r="K3165" s="4">
        <v>95</v>
      </c>
      <c r="L3165" s="4">
        <v>500</v>
      </c>
      <c r="M3165" s="4"/>
      <c r="N3165" s="4"/>
      <c r="O3165" s="4"/>
      <c r="P3165" s="12" t="str">
        <f t="array" ref="P3165">IF(O3165:O7208="","",_xlfn.XLOOKUP(O3165:O7208,'参照_官位'!A:A,'参照_官位'!B:B,""))</f>
      </c>
      <c r="Q3165" s="12" t="str">
        <f t="array" ref="Q3165">IF(A3165:A7208="","",IFERROR(_xlfn.XLOOKUP(A3165:A7208,castles_state!K:K,castles_state!D:D)&amp;"主",IFERROR(_xlfn.XLOOKUP(A3165:A7208,kunishuClan!D:D,kunishuClan!B:B)&amp;"当主","")))</f>
      </c>
    </row>
    <row r="3166" ht="15.75" customHeight="1">
      <c r="A3166" s="4">
        <v>1091015</v>
      </c>
      <c r="B3166" s="12" t="str">
        <f t="array" ref="B3166">IF(A3166:A7209="","",_xlfn.XLOOKUP(A3166:A7209,'参照_武将'!A:A,'参照_武将'!B:B,"見つかりません"))</f>
      </c>
      <c r="C3166" s="4" t="s">
        <v>5975</v>
      </c>
      <c r="D3166" s="4">
        <v>91</v>
      </c>
      <c r="E3166" s="12" t="str">
        <f t="array" ref="E3166">IF(D3166:D7209="","",IFERROR(_xlfn.XLOOKUP(D3166:D7209,'参照_勢力'!A:A,'参照_勢力'!B:B),IFERROR(_xlfn.XLOOKUP(F3166:F7209,kunishuClan!A:A,kunishuClan!B:B),"浪人")))</f>
      </c>
      <c r="F3166" s="4">
        <v>0</v>
      </c>
      <c r="G3166" s="4">
        <v>235</v>
      </c>
      <c r="H3166" s="12" t="str">
        <f t="array" ref="H3166">IF(G3166:G7209="","",_xlfn.XLOOKUP(G3166:G7209,castles_state!A:A,castles_state!D:D,"見つかりません"))</f>
      </c>
      <c r="I3166" s="4"/>
      <c r="J3166" s="12" t="str">
        <f t="array" ref="J3166">IF(I3166:I7209="","",_xlfn.XLOOKUP(I3166:I7209,'参照_姫'!A:A,'参照_姫'!B:B,"見つかりません"))</f>
      </c>
      <c r="K3166" s="4">
        <v>95</v>
      </c>
      <c r="L3166" s="4">
        <v>500</v>
      </c>
      <c r="M3166" s="4"/>
      <c r="N3166" s="4"/>
      <c r="O3166" s="4"/>
      <c r="P3166" s="12" t="str">
        <f t="array" ref="P3166">IF(O3166:O7209="","",_xlfn.XLOOKUP(O3166:O7209,'参照_官位'!A:A,'参照_官位'!B:B,""))</f>
      </c>
      <c r="Q3166" s="12" t="str">
        <f t="array" ref="Q3166">IF(A3166:A7209="","",IFERROR(_xlfn.XLOOKUP(A3166:A7209,castles_state!K:K,castles_state!D:D)&amp;"主",IFERROR(_xlfn.XLOOKUP(A3166:A7209,kunishuClan!D:D,kunishuClan!B:B)&amp;"当主","")))</f>
      </c>
    </row>
    <row r="3167" ht="15.75" customHeight="1">
      <c r="A3167" s="4">
        <v>1091016</v>
      </c>
      <c r="B3167" s="12" t="str">
        <f t="array" ref="B3167">IF(A3167:A7210="","",_xlfn.XLOOKUP(A3167:A7210,'参照_武将'!A:A,'参照_武将'!B:B,"見つかりません"))</f>
      </c>
      <c r="C3167" s="4" t="s">
        <v>5975</v>
      </c>
      <c r="D3167" s="4">
        <v>91</v>
      </c>
      <c r="E3167" s="12" t="str">
        <f t="array" ref="E3167">IF(D3167:D7210="","",IFERROR(_xlfn.XLOOKUP(D3167:D7210,'参照_勢力'!A:A,'参照_勢力'!B:B),IFERROR(_xlfn.XLOOKUP(F3167:F7210,kunishuClan!A:A,kunishuClan!B:B),"浪人")))</f>
      </c>
      <c r="F3167" s="4">
        <v>0</v>
      </c>
      <c r="G3167" s="4">
        <v>235</v>
      </c>
      <c r="H3167" s="12" t="str">
        <f t="array" ref="H3167">IF(G3167:G7210="","",_xlfn.XLOOKUP(G3167:G7210,castles_state!A:A,castles_state!D:D,"見つかりません"))</f>
      </c>
      <c r="I3167" s="4"/>
      <c r="J3167" s="12" t="str">
        <f t="array" ref="J3167">IF(I3167:I7210="","",_xlfn.XLOOKUP(I3167:I7210,'参照_姫'!A:A,'参照_姫'!B:B,"見つかりません"))</f>
      </c>
      <c r="K3167" s="4">
        <v>95</v>
      </c>
      <c r="L3167" s="4">
        <v>500</v>
      </c>
      <c r="M3167" s="4"/>
      <c r="N3167" s="4"/>
      <c r="O3167" s="4"/>
      <c r="P3167" s="12" t="str">
        <f t="array" ref="P3167">IF(O3167:O7210="","",_xlfn.XLOOKUP(O3167:O7210,'参照_官位'!A:A,'参照_官位'!B:B,""))</f>
      </c>
      <c r="Q3167" s="12" t="str">
        <f t="array" ref="Q3167">IF(A3167:A7210="","",IFERROR(_xlfn.XLOOKUP(A3167:A7210,castles_state!K:K,castles_state!D:D)&amp;"主",IFERROR(_xlfn.XLOOKUP(A3167:A7210,kunishuClan!D:D,kunishuClan!B:B)&amp;"当主","")))</f>
      </c>
    </row>
    <row r="3168" ht="15.75" customHeight="1">
      <c r="A3168" s="4">
        <v>1091017</v>
      </c>
      <c r="B3168" s="12" t="str">
        <f t="array" ref="B3168">IF(A3168:A7211="","",_xlfn.XLOOKUP(A3168:A7211,'参照_武将'!A:A,'参照_武将'!B:B,"見つかりません"))</f>
      </c>
      <c r="C3168" s="4" t="s">
        <v>5975</v>
      </c>
      <c r="D3168" s="4">
        <v>27</v>
      </c>
      <c r="E3168" s="12" t="str">
        <f t="array" ref="E3168">IF(D3168:D7211="","",IFERROR(_xlfn.XLOOKUP(D3168:D7211,'参照_勢力'!A:A,'参照_勢力'!B:B),IFERROR(_xlfn.XLOOKUP(F3168:F7211,kunishuClan!A:A,kunishuClan!B:B),"浪人")))</f>
      </c>
      <c r="F3168" s="4">
        <v>0</v>
      </c>
      <c r="G3168" s="4">
        <v>252</v>
      </c>
      <c r="H3168" s="12" t="str">
        <f t="array" ref="H3168">IF(G3168:G7211="","",_xlfn.XLOOKUP(G3168:G7211,castles_state!A:A,castles_state!D:D,"見つかりません"))</f>
      </c>
      <c r="I3168" s="4"/>
      <c r="J3168" s="12" t="str">
        <f t="array" ref="J3168">IF(I3168:I7211="","",_xlfn.XLOOKUP(I3168:I7211,'参照_姫'!A:A,'参照_姫'!B:B,"見つかりません"))</f>
      </c>
      <c r="K3168" s="4">
        <v>90</v>
      </c>
      <c r="L3168" s="4">
        <v>500</v>
      </c>
      <c r="M3168" s="4"/>
      <c r="N3168" s="4"/>
      <c r="O3168" s="4"/>
      <c r="P3168" s="12" t="str">
        <f t="array" ref="P3168">IF(O3168:O7211="","",_xlfn.XLOOKUP(O3168:O7211,'参照_官位'!A:A,'参照_官位'!B:B,""))</f>
      </c>
      <c r="Q3168" s="12" t="str">
        <f t="array" ref="Q3168">IF(A3168:A7211="","",IFERROR(_xlfn.XLOOKUP(A3168:A7211,castles_state!K:K,castles_state!D:D)&amp;"主",IFERROR(_xlfn.XLOOKUP(A3168:A7211,kunishuClan!D:D,kunishuClan!B:B)&amp;"当主","")))</f>
      </c>
    </row>
    <row r="3169" ht="15.75" customHeight="1">
      <c r="A3169" s="4">
        <v>1091018</v>
      </c>
      <c r="B3169" s="12" t="str">
        <f t="array" ref="B3169">IF(A3169:A7212="","",_xlfn.XLOOKUP(A3169:A7212,'参照_武将'!A:A,'参照_武将'!B:B,"見つかりません"))</f>
      </c>
      <c r="C3169" s="4" t="s">
        <v>5976</v>
      </c>
      <c r="D3169" s="4">
        <v>0</v>
      </c>
      <c r="E3169" s="12" t="str">
        <f t="array" ref="E3169">IF(D3169:D7212="","",IFERROR(_xlfn.XLOOKUP(D3169:D7212,'参照_勢力'!A:A,'参照_勢力'!B:B),IFERROR(_xlfn.XLOOKUP(F3169:F7212,kunishuClan!A:A,kunishuClan!B:B),"浪人")))</f>
      </c>
      <c r="F3169" s="4">
        <v>0</v>
      </c>
      <c r="G3169" s="4">
        <v>2</v>
      </c>
      <c r="H3169" s="12" t="str">
        <f t="array" ref="H3169">IF(G3169:G7212="","",_xlfn.XLOOKUP(G3169:G7212,castles_state!A:A,castles_state!D:D,"見つかりません"))</f>
      </c>
      <c r="I3169" s="4"/>
      <c r="J3169" s="12" t="str">
        <f t="array" ref="J3169">IF(I3169:I7212="","",_xlfn.XLOOKUP(I3169:I7212,'参照_姫'!A:A,'参照_姫'!B:B,"見つかりません"))</f>
      </c>
      <c r="K3169" s="4">
        <v>50</v>
      </c>
      <c r="L3169" s="4">
        <v>0</v>
      </c>
      <c r="M3169" s="4"/>
      <c r="N3169" s="4"/>
      <c r="O3169" s="4"/>
      <c r="P3169" s="12" t="str">
        <f t="array" ref="P3169">IF(O3169:O7212="","",_xlfn.XLOOKUP(O3169:O7212,'参照_官位'!A:A,'参照_官位'!B:B,""))</f>
      </c>
      <c r="Q3169" s="12" t="str">
        <f t="array" ref="Q3169">IF(A3169:A7212="","",IFERROR(_xlfn.XLOOKUP(A3169:A7212,castles_state!K:K,castles_state!D:D)&amp;"主",IFERROR(_xlfn.XLOOKUP(A3169:A7212,kunishuClan!D:D,kunishuClan!B:B)&amp;"当主","")))</f>
      </c>
    </row>
    <row r="3170" ht="15.75" customHeight="1">
      <c r="A3170" s="4">
        <v>1091019</v>
      </c>
      <c r="B3170" s="12" t="str">
        <f t="array" ref="B3170">IF(A3170:A7213="","",_xlfn.XLOOKUP(A3170:A7213,'参照_武将'!A:A,'参照_武将'!B:B,"見つかりません"))</f>
      </c>
      <c r="C3170" s="4" t="s">
        <v>5974</v>
      </c>
      <c r="D3170" s="4">
        <v>91</v>
      </c>
      <c r="E3170" s="12" t="str">
        <f t="array" ref="E3170">IF(D3170:D7213="","",IFERROR(_xlfn.XLOOKUP(D3170:D7213,'参照_勢力'!A:A,'参照_勢力'!B:B),IFERROR(_xlfn.XLOOKUP(F3170:F7213,kunishuClan!A:A,kunishuClan!B:B),"浪人")))</f>
      </c>
      <c r="F3170" s="4">
        <v>0</v>
      </c>
      <c r="G3170" s="4">
        <v>235</v>
      </c>
      <c r="H3170" s="12" t="str">
        <f t="array" ref="H3170">IF(G3170:G7213="","",_xlfn.XLOOKUP(G3170:G7213,castles_state!A:A,castles_state!D:D,"見つかりません"))</f>
      </c>
      <c r="I3170" s="4"/>
      <c r="J3170" s="12" t="str">
        <f t="array" ref="J3170">IF(I3170:I7213="","",_xlfn.XLOOKUP(I3170:I7213,'参照_姫'!A:A,'参照_姫'!B:B,"見つかりません"))</f>
      </c>
      <c r="K3170" s="4">
        <v>95</v>
      </c>
      <c r="L3170" s="4">
        <v>200</v>
      </c>
      <c r="M3170" s="4"/>
      <c r="N3170" s="4"/>
      <c r="O3170" s="4"/>
      <c r="P3170" s="12" t="str">
        <f t="array" ref="P3170">IF(O3170:O7213="","",_xlfn.XLOOKUP(O3170:O7213,'参照_官位'!A:A,'参照_官位'!B:B,""))</f>
      </c>
      <c r="Q3170" s="12" t="str">
        <f t="array" ref="Q3170">IF(A3170:A7213="","",IFERROR(_xlfn.XLOOKUP(A3170:A7213,castles_state!K:K,castles_state!D:D)&amp;"主",IFERROR(_xlfn.XLOOKUP(A3170:A7213,kunishuClan!D:D,kunishuClan!B:B)&amp;"当主","")))</f>
      </c>
    </row>
    <row r="3171" ht="15.75" customHeight="1">
      <c r="A3171" s="4">
        <v>1091020</v>
      </c>
      <c r="B3171" s="12" t="str">
        <f t="array" ref="B3171">IF(A3171:A7214="","",_xlfn.XLOOKUP(A3171:A7214,'参照_武将'!A:A,'参照_武将'!B:B,"見つかりません"))</f>
      </c>
      <c r="C3171" s="4" t="s">
        <v>5974</v>
      </c>
      <c r="D3171" s="4">
        <v>91</v>
      </c>
      <c r="E3171" s="12" t="str">
        <f t="array" ref="E3171">IF(D3171:D7214="","",IFERROR(_xlfn.XLOOKUP(D3171:D7214,'参照_勢力'!A:A,'参照_勢力'!B:B),IFERROR(_xlfn.XLOOKUP(F3171:F7214,kunishuClan!A:A,kunishuClan!B:B),"浪人")))</f>
      </c>
      <c r="F3171" s="4">
        <v>0</v>
      </c>
      <c r="G3171" s="4">
        <v>235</v>
      </c>
      <c r="H3171" s="12" t="str">
        <f t="array" ref="H3171">IF(G3171:G7214="","",_xlfn.XLOOKUP(G3171:G7214,castles_state!A:A,castles_state!D:D,"見つかりません"))</f>
      </c>
      <c r="I3171" s="4"/>
      <c r="J3171" s="12" t="str">
        <f t="array" ref="J3171">IF(I3171:I7214="","",_xlfn.XLOOKUP(I3171:I7214,'参照_姫'!A:A,'参照_姫'!B:B,"見つかりません"))</f>
      </c>
      <c r="K3171" s="4">
        <v>95</v>
      </c>
      <c r="L3171" s="4">
        <v>500</v>
      </c>
      <c r="M3171" s="4" t="b">
        <v>1</v>
      </c>
      <c r="N3171" s="4"/>
      <c r="O3171" s="4"/>
      <c r="P3171" s="12" t="str">
        <f t="array" ref="P3171">IF(O3171:O7214="","",_xlfn.XLOOKUP(O3171:O7214,'参照_官位'!A:A,'参照_官位'!B:B,""))</f>
      </c>
      <c r="Q3171" s="12" t="str">
        <f t="array" ref="Q3171">IF(A3171:A7214="","",IFERROR(_xlfn.XLOOKUP(A3171:A7214,castles_state!K:K,castles_state!D:D)&amp;"主",IFERROR(_xlfn.XLOOKUP(A3171:A7214,kunishuClan!D:D,kunishuClan!B:B)&amp;"当主","")))</f>
      </c>
    </row>
    <row r="3172" ht="15.75" customHeight="1">
      <c r="A3172" s="4">
        <v>1091021</v>
      </c>
      <c r="B3172" s="12" t="str">
        <f t="array" ref="B3172">IF(A3172:A7215="","",_xlfn.XLOOKUP(A3172:A7215,'参照_武将'!A:A,'参照_武将'!B:B,"見つかりません"))</f>
      </c>
      <c r="C3172" s="4" t="s">
        <v>5974</v>
      </c>
      <c r="D3172" s="4">
        <v>91</v>
      </c>
      <c r="E3172" s="12" t="str">
        <f t="array" ref="E3172">IF(D3172:D7215="","",IFERROR(_xlfn.XLOOKUP(D3172:D7215,'参照_勢力'!A:A,'参照_勢力'!B:B),IFERROR(_xlfn.XLOOKUP(F3172:F7215,kunishuClan!A:A,kunishuClan!B:B),"浪人")))</f>
      </c>
      <c r="F3172" s="4">
        <v>0</v>
      </c>
      <c r="G3172" s="4">
        <v>235</v>
      </c>
      <c r="H3172" s="12" t="str">
        <f t="array" ref="H3172">IF(G3172:G7215="","",_xlfn.XLOOKUP(G3172:G7215,castles_state!A:A,castles_state!D:D,"見つかりません"))</f>
      </c>
      <c r="I3172" s="4"/>
      <c r="J3172" s="12" t="str">
        <f t="array" ref="J3172">IF(I3172:I7215="","",_xlfn.XLOOKUP(I3172:I7215,'参照_姫'!A:A,'参照_姫'!B:B,"見つかりません"))</f>
      </c>
      <c r="K3172" s="4">
        <v>95</v>
      </c>
      <c r="L3172" s="4">
        <v>0</v>
      </c>
      <c r="M3172" s="4"/>
      <c r="N3172" s="4"/>
      <c r="O3172" s="4"/>
      <c r="P3172" s="12" t="str">
        <f t="array" ref="P3172">IF(O3172:O7215="","",_xlfn.XLOOKUP(O3172:O7215,'参照_官位'!A:A,'参照_官位'!B:B,""))</f>
      </c>
      <c r="Q3172" s="12" t="str">
        <f t="array" ref="Q3172">IF(A3172:A7215="","",IFERROR(_xlfn.XLOOKUP(A3172:A7215,castles_state!K:K,castles_state!D:D)&amp;"主",IFERROR(_xlfn.XLOOKUP(A3172:A7215,kunishuClan!D:D,kunishuClan!B:B)&amp;"当主","")))</f>
      </c>
    </row>
    <row r="3173" ht="15.75" customHeight="1">
      <c r="A3173" s="4">
        <v>1091022</v>
      </c>
      <c r="B3173" s="12" t="str">
        <f t="array" ref="B3173">IF(A3173:A7216="","",_xlfn.XLOOKUP(A3173:A7216,'参照_武将'!A:A,'参照_武将'!B:B,"見つかりません"))</f>
      </c>
      <c r="C3173" s="4" t="s">
        <v>5974</v>
      </c>
      <c r="D3173" s="4">
        <v>91</v>
      </c>
      <c r="E3173" s="12" t="str">
        <f t="array" ref="E3173">IF(D3173:D7216="","",IFERROR(_xlfn.XLOOKUP(D3173:D7216,'参照_勢力'!A:A,'参照_勢力'!B:B),IFERROR(_xlfn.XLOOKUP(F3173:F7216,kunishuClan!A:A,kunishuClan!B:B),"浪人")))</f>
      </c>
      <c r="F3173" s="4">
        <v>0</v>
      </c>
      <c r="G3173" s="4">
        <v>235</v>
      </c>
      <c r="H3173" s="12" t="str">
        <f t="array" ref="H3173">IF(G3173:G7216="","",_xlfn.XLOOKUP(G3173:G7216,castles_state!A:A,castles_state!D:D,"見つかりません"))</f>
      </c>
      <c r="I3173" s="4"/>
      <c r="J3173" s="12" t="str">
        <f t="array" ref="J3173">IF(I3173:I7216="","",_xlfn.XLOOKUP(I3173:I7216,'参照_姫'!A:A,'参照_姫'!B:B,"見つかりません"))</f>
      </c>
      <c r="K3173" s="4">
        <v>95</v>
      </c>
      <c r="L3173" s="4">
        <v>500</v>
      </c>
      <c r="M3173" s="4"/>
      <c r="N3173" s="4"/>
      <c r="O3173" s="4"/>
      <c r="P3173" s="12" t="str">
        <f t="array" ref="P3173">IF(O3173:O7216="","",_xlfn.XLOOKUP(O3173:O7216,'参照_官位'!A:A,'参照_官位'!B:B,""))</f>
      </c>
      <c r="Q3173" s="12" t="str">
        <f t="array" ref="Q3173">IF(A3173:A7216="","",IFERROR(_xlfn.XLOOKUP(A3173:A7216,castles_state!K:K,castles_state!D:D)&amp;"主",IFERROR(_xlfn.XLOOKUP(A3173:A7216,kunishuClan!D:D,kunishuClan!B:B)&amp;"当主","")))</f>
      </c>
    </row>
    <row r="3174" ht="15.75" customHeight="1">
      <c r="A3174" s="4">
        <v>1091023</v>
      </c>
      <c r="B3174" s="12" t="str">
        <f t="array" ref="B3174">IF(A3174:A7217="","",_xlfn.XLOOKUP(A3174:A7217,'参照_武将'!A:A,'参照_武将'!B:B,"見つかりません"))</f>
      </c>
      <c r="C3174" s="4" t="s">
        <v>5974</v>
      </c>
      <c r="D3174" s="4">
        <v>91</v>
      </c>
      <c r="E3174" s="12" t="str">
        <f t="array" ref="E3174">IF(D3174:D7217="","",IFERROR(_xlfn.XLOOKUP(D3174:D7217,'参照_勢力'!A:A,'参照_勢力'!B:B),IFERROR(_xlfn.XLOOKUP(F3174:F7217,kunishuClan!A:A,kunishuClan!B:B),"浪人")))</f>
      </c>
      <c r="F3174" s="4">
        <v>0</v>
      </c>
      <c r="G3174" s="4">
        <v>235</v>
      </c>
      <c r="H3174" s="12" t="str">
        <f t="array" ref="H3174">IF(G3174:G7217="","",_xlfn.XLOOKUP(G3174:G7217,castles_state!A:A,castles_state!D:D,"見つかりません"))</f>
      </c>
      <c r="I3174" s="4"/>
      <c r="J3174" s="12" t="str">
        <f t="array" ref="J3174">IF(I3174:I7217="","",_xlfn.XLOOKUP(I3174:I7217,'参照_姫'!A:A,'参照_姫'!B:B,"見つかりません"))</f>
      </c>
      <c r="K3174" s="4">
        <v>95</v>
      </c>
      <c r="L3174" s="4">
        <v>0</v>
      </c>
      <c r="M3174" s="4"/>
      <c r="N3174" s="4"/>
      <c r="O3174" s="4"/>
      <c r="P3174" s="12" t="str">
        <f t="array" ref="P3174">IF(O3174:O7217="","",_xlfn.XLOOKUP(O3174:O7217,'参照_官位'!A:A,'参照_官位'!B:B,""))</f>
      </c>
      <c r="Q3174" s="12" t="str">
        <f t="array" ref="Q3174">IF(A3174:A7217="","",IFERROR(_xlfn.XLOOKUP(A3174:A7217,castles_state!K:K,castles_state!D:D)&amp;"主",IFERROR(_xlfn.XLOOKUP(A3174:A7217,kunishuClan!D:D,kunishuClan!B:B)&amp;"当主","")))</f>
      </c>
    </row>
    <row r="3175" ht="15.75" customHeight="1">
      <c r="A3175" s="4">
        <v>1091024</v>
      </c>
      <c r="B3175" s="12" t="str">
        <f t="array" ref="B3175">IF(A3175:A7218="","",_xlfn.XLOOKUP(A3175:A7218,'参照_武将'!A:A,'参照_武将'!B:B,"見つかりません"))</f>
      </c>
      <c r="C3175" s="4" t="s">
        <v>5974</v>
      </c>
      <c r="D3175" s="4">
        <v>91</v>
      </c>
      <c r="E3175" s="12" t="str">
        <f t="array" ref="E3175">IF(D3175:D7218="","",IFERROR(_xlfn.XLOOKUP(D3175:D7218,'参照_勢力'!A:A,'参照_勢力'!B:B),IFERROR(_xlfn.XLOOKUP(F3175:F7218,kunishuClan!A:A,kunishuClan!B:B),"浪人")))</f>
      </c>
      <c r="F3175" s="4">
        <v>0</v>
      </c>
      <c r="G3175" s="4">
        <v>235</v>
      </c>
      <c r="H3175" s="12" t="str">
        <f t="array" ref="H3175">IF(G3175:G7218="","",_xlfn.XLOOKUP(G3175:G7218,castles_state!A:A,castles_state!D:D,"見つかりません"))</f>
      </c>
      <c r="I3175" s="4"/>
      <c r="J3175" s="12" t="str">
        <f t="array" ref="J3175">IF(I3175:I7218="","",_xlfn.XLOOKUP(I3175:I7218,'参照_姫'!A:A,'参照_姫'!B:B,"見つかりません"))</f>
      </c>
      <c r="K3175" s="4">
        <v>85</v>
      </c>
      <c r="L3175" s="4">
        <v>0</v>
      </c>
      <c r="M3175" s="4"/>
      <c r="N3175" s="4"/>
      <c r="O3175" s="4"/>
      <c r="P3175" s="12" t="str">
        <f t="array" ref="P3175">IF(O3175:O7218="","",_xlfn.XLOOKUP(O3175:O7218,'参照_官位'!A:A,'参照_官位'!B:B,""))</f>
      </c>
      <c r="Q3175" s="12" t="str">
        <f t="array" ref="Q3175">IF(A3175:A7218="","",IFERROR(_xlfn.XLOOKUP(A3175:A7218,castles_state!K:K,castles_state!D:D)&amp;"主",IFERROR(_xlfn.XLOOKUP(A3175:A7218,kunishuClan!D:D,kunishuClan!B:B)&amp;"当主","")))</f>
      </c>
    </row>
    <row r="3176" ht="15.75" customHeight="1">
      <c r="A3176" s="4">
        <v>1091025</v>
      </c>
      <c r="B3176" s="12" t="str">
        <f t="array" ref="B3176">IF(A3176:A7219="","",_xlfn.XLOOKUP(A3176:A7219,'参照_武将'!A:A,'参照_武将'!B:B,"見つかりません"))</f>
      </c>
      <c r="C3176" s="4" t="s">
        <v>5974</v>
      </c>
      <c r="D3176" s="4">
        <v>91</v>
      </c>
      <c r="E3176" s="12" t="str">
        <f t="array" ref="E3176">IF(D3176:D7219="","",IFERROR(_xlfn.XLOOKUP(D3176:D7219,'参照_勢力'!A:A,'参照_勢力'!B:B),IFERROR(_xlfn.XLOOKUP(F3176:F7219,kunishuClan!A:A,kunishuClan!B:B),"浪人")))</f>
      </c>
      <c r="F3176" s="4">
        <v>0</v>
      </c>
      <c r="G3176" s="4">
        <v>235</v>
      </c>
      <c r="H3176" s="12" t="str">
        <f t="array" ref="H3176">IF(G3176:G7219="","",_xlfn.XLOOKUP(G3176:G7219,castles_state!A:A,castles_state!D:D,"見つかりません"))</f>
      </c>
      <c r="I3176" s="4"/>
      <c r="J3176" s="12" t="str">
        <f t="array" ref="J3176">IF(I3176:I7219="","",_xlfn.XLOOKUP(I3176:I7219,'参照_姫'!A:A,'参照_姫'!B:B,"見つかりません"))</f>
      </c>
      <c r="K3176" s="4">
        <v>85</v>
      </c>
      <c r="L3176" s="4">
        <v>0</v>
      </c>
      <c r="M3176" s="4"/>
      <c r="N3176" s="4"/>
      <c r="O3176" s="4"/>
      <c r="P3176" s="12" t="str">
        <f t="array" ref="P3176">IF(O3176:O7219="","",_xlfn.XLOOKUP(O3176:O7219,'参照_官位'!A:A,'参照_官位'!B:B,""))</f>
      </c>
      <c r="Q3176" s="12" t="str">
        <f t="array" ref="Q3176">IF(A3176:A7219="","",IFERROR(_xlfn.XLOOKUP(A3176:A7219,castles_state!K:K,castles_state!D:D)&amp;"主",IFERROR(_xlfn.XLOOKUP(A3176:A7219,kunishuClan!D:D,kunishuClan!B:B)&amp;"当主","")))</f>
      </c>
    </row>
    <row r="3177" ht="15.75" customHeight="1">
      <c r="A3177" s="4">
        <v>1091026</v>
      </c>
      <c r="B3177" s="12" t="str">
        <f t="array" ref="B3177">IF(A3177:A7220="","",_xlfn.XLOOKUP(A3177:A7220,'参照_武将'!A:A,'参照_武将'!B:B,"見つかりません"))</f>
      </c>
      <c r="C3177" s="4" t="s">
        <v>5974</v>
      </c>
      <c r="D3177" s="4">
        <v>91</v>
      </c>
      <c r="E3177" s="12" t="str">
        <f t="array" ref="E3177">IF(D3177:D7220="","",IFERROR(_xlfn.XLOOKUP(D3177:D7220,'参照_勢力'!A:A,'参照_勢力'!B:B),IFERROR(_xlfn.XLOOKUP(F3177:F7220,kunishuClan!A:A,kunishuClan!B:B),"浪人")))</f>
      </c>
      <c r="F3177" s="4">
        <v>0</v>
      </c>
      <c r="G3177" s="4">
        <v>235</v>
      </c>
      <c r="H3177" s="12" t="str">
        <f t="array" ref="H3177">IF(G3177:G7220="","",_xlfn.XLOOKUP(G3177:G7220,castles_state!A:A,castles_state!D:D,"見つかりません"))</f>
      </c>
      <c r="I3177" s="4"/>
      <c r="J3177" s="12" t="str">
        <f t="array" ref="J3177">IF(I3177:I7220="","",_xlfn.XLOOKUP(I3177:I7220,'参照_姫'!A:A,'参照_姫'!B:B,"見つかりません"))</f>
      </c>
      <c r="K3177" s="4">
        <v>95</v>
      </c>
      <c r="L3177" s="4">
        <v>0</v>
      </c>
      <c r="M3177" s="4"/>
      <c r="N3177" s="4"/>
      <c r="O3177" s="4"/>
      <c r="P3177" s="12" t="str">
        <f t="array" ref="P3177">IF(O3177:O7220="","",_xlfn.XLOOKUP(O3177:O7220,'参照_官位'!A:A,'参照_官位'!B:B,""))</f>
      </c>
      <c r="Q3177" s="12" t="str">
        <f t="array" ref="Q3177">IF(A3177:A7220="","",IFERROR(_xlfn.XLOOKUP(A3177:A7220,castles_state!K:K,castles_state!D:D)&amp;"主",IFERROR(_xlfn.XLOOKUP(A3177:A7220,kunishuClan!D:D,kunishuClan!B:B)&amp;"当主","")))</f>
      </c>
    </row>
    <row r="3178" ht="15.75" customHeight="1">
      <c r="A3178" s="4">
        <v>1091027</v>
      </c>
      <c r="B3178" s="12" t="str">
        <f t="array" ref="B3178">IF(A3178:A7221="","",_xlfn.XLOOKUP(A3178:A7221,'参照_武将'!A:A,'参照_武将'!B:B,"見つかりません"))</f>
      </c>
      <c r="C3178" s="4" t="s">
        <v>5974</v>
      </c>
      <c r="D3178" s="4">
        <v>2</v>
      </c>
      <c r="E3178" s="12" t="str">
        <f t="array" ref="E3178">IF(D3178:D7221="","",IFERROR(_xlfn.XLOOKUP(D3178:D7221,'参照_勢力'!A:A,'参照_勢力'!B:B),IFERROR(_xlfn.XLOOKUP(F3178:F7221,kunishuClan!A:A,kunishuClan!B:B),"浪人")))</f>
      </c>
      <c r="F3178" s="4">
        <v>0</v>
      </c>
      <c r="G3178" s="4">
        <v>234</v>
      </c>
      <c r="H3178" s="12" t="str">
        <f t="array" ref="H3178">IF(G3178:G7221="","",_xlfn.XLOOKUP(G3178:G7221,castles_state!A:A,castles_state!D:D,"見つかりません"))</f>
      </c>
      <c r="I3178" s="4"/>
      <c r="J3178" s="12" t="str">
        <f t="array" ref="J3178">IF(I3178:I7221="","",_xlfn.XLOOKUP(I3178:I7221,'参照_姫'!A:A,'参照_姫'!B:B,"見つかりません"))</f>
      </c>
      <c r="K3178" s="4">
        <v>95</v>
      </c>
      <c r="L3178" s="4">
        <v>200</v>
      </c>
      <c r="M3178" s="4"/>
      <c r="N3178" s="4"/>
      <c r="O3178" s="4"/>
      <c r="P3178" s="12" t="str">
        <f t="array" ref="P3178">IF(O3178:O7221="","",_xlfn.XLOOKUP(O3178:O7221,'参照_官位'!A:A,'参照_官位'!B:B,""))</f>
      </c>
      <c r="Q3178" s="12" t="str">
        <f t="array" ref="Q3178">IF(A3178:A7221="","",IFERROR(_xlfn.XLOOKUP(A3178:A7221,castles_state!K:K,castles_state!D:D)&amp;"主",IFERROR(_xlfn.XLOOKUP(A3178:A7221,kunishuClan!D:D,kunishuClan!B:B)&amp;"当主","")))</f>
      </c>
    </row>
    <row r="3179" ht="15.75" customHeight="1">
      <c r="A3179" s="4">
        <v>1091028</v>
      </c>
      <c r="B3179" s="12" t="str">
        <f t="array" ref="B3179">IF(A3179:A7222="","",_xlfn.XLOOKUP(A3179:A7222,'参照_武将'!A:A,'参照_武将'!B:B,"見つかりません"))</f>
      </c>
      <c r="C3179" s="4" t="s">
        <v>5974</v>
      </c>
      <c r="D3179" s="4">
        <v>2</v>
      </c>
      <c r="E3179" s="12" t="str">
        <f t="array" ref="E3179">IF(D3179:D7222="","",IFERROR(_xlfn.XLOOKUP(D3179:D7222,'参照_勢力'!A:A,'参照_勢力'!B:B),IFERROR(_xlfn.XLOOKUP(F3179:F7222,kunishuClan!A:A,kunishuClan!B:B),"浪人")))</f>
      </c>
      <c r="F3179" s="4">
        <v>0</v>
      </c>
      <c r="G3179" s="4">
        <v>234</v>
      </c>
      <c r="H3179" s="12" t="str">
        <f t="array" ref="H3179">IF(G3179:G7222="","",_xlfn.XLOOKUP(G3179:G7222,castles_state!A:A,castles_state!D:D,"見つかりません"))</f>
      </c>
      <c r="I3179" s="4"/>
      <c r="J3179" s="12" t="str">
        <f t="array" ref="J3179">IF(I3179:I7222="","",_xlfn.XLOOKUP(I3179:I7222,'参照_姫'!A:A,'参照_姫'!B:B,"見つかりません"))</f>
      </c>
      <c r="K3179" s="4">
        <v>95</v>
      </c>
      <c r="L3179" s="4">
        <v>0</v>
      </c>
      <c r="M3179" s="4"/>
      <c r="N3179" s="4"/>
      <c r="O3179" s="4"/>
      <c r="P3179" s="12" t="str">
        <f t="array" ref="P3179">IF(O3179:O7222="","",_xlfn.XLOOKUP(O3179:O7222,'参照_官位'!A:A,'参照_官位'!B:B,""))</f>
      </c>
      <c r="Q3179" s="12" t="str">
        <f t="array" ref="Q3179">IF(A3179:A7222="","",IFERROR(_xlfn.XLOOKUP(A3179:A7222,castles_state!K:K,castles_state!D:D)&amp;"主",IFERROR(_xlfn.XLOOKUP(A3179:A7222,kunishuClan!D:D,kunishuClan!B:B)&amp;"当主","")))</f>
      </c>
    </row>
    <row r="3180" ht="15.75" customHeight="1">
      <c r="A3180" s="4">
        <v>1091029</v>
      </c>
      <c r="B3180" s="12" t="str">
        <f t="array" ref="B3180">IF(A3180:A7223="","",_xlfn.XLOOKUP(A3180:A7223,'参照_武将'!A:A,'参照_武将'!B:B,"見つかりません"))</f>
      </c>
      <c r="C3180" s="4" t="s">
        <v>5974</v>
      </c>
      <c r="D3180" s="4">
        <v>2</v>
      </c>
      <c r="E3180" s="12" t="str">
        <f t="array" ref="E3180">IF(D3180:D7223="","",IFERROR(_xlfn.XLOOKUP(D3180:D7223,'参照_勢力'!A:A,'参照_勢力'!B:B),IFERROR(_xlfn.XLOOKUP(F3180:F7223,kunishuClan!A:A,kunishuClan!B:B),"浪人")))</f>
      </c>
      <c r="F3180" s="4">
        <v>0</v>
      </c>
      <c r="G3180" s="4">
        <v>234</v>
      </c>
      <c r="H3180" s="12" t="str">
        <f t="array" ref="H3180">IF(G3180:G7223="","",_xlfn.XLOOKUP(G3180:G7223,castles_state!A:A,castles_state!D:D,"見つかりません"))</f>
      </c>
      <c r="I3180" s="4"/>
      <c r="J3180" s="12" t="str">
        <f t="array" ref="J3180">IF(I3180:I7223="","",_xlfn.XLOOKUP(I3180:I7223,'参照_姫'!A:A,'参照_姫'!B:B,"見つかりません"))</f>
      </c>
      <c r="K3180" s="4">
        <v>95</v>
      </c>
      <c r="L3180" s="4">
        <v>0</v>
      </c>
      <c r="M3180" s="4"/>
      <c r="N3180" s="4"/>
      <c r="O3180" s="4"/>
      <c r="P3180" s="12" t="str">
        <f t="array" ref="P3180">IF(O3180:O7223="","",_xlfn.XLOOKUP(O3180:O7223,'参照_官位'!A:A,'参照_官位'!B:B,""))</f>
      </c>
      <c r="Q3180" s="12" t="str">
        <f t="array" ref="Q3180">IF(A3180:A7223="","",IFERROR(_xlfn.XLOOKUP(A3180:A7223,castles_state!K:K,castles_state!D:D)&amp;"主",IFERROR(_xlfn.XLOOKUP(A3180:A7223,kunishuClan!D:D,kunishuClan!B:B)&amp;"当主","")))</f>
      </c>
    </row>
    <row r="3181" ht="15.75" customHeight="1">
      <c r="A3181" s="4">
        <v>1091030</v>
      </c>
      <c r="B3181" s="12" t="str">
        <f t="array" ref="B3181">IF(A3181:A7224="","",_xlfn.XLOOKUP(A3181:A7224,'参照_武将'!A:A,'参照_武将'!B:B,"見つかりません"))</f>
      </c>
      <c r="C3181" s="4" t="s">
        <v>5975</v>
      </c>
      <c r="D3181" s="4">
        <v>27</v>
      </c>
      <c r="E3181" s="12" t="str">
        <f t="array" ref="E3181">IF(D3181:D7224="","",IFERROR(_xlfn.XLOOKUP(D3181:D7224,'参照_勢力'!A:A,'参照_勢力'!B:B),IFERROR(_xlfn.XLOOKUP(F3181:F7224,kunishuClan!A:A,kunishuClan!B:B),"浪人")))</f>
      </c>
      <c r="F3181" s="4">
        <v>0</v>
      </c>
      <c r="G3181" s="4">
        <v>252</v>
      </c>
      <c r="H3181" s="12" t="str">
        <f t="array" ref="H3181">IF(G3181:G7224="","",_xlfn.XLOOKUP(G3181:G7224,castles_state!A:A,castles_state!D:D,"見つかりません"))</f>
      </c>
      <c r="I3181" s="4"/>
      <c r="J3181" s="12" t="str">
        <f t="array" ref="J3181">IF(I3181:I7224="","",_xlfn.XLOOKUP(I3181:I7224,'参照_姫'!A:A,'参照_姫'!B:B,"見つかりません"))</f>
      </c>
      <c r="K3181" s="4">
        <v>95</v>
      </c>
      <c r="L3181" s="4">
        <v>0</v>
      </c>
      <c r="M3181" s="4"/>
      <c r="N3181" s="4"/>
      <c r="O3181" s="4"/>
      <c r="P3181" s="12" t="str">
        <f t="array" ref="P3181">IF(O3181:O7224="","",_xlfn.XLOOKUP(O3181:O7224,'参照_官位'!A:A,'参照_官位'!B:B,""))</f>
      </c>
      <c r="Q3181" s="12" t="str">
        <f t="array" ref="Q3181">IF(A3181:A7224="","",IFERROR(_xlfn.XLOOKUP(A3181:A7224,castles_state!K:K,castles_state!D:D)&amp;"主",IFERROR(_xlfn.XLOOKUP(A3181:A7224,kunishuClan!D:D,kunishuClan!B:B)&amp;"当主","")))</f>
      </c>
    </row>
    <row r="3182" ht="15.75" customHeight="1">
      <c r="A3182" s="4">
        <v>1092001</v>
      </c>
      <c r="B3182" s="12" t="str">
        <f t="array" ref="B3182">IF(A3182:A7225="","",_xlfn.XLOOKUP(A3182:A7225,'参照_武将'!A:A,'参照_武将'!B:B,"見つかりません"))</f>
      </c>
      <c r="C3182" s="4" t="s">
        <v>417</v>
      </c>
      <c r="D3182" s="4">
        <v>92</v>
      </c>
      <c r="E3182" s="12" t="str">
        <f t="array" ref="E3182">IF(D3182:D7225="","",IFERROR(_xlfn.XLOOKUP(D3182:D7225,'参照_勢力'!A:A,'参照_勢力'!B:B),IFERROR(_xlfn.XLOOKUP(F3182:F7225,kunishuClan!A:A,kunishuClan!B:B),"浪人")))</f>
      </c>
      <c r="F3182" s="4">
        <v>0</v>
      </c>
      <c r="G3182" s="4">
        <v>58</v>
      </c>
      <c r="H3182" s="12" t="str">
        <f t="array" ref="H3182">IF(G3182:G7225="","",_xlfn.XLOOKUP(G3182:G7225,castles_state!A:A,castles_state!D:D,"見つかりません"))</f>
      </c>
      <c r="I3182" s="4"/>
      <c r="J3182" s="12" t="str">
        <f t="array" ref="J3182">IF(I3182:I7225="","",_xlfn.XLOOKUP(I3182:I7225,'参照_姫'!A:A,'参照_姫'!B:B,"見つかりません"))</f>
      </c>
      <c r="K3182" s="4">
        <v>95</v>
      </c>
      <c r="L3182" s="4">
        <v>0</v>
      </c>
      <c r="M3182" s="4"/>
      <c r="N3182" s="4"/>
      <c r="O3182" s="4"/>
      <c r="P3182" s="12" t="str">
        <f t="array" ref="P3182">IF(O3182:O7225="","",_xlfn.XLOOKUP(O3182:O7225,'参照_官位'!A:A,'参照_官位'!B:B,""))</f>
      </c>
      <c r="Q3182" s="12" t="str">
        <f t="array" ref="Q3182">IF(A3182:A7225="","",IFERROR(_xlfn.XLOOKUP(A3182:A7225,castles_state!K:K,castles_state!D:D)&amp;"主",IFERROR(_xlfn.XLOOKUP(A3182:A7225,kunishuClan!D:D,kunishuClan!B:B)&amp;"当主","")))</f>
      </c>
    </row>
    <row r="3183" ht="15.75" customHeight="1">
      <c r="A3183" s="4">
        <v>1092002</v>
      </c>
      <c r="B3183" s="12" t="str">
        <f t="array" ref="B3183">IF(A3183:A7226="","",_xlfn.XLOOKUP(A3183:A7226,'参照_武将'!A:A,'参照_武将'!B:B,"見つかりません"))</f>
      </c>
      <c r="C3183" s="4" t="s">
        <v>417</v>
      </c>
      <c r="D3183" s="4">
        <v>92</v>
      </c>
      <c r="E3183" s="12" t="str">
        <f t="array" ref="E3183">IF(D3183:D7226="","",IFERROR(_xlfn.XLOOKUP(D3183:D7226,'参照_勢力'!A:A,'参照_勢力'!B:B),IFERROR(_xlfn.XLOOKUP(F3183:F7226,kunishuClan!A:A,kunishuClan!B:B),"浪人")))</f>
      </c>
      <c r="F3183" s="4">
        <v>0</v>
      </c>
      <c r="G3183" s="4">
        <v>58</v>
      </c>
      <c r="H3183" s="12" t="str">
        <f t="array" ref="H3183">IF(G3183:G7226="","",_xlfn.XLOOKUP(G3183:G7226,castles_state!A:A,castles_state!D:D,"見つかりません"))</f>
      </c>
      <c r="I3183" s="4"/>
      <c r="J3183" s="12" t="str">
        <f t="array" ref="J3183">IF(I3183:I7226="","",_xlfn.XLOOKUP(I3183:I7226,'参照_姫'!A:A,'参照_姫'!B:B,"見つかりません"))</f>
      </c>
      <c r="K3183" s="4">
        <v>95</v>
      </c>
      <c r="L3183" s="4">
        <v>0</v>
      </c>
      <c r="M3183" s="4"/>
      <c r="N3183" s="4"/>
      <c r="O3183" s="4"/>
      <c r="P3183" s="12" t="str">
        <f t="array" ref="P3183">IF(O3183:O7226="","",_xlfn.XLOOKUP(O3183:O7226,'参照_官位'!A:A,'参照_官位'!B:B,""))</f>
      </c>
      <c r="Q3183" s="12" t="str">
        <f t="array" ref="Q3183">IF(A3183:A7226="","",IFERROR(_xlfn.XLOOKUP(A3183:A7226,castles_state!K:K,castles_state!D:D)&amp;"主",IFERROR(_xlfn.XLOOKUP(A3183:A7226,kunishuClan!D:D,kunishuClan!B:B)&amp;"当主","")))</f>
      </c>
    </row>
    <row r="3184" ht="15.75" customHeight="1">
      <c r="A3184" s="4">
        <v>1092003</v>
      </c>
      <c r="B3184" s="12" t="str">
        <f t="array" ref="B3184">IF(A3184:A7227="","",_xlfn.XLOOKUP(A3184:A7227,'参照_武将'!A:A,'参照_武将'!B:B,"見つかりません"))</f>
      </c>
      <c r="C3184" s="4" t="s">
        <v>417</v>
      </c>
      <c r="D3184" s="4">
        <v>92</v>
      </c>
      <c r="E3184" s="12" t="str">
        <f t="array" ref="E3184">IF(D3184:D7227="","",IFERROR(_xlfn.XLOOKUP(D3184:D7227,'参照_勢力'!A:A,'参照_勢力'!B:B),IFERROR(_xlfn.XLOOKUP(F3184:F7227,kunishuClan!A:A,kunishuClan!B:B),"浪人")))</f>
      </c>
      <c r="F3184" s="4">
        <v>0</v>
      </c>
      <c r="G3184" s="4">
        <v>58</v>
      </c>
      <c r="H3184" s="12" t="str">
        <f t="array" ref="H3184">IF(G3184:G7227="","",_xlfn.XLOOKUP(G3184:G7227,castles_state!A:A,castles_state!D:D,"見つかりません"))</f>
      </c>
      <c r="I3184" s="4"/>
      <c r="J3184" s="12" t="str">
        <f t="array" ref="J3184">IF(I3184:I7227="","",_xlfn.XLOOKUP(I3184:I7227,'参照_姫'!A:A,'参照_姫'!B:B,"見つかりません"))</f>
      </c>
      <c r="K3184" s="4">
        <v>95</v>
      </c>
      <c r="L3184" s="4">
        <v>0</v>
      </c>
      <c r="M3184" s="4"/>
      <c r="N3184" s="4"/>
      <c r="O3184" s="4"/>
      <c r="P3184" s="12" t="str">
        <f t="array" ref="P3184">IF(O3184:O7227="","",_xlfn.XLOOKUP(O3184:O7227,'参照_官位'!A:A,'参照_官位'!B:B,""))</f>
      </c>
      <c r="Q3184" s="12" t="str">
        <f t="array" ref="Q3184">IF(A3184:A7227="","",IFERROR(_xlfn.XLOOKUP(A3184:A7227,castles_state!K:K,castles_state!D:D)&amp;"主",IFERROR(_xlfn.XLOOKUP(A3184:A7227,kunishuClan!D:D,kunishuClan!B:B)&amp;"当主","")))</f>
      </c>
    </row>
    <row r="3185" ht="15.75" customHeight="1">
      <c r="A3185" s="4">
        <v>1092004</v>
      </c>
      <c r="B3185" s="12" t="str">
        <f t="array" ref="B3185">IF(A3185:A7228="","",_xlfn.XLOOKUP(A3185:A7228,'参照_武将'!A:A,'参照_武将'!B:B,"見つかりません"))</f>
      </c>
      <c r="C3185" s="4" t="s">
        <v>417</v>
      </c>
      <c r="D3185" s="4">
        <v>92</v>
      </c>
      <c r="E3185" s="12" t="str">
        <f t="array" ref="E3185">IF(D3185:D7228="","",IFERROR(_xlfn.XLOOKUP(D3185:D7228,'参照_勢力'!A:A,'参照_勢力'!B:B),IFERROR(_xlfn.XLOOKUP(F3185:F7228,kunishuClan!A:A,kunishuClan!B:B),"浪人")))</f>
      </c>
      <c r="F3185" s="4">
        <v>0</v>
      </c>
      <c r="G3185" s="4">
        <v>58</v>
      </c>
      <c r="H3185" s="12" t="str">
        <f t="array" ref="H3185">IF(G3185:G7228="","",_xlfn.XLOOKUP(G3185:G7228,castles_state!A:A,castles_state!D:D,"見つかりません"))</f>
      </c>
      <c r="I3185" s="4"/>
      <c r="J3185" s="12" t="str">
        <f t="array" ref="J3185">IF(I3185:I7228="","",_xlfn.XLOOKUP(I3185:I7228,'参照_姫'!A:A,'参照_姫'!B:B,"見つかりません"))</f>
      </c>
      <c r="K3185" s="4">
        <v>100</v>
      </c>
      <c r="L3185" s="4">
        <v>1500</v>
      </c>
      <c r="M3185" s="4"/>
      <c r="N3185" s="4"/>
      <c r="O3185" s="4"/>
      <c r="P3185" s="12" t="str">
        <f t="array" ref="P3185">IF(O3185:O7228="","",_xlfn.XLOOKUP(O3185:O7228,'参照_官位'!A:A,'参照_官位'!B:B,""))</f>
      </c>
      <c r="Q3185" s="12" t="str">
        <f t="array" ref="Q3185">IF(A3185:A7228="","",IFERROR(_xlfn.XLOOKUP(A3185:A7228,castles_state!K:K,castles_state!D:D)&amp;"主",IFERROR(_xlfn.XLOOKUP(A3185:A7228,kunishuClan!D:D,kunishuClan!B:B)&amp;"当主","")))</f>
      </c>
    </row>
    <row r="3186" ht="15.75" customHeight="1">
      <c r="A3186" s="4">
        <v>1092005</v>
      </c>
      <c r="B3186" s="12" t="str">
        <f t="array" ref="B3186">IF(A3186:A7229="","",_xlfn.XLOOKUP(A3186:A7229,'参照_武将'!A:A,'参照_武将'!B:B,"見つかりません"))</f>
      </c>
      <c r="C3186" s="4" t="s">
        <v>417</v>
      </c>
      <c r="D3186" s="4">
        <v>92</v>
      </c>
      <c r="E3186" s="12" t="str">
        <f t="array" ref="E3186">IF(D3186:D7229="","",IFERROR(_xlfn.XLOOKUP(D3186:D7229,'参照_勢力'!A:A,'参照_勢力'!B:B),IFERROR(_xlfn.XLOOKUP(F3186:F7229,kunishuClan!A:A,kunishuClan!B:B),"浪人")))</f>
      </c>
      <c r="F3186" s="4">
        <v>0</v>
      </c>
      <c r="G3186" s="4">
        <v>58</v>
      </c>
      <c r="H3186" s="12" t="str">
        <f t="array" ref="H3186">IF(G3186:G7229="","",_xlfn.XLOOKUP(G3186:G7229,castles_state!A:A,castles_state!D:D,"見つかりません"))</f>
      </c>
      <c r="I3186" s="4"/>
      <c r="J3186" s="12" t="str">
        <f t="array" ref="J3186">IF(I3186:I7229="","",_xlfn.XLOOKUP(I3186:I7229,'参照_姫'!A:A,'参照_姫'!B:B,"見つかりません"))</f>
      </c>
      <c r="K3186" s="4">
        <v>95</v>
      </c>
      <c r="L3186" s="4">
        <v>0</v>
      </c>
      <c r="M3186" s="4"/>
      <c r="N3186" s="4"/>
      <c r="O3186" s="4"/>
      <c r="P3186" s="12" t="str">
        <f t="array" ref="P3186">IF(O3186:O7229="","",_xlfn.XLOOKUP(O3186:O7229,'参照_官位'!A:A,'参照_官位'!B:B,""))</f>
      </c>
      <c r="Q3186" s="12" t="str">
        <f t="array" ref="Q3186">IF(A3186:A7229="","",IFERROR(_xlfn.XLOOKUP(A3186:A7229,castles_state!K:K,castles_state!D:D)&amp;"主",IFERROR(_xlfn.XLOOKUP(A3186:A7229,kunishuClan!D:D,kunishuClan!B:B)&amp;"当主","")))</f>
      </c>
    </row>
    <row r="3187" ht="15.75" customHeight="1">
      <c r="A3187" s="4">
        <v>1092006</v>
      </c>
      <c r="B3187" s="12" t="str">
        <f t="array" ref="B3187">IF(A3187:A7230="","",_xlfn.XLOOKUP(A3187:A7230,'参照_武将'!A:A,'参照_武将'!B:B,"見つかりません"))</f>
      </c>
      <c r="C3187" s="4" t="s">
        <v>417</v>
      </c>
      <c r="D3187" s="4">
        <v>92</v>
      </c>
      <c r="E3187" s="12" t="str">
        <f t="array" ref="E3187">IF(D3187:D7230="","",IFERROR(_xlfn.XLOOKUP(D3187:D7230,'参照_勢力'!A:A,'参照_勢力'!B:B),IFERROR(_xlfn.XLOOKUP(F3187:F7230,kunishuClan!A:A,kunishuClan!B:B),"浪人")))</f>
      </c>
      <c r="F3187" s="4">
        <v>0</v>
      </c>
      <c r="G3187" s="4">
        <v>58</v>
      </c>
      <c r="H3187" s="12" t="str">
        <f t="array" ref="H3187">IF(G3187:G7230="","",_xlfn.XLOOKUP(G3187:G7230,castles_state!A:A,castles_state!D:D,"見つかりません"))</f>
      </c>
      <c r="I3187" s="4"/>
      <c r="J3187" s="12" t="str">
        <f t="array" ref="J3187">IF(I3187:I7230="","",_xlfn.XLOOKUP(I3187:I7230,'参照_姫'!A:A,'参照_姫'!B:B,"見つかりません"))</f>
      </c>
      <c r="K3187" s="4">
        <v>95</v>
      </c>
      <c r="L3187" s="4">
        <v>0</v>
      </c>
      <c r="M3187" s="4"/>
      <c r="N3187" s="4"/>
      <c r="O3187" s="4"/>
      <c r="P3187" s="12" t="str">
        <f t="array" ref="P3187">IF(O3187:O7230="","",_xlfn.XLOOKUP(O3187:O7230,'参照_官位'!A:A,'参照_官位'!B:B,""))</f>
      </c>
      <c r="Q3187" s="12" t="str">
        <f t="array" ref="Q3187">IF(A3187:A7230="","",IFERROR(_xlfn.XLOOKUP(A3187:A7230,castles_state!K:K,castles_state!D:D)&amp;"主",IFERROR(_xlfn.XLOOKUP(A3187:A7230,kunishuClan!D:D,kunishuClan!B:B)&amp;"当主","")))</f>
      </c>
    </row>
    <row r="3188" ht="15.75" customHeight="1">
      <c r="A3188" s="4">
        <v>1092007</v>
      </c>
      <c r="B3188" s="12" t="str">
        <f t="array" ref="B3188">IF(A3188:A7231="","",_xlfn.XLOOKUP(A3188:A7231,'参照_武将'!A:A,'参照_武将'!B:B,"見つかりません"))</f>
      </c>
      <c r="C3188" s="4" t="s">
        <v>417</v>
      </c>
      <c r="D3188" s="4">
        <v>92</v>
      </c>
      <c r="E3188" s="12" t="str">
        <f t="array" ref="E3188">IF(D3188:D7231="","",IFERROR(_xlfn.XLOOKUP(D3188:D7231,'参照_勢力'!A:A,'参照_勢力'!B:B),IFERROR(_xlfn.XLOOKUP(F3188:F7231,kunishuClan!A:A,kunishuClan!B:B),"浪人")))</f>
      </c>
      <c r="F3188" s="4">
        <v>0</v>
      </c>
      <c r="G3188" s="4">
        <v>58</v>
      </c>
      <c r="H3188" s="12" t="str">
        <f t="array" ref="H3188">IF(G3188:G7231="","",_xlfn.XLOOKUP(G3188:G7231,castles_state!A:A,castles_state!D:D,"見つかりません"))</f>
      </c>
      <c r="I3188" s="4"/>
      <c r="J3188" s="12" t="str">
        <f t="array" ref="J3188">IF(I3188:I7231="","",_xlfn.XLOOKUP(I3188:I7231,'参照_姫'!A:A,'参照_姫'!B:B,"見つかりません"))</f>
      </c>
      <c r="K3188" s="4">
        <v>95</v>
      </c>
      <c r="L3188" s="4">
        <v>0</v>
      </c>
      <c r="M3188" s="4"/>
      <c r="N3188" s="4"/>
      <c r="O3188" s="4"/>
      <c r="P3188" s="12" t="str">
        <f t="array" ref="P3188">IF(O3188:O7231="","",_xlfn.XLOOKUP(O3188:O7231,'参照_官位'!A:A,'参照_官位'!B:B,""))</f>
      </c>
      <c r="Q3188" s="12" t="str">
        <f t="array" ref="Q3188">IF(A3188:A7231="","",IFERROR(_xlfn.XLOOKUP(A3188:A7231,castles_state!K:K,castles_state!D:D)&amp;"主",IFERROR(_xlfn.XLOOKUP(A3188:A7231,kunishuClan!D:D,kunishuClan!B:B)&amp;"当主","")))</f>
      </c>
    </row>
    <row r="3189" ht="15.75" customHeight="1">
      <c r="A3189" s="4">
        <v>1092008</v>
      </c>
      <c r="B3189" s="12" t="str">
        <f t="array" ref="B3189">IF(A3189:A7232="","",_xlfn.XLOOKUP(A3189:A7232,'参照_武将'!A:A,'参照_武将'!B:B,"見つかりません"))</f>
      </c>
      <c r="C3189" s="4" t="s">
        <v>417</v>
      </c>
      <c r="D3189" s="4">
        <v>92</v>
      </c>
      <c r="E3189" s="12" t="str">
        <f t="array" ref="E3189">IF(D3189:D7232="","",IFERROR(_xlfn.XLOOKUP(D3189:D7232,'参照_勢力'!A:A,'参照_勢力'!B:B),IFERROR(_xlfn.XLOOKUP(F3189:F7232,kunishuClan!A:A,kunishuClan!B:B),"浪人")))</f>
      </c>
      <c r="F3189" s="4">
        <v>0</v>
      </c>
      <c r="G3189" s="4">
        <v>58</v>
      </c>
      <c r="H3189" s="12" t="str">
        <f t="array" ref="H3189">IF(G3189:G7232="","",_xlfn.XLOOKUP(G3189:G7232,castles_state!A:A,castles_state!D:D,"見つかりません"))</f>
      </c>
      <c r="I3189" s="4"/>
      <c r="J3189" s="12" t="str">
        <f t="array" ref="J3189">IF(I3189:I7232="","",_xlfn.XLOOKUP(I3189:I7232,'参照_姫'!A:A,'参照_姫'!B:B,"見つかりません"))</f>
      </c>
      <c r="K3189" s="4">
        <v>95</v>
      </c>
      <c r="L3189" s="4">
        <v>0</v>
      </c>
      <c r="M3189" s="4"/>
      <c r="N3189" s="4"/>
      <c r="O3189" s="4"/>
      <c r="P3189" s="12" t="str">
        <f t="array" ref="P3189">IF(O3189:O7232="","",_xlfn.XLOOKUP(O3189:O7232,'参照_官位'!A:A,'参照_官位'!B:B,""))</f>
      </c>
      <c r="Q3189" s="12" t="str">
        <f t="array" ref="Q3189">IF(A3189:A7232="","",IFERROR(_xlfn.XLOOKUP(A3189:A7232,castles_state!K:K,castles_state!D:D)&amp;"主",IFERROR(_xlfn.XLOOKUP(A3189:A7232,kunishuClan!D:D,kunishuClan!B:B)&amp;"当主","")))</f>
      </c>
    </row>
    <row r="3190" ht="15.75" customHeight="1">
      <c r="A3190" s="4">
        <v>1092009</v>
      </c>
      <c r="B3190" s="12" t="str">
        <f t="array" ref="B3190">IF(A3190:A7233="","",_xlfn.XLOOKUP(A3190:A7233,'参照_武将'!A:A,'参照_武将'!B:B,"見つかりません"))</f>
      </c>
      <c r="C3190" s="4" t="s">
        <v>417</v>
      </c>
      <c r="D3190" s="4">
        <v>92</v>
      </c>
      <c r="E3190" s="12" t="str">
        <f t="array" ref="E3190">IF(D3190:D7233="","",IFERROR(_xlfn.XLOOKUP(D3190:D7233,'参照_勢力'!A:A,'参照_勢力'!B:B),IFERROR(_xlfn.XLOOKUP(F3190:F7233,kunishuClan!A:A,kunishuClan!B:B),"浪人")))</f>
      </c>
      <c r="F3190" s="4">
        <v>0</v>
      </c>
      <c r="G3190" s="4">
        <v>58</v>
      </c>
      <c r="H3190" s="12" t="str">
        <f t="array" ref="H3190">IF(G3190:G7233="","",_xlfn.XLOOKUP(G3190:G7233,castles_state!A:A,castles_state!D:D,"見つかりません"))</f>
      </c>
      <c r="I3190" s="4"/>
      <c r="J3190" s="12" t="str">
        <f t="array" ref="J3190">IF(I3190:I7233="","",_xlfn.XLOOKUP(I3190:I7233,'参照_姫'!A:A,'参照_姫'!B:B,"見つかりません"))</f>
      </c>
      <c r="K3190" s="4">
        <v>95</v>
      </c>
      <c r="L3190" s="4">
        <v>0</v>
      </c>
      <c r="M3190" s="4"/>
      <c r="N3190" s="4"/>
      <c r="O3190" s="4"/>
      <c r="P3190" s="12" t="str">
        <f t="array" ref="P3190">IF(O3190:O7233="","",_xlfn.XLOOKUP(O3190:O7233,'参照_官位'!A:A,'参照_官位'!B:B,""))</f>
      </c>
      <c r="Q3190" s="12" t="str">
        <f t="array" ref="Q3190">IF(A3190:A7233="","",IFERROR(_xlfn.XLOOKUP(A3190:A7233,castles_state!K:K,castles_state!D:D)&amp;"主",IFERROR(_xlfn.XLOOKUP(A3190:A7233,kunishuClan!D:D,kunishuClan!B:B)&amp;"当主","")))</f>
      </c>
    </row>
    <row r="3191" ht="15.75" customHeight="1">
      <c r="A3191" s="4">
        <v>1092010</v>
      </c>
      <c r="B3191" s="12" t="str">
        <f t="array" ref="B3191">IF(A3191:A7234="","",_xlfn.XLOOKUP(A3191:A7234,'参照_武将'!A:A,'参照_武将'!B:B,"見つかりません"))</f>
      </c>
      <c r="C3191" s="4" t="s">
        <v>417</v>
      </c>
      <c r="D3191" s="4">
        <v>92</v>
      </c>
      <c r="E3191" s="12" t="str">
        <f t="array" ref="E3191">IF(D3191:D7234="","",IFERROR(_xlfn.XLOOKUP(D3191:D7234,'参照_勢力'!A:A,'参照_勢力'!B:B),IFERROR(_xlfn.XLOOKUP(F3191:F7234,kunishuClan!A:A,kunishuClan!B:B),"浪人")))</f>
      </c>
      <c r="F3191" s="4">
        <v>0</v>
      </c>
      <c r="G3191" s="4">
        <v>58</v>
      </c>
      <c r="H3191" s="12" t="str">
        <f t="array" ref="H3191">IF(G3191:G7234="","",_xlfn.XLOOKUP(G3191:G7234,castles_state!A:A,castles_state!D:D,"見つかりません"))</f>
      </c>
      <c r="I3191" s="4"/>
      <c r="J3191" s="12" t="str">
        <f t="array" ref="J3191">IF(I3191:I7234="","",_xlfn.XLOOKUP(I3191:I7234,'参照_姫'!A:A,'参照_姫'!B:B,"見つかりません"))</f>
      </c>
      <c r="K3191" s="4">
        <v>95</v>
      </c>
      <c r="L3191" s="4">
        <v>0</v>
      </c>
      <c r="M3191" s="4"/>
      <c r="N3191" s="4"/>
      <c r="O3191" s="4"/>
      <c r="P3191" s="12" t="str">
        <f t="array" ref="P3191">IF(O3191:O7234="","",_xlfn.XLOOKUP(O3191:O7234,'参照_官位'!A:A,'参照_官位'!B:B,""))</f>
      </c>
      <c r="Q3191" s="12" t="str">
        <f t="array" ref="Q3191">IF(A3191:A7234="","",IFERROR(_xlfn.XLOOKUP(A3191:A7234,castles_state!K:K,castles_state!D:D)&amp;"主",IFERROR(_xlfn.XLOOKUP(A3191:A7234,kunishuClan!D:D,kunishuClan!B:B)&amp;"当主","")))</f>
      </c>
    </row>
    <row r="3192" ht="15.75" customHeight="1">
      <c r="A3192" s="4">
        <v>1092011</v>
      </c>
      <c r="B3192" s="12" t="str">
        <f t="array" ref="B3192">IF(A3192:A7235="","",_xlfn.XLOOKUP(A3192:A7235,'参照_武将'!A:A,'参照_武将'!B:B,"見つかりません"))</f>
      </c>
      <c r="C3192" s="4" t="s">
        <v>417</v>
      </c>
      <c r="D3192" s="4">
        <v>92</v>
      </c>
      <c r="E3192" s="12" t="str">
        <f t="array" ref="E3192">IF(D3192:D7235="","",IFERROR(_xlfn.XLOOKUP(D3192:D7235,'参照_勢力'!A:A,'参照_勢力'!B:B),IFERROR(_xlfn.XLOOKUP(F3192:F7235,kunishuClan!A:A,kunishuClan!B:B),"浪人")))</f>
      </c>
      <c r="F3192" s="4">
        <v>0</v>
      </c>
      <c r="G3192" s="4">
        <v>58</v>
      </c>
      <c r="H3192" s="12" t="str">
        <f t="array" ref="H3192">IF(G3192:G7235="","",_xlfn.XLOOKUP(G3192:G7235,castles_state!A:A,castles_state!D:D,"見つかりません"))</f>
      </c>
      <c r="I3192" s="4"/>
      <c r="J3192" s="12" t="str">
        <f t="array" ref="J3192">IF(I3192:I7235="","",_xlfn.XLOOKUP(I3192:I7235,'参照_姫'!A:A,'参照_姫'!B:B,"見つかりません"))</f>
      </c>
      <c r="K3192" s="4">
        <v>95</v>
      </c>
      <c r="L3192" s="4">
        <v>0</v>
      </c>
      <c r="M3192" s="4"/>
      <c r="N3192" s="4"/>
      <c r="O3192" s="4"/>
      <c r="P3192" s="12" t="str">
        <f t="array" ref="P3192">IF(O3192:O7235="","",_xlfn.XLOOKUP(O3192:O7235,'参照_官位'!A:A,'参照_官位'!B:B,""))</f>
      </c>
      <c r="Q3192" s="12" t="str">
        <f t="array" ref="Q3192">IF(A3192:A7235="","",IFERROR(_xlfn.XLOOKUP(A3192:A7235,castles_state!K:K,castles_state!D:D)&amp;"主",IFERROR(_xlfn.XLOOKUP(A3192:A7235,kunishuClan!D:D,kunishuClan!B:B)&amp;"当主","")))</f>
      </c>
    </row>
    <row r="3193" ht="15.75" customHeight="1">
      <c r="A3193" s="4">
        <v>1092012</v>
      </c>
      <c r="B3193" s="12" t="str">
        <f t="array" ref="B3193">IF(A3193:A7236="","",_xlfn.XLOOKUP(A3193:A7236,'参照_武将'!A:A,'参照_武将'!B:B,"見つかりません"))</f>
      </c>
      <c r="C3193" s="4" t="s">
        <v>417</v>
      </c>
      <c r="D3193" s="4">
        <v>92</v>
      </c>
      <c r="E3193" s="12" t="str">
        <f t="array" ref="E3193">IF(D3193:D7236="","",IFERROR(_xlfn.XLOOKUP(D3193:D7236,'参照_勢力'!A:A,'参照_勢力'!B:B),IFERROR(_xlfn.XLOOKUP(F3193:F7236,kunishuClan!A:A,kunishuClan!B:B),"浪人")))</f>
      </c>
      <c r="F3193" s="4">
        <v>0</v>
      </c>
      <c r="G3193" s="4">
        <v>58</v>
      </c>
      <c r="H3193" s="12" t="str">
        <f t="array" ref="H3193">IF(G3193:G7236="","",_xlfn.XLOOKUP(G3193:G7236,castles_state!A:A,castles_state!D:D,"見つかりません"))</f>
      </c>
      <c r="I3193" s="4"/>
      <c r="J3193" s="12" t="str">
        <f t="array" ref="J3193">IF(I3193:I7236="","",_xlfn.XLOOKUP(I3193:I7236,'参照_姫'!A:A,'参照_姫'!B:B,"見つかりません"))</f>
      </c>
      <c r="K3193" s="4">
        <v>95</v>
      </c>
      <c r="L3193" s="4">
        <v>0</v>
      </c>
      <c r="M3193" s="4"/>
      <c r="N3193" s="4"/>
      <c r="O3193" s="4"/>
      <c r="P3193" s="12" t="str">
        <f t="array" ref="P3193">IF(O3193:O7236="","",_xlfn.XLOOKUP(O3193:O7236,'参照_官位'!A:A,'参照_官位'!B:B,""))</f>
      </c>
      <c r="Q3193" s="12" t="str">
        <f t="array" ref="Q3193">IF(A3193:A7236="","",IFERROR(_xlfn.XLOOKUP(A3193:A7236,castles_state!K:K,castles_state!D:D)&amp;"主",IFERROR(_xlfn.XLOOKUP(A3193:A7236,kunishuClan!D:D,kunishuClan!B:B)&amp;"当主","")))</f>
      </c>
    </row>
    <row r="3194" ht="15.75" customHeight="1">
      <c r="A3194" s="4">
        <v>1092013</v>
      </c>
      <c r="B3194" s="12" t="str">
        <f t="array" ref="B3194">IF(A3194:A7237="","",_xlfn.XLOOKUP(A3194:A7237,'参照_武将'!A:A,'参照_武将'!B:B,"見つかりません"))</f>
      </c>
      <c r="C3194" s="4" t="s">
        <v>417</v>
      </c>
      <c r="D3194" s="4">
        <v>92</v>
      </c>
      <c r="E3194" s="12" t="str">
        <f t="array" ref="E3194">IF(D3194:D7237="","",IFERROR(_xlfn.XLOOKUP(D3194:D7237,'参照_勢力'!A:A,'参照_勢力'!B:B),IFERROR(_xlfn.XLOOKUP(F3194:F7237,kunishuClan!A:A,kunishuClan!B:B),"浪人")))</f>
      </c>
      <c r="F3194" s="4">
        <v>0</v>
      </c>
      <c r="G3194" s="4">
        <v>58</v>
      </c>
      <c r="H3194" s="12" t="str">
        <f t="array" ref="H3194">IF(G3194:G7237="","",_xlfn.XLOOKUP(G3194:G7237,castles_state!A:A,castles_state!D:D,"見つかりません"))</f>
      </c>
      <c r="I3194" s="4"/>
      <c r="J3194" s="12" t="str">
        <f t="array" ref="J3194">IF(I3194:I7237="","",_xlfn.XLOOKUP(I3194:I7237,'参照_姫'!A:A,'参照_姫'!B:B,"見つかりません"))</f>
      </c>
      <c r="K3194" s="4">
        <v>95</v>
      </c>
      <c r="L3194" s="4">
        <v>0</v>
      </c>
      <c r="M3194" s="4"/>
      <c r="N3194" s="4"/>
      <c r="O3194" s="4"/>
      <c r="P3194" s="12" t="str">
        <f t="array" ref="P3194">IF(O3194:O7237="","",_xlfn.XLOOKUP(O3194:O7237,'参照_官位'!A:A,'参照_官位'!B:B,""))</f>
      </c>
      <c r="Q3194" s="12" t="str">
        <f t="array" ref="Q3194">IF(A3194:A7237="","",IFERROR(_xlfn.XLOOKUP(A3194:A7237,castles_state!K:K,castles_state!D:D)&amp;"主",IFERROR(_xlfn.XLOOKUP(A3194:A7237,kunishuClan!D:D,kunishuClan!B:B)&amp;"当主","")))</f>
      </c>
    </row>
    <row r="3195" ht="15.75" customHeight="1">
      <c r="A3195" s="4">
        <v>1092014</v>
      </c>
      <c r="B3195" s="12" t="str">
        <f t="array" ref="B3195">IF(A3195:A7238="","",_xlfn.XLOOKUP(A3195:A7238,'参照_武将'!A:A,'参照_武将'!B:B,"見つかりません"))</f>
      </c>
      <c r="C3195" s="4" t="s">
        <v>417</v>
      </c>
      <c r="D3195" s="4">
        <v>92</v>
      </c>
      <c r="E3195" s="12" t="str">
        <f t="array" ref="E3195">IF(D3195:D7238="","",IFERROR(_xlfn.XLOOKUP(D3195:D7238,'参照_勢力'!A:A,'参照_勢力'!B:B),IFERROR(_xlfn.XLOOKUP(F3195:F7238,kunishuClan!A:A,kunishuClan!B:B),"浪人")))</f>
      </c>
      <c r="F3195" s="4">
        <v>0</v>
      </c>
      <c r="G3195" s="4">
        <v>58</v>
      </c>
      <c r="H3195" s="12" t="str">
        <f t="array" ref="H3195">IF(G3195:G7238="","",_xlfn.XLOOKUP(G3195:G7238,castles_state!A:A,castles_state!D:D,"見つかりません"))</f>
      </c>
      <c r="I3195" s="4"/>
      <c r="J3195" s="12" t="str">
        <f t="array" ref="J3195">IF(I3195:I7238="","",_xlfn.XLOOKUP(I3195:I7238,'参照_姫'!A:A,'参照_姫'!B:B,"見つかりません"))</f>
      </c>
      <c r="K3195" s="4">
        <v>95</v>
      </c>
      <c r="L3195" s="4">
        <v>0</v>
      </c>
      <c r="M3195" s="4" t="b">
        <v>1</v>
      </c>
      <c r="N3195" s="4"/>
      <c r="O3195" s="4"/>
      <c r="P3195" s="12" t="str">
        <f t="array" ref="P3195">IF(O3195:O7238="","",_xlfn.XLOOKUP(O3195:O7238,'参照_官位'!A:A,'参照_官位'!B:B,""))</f>
      </c>
      <c r="Q3195" s="12" t="str">
        <f t="array" ref="Q3195">IF(A3195:A7238="","",IFERROR(_xlfn.XLOOKUP(A3195:A7238,castles_state!K:K,castles_state!D:D)&amp;"主",IFERROR(_xlfn.XLOOKUP(A3195:A7238,kunishuClan!D:D,kunishuClan!B:B)&amp;"当主","")))</f>
      </c>
    </row>
    <row r="3196" ht="15.75" customHeight="1">
      <c r="A3196" s="4">
        <v>1092015</v>
      </c>
      <c r="B3196" s="12" t="str">
        <f t="array" ref="B3196">IF(A3196:A7239="","",_xlfn.XLOOKUP(A3196:A7239,'参照_武将'!A:A,'参照_武将'!B:B,"見つかりません"))</f>
      </c>
      <c r="C3196" s="4" t="s">
        <v>417</v>
      </c>
      <c r="D3196" s="4">
        <v>92</v>
      </c>
      <c r="E3196" s="12" t="str">
        <f t="array" ref="E3196">IF(D3196:D7239="","",IFERROR(_xlfn.XLOOKUP(D3196:D7239,'参照_勢力'!A:A,'参照_勢力'!B:B),IFERROR(_xlfn.XLOOKUP(F3196:F7239,kunishuClan!A:A,kunishuClan!B:B),"浪人")))</f>
      </c>
      <c r="F3196" s="4">
        <v>0</v>
      </c>
      <c r="G3196" s="4">
        <v>58</v>
      </c>
      <c r="H3196" s="12" t="str">
        <f t="array" ref="H3196">IF(G3196:G7239="","",_xlfn.XLOOKUP(G3196:G7239,castles_state!A:A,castles_state!D:D,"見つかりません"))</f>
      </c>
      <c r="I3196" s="4"/>
      <c r="J3196" s="12" t="str">
        <f t="array" ref="J3196">IF(I3196:I7239="","",_xlfn.XLOOKUP(I3196:I7239,'参照_姫'!A:A,'参照_姫'!B:B,"見つかりません"))</f>
      </c>
      <c r="K3196" s="4">
        <v>95</v>
      </c>
      <c r="L3196" s="4">
        <v>0</v>
      </c>
      <c r="M3196" s="4"/>
      <c r="N3196" s="4"/>
      <c r="O3196" s="4"/>
      <c r="P3196" s="12" t="str">
        <f t="array" ref="P3196">IF(O3196:O7239="","",_xlfn.XLOOKUP(O3196:O7239,'参照_官位'!A:A,'参照_官位'!B:B,""))</f>
      </c>
      <c r="Q3196" s="12" t="str">
        <f t="array" ref="Q3196">IF(A3196:A7239="","",IFERROR(_xlfn.XLOOKUP(A3196:A7239,castles_state!K:K,castles_state!D:D)&amp;"主",IFERROR(_xlfn.XLOOKUP(A3196:A7239,kunishuClan!D:D,kunishuClan!B:B)&amp;"当主","")))</f>
      </c>
    </row>
    <row r="3197" ht="15.75" customHeight="1">
      <c r="A3197" s="4">
        <v>1092016</v>
      </c>
      <c r="B3197" s="12" t="str">
        <f t="array" ref="B3197">IF(A3197:A7240="","",_xlfn.XLOOKUP(A3197:A7240,'参照_武将'!A:A,'参照_武将'!B:B,"見つかりません"))</f>
      </c>
      <c r="C3197" s="4" t="s">
        <v>417</v>
      </c>
      <c r="D3197" s="4">
        <v>92</v>
      </c>
      <c r="E3197" s="12" t="str">
        <f t="array" ref="E3197">IF(D3197:D7240="","",IFERROR(_xlfn.XLOOKUP(D3197:D7240,'参照_勢力'!A:A,'参照_勢力'!B:B),IFERROR(_xlfn.XLOOKUP(F3197:F7240,kunishuClan!A:A,kunishuClan!B:B),"浪人")))</f>
      </c>
      <c r="F3197" s="4">
        <v>0</v>
      </c>
      <c r="G3197" s="4">
        <v>58</v>
      </c>
      <c r="H3197" s="12" t="str">
        <f t="array" ref="H3197">IF(G3197:G7240="","",_xlfn.XLOOKUP(G3197:G7240,castles_state!A:A,castles_state!D:D,"見つかりません"))</f>
      </c>
      <c r="I3197" s="4"/>
      <c r="J3197" s="12" t="str">
        <f t="array" ref="J3197">IF(I3197:I7240="","",_xlfn.XLOOKUP(I3197:I7240,'参照_姫'!A:A,'参照_姫'!B:B,"見つかりません"))</f>
      </c>
      <c r="K3197" s="4">
        <v>95</v>
      </c>
      <c r="L3197" s="4">
        <v>0</v>
      </c>
      <c r="M3197" s="4"/>
      <c r="N3197" s="4"/>
      <c r="O3197" s="4"/>
      <c r="P3197" s="12" t="str">
        <f t="array" ref="P3197">IF(O3197:O7240="","",_xlfn.XLOOKUP(O3197:O7240,'参照_官位'!A:A,'参照_官位'!B:B,""))</f>
      </c>
      <c r="Q3197" s="12" t="str">
        <f t="array" ref="Q3197">IF(A3197:A7240="","",IFERROR(_xlfn.XLOOKUP(A3197:A7240,castles_state!K:K,castles_state!D:D)&amp;"主",IFERROR(_xlfn.XLOOKUP(A3197:A7240,kunishuClan!D:D,kunishuClan!B:B)&amp;"当主","")))</f>
      </c>
    </row>
    <row r="3198" ht="15.75" customHeight="1">
      <c r="A3198" s="4">
        <v>1092017</v>
      </c>
      <c r="B3198" s="12" t="str">
        <f t="array" ref="B3198">IF(A3198:A7241="","",_xlfn.XLOOKUP(A3198:A7241,'参照_武将'!A:A,'参照_武将'!B:B,"見つかりません"))</f>
      </c>
      <c r="C3198" s="4" t="s">
        <v>417</v>
      </c>
      <c r="D3198" s="4">
        <v>92</v>
      </c>
      <c r="E3198" s="12" t="str">
        <f t="array" ref="E3198">IF(D3198:D7241="","",IFERROR(_xlfn.XLOOKUP(D3198:D7241,'参照_勢力'!A:A,'参照_勢力'!B:B),IFERROR(_xlfn.XLOOKUP(F3198:F7241,kunishuClan!A:A,kunishuClan!B:B),"浪人")))</f>
      </c>
      <c r="F3198" s="4">
        <v>0</v>
      </c>
      <c r="G3198" s="4">
        <v>58</v>
      </c>
      <c r="H3198" s="12" t="str">
        <f t="array" ref="H3198">IF(G3198:G7241="","",_xlfn.XLOOKUP(G3198:G7241,castles_state!A:A,castles_state!D:D,"見つかりません"))</f>
      </c>
      <c r="I3198" s="4"/>
      <c r="J3198" s="12" t="str">
        <f t="array" ref="J3198">IF(I3198:I7241="","",_xlfn.XLOOKUP(I3198:I7241,'参照_姫'!A:A,'参照_姫'!B:B,"見つかりません"))</f>
      </c>
      <c r="K3198" s="4">
        <v>95</v>
      </c>
      <c r="L3198" s="4">
        <v>0</v>
      </c>
      <c r="M3198" s="4"/>
      <c r="N3198" s="4"/>
      <c r="O3198" s="4"/>
      <c r="P3198" s="12" t="str">
        <f t="array" ref="P3198">IF(O3198:O7241="","",_xlfn.XLOOKUP(O3198:O7241,'参照_官位'!A:A,'参照_官位'!B:B,""))</f>
      </c>
      <c r="Q3198" s="12" t="str">
        <f t="array" ref="Q3198">IF(A3198:A7241="","",IFERROR(_xlfn.XLOOKUP(A3198:A7241,castles_state!K:K,castles_state!D:D)&amp;"主",IFERROR(_xlfn.XLOOKUP(A3198:A7241,kunishuClan!D:D,kunishuClan!B:B)&amp;"当主","")))</f>
      </c>
    </row>
    <row r="3199" ht="15.75" customHeight="1">
      <c r="A3199" s="4">
        <v>1092018</v>
      </c>
      <c r="B3199" s="12" t="str">
        <f t="array" ref="B3199">IF(A3199:A7242="","",_xlfn.XLOOKUP(A3199:A7242,'参照_武将'!A:A,'参照_武将'!B:B,"見つかりません"))</f>
      </c>
      <c r="C3199" s="4" t="s">
        <v>417</v>
      </c>
      <c r="D3199" s="4">
        <v>92</v>
      </c>
      <c r="E3199" s="12" t="str">
        <f t="array" ref="E3199">IF(D3199:D7242="","",IFERROR(_xlfn.XLOOKUP(D3199:D7242,'参照_勢力'!A:A,'参照_勢力'!B:B),IFERROR(_xlfn.XLOOKUP(F3199:F7242,kunishuClan!A:A,kunishuClan!B:B),"浪人")))</f>
      </c>
      <c r="F3199" s="4">
        <v>0</v>
      </c>
      <c r="G3199" s="4">
        <v>58</v>
      </c>
      <c r="H3199" s="12" t="str">
        <f t="array" ref="H3199">IF(G3199:G7242="","",_xlfn.XLOOKUP(G3199:G7242,castles_state!A:A,castles_state!D:D,"見つかりません"))</f>
      </c>
      <c r="I3199" s="4"/>
      <c r="J3199" s="12" t="str">
        <f t="array" ref="J3199">IF(I3199:I7242="","",_xlfn.XLOOKUP(I3199:I7242,'参照_姫'!A:A,'参照_姫'!B:B,"見つかりません"))</f>
      </c>
      <c r="K3199" s="4">
        <v>95</v>
      </c>
      <c r="L3199" s="4">
        <v>0</v>
      </c>
      <c r="M3199" s="4"/>
      <c r="N3199" s="4"/>
      <c r="O3199" s="4"/>
      <c r="P3199" s="12" t="str">
        <f t="array" ref="P3199">IF(O3199:O7242="","",_xlfn.XLOOKUP(O3199:O7242,'参照_官位'!A:A,'参照_官位'!B:B,""))</f>
      </c>
      <c r="Q3199" s="12" t="str">
        <f t="array" ref="Q3199">IF(A3199:A7242="","",IFERROR(_xlfn.XLOOKUP(A3199:A7242,castles_state!K:K,castles_state!D:D)&amp;"主",IFERROR(_xlfn.XLOOKUP(A3199:A7242,kunishuClan!D:D,kunishuClan!B:B)&amp;"当主","")))</f>
      </c>
    </row>
    <row r="3200" ht="15.75" customHeight="1">
      <c r="A3200" s="4">
        <v>1092019</v>
      </c>
      <c r="B3200" s="12" t="str">
        <f t="array" ref="B3200">IF(A3200:A7243="","",_xlfn.XLOOKUP(A3200:A7243,'参照_武将'!A:A,'参照_武将'!B:B,"見つかりません"))</f>
      </c>
      <c r="C3200" s="4" t="s">
        <v>417</v>
      </c>
      <c r="D3200" s="4">
        <v>92</v>
      </c>
      <c r="E3200" s="12" t="str">
        <f t="array" ref="E3200">IF(D3200:D7243="","",IFERROR(_xlfn.XLOOKUP(D3200:D7243,'参照_勢力'!A:A,'参照_勢力'!B:B),IFERROR(_xlfn.XLOOKUP(F3200:F7243,kunishuClan!A:A,kunishuClan!B:B),"浪人")))</f>
      </c>
      <c r="F3200" s="4">
        <v>0</v>
      </c>
      <c r="G3200" s="4">
        <v>233</v>
      </c>
      <c r="H3200" s="12" t="str">
        <f t="array" ref="H3200">IF(G3200:G7243="","",_xlfn.XLOOKUP(G3200:G7243,castles_state!A:A,castles_state!D:D,"見つかりません"))</f>
      </c>
      <c r="I3200" s="4"/>
      <c r="J3200" s="12" t="str">
        <f t="array" ref="J3200">IF(I3200:I7243="","",_xlfn.XLOOKUP(I3200:I7243,'参照_姫'!A:A,'参照_姫'!B:B,"見つかりません"))</f>
      </c>
      <c r="K3200" s="4">
        <v>95</v>
      </c>
      <c r="L3200" s="4">
        <v>0</v>
      </c>
      <c r="M3200" s="4"/>
      <c r="N3200" s="4"/>
      <c r="O3200" s="4"/>
      <c r="P3200" s="12" t="str">
        <f t="array" ref="P3200">IF(O3200:O7243="","",_xlfn.XLOOKUP(O3200:O7243,'参照_官位'!A:A,'参照_官位'!B:B,""))</f>
      </c>
      <c r="Q3200" s="12" t="str">
        <f t="array" ref="Q3200">IF(A3200:A7243="","",IFERROR(_xlfn.XLOOKUP(A3200:A7243,castles_state!K:K,castles_state!D:D)&amp;"主",IFERROR(_xlfn.XLOOKUP(A3200:A7243,kunishuClan!D:D,kunishuClan!B:B)&amp;"当主","")))</f>
      </c>
    </row>
    <row r="3201" ht="15.75" customHeight="1">
      <c r="A3201" s="4">
        <v>1092020</v>
      </c>
      <c r="B3201" s="12" t="str">
        <f t="array" ref="B3201">IF(A3201:A7244="","",_xlfn.XLOOKUP(A3201:A7244,'参照_武将'!A:A,'参照_武将'!B:B,"見つかりません"))</f>
      </c>
      <c r="C3201" s="4" t="s">
        <v>417</v>
      </c>
      <c r="D3201" s="4">
        <v>92</v>
      </c>
      <c r="E3201" s="12" t="str">
        <f t="array" ref="E3201">IF(D3201:D7244="","",IFERROR(_xlfn.XLOOKUP(D3201:D7244,'参照_勢力'!A:A,'参照_勢力'!B:B),IFERROR(_xlfn.XLOOKUP(F3201:F7244,kunishuClan!A:A,kunishuClan!B:B),"浪人")))</f>
      </c>
      <c r="F3201" s="4">
        <v>0</v>
      </c>
      <c r="G3201" s="4">
        <v>233</v>
      </c>
      <c r="H3201" s="12" t="str">
        <f t="array" ref="H3201">IF(G3201:G7244="","",_xlfn.XLOOKUP(G3201:G7244,castles_state!A:A,castles_state!D:D,"見つかりません"))</f>
      </c>
      <c r="I3201" s="4"/>
      <c r="J3201" s="12" t="str">
        <f t="array" ref="J3201">IF(I3201:I7244="","",_xlfn.XLOOKUP(I3201:I7244,'参照_姫'!A:A,'参照_姫'!B:B,"見つかりません"))</f>
      </c>
      <c r="K3201" s="4">
        <v>95</v>
      </c>
      <c r="L3201" s="4">
        <v>0</v>
      </c>
      <c r="M3201" s="4"/>
      <c r="N3201" s="4"/>
      <c r="O3201" s="4"/>
      <c r="P3201" s="12" t="str">
        <f t="array" ref="P3201">IF(O3201:O7244="","",_xlfn.XLOOKUP(O3201:O7244,'参照_官位'!A:A,'参照_官位'!B:B,""))</f>
      </c>
      <c r="Q3201" s="12" t="str">
        <f t="array" ref="Q3201">IF(A3201:A7244="","",IFERROR(_xlfn.XLOOKUP(A3201:A7244,castles_state!K:K,castles_state!D:D)&amp;"主",IFERROR(_xlfn.XLOOKUP(A3201:A7244,kunishuClan!D:D,kunishuClan!B:B)&amp;"当主","")))</f>
      </c>
    </row>
    <row r="3202" ht="15.75" customHeight="1">
      <c r="A3202" s="4">
        <v>1092021</v>
      </c>
      <c r="B3202" s="12" t="str">
        <f t="array" ref="B3202">IF(A3202:A7245="","",_xlfn.XLOOKUP(A3202:A7245,'参照_武将'!A:A,'参照_武将'!B:B,"見つかりません"))</f>
      </c>
      <c r="C3202" s="4" t="s">
        <v>417</v>
      </c>
      <c r="D3202" s="4">
        <v>92</v>
      </c>
      <c r="E3202" s="12" t="str">
        <f t="array" ref="E3202">IF(D3202:D7245="","",IFERROR(_xlfn.XLOOKUP(D3202:D7245,'参照_勢力'!A:A,'参照_勢力'!B:B),IFERROR(_xlfn.XLOOKUP(F3202:F7245,kunishuClan!A:A,kunishuClan!B:B),"浪人")))</f>
      </c>
      <c r="F3202" s="4">
        <v>0</v>
      </c>
      <c r="G3202" s="4">
        <v>233</v>
      </c>
      <c r="H3202" s="12" t="str">
        <f t="array" ref="H3202">IF(G3202:G7245="","",_xlfn.XLOOKUP(G3202:G7245,castles_state!A:A,castles_state!D:D,"見つかりません"))</f>
      </c>
      <c r="I3202" s="4"/>
      <c r="J3202" s="12" t="str">
        <f t="array" ref="J3202">IF(I3202:I7245="","",_xlfn.XLOOKUP(I3202:I7245,'参照_姫'!A:A,'参照_姫'!B:B,"見つかりません"))</f>
      </c>
      <c r="K3202" s="4">
        <v>95</v>
      </c>
      <c r="L3202" s="4">
        <v>0</v>
      </c>
      <c r="M3202" s="4"/>
      <c r="N3202" s="4"/>
      <c r="O3202" s="4"/>
      <c r="P3202" s="12" t="str">
        <f t="array" ref="P3202">IF(O3202:O7245="","",_xlfn.XLOOKUP(O3202:O7245,'参照_官位'!A:A,'参照_官位'!B:B,""))</f>
      </c>
      <c r="Q3202" s="12" t="str">
        <f t="array" ref="Q3202">IF(A3202:A7245="","",IFERROR(_xlfn.XLOOKUP(A3202:A7245,castles_state!K:K,castles_state!D:D)&amp;"主",IFERROR(_xlfn.XLOOKUP(A3202:A7245,kunishuClan!D:D,kunishuClan!B:B)&amp;"当主","")))</f>
      </c>
    </row>
    <row r="3203" ht="15.75" customHeight="1">
      <c r="A3203" s="4">
        <v>1092022</v>
      </c>
      <c r="B3203" s="12" t="str">
        <f t="array" ref="B3203">IF(A3203:A7246="","",_xlfn.XLOOKUP(A3203:A7246,'参照_武将'!A:A,'参照_武将'!B:B,"見つかりません"))</f>
      </c>
      <c r="C3203" s="4" t="s">
        <v>417</v>
      </c>
      <c r="D3203" s="4">
        <v>92</v>
      </c>
      <c r="E3203" s="12" t="str">
        <f t="array" ref="E3203">IF(D3203:D7246="","",IFERROR(_xlfn.XLOOKUP(D3203:D7246,'参照_勢力'!A:A,'参照_勢力'!B:B),IFERROR(_xlfn.XLOOKUP(F3203:F7246,kunishuClan!A:A,kunishuClan!B:B),"浪人")))</f>
      </c>
      <c r="F3203" s="4">
        <v>0</v>
      </c>
      <c r="G3203" s="4">
        <v>233</v>
      </c>
      <c r="H3203" s="12" t="str">
        <f t="array" ref="H3203">IF(G3203:G7246="","",_xlfn.XLOOKUP(G3203:G7246,castles_state!A:A,castles_state!D:D,"見つかりません"))</f>
      </c>
      <c r="I3203" s="4"/>
      <c r="J3203" s="12" t="str">
        <f t="array" ref="J3203">IF(I3203:I7246="","",_xlfn.XLOOKUP(I3203:I7246,'参照_姫'!A:A,'参照_姫'!B:B,"見つかりません"))</f>
      </c>
      <c r="K3203" s="4">
        <v>95</v>
      </c>
      <c r="L3203" s="4">
        <v>0</v>
      </c>
      <c r="M3203" s="4"/>
      <c r="N3203" s="4"/>
      <c r="O3203" s="4"/>
      <c r="P3203" s="12" t="str">
        <f t="array" ref="P3203">IF(O3203:O7246="","",_xlfn.XLOOKUP(O3203:O7246,'参照_官位'!A:A,'参照_官位'!B:B,""))</f>
      </c>
      <c r="Q3203" s="12" t="str">
        <f t="array" ref="Q3203">IF(A3203:A7246="","",IFERROR(_xlfn.XLOOKUP(A3203:A7246,castles_state!K:K,castles_state!D:D)&amp;"主",IFERROR(_xlfn.XLOOKUP(A3203:A7246,kunishuClan!D:D,kunishuClan!B:B)&amp;"当主","")))</f>
      </c>
    </row>
    <row r="3204" ht="15.75" customHeight="1">
      <c r="A3204" s="4">
        <v>1092023</v>
      </c>
      <c r="B3204" s="12" t="str">
        <f t="array" ref="B3204">IF(A3204:A7247="","",_xlfn.XLOOKUP(A3204:A7247,'参照_武将'!A:A,'参照_武将'!B:B,"見つかりません"))</f>
      </c>
      <c r="C3204" s="4" t="s">
        <v>417</v>
      </c>
      <c r="D3204" s="4">
        <v>92</v>
      </c>
      <c r="E3204" s="12" t="str">
        <f t="array" ref="E3204">IF(D3204:D7247="","",IFERROR(_xlfn.XLOOKUP(D3204:D7247,'参照_勢力'!A:A,'参照_勢力'!B:B),IFERROR(_xlfn.XLOOKUP(F3204:F7247,kunishuClan!A:A,kunishuClan!B:B),"浪人")))</f>
      </c>
      <c r="F3204" s="4">
        <v>0</v>
      </c>
      <c r="G3204" s="4">
        <v>233</v>
      </c>
      <c r="H3204" s="12" t="str">
        <f t="array" ref="H3204">IF(G3204:G7247="","",_xlfn.XLOOKUP(G3204:G7247,castles_state!A:A,castles_state!D:D,"見つかりません"))</f>
      </c>
      <c r="I3204" s="4"/>
      <c r="J3204" s="12" t="str">
        <f t="array" ref="J3204">IF(I3204:I7247="","",_xlfn.XLOOKUP(I3204:I7247,'参照_姫'!A:A,'参照_姫'!B:B,"見つかりません"))</f>
      </c>
      <c r="K3204" s="4">
        <v>95</v>
      </c>
      <c r="L3204" s="4">
        <v>500</v>
      </c>
      <c r="M3204" s="4"/>
      <c r="N3204" s="4"/>
      <c r="O3204" s="4"/>
      <c r="P3204" s="12" t="str">
        <f t="array" ref="P3204">IF(O3204:O7247="","",_xlfn.XLOOKUP(O3204:O7247,'参照_官位'!A:A,'参照_官位'!B:B,""))</f>
      </c>
      <c r="Q3204" s="12" t="str">
        <f t="array" ref="Q3204">IF(A3204:A7247="","",IFERROR(_xlfn.XLOOKUP(A3204:A7247,castles_state!K:K,castles_state!D:D)&amp;"主",IFERROR(_xlfn.XLOOKUP(A3204:A7247,kunishuClan!D:D,kunishuClan!B:B)&amp;"当主","")))</f>
      </c>
    </row>
    <row r="3205" ht="15.75" customHeight="1">
      <c r="A3205" s="4">
        <v>1092024</v>
      </c>
      <c r="B3205" s="12" t="str">
        <f t="array" ref="B3205">IF(A3205:A7248="","",_xlfn.XLOOKUP(A3205:A7248,'参照_武将'!A:A,'参照_武将'!B:B,"見つかりません"))</f>
      </c>
      <c r="C3205" s="4" t="s">
        <v>417</v>
      </c>
      <c r="D3205" s="4">
        <v>92</v>
      </c>
      <c r="E3205" s="12" t="str">
        <f t="array" ref="E3205">IF(D3205:D7248="","",IFERROR(_xlfn.XLOOKUP(D3205:D7248,'参照_勢力'!A:A,'参照_勢力'!B:B),IFERROR(_xlfn.XLOOKUP(F3205:F7248,kunishuClan!A:A,kunishuClan!B:B),"浪人")))</f>
      </c>
      <c r="F3205" s="4">
        <v>0</v>
      </c>
      <c r="G3205" s="4">
        <v>233</v>
      </c>
      <c r="H3205" s="12" t="str">
        <f t="array" ref="H3205">IF(G3205:G7248="","",_xlfn.XLOOKUP(G3205:G7248,castles_state!A:A,castles_state!D:D,"見つかりません"))</f>
      </c>
      <c r="I3205" s="4"/>
      <c r="J3205" s="12" t="str">
        <f t="array" ref="J3205">IF(I3205:I7248="","",_xlfn.XLOOKUP(I3205:I7248,'参照_姫'!A:A,'参照_姫'!B:B,"見つかりません"))</f>
      </c>
      <c r="K3205" s="4">
        <v>95</v>
      </c>
      <c r="L3205" s="4">
        <v>0</v>
      </c>
      <c r="M3205" s="4"/>
      <c r="N3205" s="4"/>
      <c r="O3205" s="4"/>
      <c r="P3205" s="12" t="str">
        <f t="array" ref="P3205">IF(O3205:O7248="","",_xlfn.XLOOKUP(O3205:O7248,'参照_官位'!A:A,'参照_官位'!B:B,""))</f>
      </c>
      <c r="Q3205" s="12" t="str">
        <f t="array" ref="Q3205">IF(A3205:A7248="","",IFERROR(_xlfn.XLOOKUP(A3205:A7248,castles_state!K:K,castles_state!D:D)&amp;"主",IFERROR(_xlfn.XLOOKUP(A3205:A7248,kunishuClan!D:D,kunishuClan!B:B)&amp;"当主","")))</f>
      </c>
    </row>
    <row r="3206" ht="15.75" customHeight="1">
      <c r="A3206" s="4">
        <v>1092025</v>
      </c>
      <c r="B3206" s="12" t="str">
        <f t="array" ref="B3206">IF(A3206:A7249="","",_xlfn.XLOOKUP(A3206:A7249,'参照_武将'!A:A,'参照_武将'!B:B,"見つかりません"))</f>
      </c>
      <c r="C3206" s="4" t="s">
        <v>417</v>
      </c>
      <c r="D3206" s="4">
        <v>92</v>
      </c>
      <c r="E3206" s="12" t="str">
        <f t="array" ref="E3206">IF(D3206:D7249="","",IFERROR(_xlfn.XLOOKUP(D3206:D7249,'参照_勢力'!A:A,'参照_勢力'!B:B),IFERROR(_xlfn.XLOOKUP(F3206:F7249,kunishuClan!A:A,kunishuClan!B:B),"浪人")))</f>
      </c>
      <c r="F3206" s="4">
        <v>0</v>
      </c>
      <c r="G3206" s="4">
        <v>233</v>
      </c>
      <c r="H3206" s="12" t="str">
        <f t="array" ref="H3206">IF(G3206:G7249="","",_xlfn.XLOOKUP(G3206:G7249,castles_state!A:A,castles_state!D:D,"見つかりません"))</f>
      </c>
      <c r="I3206" s="4"/>
      <c r="J3206" s="12" t="str">
        <f t="array" ref="J3206">IF(I3206:I7249="","",_xlfn.XLOOKUP(I3206:I7249,'参照_姫'!A:A,'参照_姫'!B:B,"見つかりません"))</f>
      </c>
      <c r="K3206" s="4">
        <v>95</v>
      </c>
      <c r="L3206" s="4">
        <v>0</v>
      </c>
      <c r="M3206" s="4"/>
      <c r="N3206" s="4"/>
      <c r="O3206" s="4"/>
      <c r="P3206" s="12" t="str">
        <f t="array" ref="P3206">IF(O3206:O7249="","",_xlfn.XLOOKUP(O3206:O7249,'参照_官位'!A:A,'参照_官位'!B:B,""))</f>
      </c>
      <c r="Q3206" s="12" t="str">
        <f t="array" ref="Q3206">IF(A3206:A7249="","",IFERROR(_xlfn.XLOOKUP(A3206:A7249,castles_state!K:K,castles_state!D:D)&amp;"主",IFERROR(_xlfn.XLOOKUP(A3206:A7249,kunishuClan!D:D,kunishuClan!B:B)&amp;"当主","")))</f>
      </c>
    </row>
    <row r="3207" ht="15.75" customHeight="1">
      <c r="A3207" s="4">
        <v>1092026</v>
      </c>
      <c r="B3207" s="12" t="str">
        <f t="array" ref="B3207">IF(A3207:A7250="","",_xlfn.XLOOKUP(A3207:A7250,'参照_武将'!A:A,'参照_武将'!B:B,"見つかりません"))</f>
      </c>
      <c r="C3207" s="4" t="s">
        <v>417</v>
      </c>
      <c r="D3207" s="4">
        <v>92</v>
      </c>
      <c r="E3207" s="12" t="str">
        <f t="array" ref="E3207">IF(D3207:D7250="","",IFERROR(_xlfn.XLOOKUP(D3207:D7250,'参照_勢力'!A:A,'参照_勢力'!B:B),IFERROR(_xlfn.XLOOKUP(F3207:F7250,kunishuClan!A:A,kunishuClan!B:B),"浪人")))</f>
      </c>
      <c r="F3207" s="4">
        <v>0</v>
      </c>
      <c r="G3207" s="4">
        <v>233</v>
      </c>
      <c r="H3207" s="12" t="str">
        <f t="array" ref="H3207">IF(G3207:G7250="","",_xlfn.XLOOKUP(G3207:G7250,castles_state!A:A,castles_state!D:D,"見つかりません"))</f>
      </c>
      <c r="I3207" s="4"/>
      <c r="J3207" s="12" t="str">
        <f t="array" ref="J3207">IF(I3207:I7250="","",_xlfn.XLOOKUP(I3207:I7250,'参照_姫'!A:A,'参照_姫'!B:B,"見つかりません"))</f>
      </c>
      <c r="K3207" s="4">
        <v>95</v>
      </c>
      <c r="L3207" s="4">
        <v>0</v>
      </c>
      <c r="M3207" s="4"/>
      <c r="N3207" s="4"/>
      <c r="O3207" s="4"/>
      <c r="P3207" s="12" t="str">
        <f t="array" ref="P3207">IF(O3207:O7250="","",_xlfn.XLOOKUP(O3207:O7250,'参照_官位'!A:A,'参照_官位'!B:B,""))</f>
      </c>
      <c r="Q3207" s="12" t="str">
        <f t="array" ref="Q3207">IF(A3207:A7250="","",IFERROR(_xlfn.XLOOKUP(A3207:A7250,castles_state!K:K,castles_state!D:D)&amp;"主",IFERROR(_xlfn.XLOOKUP(A3207:A7250,kunishuClan!D:D,kunishuClan!B:B)&amp;"当主","")))</f>
      </c>
    </row>
    <row r="3208" ht="15.75" customHeight="1">
      <c r="A3208" s="4">
        <v>1092027</v>
      </c>
      <c r="B3208" s="12" t="str">
        <f t="array" ref="B3208">IF(A3208:A7251="","",_xlfn.XLOOKUP(A3208:A7251,'参照_武将'!A:A,'参照_武将'!B:B,"見つかりません"))</f>
      </c>
      <c r="C3208" s="4" t="s">
        <v>417</v>
      </c>
      <c r="D3208" s="4">
        <v>92</v>
      </c>
      <c r="E3208" s="12" t="str">
        <f t="array" ref="E3208">IF(D3208:D7251="","",IFERROR(_xlfn.XLOOKUP(D3208:D7251,'参照_勢力'!A:A,'参照_勢力'!B:B),IFERROR(_xlfn.XLOOKUP(F3208:F7251,kunishuClan!A:A,kunishuClan!B:B),"浪人")))</f>
      </c>
      <c r="F3208" s="4">
        <v>0</v>
      </c>
      <c r="G3208" s="4">
        <v>233</v>
      </c>
      <c r="H3208" s="12" t="str">
        <f t="array" ref="H3208">IF(G3208:G7251="","",_xlfn.XLOOKUP(G3208:G7251,castles_state!A:A,castles_state!D:D,"見つかりません"))</f>
      </c>
      <c r="I3208" s="4"/>
      <c r="J3208" s="12" t="str">
        <f t="array" ref="J3208">IF(I3208:I7251="","",_xlfn.XLOOKUP(I3208:I7251,'参照_姫'!A:A,'参照_姫'!B:B,"見つかりません"))</f>
      </c>
      <c r="K3208" s="4">
        <v>95</v>
      </c>
      <c r="L3208" s="4">
        <v>0</v>
      </c>
      <c r="M3208" s="4"/>
      <c r="N3208" s="4"/>
      <c r="O3208" s="4"/>
      <c r="P3208" s="12" t="str">
        <f t="array" ref="P3208">IF(O3208:O7251="","",_xlfn.XLOOKUP(O3208:O7251,'参照_官位'!A:A,'参照_官位'!B:B,""))</f>
      </c>
      <c r="Q3208" s="12" t="str">
        <f t="array" ref="Q3208">IF(A3208:A7251="","",IFERROR(_xlfn.XLOOKUP(A3208:A7251,castles_state!K:K,castles_state!D:D)&amp;"主",IFERROR(_xlfn.XLOOKUP(A3208:A7251,kunishuClan!D:D,kunishuClan!B:B)&amp;"当主","")))</f>
      </c>
    </row>
    <row r="3209" ht="15.75" customHeight="1">
      <c r="A3209" s="4">
        <v>1092028</v>
      </c>
      <c r="B3209" s="12" t="str">
        <f t="array" ref="B3209">IF(A3209:A7252="","",_xlfn.XLOOKUP(A3209:A7252,'参照_武将'!A:A,'参照_武将'!B:B,"見つかりません"))</f>
      </c>
      <c r="C3209" s="4" t="s">
        <v>417</v>
      </c>
      <c r="D3209" s="4">
        <v>92</v>
      </c>
      <c r="E3209" s="12" t="str">
        <f t="array" ref="E3209">IF(D3209:D7252="","",IFERROR(_xlfn.XLOOKUP(D3209:D7252,'参照_勢力'!A:A,'参照_勢力'!B:B),IFERROR(_xlfn.XLOOKUP(F3209:F7252,kunishuClan!A:A,kunishuClan!B:B),"浪人")))</f>
      </c>
      <c r="F3209" s="4">
        <v>0</v>
      </c>
      <c r="G3209" s="4">
        <v>233</v>
      </c>
      <c r="H3209" s="12" t="str">
        <f t="array" ref="H3209">IF(G3209:G7252="","",_xlfn.XLOOKUP(G3209:G7252,castles_state!A:A,castles_state!D:D,"見つかりません"))</f>
      </c>
      <c r="I3209" s="4"/>
      <c r="J3209" s="12" t="str">
        <f t="array" ref="J3209">IF(I3209:I7252="","",_xlfn.XLOOKUP(I3209:I7252,'参照_姫'!A:A,'参照_姫'!B:B,"見つかりません"))</f>
      </c>
      <c r="K3209" s="4">
        <v>95</v>
      </c>
      <c r="L3209" s="4">
        <v>0</v>
      </c>
      <c r="M3209" s="4"/>
      <c r="N3209" s="4"/>
      <c r="O3209" s="4"/>
      <c r="P3209" s="12" t="str">
        <f t="array" ref="P3209">IF(O3209:O7252="","",_xlfn.XLOOKUP(O3209:O7252,'参照_官位'!A:A,'参照_官位'!B:B,""))</f>
      </c>
      <c r="Q3209" s="12" t="str">
        <f t="array" ref="Q3209">IF(A3209:A7252="","",IFERROR(_xlfn.XLOOKUP(A3209:A7252,castles_state!K:K,castles_state!D:D)&amp;"主",IFERROR(_xlfn.XLOOKUP(A3209:A7252,kunishuClan!D:D,kunishuClan!B:B)&amp;"当主","")))</f>
      </c>
    </row>
    <row r="3210" ht="15.75" customHeight="1">
      <c r="A3210" s="4">
        <v>1092029</v>
      </c>
      <c r="B3210" s="12" t="str">
        <f t="array" ref="B3210">IF(A3210:A7253="","",_xlfn.XLOOKUP(A3210:A7253,'参照_武将'!A:A,'参照_武将'!B:B,"見つかりません"))</f>
      </c>
      <c r="C3210" s="4" t="s">
        <v>417</v>
      </c>
      <c r="D3210" s="4">
        <v>92</v>
      </c>
      <c r="E3210" s="12" t="str">
        <f t="array" ref="E3210">IF(D3210:D7253="","",IFERROR(_xlfn.XLOOKUP(D3210:D7253,'参照_勢力'!A:A,'参照_勢力'!B:B),IFERROR(_xlfn.XLOOKUP(F3210:F7253,kunishuClan!A:A,kunishuClan!B:B),"浪人")))</f>
      </c>
      <c r="F3210" s="4">
        <v>0</v>
      </c>
      <c r="G3210" s="4">
        <v>233</v>
      </c>
      <c r="H3210" s="12" t="str">
        <f t="array" ref="H3210">IF(G3210:G7253="","",_xlfn.XLOOKUP(G3210:G7253,castles_state!A:A,castles_state!D:D,"見つかりません"))</f>
      </c>
      <c r="I3210" s="4"/>
      <c r="J3210" s="12" t="str">
        <f t="array" ref="J3210">IF(I3210:I7253="","",_xlfn.XLOOKUP(I3210:I7253,'参照_姫'!A:A,'参照_姫'!B:B,"見つかりません"))</f>
      </c>
      <c r="K3210" s="4">
        <v>95</v>
      </c>
      <c r="L3210" s="4">
        <v>500</v>
      </c>
      <c r="M3210" s="4"/>
      <c r="N3210" s="4"/>
      <c r="O3210" s="4"/>
      <c r="P3210" s="12" t="str">
        <f t="array" ref="P3210">IF(O3210:O7253="","",_xlfn.XLOOKUP(O3210:O7253,'参照_官位'!A:A,'参照_官位'!B:B,""))</f>
      </c>
      <c r="Q3210" s="12" t="str">
        <f t="array" ref="Q3210">IF(A3210:A7253="","",IFERROR(_xlfn.XLOOKUP(A3210:A7253,castles_state!K:K,castles_state!D:D)&amp;"主",IFERROR(_xlfn.XLOOKUP(A3210:A7253,kunishuClan!D:D,kunishuClan!B:B)&amp;"当主","")))</f>
      </c>
    </row>
    <row r="3211" ht="15.75" customHeight="1">
      <c r="A3211" s="4">
        <v>1092030</v>
      </c>
      <c r="B3211" s="12" t="str">
        <f t="array" ref="B3211">IF(A3211:A7254="","",_xlfn.XLOOKUP(A3211:A7254,'参照_武将'!A:A,'参照_武将'!B:B,"見つかりません"))</f>
      </c>
      <c r="C3211" s="4" t="s">
        <v>417</v>
      </c>
      <c r="D3211" s="4">
        <v>92</v>
      </c>
      <c r="E3211" s="12" t="str">
        <f t="array" ref="E3211">IF(D3211:D7254="","",IFERROR(_xlfn.XLOOKUP(D3211:D7254,'参照_勢力'!A:A,'参照_勢力'!B:B),IFERROR(_xlfn.XLOOKUP(F3211:F7254,kunishuClan!A:A,kunishuClan!B:B),"浪人")))</f>
      </c>
      <c r="F3211" s="4">
        <v>0</v>
      </c>
      <c r="G3211" s="4">
        <v>233</v>
      </c>
      <c r="H3211" s="12" t="str">
        <f t="array" ref="H3211">IF(G3211:G7254="","",_xlfn.XLOOKUP(G3211:G7254,castles_state!A:A,castles_state!D:D,"見つかりません"))</f>
      </c>
      <c r="I3211" s="4"/>
      <c r="J3211" s="12" t="str">
        <f t="array" ref="J3211">IF(I3211:I7254="","",_xlfn.XLOOKUP(I3211:I7254,'参照_姫'!A:A,'参照_姫'!B:B,"見つかりません"))</f>
      </c>
      <c r="K3211" s="4">
        <v>95</v>
      </c>
      <c r="L3211" s="4">
        <v>0</v>
      </c>
      <c r="M3211" s="4"/>
      <c r="N3211" s="4"/>
      <c r="O3211" s="4"/>
      <c r="P3211" s="12" t="str">
        <f t="array" ref="P3211">IF(O3211:O7254="","",_xlfn.XLOOKUP(O3211:O7254,'参照_官位'!A:A,'参照_官位'!B:B,""))</f>
      </c>
      <c r="Q3211" s="12" t="str">
        <f t="array" ref="Q3211">IF(A3211:A7254="","",IFERROR(_xlfn.XLOOKUP(A3211:A7254,castles_state!K:K,castles_state!D:D)&amp;"主",IFERROR(_xlfn.XLOOKUP(A3211:A7254,kunishuClan!D:D,kunishuClan!B:B)&amp;"当主","")))</f>
      </c>
    </row>
    <row r="3212" ht="15.75" customHeight="1">
      <c r="A3212" s="4">
        <v>1092031</v>
      </c>
      <c r="B3212" s="12" t="str">
        <f t="array" ref="B3212">IF(A3212:A7255="","",_xlfn.XLOOKUP(A3212:A7255,'参照_武将'!A:A,'参照_武将'!B:B,"見つかりません"))</f>
      </c>
      <c r="C3212" s="4" t="s">
        <v>417</v>
      </c>
      <c r="D3212" s="4">
        <v>92</v>
      </c>
      <c r="E3212" s="12" t="str">
        <f t="array" ref="E3212">IF(D3212:D7255="","",IFERROR(_xlfn.XLOOKUP(D3212:D7255,'参照_勢力'!A:A,'参照_勢力'!B:B),IFERROR(_xlfn.XLOOKUP(F3212:F7255,kunishuClan!A:A,kunishuClan!B:B),"浪人")))</f>
      </c>
      <c r="F3212" s="4">
        <v>0</v>
      </c>
      <c r="G3212" s="4">
        <v>233</v>
      </c>
      <c r="H3212" s="12" t="str">
        <f t="array" ref="H3212">IF(G3212:G7255="","",_xlfn.XLOOKUP(G3212:G7255,castles_state!A:A,castles_state!D:D,"見つかりません"))</f>
      </c>
      <c r="I3212" s="4"/>
      <c r="J3212" s="12" t="str">
        <f t="array" ref="J3212">IF(I3212:I7255="","",_xlfn.XLOOKUP(I3212:I7255,'参照_姫'!A:A,'参照_姫'!B:B,"見つかりません"))</f>
      </c>
      <c r="K3212" s="4">
        <v>95</v>
      </c>
      <c r="L3212" s="4">
        <v>0</v>
      </c>
      <c r="M3212" s="4"/>
      <c r="N3212" s="4"/>
      <c r="O3212" s="4"/>
      <c r="P3212" s="12" t="str">
        <f t="array" ref="P3212">IF(O3212:O7255="","",_xlfn.XLOOKUP(O3212:O7255,'参照_官位'!A:A,'参照_官位'!B:B,""))</f>
      </c>
      <c r="Q3212" s="12" t="str">
        <f t="array" ref="Q3212">IF(A3212:A7255="","",IFERROR(_xlfn.XLOOKUP(A3212:A7255,castles_state!K:K,castles_state!D:D)&amp;"主",IFERROR(_xlfn.XLOOKUP(A3212:A7255,kunishuClan!D:D,kunishuClan!B:B)&amp;"当主","")))</f>
      </c>
    </row>
    <row r="3213" ht="15.75" customHeight="1">
      <c r="A3213" s="4">
        <v>1092032</v>
      </c>
      <c r="B3213" s="12" t="str">
        <f t="array" ref="B3213">IF(A3213:A7256="","",_xlfn.XLOOKUP(A3213:A7256,'参照_武将'!A:A,'参照_武将'!B:B,"見つかりません"))</f>
      </c>
      <c r="C3213" s="4" t="s">
        <v>417</v>
      </c>
      <c r="D3213" s="4">
        <v>92</v>
      </c>
      <c r="E3213" s="12" t="str">
        <f t="array" ref="E3213">IF(D3213:D7256="","",IFERROR(_xlfn.XLOOKUP(D3213:D7256,'参照_勢力'!A:A,'参照_勢力'!B:B),IFERROR(_xlfn.XLOOKUP(F3213:F7256,kunishuClan!A:A,kunishuClan!B:B),"浪人")))</f>
      </c>
      <c r="F3213" s="4">
        <v>0</v>
      </c>
      <c r="G3213" s="4">
        <v>233</v>
      </c>
      <c r="H3213" s="12" t="str">
        <f t="array" ref="H3213">IF(G3213:G7256="","",_xlfn.XLOOKUP(G3213:G7256,castles_state!A:A,castles_state!D:D,"見つかりません"))</f>
      </c>
      <c r="I3213" s="4"/>
      <c r="J3213" s="12" t="str">
        <f t="array" ref="J3213">IF(I3213:I7256="","",_xlfn.XLOOKUP(I3213:I7256,'参照_姫'!A:A,'参照_姫'!B:B,"見つかりません"))</f>
      </c>
      <c r="K3213" s="4">
        <v>95</v>
      </c>
      <c r="L3213" s="4">
        <v>0</v>
      </c>
      <c r="M3213" s="4"/>
      <c r="N3213" s="4"/>
      <c r="O3213" s="4"/>
      <c r="P3213" s="12" t="str">
        <f t="array" ref="P3213">IF(O3213:O7256="","",_xlfn.XLOOKUP(O3213:O7256,'参照_官位'!A:A,'参照_官位'!B:B,""))</f>
      </c>
      <c r="Q3213" s="12" t="str">
        <f t="array" ref="Q3213">IF(A3213:A7256="","",IFERROR(_xlfn.XLOOKUP(A3213:A7256,castles_state!K:K,castles_state!D:D)&amp;"主",IFERROR(_xlfn.XLOOKUP(A3213:A7256,kunishuClan!D:D,kunishuClan!B:B)&amp;"当主","")))</f>
      </c>
    </row>
    <row r="3214" ht="15.75" customHeight="1">
      <c r="A3214" s="4">
        <v>1092033</v>
      </c>
      <c r="B3214" s="12" t="str">
        <f t="array" ref="B3214">IF(A3214:A7257="","",_xlfn.XLOOKUP(A3214:A7257,'参照_武将'!A:A,'参照_武将'!B:B,"見つかりません"))</f>
      </c>
      <c r="C3214" s="4" t="s">
        <v>417</v>
      </c>
      <c r="D3214" s="4">
        <v>92</v>
      </c>
      <c r="E3214" s="12" t="str">
        <f t="array" ref="E3214">IF(D3214:D7257="","",IFERROR(_xlfn.XLOOKUP(D3214:D7257,'参照_勢力'!A:A,'参照_勢力'!B:B),IFERROR(_xlfn.XLOOKUP(F3214:F7257,kunishuClan!A:A,kunishuClan!B:B),"浪人")))</f>
      </c>
      <c r="F3214" s="4">
        <v>0</v>
      </c>
      <c r="G3214" s="4">
        <v>233</v>
      </c>
      <c r="H3214" s="12" t="str">
        <f t="array" ref="H3214">IF(G3214:G7257="","",_xlfn.XLOOKUP(G3214:G7257,castles_state!A:A,castles_state!D:D,"見つかりません"))</f>
      </c>
      <c r="I3214" s="4"/>
      <c r="J3214" s="12" t="str">
        <f t="array" ref="J3214">IF(I3214:I7257="","",_xlfn.XLOOKUP(I3214:I7257,'参照_姫'!A:A,'参照_姫'!B:B,"見つかりません"))</f>
      </c>
      <c r="K3214" s="4">
        <v>95</v>
      </c>
      <c r="L3214" s="4">
        <v>0</v>
      </c>
      <c r="M3214" s="4"/>
      <c r="N3214" s="4"/>
      <c r="O3214" s="4"/>
      <c r="P3214" s="12" t="str">
        <f t="array" ref="P3214">IF(O3214:O7257="","",_xlfn.XLOOKUP(O3214:O7257,'参照_官位'!A:A,'参照_官位'!B:B,""))</f>
      </c>
      <c r="Q3214" s="12" t="str">
        <f t="array" ref="Q3214">IF(A3214:A7257="","",IFERROR(_xlfn.XLOOKUP(A3214:A7257,castles_state!K:K,castles_state!D:D)&amp;"主",IFERROR(_xlfn.XLOOKUP(A3214:A7257,kunishuClan!D:D,kunishuClan!B:B)&amp;"当主","")))</f>
      </c>
    </row>
    <row r="3215" ht="15.75" customHeight="1">
      <c r="A3215" s="4">
        <v>1092034</v>
      </c>
      <c r="B3215" s="12" t="str">
        <f t="array" ref="B3215">IF(A3215:A7258="","",_xlfn.XLOOKUP(A3215:A7258,'参照_武将'!A:A,'参照_武将'!B:B,"見つかりません"))</f>
      </c>
      <c r="C3215" s="4" t="s">
        <v>417</v>
      </c>
      <c r="D3215" s="4">
        <v>92</v>
      </c>
      <c r="E3215" s="12" t="str">
        <f t="array" ref="E3215">IF(D3215:D7258="","",IFERROR(_xlfn.XLOOKUP(D3215:D7258,'参照_勢力'!A:A,'参照_勢力'!B:B),IFERROR(_xlfn.XLOOKUP(F3215:F7258,kunishuClan!A:A,kunishuClan!B:B),"浪人")))</f>
      </c>
      <c r="F3215" s="4">
        <v>0</v>
      </c>
      <c r="G3215" s="4">
        <v>58</v>
      </c>
      <c r="H3215" s="12" t="str">
        <f t="array" ref="H3215">IF(G3215:G7258="","",_xlfn.XLOOKUP(G3215:G7258,castles_state!A:A,castles_state!D:D,"見つかりません"))</f>
      </c>
      <c r="I3215" s="4"/>
      <c r="J3215" s="12" t="str">
        <f t="array" ref="J3215">IF(I3215:I7258="","",_xlfn.XLOOKUP(I3215:I7258,'参照_姫'!A:A,'参照_姫'!B:B,"見つかりません"))</f>
      </c>
      <c r="K3215" s="4">
        <v>95</v>
      </c>
      <c r="L3215" s="4">
        <v>0</v>
      </c>
      <c r="M3215" s="4"/>
      <c r="N3215" s="4"/>
      <c r="O3215" s="4"/>
      <c r="P3215" s="12" t="str">
        <f t="array" ref="P3215">IF(O3215:O7258="","",_xlfn.XLOOKUP(O3215:O7258,'参照_官位'!A:A,'参照_官位'!B:B,""))</f>
      </c>
      <c r="Q3215" s="12" t="str">
        <f t="array" ref="Q3215">IF(A3215:A7258="","",IFERROR(_xlfn.XLOOKUP(A3215:A7258,castles_state!K:K,castles_state!D:D)&amp;"主",IFERROR(_xlfn.XLOOKUP(A3215:A7258,kunishuClan!D:D,kunishuClan!B:B)&amp;"当主","")))</f>
      </c>
    </row>
    <row r="3216" ht="15.75" customHeight="1">
      <c r="A3216" s="4">
        <v>1092035</v>
      </c>
      <c r="B3216" s="12" t="str">
        <f t="array" ref="B3216">IF(A3216:A7259="","",_xlfn.XLOOKUP(A3216:A7259,'参照_武将'!A:A,'参照_武将'!B:B,"見つかりません"))</f>
      </c>
      <c r="C3216" s="4" t="s">
        <v>417</v>
      </c>
      <c r="D3216" s="4">
        <v>92</v>
      </c>
      <c r="E3216" s="12" t="str">
        <f t="array" ref="E3216">IF(D3216:D7259="","",IFERROR(_xlfn.XLOOKUP(D3216:D7259,'参照_勢力'!A:A,'参照_勢力'!B:B),IFERROR(_xlfn.XLOOKUP(F3216:F7259,kunishuClan!A:A,kunishuClan!B:B),"浪人")))</f>
      </c>
      <c r="F3216" s="4">
        <v>0</v>
      </c>
      <c r="G3216" s="4">
        <v>58</v>
      </c>
      <c r="H3216" s="12" t="str">
        <f t="array" ref="H3216">IF(G3216:G7259="","",_xlfn.XLOOKUP(G3216:G7259,castles_state!A:A,castles_state!D:D,"見つかりません"))</f>
      </c>
      <c r="I3216" s="4"/>
      <c r="J3216" s="12" t="str">
        <f t="array" ref="J3216">IF(I3216:I7259="","",_xlfn.XLOOKUP(I3216:I7259,'参照_姫'!A:A,'参照_姫'!B:B,"見つかりません"))</f>
      </c>
      <c r="K3216" s="4">
        <v>95</v>
      </c>
      <c r="L3216" s="4">
        <v>0</v>
      </c>
      <c r="M3216" s="4"/>
      <c r="N3216" s="4"/>
      <c r="O3216" s="4"/>
      <c r="P3216" s="12" t="str">
        <f t="array" ref="P3216">IF(O3216:O7259="","",_xlfn.XLOOKUP(O3216:O7259,'参照_官位'!A:A,'参照_官位'!B:B,""))</f>
      </c>
      <c r="Q3216" s="12" t="str">
        <f t="array" ref="Q3216">IF(A3216:A7259="","",IFERROR(_xlfn.XLOOKUP(A3216:A7259,castles_state!K:K,castles_state!D:D)&amp;"主",IFERROR(_xlfn.XLOOKUP(A3216:A7259,kunishuClan!D:D,kunishuClan!B:B)&amp;"当主","")))</f>
      </c>
    </row>
    <row r="3217" ht="15.75" customHeight="1">
      <c r="A3217" s="4">
        <v>1201001</v>
      </c>
      <c r="B3217" s="12" t="str">
        <f t="array" ref="B3217">IF(A3217:A7260="","",_xlfn.XLOOKUP(A3217:A7260,'参照_武将'!A:A,'参照_武将'!B:B,"見つかりません"))</f>
      </c>
      <c r="C3217" s="4" t="s">
        <v>427</v>
      </c>
      <c r="D3217" s="4">
        <v>7</v>
      </c>
      <c r="E3217" s="12" t="str">
        <f t="array" ref="E3217">IF(D3217:D7260="","",IFERROR(_xlfn.XLOOKUP(D3217:D7260,'参照_勢力'!A:A,'参照_勢力'!B:B),IFERROR(_xlfn.XLOOKUP(F3217:F7260,kunishuClan!A:A,kunishuClan!B:B),"浪人")))</f>
      </c>
      <c r="F3217" s="4">
        <v>0</v>
      </c>
      <c r="G3217" s="4">
        <v>16</v>
      </c>
      <c r="H3217" s="12" t="str">
        <f t="array" ref="H3217">IF(G3217:G7260="","",_xlfn.XLOOKUP(G3217:G7260,castles_state!A:A,castles_state!D:D,"見つかりません"))</f>
      </c>
      <c r="I3217" s="4"/>
      <c r="J3217" s="12" t="str">
        <f t="array" ref="J3217">IF(I3217:I7260="","",_xlfn.XLOOKUP(I3217:I7260,'参照_姫'!A:A,'参照_姫'!B:B,"見つかりません"))</f>
      </c>
      <c r="K3217" s="4">
        <v>95</v>
      </c>
      <c r="L3217" s="4">
        <v>0</v>
      </c>
      <c r="M3217" s="4"/>
      <c r="N3217" s="4"/>
      <c r="O3217" s="4"/>
      <c r="P3217" s="12" t="str">
        <f t="array" ref="P3217">IF(O3217:O7260="","",_xlfn.XLOOKUP(O3217:O7260,'参照_官位'!A:A,'参照_官位'!B:B,""))</f>
      </c>
      <c r="Q3217" s="12" t="str">
        <f t="array" ref="Q3217">IF(A3217:A7260="","",IFERROR(_xlfn.XLOOKUP(A3217:A7260,castles_state!K:K,castles_state!D:D)&amp;"主",IFERROR(_xlfn.XLOOKUP(A3217:A7260,kunishuClan!D:D,kunishuClan!B:B)&amp;"当主","")))</f>
      </c>
    </row>
    <row r="3218" ht="15.75" customHeight="1">
      <c r="A3218" s="4">
        <v>1201002</v>
      </c>
      <c r="B3218" s="12" t="str">
        <f t="array" ref="B3218">IF(A3218:A7261="","",_xlfn.XLOOKUP(A3218:A7261,'参照_武将'!A:A,'参照_武将'!B:B,"見つかりません"))</f>
      </c>
      <c r="C3218" s="4" t="s">
        <v>427</v>
      </c>
      <c r="D3218" s="4">
        <v>7</v>
      </c>
      <c r="E3218" s="12" t="str">
        <f t="array" ref="E3218">IF(D3218:D7261="","",IFERROR(_xlfn.XLOOKUP(D3218:D7261,'参照_勢力'!A:A,'参照_勢力'!B:B),IFERROR(_xlfn.XLOOKUP(F3218:F7261,kunishuClan!A:A,kunishuClan!B:B),"浪人")))</f>
      </c>
      <c r="F3218" s="4">
        <v>0</v>
      </c>
      <c r="G3218" s="4">
        <v>16</v>
      </c>
      <c r="H3218" s="12" t="str">
        <f t="array" ref="H3218">IF(G3218:G7261="","",_xlfn.XLOOKUP(G3218:G7261,castles_state!A:A,castles_state!D:D,"見つかりません"))</f>
      </c>
      <c r="I3218" s="4"/>
      <c r="J3218" s="12" t="str">
        <f t="array" ref="J3218">IF(I3218:I7261="","",_xlfn.XLOOKUP(I3218:I7261,'参照_姫'!A:A,'参照_姫'!B:B,"見つかりません"))</f>
      </c>
      <c r="K3218" s="4">
        <v>95</v>
      </c>
      <c r="L3218" s="4">
        <v>0</v>
      </c>
      <c r="M3218" s="4"/>
      <c r="N3218" s="4"/>
      <c r="O3218" s="4"/>
      <c r="P3218" s="12" t="str">
        <f t="array" ref="P3218">IF(O3218:O7261="","",_xlfn.XLOOKUP(O3218:O7261,'参照_官位'!A:A,'参照_官位'!B:B,""))</f>
      </c>
      <c r="Q3218" s="12" t="str">
        <f t="array" ref="Q3218">IF(A3218:A7261="","",IFERROR(_xlfn.XLOOKUP(A3218:A7261,castles_state!K:K,castles_state!D:D)&amp;"主",IFERROR(_xlfn.XLOOKUP(A3218:A7261,kunishuClan!D:D,kunishuClan!B:B)&amp;"当主","")))</f>
      </c>
    </row>
    <row r="3219" ht="15.75" customHeight="1">
      <c r="A3219" s="4">
        <v>1201003</v>
      </c>
      <c r="B3219" s="12" t="str">
        <f t="array" ref="B3219">IF(A3219:A7262="","",_xlfn.XLOOKUP(A3219:A7262,'参照_武将'!A:A,'参照_武将'!B:B,"見つかりません"))</f>
      </c>
      <c r="C3219" s="4" t="s">
        <v>427</v>
      </c>
      <c r="D3219" s="4">
        <v>1</v>
      </c>
      <c r="E3219" s="12" t="str">
        <f t="array" ref="E3219">IF(D3219:D7262="","",IFERROR(_xlfn.XLOOKUP(D3219:D7262,'参照_勢力'!A:A,'参照_勢力'!B:B),IFERROR(_xlfn.XLOOKUP(F3219:F7262,kunishuClan!A:A,kunishuClan!B:B),"浪人")))</f>
      </c>
      <c r="F3219" s="4">
        <v>0</v>
      </c>
      <c r="G3219" s="4">
        <v>35</v>
      </c>
      <c r="H3219" s="12" t="str">
        <f t="array" ref="H3219">IF(G3219:G7262="","",_xlfn.XLOOKUP(G3219:G7262,castles_state!A:A,castles_state!D:D,"見つかりません"))</f>
      </c>
      <c r="I3219" s="4"/>
      <c r="J3219" s="12" t="str">
        <f t="array" ref="J3219">IF(I3219:I7262="","",_xlfn.XLOOKUP(I3219:I7262,'参照_姫'!A:A,'参照_姫'!B:B,"見つかりません"))</f>
      </c>
      <c r="K3219" s="4">
        <v>95</v>
      </c>
      <c r="L3219" s="4">
        <v>500</v>
      </c>
      <c r="M3219" s="4" t="b">
        <v>1</v>
      </c>
      <c r="N3219" s="4"/>
      <c r="O3219" s="4"/>
      <c r="P3219" s="12" t="str">
        <f t="array" ref="P3219">IF(O3219:O7262="","",_xlfn.XLOOKUP(O3219:O7262,'参照_官位'!A:A,'参照_官位'!B:B,""))</f>
      </c>
      <c r="Q3219" s="12" t="str">
        <f t="array" ref="Q3219">IF(A3219:A7262="","",IFERROR(_xlfn.XLOOKUP(A3219:A7262,castles_state!K:K,castles_state!D:D)&amp;"主",IFERROR(_xlfn.XLOOKUP(A3219:A7262,kunishuClan!D:D,kunishuClan!B:B)&amp;"当主","")))</f>
      </c>
    </row>
    <row r="3220" ht="15.75" customHeight="1">
      <c r="A3220" s="4">
        <v>1201004</v>
      </c>
      <c r="B3220" s="12" t="str">
        <f t="array" ref="B3220">IF(A3220:A7263="","",_xlfn.XLOOKUP(A3220:A7263,'参照_武将'!A:A,'参照_武将'!B:B,"見つかりません"))</f>
      </c>
      <c r="C3220" s="4" t="s">
        <v>427</v>
      </c>
      <c r="D3220" s="4">
        <v>1</v>
      </c>
      <c r="E3220" s="12" t="str">
        <f t="array" ref="E3220">IF(D3220:D7263="","",IFERROR(_xlfn.XLOOKUP(D3220:D7263,'参照_勢力'!A:A,'参照_勢力'!B:B),IFERROR(_xlfn.XLOOKUP(F3220:F7263,kunishuClan!A:A,kunishuClan!B:B),"浪人")))</f>
      </c>
      <c r="F3220" s="4">
        <v>0</v>
      </c>
      <c r="G3220" s="4">
        <v>16</v>
      </c>
      <c r="H3220" s="12" t="str">
        <f t="array" ref="H3220">IF(G3220:G7263="","",_xlfn.XLOOKUP(G3220:G7263,castles_state!A:A,castles_state!D:D,"見つかりません"))</f>
      </c>
      <c r="I3220" s="4"/>
      <c r="J3220" s="12" t="str">
        <f t="array" ref="J3220">IF(I3220:I7263="","",_xlfn.XLOOKUP(I3220:I7263,'参照_姫'!A:A,'参照_姫'!B:B,"見つかりません"))</f>
      </c>
      <c r="K3220" s="4">
        <v>95</v>
      </c>
      <c r="L3220" s="4">
        <v>0</v>
      </c>
      <c r="M3220" s="4"/>
      <c r="N3220" s="4"/>
      <c r="O3220" s="4"/>
      <c r="P3220" s="12" t="str">
        <f t="array" ref="P3220">IF(O3220:O7263="","",_xlfn.XLOOKUP(O3220:O7263,'参照_官位'!A:A,'参照_官位'!B:B,""))</f>
      </c>
      <c r="Q3220" s="12" t="str">
        <f t="array" ref="Q3220">IF(A3220:A7263="","",IFERROR(_xlfn.XLOOKUP(A3220:A7263,castles_state!K:K,castles_state!D:D)&amp;"主",IFERROR(_xlfn.XLOOKUP(A3220:A7263,kunishuClan!D:D,kunishuClan!B:B)&amp;"当主","")))</f>
      </c>
    </row>
    <row r="3221" ht="15.75" customHeight="1">
      <c r="A3221" s="4">
        <v>1201005</v>
      </c>
      <c r="B3221" s="12" t="str">
        <f t="array" ref="B3221">IF(A3221:A7264="","",_xlfn.XLOOKUP(A3221:A7264,'参照_武将'!A:A,'参照_武将'!B:B,"見つかりません"))</f>
      </c>
      <c r="C3221" s="4" t="s">
        <v>427</v>
      </c>
      <c r="D3221" s="4">
        <v>7</v>
      </c>
      <c r="E3221" s="12" t="str">
        <f t="array" ref="E3221">IF(D3221:D7264="","",IFERROR(_xlfn.XLOOKUP(D3221:D7264,'参照_勢力'!A:A,'参照_勢力'!B:B),IFERROR(_xlfn.XLOOKUP(F3221:F7264,kunishuClan!A:A,kunishuClan!B:B),"浪人")))</f>
      </c>
      <c r="F3221" s="4">
        <v>0</v>
      </c>
      <c r="G3221" s="4">
        <v>16</v>
      </c>
      <c r="H3221" s="12" t="str">
        <f t="array" ref="H3221">IF(G3221:G7264="","",_xlfn.XLOOKUP(G3221:G7264,castles_state!A:A,castles_state!D:D,"見つかりません"))</f>
      </c>
      <c r="I3221" s="4"/>
      <c r="J3221" s="12" t="str">
        <f t="array" ref="J3221">IF(I3221:I7264="","",_xlfn.XLOOKUP(I3221:I7264,'参照_姫'!A:A,'参照_姫'!B:B,"見つかりません"))</f>
      </c>
      <c r="K3221" s="4">
        <v>95</v>
      </c>
      <c r="L3221" s="4">
        <v>0</v>
      </c>
      <c r="M3221" s="4"/>
      <c r="N3221" s="4"/>
      <c r="O3221" s="4"/>
      <c r="P3221" s="12" t="str">
        <f t="array" ref="P3221">IF(O3221:O7264="","",_xlfn.XLOOKUP(O3221:O7264,'参照_官位'!A:A,'参照_官位'!B:B,""))</f>
      </c>
      <c r="Q3221" s="12" t="str">
        <f t="array" ref="Q3221">IF(A3221:A7264="","",IFERROR(_xlfn.XLOOKUP(A3221:A7264,castles_state!K:K,castles_state!D:D)&amp;"主",IFERROR(_xlfn.XLOOKUP(A3221:A7264,kunishuClan!D:D,kunishuClan!B:B)&amp;"当主","")))</f>
      </c>
    </row>
    <row r="3222" ht="15.75" customHeight="1">
      <c r="A3222" s="4">
        <v>1201006</v>
      </c>
      <c r="B3222" s="12" t="str">
        <f t="array" ref="B3222">IF(A3222:A7265="","",_xlfn.XLOOKUP(A3222:A7265,'参照_武将'!A:A,'参照_武将'!B:B,"見つかりません"))</f>
      </c>
      <c r="C3222" s="4" t="s">
        <v>427</v>
      </c>
      <c r="D3222" s="4">
        <v>1</v>
      </c>
      <c r="E3222" s="12" t="str">
        <f t="array" ref="E3222">IF(D3222:D7265="","",IFERROR(_xlfn.XLOOKUP(D3222:D7265,'参照_勢力'!A:A,'参照_勢力'!B:B),IFERROR(_xlfn.XLOOKUP(F3222:F7265,kunishuClan!A:A,kunishuClan!B:B),"浪人")))</f>
      </c>
      <c r="F3222" s="4">
        <v>0</v>
      </c>
      <c r="G3222" s="4">
        <v>35</v>
      </c>
      <c r="H3222" s="12" t="str">
        <f t="array" ref="H3222">IF(G3222:G7265="","",_xlfn.XLOOKUP(G3222:G7265,castles_state!A:A,castles_state!D:D,"見つかりません"))</f>
      </c>
      <c r="I3222" s="4"/>
      <c r="J3222" s="12" t="str">
        <f t="array" ref="J3222">IF(I3222:I7265="","",_xlfn.XLOOKUP(I3222:I7265,'参照_姫'!A:A,'参照_姫'!B:B,"見つかりません"))</f>
      </c>
      <c r="K3222" s="4">
        <v>95</v>
      </c>
      <c r="L3222" s="4">
        <v>0</v>
      </c>
      <c r="M3222" s="4"/>
      <c r="N3222" s="4"/>
      <c r="O3222" s="4"/>
      <c r="P3222" s="12" t="str">
        <f t="array" ref="P3222">IF(O3222:O7265="","",_xlfn.XLOOKUP(O3222:O7265,'参照_官位'!A:A,'参照_官位'!B:B,""))</f>
      </c>
      <c r="Q3222" s="12" t="str">
        <f t="array" ref="Q3222">IF(A3222:A7265="","",IFERROR(_xlfn.XLOOKUP(A3222:A7265,castles_state!K:K,castles_state!D:D)&amp;"主",IFERROR(_xlfn.XLOOKUP(A3222:A7265,kunishuClan!D:D,kunishuClan!B:B)&amp;"当主","")))</f>
      </c>
    </row>
    <row r="3223" ht="15.75" customHeight="1">
      <c r="A3223" s="4">
        <v>1201007</v>
      </c>
      <c r="B3223" s="12" t="str">
        <f t="array" ref="B3223">IF(A3223:A7266="","",_xlfn.XLOOKUP(A3223:A7266,'参照_武将'!A:A,'参照_武将'!B:B,"見つかりません"))</f>
      </c>
      <c r="C3223" s="4" t="s">
        <v>427</v>
      </c>
      <c r="D3223" s="4">
        <v>1</v>
      </c>
      <c r="E3223" s="12" t="str">
        <f t="array" ref="E3223">IF(D3223:D7266="","",IFERROR(_xlfn.XLOOKUP(D3223:D7266,'参照_勢力'!A:A,'参照_勢力'!B:B),IFERROR(_xlfn.XLOOKUP(F3223:F7266,kunishuClan!A:A,kunishuClan!B:B),"浪人")))</f>
      </c>
      <c r="F3223" s="4">
        <v>0</v>
      </c>
      <c r="G3223" s="4">
        <v>16</v>
      </c>
      <c r="H3223" s="12" t="str">
        <f t="array" ref="H3223">IF(G3223:G7266="","",_xlfn.XLOOKUP(G3223:G7266,castles_state!A:A,castles_state!D:D,"見つかりません"))</f>
      </c>
      <c r="I3223" s="4"/>
      <c r="J3223" s="12" t="str">
        <f t="array" ref="J3223">IF(I3223:I7266="","",_xlfn.XLOOKUP(I3223:I7266,'参照_姫'!A:A,'参照_姫'!B:B,"見つかりません"))</f>
      </c>
      <c r="K3223" s="4">
        <v>95</v>
      </c>
      <c r="L3223" s="4">
        <v>0</v>
      </c>
      <c r="M3223" s="4"/>
      <c r="N3223" s="4"/>
      <c r="O3223" s="4"/>
      <c r="P3223" s="12" t="str">
        <f t="array" ref="P3223">IF(O3223:O7266="","",_xlfn.XLOOKUP(O3223:O7266,'参照_官位'!A:A,'参照_官位'!B:B,""))</f>
      </c>
      <c r="Q3223" s="12" t="str">
        <f t="array" ref="Q3223">IF(A3223:A7266="","",IFERROR(_xlfn.XLOOKUP(A3223:A7266,castles_state!K:K,castles_state!D:D)&amp;"主",IFERROR(_xlfn.XLOOKUP(A3223:A7266,kunishuClan!D:D,kunishuClan!B:B)&amp;"当主","")))</f>
      </c>
    </row>
    <row r="3224" ht="15.75" customHeight="1">
      <c r="A3224" s="4">
        <v>1201008</v>
      </c>
      <c r="B3224" s="12" t="str">
        <f t="array" ref="B3224">IF(A3224:A7267="","",_xlfn.XLOOKUP(A3224:A7267,'参照_武将'!A:A,'参照_武将'!B:B,"見つかりません"))</f>
      </c>
      <c r="C3224" s="4" t="s">
        <v>427</v>
      </c>
      <c r="D3224" s="4">
        <v>7</v>
      </c>
      <c r="E3224" s="12" t="str">
        <f t="array" ref="E3224">IF(D3224:D7267="","",IFERROR(_xlfn.XLOOKUP(D3224:D7267,'参照_勢力'!A:A,'参照_勢力'!B:B),IFERROR(_xlfn.XLOOKUP(F3224:F7267,kunishuClan!A:A,kunishuClan!B:B),"浪人")))</f>
      </c>
      <c r="F3224" s="4">
        <v>0</v>
      </c>
      <c r="G3224" s="4">
        <v>16</v>
      </c>
      <c r="H3224" s="12" t="str">
        <f t="array" ref="H3224">IF(G3224:G7267="","",_xlfn.XLOOKUP(G3224:G7267,castles_state!A:A,castles_state!D:D,"見つかりません"))</f>
      </c>
      <c r="I3224" s="4"/>
      <c r="J3224" s="12" t="str">
        <f t="array" ref="J3224">IF(I3224:I7267="","",_xlfn.XLOOKUP(I3224:I7267,'参照_姫'!A:A,'参照_姫'!B:B,"見つかりません"))</f>
      </c>
      <c r="K3224" s="4">
        <v>95</v>
      </c>
      <c r="L3224" s="4">
        <v>0</v>
      </c>
      <c r="M3224" s="4"/>
      <c r="N3224" s="4"/>
      <c r="O3224" s="4"/>
      <c r="P3224" s="12" t="str">
        <f t="array" ref="P3224">IF(O3224:O7267="","",_xlfn.XLOOKUP(O3224:O7267,'参照_官位'!A:A,'参照_官位'!B:B,""))</f>
      </c>
      <c r="Q3224" s="12" t="str">
        <f t="array" ref="Q3224">IF(A3224:A7267="","",IFERROR(_xlfn.XLOOKUP(A3224:A7267,castles_state!K:K,castles_state!D:D)&amp;"主",IFERROR(_xlfn.XLOOKUP(A3224:A7267,kunishuClan!D:D,kunishuClan!B:B)&amp;"当主","")))</f>
      </c>
    </row>
    <row r="3225" ht="15.75" customHeight="1">
      <c r="A3225" s="4">
        <v>1201009</v>
      </c>
      <c r="B3225" s="12" t="str">
        <f t="array" ref="B3225">IF(A3225:A7268="","",_xlfn.XLOOKUP(A3225:A7268,'参照_武将'!A:A,'参照_武将'!B:B,"見つかりません"))</f>
      </c>
      <c r="C3225" s="4" t="s">
        <v>427</v>
      </c>
      <c r="D3225" s="4">
        <v>1</v>
      </c>
      <c r="E3225" s="12" t="str">
        <f t="array" ref="E3225">IF(D3225:D7268="","",IFERROR(_xlfn.XLOOKUP(D3225:D7268,'参照_勢力'!A:A,'参照_勢力'!B:B),IFERROR(_xlfn.XLOOKUP(F3225:F7268,kunishuClan!A:A,kunishuClan!B:B),"浪人")))</f>
      </c>
      <c r="F3225" s="4">
        <v>0</v>
      </c>
      <c r="G3225" s="4">
        <v>35</v>
      </c>
      <c r="H3225" s="12" t="str">
        <f t="array" ref="H3225">IF(G3225:G7268="","",_xlfn.XLOOKUP(G3225:G7268,castles_state!A:A,castles_state!D:D,"見つかりません"))</f>
      </c>
      <c r="I3225" s="4"/>
      <c r="J3225" s="12" t="str">
        <f t="array" ref="J3225">IF(I3225:I7268="","",_xlfn.XLOOKUP(I3225:I7268,'参照_姫'!A:A,'参照_姫'!B:B,"見つかりません"))</f>
      </c>
      <c r="K3225" s="4">
        <v>95</v>
      </c>
      <c r="L3225" s="4">
        <v>0</v>
      </c>
      <c r="M3225" s="4"/>
      <c r="N3225" s="4"/>
      <c r="O3225" s="4"/>
      <c r="P3225" s="12" t="str">
        <f t="array" ref="P3225">IF(O3225:O7268="","",_xlfn.XLOOKUP(O3225:O7268,'参照_官位'!A:A,'参照_官位'!B:B,""))</f>
      </c>
      <c r="Q3225" s="12" t="str">
        <f t="array" ref="Q3225">IF(A3225:A7268="","",IFERROR(_xlfn.XLOOKUP(A3225:A7268,castles_state!K:K,castles_state!D:D)&amp;"主",IFERROR(_xlfn.XLOOKUP(A3225:A7268,kunishuClan!D:D,kunishuClan!B:B)&amp;"当主","")))</f>
      </c>
    </row>
    <row r="3226" ht="15.75" customHeight="1">
      <c r="A3226" s="4">
        <v>1201010</v>
      </c>
      <c r="B3226" s="12" t="str">
        <f t="array" ref="B3226">IF(A3226:A7269="","",_xlfn.XLOOKUP(A3226:A7269,'参照_武将'!A:A,'参照_武将'!B:B,"見つかりません"))</f>
      </c>
      <c r="C3226" s="4" t="s">
        <v>427</v>
      </c>
      <c r="D3226" s="4">
        <v>1</v>
      </c>
      <c r="E3226" s="12" t="str">
        <f t="array" ref="E3226">IF(D3226:D7269="","",IFERROR(_xlfn.XLOOKUP(D3226:D7269,'参照_勢力'!A:A,'参照_勢力'!B:B),IFERROR(_xlfn.XLOOKUP(F3226:F7269,kunishuClan!A:A,kunishuClan!B:B),"浪人")))</f>
      </c>
      <c r="F3226" s="4">
        <v>0</v>
      </c>
      <c r="G3226" s="4">
        <v>16</v>
      </c>
      <c r="H3226" s="12" t="str">
        <f t="array" ref="H3226">IF(G3226:G7269="","",_xlfn.XLOOKUP(G3226:G7269,castles_state!A:A,castles_state!D:D,"見つかりません"))</f>
      </c>
      <c r="I3226" s="4"/>
      <c r="J3226" s="12" t="str">
        <f t="array" ref="J3226">IF(I3226:I7269="","",_xlfn.XLOOKUP(I3226:I7269,'参照_姫'!A:A,'参照_姫'!B:B,"見つかりません"))</f>
      </c>
      <c r="K3226" s="4">
        <v>95</v>
      </c>
      <c r="L3226" s="4">
        <v>0</v>
      </c>
      <c r="M3226" s="4"/>
      <c r="N3226" s="4"/>
      <c r="O3226" s="4"/>
      <c r="P3226" s="12" t="str">
        <f t="array" ref="P3226">IF(O3226:O7269="","",_xlfn.XLOOKUP(O3226:O7269,'参照_官位'!A:A,'参照_官位'!B:B,""))</f>
      </c>
      <c r="Q3226" s="12" t="str">
        <f t="array" ref="Q3226">IF(A3226:A7269="","",IFERROR(_xlfn.XLOOKUP(A3226:A7269,castles_state!K:K,castles_state!D:D)&amp;"主",IFERROR(_xlfn.XLOOKUP(A3226:A7269,kunishuClan!D:D,kunishuClan!B:B)&amp;"当主","")))</f>
      </c>
    </row>
    <row r="3227" ht="15.75" customHeight="1">
      <c r="A3227" s="4">
        <v>1201011</v>
      </c>
      <c r="B3227" s="12" t="str">
        <f t="array" ref="B3227">IF(A3227:A7270="","",_xlfn.XLOOKUP(A3227:A7270,'参照_武将'!A:A,'参照_武将'!B:B,"見つかりません"))</f>
      </c>
      <c r="C3227" s="4" t="s">
        <v>427</v>
      </c>
      <c r="D3227" s="4">
        <v>17</v>
      </c>
      <c r="E3227" s="12" t="str">
        <f t="array" ref="E3227">IF(D3227:D7270="","",IFERROR(_xlfn.XLOOKUP(D3227:D7270,'参照_勢力'!A:A,'参照_勢力'!B:B),IFERROR(_xlfn.XLOOKUP(F3227:F7270,kunishuClan!A:A,kunishuClan!B:B),"浪人")))</f>
      </c>
      <c r="F3227" s="4">
        <v>0</v>
      </c>
      <c r="G3227" s="4">
        <v>26</v>
      </c>
      <c r="H3227" s="12" t="str">
        <f t="array" ref="H3227">IF(G3227:G7270="","",_xlfn.XLOOKUP(G3227:G7270,castles_state!A:A,castles_state!D:D,"見つかりません"))</f>
      </c>
      <c r="I3227" s="4"/>
      <c r="J3227" s="12" t="str">
        <f t="array" ref="J3227">IF(I3227:I7270="","",_xlfn.XLOOKUP(I3227:I7270,'参照_姫'!A:A,'参照_姫'!B:B,"見つかりません"))</f>
      </c>
      <c r="K3227" s="4">
        <v>95</v>
      </c>
      <c r="L3227" s="4">
        <v>0</v>
      </c>
      <c r="M3227" s="4"/>
      <c r="N3227" s="4"/>
      <c r="O3227" s="4"/>
      <c r="P3227" s="12" t="str">
        <f t="array" ref="P3227">IF(O3227:O7270="","",_xlfn.XLOOKUP(O3227:O7270,'参照_官位'!A:A,'参照_官位'!B:B,""))</f>
      </c>
      <c r="Q3227" s="12" t="str">
        <f t="array" ref="Q3227">IF(A3227:A7270="","",IFERROR(_xlfn.XLOOKUP(A3227:A7270,castles_state!K:K,castles_state!D:D)&amp;"主",IFERROR(_xlfn.XLOOKUP(A3227:A7270,kunishuClan!D:D,kunishuClan!B:B)&amp;"当主","")))</f>
      </c>
    </row>
    <row r="3228" ht="15.75" customHeight="1">
      <c r="A3228" s="4">
        <v>1201012</v>
      </c>
      <c r="B3228" s="12" t="str">
        <f t="array" ref="B3228">IF(A3228:A7271="","",_xlfn.XLOOKUP(A3228:A7271,'参照_武将'!A:A,'参照_武将'!B:B,"見つかりません"))</f>
      </c>
      <c r="C3228" s="4" t="s">
        <v>427</v>
      </c>
      <c r="D3228" s="4">
        <v>1</v>
      </c>
      <c r="E3228" s="12" t="str">
        <f t="array" ref="E3228">IF(D3228:D7271="","",IFERROR(_xlfn.XLOOKUP(D3228:D7271,'参照_勢力'!A:A,'参照_勢力'!B:B),IFERROR(_xlfn.XLOOKUP(F3228:F7271,kunishuClan!A:A,kunishuClan!B:B),"浪人")))</f>
      </c>
      <c r="F3228" s="4">
        <v>0</v>
      </c>
      <c r="G3228" s="4">
        <v>3</v>
      </c>
      <c r="H3228" s="12" t="str">
        <f t="array" ref="H3228">IF(G3228:G7271="","",_xlfn.XLOOKUP(G3228:G7271,castles_state!A:A,castles_state!D:D,"見つかりません"))</f>
      </c>
      <c r="I3228" s="4"/>
      <c r="J3228" s="12" t="str">
        <f t="array" ref="J3228">IF(I3228:I7271="","",_xlfn.XLOOKUP(I3228:I7271,'参照_姫'!A:A,'参照_姫'!B:B,"見つかりません"))</f>
      </c>
      <c r="K3228" s="4">
        <v>95</v>
      </c>
      <c r="L3228" s="4">
        <v>0</v>
      </c>
      <c r="M3228" s="4"/>
      <c r="N3228" s="4"/>
      <c r="O3228" s="4"/>
      <c r="P3228" s="12" t="str">
        <f t="array" ref="P3228">IF(O3228:O7271="","",_xlfn.XLOOKUP(O3228:O7271,'参照_官位'!A:A,'参照_官位'!B:B,""))</f>
      </c>
      <c r="Q3228" s="12" t="str">
        <f t="array" ref="Q3228">IF(A3228:A7271="","",IFERROR(_xlfn.XLOOKUP(A3228:A7271,castles_state!K:K,castles_state!D:D)&amp;"主",IFERROR(_xlfn.XLOOKUP(A3228:A7271,kunishuClan!D:D,kunishuClan!B:B)&amp;"当主","")))</f>
      </c>
    </row>
    <row r="3229" ht="15.75" customHeight="1">
      <c r="A3229" s="4">
        <v>1201013</v>
      </c>
      <c r="B3229" s="12" t="str">
        <f t="array" ref="B3229">IF(A3229:A7272="","",_xlfn.XLOOKUP(A3229:A7272,'参照_武将'!A:A,'参照_武将'!B:B,"見つかりません"))</f>
      </c>
      <c r="C3229" s="4" t="s">
        <v>427</v>
      </c>
      <c r="D3229" s="4">
        <v>1</v>
      </c>
      <c r="E3229" s="12" t="str">
        <f t="array" ref="E3229">IF(D3229:D7272="","",IFERROR(_xlfn.XLOOKUP(D3229:D7272,'参照_勢力'!A:A,'参照_勢力'!B:B),IFERROR(_xlfn.XLOOKUP(F3229:F7272,kunishuClan!A:A,kunishuClan!B:B),"浪人")))</f>
      </c>
      <c r="F3229" s="4">
        <v>0</v>
      </c>
      <c r="G3229" s="4">
        <v>3</v>
      </c>
      <c r="H3229" s="12" t="str">
        <f t="array" ref="H3229">IF(G3229:G7272="","",_xlfn.XLOOKUP(G3229:G7272,castles_state!A:A,castles_state!D:D,"見つかりません"))</f>
      </c>
      <c r="I3229" s="4"/>
      <c r="J3229" s="12" t="str">
        <f t="array" ref="J3229">IF(I3229:I7272="","",_xlfn.XLOOKUP(I3229:I7272,'参照_姫'!A:A,'参照_姫'!B:B,"見つかりません"))</f>
      </c>
      <c r="K3229" s="4">
        <v>95</v>
      </c>
      <c r="L3229" s="4">
        <v>0</v>
      </c>
      <c r="M3229" s="4"/>
      <c r="N3229" s="4"/>
      <c r="O3229" s="4"/>
      <c r="P3229" s="12" t="str">
        <f t="array" ref="P3229">IF(O3229:O7272="","",_xlfn.XLOOKUP(O3229:O7272,'参照_官位'!A:A,'参照_官位'!B:B,""))</f>
      </c>
      <c r="Q3229" s="12" t="str">
        <f t="array" ref="Q3229">IF(A3229:A7272="","",IFERROR(_xlfn.XLOOKUP(A3229:A7272,castles_state!K:K,castles_state!D:D)&amp;"主",IFERROR(_xlfn.XLOOKUP(A3229:A7272,kunishuClan!D:D,kunishuClan!B:B)&amp;"当主","")))</f>
      </c>
    </row>
    <row r="3230" ht="15.75" customHeight="1">
      <c r="A3230" s="4">
        <v>1201014</v>
      </c>
      <c r="B3230" s="12" t="str">
        <f t="array" ref="B3230">IF(A3230:A7273="","",_xlfn.XLOOKUP(A3230:A7273,'参照_武将'!A:A,'参照_武将'!B:B,"見つかりません"))</f>
      </c>
      <c r="C3230" s="4" t="s">
        <v>427</v>
      </c>
      <c r="D3230" s="4">
        <v>1</v>
      </c>
      <c r="E3230" s="12" t="str">
        <f t="array" ref="E3230">IF(D3230:D7273="","",IFERROR(_xlfn.XLOOKUP(D3230:D7273,'参照_勢力'!A:A,'参照_勢力'!B:B),IFERROR(_xlfn.XLOOKUP(F3230:F7273,kunishuClan!A:A,kunishuClan!B:B),"浪人")))</f>
      </c>
      <c r="F3230" s="4">
        <v>0</v>
      </c>
      <c r="G3230" s="4">
        <v>26</v>
      </c>
      <c r="H3230" s="12" t="str">
        <f t="array" ref="H3230">IF(G3230:G7273="","",_xlfn.XLOOKUP(G3230:G7273,castles_state!A:A,castles_state!D:D,"見つかりません"))</f>
      </c>
      <c r="I3230" s="4"/>
      <c r="J3230" s="12" t="str">
        <f t="array" ref="J3230">IF(I3230:I7273="","",_xlfn.XLOOKUP(I3230:I7273,'参照_姫'!A:A,'参照_姫'!B:B,"見つかりません"))</f>
      </c>
      <c r="K3230" s="4">
        <v>95</v>
      </c>
      <c r="L3230" s="4">
        <v>0</v>
      </c>
      <c r="M3230" s="4"/>
      <c r="N3230" s="4"/>
      <c r="O3230" s="4"/>
      <c r="P3230" s="12" t="str">
        <f t="array" ref="P3230">IF(O3230:O7273="","",_xlfn.XLOOKUP(O3230:O7273,'参照_官位'!A:A,'参照_官位'!B:B,""))</f>
      </c>
      <c r="Q3230" s="12" t="str">
        <f t="array" ref="Q3230">IF(A3230:A7273="","",IFERROR(_xlfn.XLOOKUP(A3230:A7273,castles_state!K:K,castles_state!D:D)&amp;"主",IFERROR(_xlfn.XLOOKUP(A3230:A7273,kunishuClan!D:D,kunishuClan!B:B)&amp;"当主","")))</f>
      </c>
    </row>
    <row r="3231" ht="15.75" customHeight="1">
      <c r="A3231" s="4">
        <v>1201015</v>
      </c>
      <c r="B3231" s="12" t="str">
        <f t="array" ref="B3231">IF(A3231:A7274="","",_xlfn.XLOOKUP(A3231:A7274,'参照_武将'!A:A,'参照_武将'!B:B,"見つかりません"))</f>
      </c>
      <c r="C3231" s="4" t="s">
        <v>427</v>
      </c>
      <c r="D3231" s="4">
        <v>1</v>
      </c>
      <c r="E3231" s="12" t="str">
        <f t="array" ref="E3231">IF(D3231:D7274="","",IFERROR(_xlfn.XLOOKUP(D3231:D7274,'参照_勢力'!A:A,'参照_勢力'!B:B),IFERROR(_xlfn.XLOOKUP(F3231:F7274,kunishuClan!A:A,kunishuClan!B:B),"浪人")))</f>
      </c>
      <c r="F3231" s="4">
        <v>0</v>
      </c>
      <c r="G3231" s="4">
        <v>3</v>
      </c>
      <c r="H3231" s="12" t="str">
        <f t="array" ref="H3231">IF(G3231:G7274="","",_xlfn.XLOOKUP(G3231:G7274,castles_state!A:A,castles_state!D:D,"見つかりません"))</f>
      </c>
      <c r="I3231" s="4"/>
      <c r="J3231" s="12" t="str">
        <f t="array" ref="J3231">IF(I3231:I7274="","",_xlfn.XLOOKUP(I3231:I7274,'参照_姫'!A:A,'参照_姫'!B:B,"見つかりません"))</f>
      </c>
      <c r="K3231" s="4">
        <v>95</v>
      </c>
      <c r="L3231" s="4">
        <v>0</v>
      </c>
      <c r="M3231" s="4"/>
      <c r="N3231" s="4"/>
      <c r="O3231" s="4"/>
      <c r="P3231" s="12" t="str">
        <f t="array" ref="P3231">IF(O3231:O7274="","",_xlfn.XLOOKUP(O3231:O7274,'参照_官位'!A:A,'参照_官位'!B:B,""))</f>
      </c>
      <c r="Q3231" s="12" t="str">
        <f t="array" ref="Q3231">IF(A3231:A7274="","",IFERROR(_xlfn.XLOOKUP(A3231:A7274,castles_state!K:K,castles_state!D:D)&amp;"主",IFERROR(_xlfn.XLOOKUP(A3231:A7274,kunishuClan!D:D,kunishuClan!B:B)&amp;"当主","")))</f>
      </c>
    </row>
    <row r="3232" ht="15.75" customHeight="1">
      <c r="A3232" s="4">
        <v>1201016</v>
      </c>
      <c r="B3232" s="12" t="str">
        <f t="array" ref="B3232">IF(A3232:A7275="","",_xlfn.XLOOKUP(A3232:A7275,'参照_武将'!A:A,'参照_武将'!B:B,"見つかりません"))</f>
      </c>
      <c r="C3232" s="4" t="s">
        <v>427</v>
      </c>
      <c r="D3232" s="4">
        <v>1</v>
      </c>
      <c r="E3232" s="12" t="str">
        <f t="array" ref="E3232">IF(D3232:D7275="","",IFERROR(_xlfn.XLOOKUP(D3232:D7275,'参照_勢力'!A:A,'参照_勢力'!B:B),IFERROR(_xlfn.XLOOKUP(F3232:F7275,kunishuClan!A:A,kunishuClan!B:B),"浪人")))</f>
      </c>
      <c r="F3232" s="4">
        <v>0</v>
      </c>
      <c r="G3232" s="4">
        <v>35</v>
      </c>
      <c r="H3232" s="12" t="str">
        <f t="array" ref="H3232">IF(G3232:G7275="","",_xlfn.XLOOKUP(G3232:G7275,castles_state!A:A,castles_state!D:D,"見つかりません"))</f>
      </c>
      <c r="I3232" s="4"/>
      <c r="J3232" s="12" t="str">
        <f t="array" ref="J3232">IF(I3232:I7275="","",_xlfn.XLOOKUP(I3232:I7275,'参照_姫'!A:A,'参照_姫'!B:B,"見つかりません"))</f>
      </c>
      <c r="K3232" s="4">
        <v>90</v>
      </c>
      <c r="L3232" s="4">
        <v>0</v>
      </c>
      <c r="M3232" s="4"/>
      <c r="N3232" s="4"/>
      <c r="O3232" s="4"/>
      <c r="P3232" s="12" t="str">
        <f t="array" ref="P3232">IF(O3232:O7275="","",_xlfn.XLOOKUP(O3232:O7275,'参照_官位'!A:A,'参照_官位'!B:B,""))</f>
      </c>
      <c r="Q3232" s="12" t="str">
        <f t="array" ref="Q3232">IF(A3232:A7275="","",IFERROR(_xlfn.XLOOKUP(A3232:A7275,castles_state!K:K,castles_state!D:D)&amp;"主",IFERROR(_xlfn.XLOOKUP(A3232:A7275,kunishuClan!D:D,kunishuClan!B:B)&amp;"当主","")))</f>
      </c>
    </row>
    <row r="3233" ht="15.75" customHeight="1">
      <c r="A3233" s="4">
        <v>1201017</v>
      </c>
      <c r="B3233" s="12" t="str">
        <f t="array" ref="B3233">IF(A3233:A7276="","",_xlfn.XLOOKUP(A3233:A7276,'参照_武将'!A:A,'参照_武将'!B:B,"見つかりません"))</f>
      </c>
      <c r="C3233" s="4" t="s">
        <v>427</v>
      </c>
      <c r="D3233" s="4">
        <v>1</v>
      </c>
      <c r="E3233" s="12" t="str">
        <f t="array" ref="E3233">IF(D3233:D7276="","",IFERROR(_xlfn.XLOOKUP(D3233:D7276,'参照_勢力'!A:A,'参照_勢力'!B:B),IFERROR(_xlfn.XLOOKUP(F3233:F7276,kunishuClan!A:A,kunishuClan!B:B),"浪人")))</f>
      </c>
      <c r="F3233" s="4">
        <v>0</v>
      </c>
      <c r="G3233" s="4">
        <v>16</v>
      </c>
      <c r="H3233" s="12" t="str">
        <f t="array" ref="H3233">IF(G3233:G7276="","",_xlfn.XLOOKUP(G3233:G7276,castles_state!A:A,castles_state!D:D,"見つかりません"))</f>
      </c>
      <c r="I3233" s="4"/>
      <c r="J3233" s="12" t="str">
        <f t="array" ref="J3233">IF(I3233:I7276="","",_xlfn.XLOOKUP(I3233:I7276,'参照_姫'!A:A,'参照_姫'!B:B,"見つかりません"))</f>
      </c>
      <c r="K3233" s="4">
        <v>95</v>
      </c>
      <c r="L3233" s="4">
        <v>0</v>
      </c>
      <c r="M3233" s="4"/>
      <c r="N3233" s="4"/>
      <c r="O3233" s="4"/>
      <c r="P3233" s="12" t="str">
        <f t="array" ref="P3233">IF(O3233:O7276="","",_xlfn.XLOOKUP(O3233:O7276,'参照_官位'!A:A,'参照_官位'!B:B,""))</f>
      </c>
      <c r="Q3233" s="12" t="str">
        <f t="array" ref="Q3233">IF(A3233:A7276="","",IFERROR(_xlfn.XLOOKUP(A3233:A7276,castles_state!K:K,castles_state!D:D)&amp;"主",IFERROR(_xlfn.XLOOKUP(A3233:A7276,kunishuClan!D:D,kunishuClan!B:B)&amp;"当主","")))</f>
      </c>
    </row>
    <row r="3234" ht="15.75" customHeight="1">
      <c r="A3234" s="4">
        <v>1201018</v>
      </c>
      <c r="B3234" s="12" t="str">
        <f t="array" ref="B3234">IF(A3234:A7277="","",_xlfn.XLOOKUP(A3234:A7277,'参照_武将'!A:A,'参照_武将'!B:B,"見つかりません"))</f>
      </c>
      <c r="C3234" s="4" t="s">
        <v>427</v>
      </c>
      <c r="D3234" s="4">
        <v>1</v>
      </c>
      <c r="E3234" s="12" t="str">
        <f t="array" ref="E3234">IF(D3234:D7277="","",IFERROR(_xlfn.XLOOKUP(D3234:D7277,'参照_勢力'!A:A,'参照_勢力'!B:B),IFERROR(_xlfn.XLOOKUP(F3234:F7277,kunishuClan!A:A,kunishuClan!B:B),"浪人")))</f>
      </c>
      <c r="F3234" s="4">
        <v>0</v>
      </c>
      <c r="G3234" s="4">
        <v>35</v>
      </c>
      <c r="H3234" s="12" t="str">
        <f t="array" ref="H3234">IF(G3234:G7277="","",_xlfn.XLOOKUP(G3234:G7277,castles_state!A:A,castles_state!D:D,"見つかりません"))</f>
      </c>
      <c r="I3234" s="4"/>
      <c r="J3234" s="12" t="str">
        <f t="array" ref="J3234">IF(I3234:I7277="","",_xlfn.XLOOKUP(I3234:I7277,'参照_姫'!A:A,'参照_姫'!B:B,"見つかりません"))</f>
      </c>
      <c r="K3234" s="4">
        <v>95</v>
      </c>
      <c r="L3234" s="4">
        <v>0</v>
      </c>
      <c r="M3234" s="4"/>
      <c r="N3234" s="4"/>
      <c r="O3234" s="4"/>
      <c r="P3234" s="12" t="str">
        <f t="array" ref="P3234">IF(O3234:O7277="","",_xlfn.XLOOKUP(O3234:O7277,'参照_官位'!A:A,'参照_官位'!B:B,""))</f>
      </c>
      <c r="Q3234" s="12" t="str">
        <f t="array" ref="Q3234">IF(A3234:A7277="","",IFERROR(_xlfn.XLOOKUP(A3234:A7277,castles_state!K:K,castles_state!D:D)&amp;"主",IFERROR(_xlfn.XLOOKUP(A3234:A7277,kunishuClan!D:D,kunishuClan!B:B)&amp;"当主","")))</f>
      </c>
    </row>
    <row r="3235" ht="15.75" customHeight="1">
      <c r="A3235" s="4">
        <v>1201019</v>
      </c>
      <c r="B3235" s="12" t="str">
        <f t="array" ref="B3235">IF(A3235:A7278="","",_xlfn.XLOOKUP(A3235:A7278,'参照_武将'!A:A,'参照_武将'!B:B,"見つかりません"))</f>
      </c>
      <c r="C3235" s="4" t="s">
        <v>427</v>
      </c>
      <c r="D3235" s="4">
        <v>1</v>
      </c>
      <c r="E3235" s="12" t="str">
        <f t="array" ref="E3235">IF(D3235:D7278="","",IFERROR(_xlfn.XLOOKUP(D3235:D7278,'参照_勢力'!A:A,'参照_勢力'!B:B),IFERROR(_xlfn.XLOOKUP(F3235:F7278,kunishuClan!A:A,kunishuClan!B:B),"浪人")))</f>
      </c>
      <c r="F3235" s="4">
        <v>0</v>
      </c>
      <c r="G3235" s="4">
        <v>35</v>
      </c>
      <c r="H3235" s="12" t="str">
        <f t="array" ref="H3235">IF(G3235:G7278="","",_xlfn.XLOOKUP(G3235:G7278,castles_state!A:A,castles_state!D:D,"見つかりません"))</f>
      </c>
      <c r="I3235" s="4"/>
      <c r="J3235" s="12" t="str">
        <f t="array" ref="J3235">IF(I3235:I7278="","",_xlfn.XLOOKUP(I3235:I7278,'参照_姫'!A:A,'参照_姫'!B:B,"見つかりません"))</f>
      </c>
      <c r="K3235" s="4">
        <v>95</v>
      </c>
      <c r="L3235" s="4">
        <v>0</v>
      </c>
      <c r="M3235" s="4"/>
      <c r="N3235" s="4"/>
      <c r="O3235" s="4"/>
      <c r="P3235" s="12" t="str">
        <f t="array" ref="P3235">IF(O3235:O7278="","",_xlfn.XLOOKUP(O3235:O7278,'参照_官位'!A:A,'参照_官位'!B:B,""))</f>
      </c>
      <c r="Q3235" s="12" t="str">
        <f t="array" ref="Q3235">IF(A3235:A7278="","",IFERROR(_xlfn.XLOOKUP(A3235:A7278,castles_state!K:K,castles_state!D:D)&amp;"主",IFERROR(_xlfn.XLOOKUP(A3235:A7278,kunishuClan!D:D,kunishuClan!B:B)&amp;"当主","")))</f>
      </c>
    </row>
    <row r="3236" ht="15.75" customHeight="1">
      <c r="A3236" s="4">
        <v>1201020</v>
      </c>
      <c r="B3236" s="12" t="str">
        <f t="array" ref="B3236">IF(A3236:A7279="","",_xlfn.XLOOKUP(A3236:A7279,'参照_武将'!A:A,'参照_武将'!B:B,"見つかりません"))</f>
      </c>
      <c r="C3236" s="4" t="s">
        <v>427</v>
      </c>
      <c r="D3236" s="4">
        <v>66</v>
      </c>
      <c r="E3236" s="12" t="str">
        <f t="array" ref="E3236">IF(D3236:D7279="","",IFERROR(_xlfn.XLOOKUP(D3236:D7279,'参照_勢力'!A:A,'参照_勢力'!B:B),IFERROR(_xlfn.XLOOKUP(F3236:F7279,kunishuClan!A:A,kunishuClan!B:B),"浪人")))</f>
      </c>
      <c r="F3236" s="4">
        <v>0</v>
      </c>
      <c r="G3236" s="4">
        <v>83</v>
      </c>
      <c r="H3236" s="12" t="str">
        <f t="array" ref="H3236">IF(G3236:G7279="","",_xlfn.XLOOKUP(G3236:G7279,castles_state!A:A,castles_state!D:D,"見つかりません"))</f>
      </c>
      <c r="I3236" s="4"/>
      <c r="J3236" s="12" t="str">
        <f t="array" ref="J3236">IF(I3236:I7279="","",_xlfn.XLOOKUP(I3236:I7279,'参照_姫'!A:A,'参照_姫'!B:B,"見つかりません"))</f>
      </c>
      <c r="K3236" s="4">
        <v>90</v>
      </c>
      <c r="L3236" s="4">
        <v>0</v>
      </c>
      <c r="M3236" s="4"/>
      <c r="N3236" s="4"/>
      <c r="O3236" s="4"/>
      <c r="P3236" s="12" t="str">
        <f t="array" ref="P3236">IF(O3236:O7279="","",_xlfn.XLOOKUP(O3236:O7279,'参照_官位'!A:A,'参照_官位'!B:B,""))</f>
      </c>
      <c r="Q3236" s="12" t="str">
        <f t="array" ref="Q3236">IF(A3236:A7279="","",IFERROR(_xlfn.XLOOKUP(A3236:A7279,castles_state!K:K,castles_state!D:D)&amp;"主",IFERROR(_xlfn.XLOOKUP(A3236:A7279,kunishuClan!D:D,kunishuClan!B:B)&amp;"当主","")))</f>
      </c>
    </row>
    <row r="3237" ht="15.75" customHeight="1">
      <c r="A3237" s="4">
        <v>1201021</v>
      </c>
      <c r="B3237" s="12" t="str">
        <f t="array" ref="B3237">IF(A3237:A7280="","",_xlfn.XLOOKUP(A3237:A7280,'参照_武将'!A:A,'参照_武将'!B:B,"見つかりません"))</f>
      </c>
      <c r="C3237" s="4" t="s">
        <v>427</v>
      </c>
      <c r="D3237" s="4">
        <v>1</v>
      </c>
      <c r="E3237" s="12" t="str">
        <f t="array" ref="E3237">IF(D3237:D7280="","",IFERROR(_xlfn.XLOOKUP(D3237:D7280,'参照_勢力'!A:A,'参照_勢力'!B:B),IFERROR(_xlfn.XLOOKUP(F3237:F7280,kunishuClan!A:A,kunishuClan!B:B),"浪人")))</f>
      </c>
      <c r="F3237" s="4">
        <v>0</v>
      </c>
      <c r="G3237" s="4">
        <v>35</v>
      </c>
      <c r="H3237" s="12" t="str">
        <f t="array" ref="H3237">IF(G3237:G7280="","",_xlfn.XLOOKUP(G3237:G7280,castles_state!A:A,castles_state!D:D,"見つかりません"))</f>
      </c>
      <c r="I3237" s="4"/>
      <c r="J3237" s="12" t="str">
        <f t="array" ref="J3237">IF(I3237:I7280="","",_xlfn.XLOOKUP(I3237:I7280,'参照_姫'!A:A,'参照_姫'!B:B,"見つかりません"))</f>
      </c>
      <c r="K3237" s="4">
        <v>95</v>
      </c>
      <c r="L3237" s="4">
        <v>0</v>
      </c>
      <c r="M3237" s="4"/>
      <c r="N3237" s="4"/>
      <c r="O3237" s="4"/>
      <c r="P3237" s="12" t="str">
        <f t="array" ref="P3237">IF(O3237:O7280="","",_xlfn.XLOOKUP(O3237:O7280,'参照_官位'!A:A,'参照_官位'!B:B,""))</f>
      </c>
      <c r="Q3237" s="12" t="str">
        <f t="array" ref="Q3237">IF(A3237:A7280="","",IFERROR(_xlfn.XLOOKUP(A3237:A7280,castles_state!K:K,castles_state!D:D)&amp;"主",IFERROR(_xlfn.XLOOKUP(A3237:A7280,kunishuClan!D:D,kunishuClan!B:B)&amp;"当主","")))</f>
      </c>
    </row>
    <row r="3238" ht="15.75" customHeight="1">
      <c r="A3238" s="4">
        <v>1201022</v>
      </c>
      <c r="B3238" s="12" t="str">
        <f t="array" ref="B3238">IF(A3238:A7281="","",_xlfn.XLOOKUP(A3238:A7281,'参照_武将'!A:A,'参照_武将'!B:B,"見つかりません"))</f>
      </c>
      <c r="C3238" s="4" t="s">
        <v>427</v>
      </c>
      <c r="D3238" s="4">
        <v>1</v>
      </c>
      <c r="E3238" s="12" t="str">
        <f t="array" ref="E3238">IF(D3238:D7281="","",IFERROR(_xlfn.XLOOKUP(D3238:D7281,'参照_勢力'!A:A,'参照_勢力'!B:B),IFERROR(_xlfn.XLOOKUP(F3238:F7281,kunishuClan!A:A,kunishuClan!B:B),"浪人")))</f>
      </c>
      <c r="F3238" s="4">
        <v>0</v>
      </c>
      <c r="G3238" s="4">
        <v>16</v>
      </c>
      <c r="H3238" s="12" t="str">
        <f t="array" ref="H3238">IF(G3238:G7281="","",_xlfn.XLOOKUP(G3238:G7281,castles_state!A:A,castles_state!D:D,"見つかりません"))</f>
      </c>
      <c r="I3238" s="4"/>
      <c r="J3238" s="12" t="str">
        <f t="array" ref="J3238">IF(I3238:I7281="","",_xlfn.XLOOKUP(I3238:I7281,'参照_姫'!A:A,'参照_姫'!B:B,"見つかりません"))</f>
      </c>
      <c r="K3238" s="4">
        <v>95</v>
      </c>
      <c r="L3238" s="4">
        <v>0</v>
      </c>
      <c r="M3238" s="4"/>
      <c r="N3238" s="4"/>
      <c r="O3238" s="4"/>
      <c r="P3238" s="12" t="str">
        <f t="array" ref="P3238">IF(O3238:O7281="","",_xlfn.XLOOKUP(O3238:O7281,'参照_官位'!A:A,'参照_官位'!B:B,""))</f>
      </c>
      <c r="Q3238" s="12" t="str">
        <f t="array" ref="Q3238">IF(A3238:A7281="","",IFERROR(_xlfn.XLOOKUP(A3238:A7281,castles_state!K:K,castles_state!D:D)&amp;"主",IFERROR(_xlfn.XLOOKUP(A3238:A7281,kunishuClan!D:D,kunishuClan!B:B)&amp;"当主","")))</f>
      </c>
    </row>
    <row r="3239" ht="15.75" customHeight="1">
      <c r="A3239" s="4">
        <v>1201023</v>
      </c>
      <c r="B3239" s="12" t="str">
        <f t="array" ref="B3239">IF(A3239:A7282="","",_xlfn.XLOOKUP(A3239:A7282,'参照_武将'!A:A,'参照_武将'!B:B,"見つかりません"))</f>
      </c>
      <c r="C3239" s="4" t="s">
        <v>427</v>
      </c>
      <c r="D3239" s="4">
        <v>15</v>
      </c>
      <c r="E3239" s="12" t="str">
        <f t="array" ref="E3239">IF(D3239:D7282="","",IFERROR(_xlfn.XLOOKUP(D3239:D7282,'参照_勢力'!A:A,'参照_勢力'!B:B),IFERROR(_xlfn.XLOOKUP(F3239:F7282,kunishuClan!A:A,kunishuClan!B:B),"浪人")))</f>
      </c>
      <c r="F3239" s="4">
        <v>0</v>
      </c>
      <c r="G3239" s="4">
        <v>23</v>
      </c>
      <c r="H3239" s="12" t="str">
        <f t="array" ref="H3239">IF(G3239:G7282="","",_xlfn.XLOOKUP(G3239:G7282,castles_state!A:A,castles_state!D:D,"見つかりません"))</f>
      </c>
      <c r="I3239" s="4"/>
      <c r="J3239" s="12" t="str">
        <f t="array" ref="J3239">IF(I3239:I7282="","",_xlfn.XLOOKUP(I3239:I7282,'参照_姫'!A:A,'参照_姫'!B:B,"見つかりません"))</f>
      </c>
      <c r="K3239" s="4">
        <v>90</v>
      </c>
      <c r="L3239" s="4">
        <v>0</v>
      </c>
      <c r="M3239" s="4"/>
      <c r="N3239" s="4"/>
      <c r="O3239" s="4"/>
      <c r="P3239" s="12" t="str">
        <f t="array" ref="P3239">IF(O3239:O7282="","",_xlfn.XLOOKUP(O3239:O7282,'参照_官位'!A:A,'参照_官位'!B:B,""))</f>
      </c>
      <c r="Q3239" s="12" t="str">
        <f t="array" ref="Q3239">IF(A3239:A7282="","",IFERROR(_xlfn.XLOOKUP(A3239:A7282,castles_state!K:K,castles_state!D:D)&amp;"主",IFERROR(_xlfn.XLOOKUP(A3239:A7282,kunishuClan!D:D,kunishuClan!B:B)&amp;"当主","")))</f>
      </c>
    </row>
    <row r="3240" ht="15.75" customHeight="1">
      <c r="A3240" s="4">
        <v>1201024</v>
      </c>
      <c r="B3240" s="12" t="str">
        <f t="array" ref="B3240">IF(A3240:A7283="","",_xlfn.XLOOKUP(A3240:A7283,'参照_武将'!A:A,'参照_武将'!B:B,"見つかりません"))</f>
      </c>
      <c r="C3240" s="4" t="s">
        <v>427</v>
      </c>
      <c r="D3240" s="4">
        <v>15</v>
      </c>
      <c r="E3240" s="12" t="str">
        <f t="array" ref="E3240">IF(D3240:D7283="","",IFERROR(_xlfn.XLOOKUP(D3240:D7283,'参照_勢力'!A:A,'参照_勢力'!B:B),IFERROR(_xlfn.XLOOKUP(F3240:F7283,kunishuClan!A:A,kunishuClan!B:B),"浪人")))</f>
      </c>
      <c r="F3240" s="4">
        <v>0</v>
      </c>
      <c r="G3240" s="4">
        <v>23</v>
      </c>
      <c r="H3240" s="12" t="str">
        <f t="array" ref="H3240">IF(G3240:G7283="","",_xlfn.XLOOKUP(G3240:G7283,castles_state!A:A,castles_state!D:D,"見つかりません"))</f>
      </c>
      <c r="I3240" s="4"/>
      <c r="J3240" s="12" t="str">
        <f t="array" ref="J3240">IF(I3240:I7283="","",_xlfn.XLOOKUP(I3240:I7283,'参照_姫'!A:A,'参照_姫'!B:B,"見つかりません"))</f>
      </c>
      <c r="K3240" s="4">
        <v>90</v>
      </c>
      <c r="L3240" s="4">
        <v>0</v>
      </c>
      <c r="M3240" s="4"/>
      <c r="N3240" s="4"/>
      <c r="O3240" s="4"/>
      <c r="P3240" s="12" t="str">
        <f t="array" ref="P3240">IF(O3240:O7283="","",_xlfn.XLOOKUP(O3240:O7283,'参照_官位'!A:A,'参照_官位'!B:B,""))</f>
      </c>
      <c r="Q3240" s="12" t="str">
        <f t="array" ref="Q3240">IF(A3240:A7283="","",IFERROR(_xlfn.XLOOKUP(A3240:A7283,castles_state!K:K,castles_state!D:D)&amp;"主",IFERROR(_xlfn.XLOOKUP(A3240:A7283,kunishuClan!D:D,kunishuClan!B:B)&amp;"当主","")))</f>
      </c>
    </row>
    <row r="3241" ht="15.75" customHeight="1">
      <c r="A3241" s="4">
        <v>1201025</v>
      </c>
      <c r="B3241" s="12" t="str">
        <f t="array" ref="B3241">IF(A3241:A7284="","",_xlfn.XLOOKUP(A3241:A7284,'参照_武将'!A:A,'参照_武将'!B:B,"見つかりません"))</f>
      </c>
      <c r="C3241" s="4" t="s">
        <v>427</v>
      </c>
      <c r="D3241" s="4">
        <v>1</v>
      </c>
      <c r="E3241" s="12" t="str">
        <f t="array" ref="E3241">IF(D3241:D7284="","",IFERROR(_xlfn.XLOOKUP(D3241:D7284,'参照_勢力'!A:A,'参照_勢力'!B:B),IFERROR(_xlfn.XLOOKUP(F3241:F7284,kunishuClan!A:A,kunishuClan!B:B),"浪人")))</f>
      </c>
      <c r="F3241" s="4">
        <v>0</v>
      </c>
      <c r="G3241" s="4">
        <v>3</v>
      </c>
      <c r="H3241" s="12" t="str">
        <f t="array" ref="H3241">IF(G3241:G7284="","",_xlfn.XLOOKUP(G3241:G7284,castles_state!A:A,castles_state!D:D,"見つかりません"))</f>
      </c>
      <c r="I3241" s="4"/>
      <c r="J3241" s="12" t="str">
        <f t="array" ref="J3241">IF(I3241:I7284="","",_xlfn.XLOOKUP(I3241:I7284,'参照_姫'!A:A,'参照_姫'!B:B,"見つかりません"))</f>
      </c>
      <c r="K3241" s="4">
        <v>95</v>
      </c>
      <c r="L3241" s="4">
        <v>0</v>
      </c>
      <c r="M3241" s="4"/>
      <c r="N3241" s="4"/>
      <c r="O3241" s="4"/>
      <c r="P3241" s="12" t="str">
        <f t="array" ref="P3241">IF(O3241:O7284="","",_xlfn.XLOOKUP(O3241:O7284,'参照_官位'!A:A,'参照_官位'!B:B,""))</f>
      </c>
      <c r="Q3241" s="12" t="str">
        <f t="array" ref="Q3241">IF(A3241:A7284="","",IFERROR(_xlfn.XLOOKUP(A3241:A7284,castles_state!K:K,castles_state!D:D)&amp;"主",IFERROR(_xlfn.XLOOKUP(A3241:A7284,kunishuClan!D:D,kunishuClan!B:B)&amp;"当主","")))</f>
      </c>
    </row>
    <row r="3242" ht="15.75" customHeight="1">
      <c r="A3242" s="4">
        <v>1202001</v>
      </c>
      <c r="B3242" s="12" t="str">
        <f t="array" ref="B3242">IF(A3242:A7284="","",_xlfn.XLOOKUP(A3242:A7284,'参照_武将'!A:A,'参照_武将'!B:B,"見つかりません"))</f>
      </c>
      <c r="C3242" s="4" t="s">
        <v>431</v>
      </c>
      <c r="D3242" s="4">
        <v>20</v>
      </c>
      <c r="E3242" s="12" t="str">
        <f t="array" ref="E3242">IF(D3242:D7284="","",IFERROR(_xlfn.XLOOKUP(D3242:D7284,'参照_勢力'!A:A,'参照_勢力'!B:B),IFERROR(_xlfn.XLOOKUP(F3242:F7284,kunishuClan!A:A,kunishuClan!B:B),"浪人")))</f>
      </c>
      <c r="F3242" s="4">
        <v>0</v>
      </c>
      <c r="G3242" s="4">
        <v>39</v>
      </c>
      <c r="H3242" s="12" t="str">
        <f t="array" ref="H3242">IF(G3242:G7284="","",_xlfn.XLOOKUP(G3242:G7284,castles_state!A:A,castles_state!D:D,"見つかりません"))</f>
      </c>
      <c r="I3242" s="4"/>
      <c r="J3242" s="12" t="str">
        <f t="array" ref="J3242">IF(I3242:I7284="","",_xlfn.XLOOKUP(I3242:I7284,'参照_姫'!A:A,'参照_姫'!B:B,"見つかりません"))</f>
      </c>
      <c r="K3242" s="4">
        <v>100</v>
      </c>
      <c r="L3242" s="4">
        <v>0</v>
      </c>
      <c r="M3242" s="4"/>
      <c r="N3242" s="4"/>
      <c r="O3242" s="4"/>
      <c r="P3242" s="12" t="str">
        <f t="array" ref="P3242">IF(O3242:O7284="","",_xlfn.XLOOKUP(O3242:O7284,'参照_官位'!A:A,'参照_官位'!B:B,""))</f>
      </c>
      <c r="Q3242" s="12" t="str">
        <f t="array" ref="Q3242">IF(A3242:A7284="","",IFERROR(_xlfn.XLOOKUP(A3242:A7284,castles_state!K:K,castles_state!D:D)&amp;"主",IFERROR(_xlfn.XLOOKUP(A3242:A7284,kunishuClan!D:D,kunishuClan!B:B)&amp;"当主","")))</f>
      </c>
    </row>
    <row r="3243" ht="15.75" customHeight="1">
      <c r="A3243" s="4">
        <v>1202002</v>
      </c>
      <c r="B3243" s="12" t="str">
        <f t="array" ref="B3243">IF(A3243:A7285="","",_xlfn.XLOOKUP(A3243:A7285,'参照_武将'!A:A,'参照_武将'!B:B,"見つかりません"))</f>
      </c>
      <c r="C3243" s="4" t="s">
        <v>431</v>
      </c>
      <c r="D3243" s="4">
        <v>20</v>
      </c>
      <c r="E3243" s="12" t="str">
        <f t="array" ref="E3243">IF(D3243:D7285="","",IFERROR(_xlfn.XLOOKUP(D3243:D7285,'参照_勢力'!A:A,'参照_勢力'!B:B),IFERROR(_xlfn.XLOOKUP(F3243:F7285,kunishuClan!A:A,kunishuClan!B:B),"浪人")))</f>
      </c>
      <c r="F3243" s="4">
        <v>0</v>
      </c>
      <c r="G3243" s="4">
        <v>39</v>
      </c>
      <c r="H3243" s="12" t="str">
        <f t="array" ref="H3243">IF(G3243:G7285="","",_xlfn.XLOOKUP(G3243:G7285,castles_state!A:A,castles_state!D:D,"見つかりません"))</f>
      </c>
      <c r="I3243" s="4"/>
      <c r="J3243" s="12" t="str">
        <f t="array" ref="J3243">IF(I3243:I7285="","",_xlfn.XLOOKUP(I3243:I7285,'参照_姫'!A:A,'参照_姫'!B:B,"見つかりません"))</f>
      </c>
      <c r="K3243" s="4">
        <v>100</v>
      </c>
      <c r="L3243" s="4">
        <v>0</v>
      </c>
      <c r="M3243" s="4"/>
      <c r="N3243" s="4"/>
      <c r="O3243" s="4"/>
      <c r="P3243" s="12" t="str">
        <f t="array" ref="P3243">IF(O3243:O7285="","",_xlfn.XLOOKUP(O3243:O7285,'参照_官位'!A:A,'参照_官位'!B:B,""))</f>
      </c>
      <c r="Q3243" s="12" t="str">
        <f t="array" ref="Q3243">IF(A3243:A7285="","",IFERROR(_xlfn.XLOOKUP(A3243:A7285,castles_state!K:K,castles_state!D:D)&amp;"主",IFERROR(_xlfn.XLOOKUP(A3243:A7285,kunishuClan!D:D,kunishuClan!B:B)&amp;"当主","")))</f>
      </c>
    </row>
    <row r="3244" ht="15.75" customHeight="1">
      <c r="A3244" s="4">
        <v>1202003</v>
      </c>
      <c r="B3244" s="12" t="str">
        <f t="array" ref="B3244">IF(A3244:A7285="","",_xlfn.XLOOKUP(A3244:A7285,'参照_武将'!A:A,'参照_武将'!B:B,"見つかりません"))</f>
      </c>
      <c r="C3244" s="4" t="s">
        <v>431</v>
      </c>
      <c r="D3244" s="4">
        <v>20</v>
      </c>
      <c r="E3244" s="12" t="str">
        <f t="array" ref="E3244">IF(D3244:D7285="","",IFERROR(_xlfn.XLOOKUP(D3244:D7285,'参照_勢力'!A:A,'参照_勢力'!B:B),IFERROR(_xlfn.XLOOKUP(F3244:F7285,kunishuClan!A:A,kunishuClan!B:B),"浪人")))</f>
      </c>
      <c r="F3244" s="4">
        <v>0</v>
      </c>
      <c r="G3244" s="4">
        <v>39</v>
      </c>
      <c r="H3244" s="12" t="str">
        <f t="array" ref="H3244">IF(G3244:G7285="","",_xlfn.XLOOKUP(G3244:G7285,castles_state!A:A,castles_state!D:D,"見つかりません"))</f>
      </c>
      <c r="I3244" s="4"/>
      <c r="J3244" s="12" t="str">
        <f t="array" ref="J3244">IF(I3244:I7285="","",_xlfn.XLOOKUP(I3244:I7285,'参照_姫'!A:A,'参照_姫'!B:B,"見つかりません"))</f>
      </c>
      <c r="K3244" s="4">
        <v>100</v>
      </c>
      <c r="L3244" s="4">
        <v>0</v>
      </c>
      <c r="M3244" s="4"/>
      <c r="N3244" s="4"/>
      <c r="O3244" s="4"/>
      <c r="P3244" s="12" t="str">
        <f t="array" ref="P3244">IF(O3244:O7285="","",_xlfn.XLOOKUP(O3244:O7285,'参照_官位'!A:A,'参照_官位'!B:B,""))</f>
      </c>
      <c r="Q3244" s="12" t="str">
        <f t="array" ref="Q3244">IF(A3244:A7285="","",IFERROR(_xlfn.XLOOKUP(A3244:A7285,castles_state!K:K,castles_state!D:D)&amp;"主",IFERROR(_xlfn.XLOOKUP(A3244:A7285,kunishuClan!D:D,kunishuClan!B:B)&amp;"当主","")))</f>
      </c>
    </row>
    <row r="3245" ht="15.75" customHeight="1">
      <c r="A3245" s="4">
        <v>1202004</v>
      </c>
      <c r="B3245" s="12" t="str">
        <f t="array" ref="B3245">IF(A3245:A7286="","",_xlfn.XLOOKUP(A3245:A7286,'参照_武将'!A:A,'参照_武将'!B:B,"見つかりません"))</f>
      </c>
      <c r="C3245" s="4" t="s">
        <v>431</v>
      </c>
      <c r="D3245" s="4">
        <v>1</v>
      </c>
      <c r="E3245" s="12" t="str">
        <f t="array" ref="E3245">IF(D3245:D7286="","",IFERROR(_xlfn.XLOOKUP(D3245:D7286,'参照_勢力'!A:A,'参照_勢力'!B:B),IFERROR(_xlfn.XLOOKUP(F3245:F7286,kunishuClan!A:A,kunishuClan!B:B),"浪人")))</f>
      </c>
      <c r="F3245" s="4">
        <v>0</v>
      </c>
      <c r="G3245" s="4">
        <v>39</v>
      </c>
      <c r="H3245" s="12" t="str">
        <f t="array" ref="H3245">IF(G3245:G7286="","",_xlfn.XLOOKUP(G3245:G7286,castles_state!A:A,castles_state!D:D,"見つかりません"))</f>
      </c>
      <c r="I3245" s="4"/>
      <c r="J3245" s="12" t="str">
        <f t="array" ref="J3245">IF(I3245:I7286="","",_xlfn.XLOOKUP(I3245:I7286,'参照_姫'!A:A,'参照_姫'!B:B,"見つかりません"))</f>
      </c>
      <c r="K3245" s="4">
        <v>90</v>
      </c>
      <c r="L3245" s="4">
        <v>700</v>
      </c>
      <c r="M3245" s="4"/>
      <c r="N3245" s="4"/>
      <c r="O3245" s="4">
        <v>202</v>
      </c>
      <c r="P3245" s="12" t="str">
        <f t="array" ref="P3245">IF(O3245:O7286="","",_xlfn.XLOOKUP(O3245:O7286,'参照_官位'!A:A,'参照_官位'!B:B,""))</f>
      </c>
      <c r="Q3245" s="12" t="str">
        <f t="array" ref="Q3245">IF(A3245:A7286="","",IFERROR(_xlfn.XLOOKUP(A3245:A7286,castles_state!K:K,castles_state!D:D)&amp;"主",IFERROR(_xlfn.XLOOKUP(A3245:A7286,kunishuClan!D:D,kunishuClan!B:B)&amp;"当主","")))</f>
      </c>
    </row>
    <row r="3246" ht="15.75" customHeight="1">
      <c r="A3246" s="4">
        <v>1202005</v>
      </c>
      <c r="B3246" s="12" t="str">
        <f t="array" ref="B3246">IF(A3246:A7287="","",_xlfn.XLOOKUP(A3246:A7287,'参照_武将'!A:A,'参照_武将'!B:B,"見つかりません"))</f>
      </c>
      <c r="C3246" s="4" t="s">
        <v>431</v>
      </c>
      <c r="D3246" s="4">
        <v>1</v>
      </c>
      <c r="E3246" s="12" t="str">
        <f t="array" ref="E3246">IF(D3246:D7287="","",IFERROR(_xlfn.XLOOKUP(D3246:D7287,'参照_勢力'!A:A,'参照_勢力'!B:B),IFERROR(_xlfn.XLOOKUP(F3246:F7287,kunishuClan!A:A,kunishuClan!B:B),"浪人")))</f>
      </c>
      <c r="F3246" s="4">
        <v>0</v>
      </c>
      <c r="G3246" s="4">
        <v>53</v>
      </c>
      <c r="H3246" s="12" t="str">
        <f t="array" ref="H3246">IF(G3246:G7287="","",_xlfn.XLOOKUP(G3246:G7287,castles_state!A:A,castles_state!D:D,"見つかりません"))</f>
      </c>
      <c r="I3246" s="4"/>
      <c r="J3246" s="12" t="str">
        <f t="array" ref="J3246">IF(I3246:I7287="","",_xlfn.XLOOKUP(I3246:I7287,'参照_姫'!A:A,'参照_姫'!B:B,"見つかりません"))</f>
      </c>
      <c r="K3246" s="4">
        <v>90</v>
      </c>
      <c r="L3246" s="4">
        <v>200</v>
      </c>
      <c r="M3246" s="4"/>
      <c r="N3246" s="4"/>
      <c r="O3246" s="4"/>
      <c r="P3246" s="12" t="str">
        <f t="array" ref="P3246">IF(O3246:O7287="","",_xlfn.XLOOKUP(O3246:O7287,'参照_官位'!A:A,'参照_官位'!B:B,""))</f>
      </c>
      <c r="Q3246" s="12" t="str">
        <f t="array" ref="Q3246">IF(A3246:A7287="","",IFERROR(_xlfn.XLOOKUP(A3246:A7287,castles_state!K:K,castles_state!D:D)&amp;"主",IFERROR(_xlfn.XLOOKUP(A3246:A7287,kunishuClan!D:D,kunishuClan!B:B)&amp;"当主","")))</f>
      </c>
    </row>
    <row r="3247" ht="15.75" customHeight="1">
      <c r="A3247" s="4">
        <v>1202006</v>
      </c>
      <c r="B3247" s="12" t="str">
        <f t="array" ref="B3247">IF(A3247:A7288="","",_xlfn.XLOOKUP(A3247:A7288,'参照_武将'!A:A,'参照_武将'!B:B,"見つかりません"))</f>
      </c>
      <c r="C3247" s="4" t="s">
        <v>431</v>
      </c>
      <c r="D3247" s="4">
        <v>20</v>
      </c>
      <c r="E3247" s="12" t="str">
        <f t="array" ref="E3247">IF(D3247:D7288="","",IFERROR(_xlfn.XLOOKUP(D3247:D7288,'参照_勢力'!A:A,'参照_勢力'!B:B),IFERROR(_xlfn.XLOOKUP(F3247:F7288,kunishuClan!A:A,kunishuClan!B:B),"浪人")))</f>
      </c>
      <c r="F3247" s="4">
        <v>0</v>
      </c>
      <c r="G3247" s="4">
        <v>22</v>
      </c>
      <c r="H3247" s="12" t="str">
        <f t="array" ref="H3247">IF(G3247:G7288="","",_xlfn.XLOOKUP(G3247:G7288,castles_state!A:A,castles_state!D:D,"見つかりません"))</f>
      </c>
      <c r="I3247" s="4"/>
      <c r="J3247" s="12" t="str">
        <f t="array" ref="J3247">IF(I3247:I7288="","",_xlfn.XLOOKUP(I3247:I7288,'参照_姫'!A:A,'参照_姫'!B:B,"見つかりません"))</f>
      </c>
      <c r="K3247" s="4">
        <v>100</v>
      </c>
      <c r="L3247" s="4">
        <v>300</v>
      </c>
      <c r="M3247" s="4"/>
      <c r="N3247" s="4"/>
      <c r="O3247" s="4"/>
      <c r="P3247" s="12" t="str">
        <f t="array" ref="P3247">IF(O3247:O7288="","",_xlfn.XLOOKUP(O3247:O7288,'参照_官位'!A:A,'参照_官位'!B:B,""))</f>
      </c>
      <c r="Q3247" s="12" t="str">
        <f t="array" ref="Q3247">IF(A3247:A7288="","",IFERROR(_xlfn.XLOOKUP(A3247:A7288,castles_state!K:K,castles_state!D:D)&amp;"主",IFERROR(_xlfn.XLOOKUP(A3247:A7288,kunishuClan!D:D,kunishuClan!B:B)&amp;"当主","")))</f>
      </c>
    </row>
    <row r="3248" ht="15.75" customHeight="1">
      <c r="A3248" s="4">
        <v>1202007</v>
      </c>
      <c r="B3248" s="12" t="str">
        <f t="array" ref="B3248">IF(A3248:A7289="","",_xlfn.XLOOKUP(A3248:A7289,'参照_武将'!A:A,'参照_武将'!B:B,"見つかりません"))</f>
      </c>
      <c r="C3248" s="4" t="s">
        <v>431</v>
      </c>
      <c r="D3248" s="4">
        <v>1</v>
      </c>
      <c r="E3248" s="12" t="str">
        <f t="array" ref="E3248">IF(D3248:D7289="","",IFERROR(_xlfn.XLOOKUP(D3248:D7289,'参照_勢力'!A:A,'参照_勢力'!B:B),IFERROR(_xlfn.XLOOKUP(F3248:F7289,kunishuClan!A:A,kunishuClan!B:B),"浪人")))</f>
      </c>
      <c r="F3248" s="4">
        <v>0</v>
      </c>
      <c r="G3248" s="4">
        <v>39</v>
      </c>
      <c r="H3248" s="12" t="str">
        <f t="array" ref="H3248">IF(G3248:G7289="","",_xlfn.XLOOKUP(G3248:G7289,castles_state!A:A,castles_state!D:D,"見つかりません"))</f>
      </c>
      <c r="I3248" s="4"/>
      <c r="J3248" s="12" t="str">
        <f t="array" ref="J3248">IF(I3248:I7289="","",_xlfn.XLOOKUP(I3248:I7289,'参照_姫'!A:A,'参照_姫'!B:B,"見つかりません"))</f>
      </c>
      <c r="K3248" s="4">
        <v>90</v>
      </c>
      <c r="L3248" s="4">
        <v>0</v>
      </c>
      <c r="M3248" s="4"/>
      <c r="N3248" s="4"/>
      <c r="O3248" s="4"/>
      <c r="P3248" s="12" t="str">
        <f t="array" ref="P3248">IF(O3248:O7289="","",_xlfn.XLOOKUP(O3248:O7289,'参照_官位'!A:A,'参照_官位'!B:B,""))</f>
      </c>
      <c r="Q3248" s="12" t="str">
        <f t="array" ref="Q3248">IF(A3248:A7289="","",IFERROR(_xlfn.XLOOKUP(A3248:A7289,castles_state!K:K,castles_state!D:D)&amp;"主",IFERROR(_xlfn.XLOOKUP(A3248:A7289,kunishuClan!D:D,kunishuClan!B:B)&amp;"当主","")))</f>
      </c>
    </row>
    <row r="3249" ht="15.75" customHeight="1">
      <c r="A3249" s="4">
        <v>1202008</v>
      </c>
      <c r="B3249" s="12" t="str">
        <f t="array" ref="B3249">IF(A3249:A7290="","",_xlfn.XLOOKUP(A3249:A7290,'参照_武将'!A:A,'参照_武将'!B:B,"見つかりません"))</f>
      </c>
      <c r="C3249" s="4" t="s">
        <v>431</v>
      </c>
      <c r="D3249" s="4">
        <v>20</v>
      </c>
      <c r="E3249" s="12" t="str">
        <f t="array" ref="E3249">IF(D3249:D7290="","",IFERROR(_xlfn.XLOOKUP(D3249:D7290,'参照_勢力'!A:A,'参照_勢力'!B:B),IFERROR(_xlfn.XLOOKUP(F3249:F7290,kunishuClan!A:A,kunishuClan!B:B),"浪人")))</f>
      </c>
      <c r="F3249" s="4">
        <v>0</v>
      </c>
      <c r="G3249" s="4">
        <v>51</v>
      </c>
      <c r="H3249" s="12" t="str">
        <f t="array" ref="H3249">IF(G3249:G7290="","",_xlfn.XLOOKUP(G3249:G7290,castles_state!A:A,castles_state!D:D,"見つかりません"))</f>
      </c>
      <c r="I3249" s="4">
        <v>18</v>
      </c>
      <c r="J3249" s="12" t="str">
        <f t="array" ref="J3249">IF(I3249:I7290="","",_xlfn.XLOOKUP(I3249:I7290,'参照_姫'!A:A,'参照_姫'!B:B,"見つかりません"))</f>
      </c>
      <c r="K3249" s="4">
        <v>95</v>
      </c>
      <c r="L3249" s="4">
        <v>0</v>
      </c>
      <c r="M3249" s="4"/>
      <c r="N3249" s="4"/>
      <c r="O3249" s="4"/>
      <c r="P3249" s="12" t="str">
        <f t="array" ref="P3249">IF(O3249:O7290="","",_xlfn.XLOOKUP(O3249:O7290,'参照_官位'!A:A,'参照_官位'!B:B,""))</f>
      </c>
      <c r="Q3249" s="12" t="str">
        <f t="array" ref="Q3249">IF(A3249:A7290="","",IFERROR(_xlfn.XLOOKUP(A3249:A7290,castles_state!K:K,castles_state!D:D)&amp;"主",IFERROR(_xlfn.XLOOKUP(A3249:A7290,kunishuClan!D:D,kunishuClan!B:B)&amp;"当主","")))</f>
      </c>
    </row>
    <row r="3250" ht="15.75" customHeight="1">
      <c r="A3250" s="4">
        <v>1202009</v>
      </c>
      <c r="B3250" s="12" t="str">
        <f t="array" ref="B3250">IF(A3250:A7291="","",_xlfn.XLOOKUP(A3250:A7291,'参照_武将'!A:A,'参照_武将'!B:B,"見つかりません"))</f>
      </c>
      <c r="C3250" s="4" t="s">
        <v>431</v>
      </c>
      <c r="D3250" s="4">
        <v>20</v>
      </c>
      <c r="E3250" s="12" t="str">
        <f t="array" ref="E3250">IF(D3250:D7291="","",IFERROR(_xlfn.XLOOKUP(D3250:D7291,'参照_勢力'!A:A,'参照_勢力'!B:B),IFERROR(_xlfn.XLOOKUP(F3250:F7291,kunishuClan!A:A,kunishuClan!B:B),"浪人")))</f>
      </c>
      <c r="F3250" s="4">
        <v>0</v>
      </c>
      <c r="G3250" s="4">
        <v>51</v>
      </c>
      <c r="H3250" s="12" t="str">
        <f t="array" ref="H3250">IF(G3250:G7291="","",_xlfn.XLOOKUP(G3250:G7291,castles_state!A:A,castles_state!D:D,"見つかりません"))</f>
      </c>
      <c r="I3250" s="4"/>
      <c r="J3250" s="12" t="str">
        <f t="array" ref="J3250">IF(I3250:I7291="","",_xlfn.XLOOKUP(I3250:I7291,'参照_姫'!A:A,'参照_姫'!B:B,"見つかりません"))</f>
      </c>
      <c r="K3250" s="4">
        <v>95</v>
      </c>
      <c r="L3250" s="4">
        <v>0</v>
      </c>
      <c r="M3250" s="4"/>
      <c r="N3250" s="4"/>
      <c r="O3250" s="4"/>
      <c r="P3250" s="12" t="str">
        <f t="array" ref="P3250">IF(O3250:O7291="","",_xlfn.XLOOKUP(O3250:O7291,'参照_官位'!A:A,'参照_官位'!B:B,""))</f>
      </c>
      <c r="Q3250" s="12" t="str">
        <f t="array" ref="Q3250">IF(A3250:A7291="","",IFERROR(_xlfn.XLOOKUP(A3250:A7291,castles_state!K:K,castles_state!D:D)&amp;"主",IFERROR(_xlfn.XLOOKUP(A3250:A7291,kunishuClan!D:D,kunishuClan!B:B)&amp;"当主","")))</f>
      </c>
    </row>
    <row r="3251" ht="15.75" customHeight="1">
      <c r="A3251" s="4">
        <v>1202010</v>
      </c>
      <c r="B3251" s="12" t="str">
        <f t="array" ref="B3251">IF(A3251:A7292="","",_xlfn.XLOOKUP(A3251:A7292,'参照_武将'!A:A,'参照_武将'!B:B,"見つかりません"))</f>
      </c>
      <c r="C3251" s="4" t="s">
        <v>431</v>
      </c>
      <c r="D3251" s="4">
        <v>1</v>
      </c>
      <c r="E3251" s="12" t="str">
        <f t="array" ref="E3251">IF(D3251:D7292="","",IFERROR(_xlfn.XLOOKUP(D3251:D7292,'参照_勢力'!A:A,'参照_勢力'!B:B),IFERROR(_xlfn.XLOOKUP(F3251:F7292,kunishuClan!A:A,kunishuClan!B:B),"浪人")))</f>
      </c>
      <c r="F3251" s="4">
        <v>0</v>
      </c>
      <c r="G3251" s="4">
        <v>39</v>
      </c>
      <c r="H3251" s="12" t="str">
        <f t="array" ref="H3251">IF(G3251:G7292="","",_xlfn.XLOOKUP(G3251:G7292,castles_state!A:A,castles_state!D:D,"見つかりません"))</f>
      </c>
      <c r="I3251" s="4"/>
      <c r="J3251" s="12" t="str">
        <f t="array" ref="J3251">IF(I3251:I7292="","",_xlfn.XLOOKUP(I3251:I7292,'参照_姫'!A:A,'参照_姫'!B:B,"見つかりません"))</f>
      </c>
      <c r="K3251" s="4">
        <v>95</v>
      </c>
      <c r="L3251" s="4">
        <v>0</v>
      </c>
      <c r="M3251" s="4"/>
      <c r="N3251" s="4"/>
      <c r="O3251" s="4"/>
      <c r="P3251" s="12" t="str">
        <f t="array" ref="P3251">IF(O3251:O7292="","",_xlfn.XLOOKUP(O3251:O7292,'参照_官位'!A:A,'参照_官位'!B:B,""))</f>
      </c>
      <c r="Q3251" s="12" t="str">
        <f t="array" ref="Q3251">IF(A3251:A7292="","",IFERROR(_xlfn.XLOOKUP(A3251:A7292,castles_state!K:K,castles_state!D:D)&amp;"主",IFERROR(_xlfn.XLOOKUP(A3251:A7292,kunishuClan!D:D,kunishuClan!B:B)&amp;"当主","")))</f>
      </c>
    </row>
    <row r="3252" ht="15.75" customHeight="1">
      <c r="A3252" s="4">
        <v>1202011</v>
      </c>
      <c r="B3252" s="12" t="str">
        <f t="array" ref="B3252">IF(A3252:A7293="","",_xlfn.XLOOKUP(A3252:A7293,'参照_武将'!A:A,'参照_武将'!B:B,"見つかりません"))</f>
      </c>
      <c r="C3252" s="4" t="s">
        <v>431</v>
      </c>
      <c r="D3252" s="4">
        <v>1</v>
      </c>
      <c r="E3252" s="12" t="str">
        <f t="array" ref="E3252">IF(D3252:D7293="","",IFERROR(_xlfn.XLOOKUP(D3252:D7293,'参照_勢力'!A:A,'参照_勢力'!B:B),IFERROR(_xlfn.XLOOKUP(F3252:F7293,kunishuClan!A:A,kunishuClan!B:B),"浪人")))</f>
      </c>
      <c r="F3252" s="4">
        <v>0</v>
      </c>
      <c r="G3252" s="4">
        <v>39</v>
      </c>
      <c r="H3252" s="12" t="str">
        <f t="array" ref="H3252">IF(G3252:G7293="","",_xlfn.XLOOKUP(G3252:G7293,castles_state!A:A,castles_state!D:D,"見つかりません"))</f>
      </c>
      <c r="I3252" s="4"/>
      <c r="J3252" s="12" t="str">
        <f t="array" ref="J3252">IF(I3252:I7293="","",_xlfn.XLOOKUP(I3252:I7293,'参照_姫'!A:A,'参照_姫'!B:B,"見つかりません"))</f>
      </c>
      <c r="K3252" s="4">
        <v>95</v>
      </c>
      <c r="L3252" s="4">
        <v>0</v>
      </c>
      <c r="M3252" s="4"/>
      <c r="N3252" s="4"/>
      <c r="O3252" s="4"/>
      <c r="P3252" s="12" t="str">
        <f t="array" ref="P3252">IF(O3252:O7293="","",_xlfn.XLOOKUP(O3252:O7293,'参照_官位'!A:A,'参照_官位'!B:B,""))</f>
      </c>
      <c r="Q3252" s="12" t="str">
        <f t="array" ref="Q3252">IF(A3252:A7293="","",IFERROR(_xlfn.XLOOKUP(A3252:A7293,castles_state!K:K,castles_state!D:D)&amp;"主",IFERROR(_xlfn.XLOOKUP(A3252:A7293,kunishuClan!D:D,kunishuClan!B:B)&amp;"当主","")))</f>
      </c>
    </row>
    <row r="3253" ht="15.75" customHeight="1">
      <c r="A3253" s="4">
        <v>1202012</v>
      </c>
      <c r="B3253" s="12" t="str">
        <f t="array" ref="B3253">IF(A3253:A7294="","",_xlfn.XLOOKUP(A3253:A7294,'参照_武将'!A:A,'参照_武将'!B:B,"見つかりません"))</f>
      </c>
      <c r="C3253" s="4" t="s">
        <v>431</v>
      </c>
      <c r="D3253" s="4">
        <v>1</v>
      </c>
      <c r="E3253" s="12" t="str">
        <f t="array" ref="E3253">IF(D3253:D7294="","",IFERROR(_xlfn.XLOOKUP(D3253:D7294,'参照_勢力'!A:A,'参照_勢力'!B:B),IFERROR(_xlfn.XLOOKUP(F3253:F7294,kunishuClan!A:A,kunishuClan!B:B),"浪人")))</f>
      </c>
      <c r="F3253" s="4">
        <v>0</v>
      </c>
      <c r="G3253" s="4">
        <v>39</v>
      </c>
      <c r="H3253" s="12" t="str">
        <f t="array" ref="H3253">IF(G3253:G7294="","",_xlfn.XLOOKUP(G3253:G7294,castles_state!A:A,castles_state!D:D,"見つかりません"))</f>
      </c>
      <c r="I3253" s="4"/>
      <c r="J3253" s="12" t="str">
        <f t="array" ref="J3253">IF(I3253:I7294="","",_xlfn.XLOOKUP(I3253:I7294,'参照_姫'!A:A,'参照_姫'!B:B,"見つかりません"))</f>
      </c>
      <c r="K3253" s="4">
        <v>95</v>
      </c>
      <c r="L3253" s="4">
        <v>0</v>
      </c>
      <c r="M3253" s="4"/>
      <c r="N3253" s="4"/>
      <c r="O3253" s="4"/>
      <c r="P3253" s="12" t="str">
        <f t="array" ref="P3253">IF(O3253:O7294="","",_xlfn.XLOOKUP(O3253:O7294,'参照_官位'!A:A,'参照_官位'!B:B,""))</f>
      </c>
      <c r="Q3253" s="12" t="str">
        <f t="array" ref="Q3253">IF(A3253:A7294="","",IFERROR(_xlfn.XLOOKUP(A3253:A7294,castles_state!K:K,castles_state!D:D)&amp;"主",IFERROR(_xlfn.XLOOKUP(A3253:A7294,kunishuClan!D:D,kunishuClan!B:B)&amp;"当主","")))</f>
      </c>
    </row>
    <row r="3254" ht="15.75" customHeight="1">
      <c r="A3254" s="4">
        <v>1202013</v>
      </c>
      <c r="B3254" s="12" t="str">
        <f t="array" ref="B3254">IF(A3254:A7295="","",_xlfn.XLOOKUP(A3254:A7295,'参照_武将'!A:A,'参照_武将'!B:B,"見つかりません"))</f>
      </c>
      <c r="C3254" s="4" t="s">
        <v>431</v>
      </c>
      <c r="D3254" s="4">
        <v>1</v>
      </c>
      <c r="E3254" s="12" t="str">
        <f t="array" ref="E3254">IF(D3254:D7295="","",IFERROR(_xlfn.XLOOKUP(D3254:D7295,'参照_勢力'!A:A,'参照_勢力'!B:B),IFERROR(_xlfn.XLOOKUP(F3254:F7295,kunishuClan!A:A,kunishuClan!B:B),"浪人")))</f>
      </c>
      <c r="F3254" s="4">
        <v>0</v>
      </c>
      <c r="G3254" s="4">
        <v>39</v>
      </c>
      <c r="H3254" s="12" t="str">
        <f t="array" ref="H3254">IF(G3254:G7295="","",_xlfn.XLOOKUP(G3254:G7295,castles_state!A:A,castles_state!D:D,"見つかりません"))</f>
      </c>
      <c r="I3254" s="4"/>
      <c r="J3254" s="12" t="str">
        <f t="array" ref="J3254">IF(I3254:I7295="","",_xlfn.XLOOKUP(I3254:I7295,'参照_姫'!A:A,'参照_姫'!B:B,"見つかりません"))</f>
      </c>
      <c r="K3254" s="4">
        <v>95</v>
      </c>
      <c r="L3254" s="4">
        <v>0</v>
      </c>
      <c r="M3254" s="4"/>
      <c r="N3254" s="4"/>
      <c r="O3254" s="4"/>
      <c r="P3254" s="12" t="str">
        <f t="array" ref="P3254">IF(O3254:O7295="","",_xlfn.XLOOKUP(O3254:O7295,'参照_官位'!A:A,'参照_官位'!B:B,""))</f>
      </c>
      <c r="Q3254" s="12" t="str">
        <f t="array" ref="Q3254">IF(A3254:A7295="","",IFERROR(_xlfn.XLOOKUP(A3254:A7295,castles_state!K:K,castles_state!D:D)&amp;"主",IFERROR(_xlfn.XLOOKUP(A3254:A7295,kunishuClan!D:D,kunishuClan!B:B)&amp;"当主","")))</f>
      </c>
    </row>
    <row r="3255" ht="15.75" customHeight="1">
      <c r="A3255" s="4">
        <v>1202014</v>
      </c>
      <c r="B3255" s="12" t="str">
        <f t="array" ref="B3255">IF(A3255:A7296="","",_xlfn.XLOOKUP(A3255:A7296,'参照_武将'!A:A,'参照_武将'!B:B,"見つかりません"))</f>
      </c>
      <c r="C3255" s="4" t="s">
        <v>431</v>
      </c>
      <c r="D3255" s="4">
        <v>1</v>
      </c>
      <c r="E3255" s="12" t="str">
        <f t="array" ref="E3255">IF(D3255:D7296="","",IFERROR(_xlfn.XLOOKUP(D3255:D7296,'参照_勢力'!A:A,'参照_勢力'!B:B),IFERROR(_xlfn.XLOOKUP(F3255:F7296,kunishuClan!A:A,kunishuClan!B:B),"浪人")))</f>
      </c>
      <c r="F3255" s="4">
        <v>0</v>
      </c>
      <c r="G3255" s="4">
        <v>39</v>
      </c>
      <c r="H3255" s="12" t="str">
        <f t="array" ref="H3255">IF(G3255:G7296="","",_xlfn.XLOOKUP(G3255:G7296,castles_state!A:A,castles_state!D:D,"見つかりません"))</f>
      </c>
      <c r="I3255" s="4"/>
      <c r="J3255" s="12" t="str">
        <f t="array" ref="J3255">IF(I3255:I7296="","",_xlfn.XLOOKUP(I3255:I7296,'参照_姫'!A:A,'参照_姫'!B:B,"見つかりません"))</f>
      </c>
      <c r="K3255" s="4">
        <v>95</v>
      </c>
      <c r="L3255" s="4">
        <v>0</v>
      </c>
      <c r="M3255" s="4"/>
      <c r="N3255" s="4"/>
      <c r="O3255" s="4"/>
      <c r="P3255" s="12" t="str">
        <f t="array" ref="P3255">IF(O3255:O7296="","",_xlfn.XLOOKUP(O3255:O7296,'参照_官位'!A:A,'参照_官位'!B:B,""))</f>
      </c>
      <c r="Q3255" s="12" t="str">
        <f t="array" ref="Q3255">IF(A3255:A7296="","",IFERROR(_xlfn.XLOOKUP(A3255:A7296,castles_state!K:K,castles_state!D:D)&amp;"主",IFERROR(_xlfn.XLOOKUP(A3255:A7296,kunishuClan!D:D,kunishuClan!B:B)&amp;"当主","")))</f>
      </c>
    </row>
    <row r="3256" ht="15.75" customHeight="1">
      <c r="A3256" s="4">
        <v>1202015</v>
      </c>
      <c r="B3256" s="12" t="str">
        <f t="array" ref="B3256">IF(A3256:A7297="","",_xlfn.XLOOKUP(A3256:A7297,'参照_武将'!A:A,'参照_武将'!B:B,"見つかりません"))</f>
      </c>
      <c r="C3256" s="4" t="s">
        <v>431</v>
      </c>
      <c r="D3256" s="4">
        <v>1</v>
      </c>
      <c r="E3256" s="12" t="str">
        <f t="array" ref="E3256">IF(D3256:D7297="","",IFERROR(_xlfn.XLOOKUP(D3256:D7297,'参照_勢力'!A:A,'参照_勢力'!B:B),IFERROR(_xlfn.XLOOKUP(F3256:F7297,kunishuClan!A:A,kunishuClan!B:B),"浪人")))</f>
      </c>
      <c r="F3256" s="4">
        <v>0</v>
      </c>
      <c r="G3256" s="4">
        <v>39</v>
      </c>
      <c r="H3256" s="12" t="str">
        <f t="array" ref="H3256">IF(G3256:G7297="","",_xlfn.XLOOKUP(G3256:G7297,castles_state!A:A,castles_state!D:D,"見つかりません"))</f>
      </c>
      <c r="I3256" s="4"/>
      <c r="J3256" s="12" t="str">
        <f t="array" ref="J3256">IF(I3256:I7297="","",_xlfn.XLOOKUP(I3256:I7297,'参照_姫'!A:A,'参照_姫'!B:B,"見つかりません"))</f>
      </c>
      <c r="K3256" s="4">
        <v>95</v>
      </c>
      <c r="L3256" s="4">
        <v>0</v>
      </c>
      <c r="M3256" s="4"/>
      <c r="N3256" s="4"/>
      <c r="O3256" s="4"/>
      <c r="P3256" s="12" t="str">
        <f t="array" ref="P3256">IF(O3256:O7297="","",_xlfn.XLOOKUP(O3256:O7297,'参照_官位'!A:A,'参照_官位'!B:B,""))</f>
      </c>
      <c r="Q3256" s="12" t="str">
        <f t="array" ref="Q3256">IF(A3256:A7297="","",IFERROR(_xlfn.XLOOKUP(A3256:A7297,castles_state!K:K,castles_state!D:D)&amp;"主",IFERROR(_xlfn.XLOOKUP(A3256:A7297,kunishuClan!D:D,kunishuClan!B:B)&amp;"当主","")))</f>
      </c>
    </row>
    <row r="3257" ht="15.75" customHeight="1">
      <c r="A3257" s="4">
        <v>1202016</v>
      </c>
      <c r="B3257" s="12" t="str">
        <f t="array" ref="B3257">IF(A3257:A7298="","",_xlfn.XLOOKUP(A3257:A7298,'参照_武将'!A:A,'参照_武将'!B:B,"見つかりません"))</f>
      </c>
      <c r="C3257" s="4" t="s">
        <v>431</v>
      </c>
      <c r="D3257" s="4">
        <v>1</v>
      </c>
      <c r="E3257" s="12" t="str">
        <f t="array" ref="E3257">IF(D3257:D7298="","",IFERROR(_xlfn.XLOOKUP(D3257:D7298,'参照_勢力'!A:A,'参照_勢力'!B:B),IFERROR(_xlfn.XLOOKUP(F3257:F7298,kunishuClan!A:A,kunishuClan!B:B),"浪人")))</f>
      </c>
      <c r="F3257" s="4">
        <v>0</v>
      </c>
      <c r="G3257" s="4">
        <v>39</v>
      </c>
      <c r="H3257" s="12" t="str">
        <f t="array" ref="H3257">IF(G3257:G7298="","",_xlfn.XLOOKUP(G3257:G7298,castles_state!A:A,castles_state!D:D,"見つかりません"))</f>
      </c>
      <c r="I3257" s="4"/>
      <c r="J3257" s="12" t="str">
        <f t="array" ref="J3257">IF(I3257:I7298="","",_xlfn.XLOOKUP(I3257:I7298,'参照_姫'!A:A,'参照_姫'!B:B,"見つかりません"))</f>
      </c>
      <c r="K3257" s="4">
        <v>95</v>
      </c>
      <c r="L3257" s="4">
        <v>0</v>
      </c>
      <c r="M3257" s="4"/>
      <c r="N3257" s="4"/>
      <c r="O3257" s="4"/>
      <c r="P3257" s="12" t="str">
        <f t="array" ref="P3257">IF(O3257:O7298="","",_xlfn.XLOOKUP(O3257:O7298,'参照_官位'!A:A,'参照_官位'!B:B,""))</f>
      </c>
      <c r="Q3257" s="12" t="str">
        <f t="array" ref="Q3257">IF(A3257:A7298="","",IFERROR(_xlfn.XLOOKUP(A3257:A7298,castles_state!K:K,castles_state!D:D)&amp;"主",IFERROR(_xlfn.XLOOKUP(A3257:A7298,kunishuClan!D:D,kunishuClan!B:B)&amp;"当主","")))</f>
      </c>
    </row>
    <row r="3258" ht="15.75" customHeight="1">
      <c r="A3258" s="4">
        <v>1202017</v>
      </c>
      <c r="B3258" s="12" t="str">
        <f t="array" ref="B3258">IF(A3258:A7299="","",_xlfn.XLOOKUP(A3258:A7299,'参照_武将'!A:A,'参照_武将'!B:B,"見つかりません"))</f>
      </c>
      <c r="C3258" s="4" t="s">
        <v>431</v>
      </c>
      <c r="D3258" s="4">
        <v>1</v>
      </c>
      <c r="E3258" s="12" t="str">
        <f t="array" ref="E3258">IF(D3258:D7299="","",IFERROR(_xlfn.XLOOKUP(D3258:D7299,'参照_勢力'!A:A,'参照_勢力'!B:B),IFERROR(_xlfn.XLOOKUP(F3258:F7299,kunishuClan!A:A,kunishuClan!B:B),"浪人")))</f>
      </c>
      <c r="F3258" s="4">
        <v>0</v>
      </c>
      <c r="G3258" s="4">
        <v>39</v>
      </c>
      <c r="H3258" s="12" t="str">
        <f t="array" ref="H3258">IF(G3258:G7299="","",_xlfn.XLOOKUP(G3258:G7299,castles_state!A:A,castles_state!D:D,"見つかりません"))</f>
      </c>
      <c r="I3258" s="4"/>
      <c r="J3258" s="12" t="str">
        <f t="array" ref="J3258">IF(I3258:I7299="","",_xlfn.XLOOKUP(I3258:I7299,'参照_姫'!A:A,'参照_姫'!B:B,"見つかりません"))</f>
      </c>
      <c r="K3258" s="4">
        <v>95</v>
      </c>
      <c r="L3258" s="4">
        <v>0</v>
      </c>
      <c r="M3258" s="4"/>
      <c r="N3258" s="4"/>
      <c r="O3258" s="4"/>
      <c r="P3258" s="12" t="str">
        <f t="array" ref="P3258">IF(O3258:O7299="","",_xlfn.XLOOKUP(O3258:O7299,'参照_官位'!A:A,'参照_官位'!B:B,""))</f>
      </c>
      <c r="Q3258" s="12" t="str">
        <f t="array" ref="Q3258">IF(A3258:A7299="","",IFERROR(_xlfn.XLOOKUP(A3258:A7299,castles_state!K:K,castles_state!D:D)&amp;"主",IFERROR(_xlfn.XLOOKUP(A3258:A7299,kunishuClan!D:D,kunishuClan!B:B)&amp;"当主","")))</f>
      </c>
    </row>
    <row r="3259" ht="15.75" customHeight="1">
      <c r="A3259" s="4">
        <v>1202018</v>
      </c>
      <c r="B3259" s="12" t="str">
        <f t="array" ref="B3259">IF(A3259:A7300="","",_xlfn.XLOOKUP(A3259:A7300,'参照_武将'!A:A,'参照_武将'!B:B,"見つかりません"))</f>
      </c>
      <c r="C3259" s="4" t="s">
        <v>431</v>
      </c>
      <c r="D3259" s="4">
        <v>1</v>
      </c>
      <c r="E3259" s="12" t="str">
        <f t="array" ref="E3259">IF(D3259:D7300="","",IFERROR(_xlfn.XLOOKUP(D3259:D7300,'参照_勢力'!A:A,'参照_勢力'!B:B),IFERROR(_xlfn.XLOOKUP(F3259:F7300,kunishuClan!A:A,kunishuClan!B:B),"浪人")))</f>
      </c>
      <c r="F3259" s="4">
        <v>0</v>
      </c>
      <c r="G3259" s="4">
        <v>39</v>
      </c>
      <c r="H3259" s="12" t="str">
        <f t="array" ref="H3259">IF(G3259:G7300="","",_xlfn.XLOOKUP(G3259:G7300,castles_state!A:A,castles_state!D:D,"見つかりません"))</f>
      </c>
      <c r="I3259" s="4"/>
      <c r="J3259" s="12" t="str">
        <f t="array" ref="J3259">IF(I3259:I7300="","",_xlfn.XLOOKUP(I3259:I7300,'参照_姫'!A:A,'参照_姫'!B:B,"見つかりません"))</f>
      </c>
      <c r="K3259" s="4">
        <v>95</v>
      </c>
      <c r="L3259" s="4">
        <v>0</v>
      </c>
      <c r="M3259" s="4"/>
      <c r="N3259" s="4"/>
      <c r="O3259" s="4"/>
      <c r="P3259" s="12" t="str">
        <f t="array" ref="P3259">IF(O3259:O7300="","",_xlfn.XLOOKUP(O3259:O7300,'参照_官位'!A:A,'参照_官位'!B:B,""))</f>
      </c>
      <c r="Q3259" s="12" t="str">
        <f t="array" ref="Q3259">IF(A3259:A7300="","",IFERROR(_xlfn.XLOOKUP(A3259:A7300,castles_state!K:K,castles_state!D:D)&amp;"主",IFERROR(_xlfn.XLOOKUP(A3259:A7300,kunishuClan!D:D,kunishuClan!B:B)&amp;"当主","")))</f>
      </c>
    </row>
    <row r="3260" ht="15.75" customHeight="1">
      <c r="A3260" s="4">
        <v>1202019</v>
      </c>
      <c r="B3260" s="12" t="str">
        <f t="array" ref="B3260">IF(A3260:A7301="","",_xlfn.XLOOKUP(A3260:A7301,'参照_武将'!A:A,'参照_武将'!B:B,"見つかりません"))</f>
      </c>
      <c r="C3260" s="4" t="s">
        <v>431</v>
      </c>
      <c r="D3260" s="4">
        <v>1</v>
      </c>
      <c r="E3260" s="12" t="str">
        <f t="array" ref="E3260">IF(D3260:D7301="","",IFERROR(_xlfn.XLOOKUP(D3260:D7301,'参照_勢力'!A:A,'参照_勢力'!B:B),IFERROR(_xlfn.XLOOKUP(F3260:F7301,kunishuClan!A:A,kunishuClan!B:B),"浪人")))</f>
      </c>
      <c r="F3260" s="4">
        <v>0</v>
      </c>
      <c r="G3260" s="4">
        <v>39</v>
      </c>
      <c r="H3260" s="12" t="str">
        <f t="array" ref="H3260">IF(G3260:G7301="","",_xlfn.XLOOKUP(G3260:G7301,castles_state!A:A,castles_state!D:D,"見つかりません"))</f>
      </c>
      <c r="I3260" s="4"/>
      <c r="J3260" s="12" t="str">
        <f t="array" ref="J3260">IF(I3260:I7301="","",_xlfn.XLOOKUP(I3260:I7301,'参照_姫'!A:A,'参照_姫'!B:B,"見つかりません"))</f>
      </c>
      <c r="K3260" s="4">
        <v>95</v>
      </c>
      <c r="L3260" s="4">
        <v>0</v>
      </c>
      <c r="M3260" s="4"/>
      <c r="N3260" s="4"/>
      <c r="O3260" s="4"/>
      <c r="P3260" s="12" t="str">
        <f t="array" ref="P3260">IF(O3260:O7301="","",_xlfn.XLOOKUP(O3260:O7301,'参照_官位'!A:A,'参照_官位'!B:B,""))</f>
      </c>
      <c r="Q3260" s="12" t="str">
        <f t="array" ref="Q3260">IF(A3260:A7301="","",IFERROR(_xlfn.XLOOKUP(A3260:A7301,castles_state!K:K,castles_state!D:D)&amp;"主",IFERROR(_xlfn.XLOOKUP(A3260:A7301,kunishuClan!D:D,kunishuClan!B:B)&amp;"当主","")))</f>
      </c>
    </row>
    <row r="3261" ht="15.75" customHeight="1">
      <c r="A3261" s="4">
        <v>1202020</v>
      </c>
      <c r="B3261" s="12" t="str">
        <f t="array" ref="B3261">IF(A3261:A7302="","",_xlfn.XLOOKUP(A3261:A7302,'参照_武将'!A:A,'参照_武将'!B:B,"見つかりません"))</f>
      </c>
      <c r="C3261" s="4" t="s">
        <v>431</v>
      </c>
      <c r="D3261" s="4">
        <v>1</v>
      </c>
      <c r="E3261" s="12" t="str">
        <f t="array" ref="E3261">IF(D3261:D7302="","",IFERROR(_xlfn.XLOOKUP(D3261:D7302,'参照_勢力'!A:A,'参照_勢力'!B:B),IFERROR(_xlfn.XLOOKUP(F3261:F7302,kunishuClan!A:A,kunishuClan!B:B),"浪人")))</f>
      </c>
      <c r="F3261" s="4">
        <v>0</v>
      </c>
      <c r="G3261" s="4">
        <v>39</v>
      </c>
      <c r="H3261" s="12" t="str">
        <f t="array" ref="H3261">IF(G3261:G7302="","",_xlfn.XLOOKUP(G3261:G7302,castles_state!A:A,castles_state!D:D,"見つかりません"))</f>
      </c>
      <c r="I3261" s="4"/>
      <c r="J3261" s="12" t="str">
        <f t="array" ref="J3261">IF(I3261:I7302="","",_xlfn.XLOOKUP(I3261:I7302,'参照_姫'!A:A,'参照_姫'!B:B,"見つかりません"))</f>
      </c>
      <c r="K3261" s="4">
        <v>95</v>
      </c>
      <c r="L3261" s="4">
        <v>0</v>
      </c>
      <c r="M3261" s="4"/>
      <c r="N3261" s="4"/>
      <c r="O3261" s="4"/>
      <c r="P3261" s="12" t="str">
        <f t="array" ref="P3261">IF(O3261:O7302="","",_xlfn.XLOOKUP(O3261:O7302,'参照_官位'!A:A,'参照_官位'!B:B,""))</f>
      </c>
      <c r="Q3261" s="12" t="str">
        <f t="array" ref="Q3261">IF(A3261:A7302="","",IFERROR(_xlfn.XLOOKUP(A3261:A7302,castles_state!K:K,castles_state!D:D)&amp;"主",IFERROR(_xlfn.XLOOKUP(A3261:A7302,kunishuClan!D:D,kunishuClan!B:B)&amp;"当主","")))</f>
      </c>
    </row>
    <row r="3262" ht="15.75" customHeight="1">
      <c r="A3262" s="4">
        <v>1202021</v>
      </c>
      <c r="B3262" s="12" t="str">
        <f t="array" ref="B3262">IF(A3262:A7303="","",_xlfn.XLOOKUP(A3262:A7303,'参照_武将'!A:A,'参照_武将'!B:B,"見つかりません"))</f>
      </c>
      <c r="C3262" s="4" t="s">
        <v>431</v>
      </c>
      <c r="D3262" s="4">
        <v>1</v>
      </c>
      <c r="E3262" s="12" t="str">
        <f t="array" ref="E3262">IF(D3262:D7303="","",IFERROR(_xlfn.XLOOKUP(D3262:D7303,'参照_勢力'!A:A,'参照_勢力'!B:B),IFERROR(_xlfn.XLOOKUP(F3262:F7303,kunishuClan!A:A,kunishuClan!B:B),"浪人")))</f>
      </c>
      <c r="F3262" s="4">
        <v>0</v>
      </c>
      <c r="G3262" s="4">
        <v>39</v>
      </c>
      <c r="H3262" s="12" t="str">
        <f t="array" ref="H3262">IF(G3262:G7303="","",_xlfn.XLOOKUP(G3262:G7303,castles_state!A:A,castles_state!D:D,"見つかりません"))</f>
      </c>
      <c r="I3262" s="4"/>
      <c r="J3262" s="12" t="str">
        <f t="array" ref="J3262">IF(I3262:I7303="","",_xlfn.XLOOKUP(I3262:I7303,'参照_姫'!A:A,'参照_姫'!B:B,"見つかりません"))</f>
      </c>
      <c r="K3262" s="4">
        <v>95</v>
      </c>
      <c r="L3262" s="4">
        <v>0</v>
      </c>
      <c r="M3262" s="4"/>
      <c r="N3262" s="4"/>
      <c r="O3262" s="4"/>
      <c r="P3262" s="12" t="str">
        <f t="array" ref="P3262">IF(O3262:O7303="","",_xlfn.XLOOKUP(O3262:O7303,'参照_官位'!A:A,'参照_官位'!B:B,""))</f>
      </c>
      <c r="Q3262" s="12" t="str">
        <f t="array" ref="Q3262">IF(A3262:A7303="","",IFERROR(_xlfn.XLOOKUP(A3262:A7303,castles_state!K:K,castles_state!D:D)&amp;"主",IFERROR(_xlfn.XLOOKUP(A3262:A7303,kunishuClan!D:D,kunishuClan!B:B)&amp;"当主","")))</f>
      </c>
    </row>
    <row r="3263" ht="15.75" customHeight="1">
      <c r="A3263" s="4">
        <v>1202022</v>
      </c>
      <c r="B3263" s="12" t="str">
        <f t="array" ref="B3263">IF(A3263:A7304="","",_xlfn.XLOOKUP(A3263:A7304,'参照_武将'!A:A,'参照_武将'!B:B,"見つかりません"))</f>
      </c>
      <c r="C3263" s="4" t="s">
        <v>431</v>
      </c>
      <c r="D3263" s="4">
        <v>1</v>
      </c>
      <c r="E3263" s="12" t="str">
        <f t="array" ref="E3263">IF(D3263:D7304="","",IFERROR(_xlfn.XLOOKUP(D3263:D7304,'参照_勢力'!A:A,'参照_勢力'!B:B),IFERROR(_xlfn.XLOOKUP(F3263:F7304,kunishuClan!A:A,kunishuClan!B:B),"浪人")))</f>
      </c>
      <c r="F3263" s="4">
        <v>0</v>
      </c>
      <c r="G3263" s="4">
        <v>39</v>
      </c>
      <c r="H3263" s="12" t="str">
        <f t="array" ref="H3263">IF(G3263:G7304="","",_xlfn.XLOOKUP(G3263:G7304,castles_state!A:A,castles_state!D:D,"見つかりません"))</f>
      </c>
      <c r="I3263" s="4"/>
      <c r="J3263" s="12" t="str">
        <f t="array" ref="J3263">IF(I3263:I7304="","",_xlfn.XLOOKUP(I3263:I7304,'参照_姫'!A:A,'参照_姫'!B:B,"見つかりません"))</f>
      </c>
      <c r="K3263" s="4">
        <v>95</v>
      </c>
      <c r="L3263" s="4">
        <v>0</v>
      </c>
      <c r="M3263" s="4"/>
      <c r="N3263" s="4"/>
      <c r="O3263" s="4"/>
      <c r="P3263" s="12" t="str">
        <f t="array" ref="P3263">IF(O3263:O7304="","",_xlfn.XLOOKUP(O3263:O7304,'参照_官位'!A:A,'参照_官位'!B:B,""))</f>
      </c>
      <c r="Q3263" s="12" t="str">
        <f t="array" ref="Q3263">IF(A3263:A7304="","",IFERROR(_xlfn.XLOOKUP(A3263:A7304,castles_state!K:K,castles_state!D:D)&amp;"主",IFERROR(_xlfn.XLOOKUP(A3263:A7304,kunishuClan!D:D,kunishuClan!B:B)&amp;"当主","")))</f>
      </c>
    </row>
    <row r="3264" ht="15.75" customHeight="1">
      <c r="A3264" s="4">
        <v>1202023</v>
      </c>
      <c r="B3264" s="12" t="str">
        <f t="array" ref="B3264">IF(A3264:A7305="","",_xlfn.XLOOKUP(A3264:A7305,'参照_武将'!A:A,'参照_武将'!B:B,"見つかりません"))</f>
      </c>
      <c r="C3264" s="4" t="s">
        <v>431</v>
      </c>
      <c r="D3264" s="4">
        <v>1</v>
      </c>
      <c r="E3264" s="12" t="str">
        <f t="array" ref="E3264">IF(D3264:D7305="","",IFERROR(_xlfn.XLOOKUP(D3264:D7305,'参照_勢力'!A:A,'参照_勢力'!B:B),IFERROR(_xlfn.XLOOKUP(F3264:F7305,kunishuClan!A:A,kunishuClan!B:B),"浪人")))</f>
      </c>
      <c r="F3264" s="4">
        <v>0</v>
      </c>
      <c r="G3264" s="4">
        <v>39</v>
      </c>
      <c r="H3264" s="12" t="str">
        <f t="array" ref="H3264">IF(G3264:G7305="","",_xlfn.XLOOKUP(G3264:G7305,castles_state!A:A,castles_state!D:D,"見つかりません"))</f>
      </c>
      <c r="I3264" s="4"/>
      <c r="J3264" s="12" t="str">
        <f t="array" ref="J3264">IF(I3264:I7305="","",_xlfn.XLOOKUP(I3264:I7305,'参照_姫'!A:A,'参照_姫'!B:B,"見つかりません"))</f>
      </c>
      <c r="K3264" s="4">
        <v>95</v>
      </c>
      <c r="L3264" s="4">
        <v>0</v>
      </c>
      <c r="M3264" s="4"/>
      <c r="N3264" s="4"/>
      <c r="O3264" s="4"/>
      <c r="P3264" s="12" t="str">
        <f t="array" ref="P3264">IF(O3264:O7305="","",_xlfn.XLOOKUP(O3264:O7305,'参照_官位'!A:A,'参照_官位'!B:B,""))</f>
      </c>
      <c r="Q3264" s="12" t="str">
        <f t="array" ref="Q3264">IF(A3264:A7305="","",IFERROR(_xlfn.XLOOKUP(A3264:A7305,castles_state!K:K,castles_state!D:D)&amp;"主",IFERROR(_xlfn.XLOOKUP(A3264:A7305,kunishuClan!D:D,kunishuClan!B:B)&amp;"当主","")))</f>
      </c>
    </row>
    <row r="3265" ht="15.75" customHeight="1">
      <c r="A3265" s="4">
        <v>1202024</v>
      </c>
      <c r="B3265" s="12" t="str">
        <f t="array" ref="B3265">IF(A3265:A7306="","",_xlfn.XLOOKUP(A3265:A7306,'参照_武将'!A:A,'参照_武将'!B:B,"見つかりません"))</f>
      </c>
      <c r="C3265" s="4" t="s">
        <v>431</v>
      </c>
      <c r="D3265" s="4">
        <v>1</v>
      </c>
      <c r="E3265" s="12" t="str">
        <f t="array" ref="E3265">IF(D3265:D7306="","",IFERROR(_xlfn.XLOOKUP(D3265:D7306,'参照_勢力'!A:A,'参照_勢力'!B:B),IFERROR(_xlfn.XLOOKUP(F3265:F7306,kunishuClan!A:A,kunishuClan!B:B),"浪人")))</f>
      </c>
      <c r="F3265" s="4">
        <v>0</v>
      </c>
      <c r="G3265" s="4">
        <v>39</v>
      </c>
      <c r="H3265" s="12" t="str">
        <f t="array" ref="H3265">IF(G3265:G7306="","",_xlfn.XLOOKUP(G3265:G7306,castles_state!A:A,castles_state!D:D,"見つかりません"))</f>
      </c>
      <c r="I3265" s="4"/>
      <c r="J3265" s="12" t="str">
        <f t="array" ref="J3265">IF(I3265:I7306="","",_xlfn.XLOOKUP(I3265:I7306,'参照_姫'!A:A,'参照_姫'!B:B,"見つかりません"))</f>
      </c>
      <c r="K3265" s="4">
        <v>95</v>
      </c>
      <c r="L3265" s="4">
        <v>0</v>
      </c>
      <c r="M3265" s="4"/>
      <c r="N3265" s="4"/>
      <c r="O3265" s="4"/>
      <c r="P3265" s="12" t="str">
        <f t="array" ref="P3265">IF(O3265:O7306="","",_xlfn.XLOOKUP(O3265:O7306,'参照_官位'!A:A,'参照_官位'!B:B,""))</f>
      </c>
      <c r="Q3265" s="12" t="str">
        <f t="array" ref="Q3265">IF(A3265:A7306="","",IFERROR(_xlfn.XLOOKUP(A3265:A7306,castles_state!K:K,castles_state!D:D)&amp;"主",IFERROR(_xlfn.XLOOKUP(A3265:A7306,kunishuClan!D:D,kunishuClan!B:B)&amp;"当主","")))</f>
      </c>
    </row>
    <row r="3266" ht="15.75" customHeight="1">
      <c r="A3266" s="4">
        <v>1202025</v>
      </c>
      <c r="B3266" s="12" t="str">
        <f t="array" ref="B3266">IF(A3266:A7307="","",_xlfn.XLOOKUP(A3266:A7307,'参照_武将'!A:A,'参照_武将'!B:B,"見つかりません"))</f>
      </c>
      <c r="C3266" s="4" t="s">
        <v>431</v>
      </c>
      <c r="D3266" s="4">
        <v>1</v>
      </c>
      <c r="E3266" s="12" t="str">
        <f t="array" ref="E3266">IF(D3266:D7307="","",IFERROR(_xlfn.XLOOKUP(D3266:D7307,'参照_勢力'!A:A,'参照_勢力'!B:B),IFERROR(_xlfn.XLOOKUP(F3266:F7307,kunishuClan!A:A,kunishuClan!B:B),"浪人")))</f>
      </c>
      <c r="F3266" s="4">
        <v>0</v>
      </c>
      <c r="G3266" s="4">
        <v>39</v>
      </c>
      <c r="H3266" s="12" t="str">
        <f t="array" ref="H3266">IF(G3266:G7307="","",_xlfn.XLOOKUP(G3266:G7307,castles_state!A:A,castles_state!D:D,"見つかりません"))</f>
      </c>
      <c r="I3266" s="4"/>
      <c r="J3266" s="12" t="str">
        <f t="array" ref="J3266">IF(I3266:I7307="","",_xlfn.XLOOKUP(I3266:I7307,'参照_姫'!A:A,'参照_姫'!B:B,"見つかりません"))</f>
      </c>
      <c r="K3266" s="4">
        <v>95</v>
      </c>
      <c r="L3266" s="4">
        <v>0</v>
      </c>
      <c r="M3266" s="4"/>
      <c r="N3266" s="4"/>
      <c r="O3266" s="4"/>
      <c r="P3266" s="12" t="str">
        <f t="array" ref="P3266">IF(O3266:O7307="","",_xlfn.XLOOKUP(O3266:O7307,'参照_官位'!A:A,'参照_官位'!B:B,""))</f>
      </c>
      <c r="Q3266" s="12" t="str">
        <f t="array" ref="Q3266">IF(A3266:A7307="","",IFERROR(_xlfn.XLOOKUP(A3266:A7307,castles_state!K:K,castles_state!D:D)&amp;"主",IFERROR(_xlfn.XLOOKUP(A3266:A7307,kunishuClan!D:D,kunishuClan!B:B)&amp;"当主","")))</f>
      </c>
    </row>
    <row r="3267" ht="15.75" customHeight="1">
      <c r="A3267" s="4">
        <v>1202026</v>
      </c>
      <c r="B3267" s="12" t="str">
        <f t="array" ref="B3267">IF(A3267:A7308="","",_xlfn.XLOOKUP(A3267:A7308,'参照_武将'!A:A,'参照_武将'!B:B,"見つかりません"))</f>
      </c>
      <c r="C3267" s="4" t="s">
        <v>431</v>
      </c>
      <c r="D3267" s="4">
        <v>1</v>
      </c>
      <c r="E3267" s="12" t="str">
        <f t="array" ref="E3267">IF(D3267:D7308="","",IFERROR(_xlfn.XLOOKUP(D3267:D7308,'参照_勢力'!A:A,'参照_勢力'!B:B),IFERROR(_xlfn.XLOOKUP(F3267:F7308,kunishuClan!A:A,kunishuClan!B:B),"浪人")))</f>
      </c>
      <c r="F3267" s="4">
        <v>0</v>
      </c>
      <c r="G3267" s="4">
        <v>39</v>
      </c>
      <c r="H3267" s="12" t="str">
        <f t="array" ref="H3267">IF(G3267:G7308="","",_xlfn.XLOOKUP(G3267:G7308,castles_state!A:A,castles_state!D:D,"見つかりません"))</f>
      </c>
      <c r="I3267" s="4"/>
      <c r="J3267" s="12" t="str">
        <f t="array" ref="J3267">IF(I3267:I7308="","",_xlfn.XLOOKUP(I3267:I7308,'参照_姫'!A:A,'参照_姫'!B:B,"見つかりません"))</f>
      </c>
      <c r="K3267" s="4">
        <v>95</v>
      </c>
      <c r="L3267" s="4">
        <v>0</v>
      </c>
      <c r="M3267" s="4"/>
      <c r="N3267" s="4"/>
      <c r="O3267" s="4"/>
      <c r="P3267" s="12" t="str">
        <f t="array" ref="P3267">IF(O3267:O7308="","",_xlfn.XLOOKUP(O3267:O7308,'参照_官位'!A:A,'参照_官位'!B:B,""))</f>
      </c>
      <c r="Q3267" s="12" t="str">
        <f t="array" ref="Q3267">IF(A3267:A7308="","",IFERROR(_xlfn.XLOOKUP(A3267:A7308,castles_state!K:K,castles_state!D:D)&amp;"主",IFERROR(_xlfn.XLOOKUP(A3267:A7308,kunishuClan!D:D,kunishuClan!B:B)&amp;"当主","")))</f>
      </c>
    </row>
    <row r="3268" ht="15.75" customHeight="1">
      <c r="A3268" s="4">
        <v>1203001</v>
      </c>
      <c r="B3268" s="12" t="str">
        <f t="array" ref="B3268">IF(A3268:A7309="","",_xlfn.XLOOKUP(A3268:A7309,'参照_武将'!A:A,'参照_武将'!B:B,"見つかりません"))</f>
      </c>
      <c r="C3268" s="4" t="s">
        <v>434</v>
      </c>
      <c r="D3268" s="4">
        <v>20</v>
      </c>
      <c r="E3268" s="12" t="str">
        <f t="array" ref="E3268">IF(D3268:D7309="","",IFERROR(_xlfn.XLOOKUP(D3268:D7309,'参照_勢力'!A:A,'参照_勢力'!B:B),IFERROR(_xlfn.XLOOKUP(F3268:F7309,kunishuClan!A:A,kunishuClan!B:B),"浪人")))</f>
      </c>
      <c r="F3268" s="4">
        <v>0</v>
      </c>
      <c r="G3268" s="4">
        <v>51</v>
      </c>
      <c r="H3268" s="12" t="str">
        <f t="array" ref="H3268">IF(G3268:G7309="","",_xlfn.XLOOKUP(G3268:G7309,castles_state!A:A,castles_state!D:D,"見つかりません"))</f>
      </c>
      <c r="I3268" s="4"/>
      <c r="J3268" s="12" t="str">
        <f t="array" ref="J3268">IF(I3268:I7309="","",_xlfn.XLOOKUP(I3268:I7309,'参照_姫'!A:A,'参照_姫'!B:B,"見つかりません"))</f>
      </c>
      <c r="K3268" s="4">
        <v>100</v>
      </c>
      <c r="L3268" s="4">
        <v>0</v>
      </c>
      <c r="M3268" s="4"/>
      <c r="N3268" s="4"/>
      <c r="O3268" s="4"/>
      <c r="P3268" s="12" t="str">
        <f t="array" ref="P3268">IF(O3268:O7309="","",_xlfn.XLOOKUP(O3268:O7309,'参照_官位'!A:A,'参照_官位'!B:B,""))</f>
      </c>
      <c r="Q3268" s="12" t="str">
        <f t="array" ref="Q3268">IF(A3268:A7309="","",IFERROR(_xlfn.XLOOKUP(A3268:A7309,castles_state!K:K,castles_state!D:D)&amp;"主",IFERROR(_xlfn.XLOOKUP(A3268:A7309,kunishuClan!D:D,kunishuClan!B:B)&amp;"当主","")))</f>
      </c>
    </row>
    <row r="3269" ht="15.75" customHeight="1">
      <c r="A3269" s="4">
        <v>1203002</v>
      </c>
      <c r="B3269" s="12" t="str">
        <f t="array" ref="B3269">IF(A3269:A7310="","",_xlfn.XLOOKUP(A3269:A7310,'参照_武将'!A:A,'参照_武将'!B:B,"見つかりません"))</f>
      </c>
      <c r="C3269" s="4" t="s">
        <v>434</v>
      </c>
      <c r="D3269" s="4">
        <v>20</v>
      </c>
      <c r="E3269" s="12" t="str">
        <f t="array" ref="E3269">IF(D3269:D7310="","",IFERROR(_xlfn.XLOOKUP(D3269:D7310,'参照_勢力'!A:A,'参照_勢力'!B:B),IFERROR(_xlfn.XLOOKUP(F3269:F7310,kunishuClan!A:A,kunishuClan!B:B),"浪人")))</f>
      </c>
      <c r="F3269" s="4">
        <v>0</v>
      </c>
      <c r="G3269" s="4">
        <v>51</v>
      </c>
      <c r="H3269" s="12" t="str">
        <f t="array" ref="H3269">IF(G3269:G7310="","",_xlfn.XLOOKUP(G3269:G7310,castles_state!A:A,castles_state!D:D,"見つかりません"))</f>
      </c>
      <c r="I3269" s="4"/>
      <c r="J3269" s="12" t="str">
        <f t="array" ref="J3269">IF(I3269:I7310="","",_xlfn.XLOOKUP(I3269:I7310,'参照_姫'!A:A,'参照_姫'!B:B,"見つかりません"))</f>
      </c>
      <c r="K3269" s="4">
        <v>100</v>
      </c>
      <c r="L3269" s="4">
        <v>300</v>
      </c>
      <c r="M3269" s="4"/>
      <c r="N3269" s="4"/>
      <c r="O3269" s="4"/>
      <c r="P3269" s="12" t="str">
        <f t="array" ref="P3269">IF(O3269:O7310="","",_xlfn.XLOOKUP(O3269:O7310,'参照_官位'!A:A,'参照_官位'!B:B,""))</f>
      </c>
      <c r="Q3269" s="12" t="str">
        <f t="array" ref="Q3269">IF(A3269:A7310="","",IFERROR(_xlfn.XLOOKUP(A3269:A7310,castles_state!K:K,castles_state!D:D)&amp;"主",IFERROR(_xlfn.XLOOKUP(A3269:A7310,kunishuClan!D:D,kunishuClan!B:B)&amp;"当主","")))</f>
      </c>
    </row>
    <row r="3270" ht="15.75" customHeight="1">
      <c r="A3270" s="4">
        <v>1203003</v>
      </c>
      <c r="B3270" s="12" t="str">
        <f t="array" ref="B3270">IF(A3270:A7311="","",_xlfn.XLOOKUP(A3270:A7311,'参照_武将'!A:A,'参照_武将'!B:B,"見つかりません"))</f>
      </c>
      <c r="C3270" s="4" t="s">
        <v>434</v>
      </c>
      <c r="D3270" s="4">
        <v>203</v>
      </c>
      <c r="E3270" s="12" t="str">
        <f t="array" ref="E3270">IF(D3270:D7311="","",IFERROR(_xlfn.XLOOKUP(D3270:D7311,'参照_勢力'!A:A,'参照_勢力'!B:B),IFERROR(_xlfn.XLOOKUP(F3270:F7311,kunishuClan!A:A,kunishuClan!B:B),"浪人")))</f>
      </c>
      <c r="F3270" s="4">
        <v>0</v>
      </c>
      <c r="G3270" s="4">
        <v>51</v>
      </c>
      <c r="H3270" s="12" t="str">
        <f t="array" ref="H3270">IF(G3270:G7311="","",_xlfn.XLOOKUP(G3270:G7311,castles_state!A:A,castles_state!D:D,"見つかりません"))</f>
      </c>
      <c r="I3270" s="4"/>
      <c r="J3270" s="12" t="str">
        <f t="array" ref="J3270">IF(I3270:I7311="","",_xlfn.XLOOKUP(I3270:I7311,'参照_姫'!A:A,'参照_姫'!B:B,"見つかりません"))</f>
      </c>
      <c r="K3270" s="4">
        <v>100</v>
      </c>
      <c r="L3270" s="4">
        <v>1000</v>
      </c>
      <c r="M3270" s="4"/>
      <c r="N3270" s="4"/>
      <c r="O3270" s="4"/>
      <c r="P3270" s="12" t="str">
        <f t="array" ref="P3270">IF(O3270:O7311="","",_xlfn.XLOOKUP(O3270:O7311,'参照_官位'!A:A,'参照_官位'!B:B,""))</f>
      </c>
      <c r="Q3270" s="12" t="str">
        <f t="array" ref="Q3270">IF(A3270:A7311="","",IFERROR(_xlfn.XLOOKUP(A3270:A7311,castles_state!K:K,castles_state!D:D)&amp;"主",IFERROR(_xlfn.XLOOKUP(A3270:A7311,kunishuClan!D:D,kunishuClan!B:B)&amp;"当主","")))</f>
      </c>
    </row>
    <row r="3271" ht="15.75" customHeight="1">
      <c r="A3271" s="4">
        <v>1203004</v>
      </c>
      <c r="B3271" s="12" t="str">
        <f t="array" ref="B3271">IF(A3271:A7312="","",_xlfn.XLOOKUP(A3271:A7312,'参照_武将'!A:A,'参照_武将'!B:B,"見つかりません"))</f>
      </c>
      <c r="C3271" s="4" t="s">
        <v>434</v>
      </c>
      <c r="D3271" s="4">
        <v>203</v>
      </c>
      <c r="E3271" s="12" t="str">
        <f t="array" ref="E3271">IF(D3271:D7312="","",IFERROR(_xlfn.XLOOKUP(D3271:D7312,'参照_勢力'!A:A,'参照_勢力'!B:B),IFERROR(_xlfn.XLOOKUP(F3271:F7312,kunishuClan!A:A,kunishuClan!B:B),"浪人")))</f>
      </c>
      <c r="F3271" s="4">
        <v>0</v>
      </c>
      <c r="G3271" s="4">
        <v>51</v>
      </c>
      <c r="H3271" s="12" t="str">
        <f t="array" ref="H3271">IF(G3271:G7312="","",_xlfn.XLOOKUP(G3271:G7312,castles_state!A:A,castles_state!D:D,"見つかりません"))</f>
      </c>
      <c r="I3271" s="4"/>
      <c r="J3271" s="12" t="str">
        <f t="array" ref="J3271">IF(I3271:I7312="","",_xlfn.XLOOKUP(I3271:I7312,'参照_姫'!A:A,'参照_姫'!B:B,"見つかりません"))</f>
      </c>
      <c r="K3271" s="4">
        <v>85</v>
      </c>
      <c r="L3271" s="4">
        <v>0</v>
      </c>
      <c r="M3271" s="4"/>
      <c r="N3271" s="4"/>
      <c r="O3271" s="4"/>
      <c r="P3271" s="12" t="str">
        <f t="array" ref="P3271">IF(O3271:O7312="","",_xlfn.XLOOKUP(O3271:O7312,'参照_官位'!A:A,'参照_官位'!B:B,""))</f>
      </c>
      <c r="Q3271" s="12" t="str">
        <f t="array" ref="Q3271">IF(A3271:A7312="","",IFERROR(_xlfn.XLOOKUP(A3271:A7312,castles_state!K:K,castles_state!D:D)&amp;"主",IFERROR(_xlfn.XLOOKUP(A3271:A7312,kunishuClan!D:D,kunishuClan!B:B)&amp;"当主","")))</f>
      </c>
    </row>
    <row r="3272" ht="15.75" customHeight="1">
      <c r="A3272" s="4">
        <v>1203005</v>
      </c>
      <c r="B3272" s="12" t="str">
        <f t="array" ref="B3272">IF(A3272:A7313="","",_xlfn.XLOOKUP(A3272:A7313,'参照_武将'!A:A,'参照_武将'!B:B,"見つかりません"))</f>
      </c>
      <c r="C3272" s="4" t="s">
        <v>434</v>
      </c>
      <c r="D3272" s="4">
        <v>20</v>
      </c>
      <c r="E3272" s="12" t="str">
        <f t="array" ref="E3272">IF(D3272:D7313="","",IFERROR(_xlfn.XLOOKUP(D3272:D7313,'参照_勢力'!A:A,'参照_勢力'!B:B),IFERROR(_xlfn.XLOOKUP(F3272:F7313,kunishuClan!A:A,kunishuClan!B:B),"浪人")))</f>
      </c>
      <c r="F3272" s="4">
        <v>0</v>
      </c>
      <c r="G3272" s="4">
        <v>51</v>
      </c>
      <c r="H3272" s="12" t="str">
        <f t="array" ref="H3272">IF(G3272:G7313="","",_xlfn.XLOOKUP(G3272:G7313,castles_state!A:A,castles_state!D:D,"見つかりません"))</f>
      </c>
      <c r="I3272" s="4"/>
      <c r="J3272" s="12" t="str">
        <f t="array" ref="J3272">IF(I3272:I7313="","",_xlfn.XLOOKUP(I3272:I7313,'参照_姫'!A:A,'参照_姫'!B:B,"見つかりません"))</f>
      </c>
      <c r="K3272" s="4">
        <v>100</v>
      </c>
      <c r="L3272" s="4">
        <v>0</v>
      </c>
      <c r="M3272" s="4"/>
      <c r="N3272" s="4"/>
      <c r="O3272" s="4"/>
      <c r="P3272" s="12" t="str">
        <f t="array" ref="P3272">IF(O3272:O7313="","",_xlfn.XLOOKUP(O3272:O7313,'参照_官位'!A:A,'参照_官位'!B:B,""))</f>
      </c>
      <c r="Q3272" s="12" t="str">
        <f t="array" ref="Q3272">IF(A3272:A7313="","",IFERROR(_xlfn.XLOOKUP(A3272:A7313,castles_state!K:K,castles_state!D:D)&amp;"主",IFERROR(_xlfn.XLOOKUP(A3272:A7313,kunishuClan!D:D,kunishuClan!B:B)&amp;"当主","")))</f>
      </c>
    </row>
    <row r="3273" ht="15.75" customHeight="1">
      <c r="A3273" s="4">
        <v>1203006</v>
      </c>
      <c r="B3273" s="12" t="str">
        <f t="array" ref="B3273">IF(A3273:A7314="","",_xlfn.XLOOKUP(A3273:A7314,'参照_武将'!A:A,'参照_武将'!B:B,"見つかりません"))</f>
      </c>
      <c r="C3273" s="4" t="s">
        <v>434</v>
      </c>
      <c r="D3273" s="4">
        <v>203</v>
      </c>
      <c r="E3273" s="12" t="str">
        <f t="array" ref="E3273">IF(D3273:D7314="","",IFERROR(_xlfn.XLOOKUP(D3273:D7314,'参照_勢力'!A:A,'参照_勢力'!B:B),IFERROR(_xlfn.XLOOKUP(F3273:F7314,kunishuClan!A:A,kunishuClan!B:B),"浪人")))</f>
      </c>
      <c r="F3273" s="4">
        <v>0</v>
      </c>
      <c r="G3273" s="4">
        <v>51</v>
      </c>
      <c r="H3273" s="12" t="str">
        <f t="array" ref="H3273">IF(G3273:G7314="","",_xlfn.XLOOKUP(G3273:G7314,castles_state!A:A,castles_state!D:D,"見つかりません"))</f>
      </c>
      <c r="I3273" s="4"/>
      <c r="J3273" s="12" t="str">
        <f t="array" ref="J3273">IF(I3273:I7314="","",_xlfn.XLOOKUP(I3273:I7314,'参照_姫'!A:A,'参照_姫'!B:B,"見つかりません"))</f>
      </c>
      <c r="K3273" s="4">
        <v>85</v>
      </c>
      <c r="L3273" s="4">
        <v>0</v>
      </c>
      <c r="M3273" s="4" t="b">
        <v>1</v>
      </c>
      <c r="N3273" s="4"/>
      <c r="O3273" s="4"/>
      <c r="P3273" s="12" t="str">
        <f t="array" ref="P3273">IF(O3273:O7314="","",_xlfn.XLOOKUP(O3273:O7314,'参照_官位'!A:A,'参照_官位'!B:B,""))</f>
      </c>
      <c r="Q3273" s="12" t="str">
        <f t="array" ref="Q3273">IF(A3273:A7314="","",IFERROR(_xlfn.XLOOKUP(A3273:A7314,castles_state!K:K,castles_state!D:D)&amp;"主",IFERROR(_xlfn.XLOOKUP(A3273:A7314,kunishuClan!D:D,kunishuClan!B:B)&amp;"当主","")))</f>
      </c>
    </row>
    <row r="3274" ht="15.75" customHeight="1">
      <c r="A3274" s="4">
        <v>1203007</v>
      </c>
      <c r="B3274" s="12" t="str">
        <f t="array" ref="B3274">IF(A3274:A7315="","",_xlfn.XLOOKUP(A3274:A7315,'参照_武将'!A:A,'参照_武将'!B:B,"見つかりません"))</f>
      </c>
      <c r="C3274" s="4" t="s">
        <v>434</v>
      </c>
      <c r="D3274" s="4">
        <v>20</v>
      </c>
      <c r="E3274" s="12" t="str">
        <f t="array" ref="E3274">IF(D3274:D7315="","",IFERROR(_xlfn.XLOOKUP(D3274:D7315,'参照_勢力'!A:A,'参照_勢力'!B:B),IFERROR(_xlfn.XLOOKUP(F3274:F7315,kunishuClan!A:A,kunishuClan!B:B),"浪人")))</f>
      </c>
      <c r="F3274" s="4">
        <v>0</v>
      </c>
      <c r="G3274" s="4">
        <v>51</v>
      </c>
      <c r="H3274" s="12" t="str">
        <f t="array" ref="H3274">IF(G3274:G7315="","",_xlfn.XLOOKUP(G3274:G7315,castles_state!A:A,castles_state!D:D,"見つかりません"))</f>
      </c>
      <c r="I3274" s="4"/>
      <c r="J3274" s="12" t="str">
        <f t="array" ref="J3274">IF(I3274:I7315="","",_xlfn.XLOOKUP(I3274:I7315,'参照_姫'!A:A,'参照_姫'!B:B,"見つかりません"))</f>
      </c>
      <c r="K3274" s="4">
        <v>100</v>
      </c>
      <c r="L3274" s="4">
        <v>0</v>
      </c>
      <c r="M3274" s="4"/>
      <c r="N3274" s="4"/>
      <c r="O3274" s="4"/>
      <c r="P3274" s="12" t="str">
        <f t="array" ref="P3274">IF(O3274:O7315="","",_xlfn.XLOOKUP(O3274:O7315,'参照_官位'!A:A,'参照_官位'!B:B,""))</f>
      </c>
      <c r="Q3274" s="12" t="str">
        <f t="array" ref="Q3274">IF(A3274:A7315="","",IFERROR(_xlfn.XLOOKUP(A3274:A7315,castles_state!K:K,castles_state!D:D)&amp;"主",IFERROR(_xlfn.XLOOKUP(A3274:A7315,kunishuClan!D:D,kunishuClan!B:B)&amp;"当主","")))</f>
      </c>
    </row>
    <row r="3275" ht="15.75" customHeight="1">
      <c r="A3275" s="4">
        <v>1203008</v>
      </c>
      <c r="B3275" s="12" t="str">
        <f t="array" ref="B3275">IF(A3275:A7316="","",_xlfn.XLOOKUP(A3275:A7316,'参照_武将'!A:A,'参照_武将'!B:B,"見つかりません"))</f>
      </c>
      <c r="C3275" s="4" t="s">
        <v>434</v>
      </c>
      <c r="D3275" s="4">
        <v>203</v>
      </c>
      <c r="E3275" s="12" t="str">
        <f t="array" ref="E3275">IF(D3275:D7316="","",IFERROR(_xlfn.XLOOKUP(D3275:D7316,'参照_勢力'!A:A,'参照_勢力'!B:B),IFERROR(_xlfn.XLOOKUP(F3275:F7316,kunishuClan!A:A,kunishuClan!B:B),"浪人")))</f>
      </c>
      <c r="F3275" s="4">
        <v>0</v>
      </c>
      <c r="G3275" s="4">
        <v>51</v>
      </c>
      <c r="H3275" s="12" t="str">
        <f t="array" ref="H3275">IF(G3275:G7316="","",_xlfn.XLOOKUP(G3275:G7316,castles_state!A:A,castles_state!D:D,"見つかりません"))</f>
      </c>
      <c r="I3275" s="4"/>
      <c r="J3275" s="12" t="str">
        <f t="array" ref="J3275">IF(I3275:I7316="","",_xlfn.XLOOKUP(I3275:I7316,'参照_姫'!A:A,'参照_姫'!B:B,"見つかりません"))</f>
      </c>
      <c r="K3275" s="4">
        <v>90</v>
      </c>
      <c r="L3275" s="4">
        <v>0</v>
      </c>
      <c r="M3275" s="4"/>
      <c r="N3275" s="4"/>
      <c r="O3275" s="4"/>
      <c r="P3275" s="12" t="str">
        <f t="array" ref="P3275">IF(O3275:O7316="","",_xlfn.XLOOKUP(O3275:O7316,'参照_官位'!A:A,'参照_官位'!B:B,""))</f>
      </c>
      <c r="Q3275" s="12" t="str">
        <f t="array" ref="Q3275">IF(A3275:A7316="","",IFERROR(_xlfn.XLOOKUP(A3275:A7316,castles_state!K:K,castles_state!D:D)&amp;"主",IFERROR(_xlfn.XLOOKUP(A3275:A7316,kunishuClan!D:D,kunishuClan!B:B)&amp;"当主","")))</f>
      </c>
    </row>
    <row r="3276" ht="15.75" customHeight="1">
      <c r="A3276" s="4">
        <v>1203009</v>
      </c>
      <c r="B3276" s="12" t="str">
        <f t="array" ref="B3276">IF(A3276:A7317="","",_xlfn.XLOOKUP(A3276:A7317,'参照_武将'!A:A,'参照_武将'!B:B,"見つかりません"))</f>
      </c>
      <c r="C3276" s="4" t="s">
        <v>434</v>
      </c>
      <c r="D3276" s="4">
        <v>20</v>
      </c>
      <c r="E3276" s="12" t="str">
        <f t="array" ref="E3276">IF(D3276:D7317="","",IFERROR(_xlfn.XLOOKUP(D3276:D7317,'参照_勢力'!A:A,'参照_勢力'!B:B),IFERROR(_xlfn.XLOOKUP(F3276:F7317,kunishuClan!A:A,kunishuClan!B:B),"浪人")))</f>
      </c>
      <c r="F3276" s="4">
        <v>0</v>
      </c>
      <c r="G3276" s="4">
        <v>87</v>
      </c>
      <c r="H3276" s="12" t="str">
        <f t="array" ref="H3276">IF(G3276:G7317="","",_xlfn.XLOOKUP(G3276:G7317,castles_state!A:A,castles_state!D:D,"見つかりません"))</f>
      </c>
      <c r="I3276" s="4"/>
      <c r="J3276" s="12" t="str">
        <f t="array" ref="J3276">IF(I3276:I7317="","",_xlfn.XLOOKUP(I3276:I7317,'参照_姫'!A:A,'参照_姫'!B:B,"見つかりません"))</f>
      </c>
      <c r="K3276" s="4">
        <v>95</v>
      </c>
      <c r="L3276" s="4">
        <v>0</v>
      </c>
      <c r="M3276" s="4"/>
      <c r="N3276" s="4"/>
      <c r="O3276" s="4"/>
      <c r="P3276" s="12" t="str">
        <f t="array" ref="P3276">IF(O3276:O7317="","",_xlfn.XLOOKUP(O3276:O7317,'参照_官位'!A:A,'参照_官位'!B:B,""))</f>
      </c>
      <c r="Q3276" s="12" t="str">
        <f t="array" ref="Q3276">IF(A3276:A7317="","",IFERROR(_xlfn.XLOOKUP(A3276:A7317,castles_state!K:K,castles_state!D:D)&amp;"主",IFERROR(_xlfn.XLOOKUP(A3276:A7317,kunishuClan!D:D,kunishuClan!B:B)&amp;"当主","")))</f>
      </c>
    </row>
    <row r="3277" ht="15.75" customHeight="1">
      <c r="A3277" s="4">
        <v>1203010</v>
      </c>
      <c r="B3277" s="12" t="str">
        <f t="array" ref="B3277">IF(A3277:A7318="","",_xlfn.XLOOKUP(A3277:A7318,'参照_武将'!A:A,'参照_武将'!B:B,"見つかりません"))</f>
      </c>
      <c r="C3277" s="4" t="s">
        <v>434</v>
      </c>
      <c r="D3277" s="4">
        <v>203</v>
      </c>
      <c r="E3277" s="12" t="str">
        <f t="array" ref="E3277">IF(D3277:D7318="","",IFERROR(_xlfn.XLOOKUP(D3277:D7318,'参照_勢力'!A:A,'参照_勢力'!B:B),IFERROR(_xlfn.XLOOKUP(F3277:F7318,kunishuClan!A:A,kunishuClan!B:B),"浪人")))</f>
      </c>
      <c r="F3277" s="4">
        <v>0</v>
      </c>
      <c r="G3277" s="4">
        <v>51</v>
      </c>
      <c r="H3277" s="12" t="str">
        <f t="array" ref="H3277">IF(G3277:G7318="","",_xlfn.XLOOKUP(G3277:G7318,castles_state!A:A,castles_state!D:D,"見つかりません"))</f>
      </c>
      <c r="I3277" s="4"/>
      <c r="J3277" s="12" t="str">
        <f t="array" ref="J3277">IF(I3277:I7318="","",_xlfn.XLOOKUP(I3277:I7318,'参照_姫'!A:A,'参照_姫'!B:B,"見つかりません"))</f>
      </c>
      <c r="K3277" s="4">
        <v>95</v>
      </c>
      <c r="L3277" s="4">
        <v>0</v>
      </c>
      <c r="M3277" s="4"/>
      <c r="N3277" s="4"/>
      <c r="O3277" s="4"/>
      <c r="P3277" s="12" t="str">
        <f t="array" ref="P3277">IF(O3277:O7318="","",_xlfn.XLOOKUP(O3277:O7318,'参照_官位'!A:A,'参照_官位'!B:B,""))</f>
      </c>
      <c r="Q3277" s="12" t="str">
        <f t="array" ref="Q3277">IF(A3277:A7318="","",IFERROR(_xlfn.XLOOKUP(A3277:A7318,castles_state!K:K,castles_state!D:D)&amp;"主",IFERROR(_xlfn.XLOOKUP(A3277:A7318,kunishuClan!D:D,kunishuClan!B:B)&amp;"当主","")))</f>
      </c>
    </row>
    <row r="3278" ht="15.75" customHeight="1">
      <c r="A3278" s="4">
        <v>1203011</v>
      </c>
      <c r="B3278" s="12" t="str">
        <f t="array" ref="B3278">IF(A3278:A7319="","",_xlfn.XLOOKUP(A3278:A7319,'参照_武将'!A:A,'参照_武将'!B:B,"見つかりません"))</f>
      </c>
      <c r="C3278" s="4" t="s">
        <v>434</v>
      </c>
      <c r="D3278" s="4">
        <v>203</v>
      </c>
      <c r="E3278" s="12" t="str">
        <f t="array" ref="E3278">IF(D3278:D7319="","",IFERROR(_xlfn.XLOOKUP(D3278:D7319,'参照_勢力'!A:A,'参照_勢力'!B:B),IFERROR(_xlfn.XLOOKUP(F3278:F7319,kunishuClan!A:A,kunishuClan!B:B),"浪人")))</f>
      </c>
      <c r="F3278" s="4">
        <v>0</v>
      </c>
      <c r="G3278" s="4">
        <v>51</v>
      </c>
      <c r="H3278" s="12" t="str">
        <f t="array" ref="H3278">IF(G3278:G7319="","",_xlfn.XLOOKUP(G3278:G7319,castles_state!A:A,castles_state!D:D,"見つかりません"))</f>
      </c>
      <c r="I3278" s="4"/>
      <c r="J3278" s="12" t="str">
        <f t="array" ref="J3278">IF(I3278:I7319="","",_xlfn.XLOOKUP(I3278:I7319,'参照_姫'!A:A,'参照_姫'!B:B,"見つかりません"))</f>
      </c>
      <c r="K3278" s="4">
        <v>95</v>
      </c>
      <c r="L3278" s="4">
        <v>0</v>
      </c>
      <c r="M3278" s="4"/>
      <c r="N3278" s="4"/>
      <c r="O3278" s="4"/>
      <c r="P3278" s="12" t="str">
        <f t="array" ref="P3278">IF(O3278:O7319="","",_xlfn.XLOOKUP(O3278:O7319,'参照_官位'!A:A,'参照_官位'!B:B,""))</f>
      </c>
      <c r="Q3278" s="12" t="str">
        <f t="array" ref="Q3278">IF(A3278:A7319="","",IFERROR(_xlfn.XLOOKUP(A3278:A7319,castles_state!K:K,castles_state!D:D)&amp;"主",IFERROR(_xlfn.XLOOKUP(A3278:A7319,kunishuClan!D:D,kunishuClan!B:B)&amp;"当主","")))</f>
      </c>
    </row>
    <row r="3279" ht="15.75" customHeight="1">
      <c r="A3279" s="4">
        <v>1203012</v>
      </c>
      <c r="B3279" s="12" t="str">
        <f t="array" ref="B3279">IF(A3279:A7320="","",_xlfn.XLOOKUP(A3279:A7320,'参照_武将'!A:A,'参照_武将'!B:B,"見つかりません"))</f>
      </c>
      <c r="C3279" s="4" t="s">
        <v>434</v>
      </c>
      <c r="D3279" s="4">
        <v>20</v>
      </c>
      <c r="E3279" s="12" t="str">
        <f t="array" ref="E3279">IF(D3279:D7320="","",IFERROR(_xlfn.XLOOKUP(D3279:D7320,'参照_勢力'!A:A,'参照_勢力'!B:B),IFERROR(_xlfn.XLOOKUP(F3279:F7320,kunishuClan!A:A,kunishuClan!B:B),"浪人")))</f>
      </c>
      <c r="F3279" s="4">
        <v>0</v>
      </c>
      <c r="G3279" s="4">
        <v>51</v>
      </c>
      <c r="H3279" s="12" t="str">
        <f t="array" ref="H3279">IF(G3279:G7320="","",_xlfn.XLOOKUP(G3279:G7320,castles_state!A:A,castles_state!D:D,"見つかりません"))</f>
      </c>
      <c r="I3279" s="4"/>
      <c r="J3279" s="12" t="str">
        <f t="array" ref="J3279">IF(I3279:I7320="","",_xlfn.XLOOKUP(I3279:I7320,'参照_姫'!A:A,'参照_姫'!B:B,"見つかりません"))</f>
      </c>
      <c r="K3279" s="4">
        <v>95</v>
      </c>
      <c r="L3279" s="4">
        <v>0</v>
      </c>
      <c r="M3279" s="4"/>
      <c r="N3279" s="4"/>
      <c r="O3279" s="4"/>
      <c r="P3279" s="12" t="str">
        <f t="array" ref="P3279">IF(O3279:O7320="","",_xlfn.XLOOKUP(O3279:O7320,'参照_官位'!A:A,'参照_官位'!B:B,""))</f>
      </c>
      <c r="Q3279" s="12" t="str">
        <f t="array" ref="Q3279">IF(A3279:A7320="","",IFERROR(_xlfn.XLOOKUP(A3279:A7320,castles_state!K:K,castles_state!D:D)&amp;"主",IFERROR(_xlfn.XLOOKUP(A3279:A7320,kunishuClan!D:D,kunishuClan!B:B)&amp;"当主","")))</f>
      </c>
    </row>
    <row r="3280" ht="15.75" customHeight="1">
      <c r="A3280" s="4">
        <v>1203013</v>
      </c>
      <c r="B3280" s="12" t="str">
        <f t="array" ref="B3280">IF(A3280:A7321="","",_xlfn.XLOOKUP(A3280:A7321,'参照_武将'!A:A,'参照_武将'!B:B,"見つかりません"))</f>
      </c>
      <c r="C3280" s="4" t="s">
        <v>434</v>
      </c>
      <c r="D3280" s="4">
        <v>203</v>
      </c>
      <c r="E3280" s="12" t="str">
        <f t="array" ref="E3280">IF(D3280:D7321="","",IFERROR(_xlfn.XLOOKUP(D3280:D7321,'参照_勢力'!A:A,'参照_勢力'!B:B),IFERROR(_xlfn.XLOOKUP(F3280:F7321,kunishuClan!A:A,kunishuClan!B:B),"浪人")))</f>
      </c>
      <c r="F3280" s="4">
        <v>0</v>
      </c>
      <c r="G3280" s="4">
        <v>51</v>
      </c>
      <c r="H3280" s="12" t="str">
        <f t="array" ref="H3280">IF(G3280:G7321="","",_xlfn.XLOOKUP(G3280:G7321,castles_state!A:A,castles_state!D:D,"見つかりません"))</f>
      </c>
      <c r="I3280" s="4"/>
      <c r="J3280" s="12" t="str">
        <f t="array" ref="J3280">IF(I3280:I7321="","",_xlfn.XLOOKUP(I3280:I7321,'参照_姫'!A:A,'参照_姫'!B:B,"見つかりません"))</f>
      </c>
      <c r="K3280" s="4">
        <v>85</v>
      </c>
      <c r="L3280" s="4">
        <v>0</v>
      </c>
      <c r="M3280" s="4"/>
      <c r="N3280" s="4"/>
      <c r="O3280" s="4"/>
      <c r="P3280" s="12" t="str">
        <f t="array" ref="P3280">IF(O3280:O7321="","",_xlfn.XLOOKUP(O3280:O7321,'参照_官位'!A:A,'参照_官位'!B:B,""))</f>
      </c>
      <c r="Q3280" s="12" t="str">
        <f t="array" ref="Q3280">IF(A3280:A7321="","",IFERROR(_xlfn.XLOOKUP(A3280:A7321,castles_state!K:K,castles_state!D:D)&amp;"主",IFERROR(_xlfn.XLOOKUP(A3280:A7321,kunishuClan!D:D,kunishuClan!B:B)&amp;"当主","")))</f>
      </c>
    </row>
    <row r="3281" ht="15.75" customHeight="1">
      <c r="A3281" s="4">
        <v>1203014</v>
      </c>
      <c r="B3281" s="12" t="str">
        <f t="array" ref="B3281">IF(A3281:A7322="","",_xlfn.XLOOKUP(A3281:A7322,'参照_武将'!A:A,'参照_武将'!B:B,"見つかりません"))</f>
      </c>
      <c r="C3281" s="4" t="s">
        <v>434</v>
      </c>
      <c r="D3281" s="4">
        <v>20</v>
      </c>
      <c r="E3281" s="12" t="str">
        <f t="array" ref="E3281">IF(D3281:D7322="","",IFERROR(_xlfn.XLOOKUP(D3281:D7322,'参照_勢力'!A:A,'参照_勢力'!B:B),IFERROR(_xlfn.XLOOKUP(F3281:F7322,kunishuClan!A:A,kunishuClan!B:B),"浪人")))</f>
      </c>
      <c r="F3281" s="4">
        <v>0</v>
      </c>
      <c r="G3281" s="4">
        <v>51</v>
      </c>
      <c r="H3281" s="12" t="str">
        <f t="array" ref="H3281">IF(G3281:G7322="","",_xlfn.XLOOKUP(G3281:G7322,castles_state!A:A,castles_state!D:D,"見つかりません"))</f>
      </c>
      <c r="I3281" s="4"/>
      <c r="J3281" s="12" t="str">
        <f t="array" ref="J3281">IF(I3281:I7322="","",_xlfn.XLOOKUP(I3281:I7322,'参照_姫'!A:A,'参照_姫'!B:B,"見つかりません"))</f>
      </c>
      <c r="K3281" s="4">
        <v>95</v>
      </c>
      <c r="L3281" s="4">
        <v>0</v>
      </c>
      <c r="M3281" s="4"/>
      <c r="N3281" s="4"/>
      <c r="O3281" s="4"/>
      <c r="P3281" s="12" t="str">
        <f t="array" ref="P3281">IF(O3281:O7322="","",_xlfn.XLOOKUP(O3281:O7322,'参照_官位'!A:A,'参照_官位'!B:B,""))</f>
      </c>
      <c r="Q3281" s="12" t="str">
        <f t="array" ref="Q3281">IF(A3281:A7322="","",IFERROR(_xlfn.XLOOKUP(A3281:A7322,castles_state!K:K,castles_state!D:D)&amp;"主",IFERROR(_xlfn.XLOOKUP(A3281:A7322,kunishuClan!D:D,kunishuClan!B:B)&amp;"当主","")))</f>
      </c>
    </row>
    <row r="3282" ht="15.75" customHeight="1">
      <c r="A3282" s="4">
        <v>1203015</v>
      </c>
      <c r="B3282" s="12" t="str">
        <f t="array" ref="B3282">IF(A3282:A7323="","",_xlfn.XLOOKUP(A3282:A7323,'参照_武将'!A:A,'参照_武将'!B:B,"見つかりません"))</f>
      </c>
      <c r="C3282" s="4" t="s">
        <v>434</v>
      </c>
      <c r="D3282" s="4">
        <v>20</v>
      </c>
      <c r="E3282" s="12" t="str">
        <f t="array" ref="E3282">IF(D3282:D7323="","",IFERROR(_xlfn.XLOOKUP(D3282:D7323,'参照_勢力'!A:A,'参照_勢力'!B:B),IFERROR(_xlfn.XLOOKUP(F3282:F7323,kunishuClan!A:A,kunishuClan!B:B),"浪人")))</f>
      </c>
      <c r="F3282" s="4">
        <v>0</v>
      </c>
      <c r="G3282" s="4">
        <v>51</v>
      </c>
      <c r="H3282" s="12" t="str">
        <f t="array" ref="H3282">IF(G3282:G7323="","",_xlfn.XLOOKUP(G3282:G7323,castles_state!A:A,castles_state!D:D,"見つかりません"))</f>
      </c>
      <c r="I3282" s="4"/>
      <c r="J3282" s="12" t="str">
        <f t="array" ref="J3282">IF(I3282:I7323="","",_xlfn.XLOOKUP(I3282:I7323,'参照_姫'!A:A,'参照_姫'!B:B,"見つかりません"))</f>
      </c>
      <c r="K3282" s="4">
        <v>95</v>
      </c>
      <c r="L3282" s="4">
        <v>0</v>
      </c>
      <c r="M3282" s="4"/>
      <c r="N3282" s="4"/>
      <c r="O3282" s="4"/>
      <c r="P3282" s="12" t="str">
        <f t="array" ref="P3282">IF(O3282:O7323="","",_xlfn.XLOOKUP(O3282:O7323,'参照_官位'!A:A,'参照_官位'!B:B,""))</f>
      </c>
      <c r="Q3282" s="12" t="str">
        <f t="array" ref="Q3282">IF(A3282:A7323="","",IFERROR(_xlfn.XLOOKUP(A3282:A7323,castles_state!K:K,castles_state!D:D)&amp;"主",IFERROR(_xlfn.XLOOKUP(A3282:A7323,kunishuClan!D:D,kunishuClan!B:B)&amp;"当主","")))</f>
      </c>
    </row>
    <row r="3283" ht="15.75" customHeight="1">
      <c r="A3283" s="4">
        <v>1203016</v>
      </c>
      <c r="B3283" s="12" t="str">
        <f t="array" ref="B3283">IF(A3283:A7324="","",_xlfn.XLOOKUP(A3283:A7324,'参照_武将'!A:A,'参照_武将'!B:B,"見つかりません"))</f>
      </c>
      <c r="C3283" s="4" t="s">
        <v>434</v>
      </c>
      <c r="D3283" s="4">
        <v>20</v>
      </c>
      <c r="E3283" s="12" t="str">
        <f t="array" ref="E3283">IF(D3283:D7324="","",IFERROR(_xlfn.XLOOKUP(D3283:D7324,'参照_勢力'!A:A,'参照_勢力'!B:B),IFERROR(_xlfn.XLOOKUP(F3283:F7324,kunishuClan!A:A,kunishuClan!B:B),"浪人")))</f>
      </c>
      <c r="F3283" s="4">
        <v>0</v>
      </c>
      <c r="G3283" s="4">
        <v>51</v>
      </c>
      <c r="H3283" s="12" t="str">
        <f t="array" ref="H3283">IF(G3283:G7324="","",_xlfn.XLOOKUP(G3283:G7324,castles_state!A:A,castles_state!D:D,"見つかりません"))</f>
      </c>
      <c r="I3283" s="4"/>
      <c r="J3283" s="12" t="str">
        <f t="array" ref="J3283">IF(I3283:I7324="","",_xlfn.XLOOKUP(I3283:I7324,'参照_姫'!A:A,'参照_姫'!B:B,"見つかりません"))</f>
      </c>
      <c r="K3283" s="4">
        <v>95</v>
      </c>
      <c r="L3283" s="4">
        <v>0</v>
      </c>
      <c r="M3283" s="4"/>
      <c r="N3283" s="4"/>
      <c r="O3283" s="4"/>
      <c r="P3283" s="12" t="str">
        <f t="array" ref="P3283">IF(O3283:O7324="","",_xlfn.XLOOKUP(O3283:O7324,'参照_官位'!A:A,'参照_官位'!B:B,""))</f>
      </c>
      <c r="Q3283" s="12" t="str">
        <f t="array" ref="Q3283">IF(A3283:A7324="","",IFERROR(_xlfn.XLOOKUP(A3283:A7324,castles_state!K:K,castles_state!D:D)&amp;"主",IFERROR(_xlfn.XLOOKUP(A3283:A7324,kunishuClan!D:D,kunishuClan!B:B)&amp;"当主","")))</f>
      </c>
    </row>
    <row r="3284" ht="15.75" customHeight="1">
      <c r="A3284" s="4">
        <v>1204001</v>
      </c>
      <c r="B3284" s="12" t="str">
        <f t="array" ref="B3284">IF(A3284:A7327="","",_xlfn.XLOOKUP(A3284:A7327,'参照_武将'!A:A,'参照_武将'!B:B,"見つかりません"))</f>
      </c>
      <c r="C3284" s="4" t="s">
        <v>439</v>
      </c>
      <c r="D3284" s="4">
        <v>53</v>
      </c>
      <c r="E3284" s="12" t="str">
        <f t="array" ref="E3284">IF(D3284:D7327="","",IFERROR(_xlfn.XLOOKUP(D3284:D7327,'参照_勢力'!A:A,'参照_勢力'!B:B),IFERROR(_xlfn.XLOOKUP(F3284:F7327,kunishuClan!A:A,kunishuClan!B:B),"浪人")))</f>
      </c>
      <c r="F3284" s="4">
        <v>0</v>
      </c>
      <c r="G3284" s="4">
        <v>148</v>
      </c>
      <c r="H3284" s="12" t="str">
        <f t="array" ref="H3284">IF(G3284:G7327="","",_xlfn.XLOOKUP(G3284:G7327,castles_state!A:A,castles_state!D:D,"見つかりません"))</f>
      </c>
      <c r="I3284" s="4"/>
      <c r="J3284" s="12" t="str">
        <f t="array" ref="J3284">IF(I3284:I7327="","",_xlfn.XLOOKUP(I3284:I7327,'参照_姫'!A:A,'参照_姫'!B:B,"見つかりません"))</f>
      </c>
      <c r="K3284" s="4">
        <v>95</v>
      </c>
      <c r="L3284" s="4">
        <v>0</v>
      </c>
      <c r="M3284" s="4"/>
      <c r="N3284" s="4"/>
      <c r="O3284" s="4"/>
      <c r="P3284" s="12" t="str">
        <f t="array" ref="P3284">IF(O3284:O7327="","",_xlfn.XLOOKUP(O3284:O7327,'参照_官位'!A:A,'参照_官位'!B:B,""))</f>
      </c>
      <c r="Q3284" s="12" t="str">
        <f t="array" ref="Q3284">IF(A3284:A7327="","",IFERROR(_xlfn.XLOOKUP(A3284:A7327,castles_state!K:K,castles_state!D:D)&amp;"主",IFERROR(_xlfn.XLOOKUP(A3284:A7327,kunishuClan!D:D,kunishuClan!B:B)&amp;"当主","")))</f>
      </c>
    </row>
    <row r="3285" ht="15.75" customHeight="1">
      <c r="A3285" s="4">
        <v>1204002</v>
      </c>
      <c r="B3285" s="12" t="str">
        <f t="array" ref="B3285">IF(A3285:A7328="","",_xlfn.XLOOKUP(A3285:A7328,'参照_武将'!A:A,'参照_武将'!B:B,"見つかりません"))</f>
      </c>
      <c r="C3285" s="4" t="s">
        <v>439</v>
      </c>
      <c r="D3285" s="4">
        <v>53</v>
      </c>
      <c r="E3285" s="12" t="str">
        <f t="array" ref="E3285">IF(D3285:D7328="","",IFERROR(_xlfn.XLOOKUP(D3285:D7328,'参照_勢力'!A:A,'参照_勢力'!B:B),IFERROR(_xlfn.XLOOKUP(F3285:F7328,kunishuClan!A:A,kunishuClan!B:B),"浪人")))</f>
      </c>
      <c r="F3285" s="4">
        <v>0</v>
      </c>
      <c r="G3285" s="4">
        <v>148</v>
      </c>
      <c r="H3285" s="12" t="str">
        <f t="array" ref="H3285">IF(G3285:G7328="","",_xlfn.XLOOKUP(G3285:G7328,castles_state!A:A,castles_state!D:D,"見つかりません"))</f>
      </c>
      <c r="I3285" s="4"/>
      <c r="J3285" s="12" t="str">
        <f t="array" ref="J3285">IF(I3285:I7328="","",_xlfn.XLOOKUP(I3285:I7328,'参照_姫'!A:A,'参照_姫'!B:B,"見つかりません"))</f>
      </c>
      <c r="K3285" s="4">
        <v>95</v>
      </c>
      <c r="L3285" s="4">
        <v>0</v>
      </c>
      <c r="M3285" s="4"/>
      <c r="N3285" s="4"/>
      <c r="O3285" s="4"/>
      <c r="P3285" s="12" t="str">
        <f t="array" ref="P3285">IF(O3285:O7328="","",_xlfn.XLOOKUP(O3285:O7328,'参照_官位'!A:A,'参照_官位'!B:B,""))</f>
      </c>
      <c r="Q3285" s="12" t="str">
        <f t="array" ref="Q3285">IF(A3285:A7328="","",IFERROR(_xlfn.XLOOKUP(A3285:A7328,castles_state!K:K,castles_state!D:D)&amp;"主",IFERROR(_xlfn.XLOOKUP(A3285:A7328,kunishuClan!D:D,kunishuClan!B:B)&amp;"当主","")))</f>
      </c>
    </row>
    <row r="3286" ht="15.75" customHeight="1">
      <c r="A3286" s="4">
        <v>1204003</v>
      </c>
      <c r="B3286" s="12" t="str">
        <f t="array" ref="B3286">IF(A3286:A7329="","",_xlfn.XLOOKUP(A3286:A7329,'参照_武将'!A:A,'参照_武将'!B:B,"見つかりません"))</f>
      </c>
      <c r="C3286" s="4" t="s">
        <v>439</v>
      </c>
      <c r="D3286" s="4">
        <v>53</v>
      </c>
      <c r="E3286" s="12" t="str">
        <f t="array" ref="E3286">IF(D3286:D7329="","",IFERROR(_xlfn.XLOOKUP(D3286:D7329,'参照_勢力'!A:A,'参照_勢力'!B:B),IFERROR(_xlfn.XLOOKUP(F3286:F7329,kunishuClan!A:A,kunishuClan!B:B),"浪人")))</f>
      </c>
      <c r="F3286" s="4">
        <v>0</v>
      </c>
      <c r="G3286" s="4">
        <v>148</v>
      </c>
      <c r="H3286" s="12" t="str">
        <f t="array" ref="H3286">IF(G3286:G7329="","",_xlfn.XLOOKUP(G3286:G7329,castles_state!A:A,castles_state!D:D,"見つかりません"))</f>
      </c>
      <c r="I3286" s="4"/>
      <c r="J3286" s="12" t="str">
        <f t="array" ref="J3286">IF(I3286:I7329="","",_xlfn.XLOOKUP(I3286:I7329,'参照_姫'!A:A,'参照_姫'!B:B,"見つかりません"))</f>
      </c>
      <c r="K3286" s="4">
        <v>80</v>
      </c>
      <c r="L3286" s="4">
        <v>300</v>
      </c>
      <c r="M3286" s="4"/>
      <c r="N3286" s="4"/>
      <c r="O3286" s="4"/>
      <c r="P3286" s="12" t="str">
        <f t="array" ref="P3286">IF(O3286:O7329="","",_xlfn.XLOOKUP(O3286:O7329,'参照_官位'!A:A,'参照_官位'!B:B,""))</f>
      </c>
      <c r="Q3286" s="12" t="str">
        <f t="array" ref="Q3286">IF(A3286:A7329="","",IFERROR(_xlfn.XLOOKUP(A3286:A7329,castles_state!K:K,castles_state!D:D)&amp;"主",IFERROR(_xlfn.XLOOKUP(A3286:A7329,kunishuClan!D:D,kunishuClan!B:B)&amp;"当主","")))</f>
      </c>
    </row>
    <row r="3287" ht="15.75" customHeight="1">
      <c r="A3287" s="4">
        <v>1204004</v>
      </c>
      <c r="B3287" s="12" t="str">
        <f t="array" ref="B3287">IF(A3287:A7330="","",_xlfn.XLOOKUP(A3287:A7330,'参照_武将'!A:A,'参照_武将'!B:B,"見つかりません"))</f>
      </c>
      <c r="C3287" s="4" t="s">
        <v>439</v>
      </c>
      <c r="D3287" s="4">
        <v>53</v>
      </c>
      <c r="E3287" s="12" t="str">
        <f t="array" ref="E3287">IF(D3287:D7330="","",IFERROR(_xlfn.XLOOKUP(D3287:D7330,'参照_勢力'!A:A,'参照_勢力'!B:B),IFERROR(_xlfn.XLOOKUP(F3287:F7330,kunishuClan!A:A,kunishuClan!B:B),"浪人")))</f>
      </c>
      <c r="F3287" s="4">
        <v>0</v>
      </c>
      <c r="G3287" s="4">
        <v>148</v>
      </c>
      <c r="H3287" s="12" t="str">
        <f t="array" ref="H3287">IF(G3287:G7330="","",_xlfn.XLOOKUP(G3287:G7330,castles_state!A:A,castles_state!D:D,"見つかりません"))</f>
      </c>
      <c r="I3287" s="4"/>
      <c r="J3287" s="12" t="str">
        <f t="array" ref="J3287">IF(I3287:I7330="","",_xlfn.XLOOKUP(I3287:I7330,'参照_姫'!A:A,'参照_姫'!B:B,"見つかりません"))</f>
      </c>
      <c r="K3287" s="4">
        <v>80</v>
      </c>
      <c r="L3287" s="4">
        <v>0</v>
      </c>
      <c r="M3287" s="4"/>
      <c r="N3287" s="4"/>
      <c r="O3287" s="4"/>
      <c r="P3287" s="12" t="str">
        <f t="array" ref="P3287">IF(O3287:O7330="","",_xlfn.XLOOKUP(O3287:O7330,'参照_官位'!A:A,'参照_官位'!B:B,""))</f>
      </c>
      <c r="Q3287" s="12" t="str">
        <f t="array" ref="Q3287">IF(A3287:A7330="","",IFERROR(_xlfn.XLOOKUP(A3287:A7330,castles_state!K:K,castles_state!D:D)&amp;"主",IFERROR(_xlfn.XLOOKUP(A3287:A7330,kunishuClan!D:D,kunishuClan!B:B)&amp;"当主","")))</f>
      </c>
    </row>
    <row r="3288" ht="15.75" customHeight="1">
      <c r="A3288" s="4">
        <v>1204005</v>
      </c>
      <c r="B3288" s="12" t="str">
        <f t="array" ref="B3288">IF(A3288:A7331="","",_xlfn.XLOOKUP(A3288:A7331,'参照_武将'!A:A,'参照_武将'!B:B,"見つかりません"))</f>
      </c>
      <c r="C3288" s="4" t="s">
        <v>439</v>
      </c>
      <c r="D3288" s="4">
        <v>53</v>
      </c>
      <c r="E3288" s="12" t="str">
        <f t="array" ref="E3288">IF(D3288:D7331="","",IFERROR(_xlfn.XLOOKUP(D3288:D7331,'参照_勢力'!A:A,'参照_勢力'!B:B),IFERROR(_xlfn.XLOOKUP(F3288:F7331,kunishuClan!A:A,kunishuClan!B:B),"浪人")))</f>
      </c>
      <c r="F3288" s="4">
        <v>0</v>
      </c>
      <c r="G3288" s="4">
        <v>147</v>
      </c>
      <c r="H3288" s="12" t="str">
        <f t="array" ref="H3288">IF(G3288:G7331="","",_xlfn.XLOOKUP(G3288:G7331,castles_state!A:A,castles_state!D:D,"見つかりません"))</f>
      </c>
      <c r="I3288" s="4"/>
      <c r="J3288" s="12" t="str">
        <f t="array" ref="J3288">IF(I3288:I7331="","",_xlfn.XLOOKUP(I3288:I7331,'参照_姫'!A:A,'参照_姫'!B:B,"見つかりません"))</f>
      </c>
      <c r="K3288" s="4">
        <v>95</v>
      </c>
      <c r="L3288" s="4">
        <v>300</v>
      </c>
      <c r="M3288" s="4"/>
      <c r="N3288" s="4"/>
      <c r="O3288" s="4"/>
      <c r="P3288" s="12" t="str">
        <f t="array" ref="P3288">IF(O3288:O7331="","",_xlfn.XLOOKUP(O3288:O7331,'参照_官位'!A:A,'参照_官位'!B:B,""))</f>
      </c>
      <c r="Q3288" s="12" t="str">
        <f t="array" ref="Q3288">IF(A3288:A7331="","",IFERROR(_xlfn.XLOOKUP(A3288:A7331,castles_state!K:K,castles_state!D:D)&amp;"主",IFERROR(_xlfn.XLOOKUP(A3288:A7331,kunishuClan!D:D,kunishuClan!B:B)&amp;"当主","")))</f>
      </c>
    </row>
    <row r="3289" ht="15.75" customHeight="1">
      <c r="A3289" s="4">
        <v>1204006</v>
      </c>
      <c r="B3289" s="12" t="str">
        <f t="array" ref="B3289">IF(A3289:A7332="","",_xlfn.XLOOKUP(A3289:A7332,'参照_武将'!A:A,'参照_武将'!B:B,"見つかりません"))</f>
      </c>
      <c r="C3289" s="4" t="s">
        <v>439</v>
      </c>
      <c r="D3289" s="4">
        <v>53</v>
      </c>
      <c r="E3289" s="12" t="str">
        <f t="array" ref="E3289">IF(D3289:D7332="","",IFERROR(_xlfn.XLOOKUP(D3289:D7332,'参照_勢力'!A:A,'参照_勢力'!B:B),IFERROR(_xlfn.XLOOKUP(F3289:F7332,kunishuClan!A:A,kunishuClan!B:B),"浪人")))</f>
      </c>
      <c r="F3289" s="4">
        <v>0</v>
      </c>
      <c r="G3289" s="4">
        <v>147</v>
      </c>
      <c r="H3289" s="12" t="str">
        <f t="array" ref="H3289">IF(G3289:G7332="","",_xlfn.XLOOKUP(G3289:G7332,castles_state!A:A,castles_state!D:D,"見つかりません"))</f>
      </c>
      <c r="I3289" s="4"/>
      <c r="J3289" s="12" t="str">
        <f t="array" ref="J3289">IF(I3289:I7332="","",_xlfn.XLOOKUP(I3289:I7332,'参照_姫'!A:A,'参照_姫'!B:B,"見つかりません"))</f>
      </c>
      <c r="K3289" s="4">
        <v>95</v>
      </c>
      <c r="L3289" s="4">
        <v>0</v>
      </c>
      <c r="M3289" s="4"/>
      <c r="N3289" s="4"/>
      <c r="O3289" s="4"/>
      <c r="P3289" s="12" t="str">
        <f t="array" ref="P3289">IF(O3289:O7332="","",_xlfn.XLOOKUP(O3289:O7332,'参照_官位'!A:A,'参照_官位'!B:B,""))</f>
      </c>
      <c r="Q3289" s="12" t="str">
        <f t="array" ref="Q3289">IF(A3289:A7332="","",IFERROR(_xlfn.XLOOKUP(A3289:A7332,castles_state!K:K,castles_state!D:D)&amp;"主",IFERROR(_xlfn.XLOOKUP(A3289:A7332,kunishuClan!D:D,kunishuClan!B:B)&amp;"当主","")))</f>
      </c>
    </row>
    <row r="3290" ht="15.75" customHeight="1">
      <c r="A3290" s="4">
        <v>1204007</v>
      </c>
      <c r="B3290" s="12" t="str">
        <f t="array" ref="B3290">IF(A3290:A7333="","",_xlfn.XLOOKUP(A3290:A7333,'参照_武将'!A:A,'参照_武将'!B:B,"見つかりません"))</f>
      </c>
      <c r="C3290" s="4" t="s">
        <v>439</v>
      </c>
      <c r="D3290" s="4">
        <v>53</v>
      </c>
      <c r="E3290" s="12" t="str">
        <f t="array" ref="E3290">IF(D3290:D7333="","",IFERROR(_xlfn.XLOOKUP(D3290:D7333,'参照_勢力'!A:A,'参照_勢力'!B:B),IFERROR(_xlfn.XLOOKUP(F3290:F7333,kunishuClan!A:A,kunishuClan!B:B),"浪人")))</f>
      </c>
      <c r="F3290" s="4">
        <v>0</v>
      </c>
      <c r="G3290" s="4">
        <v>145</v>
      </c>
      <c r="H3290" s="12" t="str">
        <f t="array" ref="H3290">IF(G3290:G7333="","",_xlfn.XLOOKUP(G3290:G7333,castles_state!A:A,castles_state!D:D,"見つかりません"))</f>
      </c>
      <c r="I3290" s="4"/>
      <c r="J3290" s="12" t="str">
        <f t="array" ref="J3290">IF(I3290:I7333="","",_xlfn.XLOOKUP(I3290:I7333,'参照_姫'!A:A,'参照_姫'!B:B,"見つかりません"))</f>
      </c>
      <c r="K3290" s="4">
        <v>95</v>
      </c>
      <c r="L3290" s="4">
        <v>500</v>
      </c>
      <c r="M3290" s="4"/>
      <c r="N3290" s="4"/>
      <c r="O3290" s="4"/>
      <c r="P3290" s="12" t="str">
        <f t="array" ref="P3290">IF(O3290:O7333="","",_xlfn.XLOOKUP(O3290:O7333,'参照_官位'!A:A,'参照_官位'!B:B,""))</f>
      </c>
      <c r="Q3290" s="12" t="str">
        <f t="array" ref="Q3290">IF(A3290:A7333="","",IFERROR(_xlfn.XLOOKUP(A3290:A7333,castles_state!K:K,castles_state!D:D)&amp;"主",IFERROR(_xlfn.XLOOKUP(A3290:A7333,kunishuClan!D:D,kunishuClan!B:B)&amp;"当主","")))</f>
      </c>
    </row>
    <row r="3291" ht="15.75" customHeight="1">
      <c r="A3291" s="4">
        <v>1204008</v>
      </c>
      <c r="B3291" s="12" t="str">
        <f t="array" ref="B3291">IF(A3291:A7334="","",_xlfn.XLOOKUP(A3291:A7334,'参照_武将'!A:A,'参照_武将'!B:B,"見つかりません"))</f>
      </c>
      <c r="C3291" s="4" t="s">
        <v>439</v>
      </c>
      <c r="D3291" s="4">
        <v>53</v>
      </c>
      <c r="E3291" s="12" t="str">
        <f t="array" ref="E3291">IF(D3291:D7334="","",IFERROR(_xlfn.XLOOKUP(D3291:D7334,'参照_勢力'!A:A,'参照_勢力'!B:B),IFERROR(_xlfn.XLOOKUP(F3291:F7334,kunishuClan!A:A,kunishuClan!B:B),"浪人")))</f>
      </c>
      <c r="F3291" s="4">
        <v>0</v>
      </c>
      <c r="G3291" s="4">
        <v>148</v>
      </c>
      <c r="H3291" s="12" t="str">
        <f t="array" ref="H3291">IF(G3291:G7334="","",_xlfn.XLOOKUP(G3291:G7334,castles_state!A:A,castles_state!D:D,"見つかりません"))</f>
      </c>
      <c r="I3291" s="4"/>
      <c r="J3291" s="12" t="str">
        <f t="array" ref="J3291">IF(I3291:I7334="","",_xlfn.XLOOKUP(I3291:I7334,'参照_姫'!A:A,'参照_姫'!B:B,"見つかりません"))</f>
      </c>
      <c r="K3291" s="4">
        <v>95</v>
      </c>
      <c r="L3291" s="4">
        <v>500</v>
      </c>
      <c r="M3291" s="4"/>
      <c r="N3291" s="4"/>
      <c r="O3291" s="4"/>
      <c r="P3291" s="12" t="str">
        <f t="array" ref="P3291">IF(O3291:O7334="","",_xlfn.XLOOKUP(O3291:O7334,'参照_官位'!A:A,'参照_官位'!B:B,""))</f>
      </c>
      <c r="Q3291" s="12" t="str">
        <f t="array" ref="Q3291">IF(A3291:A7334="","",IFERROR(_xlfn.XLOOKUP(A3291:A7334,castles_state!K:K,castles_state!D:D)&amp;"主",IFERROR(_xlfn.XLOOKUP(A3291:A7334,kunishuClan!D:D,kunishuClan!B:B)&amp;"当主","")))</f>
      </c>
    </row>
    <row r="3292" ht="15.75" customHeight="1">
      <c r="A3292" s="4">
        <v>1204009</v>
      </c>
      <c r="B3292" s="12" t="str">
        <f t="array" ref="B3292">IF(A3292:A7335="","",_xlfn.XLOOKUP(A3292:A7335,'参照_武将'!A:A,'参照_武将'!B:B,"見つかりません"))</f>
      </c>
      <c r="C3292" s="4" t="s">
        <v>439</v>
      </c>
      <c r="D3292" s="4">
        <v>53</v>
      </c>
      <c r="E3292" s="12" t="str">
        <f t="array" ref="E3292">IF(D3292:D7335="","",IFERROR(_xlfn.XLOOKUP(D3292:D7335,'参照_勢力'!A:A,'参照_勢力'!B:B),IFERROR(_xlfn.XLOOKUP(F3292:F7335,kunishuClan!A:A,kunishuClan!B:B),"浪人")))</f>
      </c>
      <c r="F3292" s="4">
        <v>0</v>
      </c>
      <c r="G3292" s="4">
        <v>145</v>
      </c>
      <c r="H3292" s="12" t="str">
        <f t="array" ref="H3292">IF(G3292:G7335="","",_xlfn.XLOOKUP(G3292:G7335,castles_state!A:A,castles_state!D:D,"見つかりません"))</f>
      </c>
      <c r="I3292" s="4"/>
      <c r="J3292" s="12" t="str">
        <f t="array" ref="J3292">IF(I3292:I7335="","",_xlfn.XLOOKUP(I3292:I7335,'参照_姫'!A:A,'参照_姫'!B:B,"見つかりません"))</f>
      </c>
      <c r="K3292" s="4">
        <v>95</v>
      </c>
      <c r="L3292" s="4">
        <v>0</v>
      </c>
      <c r="M3292" s="4"/>
      <c r="N3292" s="4"/>
      <c r="O3292" s="4"/>
      <c r="P3292" s="12" t="str">
        <f t="array" ref="P3292">IF(O3292:O7335="","",_xlfn.XLOOKUP(O3292:O7335,'参照_官位'!A:A,'参照_官位'!B:B,""))</f>
      </c>
      <c r="Q3292" s="12" t="str">
        <f t="array" ref="Q3292">IF(A3292:A7335="","",IFERROR(_xlfn.XLOOKUP(A3292:A7335,castles_state!K:K,castles_state!D:D)&amp;"主",IFERROR(_xlfn.XLOOKUP(A3292:A7335,kunishuClan!D:D,kunishuClan!B:B)&amp;"当主","")))</f>
      </c>
    </row>
    <row r="3293" ht="15.75" customHeight="1">
      <c r="A3293" s="4">
        <v>1204010</v>
      </c>
      <c r="B3293" s="12" t="str">
        <f t="array" ref="B3293">IF(A3293:A7336="","",_xlfn.XLOOKUP(A3293:A7336,'参照_武将'!A:A,'参照_武将'!B:B,"見つかりません"))</f>
      </c>
      <c r="C3293" s="4" t="s">
        <v>439</v>
      </c>
      <c r="D3293" s="4">
        <v>53</v>
      </c>
      <c r="E3293" s="12" t="str">
        <f t="array" ref="E3293">IF(D3293:D7336="","",IFERROR(_xlfn.XLOOKUP(D3293:D7336,'参照_勢力'!A:A,'参照_勢力'!B:B),IFERROR(_xlfn.XLOOKUP(F3293:F7336,kunishuClan!A:A,kunishuClan!B:B),"浪人")))</f>
      </c>
      <c r="F3293" s="4">
        <v>0</v>
      </c>
      <c r="G3293" s="4">
        <v>145</v>
      </c>
      <c r="H3293" s="12" t="str">
        <f t="array" ref="H3293">IF(G3293:G7336="","",_xlfn.XLOOKUP(G3293:G7336,castles_state!A:A,castles_state!D:D,"見つかりません"))</f>
      </c>
      <c r="I3293" s="4"/>
      <c r="J3293" s="12" t="str">
        <f t="array" ref="J3293">IF(I3293:I7336="","",_xlfn.XLOOKUP(I3293:I7336,'参照_姫'!A:A,'参照_姫'!B:B,"見つかりません"))</f>
      </c>
      <c r="K3293" s="4">
        <v>95</v>
      </c>
      <c r="L3293" s="4">
        <v>0</v>
      </c>
      <c r="M3293" s="4"/>
      <c r="N3293" s="4"/>
      <c r="O3293" s="4"/>
      <c r="P3293" s="12" t="str">
        <f t="array" ref="P3293">IF(O3293:O7336="","",_xlfn.XLOOKUP(O3293:O7336,'参照_官位'!A:A,'参照_官位'!B:B,""))</f>
      </c>
      <c r="Q3293" s="12" t="str">
        <f t="array" ref="Q3293">IF(A3293:A7336="","",IFERROR(_xlfn.XLOOKUP(A3293:A7336,castles_state!K:K,castles_state!D:D)&amp;"主",IFERROR(_xlfn.XLOOKUP(A3293:A7336,kunishuClan!D:D,kunishuClan!B:B)&amp;"当主","")))</f>
      </c>
    </row>
    <row r="3294" ht="15.75" customHeight="1">
      <c r="A3294" s="4">
        <v>1204011</v>
      </c>
      <c r="B3294" s="12" t="str">
        <f t="array" ref="B3294">IF(A3294:A7337="","",_xlfn.XLOOKUP(A3294:A7337,'参照_武将'!A:A,'参照_武将'!B:B,"見つかりません"))</f>
      </c>
      <c r="C3294" s="4" t="s">
        <v>439</v>
      </c>
      <c r="D3294" s="4">
        <v>53</v>
      </c>
      <c r="E3294" s="12" t="str">
        <f t="array" ref="E3294">IF(D3294:D7337="","",IFERROR(_xlfn.XLOOKUP(D3294:D7337,'参照_勢力'!A:A,'参照_勢力'!B:B),IFERROR(_xlfn.XLOOKUP(F3294:F7337,kunishuClan!A:A,kunishuClan!B:B),"浪人")))</f>
      </c>
      <c r="F3294" s="4">
        <v>0</v>
      </c>
      <c r="G3294" s="4">
        <v>145</v>
      </c>
      <c r="H3294" s="12" t="str">
        <f t="array" ref="H3294">IF(G3294:G7337="","",_xlfn.XLOOKUP(G3294:G7337,castles_state!A:A,castles_state!D:D,"見つかりません"))</f>
      </c>
      <c r="I3294" s="4"/>
      <c r="J3294" s="12" t="str">
        <f t="array" ref="J3294">IF(I3294:I7337="","",_xlfn.XLOOKUP(I3294:I7337,'参照_姫'!A:A,'参照_姫'!B:B,"見つかりません"))</f>
      </c>
      <c r="K3294" s="4">
        <v>95</v>
      </c>
      <c r="L3294" s="4">
        <v>0</v>
      </c>
      <c r="M3294" s="4"/>
      <c r="N3294" s="4"/>
      <c r="O3294" s="4"/>
      <c r="P3294" s="12" t="str">
        <f t="array" ref="P3294">IF(O3294:O7337="","",_xlfn.XLOOKUP(O3294:O7337,'参照_官位'!A:A,'参照_官位'!B:B,""))</f>
      </c>
      <c r="Q3294" s="12" t="str">
        <f t="array" ref="Q3294">IF(A3294:A7337="","",IFERROR(_xlfn.XLOOKUP(A3294:A7337,castles_state!K:K,castles_state!D:D)&amp;"主",IFERROR(_xlfn.XLOOKUP(A3294:A7337,kunishuClan!D:D,kunishuClan!B:B)&amp;"当主","")))</f>
      </c>
    </row>
    <row r="3295" ht="15.75" customHeight="1">
      <c r="A3295" s="4">
        <v>1204012</v>
      </c>
      <c r="B3295" s="12" t="str">
        <f t="array" ref="B3295">IF(A3295:A7338="","",_xlfn.XLOOKUP(A3295:A7338,'参照_武将'!A:A,'参照_武将'!B:B,"見つかりません"))</f>
      </c>
      <c r="C3295" s="4" t="s">
        <v>439</v>
      </c>
      <c r="D3295" s="4">
        <v>53</v>
      </c>
      <c r="E3295" s="12" t="str">
        <f t="array" ref="E3295">IF(D3295:D7338="","",IFERROR(_xlfn.XLOOKUP(D3295:D7338,'参照_勢力'!A:A,'参照_勢力'!B:B),IFERROR(_xlfn.XLOOKUP(F3295:F7338,kunishuClan!A:A,kunishuClan!B:B),"浪人")))</f>
      </c>
      <c r="F3295" s="4">
        <v>0</v>
      </c>
      <c r="G3295" s="4">
        <v>147</v>
      </c>
      <c r="H3295" s="12" t="str">
        <f t="array" ref="H3295">IF(G3295:G7338="","",_xlfn.XLOOKUP(G3295:G7338,castles_state!A:A,castles_state!D:D,"見つかりません"))</f>
      </c>
      <c r="I3295" s="4"/>
      <c r="J3295" s="12" t="str">
        <f t="array" ref="J3295">IF(I3295:I7338="","",_xlfn.XLOOKUP(I3295:I7338,'参照_姫'!A:A,'参照_姫'!B:B,"見つかりません"))</f>
      </c>
      <c r="K3295" s="4">
        <v>95</v>
      </c>
      <c r="L3295" s="4">
        <v>0</v>
      </c>
      <c r="M3295" s="4"/>
      <c r="N3295" s="4"/>
      <c r="O3295" s="4"/>
      <c r="P3295" s="12" t="str">
        <f t="array" ref="P3295">IF(O3295:O7338="","",_xlfn.XLOOKUP(O3295:O7338,'参照_官位'!A:A,'参照_官位'!B:B,""))</f>
      </c>
      <c r="Q3295" s="12" t="str">
        <f t="array" ref="Q3295">IF(A3295:A7338="","",IFERROR(_xlfn.XLOOKUP(A3295:A7338,castles_state!K:K,castles_state!D:D)&amp;"主",IFERROR(_xlfn.XLOOKUP(A3295:A7338,kunishuClan!D:D,kunishuClan!B:B)&amp;"当主","")))</f>
      </c>
    </row>
    <row r="3296" ht="15.75" customHeight="1">
      <c r="A3296" s="4">
        <v>1204013</v>
      </c>
      <c r="B3296" s="12" t="str">
        <f t="array" ref="B3296">IF(A3296:A7339="","",_xlfn.XLOOKUP(A3296:A7339,'参照_武将'!A:A,'参照_武将'!B:B,"見つかりません"))</f>
      </c>
      <c r="C3296" s="4" t="s">
        <v>439</v>
      </c>
      <c r="D3296" s="4">
        <v>53</v>
      </c>
      <c r="E3296" s="12" t="str">
        <f t="array" ref="E3296">IF(D3296:D7339="","",IFERROR(_xlfn.XLOOKUP(D3296:D7339,'参照_勢力'!A:A,'参照_勢力'!B:B),IFERROR(_xlfn.XLOOKUP(F3296:F7339,kunishuClan!A:A,kunishuClan!B:B),"浪人")))</f>
      </c>
      <c r="F3296" s="4">
        <v>0</v>
      </c>
      <c r="G3296" s="4">
        <v>145</v>
      </c>
      <c r="H3296" s="12" t="str">
        <f t="array" ref="H3296">IF(G3296:G7339="","",_xlfn.XLOOKUP(G3296:G7339,castles_state!A:A,castles_state!D:D,"見つかりません"))</f>
      </c>
      <c r="I3296" s="4"/>
      <c r="J3296" s="12" t="str">
        <f t="array" ref="J3296">IF(I3296:I7339="","",_xlfn.XLOOKUP(I3296:I7339,'参照_姫'!A:A,'参照_姫'!B:B,"見つかりません"))</f>
      </c>
      <c r="K3296" s="4">
        <v>95</v>
      </c>
      <c r="L3296" s="4">
        <v>0</v>
      </c>
      <c r="M3296" s="4"/>
      <c r="N3296" s="4"/>
      <c r="O3296" s="4"/>
      <c r="P3296" s="12" t="str">
        <f t="array" ref="P3296">IF(O3296:O7339="","",_xlfn.XLOOKUP(O3296:O7339,'参照_官位'!A:A,'参照_官位'!B:B,""))</f>
      </c>
      <c r="Q3296" s="12" t="str">
        <f t="array" ref="Q3296">IF(A3296:A7339="","",IFERROR(_xlfn.XLOOKUP(A3296:A7339,castles_state!K:K,castles_state!D:D)&amp;"主",IFERROR(_xlfn.XLOOKUP(A3296:A7339,kunishuClan!D:D,kunishuClan!B:B)&amp;"当主","")))</f>
      </c>
    </row>
    <row r="3297" ht="15.75" customHeight="1">
      <c r="A3297" s="4">
        <v>1204014</v>
      </c>
      <c r="B3297" s="12" t="str">
        <f t="array" ref="B3297">IF(A3297:A7340="","",_xlfn.XLOOKUP(A3297:A7340,'参照_武将'!A:A,'参照_武将'!B:B,"見つかりません"))</f>
      </c>
      <c r="C3297" s="4" t="s">
        <v>439</v>
      </c>
      <c r="D3297" s="4">
        <v>53</v>
      </c>
      <c r="E3297" s="12" t="str">
        <f t="array" ref="E3297">IF(D3297:D7340="","",IFERROR(_xlfn.XLOOKUP(D3297:D7340,'参照_勢力'!A:A,'参照_勢力'!B:B),IFERROR(_xlfn.XLOOKUP(F3297:F7340,kunishuClan!A:A,kunishuClan!B:B),"浪人")))</f>
      </c>
      <c r="F3297" s="4">
        <v>0</v>
      </c>
      <c r="G3297" s="4">
        <v>147</v>
      </c>
      <c r="H3297" s="12" t="str">
        <f t="array" ref="H3297">IF(G3297:G7340="","",_xlfn.XLOOKUP(G3297:G7340,castles_state!A:A,castles_state!D:D,"見つかりません"))</f>
      </c>
      <c r="I3297" s="4"/>
      <c r="J3297" s="12" t="str">
        <f t="array" ref="J3297">IF(I3297:I7340="","",_xlfn.XLOOKUP(I3297:I7340,'参照_姫'!A:A,'参照_姫'!B:B,"見つかりません"))</f>
      </c>
      <c r="K3297" s="4">
        <v>95</v>
      </c>
      <c r="L3297" s="4">
        <v>0</v>
      </c>
      <c r="M3297" s="4"/>
      <c r="N3297" s="4"/>
      <c r="O3297" s="4"/>
      <c r="P3297" s="12" t="str">
        <f t="array" ref="P3297">IF(O3297:O7340="","",_xlfn.XLOOKUP(O3297:O7340,'参照_官位'!A:A,'参照_官位'!B:B,""))</f>
      </c>
      <c r="Q3297" s="12" t="str">
        <f t="array" ref="Q3297">IF(A3297:A7340="","",IFERROR(_xlfn.XLOOKUP(A3297:A7340,castles_state!K:K,castles_state!D:D)&amp;"主",IFERROR(_xlfn.XLOOKUP(A3297:A7340,kunishuClan!D:D,kunishuClan!B:B)&amp;"当主","")))</f>
      </c>
    </row>
    <row r="3298" ht="15.75" customHeight="1">
      <c r="A3298" s="4">
        <v>1204015</v>
      </c>
      <c r="B3298" s="12" t="str">
        <f t="array" ref="B3298">IF(A3298:A7341="","",_xlfn.XLOOKUP(A3298:A7341,'参照_武将'!A:A,'参照_武将'!B:B,"見つかりません"))</f>
      </c>
      <c r="C3298" s="4" t="s">
        <v>439</v>
      </c>
      <c r="D3298" s="4">
        <v>53</v>
      </c>
      <c r="E3298" s="12" t="str">
        <f t="array" ref="E3298">IF(D3298:D7341="","",IFERROR(_xlfn.XLOOKUP(D3298:D7341,'参照_勢力'!A:A,'参照_勢力'!B:B),IFERROR(_xlfn.XLOOKUP(F3298:F7341,kunishuClan!A:A,kunishuClan!B:B),"浪人")))</f>
      </c>
      <c r="F3298" s="4">
        <v>0</v>
      </c>
      <c r="G3298" s="4">
        <v>147</v>
      </c>
      <c r="H3298" s="12" t="str">
        <f t="array" ref="H3298">IF(G3298:G7341="","",_xlfn.XLOOKUP(G3298:G7341,castles_state!A:A,castles_state!D:D,"見つかりません"))</f>
      </c>
      <c r="I3298" s="4"/>
      <c r="J3298" s="12" t="str">
        <f t="array" ref="J3298">IF(I3298:I7341="","",_xlfn.XLOOKUP(I3298:I7341,'参照_姫'!A:A,'参照_姫'!B:B,"見つかりません"))</f>
      </c>
      <c r="K3298" s="4">
        <v>95</v>
      </c>
      <c r="L3298" s="4">
        <v>0</v>
      </c>
      <c r="M3298" s="4"/>
      <c r="N3298" s="4"/>
      <c r="O3298" s="4"/>
      <c r="P3298" s="12" t="str">
        <f t="array" ref="P3298">IF(O3298:O7341="","",_xlfn.XLOOKUP(O3298:O7341,'参照_官位'!A:A,'参照_官位'!B:B,""))</f>
      </c>
      <c r="Q3298" s="12" t="str">
        <f t="array" ref="Q3298">IF(A3298:A7341="","",IFERROR(_xlfn.XLOOKUP(A3298:A7341,castles_state!K:K,castles_state!D:D)&amp;"主",IFERROR(_xlfn.XLOOKUP(A3298:A7341,kunishuClan!D:D,kunishuClan!B:B)&amp;"当主","")))</f>
      </c>
    </row>
    <row r="3299" ht="15.75" customHeight="1">
      <c r="A3299" s="4">
        <v>1204016</v>
      </c>
      <c r="B3299" s="12" t="str">
        <f t="array" ref="B3299">IF(A3299:A7342="","",_xlfn.XLOOKUP(A3299:A7342,'参照_武将'!A:A,'参照_武将'!B:B,"見つかりません"))</f>
      </c>
      <c r="C3299" s="4" t="s">
        <v>439</v>
      </c>
      <c r="D3299" s="4">
        <v>53</v>
      </c>
      <c r="E3299" s="12" t="str">
        <f t="array" ref="E3299">IF(D3299:D7342="","",IFERROR(_xlfn.XLOOKUP(D3299:D7342,'参照_勢力'!A:A,'参照_勢力'!B:B),IFERROR(_xlfn.XLOOKUP(F3299:F7342,kunishuClan!A:A,kunishuClan!B:B),"浪人")))</f>
      </c>
      <c r="F3299" s="4">
        <v>0</v>
      </c>
      <c r="G3299" s="4">
        <v>147</v>
      </c>
      <c r="H3299" s="12" t="str">
        <f t="array" ref="H3299">IF(G3299:G7342="","",_xlfn.XLOOKUP(G3299:G7342,castles_state!A:A,castles_state!D:D,"見つかりません"))</f>
      </c>
      <c r="I3299" s="4"/>
      <c r="J3299" s="12" t="str">
        <f t="array" ref="J3299">IF(I3299:I7342="","",_xlfn.XLOOKUP(I3299:I7342,'参照_姫'!A:A,'参照_姫'!B:B,"見つかりません"))</f>
      </c>
      <c r="K3299" s="4">
        <v>95</v>
      </c>
      <c r="L3299" s="4">
        <v>0</v>
      </c>
      <c r="M3299" s="4"/>
      <c r="N3299" s="4"/>
      <c r="O3299" s="4"/>
      <c r="P3299" s="12" t="str">
        <f t="array" ref="P3299">IF(O3299:O7342="","",_xlfn.XLOOKUP(O3299:O7342,'参照_官位'!A:A,'参照_官位'!B:B,""))</f>
      </c>
      <c r="Q3299" s="12" t="str">
        <f t="array" ref="Q3299">IF(A3299:A7342="","",IFERROR(_xlfn.XLOOKUP(A3299:A7342,castles_state!K:K,castles_state!D:D)&amp;"主",IFERROR(_xlfn.XLOOKUP(A3299:A7342,kunishuClan!D:D,kunishuClan!B:B)&amp;"当主","")))</f>
      </c>
    </row>
    <row r="3300" ht="15.75" customHeight="1">
      <c r="A3300" s="4">
        <v>1205001</v>
      </c>
      <c r="B3300" s="12" t="str">
        <f t="array" ref="B3300">IF(A3300:A7343="","",_xlfn.XLOOKUP(A3300:A7343,'参照_武将'!A:A,'参照_武将'!B:B,"見つかりません"))</f>
      </c>
      <c r="C3300" s="4" t="s">
        <v>5977</v>
      </c>
      <c r="D3300" s="4">
        <v>20</v>
      </c>
      <c r="E3300" s="12" t="str">
        <f t="array" ref="E3300">IF(D3300:D7343="","",IFERROR(_xlfn.XLOOKUP(D3300:D7343,'参照_勢力'!A:A,'参照_勢力'!B:B),IFERROR(_xlfn.XLOOKUP(F3300:F7343,kunishuClan!A:A,kunishuClan!B:B),"浪人")))</f>
      </c>
      <c r="F3300" s="4">
        <v>0</v>
      </c>
      <c r="G3300" s="4">
        <v>51</v>
      </c>
      <c r="H3300" s="12" t="str">
        <f t="array" ref="H3300">IF(G3300:G7343="","",_xlfn.XLOOKUP(G3300:G7343,castles_state!A:A,castles_state!D:D,"見つかりません"))</f>
      </c>
      <c r="I3300" s="4"/>
      <c r="J3300" s="12" t="str">
        <f t="array" ref="J3300">IF(I3300:I7343="","",_xlfn.XLOOKUP(I3300:I7343,'参照_姫'!A:A,'参照_姫'!B:B,"見つかりません"))</f>
      </c>
      <c r="K3300" s="4">
        <v>95</v>
      </c>
      <c r="L3300" s="4">
        <v>0</v>
      </c>
      <c r="M3300" s="4"/>
      <c r="N3300" s="4"/>
      <c r="O3300" s="4"/>
      <c r="P3300" s="12" t="str">
        <f t="array" ref="P3300">IF(O3300:O7343="","",_xlfn.XLOOKUP(O3300:O7343,'参照_官位'!A:A,'参照_官位'!B:B,""))</f>
      </c>
      <c r="Q3300" s="12" t="str">
        <f t="array" ref="Q3300">IF(A3300:A7343="","",IFERROR(_xlfn.XLOOKUP(A3300:A7343,castles_state!K:K,castles_state!D:D)&amp;"主",IFERROR(_xlfn.XLOOKUP(A3300:A7343,kunishuClan!D:D,kunishuClan!B:B)&amp;"当主","")))</f>
      </c>
    </row>
    <row r="3301" ht="15.75" customHeight="1">
      <c r="A3301" s="4">
        <v>1205002</v>
      </c>
      <c r="B3301" s="12" t="str">
        <f t="array" ref="B3301">IF(A3301:A7344="","",_xlfn.XLOOKUP(A3301:A7344,'参照_武将'!A:A,'参照_武将'!B:B,"見つかりません"))</f>
      </c>
      <c r="C3301" s="4" t="s">
        <v>5978</v>
      </c>
      <c r="D3301" s="4">
        <v>20</v>
      </c>
      <c r="E3301" s="12" t="str">
        <f t="array" ref="E3301">IF(D3301:D7344="","",IFERROR(_xlfn.XLOOKUP(D3301:D7344,'参照_勢力'!A:A,'参照_勢力'!B:B),IFERROR(_xlfn.XLOOKUP(F3301:F7344,kunishuClan!A:A,kunishuClan!B:B),"浪人")))</f>
      </c>
      <c r="F3301" s="4">
        <v>0</v>
      </c>
      <c r="G3301" s="4">
        <v>127</v>
      </c>
      <c r="H3301" s="12" t="str">
        <f t="array" ref="H3301">IF(G3301:G7344="","",_xlfn.XLOOKUP(G3301:G7344,castles_state!A:A,castles_state!D:D,"見つかりません"))</f>
      </c>
      <c r="I3301" s="4"/>
      <c r="J3301" s="12" t="str">
        <f t="array" ref="J3301">IF(I3301:I7344="","",_xlfn.XLOOKUP(I3301:I7344,'参照_姫'!A:A,'参照_姫'!B:B,"見つかりません"))</f>
      </c>
      <c r="K3301" s="4">
        <v>95</v>
      </c>
      <c r="L3301" s="4">
        <v>0</v>
      </c>
      <c r="M3301" s="4"/>
      <c r="N3301" s="4"/>
      <c r="O3301" s="4"/>
      <c r="P3301" s="12" t="str">
        <f t="array" ref="P3301">IF(O3301:O7344="","",_xlfn.XLOOKUP(O3301:O7344,'参照_官位'!A:A,'参照_官位'!B:B,""))</f>
      </c>
      <c r="Q3301" s="12" t="str">
        <f t="array" ref="Q3301">IF(A3301:A7344="","",IFERROR(_xlfn.XLOOKUP(A3301:A7344,castles_state!K:K,castles_state!D:D)&amp;"主",IFERROR(_xlfn.XLOOKUP(A3301:A7344,kunishuClan!D:D,kunishuClan!B:B)&amp;"当主","")))</f>
      </c>
    </row>
    <row r="3302" ht="15.75" customHeight="1">
      <c r="A3302" s="4">
        <v>1205003</v>
      </c>
      <c r="B3302" s="12" t="str">
        <f t="array" ref="B3302">IF(A3302:A7345="","",_xlfn.XLOOKUP(A3302:A7345,'参照_武将'!A:A,'参照_武将'!B:B,"見つかりません"))</f>
      </c>
      <c r="C3302" s="4" t="s">
        <v>5978</v>
      </c>
      <c r="D3302" s="4">
        <v>20</v>
      </c>
      <c r="E3302" s="12" t="str">
        <f t="array" ref="E3302">IF(D3302:D7345="","",IFERROR(_xlfn.XLOOKUP(D3302:D7345,'参照_勢力'!A:A,'参照_勢力'!B:B),IFERROR(_xlfn.XLOOKUP(F3302:F7345,kunishuClan!A:A,kunishuClan!B:B),"浪人")))</f>
      </c>
      <c r="F3302" s="4">
        <v>0</v>
      </c>
      <c r="G3302" s="4">
        <v>127</v>
      </c>
      <c r="H3302" s="12" t="str">
        <f t="array" ref="H3302">IF(G3302:G7345="","",_xlfn.XLOOKUP(G3302:G7345,castles_state!A:A,castles_state!D:D,"見つかりません"))</f>
      </c>
      <c r="I3302" s="4"/>
      <c r="J3302" s="12" t="str">
        <f t="array" ref="J3302">IF(I3302:I7345="","",_xlfn.XLOOKUP(I3302:I7345,'参照_姫'!A:A,'参照_姫'!B:B,"見つかりません"))</f>
      </c>
      <c r="K3302" s="4">
        <v>95</v>
      </c>
      <c r="L3302" s="4">
        <v>0</v>
      </c>
      <c r="M3302" s="4"/>
      <c r="N3302" s="4"/>
      <c r="O3302" s="4"/>
      <c r="P3302" s="12" t="str">
        <f t="array" ref="P3302">IF(O3302:O7345="","",_xlfn.XLOOKUP(O3302:O7345,'参照_官位'!A:A,'参照_官位'!B:B,""))</f>
      </c>
      <c r="Q3302" s="12" t="str">
        <f t="array" ref="Q3302">IF(A3302:A7345="","",IFERROR(_xlfn.XLOOKUP(A3302:A7345,castles_state!K:K,castles_state!D:D)&amp;"主",IFERROR(_xlfn.XLOOKUP(A3302:A7345,kunishuClan!D:D,kunishuClan!B:B)&amp;"当主","")))</f>
      </c>
    </row>
    <row r="3303" ht="15.75" customHeight="1">
      <c r="A3303" s="4">
        <v>1205004</v>
      </c>
      <c r="B3303" s="12" t="str">
        <f t="array" ref="B3303">IF(A3303:A7346="","",_xlfn.XLOOKUP(A3303:A7346,'参照_武将'!A:A,'参照_武将'!B:B,"見つかりません"))</f>
      </c>
      <c r="C3303" s="4" t="s">
        <v>5978</v>
      </c>
      <c r="D3303" s="4">
        <v>20</v>
      </c>
      <c r="E3303" s="12" t="str">
        <f t="array" ref="E3303">IF(D3303:D7346="","",IFERROR(_xlfn.XLOOKUP(D3303:D7346,'参照_勢力'!A:A,'参照_勢力'!B:B),IFERROR(_xlfn.XLOOKUP(F3303:F7346,kunishuClan!A:A,kunishuClan!B:B),"浪人")))</f>
      </c>
      <c r="F3303" s="4">
        <v>0</v>
      </c>
      <c r="G3303" s="4">
        <v>127</v>
      </c>
      <c r="H3303" s="12" t="str">
        <f t="array" ref="H3303">IF(G3303:G7346="","",_xlfn.XLOOKUP(G3303:G7346,castles_state!A:A,castles_state!D:D,"見つかりません"))</f>
      </c>
      <c r="I3303" s="4"/>
      <c r="J3303" s="12" t="str">
        <f t="array" ref="J3303">IF(I3303:I7346="","",_xlfn.XLOOKUP(I3303:I7346,'参照_姫'!A:A,'参照_姫'!B:B,"見つかりません"))</f>
      </c>
      <c r="K3303" s="4">
        <v>95</v>
      </c>
      <c r="L3303" s="4">
        <v>0</v>
      </c>
      <c r="M3303" s="4"/>
      <c r="N3303" s="4"/>
      <c r="O3303" s="4"/>
      <c r="P3303" s="12" t="str">
        <f t="array" ref="P3303">IF(O3303:O7346="","",_xlfn.XLOOKUP(O3303:O7346,'参照_官位'!A:A,'参照_官位'!B:B,""))</f>
      </c>
      <c r="Q3303" s="12" t="str">
        <f t="array" ref="Q3303">IF(A3303:A7346="","",IFERROR(_xlfn.XLOOKUP(A3303:A7346,castles_state!K:K,castles_state!D:D)&amp;"主",IFERROR(_xlfn.XLOOKUP(A3303:A7346,kunishuClan!D:D,kunishuClan!B:B)&amp;"当主","")))</f>
      </c>
    </row>
    <row r="3304" ht="15.75" customHeight="1">
      <c r="A3304" s="4">
        <v>1205005</v>
      </c>
      <c r="B3304" s="12" t="str">
        <f t="array" ref="B3304">IF(A3304:A7347="","",_xlfn.XLOOKUP(A3304:A7347,'参照_武将'!A:A,'参照_武将'!B:B,"見つかりません"))</f>
      </c>
      <c r="C3304" s="4" t="s">
        <v>5978</v>
      </c>
      <c r="D3304" s="4">
        <v>20</v>
      </c>
      <c r="E3304" s="12" t="str">
        <f t="array" ref="E3304">IF(D3304:D7347="","",IFERROR(_xlfn.XLOOKUP(D3304:D7347,'参照_勢力'!A:A,'参照_勢力'!B:B),IFERROR(_xlfn.XLOOKUP(F3304:F7347,kunishuClan!A:A,kunishuClan!B:B),"浪人")))</f>
      </c>
      <c r="F3304" s="4">
        <v>0</v>
      </c>
      <c r="G3304" s="4">
        <v>127</v>
      </c>
      <c r="H3304" s="12" t="str">
        <f t="array" ref="H3304">IF(G3304:G7347="","",_xlfn.XLOOKUP(G3304:G7347,castles_state!A:A,castles_state!D:D,"見つかりません"))</f>
      </c>
      <c r="I3304" s="4"/>
      <c r="J3304" s="12" t="str">
        <f t="array" ref="J3304">IF(I3304:I7347="","",_xlfn.XLOOKUP(I3304:I7347,'参照_姫'!A:A,'参照_姫'!B:B,"見つかりません"))</f>
      </c>
      <c r="K3304" s="4">
        <v>95</v>
      </c>
      <c r="L3304" s="4">
        <v>0</v>
      </c>
      <c r="M3304" s="4"/>
      <c r="N3304" s="4"/>
      <c r="O3304" s="4"/>
      <c r="P3304" s="12" t="str">
        <f t="array" ref="P3304">IF(O3304:O7347="","",_xlfn.XLOOKUP(O3304:O7347,'参照_官位'!A:A,'参照_官位'!B:B,""))</f>
      </c>
      <c r="Q3304" s="12" t="str">
        <f t="array" ref="Q3304">IF(A3304:A7347="","",IFERROR(_xlfn.XLOOKUP(A3304:A7347,castles_state!K:K,castles_state!D:D)&amp;"主",IFERROR(_xlfn.XLOOKUP(A3304:A7347,kunishuClan!D:D,kunishuClan!B:B)&amp;"当主","")))</f>
      </c>
    </row>
    <row r="3305" ht="15.75" customHeight="1">
      <c r="A3305" s="4">
        <v>1205006</v>
      </c>
      <c r="B3305" s="12" t="str">
        <f t="array" ref="B3305">IF(A3305:A7348="","",_xlfn.XLOOKUP(A3305:A7348,'参照_武将'!A:A,'参照_武将'!B:B,"見つかりません"))</f>
      </c>
      <c r="C3305" s="4" t="s">
        <v>5977</v>
      </c>
      <c r="D3305" s="4">
        <v>20</v>
      </c>
      <c r="E3305" s="12" t="str">
        <f t="array" ref="E3305">IF(D3305:D7348="","",IFERROR(_xlfn.XLOOKUP(D3305:D7348,'参照_勢力'!A:A,'参照_勢力'!B:B),IFERROR(_xlfn.XLOOKUP(F3305:F7348,kunishuClan!A:A,kunishuClan!B:B),"浪人")))</f>
      </c>
      <c r="F3305" s="4">
        <v>0</v>
      </c>
      <c r="G3305" s="4">
        <v>51</v>
      </c>
      <c r="H3305" s="12" t="str">
        <f t="array" ref="H3305">IF(G3305:G7348="","",_xlfn.XLOOKUP(G3305:G7348,castles_state!A:A,castles_state!D:D,"見つかりません"))</f>
      </c>
      <c r="I3305" s="4"/>
      <c r="J3305" s="12" t="str">
        <f t="array" ref="J3305">IF(I3305:I7348="","",_xlfn.XLOOKUP(I3305:I7348,'参照_姫'!A:A,'参照_姫'!B:B,"見つかりません"))</f>
      </c>
      <c r="K3305" s="4">
        <v>95</v>
      </c>
      <c r="L3305" s="4">
        <v>0</v>
      </c>
      <c r="M3305" s="4"/>
      <c r="N3305" s="4"/>
      <c r="O3305" s="4"/>
      <c r="P3305" s="12" t="str">
        <f t="array" ref="P3305">IF(O3305:O7348="","",_xlfn.XLOOKUP(O3305:O7348,'参照_官位'!A:A,'参照_官位'!B:B,""))</f>
      </c>
      <c r="Q3305" s="12" t="str">
        <f t="array" ref="Q3305">IF(A3305:A7348="","",IFERROR(_xlfn.XLOOKUP(A3305:A7348,castles_state!K:K,castles_state!D:D)&amp;"主",IFERROR(_xlfn.XLOOKUP(A3305:A7348,kunishuClan!D:D,kunishuClan!B:B)&amp;"当主","")))</f>
      </c>
    </row>
    <row r="3306" ht="15.75" customHeight="1">
      <c r="A3306" s="4">
        <v>1205007</v>
      </c>
      <c r="B3306" s="12" t="str">
        <f t="array" ref="B3306">IF(A3306:A7349="","",_xlfn.XLOOKUP(A3306:A7349,'参照_武将'!A:A,'参照_武将'!B:B,"見つかりません"))</f>
      </c>
      <c r="C3306" s="4" t="s">
        <v>5977</v>
      </c>
      <c r="D3306" s="4">
        <v>20</v>
      </c>
      <c r="E3306" s="12" t="str">
        <f t="array" ref="E3306">IF(D3306:D7349="","",IFERROR(_xlfn.XLOOKUP(D3306:D7349,'参照_勢力'!A:A,'参照_勢力'!B:B),IFERROR(_xlfn.XLOOKUP(F3306:F7349,kunishuClan!A:A,kunishuClan!B:B),"浪人")))</f>
      </c>
      <c r="F3306" s="4">
        <v>0</v>
      </c>
      <c r="G3306" s="4">
        <v>51</v>
      </c>
      <c r="H3306" s="12" t="str">
        <f t="array" ref="H3306">IF(G3306:G7349="","",_xlfn.XLOOKUP(G3306:G7349,castles_state!A:A,castles_state!D:D,"見つかりません"))</f>
      </c>
      <c r="I3306" s="4"/>
      <c r="J3306" s="12" t="str">
        <f t="array" ref="J3306">IF(I3306:I7349="","",_xlfn.XLOOKUP(I3306:I7349,'参照_姫'!A:A,'参照_姫'!B:B,"見つかりません"))</f>
      </c>
      <c r="K3306" s="4">
        <v>95</v>
      </c>
      <c r="L3306" s="4">
        <v>0</v>
      </c>
      <c r="M3306" s="4"/>
      <c r="N3306" s="4"/>
      <c r="O3306" s="4"/>
      <c r="P3306" s="12" t="str">
        <f t="array" ref="P3306">IF(O3306:O7349="","",_xlfn.XLOOKUP(O3306:O7349,'参照_官位'!A:A,'参照_官位'!B:B,""))</f>
      </c>
      <c r="Q3306" s="12" t="str">
        <f t="array" ref="Q3306">IF(A3306:A7349="","",IFERROR(_xlfn.XLOOKUP(A3306:A7349,castles_state!K:K,castles_state!D:D)&amp;"主",IFERROR(_xlfn.XLOOKUP(A3306:A7349,kunishuClan!D:D,kunishuClan!B:B)&amp;"当主","")))</f>
      </c>
    </row>
    <row r="3307" ht="15.75" customHeight="1">
      <c r="A3307" s="4">
        <v>1205008</v>
      </c>
      <c r="B3307" s="12" t="str">
        <f t="array" ref="B3307">IF(A3307:A7350="","",_xlfn.XLOOKUP(A3307:A7350,'参照_武将'!A:A,'参照_武将'!B:B,"見つかりません"))</f>
      </c>
      <c r="C3307" s="4" t="s">
        <v>5977</v>
      </c>
      <c r="D3307" s="4">
        <v>17</v>
      </c>
      <c r="E3307" s="12" t="str">
        <f t="array" ref="E3307">IF(D3307:D7350="","",IFERROR(_xlfn.XLOOKUP(D3307:D7350,'参照_勢力'!A:A,'参照_勢力'!B:B),IFERROR(_xlfn.XLOOKUP(F3307:F7350,kunishuClan!A:A,kunishuClan!B:B),"浪人")))</f>
      </c>
      <c r="F3307" s="4">
        <v>0</v>
      </c>
      <c r="G3307" s="4">
        <v>26</v>
      </c>
      <c r="H3307" s="12" t="str">
        <f t="array" ref="H3307">IF(G3307:G7350="","",_xlfn.XLOOKUP(G3307:G7350,castles_state!A:A,castles_state!D:D,"見つかりません"))</f>
      </c>
      <c r="I3307" s="4"/>
      <c r="J3307" s="12" t="str">
        <f t="array" ref="J3307">IF(I3307:I7350="","",_xlfn.XLOOKUP(I3307:I7350,'参照_姫'!A:A,'参照_姫'!B:B,"見つかりません"))</f>
      </c>
      <c r="K3307" s="4">
        <v>95</v>
      </c>
      <c r="L3307" s="4">
        <v>0</v>
      </c>
      <c r="M3307" s="4"/>
      <c r="N3307" s="4"/>
      <c r="O3307" s="4">
        <v>41</v>
      </c>
      <c r="P3307" s="12" t="str">
        <f t="array" ref="P3307">IF(O3307:O7350="","",_xlfn.XLOOKUP(O3307:O7350,'参照_官位'!A:A,'参照_官位'!B:B,""))</f>
      </c>
      <c r="Q3307" s="12" t="str">
        <f t="array" ref="Q3307">IF(A3307:A7350="","",IFERROR(_xlfn.XLOOKUP(A3307:A7350,castles_state!K:K,castles_state!D:D)&amp;"主",IFERROR(_xlfn.XLOOKUP(A3307:A7350,kunishuClan!D:D,kunishuClan!B:B)&amp;"当主","")))</f>
      </c>
    </row>
    <row r="3308" ht="15.75" customHeight="1">
      <c r="A3308" s="4">
        <v>1205009</v>
      </c>
      <c r="B3308" s="12" t="str">
        <f t="array" ref="B3308">IF(A3308:A7351="","",_xlfn.XLOOKUP(A3308:A7351,'参照_武将'!A:A,'参照_武将'!B:B,"見つかりません"))</f>
      </c>
      <c r="C3308" s="4" t="s">
        <v>5977</v>
      </c>
      <c r="D3308" s="4">
        <v>20</v>
      </c>
      <c r="E3308" s="12" t="str">
        <f t="array" ref="E3308">IF(D3308:D7351="","",IFERROR(_xlfn.XLOOKUP(D3308:D7351,'参照_勢力'!A:A,'参照_勢力'!B:B),IFERROR(_xlfn.XLOOKUP(F3308:F7351,kunishuClan!A:A,kunishuClan!B:B),"浪人")))</f>
      </c>
      <c r="F3308" s="4">
        <v>0</v>
      </c>
      <c r="G3308" s="4">
        <v>51</v>
      </c>
      <c r="H3308" s="12" t="str">
        <f t="array" ref="H3308">IF(G3308:G7351="","",_xlfn.XLOOKUP(G3308:G7351,castles_state!A:A,castles_state!D:D,"見つかりません"))</f>
      </c>
      <c r="I3308" s="4"/>
      <c r="J3308" s="12" t="str">
        <f t="array" ref="J3308">IF(I3308:I7351="","",_xlfn.XLOOKUP(I3308:I7351,'参照_姫'!A:A,'参照_姫'!B:B,"見つかりません"))</f>
      </c>
      <c r="K3308" s="4">
        <v>95</v>
      </c>
      <c r="L3308" s="4">
        <v>0</v>
      </c>
      <c r="M3308" s="4"/>
      <c r="N3308" s="4"/>
      <c r="O3308" s="4"/>
      <c r="P3308" s="12" t="str">
        <f t="array" ref="P3308">IF(O3308:O7351="","",_xlfn.XLOOKUP(O3308:O7351,'参照_官位'!A:A,'参照_官位'!B:B,""))</f>
      </c>
      <c r="Q3308" s="12" t="str">
        <f t="array" ref="Q3308">IF(A3308:A7351="","",IFERROR(_xlfn.XLOOKUP(A3308:A7351,castles_state!K:K,castles_state!D:D)&amp;"主",IFERROR(_xlfn.XLOOKUP(A3308:A7351,kunishuClan!D:D,kunishuClan!B:B)&amp;"当主","")))</f>
      </c>
    </row>
    <row r="3309" ht="15.75" customHeight="1">
      <c r="A3309" s="4">
        <v>1205010</v>
      </c>
      <c r="B3309" s="12" t="str">
        <f t="array" ref="B3309">IF(A3309:A7352="","",_xlfn.XLOOKUP(A3309:A7352,'参照_武将'!A:A,'参照_武将'!B:B,"見つかりません"))</f>
      </c>
      <c r="C3309" s="4" t="s">
        <v>5979</v>
      </c>
      <c r="D3309" s="4">
        <v>20</v>
      </c>
      <c r="E3309" s="12" t="str">
        <f t="array" ref="E3309">IF(D3309:D7352="","",IFERROR(_xlfn.XLOOKUP(D3309:D7352,'参照_勢力'!A:A,'参照_勢力'!B:B),IFERROR(_xlfn.XLOOKUP(F3309:F7352,kunishuClan!A:A,kunishuClan!B:B),"浪人")))</f>
      </c>
      <c r="F3309" s="4">
        <v>0</v>
      </c>
      <c r="G3309" s="4">
        <v>129</v>
      </c>
      <c r="H3309" s="12" t="str">
        <f t="array" ref="H3309">IF(G3309:G7352="","",_xlfn.XLOOKUP(G3309:G7352,castles_state!A:A,castles_state!D:D,"見つかりません"))</f>
      </c>
      <c r="I3309" s="4"/>
      <c r="J3309" s="12" t="str">
        <f t="array" ref="J3309">IF(I3309:I7352="","",_xlfn.XLOOKUP(I3309:I7352,'参照_姫'!A:A,'参照_姫'!B:B,"見つかりません"))</f>
      </c>
      <c r="K3309" s="4">
        <v>95</v>
      </c>
      <c r="L3309" s="4">
        <v>0</v>
      </c>
      <c r="M3309" s="4"/>
      <c r="N3309" s="4"/>
      <c r="O3309" s="4"/>
      <c r="P3309" s="12" t="str">
        <f t="array" ref="P3309">IF(O3309:O7352="","",_xlfn.XLOOKUP(O3309:O7352,'参照_官位'!A:A,'参照_官位'!B:B,""))</f>
      </c>
      <c r="Q3309" s="12" t="str">
        <f t="array" ref="Q3309">IF(A3309:A7352="","",IFERROR(_xlfn.XLOOKUP(A3309:A7352,castles_state!K:K,castles_state!D:D)&amp;"主",IFERROR(_xlfn.XLOOKUP(A3309:A7352,kunishuClan!D:D,kunishuClan!B:B)&amp;"当主","")))</f>
      </c>
    </row>
    <row r="3310" ht="15.75" customHeight="1">
      <c r="A3310" s="4">
        <v>1205011</v>
      </c>
      <c r="B3310" s="12" t="str">
        <f t="array" ref="B3310">IF(A3310:A7353="","",_xlfn.XLOOKUP(A3310:A7353,'参照_武将'!A:A,'参照_武将'!B:B,"見つかりません"))</f>
      </c>
      <c r="C3310" s="4" t="s">
        <v>5977</v>
      </c>
      <c r="D3310" s="4">
        <v>20</v>
      </c>
      <c r="E3310" s="12" t="str">
        <f t="array" ref="E3310">IF(D3310:D7353="","",IFERROR(_xlfn.XLOOKUP(D3310:D7353,'参照_勢力'!A:A,'参照_勢力'!B:B),IFERROR(_xlfn.XLOOKUP(F3310:F7353,kunishuClan!A:A,kunishuClan!B:B),"浪人")))</f>
      </c>
      <c r="F3310" s="4">
        <v>0</v>
      </c>
      <c r="G3310" s="4">
        <v>51</v>
      </c>
      <c r="H3310" s="12" t="str">
        <f t="array" ref="H3310">IF(G3310:G7353="","",_xlfn.XLOOKUP(G3310:G7353,castles_state!A:A,castles_state!D:D,"見つかりません"))</f>
      </c>
      <c r="I3310" s="4"/>
      <c r="J3310" s="12" t="str">
        <f t="array" ref="J3310">IF(I3310:I7353="","",_xlfn.XLOOKUP(I3310:I7353,'参照_姫'!A:A,'参照_姫'!B:B,"見つかりません"))</f>
      </c>
      <c r="K3310" s="4">
        <v>95</v>
      </c>
      <c r="L3310" s="4">
        <v>0</v>
      </c>
      <c r="M3310" s="4"/>
      <c r="N3310" s="4"/>
      <c r="O3310" s="4"/>
      <c r="P3310" s="12" t="str">
        <f t="array" ref="P3310">IF(O3310:O7353="","",_xlfn.XLOOKUP(O3310:O7353,'参照_官位'!A:A,'参照_官位'!B:B,""))</f>
      </c>
      <c r="Q3310" s="12" t="str">
        <f t="array" ref="Q3310">IF(A3310:A7353="","",IFERROR(_xlfn.XLOOKUP(A3310:A7353,castles_state!K:K,castles_state!D:D)&amp;"主",IFERROR(_xlfn.XLOOKUP(A3310:A7353,kunishuClan!D:D,kunishuClan!B:B)&amp;"当主","")))</f>
      </c>
    </row>
    <row r="3311" ht="15.75" customHeight="1">
      <c r="A3311" s="4">
        <v>1205012</v>
      </c>
      <c r="B3311" s="12" t="str">
        <f t="array" ref="B3311">IF(A3311:A7354="","",_xlfn.XLOOKUP(A3311:A7354,'参照_武将'!A:A,'参照_武将'!B:B,"見つかりません"))</f>
      </c>
      <c r="C3311" s="4" t="s">
        <v>5979</v>
      </c>
      <c r="D3311" s="4">
        <v>20</v>
      </c>
      <c r="E3311" s="12" t="str">
        <f t="array" ref="E3311">IF(D3311:D7354="","",IFERROR(_xlfn.XLOOKUP(D3311:D7354,'参照_勢力'!A:A,'参照_勢力'!B:B),IFERROR(_xlfn.XLOOKUP(F3311:F7354,kunishuClan!A:A,kunishuClan!B:B),"浪人")))</f>
      </c>
      <c r="F3311" s="4">
        <v>0</v>
      </c>
      <c r="G3311" s="4">
        <v>129</v>
      </c>
      <c r="H3311" s="12" t="str">
        <f t="array" ref="H3311">IF(G3311:G7354="","",_xlfn.XLOOKUP(G3311:G7354,castles_state!A:A,castles_state!D:D,"見つかりません"))</f>
      </c>
      <c r="I3311" s="4"/>
      <c r="J3311" s="12" t="str">
        <f t="array" ref="J3311">IF(I3311:I7354="","",_xlfn.XLOOKUP(I3311:I7354,'参照_姫'!A:A,'参照_姫'!B:B,"見つかりません"))</f>
      </c>
      <c r="K3311" s="4">
        <v>95</v>
      </c>
      <c r="L3311" s="4">
        <v>0</v>
      </c>
      <c r="M3311" s="4"/>
      <c r="N3311" s="4"/>
      <c r="O3311" s="4"/>
      <c r="P3311" s="12" t="str">
        <f t="array" ref="P3311">IF(O3311:O7354="","",_xlfn.XLOOKUP(O3311:O7354,'参照_官位'!A:A,'参照_官位'!B:B,""))</f>
      </c>
      <c r="Q3311" s="12" t="str">
        <f t="array" ref="Q3311">IF(A3311:A7354="","",IFERROR(_xlfn.XLOOKUP(A3311:A7354,castles_state!K:K,castles_state!D:D)&amp;"主",IFERROR(_xlfn.XLOOKUP(A3311:A7354,kunishuClan!D:D,kunishuClan!B:B)&amp;"当主","")))</f>
      </c>
    </row>
    <row r="3312" ht="15.75" customHeight="1">
      <c r="A3312" s="4">
        <v>1205013</v>
      </c>
      <c r="B3312" s="12" t="str">
        <f t="array" ref="B3312">IF(A3312:A7355="","",_xlfn.XLOOKUP(A3312:A7355,'参照_武将'!A:A,'参照_武将'!B:B,"見つかりません"))</f>
      </c>
      <c r="C3312" s="4" t="s">
        <v>5979</v>
      </c>
      <c r="D3312" s="4">
        <v>20</v>
      </c>
      <c r="E3312" s="12" t="str">
        <f t="array" ref="E3312">IF(D3312:D7355="","",IFERROR(_xlfn.XLOOKUP(D3312:D7355,'参照_勢力'!A:A,'参照_勢力'!B:B),IFERROR(_xlfn.XLOOKUP(F3312:F7355,kunishuClan!A:A,kunishuClan!B:B),"浪人")))</f>
      </c>
      <c r="F3312" s="4">
        <v>0</v>
      </c>
      <c r="G3312" s="4">
        <v>129</v>
      </c>
      <c r="H3312" s="12" t="str">
        <f t="array" ref="H3312">IF(G3312:G7355="","",_xlfn.XLOOKUP(G3312:G7355,castles_state!A:A,castles_state!D:D,"見つかりません"))</f>
      </c>
      <c r="I3312" s="4"/>
      <c r="J3312" s="12" t="str">
        <f t="array" ref="J3312">IF(I3312:I7355="","",_xlfn.XLOOKUP(I3312:I7355,'参照_姫'!A:A,'参照_姫'!B:B,"見つかりません"))</f>
      </c>
      <c r="K3312" s="4">
        <v>95</v>
      </c>
      <c r="L3312" s="4">
        <v>0</v>
      </c>
      <c r="M3312" s="4"/>
      <c r="N3312" s="4"/>
      <c r="O3312" s="4"/>
      <c r="P3312" s="12" t="str">
        <f t="array" ref="P3312">IF(O3312:O7355="","",_xlfn.XLOOKUP(O3312:O7355,'参照_官位'!A:A,'参照_官位'!B:B,""))</f>
      </c>
      <c r="Q3312" s="12" t="str">
        <f t="array" ref="Q3312">IF(A3312:A7355="","",IFERROR(_xlfn.XLOOKUP(A3312:A7355,castles_state!K:K,castles_state!D:D)&amp;"主",IFERROR(_xlfn.XLOOKUP(A3312:A7355,kunishuClan!D:D,kunishuClan!B:B)&amp;"当主","")))</f>
      </c>
    </row>
    <row r="3313" ht="15.75" customHeight="1">
      <c r="A3313" s="4">
        <v>1205014</v>
      </c>
      <c r="B3313" s="12" t="str">
        <f t="array" ref="B3313">IF(A3313:A7356="","",_xlfn.XLOOKUP(A3313:A7356,'参照_武将'!A:A,'参照_武将'!B:B,"見つかりません"))</f>
      </c>
      <c r="C3313" s="4" t="s">
        <v>5977</v>
      </c>
      <c r="D3313" s="4">
        <v>20</v>
      </c>
      <c r="E3313" s="12" t="str">
        <f t="array" ref="E3313">IF(D3313:D7356="","",IFERROR(_xlfn.XLOOKUP(D3313:D7356,'参照_勢力'!A:A,'参照_勢力'!B:B),IFERROR(_xlfn.XLOOKUP(F3313:F7356,kunishuClan!A:A,kunishuClan!B:B),"浪人")))</f>
      </c>
      <c r="F3313" s="4">
        <v>0</v>
      </c>
      <c r="G3313" s="4">
        <v>129</v>
      </c>
      <c r="H3313" s="12" t="str">
        <f t="array" ref="H3313">IF(G3313:G7356="","",_xlfn.XLOOKUP(G3313:G7356,castles_state!A:A,castles_state!D:D,"見つかりません"))</f>
      </c>
      <c r="I3313" s="4"/>
      <c r="J3313" s="12" t="str">
        <f t="array" ref="J3313">IF(I3313:I7356="","",_xlfn.XLOOKUP(I3313:I7356,'参照_姫'!A:A,'参照_姫'!B:B,"見つかりません"))</f>
      </c>
      <c r="K3313" s="4">
        <v>95</v>
      </c>
      <c r="L3313" s="4">
        <v>0</v>
      </c>
      <c r="M3313" s="4"/>
      <c r="N3313" s="4"/>
      <c r="O3313" s="4"/>
      <c r="P3313" s="12" t="str">
        <f t="array" ref="P3313">IF(O3313:O7356="","",_xlfn.XLOOKUP(O3313:O7356,'参照_官位'!A:A,'参照_官位'!B:B,""))</f>
      </c>
      <c r="Q3313" s="12" t="str">
        <f t="array" ref="Q3313">IF(A3313:A7356="","",IFERROR(_xlfn.XLOOKUP(A3313:A7356,castles_state!K:K,castles_state!D:D)&amp;"主",IFERROR(_xlfn.XLOOKUP(A3313:A7356,kunishuClan!D:D,kunishuClan!B:B)&amp;"当主","")))</f>
      </c>
    </row>
    <row r="3314" ht="15.75" customHeight="1">
      <c r="A3314" s="4">
        <v>1205015</v>
      </c>
      <c r="B3314" s="12" t="str">
        <f t="array" ref="B3314">IF(A3314:A7357="","",_xlfn.XLOOKUP(A3314:A7357,'参照_武将'!A:A,'参照_武将'!B:B,"見つかりません"))</f>
      </c>
      <c r="C3314" s="4" t="s">
        <v>5979</v>
      </c>
      <c r="D3314" s="4">
        <v>20</v>
      </c>
      <c r="E3314" s="12" t="str">
        <f t="array" ref="E3314">IF(D3314:D7357="","",IFERROR(_xlfn.XLOOKUP(D3314:D7357,'参照_勢力'!A:A,'参照_勢力'!B:B),IFERROR(_xlfn.XLOOKUP(F3314:F7357,kunishuClan!A:A,kunishuClan!B:B),"浪人")))</f>
      </c>
      <c r="F3314" s="4">
        <v>0</v>
      </c>
      <c r="G3314" s="4">
        <v>129</v>
      </c>
      <c r="H3314" s="12" t="str">
        <f t="array" ref="H3314">IF(G3314:G7357="","",_xlfn.XLOOKUP(G3314:G7357,castles_state!A:A,castles_state!D:D,"見つかりません"))</f>
      </c>
      <c r="I3314" s="4"/>
      <c r="J3314" s="12" t="str">
        <f t="array" ref="J3314">IF(I3314:I7357="","",_xlfn.XLOOKUP(I3314:I7357,'参照_姫'!A:A,'参照_姫'!B:B,"見つかりません"))</f>
      </c>
      <c r="K3314" s="4">
        <v>95</v>
      </c>
      <c r="L3314" s="4">
        <v>0</v>
      </c>
      <c r="M3314" s="4"/>
      <c r="N3314" s="4"/>
      <c r="O3314" s="4"/>
      <c r="P3314" s="12" t="str">
        <f t="array" ref="P3314">IF(O3314:O7357="","",_xlfn.XLOOKUP(O3314:O7357,'参照_官位'!A:A,'参照_官位'!B:B,""))</f>
      </c>
      <c r="Q3314" s="12" t="str">
        <f t="array" ref="Q3314">IF(A3314:A7357="","",IFERROR(_xlfn.XLOOKUP(A3314:A7357,castles_state!K:K,castles_state!D:D)&amp;"主",IFERROR(_xlfn.XLOOKUP(A3314:A7357,kunishuClan!D:D,kunishuClan!B:B)&amp;"当主","")))</f>
      </c>
    </row>
    <row r="3315" ht="15.75" customHeight="1">
      <c r="A3315" s="4">
        <v>1205016</v>
      </c>
      <c r="B3315" s="12" t="str">
        <f t="array" ref="B3315">IF(A3315:A7358="","",_xlfn.XLOOKUP(A3315:A7358,'参照_武将'!A:A,'参照_武将'!B:B,"見つかりません"))</f>
      </c>
      <c r="C3315" s="4" t="s">
        <v>5980</v>
      </c>
      <c r="D3315" s="4">
        <v>17</v>
      </c>
      <c r="E3315" s="12" t="str">
        <f t="array" ref="E3315">IF(D3315:D7358="","",IFERROR(_xlfn.XLOOKUP(D3315:D7358,'参照_勢力'!A:A,'参照_勢力'!B:B),IFERROR(_xlfn.XLOOKUP(F3315:F7358,kunishuClan!A:A,kunishuClan!B:B),"浪人")))</f>
      </c>
      <c r="F3315" s="4">
        <v>0</v>
      </c>
      <c r="G3315" s="4">
        <v>26</v>
      </c>
      <c r="H3315" s="12" t="str">
        <f t="array" ref="H3315">IF(G3315:G7358="","",_xlfn.XLOOKUP(G3315:G7358,castles_state!A:A,castles_state!D:D,"見つかりません"))</f>
      </c>
      <c r="I3315" s="4"/>
      <c r="J3315" s="12" t="str">
        <f t="array" ref="J3315">IF(I3315:I7358="","",_xlfn.XLOOKUP(I3315:I7358,'参照_姫'!A:A,'参照_姫'!B:B,"見つかりません"))</f>
      </c>
      <c r="K3315" s="4">
        <v>95</v>
      </c>
      <c r="L3315" s="4">
        <v>0</v>
      </c>
      <c r="M3315" s="4"/>
      <c r="N3315" s="4"/>
      <c r="O3315" s="4"/>
      <c r="P3315" s="12" t="str">
        <f t="array" ref="P3315">IF(O3315:O7358="","",_xlfn.XLOOKUP(O3315:O7358,'参照_官位'!A:A,'参照_官位'!B:B,""))</f>
      </c>
      <c r="Q3315" s="12" t="str">
        <f t="array" ref="Q3315">IF(A3315:A7358="","",IFERROR(_xlfn.XLOOKUP(A3315:A7358,castles_state!K:K,castles_state!D:D)&amp;"主",IFERROR(_xlfn.XLOOKUP(A3315:A7358,kunishuClan!D:D,kunishuClan!B:B)&amp;"当主","")))</f>
      </c>
    </row>
    <row r="3316" ht="15.75" customHeight="1">
      <c r="A3316" s="4">
        <v>1205017</v>
      </c>
      <c r="B3316" s="12" t="str">
        <f t="array" ref="B3316">IF(A3316:A7359="","",_xlfn.XLOOKUP(A3316:A7359,'参照_武将'!A:A,'参照_武将'!B:B,"見つかりません"))</f>
      </c>
      <c r="C3316" s="4" t="s">
        <v>5980</v>
      </c>
      <c r="D3316" s="4">
        <v>17</v>
      </c>
      <c r="E3316" s="12" t="str">
        <f t="array" ref="E3316">IF(D3316:D7359="","",IFERROR(_xlfn.XLOOKUP(D3316:D7359,'参照_勢力'!A:A,'参照_勢力'!B:B),IFERROR(_xlfn.XLOOKUP(F3316:F7359,kunishuClan!A:A,kunishuClan!B:B),"浪人")))</f>
      </c>
      <c r="F3316" s="4">
        <v>0</v>
      </c>
      <c r="G3316" s="4">
        <v>26</v>
      </c>
      <c r="H3316" s="12" t="str">
        <f t="array" ref="H3316">IF(G3316:G7359="","",_xlfn.XLOOKUP(G3316:G7359,castles_state!A:A,castles_state!D:D,"見つかりません"))</f>
      </c>
      <c r="I3316" s="4"/>
      <c r="J3316" s="12" t="str">
        <f t="array" ref="J3316">IF(I3316:I7359="","",_xlfn.XLOOKUP(I3316:I7359,'参照_姫'!A:A,'参照_姫'!B:B,"見つかりません"))</f>
      </c>
      <c r="K3316" s="4">
        <v>95</v>
      </c>
      <c r="L3316" s="4">
        <v>0</v>
      </c>
      <c r="M3316" s="4"/>
      <c r="N3316" s="4"/>
      <c r="O3316" s="4"/>
      <c r="P3316" s="12" t="str">
        <f t="array" ref="P3316">IF(O3316:O7359="","",_xlfn.XLOOKUP(O3316:O7359,'参照_官位'!A:A,'参照_官位'!B:B,""))</f>
      </c>
      <c r="Q3316" s="12" t="str">
        <f t="array" ref="Q3316">IF(A3316:A7359="","",IFERROR(_xlfn.XLOOKUP(A3316:A7359,castles_state!K:K,castles_state!D:D)&amp;"主",IFERROR(_xlfn.XLOOKUP(A3316:A7359,kunishuClan!D:D,kunishuClan!B:B)&amp;"当主","")))</f>
      </c>
    </row>
    <row r="3317" ht="15.75" customHeight="1">
      <c r="A3317" s="4">
        <v>1205018</v>
      </c>
      <c r="B3317" s="12" t="str">
        <f t="array" ref="B3317">IF(A3317:A7360="","",_xlfn.XLOOKUP(A3317:A7360,'参照_武将'!A:A,'参照_武将'!B:B,"見つかりません"))</f>
      </c>
      <c r="C3317" s="4" t="s">
        <v>5980</v>
      </c>
      <c r="D3317" s="4">
        <v>17</v>
      </c>
      <c r="E3317" s="12" t="str">
        <f t="array" ref="E3317">IF(D3317:D7360="","",IFERROR(_xlfn.XLOOKUP(D3317:D7360,'参照_勢力'!A:A,'参照_勢力'!B:B),IFERROR(_xlfn.XLOOKUP(F3317:F7360,kunishuClan!A:A,kunishuClan!B:B),"浪人")))</f>
      </c>
      <c r="F3317" s="4">
        <v>0</v>
      </c>
      <c r="G3317" s="4">
        <v>26</v>
      </c>
      <c r="H3317" s="12" t="str">
        <f t="array" ref="H3317">IF(G3317:G7360="","",_xlfn.XLOOKUP(G3317:G7360,castles_state!A:A,castles_state!D:D,"見つかりません"))</f>
      </c>
      <c r="I3317" s="4"/>
      <c r="J3317" s="12" t="str">
        <f t="array" ref="J3317">IF(I3317:I7360="","",_xlfn.XLOOKUP(I3317:I7360,'参照_姫'!A:A,'参照_姫'!B:B,"見つかりません"))</f>
      </c>
      <c r="K3317" s="4">
        <v>95</v>
      </c>
      <c r="L3317" s="4">
        <v>0</v>
      </c>
      <c r="M3317" s="4"/>
      <c r="N3317" s="4"/>
      <c r="O3317" s="4"/>
      <c r="P3317" s="12" t="str">
        <f t="array" ref="P3317">IF(O3317:O7360="","",_xlfn.XLOOKUP(O3317:O7360,'参照_官位'!A:A,'参照_官位'!B:B,""))</f>
      </c>
      <c r="Q3317" s="12" t="str">
        <f t="array" ref="Q3317">IF(A3317:A7360="","",IFERROR(_xlfn.XLOOKUP(A3317:A7360,castles_state!K:K,castles_state!D:D)&amp;"主",IFERROR(_xlfn.XLOOKUP(A3317:A7360,kunishuClan!D:D,kunishuClan!B:B)&amp;"当主","")))</f>
      </c>
    </row>
    <row r="3318" ht="15.75" customHeight="1">
      <c r="A3318" s="4">
        <v>1205019</v>
      </c>
      <c r="B3318" s="12" t="str">
        <f t="array" ref="B3318">IF(A3318:A7361="","",_xlfn.XLOOKUP(A3318:A7361,'参照_武将'!A:A,'参照_武将'!B:B,"見つかりません"))</f>
      </c>
      <c r="C3318" s="4" t="s">
        <v>5980</v>
      </c>
      <c r="D3318" s="4">
        <v>17</v>
      </c>
      <c r="E3318" s="12" t="str">
        <f t="array" ref="E3318">IF(D3318:D7361="","",IFERROR(_xlfn.XLOOKUP(D3318:D7361,'参照_勢力'!A:A,'参照_勢力'!B:B),IFERROR(_xlfn.XLOOKUP(F3318:F7361,kunishuClan!A:A,kunishuClan!B:B),"浪人")))</f>
      </c>
      <c r="F3318" s="4">
        <v>0</v>
      </c>
      <c r="G3318" s="4">
        <v>26</v>
      </c>
      <c r="H3318" s="12" t="str">
        <f t="array" ref="H3318">IF(G3318:G7361="","",_xlfn.XLOOKUP(G3318:G7361,castles_state!A:A,castles_state!D:D,"見つかりません"))</f>
      </c>
      <c r="I3318" s="4"/>
      <c r="J3318" s="12" t="str">
        <f t="array" ref="J3318">IF(I3318:I7361="","",_xlfn.XLOOKUP(I3318:I7361,'参照_姫'!A:A,'参照_姫'!B:B,"見つかりません"))</f>
      </c>
      <c r="K3318" s="4">
        <v>95</v>
      </c>
      <c r="L3318" s="4">
        <v>0</v>
      </c>
      <c r="M3318" s="4"/>
      <c r="N3318" s="4"/>
      <c r="O3318" s="4"/>
      <c r="P3318" s="12" t="str">
        <f t="array" ref="P3318">IF(O3318:O7361="","",_xlfn.XLOOKUP(O3318:O7361,'参照_官位'!A:A,'参照_官位'!B:B,""))</f>
      </c>
      <c r="Q3318" s="12" t="str">
        <f t="array" ref="Q3318">IF(A3318:A7361="","",IFERROR(_xlfn.XLOOKUP(A3318:A7361,castles_state!K:K,castles_state!D:D)&amp;"主",IFERROR(_xlfn.XLOOKUP(A3318:A7361,kunishuClan!D:D,kunishuClan!B:B)&amp;"当主","")))</f>
      </c>
    </row>
    <row r="3319" ht="15.75" customHeight="1">
      <c r="A3319" s="4">
        <v>1205020</v>
      </c>
      <c r="B3319" s="12" t="str">
        <f t="array" ref="B3319">IF(A3319:A7362="","",_xlfn.XLOOKUP(A3319:A7362,'参照_武将'!A:A,'参照_武将'!B:B,"見つかりません"))</f>
      </c>
      <c r="C3319" s="4" t="s">
        <v>5980</v>
      </c>
      <c r="D3319" s="4">
        <v>17</v>
      </c>
      <c r="E3319" s="12" t="str">
        <f t="array" ref="E3319">IF(D3319:D7362="","",IFERROR(_xlfn.XLOOKUP(D3319:D7362,'参照_勢力'!A:A,'参照_勢力'!B:B),IFERROR(_xlfn.XLOOKUP(F3319:F7362,kunishuClan!A:A,kunishuClan!B:B),"浪人")))</f>
      </c>
      <c r="F3319" s="4">
        <v>0</v>
      </c>
      <c r="G3319" s="4">
        <v>26</v>
      </c>
      <c r="H3319" s="12" t="str">
        <f t="array" ref="H3319">IF(G3319:G7362="","",_xlfn.XLOOKUP(G3319:G7362,castles_state!A:A,castles_state!D:D,"見つかりません"))</f>
      </c>
      <c r="I3319" s="4"/>
      <c r="J3319" s="12" t="str">
        <f t="array" ref="J3319">IF(I3319:I7362="","",_xlfn.XLOOKUP(I3319:I7362,'参照_姫'!A:A,'参照_姫'!B:B,"見つかりません"))</f>
      </c>
      <c r="K3319" s="4">
        <v>95</v>
      </c>
      <c r="L3319" s="4">
        <v>0</v>
      </c>
      <c r="M3319" s="4"/>
      <c r="N3319" s="4"/>
      <c r="O3319" s="4"/>
      <c r="P3319" s="12" t="str">
        <f t="array" ref="P3319">IF(O3319:O7362="","",_xlfn.XLOOKUP(O3319:O7362,'参照_官位'!A:A,'参照_官位'!B:B,""))</f>
      </c>
      <c r="Q3319" s="12" t="str">
        <f t="array" ref="Q3319">IF(A3319:A7362="","",IFERROR(_xlfn.XLOOKUP(A3319:A7362,castles_state!K:K,castles_state!D:D)&amp;"主",IFERROR(_xlfn.XLOOKUP(A3319:A7362,kunishuClan!D:D,kunishuClan!B:B)&amp;"当主","")))</f>
      </c>
    </row>
    <row r="3320" ht="15.75" customHeight="1">
      <c r="A3320" s="4">
        <v>1205021</v>
      </c>
      <c r="B3320" s="12" t="str">
        <f t="array" ref="B3320">IF(A3320:A7363="","",_xlfn.XLOOKUP(A3320:A7363,'参照_武将'!A:A,'参照_武将'!B:B,"見つかりません"))</f>
      </c>
      <c r="C3320" s="4" t="s">
        <v>441</v>
      </c>
      <c r="D3320" s="4">
        <v>20</v>
      </c>
      <c r="E3320" s="12" t="str">
        <f t="array" ref="E3320">IF(D3320:D7363="","",IFERROR(_xlfn.XLOOKUP(D3320:D7363,'参照_勢力'!A:A,'参照_勢力'!B:B),IFERROR(_xlfn.XLOOKUP(F3320:F7363,kunishuClan!A:A,kunishuClan!B:B),"浪人")))</f>
      </c>
      <c r="F3320" s="4">
        <v>0</v>
      </c>
      <c r="G3320" s="4">
        <v>129</v>
      </c>
      <c r="H3320" s="12" t="str">
        <f t="array" ref="H3320">IF(G3320:G7363="","",_xlfn.XLOOKUP(G3320:G7363,castles_state!A:A,castles_state!D:D,"見つかりません"))</f>
      </c>
      <c r="I3320" s="4"/>
      <c r="J3320" s="12" t="str">
        <f t="array" ref="J3320">IF(I3320:I7363="","",_xlfn.XLOOKUP(I3320:I7363,'参照_姫'!A:A,'参照_姫'!B:B,"見つかりません"))</f>
      </c>
      <c r="K3320" s="4">
        <v>95</v>
      </c>
      <c r="L3320" s="4">
        <v>0</v>
      </c>
      <c r="M3320" s="4"/>
      <c r="N3320" s="4"/>
      <c r="O3320" s="4"/>
      <c r="P3320" s="12" t="str">
        <f t="array" ref="P3320">IF(O3320:O7363="","",_xlfn.XLOOKUP(O3320:O7363,'参照_官位'!A:A,'参照_官位'!B:B,""))</f>
      </c>
      <c r="Q3320" s="12" t="str">
        <f t="array" ref="Q3320">IF(A3320:A7363="","",IFERROR(_xlfn.XLOOKUP(A3320:A7363,castles_state!K:K,castles_state!D:D)&amp;"主",IFERROR(_xlfn.XLOOKUP(A3320:A7363,kunishuClan!D:D,kunishuClan!B:B)&amp;"当主","")))</f>
      </c>
    </row>
    <row r="3321" ht="15.75" customHeight="1">
      <c r="A3321" s="4">
        <v>1205022</v>
      </c>
      <c r="B3321" s="12" t="str">
        <f t="array" ref="B3321">IF(A3321:A7364="","",_xlfn.XLOOKUP(A3321:A7364,'参照_武将'!A:A,'参照_武将'!B:B,"見つかりません"))</f>
      </c>
      <c r="C3321" s="4" t="s">
        <v>441</v>
      </c>
      <c r="D3321" s="4">
        <v>20</v>
      </c>
      <c r="E3321" s="12" t="str">
        <f t="array" ref="E3321">IF(D3321:D7364="","",IFERROR(_xlfn.XLOOKUP(D3321:D7364,'参照_勢力'!A:A,'参照_勢力'!B:B),IFERROR(_xlfn.XLOOKUP(F3321:F7364,kunishuClan!A:A,kunishuClan!B:B),"浪人")))</f>
      </c>
      <c r="F3321" s="4">
        <v>0</v>
      </c>
      <c r="G3321" s="4">
        <v>129</v>
      </c>
      <c r="H3321" s="12" t="str">
        <f t="array" ref="H3321">IF(G3321:G7364="","",_xlfn.XLOOKUP(G3321:G7364,castles_state!A:A,castles_state!D:D,"見つかりません"))</f>
      </c>
      <c r="I3321" s="4"/>
      <c r="J3321" s="12" t="str">
        <f t="array" ref="J3321">IF(I3321:I7364="","",_xlfn.XLOOKUP(I3321:I7364,'参照_姫'!A:A,'参照_姫'!B:B,"見つかりません"))</f>
      </c>
      <c r="K3321" s="4">
        <v>95</v>
      </c>
      <c r="L3321" s="4">
        <v>0</v>
      </c>
      <c r="M3321" s="4"/>
      <c r="N3321" s="4"/>
      <c r="O3321" s="4"/>
      <c r="P3321" s="12" t="str">
        <f t="array" ref="P3321">IF(O3321:O7364="","",_xlfn.XLOOKUP(O3321:O7364,'参照_官位'!A:A,'参照_官位'!B:B,""))</f>
      </c>
      <c r="Q3321" s="12" t="str">
        <f t="array" ref="Q3321">IF(A3321:A7364="","",IFERROR(_xlfn.XLOOKUP(A3321:A7364,castles_state!K:K,castles_state!D:D)&amp;"主",IFERROR(_xlfn.XLOOKUP(A3321:A7364,kunishuClan!D:D,kunishuClan!B:B)&amp;"当主","")))</f>
      </c>
    </row>
    <row r="3322" ht="15.75" customHeight="1">
      <c r="A3322" s="4">
        <v>1206001</v>
      </c>
      <c r="B3322" s="12" t="str">
        <f t="array" ref="B3322">IF(A3322:A7365="","",_xlfn.XLOOKUP(A3322:A7365,'参照_武将'!A:A,'参照_武将'!B:B,"見つかりません"))</f>
      </c>
      <c r="C3322" s="4" t="s">
        <v>446</v>
      </c>
      <c r="D3322" s="4">
        <v>3</v>
      </c>
      <c r="E3322" s="12" t="str">
        <f t="array" ref="E3322">IF(D3322:D7365="","",IFERROR(_xlfn.XLOOKUP(D3322:D7365,'参照_勢力'!A:A,'参照_勢力'!B:B),IFERROR(_xlfn.XLOOKUP(F3322:F7365,kunishuClan!A:A,kunishuClan!B:B),"浪人")))</f>
      </c>
      <c r="F3322" s="4">
        <v>0</v>
      </c>
      <c r="G3322" s="4">
        <v>8</v>
      </c>
      <c r="H3322" s="12" t="str">
        <f t="array" ref="H3322">IF(G3322:G7365="","",_xlfn.XLOOKUP(G3322:G7365,castles_state!A:A,castles_state!D:D,"見つかりません"))</f>
      </c>
      <c r="I3322" s="4"/>
      <c r="J3322" s="12" t="str">
        <f t="array" ref="J3322">IF(I3322:I7365="","",_xlfn.XLOOKUP(I3322:I7365,'参照_姫'!A:A,'参照_姫'!B:B,"見つかりません"))</f>
      </c>
      <c r="K3322" s="4">
        <v>95</v>
      </c>
      <c r="L3322" s="4">
        <v>0</v>
      </c>
      <c r="M3322" s="4"/>
      <c r="N3322" s="4"/>
      <c r="O3322" s="4"/>
      <c r="P3322" s="12" t="str">
        <f t="array" ref="P3322">IF(O3322:O7365="","",_xlfn.XLOOKUP(O3322:O7365,'参照_官位'!A:A,'参照_官位'!B:B,""))</f>
      </c>
      <c r="Q3322" s="12" t="str">
        <f t="array" ref="Q3322">IF(A3322:A7365="","",IFERROR(_xlfn.XLOOKUP(A3322:A7365,castles_state!K:K,castles_state!D:D)&amp;"主",IFERROR(_xlfn.XLOOKUP(A3322:A7365,kunishuClan!D:D,kunishuClan!B:B)&amp;"当主","")))</f>
      </c>
    </row>
    <row r="3323" ht="15.75" customHeight="1">
      <c r="A3323" s="4">
        <v>1206002</v>
      </c>
      <c r="B3323" s="12" t="str">
        <f t="array" ref="B3323">IF(A3323:A7366="","",_xlfn.XLOOKUP(A3323:A7366,'参照_武将'!A:A,'参照_武将'!B:B,"見つかりません"))</f>
      </c>
      <c r="C3323" s="4" t="s">
        <v>446</v>
      </c>
      <c r="D3323" s="4">
        <v>3</v>
      </c>
      <c r="E3323" s="12" t="str">
        <f t="array" ref="E3323">IF(D3323:D7366="","",IFERROR(_xlfn.XLOOKUP(D3323:D7366,'参照_勢力'!A:A,'参照_勢力'!B:B),IFERROR(_xlfn.XLOOKUP(F3323:F7366,kunishuClan!A:A,kunishuClan!B:B),"浪人")))</f>
      </c>
      <c r="F3323" s="4">
        <v>0</v>
      </c>
      <c r="G3323" s="4">
        <v>8</v>
      </c>
      <c r="H3323" s="12" t="str">
        <f t="array" ref="H3323">IF(G3323:G7366="","",_xlfn.XLOOKUP(G3323:G7366,castles_state!A:A,castles_state!D:D,"見つかりません"))</f>
      </c>
      <c r="I3323" s="4"/>
      <c r="J3323" s="12" t="str">
        <f t="array" ref="J3323">IF(I3323:I7366="","",_xlfn.XLOOKUP(I3323:I7366,'参照_姫'!A:A,'参照_姫'!B:B,"見つかりません"))</f>
      </c>
      <c r="K3323" s="4">
        <v>95</v>
      </c>
      <c r="L3323" s="4">
        <v>0</v>
      </c>
      <c r="M3323" s="4"/>
      <c r="N3323" s="4"/>
      <c r="O3323" s="4"/>
      <c r="P3323" s="12" t="str">
        <f t="array" ref="P3323">IF(O3323:O7366="","",_xlfn.XLOOKUP(O3323:O7366,'参照_官位'!A:A,'参照_官位'!B:B,""))</f>
      </c>
      <c r="Q3323" s="12" t="str">
        <f t="array" ref="Q3323">IF(A3323:A7366="","",IFERROR(_xlfn.XLOOKUP(A3323:A7366,castles_state!K:K,castles_state!D:D)&amp;"主",IFERROR(_xlfn.XLOOKUP(A3323:A7366,kunishuClan!D:D,kunishuClan!B:B)&amp;"当主","")))</f>
      </c>
    </row>
    <row r="3324" ht="15.75" customHeight="1">
      <c r="A3324" s="4">
        <v>1206003</v>
      </c>
      <c r="B3324" s="12" t="str">
        <f t="array" ref="B3324">IF(A3324:A7367="","",_xlfn.XLOOKUP(A3324:A7367,'参照_武将'!A:A,'参照_武将'!B:B,"見つかりません"))</f>
      </c>
      <c r="C3324" s="4" t="s">
        <v>446</v>
      </c>
      <c r="D3324" s="4">
        <v>3</v>
      </c>
      <c r="E3324" s="12" t="str">
        <f t="array" ref="E3324">IF(D3324:D7367="","",IFERROR(_xlfn.XLOOKUP(D3324:D7367,'参照_勢力'!A:A,'参照_勢力'!B:B),IFERROR(_xlfn.XLOOKUP(F3324:F7367,kunishuClan!A:A,kunishuClan!B:B),"浪人")))</f>
      </c>
      <c r="F3324" s="4">
        <v>0</v>
      </c>
      <c r="G3324" s="4">
        <v>8</v>
      </c>
      <c r="H3324" s="12" t="str">
        <f t="array" ref="H3324">IF(G3324:G7367="","",_xlfn.XLOOKUP(G3324:G7367,castles_state!A:A,castles_state!D:D,"見つかりません"))</f>
      </c>
      <c r="I3324" s="4"/>
      <c r="J3324" s="12" t="str">
        <f t="array" ref="J3324">IF(I3324:I7367="","",_xlfn.XLOOKUP(I3324:I7367,'参照_姫'!A:A,'参照_姫'!B:B,"見つかりません"))</f>
      </c>
      <c r="K3324" s="4">
        <v>95</v>
      </c>
      <c r="L3324" s="4">
        <v>0</v>
      </c>
      <c r="M3324" s="4"/>
      <c r="N3324" s="4"/>
      <c r="O3324" s="4"/>
      <c r="P3324" s="12" t="str">
        <f t="array" ref="P3324">IF(O3324:O7367="","",_xlfn.XLOOKUP(O3324:O7367,'参照_官位'!A:A,'参照_官位'!B:B,""))</f>
      </c>
      <c r="Q3324" s="12" t="str">
        <f t="array" ref="Q3324">IF(A3324:A7367="","",IFERROR(_xlfn.XLOOKUP(A3324:A7367,castles_state!K:K,castles_state!D:D)&amp;"主",IFERROR(_xlfn.XLOOKUP(A3324:A7367,kunishuClan!D:D,kunishuClan!B:B)&amp;"当主","")))</f>
      </c>
    </row>
    <row r="3325" ht="15.75" customHeight="1">
      <c r="A3325" s="4">
        <v>1206004</v>
      </c>
      <c r="B3325" s="12" t="str">
        <f t="array" ref="B3325">IF(A3325:A7368="","",_xlfn.XLOOKUP(A3325:A7368,'参照_武将'!A:A,'参照_武将'!B:B,"見つかりません"))</f>
      </c>
      <c r="C3325" s="4" t="s">
        <v>446</v>
      </c>
      <c r="D3325" s="4">
        <v>3</v>
      </c>
      <c r="E3325" s="12" t="str">
        <f t="array" ref="E3325">IF(D3325:D7368="","",IFERROR(_xlfn.XLOOKUP(D3325:D7368,'参照_勢力'!A:A,'参照_勢力'!B:B),IFERROR(_xlfn.XLOOKUP(F3325:F7368,kunishuClan!A:A,kunishuClan!B:B),"浪人")))</f>
      </c>
      <c r="F3325" s="4">
        <v>0</v>
      </c>
      <c r="G3325" s="4">
        <v>8</v>
      </c>
      <c r="H3325" s="12" t="str">
        <f t="array" ref="H3325">IF(G3325:G7368="","",_xlfn.XLOOKUP(G3325:G7368,castles_state!A:A,castles_state!D:D,"見つかりません"))</f>
      </c>
      <c r="I3325" s="4"/>
      <c r="J3325" s="12" t="str">
        <f t="array" ref="J3325">IF(I3325:I7368="","",_xlfn.XLOOKUP(I3325:I7368,'参照_姫'!A:A,'参照_姫'!B:B,"見つかりません"))</f>
      </c>
      <c r="K3325" s="4">
        <v>95</v>
      </c>
      <c r="L3325" s="4">
        <v>0</v>
      </c>
      <c r="M3325" s="4"/>
      <c r="N3325" s="4"/>
      <c r="O3325" s="4"/>
      <c r="P3325" s="12" t="str">
        <f t="array" ref="P3325">IF(O3325:O7368="","",_xlfn.XLOOKUP(O3325:O7368,'参照_官位'!A:A,'参照_官位'!B:B,""))</f>
      </c>
      <c r="Q3325" s="12" t="str">
        <f t="array" ref="Q3325">IF(A3325:A7368="","",IFERROR(_xlfn.XLOOKUP(A3325:A7368,castles_state!K:K,castles_state!D:D)&amp;"主",IFERROR(_xlfn.XLOOKUP(A3325:A7368,kunishuClan!D:D,kunishuClan!B:B)&amp;"当主","")))</f>
      </c>
    </row>
    <row r="3326" ht="15.75" customHeight="1">
      <c r="A3326" s="4">
        <v>1206005</v>
      </c>
      <c r="B3326" s="12" t="str">
        <f t="array" ref="B3326">IF(A3326:A7369="","",_xlfn.XLOOKUP(A3326:A7369,'参照_武将'!A:A,'参照_武将'!B:B,"見つかりません"))</f>
      </c>
      <c r="C3326" s="4" t="s">
        <v>446</v>
      </c>
      <c r="D3326" s="4">
        <v>3</v>
      </c>
      <c r="E3326" s="12" t="str">
        <f t="array" ref="E3326">IF(D3326:D7369="","",IFERROR(_xlfn.XLOOKUP(D3326:D7369,'参照_勢力'!A:A,'参照_勢力'!B:B),IFERROR(_xlfn.XLOOKUP(F3326:F7369,kunishuClan!A:A,kunishuClan!B:B),"浪人")))</f>
      </c>
      <c r="F3326" s="4">
        <v>0</v>
      </c>
      <c r="G3326" s="4">
        <v>8</v>
      </c>
      <c r="H3326" s="12" t="str">
        <f t="array" ref="H3326">IF(G3326:G7369="","",_xlfn.XLOOKUP(G3326:G7369,castles_state!A:A,castles_state!D:D,"見つかりません"))</f>
      </c>
      <c r="I3326" s="4"/>
      <c r="J3326" s="12" t="str">
        <f t="array" ref="J3326">IF(I3326:I7369="","",_xlfn.XLOOKUP(I3326:I7369,'参照_姫'!A:A,'参照_姫'!B:B,"見つかりません"))</f>
      </c>
      <c r="K3326" s="4">
        <v>95</v>
      </c>
      <c r="L3326" s="4">
        <v>0</v>
      </c>
      <c r="M3326" s="4"/>
      <c r="N3326" s="4"/>
      <c r="O3326" s="4"/>
      <c r="P3326" s="12" t="str">
        <f t="array" ref="P3326">IF(O3326:O7369="","",_xlfn.XLOOKUP(O3326:O7369,'参照_官位'!A:A,'参照_官位'!B:B,""))</f>
      </c>
      <c r="Q3326" s="12" t="str">
        <f t="array" ref="Q3326">IF(A3326:A7369="","",IFERROR(_xlfn.XLOOKUP(A3326:A7369,castles_state!K:K,castles_state!D:D)&amp;"主",IFERROR(_xlfn.XLOOKUP(A3326:A7369,kunishuClan!D:D,kunishuClan!B:B)&amp;"当主","")))</f>
      </c>
    </row>
    <row r="3327" ht="15.75" customHeight="1">
      <c r="A3327" s="4">
        <v>1206006</v>
      </c>
      <c r="B3327" s="12" t="str">
        <f t="array" ref="B3327">IF(A3327:A7370="","",_xlfn.XLOOKUP(A3327:A7370,'参照_武将'!A:A,'参照_武将'!B:B,"見つかりません"))</f>
      </c>
      <c r="C3327" s="4" t="s">
        <v>446</v>
      </c>
      <c r="D3327" s="4">
        <v>3</v>
      </c>
      <c r="E3327" s="12" t="str">
        <f t="array" ref="E3327">IF(D3327:D7370="","",IFERROR(_xlfn.XLOOKUP(D3327:D7370,'参照_勢力'!A:A,'参照_勢力'!B:B),IFERROR(_xlfn.XLOOKUP(F3327:F7370,kunishuClan!A:A,kunishuClan!B:B),"浪人")))</f>
      </c>
      <c r="F3327" s="4">
        <v>0</v>
      </c>
      <c r="G3327" s="4">
        <v>8</v>
      </c>
      <c r="H3327" s="12" t="str">
        <f t="array" ref="H3327">IF(G3327:G7370="","",_xlfn.XLOOKUP(G3327:G7370,castles_state!A:A,castles_state!D:D,"見つかりません"))</f>
      </c>
      <c r="I3327" s="4"/>
      <c r="J3327" s="12" t="str">
        <f t="array" ref="J3327">IF(I3327:I7370="","",_xlfn.XLOOKUP(I3327:I7370,'参照_姫'!A:A,'参照_姫'!B:B,"見つかりません"))</f>
      </c>
      <c r="K3327" s="4">
        <v>95</v>
      </c>
      <c r="L3327" s="4">
        <v>0</v>
      </c>
      <c r="M3327" s="4"/>
      <c r="N3327" s="4"/>
      <c r="O3327" s="4"/>
      <c r="P3327" s="12" t="str">
        <f t="array" ref="P3327">IF(O3327:O7370="","",_xlfn.XLOOKUP(O3327:O7370,'参照_官位'!A:A,'参照_官位'!B:B,""))</f>
      </c>
      <c r="Q3327" s="12" t="str">
        <f t="array" ref="Q3327">IF(A3327:A7370="","",IFERROR(_xlfn.XLOOKUP(A3327:A7370,castles_state!K:K,castles_state!D:D)&amp;"主",IFERROR(_xlfn.XLOOKUP(A3327:A7370,kunishuClan!D:D,kunishuClan!B:B)&amp;"当主","")))</f>
      </c>
    </row>
    <row r="3328" ht="15.75" customHeight="1">
      <c r="A3328" s="4">
        <v>1206007</v>
      </c>
      <c r="B3328" s="12" t="str">
        <f t="array" ref="B3328">IF(A3328:A7371="","",_xlfn.XLOOKUP(A3328:A7371,'参照_武将'!A:A,'参照_武将'!B:B,"見つかりません"))</f>
      </c>
      <c r="C3328" s="4" t="s">
        <v>446</v>
      </c>
      <c r="D3328" s="4">
        <v>3</v>
      </c>
      <c r="E3328" s="12" t="str">
        <f t="array" ref="E3328">IF(D3328:D7371="","",IFERROR(_xlfn.XLOOKUP(D3328:D7371,'参照_勢力'!A:A,'参照_勢力'!B:B),IFERROR(_xlfn.XLOOKUP(F3328:F7371,kunishuClan!A:A,kunishuClan!B:B),"浪人")))</f>
      </c>
      <c r="F3328" s="4">
        <v>0</v>
      </c>
      <c r="G3328" s="4">
        <v>8</v>
      </c>
      <c r="H3328" s="12" t="str">
        <f t="array" ref="H3328">IF(G3328:G7371="","",_xlfn.XLOOKUP(G3328:G7371,castles_state!A:A,castles_state!D:D,"見つかりません"))</f>
      </c>
      <c r="I3328" s="4"/>
      <c r="J3328" s="12" t="str">
        <f t="array" ref="J3328">IF(I3328:I7371="","",_xlfn.XLOOKUP(I3328:I7371,'参照_姫'!A:A,'参照_姫'!B:B,"見つかりません"))</f>
      </c>
      <c r="K3328" s="4">
        <v>95</v>
      </c>
      <c r="L3328" s="4">
        <v>0</v>
      </c>
      <c r="M3328" s="4"/>
      <c r="N3328" s="4"/>
      <c r="O3328" s="4"/>
      <c r="P3328" s="12" t="str">
        <f t="array" ref="P3328">IF(O3328:O7371="","",_xlfn.XLOOKUP(O3328:O7371,'参照_官位'!A:A,'参照_官位'!B:B,""))</f>
      </c>
      <c r="Q3328" s="12" t="str">
        <f t="array" ref="Q3328">IF(A3328:A7371="","",IFERROR(_xlfn.XLOOKUP(A3328:A7371,castles_state!K:K,castles_state!D:D)&amp;"主",IFERROR(_xlfn.XLOOKUP(A3328:A7371,kunishuClan!D:D,kunishuClan!B:B)&amp;"当主","")))</f>
      </c>
    </row>
    <row r="3329" ht="15.75" customHeight="1">
      <c r="A3329" s="4">
        <v>1207001</v>
      </c>
      <c r="B3329" s="12" t="str">
        <f t="array" ref="B3329">IF(A3329:A7372="","",_xlfn.XLOOKUP(A3329:A7372,'参照_武将'!A:A,'参照_武将'!B:B,"見つかりません"))</f>
      </c>
      <c r="C3329" s="4" t="s">
        <v>451</v>
      </c>
      <c r="D3329" s="4">
        <v>0</v>
      </c>
      <c r="E3329" s="12" t="str">
        <f t="array" ref="E3329">IF(D3329:D7372="","",IFERROR(_xlfn.XLOOKUP(D3329:D7372,'参照_勢力'!A:A,'参照_勢力'!B:B),IFERROR(_xlfn.XLOOKUP(F3329:F7372,kunishuClan!A:A,kunishuClan!B:B),"浪人")))</f>
      </c>
      <c r="F3329" s="4">
        <v>0</v>
      </c>
      <c r="G3329" s="4">
        <v>88</v>
      </c>
      <c r="H3329" s="12" t="str">
        <f t="array" ref="H3329">IF(G3329:G7372="","",_xlfn.XLOOKUP(G3329:G7372,castles_state!A:A,castles_state!D:D,"見つかりません"))</f>
      </c>
      <c r="I3329" s="4"/>
      <c r="J3329" s="12" t="str">
        <f t="array" ref="J3329">IF(I3329:I7372="","",_xlfn.XLOOKUP(I3329:I7372,'参照_姫'!A:A,'参照_姫'!B:B,"見つかりません"))</f>
      </c>
      <c r="K3329" s="4">
        <v>50</v>
      </c>
      <c r="L3329" s="4">
        <v>0</v>
      </c>
      <c r="M3329" s="4"/>
      <c r="N3329" s="4"/>
      <c r="O3329" s="4"/>
      <c r="P3329" s="12" t="str">
        <f t="array" ref="P3329">IF(O3329:O7372="","",_xlfn.XLOOKUP(O3329:O7372,'参照_官位'!A:A,'参照_官位'!B:B,""))</f>
      </c>
      <c r="Q3329" s="12" t="str">
        <f t="array" ref="Q3329">IF(A3329:A7372="","",IFERROR(_xlfn.XLOOKUP(A3329:A7372,castles_state!K:K,castles_state!D:D)&amp;"主",IFERROR(_xlfn.XLOOKUP(A3329:A7372,kunishuClan!D:D,kunishuClan!B:B)&amp;"当主","")))</f>
      </c>
    </row>
    <row r="3330" ht="15.75" customHeight="1">
      <c r="A3330" s="4">
        <v>1208001</v>
      </c>
      <c r="B3330" s="12" t="str">
        <f t="array" ref="B3330">IF(A3330:A7373="","",_xlfn.XLOOKUP(A3330:A7373,'参照_武将'!A:A,'参照_武将'!B:B,"見つかりません"))</f>
      </c>
      <c r="C3330" s="4" t="s">
        <v>456</v>
      </c>
      <c r="D3330" s="4">
        <v>0</v>
      </c>
      <c r="E3330" s="12" t="str">
        <f t="array" ref="E3330">IF(D3330:D7373="","",IFERROR(_xlfn.XLOOKUP(D3330:D7373,'参照_勢力'!A:A,'参照_勢力'!B:B),IFERROR(_xlfn.XLOOKUP(F3330:F7373,kunishuClan!A:A,kunishuClan!B:B),"浪人")))</f>
      </c>
      <c r="F3330" s="4">
        <v>17</v>
      </c>
      <c r="G3330" s="4">
        <v>96</v>
      </c>
      <c r="H3330" s="12" t="str">
        <f t="array" ref="H3330">IF(G3330:G7373="","",_xlfn.XLOOKUP(G3330:G7373,castles_state!A:A,castles_state!D:D,"見つかりません"))</f>
      </c>
      <c r="I3330" s="4"/>
      <c r="J3330" s="12" t="str">
        <f t="array" ref="J3330">IF(I3330:I7373="","",_xlfn.XLOOKUP(I3330:I7373,'参照_姫'!A:A,'参照_姫'!B:B,"見つかりません"))</f>
      </c>
      <c r="K3330" s="4">
        <v>50</v>
      </c>
      <c r="L3330" s="4">
        <v>0</v>
      </c>
      <c r="M3330" s="4"/>
      <c r="N3330" s="4"/>
      <c r="O3330" s="4"/>
      <c r="P3330" s="12" t="str">
        <f t="array" ref="P3330">IF(O3330:O7373="","",_xlfn.XLOOKUP(O3330:O7373,'参照_官位'!A:A,'参照_官位'!B:B,""))</f>
      </c>
      <c r="Q3330" s="12" t="str">
        <f t="array" ref="Q3330">IF(A3330:A7373="","",IFERROR(_xlfn.XLOOKUP(A3330:A7373,castles_state!K:K,castles_state!D:D)&amp;"主",IFERROR(_xlfn.XLOOKUP(A3330:A7373,kunishuClan!D:D,kunishuClan!B:B)&amp;"当主","")))</f>
      </c>
    </row>
    <row r="3331" ht="15.75" customHeight="1">
      <c r="A3331" s="4">
        <v>1208002</v>
      </c>
      <c r="B3331" s="12" t="str">
        <f t="array" ref="B3331">IF(A3331:A7374="","",_xlfn.XLOOKUP(A3331:A7374,'参照_武将'!A:A,'参照_武将'!B:B,"見つかりません"))</f>
      </c>
      <c r="C3331" s="4" t="s">
        <v>456</v>
      </c>
      <c r="D3331" s="4">
        <v>0</v>
      </c>
      <c r="E3331" s="12" t="str">
        <f t="array" ref="E3331">IF(D3331:D7374="","",IFERROR(_xlfn.XLOOKUP(D3331:D7374,'参照_勢力'!A:A,'参照_勢力'!B:B),IFERROR(_xlfn.XLOOKUP(F3331:F7374,kunishuClan!A:A,kunishuClan!B:B),"浪人")))</f>
      </c>
      <c r="F3331" s="4">
        <v>17</v>
      </c>
      <c r="G3331" s="4">
        <v>26</v>
      </c>
      <c r="H3331" s="12" t="str">
        <f t="array" ref="H3331">IF(G3331:G7374="","",_xlfn.XLOOKUP(G3331:G7374,castles_state!A:A,castles_state!D:D,"見つかりません"))</f>
      </c>
      <c r="I3331" s="4"/>
      <c r="J3331" s="12" t="str">
        <f t="array" ref="J3331">IF(I3331:I7374="","",_xlfn.XLOOKUP(I3331:I7374,'参照_姫'!A:A,'参照_姫'!B:B,"見つかりません"))</f>
      </c>
      <c r="K3331" s="4">
        <v>50</v>
      </c>
      <c r="L3331" s="4">
        <v>0</v>
      </c>
      <c r="M3331" s="4"/>
      <c r="N3331" s="4"/>
      <c r="O3331" s="4"/>
      <c r="P3331" s="12" t="str">
        <f t="array" ref="P3331">IF(O3331:O7374="","",_xlfn.XLOOKUP(O3331:O7374,'参照_官位'!A:A,'参照_官位'!B:B,""))</f>
      </c>
      <c r="Q3331" s="12" t="str">
        <f t="array" ref="Q3331">IF(A3331:A7374="","",IFERROR(_xlfn.XLOOKUP(A3331:A7374,castles_state!K:K,castles_state!D:D)&amp;"主",IFERROR(_xlfn.XLOOKUP(A3331:A7374,kunishuClan!D:D,kunishuClan!B:B)&amp;"当主","")))</f>
      </c>
    </row>
    <row r="3332" ht="15.75" customHeight="1">
      <c r="A3332" s="4">
        <v>1208003</v>
      </c>
      <c r="B3332" s="12" t="str">
        <f t="array" ref="B3332">IF(A3332:A7375="","",_xlfn.XLOOKUP(A3332:A7375,'参照_武将'!A:A,'参照_武将'!B:B,"見つかりません"))</f>
      </c>
      <c r="C3332" s="4" t="s">
        <v>456</v>
      </c>
      <c r="D3332" s="4">
        <v>0</v>
      </c>
      <c r="E3332" s="12" t="str">
        <f t="array" ref="E3332">IF(D3332:D7375="","",IFERROR(_xlfn.XLOOKUP(D3332:D7375,'参照_勢力'!A:A,'参照_勢力'!B:B),IFERROR(_xlfn.XLOOKUP(F3332:F7375,kunishuClan!A:A,kunishuClan!B:B),"浪人")))</f>
      </c>
      <c r="F3332" s="4">
        <v>17</v>
      </c>
      <c r="G3332" s="4">
        <v>26</v>
      </c>
      <c r="H3332" s="12" t="str">
        <f t="array" ref="H3332">IF(G3332:G7375="","",_xlfn.XLOOKUP(G3332:G7375,castles_state!A:A,castles_state!D:D,"見つかりません"))</f>
      </c>
      <c r="I3332" s="4"/>
      <c r="J3332" s="12" t="str">
        <f t="array" ref="J3332">IF(I3332:I7375="","",_xlfn.XLOOKUP(I3332:I7375,'参照_姫'!A:A,'参照_姫'!B:B,"見つかりません"))</f>
      </c>
      <c r="K3332" s="4">
        <v>50</v>
      </c>
      <c r="L3332" s="4">
        <v>0</v>
      </c>
      <c r="M3332" s="4"/>
      <c r="N3332" s="4"/>
      <c r="O3332" s="4"/>
      <c r="P3332" s="12" t="str">
        <f t="array" ref="P3332">IF(O3332:O7375="","",_xlfn.XLOOKUP(O3332:O7375,'参照_官位'!A:A,'参照_官位'!B:B,""))</f>
      </c>
      <c r="Q3332" s="12" t="str">
        <f t="array" ref="Q3332">IF(A3332:A7375="","",IFERROR(_xlfn.XLOOKUP(A3332:A7375,castles_state!K:K,castles_state!D:D)&amp;"主",IFERROR(_xlfn.XLOOKUP(A3332:A7375,kunishuClan!D:D,kunishuClan!B:B)&amp;"当主","")))</f>
      </c>
    </row>
    <row r="3333" ht="15.75" customHeight="1">
      <c r="A3333" s="4">
        <v>1208004</v>
      </c>
      <c r="B3333" s="12" t="str">
        <f t="array" ref="B3333">IF(A3333:A7376="","",_xlfn.XLOOKUP(A3333:A7376,'参照_武将'!A:A,'参照_武将'!B:B,"見つかりません"))</f>
      </c>
      <c r="C3333" s="4" t="s">
        <v>456</v>
      </c>
      <c r="D3333" s="4">
        <v>0</v>
      </c>
      <c r="E3333" s="12" t="str">
        <f t="array" ref="E3333">IF(D3333:D7376="","",IFERROR(_xlfn.XLOOKUP(D3333:D7376,'参照_勢力'!A:A,'参照_勢力'!B:B),IFERROR(_xlfn.XLOOKUP(F3333:F7376,kunishuClan!A:A,kunishuClan!B:B),"浪人")))</f>
      </c>
      <c r="F3333" s="4">
        <v>17</v>
      </c>
      <c r="G3333" s="4">
        <v>26</v>
      </c>
      <c r="H3333" s="12" t="str">
        <f t="array" ref="H3333">IF(G3333:G7376="","",_xlfn.XLOOKUP(G3333:G7376,castles_state!A:A,castles_state!D:D,"見つかりません"))</f>
      </c>
      <c r="I3333" s="4"/>
      <c r="J3333" s="12" t="str">
        <f t="array" ref="J3333">IF(I3333:I7376="","",_xlfn.XLOOKUP(I3333:I7376,'参照_姫'!A:A,'参照_姫'!B:B,"見つかりません"))</f>
      </c>
      <c r="K3333" s="4">
        <v>50</v>
      </c>
      <c r="L3333" s="4">
        <v>0</v>
      </c>
      <c r="M3333" s="4"/>
      <c r="N3333" s="4"/>
      <c r="O3333" s="4"/>
      <c r="P3333" s="12" t="str">
        <f t="array" ref="P3333">IF(O3333:O7376="","",_xlfn.XLOOKUP(O3333:O7376,'参照_官位'!A:A,'参照_官位'!B:B,""))</f>
      </c>
      <c r="Q3333" s="12" t="str">
        <f t="array" ref="Q3333">IF(A3333:A7376="","",IFERROR(_xlfn.XLOOKUP(A3333:A7376,castles_state!K:K,castles_state!D:D)&amp;"主",IFERROR(_xlfn.XLOOKUP(A3333:A7376,kunishuClan!D:D,kunishuClan!B:B)&amp;"当主","")))</f>
      </c>
    </row>
    <row r="3334" ht="15.75" customHeight="1">
      <c r="A3334" s="4">
        <v>1208005</v>
      </c>
      <c r="B3334" s="12" t="str">
        <f t="array" ref="B3334">IF(A3334:A7377="","",_xlfn.XLOOKUP(A3334:A7377,'参照_武将'!A:A,'参照_武将'!B:B,"見つかりません"))</f>
      </c>
      <c r="C3334" s="4" t="s">
        <v>456</v>
      </c>
      <c r="D3334" s="4">
        <v>0</v>
      </c>
      <c r="E3334" s="12" t="str">
        <f t="array" ref="E3334">IF(D3334:D7377="","",IFERROR(_xlfn.XLOOKUP(D3334:D7377,'参照_勢力'!A:A,'参照_勢力'!B:B),IFERROR(_xlfn.XLOOKUP(F3334:F7377,kunishuClan!A:A,kunishuClan!B:B),"浪人")))</f>
      </c>
      <c r="F3334" s="4">
        <v>17</v>
      </c>
      <c r="G3334" s="4">
        <v>26</v>
      </c>
      <c r="H3334" s="12" t="str">
        <f t="array" ref="H3334">IF(G3334:G7377="","",_xlfn.XLOOKUP(G3334:G7377,castles_state!A:A,castles_state!D:D,"見つかりません"))</f>
      </c>
      <c r="I3334" s="4"/>
      <c r="J3334" s="12" t="str">
        <f t="array" ref="J3334">IF(I3334:I7377="","",_xlfn.XLOOKUP(I3334:I7377,'参照_姫'!A:A,'参照_姫'!B:B,"見つかりません"))</f>
      </c>
      <c r="K3334" s="4">
        <v>50</v>
      </c>
      <c r="L3334" s="4">
        <v>0</v>
      </c>
      <c r="M3334" s="4"/>
      <c r="N3334" s="4"/>
      <c r="O3334" s="4"/>
      <c r="P3334" s="12" t="str">
        <f t="array" ref="P3334">IF(O3334:O7377="","",_xlfn.XLOOKUP(O3334:O7377,'参照_官位'!A:A,'参照_官位'!B:B,""))</f>
      </c>
      <c r="Q3334" s="12" t="str">
        <f t="array" ref="Q3334">IF(A3334:A7377="","",IFERROR(_xlfn.XLOOKUP(A3334:A7377,castles_state!K:K,castles_state!D:D)&amp;"主",IFERROR(_xlfn.XLOOKUP(A3334:A7377,kunishuClan!D:D,kunishuClan!B:B)&amp;"当主","")))</f>
      </c>
    </row>
    <row r="3335" ht="15.75" customHeight="1">
      <c r="A3335" s="4">
        <v>1208006</v>
      </c>
      <c r="B3335" s="12" t="str">
        <f t="array" ref="B3335">IF(A3335:A7378="","",_xlfn.XLOOKUP(A3335:A7378,'参照_武将'!A:A,'参照_武将'!B:B,"見つかりません"))</f>
      </c>
      <c r="C3335" s="4" t="s">
        <v>456</v>
      </c>
      <c r="D3335" s="4">
        <v>0</v>
      </c>
      <c r="E3335" s="12" t="str">
        <f t="array" ref="E3335">IF(D3335:D7378="","",IFERROR(_xlfn.XLOOKUP(D3335:D7378,'参照_勢力'!A:A,'参照_勢力'!B:B),IFERROR(_xlfn.XLOOKUP(F3335:F7378,kunishuClan!A:A,kunishuClan!B:B),"浪人")))</f>
      </c>
      <c r="F3335" s="4">
        <v>17</v>
      </c>
      <c r="G3335" s="4">
        <v>26</v>
      </c>
      <c r="H3335" s="12" t="str">
        <f t="array" ref="H3335">IF(G3335:G7378="","",_xlfn.XLOOKUP(G3335:G7378,castles_state!A:A,castles_state!D:D,"見つかりません"))</f>
      </c>
      <c r="I3335" s="4"/>
      <c r="J3335" s="12" t="str">
        <f t="array" ref="J3335">IF(I3335:I7378="","",_xlfn.XLOOKUP(I3335:I7378,'参照_姫'!A:A,'参照_姫'!B:B,"見つかりません"))</f>
      </c>
      <c r="K3335" s="4">
        <v>50</v>
      </c>
      <c r="L3335" s="4">
        <v>0</v>
      </c>
      <c r="M3335" s="4"/>
      <c r="N3335" s="4"/>
      <c r="O3335" s="4"/>
      <c r="P3335" s="12" t="str">
        <f t="array" ref="P3335">IF(O3335:O7378="","",_xlfn.XLOOKUP(O3335:O7378,'参照_官位'!A:A,'参照_官位'!B:B,""))</f>
      </c>
      <c r="Q3335" s="12" t="str">
        <f t="array" ref="Q3335">IF(A3335:A7378="","",IFERROR(_xlfn.XLOOKUP(A3335:A7378,castles_state!K:K,castles_state!D:D)&amp;"主",IFERROR(_xlfn.XLOOKUP(A3335:A7378,kunishuClan!D:D,kunishuClan!B:B)&amp;"当主","")))</f>
      </c>
    </row>
    <row r="3336" ht="15.75" customHeight="1">
      <c r="A3336" s="4">
        <v>1208007</v>
      </c>
      <c r="B3336" s="12" t="str">
        <f t="array" ref="B3336">IF(A3336:A7379="","",_xlfn.XLOOKUP(A3336:A7379,'参照_武将'!A:A,'参照_武将'!B:B,"見つかりません"))</f>
      </c>
      <c r="C3336" s="4" t="s">
        <v>456</v>
      </c>
      <c r="D3336" s="4">
        <v>0</v>
      </c>
      <c r="E3336" s="12" t="str">
        <f t="array" ref="E3336">IF(D3336:D7379="","",IFERROR(_xlfn.XLOOKUP(D3336:D7379,'参照_勢力'!A:A,'参照_勢力'!B:B),IFERROR(_xlfn.XLOOKUP(F3336:F7379,kunishuClan!A:A,kunishuClan!B:B),"浪人")))</f>
      </c>
      <c r="F3336" s="4">
        <v>17</v>
      </c>
      <c r="G3336" s="4">
        <v>26</v>
      </c>
      <c r="H3336" s="12" t="str">
        <f t="array" ref="H3336">IF(G3336:G7379="","",_xlfn.XLOOKUP(G3336:G7379,castles_state!A:A,castles_state!D:D,"見つかりません"))</f>
      </c>
      <c r="I3336" s="4"/>
      <c r="J3336" s="12" t="str">
        <f t="array" ref="J3336">IF(I3336:I7379="","",_xlfn.XLOOKUP(I3336:I7379,'参照_姫'!A:A,'参照_姫'!B:B,"見つかりません"))</f>
      </c>
      <c r="K3336" s="4">
        <v>50</v>
      </c>
      <c r="L3336" s="4">
        <v>0</v>
      </c>
      <c r="M3336" s="4"/>
      <c r="N3336" s="4"/>
      <c r="O3336" s="4"/>
      <c r="P3336" s="12" t="str">
        <f t="array" ref="P3336">IF(O3336:O7379="","",_xlfn.XLOOKUP(O3336:O7379,'参照_官位'!A:A,'参照_官位'!B:B,""))</f>
      </c>
      <c r="Q3336" s="12" t="str">
        <f t="array" ref="Q3336">IF(A3336:A7379="","",IFERROR(_xlfn.XLOOKUP(A3336:A7379,castles_state!K:K,castles_state!D:D)&amp;"主",IFERROR(_xlfn.XLOOKUP(A3336:A7379,kunishuClan!D:D,kunishuClan!B:B)&amp;"当主","")))</f>
      </c>
    </row>
    <row r="3337" ht="15.75" customHeight="1">
      <c r="A3337" s="4">
        <v>1208008</v>
      </c>
      <c r="B3337" s="12" t="str">
        <f t="array" ref="B3337">IF(A3337:A7380="","",_xlfn.XLOOKUP(A3337:A7380,'参照_武将'!A:A,'参照_武将'!B:B,"見つかりません"))</f>
      </c>
      <c r="C3337" s="4" t="s">
        <v>456</v>
      </c>
      <c r="D3337" s="4">
        <v>0</v>
      </c>
      <c r="E3337" s="12" t="str">
        <f t="array" ref="E3337">IF(D3337:D7380="","",IFERROR(_xlfn.XLOOKUP(D3337:D7380,'参照_勢力'!A:A,'参照_勢力'!B:B),IFERROR(_xlfn.XLOOKUP(F3337:F7380,kunishuClan!A:A,kunishuClan!B:B),"浪人")))</f>
      </c>
      <c r="F3337" s="4">
        <v>0</v>
      </c>
      <c r="G3337" s="4">
        <v>96</v>
      </c>
      <c r="H3337" s="12" t="str">
        <f t="array" ref="H3337">IF(G3337:G7380="","",_xlfn.XLOOKUP(G3337:G7380,castles_state!A:A,castles_state!D:D,"見つかりません"))</f>
      </c>
      <c r="I3337" s="4"/>
      <c r="J3337" s="12" t="str">
        <f t="array" ref="J3337">IF(I3337:I7380="","",_xlfn.XLOOKUP(I3337:I7380,'参照_姫'!A:A,'参照_姫'!B:B,"見つかりません"))</f>
      </c>
      <c r="K3337" s="4">
        <v>50</v>
      </c>
      <c r="L3337" s="4">
        <v>0</v>
      </c>
      <c r="M3337" s="4"/>
      <c r="N3337" s="4"/>
      <c r="O3337" s="4"/>
      <c r="P3337" s="12" t="str">
        <f t="array" ref="P3337">IF(O3337:O7380="","",_xlfn.XLOOKUP(O3337:O7380,'参照_官位'!A:A,'参照_官位'!B:B,""))</f>
      </c>
      <c r="Q3337" s="12" t="str">
        <f t="array" ref="Q3337">IF(A3337:A7380="","",IFERROR(_xlfn.XLOOKUP(A3337:A7380,castles_state!K:K,castles_state!D:D)&amp;"主",IFERROR(_xlfn.XLOOKUP(A3337:A7380,kunishuClan!D:D,kunishuClan!B:B)&amp;"当主","")))</f>
      </c>
    </row>
    <row r="3338" ht="15.75" customHeight="1">
      <c r="A3338" s="4">
        <v>1208009</v>
      </c>
      <c r="B3338" s="12" t="str">
        <f t="array" ref="B3338">IF(A3338:A7381="","",_xlfn.XLOOKUP(A3338:A7381,'参照_武将'!A:A,'参照_武将'!B:B,"見つかりません"))</f>
      </c>
      <c r="C3338" s="4" t="s">
        <v>456</v>
      </c>
      <c r="D3338" s="4">
        <v>0</v>
      </c>
      <c r="E3338" s="12" t="str">
        <f t="array" ref="E3338">IF(D3338:D7381="","",IFERROR(_xlfn.XLOOKUP(D3338:D7381,'参照_勢力'!A:A,'参照_勢力'!B:B),IFERROR(_xlfn.XLOOKUP(F3338:F7381,kunishuClan!A:A,kunishuClan!B:B),"浪人")))</f>
      </c>
      <c r="F3338" s="4">
        <v>17</v>
      </c>
      <c r="G3338" s="4">
        <v>26</v>
      </c>
      <c r="H3338" s="12" t="str">
        <f t="array" ref="H3338">IF(G3338:G7381="","",_xlfn.XLOOKUP(G3338:G7381,castles_state!A:A,castles_state!D:D,"見つかりません"))</f>
      </c>
      <c r="I3338" s="4"/>
      <c r="J3338" s="12" t="str">
        <f t="array" ref="J3338">IF(I3338:I7381="","",_xlfn.XLOOKUP(I3338:I7381,'参照_姫'!A:A,'参照_姫'!B:B,"見つかりません"))</f>
      </c>
      <c r="K3338" s="4">
        <v>50</v>
      </c>
      <c r="L3338" s="4">
        <v>0</v>
      </c>
      <c r="M3338" s="4"/>
      <c r="N3338" s="4"/>
      <c r="O3338" s="4"/>
      <c r="P3338" s="12" t="str">
        <f t="array" ref="P3338">IF(O3338:O7381="","",_xlfn.XLOOKUP(O3338:O7381,'参照_官位'!A:A,'参照_官位'!B:B,""))</f>
      </c>
      <c r="Q3338" s="12" t="str">
        <f t="array" ref="Q3338">IF(A3338:A7381="","",IFERROR(_xlfn.XLOOKUP(A3338:A7381,castles_state!K:K,castles_state!D:D)&amp;"主",IFERROR(_xlfn.XLOOKUP(A3338:A7381,kunishuClan!D:D,kunishuClan!B:B)&amp;"当主","")))</f>
      </c>
    </row>
    <row r="3339" ht="15.75" customHeight="1">
      <c r="A3339" s="4">
        <v>1208010</v>
      </c>
      <c r="B3339" s="12" t="str">
        <f t="array" ref="B3339">IF(A3339:A7382="","",_xlfn.XLOOKUP(A3339:A7382,'参照_武将'!A:A,'参照_武将'!B:B,"見つかりません"))</f>
      </c>
      <c r="C3339" s="4" t="s">
        <v>456</v>
      </c>
      <c r="D3339" s="4">
        <v>0</v>
      </c>
      <c r="E3339" s="12" t="str">
        <f t="array" ref="E3339">IF(D3339:D7382="","",IFERROR(_xlfn.XLOOKUP(D3339:D7382,'参照_勢力'!A:A,'参照_勢力'!B:B),IFERROR(_xlfn.XLOOKUP(F3339:F7382,kunishuClan!A:A,kunishuClan!B:B),"浪人")))</f>
      </c>
      <c r="F3339" s="4">
        <v>0</v>
      </c>
      <c r="G3339" s="4">
        <v>96</v>
      </c>
      <c r="H3339" s="12" t="str">
        <f t="array" ref="H3339">IF(G3339:G7382="","",_xlfn.XLOOKUP(G3339:G7382,castles_state!A:A,castles_state!D:D,"見つかりません"))</f>
      </c>
      <c r="I3339" s="4"/>
      <c r="J3339" s="12" t="str">
        <f t="array" ref="J3339">IF(I3339:I7382="","",_xlfn.XLOOKUP(I3339:I7382,'参照_姫'!A:A,'参照_姫'!B:B,"見つかりません"))</f>
      </c>
      <c r="K3339" s="4">
        <v>50</v>
      </c>
      <c r="L3339" s="4">
        <v>0</v>
      </c>
      <c r="M3339" s="4"/>
      <c r="N3339" s="4"/>
      <c r="O3339" s="4"/>
      <c r="P3339" s="12" t="str">
        <f t="array" ref="P3339">IF(O3339:O7382="","",_xlfn.XLOOKUP(O3339:O7382,'参照_官位'!A:A,'参照_官位'!B:B,""))</f>
      </c>
      <c r="Q3339" s="12" t="str">
        <f t="array" ref="Q3339">IF(A3339:A7382="","",IFERROR(_xlfn.XLOOKUP(A3339:A7382,castles_state!K:K,castles_state!D:D)&amp;"主",IFERROR(_xlfn.XLOOKUP(A3339:A7382,kunishuClan!D:D,kunishuClan!B:B)&amp;"当主","")))</f>
      </c>
    </row>
    <row r="3340" ht="15.75" customHeight="1">
      <c r="A3340" s="4">
        <v>1208011</v>
      </c>
      <c r="B3340" s="12" t="str">
        <f t="array" ref="B3340">IF(A3340:A7383="","",_xlfn.XLOOKUP(A3340:A7383,'参照_武将'!A:A,'参照_武将'!B:B,"見つかりません"))</f>
      </c>
      <c r="C3340" s="4" t="s">
        <v>456</v>
      </c>
      <c r="D3340" s="4">
        <v>3</v>
      </c>
      <c r="E3340" s="12" t="str">
        <f t="array" ref="E3340">IF(D3340:D7383="","",IFERROR(_xlfn.XLOOKUP(D3340:D7383,'参照_勢力'!A:A,'参照_勢力'!B:B),IFERROR(_xlfn.XLOOKUP(F3340:F7383,kunishuClan!A:A,kunishuClan!B:B),"浪人")))</f>
      </c>
      <c r="F3340" s="4">
        <v>0</v>
      </c>
      <c r="G3340" s="4">
        <v>96</v>
      </c>
      <c r="H3340" s="12" t="str">
        <f t="array" ref="H3340">IF(G3340:G7383="","",_xlfn.XLOOKUP(G3340:G7383,castles_state!A:A,castles_state!D:D,"見つかりません"))</f>
      </c>
      <c r="I3340" s="4"/>
      <c r="J3340" s="12" t="str">
        <f t="array" ref="J3340">IF(I3340:I7383="","",_xlfn.XLOOKUP(I3340:I7383,'参照_姫'!A:A,'参照_姫'!B:B,"見つかりません"))</f>
      </c>
      <c r="K3340" s="4">
        <v>95</v>
      </c>
      <c r="L3340" s="4">
        <v>0</v>
      </c>
      <c r="M3340" s="4"/>
      <c r="N3340" s="4"/>
      <c r="O3340" s="4"/>
      <c r="P3340" s="12" t="str">
        <f t="array" ref="P3340">IF(O3340:O7383="","",_xlfn.XLOOKUP(O3340:O7383,'参照_官位'!A:A,'参照_官位'!B:B,""))</f>
      </c>
      <c r="Q3340" s="12" t="str">
        <f t="array" ref="Q3340">IF(A3340:A7383="","",IFERROR(_xlfn.XLOOKUP(A3340:A7383,castles_state!K:K,castles_state!D:D)&amp;"主",IFERROR(_xlfn.XLOOKUP(A3340:A7383,kunishuClan!D:D,kunishuClan!B:B)&amp;"当主","")))</f>
      </c>
    </row>
    <row r="3341" ht="15.75" customHeight="1">
      <c r="A3341" s="4">
        <v>1208012</v>
      </c>
      <c r="B3341" s="12" t="str">
        <f t="array" ref="B3341">IF(A3341:A7384="","",_xlfn.XLOOKUP(A3341:A7384,'参照_武将'!A:A,'参照_武将'!B:B,"見つかりません"))</f>
      </c>
      <c r="C3341" s="4" t="s">
        <v>456</v>
      </c>
      <c r="D3341" s="4">
        <v>0</v>
      </c>
      <c r="E3341" s="12" t="str">
        <f t="array" ref="E3341">IF(D3341:D7384="","",IFERROR(_xlfn.XLOOKUP(D3341:D7384,'参照_勢力'!A:A,'参照_勢力'!B:B),IFERROR(_xlfn.XLOOKUP(F3341:F7384,kunishuClan!A:A,kunishuClan!B:B),"浪人")))</f>
      </c>
      <c r="F3341" s="4">
        <v>0</v>
      </c>
      <c r="G3341" s="4">
        <v>96</v>
      </c>
      <c r="H3341" s="12" t="str">
        <f t="array" ref="H3341">IF(G3341:G7384="","",_xlfn.XLOOKUP(G3341:G7384,castles_state!A:A,castles_state!D:D,"見つかりません"))</f>
      </c>
      <c r="I3341" s="4"/>
      <c r="J3341" s="12" t="str">
        <f t="array" ref="J3341">IF(I3341:I7384="","",_xlfn.XLOOKUP(I3341:I7384,'参照_姫'!A:A,'参照_姫'!B:B,"見つかりません"))</f>
      </c>
      <c r="K3341" s="4">
        <v>50</v>
      </c>
      <c r="L3341" s="4">
        <v>0</v>
      </c>
      <c r="M3341" s="4"/>
      <c r="N3341" s="4"/>
      <c r="O3341" s="4"/>
      <c r="P3341" s="12" t="str">
        <f t="array" ref="P3341">IF(O3341:O7384="","",_xlfn.XLOOKUP(O3341:O7384,'参照_官位'!A:A,'参照_官位'!B:B,""))</f>
      </c>
      <c r="Q3341" s="12" t="str">
        <f t="array" ref="Q3341">IF(A3341:A7384="","",IFERROR(_xlfn.XLOOKUP(A3341:A7384,castles_state!K:K,castles_state!D:D)&amp;"主",IFERROR(_xlfn.XLOOKUP(A3341:A7384,kunishuClan!D:D,kunishuClan!B:B)&amp;"当主","")))</f>
      </c>
    </row>
    <row r="3342" ht="15.75" customHeight="1">
      <c r="A3342" s="4">
        <v>1208013</v>
      </c>
      <c r="B3342" s="12" t="str">
        <f t="array" ref="B3342">IF(A3342:A7385="","",_xlfn.XLOOKUP(A3342:A7385,'参照_武将'!A:A,'参照_武将'!B:B,"見つかりません"))</f>
      </c>
      <c r="C3342" s="4" t="s">
        <v>456</v>
      </c>
      <c r="D3342" s="4">
        <v>0</v>
      </c>
      <c r="E3342" s="12" t="str">
        <f t="array" ref="E3342">IF(D3342:D7385="","",IFERROR(_xlfn.XLOOKUP(D3342:D7385,'参照_勢力'!A:A,'参照_勢力'!B:B),IFERROR(_xlfn.XLOOKUP(F3342:F7385,kunishuClan!A:A,kunishuClan!B:B),"浪人")))</f>
      </c>
      <c r="F3342" s="4">
        <v>0</v>
      </c>
      <c r="G3342" s="4">
        <v>96</v>
      </c>
      <c r="H3342" s="12" t="str">
        <f t="array" ref="H3342">IF(G3342:G7385="","",_xlfn.XLOOKUP(G3342:G7385,castles_state!A:A,castles_state!D:D,"見つかりません"))</f>
      </c>
      <c r="I3342" s="4"/>
      <c r="J3342" s="12" t="str">
        <f t="array" ref="J3342">IF(I3342:I7385="","",_xlfn.XLOOKUP(I3342:I7385,'参照_姫'!A:A,'参照_姫'!B:B,"見つかりません"))</f>
      </c>
      <c r="K3342" s="4">
        <v>50</v>
      </c>
      <c r="L3342" s="4">
        <v>0</v>
      </c>
      <c r="M3342" s="4"/>
      <c r="N3342" s="4"/>
      <c r="O3342" s="4"/>
      <c r="P3342" s="12" t="str">
        <f t="array" ref="P3342">IF(O3342:O7385="","",_xlfn.XLOOKUP(O3342:O7385,'参照_官位'!A:A,'参照_官位'!B:B,""))</f>
      </c>
      <c r="Q3342" s="12" t="str">
        <f t="array" ref="Q3342">IF(A3342:A7385="","",IFERROR(_xlfn.XLOOKUP(A3342:A7385,castles_state!K:K,castles_state!D:D)&amp;"主",IFERROR(_xlfn.XLOOKUP(A3342:A7385,kunishuClan!D:D,kunishuClan!B:B)&amp;"当主","")))</f>
      </c>
    </row>
    <row r="3343" ht="15.75" customHeight="1">
      <c r="A3343" s="4">
        <v>1208014</v>
      </c>
      <c r="B3343" s="12" t="str">
        <f t="array" ref="B3343">IF(A3343:A7386="","",_xlfn.XLOOKUP(A3343:A7386,'参照_武将'!A:A,'参照_武将'!B:B,"見つかりません"))</f>
      </c>
      <c r="C3343" s="4" t="s">
        <v>456</v>
      </c>
      <c r="D3343" s="4">
        <v>0</v>
      </c>
      <c r="E3343" s="12" t="str">
        <f t="array" ref="E3343">IF(D3343:D7386="","",IFERROR(_xlfn.XLOOKUP(D3343:D7386,'参照_勢力'!A:A,'参照_勢力'!B:B),IFERROR(_xlfn.XLOOKUP(F3343:F7386,kunishuClan!A:A,kunishuClan!B:B),"浪人")))</f>
      </c>
      <c r="F3343" s="4">
        <v>0</v>
      </c>
      <c r="G3343" s="4">
        <v>96</v>
      </c>
      <c r="H3343" s="12" t="str">
        <f t="array" ref="H3343">IF(G3343:G7386="","",_xlfn.XLOOKUP(G3343:G7386,castles_state!A:A,castles_state!D:D,"見つかりません"))</f>
      </c>
      <c r="I3343" s="4"/>
      <c r="J3343" s="12" t="str">
        <f t="array" ref="J3343">IF(I3343:I7386="","",_xlfn.XLOOKUP(I3343:I7386,'参照_姫'!A:A,'参照_姫'!B:B,"見つかりません"))</f>
      </c>
      <c r="K3343" s="4">
        <v>50</v>
      </c>
      <c r="L3343" s="4">
        <v>0</v>
      </c>
      <c r="M3343" s="4"/>
      <c r="N3343" s="4"/>
      <c r="O3343" s="4"/>
      <c r="P3343" s="12" t="str">
        <f t="array" ref="P3343">IF(O3343:O7386="","",_xlfn.XLOOKUP(O3343:O7386,'参照_官位'!A:A,'参照_官位'!B:B,""))</f>
      </c>
      <c r="Q3343" s="12" t="str">
        <f t="array" ref="Q3343">IF(A3343:A7386="","",IFERROR(_xlfn.XLOOKUP(A3343:A7386,castles_state!K:K,castles_state!D:D)&amp;"主",IFERROR(_xlfn.XLOOKUP(A3343:A7386,kunishuClan!D:D,kunishuClan!B:B)&amp;"当主","")))</f>
      </c>
    </row>
    <row r="3344" ht="15.75" customHeight="1">
      <c r="A3344" s="4">
        <v>1208015</v>
      </c>
      <c r="B3344" s="12" t="str">
        <f t="array" ref="B3344">IF(A3344:A7387="","",_xlfn.XLOOKUP(A3344:A7387,'参照_武将'!A:A,'参照_武将'!B:B,"見つかりません"))</f>
      </c>
      <c r="C3344" s="4" t="s">
        <v>456</v>
      </c>
      <c r="D3344" s="4">
        <v>0</v>
      </c>
      <c r="E3344" s="12" t="str">
        <f t="array" ref="E3344">IF(D3344:D7387="","",IFERROR(_xlfn.XLOOKUP(D3344:D7387,'参照_勢力'!A:A,'参照_勢力'!B:B),IFERROR(_xlfn.XLOOKUP(F3344:F7387,kunishuClan!A:A,kunishuClan!B:B),"浪人")))</f>
      </c>
      <c r="F3344" s="4">
        <v>17</v>
      </c>
      <c r="G3344" s="4">
        <v>26</v>
      </c>
      <c r="H3344" s="12" t="str">
        <f t="array" ref="H3344">IF(G3344:G7387="","",_xlfn.XLOOKUP(G3344:G7387,castles_state!A:A,castles_state!D:D,"見つかりません"))</f>
      </c>
      <c r="I3344" s="4"/>
      <c r="J3344" s="12" t="str">
        <f t="array" ref="J3344">IF(I3344:I7387="","",_xlfn.XLOOKUP(I3344:I7387,'参照_姫'!A:A,'参照_姫'!B:B,"見つかりません"))</f>
      </c>
      <c r="K3344" s="4">
        <v>50</v>
      </c>
      <c r="L3344" s="4">
        <v>0</v>
      </c>
      <c r="M3344" s="4"/>
      <c r="N3344" s="4"/>
      <c r="O3344" s="4"/>
      <c r="P3344" s="12" t="str">
        <f t="array" ref="P3344">IF(O3344:O7387="","",_xlfn.XLOOKUP(O3344:O7387,'参照_官位'!A:A,'参照_官位'!B:B,""))</f>
      </c>
      <c r="Q3344" s="12" t="str">
        <f t="array" ref="Q3344">IF(A3344:A7387="","",IFERROR(_xlfn.XLOOKUP(A3344:A7387,castles_state!K:K,castles_state!D:D)&amp;"主",IFERROR(_xlfn.XLOOKUP(A3344:A7387,kunishuClan!D:D,kunishuClan!B:B)&amp;"当主","")))</f>
      </c>
    </row>
    <row r="3345" ht="15.75" customHeight="1">
      <c r="A3345" s="4">
        <v>1209001</v>
      </c>
      <c r="B3345" s="12" t="str">
        <f t="array" ref="B3345">IF(A3345:A7388="","",_xlfn.XLOOKUP(A3345:A7388,'参照_武将'!A:A,'参照_武将'!B:B,"見つかりません"))</f>
      </c>
      <c r="C3345" s="4" t="s">
        <v>460</v>
      </c>
      <c r="D3345" s="4">
        <v>3</v>
      </c>
      <c r="E3345" s="12" t="str">
        <f t="array" ref="E3345">IF(D3345:D7388="","",IFERROR(_xlfn.XLOOKUP(D3345:D7388,'参照_勢力'!A:A,'参照_勢力'!B:B),IFERROR(_xlfn.XLOOKUP(F3345:F7388,kunishuClan!A:A,kunishuClan!B:B),"浪人")))</f>
      </c>
      <c r="F3345" s="4">
        <v>0</v>
      </c>
      <c r="G3345" s="4">
        <v>30</v>
      </c>
      <c r="H3345" s="12" t="str">
        <f t="array" ref="H3345">IF(G3345:G7388="","",_xlfn.XLOOKUP(G3345:G7388,castles_state!A:A,castles_state!D:D,"見つかりません"))</f>
      </c>
      <c r="I3345" s="4"/>
      <c r="J3345" s="12" t="str">
        <f t="array" ref="J3345">IF(I3345:I7388="","",_xlfn.XLOOKUP(I3345:I7388,'参照_姫'!A:A,'参照_姫'!B:B,"見つかりません"))</f>
      </c>
      <c r="K3345" s="4">
        <v>100</v>
      </c>
      <c r="L3345" s="4">
        <v>0</v>
      </c>
      <c r="M3345" s="4"/>
      <c r="N3345" s="4"/>
      <c r="O3345" s="4"/>
      <c r="P3345" s="12" t="str">
        <f t="array" ref="P3345">IF(O3345:O7388="","",_xlfn.XLOOKUP(O3345:O7388,'参照_官位'!A:A,'参照_官位'!B:B,""))</f>
      </c>
      <c r="Q3345" s="12" t="str">
        <f t="array" ref="Q3345">IF(A3345:A7388="","",IFERROR(_xlfn.XLOOKUP(A3345:A7388,castles_state!K:K,castles_state!D:D)&amp;"主",IFERROR(_xlfn.XLOOKUP(A3345:A7388,kunishuClan!D:D,kunishuClan!B:B)&amp;"当主","")))</f>
      </c>
    </row>
    <row r="3346" ht="15.75" customHeight="1">
      <c r="A3346" s="4">
        <v>1209002</v>
      </c>
      <c r="B3346" s="12" t="str">
        <f t="array" ref="B3346">IF(A3346:A7389="","",_xlfn.XLOOKUP(A3346:A7389,'参照_武将'!A:A,'参照_武将'!B:B,"見つかりません"))</f>
      </c>
      <c r="C3346" s="4" t="s">
        <v>460</v>
      </c>
      <c r="D3346" s="4">
        <v>3</v>
      </c>
      <c r="E3346" s="12" t="str">
        <f t="array" ref="E3346">IF(D3346:D7389="","",IFERROR(_xlfn.XLOOKUP(D3346:D7389,'参照_勢力'!A:A,'参照_勢力'!B:B),IFERROR(_xlfn.XLOOKUP(F3346:F7389,kunishuClan!A:A,kunishuClan!B:B),"浪人")))</f>
      </c>
      <c r="F3346" s="4">
        <v>0</v>
      </c>
      <c r="G3346" s="4">
        <v>30</v>
      </c>
      <c r="H3346" s="12" t="str">
        <f t="array" ref="H3346">IF(G3346:G7389="","",_xlfn.XLOOKUP(G3346:G7389,castles_state!A:A,castles_state!D:D,"見つかりません"))</f>
      </c>
      <c r="I3346" s="4"/>
      <c r="J3346" s="12" t="str">
        <f t="array" ref="J3346">IF(I3346:I7389="","",_xlfn.XLOOKUP(I3346:I7389,'参照_姫'!A:A,'参照_姫'!B:B,"見つかりません"))</f>
      </c>
      <c r="K3346" s="4">
        <v>100</v>
      </c>
      <c r="L3346" s="4">
        <v>500</v>
      </c>
      <c r="M3346" s="4"/>
      <c r="N3346" s="4"/>
      <c r="O3346" s="4"/>
      <c r="P3346" s="12" t="str">
        <f t="array" ref="P3346">IF(O3346:O7389="","",_xlfn.XLOOKUP(O3346:O7389,'参照_官位'!A:A,'参照_官位'!B:B,""))</f>
      </c>
      <c r="Q3346" s="12" t="str">
        <f t="array" ref="Q3346">IF(A3346:A7389="","",IFERROR(_xlfn.XLOOKUP(A3346:A7389,castles_state!K:K,castles_state!D:D)&amp;"主",IFERROR(_xlfn.XLOOKUP(A3346:A7389,kunishuClan!D:D,kunishuClan!B:B)&amp;"当主","")))</f>
      </c>
    </row>
    <row r="3347" ht="15.75" customHeight="1">
      <c r="A3347" s="4">
        <v>1209003</v>
      </c>
      <c r="B3347" s="12" t="str">
        <f t="array" ref="B3347">IF(A3347:A7390="","",_xlfn.XLOOKUP(A3347:A7390,'参照_武将'!A:A,'参照_武将'!B:B,"見つかりません"))</f>
      </c>
      <c r="C3347" s="4" t="s">
        <v>460</v>
      </c>
      <c r="D3347" s="4">
        <v>3</v>
      </c>
      <c r="E3347" s="12" t="str">
        <f t="array" ref="E3347">IF(D3347:D7390="","",IFERROR(_xlfn.XLOOKUP(D3347:D7390,'参照_勢力'!A:A,'参照_勢力'!B:B),IFERROR(_xlfn.XLOOKUP(F3347:F7390,kunishuClan!A:A,kunishuClan!B:B),"浪人")))</f>
      </c>
      <c r="F3347" s="4">
        <v>0</v>
      </c>
      <c r="G3347" s="4">
        <v>30</v>
      </c>
      <c r="H3347" s="12" t="str">
        <f t="array" ref="H3347">IF(G3347:G7390="","",_xlfn.XLOOKUP(G3347:G7390,castles_state!A:A,castles_state!D:D,"見つかりません"))</f>
      </c>
      <c r="I3347" s="4"/>
      <c r="J3347" s="12" t="str">
        <f t="array" ref="J3347">IF(I3347:I7390="","",_xlfn.XLOOKUP(I3347:I7390,'参照_姫'!A:A,'参照_姫'!B:B,"見つかりません"))</f>
      </c>
      <c r="K3347" s="4">
        <v>100</v>
      </c>
      <c r="L3347" s="4">
        <v>0</v>
      </c>
      <c r="M3347" s="4"/>
      <c r="N3347" s="4"/>
      <c r="O3347" s="4"/>
      <c r="P3347" s="12" t="str">
        <f t="array" ref="P3347">IF(O3347:O7390="","",_xlfn.XLOOKUP(O3347:O7390,'参照_官位'!A:A,'参照_官位'!B:B,""))</f>
      </c>
      <c r="Q3347" s="12" t="str">
        <f t="array" ref="Q3347">IF(A3347:A7390="","",IFERROR(_xlfn.XLOOKUP(A3347:A7390,castles_state!K:K,castles_state!D:D)&amp;"主",IFERROR(_xlfn.XLOOKUP(A3347:A7390,kunishuClan!D:D,kunishuClan!B:B)&amp;"当主","")))</f>
      </c>
    </row>
    <row r="3348" ht="15.75" customHeight="1">
      <c r="A3348" s="4">
        <v>1209004</v>
      </c>
      <c r="B3348" s="12" t="str">
        <f t="array" ref="B3348">IF(A3348:A7391="","",_xlfn.XLOOKUP(A3348:A7391,'参照_武将'!A:A,'参照_武将'!B:B,"見つかりません"))</f>
      </c>
      <c r="C3348" s="4" t="s">
        <v>460</v>
      </c>
      <c r="D3348" s="4">
        <v>3</v>
      </c>
      <c r="E3348" s="12" t="str">
        <f t="array" ref="E3348">IF(D3348:D7391="","",IFERROR(_xlfn.XLOOKUP(D3348:D7391,'参照_勢力'!A:A,'参照_勢力'!B:B),IFERROR(_xlfn.XLOOKUP(F3348:F7391,kunishuClan!A:A,kunishuClan!B:B),"浪人")))</f>
      </c>
      <c r="F3348" s="4">
        <v>0</v>
      </c>
      <c r="G3348" s="4">
        <v>30</v>
      </c>
      <c r="H3348" s="12" t="str">
        <f t="array" ref="H3348">IF(G3348:G7391="","",_xlfn.XLOOKUP(G3348:G7391,castles_state!A:A,castles_state!D:D,"見つかりません"))</f>
      </c>
      <c r="I3348" s="4"/>
      <c r="J3348" s="12" t="str">
        <f t="array" ref="J3348">IF(I3348:I7391="","",_xlfn.XLOOKUP(I3348:I7391,'参照_姫'!A:A,'参照_姫'!B:B,"見つかりません"))</f>
      </c>
      <c r="K3348" s="4">
        <v>100</v>
      </c>
      <c r="L3348" s="4">
        <v>0</v>
      </c>
      <c r="M3348" s="4"/>
      <c r="N3348" s="4"/>
      <c r="O3348" s="4"/>
      <c r="P3348" s="12" t="str">
        <f t="array" ref="P3348">IF(O3348:O7391="","",_xlfn.XLOOKUP(O3348:O7391,'参照_官位'!A:A,'参照_官位'!B:B,""))</f>
      </c>
      <c r="Q3348" s="12" t="str">
        <f t="array" ref="Q3348">IF(A3348:A7391="","",IFERROR(_xlfn.XLOOKUP(A3348:A7391,castles_state!K:K,castles_state!D:D)&amp;"主",IFERROR(_xlfn.XLOOKUP(A3348:A7391,kunishuClan!D:D,kunishuClan!B:B)&amp;"当主","")))</f>
      </c>
    </row>
    <row r="3349" ht="15.75" customHeight="1">
      <c r="A3349" s="4">
        <v>1209005</v>
      </c>
      <c r="B3349" s="12" t="str">
        <f t="array" ref="B3349">IF(A3349:A7392="","",_xlfn.XLOOKUP(A3349:A7392,'参照_武将'!A:A,'参照_武将'!B:B,"見つかりません"))</f>
      </c>
      <c r="C3349" s="4" t="s">
        <v>460</v>
      </c>
      <c r="D3349" s="4">
        <v>3</v>
      </c>
      <c r="E3349" s="12" t="str">
        <f t="array" ref="E3349">IF(D3349:D7392="","",IFERROR(_xlfn.XLOOKUP(D3349:D7392,'参照_勢力'!A:A,'参照_勢力'!B:B),IFERROR(_xlfn.XLOOKUP(F3349:F7392,kunishuClan!A:A,kunishuClan!B:B),"浪人")))</f>
      </c>
      <c r="F3349" s="4">
        <v>0</v>
      </c>
      <c r="G3349" s="4">
        <v>30</v>
      </c>
      <c r="H3349" s="12" t="str">
        <f t="array" ref="H3349">IF(G3349:G7392="","",_xlfn.XLOOKUP(G3349:G7392,castles_state!A:A,castles_state!D:D,"見つかりません"))</f>
      </c>
      <c r="I3349" s="4"/>
      <c r="J3349" s="12" t="str">
        <f t="array" ref="J3349">IF(I3349:I7392="","",_xlfn.XLOOKUP(I3349:I7392,'参照_姫'!A:A,'参照_姫'!B:B,"見つかりません"))</f>
      </c>
      <c r="K3349" s="4">
        <v>100</v>
      </c>
      <c r="L3349" s="4">
        <v>0</v>
      </c>
      <c r="M3349" s="4"/>
      <c r="N3349" s="4"/>
      <c r="O3349" s="4"/>
      <c r="P3349" s="12" t="str">
        <f t="array" ref="P3349">IF(O3349:O7392="","",_xlfn.XLOOKUP(O3349:O7392,'参照_官位'!A:A,'参照_官位'!B:B,""))</f>
      </c>
      <c r="Q3349" s="12" t="str">
        <f t="array" ref="Q3349">IF(A3349:A7392="","",IFERROR(_xlfn.XLOOKUP(A3349:A7392,castles_state!K:K,castles_state!D:D)&amp;"主",IFERROR(_xlfn.XLOOKUP(A3349:A7392,kunishuClan!D:D,kunishuClan!B:B)&amp;"当主","")))</f>
      </c>
    </row>
    <row r="3350" ht="15.75" customHeight="1">
      <c r="A3350" s="4">
        <v>1209006</v>
      </c>
      <c r="B3350" s="12" t="str">
        <f t="array" ref="B3350">IF(A3350:A7393="","",_xlfn.XLOOKUP(A3350:A7393,'参照_武将'!A:A,'参照_武将'!B:B,"見つかりません"))</f>
      </c>
      <c r="C3350" s="4" t="s">
        <v>460</v>
      </c>
      <c r="D3350" s="4">
        <v>3</v>
      </c>
      <c r="E3350" s="12" t="str">
        <f t="array" ref="E3350">IF(D3350:D7393="","",IFERROR(_xlfn.XLOOKUP(D3350:D7393,'参照_勢力'!A:A,'参照_勢力'!B:B),IFERROR(_xlfn.XLOOKUP(F3350:F7393,kunishuClan!A:A,kunishuClan!B:B),"浪人")))</f>
      </c>
      <c r="F3350" s="4">
        <v>0</v>
      </c>
      <c r="G3350" s="4">
        <v>30</v>
      </c>
      <c r="H3350" s="12" t="str">
        <f t="array" ref="H3350">IF(G3350:G7393="","",_xlfn.XLOOKUP(G3350:G7393,castles_state!A:A,castles_state!D:D,"見つかりません"))</f>
      </c>
      <c r="I3350" s="4"/>
      <c r="J3350" s="12" t="str">
        <f t="array" ref="J3350">IF(I3350:I7393="","",_xlfn.XLOOKUP(I3350:I7393,'参照_姫'!A:A,'参照_姫'!B:B,"見つかりません"))</f>
      </c>
      <c r="K3350" s="4">
        <v>100</v>
      </c>
      <c r="L3350" s="4">
        <v>0</v>
      </c>
      <c r="M3350" s="4"/>
      <c r="N3350" s="4"/>
      <c r="O3350" s="4"/>
      <c r="P3350" s="12" t="str">
        <f t="array" ref="P3350">IF(O3350:O7393="","",_xlfn.XLOOKUP(O3350:O7393,'参照_官位'!A:A,'参照_官位'!B:B,""))</f>
      </c>
      <c r="Q3350" s="12" t="str">
        <f t="array" ref="Q3350">IF(A3350:A7393="","",IFERROR(_xlfn.XLOOKUP(A3350:A7393,castles_state!K:K,castles_state!D:D)&amp;"主",IFERROR(_xlfn.XLOOKUP(A3350:A7393,kunishuClan!D:D,kunishuClan!B:B)&amp;"当主","")))</f>
      </c>
    </row>
    <row r="3351" ht="15.75" customHeight="1">
      <c r="A3351" s="4">
        <v>1209007</v>
      </c>
      <c r="B3351" s="12" t="str">
        <f t="array" ref="B3351">IF(A3351:A7394="","",_xlfn.XLOOKUP(A3351:A7394,'参照_武将'!A:A,'参照_武将'!B:B,"見つかりません"))</f>
      </c>
      <c r="C3351" s="4" t="s">
        <v>460</v>
      </c>
      <c r="D3351" s="4">
        <v>3</v>
      </c>
      <c r="E3351" s="12" t="str">
        <f t="array" ref="E3351">IF(D3351:D7394="","",IFERROR(_xlfn.XLOOKUP(D3351:D7394,'参照_勢力'!A:A,'参照_勢力'!B:B),IFERROR(_xlfn.XLOOKUP(F3351:F7394,kunishuClan!A:A,kunishuClan!B:B),"浪人")))</f>
      </c>
      <c r="F3351" s="4">
        <v>0</v>
      </c>
      <c r="G3351" s="4">
        <v>30</v>
      </c>
      <c r="H3351" s="12" t="str">
        <f t="array" ref="H3351">IF(G3351:G7394="","",_xlfn.XLOOKUP(G3351:G7394,castles_state!A:A,castles_state!D:D,"見つかりません"))</f>
      </c>
      <c r="I3351" s="4"/>
      <c r="J3351" s="12" t="str">
        <f t="array" ref="J3351">IF(I3351:I7394="","",_xlfn.XLOOKUP(I3351:I7394,'参照_姫'!A:A,'参照_姫'!B:B,"見つかりません"))</f>
      </c>
      <c r="K3351" s="4">
        <v>100</v>
      </c>
      <c r="L3351" s="4">
        <v>0</v>
      </c>
      <c r="M3351" s="4"/>
      <c r="N3351" s="4"/>
      <c r="O3351" s="4"/>
      <c r="P3351" s="12" t="str">
        <f t="array" ref="P3351">IF(O3351:O7394="","",_xlfn.XLOOKUP(O3351:O7394,'参照_官位'!A:A,'参照_官位'!B:B,""))</f>
      </c>
      <c r="Q3351" s="12" t="str">
        <f t="array" ref="Q3351">IF(A3351:A7394="","",IFERROR(_xlfn.XLOOKUP(A3351:A7394,castles_state!K:K,castles_state!D:D)&amp;"主",IFERROR(_xlfn.XLOOKUP(A3351:A7394,kunishuClan!D:D,kunishuClan!B:B)&amp;"当主","")))</f>
      </c>
    </row>
    <row r="3352" ht="15.75" customHeight="1">
      <c r="A3352" s="4">
        <v>1209008</v>
      </c>
      <c r="B3352" s="12" t="str">
        <f t="array" ref="B3352">IF(A3352:A7395="","",_xlfn.XLOOKUP(A3352:A7395,'参照_武将'!A:A,'参照_武将'!B:B,"見つかりません"))</f>
      </c>
      <c r="C3352" s="4" t="s">
        <v>460</v>
      </c>
      <c r="D3352" s="4">
        <v>3</v>
      </c>
      <c r="E3352" s="12" t="str">
        <f t="array" ref="E3352">IF(D3352:D7395="","",IFERROR(_xlfn.XLOOKUP(D3352:D7395,'参照_勢力'!A:A,'参照_勢力'!B:B),IFERROR(_xlfn.XLOOKUP(F3352:F7395,kunishuClan!A:A,kunishuClan!B:B),"浪人")))</f>
      </c>
      <c r="F3352" s="4">
        <v>0</v>
      </c>
      <c r="G3352" s="4">
        <v>30</v>
      </c>
      <c r="H3352" s="12" t="str">
        <f t="array" ref="H3352">IF(G3352:G7395="","",_xlfn.XLOOKUP(G3352:G7395,castles_state!A:A,castles_state!D:D,"見つかりません"))</f>
      </c>
      <c r="I3352" s="4"/>
      <c r="J3352" s="12" t="str">
        <f t="array" ref="J3352">IF(I3352:I7395="","",_xlfn.XLOOKUP(I3352:I7395,'参照_姫'!A:A,'参照_姫'!B:B,"見つかりません"))</f>
      </c>
      <c r="K3352" s="4">
        <v>100</v>
      </c>
      <c r="L3352" s="4">
        <v>0</v>
      </c>
      <c r="M3352" s="4"/>
      <c r="N3352" s="4"/>
      <c r="O3352" s="4"/>
      <c r="P3352" s="12" t="str">
        <f t="array" ref="P3352">IF(O3352:O7395="","",_xlfn.XLOOKUP(O3352:O7395,'参照_官位'!A:A,'参照_官位'!B:B,""))</f>
      </c>
      <c r="Q3352" s="12" t="str">
        <f t="array" ref="Q3352">IF(A3352:A7395="","",IFERROR(_xlfn.XLOOKUP(A3352:A7395,castles_state!K:K,castles_state!D:D)&amp;"主",IFERROR(_xlfn.XLOOKUP(A3352:A7395,kunishuClan!D:D,kunishuClan!B:B)&amp;"当主","")))</f>
      </c>
    </row>
    <row r="3353" ht="15.75" customHeight="1">
      <c r="A3353" s="4">
        <v>1209009</v>
      </c>
      <c r="B3353" s="12" t="str">
        <f t="array" ref="B3353">IF(A3353:A7396="","",_xlfn.XLOOKUP(A3353:A7396,'参照_武将'!A:A,'参照_武将'!B:B,"見つかりません"))</f>
      </c>
      <c r="C3353" s="4" t="s">
        <v>460</v>
      </c>
      <c r="D3353" s="4">
        <v>3</v>
      </c>
      <c r="E3353" s="12" t="str">
        <f t="array" ref="E3353">IF(D3353:D7396="","",IFERROR(_xlfn.XLOOKUP(D3353:D7396,'参照_勢力'!A:A,'参照_勢力'!B:B),IFERROR(_xlfn.XLOOKUP(F3353:F7396,kunishuClan!A:A,kunishuClan!B:B),"浪人")))</f>
      </c>
      <c r="F3353" s="4">
        <v>0</v>
      </c>
      <c r="G3353" s="4">
        <v>30</v>
      </c>
      <c r="H3353" s="12" t="str">
        <f t="array" ref="H3353">IF(G3353:G7396="","",_xlfn.XLOOKUP(G3353:G7396,castles_state!A:A,castles_state!D:D,"見つかりません"))</f>
      </c>
      <c r="I3353" s="4"/>
      <c r="J3353" s="12" t="str">
        <f t="array" ref="J3353">IF(I3353:I7396="","",_xlfn.XLOOKUP(I3353:I7396,'参照_姫'!A:A,'参照_姫'!B:B,"見つかりません"))</f>
      </c>
      <c r="K3353" s="4">
        <v>100</v>
      </c>
      <c r="L3353" s="4">
        <v>0</v>
      </c>
      <c r="M3353" s="4"/>
      <c r="N3353" s="4"/>
      <c r="O3353" s="4"/>
      <c r="P3353" s="12" t="str">
        <f t="array" ref="P3353">IF(O3353:O7396="","",_xlfn.XLOOKUP(O3353:O7396,'参照_官位'!A:A,'参照_官位'!B:B,""))</f>
      </c>
      <c r="Q3353" s="12" t="str">
        <f t="array" ref="Q3353">IF(A3353:A7396="","",IFERROR(_xlfn.XLOOKUP(A3353:A7396,castles_state!K:K,castles_state!D:D)&amp;"主",IFERROR(_xlfn.XLOOKUP(A3353:A7396,kunishuClan!D:D,kunishuClan!B:B)&amp;"当主","")))</f>
      </c>
    </row>
    <row r="3354" ht="15.75" customHeight="1">
      <c r="A3354" s="4">
        <v>1209010</v>
      </c>
      <c r="B3354" s="12" t="str">
        <f t="array" ref="B3354">IF(A3354:A7397="","",_xlfn.XLOOKUP(A3354:A7397,'参照_武将'!A:A,'参照_武将'!B:B,"見つかりません"))</f>
      </c>
      <c r="C3354" s="4" t="s">
        <v>460</v>
      </c>
      <c r="D3354" s="4">
        <v>3</v>
      </c>
      <c r="E3354" s="12" t="str">
        <f t="array" ref="E3354">IF(D3354:D7397="","",IFERROR(_xlfn.XLOOKUP(D3354:D7397,'参照_勢力'!A:A,'参照_勢力'!B:B),IFERROR(_xlfn.XLOOKUP(F3354:F7397,kunishuClan!A:A,kunishuClan!B:B),"浪人")))</f>
      </c>
      <c r="F3354" s="4">
        <v>0</v>
      </c>
      <c r="G3354" s="4">
        <v>30</v>
      </c>
      <c r="H3354" s="12" t="str">
        <f t="array" ref="H3354">IF(G3354:G7397="","",_xlfn.XLOOKUP(G3354:G7397,castles_state!A:A,castles_state!D:D,"見つかりません"))</f>
      </c>
      <c r="I3354" s="4"/>
      <c r="J3354" s="12" t="str">
        <f t="array" ref="J3354">IF(I3354:I7397="","",_xlfn.XLOOKUP(I3354:I7397,'参照_姫'!A:A,'参照_姫'!B:B,"見つかりません"))</f>
      </c>
      <c r="K3354" s="4">
        <v>100</v>
      </c>
      <c r="L3354" s="4">
        <v>0</v>
      </c>
      <c r="M3354" s="4"/>
      <c r="N3354" s="4"/>
      <c r="O3354" s="4"/>
      <c r="P3354" s="12" t="str">
        <f t="array" ref="P3354">IF(O3354:O7397="","",_xlfn.XLOOKUP(O3354:O7397,'参照_官位'!A:A,'参照_官位'!B:B,""))</f>
      </c>
      <c r="Q3354" s="12" t="str">
        <f t="array" ref="Q3354">IF(A3354:A7397="","",IFERROR(_xlfn.XLOOKUP(A3354:A7397,castles_state!K:K,castles_state!D:D)&amp;"主",IFERROR(_xlfn.XLOOKUP(A3354:A7397,kunishuClan!D:D,kunishuClan!B:B)&amp;"当主","")))</f>
      </c>
    </row>
    <row r="3355" ht="15.75" customHeight="1">
      <c r="A3355" s="4">
        <v>1209011</v>
      </c>
      <c r="B3355" s="12" t="str">
        <f t="array" ref="B3355">IF(A3355:A7398="","",_xlfn.XLOOKUP(A3355:A7398,'参照_武将'!A:A,'参照_武将'!B:B,"見つかりません"))</f>
      </c>
      <c r="C3355" s="4" t="s">
        <v>460</v>
      </c>
      <c r="D3355" s="4">
        <v>3</v>
      </c>
      <c r="E3355" s="12" t="str">
        <f t="array" ref="E3355">IF(D3355:D7398="","",IFERROR(_xlfn.XLOOKUP(D3355:D7398,'参照_勢力'!A:A,'参照_勢力'!B:B),IFERROR(_xlfn.XLOOKUP(F3355:F7398,kunishuClan!A:A,kunishuClan!B:B),"浪人")))</f>
      </c>
      <c r="F3355" s="4">
        <v>0</v>
      </c>
      <c r="G3355" s="4">
        <v>30</v>
      </c>
      <c r="H3355" s="12" t="str">
        <f t="array" ref="H3355">IF(G3355:G7398="","",_xlfn.XLOOKUP(G3355:G7398,castles_state!A:A,castles_state!D:D,"見つかりません"))</f>
      </c>
      <c r="I3355" s="4"/>
      <c r="J3355" s="12" t="str">
        <f t="array" ref="J3355">IF(I3355:I7398="","",_xlfn.XLOOKUP(I3355:I7398,'参照_姫'!A:A,'参照_姫'!B:B,"見つかりません"))</f>
      </c>
      <c r="K3355" s="4">
        <v>100</v>
      </c>
      <c r="L3355" s="4">
        <v>0</v>
      </c>
      <c r="M3355" s="4"/>
      <c r="N3355" s="4"/>
      <c r="O3355" s="4"/>
      <c r="P3355" s="12" t="str">
        <f t="array" ref="P3355">IF(O3355:O7398="","",_xlfn.XLOOKUP(O3355:O7398,'参照_官位'!A:A,'参照_官位'!B:B,""))</f>
      </c>
      <c r="Q3355" s="12" t="str">
        <f t="array" ref="Q3355">IF(A3355:A7398="","",IFERROR(_xlfn.XLOOKUP(A3355:A7398,castles_state!K:K,castles_state!D:D)&amp;"主",IFERROR(_xlfn.XLOOKUP(A3355:A7398,kunishuClan!D:D,kunishuClan!B:B)&amp;"当主","")))</f>
      </c>
    </row>
    <row r="3356" ht="15.75" customHeight="1">
      <c r="A3356" s="4">
        <v>1209012</v>
      </c>
      <c r="B3356" s="12" t="str">
        <f t="array" ref="B3356">IF(A3356:A7399="","",_xlfn.XLOOKUP(A3356:A7399,'参照_武将'!A:A,'参照_武将'!B:B,"見つかりません"))</f>
      </c>
      <c r="C3356" s="4" t="s">
        <v>460</v>
      </c>
      <c r="D3356" s="4">
        <v>3</v>
      </c>
      <c r="E3356" s="12" t="str">
        <f t="array" ref="E3356">IF(D3356:D7399="","",IFERROR(_xlfn.XLOOKUP(D3356:D7399,'参照_勢力'!A:A,'参照_勢力'!B:B),IFERROR(_xlfn.XLOOKUP(F3356:F7399,kunishuClan!A:A,kunishuClan!B:B),"浪人")))</f>
      </c>
      <c r="F3356" s="4">
        <v>0</v>
      </c>
      <c r="G3356" s="4">
        <v>30</v>
      </c>
      <c r="H3356" s="12" t="str">
        <f t="array" ref="H3356">IF(G3356:G7399="","",_xlfn.XLOOKUP(G3356:G7399,castles_state!A:A,castles_state!D:D,"見つかりません"))</f>
      </c>
      <c r="I3356" s="4"/>
      <c r="J3356" s="12" t="str">
        <f t="array" ref="J3356">IF(I3356:I7399="","",_xlfn.XLOOKUP(I3356:I7399,'参照_姫'!A:A,'参照_姫'!B:B,"見つかりません"))</f>
      </c>
      <c r="K3356" s="4">
        <v>100</v>
      </c>
      <c r="L3356" s="4">
        <v>0</v>
      </c>
      <c r="M3356" s="4"/>
      <c r="N3356" s="4"/>
      <c r="O3356" s="4"/>
      <c r="P3356" s="12" t="str">
        <f t="array" ref="P3356">IF(O3356:O7399="","",_xlfn.XLOOKUP(O3356:O7399,'参照_官位'!A:A,'参照_官位'!B:B,""))</f>
      </c>
      <c r="Q3356" s="12" t="str">
        <f t="array" ref="Q3356">IF(A3356:A7399="","",IFERROR(_xlfn.XLOOKUP(A3356:A7399,castles_state!K:K,castles_state!D:D)&amp;"主",IFERROR(_xlfn.XLOOKUP(A3356:A7399,kunishuClan!D:D,kunishuClan!B:B)&amp;"当主","")))</f>
      </c>
    </row>
    <row r="3357" ht="15.75" customHeight="1">
      <c r="A3357" s="4">
        <v>1209013</v>
      </c>
      <c r="B3357" s="12" t="str">
        <f t="array" ref="B3357">IF(A3357:A7400="","",_xlfn.XLOOKUP(A3357:A7400,'参照_武将'!A:A,'参照_武将'!B:B,"見つかりません"))</f>
      </c>
      <c r="C3357" s="4" t="s">
        <v>460</v>
      </c>
      <c r="D3357" s="4">
        <v>3</v>
      </c>
      <c r="E3357" s="12" t="str">
        <f t="array" ref="E3357">IF(D3357:D7400="","",IFERROR(_xlfn.XLOOKUP(D3357:D7400,'参照_勢力'!A:A,'参照_勢力'!B:B),IFERROR(_xlfn.XLOOKUP(F3357:F7400,kunishuClan!A:A,kunishuClan!B:B),"浪人")))</f>
      </c>
      <c r="F3357" s="4">
        <v>0</v>
      </c>
      <c r="G3357" s="4">
        <v>30</v>
      </c>
      <c r="H3357" s="12" t="str">
        <f t="array" ref="H3357">IF(G3357:G7400="","",_xlfn.XLOOKUP(G3357:G7400,castles_state!A:A,castles_state!D:D,"見つかりません"))</f>
      </c>
      <c r="I3357" s="4"/>
      <c r="J3357" s="12" t="str">
        <f t="array" ref="J3357">IF(I3357:I7400="","",_xlfn.XLOOKUP(I3357:I7400,'参照_姫'!A:A,'参照_姫'!B:B,"見つかりません"))</f>
      </c>
      <c r="K3357" s="4">
        <v>95</v>
      </c>
      <c r="L3357" s="4">
        <v>0</v>
      </c>
      <c r="M3357" s="4"/>
      <c r="N3357" s="4"/>
      <c r="O3357" s="4"/>
      <c r="P3357" s="12" t="str">
        <f t="array" ref="P3357">IF(O3357:O7400="","",_xlfn.XLOOKUP(O3357:O7400,'参照_官位'!A:A,'参照_官位'!B:B,""))</f>
      </c>
      <c r="Q3357" s="12" t="str">
        <f t="array" ref="Q3357">IF(A3357:A7400="","",IFERROR(_xlfn.XLOOKUP(A3357:A7400,castles_state!K:K,castles_state!D:D)&amp;"主",IFERROR(_xlfn.XLOOKUP(A3357:A7400,kunishuClan!D:D,kunishuClan!B:B)&amp;"当主","")))</f>
      </c>
    </row>
    <row r="3358" ht="15.75" customHeight="1">
      <c r="A3358" s="4">
        <v>1209014</v>
      </c>
      <c r="B3358" s="12" t="str">
        <f t="array" ref="B3358">IF(A3358:A7401="","",_xlfn.XLOOKUP(A3358:A7401,'参照_武将'!A:A,'参照_武将'!B:B,"見つかりません"))</f>
      </c>
      <c r="C3358" s="4" t="s">
        <v>460</v>
      </c>
      <c r="D3358" s="4">
        <v>3</v>
      </c>
      <c r="E3358" s="12" t="str">
        <f t="array" ref="E3358">IF(D3358:D7401="","",IFERROR(_xlfn.XLOOKUP(D3358:D7401,'参照_勢力'!A:A,'参照_勢力'!B:B),IFERROR(_xlfn.XLOOKUP(F3358:F7401,kunishuClan!A:A,kunishuClan!B:B),"浪人")))</f>
      </c>
      <c r="F3358" s="4">
        <v>0</v>
      </c>
      <c r="G3358" s="4">
        <v>30</v>
      </c>
      <c r="H3358" s="12" t="str">
        <f t="array" ref="H3358">IF(G3358:G7401="","",_xlfn.XLOOKUP(G3358:G7401,castles_state!A:A,castles_state!D:D,"見つかりません"))</f>
      </c>
      <c r="I3358" s="4"/>
      <c r="J3358" s="12" t="str">
        <f t="array" ref="J3358">IF(I3358:I7401="","",_xlfn.XLOOKUP(I3358:I7401,'参照_姫'!A:A,'参照_姫'!B:B,"見つかりません"))</f>
      </c>
      <c r="K3358" s="4">
        <v>95</v>
      </c>
      <c r="L3358" s="4">
        <v>0</v>
      </c>
      <c r="M3358" s="4"/>
      <c r="N3358" s="4"/>
      <c r="O3358" s="4"/>
      <c r="P3358" s="12" t="str">
        <f t="array" ref="P3358">IF(O3358:O7401="","",_xlfn.XLOOKUP(O3358:O7401,'参照_官位'!A:A,'参照_官位'!B:B,""))</f>
      </c>
      <c r="Q3358" s="12" t="str">
        <f t="array" ref="Q3358">IF(A3358:A7401="","",IFERROR(_xlfn.XLOOKUP(A3358:A7401,castles_state!K:K,castles_state!D:D)&amp;"主",IFERROR(_xlfn.XLOOKUP(A3358:A7401,kunishuClan!D:D,kunishuClan!B:B)&amp;"当主","")))</f>
      </c>
    </row>
    <row r="3359" ht="15.75" customHeight="1">
      <c r="A3359" s="4">
        <v>1209015</v>
      </c>
      <c r="B3359" s="12" t="str">
        <f t="array" ref="B3359">IF(A3359:A7402="","",_xlfn.XLOOKUP(A3359:A7402,'参照_武将'!A:A,'参照_武将'!B:B,"見つかりません"))</f>
      </c>
      <c r="C3359" s="4" t="s">
        <v>460</v>
      </c>
      <c r="D3359" s="4">
        <v>3</v>
      </c>
      <c r="E3359" s="12" t="str">
        <f t="array" ref="E3359">IF(D3359:D7402="","",IFERROR(_xlfn.XLOOKUP(D3359:D7402,'参照_勢力'!A:A,'参照_勢力'!B:B),IFERROR(_xlfn.XLOOKUP(F3359:F7402,kunishuClan!A:A,kunishuClan!B:B),"浪人")))</f>
      </c>
      <c r="F3359" s="4">
        <v>0</v>
      </c>
      <c r="G3359" s="4">
        <v>9</v>
      </c>
      <c r="H3359" s="12" t="str">
        <f t="array" ref="H3359">IF(G3359:G7402="","",_xlfn.XLOOKUP(G3359:G7402,castles_state!A:A,castles_state!D:D,"見つかりません"))</f>
      </c>
      <c r="I3359" s="4"/>
      <c r="J3359" s="12" t="str">
        <f t="array" ref="J3359">IF(I3359:I7402="","",_xlfn.XLOOKUP(I3359:I7402,'参照_姫'!A:A,'参照_姫'!B:B,"見つかりません"))</f>
      </c>
      <c r="K3359" s="4">
        <v>95</v>
      </c>
      <c r="L3359" s="4">
        <v>0</v>
      </c>
      <c r="M3359" s="4"/>
      <c r="N3359" s="4"/>
      <c r="O3359" s="4"/>
      <c r="P3359" s="12" t="str">
        <f t="array" ref="P3359">IF(O3359:O7402="","",_xlfn.XLOOKUP(O3359:O7402,'参照_官位'!A:A,'参照_官位'!B:B,""))</f>
      </c>
      <c r="Q3359" s="12" t="str">
        <f t="array" ref="Q3359">IF(A3359:A7402="","",IFERROR(_xlfn.XLOOKUP(A3359:A7402,castles_state!K:K,castles_state!D:D)&amp;"主",IFERROR(_xlfn.XLOOKUP(A3359:A7402,kunishuClan!D:D,kunishuClan!B:B)&amp;"当主","")))</f>
      </c>
    </row>
    <row r="3360" ht="15.75" customHeight="1">
      <c r="A3360" s="4">
        <v>1209016</v>
      </c>
      <c r="B3360" s="12" t="str">
        <f t="array" ref="B3360">IF(A3360:A7403="","",_xlfn.XLOOKUP(A3360:A7403,'参照_武将'!A:A,'参照_武将'!B:B,"見つかりません"))</f>
      </c>
      <c r="C3360" s="4" t="s">
        <v>460</v>
      </c>
      <c r="D3360" s="4">
        <v>3</v>
      </c>
      <c r="E3360" s="12" t="str">
        <f t="array" ref="E3360">IF(D3360:D7403="","",IFERROR(_xlfn.XLOOKUP(D3360:D7403,'参照_勢力'!A:A,'参照_勢力'!B:B),IFERROR(_xlfn.XLOOKUP(F3360:F7403,kunishuClan!A:A,kunishuClan!B:B),"浪人")))</f>
      </c>
      <c r="F3360" s="4">
        <v>0</v>
      </c>
      <c r="G3360" s="4">
        <v>30</v>
      </c>
      <c r="H3360" s="12" t="str">
        <f t="array" ref="H3360">IF(G3360:G7403="","",_xlfn.XLOOKUP(G3360:G7403,castles_state!A:A,castles_state!D:D,"見つかりません"))</f>
      </c>
      <c r="I3360" s="4"/>
      <c r="J3360" s="12" t="str">
        <f t="array" ref="J3360">IF(I3360:I7403="","",_xlfn.XLOOKUP(I3360:I7403,'参照_姫'!A:A,'参照_姫'!B:B,"見つかりません"))</f>
      </c>
      <c r="K3360" s="4">
        <v>95</v>
      </c>
      <c r="L3360" s="4">
        <v>0</v>
      </c>
      <c r="M3360" s="4"/>
      <c r="N3360" s="4"/>
      <c r="O3360" s="4"/>
      <c r="P3360" s="12" t="str">
        <f t="array" ref="P3360">IF(O3360:O7403="","",_xlfn.XLOOKUP(O3360:O7403,'参照_官位'!A:A,'参照_官位'!B:B,""))</f>
      </c>
      <c r="Q3360" s="12" t="str">
        <f t="array" ref="Q3360">IF(A3360:A7403="","",IFERROR(_xlfn.XLOOKUP(A3360:A7403,castles_state!K:K,castles_state!D:D)&amp;"主",IFERROR(_xlfn.XLOOKUP(A3360:A7403,kunishuClan!D:D,kunishuClan!B:B)&amp;"当主","")))</f>
      </c>
    </row>
    <row r="3361" ht="15.75" customHeight="1">
      <c r="A3361" s="4">
        <v>1209017</v>
      </c>
      <c r="B3361" s="12" t="str">
        <f t="array" ref="B3361">IF(A3361:A7404="","",_xlfn.XLOOKUP(A3361:A7404,'参照_武将'!A:A,'参照_武将'!B:B,"見つかりません"))</f>
      </c>
      <c r="C3361" s="4" t="s">
        <v>460</v>
      </c>
      <c r="D3361" s="4">
        <v>3</v>
      </c>
      <c r="E3361" s="12" t="str">
        <f t="array" ref="E3361">IF(D3361:D7404="","",IFERROR(_xlfn.XLOOKUP(D3361:D7404,'参照_勢力'!A:A,'参照_勢力'!B:B),IFERROR(_xlfn.XLOOKUP(F3361:F7404,kunishuClan!A:A,kunishuClan!B:B),"浪人")))</f>
      </c>
      <c r="F3361" s="4">
        <v>0</v>
      </c>
      <c r="G3361" s="4">
        <v>30</v>
      </c>
      <c r="H3361" s="12" t="str">
        <f t="array" ref="H3361">IF(G3361:G7404="","",_xlfn.XLOOKUP(G3361:G7404,castles_state!A:A,castles_state!D:D,"見つかりません"))</f>
      </c>
      <c r="I3361" s="4"/>
      <c r="J3361" s="12" t="str">
        <f t="array" ref="J3361">IF(I3361:I7404="","",_xlfn.XLOOKUP(I3361:I7404,'参照_姫'!A:A,'参照_姫'!B:B,"見つかりません"))</f>
      </c>
      <c r="K3361" s="4">
        <v>95</v>
      </c>
      <c r="L3361" s="4">
        <v>0</v>
      </c>
      <c r="M3361" s="4"/>
      <c r="N3361" s="4"/>
      <c r="O3361" s="4"/>
      <c r="P3361" s="12" t="str">
        <f t="array" ref="P3361">IF(O3361:O7404="","",_xlfn.XLOOKUP(O3361:O7404,'参照_官位'!A:A,'参照_官位'!B:B,""))</f>
      </c>
      <c r="Q3361" s="12" t="str">
        <f t="array" ref="Q3361">IF(A3361:A7404="","",IFERROR(_xlfn.XLOOKUP(A3361:A7404,castles_state!K:K,castles_state!D:D)&amp;"主",IFERROR(_xlfn.XLOOKUP(A3361:A7404,kunishuClan!D:D,kunishuClan!B:B)&amp;"当主","")))</f>
      </c>
    </row>
    <row r="3362" ht="15.75" customHeight="1">
      <c r="A3362" s="4">
        <v>1209018</v>
      </c>
      <c r="B3362" s="12" t="str">
        <f t="array" ref="B3362">IF(A3362:A7405="","",_xlfn.XLOOKUP(A3362:A7405,'参照_武将'!A:A,'参照_武将'!B:B,"見つかりません"))</f>
      </c>
      <c r="C3362" s="4" t="s">
        <v>460</v>
      </c>
      <c r="D3362" s="4">
        <v>3</v>
      </c>
      <c r="E3362" s="12" t="str">
        <f t="array" ref="E3362">IF(D3362:D7405="","",IFERROR(_xlfn.XLOOKUP(D3362:D7405,'参照_勢力'!A:A,'参照_勢力'!B:B),IFERROR(_xlfn.XLOOKUP(F3362:F7405,kunishuClan!A:A,kunishuClan!B:B),"浪人")))</f>
      </c>
      <c r="F3362" s="4">
        <v>0</v>
      </c>
      <c r="G3362" s="4">
        <v>30</v>
      </c>
      <c r="H3362" s="12" t="str">
        <f t="array" ref="H3362">IF(G3362:G7405="","",_xlfn.XLOOKUP(G3362:G7405,castles_state!A:A,castles_state!D:D,"見つかりません"))</f>
      </c>
      <c r="I3362" s="4"/>
      <c r="J3362" s="12" t="str">
        <f t="array" ref="J3362">IF(I3362:I7405="","",_xlfn.XLOOKUP(I3362:I7405,'参照_姫'!A:A,'参照_姫'!B:B,"見つかりません"))</f>
      </c>
      <c r="K3362" s="4">
        <v>95</v>
      </c>
      <c r="L3362" s="4">
        <v>0</v>
      </c>
      <c r="M3362" s="4"/>
      <c r="N3362" s="4"/>
      <c r="O3362" s="4"/>
      <c r="P3362" s="12" t="str">
        <f t="array" ref="P3362">IF(O3362:O7405="","",_xlfn.XLOOKUP(O3362:O7405,'参照_官位'!A:A,'参照_官位'!B:B,""))</f>
      </c>
      <c r="Q3362" s="12" t="str">
        <f t="array" ref="Q3362">IF(A3362:A7405="","",IFERROR(_xlfn.XLOOKUP(A3362:A7405,castles_state!K:K,castles_state!D:D)&amp;"主",IFERROR(_xlfn.XLOOKUP(A3362:A7405,kunishuClan!D:D,kunishuClan!B:B)&amp;"当主","")))</f>
      </c>
    </row>
    <row r="3363" ht="15.75" customHeight="1">
      <c r="A3363" s="4">
        <v>1209019</v>
      </c>
      <c r="B3363" s="12" t="str">
        <f t="array" ref="B3363">IF(A3363:A7406="","",_xlfn.XLOOKUP(A3363:A7406,'参照_武将'!A:A,'参照_武将'!B:B,"見つかりません"))</f>
      </c>
      <c r="C3363" s="4" t="s">
        <v>460</v>
      </c>
      <c r="D3363" s="4">
        <v>3</v>
      </c>
      <c r="E3363" s="12" t="str">
        <f t="array" ref="E3363">IF(D3363:D7406="","",IFERROR(_xlfn.XLOOKUP(D3363:D7406,'参照_勢力'!A:A,'参照_勢力'!B:B),IFERROR(_xlfn.XLOOKUP(F3363:F7406,kunishuClan!A:A,kunishuClan!B:B),"浪人")))</f>
      </c>
      <c r="F3363" s="4">
        <v>0</v>
      </c>
      <c r="G3363" s="4">
        <v>30</v>
      </c>
      <c r="H3363" s="12" t="str">
        <f t="array" ref="H3363">IF(G3363:G7406="","",_xlfn.XLOOKUP(G3363:G7406,castles_state!A:A,castles_state!D:D,"見つかりません"))</f>
      </c>
      <c r="I3363" s="4"/>
      <c r="J3363" s="12" t="str">
        <f t="array" ref="J3363">IF(I3363:I7406="","",_xlfn.XLOOKUP(I3363:I7406,'参照_姫'!A:A,'参照_姫'!B:B,"見つかりません"))</f>
      </c>
      <c r="K3363" s="4">
        <v>95</v>
      </c>
      <c r="L3363" s="4">
        <v>0</v>
      </c>
      <c r="M3363" s="4"/>
      <c r="N3363" s="4"/>
      <c r="O3363" s="4"/>
      <c r="P3363" s="12" t="str">
        <f t="array" ref="P3363">IF(O3363:O7406="","",_xlfn.XLOOKUP(O3363:O7406,'参照_官位'!A:A,'参照_官位'!B:B,""))</f>
      </c>
      <c r="Q3363" s="12" t="str">
        <f t="array" ref="Q3363">IF(A3363:A7406="","",IFERROR(_xlfn.XLOOKUP(A3363:A7406,castles_state!K:K,castles_state!D:D)&amp;"主",IFERROR(_xlfn.XLOOKUP(A3363:A7406,kunishuClan!D:D,kunishuClan!B:B)&amp;"当主","")))</f>
      </c>
    </row>
    <row r="3364" ht="15.75" customHeight="1">
      <c r="A3364" s="4">
        <v>1209020</v>
      </c>
      <c r="B3364" s="12" t="str">
        <f t="array" ref="B3364">IF(A3364:A7407="","",_xlfn.XLOOKUP(A3364:A7407,'参照_武将'!A:A,'参照_武将'!B:B,"見つかりません"))</f>
      </c>
      <c r="C3364" s="4" t="s">
        <v>460</v>
      </c>
      <c r="D3364" s="4">
        <v>3</v>
      </c>
      <c r="E3364" s="12" t="str">
        <f t="array" ref="E3364">IF(D3364:D7407="","",IFERROR(_xlfn.XLOOKUP(D3364:D7407,'参照_勢力'!A:A,'参照_勢力'!B:B),IFERROR(_xlfn.XLOOKUP(F3364:F7407,kunishuClan!A:A,kunishuClan!B:B),"浪人")))</f>
      </c>
      <c r="F3364" s="4">
        <v>0</v>
      </c>
      <c r="G3364" s="4">
        <v>9</v>
      </c>
      <c r="H3364" s="12" t="str">
        <f t="array" ref="H3364">IF(G3364:G7407="","",_xlfn.XLOOKUP(G3364:G7407,castles_state!A:A,castles_state!D:D,"見つかりません"))</f>
      </c>
      <c r="I3364" s="4"/>
      <c r="J3364" s="12" t="str">
        <f t="array" ref="J3364">IF(I3364:I7407="","",_xlfn.XLOOKUP(I3364:I7407,'参照_姫'!A:A,'参照_姫'!B:B,"見つかりません"))</f>
      </c>
      <c r="K3364" s="4">
        <v>95</v>
      </c>
      <c r="L3364" s="4">
        <v>0</v>
      </c>
      <c r="M3364" s="4"/>
      <c r="N3364" s="4"/>
      <c r="O3364" s="4"/>
      <c r="P3364" s="12" t="str">
        <f t="array" ref="P3364">IF(O3364:O7407="","",_xlfn.XLOOKUP(O3364:O7407,'参照_官位'!A:A,'参照_官位'!B:B,""))</f>
      </c>
      <c r="Q3364" s="12" t="str">
        <f t="array" ref="Q3364">IF(A3364:A7407="","",IFERROR(_xlfn.XLOOKUP(A3364:A7407,castles_state!K:K,castles_state!D:D)&amp;"主",IFERROR(_xlfn.XLOOKUP(A3364:A7407,kunishuClan!D:D,kunishuClan!B:B)&amp;"当主","")))</f>
      </c>
    </row>
    <row r="3365" ht="15.75" customHeight="1">
      <c r="A3365" s="4">
        <v>1209021</v>
      </c>
      <c r="B3365" s="12" t="str">
        <f t="array" ref="B3365">IF(A3365:A7408="","",_xlfn.XLOOKUP(A3365:A7408,'参照_武将'!A:A,'参照_武将'!B:B,"見つかりません"))</f>
      </c>
      <c r="C3365" s="4" t="s">
        <v>460</v>
      </c>
      <c r="D3365" s="4">
        <v>3</v>
      </c>
      <c r="E3365" s="12" t="str">
        <f t="array" ref="E3365">IF(D3365:D7408="","",IFERROR(_xlfn.XLOOKUP(D3365:D7408,'参照_勢力'!A:A,'参照_勢力'!B:B),IFERROR(_xlfn.XLOOKUP(F3365:F7408,kunishuClan!A:A,kunishuClan!B:B),"浪人")))</f>
      </c>
      <c r="F3365" s="4">
        <v>0</v>
      </c>
      <c r="G3365" s="4">
        <v>30</v>
      </c>
      <c r="H3365" s="12" t="str">
        <f t="array" ref="H3365">IF(G3365:G7408="","",_xlfn.XLOOKUP(G3365:G7408,castles_state!A:A,castles_state!D:D,"見つかりません"))</f>
      </c>
      <c r="I3365" s="4"/>
      <c r="J3365" s="12" t="str">
        <f t="array" ref="J3365">IF(I3365:I7408="","",_xlfn.XLOOKUP(I3365:I7408,'参照_姫'!A:A,'参照_姫'!B:B,"見つかりません"))</f>
      </c>
      <c r="K3365" s="4">
        <v>95</v>
      </c>
      <c r="L3365" s="4">
        <v>0</v>
      </c>
      <c r="M3365" s="4"/>
      <c r="N3365" s="4"/>
      <c r="O3365" s="4"/>
      <c r="P3365" s="12" t="str">
        <f t="array" ref="P3365">IF(O3365:O7408="","",_xlfn.XLOOKUP(O3365:O7408,'参照_官位'!A:A,'参照_官位'!B:B,""))</f>
      </c>
      <c r="Q3365" s="12" t="str">
        <f t="array" ref="Q3365">IF(A3365:A7408="","",IFERROR(_xlfn.XLOOKUP(A3365:A7408,castles_state!K:K,castles_state!D:D)&amp;"主",IFERROR(_xlfn.XLOOKUP(A3365:A7408,kunishuClan!D:D,kunishuClan!B:B)&amp;"当主","")))</f>
      </c>
    </row>
    <row r="3366" ht="15.75" customHeight="1">
      <c r="A3366" s="4">
        <v>1209022</v>
      </c>
      <c r="B3366" s="12" t="str">
        <f t="array" ref="B3366">IF(A3366:A7409="","",_xlfn.XLOOKUP(A3366:A7409,'参照_武将'!A:A,'参照_武将'!B:B,"見つかりません"))</f>
      </c>
      <c r="C3366" s="4" t="s">
        <v>460</v>
      </c>
      <c r="D3366" s="4">
        <v>3</v>
      </c>
      <c r="E3366" s="12" t="str">
        <f t="array" ref="E3366">IF(D3366:D7409="","",IFERROR(_xlfn.XLOOKUP(D3366:D7409,'参照_勢力'!A:A,'参照_勢力'!B:B),IFERROR(_xlfn.XLOOKUP(F3366:F7409,kunishuClan!A:A,kunishuClan!B:B),"浪人")))</f>
      </c>
      <c r="F3366" s="4">
        <v>0</v>
      </c>
      <c r="G3366" s="4">
        <v>30</v>
      </c>
      <c r="H3366" s="12" t="str">
        <f t="array" ref="H3366">IF(G3366:G7409="","",_xlfn.XLOOKUP(G3366:G7409,castles_state!A:A,castles_state!D:D,"見つかりません"))</f>
      </c>
      <c r="I3366" s="4"/>
      <c r="J3366" s="12" t="str">
        <f t="array" ref="J3366">IF(I3366:I7409="","",_xlfn.XLOOKUP(I3366:I7409,'参照_姫'!A:A,'参照_姫'!B:B,"見つかりません"))</f>
      </c>
      <c r="K3366" s="4">
        <v>95</v>
      </c>
      <c r="L3366" s="4">
        <v>0</v>
      </c>
      <c r="M3366" s="4"/>
      <c r="N3366" s="4"/>
      <c r="O3366" s="4"/>
      <c r="P3366" s="12" t="str">
        <f t="array" ref="P3366">IF(O3366:O7409="","",_xlfn.XLOOKUP(O3366:O7409,'参照_官位'!A:A,'参照_官位'!B:B,""))</f>
      </c>
      <c r="Q3366" s="12" t="str">
        <f t="array" ref="Q3366">IF(A3366:A7409="","",IFERROR(_xlfn.XLOOKUP(A3366:A7409,castles_state!K:K,castles_state!D:D)&amp;"主",IFERROR(_xlfn.XLOOKUP(A3366:A7409,kunishuClan!D:D,kunishuClan!B:B)&amp;"当主","")))</f>
      </c>
    </row>
    <row r="3367" ht="15.75" customHeight="1">
      <c r="A3367" s="4">
        <v>1209023</v>
      </c>
      <c r="B3367" s="12" t="str">
        <f t="array" ref="B3367">IF(A3367:A7410="","",_xlfn.XLOOKUP(A3367:A7410,'参照_武将'!A:A,'参照_武将'!B:B,"見つかりません"))</f>
      </c>
      <c r="C3367" s="4" t="s">
        <v>460</v>
      </c>
      <c r="D3367" s="4">
        <v>3</v>
      </c>
      <c r="E3367" s="12" t="str">
        <f t="array" ref="E3367">IF(D3367:D7410="","",IFERROR(_xlfn.XLOOKUP(D3367:D7410,'参照_勢力'!A:A,'参照_勢力'!B:B),IFERROR(_xlfn.XLOOKUP(F3367:F7410,kunishuClan!A:A,kunishuClan!B:B),"浪人")))</f>
      </c>
      <c r="F3367" s="4">
        <v>0</v>
      </c>
      <c r="G3367" s="4">
        <v>30</v>
      </c>
      <c r="H3367" s="12" t="str">
        <f t="array" ref="H3367">IF(G3367:G7410="","",_xlfn.XLOOKUP(G3367:G7410,castles_state!A:A,castles_state!D:D,"見つかりません"))</f>
      </c>
      <c r="I3367" s="4"/>
      <c r="J3367" s="12" t="str">
        <f t="array" ref="J3367">IF(I3367:I7410="","",_xlfn.XLOOKUP(I3367:I7410,'参照_姫'!A:A,'参照_姫'!B:B,"見つかりません"))</f>
      </c>
      <c r="K3367" s="4">
        <v>95</v>
      </c>
      <c r="L3367" s="4">
        <v>0</v>
      </c>
      <c r="M3367" s="4"/>
      <c r="N3367" s="4"/>
      <c r="O3367" s="4"/>
      <c r="P3367" s="12" t="str">
        <f t="array" ref="P3367">IF(O3367:O7410="","",_xlfn.XLOOKUP(O3367:O7410,'参照_官位'!A:A,'参照_官位'!B:B,""))</f>
      </c>
      <c r="Q3367" s="12" t="str">
        <f t="array" ref="Q3367">IF(A3367:A7410="","",IFERROR(_xlfn.XLOOKUP(A3367:A7410,castles_state!K:K,castles_state!D:D)&amp;"主",IFERROR(_xlfn.XLOOKUP(A3367:A7410,kunishuClan!D:D,kunishuClan!B:B)&amp;"当主","")))</f>
      </c>
    </row>
    <row r="3368" ht="15.75" customHeight="1">
      <c r="A3368" s="4">
        <v>1209024</v>
      </c>
      <c r="B3368" s="12" t="str">
        <f t="array" ref="B3368">IF(A3368:A7411="","",_xlfn.XLOOKUP(A3368:A7411,'参照_武将'!A:A,'参照_武将'!B:B,"見つかりません"))</f>
      </c>
      <c r="C3368" s="4" t="s">
        <v>460</v>
      </c>
      <c r="D3368" s="4">
        <v>3</v>
      </c>
      <c r="E3368" s="12" t="str">
        <f t="array" ref="E3368">IF(D3368:D7411="","",IFERROR(_xlfn.XLOOKUP(D3368:D7411,'参照_勢力'!A:A,'参照_勢力'!B:B),IFERROR(_xlfn.XLOOKUP(F3368:F7411,kunishuClan!A:A,kunishuClan!B:B),"浪人")))</f>
      </c>
      <c r="F3368" s="4">
        <v>0</v>
      </c>
      <c r="G3368" s="4">
        <v>30</v>
      </c>
      <c r="H3368" s="12" t="str">
        <f t="array" ref="H3368">IF(G3368:G7411="","",_xlfn.XLOOKUP(G3368:G7411,castles_state!A:A,castles_state!D:D,"見つかりません"))</f>
      </c>
      <c r="I3368" s="4"/>
      <c r="J3368" s="12" t="str">
        <f t="array" ref="J3368">IF(I3368:I7411="","",_xlfn.XLOOKUP(I3368:I7411,'参照_姫'!A:A,'参照_姫'!B:B,"見つかりません"))</f>
      </c>
      <c r="K3368" s="4">
        <v>95</v>
      </c>
      <c r="L3368" s="4">
        <v>0</v>
      </c>
      <c r="M3368" s="4"/>
      <c r="N3368" s="4"/>
      <c r="O3368" s="4"/>
      <c r="P3368" s="12" t="str">
        <f t="array" ref="P3368">IF(O3368:O7411="","",_xlfn.XLOOKUP(O3368:O7411,'参照_官位'!A:A,'参照_官位'!B:B,""))</f>
      </c>
      <c r="Q3368" s="12" t="str">
        <f t="array" ref="Q3368">IF(A3368:A7411="","",IFERROR(_xlfn.XLOOKUP(A3368:A7411,castles_state!K:K,castles_state!D:D)&amp;"主",IFERROR(_xlfn.XLOOKUP(A3368:A7411,kunishuClan!D:D,kunishuClan!B:B)&amp;"当主","")))</f>
      </c>
    </row>
    <row r="3369" ht="15.75" customHeight="1">
      <c r="A3369" s="4">
        <v>1210001</v>
      </c>
      <c r="B3369" s="12" t="str">
        <f t="array" ref="B3369">IF(A3369:A7412="","",_xlfn.XLOOKUP(A3369:A7412,'参照_武将'!A:A,'参照_武将'!B:B,"見つかりません"))</f>
      </c>
      <c r="C3369" s="4" t="s">
        <v>465</v>
      </c>
      <c r="D3369" s="4">
        <v>44</v>
      </c>
      <c r="E3369" s="12" t="str">
        <f t="array" ref="E3369">IF(D3369:D7412="","",IFERROR(_xlfn.XLOOKUP(D3369:D7412,'参照_勢力'!A:A,'参照_勢力'!B:B),IFERROR(_xlfn.XLOOKUP(F3369:F7412,kunishuClan!A:A,kunishuClan!B:B),"浪人")))</f>
      </c>
      <c r="F3369" s="4">
        <v>0</v>
      </c>
      <c r="G3369" s="4">
        <v>115</v>
      </c>
      <c r="H3369" s="12" t="str">
        <f t="array" ref="H3369">IF(G3369:G7412="","",_xlfn.XLOOKUP(G3369:G7412,castles_state!A:A,castles_state!D:D,"見つかりません"))</f>
      </c>
      <c r="I3369" s="4"/>
      <c r="J3369" s="12" t="str">
        <f t="array" ref="J3369">IF(I3369:I7412="","",_xlfn.XLOOKUP(I3369:I7412,'参照_姫'!A:A,'参照_姫'!B:B,"見つかりません"))</f>
      </c>
      <c r="K3369" s="4">
        <v>95</v>
      </c>
      <c r="L3369" s="4">
        <v>0</v>
      </c>
      <c r="M3369" s="4"/>
      <c r="N3369" s="4"/>
      <c r="O3369" s="4"/>
      <c r="P3369" s="12" t="str">
        <f t="array" ref="P3369">IF(O3369:O7412="","",_xlfn.XLOOKUP(O3369:O7412,'参照_官位'!A:A,'参照_官位'!B:B,""))</f>
      </c>
      <c r="Q3369" s="12" t="str">
        <f t="array" ref="Q3369">IF(A3369:A7412="","",IFERROR(_xlfn.XLOOKUP(A3369:A7412,castles_state!K:K,castles_state!D:D)&amp;"主",IFERROR(_xlfn.XLOOKUP(A3369:A7412,kunishuClan!D:D,kunishuClan!B:B)&amp;"当主","")))</f>
      </c>
    </row>
    <row r="3370" ht="15.75" customHeight="1">
      <c r="A3370" s="4">
        <v>1210002</v>
      </c>
      <c r="B3370" s="12" t="str">
        <f t="array" ref="B3370">IF(A3370:A7413="","",_xlfn.XLOOKUP(A3370:A7413,'参照_武将'!A:A,'参照_武将'!B:B,"見つかりません"))</f>
      </c>
      <c r="C3370" s="4" t="s">
        <v>465</v>
      </c>
      <c r="D3370" s="4">
        <v>44</v>
      </c>
      <c r="E3370" s="12" t="str">
        <f t="array" ref="E3370">IF(D3370:D7413="","",IFERROR(_xlfn.XLOOKUP(D3370:D7413,'参照_勢力'!A:A,'参照_勢力'!B:B),IFERROR(_xlfn.XLOOKUP(F3370:F7413,kunishuClan!A:A,kunishuClan!B:B),"浪人")))</f>
      </c>
      <c r="F3370" s="4">
        <v>0</v>
      </c>
      <c r="G3370" s="4">
        <v>115</v>
      </c>
      <c r="H3370" s="12" t="str">
        <f t="array" ref="H3370">IF(G3370:G7413="","",_xlfn.XLOOKUP(G3370:G7413,castles_state!A:A,castles_state!D:D,"見つかりません"))</f>
      </c>
      <c r="I3370" s="4"/>
      <c r="J3370" s="12" t="str">
        <f t="array" ref="J3370">IF(I3370:I7413="","",_xlfn.XLOOKUP(I3370:I7413,'参照_姫'!A:A,'参照_姫'!B:B,"見つかりません"))</f>
      </c>
      <c r="K3370" s="4">
        <v>95</v>
      </c>
      <c r="L3370" s="4">
        <v>0</v>
      </c>
      <c r="M3370" s="4"/>
      <c r="N3370" s="4"/>
      <c r="O3370" s="4"/>
      <c r="P3370" s="12" t="str">
        <f t="array" ref="P3370">IF(O3370:O7413="","",_xlfn.XLOOKUP(O3370:O7413,'参照_官位'!A:A,'参照_官位'!B:B,""))</f>
      </c>
      <c r="Q3370" s="12" t="str">
        <f t="array" ref="Q3370">IF(A3370:A7413="","",IFERROR(_xlfn.XLOOKUP(A3370:A7413,castles_state!K:K,castles_state!D:D)&amp;"主",IFERROR(_xlfn.XLOOKUP(A3370:A7413,kunishuClan!D:D,kunishuClan!B:B)&amp;"当主","")))</f>
      </c>
    </row>
    <row r="3371" ht="15.75" customHeight="1">
      <c r="A3371" s="4">
        <v>1210003</v>
      </c>
      <c r="B3371" s="12" t="str">
        <f t="array" ref="B3371">IF(A3371:A7414="","",_xlfn.XLOOKUP(A3371:A7414,'参照_武将'!A:A,'参照_武将'!B:B,"見つかりません"))</f>
      </c>
      <c r="C3371" s="4" t="s">
        <v>465</v>
      </c>
      <c r="D3371" s="4">
        <v>44</v>
      </c>
      <c r="E3371" s="12" t="str">
        <f t="array" ref="E3371">IF(D3371:D7414="","",IFERROR(_xlfn.XLOOKUP(D3371:D7414,'参照_勢力'!A:A,'参照_勢力'!B:B),IFERROR(_xlfn.XLOOKUP(F3371:F7414,kunishuClan!A:A,kunishuClan!B:B),"浪人")))</f>
      </c>
      <c r="F3371" s="4">
        <v>0</v>
      </c>
      <c r="G3371" s="4">
        <v>115</v>
      </c>
      <c r="H3371" s="12" t="str">
        <f t="array" ref="H3371">IF(G3371:G7414="","",_xlfn.XLOOKUP(G3371:G7414,castles_state!A:A,castles_state!D:D,"見つかりません"))</f>
      </c>
      <c r="I3371" s="4"/>
      <c r="J3371" s="12" t="str">
        <f t="array" ref="J3371">IF(I3371:I7414="","",_xlfn.XLOOKUP(I3371:I7414,'参照_姫'!A:A,'参照_姫'!B:B,"見つかりません"))</f>
      </c>
      <c r="K3371" s="4">
        <v>95</v>
      </c>
      <c r="L3371" s="4">
        <v>1500</v>
      </c>
      <c r="M3371" s="4"/>
      <c r="N3371" s="4"/>
      <c r="O3371" s="4"/>
      <c r="P3371" s="12" t="str">
        <f t="array" ref="P3371">IF(O3371:O7414="","",_xlfn.XLOOKUP(O3371:O7414,'参照_官位'!A:A,'参照_官位'!B:B,""))</f>
      </c>
      <c r="Q3371" s="12" t="str">
        <f t="array" ref="Q3371">IF(A3371:A7414="","",IFERROR(_xlfn.XLOOKUP(A3371:A7414,castles_state!K:K,castles_state!D:D)&amp;"主",IFERROR(_xlfn.XLOOKUP(A3371:A7414,kunishuClan!D:D,kunishuClan!B:B)&amp;"当主","")))</f>
      </c>
    </row>
    <row r="3372" ht="15.75" customHeight="1">
      <c r="A3372" s="4">
        <v>1210004</v>
      </c>
      <c r="B3372" s="12" t="str">
        <f t="array" ref="B3372">IF(A3372:A7415="","",_xlfn.XLOOKUP(A3372:A7415,'参照_武将'!A:A,'参照_武将'!B:B,"見つかりません"))</f>
      </c>
      <c r="C3372" s="4" t="s">
        <v>465</v>
      </c>
      <c r="D3372" s="4">
        <v>44</v>
      </c>
      <c r="E3372" s="12" t="str">
        <f t="array" ref="E3372">IF(D3372:D7415="","",IFERROR(_xlfn.XLOOKUP(D3372:D7415,'参照_勢力'!A:A,'参照_勢力'!B:B),IFERROR(_xlfn.XLOOKUP(F3372:F7415,kunishuClan!A:A,kunishuClan!B:B),"浪人")))</f>
      </c>
      <c r="F3372" s="4">
        <v>0</v>
      </c>
      <c r="G3372" s="4">
        <v>115</v>
      </c>
      <c r="H3372" s="12" t="str">
        <f t="array" ref="H3372">IF(G3372:G7415="","",_xlfn.XLOOKUP(G3372:G7415,castles_state!A:A,castles_state!D:D,"見つかりません"))</f>
      </c>
      <c r="I3372" s="4"/>
      <c r="J3372" s="12" t="str">
        <f t="array" ref="J3372">IF(I3372:I7415="","",_xlfn.XLOOKUP(I3372:I7415,'参照_姫'!A:A,'参照_姫'!B:B,"見つかりません"))</f>
      </c>
      <c r="K3372" s="4">
        <v>95</v>
      </c>
      <c r="L3372" s="4">
        <v>0</v>
      </c>
      <c r="M3372" s="4"/>
      <c r="N3372" s="4"/>
      <c r="O3372" s="4"/>
      <c r="P3372" s="12" t="str">
        <f t="array" ref="P3372">IF(O3372:O7415="","",_xlfn.XLOOKUP(O3372:O7415,'参照_官位'!A:A,'参照_官位'!B:B,""))</f>
      </c>
      <c r="Q3372" s="12" t="str">
        <f t="array" ref="Q3372">IF(A3372:A7415="","",IFERROR(_xlfn.XLOOKUP(A3372:A7415,castles_state!K:K,castles_state!D:D)&amp;"主",IFERROR(_xlfn.XLOOKUP(A3372:A7415,kunishuClan!D:D,kunishuClan!B:B)&amp;"当主","")))</f>
      </c>
    </row>
    <row r="3373" ht="15.75" customHeight="1">
      <c r="A3373" s="4">
        <v>1210005</v>
      </c>
      <c r="B3373" s="12" t="str">
        <f t="array" ref="B3373">IF(A3373:A7416="","",_xlfn.XLOOKUP(A3373:A7416,'参照_武将'!A:A,'参照_武将'!B:B,"見つかりません"))</f>
      </c>
      <c r="C3373" s="4" t="s">
        <v>465</v>
      </c>
      <c r="D3373" s="4">
        <v>44</v>
      </c>
      <c r="E3373" s="12" t="str">
        <f t="array" ref="E3373">IF(D3373:D7416="","",IFERROR(_xlfn.XLOOKUP(D3373:D7416,'参照_勢力'!A:A,'参照_勢力'!B:B),IFERROR(_xlfn.XLOOKUP(F3373:F7416,kunishuClan!A:A,kunishuClan!B:B),"浪人")))</f>
      </c>
      <c r="F3373" s="4">
        <v>0</v>
      </c>
      <c r="G3373" s="4">
        <v>115</v>
      </c>
      <c r="H3373" s="12" t="str">
        <f t="array" ref="H3373">IF(G3373:G7416="","",_xlfn.XLOOKUP(G3373:G7416,castles_state!A:A,castles_state!D:D,"見つかりません"))</f>
      </c>
      <c r="I3373" s="4"/>
      <c r="J3373" s="12" t="str">
        <f t="array" ref="J3373">IF(I3373:I7416="","",_xlfn.XLOOKUP(I3373:I7416,'参照_姫'!A:A,'参照_姫'!B:B,"見つかりません"))</f>
      </c>
      <c r="K3373" s="4">
        <v>95</v>
      </c>
      <c r="L3373" s="4">
        <v>0</v>
      </c>
      <c r="M3373" s="4"/>
      <c r="N3373" s="4"/>
      <c r="O3373" s="4"/>
      <c r="P3373" s="12" t="str">
        <f t="array" ref="P3373">IF(O3373:O7416="","",_xlfn.XLOOKUP(O3373:O7416,'参照_官位'!A:A,'参照_官位'!B:B,""))</f>
      </c>
      <c r="Q3373" s="12" t="str">
        <f t="array" ref="Q3373">IF(A3373:A7416="","",IFERROR(_xlfn.XLOOKUP(A3373:A7416,castles_state!K:K,castles_state!D:D)&amp;"主",IFERROR(_xlfn.XLOOKUP(A3373:A7416,kunishuClan!D:D,kunishuClan!B:B)&amp;"当主","")))</f>
      </c>
    </row>
    <row r="3374" ht="15.75" customHeight="1">
      <c r="A3374" s="4">
        <v>1210006</v>
      </c>
      <c r="B3374" s="12" t="str">
        <f t="array" ref="B3374">IF(A3374:A7417="","",_xlfn.XLOOKUP(A3374:A7417,'参照_武将'!A:A,'参照_武将'!B:B,"見つかりません"))</f>
      </c>
      <c r="C3374" s="4" t="s">
        <v>465</v>
      </c>
      <c r="D3374" s="4">
        <v>44</v>
      </c>
      <c r="E3374" s="12" t="str">
        <f t="array" ref="E3374">IF(D3374:D7417="","",IFERROR(_xlfn.XLOOKUP(D3374:D7417,'参照_勢力'!A:A,'参照_勢力'!B:B),IFERROR(_xlfn.XLOOKUP(F3374:F7417,kunishuClan!A:A,kunishuClan!B:B),"浪人")))</f>
      </c>
      <c r="F3374" s="4">
        <v>0</v>
      </c>
      <c r="G3374" s="4">
        <v>115</v>
      </c>
      <c r="H3374" s="12" t="str">
        <f t="array" ref="H3374">IF(G3374:G7417="","",_xlfn.XLOOKUP(G3374:G7417,castles_state!A:A,castles_state!D:D,"見つかりません"))</f>
      </c>
      <c r="I3374" s="4"/>
      <c r="J3374" s="12" t="str">
        <f t="array" ref="J3374">IF(I3374:I7417="","",_xlfn.XLOOKUP(I3374:I7417,'参照_姫'!A:A,'参照_姫'!B:B,"見つかりません"))</f>
      </c>
      <c r="K3374" s="4">
        <v>95</v>
      </c>
      <c r="L3374" s="4">
        <v>0</v>
      </c>
      <c r="M3374" s="4"/>
      <c r="N3374" s="4"/>
      <c r="O3374" s="4"/>
      <c r="P3374" s="12" t="str">
        <f t="array" ref="P3374">IF(O3374:O7417="","",_xlfn.XLOOKUP(O3374:O7417,'参照_官位'!A:A,'参照_官位'!B:B,""))</f>
      </c>
      <c r="Q3374" s="12" t="str">
        <f t="array" ref="Q3374">IF(A3374:A7417="","",IFERROR(_xlfn.XLOOKUP(A3374:A7417,castles_state!K:K,castles_state!D:D)&amp;"主",IFERROR(_xlfn.XLOOKUP(A3374:A7417,kunishuClan!D:D,kunishuClan!B:B)&amp;"当主","")))</f>
      </c>
    </row>
    <row r="3375" ht="15.75" customHeight="1">
      <c r="A3375" s="4">
        <v>1210007</v>
      </c>
      <c r="B3375" s="12" t="str">
        <f t="array" ref="B3375">IF(A3375:A7418="","",_xlfn.XLOOKUP(A3375:A7418,'参照_武将'!A:A,'参照_武将'!B:B,"見つかりません"))</f>
      </c>
      <c r="C3375" s="4" t="s">
        <v>465</v>
      </c>
      <c r="D3375" s="4">
        <v>44</v>
      </c>
      <c r="E3375" s="12" t="str">
        <f t="array" ref="E3375">IF(D3375:D7418="","",IFERROR(_xlfn.XLOOKUP(D3375:D7418,'参照_勢力'!A:A,'参照_勢力'!B:B),IFERROR(_xlfn.XLOOKUP(F3375:F7418,kunishuClan!A:A,kunishuClan!B:B),"浪人")))</f>
      </c>
      <c r="F3375" s="4">
        <v>0</v>
      </c>
      <c r="G3375" s="4">
        <v>115</v>
      </c>
      <c r="H3375" s="12" t="str">
        <f t="array" ref="H3375">IF(G3375:G7418="","",_xlfn.XLOOKUP(G3375:G7418,castles_state!A:A,castles_state!D:D,"見つかりません"))</f>
      </c>
      <c r="I3375" s="4"/>
      <c r="J3375" s="12" t="str">
        <f t="array" ref="J3375">IF(I3375:I7418="","",_xlfn.XLOOKUP(I3375:I7418,'参照_姫'!A:A,'参照_姫'!B:B,"見つかりません"))</f>
      </c>
      <c r="K3375" s="4">
        <v>95</v>
      </c>
      <c r="L3375" s="4">
        <v>0</v>
      </c>
      <c r="M3375" s="4"/>
      <c r="N3375" s="4"/>
      <c r="O3375" s="4"/>
      <c r="P3375" s="12" t="str">
        <f t="array" ref="P3375">IF(O3375:O7418="","",_xlfn.XLOOKUP(O3375:O7418,'参照_官位'!A:A,'参照_官位'!B:B,""))</f>
      </c>
      <c r="Q3375" s="12" t="str">
        <f t="array" ref="Q3375">IF(A3375:A7418="","",IFERROR(_xlfn.XLOOKUP(A3375:A7418,castles_state!K:K,castles_state!D:D)&amp;"主",IFERROR(_xlfn.XLOOKUP(A3375:A7418,kunishuClan!D:D,kunishuClan!B:B)&amp;"当主","")))</f>
      </c>
    </row>
    <row r="3376" ht="15.75" customHeight="1">
      <c r="A3376" s="4">
        <v>1210008</v>
      </c>
      <c r="B3376" s="12" t="str">
        <f t="array" ref="B3376">IF(A3376:A7419="","",_xlfn.XLOOKUP(A3376:A7419,'参照_武将'!A:A,'参照_武将'!B:B,"見つかりません"))</f>
      </c>
      <c r="C3376" s="4" t="s">
        <v>465</v>
      </c>
      <c r="D3376" s="4">
        <v>44</v>
      </c>
      <c r="E3376" s="12" t="str">
        <f t="array" ref="E3376">IF(D3376:D7419="","",IFERROR(_xlfn.XLOOKUP(D3376:D7419,'参照_勢力'!A:A,'参照_勢力'!B:B),IFERROR(_xlfn.XLOOKUP(F3376:F7419,kunishuClan!A:A,kunishuClan!B:B),"浪人")))</f>
      </c>
      <c r="F3376" s="4">
        <v>0</v>
      </c>
      <c r="G3376" s="4">
        <v>115</v>
      </c>
      <c r="H3376" s="12" t="str">
        <f t="array" ref="H3376">IF(G3376:G7419="","",_xlfn.XLOOKUP(G3376:G7419,castles_state!A:A,castles_state!D:D,"見つかりません"))</f>
      </c>
      <c r="I3376" s="4"/>
      <c r="J3376" s="12" t="str">
        <f t="array" ref="J3376">IF(I3376:I7419="","",_xlfn.XLOOKUP(I3376:I7419,'参照_姫'!A:A,'参照_姫'!B:B,"見つかりません"))</f>
      </c>
      <c r="K3376" s="4">
        <v>95</v>
      </c>
      <c r="L3376" s="4">
        <v>0</v>
      </c>
      <c r="M3376" s="4"/>
      <c r="N3376" s="4"/>
      <c r="O3376" s="4"/>
      <c r="P3376" s="12" t="str">
        <f t="array" ref="P3376">IF(O3376:O7419="","",_xlfn.XLOOKUP(O3376:O7419,'参照_官位'!A:A,'参照_官位'!B:B,""))</f>
      </c>
      <c r="Q3376" s="12" t="str">
        <f t="array" ref="Q3376">IF(A3376:A7419="","",IFERROR(_xlfn.XLOOKUP(A3376:A7419,castles_state!K:K,castles_state!D:D)&amp;"主",IFERROR(_xlfn.XLOOKUP(A3376:A7419,kunishuClan!D:D,kunishuClan!B:B)&amp;"当主","")))</f>
      </c>
    </row>
    <row r="3377" ht="15.75" customHeight="1">
      <c r="A3377" s="4">
        <v>1210009</v>
      </c>
      <c r="B3377" s="12" t="str">
        <f t="array" ref="B3377">IF(A3377:A7420="","",_xlfn.XLOOKUP(A3377:A7420,'参照_武将'!A:A,'参照_武将'!B:B,"見つかりません"))</f>
      </c>
      <c r="C3377" s="4" t="s">
        <v>465</v>
      </c>
      <c r="D3377" s="4">
        <v>44</v>
      </c>
      <c r="E3377" s="12" t="str">
        <f t="array" ref="E3377">IF(D3377:D7420="","",IFERROR(_xlfn.XLOOKUP(D3377:D7420,'参照_勢力'!A:A,'参照_勢力'!B:B),IFERROR(_xlfn.XLOOKUP(F3377:F7420,kunishuClan!A:A,kunishuClan!B:B),"浪人")))</f>
      </c>
      <c r="F3377" s="4">
        <v>0</v>
      </c>
      <c r="G3377" s="4">
        <v>115</v>
      </c>
      <c r="H3377" s="12" t="str">
        <f t="array" ref="H3377">IF(G3377:G7420="","",_xlfn.XLOOKUP(G3377:G7420,castles_state!A:A,castles_state!D:D,"見つかりません"))</f>
      </c>
      <c r="I3377" s="4"/>
      <c r="J3377" s="12" t="str">
        <f t="array" ref="J3377">IF(I3377:I7420="","",_xlfn.XLOOKUP(I3377:I7420,'参照_姫'!A:A,'参照_姫'!B:B,"見つかりません"))</f>
      </c>
      <c r="K3377" s="4">
        <v>95</v>
      </c>
      <c r="L3377" s="4">
        <v>0</v>
      </c>
      <c r="M3377" s="4"/>
      <c r="N3377" s="4"/>
      <c r="O3377" s="4"/>
      <c r="P3377" s="12" t="str">
        <f t="array" ref="P3377">IF(O3377:O7420="","",_xlfn.XLOOKUP(O3377:O7420,'参照_官位'!A:A,'参照_官位'!B:B,""))</f>
      </c>
      <c r="Q3377" s="12" t="str">
        <f t="array" ref="Q3377">IF(A3377:A7420="","",IFERROR(_xlfn.XLOOKUP(A3377:A7420,castles_state!K:K,castles_state!D:D)&amp;"主",IFERROR(_xlfn.XLOOKUP(A3377:A7420,kunishuClan!D:D,kunishuClan!B:B)&amp;"当主","")))</f>
      </c>
    </row>
    <row r="3378" ht="15.75" customHeight="1">
      <c r="A3378" s="4">
        <v>1210010</v>
      </c>
      <c r="B3378" s="12" t="str">
        <f t="array" ref="B3378">IF(A3378:A7421="","",_xlfn.XLOOKUP(A3378:A7421,'参照_武将'!A:A,'参照_武将'!B:B,"見つかりません"))</f>
      </c>
      <c r="C3378" s="4" t="s">
        <v>465</v>
      </c>
      <c r="D3378" s="4">
        <v>44</v>
      </c>
      <c r="E3378" s="12" t="str">
        <f t="array" ref="E3378">IF(D3378:D7421="","",IFERROR(_xlfn.XLOOKUP(D3378:D7421,'参照_勢力'!A:A,'参照_勢力'!B:B),IFERROR(_xlfn.XLOOKUP(F3378:F7421,kunishuClan!A:A,kunishuClan!B:B),"浪人")))</f>
      </c>
      <c r="F3378" s="4">
        <v>0</v>
      </c>
      <c r="G3378" s="4">
        <v>115</v>
      </c>
      <c r="H3378" s="12" t="str">
        <f t="array" ref="H3378">IF(G3378:G7421="","",_xlfn.XLOOKUP(G3378:G7421,castles_state!A:A,castles_state!D:D,"見つかりません"))</f>
      </c>
      <c r="I3378" s="4"/>
      <c r="J3378" s="12" t="str">
        <f t="array" ref="J3378">IF(I3378:I7421="","",_xlfn.XLOOKUP(I3378:I7421,'参照_姫'!A:A,'参照_姫'!B:B,"見つかりません"))</f>
      </c>
      <c r="K3378" s="4">
        <v>95</v>
      </c>
      <c r="L3378" s="4">
        <v>0</v>
      </c>
      <c r="M3378" s="4"/>
      <c r="N3378" s="4"/>
      <c r="O3378" s="4"/>
      <c r="P3378" s="12" t="str">
        <f t="array" ref="P3378">IF(O3378:O7421="","",_xlfn.XLOOKUP(O3378:O7421,'参照_官位'!A:A,'参照_官位'!B:B,""))</f>
      </c>
      <c r="Q3378" s="12" t="str">
        <f t="array" ref="Q3378">IF(A3378:A7421="","",IFERROR(_xlfn.XLOOKUP(A3378:A7421,castles_state!K:K,castles_state!D:D)&amp;"主",IFERROR(_xlfn.XLOOKUP(A3378:A7421,kunishuClan!D:D,kunishuClan!B:B)&amp;"当主","")))</f>
      </c>
    </row>
    <row r="3379" ht="15.75" customHeight="1">
      <c r="A3379" s="4">
        <v>1210011</v>
      </c>
      <c r="B3379" s="12" t="str">
        <f t="array" ref="B3379">IF(A3379:A7422="","",_xlfn.XLOOKUP(A3379:A7422,'参照_武将'!A:A,'参照_武将'!B:B,"見つかりません"))</f>
      </c>
      <c r="C3379" s="4" t="s">
        <v>465</v>
      </c>
      <c r="D3379" s="4">
        <v>44</v>
      </c>
      <c r="E3379" s="12" t="str">
        <f t="array" ref="E3379">IF(D3379:D7422="","",IFERROR(_xlfn.XLOOKUP(D3379:D7422,'参照_勢力'!A:A,'参照_勢力'!B:B),IFERROR(_xlfn.XLOOKUP(F3379:F7422,kunishuClan!A:A,kunishuClan!B:B),"浪人")))</f>
      </c>
      <c r="F3379" s="4">
        <v>0</v>
      </c>
      <c r="G3379" s="4">
        <v>115</v>
      </c>
      <c r="H3379" s="12" t="str">
        <f t="array" ref="H3379">IF(G3379:G7422="","",_xlfn.XLOOKUP(G3379:G7422,castles_state!A:A,castles_state!D:D,"見つかりません"))</f>
      </c>
      <c r="I3379" s="4"/>
      <c r="J3379" s="12" t="str">
        <f t="array" ref="J3379">IF(I3379:I7422="","",_xlfn.XLOOKUP(I3379:I7422,'参照_姫'!A:A,'参照_姫'!B:B,"見つかりません"))</f>
      </c>
      <c r="K3379" s="4">
        <v>95</v>
      </c>
      <c r="L3379" s="4">
        <v>0</v>
      </c>
      <c r="M3379" s="4"/>
      <c r="N3379" s="4"/>
      <c r="O3379" s="4"/>
      <c r="P3379" s="12" t="str">
        <f t="array" ref="P3379">IF(O3379:O7422="","",_xlfn.XLOOKUP(O3379:O7422,'参照_官位'!A:A,'参照_官位'!B:B,""))</f>
      </c>
      <c r="Q3379" s="12" t="str">
        <f t="array" ref="Q3379">IF(A3379:A7422="","",IFERROR(_xlfn.XLOOKUP(A3379:A7422,castles_state!K:K,castles_state!D:D)&amp;"主",IFERROR(_xlfn.XLOOKUP(A3379:A7422,kunishuClan!D:D,kunishuClan!B:B)&amp;"当主","")))</f>
      </c>
    </row>
    <row r="3380" ht="15.75" customHeight="1">
      <c r="A3380" s="4">
        <v>1210012</v>
      </c>
      <c r="B3380" s="12" t="str">
        <f t="array" ref="B3380">IF(A3380:A7423="","",_xlfn.XLOOKUP(A3380:A7423,'参照_武将'!A:A,'参照_武将'!B:B,"見つかりません"))</f>
      </c>
      <c r="C3380" s="4" t="s">
        <v>465</v>
      </c>
      <c r="D3380" s="4">
        <v>44</v>
      </c>
      <c r="E3380" s="12" t="str">
        <f t="array" ref="E3380">IF(D3380:D7423="","",IFERROR(_xlfn.XLOOKUP(D3380:D7423,'参照_勢力'!A:A,'参照_勢力'!B:B),IFERROR(_xlfn.XLOOKUP(F3380:F7423,kunishuClan!A:A,kunishuClan!B:B),"浪人")))</f>
      </c>
      <c r="F3380" s="4">
        <v>0</v>
      </c>
      <c r="G3380" s="4">
        <v>114</v>
      </c>
      <c r="H3380" s="12" t="str">
        <f t="array" ref="H3380">IF(G3380:G7423="","",_xlfn.XLOOKUP(G3380:G7423,castles_state!A:A,castles_state!D:D,"見つかりません"))</f>
      </c>
      <c r="I3380" s="4"/>
      <c r="J3380" s="12" t="str">
        <f t="array" ref="J3380">IF(I3380:I7423="","",_xlfn.XLOOKUP(I3380:I7423,'参照_姫'!A:A,'参照_姫'!B:B,"見つかりません"))</f>
      </c>
      <c r="K3380" s="4">
        <v>95</v>
      </c>
      <c r="L3380" s="4">
        <v>0</v>
      </c>
      <c r="M3380" s="4"/>
      <c r="N3380" s="4"/>
      <c r="O3380" s="4"/>
      <c r="P3380" s="12" t="str">
        <f t="array" ref="P3380">IF(O3380:O7423="","",_xlfn.XLOOKUP(O3380:O7423,'参照_官位'!A:A,'参照_官位'!B:B,""))</f>
      </c>
      <c r="Q3380" s="12" t="str">
        <f t="array" ref="Q3380">IF(A3380:A7423="","",IFERROR(_xlfn.XLOOKUP(A3380:A7423,castles_state!K:K,castles_state!D:D)&amp;"主",IFERROR(_xlfn.XLOOKUP(A3380:A7423,kunishuClan!D:D,kunishuClan!B:B)&amp;"当主","")))</f>
      </c>
    </row>
    <row r="3381" ht="15.75" customHeight="1">
      <c r="A3381" s="4">
        <v>1210013</v>
      </c>
      <c r="B3381" s="12" t="str">
        <f t="array" ref="B3381">IF(A3381:A7424="","",_xlfn.XLOOKUP(A3381:A7424,'参照_武将'!A:A,'参照_武将'!B:B,"見つかりません"))</f>
      </c>
      <c r="C3381" s="4" t="s">
        <v>465</v>
      </c>
      <c r="D3381" s="4">
        <v>44</v>
      </c>
      <c r="E3381" s="12" t="str">
        <f t="array" ref="E3381">IF(D3381:D7424="","",IFERROR(_xlfn.XLOOKUP(D3381:D7424,'参照_勢力'!A:A,'参照_勢力'!B:B),IFERROR(_xlfn.XLOOKUP(F3381:F7424,kunishuClan!A:A,kunishuClan!B:B),"浪人")))</f>
      </c>
      <c r="F3381" s="4">
        <v>0</v>
      </c>
      <c r="G3381" s="4">
        <v>114</v>
      </c>
      <c r="H3381" s="12" t="str">
        <f t="array" ref="H3381">IF(G3381:G7424="","",_xlfn.XLOOKUP(G3381:G7424,castles_state!A:A,castles_state!D:D,"見つかりません"))</f>
      </c>
      <c r="I3381" s="4"/>
      <c r="J3381" s="12" t="str">
        <f t="array" ref="J3381">IF(I3381:I7424="","",_xlfn.XLOOKUP(I3381:I7424,'参照_姫'!A:A,'参照_姫'!B:B,"見つかりません"))</f>
      </c>
      <c r="K3381" s="4">
        <v>95</v>
      </c>
      <c r="L3381" s="4">
        <v>0</v>
      </c>
      <c r="M3381" s="4"/>
      <c r="N3381" s="4"/>
      <c r="O3381" s="4"/>
      <c r="P3381" s="12" t="str">
        <f t="array" ref="P3381">IF(O3381:O7424="","",_xlfn.XLOOKUP(O3381:O7424,'参照_官位'!A:A,'参照_官位'!B:B,""))</f>
      </c>
      <c r="Q3381" s="12" t="str">
        <f t="array" ref="Q3381">IF(A3381:A7424="","",IFERROR(_xlfn.XLOOKUP(A3381:A7424,castles_state!K:K,castles_state!D:D)&amp;"主",IFERROR(_xlfn.XLOOKUP(A3381:A7424,kunishuClan!D:D,kunishuClan!B:B)&amp;"当主","")))</f>
      </c>
    </row>
    <row r="3382" ht="15.75" customHeight="1">
      <c r="A3382" s="4">
        <v>1210014</v>
      </c>
      <c r="B3382" s="12" t="str">
        <f t="array" ref="B3382">IF(A3382:A7425="","",_xlfn.XLOOKUP(A3382:A7425,'参照_武将'!A:A,'参照_武将'!B:B,"見つかりません"))</f>
      </c>
      <c r="C3382" s="4" t="s">
        <v>465</v>
      </c>
      <c r="D3382" s="4">
        <v>44</v>
      </c>
      <c r="E3382" s="12" t="str">
        <f t="array" ref="E3382">IF(D3382:D7425="","",IFERROR(_xlfn.XLOOKUP(D3382:D7425,'参照_勢力'!A:A,'参照_勢力'!B:B),IFERROR(_xlfn.XLOOKUP(F3382:F7425,kunishuClan!A:A,kunishuClan!B:B),"浪人")))</f>
      </c>
      <c r="F3382" s="4">
        <v>0</v>
      </c>
      <c r="G3382" s="4">
        <v>114</v>
      </c>
      <c r="H3382" s="12" t="str">
        <f t="array" ref="H3382">IF(G3382:G7425="","",_xlfn.XLOOKUP(G3382:G7425,castles_state!A:A,castles_state!D:D,"見つかりません"))</f>
      </c>
      <c r="I3382" s="4"/>
      <c r="J3382" s="12" t="str">
        <f t="array" ref="J3382">IF(I3382:I7425="","",_xlfn.XLOOKUP(I3382:I7425,'参照_姫'!A:A,'参照_姫'!B:B,"見つかりません"))</f>
      </c>
      <c r="K3382" s="4">
        <v>95</v>
      </c>
      <c r="L3382" s="4">
        <v>0</v>
      </c>
      <c r="M3382" s="4"/>
      <c r="N3382" s="4"/>
      <c r="O3382" s="4"/>
      <c r="P3382" s="12" t="str">
        <f t="array" ref="P3382">IF(O3382:O7425="","",_xlfn.XLOOKUP(O3382:O7425,'参照_官位'!A:A,'参照_官位'!B:B,""))</f>
      </c>
      <c r="Q3382" s="12" t="str">
        <f t="array" ref="Q3382">IF(A3382:A7425="","",IFERROR(_xlfn.XLOOKUP(A3382:A7425,castles_state!K:K,castles_state!D:D)&amp;"主",IFERROR(_xlfn.XLOOKUP(A3382:A7425,kunishuClan!D:D,kunishuClan!B:B)&amp;"当主","")))</f>
      </c>
    </row>
    <row r="3383" ht="15.75" customHeight="1">
      <c r="A3383" s="4">
        <v>1210015</v>
      </c>
      <c r="B3383" s="12" t="str">
        <f t="array" ref="B3383">IF(A3383:A7426="","",_xlfn.XLOOKUP(A3383:A7426,'参照_武将'!A:A,'参照_武将'!B:B,"見つかりません"))</f>
      </c>
      <c r="C3383" s="4" t="s">
        <v>465</v>
      </c>
      <c r="D3383" s="4">
        <v>44</v>
      </c>
      <c r="E3383" s="12" t="str">
        <f t="array" ref="E3383">IF(D3383:D7426="","",IFERROR(_xlfn.XLOOKUP(D3383:D7426,'参照_勢力'!A:A,'参照_勢力'!B:B),IFERROR(_xlfn.XLOOKUP(F3383:F7426,kunishuClan!A:A,kunishuClan!B:B),"浪人")))</f>
      </c>
      <c r="F3383" s="4">
        <v>0</v>
      </c>
      <c r="G3383" s="4">
        <v>114</v>
      </c>
      <c r="H3383" s="12" t="str">
        <f t="array" ref="H3383">IF(G3383:G7426="","",_xlfn.XLOOKUP(G3383:G7426,castles_state!A:A,castles_state!D:D,"見つかりません"))</f>
      </c>
      <c r="I3383" s="4"/>
      <c r="J3383" s="12" t="str">
        <f t="array" ref="J3383">IF(I3383:I7426="","",_xlfn.XLOOKUP(I3383:I7426,'参照_姫'!A:A,'参照_姫'!B:B,"見つかりません"))</f>
      </c>
      <c r="K3383" s="4">
        <v>95</v>
      </c>
      <c r="L3383" s="4">
        <v>0</v>
      </c>
      <c r="M3383" s="4"/>
      <c r="N3383" s="4"/>
      <c r="O3383" s="4"/>
      <c r="P3383" s="12" t="str">
        <f t="array" ref="P3383">IF(O3383:O7426="","",_xlfn.XLOOKUP(O3383:O7426,'参照_官位'!A:A,'参照_官位'!B:B,""))</f>
      </c>
      <c r="Q3383" s="12" t="str">
        <f t="array" ref="Q3383">IF(A3383:A7426="","",IFERROR(_xlfn.XLOOKUP(A3383:A7426,castles_state!K:K,castles_state!D:D)&amp;"主",IFERROR(_xlfn.XLOOKUP(A3383:A7426,kunishuClan!D:D,kunishuClan!B:B)&amp;"当主","")))</f>
      </c>
    </row>
    <row r="3384" ht="15.75" customHeight="1">
      <c r="A3384" s="4">
        <v>1210016</v>
      </c>
      <c r="B3384" s="12" t="str">
        <f t="array" ref="B3384">IF(A3384:A7427="","",_xlfn.XLOOKUP(A3384:A7427,'参照_武将'!A:A,'参照_武将'!B:B,"見つかりません"))</f>
      </c>
      <c r="C3384" s="4" t="s">
        <v>465</v>
      </c>
      <c r="D3384" s="4">
        <v>44</v>
      </c>
      <c r="E3384" s="12" t="str">
        <f t="array" ref="E3384">IF(D3384:D7427="","",IFERROR(_xlfn.XLOOKUP(D3384:D7427,'参照_勢力'!A:A,'参照_勢力'!B:B),IFERROR(_xlfn.XLOOKUP(F3384:F7427,kunishuClan!A:A,kunishuClan!B:B),"浪人")))</f>
      </c>
      <c r="F3384" s="4">
        <v>0</v>
      </c>
      <c r="G3384" s="4">
        <v>115</v>
      </c>
      <c r="H3384" s="12" t="str">
        <f t="array" ref="H3384">IF(G3384:G7427="","",_xlfn.XLOOKUP(G3384:G7427,castles_state!A:A,castles_state!D:D,"見つかりません"))</f>
      </c>
      <c r="I3384" s="4"/>
      <c r="J3384" s="12" t="str">
        <f t="array" ref="J3384">IF(I3384:I7427="","",_xlfn.XLOOKUP(I3384:I7427,'参照_姫'!A:A,'参照_姫'!B:B,"見つかりません"))</f>
      </c>
      <c r="K3384" s="4">
        <v>95</v>
      </c>
      <c r="L3384" s="4">
        <v>0</v>
      </c>
      <c r="M3384" s="4"/>
      <c r="N3384" s="4"/>
      <c r="O3384" s="4"/>
      <c r="P3384" s="12" t="str">
        <f t="array" ref="P3384">IF(O3384:O7427="","",_xlfn.XLOOKUP(O3384:O7427,'参照_官位'!A:A,'参照_官位'!B:B,""))</f>
      </c>
      <c r="Q3384" s="12" t="str">
        <f t="array" ref="Q3384">IF(A3384:A7427="","",IFERROR(_xlfn.XLOOKUP(A3384:A7427,castles_state!K:K,castles_state!D:D)&amp;"主",IFERROR(_xlfn.XLOOKUP(A3384:A7427,kunishuClan!D:D,kunishuClan!B:B)&amp;"当主","")))</f>
      </c>
    </row>
    <row r="3385" ht="15.75" customHeight="1">
      <c r="A3385" s="4">
        <v>1210017</v>
      </c>
      <c r="B3385" s="12" t="str">
        <f t="array" ref="B3385">IF(A3385:A7428="","",_xlfn.XLOOKUP(A3385:A7428,'参照_武将'!A:A,'参照_武将'!B:B,"見つかりません"))</f>
      </c>
      <c r="C3385" s="4" t="s">
        <v>465</v>
      </c>
      <c r="D3385" s="4">
        <v>44</v>
      </c>
      <c r="E3385" s="12" t="str">
        <f t="array" ref="E3385">IF(D3385:D7428="","",IFERROR(_xlfn.XLOOKUP(D3385:D7428,'参照_勢力'!A:A,'参照_勢力'!B:B),IFERROR(_xlfn.XLOOKUP(F3385:F7428,kunishuClan!A:A,kunishuClan!B:B),"浪人")))</f>
      </c>
      <c r="F3385" s="4">
        <v>0</v>
      </c>
      <c r="G3385" s="4">
        <v>115</v>
      </c>
      <c r="H3385" s="12" t="str">
        <f t="array" ref="H3385">IF(G3385:G7428="","",_xlfn.XLOOKUP(G3385:G7428,castles_state!A:A,castles_state!D:D,"見つかりません"))</f>
      </c>
      <c r="I3385" s="4"/>
      <c r="J3385" s="12" t="str">
        <f t="array" ref="J3385">IF(I3385:I7428="","",_xlfn.XLOOKUP(I3385:I7428,'参照_姫'!A:A,'参照_姫'!B:B,"見つかりません"))</f>
      </c>
      <c r="K3385" s="4">
        <v>95</v>
      </c>
      <c r="L3385" s="4">
        <v>0</v>
      </c>
      <c r="M3385" s="4"/>
      <c r="N3385" s="4"/>
      <c r="O3385" s="4"/>
      <c r="P3385" s="12" t="str">
        <f t="array" ref="P3385">IF(O3385:O7428="","",_xlfn.XLOOKUP(O3385:O7428,'参照_官位'!A:A,'参照_官位'!B:B,""))</f>
      </c>
      <c r="Q3385" s="12" t="str">
        <f t="array" ref="Q3385">IF(A3385:A7428="","",IFERROR(_xlfn.XLOOKUP(A3385:A7428,castles_state!K:K,castles_state!D:D)&amp;"主",IFERROR(_xlfn.XLOOKUP(A3385:A7428,kunishuClan!D:D,kunishuClan!B:B)&amp;"当主","")))</f>
      </c>
    </row>
    <row r="3386" ht="15.75" customHeight="1">
      <c r="A3386" s="4">
        <v>1210018</v>
      </c>
      <c r="B3386" s="12" t="str">
        <f t="array" ref="B3386">IF(A3386:A7429="","",_xlfn.XLOOKUP(A3386:A7429,'参照_武将'!A:A,'参照_武将'!B:B,"見つかりません"))</f>
      </c>
      <c r="C3386" s="4" t="s">
        <v>465</v>
      </c>
      <c r="D3386" s="4">
        <v>44</v>
      </c>
      <c r="E3386" s="12" t="str">
        <f t="array" ref="E3386">IF(D3386:D7429="","",IFERROR(_xlfn.XLOOKUP(D3386:D7429,'参照_勢力'!A:A,'参照_勢力'!B:B),IFERROR(_xlfn.XLOOKUP(F3386:F7429,kunishuClan!A:A,kunishuClan!B:B),"浪人")))</f>
      </c>
      <c r="F3386" s="4">
        <v>0</v>
      </c>
      <c r="G3386" s="4">
        <v>114</v>
      </c>
      <c r="H3386" s="12" t="str">
        <f t="array" ref="H3386">IF(G3386:G7429="","",_xlfn.XLOOKUP(G3386:G7429,castles_state!A:A,castles_state!D:D,"見つかりません"))</f>
      </c>
      <c r="I3386" s="4"/>
      <c r="J3386" s="12" t="str">
        <f t="array" ref="J3386">IF(I3386:I7429="","",_xlfn.XLOOKUP(I3386:I7429,'参照_姫'!A:A,'参照_姫'!B:B,"見つかりません"))</f>
      </c>
      <c r="K3386" s="4">
        <v>95</v>
      </c>
      <c r="L3386" s="4">
        <v>0</v>
      </c>
      <c r="M3386" s="4" t="b">
        <v>1</v>
      </c>
      <c r="N3386" s="4"/>
      <c r="O3386" s="4"/>
      <c r="P3386" s="12" t="str">
        <f t="array" ref="P3386">IF(O3386:O7429="","",_xlfn.XLOOKUP(O3386:O7429,'参照_官位'!A:A,'参照_官位'!B:B,""))</f>
      </c>
      <c r="Q3386" s="12" t="str">
        <f t="array" ref="Q3386">IF(A3386:A7429="","",IFERROR(_xlfn.XLOOKUP(A3386:A7429,castles_state!K:K,castles_state!D:D)&amp;"主",IFERROR(_xlfn.XLOOKUP(A3386:A7429,kunishuClan!D:D,kunishuClan!B:B)&amp;"当主","")))</f>
      </c>
    </row>
    <row r="3387" ht="15.75" customHeight="1">
      <c r="A3387" s="4">
        <v>1210019</v>
      </c>
      <c r="B3387" s="12" t="str">
        <f t="array" ref="B3387">IF(A3387:A7430="","",_xlfn.XLOOKUP(A3387:A7430,'参照_武将'!A:A,'参照_武将'!B:B,"見つかりません"))</f>
      </c>
      <c r="C3387" s="4" t="s">
        <v>465</v>
      </c>
      <c r="D3387" s="4">
        <v>44</v>
      </c>
      <c r="E3387" s="12" t="str">
        <f t="array" ref="E3387">IF(D3387:D7430="","",IFERROR(_xlfn.XLOOKUP(D3387:D7430,'参照_勢力'!A:A,'参照_勢力'!B:B),IFERROR(_xlfn.XLOOKUP(F3387:F7430,kunishuClan!A:A,kunishuClan!B:B),"浪人")))</f>
      </c>
      <c r="F3387" s="4">
        <v>0</v>
      </c>
      <c r="G3387" s="4">
        <v>114</v>
      </c>
      <c r="H3387" s="12" t="str">
        <f t="array" ref="H3387">IF(G3387:G7430="","",_xlfn.XLOOKUP(G3387:G7430,castles_state!A:A,castles_state!D:D,"見つかりません"))</f>
      </c>
      <c r="I3387" s="4"/>
      <c r="J3387" s="12" t="str">
        <f t="array" ref="J3387">IF(I3387:I7430="","",_xlfn.XLOOKUP(I3387:I7430,'参照_姫'!A:A,'参照_姫'!B:B,"見つかりません"))</f>
      </c>
      <c r="K3387" s="4">
        <v>95</v>
      </c>
      <c r="L3387" s="4">
        <v>0</v>
      </c>
      <c r="M3387" s="4"/>
      <c r="N3387" s="4"/>
      <c r="O3387" s="4"/>
      <c r="P3387" s="12" t="str">
        <f t="array" ref="P3387">IF(O3387:O7430="","",_xlfn.XLOOKUP(O3387:O7430,'参照_官位'!A:A,'参照_官位'!B:B,""))</f>
      </c>
      <c r="Q3387" s="12" t="str">
        <f t="array" ref="Q3387">IF(A3387:A7430="","",IFERROR(_xlfn.XLOOKUP(A3387:A7430,castles_state!K:K,castles_state!D:D)&amp;"主",IFERROR(_xlfn.XLOOKUP(A3387:A7430,kunishuClan!D:D,kunishuClan!B:B)&amp;"当主","")))</f>
      </c>
    </row>
    <row r="3388" ht="15.75" customHeight="1">
      <c r="A3388" s="4">
        <v>1210020</v>
      </c>
      <c r="B3388" s="12" t="str">
        <f t="array" ref="B3388">IF(A3388:A7431="","",_xlfn.XLOOKUP(A3388:A7431,'参照_武将'!A:A,'参照_武将'!B:B,"見つかりません"))</f>
      </c>
      <c r="C3388" s="4" t="s">
        <v>465</v>
      </c>
      <c r="D3388" s="4">
        <v>44</v>
      </c>
      <c r="E3388" s="12" t="str">
        <f t="array" ref="E3388">IF(D3388:D7431="","",IFERROR(_xlfn.XLOOKUP(D3388:D7431,'参照_勢力'!A:A,'参照_勢力'!B:B),IFERROR(_xlfn.XLOOKUP(F3388:F7431,kunishuClan!A:A,kunishuClan!B:B),"浪人")))</f>
      </c>
      <c r="F3388" s="4">
        <v>0</v>
      </c>
      <c r="G3388" s="4">
        <v>114</v>
      </c>
      <c r="H3388" s="12" t="str">
        <f t="array" ref="H3388">IF(G3388:G7431="","",_xlfn.XLOOKUP(G3388:G7431,castles_state!A:A,castles_state!D:D,"見つかりません"))</f>
      </c>
      <c r="I3388" s="4"/>
      <c r="J3388" s="12" t="str">
        <f t="array" ref="J3388">IF(I3388:I7431="","",_xlfn.XLOOKUP(I3388:I7431,'参照_姫'!A:A,'参照_姫'!B:B,"見つかりません"))</f>
      </c>
      <c r="K3388" s="4">
        <v>95</v>
      </c>
      <c r="L3388" s="4">
        <v>0</v>
      </c>
      <c r="M3388" s="4"/>
      <c r="N3388" s="4"/>
      <c r="O3388" s="4"/>
      <c r="P3388" s="12" t="str">
        <f t="array" ref="P3388">IF(O3388:O7431="","",_xlfn.XLOOKUP(O3388:O7431,'参照_官位'!A:A,'参照_官位'!B:B,""))</f>
      </c>
      <c r="Q3388" s="12" t="str">
        <f t="array" ref="Q3388">IF(A3388:A7431="","",IFERROR(_xlfn.XLOOKUP(A3388:A7431,castles_state!K:K,castles_state!D:D)&amp;"主",IFERROR(_xlfn.XLOOKUP(A3388:A7431,kunishuClan!D:D,kunishuClan!B:B)&amp;"当主","")))</f>
      </c>
    </row>
    <row r="3389" ht="15.75" customHeight="1">
      <c r="A3389" s="4">
        <v>1210021</v>
      </c>
      <c r="B3389" s="12" t="str">
        <f t="array" ref="B3389">IF(A3389:A7432="","",_xlfn.XLOOKUP(A3389:A7432,'参照_武将'!A:A,'参照_武将'!B:B,"見つかりません"))</f>
      </c>
      <c r="C3389" s="4" t="s">
        <v>465</v>
      </c>
      <c r="D3389" s="4">
        <v>44</v>
      </c>
      <c r="E3389" s="12" t="str">
        <f t="array" ref="E3389">IF(D3389:D7432="","",IFERROR(_xlfn.XLOOKUP(D3389:D7432,'参照_勢力'!A:A,'参照_勢力'!B:B),IFERROR(_xlfn.XLOOKUP(F3389:F7432,kunishuClan!A:A,kunishuClan!B:B),"浪人")))</f>
      </c>
      <c r="F3389" s="4">
        <v>0</v>
      </c>
      <c r="G3389" s="4">
        <v>114</v>
      </c>
      <c r="H3389" s="12" t="str">
        <f t="array" ref="H3389">IF(G3389:G7432="","",_xlfn.XLOOKUP(G3389:G7432,castles_state!A:A,castles_state!D:D,"見つかりません"))</f>
      </c>
      <c r="I3389" s="4"/>
      <c r="J3389" s="12" t="str">
        <f t="array" ref="J3389">IF(I3389:I7432="","",_xlfn.XLOOKUP(I3389:I7432,'参照_姫'!A:A,'参照_姫'!B:B,"見つかりません"))</f>
      </c>
      <c r="K3389" s="4">
        <v>95</v>
      </c>
      <c r="L3389" s="4">
        <v>0</v>
      </c>
      <c r="M3389" s="4"/>
      <c r="N3389" s="4"/>
      <c r="O3389" s="4"/>
      <c r="P3389" s="12" t="str">
        <f t="array" ref="P3389">IF(O3389:O7432="","",_xlfn.XLOOKUP(O3389:O7432,'参照_官位'!A:A,'参照_官位'!B:B,""))</f>
      </c>
      <c r="Q3389" s="12" t="str">
        <f t="array" ref="Q3389">IF(A3389:A7432="","",IFERROR(_xlfn.XLOOKUP(A3389:A7432,castles_state!K:K,castles_state!D:D)&amp;"主",IFERROR(_xlfn.XLOOKUP(A3389:A7432,kunishuClan!D:D,kunishuClan!B:B)&amp;"当主","")))</f>
      </c>
    </row>
    <row r="3390" ht="15.75" customHeight="1">
      <c r="A3390" s="4">
        <v>1210022</v>
      </c>
      <c r="B3390" s="12" t="str">
        <f t="array" ref="B3390">IF(A3390:A7433="","",_xlfn.XLOOKUP(A3390:A7433,'参照_武将'!A:A,'参照_武将'!B:B,"見つかりません"))</f>
      </c>
      <c r="C3390" s="4" t="s">
        <v>465</v>
      </c>
      <c r="D3390" s="4">
        <v>44</v>
      </c>
      <c r="E3390" s="12" t="str">
        <f t="array" ref="E3390">IF(D3390:D7433="","",IFERROR(_xlfn.XLOOKUP(D3390:D7433,'参照_勢力'!A:A,'参照_勢力'!B:B),IFERROR(_xlfn.XLOOKUP(F3390:F7433,kunishuClan!A:A,kunishuClan!B:B),"浪人")))</f>
      </c>
      <c r="F3390" s="4">
        <v>0</v>
      </c>
      <c r="G3390" s="4">
        <v>115</v>
      </c>
      <c r="H3390" s="12" t="str">
        <f t="array" ref="H3390">IF(G3390:G7433="","",_xlfn.XLOOKUP(G3390:G7433,castles_state!A:A,castles_state!D:D,"見つかりません"))</f>
      </c>
      <c r="I3390" s="4"/>
      <c r="J3390" s="12" t="str">
        <f t="array" ref="J3390">IF(I3390:I7433="","",_xlfn.XLOOKUP(I3390:I7433,'参照_姫'!A:A,'参照_姫'!B:B,"見つかりません"))</f>
      </c>
      <c r="K3390" s="4">
        <v>95</v>
      </c>
      <c r="L3390" s="4">
        <v>0</v>
      </c>
      <c r="M3390" s="4"/>
      <c r="N3390" s="4"/>
      <c r="O3390" s="4"/>
      <c r="P3390" s="12" t="str">
        <f t="array" ref="P3390">IF(O3390:O7433="","",_xlfn.XLOOKUP(O3390:O7433,'参照_官位'!A:A,'参照_官位'!B:B,""))</f>
      </c>
      <c r="Q3390" s="12" t="str">
        <f t="array" ref="Q3390">IF(A3390:A7433="","",IFERROR(_xlfn.XLOOKUP(A3390:A7433,castles_state!K:K,castles_state!D:D)&amp;"主",IFERROR(_xlfn.XLOOKUP(A3390:A7433,kunishuClan!D:D,kunishuClan!B:B)&amp;"当主","")))</f>
      </c>
    </row>
    <row r="3391" ht="15.75" customHeight="1">
      <c r="A3391" s="4">
        <v>1210023</v>
      </c>
      <c r="B3391" s="12" t="str">
        <f t="array" ref="B3391">IF(A3391:A7434="","",_xlfn.XLOOKUP(A3391:A7434,'参照_武将'!A:A,'参照_武将'!B:B,"見つかりません"))</f>
      </c>
      <c r="C3391" s="4" t="s">
        <v>465</v>
      </c>
      <c r="D3391" s="4">
        <v>44</v>
      </c>
      <c r="E3391" s="12" t="str">
        <f t="array" ref="E3391">IF(D3391:D7434="","",IFERROR(_xlfn.XLOOKUP(D3391:D7434,'参照_勢力'!A:A,'参照_勢力'!B:B),IFERROR(_xlfn.XLOOKUP(F3391:F7434,kunishuClan!A:A,kunishuClan!B:B),"浪人")))</f>
      </c>
      <c r="F3391" s="4">
        <v>0</v>
      </c>
      <c r="G3391" s="4">
        <v>115</v>
      </c>
      <c r="H3391" s="12" t="str">
        <f t="array" ref="H3391">IF(G3391:G7434="","",_xlfn.XLOOKUP(G3391:G7434,castles_state!A:A,castles_state!D:D,"見つかりません"))</f>
      </c>
      <c r="I3391" s="4"/>
      <c r="J3391" s="12" t="str">
        <f t="array" ref="J3391">IF(I3391:I7434="","",_xlfn.XLOOKUP(I3391:I7434,'参照_姫'!A:A,'参照_姫'!B:B,"見つかりません"))</f>
      </c>
      <c r="K3391" s="4">
        <v>95</v>
      </c>
      <c r="L3391" s="4">
        <v>0</v>
      </c>
      <c r="M3391" s="4"/>
      <c r="N3391" s="4"/>
      <c r="O3391" s="4"/>
      <c r="P3391" s="12" t="str">
        <f t="array" ref="P3391">IF(O3391:O7434="","",_xlfn.XLOOKUP(O3391:O7434,'参照_官位'!A:A,'参照_官位'!B:B,""))</f>
      </c>
      <c r="Q3391" s="12" t="str">
        <f t="array" ref="Q3391">IF(A3391:A7434="","",IFERROR(_xlfn.XLOOKUP(A3391:A7434,castles_state!K:K,castles_state!D:D)&amp;"主",IFERROR(_xlfn.XLOOKUP(A3391:A7434,kunishuClan!D:D,kunishuClan!B:B)&amp;"当主","")))</f>
      </c>
    </row>
    <row r="3392" ht="15.75" customHeight="1">
      <c r="A3392" s="4">
        <v>1210024</v>
      </c>
      <c r="B3392" s="12" t="str">
        <f t="array" ref="B3392">IF(A3392:A7435="","",_xlfn.XLOOKUP(A3392:A7435,'参照_武将'!A:A,'参照_武将'!B:B,"見つかりません"))</f>
      </c>
      <c r="C3392" s="4" t="s">
        <v>465</v>
      </c>
      <c r="D3392" s="4">
        <v>44</v>
      </c>
      <c r="E3392" s="12" t="str">
        <f t="array" ref="E3392">IF(D3392:D7435="","",IFERROR(_xlfn.XLOOKUP(D3392:D7435,'参照_勢力'!A:A,'参照_勢力'!B:B),IFERROR(_xlfn.XLOOKUP(F3392:F7435,kunishuClan!A:A,kunishuClan!B:B),"浪人")))</f>
      </c>
      <c r="F3392" s="4">
        <v>0</v>
      </c>
      <c r="G3392" s="4">
        <v>114</v>
      </c>
      <c r="H3392" s="12" t="str">
        <f t="array" ref="H3392">IF(G3392:G7435="","",_xlfn.XLOOKUP(G3392:G7435,castles_state!A:A,castles_state!D:D,"見つかりません"))</f>
      </c>
      <c r="I3392" s="4"/>
      <c r="J3392" s="12" t="str">
        <f t="array" ref="J3392">IF(I3392:I7435="","",_xlfn.XLOOKUP(I3392:I7435,'参照_姫'!A:A,'参照_姫'!B:B,"見つかりません"))</f>
      </c>
      <c r="K3392" s="4">
        <v>95</v>
      </c>
      <c r="L3392" s="4">
        <v>0</v>
      </c>
      <c r="M3392" s="4"/>
      <c r="N3392" s="4"/>
      <c r="O3392" s="4"/>
      <c r="P3392" s="12" t="str">
        <f t="array" ref="P3392">IF(O3392:O7435="","",_xlfn.XLOOKUP(O3392:O7435,'参照_官位'!A:A,'参照_官位'!B:B,""))</f>
      </c>
      <c r="Q3392" s="12" t="str">
        <f t="array" ref="Q3392">IF(A3392:A7435="","",IFERROR(_xlfn.XLOOKUP(A3392:A7435,castles_state!K:K,castles_state!D:D)&amp;"主",IFERROR(_xlfn.XLOOKUP(A3392:A7435,kunishuClan!D:D,kunishuClan!B:B)&amp;"当主","")))</f>
      </c>
    </row>
    <row r="3393" ht="15.75" customHeight="1">
      <c r="A3393" s="4">
        <v>1210025</v>
      </c>
      <c r="B3393" s="12" t="str">
        <f t="array" ref="B3393">IF(A3393:A7436="","",_xlfn.XLOOKUP(A3393:A7436,'参照_武将'!A:A,'参照_武将'!B:B,"見つかりません"))</f>
      </c>
      <c r="C3393" s="4" t="s">
        <v>465</v>
      </c>
      <c r="D3393" s="4">
        <v>44</v>
      </c>
      <c r="E3393" s="12" t="str">
        <f t="array" ref="E3393">IF(D3393:D7436="","",IFERROR(_xlfn.XLOOKUP(D3393:D7436,'参照_勢力'!A:A,'参照_勢力'!B:B),IFERROR(_xlfn.XLOOKUP(F3393:F7436,kunishuClan!A:A,kunishuClan!B:B),"浪人")))</f>
      </c>
      <c r="F3393" s="4">
        <v>0</v>
      </c>
      <c r="G3393" s="4">
        <v>114</v>
      </c>
      <c r="H3393" s="12" t="str">
        <f t="array" ref="H3393">IF(G3393:G7436="","",_xlfn.XLOOKUP(G3393:G7436,castles_state!A:A,castles_state!D:D,"見つかりません"))</f>
      </c>
      <c r="I3393" s="4"/>
      <c r="J3393" s="12" t="str">
        <f t="array" ref="J3393">IF(I3393:I7436="","",_xlfn.XLOOKUP(I3393:I7436,'参照_姫'!A:A,'参照_姫'!B:B,"見つかりません"))</f>
      </c>
      <c r="K3393" s="4">
        <v>95</v>
      </c>
      <c r="L3393" s="4">
        <v>0</v>
      </c>
      <c r="M3393" s="4"/>
      <c r="N3393" s="4"/>
      <c r="O3393" s="4"/>
      <c r="P3393" s="12" t="str">
        <f t="array" ref="P3393">IF(O3393:O7436="","",_xlfn.XLOOKUP(O3393:O7436,'参照_官位'!A:A,'参照_官位'!B:B,""))</f>
      </c>
      <c r="Q3393" s="12" t="str">
        <f t="array" ref="Q3393">IF(A3393:A7436="","",IFERROR(_xlfn.XLOOKUP(A3393:A7436,castles_state!K:K,castles_state!D:D)&amp;"主",IFERROR(_xlfn.XLOOKUP(A3393:A7436,kunishuClan!D:D,kunishuClan!B:B)&amp;"当主","")))</f>
      </c>
    </row>
    <row r="3394" ht="15.75" customHeight="1">
      <c r="A3394" s="4">
        <v>1210026</v>
      </c>
      <c r="B3394" s="12" t="str">
        <f t="array" ref="B3394">IF(A3394:A7437="","",_xlfn.XLOOKUP(A3394:A7437,'参照_武将'!A:A,'参照_武将'!B:B,"見つかりません"))</f>
      </c>
      <c r="C3394" s="4" t="s">
        <v>465</v>
      </c>
      <c r="D3394" s="4">
        <v>44</v>
      </c>
      <c r="E3394" s="12" t="str">
        <f t="array" ref="E3394">IF(D3394:D7437="","",IFERROR(_xlfn.XLOOKUP(D3394:D7437,'参照_勢力'!A:A,'参照_勢力'!B:B),IFERROR(_xlfn.XLOOKUP(F3394:F7437,kunishuClan!A:A,kunishuClan!B:B),"浪人")))</f>
      </c>
      <c r="F3394" s="4">
        <v>0</v>
      </c>
      <c r="G3394" s="4">
        <v>114</v>
      </c>
      <c r="H3394" s="12" t="str">
        <f t="array" ref="H3394">IF(G3394:G7437="","",_xlfn.XLOOKUP(G3394:G7437,castles_state!A:A,castles_state!D:D,"見つかりません"))</f>
      </c>
      <c r="I3394" s="4"/>
      <c r="J3394" s="12" t="str">
        <f t="array" ref="J3394">IF(I3394:I7437="","",_xlfn.XLOOKUP(I3394:I7437,'参照_姫'!A:A,'参照_姫'!B:B,"見つかりません"))</f>
      </c>
      <c r="K3394" s="4">
        <v>95</v>
      </c>
      <c r="L3394" s="4">
        <v>0</v>
      </c>
      <c r="M3394" s="4"/>
      <c r="N3394" s="4"/>
      <c r="O3394" s="4"/>
      <c r="P3394" s="12" t="str">
        <f t="array" ref="P3394">IF(O3394:O7437="","",_xlfn.XLOOKUP(O3394:O7437,'参照_官位'!A:A,'参照_官位'!B:B,""))</f>
      </c>
      <c r="Q3394" s="12" t="str">
        <f t="array" ref="Q3394">IF(A3394:A7437="","",IFERROR(_xlfn.XLOOKUP(A3394:A7437,castles_state!K:K,castles_state!D:D)&amp;"主",IFERROR(_xlfn.XLOOKUP(A3394:A7437,kunishuClan!D:D,kunishuClan!B:B)&amp;"当主","")))</f>
      </c>
    </row>
    <row r="3395" ht="15.75" customHeight="1">
      <c r="A3395" s="4">
        <v>1210027</v>
      </c>
      <c r="B3395" s="12" t="str">
        <f t="array" ref="B3395">IF(A3395:A7438="","",_xlfn.XLOOKUP(A3395:A7438,'参照_武将'!A:A,'参照_武将'!B:B,"見つかりません"))</f>
      </c>
      <c r="C3395" s="4" t="s">
        <v>465</v>
      </c>
      <c r="D3395" s="4">
        <v>44</v>
      </c>
      <c r="E3395" s="12" t="str">
        <f t="array" ref="E3395">IF(D3395:D7438="","",IFERROR(_xlfn.XLOOKUP(D3395:D7438,'参照_勢力'!A:A,'参照_勢力'!B:B),IFERROR(_xlfn.XLOOKUP(F3395:F7438,kunishuClan!A:A,kunishuClan!B:B),"浪人")))</f>
      </c>
      <c r="F3395" s="4">
        <v>0</v>
      </c>
      <c r="G3395" s="4">
        <v>114</v>
      </c>
      <c r="H3395" s="12" t="str">
        <f t="array" ref="H3395">IF(G3395:G7438="","",_xlfn.XLOOKUP(G3395:G7438,castles_state!A:A,castles_state!D:D,"見つかりません"))</f>
      </c>
      <c r="I3395" s="4"/>
      <c r="J3395" s="12" t="str">
        <f t="array" ref="J3395">IF(I3395:I7438="","",_xlfn.XLOOKUP(I3395:I7438,'参照_姫'!A:A,'参照_姫'!B:B,"見つかりません"))</f>
      </c>
      <c r="K3395" s="4">
        <v>95</v>
      </c>
      <c r="L3395" s="4">
        <v>0</v>
      </c>
      <c r="M3395" s="4"/>
      <c r="N3395" s="4"/>
      <c r="O3395" s="4"/>
      <c r="P3395" s="12" t="str">
        <f t="array" ref="P3395">IF(O3395:O7438="","",_xlfn.XLOOKUP(O3395:O7438,'参照_官位'!A:A,'参照_官位'!B:B,""))</f>
      </c>
      <c r="Q3395" s="12" t="str">
        <f t="array" ref="Q3395">IF(A3395:A7438="","",IFERROR(_xlfn.XLOOKUP(A3395:A7438,castles_state!K:K,castles_state!D:D)&amp;"主",IFERROR(_xlfn.XLOOKUP(A3395:A7438,kunishuClan!D:D,kunishuClan!B:B)&amp;"当主","")))</f>
      </c>
    </row>
    <row r="3396" ht="15.75" customHeight="1">
      <c r="A3396" s="4">
        <v>1210028</v>
      </c>
      <c r="B3396" s="12" t="str">
        <f t="array" ref="B3396">IF(A3396:A7439="","",_xlfn.XLOOKUP(A3396:A7439,'参照_武将'!A:A,'参照_武将'!B:B,"見つかりません"))</f>
      </c>
      <c r="C3396" s="4" t="s">
        <v>465</v>
      </c>
      <c r="D3396" s="4">
        <v>44</v>
      </c>
      <c r="E3396" s="12" t="str">
        <f t="array" ref="E3396">IF(D3396:D7439="","",IFERROR(_xlfn.XLOOKUP(D3396:D7439,'参照_勢力'!A:A,'参照_勢力'!B:B),IFERROR(_xlfn.XLOOKUP(F3396:F7439,kunishuClan!A:A,kunishuClan!B:B),"浪人")))</f>
      </c>
      <c r="F3396" s="4">
        <v>0</v>
      </c>
      <c r="G3396" s="4">
        <v>114</v>
      </c>
      <c r="H3396" s="12" t="str">
        <f t="array" ref="H3396">IF(G3396:G7439="","",_xlfn.XLOOKUP(G3396:G7439,castles_state!A:A,castles_state!D:D,"見つかりません"))</f>
      </c>
      <c r="I3396" s="4"/>
      <c r="J3396" s="12" t="str">
        <f t="array" ref="J3396">IF(I3396:I7439="","",_xlfn.XLOOKUP(I3396:I7439,'参照_姫'!A:A,'参照_姫'!B:B,"見つかりません"))</f>
      </c>
      <c r="K3396" s="4">
        <v>95</v>
      </c>
      <c r="L3396" s="4">
        <v>0</v>
      </c>
      <c r="M3396" s="4"/>
      <c r="N3396" s="4"/>
      <c r="O3396" s="4"/>
      <c r="P3396" s="12" t="str">
        <f t="array" ref="P3396">IF(O3396:O7439="","",_xlfn.XLOOKUP(O3396:O7439,'参照_官位'!A:A,'参照_官位'!B:B,""))</f>
      </c>
      <c r="Q3396" s="12" t="str">
        <f t="array" ref="Q3396">IF(A3396:A7439="","",IFERROR(_xlfn.XLOOKUP(A3396:A7439,castles_state!K:K,castles_state!D:D)&amp;"主",IFERROR(_xlfn.XLOOKUP(A3396:A7439,kunishuClan!D:D,kunishuClan!B:B)&amp;"当主","")))</f>
      </c>
    </row>
    <row r="3397" ht="15.75" customHeight="1">
      <c r="A3397" s="4">
        <v>1210029</v>
      </c>
      <c r="B3397" s="12" t="str">
        <f t="array" ref="B3397">IF(A3397:A7440="","",_xlfn.XLOOKUP(A3397:A7440,'参照_武将'!A:A,'参照_武将'!B:B,"見つかりません"))</f>
      </c>
      <c r="C3397" s="4" t="s">
        <v>465</v>
      </c>
      <c r="D3397" s="4">
        <v>44</v>
      </c>
      <c r="E3397" s="12" t="str">
        <f t="array" ref="E3397">IF(D3397:D7440="","",IFERROR(_xlfn.XLOOKUP(D3397:D7440,'参照_勢力'!A:A,'参照_勢力'!B:B),IFERROR(_xlfn.XLOOKUP(F3397:F7440,kunishuClan!A:A,kunishuClan!B:B),"浪人")))</f>
      </c>
      <c r="F3397" s="4">
        <v>0</v>
      </c>
      <c r="G3397" s="4">
        <v>114</v>
      </c>
      <c r="H3397" s="12" t="str">
        <f t="array" ref="H3397">IF(G3397:G7440="","",_xlfn.XLOOKUP(G3397:G7440,castles_state!A:A,castles_state!D:D,"見つかりません"))</f>
      </c>
      <c r="I3397" s="4"/>
      <c r="J3397" s="12" t="str">
        <f t="array" ref="J3397">IF(I3397:I7440="","",_xlfn.XLOOKUP(I3397:I7440,'参照_姫'!A:A,'参照_姫'!B:B,"見つかりません"))</f>
      </c>
      <c r="K3397" s="4">
        <v>95</v>
      </c>
      <c r="L3397" s="4">
        <v>0</v>
      </c>
      <c r="M3397" s="4"/>
      <c r="N3397" s="4"/>
      <c r="O3397" s="4"/>
      <c r="P3397" s="12" t="str">
        <f t="array" ref="P3397">IF(O3397:O7440="","",_xlfn.XLOOKUP(O3397:O7440,'参照_官位'!A:A,'参照_官位'!B:B,""))</f>
      </c>
      <c r="Q3397" s="12" t="str">
        <f t="array" ref="Q3397">IF(A3397:A7440="","",IFERROR(_xlfn.XLOOKUP(A3397:A7440,castles_state!K:K,castles_state!D:D)&amp;"主",IFERROR(_xlfn.XLOOKUP(A3397:A7440,kunishuClan!D:D,kunishuClan!B:B)&amp;"当主","")))</f>
      </c>
    </row>
    <row r="3398" ht="15.75" customHeight="1">
      <c r="A3398" s="4">
        <v>1210030</v>
      </c>
      <c r="B3398" s="12" t="str">
        <f t="array" ref="B3398">IF(A3398:A7441="","",_xlfn.XLOOKUP(A3398:A7441,'参照_武将'!A:A,'参照_武将'!B:B,"見つかりません"))</f>
      </c>
      <c r="C3398" s="4" t="s">
        <v>465</v>
      </c>
      <c r="D3398" s="4">
        <v>44</v>
      </c>
      <c r="E3398" s="12" t="str">
        <f t="array" ref="E3398">IF(D3398:D7441="","",IFERROR(_xlfn.XLOOKUP(D3398:D7441,'参照_勢力'!A:A,'参照_勢力'!B:B),IFERROR(_xlfn.XLOOKUP(F3398:F7441,kunishuClan!A:A,kunishuClan!B:B),"浪人")))</f>
      </c>
      <c r="F3398" s="4">
        <v>0</v>
      </c>
      <c r="G3398" s="4">
        <v>115</v>
      </c>
      <c r="H3398" s="12" t="str">
        <f t="array" ref="H3398">IF(G3398:G7441="","",_xlfn.XLOOKUP(G3398:G7441,castles_state!A:A,castles_state!D:D,"見つかりません"))</f>
      </c>
      <c r="I3398" s="4"/>
      <c r="J3398" s="12" t="str">
        <f t="array" ref="J3398">IF(I3398:I7441="","",_xlfn.XLOOKUP(I3398:I7441,'参照_姫'!A:A,'参照_姫'!B:B,"見つかりません"))</f>
      </c>
      <c r="K3398" s="4">
        <v>95</v>
      </c>
      <c r="L3398" s="4">
        <v>0</v>
      </c>
      <c r="M3398" s="4"/>
      <c r="N3398" s="4"/>
      <c r="O3398" s="4"/>
      <c r="P3398" s="12" t="str">
        <f t="array" ref="P3398">IF(O3398:O7441="","",_xlfn.XLOOKUP(O3398:O7441,'参照_官位'!A:A,'参照_官位'!B:B,""))</f>
      </c>
      <c r="Q3398" s="12" t="str">
        <f t="array" ref="Q3398">IF(A3398:A7441="","",IFERROR(_xlfn.XLOOKUP(A3398:A7441,castles_state!K:K,castles_state!D:D)&amp;"主",IFERROR(_xlfn.XLOOKUP(A3398:A7441,kunishuClan!D:D,kunishuClan!B:B)&amp;"当主","")))</f>
      </c>
    </row>
    <row r="3399" ht="15.75" customHeight="1">
      <c r="A3399" s="4">
        <v>1210031</v>
      </c>
      <c r="B3399" s="12" t="str">
        <f t="array" ref="B3399">IF(A3399:A7442="","",_xlfn.XLOOKUP(A3399:A7442,'参照_武将'!A:A,'参照_武将'!B:B,"見つかりません"))</f>
      </c>
      <c r="C3399" s="4" t="s">
        <v>465</v>
      </c>
      <c r="D3399" s="4">
        <v>44</v>
      </c>
      <c r="E3399" s="12" t="str">
        <f t="array" ref="E3399">IF(D3399:D7442="","",IFERROR(_xlfn.XLOOKUP(D3399:D7442,'参照_勢力'!A:A,'参照_勢力'!B:B),IFERROR(_xlfn.XLOOKUP(F3399:F7442,kunishuClan!A:A,kunishuClan!B:B),"浪人")))</f>
      </c>
      <c r="F3399" s="4">
        <v>0</v>
      </c>
      <c r="G3399" s="4">
        <v>114</v>
      </c>
      <c r="H3399" s="12" t="str">
        <f t="array" ref="H3399">IF(G3399:G7442="","",_xlfn.XLOOKUP(G3399:G7442,castles_state!A:A,castles_state!D:D,"見つかりません"))</f>
      </c>
      <c r="I3399" s="4"/>
      <c r="J3399" s="12" t="str">
        <f t="array" ref="J3399">IF(I3399:I7442="","",_xlfn.XLOOKUP(I3399:I7442,'参照_姫'!A:A,'参照_姫'!B:B,"見つかりません"))</f>
      </c>
      <c r="K3399" s="4">
        <v>95</v>
      </c>
      <c r="L3399" s="4">
        <v>0</v>
      </c>
      <c r="M3399" s="4"/>
      <c r="N3399" s="4"/>
      <c r="O3399" s="4"/>
      <c r="P3399" s="12" t="str">
        <f t="array" ref="P3399">IF(O3399:O7442="","",_xlfn.XLOOKUP(O3399:O7442,'参照_官位'!A:A,'参照_官位'!B:B,""))</f>
      </c>
      <c r="Q3399" s="12" t="str">
        <f t="array" ref="Q3399">IF(A3399:A7442="","",IFERROR(_xlfn.XLOOKUP(A3399:A7442,castles_state!K:K,castles_state!D:D)&amp;"主",IFERROR(_xlfn.XLOOKUP(A3399:A7442,kunishuClan!D:D,kunishuClan!B:B)&amp;"当主","")))</f>
      </c>
    </row>
    <row r="3400" ht="15.75" customHeight="1">
      <c r="A3400" s="4">
        <v>1210032</v>
      </c>
      <c r="B3400" s="12" t="str">
        <f t="array" ref="B3400">IF(A3400:A7443="","",_xlfn.XLOOKUP(A3400:A7443,'参照_武将'!A:A,'参照_武将'!B:B,"見つかりません"))</f>
      </c>
      <c r="C3400" s="4" t="s">
        <v>465</v>
      </c>
      <c r="D3400" s="4">
        <v>44</v>
      </c>
      <c r="E3400" s="12" t="str">
        <f t="array" ref="E3400">IF(D3400:D7443="","",IFERROR(_xlfn.XLOOKUP(D3400:D7443,'参照_勢力'!A:A,'参照_勢力'!B:B),IFERROR(_xlfn.XLOOKUP(F3400:F7443,kunishuClan!A:A,kunishuClan!B:B),"浪人")))</f>
      </c>
      <c r="F3400" s="4">
        <v>0</v>
      </c>
      <c r="G3400" s="4">
        <v>114</v>
      </c>
      <c r="H3400" s="12" t="str">
        <f t="array" ref="H3400">IF(G3400:G7443="","",_xlfn.XLOOKUP(G3400:G7443,castles_state!A:A,castles_state!D:D,"見つかりません"))</f>
      </c>
      <c r="I3400" s="4"/>
      <c r="J3400" s="12" t="str">
        <f t="array" ref="J3400">IF(I3400:I7443="","",_xlfn.XLOOKUP(I3400:I7443,'参照_姫'!A:A,'参照_姫'!B:B,"見つかりません"))</f>
      </c>
      <c r="K3400" s="4">
        <v>95</v>
      </c>
      <c r="L3400" s="4">
        <v>0</v>
      </c>
      <c r="M3400" s="4"/>
      <c r="N3400" s="4"/>
      <c r="O3400" s="4"/>
      <c r="P3400" s="12" t="str">
        <f t="array" ref="P3400">IF(O3400:O7443="","",_xlfn.XLOOKUP(O3400:O7443,'参照_官位'!A:A,'参照_官位'!B:B,""))</f>
      </c>
      <c r="Q3400" s="12" t="str">
        <f t="array" ref="Q3400">IF(A3400:A7443="","",IFERROR(_xlfn.XLOOKUP(A3400:A7443,castles_state!K:K,castles_state!D:D)&amp;"主",IFERROR(_xlfn.XLOOKUP(A3400:A7443,kunishuClan!D:D,kunishuClan!B:B)&amp;"当主","")))</f>
      </c>
    </row>
    <row r="3401" ht="15.75" customHeight="1">
      <c r="A3401" s="4">
        <v>1211001</v>
      </c>
      <c r="B3401" s="12" t="str">
        <f t="array" ref="B3401">IF(A3401:A7442="","",_xlfn.XLOOKUP(A3401:A7442,'参照_武将'!A:A,'参照_武将'!B:B,"見つかりません"))</f>
      </c>
      <c r="C3401" s="4" t="s">
        <v>468</v>
      </c>
      <c r="D3401" s="4">
        <v>2</v>
      </c>
      <c r="E3401" s="12" t="str">
        <f t="array" ref="E3401">IF(D3401:D7442="","",IFERROR(_xlfn.XLOOKUP(D3401:D7442,'参照_勢力'!A:A,'参照_勢力'!B:B),IFERROR(_xlfn.XLOOKUP(F3401:F7442,kunishuClan!A:A,kunishuClan!B:B),"浪人")))</f>
      </c>
      <c r="F3401" s="4">
        <v>0</v>
      </c>
      <c r="G3401" s="4">
        <v>70</v>
      </c>
      <c r="H3401" s="12" t="str">
        <f t="array" ref="H3401">IF(G3401:G7442="","",_xlfn.XLOOKUP(G3401:G7442,castles_state!A:A,castles_state!D:D,"見つかりません"))</f>
      </c>
      <c r="I3401" s="4"/>
      <c r="J3401" s="12" t="str">
        <f t="array" ref="J3401">IF(I3401:I7442="","",_xlfn.XLOOKUP(I3401:I7442,'参照_姫'!A:A,'参照_姫'!B:B,"見つかりません"))</f>
      </c>
      <c r="K3401" s="4">
        <v>95</v>
      </c>
      <c r="L3401" s="4">
        <v>0</v>
      </c>
      <c r="M3401" s="4"/>
      <c r="N3401" s="4"/>
      <c r="O3401" s="4">
        <v>233</v>
      </c>
      <c r="P3401" s="12" t="str">
        <f t="array" ref="P3401">IF(O3401:O7442="","",_xlfn.XLOOKUP(O3401:O7442,'参照_官位'!A:A,'参照_官位'!B:B,""))</f>
      </c>
      <c r="Q3401" s="12" t="str">
        <f t="array" ref="Q3401">IF(A3401:A7442="","",IFERROR(_xlfn.XLOOKUP(A3401:A7442,castles_state!K:K,castles_state!D:D)&amp;"主",IFERROR(_xlfn.XLOOKUP(A3401:A7442,kunishuClan!D:D,kunishuClan!B:B)&amp;"当主","")))</f>
      </c>
    </row>
    <row r="3402" ht="15.75" customHeight="1">
      <c r="A3402" s="4">
        <v>1211002</v>
      </c>
      <c r="B3402" s="12" t="str">
        <f t="array" ref="B3402">IF(A3402:A7443="","",_xlfn.XLOOKUP(A3402:A7443,'参照_武将'!A:A,'参照_武将'!B:B,"見つかりません"))</f>
      </c>
      <c r="C3402" s="4" t="s">
        <v>468</v>
      </c>
      <c r="D3402" s="4">
        <v>2</v>
      </c>
      <c r="E3402" s="12" t="str">
        <f t="array" ref="E3402">IF(D3402:D7443="","",IFERROR(_xlfn.XLOOKUP(D3402:D7443,'参照_勢力'!A:A,'参照_勢力'!B:B),IFERROR(_xlfn.XLOOKUP(F3402:F7443,kunishuClan!A:A,kunishuClan!B:B),"浪人")))</f>
      </c>
      <c r="F3402" s="4">
        <v>0</v>
      </c>
      <c r="G3402" s="4">
        <v>70</v>
      </c>
      <c r="H3402" s="12" t="str">
        <f t="array" ref="H3402">IF(G3402:G7443="","",_xlfn.XLOOKUP(G3402:G7443,castles_state!A:A,castles_state!D:D,"見つかりません"))</f>
      </c>
      <c r="I3402" s="4"/>
      <c r="J3402" s="12" t="str">
        <f t="array" ref="J3402">IF(I3402:I7443="","",_xlfn.XLOOKUP(I3402:I7443,'参照_姫'!A:A,'参照_姫'!B:B,"見つかりません"))</f>
      </c>
      <c r="K3402" s="4">
        <v>90</v>
      </c>
      <c r="L3402" s="4">
        <v>0</v>
      </c>
      <c r="M3402" s="4"/>
      <c r="N3402" s="4"/>
      <c r="O3402" s="4"/>
      <c r="P3402" s="12" t="str">
        <f t="array" ref="P3402">IF(O3402:O7443="","",_xlfn.XLOOKUP(O3402:O7443,'参照_官位'!A:A,'参照_官位'!B:B,""))</f>
      </c>
      <c r="Q3402" s="12" t="str">
        <f t="array" ref="Q3402">IF(A3402:A7443="","",IFERROR(_xlfn.XLOOKUP(A3402:A7443,castles_state!K:K,castles_state!D:D)&amp;"主",IFERROR(_xlfn.XLOOKUP(A3402:A7443,kunishuClan!D:D,kunishuClan!B:B)&amp;"当主","")))</f>
      </c>
    </row>
    <row r="3403" ht="15.75" customHeight="1">
      <c r="A3403" s="4">
        <v>1211003</v>
      </c>
      <c r="B3403" s="12" t="str">
        <f t="array" ref="B3403">IF(A3403:A7444="","",_xlfn.XLOOKUP(A3403:A7444,'参照_武将'!A:A,'参照_武将'!B:B,"見つかりません"))</f>
      </c>
      <c r="C3403" s="4" t="s">
        <v>468</v>
      </c>
      <c r="D3403" s="4">
        <v>3</v>
      </c>
      <c r="E3403" s="12" t="str">
        <f t="array" ref="E3403">IF(D3403:D7444="","",IFERROR(_xlfn.XLOOKUP(D3403:D7444,'参照_勢力'!A:A,'参照_勢力'!B:B),IFERROR(_xlfn.XLOOKUP(F3403:F7444,kunishuClan!A:A,kunishuClan!B:B),"浪人")))</f>
      </c>
      <c r="F3403" s="4">
        <v>0</v>
      </c>
      <c r="G3403" s="4">
        <v>9</v>
      </c>
      <c r="H3403" s="12" t="str">
        <f t="array" ref="H3403">IF(G3403:G7444="","",_xlfn.XLOOKUP(G3403:G7444,castles_state!A:A,castles_state!D:D,"見つかりません"))</f>
      </c>
      <c r="I3403" s="4"/>
      <c r="J3403" s="12" t="str">
        <f t="array" ref="J3403">IF(I3403:I7444="","",_xlfn.XLOOKUP(I3403:I7444,'参照_姫'!A:A,'参照_姫'!B:B,"見つかりません"))</f>
      </c>
      <c r="K3403" s="4">
        <v>95</v>
      </c>
      <c r="L3403" s="4">
        <v>0</v>
      </c>
      <c r="M3403" s="4"/>
      <c r="N3403" s="4"/>
      <c r="O3403" s="4"/>
      <c r="P3403" s="12" t="str">
        <f t="array" ref="P3403">IF(O3403:O7444="","",_xlfn.XLOOKUP(O3403:O7444,'参照_官位'!A:A,'参照_官位'!B:B,""))</f>
      </c>
      <c r="Q3403" s="12" t="str">
        <f t="array" ref="Q3403">IF(A3403:A7444="","",IFERROR(_xlfn.XLOOKUP(A3403:A7444,castles_state!K:K,castles_state!D:D)&amp;"主",IFERROR(_xlfn.XLOOKUP(A3403:A7444,kunishuClan!D:D,kunishuClan!B:B)&amp;"当主","")))</f>
      </c>
    </row>
    <row r="3404" ht="15.75" customHeight="1">
      <c r="A3404" s="4">
        <v>1211004</v>
      </c>
      <c r="B3404" s="12" t="str">
        <f t="array" ref="B3404">IF(A3404:A7445="","",_xlfn.XLOOKUP(A3404:A7445,'参照_武将'!A:A,'参照_武将'!B:B,"見つかりません"))</f>
      </c>
      <c r="C3404" s="4" t="s">
        <v>468</v>
      </c>
      <c r="D3404" s="4">
        <v>2</v>
      </c>
      <c r="E3404" s="12" t="str">
        <f t="array" ref="E3404">IF(D3404:D7445="","",IFERROR(_xlfn.XLOOKUP(D3404:D7445,'参照_勢力'!A:A,'参照_勢力'!B:B),IFERROR(_xlfn.XLOOKUP(F3404:F7445,kunishuClan!A:A,kunishuClan!B:B),"浪人")))</f>
      </c>
      <c r="F3404" s="4">
        <v>0</v>
      </c>
      <c r="G3404" s="4">
        <v>70</v>
      </c>
      <c r="H3404" s="12" t="str">
        <f t="array" ref="H3404">IF(G3404:G7445="","",_xlfn.XLOOKUP(G3404:G7445,castles_state!A:A,castles_state!D:D,"見つかりません"))</f>
      </c>
      <c r="I3404" s="4"/>
      <c r="J3404" s="12" t="str">
        <f t="array" ref="J3404">IF(I3404:I7445="","",_xlfn.XLOOKUP(I3404:I7445,'参照_姫'!A:A,'参照_姫'!B:B,"見つかりません"))</f>
      </c>
      <c r="K3404" s="4">
        <v>90</v>
      </c>
      <c r="L3404" s="4">
        <v>0</v>
      </c>
      <c r="M3404" s="4"/>
      <c r="N3404" s="4"/>
      <c r="O3404" s="4"/>
      <c r="P3404" s="12" t="str">
        <f t="array" ref="P3404">IF(O3404:O7445="","",_xlfn.XLOOKUP(O3404:O7445,'参照_官位'!A:A,'参照_官位'!B:B,""))</f>
      </c>
      <c r="Q3404" s="12" t="str">
        <f t="array" ref="Q3404">IF(A3404:A7445="","",IFERROR(_xlfn.XLOOKUP(A3404:A7445,castles_state!K:K,castles_state!D:D)&amp;"主",IFERROR(_xlfn.XLOOKUP(A3404:A7445,kunishuClan!D:D,kunishuClan!B:B)&amp;"当主","")))</f>
      </c>
    </row>
    <row r="3405" ht="15.75" customHeight="1">
      <c r="A3405" s="4">
        <v>1212001</v>
      </c>
      <c r="B3405" s="12" t="str">
        <f t="array" ref="B3405">IF(A3405:A7446="","",_xlfn.XLOOKUP(A3405:A7446,'参照_武将'!A:A,'参照_武将'!B:B,"見つかりません"))</f>
      </c>
      <c r="C3405" s="4" t="s">
        <v>5981</v>
      </c>
      <c r="D3405" s="4">
        <v>25</v>
      </c>
      <c r="E3405" s="12" t="str">
        <f t="array" ref="E3405">IF(D3405:D7446="","",IFERROR(_xlfn.XLOOKUP(D3405:D7446,'参照_勢力'!A:A,'参照_勢力'!B:B),IFERROR(_xlfn.XLOOKUP(F3405:F7446,kunishuClan!A:A,kunishuClan!B:B),"浪人")))</f>
      </c>
      <c r="F3405" s="4">
        <v>0</v>
      </c>
      <c r="G3405" s="4">
        <v>175</v>
      </c>
      <c r="H3405" s="12" t="str">
        <f t="array" ref="H3405">IF(G3405:G7446="","",_xlfn.XLOOKUP(G3405:G7446,castles_state!A:A,castles_state!D:D,"見つかりません"))</f>
      </c>
      <c r="I3405" s="4"/>
      <c r="J3405" s="12" t="str">
        <f t="array" ref="J3405">IF(I3405:I7446="","",_xlfn.XLOOKUP(I3405:I7446,'参照_姫'!A:A,'参照_姫'!B:B,"見つかりません"))</f>
      </c>
      <c r="K3405" s="4">
        <v>90</v>
      </c>
      <c r="L3405" s="4">
        <v>0</v>
      </c>
      <c r="M3405" s="4"/>
      <c r="N3405" s="4"/>
      <c r="O3405" s="4"/>
      <c r="P3405" s="12" t="str">
        <f t="array" ref="P3405">IF(O3405:O7446="","",_xlfn.XLOOKUP(O3405:O7446,'参照_官位'!A:A,'参照_官位'!B:B,""))</f>
      </c>
      <c r="Q3405" s="12" t="str">
        <f t="array" ref="Q3405">IF(A3405:A7446="","",IFERROR(_xlfn.XLOOKUP(A3405:A7446,castles_state!K:K,castles_state!D:D)&amp;"主",IFERROR(_xlfn.XLOOKUP(A3405:A7446,kunishuClan!D:D,kunishuClan!B:B)&amp;"当主","")))</f>
      </c>
    </row>
    <row r="3406" ht="15.75" customHeight="1">
      <c r="A3406" s="4">
        <v>1212002</v>
      </c>
      <c r="B3406" s="12" t="str">
        <f t="array" ref="B3406">IF(A3406:A7447="","",_xlfn.XLOOKUP(A3406:A7447,'参照_武将'!A:A,'参照_武将'!B:B,"見つかりません"))</f>
      </c>
      <c r="C3406" s="4" t="s">
        <v>5981</v>
      </c>
      <c r="D3406" s="4">
        <v>25</v>
      </c>
      <c r="E3406" s="12" t="str">
        <f t="array" ref="E3406">IF(D3406:D7447="","",IFERROR(_xlfn.XLOOKUP(D3406:D7447,'参照_勢力'!A:A,'参照_勢力'!B:B),IFERROR(_xlfn.XLOOKUP(F3406:F7447,kunishuClan!A:A,kunishuClan!B:B),"浪人")))</f>
      </c>
      <c r="F3406" s="4">
        <v>0</v>
      </c>
      <c r="G3406" s="4">
        <v>175</v>
      </c>
      <c r="H3406" s="12" t="str">
        <f t="array" ref="H3406">IF(G3406:G7447="","",_xlfn.XLOOKUP(G3406:G7447,castles_state!A:A,castles_state!D:D,"見つかりません"))</f>
      </c>
      <c r="I3406" s="4"/>
      <c r="J3406" s="12" t="str">
        <f t="array" ref="J3406">IF(I3406:I7447="","",_xlfn.XLOOKUP(I3406:I7447,'参照_姫'!A:A,'参照_姫'!B:B,"見つかりません"))</f>
      </c>
      <c r="K3406" s="4">
        <v>90</v>
      </c>
      <c r="L3406" s="4">
        <v>0</v>
      </c>
      <c r="M3406" s="4"/>
      <c r="N3406" s="4"/>
      <c r="O3406" s="4"/>
      <c r="P3406" s="12" t="str">
        <f t="array" ref="P3406">IF(O3406:O7447="","",_xlfn.XLOOKUP(O3406:O7447,'参照_官位'!A:A,'参照_官位'!B:B,""))</f>
      </c>
      <c r="Q3406" s="12" t="str">
        <f t="array" ref="Q3406">IF(A3406:A7447="","",IFERROR(_xlfn.XLOOKUP(A3406:A7447,castles_state!K:K,castles_state!D:D)&amp;"主",IFERROR(_xlfn.XLOOKUP(A3406:A7447,kunishuClan!D:D,kunishuClan!B:B)&amp;"当主","")))</f>
      </c>
    </row>
    <row r="3407" ht="15.75" customHeight="1">
      <c r="A3407" s="4">
        <v>1212003</v>
      </c>
      <c r="B3407" s="12" t="str">
        <f t="array" ref="B3407">IF(A3407:A7448="","",_xlfn.XLOOKUP(A3407:A7448,'参照_武将'!A:A,'参照_武将'!B:B,"見つかりません"))</f>
      </c>
      <c r="C3407" s="4" t="s">
        <v>5981</v>
      </c>
      <c r="D3407" s="4">
        <v>25</v>
      </c>
      <c r="E3407" s="12" t="str">
        <f t="array" ref="E3407">IF(D3407:D7448="","",IFERROR(_xlfn.XLOOKUP(D3407:D7448,'参照_勢力'!A:A,'参照_勢力'!B:B),IFERROR(_xlfn.XLOOKUP(F3407:F7448,kunishuClan!A:A,kunishuClan!B:B),"浪人")))</f>
      </c>
      <c r="F3407" s="4">
        <v>0</v>
      </c>
      <c r="G3407" s="4">
        <v>175</v>
      </c>
      <c r="H3407" s="12" t="str">
        <f t="array" ref="H3407">IF(G3407:G7448="","",_xlfn.XLOOKUP(G3407:G7448,castles_state!A:A,castles_state!D:D,"見つかりません"))</f>
      </c>
      <c r="I3407" s="4"/>
      <c r="J3407" s="12" t="str">
        <f t="array" ref="J3407">IF(I3407:I7448="","",_xlfn.XLOOKUP(I3407:I7448,'参照_姫'!A:A,'参照_姫'!B:B,"見つかりません"))</f>
      </c>
      <c r="K3407" s="4">
        <v>90</v>
      </c>
      <c r="L3407" s="4">
        <v>0</v>
      </c>
      <c r="M3407" s="4"/>
      <c r="N3407" s="4"/>
      <c r="O3407" s="4"/>
      <c r="P3407" s="12" t="str">
        <f t="array" ref="P3407">IF(O3407:O7448="","",_xlfn.XLOOKUP(O3407:O7448,'参照_官位'!A:A,'参照_官位'!B:B,""))</f>
      </c>
      <c r="Q3407" s="12" t="str">
        <f t="array" ref="Q3407">IF(A3407:A7448="","",IFERROR(_xlfn.XLOOKUP(A3407:A7448,castles_state!K:K,castles_state!D:D)&amp;"主",IFERROR(_xlfn.XLOOKUP(A3407:A7448,kunishuClan!D:D,kunishuClan!B:B)&amp;"当主","")))</f>
      </c>
    </row>
    <row r="3408" ht="15.75" customHeight="1">
      <c r="A3408" s="4">
        <v>1212004</v>
      </c>
      <c r="B3408" s="12" t="str">
        <f t="array" ref="B3408">IF(A3408:A7449="","",_xlfn.XLOOKUP(A3408:A7449,'参照_武将'!A:A,'参照_武将'!B:B,"見つかりません"))</f>
      </c>
      <c r="C3408" s="4" t="s">
        <v>5981</v>
      </c>
      <c r="D3408" s="4">
        <v>25</v>
      </c>
      <c r="E3408" s="12" t="str">
        <f t="array" ref="E3408">IF(D3408:D7449="","",IFERROR(_xlfn.XLOOKUP(D3408:D7449,'参照_勢力'!A:A,'参照_勢力'!B:B),IFERROR(_xlfn.XLOOKUP(F3408:F7449,kunishuClan!A:A,kunishuClan!B:B),"浪人")))</f>
      </c>
      <c r="F3408" s="4">
        <v>0</v>
      </c>
      <c r="G3408" s="4">
        <v>175</v>
      </c>
      <c r="H3408" s="12" t="str">
        <f t="array" ref="H3408">IF(G3408:G7449="","",_xlfn.XLOOKUP(G3408:G7449,castles_state!A:A,castles_state!D:D,"見つかりません"))</f>
      </c>
      <c r="I3408" s="4"/>
      <c r="J3408" s="12" t="str">
        <f t="array" ref="J3408">IF(I3408:I7449="","",_xlfn.XLOOKUP(I3408:I7449,'参照_姫'!A:A,'参照_姫'!B:B,"見つかりません"))</f>
      </c>
      <c r="K3408" s="4">
        <v>90</v>
      </c>
      <c r="L3408" s="4">
        <v>0</v>
      </c>
      <c r="M3408" s="4"/>
      <c r="N3408" s="4"/>
      <c r="O3408" s="4"/>
      <c r="P3408" s="12" t="str">
        <f t="array" ref="P3408">IF(O3408:O7449="","",_xlfn.XLOOKUP(O3408:O7449,'参照_官位'!A:A,'参照_官位'!B:B,""))</f>
      </c>
      <c r="Q3408" s="12" t="str">
        <f t="array" ref="Q3408">IF(A3408:A7449="","",IFERROR(_xlfn.XLOOKUP(A3408:A7449,castles_state!K:K,castles_state!D:D)&amp;"主",IFERROR(_xlfn.XLOOKUP(A3408:A7449,kunishuClan!D:D,kunishuClan!B:B)&amp;"当主","")))</f>
      </c>
    </row>
    <row r="3409" ht="15.75" customHeight="1">
      <c r="A3409" s="4">
        <v>1212005</v>
      </c>
      <c r="B3409" s="12" t="str">
        <f t="array" ref="B3409">IF(A3409:A7450="","",_xlfn.XLOOKUP(A3409:A7450,'参照_武将'!A:A,'参照_武将'!B:B,"見つかりません"))</f>
      </c>
      <c r="C3409" s="4" t="s">
        <v>5981</v>
      </c>
      <c r="D3409" s="4">
        <v>25</v>
      </c>
      <c r="E3409" s="12" t="str">
        <f t="array" ref="E3409">IF(D3409:D7450="","",IFERROR(_xlfn.XLOOKUP(D3409:D7450,'参照_勢力'!A:A,'参照_勢力'!B:B),IFERROR(_xlfn.XLOOKUP(F3409:F7450,kunishuClan!A:A,kunishuClan!B:B),"浪人")))</f>
      </c>
      <c r="F3409" s="4">
        <v>0</v>
      </c>
      <c r="G3409" s="4">
        <v>175</v>
      </c>
      <c r="H3409" s="12" t="str">
        <f t="array" ref="H3409">IF(G3409:G7450="","",_xlfn.XLOOKUP(G3409:G7450,castles_state!A:A,castles_state!D:D,"見つかりません"))</f>
      </c>
      <c r="I3409" s="4"/>
      <c r="J3409" s="12" t="str">
        <f t="array" ref="J3409">IF(I3409:I7450="","",_xlfn.XLOOKUP(I3409:I7450,'参照_姫'!A:A,'参照_姫'!B:B,"見つかりません"))</f>
      </c>
      <c r="K3409" s="4">
        <v>90</v>
      </c>
      <c r="L3409" s="4">
        <v>0</v>
      </c>
      <c r="M3409" s="4"/>
      <c r="N3409" s="4"/>
      <c r="O3409" s="4"/>
      <c r="P3409" s="12" t="str">
        <f t="array" ref="P3409">IF(O3409:O7450="","",_xlfn.XLOOKUP(O3409:O7450,'参照_官位'!A:A,'参照_官位'!B:B,""))</f>
      </c>
      <c r="Q3409" s="12" t="str">
        <f t="array" ref="Q3409">IF(A3409:A7450="","",IFERROR(_xlfn.XLOOKUP(A3409:A7450,castles_state!K:K,castles_state!D:D)&amp;"主",IFERROR(_xlfn.XLOOKUP(A3409:A7450,kunishuClan!D:D,kunishuClan!B:B)&amp;"当主","")))</f>
      </c>
    </row>
    <row r="3410" ht="15.75" customHeight="1">
      <c r="A3410" s="4">
        <v>1212006</v>
      </c>
      <c r="B3410" s="12" t="str">
        <f t="array" ref="B3410">IF(A3410:A7451="","",_xlfn.XLOOKUP(A3410:A7451,'参照_武将'!A:A,'参照_武将'!B:B,"見つかりません"))</f>
      </c>
      <c r="C3410" s="4" t="s">
        <v>5981</v>
      </c>
      <c r="D3410" s="4">
        <v>25</v>
      </c>
      <c r="E3410" s="12" t="str">
        <f t="array" ref="E3410">IF(D3410:D7451="","",IFERROR(_xlfn.XLOOKUP(D3410:D7451,'参照_勢力'!A:A,'参照_勢力'!B:B),IFERROR(_xlfn.XLOOKUP(F3410:F7451,kunishuClan!A:A,kunishuClan!B:B),"浪人")))</f>
      </c>
      <c r="F3410" s="4">
        <v>0</v>
      </c>
      <c r="G3410" s="4">
        <v>175</v>
      </c>
      <c r="H3410" s="12" t="str">
        <f t="array" ref="H3410">IF(G3410:G7451="","",_xlfn.XLOOKUP(G3410:G7451,castles_state!A:A,castles_state!D:D,"見つかりません"))</f>
      </c>
      <c r="I3410" s="4"/>
      <c r="J3410" s="12" t="str">
        <f t="array" ref="J3410">IF(I3410:I7451="","",_xlfn.XLOOKUP(I3410:I7451,'参照_姫'!A:A,'参照_姫'!B:B,"見つかりません"))</f>
      </c>
      <c r="K3410" s="4">
        <v>90</v>
      </c>
      <c r="L3410" s="4">
        <v>300</v>
      </c>
      <c r="M3410" s="4"/>
      <c r="N3410" s="4"/>
      <c r="O3410" s="4"/>
      <c r="P3410" s="12" t="str">
        <f t="array" ref="P3410">IF(O3410:O7451="","",_xlfn.XLOOKUP(O3410:O7451,'参照_官位'!A:A,'参照_官位'!B:B,""))</f>
      </c>
      <c r="Q3410" s="12" t="str">
        <f t="array" ref="Q3410">IF(A3410:A7451="","",IFERROR(_xlfn.XLOOKUP(A3410:A7451,castles_state!K:K,castles_state!D:D)&amp;"主",IFERROR(_xlfn.XLOOKUP(A3410:A7451,kunishuClan!D:D,kunishuClan!B:B)&amp;"当主","")))</f>
      </c>
    </row>
    <row r="3411" ht="15.75" customHeight="1">
      <c r="A3411" s="4">
        <v>1212007</v>
      </c>
      <c r="B3411" s="12" t="str">
        <f t="array" ref="B3411">IF(A3411:A7452="","",_xlfn.XLOOKUP(A3411:A7452,'参照_武将'!A:A,'参照_武将'!B:B,"見つかりません"))</f>
      </c>
      <c r="C3411" s="4" t="s">
        <v>5981</v>
      </c>
      <c r="D3411" s="4">
        <v>25</v>
      </c>
      <c r="E3411" s="12" t="str">
        <f t="array" ref="E3411">IF(D3411:D7452="","",IFERROR(_xlfn.XLOOKUP(D3411:D7452,'参照_勢力'!A:A,'参照_勢力'!B:B),IFERROR(_xlfn.XLOOKUP(F3411:F7452,kunishuClan!A:A,kunishuClan!B:B),"浪人")))</f>
      </c>
      <c r="F3411" s="4">
        <v>0</v>
      </c>
      <c r="G3411" s="4">
        <v>175</v>
      </c>
      <c r="H3411" s="12" t="str">
        <f t="array" ref="H3411">IF(G3411:G7452="","",_xlfn.XLOOKUP(G3411:G7452,castles_state!A:A,castles_state!D:D,"見つかりません"))</f>
      </c>
      <c r="I3411" s="4"/>
      <c r="J3411" s="12" t="str">
        <f t="array" ref="J3411">IF(I3411:I7452="","",_xlfn.XLOOKUP(I3411:I7452,'参照_姫'!A:A,'参照_姫'!B:B,"見つかりません"))</f>
      </c>
      <c r="K3411" s="4">
        <v>90</v>
      </c>
      <c r="L3411" s="4">
        <v>0</v>
      </c>
      <c r="M3411" s="4"/>
      <c r="N3411" s="4"/>
      <c r="O3411" s="4"/>
      <c r="P3411" s="12" t="str">
        <f t="array" ref="P3411">IF(O3411:O7452="","",_xlfn.XLOOKUP(O3411:O7452,'参照_官位'!A:A,'参照_官位'!B:B,""))</f>
      </c>
      <c r="Q3411" s="12" t="str">
        <f t="array" ref="Q3411">IF(A3411:A7452="","",IFERROR(_xlfn.XLOOKUP(A3411:A7452,castles_state!K:K,castles_state!D:D)&amp;"主",IFERROR(_xlfn.XLOOKUP(A3411:A7452,kunishuClan!D:D,kunishuClan!B:B)&amp;"当主","")))</f>
      </c>
    </row>
    <row r="3412" ht="15.75" customHeight="1">
      <c r="A3412" s="4">
        <v>1212008</v>
      </c>
      <c r="B3412" s="12" t="str">
        <f t="array" ref="B3412">IF(A3412:A7453="","",_xlfn.XLOOKUP(A3412:A7453,'参照_武将'!A:A,'参照_武将'!B:B,"見つかりません"))</f>
      </c>
      <c r="C3412" s="4" t="s">
        <v>5981</v>
      </c>
      <c r="D3412" s="4">
        <v>25</v>
      </c>
      <c r="E3412" s="12" t="str">
        <f t="array" ref="E3412">IF(D3412:D7453="","",IFERROR(_xlfn.XLOOKUP(D3412:D7453,'参照_勢力'!A:A,'参照_勢力'!B:B),IFERROR(_xlfn.XLOOKUP(F3412:F7453,kunishuClan!A:A,kunishuClan!B:B),"浪人")))</f>
      </c>
      <c r="F3412" s="4">
        <v>0</v>
      </c>
      <c r="G3412" s="4">
        <v>175</v>
      </c>
      <c r="H3412" s="12" t="str">
        <f t="array" ref="H3412">IF(G3412:G7453="","",_xlfn.XLOOKUP(G3412:G7453,castles_state!A:A,castles_state!D:D,"見つかりません"))</f>
      </c>
      <c r="I3412" s="4"/>
      <c r="J3412" s="12" t="str">
        <f t="array" ref="J3412">IF(I3412:I7453="","",_xlfn.XLOOKUP(I3412:I7453,'参照_姫'!A:A,'参照_姫'!B:B,"見つかりません"))</f>
      </c>
      <c r="K3412" s="4">
        <v>90</v>
      </c>
      <c r="L3412" s="4">
        <v>0</v>
      </c>
      <c r="M3412" s="4"/>
      <c r="N3412" s="4"/>
      <c r="O3412" s="4"/>
      <c r="P3412" s="12" t="str">
        <f t="array" ref="P3412">IF(O3412:O7453="","",_xlfn.XLOOKUP(O3412:O7453,'参照_官位'!A:A,'参照_官位'!B:B,""))</f>
      </c>
      <c r="Q3412" s="12" t="str">
        <f t="array" ref="Q3412">IF(A3412:A7453="","",IFERROR(_xlfn.XLOOKUP(A3412:A7453,castles_state!K:K,castles_state!D:D)&amp;"主",IFERROR(_xlfn.XLOOKUP(A3412:A7453,kunishuClan!D:D,kunishuClan!B:B)&amp;"当主","")))</f>
      </c>
    </row>
    <row r="3413" ht="15.75" customHeight="1">
      <c r="A3413" s="4">
        <v>1212009</v>
      </c>
      <c r="B3413" s="12" t="str">
        <f t="array" ref="B3413">IF(A3413:A7454="","",_xlfn.XLOOKUP(A3413:A7454,'参照_武将'!A:A,'参照_武将'!B:B,"見つかりません"))</f>
      </c>
      <c r="C3413" s="4" t="s">
        <v>5981</v>
      </c>
      <c r="D3413" s="4">
        <v>25</v>
      </c>
      <c r="E3413" s="12" t="str">
        <f t="array" ref="E3413">IF(D3413:D7454="","",IFERROR(_xlfn.XLOOKUP(D3413:D7454,'参照_勢力'!A:A,'参照_勢力'!B:B),IFERROR(_xlfn.XLOOKUP(F3413:F7454,kunishuClan!A:A,kunishuClan!B:B),"浪人")))</f>
      </c>
      <c r="F3413" s="4">
        <v>0</v>
      </c>
      <c r="G3413" s="4">
        <v>175</v>
      </c>
      <c r="H3413" s="12" t="str">
        <f t="array" ref="H3413">IF(G3413:G7454="","",_xlfn.XLOOKUP(G3413:G7454,castles_state!A:A,castles_state!D:D,"見つかりません"))</f>
      </c>
      <c r="I3413" s="4"/>
      <c r="J3413" s="12" t="str">
        <f t="array" ref="J3413">IF(I3413:I7454="","",_xlfn.XLOOKUP(I3413:I7454,'参照_姫'!A:A,'参照_姫'!B:B,"見つかりません"))</f>
      </c>
      <c r="K3413" s="4">
        <v>90</v>
      </c>
      <c r="L3413" s="4">
        <v>0</v>
      </c>
      <c r="M3413" s="4"/>
      <c r="N3413" s="4"/>
      <c r="O3413" s="4"/>
      <c r="P3413" s="12" t="str">
        <f t="array" ref="P3413">IF(O3413:O7454="","",_xlfn.XLOOKUP(O3413:O7454,'参照_官位'!A:A,'参照_官位'!B:B,""))</f>
      </c>
      <c r="Q3413" s="12" t="str">
        <f t="array" ref="Q3413">IF(A3413:A7454="","",IFERROR(_xlfn.XLOOKUP(A3413:A7454,castles_state!K:K,castles_state!D:D)&amp;"主",IFERROR(_xlfn.XLOOKUP(A3413:A7454,kunishuClan!D:D,kunishuClan!B:B)&amp;"当主","")))</f>
      </c>
    </row>
    <row r="3414" ht="15.75" customHeight="1">
      <c r="A3414" s="4">
        <v>1212010</v>
      </c>
      <c r="B3414" s="12" t="str">
        <f t="array" ref="B3414">IF(A3414:A7455="","",_xlfn.XLOOKUP(A3414:A7455,'参照_武将'!A:A,'参照_武将'!B:B,"見つかりません"))</f>
      </c>
      <c r="C3414" s="4" t="s">
        <v>5981</v>
      </c>
      <c r="D3414" s="4">
        <v>25</v>
      </c>
      <c r="E3414" s="12" t="str">
        <f t="array" ref="E3414">IF(D3414:D7455="","",IFERROR(_xlfn.XLOOKUP(D3414:D7455,'参照_勢力'!A:A,'参照_勢力'!B:B),IFERROR(_xlfn.XLOOKUP(F3414:F7455,kunishuClan!A:A,kunishuClan!B:B),"浪人")))</f>
      </c>
      <c r="F3414" s="4">
        <v>0</v>
      </c>
      <c r="G3414" s="4">
        <v>175</v>
      </c>
      <c r="H3414" s="12" t="str">
        <f t="array" ref="H3414">IF(G3414:G7455="","",_xlfn.XLOOKUP(G3414:G7455,castles_state!A:A,castles_state!D:D,"見つかりません"))</f>
      </c>
      <c r="I3414" s="4"/>
      <c r="J3414" s="12" t="str">
        <f t="array" ref="J3414">IF(I3414:I7455="","",_xlfn.XLOOKUP(I3414:I7455,'参照_姫'!A:A,'参照_姫'!B:B,"見つかりません"))</f>
      </c>
      <c r="K3414" s="4">
        <v>90</v>
      </c>
      <c r="L3414" s="4">
        <v>0</v>
      </c>
      <c r="M3414" s="4"/>
      <c r="N3414" s="4"/>
      <c r="O3414" s="4"/>
      <c r="P3414" s="12" t="str">
        <f t="array" ref="P3414">IF(O3414:O7455="","",_xlfn.XLOOKUP(O3414:O7455,'参照_官位'!A:A,'参照_官位'!B:B,""))</f>
      </c>
      <c r="Q3414" s="12" t="str">
        <f t="array" ref="Q3414">IF(A3414:A7455="","",IFERROR(_xlfn.XLOOKUP(A3414:A7455,castles_state!K:K,castles_state!D:D)&amp;"主",IFERROR(_xlfn.XLOOKUP(A3414:A7455,kunishuClan!D:D,kunishuClan!B:B)&amp;"当主","")))</f>
      </c>
    </row>
    <row r="3415" ht="15.75" customHeight="1">
      <c r="A3415" s="4">
        <v>1214001</v>
      </c>
      <c r="B3415" s="12" t="str">
        <f t="array" ref="B3415">IF(A3415:A7458="","",_xlfn.XLOOKUP(A3415:A7458,'参照_武将'!A:A,'参照_武将'!B:B,"見つかりません"))</f>
      </c>
      <c r="C3415" s="4" t="s">
        <v>481</v>
      </c>
      <c r="D3415" s="4">
        <v>0</v>
      </c>
      <c r="E3415" s="12" t="str">
        <f t="array" ref="E3415">IF(D3415:D7458="","",IFERROR(_xlfn.XLOOKUP(D3415:D7458,'参照_勢力'!A:A,'参照_勢力'!B:B),IFERROR(_xlfn.XLOOKUP(F3415:F7458,kunishuClan!A:A,kunishuClan!B:B),"浪人")))</f>
      </c>
      <c r="F3415" s="4">
        <v>0</v>
      </c>
      <c r="G3415" s="4">
        <v>6</v>
      </c>
      <c r="H3415" s="12" t="str">
        <f t="array" ref="H3415">IF(G3415:G7458="","",_xlfn.XLOOKUP(G3415:G7458,castles_state!A:A,castles_state!D:D,"見つかりません"))</f>
      </c>
      <c r="I3415" s="4"/>
      <c r="J3415" s="12" t="str">
        <f t="array" ref="J3415">IF(I3415:I7458="","",_xlfn.XLOOKUP(I3415:I7458,'参照_姫'!A:A,'参照_姫'!B:B,"見つかりません"))</f>
      </c>
      <c r="K3415" s="4">
        <v>50</v>
      </c>
      <c r="L3415" s="4">
        <v>0</v>
      </c>
      <c r="M3415" s="4"/>
      <c r="N3415" s="4"/>
      <c r="O3415" s="4"/>
      <c r="P3415" s="12" t="str">
        <f t="array" ref="P3415">IF(O3415:O7458="","",_xlfn.XLOOKUP(O3415:O7458,'参照_官位'!A:A,'参照_官位'!B:B,""))</f>
      </c>
      <c r="Q3415" s="12" t="str">
        <f t="array" ref="Q3415">IF(A3415:A7458="","",IFERROR(_xlfn.XLOOKUP(A3415:A7458,castles_state!K:K,castles_state!D:D)&amp;"主",IFERROR(_xlfn.XLOOKUP(A3415:A7458,kunishuClan!D:D,kunishuClan!B:B)&amp;"当主","")))</f>
      </c>
    </row>
    <row r="3416" ht="15.75" customHeight="1">
      <c r="A3416" s="4">
        <v>1214002</v>
      </c>
      <c r="B3416" s="12" t="str">
        <f t="array" ref="B3416">IF(A3416:A7459="","",_xlfn.XLOOKUP(A3416:A7459,'参照_武将'!A:A,'参照_武将'!B:B,"見つかりません"))</f>
      </c>
      <c r="C3416" s="4" t="s">
        <v>481</v>
      </c>
      <c r="D3416" s="4">
        <v>2</v>
      </c>
      <c r="E3416" s="12" t="str">
        <f t="array" ref="E3416">IF(D3416:D7459="","",IFERROR(_xlfn.XLOOKUP(D3416:D7459,'参照_勢力'!A:A,'参照_勢力'!B:B),IFERROR(_xlfn.XLOOKUP(F3416:F7459,kunishuClan!A:A,kunishuClan!B:B),"浪人")))</f>
      </c>
      <c r="F3416" s="4">
        <v>0</v>
      </c>
      <c r="G3416" s="4">
        <v>2</v>
      </c>
      <c r="H3416" s="12" t="str">
        <f t="array" ref="H3416">IF(G3416:G7459="","",_xlfn.XLOOKUP(G3416:G7459,castles_state!A:A,castles_state!D:D,"見つかりません"))</f>
      </c>
      <c r="I3416" s="4"/>
      <c r="J3416" s="12" t="str">
        <f t="array" ref="J3416">IF(I3416:I7459="","",_xlfn.XLOOKUP(I3416:I7459,'参照_姫'!A:A,'参照_姫'!B:B,"見つかりません"))</f>
      </c>
      <c r="K3416" s="4">
        <v>95</v>
      </c>
      <c r="L3416" s="4">
        <v>0</v>
      </c>
      <c r="M3416" s="4"/>
      <c r="N3416" s="4"/>
      <c r="O3416" s="4">
        <v>125</v>
      </c>
      <c r="P3416" s="12" t="str">
        <f t="array" ref="P3416">IF(O3416:O7459="","",_xlfn.XLOOKUP(O3416:O7459,'参照_官位'!A:A,'参照_官位'!B:B,""))</f>
      </c>
      <c r="Q3416" s="12" t="str">
        <f t="array" ref="Q3416">IF(A3416:A7459="","",IFERROR(_xlfn.XLOOKUP(A3416:A7459,castles_state!K:K,castles_state!D:D)&amp;"主",IFERROR(_xlfn.XLOOKUP(A3416:A7459,kunishuClan!D:D,kunishuClan!B:B)&amp;"当主","")))</f>
      </c>
    </row>
    <row r="3417" ht="15.75" customHeight="1">
      <c r="A3417" s="4">
        <v>1214003</v>
      </c>
      <c r="B3417" s="12" t="str">
        <f t="array" ref="B3417">IF(A3417:A7460="","",_xlfn.XLOOKUP(A3417:A7460,'参照_武将'!A:A,'参照_武将'!B:B,"見つかりません"))</f>
      </c>
      <c r="C3417" s="4" t="s">
        <v>481</v>
      </c>
      <c r="D3417" s="4">
        <v>0</v>
      </c>
      <c r="E3417" s="12" t="str">
        <f t="array" ref="E3417">IF(D3417:D7460="","",IFERROR(_xlfn.XLOOKUP(D3417:D7460,'参照_勢力'!A:A,'参照_勢力'!B:B),IFERROR(_xlfn.XLOOKUP(F3417:F7460,kunishuClan!A:A,kunishuClan!B:B),"浪人")))</f>
      </c>
      <c r="F3417" s="4">
        <v>0</v>
      </c>
      <c r="G3417" s="4">
        <v>6</v>
      </c>
      <c r="H3417" s="12" t="str">
        <f t="array" ref="H3417">IF(G3417:G7460="","",_xlfn.XLOOKUP(G3417:G7460,castles_state!A:A,castles_state!D:D,"見つかりません"))</f>
      </c>
      <c r="I3417" s="4"/>
      <c r="J3417" s="12" t="str">
        <f t="array" ref="J3417">IF(I3417:I7460="","",_xlfn.XLOOKUP(I3417:I7460,'参照_姫'!A:A,'参照_姫'!B:B,"見つかりません"))</f>
      </c>
      <c r="K3417" s="4">
        <v>50</v>
      </c>
      <c r="L3417" s="4">
        <v>0</v>
      </c>
      <c r="M3417" s="4"/>
      <c r="N3417" s="4"/>
      <c r="O3417" s="4"/>
      <c r="P3417" s="12" t="str">
        <f t="array" ref="P3417">IF(O3417:O7460="","",_xlfn.XLOOKUP(O3417:O7460,'参照_官位'!A:A,'参照_官位'!B:B,""))</f>
      </c>
      <c r="Q3417" s="12" t="str">
        <f t="array" ref="Q3417">IF(A3417:A7460="","",IFERROR(_xlfn.XLOOKUP(A3417:A7460,castles_state!K:K,castles_state!D:D)&amp;"主",IFERROR(_xlfn.XLOOKUP(A3417:A7460,kunishuClan!D:D,kunishuClan!B:B)&amp;"当主","")))</f>
      </c>
    </row>
    <row r="3418" ht="15.75" customHeight="1">
      <c r="A3418" s="4">
        <v>1214004</v>
      </c>
      <c r="B3418" s="12" t="str">
        <f t="array" ref="B3418">IF(A3418:A7461="","",_xlfn.XLOOKUP(A3418:A7461,'参照_武将'!A:A,'参照_武将'!B:B,"見つかりません"))</f>
      </c>
      <c r="C3418" s="4" t="s">
        <v>481</v>
      </c>
      <c r="D3418" s="4">
        <v>0</v>
      </c>
      <c r="E3418" s="12" t="str">
        <f t="array" ref="E3418">IF(D3418:D7461="","",IFERROR(_xlfn.XLOOKUP(D3418:D7461,'参照_勢力'!A:A,'参照_勢力'!B:B),IFERROR(_xlfn.XLOOKUP(F3418:F7461,kunishuClan!A:A,kunishuClan!B:B),"浪人")))</f>
      </c>
      <c r="F3418" s="4">
        <v>0</v>
      </c>
      <c r="G3418" s="4">
        <v>6</v>
      </c>
      <c r="H3418" s="12" t="str">
        <f t="array" ref="H3418">IF(G3418:G7461="","",_xlfn.XLOOKUP(G3418:G7461,castles_state!A:A,castles_state!D:D,"見つかりません"))</f>
      </c>
      <c r="I3418" s="4"/>
      <c r="J3418" s="12" t="str">
        <f t="array" ref="J3418">IF(I3418:I7461="","",_xlfn.XLOOKUP(I3418:I7461,'参照_姫'!A:A,'参照_姫'!B:B,"見つかりません"))</f>
      </c>
      <c r="K3418" s="4">
        <v>50</v>
      </c>
      <c r="L3418" s="4">
        <v>0</v>
      </c>
      <c r="M3418" s="4"/>
      <c r="N3418" s="4"/>
      <c r="O3418" s="4"/>
      <c r="P3418" s="12" t="str">
        <f t="array" ref="P3418">IF(O3418:O7461="","",_xlfn.XLOOKUP(O3418:O7461,'参照_官位'!A:A,'参照_官位'!B:B,""))</f>
      </c>
      <c r="Q3418" s="12" t="str">
        <f t="array" ref="Q3418">IF(A3418:A7461="","",IFERROR(_xlfn.XLOOKUP(A3418:A7461,castles_state!K:K,castles_state!D:D)&amp;"主",IFERROR(_xlfn.XLOOKUP(A3418:A7461,kunishuClan!D:D,kunishuClan!B:B)&amp;"当主","")))</f>
      </c>
    </row>
    <row r="3419" ht="15.75" customHeight="1">
      <c r="A3419" s="4">
        <v>1214005</v>
      </c>
      <c r="B3419" s="12" t="str">
        <f t="array" ref="B3419">IF(A3419:A7462="","",_xlfn.XLOOKUP(A3419:A7462,'参照_武将'!A:A,'参照_武将'!B:B,"見つかりません"))</f>
      </c>
      <c r="C3419" s="4" t="s">
        <v>481</v>
      </c>
      <c r="D3419" s="4">
        <v>0</v>
      </c>
      <c r="E3419" s="12" t="str">
        <f t="array" ref="E3419">IF(D3419:D7462="","",IFERROR(_xlfn.XLOOKUP(D3419:D7462,'参照_勢力'!A:A,'参照_勢力'!B:B),IFERROR(_xlfn.XLOOKUP(F3419:F7462,kunishuClan!A:A,kunishuClan!B:B),"浪人")))</f>
      </c>
      <c r="F3419" s="4">
        <v>0</v>
      </c>
      <c r="G3419" s="4">
        <v>6</v>
      </c>
      <c r="H3419" s="12" t="str">
        <f t="array" ref="H3419">IF(G3419:G7462="","",_xlfn.XLOOKUP(G3419:G7462,castles_state!A:A,castles_state!D:D,"見つかりません"))</f>
      </c>
      <c r="I3419" s="4"/>
      <c r="J3419" s="12" t="str">
        <f t="array" ref="J3419">IF(I3419:I7462="","",_xlfn.XLOOKUP(I3419:I7462,'参照_姫'!A:A,'参照_姫'!B:B,"見つかりません"))</f>
      </c>
      <c r="K3419" s="4">
        <v>50</v>
      </c>
      <c r="L3419" s="4">
        <v>0</v>
      </c>
      <c r="M3419" s="4"/>
      <c r="N3419" s="4"/>
      <c r="O3419" s="4"/>
      <c r="P3419" s="12" t="str">
        <f t="array" ref="P3419">IF(O3419:O7462="","",_xlfn.XLOOKUP(O3419:O7462,'参照_官位'!A:A,'参照_官位'!B:B,""))</f>
      </c>
      <c r="Q3419" s="12" t="str">
        <f t="array" ref="Q3419">IF(A3419:A7462="","",IFERROR(_xlfn.XLOOKUP(A3419:A7462,castles_state!K:K,castles_state!D:D)&amp;"主",IFERROR(_xlfn.XLOOKUP(A3419:A7462,kunishuClan!D:D,kunishuClan!B:B)&amp;"当主","")))</f>
      </c>
    </row>
    <row r="3420" ht="15.75" customHeight="1">
      <c r="A3420" s="4">
        <v>1214006</v>
      </c>
      <c r="B3420" s="12" t="str">
        <f t="array" ref="B3420">IF(A3420:A7463="","",_xlfn.XLOOKUP(A3420:A7463,'参照_武将'!A:A,'参照_武将'!B:B,"見つかりません"))</f>
      </c>
      <c r="C3420" s="4" t="s">
        <v>5976</v>
      </c>
      <c r="D3420" s="4">
        <v>0</v>
      </c>
      <c r="E3420" s="12" t="str">
        <f t="array" ref="E3420">IF(D3420:D7463="","",IFERROR(_xlfn.XLOOKUP(D3420:D7463,'参照_勢力'!A:A,'参照_勢力'!B:B),IFERROR(_xlfn.XLOOKUP(F3420:F7463,kunishuClan!A:A,kunishuClan!B:B),"浪人")))</f>
      </c>
      <c r="F3420" s="4">
        <v>0</v>
      </c>
      <c r="G3420" s="4">
        <v>2</v>
      </c>
      <c r="H3420" s="12" t="str">
        <f t="array" ref="H3420">IF(G3420:G7463="","",_xlfn.XLOOKUP(G3420:G7463,castles_state!A:A,castles_state!D:D,"見つかりません"))</f>
      </c>
      <c r="I3420" s="4"/>
      <c r="J3420" s="12" t="str">
        <f t="array" ref="J3420">IF(I3420:I7463="","",_xlfn.XLOOKUP(I3420:I7463,'参照_姫'!A:A,'参照_姫'!B:B,"見つかりません"))</f>
      </c>
      <c r="K3420" s="4">
        <v>50</v>
      </c>
      <c r="L3420" s="4">
        <v>0</v>
      </c>
      <c r="M3420" s="4"/>
      <c r="N3420" s="4"/>
      <c r="O3420" s="4"/>
      <c r="P3420" s="12" t="str">
        <f t="array" ref="P3420">IF(O3420:O7463="","",_xlfn.XLOOKUP(O3420:O7463,'参照_官位'!A:A,'参照_官位'!B:B,""))</f>
      </c>
      <c r="Q3420" s="12" t="str">
        <f t="array" ref="Q3420">IF(A3420:A7463="","",IFERROR(_xlfn.XLOOKUP(A3420:A7463,castles_state!K:K,castles_state!D:D)&amp;"主",IFERROR(_xlfn.XLOOKUP(A3420:A7463,kunishuClan!D:D,kunishuClan!B:B)&amp;"当主","")))</f>
      </c>
    </row>
    <row r="3421" ht="15.75" customHeight="1">
      <c r="A3421" s="4">
        <v>1214007</v>
      </c>
      <c r="B3421" s="12" t="str">
        <f t="array" ref="B3421">IF(A3421:A7464="","",_xlfn.XLOOKUP(A3421:A7464,'参照_武将'!A:A,'参照_武将'!B:B,"見つかりません"))</f>
      </c>
      <c r="C3421" s="4" t="s">
        <v>5976</v>
      </c>
      <c r="D3421" s="4">
        <v>0</v>
      </c>
      <c r="E3421" s="12" t="str">
        <f t="array" ref="E3421">IF(D3421:D7464="","",IFERROR(_xlfn.XLOOKUP(D3421:D7464,'参照_勢力'!A:A,'参照_勢力'!B:B),IFERROR(_xlfn.XLOOKUP(F3421:F7464,kunishuClan!A:A,kunishuClan!B:B),"浪人")))</f>
      </c>
      <c r="F3421" s="4">
        <v>0</v>
      </c>
      <c r="G3421" s="4">
        <v>2</v>
      </c>
      <c r="H3421" s="12" t="str">
        <f t="array" ref="H3421">IF(G3421:G7464="","",_xlfn.XLOOKUP(G3421:G7464,castles_state!A:A,castles_state!D:D,"見つかりません"))</f>
      </c>
      <c r="I3421" s="4"/>
      <c r="J3421" s="12" t="str">
        <f t="array" ref="J3421">IF(I3421:I7464="","",_xlfn.XLOOKUP(I3421:I7464,'参照_姫'!A:A,'参照_姫'!B:B,"見つかりません"))</f>
      </c>
      <c r="K3421" s="4">
        <v>50</v>
      </c>
      <c r="L3421" s="4">
        <v>0</v>
      </c>
      <c r="M3421" s="4"/>
      <c r="N3421" s="4"/>
      <c r="O3421" s="4"/>
      <c r="P3421" s="12" t="str">
        <f t="array" ref="P3421">IF(O3421:O7464="","",_xlfn.XLOOKUP(O3421:O7464,'参照_官位'!A:A,'参照_官位'!B:B,""))</f>
      </c>
      <c r="Q3421" s="12" t="str">
        <f t="array" ref="Q3421">IF(A3421:A7464="","",IFERROR(_xlfn.XLOOKUP(A3421:A7464,castles_state!K:K,castles_state!D:D)&amp;"主",IFERROR(_xlfn.XLOOKUP(A3421:A7464,kunishuClan!D:D,kunishuClan!B:B)&amp;"当主","")))</f>
      </c>
    </row>
    <row r="3422" ht="15.75" customHeight="1">
      <c r="A3422" s="4">
        <v>1214008</v>
      </c>
      <c r="B3422" s="12" t="str">
        <f t="array" ref="B3422">IF(A3422:A7465="","",_xlfn.XLOOKUP(A3422:A7465,'参照_武将'!A:A,'参照_武将'!B:B,"見つかりません"))</f>
      </c>
      <c r="C3422" s="4" t="s">
        <v>5976</v>
      </c>
      <c r="D3422" s="4">
        <v>0</v>
      </c>
      <c r="E3422" s="12" t="str">
        <f t="array" ref="E3422">IF(D3422:D7465="","",IFERROR(_xlfn.XLOOKUP(D3422:D7465,'参照_勢力'!A:A,'参照_勢力'!B:B),IFERROR(_xlfn.XLOOKUP(F3422:F7465,kunishuClan!A:A,kunishuClan!B:B),"浪人")))</f>
      </c>
      <c r="F3422" s="4">
        <v>0</v>
      </c>
      <c r="G3422" s="4">
        <v>2</v>
      </c>
      <c r="H3422" s="12" t="str">
        <f t="array" ref="H3422">IF(G3422:G7465="","",_xlfn.XLOOKUP(G3422:G7465,castles_state!A:A,castles_state!D:D,"見つかりません"))</f>
      </c>
      <c r="I3422" s="4"/>
      <c r="J3422" s="12" t="str">
        <f t="array" ref="J3422">IF(I3422:I7465="","",_xlfn.XLOOKUP(I3422:I7465,'参照_姫'!A:A,'参照_姫'!B:B,"見つかりません"))</f>
      </c>
      <c r="K3422" s="4">
        <v>50</v>
      </c>
      <c r="L3422" s="4">
        <v>0</v>
      </c>
      <c r="M3422" s="4"/>
      <c r="N3422" s="4"/>
      <c r="O3422" s="4"/>
      <c r="P3422" s="12" t="str">
        <f t="array" ref="P3422">IF(O3422:O7465="","",_xlfn.XLOOKUP(O3422:O7465,'参照_官位'!A:A,'参照_官位'!B:B,""))</f>
      </c>
      <c r="Q3422" s="12" t="str">
        <f t="array" ref="Q3422">IF(A3422:A7465="","",IFERROR(_xlfn.XLOOKUP(A3422:A7465,castles_state!K:K,castles_state!D:D)&amp;"主",IFERROR(_xlfn.XLOOKUP(A3422:A7465,kunishuClan!D:D,kunishuClan!B:B)&amp;"当主","")))</f>
      </c>
    </row>
    <row r="3423" ht="15.75" customHeight="1">
      <c r="A3423" s="4">
        <v>1214009</v>
      </c>
      <c r="B3423" s="12" t="str">
        <f t="array" ref="B3423">IF(A3423:A7466="","",_xlfn.XLOOKUP(A3423:A7466,'参照_武将'!A:A,'参照_武将'!B:B,"見つかりません"))</f>
      </c>
      <c r="C3423" s="4" t="s">
        <v>5976</v>
      </c>
      <c r="D3423" s="4">
        <v>0</v>
      </c>
      <c r="E3423" s="12" t="str">
        <f t="array" ref="E3423">IF(D3423:D7466="","",IFERROR(_xlfn.XLOOKUP(D3423:D7466,'参照_勢力'!A:A,'参照_勢力'!B:B),IFERROR(_xlfn.XLOOKUP(F3423:F7466,kunishuClan!A:A,kunishuClan!B:B),"浪人")))</f>
      </c>
      <c r="F3423" s="4">
        <v>0</v>
      </c>
      <c r="G3423" s="4">
        <v>2</v>
      </c>
      <c r="H3423" s="12" t="str">
        <f t="array" ref="H3423">IF(G3423:G7466="","",_xlfn.XLOOKUP(G3423:G7466,castles_state!A:A,castles_state!D:D,"見つかりません"))</f>
      </c>
      <c r="I3423" s="4"/>
      <c r="J3423" s="12" t="str">
        <f t="array" ref="J3423">IF(I3423:I7466="","",_xlfn.XLOOKUP(I3423:I7466,'参照_姫'!A:A,'参照_姫'!B:B,"見つかりません"))</f>
      </c>
      <c r="K3423" s="4">
        <v>50</v>
      </c>
      <c r="L3423" s="4">
        <v>0</v>
      </c>
      <c r="M3423" s="4"/>
      <c r="N3423" s="4"/>
      <c r="O3423" s="4"/>
      <c r="P3423" s="12" t="str">
        <f t="array" ref="P3423">IF(O3423:O7466="","",_xlfn.XLOOKUP(O3423:O7466,'参照_官位'!A:A,'参照_官位'!B:B,""))</f>
      </c>
      <c r="Q3423" s="12" t="str">
        <f t="array" ref="Q3423">IF(A3423:A7466="","",IFERROR(_xlfn.XLOOKUP(A3423:A7466,castles_state!K:K,castles_state!D:D)&amp;"主",IFERROR(_xlfn.XLOOKUP(A3423:A7466,kunishuClan!D:D,kunishuClan!B:B)&amp;"当主","")))</f>
      </c>
    </row>
    <row r="3424" ht="15.75" customHeight="1">
      <c r="A3424" s="4">
        <v>1214010</v>
      </c>
      <c r="B3424" s="12" t="str">
        <f t="array" ref="B3424">IF(A3424:A7467="","",_xlfn.XLOOKUP(A3424:A7467,'参照_武将'!A:A,'参照_武将'!B:B,"見つかりません"))</f>
      </c>
      <c r="C3424" s="4" t="s">
        <v>5976</v>
      </c>
      <c r="D3424" s="4">
        <v>0</v>
      </c>
      <c r="E3424" s="12" t="str">
        <f t="array" ref="E3424">IF(D3424:D7467="","",IFERROR(_xlfn.XLOOKUP(D3424:D7467,'参照_勢力'!A:A,'参照_勢力'!B:B),IFERROR(_xlfn.XLOOKUP(F3424:F7467,kunishuClan!A:A,kunishuClan!B:B),"浪人")))</f>
      </c>
      <c r="F3424" s="4">
        <v>0</v>
      </c>
      <c r="G3424" s="4">
        <v>2</v>
      </c>
      <c r="H3424" s="12" t="str">
        <f t="array" ref="H3424">IF(G3424:G7467="","",_xlfn.XLOOKUP(G3424:G7467,castles_state!A:A,castles_state!D:D,"見つかりません"))</f>
      </c>
      <c r="I3424" s="4"/>
      <c r="J3424" s="12" t="str">
        <f t="array" ref="J3424">IF(I3424:I7467="","",_xlfn.XLOOKUP(I3424:I7467,'参照_姫'!A:A,'参照_姫'!B:B,"見つかりません"))</f>
      </c>
      <c r="K3424" s="4">
        <v>50</v>
      </c>
      <c r="L3424" s="4">
        <v>0</v>
      </c>
      <c r="M3424" s="4"/>
      <c r="N3424" s="4"/>
      <c r="O3424" s="4"/>
      <c r="P3424" s="12" t="str">
        <f t="array" ref="P3424">IF(O3424:O7467="","",_xlfn.XLOOKUP(O3424:O7467,'参照_官位'!A:A,'参照_官位'!B:B,""))</f>
      </c>
      <c r="Q3424" s="12" t="str">
        <f t="array" ref="Q3424">IF(A3424:A7467="","",IFERROR(_xlfn.XLOOKUP(A3424:A7467,castles_state!K:K,castles_state!D:D)&amp;"主",IFERROR(_xlfn.XLOOKUP(A3424:A7467,kunishuClan!D:D,kunishuClan!B:B)&amp;"当主","")))</f>
      </c>
    </row>
    <row r="3425" ht="15.75" customHeight="1">
      <c r="A3425" s="4">
        <v>1214011</v>
      </c>
      <c r="B3425" s="12" t="str">
        <f t="array" ref="B3425">IF(A3425:A7468="","",_xlfn.XLOOKUP(A3425:A7468,'参照_武将'!A:A,'参照_武将'!B:B,"見つかりません"))</f>
      </c>
      <c r="C3425" s="4" t="s">
        <v>5976</v>
      </c>
      <c r="D3425" s="4">
        <v>2</v>
      </c>
      <c r="E3425" s="12" t="str">
        <f t="array" ref="E3425">IF(D3425:D7468="","",IFERROR(_xlfn.XLOOKUP(D3425:D7468,'参照_勢力'!A:A,'参照_勢力'!B:B),IFERROR(_xlfn.XLOOKUP(F3425:F7468,kunishuClan!A:A,kunishuClan!B:B),"浪人")))</f>
      </c>
      <c r="F3425" s="4">
        <v>0</v>
      </c>
      <c r="G3425" s="4">
        <v>2</v>
      </c>
      <c r="H3425" s="12" t="str">
        <f t="array" ref="H3425">IF(G3425:G7468="","",_xlfn.XLOOKUP(G3425:G7468,castles_state!A:A,castles_state!D:D,"見つかりません"))</f>
      </c>
      <c r="I3425" s="4"/>
      <c r="J3425" s="12" t="str">
        <f t="array" ref="J3425">IF(I3425:I7468="","",_xlfn.XLOOKUP(I3425:I7468,'参照_姫'!A:A,'参照_姫'!B:B,"見つかりません"))</f>
      </c>
      <c r="K3425" s="4">
        <v>95</v>
      </c>
      <c r="L3425" s="4">
        <v>0</v>
      </c>
      <c r="M3425" s="4"/>
      <c r="N3425" s="4"/>
      <c r="O3425" s="4"/>
      <c r="P3425" s="12" t="str">
        <f t="array" ref="P3425">IF(O3425:O7468="","",_xlfn.XLOOKUP(O3425:O7468,'参照_官位'!A:A,'参照_官位'!B:B,""))</f>
      </c>
      <c r="Q3425" s="12" t="str">
        <f t="array" ref="Q3425">IF(A3425:A7468="","",IFERROR(_xlfn.XLOOKUP(A3425:A7468,castles_state!K:K,castles_state!D:D)&amp;"主",IFERROR(_xlfn.XLOOKUP(A3425:A7468,kunishuClan!D:D,kunishuClan!B:B)&amp;"当主","")))</f>
      </c>
    </row>
    <row r="3426" ht="15.75" customHeight="1">
      <c r="A3426" s="4">
        <v>1214012</v>
      </c>
      <c r="B3426" s="12" t="str">
        <f t="array" ref="B3426">IF(A3426:A7469="","",_xlfn.XLOOKUP(A3426:A7469,'参照_武将'!A:A,'参照_武将'!B:B,"見つかりません"))</f>
      </c>
      <c r="C3426" s="4" t="s">
        <v>5976</v>
      </c>
      <c r="D3426" s="4">
        <v>0</v>
      </c>
      <c r="E3426" s="12" t="str">
        <f t="array" ref="E3426">IF(D3426:D7469="","",IFERROR(_xlfn.XLOOKUP(D3426:D7469,'参照_勢力'!A:A,'参照_勢力'!B:B),IFERROR(_xlfn.XLOOKUP(F3426:F7469,kunishuClan!A:A,kunishuClan!B:B),"浪人")))</f>
      </c>
      <c r="F3426" s="4">
        <v>0</v>
      </c>
      <c r="G3426" s="4">
        <v>2</v>
      </c>
      <c r="H3426" s="12" t="str">
        <f t="array" ref="H3426">IF(G3426:G7469="","",_xlfn.XLOOKUP(G3426:G7469,castles_state!A:A,castles_state!D:D,"見つかりません"))</f>
      </c>
      <c r="I3426" s="4"/>
      <c r="J3426" s="12" t="str">
        <f t="array" ref="J3426">IF(I3426:I7469="","",_xlfn.XLOOKUP(I3426:I7469,'参照_姫'!A:A,'参照_姫'!B:B,"見つかりません"))</f>
      </c>
      <c r="K3426" s="4">
        <v>50</v>
      </c>
      <c r="L3426" s="4">
        <v>0</v>
      </c>
      <c r="M3426" s="4"/>
      <c r="N3426" s="4"/>
      <c r="O3426" s="4"/>
      <c r="P3426" s="12" t="str">
        <f t="array" ref="P3426">IF(O3426:O7469="","",_xlfn.XLOOKUP(O3426:O7469,'参照_官位'!A:A,'参照_官位'!B:B,""))</f>
      </c>
      <c r="Q3426" s="12" t="str">
        <f t="array" ref="Q3426">IF(A3426:A7469="","",IFERROR(_xlfn.XLOOKUP(A3426:A7469,castles_state!K:K,castles_state!D:D)&amp;"主",IFERROR(_xlfn.XLOOKUP(A3426:A7469,kunishuClan!D:D,kunishuClan!B:B)&amp;"当主","")))</f>
      </c>
    </row>
    <row r="3427" ht="15.75" customHeight="1">
      <c r="A3427" s="4">
        <v>1214013</v>
      </c>
      <c r="B3427" s="12" t="str">
        <f t="array" ref="B3427">IF(A3427:A7470="","",_xlfn.XLOOKUP(A3427:A7470,'参照_武将'!A:A,'参照_武将'!B:B,"見つかりません"))</f>
      </c>
      <c r="C3427" s="4" t="s">
        <v>5976</v>
      </c>
      <c r="D3427" s="4">
        <v>0</v>
      </c>
      <c r="E3427" s="12" t="str">
        <f t="array" ref="E3427">IF(D3427:D7470="","",IFERROR(_xlfn.XLOOKUP(D3427:D7470,'参照_勢力'!A:A,'参照_勢力'!B:B),IFERROR(_xlfn.XLOOKUP(F3427:F7470,kunishuClan!A:A,kunishuClan!B:B),"浪人")))</f>
      </c>
      <c r="F3427" s="4">
        <v>0</v>
      </c>
      <c r="G3427" s="4">
        <v>2</v>
      </c>
      <c r="H3427" s="12" t="str">
        <f t="array" ref="H3427">IF(G3427:G7470="","",_xlfn.XLOOKUP(G3427:G7470,castles_state!A:A,castles_state!D:D,"見つかりません"))</f>
      </c>
      <c r="I3427" s="4"/>
      <c r="J3427" s="12" t="str">
        <f t="array" ref="J3427">IF(I3427:I7470="","",_xlfn.XLOOKUP(I3427:I7470,'参照_姫'!A:A,'参照_姫'!B:B,"見つかりません"))</f>
      </c>
      <c r="K3427" s="4">
        <v>50</v>
      </c>
      <c r="L3427" s="4">
        <v>0</v>
      </c>
      <c r="M3427" s="4"/>
      <c r="N3427" s="4"/>
      <c r="O3427" s="4"/>
      <c r="P3427" s="12" t="str">
        <f t="array" ref="P3427">IF(O3427:O7470="","",_xlfn.XLOOKUP(O3427:O7470,'参照_官位'!A:A,'参照_官位'!B:B,""))</f>
      </c>
      <c r="Q3427" s="12" t="str">
        <f t="array" ref="Q3427">IF(A3427:A7470="","",IFERROR(_xlfn.XLOOKUP(A3427:A7470,castles_state!K:K,castles_state!D:D)&amp;"主",IFERROR(_xlfn.XLOOKUP(A3427:A7470,kunishuClan!D:D,kunishuClan!B:B)&amp;"当主","")))</f>
      </c>
    </row>
    <row r="3428" ht="15.75" customHeight="1">
      <c r="A3428" s="4">
        <v>1214014</v>
      </c>
      <c r="B3428" s="12" t="str">
        <f t="array" ref="B3428">IF(A3428:A7471="","",_xlfn.XLOOKUP(A3428:A7471,'参照_武将'!A:A,'参照_武将'!B:B,"見つかりません"))</f>
      </c>
      <c r="C3428" s="4" t="s">
        <v>5976</v>
      </c>
      <c r="D3428" s="4">
        <v>2</v>
      </c>
      <c r="E3428" s="12" t="str">
        <f t="array" ref="E3428">IF(D3428:D7471="","",IFERROR(_xlfn.XLOOKUP(D3428:D7471,'参照_勢力'!A:A,'参照_勢力'!B:B),IFERROR(_xlfn.XLOOKUP(F3428:F7471,kunishuClan!A:A,kunishuClan!B:B),"浪人")))</f>
      </c>
      <c r="F3428" s="4">
        <v>0</v>
      </c>
      <c r="G3428" s="4">
        <v>15</v>
      </c>
      <c r="H3428" s="12" t="str">
        <f t="array" ref="H3428">IF(G3428:G7471="","",_xlfn.XLOOKUP(G3428:G7471,castles_state!A:A,castles_state!D:D,"見つかりません"))</f>
      </c>
      <c r="I3428" s="4"/>
      <c r="J3428" s="12" t="str">
        <f t="array" ref="J3428">IF(I3428:I7471="","",_xlfn.XLOOKUP(I3428:I7471,'参照_姫'!A:A,'参照_姫'!B:B,"見つかりません"))</f>
      </c>
      <c r="K3428" s="4">
        <v>95</v>
      </c>
      <c r="L3428" s="4">
        <v>0</v>
      </c>
      <c r="M3428" s="4"/>
      <c r="N3428" s="4"/>
      <c r="O3428" s="4"/>
      <c r="P3428" s="12" t="str">
        <f t="array" ref="P3428">IF(O3428:O7471="","",_xlfn.XLOOKUP(O3428:O7471,'参照_官位'!A:A,'参照_官位'!B:B,""))</f>
      </c>
      <c r="Q3428" s="12" t="str">
        <f t="array" ref="Q3428">IF(A3428:A7471="","",IFERROR(_xlfn.XLOOKUP(A3428:A7471,castles_state!K:K,castles_state!D:D)&amp;"主",IFERROR(_xlfn.XLOOKUP(A3428:A7471,kunishuClan!D:D,kunishuClan!B:B)&amp;"当主","")))</f>
      </c>
    </row>
    <row r="3429" ht="15.75" customHeight="1">
      <c r="A3429" s="4">
        <v>1214015</v>
      </c>
      <c r="B3429" s="12" t="str">
        <f t="array" ref="B3429">IF(A3429:A7472="","",_xlfn.XLOOKUP(A3429:A7472,'参照_武将'!A:A,'参照_武将'!B:B,"見つかりません"))</f>
      </c>
      <c r="C3429" s="4" t="s">
        <v>5982</v>
      </c>
      <c r="D3429" s="4">
        <v>0</v>
      </c>
      <c r="E3429" s="12" t="str">
        <f t="array" ref="E3429">IF(D3429:D7472="","",IFERROR(_xlfn.XLOOKUP(D3429:D7472,'参照_勢力'!A:A,'参照_勢力'!B:B),IFERROR(_xlfn.XLOOKUP(F3429:F7472,kunishuClan!A:A,kunishuClan!B:B),"浪人")))</f>
      </c>
      <c r="F3429" s="4">
        <v>0</v>
      </c>
      <c r="G3429" s="4">
        <v>69</v>
      </c>
      <c r="H3429" s="12" t="str">
        <f t="array" ref="H3429">IF(G3429:G7472="","",_xlfn.XLOOKUP(G3429:G7472,castles_state!A:A,castles_state!D:D,"見つかりません"))</f>
      </c>
      <c r="I3429" s="4"/>
      <c r="J3429" s="12" t="str">
        <f t="array" ref="J3429">IF(I3429:I7472="","",_xlfn.XLOOKUP(I3429:I7472,'参照_姫'!A:A,'参照_姫'!B:B,"見つかりません"))</f>
      </c>
      <c r="K3429" s="4">
        <v>50</v>
      </c>
      <c r="L3429" s="4">
        <v>0</v>
      </c>
      <c r="M3429" s="4"/>
      <c r="N3429" s="4"/>
      <c r="O3429" s="4"/>
      <c r="P3429" s="12" t="str">
        <f t="array" ref="P3429">IF(O3429:O7472="","",_xlfn.XLOOKUP(O3429:O7472,'参照_官位'!A:A,'参照_官位'!B:B,""))</f>
      </c>
      <c r="Q3429" s="12" t="str">
        <f t="array" ref="Q3429">IF(A3429:A7472="","",IFERROR(_xlfn.XLOOKUP(A3429:A7472,castles_state!K:K,castles_state!D:D)&amp;"主",IFERROR(_xlfn.XLOOKUP(A3429:A7472,kunishuClan!D:D,kunishuClan!B:B)&amp;"当主","")))</f>
      </c>
    </row>
    <row r="3430" ht="15.75" customHeight="1">
      <c r="A3430" s="4">
        <v>1214016</v>
      </c>
      <c r="B3430" s="12" t="str">
        <f t="array" ref="B3430">IF(A3430:A7473="","",_xlfn.XLOOKUP(A3430:A7473,'参照_武将'!A:A,'参照_武将'!B:B,"見つかりません"))</f>
      </c>
      <c r="C3430" s="4" t="s">
        <v>5982</v>
      </c>
      <c r="D3430" s="4">
        <v>0</v>
      </c>
      <c r="E3430" s="12" t="str">
        <f t="array" ref="E3430">IF(D3430:D7473="","",IFERROR(_xlfn.XLOOKUP(D3430:D7473,'参照_勢力'!A:A,'参照_勢力'!B:B),IFERROR(_xlfn.XLOOKUP(F3430:F7473,kunishuClan!A:A,kunishuClan!B:B),"浪人")))</f>
      </c>
      <c r="F3430" s="4">
        <v>0</v>
      </c>
      <c r="G3430" s="4">
        <v>69</v>
      </c>
      <c r="H3430" s="12" t="str">
        <f t="array" ref="H3430">IF(G3430:G7473="","",_xlfn.XLOOKUP(G3430:G7473,castles_state!A:A,castles_state!D:D,"見つかりません"))</f>
      </c>
      <c r="I3430" s="4"/>
      <c r="J3430" s="12" t="str">
        <f t="array" ref="J3430">IF(I3430:I7473="","",_xlfn.XLOOKUP(I3430:I7473,'参照_姫'!A:A,'参照_姫'!B:B,"見つかりません"))</f>
      </c>
      <c r="K3430" s="4">
        <v>50</v>
      </c>
      <c r="L3430" s="4">
        <v>0</v>
      </c>
      <c r="M3430" s="4"/>
      <c r="N3430" s="4"/>
      <c r="O3430" s="4"/>
      <c r="P3430" s="12" t="str">
        <f t="array" ref="P3430">IF(O3430:O7473="","",_xlfn.XLOOKUP(O3430:O7473,'参照_官位'!A:A,'参照_官位'!B:B,""))</f>
      </c>
      <c r="Q3430" s="12" t="str">
        <f t="array" ref="Q3430">IF(A3430:A7473="","",IFERROR(_xlfn.XLOOKUP(A3430:A7473,castles_state!K:K,castles_state!D:D)&amp;"主",IFERROR(_xlfn.XLOOKUP(A3430:A7473,kunishuClan!D:D,kunishuClan!B:B)&amp;"当主","")))</f>
      </c>
    </row>
    <row r="3431" ht="15.75" customHeight="1">
      <c r="A3431" s="4">
        <v>1214017</v>
      </c>
      <c r="B3431" s="12" t="str">
        <f t="array" ref="B3431">IF(A3431:A7474="","",_xlfn.XLOOKUP(A3431:A7474,'参照_武将'!A:A,'参照_武将'!B:B,"見つかりません"))</f>
      </c>
      <c r="C3431" s="4" t="s">
        <v>5982</v>
      </c>
      <c r="D3431" s="4">
        <v>32</v>
      </c>
      <c r="E3431" s="12" t="str">
        <f t="array" ref="E3431">IF(D3431:D7474="","",IFERROR(_xlfn.XLOOKUP(D3431:D7474,'参照_勢力'!A:A,'参照_勢力'!B:B),IFERROR(_xlfn.XLOOKUP(F3431:F7474,kunishuClan!A:A,kunishuClan!B:B),"浪人")))</f>
      </c>
      <c r="F3431" s="4">
        <v>0</v>
      </c>
      <c r="G3431" s="4">
        <v>69</v>
      </c>
      <c r="H3431" s="12" t="str">
        <f t="array" ref="H3431">IF(G3431:G7474="","",_xlfn.XLOOKUP(G3431:G7474,castles_state!A:A,castles_state!D:D,"見つかりません"))</f>
      </c>
      <c r="I3431" s="4"/>
      <c r="J3431" s="12" t="str">
        <f t="array" ref="J3431">IF(I3431:I7474="","",_xlfn.XLOOKUP(I3431:I7474,'参照_姫'!A:A,'参照_姫'!B:B,"見つかりません"))</f>
      </c>
      <c r="K3431" s="4">
        <v>100</v>
      </c>
      <c r="L3431" s="4">
        <v>700</v>
      </c>
      <c r="M3431" s="4"/>
      <c r="N3431" s="4"/>
      <c r="O3431" s="4"/>
      <c r="P3431" s="12" t="str">
        <f t="array" ref="P3431">IF(O3431:O7474="","",_xlfn.XLOOKUP(O3431:O7474,'参照_官位'!A:A,'参照_官位'!B:B,""))</f>
      </c>
      <c r="Q3431" s="12" t="str">
        <f t="array" ref="Q3431">IF(A3431:A7474="","",IFERROR(_xlfn.XLOOKUP(A3431:A7474,castles_state!K:K,castles_state!D:D)&amp;"主",IFERROR(_xlfn.XLOOKUP(A3431:A7474,kunishuClan!D:D,kunishuClan!B:B)&amp;"当主","")))</f>
      </c>
    </row>
    <row r="3432" ht="15.75" customHeight="1">
      <c r="A3432" s="4">
        <v>1214018</v>
      </c>
      <c r="B3432" s="12" t="str">
        <f t="array" ref="B3432">IF(A3432:A7475="","",_xlfn.XLOOKUP(A3432:A7475,'参照_武将'!A:A,'参照_武将'!B:B,"見つかりません"))</f>
      </c>
      <c r="C3432" s="4" t="s">
        <v>5982</v>
      </c>
      <c r="D3432" s="4">
        <v>0</v>
      </c>
      <c r="E3432" s="12" t="str">
        <f t="array" ref="E3432">IF(D3432:D7475="","",IFERROR(_xlfn.XLOOKUP(D3432:D7475,'参照_勢力'!A:A,'参照_勢力'!B:B),IFERROR(_xlfn.XLOOKUP(F3432:F7475,kunishuClan!A:A,kunishuClan!B:B),"浪人")))</f>
      </c>
      <c r="F3432" s="4">
        <v>0</v>
      </c>
      <c r="G3432" s="4">
        <v>69</v>
      </c>
      <c r="H3432" s="12" t="str">
        <f t="array" ref="H3432">IF(G3432:G7475="","",_xlfn.XLOOKUP(G3432:G7475,castles_state!A:A,castles_state!D:D,"見つかりません"))</f>
      </c>
      <c r="I3432" s="4"/>
      <c r="J3432" s="12" t="str">
        <f t="array" ref="J3432">IF(I3432:I7475="","",_xlfn.XLOOKUP(I3432:I7475,'参照_姫'!A:A,'参照_姫'!B:B,"見つかりません"))</f>
      </c>
      <c r="K3432" s="4">
        <v>50</v>
      </c>
      <c r="L3432" s="4">
        <v>0</v>
      </c>
      <c r="M3432" s="4"/>
      <c r="N3432" s="4"/>
      <c r="O3432" s="4"/>
      <c r="P3432" s="12" t="str">
        <f t="array" ref="P3432">IF(O3432:O7475="","",_xlfn.XLOOKUP(O3432:O7475,'参照_官位'!A:A,'参照_官位'!B:B,""))</f>
      </c>
      <c r="Q3432" s="12" t="str">
        <f t="array" ref="Q3432">IF(A3432:A7475="","",IFERROR(_xlfn.XLOOKUP(A3432:A7475,castles_state!K:K,castles_state!D:D)&amp;"主",IFERROR(_xlfn.XLOOKUP(A3432:A7475,kunishuClan!D:D,kunishuClan!B:B)&amp;"当主","")))</f>
      </c>
    </row>
    <row r="3433" ht="15.75" customHeight="1">
      <c r="A3433" s="4">
        <v>1215001</v>
      </c>
      <c r="B3433" s="12" t="str">
        <f t="array" ref="B3433">IF(A3433:A7476="","",_xlfn.XLOOKUP(A3433:A7476,'参照_武将'!A:A,'参照_武将'!B:B,"見つかりません"))</f>
      </c>
      <c r="C3433" s="4" t="s">
        <v>487</v>
      </c>
      <c r="D3433" s="4">
        <v>28</v>
      </c>
      <c r="E3433" s="12" t="str">
        <f t="array" ref="E3433">IF(D3433:D7476="","",IFERROR(_xlfn.XLOOKUP(D3433:D7476,'参照_勢力'!A:A,'参照_勢力'!B:B),IFERROR(_xlfn.XLOOKUP(F3433:F7476,kunishuClan!A:A,kunishuClan!B:B),"浪人")))</f>
      </c>
      <c r="F3433" s="4">
        <v>0</v>
      </c>
      <c r="G3433" s="4">
        <v>249</v>
      </c>
      <c r="H3433" s="12" t="str">
        <f t="array" ref="H3433">IF(G3433:G7476="","",_xlfn.XLOOKUP(G3433:G7476,castles_state!A:A,castles_state!D:D,"見つかりません"))</f>
      </c>
      <c r="I3433" s="4"/>
      <c r="J3433" s="12" t="str">
        <f t="array" ref="J3433">IF(I3433:I7476="","",_xlfn.XLOOKUP(I3433:I7476,'参照_姫'!A:A,'参照_姫'!B:B,"見つかりません"))</f>
      </c>
      <c r="K3433" s="4">
        <v>95</v>
      </c>
      <c r="L3433" s="4">
        <v>0</v>
      </c>
      <c r="M3433" s="4"/>
      <c r="N3433" s="4"/>
      <c r="O3433" s="4"/>
      <c r="P3433" s="12" t="str">
        <f t="array" ref="P3433">IF(O3433:O7476="","",_xlfn.XLOOKUP(O3433:O7476,'参照_官位'!A:A,'参照_官位'!B:B,""))</f>
      </c>
      <c r="Q3433" s="12" t="str">
        <f t="array" ref="Q3433">IF(A3433:A7476="","",IFERROR(_xlfn.XLOOKUP(A3433:A7476,castles_state!K:K,castles_state!D:D)&amp;"主",IFERROR(_xlfn.XLOOKUP(A3433:A7476,kunishuClan!D:D,kunishuClan!B:B)&amp;"当主","")))</f>
      </c>
    </row>
    <row r="3434" ht="15.75" customHeight="1">
      <c r="A3434" s="4">
        <v>1215002</v>
      </c>
      <c r="B3434" s="12" t="str">
        <f t="array" ref="B3434">IF(A3434:A7477="","",_xlfn.XLOOKUP(A3434:A7477,'参照_武将'!A:A,'参照_武将'!B:B,"見つかりません"))</f>
      </c>
      <c r="C3434" s="4" t="s">
        <v>487</v>
      </c>
      <c r="D3434" s="4">
        <v>28</v>
      </c>
      <c r="E3434" s="12" t="str">
        <f t="array" ref="E3434">IF(D3434:D7477="","",IFERROR(_xlfn.XLOOKUP(D3434:D7477,'参照_勢力'!A:A,'参照_勢力'!B:B),IFERROR(_xlfn.XLOOKUP(F3434:F7477,kunishuClan!A:A,kunishuClan!B:B),"浪人")))</f>
      </c>
      <c r="F3434" s="4">
        <v>0</v>
      </c>
      <c r="G3434" s="4">
        <v>249</v>
      </c>
      <c r="H3434" s="12" t="str">
        <f t="array" ref="H3434">IF(G3434:G7477="","",_xlfn.XLOOKUP(G3434:G7477,castles_state!A:A,castles_state!D:D,"見つかりません"))</f>
      </c>
      <c r="I3434" s="4"/>
      <c r="J3434" s="12" t="str">
        <f t="array" ref="J3434">IF(I3434:I7477="","",_xlfn.XLOOKUP(I3434:I7477,'参照_姫'!A:A,'参照_姫'!B:B,"見つかりません"))</f>
      </c>
      <c r="K3434" s="4">
        <v>95</v>
      </c>
      <c r="L3434" s="4">
        <v>0</v>
      </c>
      <c r="M3434" s="4"/>
      <c r="N3434" s="4"/>
      <c r="O3434" s="4"/>
      <c r="P3434" s="12" t="str">
        <f t="array" ref="P3434">IF(O3434:O7477="","",_xlfn.XLOOKUP(O3434:O7477,'参照_官位'!A:A,'参照_官位'!B:B,""))</f>
      </c>
      <c r="Q3434" s="12" t="str">
        <f t="array" ref="Q3434">IF(A3434:A7477="","",IFERROR(_xlfn.XLOOKUP(A3434:A7477,castles_state!K:K,castles_state!D:D)&amp;"主",IFERROR(_xlfn.XLOOKUP(A3434:A7477,kunishuClan!D:D,kunishuClan!B:B)&amp;"当主","")))</f>
      </c>
    </row>
    <row r="3435" ht="15.75" customHeight="1">
      <c r="A3435" s="4">
        <v>1215003</v>
      </c>
      <c r="B3435" s="12" t="str">
        <f t="array" ref="B3435">IF(A3435:A7478="","",_xlfn.XLOOKUP(A3435:A7478,'参照_武将'!A:A,'参照_武将'!B:B,"見つかりません"))</f>
      </c>
      <c r="C3435" s="4" t="s">
        <v>487</v>
      </c>
      <c r="D3435" s="4">
        <v>28</v>
      </c>
      <c r="E3435" s="12" t="str">
        <f t="array" ref="E3435">IF(D3435:D7478="","",IFERROR(_xlfn.XLOOKUP(D3435:D7478,'参照_勢力'!A:A,'参照_勢力'!B:B),IFERROR(_xlfn.XLOOKUP(F3435:F7478,kunishuClan!A:A,kunishuClan!B:B),"浪人")))</f>
      </c>
      <c r="F3435" s="4">
        <v>0</v>
      </c>
      <c r="G3435" s="4">
        <v>249</v>
      </c>
      <c r="H3435" s="12" t="str">
        <f t="array" ref="H3435">IF(G3435:G7478="","",_xlfn.XLOOKUP(G3435:G7478,castles_state!A:A,castles_state!D:D,"見つかりません"))</f>
      </c>
      <c r="I3435" s="4"/>
      <c r="J3435" s="12" t="str">
        <f t="array" ref="J3435">IF(I3435:I7478="","",_xlfn.XLOOKUP(I3435:I7478,'参照_姫'!A:A,'参照_姫'!B:B,"見つかりません"))</f>
      </c>
      <c r="K3435" s="4">
        <v>95</v>
      </c>
      <c r="L3435" s="4">
        <v>700</v>
      </c>
      <c r="M3435" s="4"/>
      <c r="N3435" s="4"/>
      <c r="O3435" s="4"/>
      <c r="P3435" s="12" t="str">
        <f t="array" ref="P3435">IF(O3435:O7478="","",_xlfn.XLOOKUP(O3435:O7478,'参照_官位'!A:A,'参照_官位'!B:B,""))</f>
      </c>
      <c r="Q3435" s="12" t="str">
        <f t="array" ref="Q3435">IF(A3435:A7478="","",IFERROR(_xlfn.XLOOKUP(A3435:A7478,castles_state!K:K,castles_state!D:D)&amp;"主",IFERROR(_xlfn.XLOOKUP(A3435:A7478,kunishuClan!D:D,kunishuClan!B:B)&amp;"当主","")))</f>
      </c>
    </row>
    <row r="3436" ht="15.75" customHeight="1">
      <c r="A3436" s="4">
        <v>1215004</v>
      </c>
      <c r="B3436" s="12" t="str">
        <f t="array" ref="B3436">IF(A3436:A7479="","",_xlfn.XLOOKUP(A3436:A7479,'参照_武将'!A:A,'参照_武将'!B:B,"見つかりません"))</f>
      </c>
      <c r="C3436" s="4" t="s">
        <v>487</v>
      </c>
      <c r="D3436" s="4">
        <v>215</v>
      </c>
      <c r="E3436" s="12" t="str">
        <f t="array" ref="E3436">IF(D3436:D7479="","",IFERROR(_xlfn.XLOOKUP(D3436:D7479,'参照_勢力'!A:A,'参照_勢力'!B:B),IFERROR(_xlfn.XLOOKUP(F3436:F7479,kunishuClan!A:A,kunishuClan!B:B),"浪人")))</f>
      </c>
      <c r="F3436" s="4">
        <v>0</v>
      </c>
      <c r="G3436" s="4">
        <v>249</v>
      </c>
      <c r="H3436" s="12" t="str">
        <f t="array" ref="H3436">IF(G3436:G7479="","",_xlfn.XLOOKUP(G3436:G7479,castles_state!A:A,castles_state!D:D,"見つかりません"))</f>
      </c>
      <c r="I3436" s="4"/>
      <c r="J3436" s="12" t="str">
        <f t="array" ref="J3436">IF(I3436:I7479="","",_xlfn.XLOOKUP(I3436:I7479,'参照_姫'!A:A,'参照_姫'!B:B,"見つかりません"))</f>
      </c>
      <c r="K3436" s="4">
        <v>100</v>
      </c>
      <c r="L3436" s="4">
        <v>1000</v>
      </c>
      <c r="M3436" s="4"/>
      <c r="N3436" s="4"/>
      <c r="O3436" s="4"/>
      <c r="P3436" s="12" t="str">
        <f t="array" ref="P3436">IF(O3436:O7479="","",_xlfn.XLOOKUP(O3436:O7479,'参照_官位'!A:A,'参照_官位'!B:B,""))</f>
      </c>
      <c r="Q3436" s="12" t="str">
        <f t="array" ref="Q3436">IF(A3436:A7479="","",IFERROR(_xlfn.XLOOKUP(A3436:A7479,castles_state!K:K,castles_state!D:D)&amp;"主",IFERROR(_xlfn.XLOOKUP(A3436:A7479,kunishuClan!D:D,kunishuClan!B:B)&amp;"当主","")))</f>
      </c>
    </row>
    <row r="3437" ht="15.75" customHeight="1">
      <c r="A3437" s="4">
        <v>1215005</v>
      </c>
      <c r="B3437" s="12" t="str">
        <f t="array" ref="B3437">IF(A3437:A7480="","",_xlfn.XLOOKUP(A3437:A7480,'参照_武将'!A:A,'参照_武将'!B:B,"見つかりません"))</f>
      </c>
      <c r="C3437" s="4" t="s">
        <v>487</v>
      </c>
      <c r="D3437" s="4">
        <v>215</v>
      </c>
      <c r="E3437" s="12" t="str">
        <f t="array" ref="E3437">IF(D3437:D7480="","",IFERROR(_xlfn.XLOOKUP(D3437:D7480,'参照_勢力'!A:A,'参照_勢力'!B:B),IFERROR(_xlfn.XLOOKUP(F3437:F7480,kunishuClan!A:A,kunishuClan!B:B),"浪人")))</f>
      </c>
      <c r="F3437" s="4">
        <v>0</v>
      </c>
      <c r="G3437" s="4">
        <v>249</v>
      </c>
      <c r="H3437" s="12" t="str">
        <f t="array" ref="H3437">IF(G3437:G7480="","",_xlfn.XLOOKUP(G3437:G7480,castles_state!A:A,castles_state!D:D,"見つかりません"))</f>
      </c>
      <c r="I3437" s="4"/>
      <c r="J3437" s="12" t="str">
        <f t="array" ref="J3437">IF(I3437:I7480="","",_xlfn.XLOOKUP(I3437:I7480,'参照_姫'!A:A,'参照_姫'!B:B,"見つかりません"))</f>
      </c>
      <c r="K3437" s="4">
        <v>80</v>
      </c>
      <c r="L3437" s="4">
        <v>500</v>
      </c>
      <c r="M3437" s="4"/>
      <c r="N3437" s="4"/>
      <c r="O3437" s="4"/>
      <c r="P3437" s="12" t="str">
        <f t="array" ref="P3437">IF(O3437:O7480="","",_xlfn.XLOOKUP(O3437:O7480,'参照_官位'!A:A,'参照_官位'!B:B,""))</f>
      </c>
      <c r="Q3437" s="12" t="str">
        <f t="array" ref="Q3437">IF(A3437:A7480="","",IFERROR(_xlfn.XLOOKUP(A3437:A7480,castles_state!K:K,castles_state!D:D)&amp;"主",IFERROR(_xlfn.XLOOKUP(A3437:A7480,kunishuClan!D:D,kunishuClan!B:B)&amp;"当主","")))</f>
      </c>
    </row>
    <row r="3438" ht="15.75" customHeight="1">
      <c r="A3438" s="4">
        <v>1215006</v>
      </c>
      <c r="B3438" s="12" t="str">
        <f t="array" ref="B3438">IF(A3438:A7481="","",_xlfn.XLOOKUP(A3438:A7481,'参照_武将'!A:A,'参照_武将'!B:B,"見つかりません"))</f>
      </c>
      <c r="C3438" s="4" t="s">
        <v>487</v>
      </c>
      <c r="D3438" s="4">
        <v>215</v>
      </c>
      <c r="E3438" s="12" t="str">
        <f t="array" ref="E3438">IF(D3438:D7481="","",IFERROR(_xlfn.XLOOKUP(D3438:D7481,'参照_勢力'!A:A,'参照_勢力'!B:B),IFERROR(_xlfn.XLOOKUP(F3438:F7481,kunishuClan!A:A,kunishuClan!B:B),"浪人")))</f>
      </c>
      <c r="F3438" s="4">
        <v>0</v>
      </c>
      <c r="G3438" s="4">
        <v>249</v>
      </c>
      <c r="H3438" s="12" t="str">
        <f t="array" ref="H3438">IF(G3438:G7481="","",_xlfn.XLOOKUP(G3438:G7481,castles_state!A:A,castles_state!D:D,"見つかりません"))</f>
      </c>
      <c r="I3438" s="4"/>
      <c r="J3438" s="12" t="str">
        <f t="array" ref="J3438">IF(I3438:I7481="","",_xlfn.XLOOKUP(I3438:I7481,'参照_姫'!A:A,'参照_姫'!B:B,"見つかりません"))</f>
      </c>
      <c r="K3438" s="4">
        <v>80</v>
      </c>
      <c r="L3438" s="4">
        <v>0</v>
      </c>
      <c r="M3438" s="4"/>
      <c r="N3438" s="4"/>
      <c r="O3438" s="4"/>
      <c r="P3438" s="12" t="str">
        <f t="array" ref="P3438">IF(O3438:O7481="","",_xlfn.XLOOKUP(O3438:O7481,'参照_官位'!A:A,'参照_官位'!B:B,""))</f>
      </c>
      <c r="Q3438" s="12" t="str">
        <f t="array" ref="Q3438">IF(A3438:A7481="","",IFERROR(_xlfn.XLOOKUP(A3438:A7481,castles_state!K:K,castles_state!D:D)&amp;"主",IFERROR(_xlfn.XLOOKUP(A3438:A7481,kunishuClan!D:D,kunishuClan!B:B)&amp;"当主","")))</f>
      </c>
    </row>
    <row r="3439" ht="15.75" customHeight="1">
      <c r="A3439" s="4">
        <v>1215007</v>
      </c>
      <c r="B3439" s="12" t="str">
        <f t="array" ref="B3439">IF(A3439:A7482="","",_xlfn.XLOOKUP(A3439:A7482,'参照_武将'!A:A,'参照_武将'!B:B,"見つかりません"))</f>
      </c>
      <c r="C3439" s="4" t="s">
        <v>487</v>
      </c>
      <c r="D3439" s="4">
        <v>28</v>
      </c>
      <c r="E3439" s="12" t="str">
        <f t="array" ref="E3439">IF(D3439:D7482="","",IFERROR(_xlfn.XLOOKUP(D3439:D7482,'参照_勢力'!A:A,'参照_勢力'!B:B),IFERROR(_xlfn.XLOOKUP(F3439:F7482,kunishuClan!A:A,kunishuClan!B:B),"浪人")))</f>
      </c>
      <c r="F3439" s="4">
        <v>0</v>
      </c>
      <c r="G3439" s="4">
        <v>248</v>
      </c>
      <c r="H3439" s="12" t="str">
        <f t="array" ref="H3439">IF(G3439:G7482="","",_xlfn.XLOOKUP(G3439:G7482,castles_state!A:A,castles_state!D:D,"見つかりません"))</f>
      </c>
      <c r="I3439" s="4"/>
      <c r="J3439" s="12" t="str">
        <f t="array" ref="J3439">IF(I3439:I7482="","",_xlfn.XLOOKUP(I3439:I7482,'参照_姫'!A:A,'参照_姫'!B:B,"見つかりません"))</f>
      </c>
      <c r="K3439" s="4">
        <v>100</v>
      </c>
      <c r="L3439" s="4">
        <v>400</v>
      </c>
      <c r="M3439" s="4"/>
      <c r="N3439" s="4"/>
      <c r="O3439" s="4"/>
      <c r="P3439" s="12" t="str">
        <f t="array" ref="P3439">IF(O3439:O7482="","",_xlfn.XLOOKUP(O3439:O7482,'参照_官位'!A:A,'参照_官位'!B:B,""))</f>
      </c>
      <c r="Q3439" s="12" t="str">
        <f t="array" ref="Q3439">IF(A3439:A7482="","",IFERROR(_xlfn.XLOOKUP(A3439:A7482,castles_state!K:K,castles_state!D:D)&amp;"主",IFERROR(_xlfn.XLOOKUP(A3439:A7482,kunishuClan!D:D,kunishuClan!B:B)&amp;"当主","")))</f>
      </c>
    </row>
    <row r="3440" ht="15.75" customHeight="1">
      <c r="A3440" s="4">
        <v>1215008</v>
      </c>
      <c r="B3440" s="12" t="str">
        <f t="array" ref="B3440">IF(A3440:A7483="","",_xlfn.XLOOKUP(A3440:A7483,'参照_武将'!A:A,'参照_武将'!B:B,"見つかりません"))</f>
      </c>
      <c r="C3440" s="4" t="s">
        <v>487</v>
      </c>
      <c r="D3440" s="4">
        <v>28</v>
      </c>
      <c r="E3440" s="12" t="str">
        <f t="array" ref="E3440">IF(D3440:D7483="","",IFERROR(_xlfn.XLOOKUP(D3440:D7483,'参照_勢力'!A:A,'参照_勢力'!B:B),IFERROR(_xlfn.XLOOKUP(F3440:F7483,kunishuClan!A:A,kunishuClan!B:B),"浪人")))</f>
      </c>
      <c r="F3440" s="4">
        <v>0</v>
      </c>
      <c r="G3440" s="4">
        <v>248</v>
      </c>
      <c r="H3440" s="12" t="str">
        <f t="array" ref="H3440">IF(G3440:G7483="","",_xlfn.XLOOKUP(G3440:G7483,castles_state!A:A,castles_state!D:D,"見つかりません"))</f>
      </c>
      <c r="I3440" s="4"/>
      <c r="J3440" s="12" t="str">
        <f t="array" ref="J3440">IF(I3440:I7483="","",_xlfn.XLOOKUP(I3440:I7483,'参照_姫'!A:A,'参照_姫'!B:B,"見つかりません"))</f>
      </c>
      <c r="K3440" s="4">
        <v>100</v>
      </c>
      <c r="L3440" s="4">
        <v>0</v>
      </c>
      <c r="M3440" s="4"/>
      <c r="N3440" s="4"/>
      <c r="O3440" s="4"/>
      <c r="P3440" s="12" t="str">
        <f t="array" ref="P3440">IF(O3440:O7483="","",_xlfn.XLOOKUP(O3440:O7483,'参照_官位'!A:A,'参照_官位'!B:B,""))</f>
      </c>
      <c r="Q3440" s="12" t="str">
        <f t="array" ref="Q3440">IF(A3440:A7483="","",IFERROR(_xlfn.XLOOKUP(A3440:A7483,castles_state!K:K,castles_state!D:D)&amp;"主",IFERROR(_xlfn.XLOOKUP(A3440:A7483,kunishuClan!D:D,kunishuClan!B:B)&amp;"当主","")))</f>
      </c>
    </row>
    <row r="3441" ht="15.75" customHeight="1">
      <c r="A3441" s="4">
        <v>1215009</v>
      </c>
      <c r="B3441" s="12" t="str">
        <f t="array" ref="B3441">IF(A3441:A7484="","",_xlfn.XLOOKUP(A3441:A7484,'参照_武将'!A:A,'参照_武将'!B:B,"見つかりません"))</f>
      </c>
      <c r="C3441" s="4" t="s">
        <v>487</v>
      </c>
      <c r="D3441" s="4">
        <v>28</v>
      </c>
      <c r="E3441" s="12" t="str">
        <f t="array" ref="E3441">IF(D3441:D7484="","",IFERROR(_xlfn.XLOOKUP(D3441:D7484,'参照_勢力'!A:A,'参照_勢力'!B:B),IFERROR(_xlfn.XLOOKUP(F3441:F7484,kunishuClan!A:A,kunishuClan!B:B),"浪人")))</f>
      </c>
      <c r="F3441" s="4">
        <v>0</v>
      </c>
      <c r="G3441" s="4">
        <v>248</v>
      </c>
      <c r="H3441" s="12" t="str">
        <f t="array" ref="H3441">IF(G3441:G7484="","",_xlfn.XLOOKUP(G3441:G7484,castles_state!A:A,castles_state!D:D,"見つかりません"))</f>
      </c>
      <c r="I3441" s="4"/>
      <c r="J3441" s="12" t="str">
        <f t="array" ref="J3441">IF(I3441:I7484="","",_xlfn.XLOOKUP(I3441:I7484,'参照_姫'!A:A,'参照_姫'!B:B,"見つかりません"))</f>
      </c>
      <c r="K3441" s="4">
        <v>100</v>
      </c>
      <c r="L3441" s="4">
        <v>0</v>
      </c>
      <c r="M3441" s="4"/>
      <c r="N3441" s="4"/>
      <c r="O3441" s="4"/>
      <c r="P3441" s="12" t="str">
        <f t="array" ref="P3441">IF(O3441:O7484="","",_xlfn.XLOOKUP(O3441:O7484,'参照_官位'!A:A,'参照_官位'!B:B,""))</f>
      </c>
      <c r="Q3441" s="12" t="str">
        <f t="array" ref="Q3441">IF(A3441:A7484="","",IFERROR(_xlfn.XLOOKUP(A3441:A7484,castles_state!K:K,castles_state!D:D)&amp;"主",IFERROR(_xlfn.XLOOKUP(A3441:A7484,kunishuClan!D:D,kunishuClan!B:B)&amp;"当主","")))</f>
      </c>
    </row>
    <row r="3442" ht="15.75" customHeight="1">
      <c r="A3442" s="4">
        <v>1215010</v>
      </c>
      <c r="B3442" s="12" t="str">
        <f t="array" ref="B3442">IF(A3442:A7485="","",_xlfn.XLOOKUP(A3442:A7485,'参照_武将'!A:A,'参照_武将'!B:B,"見つかりません"))</f>
      </c>
      <c r="C3442" s="4" t="s">
        <v>487</v>
      </c>
      <c r="D3442" s="4">
        <v>28</v>
      </c>
      <c r="E3442" s="12" t="str">
        <f t="array" ref="E3442">IF(D3442:D7485="","",IFERROR(_xlfn.XLOOKUP(D3442:D7485,'参照_勢力'!A:A,'参照_勢力'!B:B),IFERROR(_xlfn.XLOOKUP(F3442:F7485,kunishuClan!A:A,kunishuClan!B:B),"浪人")))</f>
      </c>
      <c r="F3442" s="4">
        <v>0</v>
      </c>
      <c r="G3442" s="4">
        <v>248</v>
      </c>
      <c r="H3442" s="12" t="str">
        <f t="array" ref="H3442">IF(G3442:G7485="","",_xlfn.XLOOKUP(G3442:G7485,castles_state!A:A,castles_state!D:D,"見つかりません"))</f>
      </c>
      <c r="I3442" s="4"/>
      <c r="J3442" s="12" t="str">
        <f t="array" ref="J3442">IF(I3442:I7485="","",_xlfn.XLOOKUP(I3442:I7485,'参照_姫'!A:A,'参照_姫'!B:B,"見つかりません"))</f>
      </c>
      <c r="K3442" s="4">
        <v>100</v>
      </c>
      <c r="L3442" s="4">
        <v>0</v>
      </c>
      <c r="M3442" s="4"/>
      <c r="N3442" s="4"/>
      <c r="O3442" s="4"/>
      <c r="P3442" s="12" t="str">
        <f t="array" ref="P3442">IF(O3442:O7485="","",_xlfn.XLOOKUP(O3442:O7485,'参照_官位'!A:A,'参照_官位'!B:B,""))</f>
      </c>
      <c r="Q3442" s="12" t="str">
        <f t="array" ref="Q3442">IF(A3442:A7485="","",IFERROR(_xlfn.XLOOKUP(A3442:A7485,castles_state!K:K,castles_state!D:D)&amp;"主",IFERROR(_xlfn.XLOOKUP(A3442:A7485,kunishuClan!D:D,kunishuClan!B:B)&amp;"当主","")))</f>
      </c>
    </row>
    <row r="3443" ht="15.75" customHeight="1">
      <c r="A3443" s="4">
        <v>1215011</v>
      </c>
      <c r="B3443" s="12" t="str">
        <f t="array" ref="B3443">IF(A3443:A7486="","",_xlfn.XLOOKUP(A3443:A7486,'参照_武将'!A:A,'参照_武将'!B:B,"見つかりません"))</f>
      </c>
      <c r="C3443" s="4" t="s">
        <v>487</v>
      </c>
      <c r="D3443" s="4">
        <v>215</v>
      </c>
      <c r="E3443" s="12" t="str">
        <f t="array" ref="E3443">IF(D3443:D7486="","",IFERROR(_xlfn.XLOOKUP(D3443:D7486,'参照_勢力'!A:A,'参照_勢力'!B:B),IFERROR(_xlfn.XLOOKUP(F3443:F7486,kunishuClan!A:A,kunishuClan!B:B),"浪人")))</f>
      </c>
      <c r="F3443" s="4">
        <v>0</v>
      </c>
      <c r="G3443" s="4">
        <v>249</v>
      </c>
      <c r="H3443" s="12" t="str">
        <f t="array" ref="H3443">IF(G3443:G7486="","",_xlfn.XLOOKUP(G3443:G7486,castles_state!A:A,castles_state!D:D,"見つかりません"))</f>
      </c>
      <c r="I3443" s="4"/>
      <c r="J3443" s="12" t="str">
        <f t="array" ref="J3443">IF(I3443:I7486="","",_xlfn.XLOOKUP(I3443:I7486,'参照_姫'!A:A,'参照_姫'!B:B,"見つかりません"))</f>
      </c>
      <c r="K3443" s="4">
        <v>80</v>
      </c>
      <c r="L3443" s="4">
        <v>0</v>
      </c>
      <c r="M3443" s="4"/>
      <c r="N3443" s="4"/>
      <c r="O3443" s="4"/>
      <c r="P3443" s="12" t="str">
        <f t="array" ref="P3443">IF(O3443:O7486="","",_xlfn.XLOOKUP(O3443:O7486,'参照_官位'!A:A,'参照_官位'!B:B,""))</f>
      </c>
      <c r="Q3443" s="12" t="str">
        <f t="array" ref="Q3443">IF(A3443:A7486="","",IFERROR(_xlfn.XLOOKUP(A3443:A7486,castles_state!K:K,castles_state!D:D)&amp;"主",IFERROR(_xlfn.XLOOKUP(A3443:A7486,kunishuClan!D:D,kunishuClan!B:B)&amp;"当主","")))</f>
      </c>
    </row>
    <row r="3444" ht="15.75" customHeight="1">
      <c r="A3444" s="4">
        <v>1215012</v>
      </c>
      <c r="B3444" s="12" t="str">
        <f t="array" ref="B3444">IF(A3444:A7487="","",_xlfn.XLOOKUP(A3444:A7487,'参照_武将'!A:A,'参照_武将'!B:B,"見つかりません"))</f>
      </c>
      <c r="C3444" s="4" t="s">
        <v>487</v>
      </c>
      <c r="D3444" s="4">
        <v>215</v>
      </c>
      <c r="E3444" s="12" t="str">
        <f t="array" ref="E3444">IF(D3444:D7487="","",IFERROR(_xlfn.XLOOKUP(D3444:D7487,'参照_勢力'!A:A,'参照_勢力'!B:B),IFERROR(_xlfn.XLOOKUP(F3444:F7487,kunishuClan!A:A,kunishuClan!B:B),"浪人")))</f>
      </c>
      <c r="F3444" s="4">
        <v>0</v>
      </c>
      <c r="G3444" s="4">
        <v>249</v>
      </c>
      <c r="H3444" s="12" t="str">
        <f t="array" ref="H3444">IF(G3444:G7487="","",_xlfn.XLOOKUP(G3444:G7487,castles_state!A:A,castles_state!D:D,"見つかりません"))</f>
      </c>
      <c r="I3444" s="4"/>
      <c r="J3444" s="12" t="str">
        <f t="array" ref="J3444">IF(I3444:I7487="","",_xlfn.XLOOKUP(I3444:I7487,'参照_姫'!A:A,'参照_姫'!B:B,"見つかりません"))</f>
      </c>
      <c r="K3444" s="4">
        <v>80</v>
      </c>
      <c r="L3444" s="4">
        <v>0</v>
      </c>
      <c r="M3444" s="4"/>
      <c r="N3444" s="4"/>
      <c r="O3444" s="4"/>
      <c r="P3444" s="12" t="str">
        <f t="array" ref="P3444">IF(O3444:O7487="","",_xlfn.XLOOKUP(O3444:O7487,'参照_官位'!A:A,'参照_官位'!B:B,""))</f>
      </c>
      <c r="Q3444" s="12" t="str">
        <f t="array" ref="Q3444">IF(A3444:A7487="","",IFERROR(_xlfn.XLOOKUP(A3444:A7487,castles_state!K:K,castles_state!D:D)&amp;"主",IFERROR(_xlfn.XLOOKUP(A3444:A7487,kunishuClan!D:D,kunishuClan!B:B)&amp;"当主","")))</f>
      </c>
    </row>
    <row r="3445" ht="15.75" customHeight="1">
      <c r="A3445" s="4">
        <v>1215013</v>
      </c>
      <c r="B3445" s="12" t="str">
        <f t="array" ref="B3445">IF(A3445:A7488="","",_xlfn.XLOOKUP(A3445:A7488,'参照_武将'!A:A,'参照_武将'!B:B,"見つかりません"))</f>
      </c>
      <c r="C3445" s="4" t="s">
        <v>487</v>
      </c>
      <c r="D3445" s="4">
        <v>215</v>
      </c>
      <c r="E3445" s="12" t="str">
        <f t="array" ref="E3445">IF(D3445:D7488="","",IFERROR(_xlfn.XLOOKUP(D3445:D7488,'参照_勢力'!A:A,'参照_勢力'!B:B),IFERROR(_xlfn.XLOOKUP(F3445:F7488,kunishuClan!A:A,kunishuClan!B:B),"浪人")))</f>
      </c>
      <c r="F3445" s="4">
        <v>0</v>
      </c>
      <c r="G3445" s="4">
        <v>249</v>
      </c>
      <c r="H3445" s="12" t="str">
        <f t="array" ref="H3445">IF(G3445:G7488="","",_xlfn.XLOOKUP(G3445:G7488,castles_state!A:A,castles_state!D:D,"見つかりません"))</f>
      </c>
      <c r="I3445" s="4"/>
      <c r="J3445" s="12" t="str">
        <f t="array" ref="J3445">IF(I3445:I7488="","",_xlfn.XLOOKUP(I3445:I7488,'参照_姫'!A:A,'参照_姫'!B:B,"見つかりません"))</f>
      </c>
      <c r="K3445" s="4">
        <v>90</v>
      </c>
      <c r="L3445" s="4">
        <v>200</v>
      </c>
      <c r="M3445" s="4"/>
      <c r="N3445" s="4"/>
      <c r="O3445" s="4"/>
      <c r="P3445" s="12" t="str">
        <f t="array" ref="P3445">IF(O3445:O7488="","",_xlfn.XLOOKUP(O3445:O7488,'参照_官位'!A:A,'参照_官位'!B:B,""))</f>
      </c>
      <c r="Q3445" s="12" t="str">
        <f t="array" ref="Q3445">IF(A3445:A7488="","",IFERROR(_xlfn.XLOOKUP(A3445:A7488,castles_state!K:K,castles_state!D:D)&amp;"主",IFERROR(_xlfn.XLOOKUP(A3445:A7488,kunishuClan!D:D,kunishuClan!B:B)&amp;"当主","")))</f>
      </c>
    </row>
    <row r="3446" ht="15.75" customHeight="1">
      <c r="A3446" s="4">
        <v>1215014</v>
      </c>
      <c r="B3446" s="12" t="str">
        <f t="array" ref="B3446">IF(A3446:A7489="","",_xlfn.XLOOKUP(A3446:A7489,'参照_武将'!A:A,'参照_武将'!B:B,"見つかりません"))</f>
      </c>
      <c r="C3446" s="4" t="s">
        <v>487</v>
      </c>
      <c r="D3446" s="4">
        <v>215</v>
      </c>
      <c r="E3446" s="12" t="str">
        <f t="array" ref="E3446">IF(D3446:D7489="","",IFERROR(_xlfn.XLOOKUP(D3446:D7489,'参照_勢力'!A:A,'参照_勢力'!B:B),IFERROR(_xlfn.XLOOKUP(F3446:F7489,kunishuClan!A:A,kunishuClan!B:B),"浪人")))</f>
      </c>
      <c r="F3446" s="4">
        <v>0</v>
      </c>
      <c r="G3446" s="4">
        <v>249</v>
      </c>
      <c r="H3446" s="12" t="str">
        <f t="array" ref="H3446">IF(G3446:G7489="","",_xlfn.XLOOKUP(G3446:G7489,castles_state!A:A,castles_state!D:D,"見つかりません"))</f>
      </c>
      <c r="I3446" s="4"/>
      <c r="J3446" s="12" t="str">
        <f t="array" ref="J3446">IF(I3446:I7489="","",_xlfn.XLOOKUP(I3446:I7489,'参照_姫'!A:A,'参照_姫'!B:B,"見つかりません"))</f>
      </c>
      <c r="K3446" s="4">
        <v>80</v>
      </c>
      <c r="L3446" s="4">
        <v>0</v>
      </c>
      <c r="M3446" s="4" t="b">
        <v>1</v>
      </c>
      <c r="N3446" s="4"/>
      <c r="O3446" s="4"/>
      <c r="P3446" s="12" t="str">
        <f t="array" ref="P3446">IF(O3446:O7489="","",_xlfn.XLOOKUP(O3446:O7489,'参照_官位'!A:A,'参照_官位'!B:B,""))</f>
      </c>
      <c r="Q3446" s="12" t="str">
        <f t="array" ref="Q3446">IF(A3446:A7489="","",IFERROR(_xlfn.XLOOKUP(A3446:A7489,castles_state!K:K,castles_state!D:D)&amp;"主",IFERROR(_xlfn.XLOOKUP(A3446:A7489,kunishuClan!D:D,kunishuClan!B:B)&amp;"当主","")))</f>
      </c>
    </row>
    <row r="3447" ht="15.75" customHeight="1">
      <c r="A3447" s="4">
        <v>1215015</v>
      </c>
      <c r="B3447" s="12" t="str">
        <f t="array" ref="B3447">IF(A3447:A7490="","",_xlfn.XLOOKUP(A3447:A7490,'参照_武将'!A:A,'参照_武将'!B:B,"見つかりません"))</f>
      </c>
      <c r="C3447" s="4" t="s">
        <v>487</v>
      </c>
      <c r="D3447" s="4">
        <v>215</v>
      </c>
      <c r="E3447" s="12" t="str">
        <f t="array" ref="E3447">IF(D3447:D7490="","",IFERROR(_xlfn.XLOOKUP(D3447:D7490,'参照_勢力'!A:A,'参照_勢力'!B:B),IFERROR(_xlfn.XLOOKUP(F3447:F7490,kunishuClan!A:A,kunishuClan!B:B),"浪人")))</f>
      </c>
      <c r="F3447" s="4">
        <v>0</v>
      </c>
      <c r="G3447" s="4">
        <v>249</v>
      </c>
      <c r="H3447" s="12" t="str">
        <f t="array" ref="H3447">IF(G3447:G7490="","",_xlfn.XLOOKUP(G3447:G7490,castles_state!A:A,castles_state!D:D,"見つかりません"))</f>
      </c>
      <c r="I3447" s="4"/>
      <c r="J3447" s="12" t="str">
        <f t="array" ref="J3447">IF(I3447:I7490="","",_xlfn.XLOOKUP(I3447:I7490,'参照_姫'!A:A,'参照_姫'!B:B,"見つかりません"))</f>
      </c>
      <c r="K3447" s="4">
        <v>80</v>
      </c>
      <c r="L3447" s="4">
        <v>0</v>
      </c>
      <c r="M3447" s="4"/>
      <c r="N3447" s="4"/>
      <c r="O3447" s="4"/>
      <c r="P3447" s="12" t="str">
        <f t="array" ref="P3447">IF(O3447:O7490="","",_xlfn.XLOOKUP(O3447:O7490,'参照_官位'!A:A,'参照_官位'!B:B,""))</f>
      </c>
      <c r="Q3447" s="12" t="str">
        <f t="array" ref="Q3447">IF(A3447:A7490="","",IFERROR(_xlfn.XLOOKUP(A3447:A7490,castles_state!K:K,castles_state!D:D)&amp;"主",IFERROR(_xlfn.XLOOKUP(A3447:A7490,kunishuClan!D:D,kunishuClan!B:B)&amp;"当主","")))</f>
      </c>
    </row>
    <row r="3448" ht="15.75" customHeight="1">
      <c r="A3448" s="4">
        <v>1215016</v>
      </c>
      <c r="B3448" s="12" t="str">
        <f t="array" ref="B3448">IF(A3448:A7491="","",_xlfn.XLOOKUP(A3448:A7491,'参照_武将'!A:A,'参照_武将'!B:B,"見つかりません"))</f>
      </c>
      <c r="C3448" s="4" t="s">
        <v>487</v>
      </c>
      <c r="D3448" s="4">
        <v>215</v>
      </c>
      <c r="E3448" s="12" t="str">
        <f t="array" ref="E3448">IF(D3448:D7491="","",IFERROR(_xlfn.XLOOKUP(D3448:D7491,'参照_勢力'!A:A,'参照_勢力'!B:B),IFERROR(_xlfn.XLOOKUP(F3448:F7491,kunishuClan!A:A,kunishuClan!B:B),"浪人")))</f>
      </c>
      <c r="F3448" s="4">
        <v>0</v>
      </c>
      <c r="G3448" s="4">
        <v>249</v>
      </c>
      <c r="H3448" s="12" t="str">
        <f t="array" ref="H3448">IF(G3448:G7491="","",_xlfn.XLOOKUP(G3448:G7491,castles_state!A:A,castles_state!D:D,"見つかりません"))</f>
      </c>
      <c r="I3448" s="4"/>
      <c r="J3448" s="12" t="str">
        <f t="array" ref="J3448">IF(I3448:I7491="","",_xlfn.XLOOKUP(I3448:I7491,'参照_姫'!A:A,'参照_姫'!B:B,"見つかりません"))</f>
      </c>
      <c r="K3448" s="4">
        <v>80</v>
      </c>
      <c r="L3448" s="4">
        <v>0</v>
      </c>
      <c r="M3448" s="4"/>
      <c r="N3448" s="4"/>
      <c r="O3448" s="4"/>
      <c r="P3448" s="12" t="str">
        <f t="array" ref="P3448">IF(O3448:O7491="","",_xlfn.XLOOKUP(O3448:O7491,'参照_官位'!A:A,'参照_官位'!B:B,""))</f>
      </c>
      <c r="Q3448" s="12" t="str">
        <f t="array" ref="Q3448">IF(A3448:A7491="","",IFERROR(_xlfn.XLOOKUP(A3448:A7491,castles_state!K:K,castles_state!D:D)&amp;"主",IFERROR(_xlfn.XLOOKUP(A3448:A7491,kunishuClan!D:D,kunishuClan!B:B)&amp;"当主","")))</f>
      </c>
    </row>
    <row r="3449" ht="15.75" customHeight="1">
      <c r="A3449" s="4">
        <v>1215017</v>
      </c>
      <c r="B3449" s="12" t="str">
        <f t="array" ref="B3449">IF(A3449:A7492="","",_xlfn.XLOOKUP(A3449:A7492,'参照_武将'!A:A,'参照_武将'!B:B,"見つかりません"))</f>
      </c>
      <c r="C3449" s="4" t="s">
        <v>487</v>
      </c>
      <c r="D3449" s="4">
        <v>215</v>
      </c>
      <c r="E3449" s="12" t="str">
        <f t="array" ref="E3449">IF(D3449:D7492="","",IFERROR(_xlfn.XLOOKUP(D3449:D7492,'参照_勢力'!A:A,'参照_勢力'!B:B),IFERROR(_xlfn.XLOOKUP(F3449:F7492,kunishuClan!A:A,kunishuClan!B:B),"浪人")))</f>
      </c>
      <c r="F3449" s="4">
        <v>0</v>
      </c>
      <c r="G3449" s="4">
        <v>249</v>
      </c>
      <c r="H3449" s="12" t="str">
        <f t="array" ref="H3449">IF(G3449:G7492="","",_xlfn.XLOOKUP(G3449:G7492,castles_state!A:A,castles_state!D:D,"見つかりません"))</f>
      </c>
      <c r="I3449" s="4"/>
      <c r="J3449" s="12" t="str">
        <f t="array" ref="J3449">IF(I3449:I7492="","",_xlfn.XLOOKUP(I3449:I7492,'参照_姫'!A:A,'参照_姫'!B:B,"見つかりません"))</f>
      </c>
      <c r="K3449" s="4">
        <v>80</v>
      </c>
      <c r="L3449" s="4">
        <v>0</v>
      </c>
      <c r="M3449" s="4"/>
      <c r="N3449" s="4"/>
      <c r="O3449" s="4"/>
      <c r="P3449" s="12" t="str">
        <f t="array" ref="P3449">IF(O3449:O7492="","",_xlfn.XLOOKUP(O3449:O7492,'参照_官位'!A:A,'参照_官位'!B:B,""))</f>
      </c>
      <c r="Q3449" s="12" t="str">
        <f t="array" ref="Q3449">IF(A3449:A7492="","",IFERROR(_xlfn.XLOOKUP(A3449:A7492,castles_state!K:K,castles_state!D:D)&amp;"主",IFERROR(_xlfn.XLOOKUP(A3449:A7492,kunishuClan!D:D,kunishuClan!B:B)&amp;"当主","")))</f>
      </c>
    </row>
    <row r="3450" ht="15.75" customHeight="1">
      <c r="A3450" s="4">
        <v>1216001</v>
      </c>
      <c r="B3450" s="12" t="str">
        <f t="array" ref="B3450">IF(A3450:A7493="","",_xlfn.XLOOKUP(A3450:A7493,'参照_武将'!A:A,'参照_武将'!B:B,"見つかりません"))</f>
      </c>
      <c r="C3450" s="4" t="s">
        <v>490</v>
      </c>
      <c r="D3450" s="4">
        <v>0</v>
      </c>
      <c r="E3450" s="12" t="str">
        <f t="array" ref="E3450">IF(D3450:D7493="","",IFERROR(_xlfn.XLOOKUP(D3450:D7493,'参照_勢力'!A:A,'参照_勢力'!B:B),IFERROR(_xlfn.XLOOKUP(F3450:F7493,kunishuClan!A:A,kunishuClan!B:B),"浪人")))</f>
      </c>
      <c r="F3450" s="4">
        <v>0</v>
      </c>
      <c r="G3450" s="4">
        <v>123</v>
      </c>
      <c r="H3450" s="12" t="str">
        <f t="array" ref="H3450">IF(G3450:G7493="","",_xlfn.XLOOKUP(G3450:G7493,castles_state!A:A,castles_state!D:D,"見つかりません"))</f>
      </c>
      <c r="I3450" s="4"/>
      <c r="J3450" s="12" t="str">
        <f t="array" ref="J3450">IF(I3450:I7493="","",_xlfn.XLOOKUP(I3450:I7493,'参照_姫'!A:A,'参照_姫'!B:B,"見つかりません"))</f>
      </c>
      <c r="K3450" s="4">
        <v>50</v>
      </c>
      <c r="L3450" s="4">
        <v>0</v>
      </c>
      <c r="M3450" s="4"/>
      <c r="N3450" s="4"/>
      <c r="O3450" s="4"/>
      <c r="P3450" s="12" t="str">
        <f t="array" ref="P3450">IF(O3450:O7493="","",_xlfn.XLOOKUP(O3450:O7493,'参照_官位'!A:A,'参照_官位'!B:B,""))</f>
      </c>
      <c r="Q3450" s="12" t="str">
        <f t="array" ref="Q3450">IF(A3450:A7493="","",IFERROR(_xlfn.XLOOKUP(A3450:A7493,castles_state!K:K,castles_state!D:D)&amp;"主",IFERROR(_xlfn.XLOOKUP(A3450:A7493,kunishuClan!D:D,kunishuClan!B:B)&amp;"当主","")))</f>
      </c>
    </row>
    <row r="3451" ht="15.75" customHeight="1">
      <c r="A3451" s="4">
        <v>1216002</v>
      </c>
      <c r="B3451" s="12" t="str">
        <f t="array" ref="B3451">IF(A3451:A7494="","",_xlfn.XLOOKUP(A3451:A7494,'参照_武将'!A:A,'参照_武将'!B:B,"見つかりません"))</f>
      </c>
      <c r="C3451" s="4" t="s">
        <v>490</v>
      </c>
      <c r="D3451" s="4">
        <v>0</v>
      </c>
      <c r="E3451" s="12" t="str">
        <f t="array" ref="E3451">IF(D3451:D7494="","",IFERROR(_xlfn.XLOOKUP(D3451:D7494,'参照_勢力'!A:A,'参照_勢力'!B:B),IFERROR(_xlfn.XLOOKUP(F3451:F7494,kunishuClan!A:A,kunishuClan!B:B),"浪人")))</f>
      </c>
      <c r="F3451" s="4">
        <v>0</v>
      </c>
      <c r="G3451" s="4">
        <v>123</v>
      </c>
      <c r="H3451" s="12" t="str">
        <f t="array" ref="H3451">IF(G3451:G7494="","",_xlfn.XLOOKUP(G3451:G7494,castles_state!A:A,castles_state!D:D,"見つかりません"))</f>
      </c>
      <c r="I3451" s="4"/>
      <c r="J3451" s="12" t="str">
        <f t="array" ref="J3451">IF(I3451:I7494="","",_xlfn.XLOOKUP(I3451:I7494,'参照_姫'!A:A,'参照_姫'!B:B,"見つかりません"))</f>
      </c>
      <c r="K3451" s="4">
        <v>50</v>
      </c>
      <c r="L3451" s="4">
        <v>0</v>
      </c>
      <c r="M3451" s="4"/>
      <c r="N3451" s="4"/>
      <c r="O3451" s="4"/>
      <c r="P3451" s="12" t="str">
        <f t="array" ref="P3451">IF(O3451:O7494="","",_xlfn.XLOOKUP(O3451:O7494,'参照_官位'!A:A,'参照_官位'!B:B,""))</f>
      </c>
      <c r="Q3451" s="12" t="str">
        <f t="array" ref="Q3451">IF(A3451:A7494="","",IFERROR(_xlfn.XLOOKUP(A3451:A7494,castles_state!K:K,castles_state!D:D)&amp;"主",IFERROR(_xlfn.XLOOKUP(A3451:A7494,kunishuClan!D:D,kunishuClan!B:B)&amp;"当主","")))</f>
      </c>
    </row>
    <row r="3452" ht="15.75" customHeight="1">
      <c r="A3452" s="4">
        <v>1216003</v>
      </c>
      <c r="B3452" s="12" t="str">
        <f t="array" ref="B3452">IF(A3452:A7495="","",_xlfn.XLOOKUP(A3452:A7495,'参照_武将'!A:A,'参照_武将'!B:B,"見つかりません"))</f>
      </c>
      <c r="C3452" s="4" t="s">
        <v>490</v>
      </c>
      <c r="D3452" s="4">
        <v>0</v>
      </c>
      <c r="E3452" s="12" t="str">
        <f t="array" ref="E3452">IF(D3452:D7495="","",IFERROR(_xlfn.XLOOKUP(D3452:D7495,'参照_勢力'!A:A,'参照_勢力'!B:B),IFERROR(_xlfn.XLOOKUP(F3452:F7495,kunishuClan!A:A,kunishuClan!B:B),"浪人")))</f>
      </c>
      <c r="F3452" s="4">
        <v>0</v>
      </c>
      <c r="G3452" s="4">
        <v>123</v>
      </c>
      <c r="H3452" s="12" t="str">
        <f t="array" ref="H3452">IF(G3452:G7495="","",_xlfn.XLOOKUP(G3452:G7495,castles_state!A:A,castles_state!D:D,"見つかりません"))</f>
      </c>
      <c r="I3452" s="4"/>
      <c r="J3452" s="12" t="str">
        <f t="array" ref="J3452">IF(I3452:I7495="","",_xlfn.XLOOKUP(I3452:I7495,'参照_姫'!A:A,'参照_姫'!B:B,"見つかりません"))</f>
      </c>
      <c r="K3452" s="4">
        <v>50</v>
      </c>
      <c r="L3452" s="4">
        <v>1500</v>
      </c>
      <c r="M3452" s="4"/>
      <c r="N3452" s="4"/>
      <c r="O3452" s="4"/>
      <c r="P3452" s="12" t="str">
        <f t="array" ref="P3452">IF(O3452:O7495="","",_xlfn.XLOOKUP(O3452:O7495,'参照_官位'!A:A,'参照_官位'!B:B,""))</f>
      </c>
      <c r="Q3452" s="12" t="str">
        <f t="array" ref="Q3452">IF(A3452:A7495="","",IFERROR(_xlfn.XLOOKUP(A3452:A7495,castles_state!K:K,castles_state!D:D)&amp;"主",IFERROR(_xlfn.XLOOKUP(A3452:A7495,kunishuClan!D:D,kunishuClan!B:B)&amp;"当主","")))</f>
      </c>
    </row>
    <row r="3453" ht="15.75" customHeight="1">
      <c r="A3453" s="4">
        <v>1216004</v>
      </c>
      <c r="B3453" s="12" t="str">
        <f t="array" ref="B3453">IF(A3453:A7496="","",_xlfn.XLOOKUP(A3453:A7496,'参照_武将'!A:A,'参照_武将'!B:B,"見つかりません"))</f>
      </c>
      <c r="C3453" s="4" t="s">
        <v>490</v>
      </c>
      <c r="D3453" s="4">
        <v>0</v>
      </c>
      <c r="E3453" s="12" t="str">
        <f t="array" ref="E3453">IF(D3453:D7496="","",IFERROR(_xlfn.XLOOKUP(D3453:D7496,'参照_勢力'!A:A,'参照_勢力'!B:B),IFERROR(_xlfn.XLOOKUP(F3453:F7496,kunishuClan!A:A,kunishuClan!B:B),"浪人")))</f>
      </c>
      <c r="F3453" s="4">
        <v>0</v>
      </c>
      <c r="G3453" s="4">
        <v>123</v>
      </c>
      <c r="H3453" s="12" t="str">
        <f t="array" ref="H3453">IF(G3453:G7496="","",_xlfn.XLOOKUP(G3453:G7496,castles_state!A:A,castles_state!D:D,"見つかりません"))</f>
      </c>
      <c r="I3453" s="4"/>
      <c r="J3453" s="12" t="str">
        <f t="array" ref="J3453">IF(I3453:I7496="","",_xlfn.XLOOKUP(I3453:I7496,'参照_姫'!A:A,'参照_姫'!B:B,"見つかりません"))</f>
      </c>
      <c r="K3453" s="4">
        <v>50</v>
      </c>
      <c r="L3453" s="4">
        <v>0</v>
      </c>
      <c r="M3453" s="4"/>
      <c r="N3453" s="4"/>
      <c r="O3453" s="4"/>
      <c r="P3453" s="12" t="str">
        <f t="array" ref="P3453">IF(O3453:O7496="","",_xlfn.XLOOKUP(O3453:O7496,'参照_官位'!A:A,'参照_官位'!B:B,""))</f>
      </c>
      <c r="Q3453" s="12" t="str">
        <f t="array" ref="Q3453">IF(A3453:A7496="","",IFERROR(_xlfn.XLOOKUP(A3453:A7496,castles_state!K:K,castles_state!D:D)&amp;"主",IFERROR(_xlfn.XLOOKUP(A3453:A7496,kunishuClan!D:D,kunishuClan!B:B)&amp;"当主","")))</f>
      </c>
    </row>
    <row r="3454" ht="15.75" customHeight="1">
      <c r="A3454" s="4">
        <v>1216005</v>
      </c>
      <c r="B3454" s="12" t="str">
        <f t="array" ref="B3454">IF(A3454:A7497="","",_xlfn.XLOOKUP(A3454:A7497,'参照_武将'!A:A,'参照_武将'!B:B,"見つかりません"))</f>
      </c>
      <c r="C3454" s="4" t="s">
        <v>259</v>
      </c>
      <c r="D3454" s="4">
        <v>53</v>
      </c>
      <c r="E3454" s="12" t="str">
        <f t="array" ref="E3454">IF(D3454:D7497="","",IFERROR(_xlfn.XLOOKUP(D3454:D7497,'参照_勢力'!A:A,'参照_勢力'!B:B),IFERROR(_xlfn.XLOOKUP(F3454:F7497,kunishuClan!A:A,kunishuClan!B:B),"浪人")))</f>
      </c>
      <c r="F3454" s="4">
        <v>0</v>
      </c>
      <c r="G3454" s="4">
        <v>146</v>
      </c>
      <c r="H3454" s="12" t="str">
        <f t="array" ref="H3454">IF(G3454:G7497="","",_xlfn.XLOOKUP(G3454:G7497,castles_state!A:A,castles_state!D:D,"見つかりません"))</f>
      </c>
      <c r="I3454" s="4"/>
      <c r="J3454" s="12" t="str">
        <f t="array" ref="J3454">IF(I3454:I7497="","",_xlfn.XLOOKUP(I3454:I7497,'参照_姫'!A:A,'参照_姫'!B:B,"見つかりません"))</f>
      </c>
      <c r="K3454" s="4">
        <v>95</v>
      </c>
      <c r="L3454" s="4">
        <v>500</v>
      </c>
      <c r="M3454" s="4"/>
      <c r="N3454" s="4"/>
      <c r="O3454" s="4"/>
      <c r="P3454" s="12" t="str">
        <f t="array" ref="P3454">IF(O3454:O7497="","",_xlfn.XLOOKUP(O3454:O7497,'参照_官位'!A:A,'参照_官位'!B:B,""))</f>
      </c>
      <c r="Q3454" s="12" t="str">
        <f t="array" ref="Q3454">IF(A3454:A7497="","",IFERROR(_xlfn.XLOOKUP(A3454:A7497,castles_state!K:K,castles_state!D:D)&amp;"主",IFERROR(_xlfn.XLOOKUP(A3454:A7497,kunishuClan!D:D,kunishuClan!B:B)&amp;"当主","")))</f>
      </c>
    </row>
    <row r="3455" ht="15.75" customHeight="1">
      <c r="A3455" s="4">
        <v>1216006</v>
      </c>
      <c r="B3455" s="12" t="str">
        <f t="array" ref="B3455">IF(A3455:A7498="","",_xlfn.XLOOKUP(A3455:A7498,'参照_武将'!A:A,'参照_武将'!B:B,"見つかりません"))</f>
      </c>
      <c r="C3455" s="4" t="s">
        <v>490</v>
      </c>
      <c r="D3455" s="4">
        <v>0</v>
      </c>
      <c r="E3455" s="12" t="str">
        <f t="array" ref="E3455">IF(D3455:D7498="","",IFERROR(_xlfn.XLOOKUP(D3455:D7498,'参照_勢力'!A:A,'参照_勢力'!B:B),IFERROR(_xlfn.XLOOKUP(F3455:F7498,kunishuClan!A:A,kunishuClan!B:B),"浪人")))</f>
      </c>
      <c r="F3455" s="4">
        <v>0</v>
      </c>
      <c r="G3455" s="4">
        <v>123</v>
      </c>
      <c r="H3455" s="12" t="str">
        <f t="array" ref="H3455">IF(G3455:G7498="","",_xlfn.XLOOKUP(G3455:G7498,castles_state!A:A,castles_state!D:D,"見つかりません"))</f>
      </c>
      <c r="I3455" s="4"/>
      <c r="J3455" s="12" t="str">
        <f t="array" ref="J3455">IF(I3455:I7498="","",_xlfn.XLOOKUP(I3455:I7498,'参照_姫'!A:A,'参照_姫'!B:B,"見つかりません"))</f>
      </c>
      <c r="K3455" s="4">
        <v>50</v>
      </c>
      <c r="L3455" s="4">
        <v>0</v>
      </c>
      <c r="M3455" s="4"/>
      <c r="N3455" s="4"/>
      <c r="O3455" s="4"/>
      <c r="P3455" s="12" t="str">
        <f t="array" ref="P3455">IF(O3455:O7498="","",_xlfn.XLOOKUP(O3455:O7498,'参照_官位'!A:A,'参照_官位'!B:B,""))</f>
      </c>
      <c r="Q3455" s="12" t="str">
        <f t="array" ref="Q3455">IF(A3455:A7498="","",IFERROR(_xlfn.XLOOKUP(A3455:A7498,castles_state!K:K,castles_state!D:D)&amp;"主",IFERROR(_xlfn.XLOOKUP(A3455:A7498,kunishuClan!D:D,kunishuClan!B:B)&amp;"当主","")))</f>
      </c>
    </row>
    <row r="3456" ht="15.75" customHeight="1">
      <c r="A3456" s="4">
        <v>1216007</v>
      </c>
      <c r="B3456" s="12" t="str">
        <f t="array" ref="B3456">IF(A3456:A7499="","",_xlfn.XLOOKUP(A3456:A7499,'参照_武将'!A:A,'参照_武将'!B:B,"見つかりません"))</f>
      </c>
      <c r="C3456" s="4" t="s">
        <v>490</v>
      </c>
      <c r="D3456" s="4">
        <v>0</v>
      </c>
      <c r="E3456" s="12" t="str">
        <f t="array" ref="E3456">IF(D3456:D7499="","",IFERROR(_xlfn.XLOOKUP(D3456:D7499,'参照_勢力'!A:A,'参照_勢力'!B:B),IFERROR(_xlfn.XLOOKUP(F3456:F7499,kunishuClan!A:A,kunishuClan!B:B),"浪人")))</f>
      </c>
      <c r="F3456" s="4">
        <v>0</v>
      </c>
      <c r="G3456" s="4">
        <v>123</v>
      </c>
      <c r="H3456" s="12" t="str">
        <f t="array" ref="H3456">IF(G3456:G7499="","",_xlfn.XLOOKUP(G3456:G7499,castles_state!A:A,castles_state!D:D,"見つかりません"))</f>
      </c>
      <c r="I3456" s="4"/>
      <c r="J3456" s="12" t="str">
        <f t="array" ref="J3456">IF(I3456:I7499="","",_xlfn.XLOOKUP(I3456:I7499,'参照_姫'!A:A,'参照_姫'!B:B,"見つかりません"))</f>
      </c>
      <c r="K3456" s="4">
        <v>50</v>
      </c>
      <c r="L3456" s="4">
        <v>0</v>
      </c>
      <c r="M3456" s="4"/>
      <c r="N3456" s="4"/>
      <c r="O3456" s="4"/>
      <c r="P3456" s="12" t="str">
        <f t="array" ref="P3456">IF(O3456:O7499="","",_xlfn.XLOOKUP(O3456:O7499,'参照_官位'!A:A,'参照_官位'!B:B,""))</f>
      </c>
      <c r="Q3456" s="12" t="str">
        <f t="array" ref="Q3456">IF(A3456:A7499="","",IFERROR(_xlfn.XLOOKUP(A3456:A7499,castles_state!K:K,castles_state!D:D)&amp;"主",IFERROR(_xlfn.XLOOKUP(A3456:A7499,kunishuClan!D:D,kunishuClan!B:B)&amp;"当主","")))</f>
      </c>
    </row>
    <row r="3457" ht="15.75" customHeight="1">
      <c r="A3457" s="4">
        <v>1216008</v>
      </c>
      <c r="B3457" s="12" t="str">
        <f t="array" ref="B3457">IF(A3457:A7500="","",_xlfn.XLOOKUP(A3457:A7500,'参照_武将'!A:A,'参照_武将'!B:B,"見つかりません"))</f>
      </c>
      <c r="C3457" s="4" t="s">
        <v>490</v>
      </c>
      <c r="D3457" s="4">
        <v>0</v>
      </c>
      <c r="E3457" s="12" t="str">
        <f t="array" ref="E3457">IF(D3457:D7500="","",IFERROR(_xlfn.XLOOKUP(D3457:D7500,'参照_勢力'!A:A,'参照_勢力'!B:B),IFERROR(_xlfn.XLOOKUP(F3457:F7500,kunishuClan!A:A,kunishuClan!B:B),"浪人")))</f>
      </c>
      <c r="F3457" s="4">
        <v>0</v>
      </c>
      <c r="G3457" s="4">
        <v>123</v>
      </c>
      <c r="H3457" s="12" t="str">
        <f t="array" ref="H3457">IF(G3457:G7500="","",_xlfn.XLOOKUP(G3457:G7500,castles_state!A:A,castles_state!D:D,"見つかりません"))</f>
      </c>
      <c r="I3457" s="4"/>
      <c r="J3457" s="12" t="str">
        <f t="array" ref="J3457">IF(I3457:I7500="","",_xlfn.XLOOKUP(I3457:I7500,'参照_姫'!A:A,'参照_姫'!B:B,"見つかりません"))</f>
      </c>
      <c r="K3457" s="4">
        <v>50</v>
      </c>
      <c r="L3457" s="4">
        <v>0</v>
      </c>
      <c r="M3457" s="4"/>
      <c r="N3457" s="4"/>
      <c r="O3457" s="4"/>
      <c r="P3457" s="12" t="str">
        <f t="array" ref="P3457">IF(O3457:O7500="","",_xlfn.XLOOKUP(O3457:O7500,'参照_官位'!A:A,'参照_官位'!B:B,""))</f>
      </c>
      <c r="Q3457" s="12" t="str">
        <f t="array" ref="Q3457">IF(A3457:A7500="","",IFERROR(_xlfn.XLOOKUP(A3457:A7500,castles_state!K:K,castles_state!D:D)&amp;"主",IFERROR(_xlfn.XLOOKUP(A3457:A7500,kunishuClan!D:D,kunishuClan!B:B)&amp;"当主","")))</f>
      </c>
    </row>
    <row r="3458" ht="15.75" customHeight="1">
      <c r="A3458" s="4">
        <v>1216009</v>
      </c>
      <c r="B3458" s="12" t="str">
        <f t="array" ref="B3458">IF(A3458:A7501="","",_xlfn.XLOOKUP(A3458:A7501,'参照_武将'!A:A,'参照_武将'!B:B,"見つかりません"))</f>
      </c>
      <c r="C3458" s="4" t="s">
        <v>490</v>
      </c>
      <c r="D3458" s="4">
        <v>0</v>
      </c>
      <c r="E3458" s="12" t="str">
        <f t="array" ref="E3458">IF(D3458:D7501="","",IFERROR(_xlfn.XLOOKUP(D3458:D7501,'参照_勢力'!A:A,'参照_勢力'!B:B),IFERROR(_xlfn.XLOOKUP(F3458:F7501,kunishuClan!A:A,kunishuClan!B:B),"浪人")))</f>
      </c>
      <c r="F3458" s="4">
        <v>0</v>
      </c>
      <c r="G3458" s="4">
        <v>123</v>
      </c>
      <c r="H3458" s="12" t="str">
        <f t="array" ref="H3458">IF(G3458:G7501="","",_xlfn.XLOOKUP(G3458:G7501,castles_state!A:A,castles_state!D:D,"見つかりません"))</f>
      </c>
      <c r="I3458" s="4"/>
      <c r="J3458" s="12" t="str">
        <f t="array" ref="J3458">IF(I3458:I7501="","",_xlfn.XLOOKUP(I3458:I7501,'参照_姫'!A:A,'参照_姫'!B:B,"見つかりません"))</f>
      </c>
      <c r="K3458" s="4">
        <v>50</v>
      </c>
      <c r="L3458" s="4">
        <v>0</v>
      </c>
      <c r="M3458" s="4"/>
      <c r="N3458" s="4"/>
      <c r="O3458" s="4"/>
      <c r="P3458" s="12" t="str">
        <f t="array" ref="P3458">IF(O3458:O7501="","",_xlfn.XLOOKUP(O3458:O7501,'参照_官位'!A:A,'参照_官位'!B:B,""))</f>
      </c>
      <c r="Q3458" s="12" t="str">
        <f t="array" ref="Q3458">IF(A3458:A7501="","",IFERROR(_xlfn.XLOOKUP(A3458:A7501,castles_state!K:K,castles_state!D:D)&amp;"主",IFERROR(_xlfn.XLOOKUP(A3458:A7501,kunishuClan!D:D,kunishuClan!B:B)&amp;"当主","")))</f>
      </c>
    </row>
    <row r="3459" ht="15.75" customHeight="1">
      <c r="A3459" s="4">
        <v>1216010</v>
      </c>
      <c r="B3459" s="12" t="str">
        <f t="array" ref="B3459">IF(A3459:A7502="","",_xlfn.XLOOKUP(A3459:A7502,'参照_武将'!A:A,'参照_武将'!B:B,"見つかりません"))</f>
      </c>
      <c r="C3459" s="4" t="s">
        <v>490</v>
      </c>
      <c r="D3459" s="4">
        <v>0</v>
      </c>
      <c r="E3459" s="12" t="str">
        <f t="array" ref="E3459">IF(D3459:D7502="","",IFERROR(_xlfn.XLOOKUP(D3459:D7502,'参照_勢力'!A:A,'参照_勢力'!B:B),IFERROR(_xlfn.XLOOKUP(F3459:F7502,kunishuClan!A:A,kunishuClan!B:B),"浪人")))</f>
      </c>
      <c r="F3459" s="4">
        <v>0</v>
      </c>
      <c r="G3459" s="4">
        <v>123</v>
      </c>
      <c r="H3459" s="12" t="str">
        <f t="array" ref="H3459">IF(G3459:G7502="","",_xlfn.XLOOKUP(G3459:G7502,castles_state!A:A,castles_state!D:D,"見つかりません"))</f>
      </c>
      <c r="I3459" s="4"/>
      <c r="J3459" s="12" t="str">
        <f t="array" ref="J3459">IF(I3459:I7502="","",_xlfn.XLOOKUP(I3459:I7502,'参照_姫'!A:A,'参照_姫'!B:B,"見つかりません"))</f>
      </c>
      <c r="K3459" s="4">
        <v>50</v>
      </c>
      <c r="L3459" s="4">
        <v>0</v>
      </c>
      <c r="M3459" s="4"/>
      <c r="N3459" s="4"/>
      <c r="O3459" s="4"/>
      <c r="P3459" s="12" t="str">
        <f t="array" ref="P3459">IF(O3459:O7502="","",_xlfn.XLOOKUP(O3459:O7502,'参照_官位'!A:A,'参照_官位'!B:B,""))</f>
      </c>
      <c r="Q3459" s="12" t="str">
        <f t="array" ref="Q3459">IF(A3459:A7502="","",IFERROR(_xlfn.XLOOKUP(A3459:A7502,castles_state!K:K,castles_state!D:D)&amp;"主",IFERROR(_xlfn.XLOOKUP(A3459:A7502,kunishuClan!D:D,kunishuClan!B:B)&amp;"当主","")))</f>
      </c>
    </row>
    <row r="3460" ht="15.75" customHeight="1">
      <c r="A3460" s="4">
        <v>1216011</v>
      </c>
      <c r="B3460" s="12" t="str">
        <f t="array" ref="B3460">IF(A3460:A7503="","",_xlfn.XLOOKUP(A3460:A7503,'参照_武将'!A:A,'参照_武将'!B:B,"見つかりません"))</f>
      </c>
      <c r="C3460" s="4" t="s">
        <v>490</v>
      </c>
      <c r="D3460" s="4">
        <v>0</v>
      </c>
      <c r="E3460" s="12" t="str">
        <f t="array" ref="E3460">IF(D3460:D7503="","",IFERROR(_xlfn.XLOOKUP(D3460:D7503,'参照_勢力'!A:A,'参照_勢力'!B:B),IFERROR(_xlfn.XLOOKUP(F3460:F7503,kunishuClan!A:A,kunishuClan!B:B),"浪人")))</f>
      </c>
      <c r="F3460" s="4">
        <v>0</v>
      </c>
      <c r="G3460" s="4">
        <v>123</v>
      </c>
      <c r="H3460" s="12" t="str">
        <f t="array" ref="H3460">IF(G3460:G7503="","",_xlfn.XLOOKUP(G3460:G7503,castles_state!A:A,castles_state!D:D,"見つかりません"))</f>
      </c>
      <c r="I3460" s="4"/>
      <c r="J3460" s="12" t="str">
        <f t="array" ref="J3460">IF(I3460:I7503="","",_xlfn.XLOOKUP(I3460:I7503,'参照_姫'!A:A,'参照_姫'!B:B,"見つかりません"))</f>
      </c>
      <c r="K3460" s="4">
        <v>50</v>
      </c>
      <c r="L3460" s="4">
        <v>0</v>
      </c>
      <c r="M3460" s="4"/>
      <c r="N3460" s="4"/>
      <c r="O3460" s="4"/>
      <c r="P3460" s="12" t="str">
        <f t="array" ref="P3460">IF(O3460:O7503="","",_xlfn.XLOOKUP(O3460:O7503,'参照_官位'!A:A,'参照_官位'!B:B,""))</f>
      </c>
      <c r="Q3460" s="12" t="str">
        <f t="array" ref="Q3460">IF(A3460:A7503="","",IFERROR(_xlfn.XLOOKUP(A3460:A7503,castles_state!K:K,castles_state!D:D)&amp;"主",IFERROR(_xlfn.XLOOKUP(A3460:A7503,kunishuClan!D:D,kunishuClan!B:B)&amp;"当主","")))</f>
      </c>
    </row>
    <row r="3461" ht="15.75" customHeight="1">
      <c r="A3461" s="4">
        <v>1216012</v>
      </c>
      <c r="B3461" s="12" t="str">
        <f t="array" ref="B3461">IF(A3461:A7504="","",_xlfn.XLOOKUP(A3461:A7504,'参照_武将'!A:A,'参照_武将'!B:B,"見つかりません"))</f>
      </c>
      <c r="C3461" s="4" t="s">
        <v>490</v>
      </c>
      <c r="D3461" s="4">
        <v>0</v>
      </c>
      <c r="E3461" s="12" t="str">
        <f t="array" ref="E3461">IF(D3461:D7504="","",IFERROR(_xlfn.XLOOKUP(D3461:D7504,'参照_勢力'!A:A,'参照_勢力'!B:B),IFERROR(_xlfn.XLOOKUP(F3461:F7504,kunishuClan!A:A,kunishuClan!B:B),"浪人")))</f>
      </c>
      <c r="F3461" s="4">
        <v>0</v>
      </c>
      <c r="G3461" s="4">
        <v>123</v>
      </c>
      <c r="H3461" s="12" t="str">
        <f t="array" ref="H3461">IF(G3461:G7504="","",_xlfn.XLOOKUP(G3461:G7504,castles_state!A:A,castles_state!D:D,"見つかりません"))</f>
      </c>
      <c r="I3461" s="4"/>
      <c r="J3461" s="12" t="str">
        <f t="array" ref="J3461">IF(I3461:I7504="","",_xlfn.XLOOKUP(I3461:I7504,'参照_姫'!A:A,'参照_姫'!B:B,"見つかりません"))</f>
      </c>
      <c r="K3461" s="4">
        <v>50</v>
      </c>
      <c r="L3461" s="4">
        <v>0</v>
      </c>
      <c r="M3461" s="4"/>
      <c r="N3461" s="4"/>
      <c r="O3461" s="4"/>
      <c r="P3461" s="12" t="str">
        <f t="array" ref="P3461">IF(O3461:O7504="","",_xlfn.XLOOKUP(O3461:O7504,'参照_官位'!A:A,'参照_官位'!B:B,""))</f>
      </c>
      <c r="Q3461" s="12" t="str">
        <f t="array" ref="Q3461">IF(A3461:A7504="","",IFERROR(_xlfn.XLOOKUP(A3461:A7504,castles_state!K:K,castles_state!D:D)&amp;"主",IFERROR(_xlfn.XLOOKUP(A3461:A7504,kunishuClan!D:D,kunishuClan!B:B)&amp;"当主","")))</f>
      </c>
    </row>
    <row r="3462" ht="15.75" customHeight="1">
      <c r="A3462" s="4">
        <v>1216013</v>
      </c>
      <c r="B3462" s="12" t="str">
        <f t="array" ref="B3462">IF(A3462:A7505="","",_xlfn.XLOOKUP(A3462:A7505,'参照_武将'!A:A,'参照_武将'!B:B,"見つかりません"))</f>
      </c>
      <c r="C3462" s="4" t="s">
        <v>490</v>
      </c>
      <c r="D3462" s="4">
        <v>0</v>
      </c>
      <c r="E3462" s="12" t="str">
        <f t="array" ref="E3462">IF(D3462:D7505="","",IFERROR(_xlfn.XLOOKUP(D3462:D7505,'参照_勢力'!A:A,'参照_勢力'!B:B),IFERROR(_xlfn.XLOOKUP(F3462:F7505,kunishuClan!A:A,kunishuClan!B:B),"浪人")))</f>
      </c>
      <c r="F3462" s="4">
        <v>0</v>
      </c>
      <c r="G3462" s="4">
        <v>123</v>
      </c>
      <c r="H3462" s="12" t="str">
        <f t="array" ref="H3462">IF(G3462:G7505="","",_xlfn.XLOOKUP(G3462:G7505,castles_state!A:A,castles_state!D:D,"見つかりません"))</f>
      </c>
      <c r="I3462" s="4"/>
      <c r="J3462" s="12" t="str">
        <f t="array" ref="J3462">IF(I3462:I7505="","",_xlfn.XLOOKUP(I3462:I7505,'参照_姫'!A:A,'参照_姫'!B:B,"見つかりません"))</f>
      </c>
      <c r="K3462" s="4">
        <v>50</v>
      </c>
      <c r="L3462" s="4">
        <v>0</v>
      </c>
      <c r="M3462" s="4"/>
      <c r="N3462" s="4"/>
      <c r="O3462" s="4"/>
      <c r="P3462" s="12" t="str">
        <f t="array" ref="P3462">IF(O3462:O7505="","",_xlfn.XLOOKUP(O3462:O7505,'参照_官位'!A:A,'参照_官位'!B:B,""))</f>
      </c>
      <c r="Q3462" s="12" t="str">
        <f t="array" ref="Q3462">IF(A3462:A7505="","",IFERROR(_xlfn.XLOOKUP(A3462:A7505,castles_state!K:K,castles_state!D:D)&amp;"主",IFERROR(_xlfn.XLOOKUP(A3462:A7505,kunishuClan!D:D,kunishuClan!B:B)&amp;"当主","")))</f>
      </c>
    </row>
    <row r="3463" ht="15.75" customHeight="1">
      <c r="A3463" s="4">
        <v>1216014</v>
      </c>
      <c r="B3463" s="12" t="str">
        <f t="array" ref="B3463">IF(A3463:A7506="","",_xlfn.XLOOKUP(A3463:A7506,'参照_武将'!A:A,'参照_武将'!B:B,"見つかりません"))</f>
      </c>
      <c r="C3463" s="4" t="s">
        <v>490</v>
      </c>
      <c r="D3463" s="4">
        <v>0</v>
      </c>
      <c r="E3463" s="12" t="str">
        <f t="array" ref="E3463">IF(D3463:D7506="","",IFERROR(_xlfn.XLOOKUP(D3463:D7506,'参照_勢力'!A:A,'参照_勢力'!B:B),IFERROR(_xlfn.XLOOKUP(F3463:F7506,kunishuClan!A:A,kunishuClan!B:B),"浪人")))</f>
      </c>
      <c r="F3463" s="4">
        <v>0</v>
      </c>
      <c r="G3463" s="4">
        <v>123</v>
      </c>
      <c r="H3463" s="12" t="str">
        <f t="array" ref="H3463">IF(G3463:G7506="","",_xlfn.XLOOKUP(G3463:G7506,castles_state!A:A,castles_state!D:D,"見つかりません"))</f>
      </c>
      <c r="I3463" s="4"/>
      <c r="J3463" s="12" t="str">
        <f t="array" ref="J3463">IF(I3463:I7506="","",_xlfn.XLOOKUP(I3463:I7506,'参照_姫'!A:A,'参照_姫'!B:B,"見つかりません"))</f>
      </c>
      <c r="K3463" s="4">
        <v>50</v>
      </c>
      <c r="L3463" s="4">
        <v>0</v>
      </c>
      <c r="M3463" s="4"/>
      <c r="N3463" s="4"/>
      <c r="O3463" s="4"/>
      <c r="P3463" s="12" t="str">
        <f t="array" ref="P3463">IF(O3463:O7506="","",_xlfn.XLOOKUP(O3463:O7506,'参照_官位'!A:A,'参照_官位'!B:B,""))</f>
      </c>
      <c r="Q3463" s="12" t="str">
        <f t="array" ref="Q3463">IF(A3463:A7506="","",IFERROR(_xlfn.XLOOKUP(A3463:A7506,castles_state!K:K,castles_state!D:D)&amp;"主",IFERROR(_xlfn.XLOOKUP(A3463:A7506,kunishuClan!D:D,kunishuClan!B:B)&amp;"当主","")))</f>
      </c>
    </row>
    <row r="3464" ht="15.75" customHeight="1">
      <c r="A3464" s="4">
        <v>1216015</v>
      </c>
      <c r="B3464" s="12" t="str">
        <f t="array" ref="B3464">IF(A3464:A7507="","",_xlfn.XLOOKUP(A3464:A7507,'参照_武将'!A:A,'参照_武将'!B:B,"見つかりません"))</f>
      </c>
      <c r="C3464" s="4" t="s">
        <v>170</v>
      </c>
      <c r="D3464" s="4">
        <v>25</v>
      </c>
      <c r="E3464" s="12" t="str">
        <f t="array" ref="E3464">IF(D3464:D7507="","",IFERROR(_xlfn.XLOOKUP(D3464:D7507,'参照_勢力'!A:A,'参照_勢力'!B:B),IFERROR(_xlfn.XLOOKUP(F3464:F7507,kunishuClan!A:A,kunishuClan!B:B),"浪人")))</f>
      </c>
      <c r="F3464" s="4">
        <v>0</v>
      </c>
      <c r="G3464" s="4">
        <v>120</v>
      </c>
      <c r="H3464" s="12" t="str">
        <f t="array" ref="H3464">IF(G3464:G7507="","",_xlfn.XLOOKUP(G3464:G7507,castles_state!A:A,castles_state!D:D,"見つかりません"))</f>
      </c>
      <c r="I3464" s="4"/>
      <c r="J3464" s="12" t="str">
        <f t="array" ref="J3464">IF(I3464:I7507="","",_xlfn.XLOOKUP(I3464:I7507,'参照_姫'!A:A,'参照_姫'!B:B,"見つかりません"))</f>
      </c>
      <c r="K3464" s="4">
        <v>95</v>
      </c>
      <c r="L3464" s="4">
        <v>0</v>
      </c>
      <c r="M3464" s="4"/>
      <c r="N3464" s="4"/>
      <c r="O3464" s="4"/>
      <c r="P3464" s="12" t="str">
        <f t="array" ref="P3464">IF(O3464:O7507="","",_xlfn.XLOOKUP(O3464:O7507,'参照_官位'!A:A,'参照_官位'!B:B,""))</f>
      </c>
      <c r="Q3464" s="12" t="str">
        <f t="array" ref="Q3464">IF(A3464:A7507="","",IFERROR(_xlfn.XLOOKUP(A3464:A7507,castles_state!K:K,castles_state!D:D)&amp;"主",IFERROR(_xlfn.XLOOKUP(A3464:A7507,kunishuClan!D:D,kunishuClan!B:B)&amp;"当主","")))</f>
      </c>
    </row>
    <row r="3465" ht="15.75" customHeight="1">
      <c r="A3465" s="4">
        <v>1216016</v>
      </c>
      <c r="B3465" s="12" t="str">
        <f t="array" ref="B3465">IF(A3465:A7508="","",_xlfn.XLOOKUP(A3465:A7508,'参照_武将'!A:A,'参照_武将'!B:B,"見つかりません"))</f>
      </c>
      <c r="C3465" s="4" t="s">
        <v>490</v>
      </c>
      <c r="D3465" s="4">
        <v>0</v>
      </c>
      <c r="E3465" s="12" t="str">
        <f t="array" ref="E3465">IF(D3465:D7508="","",IFERROR(_xlfn.XLOOKUP(D3465:D7508,'参照_勢力'!A:A,'参照_勢力'!B:B),IFERROR(_xlfn.XLOOKUP(F3465:F7508,kunishuClan!A:A,kunishuClan!B:B),"浪人")))</f>
      </c>
      <c r="F3465" s="4">
        <v>0</v>
      </c>
      <c r="G3465" s="4">
        <v>123</v>
      </c>
      <c r="H3465" s="12" t="str">
        <f t="array" ref="H3465">IF(G3465:G7508="","",_xlfn.XLOOKUP(G3465:G7508,castles_state!A:A,castles_state!D:D,"見つかりません"))</f>
      </c>
      <c r="I3465" s="4"/>
      <c r="J3465" s="12" t="str">
        <f t="array" ref="J3465">IF(I3465:I7508="","",_xlfn.XLOOKUP(I3465:I7508,'参照_姫'!A:A,'参照_姫'!B:B,"見つかりません"))</f>
      </c>
      <c r="K3465" s="4">
        <v>50</v>
      </c>
      <c r="L3465" s="4">
        <v>0</v>
      </c>
      <c r="M3465" s="4"/>
      <c r="N3465" s="4"/>
      <c r="O3465" s="4"/>
      <c r="P3465" s="12" t="str">
        <f t="array" ref="P3465">IF(O3465:O7508="","",_xlfn.XLOOKUP(O3465:O7508,'参照_官位'!A:A,'参照_官位'!B:B,""))</f>
      </c>
      <c r="Q3465" s="12" t="str">
        <f t="array" ref="Q3465">IF(A3465:A7508="","",IFERROR(_xlfn.XLOOKUP(A3465:A7508,castles_state!K:K,castles_state!D:D)&amp;"主",IFERROR(_xlfn.XLOOKUP(A3465:A7508,kunishuClan!D:D,kunishuClan!B:B)&amp;"当主","")))</f>
      </c>
    </row>
    <row r="3466" ht="15.75" customHeight="1">
      <c r="A3466" s="4">
        <v>1216017</v>
      </c>
      <c r="B3466" s="12" t="str">
        <f t="array" ref="B3466">IF(A3466:A7509="","",_xlfn.XLOOKUP(A3466:A7509,'参照_武将'!A:A,'参照_武将'!B:B,"見つかりません"))</f>
      </c>
      <c r="C3466" s="4" t="s">
        <v>490</v>
      </c>
      <c r="D3466" s="4">
        <v>0</v>
      </c>
      <c r="E3466" s="12" t="str">
        <f t="array" ref="E3466">IF(D3466:D7509="","",IFERROR(_xlfn.XLOOKUP(D3466:D7509,'参照_勢力'!A:A,'参照_勢力'!B:B),IFERROR(_xlfn.XLOOKUP(F3466:F7509,kunishuClan!A:A,kunishuClan!B:B),"浪人")))</f>
      </c>
      <c r="F3466" s="4">
        <v>0</v>
      </c>
      <c r="G3466" s="4">
        <v>123</v>
      </c>
      <c r="H3466" s="12" t="str">
        <f t="array" ref="H3466">IF(G3466:G7509="","",_xlfn.XLOOKUP(G3466:G7509,castles_state!A:A,castles_state!D:D,"見つかりません"))</f>
      </c>
      <c r="I3466" s="4"/>
      <c r="J3466" s="12" t="str">
        <f t="array" ref="J3466">IF(I3466:I7509="","",_xlfn.XLOOKUP(I3466:I7509,'参照_姫'!A:A,'参照_姫'!B:B,"見つかりません"))</f>
      </c>
      <c r="K3466" s="4">
        <v>50</v>
      </c>
      <c r="L3466" s="4">
        <v>0</v>
      </c>
      <c r="M3466" s="4"/>
      <c r="N3466" s="4"/>
      <c r="O3466" s="4"/>
      <c r="P3466" s="12" t="str">
        <f t="array" ref="P3466">IF(O3466:O7509="","",_xlfn.XLOOKUP(O3466:O7509,'参照_官位'!A:A,'参照_官位'!B:B,""))</f>
      </c>
      <c r="Q3466" s="12" t="str">
        <f t="array" ref="Q3466">IF(A3466:A7509="","",IFERROR(_xlfn.XLOOKUP(A3466:A7509,castles_state!K:K,castles_state!D:D)&amp;"主",IFERROR(_xlfn.XLOOKUP(A3466:A7509,kunishuClan!D:D,kunishuClan!B:B)&amp;"当主","")))</f>
      </c>
    </row>
    <row r="3467" ht="15.75" customHeight="1">
      <c r="A3467" s="4">
        <v>1216018</v>
      </c>
      <c r="B3467" s="12" t="str">
        <f t="array" ref="B3467">IF(A3467:A7510="","",_xlfn.XLOOKUP(A3467:A7510,'参照_武将'!A:A,'参照_武将'!B:B,"見つかりません"))</f>
      </c>
      <c r="C3467" s="4" t="s">
        <v>490</v>
      </c>
      <c r="D3467" s="4">
        <v>0</v>
      </c>
      <c r="E3467" s="12" t="str">
        <f t="array" ref="E3467">IF(D3467:D7510="","",IFERROR(_xlfn.XLOOKUP(D3467:D7510,'参照_勢力'!A:A,'参照_勢力'!B:B),IFERROR(_xlfn.XLOOKUP(F3467:F7510,kunishuClan!A:A,kunishuClan!B:B),"浪人")))</f>
      </c>
      <c r="F3467" s="4">
        <v>0</v>
      </c>
      <c r="G3467" s="4">
        <v>123</v>
      </c>
      <c r="H3467" s="12" t="str">
        <f t="array" ref="H3467">IF(G3467:G7510="","",_xlfn.XLOOKUP(G3467:G7510,castles_state!A:A,castles_state!D:D,"見つかりません"))</f>
      </c>
      <c r="I3467" s="4"/>
      <c r="J3467" s="12" t="str">
        <f t="array" ref="J3467">IF(I3467:I7510="","",_xlfn.XLOOKUP(I3467:I7510,'参照_姫'!A:A,'参照_姫'!B:B,"見つかりません"))</f>
      </c>
      <c r="K3467" s="4">
        <v>50</v>
      </c>
      <c r="L3467" s="4">
        <v>0</v>
      </c>
      <c r="M3467" s="4"/>
      <c r="N3467" s="4"/>
      <c r="O3467" s="4"/>
      <c r="P3467" s="12" t="str">
        <f t="array" ref="P3467">IF(O3467:O7510="","",_xlfn.XLOOKUP(O3467:O7510,'参照_官位'!A:A,'参照_官位'!B:B,""))</f>
      </c>
      <c r="Q3467" s="12" t="str">
        <f t="array" ref="Q3467">IF(A3467:A7510="","",IFERROR(_xlfn.XLOOKUP(A3467:A7510,castles_state!K:K,castles_state!D:D)&amp;"主",IFERROR(_xlfn.XLOOKUP(A3467:A7510,kunishuClan!D:D,kunishuClan!B:B)&amp;"当主","")))</f>
      </c>
    </row>
    <row r="3468" ht="15.75" customHeight="1">
      <c r="A3468" s="4">
        <v>1216019</v>
      </c>
      <c r="B3468" s="12" t="str">
        <f t="array" ref="B3468">IF(A3468:A7511="","",_xlfn.XLOOKUP(A3468:A7511,'参照_武将'!A:A,'参照_武将'!B:B,"見つかりません"))</f>
      </c>
      <c r="C3468" s="4" t="s">
        <v>490</v>
      </c>
      <c r="D3468" s="4">
        <v>0</v>
      </c>
      <c r="E3468" s="12" t="str">
        <f t="array" ref="E3468">IF(D3468:D7511="","",IFERROR(_xlfn.XLOOKUP(D3468:D7511,'参照_勢力'!A:A,'参照_勢力'!B:B),IFERROR(_xlfn.XLOOKUP(F3468:F7511,kunishuClan!A:A,kunishuClan!B:B),"浪人")))</f>
      </c>
      <c r="F3468" s="4">
        <v>0</v>
      </c>
      <c r="G3468" s="4">
        <v>123</v>
      </c>
      <c r="H3468" s="12" t="str">
        <f t="array" ref="H3468">IF(G3468:G7511="","",_xlfn.XLOOKUP(G3468:G7511,castles_state!A:A,castles_state!D:D,"見つかりません"))</f>
      </c>
      <c r="I3468" s="4"/>
      <c r="J3468" s="12" t="str">
        <f t="array" ref="J3468">IF(I3468:I7511="","",_xlfn.XLOOKUP(I3468:I7511,'参照_姫'!A:A,'参照_姫'!B:B,"見つかりません"))</f>
      </c>
      <c r="K3468" s="4">
        <v>50</v>
      </c>
      <c r="L3468" s="4">
        <v>0</v>
      </c>
      <c r="M3468" s="4"/>
      <c r="N3468" s="4"/>
      <c r="O3468" s="4"/>
      <c r="P3468" s="12" t="str">
        <f t="array" ref="P3468">IF(O3468:O7511="","",_xlfn.XLOOKUP(O3468:O7511,'参照_官位'!A:A,'参照_官位'!B:B,""))</f>
      </c>
      <c r="Q3468" s="12" t="str">
        <f t="array" ref="Q3468">IF(A3468:A7511="","",IFERROR(_xlfn.XLOOKUP(A3468:A7511,castles_state!K:K,castles_state!D:D)&amp;"主",IFERROR(_xlfn.XLOOKUP(A3468:A7511,kunishuClan!D:D,kunishuClan!B:B)&amp;"当主","")))</f>
      </c>
    </row>
    <row r="3469" ht="15.75" customHeight="1">
      <c r="A3469" s="4">
        <v>1216020</v>
      </c>
      <c r="B3469" s="12" t="str">
        <f t="array" ref="B3469">IF(A3469:A7512="","",_xlfn.XLOOKUP(A3469:A7512,'参照_武将'!A:A,'参照_武将'!B:B,"見つかりません"))</f>
      </c>
      <c r="C3469" s="4" t="s">
        <v>490</v>
      </c>
      <c r="D3469" s="4">
        <v>0</v>
      </c>
      <c r="E3469" s="12" t="str">
        <f t="array" ref="E3469">IF(D3469:D7512="","",IFERROR(_xlfn.XLOOKUP(D3469:D7512,'参照_勢力'!A:A,'参照_勢力'!B:B),IFERROR(_xlfn.XLOOKUP(F3469:F7512,kunishuClan!A:A,kunishuClan!B:B),"浪人")))</f>
      </c>
      <c r="F3469" s="4">
        <v>0</v>
      </c>
      <c r="G3469" s="4">
        <v>123</v>
      </c>
      <c r="H3469" s="12" t="str">
        <f t="array" ref="H3469">IF(G3469:G7512="","",_xlfn.XLOOKUP(G3469:G7512,castles_state!A:A,castles_state!D:D,"見つかりません"))</f>
      </c>
      <c r="I3469" s="4"/>
      <c r="J3469" s="12" t="str">
        <f t="array" ref="J3469">IF(I3469:I7512="","",_xlfn.XLOOKUP(I3469:I7512,'参照_姫'!A:A,'参照_姫'!B:B,"見つかりません"))</f>
      </c>
      <c r="K3469" s="4">
        <v>50</v>
      </c>
      <c r="L3469" s="4">
        <v>0</v>
      </c>
      <c r="M3469" s="4"/>
      <c r="N3469" s="4"/>
      <c r="O3469" s="4"/>
      <c r="P3469" s="12" t="str">
        <f t="array" ref="P3469">IF(O3469:O7512="","",_xlfn.XLOOKUP(O3469:O7512,'参照_官位'!A:A,'参照_官位'!B:B,""))</f>
      </c>
      <c r="Q3469" s="12" t="str">
        <f t="array" ref="Q3469">IF(A3469:A7512="","",IFERROR(_xlfn.XLOOKUP(A3469:A7512,castles_state!K:K,castles_state!D:D)&amp;"主",IFERROR(_xlfn.XLOOKUP(A3469:A7512,kunishuClan!D:D,kunishuClan!B:B)&amp;"当主","")))</f>
      </c>
    </row>
    <row r="3470" ht="15.75" customHeight="1">
      <c r="A3470" s="4">
        <v>1216021</v>
      </c>
      <c r="B3470" s="12" t="str">
        <f t="array" ref="B3470">IF(A3470:A7513="","",_xlfn.XLOOKUP(A3470:A7513,'参照_武将'!A:A,'参照_武将'!B:B,"見つかりません"))</f>
      </c>
      <c r="C3470" s="4" t="s">
        <v>490</v>
      </c>
      <c r="D3470" s="4">
        <v>0</v>
      </c>
      <c r="E3470" s="12" t="str">
        <f t="array" ref="E3470">IF(D3470:D7513="","",IFERROR(_xlfn.XLOOKUP(D3470:D7513,'参照_勢力'!A:A,'参照_勢力'!B:B),IFERROR(_xlfn.XLOOKUP(F3470:F7513,kunishuClan!A:A,kunishuClan!B:B),"浪人")))</f>
      </c>
      <c r="F3470" s="4">
        <v>0</v>
      </c>
      <c r="G3470" s="4">
        <v>123</v>
      </c>
      <c r="H3470" s="12" t="str">
        <f t="array" ref="H3470">IF(G3470:G7513="","",_xlfn.XLOOKUP(G3470:G7513,castles_state!A:A,castles_state!D:D,"見つかりません"))</f>
      </c>
      <c r="I3470" s="4"/>
      <c r="J3470" s="12" t="str">
        <f t="array" ref="J3470">IF(I3470:I7513="","",_xlfn.XLOOKUP(I3470:I7513,'参照_姫'!A:A,'参照_姫'!B:B,"見つかりません"))</f>
      </c>
      <c r="K3470" s="4">
        <v>50</v>
      </c>
      <c r="L3470" s="4">
        <v>0</v>
      </c>
      <c r="M3470" s="4"/>
      <c r="N3470" s="4"/>
      <c r="O3470" s="4"/>
      <c r="P3470" s="12" t="str">
        <f t="array" ref="P3470">IF(O3470:O7513="","",_xlfn.XLOOKUP(O3470:O7513,'参照_官位'!A:A,'参照_官位'!B:B,""))</f>
      </c>
      <c r="Q3470" s="12" t="str">
        <f t="array" ref="Q3470">IF(A3470:A7513="","",IFERROR(_xlfn.XLOOKUP(A3470:A7513,castles_state!K:K,castles_state!D:D)&amp;"主",IFERROR(_xlfn.XLOOKUP(A3470:A7513,kunishuClan!D:D,kunishuClan!B:B)&amp;"当主","")))</f>
      </c>
    </row>
    <row r="3471" ht="15.75" customHeight="1">
      <c r="A3471" s="4">
        <v>1216022</v>
      </c>
      <c r="B3471" s="12" t="str">
        <f t="array" ref="B3471">IF(A3471:A7514="","",_xlfn.XLOOKUP(A3471:A7514,'参照_武将'!A:A,'参照_武将'!B:B,"見つかりません"))</f>
      </c>
      <c r="C3471" s="4" t="s">
        <v>170</v>
      </c>
      <c r="D3471" s="4">
        <v>25</v>
      </c>
      <c r="E3471" s="12" t="str">
        <f t="array" ref="E3471">IF(D3471:D7514="","",IFERROR(_xlfn.XLOOKUP(D3471:D7514,'参照_勢力'!A:A,'参照_勢力'!B:B),IFERROR(_xlfn.XLOOKUP(F3471:F7514,kunishuClan!A:A,kunishuClan!B:B),"浪人")))</f>
      </c>
      <c r="F3471" s="4">
        <v>0</v>
      </c>
      <c r="G3471" s="4">
        <v>126</v>
      </c>
      <c r="H3471" s="12" t="str">
        <f t="array" ref="H3471">IF(G3471:G7514="","",_xlfn.XLOOKUP(G3471:G7514,castles_state!A:A,castles_state!D:D,"見つかりません"))</f>
      </c>
      <c r="I3471" s="4"/>
      <c r="J3471" s="12" t="str">
        <f t="array" ref="J3471">IF(I3471:I7514="","",_xlfn.XLOOKUP(I3471:I7514,'参照_姫'!A:A,'参照_姫'!B:B,"見つかりません"))</f>
      </c>
      <c r="K3471" s="4">
        <v>95</v>
      </c>
      <c r="L3471" s="4">
        <v>0</v>
      </c>
      <c r="M3471" s="4"/>
      <c r="N3471" s="4"/>
      <c r="O3471" s="4"/>
      <c r="P3471" s="12" t="str">
        <f t="array" ref="P3471">IF(O3471:O7514="","",_xlfn.XLOOKUP(O3471:O7514,'参照_官位'!A:A,'参照_官位'!B:B,""))</f>
      </c>
      <c r="Q3471" s="12" t="str">
        <f t="array" ref="Q3471">IF(A3471:A7514="","",IFERROR(_xlfn.XLOOKUP(A3471:A7514,castles_state!K:K,castles_state!D:D)&amp;"主",IFERROR(_xlfn.XLOOKUP(A3471:A7514,kunishuClan!D:D,kunishuClan!B:B)&amp;"当主","")))</f>
      </c>
    </row>
    <row r="3472" ht="15.75" customHeight="1">
      <c r="A3472" s="4">
        <v>1216023</v>
      </c>
      <c r="B3472" s="12" t="str">
        <f t="array" ref="B3472">IF(A3472:A7515="","",_xlfn.XLOOKUP(A3472:A7515,'参照_武将'!A:A,'参照_武将'!B:B,"見つかりません"))</f>
      </c>
      <c r="C3472" s="4" t="s">
        <v>170</v>
      </c>
      <c r="D3472" s="4">
        <v>25</v>
      </c>
      <c r="E3472" s="12" t="str">
        <f t="array" ref="E3472">IF(D3472:D7515="","",IFERROR(_xlfn.XLOOKUP(D3472:D7515,'参照_勢力'!A:A,'参照_勢力'!B:B),IFERROR(_xlfn.XLOOKUP(F3472:F7515,kunishuClan!A:A,kunishuClan!B:B),"浪人")))</f>
      </c>
      <c r="F3472" s="4">
        <v>0</v>
      </c>
      <c r="G3472" s="4">
        <v>126</v>
      </c>
      <c r="H3472" s="12" t="str">
        <f t="array" ref="H3472">IF(G3472:G7515="","",_xlfn.XLOOKUP(G3472:G7515,castles_state!A:A,castles_state!D:D,"見つかりません"))</f>
      </c>
      <c r="I3472" s="4"/>
      <c r="J3472" s="12" t="str">
        <f t="array" ref="J3472">IF(I3472:I7515="","",_xlfn.XLOOKUP(I3472:I7515,'参照_姫'!A:A,'参照_姫'!B:B,"見つかりません"))</f>
      </c>
      <c r="K3472" s="4">
        <v>95</v>
      </c>
      <c r="L3472" s="4">
        <v>0</v>
      </c>
      <c r="M3472" s="4"/>
      <c r="N3472" s="4"/>
      <c r="O3472" s="4"/>
      <c r="P3472" s="12" t="str">
        <f t="array" ref="P3472">IF(O3472:O7515="","",_xlfn.XLOOKUP(O3472:O7515,'参照_官位'!A:A,'参照_官位'!B:B,""))</f>
      </c>
      <c r="Q3472" s="12" t="str">
        <f t="array" ref="Q3472">IF(A3472:A7515="","",IFERROR(_xlfn.XLOOKUP(A3472:A7515,castles_state!K:K,castles_state!D:D)&amp;"主",IFERROR(_xlfn.XLOOKUP(A3472:A7515,kunishuClan!D:D,kunishuClan!B:B)&amp;"当主","")))</f>
      </c>
    </row>
    <row r="3473" ht="15.75" customHeight="1">
      <c r="A3473" s="4">
        <v>1217001</v>
      </c>
      <c r="B3473" s="12" t="str">
        <f t="array" ref="B3473">IF(A3473:A7516="","",_xlfn.XLOOKUP(A3473:A7516,'参照_武将'!A:A,'参照_武将'!B:B,"見つかりません"))</f>
      </c>
      <c r="C3473" s="4" t="s">
        <v>477</v>
      </c>
      <c r="D3473" s="4">
        <v>0</v>
      </c>
      <c r="E3473" s="12" t="str">
        <f t="array" ref="E3473">IF(D3473:D7516="","",IFERROR(_xlfn.XLOOKUP(D3473:D7516,'参照_勢力'!A:A,'参照_勢力'!B:B),IFERROR(_xlfn.XLOOKUP(F3473:F7516,kunishuClan!A:A,kunishuClan!B:B),"浪人")))</f>
      </c>
      <c r="F3473" s="4">
        <v>0</v>
      </c>
      <c r="G3473" s="4">
        <v>123</v>
      </c>
      <c r="H3473" s="12" t="str">
        <f t="array" ref="H3473">IF(G3473:G7516="","",_xlfn.XLOOKUP(G3473:G7516,castles_state!A:A,castles_state!D:D,"見つかりません"))</f>
      </c>
      <c r="I3473" s="4"/>
      <c r="J3473" s="12" t="str">
        <f t="array" ref="J3473">IF(I3473:I7516="","",_xlfn.XLOOKUP(I3473:I7516,'参照_姫'!A:A,'参照_姫'!B:B,"見つかりません"))</f>
      </c>
      <c r="K3473" s="4">
        <v>50</v>
      </c>
      <c r="L3473" s="4">
        <v>0</v>
      </c>
      <c r="M3473" s="4"/>
      <c r="N3473" s="4"/>
      <c r="O3473" s="4"/>
      <c r="P3473" s="12" t="str">
        <f t="array" ref="P3473">IF(O3473:O7516="","",_xlfn.XLOOKUP(O3473:O7516,'参照_官位'!A:A,'参照_官位'!B:B,""))</f>
      </c>
      <c r="Q3473" s="12" t="str">
        <f t="array" ref="Q3473">IF(A3473:A7516="","",IFERROR(_xlfn.XLOOKUP(A3473:A7516,castles_state!K:K,castles_state!D:D)&amp;"主",IFERROR(_xlfn.XLOOKUP(A3473:A7516,kunishuClan!D:D,kunishuClan!B:B)&amp;"当主","")))</f>
      </c>
    </row>
    <row r="3474" ht="15.75" customHeight="1">
      <c r="A3474" s="4">
        <v>1217002</v>
      </c>
      <c r="B3474" s="12" t="str">
        <f t="array" ref="B3474">IF(A3474:A7517="","",_xlfn.XLOOKUP(A3474:A7517,'参照_武将'!A:A,'参照_武将'!B:B,"見つかりません"))</f>
      </c>
      <c r="C3474" s="4" t="s">
        <v>477</v>
      </c>
      <c r="D3474" s="4">
        <v>0</v>
      </c>
      <c r="E3474" s="12" t="str">
        <f t="array" ref="E3474">IF(D3474:D7517="","",IFERROR(_xlfn.XLOOKUP(D3474:D7517,'参照_勢力'!A:A,'参照_勢力'!B:B),IFERROR(_xlfn.XLOOKUP(F3474:F7517,kunishuClan!A:A,kunishuClan!B:B),"浪人")))</f>
      </c>
      <c r="F3474" s="4">
        <v>0</v>
      </c>
      <c r="G3474" s="4">
        <v>123</v>
      </c>
      <c r="H3474" s="12" t="str">
        <f t="array" ref="H3474">IF(G3474:G7517="","",_xlfn.XLOOKUP(G3474:G7517,castles_state!A:A,castles_state!D:D,"見つかりません"))</f>
      </c>
      <c r="I3474" s="4"/>
      <c r="J3474" s="12" t="str">
        <f t="array" ref="J3474">IF(I3474:I7517="","",_xlfn.XLOOKUP(I3474:I7517,'参照_姫'!A:A,'参照_姫'!B:B,"見つかりません"))</f>
      </c>
      <c r="K3474" s="4">
        <v>50</v>
      </c>
      <c r="L3474" s="4">
        <v>0</v>
      </c>
      <c r="M3474" s="4"/>
      <c r="N3474" s="4"/>
      <c r="O3474" s="4"/>
      <c r="P3474" s="12" t="str">
        <f t="array" ref="P3474">IF(O3474:O7517="","",_xlfn.XLOOKUP(O3474:O7517,'参照_官位'!A:A,'参照_官位'!B:B,""))</f>
      </c>
      <c r="Q3474" s="12" t="str">
        <f t="array" ref="Q3474">IF(A3474:A7517="","",IFERROR(_xlfn.XLOOKUP(A3474:A7517,castles_state!K:K,castles_state!D:D)&amp;"主",IFERROR(_xlfn.XLOOKUP(A3474:A7517,kunishuClan!D:D,kunishuClan!B:B)&amp;"当主","")))</f>
      </c>
    </row>
    <row r="3475" ht="15.75" customHeight="1">
      <c r="A3475" s="4">
        <v>1217003</v>
      </c>
      <c r="B3475" s="12" t="str">
        <f t="array" ref="B3475">IF(A3475:A7518="","",_xlfn.XLOOKUP(A3475:A7518,'参照_武将'!A:A,'参照_武将'!B:B,"見つかりません"))</f>
      </c>
      <c r="C3475" s="4" t="s">
        <v>477</v>
      </c>
      <c r="D3475" s="4">
        <v>0</v>
      </c>
      <c r="E3475" s="12" t="str">
        <f t="array" ref="E3475">IF(D3475:D7518="","",IFERROR(_xlfn.XLOOKUP(D3475:D7518,'参照_勢力'!A:A,'参照_勢力'!B:B),IFERROR(_xlfn.XLOOKUP(F3475:F7518,kunishuClan!A:A,kunishuClan!B:B),"浪人")))</f>
      </c>
      <c r="F3475" s="4">
        <v>0</v>
      </c>
      <c r="G3475" s="4">
        <v>123</v>
      </c>
      <c r="H3475" s="12" t="str">
        <f t="array" ref="H3475">IF(G3475:G7518="","",_xlfn.XLOOKUP(G3475:G7518,castles_state!A:A,castles_state!D:D,"見つかりません"))</f>
      </c>
      <c r="I3475" s="4"/>
      <c r="J3475" s="12" t="str">
        <f t="array" ref="J3475">IF(I3475:I7518="","",_xlfn.XLOOKUP(I3475:I7518,'参照_姫'!A:A,'参照_姫'!B:B,"見つかりません"))</f>
      </c>
      <c r="K3475" s="4">
        <v>50</v>
      </c>
      <c r="L3475" s="4">
        <v>0</v>
      </c>
      <c r="M3475" s="4"/>
      <c r="N3475" s="4"/>
      <c r="O3475" s="4"/>
      <c r="P3475" s="12" t="str">
        <f t="array" ref="P3475">IF(O3475:O7518="","",_xlfn.XLOOKUP(O3475:O7518,'参照_官位'!A:A,'参照_官位'!B:B,""))</f>
      </c>
      <c r="Q3475" s="12" t="str">
        <f t="array" ref="Q3475">IF(A3475:A7518="","",IFERROR(_xlfn.XLOOKUP(A3475:A7518,castles_state!K:K,castles_state!D:D)&amp;"主",IFERROR(_xlfn.XLOOKUP(A3475:A7518,kunishuClan!D:D,kunishuClan!B:B)&amp;"当主","")))</f>
      </c>
    </row>
    <row r="3476" ht="15.75" customHeight="1">
      <c r="A3476" s="4">
        <v>1218001</v>
      </c>
      <c r="B3476" s="12" t="str">
        <f t="array" ref="B3476">IF(A3476:A7519="","",_xlfn.XLOOKUP(A3476:A7519,'参照_武将'!A:A,'参照_武将'!B:B,"見つかりません"))</f>
      </c>
      <c r="C3476" s="4" t="s">
        <v>496</v>
      </c>
      <c r="D3476" s="4">
        <v>0</v>
      </c>
      <c r="E3476" s="12" t="str">
        <f t="array" ref="E3476">IF(D3476:D7519="","",IFERROR(_xlfn.XLOOKUP(D3476:D7519,'参照_勢力'!A:A,'参照_勢力'!B:B),IFERROR(_xlfn.XLOOKUP(F3476:F7519,kunishuClan!A:A,kunishuClan!B:B),"浪人")))</f>
      </c>
      <c r="F3476" s="4">
        <v>0</v>
      </c>
      <c r="G3476" s="4">
        <v>151</v>
      </c>
      <c r="H3476" s="12" t="str">
        <f t="array" ref="H3476">IF(G3476:G7519="","",_xlfn.XLOOKUP(G3476:G7519,castles_state!A:A,castles_state!D:D,"見つかりません"))</f>
      </c>
      <c r="I3476" s="4"/>
      <c r="J3476" s="12" t="str">
        <f t="array" ref="J3476">IF(I3476:I7519="","",_xlfn.XLOOKUP(I3476:I7519,'参照_姫'!A:A,'参照_姫'!B:B,"見つかりません"))</f>
      </c>
      <c r="K3476" s="4">
        <v>50</v>
      </c>
      <c r="L3476" s="4">
        <v>0</v>
      </c>
      <c r="M3476" s="4"/>
      <c r="N3476" s="4"/>
      <c r="O3476" s="4"/>
      <c r="P3476" s="12" t="str">
        <f t="array" ref="P3476">IF(O3476:O7519="","",_xlfn.XLOOKUP(O3476:O7519,'参照_官位'!A:A,'参照_官位'!B:B,""))</f>
      </c>
      <c r="Q3476" s="12" t="str">
        <f t="array" ref="Q3476">IF(A3476:A7519="","",IFERROR(_xlfn.XLOOKUP(A3476:A7519,castles_state!K:K,castles_state!D:D)&amp;"主",IFERROR(_xlfn.XLOOKUP(A3476:A7519,kunishuClan!D:D,kunishuClan!B:B)&amp;"当主","")))</f>
      </c>
    </row>
    <row r="3477" ht="15.75" customHeight="1">
      <c r="A3477" s="4">
        <v>1218002</v>
      </c>
      <c r="B3477" s="12" t="str">
        <f t="array" ref="B3477">IF(A3477:A7520="","",_xlfn.XLOOKUP(A3477:A7520,'参照_武将'!A:A,'参照_武将'!B:B,"見つかりません"))</f>
      </c>
      <c r="C3477" s="4" t="s">
        <v>496</v>
      </c>
      <c r="D3477" s="4">
        <v>0</v>
      </c>
      <c r="E3477" s="12" t="str">
        <f t="array" ref="E3477">IF(D3477:D7520="","",IFERROR(_xlfn.XLOOKUP(D3477:D7520,'参照_勢力'!A:A,'参照_勢力'!B:B),IFERROR(_xlfn.XLOOKUP(F3477:F7520,kunishuClan!A:A,kunishuClan!B:B),"浪人")))</f>
      </c>
      <c r="F3477" s="4">
        <v>0</v>
      </c>
      <c r="G3477" s="4">
        <v>151</v>
      </c>
      <c r="H3477" s="12" t="str">
        <f t="array" ref="H3477">IF(G3477:G7520="","",_xlfn.XLOOKUP(G3477:G7520,castles_state!A:A,castles_state!D:D,"見つかりません"))</f>
      </c>
      <c r="I3477" s="4"/>
      <c r="J3477" s="12" t="str">
        <f t="array" ref="J3477">IF(I3477:I7520="","",_xlfn.XLOOKUP(I3477:I7520,'参照_姫'!A:A,'参照_姫'!B:B,"見つかりません"))</f>
      </c>
      <c r="K3477" s="4">
        <v>50</v>
      </c>
      <c r="L3477" s="4">
        <v>0</v>
      </c>
      <c r="M3477" s="4"/>
      <c r="N3477" s="4"/>
      <c r="O3477" s="4"/>
      <c r="P3477" s="12" t="str">
        <f t="array" ref="P3477">IF(O3477:O7520="","",_xlfn.XLOOKUP(O3477:O7520,'参照_官位'!A:A,'参照_官位'!B:B,""))</f>
      </c>
      <c r="Q3477" s="12" t="str">
        <f t="array" ref="Q3477">IF(A3477:A7520="","",IFERROR(_xlfn.XLOOKUP(A3477:A7520,castles_state!K:K,castles_state!D:D)&amp;"主",IFERROR(_xlfn.XLOOKUP(A3477:A7520,kunishuClan!D:D,kunishuClan!B:B)&amp;"当主","")))</f>
      </c>
    </row>
    <row r="3478" ht="15.75" customHeight="1">
      <c r="A3478" s="4">
        <v>1218003</v>
      </c>
      <c r="B3478" s="12" t="str">
        <f t="array" ref="B3478">IF(A3478:A7521="","",_xlfn.XLOOKUP(A3478:A7521,'参照_武将'!A:A,'参照_武将'!B:B,"見つかりません"))</f>
      </c>
      <c r="C3478" s="4" t="s">
        <v>496</v>
      </c>
      <c r="D3478" s="4">
        <v>0</v>
      </c>
      <c r="E3478" s="12" t="str">
        <f t="array" ref="E3478">IF(D3478:D7521="","",IFERROR(_xlfn.XLOOKUP(D3478:D7521,'参照_勢力'!A:A,'参照_勢力'!B:B),IFERROR(_xlfn.XLOOKUP(F3478:F7521,kunishuClan!A:A,kunishuClan!B:B),"浪人")))</f>
      </c>
      <c r="F3478" s="4">
        <v>0</v>
      </c>
      <c r="G3478" s="4">
        <v>151</v>
      </c>
      <c r="H3478" s="12" t="str">
        <f t="array" ref="H3478">IF(G3478:G7521="","",_xlfn.XLOOKUP(G3478:G7521,castles_state!A:A,castles_state!D:D,"見つかりません"))</f>
      </c>
      <c r="I3478" s="4"/>
      <c r="J3478" s="12" t="str">
        <f t="array" ref="J3478">IF(I3478:I7521="","",_xlfn.XLOOKUP(I3478:I7521,'参照_姫'!A:A,'参照_姫'!B:B,"見つかりません"))</f>
      </c>
      <c r="K3478" s="4">
        <v>50</v>
      </c>
      <c r="L3478" s="4">
        <v>0</v>
      </c>
      <c r="M3478" s="4"/>
      <c r="N3478" s="4"/>
      <c r="O3478" s="4"/>
      <c r="P3478" s="12" t="str">
        <f t="array" ref="P3478">IF(O3478:O7521="","",_xlfn.XLOOKUP(O3478:O7521,'参照_官位'!A:A,'参照_官位'!B:B,""))</f>
      </c>
      <c r="Q3478" s="12" t="str">
        <f t="array" ref="Q3478">IF(A3478:A7521="","",IFERROR(_xlfn.XLOOKUP(A3478:A7521,castles_state!K:K,castles_state!D:D)&amp;"主",IFERROR(_xlfn.XLOOKUP(A3478:A7521,kunishuClan!D:D,kunishuClan!B:B)&amp;"当主","")))</f>
      </c>
    </row>
    <row r="3479" ht="15.75" customHeight="1">
      <c r="A3479" s="4">
        <v>1218004</v>
      </c>
      <c r="B3479" s="12" t="str">
        <f t="array" ref="B3479">IF(A3479:A7522="","",_xlfn.XLOOKUP(A3479:A7522,'参照_武将'!A:A,'参照_武将'!B:B,"見つかりません"))</f>
      </c>
      <c r="C3479" s="4" t="s">
        <v>496</v>
      </c>
      <c r="D3479" s="4">
        <v>0</v>
      </c>
      <c r="E3479" s="12" t="str">
        <f t="array" ref="E3479">IF(D3479:D7522="","",IFERROR(_xlfn.XLOOKUP(D3479:D7522,'参照_勢力'!A:A,'参照_勢力'!B:B),IFERROR(_xlfn.XLOOKUP(F3479:F7522,kunishuClan!A:A,kunishuClan!B:B),"浪人")))</f>
      </c>
      <c r="F3479" s="4">
        <v>0</v>
      </c>
      <c r="G3479" s="4">
        <v>152</v>
      </c>
      <c r="H3479" s="12" t="str">
        <f t="array" ref="H3479">IF(G3479:G7522="","",_xlfn.XLOOKUP(G3479:G7522,castles_state!A:A,castles_state!D:D,"見つかりません"))</f>
      </c>
      <c r="I3479" s="4"/>
      <c r="J3479" s="12" t="str">
        <f t="array" ref="J3479">IF(I3479:I7522="","",_xlfn.XLOOKUP(I3479:I7522,'参照_姫'!A:A,'参照_姫'!B:B,"見つかりません"))</f>
      </c>
      <c r="K3479" s="4">
        <v>50</v>
      </c>
      <c r="L3479" s="4">
        <v>0</v>
      </c>
      <c r="M3479" s="4"/>
      <c r="N3479" s="4"/>
      <c r="O3479" s="4"/>
      <c r="P3479" s="12" t="str">
        <f t="array" ref="P3479">IF(O3479:O7522="","",_xlfn.XLOOKUP(O3479:O7522,'参照_官位'!A:A,'参照_官位'!B:B,""))</f>
      </c>
      <c r="Q3479" s="12" t="str">
        <f t="array" ref="Q3479">IF(A3479:A7522="","",IFERROR(_xlfn.XLOOKUP(A3479:A7522,castles_state!K:K,castles_state!D:D)&amp;"主",IFERROR(_xlfn.XLOOKUP(A3479:A7522,kunishuClan!D:D,kunishuClan!B:B)&amp;"当主","")))</f>
      </c>
    </row>
    <row r="3480" ht="15.75" customHeight="1">
      <c r="A3480" s="4">
        <v>1218005</v>
      </c>
      <c r="B3480" s="12" t="str">
        <f t="array" ref="B3480">IF(A3480:A7523="","",_xlfn.XLOOKUP(A3480:A7523,'参照_武将'!A:A,'参照_武将'!B:B,"見つかりません"))</f>
      </c>
      <c r="C3480" s="4" t="s">
        <v>496</v>
      </c>
      <c r="D3480" s="4">
        <v>53</v>
      </c>
      <c r="E3480" s="12" t="str">
        <f t="array" ref="E3480">IF(D3480:D7523="","",IFERROR(_xlfn.XLOOKUP(D3480:D7523,'参照_勢力'!A:A,'参照_勢力'!B:B),IFERROR(_xlfn.XLOOKUP(F3480:F7523,kunishuClan!A:A,kunishuClan!B:B),"浪人")))</f>
      </c>
      <c r="F3480" s="4">
        <v>0</v>
      </c>
      <c r="G3480" s="4">
        <v>150</v>
      </c>
      <c r="H3480" s="12" t="str">
        <f t="array" ref="H3480">IF(G3480:G7523="","",_xlfn.XLOOKUP(G3480:G7523,castles_state!A:A,castles_state!D:D,"見つかりません"))</f>
      </c>
      <c r="I3480" s="4"/>
      <c r="J3480" s="12" t="str">
        <f t="array" ref="J3480">IF(I3480:I7523="","",_xlfn.XLOOKUP(I3480:I7523,'参照_姫'!A:A,'参照_姫'!B:B,"見つかりません"))</f>
      </c>
      <c r="K3480" s="4">
        <v>90</v>
      </c>
      <c r="L3480" s="4">
        <v>0</v>
      </c>
      <c r="M3480" s="4"/>
      <c r="N3480" s="4"/>
      <c r="O3480" s="4"/>
      <c r="P3480" s="12" t="str">
        <f t="array" ref="P3480">IF(O3480:O7523="","",_xlfn.XLOOKUP(O3480:O7523,'参照_官位'!A:A,'参照_官位'!B:B,""))</f>
      </c>
      <c r="Q3480" s="12" t="str">
        <f t="array" ref="Q3480">IF(A3480:A7523="","",IFERROR(_xlfn.XLOOKUP(A3480:A7523,castles_state!K:K,castles_state!D:D)&amp;"主",IFERROR(_xlfn.XLOOKUP(A3480:A7523,kunishuClan!D:D,kunishuClan!B:B)&amp;"当主","")))</f>
      </c>
    </row>
    <row r="3481" ht="15.75" customHeight="1">
      <c r="A3481" s="4">
        <v>1218006</v>
      </c>
      <c r="B3481" s="12" t="str">
        <f t="array" ref="B3481">IF(A3481:A7524="","",_xlfn.XLOOKUP(A3481:A7524,'参照_武将'!A:A,'参照_武将'!B:B,"見つかりません"))</f>
      </c>
      <c r="C3481" s="4" t="s">
        <v>496</v>
      </c>
      <c r="D3481" s="4">
        <v>53</v>
      </c>
      <c r="E3481" s="12" t="str">
        <f t="array" ref="E3481">IF(D3481:D7524="","",IFERROR(_xlfn.XLOOKUP(D3481:D7524,'参照_勢力'!A:A,'参照_勢力'!B:B),IFERROR(_xlfn.XLOOKUP(F3481:F7524,kunishuClan!A:A,kunishuClan!B:B),"浪人")))</f>
      </c>
      <c r="F3481" s="4">
        <v>0</v>
      </c>
      <c r="G3481" s="4">
        <v>150</v>
      </c>
      <c r="H3481" s="12" t="str">
        <f t="array" ref="H3481">IF(G3481:G7524="","",_xlfn.XLOOKUP(G3481:G7524,castles_state!A:A,castles_state!D:D,"見つかりません"))</f>
      </c>
      <c r="I3481" s="4"/>
      <c r="J3481" s="12" t="str">
        <f t="array" ref="J3481">IF(I3481:I7524="","",_xlfn.XLOOKUP(I3481:I7524,'参照_姫'!A:A,'参照_姫'!B:B,"見つかりません"))</f>
      </c>
      <c r="K3481" s="4">
        <v>95</v>
      </c>
      <c r="L3481" s="4">
        <v>0</v>
      </c>
      <c r="M3481" s="4"/>
      <c r="N3481" s="4"/>
      <c r="O3481" s="4"/>
      <c r="P3481" s="12" t="str">
        <f t="array" ref="P3481">IF(O3481:O7524="","",_xlfn.XLOOKUP(O3481:O7524,'参照_官位'!A:A,'参照_官位'!B:B,""))</f>
      </c>
      <c r="Q3481" s="12" t="str">
        <f t="array" ref="Q3481">IF(A3481:A7524="","",IFERROR(_xlfn.XLOOKUP(A3481:A7524,castles_state!K:K,castles_state!D:D)&amp;"主",IFERROR(_xlfn.XLOOKUP(A3481:A7524,kunishuClan!D:D,kunishuClan!B:B)&amp;"当主","")))</f>
      </c>
    </row>
    <row r="3482" ht="15.75" customHeight="1">
      <c r="A3482" s="4">
        <v>1218007</v>
      </c>
      <c r="B3482" s="12" t="str">
        <f t="array" ref="B3482">IF(A3482:A7525="","",_xlfn.XLOOKUP(A3482:A7525,'参照_武将'!A:A,'参照_武将'!B:B,"見つかりません"))</f>
      </c>
      <c r="C3482" s="4" t="s">
        <v>496</v>
      </c>
      <c r="D3482" s="4">
        <v>54</v>
      </c>
      <c r="E3482" s="12" t="str">
        <f t="array" ref="E3482">IF(D3482:D7525="","",IFERROR(_xlfn.XLOOKUP(D3482:D7525,'参照_勢力'!A:A,'参照_勢力'!B:B),IFERROR(_xlfn.XLOOKUP(F3482:F7525,kunishuClan!A:A,kunishuClan!B:B),"浪人")))</f>
      </c>
      <c r="F3482" s="4">
        <v>0</v>
      </c>
      <c r="G3482" s="4">
        <v>152</v>
      </c>
      <c r="H3482" s="12" t="str">
        <f t="array" ref="H3482">IF(G3482:G7525="","",_xlfn.XLOOKUP(G3482:G7525,castles_state!A:A,castles_state!D:D,"見つかりません"))</f>
      </c>
      <c r="I3482" s="4"/>
      <c r="J3482" s="12" t="str">
        <f t="array" ref="J3482">IF(I3482:I7525="","",_xlfn.XLOOKUP(I3482:I7525,'参照_姫'!A:A,'参照_姫'!B:B,"見つかりません"))</f>
      </c>
      <c r="K3482" s="4">
        <v>95</v>
      </c>
      <c r="L3482" s="4">
        <v>0</v>
      </c>
      <c r="M3482" s="4"/>
      <c r="N3482" s="4"/>
      <c r="O3482" s="4"/>
      <c r="P3482" s="12" t="str">
        <f t="array" ref="P3482">IF(O3482:O7525="","",_xlfn.XLOOKUP(O3482:O7525,'参照_官位'!A:A,'参照_官位'!B:B,""))</f>
      </c>
      <c r="Q3482" s="12" t="str">
        <f t="array" ref="Q3482">IF(A3482:A7525="","",IFERROR(_xlfn.XLOOKUP(A3482:A7525,castles_state!K:K,castles_state!D:D)&amp;"主",IFERROR(_xlfn.XLOOKUP(A3482:A7525,kunishuClan!D:D,kunishuClan!B:B)&amp;"当主","")))</f>
      </c>
    </row>
    <row r="3483" ht="15.75" customHeight="1">
      <c r="A3483" s="4">
        <v>1218008</v>
      </c>
      <c r="B3483" s="12" t="str">
        <f t="array" ref="B3483">IF(A3483:A7526="","",_xlfn.XLOOKUP(A3483:A7526,'参照_武将'!A:A,'参照_武将'!B:B,"見つかりません"))</f>
      </c>
      <c r="C3483" s="4" t="s">
        <v>496</v>
      </c>
      <c r="D3483" s="4">
        <v>54</v>
      </c>
      <c r="E3483" s="12" t="str">
        <f t="array" ref="E3483">IF(D3483:D7526="","",IFERROR(_xlfn.XLOOKUP(D3483:D7526,'参照_勢力'!A:A,'参照_勢力'!B:B),IFERROR(_xlfn.XLOOKUP(F3483:F7526,kunishuClan!A:A,kunishuClan!B:B),"浪人")))</f>
      </c>
      <c r="F3483" s="4">
        <v>0</v>
      </c>
      <c r="G3483" s="4">
        <v>152</v>
      </c>
      <c r="H3483" s="12" t="str">
        <f t="array" ref="H3483">IF(G3483:G7526="","",_xlfn.XLOOKUP(G3483:G7526,castles_state!A:A,castles_state!D:D,"見つかりません"))</f>
      </c>
      <c r="I3483" s="4"/>
      <c r="J3483" s="12" t="str">
        <f t="array" ref="J3483">IF(I3483:I7526="","",_xlfn.XLOOKUP(I3483:I7526,'参照_姫'!A:A,'参照_姫'!B:B,"見つかりません"))</f>
      </c>
      <c r="K3483" s="4">
        <v>90</v>
      </c>
      <c r="L3483" s="4">
        <v>0</v>
      </c>
      <c r="M3483" s="4"/>
      <c r="N3483" s="4"/>
      <c r="O3483" s="4"/>
      <c r="P3483" s="12" t="str">
        <f t="array" ref="P3483">IF(O3483:O7526="","",_xlfn.XLOOKUP(O3483:O7526,'参照_官位'!A:A,'参照_官位'!B:B,""))</f>
      </c>
      <c r="Q3483" s="12" t="str">
        <f t="array" ref="Q3483">IF(A3483:A7526="","",IFERROR(_xlfn.XLOOKUP(A3483:A7526,castles_state!K:K,castles_state!D:D)&amp;"主",IFERROR(_xlfn.XLOOKUP(A3483:A7526,kunishuClan!D:D,kunishuClan!B:B)&amp;"当主","")))</f>
      </c>
    </row>
    <row r="3484" ht="15.75" customHeight="1">
      <c r="A3484" s="4">
        <v>1218009</v>
      </c>
      <c r="B3484" s="12" t="str">
        <f t="array" ref="B3484">IF(A3484:A7527="","",_xlfn.XLOOKUP(A3484:A7527,'参照_武将'!A:A,'参照_武将'!B:B,"見つかりません"))</f>
      </c>
      <c r="C3484" s="4" t="s">
        <v>496</v>
      </c>
      <c r="D3484" s="4">
        <v>0</v>
      </c>
      <c r="E3484" s="12" t="str">
        <f t="array" ref="E3484">IF(D3484:D7527="","",IFERROR(_xlfn.XLOOKUP(D3484:D7527,'参照_勢力'!A:A,'参照_勢力'!B:B),IFERROR(_xlfn.XLOOKUP(F3484:F7527,kunishuClan!A:A,kunishuClan!B:B),"浪人")))</f>
      </c>
      <c r="F3484" s="4">
        <v>0</v>
      </c>
      <c r="G3484" s="4">
        <v>152</v>
      </c>
      <c r="H3484" s="12" t="str">
        <f t="array" ref="H3484">IF(G3484:G7527="","",_xlfn.XLOOKUP(G3484:G7527,castles_state!A:A,castles_state!D:D,"見つかりません"))</f>
      </c>
      <c r="I3484" s="4"/>
      <c r="J3484" s="12" t="str">
        <f t="array" ref="J3484">IF(I3484:I7527="","",_xlfn.XLOOKUP(I3484:I7527,'参照_姫'!A:A,'参照_姫'!B:B,"見つかりません"))</f>
      </c>
      <c r="K3484" s="4">
        <v>50</v>
      </c>
      <c r="L3484" s="4">
        <v>0</v>
      </c>
      <c r="M3484" s="4"/>
      <c r="N3484" s="4"/>
      <c r="O3484" s="4"/>
      <c r="P3484" s="12" t="str">
        <f t="array" ref="P3484">IF(O3484:O7527="","",_xlfn.XLOOKUP(O3484:O7527,'参照_官位'!A:A,'参照_官位'!B:B,""))</f>
      </c>
      <c r="Q3484" s="12" t="str">
        <f t="array" ref="Q3484">IF(A3484:A7527="","",IFERROR(_xlfn.XLOOKUP(A3484:A7527,castles_state!K:K,castles_state!D:D)&amp;"主",IFERROR(_xlfn.XLOOKUP(A3484:A7527,kunishuClan!D:D,kunishuClan!B:B)&amp;"当主","")))</f>
      </c>
    </row>
    <row r="3485" ht="15.75" customHeight="1">
      <c r="A3485" s="4">
        <v>1218010</v>
      </c>
      <c r="B3485" s="12" t="str">
        <f t="array" ref="B3485">IF(A3485:A7528="","",_xlfn.XLOOKUP(A3485:A7528,'参照_武将'!A:A,'参照_武将'!B:B,"見つかりません"))</f>
      </c>
      <c r="C3485" s="4" t="s">
        <v>496</v>
      </c>
      <c r="D3485" s="4">
        <v>0</v>
      </c>
      <c r="E3485" s="12" t="str">
        <f t="array" ref="E3485">IF(D3485:D7528="","",IFERROR(_xlfn.XLOOKUP(D3485:D7528,'参照_勢力'!A:A,'参照_勢力'!B:B),IFERROR(_xlfn.XLOOKUP(F3485:F7528,kunishuClan!A:A,kunishuClan!B:B),"浪人")))</f>
      </c>
      <c r="F3485" s="4">
        <v>0</v>
      </c>
      <c r="G3485" s="4">
        <v>152</v>
      </c>
      <c r="H3485" s="12" t="str">
        <f t="array" ref="H3485">IF(G3485:G7528="","",_xlfn.XLOOKUP(G3485:G7528,castles_state!A:A,castles_state!D:D,"見つかりません"))</f>
      </c>
      <c r="I3485" s="4"/>
      <c r="J3485" s="12" t="str">
        <f t="array" ref="J3485">IF(I3485:I7528="","",_xlfn.XLOOKUP(I3485:I7528,'参照_姫'!A:A,'参照_姫'!B:B,"見つかりません"))</f>
      </c>
      <c r="K3485" s="4">
        <v>50</v>
      </c>
      <c r="L3485" s="4">
        <v>0</v>
      </c>
      <c r="M3485" s="4"/>
      <c r="N3485" s="4"/>
      <c r="O3485" s="4"/>
      <c r="P3485" s="12" t="str">
        <f t="array" ref="P3485">IF(O3485:O7528="","",_xlfn.XLOOKUP(O3485:O7528,'参照_官位'!A:A,'参照_官位'!B:B,""))</f>
      </c>
      <c r="Q3485" s="12" t="str">
        <f t="array" ref="Q3485">IF(A3485:A7528="","",IFERROR(_xlfn.XLOOKUP(A3485:A7528,castles_state!K:K,castles_state!D:D)&amp;"主",IFERROR(_xlfn.XLOOKUP(A3485:A7528,kunishuClan!D:D,kunishuClan!B:B)&amp;"当主","")))</f>
      </c>
    </row>
    <row r="3486" ht="15.75" customHeight="1">
      <c r="A3486" s="4">
        <v>1218011</v>
      </c>
      <c r="B3486" s="12" t="str">
        <f t="array" ref="B3486">IF(A3486:A7529="","",_xlfn.XLOOKUP(A3486:A7529,'参照_武将'!A:A,'参照_武将'!B:B,"見つかりません"))</f>
      </c>
      <c r="C3486" s="4" t="s">
        <v>496</v>
      </c>
      <c r="D3486" s="4">
        <v>54</v>
      </c>
      <c r="E3486" s="12" t="str">
        <f t="array" ref="E3486">IF(D3486:D7529="","",IFERROR(_xlfn.XLOOKUP(D3486:D7529,'参照_勢力'!A:A,'参照_勢力'!B:B),IFERROR(_xlfn.XLOOKUP(F3486:F7529,kunishuClan!A:A,kunishuClan!B:B),"浪人")))</f>
      </c>
      <c r="F3486" s="4">
        <v>0</v>
      </c>
      <c r="G3486" s="4">
        <v>152</v>
      </c>
      <c r="H3486" s="12" t="str">
        <f t="array" ref="H3486">IF(G3486:G7529="","",_xlfn.XLOOKUP(G3486:G7529,castles_state!A:A,castles_state!D:D,"見つかりません"))</f>
      </c>
      <c r="I3486" s="4"/>
      <c r="J3486" s="12" t="str">
        <f t="array" ref="J3486">IF(I3486:I7529="","",_xlfn.XLOOKUP(I3486:I7529,'参照_姫'!A:A,'参照_姫'!B:B,"見つかりません"))</f>
      </c>
      <c r="K3486" s="4">
        <v>95</v>
      </c>
      <c r="L3486" s="4">
        <v>0</v>
      </c>
      <c r="M3486" s="4"/>
      <c r="N3486" s="4"/>
      <c r="O3486" s="4"/>
      <c r="P3486" s="12" t="str">
        <f t="array" ref="P3486">IF(O3486:O7529="","",_xlfn.XLOOKUP(O3486:O7529,'参照_官位'!A:A,'参照_官位'!B:B,""))</f>
      </c>
      <c r="Q3486" s="12" t="str">
        <f t="array" ref="Q3486">IF(A3486:A7529="","",IFERROR(_xlfn.XLOOKUP(A3486:A7529,castles_state!K:K,castles_state!D:D)&amp;"主",IFERROR(_xlfn.XLOOKUP(A3486:A7529,kunishuClan!D:D,kunishuClan!B:B)&amp;"当主","")))</f>
      </c>
    </row>
    <row r="3487" ht="15.75" customHeight="1">
      <c r="A3487" s="4">
        <v>1218012</v>
      </c>
      <c r="B3487" s="12" t="str">
        <f t="array" ref="B3487">IF(A3487:A7530="","",_xlfn.XLOOKUP(A3487:A7530,'参照_武将'!A:A,'参照_武将'!B:B,"見つかりません"))</f>
      </c>
      <c r="C3487" s="4" t="s">
        <v>496</v>
      </c>
      <c r="D3487" s="4">
        <v>53</v>
      </c>
      <c r="E3487" s="12" t="str">
        <f t="array" ref="E3487">IF(D3487:D7530="","",IFERROR(_xlfn.XLOOKUP(D3487:D7530,'参照_勢力'!A:A,'参照_勢力'!B:B),IFERROR(_xlfn.XLOOKUP(F3487:F7530,kunishuClan!A:A,kunishuClan!B:B),"浪人")))</f>
      </c>
      <c r="F3487" s="4">
        <v>0</v>
      </c>
      <c r="G3487" s="4">
        <v>151</v>
      </c>
      <c r="H3487" s="12" t="str">
        <f t="array" ref="H3487">IF(G3487:G7530="","",_xlfn.XLOOKUP(G3487:G7530,castles_state!A:A,castles_state!D:D,"見つかりません"))</f>
      </c>
      <c r="I3487" s="4"/>
      <c r="J3487" s="12" t="str">
        <f t="array" ref="J3487">IF(I3487:I7530="","",_xlfn.XLOOKUP(I3487:I7530,'参照_姫'!A:A,'参照_姫'!B:B,"見つかりません"))</f>
      </c>
      <c r="K3487" s="4">
        <v>85</v>
      </c>
      <c r="L3487" s="4">
        <v>500</v>
      </c>
      <c r="M3487" s="4"/>
      <c r="N3487" s="4"/>
      <c r="O3487" s="4"/>
      <c r="P3487" s="12" t="str">
        <f t="array" ref="P3487">IF(O3487:O7530="","",_xlfn.XLOOKUP(O3487:O7530,'参照_官位'!A:A,'参照_官位'!B:B,""))</f>
      </c>
      <c r="Q3487" s="12" t="str">
        <f t="array" ref="Q3487">IF(A3487:A7530="","",IFERROR(_xlfn.XLOOKUP(A3487:A7530,castles_state!K:K,castles_state!D:D)&amp;"主",IFERROR(_xlfn.XLOOKUP(A3487:A7530,kunishuClan!D:D,kunishuClan!B:B)&amp;"当主","")))</f>
      </c>
    </row>
    <row r="3488" ht="15.75" customHeight="1">
      <c r="A3488" s="4">
        <v>1218013</v>
      </c>
      <c r="B3488" s="12" t="str">
        <f t="array" ref="B3488">IF(A3488:A7531="","",_xlfn.XLOOKUP(A3488:A7531,'参照_武将'!A:A,'参照_武将'!B:B,"見つかりません"))</f>
      </c>
      <c r="C3488" s="4" t="s">
        <v>496</v>
      </c>
      <c r="D3488" s="4">
        <v>54</v>
      </c>
      <c r="E3488" s="12" t="str">
        <f t="array" ref="E3488">IF(D3488:D7531="","",IFERROR(_xlfn.XLOOKUP(D3488:D7531,'参照_勢力'!A:A,'参照_勢力'!B:B),IFERROR(_xlfn.XLOOKUP(F3488:F7531,kunishuClan!A:A,kunishuClan!B:B),"浪人")))</f>
      </c>
      <c r="F3488" s="4">
        <v>0</v>
      </c>
      <c r="G3488" s="4">
        <v>151</v>
      </c>
      <c r="H3488" s="12" t="str">
        <f t="array" ref="H3488">IF(G3488:G7531="","",_xlfn.XLOOKUP(G3488:G7531,castles_state!A:A,castles_state!D:D,"見つかりません"))</f>
      </c>
      <c r="I3488" s="4"/>
      <c r="J3488" s="12" t="str">
        <f t="array" ref="J3488">IF(I3488:I7531="","",_xlfn.XLOOKUP(I3488:I7531,'参照_姫'!A:A,'参照_姫'!B:B,"見つかりません"))</f>
      </c>
      <c r="K3488" s="4">
        <v>95</v>
      </c>
      <c r="L3488" s="4">
        <v>0</v>
      </c>
      <c r="M3488" s="4"/>
      <c r="N3488" s="4"/>
      <c r="O3488" s="4"/>
      <c r="P3488" s="12" t="str">
        <f t="array" ref="P3488">IF(O3488:O7531="","",_xlfn.XLOOKUP(O3488:O7531,'参照_官位'!A:A,'参照_官位'!B:B,""))</f>
      </c>
      <c r="Q3488" s="12" t="str">
        <f t="array" ref="Q3488">IF(A3488:A7531="","",IFERROR(_xlfn.XLOOKUP(A3488:A7531,castles_state!K:K,castles_state!D:D)&amp;"主",IFERROR(_xlfn.XLOOKUP(A3488:A7531,kunishuClan!D:D,kunishuClan!B:B)&amp;"当主","")))</f>
      </c>
    </row>
    <row r="3489" ht="15.75" customHeight="1">
      <c r="A3489" s="4">
        <v>1218014</v>
      </c>
      <c r="B3489" s="12" t="str">
        <f t="array" ref="B3489">IF(A3489:A7532="","",_xlfn.XLOOKUP(A3489:A7532,'参照_武将'!A:A,'参照_武将'!B:B,"見つかりません"))</f>
      </c>
      <c r="C3489" s="4" t="s">
        <v>496</v>
      </c>
      <c r="D3489" s="4">
        <v>53</v>
      </c>
      <c r="E3489" s="12" t="str">
        <f t="array" ref="E3489">IF(D3489:D7532="","",IFERROR(_xlfn.XLOOKUP(D3489:D7532,'参照_勢力'!A:A,'参照_勢力'!B:B),IFERROR(_xlfn.XLOOKUP(F3489:F7532,kunishuClan!A:A,kunishuClan!B:B),"浪人")))</f>
      </c>
      <c r="F3489" s="4">
        <v>0</v>
      </c>
      <c r="G3489" s="4">
        <v>150</v>
      </c>
      <c r="H3489" s="12" t="str">
        <f t="array" ref="H3489">IF(G3489:G7532="","",_xlfn.XLOOKUP(G3489:G7532,castles_state!A:A,castles_state!D:D,"見つかりません"))</f>
      </c>
      <c r="I3489" s="4"/>
      <c r="J3489" s="12" t="str">
        <f t="array" ref="J3489">IF(I3489:I7532="","",_xlfn.XLOOKUP(I3489:I7532,'参照_姫'!A:A,'参照_姫'!B:B,"見つかりません"))</f>
      </c>
      <c r="K3489" s="4">
        <v>90</v>
      </c>
      <c r="L3489" s="4">
        <v>0</v>
      </c>
      <c r="M3489" s="4"/>
      <c r="N3489" s="4"/>
      <c r="O3489" s="4"/>
      <c r="P3489" s="12" t="str">
        <f t="array" ref="P3489">IF(O3489:O7532="","",_xlfn.XLOOKUP(O3489:O7532,'参照_官位'!A:A,'参照_官位'!B:B,""))</f>
      </c>
      <c r="Q3489" s="12" t="str">
        <f t="array" ref="Q3489">IF(A3489:A7532="","",IFERROR(_xlfn.XLOOKUP(A3489:A7532,castles_state!K:K,castles_state!D:D)&amp;"主",IFERROR(_xlfn.XLOOKUP(A3489:A7532,kunishuClan!D:D,kunishuClan!B:B)&amp;"当主","")))</f>
      </c>
    </row>
    <row r="3490" ht="15.75" customHeight="1">
      <c r="A3490" s="4">
        <v>1218015</v>
      </c>
      <c r="B3490" s="12" t="str">
        <f t="array" ref="B3490">IF(A3490:A7533="","",_xlfn.XLOOKUP(A3490:A7533,'参照_武将'!A:A,'参照_武将'!B:B,"見つかりません"))</f>
      </c>
      <c r="C3490" s="4" t="s">
        <v>496</v>
      </c>
      <c r="D3490" s="4">
        <v>53</v>
      </c>
      <c r="E3490" s="12" t="str">
        <f t="array" ref="E3490">IF(D3490:D7533="","",IFERROR(_xlfn.XLOOKUP(D3490:D7533,'参照_勢力'!A:A,'参照_勢力'!B:B),IFERROR(_xlfn.XLOOKUP(F3490:F7533,kunishuClan!A:A,kunishuClan!B:B),"浪人")))</f>
      </c>
      <c r="F3490" s="4">
        <v>0</v>
      </c>
      <c r="G3490" s="4">
        <v>150</v>
      </c>
      <c r="H3490" s="12" t="str">
        <f t="array" ref="H3490">IF(G3490:G7533="","",_xlfn.XLOOKUP(G3490:G7533,castles_state!A:A,castles_state!D:D,"見つかりません"))</f>
      </c>
      <c r="I3490" s="4"/>
      <c r="J3490" s="12" t="str">
        <f t="array" ref="J3490">IF(I3490:I7533="","",_xlfn.XLOOKUP(I3490:I7533,'参照_姫'!A:A,'参照_姫'!B:B,"見つかりません"))</f>
      </c>
      <c r="K3490" s="4">
        <v>90</v>
      </c>
      <c r="L3490" s="4">
        <v>0</v>
      </c>
      <c r="M3490" s="4"/>
      <c r="N3490" s="4"/>
      <c r="O3490" s="4"/>
      <c r="P3490" s="12" t="str">
        <f t="array" ref="P3490">IF(O3490:O7533="","",_xlfn.XLOOKUP(O3490:O7533,'参照_官位'!A:A,'参照_官位'!B:B,""))</f>
      </c>
      <c r="Q3490" s="12" t="str">
        <f t="array" ref="Q3490">IF(A3490:A7533="","",IFERROR(_xlfn.XLOOKUP(A3490:A7533,castles_state!K:K,castles_state!D:D)&amp;"主",IFERROR(_xlfn.XLOOKUP(A3490:A7533,kunishuClan!D:D,kunishuClan!B:B)&amp;"当主","")))</f>
      </c>
    </row>
    <row r="3491" ht="15.75" customHeight="1">
      <c r="A3491" s="4">
        <v>1218016</v>
      </c>
      <c r="B3491" s="12" t="str">
        <f t="array" ref="B3491">IF(A3491:A7534="","",_xlfn.XLOOKUP(A3491:A7534,'参照_武将'!A:A,'参照_武将'!B:B,"見つかりません"))</f>
      </c>
      <c r="C3491" s="4" t="s">
        <v>496</v>
      </c>
      <c r="D3491" s="4">
        <v>53</v>
      </c>
      <c r="E3491" s="12" t="str">
        <f t="array" ref="E3491">IF(D3491:D7534="","",IFERROR(_xlfn.XLOOKUP(D3491:D7534,'参照_勢力'!A:A,'参照_勢力'!B:B),IFERROR(_xlfn.XLOOKUP(F3491:F7534,kunishuClan!A:A,kunishuClan!B:B),"浪人")))</f>
      </c>
      <c r="F3491" s="4">
        <v>0</v>
      </c>
      <c r="G3491" s="4">
        <v>151</v>
      </c>
      <c r="H3491" s="12" t="str">
        <f t="array" ref="H3491">IF(G3491:G7534="","",_xlfn.XLOOKUP(G3491:G7534,castles_state!A:A,castles_state!D:D,"見つかりません"))</f>
      </c>
      <c r="I3491" s="4"/>
      <c r="J3491" s="12" t="str">
        <f t="array" ref="J3491">IF(I3491:I7534="","",_xlfn.XLOOKUP(I3491:I7534,'参照_姫'!A:A,'参照_姫'!B:B,"見つかりません"))</f>
      </c>
      <c r="K3491" s="4">
        <v>85</v>
      </c>
      <c r="L3491" s="4">
        <v>0</v>
      </c>
      <c r="M3491" s="4"/>
      <c r="N3491" s="4"/>
      <c r="O3491" s="4"/>
      <c r="P3491" s="12" t="str">
        <f t="array" ref="P3491">IF(O3491:O7534="","",_xlfn.XLOOKUP(O3491:O7534,'参照_官位'!A:A,'参照_官位'!B:B,""))</f>
      </c>
      <c r="Q3491" s="12" t="str">
        <f t="array" ref="Q3491">IF(A3491:A7534="","",IFERROR(_xlfn.XLOOKUP(A3491:A7534,castles_state!K:K,castles_state!D:D)&amp;"主",IFERROR(_xlfn.XLOOKUP(A3491:A7534,kunishuClan!D:D,kunishuClan!B:B)&amp;"当主","")))</f>
      </c>
    </row>
    <row r="3492" ht="15.75" customHeight="1">
      <c r="A3492" s="4">
        <v>1218017</v>
      </c>
      <c r="B3492" s="12" t="str">
        <f t="array" ref="B3492">IF(A3492:A7535="","",_xlfn.XLOOKUP(A3492:A7535,'参照_武将'!A:A,'参照_武将'!B:B,"見つかりません"))</f>
      </c>
      <c r="C3492" s="4" t="s">
        <v>496</v>
      </c>
      <c r="D3492" s="4">
        <v>0</v>
      </c>
      <c r="E3492" s="12" t="str">
        <f t="array" ref="E3492">IF(D3492:D7535="","",IFERROR(_xlfn.XLOOKUP(D3492:D7535,'参照_勢力'!A:A,'参照_勢力'!B:B),IFERROR(_xlfn.XLOOKUP(F3492:F7535,kunishuClan!A:A,kunishuClan!B:B),"浪人")))</f>
      </c>
      <c r="F3492" s="4">
        <v>0</v>
      </c>
      <c r="G3492" s="4">
        <v>151</v>
      </c>
      <c r="H3492" s="12" t="str">
        <f t="array" ref="H3492">IF(G3492:G7535="","",_xlfn.XLOOKUP(G3492:G7535,castles_state!A:A,castles_state!D:D,"見つかりません"))</f>
      </c>
      <c r="I3492" s="4"/>
      <c r="J3492" s="12" t="str">
        <f t="array" ref="J3492">IF(I3492:I7535="","",_xlfn.XLOOKUP(I3492:I7535,'参照_姫'!A:A,'参照_姫'!B:B,"見つかりません"))</f>
      </c>
      <c r="K3492" s="4">
        <v>50</v>
      </c>
      <c r="L3492" s="4">
        <v>0</v>
      </c>
      <c r="M3492" s="4"/>
      <c r="N3492" s="4"/>
      <c r="O3492" s="4"/>
      <c r="P3492" s="12" t="str">
        <f t="array" ref="P3492">IF(O3492:O7535="","",_xlfn.XLOOKUP(O3492:O7535,'参照_官位'!A:A,'参照_官位'!B:B,""))</f>
      </c>
      <c r="Q3492" s="12" t="str">
        <f t="array" ref="Q3492">IF(A3492:A7535="","",IFERROR(_xlfn.XLOOKUP(A3492:A7535,castles_state!K:K,castles_state!D:D)&amp;"主",IFERROR(_xlfn.XLOOKUP(A3492:A7535,kunishuClan!D:D,kunishuClan!B:B)&amp;"当主","")))</f>
      </c>
    </row>
    <row r="3493" ht="15.75" customHeight="1">
      <c r="A3493" s="4">
        <v>1218018</v>
      </c>
      <c r="B3493" s="12" t="str">
        <f t="array" ref="B3493">IF(A3493:A7536="","",_xlfn.XLOOKUP(A3493:A7536,'参照_武将'!A:A,'参照_武将'!B:B,"見つかりません"))</f>
      </c>
      <c r="C3493" s="4" t="s">
        <v>496</v>
      </c>
      <c r="D3493" s="4">
        <v>0</v>
      </c>
      <c r="E3493" s="12" t="str">
        <f t="array" ref="E3493">IF(D3493:D7536="","",IFERROR(_xlfn.XLOOKUP(D3493:D7536,'参照_勢力'!A:A,'参照_勢力'!B:B),IFERROR(_xlfn.XLOOKUP(F3493:F7536,kunishuClan!A:A,kunishuClan!B:B),"浪人")))</f>
      </c>
      <c r="F3493" s="4">
        <v>0</v>
      </c>
      <c r="G3493" s="4">
        <v>151</v>
      </c>
      <c r="H3493" s="12" t="str">
        <f t="array" ref="H3493">IF(G3493:G7536="","",_xlfn.XLOOKUP(G3493:G7536,castles_state!A:A,castles_state!D:D,"見つかりません"))</f>
      </c>
      <c r="I3493" s="4"/>
      <c r="J3493" s="12" t="str">
        <f t="array" ref="J3493">IF(I3493:I7536="","",_xlfn.XLOOKUP(I3493:I7536,'参照_姫'!A:A,'参照_姫'!B:B,"見つかりません"))</f>
      </c>
      <c r="K3493" s="4">
        <v>50</v>
      </c>
      <c r="L3493" s="4">
        <v>0</v>
      </c>
      <c r="M3493" s="4"/>
      <c r="N3493" s="4"/>
      <c r="O3493" s="4"/>
      <c r="P3493" s="12" t="str">
        <f t="array" ref="P3493">IF(O3493:O7536="","",_xlfn.XLOOKUP(O3493:O7536,'参照_官位'!A:A,'参照_官位'!B:B,""))</f>
      </c>
      <c r="Q3493" s="12" t="str">
        <f t="array" ref="Q3493">IF(A3493:A7536="","",IFERROR(_xlfn.XLOOKUP(A3493:A7536,castles_state!K:K,castles_state!D:D)&amp;"主",IFERROR(_xlfn.XLOOKUP(A3493:A7536,kunishuClan!D:D,kunishuClan!B:B)&amp;"当主","")))</f>
      </c>
    </row>
    <row r="3494" ht="15.75" customHeight="1">
      <c r="A3494" s="4">
        <v>1218019</v>
      </c>
      <c r="B3494" s="12" t="str">
        <f t="array" ref="B3494">IF(A3494:A7537="","",_xlfn.XLOOKUP(A3494:A7537,'参照_武将'!A:A,'参照_武将'!B:B,"見つかりません"))</f>
      </c>
      <c r="C3494" s="4" t="s">
        <v>496</v>
      </c>
      <c r="D3494" s="4">
        <v>0</v>
      </c>
      <c r="E3494" s="12" t="str">
        <f t="array" ref="E3494">IF(D3494:D7537="","",IFERROR(_xlfn.XLOOKUP(D3494:D7537,'参照_勢力'!A:A,'参照_勢力'!B:B),IFERROR(_xlfn.XLOOKUP(F3494:F7537,kunishuClan!A:A,kunishuClan!B:B),"浪人")))</f>
      </c>
      <c r="F3494" s="4">
        <v>0</v>
      </c>
      <c r="G3494" s="4">
        <v>151</v>
      </c>
      <c r="H3494" s="12" t="str">
        <f t="array" ref="H3494">IF(G3494:G7537="","",_xlfn.XLOOKUP(G3494:G7537,castles_state!A:A,castles_state!D:D,"見つかりません"))</f>
      </c>
      <c r="I3494" s="4"/>
      <c r="J3494" s="12" t="str">
        <f t="array" ref="J3494">IF(I3494:I7537="","",_xlfn.XLOOKUP(I3494:I7537,'参照_姫'!A:A,'参照_姫'!B:B,"見つかりません"))</f>
      </c>
      <c r="K3494" s="4">
        <v>50</v>
      </c>
      <c r="L3494" s="4">
        <v>0</v>
      </c>
      <c r="M3494" s="4"/>
      <c r="N3494" s="4"/>
      <c r="O3494" s="4"/>
      <c r="P3494" s="12" t="str">
        <f t="array" ref="P3494">IF(O3494:O7537="","",_xlfn.XLOOKUP(O3494:O7537,'参照_官位'!A:A,'参照_官位'!B:B,""))</f>
      </c>
      <c r="Q3494" s="12" t="str">
        <f t="array" ref="Q3494">IF(A3494:A7537="","",IFERROR(_xlfn.XLOOKUP(A3494:A7537,castles_state!K:K,castles_state!D:D)&amp;"主",IFERROR(_xlfn.XLOOKUP(A3494:A7537,kunishuClan!D:D,kunishuClan!B:B)&amp;"当主","")))</f>
      </c>
    </row>
    <row r="3495" ht="15.75" customHeight="1">
      <c r="A3495" s="4">
        <v>1218020</v>
      </c>
      <c r="B3495" s="12" t="str">
        <f t="array" ref="B3495">IF(A3495:A7538="","",_xlfn.XLOOKUP(A3495:A7538,'参照_武将'!A:A,'参照_武将'!B:B,"見つかりません"))</f>
      </c>
      <c r="C3495" s="4" t="s">
        <v>496</v>
      </c>
      <c r="D3495" s="4">
        <v>53</v>
      </c>
      <c r="E3495" s="12" t="str">
        <f t="array" ref="E3495">IF(D3495:D7538="","",IFERROR(_xlfn.XLOOKUP(D3495:D7538,'参照_勢力'!A:A,'参照_勢力'!B:B),IFERROR(_xlfn.XLOOKUP(F3495:F7538,kunishuClan!A:A,kunishuClan!B:B),"浪人")))</f>
      </c>
      <c r="F3495" s="4">
        <v>0</v>
      </c>
      <c r="G3495" s="4">
        <v>150</v>
      </c>
      <c r="H3495" s="12" t="str">
        <f t="array" ref="H3495">IF(G3495:G7538="","",_xlfn.XLOOKUP(G3495:G7538,castles_state!A:A,castles_state!D:D,"見つかりません"))</f>
      </c>
      <c r="I3495" s="4"/>
      <c r="J3495" s="12" t="str">
        <f t="array" ref="J3495">IF(I3495:I7538="","",_xlfn.XLOOKUP(I3495:I7538,'参照_姫'!A:A,'参照_姫'!B:B,"見つかりません"))</f>
      </c>
      <c r="K3495" s="4">
        <v>95</v>
      </c>
      <c r="L3495" s="4">
        <v>0</v>
      </c>
      <c r="M3495" s="4"/>
      <c r="N3495" s="4"/>
      <c r="O3495" s="4"/>
      <c r="P3495" s="12" t="str">
        <f t="array" ref="P3495">IF(O3495:O7538="","",_xlfn.XLOOKUP(O3495:O7538,'参照_官位'!A:A,'参照_官位'!B:B,""))</f>
      </c>
      <c r="Q3495" s="12" t="str">
        <f t="array" ref="Q3495">IF(A3495:A7538="","",IFERROR(_xlfn.XLOOKUP(A3495:A7538,castles_state!K:K,castles_state!D:D)&amp;"主",IFERROR(_xlfn.XLOOKUP(A3495:A7538,kunishuClan!D:D,kunishuClan!B:B)&amp;"当主","")))</f>
      </c>
    </row>
    <row r="3496" ht="15.75" customHeight="1">
      <c r="A3496" s="4">
        <v>1220001</v>
      </c>
      <c r="B3496" s="12" t="str">
        <f t="array" ref="B3496">IF(A3496:A7539="","",_xlfn.XLOOKUP(A3496:A7539,'参照_武将'!A:A,'参照_武将'!B:B,"見つかりません"))</f>
      </c>
      <c r="C3496" s="4" t="s">
        <v>503</v>
      </c>
      <c r="D3496" s="4">
        <v>6</v>
      </c>
      <c r="E3496" s="12" t="str">
        <f t="array" ref="E3496">IF(D3496:D7539="","",IFERROR(_xlfn.XLOOKUP(D3496:D7539,'参照_勢力'!A:A,'参照_勢力'!B:B),IFERROR(_xlfn.XLOOKUP(F3496:F7539,kunishuClan!A:A,kunishuClan!B:B),"浪人")))</f>
      </c>
      <c r="F3496" s="4">
        <v>0</v>
      </c>
      <c r="G3496" s="4">
        <v>182</v>
      </c>
      <c r="H3496" s="12" t="str">
        <f t="array" ref="H3496">IF(G3496:G7539="","",_xlfn.XLOOKUP(G3496:G7539,castles_state!A:A,castles_state!D:D,"見つかりません"))</f>
      </c>
      <c r="I3496" s="4"/>
      <c r="J3496" s="12" t="str">
        <f t="array" ref="J3496">IF(I3496:I7539="","",_xlfn.XLOOKUP(I3496:I7539,'参照_姫'!A:A,'参照_姫'!B:B,"見つかりません"))</f>
      </c>
      <c r="K3496" s="4">
        <v>95</v>
      </c>
      <c r="L3496" s="4">
        <v>0</v>
      </c>
      <c r="M3496" s="4"/>
      <c r="N3496" s="4"/>
      <c r="O3496" s="4"/>
      <c r="P3496" s="12" t="str">
        <f t="array" ref="P3496">IF(O3496:O7539="","",_xlfn.XLOOKUP(O3496:O7539,'参照_官位'!A:A,'参照_官位'!B:B,""))</f>
      </c>
      <c r="Q3496" s="12" t="str">
        <f t="array" ref="Q3496">IF(A3496:A7539="","",IFERROR(_xlfn.XLOOKUP(A3496:A7539,castles_state!K:K,castles_state!D:D)&amp;"主",IFERROR(_xlfn.XLOOKUP(A3496:A7539,kunishuClan!D:D,kunishuClan!B:B)&amp;"当主","")))</f>
      </c>
    </row>
    <row r="3497" ht="15.75" customHeight="1">
      <c r="A3497" s="4">
        <v>1220002</v>
      </c>
      <c r="B3497" s="12" t="str">
        <f t="array" ref="B3497">IF(A3497:A7540="","",_xlfn.XLOOKUP(A3497:A7540,'参照_武将'!A:A,'参照_武将'!B:B,"見つかりません"))</f>
      </c>
      <c r="C3497" s="4" t="s">
        <v>503</v>
      </c>
      <c r="D3497" s="4">
        <v>6</v>
      </c>
      <c r="E3497" s="12" t="str">
        <f t="array" ref="E3497">IF(D3497:D7540="","",IFERROR(_xlfn.XLOOKUP(D3497:D7540,'参照_勢力'!A:A,'参照_勢力'!B:B),IFERROR(_xlfn.XLOOKUP(F3497:F7540,kunishuClan!A:A,kunishuClan!B:B),"浪人")))</f>
      </c>
      <c r="F3497" s="4">
        <v>0</v>
      </c>
      <c r="G3497" s="4">
        <v>182</v>
      </c>
      <c r="H3497" s="12" t="str">
        <f t="array" ref="H3497">IF(G3497:G7540="","",_xlfn.XLOOKUP(G3497:G7540,castles_state!A:A,castles_state!D:D,"見つかりません"))</f>
      </c>
      <c r="I3497" s="4"/>
      <c r="J3497" s="12" t="str">
        <f t="array" ref="J3497">IF(I3497:I7540="","",_xlfn.XLOOKUP(I3497:I7540,'参照_姫'!A:A,'参照_姫'!B:B,"見つかりません"))</f>
      </c>
      <c r="K3497" s="4">
        <v>95</v>
      </c>
      <c r="L3497" s="4">
        <v>0</v>
      </c>
      <c r="M3497" s="4"/>
      <c r="N3497" s="4"/>
      <c r="O3497" s="4"/>
      <c r="P3497" s="12" t="str">
        <f t="array" ref="P3497">IF(O3497:O7540="","",_xlfn.XLOOKUP(O3497:O7540,'参照_官位'!A:A,'参照_官位'!B:B,""))</f>
      </c>
      <c r="Q3497" s="12" t="str">
        <f t="array" ref="Q3497">IF(A3497:A7540="","",IFERROR(_xlfn.XLOOKUP(A3497:A7540,castles_state!K:K,castles_state!D:D)&amp;"主",IFERROR(_xlfn.XLOOKUP(A3497:A7540,kunishuClan!D:D,kunishuClan!B:B)&amp;"当主","")))</f>
      </c>
    </row>
    <row r="3498" ht="15.75" customHeight="1">
      <c r="A3498" s="4">
        <v>1220003</v>
      </c>
      <c r="B3498" s="12" t="str">
        <f t="array" ref="B3498">IF(A3498:A7541="","",_xlfn.XLOOKUP(A3498:A7541,'参照_武将'!A:A,'参照_武将'!B:B,"見つかりません"))</f>
      </c>
      <c r="C3498" s="4" t="s">
        <v>503</v>
      </c>
      <c r="D3498" s="4">
        <v>3</v>
      </c>
      <c r="E3498" s="12" t="str">
        <f t="array" ref="E3498">IF(D3498:D7541="","",IFERROR(_xlfn.XLOOKUP(D3498:D7541,'参照_勢力'!A:A,'参照_勢力'!B:B),IFERROR(_xlfn.XLOOKUP(F3498:F7541,kunishuClan!A:A,kunishuClan!B:B),"浪人")))</f>
      </c>
      <c r="F3498" s="4">
        <v>0</v>
      </c>
      <c r="G3498" s="4">
        <v>9</v>
      </c>
      <c r="H3498" s="12" t="str">
        <f t="array" ref="H3498">IF(G3498:G7541="","",_xlfn.XLOOKUP(G3498:G7541,castles_state!A:A,castles_state!D:D,"見つかりません"))</f>
      </c>
      <c r="I3498" s="4"/>
      <c r="J3498" s="12" t="str">
        <f t="array" ref="J3498">IF(I3498:I7541="","",_xlfn.XLOOKUP(I3498:I7541,'参照_姫'!A:A,'参照_姫'!B:B,"見つかりません"))</f>
      </c>
      <c r="K3498" s="4">
        <v>95</v>
      </c>
      <c r="L3498" s="4">
        <v>200</v>
      </c>
      <c r="M3498" s="4"/>
      <c r="N3498" s="4" t="b">
        <v>1</v>
      </c>
      <c r="O3498" s="4"/>
      <c r="P3498" s="12" t="str">
        <f t="array" ref="P3498">IF(O3498:O7541="","",_xlfn.XLOOKUP(O3498:O7541,'参照_官位'!A:A,'参照_官位'!B:B,""))</f>
      </c>
      <c r="Q3498" s="12" t="str">
        <f t="array" ref="Q3498">IF(A3498:A7541="","",IFERROR(_xlfn.XLOOKUP(A3498:A7541,castles_state!K:K,castles_state!D:D)&amp;"主",IFERROR(_xlfn.XLOOKUP(A3498:A7541,kunishuClan!D:D,kunishuClan!B:B)&amp;"当主","")))</f>
      </c>
    </row>
    <row r="3499" ht="15.75" customHeight="1">
      <c r="A3499" s="4">
        <v>1220004</v>
      </c>
      <c r="B3499" s="12" t="str">
        <f t="array" ref="B3499">IF(A3499:A7542="","",_xlfn.XLOOKUP(A3499:A7542,'参照_武将'!A:A,'参照_武将'!B:B,"見つかりません"))</f>
      </c>
      <c r="C3499" s="4" t="s">
        <v>503</v>
      </c>
      <c r="D3499" s="4">
        <v>6</v>
      </c>
      <c r="E3499" s="12" t="str">
        <f t="array" ref="E3499">IF(D3499:D7542="","",IFERROR(_xlfn.XLOOKUP(D3499:D7542,'参照_勢力'!A:A,'参照_勢力'!B:B),IFERROR(_xlfn.XLOOKUP(F3499:F7542,kunishuClan!A:A,kunishuClan!B:B),"浪人")))</f>
      </c>
      <c r="F3499" s="4">
        <v>0</v>
      </c>
      <c r="G3499" s="4">
        <v>182</v>
      </c>
      <c r="H3499" s="12" t="str">
        <f t="array" ref="H3499">IF(G3499:G7542="","",_xlfn.XLOOKUP(G3499:G7542,castles_state!A:A,castles_state!D:D,"見つかりません"))</f>
      </c>
      <c r="I3499" s="4"/>
      <c r="J3499" s="12" t="str">
        <f t="array" ref="J3499">IF(I3499:I7542="","",_xlfn.XLOOKUP(I3499:I7542,'参照_姫'!A:A,'参照_姫'!B:B,"見つかりません"))</f>
      </c>
      <c r="K3499" s="4">
        <v>95</v>
      </c>
      <c r="L3499" s="4">
        <v>200</v>
      </c>
      <c r="M3499" s="4"/>
      <c r="N3499" s="4" t="b">
        <v>1</v>
      </c>
      <c r="O3499" s="4"/>
      <c r="P3499" s="12" t="str">
        <f t="array" ref="P3499">IF(O3499:O7542="","",_xlfn.XLOOKUP(O3499:O7542,'参照_官位'!A:A,'参照_官位'!B:B,""))</f>
      </c>
      <c r="Q3499" s="12" t="str">
        <f t="array" ref="Q3499">IF(A3499:A7542="","",IFERROR(_xlfn.XLOOKUP(A3499:A7542,castles_state!K:K,castles_state!D:D)&amp;"主",IFERROR(_xlfn.XLOOKUP(A3499:A7542,kunishuClan!D:D,kunishuClan!B:B)&amp;"当主","")))</f>
      </c>
    </row>
    <row r="3500" ht="15.75" customHeight="1">
      <c r="A3500" s="4">
        <v>1220005</v>
      </c>
      <c r="B3500" s="12" t="str">
        <f t="array" ref="B3500">IF(A3500:A7543="","",_xlfn.XLOOKUP(A3500:A7543,'参照_武将'!A:A,'参照_武将'!B:B,"見つかりません"))</f>
      </c>
      <c r="C3500" s="4" t="s">
        <v>503</v>
      </c>
      <c r="D3500" s="4">
        <v>1</v>
      </c>
      <c r="E3500" s="12" t="str">
        <f t="array" ref="E3500">IF(D3500:D7543="","",IFERROR(_xlfn.XLOOKUP(D3500:D7543,'参照_勢力'!A:A,'参照_勢力'!B:B),IFERROR(_xlfn.XLOOKUP(F3500:F7543,kunishuClan!A:A,kunishuClan!B:B),"浪人")))</f>
      </c>
      <c r="F3500" s="4">
        <v>0</v>
      </c>
      <c r="G3500" s="4">
        <v>39</v>
      </c>
      <c r="H3500" s="12" t="str">
        <f t="array" ref="H3500">IF(G3500:G7543="","",_xlfn.XLOOKUP(G3500:G7543,castles_state!A:A,castles_state!D:D,"見つかりません"))</f>
      </c>
      <c r="I3500" s="4"/>
      <c r="J3500" s="12" t="str">
        <f t="array" ref="J3500">IF(I3500:I7543="","",_xlfn.XLOOKUP(I3500:I7543,'参照_姫'!A:A,'参照_姫'!B:B,"見つかりません"))</f>
      </c>
      <c r="K3500" s="4">
        <v>90</v>
      </c>
      <c r="L3500" s="4">
        <v>0</v>
      </c>
      <c r="M3500" s="4"/>
      <c r="N3500" s="4"/>
      <c r="O3500" s="4"/>
      <c r="P3500" s="12" t="str">
        <f t="array" ref="P3500">IF(O3500:O7543="","",_xlfn.XLOOKUP(O3500:O7543,'参照_官位'!A:A,'参照_官位'!B:B,""))</f>
      </c>
      <c r="Q3500" s="12" t="str">
        <f t="array" ref="Q3500">IF(A3500:A7543="","",IFERROR(_xlfn.XLOOKUP(A3500:A7543,castles_state!K:K,castles_state!D:D)&amp;"主",IFERROR(_xlfn.XLOOKUP(A3500:A7543,kunishuClan!D:D,kunishuClan!B:B)&amp;"当主","")))</f>
      </c>
    </row>
    <row r="3501" ht="15.75" customHeight="1">
      <c r="A3501" s="4">
        <v>1220006</v>
      </c>
      <c r="B3501" s="12" t="str">
        <f t="array" ref="B3501">IF(A3501:A7544="","",_xlfn.XLOOKUP(A3501:A7544,'参照_武将'!A:A,'参照_武将'!B:B,"見つかりません"))</f>
      </c>
      <c r="C3501" s="4" t="s">
        <v>503</v>
      </c>
      <c r="D3501" s="4">
        <v>0</v>
      </c>
      <c r="E3501" s="12" t="str">
        <f t="array" ref="E3501">IF(D3501:D7544="","",IFERROR(_xlfn.XLOOKUP(D3501:D7544,'参照_勢力'!A:A,'参照_勢力'!B:B),IFERROR(_xlfn.XLOOKUP(F3501:F7544,kunishuClan!A:A,kunishuClan!B:B),"浪人")))</f>
      </c>
      <c r="F3501" s="4">
        <v>0</v>
      </c>
      <c r="G3501" s="4">
        <v>182</v>
      </c>
      <c r="H3501" s="12" t="str">
        <f t="array" ref="H3501">IF(G3501:G7544="","",_xlfn.XLOOKUP(G3501:G7544,castles_state!A:A,castles_state!D:D,"見つかりません"))</f>
      </c>
      <c r="I3501" s="4"/>
      <c r="J3501" s="12" t="str">
        <f t="array" ref="J3501">IF(I3501:I7544="","",_xlfn.XLOOKUP(I3501:I7544,'参照_姫'!A:A,'参照_姫'!B:B,"見つかりません"))</f>
      </c>
      <c r="K3501" s="4">
        <v>50</v>
      </c>
      <c r="L3501" s="4">
        <v>0</v>
      </c>
      <c r="M3501" s="4"/>
      <c r="N3501" s="4"/>
      <c r="O3501" s="4"/>
      <c r="P3501" s="12" t="str">
        <f t="array" ref="P3501">IF(O3501:O7544="","",_xlfn.XLOOKUP(O3501:O7544,'参照_官位'!A:A,'参照_官位'!B:B,""))</f>
      </c>
      <c r="Q3501" s="12" t="str">
        <f t="array" ref="Q3501">IF(A3501:A7544="","",IFERROR(_xlfn.XLOOKUP(A3501:A7544,castles_state!K:K,castles_state!D:D)&amp;"主",IFERROR(_xlfn.XLOOKUP(A3501:A7544,kunishuClan!D:D,kunishuClan!B:B)&amp;"当主","")))</f>
      </c>
    </row>
    <row r="3502" ht="15.75" customHeight="1">
      <c r="A3502" s="4">
        <v>1220007</v>
      </c>
      <c r="B3502" s="12" t="str">
        <f t="array" ref="B3502">IF(A3502:A7545="","",_xlfn.XLOOKUP(A3502:A7545,'参照_武将'!A:A,'参照_武将'!B:B,"見つかりません"))</f>
      </c>
      <c r="C3502" s="4" t="s">
        <v>503</v>
      </c>
      <c r="D3502" s="4">
        <v>3</v>
      </c>
      <c r="E3502" s="12" t="str">
        <f t="array" ref="E3502">IF(D3502:D7545="","",IFERROR(_xlfn.XLOOKUP(D3502:D7545,'参照_勢力'!A:A,'参照_勢力'!B:B),IFERROR(_xlfn.XLOOKUP(F3502:F7545,kunishuClan!A:A,kunishuClan!B:B),"浪人")))</f>
      </c>
      <c r="F3502" s="4">
        <v>0</v>
      </c>
      <c r="G3502" s="4">
        <v>9</v>
      </c>
      <c r="H3502" s="12" t="str">
        <f t="array" ref="H3502">IF(G3502:G7545="","",_xlfn.XLOOKUP(G3502:G7545,castles_state!A:A,castles_state!D:D,"見つかりません"))</f>
      </c>
      <c r="I3502" s="4"/>
      <c r="J3502" s="12" t="str">
        <f t="array" ref="J3502">IF(I3502:I7545="","",_xlfn.XLOOKUP(I3502:I7545,'参照_姫'!A:A,'参照_姫'!B:B,"見つかりません"))</f>
      </c>
      <c r="K3502" s="4">
        <v>85</v>
      </c>
      <c r="L3502" s="4">
        <v>0</v>
      </c>
      <c r="M3502" s="4"/>
      <c r="N3502" s="4"/>
      <c r="O3502" s="4"/>
      <c r="P3502" s="12" t="str">
        <f t="array" ref="P3502">IF(O3502:O7545="","",_xlfn.XLOOKUP(O3502:O7545,'参照_官位'!A:A,'参照_官位'!B:B,""))</f>
      </c>
      <c r="Q3502" s="12" t="str">
        <f t="array" ref="Q3502">IF(A3502:A7545="","",IFERROR(_xlfn.XLOOKUP(A3502:A7545,castles_state!K:K,castles_state!D:D)&amp;"主",IFERROR(_xlfn.XLOOKUP(A3502:A7545,kunishuClan!D:D,kunishuClan!B:B)&amp;"当主","")))</f>
      </c>
    </row>
    <row r="3503" ht="15.75" customHeight="1">
      <c r="A3503" s="4">
        <v>1220008</v>
      </c>
      <c r="B3503" s="12" t="str">
        <f t="array" ref="B3503">IF(A3503:A7546="","",_xlfn.XLOOKUP(A3503:A7546,'参照_武将'!A:A,'参照_武将'!B:B,"見つかりません"))</f>
      </c>
      <c r="C3503" s="4" t="s">
        <v>503</v>
      </c>
      <c r="D3503" s="4">
        <v>1</v>
      </c>
      <c r="E3503" s="12" t="str">
        <f t="array" ref="E3503">IF(D3503:D7546="","",IFERROR(_xlfn.XLOOKUP(D3503:D7546,'参照_勢力'!A:A,'参照_勢力'!B:B),IFERROR(_xlfn.XLOOKUP(F3503:F7546,kunishuClan!A:A,kunishuClan!B:B),"浪人")))</f>
      </c>
      <c r="F3503" s="4">
        <v>0</v>
      </c>
      <c r="G3503" s="4">
        <v>182</v>
      </c>
      <c r="H3503" s="12" t="str">
        <f t="array" ref="H3503">IF(G3503:G7546="","",_xlfn.XLOOKUP(G3503:G7546,castles_state!A:A,castles_state!D:D,"見つかりません"))</f>
      </c>
      <c r="I3503" s="4"/>
      <c r="J3503" s="12" t="str">
        <f t="array" ref="J3503">IF(I3503:I7546="","",_xlfn.XLOOKUP(I3503:I7546,'参照_姫'!A:A,'参照_姫'!B:B,"見つかりません"))</f>
      </c>
      <c r="K3503" s="4">
        <v>85</v>
      </c>
      <c r="L3503" s="4">
        <v>0</v>
      </c>
      <c r="M3503" s="4"/>
      <c r="N3503" s="4"/>
      <c r="O3503" s="4"/>
      <c r="P3503" s="12" t="str">
        <f t="array" ref="P3503">IF(O3503:O7546="","",_xlfn.XLOOKUP(O3503:O7546,'参照_官位'!A:A,'参照_官位'!B:B,""))</f>
      </c>
      <c r="Q3503" s="12" t="str">
        <f t="array" ref="Q3503">IF(A3503:A7546="","",IFERROR(_xlfn.XLOOKUP(A3503:A7546,castles_state!K:K,castles_state!D:D)&amp;"主",IFERROR(_xlfn.XLOOKUP(A3503:A7546,kunishuClan!D:D,kunishuClan!B:B)&amp;"当主","")))</f>
      </c>
    </row>
    <row r="3504" ht="15.75" customHeight="1">
      <c r="A3504" s="4">
        <v>1220009</v>
      </c>
      <c r="B3504" s="12" t="str">
        <f t="array" ref="B3504">IF(A3504:A7547="","",_xlfn.XLOOKUP(A3504:A7547,'参照_武将'!A:A,'参照_武将'!B:B,"見つかりません"))</f>
      </c>
      <c r="C3504" s="4" t="s">
        <v>503</v>
      </c>
      <c r="D3504" s="4">
        <v>1</v>
      </c>
      <c r="E3504" s="12" t="str">
        <f t="array" ref="E3504">IF(D3504:D7547="","",IFERROR(_xlfn.XLOOKUP(D3504:D7547,'参照_勢力'!A:A,'参照_勢力'!B:B),IFERROR(_xlfn.XLOOKUP(F3504:F7547,kunishuClan!A:A,kunishuClan!B:B),"浪人")))</f>
      </c>
      <c r="F3504" s="4">
        <v>0</v>
      </c>
      <c r="G3504" s="4">
        <v>3</v>
      </c>
      <c r="H3504" s="12" t="str">
        <f t="array" ref="H3504">IF(G3504:G7547="","",_xlfn.XLOOKUP(G3504:G7547,castles_state!A:A,castles_state!D:D,"見つかりません"))</f>
      </c>
      <c r="I3504" s="4"/>
      <c r="J3504" s="12" t="str">
        <f t="array" ref="J3504">IF(I3504:I7547="","",_xlfn.XLOOKUP(I3504:I7547,'参照_姫'!A:A,'参照_姫'!B:B,"見つかりません"))</f>
      </c>
      <c r="K3504" s="4">
        <v>95</v>
      </c>
      <c r="L3504" s="4">
        <v>0</v>
      </c>
      <c r="M3504" s="4"/>
      <c r="N3504" s="4"/>
      <c r="O3504" s="4"/>
      <c r="P3504" s="12" t="str">
        <f t="array" ref="P3504">IF(O3504:O7547="","",_xlfn.XLOOKUP(O3504:O7547,'参照_官位'!A:A,'参照_官位'!B:B,""))</f>
      </c>
      <c r="Q3504" s="12" t="str">
        <f t="array" ref="Q3504">IF(A3504:A7547="","",IFERROR(_xlfn.XLOOKUP(A3504:A7547,castles_state!K:K,castles_state!D:D)&amp;"主",IFERROR(_xlfn.XLOOKUP(A3504:A7547,kunishuClan!D:D,kunishuClan!B:B)&amp;"当主","")))</f>
      </c>
    </row>
    <row r="3505" ht="15.75" customHeight="1">
      <c r="A3505" s="4">
        <v>1220010</v>
      </c>
      <c r="B3505" s="12" t="str">
        <f t="array" ref="B3505">IF(A3505:A7548="","",_xlfn.XLOOKUP(A3505:A7548,'参照_武将'!A:A,'参照_武将'!B:B,"見つかりません"))</f>
      </c>
      <c r="C3505" s="4" t="s">
        <v>503</v>
      </c>
      <c r="D3505" s="4">
        <v>1</v>
      </c>
      <c r="E3505" s="12" t="str">
        <f t="array" ref="E3505">IF(D3505:D7548="","",IFERROR(_xlfn.XLOOKUP(D3505:D7548,'参照_勢力'!A:A,'参照_勢力'!B:B),IFERROR(_xlfn.XLOOKUP(F3505:F7548,kunishuClan!A:A,kunishuClan!B:B),"浪人")))</f>
      </c>
      <c r="F3505" s="4">
        <v>0</v>
      </c>
      <c r="G3505" s="4">
        <v>3</v>
      </c>
      <c r="H3505" s="12" t="str">
        <f t="array" ref="H3505">IF(G3505:G7548="","",_xlfn.XLOOKUP(G3505:G7548,castles_state!A:A,castles_state!D:D,"見つかりません"))</f>
      </c>
      <c r="I3505" s="4"/>
      <c r="J3505" s="12" t="str">
        <f t="array" ref="J3505">IF(I3505:I7548="","",_xlfn.XLOOKUP(I3505:I7548,'参照_姫'!A:A,'参照_姫'!B:B,"見つかりません"))</f>
      </c>
      <c r="K3505" s="4">
        <v>95</v>
      </c>
      <c r="L3505" s="4">
        <v>0</v>
      </c>
      <c r="M3505" s="4"/>
      <c r="N3505" s="4"/>
      <c r="O3505" s="4"/>
      <c r="P3505" s="12" t="str">
        <f t="array" ref="P3505">IF(O3505:O7548="","",_xlfn.XLOOKUP(O3505:O7548,'参照_官位'!A:A,'参照_官位'!B:B,""))</f>
      </c>
      <c r="Q3505" s="12" t="str">
        <f t="array" ref="Q3505">IF(A3505:A7548="","",IFERROR(_xlfn.XLOOKUP(A3505:A7548,castles_state!K:K,castles_state!D:D)&amp;"主",IFERROR(_xlfn.XLOOKUP(A3505:A7548,kunishuClan!D:D,kunishuClan!B:B)&amp;"当主","")))</f>
      </c>
    </row>
    <row r="3506" ht="15.75" customHeight="1">
      <c r="A3506" s="4">
        <v>1221001</v>
      </c>
      <c r="B3506" s="12" t="str">
        <f t="array" ref="B3506">IF(A3506:A7549="","",_xlfn.XLOOKUP(A3506:A7549,'参照_武将'!A:A,'参照_武将'!B:B,"見つかりません"))</f>
      </c>
      <c r="C3506" s="4" t="s">
        <v>505</v>
      </c>
      <c r="D3506" s="4">
        <v>0</v>
      </c>
      <c r="E3506" s="12" t="str">
        <f t="array" ref="E3506">IF(D3506:D7549="","",IFERROR(_xlfn.XLOOKUP(D3506:D7549,'参照_勢力'!A:A,'参照_勢力'!B:B),IFERROR(_xlfn.XLOOKUP(F3506:F7549,kunishuClan!A:A,kunishuClan!B:B),"浪人")))</f>
      </c>
      <c r="F3506" s="4">
        <v>0</v>
      </c>
      <c r="G3506" s="4">
        <v>122</v>
      </c>
      <c r="H3506" s="12" t="str">
        <f t="array" ref="H3506">IF(G3506:G7549="","",_xlfn.XLOOKUP(G3506:G7549,castles_state!A:A,castles_state!D:D,"見つかりません"))</f>
      </c>
      <c r="I3506" s="4"/>
      <c r="J3506" s="12" t="str">
        <f t="array" ref="J3506">IF(I3506:I7549="","",_xlfn.XLOOKUP(I3506:I7549,'参照_姫'!A:A,'参照_姫'!B:B,"見つかりません"))</f>
      </c>
      <c r="K3506" s="4">
        <v>50</v>
      </c>
      <c r="L3506" s="4">
        <v>0</v>
      </c>
      <c r="M3506" s="4"/>
      <c r="N3506" s="4"/>
      <c r="O3506" s="4"/>
      <c r="P3506" s="12" t="str">
        <f t="array" ref="P3506">IF(O3506:O7549="","",_xlfn.XLOOKUP(O3506:O7549,'参照_官位'!A:A,'参照_官位'!B:B,""))</f>
      </c>
      <c r="Q3506" s="12" t="str">
        <f t="array" ref="Q3506">IF(A3506:A7549="","",IFERROR(_xlfn.XLOOKUP(A3506:A7549,castles_state!K:K,castles_state!D:D)&amp;"主",IFERROR(_xlfn.XLOOKUP(A3506:A7549,kunishuClan!D:D,kunishuClan!B:B)&amp;"当主","")))</f>
      </c>
    </row>
    <row r="3507" ht="15.75" customHeight="1">
      <c r="A3507" s="4">
        <v>1221002</v>
      </c>
      <c r="B3507" s="12" t="str">
        <f t="array" ref="B3507">IF(A3507:A7550="","",_xlfn.XLOOKUP(A3507:A7550,'参照_武将'!A:A,'参照_武将'!B:B,"見つかりません"))</f>
      </c>
      <c r="C3507" s="4" t="s">
        <v>505</v>
      </c>
      <c r="D3507" s="4">
        <v>0</v>
      </c>
      <c r="E3507" s="12" t="str">
        <f t="array" ref="E3507">IF(D3507:D7550="","",IFERROR(_xlfn.XLOOKUP(D3507:D7550,'参照_勢力'!A:A,'参照_勢力'!B:B),IFERROR(_xlfn.XLOOKUP(F3507:F7550,kunishuClan!A:A,kunishuClan!B:B),"浪人")))</f>
      </c>
      <c r="F3507" s="4">
        <v>0</v>
      </c>
      <c r="G3507" s="4">
        <v>122</v>
      </c>
      <c r="H3507" s="12" t="str">
        <f t="array" ref="H3507">IF(G3507:G7550="","",_xlfn.XLOOKUP(G3507:G7550,castles_state!A:A,castles_state!D:D,"見つかりません"))</f>
      </c>
      <c r="I3507" s="4"/>
      <c r="J3507" s="12" t="str">
        <f t="array" ref="J3507">IF(I3507:I7550="","",_xlfn.XLOOKUP(I3507:I7550,'参照_姫'!A:A,'参照_姫'!B:B,"見つかりません"))</f>
      </c>
      <c r="K3507" s="4">
        <v>50</v>
      </c>
      <c r="L3507" s="4">
        <v>0</v>
      </c>
      <c r="M3507" s="4"/>
      <c r="N3507" s="4"/>
      <c r="O3507" s="4"/>
      <c r="P3507" s="12" t="str">
        <f t="array" ref="P3507">IF(O3507:O7550="","",_xlfn.XLOOKUP(O3507:O7550,'参照_官位'!A:A,'参照_官位'!B:B,""))</f>
      </c>
      <c r="Q3507" s="12" t="str">
        <f t="array" ref="Q3507">IF(A3507:A7550="","",IFERROR(_xlfn.XLOOKUP(A3507:A7550,castles_state!K:K,castles_state!D:D)&amp;"主",IFERROR(_xlfn.XLOOKUP(A3507:A7550,kunishuClan!D:D,kunishuClan!B:B)&amp;"当主","")))</f>
      </c>
    </row>
    <row r="3508" ht="15.75" customHeight="1">
      <c r="A3508" s="4">
        <v>1221003</v>
      </c>
      <c r="B3508" s="12" t="str">
        <f t="array" ref="B3508">IF(A3508:A7551="","",_xlfn.XLOOKUP(A3508:A7551,'参照_武将'!A:A,'参照_武将'!B:B,"見つかりません"))</f>
      </c>
      <c r="C3508" s="4" t="s">
        <v>505</v>
      </c>
      <c r="D3508" s="4">
        <v>25</v>
      </c>
      <c r="E3508" s="12" t="str">
        <f t="array" ref="E3508">IF(D3508:D7551="","",IFERROR(_xlfn.XLOOKUP(D3508:D7551,'参照_勢力'!A:A,'参照_勢力'!B:B),IFERROR(_xlfn.XLOOKUP(F3508:F7551,kunishuClan!A:A,kunishuClan!B:B),"浪人")))</f>
      </c>
      <c r="F3508" s="4">
        <v>0</v>
      </c>
      <c r="G3508" s="4">
        <v>122</v>
      </c>
      <c r="H3508" s="12" t="str">
        <f t="array" ref="H3508">IF(G3508:G7551="","",_xlfn.XLOOKUP(G3508:G7551,castles_state!A:A,castles_state!D:D,"見つかりません"))</f>
      </c>
      <c r="I3508" s="4"/>
      <c r="J3508" s="12" t="str">
        <f t="array" ref="J3508">IF(I3508:I7551="","",_xlfn.XLOOKUP(I3508:I7551,'参照_姫'!A:A,'参照_姫'!B:B,"見つかりません"))</f>
      </c>
      <c r="K3508" s="4">
        <v>90</v>
      </c>
      <c r="L3508" s="4">
        <v>0</v>
      </c>
      <c r="M3508" s="4"/>
      <c r="N3508" s="4"/>
      <c r="O3508" s="4"/>
      <c r="P3508" s="12" t="str">
        <f t="array" ref="P3508">IF(O3508:O7551="","",_xlfn.XLOOKUP(O3508:O7551,'参照_官位'!A:A,'参照_官位'!B:B,""))</f>
      </c>
      <c r="Q3508" s="12" t="str">
        <f t="array" ref="Q3508">IF(A3508:A7551="","",IFERROR(_xlfn.XLOOKUP(A3508:A7551,castles_state!K:K,castles_state!D:D)&amp;"主",IFERROR(_xlfn.XLOOKUP(A3508:A7551,kunishuClan!D:D,kunishuClan!B:B)&amp;"当主","")))</f>
      </c>
    </row>
    <row r="3509" ht="15.75" customHeight="1">
      <c r="A3509" s="4">
        <v>1221004</v>
      </c>
      <c r="B3509" s="12" t="str">
        <f t="array" ref="B3509">IF(A3509:A7552="","",_xlfn.XLOOKUP(A3509:A7552,'参照_武将'!A:A,'参照_武将'!B:B,"見つかりません"))</f>
      </c>
      <c r="C3509" s="4" t="s">
        <v>505</v>
      </c>
      <c r="D3509" s="4">
        <v>0</v>
      </c>
      <c r="E3509" s="12" t="str">
        <f t="array" ref="E3509">IF(D3509:D7552="","",IFERROR(_xlfn.XLOOKUP(D3509:D7552,'参照_勢力'!A:A,'参照_勢力'!B:B),IFERROR(_xlfn.XLOOKUP(F3509:F7552,kunishuClan!A:A,kunishuClan!B:B),"浪人")))</f>
      </c>
      <c r="F3509" s="4">
        <v>0</v>
      </c>
      <c r="G3509" s="4">
        <v>122</v>
      </c>
      <c r="H3509" s="12" t="str">
        <f t="array" ref="H3509">IF(G3509:G7552="","",_xlfn.XLOOKUP(G3509:G7552,castles_state!A:A,castles_state!D:D,"見つかりません"))</f>
      </c>
      <c r="I3509" s="4"/>
      <c r="J3509" s="12" t="str">
        <f t="array" ref="J3509">IF(I3509:I7552="","",_xlfn.XLOOKUP(I3509:I7552,'参照_姫'!A:A,'参照_姫'!B:B,"見つかりません"))</f>
      </c>
      <c r="K3509" s="4">
        <v>50</v>
      </c>
      <c r="L3509" s="4">
        <v>0</v>
      </c>
      <c r="M3509" s="4"/>
      <c r="N3509" s="4"/>
      <c r="O3509" s="4"/>
      <c r="P3509" s="12" t="str">
        <f t="array" ref="P3509">IF(O3509:O7552="","",_xlfn.XLOOKUP(O3509:O7552,'参照_官位'!A:A,'参照_官位'!B:B,""))</f>
      </c>
      <c r="Q3509" s="12" t="str">
        <f t="array" ref="Q3509">IF(A3509:A7552="","",IFERROR(_xlfn.XLOOKUP(A3509:A7552,castles_state!K:K,castles_state!D:D)&amp;"主",IFERROR(_xlfn.XLOOKUP(A3509:A7552,kunishuClan!D:D,kunishuClan!B:B)&amp;"当主","")))</f>
      </c>
    </row>
    <row r="3510" ht="15.75" customHeight="1">
      <c r="A3510" s="4">
        <v>1221005</v>
      </c>
      <c r="B3510" s="12" t="str">
        <f t="array" ref="B3510">IF(A3510:A7553="","",_xlfn.XLOOKUP(A3510:A7553,'参照_武将'!A:A,'参照_武将'!B:B,"見つかりません"))</f>
      </c>
      <c r="C3510" s="4" t="s">
        <v>505</v>
      </c>
      <c r="D3510" s="4">
        <v>0</v>
      </c>
      <c r="E3510" s="12" t="str">
        <f t="array" ref="E3510">IF(D3510:D7553="","",IFERROR(_xlfn.XLOOKUP(D3510:D7553,'参照_勢力'!A:A,'参照_勢力'!B:B),IFERROR(_xlfn.XLOOKUP(F3510:F7553,kunishuClan!A:A,kunishuClan!B:B),"浪人")))</f>
      </c>
      <c r="F3510" s="4">
        <v>0</v>
      </c>
      <c r="G3510" s="4">
        <v>122</v>
      </c>
      <c r="H3510" s="12" t="str">
        <f t="array" ref="H3510">IF(G3510:G7553="","",_xlfn.XLOOKUP(G3510:G7553,castles_state!A:A,castles_state!D:D,"見つかりません"))</f>
      </c>
      <c r="I3510" s="4"/>
      <c r="J3510" s="12" t="str">
        <f t="array" ref="J3510">IF(I3510:I7553="","",_xlfn.XLOOKUP(I3510:I7553,'参照_姫'!A:A,'参照_姫'!B:B,"見つかりません"))</f>
      </c>
      <c r="K3510" s="4">
        <v>50</v>
      </c>
      <c r="L3510" s="4">
        <v>0</v>
      </c>
      <c r="M3510" s="4"/>
      <c r="N3510" s="4"/>
      <c r="O3510" s="4"/>
      <c r="P3510" s="12" t="str">
        <f t="array" ref="P3510">IF(O3510:O7553="","",_xlfn.XLOOKUP(O3510:O7553,'参照_官位'!A:A,'参照_官位'!B:B,""))</f>
      </c>
      <c r="Q3510" s="12" t="str">
        <f t="array" ref="Q3510">IF(A3510:A7553="","",IFERROR(_xlfn.XLOOKUP(A3510:A7553,castles_state!K:K,castles_state!D:D)&amp;"主",IFERROR(_xlfn.XLOOKUP(A3510:A7553,kunishuClan!D:D,kunishuClan!B:B)&amp;"当主","")))</f>
      </c>
    </row>
    <row r="3511" ht="15.75" customHeight="1">
      <c r="A3511" s="4">
        <v>1221006</v>
      </c>
      <c r="B3511" s="12" t="str">
        <f t="array" ref="B3511">IF(A3511:A7554="","",_xlfn.XLOOKUP(A3511:A7554,'参照_武将'!A:A,'参照_武将'!B:B,"見つかりません"))</f>
      </c>
      <c r="C3511" s="4" t="s">
        <v>505</v>
      </c>
      <c r="D3511" s="4">
        <v>25</v>
      </c>
      <c r="E3511" s="12" t="str">
        <f t="array" ref="E3511">IF(D3511:D7554="","",IFERROR(_xlfn.XLOOKUP(D3511:D7554,'参照_勢力'!A:A,'参照_勢力'!B:B),IFERROR(_xlfn.XLOOKUP(F3511:F7554,kunishuClan!A:A,kunishuClan!B:B),"浪人")))</f>
      </c>
      <c r="F3511" s="4">
        <v>0</v>
      </c>
      <c r="G3511" s="4">
        <v>120</v>
      </c>
      <c r="H3511" s="12" t="str">
        <f t="array" ref="H3511">IF(G3511:G7554="","",_xlfn.XLOOKUP(G3511:G7554,castles_state!A:A,castles_state!D:D,"見つかりません"))</f>
      </c>
      <c r="I3511" s="4"/>
      <c r="J3511" s="12" t="str">
        <f t="array" ref="J3511">IF(I3511:I7554="","",_xlfn.XLOOKUP(I3511:I7554,'参照_姫'!A:A,'参照_姫'!B:B,"見つかりません"))</f>
      </c>
      <c r="K3511" s="4">
        <v>95</v>
      </c>
      <c r="L3511" s="4">
        <v>0</v>
      </c>
      <c r="M3511" s="4" t="b">
        <v>1</v>
      </c>
      <c r="N3511" s="4"/>
      <c r="O3511" s="4"/>
      <c r="P3511" s="12" t="str">
        <f t="array" ref="P3511">IF(O3511:O7554="","",_xlfn.XLOOKUP(O3511:O7554,'参照_官位'!A:A,'参照_官位'!B:B,""))</f>
      </c>
      <c r="Q3511" s="12" t="str">
        <f t="array" ref="Q3511">IF(A3511:A7554="","",IFERROR(_xlfn.XLOOKUP(A3511:A7554,castles_state!K:K,castles_state!D:D)&amp;"主",IFERROR(_xlfn.XLOOKUP(A3511:A7554,kunishuClan!D:D,kunishuClan!B:B)&amp;"当主","")))</f>
      </c>
    </row>
    <row r="3512" ht="15.75" customHeight="1">
      <c r="A3512" s="4">
        <v>1221007</v>
      </c>
      <c r="B3512" s="12" t="str">
        <f t="array" ref="B3512">IF(A3512:A7555="","",_xlfn.XLOOKUP(A3512:A7555,'参照_武将'!A:A,'参照_武将'!B:B,"見つかりません"))</f>
      </c>
      <c r="C3512" s="4" t="s">
        <v>505</v>
      </c>
      <c r="D3512" s="4">
        <v>25</v>
      </c>
      <c r="E3512" s="12" t="str">
        <f t="array" ref="E3512">IF(D3512:D7555="","",IFERROR(_xlfn.XLOOKUP(D3512:D7555,'参照_勢力'!A:A,'参照_勢力'!B:B),IFERROR(_xlfn.XLOOKUP(F3512:F7555,kunishuClan!A:A,kunishuClan!B:B),"浪人")))</f>
      </c>
      <c r="F3512" s="4">
        <v>0</v>
      </c>
      <c r="G3512" s="4">
        <v>122</v>
      </c>
      <c r="H3512" s="12" t="str">
        <f t="array" ref="H3512">IF(G3512:G7555="","",_xlfn.XLOOKUP(G3512:G7555,castles_state!A:A,castles_state!D:D,"見つかりません"))</f>
      </c>
      <c r="I3512" s="4"/>
      <c r="J3512" s="12" t="str">
        <f t="array" ref="J3512">IF(I3512:I7555="","",_xlfn.XLOOKUP(I3512:I7555,'参照_姫'!A:A,'参照_姫'!B:B,"見つかりません"))</f>
      </c>
      <c r="K3512" s="4">
        <v>95</v>
      </c>
      <c r="L3512" s="4">
        <v>0</v>
      </c>
      <c r="M3512" s="4"/>
      <c r="N3512" s="4"/>
      <c r="O3512" s="4"/>
      <c r="P3512" s="12" t="str">
        <f t="array" ref="P3512">IF(O3512:O7555="","",_xlfn.XLOOKUP(O3512:O7555,'参照_官位'!A:A,'参照_官位'!B:B,""))</f>
      </c>
      <c r="Q3512" s="12" t="str">
        <f t="array" ref="Q3512">IF(A3512:A7555="","",IFERROR(_xlfn.XLOOKUP(A3512:A7555,castles_state!K:K,castles_state!D:D)&amp;"主",IFERROR(_xlfn.XLOOKUP(A3512:A7555,kunishuClan!D:D,kunishuClan!B:B)&amp;"当主","")))</f>
      </c>
    </row>
    <row r="3513" ht="15.75" customHeight="1">
      <c r="A3513" s="4">
        <v>1221008</v>
      </c>
      <c r="B3513" s="12" t="str">
        <f t="array" ref="B3513">IF(A3513:A7556="","",_xlfn.XLOOKUP(A3513:A7556,'参照_武将'!A:A,'参照_武将'!B:B,"見つかりません"))</f>
      </c>
      <c r="C3513" s="4" t="s">
        <v>505</v>
      </c>
      <c r="D3513" s="4">
        <v>25</v>
      </c>
      <c r="E3513" s="12" t="str">
        <f t="array" ref="E3513">IF(D3513:D7556="","",IFERROR(_xlfn.XLOOKUP(D3513:D7556,'参照_勢力'!A:A,'参照_勢力'!B:B),IFERROR(_xlfn.XLOOKUP(F3513:F7556,kunishuClan!A:A,kunishuClan!B:B),"浪人")))</f>
      </c>
      <c r="F3513" s="4">
        <v>0</v>
      </c>
      <c r="G3513" s="4">
        <v>122</v>
      </c>
      <c r="H3513" s="12" t="str">
        <f t="array" ref="H3513">IF(G3513:G7556="","",_xlfn.XLOOKUP(G3513:G7556,castles_state!A:A,castles_state!D:D,"見つかりません"))</f>
      </c>
      <c r="I3513" s="4"/>
      <c r="J3513" s="12" t="str">
        <f t="array" ref="J3513">IF(I3513:I7556="","",_xlfn.XLOOKUP(I3513:I7556,'参照_姫'!A:A,'参照_姫'!B:B,"見つかりません"))</f>
      </c>
      <c r="K3513" s="4">
        <v>95</v>
      </c>
      <c r="L3513" s="4">
        <v>0</v>
      </c>
      <c r="M3513" s="4"/>
      <c r="N3513" s="4"/>
      <c r="O3513" s="4"/>
      <c r="P3513" s="12" t="str">
        <f t="array" ref="P3513">IF(O3513:O7556="","",_xlfn.XLOOKUP(O3513:O7556,'参照_官位'!A:A,'参照_官位'!B:B,""))</f>
      </c>
      <c r="Q3513" s="12" t="str">
        <f t="array" ref="Q3513">IF(A3513:A7556="","",IFERROR(_xlfn.XLOOKUP(A3513:A7556,castles_state!K:K,castles_state!D:D)&amp;"主",IFERROR(_xlfn.XLOOKUP(A3513:A7556,kunishuClan!D:D,kunishuClan!B:B)&amp;"当主","")))</f>
      </c>
    </row>
    <row r="3514" ht="15.75" customHeight="1">
      <c r="A3514" s="4">
        <v>1221009</v>
      </c>
      <c r="B3514" s="12" t="str">
        <f t="array" ref="B3514">IF(A3514:A7557="","",_xlfn.XLOOKUP(A3514:A7557,'参照_武将'!A:A,'参照_武将'!B:B,"見つかりません"))</f>
      </c>
      <c r="C3514" s="4" t="s">
        <v>505</v>
      </c>
      <c r="D3514" s="4">
        <v>25</v>
      </c>
      <c r="E3514" s="12" t="str">
        <f t="array" ref="E3514">IF(D3514:D7557="","",IFERROR(_xlfn.XLOOKUP(D3514:D7557,'参照_勢力'!A:A,'参照_勢力'!B:B),IFERROR(_xlfn.XLOOKUP(F3514:F7557,kunishuClan!A:A,kunishuClan!B:B),"浪人")))</f>
      </c>
      <c r="F3514" s="4">
        <v>0</v>
      </c>
      <c r="G3514" s="4">
        <v>122</v>
      </c>
      <c r="H3514" s="12" t="str">
        <f t="array" ref="H3514">IF(G3514:G7557="","",_xlfn.XLOOKUP(G3514:G7557,castles_state!A:A,castles_state!D:D,"見つかりません"))</f>
      </c>
      <c r="I3514" s="4"/>
      <c r="J3514" s="12" t="str">
        <f t="array" ref="J3514">IF(I3514:I7557="","",_xlfn.XLOOKUP(I3514:I7557,'参照_姫'!A:A,'参照_姫'!B:B,"見つかりません"))</f>
      </c>
      <c r="K3514" s="4">
        <v>95</v>
      </c>
      <c r="L3514" s="4">
        <v>0</v>
      </c>
      <c r="M3514" s="4"/>
      <c r="N3514" s="4"/>
      <c r="O3514" s="4"/>
      <c r="P3514" s="12" t="str">
        <f t="array" ref="P3514">IF(O3514:O7557="","",_xlfn.XLOOKUP(O3514:O7557,'参照_官位'!A:A,'参照_官位'!B:B,""))</f>
      </c>
      <c r="Q3514" s="12" t="str">
        <f t="array" ref="Q3514">IF(A3514:A7557="","",IFERROR(_xlfn.XLOOKUP(A3514:A7557,castles_state!K:K,castles_state!D:D)&amp;"主",IFERROR(_xlfn.XLOOKUP(A3514:A7557,kunishuClan!D:D,kunishuClan!B:B)&amp;"当主","")))</f>
      </c>
    </row>
    <row r="3515" ht="15.75" customHeight="1">
      <c r="A3515" s="4">
        <v>1221010</v>
      </c>
      <c r="B3515" s="12" t="str">
        <f t="array" ref="B3515">IF(A3515:A7558="","",_xlfn.XLOOKUP(A3515:A7558,'参照_武将'!A:A,'参照_武将'!B:B,"見つかりません"))</f>
      </c>
      <c r="C3515" s="4" t="s">
        <v>505</v>
      </c>
      <c r="D3515" s="4">
        <v>25</v>
      </c>
      <c r="E3515" s="12" t="str">
        <f t="array" ref="E3515">IF(D3515:D7558="","",IFERROR(_xlfn.XLOOKUP(D3515:D7558,'参照_勢力'!A:A,'参照_勢力'!B:B),IFERROR(_xlfn.XLOOKUP(F3515:F7558,kunishuClan!A:A,kunishuClan!B:B),"浪人")))</f>
      </c>
      <c r="F3515" s="4">
        <v>0</v>
      </c>
      <c r="G3515" s="4">
        <v>122</v>
      </c>
      <c r="H3515" s="12" t="str">
        <f t="array" ref="H3515">IF(G3515:G7558="","",_xlfn.XLOOKUP(G3515:G7558,castles_state!A:A,castles_state!D:D,"見つかりません"))</f>
      </c>
      <c r="I3515" s="4"/>
      <c r="J3515" s="12" t="str">
        <f t="array" ref="J3515">IF(I3515:I7558="","",_xlfn.XLOOKUP(I3515:I7558,'参照_姫'!A:A,'参照_姫'!B:B,"見つかりません"))</f>
      </c>
      <c r="K3515" s="4">
        <v>95</v>
      </c>
      <c r="L3515" s="4">
        <v>500</v>
      </c>
      <c r="M3515" s="4"/>
      <c r="N3515" s="4"/>
      <c r="O3515" s="4"/>
      <c r="P3515" s="12" t="str">
        <f t="array" ref="P3515">IF(O3515:O7558="","",_xlfn.XLOOKUP(O3515:O7558,'参照_官位'!A:A,'参照_官位'!B:B,""))</f>
      </c>
      <c r="Q3515" s="12" t="str">
        <f t="array" ref="Q3515">IF(A3515:A7558="","",IFERROR(_xlfn.XLOOKUP(A3515:A7558,castles_state!K:K,castles_state!D:D)&amp;"主",IFERROR(_xlfn.XLOOKUP(A3515:A7558,kunishuClan!D:D,kunishuClan!B:B)&amp;"当主","")))</f>
      </c>
    </row>
    <row r="3516" ht="15.75" customHeight="1">
      <c r="A3516" s="4">
        <v>1221011</v>
      </c>
      <c r="B3516" s="12" t="str">
        <f t="array" ref="B3516">IF(A3516:A7559="","",_xlfn.XLOOKUP(A3516:A7559,'参照_武将'!A:A,'参照_武将'!B:B,"見つかりません"))</f>
      </c>
      <c r="C3516" s="4" t="s">
        <v>505</v>
      </c>
      <c r="D3516" s="4">
        <v>25</v>
      </c>
      <c r="E3516" s="12" t="str">
        <f t="array" ref="E3516">IF(D3516:D7559="","",IFERROR(_xlfn.XLOOKUP(D3516:D7559,'参照_勢力'!A:A,'参照_勢力'!B:B),IFERROR(_xlfn.XLOOKUP(F3516:F7559,kunishuClan!A:A,kunishuClan!B:B),"浪人")))</f>
      </c>
      <c r="F3516" s="4">
        <v>0</v>
      </c>
      <c r="G3516" s="4">
        <v>122</v>
      </c>
      <c r="H3516" s="12" t="str">
        <f t="array" ref="H3516">IF(G3516:G7559="","",_xlfn.XLOOKUP(G3516:G7559,castles_state!A:A,castles_state!D:D,"見つかりません"))</f>
      </c>
      <c r="I3516" s="4"/>
      <c r="J3516" s="12" t="str">
        <f t="array" ref="J3516">IF(I3516:I7559="","",_xlfn.XLOOKUP(I3516:I7559,'参照_姫'!A:A,'参照_姫'!B:B,"見つかりません"))</f>
      </c>
      <c r="K3516" s="4">
        <v>95</v>
      </c>
      <c r="L3516" s="4">
        <v>0</v>
      </c>
      <c r="M3516" s="4"/>
      <c r="N3516" s="4"/>
      <c r="O3516" s="4"/>
      <c r="P3516" s="12" t="str">
        <f t="array" ref="P3516">IF(O3516:O7559="","",_xlfn.XLOOKUP(O3516:O7559,'参照_官位'!A:A,'参照_官位'!B:B,""))</f>
      </c>
      <c r="Q3516" s="12" t="str">
        <f t="array" ref="Q3516">IF(A3516:A7559="","",IFERROR(_xlfn.XLOOKUP(A3516:A7559,castles_state!K:K,castles_state!D:D)&amp;"主",IFERROR(_xlfn.XLOOKUP(A3516:A7559,kunishuClan!D:D,kunishuClan!B:B)&amp;"当主","")))</f>
      </c>
    </row>
    <row r="3517" ht="15.75" customHeight="1">
      <c r="A3517" s="4">
        <v>1221012</v>
      </c>
      <c r="B3517" s="12" t="str">
        <f t="array" ref="B3517">IF(A3517:A7560="","",_xlfn.XLOOKUP(A3517:A7560,'参照_武将'!A:A,'参照_武将'!B:B,"見つかりません"))</f>
      </c>
      <c r="C3517" s="4" t="s">
        <v>505</v>
      </c>
      <c r="D3517" s="4">
        <v>25</v>
      </c>
      <c r="E3517" s="12" t="str">
        <f t="array" ref="E3517">IF(D3517:D7560="","",IFERROR(_xlfn.XLOOKUP(D3517:D7560,'参照_勢力'!A:A,'参照_勢力'!B:B),IFERROR(_xlfn.XLOOKUP(F3517:F7560,kunishuClan!A:A,kunishuClan!B:B),"浪人")))</f>
      </c>
      <c r="F3517" s="4">
        <v>0</v>
      </c>
      <c r="G3517" s="4">
        <v>122</v>
      </c>
      <c r="H3517" s="12" t="str">
        <f t="array" ref="H3517">IF(G3517:G7560="","",_xlfn.XLOOKUP(G3517:G7560,castles_state!A:A,castles_state!D:D,"見つかりません"))</f>
      </c>
      <c r="I3517" s="4"/>
      <c r="J3517" s="12" t="str">
        <f t="array" ref="J3517">IF(I3517:I7560="","",_xlfn.XLOOKUP(I3517:I7560,'参照_姫'!A:A,'参照_姫'!B:B,"見つかりません"))</f>
      </c>
      <c r="K3517" s="4">
        <v>95</v>
      </c>
      <c r="L3517" s="4">
        <v>0</v>
      </c>
      <c r="M3517" s="4"/>
      <c r="N3517" s="4"/>
      <c r="O3517" s="4"/>
      <c r="P3517" s="12" t="str">
        <f t="array" ref="P3517">IF(O3517:O7560="","",_xlfn.XLOOKUP(O3517:O7560,'参照_官位'!A:A,'参照_官位'!B:B,""))</f>
      </c>
      <c r="Q3517" s="12" t="str">
        <f t="array" ref="Q3517">IF(A3517:A7560="","",IFERROR(_xlfn.XLOOKUP(A3517:A7560,castles_state!K:K,castles_state!D:D)&amp;"主",IFERROR(_xlfn.XLOOKUP(A3517:A7560,kunishuClan!D:D,kunishuClan!B:B)&amp;"当主","")))</f>
      </c>
    </row>
    <row r="3518" ht="15.75" customHeight="1">
      <c r="A3518" s="4">
        <v>1221013</v>
      </c>
      <c r="B3518" s="12" t="str">
        <f t="array" ref="B3518">IF(A3518:A7561="","",_xlfn.XLOOKUP(A3518:A7561,'参照_武将'!A:A,'参照_武将'!B:B,"見つかりません"))</f>
      </c>
      <c r="C3518" s="4" t="s">
        <v>505</v>
      </c>
      <c r="D3518" s="4">
        <v>25</v>
      </c>
      <c r="E3518" s="12" t="str">
        <f t="array" ref="E3518">IF(D3518:D7561="","",IFERROR(_xlfn.XLOOKUP(D3518:D7561,'参照_勢力'!A:A,'参照_勢力'!B:B),IFERROR(_xlfn.XLOOKUP(F3518:F7561,kunishuClan!A:A,kunishuClan!B:B),"浪人")))</f>
      </c>
      <c r="F3518" s="4">
        <v>0</v>
      </c>
      <c r="G3518" s="4">
        <v>122</v>
      </c>
      <c r="H3518" s="12" t="str">
        <f t="array" ref="H3518">IF(G3518:G7561="","",_xlfn.XLOOKUP(G3518:G7561,castles_state!A:A,castles_state!D:D,"見つかりません"))</f>
      </c>
      <c r="I3518" s="4"/>
      <c r="J3518" s="12" t="str">
        <f t="array" ref="J3518">IF(I3518:I7561="","",_xlfn.XLOOKUP(I3518:I7561,'参照_姫'!A:A,'参照_姫'!B:B,"見つかりません"))</f>
      </c>
      <c r="K3518" s="4">
        <v>95</v>
      </c>
      <c r="L3518" s="4">
        <v>0</v>
      </c>
      <c r="M3518" s="4"/>
      <c r="N3518" s="4"/>
      <c r="O3518" s="4"/>
      <c r="P3518" s="12" t="str">
        <f t="array" ref="P3518">IF(O3518:O7561="","",_xlfn.XLOOKUP(O3518:O7561,'参照_官位'!A:A,'参照_官位'!B:B,""))</f>
      </c>
      <c r="Q3518" s="12" t="str">
        <f t="array" ref="Q3518">IF(A3518:A7561="","",IFERROR(_xlfn.XLOOKUP(A3518:A7561,castles_state!K:K,castles_state!D:D)&amp;"主",IFERROR(_xlfn.XLOOKUP(A3518:A7561,kunishuClan!D:D,kunishuClan!B:B)&amp;"当主","")))</f>
      </c>
    </row>
    <row r="3519" ht="15.75" customHeight="1">
      <c r="A3519" s="4">
        <v>1222001</v>
      </c>
      <c r="B3519" s="12" t="str">
        <f t="array" ref="B3519">IF(A3519:A7562="","",_xlfn.XLOOKUP(A3519:A7562,'参照_武将'!A:A,'参照_武将'!B:B,"見つかりません"))</f>
      </c>
      <c r="C3519" s="4" t="s">
        <v>517</v>
      </c>
      <c r="D3519" s="4">
        <v>1</v>
      </c>
      <c r="E3519" s="12" t="str">
        <f t="array" ref="E3519">IF(D3519:D7562="","",IFERROR(_xlfn.XLOOKUP(D3519:D7562,'参照_勢力'!A:A,'参照_勢力'!B:B),IFERROR(_xlfn.XLOOKUP(F3519:F7562,kunishuClan!A:A,kunishuClan!B:B),"浪人")))</f>
      </c>
      <c r="F3519" s="4">
        <v>0</v>
      </c>
      <c r="G3519" s="4">
        <v>49</v>
      </c>
      <c r="H3519" s="12" t="str">
        <f t="array" ref="H3519">IF(G3519:G7562="","",_xlfn.XLOOKUP(G3519:G7562,castles_state!A:A,castles_state!D:D,"見つかりません"))</f>
      </c>
      <c r="I3519" s="4"/>
      <c r="J3519" s="12" t="str">
        <f t="array" ref="J3519">IF(I3519:I7562="","",_xlfn.XLOOKUP(I3519:I7562,'参照_姫'!A:A,'参照_姫'!B:B,"見つかりません"))</f>
      </c>
      <c r="K3519" s="4">
        <v>95</v>
      </c>
      <c r="L3519" s="4">
        <v>200</v>
      </c>
      <c r="M3519" s="4"/>
      <c r="N3519" s="4" t="b">
        <v>1</v>
      </c>
      <c r="O3519" s="4"/>
      <c r="P3519" s="12" t="str">
        <f t="array" ref="P3519">IF(O3519:O7562="","",_xlfn.XLOOKUP(O3519:O7562,'参照_官位'!A:A,'参照_官位'!B:B,""))</f>
      </c>
      <c r="Q3519" s="12" t="str">
        <f t="array" ref="Q3519">IF(A3519:A7562="","",IFERROR(_xlfn.XLOOKUP(A3519:A7562,castles_state!K:K,castles_state!D:D)&amp;"主",IFERROR(_xlfn.XLOOKUP(A3519:A7562,kunishuClan!D:D,kunishuClan!B:B)&amp;"当主","")))</f>
      </c>
    </row>
    <row r="3520" ht="15.75" customHeight="1">
      <c r="A3520" s="4">
        <v>1222002</v>
      </c>
      <c r="B3520" s="12" t="str">
        <f t="array" ref="B3520">IF(A3520:A7563="","",_xlfn.XLOOKUP(A3520:A7563,'参照_武将'!A:A,'参照_武将'!B:B,"見つかりません"))</f>
      </c>
      <c r="C3520" s="4" t="s">
        <v>517</v>
      </c>
      <c r="D3520" s="4">
        <v>1</v>
      </c>
      <c r="E3520" s="12" t="str">
        <f t="array" ref="E3520">IF(D3520:D7563="","",IFERROR(_xlfn.XLOOKUP(D3520:D7563,'参照_勢力'!A:A,'参照_勢力'!B:B),IFERROR(_xlfn.XLOOKUP(F3520:F7563,kunishuClan!A:A,kunishuClan!B:B),"浪人")))</f>
      </c>
      <c r="F3520" s="4">
        <v>0</v>
      </c>
      <c r="G3520" s="4">
        <v>251</v>
      </c>
      <c r="H3520" s="12" t="str">
        <f t="array" ref="H3520">IF(G3520:G7563="","",_xlfn.XLOOKUP(G3520:G7563,castles_state!A:A,castles_state!D:D,"見つかりません"))</f>
      </c>
      <c r="I3520" s="4"/>
      <c r="J3520" s="12" t="str">
        <f t="array" ref="J3520">IF(I3520:I7563="","",_xlfn.XLOOKUP(I3520:I7563,'参照_姫'!A:A,'参照_姫'!B:B,"見つかりません"))</f>
      </c>
      <c r="K3520" s="4">
        <v>95</v>
      </c>
      <c r="L3520" s="4">
        <v>200</v>
      </c>
      <c r="M3520" s="4"/>
      <c r="N3520" s="4" t="b">
        <v>1</v>
      </c>
      <c r="O3520" s="4"/>
      <c r="P3520" s="12" t="str">
        <f t="array" ref="P3520">IF(O3520:O7563="","",_xlfn.XLOOKUP(O3520:O7563,'参照_官位'!A:A,'参照_官位'!B:B,""))</f>
      </c>
      <c r="Q3520" s="12" t="str">
        <f t="array" ref="Q3520">IF(A3520:A7563="","",IFERROR(_xlfn.XLOOKUP(A3520:A7563,castles_state!K:K,castles_state!D:D)&amp;"主",IFERROR(_xlfn.XLOOKUP(A3520:A7563,kunishuClan!D:D,kunishuClan!B:B)&amp;"当主","")))</f>
      </c>
    </row>
    <row r="3521" ht="15.75" customHeight="1">
      <c r="A3521" s="4">
        <v>1222003</v>
      </c>
      <c r="B3521" s="12" t="str">
        <f t="array" ref="B3521">IF(A3521:A7564="","",_xlfn.XLOOKUP(A3521:A7564,'参照_武将'!A:A,'参照_武将'!B:B,"見つかりません"))</f>
      </c>
      <c r="C3521" s="4" t="s">
        <v>517</v>
      </c>
      <c r="D3521" s="4">
        <v>1</v>
      </c>
      <c r="E3521" s="12" t="str">
        <f t="array" ref="E3521">IF(D3521:D7564="","",IFERROR(_xlfn.XLOOKUP(D3521:D7564,'参照_勢力'!A:A,'参照_勢力'!B:B),IFERROR(_xlfn.XLOOKUP(F3521:F7564,kunishuClan!A:A,kunishuClan!B:B),"浪人")))</f>
      </c>
      <c r="F3521" s="4">
        <v>0</v>
      </c>
      <c r="G3521" s="4">
        <v>251</v>
      </c>
      <c r="H3521" s="12" t="str">
        <f t="array" ref="H3521">IF(G3521:G7564="","",_xlfn.XLOOKUP(G3521:G7564,castles_state!A:A,castles_state!D:D,"見つかりません"))</f>
      </c>
      <c r="I3521" s="4"/>
      <c r="J3521" s="12" t="str">
        <f t="array" ref="J3521">IF(I3521:I7564="","",_xlfn.XLOOKUP(I3521:I7564,'参照_姫'!A:A,'参照_姫'!B:B,"見つかりません"))</f>
      </c>
      <c r="K3521" s="4">
        <v>95</v>
      </c>
      <c r="L3521" s="4">
        <v>300</v>
      </c>
      <c r="M3521" s="4"/>
      <c r="N3521" s="4"/>
      <c r="O3521" s="4"/>
      <c r="P3521" s="12" t="str">
        <f t="array" ref="P3521">IF(O3521:O7564="","",_xlfn.XLOOKUP(O3521:O7564,'参照_官位'!A:A,'参照_官位'!B:B,""))</f>
      </c>
      <c r="Q3521" s="12" t="str">
        <f t="array" ref="Q3521">IF(A3521:A7564="","",IFERROR(_xlfn.XLOOKUP(A3521:A7564,castles_state!K:K,castles_state!D:D)&amp;"主",IFERROR(_xlfn.XLOOKUP(A3521:A7564,kunishuClan!D:D,kunishuClan!B:B)&amp;"当主","")))</f>
      </c>
    </row>
    <row r="3522" ht="15.75" customHeight="1">
      <c r="A3522" s="4">
        <v>1222004</v>
      </c>
      <c r="B3522" s="12" t="str">
        <f t="array" ref="B3522">IF(A3522:A7565="","",_xlfn.XLOOKUP(A3522:A7565,'参照_武将'!A:A,'参照_武将'!B:B,"見つかりません"))</f>
      </c>
      <c r="C3522" s="4" t="s">
        <v>517</v>
      </c>
      <c r="D3522" s="4">
        <v>1</v>
      </c>
      <c r="E3522" s="12" t="str">
        <f t="array" ref="E3522">IF(D3522:D7565="","",IFERROR(_xlfn.XLOOKUP(D3522:D7565,'参照_勢力'!A:A,'参照_勢力'!B:B),IFERROR(_xlfn.XLOOKUP(F3522:F7565,kunishuClan!A:A,kunishuClan!B:B),"浪人")))</f>
      </c>
      <c r="F3522" s="4">
        <v>0</v>
      </c>
      <c r="G3522" s="4">
        <v>251</v>
      </c>
      <c r="H3522" s="12" t="str">
        <f t="array" ref="H3522">IF(G3522:G7565="","",_xlfn.XLOOKUP(G3522:G7565,castles_state!A:A,castles_state!D:D,"見つかりません"))</f>
      </c>
      <c r="I3522" s="4"/>
      <c r="J3522" s="12" t="str">
        <f t="array" ref="J3522">IF(I3522:I7565="","",_xlfn.XLOOKUP(I3522:I7565,'参照_姫'!A:A,'参照_姫'!B:B,"見つかりません"))</f>
      </c>
      <c r="K3522" s="4">
        <v>90</v>
      </c>
      <c r="L3522" s="4">
        <v>0</v>
      </c>
      <c r="M3522" s="4"/>
      <c r="N3522" s="4"/>
      <c r="O3522" s="4"/>
      <c r="P3522" s="12" t="str">
        <f t="array" ref="P3522">IF(O3522:O7565="","",_xlfn.XLOOKUP(O3522:O7565,'参照_官位'!A:A,'参照_官位'!B:B,""))</f>
      </c>
      <c r="Q3522" s="12" t="str">
        <f t="array" ref="Q3522">IF(A3522:A7565="","",IFERROR(_xlfn.XLOOKUP(A3522:A7565,castles_state!K:K,castles_state!D:D)&amp;"主",IFERROR(_xlfn.XLOOKUP(A3522:A7565,kunishuClan!D:D,kunishuClan!B:B)&amp;"当主","")))</f>
      </c>
    </row>
    <row r="3523" ht="15.75" customHeight="1">
      <c r="A3523" s="4">
        <v>1222005</v>
      </c>
      <c r="B3523" s="12" t="str">
        <f t="array" ref="B3523">IF(A3523:A7566="","",_xlfn.XLOOKUP(A3523:A7566,'参照_武将'!A:A,'参照_武将'!B:B,"見つかりません"))</f>
      </c>
      <c r="C3523" s="4" t="s">
        <v>517</v>
      </c>
      <c r="D3523" s="4">
        <v>1</v>
      </c>
      <c r="E3523" s="12" t="str">
        <f t="array" ref="E3523">IF(D3523:D7566="","",IFERROR(_xlfn.XLOOKUP(D3523:D7566,'参照_勢力'!A:A,'参照_勢力'!B:B),IFERROR(_xlfn.XLOOKUP(F3523:F7566,kunishuClan!A:A,kunishuClan!B:B),"浪人")))</f>
      </c>
      <c r="F3523" s="4">
        <v>0</v>
      </c>
      <c r="G3523" s="4">
        <v>251</v>
      </c>
      <c r="H3523" s="12" t="str">
        <f t="array" ref="H3523">IF(G3523:G7566="","",_xlfn.XLOOKUP(G3523:G7566,castles_state!A:A,castles_state!D:D,"見つかりません"))</f>
      </c>
      <c r="I3523" s="4"/>
      <c r="J3523" s="12" t="str">
        <f t="array" ref="J3523">IF(I3523:I7566="","",_xlfn.XLOOKUP(I3523:I7566,'参照_姫'!A:A,'参照_姫'!B:B,"見つかりません"))</f>
      </c>
      <c r="K3523" s="4">
        <v>90</v>
      </c>
      <c r="L3523" s="4">
        <v>0</v>
      </c>
      <c r="M3523" s="4"/>
      <c r="N3523" s="4"/>
      <c r="O3523" s="4"/>
      <c r="P3523" s="12" t="str">
        <f t="array" ref="P3523">IF(O3523:O7566="","",_xlfn.XLOOKUP(O3523:O7566,'参照_官位'!A:A,'参照_官位'!B:B,""))</f>
      </c>
      <c r="Q3523" s="12" t="str">
        <f t="array" ref="Q3523">IF(A3523:A7566="","",IFERROR(_xlfn.XLOOKUP(A3523:A7566,castles_state!K:K,castles_state!D:D)&amp;"主",IFERROR(_xlfn.XLOOKUP(A3523:A7566,kunishuClan!D:D,kunishuClan!B:B)&amp;"当主","")))</f>
      </c>
    </row>
    <row r="3524" ht="15.75" customHeight="1">
      <c r="A3524" s="4">
        <v>1222006</v>
      </c>
      <c r="B3524" s="12" t="str">
        <f t="array" ref="B3524">IF(A3524:A7567="","",_xlfn.XLOOKUP(A3524:A7567,'参照_武将'!A:A,'参照_武将'!B:B,"見つかりません"))</f>
      </c>
      <c r="C3524" s="4" t="s">
        <v>517</v>
      </c>
      <c r="D3524" s="4">
        <v>1</v>
      </c>
      <c r="E3524" s="12" t="str">
        <f t="array" ref="E3524">IF(D3524:D7567="","",IFERROR(_xlfn.XLOOKUP(D3524:D7567,'参照_勢力'!A:A,'参照_勢力'!B:B),IFERROR(_xlfn.XLOOKUP(F3524:F7567,kunishuClan!A:A,kunishuClan!B:B),"浪人")))</f>
      </c>
      <c r="F3524" s="4">
        <v>0</v>
      </c>
      <c r="G3524" s="4">
        <v>251</v>
      </c>
      <c r="H3524" s="12" t="str">
        <f t="array" ref="H3524">IF(G3524:G7567="","",_xlfn.XLOOKUP(G3524:G7567,castles_state!A:A,castles_state!D:D,"見つかりません"))</f>
      </c>
      <c r="I3524" s="4"/>
      <c r="J3524" s="12" t="str">
        <f t="array" ref="J3524">IF(I3524:I7567="","",_xlfn.XLOOKUP(I3524:I7567,'参照_姫'!A:A,'参照_姫'!B:B,"見つかりません"))</f>
      </c>
      <c r="K3524" s="4">
        <v>90</v>
      </c>
      <c r="L3524" s="4">
        <v>0</v>
      </c>
      <c r="M3524" s="4"/>
      <c r="N3524" s="4"/>
      <c r="O3524" s="4"/>
      <c r="P3524" s="12" t="str">
        <f t="array" ref="P3524">IF(O3524:O7567="","",_xlfn.XLOOKUP(O3524:O7567,'参照_官位'!A:A,'参照_官位'!B:B,""))</f>
      </c>
      <c r="Q3524" s="12" t="str">
        <f t="array" ref="Q3524">IF(A3524:A7567="","",IFERROR(_xlfn.XLOOKUP(A3524:A7567,castles_state!K:K,castles_state!D:D)&amp;"主",IFERROR(_xlfn.XLOOKUP(A3524:A7567,kunishuClan!D:D,kunishuClan!B:B)&amp;"当主","")))</f>
      </c>
    </row>
    <row r="3525" ht="15.75" customHeight="1">
      <c r="A3525" s="4">
        <v>1222007</v>
      </c>
      <c r="B3525" s="12" t="str">
        <f t="array" ref="B3525">IF(A3525:A7568="","",_xlfn.XLOOKUP(A3525:A7568,'参照_武将'!A:A,'参照_武将'!B:B,"見つかりません"))</f>
      </c>
      <c r="C3525" s="4" t="s">
        <v>517</v>
      </c>
      <c r="D3525" s="4">
        <v>1</v>
      </c>
      <c r="E3525" s="12" t="str">
        <f t="array" ref="E3525">IF(D3525:D7568="","",IFERROR(_xlfn.XLOOKUP(D3525:D7568,'参照_勢力'!A:A,'参照_勢力'!B:B),IFERROR(_xlfn.XLOOKUP(F3525:F7568,kunishuClan!A:A,kunishuClan!B:B),"浪人")))</f>
      </c>
      <c r="F3525" s="4">
        <v>0</v>
      </c>
      <c r="G3525" s="4">
        <v>251</v>
      </c>
      <c r="H3525" s="12" t="str">
        <f t="array" ref="H3525">IF(G3525:G7568="","",_xlfn.XLOOKUP(G3525:G7568,castles_state!A:A,castles_state!D:D,"見つかりません"))</f>
      </c>
      <c r="I3525" s="4"/>
      <c r="J3525" s="12" t="str">
        <f t="array" ref="J3525">IF(I3525:I7568="","",_xlfn.XLOOKUP(I3525:I7568,'参照_姫'!A:A,'参照_姫'!B:B,"見つかりません"))</f>
      </c>
      <c r="K3525" s="4">
        <v>90</v>
      </c>
      <c r="L3525" s="4">
        <v>0</v>
      </c>
      <c r="M3525" s="4"/>
      <c r="N3525" s="4"/>
      <c r="O3525" s="4"/>
      <c r="P3525" s="12" t="str">
        <f t="array" ref="P3525">IF(O3525:O7568="","",_xlfn.XLOOKUP(O3525:O7568,'参照_官位'!A:A,'参照_官位'!B:B,""))</f>
      </c>
      <c r="Q3525" s="12" t="str">
        <f t="array" ref="Q3525">IF(A3525:A7568="","",IFERROR(_xlfn.XLOOKUP(A3525:A7568,castles_state!K:K,castles_state!D:D)&amp;"主",IFERROR(_xlfn.XLOOKUP(A3525:A7568,kunishuClan!D:D,kunishuClan!B:B)&amp;"当主","")))</f>
      </c>
    </row>
    <row r="3526" ht="15.75" customHeight="1">
      <c r="A3526" s="4">
        <v>1222008</v>
      </c>
      <c r="B3526" s="12" t="str">
        <f t="array" ref="B3526">IF(A3526:A7569="","",_xlfn.XLOOKUP(A3526:A7569,'参照_武将'!A:A,'参照_武将'!B:B,"見つかりません"))</f>
      </c>
      <c r="C3526" s="4" t="s">
        <v>517</v>
      </c>
      <c r="D3526" s="4">
        <v>1</v>
      </c>
      <c r="E3526" s="12" t="str">
        <f t="array" ref="E3526">IF(D3526:D7569="","",IFERROR(_xlfn.XLOOKUP(D3526:D7569,'参照_勢力'!A:A,'参照_勢力'!B:B),IFERROR(_xlfn.XLOOKUP(F3526:F7569,kunishuClan!A:A,kunishuClan!B:B),"浪人")))</f>
      </c>
      <c r="F3526" s="4">
        <v>0</v>
      </c>
      <c r="G3526" s="4">
        <v>49</v>
      </c>
      <c r="H3526" s="12" t="str">
        <f t="array" ref="H3526">IF(G3526:G7569="","",_xlfn.XLOOKUP(G3526:G7569,castles_state!A:A,castles_state!D:D,"見つかりません"))</f>
      </c>
      <c r="I3526" s="4"/>
      <c r="J3526" s="12" t="str">
        <f t="array" ref="J3526">IF(I3526:I7569="","",_xlfn.XLOOKUP(I3526:I7569,'参照_姫'!A:A,'参照_姫'!B:B,"見つかりません"))</f>
      </c>
      <c r="K3526" s="4">
        <v>95</v>
      </c>
      <c r="L3526" s="4">
        <v>500</v>
      </c>
      <c r="M3526" s="4"/>
      <c r="N3526" s="4"/>
      <c r="O3526" s="4"/>
      <c r="P3526" s="12" t="str">
        <f t="array" ref="P3526">IF(O3526:O7569="","",_xlfn.XLOOKUP(O3526:O7569,'参照_官位'!A:A,'参照_官位'!B:B,""))</f>
      </c>
      <c r="Q3526" s="12" t="str">
        <f t="array" ref="Q3526">IF(A3526:A7569="","",IFERROR(_xlfn.XLOOKUP(A3526:A7569,castles_state!K:K,castles_state!D:D)&amp;"主",IFERROR(_xlfn.XLOOKUP(A3526:A7569,kunishuClan!D:D,kunishuClan!B:B)&amp;"当主","")))</f>
      </c>
    </row>
    <row r="3527" ht="15.75" customHeight="1">
      <c r="A3527" s="4">
        <v>1222009</v>
      </c>
      <c r="B3527" s="12" t="str">
        <f t="array" ref="B3527">IF(A3527:A7570="","",_xlfn.XLOOKUP(A3527:A7570,'参照_武将'!A:A,'参照_武将'!B:B,"見つかりません"))</f>
      </c>
      <c r="C3527" s="4" t="s">
        <v>517</v>
      </c>
      <c r="D3527" s="4">
        <v>1</v>
      </c>
      <c r="E3527" s="12" t="str">
        <f t="array" ref="E3527">IF(D3527:D7570="","",IFERROR(_xlfn.XLOOKUP(D3527:D7570,'参照_勢力'!A:A,'参照_勢力'!B:B),IFERROR(_xlfn.XLOOKUP(F3527:F7570,kunishuClan!A:A,kunishuClan!B:B),"浪人")))</f>
      </c>
      <c r="F3527" s="4">
        <v>0</v>
      </c>
      <c r="G3527" s="4">
        <v>49</v>
      </c>
      <c r="H3527" s="12" t="str">
        <f t="array" ref="H3527">IF(G3527:G7570="","",_xlfn.XLOOKUP(G3527:G7570,castles_state!A:A,castles_state!D:D,"見つかりません"))</f>
      </c>
      <c r="I3527" s="4"/>
      <c r="J3527" s="12" t="str">
        <f t="array" ref="J3527">IF(I3527:I7570="","",_xlfn.XLOOKUP(I3527:I7570,'参照_姫'!A:A,'参照_姫'!B:B,"見つかりません"))</f>
      </c>
      <c r="K3527" s="4">
        <v>95</v>
      </c>
      <c r="L3527" s="4">
        <v>0</v>
      </c>
      <c r="M3527" s="4"/>
      <c r="N3527" s="4"/>
      <c r="O3527" s="4"/>
      <c r="P3527" s="12" t="str">
        <f t="array" ref="P3527">IF(O3527:O7570="","",_xlfn.XLOOKUP(O3527:O7570,'参照_官位'!A:A,'参照_官位'!B:B,""))</f>
      </c>
      <c r="Q3527" s="12" t="str">
        <f t="array" ref="Q3527">IF(A3527:A7570="","",IFERROR(_xlfn.XLOOKUP(A3527:A7570,castles_state!K:K,castles_state!D:D)&amp;"主",IFERROR(_xlfn.XLOOKUP(A3527:A7570,kunishuClan!D:D,kunishuClan!B:B)&amp;"当主","")))</f>
      </c>
    </row>
    <row r="3528" ht="15.75" customHeight="1">
      <c r="A3528" s="4">
        <v>1222010</v>
      </c>
      <c r="B3528" s="12" t="str">
        <f t="array" ref="B3528">IF(A3528:A7571="","",_xlfn.XLOOKUP(A3528:A7571,'参照_武将'!A:A,'参照_武将'!B:B,"見つかりません"))</f>
      </c>
      <c r="C3528" s="4" t="s">
        <v>517</v>
      </c>
      <c r="D3528" s="4">
        <v>1</v>
      </c>
      <c r="E3528" s="12" t="str">
        <f t="array" ref="E3528">IF(D3528:D7571="","",IFERROR(_xlfn.XLOOKUP(D3528:D7571,'参照_勢力'!A:A,'参照_勢力'!B:B),IFERROR(_xlfn.XLOOKUP(F3528:F7571,kunishuClan!A:A,kunishuClan!B:B),"浪人")))</f>
      </c>
      <c r="F3528" s="4">
        <v>0</v>
      </c>
      <c r="G3528" s="4">
        <v>49</v>
      </c>
      <c r="H3528" s="12" t="str">
        <f t="array" ref="H3528">IF(G3528:G7571="","",_xlfn.XLOOKUP(G3528:G7571,castles_state!A:A,castles_state!D:D,"見つかりません"))</f>
      </c>
      <c r="I3528" s="4"/>
      <c r="J3528" s="12" t="str">
        <f t="array" ref="J3528">IF(I3528:I7571="","",_xlfn.XLOOKUP(I3528:I7571,'参照_姫'!A:A,'参照_姫'!B:B,"見つかりません"))</f>
      </c>
      <c r="K3528" s="4">
        <v>95</v>
      </c>
      <c r="L3528" s="4">
        <v>0</v>
      </c>
      <c r="M3528" s="4"/>
      <c r="N3528" s="4"/>
      <c r="O3528" s="4"/>
      <c r="P3528" s="12" t="str">
        <f t="array" ref="P3528">IF(O3528:O7571="","",_xlfn.XLOOKUP(O3528:O7571,'参照_官位'!A:A,'参照_官位'!B:B,""))</f>
      </c>
      <c r="Q3528" s="12" t="str">
        <f t="array" ref="Q3528">IF(A3528:A7571="","",IFERROR(_xlfn.XLOOKUP(A3528:A7571,castles_state!K:K,castles_state!D:D)&amp;"主",IFERROR(_xlfn.XLOOKUP(A3528:A7571,kunishuClan!D:D,kunishuClan!B:B)&amp;"当主","")))</f>
      </c>
    </row>
    <row r="3529" ht="15.75" customHeight="1">
      <c r="A3529" s="4">
        <v>1222011</v>
      </c>
      <c r="B3529" s="12" t="str">
        <f t="array" ref="B3529">IF(A3529:A7572="","",_xlfn.XLOOKUP(A3529:A7572,'参照_武将'!A:A,'参照_武将'!B:B,"見つかりません"))</f>
      </c>
      <c r="C3529" s="4" t="s">
        <v>517</v>
      </c>
      <c r="D3529" s="4">
        <v>1</v>
      </c>
      <c r="E3529" s="12" t="str">
        <f t="array" ref="E3529">IF(D3529:D7572="","",IFERROR(_xlfn.XLOOKUP(D3529:D7572,'参照_勢力'!A:A,'参照_勢力'!B:B),IFERROR(_xlfn.XLOOKUP(F3529:F7572,kunishuClan!A:A,kunishuClan!B:B),"浪人")))</f>
      </c>
      <c r="F3529" s="4">
        <v>0</v>
      </c>
      <c r="G3529" s="4">
        <v>49</v>
      </c>
      <c r="H3529" s="12" t="str">
        <f t="array" ref="H3529">IF(G3529:G7572="","",_xlfn.XLOOKUP(G3529:G7572,castles_state!A:A,castles_state!D:D,"見つかりません"))</f>
      </c>
      <c r="I3529" s="4"/>
      <c r="J3529" s="12" t="str">
        <f t="array" ref="J3529">IF(I3529:I7572="","",_xlfn.XLOOKUP(I3529:I7572,'参照_姫'!A:A,'参照_姫'!B:B,"見つかりません"))</f>
      </c>
      <c r="K3529" s="4">
        <v>90</v>
      </c>
      <c r="L3529" s="4">
        <v>0</v>
      </c>
      <c r="M3529" s="4"/>
      <c r="N3529" s="4"/>
      <c r="O3529" s="4"/>
      <c r="P3529" s="12" t="str">
        <f t="array" ref="P3529">IF(O3529:O7572="","",_xlfn.XLOOKUP(O3529:O7572,'参照_官位'!A:A,'参照_官位'!B:B,""))</f>
      </c>
      <c r="Q3529" s="12" t="str">
        <f t="array" ref="Q3529">IF(A3529:A7572="","",IFERROR(_xlfn.XLOOKUP(A3529:A7572,castles_state!K:K,castles_state!D:D)&amp;"主",IFERROR(_xlfn.XLOOKUP(A3529:A7572,kunishuClan!D:D,kunishuClan!B:B)&amp;"当主","")))</f>
      </c>
    </row>
    <row r="3530" ht="15.75" customHeight="1">
      <c r="A3530" s="4">
        <v>1222012</v>
      </c>
      <c r="B3530" s="12" t="str">
        <f t="array" ref="B3530">IF(A3530:A7573="","",_xlfn.XLOOKUP(A3530:A7573,'参照_武将'!A:A,'参照_武将'!B:B,"見つかりません"))</f>
      </c>
      <c r="C3530" s="4" t="s">
        <v>517</v>
      </c>
      <c r="D3530" s="4">
        <v>1</v>
      </c>
      <c r="E3530" s="12" t="str">
        <f t="array" ref="E3530">IF(D3530:D7573="","",IFERROR(_xlfn.XLOOKUP(D3530:D7573,'参照_勢力'!A:A,'参照_勢力'!B:B),IFERROR(_xlfn.XLOOKUP(F3530:F7573,kunishuClan!A:A,kunishuClan!B:B),"浪人")))</f>
      </c>
      <c r="F3530" s="4">
        <v>0</v>
      </c>
      <c r="G3530" s="4">
        <v>49</v>
      </c>
      <c r="H3530" s="12" t="str">
        <f t="array" ref="H3530">IF(G3530:G7573="","",_xlfn.XLOOKUP(G3530:G7573,castles_state!A:A,castles_state!D:D,"見つかりません"))</f>
      </c>
      <c r="I3530" s="4"/>
      <c r="J3530" s="12" t="str">
        <f t="array" ref="J3530">IF(I3530:I7573="","",_xlfn.XLOOKUP(I3530:I7573,'参照_姫'!A:A,'参照_姫'!B:B,"見つかりません"))</f>
      </c>
      <c r="K3530" s="4">
        <v>90</v>
      </c>
      <c r="L3530" s="4">
        <v>0</v>
      </c>
      <c r="M3530" s="4"/>
      <c r="N3530" s="4"/>
      <c r="O3530" s="4"/>
      <c r="P3530" s="12" t="str">
        <f t="array" ref="P3530">IF(O3530:O7573="","",_xlfn.XLOOKUP(O3530:O7573,'参照_官位'!A:A,'参照_官位'!B:B,""))</f>
      </c>
      <c r="Q3530" s="12" t="str">
        <f t="array" ref="Q3530">IF(A3530:A7573="","",IFERROR(_xlfn.XLOOKUP(A3530:A7573,castles_state!K:K,castles_state!D:D)&amp;"主",IFERROR(_xlfn.XLOOKUP(A3530:A7573,kunishuClan!D:D,kunishuClan!B:B)&amp;"当主","")))</f>
      </c>
    </row>
    <row r="3531" ht="15.75" customHeight="1">
      <c r="A3531" s="4">
        <v>1222013</v>
      </c>
      <c r="B3531" s="12" t="str">
        <f t="array" ref="B3531">IF(A3531:A7574="","",_xlfn.XLOOKUP(A3531:A7574,'参照_武将'!A:A,'参照_武将'!B:B,"見つかりません"))</f>
      </c>
      <c r="C3531" s="4" t="s">
        <v>517</v>
      </c>
      <c r="D3531" s="4">
        <v>1</v>
      </c>
      <c r="E3531" s="12" t="str">
        <f t="array" ref="E3531">IF(D3531:D7574="","",IFERROR(_xlfn.XLOOKUP(D3531:D7574,'参照_勢力'!A:A,'参照_勢力'!B:B),IFERROR(_xlfn.XLOOKUP(F3531:F7574,kunishuClan!A:A,kunishuClan!B:B),"浪人")))</f>
      </c>
      <c r="F3531" s="4">
        <v>0</v>
      </c>
      <c r="G3531" s="4">
        <v>251</v>
      </c>
      <c r="H3531" s="12" t="str">
        <f t="array" ref="H3531">IF(G3531:G7574="","",_xlfn.XLOOKUP(G3531:G7574,castles_state!A:A,castles_state!D:D,"見つかりません"))</f>
      </c>
      <c r="I3531" s="4"/>
      <c r="J3531" s="12" t="str">
        <f t="array" ref="J3531">IF(I3531:I7574="","",_xlfn.XLOOKUP(I3531:I7574,'参照_姫'!A:A,'参照_姫'!B:B,"見つかりません"))</f>
      </c>
      <c r="K3531" s="4">
        <v>90</v>
      </c>
      <c r="L3531" s="4">
        <v>0</v>
      </c>
      <c r="M3531" s="4"/>
      <c r="N3531" s="4"/>
      <c r="O3531" s="4"/>
      <c r="P3531" s="12" t="str">
        <f t="array" ref="P3531">IF(O3531:O7574="","",_xlfn.XLOOKUP(O3531:O7574,'参照_官位'!A:A,'参照_官位'!B:B,""))</f>
      </c>
      <c r="Q3531" s="12" t="str">
        <f t="array" ref="Q3531">IF(A3531:A7574="","",IFERROR(_xlfn.XLOOKUP(A3531:A7574,castles_state!K:K,castles_state!D:D)&amp;"主",IFERROR(_xlfn.XLOOKUP(A3531:A7574,kunishuClan!D:D,kunishuClan!B:B)&amp;"当主","")))</f>
      </c>
    </row>
    <row r="3532" ht="15.75" customHeight="1">
      <c r="A3532" s="4">
        <v>1222014</v>
      </c>
      <c r="B3532" s="12" t="str">
        <f t="array" ref="B3532">IF(A3532:A7575="","",_xlfn.XLOOKUP(A3532:A7575,'参照_武将'!A:A,'参照_武将'!B:B,"見つかりません"))</f>
      </c>
      <c r="C3532" s="4" t="s">
        <v>517</v>
      </c>
      <c r="D3532" s="4">
        <v>1</v>
      </c>
      <c r="E3532" s="12" t="str">
        <f t="array" ref="E3532">IF(D3532:D7575="","",IFERROR(_xlfn.XLOOKUP(D3532:D7575,'参照_勢力'!A:A,'参照_勢力'!B:B),IFERROR(_xlfn.XLOOKUP(F3532:F7575,kunishuClan!A:A,kunishuClan!B:B),"浪人")))</f>
      </c>
      <c r="F3532" s="4">
        <v>0</v>
      </c>
      <c r="G3532" s="4">
        <v>49</v>
      </c>
      <c r="H3532" s="12" t="str">
        <f t="array" ref="H3532">IF(G3532:G7575="","",_xlfn.XLOOKUP(G3532:G7575,castles_state!A:A,castles_state!D:D,"見つかりません"))</f>
      </c>
      <c r="I3532" s="4"/>
      <c r="J3532" s="12" t="str">
        <f t="array" ref="J3532">IF(I3532:I7575="","",_xlfn.XLOOKUP(I3532:I7575,'参照_姫'!A:A,'参照_姫'!B:B,"見つかりません"))</f>
      </c>
      <c r="K3532" s="4">
        <v>90</v>
      </c>
      <c r="L3532" s="4">
        <v>0</v>
      </c>
      <c r="M3532" s="4"/>
      <c r="N3532" s="4"/>
      <c r="O3532" s="4"/>
      <c r="P3532" s="12" t="str">
        <f t="array" ref="P3532">IF(O3532:O7575="","",_xlfn.XLOOKUP(O3532:O7575,'参照_官位'!A:A,'参照_官位'!B:B,""))</f>
      </c>
      <c r="Q3532" s="12" t="str">
        <f t="array" ref="Q3532">IF(A3532:A7575="","",IFERROR(_xlfn.XLOOKUP(A3532:A7575,castles_state!K:K,castles_state!D:D)&amp;"主",IFERROR(_xlfn.XLOOKUP(A3532:A7575,kunishuClan!D:D,kunishuClan!B:B)&amp;"当主","")))</f>
      </c>
    </row>
    <row r="3533" ht="15.75" customHeight="1">
      <c r="A3533" s="4">
        <v>1222015</v>
      </c>
      <c r="B3533" s="12" t="str">
        <f t="array" ref="B3533">IF(A3533:A7576="","",_xlfn.XLOOKUP(A3533:A7576,'参照_武将'!A:A,'参照_武将'!B:B,"見つかりません"))</f>
      </c>
      <c r="C3533" s="4" t="s">
        <v>517</v>
      </c>
      <c r="D3533" s="4">
        <v>1</v>
      </c>
      <c r="E3533" s="12" t="str">
        <f t="array" ref="E3533">IF(D3533:D7576="","",IFERROR(_xlfn.XLOOKUP(D3533:D7576,'参照_勢力'!A:A,'参照_勢力'!B:B),IFERROR(_xlfn.XLOOKUP(F3533:F7576,kunishuClan!A:A,kunishuClan!B:B),"浪人")))</f>
      </c>
      <c r="F3533" s="4">
        <v>0</v>
      </c>
      <c r="G3533" s="4">
        <v>49</v>
      </c>
      <c r="H3533" s="12" t="str">
        <f t="array" ref="H3533">IF(G3533:G7576="","",_xlfn.XLOOKUP(G3533:G7576,castles_state!A:A,castles_state!D:D,"見つかりません"))</f>
      </c>
      <c r="I3533" s="4"/>
      <c r="J3533" s="12" t="str">
        <f t="array" ref="J3533">IF(I3533:I7576="","",_xlfn.XLOOKUP(I3533:I7576,'参照_姫'!A:A,'参照_姫'!B:B,"見つかりません"))</f>
      </c>
      <c r="K3533" s="4">
        <v>90</v>
      </c>
      <c r="L3533" s="4">
        <v>0</v>
      </c>
      <c r="M3533" s="4"/>
      <c r="N3533" s="4"/>
      <c r="O3533" s="4"/>
      <c r="P3533" s="12" t="str">
        <f t="array" ref="P3533">IF(O3533:O7576="","",_xlfn.XLOOKUP(O3533:O7576,'参照_官位'!A:A,'参照_官位'!B:B,""))</f>
      </c>
      <c r="Q3533" s="12" t="str">
        <f t="array" ref="Q3533">IF(A3533:A7576="","",IFERROR(_xlfn.XLOOKUP(A3533:A7576,castles_state!K:K,castles_state!D:D)&amp;"主",IFERROR(_xlfn.XLOOKUP(A3533:A7576,kunishuClan!D:D,kunishuClan!B:B)&amp;"当主","")))</f>
      </c>
    </row>
    <row r="3534" ht="15.75" customHeight="1">
      <c r="A3534" s="4">
        <v>1223001</v>
      </c>
      <c r="B3534" s="12" t="str">
        <f t="array" ref="B3534">IF(A3534:A7577="","",_xlfn.XLOOKUP(A3534:A7577,'参照_武将'!A:A,'参照_武将'!B:B,"見つかりません"))</f>
      </c>
      <c r="C3534" s="4" t="s">
        <v>522</v>
      </c>
      <c r="D3534" s="4">
        <v>68</v>
      </c>
      <c r="E3534" s="12" t="str">
        <f t="array" ref="E3534">IF(D3534:D7577="","",IFERROR(_xlfn.XLOOKUP(D3534:D7577,'参照_勢力'!A:A,'参照_勢力'!B:B),IFERROR(_xlfn.XLOOKUP(F3534:F7577,kunishuClan!A:A,kunishuClan!B:B),"浪人")))</f>
      </c>
      <c r="F3534" s="4">
        <v>0</v>
      </c>
      <c r="G3534" s="4">
        <v>190</v>
      </c>
      <c r="H3534" s="12" t="str">
        <f t="array" ref="H3534">IF(G3534:G7577="","",_xlfn.XLOOKUP(G3534:G7577,castles_state!A:A,castles_state!D:D,"見つかりません"))</f>
      </c>
      <c r="I3534" s="4"/>
      <c r="J3534" s="12" t="str">
        <f t="array" ref="J3534">IF(I3534:I7577="","",_xlfn.XLOOKUP(I3534:I7577,'参照_姫'!A:A,'参照_姫'!B:B,"見つかりません"))</f>
      </c>
      <c r="K3534" s="4">
        <v>95</v>
      </c>
      <c r="L3534" s="4">
        <v>0</v>
      </c>
      <c r="M3534" s="4"/>
      <c r="N3534" s="4"/>
      <c r="O3534" s="4"/>
      <c r="P3534" s="12" t="str">
        <f t="array" ref="P3534">IF(O3534:O7577="","",_xlfn.XLOOKUP(O3534:O7577,'参照_官位'!A:A,'参照_官位'!B:B,""))</f>
      </c>
      <c r="Q3534" s="12" t="str">
        <f t="array" ref="Q3534">IF(A3534:A7577="","",IFERROR(_xlfn.XLOOKUP(A3534:A7577,castles_state!K:K,castles_state!D:D)&amp;"主",IFERROR(_xlfn.XLOOKUP(A3534:A7577,kunishuClan!D:D,kunishuClan!B:B)&amp;"当主","")))</f>
      </c>
    </row>
    <row r="3535" ht="15.75" customHeight="1">
      <c r="A3535" s="4">
        <v>1223002</v>
      </c>
      <c r="B3535" s="12" t="str">
        <f t="array" ref="B3535">IF(A3535:A7578="","",_xlfn.XLOOKUP(A3535:A7578,'参照_武将'!A:A,'参照_武将'!B:B,"見つかりません"))</f>
      </c>
      <c r="C3535" s="4" t="s">
        <v>522</v>
      </c>
      <c r="D3535" s="4">
        <v>68</v>
      </c>
      <c r="E3535" s="12" t="str">
        <f t="array" ref="E3535">IF(D3535:D7578="","",IFERROR(_xlfn.XLOOKUP(D3535:D7578,'参照_勢力'!A:A,'参照_勢力'!B:B),IFERROR(_xlfn.XLOOKUP(F3535:F7578,kunishuClan!A:A,kunishuClan!B:B),"浪人")))</f>
      </c>
      <c r="F3535" s="4">
        <v>0</v>
      </c>
      <c r="G3535" s="4">
        <v>190</v>
      </c>
      <c r="H3535" s="12" t="str">
        <f t="array" ref="H3535">IF(G3535:G7578="","",_xlfn.XLOOKUP(G3535:G7578,castles_state!A:A,castles_state!D:D,"見つかりません"))</f>
      </c>
      <c r="I3535" s="4"/>
      <c r="J3535" s="12" t="str">
        <f t="array" ref="J3535">IF(I3535:I7578="","",_xlfn.XLOOKUP(I3535:I7578,'参照_姫'!A:A,'参照_姫'!B:B,"見つかりません"))</f>
      </c>
      <c r="K3535" s="4">
        <v>95</v>
      </c>
      <c r="L3535" s="4">
        <v>0</v>
      </c>
      <c r="M3535" s="4"/>
      <c r="N3535" s="4"/>
      <c r="O3535" s="4"/>
      <c r="P3535" s="12" t="str">
        <f t="array" ref="P3535">IF(O3535:O7578="","",_xlfn.XLOOKUP(O3535:O7578,'参照_官位'!A:A,'参照_官位'!B:B,""))</f>
      </c>
      <c r="Q3535" s="12" t="str">
        <f t="array" ref="Q3535">IF(A3535:A7578="","",IFERROR(_xlfn.XLOOKUP(A3535:A7578,castles_state!K:K,castles_state!D:D)&amp;"主",IFERROR(_xlfn.XLOOKUP(A3535:A7578,kunishuClan!D:D,kunishuClan!B:B)&amp;"当主","")))</f>
      </c>
    </row>
    <row r="3536" ht="15.75" customHeight="1">
      <c r="A3536" s="4">
        <v>1223003</v>
      </c>
      <c r="B3536" s="12" t="str">
        <f t="array" ref="B3536">IF(A3536:A7579="","",_xlfn.XLOOKUP(A3536:A7579,'参照_武将'!A:A,'参照_武将'!B:B,"見つかりません"))</f>
      </c>
      <c r="C3536" s="4" t="s">
        <v>522</v>
      </c>
      <c r="D3536" s="4">
        <v>68</v>
      </c>
      <c r="E3536" s="12" t="str">
        <f t="array" ref="E3536">IF(D3536:D7579="","",IFERROR(_xlfn.XLOOKUP(D3536:D7579,'参照_勢力'!A:A,'参照_勢力'!B:B),IFERROR(_xlfn.XLOOKUP(F3536:F7579,kunishuClan!A:A,kunishuClan!B:B),"浪人")))</f>
      </c>
      <c r="F3536" s="4">
        <v>0</v>
      </c>
      <c r="G3536" s="4">
        <v>190</v>
      </c>
      <c r="H3536" s="12" t="str">
        <f t="array" ref="H3536">IF(G3536:G7579="","",_xlfn.XLOOKUP(G3536:G7579,castles_state!A:A,castles_state!D:D,"見つかりません"))</f>
      </c>
      <c r="I3536" s="4"/>
      <c r="J3536" s="12" t="str">
        <f t="array" ref="J3536">IF(I3536:I7579="","",_xlfn.XLOOKUP(I3536:I7579,'参照_姫'!A:A,'参照_姫'!B:B,"見つかりません"))</f>
      </c>
      <c r="K3536" s="4">
        <v>95</v>
      </c>
      <c r="L3536" s="4">
        <v>300</v>
      </c>
      <c r="M3536" s="4"/>
      <c r="N3536" s="4"/>
      <c r="O3536" s="4"/>
      <c r="P3536" s="12" t="str">
        <f t="array" ref="P3536">IF(O3536:O7579="","",_xlfn.XLOOKUP(O3536:O7579,'参照_官位'!A:A,'参照_官位'!B:B,""))</f>
      </c>
      <c r="Q3536" s="12" t="str">
        <f t="array" ref="Q3536">IF(A3536:A7579="","",IFERROR(_xlfn.XLOOKUP(A3536:A7579,castles_state!K:K,castles_state!D:D)&amp;"主",IFERROR(_xlfn.XLOOKUP(A3536:A7579,kunishuClan!D:D,kunishuClan!B:B)&amp;"当主","")))</f>
      </c>
    </row>
    <row r="3537" ht="15.75" customHeight="1">
      <c r="A3537" s="4">
        <v>1223004</v>
      </c>
      <c r="B3537" s="12" t="str">
        <f t="array" ref="B3537">IF(A3537:A7580="","",_xlfn.XLOOKUP(A3537:A7580,'参照_武将'!A:A,'参照_武将'!B:B,"見つかりません"))</f>
      </c>
      <c r="C3537" s="4" t="s">
        <v>522</v>
      </c>
      <c r="D3537" s="4">
        <v>68</v>
      </c>
      <c r="E3537" s="12" t="str">
        <f t="array" ref="E3537">IF(D3537:D7580="","",IFERROR(_xlfn.XLOOKUP(D3537:D7580,'参照_勢力'!A:A,'参照_勢力'!B:B),IFERROR(_xlfn.XLOOKUP(F3537:F7580,kunishuClan!A:A,kunishuClan!B:B),"浪人")))</f>
      </c>
      <c r="F3537" s="4">
        <v>0</v>
      </c>
      <c r="G3537" s="4">
        <v>190</v>
      </c>
      <c r="H3537" s="12" t="str">
        <f t="array" ref="H3537">IF(G3537:G7580="","",_xlfn.XLOOKUP(G3537:G7580,castles_state!A:A,castles_state!D:D,"見つかりません"))</f>
      </c>
      <c r="I3537" s="4"/>
      <c r="J3537" s="12" t="str">
        <f t="array" ref="J3537">IF(I3537:I7580="","",_xlfn.XLOOKUP(I3537:I7580,'参照_姫'!A:A,'参照_姫'!B:B,"見つかりません"))</f>
      </c>
      <c r="K3537" s="4">
        <v>95</v>
      </c>
      <c r="L3537" s="4">
        <v>100</v>
      </c>
      <c r="M3537" s="4"/>
      <c r="N3537" s="4"/>
      <c r="O3537" s="4"/>
      <c r="P3537" s="12" t="str">
        <f t="array" ref="P3537">IF(O3537:O7580="","",_xlfn.XLOOKUP(O3537:O7580,'参照_官位'!A:A,'参照_官位'!B:B,""))</f>
      </c>
      <c r="Q3537" s="12" t="str">
        <f t="array" ref="Q3537">IF(A3537:A7580="","",IFERROR(_xlfn.XLOOKUP(A3537:A7580,castles_state!K:K,castles_state!D:D)&amp;"主",IFERROR(_xlfn.XLOOKUP(A3537:A7580,kunishuClan!D:D,kunishuClan!B:B)&amp;"当主","")))</f>
      </c>
    </row>
    <row r="3538" ht="15.75" customHeight="1">
      <c r="A3538" s="4">
        <v>1223005</v>
      </c>
      <c r="B3538" s="12" t="str">
        <f t="array" ref="B3538">IF(A3538:A7581="","",_xlfn.XLOOKUP(A3538:A7581,'参照_武将'!A:A,'参照_武将'!B:B,"見つかりません"))</f>
      </c>
      <c r="C3538" s="4" t="s">
        <v>522</v>
      </c>
      <c r="D3538" s="4">
        <v>68</v>
      </c>
      <c r="E3538" s="12" t="str">
        <f t="array" ref="E3538">IF(D3538:D7581="","",IFERROR(_xlfn.XLOOKUP(D3538:D7581,'参照_勢力'!A:A,'参照_勢力'!B:B),IFERROR(_xlfn.XLOOKUP(F3538:F7581,kunishuClan!A:A,kunishuClan!B:B),"浪人")))</f>
      </c>
      <c r="F3538" s="4">
        <v>0</v>
      </c>
      <c r="G3538" s="4">
        <v>190</v>
      </c>
      <c r="H3538" s="12" t="str">
        <f t="array" ref="H3538">IF(G3538:G7581="","",_xlfn.XLOOKUP(G3538:G7581,castles_state!A:A,castles_state!D:D,"見つかりません"))</f>
      </c>
      <c r="I3538" s="4"/>
      <c r="J3538" s="12" t="str">
        <f t="array" ref="J3538">IF(I3538:I7581="","",_xlfn.XLOOKUP(I3538:I7581,'参照_姫'!A:A,'参照_姫'!B:B,"見つかりません"))</f>
      </c>
      <c r="K3538" s="4">
        <v>90</v>
      </c>
      <c r="L3538" s="4">
        <v>100</v>
      </c>
      <c r="M3538" s="4"/>
      <c r="N3538" s="4"/>
      <c r="O3538" s="4"/>
      <c r="P3538" s="12" t="str">
        <f t="array" ref="P3538">IF(O3538:O7581="","",_xlfn.XLOOKUP(O3538:O7581,'参照_官位'!A:A,'参照_官位'!B:B,""))</f>
      </c>
      <c r="Q3538" s="12" t="str">
        <f t="array" ref="Q3538">IF(A3538:A7581="","",IFERROR(_xlfn.XLOOKUP(A3538:A7581,castles_state!K:K,castles_state!D:D)&amp;"主",IFERROR(_xlfn.XLOOKUP(A3538:A7581,kunishuClan!D:D,kunishuClan!B:B)&amp;"当主","")))</f>
      </c>
    </row>
    <row r="3539" ht="15.75" customHeight="1">
      <c r="A3539" s="4">
        <v>1223006</v>
      </c>
      <c r="B3539" s="12" t="str">
        <f t="array" ref="B3539">IF(A3539:A7582="","",_xlfn.XLOOKUP(A3539:A7582,'参照_武将'!A:A,'参照_武将'!B:B,"見つかりません"))</f>
      </c>
      <c r="C3539" s="4" t="s">
        <v>522</v>
      </c>
      <c r="D3539" s="4">
        <v>68</v>
      </c>
      <c r="E3539" s="12" t="str">
        <f t="array" ref="E3539">IF(D3539:D7582="","",IFERROR(_xlfn.XLOOKUP(D3539:D7582,'参照_勢力'!A:A,'参照_勢力'!B:B),IFERROR(_xlfn.XLOOKUP(F3539:F7582,kunishuClan!A:A,kunishuClan!B:B),"浪人")))</f>
      </c>
      <c r="F3539" s="4">
        <v>0</v>
      </c>
      <c r="G3539" s="4">
        <v>190</v>
      </c>
      <c r="H3539" s="12" t="str">
        <f t="array" ref="H3539">IF(G3539:G7582="","",_xlfn.XLOOKUP(G3539:G7582,castles_state!A:A,castles_state!D:D,"見つかりません"))</f>
      </c>
      <c r="I3539" s="4"/>
      <c r="J3539" s="12" t="str">
        <f t="array" ref="J3539">IF(I3539:I7582="","",_xlfn.XLOOKUP(I3539:I7582,'参照_姫'!A:A,'参照_姫'!B:B,"見つかりません"))</f>
      </c>
      <c r="K3539" s="4">
        <v>90</v>
      </c>
      <c r="L3539" s="4">
        <v>0</v>
      </c>
      <c r="M3539" s="4"/>
      <c r="N3539" s="4"/>
      <c r="O3539" s="4"/>
      <c r="P3539" s="12" t="str">
        <f t="array" ref="P3539">IF(O3539:O7582="","",_xlfn.XLOOKUP(O3539:O7582,'参照_官位'!A:A,'参照_官位'!B:B,""))</f>
      </c>
      <c r="Q3539" s="12" t="str">
        <f t="array" ref="Q3539">IF(A3539:A7582="","",IFERROR(_xlfn.XLOOKUP(A3539:A7582,castles_state!K:K,castles_state!D:D)&amp;"主",IFERROR(_xlfn.XLOOKUP(A3539:A7582,kunishuClan!D:D,kunishuClan!B:B)&amp;"当主","")))</f>
      </c>
    </row>
    <row r="3540" ht="15.75" customHeight="1">
      <c r="A3540" s="4">
        <v>1223007</v>
      </c>
      <c r="B3540" s="12" t="str">
        <f t="array" ref="B3540">IF(A3540:A7583="","",_xlfn.XLOOKUP(A3540:A7583,'参照_武将'!A:A,'参照_武将'!B:B,"見つかりません"))</f>
      </c>
      <c r="C3540" s="4" t="s">
        <v>522</v>
      </c>
      <c r="D3540" s="4">
        <v>68</v>
      </c>
      <c r="E3540" s="12" t="str">
        <f t="array" ref="E3540">IF(D3540:D7583="","",IFERROR(_xlfn.XLOOKUP(D3540:D7583,'参照_勢力'!A:A,'参照_勢力'!B:B),IFERROR(_xlfn.XLOOKUP(F3540:F7583,kunishuClan!A:A,kunishuClan!B:B),"浪人")))</f>
      </c>
      <c r="F3540" s="4">
        <v>0</v>
      </c>
      <c r="G3540" s="4">
        <v>190</v>
      </c>
      <c r="H3540" s="12" t="str">
        <f t="array" ref="H3540">IF(G3540:G7583="","",_xlfn.XLOOKUP(G3540:G7583,castles_state!A:A,castles_state!D:D,"見つかりません"))</f>
      </c>
      <c r="I3540" s="4"/>
      <c r="J3540" s="12" t="str">
        <f t="array" ref="J3540">IF(I3540:I7583="","",_xlfn.XLOOKUP(I3540:I7583,'参照_姫'!A:A,'参照_姫'!B:B,"見つかりません"))</f>
      </c>
      <c r="K3540" s="4">
        <v>90</v>
      </c>
      <c r="L3540" s="4">
        <v>0</v>
      </c>
      <c r="M3540" s="4"/>
      <c r="N3540" s="4"/>
      <c r="O3540" s="4"/>
      <c r="P3540" s="12" t="str">
        <f t="array" ref="P3540">IF(O3540:O7583="","",_xlfn.XLOOKUP(O3540:O7583,'参照_官位'!A:A,'参照_官位'!B:B,""))</f>
      </c>
      <c r="Q3540" s="12" t="str">
        <f t="array" ref="Q3540">IF(A3540:A7583="","",IFERROR(_xlfn.XLOOKUP(A3540:A7583,castles_state!K:K,castles_state!D:D)&amp;"主",IFERROR(_xlfn.XLOOKUP(A3540:A7583,kunishuClan!D:D,kunishuClan!B:B)&amp;"当主","")))</f>
      </c>
    </row>
    <row r="3541" ht="15.75" customHeight="1">
      <c r="A3541" s="4">
        <v>1223008</v>
      </c>
      <c r="B3541" s="12" t="str">
        <f t="array" ref="B3541">IF(A3541:A7584="","",_xlfn.XLOOKUP(A3541:A7584,'参照_武将'!A:A,'参照_武将'!B:B,"見つかりません"))</f>
      </c>
      <c r="C3541" s="4" t="s">
        <v>522</v>
      </c>
      <c r="D3541" s="4">
        <v>68</v>
      </c>
      <c r="E3541" s="12" t="str">
        <f t="array" ref="E3541">IF(D3541:D7584="","",IFERROR(_xlfn.XLOOKUP(D3541:D7584,'参照_勢力'!A:A,'参照_勢力'!B:B),IFERROR(_xlfn.XLOOKUP(F3541:F7584,kunishuClan!A:A,kunishuClan!B:B),"浪人")))</f>
      </c>
      <c r="F3541" s="4">
        <v>0</v>
      </c>
      <c r="G3541" s="4">
        <v>190</v>
      </c>
      <c r="H3541" s="12" t="str">
        <f t="array" ref="H3541">IF(G3541:G7584="","",_xlfn.XLOOKUP(G3541:G7584,castles_state!A:A,castles_state!D:D,"見つかりません"))</f>
      </c>
      <c r="I3541" s="4"/>
      <c r="J3541" s="12" t="str">
        <f t="array" ref="J3541">IF(I3541:I7584="","",_xlfn.XLOOKUP(I3541:I7584,'参照_姫'!A:A,'参照_姫'!B:B,"見つかりません"))</f>
      </c>
      <c r="K3541" s="4">
        <v>90</v>
      </c>
      <c r="L3541" s="4">
        <v>0</v>
      </c>
      <c r="M3541" s="4"/>
      <c r="N3541" s="4"/>
      <c r="O3541" s="4"/>
      <c r="P3541" s="12" t="str">
        <f t="array" ref="P3541">IF(O3541:O7584="","",_xlfn.XLOOKUP(O3541:O7584,'参照_官位'!A:A,'参照_官位'!B:B,""))</f>
      </c>
      <c r="Q3541" s="12" t="str">
        <f t="array" ref="Q3541">IF(A3541:A7584="","",IFERROR(_xlfn.XLOOKUP(A3541:A7584,castles_state!K:K,castles_state!D:D)&amp;"主",IFERROR(_xlfn.XLOOKUP(A3541:A7584,kunishuClan!D:D,kunishuClan!B:B)&amp;"当主","")))</f>
      </c>
    </row>
    <row r="3542" ht="15.75" customHeight="1">
      <c r="A3542" s="4">
        <v>1223009</v>
      </c>
      <c r="B3542" s="12" t="str">
        <f t="array" ref="B3542">IF(A3542:A7585="","",_xlfn.XLOOKUP(A3542:A7585,'参照_武将'!A:A,'参照_武将'!B:B,"見つかりません"))</f>
      </c>
      <c r="C3542" s="4" t="s">
        <v>522</v>
      </c>
      <c r="D3542" s="4">
        <v>68</v>
      </c>
      <c r="E3542" s="12" t="str">
        <f t="array" ref="E3542">IF(D3542:D7585="","",IFERROR(_xlfn.XLOOKUP(D3542:D7585,'参照_勢力'!A:A,'参照_勢力'!B:B),IFERROR(_xlfn.XLOOKUP(F3542:F7585,kunishuClan!A:A,kunishuClan!B:B),"浪人")))</f>
      </c>
      <c r="F3542" s="4">
        <v>0</v>
      </c>
      <c r="G3542" s="4">
        <v>190</v>
      </c>
      <c r="H3542" s="12" t="str">
        <f t="array" ref="H3542">IF(G3542:G7585="","",_xlfn.XLOOKUP(G3542:G7585,castles_state!A:A,castles_state!D:D,"見つかりません"))</f>
      </c>
      <c r="I3542" s="4"/>
      <c r="J3542" s="12" t="str">
        <f t="array" ref="J3542">IF(I3542:I7585="","",_xlfn.XLOOKUP(I3542:I7585,'参照_姫'!A:A,'参照_姫'!B:B,"見つかりません"))</f>
      </c>
      <c r="K3542" s="4">
        <v>95</v>
      </c>
      <c r="L3542" s="4">
        <v>0</v>
      </c>
      <c r="M3542" s="4"/>
      <c r="N3542" s="4"/>
      <c r="O3542" s="4"/>
      <c r="P3542" s="12" t="str">
        <f t="array" ref="P3542">IF(O3542:O7585="","",_xlfn.XLOOKUP(O3542:O7585,'参照_官位'!A:A,'参照_官位'!B:B,""))</f>
      </c>
      <c r="Q3542" s="12" t="str">
        <f t="array" ref="Q3542">IF(A3542:A7585="","",IFERROR(_xlfn.XLOOKUP(A3542:A7585,castles_state!K:K,castles_state!D:D)&amp;"主",IFERROR(_xlfn.XLOOKUP(A3542:A7585,kunishuClan!D:D,kunishuClan!B:B)&amp;"当主","")))</f>
      </c>
    </row>
    <row r="3543" ht="15.75" customHeight="1">
      <c r="A3543" s="4">
        <v>1223010</v>
      </c>
      <c r="B3543" s="12" t="str">
        <f t="array" ref="B3543">IF(A3543:A7586="","",_xlfn.XLOOKUP(A3543:A7586,'参照_武将'!A:A,'参照_武将'!B:B,"見つかりません"))</f>
      </c>
      <c r="C3543" s="4" t="s">
        <v>522</v>
      </c>
      <c r="D3543" s="4">
        <v>68</v>
      </c>
      <c r="E3543" s="12" t="str">
        <f t="array" ref="E3543">IF(D3543:D7586="","",IFERROR(_xlfn.XLOOKUP(D3543:D7586,'参照_勢力'!A:A,'参照_勢力'!B:B),IFERROR(_xlfn.XLOOKUP(F3543:F7586,kunishuClan!A:A,kunishuClan!B:B),"浪人")))</f>
      </c>
      <c r="F3543" s="4">
        <v>0</v>
      </c>
      <c r="G3543" s="4">
        <v>190</v>
      </c>
      <c r="H3543" s="12" t="str">
        <f t="array" ref="H3543">IF(G3543:G7586="","",_xlfn.XLOOKUP(G3543:G7586,castles_state!A:A,castles_state!D:D,"見つかりません"))</f>
      </c>
      <c r="I3543" s="4"/>
      <c r="J3543" s="12" t="str">
        <f t="array" ref="J3543">IF(I3543:I7586="","",_xlfn.XLOOKUP(I3543:I7586,'参照_姫'!A:A,'参照_姫'!B:B,"見つかりません"))</f>
      </c>
      <c r="K3543" s="4">
        <v>90</v>
      </c>
      <c r="L3543" s="4">
        <v>0</v>
      </c>
      <c r="M3543" s="4"/>
      <c r="N3543" s="4"/>
      <c r="O3543" s="4"/>
      <c r="P3543" s="12" t="str">
        <f t="array" ref="P3543">IF(O3543:O7586="","",_xlfn.XLOOKUP(O3543:O7586,'参照_官位'!A:A,'参照_官位'!B:B,""))</f>
      </c>
      <c r="Q3543" s="12" t="str">
        <f t="array" ref="Q3543">IF(A3543:A7586="","",IFERROR(_xlfn.XLOOKUP(A3543:A7586,castles_state!K:K,castles_state!D:D)&amp;"主",IFERROR(_xlfn.XLOOKUP(A3543:A7586,kunishuClan!D:D,kunishuClan!B:B)&amp;"当主","")))</f>
      </c>
    </row>
    <row r="3544" ht="15.75" customHeight="1">
      <c r="A3544" s="4">
        <v>1223011</v>
      </c>
      <c r="B3544" s="12" t="str">
        <f t="array" ref="B3544">IF(A3544:A7587="","",_xlfn.XLOOKUP(A3544:A7587,'参照_武将'!A:A,'参照_武将'!B:B,"見つかりません"))</f>
      </c>
      <c r="C3544" s="4" t="s">
        <v>522</v>
      </c>
      <c r="D3544" s="4">
        <v>68</v>
      </c>
      <c r="E3544" s="12" t="str">
        <f t="array" ref="E3544">IF(D3544:D7587="","",IFERROR(_xlfn.XLOOKUP(D3544:D7587,'参照_勢力'!A:A,'参照_勢力'!B:B),IFERROR(_xlfn.XLOOKUP(F3544:F7587,kunishuClan!A:A,kunishuClan!B:B),"浪人")))</f>
      </c>
      <c r="F3544" s="4">
        <v>0</v>
      </c>
      <c r="G3544" s="4">
        <v>190</v>
      </c>
      <c r="H3544" s="12" t="str">
        <f t="array" ref="H3544">IF(G3544:G7587="","",_xlfn.XLOOKUP(G3544:G7587,castles_state!A:A,castles_state!D:D,"見つかりません"))</f>
      </c>
      <c r="I3544" s="4"/>
      <c r="J3544" s="12" t="str">
        <f t="array" ref="J3544">IF(I3544:I7587="","",_xlfn.XLOOKUP(I3544:I7587,'参照_姫'!A:A,'参照_姫'!B:B,"見つかりません"))</f>
      </c>
      <c r="K3544" s="4">
        <v>90</v>
      </c>
      <c r="L3544" s="4">
        <v>0</v>
      </c>
      <c r="M3544" s="4"/>
      <c r="N3544" s="4"/>
      <c r="O3544" s="4"/>
      <c r="P3544" s="12" t="str">
        <f t="array" ref="P3544">IF(O3544:O7587="","",_xlfn.XLOOKUP(O3544:O7587,'参照_官位'!A:A,'参照_官位'!B:B,""))</f>
      </c>
      <c r="Q3544" s="12" t="str">
        <f t="array" ref="Q3544">IF(A3544:A7587="","",IFERROR(_xlfn.XLOOKUP(A3544:A7587,castles_state!K:K,castles_state!D:D)&amp;"主",IFERROR(_xlfn.XLOOKUP(A3544:A7587,kunishuClan!D:D,kunishuClan!B:B)&amp;"当主","")))</f>
      </c>
    </row>
    <row r="3545" ht="15.75" customHeight="1">
      <c r="A3545" s="4">
        <v>1223012</v>
      </c>
      <c r="B3545" s="12" t="str">
        <f t="array" ref="B3545">IF(A3545:A7588="","",_xlfn.XLOOKUP(A3545:A7588,'参照_武将'!A:A,'参照_武将'!B:B,"見つかりません"))</f>
      </c>
      <c r="C3545" s="4" t="s">
        <v>522</v>
      </c>
      <c r="D3545" s="4">
        <v>68</v>
      </c>
      <c r="E3545" s="12" t="str">
        <f t="array" ref="E3545">IF(D3545:D7588="","",IFERROR(_xlfn.XLOOKUP(D3545:D7588,'参照_勢力'!A:A,'参照_勢力'!B:B),IFERROR(_xlfn.XLOOKUP(F3545:F7588,kunishuClan!A:A,kunishuClan!B:B),"浪人")))</f>
      </c>
      <c r="F3545" s="4">
        <v>0</v>
      </c>
      <c r="G3545" s="4">
        <v>190</v>
      </c>
      <c r="H3545" s="12" t="str">
        <f t="array" ref="H3545">IF(G3545:G7588="","",_xlfn.XLOOKUP(G3545:G7588,castles_state!A:A,castles_state!D:D,"見つかりません"))</f>
      </c>
      <c r="I3545" s="4"/>
      <c r="J3545" s="12" t="str">
        <f t="array" ref="J3545">IF(I3545:I7588="","",_xlfn.XLOOKUP(I3545:I7588,'参照_姫'!A:A,'参照_姫'!B:B,"見つかりません"))</f>
      </c>
      <c r="K3545" s="4">
        <v>90</v>
      </c>
      <c r="L3545" s="4">
        <v>0</v>
      </c>
      <c r="M3545" s="4"/>
      <c r="N3545" s="4"/>
      <c r="O3545" s="4"/>
      <c r="P3545" s="12" t="str">
        <f t="array" ref="P3545">IF(O3545:O7588="","",_xlfn.XLOOKUP(O3545:O7588,'参照_官位'!A:A,'参照_官位'!B:B,""))</f>
      </c>
      <c r="Q3545" s="12" t="str">
        <f t="array" ref="Q3545">IF(A3545:A7588="","",IFERROR(_xlfn.XLOOKUP(A3545:A7588,castles_state!K:K,castles_state!D:D)&amp;"主",IFERROR(_xlfn.XLOOKUP(A3545:A7588,kunishuClan!D:D,kunishuClan!B:B)&amp;"当主","")))</f>
      </c>
    </row>
    <row r="3546" ht="15.75" customHeight="1">
      <c r="A3546" s="4">
        <v>1223013</v>
      </c>
      <c r="B3546" s="12" t="str">
        <f t="array" ref="B3546">IF(A3546:A7589="","",_xlfn.XLOOKUP(A3546:A7589,'参照_武将'!A:A,'参照_武将'!B:B,"見つかりません"))</f>
      </c>
      <c r="C3546" s="4" t="s">
        <v>522</v>
      </c>
      <c r="D3546" s="4">
        <v>68</v>
      </c>
      <c r="E3546" s="12" t="str">
        <f t="array" ref="E3546">IF(D3546:D7589="","",IFERROR(_xlfn.XLOOKUP(D3546:D7589,'参照_勢力'!A:A,'参照_勢力'!B:B),IFERROR(_xlfn.XLOOKUP(F3546:F7589,kunishuClan!A:A,kunishuClan!B:B),"浪人")))</f>
      </c>
      <c r="F3546" s="4">
        <v>0</v>
      </c>
      <c r="G3546" s="4">
        <v>190</v>
      </c>
      <c r="H3546" s="12" t="str">
        <f t="array" ref="H3546">IF(G3546:G7589="","",_xlfn.XLOOKUP(G3546:G7589,castles_state!A:A,castles_state!D:D,"見つかりません"))</f>
      </c>
      <c r="I3546" s="4"/>
      <c r="J3546" s="12" t="str">
        <f t="array" ref="J3546">IF(I3546:I7589="","",_xlfn.XLOOKUP(I3546:I7589,'参照_姫'!A:A,'参照_姫'!B:B,"見つかりません"))</f>
      </c>
      <c r="K3546" s="4">
        <v>90</v>
      </c>
      <c r="L3546" s="4">
        <v>0</v>
      </c>
      <c r="M3546" s="4"/>
      <c r="N3546" s="4"/>
      <c r="O3546" s="4"/>
      <c r="P3546" s="12" t="str">
        <f t="array" ref="P3546">IF(O3546:O7589="","",_xlfn.XLOOKUP(O3546:O7589,'参照_官位'!A:A,'参照_官位'!B:B,""))</f>
      </c>
      <c r="Q3546" s="12" t="str">
        <f t="array" ref="Q3546">IF(A3546:A7589="","",IFERROR(_xlfn.XLOOKUP(A3546:A7589,castles_state!K:K,castles_state!D:D)&amp;"主",IFERROR(_xlfn.XLOOKUP(A3546:A7589,kunishuClan!D:D,kunishuClan!B:B)&amp;"当主","")))</f>
      </c>
    </row>
    <row r="3547" ht="15.75" customHeight="1">
      <c r="A3547" s="4">
        <v>1223014</v>
      </c>
      <c r="B3547" s="12" t="str">
        <f t="array" ref="B3547">IF(A3547:A7590="","",_xlfn.XLOOKUP(A3547:A7590,'参照_武将'!A:A,'参照_武将'!B:B,"見つかりません"))</f>
      </c>
      <c r="C3547" s="4" t="s">
        <v>5983</v>
      </c>
      <c r="D3547" s="4">
        <v>68</v>
      </c>
      <c r="E3547" s="12" t="str">
        <f t="array" ref="E3547">IF(D3547:D7590="","",IFERROR(_xlfn.XLOOKUP(D3547:D7590,'参照_勢力'!A:A,'参照_勢力'!B:B),IFERROR(_xlfn.XLOOKUP(F3547:F7590,kunishuClan!A:A,kunishuClan!B:B),"浪人")))</f>
      </c>
      <c r="F3547" s="4">
        <v>0</v>
      </c>
      <c r="G3547" s="4">
        <v>190</v>
      </c>
      <c r="H3547" s="12" t="str">
        <f t="array" ref="H3547">IF(G3547:G7590="","",_xlfn.XLOOKUP(G3547:G7590,castles_state!A:A,castles_state!D:D,"見つかりません"))</f>
      </c>
      <c r="I3547" s="4"/>
      <c r="J3547" s="12" t="str">
        <f t="array" ref="J3547">IF(I3547:I7590="","",_xlfn.XLOOKUP(I3547:I7590,'参照_姫'!A:A,'参照_姫'!B:B,"見つかりません"))</f>
      </c>
      <c r="K3547" s="4">
        <v>90</v>
      </c>
      <c r="L3547" s="4">
        <v>0</v>
      </c>
      <c r="M3547" s="4"/>
      <c r="N3547" s="4"/>
      <c r="O3547" s="4"/>
      <c r="P3547" s="12" t="str">
        <f t="array" ref="P3547">IF(O3547:O7590="","",_xlfn.XLOOKUP(O3547:O7590,'参照_官位'!A:A,'参照_官位'!B:B,""))</f>
      </c>
      <c r="Q3547" s="12" t="str">
        <f t="array" ref="Q3547">IF(A3547:A7590="","",IFERROR(_xlfn.XLOOKUP(A3547:A7590,castles_state!K:K,castles_state!D:D)&amp;"主",IFERROR(_xlfn.XLOOKUP(A3547:A7590,kunishuClan!D:D,kunishuClan!B:B)&amp;"当主","")))</f>
      </c>
    </row>
    <row r="3548" ht="15.75" customHeight="1">
      <c r="A3548" s="4">
        <v>1223015</v>
      </c>
      <c r="B3548" s="12" t="str">
        <f t="array" ref="B3548">IF(A3548:A7591="","",_xlfn.XLOOKUP(A3548:A7591,'参照_武将'!A:A,'参照_武将'!B:B,"見つかりません"))</f>
      </c>
      <c r="C3548" s="4" t="s">
        <v>5983</v>
      </c>
      <c r="D3548" s="4">
        <v>68</v>
      </c>
      <c r="E3548" s="12" t="str">
        <f t="array" ref="E3548">IF(D3548:D7591="","",IFERROR(_xlfn.XLOOKUP(D3548:D7591,'参照_勢力'!A:A,'参照_勢力'!B:B),IFERROR(_xlfn.XLOOKUP(F3548:F7591,kunishuClan!A:A,kunishuClan!B:B),"浪人")))</f>
      </c>
      <c r="F3548" s="4">
        <v>0</v>
      </c>
      <c r="G3548" s="4">
        <v>190</v>
      </c>
      <c r="H3548" s="12" t="str">
        <f t="array" ref="H3548">IF(G3548:G7591="","",_xlfn.XLOOKUP(G3548:G7591,castles_state!A:A,castles_state!D:D,"見つかりません"))</f>
      </c>
      <c r="I3548" s="4"/>
      <c r="J3548" s="12" t="str">
        <f t="array" ref="J3548">IF(I3548:I7591="","",_xlfn.XLOOKUP(I3548:I7591,'参照_姫'!A:A,'参照_姫'!B:B,"見つかりません"))</f>
      </c>
      <c r="K3548" s="4">
        <v>90</v>
      </c>
      <c r="L3548" s="4">
        <v>0</v>
      </c>
      <c r="M3548" s="4"/>
      <c r="N3548" s="4"/>
      <c r="O3548" s="4"/>
      <c r="P3548" s="12" t="str">
        <f t="array" ref="P3548">IF(O3548:O7591="","",_xlfn.XLOOKUP(O3548:O7591,'参照_官位'!A:A,'参照_官位'!B:B,""))</f>
      </c>
      <c r="Q3548" s="12" t="str">
        <f t="array" ref="Q3548">IF(A3548:A7591="","",IFERROR(_xlfn.XLOOKUP(A3548:A7591,castles_state!K:K,castles_state!D:D)&amp;"主",IFERROR(_xlfn.XLOOKUP(A3548:A7591,kunishuClan!D:D,kunishuClan!B:B)&amp;"当主","")))</f>
      </c>
    </row>
    <row r="3549" ht="15.75" customHeight="1">
      <c r="A3549" s="4">
        <v>1223016</v>
      </c>
      <c r="B3549" s="12" t="str">
        <f t="array" ref="B3549">IF(A3549:A7592="","",_xlfn.XLOOKUP(A3549:A7592,'参照_武将'!A:A,'参照_武将'!B:B,"見つかりません"))</f>
      </c>
      <c r="C3549" s="4" t="s">
        <v>5983</v>
      </c>
      <c r="D3549" s="4">
        <v>68</v>
      </c>
      <c r="E3549" s="12" t="str">
        <f t="array" ref="E3549">IF(D3549:D7592="","",IFERROR(_xlfn.XLOOKUP(D3549:D7592,'参照_勢力'!A:A,'参照_勢力'!B:B),IFERROR(_xlfn.XLOOKUP(F3549:F7592,kunishuClan!A:A,kunishuClan!B:B),"浪人")))</f>
      </c>
      <c r="F3549" s="4">
        <v>0</v>
      </c>
      <c r="G3549" s="4">
        <v>190</v>
      </c>
      <c r="H3549" s="12" t="str">
        <f t="array" ref="H3549">IF(G3549:G7592="","",_xlfn.XLOOKUP(G3549:G7592,castles_state!A:A,castles_state!D:D,"見つかりません"))</f>
      </c>
      <c r="I3549" s="4"/>
      <c r="J3549" s="12" t="str">
        <f t="array" ref="J3549">IF(I3549:I7592="","",_xlfn.XLOOKUP(I3549:I7592,'参照_姫'!A:A,'参照_姫'!B:B,"見つかりません"))</f>
      </c>
      <c r="K3549" s="4">
        <v>90</v>
      </c>
      <c r="L3549" s="4">
        <v>0</v>
      </c>
      <c r="M3549" s="4"/>
      <c r="N3549" s="4"/>
      <c r="O3549" s="4"/>
      <c r="P3549" s="12" t="str">
        <f t="array" ref="P3549">IF(O3549:O7592="","",_xlfn.XLOOKUP(O3549:O7592,'参照_官位'!A:A,'参照_官位'!B:B,""))</f>
      </c>
      <c r="Q3549" s="12" t="str">
        <f t="array" ref="Q3549">IF(A3549:A7592="","",IFERROR(_xlfn.XLOOKUP(A3549:A7592,castles_state!K:K,castles_state!D:D)&amp;"主",IFERROR(_xlfn.XLOOKUP(A3549:A7592,kunishuClan!D:D,kunishuClan!B:B)&amp;"当主","")))</f>
      </c>
    </row>
    <row r="3550" ht="15.75" customHeight="1">
      <c r="A3550" s="4">
        <v>1223017</v>
      </c>
      <c r="B3550" s="12" t="str">
        <f t="array" ref="B3550">IF(A3550:A7593="","",_xlfn.XLOOKUP(A3550:A7593,'参照_武将'!A:A,'参照_武将'!B:B,"見つかりません"))</f>
      </c>
      <c r="C3550" s="4" t="s">
        <v>522</v>
      </c>
      <c r="D3550" s="4">
        <v>68</v>
      </c>
      <c r="E3550" s="12" t="str">
        <f t="array" ref="E3550">IF(D3550:D7593="","",IFERROR(_xlfn.XLOOKUP(D3550:D7593,'参照_勢力'!A:A,'参照_勢力'!B:B),IFERROR(_xlfn.XLOOKUP(F3550:F7593,kunishuClan!A:A,kunishuClan!B:B),"浪人")))</f>
      </c>
      <c r="F3550" s="4">
        <v>0</v>
      </c>
      <c r="G3550" s="4">
        <v>190</v>
      </c>
      <c r="H3550" s="12" t="str">
        <f t="array" ref="H3550">IF(G3550:G7593="","",_xlfn.XLOOKUP(G3550:G7593,castles_state!A:A,castles_state!D:D,"見つかりません"))</f>
      </c>
      <c r="I3550" s="4"/>
      <c r="J3550" s="12" t="str">
        <f t="array" ref="J3550">IF(I3550:I7593="","",_xlfn.XLOOKUP(I3550:I7593,'参照_姫'!A:A,'参照_姫'!B:B,"見つかりません"))</f>
      </c>
      <c r="K3550" s="4">
        <v>90</v>
      </c>
      <c r="L3550" s="4">
        <v>0</v>
      </c>
      <c r="M3550" s="4"/>
      <c r="N3550" s="4"/>
      <c r="O3550" s="4"/>
      <c r="P3550" s="12" t="str">
        <f t="array" ref="P3550">IF(O3550:O7593="","",_xlfn.XLOOKUP(O3550:O7593,'参照_官位'!A:A,'参照_官位'!B:B,""))</f>
      </c>
      <c r="Q3550" s="12" t="str">
        <f t="array" ref="Q3550">IF(A3550:A7593="","",IFERROR(_xlfn.XLOOKUP(A3550:A7593,castles_state!K:K,castles_state!D:D)&amp;"主",IFERROR(_xlfn.XLOOKUP(A3550:A7593,kunishuClan!D:D,kunishuClan!B:B)&amp;"当主","")))</f>
      </c>
    </row>
    <row r="3551" ht="15.75" customHeight="1">
      <c r="A3551" s="4">
        <v>1223018</v>
      </c>
      <c r="B3551" s="12" t="str">
        <f t="array" ref="B3551">IF(A3551:A7594="","",_xlfn.XLOOKUP(A3551:A7594,'参照_武将'!A:A,'参照_武将'!B:B,"見つかりません"))</f>
      </c>
      <c r="C3551" s="4" t="s">
        <v>522</v>
      </c>
      <c r="D3551" s="4">
        <v>68</v>
      </c>
      <c r="E3551" s="12" t="str">
        <f t="array" ref="E3551">IF(D3551:D7594="","",IFERROR(_xlfn.XLOOKUP(D3551:D7594,'参照_勢力'!A:A,'参照_勢力'!B:B),IFERROR(_xlfn.XLOOKUP(F3551:F7594,kunishuClan!A:A,kunishuClan!B:B),"浪人")))</f>
      </c>
      <c r="F3551" s="4">
        <v>0</v>
      </c>
      <c r="G3551" s="4">
        <v>190</v>
      </c>
      <c r="H3551" s="12" t="str">
        <f t="array" ref="H3551">IF(G3551:G7594="","",_xlfn.XLOOKUP(G3551:G7594,castles_state!A:A,castles_state!D:D,"見つかりません"))</f>
      </c>
      <c r="I3551" s="4"/>
      <c r="J3551" s="12" t="str">
        <f t="array" ref="J3551">IF(I3551:I7594="","",_xlfn.XLOOKUP(I3551:I7594,'参照_姫'!A:A,'参照_姫'!B:B,"見つかりません"))</f>
      </c>
      <c r="K3551" s="4">
        <v>90</v>
      </c>
      <c r="L3551" s="4">
        <v>0</v>
      </c>
      <c r="M3551" s="4"/>
      <c r="N3551" s="4"/>
      <c r="O3551" s="4"/>
      <c r="P3551" s="12" t="str">
        <f t="array" ref="P3551">IF(O3551:O7594="","",_xlfn.XLOOKUP(O3551:O7594,'参照_官位'!A:A,'参照_官位'!B:B,""))</f>
      </c>
      <c r="Q3551" s="12" t="str">
        <f t="array" ref="Q3551">IF(A3551:A7594="","",IFERROR(_xlfn.XLOOKUP(A3551:A7594,castles_state!K:K,castles_state!D:D)&amp;"主",IFERROR(_xlfn.XLOOKUP(A3551:A7594,kunishuClan!D:D,kunishuClan!B:B)&amp;"当主","")))</f>
      </c>
    </row>
    <row r="3552" ht="15.75" customHeight="1">
      <c r="A3552" s="4">
        <v>1223019</v>
      </c>
      <c r="B3552" s="12" t="str">
        <f t="array" ref="B3552">IF(A3552:A7595="","",_xlfn.XLOOKUP(A3552:A7595,'参照_武将'!A:A,'参照_武将'!B:B,"見つかりません"))</f>
      </c>
      <c r="C3552" s="4" t="s">
        <v>522</v>
      </c>
      <c r="D3552" s="4">
        <v>68</v>
      </c>
      <c r="E3552" s="12" t="str">
        <f t="array" ref="E3552">IF(D3552:D7595="","",IFERROR(_xlfn.XLOOKUP(D3552:D7595,'参照_勢力'!A:A,'参照_勢力'!B:B),IFERROR(_xlfn.XLOOKUP(F3552:F7595,kunishuClan!A:A,kunishuClan!B:B),"浪人")))</f>
      </c>
      <c r="F3552" s="4">
        <v>0</v>
      </c>
      <c r="G3552" s="4">
        <v>190</v>
      </c>
      <c r="H3552" s="12" t="str">
        <f t="array" ref="H3552">IF(G3552:G7595="","",_xlfn.XLOOKUP(G3552:G7595,castles_state!A:A,castles_state!D:D,"見つかりません"))</f>
      </c>
      <c r="I3552" s="4"/>
      <c r="J3552" s="12" t="str">
        <f t="array" ref="J3552">IF(I3552:I7595="","",_xlfn.XLOOKUP(I3552:I7595,'参照_姫'!A:A,'参照_姫'!B:B,"見つかりません"))</f>
      </c>
      <c r="K3552" s="4">
        <v>90</v>
      </c>
      <c r="L3552" s="4">
        <v>0</v>
      </c>
      <c r="M3552" s="4"/>
      <c r="N3552" s="4"/>
      <c r="O3552" s="4"/>
      <c r="P3552" s="12" t="str">
        <f t="array" ref="P3552">IF(O3552:O7595="","",_xlfn.XLOOKUP(O3552:O7595,'参照_官位'!A:A,'参照_官位'!B:B,""))</f>
      </c>
      <c r="Q3552" s="12" t="str">
        <f t="array" ref="Q3552">IF(A3552:A7595="","",IFERROR(_xlfn.XLOOKUP(A3552:A7595,castles_state!K:K,castles_state!D:D)&amp;"主",IFERROR(_xlfn.XLOOKUP(A3552:A7595,kunishuClan!D:D,kunishuClan!B:B)&amp;"当主","")))</f>
      </c>
    </row>
    <row r="3553" ht="15.75" customHeight="1">
      <c r="A3553" s="4">
        <v>1224001</v>
      </c>
      <c r="B3553" s="12" t="str">
        <f t="array" ref="B3553">IF(A3553:A7596="","",_xlfn.XLOOKUP(A3553:A7596,'参照_武将'!A:A,'参照_武将'!B:B,"見つかりません"))</f>
      </c>
      <c r="C3553" s="4" t="s">
        <v>527</v>
      </c>
      <c r="D3553" s="4">
        <v>0</v>
      </c>
      <c r="E3553" s="12" t="str">
        <f t="array" ref="E3553">IF(D3553:D7596="","",IFERROR(_xlfn.XLOOKUP(D3553:D7596,'参照_勢力'!A:A,'参照_勢力'!B:B),IFERROR(_xlfn.XLOOKUP(F3553:F7596,kunishuClan!A:A,kunishuClan!B:B),"浪人")))</f>
      </c>
      <c r="F3553" s="4">
        <v>0</v>
      </c>
      <c r="G3553" s="4">
        <v>7</v>
      </c>
      <c r="H3553" s="12" t="str">
        <f t="array" ref="H3553">IF(G3553:G7596="","",_xlfn.XLOOKUP(G3553:G7596,castles_state!A:A,castles_state!D:D,"見つかりません"))</f>
      </c>
      <c r="I3553" s="4"/>
      <c r="J3553" s="12" t="str">
        <f t="array" ref="J3553">IF(I3553:I7596="","",_xlfn.XLOOKUP(I3553:I7596,'参照_姫'!A:A,'参照_姫'!B:B,"見つかりません"))</f>
      </c>
      <c r="K3553" s="4">
        <v>50</v>
      </c>
      <c r="L3553" s="4">
        <v>0</v>
      </c>
      <c r="M3553" s="4"/>
      <c r="N3553" s="4"/>
      <c r="O3553" s="4"/>
      <c r="P3553" s="12" t="str">
        <f t="array" ref="P3553">IF(O3553:O7596="","",_xlfn.XLOOKUP(O3553:O7596,'参照_官位'!A:A,'参照_官位'!B:B,""))</f>
      </c>
      <c r="Q3553" s="12" t="str">
        <f t="array" ref="Q3553">IF(A3553:A7596="","",IFERROR(_xlfn.XLOOKUP(A3553:A7596,castles_state!K:K,castles_state!D:D)&amp;"主",IFERROR(_xlfn.XLOOKUP(A3553:A7596,kunishuClan!D:D,kunishuClan!B:B)&amp;"当主","")))</f>
      </c>
    </row>
    <row r="3554" ht="15.75" customHeight="1">
      <c r="A3554" s="4">
        <v>1224002</v>
      </c>
      <c r="B3554" s="12" t="str">
        <f t="array" ref="B3554">IF(A3554:A7597="","",_xlfn.XLOOKUP(A3554:A7597,'参照_武将'!A:A,'参照_武将'!B:B,"見つかりません"))</f>
      </c>
      <c r="C3554" s="4" t="s">
        <v>527</v>
      </c>
      <c r="D3554" s="4">
        <v>41</v>
      </c>
      <c r="E3554" s="12" t="str">
        <f t="array" ref="E3554">IF(D3554:D7597="","",IFERROR(_xlfn.XLOOKUP(D3554:D7597,'参照_勢力'!A:A,'参照_勢力'!B:B),IFERROR(_xlfn.XLOOKUP(F3554:F7597,kunishuClan!A:A,kunishuClan!B:B),"浪人")))</f>
      </c>
      <c r="F3554" s="4">
        <v>0</v>
      </c>
      <c r="G3554" s="4">
        <v>56</v>
      </c>
      <c r="H3554" s="12" t="str">
        <f t="array" ref="H3554">IF(G3554:G7597="","",_xlfn.XLOOKUP(G3554:G7597,castles_state!A:A,castles_state!D:D,"見つかりません"))</f>
      </c>
      <c r="I3554" s="4"/>
      <c r="J3554" s="12" t="str">
        <f t="array" ref="J3554">IF(I3554:I7597="","",_xlfn.XLOOKUP(I3554:I7597,'参照_姫'!A:A,'参照_姫'!B:B,"見つかりません"))</f>
      </c>
      <c r="K3554" s="4">
        <v>95</v>
      </c>
      <c r="L3554" s="4">
        <v>200</v>
      </c>
      <c r="M3554" s="4"/>
      <c r="N3554" s="4"/>
      <c r="O3554" s="4"/>
      <c r="P3554" s="12" t="str">
        <f t="array" ref="P3554">IF(O3554:O7597="","",_xlfn.XLOOKUP(O3554:O7597,'参照_官位'!A:A,'参照_官位'!B:B,""))</f>
      </c>
      <c r="Q3554" s="12" t="str">
        <f t="array" ref="Q3554">IF(A3554:A7597="","",IFERROR(_xlfn.XLOOKUP(A3554:A7597,castles_state!K:K,castles_state!D:D)&amp;"主",IFERROR(_xlfn.XLOOKUP(A3554:A7597,kunishuClan!D:D,kunishuClan!B:B)&amp;"当主","")))</f>
      </c>
    </row>
    <row r="3555" ht="15.75" customHeight="1">
      <c r="A3555" s="4">
        <v>1224003</v>
      </c>
      <c r="B3555" s="12" t="str">
        <f t="array" ref="B3555">IF(A3555:A7598="","",_xlfn.XLOOKUP(A3555:A7598,'参照_武将'!A:A,'参照_武将'!B:B,"見つかりません"))</f>
      </c>
      <c r="C3555" s="4" t="s">
        <v>527</v>
      </c>
      <c r="D3555" s="4">
        <v>1</v>
      </c>
      <c r="E3555" s="12" t="str">
        <f t="array" ref="E3555">IF(D3555:D7598="","",IFERROR(_xlfn.XLOOKUP(D3555:D7598,'参照_勢力'!A:A,'参照_勢力'!B:B),IFERROR(_xlfn.XLOOKUP(F3555:F7598,kunishuClan!A:A,kunishuClan!B:B),"浪人")))</f>
      </c>
      <c r="F3555" s="4">
        <v>0</v>
      </c>
      <c r="G3555" s="4">
        <v>7</v>
      </c>
      <c r="H3555" s="12" t="str">
        <f t="array" ref="H3555">IF(G3555:G7598="","",_xlfn.XLOOKUP(G3555:G7598,castles_state!A:A,castles_state!D:D,"見つかりません"))</f>
      </c>
      <c r="I3555" s="4"/>
      <c r="J3555" s="12" t="str">
        <f t="array" ref="J3555">IF(I3555:I7598="","",_xlfn.XLOOKUP(I3555:I7598,'参照_姫'!A:A,'参照_姫'!B:B,"見つかりません"))</f>
      </c>
      <c r="K3555" s="4">
        <v>95</v>
      </c>
      <c r="L3555" s="4">
        <v>0</v>
      </c>
      <c r="M3555" s="4"/>
      <c r="N3555" s="4"/>
      <c r="O3555" s="4"/>
      <c r="P3555" s="12" t="str">
        <f t="array" ref="P3555">IF(O3555:O7598="","",_xlfn.XLOOKUP(O3555:O7598,'参照_官位'!A:A,'参照_官位'!B:B,""))</f>
      </c>
      <c r="Q3555" s="12" t="str">
        <f t="array" ref="Q3555">IF(A3555:A7598="","",IFERROR(_xlfn.XLOOKUP(A3555:A7598,castles_state!K:K,castles_state!D:D)&amp;"主",IFERROR(_xlfn.XLOOKUP(A3555:A7598,kunishuClan!D:D,kunishuClan!B:B)&amp;"当主","")))</f>
      </c>
    </row>
    <row r="3556" ht="15.75" customHeight="1">
      <c r="A3556" s="4">
        <v>1224004</v>
      </c>
      <c r="B3556" s="12" t="str">
        <f t="array" ref="B3556">IF(A3556:A7599="","",_xlfn.XLOOKUP(A3556:A7599,'参照_武将'!A:A,'参照_武将'!B:B,"見つかりません"))</f>
      </c>
      <c r="C3556" s="4" t="s">
        <v>527</v>
      </c>
      <c r="D3556" s="4">
        <v>1</v>
      </c>
      <c r="E3556" s="12" t="str">
        <f t="array" ref="E3556">IF(D3556:D7599="","",IFERROR(_xlfn.XLOOKUP(D3556:D7599,'参照_勢力'!A:A,'参照_勢力'!B:B),IFERROR(_xlfn.XLOOKUP(F3556:F7599,kunishuClan!A:A,kunishuClan!B:B),"浪人")))</f>
      </c>
      <c r="F3556" s="4">
        <v>0</v>
      </c>
      <c r="G3556" s="4">
        <v>7</v>
      </c>
      <c r="H3556" s="12" t="str">
        <f t="array" ref="H3556">IF(G3556:G7599="","",_xlfn.XLOOKUP(G3556:G7599,castles_state!A:A,castles_state!D:D,"見つかりません"))</f>
      </c>
      <c r="I3556" s="4"/>
      <c r="J3556" s="12" t="str">
        <f t="array" ref="J3556">IF(I3556:I7599="","",_xlfn.XLOOKUP(I3556:I7599,'参照_姫'!A:A,'参照_姫'!B:B,"見つかりません"))</f>
      </c>
      <c r="K3556" s="4">
        <v>95</v>
      </c>
      <c r="L3556" s="4">
        <v>0</v>
      </c>
      <c r="M3556" s="4"/>
      <c r="N3556" s="4"/>
      <c r="O3556" s="4"/>
      <c r="P3556" s="12" t="str">
        <f t="array" ref="P3556">IF(O3556:O7599="","",_xlfn.XLOOKUP(O3556:O7599,'参照_官位'!A:A,'参照_官位'!B:B,""))</f>
      </c>
      <c r="Q3556" s="12" t="str">
        <f t="array" ref="Q3556">IF(A3556:A7599="","",IFERROR(_xlfn.XLOOKUP(A3556:A7599,castles_state!K:K,castles_state!D:D)&amp;"主",IFERROR(_xlfn.XLOOKUP(A3556:A7599,kunishuClan!D:D,kunishuClan!B:B)&amp;"当主","")))</f>
      </c>
    </row>
    <row r="3557" ht="15.75" customHeight="1">
      <c r="A3557" s="4">
        <v>1224005</v>
      </c>
      <c r="B3557" s="12" t="str">
        <f t="array" ref="B3557">IF(A3557:A7600="","",_xlfn.XLOOKUP(A3557:A7600,'参照_武将'!A:A,'参照_武将'!B:B,"見つかりません"))</f>
      </c>
      <c r="C3557" s="4" t="s">
        <v>527</v>
      </c>
      <c r="D3557" s="4">
        <v>1</v>
      </c>
      <c r="E3557" s="12" t="str">
        <f t="array" ref="E3557">IF(D3557:D7600="","",IFERROR(_xlfn.XLOOKUP(D3557:D7600,'参照_勢力'!A:A,'参照_勢力'!B:B),IFERROR(_xlfn.XLOOKUP(F3557:F7600,kunishuClan!A:A,kunishuClan!B:B),"浪人")))</f>
      </c>
      <c r="F3557" s="4">
        <v>0</v>
      </c>
      <c r="G3557" s="4">
        <v>7</v>
      </c>
      <c r="H3557" s="12" t="str">
        <f t="array" ref="H3557">IF(G3557:G7600="","",_xlfn.XLOOKUP(G3557:G7600,castles_state!A:A,castles_state!D:D,"見つかりません"))</f>
      </c>
      <c r="I3557" s="4"/>
      <c r="J3557" s="12" t="str">
        <f t="array" ref="J3557">IF(I3557:I7600="","",_xlfn.XLOOKUP(I3557:I7600,'参照_姫'!A:A,'参照_姫'!B:B,"見つかりません"))</f>
      </c>
      <c r="K3557" s="4">
        <v>95</v>
      </c>
      <c r="L3557" s="4">
        <v>0</v>
      </c>
      <c r="M3557" s="4"/>
      <c r="N3557" s="4"/>
      <c r="O3557" s="4"/>
      <c r="P3557" s="12" t="str">
        <f t="array" ref="P3557">IF(O3557:O7600="","",_xlfn.XLOOKUP(O3557:O7600,'参照_官位'!A:A,'参照_官位'!B:B,""))</f>
      </c>
      <c r="Q3557" s="12" t="str">
        <f t="array" ref="Q3557">IF(A3557:A7600="","",IFERROR(_xlfn.XLOOKUP(A3557:A7600,castles_state!K:K,castles_state!D:D)&amp;"主",IFERROR(_xlfn.XLOOKUP(A3557:A7600,kunishuClan!D:D,kunishuClan!B:B)&amp;"当主","")))</f>
      </c>
    </row>
    <row r="3558" ht="15.75" customHeight="1">
      <c r="A3558" s="4">
        <v>1225001</v>
      </c>
      <c r="B3558" s="12" t="str">
        <f t="array" ref="B3558">IF(A3558:A7601="","",_xlfn.XLOOKUP(A3558:A7601,'参照_武将'!A:A,'参照_武将'!B:B,"見つかりません"))</f>
      </c>
      <c r="C3558" s="4" t="s">
        <v>531</v>
      </c>
      <c r="D3558" s="4">
        <v>27</v>
      </c>
      <c r="E3558" s="12" t="str">
        <f t="array" ref="E3558">IF(D3558:D7601="","",IFERROR(_xlfn.XLOOKUP(D3558:D7601,'参照_勢力'!A:A,'参照_勢力'!B:B),IFERROR(_xlfn.XLOOKUP(F3558:F7601,kunishuClan!A:A,kunishuClan!B:B),"浪人")))</f>
      </c>
      <c r="F3558" s="4">
        <v>0</v>
      </c>
      <c r="G3558" s="4">
        <v>46</v>
      </c>
      <c r="H3558" s="12" t="str">
        <f t="array" ref="H3558">IF(G3558:G7601="","",_xlfn.XLOOKUP(G3558:G7601,castles_state!A:A,castles_state!D:D,"見つかりません"))</f>
      </c>
      <c r="I3558" s="4"/>
      <c r="J3558" s="12" t="str">
        <f t="array" ref="J3558">IF(I3558:I7601="","",_xlfn.XLOOKUP(I3558:I7601,'参照_姫'!A:A,'参照_姫'!B:B,"見つかりません"))</f>
      </c>
      <c r="K3558" s="4">
        <v>90</v>
      </c>
      <c r="L3558" s="4">
        <v>0</v>
      </c>
      <c r="M3558" s="4"/>
      <c r="N3558" s="4"/>
      <c r="O3558" s="4"/>
      <c r="P3558" s="12" t="str">
        <f t="array" ref="P3558">IF(O3558:O7601="","",_xlfn.XLOOKUP(O3558:O7601,'参照_官位'!A:A,'参照_官位'!B:B,""))</f>
      </c>
      <c r="Q3558" s="12" t="str">
        <f t="array" ref="Q3558">IF(A3558:A7601="","",IFERROR(_xlfn.XLOOKUP(A3558:A7601,castles_state!K:K,castles_state!D:D)&amp;"主",IFERROR(_xlfn.XLOOKUP(A3558:A7601,kunishuClan!D:D,kunishuClan!B:B)&amp;"当主","")))</f>
      </c>
    </row>
    <row r="3559" ht="15.75" customHeight="1">
      <c r="A3559" s="4">
        <v>1225002</v>
      </c>
      <c r="B3559" s="12" t="str">
        <f t="array" ref="B3559">IF(A3559:A7602="","",_xlfn.XLOOKUP(A3559:A7602,'参照_武将'!A:A,'参照_武将'!B:B,"見つかりません"))</f>
      </c>
      <c r="C3559" s="4" t="s">
        <v>531</v>
      </c>
      <c r="D3559" s="4">
        <v>27</v>
      </c>
      <c r="E3559" s="12" t="str">
        <f t="array" ref="E3559">IF(D3559:D7602="","",IFERROR(_xlfn.XLOOKUP(D3559:D7602,'参照_勢力'!A:A,'参照_勢力'!B:B),IFERROR(_xlfn.XLOOKUP(F3559:F7602,kunishuClan!A:A,kunishuClan!B:B),"浪人")))</f>
      </c>
      <c r="F3559" s="4">
        <v>0</v>
      </c>
      <c r="G3559" s="4">
        <v>46</v>
      </c>
      <c r="H3559" s="12" t="str">
        <f t="array" ref="H3559">IF(G3559:G7602="","",_xlfn.XLOOKUP(G3559:G7602,castles_state!A:A,castles_state!D:D,"見つかりません"))</f>
      </c>
      <c r="I3559" s="4"/>
      <c r="J3559" s="12" t="str">
        <f t="array" ref="J3559">IF(I3559:I7602="","",_xlfn.XLOOKUP(I3559:I7602,'参照_姫'!A:A,'参照_姫'!B:B,"見つかりません"))</f>
      </c>
      <c r="K3559" s="4">
        <v>90</v>
      </c>
      <c r="L3559" s="4">
        <v>0</v>
      </c>
      <c r="M3559" s="4"/>
      <c r="N3559" s="4"/>
      <c r="O3559" s="4"/>
      <c r="P3559" s="12" t="str">
        <f t="array" ref="P3559">IF(O3559:O7602="","",_xlfn.XLOOKUP(O3559:O7602,'参照_官位'!A:A,'参照_官位'!B:B,""))</f>
      </c>
      <c r="Q3559" s="12" t="str">
        <f t="array" ref="Q3559">IF(A3559:A7602="","",IFERROR(_xlfn.XLOOKUP(A3559:A7602,castles_state!K:K,castles_state!D:D)&amp;"主",IFERROR(_xlfn.XLOOKUP(A3559:A7602,kunishuClan!D:D,kunishuClan!B:B)&amp;"当主","")))</f>
      </c>
    </row>
    <row r="3560" ht="15.75" customHeight="1">
      <c r="A3560" s="4">
        <v>1225003</v>
      </c>
      <c r="B3560" s="12" t="str">
        <f t="array" ref="B3560">IF(A3560:A7603="","",_xlfn.XLOOKUP(A3560:A7603,'参照_武将'!A:A,'参照_武将'!B:B,"見つかりません"))</f>
      </c>
      <c r="C3560" s="4" t="s">
        <v>531</v>
      </c>
      <c r="D3560" s="4">
        <v>27</v>
      </c>
      <c r="E3560" s="12" t="str">
        <f t="array" ref="E3560">IF(D3560:D7603="","",IFERROR(_xlfn.XLOOKUP(D3560:D7603,'参照_勢力'!A:A,'参照_勢力'!B:B),IFERROR(_xlfn.XLOOKUP(F3560:F7603,kunishuClan!A:A,kunishuClan!B:B),"浪人")))</f>
      </c>
      <c r="F3560" s="4">
        <v>0</v>
      </c>
      <c r="G3560" s="4">
        <v>46</v>
      </c>
      <c r="H3560" s="12" t="str">
        <f t="array" ref="H3560">IF(G3560:G7603="","",_xlfn.XLOOKUP(G3560:G7603,castles_state!A:A,castles_state!D:D,"見つかりません"))</f>
      </c>
      <c r="I3560" s="4"/>
      <c r="J3560" s="12" t="str">
        <f t="array" ref="J3560">IF(I3560:I7603="","",_xlfn.XLOOKUP(I3560:I7603,'参照_姫'!A:A,'参照_姫'!B:B,"見つかりません"))</f>
      </c>
      <c r="K3560" s="4">
        <v>90</v>
      </c>
      <c r="L3560" s="4">
        <v>0</v>
      </c>
      <c r="M3560" s="4"/>
      <c r="N3560" s="4"/>
      <c r="O3560" s="4"/>
      <c r="P3560" s="12" t="str">
        <f t="array" ref="P3560">IF(O3560:O7603="","",_xlfn.XLOOKUP(O3560:O7603,'参照_官位'!A:A,'参照_官位'!B:B,""))</f>
      </c>
      <c r="Q3560" s="12" t="str">
        <f t="array" ref="Q3560">IF(A3560:A7603="","",IFERROR(_xlfn.XLOOKUP(A3560:A7603,castles_state!K:K,castles_state!D:D)&amp;"主",IFERROR(_xlfn.XLOOKUP(A3560:A7603,kunishuClan!D:D,kunishuClan!B:B)&amp;"当主","")))</f>
      </c>
    </row>
    <row r="3561" ht="15.75" customHeight="1">
      <c r="A3561" s="4">
        <v>1225004</v>
      </c>
      <c r="B3561" s="12" t="str">
        <f t="array" ref="B3561">IF(A3561:A7604="","",_xlfn.XLOOKUP(A3561:A7604,'参照_武将'!A:A,'参照_武将'!B:B,"見つかりません"))</f>
      </c>
      <c r="C3561" s="4" t="s">
        <v>531</v>
      </c>
      <c r="D3561" s="4">
        <v>27</v>
      </c>
      <c r="E3561" s="12" t="str">
        <f t="array" ref="E3561">IF(D3561:D7604="","",IFERROR(_xlfn.XLOOKUP(D3561:D7604,'参照_勢力'!A:A,'参照_勢力'!B:B),IFERROR(_xlfn.XLOOKUP(F3561:F7604,kunishuClan!A:A,kunishuClan!B:B),"浪人")))</f>
      </c>
      <c r="F3561" s="4">
        <v>0</v>
      </c>
      <c r="G3561" s="4">
        <v>46</v>
      </c>
      <c r="H3561" s="12" t="str">
        <f t="array" ref="H3561">IF(G3561:G7604="","",_xlfn.XLOOKUP(G3561:G7604,castles_state!A:A,castles_state!D:D,"見つかりません"))</f>
      </c>
      <c r="I3561" s="4"/>
      <c r="J3561" s="12" t="str">
        <f t="array" ref="J3561">IF(I3561:I7604="","",_xlfn.XLOOKUP(I3561:I7604,'参照_姫'!A:A,'参照_姫'!B:B,"見つかりません"))</f>
      </c>
      <c r="K3561" s="4">
        <v>90</v>
      </c>
      <c r="L3561" s="4">
        <v>0</v>
      </c>
      <c r="M3561" s="4"/>
      <c r="N3561" s="4"/>
      <c r="O3561" s="4"/>
      <c r="P3561" s="12" t="str">
        <f t="array" ref="P3561">IF(O3561:O7604="","",_xlfn.XLOOKUP(O3561:O7604,'参照_官位'!A:A,'参照_官位'!B:B,""))</f>
      </c>
      <c r="Q3561" s="12" t="str">
        <f t="array" ref="Q3561">IF(A3561:A7604="","",IFERROR(_xlfn.XLOOKUP(A3561:A7604,castles_state!K:K,castles_state!D:D)&amp;"主",IFERROR(_xlfn.XLOOKUP(A3561:A7604,kunishuClan!D:D,kunishuClan!B:B)&amp;"当主","")))</f>
      </c>
    </row>
    <row r="3562" ht="15.75" customHeight="1">
      <c r="A3562" s="4">
        <v>1225005</v>
      </c>
      <c r="B3562" s="12" t="str">
        <f t="array" ref="B3562">IF(A3562:A7605="","",_xlfn.XLOOKUP(A3562:A7605,'参照_武将'!A:A,'参照_武将'!B:B,"見つかりません"))</f>
      </c>
      <c r="C3562" s="4" t="s">
        <v>531</v>
      </c>
      <c r="D3562" s="4">
        <v>27</v>
      </c>
      <c r="E3562" s="12" t="str">
        <f t="array" ref="E3562">IF(D3562:D7605="","",IFERROR(_xlfn.XLOOKUP(D3562:D7605,'参照_勢力'!A:A,'参照_勢力'!B:B),IFERROR(_xlfn.XLOOKUP(F3562:F7605,kunishuClan!A:A,kunishuClan!B:B),"浪人")))</f>
      </c>
      <c r="F3562" s="4">
        <v>0</v>
      </c>
      <c r="G3562" s="4">
        <v>46</v>
      </c>
      <c r="H3562" s="12" t="str">
        <f t="array" ref="H3562">IF(G3562:G7605="","",_xlfn.XLOOKUP(G3562:G7605,castles_state!A:A,castles_state!D:D,"見つかりません"))</f>
      </c>
      <c r="I3562" s="4"/>
      <c r="J3562" s="12" t="str">
        <f t="array" ref="J3562">IF(I3562:I7605="","",_xlfn.XLOOKUP(I3562:I7605,'参照_姫'!A:A,'参照_姫'!B:B,"見つかりません"))</f>
      </c>
      <c r="K3562" s="4">
        <v>90</v>
      </c>
      <c r="L3562" s="4">
        <v>0</v>
      </c>
      <c r="M3562" s="4"/>
      <c r="N3562" s="4"/>
      <c r="O3562" s="4"/>
      <c r="P3562" s="12" t="str">
        <f t="array" ref="P3562">IF(O3562:O7605="","",_xlfn.XLOOKUP(O3562:O7605,'参照_官位'!A:A,'参照_官位'!B:B,""))</f>
      </c>
      <c r="Q3562" s="12" t="str">
        <f t="array" ref="Q3562">IF(A3562:A7605="","",IFERROR(_xlfn.XLOOKUP(A3562:A7605,castles_state!K:K,castles_state!D:D)&amp;"主",IFERROR(_xlfn.XLOOKUP(A3562:A7605,kunishuClan!D:D,kunishuClan!B:B)&amp;"当主","")))</f>
      </c>
    </row>
    <row r="3563" ht="15.75" customHeight="1">
      <c r="A3563" s="4">
        <v>1225006</v>
      </c>
      <c r="B3563" s="12" t="str">
        <f t="array" ref="B3563">IF(A3563:A7606="","",_xlfn.XLOOKUP(A3563:A7606,'参照_武将'!A:A,'参照_武将'!B:B,"見つかりません"))</f>
      </c>
      <c r="C3563" s="4" t="s">
        <v>531</v>
      </c>
      <c r="D3563" s="4">
        <v>27</v>
      </c>
      <c r="E3563" s="12" t="str">
        <f t="array" ref="E3563">IF(D3563:D7606="","",IFERROR(_xlfn.XLOOKUP(D3563:D7606,'参照_勢力'!A:A,'参照_勢力'!B:B),IFERROR(_xlfn.XLOOKUP(F3563:F7606,kunishuClan!A:A,kunishuClan!B:B),"浪人")))</f>
      </c>
      <c r="F3563" s="4">
        <v>0</v>
      </c>
      <c r="G3563" s="4">
        <v>46</v>
      </c>
      <c r="H3563" s="12" t="str">
        <f t="array" ref="H3563">IF(G3563:G7606="","",_xlfn.XLOOKUP(G3563:G7606,castles_state!A:A,castles_state!D:D,"見つかりません"))</f>
      </c>
      <c r="I3563" s="4"/>
      <c r="J3563" s="12" t="str">
        <f t="array" ref="J3563">IF(I3563:I7606="","",_xlfn.XLOOKUP(I3563:I7606,'参照_姫'!A:A,'参照_姫'!B:B,"見つかりません"))</f>
      </c>
      <c r="K3563" s="4">
        <v>90</v>
      </c>
      <c r="L3563" s="4">
        <v>0</v>
      </c>
      <c r="M3563" s="4"/>
      <c r="N3563" s="4"/>
      <c r="O3563" s="4"/>
      <c r="P3563" s="12" t="str">
        <f t="array" ref="P3563">IF(O3563:O7606="","",_xlfn.XLOOKUP(O3563:O7606,'参照_官位'!A:A,'参照_官位'!B:B,""))</f>
      </c>
      <c r="Q3563" s="12" t="str">
        <f t="array" ref="Q3563">IF(A3563:A7606="","",IFERROR(_xlfn.XLOOKUP(A3563:A7606,castles_state!K:K,castles_state!D:D)&amp;"主",IFERROR(_xlfn.XLOOKUP(A3563:A7606,kunishuClan!D:D,kunishuClan!B:B)&amp;"当主","")))</f>
      </c>
    </row>
    <row r="3564" ht="15.75" customHeight="1">
      <c r="A3564" s="4">
        <v>1225007</v>
      </c>
      <c r="B3564" s="12" t="str">
        <f t="array" ref="B3564">IF(A3564:A7607="","",_xlfn.XLOOKUP(A3564:A7607,'参照_武将'!A:A,'参照_武将'!B:B,"見つかりません"))</f>
      </c>
      <c r="C3564" s="4" t="s">
        <v>531</v>
      </c>
      <c r="D3564" s="4">
        <v>27</v>
      </c>
      <c r="E3564" s="12" t="str">
        <f t="array" ref="E3564">IF(D3564:D7607="","",IFERROR(_xlfn.XLOOKUP(D3564:D7607,'参照_勢力'!A:A,'参照_勢力'!B:B),IFERROR(_xlfn.XLOOKUP(F3564:F7607,kunishuClan!A:A,kunishuClan!B:B),"浪人")))</f>
      </c>
      <c r="F3564" s="4">
        <v>0</v>
      </c>
      <c r="G3564" s="4">
        <v>46</v>
      </c>
      <c r="H3564" s="12" t="str">
        <f t="array" ref="H3564">IF(G3564:G7607="","",_xlfn.XLOOKUP(G3564:G7607,castles_state!A:A,castles_state!D:D,"見つかりません"))</f>
      </c>
      <c r="I3564" s="4"/>
      <c r="J3564" s="12" t="str">
        <f t="array" ref="J3564">IF(I3564:I7607="","",_xlfn.XLOOKUP(I3564:I7607,'参照_姫'!A:A,'参照_姫'!B:B,"見つかりません"))</f>
      </c>
      <c r="K3564" s="4">
        <v>90</v>
      </c>
      <c r="L3564" s="4">
        <v>0</v>
      </c>
      <c r="M3564" s="4"/>
      <c r="N3564" s="4"/>
      <c r="O3564" s="4"/>
      <c r="P3564" s="12" t="str">
        <f t="array" ref="P3564">IF(O3564:O7607="","",_xlfn.XLOOKUP(O3564:O7607,'参照_官位'!A:A,'参照_官位'!B:B,""))</f>
      </c>
      <c r="Q3564" s="12" t="str">
        <f t="array" ref="Q3564">IF(A3564:A7607="","",IFERROR(_xlfn.XLOOKUP(A3564:A7607,castles_state!K:K,castles_state!D:D)&amp;"主",IFERROR(_xlfn.XLOOKUP(A3564:A7607,kunishuClan!D:D,kunishuClan!B:B)&amp;"当主","")))</f>
      </c>
    </row>
    <row r="3565" ht="15.75" customHeight="1">
      <c r="A3565" s="4">
        <v>1225008</v>
      </c>
      <c r="B3565" s="12" t="str">
        <f t="array" ref="B3565">IF(A3565:A7608="","",_xlfn.XLOOKUP(A3565:A7608,'参照_武将'!A:A,'参照_武将'!B:B,"見つかりません"))</f>
      </c>
      <c r="C3565" s="4" t="s">
        <v>531</v>
      </c>
      <c r="D3565" s="4">
        <v>27</v>
      </c>
      <c r="E3565" s="12" t="str">
        <f t="array" ref="E3565">IF(D3565:D7608="","",IFERROR(_xlfn.XLOOKUP(D3565:D7608,'参照_勢力'!A:A,'参照_勢力'!B:B),IFERROR(_xlfn.XLOOKUP(F3565:F7608,kunishuClan!A:A,kunishuClan!B:B),"浪人")))</f>
      </c>
      <c r="F3565" s="4">
        <v>0</v>
      </c>
      <c r="G3565" s="4">
        <v>46</v>
      </c>
      <c r="H3565" s="12" t="str">
        <f t="array" ref="H3565">IF(G3565:G7608="","",_xlfn.XLOOKUP(G3565:G7608,castles_state!A:A,castles_state!D:D,"見つかりません"))</f>
      </c>
      <c r="I3565" s="4"/>
      <c r="J3565" s="12" t="str">
        <f t="array" ref="J3565">IF(I3565:I7608="","",_xlfn.XLOOKUP(I3565:I7608,'参照_姫'!A:A,'参照_姫'!B:B,"見つかりません"))</f>
      </c>
      <c r="K3565" s="4">
        <v>90</v>
      </c>
      <c r="L3565" s="4">
        <v>0</v>
      </c>
      <c r="M3565" s="4"/>
      <c r="N3565" s="4"/>
      <c r="O3565" s="4"/>
      <c r="P3565" s="12" t="str">
        <f t="array" ref="P3565">IF(O3565:O7608="","",_xlfn.XLOOKUP(O3565:O7608,'参照_官位'!A:A,'参照_官位'!B:B,""))</f>
      </c>
      <c r="Q3565" s="12" t="str">
        <f t="array" ref="Q3565">IF(A3565:A7608="","",IFERROR(_xlfn.XLOOKUP(A3565:A7608,castles_state!K:K,castles_state!D:D)&amp;"主",IFERROR(_xlfn.XLOOKUP(A3565:A7608,kunishuClan!D:D,kunishuClan!B:B)&amp;"当主","")))</f>
      </c>
    </row>
    <row r="3566" ht="15.75" customHeight="1">
      <c r="A3566" s="4">
        <v>1226001</v>
      </c>
      <c r="B3566" s="12" t="str">
        <f t="array" ref="B3566">IF(A3566:A7607="","",_xlfn.XLOOKUP(A3566:A7607,'参照_武将'!A:A,'参照_武将'!B:B,"見つかりません"))</f>
      </c>
      <c r="C3566" s="4" t="s">
        <v>535</v>
      </c>
      <c r="D3566" s="4">
        <v>226</v>
      </c>
      <c r="E3566" s="12" t="str">
        <f t="array" ref="E3566">IF(D3566:D7607="","",IFERROR(_xlfn.XLOOKUP(D3566:D7607,'参照_勢力'!A:A,'参照_勢力'!B:B),IFERROR(_xlfn.XLOOKUP(F3566:F7607,kunishuClan!A:A,kunishuClan!B:B),"浪人")))</f>
      </c>
      <c r="F3566" s="4">
        <v>0</v>
      </c>
      <c r="G3566" s="4">
        <v>84</v>
      </c>
      <c r="H3566" s="12" t="str">
        <f t="array" ref="H3566">IF(G3566:G7607="","",_xlfn.XLOOKUP(G3566:G7607,castles_state!A:A,castles_state!D:D,"見つかりません"))</f>
      </c>
      <c r="I3566" s="4"/>
      <c r="J3566" s="12" t="str">
        <f t="array" ref="J3566">IF(I3566:I7607="","",_xlfn.XLOOKUP(I3566:I7607,'参照_姫'!A:A,'参照_姫'!B:B,"見つかりません"))</f>
      </c>
      <c r="K3566" s="4">
        <v>95</v>
      </c>
      <c r="L3566" s="4">
        <v>0</v>
      </c>
      <c r="M3566" s="4"/>
      <c r="N3566" s="4"/>
      <c r="O3566" s="4"/>
      <c r="P3566" s="12" t="str">
        <f t="array" ref="P3566">IF(O3566:O7607="","",_xlfn.XLOOKUP(O3566:O7607,'参照_官位'!A:A,'参照_官位'!B:B,""))</f>
      </c>
      <c r="Q3566" s="12" t="str">
        <f t="array" ref="Q3566">IF(A3566:A7607="","",IFERROR(_xlfn.XLOOKUP(A3566:A7607,castles_state!K:K,castles_state!D:D)&amp;"主",IFERROR(_xlfn.XLOOKUP(A3566:A7607,kunishuClan!D:D,kunishuClan!B:B)&amp;"当主","")))</f>
      </c>
    </row>
    <row r="3567" ht="15.75" customHeight="1">
      <c r="A3567" s="4">
        <v>1226002</v>
      </c>
      <c r="B3567" s="12" t="str">
        <f t="array" ref="B3567">IF(A3567:A7608="","",_xlfn.XLOOKUP(A3567:A7608,'参照_武将'!A:A,'参照_武将'!B:B,"見つかりません"))</f>
      </c>
      <c r="C3567" s="4" t="s">
        <v>535</v>
      </c>
      <c r="D3567" s="4">
        <v>226</v>
      </c>
      <c r="E3567" s="12" t="str">
        <f t="array" ref="E3567">IF(D3567:D7608="","",IFERROR(_xlfn.XLOOKUP(D3567:D7608,'参照_勢力'!A:A,'参照_勢力'!B:B),IFERROR(_xlfn.XLOOKUP(F3567:F7608,kunishuClan!A:A,kunishuClan!B:B),"浪人")))</f>
      </c>
      <c r="F3567" s="4">
        <v>0</v>
      </c>
      <c r="G3567" s="4">
        <v>84</v>
      </c>
      <c r="H3567" s="12" t="str">
        <f t="array" ref="H3567">IF(G3567:G7608="","",_xlfn.XLOOKUP(G3567:G7608,castles_state!A:A,castles_state!D:D,"見つかりません"))</f>
      </c>
      <c r="I3567" s="4"/>
      <c r="J3567" s="12" t="str">
        <f t="array" ref="J3567">IF(I3567:I7608="","",_xlfn.XLOOKUP(I3567:I7608,'参照_姫'!A:A,'参照_姫'!B:B,"見つかりません"))</f>
      </c>
      <c r="K3567" s="4">
        <v>100</v>
      </c>
      <c r="L3567" s="4">
        <v>1000</v>
      </c>
      <c r="M3567" s="4"/>
      <c r="N3567" s="4"/>
      <c r="O3567" s="4"/>
      <c r="P3567" s="12" t="str">
        <f t="array" ref="P3567">IF(O3567:O7608="","",_xlfn.XLOOKUP(O3567:O7608,'参照_官位'!A:A,'参照_官位'!B:B,""))</f>
      </c>
      <c r="Q3567" s="12" t="str">
        <f t="array" ref="Q3567">IF(A3567:A7608="","",IFERROR(_xlfn.XLOOKUP(A3567:A7608,castles_state!K:K,castles_state!D:D)&amp;"主",IFERROR(_xlfn.XLOOKUP(A3567:A7608,kunishuClan!D:D,kunishuClan!B:B)&amp;"当主","")))</f>
      </c>
    </row>
    <row r="3568" ht="15.75" customHeight="1">
      <c r="A3568" s="4">
        <v>1226003</v>
      </c>
      <c r="B3568" s="12" t="str">
        <f t="array" ref="B3568">IF(A3568:A7609="","",_xlfn.XLOOKUP(A3568:A7609,'参照_武将'!A:A,'参照_武将'!B:B,"見つかりません"))</f>
      </c>
      <c r="C3568" s="4" t="s">
        <v>535</v>
      </c>
      <c r="D3568" s="4">
        <v>226</v>
      </c>
      <c r="E3568" s="12" t="str">
        <f t="array" ref="E3568">IF(D3568:D7609="","",IFERROR(_xlfn.XLOOKUP(D3568:D7609,'参照_勢力'!A:A,'参照_勢力'!B:B),IFERROR(_xlfn.XLOOKUP(F3568:F7609,kunishuClan!A:A,kunishuClan!B:B),"浪人")))</f>
      </c>
      <c r="F3568" s="4">
        <v>0</v>
      </c>
      <c r="G3568" s="4">
        <v>84</v>
      </c>
      <c r="H3568" s="12" t="str">
        <f t="array" ref="H3568">IF(G3568:G7609="","",_xlfn.XLOOKUP(G3568:G7609,castles_state!A:A,castles_state!D:D,"見つかりません"))</f>
      </c>
      <c r="I3568" s="4"/>
      <c r="J3568" s="12" t="str">
        <f t="array" ref="J3568">IF(I3568:I7609="","",_xlfn.XLOOKUP(I3568:I7609,'参照_姫'!A:A,'参照_姫'!B:B,"見つかりません"))</f>
      </c>
      <c r="K3568" s="4">
        <v>85</v>
      </c>
      <c r="L3568" s="4">
        <v>0</v>
      </c>
      <c r="M3568" s="4"/>
      <c r="N3568" s="4"/>
      <c r="O3568" s="4"/>
      <c r="P3568" s="12" t="str">
        <f t="array" ref="P3568">IF(O3568:O7609="","",_xlfn.XLOOKUP(O3568:O7609,'参照_官位'!A:A,'参照_官位'!B:B,""))</f>
      </c>
      <c r="Q3568" s="12" t="str">
        <f t="array" ref="Q3568">IF(A3568:A7609="","",IFERROR(_xlfn.XLOOKUP(A3568:A7609,castles_state!K:K,castles_state!D:D)&amp;"主",IFERROR(_xlfn.XLOOKUP(A3568:A7609,kunishuClan!D:D,kunishuClan!B:B)&amp;"当主","")))</f>
      </c>
    </row>
    <row r="3569" ht="15.75" customHeight="1">
      <c r="A3569" s="4">
        <v>1226004</v>
      </c>
      <c r="B3569" s="12" t="str">
        <f t="array" ref="B3569">IF(A3569:A7610="","",_xlfn.XLOOKUP(A3569:A7610,'参照_武将'!A:A,'参照_武将'!B:B,"見つかりません"))</f>
      </c>
      <c r="C3569" s="4" t="s">
        <v>535</v>
      </c>
      <c r="D3569" s="4">
        <v>226</v>
      </c>
      <c r="E3569" s="12" t="str">
        <f t="array" ref="E3569">IF(D3569:D7610="","",IFERROR(_xlfn.XLOOKUP(D3569:D7610,'参照_勢力'!A:A,'参照_勢力'!B:B),IFERROR(_xlfn.XLOOKUP(F3569:F7610,kunishuClan!A:A,kunishuClan!B:B),"浪人")))</f>
      </c>
      <c r="F3569" s="4">
        <v>0</v>
      </c>
      <c r="G3569" s="4">
        <v>84</v>
      </c>
      <c r="H3569" s="12" t="str">
        <f t="array" ref="H3569">IF(G3569:G7610="","",_xlfn.XLOOKUP(G3569:G7610,castles_state!A:A,castles_state!D:D,"見つかりません"))</f>
      </c>
      <c r="I3569" s="4"/>
      <c r="J3569" s="12" t="str">
        <f t="array" ref="J3569">IF(I3569:I7610="","",_xlfn.XLOOKUP(I3569:I7610,'参照_姫'!A:A,'参照_姫'!B:B,"見つかりません"))</f>
      </c>
      <c r="K3569" s="4">
        <v>85</v>
      </c>
      <c r="L3569" s="4">
        <v>0</v>
      </c>
      <c r="M3569" s="4" t="b">
        <v>1</v>
      </c>
      <c r="N3569" s="4"/>
      <c r="O3569" s="4"/>
      <c r="P3569" s="12" t="str">
        <f t="array" ref="P3569">IF(O3569:O7610="","",_xlfn.XLOOKUP(O3569:O7610,'参照_官位'!A:A,'参照_官位'!B:B,""))</f>
      </c>
      <c r="Q3569" s="12" t="str">
        <f t="array" ref="Q3569">IF(A3569:A7610="","",IFERROR(_xlfn.XLOOKUP(A3569:A7610,castles_state!K:K,castles_state!D:D)&amp;"主",IFERROR(_xlfn.XLOOKUP(A3569:A7610,kunishuClan!D:D,kunishuClan!B:B)&amp;"当主","")))</f>
      </c>
    </row>
    <row r="3570" ht="15.75" customHeight="1">
      <c r="A3570" s="4">
        <v>1226005</v>
      </c>
      <c r="B3570" s="12" t="str">
        <f t="array" ref="B3570">IF(A3570:A7611="","",_xlfn.XLOOKUP(A3570:A7611,'参照_武将'!A:A,'参照_武将'!B:B,"見つかりません"))</f>
      </c>
      <c r="C3570" s="4" t="s">
        <v>535</v>
      </c>
      <c r="D3570" s="4">
        <v>226</v>
      </c>
      <c r="E3570" s="12" t="str">
        <f t="array" ref="E3570">IF(D3570:D7611="","",IFERROR(_xlfn.XLOOKUP(D3570:D7611,'参照_勢力'!A:A,'参照_勢力'!B:B),IFERROR(_xlfn.XLOOKUP(F3570:F7611,kunishuClan!A:A,kunishuClan!B:B),"浪人")))</f>
      </c>
      <c r="F3570" s="4">
        <v>0</v>
      </c>
      <c r="G3570" s="4">
        <v>84</v>
      </c>
      <c r="H3570" s="12" t="str">
        <f t="array" ref="H3570">IF(G3570:G7611="","",_xlfn.XLOOKUP(G3570:G7611,castles_state!A:A,castles_state!D:D,"見つかりません"))</f>
      </c>
      <c r="I3570" s="4"/>
      <c r="J3570" s="12" t="str">
        <f t="array" ref="J3570">IF(I3570:I7611="","",_xlfn.XLOOKUP(I3570:I7611,'参照_姫'!A:A,'参照_姫'!B:B,"見つかりません"))</f>
      </c>
      <c r="K3570" s="4">
        <v>85</v>
      </c>
      <c r="L3570" s="4">
        <v>0</v>
      </c>
      <c r="M3570" s="4"/>
      <c r="N3570" s="4"/>
      <c r="O3570" s="4"/>
      <c r="P3570" s="12" t="str">
        <f t="array" ref="P3570">IF(O3570:O7611="","",_xlfn.XLOOKUP(O3570:O7611,'参照_官位'!A:A,'参照_官位'!B:B,""))</f>
      </c>
      <c r="Q3570" s="12" t="str">
        <f t="array" ref="Q3570">IF(A3570:A7611="","",IFERROR(_xlfn.XLOOKUP(A3570:A7611,castles_state!K:K,castles_state!D:D)&amp;"主",IFERROR(_xlfn.XLOOKUP(A3570:A7611,kunishuClan!D:D,kunishuClan!B:B)&amp;"当主","")))</f>
      </c>
    </row>
    <row r="3571" ht="15.75" customHeight="1">
      <c r="A3571" s="4">
        <v>1226006</v>
      </c>
      <c r="B3571" s="12" t="str">
        <f t="array" ref="B3571">IF(A3571:A7612="","",_xlfn.XLOOKUP(A3571:A7612,'参照_武将'!A:A,'参照_武将'!B:B,"見つかりません"))</f>
      </c>
      <c r="C3571" s="4" t="s">
        <v>535</v>
      </c>
      <c r="D3571" s="4">
        <v>226</v>
      </c>
      <c r="E3571" s="12" t="str">
        <f t="array" ref="E3571">IF(D3571:D7612="","",IFERROR(_xlfn.XLOOKUP(D3571:D7612,'参照_勢力'!A:A,'参照_勢力'!B:B),IFERROR(_xlfn.XLOOKUP(F3571:F7612,kunishuClan!A:A,kunishuClan!B:B),"浪人")))</f>
      </c>
      <c r="F3571" s="4">
        <v>0</v>
      </c>
      <c r="G3571" s="4">
        <v>84</v>
      </c>
      <c r="H3571" s="12" t="str">
        <f t="array" ref="H3571">IF(G3571:G7612="","",_xlfn.XLOOKUP(G3571:G7612,castles_state!A:A,castles_state!D:D,"見つかりません"))</f>
      </c>
      <c r="I3571" s="4"/>
      <c r="J3571" s="12" t="str">
        <f t="array" ref="J3571">IF(I3571:I7612="","",_xlfn.XLOOKUP(I3571:I7612,'参照_姫'!A:A,'参照_姫'!B:B,"見つかりません"))</f>
      </c>
      <c r="K3571" s="4">
        <v>85</v>
      </c>
      <c r="L3571" s="4">
        <v>0</v>
      </c>
      <c r="M3571" s="4"/>
      <c r="N3571" s="4"/>
      <c r="O3571" s="4"/>
      <c r="P3571" s="12" t="str">
        <f t="array" ref="P3571">IF(O3571:O7612="","",_xlfn.XLOOKUP(O3571:O7612,'参照_官位'!A:A,'参照_官位'!B:B,""))</f>
      </c>
      <c r="Q3571" s="12" t="str">
        <f t="array" ref="Q3571">IF(A3571:A7612="","",IFERROR(_xlfn.XLOOKUP(A3571:A7612,castles_state!K:K,castles_state!D:D)&amp;"主",IFERROR(_xlfn.XLOOKUP(A3571:A7612,kunishuClan!D:D,kunishuClan!B:B)&amp;"当主","")))</f>
      </c>
    </row>
    <row r="3572" ht="15.75" customHeight="1">
      <c r="A3572" s="4">
        <v>1226007</v>
      </c>
      <c r="B3572" s="12" t="str">
        <f t="array" ref="B3572">IF(A3572:A7613="","",_xlfn.XLOOKUP(A3572:A7613,'参照_武将'!A:A,'参照_武将'!B:B,"見つかりません"))</f>
      </c>
      <c r="C3572" s="4" t="s">
        <v>535</v>
      </c>
      <c r="D3572" s="4">
        <v>226</v>
      </c>
      <c r="E3572" s="12" t="str">
        <f t="array" ref="E3572">IF(D3572:D7613="","",IFERROR(_xlfn.XLOOKUP(D3572:D7613,'参照_勢力'!A:A,'参照_勢力'!B:B),IFERROR(_xlfn.XLOOKUP(F3572:F7613,kunishuClan!A:A,kunishuClan!B:B),"浪人")))</f>
      </c>
      <c r="F3572" s="4">
        <v>0</v>
      </c>
      <c r="G3572" s="4">
        <v>84</v>
      </c>
      <c r="H3572" s="12" t="str">
        <f t="array" ref="H3572">IF(G3572:G7613="","",_xlfn.XLOOKUP(G3572:G7613,castles_state!A:A,castles_state!D:D,"見つかりません"))</f>
      </c>
      <c r="I3572" s="4"/>
      <c r="J3572" s="12" t="str">
        <f t="array" ref="J3572">IF(I3572:I7613="","",_xlfn.XLOOKUP(I3572:I7613,'参照_姫'!A:A,'参照_姫'!B:B,"見つかりません"))</f>
      </c>
      <c r="K3572" s="4">
        <v>85</v>
      </c>
      <c r="L3572" s="4">
        <v>0</v>
      </c>
      <c r="M3572" s="4"/>
      <c r="N3572" s="4"/>
      <c r="O3572" s="4"/>
      <c r="P3572" s="12" t="str">
        <f t="array" ref="P3572">IF(O3572:O7613="","",_xlfn.XLOOKUP(O3572:O7613,'参照_官位'!A:A,'参照_官位'!B:B,""))</f>
      </c>
      <c r="Q3572" s="12" t="str">
        <f t="array" ref="Q3572">IF(A3572:A7613="","",IFERROR(_xlfn.XLOOKUP(A3572:A7613,castles_state!K:K,castles_state!D:D)&amp;"主",IFERROR(_xlfn.XLOOKUP(A3572:A7613,kunishuClan!D:D,kunishuClan!B:B)&amp;"当主","")))</f>
      </c>
    </row>
    <row r="3573" ht="15.75" customHeight="1">
      <c r="A3573" s="4">
        <v>1226008</v>
      </c>
      <c r="B3573" s="12" t="str">
        <f t="array" ref="B3573">IF(A3573:A7614="","",_xlfn.XLOOKUP(A3573:A7614,'参照_武将'!A:A,'参照_武将'!B:B,"見つかりません"))</f>
      </c>
      <c r="C3573" s="4" t="s">
        <v>535</v>
      </c>
      <c r="D3573" s="4">
        <v>226</v>
      </c>
      <c r="E3573" s="12" t="str">
        <f t="array" ref="E3573">IF(D3573:D7614="","",IFERROR(_xlfn.XLOOKUP(D3573:D7614,'参照_勢力'!A:A,'参照_勢力'!B:B),IFERROR(_xlfn.XLOOKUP(F3573:F7614,kunishuClan!A:A,kunishuClan!B:B),"浪人")))</f>
      </c>
      <c r="F3573" s="4">
        <v>0</v>
      </c>
      <c r="G3573" s="4">
        <v>84</v>
      </c>
      <c r="H3573" s="12" t="str">
        <f t="array" ref="H3573">IF(G3573:G7614="","",_xlfn.XLOOKUP(G3573:G7614,castles_state!A:A,castles_state!D:D,"見つかりません"))</f>
      </c>
      <c r="I3573" s="4"/>
      <c r="J3573" s="12" t="str">
        <f t="array" ref="J3573">IF(I3573:I7614="","",_xlfn.XLOOKUP(I3573:I7614,'参照_姫'!A:A,'参照_姫'!B:B,"見つかりません"))</f>
      </c>
      <c r="K3573" s="4">
        <v>85</v>
      </c>
      <c r="L3573" s="4">
        <v>0</v>
      </c>
      <c r="M3573" s="4"/>
      <c r="N3573" s="4"/>
      <c r="O3573" s="4"/>
      <c r="P3573" s="12" t="str">
        <f t="array" ref="P3573">IF(O3573:O7614="","",_xlfn.XLOOKUP(O3573:O7614,'参照_官位'!A:A,'参照_官位'!B:B,""))</f>
      </c>
      <c r="Q3573" s="12" t="str">
        <f t="array" ref="Q3573">IF(A3573:A7614="","",IFERROR(_xlfn.XLOOKUP(A3573:A7614,castles_state!K:K,castles_state!D:D)&amp;"主",IFERROR(_xlfn.XLOOKUP(A3573:A7614,kunishuClan!D:D,kunishuClan!B:B)&amp;"当主","")))</f>
      </c>
    </row>
    <row r="3574" ht="15.75" customHeight="1">
      <c r="A3574" s="4">
        <v>1226009</v>
      </c>
      <c r="B3574" s="12" t="str">
        <f t="array" ref="B3574">IF(A3574:A7615="","",_xlfn.XLOOKUP(A3574:A7615,'参照_武将'!A:A,'参照_武将'!B:B,"見つかりません"))</f>
      </c>
      <c r="C3574" s="4" t="s">
        <v>535</v>
      </c>
      <c r="D3574" s="4">
        <v>226</v>
      </c>
      <c r="E3574" s="12" t="str">
        <f t="array" ref="E3574">IF(D3574:D7615="","",IFERROR(_xlfn.XLOOKUP(D3574:D7615,'参照_勢力'!A:A,'参照_勢力'!B:B),IFERROR(_xlfn.XLOOKUP(F3574:F7615,kunishuClan!A:A,kunishuClan!B:B),"浪人")))</f>
      </c>
      <c r="F3574" s="4">
        <v>0</v>
      </c>
      <c r="G3574" s="4">
        <v>84</v>
      </c>
      <c r="H3574" s="12" t="str">
        <f t="array" ref="H3574">IF(G3574:G7615="","",_xlfn.XLOOKUP(G3574:G7615,castles_state!A:A,castles_state!D:D,"見つかりません"))</f>
      </c>
      <c r="I3574" s="4"/>
      <c r="J3574" s="12" t="str">
        <f t="array" ref="J3574">IF(I3574:I7615="","",_xlfn.XLOOKUP(I3574:I7615,'参照_姫'!A:A,'参照_姫'!B:B,"見つかりません"))</f>
      </c>
      <c r="K3574" s="4">
        <v>85</v>
      </c>
      <c r="L3574" s="4">
        <v>0</v>
      </c>
      <c r="M3574" s="4"/>
      <c r="N3574" s="4"/>
      <c r="O3574" s="4"/>
      <c r="P3574" s="12" t="str">
        <f t="array" ref="P3574">IF(O3574:O7615="","",_xlfn.XLOOKUP(O3574:O7615,'参照_官位'!A:A,'参照_官位'!B:B,""))</f>
      </c>
      <c r="Q3574" s="12" t="str">
        <f t="array" ref="Q3574">IF(A3574:A7615="","",IFERROR(_xlfn.XLOOKUP(A3574:A7615,castles_state!K:K,castles_state!D:D)&amp;"主",IFERROR(_xlfn.XLOOKUP(A3574:A7615,kunishuClan!D:D,kunishuClan!B:B)&amp;"当主","")))</f>
      </c>
    </row>
    <row r="3575" ht="15.75" customHeight="1">
      <c r="A3575" s="4">
        <v>1301001</v>
      </c>
      <c r="B3575" s="12" t="str">
        <f t="array" ref="B3575">IF(A3575:A7618="","",_xlfn.XLOOKUP(A3575:A7618,'参照_武将'!A:A,'参照_武将'!B:B,"見つかりません"))</f>
      </c>
      <c r="C3575" s="4" t="s">
        <v>540</v>
      </c>
      <c r="D3575" s="4">
        <v>5</v>
      </c>
      <c r="E3575" s="12" t="str">
        <f t="array" ref="E3575">IF(D3575:D7618="","",IFERROR(_xlfn.XLOOKUP(D3575:D7618,'参照_勢力'!A:A,'参照_勢力'!B:B),IFERROR(_xlfn.XLOOKUP(F3575:F7618,kunishuClan!A:A,kunishuClan!B:B),"浪人")))</f>
      </c>
      <c r="F3575" s="4">
        <v>0</v>
      </c>
      <c r="G3575" s="4">
        <v>48</v>
      </c>
      <c r="H3575" s="12" t="str">
        <f t="array" ref="H3575">IF(G3575:G7618="","",_xlfn.XLOOKUP(G3575:G7618,castles_state!A:A,castles_state!D:D,"見つかりません"))</f>
      </c>
      <c r="I3575" s="4"/>
      <c r="J3575" s="12" t="str">
        <f t="array" ref="J3575">IF(I3575:I7618="","",_xlfn.XLOOKUP(I3575:I7618,'参照_姫'!A:A,'参照_姫'!B:B,"見つかりません"))</f>
      </c>
      <c r="K3575" s="4">
        <v>95</v>
      </c>
      <c r="L3575" s="4">
        <v>0</v>
      </c>
      <c r="M3575" s="4"/>
      <c r="N3575" s="4"/>
      <c r="O3575" s="4"/>
      <c r="P3575" s="12" t="str">
        <f t="array" ref="P3575">IF(O3575:O7618="","",_xlfn.XLOOKUP(O3575:O7618,'参照_官位'!A:A,'参照_官位'!B:B,""))</f>
      </c>
      <c r="Q3575" s="12" t="str">
        <f t="array" ref="Q3575">IF(A3575:A7618="","",IFERROR(_xlfn.XLOOKUP(A3575:A7618,castles_state!K:K,castles_state!D:D)&amp;"主",IFERROR(_xlfn.XLOOKUP(A3575:A7618,kunishuClan!D:D,kunishuClan!B:B)&amp;"当主","")))</f>
      </c>
    </row>
    <row r="3576" ht="15.75" customHeight="1">
      <c r="A3576" s="4">
        <v>1301002</v>
      </c>
      <c r="B3576" s="12" t="str">
        <f t="array" ref="B3576">IF(A3576:A7619="","",_xlfn.XLOOKUP(A3576:A7619,'参照_武将'!A:A,'参照_武将'!B:B,"見つかりません"))</f>
      </c>
      <c r="C3576" s="4" t="s">
        <v>540</v>
      </c>
      <c r="D3576" s="4">
        <v>5</v>
      </c>
      <c r="E3576" s="12" t="str">
        <f t="array" ref="E3576">IF(D3576:D7619="","",IFERROR(_xlfn.XLOOKUP(D3576:D7619,'参照_勢力'!A:A,'参照_勢力'!B:B),IFERROR(_xlfn.XLOOKUP(F3576:F7619,kunishuClan!A:A,kunishuClan!B:B),"浪人")))</f>
      </c>
      <c r="F3576" s="4">
        <v>0</v>
      </c>
      <c r="G3576" s="4">
        <v>48</v>
      </c>
      <c r="H3576" s="12" t="str">
        <f t="array" ref="H3576">IF(G3576:G7619="","",_xlfn.XLOOKUP(G3576:G7619,castles_state!A:A,castles_state!D:D,"見つかりません"))</f>
      </c>
      <c r="I3576" s="4"/>
      <c r="J3576" s="12" t="str">
        <f t="array" ref="J3576">IF(I3576:I7619="","",_xlfn.XLOOKUP(I3576:I7619,'参照_姫'!A:A,'参照_姫'!B:B,"見つかりません"))</f>
      </c>
      <c r="K3576" s="4">
        <v>95</v>
      </c>
      <c r="L3576" s="4">
        <v>0</v>
      </c>
      <c r="M3576" s="4"/>
      <c r="N3576" s="4"/>
      <c r="O3576" s="4"/>
      <c r="P3576" s="12" t="str">
        <f t="array" ref="P3576">IF(O3576:O7619="","",_xlfn.XLOOKUP(O3576:O7619,'参照_官位'!A:A,'参照_官位'!B:B,""))</f>
      </c>
      <c r="Q3576" s="12" t="str">
        <f t="array" ref="Q3576">IF(A3576:A7619="","",IFERROR(_xlfn.XLOOKUP(A3576:A7619,castles_state!K:K,castles_state!D:D)&amp;"主",IFERROR(_xlfn.XLOOKUP(A3576:A7619,kunishuClan!D:D,kunishuClan!B:B)&amp;"当主","")))</f>
      </c>
    </row>
    <row r="3577" ht="15.75" customHeight="1">
      <c r="A3577" s="4">
        <v>1301003</v>
      </c>
      <c r="B3577" s="12" t="str">
        <f t="array" ref="B3577">IF(A3577:A7620="","",_xlfn.XLOOKUP(A3577:A7620,'参照_武将'!A:A,'参照_武将'!B:B,"見つかりません"))</f>
      </c>
      <c r="C3577" s="4" t="s">
        <v>540</v>
      </c>
      <c r="D3577" s="4">
        <v>5</v>
      </c>
      <c r="E3577" s="12" t="str">
        <f t="array" ref="E3577">IF(D3577:D7620="","",IFERROR(_xlfn.XLOOKUP(D3577:D7620,'参照_勢力'!A:A,'参照_勢力'!B:B),IFERROR(_xlfn.XLOOKUP(F3577:F7620,kunishuClan!A:A,kunishuClan!B:B),"浪人")))</f>
      </c>
      <c r="F3577" s="4">
        <v>0</v>
      </c>
      <c r="G3577" s="4">
        <v>48</v>
      </c>
      <c r="H3577" s="12" t="str">
        <f t="array" ref="H3577">IF(G3577:G7620="","",_xlfn.XLOOKUP(G3577:G7620,castles_state!A:A,castles_state!D:D,"見つかりません"))</f>
      </c>
      <c r="I3577" s="4"/>
      <c r="J3577" s="12" t="str">
        <f t="array" ref="J3577">IF(I3577:I7620="","",_xlfn.XLOOKUP(I3577:I7620,'参照_姫'!A:A,'参照_姫'!B:B,"見つかりません"))</f>
      </c>
      <c r="K3577" s="4">
        <v>95</v>
      </c>
      <c r="L3577" s="4">
        <v>0</v>
      </c>
      <c r="M3577" s="4"/>
      <c r="N3577" s="4"/>
      <c r="O3577" s="4"/>
      <c r="P3577" s="12" t="str">
        <f t="array" ref="P3577">IF(O3577:O7620="","",_xlfn.XLOOKUP(O3577:O7620,'参照_官位'!A:A,'参照_官位'!B:B,""))</f>
      </c>
      <c r="Q3577" s="12" t="str">
        <f t="array" ref="Q3577">IF(A3577:A7620="","",IFERROR(_xlfn.XLOOKUP(A3577:A7620,castles_state!K:K,castles_state!D:D)&amp;"主",IFERROR(_xlfn.XLOOKUP(A3577:A7620,kunishuClan!D:D,kunishuClan!B:B)&amp;"当主","")))</f>
      </c>
    </row>
    <row r="3578" ht="15.75" customHeight="1">
      <c r="A3578" s="4">
        <v>1301004</v>
      </c>
      <c r="B3578" s="12" t="str">
        <f t="array" ref="B3578">IF(A3578:A7621="","",_xlfn.XLOOKUP(A3578:A7621,'参照_武将'!A:A,'参照_武将'!B:B,"見つかりません"))</f>
      </c>
      <c r="C3578" s="4" t="s">
        <v>540</v>
      </c>
      <c r="D3578" s="4">
        <v>5</v>
      </c>
      <c r="E3578" s="12" t="str">
        <f t="array" ref="E3578">IF(D3578:D7621="","",IFERROR(_xlfn.XLOOKUP(D3578:D7621,'参照_勢力'!A:A,'参照_勢力'!B:B),IFERROR(_xlfn.XLOOKUP(F3578:F7621,kunishuClan!A:A,kunishuClan!B:B),"浪人")))</f>
      </c>
      <c r="F3578" s="4">
        <v>0</v>
      </c>
      <c r="G3578" s="4">
        <v>48</v>
      </c>
      <c r="H3578" s="12" t="str">
        <f t="array" ref="H3578">IF(G3578:G7621="","",_xlfn.XLOOKUP(G3578:G7621,castles_state!A:A,castles_state!D:D,"見つかりません"))</f>
      </c>
      <c r="I3578" s="4"/>
      <c r="J3578" s="12" t="str">
        <f t="array" ref="J3578">IF(I3578:I7621="","",_xlfn.XLOOKUP(I3578:I7621,'参照_姫'!A:A,'参照_姫'!B:B,"見つかりません"))</f>
      </c>
      <c r="K3578" s="4">
        <v>95</v>
      </c>
      <c r="L3578" s="4">
        <v>0</v>
      </c>
      <c r="M3578" s="4"/>
      <c r="N3578" s="4"/>
      <c r="O3578" s="4"/>
      <c r="P3578" s="12" t="str">
        <f t="array" ref="P3578">IF(O3578:O7621="","",_xlfn.XLOOKUP(O3578:O7621,'参照_官位'!A:A,'参照_官位'!B:B,""))</f>
      </c>
      <c r="Q3578" s="12" t="str">
        <f t="array" ref="Q3578">IF(A3578:A7621="","",IFERROR(_xlfn.XLOOKUP(A3578:A7621,castles_state!K:K,castles_state!D:D)&amp;"主",IFERROR(_xlfn.XLOOKUP(A3578:A7621,kunishuClan!D:D,kunishuClan!B:B)&amp;"当主","")))</f>
      </c>
    </row>
    <row r="3579" ht="15.75" customHeight="1">
      <c r="A3579" s="4">
        <v>1301005</v>
      </c>
      <c r="B3579" s="12" t="str">
        <f t="array" ref="B3579">IF(A3579:A7622="","",_xlfn.XLOOKUP(A3579:A7622,'参照_武将'!A:A,'参照_武将'!B:B,"見つかりません"))</f>
      </c>
      <c r="C3579" s="4" t="s">
        <v>540</v>
      </c>
      <c r="D3579" s="4">
        <v>301</v>
      </c>
      <c r="E3579" s="12" t="str">
        <f t="array" ref="E3579">IF(D3579:D7622="","",IFERROR(_xlfn.XLOOKUP(D3579:D7622,'参照_勢力'!A:A,'参照_勢力'!B:B),IFERROR(_xlfn.XLOOKUP(F3579:F7622,kunishuClan!A:A,kunishuClan!B:B),"浪人")))</f>
      </c>
      <c r="F3579" s="4">
        <v>0</v>
      </c>
      <c r="G3579" s="4">
        <v>48</v>
      </c>
      <c r="H3579" s="12" t="str">
        <f t="array" ref="H3579">IF(G3579:G7622="","",_xlfn.XLOOKUP(G3579:G7622,castles_state!A:A,castles_state!D:D,"見つかりません"))</f>
      </c>
      <c r="I3579" s="4"/>
      <c r="J3579" s="12" t="str">
        <f t="array" ref="J3579">IF(I3579:I7622="","",_xlfn.XLOOKUP(I3579:I7622,'参照_姫'!A:A,'参照_姫'!B:B,"見つかりません"))</f>
      </c>
      <c r="K3579" s="4">
        <v>95</v>
      </c>
      <c r="L3579" s="4">
        <v>0</v>
      </c>
      <c r="M3579" s="4"/>
      <c r="N3579" s="4"/>
      <c r="O3579" s="4"/>
      <c r="P3579" s="12" t="str">
        <f t="array" ref="P3579">IF(O3579:O7622="","",_xlfn.XLOOKUP(O3579:O7622,'参照_官位'!A:A,'参照_官位'!B:B,""))</f>
      </c>
      <c r="Q3579" s="12" t="str">
        <f t="array" ref="Q3579">IF(A3579:A7622="","",IFERROR(_xlfn.XLOOKUP(A3579:A7622,castles_state!K:K,castles_state!D:D)&amp;"主",IFERROR(_xlfn.XLOOKUP(A3579:A7622,kunishuClan!D:D,kunishuClan!B:B)&amp;"当主","")))</f>
      </c>
    </row>
    <row r="3580" ht="15.75" customHeight="1">
      <c r="A3580" s="4">
        <v>1301006</v>
      </c>
      <c r="B3580" s="12" t="str">
        <f t="array" ref="B3580">IF(A3580:A7623="","",_xlfn.XLOOKUP(A3580:A7623,'参照_武将'!A:A,'参照_武将'!B:B,"見つかりません"))</f>
      </c>
      <c r="C3580" s="4" t="s">
        <v>540</v>
      </c>
      <c r="D3580" s="4">
        <v>301</v>
      </c>
      <c r="E3580" s="12" t="str">
        <f t="array" ref="E3580">IF(D3580:D7623="","",IFERROR(_xlfn.XLOOKUP(D3580:D7623,'参照_勢力'!A:A,'参照_勢力'!B:B),IFERROR(_xlfn.XLOOKUP(F3580:F7623,kunishuClan!A:A,kunishuClan!B:B),"浪人")))</f>
      </c>
      <c r="F3580" s="4">
        <v>0</v>
      </c>
      <c r="G3580" s="4">
        <v>12</v>
      </c>
      <c r="H3580" s="12" t="str">
        <f t="array" ref="H3580">IF(G3580:G7623="","",_xlfn.XLOOKUP(G3580:G7623,castles_state!A:A,castles_state!D:D,"見つかりません"))</f>
      </c>
      <c r="I3580" s="4">
        <v>11</v>
      </c>
      <c r="J3580" s="12" t="str">
        <f t="array" ref="J3580">IF(I3580:I7623="","",_xlfn.XLOOKUP(I3580:I7623,'参照_姫'!A:A,'参照_姫'!B:B,"見つかりません"))</f>
      </c>
      <c r="K3580" s="4">
        <v>100</v>
      </c>
      <c r="L3580" s="4">
        <v>1500</v>
      </c>
      <c r="M3580" s="4"/>
      <c r="N3580" s="4"/>
      <c r="O3580" s="4"/>
      <c r="P3580" s="12" t="str">
        <f t="array" ref="P3580">IF(O3580:O7623="","",_xlfn.XLOOKUP(O3580:O7623,'参照_官位'!A:A,'参照_官位'!B:B,""))</f>
      </c>
      <c r="Q3580" s="12" t="str">
        <f t="array" ref="Q3580">IF(A3580:A7623="","",IFERROR(_xlfn.XLOOKUP(A3580:A7623,castles_state!K:K,castles_state!D:D)&amp;"主",IFERROR(_xlfn.XLOOKUP(A3580:A7623,kunishuClan!D:D,kunishuClan!B:B)&amp;"当主","")))</f>
      </c>
    </row>
    <row r="3581" ht="15.75" customHeight="1">
      <c r="A3581" s="4">
        <v>1301007</v>
      </c>
      <c r="B3581" s="12" t="str">
        <f t="array" ref="B3581">IF(A3581:A7624="","",_xlfn.XLOOKUP(A3581:A7624,'参照_武将'!A:A,'参照_武将'!B:B,"見つかりません"))</f>
      </c>
      <c r="C3581" s="4" t="s">
        <v>540</v>
      </c>
      <c r="D3581" s="4">
        <v>301</v>
      </c>
      <c r="E3581" s="12" t="str">
        <f t="array" ref="E3581">IF(D3581:D7624="","",IFERROR(_xlfn.XLOOKUP(D3581:D7624,'参照_勢力'!A:A,'参照_勢力'!B:B),IFERROR(_xlfn.XLOOKUP(F3581:F7624,kunishuClan!A:A,kunishuClan!B:B),"浪人")))</f>
      </c>
      <c r="F3581" s="4">
        <v>0</v>
      </c>
      <c r="G3581" s="4">
        <v>48</v>
      </c>
      <c r="H3581" s="12" t="str">
        <f t="array" ref="H3581">IF(G3581:G7624="","",_xlfn.XLOOKUP(G3581:G7624,castles_state!A:A,castles_state!D:D,"見つかりません"))</f>
      </c>
      <c r="I3581" s="4">
        <v>3</v>
      </c>
      <c r="J3581" s="12" t="str">
        <f t="array" ref="J3581">IF(I3581:I7624="","",_xlfn.XLOOKUP(I3581:I7624,'参照_姫'!A:A,'参照_姫'!B:B,"見つかりません"))</f>
      </c>
      <c r="K3581" s="4">
        <v>90</v>
      </c>
      <c r="L3581" s="4">
        <v>500</v>
      </c>
      <c r="M3581" s="4"/>
      <c r="N3581" s="4"/>
      <c r="O3581" s="4"/>
      <c r="P3581" s="12" t="str">
        <f t="array" ref="P3581">IF(O3581:O7624="","",_xlfn.XLOOKUP(O3581:O7624,'参照_官位'!A:A,'参照_官位'!B:B,""))</f>
      </c>
      <c r="Q3581" s="12" t="str">
        <f t="array" ref="Q3581">IF(A3581:A7624="","",IFERROR(_xlfn.XLOOKUP(A3581:A7624,castles_state!K:K,castles_state!D:D)&amp;"主",IFERROR(_xlfn.XLOOKUP(A3581:A7624,kunishuClan!D:D,kunishuClan!B:B)&amp;"当主","")))</f>
      </c>
    </row>
    <row r="3582" ht="15.75" customHeight="1">
      <c r="A3582" s="4">
        <v>1301008</v>
      </c>
      <c r="B3582" s="12" t="str">
        <f t="array" ref="B3582">IF(A3582:A7625="","",_xlfn.XLOOKUP(A3582:A7625,'参照_武将'!A:A,'参照_武将'!B:B,"見つかりません"))</f>
      </c>
      <c r="C3582" s="4" t="s">
        <v>540</v>
      </c>
      <c r="D3582" s="4">
        <v>301</v>
      </c>
      <c r="E3582" s="12" t="str">
        <f t="array" ref="E3582">IF(D3582:D7625="","",IFERROR(_xlfn.XLOOKUP(D3582:D7625,'参照_勢力'!A:A,'参照_勢力'!B:B),IFERROR(_xlfn.XLOOKUP(F3582:F7625,kunishuClan!A:A,kunishuClan!B:B),"浪人")))</f>
      </c>
      <c r="F3582" s="4">
        <v>0</v>
      </c>
      <c r="G3582" s="4">
        <v>48</v>
      </c>
      <c r="H3582" s="12" t="str">
        <f t="array" ref="H3582">IF(G3582:G7625="","",_xlfn.XLOOKUP(G3582:G7625,castles_state!A:A,castles_state!D:D,"見つかりません"))</f>
      </c>
      <c r="I3582" s="4"/>
      <c r="J3582" s="12" t="str">
        <f t="array" ref="J3582">IF(I3582:I7625="","",_xlfn.XLOOKUP(I3582:I7625,'参照_姫'!A:A,'参照_姫'!B:B,"見つかりません"))</f>
      </c>
      <c r="K3582" s="4">
        <v>90</v>
      </c>
      <c r="L3582" s="4">
        <v>500</v>
      </c>
      <c r="M3582" s="4"/>
      <c r="N3582" s="4"/>
      <c r="O3582" s="4"/>
      <c r="P3582" s="12" t="str">
        <f t="array" ref="P3582">IF(O3582:O7625="","",_xlfn.XLOOKUP(O3582:O7625,'参照_官位'!A:A,'参照_官位'!B:B,""))</f>
      </c>
      <c r="Q3582" s="12" t="str">
        <f t="array" ref="Q3582">IF(A3582:A7625="","",IFERROR(_xlfn.XLOOKUP(A3582:A7625,castles_state!K:K,castles_state!D:D)&amp;"主",IFERROR(_xlfn.XLOOKUP(A3582:A7625,kunishuClan!D:D,kunishuClan!B:B)&amp;"当主","")))</f>
      </c>
    </row>
    <row r="3583" ht="15.75" customHeight="1">
      <c r="A3583" s="4">
        <v>1301009</v>
      </c>
      <c r="B3583" s="12" t="str">
        <f t="array" ref="B3583">IF(A3583:A7626="","",_xlfn.XLOOKUP(A3583:A7626,'参照_武将'!A:A,'参照_武将'!B:B,"見つかりません"))</f>
      </c>
      <c r="C3583" s="4" t="s">
        <v>540</v>
      </c>
      <c r="D3583" s="4">
        <v>301</v>
      </c>
      <c r="E3583" s="12" t="str">
        <f t="array" ref="E3583">IF(D3583:D7626="","",IFERROR(_xlfn.XLOOKUP(D3583:D7626,'参照_勢力'!A:A,'参照_勢力'!B:B),IFERROR(_xlfn.XLOOKUP(F3583:F7626,kunishuClan!A:A,kunishuClan!B:B),"浪人")))</f>
      </c>
      <c r="F3583" s="4">
        <v>0</v>
      </c>
      <c r="G3583" s="4">
        <v>48</v>
      </c>
      <c r="H3583" s="12" t="str">
        <f t="array" ref="H3583">IF(G3583:G7626="","",_xlfn.XLOOKUP(G3583:G7626,castles_state!A:A,castles_state!D:D,"見つかりません"))</f>
      </c>
      <c r="I3583" s="4"/>
      <c r="J3583" s="12" t="str">
        <f t="array" ref="J3583">IF(I3583:I7626="","",_xlfn.XLOOKUP(I3583:I7626,'参照_姫'!A:A,'参照_姫'!B:B,"見つかりません"))</f>
      </c>
      <c r="K3583" s="4">
        <v>90</v>
      </c>
      <c r="L3583" s="4">
        <v>0</v>
      </c>
      <c r="M3583" s="4"/>
      <c r="N3583" s="4"/>
      <c r="O3583" s="4"/>
      <c r="P3583" s="12" t="str">
        <f t="array" ref="P3583">IF(O3583:O7626="","",_xlfn.XLOOKUP(O3583:O7626,'参照_官位'!A:A,'参照_官位'!B:B,""))</f>
      </c>
      <c r="Q3583" s="12" t="str">
        <f t="array" ref="Q3583">IF(A3583:A7626="","",IFERROR(_xlfn.XLOOKUP(A3583:A7626,castles_state!K:K,castles_state!D:D)&amp;"主",IFERROR(_xlfn.XLOOKUP(A3583:A7626,kunishuClan!D:D,kunishuClan!B:B)&amp;"当主","")))</f>
      </c>
    </row>
    <row r="3584" ht="15.75" customHeight="1">
      <c r="A3584" s="4">
        <v>1301010</v>
      </c>
      <c r="B3584" s="12" t="str">
        <f t="array" ref="B3584">IF(A3584:A7627="","",_xlfn.XLOOKUP(A3584:A7627,'参照_武将'!A:A,'参照_武将'!B:B,"見つかりません"))</f>
      </c>
      <c r="C3584" s="4" t="s">
        <v>540</v>
      </c>
      <c r="D3584" s="4">
        <v>301</v>
      </c>
      <c r="E3584" s="12" t="str">
        <f t="array" ref="E3584">IF(D3584:D7627="","",IFERROR(_xlfn.XLOOKUP(D3584:D7627,'参照_勢力'!A:A,'参照_勢力'!B:B),IFERROR(_xlfn.XLOOKUP(F3584:F7627,kunishuClan!A:A,kunishuClan!B:B),"浪人")))</f>
      </c>
      <c r="F3584" s="4">
        <v>0</v>
      </c>
      <c r="G3584" s="4">
        <v>48</v>
      </c>
      <c r="H3584" s="12" t="str">
        <f t="array" ref="H3584">IF(G3584:G7627="","",_xlfn.XLOOKUP(G3584:G7627,castles_state!A:A,castles_state!D:D,"見つかりません"))</f>
      </c>
      <c r="I3584" s="4"/>
      <c r="J3584" s="12" t="str">
        <f t="array" ref="J3584">IF(I3584:I7627="","",_xlfn.XLOOKUP(I3584:I7627,'参照_姫'!A:A,'参照_姫'!B:B,"見つかりません"))</f>
      </c>
      <c r="K3584" s="4">
        <v>90</v>
      </c>
      <c r="L3584" s="4">
        <v>0</v>
      </c>
      <c r="M3584" s="4"/>
      <c r="N3584" s="4"/>
      <c r="O3584" s="4"/>
      <c r="P3584" s="12" t="str">
        <f t="array" ref="P3584">IF(O3584:O7627="","",_xlfn.XLOOKUP(O3584:O7627,'参照_官位'!A:A,'参照_官位'!B:B,""))</f>
      </c>
      <c r="Q3584" s="12" t="str">
        <f t="array" ref="Q3584">IF(A3584:A7627="","",IFERROR(_xlfn.XLOOKUP(A3584:A7627,castles_state!K:K,castles_state!D:D)&amp;"主",IFERROR(_xlfn.XLOOKUP(A3584:A7627,kunishuClan!D:D,kunishuClan!B:B)&amp;"当主","")))</f>
      </c>
    </row>
    <row r="3585" ht="15.75" customHeight="1">
      <c r="A3585" s="4">
        <v>1301011</v>
      </c>
      <c r="B3585" s="12" t="str">
        <f t="array" ref="B3585">IF(A3585:A7628="","",_xlfn.XLOOKUP(A3585:A7628,'参照_武将'!A:A,'参照_武将'!B:B,"見つかりません"))</f>
      </c>
      <c r="C3585" s="4" t="s">
        <v>540</v>
      </c>
      <c r="D3585" s="4">
        <v>301</v>
      </c>
      <c r="E3585" s="12" t="str">
        <f t="array" ref="E3585">IF(D3585:D7628="","",IFERROR(_xlfn.XLOOKUP(D3585:D7628,'参照_勢力'!A:A,'参照_勢力'!B:B),IFERROR(_xlfn.XLOOKUP(F3585:F7628,kunishuClan!A:A,kunishuClan!B:B),"浪人")))</f>
      </c>
      <c r="F3585" s="4">
        <v>0</v>
      </c>
      <c r="G3585" s="4">
        <v>48</v>
      </c>
      <c r="H3585" s="12" t="str">
        <f t="array" ref="H3585">IF(G3585:G7628="","",_xlfn.XLOOKUP(G3585:G7628,castles_state!A:A,castles_state!D:D,"見つかりません"))</f>
      </c>
      <c r="I3585" s="4"/>
      <c r="J3585" s="12" t="str">
        <f t="array" ref="J3585">IF(I3585:I7628="","",_xlfn.XLOOKUP(I3585:I7628,'参照_姫'!A:A,'参照_姫'!B:B,"見つかりません"))</f>
      </c>
      <c r="K3585" s="4">
        <v>90</v>
      </c>
      <c r="L3585" s="4">
        <v>0</v>
      </c>
      <c r="M3585" s="4"/>
      <c r="N3585" s="4"/>
      <c r="O3585" s="4"/>
      <c r="P3585" s="12" t="str">
        <f t="array" ref="P3585">IF(O3585:O7628="","",_xlfn.XLOOKUP(O3585:O7628,'参照_官位'!A:A,'参照_官位'!B:B,""))</f>
      </c>
      <c r="Q3585" s="12" t="str">
        <f t="array" ref="Q3585">IF(A3585:A7628="","",IFERROR(_xlfn.XLOOKUP(A3585:A7628,castles_state!K:K,castles_state!D:D)&amp;"主",IFERROR(_xlfn.XLOOKUP(A3585:A7628,kunishuClan!D:D,kunishuClan!B:B)&amp;"当主","")))</f>
      </c>
    </row>
    <row r="3586" ht="15.75" customHeight="1">
      <c r="A3586" s="4">
        <v>1301012</v>
      </c>
      <c r="B3586" s="12" t="str">
        <f t="array" ref="B3586">IF(A3586:A7629="","",_xlfn.XLOOKUP(A3586:A7629,'参照_武将'!A:A,'参照_武将'!B:B,"見つかりません"))</f>
      </c>
      <c r="C3586" s="4" t="s">
        <v>540</v>
      </c>
      <c r="D3586" s="4">
        <v>301</v>
      </c>
      <c r="E3586" s="12" t="str">
        <f t="array" ref="E3586">IF(D3586:D7629="","",IFERROR(_xlfn.XLOOKUP(D3586:D7629,'参照_勢力'!A:A,'参照_勢力'!B:B),IFERROR(_xlfn.XLOOKUP(F3586:F7629,kunishuClan!A:A,kunishuClan!B:B),"浪人")))</f>
      </c>
      <c r="F3586" s="4">
        <v>0</v>
      </c>
      <c r="G3586" s="4">
        <v>48</v>
      </c>
      <c r="H3586" s="12" t="str">
        <f t="array" ref="H3586">IF(G3586:G7629="","",_xlfn.XLOOKUP(G3586:G7629,castles_state!A:A,castles_state!D:D,"見つかりません"))</f>
      </c>
      <c r="I3586" s="4"/>
      <c r="J3586" s="12" t="str">
        <f t="array" ref="J3586">IF(I3586:I7629="","",_xlfn.XLOOKUP(I3586:I7629,'参照_姫'!A:A,'参照_姫'!B:B,"見つかりません"))</f>
      </c>
      <c r="K3586" s="4">
        <v>90</v>
      </c>
      <c r="L3586" s="4">
        <v>500</v>
      </c>
      <c r="M3586" s="4"/>
      <c r="N3586" s="4"/>
      <c r="O3586" s="4"/>
      <c r="P3586" s="12" t="str">
        <f t="array" ref="P3586">IF(O3586:O7629="","",_xlfn.XLOOKUP(O3586:O7629,'参照_官位'!A:A,'参照_官位'!B:B,""))</f>
      </c>
      <c r="Q3586" s="12" t="str">
        <f t="array" ref="Q3586">IF(A3586:A7629="","",IFERROR(_xlfn.XLOOKUP(A3586:A7629,castles_state!K:K,castles_state!D:D)&amp;"主",IFERROR(_xlfn.XLOOKUP(A3586:A7629,kunishuClan!D:D,kunishuClan!B:B)&amp;"当主","")))</f>
      </c>
    </row>
    <row r="3587" ht="15.75" customHeight="1">
      <c r="A3587" s="4">
        <v>1301013</v>
      </c>
      <c r="B3587" s="12" t="str">
        <f t="array" ref="B3587">IF(A3587:A7630="","",_xlfn.XLOOKUP(A3587:A7630,'参照_武将'!A:A,'参照_武将'!B:B,"見つかりません"))</f>
      </c>
      <c r="C3587" s="4" t="s">
        <v>540</v>
      </c>
      <c r="D3587" s="4">
        <v>301</v>
      </c>
      <c r="E3587" s="12" t="str">
        <f t="array" ref="E3587">IF(D3587:D7630="","",IFERROR(_xlfn.XLOOKUP(D3587:D7630,'参照_勢力'!A:A,'参照_勢力'!B:B),IFERROR(_xlfn.XLOOKUP(F3587:F7630,kunishuClan!A:A,kunishuClan!B:B),"浪人")))</f>
      </c>
      <c r="F3587" s="4">
        <v>0</v>
      </c>
      <c r="G3587" s="4">
        <v>48</v>
      </c>
      <c r="H3587" s="12" t="str">
        <f t="array" ref="H3587">IF(G3587:G7630="","",_xlfn.XLOOKUP(G3587:G7630,castles_state!A:A,castles_state!D:D,"見つかりません"))</f>
      </c>
      <c r="I3587" s="4"/>
      <c r="J3587" s="12" t="str">
        <f t="array" ref="J3587">IF(I3587:I7630="","",_xlfn.XLOOKUP(I3587:I7630,'参照_姫'!A:A,'参照_姫'!B:B,"見つかりません"))</f>
      </c>
      <c r="K3587" s="4">
        <v>90</v>
      </c>
      <c r="L3587" s="4">
        <v>0</v>
      </c>
      <c r="M3587" s="4"/>
      <c r="N3587" s="4"/>
      <c r="O3587" s="4"/>
      <c r="P3587" s="12" t="str">
        <f t="array" ref="P3587">IF(O3587:O7630="","",_xlfn.XLOOKUP(O3587:O7630,'参照_官位'!A:A,'参照_官位'!B:B,""))</f>
      </c>
      <c r="Q3587" s="12" t="str">
        <f t="array" ref="Q3587">IF(A3587:A7630="","",IFERROR(_xlfn.XLOOKUP(A3587:A7630,castles_state!K:K,castles_state!D:D)&amp;"主",IFERROR(_xlfn.XLOOKUP(A3587:A7630,kunishuClan!D:D,kunishuClan!B:B)&amp;"当主","")))</f>
      </c>
    </row>
    <row r="3588" ht="15.75" customHeight="1">
      <c r="A3588" s="4">
        <v>1301014</v>
      </c>
      <c r="B3588" s="12" t="str">
        <f t="array" ref="B3588">IF(A3588:A7631="","",_xlfn.XLOOKUP(A3588:A7631,'参照_武将'!A:A,'参照_武将'!B:B,"見つかりません"))</f>
      </c>
      <c r="C3588" s="4" t="s">
        <v>540</v>
      </c>
      <c r="D3588" s="4">
        <v>301</v>
      </c>
      <c r="E3588" s="12" t="str">
        <f t="array" ref="E3588">IF(D3588:D7631="","",IFERROR(_xlfn.XLOOKUP(D3588:D7631,'参照_勢力'!A:A,'参照_勢力'!B:B),IFERROR(_xlfn.XLOOKUP(F3588:F7631,kunishuClan!A:A,kunishuClan!B:B),"浪人")))</f>
      </c>
      <c r="F3588" s="4">
        <v>0</v>
      </c>
      <c r="G3588" s="4">
        <v>48</v>
      </c>
      <c r="H3588" s="12" t="str">
        <f t="array" ref="H3588">IF(G3588:G7631="","",_xlfn.XLOOKUP(G3588:G7631,castles_state!A:A,castles_state!D:D,"見つかりません"))</f>
      </c>
      <c r="I3588" s="4"/>
      <c r="J3588" s="12" t="str">
        <f t="array" ref="J3588">IF(I3588:I7631="","",_xlfn.XLOOKUP(I3588:I7631,'参照_姫'!A:A,'参照_姫'!B:B,"見つかりません"))</f>
      </c>
      <c r="K3588" s="4">
        <v>90</v>
      </c>
      <c r="L3588" s="4">
        <v>0</v>
      </c>
      <c r="M3588" s="4"/>
      <c r="N3588" s="4"/>
      <c r="O3588" s="4"/>
      <c r="P3588" s="12" t="str">
        <f t="array" ref="P3588">IF(O3588:O7631="","",_xlfn.XLOOKUP(O3588:O7631,'参照_官位'!A:A,'参照_官位'!B:B,""))</f>
      </c>
      <c r="Q3588" s="12" t="str">
        <f t="array" ref="Q3588">IF(A3588:A7631="","",IFERROR(_xlfn.XLOOKUP(A3588:A7631,castles_state!K:K,castles_state!D:D)&amp;"主",IFERROR(_xlfn.XLOOKUP(A3588:A7631,kunishuClan!D:D,kunishuClan!B:B)&amp;"当主","")))</f>
      </c>
    </row>
    <row r="3589" ht="15.75" customHeight="1">
      <c r="A3589" s="4">
        <v>1301015</v>
      </c>
      <c r="B3589" s="12" t="str">
        <f t="array" ref="B3589">IF(A3589:A7632="","",_xlfn.XLOOKUP(A3589:A7632,'参照_武将'!A:A,'参照_武将'!B:B,"見つかりません"))</f>
      </c>
      <c r="C3589" s="4" t="s">
        <v>540</v>
      </c>
      <c r="D3589" s="4">
        <v>301</v>
      </c>
      <c r="E3589" s="12" t="str">
        <f t="array" ref="E3589">IF(D3589:D7632="","",IFERROR(_xlfn.XLOOKUP(D3589:D7632,'参照_勢力'!A:A,'参照_勢力'!B:B),IFERROR(_xlfn.XLOOKUP(F3589:F7632,kunishuClan!A:A,kunishuClan!B:B),"浪人")))</f>
      </c>
      <c r="F3589" s="4">
        <v>0</v>
      </c>
      <c r="G3589" s="4">
        <v>48</v>
      </c>
      <c r="H3589" s="12" t="str">
        <f t="array" ref="H3589">IF(G3589:G7632="","",_xlfn.XLOOKUP(G3589:G7632,castles_state!A:A,castles_state!D:D,"見つかりません"))</f>
      </c>
      <c r="I3589" s="4"/>
      <c r="J3589" s="12" t="str">
        <f t="array" ref="J3589">IF(I3589:I7632="","",_xlfn.XLOOKUP(I3589:I7632,'参照_姫'!A:A,'参照_姫'!B:B,"見つかりません"))</f>
      </c>
      <c r="K3589" s="4">
        <v>90</v>
      </c>
      <c r="L3589" s="4">
        <v>0</v>
      </c>
      <c r="M3589" s="4"/>
      <c r="N3589" s="4"/>
      <c r="O3589" s="4"/>
      <c r="P3589" s="12" t="str">
        <f t="array" ref="P3589">IF(O3589:O7632="","",_xlfn.XLOOKUP(O3589:O7632,'参照_官位'!A:A,'参照_官位'!B:B,""))</f>
      </c>
      <c r="Q3589" s="12" t="str">
        <f t="array" ref="Q3589">IF(A3589:A7632="","",IFERROR(_xlfn.XLOOKUP(A3589:A7632,castles_state!K:K,castles_state!D:D)&amp;"主",IFERROR(_xlfn.XLOOKUP(A3589:A7632,kunishuClan!D:D,kunishuClan!B:B)&amp;"当主","")))</f>
      </c>
    </row>
    <row r="3590" ht="15.75" customHeight="1">
      <c r="A3590" s="4">
        <v>1301016</v>
      </c>
      <c r="B3590" s="12" t="str">
        <f t="array" ref="B3590">IF(A3590:A7633="","",_xlfn.XLOOKUP(A3590:A7633,'参照_武将'!A:A,'参照_武将'!B:B,"見つかりません"))</f>
      </c>
      <c r="C3590" s="4" t="s">
        <v>540</v>
      </c>
      <c r="D3590" s="4">
        <v>301</v>
      </c>
      <c r="E3590" s="12" t="str">
        <f t="array" ref="E3590">IF(D3590:D7633="","",IFERROR(_xlfn.XLOOKUP(D3590:D7633,'参照_勢力'!A:A,'参照_勢力'!B:B),IFERROR(_xlfn.XLOOKUP(F3590:F7633,kunishuClan!A:A,kunishuClan!B:B),"浪人")))</f>
      </c>
      <c r="F3590" s="4">
        <v>0</v>
      </c>
      <c r="G3590" s="4">
        <v>48</v>
      </c>
      <c r="H3590" s="12" t="str">
        <f t="array" ref="H3590">IF(G3590:G7633="","",_xlfn.XLOOKUP(G3590:G7633,castles_state!A:A,castles_state!D:D,"見つかりません"))</f>
      </c>
      <c r="I3590" s="4"/>
      <c r="J3590" s="12" t="str">
        <f t="array" ref="J3590">IF(I3590:I7633="","",_xlfn.XLOOKUP(I3590:I7633,'参照_姫'!A:A,'参照_姫'!B:B,"見つかりません"))</f>
      </c>
      <c r="K3590" s="4">
        <v>90</v>
      </c>
      <c r="L3590" s="4">
        <v>0</v>
      </c>
      <c r="M3590" s="4"/>
      <c r="N3590" s="4"/>
      <c r="O3590" s="4"/>
      <c r="P3590" s="12" t="str">
        <f t="array" ref="P3590">IF(O3590:O7633="","",_xlfn.XLOOKUP(O3590:O7633,'参照_官位'!A:A,'参照_官位'!B:B,""))</f>
      </c>
      <c r="Q3590" s="12" t="str">
        <f t="array" ref="Q3590">IF(A3590:A7633="","",IFERROR(_xlfn.XLOOKUP(A3590:A7633,castles_state!K:K,castles_state!D:D)&amp;"主",IFERROR(_xlfn.XLOOKUP(A3590:A7633,kunishuClan!D:D,kunishuClan!B:B)&amp;"当主","")))</f>
      </c>
    </row>
    <row r="3591" ht="15.75" customHeight="1">
      <c r="A3591" s="4">
        <v>1301017</v>
      </c>
      <c r="B3591" s="12" t="str">
        <f t="array" ref="B3591">IF(A3591:A7634="","",_xlfn.XLOOKUP(A3591:A7634,'参照_武将'!A:A,'参照_武将'!B:B,"見つかりません"))</f>
      </c>
      <c r="C3591" s="4" t="s">
        <v>540</v>
      </c>
      <c r="D3591" s="4">
        <v>301</v>
      </c>
      <c r="E3591" s="12" t="str">
        <f t="array" ref="E3591">IF(D3591:D7634="","",IFERROR(_xlfn.XLOOKUP(D3591:D7634,'参照_勢力'!A:A,'参照_勢力'!B:B),IFERROR(_xlfn.XLOOKUP(F3591:F7634,kunishuClan!A:A,kunishuClan!B:B),"浪人")))</f>
      </c>
      <c r="F3591" s="4">
        <v>0</v>
      </c>
      <c r="G3591" s="4">
        <v>48</v>
      </c>
      <c r="H3591" s="12" t="str">
        <f t="array" ref="H3591">IF(G3591:G7634="","",_xlfn.XLOOKUP(G3591:G7634,castles_state!A:A,castles_state!D:D,"見つかりません"))</f>
      </c>
      <c r="I3591" s="4"/>
      <c r="J3591" s="12" t="str">
        <f t="array" ref="J3591">IF(I3591:I7634="","",_xlfn.XLOOKUP(I3591:I7634,'参照_姫'!A:A,'参照_姫'!B:B,"見つかりません"))</f>
      </c>
      <c r="K3591" s="4">
        <v>90</v>
      </c>
      <c r="L3591" s="4">
        <v>0</v>
      </c>
      <c r="M3591" s="4"/>
      <c r="N3591" s="4"/>
      <c r="O3591" s="4"/>
      <c r="P3591" s="12" t="str">
        <f t="array" ref="P3591">IF(O3591:O7634="","",_xlfn.XLOOKUP(O3591:O7634,'参照_官位'!A:A,'参照_官位'!B:B,""))</f>
      </c>
      <c r="Q3591" s="12" t="str">
        <f t="array" ref="Q3591">IF(A3591:A7634="","",IFERROR(_xlfn.XLOOKUP(A3591:A7634,castles_state!K:K,castles_state!D:D)&amp;"主",IFERROR(_xlfn.XLOOKUP(A3591:A7634,kunishuClan!D:D,kunishuClan!B:B)&amp;"当主","")))</f>
      </c>
    </row>
    <row r="3592" ht="15.75" customHeight="1">
      <c r="A3592" s="4">
        <v>1301018</v>
      </c>
      <c r="B3592" s="12" t="str">
        <f t="array" ref="B3592">IF(A3592:A7635="","",_xlfn.XLOOKUP(A3592:A7635,'参照_武将'!A:A,'参照_武将'!B:B,"見つかりません"))</f>
      </c>
      <c r="C3592" s="4" t="s">
        <v>540</v>
      </c>
      <c r="D3592" s="4">
        <v>301</v>
      </c>
      <c r="E3592" s="12" t="str">
        <f t="array" ref="E3592">IF(D3592:D7635="","",IFERROR(_xlfn.XLOOKUP(D3592:D7635,'参照_勢力'!A:A,'参照_勢力'!B:B),IFERROR(_xlfn.XLOOKUP(F3592:F7635,kunishuClan!A:A,kunishuClan!B:B),"浪人")))</f>
      </c>
      <c r="F3592" s="4">
        <v>0</v>
      </c>
      <c r="G3592" s="4">
        <v>48</v>
      </c>
      <c r="H3592" s="12" t="str">
        <f t="array" ref="H3592">IF(G3592:G7635="","",_xlfn.XLOOKUP(G3592:G7635,castles_state!A:A,castles_state!D:D,"見つかりません"))</f>
      </c>
      <c r="I3592" s="4"/>
      <c r="J3592" s="12" t="str">
        <f t="array" ref="J3592">IF(I3592:I7635="","",_xlfn.XLOOKUP(I3592:I7635,'参照_姫'!A:A,'参照_姫'!B:B,"見つかりません"))</f>
      </c>
      <c r="K3592" s="4">
        <v>90</v>
      </c>
      <c r="L3592" s="4">
        <v>0</v>
      </c>
      <c r="M3592" s="4"/>
      <c r="N3592" s="4"/>
      <c r="O3592" s="4"/>
      <c r="P3592" s="12" t="str">
        <f t="array" ref="P3592">IF(O3592:O7635="","",_xlfn.XLOOKUP(O3592:O7635,'参照_官位'!A:A,'参照_官位'!B:B,""))</f>
      </c>
      <c r="Q3592" s="12" t="str">
        <f t="array" ref="Q3592">IF(A3592:A7635="","",IFERROR(_xlfn.XLOOKUP(A3592:A7635,castles_state!K:K,castles_state!D:D)&amp;"主",IFERROR(_xlfn.XLOOKUP(A3592:A7635,kunishuClan!D:D,kunishuClan!B:B)&amp;"当主","")))</f>
      </c>
    </row>
    <row r="3593" ht="15.75" customHeight="1">
      <c r="A3593" s="4">
        <v>1301019</v>
      </c>
      <c r="B3593" s="12" t="str">
        <f t="array" ref="B3593">IF(A3593:A7636="","",_xlfn.XLOOKUP(A3593:A7636,'参照_武将'!A:A,'参照_武将'!B:B,"見つかりません"))</f>
      </c>
      <c r="C3593" s="4" t="s">
        <v>540</v>
      </c>
      <c r="D3593" s="4">
        <v>301</v>
      </c>
      <c r="E3593" s="12" t="str">
        <f t="array" ref="E3593">IF(D3593:D7636="","",IFERROR(_xlfn.XLOOKUP(D3593:D7636,'参照_勢力'!A:A,'参照_勢力'!B:B),IFERROR(_xlfn.XLOOKUP(F3593:F7636,kunishuClan!A:A,kunishuClan!B:B),"浪人")))</f>
      </c>
      <c r="F3593" s="4">
        <v>0</v>
      </c>
      <c r="G3593" s="4">
        <v>48</v>
      </c>
      <c r="H3593" s="12" t="str">
        <f t="array" ref="H3593">IF(G3593:G7636="","",_xlfn.XLOOKUP(G3593:G7636,castles_state!A:A,castles_state!D:D,"見つかりません"))</f>
      </c>
      <c r="I3593" s="4"/>
      <c r="J3593" s="12" t="str">
        <f t="array" ref="J3593">IF(I3593:I7636="","",_xlfn.XLOOKUP(I3593:I7636,'参照_姫'!A:A,'参照_姫'!B:B,"見つかりません"))</f>
      </c>
      <c r="K3593" s="4">
        <v>90</v>
      </c>
      <c r="L3593" s="4">
        <v>0</v>
      </c>
      <c r="M3593" s="4"/>
      <c r="N3593" s="4"/>
      <c r="O3593" s="4"/>
      <c r="P3593" s="12" t="str">
        <f t="array" ref="P3593">IF(O3593:O7636="","",_xlfn.XLOOKUP(O3593:O7636,'参照_官位'!A:A,'参照_官位'!B:B,""))</f>
      </c>
      <c r="Q3593" s="12" t="str">
        <f t="array" ref="Q3593">IF(A3593:A7636="","",IFERROR(_xlfn.XLOOKUP(A3593:A7636,castles_state!K:K,castles_state!D:D)&amp;"主",IFERROR(_xlfn.XLOOKUP(A3593:A7636,kunishuClan!D:D,kunishuClan!B:B)&amp;"当主","")))</f>
      </c>
    </row>
    <row r="3594" ht="15.75" customHeight="1">
      <c r="A3594" s="4">
        <v>1301020</v>
      </c>
      <c r="B3594" s="12" t="str">
        <f t="array" ref="B3594">IF(A3594:A7637="","",_xlfn.XLOOKUP(A3594:A7637,'参照_武将'!A:A,'参照_武将'!B:B,"見つかりません"))</f>
      </c>
      <c r="C3594" s="4" t="s">
        <v>540</v>
      </c>
      <c r="D3594" s="4">
        <v>301</v>
      </c>
      <c r="E3594" s="12" t="str">
        <f t="array" ref="E3594">IF(D3594:D7637="","",IFERROR(_xlfn.XLOOKUP(D3594:D7637,'参照_勢力'!A:A,'参照_勢力'!B:B),IFERROR(_xlfn.XLOOKUP(F3594:F7637,kunishuClan!A:A,kunishuClan!B:B),"浪人")))</f>
      </c>
      <c r="F3594" s="4">
        <v>0</v>
      </c>
      <c r="G3594" s="4">
        <v>48</v>
      </c>
      <c r="H3594" s="12" t="str">
        <f t="array" ref="H3594">IF(G3594:G7637="","",_xlfn.XLOOKUP(G3594:G7637,castles_state!A:A,castles_state!D:D,"見つかりません"))</f>
      </c>
      <c r="I3594" s="4"/>
      <c r="J3594" s="12" t="str">
        <f t="array" ref="J3594">IF(I3594:I7637="","",_xlfn.XLOOKUP(I3594:I7637,'参照_姫'!A:A,'参照_姫'!B:B,"見つかりません"))</f>
      </c>
      <c r="K3594" s="4">
        <v>90</v>
      </c>
      <c r="L3594" s="4">
        <v>0</v>
      </c>
      <c r="M3594" s="4"/>
      <c r="N3594" s="4"/>
      <c r="O3594" s="4"/>
      <c r="P3594" s="12" t="str">
        <f t="array" ref="P3594">IF(O3594:O7637="","",_xlfn.XLOOKUP(O3594:O7637,'参照_官位'!A:A,'参照_官位'!B:B,""))</f>
      </c>
      <c r="Q3594" s="12" t="str">
        <f t="array" ref="Q3594">IF(A3594:A7637="","",IFERROR(_xlfn.XLOOKUP(A3594:A7637,castles_state!K:K,castles_state!D:D)&amp;"主",IFERROR(_xlfn.XLOOKUP(A3594:A7637,kunishuClan!D:D,kunishuClan!B:B)&amp;"当主","")))</f>
      </c>
    </row>
    <row r="3595" ht="15.75" customHeight="1">
      <c r="A3595" s="4">
        <v>1301021</v>
      </c>
      <c r="B3595" s="12" t="str">
        <f t="array" ref="B3595">IF(A3595:A7638="","",_xlfn.XLOOKUP(A3595:A7638,'参照_武将'!A:A,'参照_武将'!B:B,"見つかりません"))</f>
      </c>
      <c r="C3595" s="4" t="s">
        <v>540</v>
      </c>
      <c r="D3595" s="4">
        <v>301</v>
      </c>
      <c r="E3595" s="12" t="str">
        <f t="array" ref="E3595">IF(D3595:D7638="","",IFERROR(_xlfn.XLOOKUP(D3595:D7638,'参照_勢力'!A:A,'参照_勢力'!B:B),IFERROR(_xlfn.XLOOKUP(F3595:F7638,kunishuClan!A:A,kunishuClan!B:B),"浪人")))</f>
      </c>
      <c r="F3595" s="4">
        <v>0</v>
      </c>
      <c r="G3595" s="4">
        <v>48</v>
      </c>
      <c r="H3595" s="12" t="str">
        <f t="array" ref="H3595">IF(G3595:G7638="","",_xlfn.XLOOKUP(G3595:G7638,castles_state!A:A,castles_state!D:D,"見つかりません"))</f>
      </c>
      <c r="I3595" s="4"/>
      <c r="J3595" s="12" t="str">
        <f t="array" ref="J3595">IF(I3595:I7638="","",_xlfn.XLOOKUP(I3595:I7638,'参照_姫'!A:A,'参照_姫'!B:B,"見つかりません"))</f>
      </c>
      <c r="K3595" s="4">
        <v>90</v>
      </c>
      <c r="L3595" s="4">
        <v>0</v>
      </c>
      <c r="M3595" s="4"/>
      <c r="N3595" s="4"/>
      <c r="O3595" s="4"/>
      <c r="P3595" s="12" t="str">
        <f t="array" ref="P3595">IF(O3595:O7638="","",_xlfn.XLOOKUP(O3595:O7638,'参照_官位'!A:A,'参照_官位'!B:B,""))</f>
      </c>
      <c r="Q3595" s="12" t="str">
        <f t="array" ref="Q3595">IF(A3595:A7638="","",IFERROR(_xlfn.XLOOKUP(A3595:A7638,castles_state!K:K,castles_state!D:D)&amp;"主",IFERROR(_xlfn.XLOOKUP(A3595:A7638,kunishuClan!D:D,kunishuClan!B:B)&amp;"当主","")))</f>
      </c>
    </row>
    <row r="3596" ht="15.75" customHeight="1">
      <c r="A3596" s="4">
        <v>1301022</v>
      </c>
      <c r="B3596" s="12" t="str">
        <f t="array" ref="B3596">IF(A3596:A7639="","",_xlfn.XLOOKUP(A3596:A7639,'参照_武将'!A:A,'参照_武将'!B:B,"見つかりません"))</f>
      </c>
      <c r="C3596" s="4" t="s">
        <v>540</v>
      </c>
      <c r="D3596" s="4">
        <v>301</v>
      </c>
      <c r="E3596" s="12" t="str">
        <f t="array" ref="E3596">IF(D3596:D7639="","",IFERROR(_xlfn.XLOOKUP(D3596:D7639,'参照_勢力'!A:A,'参照_勢力'!B:B),IFERROR(_xlfn.XLOOKUP(F3596:F7639,kunishuClan!A:A,kunishuClan!B:B),"浪人")))</f>
      </c>
      <c r="F3596" s="4">
        <v>0</v>
      </c>
      <c r="G3596" s="4">
        <v>48</v>
      </c>
      <c r="H3596" s="12" t="str">
        <f t="array" ref="H3596">IF(G3596:G7639="","",_xlfn.XLOOKUP(G3596:G7639,castles_state!A:A,castles_state!D:D,"見つかりません"))</f>
      </c>
      <c r="I3596" s="4"/>
      <c r="J3596" s="12" t="str">
        <f t="array" ref="J3596">IF(I3596:I7639="","",_xlfn.XLOOKUP(I3596:I7639,'参照_姫'!A:A,'参照_姫'!B:B,"見つかりません"))</f>
      </c>
      <c r="K3596" s="4">
        <v>90</v>
      </c>
      <c r="L3596" s="4">
        <v>0</v>
      </c>
      <c r="M3596" s="4"/>
      <c r="N3596" s="4"/>
      <c r="O3596" s="4"/>
      <c r="P3596" s="12" t="str">
        <f t="array" ref="P3596">IF(O3596:O7639="","",_xlfn.XLOOKUP(O3596:O7639,'参照_官位'!A:A,'参照_官位'!B:B,""))</f>
      </c>
      <c r="Q3596" s="12" t="str">
        <f t="array" ref="Q3596">IF(A3596:A7639="","",IFERROR(_xlfn.XLOOKUP(A3596:A7639,castles_state!K:K,castles_state!D:D)&amp;"主",IFERROR(_xlfn.XLOOKUP(A3596:A7639,kunishuClan!D:D,kunishuClan!B:B)&amp;"当主","")))</f>
      </c>
    </row>
    <row r="3597" ht="15.75" customHeight="1">
      <c r="A3597" s="4">
        <v>1301023</v>
      </c>
      <c r="B3597" s="12" t="str">
        <f t="array" ref="B3597">IF(A3597:A7640="","",_xlfn.XLOOKUP(A3597:A7640,'参照_武将'!A:A,'参照_武将'!B:B,"見つかりません"))</f>
      </c>
      <c r="C3597" s="4" t="s">
        <v>540</v>
      </c>
      <c r="D3597" s="4">
        <v>301</v>
      </c>
      <c r="E3597" s="12" t="str">
        <f t="array" ref="E3597">IF(D3597:D7640="","",IFERROR(_xlfn.XLOOKUP(D3597:D7640,'参照_勢力'!A:A,'参照_勢力'!B:B),IFERROR(_xlfn.XLOOKUP(F3597:F7640,kunishuClan!A:A,kunishuClan!B:B),"浪人")))</f>
      </c>
      <c r="F3597" s="4">
        <v>0</v>
      </c>
      <c r="G3597" s="4">
        <v>48</v>
      </c>
      <c r="H3597" s="12" t="str">
        <f t="array" ref="H3597">IF(G3597:G7640="","",_xlfn.XLOOKUP(G3597:G7640,castles_state!A:A,castles_state!D:D,"見つかりません"))</f>
      </c>
      <c r="I3597" s="4"/>
      <c r="J3597" s="12" t="str">
        <f t="array" ref="J3597">IF(I3597:I7640="","",_xlfn.XLOOKUP(I3597:I7640,'参照_姫'!A:A,'参照_姫'!B:B,"見つかりません"))</f>
      </c>
      <c r="K3597" s="4">
        <v>95</v>
      </c>
      <c r="L3597" s="4">
        <v>0</v>
      </c>
      <c r="M3597" s="4"/>
      <c r="N3597" s="4"/>
      <c r="O3597" s="4"/>
      <c r="P3597" s="12" t="str">
        <f t="array" ref="P3597">IF(O3597:O7640="","",_xlfn.XLOOKUP(O3597:O7640,'参照_官位'!A:A,'参照_官位'!B:B,""))</f>
      </c>
      <c r="Q3597" s="12" t="str">
        <f t="array" ref="Q3597">IF(A3597:A7640="","",IFERROR(_xlfn.XLOOKUP(A3597:A7640,castles_state!K:K,castles_state!D:D)&amp;"主",IFERROR(_xlfn.XLOOKUP(A3597:A7640,kunishuClan!D:D,kunishuClan!B:B)&amp;"当主","")))</f>
      </c>
    </row>
    <row r="3598" ht="15.75" customHeight="1">
      <c r="A3598" s="4">
        <v>1301024</v>
      </c>
      <c r="B3598" s="12" t="str">
        <f t="array" ref="B3598">IF(A3598:A7641="","",_xlfn.XLOOKUP(A3598:A7641,'参照_武将'!A:A,'参照_武将'!B:B,"見つかりません"))</f>
      </c>
      <c r="C3598" s="4" t="s">
        <v>540</v>
      </c>
      <c r="D3598" s="4">
        <v>301</v>
      </c>
      <c r="E3598" s="12" t="str">
        <f t="array" ref="E3598">IF(D3598:D7641="","",IFERROR(_xlfn.XLOOKUP(D3598:D7641,'参照_勢力'!A:A,'参照_勢力'!B:B),IFERROR(_xlfn.XLOOKUP(F3598:F7641,kunishuClan!A:A,kunishuClan!B:B),"浪人")))</f>
      </c>
      <c r="F3598" s="4">
        <v>0</v>
      </c>
      <c r="G3598" s="4">
        <v>48</v>
      </c>
      <c r="H3598" s="12" t="str">
        <f t="array" ref="H3598">IF(G3598:G7641="","",_xlfn.XLOOKUP(G3598:G7641,castles_state!A:A,castles_state!D:D,"見つかりません"))</f>
      </c>
      <c r="I3598" s="4"/>
      <c r="J3598" s="12" t="str">
        <f t="array" ref="J3598">IF(I3598:I7641="","",_xlfn.XLOOKUP(I3598:I7641,'参照_姫'!A:A,'参照_姫'!B:B,"見つかりません"))</f>
      </c>
      <c r="K3598" s="4">
        <v>90</v>
      </c>
      <c r="L3598" s="4">
        <v>0</v>
      </c>
      <c r="M3598" s="4"/>
      <c r="N3598" s="4"/>
      <c r="O3598" s="4"/>
      <c r="P3598" s="12" t="str">
        <f t="array" ref="P3598">IF(O3598:O7641="","",_xlfn.XLOOKUP(O3598:O7641,'参照_官位'!A:A,'参照_官位'!B:B,""))</f>
      </c>
      <c r="Q3598" s="12" t="str">
        <f t="array" ref="Q3598">IF(A3598:A7641="","",IFERROR(_xlfn.XLOOKUP(A3598:A7641,castles_state!K:K,castles_state!D:D)&amp;"主",IFERROR(_xlfn.XLOOKUP(A3598:A7641,kunishuClan!D:D,kunishuClan!B:B)&amp;"当主","")))</f>
      </c>
    </row>
    <row r="3599" ht="15.75" customHeight="1">
      <c r="A3599" s="4">
        <v>1301025</v>
      </c>
      <c r="B3599" s="12" t="str">
        <f t="array" ref="B3599">IF(A3599:A7642="","",_xlfn.XLOOKUP(A3599:A7642,'参照_武将'!A:A,'参照_武将'!B:B,"見つかりません"))</f>
      </c>
      <c r="C3599" s="4" t="s">
        <v>5984</v>
      </c>
      <c r="D3599" s="4">
        <v>301</v>
      </c>
      <c r="E3599" s="12" t="str">
        <f t="array" ref="E3599">IF(D3599:D7642="","",IFERROR(_xlfn.XLOOKUP(D3599:D7642,'参照_勢力'!A:A,'参照_勢力'!B:B),IFERROR(_xlfn.XLOOKUP(F3599:F7642,kunishuClan!A:A,kunishuClan!B:B),"浪人")))</f>
      </c>
      <c r="F3599" s="4">
        <v>0</v>
      </c>
      <c r="G3599" s="4">
        <v>48</v>
      </c>
      <c r="H3599" s="12" t="str">
        <f t="array" ref="H3599">IF(G3599:G7642="","",_xlfn.XLOOKUP(G3599:G7642,castles_state!A:A,castles_state!D:D,"見つかりません"))</f>
      </c>
      <c r="I3599" s="4">
        <v>13</v>
      </c>
      <c r="J3599" s="12" t="str">
        <f t="array" ref="J3599">IF(I3599:I7642="","",_xlfn.XLOOKUP(I3599:I7642,'参照_姫'!A:A,'参照_姫'!B:B,"見つかりません"))</f>
      </c>
      <c r="K3599" s="4">
        <v>90</v>
      </c>
      <c r="L3599" s="4">
        <v>0</v>
      </c>
      <c r="M3599" s="4"/>
      <c r="N3599" s="4"/>
      <c r="O3599" s="4"/>
      <c r="P3599" s="12" t="str">
        <f t="array" ref="P3599">IF(O3599:O7642="","",_xlfn.XLOOKUP(O3599:O7642,'参照_官位'!A:A,'参照_官位'!B:B,""))</f>
      </c>
      <c r="Q3599" s="12" t="str">
        <f t="array" ref="Q3599">IF(A3599:A7642="","",IFERROR(_xlfn.XLOOKUP(A3599:A7642,castles_state!K:K,castles_state!D:D)&amp;"主",IFERROR(_xlfn.XLOOKUP(A3599:A7642,kunishuClan!D:D,kunishuClan!B:B)&amp;"当主","")))</f>
      </c>
    </row>
    <row r="3600" ht="15.75" customHeight="1">
      <c r="A3600" s="4">
        <v>1301026</v>
      </c>
      <c r="B3600" s="12" t="str">
        <f t="array" ref="B3600">IF(A3600:A7643="","",_xlfn.XLOOKUP(A3600:A7643,'参照_武将'!A:A,'参照_武将'!B:B,"見つかりません"))</f>
      </c>
      <c r="C3600" s="4" t="s">
        <v>5984</v>
      </c>
      <c r="D3600" s="4">
        <v>301</v>
      </c>
      <c r="E3600" s="12" t="str">
        <f t="array" ref="E3600">IF(D3600:D7643="","",IFERROR(_xlfn.XLOOKUP(D3600:D7643,'参照_勢力'!A:A,'参照_勢力'!B:B),IFERROR(_xlfn.XLOOKUP(F3600:F7643,kunishuClan!A:A,kunishuClan!B:B),"浪人")))</f>
      </c>
      <c r="F3600" s="4">
        <v>0</v>
      </c>
      <c r="G3600" s="4">
        <v>48</v>
      </c>
      <c r="H3600" s="12" t="str">
        <f t="array" ref="H3600">IF(G3600:G7643="","",_xlfn.XLOOKUP(G3600:G7643,castles_state!A:A,castles_state!D:D,"見つかりません"))</f>
      </c>
      <c r="I3600" s="4"/>
      <c r="J3600" s="12" t="str">
        <f t="array" ref="J3600">IF(I3600:I7643="","",_xlfn.XLOOKUP(I3600:I7643,'参照_姫'!A:A,'参照_姫'!B:B,"見つかりません"))</f>
      </c>
      <c r="K3600" s="4">
        <v>90</v>
      </c>
      <c r="L3600" s="4">
        <v>0</v>
      </c>
      <c r="M3600" s="4"/>
      <c r="N3600" s="4"/>
      <c r="O3600" s="4"/>
      <c r="P3600" s="12" t="str">
        <f t="array" ref="P3600">IF(O3600:O7643="","",_xlfn.XLOOKUP(O3600:O7643,'参照_官位'!A:A,'参照_官位'!B:B,""))</f>
      </c>
      <c r="Q3600" s="12" t="str">
        <f t="array" ref="Q3600">IF(A3600:A7643="","",IFERROR(_xlfn.XLOOKUP(A3600:A7643,castles_state!K:K,castles_state!D:D)&amp;"主",IFERROR(_xlfn.XLOOKUP(A3600:A7643,kunishuClan!D:D,kunishuClan!B:B)&amp;"当主","")))</f>
      </c>
    </row>
    <row r="3601" ht="15.75" customHeight="1">
      <c r="A3601" s="4">
        <v>1301027</v>
      </c>
      <c r="B3601" s="12" t="str">
        <f t="array" ref="B3601">IF(A3601:A7644="","",_xlfn.XLOOKUP(A3601:A7644,'参照_武将'!A:A,'参照_武将'!B:B,"見つかりません"))</f>
      </c>
      <c r="C3601" s="4" t="s">
        <v>5984</v>
      </c>
      <c r="D3601" s="4">
        <v>301</v>
      </c>
      <c r="E3601" s="12" t="str">
        <f t="array" ref="E3601">IF(D3601:D7644="","",IFERROR(_xlfn.XLOOKUP(D3601:D7644,'参照_勢力'!A:A,'参照_勢力'!B:B),IFERROR(_xlfn.XLOOKUP(F3601:F7644,kunishuClan!A:A,kunishuClan!B:B),"浪人")))</f>
      </c>
      <c r="F3601" s="4">
        <v>0</v>
      </c>
      <c r="G3601" s="4">
        <v>48</v>
      </c>
      <c r="H3601" s="12" t="str">
        <f t="array" ref="H3601">IF(G3601:G7644="","",_xlfn.XLOOKUP(G3601:G7644,castles_state!A:A,castles_state!D:D,"見つかりません"))</f>
      </c>
      <c r="I3601" s="4"/>
      <c r="J3601" s="12" t="str">
        <f t="array" ref="J3601">IF(I3601:I7644="","",_xlfn.XLOOKUP(I3601:I7644,'参照_姫'!A:A,'参照_姫'!B:B,"見つかりません"))</f>
      </c>
      <c r="K3601" s="4">
        <v>90</v>
      </c>
      <c r="L3601" s="4">
        <v>0</v>
      </c>
      <c r="M3601" s="4"/>
      <c r="N3601" s="4"/>
      <c r="O3601" s="4"/>
      <c r="P3601" s="12" t="str">
        <f t="array" ref="P3601">IF(O3601:O7644="","",_xlfn.XLOOKUP(O3601:O7644,'参照_官位'!A:A,'参照_官位'!B:B,""))</f>
      </c>
      <c r="Q3601" s="12" t="str">
        <f t="array" ref="Q3601">IF(A3601:A7644="","",IFERROR(_xlfn.XLOOKUP(A3601:A7644,castles_state!K:K,castles_state!D:D)&amp;"主",IFERROR(_xlfn.XLOOKUP(A3601:A7644,kunishuClan!D:D,kunishuClan!B:B)&amp;"当主","")))</f>
      </c>
    </row>
    <row r="3602" ht="15.75" customHeight="1">
      <c r="A3602" s="4">
        <v>1301028</v>
      </c>
      <c r="B3602" s="12" t="str">
        <f t="array" ref="B3602">IF(A3602:A7645="","",_xlfn.XLOOKUP(A3602:A7645,'参照_武将'!A:A,'参照_武将'!B:B,"見つかりません"))</f>
      </c>
      <c r="C3602" s="4" t="s">
        <v>5984</v>
      </c>
      <c r="D3602" s="4">
        <v>301</v>
      </c>
      <c r="E3602" s="12" t="str">
        <f t="array" ref="E3602">IF(D3602:D7645="","",IFERROR(_xlfn.XLOOKUP(D3602:D7645,'参照_勢力'!A:A,'参照_勢力'!B:B),IFERROR(_xlfn.XLOOKUP(F3602:F7645,kunishuClan!A:A,kunishuClan!B:B),"浪人")))</f>
      </c>
      <c r="F3602" s="4">
        <v>0</v>
      </c>
      <c r="G3602" s="4">
        <v>48</v>
      </c>
      <c r="H3602" s="12" t="str">
        <f t="array" ref="H3602">IF(G3602:G7645="","",_xlfn.XLOOKUP(G3602:G7645,castles_state!A:A,castles_state!D:D,"見つかりません"))</f>
      </c>
      <c r="I3602" s="4"/>
      <c r="J3602" s="12" t="str">
        <f t="array" ref="J3602">IF(I3602:I7645="","",_xlfn.XLOOKUP(I3602:I7645,'参照_姫'!A:A,'参照_姫'!B:B,"見つかりません"))</f>
      </c>
      <c r="K3602" s="4">
        <v>90</v>
      </c>
      <c r="L3602" s="4">
        <v>0</v>
      </c>
      <c r="M3602" s="4"/>
      <c r="N3602" s="4"/>
      <c r="O3602" s="4"/>
      <c r="P3602" s="12" t="str">
        <f t="array" ref="P3602">IF(O3602:O7645="","",_xlfn.XLOOKUP(O3602:O7645,'参照_官位'!A:A,'参照_官位'!B:B,""))</f>
      </c>
      <c r="Q3602" s="12" t="str">
        <f t="array" ref="Q3602">IF(A3602:A7645="","",IFERROR(_xlfn.XLOOKUP(A3602:A7645,castles_state!K:K,castles_state!D:D)&amp;"主",IFERROR(_xlfn.XLOOKUP(A3602:A7645,kunishuClan!D:D,kunishuClan!B:B)&amp;"当主","")))</f>
      </c>
    </row>
    <row r="3603" ht="15.75" customHeight="1">
      <c r="A3603" s="4">
        <v>1301029</v>
      </c>
      <c r="B3603" s="12" t="str">
        <f t="array" ref="B3603">IF(A3603:A7646="","",_xlfn.XLOOKUP(A3603:A7646,'参照_武将'!A:A,'参照_武将'!B:B,"見つかりません"))</f>
      </c>
      <c r="C3603" s="4" t="s">
        <v>5984</v>
      </c>
      <c r="D3603" s="4">
        <v>301</v>
      </c>
      <c r="E3603" s="12" t="str">
        <f t="array" ref="E3603">IF(D3603:D7646="","",IFERROR(_xlfn.XLOOKUP(D3603:D7646,'参照_勢力'!A:A,'参照_勢力'!B:B),IFERROR(_xlfn.XLOOKUP(F3603:F7646,kunishuClan!A:A,kunishuClan!B:B),"浪人")))</f>
      </c>
      <c r="F3603" s="4">
        <v>0</v>
      </c>
      <c r="G3603" s="4">
        <v>48</v>
      </c>
      <c r="H3603" s="12" t="str">
        <f t="array" ref="H3603">IF(G3603:G7646="","",_xlfn.XLOOKUP(G3603:G7646,castles_state!A:A,castles_state!D:D,"見つかりません"))</f>
      </c>
      <c r="I3603" s="4"/>
      <c r="J3603" s="12" t="str">
        <f t="array" ref="J3603">IF(I3603:I7646="","",_xlfn.XLOOKUP(I3603:I7646,'参照_姫'!A:A,'参照_姫'!B:B,"見つかりません"))</f>
      </c>
      <c r="K3603" s="4">
        <v>90</v>
      </c>
      <c r="L3603" s="4">
        <v>0</v>
      </c>
      <c r="M3603" s="4"/>
      <c r="N3603" s="4"/>
      <c r="O3603" s="4"/>
      <c r="P3603" s="12" t="str">
        <f t="array" ref="P3603">IF(O3603:O7646="","",_xlfn.XLOOKUP(O3603:O7646,'参照_官位'!A:A,'参照_官位'!B:B,""))</f>
      </c>
      <c r="Q3603" s="12" t="str">
        <f t="array" ref="Q3603">IF(A3603:A7646="","",IFERROR(_xlfn.XLOOKUP(A3603:A7646,castles_state!K:K,castles_state!D:D)&amp;"主",IFERROR(_xlfn.XLOOKUP(A3603:A7646,kunishuClan!D:D,kunishuClan!B:B)&amp;"当主","")))</f>
      </c>
    </row>
    <row r="3604" ht="15.75" customHeight="1">
      <c r="A3604" s="4">
        <v>1301030</v>
      </c>
      <c r="B3604" s="12" t="str">
        <f t="array" ref="B3604">IF(A3604:A7647="","",_xlfn.XLOOKUP(A3604:A7647,'参照_武将'!A:A,'参照_武将'!B:B,"見つかりません"))</f>
      </c>
      <c r="C3604" s="4" t="s">
        <v>540</v>
      </c>
      <c r="D3604" s="4">
        <v>301</v>
      </c>
      <c r="E3604" s="12" t="str">
        <f t="array" ref="E3604">IF(D3604:D7647="","",IFERROR(_xlfn.XLOOKUP(D3604:D7647,'参照_勢力'!A:A,'参照_勢力'!B:B),IFERROR(_xlfn.XLOOKUP(F3604:F7647,kunishuClan!A:A,kunishuClan!B:B),"浪人")))</f>
      </c>
      <c r="F3604" s="4">
        <v>0</v>
      </c>
      <c r="G3604" s="4">
        <v>48</v>
      </c>
      <c r="H3604" s="12" t="str">
        <f t="array" ref="H3604">IF(G3604:G7647="","",_xlfn.XLOOKUP(G3604:G7647,castles_state!A:A,castles_state!D:D,"見つかりません"))</f>
      </c>
      <c r="I3604" s="4"/>
      <c r="J3604" s="12" t="str">
        <f t="array" ref="J3604">IF(I3604:I7647="","",_xlfn.XLOOKUP(I3604:I7647,'参照_姫'!A:A,'参照_姫'!B:B,"見つかりません"))</f>
      </c>
      <c r="K3604" s="4">
        <v>90</v>
      </c>
      <c r="L3604" s="4">
        <v>0</v>
      </c>
      <c r="M3604" s="4"/>
      <c r="N3604" s="4"/>
      <c r="O3604" s="4"/>
      <c r="P3604" s="12" t="str">
        <f t="array" ref="P3604">IF(O3604:O7647="","",_xlfn.XLOOKUP(O3604:O7647,'参照_官位'!A:A,'参照_官位'!B:B,""))</f>
      </c>
      <c r="Q3604" s="12" t="str">
        <f t="array" ref="Q3604">IF(A3604:A7647="","",IFERROR(_xlfn.XLOOKUP(A3604:A7647,castles_state!K:K,castles_state!D:D)&amp;"主",IFERROR(_xlfn.XLOOKUP(A3604:A7647,kunishuClan!D:D,kunishuClan!B:B)&amp;"当主","")))</f>
      </c>
    </row>
    <row r="3605" ht="15.75" customHeight="1">
      <c r="A3605" s="4">
        <v>1301031</v>
      </c>
      <c r="B3605" s="12" t="str">
        <f t="array" ref="B3605">IF(A3605:A7648="","",_xlfn.XLOOKUP(A3605:A7648,'参照_武将'!A:A,'参照_武将'!B:B,"見つかりません"))</f>
      </c>
      <c r="C3605" s="4" t="s">
        <v>540</v>
      </c>
      <c r="D3605" s="4">
        <v>301</v>
      </c>
      <c r="E3605" s="12" t="str">
        <f t="array" ref="E3605">IF(D3605:D7648="","",IFERROR(_xlfn.XLOOKUP(D3605:D7648,'参照_勢力'!A:A,'参照_勢力'!B:B),IFERROR(_xlfn.XLOOKUP(F3605:F7648,kunishuClan!A:A,kunishuClan!B:B),"浪人")))</f>
      </c>
      <c r="F3605" s="4">
        <v>0</v>
      </c>
      <c r="G3605" s="4">
        <v>48</v>
      </c>
      <c r="H3605" s="12" t="str">
        <f t="array" ref="H3605">IF(G3605:G7648="","",_xlfn.XLOOKUP(G3605:G7648,castles_state!A:A,castles_state!D:D,"見つかりません"))</f>
      </c>
      <c r="I3605" s="4"/>
      <c r="J3605" s="12" t="str">
        <f t="array" ref="J3605">IF(I3605:I7648="","",_xlfn.XLOOKUP(I3605:I7648,'参照_姫'!A:A,'参照_姫'!B:B,"見つかりません"))</f>
      </c>
      <c r="K3605" s="4">
        <v>90</v>
      </c>
      <c r="L3605" s="4">
        <v>0</v>
      </c>
      <c r="M3605" s="4"/>
      <c r="N3605" s="4"/>
      <c r="O3605" s="4"/>
      <c r="P3605" s="12" t="str">
        <f t="array" ref="P3605">IF(O3605:O7648="","",_xlfn.XLOOKUP(O3605:O7648,'参照_官位'!A:A,'参照_官位'!B:B,""))</f>
      </c>
      <c r="Q3605" s="12" t="str">
        <f t="array" ref="Q3605">IF(A3605:A7648="","",IFERROR(_xlfn.XLOOKUP(A3605:A7648,castles_state!K:K,castles_state!D:D)&amp;"主",IFERROR(_xlfn.XLOOKUP(A3605:A7648,kunishuClan!D:D,kunishuClan!B:B)&amp;"当主","")))</f>
      </c>
    </row>
    <row r="3606" ht="15.75" customHeight="1">
      <c r="A3606" s="4">
        <v>1301032</v>
      </c>
      <c r="B3606" s="12" t="str">
        <f t="array" ref="B3606">IF(A3606:A7649="","",_xlfn.XLOOKUP(A3606:A7649,'参照_武将'!A:A,'参照_武将'!B:B,"見つかりません"))</f>
      </c>
      <c r="C3606" s="4" t="s">
        <v>540</v>
      </c>
      <c r="D3606" s="4">
        <v>5</v>
      </c>
      <c r="E3606" s="12" t="str">
        <f t="array" ref="E3606">IF(D3606:D7649="","",IFERROR(_xlfn.XLOOKUP(D3606:D7649,'参照_勢力'!A:A,'参照_勢力'!B:B),IFERROR(_xlfn.XLOOKUP(F3606:F7649,kunishuClan!A:A,kunishuClan!B:B),"浪人")))</f>
      </c>
      <c r="F3606" s="4">
        <v>0</v>
      </c>
      <c r="G3606" s="4">
        <v>48</v>
      </c>
      <c r="H3606" s="12" t="str">
        <f t="array" ref="H3606">IF(G3606:G7649="","",_xlfn.XLOOKUP(G3606:G7649,castles_state!A:A,castles_state!D:D,"見つかりません"))</f>
      </c>
      <c r="I3606" s="4"/>
      <c r="J3606" s="12" t="str">
        <f t="array" ref="J3606">IF(I3606:I7649="","",_xlfn.XLOOKUP(I3606:I7649,'参照_姫'!A:A,'参照_姫'!B:B,"見つかりません"))</f>
      </c>
      <c r="K3606" s="4">
        <v>95</v>
      </c>
      <c r="L3606" s="4">
        <v>0</v>
      </c>
      <c r="M3606" s="4"/>
      <c r="N3606" s="4"/>
      <c r="O3606" s="4"/>
      <c r="P3606" s="12" t="str">
        <f t="array" ref="P3606">IF(O3606:O7649="","",_xlfn.XLOOKUP(O3606:O7649,'参照_官位'!A:A,'参照_官位'!B:B,""))</f>
      </c>
      <c r="Q3606" s="12" t="str">
        <f t="array" ref="Q3606">IF(A3606:A7649="","",IFERROR(_xlfn.XLOOKUP(A3606:A7649,castles_state!K:K,castles_state!D:D)&amp;"主",IFERROR(_xlfn.XLOOKUP(A3606:A7649,kunishuClan!D:D,kunishuClan!B:B)&amp;"当主","")))</f>
      </c>
    </row>
    <row r="3607" ht="15.75" customHeight="1">
      <c r="A3607" s="4">
        <v>1301033</v>
      </c>
      <c r="B3607" s="12" t="str">
        <f t="array" ref="B3607">IF(A3607:A7650="","",_xlfn.XLOOKUP(A3607:A7650,'参照_武将'!A:A,'参照_武将'!B:B,"見つかりません"))</f>
      </c>
      <c r="C3607" s="4" t="s">
        <v>540</v>
      </c>
      <c r="D3607" s="4">
        <v>5</v>
      </c>
      <c r="E3607" s="12" t="str">
        <f t="array" ref="E3607">IF(D3607:D7650="","",IFERROR(_xlfn.XLOOKUP(D3607:D7650,'参照_勢力'!A:A,'参照_勢力'!B:B),IFERROR(_xlfn.XLOOKUP(F3607:F7650,kunishuClan!A:A,kunishuClan!B:B),"浪人")))</f>
      </c>
      <c r="F3607" s="4">
        <v>0</v>
      </c>
      <c r="G3607" s="4">
        <v>48</v>
      </c>
      <c r="H3607" s="12" t="str">
        <f t="array" ref="H3607">IF(G3607:G7650="","",_xlfn.XLOOKUP(G3607:G7650,castles_state!A:A,castles_state!D:D,"見つかりません"))</f>
      </c>
      <c r="I3607" s="4"/>
      <c r="J3607" s="12" t="str">
        <f t="array" ref="J3607">IF(I3607:I7650="","",_xlfn.XLOOKUP(I3607:I7650,'参照_姫'!A:A,'参照_姫'!B:B,"見つかりません"))</f>
      </c>
      <c r="K3607" s="4">
        <v>95</v>
      </c>
      <c r="L3607" s="4">
        <v>0</v>
      </c>
      <c r="M3607" s="4"/>
      <c r="N3607" s="4"/>
      <c r="O3607" s="4"/>
      <c r="P3607" s="12" t="str">
        <f t="array" ref="P3607">IF(O3607:O7650="","",_xlfn.XLOOKUP(O3607:O7650,'参照_官位'!A:A,'参照_官位'!B:B,""))</f>
      </c>
      <c r="Q3607" s="12" t="str">
        <f t="array" ref="Q3607">IF(A3607:A7650="","",IFERROR(_xlfn.XLOOKUP(A3607:A7650,castles_state!K:K,castles_state!D:D)&amp;"主",IFERROR(_xlfn.XLOOKUP(A3607:A7650,kunishuClan!D:D,kunishuClan!B:B)&amp;"当主","")))</f>
      </c>
    </row>
    <row r="3608" ht="15.75" customHeight="1">
      <c r="A3608" s="4">
        <v>1301034</v>
      </c>
      <c r="B3608" s="12" t="str">
        <f t="array" ref="B3608">IF(A3608:A7651="","",_xlfn.XLOOKUP(A3608:A7651,'参照_武将'!A:A,'参照_武将'!B:B,"見つかりません"))</f>
      </c>
      <c r="C3608" s="4" t="s">
        <v>540</v>
      </c>
      <c r="D3608" s="4">
        <v>301</v>
      </c>
      <c r="E3608" s="12" t="str">
        <f t="array" ref="E3608">IF(D3608:D7651="","",IFERROR(_xlfn.XLOOKUP(D3608:D7651,'参照_勢力'!A:A,'参照_勢力'!B:B),IFERROR(_xlfn.XLOOKUP(F3608:F7651,kunishuClan!A:A,kunishuClan!B:B),"浪人")))</f>
      </c>
      <c r="F3608" s="4">
        <v>0</v>
      </c>
      <c r="G3608" s="4">
        <v>48</v>
      </c>
      <c r="H3608" s="12" t="str">
        <f t="array" ref="H3608">IF(G3608:G7651="","",_xlfn.XLOOKUP(G3608:G7651,castles_state!A:A,castles_state!D:D,"見つかりません"))</f>
      </c>
      <c r="I3608" s="4"/>
      <c r="J3608" s="12" t="str">
        <f t="array" ref="J3608">IF(I3608:I7651="","",_xlfn.XLOOKUP(I3608:I7651,'参照_姫'!A:A,'参照_姫'!B:B,"見つかりません"))</f>
      </c>
      <c r="K3608" s="4">
        <v>95</v>
      </c>
      <c r="L3608" s="4">
        <v>0</v>
      </c>
      <c r="M3608" s="4"/>
      <c r="N3608" s="4"/>
      <c r="O3608" s="4"/>
      <c r="P3608" s="12" t="str">
        <f t="array" ref="P3608">IF(O3608:O7651="","",_xlfn.XLOOKUP(O3608:O7651,'参照_官位'!A:A,'参照_官位'!B:B,""))</f>
      </c>
      <c r="Q3608" s="12" t="str">
        <f t="array" ref="Q3608">IF(A3608:A7651="","",IFERROR(_xlfn.XLOOKUP(A3608:A7651,castles_state!K:K,castles_state!D:D)&amp;"主",IFERROR(_xlfn.XLOOKUP(A3608:A7651,kunishuClan!D:D,kunishuClan!B:B)&amp;"当主","")))</f>
      </c>
    </row>
    <row r="3609" ht="15.75" customHeight="1">
      <c r="A3609" s="4">
        <v>1301035</v>
      </c>
      <c r="B3609" s="12" t="str">
        <f t="array" ref="B3609">IF(A3609:A7652="","",_xlfn.XLOOKUP(A3609:A7652,'参照_武将'!A:A,'参照_武将'!B:B,"見つかりません"))</f>
      </c>
      <c r="C3609" s="4" t="s">
        <v>540</v>
      </c>
      <c r="D3609" s="4">
        <v>301</v>
      </c>
      <c r="E3609" s="12" t="str">
        <f t="array" ref="E3609">IF(D3609:D7652="","",IFERROR(_xlfn.XLOOKUP(D3609:D7652,'参照_勢力'!A:A,'参照_勢力'!B:B),IFERROR(_xlfn.XLOOKUP(F3609:F7652,kunishuClan!A:A,kunishuClan!B:B),"浪人")))</f>
      </c>
      <c r="F3609" s="4">
        <v>0</v>
      </c>
      <c r="G3609" s="4">
        <v>48</v>
      </c>
      <c r="H3609" s="12" t="str">
        <f t="array" ref="H3609">IF(G3609:G7652="","",_xlfn.XLOOKUP(G3609:G7652,castles_state!A:A,castles_state!D:D,"見つかりません"))</f>
      </c>
      <c r="I3609" s="4"/>
      <c r="J3609" s="12" t="str">
        <f t="array" ref="J3609">IF(I3609:I7652="","",_xlfn.XLOOKUP(I3609:I7652,'参照_姫'!A:A,'参照_姫'!B:B,"見つかりません"))</f>
      </c>
      <c r="K3609" s="4">
        <v>90</v>
      </c>
      <c r="L3609" s="4">
        <v>0</v>
      </c>
      <c r="M3609" s="4"/>
      <c r="N3609" s="4"/>
      <c r="O3609" s="4"/>
      <c r="P3609" s="12" t="str">
        <f t="array" ref="P3609">IF(O3609:O7652="","",_xlfn.XLOOKUP(O3609:O7652,'参照_官位'!A:A,'参照_官位'!B:B,""))</f>
      </c>
      <c r="Q3609" s="12" t="str">
        <f t="array" ref="Q3609">IF(A3609:A7652="","",IFERROR(_xlfn.XLOOKUP(A3609:A7652,castles_state!K:K,castles_state!D:D)&amp;"主",IFERROR(_xlfn.XLOOKUP(A3609:A7652,kunishuClan!D:D,kunishuClan!B:B)&amp;"当主","")))</f>
      </c>
    </row>
    <row r="3610" ht="15.75" customHeight="1">
      <c r="A3610" s="4">
        <v>1301036</v>
      </c>
      <c r="B3610" s="12" t="str">
        <f t="array" ref="B3610">IF(A3610:A7653="","",_xlfn.XLOOKUP(A3610:A7653,'参照_武将'!A:A,'参照_武将'!B:B,"見つかりません"))</f>
      </c>
      <c r="C3610" s="4" t="s">
        <v>540</v>
      </c>
      <c r="D3610" s="4">
        <v>301</v>
      </c>
      <c r="E3610" s="12" t="str">
        <f t="array" ref="E3610">IF(D3610:D7653="","",IFERROR(_xlfn.XLOOKUP(D3610:D7653,'参照_勢力'!A:A,'参照_勢力'!B:B),IFERROR(_xlfn.XLOOKUP(F3610:F7653,kunishuClan!A:A,kunishuClan!B:B),"浪人")))</f>
      </c>
      <c r="F3610" s="4">
        <v>0</v>
      </c>
      <c r="G3610" s="4">
        <v>48</v>
      </c>
      <c r="H3610" s="12" t="str">
        <f t="array" ref="H3610">IF(G3610:G7653="","",_xlfn.XLOOKUP(G3610:G7653,castles_state!A:A,castles_state!D:D,"見つかりません"))</f>
      </c>
      <c r="I3610" s="4"/>
      <c r="J3610" s="12" t="str">
        <f t="array" ref="J3610">IF(I3610:I7653="","",_xlfn.XLOOKUP(I3610:I7653,'参照_姫'!A:A,'参照_姫'!B:B,"見つかりません"))</f>
      </c>
      <c r="K3610" s="4">
        <v>90</v>
      </c>
      <c r="L3610" s="4">
        <v>0</v>
      </c>
      <c r="M3610" s="4"/>
      <c r="N3610" s="4"/>
      <c r="O3610" s="4"/>
      <c r="P3610" s="12" t="str">
        <f t="array" ref="P3610">IF(O3610:O7653="","",_xlfn.XLOOKUP(O3610:O7653,'参照_官位'!A:A,'参照_官位'!B:B,""))</f>
      </c>
      <c r="Q3610" s="12" t="str">
        <f t="array" ref="Q3610">IF(A3610:A7653="","",IFERROR(_xlfn.XLOOKUP(A3610:A7653,castles_state!K:K,castles_state!D:D)&amp;"主",IFERROR(_xlfn.XLOOKUP(A3610:A7653,kunishuClan!D:D,kunishuClan!B:B)&amp;"当主","")))</f>
      </c>
    </row>
    <row r="3611" ht="15.75" customHeight="1">
      <c r="A3611" s="4">
        <v>1301037</v>
      </c>
      <c r="B3611" s="12" t="str">
        <f t="array" ref="B3611">IF(A3611:A7654="","",_xlfn.XLOOKUP(A3611:A7654,'参照_武将'!A:A,'参照_武将'!B:B,"見つかりません"))</f>
      </c>
      <c r="C3611" s="4" t="s">
        <v>540</v>
      </c>
      <c r="D3611" s="4">
        <v>5</v>
      </c>
      <c r="E3611" s="12" t="str">
        <f t="array" ref="E3611">IF(D3611:D7654="","",IFERROR(_xlfn.XLOOKUP(D3611:D7654,'参照_勢力'!A:A,'参照_勢力'!B:B),IFERROR(_xlfn.XLOOKUP(F3611:F7654,kunishuClan!A:A,kunishuClan!B:B),"浪人")))</f>
      </c>
      <c r="F3611" s="4">
        <v>0</v>
      </c>
      <c r="G3611" s="4">
        <v>54</v>
      </c>
      <c r="H3611" s="12" t="str">
        <f t="array" ref="H3611">IF(G3611:G7654="","",_xlfn.XLOOKUP(G3611:G7654,castles_state!A:A,castles_state!D:D,"見つかりません"))</f>
      </c>
      <c r="I3611" s="4"/>
      <c r="J3611" s="12" t="str">
        <f t="array" ref="J3611">IF(I3611:I7654="","",_xlfn.XLOOKUP(I3611:I7654,'参照_姫'!A:A,'参照_姫'!B:B,"見つかりません"))</f>
      </c>
      <c r="K3611" s="4">
        <v>95</v>
      </c>
      <c r="L3611" s="4">
        <v>0</v>
      </c>
      <c r="M3611" s="4"/>
      <c r="N3611" s="4"/>
      <c r="O3611" s="4"/>
      <c r="P3611" s="12" t="str">
        <f t="array" ref="P3611">IF(O3611:O7654="","",_xlfn.XLOOKUP(O3611:O7654,'参照_官位'!A:A,'参照_官位'!B:B,""))</f>
      </c>
      <c r="Q3611" s="12" t="str">
        <f t="array" ref="Q3611">IF(A3611:A7654="","",IFERROR(_xlfn.XLOOKUP(A3611:A7654,castles_state!K:K,castles_state!D:D)&amp;"主",IFERROR(_xlfn.XLOOKUP(A3611:A7654,kunishuClan!D:D,kunishuClan!B:B)&amp;"当主","")))</f>
      </c>
    </row>
    <row r="3612" ht="15.75" customHeight="1">
      <c r="A3612" s="4">
        <v>1301038</v>
      </c>
      <c r="B3612" s="12" t="str">
        <f t="array" ref="B3612">IF(A3612:A7655="","",_xlfn.XLOOKUP(A3612:A7655,'参照_武将'!A:A,'参照_武将'!B:B,"見つかりません"))</f>
      </c>
      <c r="C3612" s="4" t="s">
        <v>540</v>
      </c>
      <c r="D3612" s="4">
        <v>5</v>
      </c>
      <c r="E3612" s="12" t="str">
        <f t="array" ref="E3612">IF(D3612:D7655="","",IFERROR(_xlfn.XLOOKUP(D3612:D7655,'参照_勢力'!A:A,'参照_勢力'!B:B),IFERROR(_xlfn.XLOOKUP(F3612:F7655,kunishuClan!A:A,kunishuClan!B:B),"浪人")))</f>
      </c>
      <c r="F3612" s="4">
        <v>0</v>
      </c>
      <c r="G3612" s="4">
        <v>54</v>
      </c>
      <c r="H3612" s="12" t="str">
        <f t="array" ref="H3612">IF(G3612:G7655="","",_xlfn.XLOOKUP(G3612:G7655,castles_state!A:A,castles_state!D:D,"見つかりません"))</f>
      </c>
      <c r="I3612" s="4"/>
      <c r="J3612" s="12" t="str">
        <f t="array" ref="J3612">IF(I3612:I7655="","",_xlfn.XLOOKUP(I3612:I7655,'参照_姫'!A:A,'参照_姫'!B:B,"見つかりません"))</f>
      </c>
      <c r="K3612" s="4">
        <v>95</v>
      </c>
      <c r="L3612" s="4">
        <v>0</v>
      </c>
      <c r="M3612" s="4"/>
      <c r="N3612" s="4"/>
      <c r="O3612" s="4"/>
      <c r="P3612" s="12" t="str">
        <f t="array" ref="P3612">IF(O3612:O7655="","",_xlfn.XLOOKUP(O3612:O7655,'参照_官位'!A:A,'参照_官位'!B:B,""))</f>
      </c>
      <c r="Q3612" s="12" t="str">
        <f t="array" ref="Q3612">IF(A3612:A7655="","",IFERROR(_xlfn.XLOOKUP(A3612:A7655,castles_state!K:K,castles_state!D:D)&amp;"主",IFERROR(_xlfn.XLOOKUP(A3612:A7655,kunishuClan!D:D,kunishuClan!B:B)&amp;"当主","")))</f>
      </c>
    </row>
    <row r="3613" ht="15.75" customHeight="1">
      <c r="A3613" s="4">
        <v>1301039</v>
      </c>
      <c r="B3613" s="12" t="str">
        <f t="array" ref="B3613">IF(A3613:A7656="","",_xlfn.XLOOKUP(A3613:A7656,'参照_武将'!A:A,'参照_武将'!B:B,"見つかりません"))</f>
      </c>
      <c r="C3613" s="4" t="s">
        <v>540</v>
      </c>
      <c r="D3613" s="4">
        <v>5</v>
      </c>
      <c r="E3613" s="12" t="str">
        <f t="array" ref="E3613">IF(D3613:D7656="","",IFERROR(_xlfn.XLOOKUP(D3613:D7656,'参照_勢力'!A:A,'参照_勢力'!B:B),IFERROR(_xlfn.XLOOKUP(F3613:F7656,kunishuClan!A:A,kunishuClan!B:B),"浪人")))</f>
      </c>
      <c r="F3613" s="4">
        <v>0</v>
      </c>
      <c r="G3613" s="4">
        <v>54</v>
      </c>
      <c r="H3613" s="12" t="str">
        <f t="array" ref="H3613">IF(G3613:G7656="","",_xlfn.XLOOKUP(G3613:G7656,castles_state!A:A,castles_state!D:D,"見つかりません"))</f>
      </c>
      <c r="I3613" s="4"/>
      <c r="J3613" s="12" t="str">
        <f t="array" ref="J3613">IF(I3613:I7656="","",_xlfn.XLOOKUP(I3613:I7656,'参照_姫'!A:A,'参照_姫'!B:B,"見つかりません"))</f>
      </c>
      <c r="K3613" s="4">
        <v>95</v>
      </c>
      <c r="L3613" s="4">
        <v>0</v>
      </c>
      <c r="M3613" s="4"/>
      <c r="N3613" s="4"/>
      <c r="O3613" s="4"/>
      <c r="P3613" s="12" t="str">
        <f t="array" ref="P3613">IF(O3613:O7656="","",_xlfn.XLOOKUP(O3613:O7656,'参照_官位'!A:A,'参照_官位'!B:B,""))</f>
      </c>
      <c r="Q3613" s="12" t="str">
        <f t="array" ref="Q3613">IF(A3613:A7656="","",IFERROR(_xlfn.XLOOKUP(A3613:A7656,castles_state!K:K,castles_state!D:D)&amp;"主",IFERROR(_xlfn.XLOOKUP(A3613:A7656,kunishuClan!D:D,kunishuClan!B:B)&amp;"当主","")))</f>
      </c>
    </row>
    <row r="3614" ht="15.75" customHeight="1">
      <c r="A3614" s="4">
        <v>1301040</v>
      </c>
      <c r="B3614" s="12" t="str">
        <f t="array" ref="B3614">IF(A3614:A7657="","",_xlfn.XLOOKUP(A3614:A7657,'参照_武将'!A:A,'参照_武将'!B:B,"見つかりません"))</f>
      </c>
      <c r="C3614" s="4" t="s">
        <v>540</v>
      </c>
      <c r="D3614" s="4">
        <v>301</v>
      </c>
      <c r="E3614" s="12" t="str">
        <f t="array" ref="E3614">IF(D3614:D7657="","",IFERROR(_xlfn.XLOOKUP(D3614:D7657,'参照_勢力'!A:A,'参照_勢力'!B:B),IFERROR(_xlfn.XLOOKUP(F3614:F7657,kunishuClan!A:A,kunishuClan!B:B),"浪人")))</f>
      </c>
      <c r="F3614" s="4">
        <v>0</v>
      </c>
      <c r="G3614" s="4">
        <v>54</v>
      </c>
      <c r="H3614" s="12" t="str">
        <f t="array" ref="H3614">IF(G3614:G7657="","",_xlfn.XLOOKUP(G3614:G7657,castles_state!A:A,castles_state!D:D,"見つかりません"))</f>
      </c>
      <c r="I3614" s="4"/>
      <c r="J3614" s="12" t="str">
        <f t="array" ref="J3614">IF(I3614:I7657="","",_xlfn.XLOOKUP(I3614:I7657,'参照_姫'!A:A,'参照_姫'!B:B,"見つかりません"))</f>
      </c>
      <c r="K3614" s="4">
        <v>90</v>
      </c>
      <c r="L3614" s="4">
        <v>0</v>
      </c>
      <c r="M3614" s="4"/>
      <c r="N3614" s="4"/>
      <c r="O3614" s="4"/>
      <c r="P3614" s="12" t="str">
        <f t="array" ref="P3614">IF(O3614:O7657="","",_xlfn.XLOOKUP(O3614:O7657,'参照_官位'!A:A,'参照_官位'!B:B,""))</f>
      </c>
      <c r="Q3614" s="12" t="str">
        <f t="array" ref="Q3614">IF(A3614:A7657="","",IFERROR(_xlfn.XLOOKUP(A3614:A7657,castles_state!K:K,castles_state!D:D)&amp;"主",IFERROR(_xlfn.XLOOKUP(A3614:A7657,kunishuClan!D:D,kunishuClan!B:B)&amp;"当主","")))</f>
      </c>
    </row>
    <row r="3615" ht="15.75" customHeight="1">
      <c r="A3615" s="4">
        <v>1301041</v>
      </c>
      <c r="B3615" s="12" t="str">
        <f t="array" ref="B3615">IF(A3615:A7658="","",_xlfn.XLOOKUP(A3615:A7658,'参照_武将'!A:A,'参照_武将'!B:B,"見つかりません"))</f>
      </c>
      <c r="C3615" s="4" t="s">
        <v>540</v>
      </c>
      <c r="D3615" s="4">
        <v>301</v>
      </c>
      <c r="E3615" s="12" t="str">
        <f t="array" ref="E3615">IF(D3615:D7658="","",IFERROR(_xlfn.XLOOKUP(D3615:D7658,'参照_勢力'!A:A,'参照_勢力'!B:B),IFERROR(_xlfn.XLOOKUP(F3615:F7658,kunishuClan!A:A,kunishuClan!B:B),"浪人")))</f>
      </c>
      <c r="F3615" s="4">
        <v>0</v>
      </c>
      <c r="G3615" s="4">
        <v>54</v>
      </c>
      <c r="H3615" s="12" t="str">
        <f t="array" ref="H3615">IF(G3615:G7658="","",_xlfn.XLOOKUP(G3615:G7658,castles_state!A:A,castles_state!D:D,"見つかりません"))</f>
      </c>
      <c r="I3615" s="4"/>
      <c r="J3615" s="12" t="str">
        <f t="array" ref="J3615">IF(I3615:I7658="","",_xlfn.XLOOKUP(I3615:I7658,'参照_姫'!A:A,'参照_姫'!B:B,"見つかりません"))</f>
      </c>
      <c r="K3615" s="4">
        <v>90</v>
      </c>
      <c r="L3615" s="4">
        <v>0</v>
      </c>
      <c r="M3615" s="4"/>
      <c r="N3615" s="4"/>
      <c r="O3615" s="4"/>
      <c r="P3615" s="12" t="str">
        <f t="array" ref="P3615">IF(O3615:O7658="","",_xlfn.XLOOKUP(O3615:O7658,'参照_官位'!A:A,'参照_官位'!B:B,""))</f>
      </c>
      <c r="Q3615" s="12" t="str">
        <f t="array" ref="Q3615">IF(A3615:A7658="","",IFERROR(_xlfn.XLOOKUP(A3615:A7658,castles_state!K:K,castles_state!D:D)&amp;"主",IFERROR(_xlfn.XLOOKUP(A3615:A7658,kunishuClan!D:D,kunishuClan!B:B)&amp;"当主","")))</f>
      </c>
    </row>
    <row r="3616" ht="15.75" customHeight="1">
      <c r="A3616" s="4">
        <v>1301042</v>
      </c>
      <c r="B3616" s="12" t="str">
        <f t="array" ref="B3616">IF(A3616:A7659="","",_xlfn.XLOOKUP(A3616:A7659,'参照_武将'!A:A,'参照_武将'!B:B,"見つかりません"))</f>
      </c>
      <c r="C3616" s="4" t="s">
        <v>540</v>
      </c>
      <c r="D3616" s="4">
        <v>301</v>
      </c>
      <c r="E3616" s="12" t="str">
        <f t="array" ref="E3616">IF(D3616:D7659="","",IFERROR(_xlfn.XLOOKUP(D3616:D7659,'参照_勢力'!A:A,'参照_勢力'!B:B),IFERROR(_xlfn.XLOOKUP(F3616:F7659,kunishuClan!A:A,kunishuClan!B:B),"浪人")))</f>
      </c>
      <c r="F3616" s="4">
        <v>0</v>
      </c>
      <c r="G3616" s="4">
        <v>54</v>
      </c>
      <c r="H3616" s="12" t="str">
        <f t="array" ref="H3616">IF(G3616:G7659="","",_xlfn.XLOOKUP(G3616:G7659,castles_state!A:A,castles_state!D:D,"見つかりません"))</f>
      </c>
      <c r="I3616" s="4"/>
      <c r="J3616" s="12" t="str">
        <f t="array" ref="J3616">IF(I3616:I7659="","",_xlfn.XLOOKUP(I3616:I7659,'参照_姫'!A:A,'参照_姫'!B:B,"見つかりません"))</f>
      </c>
      <c r="K3616" s="4">
        <v>90</v>
      </c>
      <c r="L3616" s="4">
        <v>0</v>
      </c>
      <c r="M3616" s="4"/>
      <c r="N3616" s="4"/>
      <c r="O3616" s="4"/>
      <c r="P3616" s="12" t="str">
        <f t="array" ref="P3616">IF(O3616:O7659="","",_xlfn.XLOOKUP(O3616:O7659,'参照_官位'!A:A,'参照_官位'!B:B,""))</f>
      </c>
      <c r="Q3616" s="12" t="str">
        <f t="array" ref="Q3616">IF(A3616:A7659="","",IFERROR(_xlfn.XLOOKUP(A3616:A7659,castles_state!K:K,castles_state!D:D)&amp;"主",IFERROR(_xlfn.XLOOKUP(A3616:A7659,kunishuClan!D:D,kunishuClan!B:B)&amp;"当主","")))</f>
      </c>
    </row>
    <row r="3617" ht="15.75" customHeight="1">
      <c r="A3617" s="4">
        <v>1301043</v>
      </c>
      <c r="B3617" s="12" t="str">
        <f t="array" ref="B3617">IF(A3617:A7660="","",_xlfn.XLOOKUP(A3617:A7660,'参照_武将'!A:A,'参照_武将'!B:B,"見つかりません"))</f>
      </c>
      <c r="C3617" s="4" t="s">
        <v>540</v>
      </c>
      <c r="D3617" s="4">
        <v>301</v>
      </c>
      <c r="E3617" s="12" t="str">
        <f t="array" ref="E3617">IF(D3617:D7660="","",IFERROR(_xlfn.XLOOKUP(D3617:D7660,'参照_勢力'!A:A,'参照_勢力'!B:B),IFERROR(_xlfn.XLOOKUP(F3617:F7660,kunishuClan!A:A,kunishuClan!B:B),"浪人")))</f>
      </c>
      <c r="F3617" s="4">
        <v>0</v>
      </c>
      <c r="G3617" s="4">
        <v>45</v>
      </c>
      <c r="H3617" s="12" t="str">
        <f t="array" ref="H3617">IF(G3617:G7660="","",_xlfn.XLOOKUP(G3617:G7660,castles_state!A:A,castles_state!D:D,"見つかりません"))</f>
      </c>
      <c r="I3617" s="4"/>
      <c r="J3617" s="12" t="str">
        <f t="array" ref="J3617">IF(I3617:I7660="","",_xlfn.XLOOKUP(I3617:I7660,'参照_姫'!A:A,'参照_姫'!B:B,"見つかりません"))</f>
      </c>
      <c r="K3617" s="4">
        <v>95</v>
      </c>
      <c r="L3617" s="4">
        <v>0</v>
      </c>
      <c r="M3617" s="4"/>
      <c r="N3617" s="4"/>
      <c r="O3617" s="4"/>
      <c r="P3617" s="12" t="str">
        <f t="array" ref="P3617">IF(O3617:O7660="","",_xlfn.XLOOKUP(O3617:O7660,'参照_官位'!A:A,'参照_官位'!B:B,""))</f>
      </c>
      <c r="Q3617" s="12" t="str">
        <f t="array" ref="Q3617">IF(A3617:A7660="","",IFERROR(_xlfn.XLOOKUP(A3617:A7660,castles_state!K:K,castles_state!D:D)&amp;"主",IFERROR(_xlfn.XLOOKUP(A3617:A7660,kunishuClan!D:D,kunishuClan!B:B)&amp;"当主","")))</f>
      </c>
    </row>
    <row r="3618" ht="15.75" customHeight="1">
      <c r="A3618" s="4">
        <v>1301044</v>
      </c>
      <c r="B3618" s="12" t="str">
        <f t="array" ref="B3618">IF(A3618:A7661="","",_xlfn.XLOOKUP(A3618:A7661,'参照_武将'!A:A,'参照_武将'!B:B,"見つかりません"))</f>
      </c>
      <c r="C3618" s="4" t="s">
        <v>540</v>
      </c>
      <c r="D3618" s="4">
        <v>5</v>
      </c>
      <c r="E3618" s="12" t="str">
        <f t="array" ref="E3618">IF(D3618:D7661="","",IFERROR(_xlfn.XLOOKUP(D3618:D7661,'参照_勢力'!A:A,'参照_勢力'!B:B),IFERROR(_xlfn.XLOOKUP(F3618:F7661,kunishuClan!A:A,kunishuClan!B:B),"浪人")))</f>
      </c>
      <c r="F3618" s="4">
        <v>0</v>
      </c>
      <c r="G3618" s="4">
        <v>45</v>
      </c>
      <c r="H3618" s="12" t="str">
        <f t="array" ref="H3618">IF(G3618:G7661="","",_xlfn.XLOOKUP(G3618:G7661,castles_state!A:A,castles_state!D:D,"見つかりません"))</f>
      </c>
      <c r="I3618" s="4"/>
      <c r="J3618" s="12" t="str">
        <f t="array" ref="J3618">IF(I3618:I7661="","",_xlfn.XLOOKUP(I3618:I7661,'参照_姫'!A:A,'参照_姫'!B:B,"見つかりません"))</f>
      </c>
      <c r="K3618" s="4">
        <v>95</v>
      </c>
      <c r="L3618" s="4">
        <v>0</v>
      </c>
      <c r="M3618" s="4"/>
      <c r="N3618" s="4"/>
      <c r="O3618" s="4"/>
      <c r="P3618" s="12" t="str">
        <f t="array" ref="P3618">IF(O3618:O7661="","",_xlfn.XLOOKUP(O3618:O7661,'参照_官位'!A:A,'参照_官位'!B:B,""))</f>
      </c>
      <c r="Q3618" s="12" t="str">
        <f t="array" ref="Q3618">IF(A3618:A7661="","",IFERROR(_xlfn.XLOOKUP(A3618:A7661,castles_state!K:K,castles_state!D:D)&amp;"主",IFERROR(_xlfn.XLOOKUP(A3618:A7661,kunishuClan!D:D,kunishuClan!B:B)&amp;"当主","")))</f>
      </c>
    </row>
    <row r="3619" ht="15.75" customHeight="1">
      <c r="A3619" s="4">
        <v>1301045</v>
      </c>
      <c r="B3619" s="12" t="str">
        <f t="array" ref="B3619">IF(A3619:A7662="","",_xlfn.XLOOKUP(A3619:A7662,'参照_武将'!A:A,'参照_武将'!B:B,"見つかりません"))</f>
      </c>
      <c r="C3619" s="4" t="s">
        <v>540</v>
      </c>
      <c r="D3619" s="4">
        <v>301</v>
      </c>
      <c r="E3619" s="12" t="str">
        <f t="array" ref="E3619">IF(D3619:D7662="","",IFERROR(_xlfn.XLOOKUP(D3619:D7662,'参照_勢力'!A:A,'参照_勢力'!B:B),IFERROR(_xlfn.XLOOKUP(F3619:F7662,kunishuClan!A:A,kunishuClan!B:B),"浪人")))</f>
      </c>
      <c r="F3619" s="4">
        <v>0</v>
      </c>
      <c r="G3619" s="4">
        <v>45</v>
      </c>
      <c r="H3619" s="12" t="str">
        <f t="array" ref="H3619">IF(G3619:G7662="","",_xlfn.XLOOKUP(G3619:G7662,castles_state!A:A,castles_state!D:D,"見つかりません"))</f>
      </c>
      <c r="I3619" s="4"/>
      <c r="J3619" s="12" t="str">
        <f t="array" ref="J3619">IF(I3619:I7662="","",_xlfn.XLOOKUP(I3619:I7662,'参照_姫'!A:A,'参照_姫'!B:B,"見つかりません"))</f>
      </c>
      <c r="K3619" s="4">
        <v>95</v>
      </c>
      <c r="L3619" s="4">
        <v>300</v>
      </c>
      <c r="M3619" s="4"/>
      <c r="N3619" s="4"/>
      <c r="O3619" s="4"/>
      <c r="P3619" s="12" t="str">
        <f t="array" ref="P3619">IF(O3619:O7662="","",_xlfn.XLOOKUP(O3619:O7662,'参照_官位'!A:A,'参照_官位'!B:B,""))</f>
      </c>
      <c r="Q3619" s="12" t="str">
        <f t="array" ref="Q3619">IF(A3619:A7662="","",IFERROR(_xlfn.XLOOKUP(A3619:A7662,castles_state!K:K,castles_state!D:D)&amp;"主",IFERROR(_xlfn.XLOOKUP(A3619:A7662,kunishuClan!D:D,kunishuClan!B:B)&amp;"当主","")))</f>
      </c>
    </row>
    <row r="3620" ht="15.75" customHeight="1">
      <c r="A3620" s="4">
        <v>1301046</v>
      </c>
      <c r="B3620" s="12" t="str">
        <f t="array" ref="B3620">IF(A3620:A7663="","",_xlfn.XLOOKUP(A3620:A7663,'参照_武将'!A:A,'参照_武将'!B:B,"見つかりません"))</f>
      </c>
      <c r="C3620" s="4" t="s">
        <v>540</v>
      </c>
      <c r="D3620" s="4">
        <v>301</v>
      </c>
      <c r="E3620" s="12" t="str">
        <f t="array" ref="E3620">IF(D3620:D7663="","",IFERROR(_xlfn.XLOOKUP(D3620:D7663,'参照_勢力'!A:A,'参照_勢力'!B:B),IFERROR(_xlfn.XLOOKUP(F3620:F7663,kunishuClan!A:A,kunishuClan!B:B),"浪人")))</f>
      </c>
      <c r="F3620" s="4">
        <v>0</v>
      </c>
      <c r="G3620" s="4">
        <v>45</v>
      </c>
      <c r="H3620" s="12" t="str">
        <f t="array" ref="H3620">IF(G3620:G7663="","",_xlfn.XLOOKUP(G3620:G7663,castles_state!A:A,castles_state!D:D,"見つかりません"))</f>
      </c>
      <c r="I3620" s="4"/>
      <c r="J3620" s="12" t="str">
        <f t="array" ref="J3620">IF(I3620:I7663="","",_xlfn.XLOOKUP(I3620:I7663,'参照_姫'!A:A,'参照_姫'!B:B,"見つかりません"))</f>
      </c>
      <c r="K3620" s="4">
        <v>90</v>
      </c>
      <c r="L3620" s="4">
        <v>0</v>
      </c>
      <c r="M3620" s="4"/>
      <c r="N3620" s="4"/>
      <c r="O3620" s="4"/>
      <c r="P3620" s="12" t="str">
        <f t="array" ref="P3620">IF(O3620:O7663="","",_xlfn.XLOOKUP(O3620:O7663,'参照_官位'!A:A,'参照_官位'!B:B,""))</f>
      </c>
      <c r="Q3620" s="12" t="str">
        <f t="array" ref="Q3620">IF(A3620:A7663="","",IFERROR(_xlfn.XLOOKUP(A3620:A7663,castles_state!K:K,castles_state!D:D)&amp;"主",IFERROR(_xlfn.XLOOKUP(A3620:A7663,kunishuClan!D:D,kunishuClan!B:B)&amp;"当主","")))</f>
      </c>
    </row>
    <row r="3621" ht="15.75" customHeight="1">
      <c r="A3621" s="4">
        <v>1301047</v>
      </c>
      <c r="B3621" s="12" t="str">
        <f t="array" ref="B3621">IF(A3621:A7664="","",_xlfn.XLOOKUP(A3621:A7664,'参照_武将'!A:A,'参照_武将'!B:B,"見つかりません"))</f>
      </c>
      <c r="C3621" s="4" t="s">
        <v>540</v>
      </c>
      <c r="D3621" s="4">
        <v>301</v>
      </c>
      <c r="E3621" s="12" t="str">
        <f t="array" ref="E3621">IF(D3621:D7664="","",IFERROR(_xlfn.XLOOKUP(D3621:D7664,'参照_勢力'!A:A,'参照_勢力'!B:B),IFERROR(_xlfn.XLOOKUP(F3621:F7664,kunishuClan!A:A,kunishuClan!B:B),"浪人")))</f>
      </c>
      <c r="F3621" s="4">
        <v>0</v>
      </c>
      <c r="G3621" s="4">
        <v>45</v>
      </c>
      <c r="H3621" s="12" t="str">
        <f t="array" ref="H3621">IF(G3621:G7664="","",_xlfn.XLOOKUP(G3621:G7664,castles_state!A:A,castles_state!D:D,"見つかりません"))</f>
      </c>
      <c r="I3621" s="4"/>
      <c r="J3621" s="12" t="str">
        <f t="array" ref="J3621">IF(I3621:I7664="","",_xlfn.XLOOKUP(I3621:I7664,'参照_姫'!A:A,'参照_姫'!B:B,"見つかりません"))</f>
      </c>
      <c r="K3621" s="4">
        <v>90</v>
      </c>
      <c r="L3621" s="4">
        <v>0</v>
      </c>
      <c r="M3621" s="4"/>
      <c r="N3621" s="4"/>
      <c r="O3621" s="4"/>
      <c r="P3621" s="12" t="str">
        <f t="array" ref="P3621">IF(O3621:O7664="","",_xlfn.XLOOKUP(O3621:O7664,'参照_官位'!A:A,'参照_官位'!B:B,""))</f>
      </c>
      <c r="Q3621" s="12" t="str">
        <f t="array" ref="Q3621">IF(A3621:A7664="","",IFERROR(_xlfn.XLOOKUP(A3621:A7664,castles_state!K:K,castles_state!D:D)&amp;"主",IFERROR(_xlfn.XLOOKUP(A3621:A7664,kunishuClan!D:D,kunishuClan!B:B)&amp;"当主","")))</f>
      </c>
    </row>
    <row r="3622" ht="15.75" customHeight="1">
      <c r="A3622" s="4">
        <v>1301048</v>
      </c>
      <c r="B3622" s="12" t="str">
        <f t="array" ref="B3622">IF(A3622:A7665="","",_xlfn.XLOOKUP(A3622:A7665,'参照_武将'!A:A,'参照_武将'!B:B,"見つかりません"))</f>
      </c>
      <c r="C3622" s="4" t="s">
        <v>540</v>
      </c>
      <c r="D3622" s="4">
        <v>301</v>
      </c>
      <c r="E3622" s="12" t="str">
        <f t="array" ref="E3622">IF(D3622:D7665="","",IFERROR(_xlfn.XLOOKUP(D3622:D7665,'参照_勢力'!A:A,'参照_勢力'!B:B),IFERROR(_xlfn.XLOOKUP(F3622:F7665,kunishuClan!A:A,kunishuClan!B:B),"浪人")))</f>
      </c>
      <c r="F3622" s="4">
        <v>0</v>
      </c>
      <c r="G3622" s="4">
        <v>45</v>
      </c>
      <c r="H3622" s="12" t="str">
        <f t="array" ref="H3622">IF(G3622:G7665="","",_xlfn.XLOOKUP(G3622:G7665,castles_state!A:A,castles_state!D:D,"見つかりません"))</f>
      </c>
      <c r="I3622" s="4"/>
      <c r="J3622" s="12" t="str">
        <f t="array" ref="J3622">IF(I3622:I7665="","",_xlfn.XLOOKUP(I3622:I7665,'参照_姫'!A:A,'参照_姫'!B:B,"見つかりません"))</f>
      </c>
      <c r="K3622" s="4">
        <v>95</v>
      </c>
      <c r="L3622" s="4">
        <v>0</v>
      </c>
      <c r="M3622" s="4"/>
      <c r="N3622" s="4"/>
      <c r="O3622" s="4"/>
      <c r="P3622" s="12" t="str">
        <f t="array" ref="P3622">IF(O3622:O7665="","",_xlfn.XLOOKUP(O3622:O7665,'参照_官位'!A:A,'参照_官位'!B:B,""))</f>
      </c>
      <c r="Q3622" s="12" t="str">
        <f t="array" ref="Q3622">IF(A3622:A7665="","",IFERROR(_xlfn.XLOOKUP(A3622:A7665,castles_state!K:K,castles_state!D:D)&amp;"主",IFERROR(_xlfn.XLOOKUP(A3622:A7665,kunishuClan!D:D,kunishuClan!B:B)&amp;"当主","")))</f>
      </c>
    </row>
    <row r="3623" ht="15.75" customHeight="1">
      <c r="A3623" s="4">
        <v>1301049</v>
      </c>
      <c r="B3623" s="12" t="str">
        <f t="array" ref="B3623">IF(A3623:A7666="","",_xlfn.XLOOKUP(A3623:A7666,'参照_武将'!A:A,'参照_武将'!B:B,"見つかりません"))</f>
      </c>
      <c r="C3623" s="4" t="s">
        <v>540</v>
      </c>
      <c r="D3623" s="4">
        <v>301</v>
      </c>
      <c r="E3623" s="12" t="str">
        <f t="array" ref="E3623">IF(D3623:D7666="","",IFERROR(_xlfn.XLOOKUP(D3623:D7666,'参照_勢力'!A:A,'参照_勢力'!B:B),IFERROR(_xlfn.XLOOKUP(F3623:F7666,kunishuClan!A:A,kunishuClan!B:B),"浪人")))</f>
      </c>
      <c r="F3623" s="4">
        <v>0</v>
      </c>
      <c r="G3623" s="4">
        <v>26</v>
      </c>
      <c r="H3623" s="12" t="str">
        <f t="array" ref="H3623">IF(G3623:G7666="","",_xlfn.XLOOKUP(G3623:G7666,castles_state!A:A,castles_state!D:D,"見つかりません"))</f>
      </c>
      <c r="I3623" s="4"/>
      <c r="J3623" s="12" t="str">
        <f t="array" ref="J3623">IF(I3623:I7666="","",_xlfn.XLOOKUP(I3623:I7666,'参照_姫'!A:A,'参照_姫'!B:B,"見つかりません"))</f>
      </c>
      <c r="K3623" s="4">
        <v>90</v>
      </c>
      <c r="L3623" s="4">
        <v>0</v>
      </c>
      <c r="M3623" s="4"/>
      <c r="N3623" s="4"/>
      <c r="O3623" s="4"/>
      <c r="P3623" s="12" t="str">
        <f t="array" ref="P3623">IF(O3623:O7666="","",_xlfn.XLOOKUP(O3623:O7666,'参照_官位'!A:A,'参照_官位'!B:B,""))</f>
      </c>
      <c r="Q3623" s="12" t="str">
        <f t="array" ref="Q3623">IF(A3623:A7666="","",IFERROR(_xlfn.XLOOKUP(A3623:A7666,castles_state!K:K,castles_state!D:D)&amp;"主",IFERROR(_xlfn.XLOOKUP(A3623:A7666,kunishuClan!D:D,kunishuClan!B:B)&amp;"当主","")))</f>
      </c>
    </row>
    <row r="3624" ht="15.75" customHeight="1">
      <c r="A3624" s="4">
        <v>1301050</v>
      </c>
      <c r="B3624" s="12" t="str">
        <f t="array" ref="B3624">IF(A3624:A7667="","",_xlfn.XLOOKUP(A3624:A7667,'参照_武将'!A:A,'参照_武将'!B:B,"見つかりません"))</f>
      </c>
      <c r="C3624" s="4" t="s">
        <v>540</v>
      </c>
      <c r="D3624" s="4">
        <v>301</v>
      </c>
      <c r="E3624" s="12" t="str">
        <f t="array" ref="E3624">IF(D3624:D7667="","",IFERROR(_xlfn.XLOOKUP(D3624:D7667,'参照_勢力'!A:A,'参照_勢力'!B:B),IFERROR(_xlfn.XLOOKUP(F3624:F7667,kunishuClan!A:A,kunishuClan!B:B),"浪人")))</f>
      </c>
      <c r="F3624" s="4">
        <v>0</v>
      </c>
      <c r="G3624" s="4">
        <v>48</v>
      </c>
      <c r="H3624" s="12" t="str">
        <f t="array" ref="H3624">IF(G3624:G7667="","",_xlfn.XLOOKUP(G3624:G7667,castles_state!A:A,castles_state!D:D,"見つかりません"))</f>
      </c>
      <c r="I3624" s="4"/>
      <c r="J3624" s="12" t="str">
        <f t="array" ref="J3624">IF(I3624:I7667="","",_xlfn.XLOOKUP(I3624:I7667,'参照_姫'!A:A,'参照_姫'!B:B,"見つかりません"))</f>
      </c>
      <c r="K3624" s="4">
        <v>95</v>
      </c>
      <c r="L3624" s="4">
        <v>0</v>
      </c>
      <c r="M3624" s="4"/>
      <c r="N3624" s="4"/>
      <c r="O3624" s="4"/>
      <c r="P3624" s="12" t="str">
        <f t="array" ref="P3624">IF(O3624:O7667="","",_xlfn.XLOOKUP(O3624:O7667,'参照_官位'!A:A,'参照_官位'!B:B,""))</f>
      </c>
      <c r="Q3624" s="12" t="str">
        <f t="array" ref="Q3624">IF(A3624:A7667="","",IFERROR(_xlfn.XLOOKUP(A3624:A7667,castles_state!K:K,castles_state!D:D)&amp;"主",IFERROR(_xlfn.XLOOKUP(A3624:A7667,kunishuClan!D:D,kunishuClan!B:B)&amp;"当主","")))</f>
      </c>
    </row>
    <row r="3625" ht="15.75" customHeight="1">
      <c r="A3625" s="4">
        <v>1301051</v>
      </c>
      <c r="B3625" s="12" t="str">
        <f t="array" ref="B3625">IF(A3625:A7668="","",_xlfn.XLOOKUP(A3625:A7668,'参照_武将'!A:A,'参照_武将'!B:B,"見つかりません"))</f>
      </c>
      <c r="C3625" s="4" t="s">
        <v>540</v>
      </c>
      <c r="D3625" s="4">
        <v>301</v>
      </c>
      <c r="E3625" s="12" t="str">
        <f t="array" ref="E3625">IF(D3625:D7668="","",IFERROR(_xlfn.XLOOKUP(D3625:D7668,'参照_勢力'!A:A,'参照_勢力'!B:B),IFERROR(_xlfn.XLOOKUP(F3625:F7668,kunishuClan!A:A,kunishuClan!B:B),"浪人")))</f>
      </c>
      <c r="F3625" s="4">
        <v>0</v>
      </c>
      <c r="G3625" s="4">
        <v>48</v>
      </c>
      <c r="H3625" s="12" t="str">
        <f t="array" ref="H3625">IF(G3625:G7668="","",_xlfn.XLOOKUP(G3625:G7668,castles_state!A:A,castles_state!D:D,"見つかりません"))</f>
      </c>
      <c r="I3625" s="4"/>
      <c r="J3625" s="12" t="str">
        <f t="array" ref="J3625">IF(I3625:I7668="","",_xlfn.XLOOKUP(I3625:I7668,'参照_姫'!A:A,'参照_姫'!B:B,"見つかりません"))</f>
      </c>
      <c r="K3625" s="4">
        <v>90</v>
      </c>
      <c r="L3625" s="4">
        <v>0</v>
      </c>
      <c r="M3625" s="4"/>
      <c r="N3625" s="4"/>
      <c r="O3625" s="4"/>
      <c r="P3625" s="12" t="str">
        <f t="array" ref="P3625">IF(O3625:O7668="","",_xlfn.XLOOKUP(O3625:O7668,'参照_官位'!A:A,'参照_官位'!B:B,""))</f>
      </c>
      <c r="Q3625" s="12" t="str">
        <f t="array" ref="Q3625">IF(A3625:A7668="","",IFERROR(_xlfn.XLOOKUP(A3625:A7668,castles_state!K:K,castles_state!D:D)&amp;"主",IFERROR(_xlfn.XLOOKUP(A3625:A7668,kunishuClan!D:D,kunishuClan!B:B)&amp;"当主","")))</f>
      </c>
    </row>
    <row r="3626" ht="15.75" customHeight="1">
      <c r="A3626" s="4">
        <v>1301052</v>
      </c>
      <c r="B3626" s="12" t="str">
        <f t="array" ref="B3626">IF(A3626:A7669="","",_xlfn.XLOOKUP(A3626:A7669,'参照_武将'!A:A,'参照_武将'!B:B,"見つかりません"))</f>
      </c>
      <c r="C3626" s="4" t="s">
        <v>540</v>
      </c>
      <c r="D3626" s="4">
        <v>301</v>
      </c>
      <c r="E3626" s="12" t="str">
        <f t="array" ref="E3626">IF(D3626:D7669="","",IFERROR(_xlfn.XLOOKUP(D3626:D7669,'参照_勢力'!A:A,'参照_勢力'!B:B),IFERROR(_xlfn.XLOOKUP(F3626:F7669,kunishuClan!A:A,kunishuClan!B:B),"浪人")))</f>
      </c>
      <c r="F3626" s="4">
        <v>0</v>
      </c>
      <c r="G3626" s="4">
        <v>48</v>
      </c>
      <c r="H3626" s="12" t="str">
        <f t="array" ref="H3626">IF(G3626:G7669="","",_xlfn.XLOOKUP(G3626:G7669,castles_state!A:A,castles_state!D:D,"見つかりません"))</f>
      </c>
      <c r="I3626" s="4"/>
      <c r="J3626" s="12" t="str">
        <f t="array" ref="J3626">IF(I3626:I7669="","",_xlfn.XLOOKUP(I3626:I7669,'参照_姫'!A:A,'参照_姫'!B:B,"見つかりません"))</f>
      </c>
      <c r="K3626" s="4">
        <v>90</v>
      </c>
      <c r="L3626" s="4">
        <v>0</v>
      </c>
      <c r="M3626" s="4"/>
      <c r="N3626" s="4"/>
      <c r="O3626" s="4"/>
      <c r="P3626" s="12" t="str">
        <f t="array" ref="P3626">IF(O3626:O7669="","",_xlfn.XLOOKUP(O3626:O7669,'参照_官位'!A:A,'参照_官位'!B:B,""))</f>
      </c>
      <c r="Q3626" s="12" t="str">
        <f t="array" ref="Q3626">IF(A3626:A7669="","",IFERROR(_xlfn.XLOOKUP(A3626:A7669,castles_state!K:K,castles_state!D:D)&amp;"主",IFERROR(_xlfn.XLOOKUP(A3626:A7669,kunishuClan!D:D,kunishuClan!B:B)&amp;"当主","")))</f>
      </c>
    </row>
    <row r="3627" ht="15.75" customHeight="1">
      <c r="A3627" s="4">
        <v>1301053</v>
      </c>
      <c r="B3627" s="12" t="str">
        <f t="array" ref="B3627">IF(A3627:A7670="","",_xlfn.XLOOKUP(A3627:A7670,'参照_武将'!A:A,'参照_武将'!B:B,"見つかりません"))</f>
      </c>
      <c r="C3627" s="4" t="s">
        <v>540</v>
      </c>
      <c r="D3627" s="4">
        <v>301</v>
      </c>
      <c r="E3627" s="12" t="str">
        <f t="array" ref="E3627">IF(D3627:D7670="","",IFERROR(_xlfn.XLOOKUP(D3627:D7670,'参照_勢力'!A:A,'参照_勢力'!B:B),IFERROR(_xlfn.XLOOKUP(F3627:F7670,kunishuClan!A:A,kunishuClan!B:B),"浪人")))</f>
      </c>
      <c r="F3627" s="4">
        <v>0</v>
      </c>
      <c r="G3627" s="4">
        <v>48</v>
      </c>
      <c r="H3627" s="12" t="str">
        <f t="array" ref="H3627">IF(G3627:G7670="","",_xlfn.XLOOKUP(G3627:G7670,castles_state!A:A,castles_state!D:D,"見つかりません"))</f>
      </c>
      <c r="I3627" s="4"/>
      <c r="J3627" s="12" t="str">
        <f t="array" ref="J3627">IF(I3627:I7670="","",_xlfn.XLOOKUP(I3627:I7670,'参照_姫'!A:A,'参照_姫'!B:B,"見つかりません"))</f>
      </c>
      <c r="K3627" s="4">
        <v>90</v>
      </c>
      <c r="L3627" s="4">
        <v>0</v>
      </c>
      <c r="M3627" s="4"/>
      <c r="N3627" s="4"/>
      <c r="O3627" s="4"/>
      <c r="P3627" s="12" t="str">
        <f t="array" ref="P3627">IF(O3627:O7670="","",_xlfn.XLOOKUP(O3627:O7670,'参照_官位'!A:A,'参照_官位'!B:B,""))</f>
      </c>
      <c r="Q3627" s="12" t="str">
        <f t="array" ref="Q3627">IF(A3627:A7670="","",IFERROR(_xlfn.XLOOKUP(A3627:A7670,castles_state!K:K,castles_state!D:D)&amp;"主",IFERROR(_xlfn.XLOOKUP(A3627:A7670,kunishuClan!D:D,kunishuClan!B:B)&amp;"当主","")))</f>
      </c>
    </row>
    <row r="3628" ht="15.75" customHeight="1">
      <c r="A3628" s="4">
        <v>1301054</v>
      </c>
      <c r="B3628" s="12" t="str">
        <f t="array" ref="B3628">IF(A3628:A7671="","",_xlfn.XLOOKUP(A3628:A7671,'参照_武将'!A:A,'参照_武将'!B:B,"見つかりません"))</f>
      </c>
      <c r="C3628" s="4" t="s">
        <v>540</v>
      </c>
      <c r="D3628" s="4">
        <v>5</v>
      </c>
      <c r="E3628" s="12" t="str">
        <f t="array" ref="E3628">IF(D3628:D7671="","",IFERROR(_xlfn.XLOOKUP(D3628:D7671,'参照_勢力'!A:A,'参照_勢力'!B:B),IFERROR(_xlfn.XLOOKUP(F3628:F7671,kunishuClan!A:A,kunishuClan!B:B),"浪人")))</f>
      </c>
      <c r="F3628" s="4">
        <v>0</v>
      </c>
      <c r="G3628" s="4">
        <v>45</v>
      </c>
      <c r="H3628" s="12" t="str">
        <f t="array" ref="H3628">IF(G3628:G7671="","",_xlfn.XLOOKUP(G3628:G7671,castles_state!A:A,castles_state!D:D,"見つかりません"))</f>
      </c>
      <c r="I3628" s="4"/>
      <c r="J3628" s="12" t="str">
        <f t="array" ref="J3628">IF(I3628:I7671="","",_xlfn.XLOOKUP(I3628:I7671,'参照_姫'!A:A,'参照_姫'!B:B,"見つかりません"))</f>
      </c>
      <c r="K3628" s="4">
        <v>90</v>
      </c>
      <c r="L3628" s="4">
        <v>0</v>
      </c>
      <c r="M3628" s="4"/>
      <c r="N3628" s="4"/>
      <c r="O3628" s="4"/>
      <c r="P3628" s="12" t="str">
        <f t="array" ref="P3628">IF(O3628:O7671="","",_xlfn.XLOOKUP(O3628:O7671,'参照_官位'!A:A,'参照_官位'!B:B,""))</f>
      </c>
      <c r="Q3628" s="12" t="str">
        <f t="array" ref="Q3628">IF(A3628:A7671="","",IFERROR(_xlfn.XLOOKUP(A3628:A7671,castles_state!K:K,castles_state!D:D)&amp;"主",IFERROR(_xlfn.XLOOKUP(A3628:A7671,kunishuClan!D:D,kunishuClan!B:B)&amp;"当主","")))</f>
      </c>
    </row>
    <row r="3629" ht="15.75" customHeight="1">
      <c r="A3629" s="4">
        <v>1301055</v>
      </c>
      <c r="B3629" s="12" t="str">
        <f t="array" ref="B3629">IF(A3629:A7672="","",_xlfn.XLOOKUP(A3629:A7672,'参照_武将'!A:A,'参照_武将'!B:B,"見つかりません"))</f>
      </c>
      <c r="C3629" s="4" t="s">
        <v>540</v>
      </c>
      <c r="D3629" s="4">
        <v>301</v>
      </c>
      <c r="E3629" s="12" t="str">
        <f t="array" ref="E3629">IF(D3629:D7672="","",IFERROR(_xlfn.XLOOKUP(D3629:D7672,'参照_勢力'!A:A,'参照_勢力'!B:B),IFERROR(_xlfn.XLOOKUP(F3629:F7672,kunishuClan!A:A,kunishuClan!B:B),"浪人")))</f>
      </c>
      <c r="F3629" s="4">
        <v>0</v>
      </c>
      <c r="G3629" s="4">
        <v>45</v>
      </c>
      <c r="H3629" s="12" t="str">
        <f t="array" ref="H3629">IF(G3629:G7672="","",_xlfn.XLOOKUP(G3629:G7672,castles_state!A:A,castles_state!D:D,"見つかりません"))</f>
      </c>
      <c r="I3629" s="4"/>
      <c r="J3629" s="12" t="str">
        <f t="array" ref="J3629">IF(I3629:I7672="","",_xlfn.XLOOKUP(I3629:I7672,'参照_姫'!A:A,'参照_姫'!B:B,"見つかりません"))</f>
      </c>
      <c r="K3629" s="4">
        <v>95</v>
      </c>
      <c r="L3629" s="4">
        <v>0</v>
      </c>
      <c r="M3629" s="4"/>
      <c r="N3629" s="4"/>
      <c r="O3629" s="4"/>
      <c r="P3629" s="12" t="str">
        <f t="array" ref="P3629">IF(O3629:O7672="","",_xlfn.XLOOKUP(O3629:O7672,'参照_官位'!A:A,'参照_官位'!B:B,""))</f>
      </c>
      <c r="Q3629" s="12" t="str">
        <f t="array" ref="Q3629">IF(A3629:A7672="","",IFERROR(_xlfn.XLOOKUP(A3629:A7672,castles_state!K:K,castles_state!D:D)&amp;"主",IFERROR(_xlfn.XLOOKUP(A3629:A7672,kunishuClan!D:D,kunishuClan!B:B)&amp;"当主","")))</f>
      </c>
    </row>
    <row r="3630" ht="15.75" customHeight="1">
      <c r="A3630" s="4">
        <v>1301056</v>
      </c>
      <c r="B3630" s="12" t="str">
        <f t="array" ref="B3630">IF(A3630:A7673="","",_xlfn.XLOOKUP(A3630:A7673,'参照_武将'!A:A,'参照_武将'!B:B,"見つかりません"))</f>
      </c>
      <c r="C3630" s="4" t="s">
        <v>540</v>
      </c>
      <c r="D3630" s="4">
        <v>301</v>
      </c>
      <c r="E3630" s="12" t="str">
        <f t="array" ref="E3630">IF(D3630:D7673="","",IFERROR(_xlfn.XLOOKUP(D3630:D7673,'参照_勢力'!A:A,'参照_勢力'!B:B),IFERROR(_xlfn.XLOOKUP(F3630:F7673,kunishuClan!A:A,kunishuClan!B:B),"浪人")))</f>
      </c>
      <c r="F3630" s="4">
        <v>0</v>
      </c>
      <c r="G3630" s="4">
        <v>45</v>
      </c>
      <c r="H3630" s="12" t="str">
        <f t="array" ref="H3630">IF(G3630:G7673="","",_xlfn.XLOOKUP(G3630:G7673,castles_state!A:A,castles_state!D:D,"見つかりません"))</f>
      </c>
      <c r="I3630" s="4"/>
      <c r="J3630" s="12" t="str">
        <f t="array" ref="J3630">IF(I3630:I7673="","",_xlfn.XLOOKUP(I3630:I7673,'参照_姫'!A:A,'参照_姫'!B:B,"見つかりません"))</f>
      </c>
      <c r="K3630" s="4">
        <v>95</v>
      </c>
      <c r="L3630" s="4">
        <v>0</v>
      </c>
      <c r="M3630" s="4"/>
      <c r="N3630" s="4"/>
      <c r="O3630" s="4"/>
      <c r="P3630" s="12" t="str">
        <f t="array" ref="P3630">IF(O3630:O7673="","",_xlfn.XLOOKUP(O3630:O7673,'参照_官位'!A:A,'参照_官位'!B:B,""))</f>
      </c>
      <c r="Q3630" s="12" t="str">
        <f t="array" ref="Q3630">IF(A3630:A7673="","",IFERROR(_xlfn.XLOOKUP(A3630:A7673,castles_state!K:K,castles_state!D:D)&amp;"主",IFERROR(_xlfn.XLOOKUP(A3630:A7673,kunishuClan!D:D,kunishuClan!B:B)&amp;"当主","")))</f>
      </c>
    </row>
    <row r="3631" ht="15.75" customHeight="1">
      <c r="A3631" s="4">
        <v>1301057</v>
      </c>
      <c r="B3631" s="12" t="str">
        <f t="array" ref="B3631">IF(A3631:A7674="","",_xlfn.XLOOKUP(A3631:A7674,'参照_武将'!A:A,'参照_武将'!B:B,"見つかりません"))</f>
      </c>
      <c r="C3631" s="4" t="s">
        <v>540</v>
      </c>
      <c r="D3631" s="4">
        <v>301</v>
      </c>
      <c r="E3631" s="12" t="str">
        <f t="array" ref="E3631">IF(D3631:D7674="","",IFERROR(_xlfn.XLOOKUP(D3631:D7674,'参照_勢力'!A:A,'参照_勢力'!B:B),IFERROR(_xlfn.XLOOKUP(F3631:F7674,kunishuClan!A:A,kunishuClan!B:B),"浪人")))</f>
      </c>
      <c r="F3631" s="4">
        <v>0</v>
      </c>
      <c r="G3631" s="4">
        <v>45</v>
      </c>
      <c r="H3631" s="12" t="str">
        <f t="array" ref="H3631">IF(G3631:G7674="","",_xlfn.XLOOKUP(G3631:G7674,castles_state!A:A,castles_state!D:D,"見つかりません"))</f>
      </c>
      <c r="I3631" s="4"/>
      <c r="J3631" s="12" t="str">
        <f t="array" ref="J3631">IF(I3631:I7674="","",_xlfn.XLOOKUP(I3631:I7674,'参照_姫'!A:A,'参照_姫'!B:B,"見つかりません"))</f>
      </c>
      <c r="K3631" s="4">
        <v>95</v>
      </c>
      <c r="L3631" s="4">
        <v>0</v>
      </c>
      <c r="M3631" s="4"/>
      <c r="N3631" s="4"/>
      <c r="O3631" s="4"/>
      <c r="P3631" s="12" t="str">
        <f t="array" ref="P3631">IF(O3631:O7674="","",_xlfn.XLOOKUP(O3631:O7674,'参照_官位'!A:A,'参照_官位'!B:B,""))</f>
      </c>
      <c r="Q3631" s="12" t="str">
        <f t="array" ref="Q3631">IF(A3631:A7674="","",IFERROR(_xlfn.XLOOKUP(A3631:A7674,castles_state!K:K,castles_state!D:D)&amp;"主",IFERROR(_xlfn.XLOOKUP(A3631:A7674,kunishuClan!D:D,kunishuClan!B:B)&amp;"当主","")))</f>
      </c>
    </row>
    <row r="3632" ht="15.75" customHeight="1">
      <c r="A3632" s="4">
        <v>1301058</v>
      </c>
      <c r="B3632" s="12" t="str">
        <f t="array" ref="B3632">IF(A3632:A7675="","",_xlfn.XLOOKUP(A3632:A7675,'参照_武将'!A:A,'参照_武将'!B:B,"見つかりません"))</f>
      </c>
      <c r="C3632" s="4" t="s">
        <v>540</v>
      </c>
      <c r="D3632" s="4">
        <v>301</v>
      </c>
      <c r="E3632" s="12" t="str">
        <f t="array" ref="E3632">IF(D3632:D7675="","",IFERROR(_xlfn.XLOOKUP(D3632:D7675,'参照_勢力'!A:A,'参照_勢力'!B:B),IFERROR(_xlfn.XLOOKUP(F3632:F7675,kunishuClan!A:A,kunishuClan!B:B),"浪人")))</f>
      </c>
      <c r="F3632" s="4">
        <v>0</v>
      </c>
      <c r="G3632" s="4">
        <v>45</v>
      </c>
      <c r="H3632" s="12" t="str">
        <f t="array" ref="H3632">IF(G3632:G7675="","",_xlfn.XLOOKUP(G3632:G7675,castles_state!A:A,castles_state!D:D,"見つかりません"))</f>
      </c>
      <c r="I3632" s="4"/>
      <c r="J3632" s="12" t="str">
        <f t="array" ref="J3632">IF(I3632:I7675="","",_xlfn.XLOOKUP(I3632:I7675,'参照_姫'!A:A,'参照_姫'!B:B,"見つかりません"))</f>
      </c>
      <c r="K3632" s="4">
        <v>90</v>
      </c>
      <c r="L3632" s="4">
        <v>0</v>
      </c>
      <c r="M3632" s="4"/>
      <c r="N3632" s="4"/>
      <c r="O3632" s="4"/>
      <c r="P3632" s="12" t="str">
        <f t="array" ref="P3632">IF(O3632:O7675="","",_xlfn.XLOOKUP(O3632:O7675,'参照_官位'!A:A,'参照_官位'!B:B,""))</f>
      </c>
      <c r="Q3632" s="12" t="str">
        <f t="array" ref="Q3632">IF(A3632:A7675="","",IFERROR(_xlfn.XLOOKUP(A3632:A7675,castles_state!K:K,castles_state!D:D)&amp;"主",IFERROR(_xlfn.XLOOKUP(A3632:A7675,kunishuClan!D:D,kunishuClan!B:B)&amp;"当主","")))</f>
      </c>
    </row>
    <row r="3633" ht="15.75" customHeight="1">
      <c r="A3633" s="4">
        <v>1301059</v>
      </c>
      <c r="B3633" s="12" t="str">
        <f t="array" ref="B3633">IF(A3633:A7676="","",_xlfn.XLOOKUP(A3633:A7676,'参照_武将'!A:A,'参照_武将'!B:B,"見つかりません"))</f>
      </c>
      <c r="C3633" s="4" t="s">
        <v>540</v>
      </c>
      <c r="D3633" s="4">
        <v>301</v>
      </c>
      <c r="E3633" s="12" t="str">
        <f t="array" ref="E3633">IF(D3633:D7676="","",IFERROR(_xlfn.XLOOKUP(D3633:D7676,'参照_勢力'!A:A,'参照_勢力'!B:B),IFERROR(_xlfn.XLOOKUP(F3633:F7676,kunishuClan!A:A,kunishuClan!B:B),"浪人")))</f>
      </c>
      <c r="F3633" s="4">
        <v>0</v>
      </c>
      <c r="G3633" s="4">
        <v>45</v>
      </c>
      <c r="H3633" s="12" t="str">
        <f t="array" ref="H3633">IF(G3633:G7676="","",_xlfn.XLOOKUP(G3633:G7676,castles_state!A:A,castles_state!D:D,"見つかりません"))</f>
      </c>
      <c r="I3633" s="4"/>
      <c r="J3633" s="12" t="str">
        <f t="array" ref="J3633">IF(I3633:I7676="","",_xlfn.XLOOKUP(I3633:I7676,'参照_姫'!A:A,'参照_姫'!B:B,"見つかりません"))</f>
      </c>
      <c r="K3633" s="4">
        <v>90</v>
      </c>
      <c r="L3633" s="4">
        <v>0</v>
      </c>
      <c r="M3633" s="4"/>
      <c r="N3633" s="4"/>
      <c r="O3633" s="4"/>
      <c r="P3633" s="12" t="str">
        <f t="array" ref="P3633">IF(O3633:O7676="","",_xlfn.XLOOKUP(O3633:O7676,'参照_官位'!A:A,'参照_官位'!B:B,""))</f>
      </c>
      <c r="Q3633" s="12" t="str">
        <f t="array" ref="Q3633">IF(A3633:A7676="","",IFERROR(_xlfn.XLOOKUP(A3633:A7676,castles_state!K:K,castles_state!D:D)&amp;"主",IFERROR(_xlfn.XLOOKUP(A3633:A7676,kunishuClan!D:D,kunishuClan!B:B)&amp;"当主","")))</f>
      </c>
    </row>
    <row r="3634" ht="15.75" customHeight="1">
      <c r="A3634" s="4">
        <v>1301060</v>
      </c>
      <c r="B3634" s="12" t="str">
        <f t="array" ref="B3634">IF(A3634:A7677="","",_xlfn.XLOOKUP(A3634:A7677,'参照_武将'!A:A,'参照_武将'!B:B,"見つかりません"))</f>
      </c>
      <c r="C3634" s="4" t="s">
        <v>540</v>
      </c>
      <c r="D3634" s="4">
        <v>301</v>
      </c>
      <c r="E3634" s="12" t="str">
        <f t="array" ref="E3634">IF(D3634:D7677="","",IFERROR(_xlfn.XLOOKUP(D3634:D7677,'参照_勢力'!A:A,'参照_勢力'!B:B),IFERROR(_xlfn.XLOOKUP(F3634:F7677,kunishuClan!A:A,kunishuClan!B:B),"浪人")))</f>
      </c>
      <c r="F3634" s="4">
        <v>0</v>
      </c>
      <c r="G3634" s="4">
        <v>45</v>
      </c>
      <c r="H3634" s="12" t="str">
        <f t="array" ref="H3634">IF(G3634:G7677="","",_xlfn.XLOOKUP(G3634:G7677,castles_state!A:A,castles_state!D:D,"見つかりません"))</f>
      </c>
      <c r="I3634" s="4"/>
      <c r="J3634" s="12" t="str">
        <f t="array" ref="J3634">IF(I3634:I7677="","",_xlfn.XLOOKUP(I3634:I7677,'参照_姫'!A:A,'参照_姫'!B:B,"見つかりません"))</f>
      </c>
      <c r="K3634" s="4">
        <v>95</v>
      </c>
      <c r="L3634" s="4">
        <v>0</v>
      </c>
      <c r="M3634" s="4"/>
      <c r="N3634" s="4"/>
      <c r="O3634" s="4"/>
      <c r="P3634" s="12" t="str">
        <f t="array" ref="P3634">IF(O3634:O7677="","",_xlfn.XLOOKUP(O3634:O7677,'参照_官位'!A:A,'参照_官位'!B:B,""))</f>
      </c>
      <c r="Q3634" s="12" t="str">
        <f t="array" ref="Q3634">IF(A3634:A7677="","",IFERROR(_xlfn.XLOOKUP(A3634:A7677,castles_state!K:K,castles_state!D:D)&amp;"主",IFERROR(_xlfn.XLOOKUP(A3634:A7677,kunishuClan!D:D,kunishuClan!B:B)&amp;"当主","")))</f>
      </c>
    </row>
    <row r="3635" ht="15.75" customHeight="1">
      <c r="A3635" s="4">
        <v>1301061</v>
      </c>
      <c r="B3635" s="12" t="str">
        <f t="array" ref="B3635">IF(A3635:A7678="","",_xlfn.XLOOKUP(A3635:A7678,'参照_武将'!A:A,'参照_武将'!B:B,"見つかりません"))</f>
      </c>
      <c r="C3635" s="4" t="s">
        <v>540</v>
      </c>
      <c r="D3635" s="4">
        <v>301</v>
      </c>
      <c r="E3635" s="12" t="str">
        <f t="array" ref="E3635">IF(D3635:D7678="","",IFERROR(_xlfn.XLOOKUP(D3635:D7678,'参照_勢力'!A:A,'参照_勢力'!B:B),IFERROR(_xlfn.XLOOKUP(F3635:F7678,kunishuClan!A:A,kunishuClan!B:B),"浪人")))</f>
      </c>
      <c r="F3635" s="4">
        <v>0</v>
      </c>
      <c r="G3635" s="4">
        <v>48</v>
      </c>
      <c r="H3635" s="12" t="str">
        <f t="array" ref="H3635">IF(G3635:G7678="","",_xlfn.XLOOKUP(G3635:G7678,castles_state!A:A,castles_state!D:D,"見つかりません"))</f>
      </c>
      <c r="I3635" s="4"/>
      <c r="J3635" s="12" t="str">
        <f t="array" ref="J3635">IF(I3635:I7678="","",_xlfn.XLOOKUP(I3635:I7678,'参照_姫'!A:A,'参照_姫'!B:B,"見つかりません"))</f>
      </c>
      <c r="K3635" s="4">
        <v>90</v>
      </c>
      <c r="L3635" s="4">
        <v>0</v>
      </c>
      <c r="M3635" s="4"/>
      <c r="N3635" s="4"/>
      <c r="O3635" s="4"/>
      <c r="P3635" s="12" t="str">
        <f t="array" ref="P3635">IF(O3635:O7678="","",_xlfn.XLOOKUP(O3635:O7678,'参照_官位'!A:A,'参照_官位'!B:B,""))</f>
      </c>
      <c r="Q3635" s="12" t="str">
        <f t="array" ref="Q3635">IF(A3635:A7678="","",IFERROR(_xlfn.XLOOKUP(A3635:A7678,castles_state!K:K,castles_state!D:D)&amp;"主",IFERROR(_xlfn.XLOOKUP(A3635:A7678,kunishuClan!D:D,kunishuClan!B:B)&amp;"当主","")))</f>
      </c>
    </row>
    <row r="3636" ht="15.75" customHeight="1">
      <c r="A3636" s="4">
        <v>1301062</v>
      </c>
      <c r="B3636" s="12" t="str">
        <f t="array" ref="B3636">IF(A3636:A7679="","",_xlfn.XLOOKUP(A3636:A7679,'参照_武将'!A:A,'参照_武将'!B:B,"見つかりません"))</f>
      </c>
      <c r="C3636" s="4" t="s">
        <v>540</v>
      </c>
      <c r="D3636" s="4">
        <v>301</v>
      </c>
      <c r="E3636" s="12" t="str">
        <f t="array" ref="E3636">IF(D3636:D7679="","",IFERROR(_xlfn.XLOOKUP(D3636:D7679,'参照_勢力'!A:A,'参照_勢力'!B:B),IFERROR(_xlfn.XLOOKUP(F3636:F7679,kunishuClan!A:A,kunishuClan!B:B),"浪人")))</f>
      </c>
      <c r="F3636" s="4">
        <v>0</v>
      </c>
      <c r="G3636" s="4">
        <v>12</v>
      </c>
      <c r="H3636" s="12" t="str">
        <f t="array" ref="H3636">IF(G3636:G7679="","",_xlfn.XLOOKUP(G3636:G7679,castles_state!A:A,castles_state!D:D,"見つかりません"))</f>
      </c>
      <c r="I3636" s="4"/>
      <c r="J3636" s="12" t="str">
        <f t="array" ref="J3636">IF(I3636:I7679="","",_xlfn.XLOOKUP(I3636:I7679,'参照_姫'!A:A,'参照_姫'!B:B,"見つかりません"))</f>
      </c>
      <c r="K3636" s="4">
        <v>95</v>
      </c>
      <c r="L3636" s="4">
        <v>0</v>
      </c>
      <c r="M3636" s="4"/>
      <c r="N3636" s="4"/>
      <c r="O3636" s="4"/>
      <c r="P3636" s="12" t="str">
        <f t="array" ref="P3636">IF(O3636:O7679="","",_xlfn.XLOOKUP(O3636:O7679,'参照_官位'!A:A,'参照_官位'!B:B,""))</f>
      </c>
      <c r="Q3636" s="12" t="str">
        <f t="array" ref="Q3636">IF(A3636:A7679="","",IFERROR(_xlfn.XLOOKUP(A3636:A7679,castles_state!K:K,castles_state!D:D)&amp;"主",IFERROR(_xlfn.XLOOKUP(A3636:A7679,kunishuClan!D:D,kunishuClan!B:B)&amp;"当主","")))</f>
      </c>
    </row>
    <row r="3637" ht="15.75" customHeight="1">
      <c r="A3637" s="4">
        <v>1301063</v>
      </c>
      <c r="B3637" s="12" t="str">
        <f t="array" ref="B3637">IF(A3637:A7680="","",_xlfn.XLOOKUP(A3637:A7680,'参照_武将'!A:A,'参照_武将'!B:B,"見つかりません"))</f>
      </c>
      <c r="C3637" s="4" t="s">
        <v>540</v>
      </c>
      <c r="D3637" s="4">
        <v>301</v>
      </c>
      <c r="E3637" s="12" t="str">
        <f t="array" ref="E3637">IF(D3637:D7680="","",IFERROR(_xlfn.XLOOKUP(D3637:D7680,'参照_勢力'!A:A,'参照_勢力'!B:B),IFERROR(_xlfn.XLOOKUP(F3637:F7680,kunishuClan!A:A,kunishuClan!B:B),"浪人")))</f>
      </c>
      <c r="F3637" s="4">
        <v>0</v>
      </c>
      <c r="G3637" s="4">
        <v>71</v>
      </c>
      <c r="H3637" s="12" t="str">
        <f t="array" ref="H3637">IF(G3637:G7680="","",_xlfn.XLOOKUP(G3637:G7680,castles_state!A:A,castles_state!D:D,"見つかりません"))</f>
      </c>
      <c r="I3637" s="4"/>
      <c r="J3637" s="12" t="str">
        <f t="array" ref="J3637">IF(I3637:I7680="","",_xlfn.XLOOKUP(I3637:I7680,'参照_姫'!A:A,'参照_姫'!B:B,"見つかりません"))</f>
      </c>
      <c r="K3637" s="4">
        <v>95</v>
      </c>
      <c r="L3637" s="4">
        <v>0</v>
      </c>
      <c r="M3637" s="4"/>
      <c r="N3637" s="4"/>
      <c r="O3637" s="4"/>
      <c r="P3637" s="12" t="str">
        <f t="array" ref="P3637">IF(O3637:O7680="","",_xlfn.XLOOKUP(O3637:O7680,'参照_官位'!A:A,'参照_官位'!B:B,""))</f>
      </c>
      <c r="Q3637" s="12" t="str">
        <f t="array" ref="Q3637">IF(A3637:A7680="","",IFERROR(_xlfn.XLOOKUP(A3637:A7680,castles_state!K:K,castles_state!D:D)&amp;"主",IFERROR(_xlfn.XLOOKUP(A3637:A7680,kunishuClan!D:D,kunishuClan!B:B)&amp;"当主","")))</f>
      </c>
    </row>
    <row r="3638" ht="15.75" customHeight="1">
      <c r="A3638" s="4">
        <v>1301064</v>
      </c>
      <c r="B3638" s="12" t="str">
        <f t="array" ref="B3638">IF(A3638:A7681="","",_xlfn.XLOOKUP(A3638:A7681,'参照_武将'!A:A,'参照_武将'!B:B,"見つかりません"))</f>
      </c>
      <c r="C3638" s="4" t="s">
        <v>540</v>
      </c>
      <c r="D3638" s="4">
        <v>301</v>
      </c>
      <c r="E3638" s="12" t="str">
        <f t="array" ref="E3638">IF(D3638:D7681="","",IFERROR(_xlfn.XLOOKUP(D3638:D7681,'参照_勢力'!A:A,'参照_勢力'!B:B),IFERROR(_xlfn.XLOOKUP(F3638:F7681,kunishuClan!A:A,kunishuClan!B:B),"浪人")))</f>
      </c>
      <c r="F3638" s="4">
        <v>0</v>
      </c>
      <c r="G3638" s="4">
        <v>100</v>
      </c>
      <c r="H3638" s="12" t="str">
        <f t="array" ref="H3638">IF(G3638:G7681="","",_xlfn.XLOOKUP(G3638:G7681,castles_state!A:A,castles_state!D:D,"見つかりません"))</f>
      </c>
      <c r="I3638" s="4"/>
      <c r="J3638" s="12" t="str">
        <f t="array" ref="J3638">IF(I3638:I7681="","",_xlfn.XLOOKUP(I3638:I7681,'参照_姫'!A:A,'参照_姫'!B:B,"見つかりません"))</f>
      </c>
      <c r="K3638" s="4">
        <v>95</v>
      </c>
      <c r="L3638" s="4">
        <v>0</v>
      </c>
      <c r="M3638" s="4"/>
      <c r="N3638" s="4"/>
      <c r="O3638" s="4"/>
      <c r="P3638" s="12" t="str">
        <f t="array" ref="P3638">IF(O3638:O7681="","",_xlfn.XLOOKUP(O3638:O7681,'参照_官位'!A:A,'参照_官位'!B:B,""))</f>
      </c>
      <c r="Q3638" s="12" t="str">
        <f t="array" ref="Q3638">IF(A3638:A7681="","",IFERROR(_xlfn.XLOOKUP(A3638:A7681,castles_state!K:K,castles_state!D:D)&amp;"主",IFERROR(_xlfn.XLOOKUP(A3638:A7681,kunishuClan!D:D,kunishuClan!B:B)&amp;"当主","")))</f>
      </c>
    </row>
    <row r="3639" ht="15.75" customHeight="1">
      <c r="A3639" s="4">
        <v>1301065</v>
      </c>
      <c r="B3639" s="12" t="str">
        <f t="array" ref="B3639">IF(A3639:A7682="","",_xlfn.XLOOKUP(A3639:A7682,'参照_武将'!A:A,'参照_武将'!B:B,"見つかりません"))</f>
      </c>
      <c r="C3639" s="4" t="s">
        <v>540</v>
      </c>
      <c r="D3639" s="4">
        <v>301</v>
      </c>
      <c r="E3639" s="12" t="str">
        <f t="array" ref="E3639">IF(D3639:D7682="","",IFERROR(_xlfn.XLOOKUP(D3639:D7682,'参照_勢力'!A:A,'参照_勢力'!B:B),IFERROR(_xlfn.XLOOKUP(F3639:F7682,kunishuClan!A:A,kunishuClan!B:B),"浪人")))</f>
      </c>
      <c r="F3639" s="4">
        <v>0</v>
      </c>
      <c r="G3639" s="4">
        <v>100</v>
      </c>
      <c r="H3639" s="12" t="str">
        <f t="array" ref="H3639">IF(G3639:G7682="","",_xlfn.XLOOKUP(G3639:G7682,castles_state!A:A,castles_state!D:D,"見つかりません"))</f>
      </c>
      <c r="I3639" s="4"/>
      <c r="J3639" s="12" t="str">
        <f t="array" ref="J3639">IF(I3639:I7682="","",_xlfn.XLOOKUP(I3639:I7682,'参照_姫'!A:A,'参照_姫'!B:B,"見つかりません"))</f>
      </c>
      <c r="K3639" s="4">
        <v>95</v>
      </c>
      <c r="L3639" s="4">
        <v>0</v>
      </c>
      <c r="M3639" s="4"/>
      <c r="N3639" s="4"/>
      <c r="O3639" s="4"/>
      <c r="P3639" s="12" t="str">
        <f t="array" ref="P3639">IF(O3639:O7682="","",_xlfn.XLOOKUP(O3639:O7682,'参照_官位'!A:A,'参照_官位'!B:B,""))</f>
      </c>
      <c r="Q3639" s="12" t="str">
        <f t="array" ref="Q3639">IF(A3639:A7682="","",IFERROR(_xlfn.XLOOKUP(A3639:A7682,castles_state!K:K,castles_state!D:D)&amp;"主",IFERROR(_xlfn.XLOOKUP(A3639:A7682,kunishuClan!D:D,kunishuClan!B:B)&amp;"当主","")))</f>
      </c>
    </row>
    <row r="3640" ht="15.75" customHeight="1">
      <c r="A3640" s="4">
        <v>1301066</v>
      </c>
      <c r="B3640" s="12" t="str">
        <f t="array" ref="B3640">IF(A3640:A7683="","",_xlfn.XLOOKUP(A3640:A7683,'参照_武将'!A:A,'参照_武将'!B:B,"見つかりません"))</f>
      </c>
      <c r="C3640" s="4" t="s">
        <v>540</v>
      </c>
      <c r="D3640" s="4">
        <v>301</v>
      </c>
      <c r="E3640" s="12" t="str">
        <f t="array" ref="E3640">IF(D3640:D7683="","",IFERROR(_xlfn.XLOOKUP(D3640:D7683,'参照_勢力'!A:A,'参照_勢力'!B:B),IFERROR(_xlfn.XLOOKUP(F3640:F7683,kunishuClan!A:A,kunishuClan!B:B),"浪人")))</f>
      </c>
      <c r="F3640" s="4">
        <v>0</v>
      </c>
      <c r="G3640" s="4">
        <v>100</v>
      </c>
      <c r="H3640" s="12" t="str">
        <f t="array" ref="H3640">IF(G3640:G7683="","",_xlfn.XLOOKUP(G3640:G7683,castles_state!A:A,castles_state!D:D,"見つかりません"))</f>
      </c>
      <c r="I3640" s="4"/>
      <c r="J3640" s="12" t="str">
        <f t="array" ref="J3640">IF(I3640:I7683="","",_xlfn.XLOOKUP(I3640:I7683,'参照_姫'!A:A,'参照_姫'!B:B,"見つかりません"))</f>
      </c>
      <c r="K3640" s="4">
        <v>90</v>
      </c>
      <c r="L3640" s="4">
        <v>0</v>
      </c>
      <c r="M3640" s="4"/>
      <c r="N3640" s="4"/>
      <c r="O3640" s="4"/>
      <c r="P3640" s="12" t="str">
        <f t="array" ref="P3640">IF(O3640:O7683="","",_xlfn.XLOOKUP(O3640:O7683,'参照_官位'!A:A,'参照_官位'!B:B,""))</f>
      </c>
      <c r="Q3640" s="12" t="str">
        <f t="array" ref="Q3640">IF(A3640:A7683="","",IFERROR(_xlfn.XLOOKUP(A3640:A7683,castles_state!K:K,castles_state!D:D)&amp;"主",IFERROR(_xlfn.XLOOKUP(A3640:A7683,kunishuClan!D:D,kunishuClan!B:B)&amp;"当主","")))</f>
      </c>
    </row>
    <row r="3641" ht="15.75" customHeight="1">
      <c r="A3641" s="4">
        <v>1301067</v>
      </c>
      <c r="B3641" s="12" t="str">
        <f t="array" ref="B3641">IF(A3641:A7684="","",_xlfn.XLOOKUP(A3641:A7684,'参照_武将'!A:A,'参照_武将'!B:B,"見つかりません"))</f>
      </c>
      <c r="C3641" s="4" t="s">
        <v>540</v>
      </c>
      <c r="D3641" s="4">
        <v>301</v>
      </c>
      <c r="E3641" s="12" t="str">
        <f t="array" ref="E3641">IF(D3641:D7684="","",IFERROR(_xlfn.XLOOKUP(D3641:D7684,'参照_勢力'!A:A,'参照_勢力'!B:B),IFERROR(_xlfn.XLOOKUP(F3641:F7684,kunishuClan!A:A,kunishuClan!B:B),"浪人")))</f>
      </c>
      <c r="F3641" s="4">
        <v>0</v>
      </c>
      <c r="G3641" s="4">
        <v>100</v>
      </c>
      <c r="H3641" s="12" t="str">
        <f t="array" ref="H3641">IF(G3641:G7684="","",_xlfn.XLOOKUP(G3641:G7684,castles_state!A:A,castles_state!D:D,"見つかりません"))</f>
      </c>
      <c r="I3641" s="4"/>
      <c r="J3641" s="12" t="str">
        <f t="array" ref="J3641">IF(I3641:I7684="","",_xlfn.XLOOKUP(I3641:I7684,'参照_姫'!A:A,'参照_姫'!B:B,"見つかりません"))</f>
      </c>
      <c r="K3641" s="4">
        <v>90</v>
      </c>
      <c r="L3641" s="4">
        <v>0</v>
      </c>
      <c r="M3641" s="4"/>
      <c r="N3641" s="4"/>
      <c r="O3641" s="4"/>
      <c r="P3641" s="12" t="str">
        <f t="array" ref="P3641">IF(O3641:O7684="","",_xlfn.XLOOKUP(O3641:O7684,'参照_官位'!A:A,'参照_官位'!B:B,""))</f>
      </c>
      <c r="Q3641" s="12" t="str">
        <f t="array" ref="Q3641">IF(A3641:A7684="","",IFERROR(_xlfn.XLOOKUP(A3641:A7684,castles_state!K:K,castles_state!D:D)&amp;"主",IFERROR(_xlfn.XLOOKUP(A3641:A7684,kunishuClan!D:D,kunishuClan!B:B)&amp;"当主","")))</f>
      </c>
    </row>
    <row r="3642" ht="15.75" customHeight="1">
      <c r="A3642" s="4">
        <v>1301068</v>
      </c>
      <c r="B3642" s="12" t="str">
        <f t="array" ref="B3642">IF(A3642:A7685="","",_xlfn.XLOOKUP(A3642:A7685,'参照_武将'!A:A,'参照_武将'!B:B,"見つかりません"))</f>
      </c>
      <c r="C3642" s="4" t="s">
        <v>540</v>
      </c>
      <c r="D3642" s="4">
        <v>301</v>
      </c>
      <c r="E3642" s="12" t="str">
        <f t="array" ref="E3642">IF(D3642:D7685="","",IFERROR(_xlfn.XLOOKUP(D3642:D7685,'参照_勢力'!A:A,'参照_勢力'!B:B),IFERROR(_xlfn.XLOOKUP(F3642:F7685,kunishuClan!A:A,kunishuClan!B:B),"浪人")))</f>
      </c>
      <c r="F3642" s="4">
        <v>0</v>
      </c>
      <c r="G3642" s="4">
        <v>100</v>
      </c>
      <c r="H3642" s="12" t="str">
        <f t="array" ref="H3642">IF(G3642:G7685="","",_xlfn.XLOOKUP(G3642:G7685,castles_state!A:A,castles_state!D:D,"見つかりません"))</f>
      </c>
      <c r="I3642" s="4"/>
      <c r="J3642" s="12" t="str">
        <f t="array" ref="J3642">IF(I3642:I7685="","",_xlfn.XLOOKUP(I3642:I7685,'参照_姫'!A:A,'参照_姫'!B:B,"見つかりません"))</f>
      </c>
      <c r="K3642" s="4">
        <v>90</v>
      </c>
      <c r="L3642" s="4">
        <v>0</v>
      </c>
      <c r="M3642" s="4"/>
      <c r="N3642" s="4"/>
      <c r="O3642" s="4"/>
      <c r="P3642" s="12" t="str">
        <f t="array" ref="P3642">IF(O3642:O7685="","",_xlfn.XLOOKUP(O3642:O7685,'参照_官位'!A:A,'参照_官位'!B:B,""))</f>
      </c>
      <c r="Q3642" s="12" t="str">
        <f t="array" ref="Q3642">IF(A3642:A7685="","",IFERROR(_xlfn.XLOOKUP(A3642:A7685,castles_state!K:K,castles_state!D:D)&amp;"主",IFERROR(_xlfn.XLOOKUP(A3642:A7685,kunishuClan!D:D,kunishuClan!B:B)&amp;"当主","")))</f>
      </c>
    </row>
    <row r="3643" ht="15.75" customHeight="1">
      <c r="A3643" s="4">
        <v>1301069</v>
      </c>
      <c r="B3643" s="12" t="str">
        <f t="array" ref="B3643">IF(A3643:A7686="","",_xlfn.XLOOKUP(A3643:A7686,'参照_武将'!A:A,'参照_武将'!B:B,"見つかりません"))</f>
      </c>
      <c r="C3643" s="4" t="s">
        <v>540</v>
      </c>
      <c r="D3643" s="4">
        <v>301</v>
      </c>
      <c r="E3643" s="12" t="str">
        <f t="array" ref="E3643">IF(D3643:D7686="","",IFERROR(_xlfn.XLOOKUP(D3643:D7686,'参照_勢力'!A:A,'参照_勢力'!B:B),IFERROR(_xlfn.XLOOKUP(F3643:F7686,kunishuClan!A:A,kunishuClan!B:B),"浪人")))</f>
      </c>
      <c r="F3643" s="4">
        <v>0</v>
      </c>
      <c r="G3643" s="4">
        <v>100</v>
      </c>
      <c r="H3643" s="12" t="str">
        <f t="array" ref="H3643">IF(G3643:G7686="","",_xlfn.XLOOKUP(G3643:G7686,castles_state!A:A,castles_state!D:D,"見つかりません"))</f>
      </c>
      <c r="I3643" s="4"/>
      <c r="J3643" s="12" t="str">
        <f t="array" ref="J3643">IF(I3643:I7686="","",_xlfn.XLOOKUP(I3643:I7686,'参照_姫'!A:A,'参照_姫'!B:B,"見つかりません"))</f>
      </c>
      <c r="K3643" s="4">
        <v>90</v>
      </c>
      <c r="L3643" s="4">
        <v>0</v>
      </c>
      <c r="M3643" s="4"/>
      <c r="N3643" s="4"/>
      <c r="O3643" s="4"/>
      <c r="P3643" s="12" t="str">
        <f t="array" ref="P3643">IF(O3643:O7686="","",_xlfn.XLOOKUP(O3643:O7686,'参照_官位'!A:A,'参照_官位'!B:B,""))</f>
      </c>
      <c r="Q3643" s="12" t="str">
        <f t="array" ref="Q3643">IF(A3643:A7686="","",IFERROR(_xlfn.XLOOKUP(A3643:A7686,castles_state!K:K,castles_state!D:D)&amp;"主",IFERROR(_xlfn.XLOOKUP(A3643:A7686,kunishuClan!D:D,kunishuClan!B:B)&amp;"当主","")))</f>
      </c>
    </row>
    <row r="3644" ht="15.75" customHeight="1">
      <c r="A3644" s="4">
        <v>1301070</v>
      </c>
      <c r="B3644" s="12" t="str">
        <f t="array" ref="B3644">IF(A3644:A7687="","",_xlfn.XLOOKUP(A3644:A7687,'参照_武将'!A:A,'参照_武将'!B:B,"見つかりません"))</f>
      </c>
      <c r="C3644" s="4" t="s">
        <v>540</v>
      </c>
      <c r="D3644" s="4">
        <v>301</v>
      </c>
      <c r="E3644" s="12" t="str">
        <f t="array" ref="E3644">IF(D3644:D7687="","",IFERROR(_xlfn.XLOOKUP(D3644:D7687,'参照_勢力'!A:A,'参照_勢力'!B:B),IFERROR(_xlfn.XLOOKUP(F3644:F7687,kunishuClan!A:A,kunishuClan!B:B),"浪人")))</f>
      </c>
      <c r="F3644" s="4">
        <v>0</v>
      </c>
      <c r="G3644" s="4">
        <v>100</v>
      </c>
      <c r="H3644" s="12" t="str">
        <f t="array" ref="H3644">IF(G3644:G7687="","",_xlfn.XLOOKUP(G3644:G7687,castles_state!A:A,castles_state!D:D,"見つかりません"))</f>
      </c>
      <c r="I3644" s="4"/>
      <c r="J3644" s="12" t="str">
        <f t="array" ref="J3644">IF(I3644:I7687="","",_xlfn.XLOOKUP(I3644:I7687,'参照_姫'!A:A,'参照_姫'!B:B,"見つかりません"))</f>
      </c>
      <c r="K3644" s="4">
        <v>90</v>
      </c>
      <c r="L3644" s="4">
        <v>0</v>
      </c>
      <c r="M3644" s="4"/>
      <c r="N3644" s="4"/>
      <c r="O3644" s="4"/>
      <c r="P3644" s="12" t="str">
        <f t="array" ref="P3644">IF(O3644:O7687="","",_xlfn.XLOOKUP(O3644:O7687,'参照_官位'!A:A,'参照_官位'!B:B,""))</f>
      </c>
      <c r="Q3644" s="12" t="str">
        <f t="array" ref="Q3644">IF(A3644:A7687="","",IFERROR(_xlfn.XLOOKUP(A3644:A7687,castles_state!K:K,castles_state!D:D)&amp;"主",IFERROR(_xlfn.XLOOKUP(A3644:A7687,kunishuClan!D:D,kunishuClan!B:B)&amp;"当主","")))</f>
      </c>
    </row>
    <row r="3645" ht="15.75" customHeight="1">
      <c r="A3645" s="4">
        <v>1301071</v>
      </c>
      <c r="B3645" s="12" t="str">
        <f t="array" ref="B3645">IF(A3645:A7688="","",_xlfn.XLOOKUP(A3645:A7688,'参照_武将'!A:A,'参照_武将'!B:B,"見つかりません"))</f>
      </c>
      <c r="C3645" s="4" t="s">
        <v>540</v>
      </c>
      <c r="D3645" s="4">
        <v>301</v>
      </c>
      <c r="E3645" s="12" t="str">
        <f t="array" ref="E3645">IF(D3645:D7688="","",IFERROR(_xlfn.XLOOKUP(D3645:D7688,'参照_勢力'!A:A,'参照_勢力'!B:B),IFERROR(_xlfn.XLOOKUP(F3645:F7688,kunishuClan!A:A,kunishuClan!B:B),"浪人")))</f>
      </c>
      <c r="F3645" s="4">
        <v>0</v>
      </c>
      <c r="G3645" s="4">
        <v>71</v>
      </c>
      <c r="H3645" s="12" t="str">
        <f t="array" ref="H3645">IF(G3645:G7688="","",_xlfn.XLOOKUP(G3645:G7688,castles_state!A:A,castles_state!D:D,"見つかりません"))</f>
      </c>
      <c r="I3645" s="4"/>
      <c r="J3645" s="12" t="str">
        <f t="array" ref="J3645">IF(I3645:I7688="","",_xlfn.XLOOKUP(I3645:I7688,'参照_姫'!A:A,'参照_姫'!B:B,"見つかりません"))</f>
      </c>
      <c r="K3645" s="4">
        <v>90</v>
      </c>
      <c r="L3645" s="4">
        <v>0</v>
      </c>
      <c r="M3645" s="4"/>
      <c r="N3645" s="4"/>
      <c r="O3645" s="4"/>
      <c r="P3645" s="12" t="str">
        <f t="array" ref="P3645">IF(O3645:O7688="","",_xlfn.XLOOKUP(O3645:O7688,'参照_官位'!A:A,'参照_官位'!B:B,""))</f>
      </c>
      <c r="Q3645" s="12" t="str">
        <f t="array" ref="Q3645">IF(A3645:A7688="","",IFERROR(_xlfn.XLOOKUP(A3645:A7688,castles_state!K:K,castles_state!D:D)&amp;"主",IFERROR(_xlfn.XLOOKUP(A3645:A7688,kunishuClan!D:D,kunishuClan!B:B)&amp;"当主","")))</f>
      </c>
    </row>
    <row r="3646" ht="15.75" customHeight="1">
      <c r="A3646" s="4">
        <v>1301072</v>
      </c>
      <c r="B3646" s="12" t="str">
        <f t="array" ref="B3646">IF(A3646:A7689="","",_xlfn.XLOOKUP(A3646:A7689,'参照_武将'!A:A,'参照_武将'!B:B,"見つかりません"))</f>
      </c>
      <c r="C3646" s="4" t="s">
        <v>540</v>
      </c>
      <c r="D3646" s="4">
        <v>301</v>
      </c>
      <c r="E3646" s="12" t="str">
        <f t="array" ref="E3646">IF(D3646:D7689="","",IFERROR(_xlfn.XLOOKUP(D3646:D7689,'参照_勢力'!A:A,'参照_勢力'!B:B),IFERROR(_xlfn.XLOOKUP(F3646:F7689,kunishuClan!A:A,kunishuClan!B:B),"浪人")))</f>
      </c>
      <c r="F3646" s="4">
        <v>0</v>
      </c>
      <c r="G3646" s="4">
        <v>71</v>
      </c>
      <c r="H3646" s="12" t="str">
        <f t="array" ref="H3646">IF(G3646:G7689="","",_xlfn.XLOOKUP(G3646:G7689,castles_state!A:A,castles_state!D:D,"見つかりません"))</f>
      </c>
      <c r="I3646" s="4"/>
      <c r="J3646" s="12" t="str">
        <f t="array" ref="J3646">IF(I3646:I7689="","",_xlfn.XLOOKUP(I3646:I7689,'参照_姫'!A:A,'参照_姫'!B:B,"見つかりません"))</f>
      </c>
      <c r="K3646" s="4">
        <v>95</v>
      </c>
      <c r="L3646" s="4">
        <v>0</v>
      </c>
      <c r="M3646" s="4"/>
      <c r="N3646" s="4"/>
      <c r="O3646" s="4"/>
      <c r="P3646" s="12" t="str">
        <f t="array" ref="P3646">IF(O3646:O7689="","",_xlfn.XLOOKUP(O3646:O7689,'参照_官位'!A:A,'参照_官位'!B:B,""))</f>
      </c>
      <c r="Q3646" s="12" t="str">
        <f t="array" ref="Q3646">IF(A3646:A7689="","",IFERROR(_xlfn.XLOOKUP(A3646:A7689,castles_state!K:K,castles_state!D:D)&amp;"主",IFERROR(_xlfn.XLOOKUP(A3646:A7689,kunishuClan!D:D,kunishuClan!B:B)&amp;"当主","")))</f>
      </c>
    </row>
    <row r="3647" ht="15.75" customHeight="1">
      <c r="A3647" s="4">
        <v>1301073</v>
      </c>
      <c r="B3647" s="12" t="str">
        <f t="array" ref="B3647">IF(A3647:A7690="","",_xlfn.XLOOKUP(A3647:A7690,'参照_武将'!A:A,'参照_武将'!B:B,"見つかりません"))</f>
      </c>
      <c r="C3647" s="4" t="s">
        <v>540</v>
      </c>
      <c r="D3647" s="4">
        <v>301</v>
      </c>
      <c r="E3647" s="12" t="str">
        <f t="array" ref="E3647">IF(D3647:D7690="","",IFERROR(_xlfn.XLOOKUP(D3647:D7690,'参照_勢力'!A:A,'参照_勢力'!B:B),IFERROR(_xlfn.XLOOKUP(F3647:F7690,kunishuClan!A:A,kunishuClan!B:B),"浪人")))</f>
      </c>
      <c r="F3647" s="4">
        <v>0</v>
      </c>
      <c r="G3647" s="4">
        <v>12</v>
      </c>
      <c r="H3647" s="12" t="str">
        <f t="array" ref="H3647">IF(G3647:G7690="","",_xlfn.XLOOKUP(G3647:G7690,castles_state!A:A,castles_state!D:D,"見つかりません"))</f>
      </c>
      <c r="I3647" s="4"/>
      <c r="J3647" s="12" t="str">
        <f t="array" ref="J3647">IF(I3647:I7690="","",_xlfn.XLOOKUP(I3647:I7690,'参照_姫'!A:A,'参照_姫'!B:B,"見つかりません"))</f>
      </c>
      <c r="K3647" s="4">
        <v>95</v>
      </c>
      <c r="L3647" s="4">
        <v>0</v>
      </c>
      <c r="M3647" s="4"/>
      <c r="N3647" s="4"/>
      <c r="O3647" s="4"/>
      <c r="P3647" s="12" t="str">
        <f t="array" ref="P3647">IF(O3647:O7690="","",_xlfn.XLOOKUP(O3647:O7690,'参照_官位'!A:A,'参照_官位'!B:B,""))</f>
      </c>
      <c r="Q3647" s="12" t="str">
        <f t="array" ref="Q3647">IF(A3647:A7690="","",IFERROR(_xlfn.XLOOKUP(A3647:A7690,castles_state!K:K,castles_state!D:D)&amp;"主",IFERROR(_xlfn.XLOOKUP(A3647:A7690,kunishuClan!D:D,kunishuClan!B:B)&amp;"当主","")))</f>
      </c>
    </row>
    <row r="3648" ht="15.75" customHeight="1">
      <c r="A3648" s="4">
        <v>1301074</v>
      </c>
      <c r="B3648" s="12" t="str">
        <f t="array" ref="B3648">IF(A3648:A7691="","",_xlfn.XLOOKUP(A3648:A7691,'参照_武将'!A:A,'参照_武将'!B:B,"見つかりません"))</f>
      </c>
      <c r="C3648" s="4" t="s">
        <v>540</v>
      </c>
      <c r="D3648" s="4">
        <v>301</v>
      </c>
      <c r="E3648" s="12" t="str">
        <f t="array" ref="E3648">IF(D3648:D7691="","",IFERROR(_xlfn.XLOOKUP(D3648:D7691,'参照_勢力'!A:A,'参照_勢力'!B:B),IFERROR(_xlfn.XLOOKUP(F3648:F7691,kunishuClan!A:A,kunishuClan!B:B),"浪人")))</f>
      </c>
      <c r="F3648" s="4">
        <v>0</v>
      </c>
      <c r="G3648" s="4">
        <v>48</v>
      </c>
      <c r="H3648" s="12" t="str">
        <f t="array" ref="H3648">IF(G3648:G7691="","",_xlfn.XLOOKUP(G3648:G7691,castles_state!A:A,castles_state!D:D,"見つかりません"))</f>
      </c>
      <c r="I3648" s="4"/>
      <c r="J3648" s="12" t="str">
        <f t="array" ref="J3648">IF(I3648:I7691="","",_xlfn.XLOOKUP(I3648:I7691,'参照_姫'!A:A,'参照_姫'!B:B,"見つかりません"))</f>
      </c>
      <c r="K3648" s="4">
        <v>90</v>
      </c>
      <c r="L3648" s="4">
        <v>0</v>
      </c>
      <c r="M3648" s="4"/>
      <c r="N3648" s="4"/>
      <c r="O3648" s="4"/>
      <c r="P3648" s="12" t="str">
        <f t="array" ref="P3648">IF(O3648:O7691="","",_xlfn.XLOOKUP(O3648:O7691,'参照_官位'!A:A,'参照_官位'!B:B,""))</f>
      </c>
      <c r="Q3648" s="12" t="str">
        <f t="array" ref="Q3648">IF(A3648:A7691="","",IFERROR(_xlfn.XLOOKUP(A3648:A7691,castles_state!K:K,castles_state!D:D)&amp;"主",IFERROR(_xlfn.XLOOKUP(A3648:A7691,kunishuClan!D:D,kunishuClan!B:B)&amp;"当主","")))</f>
      </c>
    </row>
    <row r="3649" ht="15.75" customHeight="1">
      <c r="A3649" s="4">
        <v>1301075</v>
      </c>
      <c r="B3649" s="12" t="str">
        <f t="array" ref="B3649">IF(A3649:A7692="","",_xlfn.XLOOKUP(A3649:A7692,'参照_武将'!A:A,'参照_武将'!B:B,"見つかりません"))</f>
      </c>
      <c r="C3649" s="4" t="s">
        <v>540</v>
      </c>
      <c r="D3649" s="4">
        <v>301</v>
      </c>
      <c r="E3649" s="12" t="str">
        <f t="array" ref="E3649">IF(D3649:D7692="","",IFERROR(_xlfn.XLOOKUP(D3649:D7692,'参照_勢力'!A:A,'参照_勢力'!B:B),IFERROR(_xlfn.XLOOKUP(F3649:F7692,kunishuClan!A:A,kunishuClan!B:B),"浪人")))</f>
      </c>
      <c r="F3649" s="4">
        <v>0</v>
      </c>
      <c r="G3649" s="4">
        <v>48</v>
      </c>
      <c r="H3649" s="12" t="str">
        <f t="array" ref="H3649">IF(G3649:G7692="","",_xlfn.XLOOKUP(G3649:G7692,castles_state!A:A,castles_state!D:D,"見つかりません"))</f>
      </c>
      <c r="I3649" s="4"/>
      <c r="J3649" s="12" t="str">
        <f t="array" ref="J3649">IF(I3649:I7692="","",_xlfn.XLOOKUP(I3649:I7692,'参照_姫'!A:A,'参照_姫'!B:B,"見つかりません"))</f>
      </c>
      <c r="K3649" s="4">
        <v>90</v>
      </c>
      <c r="L3649" s="4">
        <v>0</v>
      </c>
      <c r="M3649" s="4"/>
      <c r="N3649" s="4"/>
      <c r="O3649" s="4"/>
      <c r="P3649" s="12" t="str">
        <f t="array" ref="P3649">IF(O3649:O7692="","",_xlfn.XLOOKUP(O3649:O7692,'参照_官位'!A:A,'参照_官位'!B:B,""))</f>
      </c>
      <c r="Q3649" s="12" t="str">
        <f t="array" ref="Q3649">IF(A3649:A7692="","",IFERROR(_xlfn.XLOOKUP(A3649:A7692,castles_state!K:K,castles_state!D:D)&amp;"主",IFERROR(_xlfn.XLOOKUP(A3649:A7692,kunishuClan!D:D,kunishuClan!B:B)&amp;"当主","")))</f>
      </c>
    </row>
    <row r="3650" ht="15.75" customHeight="1">
      <c r="A3650" s="4">
        <v>1301076</v>
      </c>
      <c r="B3650" s="12" t="str">
        <f t="array" ref="B3650">IF(A3650:A7693="","",_xlfn.XLOOKUP(A3650:A7693,'参照_武将'!A:A,'参照_武将'!B:B,"見つかりません"))</f>
      </c>
      <c r="C3650" s="4" t="s">
        <v>540</v>
      </c>
      <c r="D3650" s="4">
        <v>301</v>
      </c>
      <c r="E3650" s="12" t="str">
        <f t="array" ref="E3650">IF(D3650:D7693="","",IFERROR(_xlfn.XLOOKUP(D3650:D7693,'参照_勢力'!A:A,'参照_勢力'!B:B),IFERROR(_xlfn.XLOOKUP(F3650:F7693,kunishuClan!A:A,kunishuClan!B:B),"浪人")))</f>
      </c>
      <c r="F3650" s="4">
        <v>0</v>
      </c>
      <c r="G3650" s="4">
        <v>54</v>
      </c>
      <c r="H3650" s="12" t="str">
        <f t="array" ref="H3650">IF(G3650:G7693="","",_xlfn.XLOOKUP(G3650:G7693,castles_state!A:A,castles_state!D:D,"見つかりません"))</f>
      </c>
      <c r="I3650" s="4"/>
      <c r="J3650" s="12" t="str">
        <f t="array" ref="J3650">IF(I3650:I7693="","",_xlfn.XLOOKUP(I3650:I7693,'参照_姫'!A:A,'参照_姫'!B:B,"見つかりません"))</f>
      </c>
      <c r="K3650" s="4">
        <v>95</v>
      </c>
      <c r="L3650" s="4">
        <v>0</v>
      </c>
      <c r="M3650" s="4"/>
      <c r="N3650" s="4"/>
      <c r="O3650" s="4"/>
      <c r="P3650" s="12" t="str">
        <f t="array" ref="P3650">IF(O3650:O7693="","",_xlfn.XLOOKUP(O3650:O7693,'参照_官位'!A:A,'参照_官位'!B:B,""))</f>
      </c>
      <c r="Q3650" s="12" t="str">
        <f t="array" ref="Q3650">IF(A3650:A7693="","",IFERROR(_xlfn.XLOOKUP(A3650:A7693,castles_state!K:K,castles_state!D:D)&amp;"主",IFERROR(_xlfn.XLOOKUP(A3650:A7693,kunishuClan!D:D,kunishuClan!B:B)&amp;"当主","")))</f>
      </c>
    </row>
    <row r="3651" ht="15.75" customHeight="1">
      <c r="A3651" s="4">
        <v>1301077</v>
      </c>
      <c r="B3651" s="12" t="str">
        <f t="array" ref="B3651">IF(A3651:A7694="","",_xlfn.XLOOKUP(A3651:A7694,'参照_武将'!A:A,'参照_武将'!B:B,"見つかりません"))</f>
      </c>
      <c r="C3651" s="4" t="s">
        <v>540</v>
      </c>
      <c r="D3651" s="4">
        <v>301</v>
      </c>
      <c r="E3651" s="12" t="str">
        <f t="array" ref="E3651">IF(D3651:D7694="","",IFERROR(_xlfn.XLOOKUP(D3651:D7694,'参照_勢力'!A:A,'参照_勢力'!B:B),IFERROR(_xlfn.XLOOKUP(F3651:F7694,kunishuClan!A:A,kunishuClan!B:B),"浪人")))</f>
      </c>
      <c r="F3651" s="4">
        <v>0</v>
      </c>
      <c r="G3651" s="4">
        <v>100</v>
      </c>
      <c r="H3651" s="12" t="str">
        <f t="array" ref="H3651">IF(G3651:G7694="","",_xlfn.XLOOKUP(G3651:G7694,castles_state!A:A,castles_state!D:D,"見つかりません"))</f>
      </c>
      <c r="I3651" s="4"/>
      <c r="J3651" s="12" t="str">
        <f t="array" ref="J3651">IF(I3651:I7694="","",_xlfn.XLOOKUP(I3651:I7694,'参照_姫'!A:A,'参照_姫'!B:B,"見つかりません"))</f>
      </c>
      <c r="K3651" s="4">
        <v>95</v>
      </c>
      <c r="L3651" s="4">
        <v>300</v>
      </c>
      <c r="M3651" s="4"/>
      <c r="N3651" s="4"/>
      <c r="O3651" s="4"/>
      <c r="P3651" s="12" t="str">
        <f t="array" ref="P3651">IF(O3651:O7694="","",_xlfn.XLOOKUP(O3651:O7694,'参照_官位'!A:A,'参照_官位'!B:B,""))</f>
      </c>
      <c r="Q3651" s="12" t="str">
        <f t="array" ref="Q3651">IF(A3651:A7694="","",IFERROR(_xlfn.XLOOKUP(A3651:A7694,castles_state!K:K,castles_state!D:D)&amp;"主",IFERROR(_xlfn.XLOOKUP(A3651:A7694,kunishuClan!D:D,kunishuClan!B:B)&amp;"当主","")))</f>
      </c>
    </row>
    <row r="3652" ht="15.75" customHeight="1">
      <c r="A3652" s="4">
        <v>1301078</v>
      </c>
      <c r="B3652" s="12" t="str">
        <f t="array" ref="B3652">IF(A3652:A7695="","",_xlfn.XLOOKUP(A3652:A7695,'参照_武将'!A:A,'参照_武将'!B:B,"見つかりません"))</f>
      </c>
      <c r="C3652" s="4" t="s">
        <v>540</v>
      </c>
      <c r="D3652" s="4">
        <v>301</v>
      </c>
      <c r="E3652" s="12" t="str">
        <f t="array" ref="E3652">IF(D3652:D7695="","",IFERROR(_xlfn.XLOOKUP(D3652:D7695,'参照_勢力'!A:A,'参照_勢力'!B:B),IFERROR(_xlfn.XLOOKUP(F3652:F7695,kunishuClan!A:A,kunishuClan!B:B),"浪人")))</f>
      </c>
      <c r="F3652" s="4">
        <v>0</v>
      </c>
      <c r="G3652" s="4">
        <v>100</v>
      </c>
      <c r="H3652" s="12" t="str">
        <f t="array" ref="H3652">IF(G3652:G7695="","",_xlfn.XLOOKUP(G3652:G7695,castles_state!A:A,castles_state!D:D,"見つかりません"))</f>
      </c>
      <c r="I3652" s="4"/>
      <c r="J3652" s="12" t="str">
        <f t="array" ref="J3652">IF(I3652:I7695="","",_xlfn.XLOOKUP(I3652:I7695,'参照_姫'!A:A,'参照_姫'!B:B,"見つかりません"))</f>
      </c>
      <c r="K3652" s="4">
        <v>90</v>
      </c>
      <c r="L3652" s="4">
        <v>0</v>
      </c>
      <c r="M3652" s="4"/>
      <c r="N3652" s="4"/>
      <c r="O3652" s="4"/>
      <c r="P3652" s="12" t="str">
        <f t="array" ref="P3652">IF(O3652:O7695="","",_xlfn.XLOOKUP(O3652:O7695,'参照_官位'!A:A,'参照_官位'!B:B,""))</f>
      </c>
      <c r="Q3652" s="12" t="str">
        <f t="array" ref="Q3652">IF(A3652:A7695="","",IFERROR(_xlfn.XLOOKUP(A3652:A7695,castles_state!K:K,castles_state!D:D)&amp;"主",IFERROR(_xlfn.XLOOKUP(A3652:A7695,kunishuClan!D:D,kunishuClan!B:B)&amp;"当主","")))</f>
      </c>
    </row>
    <row r="3653" ht="15.75" customHeight="1">
      <c r="A3653" s="4">
        <v>1301079</v>
      </c>
      <c r="B3653" s="12" t="str">
        <f t="array" ref="B3653">IF(A3653:A7696="","",_xlfn.XLOOKUP(A3653:A7696,'参照_武将'!A:A,'参照_武将'!B:B,"見つかりません"))</f>
      </c>
      <c r="C3653" s="4" t="s">
        <v>540</v>
      </c>
      <c r="D3653" s="4">
        <v>301</v>
      </c>
      <c r="E3653" s="12" t="str">
        <f t="array" ref="E3653">IF(D3653:D7696="","",IFERROR(_xlfn.XLOOKUP(D3653:D7696,'参照_勢力'!A:A,'参照_勢力'!B:B),IFERROR(_xlfn.XLOOKUP(F3653:F7696,kunishuClan!A:A,kunishuClan!B:B),"浪人")))</f>
      </c>
      <c r="F3653" s="4">
        <v>0</v>
      </c>
      <c r="G3653" s="4">
        <v>100</v>
      </c>
      <c r="H3653" s="12" t="str">
        <f t="array" ref="H3653">IF(G3653:G7696="","",_xlfn.XLOOKUP(G3653:G7696,castles_state!A:A,castles_state!D:D,"見つかりません"))</f>
      </c>
      <c r="I3653" s="4"/>
      <c r="J3653" s="12" t="str">
        <f t="array" ref="J3653">IF(I3653:I7696="","",_xlfn.XLOOKUP(I3653:I7696,'参照_姫'!A:A,'参照_姫'!B:B,"見つかりません"))</f>
      </c>
      <c r="K3653" s="4">
        <v>90</v>
      </c>
      <c r="L3653" s="4">
        <v>0</v>
      </c>
      <c r="M3653" s="4"/>
      <c r="N3653" s="4"/>
      <c r="O3653" s="4"/>
      <c r="P3653" s="12" t="str">
        <f t="array" ref="P3653">IF(O3653:O7696="","",_xlfn.XLOOKUP(O3653:O7696,'参照_官位'!A:A,'参照_官位'!B:B,""))</f>
      </c>
      <c r="Q3653" s="12" t="str">
        <f t="array" ref="Q3653">IF(A3653:A7696="","",IFERROR(_xlfn.XLOOKUP(A3653:A7696,castles_state!K:K,castles_state!D:D)&amp;"主",IFERROR(_xlfn.XLOOKUP(A3653:A7696,kunishuClan!D:D,kunishuClan!B:B)&amp;"当主","")))</f>
      </c>
    </row>
    <row r="3654" ht="15.75" customHeight="1">
      <c r="A3654" s="4">
        <v>1301080</v>
      </c>
      <c r="B3654" s="12" t="str">
        <f t="array" ref="B3654">IF(A3654:A7697="","",_xlfn.XLOOKUP(A3654:A7697,'参照_武将'!A:A,'参照_武将'!B:B,"見つかりません"))</f>
      </c>
      <c r="C3654" s="4" t="s">
        <v>540</v>
      </c>
      <c r="D3654" s="4">
        <v>301</v>
      </c>
      <c r="E3654" s="12" t="str">
        <f t="array" ref="E3654">IF(D3654:D7697="","",IFERROR(_xlfn.XLOOKUP(D3654:D7697,'参照_勢力'!A:A,'参照_勢力'!B:B),IFERROR(_xlfn.XLOOKUP(F3654:F7697,kunishuClan!A:A,kunishuClan!B:B),"浪人")))</f>
      </c>
      <c r="F3654" s="4">
        <v>0</v>
      </c>
      <c r="G3654" s="4">
        <v>100</v>
      </c>
      <c r="H3654" s="12" t="str">
        <f t="array" ref="H3654">IF(G3654:G7697="","",_xlfn.XLOOKUP(G3654:G7697,castles_state!A:A,castles_state!D:D,"見つかりません"))</f>
      </c>
      <c r="I3654" s="4"/>
      <c r="J3654" s="12" t="str">
        <f t="array" ref="J3654">IF(I3654:I7697="","",_xlfn.XLOOKUP(I3654:I7697,'参照_姫'!A:A,'参照_姫'!B:B,"見つかりません"))</f>
      </c>
      <c r="K3654" s="4">
        <v>90</v>
      </c>
      <c r="L3654" s="4">
        <v>0</v>
      </c>
      <c r="M3654" s="4"/>
      <c r="N3654" s="4"/>
      <c r="O3654" s="4"/>
      <c r="P3654" s="12" t="str">
        <f t="array" ref="P3654">IF(O3654:O7697="","",_xlfn.XLOOKUP(O3654:O7697,'参照_官位'!A:A,'参照_官位'!B:B,""))</f>
      </c>
      <c r="Q3654" s="12" t="str">
        <f t="array" ref="Q3654">IF(A3654:A7697="","",IFERROR(_xlfn.XLOOKUP(A3654:A7697,castles_state!K:K,castles_state!D:D)&amp;"主",IFERROR(_xlfn.XLOOKUP(A3654:A7697,kunishuClan!D:D,kunishuClan!B:B)&amp;"当主","")))</f>
      </c>
    </row>
    <row r="3655" ht="15.75" customHeight="1">
      <c r="A3655" s="4">
        <v>1301081</v>
      </c>
      <c r="B3655" s="12" t="str">
        <f t="array" ref="B3655">IF(A3655:A7698="","",_xlfn.XLOOKUP(A3655:A7698,'参照_武将'!A:A,'参照_武将'!B:B,"見つかりません"))</f>
      </c>
      <c r="C3655" s="4" t="s">
        <v>540</v>
      </c>
      <c r="D3655" s="4">
        <v>301</v>
      </c>
      <c r="E3655" s="12" t="str">
        <f t="array" ref="E3655">IF(D3655:D7698="","",IFERROR(_xlfn.XLOOKUP(D3655:D7698,'参照_勢力'!A:A,'参照_勢力'!B:B),IFERROR(_xlfn.XLOOKUP(F3655:F7698,kunishuClan!A:A,kunishuClan!B:B),"浪人")))</f>
      </c>
      <c r="F3655" s="4">
        <v>0</v>
      </c>
      <c r="G3655" s="4">
        <v>45</v>
      </c>
      <c r="H3655" s="12" t="str">
        <f t="array" ref="H3655">IF(G3655:G7698="","",_xlfn.XLOOKUP(G3655:G7698,castles_state!A:A,castles_state!D:D,"見つかりません"))</f>
      </c>
      <c r="I3655" s="4"/>
      <c r="J3655" s="12" t="str">
        <f t="array" ref="J3655">IF(I3655:I7698="","",_xlfn.XLOOKUP(I3655:I7698,'参照_姫'!A:A,'参照_姫'!B:B,"見つかりません"))</f>
      </c>
      <c r="K3655" s="4">
        <v>90</v>
      </c>
      <c r="L3655" s="4">
        <v>0</v>
      </c>
      <c r="M3655" s="4"/>
      <c r="N3655" s="4"/>
      <c r="O3655" s="4"/>
      <c r="P3655" s="12" t="str">
        <f t="array" ref="P3655">IF(O3655:O7698="","",_xlfn.XLOOKUP(O3655:O7698,'参照_官位'!A:A,'参照_官位'!B:B,""))</f>
      </c>
      <c r="Q3655" s="12" t="str">
        <f t="array" ref="Q3655">IF(A3655:A7698="","",IFERROR(_xlfn.XLOOKUP(A3655:A7698,castles_state!K:K,castles_state!D:D)&amp;"主",IFERROR(_xlfn.XLOOKUP(A3655:A7698,kunishuClan!D:D,kunishuClan!B:B)&amp;"当主","")))</f>
      </c>
    </row>
    <row r="3656" ht="15.75" customHeight="1">
      <c r="A3656" s="4">
        <v>1301082</v>
      </c>
      <c r="B3656" s="12" t="str">
        <f t="array" ref="B3656">IF(A3656:A7699="","",_xlfn.XLOOKUP(A3656:A7699,'参照_武将'!A:A,'参照_武将'!B:B,"見つかりません"))</f>
      </c>
      <c r="C3656" s="4" t="s">
        <v>540</v>
      </c>
      <c r="D3656" s="4">
        <v>301</v>
      </c>
      <c r="E3656" s="12" t="str">
        <f t="array" ref="E3656">IF(D3656:D7699="","",IFERROR(_xlfn.XLOOKUP(D3656:D7699,'参照_勢力'!A:A,'参照_勢力'!B:B),IFERROR(_xlfn.XLOOKUP(F3656:F7699,kunishuClan!A:A,kunishuClan!B:B),"浪人")))</f>
      </c>
      <c r="F3656" s="4">
        <v>0</v>
      </c>
      <c r="G3656" s="4">
        <v>45</v>
      </c>
      <c r="H3656" s="12" t="str">
        <f t="array" ref="H3656">IF(G3656:G7699="","",_xlfn.XLOOKUP(G3656:G7699,castles_state!A:A,castles_state!D:D,"見つかりません"))</f>
      </c>
      <c r="I3656" s="4"/>
      <c r="J3656" s="12" t="str">
        <f t="array" ref="J3656">IF(I3656:I7699="","",_xlfn.XLOOKUP(I3656:I7699,'参照_姫'!A:A,'参照_姫'!B:B,"見つかりません"))</f>
      </c>
      <c r="K3656" s="4">
        <v>90</v>
      </c>
      <c r="L3656" s="4">
        <v>0</v>
      </c>
      <c r="M3656" s="4"/>
      <c r="N3656" s="4"/>
      <c r="O3656" s="4"/>
      <c r="P3656" s="12" t="str">
        <f t="array" ref="P3656">IF(O3656:O7699="","",_xlfn.XLOOKUP(O3656:O7699,'参照_官位'!A:A,'参照_官位'!B:B,""))</f>
      </c>
      <c r="Q3656" s="12" t="str">
        <f t="array" ref="Q3656">IF(A3656:A7699="","",IFERROR(_xlfn.XLOOKUP(A3656:A7699,castles_state!K:K,castles_state!D:D)&amp;"主",IFERROR(_xlfn.XLOOKUP(A3656:A7699,kunishuClan!D:D,kunishuClan!B:B)&amp;"当主","")))</f>
      </c>
    </row>
    <row r="3657" ht="15.75" customHeight="1">
      <c r="A3657" s="4">
        <v>1301083</v>
      </c>
      <c r="B3657" s="12" t="str">
        <f t="array" ref="B3657">IF(A3657:A7700="","",_xlfn.XLOOKUP(A3657:A7700,'参照_武将'!A:A,'参照_武将'!B:B,"見つかりません"))</f>
      </c>
      <c r="C3657" s="4" t="s">
        <v>540</v>
      </c>
      <c r="D3657" s="4">
        <v>301</v>
      </c>
      <c r="E3657" s="12" t="str">
        <f t="array" ref="E3657">IF(D3657:D7700="","",IFERROR(_xlfn.XLOOKUP(D3657:D7700,'参照_勢力'!A:A,'参照_勢力'!B:B),IFERROR(_xlfn.XLOOKUP(F3657:F7700,kunishuClan!A:A,kunishuClan!B:B),"浪人")))</f>
      </c>
      <c r="F3657" s="4">
        <v>0</v>
      </c>
      <c r="G3657" s="4">
        <v>45</v>
      </c>
      <c r="H3657" s="12" t="str">
        <f t="array" ref="H3657">IF(G3657:G7700="","",_xlfn.XLOOKUP(G3657:G7700,castles_state!A:A,castles_state!D:D,"見つかりません"))</f>
      </c>
      <c r="I3657" s="4"/>
      <c r="J3657" s="12" t="str">
        <f t="array" ref="J3657">IF(I3657:I7700="","",_xlfn.XLOOKUP(I3657:I7700,'参照_姫'!A:A,'参照_姫'!B:B,"見つかりません"))</f>
      </c>
      <c r="K3657" s="4">
        <v>90</v>
      </c>
      <c r="L3657" s="4">
        <v>0</v>
      </c>
      <c r="M3657" s="4"/>
      <c r="N3657" s="4"/>
      <c r="O3657" s="4"/>
      <c r="P3657" s="12" t="str">
        <f t="array" ref="P3657">IF(O3657:O7700="","",_xlfn.XLOOKUP(O3657:O7700,'参照_官位'!A:A,'参照_官位'!B:B,""))</f>
      </c>
      <c r="Q3657" s="12" t="str">
        <f t="array" ref="Q3657">IF(A3657:A7700="","",IFERROR(_xlfn.XLOOKUP(A3657:A7700,castles_state!K:K,castles_state!D:D)&amp;"主",IFERROR(_xlfn.XLOOKUP(A3657:A7700,kunishuClan!D:D,kunishuClan!B:B)&amp;"当主","")))</f>
      </c>
    </row>
    <row r="3658" ht="15.75" customHeight="1">
      <c r="A3658" s="4">
        <v>1301084</v>
      </c>
      <c r="B3658" s="12" t="str">
        <f t="array" ref="B3658">IF(A3658:A7701="","",_xlfn.XLOOKUP(A3658:A7701,'参照_武将'!A:A,'参照_武将'!B:B,"見つかりません"))</f>
      </c>
      <c r="C3658" s="4" t="s">
        <v>5985</v>
      </c>
      <c r="D3658" s="4">
        <v>301</v>
      </c>
      <c r="E3658" s="12" t="str">
        <f t="array" ref="E3658">IF(D3658:D7701="","",IFERROR(_xlfn.XLOOKUP(D3658:D7701,'参照_勢力'!A:A,'参照_勢力'!B:B),IFERROR(_xlfn.XLOOKUP(F3658:F7701,kunishuClan!A:A,kunishuClan!B:B),"浪人")))</f>
      </c>
      <c r="F3658" s="4">
        <v>0</v>
      </c>
      <c r="G3658" s="4">
        <v>48</v>
      </c>
      <c r="H3658" s="12" t="str">
        <f t="array" ref="H3658">IF(G3658:G7701="","",_xlfn.XLOOKUP(G3658:G7701,castles_state!A:A,castles_state!D:D,"見つかりません"))</f>
      </c>
      <c r="I3658" s="4"/>
      <c r="J3658" s="12" t="str">
        <f t="array" ref="J3658">IF(I3658:I7701="","",_xlfn.XLOOKUP(I3658:I7701,'参照_姫'!A:A,'参照_姫'!B:B,"見つかりません"))</f>
      </c>
      <c r="K3658" s="4">
        <v>95</v>
      </c>
      <c r="L3658" s="4">
        <v>0</v>
      </c>
      <c r="M3658" s="4"/>
      <c r="N3658" s="4"/>
      <c r="O3658" s="4"/>
      <c r="P3658" s="12" t="str">
        <f t="array" ref="P3658">IF(O3658:O7701="","",_xlfn.XLOOKUP(O3658:O7701,'参照_官位'!A:A,'参照_官位'!B:B,""))</f>
      </c>
      <c r="Q3658" s="12" t="str">
        <f t="array" ref="Q3658">IF(A3658:A7701="","",IFERROR(_xlfn.XLOOKUP(A3658:A7701,castles_state!K:K,castles_state!D:D)&amp;"主",IFERROR(_xlfn.XLOOKUP(A3658:A7701,kunishuClan!D:D,kunishuClan!B:B)&amp;"当主","")))</f>
      </c>
    </row>
    <row r="3659" ht="15.75" customHeight="1">
      <c r="A3659" s="4">
        <v>1301085</v>
      </c>
      <c r="B3659" s="12" t="str">
        <f t="array" ref="B3659">IF(A3659:A7702="","",_xlfn.XLOOKUP(A3659:A7702,'参照_武将'!A:A,'参照_武将'!B:B,"見つかりません"))</f>
      </c>
      <c r="C3659" s="4" t="s">
        <v>5985</v>
      </c>
      <c r="D3659" s="4">
        <v>301</v>
      </c>
      <c r="E3659" s="12" t="str">
        <f t="array" ref="E3659">IF(D3659:D7702="","",IFERROR(_xlfn.XLOOKUP(D3659:D7702,'参照_勢力'!A:A,'参照_勢力'!B:B),IFERROR(_xlfn.XLOOKUP(F3659:F7702,kunishuClan!A:A,kunishuClan!B:B),"浪人")))</f>
      </c>
      <c r="F3659" s="4">
        <v>0</v>
      </c>
      <c r="G3659" s="4">
        <v>48</v>
      </c>
      <c r="H3659" s="12" t="str">
        <f t="array" ref="H3659">IF(G3659:G7702="","",_xlfn.XLOOKUP(G3659:G7702,castles_state!A:A,castles_state!D:D,"見つかりません"))</f>
      </c>
      <c r="I3659" s="4"/>
      <c r="J3659" s="12" t="str">
        <f t="array" ref="J3659">IF(I3659:I7702="","",_xlfn.XLOOKUP(I3659:I7702,'参照_姫'!A:A,'参照_姫'!B:B,"見つかりません"))</f>
      </c>
      <c r="K3659" s="4">
        <v>90</v>
      </c>
      <c r="L3659" s="4">
        <v>0</v>
      </c>
      <c r="M3659" s="4"/>
      <c r="N3659" s="4"/>
      <c r="O3659" s="4"/>
      <c r="P3659" s="12" t="str">
        <f t="array" ref="P3659">IF(O3659:O7702="","",_xlfn.XLOOKUP(O3659:O7702,'参照_官位'!A:A,'参照_官位'!B:B,""))</f>
      </c>
      <c r="Q3659" s="12" t="str">
        <f t="array" ref="Q3659">IF(A3659:A7702="","",IFERROR(_xlfn.XLOOKUP(A3659:A7702,castles_state!K:K,castles_state!D:D)&amp;"主",IFERROR(_xlfn.XLOOKUP(A3659:A7702,kunishuClan!D:D,kunishuClan!B:B)&amp;"当主","")))</f>
      </c>
    </row>
    <row r="3660" ht="15.75" customHeight="1">
      <c r="A3660" s="4">
        <v>1301086</v>
      </c>
      <c r="B3660" s="12" t="str">
        <f t="array" ref="B3660">IF(A3660:A7703="","",_xlfn.XLOOKUP(A3660:A7703,'参照_武将'!A:A,'参照_武将'!B:B,"見つかりません"))</f>
      </c>
      <c r="C3660" s="4" t="s">
        <v>5985</v>
      </c>
      <c r="D3660" s="4">
        <v>301</v>
      </c>
      <c r="E3660" s="12" t="str">
        <f t="array" ref="E3660">IF(D3660:D7703="","",IFERROR(_xlfn.XLOOKUP(D3660:D7703,'参照_勢力'!A:A,'参照_勢力'!B:B),IFERROR(_xlfn.XLOOKUP(F3660:F7703,kunishuClan!A:A,kunishuClan!B:B),"浪人")))</f>
      </c>
      <c r="F3660" s="4">
        <v>0</v>
      </c>
      <c r="G3660" s="4">
        <v>13</v>
      </c>
      <c r="H3660" s="12" t="str">
        <f t="array" ref="H3660">IF(G3660:G7703="","",_xlfn.XLOOKUP(G3660:G7703,castles_state!A:A,castles_state!D:D,"見つかりません"))</f>
      </c>
      <c r="I3660" s="4"/>
      <c r="J3660" s="12" t="str">
        <f t="array" ref="J3660">IF(I3660:I7703="","",_xlfn.XLOOKUP(I3660:I7703,'参照_姫'!A:A,'参照_姫'!B:B,"見つかりません"))</f>
      </c>
      <c r="K3660" s="4">
        <v>90</v>
      </c>
      <c r="L3660" s="4">
        <v>0</v>
      </c>
      <c r="M3660" s="4"/>
      <c r="N3660" s="4"/>
      <c r="O3660" s="4"/>
      <c r="P3660" s="12" t="str">
        <f t="array" ref="P3660">IF(O3660:O7703="","",_xlfn.XLOOKUP(O3660:O7703,'参照_官位'!A:A,'参照_官位'!B:B,""))</f>
      </c>
      <c r="Q3660" s="12" t="str">
        <f t="array" ref="Q3660">IF(A3660:A7703="","",IFERROR(_xlfn.XLOOKUP(A3660:A7703,castles_state!K:K,castles_state!D:D)&amp;"主",IFERROR(_xlfn.XLOOKUP(A3660:A7703,kunishuClan!D:D,kunishuClan!B:B)&amp;"当主","")))</f>
      </c>
    </row>
    <row r="3661" ht="15.75" customHeight="1">
      <c r="A3661" s="4">
        <v>1301087</v>
      </c>
      <c r="B3661" s="12" t="str">
        <f t="array" ref="B3661">IF(A3661:A7704="","",_xlfn.XLOOKUP(A3661:A7704,'参照_武将'!A:A,'参照_武将'!B:B,"見つかりません"))</f>
      </c>
      <c r="C3661" s="4" t="s">
        <v>5985</v>
      </c>
      <c r="D3661" s="4">
        <v>301</v>
      </c>
      <c r="E3661" s="12" t="str">
        <f t="array" ref="E3661">IF(D3661:D7704="","",IFERROR(_xlfn.XLOOKUP(D3661:D7704,'参照_勢力'!A:A,'参照_勢力'!B:B),IFERROR(_xlfn.XLOOKUP(F3661:F7704,kunishuClan!A:A,kunishuClan!B:B),"浪人")))</f>
      </c>
      <c r="F3661" s="4">
        <v>0</v>
      </c>
      <c r="G3661" s="4">
        <v>13</v>
      </c>
      <c r="H3661" s="12" t="str">
        <f t="array" ref="H3661">IF(G3661:G7704="","",_xlfn.XLOOKUP(G3661:G7704,castles_state!A:A,castles_state!D:D,"見つかりません"))</f>
      </c>
      <c r="I3661" s="4"/>
      <c r="J3661" s="12" t="str">
        <f t="array" ref="J3661">IF(I3661:I7704="","",_xlfn.XLOOKUP(I3661:I7704,'参照_姫'!A:A,'参照_姫'!B:B,"見つかりません"))</f>
      </c>
      <c r="K3661" s="4">
        <v>90</v>
      </c>
      <c r="L3661" s="4">
        <v>0</v>
      </c>
      <c r="M3661" s="4"/>
      <c r="N3661" s="4"/>
      <c r="O3661" s="4"/>
      <c r="P3661" s="12" t="str">
        <f t="array" ref="P3661">IF(O3661:O7704="","",_xlfn.XLOOKUP(O3661:O7704,'参照_官位'!A:A,'参照_官位'!B:B,""))</f>
      </c>
      <c r="Q3661" s="12" t="str">
        <f t="array" ref="Q3661">IF(A3661:A7704="","",IFERROR(_xlfn.XLOOKUP(A3661:A7704,castles_state!K:K,castles_state!D:D)&amp;"主",IFERROR(_xlfn.XLOOKUP(A3661:A7704,kunishuClan!D:D,kunishuClan!B:B)&amp;"当主","")))</f>
      </c>
    </row>
    <row r="3662" ht="15.75" customHeight="1">
      <c r="A3662" s="4">
        <v>1301088</v>
      </c>
      <c r="B3662" s="12" t="str">
        <f t="array" ref="B3662">IF(A3662:A7705="","",_xlfn.XLOOKUP(A3662:A7705,'参照_武将'!A:A,'参照_武将'!B:B,"見つかりません"))</f>
      </c>
      <c r="C3662" s="4" t="s">
        <v>5985</v>
      </c>
      <c r="D3662" s="4">
        <v>301</v>
      </c>
      <c r="E3662" s="12" t="str">
        <f t="array" ref="E3662">IF(D3662:D7705="","",IFERROR(_xlfn.XLOOKUP(D3662:D7705,'参照_勢力'!A:A,'参照_勢力'!B:B),IFERROR(_xlfn.XLOOKUP(F3662:F7705,kunishuClan!A:A,kunishuClan!B:B),"浪人")))</f>
      </c>
      <c r="F3662" s="4">
        <v>0</v>
      </c>
      <c r="G3662" s="4">
        <v>13</v>
      </c>
      <c r="H3662" s="12" t="str">
        <f t="array" ref="H3662">IF(G3662:G7705="","",_xlfn.XLOOKUP(G3662:G7705,castles_state!A:A,castles_state!D:D,"見つかりません"))</f>
      </c>
      <c r="I3662" s="4"/>
      <c r="J3662" s="12" t="str">
        <f t="array" ref="J3662">IF(I3662:I7705="","",_xlfn.XLOOKUP(I3662:I7705,'参照_姫'!A:A,'参照_姫'!B:B,"見つかりません"))</f>
      </c>
      <c r="K3662" s="4">
        <v>90</v>
      </c>
      <c r="L3662" s="4">
        <v>0</v>
      </c>
      <c r="M3662" s="4"/>
      <c r="N3662" s="4"/>
      <c r="O3662" s="4"/>
      <c r="P3662" s="12" t="str">
        <f t="array" ref="P3662">IF(O3662:O7705="","",_xlfn.XLOOKUP(O3662:O7705,'参照_官位'!A:A,'参照_官位'!B:B,""))</f>
      </c>
      <c r="Q3662" s="12" t="str">
        <f t="array" ref="Q3662">IF(A3662:A7705="","",IFERROR(_xlfn.XLOOKUP(A3662:A7705,castles_state!K:K,castles_state!D:D)&amp;"主",IFERROR(_xlfn.XLOOKUP(A3662:A7705,kunishuClan!D:D,kunishuClan!B:B)&amp;"当主","")))</f>
      </c>
    </row>
    <row r="3663" ht="15.75" customHeight="1">
      <c r="A3663" s="4">
        <v>1301089</v>
      </c>
      <c r="B3663" s="12" t="str">
        <f t="array" ref="B3663">IF(A3663:A7706="","",_xlfn.XLOOKUP(A3663:A7706,'参照_武将'!A:A,'参照_武将'!B:B,"見つかりません"))</f>
      </c>
      <c r="C3663" s="4" t="s">
        <v>540</v>
      </c>
      <c r="D3663" s="4">
        <v>301</v>
      </c>
      <c r="E3663" s="12" t="str">
        <f t="array" ref="E3663">IF(D3663:D7706="","",IFERROR(_xlfn.XLOOKUP(D3663:D7706,'参照_勢力'!A:A,'参照_勢力'!B:B),IFERROR(_xlfn.XLOOKUP(F3663:F7706,kunishuClan!A:A,kunishuClan!B:B),"浪人")))</f>
      </c>
      <c r="F3663" s="4">
        <v>0</v>
      </c>
      <c r="G3663" s="4">
        <v>13</v>
      </c>
      <c r="H3663" s="12" t="str">
        <f t="array" ref="H3663">IF(G3663:G7706="","",_xlfn.XLOOKUP(G3663:G7706,castles_state!A:A,castles_state!D:D,"見つかりません"))</f>
      </c>
      <c r="I3663" s="4"/>
      <c r="J3663" s="12" t="str">
        <f t="array" ref="J3663">IF(I3663:I7706="","",_xlfn.XLOOKUP(I3663:I7706,'参照_姫'!A:A,'参照_姫'!B:B,"見つかりません"))</f>
      </c>
      <c r="K3663" s="4">
        <v>90</v>
      </c>
      <c r="L3663" s="4">
        <v>0</v>
      </c>
      <c r="M3663" s="4"/>
      <c r="N3663" s="4"/>
      <c r="O3663" s="4"/>
      <c r="P3663" s="12" t="str">
        <f t="array" ref="P3663">IF(O3663:O7706="","",_xlfn.XLOOKUP(O3663:O7706,'参照_官位'!A:A,'参照_官位'!B:B,""))</f>
      </c>
      <c r="Q3663" s="12" t="str">
        <f t="array" ref="Q3663">IF(A3663:A7706="","",IFERROR(_xlfn.XLOOKUP(A3663:A7706,castles_state!K:K,castles_state!D:D)&amp;"主",IFERROR(_xlfn.XLOOKUP(A3663:A7706,kunishuClan!D:D,kunishuClan!B:B)&amp;"当主","")))</f>
      </c>
    </row>
    <row r="3664" ht="15.75" customHeight="1">
      <c r="A3664" s="4">
        <v>1301090</v>
      </c>
      <c r="B3664" s="12" t="str">
        <f t="array" ref="B3664">IF(A3664:A7707="","",_xlfn.XLOOKUP(A3664:A7707,'参照_武将'!A:A,'参照_武将'!B:B,"見つかりません"))</f>
      </c>
      <c r="C3664" s="4" t="s">
        <v>540</v>
      </c>
      <c r="D3664" s="4">
        <v>301</v>
      </c>
      <c r="E3664" s="12" t="str">
        <f t="array" ref="E3664">IF(D3664:D7707="","",IFERROR(_xlfn.XLOOKUP(D3664:D7707,'参照_勢力'!A:A,'参照_勢力'!B:B),IFERROR(_xlfn.XLOOKUP(F3664:F7707,kunishuClan!A:A,kunishuClan!B:B),"浪人")))</f>
      </c>
      <c r="F3664" s="4">
        <v>0</v>
      </c>
      <c r="G3664" s="4">
        <v>12</v>
      </c>
      <c r="H3664" s="12" t="str">
        <f t="array" ref="H3664">IF(G3664:G7707="","",_xlfn.XLOOKUP(G3664:G7707,castles_state!A:A,castles_state!D:D,"見つかりません"))</f>
      </c>
      <c r="I3664" s="4"/>
      <c r="J3664" s="12" t="str">
        <f t="array" ref="J3664">IF(I3664:I7707="","",_xlfn.XLOOKUP(I3664:I7707,'参照_姫'!A:A,'参照_姫'!B:B,"見つかりません"))</f>
      </c>
      <c r="K3664" s="4">
        <v>95</v>
      </c>
      <c r="L3664" s="4">
        <v>0</v>
      </c>
      <c r="M3664" s="4"/>
      <c r="N3664" s="4"/>
      <c r="O3664" s="4"/>
      <c r="P3664" s="12" t="str">
        <f t="array" ref="P3664">IF(O3664:O7707="","",_xlfn.XLOOKUP(O3664:O7707,'参照_官位'!A:A,'参照_官位'!B:B,""))</f>
      </c>
      <c r="Q3664" s="12" t="str">
        <f t="array" ref="Q3664">IF(A3664:A7707="","",IFERROR(_xlfn.XLOOKUP(A3664:A7707,castles_state!K:K,castles_state!D:D)&amp;"主",IFERROR(_xlfn.XLOOKUP(A3664:A7707,kunishuClan!D:D,kunishuClan!B:B)&amp;"当主","")))</f>
      </c>
    </row>
    <row r="3665" ht="15.75" customHeight="1">
      <c r="A3665" s="4">
        <v>1301091</v>
      </c>
      <c r="B3665" s="12" t="str">
        <f t="array" ref="B3665">IF(A3665:A7708="","",_xlfn.XLOOKUP(A3665:A7708,'参照_武将'!A:A,'参照_武将'!B:B,"見つかりません"))</f>
      </c>
      <c r="C3665" s="4" t="s">
        <v>540</v>
      </c>
      <c r="D3665" s="4">
        <v>301</v>
      </c>
      <c r="E3665" s="12" t="str">
        <f t="array" ref="E3665">IF(D3665:D7708="","",IFERROR(_xlfn.XLOOKUP(D3665:D7708,'参照_勢力'!A:A,'参照_勢力'!B:B),IFERROR(_xlfn.XLOOKUP(F3665:F7708,kunishuClan!A:A,kunishuClan!B:B),"浪人")))</f>
      </c>
      <c r="F3665" s="4">
        <v>0</v>
      </c>
      <c r="G3665" s="4">
        <v>48</v>
      </c>
      <c r="H3665" s="12" t="str">
        <f t="array" ref="H3665">IF(G3665:G7708="","",_xlfn.XLOOKUP(G3665:G7708,castles_state!A:A,castles_state!D:D,"見つかりません"))</f>
      </c>
      <c r="I3665" s="4"/>
      <c r="J3665" s="12" t="str">
        <f t="array" ref="J3665">IF(I3665:I7708="","",_xlfn.XLOOKUP(I3665:I7708,'参照_姫'!A:A,'参照_姫'!B:B,"見つかりません"))</f>
      </c>
      <c r="K3665" s="4">
        <v>90</v>
      </c>
      <c r="L3665" s="4">
        <v>0</v>
      </c>
      <c r="M3665" s="4"/>
      <c r="N3665" s="4"/>
      <c r="O3665" s="4"/>
      <c r="P3665" s="12" t="str">
        <f t="array" ref="P3665">IF(O3665:O7708="","",_xlfn.XLOOKUP(O3665:O7708,'参照_官位'!A:A,'参照_官位'!B:B,""))</f>
      </c>
      <c r="Q3665" s="12" t="str">
        <f t="array" ref="Q3665">IF(A3665:A7708="","",IFERROR(_xlfn.XLOOKUP(A3665:A7708,castles_state!K:K,castles_state!D:D)&amp;"主",IFERROR(_xlfn.XLOOKUP(A3665:A7708,kunishuClan!D:D,kunishuClan!B:B)&amp;"当主","")))</f>
      </c>
    </row>
    <row r="3666" ht="15.75" customHeight="1">
      <c r="A3666" s="4">
        <v>1301092</v>
      </c>
      <c r="B3666" s="12" t="str">
        <f t="array" ref="B3666">IF(A3666:A7709="","",_xlfn.XLOOKUP(A3666:A7709,'参照_武将'!A:A,'参照_武将'!B:B,"見つかりません"))</f>
      </c>
      <c r="C3666" s="4" t="s">
        <v>540</v>
      </c>
      <c r="D3666" s="4">
        <v>301</v>
      </c>
      <c r="E3666" s="12" t="str">
        <f t="array" ref="E3666">IF(D3666:D7709="","",IFERROR(_xlfn.XLOOKUP(D3666:D7709,'参照_勢力'!A:A,'参照_勢力'!B:B),IFERROR(_xlfn.XLOOKUP(F3666:F7709,kunishuClan!A:A,kunishuClan!B:B),"浪人")))</f>
      </c>
      <c r="F3666" s="4">
        <v>0</v>
      </c>
      <c r="G3666" s="4">
        <v>48</v>
      </c>
      <c r="H3666" s="12" t="str">
        <f t="array" ref="H3666">IF(G3666:G7709="","",_xlfn.XLOOKUP(G3666:G7709,castles_state!A:A,castles_state!D:D,"見つかりません"))</f>
      </c>
      <c r="I3666" s="4"/>
      <c r="J3666" s="12" t="str">
        <f t="array" ref="J3666">IF(I3666:I7709="","",_xlfn.XLOOKUP(I3666:I7709,'参照_姫'!A:A,'参照_姫'!B:B,"見つかりません"))</f>
      </c>
      <c r="K3666" s="4">
        <v>90</v>
      </c>
      <c r="L3666" s="4">
        <v>0</v>
      </c>
      <c r="M3666" s="4"/>
      <c r="N3666" s="4"/>
      <c r="O3666" s="4"/>
      <c r="P3666" s="12" t="str">
        <f t="array" ref="P3666">IF(O3666:O7709="","",_xlfn.XLOOKUP(O3666:O7709,'参照_官位'!A:A,'参照_官位'!B:B,""))</f>
      </c>
      <c r="Q3666" s="12" t="str">
        <f t="array" ref="Q3666">IF(A3666:A7709="","",IFERROR(_xlfn.XLOOKUP(A3666:A7709,castles_state!K:K,castles_state!D:D)&amp;"主",IFERROR(_xlfn.XLOOKUP(A3666:A7709,kunishuClan!D:D,kunishuClan!B:B)&amp;"当主","")))</f>
      </c>
    </row>
    <row r="3667" ht="15.75" customHeight="1">
      <c r="A3667" s="4">
        <v>1301093</v>
      </c>
      <c r="B3667" s="12" t="str">
        <f t="array" ref="B3667">IF(A3667:A7710="","",_xlfn.XLOOKUP(A3667:A7710,'参照_武将'!A:A,'参照_武将'!B:B,"見つかりません"))</f>
      </c>
      <c r="C3667" s="4" t="s">
        <v>540</v>
      </c>
      <c r="D3667" s="4">
        <v>301</v>
      </c>
      <c r="E3667" s="12" t="str">
        <f t="array" ref="E3667">IF(D3667:D7710="","",IFERROR(_xlfn.XLOOKUP(D3667:D7710,'参照_勢力'!A:A,'参照_勢力'!B:B),IFERROR(_xlfn.XLOOKUP(F3667:F7710,kunishuClan!A:A,kunishuClan!B:B),"浪人")))</f>
      </c>
      <c r="F3667" s="4">
        <v>0</v>
      </c>
      <c r="G3667" s="4">
        <v>48</v>
      </c>
      <c r="H3667" s="12" t="str">
        <f t="array" ref="H3667">IF(G3667:G7710="","",_xlfn.XLOOKUP(G3667:G7710,castles_state!A:A,castles_state!D:D,"見つかりません"))</f>
      </c>
      <c r="I3667" s="4"/>
      <c r="J3667" s="12" t="str">
        <f t="array" ref="J3667">IF(I3667:I7710="","",_xlfn.XLOOKUP(I3667:I7710,'参照_姫'!A:A,'参照_姫'!B:B,"見つかりません"))</f>
      </c>
      <c r="K3667" s="4">
        <v>90</v>
      </c>
      <c r="L3667" s="4">
        <v>0</v>
      </c>
      <c r="M3667" s="4"/>
      <c r="N3667" s="4"/>
      <c r="O3667" s="4"/>
      <c r="P3667" s="12" t="str">
        <f t="array" ref="P3667">IF(O3667:O7710="","",_xlfn.XLOOKUP(O3667:O7710,'参照_官位'!A:A,'参照_官位'!B:B,""))</f>
      </c>
      <c r="Q3667" s="12" t="str">
        <f t="array" ref="Q3667">IF(A3667:A7710="","",IFERROR(_xlfn.XLOOKUP(A3667:A7710,castles_state!K:K,castles_state!D:D)&amp;"主",IFERROR(_xlfn.XLOOKUP(A3667:A7710,kunishuClan!D:D,kunishuClan!B:B)&amp;"当主","")))</f>
      </c>
    </row>
    <row r="3668" ht="15.75" customHeight="1">
      <c r="A3668" s="4">
        <v>1301094</v>
      </c>
      <c r="B3668" s="12" t="str">
        <f t="array" ref="B3668">IF(A3668:A7711="","",_xlfn.XLOOKUP(A3668:A7711,'参照_武将'!A:A,'参照_武将'!B:B,"見つかりません"))</f>
      </c>
      <c r="C3668" s="4" t="s">
        <v>540</v>
      </c>
      <c r="D3668" s="4">
        <v>301</v>
      </c>
      <c r="E3668" s="12" t="str">
        <f t="array" ref="E3668">IF(D3668:D7711="","",IFERROR(_xlfn.XLOOKUP(D3668:D7711,'参照_勢力'!A:A,'参照_勢力'!B:B),IFERROR(_xlfn.XLOOKUP(F3668:F7711,kunishuClan!A:A,kunishuClan!B:B),"浪人")))</f>
      </c>
      <c r="F3668" s="4">
        <v>0</v>
      </c>
      <c r="G3668" s="4">
        <v>54</v>
      </c>
      <c r="H3668" s="12" t="str">
        <f t="array" ref="H3668">IF(G3668:G7711="","",_xlfn.XLOOKUP(G3668:G7711,castles_state!A:A,castles_state!D:D,"見つかりません"))</f>
      </c>
      <c r="I3668" s="4"/>
      <c r="J3668" s="12" t="str">
        <f t="array" ref="J3668">IF(I3668:I7711="","",_xlfn.XLOOKUP(I3668:I7711,'参照_姫'!A:A,'参照_姫'!B:B,"見つかりません"))</f>
      </c>
      <c r="K3668" s="4">
        <v>95</v>
      </c>
      <c r="L3668" s="4">
        <v>0</v>
      </c>
      <c r="M3668" s="4"/>
      <c r="N3668" s="4"/>
      <c r="O3668" s="4"/>
      <c r="P3668" s="12" t="str">
        <f t="array" ref="P3668">IF(O3668:O7711="","",_xlfn.XLOOKUP(O3668:O7711,'参照_官位'!A:A,'参照_官位'!B:B,""))</f>
      </c>
      <c r="Q3668" s="12" t="str">
        <f t="array" ref="Q3668">IF(A3668:A7711="","",IFERROR(_xlfn.XLOOKUP(A3668:A7711,castles_state!K:K,castles_state!D:D)&amp;"主",IFERROR(_xlfn.XLOOKUP(A3668:A7711,kunishuClan!D:D,kunishuClan!B:B)&amp;"当主","")))</f>
      </c>
    </row>
    <row r="3669" ht="15.75" customHeight="1">
      <c r="A3669" s="4">
        <v>1301095</v>
      </c>
      <c r="B3669" s="12" t="str">
        <f t="array" ref="B3669">IF(A3669:A7712="","",_xlfn.XLOOKUP(A3669:A7712,'参照_武将'!A:A,'参照_武将'!B:B,"見つかりません"))</f>
      </c>
      <c r="C3669" s="4" t="s">
        <v>540</v>
      </c>
      <c r="D3669" s="4">
        <v>301</v>
      </c>
      <c r="E3669" s="12" t="str">
        <f t="array" ref="E3669">IF(D3669:D7712="","",IFERROR(_xlfn.XLOOKUP(D3669:D7712,'参照_勢力'!A:A,'参照_勢力'!B:B),IFERROR(_xlfn.XLOOKUP(F3669:F7712,kunishuClan!A:A,kunishuClan!B:B),"浪人")))</f>
      </c>
      <c r="F3669" s="4">
        <v>0</v>
      </c>
      <c r="G3669" s="4">
        <v>48</v>
      </c>
      <c r="H3669" s="12" t="str">
        <f t="array" ref="H3669">IF(G3669:G7712="","",_xlfn.XLOOKUP(G3669:G7712,castles_state!A:A,castles_state!D:D,"見つかりません"))</f>
      </c>
      <c r="I3669" s="4"/>
      <c r="J3669" s="12" t="str">
        <f t="array" ref="J3669">IF(I3669:I7712="","",_xlfn.XLOOKUP(I3669:I7712,'参照_姫'!A:A,'参照_姫'!B:B,"見つかりません"))</f>
      </c>
      <c r="K3669" s="4">
        <v>90</v>
      </c>
      <c r="L3669" s="4">
        <v>0</v>
      </c>
      <c r="M3669" s="4"/>
      <c r="N3669" s="4"/>
      <c r="O3669" s="4"/>
      <c r="P3669" s="12" t="str">
        <f t="array" ref="P3669">IF(O3669:O7712="","",_xlfn.XLOOKUP(O3669:O7712,'参照_官位'!A:A,'参照_官位'!B:B,""))</f>
      </c>
      <c r="Q3669" s="12" t="str">
        <f t="array" ref="Q3669">IF(A3669:A7712="","",IFERROR(_xlfn.XLOOKUP(A3669:A7712,castles_state!K:K,castles_state!D:D)&amp;"主",IFERROR(_xlfn.XLOOKUP(A3669:A7712,kunishuClan!D:D,kunishuClan!B:B)&amp;"当主","")))</f>
      </c>
    </row>
    <row r="3670" ht="15.75" customHeight="1">
      <c r="A3670" s="4">
        <v>1301096</v>
      </c>
      <c r="B3670" s="12" t="str">
        <f t="array" ref="B3670">IF(A3670:A7713="","",_xlfn.XLOOKUP(A3670:A7713,'参照_武将'!A:A,'参照_武将'!B:B,"見つかりません"))</f>
      </c>
      <c r="C3670" s="4" t="s">
        <v>540</v>
      </c>
      <c r="D3670" s="4">
        <v>301</v>
      </c>
      <c r="E3670" s="12" t="str">
        <f t="array" ref="E3670">IF(D3670:D7713="","",IFERROR(_xlfn.XLOOKUP(D3670:D7713,'参照_勢力'!A:A,'参照_勢力'!B:B),IFERROR(_xlfn.XLOOKUP(F3670:F7713,kunishuClan!A:A,kunishuClan!B:B),"浪人")))</f>
      </c>
      <c r="F3670" s="4">
        <v>0</v>
      </c>
      <c r="G3670" s="4">
        <v>48</v>
      </c>
      <c r="H3670" s="12" t="str">
        <f t="array" ref="H3670">IF(G3670:G7713="","",_xlfn.XLOOKUP(G3670:G7713,castles_state!A:A,castles_state!D:D,"見つかりません"))</f>
      </c>
      <c r="I3670" s="4"/>
      <c r="J3670" s="12" t="str">
        <f t="array" ref="J3670">IF(I3670:I7713="","",_xlfn.XLOOKUP(I3670:I7713,'参照_姫'!A:A,'参照_姫'!B:B,"見つかりません"))</f>
      </c>
      <c r="K3670" s="4">
        <v>90</v>
      </c>
      <c r="L3670" s="4">
        <v>0</v>
      </c>
      <c r="M3670" s="4"/>
      <c r="N3670" s="4"/>
      <c r="O3670" s="4"/>
      <c r="P3670" s="12" t="str">
        <f t="array" ref="P3670">IF(O3670:O7713="","",_xlfn.XLOOKUP(O3670:O7713,'参照_官位'!A:A,'参照_官位'!B:B,""))</f>
      </c>
      <c r="Q3670" s="12" t="str">
        <f t="array" ref="Q3670">IF(A3670:A7713="","",IFERROR(_xlfn.XLOOKUP(A3670:A7713,castles_state!K:K,castles_state!D:D)&amp;"主",IFERROR(_xlfn.XLOOKUP(A3670:A7713,kunishuClan!D:D,kunishuClan!B:B)&amp;"当主","")))</f>
      </c>
    </row>
    <row r="3671" ht="15.75" customHeight="1">
      <c r="A3671" s="4">
        <v>1301097</v>
      </c>
      <c r="B3671" s="12" t="str">
        <f t="array" ref="B3671">IF(A3671:A7714="","",_xlfn.XLOOKUP(A3671:A7714,'参照_武将'!A:A,'参照_武将'!B:B,"見つかりません"))</f>
      </c>
      <c r="C3671" s="4" t="s">
        <v>540</v>
      </c>
      <c r="D3671" s="4">
        <v>301</v>
      </c>
      <c r="E3671" s="12" t="str">
        <f t="array" ref="E3671">IF(D3671:D7714="","",IFERROR(_xlfn.XLOOKUP(D3671:D7714,'参照_勢力'!A:A,'参照_勢力'!B:B),IFERROR(_xlfn.XLOOKUP(F3671:F7714,kunishuClan!A:A,kunishuClan!B:B),"浪人")))</f>
      </c>
      <c r="F3671" s="4">
        <v>0</v>
      </c>
      <c r="G3671" s="4">
        <v>48</v>
      </c>
      <c r="H3671" s="12" t="str">
        <f t="array" ref="H3671">IF(G3671:G7714="","",_xlfn.XLOOKUP(G3671:G7714,castles_state!A:A,castles_state!D:D,"見つかりません"))</f>
      </c>
      <c r="I3671" s="4"/>
      <c r="J3671" s="12" t="str">
        <f t="array" ref="J3671">IF(I3671:I7714="","",_xlfn.XLOOKUP(I3671:I7714,'参照_姫'!A:A,'参照_姫'!B:B,"見つかりません"))</f>
      </c>
      <c r="K3671" s="4">
        <v>90</v>
      </c>
      <c r="L3671" s="4">
        <v>0</v>
      </c>
      <c r="M3671" s="4"/>
      <c r="N3671" s="4"/>
      <c r="O3671" s="4"/>
      <c r="P3671" s="12" t="str">
        <f t="array" ref="P3671">IF(O3671:O7714="","",_xlfn.XLOOKUP(O3671:O7714,'参照_官位'!A:A,'参照_官位'!B:B,""))</f>
      </c>
      <c r="Q3671" s="12" t="str">
        <f t="array" ref="Q3671">IF(A3671:A7714="","",IFERROR(_xlfn.XLOOKUP(A3671:A7714,castles_state!K:K,castles_state!D:D)&amp;"主",IFERROR(_xlfn.XLOOKUP(A3671:A7714,kunishuClan!D:D,kunishuClan!B:B)&amp;"当主","")))</f>
      </c>
    </row>
    <row r="3672" ht="15.75" customHeight="1">
      <c r="A3672" s="4">
        <v>1301098</v>
      </c>
      <c r="B3672" s="12" t="str">
        <f t="array" ref="B3672">IF(A3672:A7715="","",_xlfn.XLOOKUP(A3672:A7715,'参照_武将'!A:A,'参照_武将'!B:B,"見つかりません"))</f>
      </c>
      <c r="C3672" s="4" t="s">
        <v>540</v>
      </c>
      <c r="D3672" s="4">
        <v>301</v>
      </c>
      <c r="E3672" s="12" t="str">
        <f t="array" ref="E3672">IF(D3672:D7715="","",IFERROR(_xlfn.XLOOKUP(D3672:D7715,'参照_勢力'!A:A,'参照_勢力'!B:B),IFERROR(_xlfn.XLOOKUP(F3672:F7715,kunishuClan!A:A,kunishuClan!B:B),"浪人")))</f>
      </c>
      <c r="F3672" s="4">
        <v>0</v>
      </c>
      <c r="G3672" s="4">
        <v>48</v>
      </c>
      <c r="H3672" s="12" t="str">
        <f t="array" ref="H3672">IF(G3672:G7715="","",_xlfn.XLOOKUP(G3672:G7715,castles_state!A:A,castles_state!D:D,"見つかりません"))</f>
      </c>
      <c r="I3672" s="4"/>
      <c r="J3672" s="12" t="str">
        <f t="array" ref="J3672">IF(I3672:I7715="","",_xlfn.XLOOKUP(I3672:I7715,'参照_姫'!A:A,'参照_姫'!B:B,"見つかりません"))</f>
      </c>
      <c r="K3672" s="4">
        <v>95</v>
      </c>
      <c r="L3672" s="4">
        <v>0</v>
      </c>
      <c r="M3672" s="4"/>
      <c r="N3672" s="4"/>
      <c r="O3672" s="4"/>
      <c r="P3672" s="12" t="str">
        <f t="array" ref="P3672">IF(O3672:O7715="","",_xlfn.XLOOKUP(O3672:O7715,'参照_官位'!A:A,'参照_官位'!B:B,""))</f>
      </c>
      <c r="Q3672" s="12" t="str">
        <f t="array" ref="Q3672">IF(A3672:A7715="","",IFERROR(_xlfn.XLOOKUP(A3672:A7715,castles_state!K:K,castles_state!D:D)&amp;"主",IFERROR(_xlfn.XLOOKUP(A3672:A7715,kunishuClan!D:D,kunishuClan!B:B)&amp;"当主","")))</f>
      </c>
    </row>
    <row r="3673" ht="15.75" customHeight="1">
      <c r="A3673" s="4">
        <v>1301099</v>
      </c>
      <c r="B3673" s="12" t="str">
        <f t="array" ref="B3673">IF(A3673:A7716="","",_xlfn.XLOOKUP(A3673:A7716,'参照_武将'!A:A,'参照_武将'!B:B,"見つかりません"))</f>
      </c>
      <c r="C3673" s="4" t="s">
        <v>540</v>
      </c>
      <c r="D3673" s="4">
        <v>301</v>
      </c>
      <c r="E3673" s="12" t="str">
        <f t="array" ref="E3673">IF(D3673:D7716="","",IFERROR(_xlfn.XLOOKUP(D3673:D7716,'参照_勢力'!A:A,'参照_勢力'!B:B),IFERROR(_xlfn.XLOOKUP(F3673:F7716,kunishuClan!A:A,kunishuClan!B:B),"浪人")))</f>
      </c>
      <c r="F3673" s="4">
        <v>0</v>
      </c>
      <c r="G3673" s="4">
        <v>48</v>
      </c>
      <c r="H3673" s="12" t="str">
        <f t="array" ref="H3673">IF(G3673:G7716="","",_xlfn.XLOOKUP(G3673:G7716,castles_state!A:A,castles_state!D:D,"見つかりません"))</f>
      </c>
      <c r="I3673" s="4"/>
      <c r="J3673" s="12" t="str">
        <f t="array" ref="J3673">IF(I3673:I7716="","",_xlfn.XLOOKUP(I3673:I7716,'参照_姫'!A:A,'参照_姫'!B:B,"見つかりません"))</f>
      </c>
      <c r="K3673" s="4">
        <v>90</v>
      </c>
      <c r="L3673" s="4">
        <v>0</v>
      </c>
      <c r="M3673" s="4"/>
      <c r="N3673" s="4"/>
      <c r="O3673" s="4"/>
      <c r="P3673" s="12" t="str">
        <f t="array" ref="P3673">IF(O3673:O7716="","",_xlfn.XLOOKUP(O3673:O7716,'参照_官位'!A:A,'参照_官位'!B:B,""))</f>
      </c>
      <c r="Q3673" s="12" t="str">
        <f t="array" ref="Q3673">IF(A3673:A7716="","",IFERROR(_xlfn.XLOOKUP(A3673:A7716,castles_state!K:K,castles_state!D:D)&amp;"主",IFERROR(_xlfn.XLOOKUP(A3673:A7716,kunishuClan!D:D,kunishuClan!B:B)&amp;"当主","")))</f>
      </c>
    </row>
    <row r="3674" ht="15.75" customHeight="1">
      <c r="A3674" s="4">
        <v>1301100</v>
      </c>
      <c r="B3674" s="12" t="str">
        <f t="array" ref="B3674">IF(A3674:A7717="","",_xlfn.XLOOKUP(A3674:A7717,'参照_武将'!A:A,'参照_武将'!B:B,"見つかりません"))</f>
      </c>
      <c r="C3674" s="4" t="s">
        <v>540</v>
      </c>
      <c r="D3674" s="4">
        <v>301</v>
      </c>
      <c r="E3674" s="12" t="str">
        <f t="array" ref="E3674">IF(D3674:D7717="","",IFERROR(_xlfn.XLOOKUP(D3674:D7717,'参照_勢力'!A:A,'参照_勢力'!B:B),IFERROR(_xlfn.XLOOKUP(F3674:F7717,kunishuClan!A:A,kunishuClan!B:B),"浪人")))</f>
      </c>
      <c r="F3674" s="4">
        <v>0</v>
      </c>
      <c r="G3674" s="4">
        <v>48</v>
      </c>
      <c r="H3674" s="12" t="str">
        <f t="array" ref="H3674">IF(G3674:G7717="","",_xlfn.XLOOKUP(G3674:G7717,castles_state!A:A,castles_state!D:D,"見つかりません"))</f>
      </c>
      <c r="I3674" s="4"/>
      <c r="J3674" s="12" t="str">
        <f t="array" ref="J3674">IF(I3674:I7717="","",_xlfn.XLOOKUP(I3674:I7717,'参照_姫'!A:A,'参照_姫'!B:B,"見つかりません"))</f>
      </c>
      <c r="K3674" s="4">
        <v>90</v>
      </c>
      <c r="L3674" s="4">
        <v>0</v>
      </c>
      <c r="M3674" s="4"/>
      <c r="N3674" s="4"/>
      <c r="O3674" s="4"/>
      <c r="P3674" s="12" t="str">
        <f t="array" ref="P3674">IF(O3674:O7717="","",_xlfn.XLOOKUP(O3674:O7717,'参照_官位'!A:A,'参照_官位'!B:B,""))</f>
      </c>
      <c r="Q3674" s="12" t="str">
        <f t="array" ref="Q3674">IF(A3674:A7717="","",IFERROR(_xlfn.XLOOKUP(A3674:A7717,castles_state!K:K,castles_state!D:D)&amp;"主",IFERROR(_xlfn.XLOOKUP(A3674:A7717,kunishuClan!D:D,kunishuClan!B:B)&amp;"当主","")))</f>
      </c>
    </row>
    <row r="3675" ht="15.75" customHeight="1">
      <c r="A3675" s="4">
        <v>1301101</v>
      </c>
      <c r="B3675" s="12" t="str">
        <f t="array" ref="B3675">IF(A3675:A7718="","",_xlfn.XLOOKUP(A3675:A7718,'参照_武将'!A:A,'参照_武将'!B:B,"見つかりません"))</f>
      </c>
      <c r="C3675" s="4" t="s">
        <v>540</v>
      </c>
      <c r="D3675" s="4">
        <v>301</v>
      </c>
      <c r="E3675" s="12" t="str">
        <f t="array" ref="E3675">IF(D3675:D7718="","",IFERROR(_xlfn.XLOOKUP(D3675:D7718,'参照_勢力'!A:A,'参照_勢力'!B:B),IFERROR(_xlfn.XLOOKUP(F3675:F7718,kunishuClan!A:A,kunishuClan!B:B),"浪人")))</f>
      </c>
      <c r="F3675" s="4">
        <v>0</v>
      </c>
      <c r="G3675" s="4">
        <v>48</v>
      </c>
      <c r="H3675" s="12" t="str">
        <f t="array" ref="H3675">IF(G3675:G7718="","",_xlfn.XLOOKUP(G3675:G7718,castles_state!A:A,castles_state!D:D,"見つかりません"))</f>
      </c>
      <c r="I3675" s="4"/>
      <c r="J3675" s="12" t="str">
        <f t="array" ref="J3675">IF(I3675:I7718="","",_xlfn.XLOOKUP(I3675:I7718,'参照_姫'!A:A,'参照_姫'!B:B,"見つかりません"))</f>
      </c>
      <c r="K3675" s="4">
        <v>90</v>
      </c>
      <c r="L3675" s="4">
        <v>0</v>
      </c>
      <c r="M3675" s="4"/>
      <c r="N3675" s="4"/>
      <c r="O3675" s="4"/>
      <c r="P3675" s="12" t="str">
        <f t="array" ref="P3675">IF(O3675:O7718="","",_xlfn.XLOOKUP(O3675:O7718,'参照_官位'!A:A,'参照_官位'!B:B,""))</f>
      </c>
      <c r="Q3675" s="12" t="str">
        <f t="array" ref="Q3675">IF(A3675:A7718="","",IFERROR(_xlfn.XLOOKUP(A3675:A7718,castles_state!K:K,castles_state!D:D)&amp;"主",IFERROR(_xlfn.XLOOKUP(A3675:A7718,kunishuClan!D:D,kunishuClan!B:B)&amp;"当主","")))</f>
      </c>
    </row>
    <row r="3676" ht="15.75" customHeight="1">
      <c r="A3676" s="4">
        <v>1301102</v>
      </c>
      <c r="B3676" s="12" t="str">
        <f t="array" ref="B3676">IF(A3676:A7719="","",_xlfn.XLOOKUP(A3676:A7719,'参照_武将'!A:A,'参照_武将'!B:B,"見つかりません"))</f>
      </c>
      <c r="C3676" s="4" t="s">
        <v>540</v>
      </c>
      <c r="D3676" s="4">
        <v>301</v>
      </c>
      <c r="E3676" s="12" t="str">
        <f t="array" ref="E3676">IF(D3676:D7719="","",IFERROR(_xlfn.XLOOKUP(D3676:D7719,'参照_勢力'!A:A,'参照_勢力'!B:B),IFERROR(_xlfn.XLOOKUP(F3676:F7719,kunishuClan!A:A,kunishuClan!B:B),"浪人")))</f>
      </c>
      <c r="F3676" s="4">
        <v>0</v>
      </c>
      <c r="G3676" s="4">
        <v>48</v>
      </c>
      <c r="H3676" s="12" t="str">
        <f t="array" ref="H3676">IF(G3676:G7719="","",_xlfn.XLOOKUP(G3676:G7719,castles_state!A:A,castles_state!D:D,"見つかりません"))</f>
      </c>
      <c r="I3676" s="4"/>
      <c r="J3676" s="12" t="str">
        <f t="array" ref="J3676">IF(I3676:I7719="","",_xlfn.XLOOKUP(I3676:I7719,'参照_姫'!A:A,'参照_姫'!B:B,"見つかりません"))</f>
      </c>
      <c r="K3676" s="4">
        <v>95</v>
      </c>
      <c r="L3676" s="4">
        <v>0</v>
      </c>
      <c r="M3676" s="4"/>
      <c r="N3676" s="4"/>
      <c r="O3676" s="4"/>
      <c r="P3676" s="12" t="str">
        <f t="array" ref="P3676">IF(O3676:O7719="","",_xlfn.XLOOKUP(O3676:O7719,'参照_官位'!A:A,'参照_官位'!B:B,""))</f>
      </c>
      <c r="Q3676" s="12" t="str">
        <f t="array" ref="Q3676">IF(A3676:A7719="","",IFERROR(_xlfn.XLOOKUP(A3676:A7719,castles_state!K:K,castles_state!D:D)&amp;"主",IFERROR(_xlfn.XLOOKUP(A3676:A7719,kunishuClan!D:D,kunishuClan!B:B)&amp;"当主","")))</f>
      </c>
    </row>
    <row r="3677" ht="15.75" customHeight="1">
      <c r="A3677" s="4">
        <v>1301103</v>
      </c>
      <c r="B3677" s="12" t="str">
        <f t="array" ref="B3677">IF(A3677:A7720="","",_xlfn.XLOOKUP(A3677:A7720,'参照_武将'!A:A,'参照_武将'!B:B,"見つかりません"))</f>
      </c>
      <c r="C3677" s="4" t="s">
        <v>540</v>
      </c>
      <c r="D3677" s="4">
        <v>301</v>
      </c>
      <c r="E3677" s="12" t="str">
        <f t="array" ref="E3677">IF(D3677:D7720="","",IFERROR(_xlfn.XLOOKUP(D3677:D7720,'参照_勢力'!A:A,'参照_勢力'!B:B),IFERROR(_xlfn.XLOOKUP(F3677:F7720,kunishuClan!A:A,kunishuClan!B:B),"浪人")))</f>
      </c>
      <c r="F3677" s="4">
        <v>0</v>
      </c>
      <c r="G3677" s="4">
        <v>12</v>
      </c>
      <c r="H3677" s="12" t="str">
        <f t="array" ref="H3677">IF(G3677:G7720="","",_xlfn.XLOOKUP(G3677:G7720,castles_state!A:A,castles_state!D:D,"見つかりません"))</f>
      </c>
      <c r="I3677" s="4"/>
      <c r="J3677" s="12" t="str">
        <f t="array" ref="J3677">IF(I3677:I7720="","",_xlfn.XLOOKUP(I3677:I7720,'参照_姫'!A:A,'参照_姫'!B:B,"見つかりません"))</f>
      </c>
      <c r="K3677" s="4">
        <v>95</v>
      </c>
      <c r="L3677" s="4">
        <v>0</v>
      </c>
      <c r="M3677" s="4"/>
      <c r="N3677" s="4"/>
      <c r="O3677" s="4"/>
      <c r="P3677" s="12" t="str">
        <f t="array" ref="P3677">IF(O3677:O7720="","",_xlfn.XLOOKUP(O3677:O7720,'参照_官位'!A:A,'参照_官位'!B:B,""))</f>
      </c>
      <c r="Q3677" s="12" t="str">
        <f t="array" ref="Q3677">IF(A3677:A7720="","",IFERROR(_xlfn.XLOOKUP(A3677:A7720,castles_state!K:K,castles_state!D:D)&amp;"主",IFERROR(_xlfn.XLOOKUP(A3677:A7720,kunishuClan!D:D,kunishuClan!B:B)&amp;"当主","")))</f>
      </c>
    </row>
    <row r="3678" ht="15.75" customHeight="1">
      <c r="A3678" s="4">
        <v>1301104</v>
      </c>
      <c r="B3678" s="12" t="str">
        <f t="array" ref="B3678">IF(A3678:A7721="","",_xlfn.XLOOKUP(A3678:A7721,'参照_武将'!A:A,'参照_武将'!B:B,"見つかりません"))</f>
      </c>
      <c r="C3678" s="4" t="s">
        <v>540</v>
      </c>
      <c r="D3678" s="4">
        <v>301</v>
      </c>
      <c r="E3678" s="12" t="str">
        <f t="array" ref="E3678">IF(D3678:D7721="","",IFERROR(_xlfn.XLOOKUP(D3678:D7721,'参照_勢力'!A:A,'参照_勢力'!B:B),IFERROR(_xlfn.XLOOKUP(F3678:F7721,kunishuClan!A:A,kunishuClan!B:B),"浪人")))</f>
      </c>
      <c r="F3678" s="4">
        <v>0</v>
      </c>
      <c r="G3678" s="4">
        <v>48</v>
      </c>
      <c r="H3678" s="12" t="str">
        <f t="array" ref="H3678">IF(G3678:G7721="","",_xlfn.XLOOKUP(G3678:G7721,castles_state!A:A,castles_state!D:D,"見つかりません"))</f>
      </c>
      <c r="I3678" s="4"/>
      <c r="J3678" s="12" t="str">
        <f t="array" ref="J3678">IF(I3678:I7721="","",_xlfn.XLOOKUP(I3678:I7721,'参照_姫'!A:A,'参照_姫'!B:B,"見つかりません"))</f>
      </c>
      <c r="K3678" s="4">
        <v>90</v>
      </c>
      <c r="L3678" s="4">
        <v>0</v>
      </c>
      <c r="M3678" s="4"/>
      <c r="N3678" s="4"/>
      <c r="O3678" s="4"/>
      <c r="P3678" s="12" t="str">
        <f t="array" ref="P3678">IF(O3678:O7721="","",_xlfn.XLOOKUP(O3678:O7721,'参照_官位'!A:A,'参照_官位'!B:B,""))</f>
      </c>
      <c r="Q3678" s="12" t="str">
        <f t="array" ref="Q3678">IF(A3678:A7721="","",IFERROR(_xlfn.XLOOKUP(A3678:A7721,castles_state!K:K,castles_state!D:D)&amp;"主",IFERROR(_xlfn.XLOOKUP(A3678:A7721,kunishuClan!D:D,kunishuClan!B:B)&amp;"当主","")))</f>
      </c>
    </row>
    <row r="3679" ht="15.75" customHeight="1">
      <c r="A3679" s="4">
        <v>1301105</v>
      </c>
      <c r="B3679" s="12" t="str">
        <f t="array" ref="B3679">IF(A3679:A7722="","",_xlfn.XLOOKUP(A3679:A7722,'参照_武将'!A:A,'参照_武将'!B:B,"見つかりません"))</f>
      </c>
      <c r="C3679" s="4" t="s">
        <v>540</v>
      </c>
      <c r="D3679" s="4">
        <v>5</v>
      </c>
      <c r="E3679" s="12" t="str">
        <f t="array" ref="E3679">IF(D3679:D7722="","",IFERROR(_xlfn.XLOOKUP(D3679:D7722,'参照_勢力'!A:A,'参照_勢力'!B:B),IFERROR(_xlfn.XLOOKUP(F3679:F7722,kunishuClan!A:A,kunishuClan!B:B),"浪人")))</f>
      </c>
      <c r="F3679" s="4">
        <v>0</v>
      </c>
      <c r="G3679" s="4">
        <v>48</v>
      </c>
      <c r="H3679" s="12" t="str">
        <f t="array" ref="H3679">IF(G3679:G7722="","",_xlfn.XLOOKUP(G3679:G7722,castles_state!A:A,castles_state!D:D,"見つかりません"))</f>
      </c>
      <c r="I3679" s="4"/>
      <c r="J3679" s="12" t="str">
        <f t="array" ref="J3679">IF(I3679:I7722="","",_xlfn.XLOOKUP(I3679:I7722,'参照_姫'!A:A,'参照_姫'!B:B,"見つかりません"))</f>
      </c>
      <c r="K3679" s="4">
        <v>90</v>
      </c>
      <c r="L3679" s="4">
        <v>0</v>
      </c>
      <c r="M3679" s="4"/>
      <c r="N3679" s="4"/>
      <c r="O3679" s="4"/>
      <c r="P3679" s="12" t="str">
        <f t="array" ref="P3679">IF(O3679:O7722="","",_xlfn.XLOOKUP(O3679:O7722,'参照_官位'!A:A,'参照_官位'!B:B,""))</f>
      </c>
      <c r="Q3679" s="12" t="str">
        <f t="array" ref="Q3679">IF(A3679:A7722="","",IFERROR(_xlfn.XLOOKUP(A3679:A7722,castles_state!K:K,castles_state!D:D)&amp;"主",IFERROR(_xlfn.XLOOKUP(A3679:A7722,kunishuClan!D:D,kunishuClan!B:B)&amp;"当主","")))</f>
      </c>
    </row>
    <row r="3680" ht="15.75" customHeight="1">
      <c r="A3680" s="4">
        <v>1301106</v>
      </c>
      <c r="B3680" s="12" t="str">
        <f t="array" ref="B3680">IF(A3680:A7723="","",_xlfn.XLOOKUP(A3680:A7723,'参照_武将'!A:A,'参照_武将'!B:B,"見つかりません"))</f>
      </c>
      <c r="C3680" s="4" t="s">
        <v>540</v>
      </c>
      <c r="D3680" s="4">
        <v>301</v>
      </c>
      <c r="E3680" s="12" t="str">
        <f t="array" ref="E3680">IF(D3680:D7723="","",IFERROR(_xlfn.XLOOKUP(D3680:D7723,'参照_勢力'!A:A,'参照_勢力'!B:B),IFERROR(_xlfn.XLOOKUP(F3680:F7723,kunishuClan!A:A,kunishuClan!B:B),"浪人")))</f>
      </c>
      <c r="F3680" s="4">
        <v>0</v>
      </c>
      <c r="G3680" s="4">
        <v>48</v>
      </c>
      <c r="H3680" s="12" t="str">
        <f t="array" ref="H3680">IF(G3680:G7723="","",_xlfn.XLOOKUP(G3680:G7723,castles_state!A:A,castles_state!D:D,"見つかりません"))</f>
      </c>
      <c r="I3680" s="4"/>
      <c r="J3680" s="12" t="str">
        <f t="array" ref="J3680">IF(I3680:I7723="","",_xlfn.XLOOKUP(I3680:I7723,'参照_姫'!A:A,'参照_姫'!B:B,"見つかりません"))</f>
      </c>
      <c r="K3680" s="4">
        <v>95</v>
      </c>
      <c r="L3680" s="4">
        <v>0</v>
      </c>
      <c r="M3680" s="4"/>
      <c r="N3680" s="4"/>
      <c r="O3680" s="4"/>
      <c r="P3680" s="12" t="str">
        <f t="array" ref="P3680">IF(O3680:O7723="","",_xlfn.XLOOKUP(O3680:O7723,'参照_官位'!A:A,'参照_官位'!B:B,""))</f>
      </c>
      <c r="Q3680" s="12" t="str">
        <f t="array" ref="Q3680">IF(A3680:A7723="","",IFERROR(_xlfn.XLOOKUP(A3680:A7723,castles_state!K:K,castles_state!D:D)&amp;"主",IFERROR(_xlfn.XLOOKUP(A3680:A7723,kunishuClan!D:D,kunishuClan!B:B)&amp;"当主","")))</f>
      </c>
    </row>
    <row r="3681" ht="15.75" customHeight="1">
      <c r="A3681" s="4">
        <v>1301107</v>
      </c>
      <c r="B3681" s="12" t="str">
        <f t="array" ref="B3681">IF(A3681:A7724="","",_xlfn.XLOOKUP(A3681:A7724,'参照_武将'!A:A,'参照_武将'!B:B,"見つかりません"))</f>
      </c>
      <c r="C3681" s="4" t="s">
        <v>540</v>
      </c>
      <c r="D3681" s="4">
        <v>301</v>
      </c>
      <c r="E3681" s="12" t="str">
        <f t="array" ref="E3681">IF(D3681:D7724="","",IFERROR(_xlfn.XLOOKUP(D3681:D7724,'参照_勢力'!A:A,'参照_勢力'!B:B),IFERROR(_xlfn.XLOOKUP(F3681:F7724,kunishuClan!A:A,kunishuClan!B:B),"浪人")))</f>
      </c>
      <c r="F3681" s="4">
        <v>0</v>
      </c>
      <c r="G3681" s="4">
        <v>48</v>
      </c>
      <c r="H3681" s="12" t="str">
        <f t="array" ref="H3681">IF(G3681:G7724="","",_xlfn.XLOOKUP(G3681:G7724,castles_state!A:A,castles_state!D:D,"見つかりません"))</f>
      </c>
      <c r="I3681" s="4"/>
      <c r="J3681" s="12" t="str">
        <f t="array" ref="J3681">IF(I3681:I7724="","",_xlfn.XLOOKUP(I3681:I7724,'参照_姫'!A:A,'参照_姫'!B:B,"見つかりません"))</f>
      </c>
      <c r="K3681" s="4">
        <v>90</v>
      </c>
      <c r="L3681" s="4">
        <v>0</v>
      </c>
      <c r="M3681" s="4"/>
      <c r="N3681" s="4"/>
      <c r="O3681" s="4"/>
      <c r="P3681" s="12" t="str">
        <f t="array" ref="P3681">IF(O3681:O7724="","",_xlfn.XLOOKUP(O3681:O7724,'参照_官位'!A:A,'参照_官位'!B:B,""))</f>
      </c>
      <c r="Q3681" s="12" t="str">
        <f t="array" ref="Q3681">IF(A3681:A7724="","",IFERROR(_xlfn.XLOOKUP(A3681:A7724,castles_state!K:K,castles_state!D:D)&amp;"主",IFERROR(_xlfn.XLOOKUP(A3681:A7724,kunishuClan!D:D,kunishuClan!B:B)&amp;"当主","")))</f>
      </c>
    </row>
    <row r="3682" ht="15.75" customHeight="1">
      <c r="A3682" s="4">
        <v>1301108</v>
      </c>
      <c r="B3682" s="12" t="str">
        <f t="array" ref="B3682">IF(A3682:A7725="","",_xlfn.XLOOKUP(A3682:A7725,'参照_武将'!A:A,'参照_武将'!B:B,"見つかりません"))</f>
      </c>
      <c r="C3682" s="4" t="s">
        <v>540</v>
      </c>
      <c r="D3682" s="4">
        <v>301</v>
      </c>
      <c r="E3682" s="12" t="str">
        <f t="array" ref="E3682">IF(D3682:D7725="","",IFERROR(_xlfn.XLOOKUP(D3682:D7725,'参照_勢力'!A:A,'参照_勢力'!B:B),IFERROR(_xlfn.XLOOKUP(F3682:F7725,kunishuClan!A:A,kunishuClan!B:B),"浪人")))</f>
      </c>
      <c r="F3682" s="4">
        <v>0</v>
      </c>
      <c r="G3682" s="4">
        <v>48</v>
      </c>
      <c r="H3682" s="12" t="str">
        <f t="array" ref="H3682">IF(G3682:G7725="","",_xlfn.XLOOKUP(G3682:G7725,castles_state!A:A,castles_state!D:D,"見つかりません"))</f>
      </c>
      <c r="I3682" s="4"/>
      <c r="J3682" s="12" t="str">
        <f t="array" ref="J3682">IF(I3682:I7725="","",_xlfn.XLOOKUP(I3682:I7725,'参照_姫'!A:A,'参照_姫'!B:B,"見つかりません"))</f>
      </c>
      <c r="K3682" s="4">
        <v>90</v>
      </c>
      <c r="L3682" s="4">
        <v>0</v>
      </c>
      <c r="M3682" s="4"/>
      <c r="N3682" s="4"/>
      <c r="O3682" s="4"/>
      <c r="P3682" s="12" t="str">
        <f t="array" ref="P3682">IF(O3682:O7725="","",_xlfn.XLOOKUP(O3682:O7725,'参照_官位'!A:A,'参照_官位'!B:B,""))</f>
      </c>
      <c r="Q3682" s="12" t="str">
        <f t="array" ref="Q3682">IF(A3682:A7725="","",IFERROR(_xlfn.XLOOKUP(A3682:A7725,castles_state!K:K,castles_state!D:D)&amp;"主",IFERROR(_xlfn.XLOOKUP(A3682:A7725,kunishuClan!D:D,kunishuClan!B:B)&amp;"当主","")))</f>
      </c>
    </row>
    <row r="3683" ht="15.75" customHeight="1">
      <c r="A3683" s="4">
        <v>1301109</v>
      </c>
      <c r="B3683" s="12" t="str">
        <f t="array" ref="B3683">IF(A3683:A7726="","",_xlfn.XLOOKUP(A3683:A7726,'参照_武将'!A:A,'参照_武将'!B:B,"見つかりません"))</f>
      </c>
      <c r="C3683" s="4" t="s">
        <v>540</v>
      </c>
      <c r="D3683" s="4">
        <v>301</v>
      </c>
      <c r="E3683" s="12" t="str">
        <f t="array" ref="E3683">IF(D3683:D7726="","",IFERROR(_xlfn.XLOOKUP(D3683:D7726,'参照_勢力'!A:A,'参照_勢力'!B:B),IFERROR(_xlfn.XLOOKUP(F3683:F7726,kunishuClan!A:A,kunishuClan!B:B),"浪人")))</f>
      </c>
      <c r="F3683" s="4">
        <v>0</v>
      </c>
      <c r="G3683" s="4">
        <v>48</v>
      </c>
      <c r="H3683" s="12" t="str">
        <f t="array" ref="H3683">IF(G3683:G7726="","",_xlfn.XLOOKUP(G3683:G7726,castles_state!A:A,castles_state!D:D,"見つかりません"))</f>
      </c>
      <c r="I3683" s="4"/>
      <c r="J3683" s="12" t="str">
        <f t="array" ref="J3683">IF(I3683:I7726="","",_xlfn.XLOOKUP(I3683:I7726,'参照_姫'!A:A,'参照_姫'!B:B,"見つかりません"))</f>
      </c>
      <c r="K3683" s="4">
        <v>90</v>
      </c>
      <c r="L3683" s="4">
        <v>0</v>
      </c>
      <c r="M3683" s="4"/>
      <c r="N3683" s="4"/>
      <c r="O3683" s="4"/>
      <c r="P3683" s="12" t="str">
        <f t="array" ref="P3683">IF(O3683:O7726="","",_xlfn.XLOOKUP(O3683:O7726,'参照_官位'!A:A,'参照_官位'!B:B,""))</f>
      </c>
      <c r="Q3683" s="12" t="str">
        <f t="array" ref="Q3683">IF(A3683:A7726="","",IFERROR(_xlfn.XLOOKUP(A3683:A7726,castles_state!K:K,castles_state!D:D)&amp;"主",IFERROR(_xlfn.XLOOKUP(A3683:A7726,kunishuClan!D:D,kunishuClan!B:B)&amp;"当主","")))</f>
      </c>
    </row>
    <row r="3684" ht="15.75" customHeight="1">
      <c r="A3684" s="4">
        <v>1301110</v>
      </c>
      <c r="B3684" s="12" t="str">
        <f t="array" ref="B3684">IF(A3684:A7727="","",_xlfn.XLOOKUP(A3684:A7727,'参照_武将'!A:A,'参照_武将'!B:B,"見つかりません"))</f>
      </c>
      <c r="C3684" s="4" t="s">
        <v>540</v>
      </c>
      <c r="D3684" s="4">
        <v>301</v>
      </c>
      <c r="E3684" s="12" t="str">
        <f t="array" ref="E3684">IF(D3684:D7727="","",IFERROR(_xlfn.XLOOKUP(D3684:D7727,'参照_勢力'!A:A,'参照_勢力'!B:B),IFERROR(_xlfn.XLOOKUP(F3684:F7727,kunishuClan!A:A,kunishuClan!B:B),"浪人")))</f>
      </c>
      <c r="F3684" s="4">
        <v>0</v>
      </c>
      <c r="G3684" s="4">
        <v>48</v>
      </c>
      <c r="H3684" s="12" t="str">
        <f t="array" ref="H3684">IF(G3684:G7727="","",_xlfn.XLOOKUP(G3684:G7727,castles_state!A:A,castles_state!D:D,"見つかりません"))</f>
      </c>
      <c r="I3684" s="4"/>
      <c r="J3684" s="12" t="str">
        <f t="array" ref="J3684">IF(I3684:I7727="","",_xlfn.XLOOKUP(I3684:I7727,'参照_姫'!A:A,'参照_姫'!B:B,"見つかりません"))</f>
      </c>
      <c r="K3684" s="4">
        <v>90</v>
      </c>
      <c r="L3684" s="4">
        <v>0</v>
      </c>
      <c r="M3684" s="4"/>
      <c r="N3684" s="4"/>
      <c r="O3684" s="4"/>
      <c r="P3684" s="12" t="str">
        <f t="array" ref="P3684">IF(O3684:O7727="","",_xlfn.XLOOKUP(O3684:O7727,'参照_官位'!A:A,'参照_官位'!B:B,""))</f>
      </c>
      <c r="Q3684" s="12" t="str">
        <f t="array" ref="Q3684">IF(A3684:A7727="","",IFERROR(_xlfn.XLOOKUP(A3684:A7727,castles_state!K:K,castles_state!D:D)&amp;"主",IFERROR(_xlfn.XLOOKUP(A3684:A7727,kunishuClan!D:D,kunishuClan!B:B)&amp;"当主","")))</f>
      </c>
    </row>
    <row r="3685" ht="15.75" customHeight="1">
      <c r="A3685" s="4">
        <v>1301111</v>
      </c>
      <c r="B3685" s="12" t="str">
        <f t="array" ref="B3685">IF(A3685:A7728="","",_xlfn.XLOOKUP(A3685:A7728,'参照_武将'!A:A,'参照_武将'!B:B,"見つかりません"))</f>
      </c>
      <c r="C3685" s="4" t="s">
        <v>540</v>
      </c>
      <c r="D3685" s="4">
        <v>301</v>
      </c>
      <c r="E3685" s="12" t="str">
        <f t="array" ref="E3685">IF(D3685:D7728="","",IFERROR(_xlfn.XLOOKUP(D3685:D7728,'参照_勢力'!A:A,'参照_勢力'!B:B),IFERROR(_xlfn.XLOOKUP(F3685:F7728,kunishuClan!A:A,kunishuClan!B:B),"浪人")))</f>
      </c>
      <c r="F3685" s="4">
        <v>0</v>
      </c>
      <c r="G3685" s="4">
        <v>48</v>
      </c>
      <c r="H3685" s="12" t="str">
        <f t="array" ref="H3685">IF(G3685:G7728="","",_xlfn.XLOOKUP(G3685:G7728,castles_state!A:A,castles_state!D:D,"見つかりません"))</f>
      </c>
      <c r="I3685" s="4"/>
      <c r="J3685" s="12" t="str">
        <f t="array" ref="J3685">IF(I3685:I7728="","",_xlfn.XLOOKUP(I3685:I7728,'参照_姫'!A:A,'参照_姫'!B:B,"見つかりません"))</f>
      </c>
      <c r="K3685" s="4">
        <v>95</v>
      </c>
      <c r="L3685" s="4">
        <v>0</v>
      </c>
      <c r="M3685" s="4"/>
      <c r="N3685" s="4"/>
      <c r="O3685" s="4"/>
      <c r="P3685" s="12" t="str">
        <f t="array" ref="P3685">IF(O3685:O7728="","",_xlfn.XLOOKUP(O3685:O7728,'参照_官位'!A:A,'参照_官位'!B:B,""))</f>
      </c>
      <c r="Q3685" s="12" t="str">
        <f t="array" ref="Q3685">IF(A3685:A7728="","",IFERROR(_xlfn.XLOOKUP(A3685:A7728,castles_state!K:K,castles_state!D:D)&amp;"主",IFERROR(_xlfn.XLOOKUP(A3685:A7728,kunishuClan!D:D,kunishuClan!B:B)&amp;"当主","")))</f>
      </c>
    </row>
    <row r="3686" ht="15.75" customHeight="1">
      <c r="A3686" s="4">
        <v>1301112</v>
      </c>
      <c r="B3686" s="12" t="str">
        <f t="array" ref="B3686">IF(A3686:A7729="","",_xlfn.XLOOKUP(A3686:A7729,'参照_武将'!A:A,'参照_武将'!B:B,"見つかりません"))</f>
      </c>
      <c r="C3686" s="4" t="s">
        <v>540</v>
      </c>
      <c r="D3686" s="4">
        <v>301</v>
      </c>
      <c r="E3686" s="12" t="str">
        <f t="array" ref="E3686">IF(D3686:D7729="","",IFERROR(_xlfn.XLOOKUP(D3686:D7729,'参照_勢力'!A:A,'参照_勢力'!B:B),IFERROR(_xlfn.XLOOKUP(F3686:F7729,kunishuClan!A:A,kunishuClan!B:B),"浪人")))</f>
      </c>
      <c r="F3686" s="4">
        <v>0</v>
      </c>
      <c r="G3686" s="4">
        <v>48</v>
      </c>
      <c r="H3686" s="12" t="str">
        <f t="array" ref="H3686">IF(G3686:G7729="","",_xlfn.XLOOKUP(G3686:G7729,castles_state!A:A,castles_state!D:D,"見つかりません"))</f>
      </c>
      <c r="I3686" s="4"/>
      <c r="J3686" s="12" t="str">
        <f t="array" ref="J3686">IF(I3686:I7729="","",_xlfn.XLOOKUP(I3686:I7729,'参照_姫'!A:A,'参照_姫'!B:B,"見つかりません"))</f>
      </c>
      <c r="K3686" s="4">
        <v>90</v>
      </c>
      <c r="L3686" s="4">
        <v>0</v>
      </c>
      <c r="M3686" s="4"/>
      <c r="N3686" s="4"/>
      <c r="O3686" s="4"/>
      <c r="P3686" s="12" t="str">
        <f t="array" ref="P3686">IF(O3686:O7729="","",_xlfn.XLOOKUP(O3686:O7729,'参照_官位'!A:A,'参照_官位'!B:B,""))</f>
      </c>
      <c r="Q3686" s="12" t="str">
        <f t="array" ref="Q3686">IF(A3686:A7729="","",IFERROR(_xlfn.XLOOKUP(A3686:A7729,castles_state!K:K,castles_state!D:D)&amp;"主",IFERROR(_xlfn.XLOOKUP(A3686:A7729,kunishuClan!D:D,kunishuClan!B:B)&amp;"当主","")))</f>
      </c>
    </row>
    <row r="3687" ht="15.75" customHeight="1">
      <c r="A3687" s="4">
        <v>1301113</v>
      </c>
      <c r="B3687" s="12" t="str">
        <f t="array" ref="B3687">IF(A3687:A7730="","",_xlfn.XLOOKUP(A3687:A7730,'参照_武将'!A:A,'参照_武将'!B:B,"見つかりません"))</f>
      </c>
      <c r="C3687" s="4" t="s">
        <v>540</v>
      </c>
      <c r="D3687" s="4">
        <v>0</v>
      </c>
      <c r="E3687" s="12" t="str">
        <f t="array" ref="E3687">IF(D3687:D7730="","",IFERROR(_xlfn.XLOOKUP(D3687:D7730,'参照_勢力'!A:A,'参照_勢力'!B:B),IFERROR(_xlfn.XLOOKUP(F3687:F7730,kunishuClan!A:A,kunishuClan!B:B),"浪人")))</f>
      </c>
      <c r="F3687" s="4">
        <v>0</v>
      </c>
      <c r="G3687" s="4">
        <v>61</v>
      </c>
      <c r="H3687" s="12" t="str">
        <f t="array" ref="H3687">IF(G3687:G7730="","",_xlfn.XLOOKUP(G3687:G7730,castles_state!A:A,castles_state!D:D,"見つかりません"))</f>
      </c>
      <c r="I3687" s="4"/>
      <c r="J3687" s="12" t="str">
        <f t="array" ref="J3687">IF(I3687:I7730="","",_xlfn.XLOOKUP(I3687:I7730,'参照_姫'!A:A,'参照_姫'!B:B,"見つかりません"))</f>
      </c>
      <c r="K3687" s="4">
        <v>50</v>
      </c>
      <c r="L3687" s="4">
        <v>0</v>
      </c>
      <c r="M3687" s="4"/>
      <c r="N3687" s="4"/>
      <c r="O3687" s="4"/>
      <c r="P3687" s="12" t="str">
        <f t="array" ref="P3687">IF(O3687:O7730="","",_xlfn.XLOOKUP(O3687:O7730,'参照_官位'!A:A,'参照_官位'!B:B,""))</f>
      </c>
      <c r="Q3687" s="12" t="str">
        <f t="array" ref="Q3687">IF(A3687:A7730="","",IFERROR(_xlfn.XLOOKUP(A3687:A7730,castles_state!K:K,castles_state!D:D)&amp;"主",IFERROR(_xlfn.XLOOKUP(A3687:A7730,kunishuClan!D:D,kunishuClan!B:B)&amp;"当主","")))</f>
      </c>
    </row>
    <row r="3688" ht="15.75" customHeight="1">
      <c r="A3688" s="4">
        <v>1301114</v>
      </c>
      <c r="B3688" s="12" t="str">
        <f t="array" ref="B3688">IF(A3688:A7731="","",_xlfn.XLOOKUP(A3688:A7731,'参照_武将'!A:A,'参照_武将'!B:B,"見つかりません"))</f>
      </c>
      <c r="C3688" s="4" t="s">
        <v>540</v>
      </c>
      <c r="D3688" s="4">
        <v>5</v>
      </c>
      <c r="E3688" s="12" t="str">
        <f t="array" ref="E3688">IF(D3688:D7731="","",IFERROR(_xlfn.XLOOKUP(D3688:D7731,'参照_勢力'!A:A,'参照_勢力'!B:B),IFERROR(_xlfn.XLOOKUP(F3688:F7731,kunishuClan!A:A,kunishuClan!B:B),"浪人")))</f>
      </c>
      <c r="F3688" s="4">
        <v>0</v>
      </c>
      <c r="G3688" s="4">
        <v>48</v>
      </c>
      <c r="H3688" s="12" t="str">
        <f t="array" ref="H3688">IF(G3688:G7731="","",_xlfn.XLOOKUP(G3688:G7731,castles_state!A:A,castles_state!D:D,"見つかりません"))</f>
      </c>
      <c r="I3688" s="4"/>
      <c r="J3688" s="12" t="str">
        <f t="array" ref="J3688">IF(I3688:I7731="","",_xlfn.XLOOKUP(I3688:I7731,'参照_姫'!A:A,'参照_姫'!B:B,"見つかりません"))</f>
      </c>
      <c r="K3688" s="4">
        <v>95</v>
      </c>
      <c r="L3688" s="4">
        <v>0</v>
      </c>
      <c r="M3688" s="4"/>
      <c r="N3688" s="4"/>
      <c r="O3688" s="4"/>
      <c r="P3688" s="12" t="str">
        <f t="array" ref="P3688">IF(O3688:O7731="","",_xlfn.XLOOKUP(O3688:O7731,'参照_官位'!A:A,'参照_官位'!B:B,""))</f>
      </c>
      <c r="Q3688" s="12" t="str">
        <f t="array" ref="Q3688">IF(A3688:A7731="","",IFERROR(_xlfn.XLOOKUP(A3688:A7731,castles_state!K:K,castles_state!D:D)&amp;"主",IFERROR(_xlfn.XLOOKUP(A3688:A7731,kunishuClan!D:D,kunishuClan!B:B)&amp;"当主","")))</f>
      </c>
    </row>
    <row r="3689" ht="15.75" customHeight="1">
      <c r="A3689" s="4">
        <v>1301115</v>
      </c>
      <c r="B3689" s="12" t="str">
        <f t="array" ref="B3689">IF(A3689:A7732="","",_xlfn.XLOOKUP(A3689:A7732,'参照_武将'!A:A,'参照_武将'!B:B,"見つかりません"))</f>
      </c>
      <c r="C3689" s="4" t="s">
        <v>540</v>
      </c>
      <c r="D3689" s="4">
        <v>301</v>
      </c>
      <c r="E3689" s="12" t="str">
        <f t="array" ref="E3689">IF(D3689:D7732="","",IFERROR(_xlfn.XLOOKUP(D3689:D7732,'参照_勢力'!A:A,'参照_勢力'!B:B),IFERROR(_xlfn.XLOOKUP(F3689:F7732,kunishuClan!A:A,kunishuClan!B:B),"浪人")))</f>
      </c>
      <c r="F3689" s="4">
        <v>0</v>
      </c>
      <c r="G3689" s="4">
        <v>12</v>
      </c>
      <c r="H3689" s="12" t="str">
        <f t="array" ref="H3689">IF(G3689:G7732="","",_xlfn.XLOOKUP(G3689:G7732,castles_state!A:A,castles_state!D:D,"見つかりません"))</f>
      </c>
      <c r="I3689" s="4"/>
      <c r="J3689" s="12" t="str">
        <f t="array" ref="J3689">IF(I3689:I7732="","",_xlfn.XLOOKUP(I3689:I7732,'参照_姫'!A:A,'参照_姫'!B:B,"見つかりません"))</f>
      </c>
      <c r="K3689" s="4">
        <v>95</v>
      </c>
      <c r="L3689" s="4">
        <v>0</v>
      </c>
      <c r="M3689" s="4"/>
      <c r="N3689" s="4"/>
      <c r="O3689" s="4"/>
      <c r="P3689" s="12" t="str">
        <f t="array" ref="P3689">IF(O3689:O7732="","",_xlfn.XLOOKUP(O3689:O7732,'参照_官位'!A:A,'参照_官位'!B:B,""))</f>
      </c>
      <c r="Q3689" s="12" t="str">
        <f t="array" ref="Q3689">IF(A3689:A7732="","",IFERROR(_xlfn.XLOOKUP(A3689:A7732,castles_state!K:K,castles_state!D:D)&amp;"主",IFERROR(_xlfn.XLOOKUP(A3689:A7732,kunishuClan!D:D,kunishuClan!B:B)&amp;"当主","")))</f>
      </c>
    </row>
    <row r="3690" ht="15.75" customHeight="1">
      <c r="A3690" s="4">
        <v>1301116</v>
      </c>
      <c r="B3690" s="12" t="str">
        <f t="array" ref="B3690">IF(A3690:A7733="","",_xlfn.XLOOKUP(A3690:A7733,'参照_武将'!A:A,'参照_武将'!B:B,"見つかりません"))</f>
      </c>
      <c r="C3690" s="4" t="s">
        <v>540</v>
      </c>
      <c r="D3690" s="4">
        <v>301</v>
      </c>
      <c r="E3690" s="12" t="str">
        <f t="array" ref="E3690">IF(D3690:D7733="","",IFERROR(_xlfn.XLOOKUP(D3690:D7733,'参照_勢力'!A:A,'参照_勢力'!B:B),IFERROR(_xlfn.XLOOKUP(F3690:F7733,kunishuClan!A:A,kunishuClan!B:B),"浪人")))</f>
      </c>
      <c r="F3690" s="4">
        <v>0</v>
      </c>
      <c r="G3690" s="4">
        <v>48</v>
      </c>
      <c r="H3690" s="12" t="str">
        <f t="array" ref="H3690">IF(G3690:G7733="","",_xlfn.XLOOKUP(G3690:G7733,castles_state!A:A,castles_state!D:D,"見つかりません"))</f>
      </c>
      <c r="I3690" s="4"/>
      <c r="J3690" s="12" t="str">
        <f t="array" ref="J3690">IF(I3690:I7733="","",_xlfn.XLOOKUP(I3690:I7733,'参照_姫'!A:A,'参照_姫'!B:B,"見つかりません"))</f>
      </c>
      <c r="K3690" s="4">
        <v>90</v>
      </c>
      <c r="L3690" s="4">
        <v>0</v>
      </c>
      <c r="M3690" s="4"/>
      <c r="N3690" s="4"/>
      <c r="O3690" s="4"/>
      <c r="P3690" s="12" t="str">
        <f t="array" ref="P3690">IF(O3690:O7733="","",_xlfn.XLOOKUP(O3690:O7733,'参照_官位'!A:A,'参照_官位'!B:B,""))</f>
      </c>
      <c r="Q3690" s="12" t="str">
        <f t="array" ref="Q3690">IF(A3690:A7733="","",IFERROR(_xlfn.XLOOKUP(A3690:A7733,castles_state!K:K,castles_state!D:D)&amp;"主",IFERROR(_xlfn.XLOOKUP(A3690:A7733,kunishuClan!D:D,kunishuClan!B:B)&amp;"当主","")))</f>
      </c>
    </row>
    <row r="3691" ht="15.75" customHeight="1">
      <c r="A3691" s="4">
        <v>1301117</v>
      </c>
      <c r="B3691" s="12" t="str">
        <f t="array" ref="B3691">IF(A3691:A7734="","",_xlfn.XLOOKUP(A3691:A7734,'参照_武将'!A:A,'参照_武将'!B:B,"見つかりません"))</f>
      </c>
      <c r="C3691" s="4" t="s">
        <v>540</v>
      </c>
      <c r="D3691" s="4">
        <v>301</v>
      </c>
      <c r="E3691" s="12" t="str">
        <f t="array" ref="E3691">IF(D3691:D7734="","",IFERROR(_xlfn.XLOOKUP(D3691:D7734,'参照_勢力'!A:A,'参照_勢力'!B:B),IFERROR(_xlfn.XLOOKUP(F3691:F7734,kunishuClan!A:A,kunishuClan!B:B),"浪人")))</f>
      </c>
      <c r="F3691" s="4">
        <v>0</v>
      </c>
      <c r="G3691" s="4">
        <v>26</v>
      </c>
      <c r="H3691" s="12" t="str">
        <f t="array" ref="H3691">IF(G3691:G7734="","",_xlfn.XLOOKUP(G3691:G7734,castles_state!A:A,castles_state!D:D,"見つかりません"))</f>
      </c>
      <c r="I3691" s="4"/>
      <c r="J3691" s="12" t="str">
        <f t="array" ref="J3691">IF(I3691:I7734="","",_xlfn.XLOOKUP(I3691:I7734,'参照_姫'!A:A,'参照_姫'!B:B,"見つかりません"))</f>
      </c>
      <c r="K3691" s="4">
        <v>90</v>
      </c>
      <c r="L3691" s="4">
        <v>0</v>
      </c>
      <c r="M3691" s="4"/>
      <c r="N3691" s="4"/>
      <c r="O3691" s="4"/>
      <c r="P3691" s="12" t="str">
        <f t="array" ref="P3691">IF(O3691:O7734="","",_xlfn.XLOOKUP(O3691:O7734,'参照_官位'!A:A,'参照_官位'!B:B,""))</f>
      </c>
      <c r="Q3691" s="12" t="str">
        <f t="array" ref="Q3691">IF(A3691:A7734="","",IFERROR(_xlfn.XLOOKUP(A3691:A7734,castles_state!K:K,castles_state!D:D)&amp;"主",IFERROR(_xlfn.XLOOKUP(A3691:A7734,kunishuClan!D:D,kunishuClan!B:B)&amp;"当主","")))</f>
      </c>
    </row>
    <row r="3692" ht="15.75" customHeight="1">
      <c r="A3692" s="4">
        <v>1301118</v>
      </c>
      <c r="B3692" s="12" t="str">
        <f t="array" ref="B3692">IF(A3692:A7735="","",_xlfn.XLOOKUP(A3692:A7735,'参照_武将'!A:A,'参照_武将'!B:B,"見つかりません"))</f>
      </c>
      <c r="C3692" s="4" t="s">
        <v>540</v>
      </c>
      <c r="D3692" s="4">
        <v>301</v>
      </c>
      <c r="E3692" s="12" t="str">
        <f t="array" ref="E3692">IF(D3692:D7735="","",IFERROR(_xlfn.XLOOKUP(D3692:D7735,'参照_勢力'!A:A,'参照_勢力'!B:B),IFERROR(_xlfn.XLOOKUP(F3692:F7735,kunishuClan!A:A,kunishuClan!B:B),"浪人")))</f>
      </c>
      <c r="F3692" s="4">
        <v>0</v>
      </c>
      <c r="G3692" s="4">
        <v>48</v>
      </c>
      <c r="H3692" s="12" t="str">
        <f t="array" ref="H3692">IF(G3692:G7735="","",_xlfn.XLOOKUP(G3692:G7735,castles_state!A:A,castles_state!D:D,"見つかりません"))</f>
      </c>
      <c r="I3692" s="4"/>
      <c r="J3692" s="12" t="str">
        <f t="array" ref="J3692">IF(I3692:I7735="","",_xlfn.XLOOKUP(I3692:I7735,'参照_姫'!A:A,'参照_姫'!B:B,"見つかりません"))</f>
      </c>
      <c r="K3692" s="4">
        <v>95</v>
      </c>
      <c r="L3692" s="4">
        <v>0</v>
      </c>
      <c r="M3692" s="4"/>
      <c r="N3692" s="4"/>
      <c r="O3692" s="4"/>
      <c r="P3692" s="12" t="str">
        <f t="array" ref="P3692">IF(O3692:O7735="","",_xlfn.XLOOKUP(O3692:O7735,'参照_官位'!A:A,'参照_官位'!B:B,""))</f>
      </c>
      <c r="Q3692" s="12" t="str">
        <f t="array" ref="Q3692">IF(A3692:A7735="","",IFERROR(_xlfn.XLOOKUP(A3692:A7735,castles_state!K:K,castles_state!D:D)&amp;"主",IFERROR(_xlfn.XLOOKUP(A3692:A7735,kunishuClan!D:D,kunishuClan!B:B)&amp;"当主","")))</f>
      </c>
    </row>
    <row r="3693" ht="15.75" customHeight="1">
      <c r="A3693" s="4">
        <v>1301119</v>
      </c>
      <c r="B3693" s="12" t="str">
        <f t="array" ref="B3693">IF(A3693:A7736="","",_xlfn.XLOOKUP(A3693:A7736,'参照_武将'!A:A,'参照_武将'!B:B,"見つかりません"))</f>
      </c>
      <c r="C3693" s="4" t="s">
        <v>5986</v>
      </c>
      <c r="D3693" s="4">
        <v>5</v>
      </c>
      <c r="E3693" s="12" t="str">
        <f t="array" ref="E3693">IF(D3693:D7736="","",IFERROR(_xlfn.XLOOKUP(D3693:D7736,'参照_勢力'!A:A,'参照_勢力'!B:B),IFERROR(_xlfn.XLOOKUP(F3693:F7736,kunishuClan!A:A,kunishuClan!B:B),"浪人")))</f>
      </c>
      <c r="F3693" s="4">
        <v>0</v>
      </c>
      <c r="G3693" s="4">
        <v>48</v>
      </c>
      <c r="H3693" s="12" t="str">
        <f t="array" ref="H3693">IF(G3693:G7736="","",_xlfn.XLOOKUP(G3693:G7736,castles_state!A:A,castles_state!D:D,"見つかりません"))</f>
      </c>
      <c r="I3693" s="4"/>
      <c r="J3693" s="12" t="str">
        <f t="array" ref="J3693">IF(I3693:I7736="","",_xlfn.XLOOKUP(I3693:I7736,'参照_姫'!A:A,'参照_姫'!B:B,"見つかりません"))</f>
      </c>
      <c r="K3693" s="4">
        <v>90</v>
      </c>
      <c r="L3693" s="4">
        <v>0</v>
      </c>
      <c r="M3693" s="4"/>
      <c r="N3693" s="4"/>
      <c r="O3693" s="4"/>
      <c r="P3693" s="12" t="str">
        <f t="array" ref="P3693">IF(O3693:O7736="","",_xlfn.XLOOKUP(O3693:O7736,'参照_官位'!A:A,'参照_官位'!B:B,""))</f>
      </c>
      <c r="Q3693" s="12" t="str">
        <f t="array" ref="Q3693">IF(A3693:A7736="","",IFERROR(_xlfn.XLOOKUP(A3693:A7736,castles_state!K:K,castles_state!D:D)&amp;"主",IFERROR(_xlfn.XLOOKUP(A3693:A7736,kunishuClan!D:D,kunishuClan!B:B)&amp;"当主","")))</f>
      </c>
    </row>
    <row r="3694" ht="15.75" customHeight="1">
      <c r="A3694" s="4">
        <v>1301120</v>
      </c>
      <c r="B3694" s="12" t="str">
        <f t="array" ref="B3694">IF(A3694:A7737="","",_xlfn.XLOOKUP(A3694:A7737,'参照_武将'!A:A,'参照_武将'!B:B,"見つかりません"))</f>
      </c>
      <c r="C3694" s="4" t="s">
        <v>5986</v>
      </c>
      <c r="D3694" s="4">
        <v>5</v>
      </c>
      <c r="E3694" s="12" t="str">
        <f t="array" ref="E3694">IF(D3694:D7737="","",IFERROR(_xlfn.XLOOKUP(D3694:D7737,'参照_勢力'!A:A,'参照_勢力'!B:B),IFERROR(_xlfn.XLOOKUP(F3694:F7737,kunishuClan!A:A,kunishuClan!B:B),"浪人")))</f>
      </c>
      <c r="F3694" s="4">
        <v>0</v>
      </c>
      <c r="G3694" s="4">
        <v>48</v>
      </c>
      <c r="H3694" s="12" t="str">
        <f t="array" ref="H3694">IF(G3694:G7737="","",_xlfn.XLOOKUP(G3694:G7737,castles_state!A:A,castles_state!D:D,"見つかりません"))</f>
      </c>
      <c r="I3694" s="4"/>
      <c r="J3694" s="12" t="str">
        <f t="array" ref="J3694">IF(I3694:I7737="","",_xlfn.XLOOKUP(I3694:I7737,'参照_姫'!A:A,'参照_姫'!B:B,"見つかりません"))</f>
      </c>
      <c r="K3694" s="4">
        <v>90</v>
      </c>
      <c r="L3694" s="4">
        <v>0</v>
      </c>
      <c r="M3694" s="4"/>
      <c r="N3694" s="4"/>
      <c r="O3694" s="4"/>
      <c r="P3694" s="12" t="str">
        <f t="array" ref="P3694">IF(O3694:O7737="","",_xlfn.XLOOKUP(O3694:O7737,'参照_官位'!A:A,'参照_官位'!B:B,""))</f>
      </c>
      <c r="Q3694" s="12" t="str">
        <f t="array" ref="Q3694">IF(A3694:A7737="","",IFERROR(_xlfn.XLOOKUP(A3694:A7737,castles_state!K:K,castles_state!D:D)&amp;"主",IFERROR(_xlfn.XLOOKUP(A3694:A7737,kunishuClan!D:D,kunishuClan!B:B)&amp;"当主","")))</f>
      </c>
    </row>
    <row r="3695" ht="15.75" customHeight="1">
      <c r="A3695" s="4">
        <v>1301121</v>
      </c>
      <c r="B3695" s="12" t="str">
        <f t="array" ref="B3695">IF(A3695:A7738="","",_xlfn.XLOOKUP(A3695:A7738,'参照_武将'!A:A,'参照_武将'!B:B,"見つかりません"))</f>
      </c>
      <c r="C3695" s="4" t="s">
        <v>5986</v>
      </c>
      <c r="D3695" s="4">
        <v>5</v>
      </c>
      <c r="E3695" s="12" t="str">
        <f t="array" ref="E3695">IF(D3695:D7738="","",IFERROR(_xlfn.XLOOKUP(D3695:D7738,'参照_勢力'!A:A,'参照_勢力'!B:B),IFERROR(_xlfn.XLOOKUP(F3695:F7738,kunishuClan!A:A,kunishuClan!B:B),"浪人")))</f>
      </c>
      <c r="F3695" s="4">
        <v>0</v>
      </c>
      <c r="G3695" s="4">
        <v>48</v>
      </c>
      <c r="H3695" s="12" t="str">
        <f t="array" ref="H3695">IF(G3695:G7738="","",_xlfn.XLOOKUP(G3695:G7738,castles_state!A:A,castles_state!D:D,"見つかりません"))</f>
      </c>
      <c r="I3695" s="4"/>
      <c r="J3695" s="12" t="str">
        <f t="array" ref="J3695">IF(I3695:I7738="","",_xlfn.XLOOKUP(I3695:I7738,'参照_姫'!A:A,'参照_姫'!B:B,"見つかりません"))</f>
      </c>
      <c r="K3695" s="4">
        <v>90</v>
      </c>
      <c r="L3695" s="4">
        <v>0</v>
      </c>
      <c r="M3695" s="4"/>
      <c r="N3695" s="4"/>
      <c r="O3695" s="4"/>
      <c r="P3695" s="12" t="str">
        <f t="array" ref="P3695">IF(O3695:O7738="","",_xlfn.XLOOKUP(O3695:O7738,'参照_官位'!A:A,'参照_官位'!B:B,""))</f>
      </c>
      <c r="Q3695" s="12" t="str">
        <f t="array" ref="Q3695">IF(A3695:A7738="","",IFERROR(_xlfn.XLOOKUP(A3695:A7738,castles_state!K:K,castles_state!D:D)&amp;"主",IFERROR(_xlfn.XLOOKUP(A3695:A7738,kunishuClan!D:D,kunishuClan!B:B)&amp;"当主","")))</f>
      </c>
    </row>
    <row r="3696" ht="15.75" customHeight="1">
      <c r="A3696" s="4">
        <v>1301122</v>
      </c>
      <c r="B3696" s="12" t="str">
        <f t="array" ref="B3696">IF(A3696:A7739="","",_xlfn.XLOOKUP(A3696:A7739,'参照_武将'!A:A,'参照_武将'!B:B,"見つかりません"))</f>
      </c>
      <c r="C3696" s="4" t="s">
        <v>5986</v>
      </c>
      <c r="D3696" s="4">
        <v>5</v>
      </c>
      <c r="E3696" s="12" t="str">
        <f t="array" ref="E3696">IF(D3696:D7739="","",IFERROR(_xlfn.XLOOKUP(D3696:D7739,'参照_勢力'!A:A,'参照_勢力'!B:B),IFERROR(_xlfn.XLOOKUP(F3696:F7739,kunishuClan!A:A,kunishuClan!B:B),"浪人")))</f>
      </c>
      <c r="F3696" s="4">
        <v>0</v>
      </c>
      <c r="G3696" s="4">
        <v>48</v>
      </c>
      <c r="H3696" s="12" t="str">
        <f t="array" ref="H3696">IF(G3696:G7739="","",_xlfn.XLOOKUP(G3696:G7739,castles_state!A:A,castles_state!D:D,"見つかりません"))</f>
      </c>
      <c r="I3696" s="4"/>
      <c r="J3696" s="12" t="str">
        <f t="array" ref="J3696">IF(I3696:I7739="","",_xlfn.XLOOKUP(I3696:I7739,'参照_姫'!A:A,'参照_姫'!B:B,"見つかりません"))</f>
      </c>
      <c r="K3696" s="4">
        <v>90</v>
      </c>
      <c r="L3696" s="4">
        <v>0</v>
      </c>
      <c r="M3696" s="4"/>
      <c r="N3696" s="4"/>
      <c r="O3696" s="4"/>
      <c r="P3696" s="12" t="str">
        <f t="array" ref="P3696">IF(O3696:O7739="","",_xlfn.XLOOKUP(O3696:O7739,'参照_官位'!A:A,'参照_官位'!B:B,""))</f>
      </c>
      <c r="Q3696" s="12" t="str">
        <f t="array" ref="Q3696">IF(A3696:A7739="","",IFERROR(_xlfn.XLOOKUP(A3696:A7739,castles_state!K:K,castles_state!D:D)&amp;"主",IFERROR(_xlfn.XLOOKUP(A3696:A7739,kunishuClan!D:D,kunishuClan!B:B)&amp;"当主","")))</f>
      </c>
    </row>
    <row r="3697" ht="15.75" customHeight="1">
      <c r="A3697" s="4">
        <v>1301123</v>
      </c>
      <c r="B3697" s="12" t="str">
        <f t="array" ref="B3697">IF(A3697:A7740="","",_xlfn.XLOOKUP(A3697:A7740,'参照_武将'!A:A,'参照_武将'!B:B,"見つかりません"))</f>
      </c>
      <c r="C3697" s="4" t="s">
        <v>5986</v>
      </c>
      <c r="D3697" s="4">
        <v>5</v>
      </c>
      <c r="E3697" s="12" t="str">
        <f t="array" ref="E3697">IF(D3697:D7740="","",IFERROR(_xlfn.XLOOKUP(D3697:D7740,'参照_勢力'!A:A,'参照_勢力'!B:B),IFERROR(_xlfn.XLOOKUP(F3697:F7740,kunishuClan!A:A,kunishuClan!B:B),"浪人")))</f>
      </c>
      <c r="F3697" s="4">
        <v>0</v>
      </c>
      <c r="G3697" s="4">
        <v>48</v>
      </c>
      <c r="H3697" s="12" t="str">
        <f t="array" ref="H3697">IF(G3697:G7740="","",_xlfn.XLOOKUP(G3697:G7740,castles_state!A:A,castles_state!D:D,"見つかりません"))</f>
      </c>
      <c r="I3697" s="4"/>
      <c r="J3697" s="12" t="str">
        <f t="array" ref="J3697">IF(I3697:I7740="","",_xlfn.XLOOKUP(I3697:I7740,'参照_姫'!A:A,'参照_姫'!B:B,"見つかりません"))</f>
      </c>
      <c r="K3697" s="4">
        <v>90</v>
      </c>
      <c r="L3697" s="4">
        <v>0</v>
      </c>
      <c r="M3697" s="4"/>
      <c r="N3697" s="4"/>
      <c r="O3697" s="4"/>
      <c r="P3697" s="12" t="str">
        <f t="array" ref="P3697">IF(O3697:O7740="","",_xlfn.XLOOKUP(O3697:O7740,'参照_官位'!A:A,'参照_官位'!B:B,""))</f>
      </c>
      <c r="Q3697" s="12" t="str">
        <f t="array" ref="Q3697">IF(A3697:A7740="","",IFERROR(_xlfn.XLOOKUP(A3697:A7740,castles_state!K:K,castles_state!D:D)&amp;"主",IFERROR(_xlfn.XLOOKUP(A3697:A7740,kunishuClan!D:D,kunishuClan!B:B)&amp;"当主","")))</f>
      </c>
    </row>
    <row r="3698" ht="15.75" customHeight="1">
      <c r="A3698" s="4">
        <v>1301124</v>
      </c>
      <c r="B3698" s="12" t="str">
        <f t="array" ref="B3698">IF(A3698:A7741="","",_xlfn.XLOOKUP(A3698:A7741,'参照_武将'!A:A,'参照_武将'!B:B,"見つかりません"))</f>
      </c>
      <c r="C3698" s="4" t="s">
        <v>5986</v>
      </c>
      <c r="D3698" s="4">
        <v>5</v>
      </c>
      <c r="E3698" s="12" t="str">
        <f t="array" ref="E3698">IF(D3698:D7741="","",IFERROR(_xlfn.XLOOKUP(D3698:D7741,'参照_勢力'!A:A,'参照_勢力'!B:B),IFERROR(_xlfn.XLOOKUP(F3698:F7741,kunishuClan!A:A,kunishuClan!B:B),"浪人")))</f>
      </c>
      <c r="F3698" s="4">
        <v>0</v>
      </c>
      <c r="G3698" s="4">
        <v>48</v>
      </c>
      <c r="H3698" s="12" t="str">
        <f t="array" ref="H3698">IF(G3698:G7741="","",_xlfn.XLOOKUP(G3698:G7741,castles_state!A:A,castles_state!D:D,"見つかりません"))</f>
      </c>
      <c r="I3698" s="4"/>
      <c r="J3698" s="12" t="str">
        <f t="array" ref="J3698">IF(I3698:I7741="","",_xlfn.XLOOKUP(I3698:I7741,'参照_姫'!A:A,'参照_姫'!B:B,"見つかりません"))</f>
      </c>
      <c r="K3698" s="4">
        <v>95</v>
      </c>
      <c r="L3698" s="4">
        <v>0</v>
      </c>
      <c r="M3698" s="4"/>
      <c r="N3698" s="4"/>
      <c r="O3698" s="4"/>
      <c r="P3698" s="12" t="str">
        <f t="array" ref="P3698">IF(O3698:O7741="","",_xlfn.XLOOKUP(O3698:O7741,'参照_官位'!A:A,'参照_官位'!B:B,""))</f>
      </c>
      <c r="Q3698" s="12" t="str">
        <f t="array" ref="Q3698">IF(A3698:A7741="","",IFERROR(_xlfn.XLOOKUP(A3698:A7741,castles_state!K:K,castles_state!D:D)&amp;"主",IFERROR(_xlfn.XLOOKUP(A3698:A7741,kunishuClan!D:D,kunishuClan!B:B)&amp;"当主","")))</f>
      </c>
    </row>
    <row r="3699" ht="15.75" customHeight="1">
      <c r="A3699" s="4">
        <v>1301125</v>
      </c>
      <c r="B3699" s="12" t="str">
        <f t="array" ref="B3699">IF(A3699:A7742="","",_xlfn.XLOOKUP(A3699:A7742,'参照_武将'!A:A,'参照_武将'!B:B,"見つかりません"))</f>
      </c>
      <c r="C3699" s="4" t="s">
        <v>5986</v>
      </c>
      <c r="D3699" s="4">
        <v>301</v>
      </c>
      <c r="E3699" s="12" t="str">
        <f t="array" ref="E3699">IF(D3699:D7742="","",IFERROR(_xlfn.XLOOKUP(D3699:D7742,'参照_勢力'!A:A,'参照_勢力'!B:B),IFERROR(_xlfn.XLOOKUP(F3699:F7742,kunishuClan!A:A,kunishuClan!B:B),"浪人")))</f>
      </c>
      <c r="F3699" s="4">
        <v>0</v>
      </c>
      <c r="G3699" s="4">
        <v>12</v>
      </c>
      <c r="H3699" s="12" t="str">
        <f t="array" ref="H3699">IF(G3699:G7742="","",_xlfn.XLOOKUP(G3699:G7742,castles_state!A:A,castles_state!D:D,"見つかりません"))</f>
      </c>
      <c r="I3699" s="4"/>
      <c r="J3699" s="12" t="str">
        <f t="array" ref="J3699">IF(I3699:I7742="","",_xlfn.XLOOKUP(I3699:I7742,'参照_姫'!A:A,'参照_姫'!B:B,"見つかりません"))</f>
      </c>
      <c r="K3699" s="4">
        <v>95</v>
      </c>
      <c r="L3699" s="4">
        <v>0</v>
      </c>
      <c r="M3699" s="4"/>
      <c r="N3699" s="4"/>
      <c r="O3699" s="4"/>
      <c r="P3699" s="12" t="str">
        <f t="array" ref="P3699">IF(O3699:O7742="","",_xlfn.XLOOKUP(O3699:O7742,'参照_官位'!A:A,'参照_官位'!B:B,""))</f>
      </c>
      <c r="Q3699" s="12" t="str">
        <f t="array" ref="Q3699">IF(A3699:A7742="","",IFERROR(_xlfn.XLOOKUP(A3699:A7742,castles_state!K:K,castles_state!D:D)&amp;"主",IFERROR(_xlfn.XLOOKUP(A3699:A7742,kunishuClan!D:D,kunishuClan!B:B)&amp;"当主","")))</f>
      </c>
    </row>
    <row r="3700" ht="15.75" customHeight="1">
      <c r="A3700" s="4">
        <v>1301126</v>
      </c>
      <c r="B3700" s="12" t="str">
        <f t="array" ref="B3700">IF(A3700:A7743="","",_xlfn.XLOOKUP(A3700:A7743,'参照_武将'!A:A,'参照_武将'!B:B,"見つかりません"))</f>
      </c>
      <c r="C3700" s="4" t="s">
        <v>5986</v>
      </c>
      <c r="D3700" s="4">
        <v>301</v>
      </c>
      <c r="E3700" s="12" t="str">
        <f t="array" ref="E3700">IF(D3700:D7743="","",IFERROR(_xlfn.XLOOKUP(D3700:D7743,'参照_勢力'!A:A,'参照_勢力'!B:B),IFERROR(_xlfn.XLOOKUP(F3700:F7743,kunishuClan!A:A,kunishuClan!B:B),"浪人")))</f>
      </c>
      <c r="F3700" s="4">
        <v>0</v>
      </c>
      <c r="G3700" s="4">
        <v>48</v>
      </c>
      <c r="H3700" s="12" t="str">
        <f t="array" ref="H3700">IF(G3700:G7743="","",_xlfn.XLOOKUP(G3700:G7743,castles_state!A:A,castles_state!D:D,"見つかりません"))</f>
      </c>
      <c r="I3700" s="4"/>
      <c r="J3700" s="12" t="str">
        <f t="array" ref="J3700">IF(I3700:I7743="","",_xlfn.XLOOKUP(I3700:I7743,'参照_姫'!A:A,'参照_姫'!B:B,"見つかりません"))</f>
      </c>
      <c r="K3700" s="4">
        <v>90</v>
      </c>
      <c r="L3700" s="4">
        <v>0</v>
      </c>
      <c r="M3700" s="4"/>
      <c r="N3700" s="4"/>
      <c r="O3700" s="4"/>
      <c r="P3700" s="12" t="str">
        <f t="array" ref="P3700">IF(O3700:O7743="","",_xlfn.XLOOKUP(O3700:O7743,'参照_官位'!A:A,'参照_官位'!B:B,""))</f>
      </c>
      <c r="Q3700" s="12" t="str">
        <f t="array" ref="Q3700">IF(A3700:A7743="","",IFERROR(_xlfn.XLOOKUP(A3700:A7743,castles_state!K:K,castles_state!D:D)&amp;"主",IFERROR(_xlfn.XLOOKUP(A3700:A7743,kunishuClan!D:D,kunishuClan!B:B)&amp;"当主","")))</f>
      </c>
    </row>
    <row r="3701" ht="15.75" customHeight="1">
      <c r="A3701" s="4">
        <v>1301127</v>
      </c>
      <c r="B3701" s="12" t="str">
        <f t="array" ref="B3701">IF(A3701:A7744="","",_xlfn.XLOOKUP(A3701:A7744,'参照_武将'!A:A,'参照_武将'!B:B,"見つかりません"))</f>
      </c>
      <c r="C3701" s="4" t="s">
        <v>5986</v>
      </c>
      <c r="D3701" s="4">
        <v>301</v>
      </c>
      <c r="E3701" s="12" t="str">
        <f t="array" ref="E3701">IF(D3701:D7744="","",IFERROR(_xlfn.XLOOKUP(D3701:D7744,'参照_勢力'!A:A,'参照_勢力'!B:B),IFERROR(_xlfn.XLOOKUP(F3701:F7744,kunishuClan!A:A,kunishuClan!B:B),"浪人")))</f>
      </c>
      <c r="F3701" s="4">
        <v>0</v>
      </c>
      <c r="G3701" s="4">
        <v>48</v>
      </c>
      <c r="H3701" s="12" t="str">
        <f t="array" ref="H3701">IF(G3701:G7744="","",_xlfn.XLOOKUP(G3701:G7744,castles_state!A:A,castles_state!D:D,"見つかりません"))</f>
      </c>
      <c r="I3701" s="4"/>
      <c r="J3701" s="12" t="str">
        <f t="array" ref="J3701">IF(I3701:I7744="","",_xlfn.XLOOKUP(I3701:I7744,'参照_姫'!A:A,'参照_姫'!B:B,"見つかりません"))</f>
      </c>
      <c r="K3701" s="4">
        <v>90</v>
      </c>
      <c r="L3701" s="4">
        <v>0</v>
      </c>
      <c r="M3701" s="4"/>
      <c r="N3701" s="4"/>
      <c r="O3701" s="4"/>
      <c r="P3701" s="12" t="str">
        <f t="array" ref="P3701">IF(O3701:O7744="","",_xlfn.XLOOKUP(O3701:O7744,'参照_官位'!A:A,'参照_官位'!B:B,""))</f>
      </c>
      <c r="Q3701" s="12" t="str">
        <f t="array" ref="Q3701">IF(A3701:A7744="","",IFERROR(_xlfn.XLOOKUP(A3701:A7744,castles_state!K:K,castles_state!D:D)&amp;"主",IFERROR(_xlfn.XLOOKUP(A3701:A7744,kunishuClan!D:D,kunishuClan!B:B)&amp;"当主","")))</f>
      </c>
    </row>
    <row r="3702" ht="15.75" customHeight="1">
      <c r="A3702" s="4">
        <v>1301128</v>
      </c>
      <c r="B3702" s="12" t="str">
        <f t="array" ref="B3702">IF(A3702:A7745="","",_xlfn.XLOOKUP(A3702:A7745,'参照_武将'!A:A,'参照_武将'!B:B,"見つかりません"))</f>
      </c>
      <c r="C3702" s="4" t="s">
        <v>5986</v>
      </c>
      <c r="D3702" s="4">
        <v>301</v>
      </c>
      <c r="E3702" s="12" t="str">
        <f t="array" ref="E3702">IF(D3702:D7745="","",IFERROR(_xlfn.XLOOKUP(D3702:D7745,'参照_勢力'!A:A,'参照_勢力'!B:B),IFERROR(_xlfn.XLOOKUP(F3702:F7745,kunishuClan!A:A,kunishuClan!B:B),"浪人")))</f>
      </c>
      <c r="F3702" s="4">
        <v>0</v>
      </c>
      <c r="G3702" s="4">
        <v>48</v>
      </c>
      <c r="H3702" s="12" t="str">
        <f t="array" ref="H3702">IF(G3702:G7745="","",_xlfn.XLOOKUP(G3702:G7745,castles_state!A:A,castles_state!D:D,"見つかりません"))</f>
      </c>
      <c r="I3702" s="4"/>
      <c r="J3702" s="12" t="str">
        <f t="array" ref="J3702">IF(I3702:I7745="","",_xlfn.XLOOKUP(I3702:I7745,'参照_姫'!A:A,'参照_姫'!B:B,"見つかりません"))</f>
      </c>
      <c r="K3702" s="4">
        <v>90</v>
      </c>
      <c r="L3702" s="4">
        <v>0</v>
      </c>
      <c r="M3702" s="4"/>
      <c r="N3702" s="4"/>
      <c r="O3702" s="4"/>
      <c r="P3702" s="12" t="str">
        <f t="array" ref="P3702">IF(O3702:O7745="","",_xlfn.XLOOKUP(O3702:O7745,'参照_官位'!A:A,'参照_官位'!B:B,""))</f>
      </c>
      <c r="Q3702" s="12" t="str">
        <f t="array" ref="Q3702">IF(A3702:A7745="","",IFERROR(_xlfn.XLOOKUP(A3702:A7745,castles_state!K:K,castles_state!D:D)&amp;"主",IFERROR(_xlfn.XLOOKUP(A3702:A7745,kunishuClan!D:D,kunishuClan!B:B)&amp;"当主","")))</f>
      </c>
    </row>
    <row r="3703" ht="15.75" customHeight="1">
      <c r="A3703" s="4">
        <v>1301129</v>
      </c>
      <c r="B3703" s="12" t="str">
        <f t="array" ref="B3703">IF(A3703:A7746="","",_xlfn.XLOOKUP(A3703:A7746,'参照_武将'!A:A,'参照_武将'!B:B,"見つかりません"))</f>
      </c>
      <c r="C3703" s="4" t="s">
        <v>5987</v>
      </c>
      <c r="D3703" s="4">
        <v>5</v>
      </c>
      <c r="E3703" s="12" t="str">
        <f t="array" ref="E3703">IF(D3703:D7746="","",IFERROR(_xlfn.XLOOKUP(D3703:D7746,'参照_勢力'!A:A,'参照_勢力'!B:B),IFERROR(_xlfn.XLOOKUP(F3703:F7746,kunishuClan!A:A,kunishuClan!B:B),"浪人")))</f>
      </c>
      <c r="F3703" s="4">
        <v>0</v>
      </c>
      <c r="G3703" s="4">
        <v>48</v>
      </c>
      <c r="H3703" s="12" t="str">
        <f t="array" ref="H3703">IF(G3703:G7746="","",_xlfn.XLOOKUP(G3703:G7746,castles_state!A:A,castles_state!D:D,"見つかりません"))</f>
      </c>
      <c r="I3703" s="4"/>
      <c r="J3703" s="12" t="str">
        <f t="array" ref="J3703">IF(I3703:I7746="","",_xlfn.XLOOKUP(I3703:I7746,'参照_姫'!A:A,'参照_姫'!B:B,"見つかりません"))</f>
      </c>
      <c r="K3703" s="4">
        <v>90</v>
      </c>
      <c r="L3703" s="4">
        <v>0</v>
      </c>
      <c r="M3703" s="4"/>
      <c r="N3703" s="4"/>
      <c r="O3703" s="4"/>
      <c r="P3703" s="12" t="str">
        <f t="array" ref="P3703">IF(O3703:O7746="","",_xlfn.XLOOKUP(O3703:O7746,'参照_官位'!A:A,'参照_官位'!B:B,""))</f>
      </c>
      <c r="Q3703" s="12" t="str">
        <f t="array" ref="Q3703">IF(A3703:A7746="","",IFERROR(_xlfn.XLOOKUP(A3703:A7746,castles_state!K:K,castles_state!D:D)&amp;"主",IFERROR(_xlfn.XLOOKUP(A3703:A7746,kunishuClan!D:D,kunishuClan!B:B)&amp;"当主","")))</f>
      </c>
    </row>
    <row r="3704" ht="15.75" customHeight="1">
      <c r="A3704" s="4">
        <v>1301130</v>
      </c>
      <c r="B3704" s="12" t="str">
        <f t="array" ref="B3704">IF(A3704:A7747="","",_xlfn.XLOOKUP(A3704:A7747,'参照_武将'!A:A,'参照_武将'!B:B,"見つかりません"))</f>
      </c>
      <c r="C3704" s="4" t="s">
        <v>5987</v>
      </c>
      <c r="D3704" s="4">
        <v>5</v>
      </c>
      <c r="E3704" s="12" t="str">
        <f t="array" ref="E3704">IF(D3704:D7747="","",IFERROR(_xlfn.XLOOKUP(D3704:D7747,'参照_勢力'!A:A,'参照_勢力'!B:B),IFERROR(_xlfn.XLOOKUP(F3704:F7747,kunishuClan!A:A,kunishuClan!B:B),"浪人")))</f>
      </c>
      <c r="F3704" s="4">
        <v>0</v>
      </c>
      <c r="G3704" s="4">
        <v>48</v>
      </c>
      <c r="H3704" s="12" t="str">
        <f t="array" ref="H3704">IF(G3704:G7747="","",_xlfn.XLOOKUP(G3704:G7747,castles_state!A:A,castles_state!D:D,"見つかりません"))</f>
      </c>
      <c r="I3704" s="4"/>
      <c r="J3704" s="12" t="str">
        <f t="array" ref="J3704">IF(I3704:I7747="","",_xlfn.XLOOKUP(I3704:I7747,'参照_姫'!A:A,'参照_姫'!B:B,"見つかりません"))</f>
      </c>
      <c r="K3704" s="4">
        <v>90</v>
      </c>
      <c r="L3704" s="4">
        <v>0</v>
      </c>
      <c r="M3704" s="4"/>
      <c r="N3704" s="4"/>
      <c r="O3704" s="4"/>
      <c r="P3704" s="12" t="str">
        <f t="array" ref="P3704">IF(O3704:O7747="","",_xlfn.XLOOKUP(O3704:O7747,'参照_官位'!A:A,'参照_官位'!B:B,""))</f>
      </c>
      <c r="Q3704" s="12" t="str">
        <f t="array" ref="Q3704">IF(A3704:A7747="","",IFERROR(_xlfn.XLOOKUP(A3704:A7747,castles_state!K:K,castles_state!D:D)&amp;"主",IFERROR(_xlfn.XLOOKUP(A3704:A7747,kunishuClan!D:D,kunishuClan!B:B)&amp;"当主","")))</f>
      </c>
    </row>
    <row r="3705" ht="15.75" customHeight="1">
      <c r="A3705" s="4">
        <v>1301131</v>
      </c>
      <c r="B3705" s="12" t="str">
        <f t="array" ref="B3705">IF(A3705:A7748="","",_xlfn.XLOOKUP(A3705:A7748,'参照_武将'!A:A,'参照_武将'!B:B,"見つかりません"))</f>
      </c>
      <c r="C3705" s="4" t="s">
        <v>5987</v>
      </c>
      <c r="D3705" s="4">
        <v>301</v>
      </c>
      <c r="E3705" s="12" t="str">
        <f t="array" ref="E3705">IF(D3705:D7748="","",IFERROR(_xlfn.XLOOKUP(D3705:D7748,'参照_勢力'!A:A,'参照_勢力'!B:B),IFERROR(_xlfn.XLOOKUP(F3705:F7748,kunishuClan!A:A,kunishuClan!B:B),"浪人")))</f>
      </c>
      <c r="F3705" s="4">
        <v>0</v>
      </c>
      <c r="G3705" s="4">
        <v>12</v>
      </c>
      <c r="H3705" s="12" t="str">
        <f t="array" ref="H3705">IF(G3705:G7748="","",_xlfn.XLOOKUP(G3705:G7748,castles_state!A:A,castles_state!D:D,"見つかりません"))</f>
      </c>
      <c r="I3705" s="4"/>
      <c r="J3705" s="12" t="str">
        <f t="array" ref="J3705">IF(I3705:I7748="","",_xlfn.XLOOKUP(I3705:I7748,'参照_姫'!A:A,'参照_姫'!B:B,"見つかりません"))</f>
      </c>
      <c r="K3705" s="4">
        <v>95</v>
      </c>
      <c r="L3705" s="4">
        <v>0</v>
      </c>
      <c r="M3705" s="4"/>
      <c r="N3705" s="4"/>
      <c r="O3705" s="4"/>
      <c r="P3705" s="12" t="str">
        <f t="array" ref="P3705">IF(O3705:O7748="","",_xlfn.XLOOKUP(O3705:O7748,'参照_官位'!A:A,'参照_官位'!B:B,""))</f>
      </c>
      <c r="Q3705" s="12" t="str">
        <f t="array" ref="Q3705">IF(A3705:A7748="","",IFERROR(_xlfn.XLOOKUP(A3705:A7748,castles_state!K:K,castles_state!D:D)&amp;"主",IFERROR(_xlfn.XLOOKUP(A3705:A7748,kunishuClan!D:D,kunishuClan!B:B)&amp;"当主","")))</f>
      </c>
    </row>
    <row r="3706" ht="15.75" customHeight="1">
      <c r="A3706" s="4">
        <v>1301132</v>
      </c>
      <c r="B3706" s="12" t="str">
        <f t="array" ref="B3706">IF(A3706:A7749="","",_xlfn.XLOOKUP(A3706:A7749,'参照_武将'!A:A,'参照_武将'!B:B,"見つかりません"))</f>
      </c>
      <c r="C3706" s="4" t="s">
        <v>5988</v>
      </c>
      <c r="D3706" s="4">
        <v>5</v>
      </c>
      <c r="E3706" s="12" t="str">
        <f t="array" ref="E3706">IF(D3706:D7749="","",IFERROR(_xlfn.XLOOKUP(D3706:D7749,'参照_勢力'!A:A,'参照_勢力'!B:B),IFERROR(_xlfn.XLOOKUP(F3706:F7749,kunishuClan!A:A,kunishuClan!B:B),"浪人")))</f>
      </c>
      <c r="F3706" s="4">
        <v>0</v>
      </c>
      <c r="G3706" s="4">
        <v>48</v>
      </c>
      <c r="H3706" s="12" t="str">
        <f t="array" ref="H3706">IF(G3706:G7749="","",_xlfn.XLOOKUP(G3706:G7749,castles_state!A:A,castles_state!D:D,"見つかりません"))</f>
      </c>
      <c r="I3706" s="4"/>
      <c r="J3706" s="12" t="str">
        <f t="array" ref="J3706">IF(I3706:I7749="","",_xlfn.XLOOKUP(I3706:I7749,'参照_姫'!A:A,'参照_姫'!B:B,"見つかりません"))</f>
      </c>
      <c r="K3706" s="4">
        <v>90</v>
      </c>
      <c r="L3706" s="4">
        <v>0</v>
      </c>
      <c r="M3706" s="4"/>
      <c r="N3706" s="4"/>
      <c r="O3706" s="4"/>
      <c r="P3706" s="12" t="str">
        <f t="array" ref="P3706">IF(O3706:O7749="","",_xlfn.XLOOKUP(O3706:O7749,'参照_官位'!A:A,'参照_官位'!B:B,""))</f>
      </c>
      <c r="Q3706" s="12" t="str">
        <f t="array" ref="Q3706">IF(A3706:A7749="","",IFERROR(_xlfn.XLOOKUP(A3706:A7749,castles_state!K:K,castles_state!D:D)&amp;"主",IFERROR(_xlfn.XLOOKUP(A3706:A7749,kunishuClan!D:D,kunishuClan!B:B)&amp;"当主","")))</f>
      </c>
    </row>
    <row r="3707" ht="15.75" customHeight="1">
      <c r="A3707" s="4">
        <v>1301133</v>
      </c>
      <c r="B3707" s="12" t="str">
        <f t="array" ref="B3707">IF(A3707:A7750="","",_xlfn.XLOOKUP(A3707:A7750,'参照_武将'!A:A,'参照_武将'!B:B,"見つかりません"))</f>
      </c>
      <c r="C3707" s="4" t="s">
        <v>5988</v>
      </c>
      <c r="D3707" s="4">
        <v>5</v>
      </c>
      <c r="E3707" s="12" t="str">
        <f t="array" ref="E3707">IF(D3707:D7750="","",IFERROR(_xlfn.XLOOKUP(D3707:D7750,'参照_勢力'!A:A,'参照_勢力'!B:B),IFERROR(_xlfn.XLOOKUP(F3707:F7750,kunishuClan!A:A,kunishuClan!B:B),"浪人")))</f>
      </c>
      <c r="F3707" s="4">
        <v>0</v>
      </c>
      <c r="G3707" s="4">
        <v>48</v>
      </c>
      <c r="H3707" s="12" t="str">
        <f t="array" ref="H3707">IF(G3707:G7750="","",_xlfn.XLOOKUP(G3707:G7750,castles_state!A:A,castles_state!D:D,"見つかりません"))</f>
      </c>
      <c r="I3707" s="4"/>
      <c r="J3707" s="12" t="str">
        <f t="array" ref="J3707">IF(I3707:I7750="","",_xlfn.XLOOKUP(I3707:I7750,'参照_姫'!A:A,'参照_姫'!B:B,"見つかりません"))</f>
      </c>
      <c r="K3707" s="4">
        <v>90</v>
      </c>
      <c r="L3707" s="4">
        <v>0</v>
      </c>
      <c r="M3707" s="4"/>
      <c r="N3707" s="4"/>
      <c r="O3707" s="4"/>
      <c r="P3707" s="12" t="str">
        <f t="array" ref="P3707">IF(O3707:O7750="","",_xlfn.XLOOKUP(O3707:O7750,'参照_官位'!A:A,'参照_官位'!B:B,""))</f>
      </c>
      <c r="Q3707" s="12" t="str">
        <f t="array" ref="Q3707">IF(A3707:A7750="","",IFERROR(_xlfn.XLOOKUP(A3707:A7750,castles_state!K:K,castles_state!D:D)&amp;"主",IFERROR(_xlfn.XLOOKUP(A3707:A7750,kunishuClan!D:D,kunishuClan!B:B)&amp;"当主","")))</f>
      </c>
    </row>
    <row r="3708" ht="15.75" customHeight="1">
      <c r="A3708" s="4">
        <v>1301134</v>
      </c>
      <c r="B3708" s="12" t="str">
        <f t="array" ref="B3708">IF(A3708:A7751="","",_xlfn.XLOOKUP(A3708:A7751,'参照_武将'!A:A,'参照_武将'!B:B,"見つかりません"))</f>
      </c>
      <c r="C3708" s="4" t="s">
        <v>5988</v>
      </c>
      <c r="D3708" s="4">
        <v>301</v>
      </c>
      <c r="E3708" s="12" t="str">
        <f t="array" ref="E3708">IF(D3708:D7751="","",IFERROR(_xlfn.XLOOKUP(D3708:D7751,'参照_勢力'!A:A,'参照_勢力'!B:B),IFERROR(_xlfn.XLOOKUP(F3708:F7751,kunishuClan!A:A,kunishuClan!B:B),"浪人")))</f>
      </c>
      <c r="F3708" s="4">
        <v>0</v>
      </c>
      <c r="G3708" s="4">
        <v>12</v>
      </c>
      <c r="H3708" s="12" t="str">
        <f t="array" ref="H3708">IF(G3708:G7751="","",_xlfn.XLOOKUP(G3708:G7751,castles_state!A:A,castles_state!D:D,"見つかりません"))</f>
      </c>
      <c r="I3708" s="4"/>
      <c r="J3708" s="12" t="str">
        <f t="array" ref="J3708">IF(I3708:I7751="","",_xlfn.XLOOKUP(I3708:I7751,'参照_姫'!A:A,'参照_姫'!B:B,"見つかりません"))</f>
      </c>
      <c r="K3708" s="4">
        <v>95</v>
      </c>
      <c r="L3708" s="4">
        <v>0</v>
      </c>
      <c r="M3708" s="4" t="b">
        <v>1</v>
      </c>
      <c r="N3708" s="4"/>
      <c r="O3708" s="4"/>
      <c r="P3708" s="12" t="str">
        <f t="array" ref="P3708">IF(O3708:O7751="","",_xlfn.XLOOKUP(O3708:O7751,'参照_官位'!A:A,'参照_官位'!B:B,""))</f>
      </c>
      <c r="Q3708" s="12" t="str">
        <f t="array" ref="Q3708">IF(A3708:A7751="","",IFERROR(_xlfn.XLOOKUP(A3708:A7751,castles_state!K:K,castles_state!D:D)&amp;"主",IFERROR(_xlfn.XLOOKUP(A3708:A7751,kunishuClan!D:D,kunishuClan!B:B)&amp;"当主","")))</f>
      </c>
    </row>
    <row r="3709" ht="15.75" customHeight="1">
      <c r="A3709" s="4">
        <v>1301135</v>
      </c>
      <c r="B3709" s="12" t="str">
        <f t="array" ref="B3709">IF(A3709:A7752="","",_xlfn.XLOOKUP(A3709:A7752,'参照_武将'!A:A,'参照_武将'!B:B,"見つかりません"))</f>
      </c>
      <c r="C3709" s="4" t="s">
        <v>5988</v>
      </c>
      <c r="D3709" s="4">
        <v>301</v>
      </c>
      <c r="E3709" s="12" t="str">
        <f t="array" ref="E3709">IF(D3709:D7752="","",IFERROR(_xlfn.XLOOKUP(D3709:D7752,'参照_勢力'!A:A,'参照_勢力'!B:B),IFERROR(_xlfn.XLOOKUP(F3709:F7752,kunishuClan!A:A,kunishuClan!B:B),"浪人")))</f>
      </c>
      <c r="F3709" s="4">
        <v>0</v>
      </c>
      <c r="G3709" s="4">
        <v>48</v>
      </c>
      <c r="H3709" s="12" t="str">
        <f t="array" ref="H3709">IF(G3709:G7752="","",_xlfn.XLOOKUP(G3709:G7752,castles_state!A:A,castles_state!D:D,"見つかりません"))</f>
      </c>
      <c r="I3709" s="4"/>
      <c r="J3709" s="12" t="str">
        <f t="array" ref="J3709">IF(I3709:I7752="","",_xlfn.XLOOKUP(I3709:I7752,'参照_姫'!A:A,'参照_姫'!B:B,"見つかりません"))</f>
      </c>
      <c r="K3709" s="4">
        <v>90</v>
      </c>
      <c r="L3709" s="4">
        <v>0</v>
      </c>
      <c r="M3709" s="4"/>
      <c r="N3709" s="4"/>
      <c r="O3709" s="4"/>
      <c r="P3709" s="12" t="str">
        <f t="array" ref="P3709">IF(O3709:O7752="","",_xlfn.XLOOKUP(O3709:O7752,'参照_官位'!A:A,'参照_官位'!B:B,""))</f>
      </c>
      <c r="Q3709" s="12" t="str">
        <f t="array" ref="Q3709">IF(A3709:A7752="","",IFERROR(_xlfn.XLOOKUP(A3709:A7752,castles_state!K:K,castles_state!D:D)&amp;"主",IFERROR(_xlfn.XLOOKUP(A3709:A7752,kunishuClan!D:D,kunishuClan!B:B)&amp;"当主","")))</f>
      </c>
    </row>
    <row r="3710" ht="15.75" customHeight="1">
      <c r="A3710" s="4">
        <v>1301136</v>
      </c>
      <c r="B3710" s="12" t="str">
        <f t="array" ref="B3710">IF(A3710:A7753="","",_xlfn.XLOOKUP(A3710:A7753,'参照_武将'!A:A,'参照_武将'!B:B,"見つかりません"))</f>
      </c>
      <c r="C3710" s="4" t="s">
        <v>5988</v>
      </c>
      <c r="D3710" s="4">
        <v>301</v>
      </c>
      <c r="E3710" s="12" t="str">
        <f t="array" ref="E3710">IF(D3710:D7753="","",IFERROR(_xlfn.XLOOKUP(D3710:D7753,'参照_勢力'!A:A,'参照_勢力'!B:B),IFERROR(_xlfn.XLOOKUP(F3710:F7753,kunishuClan!A:A,kunishuClan!B:B),"浪人")))</f>
      </c>
      <c r="F3710" s="4">
        <v>0</v>
      </c>
      <c r="G3710" s="4">
        <v>48</v>
      </c>
      <c r="H3710" s="12" t="str">
        <f t="array" ref="H3710">IF(G3710:G7753="","",_xlfn.XLOOKUP(G3710:G7753,castles_state!A:A,castles_state!D:D,"見つかりません"))</f>
      </c>
      <c r="I3710" s="4"/>
      <c r="J3710" s="12" t="str">
        <f t="array" ref="J3710">IF(I3710:I7753="","",_xlfn.XLOOKUP(I3710:I7753,'参照_姫'!A:A,'参照_姫'!B:B,"見つかりません"))</f>
      </c>
      <c r="K3710" s="4">
        <v>90</v>
      </c>
      <c r="L3710" s="4">
        <v>0</v>
      </c>
      <c r="M3710" s="4"/>
      <c r="N3710" s="4"/>
      <c r="O3710" s="4"/>
      <c r="P3710" s="12" t="str">
        <f t="array" ref="P3710">IF(O3710:O7753="","",_xlfn.XLOOKUP(O3710:O7753,'参照_官位'!A:A,'参照_官位'!B:B,""))</f>
      </c>
      <c r="Q3710" s="12" t="str">
        <f t="array" ref="Q3710">IF(A3710:A7753="","",IFERROR(_xlfn.XLOOKUP(A3710:A7753,castles_state!K:K,castles_state!D:D)&amp;"主",IFERROR(_xlfn.XLOOKUP(A3710:A7753,kunishuClan!D:D,kunishuClan!B:B)&amp;"当主","")))</f>
      </c>
    </row>
    <row r="3711" ht="15.75" customHeight="1">
      <c r="A3711" s="4">
        <v>1301137</v>
      </c>
      <c r="B3711" s="12" t="str">
        <f t="array" ref="B3711">IF(A3711:A7754="","",_xlfn.XLOOKUP(A3711:A7754,'参照_武将'!A:A,'参照_武将'!B:B,"見つかりません"))</f>
      </c>
      <c r="C3711" s="4" t="s">
        <v>5988</v>
      </c>
      <c r="D3711" s="4">
        <v>301</v>
      </c>
      <c r="E3711" s="12" t="str">
        <f t="array" ref="E3711">IF(D3711:D7754="","",IFERROR(_xlfn.XLOOKUP(D3711:D7754,'参照_勢力'!A:A,'参照_勢力'!B:B),IFERROR(_xlfn.XLOOKUP(F3711:F7754,kunishuClan!A:A,kunishuClan!B:B),"浪人")))</f>
      </c>
      <c r="F3711" s="4">
        <v>0</v>
      </c>
      <c r="G3711" s="4">
        <v>48</v>
      </c>
      <c r="H3711" s="12" t="str">
        <f t="array" ref="H3711">IF(G3711:G7754="","",_xlfn.XLOOKUP(G3711:G7754,castles_state!A:A,castles_state!D:D,"見つかりません"))</f>
      </c>
      <c r="I3711" s="4"/>
      <c r="J3711" s="12" t="str">
        <f t="array" ref="J3711">IF(I3711:I7754="","",_xlfn.XLOOKUP(I3711:I7754,'参照_姫'!A:A,'参照_姫'!B:B,"見つかりません"))</f>
      </c>
      <c r="K3711" s="4">
        <v>90</v>
      </c>
      <c r="L3711" s="4">
        <v>0</v>
      </c>
      <c r="M3711" s="4"/>
      <c r="N3711" s="4"/>
      <c r="O3711" s="4"/>
      <c r="P3711" s="12" t="str">
        <f t="array" ref="P3711">IF(O3711:O7754="","",_xlfn.XLOOKUP(O3711:O7754,'参照_官位'!A:A,'参照_官位'!B:B,""))</f>
      </c>
      <c r="Q3711" s="12" t="str">
        <f t="array" ref="Q3711">IF(A3711:A7754="","",IFERROR(_xlfn.XLOOKUP(A3711:A7754,castles_state!K:K,castles_state!D:D)&amp;"主",IFERROR(_xlfn.XLOOKUP(A3711:A7754,kunishuClan!D:D,kunishuClan!B:B)&amp;"当主","")))</f>
      </c>
    </row>
    <row r="3712" ht="15.75" customHeight="1">
      <c r="A3712" s="4">
        <v>1301138</v>
      </c>
      <c r="B3712" s="12" t="str">
        <f t="array" ref="B3712">IF(A3712:A7755="","",_xlfn.XLOOKUP(A3712:A7755,'参照_武将'!A:A,'参照_武将'!B:B,"見つかりません"))</f>
      </c>
      <c r="C3712" s="4" t="s">
        <v>5989</v>
      </c>
      <c r="D3712" s="4">
        <v>301</v>
      </c>
      <c r="E3712" s="12" t="str">
        <f t="array" ref="E3712">IF(D3712:D7755="","",IFERROR(_xlfn.XLOOKUP(D3712:D7755,'参照_勢力'!A:A,'参照_勢力'!B:B),IFERROR(_xlfn.XLOOKUP(F3712:F7755,kunishuClan!A:A,kunishuClan!B:B),"浪人")))</f>
      </c>
      <c r="F3712" s="4">
        <v>0</v>
      </c>
      <c r="G3712" s="4">
        <v>48</v>
      </c>
      <c r="H3712" s="12" t="str">
        <f t="array" ref="H3712">IF(G3712:G7755="","",_xlfn.XLOOKUP(G3712:G7755,castles_state!A:A,castles_state!D:D,"見つかりません"))</f>
      </c>
      <c r="I3712" s="4"/>
      <c r="J3712" s="12" t="str">
        <f t="array" ref="J3712">IF(I3712:I7755="","",_xlfn.XLOOKUP(I3712:I7755,'参照_姫'!A:A,'参照_姫'!B:B,"見つかりません"))</f>
      </c>
      <c r="K3712" s="4">
        <v>90</v>
      </c>
      <c r="L3712" s="4">
        <v>0</v>
      </c>
      <c r="M3712" s="4"/>
      <c r="N3712" s="4"/>
      <c r="O3712" s="4"/>
      <c r="P3712" s="12" t="str">
        <f t="array" ref="P3712">IF(O3712:O7755="","",_xlfn.XLOOKUP(O3712:O7755,'参照_官位'!A:A,'参照_官位'!B:B,""))</f>
      </c>
      <c r="Q3712" s="12" t="str">
        <f t="array" ref="Q3712">IF(A3712:A7755="","",IFERROR(_xlfn.XLOOKUP(A3712:A7755,castles_state!K:K,castles_state!D:D)&amp;"主",IFERROR(_xlfn.XLOOKUP(A3712:A7755,kunishuClan!D:D,kunishuClan!B:B)&amp;"当主","")))</f>
      </c>
    </row>
    <row r="3713" ht="15.75" customHeight="1">
      <c r="A3713" s="4">
        <v>1301139</v>
      </c>
      <c r="B3713" s="12" t="str">
        <f t="array" ref="B3713">IF(A3713:A7756="","",_xlfn.XLOOKUP(A3713:A7756,'参照_武将'!A:A,'参照_武将'!B:B,"見つかりません"))</f>
      </c>
      <c r="C3713" s="4" t="s">
        <v>5989</v>
      </c>
      <c r="D3713" s="4">
        <v>301</v>
      </c>
      <c r="E3713" s="12" t="str">
        <f t="array" ref="E3713">IF(D3713:D7756="","",IFERROR(_xlfn.XLOOKUP(D3713:D7756,'参照_勢力'!A:A,'参照_勢力'!B:B),IFERROR(_xlfn.XLOOKUP(F3713:F7756,kunishuClan!A:A,kunishuClan!B:B),"浪人")))</f>
      </c>
      <c r="F3713" s="4">
        <v>0</v>
      </c>
      <c r="G3713" s="4">
        <v>48</v>
      </c>
      <c r="H3713" s="12" t="str">
        <f t="array" ref="H3713">IF(G3713:G7756="","",_xlfn.XLOOKUP(G3713:G7756,castles_state!A:A,castles_state!D:D,"見つかりません"))</f>
      </c>
      <c r="I3713" s="4"/>
      <c r="J3713" s="12" t="str">
        <f t="array" ref="J3713">IF(I3713:I7756="","",_xlfn.XLOOKUP(I3713:I7756,'参照_姫'!A:A,'参照_姫'!B:B,"見つかりません"))</f>
      </c>
      <c r="K3713" s="4">
        <v>90</v>
      </c>
      <c r="L3713" s="4">
        <v>0</v>
      </c>
      <c r="M3713" s="4"/>
      <c r="N3713" s="4"/>
      <c r="O3713" s="4"/>
      <c r="P3713" s="12" t="str">
        <f t="array" ref="P3713">IF(O3713:O7756="","",_xlfn.XLOOKUP(O3713:O7756,'参照_官位'!A:A,'参照_官位'!B:B,""))</f>
      </c>
      <c r="Q3713" s="12" t="str">
        <f t="array" ref="Q3713">IF(A3713:A7756="","",IFERROR(_xlfn.XLOOKUP(A3713:A7756,castles_state!K:K,castles_state!D:D)&amp;"主",IFERROR(_xlfn.XLOOKUP(A3713:A7756,kunishuClan!D:D,kunishuClan!B:B)&amp;"当主","")))</f>
      </c>
    </row>
    <row r="3714" ht="15.75" customHeight="1">
      <c r="A3714" s="4">
        <v>1301140</v>
      </c>
      <c r="B3714" s="12" t="str">
        <f t="array" ref="B3714">IF(A3714:A7757="","",_xlfn.XLOOKUP(A3714:A7757,'参照_武将'!A:A,'参照_武将'!B:B,"見つかりません"))</f>
      </c>
      <c r="C3714" s="4" t="s">
        <v>540</v>
      </c>
      <c r="D3714" s="4">
        <v>301</v>
      </c>
      <c r="E3714" s="12" t="str">
        <f t="array" ref="E3714">IF(D3714:D7757="","",IFERROR(_xlfn.XLOOKUP(D3714:D7757,'参照_勢力'!A:A,'参照_勢力'!B:B),IFERROR(_xlfn.XLOOKUP(F3714:F7757,kunishuClan!A:A,kunishuClan!B:B),"浪人")))</f>
      </c>
      <c r="F3714" s="4">
        <v>0</v>
      </c>
      <c r="G3714" s="4">
        <v>48</v>
      </c>
      <c r="H3714" s="12" t="str">
        <f t="array" ref="H3714">IF(G3714:G7757="","",_xlfn.XLOOKUP(G3714:G7757,castles_state!A:A,castles_state!D:D,"見つかりません"))</f>
      </c>
      <c r="I3714" s="4"/>
      <c r="J3714" s="12" t="str">
        <f t="array" ref="J3714">IF(I3714:I7757="","",_xlfn.XLOOKUP(I3714:I7757,'参照_姫'!A:A,'参照_姫'!B:B,"見つかりません"))</f>
      </c>
      <c r="K3714" s="4">
        <v>90</v>
      </c>
      <c r="L3714" s="4">
        <v>0</v>
      </c>
      <c r="M3714" s="4"/>
      <c r="N3714" s="4"/>
      <c r="O3714" s="4"/>
      <c r="P3714" s="12" t="str">
        <f t="array" ref="P3714">IF(O3714:O7757="","",_xlfn.XLOOKUP(O3714:O7757,'参照_官位'!A:A,'参照_官位'!B:B,""))</f>
      </c>
      <c r="Q3714" s="12" t="str">
        <f t="array" ref="Q3714">IF(A3714:A7757="","",IFERROR(_xlfn.XLOOKUP(A3714:A7757,castles_state!K:K,castles_state!D:D)&amp;"主",IFERROR(_xlfn.XLOOKUP(A3714:A7757,kunishuClan!D:D,kunishuClan!B:B)&amp;"当主","")))</f>
      </c>
    </row>
    <row r="3715" ht="15.75" customHeight="1">
      <c r="A3715" s="4">
        <v>1301141</v>
      </c>
      <c r="B3715" s="12" t="str">
        <f t="array" ref="B3715">IF(A3715:A7758="","",_xlfn.XLOOKUP(A3715:A7758,'参照_武将'!A:A,'参照_武将'!B:B,"見つかりません"))</f>
      </c>
      <c r="C3715" s="4" t="s">
        <v>540</v>
      </c>
      <c r="D3715" s="4">
        <v>301</v>
      </c>
      <c r="E3715" s="12" t="str">
        <f t="array" ref="E3715">IF(D3715:D7758="","",IFERROR(_xlfn.XLOOKUP(D3715:D7758,'参照_勢力'!A:A,'参照_勢力'!B:B),IFERROR(_xlfn.XLOOKUP(F3715:F7758,kunishuClan!A:A,kunishuClan!B:B),"浪人")))</f>
      </c>
      <c r="F3715" s="4">
        <v>0</v>
      </c>
      <c r="G3715" s="4">
        <v>48</v>
      </c>
      <c r="H3715" s="12" t="str">
        <f t="array" ref="H3715">IF(G3715:G7758="","",_xlfn.XLOOKUP(G3715:G7758,castles_state!A:A,castles_state!D:D,"見つかりません"))</f>
      </c>
      <c r="I3715" s="4"/>
      <c r="J3715" s="12" t="str">
        <f t="array" ref="J3715">IF(I3715:I7758="","",_xlfn.XLOOKUP(I3715:I7758,'参照_姫'!A:A,'参照_姫'!B:B,"見つかりません"))</f>
      </c>
      <c r="K3715" s="4">
        <v>90</v>
      </c>
      <c r="L3715" s="4">
        <v>0</v>
      </c>
      <c r="M3715" s="4"/>
      <c r="N3715" s="4"/>
      <c r="O3715" s="4"/>
      <c r="P3715" s="12" t="str">
        <f t="array" ref="P3715">IF(O3715:O7758="","",_xlfn.XLOOKUP(O3715:O7758,'参照_官位'!A:A,'参照_官位'!B:B,""))</f>
      </c>
      <c r="Q3715" s="12" t="str">
        <f t="array" ref="Q3715">IF(A3715:A7758="","",IFERROR(_xlfn.XLOOKUP(A3715:A7758,castles_state!K:K,castles_state!D:D)&amp;"主",IFERROR(_xlfn.XLOOKUP(A3715:A7758,kunishuClan!D:D,kunishuClan!B:B)&amp;"当主","")))</f>
      </c>
    </row>
    <row r="3716" ht="15.75" customHeight="1">
      <c r="A3716" s="4">
        <v>1301142</v>
      </c>
      <c r="B3716" s="12" t="str">
        <f t="array" ref="B3716">IF(A3716:A7759="","",_xlfn.XLOOKUP(A3716:A7759,'参照_武将'!A:A,'参照_武将'!B:B,"見つかりません"))</f>
      </c>
      <c r="C3716" s="4" t="s">
        <v>540</v>
      </c>
      <c r="D3716" s="4">
        <v>301</v>
      </c>
      <c r="E3716" s="12" t="str">
        <f t="array" ref="E3716">IF(D3716:D7759="","",IFERROR(_xlfn.XLOOKUP(D3716:D7759,'参照_勢力'!A:A,'参照_勢力'!B:B),IFERROR(_xlfn.XLOOKUP(F3716:F7759,kunishuClan!A:A,kunishuClan!B:B),"浪人")))</f>
      </c>
      <c r="F3716" s="4">
        <v>0</v>
      </c>
      <c r="G3716" s="4">
        <v>48</v>
      </c>
      <c r="H3716" s="12" t="str">
        <f t="array" ref="H3716">IF(G3716:G7759="","",_xlfn.XLOOKUP(G3716:G7759,castles_state!A:A,castles_state!D:D,"見つかりません"))</f>
      </c>
      <c r="I3716" s="4"/>
      <c r="J3716" s="12" t="str">
        <f t="array" ref="J3716">IF(I3716:I7759="","",_xlfn.XLOOKUP(I3716:I7759,'参照_姫'!A:A,'参照_姫'!B:B,"見つかりません"))</f>
      </c>
      <c r="K3716" s="4">
        <v>90</v>
      </c>
      <c r="L3716" s="4">
        <v>0</v>
      </c>
      <c r="M3716" s="4"/>
      <c r="N3716" s="4"/>
      <c r="O3716" s="4"/>
      <c r="P3716" s="12" t="str">
        <f t="array" ref="P3716">IF(O3716:O7759="","",_xlfn.XLOOKUP(O3716:O7759,'参照_官位'!A:A,'参照_官位'!B:B,""))</f>
      </c>
      <c r="Q3716" s="12" t="str">
        <f t="array" ref="Q3716">IF(A3716:A7759="","",IFERROR(_xlfn.XLOOKUP(A3716:A7759,castles_state!K:K,castles_state!D:D)&amp;"主",IFERROR(_xlfn.XLOOKUP(A3716:A7759,kunishuClan!D:D,kunishuClan!B:B)&amp;"当主","")))</f>
      </c>
    </row>
    <row r="3717" ht="15.75" customHeight="1">
      <c r="A3717" s="4">
        <v>1301143</v>
      </c>
      <c r="B3717" s="12" t="str">
        <f t="array" ref="B3717">IF(A3717:A7760="","",_xlfn.XLOOKUP(A3717:A7760,'参照_武将'!A:A,'参照_武将'!B:B,"見つかりません"))</f>
      </c>
      <c r="C3717" s="4" t="s">
        <v>540</v>
      </c>
      <c r="D3717" s="4">
        <v>301</v>
      </c>
      <c r="E3717" s="12" t="str">
        <f t="array" ref="E3717">IF(D3717:D7760="","",IFERROR(_xlfn.XLOOKUP(D3717:D7760,'参照_勢力'!A:A,'参照_勢力'!B:B),IFERROR(_xlfn.XLOOKUP(F3717:F7760,kunishuClan!A:A,kunishuClan!B:B),"浪人")))</f>
      </c>
      <c r="F3717" s="4">
        <v>0</v>
      </c>
      <c r="G3717" s="4">
        <v>48</v>
      </c>
      <c r="H3717" s="12" t="str">
        <f t="array" ref="H3717">IF(G3717:G7760="","",_xlfn.XLOOKUP(G3717:G7760,castles_state!A:A,castles_state!D:D,"見つかりません"))</f>
      </c>
      <c r="I3717" s="4"/>
      <c r="J3717" s="12" t="str">
        <f t="array" ref="J3717">IF(I3717:I7760="","",_xlfn.XLOOKUP(I3717:I7760,'参照_姫'!A:A,'参照_姫'!B:B,"見つかりません"))</f>
      </c>
      <c r="K3717" s="4">
        <v>95</v>
      </c>
      <c r="L3717" s="4">
        <v>0</v>
      </c>
      <c r="M3717" s="4"/>
      <c r="N3717" s="4"/>
      <c r="O3717" s="4"/>
      <c r="P3717" s="12" t="str">
        <f t="array" ref="P3717">IF(O3717:O7760="","",_xlfn.XLOOKUP(O3717:O7760,'参照_官位'!A:A,'参照_官位'!B:B,""))</f>
      </c>
      <c r="Q3717" s="12" t="str">
        <f t="array" ref="Q3717">IF(A3717:A7760="","",IFERROR(_xlfn.XLOOKUP(A3717:A7760,castles_state!K:K,castles_state!D:D)&amp;"主",IFERROR(_xlfn.XLOOKUP(A3717:A7760,kunishuClan!D:D,kunishuClan!B:B)&amp;"当主","")))</f>
      </c>
    </row>
    <row r="3718" ht="15.75" customHeight="1">
      <c r="A3718" s="4">
        <v>1302001</v>
      </c>
      <c r="B3718" s="12" t="str">
        <f t="array" ref="B3718">IF(A3718:A7761="","",_xlfn.XLOOKUP(A3718:A7761,'参照_武将'!A:A,'参照_武将'!B:B,"見つかりません"))</f>
      </c>
      <c r="C3718" s="4" t="s">
        <v>544</v>
      </c>
      <c r="D3718" s="4">
        <v>0</v>
      </c>
      <c r="E3718" s="12" t="str">
        <f t="array" ref="E3718">IF(D3718:D7761="","",IFERROR(_xlfn.XLOOKUP(D3718:D7761,'参照_勢力'!A:A,'参照_勢力'!B:B),IFERROR(_xlfn.XLOOKUP(F3718:F7761,kunishuClan!A:A,kunishuClan!B:B),"浪人")))</f>
      </c>
      <c r="F3718" s="4">
        <v>0</v>
      </c>
      <c r="G3718" s="4">
        <v>48</v>
      </c>
      <c r="H3718" s="12" t="str">
        <f t="array" ref="H3718">IF(G3718:G7761="","",_xlfn.XLOOKUP(G3718:G7761,castles_state!A:A,castles_state!D:D,"見つかりません"))</f>
      </c>
      <c r="I3718" s="4"/>
      <c r="J3718" s="12" t="str">
        <f t="array" ref="J3718">IF(I3718:I7761="","",_xlfn.XLOOKUP(I3718:I7761,'参照_姫'!A:A,'参照_姫'!B:B,"見つかりません"))</f>
      </c>
      <c r="K3718" s="4">
        <v>50</v>
      </c>
      <c r="L3718" s="4">
        <v>0</v>
      </c>
      <c r="M3718" s="4"/>
      <c r="N3718" s="4"/>
      <c r="O3718" s="4"/>
      <c r="P3718" s="12" t="str">
        <f t="array" ref="P3718">IF(O3718:O7761="","",_xlfn.XLOOKUP(O3718:O7761,'参照_官位'!A:A,'参照_官位'!B:B,""))</f>
      </c>
      <c r="Q3718" s="12" t="str">
        <f t="array" ref="Q3718">IF(A3718:A7761="","",IFERROR(_xlfn.XLOOKUP(A3718:A7761,castles_state!K:K,castles_state!D:D)&amp;"主",IFERROR(_xlfn.XLOOKUP(A3718:A7761,kunishuClan!D:D,kunishuClan!B:B)&amp;"当主","")))</f>
      </c>
    </row>
    <row r="3719" ht="15.75" customHeight="1">
      <c r="A3719" s="4">
        <v>1302002</v>
      </c>
      <c r="B3719" s="12" t="str">
        <f t="array" ref="B3719">IF(A3719:A7762="","",_xlfn.XLOOKUP(A3719:A7762,'参照_武将'!A:A,'参照_武将'!B:B,"見つかりません"))</f>
      </c>
      <c r="C3719" s="4" t="s">
        <v>544</v>
      </c>
      <c r="D3719" s="4">
        <v>0</v>
      </c>
      <c r="E3719" s="12" t="str">
        <f t="array" ref="E3719">IF(D3719:D7762="","",IFERROR(_xlfn.XLOOKUP(D3719:D7762,'参照_勢力'!A:A,'参照_勢力'!B:B),IFERROR(_xlfn.XLOOKUP(F3719:F7762,kunishuClan!A:A,kunishuClan!B:B),"浪人")))</f>
      </c>
      <c r="F3719" s="4">
        <v>0</v>
      </c>
      <c r="G3719" s="4">
        <v>48</v>
      </c>
      <c r="H3719" s="12" t="str">
        <f t="array" ref="H3719">IF(G3719:G7762="","",_xlfn.XLOOKUP(G3719:G7762,castles_state!A:A,castles_state!D:D,"見つかりません"))</f>
      </c>
      <c r="I3719" s="4"/>
      <c r="J3719" s="12" t="str">
        <f t="array" ref="J3719">IF(I3719:I7762="","",_xlfn.XLOOKUP(I3719:I7762,'参照_姫'!A:A,'参照_姫'!B:B,"見つかりません"))</f>
      </c>
      <c r="K3719" s="4">
        <v>50</v>
      </c>
      <c r="L3719" s="4">
        <v>0</v>
      </c>
      <c r="M3719" s="4"/>
      <c r="N3719" s="4"/>
      <c r="O3719" s="4"/>
      <c r="P3719" s="12" t="str">
        <f t="array" ref="P3719">IF(O3719:O7762="","",_xlfn.XLOOKUP(O3719:O7762,'参照_官位'!A:A,'参照_官位'!B:B,""))</f>
      </c>
      <c r="Q3719" s="12" t="str">
        <f t="array" ref="Q3719">IF(A3719:A7762="","",IFERROR(_xlfn.XLOOKUP(A3719:A7762,castles_state!K:K,castles_state!D:D)&amp;"主",IFERROR(_xlfn.XLOOKUP(A3719:A7762,kunishuClan!D:D,kunishuClan!B:B)&amp;"当主","")))</f>
      </c>
    </row>
    <row r="3720" ht="15.75" customHeight="1">
      <c r="A3720" s="4">
        <v>1302003</v>
      </c>
      <c r="B3720" s="12" t="str">
        <f t="array" ref="B3720">IF(A3720:A7763="","",_xlfn.XLOOKUP(A3720:A7763,'参照_武将'!A:A,'参照_武将'!B:B,"見つかりません"))</f>
      </c>
      <c r="C3720" s="4" t="s">
        <v>544</v>
      </c>
      <c r="D3720" s="4">
        <v>0</v>
      </c>
      <c r="E3720" s="12" t="str">
        <f t="array" ref="E3720">IF(D3720:D7763="","",IFERROR(_xlfn.XLOOKUP(D3720:D7763,'参照_勢力'!A:A,'参照_勢力'!B:B),IFERROR(_xlfn.XLOOKUP(F3720:F7763,kunishuClan!A:A,kunishuClan!B:B),"浪人")))</f>
      </c>
      <c r="F3720" s="4">
        <v>0</v>
      </c>
      <c r="G3720" s="4">
        <v>48</v>
      </c>
      <c r="H3720" s="12" t="str">
        <f t="array" ref="H3720">IF(G3720:G7763="","",_xlfn.XLOOKUP(G3720:G7763,castles_state!A:A,castles_state!D:D,"見つかりません"))</f>
      </c>
      <c r="I3720" s="4"/>
      <c r="J3720" s="12" t="str">
        <f t="array" ref="J3720">IF(I3720:I7763="","",_xlfn.XLOOKUP(I3720:I7763,'参照_姫'!A:A,'参照_姫'!B:B,"見つかりません"))</f>
      </c>
      <c r="K3720" s="4">
        <v>50</v>
      </c>
      <c r="L3720" s="4">
        <v>0</v>
      </c>
      <c r="M3720" s="4"/>
      <c r="N3720" s="4"/>
      <c r="O3720" s="4"/>
      <c r="P3720" s="12" t="str">
        <f t="array" ref="P3720">IF(O3720:O7763="","",_xlfn.XLOOKUP(O3720:O7763,'参照_官位'!A:A,'参照_官位'!B:B,""))</f>
      </c>
      <c r="Q3720" s="12" t="str">
        <f t="array" ref="Q3720">IF(A3720:A7763="","",IFERROR(_xlfn.XLOOKUP(A3720:A7763,castles_state!K:K,castles_state!D:D)&amp;"主",IFERROR(_xlfn.XLOOKUP(A3720:A7763,kunishuClan!D:D,kunishuClan!B:B)&amp;"当主","")))</f>
      </c>
    </row>
    <row r="3721" ht="15.75" customHeight="1">
      <c r="A3721" s="4">
        <v>1302004</v>
      </c>
      <c r="B3721" s="12" t="str">
        <f t="array" ref="B3721">IF(A3721:A7764="","",_xlfn.XLOOKUP(A3721:A7764,'参照_武将'!A:A,'参照_武将'!B:B,"見つかりません"))</f>
      </c>
      <c r="C3721" s="4" t="s">
        <v>544</v>
      </c>
      <c r="D3721" s="4">
        <v>0</v>
      </c>
      <c r="E3721" s="12" t="str">
        <f t="array" ref="E3721">IF(D3721:D7764="","",IFERROR(_xlfn.XLOOKUP(D3721:D7764,'参照_勢力'!A:A,'参照_勢力'!B:B),IFERROR(_xlfn.XLOOKUP(F3721:F7764,kunishuClan!A:A,kunishuClan!B:B),"浪人")))</f>
      </c>
      <c r="F3721" s="4">
        <v>0</v>
      </c>
      <c r="G3721" s="4">
        <v>48</v>
      </c>
      <c r="H3721" s="12" t="str">
        <f t="array" ref="H3721">IF(G3721:G7764="","",_xlfn.XLOOKUP(G3721:G7764,castles_state!A:A,castles_state!D:D,"見つかりません"))</f>
      </c>
      <c r="I3721" s="4"/>
      <c r="J3721" s="12" t="str">
        <f t="array" ref="J3721">IF(I3721:I7764="","",_xlfn.XLOOKUP(I3721:I7764,'参照_姫'!A:A,'参照_姫'!B:B,"見つかりません"))</f>
      </c>
      <c r="K3721" s="4">
        <v>50</v>
      </c>
      <c r="L3721" s="4">
        <v>0</v>
      </c>
      <c r="M3721" s="4"/>
      <c r="N3721" s="4"/>
      <c r="O3721" s="4"/>
      <c r="P3721" s="12" t="str">
        <f t="array" ref="P3721">IF(O3721:O7764="","",_xlfn.XLOOKUP(O3721:O7764,'参照_官位'!A:A,'参照_官位'!B:B,""))</f>
      </c>
      <c r="Q3721" s="12" t="str">
        <f t="array" ref="Q3721">IF(A3721:A7764="","",IFERROR(_xlfn.XLOOKUP(A3721:A7764,castles_state!K:K,castles_state!D:D)&amp;"主",IFERROR(_xlfn.XLOOKUP(A3721:A7764,kunishuClan!D:D,kunishuClan!B:B)&amp;"当主","")))</f>
      </c>
    </row>
    <row r="3722" ht="15.75" customHeight="1">
      <c r="A3722" s="4">
        <v>1302005</v>
      </c>
      <c r="B3722" s="12" t="str">
        <f t="array" ref="B3722">IF(A3722:A7765="","",_xlfn.XLOOKUP(A3722:A7765,'参照_武将'!A:A,'参照_武将'!B:B,"見つかりません"))</f>
      </c>
      <c r="C3722" s="4" t="s">
        <v>544</v>
      </c>
      <c r="D3722" s="4">
        <v>301</v>
      </c>
      <c r="E3722" s="12" t="str">
        <f t="array" ref="E3722">IF(D3722:D7765="","",IFERROR(_xlfn.XLOOKUP(D3722:D7765,'参照_勢力'!A:A,'参照_勢力'!B:B),IFERROR(_xlfn.XLOOKUP(F3722:F7765,kunishuClan!A:A,kunishuClan!B:B),"浪人")))</f>
      </c>
      <c r="F3722" s="4">
        <v>0</v>
      </c>
      <c r="G3722" s="4">
        <v>48</v>
      </c>
      <c r="H3722" s="12" t="str">
        <f t="array" ref="H3722">IF(G3722:G7765="","",_xlfn.XLOOKUP(G3722:G7765,castles_state!A:A,castles_state!D:D,"見つかりません"))</f>
      </c>
      <c r="I3722" s="4"/>
      <c r="J3722" s="12" t="str">
        <f t="array" ref="J3722">IF(I3722:I7765="","",_xlfn.XLOOKUP(I3722:I7765,'参照_姫'!A:A,'参照_姫'!B:B,"見つかりません"))</f>
      </c>
      <c r="K3722" s="4">
        <v>90</v>
      </c>
      <c r="L3722" s="4">
        <v>300</v>
      </c>
      <c r="M3722" s="4"/>
      <c r="N3722" s="4"/>
      <c r="O3722" s="4"/>
      <c r="P3722" s="12" t="str">
        <f t="array" ref="P3722">IF(O3722:O7765="","",_xlfn.XLOOKUP(O3722:O7765,'参照_官位'!A:A,'参照_官位'!B:B,""))</f>
      </c>
      <c r="Q3722" s="12" t="str">
        <f t="array" ref="Q3722">IF(A3722:A7765="","",IFERROR(_xlfn.XLOOKUP(A3722:A7765,castles_state!K:K,castles_state!D:D)&amp;"主",IFERROR(_xlfn.XLOOKUP(A3722:A7765,kunishuClan!D:D,kunishuClan!B:B)&amp;"当主","")))</f>
      </c>
    </row>
    <row r="3723" ht="15.75" customHeight="1">
      <c r="A3723" s="4">
        <v>1302006</v>
      </c>
      <c r="B3723" s="12" t="str">
        <f t="array" ref="B3723">IF(A3723:A7766="","",_xlfn.XLOOKUP(A3723:A7766,'参照_武将'!A:A,'参照_武将'!B:B,"見つかりません"))</f>
      </c>
      <c r="C3723" s="4" t="s">
        <v>544</v>
      </c>
      <c r="D3723" s="4">
        <v>301</v>
      </c>
      <c r="E3723" s="12" t="str">
        <f t="array" ref="E3723">IF(D3723:D7766="","",IFERROR(_xlfn.XLOOKUP(D3723:D7766,'参照_勢力'!A:A,'参照_勢力'!B:B),IFERROR(_xlfn.XLOOKUP(F3723:F7766,kunishuClan!A:A,kunishuClan!B:B),"浪人")))</f>
      </c>
      <c r="F3723" s="4">
        <v>0</v>
      </c>
      <c r="G3723" s="4">
        <v>48</v>
      </c>
      <c r="H3723" s="12" t="str">
        <f t="array" ref="H3723">IF(G3723:G7766="","",_xlfn.XLOOKUP(G3723:G7766,castles_state!A:A,castles_state!D:D,"見つかりません"))</f>
      </c>
      <c r="I3723" s="4"/>
      <c r="J3723" s="12" t="str">
        <f t="array" ref="J3723">IF(I3723:I7766="","",_xlfn.XLOOKUP(I3723:I7766,'参照_姫'!A:A,'参照_姫'!B:B,"見つかりません"))</f>
      </c>
      <c r="K3723" s="4">
        <v>95</v>
      </c>
      <c r="L3723" s="4">
        <v>0</v>
      </c>
      <c r="M3723" s="4"/>
      <c r="N3723" s="4"/>
      <c r="O3723" s="4"/>
      <c r="P3723" s="12" t="str">
        <f t="array" ref="P3723">IF(O3723:O7766="","",_xlfn.XLOOKUP(O3723:O7766,'参照_官位'!A:A,'参照_官位'!B:B,""))</f>
      </c>
      <c r="Q3723" s="12" t="str">
        <f t="array" ref="Q3723">IF(A3723:A7766="","",IFERROR(_xlfn.XLOOKUP(A3723:A7766,castles_state!K:K,castles_state!D:D)&amp;"主",IFERROR(_xlfn.XLOOKUP(A3723:A7766,kunishuClan!D:D,kunishuClan!B:B)&amp;"当主","")))</f>
      </c>
    </row>
    <row r="3724" ht="15.75" customHeight="1">
      <c r="A3724" s="4">
        <v>1302007</v>
      </c>
      <c r="B3724" s="12" t="str">
        <f t="array" ref="B3724">IF(A3724:A7767="","",_xlfn.XLOOKUP(A3724:A7767,'参照_武将'!A:A,'参照_武将'!B:B,"見つかりません"))</f>
      </c>
      <c r="C3724" s="4" t="s">
        <v>544</v>
      </c>
      <c r="D3724" s="4">
        <v>301</v>
      </c>
      <c r="E3724" s="12" t="str">
        <f t="array" ref="E3724">IF(D3724:D7767="","",IFERROR(_xlfn.XLOOKUP(D3724:D7767,'参照_勢力'!A:A,'参照_勢力'!B:B),IFERROR(_xlfn.XLOOKUP(F3724:F7767,kunishuClan!A:A,kunishuClan!B:B),"浪人")))</f>
      </c>
      <c r="F3724" s="4">
        <v>0</v>
      </c>
      <c r="G3724" s="4">
        <v>48</v>
      </c>
      <c r="H3724" s="12" t="str">
        <f t="array" ref="H3724">IF(G3724:G7767="","",_xlfn.XLOOKUP(G3724:G7767,castles_state!A:A,castles_state!D:D,"見つかりません"))</f>
      </c>
      <c r="I3724" s="4"/>
      <c r="J3724" s="12" t="str">
        <f t="array" ref="J3724">IF(I3724:I7767="","",_xlfn.XLOOKUP(I3724:I7767,'参照_姫'!A:A,'参照_姫'!B:B,"見つかりません"))</f>
      </c>
      <c r="K3724" s="4">
        <v>95</v>
      </c>
      <c r="L3724" s="4">
        <v>0</v>
      </c>
      <c r="M3724" s="4"/>
      <c r="N3724" s="4"/>
      <c r="O3724" s="4"/>
      <c r="P3724" s="12" t="str">
        <f t="array" ref="P3724">IF(O3724:O7767="","",_xlfn.XLOOKUP(O3724:O7767,'参照_官位'!A:A,'参照_官位'!B:B,""))</f>
      </c>
      <c r="Q3724" s="12" t="str">
        <f t="array" ref="Q3724">IF(A3724:A7767="","",IFERROR(_xlfn.XLOOKUP(A3724:A7767,castles_state!K:K,castles_state!D:D)&amp;"主",IFERROR(_xlfn.XLOOKUP(A3724:A7767,kunishuClan!D:D,kunishuClan!B:B)&amp;"当主","")))</f>
      </c>
    </row>
    <row r="3725" ht="15.75" customHeight="1">
      <c r="A3725" s="4">
        <v>1302008</v>
      </c>
      <c r="B3725" s="12" t="str">
        <f t="array" ref="B3725">IF(A3725:A7768="","",_xlfn.XLOOKUP(A3725:A7768,'参照_武将'!A:A,'参照_武将'!B:B,"見つかりません"))</f>
      </c>
      <c r="C3725" s="4" t="s">
        <v>544</v>
      </c>
      <c r="D3725" s="4">
        <v>0</v>
      </c>
      <c r="E3725" s="12" t="str">
        <f t="array" ref="E3725">IF(D3725:D7768="","",IFERROR(_xlfn.XLOOKUP(D3725:D7768,'参照_勢力'!A:A,'参照_勢力'!B:B),IFERROR(_xlfn.XLOOKUP(F3725:F7768,kunishuClan!A:A,kunishuClan!B:B),"浪人")))</f>
      </c>
      <c r="F3725" s="4">
        <v>0</v>
      </c>
      <c r="G3725" s="4">
        <v>48</v>
      </c>
      <c r="H3725" s="12" t="str">
        <f t="array" ref="H3725">IF(G3725:G7768="","",_xlfn.XLOOKUP(G3725:G7768,castles_state!A:A,castles_state!D:D,"見つかりません"))</f>
      </c>
      <c r="I3725" s="4"/>
      <c r="J3725" s="12" t="str">
        <f t="array" ref="J3725">IF(I3725:I7768="","",_xlfn.XLOOKUP(I3725:I7768,'参照_姫'!A:A,'参照_姫'!B:B,"見つかりません"))</f>
      </c>
      <c r="K3725" s="4">
        <v>50</v>
      </c>
      <c r="L3725" s="4">
        <v>0</v>
      </c>
      <c r="M3725" s="4"/>
      <c r="N3725" s="4"/>
      <c r="O3725" s="4"/>
      <c r="P3725" s="12" t="str">
        <f t="array" ref="P3725">IF(O3725:O7768="","",_xlfn.XLOOKUP(O3725:O7768,'参照_官位'!A:A,'参照_官位'!B:B,""))</f>
      </c>
      <c r="Q3725" s="12" t="str">
        <f t="array" ref="Q3725">IF(A3725:A7768="","",IFERROR(_xlfn.XLOOKUP(A3725:A7768,castles_state!K:K,castles_state!D:D)&amp;"主",IFERROR(_xlfn.XLOOKUP(A3725:A7768,kunishuClan!D:D,kunishuClan!B:B)&amp;"当主","")))</f>
      </c>
    </row>
    <row r="3726" ht="15.75" customHeight="1">
      <c r="A3726" s="4">
        <v>1302009</v>
      </c>
      <c r="B3726" s="12" t="str">
        <f t="array" ref="B3726">IF(A3726:A7769="","",_xlfn.XLOOKUP(A3726:A7769,'参照_武将'!A:A,'参照_武将'!B:B,"見つかりません"))</f>
      </c>
      <c r="C3726" s="4" t="s">
        <v>544</v>
      </c>
      <c r="D3726" s="4">
        <v>0</v>
      </c>
      <c r="E3726" s="12" t="str">
        <f t="array" ref="E3726">IF(D3726:D7769="","",IFERROR(_xlfn.XLOOKUP(D3726:D7769,'参照_勢力'!A:A,'参照_勢力'!B:B),IFERROR(_xlfn.XLOOKUP(F3726:F7769,kunishuClan!A:A,kunishuClan!B:B),"浪人")))</f>
      </c>
      <c r="F3726" s="4">
        <v>0</v>
      </c>
      <c r="G3726" s="4">
        <v>48</v>
      </c>
      <c r="H3726" s="12" t="str">
        <f t="array" ref="H3726">IF(G3726:G7769="","",_xlfn.XLOOKUP(G3726:G7769,castles_state!A:A,castles_state!D:D,"見つかりません"))</f>
      </c>
      <c r="I3726" s="4"/>
      <c r="J3726" s="12" t="str">
        <f t="array" ref="J3726">IF(I3726:I7769="","",_xlfn.XLOOKUP(I3726:I7769,'参照_姫'!A:A,'参照_姫'!B:B,"見つかりません"))</f>
      </c>
      <c r="K3726" s="4">
        <v>50</v>
      </c>
      <c r="L3726" s="4">
        <v>0</v>
      </c>
      <c r="M3726" s="4"/>
      <c r="N3726" s="4"/>
      <c r="O3726" s="4"/>
      <c r="P3726" s="12" t="str">
        <f t="array" ref="P3726">IF(O3726:O7769="","",_xlfn.XLOOKUP(O3726:O7769,'参照_官位'!A:A,'参照_官位'!B:B,""))</f>
      </c>
      <c r="Q3726" s="12" t="str">
        <f t="array" ref="Q3726">IF(A3726:A7769="","",IFERROR(_xlfn.XLOOKUP(A3726:A7769,castles_state!K:K,castles_state!D:D)&amp;"主",IFERROR(_xlfn.XLOOKUP(A3726:A7769,kunishuClan!D:D,kunishuClan!B:B)&amp;"当主","")))</f>
      </c>
    </row>
    <row r="3727" ht="15.75" customHeight="1">
      <c r="A3727" s="4">
        <v>1302010</v>
      </c>
      <c r="B3727" s="12" t="str">
        <f t="array" ref="B3727">IF(A3727:A7770="","",_xlfn.XLOOKUP(A3727:A7770,'参照_武将'!A:A,'参照_武将'!B:B,"見つかりません"))</f>
      </c>
      <c r="C3727" s="4" t="s">
        <v>544</v>
      </c>
      <c r="D3727" s="4">
        <v>0</v>
      </c>
      <c r="E3727" s="12" t="str">
        <f t="array" ref="E3727">IF(D3727:D7770="","",IFERROR(_xlfn.XLOOKUP(D3727:D7770,'参照_勢力'!A:A,'参照_勢力'!B:B),IFERROR(_xlfn.XLOOKUP(F3727:F7770,kunishuClan!A:A,kunishuClan!B:B),"浪人")))</f>
      </c>
      <c r="F3727" s="4">
        <v>0</v>
      </c>
      <c r="G3727" s="4">
        <v>48</v>
      </c>
      <c r="H3727" s="12" t="str">
        <f t="array" ref="H3727">IF(G3727:G7770="","",_xlfn.XLOOKUP(G3727:G7770,castles_state!A:A,castles_state!D:D,"見つかりません"))</f>
      </c>
      <c r="I3727" s="4"/>
      <c r="J3727" s="12" t="str">
        <f t="array" ref="J3727">IF(I3727:I7770="","",_xlfn.XLOOKUP(I3727:I7770,'参照_姫'!A:A,'参照_姫'!B:B,"見つかりません"))</f>
      </c>
      <c r="K3727" s="4">
        <v>50</v>
      </c>
      <c r="L3727" s="4">
        <v>0</v>
      </c>
      <c r="M3727" s="4"/>
      <c r="N3727" s="4"/>
      <c r="O3727" s="4"/>
      <c r="P3727" s="12" t="str">
        <f t="array" ref="P3727">IF(O3727:O7770="","",_xlfn.XLOOKUP(O3727:O7770,'参照_官位'!A:A,'参照_官位'!B:B,""))</f>
      </c>
      <c r="Q3727" s="12" t="str">
        <f t="array" ref="Q3727">IF(A3727:A7770="","",IFERROR(_xlfn.XLOOKUP(A3727:A7770,castles_state!K:K,castles_state!D:D)&amp;"主",IFERROR(_xlfn.XLOOKUP(A3727:A7770,kunishuClan!D:D,kunishuClan!B:B)&amp;"当主","")))</f>
      </c>
    </row>
    <row r="3728" ht="15.75" customHeight="1">
      <c r="A3728" s="4">
        <v>1302011</v>
      </c>
      <c r="B3728" s="12" t="str">
        <f t="array" ref="B3728">IF(A3728:A7771="","",_xlfn.XLOOKUP(A3728:A7771,'参照_武将'!A:A,'参照_武将'!B:B,"見つかりません"))</f>
      </c>
      <c r="C3728" s="4" t="s">
        <v>5990</v>
      </c>
      <c r="D3728" s="4">
        <v>0</v>
      </c>
      <c r="E3728" s="12" t="str">
        <f t="array" ref="E3728">IF(D3728:D7771="","",IFERROR(_xlfn.XLOOKUP(D3728:D7771,'参照_勢力'!A:A,'参照_勢力'!B:B),IFERROR(_xlfn.XLOOKUP(F3728:F7771,kunishuClan!A:A,kunishuClan!B:B),"浪人")))</f>
      </c>
      <c r="F3728" s="4">
        <v>0</v>
      </c>
      <c r="G3728" s="4">
        <v>48</v>
      </c>
      <c r="H3728" s="12" t="str">
        <f t="array" ref="H3728">IF(G3728:G7771="","",_xlfn.XLOOKUP(G3728:G7771,castles_state!A:A,castles_state!D:D,"見つかりません"))</f>
      </c>
      <c r="I3728" s="4"/>
      <c r="J3728" s="12" t="str">
        <f t="array" ref="J3728">IF(I3728:I7771="","",_xlfn.XLOOKUP(I3728:I7771,'参照_姫'!A:A,'参照_姫'!B:B,"見つかりません"))</f>
      </c>
      <c r="K3728" s="4">
        <v>50</v>
      </c>
      <c r="L3728" s="4">
        <v>0</v>
      </c>
      <c r="M3728" s="4"/>
      <c r="N3728" s="4"/>
      <c r="O3728" s="4"/>
      <c r="P3728" s="12" t="str">
        <f t="array" ref="P3728">IF(O3728:O7771="","",_xlfn.XLOOKUP(O3728:O7771,'参照_官位'!A:A,'参照_官位'!B:B,""))</f>
      </c>
      <c r="Q3728" s="12" t="str">
        <f t="array" ref="Q3728">IF(A3728:A7771="","",IFERROR(_xlfn.XLOOKUP(A3728:A7771,castles_state!K:K,castles_state!D:D)&amp;"主",IFERROR(_xlfn.XLOOKUP(A3728:A7771,kunishuClan!D:D,kunishuClan!B:B)&amp;"当主","")))</f>
      </c>
    </row>
    <row r="3729" ht="15.75" customHeight="1">
      <c r="A3729" s="4">
        <v>1302012</v>
      </c>
      <c r="B3729" s="12" t="str">
        <f t="array" ref="B3729">IF(A3729:A7772="","",_xlfn.XLOOKUP(A3729:A7772,'参照_武将'!A:A,'参照_武将'!B:B,"見つかりません"))</f>
      </c>
      <c r="C3729" s="4" t="s">
        <v>5990</v>
      </c>
      <c r="D3729" s="4">
        <v>301</v>
      </c>
      <c r="E3729" s="12" t="str">
        <f t="array" ref="E3729">IF(D3729:D7772="","",IFERROR(_xlfn.XLOOKUP(D3729:D7772,'参照_勢力'!A:A,'参照_勢力'!B:B),IFERROR(_xlfn.XLOOKUP(F3729:F7772,kunishuClan!A:A,kunishuClan!B:B),"浪人")))</f>
      </c>
      <c r="F3729" s="4">
        <v>0</v>
      </c>
      <c r="G3729" s="4">
        <v>48</v>
      </c>
      <c r="H3729" s="12" t="str">
        <f t="array" ref="H3729">IF(G3729:G7772="","",_xlfn.XLOOKUP(G3729:G7772,castles_state!A:A,castles_state!D:D,"見つかりません"))</f>
      </c>
      <c r="I3729" s="4"/>
      <c r="J3729" s="12" t="str">
        <f t="array" ref="J3729">IF(I3729:I7772="","",_xlfn.XLOOKUP(I3729:I7772,'参照_姫'!A:A,'参照_姫'!B:B,"見つかりません"))</f>
      </c>
      <c r="K3729" s="4">
        <v>95</v>
      </c>
      <c r="L3729" s="4">
        <v>0</v>
      </c>
      <c r="M3729" s="4"/>
      <c r="N3729" s="4"/>
      <c r="O3729" s="4"/>
      <c r="P3729" s="12" t="str">
        <f t="array" ref="P3729">IF(O3729:O7772="","",_xlfn.XLOOKUP(O3729:O7772,'参照_官位'!A:A,'参照_官位'!B:B,""))</f>
      </c>
      <c r="Q3729" s="12" t="str">
        <f t="array" ref="Q3729">IF(A3729:A7772="","",IFERROR(_xlfn.XLOOKUP(A3729:A7772,castles_state!K:K,castles_state!D:D)&amp;"主",IFERROR(_xlfn.XLOOKUP(A3729:A7772,kunishuClan!D:D,kunishuClan!B:B)&amp;"当主","")))</f>
      </c>
    </row>
    <row r="3730" ht="15.75" customHeight="1">
      <c r="A3730" s="4">
        <v>1302013</v>
      </c>
      <c r="B3730" s="12" t="str">
        <f t="array" ref="B3730">IF(A3730:A7773="","",_xlfn.XLOOKUP(A3730:A7773,'参照_武将'!A:A,'参照_武将'!B:B,"見つかりません"))</f>
      </c>
      <c r="C3730" s="4" t="s">
        <v>5990</v>
      </c>
      <c r="D3730" s="4">
        <v>301</v>
      </c>
      <c r="E3730" s="12" t="str">
        <f t="array" ref="E3730">IF(D3730:D7773="","",IFERROR(_xlfn.XLOOKUP(D3730:D7773,'参照_勢力'!A:A,'参照_勢力'!B:B),IFERROR(_xlfn.XLOOKUP(F3730:F7773,kunishuClan!A:A,kunishuClan!B:B),"浪人")))</f>
      </c>
      <c r="F3730" s="4">
        <v>0</v>
      </c>
      <c r="G3730" s="4">
        <v>48</v>
      </c>
      <c r="H3730" s="12" t="str">
        <f t="array" ref="H3730">IF(G3730:G7773="","",_xlfn.XLOOKUP(G3730:G7773,castles_state!A:A,castles_state!D:D,"見つかりません"))</f>
      </c>
      <c r="I3730" s="4"/>
      <c r="J3730" s="12" t="str">
        <f t="array" ref="J3730">IF(I3730:I7773="","",_xlfn.XLOOKUP(I3730:I7773,'参照_姫'!A:A,'参照_姫'!B:B,"見つかりません"))</f>
      </c>
      <c r="K3730" s="4">
        <v>95</v>
      </c>
      <c r="L3730" s="4">
        <v>0</v>
      </c>
      <c r="M3730" s="4"/>
      <c r="N3730" s="4"/>
      <c r="O3730" s="4"/>
      <c r="P3730" s="12" t="str">
        <f t="array" ref="P3730">IF(O3730:O7773="","",_xlfn.XLOOKUP(O3730:O7773,'参照_官位'!A:A,'参照_官位'!B:B,""))</f>
      </c>
      <c r="Q3730" s="12" t="str">
        <f t="array" ref="Q3730">IF(A3730:A7773="","",IFERROR(_xlfn.XLOOKUP(A3730:A7773,castles_state!K:K,castles_state!D:D)&amp;"主",IFERROR(_xlfn.XLOOKUP(A3730:A7773,kunishuClan!D:D,kunishuClan!B:B)&amp;"当主","")))</f>
      </c>
    </row>
    <row r="3731" ht="15.75" customHeight="1">
      <c r="A3731" s="4">
        <v>1302014</v>
      </c>
      <c r="B3731" s="12" t="str">
        <f t="array" ref="B3731">IF(A3731:A7774="","",_xlfn.XLOOKUP(A3731:A7774,'参照_武将'!A:A,'参照_武将'!B:B,"見つかりません"))</f>
      </c>
      <c r="C3731" s="4" t="s">
        <v>5990</v>
      </c>
      <c r="D3731" s="4">
        <v>5</v>
      </c>
      <c r="E3731" s="12" t="str">
        <f t="array" ref="E3731">IF(D3731:D7774="","",IFERROR(_xlfn.XLOOKUP(D3731:D7774,'参照_勢力'!A:A,'参照_勢力'!B:B),IFERROR(_xlfn.XLOOKUP(F3731:F7774,kunishuClan!A:A,kunishuClan!B:B),"浪人")))</f>
      </c>
      <c r="F3731" s="4">
        <v>0</v>
      </c>
      <c r="G3731" s="4">
        <v>48</v>
      </c>
      <c r="H3731" s="12" t="str">
        <f t="array" ref="H3731">IF(G3731:G7774="","",_xlfn.XLOOKUP(G3731:G7774,castles_state!A:A,castles_state!D:D,"見つかりません"))</f>
      </c>
      <c r="I3731" s="4"/>
      <c r="J3731" s="12" t="str">
        <f t="array" ref="J3731">IF(I3731:I7774="","",_xlfn.XLOOKUP(I3731:I7774,'参照_姫'!A:A,'参照_姫'!B:B,"見つかりません"))</f>
      </c>
      <c r="K3731" s="4">
        <v>95</v>
      </c>
      <c r="L3731" s="4">
        <v>0</v>
      </c>
      <c r="M3731" s="4"/>
      <c r="N3731" s="4"/>
      <c r="O3731" s="4"/>
      <c r="P3731" s="12" t="str">
        <f t="array" ref="P3731">IF(O3731:O7774="","",_xlfn.XLOOKUP(O3731:O7774,'参照_官位'!A:A,'参照_官位'!B:B,""))</f>
      </c>
      <c r="Q3731" s="12" t="str">
        <f t="array" ref="Q3731">IF(A3731:A7774="","",IFERROR(_xlfn.XLOOKUP(A3731:A7774,castles_state!K:K,castles_state!D:D)&amp;"主",IFERROR(_xlfn.XLOOKUP(A3731:A7774,kunishuClan!D:D,kunishuClan!B:B)&amp;"当主","")))</f>
      </c>
    </row>
    <row r="3732" ht="15.75" customHeight="1">
      <c r="A3732" s="4">
        <v>1302015</v>
      </c>
      <c r="B3732" s="12" t="str">
        <f t="array" ref="B3732">IF(A3732:A7775="","",_xlfn.XLOOKUP(A3732:A7775,'参照_武将'!A:A,'参照_武将'!B:B,"見つかりません"))</f>
      </c>
      <c r="C3732" s="4" t="s">
        <v>5990</v>
      </c>
      <c r="D3732" s="4">
        <v>301</v>
      </c>
      <c r="E3732" s="12" t="str">
        <f t="array" ref="E3732">IF(D3732:D7775="","",IFERROR(_xlfn.XLOOKUP(D3732:D7775,'参照_勢力'!A:A,'参照_勢力'!B:B),IFERROR(_xlfn.XLOOKUP(F3732:F7775,kunishuClan!A:A,kunishuClan!B:B),"浪人")))</f>
      </c>
      <c r="F3732" s="4">
        <v>0</v>
      </c>
      <c r="G3732" s="4">
        <v>48</v>
      </c>
      <c r="H3732" s="12" t="str">
        <f t="array" ref="H3732">IF(G3732:G7775="","",_xlfn.XLOOKUP(G3732:G7775,castles_state!A:A,castles_state!D:D,"見つかりません"))</f>
      </c>
      <c r="I3732" s="4"/>
      <c r="J3732" s="12" t="str">
        <f t="array" ref="J3732">IF(I3732:I7775="","",_xlfn.XLOOKUP(I3732:I7775,'参照_姫'!A:A,'参照_姫'!B:B,"見つかりません"))</f>
      </c>
      <c r="K3732" s="4">
        <v>90</v>
      </c>
      <c r="L3732" s="4">
        <v>0</v>
      </c>
      <c r="M3732" s="4"/>
      <c r="N3732" s="4"/>
      <c r="O3732" s="4"/>
      <c r="P3732" s="12" t="str">
        <f t="array" ref="P3732">IF(O3732:O7775="","",_xlfn.XLOOKUP(O3732:O7775,'参照_官位'!A:A,'参照_官位'!B:B,""))</f>
      </c>
      <c r="Q3732" s="12" t="str">
        <f t="array" ref="Q3732">IF(A3732:A7775="","",IFERROR(_xlfn.XLOOKUP(A3732:A7775,castles_state!K:K,castles_state!D:D)&amp;"主",IFERROR(_xlfn.XLOOKUP(A3732:A7775,kunishuClan!D:D,kunishuClan!B:B)&amp;"当主","")))</f>
      </c>
    </row>
    <row r="3733" ht="15.75" customHeight="1">
      <c r="A3733" s="4">
        <v>1302016</v>
      </c>
      <c r="B3733" s="12" t="str">
        <f t="array" ref="B3733">IF(A3733:A7776="","",_xlfn.XLOOKUP(A3733:A7776,'参照_武将'!A:A,'参照_武将'!B:B,"見つかりません"))</f>
      </c>
      <c r="C3733" s="4" t="s">
        <v>5990</v>
      </c>
      <c r="D3733" s="4">
        <v>0</v>
      </c>
      <c r="E3733" s="12" t="str">
        <f t="array" ref="E3733">IF(D3733:D7776="","",IFERROR(_xlfn.XLOOKUP(D3733:D7776,'参照_勢力'!A:A,'参照_勢力'!B:B),IFERROR(_xlfn.XLOOKUP(F3733:F7776,kunishuClan!A:A,kunishuClan!B:B),"浪人")))</f>
      </c>
      <c r="F3733" s="4">
        <v>0</v>
      </c>
      <c r="G3733" s="4">
        <v>48</v>
      </c>
      <c r="H3733" s="12" t="str">
        <f t="array" ref="H3733">IF(G3733:G7776="","",_xlfn.XLOOKUP(G3733:G7776,castles_state!A:A,castles_state!D:D,"見つかりません"))</f>
      </c>
      <c r="I3733" s="4"/>
      <c r="J3733" s="12" t="str">
        <f t="array" ref="J3733">IF(I3733:I7776="","",_xlfn.XLOOKUP(I3733:I7776,'参照_姫'!A:A,'参照_姫'!B:B,"見つかりません"))</f>
      </c>
      <c r="K3733" s="4">
        <v>50</v>
      </c>
      <c r="L3733" s="4">
        <v>0</v>
      </c>
      <c r="M3733" s="4"/>
      <c r="N3733" s="4"/>
      <c r="O3733" s="4"/>
      <c r="P3733" s="12" t="str">
        <f t="array" ref="P3733">IF(O3733:O7776="","",_xlfn.XLOOKUP(O3733:O7776,'参照_官位'!A:A,'参照_官位'!B:B,""))</f>
      </c>
      <c r="Q3733" s="12" t="str">
        <f t="array" ref="Q3733">IF(A3733:A7776="","",IFERROR(_xlfn.XLOOKUP(A3733:A7776,castles_state!K:K,castles_state!D:D)&amp;"主",IFERROR(_xlfn.XLOOKUP(A3733:A7776,kunishuClan!D:D,kunishuClan!B:B)&amp;"当主","")))</f>
      </c>
    </row>
    <row r="3734" ht="15.75" customHeight="1">
      <c r="A3734" s="4">
        <v>1302017</v>
      </c>
      <c r="B3734" s="12" t="str">
        <f t="array" ref="B3734">IF(A3734:A7777="","",_xlfn.XLOOKUP(A3734:A7777,'参照_武将'!A:A,'参照_武将'!B:B,"見つかりません"))</f>
      </c>
      <c r="C3734" s="4" t="s">
        <v>5991</v>
      </c>
      <c r="D3734" s="4">
        <v>0</v>
      </c>
      <c r="E3734" s="12" t="str">
        <f t="array" ref="E3734">IF(D3734:D7777="","",IFERROR(_xlfn.XLOOKUP(D3734:D7777,'参照_勢力'!A:A,'参照_勢力'!B:B),IFERROR(_xlfn.XLOOKUP(F3734:F7777,kunishuClan!A:A,kunishuClan!B:B),"浪人")))</f>
      </c>
      <c r="F3734" s="4">
        <v>0</v>
      </c>
      <c r="G3734" s="4">
        <v>48</v>
      </c>
      <c r="H3734" s="12" t="str">
        <f t="array" ref="H3734">IF(G3734:G7777="","",_xlfn.XLOOKUP(G3734:G7777,castles_state!A:A,castles_state!D:D,"見つかりません"))</f>
      </c>
      <c r="I3734" s="4"/>
      <c r="J3734" s="12" t="str">
        <f t="array" ref="J3734">IF(I3734:I7777="","",_xlfn.XLOOKUP(I3734:I7777,'参照_姫'!A:A,'参照_姫'!B:B,"見つかりません"))</f>
      </c>
      <c r="K3734" s="4">
        <v>50</v>
      </c>
      <c r="L3734" s="4">
        <v>0</v>
      </c>
      <c r="M3734" s="4"/>
      <c r="N3734" s="4"/>
      <c r="O3734" s="4"/>
      <c r="P3734" s="12" t="str">
        <f t="array" ref="P3734">IF(O3734:O7777="","",_xlfn.XLOOKUP(O3734:O7777,'参照_官位'!A:A,'参照_官位'!B:B,""))</f>
      </c>
      <c r="Q3734" s="12" t="str">
        <f t="array" ref="Q3734">IF(A3734:A7777="","",IFERROR(_xlfn.XLOOKUP(A3734:A7777,castles_state!K:K,castles_state!D:D)&amp;"主",IFERROR(_xlfn.XLOOKUP(A3734:A7777,kunishuClan!D:D,kunishuClan!B:B)&amp;"当主","")))</f>
      </c>
    </row>
    <row r="3735" ht="15.75" customHeight="1">
      <c r="A3735" s="4">
        <v>1302018</v>
      </c>
      <c r="B3735" s="12" t="str">
        <f t="array" ref="B3735">IF(A3735:A7778="","",_xlfn.XLOOKUP(A3735:A7778,'参照_武将'!A:A,'参照_武将'!B:B,"見つかりません"))</f>
      </c>
      <c r="C3735" s="4" t="s">
        <v>5991</v>
      </c>
      <c r="D3735" s="4">
        <v>0</v>
      </c>
      <c r="E3735" s="12" t="str">
        <f t="array" ref="E3735">IF(D3735:D7778="","",IFERROR(_xlfn.XLOOKUP(D3735:D7778,'参照_勢力'!A:A,'参照_勢力'!B:B),IFERROR(_xlfn.XLOOKUP(F3735:F7778,kunishuClan!A:A,kunishuClan!B:B),"浪人")))</f>
      </c>
      <c r="F3735" s="4">
        <v>0</v>
      </c>
      <c r="G3735" s="4">
        <v>48</v>
      </c>
      <c r="H3735" s="12" t="str">
        <f t="array" ref="H3735">IF(G3735:G7778="","",_xlfn.XLOOKUP(G3735:G7778,castles_state!A:A,castles_state!D:D,"見つかりません"))</f>
      </c>
      <c r="I3735" s="4"/>
      <c r="J3735" s="12" t="str">
        <f t="array" ref="J3735">IF(I3735:I7778="","",_xlfn.XLOOKUP(I3735:I7778,'参照_姫'!A:A,'参照_姫'!B:B,"見つかりません"))</f>
      </c>
      <c r="K3735" s="4">
        <v>50</v>
      </c>
      <c r="L3735" s="4">
        <v>0</v>
      </c>
      <c r="M3735" s="4"/>
      <c r="N3735" s="4"/>
      <c r="O3735" s="4"/>
      <c r="P3735" s="12" t="str">
        <f t="array" ref="P3735">IF(O3735:O7778="","",_xlfn.XLOOKUP(O3735:O7778,'参照_官位'!A:A,'参照_官位'!B:B,""))</f>
      </c>
      <c r="Q3735" s="12" t="str">
        <f t="array" ref="Q3735">IF(A3735:A7778="","",IFERROR(_xlfn.XLOOKUP(A3735:A7778,castles_state!K:K,castles_state!D:D)&amp;"主",IFERROR(_xlfn.XLOOKUP(A3735:A7778,kunishuClan!D:D,kunishuClan!B:B)&amp;"当主","")))</f>
      </c>
    </row>
    <row r="3736" ht="15.75" customHeight="1">
      <c r="A3736" s="4">
        <v>1401001</v>
      </c>
      <c r="B3736" s="12" t="str">
        <f t="array" ref="B3736">IF(A3736:A7779="","",_xlfn.XLOOKUP(A3736:A7779,'参照_武将'!A:A,'参照_武将'!B:B,"見つかりません"))</f>
      </c>
      <c r="C3736" s="4" t="s">
        <v>548</v>
      </c>
      <c r="D3736" s="4">
        <v>1</v>
      </c>
      <c r="E3736" s="12" t="str">
        <f t="array" ref="E3736">IF(D3736:D7779="","",IFERROR(_xlfn.XLOOKUP(D3736:D7779,'参照_勢力'!A:A,'参照_勢力'!B:B),IFERROR(_xlfn.XLOOKUP(F3736:F7779,kunishuClan!A:A,kunishuClan!B:B),"浪人")))</f>
      </c>
      <c r="F3736" s="4">
        <v>0</v>
      </c>
      <c r="G3736" s="4">
        <v>7</v>
      </c>
      <c r="H3736" s="12" t="str">
        <f t="array" ref="H3736">IF(G3736:G7779="","",_xlfn.XLOOKUP(G3736:G7779,castles_state!A:A,castles_state!D:D,"見つかりません"))</f>
      </c>
      <c r="I3736" s="4"/>
      <c r="J3736" s="12" t="str">
        <f t="array" ref="J3736">IF(I3736:I7779="","",_xlfn.XLOOKUP(I3736:I7779,'参照_姫'!A:A,'参照_姫'!B:B,"見つかりません"))</f>
      </c>
      <c r="K3736" s="4">
        <v>95</v>
      </c>
      <c r="L3736" s="4">
        <v>0</v>
      </c>
      <c r="M3736" s="4"/>
      <c r="N3736" s="4"/>
      <c r="O3736" s="4"/>
      <c r="P3736" s="12" t="str">
        <f t="array" ref="P3736">IF(O3736:O7779="","",_xlfn.XLOOKUP(O3736:O7779,'参照_官位'!A:A,'参照_官位'!B:B,""))</f>
      </c>
      <c r="Q3736" s="12" t="str">
        <f t="array" ref="Q3736">IF(A3736:A7779="","",IFERROR(_xlfn.XLOOKUP(A3736:A7779,castles_state!K:K,castles_state!D:D)&amp;"主",IFERROR(_xlfn.XLOOKUP(A3736:A7779,kunishuClan!D:D,kunishuClan!B:B)&amp;"当主","")))</f>
      </c>
    </row>
    <row r="3737" ht="15.75" customHeight="1">
      <c r="A3737" s="4">
        <v>1401002</v>
      </c>
      <c r="B3737" s="12" t="str">
        <f t="array" ref="B3737">IF(A3737:A7780="","",_xlfn.XLOOKUP(A3737:A7780,'参照_武将'!A:A,'参照_武将'!B:B,"見つかりません"))</f>
      </c>
      <c r="C3737" s="4" t="s">
        <v>548</v>
      </c>
      <c r="D3737" s="4">
        <v>1</v>
      </c>
      <c r="E3737" s="12" t="str">
        <f t="array" ref="E3737">IF(D3737:D7780="","",IFERROR(_xlfn.XLOOKUP(D3737:D7780,'参照_勢力'!A:A,'参照_勢力'!B:B),IFERROR(_xlfn.XLOOKUP(F3737:F7780,kunishuClan!A:A,kunishuClan!B:B),"浪人")))</f>
      </c>
      <c r="F3737" s="4">
        <v>0</v>
      </c>
      <c r="G3737" s="4">
        <v>3</v>
      </c>
      <c r="H3737" s="12" t="str">
        <f t="array" ref="H3737">IF(G3737:G7780="","",_xlfn.XLOOKUP(G3737:G7780,castles_state!A:A,castles_state!D:D,"見つかりません"))</f>
      </c>
      <c r="I3737" s="4">
        <v>17</v>
      </c>
      <c r="J3737" s="12" t="str">
        <f t="array" ref="J3737">IF(I3737:I7780="","",_xlfn.XLOOKUP(I3737:I7780,'参照_姫'!A:A,'参照_姫'!B:B,"見つかりません"))</f>
      </c>
      <c r="K3737" s="4">
        <v>95</v>
      </c>
      <c r="L3737" s="4">
        <v>500</v>
      </c>
      <c r="M3737" s="4"/>
      <c r="N3737" s="4"/>
      <c r="O3737" s="4"/>
      <c r="P3737" s="12" t="str">
        <f t="array" ref="P3737">IF(O3737:O7780="","",_xlfn.XLOOKUP(O3737:O7780,'参照_官位'!A:A,'参照_官位'!B:B,""))</f>
      </c>
      <c r="Q3737" s="12" t="str">
        <f t="array" ref="Q3737">IF(A3737:A7780="","",IFERROR(_xlfn.XLOOKUP(A3737:A7780,castles_state!K:K,castles_state!D:D)&amp;"主",IFERROR(_xlfn.XLOOKUP(A3737:A7780,kunishuClan!D:D,kunishuClan!B:B)&amp;"当主","")))</f>
      </c>
    </row>
    <row r="3738" ht="15.75" customHeight="1">
      <c r="A3738" s="4">
        <v>1401003</v>
      </c>
      <c r="B3738" s="12" t="str">
        <f t="array" ref="B3738">IF(A3738:A7781="","",_xlfn.XLOOKUP(A3738:A7781,'参照_武将'!A:A,'参照_武将'!B:B,"見つかりません"))</f>
      </c>
      <c r="C3738" s="4" t="s">
        <v>548</v>
      </c>
      <c r="D3738" s="4">
        <v>1</v>
      </c>
      <c r="E3738" s="12" t="str">
        <f t="array" ref="E3738">IF(D3738:D7781="","",IFERROR(_xlfn.XLOOKUP(D3738:D7781,'参照_勢力'!A:A,'参照_勢力'!B:B),IFERROR(_xlfn.XLOOKUP(F3738:F7781,kunishuClan!A:A,kunishuClan!B:B),"浪人")))</f>
      </c>
      <c r="F3738" s="4">
        <v>0</v>
      </c>
      <c r="G3738" s="4">
        <v>7</v>
      </c>
      <c r="H3738" s="12" t="str">
        <f t="array" ref="H3738">IF(G3738:G7781="","",_xlfn.XLOOKUP(G3738:G7781,castles_state!A:A,castles_state!D:D,"見つかりません"))</f>
      </c>
      <c r="I3738" s="4"/>
      <c r="J3738" s="12" t="str">
        <f t="array" ref="J3738">IF(I3738:I7781="","",_xlfn.XLOOKUP(I3738:I7781,'参照_姫'!A:A,'参照_姫'!B:B,"見つかりません"))</f>
      </c>
      <c r="K3738" s="4">
        <v>95</v>
      </c>
      <c r="L3738" s="4">
        <v>0</v>
      </c>
      <c r="M3738" s="4"/>
      <c r="N3738" s="4"/>
      <c r="O3738" s="4"/>
      <c r="P3738" s="12" t="str">
        <f t="array" ref="P3738">IF(O3738:O7781="","",_xlfn.XLOOKUP(O3738:O7781,'参照_官位'!A:A,'参照_官位'!B:B,""))</f>
      </c>
      <c r="Q3738" s="12" t="str">
        <f t="array" ref="Q3738">IF(A3738:A7781="","",IFERROR(_xlfn.XLOOKUP(A3738:A7781,castles_state!K:K,castles_state!D:D)&amp;"主",IFERROR(_xlfn.XLOOKUP(A3738:A7781,kunishuClan!D:D,kunishuClan!B:B)&amp;"当主","")))</f>
      </c>
    </row>
    <row r="3739" ht="15.75" customHeight="1">
      <c r="A3739" s="4">
        <v>1401004</v>
      </c>
      <c r="B3739" s="12" t="str">
        <f t="array" ref="B3739">IF(A3739:A7782="","",_xlfn.XLOOKUP(A3739:A7782,'参照_武将'!A:A,'参照_武将'!B:B,"見つかりません"))</f>
      </c>
      <c r="C3739" s="4" t="s">
        <v>548</v>
      </c>
      <c r="D3739" s="4">
        <v>1</v>
      </c>
      <c r="E3739" s="12" t="str">
        <f t="array" ref="E3739">IF(D3739:D7782="","",IFERROR(_xlfn.XLOOKUP(D3739:D7782,'参照_勢力'!A:A,'参照_勢力'!B:B),IFERROR(_xlfn.XLOOKUP(F3739:F7782,kunishuClan!A:A,kunishuClan!B:B),"浪人")))</f>
      </c>
      <c r="F3739" s="4">
        <v>0</v>
      </c>
      <c r="G3739" s="4">
        <v>7</v>
      </c>
      <c r="H3739" s="12" t="str">
        <f t="array" ref="H3739">IF(G3739:G7782="","",_xlfn.XLOOKUP(G3739:G7782,castles_state!A:A,castles_state!D:D,"見つかりません"))</f>
      </c>
      <c r="I3739" s="4"/>
      <c r="J3739" s="12" t="str">
        <f t="array" ref="J3739">IF(I3739:I7782="","",_xlfn.XLOOKUP(I3739:I7782,'参照_姫'!A:A,'参照_姫'!B:B,"見つかりません"))</f>
      </c>
      <c r="K3739" s="4">
        <v>95</v>
      </c>
      <c r="L3739" s="4">
        <v>0</v>
      </c>
      <c r="M3739" s="4"/>
      <c r="N3739" s="4"/>
      <c r="O3739" s="4"/>
      <c r="P3739" s="12" t="str">
        <f t="array" ref="P3739">IF(O3739:O7782="","",_xlfn.XLOOKUP(O3739:O7782,'参照_官位'!A:A,'参照_官位'!B:B,""))</f>
      </c>
      <c r="Q3739" s="12" t="str">
        <f t="array" ref="Q3739">IF(A3739:A7782="","",IFERROR(_xlfn.XLOOKUP(A3739:A7782,castles_state!K:K,castles_state!D:D)&amp;"主",IFERROR(_xlfn.XLOOKUP(A3739:A7782,kunishuClan!D:D,kunishuClan!B:B)&amp;"当主","")))</f>
      </c>
    </row>
    <row r="3740" ht="15.75" customHeight="1">
      <c r="A3740" s="4">
        <v>1401005</v>
      </c>
      <c r="B3740" s="12" t="str">
        <f t="array" ref="B3740">IF(A3740:A7783="","",_xlfn.XLOOKUP(A3740:A7783,'参照_武将'!A:A,'参照_武将'!B:B,"見つかりません"))</f>
      </c>
      <c r="C3740" s="4" t="s">
        <v>548</v>
      </c>
      <c r="D3740" s="4">
        <v>1</v>
      </c>
      <c r="E3740" s="12" t="str">
        <f t="array" ref="E3740">IF(D3740:D7783="","",IFERROR(_xlfn.XLOOKUP(D3740:D7783,'参照_勢力'!A:A,'参照_勢力'!B:B),IFERROR(_xlfn.XLOOKUP(F3740:F7783,kunishuClan!A:A,kunishuClan!B:B),"浪人")))</f>
      </c>
      <c r="F3740" s="4">
        <v>0</v>
      </c>
      <c r="G3740" s="4">
        <v>7</v>
      </c>
      <c r="H3740" s="12" t="str">
        <f t="array" ref="H3740">IF(G3740:G7783="","",_xlfn.XLOOKUP(G3740:G7783,castles_state!A:A,castles_state!D:D,"見つかりません"))</f>
      </c>
      <c r="I3740" s="4"/>
      <c r="J3740" s="12" t="str">
        <f t="array" ref="J3740">IF(I3740:I7783="","",_xlfn.XLOOKUP(I3740:I7783,'参照_姫'!A:A,'参照_姫'!B:B,"見つかりません"))</f>
      </c>
      <c r="K3740" s="4">
        <v>95</v>
      </c>
      <c r="L3740" s="4">
        <v>0</v>
      </c>
      <c r="M3740" s="4"/>
      <c r="N3740" s="4"/>
      <c r="O3740" s="4"/>
      <c r="P3740" s="12" t="str">
        <f t="array" ref="P3740">IF(O3740:O7783="","",_xlfn.XLOOKUP(O3740:O7783,'参照_官位'!A:A,'参照_官位'!B:B,""))</f>
      </c>
      <c r="Q3740" s="12" t="str">
        <f t="array" ref="Q3740">IF(A3740:A7783="","",IFERROR(_xlfn.XLOOKUP(A3740:A7783,castles_state!K:K,castles_state!D:D)&amp;"主",IFERROR(_xlfn.XLOOKUP(A3740:A7783,kunishuClan!D:D,kunishuClan!B:B)&amp;"当主","")))</f>
      </c>
    </row>
    <row r="3741" ht="15.75" customHeight="1">
      <c r="A3741" s="4">
        <v>1401006</v>
      </c>
      <c r="B3741" s="12" t="str">
        <f t="array" ref="B3741">IF(A3741:A7784="","",_xlfn.XLOOKUP(A3741:A7784,'参照_武将'!A:A,'参照_武将'!B:B,"見つかりません"))</f>
      </c>
      <c r="C3741" s="4" t="s">
        <v>548</v>
      </c>
      <c r="D3741" s="4">
        <v>1</v>
      </c>
      <c r="E3741" s="12" t="str">
        <f t="array" ref="E3741">IF(D3741:D7784="","",IFERROR(_xlfn.XLOOKUP(D3741:D7784,'参照_勢力'!A:A,'参照_勢力'!B:B),IFERROR(_xlfn.XLOOKUP(F3741:F7784,kunishuClan!A:A,kunishuClan!B:B),"浪人")))</f>
      </c>
      <c r="F3741" s="4">
        <v>0</v>
      </c>
      <c r="G3741" s="4">
        <v>7</v>
      </c>
      <c r="H3741" s="12" t="str">
        <f t="array" ref="H3741">IF(G3741:G7784="","",_xlfn.XLOOKUP(G3741:G7784,castles_state!A:A,castles_state!D:D,"見つかりません"))</f>
      </c>
      <c r="I3741" s="4"/>
      <c r="J3741" s="12" t="str">
        <f t="array" ref="J3741">IF(I3741:I7784="","",_xlfn.XLOOKUP(I3741:I7784,'参照_姫'!A:A,'参照_姫'!B:B,"見つかりません"))</f>
      </c>
      <c r="K3741" s="4">
        <v>95</v>
      </c>
      <c r="L3741" s="4">
        <v>0</v>
      </c>
      <c r="M3741" s="4"/>
      <c r="N3741" s="4"/>
      <c r="O3741" s="4"/>
      <c r="P3741" s="12" t="str">
        <f t="array" ref="P3741">IF(O3741:O7784="","",_xlfn.XLOOKUP(O3741:O7784,'参照_官位'!A:A,'参照_官位'!B:B,""))</f>
      </c>
      <c r="Q3741" s="12" t="str">
        <f t="array" ref="Q3741">IF(A3741:A7784="","",IFERROR(_xlfn.XLOOKUP(A3741:A7784,castles_state!K:K,castles_state!D:D)&amp;"主",IFERROR(_xlfn.XLOOKUP(A3741:A7784,kunishuClan!D:D,kunishuClan!B:B)&amp;"当主","")))</f>
      </c>
    </row>
    <row r="3742" ht="15.75" customHeight="1">
      <c r="A3742" s="4">
        <v>1401007</v>
      </c>
      <c r="B3742" s="12" t="str">
        <f t="array" ref="B3742">IF(A3742:A7785="","",_xlfn.XLOOKUP(A3742:A7785,'参照_武将'!A:A,'参照_武将'!B:B,"見つかりません"))</f>
      </c>
      <c r="C3742" s="4" t="s">
        <v>548</v>
      </c>
      <c r="D3742" s="4">
        <v>1</v>
      </c>
      <c r="E3742" s="12" t="str">
        <f t="array" ref="E3742">IF(D3742:D7785="","",IFERROR(_xlfn.XLOOKUP(D3742:D7785,'参照_勢力'!A:A,'参照_勢力'!B:B),IFERROR(_xlfn.XLOOKUP(F3742:F7785,kunishuClan!A:A,kunishuClan!B:B),"浪人")))</f>
      </c>
      <c r="F3742" s="4">
        <v>0</v>
      </c>
      <c r="G3742" s="4">
        <v>7</v>
      </c>
      <c r="H3742" s="12" t="str">
        <f t="array" ref="H3742">IF(G3742:G7785="","",_xlfn.XLOOKUP(G3742:G7785,castles_state!A:A,castles_state!D:D,"見つかりません"))</f>
      </c>
      <c r="I3742" s="4"/>
      <c r="J3742" s="12" t="str">
        <f t="array" ref="J3742">IF(I3742:I7785="","",_xlfn.XLOOKUP(I3742:I7785,'参照_姫'!A:A,'参照_姫'!B:B,"見つかりません"))</f>
      </c>
      <c r="K3742" s="4">
        <v>95</v>
      </c>
      <c r="L3742" s="4">
        <v>0</v>
      </c>
      <c r="M3742" s="4"/>
      <c r="N3742" s="4"/>
      <c r="O3742" s="4"/>
      <c r="P3742" s="12" t="str">
        <f t="array" ref="P3742">IF(O3742:O7785="","",_xlfn.XLOOKUP(O3742:O7785,'参照_官位'!A:A,'参照_官位'!B:B,""))</f>
      </c>
      <c r="Q3742" s="12" t="str">
        <f t="array" ref="Q3742">IF(A3742:A7785="","",IFERROR(_xlfn.XLOOKUP(A3742:A7785,castles_state!K:K,castles_state!D:D)&amp;"主",IFERROR(_xlfn.XLOOKUP(A3742:A7785,kunishuClan!D:D,kunishuClan!B:B)&amp;"当主","")))</f>
      </c>
    </row>
    <row r="3743" ht="15.75" customHeight="1">
      <c r="A3743" s="4">
        <v>1401008</v>
      </c>
      <c r="B3743" s="12" t="str">
        <f t="array" ref="B3743">IF(A3743:A7786="","",_xlfn.XLOOKUP(A3743:A7786,'参照_武将'!A:A,'参照_武将'!B:B,"見つかりません"))</f>
      </c>
      <c r="C3743" s="4" t="s">
        <v>548</v>
      </c>
      <c r="D3743" s="4">
        <v>1</v>
      </c>
      <c r="E3743" s="12" t="str">
        <f t="array" ref="E3743">IF(D3743:D7786="","",IFERROR(_xlfn.XLOOKUP(D3743:D7786,'参照_勢力'!A:A,'参照_勢力'!B:B),IFERROR(_xlfn.XLOOKUP(F3743:F7786,kunishuClan!A:A,kunishuClan!B:B),"浪人")))</f>
      </c>
      <c r="F3743" s="4">
        <v>0</v>
      </c>
      <c r="G3743" s="4">
        <v>7</v>
      </c>
      <c r="H3743" s="12" t="str">
        <f t="array" ref="H3743">IF(G3743:G7786="","",_xlfn.XLOOKUP(G3743:G7786,castles_state!A:A,castles_state!D:D,"見つかりません"))</f>
      </c>
      <c r="I3743" s="4"/>
      <c r="J3743" s="12" t="str">
        <f t="array" ref="J3743">IF(I3743:I7786="","",_xlfn.XLOOKUP(I3743:I7786,'参照_姫'!A:A,'参照_姫'!B:B,"見つかりません"))</f>
      </c>
      <c r="K3743" s="4">
        <v>95</v>
      </c>
      <c r="L3743" s="4">
        <v>0</v>
      </c>
      <c r="M3743" s="4"/>
      <c r="N3743" s="4"/>
      <c r="O3743" s="4"/>
      <c r="P3743" s="12" t="str">
        <f t="array" ref="P3743">IF(O3743:O7786="","",_xlfn.XLOOKUP(O3743:O7786,'参照_官位'!A:A,'参照_官位'!B:B,""))</f>
      </c>
      <c r="Q3743" s="12" t="str">
        <f t="array" ref="Q3743">IF(A3743:A7786="","",IFERROR(_xlfn.XLOOKUP(A3743:A7786,castles_state!K:K,castles_state!D:D)&amp;"主",IFERROR(_xlfn.XLOOKUP(A3743:A7786,kunishuClan!D:D,kunishuClan!B:B)&amp;"当主","")))</f>
      </c>
    </row>
    <row r="3744" ht="15.75" customHeight="1">
      <c r="A3744" s="4">
        <v>1401009</v>
      </c>
      <c r="B3744" s="12" t="str">
        <f t="array" ref="B3744">IF(A3744:A7787="","",_xlfn.XLOOKUP(A3744:A7787,'参照_武将'!A:A,'参照_武将'!B:B,"見つかりません"))</f>
      </c>
      <c r="C3744" s="4" t="s">
        <v>548</v>
      </c>
      <c r="D3744" s="4">
        <v>25</v>
      </c>
      <c r="E3744" s="12" t="str">
        <f t="array" ref="E3744">IF(D3744:D7787="","",IFERROR(_xlfn.XLOOKUP(D3744:D7787,'参照_勢力'!A:A,'参照_勢力'!B:B),IFERROR(_xlfn.XLOOKUP(F3744:F7787,kunishuClan!A:A,kunishuClan!B:B),"浪人")))</f>
      </c>
      <c r="F3744" s="4">
        <v>0</v>
      </c>
      <c r="G3744" s="4">
        <v>121</v>
      </c>
      <c r="H3744" s="12" t="str">
        <f t="array" ref="H3744">IF(G3744:G7787="","",_xlfn.XLOOKUP(G3744:G7787,castles_state!A:A,castles_state!D:D,"見つかりません"))</f>
      </c>
      <c r="I3744" s="4"/>
      <c r="J3744" s="12" t="str">
        <f t="array" ref="J3744">IF(I3744:I7787="","",_xlfn.XLOOKUP(I3744:I7787,'参照_姫'!A:A,'参照_姫'!B:B,"見つかりません"))</f>
      </c>
      <c r="K3744" s="4">
        <v>95</v>
      </c>
      <c r="L3744" s="4">
        <v>0</v>
      </c>
      <c r="M3744" s="4"/>
      <c r="N3744" s="4"/>
      <c r="O3744" s="4"/>
      <c r="P3744" s="12" t="str">
        <f t="array" ref="P3744">IF(O3744:O7787="","",_xlfn.XLOOKUP(O3744:O7787,'参照_官位'!A:A,'参照_官位'!B:B,""))</f>
      </c>
      <c r="Q3744" s="12" t="str">
        <f t="array" ref="Q3744">IF(A3744:A7787="","",IFERROR(_xlfn.XLOOKUP(A3744:A7787,castles_state!K:K,castles_state!D:D)&amp;"主",IFERROR(_xlfn.XLOOKUP(A3744:A7787,kunishuClan!D:D,kunishuClan!B:B)&amp;"当主","")))</f>
      </c>
    </row>
    <row r="3745" ht="15.75" customHeight="1">
      <c r="A3745" s="4">
        <v>1401010</v>
      </c>
      <c r="B3745" s="12" t="str">
        <f t="array" ref="B3745">IF(A3745:A7788="","",_xlfn.XLOOKUP(A3745:A7788,'参照_武将'!A:A,'参照_武将'!B:B,"見つかりません"))</f>
      </c>
      <c r="C3745" s="4" t="s">
        <v>548</v>
      </c>
      <c r="D3745" s="4">
        <v>1</v>
      </c>
      <c r="E3745" s="12" t="str">
        <f t="array" ref="E3745">IF(D3745:D7788="","",IFERROR(_xlfn.XLOOKUP(D3745:D7788,'参照_勢力'!A:A,'参照_勢力'!B:B),IFERROR(_xlfn.XLOOKUP(F3745:F7788,kunishuClan!A:A,kunishuClan!B:B),"浪人")))</f>
      </c>
      <c r="F3745" s="4">
        <v>0</v>
      </c>
      <c r="G3745" s="4">
        <v>7</v>
      </c>
      <c r="H3745" s="12" t="str">
        <f t="array" ref="H3745">IF(G3745:G7788="","",_xlfn.XLOOKUP(G3745:G7788,castles_state!A:A,castles_state!D:D,"見つかりません"))</f>
      </c>
      <c r="I3745" s="4"/>
      <c r="J3745" s="12" t="str">
        <f t="array" ref="J3745">IF(I3745:I7788="","",_xlfn.XLOOKUP(I3745:I7788,'参照_姫'!A:A,'参照_姫'!B:B,"見つかりません"))</f>
      </c>
      <c r="K3745" s="4">
        <v>95</v>
      </c>
      <c r="L3745" s="4">
        <v>0</v>
      </c>
      <c r="M3745" s="4"/>
      <c r="N3745" s="4"/>
      <c r="O3745" s="4"/>
      <c r="P3745" s="12" t="str">
        <f t="array" ref="P3745">IF(O3745:O7788="","",_xlfn.XLOOKUP(O3745:O7788,'参照_官位'!A:A,'参照_官位'!B:B,""))</f>
      </c>
      <c r="Q3745" s="12" t="str">
        <f t="array" ref="Q3745">IF(A3745:A7788="","",IFERROR(_xlfn.XLOOKUP(A3745:A7788,castles_state!K:K,castles_state!D:D)&amp;"主",IFERROR(_xlfn.XLOOKUP(A3745:A7788,kunishuClan!D:D,kunishuClan!B:B)&amp;"当主","")))</f>
      </c>
    </row>
    <row r="3746" ht="15.75" customHeight="1">
      <c r="A3746" s="4">
        <v>1401011</v>
      </c>
      <c r="B3746" s="12" t="str">
        <f t="array" ref="B3746">IF(A3746:A7789="","",_xlfn.XLOOKUP(A3746:A7789,'参照_武将'!A:A,'参照_武将'!B:B,"見つかりません"))</f>
      </c>
      <c r="C3746" s="4" t="s">
        <v>548</v>
      </c>
      <c r="D3746" s="4">
        <v>1</v>
      </c>
      <c r="E3746" s="12" t="str">
        <f t="array" ref="E3746">IF(D3746:D7789="","",IFERROR(_xlfn.XLOOKUP(D3746:D7789,'参照_勢力'!A:A,'参照_勢力'!B:B),IFERROR(_xlfn.XLOOKUP(F3746:F7789,kunishuClan!A:A,kunishuClan!B:B),"浪人")))</f>
      </c>
      <c r="F3746" s="4">
        <v>0</v>
      </c>
      <c r="G3746" s="4">
        <v>7</v>
      </c>
      <c r="H3746" s="12" t="str">
        <f t="array" ref="H3746">IF(G3746:G7789="","",_xlfn.XLOOKUP(G3746:G7789,castles_state!A:A,castles_state!D:D,"見つかりません"))</f>
      </c>
      <c r="I3746" s="4"/>
      <c r="J3746" s="12" t="str">
        <f t="array" ref="J3746">IF(I3746:I7789="","",_xlfn.XLOOKUP(I3746:I7789,'参照_姫'!A:A,'参照_姫'!B:B,"見つかりません"))</f>
      </c>
      <c r="K3746" s="4">
        <v>95</v>
      </c>
      <c r="L3746" s="4">
        <v>0</v>
      </c>
      <c r="M3746" s="4"/>
      <c r="N3746" s="4"/>
      <c r="O3746" s="4"/>
      <c r="P3746" s="12" t="str">
        <f t="array" ref="P3746">IF(O3746:O7789="","",_xlfn.XLOOKUP(O3746:O7789,'参照_官位'!A:A,'参照_官位'!B:B,""))</f>
      </c>
      <c r="Q3746" s="12" t="str">
        <f t="array" ref="Q3746">IF(A3746:A7789="","",IFERROR(_xlfn.XLOOKUP(A3746:A7789,castles_state!K:K,castles_state!D:D)&amp;"主",IFERROR(_xlfn.XLOOKUP(A3746:A7789,kunishuClan!D:D,kunishuClan!B:B)&amp;"当主","")))</f>
      </c>
    </row>
    <row r="3747" ht="15.75" customHeight="1">
      <c r="A3747" s="4">
        <v>1401012</v>
      </c>
      <c r="B3747" s="12" t="str">
        <f t="array" ref="B3747">IF(A3747:A7790="","",_xlfn.XLOOKUP(A3747:A7790,'参照_武将'!A:A,'参照_武将'!B:B,"見つかりません"))</f>
      </c>
      <c r="C3747" s="4" t="s">
        <v>548</v>
      </c>
      <c r="D3747" s="4">
        <v>1</v>
      </c>
      <c r="E3747" s="12" t="str">
        <f t="array" ref="E3747">IF(D3747:D7790="","",IFERROR(_xlfn.XLOOKUP(D3747:D7790,'参照_勢力'!A:A,'参照_勢力'!B:B),IFERROR(_xlfn.XLOOKUP(F3747:F7790,kunishuClan!A:A,kunishuClan!B:B),"浪人")))</f>
      </c>
      <c r="F3747" s="4">
        <v>0</v>
      </c>
      <c r="G3747" s="4">
        <v>7</v>
      </c>
      <c r="H3747" s="12" t="str">
        <f t="array" ref="H3747">IF(G3747:G7790="","",_xlfn.XLOOKUP(G3747:G7790,castles_state!A:A,castles_state!D:D,"見つかりません"))</f>
      </c>
      <c r="I3747" s="4"/>
      <c r="J3747" s="12" t="str">
        <f t="array" ref="J3747">IF(I3747:I7790="","",_xlfn.XLOOKUP(I3747:I7790,'参照_姫'!A:A,'参照_姫'!B:B,"見つかりません"))</f>
      </c>
      <c r="K3747" s="4">
        <v>95</v>
      </c>
      <c r="L3747" s="4">
        <v>0</v>
      </c>
      <c r="M3747" s="4"/>
      <c r="N3747" s="4"/>
      <c r="O3747" s="4"/>
      <c r="P3747" s="12" t="str">
        <f t="array" ref="P3747">IF(O3747:O7790="","",_xlfn.XLOOKUP(O3747:O7790,'参照_官位'!A:A,'参照_官位'!B:B,""))</f>
      </c>
      <c r="Q3747" s="12" t="str">
        <f t="array" ref="Q3747">IF(A3747:A7790="","",IFERROR(_xlfn.XLOOKUP(A3747:A7790,castles_state!K:K,castles_state!D:D)&amp;"主",IFERROR(_xlfn.XLOOKUP(A3747:A7790,kunishuClan!D:D,kunishuClan!B:B)&amp;"当主","")))</f>
      </c>
    </row>
    <row r="3748" ht="15.75" customHeight="1">
      <c r="A3748" s="4">
        <v>1401013</v>
      </c>
      <c r="B3748" s="12" t="str">
        <f t="array" ref="B3748">IF(A3748:A7791="","",_xlfn.XLOOKUP(A3748:A7791,'参照_武将'!A:A,'参照_武将'!B:B,"見つかりません"))</f>
      </c>
      <c r="C3748" s="4" t="s">
        <v>548</v>
      </c>
      <c r="D3748" s="4">
        <v>1</v>
      </c>
      <c r="E3748" s="12" t="str">
        <f t="array" ref="E3748">IF(D3748:D7791="","",IFERROR(_xlfn.XLOOKUP(D3748:D7791,'参照_勢力'!A:A,'参照_勢力'!B:B),IFERROR(_xlfn.XLOOKUP(F3748:F7791,kunishuClan!A:A,kunishuClan!B:B),"浪人")))</f>
      </c>
      <c r="F3748" s="4">
        <v>0</v>
      </c>
      <c r="G3748" s="4">
        <v>7</v>
      </c>
      <c r="H3748" s="12" t="str">
        <f t="array" ref="H3748">IF(G3748:G7791="","",_xlfn.XLOOKUP(G3748:G7791,castles_state!A:A,castles_state!D:D,"見つかりません"))</f>
      </c>
      <c r="I3748" s="4"/>
      <c r="J3748" s="12" t="str">
        <f t="array" ref="J3748">IF(I3748:I7791="","",_xlfn.XLOOKUP(I3748:I7791,'参照_姫'!A:A,'参照_姫'!B:B,"見つかりません"))</f>
      </c>
      <c r="K3748" s="4">
        <v>95</v>
      </c>
      <c r="L3748" s="4">
        <v>0</v>
      </c>
      <c r="M3748" s="4"/>
      <c r="N3748" s="4"/>
      <c r="O3748" s="4"/>
      <c r="P3748" s="12" t="str">
        <f t="array" ref="P3748">IF(O3748:O7791="","",_xlfn.XLOOKUP(O3748:O7791,'参照_官位'!A:A,'参照_官位'!B:B,""))</f>
      </c>
      <c r="Q3748" s="12" t="str">
        <f t="array" ref="Q3748">IF(A3748:A7791="","",IFERROR(_xlfn.XLOOKUP(A3748:A7791,castles_state!K:K,castles_state!D:D)&amp;"主",IFERROR(_xlfn.XLOOKUP(A3748:A7791,kunishuClan!D:D,kunishuClan!B:B)&amp;"当主","")))</f>
      </c>
    </row>
    <row r="3749" ht="15.75" customHeight="1">
      <c r="A3749" s="4">
        <v>1401014</v>
      </c>
      <c r="B3749" s="12" t="str">
        <f t="array" ref="B3749">IF(A3749:A7792="","",_xlfn.XLOOKUP(A3749:A7792,'参照_武将'!A:A,'参照_武将'!B:B,"見つかりません"))</f>
      </c>
      <c r="C3749" s="4" t="s">
        <v>548</v>
      </c>
      <c r="D3749" s="4">
        <v>1</v>
      </c>
      <c r="E3749" s="12" t="str">
        <f t="array" ref="E3749">IF(D3749:D7792="","",IFERROR(_xlfn.XLOOKUP(D3749:D7792,'参照_勢力'!A:A,'参照_勢力'!B:B),IFERROR(_xlfn.XLOOKUP(F3749:F7792,kunishuClan!A:A,kunishuClan!B:B),"浪人")))</f>
      </c>
      <c r="F3749" s="4">
        <v>0</v>
      </c>
      <c r="G3749" s="4">
        <v>7</v>
      </c>
      <c r="H3749" s="12" t="str">
        <f t="array" ref="H3749">IF(G3749:G7792="","",_xlfn.XLOOKUP(G3749:G7792,castles_state!A:A,castles_state!D:D,"見つかりません"))</f>
      </c>
      <c r="I3749" s="4"/>
      <c r="J3749" s="12" t="str">
        <f t="array" ref="J3749">IF(I3749:I7792="","",_xlfn.XLOOKUP(I3749:I7792,'参照_姫'!A:A,'参照_姫'!B:B,"見つかりません"))</f>
      </c>
      <c r="K3749" s="4">
        <v>95</v>
      </c>
      <c r="L3749" s="4">
        <v>0</v>
      </c>
      <c r="M3749" s="4"/>
      <c r="N3749" s="4"/>
      <c r="O3749" s="4"/>
      <c r="P3749" s="12" t="str">
        <f t="array" ref="P3749">IF(O3749:O7792="","",_xlfn.XLOOKUP(O3749:O7792,'参照_官位'!A:A,'参照_官位'!B:B,""))</f>
      </c>
      <c r="Q3749" s="12" t="str">
        <f t="array" ref="Q3749">IF(A3749:A7792="","",IFERROR(_xlfn.XLOOKUP(A3749:A7792,castles_state!K:K,castles_state!D:D)&amp;"主",IFERROR(_xlfn.XLOOKUP(A3749:A7792,kunishuClan!D:D,kunishuClan!B:B)&amp;"当主","")))</f>
      </c>
    </row>
    <row r="3750" ht="15.75" customHeight="1">
      <c r="A3750" s="4">
        <v>1401015</v>
      </c>
      <c r="B3750" s="12" t="str">
        <f t="array" ref="B3750">IF(A3750:A7793="","",_xlfn.XLOOKUP(A3750:A7793,'参照_武将'!A:A,'参照_武将'!B:B,"見つかりません"))</f>
      </c>
      <c r="C3750" s="4" t="s">
        <v>548</v>
      </c>
      <c r="D3750" s="4">
        <v>1</v>
      </c>
      <c r="E3750" s="12" t="str">
        <f t="array" ref="E3750">IF(D3750:D7793="","",IFERROR(_xlfn.XLOOKUP(D3750:D7793,'参照_勢力'!A:A,'参照_勢力'!B:B),IFERROR(_xlfn.XLOOKUP(F3750:F7793,kunishuClan!A:A,kunishuClan!B:B),"浪人")))</f>
      </c>
      <c r="F3750" s="4">
        <v>0</v>
      </c>
      <c r="G3750" s="4">
        <v>7</v>
      </c>
      <c r="H3750" s="12" t="str">
        <f t="array" ref="H3750">IF(G3750:G7793="","",_xlfn.XLOOKUP(G3750:G7793,castles_state!A:A,castles_state!D:D,"見つかりません"))</f>
      </c>
      <c r="I3750" s="4"/>
      <c r="J3750" s="12" t="str">
        <f t="array" ref="J3750">IF(I3750:I7793="","",_xlfn.XLOOKUP(I3750:I7793,'参照_姫'!A:A,'参照_姫'!B:B,"見つかりません"))</f>
      </c>
      <c r="K3750" s="4">
        <v>95</v>
      </c>
      <c r="L3750" s="4">
        <v>0</v>
      </c>
      <c r="M3750" s="4"/>
      <c r="N3750" s="4"/>
      <c r="O3750" s="4"/>
      <c r="P3750" s="12" t="str">
        <f t="array" ref="P3750">IF(O3750:O7793="","",_xlfn.XLOOKUP(O3750:O7793,'参照_官位'!A:A,'参照_官位'!B:B,""))</f>
      </c>
      <c r="Q3750" s="12" t="str">
        <f t="array" ref="Q3750">IF(A3750:A7793="","",IFERROR(_xlfn.XLOOKUP(A3750:A7793,castles_state!K:K,castles_state!D:D)&amp;"主",IFERROR(_xlfn.XLOOKUP(A3750:A7793,kunishuClan!D:D,kunishuClan!B:B)&amp;"当主","")))</f>
      </c>
    </row>
    <row r="3751" ht="15.75" customHeight="1">
      <c r="A3751" s="4">
        <v>1401016</v>
      </c>
      <c r="B3751" s="12" t="str">
        <f t="array" ref="B3751">IF(A3751:A7794="","",_xlfn.XLOOKUP(A3751:A7794,'参照_武将'!A:A,'参照_武将'!B:B,"見つかりません"))</f>
      </c>
      <c r="C3751" s="4" t="s">
        <v>548</v>
      </c>
      <c r="D3751" s="4">
        <v>1</v>
      </c>
      <c r="E3751" s="12" t="str">
        <f t="array" ref="E3751">IF(D3751:D7794="","",IFERROR(_xlfn.XLOOKUP(D3751:D7794,'参照_勢力'!A:A,'参照_勢力'!B:B),IFERROR(_xlfn.XLOOKUP(F3751:F7794,kunishuClan!A:A,kunishuClan!B:B),"浪人")))</f>
      </c>
      <c r="F3751" s="4">
        <v>0</v>
      </c>
      <c r="G3751" s="4">
        <v>7</v>
      </c>
      <c r="H3751" s="12" t="str">
        <f t="array" ref="H3751">IF(G3751:G7794="","",_xlfn.XLOOKUP(G3751:G7794,castles_state!A:A,castles_state!D:D,"見つかりません"))</f>
      </c>
      <c r="I3751" s="4">
        <v>15</v>
      </c>
      <c r="J3751" s="12" t="str">
        <f t="array" ref="J3751">IF(I3751:I7794="","",_xlfn.XLOOKUP(I3751:I7794,'参照_姫'!A:A,'参照_姫'!B:B,"見つかりません"))</f>
      </c>
      <c r="K3751" s="4">
        <v>95</v>
      </c>
      <c r="L3751" s="4">
        <v>0</v>
      </c>
      <c r="M3751" s="4"/>
      <c r="N3751" s="4"/>
      <c r="O3751" s="4"/>
      <c r="P3751" s="12" t="str">
        <f t="array" ref="P3751">IF(O3751:O7794="","",_xlfn.XLOOKUP(O3751:O7794,'参照_官位'!A:A,'参照_官位'!B:B,""))</f>
      </c>
      <c r="Q3751" s="12" t="str">
        <f t="array" ref="Q3751">IF(A3751:A7794="","",IFERROR(_xlfn.XLOOKUP(A3751:A7794,castles_state!K:K,castles_state!D:D)&amp;"主",IFERROR(_xlfn.XLOOKUP(A3751:A7794,kunishuClan!D:D,kunishuClan!B:B)&amp;"当主","")))</f>
      </c>
    </row>
    <row r="3752" ht="15.75" customHeight="1">
      <c r="A3752" s="4">
        <v>1401017</v>
      </c>
      <c r="B3752" s="12" t="str">
        <f t="array" ref="B3752">IF(A3752:A7795="","",_xlfn.XLOOKUP(A3752:A7795,'参照_武将'!A:A,'参照_武将'!B:B,"見つかりません"))</f>
      </c>
      <c r="C3752" s="4" t="s">
        <v>548</v>
      </c>
      <c r="D3752" s="4">
        <v>1</v>
      </c>
      <c r="E3752" s="12" t="str">
        <f t="array" ref="E3752">IF(D3752:D7795="","",IFERROR(_xlfn.XLOOKUP(D3752:D7795,'参照_勢力'!A:A,'参照_勢力'!B:B),IFERROR(_xlfn.XLOOKUP(F3752:F7795,kunishuClan!A:A,kunishuClan!B:B),"浪人")))</f>
      </c>
      <c r="F3752" s="4">
        <v>0</v>
      </c>
      <c r="G3752" s="4">
        <v>7</v>
      </c>
      <c r="H3752" s="12" t="str">
        <f t="array" ref="H3752">IF(G3752:G7795="","",_xlfn.XLOOKUP(G3752:G7795,castles_state!A:A,castles_state!D:D,"見つかりません"))</f>
      </c>
      <c r="I3752" s="4"/>
      <c r="J3752" s="12" t="str">
        <f t="array" ref="J3752">IF(I3752:I7795="","",_xlfn.XLOOKUP(I3752:I7795,'参照_姫'!A:A,'参照_姫'!B:B,"見つかりません"))</f>
      </c>
      <c r="K3752" s="4">
        <v>95</v>
      </c>
      <c r="L3752" s="4">
        <v>0</v>
      </c>
      <c r="M3752" s="4"/>
      <c r="N3752" s="4"/>
      <c r="O3752" s="4"/>
      <c r="P3752" s="12" t="str">
        <f t="array" ref="P3752">IF(O3752:O7795="","",_xlfn.XLOOKUP(O3752:O7795,'参照_官位'!A:A,'参照_官位'!B:B,""))</f>
      </c>
      <c r="Q3752" s="12" t="str">
        <f t="array" ref="Q3752">IF(A3752:A7795="","",IFERROR(_xlfn.XLOOKUP(A3752:A7795,castles_state!K:K,castles_state!D:D)&amp;"主",IFERROR(_xlfn.XLOOKUP(A3752:A7795,kunishuClan!D:D,kunishuClan!B:B)&amp;"当主","")))</f>
      </c>
    </row>
    <row r="3753" ht="15.75" customHeight="1">
      <c r="A3753" s="4">
        <v>1401018</v>
      </c>
      <c r="B3753" s="12" t="str">
        <f t="array" ref="B3753">IF(A3753:A7796="","",_xlfn.XLOOKUP(A3753:A7796,'参照_武将'!A:A,'参照_武将'!B:B,"見つかりません"))</f>
      </c>
      <c r="C3753" s="4" t="s">
        <v>548</v>
      </c>
      <c r="D3753" s="4">
        <v>1</v>
      </c>
      <c r="E3753" s="12" t="str">
        <f t="array" ref="E3753">IF(D3753:D7796="","",IFERROR(_xlfn.XLOOKUP(D3753:D7796,'参照_勢力'!A:A,'参照_勢力'!B:B),IFERROR(_xlfn.XLOOKUP(F3753:F7796,kunishuClan!A:A,kunishuClan!B:B),"浪人")))</f>
      </c>
      <c r="F3753" s="4">
        <v>0</v>
      </c>
      <c r="G3753" s="4">
        <v>3</v>
      </c>
      <c r="H3753" s="12" t="str">
        <f t="array" ref="H3753">IF(G3753:G7796="","",_xlfn.XLOOKUP(G3753:G7796,castles_state!A:A,castles_state!D:D,"見つかりません"))</f>
      </c>
      <c r="I3753" s="4"/>
      <c r="J3753" s="12" t="str">
        <f t="array" ref="J3753">IF(I3753:I7796="","",_xlfn.XLOOKUP(I3753:I7796,'参照_姫'!A:A,'参照_姫'!B:B,"見つかりません"))</f>
      </c>
      <c r="K3753" s="4">
        <v>95</v>
      </c>
      <c r="L3753" s="4">
        <v>0</v>
      </c>
      <c r="M3753" s="4"/>
      <c r="N3753" s="4"/>
      <c r="O3753" s="4"/>
      <c r="P3753" s="12" t="str">
        <f t="array" ref="P3753">IF(O3753:O7796="","",_xlfn.XLOOKUP(O3753:O7796,'参照_官位'!A:A,'参照_官位'!B:B,""))</f>
      </c>
      <c r="Q3753" s="12" t="str">
        <f t="array" ref="Q3753">IF(A3753:A7796="","",IFERROR(_xlfn.XLOOKUP(A3753:A7796,castles_state!K:K,castles_state!D:D)&amp;"主",IFERROR(_xlfn.XLOOKUP(A3753:A7796,kunishuClan!D:D,kunishuClan!B:B)&amp;"当主","")))</f>
      </c>
    </row>
    <row r="3754" ht="15.75" customHeight="1">
      <c r="A3754" s="4">
        <v>1401019</v>
      </c>
      <c r="B3754" s="12" t="str">
        <f t="array" ref="B3754">IF(A3754:A7797="","",_xlfn.XLOOKUP(A3754:A7797,'参照_武将'!A:A,'参照_武将'!B:B,"見つかりません"))</f>
      </c>
      <c r="C3754" s="4" t="s">
        <v>548</v>
      </c>
      <c r="D3754" s="4">
        <v>0</v>
      </c>
      <c r="E3754" s="12" t="str">
        <f t="array" ref="E3754">IF(D3754:D7797="","",IFERROR(_xlfn.XLOOKUP(D3754:D7797,'参照_勢力'!A:A,'参照_勢力'!B:B),IFERROR(_xlfn.XLOOKUP(F3754:F7797,kunishuClan!A:A,kunishuClan!B:B),"浪人")))</f>
      </c>
      <c r="F3754" s="4">
        <v>0</v>
      </c>
      <c r="G3754" s="4">
        <v>26</v>
      </c>
      <c r="H3754" s="12" t="str">
        <f t="array" ref="H3754">IF(G3754:G7797="","",_xlfn.XLOOKUP(G3754:G7797,castles_state!A:A,castles_state!D:D,"見つかりません"))</f>
      </c>
      <c r="I3754" s="4"/>
      <c r="J3754" s="12" t="str">
        <f t="array" ref="J3754">IF(I3754:I7797="","",_xlfn.XLOOKUP(I3754:I7797,'参照_姫'!A:A,'参照_姫'!B:B,"見つかりません"))</f>
      </c>
      <c r="K3754" s="4">
        <v>50</v>
      </c>
      <c r="L3754" s="4">
        <v>0</v>
      </c>
      <c r="M3754" s="4"/>
      <c r="N3754" s="4"/>
      <c r="O3754" s="4"/>
      <c r="P3754" s="12" t="str">
        <f t="array" ref="P3754">IF(O3754:O7797="","",_xlfn.XLOOKUP(O3754:O7797,'参照_官位'!A:A,'参照_官位'!B:B,""))</f>
      </c>
      <c r="Q3754" s="12" t="str">
        <f t="array" ref="Q3754">IF(A3754:A7797="","",IFERROR(_xlfn.XLOOKUP(A3754:A7797,castles_state!K:K,castles_state!D:D)&amp;"主",IFERROR(_xlfn.XLOOKUP(A3754:A7797,kunishuClan!D:D,kunishuClan!B:B)&amp;"当主","")))</f>
      </c>
    </row>
    <row r="3755" ht="15.75" customHeight="1">
      <c r="A3755" s="4">
        <v>1401020</v>
      </c>
      <c r="B3755" s="12" t="str">
        <f t="array" ref="B3755">IF(A3755:A7798="","",_xlfn.XLOOKUP(A3755:A7798,'参照_武将'!A:A,'参照_武将'!B:B,"見つかりません"))</f>
      </c>
      <c r="C3755" s="4" t="s">
        <v>548</v>
      </c>
      <c r="D3755" s="4">
        <v>0</v>
      </c>
      <c r="E3755" s="12" t="str">
        <f t="array" ref="E3755">IF(D3755:D7798="","",IFERROR(_xlfn.XLOOKUP(D3755:D7798,'参照_勢力'!A:A,'参照_勢力'!B:B),IFERROR(_xlfn.XLOOKUP(F3755:F7798,kunishuClan!A:A,kunishuClan!B:B),"浪人")))</f>
      </c>
      <c r="F3755" s="4">
        <v>0</v>
      </c>
      <c r="G3755" s="4">
        <v>3</v>
      </c>
      <c r="H3755" s="12" t="str">
        <f t="array" ref="H3755">IF(G3755:G7798="","",_xlfn.XLOOKUP(G3755:G7798,castles_state!A:A,castles_state!D:D,"見つかりません"))</f>
      </c>
      <c r="I3755" s="4"/>
      <c r="J3755" s="12" t="str">
        <f t="array" ref="J3755">IF(I3755:I7798="","",_xlfn.XLOOKUP(I3755:I7798,'参照_姫'!A:A,'参照_姫'!B:B,"見つかりません"))</f>
      </c>
      <c r="K3755" s="4">
        <v>50</v>
      </c>
      <c r="L3755" s="4">
        <v>0</v>
      </c>
      <c r="M3755" s="4"/>
      <c r="N3755" s="4"/>
      <c r="O3755" s="4"/>
      <c r="P3755" s="12" t="str">
        <f t="array" ref="P3755">IF(O3755:O7798="","",_xlfn.XLOOKUP(O3755:O7798,'参照_官位'!A:A,'参照_官位'!B:B,""))</f>
      </c>
      <c r="Q3755" s="12" t="str">
        <f t="array" ref="Q3755">IF(A3755:A7798="","",IFERROR(_xlfn.XLOOKUP(A3755:A7798,castles_state!K:K,castles_state!D:D)&amp;"主",IFERROR(_xlfn.XLOOKUP(A3755:A7798,kunishuClan!D:D,kunishuClan!B:B)&amp;"当主","")))</f>
      </c>
    </row>
    <row r="3756" ht="15.75" customHeight="1">
      <c r="A3756" s="4">
        <v>1401021</v>
      </c>
      <c r="B3756" s="12" t="str">
        <f t="array" ref="B3756">IF(A3756:A7799="","",_xlfn.XLOOKUP(A3756:A7799,'参照_武将'!A:A,'参照_武将'!B:B,"見つかりません"))</f>
      </c>
      <c r="C3756" s="4" t="s">
        <v>548</v>
      </c>
      <c r="D3756" s="4">
        <v>0</v>
      </c>
      <c r="E3756" s="12" t="str">
        <f t="array" ref="E3756">IF(D3756:D7799="","",IFERROR(_xlfn.XLOOKUP(D3756:D7799,'参照_勢力'!A:A,'参照_勢力'!B:B),IFERROR(_xlfn.XLOOKUP(F3756:F7799,kunishuClan!A:A,kunishuClan!B:B),"浪人")))</f>
      </c>
      <c r="F3756" s="4">
        <v>0</v>
      </c>
      <c r="G3756" s="4">
        <v>3</v>
      </c>
      <c r="H3756" s="12" t="str">
        <f t="array" ref="H3756">IF(G3756:G7799="","",_xlfn.XLOOKUP(G3756:G7799,castles_state!A:A,castles_state!D:D,"見つかりません"))</f>
      </c>
      <c r="I3756" s="4"/>
      <c r="J3756" s="12" t="str">
        <f t="array" ref="J3756">IF(I3756:I7799="","",_xlfn.XLOOKUP(I3756:I7799,'参照_姫'!A:A,'参照_姫'!B:B,"見つかりません"))</f>
      </c>
      <c r="K3756" s="4">
        <v>50</v>
      </c>
      <c r="L3756" s="4">
        <v>0</v>
      </c>
      <c r="M3756" s="4"/>
      <c r="N3756" s="4"/>
      <c r="O3756" s="4"/>
      <c r="P3756" s="12" t="str">
        <f t="array" ref="P3756">IF(O3756:O7799="","",_xlfn.XLOOKUP(O3756:O7799,'参照_官位'!A:A,'参照_官位'!B:B,""))</f>
      </c>
      <c r="Q3756" s="12" t="str">
        <f t="array" ref="Q3756">IF(A3756:A7799="","",IFERROR(_xlfn.XLOOKUP(A3756:A7799,castles_state!K:K,castles_state!D:D)&amp;"主",IFERROR(_xlfn.XLOOKUP(A3756:A7799,kunishuClan!D:D,kunishuClan!B:B)&amp;"当主","")))</f>
      </c>
    </row>
    <row r="3757" ht="15.75" customHeight="1">
      <c r="A3757" s="4">
        <v>1401022</v>
      </c>
      <c r="B3757" s="12" t="str">
        <f t="array" ref="B3757">IF(A3757:A7800="","",_xlfn.XLOOKUP(A3757:A7800,'参照_武将'!A:A,'参照_武将'!B:B,"見つかりません"))</f>
      </c>
      <c r="C3757" s="4" t="s">
        <v>548</v>
      </c>
      <c r="D3757" s="4">
        <v>0</v>
      </c>
      <c r="E3757" s="12" t="str">
        <f t="array" ref="E3757">IF(D3757:D7800="","",IFERROR(_xlfn.XLOOKUP(D3757:D7800,'参照_勢力'!A:A,'参照_勢力'!B:B),IFERROR(_xlfn.XLOOKUP(F3757:F7800,kunishuClan!A:A,kunishuClan!B:B),"浪人")))</f>
      </c>
      <c r="F3757" s="4">
        <v>0</v>
      </c>
      <c r="G3757" s="4">
        <v>3</v>
      </c>
      <c r="H3757" s="12" t="str">
        <f t="array" ref="H3757">IF(G3757:G7800="","",_xlfn.XLOOKUP(G3757:G7800,castles_state!A:A,castles_state!D:D,"見つかりません"))</f>
      </c>
      <c r="I3757" s="4"/>
      <c r="J3757" s="12" t="str">
        <f t="array" ref="J3757">IF(I3757:I7800="","",_xlfn.XLOOKUP(I3757:I7800,'参照_姫'!A:A,'参照_姫'!B:B,"見つかりません"))</f>
      </c>
      <c r="K3757" s="4">
        <v>50</v>
      </c>
      <c r="L3757" s="4">
        <v>0</v>
      </c>
      <c r="M3757" s="4"/>
      <c r="N3757" s="4"/>
      <c r="O3757" s="4"/>
      <c r="P3757" s="12" t="str">
        <f t="array" ref="P3757">IF(O3757:O7800="","",_xlfn.XLOOKUP(O3757:O7800,'参照_官位'!A:A,'参照_官位'!B:B,""))</f>
      </c>
      <c r="Q3757" s="12" t="str">
        <f t="array" ref="Q3757">IF(A3757:A7800="","",IFERROR(_xlfn.XLOOKUP(A3757:A7800,castles_state!K:K,castles_state!D:D)&amp;"主",IFERROR(_xlfn.XLOOKUP(A3757:A7800,kunishuClan!D:D,kunishuClan!B:B)&amp;"当主","")))</f>
      </c>
    </row>
    <row r="3758" ht="15.75" customHeight="1">
      <c r="A3758" s="4">
        <v>1401023</v>
      </c>
      <c r="B3758" s="12" t="str">
        <f t="array" ref="B3758">IF(A3758:A7801="","",_xlfn.XLOOKUP(A3758:A7801,'参照_武将'!A:A,'参照_武将'!B:B,"見つかりません"))</f>
      </c>
      <c r="C3758" s="4" t="s">
        <v>548</v>
      </c>
      <c r="D3758" s="4">
        <v>0</v>
      </c>
      <c r="E3758" s="12" t="str">
        <f t="array" ref="E3758">IF(D3758:D7801="","",IFERROR(_xlfn.XLOOKUP(D3758:D7801,'参照_勢力'!A:A,'参照_勢力'!B:B),IFERROR(_xlfn.XLOOKUP(F3758:F7801,kunishuClan!A:A,kunishuClan!B:B),"浪人")))</f>
      </c>
      <c r="F3758" s="4">
        <v>0</v>
      </c>
      <c r="G3758" s="4">
        <v>3</v>
      </c>
      <c r="H3758" s="12" t="str">
        <f t="array" ref="H3758">IF(G3758:G7801="","",_xlfn.XLOOKUP(G3758:G7801,castles_state!A:A,castles_state!D:D,"見つかりません"))</f>
      </c>
      <c r="I3758" s="4"/>
      <c r="J3758" s="12" t="str">
        <f t="array" ref="J3758">IF(I3758:I7801="","",_xlfn.XLOOKUP(I3758:I7801,'参照_姫'!A:A,'参照_姫'!B:B,"見つかりません"))</f>
      </c>
      <c r="K3758" s="4">
        <v>50</v>
      </c>
      <c r="L3758" s="4">
        <v>0</v>
      </c>
      <c r="M3758" s="4"/>
      <c r="N3758" s="4"/>
      <c r="O3758" s="4"/>
      <c r="P3758" s="12" t="str">
        <f t="array" ref="P3758">IF(O3758:O7801="","",_xlfn.XLOOKUP(O3758:O7801,'参照_官位'!A:A,'参照_官位'!B:B,""))</f>
      </c>
      <c r="Q3758" s="12" t="str">
        <f t="array" ref="Q3758">IF(A3758:A7801="","",IFERROR(_xlfn.XLOOKUP(A3758:A7801,castles_state!K:K,castles_state!D:D)&amp;"主",IFERROR(_xlfn.XLOOKUP(A3758:A7801,kunishuClan!D:D,kunishuClan!B:B)&amp;"当主","")))</f>
      </c>
    </row>
    <row r="3759" ht="15.75" customHeight="1">
      <c r="A3759" s="4">
        <v>1401024</v>
      </c>
      <c r="B3759" s="12" t="str">
        <f t="array" ref="B3759">IF(A3759:A7802="","",_xlfn.XLOOKUP(A3759:A7802,'参照_武将'!A:A,'参照_武将'!B:B,"見つかりません"))</f>
      </c>
      <c r="C3759" s="4" t="s">
        <v>548</v>
      </c>
      <c r="D3759" s="4">
        <v>0</v>
      </c>
      <c r="E3759" s="12" t="str">
        <f t="array" ref="E3759">IF(D3759:D7802="","",IFERROR(_xlfn.XLOOKUP(D3759:D7802,'参照_勢力'!A:A,'参照_勢力'!B:B),IFERROR(_xlfn.XLOOKUP(F3759:F7802,kunishuClan!A:A,kunishuClan!B:B),"浪人")))</f>
      </c>
      <c r="F3759" s="4">
        <v>0</v>
      </c>
      <c r="G3759" s="4">
        <v>3</v>
      </c>
      <c r="H3759" s="12" t="str">
        <f t="array" ref="H3759">IF(G3759:G7802="","",_xlfn.XLOOKUP(G3759:G7802,castles_state!A:A,castles_state!D:D,"見つかりません"))</f>
      </c>
      <c r="I3759" s="4"/>
      <c r="J3759" s="12" t="str">
        <f t="array" ref="J3759">IF(I3759:I7802="","",_xlfn.XLOOKUP(I3759:I7802,'参照_姫'!A:A,'参照_姫'!B:B,"見つかりません"))</f>
      </c>
      <c r="K3759" s="4">
        <v>50</v>
      </c>
      <c r="L3759" s="4">
        <v>0</v>
      </c>
      <c r="M3759" s="4"/>
      <c r="N3759" s="4"/>
      <c r="O3759" s="4"/>
      <c r="P3759" s="12" t="str">
        <f t="array" ref="P3759">IF(O3759:O7802="","",_xlfn.XLOOKUP(O3759:O7802,'参照_官位'!A:A,'参照_官位'!B:B,""))</f>
      </c>
      <c r="Q3759" s="12" t="str">
        <f t="array" ref="Q3759">IF(A3759:A7802="","",IFERROR(_xlfn.XLOOKUP(A3759:A7802,castles_state!K:K,castles_state!D:D)&amp;"主",IFERROR(_xlfn.XLOOKUP(A3759:A7802,kunishuClan!D:D,kunishuClan!B:B)&amp;"当主","")))</f>
      </c>
    </row>
    <row r="3760" ht="15.75" customHeight="1">
      <c r="A3760" s="4">
        <v>1401025</v>
      </c>
      <c r="B3760" s="12" t="str">
        <f t="array" ref="B3760">IF(A3760:A7803="","",_xlfn.XLOOKUP(A3760:A7803,'参照_武将'!A:A,'参照_武将'!B:B,"見つかりません"))</f>
      </c>
      <c r="C3760" s="4" t="s">
        <v>548</v>
      </c>
      <c r="D3760" s="4">
        <v>1</v>
      </c>
      <c r="E3760" s="12" t="str">
        <f t="array" ref="E3760">IF(D3760:D7803="","",IFERROR(_xlfn.XLOOKUP(D3760:D7803,'参照_勢力'!A:A,'参照_勢力'!B:B),IFERROR(_xlfn.XLOOKUP(F3760:F7803,kunishuClan!A:A,kunishuClan!B:B),"浪人")))</f>
      </c>
      <c r="F3760" s="4">
        <v>0</v>
      </c>
      <c r="G3760" s="4">
        <v>3</v>
      </c>
      <c r="H3760" s="12" t="str">
        <f t="array" ref="H3760">IF(G3760:G7803="","",_xlfn.XLOOKUP(G3760:G7803,castles_state!A:A,castles_state!D:D,"見つかりません"))</f>
      </c>
      <c r="I3760" s="4"/>
      <c r="J3760" s="12" t="str">
        <f t="array" ref="J3760">IF(I3760:I7803="","",_xlfn.XLOOKUP(I3760:I7803,'参照_姫'!A:A,'参照_姫'!B:B,"見つかりません"))</f>
      </c>
      <c r="K3760" s="4">
        <v>90</v>
      </c>
      <c r="L3760" s="4">
        <v>0</v>
      </c>
      <c r="M3760" s="4"/>
      <c r="N3760" s="4"/>
      <c r="O3760" s="4"/>
      <c r="P3760" s="12" t="str">
        <f t="array" ref="P3760">IF(O3760:O7803="","",_xlfn.XLOOKUP(O3760:O7803,'参照_官位'!A:A,'参照_官位'!B:B,""))</f>
      </c>
      <c r="Q3760" s="12" t="str">
        <f t="array" ref="Q3760">IF(A3760:A7803="","",IFERROR(_xlfn.XLOOKUP(A3760:A7803,castles_state!K:K,castles_state!D:D)&amp;"主",IFERROR(_xlfn.XLOOKUP(A3760:A7803,kunishuClan!D:D,kunishuClan!B:B)&amp;"当主","")))</f>
      </c>
    </row>
    <row r="3761" ht="15.75" customHeight="1">
      <c r="A3761" s="4">
        <v>1401026</v>
      </c>
      <c r="B3761" s="12" t="str">
        <f t="array" ref="B3761">IF(A3761:A7804="","",_xlfn.XLOOKUP(A3761:A7804,'参照_武将'!A:A,'参照_武将'!B:B,"見つかりません"))</f>
      </c>
      <c r="C3761" s="4" t="s">
        <v>548</v>
      </c>
      <c r="D3761" s="4">
        <v>1</v>
      </c>
      <c r="E3761" s="12" t="str">
        <f t="array" ref="E3761">IF(D3761:D7804="","",IFERROR(_xlfn.XLOOKUP(D3761:D7804,'参照_勢力'!A:A,'参照_勢力'!B:B),IFERROR(_xlfn.XLOOKUP(F3761:F7804,kunishuClan!A:A,kunishuClan!B:B),"浪人")))</f>
      </c>
      <c r="F3761" s="4">
        <v>0</v>
      </c>
      <c r="G3761" s="4">
        <v>3</v>
      </c>
      <c r="H3761" s="12" t="str">
        <f t="array" ref="H3761">IF(G3761:G7804="","",_xlfn.XLOOKUP(G3761:G7804,castles_state!A:A,castles_state!D:D,"見つかりません"))</f>
      </c>
      <c r="I3761" s="4"/>
      <c r="J3761" s="12" t="str">
        <f t="array" ref="J3761">IF(I3761:I7804="","",_xlfn.XLOOKUP(I3761:I7804,'参照_姫'!A:A,'参照_姫'!B:B,"見つかりません"))</f>
      </c>
      <c r="K3761" s="4">
        <v>90</v>
      </c>
      <c r="L3761" s="4">
        <v>0</v>
      </c>
      <c r="M3761" s="4"/>
      <c r="N3761" s="4"/>
      <c r="O3761" s="4"/>
      <c r="P3761" s="12" t="str">
        <f t="array" ref="P3761">IF(O3761:O7804="","",_xlfn.XLOOKUP(O3761:O7804,'参照_官位'!A:A,'参照_官位'!B:B,""))</f>
      </c>
      <c r="Q3761" s="12" t="str">
        <f t="array" ref="Q3761">IF(A3761:A7804="","",IFERROR(_xlfn.XLOOKUP(A3761:A7804,castles_state!K:K,castles_state!D:D)&amp;"主",IFERROR(_xlfn.XLOOKUP(A3761:A7804,kunishuClan!D:D,kunishuClan!B:B)&amp;"当主","")))</f>
      </c>
    </row>
    <row r="3762" ht="15.75" customHeight="1">
      <c r="A3762" s="4">
        <v>1401027</v>
      </c>
      <c r="B3762" s="12" t="str">
        <f t="array" ref="B3762">IF(A3762:A7805="","",_xlfn.XLOOKUP(A3762:A7805,'参照_武将'!A:A,'参照_武将'!B:B,"見つかりません"))</f>
      </c>
      <c r="C3762" s="4" t="s">
        <v>548</v>
      </c>
      <c r="D3762" s="4">
        <v>0</v>
      </c>
      <c r="E3762" s="12" t="str">
        <f t="array" ref="E3762">IF(D3762:D7805="","",IFERROR(_xlfn.XLOOKUP(D3762:D7805,'参照_勢力'!A:A,'参照_勢力'!B:B),IFERROR(_xlfn.XLOOKUP(F3762:F7805,kunishuClan!A:A,kunishuClan!B:B),"浪人")))</f>
      </c>
      <c r="F3762" s="4">
        <v>0</v>
      </c>
      <c r="G3762" s="4">
        <v>3</v>
      </c>
      <c r="H3762" s="12" t="str">
        <f t="array" ref="H3762">IF(G3762:G7805="","",_xlfn.XLOOKUP(G3762:G7805,castles_state!A:A,castles_state!D:D,"見つかりません"))</f>
      </c>
      <c r="I3762" s="4"/>
      <c r="J3762" s="12" t="str">
        <f t="array" ref="J3762">IF(I3762:I7805="","",_xlfn.XLOOKUP(I3762:I7805,'参照_姫'!A:A,'参照_姫'!B:B,"見つかりません"))</f>
      </c>
      <c r="K3762" s="4">
        <v>50</v>
      </c>
      <c r="L3762" s="4">
        <v>0</v>
      </c>
      <c r="M3762" s="4"/>
      <c r="N3762" s="4"/>
      <c r="O3762" s="4"/>
      <c r="P3762" s="12" t="str">
        <f t="array" ref="P3762">IF(O3762:O7805="","",_xlfn.XLOOKUP(O3762:O7805,'参照_官位'!A:A,'参照_官位'!B:B,""))</f>
      </c>
      <c r="Q3762" s="12" t="str">
        <f t="array" ref="Q3762">IF(A3762:A7805="","",IFERROR(_xlfn.XLOOKUP(A3762:A7805,castles_state!K:K,castles_state!D:D)&amp;"主",IFERROR(_xlfn.XLOOKUP(A3762:A7805,kunishuClan!D:D,kunishuClan!B:B)&amp;"当主","")))</f>
      </c>
    </row>
    <row r="3763" ht="15.75" customHeight="1">
      <c r="A3763" s="4">
        <v>1401028</v>
      </c>
      <c r="B3763" s="12" t="str">
        <f t="array" ref="B3763">IF(A3763:A7806="","",_xlfn.XLOOKUP(A3763:A7806,'参照_武将'!A:A,'参照_武将'!B:B,"見つかりません"))</f>
      </c>
      <c r="C3763" s="4" t="s">
        <v>548</v>
      </c>
      <c r="D3763" s="4">
        <v>1</v>
      </c>
      <c r="E3763" s="12" t="str">
        <f t="array" ref="E3763">IF(D3763:D7806="","",IFERROR(_xlfn.XLOOKUP(D3763:D7806,'参照_勢力'!A:A,'参照_勢力'!B:B),IFERROR(_xlfn.XLOOKUP(F3763:F7806,kunishuClan!A:A,kunishuClan!B:B),"浪人")))</f>
      </c>
      <c r="F3763" s="4">
        <v>0</v>
      </c>
      <c r="G3763" s="4">
        <v>3</v>
      </c>
      <c r="H3763" s="12" t="str">
        <f t="array" ref="H3763">IF(G3763:G7806="","",_xlfn.XLOOKUP(G3763:G7806,castles_state!A:A,castles_state!D:D,"見つかりません"))</f>
      </c>
      <c r="I3763" s="4"/>
      <c r="J3763" s="12" t="str">
        <f t="array" ref="J3763">IF(I3763:I7806="","",_xlfn.XLOOKUP(I3763:I7806,'参照_姫'!A:A,'参照_姫'!B:B,"見つかりません"))</f>
      </c>
      <c r="K3763" s="4">
        <v>90</v>
      </c>
      <c r="L3763" s="4">
        <v>0</v>
      </c>
      <c r="M3763" s="4"/>
      <c r="N3763" s="4"/>
      <c r="O3763" s="4"/>
      <c r="P3763" s="12" t="str">
        <f t="array" ref="P3763">IF(O3763:O7806="","",_xlfn.XLOOKUP(O3763:O7806,'参照_官位'!A:A,'参照_官位'!B:B,""))</f>
      </c>
      <c r="Q3763" s="12" t="str">
        <f t="array" ref="Q3763">IF(A3763:A7806="","",IFERROR(_xlfn.XLOOKUP(A3763:A7806,castles_state!K:K,castles_state!D:D)&amp;"主",IFERROR(_xlfn.XLOOKUP(A3763:A7806,kunishuClan!D:D,kunishuClan!B:B)&amp;"当主","")))</f>
      </c>
    </row>
    <row r="3764" ht="15.75" customHeight="1">
      <c r="A3764" s="4">
        <v>1401029</v>
      </c>
      <c r="B3764" s="12" t="str">
        <f t="array" ref="B3764">IF(A3764:A7807="","",_xlfn.XLOOKUP(A3764:A7807,'参照_武将'!A:A,'参照_武将'!B:B,"見つかりません"))</f>
      </c>
      <c r="C3764" s="4" t="s">
        <v>548</v>
      </c>
      <c r="D3764" s="4">
        <v>0</v>
      </c>
      <c r="E3764" s="12" t="str">
        <f t="array" ref="E3764">IF(D3764:D7807="","",IFERROR(_xlfn.XLOOKUP(D3764:D7807,'参照_勢力'!A:A,'参照_勢力'!B:B),IFERROR(_xlfn.XLOOKUP(F3764:F7807,kunishuClan!A:A,kunishuClan!B:B),"浪人")))</f>
      </c>
      <c r="F3764" s="4">
        <v>0</v>
      </c>
      <c r="G3764" s="4">
        <v>3</v>
      </c>
      <c r="H3764" s="12" t="str">
        <f t="array" ref="H3764">IF(G3764:G7807="","",_xlfn.XLOOKUP(G3764:G7807,castles_state!A:A,castles_state!D:D,"見つかりません"))</f>
      </c>
      <c r="I3764" s="4"/>
      <c r="J3764" s="12" t="str">
        <f t="array" ref="J3764">IF(I3764:I7807="","",_xlfn.XLOOKUP(I3764:I7807,'参照_姫'!A:A,'参照_姫'!B:B,"見つかりません"))</f>
      </c>
      <c r="K3764" s="4">
        <v>50</v>
      </c>
      <c r="L3764" s="4">
        <v>0</v>
      </c>
      <c r="M3764" s="4"/>
      <c r="N3764" s="4"/>
      <c r="O3764" s="4"/>
      <c r="P3764" s="12" t="str">
        <f t="array" ref="P3764">IF(O3764:O7807="","",_xlfn.XLOOKUP(O3764:O7807,'参照_官位'!A:A,'参照_官位'!B:B,""))</f>
      </c>
      <c r="Q3764" s="12" t="str">
        <f t="array" ref="Q3764">IF(A3764:A7807="","",IFERROR(_xlfn.XLOOKUP(A3764:A7807,castles_state!K:K,castles_state!D:D)&amp;"主",IFERROR(_xlfn.XLOOKUP(A3764:A7807,kunishuClan!D:D,kunishuClan!B:B)&amp;"当主","")))</f>
      </c>
    </row>
    <row r="3765" ht="15.75" customHeight="1">
      <c r="A3765" s="4">
        <v>1401030</v>
      </c>
      <c r="B3765" s="12" t="str">
        <f t="array" ref="B3765">IF(A3765:A7808="","",_xlfn.XLOOKUP(A3765:A7808,'参照_武将'!A:A,'参照_武将'!B:B,"見つかりません"))</f>
      </c>
      <c r="C3765" s="4" t="s">
        <v>548</v>
      </c>
      <c r="D3765" s="4">
        <v>15</v>
      </c>
      <c r="E3765" s="12" t="str">
        <f t="array" ref="E3765">IF(D3765:D7808="","",IFERROR(_xlfn.XLOOKUP(D3765:D7808,'参照_勢力'!A:A,'参照_勢力'!B:B),IFERROR(_xlfn.XLOOKUP(F3765:F7808,kunishuClan!A:A,kunishuClan!B:B),"浪人")))</f>
      </c>
      <c r="F3765" s="4">
        <v>0</v>
      </c>
      <c r="G3765" s="4">
        <v>186</v>
      </c>
      <c r="H3765" s="12" t="str">
        <f t="array" ref="H3765">IF(G3765:G7808="","",_xlfn.XLOOKUP(G3765:G7808,castles_state!A:A,castles_state!D:D,"見つかりません"))</f>
      </c>
      <c r="I3765" s="4"/>
      <c r="J3765" s="12" t="str">
        <f t="array" ref="J3765">IF(I3765:I7808="","",_xlfn.XLOOKUP(I3765:I7808,'参照_姫'!A:A,'参照_姫'!B:B,"見つかりません"))</f>
      </c>
      <c r="K3765" s="4">
        <v>95</v>
      </c>
      <c r="L3765" s="4">
        <v>0</v>
      </c>
      <c r="M3765" s="4"/>
      <c r="N3765" s="4"/>
      <c r="O3765" s="4"/>
      <c r="P3765" s="12" t="str">
        <f t="array" ref="P3765">IF(O3765:O7808="","",_xlfn.XLOOKUP(O3765:O7808,'参照_官位'!A:A,'参照_官位'!B:B,""))</f>
      </c>
      <c r="Q3765" s="12" t="str">
        <f t="array" ref="Q3765">IF(A3765:A7808="","",IFERROR(_xlfn.XLOOKUP(A3765:A7808,castles_state!K:K,castles_state!D:D)&amp;"主",IFERROR(_xlfn.XLOOKUP(A3765:A7808,kunishuClan!D:D,kunishuClan!B:B)&amp;"当主","")))</f>
      </c>
    </row>
    <row r="3766" ht="15.75" customHeight="1">
      <c r="A3766" s="4">
        <v>1401031</v>
      </c>
      <c r="B3766" s="12" t="str">
        <f t="array" ref="B3766">IF(A3766:A7809="","",_xlfn.XLOOKUP(A3766:A7809,'参照_武将'!A:A,'参照_武将'!B:B,"見つかりません"))</f>
      </c>
      <c r="C3766" s="4" t="s">
        <v>548</v>
      </c>
      <c r="D3766" s="4">
        <v>15</v>
      </c>
      <c r="E3766" s="12" t="str">
        <f t="array" ref="E3766">IF(D3766:D7809="","",IFERROR(_xlfn.XLOOKUP(D3766:D7809,'参照_勢力'!A:A,'参照_勢力'!B:B),IFERROR(_xlfn.XLOOKUP(F3766:F7809,kunishuClan!A:A,kunishuClan!B:B),"浪人")))</f>
      </c>
      <c r="F3766" s="4">
        <v>0</v>
      </c>
      <c r="G3766" s="4">
        <v>186</v>
      </c>
      <c r="H3766" s="12" t="str">
        <f t="array" ref="H3766">IF(G3766:G7809="","",_xlfn.XLOOKUP(G3766:G7809,castles_state!A:A,castles_state!D:D,"見つかりません"))</f>
      </c>
      <c r="I3766" s="4"/>
      <c r="J3766" s="12" t="str">
        <f t="array" ref="J3766">IF(I3766:I7809="","",_xlfn.XLOOKUP(I3766:I7809,'参照_姫'!A:A,'参照_姫'!B:B,"見つかりません"))</f>
      </c>
      <c r="K3766" s="4">
        <v>95</v>
      </c>
      <c r="L3766" s="4">
        <v>0</v>
      </c>
      <c r="M3766" s="4"/>
      <c r="N3766" s="4"/>
      <c r="O3766" s="4"/>
      <c r="P3766" s="12" t="str">
        <f t="array" ref="P3766">IF(O3766:O7809="","",_xlfn.XLOOKUP(O3766:O7809,'参照_官位'!A:A,'参照_官位'!B:B,""))</f>
      </c>
      <c r="Q3766" s="12" t="str">
        <f t="array" ref="Q3766">IF(A3766:A7809="","",IFERROR(_xlfn.XLOOKUP(A3766:A7809,castles_state!K:K,castles_state!D:D)&amp;"主",IFERROR(_xlfn.XLOOKUP(A3766:A7809,kunishuClan!D:D,kunishuClan!B:B)&amp;"当主","")))</f>
      </c>
    </row>
    <row r="3767" ht="15.75" customHeight="1">
      <c r="A3767" s="4">
        <v>1401032</v>
      </c>
      <c r="B3767" s="12" t="str">
        <f t="array" ref="B3767">IF(A3767:A7810="","",_xlfn.XLOOKUP(A3767:A7810,'参照_武将'!A:A,'参照_武将'!B:B,"見つかりません"))</f>
      </c>
      <c r="C3767" s="4" t="s">
        <v>548</v>
      </c>
      <c r="D3767" s="4">
        <v>0</v>
      </c>
      <c r="E3767" s="12" t="str">
        <f t="array" ref="E3767">IF(D3767:D7810="","",IFERROR(_xlfn.XLOOKUP(D3767:D7810,'参照_勢力'!A:A,'参照_勢力'!B:B),IFERROR(_xlfn.XLOOKUP(F3767:F7810,kunishuClan!A:A,kunishuClan!B:B),"浪人")))</f>
      </c>
      <c r="F3767" s="4">
        <v>0</v>
      </c>
      <c r="G3767" s="4">
        <v>186</v>
      </c>
      <c r="H3767" s="12" t="str">
        <f t="array" ref="H3767">IF(G3767:G7810="","",_xlfn.XLOOKUP(G3767:G7810,castles_state!A:A,castles_state!D:D,"見つかりません"))</f>
      </c>
      <c r="I3767" s="4"/>
      <c r="J3767" s="12" t="str">
        <f t="array" ref="J3767">IF(I3767:I7810="","",_xlfn.XLOOKUP(I3767:I7810,'参照_姫'!A:A,'参照_姫'!B:B,"見つかりません"))</f>
      </c>
      <c r="K3767" s="4">
        <v>50</v>
      </c>
      <c r="L3767" s="4">
        <v>0</v>
      </c>
      <c r="M3767" s="4"/>
      <c r="N3767" s="4"/>
      <c r="O3767" s="4"/>
      <c r="P3767" s="12" t="str">
        <f t="array" ref="P3767">IF(O3767:O7810="","",_xlfn.XLOOKUP(O3767:O7810,'参照_官位'!A:A,'参照_官位'!B:B,""))</f>
      </c>
      <c r="Q3767" s="12" t="str">
        <f t="array" ref="Q3767">IF(A3767:A7810="","",IFERROR(_xlfn.XLOOKUP(A3767:A7810,castles_state!K:K,castles_state!D:D)&amp;"主",IFERROR(_xlfn.XLOOKUP(A3767:A7810,kunishuClan!D:D,kunishuClan!B:B)&amp;"当主","")))</f>
      </c>
    </row>
    <row r="3768" ht="15.75" customHeight="1">
      <c r="A3768" s="4">
        <v>1401033</v>
      </c>
      <c r="B3768" s="12" t="str">
        <f t="array" ref="B3768">IF(A3768:A7811="","",_xlfn.XLOOKUP(A3768:A7811,'参照_武将'!A:A,'参照_武将'!B:B,"見つかりません"))</f>
      </c>
      <c r="C3768" s="4" t="s">
        <v>548</v>
      </c>
      <c r="D3768" s="4">
        <v>0</v>
      </c>
      <c r="E3768" s="12" t="str">
        <f t="array" ref="E3768">IF(D3768:D7811="","",IFERROR(_xlfn.XLOOKUP(D3768:D7811,'参照_勢力'!A:A,'参照_勢力'!B:B),IFERROR(_xlfn.XLOOKUP(F3768:F7811,kunishuClan!A:A,kunishuClan!B:B),"浪人")))</f>
      </c>
      <c r="F3768" s="4">
        <v>0</v>
      </c>
      <c r="G3768" s="4">
        <v>186</v>
      </c>
      <c r="H3768" s="12" t="str">
        <f t="array" ref="H3768">IF(G3768:G7811="","",_xlfn.XLOOKUP(G3768:G7811,castles_state!A:A,castles_state!D:D,"見つかりません"))</f>
      </c>
      <c r="I3768" s="4"/>
      <c r="J3768" s="12" t="str">
        <f t="array" ref="J3768">IF(I3768:I7811="","",_xlfn.XLOOKUP(I3768:I7811,'参照_姫'!A:A,'参照_姫'!B:B,"見つかりません"))</f>
      </c>
      <c r="K3768" s="4">
        <v>50</v>
      </c>
      <c r="L3768" s="4">
        <v>0</v>
      </c>
      <c r="M3768" s="4"/>
      <c r="N3768" s="4"/>
      <c r="O3768" s="4"/>
      <c r="P3768" s="12" t="str">
        <f t="array" ref="P3768">IF(O3768:O7811="","",_xlfn.XLOOKUP(O3768:O7811,'参照_官位'!A:A,'参照_官位'!B:B,""))</f>
      </c>
      <c r="Q3768" s="12" t="str">
        <f t="array" ref="Q3768">IF(A3768:A7811="","",IFERROR(_xlfn.XLOOKUP(A3768:A7811,castles_state!K:K,castles_state!D:D)&amp;"主",IFERROR(_xlfn.XLOOKUP(A3768:A7811,kunishuClan!D:D,kunishuClan!B:B)&amp;"当主","")))</f>
      </c>
    </row>
    <row r="3769" ht="15.75" customHeight="1">
      <c r="A3769" s="4">
        <v>1401034</v>
      </c>
      <c r="B3769" s="12" t="str">
        <f t="array" ref="B3769">IF(A3769:A7812="","",_xlfn.XLOOKUP(A3769:A7812,'参照_武将'!A:A,'参照_武将'!B:B,"見つかりません"))</f>
      </c>
      <c r="C3769" s="4" t="s">
        <v>548</v>
      </c>
      <c r="D3769" s="4">
        <v>0</v>
      </c>
      <c r="E3769" s="12" t="str">
        <f t="array" ref="E3769">IF(D3769:D7812="","",IFERROR(_xlfn.XLOOKUP(D3769:D7812,'参照_勢力'!A:A,'参照_勢力'!B:B),IFERROR(_xlfn.XLOOKUP(F3769:F7812,kunishuClan!A:A,kunishuClan!B:B),"浪人")))</f>
      </c>
      <c r="F3769" s="4">
        <v>0</v>
      </c>
      <c r="G3769" s="4">
        <v>186</v>
      </c>
      <c r="H3769" s="12" t="str">
        <f t="array" ref="H3769">IF(G3769:G7812="","",_xlfn.XLOOKUP(G3769:G7812,castles_state!A:A,castles_state!D:D,"見つかりません"))</f>
      </c>
      <c r="I3769" s="4"/>
      <c r="J3769" s="12" t="str">
        <f t="array" ref="J3769">IF(I3769:I7812="","",_xlfn.XLOOKUP(I3769:I7812,'参照_姫'!A:A,'参照_姫'!B:B,"見つかりません"))</f>
      </c>
      <c r="K3769" s="4">
        <v>50</v>
      </c>
      <c r="L3769" s="4">
        <v>0</v>
      </c>
      <c r="M3769" s="4"/>
      <c r="N3769" s="4"/>
      <c r="O3769" s="4"/>
      <c r="P3769" s="12" t="str">
        <f t="array" ref="P3769">IF(O3769:O7812="","",_xlfn.XLOOKUP(O3769:O7812,'参照_官位'!A:A,'参照_官位'!B:B,""))</f>
      </c>
      <c r="Q3769" s="12" t="str">
        <f t="array" ref="Q3769">IF(A3769:A7812="","",IFERROR(_xlfn.XLOOKUP(A3769:A7812,castles_state!K:K,castles_state!D:D)&amp;"主",IFERROR(_xlfn.XLOOKUP(A3769:A7812,kunishuClan!D:D,kunishuClan!B:B)&amp;"当主","")))</f>
      </c>
    </row>
    <row r="3770" ht="15.75" customHeight="1">
      <c r="A3770" s="4">
        <v>1401035</v>
      </c>
      <c r="B3770" s="12" t="str">
        <f t="array" ref="B3770">IF(A3770:A7813="","",_xlfn.XLOOKUP(A3770:A7813,'参照_武将'!A:A,'参照_武将'!B:B,"見つかりません"))</f>
      </c>
      <c r="C3770" s="4" t="s">
        <v>548</v>
      </c>
      <c r="D3770" s="4">
        <v>1</v>
      </c>
      <c r="E3770" s="12" t="str">
        <f t="array" ref="E3770">IF(D3770:D7813="","",IFERROR(_xlfn.XLOOKUP(D3770:D7813,'参照_勢力'!A:A,'参照_勢力'!B:B),IFERROR(_xlfn.XLOOKUP(F3770:F7813,kunishuClan!A:A,kunishuClan!B:B),"浪人")))</f>
      </c>
      <c r="F3770" s="4">
        <v>0</v>
      </c>
      <c r="G3770" s="4">
        <v>3</v>
      </c>
      <c r="H3770" s="12" t="str">
        <f t="array" ref="H3770">IF(G3770:G7813="","",_xlfn.XLOOKUP(G3770:G7813,castles_state!A:A,castles_state!D:D,"見つかりません"))</f>
      </c>
      <c r="I3770" s="4"/>
      <c r="J3770" s="12" t="str">
        <f t="array" ref="J3770">IF(I3770:I7813="","",_xlfn.XLOOKUP(I3770:I7813,'参照_姫'!A:A,'参照_姫'!B:B,"見つかりません"))</f>
      </c>
      <c r="K3770" s="4">
        <v>90</v>
      </c>
      <c r="L3770" s="4">
        <v>0</v>
      </c>
      <c r="M3770" s="4"/>
      <c r="N3770" s="4"/>
      <c r="O3770" s="4"/>
      <c r="P3770" s="12" t="str">
        <f t="array" ref="P3770">IF(O3770:O7813="","",_xlfn.XLOOKUP(O3770:O7813,'参照_官位'!A:A,'参照_官位'!B:B,""))</f>
      </c>
      <c r="Q3770" s="12" t="str">
        <f t="array" ref="Q3770">IF(A3770:A7813="","",IFERROR(_xlfn.XLOOKUP(A3770:A7813,castles_state!K:K,castles_state!D:D)&amp;"主",IFERROR(_xlfn.XLOOKUP(A3770:A7813,kunishuClan!D:D,kunishuClan!B:B)&amp;"当主","")))</f>
      </c>
    </row>
    <row r="3771" ht="15.75" customHeight="1">
      <c r="A3771" s="4">
        <v>1401036</v>
      </c>
      <c r="B3771" s="12" t="str">
        <f t="array" ref="B3771">IF(A3771:A7814="","",_xlfn.XLOOKUP(A3771:A7814,'参照_武将'!A:A,'参照_武将'!B:B,"見つかりません"))</f>
      </c>
      <c r="C3771" s="4" t="s">
        <v>548</v>
      </c>
      <c r="D3771" s="4">
        <v>0</v>
      </c>
      <c r="E3771" s="12" t="str">
        <f t="array" ref="E3771">IF(D3771:D7814="","",IFERROR(_xlfn.XLOOKUP(D3771:D7814,'参照_勢力'!A:A,'参照_勢力'!B:B),IFERROR(_xlfn.XLOOKUP(F3771:F7814,kunishuClan!A:A,kunishuClan!B:B),"浪人")))</f>
      </c>
      <c r="F3771" s="4">
        <v>0</v>
      </c>
      <c r="G3771" s="4">
        <v>180</v>
      </c>
      <c r="H3771" s="12" t="str">
        <f t="array" ref="H3771">IF(G3771:G7814="","",_xlfn.XLOOKUP(G3771:G7814,castles_state!A:A,castles_state!D:D,"見つかりません"))</f>
      </c>
      <c r="I3771" s="4"/>
      <c r="J3771" s="12" t="str">
        <f t="array" ref="J3771">IF(I3771:I7814="","",_xlfn.XLOOKUP(I3771:I7814,'参照_姫'!A:A,'参照_姫'!B:B,"見つかりません"))</f>
      </c>
      <c r="K3771" s="4">
        <v>50</v>
      </c>
      <c r="L3771" s="4">
        <v>0</v>
      </c>
      <c r="M3771" s="4"/>
      <c r="N3771" s="4"/>
      <c r="O3771" s="4"/>
      <c r="P3771" s="12" t="str">
        <f t="array" ref="P3771">IF(O3771:O7814="","",_xlfn.XLOOKUP(O3771:O7814,'参照_官位'!A:A,'参照_官位'!B:B,""))</f>
      </c>
      <c r="Q3771" s="12" t="str">
        <f t="array" ref="Q3771">IF(A3771:A7814="","",IFERROR(_xlfn.XLOOKUP(A3771:A7814,castles_state!K:K,castles_state!D:D)&amp;"主",IFERROR(_xlfn.XLOOKUP(A3771:A7814,kunishuClan!D:D,kunishuClan!B:B)&amp;"当主","")))</f>
      </c>
    </row>
    <row r="3772" ht="15.75" customHeight="1">
      <c r="A3772" s="4">
        <v>1401037</v>
      </c>
      <c r="B3772" s="12" t="str">
        <f t="array" ref="B3772">IF(A3772:A7815="","",_xlfn.XLOOKUP(A3772:A7815,'参照_武将'!A:A,'参照_武将'!B:B,"見つかりません"))</f>
      </c>
      <c r="C3772" s="4" t="s">
        <v>548</v>
      </c>
      <c r="D3772" s="4">
        <v>0</v>
      </c>
      <c r="E3772" s="12" t="str">
        <f t="array" ref="E3772">IF(D3772:D7815="","",IFERROR(_xlfn.XLOOKUP(D3772:D7815,'参照_勢力'!A:A,'参照_勢力'!B:B),IFERROR(_xlfn.XLOOKUP(F3772:F7815,kunishuClan!A:A,kunishuClan!B:B),"浪人")))</f>
      </c>
      <c r="F3772" s="4">
        <v>0</v>
      </c>
      <c r="G3772" s="4">
        <v>36</v>
      </c>
      <c r="H3772" s="12" t="str">
        <f t="array" ref="H3772">IF(G3772:G7815="","",_xlfn.XLOOKUP(G3772:G7815,castles_state!A:A,castles_state!D:D,"見つかりません"))</f>
      </c>
      <c r="I3772" s="4"/>
      <c r="J3772" s="12" t="str">
        <f t="array" ref="J3772">IF(I3772:I7815="","",_xlfn.XLOOKUP(I3772:I7815,'参照_姫'!A:A,'参照_姫'!B:B,"見つかりません"))</f>
      </c>
      <c r="K3772" s="4">
        <v>50</v>
      </c>
      <c r="L3772" s="4">
        <v>0</v>
      </c>
      <c r="M3772" s="4"/>
      <c r="N3772" s="4"/>
      <c r="O3772" s="4"/>
      <c r="P3772" s="12" t="str">
        <f t="array" ref="P3772">IF(O3772:O7815="","",_xlfn.XLOOKUP(O3772:O7815,'参照_官位'!A:A,'参照_官位'!B:B,""))</f>
      </c>
      <c r="Q3772" s="12" t="str">
        <f t="array" ref="Q3772">IF(A3772:A7815="","",IFERROR(_xlfn.XLOOKUP(A3772:A7815,castles_state!K:K,castles_state!D:D)&amp;"主",IFERROR(_xlfn.XLOOKUP(A3772:A7815,kunishuClan!D:D,kunishuClan!B:B)&amp;"当主","")))</f>
      </c>
    </row>
    <row r="3773" ht="15.75" customHeight="1">
      <c r="A3773" s="4">
        <v>1401038</v>
      </c>
      <c r="B3773" s="12" t="str">
        <f t="array" ref="B3773">IF(A3773:A7816="","",_xlfn.XLOOKUP(A3773:A7816,'参照_武将'!A:A,'参照_武将'!B:B,"見つかりません"))</f>
      </c>
      <c r="C3773" s="4" t="s">
        <v>548</v>
      </c>
      <c r="D3773" s="4">
        <v>1</v>
      </c>
      <c r="E3773" s="12" t="str">
        <f t="array" ref="E3773">IF(D3773:D7816="","",IFERROR(_xlfn.XLOOKUP(D3773:D7816,'参照_勢力'!A:A,'参照_勢力'!B:B),IFERROR(_xlfn.XLOOKUP(F3773:F7816,kunishuClan!A:A,kunishuClan!B:B),"浪人")))</f>
      </c>
      <c r="F3773" s="4">
        <v>0</v>
      </c>
      <c r="G3773" s="4">
        <v>180</v>
      </c>
      <c r="H3773" s="12" t="str">
        <f t="array" ref="H3773">IF(G3773:G7816="","",_xlfn.XLOOKUP(G3773:G7816,castles_state!A:A,castles_state!D:D,"見つかりません"))</f>
      </c>
      <c r="I3773" s="4"/>
      <c r="J3773" s="12" t="str">
        <f t="array" ref="J3773">IF(I3773:I7816="","",_xlfn.XLOOKUP(I3773:I7816,'参照_姫'!A:A,'参照_姫'!B:B,"見つかりません"))</f>
      </c>
      <c r="K3773" s="4">
        <v>95</v>
      </c>
      <c r="L3773" s="4">
        <v>0</v>
      </c>
      <c r="M3773" s="4"/>
      <c r="N3773" s="4"/>
      <c r="O3773" s="4"/>
      <c r="P3773" s="12" t="str">
        <f t="array" ref="P3773">IF(O3773:O7816="","",_xlfn.XLOOKUP(O3773:O7816,'参照_官位'!A:A,'参照_官位'!B:B,""))</f>
      </c>
      <c r="Q3773" s="12" t="str">
        <f t="array" ref="Q3773">IF(A3773:A7816="","",IFERROR(_xlfn.XLOOKUP(A3773:A7816,castles_state!K:K,castles_state!D:D)&amp;"主",IFERROR(_xlfn.XLOOKUP(A3773:A7816,kunishuClan!D:D,kunishuClan!B:B)&amp;"当主","")))</f>
      </c>
    </row>
    <row r="3774" ht="15.75" customHeight="1">
      <c r="A3774" s="4">
        <v>1401039</v>
      </c>
      <c r="B3774" s="12" t="str">
        <f t="array" ref="B3774">IF(A3774:A7817="","",_xlfn.XLOOKUP(A3774:A7817,'参照_武将'!A:A,'参照_武将'!B:B,"見つかりません"))</f>
      </c>
      <c r="C3774" s="4" t="s">
        <v>548</v>
      </c>
      <c r="D3774" s="4">
        <v>1</v>
      </c>
      <c r="E3774" s="12" t="str">
        <f t="array" ref="E3774">IF(D3774:D7817="","",IFERROR(_xlfn.XLOOKUP(D3774:D7817,'参照_勢力'!A:A,'参照_勢力'!B:B),IFERROR(_xlfn.XLOOKUP(F3774:F7817,kunishuClan!A:A,kunishuClan!B:B),"浪人")))</f>
      </c>
      <c r="F3774" s="4">
        <v>0</v>
      </c>
      <c r="G3774" s="4">
        <v>40</v>
      </c>
      <c r="H3774" s="12" t="str">
        <f t="array" ref="H3774">IF(G3774:G7817="","",_xlfn.XLOOKUP(G3774:G7817,castles_state!A:A,castles_state!D:D,"見つかりません"))</f>
      </c>
      <c r="I3774" s="4"/>
      <c r="J3774" s="12" t="str">
        <f t="array" ref="J3774">IF(I3774:I7817="","",_xlfn.XLOOKUP(I3774:I7817,'参照_姫'!A:A,'参照_姫'!B:B,"見つかりません"))</f>
      </c>
      <c r="K3774" s="4">
        <v>90</v>
      </c>
      <c r="L3774" s="4">
        <v>0</v>
      </c>
      <c r="M3774" s="4"/>
      <c r="N3774" s="4"/>
      <c r="O3774" s="4"/>
      <c r="P3774" s="12" t="str">
        <f t="array" ref="P3774">IF(O3774:O7817="","",_xlfn.XLOOKUP(O3774:O7817,'参照_官位'!A:A,'参照_官位'!B:B,""))</f>
      </c>
      <c r="Q3774" s="12" t="str">
        <f t="array" ref="Q3774">IF(A3774:A7817="","",IFERROR(_xlfn.XLOOKUP(A3774:A7817,castles_state!K:K,castles_state!D:D)&amp;"主",IFERROR(_xlfn.XLOOKUP(A3774:A7817,kunishuClan!D:D,kunishuClan!B:B)&amp;"当主","")))</f>
      </c>
    </row>
    <row r="3775" ht="15.75" customHeight="1">
      <c r="A3775" s="4">
        <v>1401040</v>
      </c>
      <c r="B3775" s="12" t="str">
        <f t="array" ref="B3775">IF(A3775:A7818="","",_xlfn.XLOOKUP(A3775:A7818,'参照_武将'!A:A,'参照_武将'!B:B,"見つかりません"))</f>
      </c>
      <c r="C3775" s="4" t="s">
        <v>548</v>
      </c>
      <c r="D3775" s="4">
        <v>1</v>
      </c>
      <c r="E3775" s="12" t="str">
        <f t="array" ref="E3775">IF(D3775:D7818="","",IFERROR(_xlfn.XLOOKUP(D3775:D7818,'参照_勢力'!A:A,'参照_勢力'!B:B),IFERROR(_xlfn.XLOOKUP(F3775:F7818,kunishuClan!A:A,kunishuClan!B:B),"浪人")))</f>
      </c>
      <c r="F3775" s="4">
        <v>0</v>
      </c>
      <c r="G3775" s="4">
        <v>40</v>
      </c>
      <c r="H3775" s="12" t="str">
        <f t="array" ref="H3775">IF(G3775:G7818="","",_xlfn.XLOOKUP(G3775:G7818,castles_state!A:A,castles_state!D:D,"見つかりません"))</f>
      </c>
      <c r="I3775" s="4"/>
      <c r="J3775" s="12" t="str">
        <f t="array" ref="J3775">IF(I3775:I7818="","",_xlfn.XLOOKUP(I3775:I7818,'参照_姫'!A:A,'参照_姫'!B:B,"見つかりません"))</f>
      </c>
      <c r="K3775" s="4">
        <v>90</v>
      </c>
      <c r="L3775" s="4">
        <v>0</v>
      </c>
      <c r="M3775" s="4"/>
      <c r="N3775" s="4"/>
      <c r="O3775" s="4"/>
      <c r="P3775" s="12" t="str">
        <f t="array" ref="P3775">IF(O3775:O7818="","",_xlfn.XLOOKUP(O3775:O7818,'参照_官位'!A:A,'参照_官位'!B:B,""))</f>
      </c>
      <c r="Q3775" s="12" t="str">
        <f t="array" ref="Q3775">IF(A3775:A7818="","",IFERROR(_xlfn.XLOOKUP(A3775:A7818,castles_state!K:K,castles_state!D:D)&amp;"主",IFERROR(_xlfn.XLOOKUP(A3775:A7818,kunishuClan!D:D,kunishuClan!B:B)&amp;"当主","")))</f>
      </c>
    </row>
    <row r="3776" ht="15.75" customHeight="1">
      <c r="A3776" s="4">
        <v>1401041</v>
      </c>
      <c r="B3776" s="12" t="str">
        <f t="array" ref="B3776">IF(A3776:A7819="","",_xlfn.XLOOKUP(A3776:A7819,'参照_武将'!A:A,'参照_武将'!B:B,"見つかりません"))</f>
      </c>
      <c r="C3776" s="4" t="s">
        <v>548</v>
      </c>
      <c r="D3776" s="4">
        <v>1</v>
      </c>
      <c r="E3776" s="12" t="str">
        <f t="array" ref="E3776">IF(D3776:D7819="","",IFERROR(_xlfn.XLOOKUP(D3776:D7819,'参照_勢力'!A:A,'参照_勢力'!B:B),IFERROR(_xlfn.XLOOKUP(F3776:F7819,kunishuClan!A:A,kunishuClan!B:B),"浪人")))</f>
      </c>
      <c r="F3776" s="4">
        <v>0</v>
      </c>
      <c r="G3776" s="4">
        <v>40</v>
      </c>
      <c r="H3776" s="12" t="str">
        <f t="array" ref="H3776">IF(G3776:G7819="","",_xlfn.XLOOKUP(G3776:G7819,castles_state!A:A,castles_state!D:D,"見つかりません"))</f>
      </c>
      <c r="I3776" s="4"/>
      <c r="J3776" s="12" t="str">
        <f t="array" ref="J3776">IF(I3776:I7819="","",_xlfn.XLOOKUP(I3776:I7819,'参照_姫'!A:A,'参照_姫'!B:B,"見つかりません"))</f>
      </c>
      <c r="K3776" s="4">
        <v>90</v>
      </c>
      <c r="L3776" s="4">
        <v>0</v>
      </c>
      <c r="M3776" s="4"/>
      <c r="N3776" s="4"/>
      <c r="O3776" s="4"/>
      <c r="P3776" s="12" t="str">
        <f t="array" ref="P3776">IF(O3776:O7819="","",_xlfn.XLOOKUP(O3776:O7819,'参照_官位'!A:A,'参照_官位'!B:B,""))</f>
      </c>
      <c r="Q3776" s="12" t="str">
        <f t="array" ref="Q3776">IF(A3776:A7819="","",IFERROR(_xlfn.XLOOKUP(A3776:A7819,castles_state!K:K,castles_state!D:D)&amp;"主",IFERROR(_xlfn.XLOOKUP(A3776:A7819,kunishuClan!D:D,kunishuClan!B:B)&amp;"当主","")))</f>
      </c>
    </row>
    <row r="3777" ht="15.75" customHeight="1">
      <c r="A3777" s="4">
        <v>1401042</v>
      </c>
      <c r="B3777" s="12" t="str">
        <f t="array" ref="B3777">IF(A3777:A7820="","",_xlfn.XLOOKUP(A3777:A7820,'参照_武将'!A:A,'参照_武将'!B:B,"見つかりません"))</f>
      </c>
      <c r="C3777" s="4" t="s">
        <v>548</v>
      </c>
      <c r="D3777" s="4">
        <v>1</v>
      </c>
      <c r="E3777" s="12" t="str">
        <f t="array" ref="E3777">IF(D3777:D7820="","",IFERROR(_xlfn.XLOOKUP(D3777:D7820,'参照_勢力'!A:A,'参照_勢力'!B:B),IFERROR(_xlfn.XLOOKUP(F3777:F7820,kunishuClan!A:A,kunishuClan!B:B),"浪人")))</f>
      </c>
      <c r="F3777" s="4">
        <v>0</v>
      </c>
      <c r="G3777" s="4">
        <v>180</v>
      </c>
      <c r="H3777" s="12" t="str">
        <f t="array" ref="H3777">IF(G3777:G7820="","",_xlfn.XLOOKUP(G3777:G7820,castles_state!A:A,castles_state!D:D,"見つかりません"))</f>
      </c>
      <c r="I3777" s="4"/>
      <c r="J3777" s="12" t="str">
        <f t="array" ref="J3777">IF(I3777:I7820="","",_xlfn.XLOOKUP(I3777:I7820,'参照_姫'!A:A,'参照_姫'!B:B,"見つかりません"))</f>
      </c>
      <c r="K3777" s="4">
        <v>95</v>
      </c>
      <c r="L3777" s="4">
        <v>0</v>
      </c>
      <c r="M3777" s="4"/>
      <c r="N3777" s="4"/>
      <c r="O3777" s="4"/>
      <c r="P3777" s="12" t="str">
        <f t="array" ref="P3777">IF(O3777:O7820="","",_xlfn.XLOOKUP(O3777:O7820,'参照_官位'!A:A,'参照_官位'!B:B,""))</f>
      </c>
      <c r="Q3777" s="12" t="str">
        <f t="array" ref="Q3777">IF(A3777:A7820="","",IFERROR(_xlfn.XLOOKUP(A3777:A7820,castles_state!K:K,castles_state!D:D)&amp;"主",IFERROR(_xlfn.XLOOKUP(A3777:A7820,kunishuClan!D:D,kunishuClan!B:B)&amp;"当主","")))</f>
      </c>
    </row>
    <row r="3778" ht="15.75" customHeight="1">
      <c r="A3778" s="4">
        <v>1401043</v>
      </c>
      <c r="B3778" s="12" t="str">
        <f t="array" ref="B3778">IF(A3778:A7821="","",_xlfn.XLOOKUP(A3778:A7821,'参照_武将'!A:A,'参照_武将'!B:B,"見つかりません"))</f>
      </c>
      <c r="C3778" s="4" t="s">
        <v>548</v>
      </c>
      <c r="D3778" s="4">
        <v>1</v>
      </c>
      <c r="E3778" s="12" t="str">
        <f t="array" ref="E3778">IF(D3778:D7821="","",IFERROR(_xlfn.XLOOKUP(D3778:D7821,'参照_勢力'!A:A,'参照_勢力'!B:B),IFERROR(_xlfn.XLOOKUP(F3778:F7821,kunishuClan!A:A,kunishuClan!B:B),"浪人")))</f>
      </c>
      <c r="F3778" s="4">
        <v>0</v>
      </c>
      <c r="G3778" s="4">
        <v>180</v>
      </c>
      <c r="H3778" s="12" t="str">
        <f t="array" ref="H3778">IF(G3778:G7821="","",_xlfn.XLOOKUP(G3778:G7821,castles_state!A:A,castles_state!D:D,"見つかりません"))</f>
      </c>
      <c r="I3778" s="4"/>
      <c r="J3778" s="12" t="str">
        <f t="array" ref="J3778">IF(I3778:I7821="","",_xlfn.XLOOKUP(I3778:I7821,'参照_姫'!A:A,'参照_姫'!B:B,"見つかりません"))</f>
      </c>
      <c r="K3778" s="4">
        <v>95</v>
      </c>
      <c r="L3778" s="4">
        <v>0</v>
      </c>
      <c r="M3778" s="4"/>
      <c r="N3778" s="4"/>
      <c r="O3778" s="4"/>
      <c r="P3778" s="12" t="str">
        <f t="array" ref="P3778">IF(O3778:O7821="","",_xlfn.XLOOKUP(O3778:O7821,'参照_官位'!A:A,'参照_官位'!B:B,""))</f>
      </c>
      <c r="Q3778" s="12" t="str">
        <f t="array" ref="Q3778">IF(A3778:A7821="","",IFERROR(_xlfn.XLOOKUP(A3778:A7821,castles_state!K:K,castles_state!D:D)&amp;"主",IFERROR(_xlfn.XLOOKUP(A3778:A7821,kunishuClan!D:D,kunishuClan!B:B)&amp;"当主","")))</f>
      </c>
    </row>
    <row r="3779" ht="15.75" customHeight="1">
      <c r="A3779" s="4">
        <v>1401044</v>
      </c>
      <c r="B3779" s="12" t="str">
        <f t="array" ref="B3779">IF(A3779:A7822="","",_xlfn.XLOOKUP(A3779:A7822,'参照_武将'!A:A,'参照_武将'!B:B,"見つかりません"))</f>
      </c>
      <c r="C3779" s="4" t="s">
        <v>548</v>
      </c>
      <c r="D3779" s="4">
        <v>1</v>
      </c>
      <c r="E3779" s="12" t="str">
        <f t="array" ref="E3779">IF(D3779:D7822="","",IFERROR(_xlfn.XLOOKUP(D3779:D7822,'参照_勢力'!A:A,'参照_勢力'!B:B),IFERROR(_xlfn.XLOOKUP(F3779:F7822,kunishuClan!A:A,kunishuClan!B:B),"浪人")))</f>
      </c>
      <c r="F3779" s="4">
        <v>0</v>
      </c>
      <c r="G3779" s="4">
        <v>180</v>
      </c>
      <c r="H3779" s="12" t="str">
        <f t="array" ref="H3779">IF(G3779:G7822="","",_xlfn.XLOOKUP(G3779:G7822,castles_state!A:A,castles_state!D:D,"見つかりません"))</f>
      </c>
      <c r="I3779" s="4"/>
      <c r="J3779" s="12" t="str">
        <f t="array" ref="J3779">IF(I3779:I7822="","",_xlfn.XLOOKUP(I3779:I7822,'参照_姫'!A:A,'参照_姫'!B:B,"見つかりません"))</f>
      </c>
      <c r="K3779" s="4">
        <v>95</v>
      </c>
      <c r="L3779" s="4">
        <v>0</v>
      </c>
      <c r="M3779" s="4"/>
      <c r="N3779" s="4"/>
      <c r="O3779" s="4"/>
      <c r="P3779" s="12" t="str">
        <f t="array" ref="P3779">IF(O3779:O7822="","",_xlfn.XLOOKUP(O3779:O7822,'参照_官位'!A:A,'参照_官位'!B:B,""))</f>
      </c>
      <c r="Q3779" s="12" t="str">
        <f t="array" ref="Q3779">IF(A3779:A7822="","",IFERROR(_xlfn.XLOOKUP(A3779:A7822,castles_state!K:K,castles_state!D:D)&amp;"主",IFERROR(_xlfn.XLOOKUP(A3779:A7822,kunishuClan!D:D,kunishuClan!B:B)&amp;"当主","")))</f>
      </c>
    </row>
    <row r="3780" ht="15.75" customHeight="1">
      <c r="A3780" s="4">
        <v>1401045</v>
      </c>
      <c r="B3780" s="12" t="str">
        <f t="array" ref="B3780">IF(A3780:A7823="","",_xlfn.XLOOKUP(A3780:A7823,'参照_武将'!A:A,'参照_武将'!B:B,"見つかりません"))</f>
      </c>
      <c r="C3780" s="4" t="s">
        <v>548</v>
      </c>
      <c r="D3780" s="4">
        <v>1</v>
      </c>
      <c r="E3780" s="12" t="str">
        <f t="array" ref="E3780">IF(D3780:D7823="","",IFERROR(_xlfn.XLOOKUP(D3780:D7823,'参照_勢力'!A:A,'参照_勢力'!B:B),IFERROR(_xlfn.XLOOKUP(F3780:F7823,kunishuClan!A:A,kunishuClan!B:B),"浪人")))</f>
      </c>
      <c r="F3780" s="4">
        <v>0</v>
      </c>
      <c r="G3780" s="4">
        <v>180</v>
      </c>
      <c r="H3780" s="12" t="str">
        <f t="array" ref="H3780">IF(G3780:G7823="","",_xlfn.XLOOKUP(G3780:G7823,castles_state!A:A,castles_state!D:D,"見つかりません"))</f>
      </c>
      <c r="I3780" s="4"/>
      <c r="J3780" s="12" t="str">
        <f t="array" ref="J3780">IF(I3780:I7823="","",_xlfn.XLOOKUP(I3780:I7823,'参照_姫'!A:A,'参照_姫'!B:B,"見つかりません"))</f>
      </c>
      <c r="K3780" s="4">
        <v>95</v>
      </c>
      <c r="L3780" s="4">
        <v>0</v>
      </c>
      <c r="M3780" s="4"/>
      <c r="N3780" s="4"/>
      <c r="O3780" s="4"/>
      <c r="P3780" s="12" t="str">
        <f t="array" ref="P3780">IF(O3780:O7823="","",_xlfn.XLOOKUP(O3780:O7823,'参照_官位'!A:A,'参照_官位'!B:B,""))</f>
      </c>
      <c r="Q3780" s="12" t="str">
        <f t="array" ref="Q3780">IF(A3780:A7823="","",IFERROR(_xlfn.XLOOKUP(A3780:A7823,castles_state!K:K,castles_state!D:D)&amp;"主",IFERROR(_xlfn.XLOOKUP(A3780:A7823,kunishuClan!D:D,kunishuClan!B:B)&amp;"当主","")))</f>
      </c>
    </row>
    <row r="3781" ht="15.75" customHeight="1">
      <c r="A3781" s="4">
        <v>1401046</v>
      </c>
      <c r="B3781" s="12" t="str">
        <f t="array" ref="B3781">IF(A3781:A7824="","",_xlfn.XLOOKUP(A3781:A7824,'参照_武将'!A:A,'参照_武将'!B:B,"見つかりません"))</f>
      </c>
      <c r="C3781" s="4" t="s">
        <v>548</v>
      </c>
      <c r="D3781" s="4">
        <v>1</v>
      </c>
      <c r="E3781" s="12" t="str">
        <f t="array" ref="E3781">IF(D3781:D7824="","",IFERROR(_xlfn.XLOOKUP(D3781:D7824,'参照_勢力'!A:A,'参照_勢力'!B:B),IFERROR(_xlfn.XLOOKUP(F3781:F7824,kunishuClan!A:A,kunishuClan!B:B),"浪人")))</f>
      </c>
      <c r="F3781" s="4">
        <v>0</v>
      </c>
      <c r="G3781" s="4">
        <v>7</v>
      </c>
      <c r="H3781" s="12" t="str">
        <f t="array" ref="H3781">IF(G3781:G7824="","",_xlfn.XLOOKUP(G3781:G7824,castles_state!A:A,castles_state!D:D,"見つかりません"))</f>
      </c>
      <c r="I3781" s="4"/>
      <c r="J3781" s="12" t="str">
        <f t="array" ref="J3781">IF(I3781:I7824="","",_xlfn.XLOOKUP(I3781:I7824,'参照_姫'!A:A,'参照_姫'!B:B,"見つかりません"))</f>
      </c>
      <c r="K3781" s="4">
        <v>90</v>
      </c>
      <c r="L3781" s="4">
        <v>0</v>
      </c>
      <c r="M3781" s="4"/>
      <c r="N3781" s="4"/>
      <c r="O3781" s="4"/>
      <c r="P3781" s="12" t="str">
        <f t="array" ref="P3781">IF(O3781:O7824="","",_xlfn.XLOOKUP(O3781:O7824,'参照_官位'!A:A,'参照_官位'!B:B,""))</f>
      </c>
      <c r="Q3781" s="12" t="str">
        <f t="array" ref="Q3781">IF(A3781:A7824="","",IFERROR(_xlfn.XLOOKUP(A3781:A7824,castles_state!K:K,castles_state!D:D)&amp;"主",IFERROR(_xlfn.XLOOKUP(A3781:A7824,kunishuClan!D:D,kunishuClan!B:B)&amp;"当主","")))</f>
      </c>
    </row>
    <row r="3782" ht="15.75" customHeight="1">
      <c r="A3782" s="4">
        <v>1401047</v>
      </c>
      <c r="B3782" s="12" t="str">
        <f t="array" ref="B3782">IF(A3782:A7825="","",_xlfn.XLOOKUP(A3782:A7825,'参照_武将'!A:A,'参照_武将'!B:B,"見つかりません"))</f>
      </c>
      <c r="C3782" s="4" t="s">
        <v>548</v>
      </c>
      <c r="D3782" s="4">
        <v>0</v>
      </c>
      <c r="E3782" s="12" t="str">
        <f t="array" ref="E3782">IF(D3782:D7825="","",IFERROR(_xlfn.XLOOKUP(D3782:D7825,'参照_勢力'!A:A,'参照_勢力'!B:B),IFERROR(_xlfn.XLOOKUP(F3782:F7825,kunishuClan!A:A,kunishuClan!B:B),"浪人")))</f>
      </c>
      <c r="F3782" s="4">
        <v>0</v>
      </c>
      <c r="G3782" s="4">
        <v>186</v>
      </c>
      <c r="H3782" s="12" t="str">
        <f t="array" ref="H3782">IF(G3782:G7825="","",_xlfn.XLOOKUP(G3782:G7825,castles_state!A:A,castles_state!D:D,"見つかりません"))</f>
      </c>
      <c r="I3782" s="4"/>
      <c r="J3782" s="12" t="str">
        <f t="array" ref="J3782">IF(I3782:I7825="","",_xlfn.XLOOKUP(I3782:I7825,'参照_姫'!A:A,'参照_姫'!B:B,"見つかりません"))</f>
      </c>
      <c r="K3782" s="4">
        <v>50</v>
      </c>
      <c r="L3782" s="4">
        <v>0</v>
      </c>
      <c r="M3782" s="4"/>
      <c r="N3782" s="4"/>
      <c r="O3782" s="4"/>
      <c r="P3782" s="12" t="str">
        <f t="array" ref="P3782">IF(O3782:O7825="","",_xlfn.XLOOKUP(O3782:O7825,'参照_官位'!A:A,'参照_官位'!B:B,""))</f>
      </c>
      <c r="Q3782" s="12" t="str">
        <f t="array" ref="Q3782">IF(A3782:A7825="","",IFERROR(_xlfn.XLOOKUP(A3782:A7825,castles_state!K:K,castles_state!D:D)&amp;"主",IFERROR(_xlfn.XLOOKUP(A3782:A7825,kunishuClan!D:D,kunishuClan!B:B)&amp;"当主","")))</f>
      </c>
    </row>
    <row r="3783" ht="15.75" customHeight="1">
      <c r="A3783" s="4">
        <v>1401048</v>
      </c>
      <c r="B3783" s="12" t="str">
        <f t="array" ref="B3783">IF(A3783:A7826="","",_xlfn.XLOOKUP(A3783:A7826,'参照_武将'!A:A,'参照_武将'!B:B,"見つかりません"))</f>
      </c>
      <c r="C3783" s="4" t="s">
        <v>548</v>
      </c>
      <c r="D3783" s="4">
        <v>16</v>
      </c>
      <c r="E3783" s="12" t="str">
        <f t="array" ref="E3783">IF(D3783:D7826="","",IFERROR(_xlfn.XLOOKUP(D3783:D7826,'参照_勢力'!A:A,'参照_勢力'!B:B),IFERROR(_xlfn.XLOOKUP(F3783:F7826,kunishuClan!A:A,kunishuClan!B:B),"浪人")))</f>
      </c>
      <c r="F3783" s="4">
        <v>0</v>
      </c>
      <c r="G3783" s="4">
        <v>103</v>
      </c>
      <c r="H3783" s="12" t="str">
        <f t="array" ref="H3783">IF(G3783:G7826="","",_xlfn.XLOOKUP(G3783:G7826,castles_state!A:A,castles_state!D:D,"見つかりません"))</f>
      </c>
      <c r="I3783" s="4"/>
      <c r="J3783" s="12" t="str">
        <f t="array" ref="J3783">IF(I3783:I7826="","",_xlfn.XLOOKUP(I3783:I7826,'参照_姫'!A:A,'参照_姫'!B:B,"見つかりません"))</f>
      </c>
      <c r="K3783" s="4">
        <v>80</v>
      </c>
      <c r="L3783" s="4">
        <v>0</v>
      </c>
      <c r="M3783" s="4"/>
      <c r="N3783" s="4"/>
      <c r="O3783" s="4"/>
      <c r="P3783" s="12" t="str">
        <f t="array" ref="P3783">IF(O3783:O7826="","",_xlfn.XLOOKUP(O3783:O7826,'参照_官位'!A:A,'参照_官位'!B:B,""))</f>
      </c>
      <c r="Q3783" s="12" t="str">
        <f t="array" ref="Q3783">IF(A3783:A7826="","",IFERROR(_xlfn.XLOOKUP(A3783:A7826,castles_state!K:K,castles_state!D:D)&amp;"主",IFERROR(_xlfn.XLOOKUP(A3783:A7826,kunishuClan!D:D,kunishuClan!B:B)&amp;"当主","")))</f>
      </c>
    </row>
    <row r="3784" ht="15.75" customHeight="1">
      <c r="A3784" s="4">
        <v>1401049</v>
      </c>
      <c r="B3784" s="12" t="str">
        <f t="array" ref="B3784">IF(A3784:A7827="","",_xlfn.XLOOKUP(A3784:A7827,'参照_武将'!A:A,'参照_武将'!B:B,"見つかりません"))</f>
      </c>
      <c r="C3784" s="4" t="s">
        <v>548</v>
      </c>
      <c r="D3784" s="4">
        <v>15</v>
      </c>
      <c r="E3784" s="12" t="str">
        <f t="array" ref="E3784">IF(D3784:D7827="","",IFERROR(_xlfn.XLOOKUP(D3784:D7827,'参照_勢力'!A:A,'参照_勢力'!B:B),IFERROR(_xlfn.XLOOKUP(F3784:F7827,kunishuClan!A:A,kunishuClan!B:B),"浪人")))</f>
      </c>
      <c r="F3784" s="4">
        <v>0</v>
      </c>
      <c r="G3784" s="4">
        <v>28</v>
      </c>
      <c r="H3784" s="12" t="str">
        <f t="array" ref="H3784">IF(G3784:G7827="","",_xlfn.XLOOKUP(G3784:G7827,castles_state!A:A,castles_state!D:D,"見つかりません"))</f>
      </c>
      <c r="I3784" s="4"/>
      <c r="J3784" s="12" t="str">
        <f t="array" ref="J3784">IF(I3784:I7827="","",_xlfn.XLOOKUP(I3784:I7827,'参照_姫'!A:A,'参照_姫'!B:B,"見つかりません"))</f>
      </c>
      <c r="K3784" s="4">
        <v>90</v>
      </c>
      <c r="L3784" s="4">
        <v>0</v>
      </c>
      <c r="M3784" s="4"/>
      <c r="N3784" s="4"/>
      <c r="O3784" s="4"/>
      <c r="P3784" s="12" t="str">
        <f t="array" ref="P3784">IF(O3784:O7827="","",_xlfn.XLOOKUP(O3784:O7827,'参照_官位'!A:A,'参照_官位'!B:B,""))</f>
      </c>
      <c r="Q3784" s="12" t="str">
        <f t="array" ref="Q3784">IF(A3784:A7827="","",IFERROR(_xlfn.XLOOKUP(A3784:A7827,castles_state!K:K,castles_state!D:D)&amp;"主",IFERROR(_xlfn.XLOOKUP(A3784:A7827,kunishuClan!D:D,kunishuClan!B:B)&amp;"当主","")))</f>
      </c>
    </row>
    <row r="3785" ht="15.75" customHeight="1">
      <c r="A3785" s="4">
        <v>1401050</v>
      </c>
      <c r="B3785" s="12" t="str">
        <f t="array" ref="B3785">IF(A3785:A7828="","",_xlfn.XLOOKUP(A3785:A7828,'参照_武将'!A:A,'参照_武将'!B:B,"見つかりません"))</f>
      </c>
      <c r="C3785" s="4" t="s">
        <v>548</v>
      </c>
      <c r="D3785" s="4">
        <v>15</v>
      </c>
      <c r="E3785" s="12" t="str">
        <f t="array" ref="E3785">IF(D3785:D7828="","",IFERROR(_xlfn.XLOOKUP(D3785:D7828,'参照_勢力'!A:A,'参照_勢力'!B:B),IFERROR(_xlfn.XLOOKUP(F3785:F7828,kunishuClan!A:A,kunishuClan!B:B),"浪人")))</f>
      </c>
      <c r="F3785" s="4">
        <v>0</v>
      </c>
      <c r="G3785" s="4">
        <v>28</v>
      </c>
      <c r="H3785" s="12" t="str">
        <f t="array" ref="H3785">IF(G3785:G7828="","",_xlfn.XLOOKUP(G3785:G7828,castles_state!A:A,castles_state!D:D,"見つかりません"))</f>
      </c>
      <c r="I3785" s="4"/>
      <c r="J3785" s="12" t="str">
        <f t="array" ref="J3785">IF(I3785:I7828="","",_xlfn.XLOOKUP(I3785:I7828,'参照_姫'!A:A,'参照_姫'!B:B,"見つかりません"))</f>
      </c>
      <c r="K3785" s="4">
        <v>90</v>
      </c>
      <c r="L3785" s="4">
        <v>0</v>
      </c>
      <c r="M3785" s="4"/>
      <c r="N3785" s="4"/>
      <c r="O3785" s="4"/>
      <c r="P3785" s="12" t="str">
        <f t="array" ref="P3785">IF(O3785:O7828="","",_xlfn.XLOOKUP(O3785:O7828,'参照_官位'!A:A,'参照_官位'!B:B,""))</f>
      </c>
      <c r="Q3785" s="12" t="str">
        <f t="array" ref="Q3785">IF(A3785:A7828="","",IFERROR(_xlfn.XLOOKUP(A3785:A7828,castles_state!K:K,castles_state!D:D)&amp;"主",IFERROR(_xlfn.XLOOKUP(A3785:A7828,kunishuClan!D:D,kunishuClan!B:B)&amp;"当主","")))</f>
      </c>
    </row>
    <row r="3786" ht="15.75" customHeight="1">
      <c r="A3786" s="4">
        <v>1401051</v>
      </c>
      <c r="B3786" s="12" t="str">
        <f t="array" ref="B3786">IF(A3786:A7829="","",_xlfn.XLOOKUP(A3786:A7829,'参照_武将'!A:A,'参照_武将'!B:B,"見つかりません"))</f>
      </c>
      <c r="C3786" s="4" t="s">
        <v>548</v>
      </c>
      <c r="D3786" s="4">
        <v>15</v>
      </c>
      <c r="E3786" s="12" t="str">
        <f t="array" ref="E3786">IF(D3786:D7829="","",IFERROR(_xlfn.XLOOKUP(D3786:D7829,'参照_勢力'!A:A,'参照_勢力'!B:B),IFERROR(_xlfn.XLOOKUP(F3786:F7829,kunishuClan!A:A,kunishuClan!B:B),"浪人")))</f>
      </c>
      <c r="F3786" s="4">
        <v>0</v>
      </c>
      <c r="G3786" s="4">
        <v>28</v>
      </c>
      <c r="H3786" s="12" t="str">
        <f t="array" ref="H3786">IF(G3786:G7829="","",_xlfn.XLOOKUP(G3786:G7829,castles_state!A:A,castles_state!D:D,"見つかりません"))</f>
      </c>
      <c r="I3786" s="4"/>
      <c r="J3786" s="12" t="str">
        <f t="array" ref="J3786">IF(I3786:I7829="","",_xlfn.XLOOKUP(I3786:I7829,'参照_姫'!A:A,'参照_姫'!B:B,"見つかりません"))</f>
      </c>
      <c r="K3786" s="4">
        <v>90</v>
      </c>
      <c r="L3786" s="4">
        <v>0</v>
      </c>
      <c r="M3786" s="4"/>
      <c r="N3786" s="4"/>
      <c r="O3786" s="4"/>
      <c r="P3786" s="12" t="str">
        <f t="array" ref="P3786">IF(O3786:O7829="","",_xlfn.XLOOKUP(O3786:O7829,'参照_官位'!A:A,'参照_官位'!B:B,""))</f>
      </c>
      <c r="Q3786" s="12" t="str">
        <f t="array" ref="Q3786">IF(A3786:A7829="","",IFERROR(_xlfn.XLOOKUP(A3786:A7829,castles_state!K:K,castles_state!D:D)&amp;"主",IFERROR(_xlfn.XLOOKUP(A3786:A7829,kunishuClan!D:D,kunishuClan!B:B)&amp;"当主","")))</f>
      </c>
    </row>
    <row r="3787" ht="15.75" customHeight="1">
      <c r="A3787" s="4">
        <v>1401052</v>
      </c>
      <c r="B3787" s="12" t="str">
        <f t="array" ref="B3787">IF(A3787:A7830="","",_xlfn.XLOOKUP(A3787:A7830,'参照_武将'!A:A,'参照_武将'!B:B,"見つかりません"))</f>
      </c>
      <c r="C3787" s="4" t="s">
        <v>548</v>
      </c>
      <c r="D3787" s="4">
        <v>1</v>
      </c>
      <c r="E3787" s="12" t="str">
        <f t="array" ref="E3787">IF(D3787:D7830="","",IFERROR(_xlfn.XLOOKUP(D3787:D7830,'参照_勢力'!A:A,'参照_勢力'!B:B),IFERROR(_xlfn.XLOOKUP(F3787:F7830,kunishuClan!A:A,kunishuClan!B:B),"浪人")))</f>
      </c>
      <c r="F3787" s="4">
        <v>0</v>
      </c>
      <c r="G3787" s="4">
        <v>7</v>
      </c>
      <c r="H3787" s="12" t="str">
        <f t="array" ref="H3787">IF(G3787:G7830="","",_xlfn.XLOOKUP(G3787:G7830,castles_state!A:A,castles_state!D:D,"見つかりません"))</f>
      </c>
      <c r="I3787" s="4"/>
      <c r="J3787" s="12" t="str">
        <f t="array" ref="J3787">IF(I3787:I7830="","",_xlfn.XLOOKUP(I3787:I7830,'参照_姫'!A:A,'参照_姫'!B:B,"見つかりません"))</f>
      </c>
      <c r="K3787" s="4">
        <v>95</v>
      </c>
      <c r="L3787" s="4">
        <v>0</v>
      </c>
      <c r="M3787" s="4"/>
      <c r="N3787" s="4"/>
      <c r="O3787" s="4"/>
      <c r="P3787" s="12" t="str">
        <f t="array" ref="P3787">IF(O3787:O7830="","",_xlfn.XLOOKUP(O3787:O7830,'参照_官位'!A:A,'参照_官位'!B:B,""))</f>
      </c>
      <c r="Q3787" s="12" t="str">
        <f t="array" ref="Q3787">IF(A3787:A7830="","",IFERROR(_xlfn.XLOOKUP(A3787:A7830,castles_state!K:K,castles_state!D:D)&amp;"主",IFERROR(_xlfn.XLOOKUP(A3787:A7830,kunishuClan!D:D,kunishuClan!B:B)&amp;"当主","")))</f>
      </c>
    </row>
    <row r="3788" ht="15.75" customHeight="1">
      <c r="A3788" s="4">
        <v>1401053</v>
      </c>
      <c r="B3788" s="12" t="str">
        <f t="array" ref="B3788">IF(A3788:A7831="","",_xlfn.XLOOKUP(A3788:A7831,'参照_武将'!A:A,'参照_武将'!B:B,"見つかりません"))</f>
      </c>
      <c r="C3788" s="4" t="s">
        <v>548</v>
      </c>
      <c r="D3788" s="4">
        <v>1</v>
      </c>
      <c r="E3788" s="12" t="str">
        <f t="array" ref="E3788">IF(D3788:D7831="","",IFERROR(_xlfn.XLOOKUP(D3788:D7831,'参照_勢力'!A:A,'参照_勢力'!B:B),IFERROR(_xlfn.XLOOKUP(F3788:F7831,kunishuClan!A:A,kunishuClan!B:B),"浪人")))</f>
      </c>
      <c r="F3788" s="4">
        <v>0</v>
      </c>
      <c r="G3788" s="4">
        <v>7</v>
      </c>
      <c r="H3788" s="12" t="str">
        <f t="array" ref="H3788">IF(G3788:G7831="","",_xlfn.XLOOKUP(G3788:G7831,castles_state!A:A,castles_state!D:D,"見つかりません"))</f>
      </c>
      <c r="I3788" s="4"/>
      <c r="J3788" s="12" t="str">
        <f t="array" ref="J3788">IF(I3788:I7831="","",_xlfn.XLOOKUP(I3788:I7831,'参照_姫'!A:A,'参照_姫'!B:B,"見つかりません"))</f>
      </c>
      <c r="K3788" s="4">
        <v>95</v>
      </c>
      <c r="L3788" s="4">
        <v>0</v>
      </c>
      <c r="M3788" s="4"/>
      <c r="N3788" s="4"/>
      <c r="O3788" s="4"/>
      <c r="P3788" s="12" t="str">
        <f t="array" ref="P3788">IF(O3788:O7831="","",_xlfn.XLOOKUP(O3788:O7831,'参照_官位'!A:A,'参照_官位'!B:B,""))</f>
      </c>
      <c r="Q3788" s="12" t="str">
        <f t="array" ref="Q3788">IF(A3788:A7831="","",IFERROR(_xlfn.XLOOKUP(A3788:A7831,castles_state!K:K,castles_state!D:D)&amp;"主",IFERROR(_xlfn.XLOOKUP(A3788:A7831,kunishuClan!D:D,kunishuClan!B:B)&amp;"当主","")))</f>
      </c>
    </row>
    <row r="3789" ht="15.75" customHeight="1">
      <c r="A3789" s="4">
        <v>1401054</v>
      </c>
      <c r="B3789" s="12" t="str">
        <f t="array" ref="B3789">IF(A3789:A7832="","",_xlfn.XLOOKUP(A3789:A7832,'参照_武将'!A:A,'参照_武将'!B:B,"見つかりません"))</f>
      </c>
      <c r="C3789" s="4" t="s">
        <v>548</v>
      </c>
      <c r="D3789" s="4">
        <v>1</v>
      </c>
      <c r="E3789" s="12" t="str">
        <f t="array" ref="E3789">IF(D3789:D7832="","",IFERROR(_xlfn.XLOOKUP(D3789:D7832,'参照_勢力'!A:A,'参照_勢力'!B:B),IFERROR(_xlfn.XLOOKUP(F3789:F7832,kunishuClan!A:A,kunishuClan!B:B),"浪人")))</f>
      </c>
      <c r="F3789" s="4">
        <v>0</v>
      </c>
      <c r="G3789" s="4">
        <v>186</v>
      </c>
      <c r="H3789" s="12" t="str">
        <f t="array" ref="H3789">IF(G3789:G7832="","",_xlfn.XLOOKUP(G3789:G7832,castles_state!A:A,castles_state!D:D,"見つかりません"))</f>
      </c>
      <c r="I3789" s="4"/>
      <c r="J3789" s="12" t="str">
        <f t="array" ref="J3789">IF(I3789:I7832="","",_xlfn.XLOOKUP(I3789:I7832,'参照_姫'!A:A,'参照_姫'!B:B,"見つかりません"))</f>
      </c>
      <c r="K3789" s="4">
        <v>95</v>
      </c>
      <c r="L3789" s="4">
        <v>0</v>
      </c>
      <c r="M3789" s="4"/>
      <c r="N3789" s="4"/>
      <c r="O3789" s="4"/>
      <c r="P3789" s="12" t="str">
        <f t="array" ref="P3789">IF(O3789:O7832="","",_xlfn.XLOOKUP(O3789:O7832,'参照_官位'!A:A,'参照_官位'!B:B,""))</f>
      </c>
      <c r="Q3789" s="12" t="str">
        <f t="array" ref="Q3789">IF(A3789:A7832="","",IFERROR(_xlfn.XLOOKUP(A3789:A7832,castles_state!K:K,castles_state!D:D)&amp;"主",IFERROR(_xlfn.XLOOKUP(A3789:A7832,kunishuClan!D:D,kunishuClan!B:B)&amp;"当主","")))</f>
      </c>
    </row>
    <row r="3790" ht="15.75" customHeight="1">
      <c r="A3790" s="4">
        <v>1401055</v>
      </c>
      <c r="B3790" s="12" t="str">
        <f t="array" ref="B3790">IF(A3790:A7833="","",_xlfn.XLOOKUP(A3790:A7833,'参照_武将'!A:A,'参照_武将'!B:B,"見つかりません"))</f>
      </c>
      <c r="C3790" s="4" t="s">
        <v>548</v>
      </c>
      <c r="D3790" s="4">
        <v>1</v>
      </c>
      <c r="E3790" s="12" t="str">
        <f t="array" ref="E3790">IF(D3790:D7833="","",IFERROR(_xlfn.XLOOKUP(D3790:D7833,'参照_勢力'!A:A,'参照_勢力'!B:B),IFERROR(_xlfn.XLOOKUP(F3790:F7833,kunishuClan!A:A,kunishuClan!B:B),"浪人")))</f>
      </c>
      <c r="F3790" s="4">
        <v>0</v>
      </c>
      <c r="G3790" s="4">
        <v>186</v>
      </c>
      <c r="H3790" s="12" t="str">
        <f t="array" ref="H3790">IF(G3790:G7833="","",_xlfn.XLOOKUP(G3790:G7833,castles_state!A:A,castles_state!D:D,"見つかりません"))</f>
      </c>
      <c r="I3790" s="4"/>
      <c r="J3790" s="12" t="str">
        <f t="array" ref="J3790">IF(I3790:I7833="","",_xlfn.XLOOKUP(I3790:I7833,'参照_姫'!A:A,'参照_姫'!B:B,"見つかりません"))</f>
      </c>
      <c r="K3790" s="4">
        <v>95</v>
      </c>
      <c r="L3790" s="4">
        <v>0</v>
      </c>
      <c r="M3790" s="4"/>
      <c r="N3790" s="4"/>
      <c r="O3790" s="4"/>
      <c r="P3790" s="12" t="str">
        <f t="array" ref="P3790">IF(O3790:O7833="","",_xlfn.XLOOKUP(O3790:O7833,'参照_官位'!A:A,'参照_官位'!B:B,""))</f>
      </c>
      <c r="Q3790" s="12" t="str">
        <f t="array" ref="Q3790">IF(A3790:A7833="","",IFERROR(_xlfn.XLOOKUP(A3790:A7833,castles_state!K:K,castles_state!D:D)&amp;"主",IFERROR(_xlfn.XLOOKUP(A3790:A7833,kunishuClan!D:D,kunishuClan!B:B)&amp;"当主","")))</f>
      </c>
    </row>
    <row r="3791" ht="15.75" customHeight="1">
      <c r="A3791" s="4">
        <v>1401056</v>
      </c>
      <c r="B3791" s="12" t="str">
        <f t="array" ref="B3791">IF(A3791:A7834="","",_xlfn.XLOOKUP(A3791:A7834,'参照_武将'!A:A,'参照_武将'!B:B,"見つかりません"))</f>
      </c>
      <c r="C3791" s="4" t="s">
        <v>548</v>
      </c>
      <c r="D3791" s="4">
        <v>1</v>
      </c>
      <c r="E3791" s="12" t="str">
        <f t="array" ref="E3791">IF(D3791:D7834="","",IFERROR(_xlfn.XLOOKUP(D3791:D7834,'参照_勢力'!A:A,'参照_勢力'!B:B),IFERROR(_xlfn.XLOOKUP(F3791:F7834,kunishuClan!A:A,kunishuClan!B:B),"浪人")))</f>
      </c>
      <c r="F3791" s="4">
        <v>0</v>
      </c>
      <c r="G3791" s="4">
        <v>180</v>
      </c>
      <c r="H3791" s="12" t="str">
        <f t="array" ref="H3791">IF(G3791:G7834="","",_xlfn.XLOOKUP(G3791:G7834,castles_state!A:A,castles_state!D:D,"見つかりません"))</f>
      </c>
      <c r="I3791" s="4"/>
      <c r="J3791" s="12" t="str">
        <f t="array" ref="J3791">IF(I3791:I7834="","",_xlfn.XLOOKUP(I3791:I7834,'参照_姫'!A:A,'参照_姫'!B:B,"見つかりません"))</f>
      </c>
      <c r="K3791" s="4">
        <v>90</v>
      </c>
      <c r="L3791" s="4">
        <v>0</v>
      </c>
      <c r="M3791" s="4"/>
      <c r="N3791" s="4"/>
      <c r="O3791" s="4"/>
      <c r="P3791" s="12" t="str">
        <f t="array" ref="P3791">IF(O3791:O7834="","",_xlfn.XLOOKUP(O3791:O7834,'参照_官位'!A:A,'参照_官位'!B:B,""))</f>
      </c>
      <c r="Q3791" s="12" t="str">
        <f t="array" ref="Q3791">IF(A3791:A7834="","",IFERROR(_xlfn.XLOOKUP(A3791:A7834,castles_state!K:K,castles_state!D:D)&amp;"主",IFERROR(_xlfn.XLOOKUP(A3791:A7834,kunishuClan!D:D,kunishuClan!B:B)&amp;"当主","")))</f>
      </c>
    </row>
    <row r="3792" ht="15.75" customHeight="1">
      <c r="A3792" s="4">
        <v>1401057</v>
      </c>
      <c r="B3792" s="12" t="str">
        <f t="array" ref="B3792">IF(A3792:A7835="","",_xlfn.XLOOKUP(A3792:A7835,'参照_武将'!A:A,'参照_武将'!B:B,"見つかりません"))</f>
      </c>
      <c r="C3792" s="4" t="s">
        <v>548</v>
      </c>
      <c r="D3792" s="4">
        <v>1</v>
      </c>
      <c r="E3792" s="12" t="str">
        <f t="array" ref="E3792">IF(D3792:D7835="","",IFERROR(_xlfn.XLOOKUP(D3792:D7835,'参照_勢力'!A:A,'参照_勢力'!B:B),IFERROR(_xlfn.XLOOKUP(F3792:F7835,kunishuClan!A:A,kunishuClan!B:B),"浪人")))</f>
      </c>
      <c r="F3792" s="4">
        <v>0</v>
      </c>
      <c r="G3792" s="4">
        <v>7</v>
      </c>
      <c r="H3792" s="12" t="str">
        <f t="array" ref="H3792">IF(G3792:G7835="","",_xlfn.XLOOKUP(G3792:G7835,castles_state!A:A,castles_state!D:D,"見つかりません"))</f>
      </c>
      <c r="I3792" s="4"/>
      <c r="J3792" s="12" t="str">
        <f t="array" ref="J3792">IF(I3792:I7835="","",_xlfn.XLOOKUP(I3792:I7835,'参照_姫'!A:A,'参照_姫'!B:B,"見つかりません"))</f>
      </c>
      <c r="K3792" s="4">
        <v>95</v>
      </c>
      <c r="L3792" s="4">
        <v>0</v>
      </c>
      <c r="M3792" s="4"/>
      <c r="N3792" s="4"/>
      <c r="O3792" s="4"/>
      <c r="P3792" s="12" t="str">
        <f t="array" ref="P3792">IF(O3792:O7835="","",_xlfn.XLOOKUP(O3792:O7835,'参照_官位'!A:A,'参照_官位'!B:B,""))</f>
      </c>
      <c r="Q3792" s="12" t="str">
        <f t="array" ref="Q3792">IF(A3792:A7835="","",IFERROR(_xlfn.XLOOKUP(A3792:A7835,castles_state!K:K,castles_state!D:D)&amp;"主",IFERROR(_xlfn.XLOOKUP(A3792:A7835,kunishuClan!D:D,kunishuClan!B:B)&amp;"当主","")))</f>
      </c>
    </row>
    <row r="3793" ht="15.75" customHeight="1">
      <c r="A3793" s="4">
        <v>1401058</v>
      </c>
      <c r="B3793" s="12" t="str">
        <f t="array" ref="B3793">IF(A3793:A7836="","",_xlfn.XLOOKUP(A3793:A7836,'参照_武将'!A:A,'参照_武将'!B:B,"見つかりません"))</f>
      </c>
      <c r="C3793" s="4" t="s">
        <v>548</v>
      </c>
      <c r="D3793" s="4">
        <v>1</v>
      </c>
      <c r="E3793" s="12" t="str">
        <f t="array" ref="E3793">IF(D3793:D7836="","",IFERROR(_xlfn.XLOOKUP(D3793:D7836,'参照_勢力'!A:A,'参照_勢力'!B:B),IFERROR(_xlfn.XLOOKUP(F3793:F7836,kunishuClan!A:A,kunishuClan!B:B),"浪人")))</f>
      </c>
      <c r="F3793" s="4">
        <v>0</v>
      </c>
      <c r="G3793" s="4">
        <v>7</v>
      </c>
      <c r="H3793" s="12" t="str">
        <f t="array" ref="H3793">IF(G3793:G7836="","",_xlfn.XLOOKUP(G3793:G7836,castles_state!A:A,castles_state!D:D,"見つかりません"))</f>
      </c>
      <c r="I3793" s="4"/>
      <c r="J3793" s="12" t="str">
        <f t="array" ref="J3793">IF(I3793:I7836="","",_xlfn.XLOOKUP(I3793:I7836,'参照_姫'!A:A,'参照_姫'!B:B,"見つかりません"))</f>
      </c>
      <c r="K3793" s="4">
        <v>95</v>
      </c>
      <c r="L3793" s="4">
        <v>0</v>
      </c>
      <c r="M3793" s="4"/>
      <c r="N3793" s="4"/>
      <c r="O3793" s="4"/>
      <c r="P3793" s="12" t="str">
        <f t="array" ref="P3793">IF(O3793:O7836="","",_xlfn.XLOOKUP(O3793:O7836,'参照_官位'!A:A,'参照_官位'!B:B,""))</f>
      </c>
      <c r="Q3793" s="12" t="str">
        <f t="array" ref="Q3793">IF(A3793:A7836="","",IFERROR(_xlfn.XLOOKUP(A3793:A7836,castles_state!K:K,castles_state!D:D)&amp;"主",IFERROR(_xlfn.XLOOKUP(A3793:A7836,kunishuClan!D:D,kunishuClan!B:B)&amp;"当主","")))</f>
      </c>
    </row>
    <row r="3794" ht="15.75" customHeight="1">
      <c r="A3794" s="4">
        <v>1401059</v>
      </c>
      <c r="B3794" s="12" t="str">
        <f t="array" ref="B3794">IF(A3794:A7837="","",_xlfn.XLOOKUP(A3794:A7837,'参照_武将'!A:A,'参照_武将'!B:B,"見つかりません"))</f>
      </c>
      <c r="C3794" s="4" t="s">
        <v>548</v>
      </c>
      <c r="D3794" s="4">
        <v>1</v>
      </c>
      <c r="E3794" s="12" t="str">
        <f t="array" ref="E3794">IF(D3794:D7837="","",IFERROR(_xlfn.XLOOKUP(D3794:D7837,'参照_勢力'!A:A,'参照_勢力'!B:B),IFERROR(_xlfn.XLOOKUP(F3794:F7837,kunishuClan!A:A,kunishuClan!B:B),"浪人")))</f>
      </c>
      <c r="F3794" s="4">
        <v>0</v>
      </c>
      <c r="G3794" s="4">
        <v>35</v>
      </c>
      <c r="H3794" s="12" t="str">
        <f t="array" ref="H3794">IF(G3794:G7837="","",_xlfn.XLOOKUP(G3794:G7837,castles_state!A:A,castles_state!D:D,"見つかりません"))</f>
      </c>
      <c r="I3794" s="4"/>
      <c r="J3794" s="12" t="str">
        <f t="array" ref="J3794">IF(I3794:I7837="","",_xlfn.XLOOKUP(I3794:I7837,'参照_姫'!A:A,'参照_姫'!B:B,"見つかりません"))</f>
      </c>
      <c r="K3794" s="4">
        <v>95</v>
      </c>
      <c r="L3794" s="4">
        <v>0</v>
      </c>
      <c r="M3794" s="4"/>
      <c r="N3794" s="4"/>
      <c r="O3794" s="4"/>
      <c r="P3794" s="12" t="str">
        <f t="array" ref="P3794">IF(O3794:O7837="","",_xlfn.XLOOKUP(O3794:O7837,'参照_官位'!A:A,'参照_官位'!B:B,""))</f>
      </c>
      <c r="Q3794" s="12" t="str">
        <f t="array" ref="Q3794">IF(A3794:A7837="","",IFERROR(_xlfn.XLOOKUP(A3794:A7837,castles_state!K:K,castles_state!D:D)&amp;"主",IFERROR(_xlfn.XLOOKUP(A3794:A7837,kunishuClan!D:D,kunishuClan!B:B)&amp;"当主","")))</f>
      </c>
    </row>
    <row r="3795" ht="15.75" customHeight="1">
      <c r="A3795" s="4">
        <v>1401060</v>
      </c>
      <c r="B3795" s="12" t="str">
        <f t="array" ref="B3795">IF(A3795:A7838="","",_xlfn.XLOOKUP(A3795:A7838,'参照_武将'!A:A,'参照_武将'!B:B,"見つかりません"))</f>
      </c>
      <c r="C3795" s="4" t="s">
        <v>548</v>
      </c>
      <c r="D3795" s="4">
        <v>1</v>
      </c>
      <c r="E3795" s="12" t="str">
        <f t="array" ref="E3795">IF(D3795:D7838="","",IFERROR(_xlfn.XLOOKUP(D3795:D7838,'参照_勢力'!A:A,'参照_勢力'!B:B),IFERROR(_xlfn.XLOOKUP(F3795:F7838,kunishuClan!A:A,kunishuClan!B:B),"浪人")))</f>
      </c>
      <c r="F3795" s="4">
        <v>0</v>
      </c>
      <c r="G3795" s="4">
        <v>7</v>
      </c>
      <c r="H3795" s="12" t="str">
        <f t="array" ref="H3795">IF(G3795:G7838="","",_xlfn.XLOOKUP(G3795:G7838,castles_state!A:A,castles_state!D:D,"見つかりません"))</f>
      </c>
      <c r="I3795" s="4"/>
      <c r="J3795" s="12" t="str">
        <f t="array" ref="J3795">IF(I3795:I7838="","",_xlfn.XLOOKUP(I3795:I7838,'参照_姫'!A:A,'参照_姫'!B:B,"見つかりません"))</f>
      </c>
      <c r="K3795" s="4">
        <v>95</v>
      </c>
      <c r="L3795" s="4">
        <v>0</v>
      </c>
      <c r="M3795" s="4"/>
      <c r="N3795" s="4"/>
      <c r="O3795" s="4"/>
      <c r="P3795" s="12" t="str">
        <f t="array" ref="P3795">IF(O3795:O7838="","",_xlfn.XLOOKUP(O3795:O7838,'参照_官位'!A:A,'参照_官位'!B:B,""))</f>
      </c>
      <c r="Q3795" s="12" t="str">
        <f t="array" ref="Q3795">IF(A3795:A7838="","",IFERROR(_xlfn.XLOOKUP(A3795:A7838,castles_state!K:K,castles_state!D:D)&amp;"主",IFERROR(_xlfn.XLOOKUP(A3795:A7838,kunishuClan!D:D,kunishuClan!B:B)&amp;"当主","")))</f>
      </c>
    </row>
    <row r="3796" ht="15.75" customHeight="1">
      <c r="A3796" s="4">
        <v>1401061</v>
      </c>
      <c r="B3796" s="12" t="str">
        <f t="array" ref="B3796">IF(A3796:A7839="","",_xlfn.XLOOKUP(A3796:A7839,'参照_武将'!A:A,'参照_武将'!B:B,"見つかりません"))</f>
      </c>
      <c r="C3796" s="4" t="s">
        <v>548</v>
      </c>
      <c r="D3796" s="4">
        <v>1</v>
      </c>
      <c r="E3796" s="12" t="str">
        <f t="array" ref="E3796">IF(D3796:D7839="","",IFERROR(_xlfn.XLOOKUP(D3796:D7839,'参照_勢力'!A:A,'参照_勢力'!B:B),IFERROR(_xlfn.XLOOKUP(F3796:F7839,kunishuClan!A:A,kunishuClan!B:B),"浪人")))</f>
      </c>
      <c r="F3796" s="4">
        <v>0</v>
      </c>
      <c r="G3796" s="4">
        <v>7</v>
      </c>
      <c r="H3796" s="12" t="str">
        <f t="array" ref="H3796">IF(G3796:G7839="","",_xlfn.XLOOKUP(G3796:G7839,castles_state!A:A,castles_state!D:D,"見つかりません"))</f>
      </c>
      <c r="I3796" s="4"/>
      <c r="J3796" s="12" t="str">
        <f t="array" ref="J3796">IF(I3796:I7839="","",_xlfn.XLOOKUP(I3796:I7839,'参照_姫'!A:A,'参照_姫'!B:B,"見つかりません"))</f>
      </c>
      <c r="K3796" s="4">
        <v>95</v>
      </c>
      <c r="L3796" s="4">
        <v>0</v>
      </c>
      <c r="M3796" s="4"/>
      <c r="N3796" s="4"/>
      <c r="O3796" s="4"/>
      <c r="P3796" s="12" t="str">
        <f t="array" ref="P3796">IF(O3796:O7839="","",_xlfn.XLOOKUP(O3796:O7839,'参照_官位'!A:A,'参照_官位'!B:B,""))</f>
      </c>
      <c r="Q3796" s="12" t="str">
        <f t="array" ref="Q3796">IF(A3796:A7839="","",IFERROR(_xlfn.XLOOKUP(A3796:A7839,castles_state!K:K,castles_state!D:D)&amp;"主",IFERROR(_xlfn.XLOOKUP(A3796:A7839,kunishuClan!D:D,kunishuClan!B:B)&amp;"当主","")))</f>
      </c>
    </row>
    <row r="3797" ht="15.75" customHeight="1">
      <c r="A3797" s="4">
        <v>1401062</v>
      </c>
      <c r="B3797" s="12" t="str">
        <f t="array" ref="B3797">IF(A3797:A7840="","",_xlfn.XLOOKUP(A3797:A7840,'参照_武将'!A:A,'参照_武将'!B:B,"見つかりません"))</f>
      </c>
      <c r="C3797" s="4" t="s">
        <v>548</v>
      </c>
      <c r="D3797" s="4">
        <v>1</v>
      </c>
      <c r="E3797" s="12" t="str">
        <f t="array" ref="E3797">IF(D3797:D7840="","",IFERROR(_xlfn.XLOOKUP(D3797:D7840,'参照_勢力'!A:A,'参照_勢力'!B:B),IFERROR(_xlfn.XLOOKUP(F3797:F7840,kunishuClan!A:A,kunishuClan!B:B),"浪人")))</f>
      </c>
      <c r="F3797" s="4">
        <v>0</v>
      </c>
      <c r="G3797" s="4">
        <v>7</v>
      </c>
      <c r="H3797" s="12" t="str">
        <f t="array" ref="H3797">IF(G3797:G7840="","",_xlfn.XLOOKUP(G3797:G7840,castles_state!A:A,castles_state!D:D,"見つかりません"))</f>
      </c>
      <c r="I3797" s="4"/>
      <c r="J3797" s="12" t="str">
        <f t="array" ref="J3797">IF(I3797:I7840="","",_xlfn.XLOOKUP(I3797:I7840,'参照_姫'!A:A,'参照_姫'!B:B,"見つかりません"))</f>
      </c>
      <c r="K3797" s="4">
        <v>95</v>
      </c>
      <c r="L3797" s="4">
        <v>0</v>
      </c>
      <c r="M3797" s="4"/>
      <c r="N3797" s="4"/>
      <c r="O3797" s="4"/>
      <c r="P3797" s="12" t="str">
        <f t="array" ref="P3797">IF(O3797:O7840="","",_xlfn.XLOOKUP(O3797:O7840,'参照_官位'!A:A,'参照_官位'!B:B,""))</f>
      </c>
      <c r="Q3797" s="12" t="str">
        <f t="array" ref="Q3797">IF(A3797:A7840="","",IFERROR(_xlfn.XLOOKUP(A3797:A7840,castles_state!K:K,castles_state!D:D)&amp;"主",IFERROR(_xlfn.XLOOKUP(A3797:A7840,kunishuClan!D:D,kunishuClan!B:B)&amp;"当主","")))</f>
      </c>
    </row>
    <row r="3798" ht="15.75" customHeight="1">
      <c r="A3798" s="4">
        <v>1401063</v>
      </c>
      <c r="B3798" s="12" t="str">
        <f t="array" ref="B3798">IF(A3798:A7841="","",_xlfn.XLOOKUP(A3798:A7841,'参照_武将'!A:A,'参照_武将'!B:B,"見つかりません"))</f>
      </c>
      <c r="C3798" s="4" t="s">
        <v>548</v>
      </c>
      <c r="D3798" s="4">
        <v>1</v>
      </c>
      <c r="E3798" s="12" t="str">
        <f t="array" ref="E3798">IF(D3798:D7841="","",IFERROR(_xlfn.XLOOKUP(D3798:D7841,'参照_勢力'!A:A,'参照_勢力'!B:B),IFERROR(_xlfn.XLOOKUP(F3798:F7841,kunishuClan!A:A,kunishuClan!B:B),"浪人")))</f>
      </c>
      <c r="F3798" s="4">
        <v>0</v>
      </c>
      <c r="G3798" s="4">
        <v>7</v>
      </c>
      <c r="H3798" s="12" t="str">
        <f t="array" ref="H3798">IF(G3798:G7841="","",_xlfn.XLOOKUP(G3798:G7841,castles_state!A:A,castles_state!D:D,"見つかりません"))</f>
      </c>
      <c r="I3798" s="4"/>
      <c r="J3798" s="12" t="str">
        <f t="array" ref="J3798">IF(I3798:I7841="","",_xlfn.XLOOKUP(I3798:I7841,'参照_姫'!A:A,'参照_姫'!B:B,"見つかりません"))</f>
      </c>
      <c r="K3798" s="4">
        <v>95</v>
      </c>
      <c r="L3798" s="4">
        <v>0</v>
      </c>
      <c r="M3798" s="4"/>
      <c r="N3798" s="4"/>
      <c r="O3798" s="4"/>
      <c r="P3798" s="12" t="str">
        <f t="array" ref="P3798">IF(O3798:O7841="","",_xlfn.XLOOKUP(O3798:O7841,'参照_官位'!A:A,'参照_官位'!B:B,""))</f>
      </c>
      <c r="Q3798" s="12" t="str">
        <f t="array" ref="Q3798">IF(A3798:A7841="","",IFERROR(_xlfn.XLOOKUP(A3798:A7841,castles_state!K:K,castles_state!D:D)&amp;"主",IFERROR(_xlfn.XLOOKUP(A3798:A7841,kunishuClan!D:D,kunishuClan!B:B)&amp;"当主","")))</f>
      </c>
    </row>
    <row r="3799" ht="15.75" customHeight="1">
      <c r="A3799" s="4">
        <v>1401064</v>
      </c>
      <c r="B3799" s="12" t="str">
        <f t="array" ref="B3799">IF(A3799:A7842="","",_xlfn.XLOOKUP(A3799:A7842,'参照_武将'!A:A,'参照_武将'!B:B,"見つかりません"))</f>
      </c>
      <c r="C3799" s="4" t="s">
        <v>548</v>
      </c>
      <c r="D3799" s="4">
        <v>1</v>
      </c>
      <c r="E3799" s="12" t="str">
        <f t="array" ref="E3799">IF(D3799:D7842="","",IFERROR(_xlfn.XLOOKUP(D3799:D7842,'参照_勢力'!A:A,'参照_勢力'!B:B),IFERROR(_xlfn.XLOOKUP(F3799:F7842,kunishuClan!A:A,kunishuClan!B:B),"浪人")))</f>
      </c>
      <c r="F3799" s="4">
        <v>0</v>
      </c>
      <c r="G3799" s="4">
        <v>7</v>
      </c>
      <c r="H3799" s="12" t="str">
        <f t="array" ref="H3799">IF(G3799:G7842="","",_xlfn.XLOOKUP(G3799:G7842,castles_state!A:A,castles_state!D:D,"見つかりません"))</f>
      </c>
      <c r="I3799" s="4"/>
      <c r="J3799" s="12" t="str">
        <f t="array" ref="J3799">IF(I3799:I7842="","",_xlfn.XLOOKUP(I3799:I7842,'参照_姫'!A:A,'参照_姫'!B:B,"見つかりません"))</f>
      </c>
      <c r="K3799" s="4">
        <v>95</v>
      </c>
      <c r="L3799" s="4">
        <v>0</v>
      </c>
      <c r="M3799" s="4"/>
      <c r="N3799" s="4"/>
      <c r="O3799" s="4"/>
      <c r="P3799" s="12" t="str">
        <f t="array" ref="P3799">IF(O3799:O7842="","",_xlfn.XLOOKUP(O3799:O7842,'参照_官位'!A:A,'参照_官位'!B:B,""))</f>
      </c>
      <c r="Q3799" s="12" t="str">
        <f t="array" ref="Q3799">IF(A3799:A7842="","",IFERROR(_xlfn.XLOOKUP(A3799:A7842,castles_state!K:K,castles_state!D:D)&amp;"主",IFERROR(_xlfn.XLOOKUP(A3799:A7842,kunishuClan!D:D,kunishuClan!B:B)&amp;"当主","")))</f>
      </c>
    </row>
    <row r="3800" ht="15.75" customHeight="1">
      <c r="A3800" s="4">
        <v>1401065</v>
      </c>
      <c r="B3800" s="12" t="str">
        <f t="array" ref="B3800">IF(A3800:A7843="","",_xlfn.XLOOKUP(A3800:A7843,'参照_武将'!A:A,'参照_武将'!B:B,"見つかりません"))</f>
      </c>
      <c r="C3800" s="4" t="s">
        <v>548</v>
      </c>
      <c r="D3800" s="4">
        <v>1</v>
      </c>
      <c r="E3800" s="12" t="str">
        <f t="array" ref="E3800">IF(D3800:D7843="","",IFERROR(_xlfn.XLOOKUP(D3800:D7843,'参照_勢力'!A:A,'参照_勢力'!B:B),IFERROR(_xlfn.XLOOKUP(F3800:F7843,kunishuClan!A:A,kunishuClan!B:B),"浪人")))</f>
      </c>
      <c r="F3800" s="4">
        <v>0</v>
      </c>
      <c r="G3800" s="4">
        <v>7</v>
      </c>
      <c r="H3800" s="12" t="str">
        <f t="array" ref="H3800">IF(G3800:G7843="","",_xlfn.XLOOKUP(G3800:G7843,castles_state!A:A,castles_state!D:D,"見つかりません"))</f>
      </c>
      <c r="I3800" s="4"/>
      <c r="J3800" s="12" t="str">
        <f t="array" ref="J3800">IF(I3800:I7843="","",_xlfn.XLOOKUP(I3800:I7843,'参照_姫'!A:A,'参照_姫'!B:B,"見つかりません"))</f>
      </c>
      <c r="K3800" s="4">
        <v>95</v>
      </c>
      <c r="L3800" s="4">
        <v>0</v>
      </c>
      <c r="M3800" s="4"/>
      <c r="N3800" s="4"/>
      <c r="O3800" s="4"/>
      <c r="P3800" s="12" t="str">
        <f t="array" ref="P3800">IF(O3800:O7843="","",_xlfn.XLOOKUP(O3800:O7843,'参照_官位'!A:A,'参照_官位'!B:B,""))</f>
      </c>
      <c r="Q3800" s="12" t="str">
        <f t="array" ref="Q3800">IF(A3800:A7843="","",IFERROR(_xlfn.XLOOKUP(A3800:A7843,castles_state!K:K,castles_state!D:D)&amp;"主",IFERROR(_xlfn.XLOOKUP(A3800:A7843,kunishuClan!D:D,kunishuClan!B:B)&amp;"当主","")))</f>
      </c>
    </row>
    <row r="3801" ht="15.75" customHeight="1">
      <c r="A3801" s="4">
        <v>1401066</v>
      </c>
      <c r="B3801" s="12" t="str">
        <f t="array" ref="B3801">IF(A3801:A7844="","",_xlfn.XLOOKUP(A3801:A7844,'参照_武将'!A:A,'参照_武将'!B:B,"見つかりません"))</f>
      </c>
      <c r="C3801" s="4" t="s">
        <v>548</v>
      </c>
      <c r="D3801" s="4">
        <v>0</v>
      </c>
      <c r="E3801" s="12" t="str">
        <f t="array" ref="E3801">IF(D3801:D7844="","",IFERROR(_xlfn.XLOOKUP(D3801:D7844,'参照_勢力'!A:A,'参照_勢力'!B:B),IFERROR(_xlfn.XLOOKUP(F3801:F7844,kunishuClan!A:A,kunishuClan!B:B),"浪人")))</f>
      </c>
      <c r="F3801" s="4">
        <v>0</v>
      </c>
      <c r="G3801" s="4">
        <v>26</v>
      </c>
      <c r="H3801" s="12" t="str">
        <f t="array" ref="H3801">IF(G3801:G7844="","",_xlfn.XLOOKUP(G3801:G7844,castles_state!A:A,castles_state!D:D,"見つかりません"))</f>
      </c>
      <c r="I3801" s="4"/>
      <c r="J3801" s="12" t="str">
        <f t="array" ref="J3801">IF(I3801:I7844="","",_xlfn.XLOOKUP(I3801:I7844,'参照_姫'!A:A,'参照_姫'!B:B,"見つかりません"))</f>
      </c>
      <c r="K3801" s="4">
        <v>50</v>
      </c>
      <c r="L3801" s="4">
        <v>0</v>
      </c>
      <c r="M3801" s="4"/>
      <c r="N3801" s="4"/>
      <c r="O3801" s="4"/>
      <c r="P3801" s="12" t="str">
        <f t="array" ref="P3801">IF(O3801:O7844="","",_xlfn.XLOOKUP(O3801:O7844,'参照_官位'!A:A,'参照_官位'!B:B,""))</f>
      </c>
      <c r="Q3801" s="12" t="str">
        <f t="array" ref="Q3801">IF(A3801:A7844="","",IFERROR(_xlfn.XLOOKUP(A3801:A7844,castles_state!K:K,castles_state!D:D)&amp;"主",IFERROR(_xlfn.XLOOKUP(A3801:A7844,kunishuClan!D:D,kunishuClan!B:B)&amp;"当主","")))</f>
      </c>
    </row>
    <row r="3802" ht="15.75" customHeight="1">
      <c r="A3802" s="4">
        <v>1401067</v>
      </c>
      <c r="B3802" s="12" t="str">
        <f t="array" ref="B3802">IF(A3802:A7845="","",_xlfn.XLOOKUP(A3802:A7845,'参照_武将'!A:A,'参照_武将'!B:B,"見つかりません"))</f>
      </c>
      <c r="C3802" s="4" t="s">
        <v>548</v>
      </c>
      <c r="D3802" s="4">
        <v>0</v>
      </c>
      <c r="E3802" s="12" t="str">
        <f t="array" ref="E3802">IF(D3802:D7845="","",IFERROR(_xlfn.XLOOKUP(D3802:D7845,'参照_勢力'!A:A,'参照_勢力'!B:B),IFERROR(_xlfn.XLOOKUP(F3802:F7845,kunishuClan!A:A,kunishuClan!B:B),"浪人")))</f>
      </c>
      <c r="F3802" s="4">
        <v>0</v>
      </c>
      <c r="G3802" s="4">
        <v>43</v>
      </c>
      <c r="H3802" s="12" t="str">
        <f t="array" ref="H3802">IF(G3802:G7845="","",_xlfn.XLOOKUP(G3802:G7845,castles_state!A:A,castles_state!D:D,"見つかりません"))</f>
      </c>
      <c r="I3802" s="4"/>
      <c r="J3802" s="12" t="str">
        <f t="array" ref="J3802">IF(I3802:I7845="","",_xlfn.XLOOKUP(I3802:I7845,'参照_姫'!A:A,'参照_姫'!B:B,"見つかりません"))</f>
      </c>
      <c r="K3802" s="4">
        <v>50</v>
      </c>
      <c r="L3802" s="4">
        <v>0</v>
      </c>
      <c r="M3802" s="4"/>
      <c r="N3802" s="4"/>
      <c r="O3802" s="4"/>
      <c r="P3802" s="12" t="str">
        <f t="array" ref="P3802">IF(O3802:O7845="","",_xlfn.XLOOKUP(O3802:O7845,'参照_官位'!A:A,'参照_官位'!B:B,""))</f>
      </c>
      <c r="Q3802" s="12" t="str">
        <f t="array" ref="Q3802">IF(A3802:A7845="","",IFERROR(_xlfn.XLOOKUP(A3802:A7845,castles_state!K:K,castles_state!D:D)&amp;"主",IFERROR(_xlfn.XLOOKUP(A3802:A7845,kunishuClan!D:D,kunishuClan!B:B)&amp;"当主","")))</f>
      </c>
    </row>
    <row r="3803" ht="15.75" customHeight="1">
      <c r="A3803" s="4">
        <v>1401068</v>
      </c>
      <c r="B3803" s="12" t="str">
        <f t="array" ref="B3803">IF(A3803:A7846="","",_xlfn.XLOOKUP(A3803:A7846,'参照_武将'!A:A,'参照_武将'!B:B,"見つかりません"))</f>
      </c>
      <c r="C3803" s="4" t="s">
        <v>548</v>
      </c>
      <c r="D3803" s="4">
        <v>6</v>
      </c>
      <c r="E3803" s="12" t="str">
        <f t="array" ref="E3803">IF(D3803:D7846="","",IFERROR(_xlfn.XLOOKUP(D3803:D7846,'参照_勢力'!A:A,'参照_勢力'!B:B),IFERROR(_xlfn.XLOOKUP(F3803:F7846,kunishuClan!A:A,kunishuClan!B:B),"浪人")))</f>
      </c>
      <c r="F3803" s="4">
        <v>0</v>
      </c>
      <c r="G3803" s="4">
        <v>183</v>
      </c>
      <c r="H3803" s="12" t="str">
        <f t="array" ref="H3803">IF(G3803:G7846="","",_xlfn.XLOOKUP(G3803:G7846,castles_state!A:A,castles_state!D:D,"見つかりません"))</f>
      </c>
      <c r="I3803" s="4"/>
      <c r="J3803" s="12" t="str">
        <f t="array" ref="J3803">IF(I3803:I7846="","",_xlfn.XLOOKUP(I3803:I7846,'参照_姫'!A:A,'参照_姫'!B:B,"見つかりません"))</f>
      </c>
      <c r="K3803" s="4">
        <v>95</v>
      </c>
      <c r="L3803" s="4">
        <v>0</v>
      </c>
      <c r="M3803" s="4"/>
      <c r="N3803" s="4"/>
      <c r="O3803" s="4"/>
      <c r="P3803" s="12" t="str">
        <f t="array" ref="P3803">IF(O3803:O7846="","",_xlfn.XLOOKUP(O3803:O7846,'参照_官位'!A:A,'参照_官位'!B:B,""))</f>
      </c>
      <c r="Q3803" s="12" t="str">
        <f t="array" ref="Q3803">IF(A3803:A7846="","",IFERROR(_xlfn.XLOOKUP(A3803:A7846,castles_state!K:K,castles_state!D:D)&amp;"主",IFERROR(_xlfn.XLOOKUP(A3803:A7846,kunishuClan!D:D,kunishuClan!B:B)&amp;"当主","")))</f>
      </c>
    </row>
    <row r="3804" ht="15.75" customHeight="1">
      <c r="A3804" s="4">
        <v>1401069</v>
      </c>
      <c r="B3804" s="12" t="str">
        <f t="array" ref="B3804">IF(A3804:A7847="","",_xlfn.XLOOKUP(A3804:A7847,'参照_武将'!A:A,'参照_武将'!B:B,"見つかりません"))</f>
      </c>
      <c r="C3804" s="4" t="s">
        <v>548</v>
      </c>
      <c r="D3804" s="4">
        <v>6</v>
      </c>
      <c r="E3804" s="12" t="str">
        <f t="array" ref="E3804">IF(D3804:D7847="","",IFERROR(_xlfn.XLOOKUP(D3804:D7847,'参照_勢力'!A:A,'参照_勢力'!B:B),IFERROR(_xlfn.XLOOKUP(F3804:F7847,kunishuClan!A:A,kunishuClan!B:B),"浪人")))</f>
      </c>
      <c r="F3804" s="4">
        <v>0</v>
      </c>
      <c r="G3804" s="4">
        <v>183</v>
      </c>
      <c r="H3804" s="12" t="str">
        <f t="array" ref="H3804">IF(G3804:G7847="","",_xlfn.XLOOKUP(G3804:G7847,castles_state!A:A,castles_state!D:D,"見つかりません"))</f>
      </c>
      <c r="I3804" s="4"/>
      <c r="J3804" s="12" t="str">
        <f t="array" ref="J3804">IF(I3804:I7847="","",_xlfn.XLOOKUP(I3804:I7847,'参照_姫'!A:A,'参照_姫'!B:B,"見つかりません"))</f>
      </c>
      <c r="K3804" s="4">
        <v>95</v>
      </c>
      <c r="L3804" s="4">
        <v>0</v>
      </c>
      <c r="M3804" s="4"/>
      <c r="N3804" s="4"/>
      <c r="O3804" s="4"/>
      <c r="P3804" s="12" t="str">
        <f t="array" ref="P3804">IF(O3804:O7847="","",_xlfn.XLOOKUP(O3804:O7847,'参照_官位'!A:A,'参照_官位'!B:B,""))</f>
      </c>
      <c r="Q3804" s="12" t="str">
        <f t="array" ref="Q3804">IF(A3804:A7847="","",IFERROR(_xlfn.XLOOKUP(A3804:A7847,castles_state!K:K,castles_state!D:D)&amp;"主",IFERROR(_xlfn.XLOOKUP(A3804:A7847,kunishuClan!D:D,kunishuClan!B:B)&amp;"当主","")))</f>
      </c>
    </row>
    <row r="3805" ht="15.75" customHeight="1">
      <c r="A3805" s="4">
        <v>1401070</v>
      </c>
      <c r="B3805" s="12" t="str">
        <f t="array" ref="B3805">IF(A3805:A7848="","",_xlfn.XLOOKUP(A3805:A7848,'参照_武将'!A:A,'参照_武将'!B:B,"見つかりません"))</f>
      </c>
      <c r="C3805" s="4" t="s">
        <v>548</v>
      </c>
      <c r="D3805" s="4">
        <v>1</v>
      </c>
      <c r="E3805" s="12" t="str">
        <f t="array" ref="E3805">IF(D3805:D7848="","",IFERROR(_xlfn.XLOOKUP(D3805:D7848,'参照_勢力'!A:A,'参照_勢力'!B:B),IFERROR(_xlfn.XLOOKUP(F3805:F7848,kunishuClan!A:A,kunishuClan!B:B),"浪人")))</f>
      </c>
      <c r="F3805" s="4">
        <v>0</v>
      </c>
      <c r="G3805" s="4">
        <v>183</v>
      </c>
      <c r="H3805" s="12" t="str">
        <f t="array" ref="H3805">IF(G3805:G7848="","",_xlfn.XLOOKUP(G3805:G7848,castles_state!A:A,castles_state!D:D,"見つかりません"))</f>
      </c>
      <c r="I3805" s="4"/>
      <c r="J3805" s="12" t="str">
        <f t="array" ref="J3805">IF(I3805:I7848="","",_xlfn.XLOOKUP(I3805:I7848,'参照_姫'!A:A,'参照_姫'!B:B,"見つかりません"))</f>
      </c>
      <c r="K3805" s="4">
        <v>95</v>
      </c>
      <c r="L3805" s="4">
        <v>0</v>
      </c>
      <c r="M3805" s="4"/>
      <c r="N3805" s="4"/>
      <c r="O3805" s="4"/>
      <c r="P3805" s="12" t="str">
        <f t="array" ref="P3805">IF(O3805:O7848="","",_xlfn.XLOOKUP(O3805:O7848,'参照_官位'!A:A,'参照_官位'!B:B,""))</f>
      </c>
      <c r="Q3805" s="12" t="str">
        <f t="array" ref="Q3805">IF(A3805:A7848="","",IFERROR(_xlfn.XLOOKUP(A3805:A7848,castles_state!K:K,castles_state!D:D)&amp;"主",IFERROR(_xlfn.XLOOKUP(A3805:A7848,kunishuClan!D:D,kunishuClan!B:B)&amp;"当主","")))</f>
      </c>
    </row>
    <row r="3806" ht="15.75" customHeight="1">
      <c r="A3806" s="4">
        <v>1401071</v>
      </c>
      <c r="B3806" s="12" t="str">
        <f t="array" ref="B3806">IF(A3806:A7849="","",_xlfn.XLOOKUP(A3806:A7849,'参照_武将'!A:A,'参照_武将'!B:B,"見つかりません"))</f>
      </c>
      <c r="C3806" s="4" t="s">
        <v>548</v>
      </c>
      <c r="D3806" s="4">
        <v>0</v>
      </c>
      <c r="E3806" s="12" t="str">
        <f t="array" ref="E3806">IF(D3806:D7849="","",IFERROR(_xlfn.XLOOKUP(D3806:D7849,'参照_勢力'!A:A,'参照_勢力'!B:B),IFERROR(_xlfn.XLOOKUP(F3806:F7849,kunishuClan!A:A,kunishuClan!B:B),"浪人")))</f>
      </c>
      <c r="F3806" s="4">
        <v>0</v>
      </c>
      <c r="G3806" s="4">
        <v>183</v>
      </c>
      <c r="H3806" s="12" t="str">
        <f t="array" ref="H3806">IF(G3806:G7849="","",_xlfn.XLOOKUP(G3806:G7849,castles_state!A:A,castles_state!D:D,"見つかりません"))</f>
      </c>
      <c r="I3806" s="4"/>
      <c r="J3806" s="12" t="str">
        <f t="array" ref="J3806">IF(I3806:I7849="","",_xlfn.XLOOKUP(I3806:I7849,'参照_姫'!A:A,'参照_姫'!B:B,"見つかりません"))</f>
      </c>
      <c r="K3806" s="4">
        <v>50</v>
      </c>
      <c r="L3806" s="4">
        <v>0</v>
      </c>
      <c r="M3806" s="4"/>
      <c r="N3806" s="4"/>
      <c r="O3806" s="4"/>
      <c r="P3806" s="12" t="str">
        <f t="array" ref="P3806">IF(O3806:O7849="","",_xlfn.XLOOKUP(O3806:O7849,'参照_官位'!A:A,'参照_官位'!B:B,""))</f>
      </c>
      <c r="Q3806" s="12" t="str">
        <f t="array" ref="Q3806">IF(A3806:A7849="","",IFERROR(_xlfn.XLOOKUP(A3806:A7849,castles_state!K:K,castles_state!D:D)&amp;"主",IFERROR(_xlfn.XLOOKUP(A3806:A7849,kunishuClan!D:D,kunishuClan!B:B)&amp;"当主","")))</f>
      </c>
    </row>
    <row r="3807" ht="15.75" customHeight="1">
      <c r="A3807" s="4">
        <v>1401072</v>
      </c>
      <c r="B3807" s="12" t="str">
        <f t="array" ref="B3807">IF(A3807:A7850="","",_xlfn.XLOOKUP(A3807:A7850,'参照_武将'!A:A,'参照_武将'!B:B,"見つかりません"))</f>
      </c>
      <c r="C3807" s="4" t="s">
        <v>548</v>
      </c>
      <c r="D3807" s="4">
        <v>6</v>
      </c>
      <c r="E3807" s="12" t="str">
        <f t="array" ref="E3807">IF(D3807:D7850="","",IFERROR(_xlfn.XLOOKUP(D3807:D7850,'参照_勢力'!A:A,'参照_勢力'!B:B),IFERROR(_xlfn.XLOOKUP(F3807:F7850,kunishuClan!A:A,kunishuClan!B:B),"浪人")))</f>
      </c>
      <c r="F3807" s="4">
        <v>0</v>
      </c>
      <c r="G3807" s="4">
        <v>183</v>
      </c>
      <c r="H3807" s="12" t="str">
        <f t="array" ref="H3807">IF(G3807:G7850="","",_xlfn.XLOOKUP(G3807:G7850,castles_state!A:A,castles_state!D:D,"見つかりません"))</f>
      </c>
      <c r="I3807" s="4"/>
      <c r="J3807" s="12" t="str">
        <f t="array" ref="J3807">IF(I3807:I7850="","",_xlfn.XLOOKUP(I3807:I7850,'参照_姫'!A:A,'参照_姫'!B:B,"見つかりません"))</f>
      </c>
      <c r="K3807" s="4">
        <v>95</v>
      </c>
      <c r="L3807" s="4">
        <v>0</v>
      </c>
      <c r="M3807" s="4"/>
      <c r="N3807" s="4"/>
      <c r="O3807" s="4"/>
      <c r="P3807" s="12" t="str">
        <f t="array" ref="P3807">IF(O3807:O7850="","",_xlfn.XLOOKUP(O3807:O7850,'参照_官位'!A:A,'参照_官位'!B:B,""))</f>
      </c>
      <c r="Q3807" s="12" t="str">
        <f t="array" ref="Q3807">IF(A3807:A7850="","",IFERROR(_xlfn.XLOOKUP(A3807:A7850,castles_state!K:K,castles_state!D:D)&amp;"主",IFERROR(_xlfn.XLOOKUP(A3807:A7850,kunishuClan!D:D,kunishuClan!B:B)&amp;"当主","")))</f>
      </c>
    </row>
    <row r="3808" ht="15.75" customHeight="1">
      <c r="A3808" s="4">
        <v>1401073</v>
      </c>
      <c r="B3808" s="12" t="str">
        <f t="array" ref="B3808">IF(A3808:A7851="","",_xlfn.XLOOKUP(A3808:A7851,'参照_武将'!A:A,'参照_武将'!B:B,"見つかりません"))</f>
      </c>
      <c r="C3808" s="4" t="s">
        <v>548</v>
      </c>
      <c r="D3808" s="4">
        <v>0</v>
      </c>
      <c r="E3808" s="12" t="str">
        <f t="array" ref="E3808">IF(D3808:D7851="","",IFERROR(_xlfn.XLOOKUP(D3808:D7851,'参照_勢力'!A:A,'参照_勢力'!B:B),IFERROR(_xlfn.XLOOKUP(F3808:F7851,kunishuClan!A:A,kunishuClan!B:B),"浪人")))</f>
      </c>
      <c r="F3808" s="4">
        <v>0</v>
      </c>
      <c r="G3808" s="4">
        <v>183</v>
      </c>
      <c r="H3808" s="12" t="str">
        <f t="array" ref="H3808">IF(G3808:G7851="","",_xlfn.XLOOKUP(G3808:G7851,castles_state!A:A,castles_state!D:D,"見つかりません"))</f>
      </c>
      <c r="I3808" s="4"/>
      <c r="J3808" s="12" t="str">
        <f t="array" ref="J3808">IF(I3808:I7851="","",_xlfn.XLOOKUP(I3808:I7851,'参照_姫'!A:A,'参照_姫'!B:B,"見つかりません"))</f>
      </c>
      <c r="K3808" s="4">
        <v>50</v>
      </c>
      <c r="L3808" s="4">
        <v>0</v>
      </c>
      <c r="M3808" s="4"/>
      <c r="N3808" s="4"/>
      <c r="O3808" s="4"/>
      <c r="P3808" s="12" t="str">
        <f t="array" ref="P3808">IF(O3808:O7851="","",_xlfn.XLOOKUP(O3808:O7851,'参照_官位'!A:A,'参照_官位'!B:B,""))</f>
      </c>
      <c r="Q3808" s="12" t="str">
        <f t="array" ref="Q3808">IF(A3808:A7851="","",IFERROR(_xlfn.XLOOKUP(A3808:A7851,castles_state!K:K,castles_state!D:D)&amp;"主",IFERROR(_xlfn.XLOOKUP(A3808:A7851,kunishuClan!D:D,kunishuClan!B:B)&amp;"当主","")))</f>
      </c>
    </row>
    <row r="3809" ht="15.75" customHeight="1">
      <c r="A3809" s="4">
        <v>1401074</v>
      </c>
      <c r="B3809" s="12" t="str">
        <f t="array" ref="B3809">IF(A3809:A7852="","",_xlfn.XLOOKUP(A3809:A7852,'参照_武将'!A:A,'参照_武将'!B:B,"見つかりません"))</f>
      </c>
      <c r="C3809" s="4" t="s">
        <v>548</v>
      </c>
      <c r="D3809" s="4">
        <v>0</v>
      </c>
      <c r="E3809" s="12" t="str">
        <f t="array" ref="E3809">IF(D3809:D7852="","",IFERROR(_xlfn.XLOOKUP(D3809:D7852,'参照_勢力'!A:A,'参照_勢力'!B:B),IFERROR(_xlfn.XLOOKUP(F3809:F7852,kunishuClan!A:A,kunishuClan!B:B),"浪人")))</f>
      </c>
      <c r="F3809" s="4">
        <v>0</v>
      </c>
      <c r="G3809" s="4">
        <v>183</v>
      </c>
      <c r="H3809" s="12" t="str">
        <f t="array" ref="H3809">IF(G3809:G7852="","",_xlfn.XLOOKUP(G3809:G7852,castles_state!A:A,castles_state!D:D,"見つかりません"))</f>
      </c>
      <c r="I3809" s="4"/>
      <c r="J3809" s="12" t="str">
        <f t="array" ref="J3809">IF(I3809:I7852="","",_xlfn.XLOOKUP(I3809:I7852,'参照_姫'!A:A,'参照_姫'!B:B,"見つかりません"))</f>
      </c>
      <c r="K3809" s="4">
        <v>50</v>
      </c>
      <c r="L3809" s="4">
        <v>0</v>
      </c>
      <c r="M3809" s="4"/>
      <c r="N3809" s="4"/>
      <c r="O3809" s="4"/>
      <c r="P3809" s="12" t="str">
        <f t="array" ref="P3809">IF(O3809:O7852="","",_xlfn.XLOOKUP(O3809:O7852,'参照_官位'!A:A,'参照_官位'!B:B,""))</f>
      </c>
      <c r="Q3809" s="12" t="str">
        <f t="array" ref="Q3809">IF(A3809:A7852="","",IFERROR(_xlfn.XLOOKUP(A3809:A7852,castles_state!K:K,castles_state!D:D)&amp;"主",IFERROR(_xlfn.XLOOKUP(A3809:A7852,kunishuClan!D:D,kunishuClan!B:B)&amp;"当主","")))</f>
      </c>
    </row>
    <row r="3810" ht="15.75" customHeight="1">
      <c r="A3810" s="4">
        <v>1401075</v>
      </c>
      <c r="B3810" s="12" t="str">
        <f t="array" ref="B3810">IF(A3810:A7853="","",_xlfn.XLOOKUP(A3810:A7853,'参照_武将'!A:A,'参照_武将'!B:B,"見つかりません"))</f>
      </c>
      <c r="C3810" s="4" t="s">
        <v>548</v>
      </c>
      <c r="D3810" s="4">
        <v>1</v>
      </c>
      <c r="E3810" s="12" t="str">
        <f t="array" ref="E3810">IF(D3810:D7853="","",IFERROR(_xlfn.XLOOKUP(D3810:D7853,'参照_勢力'!A:A,'参照_勢力'!B:B),IFERROR(_xlfn.XLOOKUP(F3810:F7853,kunishuClan!A:A,kunishuClan!B:B),"浪人")))</f>
      </c>
      <c r="F3810" s="4">
        <v>0</v>
      </c>
      <c r="G3810" s="4">
        <v>7</v>
      </c>
      <c r="H3810" s="12" t="str">
        <f t="array" ref="H3810">IF(G3810:G7853="","",_xlfn.XLOOKUP(G3810:G7853,castles_state!A:A,castles_state!D:D,"見つかりません"))</f>
      </c>
      <c r="I3810" s="4"/>
      <c r="J3810" s="12" t="str">
        <f t="array" ref="J3810">IF(I3810:I7853="","",_xlfn.XLOOKUP(I3810:I7853,'参照_姫'!A:A,'参照_姫'!B:B,"見つかりません"))</f>
      </c>
      <c r="K3810" s="4">
        <v>95</v>
      </c>
      <c r="L3810" s="4">
        <v>0</v>
      </c>
      <c r="M3810" s="4"/>
      <c r="N3810" s="4"/>
      <c r="O3810" s="4"/>
      <c r="P3810" s="12" t="str">
        <f t="array" ref="P3810">IF(O3810:O7853="","",_xlfn.XLOOKUP(O3810:O7853,'参照_官位'!A:A,'参照_官位'!B:B,""))</f>
      </c>
      <c r="Q3810" s="12" t="str">
        <f t="array" ref="Q3810">IF(A3810:A7853="","",IFERROR(_xlfn.XLOOKUP(A3810:A7853,castles_state!K:K,castles_state!D:D)&amp;"主",IFERROR(_xlfn.XLOOKUP(A3810:A7853,kunishuClan!D:D,kunishuClan!B:B)&amp;"当主","")))</f>
      </c>
    </row>
    <row r="3811" ht="15.75" customHeight="1">
      <c r="A3811" s="4">
        <v>1401076</v>
      </c>
      <c r="B3811" s="12" t="str">
        <f t="array" ref="B3811">IF(A3811:A7854="","",_xlfn.XLOOKUP(A3811:A7854,'参照_武将'!A:A,'参照_武将'!B:B,"見つかりません"))</f>
      </c>
      <c r="C3811" s="4" t="s">
        <v>548</v>
      </c>
      <c r="D3811" s="4">
        <v>1</v>
      </c>
      <c r="E3811" s="12" t="str">
        <f t="array" ref="E3811">IF(D3811:D7854="","",IFERROR(_xlfn.XLOOKUP(D3811:D7854,'参照_勢力'!A:A,'参照_勢力'!B:B),IFERROR(_xlfn.XLOOKUP(F3811:F7854,kunishuClan!A:A,kunishuClan!B:B),"浪人")))</f>
      </c>
      <c r="F3811" s="4">
        <v>0</v>
      </c>
      <c r="G3811" s="4">
        <v>7</v>
      </c>
      <c r="H3811" s="12" t="str">
        <f t="array" ref="H3811">IF(G3811:G7854="","",_xlfn.XLOOKUP(G3811:G7854,castles_state!A:A,castles_state!D:D,"見つかりません"))</f>
      </c>
      <c r="I3811" s="4"/>
      <c r="J3811" s="12" t="str">
        <f t="array" ref="J3811">IF(I3811:I7854="","",_xlfn.XLOOKUP(I3811:I7854,'参照_姫'!A:A,'参照_姫'!B:B,"見つかりません"))</f>
      </c>
      <c r="K3811" s="4">
        <v>95</v>
      </c>
      <c r="L3811" s="4">
        <v>0</v>
      </c>
      <c r="M3811" s="4"/>
      <c r="N3811" s="4"/>
      <c r="O3811" s="4"/>
      <c r="P3811" s="12" t="str">
        <f t="array" ref="P3811">IF(O3811:O7854="","",_xlfn.XLOOKUP(O3811:O7854,'参照_官位'!A:A,'参照_官位'!B:B,""))</f>
      </c>
      <c r="Q3811" s="12" t="str">
        <f t="array" ref="Q3811">IF(A3811:A7854="","",IFERROR(_xlfn.XLOOKUP(A3811:A7854,castles_state!K:K,castles_state!D:D)&amp;"主",IFERROR(_xlfn.XLOOKUP(A3811:A7854,kunishuClan!D:D,kunishuClan!B:B)&amp;"当主","")))</f>
      </c>
    </row>
    <row r="3812" ht="15.75" customHeight="1">
      <c r="A3812" s="4">
        <v>1401077</v>
      </c>
      <c r="B3812" s="12" t="str">
        <f t="array" ref="B3812">IF(A3812:A7855="","",_xlfn.XLOOKUP(A3812:A7855,'参照_武将'!A:A,'参照_武将'!B:B,"見つかりません"))</f>
      </c>
      <c r="C3812" s="4" t="s">
        <v>548</v>
      </c>
      <c r="D3812" s="4">
        <v>1</v>
      </c>
      <c r="E3812" s="12" t="str">
        <f t="array" ref="E3812">IF(D3812:D7855="","",IFERROR(_xlfn.XLOOKUP(D3812:D7855,'参照_勢力'!A:A,'参照_勢力'!B:B),IFERROR(_xlfn.XLOOKUP(F3812:F7855,kunishuClan!A:A,kunishuClan!B:B),"浪人")))</f>
      </c>
      <c r="F3812" s="4">
        <v>0</v>
      </c>
      <c r="G3812" s="4">
        <v>7</v>
      </c>
      <c r="H3812" s="12" t="str">
        <f t="array" ref="H3812">IF(G3812:G7855="","",_xlfn.XLOOKUP(G3812:G7855,castles_state!A:A,castles_state!D:D,"見つかりません"))</f>
      </c>
      <c r="I3812" s="4"/>
      <c r="J3812" s="12" t="str">
        <f t="array" ref="J3812">IF(I3812:I7855="","",_xlfn.XLOOKUP(I3812:I7855,'参照_姫'!A:A,'参照_姫'!B:B,"見つかりません"))</f>
      </c>
      <c r="K3812" s="4">
        <v>95</v>
      </c>
      <c r="L3812" s="4">
        <v>0</v>
      </c>
      <c r="M3812" s="4"/>
      <c r="N3812" s="4"/>
      <c r="O3812" s="4"/>
      <c r="P3812" s="12" t="str">
        <f t="array" ref="P3812">IF(O3812:O7855="","",_xlfn.XLOOKUP(O3812:O7855,'参照_官位'!A:A,'参照_官位'!B:B,""))</f>
      </c>
      <c r="Q3812" s="12" t="str">
        <f t="array" ref="Q3812">IF(A3812:A7855="","",IFERROR(_xlfn.XLOOKUP(A3812:A7855,castles_state!K:K,castles_state!D:D)&amp;"主",IFERROR(_xlfn.XLOOKUP(A3812:A7855,kunishuClan!D:D,kunishuClan!B:B)&amp;"当主","")))</f>
      </c>
    </row>
    <row r="3813" ht="15.75" customHeight="1">
      <c r="A3813" s="4">
        <v>1401078</v>
      </c>
      <c r="B3813" s="12" t="str">
        <f t="array" ref="B3813">IF(A3813:A7856="","",_xlfn.XLOOKUP(A3813:A7856,'参照_武将'!A:A,'参照_武将'!B:B,"見つかりません"))</f>
      </c>
      <c r="C3813" s="4" t="s">
        <v>548</v>
      </c>
      <c r="D3813" s="4">
        <v>1</v>
      </c>
      <c r="E3813" s="12" t="str">
        <f t="array" ref="E3813">IF(D3813:D7856="","",IFERROR(_xlfn.XLOOKUP(D3813:D7856,'参照_勢力'!A:A,'参照_勢力'!B:B),IFERROR(_xlfn.XLOOKUP(F3813:F7856,kunishuClan!A:A,kunishuClan!B:B),"浪人")))</f>
      </c>
      <c r="F3813" s="4">
        <v>0</v>
      </c>
      <c r="G3813" s="4">
        <v>3</v>
      </c>
      <c r="H3813" s="12" t="str">
        <f t="array" ref="H3813">IF(G3813:G7856="","",_xlfn.XLOOKUP(G3813:G7856,castles_state!A:A,castles_state!D:D,"見つかりません"))</f>
      </c>
      <c r="I3813" s="4"/>
      <c r="J3813" s="12" t="str">
        <f t="array" ref="J3813">IF(I3813:I7856="","",_xlfn.XLOOKUP(I3813:I7856,'参照_姫'!A:A,'参照_姫'!B:B,"見つかりません"))</f>
      </c>
      <c r="K3813" s="4">
        <v>90</v>
      </c>
      <c r="L3813" s="4">
        <v>0</v>
      </c>
      <c r="M3813" s="4"/>
      <c r="N3813" s="4"/>
      <c r="O3813" s="4"/>
      <c r="P3813" s="12" t="str">
        <f t="array" ref="P3813">IF(O3813:O7856="","",_xlfn.XLOOKUP(O3813:O7856,'参照_官位'!A:A,'参照_官位'!B:B,""))</f>
      </c>
      <c r="Q3813" s="12" t="str">
        <f t="array" ref="Q3813">IF(A3813:A7856="","",IFERROR(_xlfn.XLOOKUP(A3813:A7856,castles_state!K:K,castles_state!D:D)&amp;"主",IFERROR(_xlfn.XLOOKUP(A3813:A7856,kunishuClan!D:D,kunishuClan!B:B)&amp;"当主","")))</f>
      </c>
    </row>
    <row r="3814" ht="15.75" customHeight="1">
      <c r="A3814" s="4">
        <v>1401079</v>
      </c>
      <c r="B3814" s="12" t="str">
        <f t="array" ref="B3814">IF(A3814:A7857="","",_xlfn.XLOOKUP(A3814:A7857,'参照_武将'!A:A,'参照_武将'!B:B,"見つかりません"))</f>
      </c>
      <c r="C3814" s="4" t="s">
        <v>548</v>
      </c>
      <c r="D3814" s="4">
        <v>0</v>
      </c>
      <c r="E3814" s="12" t="str">
        <f t="array" ref="E3814">IF(D3814:D7857="","",IFERROR(_xlfn.XLOOKUP(D3814:D7857,'参照_勢力'!A:A,'参照_勢力'!B:B),IFERROR(_xlfn.XLOOKUP(F3814:F7857,kunishuClan!A:A,kunishuClan!B:B),"浪人")))</f>
      </c>
      <c r="F3814" s="4">
        <v>0</v>
      </c>
      <c r="G3814" s="4">
        <v>23</v>
      </c>
      <c r="H3814" s="12" t="str">
        <f t="array" ref="H3814">IF(G3814:G7857="","",_xlfn.XLOOKUP(G3814:G7857,castles_state!A:A,castles_state!D:D,"見つかりません"))</f>
      </c>
      <c r="I3814" s="4"/>
      <c r="J3814" s="12" t="str">
        <f t="array" ref="J3814">IF(I3814:I7857="","",_xlfn.XLOOKUP(I3814:I7857,'参照_姫'!A:A,'参照_姫'!B:B,"見つかりません"))</f>
      </c>
      <c r="K3814" s="4">
        <v>50</v>
      </c>
      <c r="L3814" s="4">
        <v>0</v>
      </c>
      <c r="M3814" s="4"/>
      <c r="N3814" s="4"/>
      <c r="O3814" s="4"/>
      <c r="P3814" s="12" t="str">
        <f t="array" ref="P3814">IF(O3814:O7857="","",_xlfn.XLOOKUP(O3814:O7857,'参照_官位'!A:A,'参照_官位'!B:B,""))</f>
      </c>
      <c r="Q3814" s="12" t="str">
        <f t="array" ref="Q3814">IF(A3814:A7857="","",IFERROR(_xlfn.XLOOKUP(A3814:A7857,castles_state!K:K,castles_state!D:D)&amp;"主",IFERROR(_xlfn.XLOOKUP(A3814:A7857,kunishuClan!D:D,kunishuClan!B:B)&amp;"当主","")))</f>
      </c>
    </row>
    <row r="3815" ht="15.75" customHeight="1">
      <c r="A3815" s="4">
        <v>1401080</v>
      </c>
      <c r="B3815" s="12" t="str">
        <f t="array" ref="B3815">IF(A3815:A7858="","",_xlfn.XLOOKUP(A3815:A7858,'参照_武将'!A:A,'参照_武将'!B:B,"見つかりません"))</f>
      </c>
      <c r="C3815" s="4" t="s">
        <v>548</v>
      </c>
      <c r="D3815" s="4">
        <v>1</v>
      </c>
      <c r="E3815" s="12" t="str">
        <f t="array" ref="E3815">IF(D3815:D7858="","",IFERROR(_xlfn.XLOOKUP(D3815:D7858,'参照_勢力'!A:A,'参照_勢力'!B:B),IFERROR(_xlfn.XLOOKUP(F3815:F7858,kunishuClan!A:A,kunishuClan!B:B),"浪人")))</f>
      </c>
      <c r="F3815" s="4">
        <v>0</v>
      </c>
      <c r="G3815" s="4">
        <v>180</v>
      </c>
      <c r="H3815" s="12" t="str">
        <f t="array" ref="H3815">IF(G3815:G7858="","",_xlfn.XLOOKUP(G3815:G7858,castles_state!A:A,castles_state!D:D,"見つかりません"))</f>
      </c>
      <c r="I3815" s="4"/>
      <c r="J3815" s="12" t="str">
        <f t="array" ref="J3815">IF(I3815:I7858="","",_xlfn.XLOOKUP(I3815:I7858,'参照_姫'!A:A,'参照_姫'!B:B,"見つかりません"))</f>
      </c>
      <c r="K3815" s="4">
        <v>95</v>
      </c>
      <c r="L3815" s="4">
        <v>0</v>
      </c>
      <c r="M3815" s="4"/>
      <c r="N3815" s="4"/>
      <c r="O3815" s="4"/>
      <c r="P3815" s="12" t="str">
        <f t="array" ref="P3815">IF(O3815:O7858="","",_xlfn.XLOOKUP(O3815:O7858,'参照_官位'!A:A,'参照_官位'!B:B,""))</f>
      </c>
      <c r="Q3815" s="12" t="str">
        <f t="array" ref="Q3815">IF(A3815:A7858="","",IFERROR(_xlfn.XLOOKUP(A3815:A7858,castles_state!K:K,castles_state!D:D)&amp;"主",IFERROR(_xlfn.XLOOKUP(A3815:A7858,kunishuClan!D:D,kunishuClan!B:B)&amp;"当主","")))</f>
      </c>
    </row>
    <row r="3816" ht="15.75" customHeight="1">
      <c r="A3816" s="4">
        <v>1401081</v>
      </c>
      <c r="B3816" s="12" t="str">
        <f t="array" ref="B3816">IF(A3816:A7859="","",_xlfn.XLOOKUP(A3816:A7859,'参照_武将'!A:A,'参照_武将'!B:B,"見つかりません"))</f>
      </c>
      <c r="C3816" s="4" t="s">
        <v>548</v>
      </c>
      <c r="D3816" s="4">
        <v>1</v>
      </c>
      <c r="E3816" s="12" t="str">
        <f t="array" ref="E3816">IF(D3816:D7859="","",IFERROR(_xlfn.XLOOKUP(D3816:D7859,'参照_勢力'!A:A,'参照_勢力'!B:B),IFERROR(_xlfn.XLOOKUP(F3816:F7859,kunishuClan!A:A,kunishuClan!B:B),"浪人")))</f>
      </c>
      <c r="F3816" s="4">
        <v>0</v>
      </c>
      <c r="G3816" s="4">
        <v>7</v>
      </c>
      <c r="H3816" s="12" t="str">
        <f t="array" ref="H3816">IF(G3816:G7859="","",_xlfn.XLOOKUP(G3816:G7859,castles_state!A:A,castles_state!D:D,"見つかりません"))</f>
      </c>
      <c r="I3816" s="4"/>
      <c r="J3816" s="12" t="str">
        <f t="array" ref="J3816">IF(I3816:I7859="","",_xlfn.XLOOKUP(I3816:I7859,'参照_姫'!A:A,'参照_姫'!B:B,"見つかりません"))</f>
      </c>
      <c r="K3816" s="4">
        <v>95</v>
      </c>
      <c r="L3816" s="4">
        <v>0</v>
      </c>
      <c r="M3816" s="4"/>
      <c r="N3816" s="4"/>
      <c r="O3816" s="4"/>
      <c r="P3816" s="12" t="str">
        <f t="array" ref="P3816">IF(O3816:O7859="","",_xlfn.XLOOKUP(O3816:O7859,'参照_官位'!A:A,'参照_官位'!B:B,""))</f>
      </c>
      <c r="Q3816" s="12" t="str">
        <f t="array" ref="Q3816">IF(A3816:A7859="","",IFERROR(_xlfn.XLOOKUP(A3816:A7859,castles_state!K:K,castles_state!D:D)&amp;"主",IFERROR(_xlfn.XLOOKUP(A3816:A7859,kunishuClan!D:D,kunishuClan!B:B)&amp;"当主","")))</f>
      </c>
    </row>
    <row r="3817" ht="15.75" customHeight="1">
      <c r="A3817" s="4">
        <v>1401082</v>
      </c>
      <c r="B3817" s="12" t="str">
        <f t="array" ref="B3817">IF(A3817:A7860="","",_xlfn.XLOOKUP(A3817:A7860,'参照_武将'!A:A,'参照_武将'!B:B,"見つかりません"))</f>
      </c>
      <c r="C3817" s="4" t="s">
        <v>548</v>
      </c>
      <c r="D3817" s="4">
        <v>0</v>
      </c>
      <c r="E3817" s="12" t="str">
        <f t="array" ref="E3817">IF(D3817:D7860="","",IFERROR(_xlfn.XLOOKUP(D3817:D7860,'参照_勢力'!A:A,'参照_勢力'!B:B),IFERROR(_xlfn.XLOOKUP(F3817:F7860,kunishuClan!A:A,kunishuClan!B:B),"浪人")))</f>
      </c>
      <c r="F3817" s="4">
        <v>0</v>
      </c>
      <c r="G3817" s="4">
        <v>186</v>
      </c>
      <c r="H3817" s="12" t="str">
        <f t="array" ref="H3817">IF(G3817:G7860="","",_xlfn.XLOOKUP(G3817:G7860,castles_state!A:A,castles_state!D:D,"見つかりません"))</f>
      </c>
      <c r="I3817" s="4"/>
      <c r="J3817" s="12" t="str">
        <f t="array" ref="J3817">IF(I3817:I7860="","",_xlfn.XLOOKUP(I3817:I7860,'参照_姫'!A:A,'参照_姫'!B:B,"見つかりません"))</f>
      </c>
      <c r="K3817" s="4">
        <v>50</v>
      </c>
      <c r="L3817" s="4">
        <v>0</v>
      </c>
      <c r="M3817" s="4"/>
      <c r="N3817" s="4"/>
      <c r="O3817" s="4"/>
      <c r="P3817" s="12" t="str">
        <f t="array" ref="P3817">IF(O3817:O7860="","",_xlfn.XLOOKUP(O3817:O7860,'参照_官位'!A:A,'参照_官位'!B:B,""))</f>
      </c>
      <c r="Q3817" s="12" t="str">
        <f t="array" ref="Q3817">IF(A3817:A7860="","",IFERROR(_xlfn.XLOOKUP(A3817:A7860,castles_state!K:K,castles_state!D:D)&amp;"主",IFERROR(_xlfn.XLOOKUP(A3817:A7860,kunishuClan!D:D,kunishuClan!B:B)&amp;"当主","")))</f>
      </c>
    </row>
    <row r="3818" ht="15.75" customHeight="1">
      <c r="A3818" s="4">
        <v>1401083</v>
      </c>
      <c r="B3818" s="12" t="str">
        <f t="array" ref="B3818">IF(A3818:A7861="","",_xlfn.XLOOKUP(A3818:A7861,'参照_武将'!A:A,'参照_武将'!B:B,"見つかりません"))</f>
      </c>
      <c r="C3818" s="4" t="s">
        <v>548</v>
      </c>
      <c r="D3818" s="4">
        <v>15</v>
      </c>
      <c r="E3818" s="12" t="str">
        <f t="array" ref="E3818">IF(D3818:D7861="","",IFERROR(_xlfn.XLOOKUP(D3818:D7861,'参照_勢力'!A:A,'参照_勢力'!B:B),IFERROR(_xlfn.XLOOKUP(F3818:F7861,kunishuClan!A:A,kunishuClan!B:B),"浪人")))</f>
      </c>
      <c r="F3818" s="4">
        <v>0</v>
      </c>
      <c r="G3818" s="4">
        <v>23</v>
      </c>
      <c r="H3818" s="12" t="str">
        <f t="array" ref="H3818">IF(G3818:G7861="","",_xlfn.XLOOKUP(G3818:G7861,castles_state!A:A,castles_state!D:D,"見つかりません"))</f>
      </c>
      <c r="I3818" s="4"/>
      <c r="J3818" s="12" t="str">
        <f t="array" ref="J3818">IF(I3818:I7861="","",_xlfn.XLOOKUP(I3818:I7861,'参照_姫'!A:A,'参照_姫'!B:B,"見つかりません"))</f>
      </c>
      <c r="K3818" s="4">
        <v>90</v>
      </c>
      <c r="L3818" s="4">
        <v>0</v>
      </c>
      <c r="M3818" s="4"/>
      <c r="N3818" s="4"/>
      <c r="O3818" s="4"/>
      <c r="P3818" s="12" t="str">
        <f t="array" ref="P3818">IF(O3818:O7861="","",_xlfn.XLOOKUP(O3818:O7861,'参照_官位'!A:A,'参照_官位'!B:B,""))</f>
      </c>
      <c r="Q3818" s="12" t="str">
        <f t="array" ref="Q3818">IF(A3818:A7861="","",IFERROR(_xlfn.XLOOKUP(A3818:A7861,castles_state!K:K,castles_state!D:D)&amp;"主",IFERROR(_xlfn.XLOOKUP(A3818:A7861,kunishuClan!D:D,kunishuClan!B:B)&amp;"当主","")))</f>
      </c>
    </row>
    <row r="3819" ht="15.75" customHeight="1">
      <c r="A3819" s="4">
        <v>1401084</v>
      </c>
      <c r="B3819" s="12" t="str">
        <f t="array" ref="B3819">IF(A3819:A7862="","",_xlfn.XLOOKUP(A3819:A7862,'参照_武将'!A:A,'参照_武将'!B:B,"見つかりません"))</f>
      </c>
      <c r="C3819" s="4" t="s">
        <v>548</v>
      </c>
      <c r="D3819" s="4">
        <v>0</v>
      </c>
      <c r="E3819" s="12" t="str">
        <f t="array" ref="E3819">IF(D3819:D7862="","",IFERROR(_xlfn.XLOOKUP(D3819:D7862,'参照_勢力'!A:A,'参照_勢力'!B:B),IFERROR(_xlfn.XLOOKUP(F3819:F7862,kunishuClan!A:A,kunishuClan!B:B),"浪人")))</f>
      </c>
      <c r="F3819" s="4">
        <v>0</v>
      </c>
      <c r="G3819" s="4">
        <v>11</v>
      </c>
      <c r="H3819" s="12" t="str">
        <f t="array" ref="H3819">IF(G3819:G7862="","",_xlfn.XLOOKUP(G3819:G7862,castles_state!A:A,castles_state!D:D,"見つかりません"))</f>
      </c>
      <c r="I3819" s="4"/>
      <c r="J3819" s="12" t="str">
        <f t="array" ref="J3819">IF(I3819:I7862="","",_xlfn.XLOOKUP(I3819:I7862,'参照_姫'!A:A,'参照_姫'!B:B,"見つかりません"))</f>
      </c>
      <c r="K3819" s="4">
        <v>50</v>
      </c>
      <c r="L3819" s="4">
        <v>0</v>
      </c>
      <c r="M3819" s="4"/>
      <c r="N3819" s="4"/>
      <c r="O3819" s="4"/>
      <c r="P3819" s="12" t="str">
        <f t="array" ref="P3819">IF(O3819:O7862="","",_xlfn.XLOOKUP(O3819:O7862,'参照_官位'!A:A,'参照_官位'!B:B,""))</f>
      </c>
      <c r="Q3819" s="12" t="str">
        <f t="array" ref="Q3819">IF(A3819:A7862="","",IFERROR(_xlfn.XLOOKUP(A3819:A7862,castles_state!K:K,castles_state!D:D)&amp;"主",IFERROR(_xlfn.XLOOKUP(A3819:A7862,kunishuClan!D:D,kunishuClan!B:B)&amp;"当主","")))</f>
      </c>
    </row>
    <row r="3820" ht="15.75" customHeight="1">
      <c r="A3820" s="4">
        <v>1401085</v>
      </c>
      <c r="B3820" s="12" t="str">
        <f t="array" ref="B3820">IF(A3820:A7863="","",_xlfn.XLOOKUP(A3820:A7863,'参照_武将'!A:A,'参照_武将'!B:B,"見つかりません"))</f>
      </c>
      <c r="C3820" s="4" t="s">
        <v>548</v>
      </c>
      <c r="D3820" s="4">
        <v>0</v>
      </c>
      <c r="E3820" s="12" t="str">
        <f t="array" ref="E3820">IF(D3820:D7863="","",IFERROR(_xlfn.XLOOKUP(D3820:D7863,'参照_勢力'!A:A,'参照_勢力'!B:B),IFERROR(_xlfn.XLOOKUP(F3820:F7863,kunishuClan!A:A,kunishuClan!B:B),"浪人")))</f>
      </c>
      <c r="F3820" s="4">
        <v>0</v>
      </c>
      <c r="G3820" s="4">
        <v>3</v>
      </c>
      <c r="H3820" s="12" t="str">
        <f t="array" ref="H3820">IF(G3820:G7863="","",_xlfn.XLOOKUP(G3820:G7863,castles_state!A:A,castles_state!D:D,"見つかりません"))</f>
      </c>
      <c r="I3820" s="4"/>
      <c r="J3820" s="12" t="str">
        <f t="array" ref="J3820">IF(I3820:I7863="","",_xlfn.XLOOKUP(I3820:I7863,'参照_姫'!A:A,'参照_姫'!B:B,"見つかりません"))</f>
      </c>
      <c r="K3820" s="4">
        <v>50</v>
      </c>
      <c r="L3820" s="4">
        <v>0</v>
      </c>
      <c r="M3820" s="4"/>
      <c r="N3820" s="4"/>
      <c r="O3820" s="4"/>
      <c r="P3820" s="12" t="str">
        <f t="array" ref="P3820">IF(O3820:O7863="","",_xlfn.XLOOKUP(O3820:O7863,'参照_官位'!A:A,'参照_官位'!B:B,""))</f>
      </c>
      <c r="Q3820" s="12" t="str">
        <f t="array" ref="Q3820">IF(A3820:A7863="","",IFERROR(_xlfn.XLOOKUP(A3820:A7863,castles_state!K:K,castles_state!D:D)&amp;"主",IFERROR(_xlfn.XLOOKUP(A3820:A7863,kunishuClan!D:D,kunishuClan!B:B)&amp;"当主","")))</f>
      </c>
    </row>
    <row r="3821" ht="15.75" customHeight="1">
      <c r="A3821" s="4">
        <v>1401086</v>
      </c>
      <c r="B3821" s="12" t="str">
        <f t="array" ref="B3821">IF(A3821:A7864="","",_xlfn.XLOOKUP(A3821:A7864,'参照_武将'!A:A,'参照_武将'!B:B,"見つかりません"))</f>
      </c>
      <c r="C3821" s="4" t="s">
        <v>548</v>
      </c>
      <c r="D3821" s="4">
        <v>0</v>
      </c>
      <c r="E3821" s="12" t="str">
        <f t="array" ref="E3821">IF(D3821:D7864="","",IFERROR(_xlfn.XLOOKUP(D3821:D7864,'参照_勢力'!A:A,'参照_勢力'!B:B),IFERROR(_xlfn.XLOOKUP(F3821:F7864,kunishuClan!A:A,kunishuClan!B:B),"浪人")))</f>
      </c>
      <c r="F3821" s="4">
        <v>0</v>
      </c>
      <c r="G3821" s="4">
        <v>181</v>
      </c>
      <c r="H3821" s="12" t="str">
        <f t="array" ref="H3821">IF(G3821:G7864="","",_xlfn.XLOOKUP(G3821:G7864,castles_state!A:A,castles_state!D:D,"見つかりません"))</f>
      </c>
      <c r="I3821" s="4"/>
      <c r="J3821" s="12" t="str">
        <f t="array" ref="J3821">IF(I3821:I7864="","",_xlfn.XLOOKUP(I3821:I7864,'参照_姫'!A:A,'参照_姫'!B:B,"見つかりません"))</f>
      </c>
      <c r="K3821" s="4">
        <v>50</v>
      </c>
      <c r="L3821" s="4">
        <v>0</v>
      </c>
      <c r="M3821" s="4"/>
      <c r="N3821" s="4"/>
      <c r="O3821" s="4"/>
      <c r="P3821" s="12" t="str">
        <f t="array" ref="P3821">IF(O3821:O7864="","",_xlfn.XLOOKUP(O3821:O7864,'参照_官位'!A:A,'参照_官位'!B:B,""))</f>
      </c>
      <c r="Q3821" s="12" t="str">
        <f t="array" ref="Q3821">IF(A3821:A7864="","",IFERROR(_xlfn.XLOOKUP(A3821:A7864,castles_state!K:K,castles_state!D:D)&amp;"主",IFERROR(_xlfn.XLOOKUP(A3821:A7864,kunishuClan!D:D,kunishuClan!B:B)&amp;"当主","")))</f>
      </c>
    </row>
    <row r="3822" ht="15.75" customHeight="1">
      <c r="A3822" s="4">
        <v>1401087</v>
      </c>
      <c r="B3822" s="12" t="str">
        <f t="array" ref="B3822">IF(A3822:A7865="","",_xlfn.XLOOKUP(A3822:A7865,'参照_武将'!A:A,'参照_武将'!B:B,"見つかりません"))</f>
      </c>
      <c r="C3822" s="4" t="s">
        <v>548</v>
      </c>
      <c r="D3822" s="4">
        <v>0</v>
      </c>
      <c r="E3822" s="12" t="str">
        <f t="array" ref="E3822">IF(D3822:D7865="","",IFERROR(_xlfn.XLOOKUP(D3822:D7865,'参照_勢力'!A:A,'参照_勢力'!B:B),IFERROR(_xlfn.XLOOKUP(F3822:F7865,kunishuClan!A:A,kunishuClan!B:B),"浪人")))</f>
      </c>
      <c r="F3822" s="4">
        <v>0</v>
      </c>
      <c r="G3822" s="4">
        <v>3</v>
      </c>
      <c r="H3822" s="12" t="str">
        <f t="array" ref="H3822">IF(G3822:G7865="","",_xlfn.XLOOKUP(G3822:G7865,castles_state!A:A,castles_state!D:D,"見つかりません"))</f>
      </c>
      <c r="I3822" s="4"/>
      <c r="J3822" s="12" t="str">
        <f t="array" ref="J3822">IF(I3822:I7865="","",_xlfn.XLOOKUP(I3822:I7865,'参照_姫'!A:A,'参照_姫'!B:B,"見つかりません"))</f>
      </c>
      <c r="K3822" s="4">
        <v>50</v>
      </c>
      <c r="L3822" s="4">
        <v>0</v>
      </c>
      <c r="M3822" s="4"/>
      <c r="N3822" s="4"/>
      <c r="O3822" s="4"/>
      <c r="P3822" s="12" t="str">
        <f t="array" ref="P3822">IF(O3822:O7865="","",_xlfn.XLOOKUP(O3822:O7865,'参照_官位'!A:A,'参照_官位'!B:B,""))</f>
      </c>
      <c r="Q3822" s="12" t="str">
        <f t="array" ref="Q3822">IF(A3822:A7865="","",IFERROR(_xlfn.XLOOKUP(A3822:A7865,castles_state!K:K,castles_state!D:D)&amp;"主",IFERROR(_xlfn.XLOOKUP(A3822:A7865,kunishuClan!D:D,kunishuClan!B:B)&amp;"当主","")))</f>
      </c>
    </row>
    <row r="3823" ht="15.75" customHeight="1">
      <c r="A3823" s="4">
        <v>1401088</v>
      </c>
      <c r="B3823" s="12" t="str">
        <f t="array" ref="B3823">IF(A3823:A7866="","",_xlfn.XLOOKUP(A3823:A7866,'参照_武将'!A:A,'参照_武将'!B:B,"見つかりません"))</f>
      </c>
      <c r="C3823" s="4" t="s">
        <v>548</v>
      </c>
      <c r="D3823" s="4">
        <v>1</v>
      </c>
      <c r="E3823" s="12" t="str">
        <f t="array" ref="E3823">IF(D3823:D7866="","",IFERROR(_xlfn.XLOOKUP(D3823:D7866,'参照_勢力'!A:A,'参照_勢力'!B:B),IFERROR(_xlfn.XLOOKUP(F3823:F7866,kunishuClan!A:A,kunishuClan!B:B),"浪人")))</f>
      </c>
      <c r="F3823" s="4">
        <v>0</v>
      </c>
      <c r="G3823" s="4">
        <v>7</v>
      </c>
      <c r="H3823" s="12" t="str">
        <f t="array" ref="H3823">IF(G3823:G7866="","",_xlfn.XLOOKUP(G3823:G7866,castles_state!A:A,castles_state!D:D,"見つかりません"))</f>
      </c>
      <c r="I3823" s="4"/>
      <c r="J3823" s="12" t="str">
        <f t="array" ref="J3823">IF(I3823:I7866="","",_xlfn.XLOOKUP(I3823:I7866,'参照_姫'!A:A,'参照_姫'!B:B,"見つかりません"))</f>
      </c>
      <c r="K3823" s="4">
        <v>95</v>
      </c>
      <c r="L3823" s="4">
        <v>0</v>
      </c>
      <c r="M3823" s="4"/>
      <c r="N3823" s="4"/>
      <c r="O3823" s="4"/>
      <c r="P3823" s="12" t="str">
        <f t="array" ref="P3823">IF(O3823:O7866="","",_xlfn.XLOOKUP(O3823:O7866,'参照_官位'!A:A,'参照_官位'!B:B,""))</f>
      </c>
      <c r="Q3823" s="12" t="str">
        <f t="array" ref="Q3823">IF(A3823:A7866="","",IFERROR(_xlfn.XLOOKUP(A3823:A7866,castles_state!K:K,castles_state!D:D)&amp;"主",IFERROR(_xlfn.XLOOKUP(A3823:A7866,kunishuClan!D:D,kunishuClan!B:B)&amp;"当主","")))</f>
      </c>
    </row>
    <row r="3824" ht="15.75" customHeight="1">
      <c r="A3824" s="4">
        <v>1401089</v>
      </c>
      <c r="B3824" s="12" t="str">
        <f t="array" ref="B3824">IF(A3824:A7867="","",_xlfn.XLOOKUP(A3824:A7867,'参照_武将'!A:A,'参照_武将'!B:B,"見つかりません"))</f>
      </c>
      <c r="C3824" s="4" t="s">
        <v>548</v>
      </c>
      <c r="D3824" s="4">
        <v>1</v>
      </c>
      <c r="E3824" s="12" t="str">
        <f t="array" ref="E3824">IF(D3824:D7867="","",IFERROR(_xlfn.XLOOKUP(D3824:D7867,'参照_勢力'!A:A,'参照_勢力'!B:B),IFERROR(_xlfn.XLOOKUP(F3824:F7867,kunishuClan!A:A,kunishuClan!B:B),"浪人")))</f>
      </c>
      <c r="F3824" s="4">
        <v>0</v>
      </c>
      <c r="G3824" s="4">
        <v>7</v>
      </c>
      <c r="H3824" s="12" t="str">
        <f t="array" ref="H3824">IF(G3824:G7867="","",_xlfn.XLOOKUP(G3824:G7867,castles_state!A:A,castles_state!D:D,"見つかりません"))</f>
      </c>
      <c r="I3824" s="4"/>
      <c r="J3824" s="12" t="str">
        <f t="array" ref="J3824">IF(I3824:I7867="","",_xlfn.XLOOKUP(I3824:I7867,'参照_姫'!A:A,'参照_姫'!B:B,"見つかりません"))</f>
      </c>
      <c r="K3824" s="4">
        <v>95</v>
      </c>
      <c r="L3824" s="4">
        <v>0</v>
      </c>
      <c r="M3824" s="4"/>
      <c r="N3824" s="4"/>
      <c r="O3824" s="4"/>
      <c r="P3824" s="12" t="str">
        <f t="array" ref="P3824">IF(O3824:O7867="","",_xlfn.XLOOKUP(O3824:O7867,'参照_官位'!A:A,'参照_官位'!B:B,""))</f>
      </c>
      <c r="Q3824" s="12" t="str">
        <f t="array" ref="Q3824">IF(A3824:A7867="","",IFERROR(_xlfn.XLOOKUP(A3824:A7867,castles_state!K:K,castles_state!D:D)&amp;"主",IFERROR(_xlfn.XLOOKUP(A3824:A7867,kunishuClan!D:D,kunishuClan!B:B)&amp;"当主","")))</f>
      </c>
    </row>
    <row r="3825" ht="15.75" customHeight="1">
      <c r="A3825" s="4">
        <v>1401090</v>
      </c>
      <c r="B3825" s="12" t="str">
        <f t="array" ref="B3825">IF(A3825:A7868="","",_xlfn.XLOOKUP(A3825:A7868,'参照_武将'!A:A,'参照_武将'!B:B,"見つかりません"))</f>
      </c>
      <c r="C3825" s="4" t="s">
        <v>548</v>
      </c>
      <c r="D3825" s="4">
        <v>1</v>
      </c>
      <c r="E3825" s="12" t="str">
        <f t="array" ref="E3825">IF(D3825:D7868="","",IFERROR(_xlfn.XLOOKUP(D3825:D7868,'参照_勢力'!A:A,'参照_勢力'!B:B),IFERROR(_xlfn.XLOOKUP(F3825:F7868,kunishuClan!A:A,kunishuClan!B:B),"浪人")))</f>
      </c>
      <c r="F3825" s="4">
        <v>0</v>
      </c>
      <c r="G3825" s="4">
        <v>7</v>
      </c>
      <c r="H3825" s="12" t="str">
        <f t="array" ref="H3825">IF(G3825:G7868="","",_xlfn.XLOOKUP(G3825:G7868,castles_state!A:A,castles_state!D:D,"見つかりません"))</f>
      </c>
      <c r="I3825" s="4"/>
      <c r="J3825" s="12" t="str">
        <f t="array" ref="J3825">IF(I3825:I7868="","",_xlfn.XLOOKUP(I3825:I7868,'参照_姫'!A:A,'参照_姫'!B:B,"見つかりません"))</f>
      </c>
      <c r="K3825" s="4">
        <v>95</v>
      </c>
      <c r="L3825" s="4">
        <v>0</v>
      </c>
      <c r="M3825" s="4"/>
      <c r="N3825" s="4"/>
      <c r="O3825" s="4"/>
      <c r="P3825" s="12" t="str">
        <f t="array" ref="P3825">IF(O3825:O7868="","",_xlfn.XLOOKUP(O3825:O7868,'参照_官位'!A:A,'参照_官位'!B:B,""))</f>
      </c>
      <c r="Q3825" s="12" t="str">
        <f t="array" ref="Q3825">IF(A3825:A7868="","",IFERROR(_xlfn.XLOOKUP(A3825:A7868,castles_state!K:K,castles_state!D:D)&amp;"主",IFERROR(_xlfn.XLOOKUP(A3825:A7868,kunishuClan!D:D,kunishuClan!B:B)&amp;"当主","")))</f>
      </c>
    </row>
    <row r="3826" ht="15.75" customHeight="1">
      <c r="A3826" s="4">
        <v>1401091</v>
      </c>
      <c r="B3826" s="12" t="str">
        <f t="array" ref="B3826">IF(A3826:A7869="","",_xlfn.XLOOKUP(A3826:A7869,'参照_武将'!A:A,'参照_武将'!B:B,"見つかりません"))</f>
      </c>
      <c r="C3826" s="4" t="s">
        <v>548</v>
      </c>
      <c r="D3826" s="4">
        <v>1</v>
      </c>
      <c r="E3826" s="12" t="str">
        <f t="array" ref="E3826">IF(D3826:D7869="","",IFERROR(_xlfn.XLOOKUP(D3826:D7869,'参照_勢力'!A:A,'参照_勢力'!B:B),IFERROR(_xlfn.XLOOKUP(F3826:F7869,kunishuClan!A:A,kunishuClan!B:B),"浪人")))</f>
      </c>
      <c r="F3826" s="4">
        <v>0</v>
      </c>
      <c r="G3826" s="4">
        <v>7</v>
      </c>
      <c r="H3826" s="12" t="str">
        <f t="array" ref="H3826">IF(G3826:G7869="","",_xlfn.XLOOKUP(G3826:G7869,castles_state!A:A,castles_state!D:D,"見つかりません"))</f>
      </c>
      <c r="I3826" s="4"/>
      <c r="J3826" s="12" t="str">
        <f t="array" ref="J3826">IF(I3826:I7869="","",_xlfn.XLOOKUP(I3826:I7869,'参照_姫'!A:A,'参照_姫'!B:B,"見つかりません"))</f>
      </c>
      <c r="K3826" s="4">
        <v>95</v>
      </c>
      <c r="L3826" s="4">
        <v>0</v>
      </c>
      <c r="M3826" s="4"/>
      <c r="N3826" s="4"/>
      <c r="O3826" s="4"/>
      <c r="P3826" s="12" t="str">
        <f t="array" ref="P3826">IF(O3826:O7869="","",_xlfn.XLOOKUP(O3826:O7869,'参照_官位'!A:A,'参照_官位'!B:B,""))</f>
      </c>
      <c r="Q3826" s="12" t="str">
        <f t="array" ref="Q3826">IF(A3826:A7869="","",IFERROR(_xlfn.XLOOKUP(A3826:A7869,castles_state!K:K,castles_state!D:D)&amp;"主",IFERROR(_xlfn.XLOOKUP(A3826:A7869,kunishuClan!D:D,kunishuClan!B:B)&amp;"当主","")))</f>
      </c>
    </row>
    <row r="3827" ht="15.75" customHeight="1">
      <c r="A3827" s="4">
        <v>1401092</v>
      </c>
      <c r="B3827" s="12" t="str">
        <f t="array" ref="B3827">IF(A3827:A7870="","",_xlfn.XLOOKUP(A3827:A7870,'参照_武将'!A:A,'参照_武将'!B:B,"見つかりません"))</f>
      </c>
      <c r="C3827" s="4" t="s">
        <v>548</v>
      </c>
      <c r="D3827" s="4">
        <v>1</v>
      </c>
      <c r="E3827" s="12" t="str">
        <f t="array" ref="E3827">IF(D3827:D7870="","",IFERROR(_xlfn.XLOOKUP(D3827:D7870,'参照_勢力'!A:A,'参照_勢力'!B:B),IFERROR(_xlfn.XLOOKUP(F3827:F7870,kunishuClan!A:A,kunishuClan!B:B),"浪人")))</f>
      </c>
      <c r="F3827" s="4">
        <v>0</v>
      </c>
      <c r="G3827" s="4">
        <v>7</v>
      </c>
      <c r="H3827" s="12" t="str">
        <f t="array" ref="H3827">IF(G3827:G7870="","",_xlfn.XLOOKUP(G3827:G7870,castles_state!A:A,castles_state!D:D,"見つかりません"))</f>
      </c>
      <c r="I3827" s="4"/>
      <c r="J3827" s="12" t="str">
        <f t="array" ref="J3827">IF(I3827:I7870="","",_xlfn.XLOOKUP(I3827:I7870,'参照_姫'!A:A,'参照_姫'!B:B,"見つかりません"))</f>
      </c>
      <c r="K3827" s="4">
        <v>95</v>
      </c>
      <c r="L3827" s="4">
        <v>0</v>
      </c>
      <c r="M3827" s="4"/>
      <c r="N3827" s="4"/>
      <c r="O3827" s="4"/>
      <c r="P3827" s="12" t="str">
        <f t="array" ref="P3827">IF(O3827:O7870="","",_xlfn.XLOOKUP(O3827:O7870,'参照_官位'!A:A,'参照_官位'!B:B,""))</f>
      </c>
      <c r="Q3827" s="12" t="str">
        <f t="array" ref="Q3827">IF(A3827:A7870="","",IFERROR(_xlfn.XLOOKUP(A3827:A7870,castles_state!K:K,castles_state!D:D)&amp;"主",IFERROR(_xlfn.XLOOKUP(A3827:A7870,kunishuClan!D:D,kunishuClan!B:B)&amp;"当主","")))</f>
      </c>
    </row>
    <row r="3828" ht="15.75" customHeight="1">
      <c r="A3828" s="4">
        <v>1401093</v>
      </c>
      <c r="B3828" s="12" t="str">
        <f t="array" ref="B3828">IF(A3828:A7871="","",_xlfn.XLOOKUP(A3828:A7871,'参照_武将'!A:A,'参照_武将'!B:B,"見つかりません"))</f>
      </c>
      <c r="C3828" s="4" t="s">
        <v>548</v>
      </c>
      <c r="D3828" s="4">
        <v>1</v>
      </c>
      <c r="E3828" s="12" t="str">
        <f t="array" ref="E3828">IF(D3828:D7871="","",IFERROR(_xlfn.XLOOKUP(D3828:D7871,'参照_勢力'!A:A,'参照_勢力'!B:B),IFERROR(_xlfn.XLOOKUP(F3828:F7871,kunishuClan!A:A,kunishuClan!B:B),"浪人")))</f>
      </c>
      <c r="F3828" s="4">
        <v>0</v>
      </c>
      <c r="G3828" s="4">
        <v>180</v>
      </c>
      <c r="H3828" s="12" t="str">
        <f t="array" ref="H3828">IF(G3828:G7871="","",_xlfn.XLOOKUP(G3828:G7871,castles_state!A:A,castles_state!D:D,"見つかりません"))</f>
      </c>
      <c r="I3828" s="4"/>
      <c r="J3828" s="12" t="str">
        <f t="array" ref="J3828">IF(I3828:I7871="","",_xlfn.XLOOKUP(I3828:I7871,'参照_姫'!A:A,'参照_姫'!B:B,"見つかりません"))</f>
      </c>
      <c r="K3828" s="4">
        <v>95</v>
      </c>
      <c r="L3828" s="4">
        <v>0</v>
      </c>
      <c r="M3828" s="4"/>
      <c r="N3828" s="4"/>
      <c r="O3828" s="4"/>
      <c r="P3828" s="12" t="str">
        <f t="array" ref="P3828">IF(O3828:O7871="","",_xlfn.XLOOKUP(O3828:O7871,'参照_官位'!A:A,'参照_官位'!B:B,""))</f>
      </c>
      <c r="Q3828" s="12" t="str">
        <f t="array" ref="Q3828">IF(A3828:A7871="","",IFERROR(_xlfn.XLOOKUP(A3828:A7871,castles_state!K:K,castles_state!D:D)&amp;"主",IFERROR(_xlfn.XLOOKUP(A3828:A7871,kunishuClan!D:D,kunishuClan!B:B)&amp;"当主","")))</f>
      </c>
    </row>
    <row r="3829" ht="15.75" customHeight="1">
      <c r="A3829" s="4">
        <v>1401094</v>
      </c>
      <c r="B3829" s="12" t="str">
        <f t="array" ref="B3829">IF(A3829:A7872="","",_xlfn.XLOOKUP(A3829:A7872,'参照_武将'!A:A,'参照_武将'!B:B,"見つかりません"))</f>
      </c>
      <c r="C3829" s="4" t="s">
        <v>548</v>
      </c>
      <c r="D3829" s="4">
        <v>1</v>
      </c>
      <c r="E3829" s="12" t="str">
        <f t="array" ref="E3829">IF(D3829:D7872="","",IFERROR(_xlfn.XLOOKUP(D3829:D7872,'参照_勢力'!A:A,'参照_勢力'!B:B),IFERROR(_xlfn.XLOOKUP(F3829:F7872,kunishuClan!A:A,kunishuClan!B:B),"浪人")))</f>
      </c>
      <c r="F3829" s="4">
        <v>0</v>
      </c>
      <c r="G3829" s="4">
        <v>180</v>
      </c>
      <c r="H3829" s="12" t="str">
        <f t="array" ref="H3829">IF(G3829:G7872="","",_xlfn.XLOOKUP(G3829:G7872,castles_state!A:A,castles_state!D:D,"見つかりません"))</f>
      </c>
      <c r="I3829" s="4"/>
      <c r="J3829" s="12" t="str">
        <f t="array" ref="J3829">IF(I3829:I7872="","",_xlfn.XLOOKUP(I3829:I7872,'参照_姫'!A:A,'参照_姫'!B:B,"見つかりません"))</f>
      </c>
      <c r="K3829" s="4">
        <v>95</v>
      </c>
      <c r="L3829" s="4">
        <v>0</v>
      </c>
      <c r="M3829" s="4"/>
      <c r="N3829" s="4"/>
      <c r="O3829" s="4"/>
      <c r="P3829" s="12" t="str">
        <f t="array" ref="P3829">IF(O3829:O7872="","",_xlfn.XLOOKUP(O3829:O7872,'参照_官位'!A:A,'参照_官位'!B:B,""))</f>
      </c>
      <c r="Q3829" s="12" t="str">
        <f t="array" ref="Q3829">IF(A3829:A7872="","",IFERROR(_xlfn.XLOOKUP(A3829:A7872,castles_state!K:K,castles_state!D:D)&amp;"主",IFERROR(_xlfn.XLOOKUP(A3829:A7872,kunishuClan!D:D,kunishuClan!B:B)&amp;"当主","")))</f>
      </c>
    </row>
    <row r="3830" ht="15.75" customHeight="1">
      <c r="A3830" s="4">
        <v>1401095</v>
      </c>
      <c r="B3830" s="12" t="str">
        <f t="array" ref="B3830">IF(A3830:A7873="","",_xlfn.XLOOKUP(A3830:A7873,'参照_武将'!A:A,'参照_武将'!B:B,"見つかりません"))</f>
      </c>
      <c r="C3830" s="4" t="s">
        <v>548</v>
      </c>
      <c r="D3830" s="4">
        <v>1</v>
      </c>
      <c r="E3830" s="12" t="str">
        <f t="array" ref="E3830">IF(D3830:D7873="","",IFERROR(_xlfn.XLOOKUP(D3830:D7873,'参照_勢力'!A:A,'参照_勢力'!B:B),IFERROR(_xlfn.XLOOKUP(F3830:F7873,kunishuClan!A:A,kunishuClan!B:B),"浪人")))</f>
      </c>
      <c r="F3830" s="4">
        <v>0</v>
      </c>
      <c r="G3830" s="4">
        <v>180</v>
      </c>
      <c r="H3830" s="12" t="str">
        <f t="array" ref="H3830">IF(G3830:G7873="","",_xlfn.XLOOKUP(G3830:G7873,castles_state!A:A,castles_state!D:D,"見つかりません"))</f>
      </c>
      <c r="I3830" s="4"/>
      <c r="J3830" s="12" t="str">
        <f t="array" ref="J3830">IF(I3830:I7873="","",_xlfn.XLOOKUP(I3830:I7873,'参照_姫'!A:A,'参照_姫'!B:B,"見つかりません"))</f>
      </c>
      <c r="K3830" s="4">
        <v>95</v>
      </c>
      <c r="L3830" s="4">
        <v>0</v>
      </c>
      <c r="M3830" s="4"/>
      <c r="N3830" s="4"/>
      <c r="O3830" s="4"/>
      <c r="P3830" s="12" t="str">
        <f t="array" ref="P3830">IF(O3830:O7873="","",_xlfn.XLOOKUP(O3830:O7873,'参照_官位'!A:A,'参照_官位'!B:B,""))</f>
      </c>
      <c r="Q3830" s="12" t="str">
        <f t="array" ref="Q3830">IF(A3830:A7873="","",IFERROR(_xlfn.XLOOKUP(A3830:A7873,castles_state!K:K,castles_state!D:D)&amp;"主",IFERROR(_xlfn.XLOOKUP(A3830:A7873,kunishuClan!D:D,kunishuClan!B:B)&amp;"当主","")))</f>
      </c>
    </row>
    <row r="3831" ht="15.75" customHeight="1">
      <c r="A3831" s="4">
        <v>1401096</v>
      </c>
      <c r="B3831" s="12" t="str">
        <f t="array" ref="B3831">IF(A3831:A7874="","",_xlfn.XLOOKUP(A3831:A7874,'参照_武将'!A:A,'参照_武将'!B:B,"見つかりません"))</f>
      </c>
      <c r="C3831" s="4" t="s">
        <v>548</v>
      </c>
      <c r="D3831" s="4">
        <v>1</v>
      </c>
      <c r="E3831" s="12" t="str">
        <f t="array" ref="E3831">IF(D3831:D7874="","",IFERROR(_xlfn.XLOOKUP(D3831:D7874,'参照_勢力'!A:A,'参照_勢力'!B:B),IFERROR(_xlfn.XLOOKUP(F3831:F7874,kunishuClan!A:A,kunishuClan!B:B),"浪人")))</f>
      </c>
      <c r="F3831" s="4">
        <v>0</v>
      </c>
      <c r="G3831" s="4">
        <v>180</v>
      </c>
      <c r="H3831" s="12" t="str">
        <f t="array" ref="H3831">IF(G3831:G7874="","",_xlfn.XLOOKUP(G3831:G7874,castles_state!A:A,castles_state!D:D,"見つかりません"))</f>
      </c>
      <c r="I3831" s="4"/>
      <c r="J3831" s="12" t="str">
        <f t="array" ref="J3831">IF(I3831:I7874="","",_xlfn.XLOOKUP(I3831:I7874,'参照_姫'!A:A,'参照_姫'!B:B,"見つかりません"))</f>
      </c>
      <c r="K3831" s="4">
        <v>95</v>
      </c>
      <c r="L3831" s="4">
        <v>0</v>
      </c>
      <c r="M3831" s="4"/>
      <c r="N3831" s="4"/>
      <c r="O3831" s="4"/>
      <c r="P3831" s="12" t="str">
        <f t="array" ref="P3831">IF(O3831:O7874="","",_xlfn.XLOOKUP(O3831:O7874,'参照_官位'!A:A,'参照_官位'!B:B,""))</f>
      </c>
      <c r="Q3831" s="12" t="str">
        <f t="array" ref="Q3831">IF(A3831:A7874="","",IFERROR(_xlfn.XLOOKUP(A3831:A7874,castles_state!K:K,castles_state!D:D)&amp;"主",IFERROR(_xlfn.XLOOKUP(A3831:A7874,kunishuClan!D:D,kunishuClan!B:B)&amp;"当主","")))</f>
      </c>
    </row>
    <row r="3832" ht="15.75" customHeight="1">
      <c r="A3832" s="4">
        <v>1401097</v>
      </c>
      <c r="B3832" s="12" t="str">
        <f t="array" ref="B3832">IF(A3832:A7875="","",_xlfn.XLOOKUP(A3832:A7875,'参照_武将'!A:A,'参照_武将'!B:B,"見つかりません"))</f>
      </c>
      <c r="C3832" s="4" t="s">
        <v>548</v>
      </c>
      <c r="D3832" s="4">
        <v>1</v>
      </c>
      <c r="E3832" s="12" t="str">
        <f t="array" ref="E3832">IF(D3832:D7875="","",IFERROR(_xlfn.XLOOKUP(D3832:D7875,'参照_勢力'!A:A,'参照_勢力'!B:B),IFERROR(_xlfn.XLOOKUP(F3832:F7875,kunishuClan!A:A,kunishuClan!B:B),"浪人")))</f>
      </c>
      <c r="F3832" s="4">
        <v>0</v>
      </c>
      <c r="G3832" s="4">
        <v>7</v>
      </c>
      <c r="H3832" s="12" t="str">
        <f t="array" ref="H3832">IF(G3832:G7875="","",_xlfn.XLOOKUP(G3832:G7875,castles_state!A:A,castles_state!D:D,"見つかりません"))</f>
      </c>
      <c r="I3832" s="4"/>
      <c r="J3832" s="12" t="str">
        <f t="array" ref="J3832">IF(I3832:I7875="","",_xlfn.XLOOKUP(I3832:I7875,'参照_姫'!A:A,'参照_姫'!B:B,"見つかりません"))</f>
      </c>
      <c r="K3832" s="4">
        <v>90</v>
      </c>
      <c r="L3832" s="4">
        <v>0</v>
      </c>
      <c r="M3832" s="4"/>
      <c r="N3832" s="4"/>
      <c r="O3832" s="4"/>
      <c r="P3832" s="12" t="str">
        <f t="array" ref="P3832">IF(O3832:O7875="","",_xlfn.XLOOKUP(O3832:O7875,'参照_官位'!A:A,'参照_官位'!B:B,""))</f>
      </c>
      <c r="Q3832" s="12" t="str">
        <f t="array" ref="Q3832">IF(A3832:A7875="","",IFERROR(_xlfn.XLOOKUP(A3832:A7875,castles_state!K:K,castles_state!D:D)&amp;"主",IFERROR(_xlfn.XLOOKUP(A3832:A7875,kunishuClan!D:D,kunishuClan!B:B)&amp;"当主","")))</f>
      </c>
    </row>
    <row r="3833" ht="15.75" customHeight="1">
      <c r="A3833" s="4">
        <v>1401098</v>
      </c>
      <c r="B3833" s="12" t="str">
        <f t="array" ref="B3833">IF(A3833:A7876="","",_xlfn.XLOOKUP(A3833:A7876,'参照_武将'!A:A,'参照_武将'!B:B,"見つかりません"))</f>
      </c>
      <c r="C3833" s="4" t="s">
        <v>548</v>
      </c>
      <c r="D3833" s="4">
        <v>1</v>
      </c>
      <c r="E3833" s="12" t="str">
        <f t="array" ref="E3833">IF(D3833:D7876="","",IFERROR(_xlfn.XLOOKUP(D3833:D7876,'参照_勢力'!A:A,'参照_勢力'!B:B),IFERROR(_xlfn.XLOOKUP(F3833:F7876,kunishuClan!A:A,kunishuClan!B:B),"浪人")))</f>
      </c>
      <c r="F3833" s="4">
        <v>0</v>
      </c>
      <c r="G3833" s="4">
        <v>7</v>
      </c>
      <c r="H3833" s="12" t="str">
        <f t="array" ref="H3833">IF(G3833:G7876="","",_xlfn.XLOOKUP(G3833:G7876,castles_state!A:A,castles_state!D:D,"見つかりません"))</f>
      </c>
      <c r="I3833" s="4"/>
      <c r="J3833" s="12" t="str">
        <f t="array" ref="J3833">IF(I3833:I7876="","",_xlfn.XLOOKUP(I3833:I7876,'参照_姫'!A:A,'参照_姫'!B:B,"見つかりません"))</f>
      </c>
      <c r="K3833" s="4">
        <v>90</v>
      </c>
      <c r="L3833" s="4">
        <v>0</v>
      </c>
      <c r="M3833" s="4"/>
      <c r="N3833" s="4"/>
      <c r="O3833" s="4"/>
      <c r="P3833" s="12" t="str">
        <f t="array" ref="P3833">IF(O3833:O7876="","",_xlfn.XLOOKUP(O3833:O7876,'参照_官位'!A:A,'参照_官位'!B:B,""))</f>
      </c>
      <c r="Q3833" s="12" t="str">
        <f t="array" ref="Q3833">IF(A3833:A7876="","",IFERROR(_xlfn.XLOOKUP(A3833:A7876,castles_state!K:K,castles_state!D:D)&amp;"主",IFERROR(_xlfn.XLOOKUP(A3833:A7876,kunishuClan!D:D,kunishuClan!B:B)&amp;"当主","")))</f>
      </c>
    </row>
    <row r="3834" ht="15.75" customHeight="1">
      <c r="A3834" s="4">
        <v>1401099</v>
      </c>
      <c r="B3834" s="12" t="str">
        <f t="array" ref="B3834">IF(A3834:A7877="","",_xlfn.XLOOKUP(A3834:A7877,'参照_武将'!A:A,'参照_武将'!B:B,"見つかりません"))</f>
      </c>
      <c r="C3834" s="4" t="s">
        <v>548</v>
      </c>
      <c r="D3834" s="4">
        <v>1</v>
      </c>
      <c r="E3834" s="12" t="str">
        <f t="array" ref="E3834">IF(D3834:D7877="","",IFERROR(_xlfn.XLOOKUP(D3834:D7877,'参照_勢力'!A:A,'参照_勢力'!B:B),IFERROR(_xlfn.XLOOKUP(F3834:F7877,kunishuClan!A:A,kunishuClan!B:B),"浪人")))</f>
      </c>
      <c r="F3834" s="4">
        <v>0</v>
      </c>
      <c r="G3834" s="4">
        <v>7</v>
      </c>
      <c r="H3834" s="12" t="str">
        <f t="array" ref="H3834">IF(G3834:G7877="","",_xlfn.XLOOKUP(G3834:G7877,castles_state!A:A,castles_state!D:D,"見つかりません"))</f>
      </c>
      <c r="I3834" s="4"/>
      <c r="J3834" s="12" t="str">
        <f t="array" ref="J3834">IF(I3834:I7877="","",_xlfn.XLOOKUP(I3834:I7877,'参照_姫'!A:A,'参照_姫'!B:B,"見つかりません"))</f>
      </c>
      <c r="K3834" s="4">
        <v>95</v>
      </c>
      <c r="L3834" s="4">
        <v>0</v>
      </c>
      <c r="M3834" s="4"/>
      <c r="N3834" s="4"/>
      <c r="O3834" s="4"/>
      <c r="P3834" s="12" t="str">
        <f t="array" ref="P3834">IF(O3834:O7877="","",_xlfn.XLOOKUP(O3834:O7877,'参照_官位'!A:A,'参照_官位'!B:B,""))</f>
      </c>
      <c r="Q3834" s="12" t="str">
        <f t="array" ref="Q3834">IF(A3834:A7877="","",IFERROR(_xlfn.XLOOKUP(A3834:A7877,castles_state!K:K,castles_state!D:D)&amp;"主",IFERROR(_xlfn.XLOOKUP(A3834:A7877,kunishuClan!D:D,kunishuClan!B:B)&amp;"当主","")))</f>
      </c>
    </row>
    <row r="3835" ht="15.75" customHeight="1">
      <c r="A3835" s="4">
        <v>1401100</v>
      </c>
      <c r="B3835" s="12" t="str">
        <f t="array" ref="B3835">IF(A3835:A7878="","",_xlfn.XLOOKUP(A3835:A7878,'参照_武将'!A:A,'参照_武将'!B:B,"見つかりません"))</f>
      </c>
      <c r="C3835" s="4" t="s">
        <v>548</v>
      </c>
      <c r="D3835" s="4">
        <v>1</v>
      </c>
      <c r="E3835" s="12" t="str">
        <f t="array" ref="E3835">IF(D3835:D7878="","",IFERROR(_xlfn.XLOOKUP(D3835:D7878,'参照_勢力'!A:A,'参照_勢力'!B:B),IFERROR(_xlfn.XLOOKUP(F3835:F7878,kunishuClan!A:A,kunishuClan!B:B),"浪人")))</f>
      </c>
      <c r="F3835" s="4">
        <v>0</v>
      </c>
      <c r="G3835" s="4">
        <v>7</v>
      </c>
      <c r="H3835" s="12" t="str">
        <f t="array" ref="H3835">IF(G3835:G7878="","",_xlfn.XLOOKUP(G3835:G7878,castles_state!A:A,castles_state!D:D,"見つかりません"))</f>
      </c>
      <c r="I3835" s="4"/>
      <c r="J3835" s="12" t="str">
        <f t="array" ref="J3835">IF(I3835:I7878="","",_xlfn.XLOOKUP(I3835:I7878,'参照_姫'!A:A,'参照_姫'!B:B,"見つかりません"))</f>
      </c>
      <c r="K3835" s="4">
        <v>95</v>
      </c>
      <c r="L3835" s="4">
        <v>0</v>
      </c>
      <c r="M3835" s="4"/>
      <c r="N3835" s="4"/>
      <c r="O3835" s="4"/>
      <c r="P3835" s="12" t="str">
        <f t="array" ref="P3835">IF(O3835:O7878="","",_xlfn.XLOOKUP(O3835:O7878,'参照_官位'!A:A,'参照_官位'!B:B,""))</f>
      </c>
      <c r="Q3835" s="12" t="str">
        <f t="array" ref="Q3835">IF(A3835:A7878="","",IFERROR(_xlfn.XLOOKUP(A3835:A7878,castles_state!K:K,castles_state!D:D)&amp;"主",IFERROR(_xlfn.XLOOKUP(A3835:A7878,kunishuClan!D:D,kunishuClan!B:B)&amp;"当主","")))</f>
      </c>
    </row>
    <row r="3836" ht="15.75" customHeight="1">
      <c r="A3836" s="4">
        <v>1401101</v>
      </c>
      <c r="B3836" s="12" t="str">
        <f t="array" ref="B3836">IF(A3836:A7879="","",_xlfn.XLOOKUP(A3836:A7879,'参照_武将'!A:A,'参照_武将'!B:B,"見つかりません"))</f>
      </c>
      <c r="C3836" s="4" t="s">
        <v>548</v>
      </c>
      <c r="D3836" s="4">
        <v>1</v>
      </c>
      <c r="E3836" s="12" t="str">
        <f t="array" ref="E3836">IF(D3836:D7879="","",IFERROR(_xlfn.XLOOKUP(D3836:D7879,'参照_勢力'!A:A,'参照_勢力'!B:B),IFERROR(_xlfn.XLOOKUP(F3836:F7879,kunishuClan!A:A,kunishuClan!B:B),"浪人")))</f>
      </c>
      <c r="F3836" s="4">
        <v>0</v>
      </c>
      <c r="G3836" s="4">
        <v>40</v>
      </c>
      <c r="H3836" s="12" t="str">
        <f t="array" ref="H3836">IF(G3836:G7879="","",_xlfn.XLOOKUP(G3836:G7879,castles_state!A:A,castles_state!D:D,"見つかりません"))</f>
      </c>
      <c r="I3836" s="4"/>
      <c r="J3836" s="12" t="str">
        <f t="array" ref="J3836">IF(I3836:I7879="","",_xlfn.XLOOKUP(I3836:I7879,'参照_姫'!A:A,'参照_姫'!B:B,"見つかりません"))</f>
      </c>
      <c r="K3836" s="4">
        <v>90</v>
      </c>
      <c r="L3836" s="4">
        <v>0</v>
      </c>
      <c r="M3836" s="4"/>
      <c r="N3836" s="4"/>
      <c r="O3836" s="4"/>
      <c r="P3836" s="12" t="str">
        <f t="array" ref="P3836">IF(O3836:O7879="","",_xlfn.XLOOKUP(O3836:O7879,'参照_官位'!A:A,'参照_官位'!B:B,""))</f>
      </c>
      <c r="Q3836" s="12" t="str">
        <f t="array" ref="Q3836">IF(A3836:A7879="","",IFERROR(_xlfn.XLOOKUP(A3836:A7879,castles_state!K:K,castles_state!D:D)&amp;"主",IFERROR(_xlfn.XLOOKUP(A3836:A7879,kunishuClan!D:D,kunishuClan!B:B)&amp;"当主","")))</f>
      </c>
    </row>
    <row r="3837" ht="15.75" customHeight="1">
      <c r="A3837" s="4">
        <v>1401102</v>
      </c>
      <c r="B3837" s="12" t="str">
        <f t="array" ref="B3837">IF(A3837:A7880="","",_xlfn.XLOOKUP(A3837:A7880,'参照_武将'!A:A,'参照_武将'!B:B,"見つかりません"))</f>
      </c>
      <c r="C3837" s="4" t="s">
        <v>548</v>
      </c>
      <c r="D3837" s="4">
        <v>15</v>
      </c>
      <c r="E3837" s="12" t="str">
        <f t="array" ref="E3837">IF(D3837:D7880="","",IFERROR(_xlfn.XLOOKUP(D3837:D7880,'参照_勢力'!A:A,'参照_勢力'!B:B),IFERROR(_xlfn.XLOOKUP(F3837:F7880,kunishuClan!A:A,kunishuClan!B:B),"浪人")))</f>
      </c>
      <c r="F3837" s="4">
        <v>0</v>
      </c>
      <c r="G3837" s="4">
        <v>28</v>
      </c>
      <c r="H3837" s="12" t="str">
        <f t="array" ref="H3837">IF(G3837:G7880="","",_xlfn.XLOOKUP(G3837:G7880,castles_state!A:A,castles_state!D:D,"見つかりません"))</f>
      </c>
      <c r="I3837" s="4"/>
      <c r="J3837" s="12" t="str">
        <f t="array" ref="J3837">IF(I3837:I7880="","",_xlfn.XLOOKUP(I3837:I7880,'参照_姫'!A:A,'参照_姫'!B:B,"見つかりません"))</f>
      </c>
      <c r="K3837" s="4">
        <v>95</v>
      </c>
      <c r="L3837" s="4">
        <v>0</v>
      </c>
      <c r="M3837" s="4"/>
      <c r="N3837" s="4"/>
      <c r="O3837" s="4"/>
      <c r="P3837" s="12" t="str">
        <f t="array" ref="P3837">IF(O3837:O7880="","",_xlfn.XLOOKUP(O3837:O7880,'参照_官位'!A:A,'参照_官位'!B:B,""))</f>
      </c>
      <c r="Q3837" s="12" t="str">
        <f t="array" ref="Q3837">IF(A3837:A7880="","",IFERROR(_xlfn.XLOOKUP(A3837:A7880,castles_state!K:K,castles_state!D:D)&amp;"主",IFERROR(_xlfn.XLOOKUP(A3837:A7880,kunishuClan!D:D,kunishuClan!B:B)&amp;"当主","")))</f>
      </c>
    </row>
    <row r="3838" ht="15.75" customHeight="1">
      <c r="A3838" s="4">
        <v>1401103</v>
      </c>
      <c r="B3838" s="12" t="str">
        <f t="array" ref="B3838">IF(A3838:A7881="","",_xlfn.XLOOKUP(A3838:A7881,'参照_武将'!A:A,'参照_武将'!B:B,"見つかりません"))</f>
      </c>
      <c r="C3838" s="4" t="s">
        <v>548</v>
      </c>
      <c r="D3838" s="4">
        <v>1</v>
      </c>
      <c r="E3838" s="12" t="str">
        <f t="array" ref="E3838">IF(D3838:D7881="","",IFERROR(_xlfn.XLOOKUP(D3838:D7881,'参照_勢力'!A:A,'参照_勢力'!B:B),IFERROR(_xlfn.XLOOKUP(F3838:F7881,kunishuClan!A:A,kunishuClan!B:B),"浪人")))</f>
      </c>
      <c r="F3838" s="4">
        <v>0</v>
      </c>
      <c r="G3838" s="4">
        <v>28</v>
      </c>
      <c r="H3838" s="12" t="str">
        <f t="array" ref="H3838">IF(G3838:G7881="","",_xlfn.XLOOKUP(G3838:G7881,castles_state!A:A,castles_state!D:D,"見つかりません"))</f>
      </c>
      <c r="I3838" s="4"/>
      <c r="J3838" s="12" t="str">
        <f t="array" ref="J3838">IF(I3838:I7881="","",_xlfn.XLOOKUP(I3838:I7881,'参照_姫'!A:A,'参照_姫'!B:B,"見つかりません"))</f>
      </c>
      <c r="K3838" s="4">
        <v>95</v>
      </c>
      <c r="L3838" s="4">
        <v>0</v>
      </c>
      <c r="M3838" s="4"/>
      <c r="N3838" s="4"/>
      <c r="O3838" s="4"/>
      <c r="P3838" s="12" t="str">
        <f t="array" ref="P3838">IF(O3838:O7881="","",_xlfn.XLOOKUP(O3838:O7881,'参照_官位'!A:A,'参照_官位'!B:B,""))</f>
      </c>
      <c r="Q3838" s="12" t="str">
        <f t="array" ref="Q3838">IF(A3838:A7881="","",IFERROR(_xlfn.XLOOKUP(A3838:A7881,castles_state!K:K,castles_state!D:D)&amp;"主",IFERROR(_xlfn.XLOOKUP(A3838:A7881,kunishuClan!D:D,kunishuClan!B:B)&amp;"当主","")))</f>
      </c>
    </row>
    <row r="3839" ht="15.75" customHeight="1">
      <c r="A3839" s="4">
        <v>2000001</v>
      </c>
      <c r="B3839" s="12" t="str">
        <f t="array" ref="B3839">IF(A3839:A7882="","",_xlfn.XLOOKUP(A3839:A7882,'参照_武将'!A:A,'参照_武将'!B:B,"見つかりません"))</f>
      </c>
      <c r="C3839" s="4" t="s">
        <v>5992</v>
      </c>
      <c r="D3839" s="4">
        <v>0</v>
      </c>
      <c r="E3839" s="12" t="str">
        <f t="array" ref="E3839">IF(D3839:D7882="","",IFERROR(_xlfn.XLOOKUP(D3839:D7882,'参照_勢力'!A:A,'参照_勢力'!B:B),IFERROR(_xlfn.XLOOKUP(F3839:F7882,kunishuClan!A:A,kunishuClan!B:B),"浪人")))</f>
      </c>
      <c r="F3839" s="4">
        <v>0</v>
      </c>
      <c r="G3839" s="4">
        <v>112</v>
      </c>
      <c r="H3839" s="12" t="str">
        <f t="array" ref="H3839">IF(G3839:G7882="","",_xlfn.XLOOKUP(G3839:G7882,castles_state!A:A,castles_state!D:D,"見つかりません"))</f>
      </c>
      <c r="I3839" s="4"/>
      <c r="J3839" s="12" t="str">
        <f t="array" ref="J3839">IF(I3839:I7882="","",_xlfn.XLOOKUP(I3839:I7882,'参照_姫'!A:A,'参照_姫'!B:B,"見つかりません"))</f>
      </c>
      <c r="K3839" s="4">
        <v>50</v>
      </c>
      <c r="L3839" s="4">
        <v>0</v>
      </c>
      <c r="M3839" s="4"/>
      <c r="N3839" s="4"/>
      <c r="O3839" s="4"/>
      <c r="P3839" s="12" t="str">
        <f t="array" ref="P3839">IF(O3839:O7882="","",_xlfn.XLOOKUP(O3839:O7882,'参照_官位'!A:A,'参照_官位'!B:B,""))</f>
      </c>
      <c r="Q3839" s="12" t="str">
        <f t="array" ref="Q3839">IF(A3839:A7882="","",IFERROR(_xlfn.XLOOKUP(A3839:A7882,castles_state!K:K,castles_state!D:D)&amp;"主",IFERROR(_xlfn.XLOOKUP(A3839:A7882,kunishuClan!D:D,kunishuClan!B:B)&amp;"当主","")))</f>
      </c>
    </row>
    <row r="3840" ht="15.75" customHeight="1">
      <c r="A3840" s="4">
        <v>2000002</v>
      </c>
      <c r="B3840" s="12" t="str">
        <f t="array" ref="B3840">IF(A3840:A7883="","",_xlfn.XLOOKUP(A3840:A7883,'参照_武将'!A:A,'参照_武将'!B:B,"見つかりません"))</f>
      </c>
      <c r="C3840" s="4" t="s">
        <v>5992</v>
      </c>
      <c r="D3840" s="4">
        <v>0</v>
      </c>
      <c r="E3840" s="12" t="str">
        <f t="array" ref="E3840">IF(D3840:D7883="","",IFERROR(_xlfn.XLOOKUP(D3840:D7883,'参照_勢力'!A:A,'参照_勢力'!B:B),IFERROR(_xlfn.XLOOKUP(F3840:F7883,kunishuClan!A:A,kunishuClan!B:B),"浪人")))</f>
      </c>
      <c r="F3840" s="4">
        <v>0</v>
      </c>
      <c r="G3840" s="4">
        <v>112</v>
      </c>
      <c r="H3840" s="12" t="str">
        <f t="array" ref="H3840">IF(G3840:G7883="","",_xlfn.XLOOKUP(G3840:G7883,castles_state!A:A,castles_state!D:D,"見つかりません"))</f>
      </c>
      <c r="I3840" s="4"/>
      <c r="J3840" s="12" t="str">
        <f t="array" ref="J3840">IF(I3840:I7883="","",_xlfn.XLOOKUP(I3840:I7883,'参照_姫'!A:A,'参照_姫'!B:B,"見つかりません"))</f>
      </c>
      <c r="K3840" s="4">
        <v>50</v>
      </c>
      <c r="L3840" s="4">
        <v>0</v>
      </c>
      <c r="M3840" s="4"/>
      <c r="N3840" s="4"/>
      <c r="O3840" s="4"/>
      <c r="P3840" s="12" t="str">
        <f t="array" ref="P3840">IF(O3840:O7883="","",_xlfn.XLOOKUP(O3840:O7883,'参照_官位'!A:A,'参照_官位'!B:B,""))</f>
      </c>
      <c r="Q3840" s="12" t="str">
        <f t="array" ref="Q3840">IF(A3840:A7883="","",IFERROR(_xlfn.XLOOKUP(A3840:A7883,castles_state!K:K,castles_state!D:D)&amp;"主",IFERROR(_xlfn.XLOOKUP(A3840:A7883,kunishuClan!D:D,kunishuClan!B:B)&amp;"当主","")))</f>
      </c>
    </row>
    <row r="3841" ht="15.75" customHeight="1">
      <c r="A3841" s="4">
        <v>2000003</v>
      </c>
      <c r="B3841" s="12" t="str">
        <f t="array" ref="B3841">IF(A3841:A7884="","",_xlfn.XLOOKUP(A3841:A7884,'参照_武将'!A:A,'参照_武将'!B:B,"見つかりません"))</f>
      </c>
      <c r="C3841" s="4" t="s">
        <v>5992</v>
      </c>
      <c r="D3841" s="4">
        <v>0</v>
      </c>
      <c r="E3841" s="12" t="str">
        <f t="array" ref="E3841">IF(D3841:D7884="","",IFERROR(_xlfn.XLOOKUP(D3841:D7884,'参照_勢力'!A:A,'参照_勢力'!B:B),IFERROR(_xlfn.XLOOKUP(F3841:F7884,kunishuClan!A:A,kunishuClan!B:B),"浪人")))</f>
      </c>
      <c r="F3841" s="4">
        <v>0</v>
      </c>
      <c r="G3841" s="4">
        <v>59</v>
      </c>
      <c r="H3841" s="12" t="str">
        <f t="array" ref="H3841">IF(G3841:G7884="","",_xlfn.XLOOKUP(G3841:G7884,castles_state!A:A,castles_state!D:D,"見つかりません"))</f>
      </c>
      <c r="I3841" s="4"/>
      <c r="J3841" s="12" t="str">
        <f t="array" ref="J3841">IF(I3841:I7884="","",_xlfn.XLOOKUP(I3841:I7884,'参照_姫'!A:A,'参照_姫'!B:B,"見つかりません"))</f>
      </c>
      <c r="K3841" s="4">
        <v>50</v>
      </c>
      <c r="L3841" s="4">
        <v>0</v>
      </c>
      <c r="M3841" s="4"/>
      <c r="N3841" s="4"/>
      <c r="O3841" s="4"/>
      <c r="P3841" s="12" t="str">
        <f t="array" ref="P3841">IF(O3841:O7884="","",_xlfn.XLOOKUP(O3841:O7884,'参照_官位'!A:A,'参照_官位'!B:B,""))</f>
      </c>
      <c r="Q3841" s="12" t="str">
        <f t="array" ref="Q3841">IF(A3841:A7884="","",IFERROR(_xlfn.XLOOKUP(A3841:A7884,castles_state!K:K,castles_state!D:D)&amp;"主",IFERROR(_xlfn.XLOOKUP(A3841:A7884,kunishuClan!D:D,kunishuClan!B:B)&amp;"当主","")))</f>
      </c>
    </row>
    <row r="3842" ht="15.75" customHeight="1">
      <c r="A3842" s="4">
        <v>2000004</v>
      </c>
      <c r="B3842" s="12" t="str">
        <f t="array" ref="B3842">IF(A3842:A7885="","",_xlfn.XLOOKUP(A3842:A7885,'参照_武将'!A:A,'参照_武将'!B:B,"見つかりません"))</f>
      </c>
      <c r="C3842" s="4" t="s">
        <v>5992</v>
      </c>
      <c r="D3842" s="4">
        <v>0</v>
      </c>
      <c r="E3842" s="12" t="str">
        <f t="array" ref="E3842">IF(D3842:D7885="","",IFERROR(_xlfn.XLOOKUP(D3842:D7885,'参照_勢力'!A:A,'参照_勢力'!B:B),IFERROR(_xlfn.XLOOKUP(F3842:F7885,kunishuClan!A:A,kunishuClan!B:B),"浪人")))</f>
      </c>
      <c r="F3842" s="4">
        <v>0</v>
      </c>
      <c r="G3842" s="4">
        <v>56</v>
      </c>
      <c r="H3842" s="12" t="str">
        <f t="array" ref="H3842">IF(G3842:G7885="","",_xlfn.XLOOKUP(G3842:G7885,castles_state!A:A,castles_state!D:D,"見つかりません"))</f>
      </c>
      <c r="I3842" s="4"/>
      <c r="J3842" s="12" t="str">
        <f t="array" ref="J3842">IF(I3842:I7885="","",_xlfn.XLOOKUP(I3842:I7885,'参照_姫'!A:A,'参照_姫'!B:B,"見つかりません"))</f>
      </c>
      <c r="K3842" s="4">
        <v>50</v>
      </c>
      <c r="L3842" s="4">
        <v>0</v>
      </c>
      <c r="M3842" s="4"/>
      <c r="N3842" s="4"/>
      <c r="O3842" s="4"/>
      <c r="P3842" s="12" t="str">
        <f t="array" ref="P3842">IF(O3842:O7885="","",_xlfn.XLOOKUP(O3842:O7885,'参照_官位'!A:A,'参照_官位'!B:B,""))</f>
      </c>
      <c r="Q3842" s="12" t="str">
        <f t="array" ref="Q3842">IF(A3842:A7885="","",IFERROR(_xlfn.XLOOKUP(A3842:A7885,castles_state!K:K,castles_state!D:D)&amp;"主",IFERROR(_xlfn.XLOOKUP(A3842:A7885,kunishuClan!D:D,kunishuClan!B:B)&amp;"当主","")))</f>
      </c>
    </row>
    <row r="3843" ht="15.75" customHeight="1">
      <c r="A3843" s="4">
        <v>2000005</v>
      </c>
      <c r="B3843" s="12" t="str">
        <f t="array" ref="B3843">IF(A3843:A7886="","",_xlfn.XLOOKUP(A3843:A7886,'参照_武将'!A:A,'参照_武将'!B:B,"見つかりません"))</f>
      </c>
      <c r="C3843" s="4" t="s">
        <v>5992</v>
      </c>
      <c r="D3843" s="4">
        <v>0</v>
      </c>
      <c r="E3843" s="12" t="str">
        <f t="array" ref="E3843">IF(D3843:D7886="","",IFERROR(_xlfn.XLOOKUP(D3843:D7886,'参照_勢力'!A:A,'参照_勢力'!B:B),IFERROR(_xlfn.XLOOKUP(F3843:F7886,kunishuClan!A:A,kunishuClan!B:B),"浪人")))</f>
      </c>
      <c r="F3843" s="4">
        <v>0</v>
      </c>
      <c r="G3843" s="4">
        <v>157</v>
      </c>
      <c r="H3843" s="12" t="str">
        <f t="array" ref="H3843">IF(G3843:G7886="","",_xlfn.XLOOKUP(G3843:G7886,castles_state!A:A,castles_state!D:D,"見つかりません"))</f>
      </c>
      <c r="I3843" s="4"/>
      <c r="J3843" s="12" t="str">
        <f t="array" ref="J3843">IF(I3843:I7886="","",_xlfn.XLOOKUP(I3843:I7886,'参照_姫'!A:A,'参照_姫'!B:B,"見つかりません"))</f>
      </c>
      <c r="K3843" s="4">
        <v>50</v>
      </c>
      <c r="L3843" s="4">
        <v>0</v>
      </c>
      <c r="M3843" s="4"/>
      <c r="N3843" s="4"/>
      <c r="O3843" s="4"/>
      <c r="P3843" s="12" t="str">
        <f t="array" ref="P3843">IF(O3843:O7886="","",_xlfn.XLOOKUP(O3843:O7886,'参照_官位'!A:A,'参照_官位'!B:B,""))</f>
      </c>
      <c r="Q3843" s="12" t="str">
        <f t="array" ref="Q3843">IF(A3843:A7886="","",IFERROR(_xlfn.XLOOKUP(A3843:A7886,castles_state!K:K,castles_state!D:D)&amp;"主",IFERROR(_xlfn.XLOOKUP(A3843:A7886,kunishuClan!D:D,kunishuClan!B:B)&amp;"当主","")))</f>
      </c>
    </row>
    <row r="3844" ht="15.75" customHeight="1">
      <c r="A3844" s="4">
        <v>2001001</v>
      </c>
      <c r="B3844" s="12" t="str">
        <f t="array" ref="B3844">IF(A3844:A7887="","",_xlfn.XLOOKUP(A3844:A7887,'参照_武将'!A:A,'参照_武将'!B:B,"見つかりません"))</f>
      </c>
      <c r="C3844" s="4" t="s">
        <v>5993</v>
      </c>
      <c r="D3844" s="4">
        <v>0</v>
      </c>
      <c r="E3844" s="12" t="str">
        <f t="array" ref="E3844">IF(D3844:D7887="","",IFERROR(_xlfn.XLOOKUP(D3844:D7887,'参照_勢力'!A:A,'参照_勢力'!B:B),IFERROR(_xlfn.XLOOKUP(F3844:F7887,kunishuClan!A:A,kunishuClan!B:B),"浪人")))</f>
      </c>
      <c r="F3844" s="4">
        <v>1</v>
      </c>
      <c r="G3844" s="4">
        <v>43</v>
      </c>
      <c r="H3844" s="12" t="str">
        <f t="array" ref="H3844">IF(G3844:G7887="","",_xlfn.XLOOKUP(G3844:G7887,castles_state!A:A,castles_state!D:D,"見つかりません"))</f>
      </c>
      <c r="I3844" s="4"/>
      <c r="J3844" s="12" t="str">
        <f t="array" ref="J3844">IF(I3844:I7887="","",_xlfn.XLOOKUP(I3844:I7887,'参照_姫'!A:A,'参照_姫'!B:B,"見つかりません"))</f>
      </c>
      <c r="K3844" s="4">
        <v>50</v>
      </c>
      <c r="L3844" s="4">
        <v>0</v>
      </c>
      <c r="M3844" s="4"/>
      <c r="N3844" s="4"/>
      <c r="O3844" s="4"/>
      <c r="P3844" s="12" t="str">
        <f t="array" ref="P3844">IF(O3844:O7887="","",_xlfn.XLOOKUP(O3844:O7887,'参照_官位'!A:A,'参照_官位'!B:B,""))</f>
      </c>
      <c r="Q3844" s="12" t="str">
        <f t="array" ref="Q3844">IF(A3844:A7887="","",IFERROR(_xlfn.XLOOKUP(A3844:A7887,castles_state!K:K,castles_state!D:D)&amp;"主",IFERROR(_xlfn.XLOOKUP(A3844:A7887,kunishuClan!D:D,kunishuClan!B:B)&amp;"当主","")))</f>
      </c>
    </row>
    <row r="3845" ht="15.75" customHeight="1">
      <c r="A3845" s="4">
        <v>2001002</v>
      </c>
      <c r="B3845" s="12" t="str">
        <f t="array" ref="B3845">IF(A3845:A7888="","",_xlfn.XLOOKUP(A3845:A7888,'参照_武将'!A:A,'参照_武将'!B:B,"見つかりません"))</f>
      </c>
      <c r="C3845" s="4" t="s">
        <v>5993</v>
      </c>
      <c r="D3845" s="4">
        <v>0</v>
      </c>
      <c r="E3845" s="12" t="str">
        <f t="array" ref="E3845">IF(D3845:D7888="","",IFERROR(_xlfn.XLOOKUP(D3845:D7888,'参照_勢力'!A:A,'参照_勢力'!B:B),IFERROR(_xlfn.XLOOKUP(F3845:F7888,kunishuClan!A:A,kunishuClan!B:B),"浪人")))</f>
      </c>
      <c r="F3845" s="4">
        <v>1</v>
      </c>
      <c r="G3845" s="4">
        <v>43</v>
      </c>
      <c r="H3845" s="12" t="str">
        <f t="array" ref="H3845">IF(G3845:G7888="","",_xlfn.XLOOKUP(G3845:G7888,castles_state!A:A,castles_state!D:D,"見つかりません"))</f>
      </c>
      <c r="I3845" s="4"/>
      <c r="J3845" s="12" t="str">
        <f t="array" ref="J3845">IF(I3845:I7888="","",_xlfn.XLOOKUP(I3845:I7888,'参照_姫'!A:A,'参照_姫'!B:B,"見つかりません"))</f>
      </c>
      <c r="K3845" s="4">
        <v>50</v>
      </c>
      <c r="L3845" s="4">
        <v>300</v>
      </c>
      <c r="M3845" s="4"/>
      <c r="N3845" s="4"/>
      <c r="O3845" s="4"/>
      <c r="P3845" s="12" t="str">
        <f t="array" ref="P3845">IF(O3845:O7888="","",_xlfn.XLOOKUP(O3845:O7888,'参照_官位'!A:A,'参照_官位'!B:B,""))</f>
      </c>
      <c r="Q3845" s="12" t="str">
        <f t="array" ref="Q3845">IF(A3845:A7888="","",IFERROR(_xlfn.XLOOKUP(A3845:A7888,castles_state!K:K,castles_state!D:D)&amp;"主",IFERROR(_xlfn.XLOOKUP(A3845:A7888,kunishuClan!D:D,kunishuClan!B:B)&amp;"当主","")))</f>
      </c>
    </row>
    <row r="3846" ht="15.75" customHeight="1">
      <c r="A3846" s="4">
        <v>2001003</v>
      </c>
      <c r="B3846" s="12" t="str">
        <f t="array" ref="B3846">IF(A3846:A7889="","",_xlfn.XLOOKUP(A3846:A7889,'参照_武将'!A:A,'参照_武将'!B:B,"見つかりません"))</f>
      </c>
      <c r="C3846" s="4" t="s">
        <v>5993</v>
      </c>
      <c r="D3846" s="4">
        <v>0</v>
      </c>
      <c r="E3846" s="12" t="str">
        <f t="array" ref="E3846">IF(D3846:D7889="","",IFERROR(_xlfn.XLOOKUP(D3846:D7889,'参照_勢力'!A:A,'参照_勢力'!B:B),IFERROR(_xlfn.XLOOKUP(F3846:F7889,kunishuClan!A:A,kunishuClan!B:B),"浪人")))</f>
      </c>
      <c r="F3846" s="4">
        <v>1</v>
      </c>
      <c r="G3846" s="4">
        <v>43</v>
      </c>
      <c r="H3846" s="12" t="str">
        <f t="array" ref="H3846">IF(G3846:G7889="","",_xlfn.XLOOKUP(G3846:G7889,castles_state!A:A,castles_state!D:D,"見つかりません"))</f>
      </c>
      <c r="I3846" s="4"/>
      <c r="J3846" s="12" t="str">
        <f t="array" ref="J3846">IF(I3846:I7889="","",_xlfn.XLOOKUP(I3846:I7889,'参照_姫'!A:A,'参照_姫'!B:B,"見つかりません"))</f>
      </c>
      <c r="K3846" s="4">
        <v>50</v>
      </c>
      <c r="L3846" s="4">
        <v>0</v>
      </c>
      <c r="M3846" s="4"/>
      <c r="N3846" s="4"/>
      <c r="O3846" s="4"/>
      <c r="P3846" s="12" t="str">
        <f t="array" ref="P3846">IF(O3846:O7889="","",_xlfn.XLOOKUP(O3846:O7889,'参照_官位'!A:A,'参照_官位'!B:B,""))</f>
      </c>
      <c r="Q3846" s="12" t="str">
        <f t="array" ref="Q3846">IF(A3846:A7889="","",IFERROR(_xlfn.XLOOKUP(A3846:A7889,castles_state!K:K,castles_state!D:D)&amp;"主",IFERROR(_xlfn.XLOOKUP(A3846:A7889,kunishuClan!D:D,kunishuClan!B:B)&amp;"当主","")))</f>
      </c>
    </row>
    <row r="3847" ht="15.75" customHeight="1">
      <c r="A3847" s="4">
        <v>2002001</v>
      </c>
      <c r="B3847" s="12" t="str">
        <f t="array" ref="B3847">IF(A3847:A7890="","",_xlfn.XLOOKUP(A3847:A7890,'参照_武将'!A:A,'参照_武将'!B:B,"見つかりません"))</f>
      </c>
      <c r="C3847" s="4" t="s">
        <v>5994</v>
      </c>
      <c r="D3847" s="4">
        <v>0</v>
      </c>
      <c r="E3847" s="12" t="str">
        <f t="array" ref="E3847">IF(D3847:D7890="","",IFERROR(_xlfn.XLOOKUP(D3847:D7890,'参照_勢力'!A:A,'参照_勢力'!B:B),IFERROR(_xlfn.XLOOKUP(F3847:F7890,kunishuClan!A:A,kunishuClan!B:B),"浪人")))</f>
      </c>
      <c r="F3847" s="4">
        <v>2</v>
      </c>
      <c r="G3847" s="4">
        <v>80</v>
      </c>
      <c r="H3847" s="12" t="str">
        <f t="array" ref="H3847">IF(G3847:G7890="","",_xlfn.XLOOKUP(G3847:G7890,castles_state!A:A,castles_state!D:D,"見つかりません"))</f>
      </c>
      <c r="I3847" s="4"/>
      <c r="J3847" s="12" t="str">
        <f t="array" ref="J3847">IF(I3847:I7890="","",_xlfn.XLOOKUP(I3847:I7890,'参照_姫'!A:A,'参照_姫'!B:B,"見つかりません"))</f>
      </c>
      <c r="K3847" s="4">
        <v>50</v>
      </c>
      <c r="L3847" s="4">
        <v>300</v>
      </c>
      <c r="M3847" s="4"/>
      <c r="N3847" s="4"/>
      <c r="O3847" s="4"/>
      <c r="P3847" s="12" t="str">
        <f t="array" ref="P3847">IF(O3847:O7890="","",_xlfn.XLOOKUP(O3847:O7890,'参照_官位'!A:A,'参照_官位'!B:B,""))</f>
      </c>
      <c r="Q3847" s="12" t="str">
        <f t="array" ref="Q3847">IF(A3847:A7890="","",IFERROR(_xlfn.XLOOKUP(A3847:A7890,castles_state!K:K,castles_state!D:D)&amp;"主",IFERROR(_xlfn.XLOOKUP(A3847:A7890,kunishuClan!D:D,kunishuClan!B:B)&amp;"当主","")))</f>
      </c>
    </row>
    <row r="3848" ht="15.75" customHeight="1">
      <c r="A3848" s="4">
        <v>2002002</v>
      </c>
      <c r="B3848" s="12" t="str">
        <f t="array" ref="B3848">IF(A3848:A7891="","",_xlfn.XLOOKUP(A3848:A7891,'参照_武将'!A:A,'参照_武将'!B:B,"見つかりません"))</f>
      </c>
      <c r="C3848" s="4" t="s">
        <v>5994</v>
      </c>
      <c r="D3848" s="4">
        <v>0</v>
      </c>
      <c r="E3848" s="12" t="str">
        <f t="array" ref="E3848">IF(D3848:D7891="","",IFERROR(_xlfn.XLOOKUP(D3848:D7891,'参照_勢力'!A:A,'参照_勢力'!B:B),IFERROR(_xlfn.XLOOKUP(F3848:F7891,kunishuClan!A:A,kunishuClan!B:B),"浪人")))</f>
      </c>
      <c r="F3848" s="4">
        <v>2</v>
      </c>
      <c r="G3848" s="4">
        <v>80</v>
      </c>
      <c r="H3848" s="12" t="str">
        <f t="array" ref="H3848">IF(G3848:G7891="","",_xlfn.XLOOKUP(G3848:G7891,castles_state!A:A,castles_state!D:D,"見つかりません"))</f>
      </c>
      <c r="I3848" s="4"/>
      <c r="J3848" s="12" t="str">
        <f t="array" ref="J3848">IF(I3848:I7891="","",_xlfn.XLOOKUP(I3848:I7891,'参照_姫'!A:A,'参照_姫'!B:B,"見つかりません"))</f>
      </c>
      <c r="K3848" s="4">
        <v>50</v>
      </c>
      <c r="L3848" s="4">
        <v>0</v>
      </c>
      <c r="M3848" s="4"/>
      <c r="N3848" s="4"/>
      <c r="O3848" s="4"/>
      <c r="P3848" s="12" t="str">
        <f t="array" ref="P3848">IF(O3848:O7891="","",_xlfn.XLOOKUP(O3848:O7891,'参照_官位'!A:A,'参照_官位'!B:B,""))</f>
      </c>
      <c r="Q3848" s="12" t="str">
        <f t="array" ref="Q3848">IF(A3848:A7891="","",IFERROR(_xlfn.XLOOKUP(A3848:A7891,castles_state!K:K,castles_state!D:D)&amp;"主",IFERROR(_xlfn.XLOOKUP(A3848:A7891,kunishuClan!D:D,kunishuClan!B:B)&amp;"当主","")))</f>
      </c>
    </row>
    <row r="3849" ht="15.75" customHeight="1">
      <c r="A3849" s="4">
        <v>2003001</v>
      </c>
      <c r="B3849" s="12" t="str">
        <f t="array" ref="B3849">IF(A3849:A7892="","",_xlfn.XLOOKUP(A3849:A7892,'参照_武将'!A:A,'参照_武将'!B:B,"見つかりません"))</f>
      </c>
      <c r="C3849" s="4" t="s">
        <v>5995</v>
      </c>
      <c r="D3849" s="4">
        <v>0</v>
      </c>
      <c r="E3849" s="12" t="str">
        <f t="array" ref="E3849">IF(D3849:D7892="","",IFERROR(_xlfn.XLOOKUP(D3849:D7892,'参照_勢力'!A:A,'参照_勢力'!B:B),IFERROR(_xlfn.XLOOKUP(F3849:F7892,kunishuClan!A:A,kunishuClan!B:B),"浪人")))</f>
      </c>
      <c r="F3849" s="4">
        <v>3</v>
      </c>
      <c r="G3849" s="4">
        <v>42</v>
      </c>
      <c r="H3849" s="12" t="str">
        <f t="array" ref="H3849">IF(G3849:G7892="","",_xlfn.XLOOKUP(G3849:G7892,castles_state!A:A,castles_state!D:D,"見つかりません"))</f>
      </c>
      <c r="I3849" s="4"/>
      <c r="J3849" s="12" t="str">
        <f t="array" ref="J3849">IF(I3849:I7892="","",_xlfn.XLOOKUP(I3849:I7892,'参照_姫'!A:A,'参照_姫'!B:B,"見つかりません"))</f>
      </c>
      <c r="K3849" s="4">
        <v>50</v>
      </c>
      <c r="L3849" s="4">
        <v>300</v>
      </c>
      <c r="M3849" s="4"/>
      <c r="N3849" s="4"/>
      <c r="O3849" s="4"/>
      <c r="P3849" s="12" t="str">
        <f t="array" ref="P3849">IF(O3849:O7892="","",_xlfn.XLOOKUP(O3849:O7892,'参照_官位'!A:A,'参照_官位'!B:B,""))</f>
      </c>
      <c r="Q3849" s="12" t="str">
        <f t="array" ref="Q3849">IF(A3849:A7892="","",IFERROR(_xlfn.XLOOKUP(A3849:A7892,castles_state!K:K,castles_state!D:D)&amp;"主",IFERROR(_xlfn.XLOOKUP(A3849:A7892,kunishuClan!D:D,kunishuClan!B:B)&amp;"当主","")))</f>
      </c>
    </row>
    <row r="3850" ht="15.75" customHeight="1">
      <c r="A3850" s="4">
        <v>2003002</v>
      </c>
      <c r="B3850" s="12" t="str">
        <f t="array" ref="B3850">IF(A3850:A7893="","",_xlfn.XLOOKUP(A3850:A7893,'参照_武将'!A:A,'参照_武将'!B:B,"見つかりません"))</f>
      </c>
      <c r="C3850" s="4" t="s">
        <v>5995</v>
      </c>
      <c r="D3850" s="4">
        <v>0</v>
      </c>
      <c r="E3850" s="12" t="str">
        <f t="array" ref="E3850">IF(D3850:D7893="","",IFERROR(_xlfn.XLOOKUP(D3850:D7893,'参照_勢力'!A:A,'参照_勢力'!B:B),IFERROR(_xlfn.XLOOKUP(F3850:F7893,kunishuClan!A:A,kunishuClan!B:B),"浪人")))</f>
      </c>
      <c r="F3850" s="4">
        <v>3</v>
      </c>
      <c r="G3850" s="4">
        <v>42</v>
      </c>
      <c r="H3850" s="12" t="str">
        <f t="array" ref="H3850">IF(G3850:G7893="","",_xlfn.XLOOKUP(G3850:G7893,castles_state!A:A,castles_state!D:D,"見つかりません"))</f>
      </c>
      <c r="I3850" s="4"/>
      <c r="J3850" s="12" t="str">
        <f t="array" ref="J3850">IF(I3850:I7893="","",_xlfn.XLOOKUP(I3850:I7893,'参照_姫'!A:A,'参照_姫'!B:B,"見つかりません"))</f>
      </c>
      <c r="K3850" s="4">
        <v>50</v>
      </c>
      <c r="L3850" s="4">
        <v>0</v>
      </c>
      <c r="M3850" s="4"/>
      <c r="N3850" s="4"/>
      <c r="O3850" s="4"/>
      <c r="P3850" s="12" t="str">
        <f t="array" ref="P3850">IF(O3850:O7893="","",_xlfn.XLOOKUP(O3850:O7893,'参照_官位'!A:A,'参照_官位'!B:B,""))</f>
      </c>
      <c r="Q3850" s="12" t="str">
        <f t="array" ref="Q3850">IF(A3850:A7893="","",IFERROR(_xlfn.XLOOKUP(A3850:A7893,castles_state!K:K,castles_state!D:D)&amp;"主",IFERROR(_xlfn.XLOOKUP(A3850:A7893,kunishuClan!D:D,kunishuClan!B:B)&amp;"当主","")))</f>
      </c>
    </row>
    <row r="3851" ht="15.75" customHeight="1">
      <c r="A3851" s="4">
        <v>2005001</v>
      </c>
      <c r="B3851" s="12" t="str">
        <f t="array" ref="B3851">IF(A3851:A7894="","",_xlfn.XLOOKUP(A3851:A7894,'参照_武将'!A:A,'参照_武将'!B:B,"見つかりません"))</f>
      </c>
      <c r="C3851" s="4" t="s">
        <v>5996</v>
      </c>
      <c r="D3851" s="4">
        <v>0</v>
      </c>
      <c r="E3851" s="12" t="str">
        <f t="array" ref="E3851">IF(D3851:D7894="","",IFERROR(_xlfn.XLOOKUP(D3851:D7894,'参照_勢力'!A:A,'参照_勢力'!B:B),IFERROR(_xlfn.XLOOKUP(F3851:F7894,kunishuClan!A:A,kunishuClan!B:B),"浪人")))</f>
      </c>
      <c r="F3851" s="4">
        <v>5</v>
      </c>
      <c r="G3851" s="4">
        <v>19</v>
      </c>
      <c r="H3851" s="12" t="str">
        <f t="array" ref="H3851">IF(G3851:G7894="","",_xlfn.XLOOKUP(G3851:G7894,castles_state!A:A,castles_state!D:D,"見つかりません"))</f>
      </c>
      <c r="I3851" s="4"/>
      <c r="J3851" s="12" t="str">
        <f t="array" ref="J3851">IF(I3851:I7894="","",_xlfn.XLOOKUP(I3851:I7894,'参照_姫'!A:A,'参照_姫'!B:B,"見つかりません"))</f>
      </c>
      <c r="K3851" s="4">
        <v>50</v>
      </c>
      <c r="L3851" s="4">
        <v>300</v>
      </c>
      <c r="M3851" s="4"/>
      <c r="N3851" s="4"/>
      <c r="O3851" s="4"/>
      <c r="P3851" s="12" t="str">
        <f t="array" ref="P3851">IF(O3851:O7894="","",_xlfn.XLOOKUP(O3851:O7894,'参照_官位'!A:A,'参照_官位'!B:B,""))</f>
      </c>
      <c r="Q3851" s="12" t="str">
        <f t="array" ref="Q3851">IF(A3851:A7894="","",IFERROR(_xlfn.XLOOKUP(A3851:A7894,castles_state!K:K,castles_state!D:D)&amp;"主",IFERROR(_xlfn.XLOOKUP(A3851:A7894,kunishuClan!D:D,kunishuClan!B:B)&amp;"当主","")))</f>
      </c>
    </row>
    <row r="3852" ht="15.75" customHeight="1">
      <c r="A3852" s="4">
        <v>2006001</v>
      </c>
      <c r="B3852" s="12" t="str">
        <f t="array" ref="B3852">IF(A3852:A7895="","",_xlfn.XLOOKUP(A3852:A7895,'参照_武将'!A:A,'参照_武将'!B:B,"見つかりません"))</f>
      </c>
      <c r="C3852" s="4" t="s">
        <v>5997</v>
      </c>
      <c r="D3852" s="4">
        <v>0</v>
      </c>
      <c r="E3852" s="12" t="str">
        <f t="array" ref="E3852">IF(D3852:D7895="","",IFERROR(_xlfn.XLOOKUP(D3852:D7895,'参照_勢力'!A:A,'参照_勢力'!B:B),IFERROR(_xlfn.XLOOKUP(F3852:F7895,kunishuClan!A:A,kunishuClan!B:B),"浪人")))</f>
      </c>
      <c r="F3852" s="4">
        <v>6</v>
      </c>
      <c r="G3852" s="4">
        <v>48</v>
      </c>
      <c r="H3852" s="12" t="str">
        <f t="array" ref="H3852">IF(G3852:G7895="","",_xlfn.XLOOKUP(G3852:G7895,castles_state!A:A,castles_state!D:D,"見つかりません"))</f>
      </c>
      <c r="I3852" s="4"/>
      <c r="J3852" s="12" t="str">
        <f t="array" ref="J3852">IF(I3852:I7895="","",_xlfn.XLOOKUP(I3852:I7895,'参照_姫'!A:A,'参照_姫'!B:B,"見つかりません"))</f>
      </c>
      <c r="K3852" s="4">
        <v>50</v>
      </c>
      <c r="L3852" s="4">
        <v>0</v>
      </c>
      <c r="M3852" s="4"/>
      <c r="N3852" s="4"/>
      <c r="O3852" s="4"/>
      <c r="P3852" s="12" t="str">
        <f t="array" ref="P3852">IF(O3852:O7895="","",_xlfn.XLOOKUP(O3852:O7895,'参照_官位'!A:A,'参照_官位'!B:B,""))</f>
      </c>
      <c r="Q3852" s="12" t="str">
        <f t="array" ref="Q3852">IF(A3852:A7895="","",IFERROR(_xlfn.XLOOKUP(A3852:A7895,castles_state!K:K,castles_state!D:D)&amp;"主",IFERROR(_xlfn.XLOOKUP(A3852:A7895,kunishuClan!D:D,kunishuClan!B:B)&amp;"当主","")))</f>
      </c>
    </row>
    <row r="3853" ht="15.75" customHeight="1">
      <c r="A3853" s="4">
        <v>2006002</v>
      </c>
      <c r="B3853" s="12" t="str">
        <f t="array" ref="B3853">IF(A3853:A7896="","",_xlfn.XLOOKUP(A3853:A7896,'参照_武将'!A:A,'参照_武将'!B:B,"見つかりません"))</f>
      </c>
      <c r="C3853" s="4" t="s">
        <v>5997</v>
      </c>
      <c r="D3853" s="4">
        <v>0</v>
      </c>
      <c r="E3853" s="12" t="str">
        <f t="array" ref="E3853">IF(D3853:D7896="","",IFERROR(_xlfn.XLOOKUP(D3853:D7896,'参照_勢力'!A:A,'参照_勢力'!B:B),IFERROR(_xlfn.XLOOKUP(F3853:F7896,kunishuClan!A:A,kunishuClan!B:B),"浪人")))</f>
      </c>
      <c r="F3853" s="4">
        <v>6</v>
      </c>
      <c r="G3853" s="4">
        <v>48</v>
      </c>
      <c r="H3853" s="12" t="str">
        <f t="array" ref="H3853">IF(G3853:G7896="","",_xlfn.XLOOKUP(G3853:G7896,castles_state!A:A,castles_state!D:D,"見つかりません"))</f>
      </c>
      <c r="I3853" s="4"/>
      <c r="J3853" s="12" t="str">
        <f t="array" ref="J3853">IF(I3853:I7896="","",_xlfn.XLOOKUP(I3853:I7896,'参照_姫'!A:A,'参照_姫'!B:B,"見つかりません"))</f>
      </c>
      <c r="K3853" s="4">
        <v>50</v>
      </c>
      <c r="L3853" s="4">
        <v>300</v>
      </c>
      <c r="M3853" s="4"/>
      <c r="N3853" s="4"/>
      <c r="O3853" s="4"/>
      <c r="P3853" s="12" t="str">
        <f t="array" ref="P3853">IF(O3853:O7896="","",_xlfn.XLOOKUP(O3853:O7896,'参照_官位'!A:A,'参照_官位'!B:B,""))</f>
      </c>
      <c r="Q3853" s="12" t="str">
        <f t="array" ref="Q3853">IF(A3853:A7896="","",IFERROR(_xlfn.XLOOKUP(A3853:A7896,castles_state!K:K,castles_state!D:D)&amp;"主",IFERROR(_xlfn.XLOOKUP(A3853:A7896,kunishuClan!D:D,kunishuClan!B:B)&amp;"当主","")))</f>
      </c>
    </row>
    <row r="3854" ht="15.75" customHeight="1">
      <c r="A3854" s="4">
        <v>2006003</v>
      </c>
      <c r="B3854" s="12" t="str">
        <f t="array" ref="B3854">IF(A3854:A7897="","",_xlfn.XLOOKUP(A3854:A7897,'参照_武将'!A:A,'参照_武将'!B:B,"見つかりません"))</f>
      </c>
      <c r="C3854" s="4" t="s">
        <v>5997</v>
      </c>
      <c r="D3854" s="4">
        <v>0</v>
      </c>
      <c r="E3854" s="12" t="str">
        <f t="array" ref="E3854">IF(D3854:D7897="","",IFERROR(_xlfn.XLOOKUP(D3854:D7897,'参照_勢力'!A:A,'参照_勢力'!B:B),IFERROR(_xlfn.XLOOKUP(F3854:F7897,kunishuClan!A:A,kunishuClan!B:B),"浪人")))</f>
      </c>
      <c r="F3854" s="4">
        <v>6</v>
      </c>
      <c r="G3854" s="4">
        <v>48</v>
      </c>
      <c r="H3854" s="12" t="str">
        <f t="array" ref="H3854">IF(G3854:G7897="","",_xlfn.XLOOKUP(G3854:G7897,castles_state!A:A,castles_state!D:D,"見つかりません"))</f>
      </c>
      <c r="I3854" s="4"/>
      <c r="J3854" s="12" t="str">
        <f t="array" ref="J3854">IF(I3854:I7897="","",_xlfn.XLOOKUP(I3854:I7897,'参照_姫'!A:A,'参照_姫'!B:B,"見つかりません"))</f>
      </c>
      <c r="K3854" s="4">
        <v>50</v>
      </c>
      <c r="L3854" s="4">
        <v>0</v>
      </c>
      <c r="M3854" s="4"/>
      <c r="N3854" s="4"/>
      <c r="O3854" s="4"/>
      <c r="P3854" s="12" t="str">
        <f t="array" ref="P3854">IF(O3854:O7897="","",_xlfn.XLOOKUP(O3854:O7897,'参照_官位'!A:A,'参照_官位'!B:B,""))</f>
      </c>
      <c r="Q3854" s="12" t="str">
        <f t="array" ref="Q3854">IF(A3854:A7897="","",IFERROR(_xlfn.XLOOKUP(A3854:A7897,castles_state!K:K,castles_state!D:D)&amp;"主",IFERROR(_xlfn.XLOOKUP(A3854:A7897,kunishuClan!D:D,kunishuClan!B:B)&amp;"当主","")))</f>
      </c>
    </row>
    <row r="3855" ht="15.75" customHeight="1">
      <c r="A3855" s="4">
        <v>2006004</v>
      </c>
      <c r="B3855" s="12" t="str">
        <f t="array" ref="B3855">IF(A3855:A7898="","",_xlfn.XLOOKUP(A3855:A7898,'参照_武将'!A:A,'参照_武将'!B:B,"見つかりません"))</f>
      </c>
      <c r="C3855" s="4" t="s">
        <v>5997</v>
      </c>
      <c r="D3855" s="4">
        <v>1</v>
      </c>
      <c r="E3855" s="12" t="str">
        <f t="array" ref="E3855">IF(D3855:D7898="","",IFERROR(_xlfn.XLOOKUP(D3855:D7898,'参照_勢力'!A:A,'参照_勢力'!B:B),IFERROR(_xlfn.XLOOKUP(F3855:F7898,kunishuClan!A:A,kunishuClan!B:B),"浪人")))</f>
      </c>
      <c r="F3855" s="4">
        <v>0</v>
      </c>
      <c r="G3855" s="4">
        <v>7</v>
      </c>
      <c r="H3855" s="12" t="str">
        <f t="array" ref="H3855">IF(G3855:G7898="","",_xlfn.XLOOKUP(G3855:G7898,castles_state!A:A,castles_state!D:D,"見つかりません"))</f>
      </c>
      <c r="I3855" s="4"/>
      <c r="J3855" s="12" t="str">
        <f t="array" ref="J3855">IF(I3855:I7898="","",_xlfn.XLOOKUP(I3855:I7898,'参照_姫'!A:A,'参照_姫'!B:B,"見つかりません"))</f>
      </c>
      <c r="K3855" s="4">
        <v>95</v>
      </c>
      <c r="L3855" s="4">
        <v>0</v>
      </c>
      <c r="M3855" s="4"/>
      <c r="N3855" s="4"/>
      <c r="O3855" s="4"/>
      <c r="P3855" s="12" t="str">
        <f t="array" ref="P3855">IF(O3855:O7898="","",_xlfn.XLOOKUP(O3855:O7898,'参照_官位'!A:A,'参照_官位'!B:B,""))</f>
      </c>
      <c r="Q3855" s="12" t="str">
        <f t="array" ref="Q3855">IF(A3855:A7898="","",IFERROR(_xlfn.XLOOKUP(A3855:A7898,castles_state!K:K,castles_state!D:D)&amp;"主",IFERROR(_xlfn.XLOOKUP(A3855:A7898,kunishuClan!D:D,kunishuClan!B:B)&amp;"当主","")))</f>
      </c>
    </row>
    <row r="3856" ht="15.75" customHeight="1">
      <c r="A3856" s="4">
        <v>2006005</v>
      </c>
      <c r="B3856" s="12" t="str">
        <f t="array" ref="B3856">IF(A3856:A7899="","",_xlfn.XLOOKUP(A3856:A7899,'参照_武将'!A:A,'参照_武将'!B:B,"見つかりません"))</f>
      </c>
      <c r="C3856" s="4" t="s">
        <v>5997</v>
      </c>
      <c r="D3856" s="4">
        <v>0</v>
      </c>
      <c r="E3856" s="12" t="str">
        <f t="array" ref="E3856">IF(D3856:D7899="","",IFERROR(_xlfn.XLOOKUP(D3856:D7899,'参照_勢力'!A:A,'参照_勢力'!B:B),IFERROR(_xlfn.XLOOKUP(F3856:F7899,kunishuClan!A:A,kunishuClan!B:B),"浪人")))</f>
      </c>
      <c r="F3856" s="4">
        <v>6</v>
      </c>
      <c r="G3856" s="4">
        <v>48</v>
      </c>
      <c r="H3856" s="12" t="str">
        <f t="array" ref="H3856">IF(G3856:G7899="","",_xlfn.XLOOKUP(G3856:G7899,castles_state!A:A,castles_state!D:D,"見つかりません"))</f>
      </c>
      <c r="I3856" s="4"/>
      <c r="J3856" s="12" t="str">
        <f t="array" ref="J3856">IF(I3856:I7899="","",_xlfn.XLOOKUP(I3856:I7899,'参照_姫'!A:A,'参照_姫'!B:B,"見つかりません"))</f>
      </c>
      <c r="K3856" s="4">
        <v>50</v>
      </c>
      <c r="L3856" s="4">
        <v>0</v>
      </c>
      <c r="M3856" s="4"/>
      <c r="N3856" s="4"/>
      <c r="O3856" s="4"/>
      <c r="P3856" s="12" t="str">
        <f t="array" ref="P3856">IF(O3856:O7899="","",_xlfn.XLOOKUP(O3856:O7899,'参照_官位'!A:A,'参照_官位'!B:B,""))</f>
      </c>
      <c r="Q3856" s="12" t="str">
        <f t="array" ref="Q3856">IF(A3856:A7899="","",IFERROR(_xlfn.XLOOKUP(A3856:A7899,castles_state!K:K,castles_state!D:D)&amp;"主",IFERROR(_xlfn.XLOOKUP(A3856:A7899,kunishuClan!D:D,kunishuClan!B:B)&amp;"当主","")))</f>
      </c>
    </row>
    <row r="3857" ht="15.75" customHeight="1">
      <c r="A3857" s="4">
        <v>2006006</v>
      </c>
      <c r="B3857" s="12" t="str">
        <f t="array" ref="B3857">IF(A3857:A7900="","",_xlfn.XLOOKUP(A3857:A7900,'参照_武将'!A:A,'参照_武将'!B:B,"見つかりません"))</f>
      </c>
      <c r="C3857" s="4" t="s">
        <v>5997</v>
      </c>
      <c r="D3857" s="4">
        <v>0</v>
      </c>
      <c r="E3857" s="12" t="str">
        <f t="array" ref="E3857">IF(D3857:D7900="","",IFERROR(_xlfn.XLOOKUP(D3857:D7900,'参照_勢力'!A:A,'参照_勢力'!B:B),IFERROR(_xlfn.XLOOKUP(F3857:F7900,kunishuClan!A:A,kunishuClan!B:B),"浪人")))</f>
      </c>
      <c r="F3857" s="4">
        <v>6</v>
      </c>
      <c r="G3857" s="4">
        <v>48</v>
      </c>
      <c r="H3857" s="12" t="str">
        <f t="array" ref="H3857">IF(G3857:G7900="","",_xlfn.XLOOKUP(G3857:G7900,castles_state!A:A,castles_state!D:D,"見つかりません"))</f>
      </c>
      <c r="I3857" s="4"/>
      <c r="J3857" s="12" t="str">
        <f t="array" ref="J3857">IF(I3857:I7900="","",_xlfn.XLOOKUP(I3857:I7900,'参照_姫'!A:A,'参照_姫'!B:B,"見つかりません"))</f>
      </c>
      <c r="K3857" s="4">
        <v>50</v>
      </c>
      <c r="L3857" s="4">
        <v>0</v>
      </c>
      <c r="M3857" s="4"/>
      <c r="N3857" s="4"/>
      <c r="O3857" s="4"/>
      <c r="P3857" s="12" t="str">
        <f t="array" ref="P3857">IF(O3857:O7900="","",_xlfn.XLOOKUP(O3857:O7900,'参照_官位'!A:A,'参照_官位'!B:B,""))</f>
      </c>
      <c r="Q3857" s="12" t="str">
        <f t="array" ref="Q3857">IF(A3857:A7900="","",IFERROR(_xlfn.XLOOKUP(A3857:A7900,castles_state!K:K,castles_state!D:D)&amp;"主",IFERROR(_xlfn.XLOOKUP(A3857:A7900,kunishuClan!D:D,kunishuClan!B:B)&amp;"当主","")))</f>
      </c>
    </row>
    <row r="3858" ht="15.75" customHeight="1">
      <c r="A3858" s="4">
        <v>2006007</v>
      </c>
      <c r="B3858" s="12" t="str">
        <f t="array" ref="B3858">IF(A3858:A7901="","",_xlfn.XLOOKUP(A3858:A7901,'参照_武将'!A:A,'参照_武将'!B:B,"見つかりません"))</f>
      </c>
      <c r="C3858" s="4" t="s">
        <v>5997</v>
      </c>
      <c r="D3858" s="4">
        <v>301</v>
      </c>
      <c r="E3858" s="12" t="str">
        <f t="array" ref="E3858">IF(D3858:D7901="","",IFERROR(_xlfn.XLOOKUP(D3858:D7901,'参照_勢力'!A:A,'参照_勢力'!B:B),IFERROR(_xlfn.XLOOKUP(F3858:F7901,kunishuClan!A:A,kunishuClan!B:B),"浪人")))</f>
      </c>
      <c r="F3858" s="4">
        <v>0</v>
      </c>
      <c r="G3858" s="4">
        <v>48</v>
      </c>
      <c r="H3858" s="12" t="str">
        <f t="array" ref="H3858">IF(G3858:G7901="","",_xlfn.XLOOKUP(G3858:G7901,castles_state!A:A,castles_state!D:D,"見つかりません"))</f>
      </c>
      <c r="I3858" s="4"/>
      <c r="J3858" s="12" t="str">
        <f t="array" ref="J3858">IF(I3858:I7901="","",_xlfn.XLOOKUP(I3858:I7901,'参照_姫'!A:A,'参照_姫'!B:B,"見つかりません"))</f>
      </c>
      <c r="K3858" s="4">
        <v>90</v>
      </c>
      <c r="L3858" s="4">
        <v>0</v>
      </c>
      <c r="M3858" s="4"/>
      <c r="N3858" s="4"/>
      <c r="O3858" s="4"/>
      <c r="P3858" s="12" t="str">
        <f t="array" ref="P3858">IF(O3858:O7901="","",_xlfn.XLOOKUP(O3858:O7901,'参照_官位'!A:A,'参照_官位'!B:B,""))</f>
      </c>
      <c r="Q3858" s="12" t="str">
        <f t="array" ref="Q3858">IF(A3858:A7901="","",IFERROR(_xlfn.XLOOKUP(A3858:A7901,castles_state!K:K,castles_state!D:D)&amp;"主",IFERROR(_xlfn.XLOOKUP(A3858:A7901,kunishuClan!D:D,kunishuClan!B:B)&amp;"当主","")))</f>
      </c>
    </row>
    <row r="3859" ht="15.75" customHeight="1">
      <c r="A3859" s="4">
        <v>2006008</v>
      </c>
      <c r="B3859" s="12" t="str">
        <f t="array" ref="B3859">IF(A3859:A7902="","",_xlfn.XLOOKUP(A3859:A7902,'参照_武将'!A:A,'参照_武将'!B:B,"見つかりません"))</f>
      </c>
      <c r="C3859" s="4" t="s">
        <v>5997</v>
      </c>
      <c r="D3859" s="4">
        <v>0</v>
      </c>
      <c r="E3859" s="12" t="str">
        <f t="array" ref="E3859">IF(D3859:D7902="","",IFERROR(_xlfn.XLOOKUP(D3859:D7902,'参照_勢力'!A:A,'参照_勢力'!B:B),IFERROR(_xlfn.XLOOKUP(F3859:F7902,kunishuClan!A:A,kunishuClan!B:B),"浪人")))</f>
      </c>
      <c r="F3859" s="4">
        <v>6</v>
      </c>
      <c r="G3859" s="4">
        <v>48</v>
      </c>
      <c r="H3859" s="12" t="str">
        <f t="array" ref="H3859">IF(G3859:G7902="","",_xlfn.XLOOKUP(G3859:G7902,castles_state!A:A,castles_state!D:D,"見つかりません"))</f>
      </c>
      <c r="I3859" s="4"/>
      <c r="J3859" s="12" t="str">
        <f t="array" ref="J3859">IF(I3859:I7902="","",_xlfn.XLOOKUP(I3859:I7902,'参照_姫'!A:A,'参照_姫'!B:B,"見つかりません"))</f>
      </c>
      <c r="K3859" s="4">
        <v>50</v>
      </c>
      <c r="L3859" s="4">
        <v>0</v>
      </c>
      <c r="M3859" s="4"/>
      <c r="N3859" s="4"/>
      <c r="O3859" s="4"/>
      <c r="P3859" s="12" t="str">
        <f t="array" ref="P3859">IF(O3859:O7902="","",_xlfn.XLOOKUP(O3859:O7902,'参照_官位'!A:A,'参照_官位'!B:B,""))</f>
      </c>
      <c r="Q3859" s="12" t="str">
        <f t="array" ref="Q3859">IF(A3859:A7902="","",IFERROR(_xlfn.XLOOKUP(A3859:A7902,castles_state!K:K,castles_state!D:D)&amp;"主",IFERROR(_xlfn.XLOOKUP(A3859:A7902,kunishuClan!D:D,kunishuClan!B:B)&amp;"当主","")))</f>
      </c>
    </row>
    <row r="3860" ht="15.75" customHeight="1">
      <c r="A3860" s="4">
        <v>2006009</v>
      </c>
      <c r="B3860" s="12" t="str">
        <f t="array" ref="B3860">IF(A3860:A7903="","",_xlfn.XLOOKUP(A3860:A7903,'参照_武将'!A:A,'参照_武将'!B:B,"見つかりません"))</f>
      </c>
      <c r="C3860" s="4" t="s">
        <v>5997</v>
      </c>
      <c r="D3860" s="4">
        <v>0</v>
      </c>
      <c r="E3860" s="12" t="str">
        <f t="array" ref="E3860">IF(D3860:D7903="","",IFERROR(_xlfn.XLOOKUP(D3860:D7903,'参照_勢力'!A:A,'参照_勢力'!B:B),IFERROR(_xlfn.XLOOKUP(F3860:F7903,kunishuClan!A:A,kunishuClan!B:B),"浪人")))</f>
      </c>
      <c r="F3860" s="4">
        <v>6</v>
      </c>
      <c r="G3860" s="4">
        <v>48</v>
      </c>
      <c r="H3860" s="12" t="str">
        <f t="array" ref="H3860">IF(G3860:G7903="","",_xlfn.XLOOKUP(G3860:G7903,castles_state!A:A,castles_state!D:D,"見つかりません"))</f>
      </c>
      <c r="I3860" s="4"/>
      <c r="J3860" s="12" t="str">
        <f t="array" ref="J3860">IF(I3860:I7903="","",_xlfn.XLOOKUP(I3860:I7903,'参照_姫'!A:A,'参照_姫'!B:B,"見つかりません"))</f>
      </c>
      <c r="K3860" s="4">
        <v>50</v>
      </c>
      <c r="L3860" s="4">
        <v>0</v>
      </c>
      <c r="M3860" s="4"/>
      <c r="N3860" s="4"/>
      <c r="O3860" s="4"/>
      <c r="P3860" s="12" t="str">
        <f t="array" ref="P3860">IF(O3860:O7903="","",_xlfn.XLOOKUP(O3860:O7903,'参照_官位'!A:A,'参照_官位'!B:B,""))</f>
      </c>
      <c r="Q3860" s="12" t="str">
        <f t="array" ref="Q3860">IF(A3860:A7903="","",IFERROR(_xlfn.XLOOKUP(A3860:A7903,castles_state!K:K,castles_state!D:D)&amp;"主",IFERROR(_xlfn.XLOOKUP(A3860:A7903,kunishuClan!D:D,kunishuClan!B:B)&amp;"当主","")))</f>
      </c>
    </row>
    <row r="3861" ht="15.75" customHeight="1">
      <c r="A3861" s="4">
        <v>2008001</v>
      </c>
      <c r="B3861" s="12" t="str">
        <f t="array" ref="B3861">IF(A3861:A7904="","",_xlfn.XLOOKUP(A3861:A7904,'参照_武将'!A:A,'参照_武将'!B:B,"見つかりません"))</f>
      </c>
      <c r="C3861" s="4" t="s">
        <v>5998</v>
      </c>
      <c r="D3861" s="4">
        <v>0</v>
      </c>
      <c r="E3861" s="12" t="str">
        <f t="array" ref="E3861">IF(D3861:D7904="","",IFERROR(_xlfn.XLOOKUP(D3861:D7904,'参照_勢力'!A:A,'参照_勢力'!B:B),IFERROR(_xlfn.XLOOKUP(F3861:F7904,kunishuClan!A:A,kunishuClan!B:B),"浪人")))</f>
      </c>
      <c r="F3861" s="4">
        <v>8</v>
      </c>
      <c r="G3861" s="4">
        <v>40</v>
      </c>
      <c r="H3861" s="12" t="str">
        <f t="array" ref="H3861">IF(G3861:G7904="","",_xlfn.XLOOKUP(G3861:G7904,castles_state!A:A,castles_state!D:D,"見つかりません"))</f>
      </c>
      <c r="I3861" s="4"/>
      <c r="J3861" s="12" t="str">
        <f t="array" ref="J3861">IF(I3861:I7904="","",_xlfn.XLOOKUP(I3861:I7904,'参照_姫'!A:A,'参照_姫'!B:B,"見つかりません"))</f>
      </c>
      <c r="K3861" s="4">
        <v>50</v>
      </c>
      <c r="L3861" s="4">
        <v>300</v>
      </c>
      <c r="M3861" s="4"/>
      <c r="N3861" s="4"/>
      <c r="O3861" s="4"/>
      <c r="P3861" s="12" t="str">
        <f t="array" ref="P3861">IF(O3861:O7904="","",_xlfn.XLOOKUP(O3861:O7904,'参照_官位'!A:A,'参照_官位'!B:B,""))</f>
      </c>
      <c r="Q3861" s="12" t="str">
        <f t="array" ref="Q3861">IF(A3861:A7904="","",IFERROR(_xlfn.XLOOKUP(A3861:A7904,castles_state!K:K,castles_state!D:D)&amp;"主",IFERROR(_xlfn.XLOOKUP(A3861:A7904,kunishuClan!D:D,kunishuClan!B:B)&amp;"当主","")))</f>
      </c>
    </row>
    <row r="3862" ht="15.75" customHeight="1">
      <c r="A3862" s="4">
        <v>2008002</v>
      </c>
      <c r="B3862" s="12" t="str">
        <f t="array" ref="B3862">IF(A3862:A7905="","",_xlfn.XLOOKUP(A3862:A7905,'参照_武将'!A:A,'参照_武将'!B:B,"見つかりません"))</f>
      </c>
      <c r="C3862" s="4" t="s">
        <v>5998</v>
      </c>
      <c r="D3862" s="4">
        <v>0</v>
      </c>
      <c r="E3862" s="12" t="str">
        <f t="array" ref="E3862">IF(D3862:D7905="","",IFERROR(_xlfn.XLOOKUP(D3862:D7905,'参照_勢力'!A:A,'参照_勢力'!B:B),IFERROR(_xlfn.XLOOKUP(F3862:F7905,kunishuClan!A:A,kunishuClan!B:B),"浪人")))</f>
      </c>
      <c r="F3862" s="4">
        <v>8</v>
      </c>
      <c r="G3862" s="4">
        <v>40</v>
      </c>
      <c r="H3862" s="12" t="str">
        <f t="array" ref="H3862">IF(G3862:G7905="","",_xlfn.XLOOKUP(G3862:G7905,castles_state!A:A,castles_state!D:D,"見つかりません"))</f>
      </c>
      <c r="I3862" s="4"/>
      <c r="J3862" s="12" t="str">
        <f t="array" ref="J3862">IF(I3862:I7905="","",_xlfn.XLOOKUP(I3862:I7905,'参照_姫'!A:A,'参照_姫'!B:B,"見つかりません"))</f>
      </c>
      <c r="K3862" s="4">
        <v>50</v>
      </c>
      <c r="L3862" s="4">
        <v>0</v>
      </c>
      <c r="M3862" s="4"/>
      <c r="N3862" s="4"/>
      <c r="O3862" s="4"/>
      <c r="P3862" s="12" t="str">
        <f t="array" ref="P3862">IF(O3862:O7905="","",_xlfn.XLOOKUP(O3862:O7905,'参照_官位'!A:A,'参照_官位'!B:B,""))</f>
      </c>
      <c r="Q3862" s="12" t="str">
        <f t="array" ref="Q3862">IF(A3862:A7905="","",IFERROR(_xlfn.XLOOKUP(A3862:A7905,castles_state!K:K,castles_state!D:D)&amp;"主",IFERROR(_xlfn.XLOOKUP(A3862:A7905,kunishuClan!D:D,kunishuClan!B:B)&amp;"当主","")))</f>
      </c>
    </row>
    <row r="3863" ht="15.75" customHeight="1">
      <c r="A3863" s="4">
        <v>2008003</v>
      </c>
      <c r="B3863" s="12" t="str">
        <f t="array" ref="B3863">IF(A3863:A7906="","",_xlfn.XLOOKUP(A3863:A7906,'参照_武将'!A:A,'参照_武将'!B:B,"見つかりません"))</f>
      </c>
      <c r="C3863" s="4" t="s">
        <v>5998</v>
      </c>
      <c r="D3863" s="4">
        <v>0</v>
      </c>
      <c r="E3863" s="12" t="str">
        <f t="array" ref="E3863">IF(D3863:D7906="","",IFERROR(_xlfn.XLOOKUP(D3863:D7906,'参照_勢力'!A:A,'参照_勢力'!B:B),IFERROR(_xlfn.XLOOKUP(F3863:F7906,kunishuClan!A:A,kunishuClan!B:B),"浪人")))</f>
      </c>
      <c r="F3863" s="4">
        <v>8</v>
      </c>
      <c r="G3863" s="4">
        <v>40</v>
      </c>
      <c r="H3863" s="12" t="str">
        <f t="array" ref="H3863">IF(G3863:G7906="","",_xlfn.XLOOKUP(G3863:G7906,castles_state!A:A,castles_state!D:D,"見つかりません"))</f>
      </c>
      <c r="I3863" s="4"/>
      <c r="J3863" s="12" t="str">
        <f t="array" ref="J3863">IF(I3863:I7906="","",_xlfn.XLOOKUP(I3863:I7906,'参照_姫'!A:A,'参照_姫'!B:B,"見つかりません"))</f>
      </c>
      <c r="K3863" s="4">
        <v>50</v>
      </c>
      <c r="L3863" s="4">
        <v>0</v>
      </c>
      <c r="M3863" s="4"/>
      <c r="N3863" s="4"/>
      <c r="O3863" s="4"/>
      <c r="P3863" s="12" t="str">
        <f t="array" ref="P3863">IF(O3863:O7906="","",_xlfn.XLOOKUP(O3863:O7906,'参照_官位'!A:A,'参照_官位'!B:B,""))</f>
      </c>
      <c r="Q3863" s="12" t="str">
        <f t="array" ref="Q3863">IF(A3863:A7906="","",IFERROR(_xlfn.XLOOKUP(A3863:A7906,castles_state!K:K,castles_state!D:D)&amp;"主",IFERROR(_xlfn.XLOOKUP(A3863:A7906,kunishuClan!D:D,kunishuClan!B:B)&amp;"当主","")))</f>
      </c>
    </row>
    <row r="3864" ht="15.75" customHeight="1">
      <c r="A3864" s="4">
        <v>2008004</v>
      </c>
      <c r="B3864" s="12" t="str">
        <f t="array" ref="B3864">IF(A3864:A7907="","",_xlfn.XLOOKUP(A3864:A7907,'参照_武将'!A:A,'参照_武将'!B:B,"見つかりません"))</f>
      </c>
      <c r="C3864" s="4" t="s">
        <v>5998</v>
      </c>
      <c r="D3864" s="4">
        <v>0</v>
      </c>
      <c r="E3864" s="12" t="str">
        <f t="array" ref="E3864">IF(D3864:D7907="","",IFERROR(_xlfn.XLOOKUP(D3864:D7907,'参照_勢力'!A:A,'参照_勢力'!B:B),IFERROR(_xlfn.XLOOKUP(F3864:F7907,kunishuClan!A:A,kunishuClan!B:B),"浪人")))</f>
      </c>
      <c r="F3864" s="4">
        <v>8</v>
      </c>
      <c r="G3864" s="4">
        <v>40</v>
      </c>
      <c r="H3864" s="12" t="str">
        <f t="array" ref="H3864">IF(G3864:G7907="","",_xlfn.XLOOKUP(G3864:G7907,castles_state!A:A,castles_state!D:D,"見つかりません"))</f>
      </c>
      <c r="I3864" s="4"/>
      <c r="J3864" s="12" t="str">
        <f t="array" ref="J3864">IF(I3864:I7907="","",_xlfn.XLOOKUP(I3864:I7907,'参照_姫'!A:A,'参照_姫'!B:B,"見つかりません"))</f>
      </c>
      <c r="K3864" s="4">
        <v>50</v>
      </c>
      <c r="L3864" s="4">
        <v>0</v>
      </c>
      <c r="M3864" s="4"/>
      <c r="N3864" s="4"/>
      <c r="O3864" s="4"/>
      <c r="P3864" s="12" t="str">
        <f t="array" ref="P3864">IF(O3864:O7907="","",_xlfn.XLOOKUP(O3864:O7907,'参照_官位'!A:A,'参照_官位'!B:B,""))</f>
      </c>
      <c r="Q3864" s="12" t="str">
        <f t="array" ref="Q3864">IF(A3864:A7907="","",IFERROR(_xlfn.XLOOKUP(A3864:A7907,castles_state!K:K,castles_state!D:D)&amp;"主",IFERROR(_xlfn.XLOOKUP(A3864:A7907,kunishuClan!D:D,kunishuClan!B:B)&amp;"当主","")))</f>
      </c>
    </row>
    <row r="3865" ht="15.75" customHeight="1">
      <c r="A3865" s="4">
        <v>2009001</v>
      </c>
      <c r="B3865" s="12" t="str">
        <f t="array" ref="B3865">IF(A3865:A7908="","",_xlfn.XLOOKUP(A3865:A7908,'参照_武将'!A:A,'参照_武将'!B:B,"見つかりません"))</f>
      </c>
      <c r="C3865" s="4" t="s">
        <v>5999</v>
      </c>
      <c r="D3865" s="4">
        <v>0</v>
      </c>
      <c r="E3865" s="12" t="str">
        <f t="array" ref="E3865">IF(D3865:D7908="","",IFERROR(_xlfn.XLOOKUP(D3865:D7908,'参照_勢力'!A:A,'参照_勢力'!B:B),IFERROR(_xlfn.XLOOKUP(F3865:F7908,kunishuClan!A:A,kunishuClan!B:B),"浪人")))</f>
      </c>
      <c r="F3865" s="4">
        <v>9</v>
      </c>
      <c r="G3865" s="4">
        <v>59</v>
      </c>
      <c r="H3865" s="12" t="str">
        <f t="array" ref="H3865">IF(G3865:G7908="","",_xlfn.XLOOKUP(G3865:G7908,castles_state!A:A,castles_state!D:D,"見つかりません"))</f>
      </c>
      <c r="I3865" s="4"/>
      <c r="J3865" s="12" t="str">
        <f t="array" ref="J3865">IF(I3865:I7908="","",_xlfn.XLOOKUP(I3865:I7908,'参照_姫'!A:A,'参照_姫'!B:B,"見つかりません"))</f>
      </c>
      <c r="K3865" s="4">
        <v>50</v>
      </c>
      <c r="L3865" s="4">
        <v>0</v>
      </c>
      <c r="M3865" s="4"/>
      <c r="N3865" s="4"/>
      <c r="O3865" s="4"/>
      <c r="P3865" s="12" t="str">
        <f t="array" ref="P3865">IF(O3865:O7908="","",_xlfn.XLOOKUP(O3865:O7908,'参照_官位'!A:A,'参照_官位'!B:B,""))</f>
      </c>
      <c r="Q3865" s="12" t="str">
        <f t="array" ref="Q3865">IF(A3865:A7908="","",IFERROR(_xlfn.XLOOKUP(A3865:A7908,castles_state!K:K,castles_state!D:D)&amp;"主",IFERROR(_xlfn.XLOOKUP(A3865:A7908,kunishuClan!D:D,kunishuClan!B:B)&amp;"当主","")))</f>
      </c>
    </row>
    <row r="3866" ht="15.75" customHeight="1">
      <c r="A3866" s="4">
        <v>2009002</v>
      </c>
      <c r="B3866" s="12" t="str">
        <f t="array" ref="B3866">IF(A3866:A7909="","",_xlfn.XLOOKUP(A3866:A7909,'参照_武将'!A:A,'参照_武将'!B:B,"見つかりません"))</f>
      </c>
      <c r="C3866" s="4" t="s">
        <v>5999</v>
      </c>
      <c r="D3866" s="4">
        <v>0</v>
      </c>
      <c r="E3866" s="12" t="str">
        <f t="array" ref="E3866">IF(D3866:D7909="","",IFERROR(_xlfn.XLOOKUP(D3866:D7909,'参照_勢力'!A:A,'参照_勢力'!B:B),IFERROR(_xlfn.XLOOKUP(F3866:F7909,kunishuClan!A:A,kunishuClan!B:B),"浪人")))</f>
      </c>
      <c r="F3866" s="4">
        <v>9</v>
      </c>
      <c r="G3866" s="4">
        <v>59</v>
      </c>
      <c r="H3866" s="12" t="str">
        <f t="array" ref="H3866">IF(G3866:G7909="","",_xlfn.XLOOKUP(G3866:G7909,castles_state!A:A,castles_state!D:D,"見つかりません"))</f>
      </c>
      <c r="I3866" s="4"/>
      <c r="J3866" s="12" t="str">
        <f t="array" ref="J3866">IF(I3866:I7909="","",_xlfn.XLOOKUP(I3866:I7909,'参照_姫'!A:A,'参照_姫'!B:B,"見つかりません"))</f>
      </c>
      <c r="K3866" s="4">
        <v>50</v>
      </c>
      <c r="L3866" s="4">
        <v>300</v>
      </c>
      <c r="M3866" s="4"/>
      <c r="N3866" s="4"/>
      <c r="O3866" s="4"/>
      <c r="P3866" s="12" t="str">
        <f t="array" ref="P3866">IF(O3866:O7909="","",_xlfn.XLOOKUP(O3866:O7909,'参照_官位'!A:A,'参照_官位'!B:B,""))</f>
      </c>
      <c r="Q3866" s="12" t="str">
        <f t="array" ref="Q3866">IF(A3866:A7909="","",IFERROR(_xlfn.XLOOKUP(A3866:A7909,castles_state!K:K,castles_state!D:D)&amp;"主",IFERROR(_xlfn.XLOOKUP(A3866:A7909,kunishuClan!D:D,kunishuClan!B:B)&amp;"当主","")))</f>
      </c>
    </row>
    <row r="3867" ht="15.75" customHeight="1">
      <c r="A3867" s="4">
        <v>2010001</v>
      </c>
      <c r="B3867" s="12" t="str">
        <f t="array" ref="B3867">IF(A3867:A7910="","",_xlfn.XLOOKUP(A3867:A7910,'参照_武将'!A:A,'参照_武将'!B:B,"見つかりません"))</f>
      </c>
      <c r="C3867" s="4" t="s">
        <v>6000</v>
      </c>
      <c r="D3867" s="4">
        <v>0</v>
      </c>
      <c r="E3867" s="12" t="str">
        <f t="array" ref="E3867">IF(D3867:D7910="","",IFERROR(_xlfn.XLOOKUP(D3867:D7910,'参照_勢力'!A:A,'参照_勢力'!B:B),IFERROR(_xlfn.XLOOKUP(F3867:F7910,kunishuClan!A:A,kunishuClan!B:B),"浪人")))</f>
      </c>
      <c r="F3867" s="4">
        <v>10</v>
      </c>
      <c r="G3867" s="4">
        <v>19</v>
      </c>
      <c r="H3867" s="12" t="str">
        <f t="array" ref="H3867">IF(G3867:G7910="","",_xlfn.XLOOKUP(G3867:G7910,castles_state!A:A,castles_state!D:D,"見つかりません"))</f>
      </c>
      <c r="I3867" s="4"/>
      <c r="J3867" s="12" t="str">
        <f t="array" ref="J3867">IF(I3867:I7910="","",_xlfn.XLOOKUP(I3867:I7910,'参照_姫'!A:A,'参照_姫'!B:B,"見つかりません"))</f>
      </c>
      <c r="K3867" s="4">
        <v>50</v>
      </c>
      <c r="L3867" s="4">
        <v>300</v>
      </c>
      <c r="M3867" s="4"/>
      <c r="N3867" s="4"/>
      <c r="O3867" s="4"/>
      <c r="P3867" s="12" t="str">
        <f t="array" ref="P3867">IF(O3867:O7910="","",_xlfn.XLOOKUP(O3867:O7910,'参照_官位'!A:A,'参照_官位'!B:B,""))</f>
      </c>
      <c r="Q3867" s="12" t="str">
        <f t="array" ref="Q3867">IF(A3867:A7910="","",IFERROR(_xlfn.XLOOKUP(A3867:A7910,castles_state!K:K,castles_state!D:D)&amp;"主",IFERROR(_xlfn.XLOOKUP(A3867:A7910,kunishuClan!D:D,kunishuClan!B:B)&amp;"当主","")))</f>
      </c>
    </row>
    <row r="3868" ht="15.75" customHeight="1">
      <c r="A3868" s="4">
        <v>2011001</v>
      </c>
      <c r="B3868" s="12" t="str">
        <f t="array" ref="B3868">IF(A3868:A7911="","",_xlfn.XLOOKUP(A3868:A7911,'参照_武将'!A:A,'参照_武将'!B:B,"見つかりません"))</f>
      </c>
      <c r="C3868" s="4" t="s">
        <v>6001</v>
      </c>
      <c r="D3868" s="4">
        <v>0</v>
      </c>
      <c r="E3868" s="12" t="str">
        <f t="array" ref="E3868">IF(D3868:D7911="","",IFERROR(_xlfn.XLOOKUP(D3868:D7911,'参照_勢力'!A:A,'参照_勢力'!B:B),IFERROR(_xlfn.XLOOKUP(F3868:F7911,kunishuClan!A:A,kunishuClan!B:B),"浪人")))</f>
      </c>
      <c r="F3868" s="4">
        <v>11</v>
      </c>
      <c r="G3868" s="4">
        <v>44</v>
      </c>
      <c r="H3868" s="12" t="str">
        <f t="array" ref="H3868">IF(G3868:G7911="","",_xlfn.XLOOKUP(G3868:G7911,castles_state!A:A,castles_state!D:D,"見つかりません"))</f>
      </c>
      <c r="I3868" s="4"/>
      <c r="J3868" s="12" t="str">
        <f t="array" ref="J3868">IF(I3868:I7911="","",_xlfn.XLOOKUP(I3868:I7911,'参照_姫'!A:A,'参照_姫'!B:B,"見つかりません"))</f>
      </c>
      <c r="K3868" s="4">
        <v>50</v>
      </c>
      <c r="L3868" s="4">
        <v>300</v>
      </c>
      <c r="M3868" s="4"/>
      <c r="N3868" s="4"/>
      <c r="O3868" s="4"/>
      <c r="P3868" s="12" t="str">
        <f t="array" ref="P3868">IF(O3868:O7911="","",_xlfn.XLOOKUP(O3868:O7911,'参照_官位'!A:A,'参照_官位'!B:B,""))</f>
      </c>
      <c r="Q3868" s="12" t="str">
        <f t="array" ref="Q3868">IF(A3868:A7911="","",IFERROR(_xlfn.XLOOKUP(A3868:A7911,castles_state!K:K,castles_state!D:D)&amp;"主",IFERROR(_xlfn.XLOOKUP(A3868:A7911,kunishuClan!D:D,kunishuClan!B:B)&amp;"当主","")))</f>
      </c>
    </row>
    <row r="3869" ht="15.75" customHeight="1">
      <c r="A3869" s="4">
        <v>2012001</v>
      </c>
      <c r="B3869" s="12" t="str">
        <f t="array" ref="B3869">IF(A3869:A7912="","",_xlfn.XLOOKUP(A3869:A7912,'参照_武将'!A:A,'参照_武将'!B:B,"見つかりません"))</f>
      </c>
      <c r="C3869" s="4" t="s">
        <v>6002</v>
      </c>
      <c r="D3869" s="4">
        <v>0</v>
      </c>
      <c r="E3869" s="12" t="str">
        <f t="array" ref="E3869">IF(D3869:D7912="","",IFERROR(_xlfn.XLOOKUP(D3869:D7912,'参照_勢力'!A:A,'参照_勢力'!B:B),IFERROR(_xlfn.XLOOKUP(F3869:F7912,kunishuClan!A:A,kunishuClan!B:B),"浪人")))</f>
      </c>
      <c r="F3869" s="4">
        <v>12</v>
      </c>
      <c r="G3869" s="4">
        <v>80</v>
      </c>
      <c r="H3869" s="12" t="str">
        <f t="array" ref="H3869">IF(G3869:G7912="","",_xlfn.XLOOKUP(G3869:G7912,castles_state!A:A,castles_state!D:D,"見つかりません"))</f>
      </c>
      <c r="I3869" s="4"/>
      <c r="J3869" s="12" t="str">
        <f t="array" ref="J3869">IF(I3869:I7912="","",_xlfn.XLOOKUP(I3869:I7912,'参照_姫'!A:A,'参照_姫'!B:B,"見つかりません"))</f>
      </c>
      <c r="K3869" s="4">
        <v>50</v>
      </c>
      <c r="L3869" s="4">
        <v>300</v>
      </c>
      <c r="M3869" s="4"/>
      <c r="N3869" s="4"/>
      <c r="O3869" s="4"/>
      <c r="P3869" s="12" t="str">
        <f t="array" ref="P3869">IF(O3869:O7912="","",_xlfn.XLOOKUP(O3869:O7912,'参照_官位'!A:A,'参照_官位'!B:B,""))</f>
      </c>
      <c r="Q3869" s="12" t="str">
        <f t="array" ref="Q3869">IF(A3869:A7912="","",IFERROR(_xlfn.XLOOKUP(A3869:A7912,castles_state!K:K,castles_state!D:D)&amp;"主",IFERROR(_xlfn.XLOOKUP(A3869:A7912,kunishuClan!D:D,kunishuClan!B:B)&amp;"当主","")))</f>
      </c>
    </row>
    <row r="3870" ht="15.75" customHeight="1">
      <c r="A3870" s="4">
        <v>2012002</v>
      </c>
      <c r="B3870" s="12" t="str">
        <f t="array" ref="B3870">IF(A3870:A7913="","",_xlfn.XLOOKUP(A3870:A7913,'参照_武将'!A:A,'参照_武将'!B:B,"見つかりません"))</f>
      </c>
      <c r="C3870" s="4" t="s">
        <v>6002</v>
      </c>
      <c r="D3870" s="4">
        <v>0</v>
      </c>
      <c r="E3870" s="12" t="str">
        <f t="array" ref="E3870">IF(D3870:D7913="","",IFERROR(_xlfn.XLOOKUP(D3870:D7913,'参照_勢力'!A:A,'参照_勢力'!B:B),IFERROR(_xlfn.XLOOKUP(F3870:F7913,kunishuClan!A:A,kunishuClan!B:B),"浪人")))</f>
      </c>
      <c r="F3870" s="4">
        <v>12</v>
      </c>
      <c r="G3870" s="4">
        <v>80</v>
      </c>
      <c r="H3870" s="12" t="str">
        <f t="array" ref="H3870">IF(G3870:G7913="","",_xlfn.XLOOKUP(G3870:G7913,castles_state!A:A,castles_state!D:D,"見つかりません"))</f>
      </c>
      <c r="I3870" s="4"/>
      <c r="J3870" s="12" t="str">
        <f t="array" ref="J3870">IF(I3870:I7913="","",_xlfn.XLOOKUP(I3870:I7913,'参照_姫'!A:A,'参照_姫'!B:B,"見つかりません"))</f>
      </c>
      <c r="K3870" s="4">
        <v>50</v>
      </c>
      <c r="L3870" s="4">
        <v>0</v>
      </c>
      <c r="M3870" s="4"/>
      <c r="N3870" s="4"/>
      <c r="O3870" s="4"/>
      <c r="P3870" s="12" t="str">
        <f t="array" ref="P3870">IF(O3870:O7913="","",_xlfn.XLOOKUP(O3870:O7913,'参照_官位'!A:A,'参照_官位'!B:B,""))</f>
      </c>
      <c r="Q3870" s="12" t="str">
        <f t="array" ref="Q3870">IF(A3870:A7913="","",IFERROR(_xlfn.XLOOKUP(A3870:A7913,castles_state!K:K,castles_state!D:D)&amp;"主",IFERROR(_xlfn.XLOOKUP(A3870:A7913,kunishuClan!D:D,kunishuClan!B:B)&amp;"当主","")))</f>
      </c>
    </row>
    <row r="3871" ht="15.75" customHeight="1">
      <c r="A3871" s="4">
        <v>2012003</v>
      </c>
      <c r="B3871" s="12" t="str">
        <f t="array" ref="B3871">IF(A3871:A7914="","",_xlfn.XLOOKUP(A3871:A7914,'参照_武将'!A:A,'参照_武将'!B:B,"見つかりません"))</f>
      </c>
      <c r="C3871" s="4" t="s">
        <v>6002</v>
      </c>
      <c r="D3871" s="4">
        <v>0</v>
      </c>
      <c r="E3871" s="12" t="str">
        <f t="array" ref="E3871">IF(D3871:D7914="","",IFERROR(_xlfn.XLOOKUP(D3871:D7914,'参照_勢力'!A:A,'参照_勢力'!B:B),IFERROR(_xlfn.XLOOKUP(F3871:F7914,kunishuClan!A:A,kunishuClan!B:B),"浪人")))</f>
      </c>
      <c r="F3871" s="4">
        <v>12</v>
      </c>
      <c r="G3871" s="4">
        <v>80</v>
      </c>
      <c r="H3871" s="12" t="str">
        <f t="array" ref="H3871">IF(G3871:G7914="","",_xlfn.XLOOKUP(G3871:G7914,castles_state!A:A,castles_state!D:D,"見つかりません"))</f>
      </c>
      <c r="I3871" s="4"/>
      <c r="J3871" s="12" t="str">
        <f t="array" ref="J3871">IF(I3871:I7914="","",_xlfn.XLOOKUP(I3871:I7914,'参照_姫'!A:A,'参照_姫'!B:B,"見つかりません"))</f>
      </c>
      <c r="K3871" s="4">
        <v>50</v>
      </c>
      <c r="L3871" s="4">
        <v>0</v>
      </c>
      <c r="M3871" s="4"/>
      <c r="N3871" s="4"/>
      <c r="O3871" s="4"/>
      <c r="P3871" s="12" t="str">
        <f t="array" ref="P3871">IF(O3871:O7914="","",_xlfn.XLOOKUP(O3871:O7914,'参照_官位'!A:A,'参照_官位'!B:B,""))</f>
      </c>
      <c r="Q3871" s="12" t="str">
        <f t="array" ref="Q3871">IF(A3871:A7914="","",IFERROR(_xlfn.XLOOKUP(A3871:A7914,castles_state!K:K,castles_state!D:D)&amp;"主",IFERROR(_xlfn.XLOOKUP(A3871:A7914,kunishuClan!D:D,kunishuClan!B:B)&amp;"当主","")))</f>
      </c>
    </row>
    <row r="3872" ht="15.75" customHeight="1">
      <c r="A3872" s="4">
        <v>2013001</v>
      </c>
      <c r="B3872" s="12" t="str">
        <f t="array" ref="B3872">IF(A3872:A7915="","",_xlfn.XLOOKUP(A3872:A7915,'参照_武将'!A:A,'参照_武将'!B:B,"見つかりません"))</f>
      </c>
      <c r="C3872" s="4" t="s">
        <v>6003</v>
      </c>
      <c r="D3872" s="4">
        <v>0</v>
      </c>
      <c r="E3872" s="12" t="str">
        <f t="array" ref="E3872">IF(D3872:D7915="","",IFERROR(_xlfn.XLOOKUP(D3872:D7915,'参照_勢力'!A:A,'参照_勢力'!B:B),IFERROR(_xlfn.XLOOKUP(F3872:F7915,kunishuClan!A:A,kunishuClan!B:B),"浪人")))</f>
      </c>
      <c r="F3872" s="4">
        <v>13</v>
      </c>
      <c r="G3872" s="4">
        <v>14</v>
      </c>
      <c r="H3872" s="12" t="str">
        <f t="array" ref="H3872">IF(G3872:G7915="","",_xlfn.XLOOKUP(G3872:G7915,castles_state!A:A,castles_state!D:D,"見つかりません"))</f>
      </c>
      <c r="I3872" s="4"/>
      <c r="J3872" s="12" t="str">
        <f t="array" ref="J3872">IF(I3872:I7915="","",_xlfn.XLOOKUP(I3872:I7915,'参照_姫'!A:A,'参照_姫'!B:B,"見つかりません"))</f>
      </c>
      <c r="K3872" s="4">
        <v>50</v>
      </c>
      <c r="L3872" s="4">
        <v>0</v>
      </c>
      <c r="M3872" s="4"/>
      <c r="N3872" s="4"/>
      <c r="O3872" s="4"/>
      <c r="P3872" s="12" t="str">
        <f t="array" ref="P3872">IF(O3872:O7915="","",_xlfn.XLOOKUP(O3872:O7915,'参照_官位'!A:A,'参照_官位'!B:B,""))</f>
      </c>
      <c r="Q3872" s="12" t="str">
        <f t="array" ref="Q3872">IF(A3872:A7915="","",IFERROR(_xlfn.XLOOKUP(A3872:A7915,castles_state!K:K,castles_state!D:D)&amp;"主",IFERROR(_xlfn.XLOOKUP(A3872:A7915,kunishuClan!D:D,kunishuClan!B:B)&amp;"当主","")))</f>
      </c>
    </row>
    <row r="3873" ht="15.75" customHeight="1">
      <c r="A3873" s="4">
        <v>2013002</v>
      </c>
      <c r="B3873" s="12" t="str">
        <f t="array" ref="B3873">IF(A3873:A7916="","",_xlfn.XLOOKUP(A3873:A7916,'参照_武将'!A:A,'参照_武将'!B:B,"見つかりません"))</f>
      </c>
      <c r="C3873" s="4" t="s">
        <v>6003</v>
      </c>
      <c r="D3873" s="4">
        <v>0</v>
      </c>
      <c r="E3873" s="12" t="str">
        <f t="array" ref="E3873">IF(D3873:D7916="","",IFERROR(_xlfn.XLOOKUP(D3873:D7916,'参照_勢力'!A:A,'参照_勢力'!B:B),IFERROR(_xlfn.XLOOKUP(F3873:F7916,kunishuClan!A:A,kunishuClan!B:B),"浪人")))</f>
      </c>
      <c r="F3873" s="4">
        <v>13</v>
      </c>
      <c r="G3873" s="4">
        <v>14</v>
      </c>
      <c r="H3873" s="12" t="str">
        <f t="array" ref="H3873">IF(G3873:G7916="","",_xlfn.XLOOKUP(G3873:G7916,castles_state!A:A,castles_state!D:D,"見つかりません"))</f>
      </c>
      <c r="I3873" s="4"/>
      <c r="J3873" s="12" t="str">
        <f t="array" ref="J3873">IF(I3873:I7916="","",_xlfn.XLOOKUP(I3873:I7916,'参照_姫'!A:A,'参照_姫'!B:B,"見つかりません"))</f>
      </c>
      <c r="K3873" s="4">
        <v>50</v>
      </c>
      <c r="L3873" s="4">
        <v>300</v>
      </c>
      <c r="M3873" s="4"/>
      <c r="N3873" s="4"/>
      <c r="O3873" s="4"/>
      <c r="P3873" s="12" t="str">
        <f t="array" ref="P3873">IF(O3873:O7916="","",_xlfn.XLOOKUP(O3873:O7916,'参照_官位'!A:A,'参照_官位'!B:B,""))</f>
      </c>
      <c r="Q3873" s="12" t="str">
        <f t="array" ref="Q3873">IF(A3873:A7916="","",IFERROR(_xlfn.XLOOKUP(A3873:A7916,castles_state!K:K,castles_state!D:D)&amp;"主",IFERROR(_xlfn.XLOOKUP(A3873:A7916,kunishuClan!D:D,kunishuClan!B:B)&amp;"当主","")))</f>
      </c>
    </row>
    <row r="3874" ht="15.75" customHeight="1">
      <c r="A3874" s="4">
        <v>2014001</v>
      </c>
      <c r="B3874" s="12" t="str">
        <f t="array" ref="B3874">IF(A3874:A7917="","",_xlfn.XLOOKUP(A3874:A7917,'参照_武将'!A:A,'参照_武将'!B:B,"見つかりません"))</f>
      </c>
      <c r="C3874" s="4" t="s">
        <v>6004</v>
      </c>
      <c r="D3874" s="4">
        <v>0</v>
      </c>
      <c r="E3874" s="12" t="str">
        <f t="array" ref="E3874">IF(D3874:D7917="","",IFERROR(_xlfn.XLOOKUP(D3874:D7917,'参照_勢力'!A:A,'参照_勢力'!B:B),IFERROR(_xlfn.XLOOKUP(F3874:F7917,kunishuClan!A:A,kunishuClan!B:B),"浪人")))</f>
      </c>
      <c r="F3874" s="4">
        <v>14</v>
      </c>
      <c r="G3874" s="4">
        <v>94</v>
      </c>
      <c r="H3874" s="12" t="str">
        <f t="array" ref="H3874">IF(G3874:G7917="","",_xlfn.XLOOKUP(G3874:G7917,castles_state!A:A,castles_state!D:D,"見つかりません"))</f>
      </c>
      <c r="I3874" s="4"/>
      <c r="J3874" s="12" t="str">
        <f t="array" ref="J3874">IF(I3874:I7917="","",_xlfn.XLOOKUP(I3874:I7917,'参照_姫'!A:A,'参照_姫'!B:B,"見つかりません"))</f>
      </c>
      <c r="K3874" s="4">
        <v>50</v>
      </c>
      <c r="L3874" s="4">
        <v>300</v>
      </c>
      <c r="M3874" s="4"/>
      <c r="N3874" s="4"/>
      <c r="O3874" s="4"/>
      <c r="P3874" s="12" t="str">
        <f t="array" ref="P3874">IF(O3874:O7917="","",_xlfn.XLOOKUP(O3874:O7917,'参照_官位'!A:A,'参照_官位'!B:B,""))</f>
      </c>
      <c r="Q3874" s="12" t="str">
        <f t="array" ref="Q3874">IF(A3874:A7917="","",IFERROR(_xlfn.XLOOKUP(A3874:A7917,castles_state!K:K,castles_state!D:D)&amp;"主",IFERROR(_xlfn.XLOOKUP(A3874:A7917,kunishuClan!D:D,kunishuClan!B:B)&amp;"当主","")))</f>
      </c>
    </row>
    <row r="3875" ht="15.75" customHeight="1">
      <c r="A3875" s="4">
        <v>2014002</v>
      </c>
      <c r="B3875" s="12" t="str">
        <f t="array" ref="B3875">IF(A3875:A7918="","",_xlfn.XLOOKUP(A3875:A7918,'参照_武将'!A:A,'参照_武将'!B:B,"見つかりません"))</f>
      </c>
      <c r="C3875" s="4" t="s">
        <v>6004</v>
      </c>
      <c r="D3875" s="4">
        <v>0</v>
      </c>
      <c r="E3875" s="12" t="str">
        <f t="array" ref="E3875">IF(D3875:D7918="","",IFERROR(_xlfn.XLOOKUP(D3875:D7918,'参照_勢力'!A:A,'参照_勢力'!B:B),IFERROR(_xlfn.XLOOKUP(F3875:F7918,kunishuClan!A:A,kunishuClan!B:B),"浪人")))</f>
      </c>
      <c r="F3875" s="4">
        <v>14</v>
      </c>
      <c r="G3875" s="4">
        <v>94</v>
      </c>
      <c r="H3875" s="12" t="str">
        <f t="array" ref="H3875">IF(G3875:G7918="","",_xlfn.XLOOKUP(G3875:G7918,castles_state!A:A,castles_state!D:D,"見つかりません"))</f>
      </c>
      <c r="I3875" s="4"/>
      <c r="J3875" s="12" t="str">
        <f t="array" ref="J3875">IF(I3875:I7918="","",_xlfn.XLOOKUP(I3875:I7918,'参照_姫'!A:A,'参照_姫'!B:B,"見つかりません"))</f>
      </c>
      <c r="K3875" s="4">
        <v>50</v>
      </c>
      <c r="L3875" s="4">
        <v>0</v>
      </c>
      <c r="M3875" s="4"/>
      <c r="N3875" s="4"/>
      <c r="O3875" s="4"/>
      <c r="P3875" s="12" t="str">
        <f t="array" ref="P3875">IF(O3875:O7918="","",_xlfn.XLOOKUP(O3875:O7918,'参照_官位'!A:A,'参照_官位'!B:B,""))</f>
      </c>
      <c r="Q3875" s="12" t="str">
        <f t="array" ref="Q3875">IF(A3875:A7918="","",IFERROR(_xlfn.XLOOKUP(A3875:A7918,castles_state!K:K,castles_state!D:D)&amp;"主",IFERROR(_xlfn.XLOOKUP(A3875:A7918,kunishuClan!D:D,kunishuClan!B:B)&amp;"当主","")))</f>
      </c>
    </row>
    <row r="3876" ht="15.75" customHeight="1">
      <c r="A3876" s="4">
        <v>2014003</v>
      </c>
      <c r="B3876" s="12" t="str">
        <f t="array" ref="B3876">IF(A3876:A7919="","",_xlfn.XLOOKUP(A3876:A7919,'参照_武将'!A:A,'参照_武将'!B:B,"見つかりません"))</f>
      </c>
      <c r="C3876" s="4" t="s">
        <v>6004</v>
      </c>
      <c r="D3876" s="4">
        <v>0</v>
      </c>
      <c r="E3876" s="12" t="str">
        <f t="array" ref="E3876">IF(D3876:D7919="","",IFERROR(_xlfn.XLOOKUP(D3876:D7919,'参照_勢力'!A:A,'参照_勢力'!B:B),IFERROR(_xlfn.XLOOKUP(F3876:F7919,kunishuClan!A:A,kunishuClan!B:B),"浪人")))</f>
      </c>
      <c r="F3876" s="4">
        <v>14</v>
      </c>
      <c r="G3876" s="4">
        <v>94</v>
      </c>
      <c r="H3876" s="12" t="str">
        <f t="array" ref="H3876">IF(G3876:G7919="","",_xlfn.XLOOKUP(G3876:G7919,castles_state!A:A,castles_state!D:D,"見つかりません"))</f>
      </c>
      <c r="I3876" s="4"/>
      <c r="J3876" s="12" t="str">
        <f t="array" ref="J3876">IF(I3876:I7919="","",_xlfn.XLOOKUP(I3876:I7919,'参照_姫'!A:A,'参照_姫'!B:B,"見つかりません"))</f>
      </c>
      <c r="K3876" s="4">
        <v>50</v>
      </c>
      <c r="L3876" s="4">
        <v>0</v>
      </c>
      <c r="M3876" s="4"/>
      <c r="N3876" s="4"/>
      <c r="O3876" s="4"/>
      <c r="P3876" s="12" t="str">
        <f t="array" ref="P3876">IF(O3876:O7919="","",_xlfn.XLOOKUP(O3876:O7919,'参照_官位'!A:A,'参照_官位'!B:B,""))</f>
      </c>
      <c r="Q3876" s="12" t="str">
        <f t="array" ref="Q3876">IF(A3876:A7919="","",IFERROR(_xlfn.XLOOKUP(A3876:A7919,castles_state!K:K,castles_state!D:D)&amp;"主",IFERROR(_xlfn.XLOOKUP(A3876:A7919,kunishuClan!D:D,kunishuClan!B:B)&amp;"当主","")))</f>
      </c>
    </row>
    <row r="3877" ht="15.75" customHeight="1">
      <c r="A3877" s="4">
        <v>2014004</v>
      </c>
      <c r="B3877" s="12" t="str">
        <f t="array" ref="B3877">IF(A3877:A7920="","",_xlfn.XLOOKUP(A3877:A7920,'参照_武将'!A:A,'参照_武将'!B:B,"見つかりません"))</f>
      </c>
      <c r="C3877" s="4" t="s">
        <v>6004</v>
      </c>
      <c r="D3877" s="4">
        <v>0</v>
      </c>
      <c r="E3877" s="12" t="str">
        <f t="array" ref="E3877">IF(D3877:D7920="","",IFERROR(_xlfn.XLOOKUP(D3877:D7920,'参照_勢力'!A:A,'参照_勢力'!B:B),IFERROR(_xlfn.XLOOKUP(F3877:F7920,kunishuClan!A:A,kunishuClan!B:B),"浪人")))</f>
      </c>
      <c r="F3877" s="4">
        <v>14</v>
      </c>
      <c r="G3877" s="4">
        <v>94</v>
      </c>
      <c r="H3877" s="12" t="str">
        <f t="array" ref="H3877">IF(G3877:G7920="","",_xlfn.XLOOKUP(G3877:G7920,castles_state!A:A,castles_state!D:D,"見つかりません"))</f>
      </c>
      <c r="I3877" s="4"/>
      <c r="J3877" s="12" t="str">
        <f t="array" ref="J3877">IF(I3877:I7920="","",_xlfn.XLOOKUP(I3877:I7920,'参照_姫'!A:A,'参照_姫'!B:B,"見つかりません"))</f>
      </c>
      <c r="K3877" s="4">
        <v>50</v>
      </c>
      <c r="L3877" s="4">
        <v>0</v>
      </c>
      <c r="M3877" s="4"/>
      <c r="N3877" s="4"/>
      <c r="O3877" s="4"/>
      <c r="P3877" s="12" t="str">
        <f t="array" ref="P3877">IF(O3877:O7920="","",_xlfn.XLOOKUP(O3877:O7920,'参照_官位'!A:A,'参照_官位'!B:B,""))</f>
      </c>
      <c r="Q3877" s="12" t="str">
        <f t="array" ref="Q3877">IF(A3877:A7920="","",IFERROR(_xlfn.XLOOKUP(A3877:A7920,castles_state!K:K,castles_state!D:D)&amp;"主",IFERROR(_xlfn.XLOOKUP(A3877:A7920,kunishuClan!D:D,kunishuClan!B:B)&amp;"当主","")))</f>
      </c>
    </row>
    <row r="3878" ht="15.75" customHeight="1">
      <c r="A3878" s="4">
        <v>2015001</v>
      </c>
      <c r="B3878" s="12" t="str">
        <f t="array" ref="B3878">IF(A3878:A7921="","",_xlfn.XLOOKUP(A3878:A7921,'参照_武将'!A:A,'参照_武将'!B:B,"見つかりません"))</f>
      </c>
      <c r="C3878" s="4" t="s">
        <v>6005</v>
      </c>
      <c r="D3878" s="4">
        <v>0</v>
      </c>
      <c r="E3878" s="12" t="str">
        <f t="array" ref="E3878">IF(D3878:D7921="","",IFERROR(_xlfn.XLOOKUP(D3878:D7921,'参照_勢力'!A:A,'参照_勢力'!B:B),IFERROR(_xlfn.XLOOKUP(F3878:F7921,kunishuClan!A:A,kunishuClan!B:B),"浪人")))</f>
      </c>
      <c r="F3878" s="4">
        <v>15</v>
      </c>
      <c r="G3878" s="4">
        <v>94</v>
      </c>
      <c r="H3878" s="12" t="str">
        <f t="array" ref="H3878">IF(G3878:G7921="","",_xlfn.XLOOKUP(G3878:G7921,castles_state!A:A,castles_state!D:D,"見つかりません"))</f>
      </c>
      <c r="I3878" s="4"/>
      <c r="J3878" s="12" t="str">
        <f t="array" ref="J3878">IF(I3878:I7921="","",_xlfn.XLOOKUP(I3878:I7921,'参照_姫'!A:A,'参照_姫'!B:B,"見つかりません"))</f>
      </c>
      <c r="K3878" s="4">
        <v>50</v>
      </c>
      <c r="L3878" s="4">
        <v>300</v>
      </c>
      <c r="M3878" s="4"/>
      <c r="N3878" s="4"/>
      <c r="O3878" s="4"/>
      <c r="P3878" s="12" t="str">
        <f t="array" ref="P3878">IF(O3878:O7921="","",_xlfn.XLOOKUP(O3878:O7921,'参照_官位'!A:A,'参照_官位'!B:B,""))</f>
      </c>
      <c r="Q3878" s="12" t="str">
        <f t="array" ref="Q3878">IF(A3878:A7921="","",IFERROR(_xlfn.XLOOKUP(A3878:A7921,castles_state!K:K,castles_state!D:D)&amp;"主",IFERROR(_xlfn.XLOOKUP(A3878:A7921,kunishuClan!D:D,kunishuClan!B:B)&amp;"当主","")))</f>
      </c>
    </row>
    <row r="3879" ht="15.75" customHeight="1">
      <c r="A3879" s="4">
        <v>2015002</v>
      </c>
      <c r="B3879" s="12" t="str">
        <f t="array" ref="B3879">IF(A3879:A7922="","",_xlfn.XLOOKUP(A3879:A7922,'参照_武将'!A:A,'参照_武将'!B:B,"見つかりません"))</f>
      </c>
      <c r="C3879" s="4" t="s">
        <v>6005</v>
      </c>
      <c r="D3879" s="4">
        <v>0</v>
      </c>
      <c r="E3879" s="12" t="str">
        <f t="array" ref="E3879">IF(D3879:D7922="","",IFERROR(_xlfn.XLOOKUP(D3879:D7922,'参照_勢力'!A:A,'参照_勢力'!B:B),IFERROR(_xlfn.XLOOKUP(F3879:F7922,kunishuClan!A:A,kunishuClan!B:B),"浪人")))</f>
      </c>
      <c r="F3879" s="4">
        <v>15</v>
      </c>
      <c r="G3879" s="4">
        <v>94</v>
      </c>
      <c r="H3879" s="12" t="str">
        <f t="array" ref="H3879">IF(G3879:G7922="","",_xlfn.XLOOKUP(G3879:G7922,castles_state!A:A,castles_state!D:D,"見つかりません"))</f>
      </c>
      <c r="I3879" s="4"/>
      <c r="J3879" s="12" t="str">
        <f t="array" ref="J3879">IF(I3879:I7922="","",_xlfn.XLOOKUP(I3879:I7922,'参照_姫'!A:A,'参照_姫'!B:B,"見つかりません"))</f>
      </c>
      <c r="K3879" s="4">
        <v>50</v>
      </c>
      <c r="L3879" s="4">
        <v>0</v>
      </c>
      <c r="M3879" s="4"/>
      <c r="N3879" s="4"/>
      <c r="O3879" s="4"/>
      <c r="P3879" s="12" t="str">
        <f t="array" ref="P3879">IF(O3879:O7922="","",_xlfn.XLOOKUP(O3879:O7922,'参照_官位'!A:A,'参照_官位'!B:B,""))</f>
      </c>
      <c r="Q3879" s="12" t="str">
        <f t="array" ref="Q3879">IF(A3879:A7922="","",IFERROR(_xlfn.XLOOKUP(A3879:A7922,castles_state!K:K,castles_state!D:D)&amp;"主",IFERROR(_xlfn.XLOOKUP(A3879:A7922,kunishuClan!D:D,kunishuClan!B:B)&amp;"当主","")))</f>
      </c>
    </row>
    <row r="3880" ht="15.75" customHeight="1">
      <c r="A3880" s="4">
        <v>2015003</v>
      </c>
      <c r="B3880" s="12" t="str">
        <f t="array" ref="B3880">IF(A3880:A7923="","",_xlfn.XLOOKUP(A3880:A7923,'参照_武将'!A:A,'参照_武将'!B:B,"見つかりません"))</f>
      </c>
      <c r="C3880" s="4" t="s">
        <v>6005</v>
      </c>
      <c r="D3880" s="4">
        <v>0</v>
      </c>
      <c r="E3880" s="12" t="str">
        <f t="array" ref="E3880">IF(D3880:D7923="","",IFERROR(_xlfn.XLOOKUP(D3880:D7923,'参照_勢力'!A:A,'参照_勢力'!B:B),IFERROR(_xlfn.XLOOKUP(F3880:F7923,kunishuClan!A:A,kunishuClan!B:B),"浪人")))</f>
      </c>
      <c r="F3880" s="4">
        <v>15</v>
      </c>
      <c r="G3880" s="4">
        <v>94</v>
      </c>
      <c r="H3880" s="12" t="str">
        <f t="array" ref="H3880">IF(G3880:G7923="","",_xlfn.XLOOKUP(G3880:G7923,castles_state!A:A,castles_state!D:D,"見つかりません"))</f>
      </c>
      <c r="I3880" s="4"/>
      <c r="J3880" s="12" t="str">
        <f t="array" ref="J3880">IF(I3880:I7923="","",_xlfn.XLOOKUP(I3880:I7923,'参照_姫'!A:A,'参照_姫'!B:B,"見つかりません"))</f>
      </c>
      <c r="K3880" s="4">
        <v>50</v>
      </c>
      <c r="L3880" s="4">
        <v>0</v>
      </c>
      <c r="M3880" s="4"/>
      <c r="N3880" s="4"/>
      <c r="O3880" s="4"/>
      <c r="P3880" s="12" t="str">
        <f t="array" ref="P3880">IF(O3880:O7923="","",_xlfn.XLOOKUP(O3880:O7923,'参照_官位'!A:A,'参照_官位'!B:B,""))</f>
      </c>
      <c r="Q3880" s="12" t="str">
        <f t="array" ref="Q3880">IF(A3880:A7923="","",IFERROR(_xlfn.XLOOKUP(A3880:A7923,castles_state!K:K,castles_state!D:D)&amp;"主",IFERROR(_xlfn.XLOOKUP(A3880:A7923,kunishuClan!D:D,kunishuClan!B:B)&amp;"当主","")))</f>
      </c>
    </row>
    <row r="3881" ht="15.75" customHeight="1">
      <c r="A3881" s="4">
        <v>2016001</v>
      </c>
      <c r="B3881" s="12" t="str">
        <f t="array" ref="B3881">IF(A3881:A7924="","",_xlfn.XLOOKUP(A3881:A7924,'参照_武将'!A:A,'参照_武将'!B:B,"見つかりません"))</f>
      </c>
      <c r="C3881" s="4" t="s">
        <v>6006</v>
      </c>
      <c r="D3881" s="4">
        <v>1</v>
      </c>
      <c r="E3881" s="12" t="str">
        <f t="array" ref="E3881">IF(D3881:D7924="","",IFERROR(_xlfn.XLOOKUP(D3881:D7924,'参照_勢力'!A:A,'参照_勢力'!B:B),IFERROR(_xlfn.XLOOKUP(F3881:F7924,kunishuClan!A:A,kunishuClan!B:B),"浪人")))</f>
      </c>
      <c r="F3881" s="4">
        <v>0</v>
      </c>
      <c r="G3881" s="4">
        <v>182</v>
      </c>
      <c r="H3881" s="12" t="str">
        <f t="array" ref="H3881">IF(G3881:G7924="","",_xlfn.XLOOKUP(G3881:G7924,castles_state!A:A,castles_state!D:D,"見つかりません"))</f>
      </c>
      <c r="I3881" s="4"/>
      <c r="J3881" s="12" t="str">
        <f t="array" ref="J3881">IF(I3881:I7924="","",_xlfn.XLOOKUP(I3881:I7924,'参照_姫'!A:A,'参照_姫'!B:B,"見つかりません"))</f>
      </c>
      <c r="K3881" s="4">
        <v>90</v>
      </c>
      <c r="L3881" s="4">
        <v>300</v>
      </c>
      <c r="M3881" s="4"/>
      <c r="N3881" s="4"/>
      <c r="O3881" s="4"/>
      <c r="P3881" s="12" t="str">
        <f t="array" ref="P3881">IF(O3881:O7924="","",_xlfn.XLOOKUP(O3881:O7924,'参照_官位'!A:A,'参照_官位'!B:B,""))</f>
      </c>
      <c r="Q3881" s="12" t="str">
        <f t="array" ref="Q3881">IF(A3881:A7924="","",IFERROR(_xlfn.XLOOKUP(A3881:A7924,castles_state!K:K,castles_state!D:D)&amp;"主",IFERROR(_xlfn.XLOOKUP(A3881:A7924,kunishuClan!D:D,kunishuClan!B:B)&amp;"当主","")))</f>
      </c>
    </row>
    <row r="3882" ht="15.75" customHeight="1">
      <c r="A3882" s="4">
        <v>2018001</v>
      </c>
      <c r="B3882" s="12" t="str">
        <f t="array" ref="B3882">IF(A3882:A7925="","",_xlfn.XLOOKUP(A3882:A7925,'参照_武将'!A:A,'参照_武将'!B:B,"見つかりません"))</f>
      </c>
      <c r="C3882" s="4" t="s">
        <v>6007</v>
      </c>
      <c r="D3882" s="4">
        <v>0</v>
      </c>
      <c r="E3882" s="12" t="str">
        <f t="array" ref="E3882">IF(D3882:D7925="","",IFERROR(_xlfn.XLOOKUP(D3882:D7925,'参照_勢力'!A:A,'参照_勢力'!B:B),IFERROR(_xlfn.XLOOKUP(F3882:F7925,kunishuClan!A:A,kunishuClan!B:B),"浪人")))</f>
      </c>
      <c r="F3882" s="4">
        <v>0</v>
      </c>
      <c r="G3882" s="4">
        <v>78</v>
      </c>
      <c r="H3882" s="12" t="str">
        <f t="array" ref="H3882">IF(G3882:G7925="","",_xlfn.XLOOKUP(G3882:G7925,castles_state!A:A,castles_state!D:D,"見つかりません"))</f>
      </c>
      <c r="I3882" s="4"/>
      <c r="J3882" s="12" t="str">
        <f t="array" ref="J3882">IF(I3882:I7925="","",_xlfn.XLOOKUP(I3882:I7925,'参照_姫'!A:A,'参照_姫'!B:B,"見つかりません"))</f>
      </c>
      <c r="K3882" s="4">
        <v>50</v>
      </c>
      <c r="L3882" s="4">
        <v>0</v>
      </c>
      <c r="M3882" s="4"/>
      <c r="N3882" s="4"/>
      <c r="O3882" s="4"/>
      <c r="P3882" s="12" t="str">
        <f t="array" ref="P3882">IF(O3882:O7925="","",_xlfn.XLOOKUP(O3882:O7925,'参照_官位'!A:A,'参照_官位'!B:B,""))</f>
      </c>
      <c r="Q3882" s="12" t="str">
        <f t="array" ref="Q3882">IF(A3882:A7925="","",IFERROR(_xlfn.XLOOKUP(A3882:A7925,castles_state!K:K,castles_state!D:D)&amp;"主",IFERROR(_xlfn.XLOOKUP(A3882:A7925,kunishuClan!D:D,kunishuClan!B:B)&amp;"当主","")))</f>
      </c>
    </row>
    <row r="3883" ht="15.75" customHeight="1">
      <c r="A3883" s="4">
        <v>2018002</v>
      </c>
      <c r="B3883" s="12" t="str">
        <f t="array" ref="B3883">IF(A3883:A7926="","",_xlfn.XLOOKUP(A3883:A7926,'参照_武将'!A:A,'参照_武将'!B:B,"見つかりません"))</f>
      </c>
      <c r="C3883" s="4" t="s">
        <v>6007</v>
      </c>
      <c r="D3883" s="4">
        <v>0</v>
      </c>
      <c r="E3883" s="12" t="str">
        <f t="array" ref="E3883">IF(D3883:D7926="","",IFERROR(_xlfn.XLOOKUP(D3883:D7926,'参照_勢力'!A:A,'参照_勢力'!B:B),IFERROR(_xlfn.XLOOKUP(F3883:F7926,kunishuClan!A:A,kunishuClan!B:B),"浪人")))</f>
      </c>
      <c r="F3883" s="4">
        <v>0</v>
      </c>
      <c r="G3883" s="4">
        <v>78</v>
      </c>
      <c r="H3883" s="12" t="str">
        <f t="array" ref="H3883">IF(G3883:G7926="","",_xlfn.XLOOKUP(G3883:G7926,castles_state!A:A,castles_state!D:D,"見つかりません"))</f>
      </c>
      <c r="I3883" s="4"/>
      <c r="J3883" s="12" t="str">
        <f t="array" ref="J3883">IF(I3883:I7926="","",_xlfn.XLOOKUP(I3883:I7926,'参照_姫'!A:A,'参照_姫'!B:B,"見つかりません"))</f>
      </c>
      <c r="K3883" s="4">
        <v>50</v>
      </c>
      <c r="L3883" s="4">
        <v>0</v>
      </c>
      <c r="M3883" s="4"/>
      <c r="N3883" s="4"/>
      <c r="O3883" s="4"/>
      <c r="P3883" s="12" t="str">
        <f t="array" ref="P3883">IF(O3883:O7926="","",_xlfn.XLOOKUP(O3883:O7926,'参照_官位'!A:A,'参照_官位'!B:B,""))</f>
      </c>
      <c r="Q3883" s="12" t="str">
        <f t="array" ref="Q3883">IF(A3883:A7926="","",IFERROR(_xlfn.XLOOKUP(A3883:A7926,castles_state!K:K,castles_state!D:D)&amp;"主",IFERROR(_xlfn.XLOOKUP(A3883:A7926,kunishuClan!D:D,kunishuClan!B:B)&amp;"当主","")))</f>
      </c>
    </row>
    <row r="3884" ht="15.75" customHeight="1">
      <c r="A3884" s="4">
        <v>2018003</v>
      </c>
      <c r="B3884" s="12" t="str">
        <f t="array" ref="B3884">IF(A3884:A7927="","",_xlfn.XLOOKUP(A3884:A7927,'参照_武将'!A:A,'参照_武将'!B:B,"見つかりません"))</f>
      </c>
      <c r="C3884" s="4" t="s">
        <v>6007</v>
      </c>
      <c r="D3884" s="4">
        <v>0</v>
      </c>
      <c r="E3884" s="12" t="str">
        <f t="array" ref="E3884">IF(D3884:D7927="","",IFERROR(_xlfn.XLOOKUP(D3884:D7927,'参照_勢力'!A:A,'参照_勢力'!B:B),IFERROR(_xlfn.XLOOKUP(F3884:F7927,kunishuClan!A:A,kunishuClan!B:B),"浪人")))</f>
      </c>
      <c r="F3884" s="4">
        <v>0</v>
      </c>
      <c r="G3884" s="4">
        <v>78</v>
      </c>
      <c r="H3884" s="12" t="str">
        <f t="array" ref="H3884">IF(G3884:G7927="","",_xlfn.XLOOKUP(G3884:G7927,castles_state!A:A,castles_state!D:D,"見つかりません"))</f>
      </c>
      <c r="I3884" s="4"/>
      <c r="J3884" s="12" t="str">
        <f t="array" ref="J3884">IF(I3884:I7927="","",_xlfn.XLOOKUP(I3884:I7927,'参照_姫'!A:A,'参照_姫'!B:B,"見つかりません"))</f>
      </c>
      <c r="K3884" s="4">
        <v>50</v>
      </c>
      <c r="L3884" s="4">
        <v>300</v>
      </c>
      <c r="M3884" s="4"/>
      <c r="N3884" s="4"/>
      <c r="O3884" s="4"/>
      <c r="P3884" s="12" t="str">
        <f t="array" ref="P3884">IF(O3884:O7927="","",_xlfn.XLOOKUP(O3884:O7927,'参照_官位'!A:A,'参照_官位'!B:B,""))</f>
      </c>
      <c r="Q3884" s="12" t="str">
        <f t="array" ref="Q3884">IF(A3884:A7927="","",IFERROR(_xlfn.XLOOKUP(A3884:A7927,castles_state!K:K,castles_state!D:D)&amp;"主",IFERROR(_xlfn.XLOOKUP(A3884:A7927,kunishuClan!D:D,kunishuClan!B:B)&amp;"当主","")))</f>
      </c>
    </row>
    <row r="3885" ht="15.75" customHeight="1">
      <c r="A3885" s="4">
        <v>2018004</v>
      </c>
      <c r="B3885" s="12" t="str">
        <f t="array" ref="B3885">IF(A3885:A7928="","",_xlfn.XLOOKUP(A3885:A7928,'参照_武将'!A:A,'参照_武将'!B:B,"見つかりません"))</f>
      </c>
      <c r="C3885" s="4" t="s">
        <v>6007</v>
      </c>
      <c r="D3885" s="4">
        <v>0</v>
      </c>
      <c r="E3885" s="12" t="str">
        <f t="array" ref="E3885">IF(D3885:D7928="","",IFERROR(_xlfn.XLOOKUP(D3885:D7928,'参照_勢力'!A:A,'参照_勢力'!B:B),IFERROR(_xlfn.XLOOKUP(F3885:F7928,kunishuClan!A:A,kunishuClan!B:B),"浪人")))</f>
      </c>
      <c r="F3885" s="4">
        <v>18</v>
      </c>
      <c r="G3885" s="4">
        <v>78</v>
      </c>
      <c r="H3885" s="12" t="str">
        <f t="array" ref="H3885">IF(G3885:G7928="","",_xlfn.XLOOKUP(G3885:G7928,castles_state!A:A,castles_state!D:D,"見つかりません"))</f>
      </c>
      <c r="I3885" s="4"/>
      <c r="J3885" s="12" t="str">
        <f t="array" ref="J3885">IF(I3885:I7928="","",_xlfn.XLOOKUP(I3885:I7928,'参照_姫'!A:A,'参照_姫'!B:B,"見つかりません"))</f>
      </c>
      <c r="K3885" s="4">
        <v>50</v>
      </c>
      <c r="L3885" s="4">
        <v>0</v>
      </c>
      <c r="M3885" s="4"/>
      <c r="N3885" s="4"/>
      <c r="O3885" s="4"/>
      <c r="P3885" s="12" t="str">
        <f t="array" ref="P3885">IF(O3885:O7928="","",_xlfn.XLOOKUP(O3885:O7928,'参照_官位'!A:A,'参照_官位'!B:B,""))</f>
      </c>
      <c r="Q3885" s="12" t="str">
        <f t="array" ref="Q3885">IF(A3885:A7928="","",IFERROR(_xlfn.XLOOKUP(A3885:A7928,castles_state!K:K,castles_state!D:D)&amp;"主",IFERROR(_xlfn.XLOOKUP(A3885:A7928,kunishuClan!D:D,kunishuClan!B:B)&amp;"当主","")))</f>
      </c>
    </row>
    <row r="3886" ht="15.75" customHeight="1">
      <c r="A3886" s="4">
        <v>2018005</v>
      </c>
      <c r="B3886" s="12" t="str">
        <f t="array" ref="B3886">IF(A3886:A7929="","",_xlfn.XLOOKUP(A3886:A7929,'参照_武将'!A:A,'参照_武将'!B:B,"見つかりません"))</f>
      </c>
      <c r="C3886" s="4" t="s">
        <v>6007</v>
      </c>
      <c r="D3886" s="4">
        <v>0</v>
      </c>
      <c r="E3886" s="12" t="str">
        <f t="array" ref="E3886">IF(D3886:D7929="","",IFERROR(_xlfn.XLOOKUP(D3886:D7929,'参照_勢力'!A:A,'参照_勢力'!B:B),IFERROR(_xlfn.XLOOKUP(F3886:F7929,kunishuClan!A:A,kunishuClan!B:B),"浪人")))</f>
      </c>
      <c r="F3886" s="4">
        <v>18</v>
      </c>
      <c r="G3886" s="4">
        <v>78</v>
      </c>
      <c r="H3886" s="12" t="str">
        <f t="array" ref="H3886">IF(G3886:G7929="","",_xlfn.XLOOKUP(G3886:G7929,castles_state!A:A,castles_state!D:D,"見つかりません"))</f>
      </c>
      <c r="I3886" s="4"/>
      <c r="J3886" s="12" t="str">
        <f t="array" ref="J3886">IF(I3886:I7929="","",_xlfn.XLOOKUP(I3886:I7929,'参照_姫'!A:A,'参照_姫'!B:B,"見つかりません"))</f>
      </c>
      <c r="K3886" s="4">
        <v>50</v>
      </c>
      <c r="L3886" s="4">
        <v>0</v>
      </c>
      <c r="M3886" s="4"/>
      <c r="N3886" s="4"/>
      <c r="O3886" s="4"/>
      <c r="P3886" s="12" t="str">
        <f t="array" ref="P3886">IF(O3886:O7929="","",_xlfn.XLOOKUP(O3886:O7929,'参照_官位'!A:A,'参照_官位'!B:B,""))</f>
      </c>
      <c r="Q3886" s="12" t="str">
        <f t="array" ref="Q3886">IF(A3886:A7929="","",IFERROR(_xlfn.XLOOKUP(A3886:A7929,castles_state!K:K,castles_state!D:D)&amp;"主",IFERROR(_xlfn.XLOOKUP(A3886:A7929,kunishuClan!D:D,kunishuClan!B:B)&amp;"当主","")))</f>
      </c>
    </row>
    <row r="3887" ht="15.75" customHeight="1">
      <c r="A3887" s="4">
        <v>2018006</v>
      </c>
      <c r="B3887" s="12" t="str">
        <f t="array" ref="B3887">IF(A3887:A7930="","",_xlfn.XLOOKUP(A3887:A7930,'参照_武将'!A:A,'参照_武将'!B:B,"見つかりません"))</f>
      </c>
      <c r="C3887" s="4" t="s">
        <v>6007</v>
      </c>
      <c r="D3887" s="4">
        <v>0</v>
      </c>
      <c r="E3887" s="12" t="str">
        <f t="array" ref="E3887">IF(D3887:D7930="","",IFERROR(_xlfn.XLOOKUP(D3887:D7930,'参照_勢力'!A:A,'参照_勢力'!B:B),IFERROR(_xlfn.XLOOKUP(F3887:F7930,kunishuClan!A:A,kunishuClan!B:B),"浪人")))</f>
      </c>
      <c r="F3887" s="4">
        <v>18</v>
      </c>
      <c r="G3887" s="4">
        <v>78</v>
      </c>
      <c r="H3887" s="12" t="str">
        <f t="array" ref="H3887">IF(G3887:G7930="","",_xlfn.XLOOKUP(G3887:G7930,castles_state!A:A,castles_state!D:D,"見つかりません"))</f>
      </c>
      <c r="I3887" s="4"/>
      <c r="J3887" s="12" t="str">
        <f t="array" ref="J3887">IF(I3887:I7930="","",_xlfn.XLOOKUP(I3887:I7930,'参照_姫'!A:A,'参照_姫'!B:B,"見つかりません"))</f>
      </c>
      <c r="K3887" s="4">
        <v>50</v>
      </c>
      <c r="L3887" s="4">
        <v>0</v>
      </c>
      <c r="M3887" s="4"/>
      <c r="N3887" s="4"/>
      <c r="O3887" s="4"/>
      <c r="P3887" s="12" t="str">
        <f t="array" ref="P3887">IF(O3887:O7930="","",_xlfn.XLOOKUP(O3887:O7930,'参照_官位'!A:A,'参照_官位'!B:B,""))</f>
      </c>
      <c r="Q3887" s="12" t="str">
        <f t="array" ref="Q3887">IF(A3887:A7930="","",IFERROR(_xlfn.XLOOKUP(A3887:A7930,castles_state!K:K,castles_state!D:D)&amp;"主",IFERROR(_xlfn.XLOOKUP(A3887:A7930,kunishuClan!D:D,kunishuClan!B:B)&amp;"当主","")))</f>
      </c>
    </row>
    <row r="3888" ht="15.75" customHeight="1">
      <c r="A3888" s="4">
        <v>2019001</v>
      </c>
      <c r="B3888" s="12" t="str">
        <f t="array" ref="B3888">IF(A3888:A7931="","",_xlfn.XLOOKUP(A3888:A7931,'参照_武将'!A:A,'参照_武将'!B:B,"見つかりません"))</f>
      </c>
      <c r="C3888" s="4" t="s">
        <v>6008</v>
      </c>
      <c r="D3888" s="4">
        <v>0</v>
      </c>
      <c r="E3888" s="12" t="str">
        <f t="array" ref="E3888">IF(D3888:D7931="","",IFERROR(_xlfn.XLOOKUP(D3888:D7931,'参照_勢力'!A:A,'参照_勢力'!B:B),IFERROR(_xlfn.XLOOKUP(F3888:F7931,kunishuClan!A:A,kunishuClan!B:B),"浪人")))</f>
      </c>
      <c r="F3888" s="4">
        <v>19</v>
      </c>
      <c r="G3888" s="4">
        <v>25</v>
      </c>
      <c r="H3888" s="12" t="str">
        <f t="array" ref="H3888">IF(G3888:G7931="","",_xlfn.XLOOKUP(G3888:G7931,castles_state!A:A,castles_state!D:D,"見つかりません"))</f>
      </c>
      <c r="I3888" s="4"/>
      <c r="J3888" s="12" t="str">
        <f t="array" ref="J3888">IF(I3888:I7931="","",_xlfn.XLOOKUP(I3888:I7931,'参照_姫'!A:A,'参照_姫'!B:B,"見つかりません"))</f>
      </c>
      <c r="K3888" s="4">
        <v>50</v>
      </c>
      <c r="L3888" s="4">
        <v>300</v>
      </c>
      <c r="M3888" s="4"/>
      <c r="N3888" s="4"/>
      <c r="O3888" s="4"/>
      <c r="P3888" s="12" t="str">
        <f t="array" ref="P3888">IF(O3888:O7931="","",_xlfn.XLOOKUP(O3888:O7931,'参照_官位'!A:A,'参照_官位'!B:B,""))</f>
      </c>
      <c r="Q3888" s="12" t="str">
        <f t="array" ref="Q3888">IF(A3888:A7931="","",IFERROR(_xlfn.XLOOKUP(A3888:A7931,castles_state!K:K,castles_state!D:D)&amp;"主",IFERROR(_xlfn.XLOOKUP(A3888:A7931,kunishuClan!D:D,kunishuClan!B:B)&amp;"当主","")))</f>
      </c>
    </row>
    <row r="3889" ht="15.75" customHeight="1">
      <c r="A3889" s="4">
        <v>2019002</v>
      </c>
      <c r="B3889" s="12" t="str">
        <f t="array" ref="B3889">IF(A3889:A7932="","",_xlfn.XLOOKUP(A3889:A7932,'参照_武将'!A:A,'参照_武将'!B:B,"見つかりません"))</f>
      </c>
      <c r="C3889" s="4" t="s">
        <v>6009</v>
      </c>
      <c r="D3889" s="4">
        <v>0</v>
      </c>
      <c r="E3889" s="12" t="str">
        <f t="array" ref="E3889">IF(D3889:D7932="","",IFERROR(_xlfn.XLOOKUP(D3889:D7932,'参照_勢力'!A:A,'参照_勢力'!B:B),IFERROR(_xlfn.XLOOKUP(F3889:F7932,kunishuClan!A:A,kunishuClan!B:B),"浪人")))</f>
      </c>
      <c r="F3889" s="4">
        <v>19</v>
      </c>
      <c r="G3889" s="4">
        <v>25</v>
      </c>
      <c r="H3889" s="12" t="str">
        <f t="array" ref="H3889">IF(G3889:G7932="","",_xlfn.XLOOKUP(G3889:G7932,castles_state!A:A,castles_state!D:D,"見つかりません"))</f>
      </c>
      <c r="I3889" s="4"/>
      <c r="J3889" s="12" t="str">
        <f t="array" ref="J3889">IF(I3889:I7932="","",_xlfn.XLOOKUP(I3889:I7932,'参照_姫'!A:A,'参照_姫'!B:B,"見つかりません"))</f>
      </c>
      <c r="K3889" s="4">
        <v>50</v>
      </c>
      <c r="L3889" s="4">
        <v>300</v>
      </c>
      <c r="M3889" s="4"/>
      <c r="N3889" s="4"/>
      <c r="O3889" s="4"/>
      <c r="P3889" s="12" t="str">
        <f t="array" ref="P3889">IF(O3889:O7932="","",_xlfn.XLOOKUP(O3889:O7932,'参照_官位'!A:A,'参照_官位'!B:B,""))</f>
      </c>
      <c r="Q3889" s="12" t="str">
        <f t="array" ref="Q3889">IF(A3889:A7932="","",IFERROR(_xlfn.XLOOKUP(A3889:A7932,castles_state!K:K,castles_state!D:D)&amp;"主",IFERROR(_xlfn.XLOOKUP(A3889:A7932,kunishuClan!D:D,kunishuClan!B:B)&amp;"当主","")))</f>
      </c>
    </row>
    <row r="3890" ht="15.75" customHeight="1">
      <c r="A3890" s="4">
        <v>2019003</v>
      </c>
      <c r="B3890" s="12" t="str">
        <f t="array" ref="B3890">IF(A3890:A7933="","",_xlfn.XLOOKUP(A3890:A7933,'参照_武将'!A:A,'参照_武将'!B:B,"見つかりません"))</f>
      </c>
      <c r="C3890" s="4" t="s">
        <v>6009</v>
      </c>
      <c r="D3890" s="4">
        <v>0</v>
      </c>
      <c r="E3890" s="12" t="str">
        <f t="array" ref="E3890">IF(D3890:D7933="","",IFERROR(_xlfn.XLOOKUP(D3890:D7933,'参照_勢力'!A:A,'参照_勢力'!B:B),IFERROR(_xlfn.XLOOKUP(F3890:F7933,kunishuClan!A:A,kunishuClan!B:B),"浪人")))</f>
      </c>
      <c r="F3890" s="4">
        <v>19</v>
      </c>
      <c r="G3890" s="4">
        <v>25</v>
      </c>
      <c r="H3890" s="12" t="str">
        <f t="array" ref="H3890">IF(G3890:G7933="","",_xlfn.XLOOKUP(G3890:G7933,castles_state!A:A,castles_state!D:D,"見つかりません"))</f>
      </c>
      <c r="I3890" s="4"/>
      <c r="J3890" s="12" t="str">
        <f t="array" ref="J3890">IF(I3890:I7933="","",_xlfn.XLOOKUP(I3890:I7933,'参照_姫'!A:A,'参照_姫'!B:B,"見つかりません"))</f>
      </c>
      <c r="K3890" s="4">
        <v>50</v>
      </c>
      <c r="L3890" s="4">
        <v>0</v>
      </c>
      <c r="M3890" s="4"/>
      <c r="N3890" s="4"/>
      <c r="O3890" s="4"/>
      <c r="P3890" s="12" t="str">
        <f t="array" ref="P3890">IF(O3890:O7933="","",_xlfn.XLOOKUP(O3890:O7933,'参照_官位'!A:A,'参照_官位'!B:B,""))</f>
      </c>
      <c r="Q3890" s="12" t="str">
        <f t="array" ref="Q3890">IF(A3890:A7933="","",IFERROR(_xlfn.XLOOKUP(A3890:A7933,castles_state!K:K,castles_state!D:D)&amp;"主",IFERROR(_xlfn.XLOOKUP(A3890:A7933,kunishuClan!D:D,kunishuClan!B:B)&amp;"当主","")))</f>
      </c>
    </row>
    <row r="3891" ht="15.75" customHeight="1">
      <c r="A3891" s="4">
        <v>2019004</v>
      </c>
      <c r="B3891" s="12" t="str">
        <f t="array" ref="B3891">IF(A3891:A7934="","",_xlfn.XLOOKUP(A3891:A7934,'参照_武将'!A:A,'参照_武将'!B:B,"見つかりません"))</f>
      </c>
      <c r="C3891" s="4" t="s">
        <v>6009</v>
      </c>
      <c r="D3891" s="4">
        <v>0</v>
      </c>
      <c r="E3891" s="12" t="str">
        <f t="array" ref="E3891">IF(D3891:D7934="","",IFERROR(_xlfn.XLOOKUP(D3891:D7934,'参照_勢力'!A:A,'参照_勢力'!B:B),IFERROR(_xlfn.XLOOKUP(F3891:F7934,kunishuClan!A:A,kunishuClan!B:B),"浪人")))</f>
      </c>
      <c r="F3891" s="4">
        <v>19</v>
      </c>
      <c r="G3891" s="4">
        <v>25</v>
      </c>
      <c r="H3891" s="12" t="str">
        <f t="array" ref="H3891">IF(G3891:G7934="","",_xlfn.XLOOKUP(G3891:G7934,castles_state!A:A,castles_state!D:D,"見つかりません"))</f>
      </c>
      <c r="I3891" s="4"/>
      <c r="J3891" s="12" t="str">
        <f t="array" ref="J3891">IF(I3891:I7934="","",_xlfn.XLOOKUP(I3891:I7934,'参照_姫'!A:A,'参照_姫'!B:B,"見つかりません"))</f>
      </c>
      <c r="K3891" s="4">
        <v>50</v>
      </c>
      <c r="L3891" s="4">
        <v>0</v>
      </c>
      <c r="M3891" s="4"/>
      <c r="N3891" s="4"/>
      <c r="O3891" s="4"/>
      <c r="P3891" s="12" t="str">
        <f t="array" ref="P3891">IF(O3891:O7934="","",_xlfn.XLOOKUP(O3891:O7934,'参照_官位'!A:A,'参照_官位'!B:B,""))</f>
      </c>
      <c r="Q3891" s="12" t="str">
        <f t="array" ref="Q3891">IF(A3891:A7934="","",IFERROR(_xlfn.XLOOKUP(A3891:A7934,castles_state!K:K,castles_state!D:D)&amp;"主",IFERROR(_xlfn.XLOOKUP(A3891:A7934,kunishuClan!D:D,kunishuClan!B:B)&amp;"当主","")))</f>
      </c>
    </row>
    <row r="3892" ht="15.75" customHeight="1">
      <c r="A3892" s="4">
        <v>2020001</v>
      </c>
      <c r="B3892" s="12" t="str">
        <f t="array" ref="B3892">IF(A3892:A7935="","",_xlfn.XLOOKUP(A3892:A7935,'参照_武将'!A:A,'参照_武将'!B:B,"見つかりません"))</f>
      </c>
      <c r="C3892" s="4" t="s">
        <v>6010</v>
      </c>
      <c r="D3892" s="4">
        <v>0</v>
      </c>
      <c r="E3892" s="12" t="str">
        <f t="array" ref="E3892">IF(D3892:D7935="","",IFERROR(_xlfn.XLOOKUP(D3892:D7935,'参照_勢力'!A:A,'参照_勢力'!B:B),IFERROR(_xlfn.XLOOKUP(F3892:F7935,kunishuClan!A:A,kunishuClan!B:B),"浪人")))</f>
      </c>
      <c r="F3892" s="4">
        <v>20</v>
      </c>
      <c r="G3892" s="4">
        <v>29</v>
      </c>
      <c r="H3892" s="12" t="str">
        <f t="array" ref="H3892">IF(G3892:G7935="","",_xlfn.XLOOKUP(G3892:G7935,castles_state!A:A,castles_state!D:D,"見つかりません"))</f>
      </c>
      <c r="I3892" s="4"/>
      <c r="J3892" s="12" t="str">
        <f t="array" ref="J3892">IF(I3892:I7935="","",_xlfn.XLOOKUP(I3892:I7935,'参照_姫'!A:A,'参照_姫'!B:B,"見つかりません"))</f>
      </c>
      <c r="K3892" s="4">
        <v>50</v>
      </c>
      <c r="L3892" s="4">
        <v>300</v>
      </c>
      <c r="M3892" s="4"/>
      <c r="N3892" s="4"/>
      <c r="O3892" s="4"/>
      <c r="P3892" s="12" t="str">
        <f t="array" ref="P3892">IF(O3892:O7935="","",_xlfn.XLOOKUP(O3892:O7935,'参照_官位'!A:A,'参照_官位'!B:B,""))</f>
      </c>
      <c r="Q3892" s="12" t="str">
        <f t="array" ref="Q3892">IF(A3892:A7935="","",IFERROR(_xlfn.XLOOKUP(A3892:A7935,castles_state!K:K,castles_state!D:D)&amp;"主",IFERROR(_xlfn.XLOOKUP(A3892:A7935,kunishuClan!D:D,kunishuClan!B:B)&amp;"当主","")))</f>
      </c>
    </row>
    <row r="3893" ht="15.75" customHeight="1">
      <c r="A3893" s="4">
        <v>2021001</v>
      </c>
      <c r="B3893" s="12" t="str">
        <f t="array" ref="B3893">IF(A3893:A7936="","",_xlfn.XLOOKUP(A3893:A7936,'参照_武将'!A:A,'参照_武将'!B:B,"見つかりません"))</f>
      </c>
      <c r="C3893" s="4" t="s">
        <v>6011</v>
      </c>
      <c r="D3893" s="4">
        <v>0</v>
      </c>
      <c r="E3893" s="12" t="str">
        <f t="array" ref="E3893">IF(D3893:D7936="","",IFERROR(_xlfn.XLOOKUP(D3893:D7936,'参照_勢力'!A:A,'参照_勢力'!B:B),IFERROR(_xlfn.XLOOKUP(F3893:F7936,kunishuClan!A:A,kunishuClan!B:B),"浪人")))</f>
      </c>
      <c r="F3893" s="4">
        <v>21</v>
      </c>
      <c r="G3893" s="4">
        <v>24</v>
      </c>
      <c r="H3893" s="12" t="str">
        <f t="array" ref="H3893">IF(G3893:G7936="","",_xlfn.XLOOKUP(G3893:G7936,castles_state!A:A,castles_state!D:D,"見つかりません"))</f>
      </c>
      <c r="I3893" s="4"/>
      <c r="J3893" s="12" t="str">
        <f t="array" ref="J3893">IF(I3893:I7936="","",_xlfn.XLOOKUP(I3893:I7936,'参照_姫'!A:A,'参照_姫'!B:B,"見つかりません"))</f>
      </c>
      <c r="K3893" s="4">
        <v>50</v>
      </c>
      <c r="L3893" s="4">
        <v>300</v>
      </c>
      <c r="M3893" s="4"/>
      <c r="N3893" s="4"/>
      <c r="O3893" s="4"/>
      <c r="P3893" s="12" t="str">
        <f t="array" ref="P3893">IF(O3893:O7936="","",_xlfn.XLOOKUP(O3893:O7936,'参照_官位'!A:A,'参照_官位'!B:B,""))</f>
      </c>
      <c r="Q3893" s="12" t="str">
        <f t="array" ref="Q3893">IF(A3893:A7936="","",IFERROR(_xlfn.XLOOKUP(A3893:A7936,castles_state!K:K,castles_state!D:D)&amp;"主",IFERROR(_xlfn.XLOOKUP(A3893:A7936,kunishuClan!D:D,kunishuClan!B:B)&amp;"当主","")))</f>
      </c>
    </row>
    <row r="3894" ht="15.75" customHeight="1">
      <c r="A3894" s="4">
        <v>2022001</v>
      </c>
      <c r="B3894" s="12" t="str">
        <f t="array" ref="B3894">IF(A3894:A7937="","",_xlfn.XLOOKUP(A3894:A7937,'参照_武将'!A:A,'参照_武将'!B:B,"見つかりません"))</f>
      </c>
      <c r="C3894" s="4" t="s">
        <v>6012</v>
      </c>
      <c r="D3894" s="4">
        <v>0</v>
      </c>
      <c r="E3894" s="12" t="str">
        <f t="array" ref="E3894">IF(D3894:D7937="","",IFERROR(_xlfn.XLOOKUP(D3894:D7937,'参照_勢力'!A:A,'参照_勢力'!B:B),IFERROR(_xlfn.XLOOKUP(F3894:F7937,kunishuClan!A:A,kunishuClan!B:B),"浪人")))</f>
      </c>
      <c r="F3894" s="4">
        <v>22</v>
      </c>
      <c r="G3894" s="4">
        <v>180</v>
      </c>
      <c r="H3894" s="12" t="str">
        <f t="array" ref="H3894">IF(G3894:G7937="","",_xlfn.XLOOKUP(G3894:G7937,castles_state!A:A,castles_state!D:D,"見つかりません"))</f>
      </c>
      <c r="I3894" s="4"/>
      <c r="J3894" s="12" t="str">
        <f t="array" ref="J3894">IF(I3894:I7937="","",_xlfn.XLOOKUP(I3894:I7937,'参照_姫'!A:A,'参照_姫'!B:B,"見つかりません"))</f>
      </c>
      <c r="K3894" s="4">
        <v>50</v>
      </c>
      <c r="L3894" s="4">
        <v>300</v>
      </c>
      <c r="M3894" s="4"/>
      <c r="N3894" s="4"/>
      <c r="O3894" s="4"/>
      <c r="P3894" s="12" t="str">
        <f t="array" ref="P3894">IF(O3894:O7937="","",_xlfn.XLOOKUP(O3894:O7937,'参照_官位'!A:A,'参照_官位'!B:B,""))</f>
      </c>
      <c r="Q3894" s="12" t="str">
        <f t="array" ref="Q3894">IF(A3894:A7937="","",IFERROR(_xlfn.XLOOKUP(A3894:A7937,castles_state!K:K,castles_state!D:D)&amp;"主",IFERROR(_xlfn.XLOOKUP(A3894:A7937,kunishuClan!D:D,kunishuClan!B:B)&amp;"当主","")))</f>
      </c>
    </row>
    <row r="3895" ht="15.75" customHeight="1">
      <c r="A3895" s="4">
        <v>2022002</v>
      </c>
      <c r="B3895" s="12" t="str">
        <f t="array" ref="B3895">IF(A3895:A7938="","",_xlfn.XLOOKUP(A3895:A7938,'参照_武将'!A:A,'参照_武将'!B:B,"見つかりません"))</f>
      </c>
      <c r="C3895" s="4" t="s">
        <v>6012</v>
      </c>
      <c r="D3895" s="4">
        <v>0</v>
      </c>
      <c r="E3895" s="12" t="str">
        <f t="array" ref="E3895">IF(D3895:D7938="","",IFERROR(_xlfn.XLOOKUP(D3895:D7938,'参照_勢力'!A:A,'参照_勢力'!B:B),IFERROR(_xlfn.XLOOKUP(F3895:F7938,kunishuClan!A:A,kunishuClan!B:B),"浪人")))</f>
      </c>
      <c r="F3895" s="4">
        <v>22</v>
      </c>
      <c r="G3895" s="4">
        <v>180</v>
      </c>
      <c r="H3895" s="12" t="str">
        <f t="array" ref="H3895">IF(G3895:G7938="","",_xlfn.XLOOKUP(G3895:G7938,castles_state!A:A,castles_state!D:D,"見つかりません"))</f>
      </c>
      <c r="I3895" s="4"/>
      <c r="J3895" s="12" t="str">
        <f t="array" ref="J3895">IF(I3895:I7938="","",_xlfn.XLOOKUP(I3895:I7938,'参照_姫'!A:A,'参照_姫'!B:B,"見つかりません"))</f>
      </c>
      <c r="K3895" s="4">
        <v>50</v>
      </c>
      <c r="L3895" s="4">
        <v>0</v>
      </c>
      <c r="M3895" s="4"/>
      <c r="N3895" s="4"/>
      <c r="O3895" s="4"/>
      <c r="P3895" s="12" t="str">
        <f t="array" ref="P3895">IF(O3895:O7938="","",_xlfn.XLOOKUP(O3895:O7938,'参照_官位'!A:A,'参照_官位'!B:B,""))</f>
      </c>
      <c r="Q3895" s="12" t="str">
        <f t="array" ref="Q3895">IF(A3895:A7938="","",IFERROR(_xlfn.XLOOKUP(A3895:A7938,castles_state!K:K,castles_state!D:D)&amp;"主",IFERROR(_xlfn.XLOOKUP(A3895:A7938,kunishuClan!D:D,kunishuClan!B:B)&amp;"当主","")))</f>
      </c>
    </row>
    <row r="3896" ht="15.75" customHeight="1">
      <c r="A3896" s="4">
        <v>2022003</v>
      </c>
      <c r="B3896" s="12" t="str">
        <f t="array" ref="B3896">IF(A3896:A7939="","",_xlfn.XLOOKUP(A3896:A7939,'参照_武将'!A:A,'参照_武将'!B:B,"見つかりません"))</f>
      </c>
      <c r="C3896" s="4" t="s">
        <v>6012</v>
      </c>
      <c r="D3896" s="4">
        <v>0</v>
      </c>
      <c r="E3896" s="12" t="str">
        <f t="array" ref="E3896">IF(D3896:D7939="","",IFERROR(_xlfn.XLOOKUP(D3896:D7939,'参照_勢力'!A:A,'参照_勢力'!B:B),IFERROR(_xlfn.XLOOKUP(F3896:F7939,kunishuClan!A:A,kunishuClan!B:B),"浪人")))</f>
      </c>
      <c r="F3896" s="4">
        <v>22</v>
      </c>
      <c r="G3896" s="4">
        <v>180</v>
      </c>
      <c r="H3896" s="12" t="str">
        <f t="array" ref="H3896">IF(G3896:G7939="","",_xlfn.XLOOKUP(G3896:G7939,castles_state!A:A,castles_state!D:D,"見つかりません"))</f>
      </c>
      <c r="I3896" s="4"/>
      <c r="J3896" s="12" t="str">
        <f t="array" ref="J3896">IF(I3896:I7939="","",_xlfn.XLOOKUP(I3896:I7939,'参照_姫'!A:A,'参照_姫'!B:B,"見つかりません"))</f>
      </c>
      <c r="K3896" s="4">
        <v>50</v>
      </c>
      <c r="L3896" s="4">
        <v>0</v>
      </c>
      <c r="M3896" s="4"/>
      <c r="N3896" s="4"/>
      <c r="O3896" s="4"/>
      <c r="P3896" s="12" t="str">
        <f t="array" ref="P3896">IF(O3896:O7939="","",_xlfn.XLOOKUP(O3896:O7939,'参照_官位'!A:A,'参照_官位'!B:B,""))</f>
      </c>
      <c r="Q3896" s="12" t="str">
        <f t="array" ref="Q3896">IF(A3896:A7939="","",IFERROR(_xlfn.XLOOKUP(A3896:A7939,castles_state!K:K,castles_state!D:D)&amp;"主",IFERROR(_xlfn.XLOOKUP(A3896:A7939,kunishuClan!D:D,kunishuClan!B:B)&amp;"当主","")))</f>
      </c>
    </row>
    <row r="3897" ht="15.75" customHeight="1">
      <c r="A3897" s="4">
        <v>2022004</v>
      </c>
      <c r="B3897" s="12" t="str">
        <f t="array" ref="B3897">IF(A3897:A7940="","",_xlfn.XLOOKUP(A3897:A7940,'参照_武将'!A:A,'参照_武将'!B:B,"見つかりません"))</f>
      </c>
      <c r="C3897" s="4" t="s">
        <v>6012</v>
      </c>
      <c r="D3897" s="4">
        <v>0</v>
      </c>
      <c r="E3897" s="12" t="str">
        <f t="array" ref="E3897">IF(D3897:D7940="","",IFERROR(_xlfn.XLOOKUP(D3897:D7940,'参照_勢力'!A:A,'参照_勢力'!B:B),IFERROR(_xlfn.XLOOKUP(F3897:F7940,kunishuClan!A:A,kunishuClan!B:B),"浪人")))</f>
      </c>
      <c r="F3897" s="4">
        <v>22</v>
      </c>
      <c r="G3897" s="4">
        <v>180</v>
      </c>
      <c r="H3897" s="12" t="str">
        <f t="array" ref="H3897">IF(G3897:G7940="","",_xlfn.XLOOKUP(G3897:G7940,castles_state!A:A,castles_state!D:D,"見つかりません"))</f>
      </c>
      <c r="I3897" s="4"/>
      <c r="J3897" s="12" t="str">
        <f t="array" ref="J3897">IF(I3897:I7940="","",_xlfn.XLOOKUP(I3897:I7940,'参照_姫'!A:A,'参照_姫'!B:B,"見つかりません"))</f>
      </c>
      <c r="K3897" s="4">
        <v>50</v>
      </c>
      <c r="L3897" s="4">
        <v>0</v>
      </c>
      <c r="M3897" s="4"/>
      <c r="N3897" s="4"/>
      <c r="O3897" s="4"/>
      <c r="P3897" s="12" t="str">
        <f t="array" ref="P3897">IF(O3897:O7940="","",_xlfn.XLOOKUP(O3897:O7940,'参照_官位'!A:A,'参照_官位'!B:B,""))</f>
      </c>
      <c r="Q3897" s="12" t="str">
        <f t="array" ref="Q3897">IF(A3897:A7940="","",IFERROR(_xlfn.XLOOKUP(A3897:A7940,castles_state!K:K,castles_state!D:D)&amp;"主",IFERROR(_xlfn.XLOOKUP(A3897:A7940,kunishuClan!D:D,kunishuClan!B:B)&amp;"当主","")))</f>
      </c>
    </row>
    <row r="3898" ht="15.75" customHeight="1">
      <c r="A3898" s="4">
        <v>2022005</v>
      </c>
      <c r="B3898" s="12" t="str">
        <f t="array" ref="B3898">IF(A3898:A7941="","",_xlfn.XLOOKUP(A3898:A7941,'参照_武将'!A:A,'参照_武将'!B:B,"見つかりません"))</f>
      </c>
      <c r="C3898" s="4" t="s">
        <v>6012</v>
      </c>
      <c r="D3898" s="4">
        <v>0</v>
      </c>
      <c r="E3898" s="12" t="str">
        <f t="array" ref="E3898">IF(D3898:D7941="","",IFERROR(_xlfn.XLOOKUP(D3898:D7941,'参照_勢力'!A:A,'参照_勢力'!B:B),IFERROR(_xlfn.XLOOKUP(F3898:F7941,kunishuClan!A:A,kunishuClan!B:B),"浪人")))</f>
      </c>
      <c r="F3898" s="4">
        <v>22</v>
      </c>
      <c r="G3898" s="4">
        <v>180</v>
      </c>
      <c r="H3898" s="12" t="str">
        <f t="array" ref="H3898">IF(G3898:G7941="","",_xlfn.XLOOKUP(G3898:G7941,castles_state!A:A,castles_state!D:D,"見つかりません"))</f>
      </c>
      <c r="I3898" s="4"/>
      <c r="J3898" s="12" t="str">
        <f t="array" ref="J3898">IF(I3898:I7941="","",_xlfn.XLOOKUP(I3898:I7941,'参照_姫'!A:A,'参照_姫'!B:B,"見つかりません"))</f>
      </c>
      <c r="K3898" s="4">
        <v>50</v>
      </c>
      <c r="L3898" s="4">
        <v>0</v>
      </c>
      <c r="M3898" s="4"/>
      <c r="N3898" s="4"/>
      <c r="O3898" s="4"/>
      <c r="P3898" s="12" t="str">
        <f t="array" ref="P3898">IF(O3898:O7941="","",_xlfn.XLOOKUP(O3898:O7941,'参照_官位'!A:A,'参照_官位'!B:B,""))</f>
      </c>
      <c r="Q3898" s="12" t="str">
        <f t="array" ref="Q3898">IF(A3898:A7941="","",IFERROR(_xlfn.XLOOKUP(A3898:A7941,castles_state!K:K,castles_state!D:D)&amp;"主",IFERROR(_xlfn.XLOOKUP(A3898:A7941,kunishuClan!D:D,kunishuClan!B:B)&amp;"当主","")))</f>
      </c>
    </row>
    <row r="3899" ht="15.75" customHeight="1">
      <c r="A3899" s="4">
        <v>2023001</v>
      </c>
      <c r="B3899" s="12" t="str">
        <f t="array" ref="B3899">IF(A3899:A7942="","",_xlfn.XLOOKUP(A3899:A7942,'参照_武将'!A:A,'参照_武将'!B:B,"見つかりません"))</f>
      </c>
      <c r="C3899" s="4" t="s">
        <v>6013</v>
      </c>
      <c r="D3899" s="4">
        <v>0</v>
      </c>
      <c r="E3899" s="12" t="str">
        <f t="array" ref="E3899">IF(D3899:D7942="","",IFERROR(_xlfn.XLOOKUP(D3899:D7942,'参照_勢力'!A:A,'参照_勢力'!B:B),IFERROR(_xlfn.XLOOKUP(F3899:F7942,kunishuClan!A:A,kunishuClan!B:B),"浪人")))</f>
      </c>
      <c r="F3899" s="4">
        <v>23</v>
      </c>
      <c r="G3899" s="4">
        <v>117</v>
      </c>
      <c r="H3899" s="12" t="str">
        <f t="array" ref="H3899">IF(G3899:G7942="","",_xlfn.XLOOKUP(G3899:G7942,castles_state!A:A,castles_state!D:D,"見つかりません"))</f>
      </c>
      <c r="I3899" s="4"/>
      <c r="J3899" s="12" t="str">
        <f t="array" ref="J3899">IF(I3899:I7942="","",_xlfn.XLOOKUP(I3899:I7942,'参照_姫'!A:A,'参照_姫'!B:B,"見つかりません"))</f>
      </c>
      <c r="K3899" s="4">
        <v>50</v>
      </c>
      <c r="L3899" s="4">
        <v>300</v>
      </c>
      <c r="M3899" s="4"/>
      <c r="N3899" s="4"/>
      <c r="O3899" s="4"/>
      <c r="P3899" s="12" t="str">
        <f t="array" ref="P3899">IF(O3899:O7942="","",_xlfn.XLOOKUP(O3899:O7942,'参照_官位'!A:A,'参照_官位'!B:B,""))</f>
      </c>
      <c r="Q3899" s="12" t="str">
        <f t="array" ref="Q3899">IF(A3899:A7942="","",IFERROR(_xlfn.XLOOKUP(A3899:A7942,castles_state!K:K,castles_state!D:D)&amp;"主",IFERROR(_xlfn.XLOOKUP(A3899:A7942,kunishuClan!D:D,kunishuClan!B:B)&amp;"当主","")))</f>
      </c>
    </row>
    <row r="3900" ht="15.75" customHeight="1">
      <c r="A3900" s="4">
        <v>2023002</v>
      </c>
      <c r="B3900" s="12" t="str">
        <f t="array" ref="B3900">IF(A3900:A7943="","",_xlfn.XLOOKUP(A3900:A7943,'参照_武将'!A:A,'参照_武将'!B:B,"見つかりません"))</f>
      </c>
      <c r="C3900" s="4" t="s">
        <v>6013</v>
      </c>
      <c r="D3900" s="4">
        <v>0</v>
      </c>
      <c r="E3900" s="12" t="str">
        <f t="array" ref="E3900">IF(D3900:D7943="","",IFERROR(_xlfn.XLOOKUP(D3900:D7943,'参照_勢力'!A:A,'参照_勢力'!B:B),IFERROR(_xlfn.XLOOKUP(F3900:F7943,kunishuClan!A:A,kunishuClan!B:B),"浪人")))</f>
      </c>
      <c r="F3900" s="4">
        <v>23</v>
      </c>
      <c r="G3900" s="4">
        <v>117</v>
      </c>
      <c r="H3900" s="12" t="str">
        <f t="array" ref="H3900">IF(G3900:G7943="","",_xlfn.XLOOKUP(G3900:G7943,castles_state!A:A,castles_state!D:D,"見つかりません"))</f>
      </c>
      <c r="I3900" s="4"/>
      <c r="J3900" s="12" t="str">
        <f t="array" ref="J3900">IF(I3900:I7943="","",_xlfn.XLOOKUP(I3900:I7943,'参照_姫'!A:A,'参照_姫'!B:B,"見つかりません"))</f>
      </c>
      <c r="K3900" s="4">
        <v>50</v>
      </c>
      <c r="L3900" s="4">
        <v>0</v>
      </c>
      <c r="M3900" s="4"/>
      <c r="N3900" s="4"/>
      <c r="O3900" s="4"/>
      <c r="P3900" s="12" t="str">
        <f t="array" ref="P3900">IF(O3900:O7943="","",_xlfn.XLOOKUP(O3900:O7943,'参照_官位'!A:A,'参照_官位'!B:B,""))</f>
      </c>
      <c r="Q3900" s="12" t="str">
        <f t="array" ref="Q3900">IF(A3900:A7943="","",IFERROR(_xlfn.XLOOKUP(A3900:A7943,castles_state!K:K,castles_state!D:D)&amp;"主",IFERROR(_xlfn.XLOOKUP(A3900:A7943,kunishuClan!D:D,kunishuClan!B:B)&amp;"当主","")))</f>
      </c>
    </row>
    <row r="3901" ht="15.75" customHeight="1">
      <c r="A3901" s="4">
        <v>2023003</v>
      </c>
      <c r="B3901" s="12" t="str">
        <f t="array" ref="B3901">IF(A3901:A7944="","",_xlfn.XLOOKUP(A3901:A7944,'参照_武将'!A:A,'参照_武将'!B:B,"見つかりません"))</f>
      </c>
      <c r="C3901" s="4" t="s">
        <v>6013</v>
      </c>
      <c r="D3901" s="4">
        <v>0</v>
      </c>
      <c r="E3901" s="12" t="str">
        <f t="array" ref="E3901">IF(D3901:D7944="","",IFERROR(_xlfn.XLOOKUP(D3901:D7944,'参照_勢力'!A:A,'参照_勢力'!B:B),IFERROR(_xlfn.XLOOKUP(F3901:F7944,kunishuClan!A:A,kunishuClan!B:B),"浪人")))</f>
      </c>
      <c r="F3901" s="4">
        <v>23</v>
      </c>
      <c r="G3901" s="4">
        <v>117</v>
      </c>
      <c r="H3901" s="12" t="str">
        <f t="array" ref="H3901">IF(G3901:G7944="","",_xlfn.XLOOKUP(G3901:G7944,castles_state!A:A,castles_state!D:D,"見つかりません"))</f>
      </c>
      <c r="I3901" s="4"/>
      <c r="J3901" s="12" t="str">
        <f t="array" ref="J3901">IF(I3901:I7944="","",_xlfn.XLOOKUP(I3901:I7944,'参照_姫'!A:A,'参照_姫'!B:B,"見つかりません"))</f>
      </c>
      <c r="K3901" s="4">
        <v>50</v>
      </c>
      <c r="L3901" s="4">
        <v>0</v>
      </c>
      <c r="M3901" s="4"/>
      <c r="N3901" s="4"/>
      <c r="O3901" s="4"/>
      <c r="P3901" s="12" t="str">
        <f t="array" ref="P3901">IF(O3901:O7944="","",_xlfn.XLOOKUP(O3901:O7944,'参照_官位'!A:A,'参照_官位'!B:B,""))</f>
      </c>
      <c r="Q3901" s="12" t="str">
        <f t="array" ref="Q3901">IF(A3901:A7944="","",IFERROR(_xlfn.XLOOKUP(A3901:A7944,castles_state!K:K,castles_state!D:D)&amp;"主",IFERROR(_xlfn.XLOOKUP(A3901:A7944,kunishuClan!D:D,kunishuClan!B:B)&amp;"当主","")))</f>
      </c>
    </row>
    <row r="3902" ht="15.75" customHeight="1">
      <c r="A3902" s="4">
        <v>2024001</v>
      </c>
      <c r="B3902" s="12" t="str">
        <f t="array" ref="B3902">IF(A3902:A7945="","",_xlfn.XLOOKUP(A3902:A7945,'参照_武将'!A:A,'参照_武将'!B:B,"見つかりません"))</f>
      </c>
      <c r="C3902" s="4" t="s">
        <v>6014</v>
      </c>
      <c r="D3902" s="4">
        <v>0</v>
      </c>
      <c r="E3902" s="12" t="str">
        <f t="array" ref="E3902">IF(D3902:D7945="","",IFERROR(_xlfn.XLOOKUP(D3902:D7945,'参照_勢力'!A:A,'参照_勢力'!B:B),IFERROR(_xlfn.XLOOKUP(F3902:F7945,kunishuClan!A:A,kunishuClan!B:B),"浪人")))</f>
      </c>
      <c r="F3902" s="4">
        <v>24</v>
      </c>
      <c r="G3902" s="4">
        <v>70</v>
      </c>
      <c r="H3902" s="12" t="str">
        <f t="array" ref="H3902">IF(G3902:G7945="","",_xlfn.XLOOKUP(G3902:G7945,castles_state!A:A,castles_state!D:D,"見つかりません"))</f>
      </c>
      <c r="I3902" s="4"/>
      <c r="J3902" s="12" t="str">
        <f t="array" ref="J3902">IF(I3902:I7945="","",_xlfn.XLOOKUP(I3902:I7945,'参照_姫'!A:A,'参照_姫'!B:B,"見つかりません"))</f>
      </c>
      <c r="K3902" s="4">
        <v>50</v>
      </c>
      <c r="L3902" s="4">
        <v>300</v>
      </c>
      <c r="M3902" s="4"/>
      <c r="N3902" s="4"/>
      <c r="O3902" s="4"/>
      <c r="P3902" s="12" t="str">
        <f t="array" ref="P3902">IF(O3902:O7945="","",_xlfn.XLOOKUP(O3902:O7945,'参照_官位'!A:A,'参照_官位'!B:B,""))</f>
      </c>
      <c r="Q3902" s="12" t="str">
        <f t="array" ref="Q3902">IF(A3902:A7945="","",IFERROR(_xlfn.XLOOKUP(A3902:A7945,castles_state!K:K,castles_state!D:D)&amp;"主",IFERROR(_xlfn.XLOOKUP(A3902:A7945,kunishuClan!D:D,kunishuClan!B:B)&amp;"当主","")))</f>
      </c>
    </row>
    <row r="3903" ht="15.75" customHeight="1">
      <c r="A3903" s="4">
        <v>2025001</v>
      </c>
      <c r="B3903" s="12" t="str">
        <f t="array" ref="B3903">IF(A3903:A7946="","",_xlfn.XLOOKUP(A3903:A7946,'参照_武将'!A:A,'参照_武将'!B:B,"見つかりません"))</f>
      </c>
      <c r="C3903" s="4" t="s">
        <v>6015</v>
      </c>
      <c r="D3903" s="4">
        <v>0</v>
      </c>
      <c r="E3903" s="12" t="str">
        <f t="array" ref="E3903">IF(D3903:D7946="","",IFERROR(_xlfn.XLOOKUP(D3903:D7946,'参照_勢力'!A:A,'参照_勢力'!B:B),IFERROR(_xlfn.XLOOKUP(F3903:F7946,kunishuClan!A:A,kunishuClan!B:B),"浪人")))</f>
      </c>
      <c r="F3903" s="4">
        <v>25</v>
      </c>
      <c r="G3903" s="4">
        <v>6</v>
      </c>
      <c r="H3903" s="12" t="str">
        <f t="array" ref="H3903">IF(G3903:G7946="","",_xlfn.XLOOKUP(G3903:G7946,castles_state!A:A,castles_state!D:D,"見つかりません"))</f>
      </c>
      <c r="I3903" s="4"/>
      <c r="J3903" s="12" t="str">
        <f t="array" ref="J3903">IF(I3903:I7946="","",_xlfn.XLOOKUP(I3903:I7946,'参照_姫'!A:A,'参照_姫'!B:B,"見つかりません"))</f>
      </c>
      <c r="K3903" s="4">
        <v>50</v>
      </c>
      <c r="L3903" s="4">
        <v>0</v>
      </c>
      <c r="M3903" s="4"/>
      <c r="N3903" s="4"/>
      <c r="O3903" s="4"/>
      <c r="P3903" s="12" t="str">
        <f t="array" ref="P3903">IF(O3903:O7946="","",_xlfn.XLOOKUP(O3903:O7946,'参照_官位'!A:A,'参照_官位'!B:B,""))</f>
      </c>
      <c r="Q3903" s="12" t="str">
        <f t="array" ref="Q3903">IF(A3903:A7946="","",IFERROR(_xlfn.XLOOKUP(A3903:A7946,castles_state!K:K,castles_state!D:D)&amp;"主",IFERROR(_xlfn.XLOOKUP(A3903:A7946,kunishuClan!D:D,kunishuClan!B:B)&amp;"当主","")))</f>
      </c>
    </row>
    <row r="3904" ht="15.75" customHeight="1">
      <c r="A3904" s="4">
        <v>2025002</v>
      </c>
      <c r="B3904" s="12" t="str">
        <f t="array" ref="B3904">IF(A3904:A7947="","",_xlfn.XLOOKUP(A3904:A7947,'参照_武将'!A:A,'参照_武将'!B:B,"見つかりません"))</f>
      </c>
      <c r="C3904" s="4" t="s">
        <v>6015</v>
      </c>
      <c r="D3904" s="4">
        <v>0</v>
      </c>
      <c r="E3904" s="12" t="str">
        <f t="array" ref="E3904">IF(D3904:D7947="","",IFERROR(_xlfn.XLOOKUP(D3904:D7947,'参照_勢力'!A:A,'参照_勢力'!B:B),IFERROR(_xlfn.XLOOKUP(F3904:F7947,kunishuClan!A:A,kunishuClan!B:B),"浪人")))</f>
      </c>
      <c r="F3904" s="4">
        <v>25</v>
      </c>
      <c r="G3904" s="4">
        <v>6</v>
      </c>
      <c r="H3904" s="12" t="str">
        <f t="array" ref="H3904">IF(G3904:G7947="","",_xlfn.XLOOKUP(G3904:G7947,castles_state!A:A,castles_state!D:D,"見つかりません"))</f>
      </c>
      <c r="I3904" s="4"/>
      <c r="J3904" s="12" t="str">
        <f t="array" ref="J3904">IF(I3904:I7947="","",_xlfn.XLOOKUP(I3904:I7947,'参照_姫'!A:A,'参照_姫'!B:B,"見つかりません"))</f>
      </c>
      <c r="K3904" s="4">
        <v>50</v>
      </c>
      <c r="L3904" s="4">
        <v>0</v>
      </c>
      <c r="M3904" s="4"/>
      <c r="N3904" s="4"/>
      <c r="O3904" s="4"/>
      <c r="P3904" s="12" t="str">
        <f t="array" ref="P3904">IF(O3904:O7947="","",_xlfn.XLOOKUP(O3904:O7947,'参照_官位'!A:A,'参照_官位'!B:B,""))</f>
      </c>
      <c r="Q3904" s="12" t="str">
        <f t="array" ref="Q3904">IF(A3904:A7947="","",IFERROR(_xlfn.XLOOKUP(A3904:A7947,castles_state!K:K,castles_state!D:D)&amp;"主",IFERROR(_xlfn.XLOOKUP(A3904:A7947,kunishuClan!D:D,kunishuClan!B:B)&amp;"当主","")))</f>
      </c>
    </row>
    <row r="3905" ht="15.75" customHeight="1">
      <c r="A3905" s="4">
        <v>2025003</v>
      </c>
      <c r="B3905" s="12" t="str">
        <f t="array" ref="B3905">IF(A3905:A7948="","",_xlfn.XLOOKUP(A3905:A7948,'参照_武将'!A:A,'参照_武将'!B:B,"見つかりません"))</f>
      </c>
      <c r="C3905" s="4" t="s">
        <v>6016</v>
      </c>
      <c r="D3905" s="4">
        <v>0</v>
      </c>
      <c r="E3905" s="12" t="str">
        <f t="array" ref="E3905">IF(D3905:D7948="","",IFERROR(_xlfn.XLOOKUP(D3905:D7948,'参照_勢力'!A:A,'参照_勢力'!B:B),IFERROR(_xlfn.XLOOKUP(F3905:F7948,kunishuClan!A:A,kunishuClan!B:B),"浪人")))</f>
      </c>
      <c r="F3905" s="4">
        <v>25</v>
      </c>
      <c r="G3905" s="4">
        <v>6</v>
      </c>
      <c r="H3905" s="12" t="str">
        <f t="array" ref="H3905">IF(G3905:G7948="","",_xlfn.XLOOKUP(G3905:G7948,castles_state!A:A,castles_state!D:D,"見つかりません"))</f>
      </c>
      <c r="I3905" s="4"/>
      <c r="J3905" s="12" t="str">
        <f t="array" ref="J3905">IF(I3905:I7948="","",_xlfn.XLOOKUP(I3905:I7948,'参照_姫'!A:A,'参照_姫'!B:B,"見つかりません"))</f>
      </c>
      <c r="K3905" s="4">
        <v>50</v>
      </c>
      <c r="L3905" s="4">
        <v>0</v>
      </c>
      <c r="M3905" s="4"/>
      <c r="N3905" s="4"/>
      <c r="O3905" s="4"/>
      <c r="P3905" s="12" t="str">
        <f t="array" ref="P3905">IF(O3905:O7948="","",_xlfn.XLOOKUP(O3905:O7948,'参照_官位'!A:A,'参照_官位'!B:B,""))</f>
      </c>
      <c r="Q3905" s="12" t="str">
        <f t="array" ref="Q3905">IF(A3905:A7948="","",IFERROR(_xlfn.XLOOKUP(A3905:A7948,castles_state!K:K,castles_state!D:D)&amp;"主",IFERROR(_xlfn.XLOOKUP(A3905:A7948,kunishuClan!D:D,kunishuClan!B:B)&amp;"当主","")))</f>
      </c>
    </row>
    <row r="3906" ht="15.75" customHeight="1">
      <c r="A3906" s="4">
        <v>2025004</v>
      </c>
      <c r="B3906" s="12" t="str">
        <f t="array" ref="B3906">IF(A3906:A7949="","",_xlfn.XLOOKUP(A3906:A7949,'参照_武将'!A:A,'参照_武将'!B:B,"見つかりません"))</f>
      </c>
      <c r="C3906" s="4" t="s">
        <v>6016</v>
      </c>
      <c r="D3906" s="4">
        <v>0</v>
      </c>
      <c r="E3906" s="12" t="str">
        <f t="array" ref="E3906">IF(D3906:D7949="","",IFERROR(_xlfn.XLOOKUP(D3906:D7949,'参照_勢力'!A:A,'参照_勢力'!B:B),IFERROR(_xlfn.XLOOKUP(F3906:F7949,kunishuClan!A:A,kunishuClan!B:B),"浪人")))</f>
      </c>
      <c r="F3906" s="4">
        <v>25</v>
      </c>
      <c r="G3906" s="4">
        <v>6</v>
      </c>
      <c r="H3906" s="12" t="str">
        <f t="array" ref="H3906">IF(G3906:G7949="","",_xlfn.XLOOKUP(G3906:G7949,castles_state!A:A,castles_state!D:D,"見つかりません"))</f>
      </c>
      <c r="I3906" s="4"/>
      <c r="J3906" s="12" t="str">
        <f t="array" ref="J3906">IF(I3906:I7949="","",_xlfn.XLOOKUP(I3906:I7949,'参照_姫'!A:A,'参照_姫'!B:B,"見つかりません"))</f>
      </c>
      <c r="K3906" s="4">
        <v>50</v>
      </c>
      <c r="L3906" s="4">
        <v>300</v>
      </c>
      <c r="M3906" s="4"/>
      <c r="N3906" s="4"/>
      <c r="O3906" s="4"/>
      <c r="P3906" s="12" t="str">
        <f t="array" ref="P3906">IF(O3906:O7949="","",_xlfn.XLOOKUP(O3906:O7949,'参照_官位'!A:A,'参照_官位'!B:B,""))</f>
      </c>
      <c r="Q3906" s="12" t="str">
        <f t="array" ref="Q3906">IF(A3906:A7949="","",IFERROR(_xlfn.XLOOKUP(A3906:A7949,castles_state!K:K,castles_state!D:D)&amp;"主",IFERROR(_xlfn.XLOOKUP(A3906:A7949,kunishuClan!D:D,kunishuClan!B:B)&amp;"当主","")))</f>
      </c>
    </row>
    <row r="3907" ht="15.75" customHeight="1">
      <c r="A3907" s="4">
        <v>2025005</v>
      </c>
      <c r="B3907" s="12" t="str">
        <f t="array" ref="B3907">IF(A3907:A7950="","",_xlfn.XLOOKUP(A3907:A7950,'参照_武将'!A:A,'参照_武将'!B:B,"見つかりません"))</f>
      </c>
      <c r="C3907" s="4" t="s">
        <v>6016</v>
      </c>
      <c r="D3907" s="4">
        <v>0</v>
      </c>
      <c r="E3907" s="12" t="str">
        <f t="array" ref="E3907">IF(D3907:D7950="","",IFERROR(_xlfn.XLOOKUP(D3907:D7950,'参照_勢力'!A:A,'参照_勢力'!B:B),IFERROR(_xlfn.XLOOKUP(F3907:F7950,kunishuClan!A:A,kunishuClan!B:B),"浪人")))</f>
      </c>
      <c r="F3907" s="4">
        <v>25</v>
      </c>
      <c r="G3907" s="4">
        <v>6</v>
      </c>
      <c r="H3907" s="12" t="str">
        <f t="array" ref="H3907">IF(G3907:G7950="","",_xlfn.XLOOKUP(G3907:G7950,castles_state!A:A,castles_state!D:D,"見つかりません"))</f>
      </c>
      <c r="I3907" s="4"/>
      <c r="J3907" s="12" t="str">
        <f t="array" ref="J3907">IF(I3907:I7950="","",_xlfn.XLOOKUP(I3907:I7950,'参照_姫'!A:A,'参照_姫'!B:B,"見つかりません"))</f>
      </c>
      <c r="K3907" s="4">
        <v>50</v>
      </c>
      <c r="L3907" s="4">
        <v>0</v>
      </c>
      <c r="M3907" s="4"/>
      <c r="N3907" s="4"/>
      <c r="O3907" s="4"/>
      <c r="P3907" s="12" t="str">
        <f t="array" ref="P3907">IF(O3907:O7950="","",_xlfn.XLOOKUP(O3907:O7950,'参照_官位'!A:A,'参照_官位'!B:B,""))</f>
      </c>
      <c r="Q3907" s="12" t="str">
        <f t="array" ref="Q3907">IF(A3907:A7950="","",IFERROR(_xlfn.XLOOKUP(A3907:A7950,castles_state!K:K,castles_state!D:D)&amp;"主",IFERROR(_xlfn.XLOOKUP(A3907:A7950,kunishuClan!D:D,kunishuClan!B:B)&amp;"当主","")))</f>
      </c>
    </row>
    <row r="3908" ht="15.75" customHeight="1">
      <c r="A3908" s="4">
        <v>2025006</v>
      </c>
      <c r="B3908" s="12" t="str">
        <f t="array" ref="B3908">IF(A3908:A7951="","",_xlfn.XLOOKUP(A3908:A7951,'参照_武将'!A:A,'参照_武将'!B:B,"見つかりません"))</f>
      </c>
      <c r="C3908" s="4" t="s">
        <v>6016</v>
      </c>
      <c r="D3908" s="4">
        <v>0</v>
      </c>
      <c r="E3908" s="12" t="str">
        <f t="array" ref="E3908">IF(D3908:D7951="","",IFERROR(_xlfn.XLOOKUP(D3908:D7951,'参照_勢力'!A:A,'参照_勢力'!B:B),IFERROR(_xlfn.XLOOKUP(F3908:F7951,kunishuClan!A:A,kunishuClan!B:B),"浪人")))</f>
      </c>
      <c r="F3908" s="4">
        <v>25</v>
      </c>
      <c r="G3908" s="4">
        <v>6</v>
      </c>
      <c r="H3908" s="12" t="str">
        <f t="array" ref="H3908">IF(G3908:G7951="","",_xlfn.XLOOKUP(G3908:G7951,castles_state!A:A,castles_state!D:D,"見つかりません"))</f>
      </c>
      <c r="I3908" s="4"/>
      <c r="J3908" s="12" t="str">
        <f t="array" ref="J3908">IF(I3908:I7951="","",_xlfn.XLOOKUP(I3908:I7951,'参照_姫'!A:A,'参照_姫'!B:B,"見つかりません"))</f>
      </c>
      <c r="K3908" s="4">
        <v>50</v>
      </c>
      <c r="L3908" s="4">
        <v>0</v>
      </c>
      <c r="M3908" s="4"/>
      <c r="N3908" s="4"/>
      <c r="O3908" s="4"/>
      <c r="P3908" s="12" t="str">
        <f t="array" ref="P3908">IF(O3908:O7951="","",_xlfn.XLOOKUP(O3908:O7951,'参照_官位'!A:A,'参照_官位'!B:B,""))</f>
      </c>
      <c r="Q3908" s="12" t="str">
        <f t="array" ref="Q3908">IF(A3908:A7951="","",IFERROR(_xlfn.XLOOKUP(A3908:A7951,castles_state!K:K,castles_state!D:D)&amp;"主",IFERROR(_xlfn.XLOOKUP(A3908:A7951,kunishuClan!D:D,kunishuClan!B:B)&amp;"当主","")))</f>
      </c>
    </row>
    <row r="3909" ht="15.75" customHeight="1">
      <c r="A3909" s="4">
        <v>2025007</v>
      </c>
      <c r="B3909" s="12" t="str">
        <f t="array" ref="B3909">IF(A3909:A7952="","",_xlfn.XLOOKUP(A3909:A7952,'参照_武将'!A:A,'参照_武将'!B:B,"見つかりません"))</f>
      </c>
      <c r="C3909" s="4" t="s">
        <v>104</v>
      </c>
      <c r="D3909" s="4">
        <v>2</v>
      </c>
      <c r="E3909" s="12" t="str">
        <f t="array" ref="E3909">IF(D3909:D7952="","",IFERROR(_xlfn.XLOOKUP(D3909:D7952,'参照_勢力'!A:A,'参照_勢力'!B:B),IFERROR(_xlfn.XLOOKUP(F3909:F7952,kunishuClan!A:A,kunishuClan!B:B),"浪人")))</f>
      </c>
      <c r="F3909" s="4">
        <v>0</v>
      </c>
      <c r="G3909" s="4">
        <v>68</v>
      </c>
      <c r="H3909" s="12" t="str">
        <f t="array" ref="H3909">IF(G3909:G7952="","",_xlfn.XLOOKUP(G3909:G7952,castles_state!A:A,castles_state!D:D,"見つかりません"))</f>
      </c>
      <c r="I3909" s="4"/>
      <c r="J3909" s="12" t="str">
        <f t="array" ref="J3909">IF(I3909:I7952="","",_xlfn.XLOOKUP(I3909:I7952,'参照_姫'!A:A,'参照_姫'!B:B,"見つかりません"))</f>
      </c>
      <c r="K3909" s="4">
        <v>95</v>
      </c>
      <c r="L3909" s="4">
        <v>0</v>
      </c>
      <c r="M3909" s="4"/>
      <c r="N3909" s="4"/>
      <c r="O3909" s="4"/>
      <c r="P3909" s="12" t="str">
        <f t="array" ref="P3909">IF(O3909:O7952="","",_xlfn.XLOOKUP(O3909:O7952,'参照_官位'!A:A,'参照_官位'!B:B,""))</f>
      </c>
      <c r="Q3909" s="12" t="str">
        <f t="array" ref="Q3909">IF(A3909:A7952="","",IFERROR(_xlfn.XLOOKUP(A3909:A7952,castles_state!K:K,castles_state!D:D)&amp;"主",IFERROR(_xlfn.XLOOKUP(A3909:A7952,kunishuClan!D:D,kunishuClan!B:B)&amp;"当主","")))</f>
      </c>
    </row>
    <row r="3910" ht="15.75" customHeight="1">
      <c r="A3910" s="4">
        <v>2025008</v>
      </c>
      <c r="B3910" s="12" t="str">
        <f t="array" ref="B3910">IF(A3910:A7953="","",_xlfn.XLOOKUP(A3910:A7953,'参照_武将'!A:A,'参照_武将'!B:B,"見つかりません"))</f>
      </c>
      <c r="C3910" s="4" t="s">
        <v>6016</v>
      </c>
      <c r="D3910" s="4">
        <v>0</v>
      </c>
      <c r="E3910" s="12" t="str">
        <f t="array" ref="E3910">IF(D3910:D7953="","",IFERROR(_xlfn.XLOOKUP(D3910:D7953,'参照_勢力'!A:A,'参照_勢力'!B:B),IFERROR(_xlfn.XLOOKUP(F3910:F7953,kunishuClan!A:A,kunishuClan!B:B),"浪人")))</f>
      </c>
      <c r="F3910" s="4">
        <v>25</v>
      </c>
      <c r="G3910" s="4">
        <v>6</v>
      </c>
      <c r="H3910" s="12" t="str">
        <f t="array" ref="H3910">IF(G3910:G7953="","",_xlfn.XLOOKUP(G3910:G7953,castles_state!A:A,castles_state!D:D,"見つかりません"))</f>
      </c>
      <c r="I3910" s="4"/>
      <c r="J3910" s="12" t="str">
        <f t="array" ref="J3910">IF(I3910:I7953="","",_xlfn.XLOOKUP(I3910:I7953,'参照_姫'!A:A,'参照_姫'!B:B,"見つかりません"))</f>
      </c>
      <c r="K3910" s="4">
        <v>50</v>
      </c>
      <c r="L3910" s="4">
        <v>0</v>
      </c>
      <c r="M3910" s="4"/>
      <c r="N3910" s="4"/>
      <c r="O3910" s="4"/>
      <c r="P3910" s="12" t="str">
        <f t="array" ref="P3910">IF(O3910:O7953="","",_xlfn.XLOOKUP(O3910:O7953,'参照_官位'!A:A,'参照_官位'!B:B,""))</f>
      </c>
      <c r="Q3910" s="12" t="str">
        <f t="array" ref="Q3910">IF(A3910:A7953="","",IFERROR(_xlfn.XLOOKUP(A3910:A7953,castles_state!K:K,castles_state!D:D)&amp;"主",IFERROR(_xlfn.XLOOKUP(A3910:A7953,kunishuClan!D:D,kunishuClan!B:B)&amp;"当主","")))</f>
      </c>
    </row>
    <row r="3911" ht="15.75" customHeight="1">
      <c r="A3911" s="4">
        <v>2025009</v>
      </c>
      <c r="B3911" s="12" t="str">
        <f t="array" ref="B3911">IF(A3911:A7954="","",_xlfn.XLOOKUP(A3911:A7954,'参照_武将'!A:A,'参照_武将'!B:B,"見つかりません"))</f>
      </c>
      <c r="C3911" s="4" t="s">
        <v>6016</v>
      </c>
      <c r="D3911" s="4">
        <v>0</v>
      </c>
      <c r="E3911" s="12" t="str">
        <f t="array" ref="E3911">IF(D3911:D7954="","",IFERROR(_xlfn.XLOOKUP(D3911:D7954,'参照_勢力'!A:A,'参照_勢力'!B:B),IFERROR(_xlfn.XLOOKUP(F3911:F7954,kunishuClan!A:A,kunishuClan!B:B),"浪人")))</f>
      </c>
      <c r="F3911" s="4">
        <v>25</v>
      </c>
      <c r="G3911" s="4">
        <v>6</v>
      </c>
      <c r="H3911" s="12" t="str">
        <f t="array" ref="H3911">IF(G3911:G7954="","",_xlfn.XLOOKUP(G3911:G7954,castles_state!A:A,castles_state!D:D,"見つかりません"))</f>
      </c>
      <c r="I3911" s="4"/>
      <c r="J3911" s="12" t="str">
        <f t="array" ref="J3911">IF(I3911:I7954="","",_xlfn.XLOOKUP(I3911:I7954,'参照_姫'!A:A,'参照_姫'!B:B,"見つかりません"))</f>
      </c>
      <c r="K3911" s="4">
        <v>50</v>
      </c>
      <c r="L3911" s="4">
        <v>0</v>
      </c>
      <c r="M3911" s="4"/>
      <c r="N3911" s="4"/>
      <c r="O3911" s="4"/>
      <c r="P3911" s="12" t="str">
        <f t="array" ref="P3911">IF(O3911:O7954="","",_xlfn.XLOOKUP(O3911:O7954,'参照_官位'!A:A,'参照_官位'!B:B,""))</f>
      </c>
      <c r="Q3911" s="12" t="str">
        <f t="array" ref="Q3911">IF(A3911:A7954="","",IFERROR(_xlfn.XLOOKUP(A3911:A7954,castles_state!K:K,castles_state!D:D)&amp;"主",IFERROR(_xlfn.XLOOKUP(A3911:A7954,kunishuClan!D:D,kunishuClan!B:B)&amp;"当主","")))</f>
      </c>
    </row>
    <row r="3912" ht="15.75" customHeight="1">
      <c r="A3912" s="4">
        <v>2027001</v>
      </c>
      <c r="B3912" s="12" t="str">
        <f t="array" ref="B3912">IF(A3912:A7955="","",_xlfn.XLOOKUP(A3912:A7955,'参照_武将'!A:A,'参照_武将'!B:B,"見つかりません"))</f>
      </c>
      <c r="C3912" s="4" t="s">
        <v>6017</v>
      </c>
      <c r="D3912" s="4">
        <v>0</v>
      </c>
      <c r="E3912" s="12" t="str">
        <f t="array" ref="E3912">IF(D3912:D7955="","",IFERROR(_xlfn.XLOOKUP(D3912:D7955,'参照_勢力'!A:A,'参照_勢力'!B:B),IFERROR(_xlfn.XLOOKUP(F3912:F7955,kunishuClan!A:A,kunishuClan!B:B),"浪人")))</f>
      </c>
      <c r="F3912" s="4">
        <v>27</v>
      </c>
      <c r="G3912" s="4">
        <v>53</v>
      </c>
      <c r="H3912" s="12" t="str">
        <f t="array" ref="H3912">IF(G3912:G7955="","",_xlfn.XLOOKUP(G3912:G7955,castles_state!A:A,castles_state!D:D,"見つかりません"))</f>
      </c>
      <c r="I3912" s="4"/>
      <c r="J3912" s="12" t="str">
        <f t="array" ref="J3912">IF(I3912:I7955="","",_xlfn.XLOOKUP(I3912:I7955,'参照_姫'!A:A,'参照_姫'!B:B,"見つかりません"))</f>
      </c>
      <c r="K3912" s="4">
        <v>50</v>
      </c>
      <c r="L3912" s="4">
        <v>300</v>
      </c>
      <c r="M3912" s="4"/>
      <c r="N3912" s="4"/>
      <c r="O3912" s="4"/>
      <c r="P3912" s="12" t="str">
        <f t="array" ref="P3912">IF(O3912:O7955="","",_xlfn.XLOOKUP(O3912:O7955,'参照_官位'!A:A,'参照_官位'!B:B,""))</f>
      </c>
      <c r="Q3912" s="12" t="str">
        <f t="array" ref="Q3912">IF(A3912:A7955="","",IFERROR(_xlfn.XLOOKUP(A3912:A7955,castles_state!K:K,castles_state!D:D)&amp;"主",IFERROR(_xlfn.XLOOKUP(A3912:A7955,kunishuClan!D:D,kunishuClan!B:B)&amp;"当主","")))</f>
      </c>
    </row>
    <row r="3913" ht="15.75" customHeight="1">
      <c r="A3913" s="4">
        <v>2027002</v>
      </c>
      <c r="B3913" s="12" t="str">
        <f t="array" ref="B3913">IF(A3913:A7956="","",_xlfn.XLOOKUP(A3913:A7956,'参照_武将'!A:A,'参照_武将'!B:B,"見つかりません"))</f>
      </c>
      <c r="C3913" s="4" t="s">
        <v>6017</v>
      </c>
      <c r="D3913" s="4">
        <v>0</v>
      </c>
      <c r="E3913" s="12" t="str">
        <f t="array" ref="E3913">IF(D3913:D7956="","",IFERROR(_xlfn.XLOOKUP(D3913:D7956,'参照_勢力'!A:A,'参照_勢力'!B:B),IFERROR(_xlfn.XLOOKUP(F3913:F7956,kunishuClan!A:A,kunishuClan!B:B),"浪人")))</f>
      </c>
      <c r="F3913" s="4">
        <v>27</v>
      </c>
      <c r="G3913" s="4">
        <v>53</v>
      </c>
      <c r="H3913" s="12" t="str">
        <f t="array" ref="H3913">IF(G3913:G7956="","",_xlfn.XLOOKUP(G3913:G7956,castles_state!A:A,castles_state!D:D,"見つかりません"))</f>
      </c>
      <c r="I3913" s="4"/>
      <c r="J3913" s="12" t="str">
        <f t="array" ref="J3913">IF(I3913:I7956="","",_xlfn.XLOOKUP(I3913:I7956,'参照_姫'!A:A,'参照_姫'!B:B,"見つかりません"))</f>
      </c>
      <c r="K3913" s="4">
        <v>50</v>
      </c>
      <c r="L3913" s="4">
        <v>0</v>
      </c>
      <c r="M3913" s="4"/>
      <c r="N3913" s="4"/>
      <c r="O3913" s="4"/>
      <c r="P3913" s="12" t="str">
        <f t="array" ref="P3913">IF(O3913:O7956="","",_xlfn.XLOOKUP(O3913:O7956,'参照_官位'!A:A,'参照_官位'!B:B,""))</f>
      </c>
      <c r="Q3913" s="12" t="str">
        <f t="array" ref="Q3913">IF(A3913:A7956="","",IFERROR(_xlfn.XLOOKUP(A3913:A7956,castles_state!K:K,castles_state!D:D)&amp;"主",IFERROR(_xlfn.XLOOKUP(A3913:A7956,kunishuClan!D:D,kunishuClan!B:B)&amp;"当主","")))</f>
      </c>
    </row>
    <row r="3914" ht="15.75" customHeight="1">
      <c r="A3914" s="4">
        <v>2027003</v>
      </c>
      <c r="B3914" s="12" t="str">
        <f t="array" ref="B3914">IF(A3914:A7957="","",_xlfn.XLOOKUP(A3914:A7957,'参照_武将'!A:A,'参照_武将'!B:B,"見つかりません"))</f>
      </c>
      <c r="C3914" s="4" t="s">
        <v>6017</v>
      </c>
      <c r="D3914" s="4">
        <v>0</v>
      </c>
      <c r="E3914" s="12" t="str">
        <f t="array" ref="E3914">IF(D3914:D7957="","",IFERROR(_xlfn.XLOOKUP(D3914:D7957,'参照_勢力'!A:A,'参照_勢力'!B:B),IFERROR(_xlfn.XLOOKUP(F3914:F7957,kunishuClan!A:A,kunishuClan!B:B),"浪人")))</f>
      </c>
      <c r="F3914" s="4">
        <v>27</v>
      </c>
      <c r="G3914" s="4">
        <v>53</v>
      </c>
      <c r="H3914" s="12" t="str">
        <f t="array" ref="H3914">IF(G3914:G7957="","",_xlfn.XLOOKUP(G3914:G7957,castles_state!A:A,castles_state!D:D,"見つかりません"))</f>
      </c>
      <c r="I3914" s="4"/>
      <c r="J3914" s="12" t="str">
        <f t="array" ref="J3914">IF(I3914:I7957="","",_xlfn.XLOOKUP(I3914:I7957,'参照_姫'!A:A,'参照_姫'!B:B,"見つかりません"))</f>
      </c>
      <c r="K3914" s="4">
        <v>50</v>
      </c>
      <c r="L3914" s="4">
        <v>0</v>
      </c>
      <c r="M3914" s="4"/>
      <c r="N3914" s="4"/>
      <c r="O3914" s="4"/>
      <c r="P3914" s="12" t="str">
        <f t="array" ref="P3914">IF(O3914:O7957="","",_xlfn.XLOOKUP(O3914:O7957,'参照_官位'!A:A,'参照_官位'!B:B,""))</f>
      </c>
      <c r="Q3914" s="12" t="str">
        <f t="array" ref="Q3914">IF(A3914:A7957="","",IFERROR(_xlfn.XLOOKUP(A3914:A7957,castles_state!K:K,castles_state!D:D)&amp;"主",IFERROR(_xlfn.XLOOKUP(A3914:A7957,kunishuClan!D:D,kunishuClan!B:B)&amp;"当主","")))</f>
      </c>
    </row>
    <row r="3915" ht="15.75" customHeight="1">
      <c r="A3915" s="4">
        <v>2027004</v>
      </c>
      <c r="B3915" s="12" t="str">
        <f t="array" ref="B3915">IF(A3915:A7958="","",_xlfn.XLOOKUP(A3915:A7958,'参照_武将'!A:A,'参照_武将'!B:B,"見つかりません"))</f>
      </c>
      <c r="C3915" s="4" t="s">
        <v>6017</v>
      </c>
      <c r="D3915" s="4">
        <v>0</v>
      </c>
      <c r="E3915" s="12" t="str">
        <f t="array" ref="E3915">IF(D3915:D7958="","",IFERROR(_xlfn.XLOOKUP(D3915:D7958,'参照_勢力'!A:A,'参照_勢力'!B:B),IFERROR(_xlfn.XLOOKUP(F3915:F7958,kunishuClan!A:A,kunishuClan!B:B),"浪人")))</f>
      </c>
      <c r="F3915" s="4">
        <v>27</v>
      </c>
      <c r="G3915" s="4">
        <v>53</v>
      </c>
      <c r="H3915" s="12" t="str">
        <f t="array" ref="H3915">IF(G3915:G7958="","",_xlfn.XLOOKUP(G3915:G7958,castles_state!A:A,castles_state!D:D,"見つかりません"))</f>
      </c>
      <c r="I3915" s="4"/>
      <c r="J3915" s="12" t="str">
        <f t="array" ref="J3915">IF(I3915:I7958="","",_xlfn.XLOOKUP(I3915:I7958,'参照_姫'!A:A,'参照_姫'!B:B,"見つかりません"))</f>
      </c>
      <c r="K3915" s="4">
        <v>50</v>
      </c>
      <c r="L3915" s="4">
        <v>0</v>
      </c>
      <c r="M3915" s="4"/>
      <c r="N3915" s="4"/>
      <c r="O3915" s="4"/>
      <c r="P3915" s="12" t="str">
        <f t="array" ref="P3915">IF(O3915:O7958="","",_xlfn.XLOOKUP(O3915:O7958,'参照_官位'!A:A,'参照_官位'!B:B,""))</f>
      </c>
      <c r="Q3915" s="12" t="str">
        <f t="array" ref="Q3915">IF(A3915:A7958="","",IFERROR(_xlfn.XLOOKUP(A3915:A7958,castles_state!K:K,castles_state!D:D)&amp;"主",IFERROR(_xlfn.XLOOKUP(A3915:A7958,kunishuClan!D:D,kunishuClan!B:B)&amp;"当主","")))</f>
      </c>
    </row>
    <row r="3916" ht="15.75" customHeight="1">
      <c r="A3916" s="4">
        <v>2027005</v>
      </c>
      <c r="B3916" s="12" t="str">
        <f t="array" ref="B3916">IF(A3916:A7959="","",_xlfn.XLOOKUP(A3916:A7959,'参照_武将'!A:A,'参照_武将'!B:B,"見つかりません"))</f>
      </c>
      <c r="C3916" s="4" t="s">
        <v>6017</v>
      </c>
      <c r="D3916" s="4">
        <v>0</v>
      </c>
      <c r="E3916" s="12" t="str">
        <f t="array" ref="E3916">IF(D3916:D7959="","",IFERROR(_xlfn.XLOOKUP(D3916:D7959,'参照_勢力'!A:A,'参照_勢力'!B:B),IFERROR(_xlfn.XLOOKUP(F3916:F7959,kunishuClan!A:A,kunishuClan!B:B),"浪人")))</f>
      </c>
      <c r="F3916" s="4">
        <v>27</v>
      </c>
      <c r="G3916" s="4">
        <v>53</v>
      </c>
      <c r="H3916" s="12" t="str">
        <f t="array" ref="H3916">IF(G3916:G7959="","",_xlfn.XLOOKUP(G3916:G7959,castles_state!A:A,castles_state!D:D,"見つかりません"))</f>
      </c>
      <c r="I3916" s="4"/>
      <c r="J3916" s="12" t="str">
        <f t="array" ref="J3916">IF(I3916:I7959="","",_xlfn.XLOOKUP(I3916:I7959,'参照_姫'!A:A,'参照_姫'!B:B,"見つかりません"))</f>
      </c>
      <c r="K3916" s="4">
        <v>50</v>
      </c>
      <c r="L3916" s="4">
        <v>0</v>
      </c>
      <c r="M3916" s="4"/>
      <c r="N3916" s="4"/>
      <c r="O3916" s="4"/>
      <c r="P3916" s="12" t="str">
        <f t="array" ref="P3916">IF(O3916:O7959="","",_xlfn.XLOOKUP(O3916:O7959,'参照_官位'!A:A,'参照_官位'!B:B,""))</f>
      </c>
      <c r="Q3916" s="12" t="str">
        <f t="array" ref="Q3916">IF(A3916:A7959="","",IFERROR(_xlfn.XLOOKUP(A3916:A7959,castles_state!K:K,castles_state!D:D)&amp;"主",IFERROR(_xlfn.XLOOKUP(A3916:A7959,kunishuClan!D:D,kunishuClan!B:B)&amp;"当主","")))</f>
      </c>
    </row>
    <row r="3917" ht="15.75" customHeight="1">
      <c r="A3917" s="4">
        <v>2028001</v>
      </c>
      <c r="B3917" s="12" t="str">
        <f t="array" ref="B3917">IF(A3917:A7960="","",_xlfn.XLOOKUP(A3917:A7960,'参照_武将'!A:A,'参照_武将'!B:B,"見つかりません"))</f>
      </c>
      <c r="C3917" s="4" t="s">
        <v>6018</v>
      </c>
      <c r="D3917" s="4">
        <v>0</v>
      </c>
      <c r="E3917" s="12" t="str">
        <f t="array" ref="E3917">IF(D3917:D7960="","",IFERROR(_xlfn.XLOOKUP(D3917:D7960,'参照_勢力'!A:A,'参照_勢力'!B:B),IFERROR(_xlfn.XLOOKUP(F3917:F7960,kunishuClan!A:A,kunishuClan!B:B),"浪人")))</f>
      </c>
      <c r="F3917" s="4">
        <v>28</v>
      </c>
      <c r="G3917" s="4">
        <v>40</v>
      </c>
      <c r="H3917" s="12" t="str">
        <f t="array" ref="H3917">IF(G3917:G7960="","",_xlfn.XLOOKUP(G3917:G7960,castles_state!A:A,castles_state!D:D,"見つかりません"))</f>
      </c>
      <c r="I3917" s="4"/>
      <c r="J3917" s="12" t="str">
        <f t="array" ref="J3917">IF(I3917:I7960="","",_xlfn.XLOOKUP(I3917:I7960,'参照_姫'!A:A,'参照_姫'!B:B,"見つかりません"))</f>
      </c>
      <c r="K3917" s="4">
        <v>50</v>
      </c>
      <c r="L3917" s="4">
        <v>300</v>
      </c>
      <c r="M3917" s="4"/>
      <c r="N3917" s="4"/>
      <c r="O3917" s="4"/>
      <c r="P3917" s="12" t="str">
        <f t="array" ref="P3917">IF(O3917:O7960="","",_xlfn.XLOOKUP(O3917:O7960,'参照_官位'!A:A,'参照_官位'!B:B,""))</f>
      </c>
      <c r="Q3917" s="12" t="str">
        <f t="array" ref="Q3917">IF(A3917:A7960="","",IFERROR(_xlfn.XLOOKUP(A3917:A7960,castles_state!K:K,castles_state!D:D)&amp;"主",IFERROR(_xlfn.XLOOKUP(A3917:A7960,kunishuClan!D:D,kunishuClan!B:B)&amp;"当主","")))</f>
      </c>
    </row>
    <row r="3918" ht="15.75" customHeight="1">
      <c r="A3918" s="4">
        <v>2029001</v>
      </c>
      <c r="B3918" s="12" t="str">
        <f t="array" ref="B3918">IF(A3918:A7961="","",_xlfn.XLOOKUP(A3918:A7961,'参照_武将'!A:A,'参照_武将'!B:B,"見つかりません"))</f>
      </c>
      <c r="C3918" s="4" t="s">
        <v>6019</v>
      </c>
      <c r="D3918" s="4">
        <v>0</v>
      </c>
      <c r="E3918" s="12" t="str">
        <f t="array" ref="E3918">IF(D3918:D7961="","",IFERROR(_xlfn.XLOOKUP(D3918:D7961,'参照_勢力'!A:A,'参照_勢力'!B:B),IFERROR(_xlfn.XLOOKUP(F3918:F7961,kunishuClan!A:A,kunishuClan!B:B),"浪人")))</f>
      </c>
      <c r="F3918" s="4">
        <v>29</v>
      </c>
      <c r="G3918" s="4">
        <v>43</v>
      </c>
      <c r="H3918" s="12" t="str">
        <f t="array" ref="H3918">IF(G3918:G7961="","",_xlfn.XLOOKUP(G3918:G7961,castles_state!A:A,castles_state!D:D,"見つかりません"))</f>
      </c>
      <c r="I3918" s="4"/>
      <c r="J3918" s="12" t="str">
        <f t="array" ref="J3918">IF(I3918:I7961="","",_xlfn.XLOOKUP(I3918:I7961,'参照_姫'!A:A,'参照_姫'!B:B,"見つかりません"))</f>
      </c>
      <c r="K3918" s="4">
        <v>50</v>
      </c>
      <c r="L3918" s="4">
        <v>300</v>
      </c>
      <c r="M3918" s="4"/>
      <c r="N3918" s="4"/>
      <c r="O3918" s="4"/>
      <c r="P3918" s="12" t="str">
        <f t="array" ref="P3918">IF(O3918:O7961="","",_xlfn.XLOOKUP(O3918:O7961,'参照_官位'!A:A,'参照_官位'!B:B,""))</f>
      </c>
      <c r="Q3918" s="12" t="str">
        <f t="array" ref="Q3918">IF(A3918:A7961="","",IFERROR(_xlfn.XLOOKUP(A3918:A7961,castles_state!K:K,castles_state!D:D)&amp;"主",IFERROR(_xlfn.XLOOKUP(A3918:A7961,kunishuClan!D:D,kunishuClan!B:B)&amp;"当主","")))</f>
      </c>
    </row>
    <row r="3919" ht="15.75" customHeight="1">
      <c r="A3919" s="4">
        <v>2030001</v>
      </c>
      <c r="B3919" s="12" t="str">
        <f t="array" ref="B3919">IF(A3919:A7962="","",_xlfn.XLOOKUP(A3919:A7962,'参照_武将'!A:A,'参照_武将'!B:B,"見つかりません"))</f>
      </c>
      <c r="C3919" s="4" t="s">
        <v>6020</v>
      </c>
      <c r="D3919" s="4">
        <v>0</v>
      </c>
      <c r="E3919" s="12" t="str">
        <f t="array" ref="E3919">IF(D3919:D7962="","",IFERROR(_xlfn.XLOOKUP(D3919:D7962,'参照_勢力'!A:A,'参照_勢力'!B:B),IFERROR(_xlfn.XLOOKUP(F3919:F7962,kunishuClan!A:A,kunishuClan!B:B),"浪人")))</f>
      </c>
      <c r="F3919" s="4">
        <v>30</v>
      </c>
      <c r="G3919" s="4">
        <v>39</v>
      </c>
      <c r="H3919" s="12" t="str">
        <f t="array" ref="H3919">IF(G3919:G7962="","",_xlfn.XLOOKUP(G3919:G7962,castles_state!A:A,castles_state!D:D,"見つかりません"))</f>
      </c>
      <c r="I3919" s="4"/>
      <c r="J3919" s="12" t="str">
        <f t="array" ref="J3919">IF(I3919:I7962="","",_xlfn.XLOOKUP(I3919:I7962,'参照_姫'!A:A,'参照_姫'!B:B,"見つかりません"))</f>
      </c>
      <c r="K3919" s="4">
        <v>50</v>
      </c>
      <c r="L3919" s="4">
        <v>300</v>
      </c>
      <c r="M3919" s="4"/>
      <c r="N3919" s="4"/>
      <c r="O3919" s="4"/>
      <c r="P3919" s="12" t="str">
        <f t="array" ref="P3919">IF(O3919:O7962="","",_xlfn.XLOOKUP(O3919:O7962,'参照_官位'!A:A,'参照_官位'!B:B,""))</f>
      </c>
      <c r="Q3919" s="12" t="str">
        <f t="array" ref="Q3919">IF(A3919:A7962="","",IFERROR(_xlfn.XLOOKUP(A3919:A7962,castles_state!K:K,castles_state!D:D)&amp;"主",IFERROR(_xlfn.XLOOKUP(A3919:A7962,kunishuClan!D:D,kunishuClan!B:B)&amp;"当主","")))</f>
      </c>
    </row>
    <row r="3920" ht="15.75" customHeight="1">
      <c r="A3920" s="4">
        <v>2031001</v>
      </c>
      <c r="B3920" s="12" t="str">
        <f t="array" ref="B3920">IF(A3920:A7963="","",_xlfn.XLOOKUP(A3920:A7963,'参照_武将'!A:A,'参照_武将'!B:B,"見つかりません"))</f>
      </c>
      <c r="C3920" s="4" t="s">
        <v>6021</v>
      </c>
      <c r="D3920" s="4">
        <v>0</v>
      </c>
      <c r="E3920" s="12" t="str">
        <f t="array" ref="E3920">IF(D3920:D7963="","",IFERROR(_xlfn.XLOOKUP(D3920:D7963,'参照_勢力'!A:A,'参照_勢力'!B:B),IFERROR(_xlfn.XLOOKUP(F3920:F7963,kunishuClan!A:A,kunishuClan!B:B),"浪人")))</f>
      </c>
      <c r="F3920" s="4">
        <v>31</v>
      </c>
      <c r="G3920" s="4">
        <v>102</v>
      </c>
      <c r="H3920" s="12" t="str">
        <f t="array" ref="H3920">IF(G3920:G7963="","",_xlfn.XLOOKUP(G3920:G7963,castles_state!A:A,castles_state!D:D,"見つかりません"))</f>
      </c>
      <c r="I3920" s="4"/>
      <c r="J3920" s="12" t="str">
        <f t="array" ref="J3920">IF(I3920:I7963="","",_xlfn.XLOOKUP(I3920:I7963,'参照_姫'!A:A,'参照_姫'!B:B,"見つかりません"))</f>
      </c>
      <c r="K3920" s="4">
        <v>50</v>
      </c>
      <c r="L3920" s="4">
        <v>300</v>
      </c>
      <c r="M3920" s="4"/>
      <c r="N3920" s="4"/>
      <c r="O3920" s="4"/>
      <c r="P3920" s="12" t="str">
        <f t="array" ref="P3920">IF(O3920:O7963="","",_xlfn.XLOOKUP(O3920:O7963,'参照_官位'!A:A,'参照_官位'!B:B,""))</f>
      </c>
      <c r="Q3920" s="12" t="str">
        <f t="array" ref="Q3920">IF(A3920:A7963="","",IFERROR(_xlfn.XLOOKUP(A3920:A7963,castles_state!K:K,castles_state!D:D)&amp;"主",IFERROR(_xlfn.XLOOKUP(A3920:A7963,kunishuClan!D:D,kunishuClan!B:B)&amp;"当主","")))</f>
      </c>
    </row>
    <row r="3921" ht="15.75" customHeight="1">
      <c r="A3921" s="4">
        <v>2032001</v>
      </c>
      <c r="B3921" s="12" t="str">
        <f t="array" ref="B3921">IF(A3921:A7964="","",_xlfn.XLOOKUP(A3921:A7964,'参照_武将'!A:A,'参照_武将'!B:B,"見つかりません"))</f>
      </c>
      <c r="C3921" s="4" t="s">
        <v>6022</v>
      </c>
      <c r="D3921" s="4">
        <v>0</v>
      </c>
      <c r="E3921" s="12" t="str">
        <f t="array" ref="E3921">IF(D3921:D7964="","",IFERROR(_xlfn.XLOOKUP(D3921:D7964,'参照_勢力'!A:A,'参照_勢力'!B:B),IFERROR(_xlfn.XLOOKUP(F3921:F7964,kunishuClan!A:A,kunishuClan!B:B),"浪人")))</f>
      </c>
      <c r="F3921" s="4">
        <v>32</v>
      </c>
      <c r="G3921" s="4">
        <v>102</v>
      </c>
      <c r="H3921" s="12" t="str">
        <f t="array" ref="H3921">IF(G3921:G7964="","",_xlfn.XLOOKUP(G3921:G7964,castles_state!A:A,castles_state!D:D,"見つかりません"))</f>
      </c>
      <c r="I3921" s="4"/>
      <c r="J3921" s="12" t="str">
        <f t="array" ref="J3921">IF(I3921:I7964="","",_xlfn.XLOOKUP(I3921:I7964,'参照_姫'!A:A,'参照_姫'!B:B,"見つかりません"))</f>
      </c>
      <c r="K3921" s="4">
        <v>50</v>
      </c>
      <c r="L3921" s="4">
        <v>300</v>
      </c>
      <c r="M3921" s="4"/>
      <c r="N3921" s="4"/>
      <c r="O3921" s="4"/>
      <c r="P3921" s="12" t="str">
        <f t="array" ref="P3921">IF(O3921:O7964="","",_xlfn.XLOOKUP(O3921:O7964,'参照_官位'!A:A,'参照_官位'!B:B,""))</f>
      </c>
      <c r="Q3921" s="12" t="str">
        <f t="array" ref="Q3921">IF(A3921:A7964="","",IFERROR(_xlfn.XLOOKUP(A3921:A7964,castles_state!K:K,castles_state!D:D)&amp;"主",IFERROR(_xlfn.XLOOKUP(A3921:A7964,kunishuClan!D:D,kunishuClan!B:B)&amp;"当主","")))</f>
      </c>
    </row>
    <row r="3922" ht="15.75" customHeight="1">
      <c r="A3922" s="4">
        <v>2033001</v>
      </c>
      <c r="B3922" s="12" t="str">
        <f t="array" ref="B3922">IF(A3922:A7965="","",_xlfn.XLOOKUP(A3922:A7965,'参照_武将'!A:A,'参照_武将'!B:B,"見つかりません"))</f>
      </c>
      <c r="C3922" s="4" t="s">
        <v>6023</v>
      </c>
      <c r="D3922" s="4">
        <v>0</v>
      </c>
      <c r="E3922" s="12" t="str">
        <f t="array" ref="E3922">IF(D3922:D7965="","",IFERROR(_xlfn.XLOOKUP(D3922:D7965,'参照_勢力'!A:A,'参照_勢力'!B:B),IFERROR(_xlfn.XLOOKUP(F3922:F7965,kunishuClan!A:A,kunishuClan!B:B),"浪人")))</f>
      </c>
      <c r="F3922" s="4">
        <v>33</v>
      </c>
      <c r="G3922" s="4">
        <v>112</v>
      </c>
      <c r="H3922" s="12" t="str">
        <f t="array" ref="H3922">IF(G3922:G7965="","",_xlfn.XLOOKUP(G3922:G7965,castles_state!A:A,castles_state!D:D,"見つかりません"))</f>
      </c>
      <c r="I3922" s="4"/>
      <c r="J3922" s="12" t="str">
        <f t="array" ref="J3922">IF(I3922:I7965="","",_xlfn.XLOOKUP(I3922:I7965,'参照_姫'!A:A,'参照_姫'!B:B,"見つかりません"))</f>
      </c>
      <c r="K3922" s="4">
        <v>50</v>
      </c>
      <c r="L3922" s="4">
        <v>0</v>
      </c>
      <c r="M3922" s="4"/>
      <c r="N3922" s="4"/>
      <c r="O3922" s="4"/>
      <c r="P3922" s="12" t="str">
        <f t="array" ref="P3922">IF(O3922:O7965="","",_xlfn.XLOOKUP(O3922:O7965,'参照_官位'!A:A,'参照_官位'!B:B,""))</f>
      </c>
      <c r="Q3922" s="12" t="str">
        <f t="array" ref="Q3922">IF(A3922:A7965="","",IFERROR(_xlfn.XLOOKUP(A3922:A7965,castles_state!K:K,castles_state!D:D)&amp;"主",IFERROR(_xlfn.XLOOKUP(A3922:A7965,kunishuClan!D:D,kunishuClan!B:B)&amp;"当主","")))</f>
      </c>
    </row>
    <row r="3923" ht="15.75" customHeight="1">
      <c r="A3923" s="4">
        <v>2033002</v>
      </c>
      <c r="B3923" s="12" t="str">
        <f t="array" ref="B3923">IF(A3923:A7966="","",_xlfn.XLOOKUP(A3923:A7966,'参照_武将'!A:A,'参照_武将'!B:B,"見つかりません"))</f>
      </c>
      <c r="C3923" s="4" t="s">
        <v>6023</v>
      </c>
      <c r="D3923" s="4">
        <v>0</v>
      </c>
      <c r="E3923" s="12" t="str">
        <f t="array" ref="E3923">IF(D3923:D7966="","",IFERROR(_xlfn.XLOOKUP(D3923:D7966,'参照_勢力'!A:A,'参照_勢力'!B:B),IFERROR(_xlfn.XLOOKUP(F3923:F7966,kunishuClan!A:A,kunishuClan!B:B),"浪人")))</f>
      </c>
      <c r="F3923" s="4">
        <v>33</v>
      </c>
      <c r="G3923" s="4">
        <v>112</v>
      </c>
      <c r="H3923" s="12" t="str">
        <f t="array" ref="H3923">IF(G3923:G7966="","",_xlfn.XLOOKUP(G3923:G7966,castles_state!A:A,castles_state!D:D,"見つかりません"))</f>
      </c>
      <c r="I3923" s="4"/>
      <c r="J3923" s="12" t="str">
        <f t="array" ref="J3923">IF(I3923:I7966="","",_xlfn.XLOOKUP(I3923:I7966,'参照_姫'!A:A,'参照_姫'!B:B,"見つかりません"))</f>
      </c>
      <c r="K3923" s="4">
        <v>50</v>
      </c>
      <c r="L3923" s="4">
        <v>300</v>
      </c>
      <c r="M3923" s="4"/>
      <c r="N3923" s="4"/>
      <c r="O3923" s="4"/>
      <c r="P3923" s="12" t="str">
        <f t="array" ref="P3923">IF(O3923:O7966="","",_xlfn.XLOOKUP(O3923:O7966,'参照_官位'!A:A,'参照_官位'!B:B,""))</f>
      </c>
      <c r="Q3923" s="12" t="str">
        <f t="array" ref="Q3923">IF(A3923:A7966="","",IFERROR(_xlfn.XLOOKUP(A3923:A7966,castles_state!K:K,castles_state!D:D)&amp;"主",IFERROR(_xlfn.XLOOKUP(A3923:A7966,kunishuClan!D:D,kunishuClan!B:B)&amp;"当主","")))</f>
      </c>
    </row>
    <row r="3924" ht="15.75" customHeight="1">
      <c r="A3924" s="4">
        <v>2033003</v>
      </c>
      <c r="B3924" s="12" t="str">
        <f t="array" ref="B3924">IF(A3924:A7967="","",_xlfn.XLOOKUP(A3924:A7967,'参照_武将'!A:A,'参照_武将'!B:B,"見つかりません"))</f>
      </c>
      <c r="C3924" s="4" t="s">
        <v>6023</v>
      </c>
      <c r="D3924" s="4">
        <v>0</v>
      </c>
      <c r="E3924" s="12" t="str">
        <f t="array" ref="E3924">IF(D3924:D7967="","",IFERROR(_xlfn.XLOOKUP(D3924:D7967,'参照_勢力'!A:A,'参照_勢力'!B:B),IFERROR(_xlfn.XLOOKUP(F3924:F7967,kunishuClan!A:A,kunishuClan!B:B),"浪人")))</f>
      </c>
      <c r="F3924" s="4">
        <v>33</v>
      </c>
      <c r="G3924" s="4">
        <v>112</v>
      </c>
      <c r="H3924" s="12" t="str">
        <f t="array" ref="H3924">IF(G3924:G7967="","",_xlfn.XLOOKUP(G3924:G7967,castles_state!A:A,castles_state!D:D,"見つかりません"))</f>
      </c>
      <c r="I3924" s="4"/>
      <c r="J3924" s="12" t="str">
        <f t="array" ref="J3924">IF(I3924:I7967="","",_xlfn.XLOOKUP(I3924:I7967,'参照_姫'!A:A,'参照_姫'!B:B,"見つかりません"))</f>
      </c>
      <c r="K3924" s="4">
        <v>50</v>
      </c>
      <c r="L3924" s="4">
        <v>0</v>
      </c>
      <c r="M3924" s="4"/>
      <c r="N3924" s="4"/>
      <c r="O3924" s="4"/>
      <c r="P3924" s="12" t="str">
        <f t="array" ref="P3924">IF(O3924:O7967="","",_xlfn.XLOOKUP(O3924:O7967,'参照_官位'!A:A,'参照_官位'!B:B,""))</f>
      </c>
      <c r="Q3924" s="12" t="str">
        <f t="array" ref="Q3924">IF(A3924:A7967="","",IFERROR(_xlfn.XLOOKUP(A3924:A7967,castles_state!K:K,castles_state!D:D)&amp;"主",IFERROR(_xlfn.XLOOKUP(A3924:A7967,kunishuClan!D:D,kunishuClan!B:B)&amp;"当主","")))</f>
      </c>
    </row>
    <row r="3925" ht="15.75" customHeight="1">
      <c r="A3925" s="4">
        <v>2034001</v>
      </c>
      <c r="B3925" s="12" t="str">
        <f t="array" ref="B3925">IF(A3925:A7968="","",_xlfn.XLOOKUP(A3925:A7968,'参照_武将'!A:A,'参照_武将'!B:B,"見つかりません"))</f>
      </c>
      <c r="C3925" s="4" t="s">
        <v>6024</v>
      </c>
      <c r="D3925" s="4">
        <v>0</v>
      </c>
      <c r="E3925" s="12" t="str">
        <f t="array" ref="E3925">IF(D3925:D7968="","",IFERROR(_xlfn.XLOOKUP(D3925:D7968,'参照_勢力'!A:A,'参照_勢力'!B:B),IFERROR(_xlfn.XLOOKUP(F3925:F7968,kunishuClan!A:A,kunishuClan!B:B),"浪人")))</f>
      </c>
      <c r="F3925" s="4">
        <v>34</v>
      </c>
      <c r="G3925" s="4">
        <v>113</v>
      </c>
      <c r="H3925" s="12" t="str">
        <f t="array" ref="H3925">IF(G3925:G7968="","",_xlfn.XLOOKUP(G3925:G7968,castles_state!A:A,castles_state!D:D,"見つかりません"))</f>
      </c>
      <c r="I3925" s="4"/>
      <c r="J3925" s="12" t="str">
        <f t="array" ref="J3925">IF(I3925:I7968="","",_xlfn.XLOOKUP(I3925:I7968,'参照_姫'!A:A,'参照_姫'!B:B,"見つかりません"))</f>
      </c>
      <c r="K3925" s="4">
        <v>50</v>
      </c>
      <c r="L3925" s="4">
        <v>300</v>
      </c>
      <c r="M3925" s="4"/>
      <c r="N3925" s="4"/>
      <c r="O3925" s="4"/>
      <c r="P3925" s="12" t="str">
        <f t="array" ref="P3925">IF(O3925:O7968="","",_xlfn.XLOOKUP(O3925:O7968,'参照_官位'!A:A,'参照_官位'!B:B,""))</f>
      </c>
      <c r="Q3925" s="12" t="str">
        <f t="array" ref="Q3925">IF(A3925:A7968="","",IFERROR(_xlfn.XLOOKUP(A3925:A7968,castles_state!K:K,castles_state!D:D)&amp;"主",IFERROR(_xlfn.XLOOKUP(A3925:A7968,kunishuClan!D:D,kunishuClan!B:B)&amp;"当主","")))</f>
      </c>
    </row>
    <row r="3926" ht="15.75" customHeight="1">
      <c r="A3926" s="4">
        <v>2035001</v>
      </c>
      <c r="B3926" s="12" t="str">
        <f t="array" ref="B3926">IF(A3926:A7969="","",_xlfn.XLOOKUP(A3926:A7969,'参照_武将'!A:A,'参照_武将'!B:B,"見つかりません"))</f>
      </c>
      <c r="C3926" s="4" t="s">
        <v>6025</v>
      </c>
      <c r="D3926" s="4">
        <v>0</v>
      </c>
      <c r="E3926" s="12" t="str">
        <f t="array" ref="E3926">IF(D3926:D7969="","",IFERROR(_xlfn.XLOOKUP(D3926:D7969,'参照_勢力'!A:A,'参照_勢力'!B:B),IFERROR(_xlfn.XLOOKUP(F3926:F7969,kunishuClan!A:A,kunishuClan!B:B),"浪人")))</f>
      </c>
      <c r="F3926" s="4">
        <v>35</v>
      </c>
      <c r="G3926" s="4">
        <v>87</v>
      </c>
      <c r="H3926" s="12" t="str">
        <f t="array" ref="H3926">IF(G3926:G7969="","",_xlfn.XLOOKUP(G3926:G7969,castles_state!A:A,castles_state!D:D,"見つかりません"))</f>
      </c>
      <c r="I3926" s="4"/>
      <c r="J3926" s="12" t="str">
        <f t="array" ref="J3926">IF(I3926:I7969="","",_xlfn.XLOOKUP(I3926:I7969,'参照_姫'!A:A,'参照_姫'!B:B,"見つかりません"))</f>
      </c>
      <c r="K3926" s="4">
        <v>50</v>
      </c>
      <c r="L3926" s="4">
        <v>300</v>
      </c>
      <c r="M3926" s="4"/>
      <c r="N3926" s="4"/>
      <c r="O3926" s="4"/>
      <c r="P3926" s="12" t="str">
        <f t="array" ref="P3926">IF(O3926:O7969="","",_xlfn.XLOOKUP(O3926:O7969,'参照_官位'!A:A,'参照_官位'!B:B,""))</f>
      </c>
      <c r="Q3926" s="12" t="str">
        <f t="array" ref="Q3926">IF(A3926:A7969="","",IFERROR(_xlfn.XLOOKUP(A3926:A7969,castles_state!K:K,castles_state!D:D)&amp;"主",IFERROR(_xlfn.XLOOKUP(A3926:A7969,kunishuClan!D:D,kunishuClan!B:B)&amp;"当主","")))</f>
      </c>
    </row>
    <row r="3927" ht="15.75" customHeight="1">
      <c r="A3927" s="4">
        <v>2035002</v>
      </c>
      <c r="B3927" s="12" t="str">
        <f t="array" ref="B3927">IF(A3927:A7970="","",_xlfn.XLOOKUP(A3927:A7970,'参照_武将'!A:A,'参照_武将'!B:B,"見つかりません"))</f>
      </c>
      <c r="C3927" s="4" t="s">
        <v>6025</v>
      </c>
      <c r="D3927" s="4">
        <v>0</v>
      </c>
      <c r="E3927" s="12" t="str">
        <f t="array" ref="E3927">IF(D3927:D7970="","",IFERROR(_xlfn.XLOOKUP(D3927:D7970,'参照_勢力'!A:A,'参照_勢力'!B:B),IFERROR(_xlfn.XLOOKUP(F3927:F7970,kunishuClan!A:A,kunishuClan!B:B),"浪人")))</f>
      </c>
      <c r="F3927" s="4">
        <v>35</v>
      </c>
      <c r="G3927" s="4">
        <v>87</v>
      </c>
      <c r="H3927" s="12" t="str">
        <f t="array" ref="H3927">IF(G3927:G7970="","",_xlfn.XLOOKUP(G3927:G7970,castles_state!A:A,castles_state!D:D,"見つかりません"))</f>
      </c>
      <c r="I3927" s="4"/>
      <c r="J3927" s="12" t="str">
        <f t="array" ref="J3927">IF(I3927:I7970="","",_xlfn.XLOOKUP(I3927:I7970,'参照_姫'!A:A,'参照_姫'!B:B,"見つかりません"))</f>
      </c>
      <c r="K3927" s="4">
        <v>50</v>
      </c>
      <c r="L3927" s="4">
        <v>0</v>
      </c>
      <c r="M3927" s="4"/>
      <c r="N3927" s="4"/>
      <c r="O3927" s="4"/>
      <c r="P3927" s="12" t="str">
        <f t="array" ref="P3927">IF(O3927:O7970="","",_xlfn.XLOOKUP(O3927:O7970,'参照_官位'!A:A,'参照_官位'!B:B,""))</f>
      </c>
      <c r="Q3927" s="12" t="str">
        <f t="array" ref="Q3927">IF(A3927:A7970="","",IFERROR(_xlfn.XLOOKUP(A3927:A7970,castles_state!K:K,castles_state!D:D)&amp;"主",IFERROR(_xlfn.XLOOKUP(A3927:A7970,kunishuClan!D:D,kunishuClan!B:B)&amp;"当主","")))</f>
      </c>
    </row>
    <row r="3928" ht="15.75" customHeight="1">
      <c r="A3928" s="4">
        <v>2036001</v>
      </c>
      <c r="B3928" s="12" t="str">
        <f t="array" ref="B3928">IF(A3928:A7971="","",_xlfn.XLOOKUP(A3928:A7971,'参照_武将'!A:A,'参照_武将'!B:B,"見つかりません"))</f>
      </c>
      <c r="C3928" s="4" t="s">
        <v>6026</v>
      </c>
      <c r="D3928" s="4">
        <v>0</v>
      </c>
      <c r="E3928" s="12" t="str">
        <f t="array" ref="E3928">IF(D3928:D7971="","",IFERROR(_xlfn.XLOOKUP(D3928:D7971,'参照_勢力'!A:A,'参照_勢力'!B:B),IFERROR(_xlfn.XLOOKUP(F3928:F7971,kunishuClan!A:A,kunishuClan!B:B),"浪人")))</f>
      </c>
      <c r="F3928" s="4">
        <v>36</v>
      </c>
      <c r="G3928" s="4">
        <v>118</v>
      </c>
      <c r="H3928" s="12" t="str">
        <f t="array" ref="H3928">IF(G3928:G7971="","",_xlfn.XLOOKUP(G3928:G7971,castles_state!A:A,castles_state!D:D,"見つかりません"))</f>
      </c>
      <c r="I3928" s="4"/>
      <c r="J3928" s="12" t="str">
        <f t="array" ref="J3928">IF(I3928:I7971="","",_xlfn.XLOOKUP(I3928:I7971,'参照_姫'!A:A,'参照_姫'!B:B,"見つかりません"))</f>
      </c>
      <c r="K3928" s="4">
        <v>50</v>
      </c>
      <c r="L3928" s="4">
        <v>300</v>
      </c>
      <c r="M3928" s="4"/>
      <c r="N3928" s="4"/>
      <c r="O3928" s="4"/>
      <c r="P3928" s="12" t="str">
        <f t="array" ref="P3928">IF(O3928:O7971="","",_xlfn.XLOOKUP(O3928:O7971,'参照_官位'!A:A,'参照_官位'!B:B,""))</f>
      </c>
      <c r="Q3928" s="12" t="str">
        <f t="array" ref="Q3928">IF(A3928:A7971="","",IFERROR(_xlfn.XLOOKUP(A3928:A7971,castles_state!K:K,castles_state!D:D)&amp;"主",IFERROR(_xlfn.XLOOKUP(A3928:A7971,kunishuClan!D:D,kunishuClan!B:B)&amp;"当主","")))</f>
      </c>
    </row>
    <row r="3929" ht="15.75" customHeight="1">
      <c r="A3929" s="4">
        <v>2036002</v>
      </c>
      <c r="B3929" s="12" t="str">
        <f t="array" ref="B3929">IF(A3929:A7972="","",_xlfn.XLOOKUP(A3929:A7972,'参照_武将'!A:A,'参照_武将'!B:B,"見つかりません"))</f>
      </c>
      <c r="C3929" s="4" t="s">
        <v>6026</v>
      </c>
      <c r="D3929" s="4">
        <v>0</v>
      </c>
      <c r="E3929" s="12" t="str">
        <f t="array" ref="E3929">IF(D3929:D7972="","",IFERROR(_xlfn.XLOOKUP(D3929:D7972,'参照_勢力'!A:A,'参照_勢力'!B:B),IFERROR(_xlfn.XLOOKUP(F3929:F7972,kunishuClan!A:A,kunishuClan!B:B),"浪人")))</f>
      </c>
      <c r="F3929" s="4">
        <v>36</v>
      </c>
      <c r="G3929" s="4">
        <v>118</v>
      </c>
      <c r="H3929" s="12" t="str">
        <f t="array" ref="H3929">IF(G3929:G7972="","",_xlfn.XLOOKUP(G3929:G7972,castles_state!A:A,castles_state!D:D,"見つかりません"))</f>
      </c>
      <c r="I3929" s="4"/>
      <c r="J3929" s="12" t="str">
        <f t="array" ref="J3929">IF(I3929:I7972="","",_xlfn.XLOOKUP(I3929:I7972,'参照_姫'!A:A,'参照_姫'!B:B,"見つかりません"))</f>
      </c>
      <c r="K3929" s="4">
        <v>50</v>
      </c>
      <c r="L3929" s="4">
        <v>0</v>
      </c>
      <c r="M3929" s="4"/>
      <c r="N3929" s="4"/>
      <c r="O3929" s="4"/>
      <c r="P3929" s="12" t="str">
        <f t="array" ref="P3929">IF(O3929:O7972="","",_xlfn.XLOOKUP(O3929:O7972,'参照_官位'!A:A,'参照_官位'!B:B,""))</f>
      </c>
      <c r="Q3929" s="12" t="str">
        <f t="array" ref="Q3929">IF(A3929:A7972="","",IFERROR(_xlfn.XLOOKUP(A3929:A7972,castles_state!K:K,castles_state!D:D)&amp;"主",IFERROR(_xlfn.XLOOKUP(A3929:A7972,kunishuClan!D:D,kunishuClan!B:B)&amp;"当主","")))</f>
      </c>
    </row>
    <row r="3930" ht="15.75" customHeight="1">
      <c r="A3930" s="4">
        <v>2037001</v>
      </c>
      <c r="B3930" s="12" t="str">
        <f t="array" ref="B3930">IF(A3930:A7973="","",_xlfn.XLOOKUP(A3930:A7973,'参照_武将'!A:A,'参照_武将'!B:B,"見つかりません"))</f>
      </c>
      <c r="C3930" s="4" t="s">
        <v>6027</v>
      </c>
      <c r="D3930" s="4">
        <v>0</v>
      </c>
      <c r="E3930" s="12" t="str">
        <f t="array" ref="E3930">IF(D3930:D7973="","",IFERROR(_xlfn.XLOOKUP(D3930:D7973,'参照_勢力'!A:A,'参照_勢力'!B:B),IFERROR(_xlfn.XLOOKUP(F3930:F7973,kunishuClan!A:A,kunishuClan!B:B),"浪人")))</f>
      </c>
      <c r="F3930" s="4">
        <v>37</v>
      </c>
      <c r="G3930" s="4">
        <v>117</v>
      </c>
      <c r="H3930" s="12" t="str">
        <f t="array" ref="H3930">IF(G3930:G7973="","",_xlfn.XLOOKUP(G3930:G7973,castles_state!A:A,castles_state!D:D,"見つかりません"))</f>
      </c>
      <c r="I3930" s="4"/>
      <c r="J3930" s="12" t="str">
        <f t="array" ref="J3930">IF(I3930:I7973="","",_xlfn.XLOOKUP(I3930:I7973,'参照_姫'!A:A,'参照_姫'!B:B,"見つかりません"))</f>
      </c>
      <c r="K3930" s="4">
        <v>50</v>
      </c>
      <c r="L3930" s="4">
        <v>300</v>
      </c>
      <c r="M3930" s="4"/>
      <c r="N3930" s="4"/>
      <c r="O3930" s="4"/>
      <c r="P3930" s="12" t="str">
        <f t="array" ref="P3930">IF(O3930:O7973="","",_xlfn.XLOOKUP(O3930:O7973,'参照_官位'!A:A,'参照_官位'!B:B,""))</f>
      </c>
      <c r="Q3930" s="12" t="str">
        <f t="array" ref="Q3930">IF(A3930:A7973="","",IFERROR(_xlfn.XLOOKUP(A3930:A7973,castles_state!K:K,castles_state!D:D)&amp;"主",IFERROR(_xlfn.XLOOKUP(A3930:A7973,kunishuClan!D:D,kunishuClan!B:B)&amp;"当主","")))</f>
      </c>
    </row>
    <row r="3931" ht="15.75" customHeight="1">
      <c r="A3931" s="4">
        <v>2037002</v>
      </c>
      <c r="B3931" s="12" t="str">
        <f t="array" ref="B3931">IF(A3931:A7974="","",_xlfn.XLOOKUP(A3931:A7974,'参照_武将'!A:A,'参照_武将'!B:B,"見つかりません"))</f>
      </c>
      <c r="C3931" s="4" t="s">
        <v>6027</v>
      </c>
      <c r="D3931" s="4">
        <v>0</v>
      </c>
      <c r="E3931" s="12" t="str">
        <f t="array" ref="E3931">IF(D3931:D7974="","",IFERROR(_xlfn.XLOOKUP(D3931:D7974,'参照_勢力'!A:A,'参照_勢力'!B:B),IFERROR(_xlfn.XLOOKUP(F3931:F7974,kunishuClan!A:A,kunishuClan!B:B),"浪人")))</f>
      </c>
      <c r="F3931" s="4">
        <v>37</v>
      </c>
      <c r="G3931" s="4">
        <v>117</v>
      </c>
      <c r="H3931" s="12" t="str">
        <f t="array" ref="H3931">IF(G3931:G7974="","",_xlfn.XLOOKUP(G3931:G7974,castles_state!A:A,castles_state!D:D,"見つかりません"))</f>
      </c>
      <c r="I3931" s="4"/>
      <c r="J3931" s="12" t="str">
        <f t="array" ref="J3931">IF(I3931:I7974="","",_xlfn.XLOOKUP(I3931:I7974,'参照_姫'!A:A,'参照_姫'!B:B,"見つかりません"))</f>
      </c>
      <c r="K3931" s="4">
        <v>50</v>
      </c>
      <c r="L3931" s="4">
        <v>0</v>
      </c>
      <c r="M3931" s="4"/>
      <c r="N3931" s="4"/>
      <c r="O3931" s="4"/>
      <c r="P3931" s="12" t="str">
        <f t="array" ref="P3931">IF(O3931:O7974="","",_xlfn.XLOOKUP(O3931:O7974,'参照_官位'!A:A,'参照_官位'!B:B,""))</f>
      </c>
      <c r="Q3931" s="12" t="str">
        <f t="array" ref="Q3931">IF(A3931:A7974="","",IFERROR(_xlfn.XLOOKUP(A3931:A7974,castles_state!K:K,castles_state!D:D)&amp;"主",IFERROR(_xlfn.XLOOKUP(A3931:A7974,kunishuClan!D:D,kunishuClan!B:B)&amp;"当主","")))</f>
      </c>
    </row>
    <row r="3932" ht="15.75" customHeight="1">
      <c r="A3932" s="4">
        <v>2038001</v>
      </c>
      <c r="B3932" s="12" t="str">
        <f t="array" ref="B3932">IF(A3932:A7975="","",_xlfn.XLOOKUP(A3932:A7975,'参照_武将'!A:A,'参照_武将'!B:B,"見つかりません"))</f>
      </c>
      <c r="C3932" s="4" t="s">
        <v>6028</v>
      </c>
      <c r="D3932" s="4">
        <v>0</v>
      </c>
      <c r="E3932" s="12" t="str">
        <f t="array" ref="E3932">IF(D3932:D7975="","",IFERROR(_xlfn.XLOOKUP(D3932:D7975,'参照_勢力'!A:A,'参照_勢力'!B:B),IFERROR(_xlfn.XLOOKUP(F3932:F7975,kunishuClan!A:A,kunishuClan!B:B),"浪人")))</f>
      </c>
      <c r="F3932" s="4">
        <v>38</v>
      </c>
      <c r="G3932" s="4">
        <v>111</v>
      </c>
      <c r="H3932" s="12" t="str">
        <f t="array" ref="H3932">IF(G3932:G7975="","",_xlfn.XLOOKUP(G3932:G7975,castles_state!A:A,castles_state!D:D,"見つかりません"))</f>
      </c>
      <c r="I3932" s="4"/>
      <c r="J3932" s="12" t="str">
        <f t="array" ref="J3932">IF(I3932:I7975="","",_xlfn.XLOOKUP(I3932:I7975,'参照_姫'!A:A,'参照_姫'!B:B,"見つかりません"))</f>
      </c>
      <c r="K3932" s="4">
        <v>50</v>
      </c>
      <c r="L3932" s="4">
        <v>300</v>
      </c>
      <c r="M3932" s="4"/>
      <c r="N3932" s="4" t="b">
        <v>1</v>
      </c>
      <c r="O3932" s="4"/>
      <c r="P3932" s="12" t="str">
        <f t="array" ref="P3932">IF(O3932:O7975="","",_xlfn.XLOOKUP(O3932:O7975,'参照_官位'!A:A,'参照_官位'!B:B,""))</f>
      </c>
      <c r="Q3932" s="12" t="str">
        <f t="array" ref="Q3932">IF(A3932:A7975="","",IFERROR(_xlfn.XLOOKUP(A3932:A7975,castles_state!K:K,castles_state!D:D)&amp;"主",IFERROR(_xlfn.XLOOKUP(A3932:A7975,kunishuClan!D:D,kunishuClan!B:B)&amp;"当主","")))</f>
      </c>
    </row>
    <row r="3933" ht="15.75" customHeight="1">
      <c r="A3933" s="4">
        <v>2038002</v>
      </c>
      <c r="B3933" s="12" t="str">
        <f t="array" ref="B3933">IF(A3933:A7976="","",_xlfn.XLOOKUP(A3933:A7976,'参照_武将'!A:A,'参照_武将'!B:B,"見つかりません"))</f>
      </c>
      <c r="C3933" s="4" t="s">
        <v>6028</v>
      </c>
      <c r="D3933" s="4">
        <v>0</v>
      </c>
      <c r="E3933" s="12" t="str">
        <f t="array" ref="E3933">IF(D3933:D7976="","",IFERROR(_xlfn.XLOOKUP(D3933:D7976,'参照_勢力'!A:A,'参照_勢力'!B:B),IFERROR(_xlfn.XLOOKUP(F3933:F7976,kunishuClan!A:A,kunishuClan!B:B),"浪人")))</f>
      </c>
      <c r="F3933" s="4">
        <v>38</v>
      </c>
      <c r="G3933" s="4">
        <v>111</v>
      </c>
      <c r="H3933" s="12" t="str">
        <f t="array" ref="H3933">IF(G3933:G7976="","",_xlfn.XLOOKUP(G3933:G7976,castles_state!A:A,castles_state!D:D,"見つかりません"))</f>
      </c>
      <c r="I3933" s="4"/>
      <c r="J3933" s="12" t="str">
        <f t="array" ref="J3933">IF(I3933:I7976="","",_xlfn.XLOOKUP(I3933:I7976,'参照_姫'!A:A,'参照_姫'!B:B,"見つかりません"))</f>
      </c>
      <c r="K3933" s="4">
        <v>50</v>
      </c>
      <c r="L3933" s="4">
        <v>0</v>
      </c>
      <c r="M3933" s="4"/>
      <c r="N3933" s="4"/>
      <c r="O3933" s="4"/>
      <c r="P3933" s="12" t="str">
        <f t="array" ref="P3933">IF(O3933:O7976="","",_xlfn.XLOOKUP(O3933:O7976,'参照_官位'!A:A,'参照_官位'!B:B,""))</f>
      </c>
      <c r="Q3933" s="12" t="str">
        <f t="array" ref="Q3933">IF(A3933:A7976="","",IFERROR(_xlfn.XLOOKUP(A3933:A7976,castles_state!K:K,castles_state!D:D)&amp;"主",IFERROR(_xlfn.XLOOKUP(A3933:A7976,kunishuClan!D:D,kunishuClan!B:B)&amp;"当主","")))</f>
      </c>
    </row>
    <row r="3934" ht="15.75" customHeight="1">
      <c r="A3934" s="4">
        <v>2038003</v>
      </c>
      <c r="B3934" s="12" t="str">
        <f t="array" ref="B3934">IF(A3934:A7977="","",_xlfn.XLOOKUP(A3934:A7977,'参照_武将'!A:A,'参照_武将'!B:B,"見つかりません"))</f>
      </c>
      <c r="C3934" s="4" t="s">
        <v>6028</v>
      </c>
      <c r="D3934" s="4">
        <v>0</v>
      </c>
      <c r="E3934" s="12" t="str">
        <f t="array" ref="E3934">IF(D3934:D7977="","",IFERROR(_xlfn.XLOOKUP(D3934:D7977,'参照_勢力'!A:A,'参照_勢力'!B:B),IFERROR(_xlfn.XLOOKUP(F3934:F7977,kunishuClan!A:A,kunishuClan!B:B),"浪人")))</f>
      </c>
      <c r="F3934" s="4">
        <v>38</v>
      </c>
      <c r="G3934" s="4">
        <v>111</v>
      </c>
      <c r="H3934" s="12" t="str">
        <f t="array" ref="H3934">IF(G3934:G7977="","",_xlfn.XLOOKUP(G3934:G7977,castles_state!A:A,castles_state!D:D,"見つかりません"))</f>
      </c>
      <c r="I3934" s="4"/>
      <c r="J3934" s="12" t="str">
        <f t="array" ref="J3934">IF(I3934:I7977="","",_xlfn.XLOOKUP(I3934:I7977,'参照_姫'!A:A,'参照_姫'!B:B,"見つかりません"))</f>
      </c>
      <c r="K3934" s="4">
        <v>50</v>
      </c>
      <c r="L3934" s="4">
        <v>0</v>
      </c>
      <c r="M3934" s="4"/>
      <c r="N3934" s="4"/>
      <c r="O3934" s="4"/>
      <c r="P3934" s="12" t="str">
        <f t="array" ref="P3934">IF(O3934:O7977="","",_xlfn.XLOOKUP(O3934:O7977,'参照_官位'!A:A,'参照_官位'!B:B,""))</f>
      </c>
      <c r="Q3934" s="12" t="str">
        <f t="array" ref="Q3934">IF(A3934:A7977="","",IFERROR(_xlfn.XLOOKUP(A3934:A7977,castles_state!K:K,castles_state!D:D)&amp;"主",IFERROR(_xlfn.XLOOKUP(A3934:A7977,kunishuClan!D:D,kunishuClan!B:B)&amp;"当主","")))</f>
      </c>
    </row>
    <row r="3935" ht="15.75" customHeight="1">
      <c r="A3935" s="4">
        <v>2038004</v>
      </c>
      <c r="B3935" s="12" t="str">
        <f t="array" ref="B3935">IF(A3935:A7978="","",_xlfn.XLOOKUP(A3935:A7978,'参照_武将'!A:A,'参照_武将'!B:B,"見つかりません"))</f>
      </c>
      <c r="C3935" s="4" t="s">
        <v>6028</v>
      </c>
      <c r="D3935" s="4">
        <v>0</v>
      </c>
      <c r="E3935" s="12" t="str">
        <f t="array" ref="E3935">IF(D3935:D7978="","",IFERROR(_xlfn.XLOOKUP(D3935:D7978,'参照_勢力'!A:A,'参照_勢力'!B:B),IFERROR(_xlfn.XLOOKUP(F3935:F7978,kunishuClan!A:A,kunishuClan!B:B),"浪人")))</f>
      </c>
      <c r="F3935" s="4">
        <v>38</v>
      </c>
      <c r="G3935" s="4">
        <v>111</v>
      </c>
      <c r="H3935" s="12" t="str">
        <f t="array" ref="H3935">IF(G3935:G7978="","",_xlfn.XLOOKUP(G3935:G7978,castles_state!A:A,castles_state!D:D,"見つかりません"))</f>
      </c>
      <c r="I3935" s="4"/>
      <c r="J3935" s="12" t="str">
        <f t="array" ref="J3935">IF(I3935:I7978="","",_xlfn.XLOOKUP(I3935:I7978,'参照_姫'!A:A,'参照_姫'!B:B,"見つかりません"))</f>
      </c>
      <c r="K3935" s="4">
        <v>50</v>
      </c>
      <c r="L3935" s="4">
        <v>0</v>
      </c>
      <c r="M3935" s="4"/>
      <c r="N3935" s="4"/>
      <c r="O3935" s="4"/>
      <c r="P3935" s="12" t="str">
        <f t="array" ref="P3935">IF(O3935:O7978="","",_xlfn.XLOOKUP(O3935:O7978,'参照_官位'!A:A,'参照_官位'!B:B,""))</f>
      </c>
      <c r="Q3935" s="12" t="str">
        <f t="array" ref="Q3935">IF(A3935:A7978="","",IFERROR(_xlfn.XLOOKUP(A3935:A7978,castles_state!K:K,castles_state!D:D)&amp;"主",IFERROR(_xlfn.XLOOKUP(A3935:A7978,kunishuClan!D:D,kunishuClan!B:B)&amp;"当主","")))</f>
      </c>
    </row>
    <row r="3936" ht="15.75" customHeight="1">
      <c r="A3936" s="4">
        <v>2039001</v>
      </c>
      <c r="B3936" s="12" t="str">
        <f t="array" ref="B3936">IF(A3936:A7979="","",_xlfn.XLOOKUP(A3936:A7979,'参照_武将'!A:A,'参照_武将'!B:B,"見つかりません"))</f>
      </c>
      <c r="C3936" s="4" t="s">
        <v>6029</v>
      </c>
      <c r="D3936" s="4">
        <v>0</v>
      </c>
      <c r="E3936" s="12" t="str">
        <f t="array" ref="E3936">IF(D3936:D7979="","",IFERROR(_xlfn.XLOOKUP(D3936:D7979,'参照_勢力'!A:A,'参照_勢力'!B:B),IFERROR(_xlfn.XLOOKUP(F3936:F7979,kunishuClan!A:A,kunishuClan!B:B),"浪人")))</f>
      </c>
      <c r="F3936" s="4">
        <v>39</v>
      </c>
      <c r="G3936" s="4">
        <v>121</v>
      </c>
      <c r="H3936" s="12" t="str">
        <f t="array" ref="H3936">IF(G3936:G7979="","",_xlfn.XLOOKUP(G3936:G7979,castles_state!A:A,castles_state!D:D,"見つかりません"))</f>
      </c>
      <c r="I3936" s="4"/>
      <c r="J3936" s="12" t="str">
        <f t="array" ref="J3936">IF(I3936:I7979="","",_xlfn.XLOOKUP(I3936:I7979,'参照_姫'!A:A,'参照_姫'!B:B,"見つかりません"))</f>
      </c>
      <c r="K3936" s="4">
        <v>50</v>
      </c>
      <c r="L3936" s="4">
        <v>300</v>
      </c>
      <c r="M3936" s="4"/>
      <c r="N3936" s="4"/>
      <c r="O3936" s="4"/>
      <c r="P3936" s="12" t="str">
        <f t="array" ref="P3936">IF(O3936:O7979="","",_xlfn.XLOOKUP(O3936:O7979,'参照_官位'!A:A,'参照_官位'!B:B,""))</f>
      </c>
      <c r="Q3936" s="12" t="str">
        <f t="array" ref="Q3936">IF(A3936:A7979="","",IFERROR(_xlfn.XLOOKUP(A3936:A7979,castles_state!K:K,castles_state!D:D)&amp;"主",IFERROR(_xlfn.XLOOKUP(A3936:A7979,kunishuClan!D:D,kunishuClan!B:B)&amp;"当主","")))</f>
      </c>
    </row>
    <row r="3937" ht="15.75" customHeight="1">
      <c r="A3937" s="4">
        <v>2040001</v>
      </c>
      <c r="B3937" s="12" t="str">
        <f t="array" ref="B3937">IF(A3937:A7980="","",_xlfn.XLOOKUP(A3937:A7980,'参照_武将'!A:A,'参照_武将'!B:B,"見つかりません"))</f>
      </c>
      <c r="C3937" s="4" t="s">
        <v>6030</v>
      </c>
      <c r="D3937" s="4">
        <v>0</v>
      </c>
      <c r="E3937" s="12" t="str">
        <f t="array" ref="E3937">IF(D3937:D7980="","",IFERROR(_xlfn.XLOOKUP(D3937:D7980,'参照_勢力'!A:A,'参照_勢力'!B:B),IFERROR(_xlfn.XLOOKUP(F3937:F7980,kunishuClan!A:A,kunishuClan!B:B),"浪人")))</f>
      </c>
      <c r="F3937" s="4">
        <v>40</v>
      </c>
      <c r="G3937" s="4">
        <v>128</v>
      </c>
      <c r="H3937" s="12" t="str">
        <f t="array" ref="H3937">IF(G3937:G7980="","",_xlfn.XLOOKUP(G3937:G7980,castles_state!A:A,castles_state!D:D,"見つかりません"))</f>
      </c>
      <c r="I3937" s="4"/>
      <c r="J3937" s="12" t="str">
        <f t="array" ref="J3937">IF(I3937:I7980="","",_xlfn.XLOOKUP(I3937:I7980,'参照_姫'!A:A,'参照_姫'!B:B,"見つかりません"))</f>
      </c>
      <c r="K3937" s="4">
        <v>50</v>
      </c>
      <c r="L3937" s="4">
        <v>300</v>
      </c>
      <c r="M3937" s="4"/>
      <c r="N3937" s="4"/>
      <c r="O3937" s="4"/>
      <c r="P3937" s="12" t="str">
        <f t="array" ref="P3937">IF(O3937:O7980="","",_xlfn.XLOOKUP(O3937:O7980,'参照_官位'!A:A,'参照_官位'!B:B,""))</f>
      </c>
      <c r="Q3937" s="12" t="str">
        <f t="array" ref="Q3937">IF(A3937:A7980="","",IFERROR(_xlfn.XLOOKUP(A3937:A7980,castles_state!K:K,castles_state!D:D)&amp;"主",IFERROR(_xlfn.XLOOKUP(A3937:A7980,kunishuClan!D:D,kunishuClan!B:B)&amp;"当主","")))</f>
      </c>
    </row>
    <row r="3938" ht="15.75" customHeight="1">
      <c r="A3938" s="4">
        <v>2041001</v>
      </c>
      <c r="B3938" s="12" t="str">
        <f t="array" ref="B3938">IF(A3938:A7981="","",_xlfn.XLOOKUP(A3938:A7981,'参照_武将'!A:A,'参照_武将'!B:B,"見つかりません"))</f>
      </c>
      <c r="C3938" s="4" t="s">
        <v>6031</v>
      </c>
      <c r="D3938" s="4">
        <v>0</v>
      </c>
      <c r="E3938" s="12" t="str">
        <f t="array" ref="E3938">IF(D3938:D7981="","",IFERROR(_xlfn.XLOOKUP(D3938:D7981,'参照_勢力'!A:A,'参照_勢力'!B:B),IFERROR(_xlfn.XLOOKUP(F3938:F7981,kunishuClan!A:A,kunishuClan!B:B),"浪人")))</f>
      </c>
      <c r="F3938" s="4">
        <v>41</v>
      </c>
      <c r="G3938" s="4">
        <v>127</v>
      </c>
      <c r="H3938" s="12" t="str">
        <f t="array" ref="H3938">IF(G3938:G7981="","",_xlfn.XLOOKUP(G3938:G7981,castles_state!A:A,castles_state!D:D,"見つかりません"))</f>
      </c>
      <c r="I3938" s="4"/>
      <c r="J3938" s="12" t="str">
        <f t="array" ref="J3938">IF(I3938:I7981="","",_xlfn.XLOOKUP(I3938:I7981,'参照_姫'!A:A,'参照_姫'!B:B,"見つかりません"))</f>
      </c>
      <c r="K3938" s="4">
        <v>50</v>
      </c>
      <c r="L3938" s="4">
        <v>300</v>
      </c>
      <c r="M3938" s="4"/>
      <c r="N3938" s="4"/>
      <c r="O3938" s="4"/>
      <c r="P3938" s="12" t="str">
        <f t="array" ref="P3938">IF(O3938:O7981="","",_xlfn.XLOOKUP(O3938:O7981,'参照_官位'!A:A,'参照_官位'!B:B,""))</f>
      </c>
      <c r="Q3938" s="12" t="str">
        <f t="array" ref="Q3938">IF(A3938:A7981="","",IFERROR(_xlfn.XLOOKUP(A3938:A7981,castles_state!K:K,castles_state!D:D)&amp;"主",IFERROR(_xlfn.XLOOKUP(A3938:A7981,kunishuClan!D:D,kunishuClan!B:B)&amp;"当主","")))</f>
      </c>
    </row>
    <row r="3939" ht="15.75" customHeight="1">
      <c r="A3939" s="4">
        <v>2042001</v>
      </c>
      <c r="B3939" s="12" t="str">
        <f t="array" ref="B3939">IF(A3939:A7982="","",_xlfn.XLOOKUP(A3939:A7982,'参照_武将'!A:A,'参照_武将'!B:B,"見つかりません"))</f>
      </c>
      <c r="C3939" s="4" t="s">
        <v>6032</v>
      </c>
      <c r="D3939" s="4">
        <v>0</v>
      </c>
      <c r="E3939" s="12" t="str">
        <f t="array" ref="E3939">IF(D3939:D7982="","",IFERROR(_xlfn.XLOOKUP(D3939:D7982,'参照_勢力'!A:A,'参照_勢力'!B:B),IFERROR(_xlfn.XLOOKUP(F3939:F7982,kunishuClan!A:A,kunishuClan!B:B),"浪人")))</f>
      </c>
      <c r="F3939" s="4">
        <v>42</v>
      </c>
      <c r="G3939" s="4">
        <v>151</v>
      </c>
      <c r="H3939" s="12" t="str">
        <f t="array" ref="H3939">IF(G3939:G7982="","",_xlfn.XLOOKUP(G3939:G7982,castles_state!A:A,castles_state!D:D,"見つかりません"))</f>
      </c>
      <c r="I3939" s="4"/>
      <c r="J3939" s="12" t="str">
        <f t="array" ref="J3939">IF(I3939:I7982="","",_xlfn.XLOOKUP(I3939:I7982,'参照_姫'!A:A,'参照_姫'!B:B,"見つかりません"))</f>
      </c>
      <c r="K3939" s="4">
        <v>50</v>
      </c>
      <c r="L3939" s="4">
        <v>300</v>
      </c>
      <c r="M3939" s="4"/>
      <c r="N3939" s="4"/>
      <c r="O3939" s="4"/>
      <c r="P3939" s="12" t="str">
        <f t="array" ref="P3939">IF(O3939:O7982="","",_xlfn.XLOOKUP(O3939:O7982,'参照_官位'!A:A,'参照_官位'!B:B,""))</f>
      </c>
      <c r="Q3939" s="12" t="str">
        <f t="array" ref="Q3939">IF(A3939:A7982="","",IFERROR(_xlfn.XLOOKUP(A3939:A7982,castles_state!K:K,castles_state!D:D)&amp;"主",IFERROR(_xlfn.XLOOKUP(A3939:A7982,kunishuClan!D:D,kunishuClan!B:B)&amp;"当主","")))</f>
      </c>
    </row>
    <row r="3940" ht="15.75" customHeight="1">
      <c r="A3940" s="4">
        <v>2042002</v>
      </c>
      <c r="B3940" s="12" t="str">
        <f t="array" ref="B3940">IF(A3940:A7983="","",_xlfn.XLOOKUP(A3940:A7983,'参照_武将'!A:A,'参照_武将'!B:B,"見つかりません"))</f>
      </c>
      <c r="C3940" s="4" t="s">
        <v>6032</v>
      </c>
      <c r="D3940" s="4">
        <v>0</v>
      </c>
      <c r="E3940" s="12" t="str">
        <f t="array" ref="E3940">IF(D3940:D7983="","",IFERROR(_xlfn.XLOOKUP(D3940:D7983,'参照_勢力'!A:A,'参照_勢力'!B:B),IFERROR(_xlfn.XLOOKUP(F3940:F7983,kunishuClan!A:A,kunishuClan!B:B),"浪人")))</f>
      </c>
      <c r="F3940" s="4">
        <v>42</v>
      </c>
      <c r="G3940" s="4">
        <v>151</v>
      </c>
      <c r="H3940" s="12" t="str">
        <f t="array" ref="H3940">IF(G3940:G7983="","",_xlfn.XLOOKUP(G3940:G7983,castles_state!A:A,castles_state!D:D,"見つかりません"))</f>
      </c>
      <c r="I3940" s="4"/>
      <c r="J3940" s="12" t="str">
        <f t="array" ref="J3940">IF(I3940:I7983="","",_xlfn.XLOOKUP(I3940:I7983,'参照_姫'!A:A,'参照_姫'!B:B,"見つかりません"))</f>
      </c>
      <c r="K3940" s="4">
        <v>50</v>
      </c>
      <c r="L3940" s="4">
        <v>0</v>
      </c>
      <c r="M3940" s="4"/>
      <c r="N3940" s="4"/>
      <c r="O3940" s="4"/>
      <c r="P3940" s="12" t="str">
        <f t="array" ref="P3940">IF(O3940:O7983="","",_xlfn.XLOOKUP(O3940:O7983,'参照_官位'!A:A,'参照_官位'!B:B,""))</f>
      </c>
      <c r="Q3940" s="12" t="str">
        <f t="array" ref="Q3940">IF(A3940:A7983="","",IFERROR(_xlfn.XLOOKUP(A3940:A7983,castles_state!K:K,castles_state!D:D)&amp;"主",IFERROR(_xlfn.XLOOKUP(A3940:A7983,kunishuClan!D:D,kunishuClan!B:B)&amp;"当主","")))</f>
      </c>
    </row>
    <row r="3941" ht="15.75" customHeight="1">
      <c r="A3941" s="4">
        <v>2043001</v>
      </c>
      <c r="B3941" s="12" t="str">
        <f t="array" ref="B3941">IF(A3941:A7984="","",_xlfn.XLOOKUP(A3941:A7984,'参照_武将'!A:A,'参照_武将'!B:B,"見つかりません"))</f>
      </c>
      <c r="C3941" s="4" t="s">
        <v>6033</v>
      </c>
      <c r="D3941" s="4">
        <v>0</v>
      </c>
      <c r="E3941" s="12" t="str">
        <f t="array" ref="E3941">IF(D3941:D7984="","",IFERROR(_xlfn.XLOOKUP(D3941:D7984,'参照_勢力'!A:A,'参照_勢力'!B:B),IFERROR(_xlfn.XLOOKUP(F3941:F7984,kunishuClan!A:A,kunishuClan!B:B),"浪人")))</f>
      </c>
      <c r="F3941" s="4">
        <v>43</v>
      </c>
      <c r="G3941" s="4">
        <v>168</v>
      </c>
      <c r="H3941" s="12" t="str">
        <f t="array" ref="H3941">IF(G3941:G7984="","",_xlfn.XLOOKUP(G3941:G7984,castles_state!A:A,castles_state!D:D,"見つかりません"))</f>
      </c>
      <c r="I3941" s="4"/>
      <c r="J3941" s="12" t="str">
        <f t="array" ref="J3941">IF(I3941:I7984="","",_xlfn.XLOOKUP(I3941:I7984,'参照_姫'!A:A,'参照_姫'!B:B,"見つかりません"))</f>
      </c>
      <c r="K3941" s="4">
        <v>50</v>
      </c>
      <c r="L3941" s="4">
        <v>300</v>
      </c>
      <c r="M3941" s="4"/>
      <c r="N3941" s="4"/>
      <c r="O3941" s="4"/>
      <c r="P3941" s="12" t="str">
        <f t="array" ref="P3941">IF(O3941:O7984="","",_xlfn.XLOOKUP(O3941:O7984,'参照_官位'!A:A,'参照_官位'!B:B,""))</f>
      </c>
      <c r="Q3941" s="12" t="str">
        <f t="array" ref="Q3941">IF(A3941:A7984="","",IFERROR(_xlfn.XLOOKUP(A3941:A7984,castles_state!K:K,castles_state!D:D)&amp;"主",IFERROR(_xlfn.XLOOKUP(A3941:A7984,kunishuClan!D:D,kunishuClan!B:B)&amp;"当主","")))</f>
      </c>
    </row>
    <row r="3942" ht="15.75" customHeight="1">
      <c r="A3942" s="4">
        <v>2043002</v>
      </c>
      <c r="B3942" s="12" t="str">
        <f t="array" ref="B3942">IF(A3942:A7985="","",_xlfn.XLOOKUP(A3942:A7985,'参照_武将'!A:A,'参照_武将'!B:B,"見つかりません"))</f>
      </c>
      <c r="C3942" s="4" t="s">
        <v>6033</v>
      </c>
      <c r="D3942" s="4">
        <v>0</v>
      </c>
      <c r="E3942" s="12" t="str">
        <f t="array" ref="E3942">IF(D3942:D7985="","",IFERROR(_xlfn.XLOOKUP(D3942:D7985,'参照_勢力'!A:A,'参照_勢力'!B:B),IFERROR(_xlfn.XLOOKUP(F3942:F7985,kunishuClan!A:A,kunishuClan!B:B),"浪人")))</f>
      </c>
      <c r="F3942" s="4">
        <v>43</v>
      </c>
      <c r="G3942" s="4">
        <v>168</v>
      </c>
      <c r="H3942" s="12" t="str">
        <f t="array" ref="H3942">IF(G3942:G7985="","",_xlfn.XLOOKUP(G3942:G7985,castles_state!A:A,castles_state!D:D,"見つかりません"))</f>
      </c>
      <c r="I3942" s="4"/>
      <c r="J3942" s="12" t="str">
        <f t="array" ref="J3942">IF(I3942:I7985="","",_xlfn.XLOOKUP(I3942:I7985,'参照_姫'!A:A,'参照_姫'!B:B,"見つかりません"))</f>
      </c>
      <c r="K3942" s="4">
        <v>50</v>
      </c>
      <c r="L3942" s="4">
        <v>0</v>
      </c>
      <c r="M3942" s="4"/>
      <c r="N3942" s="4"/>
      <c r="O3942" s="4"/>
      <c r="P3942" s="12" t="str">
        <f t="array" ref="P3942">IF(O3942:O7985="","",_xlfn.XLOOKUP(O3942:O7985,'参照_官位'!A:A,'参照_官位'!B:B,""))</f>
      </c>
      <c r="Q3942" s="12" t="str">
        <f t="array" ref="Q3942">IF(A3942:A7985="","",IFERROR(_xlfn.XLOOKUP(A3942:A7985,castles_state!K:K,castles_state!D:D)&amp;"主",IFERROR(_xlfn.XLOOKUP(A3942:A7985,kunishuClan!D:D,kunishuClan!B:B)&amp;"当主","")))</f>
      </c>
    </row>
    <row r="3943" ht="15.75" customHeight="1">
      <c r="A3943" s="4">
        <v>2043003</v>
      </c>
      <c r="B3943" s="12" t="str">
        <f t="array" ref="B3943">IF(A3943:A7986="","",_xlfn.XLOOKUP(A3943:A7986,'参照_武将'!A:A,'参照_武将'!B:B,"見つかりません"))</f>
      </c>
      <c r="C3943" s="4" t="s">
        <v>6033</v>
      </c>
      <c r="D3943" s="4">
        <v>0</v>
      </c>
      <c r="E3943" s="12" t="str">
        <f t="array" ref="E3943">IF(D3943:D7986="","",IFERROR(_xlfn.XLOOKUP(D3943:D7986,'参照_勢力'!A:A,'参照_勢力'!B:B),IFERROR(_xlfn.XLOOKUP(F3943:F7986,kunishuClan!A:A,kunishuClan!B:B),"浪人")))</f>
      </c>
      <c r="F3943" s="4">
        <v>43</v>
      </c>
      <c r="G3943" s="4">
        <v>168</v>
      </c>
      <c r="H3943" s="12" t="str">
        <f t="array" ref="H3943">IF(G3943:G7986="","",_xlfn.XLOOKUP(G3943:G7986,castles_state!A:A,castles_state!D:D,"見つかりません"))</f>
      </c>
      <c r="I3943" s="4"/>
      <c r="J3943" s="12" t="str">
        <f t="array" ref="J3943">IF(I3943:I7986="","",_xlfn.XLOOKUP(I3943:I7986,'参照_姫'!A:A,'参照_姫'!B:B,"見つかりません"))</f>
      </c>
      <c r="K3943" s="4">
        <v>50</v>
      </c>
      <c r="L3943" s="4">
        <v>0</v>
      </c>
      <c r="M3943" s="4"/>
      <c r="N3943" s="4"/>
      <c r="O3943" s="4"/>
      <c r="P3943" s="12" t="str">
        <f t="array" ref="P3943">IF(O3943:O7986="","",_xlfn.XLOOKUP(O3943:O7986,'参照_官位'!A:A,'参照_官位'!B:B,""))</f>
      </c>
      <c r="Q3943" s="12" t="str">
        <f t="array" ref="Q3943">IF(A3943:A7986="","",IFERROR(_xlfn.XLOOKUP(A3943:A7986,castles_state!K:K,castles_state!D:D)&amp;"主",IFERROR(_xlfn.XLOOKUP(A3943:A7986,kunishuClan!D:D,kunishuClan!B:B)&amp;"当主","")))</f>
      </c>
    </row>
    <row r="3944" ht="15.75" customHeight="1">
      <c r="A3944" s="4">
        <v>2043004</v>
      </c>
      <c r="B3944" s="12" t="str">
        <f t="array" ref="B3944">IF(A3944:A7987="","",_xlfn.XLOOKUP(A3944:A7987,'参照_武将'!A:A,'参照_武将'!B:B,"見つかりません"))</f>
      </c>
      <c r="C3944" s="4" t="s">
        <v>6033</v>
      </c>
      <c r="D3944" s="4">
        <v>0</v>
      </c>
      <c r="E3944" s="12" t="str">
        <f t="array" ref="E3944">IF(D3944:D7987="","",IFERROR(_xlfn.XLOOKUP(D3944:D7987,'参照_勢力'!A:A,'参照_勢力'!B:B),IFERROR(_xlfn.XLOOKUP(F3944:F7987,kunishuClan!A:A,kunishuClan!B:B),"浪人")))</f>
      </c>
      <c r="F3944" s="4">
        <v>43</v>
      </c>
      <c r="G3944" s="4">
        <v>168</v>
      </c>
      <c r="H3944" s="12" t="str">
        <f t="array" ref="H3944">IF(G3944:G7987="","",_xlfn.XLOOKUP(G3944:G7987,castles_state!A:A,castles_state!D:D,"見つかりません"))</f>
      </c>
      <c r="I3944" s="4"/>
      <c r="J3944" s="12" t="str">
        <f t="array" ref="J3944">IF(I3944:I7987="","",_xlfn.XLOOKUP(I3944:I7987,'参照_姫'!A:A,'参照_姫'!B:B,"見つかりません"))</f>
      </c>
      <c r="K3944" s="4">
        <v>50</v>
      </c>
      <c r="L3944" s="4">
        <v>0</v>
      </c>
      <c r="M3944" s="4"/>
      <c r="N3944" s="4"/>
      <c r="O3944" s="4"/>
      <c r="P3944" s="12" t="str">
        <f t="array" ref="P3944">IF(O3944:O7987="","",_xlfn.XLOOKUP(O3944:O7987,'参照_官位'!A:A,'参照_官位'!B:B,""))</f>
      </c>
      <c r="Q3944" s="12" t="str">
        <f t="array" ref="Q3944">IF(A3944:A7987="","",IFERROR(_xlfn.XLOOKUP(A3944:A7987,castles_state!K:K,castles_state!D:D)&amp;"主",IFERROR(_xlfn.XLOOKUP(A3944:A7987,kunishuClan!D:D,kunishuClan!B:B)&amp;"当主","")))</f>
      </c>
    </row>
    <row r="3945" ht="15.75" customHeight="1">
      <c r="A3945" s="4">
        <v>2044001</v>
      </c>
      <c r="B3945" s="12" t="str">
        <f t="array" ref="B3945">IF(A3945:A7988="","",_xlfn.XLOOKUP(A3945:A7988,'参照_武将'!A:A,'参照_武将'!B:B,"見つかりません"))</f>
      </c>
      <c r="C3945" s="4" t="s">
        <v>6034</v>
      </c>
      <c r="D3945" s="4">
        <v>0</v>
      </c>
      <c r="E3945" s="12" t="str">
        <f t="array" ref="E3945">IF(D3945:D7988="","",IFERROR(_xlfn.XLOOKUP(D3945:D7988,'参照_勢力'!A:A,'参照_勢力'!B:B),IFERROR(_xlfn.XLOOKUP(F3945:F7988,kunishuClan!A:A,kunishuClan!B:B),"浪人")))</f>
      </c>
      <c r="F3945" s="4">
        <v>0</v>
      </c>
      <c r="G3945" s="4">
        <v>167</v>
      </c>
      <c r="H3945" s="12" t="str">
        <f t="array" ref="H3945">IF(G3945:G7988="","",_xlfn.XLOOKUP(G3945:G7988,castles_state!A:A,castles_state!D:D,"見つかりません"))</f>
      </c>
      <c r="I3945" s="4"/>
      <c r="J3945" s="12" t="str">
        <f t="array" ref="J3945">IF(I3945:I7988="","",_xlfn.XLOOKUP(I3945:I7988,'参照_姫'!A:A,'参照_姫'!B:B,"見つかりません"))</f>
      </c>
      <c r="K3945" s="4">
        <v>50</v>
      </c>
      <c r="L3945" s="4">
        <v>300</v>
      </c>
      <c r="M3945" s="4"/>
      <c r="N3945" s="4"/>
      <c r="O3945" s="4"/>
      <c r="P3945" s="12" t="str">
        <f t="array" ref="P3945">IF(O3945:O7988="","",_xlfn.XLOOKUP(O3945:O7988,'参照_官位'!A:A,'参照_官位'!B:B,""))</f>
      </c>
      <c r="Q3945" s="12" t="str">
        <f t="array" ref="Q3945">IF(A3945:A7988="","",IFERROR(_xlfn.XLOOKUP(A3945:A7988,castles_state!K:K,castles_state!D:D)&amp;"主",IFERROR(_xlfn.XLOOKUP(A3945:A7988,kunishuClan!D:D,kunishuClan!B:B)&amp;"当主","")))</f>
      </c>
    </row>
    <row r="3946" ht="15.75" customHeight="1">
      <c r="A3946" s="4">
        <v>2045001</v>
      </c>
      <c r="B3946" s="12" t="str">
        <f t="array" ref="B3946">IF(A3946:A7989="","",_xlfn.XLOOKUP(A3946:A7989,'参照_武将'!A:A,'参照_武将'!B:B,"見つかりません"))</f>
      </c>
      <c r="C3946" s="4" t="s">
        <v>6035</v>
      </c>
      <c r="D3946" s="4">
        <v>0</v>
      </c>
      <c r="E3946" s="12" t="str">
        <f t="array" ref="E3946">IF(D3946:D7989="","",IFERROR(_xlfn.XLOOKUP(D3946:D7989,'参照_勢力'!A:A,'参照_勢力'!B:B),IFERROR(_xlfn.XLOOKUP(F3946:F7989,kunishuClan!A:A,kunishuClan!B:B),"浪人")))</f>
      </c>
      <c r="F3946" s="4">
        <v>45</v>
      </c>
      <c r="G3946" s="4">
        <v>162</v>
      </c>
      <c r="H3946" s="12" t="str">
        <f t="array" ref="H3946">IF(G3946:G7989="","",_xlfn.XLOOKUP(G3946:G7989,castles_state!A:A,castles_state!D:D,"見つかりません"))</f>
      </c>
      <c r="I3946" s="4"/>
      <c r="J3946" s="12" t="str">
        <f t="array" ref="J3946">IF(I3946:I7989="","",_xlfn.XLOOKUP(I3946:I7989,'参照_姫'!A:A,'参照_姫'!B:B,"見つかりません"))</f>
      </c>
      <c r="K3946" s="4">
        <v>50</v>
      </c>
      <c r="L3946" s="4">
        <v>300</v>
      </c>
      <c r="M3946" s="4"/>
      <c r="N3946" s="4"/>
      <c r="O3946" s="4"/>
      <c r="P3946" s="12" t="str">
        <f t="array" ref="P3946">IF(O3946:O7989="","",_xlfn.XLOOKUP(O3946:O7989,'参照_官位'!A:A,'参照_官位'!B:B,""))</f>
      </c>
      <c r="Q3946" s="12" t="str">
        <f t="array" ref="Q3946">IF(A3946:A7989="","",IFERROR(_xlfn.XLOOKUP(A3946:A7989,castles_state!K:K,castles_state!D:D)&amp;"主",IFERROR(_xlfn.XLOOKUP(A3946:A7989,kunishuClan!D:D,kunishuClan!B:B)&amp;"当主","")))</f>
      </c>
    </row>
    <row r="3947" ht="15.75" customHeight="1">
      <c r="A3947" s="4">
        <v>2046001</v>
      </c>
      <c r="B3947" s="12" t="str">
        <f t="array" ref="B3947">IF(A3947:A7990="","",_xlfn.XLOOKUP(A3947:A7990,'参照_武将'!A:A,'参照_武将'!B:B,"見つかりません"))</f>
      </c>
      <c r="C3947" s="4" t="s">
        <v>6036</v>
      </c>
      <c r="D3947" s="4">
        <v>0</v>
      </c>
      <c r="E3947" s="12" t="str">
        <f t="array" ref="E3947">IF(D3947:D7990="","",IFERROR(_xlfn.XLOOKUP(D3947:D7990,'参照_勢力'!A:A,'参照_勢力'!B:B),IFERROR(_xlfn.XLOOKUP(F3947:F7990,kunishuClan!A:A,kunishuClan!B:B),"浪人")))</f>
      </c>
      <c r="F3947" s="4">
        <v>46</v>
      </c>
      <c r="G3947" s="4">
        <v>158</v>
      </c>
      <c r="H3947" s="12" t="str">
        <f t="array" ref="H3947">IF(G3947:G7990="","",_xlfn.XLOOKUP(G3947:G7990,castles_state!A:A,castles_state!D:D,"見つかりません"))</f>
      </c>
      <c r="I3947" s="4"/>
      <c r="J3947" s="12" t="str">
        <f t="array" ref="J3947">IF(I3947:I7990="","",_xlfn.XLOOKUP(I3947:I7990,'参照_姫'!A:A,'参照_姫'!B:B,"見つかりません"))</f>
      </c>
      <c r="K3947" s="4">
        <v>50</v>
      </c>
      <c r="L3947" s="4">
        <v>300</v>
      </c>
      <c r="M3947" s="4"/>
      <c r="N3947" s="4"/>
      <c r="O3947" s="4"/>
      <c r="P3947" s="12" t="str">
        <f t="array" ref="P3947">IF(O3947:O7990="","",_xlfn.XLOOKUP(O3947:O7990,'参照_官位'!A:A,'参照_官位'!B:B,""))</f>
      </c>
      <c r="Q3947" s="12" t="str">
        <f t="array" ref="Q3947">IF(A3947:A7990="","",IFERROR(_xlfn.XLOOKUP(A3947:A7990,castles_state!K:K,castles_state!D:D)&amp;"主",IFERROR(_xlfn.XLOOKUP(A3947:A7990,kunishuClan!D:D,kunishuClan!B:B)&amp;"当主","")))</f>
      </c>
    </row>
    <row r="3948" ht="15.75" customHeight="1">
      <c r="A3948" s="4">
        <v>2047001</v>
      </c>
      <c r="B3948" s="12" t="str">
        <f t="array" ref="B3948">IF(A3948:A7991="","",_xlfn.XLOOKUP(A3948:A7991,'参照_武将'!A:A,'参照_武将'!B:B,"見つかりません"))</f>
      </c>
      <c r="C3948" s="4" t="s">
        <v>5912</v>
      </c>
      <c r="D3948" s="4">
        <v>0</v>
      </c>
      <c r="E3948" s="12" t="str">
        <f t="array" ref="E3948">IF(D3948:D7991="","",IFERROR(_xlfn.XLOOKUP(D3948:D7991,'参照_勢力'!A:A,'参照_勢力'!B:B),IFERROR(_xlfn.XLOOKUP(F3948:F7991,kunishuClan!A:A,kunishuClan!B:B),"浪人")))</f>
      </c>
      <c r="F3948" s="4">
        <v>0</v>
      </c>
      <c r="G3948" s="4">
        <v>53</v>
      </c>
      <c r="H3948" s="12" t="str">
        <f t="array" ref="H3948">IF(G3948:G7991="","",_xlfn.XLOOKUP(G3948:G7991,castles_state!A:A,castles_state!D:D,"見つかりません"))</f>
      </c>
      <c r="I3948" s="4"/>
      <c r="J3948" s="12" t="str">
        <f t="array" ref="J3948">IF(I3948:I7991="","",_xlfn.XLOOKUP(I3948:I7991,'参照_姫'!A:A,'参照_姫'!B:B,"見つかりません"))</f>
      </c>
      <c r="K3948" s="4">
        <v>50</v>
      </c>
      <c r="L3948" s="4">
        <v>300</v>
      </c>
      <c r="M3948" s="4"/>
      <c r="N3948" s="4"/>
      <c r="O3948" s="4"/>
      <c r="P3948" s="12" t="str">
        <f t="array" ref="P3948">IF(O3948:O7991="","",_xlfn.XLOOKUP(O3948:O7991,'参照_官位'!A:A,'参照_官位'!B:B,""))</f>
      </c>
      <c r="Q3948" s="12" t="str">
        <f t="array" ref="Q3948">IF(A3948:A7991="","",IFERROR(_xlfn.XLOOKUP(A3948:A7991,castles_state!K:K,castles_state!D:D)&amp;"主",IFERROR(_xlfn.XLOOKUP(A3948:A7991,kunishuClan!D:D,kunishuClan!B:B)&amp;"当主","")))</f>
      </c>
    </row>
    <row r="3949" ht="15.75" customHeight="1">
      <c r="A3949" s="4">
        <v>2047002</v>
      </c>
      <c r="B3949" s="12" t="str">
        <f t="array" ref="B3949">IF(A3949:A7992="","",_xlfn.XLOOKUP(A3949:A7992,'参照_武将'!A:A,'参照_武将'!B:B,"見つかりません"))</f>
      </c>
      <c r="C3949" s="4" t="s">
        <v>5912</v>
      </c>
      <c r="D3949" s="4">
        <v>0</v>
      </c>
      <c r="E3949" s="12" t="str">
        <f t="array" ref="E3949">IF(D3949:D7992="","",IFERROR(_xlfn.XLOOKUP(D3949:D7992,'参照_勢力'!A:A,'参照_勢力'!B:B),IFERROR(_xlfn.XLOOKUP(F3949:F7992,kunishuClan!A:A,kunishuClan!B:B),"浪人")))</f>
      </c>
      <c r="F3949" s="4">
        <v>47</v>
      </c>
      <c r="G3949" s="4">
        <v>53</v>
      </c>
      <c r="H3949" s="12" t="str">
        <f t="array" ref="H3949">IF(G3949:G7992="","",_xlfn.XLOOKUP(G3949:G7992,castles_state!A:A,castles_state!D:D,"見つかりません"))</f>
      </c>
      <c r="I3949" s="4"/>
      <c r="J3949" s="12" t="str">
        <f t="array" ref="J3949">IF(I3949:I7992="","",_xlfn.XLOOKUP(I3949:I7992,'参照_姫'!A:A,'参照_姫'!B:B,"見つかりません"))</f>
      </c>
      <c r="K3949" s="4">
        <v>50</v>
      </c>
      <c r="L3949" s="4">
        <v>0</v>
      </c>
      <c r="M3949" s="4"/>
      <c r="N3949" s="4"/>
      <c r="O3949" s="4"/>
      <c r="P3949" s="12" t="str">
        <f t="array" ref="P3949">IF(O3949:O7992="","",_xlfn.XLOOKUP(O3949:O7992,'参照_官位'!A:A,'参照_官位'!B:B,""))</f>
      </c>
      <c r="Q3949" s="12" t="str">
        <f t="array" ref="Q3949">IF(A3949:A7992="","",IFERROR(_xlfn.XLOOKUP(A3949:A7992,castles_state!K:K,castles_state!D:D)&amp;"主",IFERROR(_xlfn.XLOOKUP(A3949:A7992,kunishuClan!D:D,kunishuClan!B:B)&amp;"当主","")))</f>
      </c>
    </row>
    <row r="3950" ht="15.75" customHeight="1">
      <c r="A3950" s="4">
        <v>2047003</v>
      </c>
      <c r="B3950" s="12" t="str">
        <f t="array" ref="B3950">IF(A3950:A7993="","",_xlfn.XLOOKUP(A3950:A7993,'参照_武将'!A:A,'参照_武将'!B:B,"見つかりません"))</f>
      </c>
      <c r="C3950" s="4" t="s">
        <v>5912</v>
      </c>
      <c r="D3950" s="4">
        <v>0</v>
      </c>
      <c r="E3950" s="12" t="str">
        <f t="array" ref="E3950">IF(D3950:D7993="","",IFERROR(_xlfn.XLOOKUP(D3950:D7993,'参照_勢力'!A:A,'参照_勢力'!B:B),IFERROR(_xlfn.XLOOKUP(F3950:F7993,kunishuClan!A:A,kunishuClan!B:B),"浪人")))</f>
      </c>
      <c r="F3950" s="4">
        <v>0</v>
      </c>
      <c r="G3950" s="4">
        <v>53</v>
      </c>
      <c r="H3950" s="12" t="str">
        <f t="array" ref="H3950">IF(G3950:G7993="","",_xlfn.XLOOKUP(G3950:G7993,castles_state!A:A,castles_state!D:D,"見つかりません"))</f>
      </c>
      <c r="I3950" s="4"/>
      <c r="J3950" s="12" t="str">
        <f t="array" ref="J3950">IF(I3950:I7993="","",_xlfn.XLOOKUP(I3950:I7993,'参照_姫'!A:A,'参照_姫'!B:B,"見つかりません"))</f>
      </c>
      <c r="K3950" s="4">
        <v>50</v>
      </c>
      <c r="L3950" s="4">
        <v>0</v>
      </c>
      <c r="M3950" s="4"/>
      <c r="N3950" s="4"/>
      <c r="O3950" s="4"/>
      <c r="P3950" s="12" t="str">
        <f t="array" ref="P3950">IF(O3950:O7993="","",_xlfn.XLOOKUP(O3950:O7993,'参照_官位'!A:A,'参照_官位'!B:B,""))</f>
      </c>
      <c r="Q3950" s="12" t="str">
        <f t="array" ref="Q3950">IF(A3950:A7993="","",IFERROR(_xlfn.XLOOKUP(A3950:A7993,castles_state!K:K,castles_state!D:D)&amp;"主",IFERROR(_xlfn.XLOOKUP(A3950:A7993,kunishuClan!D:D,kunishuClan!B:B)&amp;"当主","")))</f>
      </c>
    </row>
    <row r="3951" ht="15.75" customHeight="1">
      <c r="A3951" s="4">
        <v>2050001</v>
      </c>
      <c r="B3951" s="12" t="str">
        <f t="array" ref="B3951">IF(A3951:A7994="","",_xlfn.XLOOKUP(A3951:A7994,'参照_武将'!A:A,'参照_武将'!B:B,"見つかりません"))</f>
      </c>
      <c r="C3951" s="4" t="s">
        <v>6037</v>
      </c>
      <c r="D3951" s="4">
        <v>0</v>
      </c>
      <c r="E3951" s="12" t="str">
        <f t="array" ref="E3951">IF(D3951:D7994="","",IFERROR(_xlfn.XLOOKUP(D3951:D7994,'参照_勢力'!A:A,'参照_勢力'!B:B),IFERROR(_xlfn.XLOOKUP(F3951:F7994,kunishuClan!A:A,kunishuClan!B:B),"浪人")))</f>
      </c>
      <c r="F3951" s="4">
        <v>50</v>
      </c>
      <c r="G3951" s="4">
        <v>26</v>
      </c>
      <c r="H3951" s="12" t="str">
        <f t="array" ref="H3951">IF(G3951:G7994="","",_xlfn.XLOOKUP(G3951:G7994,castles_state!A:A,castles_state!D:D,"見つかりません"))</f>
      </c>
      <c r="I3951" s="4"/>
      <c r="J3951" s="12" t="str">
        <f t="array" ref="J3951">IF(I3951:I7994="","",_xlfn.XLOOKUP(I3951:I7994,'参照_姫'!A:A,'参照_姫'!B:B,"見つかりません"))</f>
      </c>
      <c r="K3951" s="4">
        <v>50</v>
      </c>
      <c r="L3951" s="4">
        <v>300</v>
      </c>
      <c r="M3951" s="4"/>
      <c r="N3951" s="4"/>
      <c r="O3951" s="4"/>
      <c r="P3951" s="12" t="str">
        <f t="array" ref="P3951">IF(O3951:O7994="","",_xlfn.XLOOKUP(O3951:O7994,'参照_官位'!A:A,'参照_官位'!B:B,""))</f>
      </c>
      <c r="Q3951" s="12" t="str">
        <f t="array" ref="Q3951">IF(A3951:A7994="","",IFERROR(_xlfn.XLOOKUP(A3951:A7994,castles_state!K:K,castles_state!D:D)&amp;"主",IFERROR(_xlfn.XLOOKUP(A3951:A7994,kunishuClan!D:D,kunishuClan!B:B)&amp;"当主","")))</f>
      </c>
    </row>
    <row r="3952" ht="15.75" customHeight="1">
      <c r="A3952" s="4">
        <v>2050002</v>
      </c>
      <c r="B3952" s="12" t="str">
        <f t="array" ref="B3952">IF(A3952:A7995="","",_xlfn.XLOOKUP(A3952:A7995,'参照_武将'!A:A,'参照_武将'!B:B,"見つかりません"))</f>
      </c>
      <c r="C3952" s="4" t="s">
        <v>6037</v>
      </c>
      <c r="D3952" s="4">
        <v>0</v>
      </c>
      <c r="E3952" s="12" t="str">
        <f t="array" ref="E3952">IF(D3952:D7995="","",IFERROR(_xlfn.XLOOKUP(D3952:D7995,'参照_勢力'!A:A,'参照_勢力'!B:B),IFERROR(_xlfn.XLOOKUP(F3952:F7995,kunishuClan!A:A,kunishuClan!B:B),"浪人")))</f>
      </c>
      <c r="F3952" s="4">
        <v>50</v>
      </c>
      <c r="G3952" s="4">
        <v>26</v>
      </c>
      <c r="H3952" s="12" t="str">
        <f t="array" ref="H3952">IF(G3952:G7995="","",_xlfn.XLOOKUP(G3952:G7995,castles_state!A:A,castles_state!D:D,"見つかりません"))</f>
      </c>
      <c r="I3952" s="4"/>
      <c r="J3952" s="12" t="str">
        <f t="array" ref="J3952">IF(I3952:I7995="","",_xlfn.XLOOKUP(I3952:I7995,'参照_姫'!A:A,'参照_姫'!B:B,"見つかりません"))</f>
      </c>
      <c r="K3952" s="4">
        <v>50</v>
      </c>
      <c r="L3952" s="4">
        <v>0</v>
      </c>
      <c r="M3952" s="4"/>
      <c r="N3952" s="4"/>
      <c r="O3952" s="4"/>
      <c r="P3952" s="12" t="str">
        <f t="array" ref="P3952">IF(O3952:O7995="","",_xlfn.XLOOKUP(O3952:O7995,'参照_官位'!A:A,'参照_官位'!B:B,""))</f>
      </c>
      <c r="Q3952" s="12" t="str">
        <f t="array" ref="Q3952">IF(A3952:A7995="","",IFERROR(_xlfn.XLOOKUP(A3952:A7995,castles_state!K:K,castles_state!D:D)&amp;"主",IFERROR(_xlfn.XLOOKUP(A3952:A7995,kunishuClan!D:D,kunishuClan!B:B)&amp;"当主","")))</f>
      </c>
    </row>
    <row r="3953" ht="15.75" customHeight="1">
      <c r="A3953" s="4">
        <v>2050003</v>
      </c>
      <c r="B3953" s="12" t="str">
        <f t="array" ref="B3953">IF(A3953:A7996="","",_xlfn.XLOOKUP(A3953:A7996,'参照_武将'!A:A,'参照_武将'!B:B,"見つかりません"))</f>
      </c>
      <c r="C3953" s="4" t="s">
        <v>6037</v>
      </c>
      <c r="D3953" s="4">
        <v>0</v>
      </c>
      <c r="E3953" s="12" t="str">
        <f t="array" ref="E3953">IF(D3953:D7996="","",IFERROR(_xlfn.XLOOKUP(D3953:D7996,'参照_勢力'!A:A,'参照_勢力'!B:B),IFERROR(_xlfn.XLOOKUP(F3953:F7996,kunishuClan!A:A,kunishuClan!B:B),"浪人")))</f>
      </c>
      <c r="F3953" s="4">
        <v>50</v>
      </c>
      <c r="G3953" s="4">
        <v>26</v>
      </c>
      <c r="H3953" s="12" t="str">
        <f t="array" ref="H3953">IF(G3953:G7996="","",_xlfn.XLOOKUP(G3953:G7996,castles_state!A:A,castles_state!D:D,"見つかりません"))</f>
      </c>
      <c r="I3953" s="4"/>
      <c r="J3953" s="12" t="str">
        <f t="array" ref="J3953">IF(I3953:I7996="","",_xlfn.XLOOKUP(I3953:I7996,'参照_姫'!A:A,'参照_姫'!B:B,"見つかりません"))</f>
      </c>
      <c r="K3953" s="4">
        <v>50</v>
      </c>
      <c r="L3953" s="4">
        <v>0</v>
      </c>
      <c r="M3953" s="4"/>
      <c r="N3953" s="4"/>
      <c r="O3953" s="4"/>
      <c r="P3953" s="12" t="str">
        <f t="array" ref="P3953">IF(O3953:O7996="","",_xlfn.XLOOKUP(O3953:O7996,'参照_官位'!A:A,'参照_官位'!B:B,""))</f>
      </c>
      <c r="Q3953" s="12" t="str">
        <f t="array" ref="Q3953">IF(A3953:A7996="","",IFERROR(_xlfn.XLOOKUP(A3953:A7996,castles_state!K:K,castles_state!D:D)&amp;"主",IFERROR(_xlfn.XLOOKUP(A3953:A7996,kunishuClan!D:D,kunishuClan!B:B)&amp;"当主","")))</f>
      </c>
    </row>
    <row r="3954" ht="15.75" customHeight="1">
      <c r="A3954" s="4">
        <v>2051001</v>
      </c>
      <c r="B3954" s="12" t="str">
        <f t="array" ref="B3954">IF(A3954:A7997="","",_xlfn.XLOOKUP(A3954:A7997,'参照_武将'!A:A,'参照_武将'!B:B,"見つかりません"))</f>
      </c>
      <c r="C3954" s="4" t="s">
        <v>6038</v>
      </c>
      <c r="D3954" s="4">
        <v>0</v>
      </c>
      <c r="E3954" s="12" t="str">
        <f t="array" ref="E3954">IF(D3954:D7997="","",IFERROR(_xlfn.XLOOKUP(D3954:D7997,'参照_勢力'!A:A,'参照_勢力'!B:B),IFERROR(_xlfn.XLOOKUP(F3954:F7997,kunishuClan!A:A,kunishuClan!B:B),"浪人")))</f>
      </c>
      <c r="F3954" s="4">
        <v>51</v>
      </c>
      <c r="G3954" s="4">
        <v>18</v>
      </c>
      <c r="H3954" s="12" t="str">
        <f t="array" ref="H3954">IF(G3954:G7997="","",_xlfn.XLOOKUP(G3954:G7997,castles_state!A:A,castles_state!D:D,"見つかりません"))</f>
      </c>
      <c r="I3954" s="4"/>
      <c r="J3954" s="12" t="str">
        <f t="array" ref="J3954">IF(I3954:I7997="","",_xlfn.XLOOKUP(I3954:I7997,'参照_姫'!A:A,'参照_姫'!B:B,"見つかりません"))</f>
      </c>
      <c r="K3954" s="4">
        <v>50</v>
      </c>
      <c r="L3954" s="4">
        <v>300</v>
      </c>
      <c r="M3954" s="4"/>
      <c r="N3954" s="4"/>
      <c r="O3954" s="4"/>
      <c r="P3954" s="12" t="str">
        <f t="array" ref="P3954">IF(O3954:O7997="","",_xlfn.XLOOKUP(O3954:O7997,'参照_官位'!A:A,'参照_官位'!B:B,""))</f>
      </c>
      <c r="Q3954" s="12" t="str">
        <f t="array" ref="Q3954">IF(A3954:A7997="","",IFERROR(_xlfn.XLOOKUP(A3954:A7997,castles_state!K:K,castles_state!D:D)&amp;"主",IFERROR(_xlfn.XLOOKUP(A3954:A7997,kunishuClan!D:D,kunishuClan!B:B)&amp;"当主","")))</f>
      </c>
    </row>
    <row r="3955" ht="15.75" customHeight="1">
      <c r="A3955" s="4">
        <v>2051002</v>
      </c>
      <c r="B3955" s="12" t="str">
        <f t="array" ref="B3955">IF(A3955:A7998="","",_xlfn.XLOOKUP(A3955:A7998,'参照_武将'!A:A,'参照_武将'!B:B,"見つかりません"))</f>
      </c>
      <c r="C3955" s="4" t="s">
        <v>6038</v>
      </c>
      <c r="D3955" s="4">
        <v>0</v>
      </c>
      <c r="E3955" s="12" t="str">
        <f t="array" ref="E3955">IF(D3955:D7998="","",IFERROR(_xlfn.XLOOKUP(D3955:D7998,'参照_勢力'!A:A,'参照_勢力'!B:B),IFERROR(_xlfn.XLOOKUP(F3955:F7998,kunishuClan!A:A,kunishuClan!B:B),"浪人")))</f>
      </c>
      <c r="F3955" s="4">
        <v>51</v>
      </c>
      <c r="G3955" s="4">
        <v>18</v>
      </c>
      <c r="H3955" s="12" t="str">
        <f t="array" ref="H3955">IF(G3955:G7998="","",_xlfn.XLOOKUP(G3955:G7998,castles_state!A:A,castles_state!D:D,"見つかりません"))</f>
      </c>
      <c r="I3955" s="4"/>
      <c r="J3955" s="12" t="str">
        <f t="array" ref="J3955">IF(I3955:I7998="","",_xlfn.XLOOKUP(I3955:I7998,'参照_姫'!A:A,'参照_姫'!B:B,"見つかりません"))</f>
      </c>
      <c r="K3955" s="4">
        <v>50</v>
      </c>
      <c r="L3955" s="4">
        <v>0</v>
      </c>
      <c r="M3955" s="4"/>
      <c r="N3955" s="4"/>
      <c r="O3955" s="4"/>
      <c r="P3955" s="12" t="str">
        <f t="array" ref="P3955">IF(O3955:O7998="","",_xlfn.XLOOKUP(O3955:O7998,'参照_官位'!A:A,'参照_官位'!B:B,""))</f>
      </c>
      <c r="Q3955" s="12" t="str">
        <f t="array" ref="Q3955">IF(A3955:A7998="","",IFERROR(_xlfn.XLOOKUP(A3955:A7998,castles_state!K:K,castles_state!D:D)&amp;"主",IFERROR(_xlfn.XLOOKUP(A3955:A7998,kunishuClan!D:D,kunishuClan!B:B)&amp;"当主","")))</f>
      </c>
    </row>
    <row r="3956" ht="15.75" customHeight="1">
      <c r="A3956" s="4">
        <v>2051003</v>
      </c>
      <c r="B3956" s="12" t="str">
        <f t="array" ref="B3956">IF(A3956:A7999="","",_xlfn.XLOOKUP(A3956:A7999,'参照_武将'!A:A,'参照_武将'!B:B,"見つかりません"))</f>
      </c>
      <c r="C3956" s="4" t="s">
        <v>6038</v>
      </c>
      <c r="D3956" s="4">
        <v>0</v>
      </c>
      <c r="E3956" s="12" t="str">
        <f t="array" ref="E3956">IF(D3956:D7999="","",IFERROR(_xlfn.XLOOKUP(D3956:D7999,'参照_勢力'!A:A,'参照_勢力'!B:B),IFERROR(_xlfn.XLOOKUP(F3956:F7999,kunishuClan!A:A,kunishuClan!B:B),"浪人")))</f>
      </c>
      <c r="F3956" s="4">
        <v>51</v>
      </c>
      <c r="G3956" s="4">
        <v>18</v>
      </c>
      <c r="H3956" s="12" t="str">
        <f t="array" ref="H3956">IF(G3956:G7999="","",_xlfn.XLOOKUP(G3956:G7999,castles_state!A:A,castles_state!D:D,"見つかりません"))</f>
      </c>
      <c r="I3956" s="4"/>
      <c r="J3956" s="12" t="str">
        <f t="array" ref="J3956">IF(I3956:I7999="","",_xlfn.XLOOKUP(I3956:I7999,'参照_姫'!A:A,'参照_姫'!B:B,"見つかりません"))</f>
      </c>
      <c r="K3956" s="4">
        <v>50</v>
      </c>
      <c r="L3956" s="4">
        <v>0</v>
      </c>
      <c r="M3956" s="4"/>
      <c r="N3956" s="4"/>
      <c r="O3956" s="4"/>
      <c r="P3956" s="12" t="str">
        <f t="array" ref="P3956">IF(O3956:O7999="","",_xlfn.XLOOKUP(O3956:O7999,'参照_官位'!A:A,'参照_官位'!B:B,""))</f>
      </c>
      <c r="Q3956" s="12" t="str">
        <f t="array" ref="Q3956">IF(A3956:A7999="","",IFERROR(_xlfn.XLOOKUP(A3956:A7999,castles_state!K:K,castles_state!D:D)&amp;"主",IFERROR(_xlfn.XLOOKUP(A3956:A7999,kunishuClan!D:D,kunishuClan!B:B)&amp;"当主","")))</f>
      </c>
    </row>
    <row r="3957" ht="15.75" customHeight="1">
      <c r="A3957" s="4">
        <v>2052001</v>
      </c>
      <c r="B3957" s="12" t="str">
        <f t="array" ref="B3957">IF(A3957:A8000="","",_xlfn.XLOOKUP(A3957:A8000,'参照_武将'!A:A,'参照_武将'!B:B,"見つかりません"))</f>
      </c>
      <c r="C3957" s="4" t="s">
        <v>6039</v>
      </c>
      <c r="D3957" s="4">
        <v>0</v>
      </c>
      <c r="E3957" s="12" t="str">
        <f t="array" ref="E3957">IF(D3957:D8000="","",IFERROR(_xlfn.XLOOKUP(D3957:D8000,'参照_勢力'!A:A,'参照_勢力'!B:B),IFERROR(_xlfn.XLOOKUP(F3957:F8000,kunishuClan!A:A,kunishuClan!B:B),"浪人")))</f>
      </c>
      <c r="F3957" s="4">
        <v>52</v>
      </c>
      <c r="G3957" s="4">
        <v>243</v>
      </c>
      <c r="H3957" s="12" t="str">
        <f t="array" ref="H3957">IF(G3957:G8000="","",_xlfn.XLOOKUP(G3957:G8000,castles_state!A:A,castles_state!D:D,"見つかりません"))</f>
      </c>
      <c r="I3957" s="4"/>
      <c r="J3957" s="12" t="str">
        <f t="array" ref="J3957">IF(I3957:I8000="","",_xlfn.XLOOKUP(I3957:I8000,'参照_姫'!A:A,'参照_姫'!B:B,"見つかりません"))</f>
      </c>
      <c r="K3957" s="4">
        <v>50</v>
      </c>
      <c r="L3957" s="4">
        <v>300</v>
      </c>
      <c r="M3957" s="4"/>
      <c r="N3957" s="4"/>
      <c r="O3957" s="4"/>
      <c r="P3957" s="12" t="str">
        <f t="array" ref="P3957">IF(O3957:O8000="","",_xlfn.XLOOKUP(O3957:O8000,'参照_官位'!A:A,'参照_官位'!B:B,""))</f>
      </c>
      <c r="Q3957" s="12" t="str">
        <f t="array" ref="Q3957">IF(A3957:A8000="","",IFERROR(_xlfn.XLOOKUP(A3957:A8000,castles_state!K:K,castles_state!D:D)&amp;"主",IFERROR(_xlfn.XLOOKUP(A3957:A8000,kunishuClan!D:D,kunishuClan!B:B)&amp;"当主","")))</f>
      </c>
    </row>
    <row r="3958" ht="15.75" customHeight="1">
      <c r="A3958" s="4">
        <v>2053001</v>
      </c>
      <c r="B3958" s="12" t="str">
        <f t="array" ref="B3958">IF(A3958:A8001="","",_xlfn.XLOOKUP(A3958:A8001,'参照_武将'!A:A,'参照_武将'!B:B,"見つかりません"))</f>
      </c>
      <c r="C3958" s="4" t="s">
        <v>6040</v>
      </c>
      <c r="D3958" s="4">
        <v>0</v>
      </c>
      <c r="E3958" s="12" t="str">
        <f t="array" ref="E3958">IF(D3958:D8001="","",IFERROR(_xlfn.XLOOKUP(D3958:D8001,'参照_勢力'!A:A,'参照_勢力'!B:B),IFERROR(_xlfn.XLOOKUP(F3958:F8001,kunishuClan!A:A,kunishuClan!B:B),"浪人")))</f>
      </c>
      <c r="F3958" s="4">
        <v>53</v>
      </c>
      <c r="G3958" s="4">
        <v>243</v>
      </c>
      <c r="H3958" s="12" t="str">
        <f t="array" ref="H3958">IF(G3958:G8001="","",_xlfn.XLOOKUP(G3958:G8001,castles_state!A:A,castles_state!D:D,"見つかりません"))</f>
      </c>
      <c r="I3958" s="4"/>
      <c r="J3958" s="12" t="str">
        <f t="array" ref="J3958">IF(I3958:I8001="","",_xlfn.XLOOKUP(I3958:I8001,'参照_姫'!A:A,'参照_姫'!B:B,"見つかりません"))</f>
      </c>
      <c r="K3958" s="4">
        <v>50</v>
      </c>
      <c r="L3958" s="4">
        <v>300</v>
      </c>
      <c r="M3958" s="4"/>
      <c r="N3958" s="4"/>
      <c r="O3958" s="4"/>
      <c r="P3958" s="12" t="str">
        <f t="array" ref="P3958">IF(O3958:O8001="","",_xlfn.XLOOKUP(O3958:O8001,'参照_官位'!A:A,'参照_官位'!B:B,""))</f>
      </c>
      <c r="Q3958" s="12" t="str">
        <f t="array" ref="Q3958">IF(A3958:A8001="","",IFERROR(_xlfn.XLOOKUP(A3958:A8001,castles_state!K:K,castles_state!D:D)&amp;"主",IFERROR(_xlfn.XLOOKUP(A3958:A8001,kunishuClan!D:D,kunishuClan!B:B)&amp;"当主","")))</f>
      </c>
    </row>
    <row r="3959" ht="15.75" customHeight="1">
      <c r="A3959" s="4">
        <v>2054001</v>
      </c>
      <c r="B3959" s="12" t="str">
        <f t="array" ref="B3959">IF(A3959:A8002="","",_xlfn.XLOOKUP(A3959:A8002,'参照_武将'!A:A,'参照_武将'!B:B,"見つかりません"))</f>
      </c>
      <c r="C3959" s="4" t="s">
        <v>6041</v>
      </c>
      <c r="D3959" s="4">
        <v>0</v>
      </c>
      <c r="E3959" s="12" t="str">
        <f t="array" ref="E3959">IF(D3959:D8002="","",IFERROR(_xlfn.XLOOKUP(D3959:D8002,'参照_勢力'!A:A,'参照_勢力'!B:B),IFERROR(_xlfn.XLOOKUP(F3959:F8002,kunishuClan!A:A,kunishuClan!B:B),"浪人")))</f>
      </c>
      <c r="F3959" s="4">
        <v>54</v>
      </c>
      <c r="G3959" s="4">
        <v>226</v>
      </c>
      <c r="H3959" s="12" t="str">
        <f t="array" ref="H3959">IF(G3959:G8002="","",_xlfn.XLOOKUP(G3959:G8002,castles_state!A:A,castles_state!D:D,"見つかりません"))</f>
      </c>
      <c r="I3959" s="4"/>
      <c r="J3959" s="12" t="str">
        <f t="array" ref="J3959">IF(I3959:I8002="","",_xlfn.XLOOKUP(I3959:I8002,'参照_姫'!A:A,'参照_姫'!B:B,"見つかりません"))</f>
      </c>
      <c r="K3959" s="4">
        <v>50</v>
      </c>
      <c r="L3959" s="4">
        <v>0</v>
      </c>
      <c r="M3959" s="4"/>
      <c r="N3959" s="4"/>
      <c r="O3959" s="4"/>
      <c r="P3959" s="12" t="str">
        <f t="array" ref="P3959">IF(O3959:O8002="","",_xlfn.XLOOKUP(O3959:O8002,'参照_官位'!A:A,'参照_官位'!B:B,""))</f>
      </c>
      <c r="Q3959" s="12" t="str">
        <f t="array" ref="Q3959">IF(A3959:A8002="","",IFERROR(_xlfn.XLOOKUP(A3959:A8002,castles_state!K:K,castles_state!D:D)&amp;"主",IFERROR(_xlfn.XLOOKUP(A3959:A8002,kunishuClan!D:D,kunishuClan!B:B)&amp;"当主","")))</f>
      </c>
    </row>
    <row r="3960" ht="15.75" customHeight="1">
      <c r="A3960" s="4">
        <v>2054002</v>
      </c>
      <c r="B3960" s="12" t="str">
        <f t="array" ref="B3960">IF(A3960:A8003="","",_xlfn.XLOOKUP(A3960:A8003,'参照_武将'!A:A,'参照_武将'!B:B,"見つかりません"))</f>
      </c>
      <c r="C3960" s="4" t="s">
        <v>6041</v>
      </c>
      <c r="D3960" s="4">
        <v>0</v>
      </c>
      <c r="E3960" s="12" t="str">
        <f t="array" ref="E3960">IF(D3960:D8003="","",IFERROR(_xlfn.XLOOKUP(D3960:D8003,'参照_勢力'!A:A,'参照_勢力'!B:B),IFERROR(_xlfn.XLOOKUP(F3960:F8003,kunishuClan!A:A,kunishuClan!B:B),"浪人")))</f>
      </c>
      <c r="F3960" s="4">
        <v>54</v>
      </c>
      <c r="G3960" s="4">
        <v>226</v>
      </c>
      <c r="H3960" s="12" t="str">
        <f t="array" ref="H3960">IF(G3960:G8003="","",_xlfn.XLOOKUP(G3960:G8003,castles_state!A:A,castles_state!D:D,"見つかりません"))</f>
      </c>
      <c r="I3960" s="4"/>
      <c r="J3960" s="12" t="str">
        <f t="array" ref="J3960">IF(I3960:I8003="","",_xlfn.XLOOKUP(I3960:I8003,'参照_姫'!A:A,'参照_姫'!B:B,"見つかりません"))</f>
      </c>
      <c r="K3960" s="4">
        <v>50</v>
      </c>
      <c r="L3960" s="4">
        <v>300</v>
      </c>
      <c r="M3960" s="4"/>
      <c r="N3960" s="4"/>
      <c r="O3960" s="4"/>
      <c r="P3960" s="12" t="str">
        <f t="array" ref="P3960">IF(O3960:O8003="","",_xlfn.XLOOKUP(O3960:O8003,'参照_官位'!A:A,'参照_官位'!B:B,""))</f>
      </c>
      <c r="Q3960" s="12" t="str">
        <f t="array" ref="Q3960">IF(A3960:A8003="","",IFERROR(_xlfn.XLOOKUP(A3960:A8003,castles_state!K:K,castles_state!D:D)&amp;"主",IFERROR(_xlfn.XLOOKUP(A3960:A8003,kunishuClan!D:D,kunishuClan!B:B)&amp;"当主","")))</f>
      </c>
    </row>
    <row r="3961" ht="15.75" customHeight="1">
      <c r="A3961" s="4">
        <v>2054003</v>
      </c>
      <c r="B3961" s="12" t="str">
        <f t="array" ref="B3961">IF(A3961:A8004="","",_xlfn.XLOOKUP(A3961:A8004,'参照_武将'!A:A,'参照_武将'!B:B,"見つかりません"))</f>
      </c>
      <c r="C3961" s="4" t="s">
        <v>6041</v>
      </c>
      <c r="D3961" s="4">
        <v>0</v>
      </c>
      <c r="E3961" s="12" t="str">
        <f t="array" ref="E3961">IF(D3961:D8004="","",IFERROR(_xlfn.XLOOKUP(D3961:D8004,'参照_勢力'!A:A,'参照_勢力'!B:B),IFERROR(_xlfn.XLOOKUP(F3961:F8004,kunishuClan!A:A,kunishuClan!B:B),"浪人")))</f>
      </c>
      <c r="F3961" s="4">
        <v>54</v>
      </c>
      <c r="G3961" s="4">
        <v>226</v>
      </c>
      <c r="H3961" s="12" t="str">
        <f t="array" ref="H3961">IF(G3961:G8004="","",_xlfn.XLOOKUP(G3961:G8004,castles_state!A:A,castles_state!D:D,"見つかりません"))</f>
      </c>
      <c r="I3961" s="4"/>
      <c r="J3961" s="12" t="str">
        <f t="array" ref="J3961">IF(I3961:I8004="","",_xlfn.XLOOKUP(I3961:I8004,'参照_姫'!A:A,'参照_姫'!B:B,"見つかりません"))</f>
      </c>
      <c r="K3961" s="4">
        <v>50</v>
      </c>
      <c r="L3961" s="4">
        <v>0</v>
      </c>
      <c r="M3961" s="4"/>
      <c r="N3961" s="4"/>
      <c r="O3961" s="4"/>
      <c r="P3961" s="12" t="str">
        <f t="array" ref="P3961">IF(O3961:O8004="","",_xlfn.XLOOKUP(O3961:O8004,'参照_官位'!A:A,'参照_官位'!B:B,""))</f>
      </c>
      <c r="Q3961" s="12" t="str">
        <f t="array" ref="Q3961">IF(A3961:A8004="","",IFERROR(_xlfn.XLOOKUP(A3961:A8004,castles_state!K:K,castles_state!D:D)&amp;"主",IFERROR(_xlfn.XLOOKUP(A3961:A8004,kunishuClan!D:D,kunishuClan!B:B)&amp;"当主","")))</f>
      </c>
    </row>
    <row r="3962" ht="15.75" customHeight="1">
      <c r="A3962" s="4">
        <v>2054004</v>
      </c>
      <c r="B3962" s="12" t="str">
        <f t="array" ref="B3962">IF(A3962:A8005="","",_xlfn.XLOOKUP(A3962:A8005,'参照_武将'!A:A,'参照_武将'!B:B,"見つかりません"))</f>
      </c>
      <c r="C3962" s="4" t="s">
        <v>6041</v>
      </c>
      <c r="D3962" s="4">
        <v>0</v>
      </c>
      <c r="E3962" s="12" t="str">
        <f t="array" ref="E3962">IF(D3962:D8005="","",IFERROR(_xlfn.XLOOKUP(D3962:D8005,'参照_勢力'!A:A,'参照_勢力'!B:B),IFERROR(_xlfn.XLOOKUP(F3962:F8005,kunishuClan!A:A,kunishuClan!B:B),"浪人")))</f>
      </c>
      <c r="F3962" s="4">
        <v>54</v>
      </c>
      <c r="G3962" s="4">
        <v>226</v>
      </c>
      <c r="H3962" s="12" t="str">
        <f t="array" ref="H3962">IF(G3962:G8005="","",_xlfn.XLOOKUP(G3962:G8005,castles_state!A:A,castles_state!D:D,"見つかりません"))</f>
      </c>
      <c r="I3962" s="4"/>
      <c r="J3962" s="12" t="str">
        <f t="array" ref="J3962">IF(I3962:I8005="","",_xlfn.XLOOKUP(I3962:I8005,'参照_姫'!A:A,'参照_姫'!B:B,"見つかりません"))</f>
      </c>
      <c r="K3962" s="4">
        <v>50</v>
      </c>
      <c r="L3962" s="4">
        <v>0</v>
      </c>
      <c r="M3962" s="4"/>
      <c r="N3962" s="4"/>
      <c r="O3962" s="4"/>
      <c r="P3962" s="12" t="str">
        <f t="array" ref="P3962">IF(O3962:O8005="","",_xlfn.XLOOKUP(O3962:O8005,'参照_官位'!A:A,'参照_官位'!B:B,""))</f>
      </c>
      <c r="Q3962" s="12" t="str">
        <f t="array" ref="Q3962">IF(A3962:A8005="","",IFERROR(_xlfn.XLOOKUP(A3962:A8005,castles_state!K:K,castles_state!D:D)&amp;"主",IFERROR(_xlfn.XLOOKUP(A3962:A8005,kunishuClan!D:D,kunishuClan!B:B)&amp;"当主","")))</f>
      </c>
    </row>
    <row r="3963" ht="15.75" customHeight="1">
      <c r="A3963" s="4">
        <v>2054005</v>
      </c>
      <c r="B3963" s="12" t="str">
        <f t="array" ref="B3963">IF(A3963:A8006="","",_xlfn.XLOOKUP(A3963:A8006,'参照_武将'!A:A,'参照_武将'!B:B,"見つかりません"))</f>
      </c>
      <c r="C3963" s="4" t="s">
        <v>6041</v>
      </c>
      <c r="D3963" s="4">
        <v>0</v>
      </c>
      <c r="E3963" s="12" t="str">
        <f t="array" ref="E3963">IF(D3963:D8006="","",IFERROR(_xlfn.XLOOKUP(D3963:D8006,'参照_勢力'!A:A,'参照_勢力'!B:B),IFERROR(_xlfn.XLOOKUP(F3963:F8006,kunishuClan!A:A,kunishuClan!B:B),"浪人")))</f>
      </c>
      <c r="F3963" s="4">
        <v>54</v>
      </c>
      <c r="G3963" s="4">
        <v>226</v>
      </c>
      <c r="H3963" s="12" t="str">
        <f t="array" ref="H3963">IF(G3963:G8006="","",_xlfn.XLOOKUP(G3963:G8006,castles_state!A:A,castles_state!D:D,"見つかりません"))</f>
      </c>
      <c r="I3963" s="4"/>
      <c r="J3963" s="12" t="str">
        <f t="array" ref="J3963">IF(I3963:I8006="","",_xlfn.XLOOKUP(I3963:I8006,'参照_姫'!A:A,'参照_姫'!B:B,"見つかりません"))</f>
      </c>
      <c r="K3963" s="4">
        <v>50</v>
      </c>
      <c r="L3963" s="4">
        <v>0</v>
      </c>
      <c r="M3963" s="4"/>
      <c r="N3963" s="4"/>
      <c r="O3963" s="4"/>
      <c r="P3963" s="12" t="str">
        <f t="array" ref="P3963">IF(O3963:O8006="","",_xlfn.XLOOKUP(O3963:O8006,'参照_官位'!A:A,'参照_官位'!B:B,""))</f>
      </c>
      <c r="Q3963" s="12" t="str">
        <f t="array" ref="Q3963">IF(A3963:A8006="","",IFERROR(_xlfn.XLOOKUP(A3963:A8006,castles_state!K:K,castles_state!D:D)&amp;"主",IFERROR(_xlfn.XLOOKUP(A3963:A8006,kunishuClan!D:D,kunishuClan!B:B)&amp;"当主","")))</f>
      </c>
    </row>
    <row r="3964" ht="15.75" customHeight="1">
      <c r="A3964" s="4">
        <v>2054006</v>
      </c>
      <c r="B3964" s="12" t="str">
        <f t="array" ref="B3964">IF(A3964:A8007="","",_xlfn.XLOOKUP(A3964:A8007,'参照_武将'!A:A,'参照_武将'!B:B,"見つかりません"))</f>
      </c>
      <c r="C3964" s="4" t="s">
        <v>6041</v>
      </c>
      <c r="D3964" s="4">
        <v>0</v>
      </c>
      <c r="E3964" s="12" t="str">
        <f t="array" ref="E3964">IF(D3964:D8007="","",IFERROR(_xlfn.XLOOKUP(D3964:D8007,'参照_勢力'!A:A,'参照_勢力'!B:B),IFERROR(_xlfn.XLOOKUP(F3964:F8007,kunishuClan!A:A,kunishuClan!B:B),"浪人")))</f>
      </c>
      <c r="F3964" s="4">
        <v>54</v>
      </c>
      <c r="G3964" s="4">
        <v>226</v>
      </c>
      <c r="H3964" s="12" t="str">
        <f t="array" ref="H3964">IF(G3964:G8007="","",_xlfn.XLOOKUP(G3964:G8007,castles_state!A:A,castles_state!D:D,"見つかりません"))</f>
      </c>
      <c r="I3964" s="4"/>
      <c r="J3964" s="12" t="str">
        <f t="array" ref="J3964">IF(I3964:I8007="","",_xlfn.XLOOKUP(I3964:I8007,'参照_姫'!A:A,'参照_姫'!B:B,"見つかりません"))</f>
      </c>
      <c r="K3964" s="4">
        <v>50</v>
      </c>
      <c r="L3964" s="4">
        <v>0</v>
      </c>
      <c r="M3964" s="4"/>
      <c r="N3964" s="4"/>
      <c r="O3964" s="4"/>
      <c r="P3964" s="12" t="str">
        <f t="array" ref="P3964">IF(O3964:O8007="","",_xlfn.XLOOKUP(O3964:O8007,'参照_官位'!A:A,'参照_官位'!B:B,""))</f>
      </c>
      <c r="Q3964" s="12" t="str">
        <f t="array" ref="Q3964">IF(A3964:A8007="","",IFERROR(_xlfn.XLOOKUP(A3964:A8007,castles_state!K:K,castles_state!D:D)&amp;"主",IFERROR(_xlfn.XLOOKUP(A3964:A8007,kunishuClan!D:D,kunishuClan!B:B)&amp;"当主","")))</f>
      </c>
    </row>
    <row r="3965" ht="15.75" customHeight="1">
      <c r="A3965" s="4">
        <v>2054007</v>
      </c>
      <c r="B3965" s="12" t="str">
        <f t="array" ref="B3965">IF(A3965:A8008="","",_xlfn.XLOOKUP(A3965:A8008,'参照_武将'!A:A,'参照_武将'!B:B,"見つかりません"))</f>
      </c>
      <c r="C3965" s="4" t="s">
        <v>6041</v>
      </c>
      <c r="D3965" s="4">
        <v>0</v>
      </c>
      <c r="E3965" s="12" t="str">
        <f t="array" ref="E3965">IF(D3965:D8008="","",IFERROR(_xlfn.XLOOKUP(D3965:D8008,'参照_勢力'!A:A,'参照_勢力'!B:B),IFERROR(_xlfn.XLOOKUP(F3965:F8008,kunishuClan!A:A,kunishuClan!B:B),"浪人")))</f>
      </c>
      <c r="F3965" s="4">
        <v>54</v>
      </c>
      <c r="G3965" s="4">
        <v>226</v>
      </c>
      <c r="H3965" s="12" t="str">
        <f t="array" ref="H3965">IF(G3965:G8008="","",_xlfn.XLOOKUP(G3965:G8008,castles_state!A:A,castles_state!D:D,"見つかりません"))</f>
      </c>
      <c r="I3965" s="4"/>
      <c r="J3965" s="12" t="str">
        <f t="array" ref="J3965">IF(I3965:I8008="","",_xlfn.XLOOKUP(I3965:I8008,'参照_姫'!A:A,'参照_姫'!B:B,"見つかりません"))</f>
      </c>
      <c r="K3965" s="4">
        <v>50</v>
      </c>
      <c r="L3965" s="4">
        <v>0</v>
      </c>
      <c r="M3965" s="4"/>
      <c r="N3965" s="4"/>
      <c r="O3965" s="4"/>
      <c r="P3965" s="12" t="str">
        <f t="array" ref="P3965">IF(O3965:O8008="","",_xlfn.XLOOKUP(O3965:O8008,'参照_官位'!A:A,'参照_官位'!B:B,""))</f>
      </c>
      <c r="Q3965" s="12" t="str">
        <f t="array" ref="Q3965">IF(A3965:A8008="","",IFERROR(_xlfn.XLOOKUP(A3965:A8008,castles_state!K:K,castles_state!D:D)&amp;"主",IFERROR(_xlfn.XLOOKUP(A3965:A8008,kunishuClan!D:D,kunishuClan!B:B)&amp;"当主","")))</f>
      </c>
    </row>
    <row r="3966" ht="15.75" customHeight="1">
      <c r="A3966" s="4">
        <v>2054008</v>
      </c>
      <c r="B3966" s="12" t="str">
        <f t="array" ref="B3966">IF(A3966:A8009="","",_xlfn.XLOOKUP(A3966:A8009,'参照_武将'!A:A,'参照_武将'!B:B,"見つかりません"))</f>
      </c>
      <c r="C3966" s="4" t="s">
        <v>6041</v>
      </c>
      <c r="D3966" s="4">
        <v>0</v>
      </c>
      <c r="E3966" s="12" t="str">
        <f t="array" ref="E3966">IF(D3966:D8009="","",IFERROR(_xlfn.XLOOKUP(D3966:D8009,'参照_勢力'!A:A,'参照_勢力'!B:B),IFERROR(_xlfn.XLOOKUP(F3966:F8009,kunishuClan!A:A,kunishuClan!B:B),"浪人")))</f>
      </c>
      <c r="F3966" s="4">
        <v>54</v>
      </c>
      <c r="G3966" s="4">
        <v>226</v>
      </c>
      <c r="H3966" s="12" t="str">
        <f t="array" ref="H3966">IF(G3966:G8009="","",_xlfn.XLOOKUP(G3966:G8009,castles_state!A:A,castles_state!D:D,"見つかりません"))</f>
      </c>
      <c r="I3966" s="4"/>
      <c r="J3966" s="12" t="str">
        <f t="array" ref="J3966">IF(I3966:I8009="","",_xlfn.XLOOKUP(I3966:I8009,'参照_姫'!A:A,'参照_姫'!B:B,"見つかりません"))</f>
      </c>
      <c r="K3966" s="4">
        <v>50</v>
      </c>
      <c r="L3966" s="4">
        <v>0</v>
      </c>
      <c r="M3966" s="4"/>
      <c r="N3966" s="4"/>
      <c r="O3966" s="4"/>
      <c r="P3966" s="12" t="str">
        <f t="array" ref="P3966">IF(O3966:O8009="","",_xlfn.XLOOKUP(O3966:O8009,'参照_官位'!A:A,'参照_官位'!B:B,""))</f>
      </c>
      <c r="Q3966" s="12" t="str">
        <f t="array" ref="Q3966">IF(A3966:A8009="","",IFERROR(_xlfn.XLOOKUP(A3966:A8009,castles_state!K:K,castles_state!D:D)&amp;"主",IFERROR(_xlfn.XLOOKUP(A3966:A8009,kunishuClan!D:D,kunishuClan!B:B)&amp;"当主","")))</f>
      </c>
    </row>
    <row r="3967" ht="15.75" customHeight="1">
      <c r="A3967" s="4">
        <v>2055001</v>
      </c>
      <c r="B3967" s="12" t="str">
        <f t="array" ref="B3967">IF(A3967:A8010="","",_xlfn.XLOOKUP(A3967:A8010,'参照_武将'!A:A,'参照_武将'!B:B,"見つかりません"))</f>
      </c>
      <c r="C3967" s="4" t="s">
        <v>6042</v>
      </c>
      <c r="D3967" s="4">
        <v>0</v>
      </c>
      <c r="E3967" s="12" t="str">
        <f t="array" ref="E3967">IF(D3967:D8010="","",IFERROR(_xlfn.XLOOKUP(D3967:D8010,'参照_勢力'!A:A,'参照_勢力'!B:B),IFERROR(_xlfn.XLOOKUP(F3967:F8010,kunishuClan!A:A,kunishuClan!B:B),"浪人")))</f>
      </c>
      <c r="F3967" s="4">
        <v>55</v>
      </c>
      <c r="G3967" s="4">
        <v>31</v>
      </c>
      <c r="H3967" s="12" t="str">
        <f t="array" ref="H3967">IF(G3967:G8010="","",_xlfn.XLOOKUP(G3967:G8010,castles_state!A:A,castles_state!D:D,"見つかりません"))</f>
      </c>
      <c r="I3967" s="4"/>
      <c r="J3967" s="12" t="str">
        <f t="array" ref="J3967">IF(I3967:I8010="","",_xlfn.XLOOKUP(I3967:I8010,'参照_姫'!A:A,'参照_姫'!B:B,"見つかりません"))</f>
      </c>
      <c r="K3967" s="4">
        <v>50</v>
      </c>
      <c r="L3967" s="4">
        <v>300</v>
      </c>
      <c r="M3967" s="4"/>
      <c r="N3967" s="4"/>
      <c r="O3967" s="4"/>
      <c r="P3967" s="12" t="str">
        <f t="array" ref="P3967">IF(O3967:O8010="","",_xlfn.XLOOKUP(O3967:O8010,'参照_官位'!A:A,'参照_官位'!B:B,""))</f>
      </c>
      <c r="Q3967" s="12" t="str">
        <f t="array" ref="Q3967">IF(A3967:A8010="","",IFERROR(_xlfn.XLOOKUP(A3967:A8010,castles_state!K:K,castles_state!D:D)&amp;"主",IFERROR(_xlfn.XLOOKUP(A3967:A8010,kunishuClan!D:D,kunishuClan!B:B)&amp;"当主","")))</f>
      </c>
    </row>
    <row r="3968" ht="15.75" customHeight="1">
      <c r="A3968" s="4">
        <v>2055002</v>
      </c>
      <c r="B3968" s="12" t="str">
        <f t="array" ref="B3968">IF(A3968:A8011="","",_xlfn.XLOOKUP(A3968:A8011,'参照_武将'!A:A,'参照_武将'!B:B,"見つかりません"))</f>
      </c>
      <c r="C3968" s="4" t="s">
        <v>6042</v>
      </c>
      <c r="D3968" s="4">
        <v>0</v>
      </c>
      <c r="E3968" s="12" t="str">
        <f t="array" ref="E3968">IF(D3968:D8011="","",IFERROR(_xlfn.XLOOKUP(D3968:D8011,'参照_勢力'!A:A,'参照_勢力'!B:B),IFERROR(_xlfn.XLOOKUP(F3968:F8011,kunishuClan!A:A,kunishuClan!B:B),"浪人")))</f>
      </c>
      <c r="F3968" s="4">
        <v>55</v>
      </c>
      <c r="G3968" s="4">
        <v>31</v>
      </c>
      <c r="H3968" s="12" t="str">
        <f t="array" ref="H3968">IF(G3968:G8011="","",_xlfn.XLOOKUP(G3968:G8011,castles_state!A:A,castles_state!D:D,"見つかりません"))</f>
      </c>
      <c r="I3968" s="4"/>
      <c r="J3968" s="12" t="str">
        <f t="array" ref="J3968">IF(I3968:I8011="","",_xlfn.XLOOKUP(I3968:I8011,'参照_姫'!A:A,'参照_姫'!B:B,"見つかりません"))</f>
      </c>
      <c r="K3968" s="4">
        <v>50</v>
      </c>
      <c r="L3968" s="4">
        <v>0</v>
      </c>
      <c r="M3968" s="4"/>
      <c r="N3968" s="4"/>
      <c r="O3968" s="4"/>
      <c r="P3968" s="12" t="str">
        <f t="array" ref="P3968">IF(O3968:O8011="","",_xlfn.XLOOKUP(O3968:O8011,'参照_官位'!A:A,'参照_官位'!B:B,""))</f>
      </c>
      <c r="Q3968" s="12" t="str">
        <f t="array" ref="Q3968">IF(A3968:A8011="","",IFERROR(_xlfn.XLOOKUP(A3968:A8011,castles_state!K:K,castles_state!D:D)&amp;"主",IFERROR(_xlfn.XLOOKUP(A3968:A8011,kunishuClan!D:D,kunishuClan!B:B)&amp;"当主","")))</f>
      </c>
    </row>
    <row r="3969" ht="15.75" customHeight="1">
      <c r="A3969" s="4">
        <v>2056001</v>
      </c>
      <c r="B3969" s="12" t="str">
        <f t="array" ref="B3969">IF(A3969:A8012="","",_xlfn.XLOOKUP(A3969:A8012,'参照_武将'!A:A,'参照_武将'!B:B,"見つかりません"))</f>
      </c>
      <c r="C3969" s="4" t="s">
        <v>6043</v>
      </c>
      <c r="D3969" s="4">
        <v>0</v>
      </c>
      <c r="E3969" s="12" t="str">
        <f t="array" ref="E3969">IF(D3969:D8012="","",IFERROR(_xlfn.XLOOKUP(D3969:D8012,'参照_勢力'!A:A,'参照_勢力'!B:B),IFERROR(_xlfn.XLOOKUP(F3969:F8012,kunishuClan!A:A,kunishuClan!B:B),"浪人")))</f>
      </c>
      <c r="F3969" s="4">
        <v>56</v>
      </c>
      <c r="G3969" s="4">
        <v>61</v>
      </c>
      <c r="H3969" s="12" t="str">
        <f t="array" ref="H3969">IF(G3969:G8012="","",_xlfn.XLOOKUP(G3969:G8012,castles_state!A:A,castles_state!D:D,"見つかりません"))</f>
      </c>
      <c r="I3969" s="4"/>
      <c r="J3969" s="12" t="str">
        <f t="array" ref="J3969">IF(I3969:I8012="","",_xlfn.XLOOKUP(I3969:I8012,'参照_姫'!A:A,'参照_姫'!B:B,"見つかりません"))</f>
      </c>
      <c r="K3969" s="4">
        <v>50</v>
      </c>
      <c r="L3969" s="4">
        <v>300</v>
      </c>
      <c r="M3969" s="4"/>
      <c r="N3969" s="4"/>
      <c r="O3969" s="4"/>
      <c r="P3969" s="12" t="str">
        <f t="array" ref="P3969">IF(O3969:O8012="","",_xlfn.XLOOKUP(O3969:O8012,'参照_官位'!A:A,'参照_官位'!B:B,""))</f>
      </c>
      <c r="Q3969" s="12" t="str">
        <f t="array" ref="Q3969">IF(A3969:A8012="","",IFERROR(_xlfn.XLOOKUP(A3969:A8012,castles_state!K:K,castles_state!D:D)&amp;"主",IFERROR(_xlfn.XLOOKUP(A3969:A8012,kunishuClan!D:D,kunishuClan!B:B)&amp;"当主","")))</f>
      </c>
    </row>
    <row r="3970" ht="15.75" customHeight="1">
      <c r="A3970" s="4">
        <v>2057001</v>
      </c>
      <c r="B3970" s="12" t="str">
        <f t="array" ref="B3970">IF(A3970:A8013="","",_xlfn.XLOOKUP(A3970:A8013,'参照_武将'!A:A,'参照_武将'!B:B,"見つかりません"))</f>
      </c>
      <c r="C3970" s="4" t="s">
        <v>6044</v>
      </c>
      <c r="D3970" s="4">
        <v>0</v>
      </c>
      <c r="E3970" s="12" t="str">
        <f t="array" ref="E3970">IF(D3970:D8013="","",IFERROR(_xlfn.XLOOKUP(D3970:D8013,'参照_勢力'!A:A,'参照_勢力'!B:B),IFERROR(_xlfn.XLOOKUP(F3970:F8013,kunishuClan!A:A,kunishuClan!B:B),"浪人")))</f>
      </c>
      <c r="F3970" s="4">
        <v>57</v>
      </c>
      <c r="G3970" s="4">
        <v>19</v>
      </c>
      <c r="H3970" s="12" t="str">
        <f t="array" ref="H3970">IF(G3970:G8013="","",_xlfn.XLOOKUP(G3970:G8013,castles_state!A:A,castles_state!D:D,"見つかりません"))</f>
      </c>
      <c r="I3970" s="4"/>
      <c r="J3970" s="12" t="str">
        <f t="array" ref="J3970">IF(I3970:I8013="","",_xlfn.XLOOKUP(I3970:I8013,'参照_姫'!A:A,'参照_姫'!B:B,"見つかりません"))</f>
      </c>
      <c r="K3970" s="4">
        <v>50</v>
      </c>
      <c r="L3970" s="4">
        <v>0</v>
      </c>
      <c r="M3970" s="4"/>
      <c r="N3970" s="4"/>
      <c r="O3970" s="4"/>
      <c r="P3970" s="12" t="str">
        <f t="array" ref="P3970">IF(O3970:O8013="","",_xlfn.XLOOKUP(O3970:O8013,'参照_官位'!A:A,'参照_官位'!B:B,""))</f>
      </c>
      <c r="Q3970" s="12" t="str">
        <f t="array" ref="Q3970">IF(A3970:A8013="","",IFERROR(_xlfn.XLOOKUP(A3970:A8013,castles_state!K:K,castles_state!D:D)&amp;"主",IFERROR(_xlfn.XLOOKUP(A3970:A8013,kunishuClan!D:D,kunishuClan!B:B)&amp;"当主","")))</f>
      </c>
    </row>
    <row r="3971" ht="15.75" customHeight="1">
      <c r="A3971" s="4">
        <v>2057002</v>
      </c>
      <c r="B3971" s="12" t="str">
        <f t="array" ref="B3971">IF(A3971:A8014="","",_xlfn.XLOOKUP(A3971:A8014,'参照_武将'!A:A,'参照_武将'!B:B,"見つかりません"))</f>
      </c>
      <c r="C3971" s="4" t="s">
        <v>6044</v>
      </c>
      <c r="D3971" s="4">
        <v>0</v>
      </c>
      <c r="E3971" s="12" t="str">
        <f t="array" ref="E3971">IF(D3971:D8014="","",IFERROR(_xlfn.XLOOKUP(D3971:D8014,'参照_勢力'!A:A,'参照_勢力'!B:B),IFERROR(_xlfn.XLOOKUP(F3971:F8014,kunishuClan!A:A,kunishuClan!B:B),"浪人")))</f>
      </c>
      <c r="F3971" s="4">
        <v>57</v>
      </c>
      <c r="G3971" s="4">
        <v>19</v>
      </c>
      <c r="H3971" s="12" t="str">
        <f t="array" ref="H3971">IF(G3971:G8014="","",_xlfn.XLOOKUP(G3971:G8014,castles_state!A:A,castles_state!D:D,"見つかりません"))</f>
      </c>
      <c r="I3971" s="4"/>
      <c r="J3971" s="12" t="str">
        <f t="array" ref="J3971">IF(I3971:I8014="","",_xlfn.XLOOKUP(I3971:I8014,'参照_姫'!A:A,'参照_姫'!B:B,"見つかりません"))</f>
      </c>
      <c r="K3971" s="4">
        <v>50</v>
      </c>
      <c r="L3971" s="4">
        <v>0</v>
      </c>
      <c r="M3971" s="4"/>
      <c r="N3971" s="4"/>
      <c r="O3971" s="4"/>
      <c r="P3971" s="12" t="str">
        <f t="array" ref="P3971">IF(O3971:O8014="","",_xlfn.XLOOKUP(O3971:O8014,'参照_官位'!A:A,'参照_官位'!B:B,""))</f>
      </c>
      <c r="Q3971" s="12" t="str">
        <f t="array" ref="Q3971">IF(A3971:A8014="","",IFERROR(_xlfn.XLOOKUP(A3971:A8014,castles_state!K:K,castles_state!D:D)&amp;"主",IFERROR(_xlfn.XLOOKUP(A3971:A8014,kunishuClan!D:D,kunishuClan!B:B)&amp;"当主","")))</f>
      </c>
    </row>
    <row r="3972" ht="15.75" customHeight="1">
      <c r="A3972" s="4">
        <v>2057003</v>
      </c>
      <c r="B3972" s="12" t="str">
        <f t="array" ref="B3972">IF(A3972:A8015="","",_xlfn.XLOOKUP(A3972:A8015,'参照_武将'!A:A,'参照_武将'!B:B,"見つかりません"))</f>
      </c>
      <c r="C3972" s="4" t="s">
        <v>6044</v>
      </c>
      <c r="D3972" s="4">
        <v>0</v>
      </c>
      <c r="E3972" s="12" t="str">
        <f t="array" ref="E3972">IF(D3972:D8015="","",IFERROR(_xlfn.XLOOKUP(D3972:D8015,'参照_勢力'!A:A,'参照_勢力'!B:B),IFERROR(_xlfn.XLOOKUP(F3972:F8015,kunishuClan!A:A,kunishuClan!B:B),"浪人")))</f>
      </c>
      <c r="F3972" s="4">
        <v>57</v>
      </c>
      <c r="G3972" s="4">
        <v>19</v>
      </c>
      <c r="H3972" s="12" t="str">
        <f t="array" ref="H3972">IF(G3972:G8015="","",_xlfn.XLOOKUP(G3972:G8015,castles_state!A:A,castles_state!D:D,"見つかりません"))</f>
      </c>
      <c r="I3972" s="4"/>
      <c r="J3972" s="12" t="str">
        <f t="array" ref="J3972">IF(I3972:I8015="","",_xlfn.XLOOKUP(I3972:I8015,'参照_姫'!A:A,'参照_姫'!B:B,"見つかりません"))</f>
      </c>
      <c r="K3972" s="4">
        <v>50</v>
      </c>
      <c r="L3972" s="4">
        <v>0</v>
      </c>
      <c r="M3972" s="4"/>
      <c r="N3972" s="4"/>
      <c r="O3972" s="4"/>
      <c r="P3972" s="12" t="str">
        <f t="array" ref="P3972">IF(O3972:O8015="","",_xlfn.XLOOKUP(O3972:O8015,'参照_官位'!A:A,'参照_官位'!B:B,""))</f>
      </c>
      <c r="Q3972" s="12" t="str">
        <f t="array" ref="Q3972">IF(A3972:A8015="","",IFERROR(_xlfn.XLOOKUP(A3972:A8015,castles_state!K:K,castles_state!D:D)&amp;"主",IFERROR(_xlfn.XLOOKUP(A3972:A8015,kunishuClan!D:D,kunishuClan!B:B)&amp;"当主","")))</f>
      </c>
    </row>
    <row r="3973" ht="15.75" customHeight="1">
      <c r="A3973" s="4">
        <v>2057004</v>
      </c>
      <c r="B3973" s="12" t="str">
        <f t="array" ref="B3973">IF(A3973:A8016="","",_xlfn.XLOOKUP(A3973:A8016,'参照_武将'!A:A,'参照_武将'!B:B,"見つかりません"))</f>
      </c>
      <c r="C3973" s="4" t="s">
        <v>6044</v>
      </c>
      <c r="D3973" s="4">
        <v>0</v>
      </c>
      <c r="E3973" s="12" t="str">
        <f t="array" ref="E3973">IF(D3973:D8016="","",IFERROR(_xlfn.XLOOKUP(D3973:D8016,'参照_勢力'!A:A,'参照_勢力'!B:B),IFERROR(_xlfn.XLOOKUP(F3973:F8016,kunishuClan!A:A,kunishuClan!B:B),"浪人")))</f>
      </c>
      <c r="F3973" s="4">
        <v>57</v>
      </c>
      <c r="G3973" s="4">
        <v>19</v>
      </c>
      <c r="H3973" s="12" t="str">
        <f t="array" ref="H3973">IF(G3973:G8016="","",_xlfn.XLOOKUP(G3973:G8016,castles_state!A:A,castles_state!D:D,"見つかりません"))</f>
      </c>
      <c r="I3973" s="4"/>
      <c r="J3973" s="12" t="str">
        <f t="array" ref="J3973">IF(I3973:I8016="","",_xlfn.XLOOKUP(I3973:I8016,'参照_姫'!A:A,'参照_姫'!B:B,"見つかりません"))</f>
      </c>
      <c r="K3973" s="4">
        <v>50</v>
      </c>
      <c r="L3973" s="4">
        <v>500</v>
      </c>
      <c r="M3973" s="4"/>
      <c r="N3973" s="4"/>
      <c r="O3973" s="4"/>
      <c r="P3973" s="12" t="str">
        <f t="array" ref="P3973">IF(O3973:O8016="","",_xlfn.XLOOKUP(O3973:O8016,'参照_官位'!A:A,'参照_官位'!B:B,""))</f>
      </c>
      <c r="Q3973" s="12" t="str">
        <f t="array" ref="Q3973">IF(A3973:A8016="","",IFERROR(_xlfn.XLOOKUP(A3973:A8016,castles_state!K:K,castles_state!D:D)&amp;"主",IFERROR(_xlfn.XLOOKUP(A3973:A8016,kunishuClan!D:D,kunishuClan!B:B)&amp;"当主","")))</f>
      </c>
    </row>
    <row r="3974" ht="15.75" customHeight="1">
      <c r="A3974" s="4">
        <v>2057005</v>
      </c>
      <c r="B3974" s="12" t="str">
        <f t="array" ref="B3974">IF(A3974:A8017="","",_xlfn.XLOOKUP(A3974:A8017,'参照_武将'!A:A,'参照_武将'!B:B,"見つかりません"))</f>
      </c>
      <c r="C3974" s="4" t="s">
        <v>6044</v>
      </c>
      <c r="D3974" s="4">
        <v>0</v>
      </c>
      <c r="E3974" s="12" t="str">
        <f t="array" ref="E3974">IF(D3974:D8017="","",IFERROR(_xlfn.XLOOKUP(D3974:D8017,'参照_勢力'!A:A,'参照_勢力'!B:B),IFERROR(_xlfn.XLOOKUP(F3974:F8017,kunishuClan!A:A,kunishuClan!B:B),"浪人")))</f>
      </c>
      <c r="F3974" s="4">
        <v>57</v>
      </c>
      <c r="G3974" s="4">
        <v>19</v>
      </c>
      <c r="H3974" s="12" t="str">
        <f t="array" ref="H3974">IF(G3974:G8017="","",_xlfn.XLOOKUP(G3974:G8017,castles_state!A:A,castles_state!D:D,"見つかりません"))</f>
      </c>
      <c r="I3974" s="4"/>
      <c r="J3974" s="12" t="str">
        <f t="array" ref="J3974">IF(I3974:I8017="","",_xlfn.XLOOKUP(I3974:I8017,'参照_姫'!A:A,'参照_姫'!B:B,"見つかりません"))</f>
      </c>
      <c r="K3974" s="4">
        <v>50</v>
      </c>
      <c r="L3974" s="4">
        <v>200</v>
      </c>
      <c r="M3974" s="4"/>
      <c r="N3974" s="4"/>
      <c r="O3974" s="4"/>
      <c r="P3974" s="12" t="str">
        <f t="array" ref="P3974">IF(O3974:O8017="","",_xlfn.XLOOKUP(O3974:O8017,'参照_官位'!A:A,'参照_官位'!B:B,""))</f>
      </c>
      <c r="Q3974" s="12" t="str">
        <f t="array" ref="Q3974">IF(A3974:A8017="","",IFERROR(_xlfn.XLOOKUP(A3974:A8017,castles_state!K:K,castles_state!D:D)&amp;"主",IFERROR(_xlfn.XLOOKUP(A3974:A8017,kunishuClan!D:D,kunishuClan!B:B)&amp;"当主","")))</f>
      </c>
    </row>
    <row r="3975" ht="15.75" customHeight="1">
      <c r="A3975" s="4">
        <v>2057006</v>
      </c>
      <c r="B3975" s="12" t="str">
        <f t="array" ref="B3975">IF(A3975:A8018="","",_xlfn.XLOOKUP(A3975:A8018,'参照_武将'!A:A,'参照_武将'!B:B,"見つかりません"))</f>
      </c>
      <c r="C3975" s="4" t="s">
        <v>6044</v>
      </c>
      <c r="D3975" s="4">
        <v>0</v>
      </c>
      <c r="E3975" s="12" t="str">
        <f t="array" ref="E3975">IF(D3975:D8018="","",IFERROR(_xlfn.XLOOKUP(D3975:D8018,'参照_勢力'!A:A,'参照_勢力'!B:B),IFERROR(_xlfn.XLOOKUP(F3975:F8018,kunishuClan!A:A,kunishuClan!B:B),"浪人")))</f>
      </c>
      <c r="F3975" s="4">
        <v>57</v>
      </c>
      <c r="G3975" s="4">
        <v>19</v>
      </c>
      <c r="H3975" s="12" t="str">
        <f t="array" ref="H3975">IF(G3975:G8018="","",_xlfn.XLOOKUP(G3975:G8018,castles_state!A:A,castles_state!D:D,"見つかりません"))</f>
      </c>
      <c r="I3975" s="4"/>
      <c r="J3975" s="12" t="str">
        <f t="array" ref="J3975">IF(I3975:I8018="","",_xlfn.XLOOKUP(I3975:I8018,'参照_姫'!A:A,'参照_姫'!B:B,"見つかりません"))</f>
      </c>
      <c r="K3975" s="4">
        <v>50</v>
      </c>
      <c r="L3975" s="4">
        <v>0</v>
      </c>
      <c r="M3975" s="4"/>
      <c r="N3975" s="4"/>
      <c r="O3975" s="4"/>
      <c r="P3975" s="12" t="str">
        <f t="array" ref="P3975">IF(O3975:O8018="","",_xlfn.XLOOKUP(O3975:O8018,'参照_官位'!A:A,'参照_官位'!B:B,""))</f>
      </c>
      <c r="Q3975" s="12" t="str">
        <f t="array" ref="Q3975">IF(A3975:A8018="","",IFERROR(_xlfn.XLOOKUP(A3975:A8018,castles_state!K:K,castles_state!D:D)&amp;"主",IFERROR(_xlfn.XLOOKUP(A3975:A8018,kunishuClan!D:D,kunishuClan!B:B)&amp;"当主","")))</f>
      </c>
    </row>
    <row r="3976" ht="15.75" customHeight="1">
      <c r="A3976" s="4">
        <v>2057007</v>
      </c>
      <c r="B3976" s="12" t="str">
        <f t="array" ref="B3976">IF(A3976:A8019="","",_xlfn.XLOOKUP(A3976:A8019,'参照_武将'!A:A,'参照_武将'!B:B,"見つかりません"))</f>
      </c>
      <c r="C3976" s="4" t="s">
        <v>6044</v>
      </c>
      <c r="D3976" s="4">
        <v>0</v>
      </c>
      <c r="E3976" s="12" t="str">
        <f t="array" ref="E3976">IF(D3976:D8019="","",IFERROR(_xlfn.XLOOKUP(D3976:D8019,'参照_勢力'!A:A,'参照_勢力'!B:B),IFERROR(_xlfn.XLOOKUP(F3976:F8019,kunishuClan!A:A,kunishuClan!B:B),"浪人")))</f>
      </c>
      <c r="F3976" s="4">
        <v>57</v>
      </c>
      <c r="G3976" s="4">
        <v>19</v>
      </c>
      <c r="H3976" s="12" t="str">
        <f t="array" ref="H3976">IF(G3976:G8019="","",_xlfn.XLOOKUP(G3976:G8019,castles_state!A:A,castles_state!D:D,"見つかりません"))</f>
      </c>
      <c r="I3976" s="4"/>
      <c r="J3976" s="12" t="str">
        <f t="array" ref="J3976">IF(I3976:I8019="","",_xlfn.XLOOKUP(I3976:I8019,'参照_姫'!A:A,'参照_姫'!B:B,"見つかりません"))</f>
      </c>
      <c r="K3976" s="4">
        <v>50</v>
      </c>
      <c r="L3976" s="4">
        <v>0</v>
      </c>
      <c r="M3976" s="4"/>
      <c r="N3976" s="4"/>
      <c r="O3976" s="4"/>
      <c r="P3976" s="12" t="str">
        <f t="array" ref="P3976">IF(O3976:O8019="","",_xlfn.XLOOKUP(O3976:O8019,'参照_官位'!A:A,'参照_官位'!B:B,""))</f>
      </c>
      <c r="Q3976" s="12" t="str">
        <f t="array" ref="Q3976">IF(A3976:A8019="","",IFERROR(_xlfn.XLOOKUP(A3976:A8019,castles_state!K:K,castles_state!D:D)&amp;"主",IFERROR(_xlfn.XLOOKUP(A3976:A8019,kunishuClan!D:D,kunishuClan!B:B)&amp;"当主","")))</f>
      </c>
    </row>
    <row r="3977" ht="15.75" customHeight="1">
      <c r="A3977" s="4">
        <v>2058001</v>
      </c>
      <c r="B3977" s="12" t="str">
        <f t="array" ref="B3977">IF(A3977:A8020="","",_xlfn.XLOOKUP(A3977:A8020,'参照_武将'!A:A,'参照_武将'!B:B,"見つかりません"))</f>
      </c>
      <c r="C3977" s="4" t="s">
        <v>6045</v>
      </c>
      <c r="D3977" s="4">
        <v>0</v>
      </c>
      <c r="E3977" s="12" t="str">
        <f t="array" ref="E3977">IF(D3977:D8020="","",IFERROR(_xlfn.XLOOKUP(D3977:D8020,'参照_勢力'!A:A,'参照_勢力'!B:B),IFERROR(_xlfn.XLOOKUP(F3977:F8020,kunishuClan!A:A,kunishuClan!B:B),"浪人")))</f>
      </c>
      <c r="F3977" s="4">
        <v>58</v>
      </c>
      <c r="G3977" s="4">
        <v>158</v>
      </c>
      <c r="H3977" s="12" t="str">
        <f t="array" ref="H3977">IF(G3977:G8020="","",_xlfn.XLOOKUP(G3977:G8020,castles_state!A:A,castles_state!D:D,"見つかりません"))</f>
      </c>
      <c r="I3977" s="4"/>
      <c r="J3977" s="12" t="str">
        <f t="array" ref="J3977">IF(I3977:I8020="","",_xlfn.XLOOKUP(I3977:I8020,'参照_姫'!A:A,'参照_姫'!B:B,"見つかりません"))</f>
      </c>
      <c r="K3977" s="4">
        <v>50</v>
      </c>
      <c r="L3977" s="4">
        <v>300</v>
      </c>
      <c r="M3977" s="4"/>
      <c r="N3977" s="4"/>
      <c r="O3977" s="4"/>
      <c r="P3977" s="12" t="str">
        <f t="array" ref="P3977">IF(O3977:O8020="","",_xlfn.XLOOKUP(O3977:O8020,'参照_官位'!A:A,'参照_官位'!B:B,""))</f>
      </c>
      <c r="Q3977" s="12" t="str">
        <f t="array" ref="Q3977">IF(A3977:A8020="","",IFERROR(_xlfn.XLOOKUP(A3977:A8020,castles_state!K:K,castles_state!D:D)&amp;"主",IFERROR(_xlfn.XLOOKUP(A3977:A8020,kunishuClan!D:D,kunishuClan!B:B)&amp;"当主","")))</f>
      </c>
    </row>
    <row r="3978" ht="15.75" customHeight="1">
      <c r="A3978" s="4">
        <v>2058002</v>
      </c>
      <c r="B3978" s="12" t="str">
        <f t="array" ref="B3978">IF(A3978:A8021="","",_xlfn.XLOOKUP(A3978:A8021,'参照_武将'!A:A,'参照_武将'!B:B,"見つかりません"))</f>
      </c>
      <c r="C3978" s="4" t="s">
        <v>6045</v>
      </c>
      <c r="D3978" s="4">
        <v>0</v>
      </c>
      <c r="E3978" s="12" t="str">
        <f t="array" ref="E3978">IF(D3978:D8021="","",IFERROR(_xlfn.XLOOKUP(D3978:D8021,'参照_勢力'!A:A,'参照_勢力'!B:B),IFERROR(_xlfn.XLOOKUP(F3978:F8021,kunishuClan!A:A,kunishuClan!B:B),"浪人")))</f>
      </c>
      <c r="F3978" s="4">
        <v>58</v>
      </c>
      <c r="G3978" s="4">
        <v>158</v>
      </c>
      <c r="H3978" s="12" t="str">
        <f t="array" ref="H3978">IF(G3978:G8021="","",_xlfn.XLOOKUP(G3978:G8021,castles_state!A:A,castles_state!D:D,"見つかりません"))</f>
      </c>
      <c r="I3978" s="4"/>
      <c r="J3978" s="12" t="str">
        <f t="array" ref="J3978">IF(I3978:I8021="","",_xlfn.XLOOKUP(I3978:I8021,'参照_姫'!A:A,'参照_姫'!B:B,"見つかりません"))</f>
      </c>
      <c r="K3978" s="4">
        <v>50</v>
      </c>
      <c r="L3978" s="4">
        <v>0</v>
      </c>
      <c r="M3978" s="4"/>
      <c r="N3978" s="4"/>
      <c r="O3978" s="4"/>
      <c r="P3978" s="12" t="str">
        <f t="array" ref="P3978">IF(O3978:O8021="","",_xlfn.XLOOKUP(O3978:O8021,'参照_官位'!A:A,'参照_官位'!B:B,""))</f>
      </c>
      <c r="Q3978" s="12" t="str">
        <f t="array" ref="Q3978">IF(A3978:A8021="","",IFERROR(_xlfn.XLOOKUP(A3978:A8021,castles_state!K:K,castles_state!D:D)&amp;"主",IFERROR(_xlfn.XLOOKUP(A3978:A8021,kunishuClan!D:D,kunishuClan!B:B)&amp;"当主","")))</f>
      </c>
    </row>
    <row r="3979" ht="15.75" customHeight="1">
      <c r="A3979" s="4">
        <v>2058003</v>
      </c>
      <c r="B3979" s="12" t="str">
        <f t="array" ref="B3979">IF(A3979:A8022="","",_xlfn.XLOOKUP(A3979:A8022,'参照_武将'!A:A,'参照_武将'!B:B,"見つかりません"))</f>
      </c>
      <c r="C3979" s="4" t="s">
        <v>6045</v>
      </c>
      <c r="D3979" s="4">
        <v>0</v>
      </c>
      <c r="E3979" s="12" t="str">
        <f t="array" ref="E3979">IF(D3979:D8022="","",IFERROR(_xlfn.XLOOKUP(D3979:D8022,'参照_勢力'!A:A,'参照_勢力'!B:B),IFERROR(_xlfn.XLOOKUP(F3979:F8022,kunishuClan!A:A,kunishuClan!B:B),"浪人")))</f>
      </c>
      <c r="F3979" s="4">
        <v>58</v>
      </c>
      <c r="G3979" s="4">
        <v>158</v>
      </c>
      <c r="H3979" s="12" t="str">
        <f t="array" ref="H3979">IF(G3979:G8022="","",_xlfn.XLOOKUP(G3979:G8022,castles_state!A:A,castles_state!D:D,"見つかりません"))</f>
      </c>
      <c r="I3979" s="4"/>
      <c r="J3979" s="12" t="str">
        <f t="array" ref="J3979">IF(I3979:I8022="","",_xlfn.XLOOKUP(I3979:I8022,'参照_姫'!A:A,'参照_姫'!B:B,"見つかりません"))</f>
      </c>
      <c r="K3979" s="4">
        <v>50</v>
      </c>
      <c r="L3979" s="4">
        <v>0</v>
      </c>
      <c r="M3979" s="4"/>
      <c r="N3979" s="4"/>
      <c r="O3979" s="4"/>
      <c r="P3979" s="12" t="str">
        <f t="array" ref="P3979">IF(O3979:O8022="","",_xlfn.XLOOKUP(O3979:O8022,'参照_官位'!A:A,'参照_官位'!B:B,""))</f>
      </c>
      <c r="Q3979" s="12" t="str">
        <f t="array" ref="Q3979">IF(A3979:A8022="","",IFERROR(_xlfn.XLOOKUP(A3979:A8022,castles_state!K:K,castles_state!D:D)&amp;"主",IFERROR(_xlfn.XLOOKUP(A3979:A8022,kunishuClan!D:D,kunishuClan!B:B)&amp;"当主","")))</f>
      </c>
    </row>
    <row r="3980" ht="15.75" customHeight="1">
      <c r="A3980" s="4">
        <v>2058004</v>
      </c>
      <c r="B3980" s="12" t="str">
        <f t="array" ref="B3980">IF(A3980:A8023="","",_xlfn.XLOOKUP(A3980:A8023,'参照_武将'!A:A,'参照_武将'!B:B,"見つかりません"))</f>
      </c>
      <c r="C3980" s="4" t="s">
        <v>6045</v>
      </c>
      <c r="D3980" s="4">
        <v>0</v>
      </c>
      <c r="E3980" s="12" t="str">
        <f t="array" ref="E3980">IF(D3980:D8023="","",IFERROR(_xlfn.XLOOKUP(D3980:D8023,'参照_勢力'!A:A,'参照_勢力'!B:B),IFERROR(_xlfn.XLOOKUP(F3980:F8023,kunishuClan!A:A,kunishuClan!B:B),"浪人")))</f>
      </c>
      <c r="F3980" s="4">
        <v>58</v>
      </c>
      <c r="G3980" s="4">
        <v>158</v>
      </c>
      <c r="H3980" s="12" t="str">
        <f t="array" ref="H3980">IF(G3980:G8023="","",_xlfn.XLOOKUP(G3980:G8023,castles_state!A:A,castles_state!D:D,"見つかりません"))</f>
      </c>
      <c r="I3980" s="4"/>
      <c r="J3980" s="12" t="str">
        <f t="array" ref="J3980">IF(I3980:I8023="","",_xlfn.XLOOKUP(I3980:I8023,'参照_姫'!A:A,'参照_姫'!B:B,"見つかりません"))</f>
      </c>
      <c r="K3980" s="4">
        <v>50</v>
      </c>
      <c r="L3980" s="4">
        <v>0</v>
      </c>
      <c r="M3980" s="4"/>
      <c r="N3980" s="4"/>
      <c r="O3980" s="4"/>
      <c r="P3980" s="12" t="str">
        <f t="array" ref="P3980">IF(O3980:O8023="","",_xlfn.XLOOKUP(O3980:O8023,'参照_官位'!A:A,'参照_官位'!B:B,""))</f>
      </c>
      <c r="Q3980" s="12" t="str">
        <f t="array" ref="Q3980">IF(A3980:A8023="","",IFERROR(_xlfn.XLOOKUP(A3980:A8023,castles_state!K:K,castles_state!D:D)&amp;"主",IFERROR(_xlfn.XLOOKUP(A3980:A8023,kunishuClan!D:D,kunishuClan!B:B)&amp;"当主","")))</f>
      </c>
    </row>
    <row r="3981" ht="15.75" customHeight="1">
      <c r="A3981" s="4">
        <v>2059001</v>
      </c>
      <c r="B3981" s="12" t="str">
        <f t="array" ref="B3981">IF(A3981:A8024="","",_xlfn.XLOOKUP(A3981:A8024,'参照_武将'!A:A,'参照_武将'!B:B,"見つかりません"))</f>
      </c>
      <c r="C3981" s="4" t="s">
        <v>6046</v>
      </c>
      <c r="D3981" s="4">
        <v>0</v>
      </c>
      <c r="E3981" s="12" t="str">
        <f t="array" ref="E3981">IF(D3981:D8024="","",IFERROR(_xlfn.XLOOKUP(D3981:D8024,'参照_勢力'!A:A,'参照_勢力'!B:B),IFERROR(_xlfn.XLOOKUP(F3981:F8024,kunishuClan!A:A,kunishuClan!B:B),"浪人")))</f>
      </c>
      <c r="F3981" s="4">
        <v>59</v>
      </c>
      <c r="G3981" s="4">
        <v>148</v>
      </c>
      <c r="H3981" s="12" t="str">
        <f t="array" ref="H3981">IF(G3981:G8024="","",_xlfn.XLOOKUP(G3981:G8024,castles_state!A:A,castles_state!D:D,"見つかりません"))</f>
      </c>
      <c r="I3981" s="4"/>
      <c r="J3981" s="12" t="str">
        <f t="array" ref="J3981">IF(I3981:I8024="","",_xlfn.XLOOKUP(I3981:I8024,'参照_姫'!A:A,'参照_姫'!B:B,"見つかりません"))</f>
      </c>
      <c r="K3981" s="4">
        <v>50</v>
      </c>
      <c r="L3981" s="4">
        <v>300</v>
      </c>
      <c r="M3981" s="4"/>
      <c r="N3981" s="4"/>
      <c r="O3981" s="4"/>
      <c r="P3981" s="12" t="str">
        <f t="array" ref="P3981">IF(O3981:O8024="","",_xlfn.XLOOKUP(O3981:O8024,'参照_官位'!A:A,'参照_官位'!B:B,""))</f>
      </c>
      <c r="Q3981" s="12" t="str">
        <f t="array" ref="Q3981">IF(A3981:A8024="","",IFERROR(_xlfn.XLOOKUP(A3981:A8024,castles_state!K:K,castles_state!D:D)&amp;"主",IFERROR(_xlfn.XLOOKUP(A3981:A8024,kunishuClan!D:D,kunishuClan!B:B)&amp;"当主","")))</f>
      </c>
    </row>
    <row r="3982" ht="15.75" customHeight="1">
      <c r="A3982" s="4">
        <v>2059002</v>
      </c>
      <c r="B3982" s="12" t="str">
        <f t="array" ref="B3982">IF(A3982:A8025="","",_xlfn.XLOOKUP(A3982:A8025,'参照_武将'!A:A,'参照_武将'!B:B,"見つかりません"))</f>
      </c>
      <c r="C3982" s="4" t="s">
        <v>6046</v>
      </c>
      <c r="D3982" s="4">
        <v>0</v>
      </c>
      <c r="E3982" s="12" t="str">
        <f t="array" ref="E3982">IF(D3982:D8025="","",IFERROR(_xlfn.XLOOKUP(D3982:D8025,'参照_勢力'!A:A,'参照_勢力'!B:B),IFERROR(_xlfn.XLOOKUP(F3982:F8025,kunishuClan!A:A,kunishuClan!B:B),"浪人")))</f>
      </c>
      <c r="F3982" s="4">
        <v>59</v>
      </c>
      <c r="G3982" s="4">
        <v>148</v>
      </c>
      <c r="H3982" s="12" t="str">
        <f t="array" ref="H3982">IF(G3982:G8025="","",_xlfn.XLOOKUP(G3982:G8025,castles_state!A:A,castles_state!D:D,"見つかりません"))</f>
      </c>
      <c r="I3982" s="4"/>
      <c r="J3982" s="12" t="str">
        <f t="array" ref="J3982">IF(I3982:I8025="","",_xlfn.XLOOKUP(I3982:I8025,'参照_姫'!A:A,'参照_姫'!B:B,"見つかりません"))</f>
      </c>
      <c r="K3982" s="4">
        <v>50</v>
      </c>
      <c r="L3982" s="4">
        <v>0</v>
      </c>
      <c r="M3982" s="4"/>
      <c r="N3982" s="4"/>
      <c r="O3982" s="4"/>
      <c r="P3982" s="12" t="str">
        <f t="array" ref="P3982">IF(O3982:O8025="","",_xlfn.XLOOKUP(O3982:O8025,'参照_官位'!A:A,'参照_官位'!B:B,""))</f>
      </c>
      <c r="Q3982" s="12" t="str">
        <f t="array" ref="Q3982">IF(A3982:A8025="","",IFERROR(_xlfn.XLOOKUP(A3982:A8025,castles_state!K:K,castles_state!D:D)&amp;"主",IFERROR(_xlfn.XLOOKUP(A3982:A8025,kunishuClan!D:D,kunishuClan!B:B)&amp;"当主","")))</f>
      </c>
    </row>
    <row r="3983" ht="15.75" customHeight="1">
      <c r="A3983" s="4">
        <v>2059003</v>
      </c>
      <c r="B3983" s="12" t="str">
        <f t="array" ref="B3983">IF(A3983:A8026="","",_xlfn.XLOOKUP(A3983:A8026,'参照_武将'!A:A,'参照_武将'!B:B,"見つかりません"))</f>
      </c>
      <c r="C3983" s="4" t="s">
        <v>6046</v>
      </c>
      <c r="D3983" s="4">
        <v>0</v>
      </c>
      <c r="E3983" s="12" t="str">
        <f t="array" ref="E3983">IF(D3983:D8026="","",IFERROR(_xlfn.XLOOKUP(D3983:D8026,'参照_勢力'!A:A,'参照_勢力'!B:B),IFERROR(_xlfn.XLOOKUP(F3983:F8026,kunishuClan!A:A,kunishuClan!B:B),"浪人")))</f>
      </c>
      <c r="F3983" s="4">
        <v>59</v>
      </c>
      <c r="G3983" s="4">
        <v>148</v>
      </c>
      <c r="H3983" s="12" t="str">
        <f t="array" ref="H3983">IF(G3983:G8026="","",_xlfn.XLOOKUP(G3983:G8026,castles_state!A:A,castles_state!D:D,"見つかりません"))</f>
      </c>
      <c r="I3983" s="4"/>
      <c r="J3983" s="12" t="str">
        <f t="array" ref="J3983">IF(I3983:I8026="","",_xlfn.XLOOKUP(I3983:I8026,'参照_姫'!A:A,'参照_姫'!B:B,"見つかりません"))</f>
      </c>
      <c r="K3983" s="4">
        <v>50</v>
      </c>
      <c r="L3983" s="4">
        <v>0</v>
      </c>
      <c r="M3983" s="4"/>
      <c r="N3983" s="4"/>
      <c r="O3983" s="4"/>
      <c r="P3983" s="12" t="str">
        <f t="array" ref="P3983">IF(O3983:O8026="","",_xlfn.XLOOKUP(O3983:O8026,'参照_官位'!A:A,'参照_官位'!B:B,""))</f>
      </c>
      <c r="Q3983" s="12" t="str">
        <f t="array" ref="Q3983">IF(A3983:A8026="","",IFERROR(_xlfn.XLOOKUP(A3983:A8026,castles_state!K:K,castles_state!D:D)&amp;"主",IFERROR(_xlfn.XLOOKUP(A3983:A8026,kunishuClan!D:D,kunishuClan!B:B)&amp;"当主","")))</f>
      </c>
    </row>
    <row r="3984" ht="15.75" customHeight="1">
      <c r="A3984" s="4">
        <v>2060001</v>
      </c>
      <c r="B3984" s="12" t="str">
        <f t="array" ref="B3984">IF(A3984:A8025="","",_xlfn.XLOOKUP(A3984:A8025,'参照_武将'!A:A,'参照_武将'!B:B,"見つかりません"))</f>
      </c>
      <c r="C3984" s="4" t="s">
        <v>6047</v>
      </c>
      <c r="D3984" s="4">
        <v>0</v>
      </c>
      <c r="E3984" s="12" t="str">
        <f t="array" ref="E3984">IF(D3984:D8025="","",IFERROR(_xlfn.XLOOKUP(D3984:D8025,'参照_勢力'!A:A,'参照_勢力'!B:B),IFERROR(_xlfn.XLOOKUP(F3984:F8025,kunishuClan!A:A,kunishuClan!B:B),"浪人")))</f>
      </c>
      <c r="F3984" s="4">
        <v>60</v>
      </c>
      <c r="G3984" s="4">
        <v>175</v>
      </c>
      <c r="H3984" s="12" t="str">
        <f t="array" ref="H3984">IF(G3984:G8025="","",_xlfn.XLOOKUP(G3984:G8025,castles_state!A:A,castles_state!D:D,"見つかりません"))</f>
      </c>
      <c r="I3984" s="4"/>
      <c r="J3984" s="12" t="str">
        <f t="array" ref="J3984">IF(I3984:I8025="","",_xlfn.XLOOKUP(I3984:I8025,'参照_姫'!A:A,'参照_姫'!B:B,"見つかりません"))</f>
      </c>
      <c r="K3984" s="4">
        <v>50</v>
      </c>
      <c r="L3984" s="4">
        <v>0</v>
      </c>
      <c r="M3984" s="4"/>
      <c r="N3984" s="4"/>
      <c r="O3984" s="4"/>
      <c r="P3984" s="12" t="str">
        <f t="array" ref="P3984">IF(O3984:O8025="","",_xlfn.XLOOKUP(O3984:O8025,'参照_官位'!A:A,'参照_官位'!B:B,""))</f>
      </c>
      <c r="Q3984" s="12" t="str">
        <f t="array" ref="Q3984">IF(A3984:A8025="","",IFERROR(_xlfn.XLOOKUP(A3984:A8025,castles_state!K:K,castles_state!D:D)&amp;"主",IFERROR(_xlfn.XLOOKUP(A3984:A8025,kunishuClan!D:D,kunishuClan!B:B)&amp;"当主","")))</f>
      </c>
    </row>
    <row r="3985" ht="15.75" customHeight="1">
      <c r="A3985" s="4">
        <v>2060002</v>
      </c>
      <c r="B3985" s="12" t="str">
        <f t="array" ref="B3985">IF(A3985:A8026="","",_xlfn.XLOOKUP(A3985:A8026,'参照_武将'!A:A,'参照_武将'!B:B,"見つかりません"))</f>
      </c>
      <c r="C3985" s="4" t="s">
        <v>6047</v>
      </c>
      <c r="D3985" s="4">
        <v>0</v>
      </c>
      <c r="E3985" s="12" t="str">
        <f t="array" ref="E3985">IF(D3985:D8026="","",IFERROR(_xlfn.XLOOKUP(D3985:D8026,'参照_勢力'!A:A,'参照_勢力'!B:B),IFERROR(_xlfn.XLOOKUP(F3985:F8026,kunishuClan!A:A,kunishuClan!B:B),"浪人")))</f>
      </c>
      <c r="F3985" s="4">
        <v>60</v>
      </c>
      <c r="G3985" s="4">
        <v>175</v>
      </c>
      <c r="H3985" s="12" t="str">
        <f t="array" ref="H3985">IF(G3985:G8026="","",_xlfn.XLOOKUP(G3985:G8026,castles_state!A:A,castles_state!D:D,"見つかりません"))</f>
      </c>
      <c r="I3985" s="4"/>
      <c r="J3985" s="12" t="str">
        <f t="array" ref="J3985">IF(I3985:I8026="","",_xlfn.XLOOKUP(I3985:I8026,'参照_姫'!A:A,'参照_姫'!B:B,"見つかりません"))</f>
      </c>
      <c r="K3985" s="4">
        <v>50</v>
      </c>
      <c r="L3985" s="4">
        <v>0</v>
      </c>
      <c r="M3985" s="4"/>
      <c r="N3985" s="4"/>
      <c r="O3985" s="4"/>
      <c r="P3985" s="12" t="str">
        <f t="array" ref="P3985">IF(O3985:O8026="","",_xlfn.XLOOKUP(O3985:O8026,'参照_官位'!A:A,'参照_官位'!B:B,""))</f>
      </c>
      <c r="Q3985" s="12" t="str">
        <f t="array" ref="Q3985">IF(A3985:A8026="","",IFERROR(_xlfn.XLOOKUP(A3985:A8026,castles_state!K:K,castles_state!D:D)&amp;"主",IFERROR(_xlfn.XLOOKUP(A3985:A8026,kunishuClan!D:D,kunishuClan!B:B)&amp;"当主","")))</f>
      </c>
    </row>
    <row r="3986" ht="15.75" customHeight="1">
      <c r="A3986" s="4">
        <v>2060003</v>
      </c>
      <c r="B3986" s="12" t="str">
        <f t="array" ref="B3986">IF(A3986:A8027="","",_xlfn.XLOOKUP(A3986:A8027,'参照_武将'!A:A,'参照_武将'!B:B,"見つかりません"))</f>
      </c>
      <c r="C3986" s="4" t="s">
        <v>6047</v>
      </c>
      <c r="D3986" s="4">
        <v>0</v>
      </c>
      <c r="E3986" s="12" t="str">
        <f t="array" ref="E3986">IF(D3986:D8027="","",IFERROR(_xlfn.XLOOKUP(D3986:D8027,'参照_勢力'!A:A,'参照_勢力'!B:B),IFERROR(_xlfn.XLOOKUP(F3986:F8027,kunishuClan!A:A,kunishuClan!B:B),"浪人")))</f>
      </c>
      <c r="F3986" s="4">
        <v>60</v>
      </c>
      <c r="G3986" s="4">
        <v>175</v>
      </c>
      <c r="H3986" s="12" t="str">
        <f t="array" ref="H3986">IF(G3986:G8027="","",_xlfn.XLOOKUP(G3986:G8027,castles_state!A:A,castles_state!D:D,"見つかりません"))</f>
      </c>
      <c r="I3986" s="4"/>
      <c r="J3986" s="12" t="str">
        <f t="array" ref="J3986">IF(I3986:I8027="","",_xlfn.XLOOKUP(I3986:I8027,'参照_姫'!A:A,'参照_姫'!B:B,"見つかりません"))</f>
      </c>
      <c r="K3986" s="4">
        <v>50</v>
      </c>
      <c r="L3986" s="4">
        <v>0</v>
      </c>
      <c r="M3986" s="4"/>
      <c r="N3986" s="4"/>
      <c r="O3986" s="4"/>
      <c r="P3986" s="12" t="str">
        <f t="array" ref="P3986">IF(O3986:O8027="","",_xlfn.XLOOKUP(O3986:O8027,'参照_官位'!A:A,'参照_官位'!B:B,""))</f>
      </c>
      <c r="Q3986" s="12" t="str">
        <f t="array" ref="Q3986">IF(A3986:A8027="","",IFERROR(_xlfn.XLOOKUP(A3986:A8027,castles_state!K:K,castles_state!D:D)&amp;"主",IFERROR(_xlfn.XLOOKUP(A3986:A8027,kunishuClan!D:D,kunishuClan!B:B)&amp;"当主","")))</f>
      </c>
    </row>
    <row r="3987" ht="15.75" customHeight="1">
      <c r="A3987" s="4">
        <v>2060004</v>
      </c>
      <c r="B3987" s="12" t="str">
        <f t="array" ref="B3987">IF(A3987:A8028="","",_xlfn.XLOOKUP(A3987:A8028,'参照_武将'!A:A,'参照_武将'!B:B,"見つかりません"))</f>
      </c>
      <c r="C3987" s="4" t="s">
        <v>6047</v>
      </c>
      <c r="D3987" s="4">
        <v>0</v>
      </c>
      <c r="E3987" s="12" t="str">
        <f t="array" ref="E3987">IF(D3987:D8028="","",IFERROR(_xlfn.XLOOKUP(D3987:D8028,'参照_勢力'!A:A,'参照_勢力'!B:B),IFERROR(_xlfn.XLOOKUP(F3987:F8028,kunishuClan!A:A,kunishuClan!B:B),"浪人")))</f>
      </c>
      <c r="F3987" s="4">
        <v>60</v>
      </c>
      <c r="G3987" s="4">
        <v>175</v>
      </c>
      <c r="H3987" s="12" t="str">
        <f t="array" ref="H3987">IF(G3987:G8028="","",_xlfn.XLOOKUP(G3987:G8028,castles_state!A:A,castles_state!D:D,"見つかりません"))</f>
      </c>
      <c r="I3987" s="4"/>
      <c r="J3987" s="12" t="str">
        <f t="array" ref="J3987">IF(I3987:I8028="","",_xlfn.XLOOKUP(I3987:I8028,'参照_姫'!A:A,'参照_姫'!B:B,"見つかりません"))</f>
      </c>
      <c r="K3987" s="4">
        <v>50</v>
      </c>
      <c r="L3987" s="4">
        <v>200</v>
      </c>
      <c r="M3987" s="4"/>
      <c r="N3987" s="4"/>
      <c r="O3987" s="4"/>
      <c r="P3987" s="12" t="str">
        <f t="array" ref="P3987">IF(O3987:O8028="","",_xlfn.XLOOKUP(O3987:O8028,'参照_官位'!A:A,'参照_官位'!B:B,""))</f>
      </c>
      <c r="Q3987" s="12" t="str">
        <f t="array" ref="Q3987">IF(A3987:A8028="","",IFERROR(_xlfn.XLOOKUP(A3987:A8028,castles_state!K:K,castles_state!D:D)&amp;"主",IFERROR(_xlfn.XLOOKUP(A3987:A8028,kunishuClan!D:D,kunishuClan!B:B)&amp;"当主","")))</f>
      </c>
    </row>
    <row r="3988" ht="15.75" customHeight="1">
      <c r="A3988" s="4">
        <v>2060005</v>
      </c>
      <c r="B3988" s="12" t="str">
        <f t="array" ref="B3988">IF(A3988:A8029="","",_xlfn.XLOOKUP(A3988:A8029,'参照_武将'!A:A,'参照_武将'!B:B,"見つかりません"))</f>
      </c>
      <c r="C3988" s="4" t="s">
        <v>6047</v>
      </c>
      <c r="D3988" s="4">
        <v>0</v>
      </c>
      <c r="E3988" s="12" t="str">
        <f t="array" ref="E3988">IF(D3988:D8029="","",IFERROR(_xlfn.XLOOKUP(D3988:D8029,'参照_勢力'!A:A,'参照_勢力'!B:B),IFERROR(_xlfn.XLOOKUP(F3988:F8029,kunishuClan!A:A,kunishuClan!B:B),"浪人")))</f>
      </c>
      <c r="F3988" s="4">
        <v>60</v>
      </c>
      <c r="G3988" s="4">
        <v>175</v>
      </c>
      <c r="H3988" s="12" t="str">
        <f t="array" ref="H3988">IF(G3988:G8029="","",_xlfn.XLOOKUP(G3988:G8029,castles_state!A:A,castles_state!D:D,"見つかりません"))</f>
      </c>
      <c r="I3988" s="4"/>
      <c r="J3988" s="12" t="str">
        <f t="array" ref="J3988">IF(I3988:I8029="","",_xlfn.XLOOKUP(I3988:I8029,'参照_姫'!A:A,'参照_姫'!B:B,"見つかりません"))</f>
      </c>
      <c r="K3988" s="4">
        <v>50</v>
      </c>
      <c r="L3988" s="4">
        <v>0</v>
      </c>
      <c r="M3988" s="4"/>
      <c r="N3988" s="4"/>
      <c r="O3988" s="4"/>
      <c r="P3988" s="12" t="str">
        <f t="array" ref="P3988">IF(O3988:O8029="","",_xlfn.XLOOKUP(O3988:O8029,'参照_官位'!A:A,'参照_官位'!B:B,""))</f>
      </c>
      <c r="Q3988" s="12" t="str">
        <f t="array" ref="Q3988">IF(A3988:A8029="","",IFERROR(_xlfn.XLOOKUP(A3988:A8029,castles_state!K:K,castles_state!D:D)&amp;"主",IFERROR(_xlfn.XLOOKUP(A3988:A8029,kunishuClan!D:D,kunishuClan!B:B)&amp;"当主","")))</f>
      </c>
    </row>
    <row r="3989" ht="15.75" customHeight="1">
      <c r="A3989" s="4">
        <v>2060006</v>
      </c>
      <c r="B3989" s="12" t="str">
        <f t="array" ref="B3989">IF(A3989:A8030="","",_xlfn.XLOOKUP(A3989:A8030,'参照_武将'!A:A,'参照_武将'!B:B,"見つかりません"))</f>
      </c>
      <c r="C3989" s="4" t="s">
        <v>6047</v>
      </c>
      <c r="D3989" s="4">
        <v>0</v>
      </c>
      <c r="E3989" s="12" t="str">
        <f t="array" ref="E3989">IF(D3989:D8030="","",IFERROR(_xlfn.XLOOKUP(D3989:D8030,'参照_勢力'!A:A,'参照_勢力'!B:B),IFERROR(_xlfn.XLOOKUP(F3989:F8030,kunishuClan!A:A,kunishuClan!B:B),"浪人")))</f>
      </c>
      <c r="F3989" s="4">
        <v>60</v>
      </c>
      <c r="G3989" s="4">
        <v>175</v>
      </c>
      <c r="H3989" s="12" t="str">
        <f t="array" ref="H3989">IF(G3989:G8030="","",_xlfn.XLOOKUP(G3989:G8030,castles_state!A:A,castles_state!D:D,"見つかりません"))</f>
      </c>
      <c r="I3989" s="4"/>
      <c r="J3989" s="12" t="str">
        <f t="array" ref="J3989">IF(I3989:I8030="","",_xlfn.XLOOKUP(I3989:I8030,'参照_姫'!A:A,'参照_姫'!B:B,"見つかりません"))</f>
      </c>
      <c r="K3989" s="4">
        <v>50</v>
      </c>
      <c r="L3989" s="4">
        <v>0</v>
      </c>
      <c r="M3989" s="4"/>
      <c r="N3989" s="4"/>
      <c r="O3989" s="4"/>
      <c r="P3989" s="12" t="str">
        <f t="array" ref="P3989">IF(O3989:O8030="","",_xlfn.XLOOKUP(O3989:O8030,'参照_官位'!A:A,'参照_官位'!B:B,""))</f>
      </c>
      <c r="Q3989" s="12" t="str">
        <f t="array" ref="Q3989">IF(A3989:A8030="","",IFERROR(_xlfn.XLOOKUP(A3989:A8030,castles_state!K:K,castles_state!D:D)&amp;"主",IFERROR(_xlfn.XLOOKUP(A3989:A8030,kunishuClan!D:D,kunishuClan!B:B)&amp;"当主","")))</f>
      </c>
    </row>
    <row r="3990" ht="15.75" customHeight="1">
      <c r="A3990" s="4">
        <v>2060007</v>
      </c>
      <c r="B3990" s="12" t="str">
        <f t="array" ref="B3990">IF(A3990:A8031="","",_xlfn.XLOOKUP(A3990:A8031,'参照_武将'!A:A,'参照_武将'!B:B,"見つかりません"))</f>
      </c>
      <c r="C3990" s="4" t="s">
        <v>6047</v>
      </c>
      <c r="D3990" s="4">
        <v>0</v>
      </c>
      <c r="E3990" s="12" t="str">
        <f t="array" ref="E3990">IF(D3990:D8031="","",IFERROR(_xlfn.XLOOKUP(D3990:D8031,'参照_勢力'!A:A,'参照_勢力'!B:B),IFERROR(_xlfn.XLOOKUP(F3990:F8031,kunishuClan!A:A,kunishuClan!B:B),"浪人")))</f>
      </c>
      <c r="F3990" s="4">
        <v>60</v>
      </c>
      <c r="G3990" s="4">
        <v>175</v>
      </c>
      <c r="H3990" s="12" t="str">
        <f t="array" ref="H3990">IF(G3990:G8031="","",_xlfn.XLOOKUP(G3990:G8031,castles_state!A:A,castles_state!D:D,"見つかりません"))</f>
      </c>
      <c r="I3990" s="4"/>
      <c r="J3990" s="12" t="str">
        <f t="array" ref="J3990">IF(I3990:I8031="","",_xlfn.XLOOKUP(I3990:I8031,'参照_姫'!A:A,'参照_姫'!B:B,"見つかりません"))</f>
      </c>
      <c r="K3990" s="4">
        <v>50</v>
      </c>
      <c r="L3990" s="4">
        <v>0</v>
      </c>
      <c r="M3990" s="4"/>
      <c r="N3990" s="4"/>
      <c r="O3990" s="4"/>
      <c r="P3990" s="12" t="str">
        <f t="array" ref="P3990">IF(O3990:O8031="","",_xlfn.XLOOKUP(O3990:O8031,'参照_官位'!A:A,'参照_官位'!B:B,""))</f>
      </c>
      <c r="Q3990" s="12" t="str">
        <f t="array" ref="Q3990">IF(A3990:A8031="","",IFERROR(_xlfn.XLOOKUP(A3990:A8031,castles_state!K:K,castles_state!D:D)&amp;"主",IFERROR(_xlfn.XLOOKUP(A3990:A8031,kunishuClan!D:D,kunishuClan!B:B)&amp;"当主","")))</f>
      </c>
    </row>
    <row r="3991" ht="15.75" customHeight="1">
      <c r="A3991" s="4">
        <v>2060008</v>
      </c>
      <c r="B3991" s="12" t="str">
        <f t="array" ref="B3991">IF(A3991:A8032="","",_xlfn.XLOOKUP(A3991:A8032,'参照_武将'!A:A,'参照_武将'!B:B,"見つかりません"))</f>
      </c>
      <c r="C3991" s="4" t="s">
        <v>6047</v>
      </c>
      <c r="D3991" s="4">
        <v>0</v>
      </c>
      <c r="E3991" s="12" t="str">
        <f t="array" ref="E3991">IF(D3991:D8032="","",IFERROR(_xlfn.XLOOKUP(D3991:D8032,'参照_勢力'!A:A,'参照_勢力'!B:B),IFERROR(_xlfn.XLOOKUP(F3991:F8032,kunishuClan!A:A,kunishuClan!B:B),"浪人")))</f>
      </c>
      <c r="F3991" s="4">
        <v>60</v>
      </c>
      <c r="G3991" s="4">
        <v>175</v>
      </c>
      <c r="H3991" s="12" t="str">
        <f t="array" ref="H3991">IF(G3991:G8032="","",_xlfn.XLOOKUP(G3991:G8032,castles_state!A:A,castles_state!D:D,"見つかりません"))</f>
      </c>
      <c r="I3991" s="4"/>
      <c r="J3991" s="12" t="str">
        <f t="array" ref="J3991">IF(I3991:I8032="","",_xlfn.XLOOKUP(I3991:I8032,'参照_姫'!A:A,'参照_姫'!B:B,"見つかりません"))</f>
      </c>
      <c r="K3991" s="4">
        <v>50</v>
      </c>
      <c r="L3991" s="4">
        <v>0</v>
      </c>
      <c r="M3991" s="4"/>
      <c r="N3991" s="4"/>
      <c r="O3991" s="4"/>
      <c r="P3991" s="12" t="str">
        <f t="array" ref="P3991">IF(O3991:O8032="","",_xlfn.XLOOKUP(O3991:O8032,'参照_官位'!A:A,'参照_官位'!B:B,""))</f>
      </c>
      <c r="Q3991" s="12" t="str">
        <f t="array" ref="Q3991">IF(A3991:A8032="","",IFERROR(_xlfn.XLOOKUP(A3991:A8032,castles_state!K:K,castles_state!D:D)&amp;"主",IFERROR(_xlfn.XLOOKUP(A3991:A8032,kunishuClan!D:D,kunishuClan!B:B)&amp;"当主","")))</f>
      </c>
    </row>
    <row r="3992" ht="15.75" customHeight="1">
      <c r="A3992" s="4">
        <v>2060009</v>
      </c>
      <c r="B3992" s="12" t="str">
        <f t="array" ref="B3992">IF(A3992:A8033="","",_xlfn.XLOOKUP(A3992:A8033,'参照_武将'!A:A,'参照_武将'!B:B,"見つかりません"))</f>
      </c>
      <c r="C3992" s="4" t="s">
        <v>6047</v>
      </c>
      <c r="D3992" s="4">
        <v>0</v>
      </c>
      <c r="E3992" s="12" t="str">
        <f t="array" ref="E3992">IF(D3992:D8033="","",IFERROR(_xlfn.XLOOKUP(D3992:D8033,'参照_勢力'!A:A,'参照_勢力'!B:B),IFERROR(_xlfn.XLOOKUP(F3992:F8033,kunishuClan!A:A,kunishuClan!B:B),"浪人")))</f>
      </c>
      <c r="F3992" s="4">
        <v>60</v>
      </c>
      <c r="G3992" s="4">
        <v>175</v>
      </c>
      <c r="H3992" s="12" t="str">
        <f t="array" ref="H3992">IF(G3992:G8033="","",_xlfn.XLOOKUP(G3992:G8033,castles_state!A:A,castles_state!D:D,"見つかりません"))</f>
      </c>
      <c r="I3992" s="4"/>
      <c r="J3992" s="12" t="str">
        <f t="array" ref="J3992">IF(I3992:I8033="","",_xlfn.XLOOKUP(I3992:I8033,'参照_姫'!A:A,'参照_姫'!B:B,"見つかりません"))</f>
      </c>
      <c r="K3992" s="4">
        <v>50</v>
      </c>
      <c r="L3992" s="4">
        <v>0</v>
      </c>
      <c r="M3992" s="4"/>
      <c r="N3992" s="4"/>
      <c r="O3992" s="4"/>
      <c r="P3992" s="12" t="str">
        <f t="array" ref="P3992">IF(O3992:O8033="","",_xlfn.XLOOKUP(O3992:O8033,'参照_官位'!A:A,'参照_官位'!B:B,""))</f>
      </c>
      <c r="Q3992" s="12" t="str">
        <f t="array" ref="Q3992">IF(A3992:A8033="","",IFERROR(_xlfn.XLOOKUP(A3992:A8033,castles_state!K:K,castles_state!D:D)&amp;"主",IFERROR(_xlfn.XLOOKUP(A3992:A8033,kunishuClan!D:D,kunishuClan!B:B)&amp;"当主","")))</f>
      </c>
    </row>
    <row r="3993" ht="15.75" customHeight="1">
      <c r="A3993" s="4">
        <v>2061001</v>
      </c>
      <c r="B3993" s="12" t="str">
        <f t="array" ref="B3993">IF(A3993:A8034="","",_xlfn.XLOOKUP(A3993:A8034,'参照_武将'!A:A,'参照_武将'!B:B,"見つかりません"))</f>
      </c>
      <c r="C3993" s="4" t="s">
        <v>6048</v>
      </c>
      <c r="D3993" s="4">
        <v>0</v>
      </c>
      <c r="E3993" s="12" t="str">
        <f t="array" ref="E3993">IF(D3993:D8034="","",IFERROR(_xlfn.XLOOKUP(D3993:D8034,'参照_勢力'!A:A,'参照_勢力'!B:B),IFERROR(_xlfn.XLOOKUP(F3993:F8034,kunishuClan!A:A,kunishuClan!B:B),"浪人")))</f>
      </c>
      <c r="F3993" s="4">
        <v>61</v>
      </c>
      <c r="G3993" s="4">
        <v>175</v>
      </c>
      <c r="H3993" s="12" t="str">
        <f t="array" ref="H3993">IF(G3993:G8034="","",_xlfn.XLOOKUP(G3993:G8034,castles_state!A:A,castles_state!D:D,"見つかりません"))</f>
      </c>
      <c r="I3993" s="4"/>
      <c r="J3993" s="12" t="str">
        <f t="array" ref="J3993">IF(I3993:I8034="","",_xlfn.XLOOKUP(I3993:I8034,'参照_姫'!A:A,'参照_姫'!B:B,"見つかりません"))</f>
      </c>
      <c r="K3993" s="4">
        <v>50</v>
      </c>
      <c r="L3993" s="4">
        <v>0</v>
      </c>
      <c r="M3993" s="4"/>
      <c r="N3993" s="4"/>
      <c r="O3993" s="4"/>
      <c r="P3993" s="12" t="str">
        <f t="array" ref="P3993">IF(O3993:O8034="","",_xlfn.XLOOKUP(O3993:O8034,'参照_官位'!A:A,'参照_官位'!B:B,""))</f>
      </c>
      <c r="Q3993" s="12" t="str">
        <f t="array" ref="Q3993">IF(A3993:A8034="","",IFERROR(_xlfn.XLOOKUP(A3993:A8034,castles_state!K:K,castles_state!D:D)&amp;"主",IFERROR(_xlfn.XLOOKUP(A3993:A8034,kunishuClan!D:D,kunishuClan!B:B)&amp;"当主","")))</f>
      </c>
    </row>
    <row r="3994" ht="15.75" customHeight="1">
      <c r="A3994" s="4">
        <v>2061002</v>
      </c>
      <c r="B3994" s="12" t="str">
        <f t="array" ref="B3994">IF(A3994:A8035="","",_xlfn.XLOOKUP(A3994:A8035,'参照_武将'!A:A,'参照_武将'!B:B,"見つかりません"))</f>
      </c>
      <c r="C3994" s="4" t="s">
        <v>6048</v>
      </c>
      <c r="D3994" s="4">
        <v>0</v>
      </c>
      <c r="E3994" s="12" t="str">
        <f t="array" ref="E3994">IF(D3994:D8035="","",IFERROR(_xlfn.XLOOKUP(D3994:D8035,'参照_勢力'!A:A,'参照_勢力'!B:B),IFERROR(_xlfn.XLOOKUP(F3994:F8035,kunishuClan!A:A,kunishuClan!B:B),"浪人")))</f>
      </c>
      <c r="F3994" s="4">
        <v>61</v>
      </c>
      <c r="G3994" s="4">
        <v>175</v>
      </c>
      <c r="H3994" s="12" t="str">
        <f t="array" ref="H3994">IF(G3994:G8035="","",_xlfn.XLOOKUP(G3994:G8035,castles_state!A:A,castles_state!D:D,"見つかりません"))</f>
      </c>
      <c r="I3994" s="4"/>
      <c r="J3994" s="12" t="str">
        <f t="array" ref="J3994">IF(I3994:I8035="","",_xlfn.XLOOKUP(I3994:I8035,'参照_姫'!A:A,'参照_姫'!B:B,"見つかりません"))</f>
      </c>
      <c r="K3994" s="4">
        <v>50</v>
      </c>
      <c r="L3994" s="4">
        <v>0</v>
      </c>
      <c r="M3994" s="4"/>
      <c r="N3994" s="4"/>
      <c r="O3994" s="4"/>
      <c r="P3994" s="12" t="str">
        <f t="array" ref="P3994">IF(O3994:O8035="","",_xlfn.XLOOKUP(O3994:O8035,'参照_官位'!A:A,'参照_官位'!B:B,""))</f>
      </c>
      <c r="Q3994" s="12" t="str">
        <f t="array" ref="Q3994">IF(A3994:A8035="","",IFERROR(_xlfn.XLOOKUP(A3994:A8035,castles_state!K:K,castles_state!D:D)&amp;"主",IFERROR(_xlfn.XLOOKUP(A3994:A8035,kunishuClan!D:D,kunishuClan!B:B)&amp;"当主","")))</f>
      </c>
    </row>
    <row r="3995" ht="15.75" customHeight="1">
      <c r="A3995" s="4">
        <v>2061003</v>
      </c>
      <c r="B3995" s="12" t="str">
        <f t="array" ref="B3995">IF(A3995:A8036="","",_xlfn.XLOOKUP(A3995:A8036,'参照_武将'!A:A,'参照_武将'!B:B,"見つかりません"))</f>
      </c>
      <c r="C3995" s="4" t="s">
        <v>6048</v>
      </c>
      <c r="D3995" s="4">
        <v>0</v>
      </c>
      <c r="E3995" s="12" t="str">
        <f t="array" ref="E3995">IF(D3995:D8036="","",IFERROR(_xlfn.XLOOKUP(D3995:D8036,'参照_勢力'!A:A,'参照_勢力'!B:B),IFERROR(_xlfn.XLOOKUP(F3995:F8036,kunishuClan!A:A,kunishuClan!B:B),"浪人")))</f>
      </c>
      <c r="F3995" s="4">
        <v>61</v>
      </c>
      <c r="G3995" s="4">
        <v>175</v>
      </c>
      <c r="H3995" s="12" t="str">
        <f t="array" ref="H3995">IF(G3995:G8036="","",_xlfn.XLOOKUP(G3995:G8036,castles_state!A:A,castles_state!D:D,"見つかりません"))</f>
      </c>
      <c r="I3995" s="4"/>
      <c r="J3995" s="12" t="str">
        <f t="array" ref="J3995">IF(I3995:I8036="","",_xlfn.XLOOKUP(I3995:I8036,'参照_姫'!A:A,'参照_姫'!B:B,"見つかりません"))</f>
      </c>
      <c r="K3995" s="4">
        <v>50</v>
      </c>
      <c r="L3995" s="4">
        <v>0</v>
      </c>
      <c r="M3995" s="4"/>
      <c r="N3995" s="4"/>
      <c r="O3995" s="4"/>
      <c r="P3995" s="12" t="str">
        <f t="array" ref="P3995">IF(O3995:O8036="","",_xlfn.XLOOKUP(O3995:O8036,'参照_官位'!A:A,'参照_官位'!B:B,""))</f>
      </c>
      <c r="Q3995" s="12" t="str">
        <f t="array" ref="Q3995">IF(A3995:A8036="","",IFERROR(_xlfn.XLOOKUP(A3995:A8036,castles_state!K:K,castles_state!D:D)&amp;"主",IFERROR(_xlfn.XLOOKUP(A3995:A8036,kunishuClan!D:D,kunishuClan!B:B)&amp;"当主","")))</f>
      </c>
    </row>
    <row r="3996" ht="15.75" customHeight="1">
      <c r="A3996" s="4">
        <v>2061004</v>
      </c>
      <c r="B3996" s="12" t="str">
        <f t="array" ref="B3996">IF(A3996:A8037="","",_xlfn.XLOOKUP(A3996:A8037,'参照_武将'!A:A,'参照_武将'!B:B,"見つかりません"))</f>
      </c>
      <c r="C3996" s="4" t="s">
        <v>6048</v>
      </c>
      <c r="D3996" s="4">
        <v>0</v>
      </c>
      <c r="E3996" s="12" t="str">
        <f t="array" ref="E3996">IF(D3996:D8037="","",IFERROR(_xlfn.XLOOKUP(D3996:D8037,'参照_勢力'!A:A,'参照_勢力'!B:B),IFERROR(_xlfn.XLOOKUP(F3996:F8037,kunishuClan!A:A,kunishuClan!B:B),"浪人")))</f>
      </c>
      <c r="F3996" s="4">
        <v>61</v>
      </c>
      <c r="G3996" s="4">
        <v>175</v>
      </c>
      <c r="H3996" s="12" t="str">
        <f t="array" ref="H3996">IF(G3996:G8037="","",_xlfn.XLOOKUP(G3996:G8037,castles_state!A:A,castles_state!D:D,"見つかりません"))</f>
      </c>
      <c r="I3996" s="4"/>
      <c r="J3996" s="12" t="str">
        <f t="array" ref="J3996">IF(I3996:I8037="","",_xlfn.XLOOKUP(I3996:I8037,'参照_姫'!A:A,'参照_姫'!B:B,"見つかりません"))</f>
      </c>
      <c r="K3996" s="4">
        <v>50</v>
      </c>
      <c r="L3996" s="4">
        <v>0</v>
      </c>
      <c r="M3996" s="4"/>
      <c r="N3996" s="4"/>
      <c r="O3996" s="4"/>
      <c r="P3996" s="12" t="str">
        <f t="array" ref="P3996">IF(O3996:O8037="","",_xlfn.XLOOKUP(O3996:O8037,'参照_官位'!A:A,'参照_官位'!B:B,""))</f>
      </c>
      <c r="Q3996" s="12" t="str">
        <f t="array" ref="Q3996">IF(A3996:A8037="","",IFERROR(_xlfn.XLOOKUP(A3996:A8037,castles_state!K:K,castles_state!D:D)&amp;"主",IFERROR(_xlfn.XLOOKUP(A3996:A8037,kunishuClan!D:D,kunishuClan!B:B)&amp;"当主","")))</f>
      </c>
    </row>
    <row r="3997" ht="15.75" customHeight="1">
      <c r="A3997" s="4">
        <v>2061005</v>
      </c>
      <c r="B3997" s="12" t="str">
        <f t="array" ref="B3997">IF(A3997:A8038="","",_xlfn.XLOOKUP(A3997:A8038,'参照_武将'!A:A,'参照_武将'!B:B,"見つかりません"))</f>
      </c>
      <c r="C3997" s="4" t="s">
        <v>6048</v>
      </c>
      <c r="D3997" s="4">
        <v>0</v>
      </c>
      <c r="E3997" s="12" t="str">
        <f t="array" ref="E3997">IF(D3997:D8038="","",IFERROR(_xlfn.XLOOKUP(D3997:D8038,'参照_勢力'!A:A,'参照_勢力'!B:B),IFERROR(_xlfn.XLOOKUP(F3997:F8038,kunishuClan!A:A,kunishuClan!B:B),"浪人")))</f>
      </c>
      <c r="F3997" s="4">
        <v>61</v>
      </c>
      <c r="G3997" s="4">
        <v>175</v>
      </c>
      <c r="H3997" s="12" t="str">
        <f t="array" ref="H3997">IF(G3997:G8038="","",_xlfn.XLOOKUP(G3997:G8038,castles_state!A:A,castles_state!D:D,"見つかりません"))</f>
      </c>
      <c r="I3997" s="4"/>
      <c r="J3997" s="12" t="str">
        <f t="array" ref="J3997">IF(I3997:I8038="","",_xlfn.XLOOKUP(I3997:I8038,'参照_姫'!A:A,'参照_姫'!B:B,"見つかりません"))</f>
      </c>
      <c r="K3997" s="4">
        <v>50</v>
      </c>
      <c r="L3997" s="4">
        <v>200</v>
      </c>
      <c r="M3997" s="4"/>
      <c r="N3997" s="4"/>
      <c r="O3997" s="4"/>
      <c r="P3997" s="12" t="str">
        <f t="array" ref="P3997">IF(O3997:O8038="","",_xlfn.XLOOKUP(O3997:O8038,'参照_官位'!A:A,'参照_官位'!B:B,""))</f>
      </c>
      <c r="Q3997" s="12" t="str">
        <f t="array" ref="Q3997">IF(A3997:A8038="","",IFERROR(_xlfn.XLOOKUP(A3997:A8038,castles_state!K:K,castles_state!D:D)&amp;"主",IFERROR(_xlfn.XLOOKUP(A3997:A8038,kunishuClan!D:D,kunishuClan!B:B)&amp;"当主","")))</f>
      </c>
    </row>
    <row r="3998" ht="15.75" customHeight="1">
      <c r="A3998" s="4">
        <v>2061006</v>
      </c>
      <c r="B3998" s="12" t="str">
        <f t="array" ref="B3998">IF(A3998:A8039="","",_xlfn.XLOOKUP(A3998:A8039,'参照_武将'!A:A,'参照_武将'!B:B,"見つかりません"))</f>
      </c>
      <c r="C3998" s="4" t="s">
        <v>6048</v>
      </c>
      <c r="D3998" s="4">
        <v>0</v>
      </c>
      <c r="E3998" s="12" t="str">
        <f t="array" ref="E3998">IF(D3998:D8039="","",IFERROR(_xlfn.XLOOKUP(D3998:D8039,'参照_勢力'!A:A,'参照_勢力'!B:B),IFERROR(_xlfn.XLOOKUP(F3998:F8039,kunishuClan!A:A,kunishuClan!B:B),"浪人")))</f>
      </c>
      <c r="F3998" s="4">
        <v>61</v>
      </c>
      <c r="G3998" s="4">
        <v>175</v>
      </c>
      <c r="H3998" s="12" t="str">
        <f t="array" ref="H3998">IF(G3998:G8039="","",_xlfn.XLOOKUP(G3998:G8039,castles_state!A:A,castles_state!D:D,"見つかりません"))</f>
      </c>
      <c r="I3998" s="4"/>
      <c r="J3998" s="12" t="str">
        <f t="array" ref="J3998">IF(I3998:I8039="","",_xlfn.XLOOKUP(I3998:I8039,'参照_姫'!A:A,'参照_姫'!B:B,"見つかりません"))</f>
      </c>
      <c r="K3998" s="4">
        <v>50</v>
      </c>
      <c r="L3998" s="4">
        <v>0</v>
      </c>
      <c r="M3998" s="4"/>
      <c r="N3998" s="4"/>
      <c r="O3998" s="4"/>
      <c r="P3998" s="12" t="str">
        <f t="array" ref="P3998">IF(O3998:O8039="","",_xlfn.XLOOKUP(O3998:O8039,'参照_官位'!A:A,'参照_官位'!B:B,""))</f>
      </c>
      <c r="Q3998" s="12" t="str">
        <f t="array" ref="Q3998">IF(A3998:A8039="","",IFERROR(_xlfn.XLOOKUP(A3998:A8039,castles_state!K:K,castles_state!D:D)&amp;"主",IFERROR(_xlfn.XLOOKUP(A3998:A8039,kunishuClan!D:D,kunishuClan!B:B)&amp;"当主","")))</f>
      </c>
    </row>
    <row r="3999" ht="15.75" customHeight="1">
      <c r="A3999" s="4">
        <v>2061007</v>
      </c>
      <c r="B3999" s="12" t="str">
        <f t="array" ref="B3999">IF(A3999:A8040="","",_xlfn.XLOOKUP(A3999:A8040,'参照_武将'!A:A,'参照_武将'!B:B,"見つかりません"))</f>
      </c>
      <c r="C3999" s="4" t="s">
        <v>6048</v>
      </c>
      <c r="D3999" s="4">
        <v>0</v>
      </c>
      <c r="E3999" s="12" t="str">
        <f t="array" ref="E3999">IF(D3999:D8040="","",IFERROR(_xlfn.XLOOKUP(D3999:D8040,'参照_勢力'!A:A,'参照_勢力'!B:B),IFERROR(_xlfn.XLOOKUP(F3999:F8040,kunishuClan!A:A,kunishuClan!B:B),"浪人")))</f>
      </c>
      <c r="F3999" s="4">
        <v>61</v>
      </c>
      <c r="G3999" s="4">
        <v>175</v>
      </c>
      <c r="H3999" s="12" t="str">
        <f t="array" ref="H3999">IF(G3999:G8040="","",_xlfn.XLOOKUP(G3999:G8040,castles_state!A:A,castles_state!D:D,"見つかりません"))</f>
      </c>
      <c r="I3999" s="4"/>
      <c r="J3999" s="12" t="str">
        <f t="array" ref="J3999">IF(I3999:I8040="","",_xlfn.XLOOKUP(I3999:I8040,'参照_姫'!A:A,'参照_姫'!B:B,"見つかりません"))</f>
      </c>
      <c r="K3999" s="4">
        <v>50</v>
      </c>
      <c r="L3999" s="4">
        <v>0</v>
      </c>
      <c r="M3999" s="4"/>
      <c r="N3999" s="4"/>
      <c r="O3999" s="4"/>
      <c r="P3999" s="12" t="str">
        <f t="array" ref="P3999">IF(O3999:O8040="","",_xlfn.XLOOKUP(O3999:O8040,'参照_官位'!A:A,'参照_官位'!B:B,""))</f>
      </c>
      <c r="Q3999" s="12" t="str">
        <f t="array" ref="Q3999">IF(A3999:A8040="","",IFERROR(_xlfn.XLOOKUP(A3999:A8040,castles_state!K:K,castles_state!D:D)&amp;"主",IFERROR(_xlfn.XLOOKUP(A3999:A8040,kunishuClan!D:D,kunishuClan!B:B)&amp;"当主","")))</f>
      </c>
    </row>
    <row r="4000" ht="15.75" customHeight="1">
      <c r="A4000" s="4">
        <v>2062001</v>
      </c>
      <c r="B4000" s="12" t="str">
        <f t="array" ref="B4000">IF(A4000:A8043="","",_xlfn.XLOOKUP(A4000:A8043,'参照_武将'!A:A,'参照_武将'!B:B,"見つかりません"))</f>
      </c>
      <c r="C4000" s="4" t="s">
        <v>6049</v>
      </c>
      <c r="D4000" s="4">
        <v>0</v>
      </c>
      <c r="E4000" s="12" t="str">
        <f t="array" ref="E4000">IF(D4000:D8043="","",IFERROR(_xlfn.XLOOKUP(D4000:D8043,'参照_勢力'!A:A,'参照_勢力'!B:B),IFERROR(_xlfn.XLOOKUP(F4000:F8043,kunishuClan!A:A,kunishuClan!B:B),"浪人")))</f>
      </c>
      <c r="F4000" s="4">
        <v>62</v>
      </c>
      <c r="G4000" s="4">
        <v>80</v>
      </c>
      <c r="H4000" s="12" t="str">
        <f t="array" ref="H4000">IF(G4000:G8043="","",_xlfn.XLOOKUP(G4000:G8043,castles_state!A:A,castles_state!D:D,"見つかりません"))</f>
      </c>
      <c r="I4000" s="4"/>
      <c r="J4000" s="12" t="str">
        <f t="array" ref="J4000">IF(I4000:I8043="","",_xlfn.XLOOKUP(I4000:I8043,'参照_姫'!A:A,'参照_姫'!B:B,"見つかりません"))</f>
      </c>
      <c r="K4000" s="4">
        <v>50</v>
      </c>
      <c r="L4000" s="4">
        <v>300</v>
      </c>
      <c r="M4000" s="4"/>
      <c r="N4000" s="4"/>
      <c r="O4000" s="4"/>
      <c r="P4000" s="12" t="str">
        <f t="array" ref="P4000">IF(O4000:O8043="","",_xlfn.XLOOKUP(O4000:O8043,'参照_官位'!A:A,'参照_官位'!B:B,""))</f>
      </c>
      <c r="Q4000" s="12" t="str">
        <f t="array" ref="Q4000">IF(A4000:A8043="","",IFERROR(_xlfn.XLOOKUP(A4000:A8043,castles_state!K:K,castles_state!D:D)&amp;"主",IFERROR(_xlfn.XLOOKUP(A4000:A8043,kunishuClan!D:D,kunishuClan!B:B)&amp;"当主","")))</f>
      </c>
    </row>
    <row r="4001" ht="15.75" customHeight="1">
      <c r="A4001" s="4">
        <v>2062002</v>
      </c>
      <c r="B4001" s="12" t="str">
        <f t="array" ref="B4001">IF(A4001:A8044="","",_xlfn.XLOOKUP(A4001:A8044,'参照_武将'!A:A,'参照_武将'!B:B,"見つかりません"))</f>
      </c>
      <c r="C4001" s="4" t="s">
        <v>6049</v>
      </c>
      <c r="D4001" s="4">
        <v>0</v>
      </c>
      <c r="E4001" s="12" t="str">
        <f t="array" ref="E4001">IF(D4001:D8044="","",IFERROR(_xlfn.XLOOKUP(D4001:D8044,'参照_勢力'!A:A,'参照_勢力'!B:B),IFERROR(_xlfn.XLOOKUP(F4001:F8044,kunishuClan!A:A,kunishuClan!B:B),"浪人")))</f>
      </c>
      <c r="F4001" s="4">
        <v>62</v>
      </c>
      <c r="G4001" s="4">
        <v>80</v>
      </c>
      <c r="H4001" s="12" t="str">
        <f t="array" ref="H4001">IF(G4001:G8044="","",_xlfn.XLOOKUP(G4001:G8044,castles_state!A:A,castles_state!D:D,"見つかりません"))</f>
      </c>
      <c r="I4001" s="4"/>
      <c r="J4001" s="12" t="str">
        <f t="array" ref="J4001">IF(I4001:I8044="","",_xlfn.XLOOKUP(I4001:I8044,'参照_姫'!A:A,'参照_姫'!B:B,"見つかりません"))</f>
      </c>
      <c r="K4001" s="4">
        <v>50</v>
      </c>
      <c r="L4001" s="4">
        <v>0</v>
      </c>
      <c r="M4001" s="4"/>
      <c r="N4001" s="4"/>
      <c r="O4001" s="4"/>
      <c r="P4001" s="12" t="str">
        <f t="array" ref="P4001">IF(O4001:O8044="","",_xlfn.XLOOKUP(O4001:O8044,'参照_官位'!A:A,'参照_官位'!B:B,""))</f>
      </c>
      <c r="Q4001" s="12" t="str">
        <f t="array" ref="Q4001">IF(A4001:A8044="","",IFERROR(_xlfn.XLOOKUP(A4001:A8044,castles_state!K:K,castles_state!D:D)&amp;"主",IFERROR(_xlfn.XLOOKUP(A4001:A8044,kunishuClan!D:D,kunishuClan!B:B)&amp;"当主","")))</f>
      </c>
    </row>
    <row r="4002" ht="15.75" customHeight="1">
      <c r="A4002" s="4">
        <v>2063001</v>
      </c>
      <c r="B4002" s="12" t="str">
        <f t="array" ref="B4002">IF(A4002:A8045="","",_xlfn.XLOOKUP(A4002:A8045,'参照_武将'!A:A,'参照_武将'!B:B,"見つかりません"))</f>
      </c>
      <c r="C4002" s="4" t="s">
        <v>6050</v>
      </c>
      <c r="D4002" s="4">
        <v>0</v>
      </c>
      <c r="E4002" s="12" t="str">
        <f t="array" ref="E4002">IF(D4002:D8045="","",IFERROR(_xlfn.XLOOKUP(D4002:D8045,'参照_勢力'!A:A,'参照_勢力'!B:B),IFERROR(_xlfn.XLOOKUP(F4002:F8045,kunishuClan!A:A,kunishuClan!B:B),"浪人")))</f>
      </c>
      <c r="F4002" s="4">
        <v>63</v>
      </c>
      <c r="G4002" s="4">
        <v>24</v>
      </c>
      <c r="H4002" s="12" t="str">
        <f t="array" ref="H4002">IF(G4002:G8045="","",_xlfn.XLOOKUP(G4002:G8045,castles_state!A:A,castles_state!D:D,"見つかりません"))</f>
      </c>
      <c r="I4002" s="4"/>
      <c r="J4002" s="12" t="str">
        <f t="array" ref="J4002">IF(I4002:I8045="","",_xlfn.XLOOKUP(I4002:I8045,'参照_姫'!A:A,'参照_姫'!B:B,"見つかりません"))</f>
      </c>
      <c r="K4002" s="4">
        <v>50</v>
      </c>
      <c r="L4002" s="4">
        <v>0</v>
      </c>
      <c r="M4002" s="4"/>
      <c r="N4002" s="4"/>
      <c r="O4002" s="4"/>
      <c r="P4002" s="12" t="str">
        <f t="array" ref="P4002">IF(O4002:O8045="","",_xlfn.XLOOKUP(O4002:O8045,'参照_官位'!A:A,'参照_官位'!B:B,""))</f>
      </c>
      <c r="Q4002" s="12" t="str">
        <f t="array" ref="Q4002">IF(A4002:A8045="","",IFERROR(_xlfn.XLOOKUP(A4002:A8045,castles_state!K:K,castles_state!D:D)&amp;"主",IFERROR(_xlfn.XLOOKUP(A4002:A8045,kunishuClan!D:D,kunishuClan!B:B)&amp;"当主","")))</f>
      </c>
    </row>
    <row r="4003" ht="15.75" customHeight="1">
      <c r="A4003" s="4">
        <v>2063002</v>
      </c>
      <c r="B4003" s="12" t="str">
        <f t="array" ref="B4003">IF(A4003:A8046="","",_xlfn.XLOOKUP(A4003:A8046,'参照_武将'!A:A,'参照_武将'!B:B,"見つかりません"))</f>
      </c>
      <c r="C4003" s="4" t="s">
        <v>6050</v>
      </c>
      <c r="D4003" s="4">
        <v>0</v>
      </c>
      <c r="E4003" s="12" t="str">
        <f t="array" ref="E4003">IF(D4003:D8046="","",IFERROR(_xlfn.XLOOKUP(D4003:D8046,'参照_勢力'!A:A,'参照_勢力'!B:B),IFERROR(_xlfn.XLOOKUP(F4003:F8046,kunishuClan!A:A,kunishuClan!B:B),"浪人")))</f>
      </c>
      <c r="F4003" s="4">
        <v>63</v>
      </c>
      <c r="G4003" s="4">
        <v>24</v>
      </c>
      <c r="H4003" s="12" t="str">
        <f t="array" ref="H4003">IF(G4003:G8046="","",_xlfn.XLOOKUP(G4003:G8046,castles_state!A:A,castles_state!D:D,"見つかりません"))</f>
      </c>
      <c r="I4003" s="4"/>
      <c r="J4003" s="12" t="str">
        <f t="array" ref="J4003">IF(I4003:I8046="","",_xlfn.XLOOKUP(I4003:I8046,'参照_姫'!A:A,'参照_姫'!B:B,"見つかりません"))</f>
      </c>
      <c r="K4003" s="4">
        <v>50</v>
      </c>
      <c r="L4003" s="4">
        <v>300</v>
      </c>
      <c r="M4003" s="4"/>
      <c r="N4003" s="4"/>
      <c r="O4003" s="4"/>
      <c r="P4003" s="12" t="str">
        <f t="array" ref="P4003">IF(O4003:O8046="","",_xlfn.XLOOKUP(O4003:O8046,'参照_官位'!A:A,'参照_官位'!B:B,""))</f>
      </c>
      <c r="Q4003" s="12" t="str">
        <f t="array" ref="Q4003">IF(A4003:A8046="","",IFERROR(_xlfn.XLOOKUP(A4003:A8046,castles_state!K:K,castles_state!D:D)&amp;"主",IFERROR(_xlfn.XLOOKUP(A4003:A8046,kunishuClan!D:D,kunishuClan!B:B)&amp;"当主","")))</f>
      </c>
    </row>
    <row r="4004" ht="15.75" customHeight="1">
      <c r="A4004" s="4">
        <v>2063003</v>
      </c>
      <c r="B4004" s="12" t="str">
        <f t="array" ref="B4004">IF(A4004:A8047="","",_xlfn.XLOOKUP(A4004:A8047,'参照_武将'!A:A,'参照_武将'!B:B,"見つかりません"))</f>
      </c>
      <c r="C4004" s="4" t="s">
        <v>6050</v>
      </c>
      <c r="D4004" s="4">
        <v>0</v>
      </c>
      <c r="E4004" s="12" t="str">
        <f t="array" ref="E4004">IF(D4004:D8047="","",IFERROR(_xlfn.XLOOKUP(D4004:D8047,'参照_勢力'!A:A,'参照_勢力'!B:B),IFERROR(_xlfn.XLOOKUP(F4004:F8047,kunishuClan!A:A,kunishuClan!B:B),"浪人")))</f>
      </c>
      <c r="F4004" s="4">
        <v>63</v>
      </c>
      <c r="G4004" s="4">
        <v>24</v>
      </c>
      <c r="H4004" s="12" t="str">
        <f t="array" ref="H4004">IF(G4004:G8047="","",_xlfn.XLOOKUP(G4004:G8047,castles_state!A:A,castles_state!D:D,"見つかりません"))</f>
      </c>
      <c r="I4004" s="4"/>
      <c r="J4004" s="12" t="str">
        <f t="array" ref="J4004">IF(I4004:I8047="","",_xlfn.XLOOKUP(I4004:I8047,'参照_姫'!A:A,'参照_姫'!B:B,"見つかりません"))</f>
      </c>
      <c r="K4004" s="4">
        <v>50</v>
      </c>
      <c r="L4004" s="4">
        <v>0</v>
      </c>
      <c r="M4004" s="4"/>
      <c r="N4004" s="4"/>
      <c r="O4004" s="4"/>
      <c r="P4004" s="12" t="str">
        <f t="array" ref="P4004">IF(O4004:O8047="","",_xlfn.XLOOKUP(O4004:O8047,'参照_官位'!A:A,'参照_官位'!B:B,""))</f>
      </c>
      <c r="Q4004" s="12" t="str">
        <f t="array" ref="Q4004">IF(A4004:A8047="","",IFERROR(_xlfn.XLOOKUP(A4004:A8047,castles_state!K:K,castles_state!D:D)&amp;"主",IFERROR(_xlfn.XLOOKUP(A4004:A8047,kunishuClan!D:D,kunishuClan!B:B)&amp;"当主","")))</f>
      </c>
    </row>
    <row r="4005" ht="15.75" customHeight="1">
      <c r="A4005" s="4">
        <v>2064001</v>
      </c>
      <c r="B4005" s="12" t="str">
        <f t="array" ref="B4005">IF(A4005:A8048="","",_xlfn.XLOOKUP(A4005:A8048,'参照_武将'!A:A,'参照_武将'!B:B,"見つかりません"))</f>
      </c>
      <c r="C4005" s="4" t="s">
        <v>6051</v>
      </c>
      <c r="D4005" s="4">
        <v>0</v>
      </c>
      <c r="E4005" s="12" t="str">
        <f t="array" ref="E4005">IF(D4005:D8048="","",IFERROR(_xlfn.XLOOKUP(D4005:D8048,'参照_勢力'!A:A,'参照_勢力'!B:B),IFERROR(_xlfn.XLOOKUP(F4005:F8048,kunishuClan!A:A,kunishuClan!B:B),"浪人")))</f>
      </c>
      <c r="F4005" s="4">
        <v>64</v>
      </c>
      <c r="G4005" s="4">
        <v>252</v>
      </c>
      <c r="H4005" s="12" t="str">
        <f t="array" ref="H4005">IF(G4005:G8048="","",_xlfn.XLOOKUP(G4005:G8048,castles_state!A:A,castles_state!D:D,"見つかりません"))</f>
      </c>
      <c r="I4005" s="4"/>
      <c r="J4005" s="12" t="str">
        <f t="array" ref="J4005">IF(I4005:I8048="","",_xlfn.XLOOKUP(I4005:I8048,'参照_姫'!A:A,'参照_姫'!B:B,"見つかりません"))</f>
      </c>
      <c r="K4005" s="4">
        <v>50</v>
      </c>
      <c r="L4005" s="4">
        <v>0</v>
      </c>
      <c r="M4005" s="4"/>
      <c r="N4005" s="4"/>
      <c r="O4005" s="4"/>
      <c r="P4005" s="12" t="str">
        <f t="array" ref="P4005">IF(O4005:O8048="","",_xlfn.XLOOKUP(O4005:O8048,'参照_官位'!A:A,'参照_官位'!B:B,""))</f>
      </c>
      <c r="Q4005" s="12" t="str">
        <f t="array" ref="Q4005">IF(A4005:A8048="","",IFERROR(_xlfn.XLOOKUP(A4005:A8048,castles_state!K:K,castles_state!D:D)&amp;"主",IFERROR(_xlfn.XLOOKUP(A4005:A8048,kunishuClan!D:D,kunishuClan!B:B)&amp;"当主","")))</f>
      </c>
    </row>
    <row r="4006" ht="15.75" customHeight="1">
      <c r="A4006" s="4">
        <v>2064002</v>
      </c>
      <c r="B4006" s="12" t="str">
        <f t="array" ref="B4006">IF(A4006:A8049="","",_xlfn.XLOOKUP(A4006:A8049,'参照_武将'!A:A,'参照_武将'!B:B,"見つかりません"))</f>
      </c>
      <c r="C4006" s="4" t="s">
        <v>6052</v>
      </c>
      <c r="D4006" s="4">
        <v>0</v>
      </c>
      <c r="E4006" s="12" t="str">
        <f t="array" ref="E4006">IF(D4006:D8049="","",IFERROR(_xlfn.XLOOKUP(D4006:D8049,'参照_勢力'!A:A,'参照_勢力'!B:B),IFERROR(_xlfn.XLOOKUP(F4006:F8049,kunishuClan!A:A,kunishuClan!B:B),"浪人")))</f>
      </c>
      <c r="F4006" s="4">
        <v>64</v>
      </c>
      <c r="G4006" s="4">
        <v>252</v>
      </c>
      <c r="H4006" s="12" t="str">
        <f t="array" ref="H4006">IF(G4006:G8049="","",_xlfn.XLOOKUP(G4006:G8049,castles_state!A:A,castles_state!D:D,"見つかりません"))</f>
      </c>
      <c r="I4006" s="4"/>
      <c r="J4006" s="12" t="str">
        <f t="array" ref="J4006">IF(I4006:I8049="","",_xlfn.XLOOKUP(I4006:I8049,'参照_姫'!A:A,'参照_姫'!B:B,"見つかりません"))</f>
      </c>
      <c r="K4006" s="4">
        <v>50</v>
      </c>
      <c r="L4006" s="4">
        <v>0</v>
      </c>
      <c r="M4006" s="4"/>
      <c r="N4006" s="4"/>
      <c r="O4006" s="4"/>
      <c r="P4006" s="12" t="str">
        <f t="array" ref="P4006">IF(O4006:O8049="","",_xlfn.XLOOKUP(O4006:O8049,'参照_官位'!A:A,'参照_官位'!B:B,""))</f>
      </c>
      <c r="Q4006" s="12" t="str">
        <f t="array" ref="Q4006">IF(A4006:A8049="","",IFERROR(_xlfn.XLOOKUP(A4006:A8049,castles_state!K:K,castles_state!D:D)&amp;"主",IFERROR(_xlfn.XLOOKUP(A4006:A8049,kunishuClan!D:D,kunishuClan!B:B)&amp;"当主","")))</f>
      </c>
    </row>
    <row r="4007" ht="15.75" customHeight="1">
      <c r="A4007" s="4">
        <v>2064003</v>
      </c>
      <c r="B4007" s="12" t="str">
        <f t="array" ref="B4007">IF(A4007:A8050="","",_xlfn.XLOOKUP(A4007:A8050,'参照_武将'!A:A,'参照_武将'!B:B,"見つかりません"))</f>
      </c>
      <c r="C4007" s="4" t="s">
        <v>6052</v>
      </c>
      <c r="D4007" s="4">
        <v>0</v>
      </c>
      <c r="E4007" s="12" t="str">
        <f t="array" ref="E4007">IF(D4007:D8050="","",IFERROR(_xlfn.XLOOKUP(D4007:D8050,'参照_勢力'!A:A,'参照_勢力'!B:B),IFERROR(_xlfn.XLOOKUP(F4007:F8050,kunishuClan!A:A,kunishuClan!B:B),"浪人")))</f>
      </c>
      <c r="F4007" s="4">
        <v>64</v>
      </c>
      <c r="G4007" s="4">
        <v>252</v>
      </c>
      <c r="H4007" s="12" t="str">
        <f t="array" ref="H4007">IF(G4007:G8050="","",_xlfn.XLOOKUP(G4007:G8050,castles_state!A:A,castles_state!D:D,"見つかりません"))</f>
      </c>
      <c r="I4007" s="4"/>
      <c r="J4007" s="12" t="str">
        <f t="array" ref="J4007">IF(I4007:I8050="","",_xlfn.XLOOKUP(I4007:I8050,'参照_姫'!A:A,'参照_姫'!B:B,"見つかりません"))</f>
      </c>
      <c r="K4007" s="4">
        <v>50</v>
      </c>
      <c r="L4007" s="4">
        <v>0</v>
      </c>
      <c r="M4007" s="4"/>
      <c r="N4007" s="4"/>
      <c r="O4007" s="4"/>
      <c r="P4007" s="12" t="str">
        <f t="array" ref="P4007">IF(O4007:O8050="","",_xlfn.XLOOKUP(O4007:O8050,'参照_官位'!A:A,'参照_官位'!B:B,""))</f>
      </c>
      <c r="Q4007" s="12" t="str">
        <f t="array" ref="Q4007">IF(A4007:A8050="","",IFERROR(_xlfn.XLOOKUP(A4007:A8050,castles_state!K:K,castles_state!D:D)&amp;"主",IFERROR(_xlfn.XLOOKUP(A4007:A8050,kunishuClan!D:D,kunishuClan!B:B)&amp;"当主","")))</f>
      </c>
    </row>
    <row r="4008" ht="15.75" customHeight="1">
      <c r="A4008" s="4">
        <v>2064004</v>
      </c>
      <c r="B4008" s="12" t="str">
        <f t="array" ref="B4008">IF(A4008:A8051="","",_xlfn.XLOOKUP(A4008:A8051,'参照_武将'!A:A,'参照_武将'!B:B,"見つかりません"))</f>
      </c>
      <c r="C4008" s="4" t="s">
        <v>6052</v>
      </c>
      <c r="D4008" s="4">
        <v>0</v>
      </c>
      <c r="E4008" s="12" t="str">
        <f t="array" ref="E4008">IF(D4008:D8051="","",IFERROR(_xlfn.XLOOKUP(D4008:D8051,'参照_勢力'!A:A,'参照_勢力'!B:B),IFERROR(_xlfn.XLOOKUP(F4008:F8051,kunishuClan!A:A,kunishuClan!B:B),"浪人")))</f>
      </c>
      <c r="F4008" s="4">
        <v>64</v>
      </c>
      <c r="G4008" s="4">
        <v>252</v>
      </c>
      <c r="H4008" s="12" t="str">
        <f t="array" ref="H4008">IF(G4008:G8051="","",_xlfn.XLOOKUP(G4008:G8051,castles_state!A:A,castles_state!D:D,"見つかりません"))</f>
      </c>
      <c r="I4008" s="4"/>
      <c r="J4008" s="12" t="str">
        <f t="array" ref="J4008">IF(I4008:I8051="","",_xlfn.XLOOKUP(I4008:I8051,'参照_姫'!A:A,'参照_姫'!B:B,"見つかりません"))</f>
      </c>
      <c r="K4008" s="4">
        <v>50</v>
      </c>
      <c r="L4008" s="4">
        <v>300</v>
      </c>
      <c r="M4008" s="4"/>
      <c r="N4008" s="4"/>
      <c r="O4008" s="4"/>
      <c r="P4008" s="12" t="str">
        <f t="array" ref="P4008">IF(O4008:O8051="","",_xlfn.XLOOKUP(O4008:O8051,'参照_官位'!A:A,'参照_官位'!B:B,""))</f>
      </c>
      <c r="Q4008" s="12" t="str">
        <f t="array" ref="Q4008">IF(A4008:A8051="","",IFERROR(_xlfn.XLOOKUP(A4008:A8051,castles_state!K:K,castles_state!D:D)&amp;"主",IFERROR(_xlfn.XLOOKUP(A4008:A8051,kunishuClan!D:D,kunishuClan!B:B)&amp;"当主","")))</f>
      </c>
    </row>
    <row r="4009" ht="15.75" customHeight="1">
      <c r="A4009" s="4">
        <v>2064005</v>
      </c>
      <c r="B4009" s="12" t="str">
        <f t="array" ref="B4009">IF(A4009:A8052="","",_xlfn.XLOOKUP(A4009:A8052,'参照_武将'!A:A,'参照_武将'!B:B,"見つかりません"))</f>
      </c>
      <c r="C4009" s="4" t="s">
        <v>6052</v>
      </c>
      <c r="D4009" s="4">
        <v>0</v>
      </c>
      <c r="E4009" s="12" t="str">
        <f t="array" ref="E4009">IF(D4009:D8052="","",IFERROR(_xlfn.XLOOKUP(D4009:D8052,'参照_勢力'!A:A,'参照_勢力'!B:B),IFERROR(_xlfn.XLOOKUP(F4009:F8052,kunishuClan!A:A,kunishuClan!B:B),"浪人")))</f>
      </c>
      <c r="F4009" s="4">
        <v>64</v>
      </c>
      <c r="G4009" s="4">
        <v>252</v>
      </c>
      <c r="H4009" s="12" t="str">
        <f t="array" ref="H4009">IF(G4009:G8052="","",_xlfn.XLOOKUP(G4009:G8052,castles_state!A:A,castles_state!D:D,"見つかりません"))</f>
      </c>
      <c r="I4009" s="4"/>
      <c r="J4009" s="12" t="str">
        <f t="array" ref="J4009">IF(I4009:I8052="","",_xlfn.XLOOKUP(I4009:I8052,'参照_姫'!A:A,'参照_姫'!B:B,"見つかりません"))</f>
      </c>
      <c r="K4009" s="4">
        <v>50</v>
      </c>
      <c r="L4009" s="4">
        <v>0</v>
      </c>
      <c r="M4009" s="4"/>
      <c r="N4009" s="4"/>
      <c r="O4009" s="4"/>
      <c r="P4009" s="12" t="str">
        <f t="array" ref="P4009">IF(O4009:O8052="","",_xlfn.XLOOKUP(O4009:O8052,'参照_官位'!A:A,'参照_官位'!B:B,""))</f>
      </c>
      <c r="Q4009" s="12" t="str">
        <f t="array" ref="Q4009">IF(A4009:A8052="","",IFERROR(_xlfn.XLOOKUP(A4009:A8052,castles_state!K:K,castles_state!D:D)&amp;"主",IFERROR(_xlfn.XLOOKUP(A4009:A8052,kunishuClan!D:D,kunishuClan!B:B)&amp;"当主","")))</f>
      </c>
    </row>
    <row r="4010" ht="15.75" customHeight="1">
      <c r="A4010" s="4">
        <v>2065001</v>
      </c>
      <c r="B4010" s="12" t="str">
        <f t="array" ref="B4010">IF(A4010:A8053="","",_xlfn.XLOOKUP(A4010:A8053,'参照_武将'!A:A,'参照_武将'!B:B,"見つかりません"))</f>
      </c>
      <c r="C4010" s="4" t="s">
        <v>6053</v>
      </c>
      <c r="D4010" s="4">
        <v>0</v>
      </c>
      <c r="E4010" s="12" t="str">
        <f t="array" ref="E4010">IF(D4010:D8053="","",IFERROR(_xlfn.XLOOKUP(D4010:D8053,'参照_勢力'!A:A,'参照_勢力'!B:B),IFERROR(_xlfn.XLOOKUP(F4010:F8053,kunishuClan!A:A,kunishuClan!B:B),"浪人")))</f>
      </c>
      <c r="F4010" s="4">
        <v>65</v>
      </c>
      <c r="G4010" s="4">
        <v>252</v>
      </c>
      <c r="H4010" s="12" t="str">
        <f t="array" ref="H4010">IF(G4010:G8053="","",_xlfn.XLOOKUP(G4010:G8053,castles_state!A:A,castles_state!D:D,"見つかりません"))</f>
      </c>
      <c r="I4010" s="4"/>
      <c r="J4010" s="12" t="str">
        <f t="array" ref="J4010">IF(I4010:I8053="","",_xlfn.XLOOKUP(I4010:I8053,'参照_姫'!A:A,'参照_姫'!B:B,"見つかりません"))</f>
      </c>
      <c r="K4010" s="4">
        <v>50</v>
      </c>
      <c r="L4010" s="4">
        <v>0</v>
      </c>
      <c r="M4010" s="4"/>
      <c r="N4010" s="4"/>
      <c r="O4010" s="4"/>
      <c r="P4010" s="12" t="str">
        <f t="array" ref="P4010">IF(O4010:O8053="","",_xlfn.XLOOKUP(O4010:O8053,'参照_官位'!A:A,'参照_官位'!B:B,""))</f>
      </c>
      <c r="Q4010" s="12" t="str">
        <f t="array" ref="Q4010">IF(A4010:A8053="","",IFERROR(_xlfn.XLOOKUP(A4010:A8053,castles_state!K:K,castles_state!D:D)&amp;"主",IFERROR(_xlfn.XLOOKUP(A4010:A8053,kunishuClan!D:D,kunishuClan!B:B)&amp;"当主","")))</f>
      </c>
    </row>
    <row r="4011" ht="15.75" customHeight="1">
      <c r="A4011" s="4">
        <v>2065002</v>
      </c>
      <c r="B4011" s="12" t="str">
        <f t="array" ref="B4011">IF(A4011:A8054="","",_xlfn.XLOOKUP(A4011:A8054,'参照_武将'!A:A,'参照_武将'!B:B,"見つかりません"))</f>
      </c>
      <c r="C4011" s="4" t="s">
        <v>6053</v>
      </c>
      <c r="D4011" s="4">
        <v>0</v>
      </c>
      <c r="E4011" s="12" t="str">
        <f t="array" ref="E4011">IF(D4011:D8054="","",IFERROR(_xlfn.XLOOKUP(D4011:D8054,'参照_勢力'!A:A,'参照_勢力'!B:B),IFERROR(_xlfn.XLOOKUP(F4011:F8054,kunishuClan!A:A,kunishuClan!B:B),"浪人")))</f>
      </c>
      <c r="F4011" s="4">
        <v>65</v>
      </c>
      <c r="G4011" s="4">
        <v>252</v>
      </c>
      <c r="H4011" s="12" t="str">
        <f t="array" ref="H4011">IF(G4011:G8054="","",_xlfn.XLOOKUP(G4011:G8054,castles_state!A:A,castles_state!D:D,"見つかりません"))</f>
      </c>
      <c r="I4011" s="4"/>
      <c r="J4011" s="12" t="str">
        <f t="array" ref="J4011">IF(I4011:I8054="","",_xlfn.XLOOKUP(I4011:I8054,'参照_姫'!A:A,'参照_姫'!B:B,"見つかりません"))</f>
      </c>
      <c r="K4011" s="4">
        <v>50</v>
      </c>
      <c r="L4011" s="4">
        <v>0</v>
      </c>
      <c r="M4011" s="4"/>
      <c r="N4011" s="4"/>
      <c r="O4011" s="4"/>
      <c r="P4011" s="12" t="str">
        <f t="array" ref="P4011">IF(O4011:O8054="","",_xlfn.XLOOKUP(O4011:O8054,'参照_官位'!A:A,'参照_官位'!B:B,""))</f>
      </c>
      <c r="Q4011" s="12" t="str">
        <f t="array" ref="Q4011">IF(A4011:A8054="","",IFERROR(_xlfn.XLOOKUP(A4011:A8054,castles_state!K:K,castles_state!D:D)&amp;"主",IFERROR(_xlfn.XLOOKUP(A4011:A8054,kunishuClan!D:D,kunishuClan!B:B)&amp;"当主","")))</f>
      </c>
    </row>
    <row r="4012" ht="15.75" customHeight="1">
      <c r="A4012" s="4">
        <v>2065003</v>
      </c>
      <c r="B4012" s="12" t="str">
        <f t="array" ref="B4012">IF(A4012:A8055="","",_xlfn.XLOOKUP(A4012:A8055,'参照_武将'!A:A,'参照_武将'!B:B,"見つかりません"))</f>
      </c>
      <c r="C4012" s="4" t="s">
        <v>6053</v>
      </c>
      <c r="D4012" s="4">
        <v>0</v>
      </c>
      <c r="E4012" s="12" t="str">
        <f t="array" ref="E4012">IF(D4012:D8055="","",IFERROR(_xlfn.XLOOKUP(D4012:D8055,'参照_勢力'!A:A,'参照_勢力'!B:B),IFERROR(_xlfn.XLOOKUP(F4012:F8055,kunishuClan!A:A,kunishuClan!B:B),"浪人")))</f>
      </c>
      <c r="F4012" s="4">
        <v>65</v>
      </c>
      <c r="G4012" s="4">
        <v>252</v>
      </c>
      <c r="H4012" s="12" t="str">
        <f t="array" ref="H4012">IF(G4012:G8055="","",_xlfn.XLOOKUP(G4012:G8055,castles_state!A:A,castles_state!D:D,"見つかりません"))</f>
      </c>
      <c r="I4012" s="4"/>
      <c r="J4012" s="12" t="str">
        <f t="array" ref="J4012">IF(I4012:I8055="","",_xlfn.XLOOKUP(I4012:I8055,'参照_姫'!A:A,'参照_姫'!B:B,"見つかりません"))</f>
      </c>
      <c r="K4012" s="4">
        <v>50</v>
      </c>
      <c r="L4012" s="4">
        <v>300</v>
      </c>
      <c r="M4012" s="4"/>
      <c r="N4012" s="4"/>
      <c r="O4012" s="4"/>
      <c r="P4012" s="12" t="str">
        <f t="array" ref="P4012">IF(O4012:O8055="","",_xlfn.XLOOKUP(O4012:O8055,'参照_官位'!A:A,'参照_官位'!B:B,""))</f>
      </c>
      <c r="Q4012" s="12" t="str">
        <f t="array" ref="Q4012">IF(A4012:A8055="","",IFERROR(_xlfn.XLOOKUP(A4012:A8055,castles_state!K:K,castles_state!D:D)&amp;"主",IFERROR(_xlfn.XLOOKUP(A4012:A8055,kunishuClan!D:D,kunishuClan!B:B)&amp;"当主","")))</f>
      </c>
    </row>
    <row r="4013" ht="15.75" customHeight="1">
      <c r="A4013" s="4">
        <v>2065004</v>
      </c>
      <c r="B4013" s="12" t="str">
        <f t="array" ref="B4013">IF(A4013:A8056="","",_xlfn.XLOOKUP(A4013:A8056,'参照_武将'!A:A,'参照_武将'!B:B,"見つかりません"))</f>
      </c>
      <c r="C4013" s="4" t="s">
        <v>6053</v>
      </c>
      <c r="D4013" s="4">
        <v>0</v>
      </c>
      <c r="E4013" s="12" t="str">
        <f t="array" ref="E4013">IF(D4013:D8056="","",IFERROR(_xlfn.XLOOKUP(D4013:D8056,'参照_勢力'!A:A,'参照_勢力'!B:B),IFERROR(_xlfn.XLOOKUP(F4013:F8056,kunishuClan!A:A,kunishuClan!B:B),"浪人")))</f>
      </c>
      <c r="F4013" s="4">
        <v>65</v>
      </c>
      <c r="G4013" s="4">
        <v>252</v>
      </c>
      <c r="H4013" s="12" t="str">
        <f t="array" ref="H4013">IF(G4013:G8056="","",_xlfn.XLOOKUP(G4013:G8056,castles_state!A:A,castles_state!D:D,"見つかりません"))</f>
      </c>
      <c r="I4013" s="4"/>
      <c r="J4013" s="12" t="str">
        <f t="array" ref="J4013">IF(I4013:I8056="","",_xlfn.XLOOKUP(I4013:I8056,'参照_姫'!A:A,'参照_姫'!B:B,"見つかりません"))</f>
      </c>
      <c r="K4013" s="4">
        <v>50</v>
      </c>
      <c r="L4013" s="4">
        <v>0</v>
      </c>
      <c r="M4013" s="4"/>
      <c r="N4013" s="4"/>
      <c r="O4013" s="4"/>
      <c r="P4013" s="12" t="str">
        <f t="array" ref="P4013">IF(O4013:O8056="","",_xlfn.XLOOKUP(O4013:O8056,'参照_官位'!A:A,'参照_官位'!B:B,""))</f>
      </c>
      <c r="Q4013" s="12" t="str">
        <f t="array" ref="Q4013">IF(A4013:A8056="","",IFERROR(_xlfn.XLOOKUP(A4013:A8056,castles_state!K:K,castles_state!D:D)&amp;"主",IFERROR(_xlfn.XLOOKUP(A4013:A8056,kunishuClan!D:D,kunishuClan!B:B)&amp;"当主","")))</f>
      </c>
    </row>
    <row r="4014" ht="15.75" customHeight="1">
      <c r="A4014" s="4">
        <v>2066001</v>
      </c>
      <c r="B4014" s="12" t="str">
        <f t="array" ref="B4014">IF(A4014:A8057="","",_xlfn.XLOOKUP(A4014:A8057,'参照_武将'!A:A,'参照_武将'!B:B,"見つかりません"))</f>
      </c>
      <c r="C4014" s="4" t="s">
        <v>6054</v>
      </c>
      <c r="D4014" s="4">
        <v>0</v>
      </c>
      <c r="E4014" s="12" t="str">
        <f t="array" ref="E4014">IF(D4014:D8057="","",IFERROR(_xlfn.XLOOKUP(D4014:D8057,'参照_勢力'!A:A,'参照_勢力'!B:B),IFERROR(_xlfn.XLOOKUP(F4014:F8057,kunishuClan!A:A,kunishuClan!B:B),"浪人")))</f>
      </c>
      <c r="F4014" s="4">
        <v>66</v>
      </c>
      <c r="G4014" s="4">
        <v>131</v>
      </c>
      <c r="H4014" s="12" t="str">
        <f t="array" ref="H4014">IF(G4014:G8057="","",_xlfn.XLOOKUP(G4014:G8057,castles_state!A:A,castles_state!D:D,"見つかりません"))</f>
      </c>
      <c r="I4014" s="4"/>
      <c r="J4014" s="12" t="str">
        <f t="array" ref="J4014">IF(I4014:I8057="","",_xlfn.XLOOKUP(I4014:I8057,'参照_姫'!A:A,'参照_姫'!B:B,"見つかりません"))</f>
      </c>
      <c r="K4014" s="4">
        <v>50</v>
      </c>
      <c r="L4014" s="4">
        <v>300</v>
      </c>
      <c r="M4014" s="4"/>
      <c r="N4014" s="4"/>
      <c r="O4014" s="4"/>
      <c r="P4014" s="12" t="str">
        <f t="array" ref="P4014">IF(O4014:O8057="","",_xlfn.XLOOKUP(O4014:O8057,'参照_官位'!A:A,'参照_官位'!B:B,""))</f>
      </c>
      <c r="Q4014" s="12" t="str">
        <f t="array" ref="Q4014">IF(A4014:A8057="","",IFERROR(_xlfn.XLOOKUP(A4014:A8057,castles_state!K:K,castles_state!D:D)&amp;"主",IFERROR(_xlfn.XLOOKUP(A4014:A8057,kunishuClan!D:D,kunishuClan!B:B)&amp;"当主","")))</f>
      </c>
    </row>
    <row r="4015" ht="15.75" customHeight="1">
      <c r="A4015" s="4">
        <v>2066002</v>
      </c>
      <c r="B4015" s="12" t="str">
        <f t="array" ref="B4015">IF(A4015:A8058="","",_xlfn.XLOOKUP(A4015:A8058,'参照_武将'!A:A,'参照_武将'!B:B,"見つかりません"))</f>
      </c>
      <c r="C4015" s="4" t="s">
        <v>6054</v>
      </c>
      <c r="D4015" s="4">
        <v>0</v>
      </c>
      <c r="E4015" s="12" t="str">
        <f t="array" ref="E4015">IF(D4015:D8058="","",IFERROR(_xlfn.XLOOKUP(D4015:D8058,'参照_勢力'!A:A,'参照_勢力'!B:B),IFERROR(_xlfn.XLOOKUP(F4015:F8058,kunishuClan!A:A,kunishuClan!B:B),"浪人")))</f>
      </c>
      <c r="F4015" s="4">
        <v>66</v>
      </c>
      <c r="G4015" s="4">
        <v>131</v>
      </c>
      <c r="H4015" s="12" t="str">
        <f t="array" ref="H4015">IF(G4015:G8058="","",_xlfn.XLOOKUP(G4015:G8058,castles_state!A:A,castles_state!D:D,"見つかりません"))</f>
      </c>
      <c r="I4015" s="4"/>
      <c r="J4015" s="12" t="str">
        <f t="array" ref="J4015">IF(I4015:I8058="","",_xlfn.XLOOKUP(I4015:I8058,'参照_姫'!A:A,'参照_姫'!B:B,"見つかりません"))</f>
      </c>
      <c r="K4015" s="4">
        <v>50</v>
      </c>
      <c r="L4015" s="4">
        <v>0</v>
      </c>
      <c r="M4015" s="4"/>
      <c r="N4015" s="4"/>
      <c r="O4015" s="4"/>
      <c r="P4015" s="12" t="str">
        <f t="array" ref="P4015">IF(O4015:O8058="","",_xlfn.XLOOKUP(O4015:O8058,'参照_官位'!A:A,'参照_官位'!B:B,""))</f>
      </c>
      <c r="Q4015" s="12" t="str">
        <f t="array" ref="Q4015">IF(A4015:A8058="","",IFERROR(_xlfn.XLOOKUP(A4015:A8058,castles_state!K:K,castles_state!D:D)&amp;"主",IFERROR(_xlfn.XLOOKUP(A4015:A8058,kunishuClan!D:D,kunishuClan!B:B)&amp;"当主","")))</f>
      </c>
    </row>
    <row r="4016" ht="15.75" customHeight="1">
      <c r="A4016" s="4">
        <v>2067001</v>
      </c>
      <c r="B4016" s="12" t="str">
        <f t="array" ref="B4016">IF(A4016:A8059="","",_xlfn.XLOOKUP(A4016:A8059,'参照_武将'!A:A,'参照_武将'!B:B,"見つかりません"))</f>
      </c>
      <c r="C4016" s="4" t="s">
        <v>6055</v>
      </c>
      <c r="D4016" s="4">
        <v>0</v>
      </c>
      <c r="E4016" s="12" t="str">
        <f t="array" ref="E4016">IF(D4016:D8059="","",IFERROR(_xlfn.XLOOKUP(D4016:D8059,'参照_勢力'!A:A,'参照_勢力'!B:B),IFERROR(_xlfn.XLOOKUP(F4016:F8059,kunishuClan!A:A,kunishuClan!B:B),"浪人")))</f>
      </c>
      <c r="F4016" s="4">
        <v>0</v>
      </c>
      <c r="G4016" s="4">
        <v>48</v>
      </c>
      <c r="H4016" s="12" t="str">
        <f t="array" ref="H4016">IF(G4016:G8059="","",_xlfn.XLOOKUP(G4016:G8059,castles_state!A:A,castles_state!D:D,"見つかりません"))</f>
      </c>
      <c r="I4016" s="4"/>
      <c r="J4016" s="12" t="str">
        <f t="array" ref="J4016">IF(I4016:I8059="","",_xlfn.XLOOKUP(I4016:I8059,'参照_姫'!A:A,'参照_姫'!B:B,"見つかりません"))</f>
      </c>
      <c r="K4016" s="4">
        <v>50</v>
      </c>
      <c r="L4016" s="4">
        <v>0</v>
      </c>
      <c r="M4016" s="4"/>
      <c r="N4016" s="4"/>
      <c r="O4016" s="4"/>
      <c r="P4016" s="12" t="str">
        <f t="array" ref="P4016">IF(O4016:O8059="","",_xlfn.XLOOKUP(O4016:O8059,'参照_官位'!A:A,'参照_官位'!B:B,""))</f>
      </c>
      <c r="Q4016" s="12" t="str">
        <f t="array" ref="Q4016">IF(A4016:A8059="","",IFERROR(_xlfn.XLOOKUP(A4016:A8059,castles_state!K:K,castles_state!D:D)&amp;"主",IFERROR(_xlfn.XLOOKUP(A4016:A8059,kunishuClan!D:D,kunishuClan!B:B)&amp;"当主","")))</f>
      </c>
    </row>
    <row r="4017" ht="15.75" customHeight="1">
      <c r="A4017" s="4">
        <v>2067002</v>
      </c>
      <c r="B4017" s="12" t="str">
        <f t="array" ref="B4017">IF(A4017:A8060="","",_xlfn.XLOOKUP(A4017:A8060,'参照_武将'!A:A,'参照_武将'!B:B,"見つかりません"))</f>
      </c>
      <c r="C4017" s="4" t="s">
        <v>6055</v>
      </c>
      <c r="D4017" s="4">
        <v>0</v>
      </c>
      <c r="E4017" s="12" t="str">
        <f t="array" ref="E4017">IF(D4017:D8060="","",IFERROR(_xlfn.XLOOKUP(D4017:D8060,'参照_勢力'!A:A,'参照_勢力'!B:B),IFERROR(_xlfn.XLOOKUP(F4017:F8060,kunishuClan!A:A,kunishuClan!B:B),"浪人")))</f>
      </c>
      <c r="F4017" s="4">
        <v>0</v>
      </c>
      <c r="G4017" s="4">
        <v>48</v>
      </c>
      <c r="H4017" s="12" t="str">
        <f t="array" ref="H4017">IF(G4017:G8060="","",_xlfn.XLOOKUP(G4017:G8060,castles_state!A:A,castles_state!D:D,"見つかりません"))</f>
      </c>
      <c r="I4017" s="4"/>
      <c r="J4017" s="12" t="str">
        <f t="array" ref="J4017">IF(I4017:I8060="","",_xlfn.XLOOKUP(I4017:I8060,'参照_姫'!A:A,'参照_姫'!B:B,"見つかりません"))</f>
      </c>
      <c r="K4017" s="4">
        <v>50</v>
      </c>
      <c r="L4017" s="4">
        <v>300</v>
      </c>
      <c r="M4017" s="4"/>
      <c r="N4017" s="4"/>
      <c r="O4017" s="4"/>
      <c r="P4017" s="12" t="str">
        <f t="array" ref="P4017">IF(O4017:O8060="","",_xlfn.XLOOKUP(O4017:O8060,'参照_官位'!A:A,'参照_官位'!B:B,""))</f>
      </c>
      <c r="Q4017" s="12" t="str">
        <f t="array" ref="Q4017">IF(A4017:A8060="","",IFERROR(_xlfn.XLOOKUP(A4017:A8060,castles_state!K:K,castles_state!D:D)&amp;"主",IFERROR(_xlfn.XLOOKUP(A4017:A8060,kunishuClan!D:D,kunishuClan!B:B)&amp;"当主","")))</f>
      </c>
    </row>
    <row r="4018" ht="15.75" customHeight="1">
      <c r="A4018" s="4">
        <v>2067003</v>
      </c>
      <c r="B4018" s="12" t="str">
        <f t="array" ref="B4018">IF(A4018:A8061="","",_xlfn.XLOOKUP(A4018:A8061,'参照_武将'!A:A,'参照_武将'!B:B,"見つかりません"))</f>
      </c>
      <c r="C4018" s="4" t="s">
        <v>6055</v>
      </c>
      <c r="D4018" s="4">
        <v>0</v>
      </c>
      <c r="E4018" s="12" t="str">
        <f t="array" ref="E4018">IF(D4018:D8061="","",IFERROR(_xlfn.XLOOKUP(D4018:D8061,'参照_勢力'!A:A,'参照_勢力'!B:B),IFERROR(_xlfn.XLOOKUP(F4018:F8061,kunishuClan!A:A,kunishuClan!B:B),"浪人")))</f>
      </c>
      <c r="F4018" s="4">
        <v>0</v>
      </c>
      <c r="G4018" s="4">
        <v>48</v>
      </c>
      <c r="H4018" s="12" t="str">
        <f t="array" ref="H4018">IF(G4018:G8061="","",_xlfn.XLOOKUP(G4018:G8061,castles_state!A:A,castles_state!D:D,"見つかりません"))</f>
      </c>
      <c r="I4018" s="4"/>
      <c r="J4018" s="12" t="str">
        <f t="array" ref="J4018">IF(I4018:I8061="","",_xlfn.XLOOKUP(I4018:I8061,'参照_姫'!A:A,'参照_姫'!B:B,"見つかりません"))</f>
      </c>
      <c r="K4018" s="4">
        <v>50</v>
      </c>
      <c r="L4018" s="4">
        <v>0</v>
      </c>
      <c r="M4018" s="4"/>
      <c r="N4018" s="4"/>
      <c r="O4018" s="4"/>
      <c r="P4018" s="12" t="str">
        <f t="array" ref="P4018">IF(O4018:O8061="","",_xlfn.XLOOKUP(O4018:O8061,'参照_官位'!A:A,'参照_官位'!B:B,""))</f>
      </c>
      <c r="Q4018" s="12" t="str">
        <f t="array" ref="Q4018">IF(A4018:A8061="","",IFERROR(_xlfn.XLOOKUP(A4018:A8061,castles_state!K:K,castles_state!D:D)&amp;"主",IFERROR(_xlfn.XLOOKUP(A4018:A8061,kunishuClan!D:D,kunishuClan!B:B)&amp;"当主","")))</f>
      </c>
    </row>
    <row r="4019" ht="15.75" customHeight="1">
      <c r="A4019" s="4">
        <v>2067004</v>
      </c>
      <c r="B4019" s="12" t="str">
        <f t="array" ref="B4019">IF(A4019:A8062="","",_xlfn.XLOOKUP(A4019:A8062,'参照_武将'!A:A,'参照_武将'!B:B,"見つかりません"))</f>
      </c>
      <c r="C4019" s="4" t="s">
        <v>6055</v>
      </c>
      <c r="D4019" s="4">
        <v>0</v>
      </c>
      <c r="E4019" s="12" t="str">
        <f t="array" ref="E4019">IF(D4019:D8062="","",IFERROR(_xlfn.XLOOKUP(D4019:D8062,'参照_勢力'!A:A,'参照_勢力'!B:B),IFERROR(_xlfn.XLOOKUP(F4019:F8062,kunishuClan!A:A,kunishuClan!B:B),"浪人")))</f>
      </c>
      <c r="F4019" s="4">
        <v>0</v>
      </c>
      <c r="G4019" s="4">
        <v>181</v>
      </c>
      <c r="H4019" s="12" t="str">
        <f t="array" ref="H4019">IF(G4019:G8062="","",_xlfn.XLOOKUP(G4019:G8062,castles_state!A:A,castles_state!D:D,"見つかりません"))</f>
      </c>
      <c r="I4019" s="4"/>
      <c r="J4019" s="12" t="str">
        <f t="array" ref="J4019">IF(I4019:I8062="","",_xlfn.XLOOKUP(I4019:I8062,'参照_姫'!A:A,'参照_姫'!B:B,"見つかりません"))</f>
      </c>
      <c r="K4019" s="4">
        <v>50</v>
      </c>
      <c r="L4019" s="4">
        <v>0</v>
      </c>
      <c r="M4019" s="4"/>
      <c r="N4019" s="4"/>
      <c r="O4019" s="4"/>
      <c r="P4019" s="12" t="str">
        <f t="array" ref="P4019">IF(O4019:O8062="","",_xlfn.XLOOKUP(O4019:O8062,'参照_官位'!A:A,'参照_官位'!B:B,""))</f>
      </c>
      <c r="Q4019" s="12" t="str">
        <f t="array" ref="Q4019">IF(A4019:A8062="","",IFERROR(_xlfn.XLOOKUP(A4019:A8062,castles_state!K:K,castles_state!D:D)&amp;"主",IFERROR(_xlfn.XLOOKUP(A4019:A8062,kunishuClan!D:D,kunishuClan!B:B)&amp;"当主","")))</f>
      </c>
    </row>
    <row r="4020" ht="15.75" customHeight="1">
      <c r="A4020" s="4">
        <v>2067005</v>
      </c>
      <c r="B4020" s="12" t="str">
        <f t="array" ref="B4020">IF(A4020:A8063="","",_xlfn.XLOOKUP(A4020:A8063,'参照_武将'!A:A,'参照_武将'!B:B,"見つかりません"))</f>
      </c>
      <c r="C4020" s="4" t="s">
        <v>6055</v>
      </c>
      <c r="D4020" s="4">
        <v>0</v>
      </c>
      <c r="E4020" s="12" t="str">
        <f t="array" ref="E4020">IF(D4020:D8063="","",IFERROR(_xlfn.XLOOKUP(D4020:D8063,'参照_勢力'!A:A,'参照_勢力'!B:B),IFERROR(_xlfn.XLOOKUP(F4020:F8063,kunishuClan!A:A,kunishuClan!B:B),"浪人")))</f>
      </c>
      <c r="F4020" s="4">
        <v>0</v>
      </c>
      <c r="G4020" s="4">
        <v>48</v>
      </c>
      <c r="H4020" s="12" t="str">
        <f t="array" ref="H4020">IF(G4020:G8063="","",_xlfn.XLOOKUP(G4020:G8063,castles_state!A:A,castles_state!D:D,"見つかりません"))</f>
      </c>
      <c r="I4020" s="4"/>
      <c r="J4020" s="12" t="str">
        <f t="array" ref="J4020">IF(I4020:I8063="","",_xlfn.XLOOKUP(I4020:I8063,'参照_姫'!A:A,'参照_姫'!B:B,"見つかりません"))</f>
      </c>
      <c r="K4020" s="4">
        <v>50</v>
      </c>
      <c r="L4020" s="4">
        <v>0</v>
      </c>
      <c r="M4020" s="4"/>
      <c r="N4020" s="4"/>
      <c r="O4020" s="4"/>
      <c r="P4020" s="12" t="str">
        <f t="array" ref="P4020">IF(O4020:O8063="","",_xlfn.XLOOKUP(O4020:O8063,'参照_官位'!A:A,'参照_官位'!B:B,""))</f>
      </c>
      <c r="Q4020" s="12" t="str">
        <f t="array" ref="Q4020">IF(A4020:A8063="","",IFERROR(_xlfn.XLOOKUP(A4020:A8063,castles_state!K:K,castles_state!D:D)&amp;"主",IFERROR(_xlfn.XLOOKUP(A4020:A8063,kunishuClan!D:D,kunishuClan!B:B)&amp;"当主","")))</f>
      </c>
    </row>
    <row r="4021" ht="15.75" customHeight="1">
      <c r="A4021" s="4">
        <v>2801001</v>
      </c>
      <c r="B4021" s="12" t="str">
        <f t="array" ref="B4021">IF(A4021:A8064="","",_xlfn.XLOOKUP(A4021:A8064,'参照_武将'!A:A,'参照_武将'!B:B,"見つかりません"))</f>
      </c>
      <c r="C4021" s="4" t="s">
        <v>6056</v>
      </c>
      <c r="D4021" s="4">
        <v>0</v>
      </c>
      <c r="E4021" s="12" t="str">
        <f t="array" ref="E4021">IF(D4021:D8064="","",IFERROR(_xlfn.XLOOKUP(D4021:D8064,'参照_勢力'!A:A,'参照_勢力'!B:B),IFERROR(_xlfn.XLOOKUP(F4021:F8064,kunishuClan!A:A,kunishuClan!B:B),"浪人")))</f>
      </c>
      <c r="F4021" s="4">
        <v>801</v>
      </c>
      <c r="G4021" s="4">
        <v>179</v>
      </c>
      <c r="H4021" s="12" t="str">
        <f t="array" ref="H4021">IF(G4021:G8064="","",_xlfn.XLOOKUP(G4021:G8064,castles_state!A:A,castles_state!D:D,"見つかりません"))</f>
      </c>
      <c r="I4021" s="4"/>
      <c r="J4021" s="12" t="str">
        <f t="array" ref="J4021">IF(I4021:I8064="","",_xlfn.XLOOKUP(I4021:I8064,'参照_姫'!A:A,'参照_姫'!B:B,"見つかりません"))</f>
      </c>
      <c r="K4021" s="4">
        <v>50</v>
      </c>
      <c r="L4021" s="4">
        <v>300</v>
      </c>
      <c r="M4021" s="4"/>
      <c r="N4021" s="4"/>
      <c r="O4021" s="4"/>
      <c r="P4021" s="12" t="str">
        <f t="array" ref="P4021">IF(O4021:O8064="","",_xlfn.XLOOKUP(O4021:O8064,'参照_官位'!A:A,'参照_官位'!B:B,""))</f>
      </c>
      <c r="Q4021" s="12" t="str">
        <f t="array" ref="Q4021">IF(A4021:A8064="","",IFERROR(_xlfn.XLOOKUP(A4021:A8064,castles_state!K:K,castles_state!D:D)&amp;"主",IFERROR(_xlfn.XLOOKUP(A4021:A8064,kunishuClan!D:D,kunishuClan!B:B)&amp;"当主","")))</f>
      </c>
    </row>
    <row r="4022" ht="15.75" customHeight="1">
      <c r="A4022" s="4">
        <v>2801002</v>
      </c>
      <c r="B4022" s="12" t="str">
        <f t="array" ref="B4022">IF(A4022:A8065="","",_xlfn.XLOOKUP(A4022:A8065,'参照_武将'!A:A,'参照_武将'!B:B,"見つかりません"))</f>
      </c>
      <c r="C4022" s="4" t="s">
        <v>6056</v>
      </c>
      <c r="D4022" s="4">
        <v>0</v>
      </c>
      <c r="E4022" s="12" t="str">
        <f t="array" ref="E4022">IF(D4022:D8065="","",IFERROR(_xlfn.XLOOKUP(D4022:D8065,'参照_勢力'!A:A,'参照_勢力'!B:B),IFERROR(_xlfn.XLOOKUP(F4022:F8065,kunishuClan!A:A,kunishuClan!B:B),"浪人")))</f>
      </c>
      <c r="F4022" s="4">
        <v>801</v>
      </c>
      <c r="G4022" s="4">
        <v>179</v>
      </c>
      <c r="H4022" s="12" t="str">
        <f t="array" ref="H4022">IF(G4022:G8065="","",_xlfn.XLOOKUP(G4022:G8065,castles_state!A:A,castles_state!D:D,"見つかりません"))</f>
      </c>
      <c r="I4022" s="4"/>
      <c r="J4022" s="12" t="str">
        <f t="array" ref="J4022">IF(I4022:I8065="","",_xlfn.XLOOKUP(I4022:I8065,'参照_姫'!A:A,'参照_姫'!B:B,"見つかりません"))</f>
      </c>
      <c r="K4022" s="4">
        <v>50</v>
      </c>
      <c r="L4022" s="4">
        <v>0</v>
      </c>
      <c r="M4022" s="4"/>
      <c r="N4022" s="4"/>
      <c r="O4022" s="4"/>
      <c r="P4022" s="12" t="str">
        <f t="array" ref="P4022">IF(O4022:O8065="","",_xlfn.XLOOKUP(O4022:O8065,'参照_官位'!A:A,'参照_官位'!B:B,""))</f>
      </c>
      <c r="Q4022" s="12" t="str">
        <f t="array" ref="Q4022">IF(A4022:A8065="","",IFERROR(_xlfn.XLOOKUP(A4022:A8065,castles_state!K:K,castles_state!D:D)&amp;"主",IFERROR(_xlfn.XLOOKUP(A4022:A8065,kunishuClan!D:D,kunishuClan!B:B)&amp;"当主","")))</f>
      </c>
    </row>
    <row r="4023" ht="15.75" customHeight="1">
      <c r="A4023" s="4">
        <v>2802001</v>
      </c>
      <c r="B4023" s="12" t="str">
        <f t="array" ref="B4023">IF(A4023:A8066="","",_xlfn.XLOOKUP(A4023:A8066,'参照_武将'!A:A,'参照_武将'!B:B,"見つかりません"))</f>
      </c>
      <c r="C4023" s="4" t="s">
        <v>6057</v>
      </c>
      <c r="D4023" s="4">
        <v>0</v>
      </c>
      <c r="E4023" s="12" t="str">
        <f t="array" ref="E4023">IF(D4023:D8066="","",IFERROR(_xlfn.XLOOKUP(D4023:D8066,'参照_勢力'!A:A,'参照_勢力'!B:B),IFERROR(_xlfn.XLOOKUP(F4023:F8066,kunishuClan!A:A,kunishuClan!B:B),"浪人")))</f>
      </c>
      <c r="F4023" s="4">
        <v>802</v>
      </c>
      <c r="G4023" s="4">
        <v>83</v>
      </c>
      <c r="H4023" s="12" t="str">
        <f t="array" ref="H4023">IF(G4023:G8066="","",_xlfn.XLOOKUP(G4023:G8066,castles_state!A:A,castles_state!D:D,"見つかりません"))</f>
      </c>
      <c r="I4023" s="4"/>
      <c r="J4023" s="12" t="str">
        <f t="array" ref="J4023">IF(I4023:I8066="","",_xlfn.XLOOKUP(I4023:I8066,'参照_姫'!A:A,'参照_姫'!B:B,"見つかりません"))</f>
      </c>
      <c r="K4023" s="4">
        <v>50</v>
      </c>
      <c r="L4023" s="4">
        <v>300</v>
      </c>
      <c r="M4023" s="4"/>
      <c r="N4023" s="4"/>
      <c r="O4023" s="4"/>
      <c r="P4023" s="12" t="str">
        <f t="array" ref="P4023">IF(O4023:O8066="","",_xlfn.XLOOKUP(O4023:O8066,'参照_官位'!A:A,'参照_官位'!B:B,""))</f>
      </c>
      <c r="Q4023" s="12" t="str">
        <f t="array" ref="Q4023">IF(A4023:A8066="","",IFERROR(_xlfn.XLOOKUP(A4023:A8066,castles_state!K:K,castles_state!D:D)&amp;"主",IFERROR(_xlfn.XLOOKUP(A4023:A8066,kunishuClan!D:D,kunishuClan!B:B)&amp;"当主","")))</f>
      </c>
    </row>
    <row r="4024" ht="15.75" customHeight="1">
      <c r="A4024" s="4">
        <v>2802002</v>
      </c>
      <c r="B4024" s="12" t="str">
        <f t="array" ref="B4024">IF(A4024:A8067="","",_xlfn.XLOOKUP(A4024:A8067,'参照_武将'!A:A,'参照_武将'!B:B,"見つかりません"))</f>
      </c>
      <c r="C4024" s="4" t="s">
        <v>6057</v>
      </c>
      <c r="D4024" s="4">
        <v>0</v>
      </c>
      <c r="E4024" s="12" t="str">
        <f t="array" ref="E4024">IF(D4024:D8067="","",IFERROR(_xlfn.XLOOKUP(D4024:D8067,'参照_勢力'!A:A,'参照_勢力'!B:B),IFERROR(_xlfn.XLOOKUP(F4024:F8067,kunishuClan!A:A,kunishuClan!B:B),"浪人")))</f>
      </c>
      <c r="F4024" s="4">
        <v>802</v>
      </c>
      <c r="G4024" s="4">
        <v>83</v>
      </c>
      <c r="H4024" s="12" t="str">
        <f t="array" ref="H4024">IF(G4024:G8067="","",_xlfn.XLOOKUP(G4024:G8067,castles_state!A:A,castles_state!D:D,"見つかりません"))</f>
      </c>
      <c r="I4024" s="4"/>
      <c r="J4024" s="12" t="str">
        <f t="array" ref="J4024">IF(I4024:I8067="","",_xlfn.XLOOKUP(I4024:I8067,'参照_姫'!A:A,'参照_姫'!B:B,"見つかりません"))</f>
      </c>
      <c r="K4024" s="4">
        <v>50</v>
      </c>
      <c r="L4024" s="4">
        <v>0</v>
      </c>
      <c r="M4024" s="4"/>
      <c r="N4024" s="4"/>
      <c r="O4024" s="4"/>
      <c r="P4024" s="12" t="str">
        <f t="array" ref="P4024">IF(O4024:O8067="","",_xlfn.XLOOKUP(O4024:O8067,'参照_官位'!A:A,'参照_官位'!B:B,""))</f>
      </c>
      <c r="Q4024" s="12" t="str">
        <f t="array" ref="Q4024">IF(A4024:A8067="","",IFERROR(_xlfn.XLOOKUP(A4024:A8067,castles_state!K:K,castles_state!D:D)&amp;"主",IFERROR(_xlfn.XLOOKUP(A4024:A8067,kunishuClan!D:D,kunishuClan!B:B)&amp;"当主","")))</f>
      </c>
    </row>
    <row r="4025" ht="15.75" customHeight="1">
      <c r="A4025" s="4">
        <v>2803001</v>
      </c>
      <c r="B4025" s="12" t="str">
        <f t="array" ref="B4025">IF(A4025:A8068="","",_xlfn.XLOOKUP(A4025:A8068,'参照_武将'!A:A,'参照_武将'!B:B,"見つかりません"))</f>
      </c>
      <c r="C4025" s="4" t="s">
        <v>6058</v>
      </c>
      <c r="D4025" s="4">
        <v>0</v>
      </c>
      <c r="E4025" s="12" t="str">
        <f t="array" ref="E4025">IF(D4025:D8068="","",IFERROR(_xlfn.XLOOKUP(D4025:D8068,'参照_勢力'!A:A,'参照_勢力'!B:B),IFERROR(_xlfn.XLOOKUP(F4025:F8068,kunishuClan!A:A,kunishuClan!B:B),"浪人")))</f>
      </c>
      <c r="F4025" s="4">
        <v>803</v>
      </c>
      <c r="G4025" s="4">
        <v>22</v>
      </c>
      <c r="H4025" s="12" t="str">
        <f t="array" ref="H4025">IF(G4025:G8068="","",_xlfn.XLOOKUP(G4025:G8068,castles_state!A:A,castles_state!D:D,"見つかりません"))</f>
      </c>
      <c r="I4025" s="4"/>
      <c r="J4025" s="12" t="str">
        <f t="array" ref="J4025">IF(I4025:I8068="","",_xlfn.XLOOKUP(I4025:I8068,'参照_姫'!A:A,'参照_姫'!B:B,"見つかりません"))</f>
      </c>
      <c r="K4025" s="4">
        <v>50</v>
      </c>
      <c r="L4025" s="4">
        <v>0</v>
      </c>
      <c r="M4025" s="4"/>
      <c r="N4025" s="4"/>
      <c r="O4025" s="4"/>
      <c r="P4025" s="12" t="str">
        <f t="array" ref="P4025">IF(O4025:O8068="","",_xlfn.XLOOKUP(O4025:O8068,'参照_官位'!A:A,'参照_官位'!B:B,""))</f>
      </c>
      <c r="Q4025" s="12" t="str">
        <f t="array" ref="Q4025">IF(A4025:A8068="","",IFERROR(_xlfn.XLOOKUP(A4025:A8068,castles_state!K:K,castles_state!D:D)&amp;"主",IFERROR(_xlfn.XLOOKUP(A4025:A8068,kunishuClan!D:D,kunishuClan!B:B)&amp;"当主","")))</f>
      </c>
    </row>
    <row r="4026" ht="15.75" customHeight="1">
      <c r="A4026" s="4">
        <v>2803002</v>
      </c>
      <c r="B4026" s="12" t="str">
        <f t="array" ref="B4026">IF(A4026:A8069="","",_xlfn.XLOOKUP(A4026:A8069,'参照_武将'!A:A,'参照_武将'!B:B,"見つかりません"))</f>
      </c>
      <c r="C4026" s="4" t="s">
        <v>6058</v>
      </c>
      <c r="D4026" s="4">
        <v>0</v>
      </c>
      <c r="E4026" s="12" t="str">
        <f t="array" ref="E4026">IF(D4026:D8069="","",IFERROR(_xlfn.XLOOKUP(D4026:D8069,'参照_勢力'!A:A,'参照_勢力'!B:B),IFERROR(_xlfn.XLOOKUP(F4026:F8069,kunishuClan!A:A,kunishuClan!B:B),"浪人")))</f>
      </c>
      <c r="F4026" s="4">
        <v>803</v>
      </c>
      <c r="G4026" s="4">
        <v>22</v>
      </c>
      <c r="H4026" s="12" t="str">
        <f t="array" ref="H4026">IF(G4026:G8069="","",_xlfn.XLOOKUP(G4026:G8069,castles_state!A:A,castles_state!D:D,"見つかりません"))</f>
      </c>
      <c r="I4026" s="4"/>
      <c r="J4026" s="12" t="str">
        <f t="array" ref="J4026">IF(I4026:I8069="","",_xlfn.XLOOKUP(I4026:I8069,'参照_姫'!A:A,'参照_姫'!B:B,"見つかりません"))</f>
      </c>
      <c r="K4026" s="4">
        <v>50</v>
      </c>
      <c r="L4026" s="4">
        <v>300</v>
      </c>
      <c r="M4026" s="4"/>
      <c r="N4026" s="4"/>
      <c r="O4026" s="4"/>
      <c r="P4026" s="12" t="str">
        <f t="array" ref="P4026">IF(O4026:O8069="","",_xlfn.XLOOKUP(O4026:O8069,'参照_官位'!A:A,'参照_官位'!B:B,""))</f>
      </c>
      <c r="Q4026" s="12" t="str">
        <f t="array" ref="Q4026">IF(A4026:A8069="","",IFERROR(_xlfn.XLOOKUP(A4026:A8069,castles_state!K:K,castles_state!D:D)&amp;"主",IFERROR(_xlfn.XLOOKUP(A4026:A8069,kunishuClan!D:D,kunishuClan!B:B)&amp;"当主","")))</f>
      </c>
    </row>
    <row r="4027" ht="15.75" customHeight="1">
      <c r="A4027" s="4">
        <v>2803003</v>
      </c>
      <c r="B4027" s="12" t="str">
        <f t="array" ref="B4027">IF(A4027:A8070="","",_xlfn.XLOOKUP(A4027:A8070,'参照_武将'!A:A,'参照_武将'!B:B,"見つかりません"))</f>
      </c>
      <c r="C4027" s="4" t="s">
        <v>6058</v>
      </c>
      <c r="D4027" s="4">
        <v>0</v>
      </c>
      <c r="E4027" s="12" t="str">
        <f t="array" ref="E4027">IF(D4027:D8070="","",IFERROR(_xlfn.XLOOKUP(D4027:D8070,'参照_勢力'!A:A,'参照_勢力'!B:B),IFERROR(_xlfn.XLOOKUP(F4027:F8070,kunishuClan!A:A,kunishuClan!B:B),"浪人")))</f>
      </c>
      <c r="F4027" s="4">
        <v>803</v>
      </c>
      <c r="G4027" s="4">
        <v>22</v>
      </c>
      <c r="H4027" s="12" t="str">
        <f t="array" ref="H4027">IF(G4027:G8070="","",_xlfn.XLOOKUP(G4027:G8070,castles_state!A:A,castles_state!D:D,"見つかりません"))</f>
      </c>
      <c r="I4027" s="4"/>
      <c r="J4027" s="12" t="str">
        <f t="array" ref="J4027">IF(I4027:I8070="","",_xlfn.XLOOKUP(I4027:I8070,'参照_姫'!A:A,'参照_姫'!B:B,"見つかりません"))</f>
      </c>
      <c r="K4027" s="4">
        <v>50</v>
      </c>
      <c r="L4027" s="4">
        <v>0</v>
      </c>
      <c r="M4027" s="4"/>
      <c r="N4027" s="4"/>
      <c r="O4027" s="4"/>
      <c r="P4027" s="12" t="str">
        <f t="array" ref="P4027">IF(O4027:O8070="","",_xlfn.XLOOKUP(O4027:O8070,'参照_官位'!A:A,'参照_官位'!B:B,""))</f>
      </c>
      <c r="Q4027" s="12" t="str">
        <f t="array" ref="Q4027">IF(A4027:A8070="","",IFERROR(_xlfn.XLOOKUP(A4027:A8070,castles_state!K:K,castles_state!D:D)&amp;"主",IFERROR(_xlfn.XLOOKUP(A4027:A8070,kunishuClan!D:D,kunishuClan!B:B)&amp;"当主","")))</f>
      </c>
    </row>
    <row r="4028" ht="15.75" customHeight="1">
      <c r="A4028" s="4">
        <v>2803004</v>
      </c>
      <c r="B4028" s="12" t="str">
        <f t="array" ref="B4028">IF(A4028:A8071="","",_xlfn.XLOOKUP(A4028:A8071,'参照_武将'!A:A,'参照_武将'!B:B,"見つかりません"))</f>
      </c>
      <c r="C4028" s="4" t="s">
        <v>6058</v>
      </c>
      <c r="D4028" s="4">
        <v>0</v>
      </c>
      <c r="E4028" s="12" t="str">
        <f t="array" ref="E4028">IF(D4028:D8071="","",IFERROR(_xlfn.XLOOKUP(D4028:D8071,'参照_勢力'!A:A,'参照_勢力'!B:B),IFERROR(_xlfn.XLOOKUP(F4028:F8071,kunishuClan!A:A,kunishuClan!B:B),"浪人")))</f>
      </c>
      <c r="F4028" s="4">
        <v>803</v>
      </c>
      <c r="G4028" s="4">
        <v>22</v>
      </c>
      <c r="H4028" s="12" t="str">
        <f t="array" ref="H4028">IF(G4028:G8071="","",_xlfn.XLOOKUP(G4028:G8071,castles_state!A:A,castles_state!D:D,"見つかりません"))</f>
      </c>
      <c r="I4028" s="4"/>
      <c r="J4028" s="12" t="str">
        <f t="array" ref="J4028">IF(I4028:I8071="","",_xlfn.XLOOKUP(I4028:I8071,'参照_姫'!A:A,'参照_姫'!B:B,"見つかりません"))</f>
      </c>
      <c r="K4028" s="4">
        <v>50</v>
      </c>
      <c r="L4028" s="4">
        <v>0</v>
      </c>
      <c r="M4028" s="4"/>
      <c r="N4028" s="4"/>
      <c r="O4028" s="4"/>
      <c r="P4028" s="12" t="str">
        <f t="array" ref="P4028">IF(O4028:O8071="","",_xlfn.XLOOKUP(O4028:O8071,'参照_官位'!A:A,'参照_官位'!B:B,""))</f>
      </c>
      <c r="Q4028" s="12" t="str">
        <f t="array" ref="Q4028">IF(A4028:A8071="","",IFERROR(_xlfn.XLOOKUP(A4028:A8071,castles_state!K:K,castles_state!D:D)&amp;"主",IFERROR(_xlfn.XLOOKUP(A4028:A8071,kunishuClan!D:D,kunishuClan!B:B)&amp;"当主","")))</f>
      </c>
    </row>
    <row r="4029" ht="15.75" customHeight="1">
      <c r="A4029" s="4">
        <v>2803005</v>
      </c>
      <c r="B4029" s="12" t="str">
        <f t="array" ref="B4029">IF(A4029:A8072="","",_xlfn.XLOOKUP(A4029:A8072,'参照_武将'!A:A,'参照_武将'!B:B,"見つかりません"))</f>
      </c>
      <c r="C4029" s="4" t="s">
        <v>6058</v>
      </c>
      <c r="D4029" s="4">
        <v>0</v>
      </c>
      <c r="E4029" s="12" t="str">
        <f t="array" ref="E4029">IF(D4029:D8072="","",IFERROR(_xlfn.XLOOKUP(D4029:D8072,'参照_勢力'!A:A,'参照_勢力'!B:B),IFERROR(_xlfn.XLOOKUP(F4029:F8072,kunishuClan!A:A,kunishuClan!B:B),"浪人")))</f>
      </c>
      <c r="F4029" s="4">
        <v>803</v>
      </c>
      <c r="G4029" s="4">
        <v>22</v>
      </c>
      <c r="H4029" s="12" t="str">
        <f t="array" ref="H4029">IF(G4029:G8072="","",_xlfn.XLOOKUP(G4029:G8072,castles_state!A:A,castles_state!D:D,"見つかりません"))</f>
      </c>
      <c r="I4029" s="4"/>
      <c r="J4029" s="12" t="str">
        <f t="array" ref="J4029">IF(I4029:I8072="","",_xlfn.XLOOKUP(I4029:I8072,'参照_姫'!A:A,'参照_姫'!B:B,"見つかりません"))</f>
      </c>
      <c r="K4029" s="4">
        <v>50</v>
      </c>
      <c r="L4029" s="4">
        <v>0</v>
      </c>
      <c r="M4029" s="4"/>
      <c r="N4029" s="4"/>
      <c r="O4029" s="4"/>
      <c r="P4029" s="12" t="str">
        <f t="array" ref="P4029">IF(O4029:O8072="","",_xlfn.XLOOKUP(O4029:O8072,'参照_官位'!A:A,'参照_官位'!B:B,""))</f>
      </c>
      <c r="Q4029" s="12" t="str">
        <f t="array" ref="Q4029">IF(A4029:A8072="","",IFERROR(_xlfn.XLOOKUP(A4029:A8072,castles_state!K:K,castles_state!D:D)&amp;"主",IFERROR(_xlfn.XLOOKUP(A4029:A8072,kunishuClan!D:D,kunishuClan!B:B)&amp;"当主","")))</f>
      </c>
    </row>
    <row r="4030" ht="15.75" customHeight="1">
      <c r="A4030" s="4">
        <v>2901001</v>
      </c>
      <c r="B4030" s="12" t="str">
        <f t="array" ref="B4030">IF(A4030:A8073="","",_xlfn.XLOOKUP(A4030:A8073,'参照_武将'!A:A,'参照_武将'!B:B,"見つかりません"))</f>
      </c>
      <c r="C4030" s="4" t="s">
        <v>6059</v>
      </c>
      <c r="D4030" s="4">
        <v>0</v>
      </c>
      <c r="E4030" s="12" t="str">
        <f t="array" ref="E4030">IF(D4030:D8073="","",IFERROR(_xlfn.XLOOKUP(D4030:D8073,'参照_勢力'!A:A,'参照_勢力'!B:B),IFERROR(_xlfn.XLOOKUP(F4030:F8073,kunishuClan!A:A,kunishuClan!B:B),"浪人")))</f>
      </c>
      <c r="F4030" s="4">
        <v>901</v>
      </c>
      <c r="G4030" s="4">
        <v>26</v>
      </c>
      <c r="H4030" s="12" t="str">
        <f t="array" ref="H4030">IF(G4030:G8073="","",_xlfn.XLOOKUP(G4030:G8073,castles_state!A:A,castles_state!D:D,"見つかりません"))</f>
      </c>
      <c r="I4030" s="4"/>
      <c r="J4030" s="12" t="str">
        <f t="array" ref="J4030">IF(I4030:I8073="","",_xlfn.XLOOKUP(I4030:I8073,'参照_姫'!A:A,'参照_姫'!B:B,"見つかりません"))</f>
      </c>
      <c r="K4030" s="4">
        <v>50</v>
      </c>
      <c r="L4030" s="4">
        <v>300</v>
      </c>
      <c r="M4030" s="4"/>
      <c r="N4030" s="4"/>
      <c r="O4030" s="4"/>
      <c r="P4030" s="12" t="str">
        <f t="array" ref="P4030">IF(O4030:O8073="","",_xlfn.XLOOKUP(O4030:O8073,'参照_官位'!A:A,'参照_官位'!B:B,""))</f>
      </c>
      <c r="Q4030" s="12" t="str">
        <f t="array" ref="Q4030">IF(A4030:A8073="","",IFERROR(_xlfn.XLOOKUP(A4030:A8073,castles_state!K:K,castles_state!D:D)&amp;"主",IFERROR(_xlfn.XLOOKUP(A4030:A8073,kunishuClan!D:D,kunishuClan!B:B)&amp;"当主","")))</f>
      </c>
    </row>
    <row r="4031" ht="15.75" customHeight="1">
      <c r="A4031" s="4">
        <v>2901002</v>
      </c>
      <c r="B4031" s="12" t="str">
        <f t="array" ref="B4031">IF(A4031:A8074="","",_xlfn.XLOOKUP(A4031:A8074,'参照_武将'!A:A,'参照_武将'!B:B,"見つかりません"))</f>
      </c>
      <c r="C4031" s="4" t="s">
        <v>6059</v>
      </c>
      <c r="D4031" s="4">
        <v>0</v>
      </c>
      <c r="E4031" s="12" t="str">
        <f t="array" ref="E4031">IF(D4031:D8074="","",IFERROR(_xlfn.XLOOKUP(D4031:D8074,'参照_勢力'!A:A,'参照_勢力'!B:B),IFERROR(_xlfn.XLOOKUP(F4031:F8074,kunishuClan!A:A,kunishuClan!B:B),"浪人")))</f>
      </c>
      <c r="F4031" s="4">
        <v>901</v>
      </c>
      <c r="G4031" s="4">
        <v>26</v>
      </c>
      <c r="H4031" s="12" t="str">
        <f t="array" ref="H4031">IF(G4031:G8074="","",_xlfn.XLOOKUP(G4031:G8074,castles_state!A:A,castles_state!D:D,"見つかりません"))</f>
      </c>
      <c r="I4031" s="4"/>
      <c r="J4031" s="12" t="str">
        <f t="array" ref="J4031">IF(I4031:I8074="","",_xlfn.XLOOKUP(I4031:I8074,'参照_姫'!A:A,'参照_姫'!B:B,"見つかりません"))</f>
      </c>
      <c r="K4031" s="4">
        <v>50</v>
      </c>
      <c r="L4031" s="4">
        <v>0</v>
      </c>
      <c r="M4031" s="4"/>
      <c r="N4031" s="4"/>
      <c r="O4031" s="4"/>
      <c r="P4031" s="12" t="str">
        <f t="array" ref="P4031">IF(O4031:O8074="","",_xlfn.XLOOKUP(O4031:O8074,'参照_官位'!A:A,'参照_官位'!B:B,""))</f>
      </c>
      <c r="Q4031" s="12" t="str">
        <f t="array" ref="Q4031">IF(A4031:A8074="","",IFERROR(_xlfn.XLOOKUP(A4031:A8074,castles_state!K:K,castles_state!D:D)&amp;"主",IFERROR(_xlfn.XLOOKUP(A4031:A8074,kunishuClan!D:D,kunishuClan!B:B)&amp;"当主","")))</f>
      </c>
    </row>
    <row r="4032" ht="15.75" customHeight="1">
      <c r="A4032" s="4">
        <v>2901003</v>
      </c>
      <c r="B4032" s="12" t="str">
        <f t="array" ref="B4032">IF(A4032:A8075="","",_xlfn.XLOOKUP(A4032:A8075,'参照_武将'!A:A,'参照_武将'!B:B,"見つかりません"))</f>
      </c>
      <c r="C4032" s="4" t="s">
        <v>6059</v>
      </c>
      <c r="D4032" s="4">
        <v>0</v>
      </c>
      <c r="E4032" s="12" t="str">
        <f t="array" ref="E4032">IF(D4032:D8075="","",IFERROR(_xlfn.XLOOKUP(D4032:D8075,'参照_勢力'!A:A,'参照_勢力'!B:B),IFERROR(_xlfn.XLOOKUP(F4032:F8075,kunishuClan!A:A,kunishuClan!B:B),"浪人")))</f>
      </c>
      <c r="F4032" s="4">
        <v>901</v>
      </c>
      <c r="G4032" s="4">
        <v>26</v>
      </c>
      <c r="H4032" s="12" t="str">
        <f t="array" ref="H4032">IF(G4032:G8075="","",_xlfn.XLOOKUP(G4032:G8075,castles_state!A:A,castles_state!D:D,"見つかりません"))</f>
      </c>
      <c r="I4032" s="4"/>
      <c r="J4032" s="12" t="str">
        <f t="array" ref="J4032">IF(I4032:I8075="","",_xlfn.XLOOKUP(I4032:I8075,'参照_姫'!A:A,'参照_姫'!B:B,"見つかりません"))</f>
      </c>
      <c r="K4032" s="4">
        <v>50</v>
      </c>
      <c r="L4032" s="4">
        <v>0</v>
      </c>
      <c r="M4032" s="4"/>
      <c r="N4032" s="4"/>
      <c r="O4032" s="4"/>
      <c r="P4032" s="12" t="str">
        <f t="array" ref="P4032">IF(O4032:O8075="","",_xlfn.XLOOKUP(O4032:O8075,'参照_官位'!A:A,'参照_官位'!B:B,""))</f>
      </c>
      <c r="Q4032" s="12" t="str">
        <f t="array" ref="Q4032">IF(A4032:A8075="","",IFERROR(_xlfn.XLOOKUP(A4032:A8075,castles_state!K:K,castles_state!D:D)&amp;"主",IFERROR(_xlfn.XLOOKUP(A4032:A8075,kunishuClan!D:D,kunishuClan!B:B)&amp;"当主","")))</f>
      </c>
    </row>
    <row r="4033" ht="15.75" customHeight="1">
      <c r="A4033" s="4">
        <v>2901004</v>
      </c>
      <c r="B4033" s="12" t="str">
        <f t="array" ref="B4033">IF(A4033:A8076="","",_xlfn.XLOOKUP(A4033:A8076,'参照_武将'!A:A,'参照_武将'!B:B,"見つかりません"))</f>
      </c>
      <c r="C4033" s="4" t="s">
        <v>6059</v>
      </c>
      <c r="D4033" s="4">
        <v>0</v>
      </c>
      <c r="E4033" s="12" t="str">
        <f t="array" ref="E4033">IF(D4033:D8076="","",IFERROR(_xlfn.XLOOKUP(D4033:D8076,'参照_勢力'!A:A,'参照_勢力'!B:B),IFERROR(_xlfn.XLOOKUP(F4033:F8076,kunishuClan!A:A,kunishuClan!B:B),"浪人")))</f>
      </c>
      <c r="F4033" s="4">
        <v>901</v>
      </c>
      <c r="G4033" s="4">
        <v>26</v>
      </c>
      <c r="H4033" s="12" t="str">
        <f t="array" ref="H4033">IF(G4033:G8076="","",_xlfn.XLOOKUP(G4033:G8076,castles_state!A:A,castles_state!D:D,"見つかりません"))</f>
      </c>
      <c r="I4033" s="4"/>
      <c r="J4033" s="12" t="str">
        <f t="array" ref="J4033">IF(I4033:I8076="","",_xlfn.XLOOKUP(I4033:I8076,'参照_姫'!A:A,'参照_姫'!B:B,"見つかりません"))</f>
      </c>
      <c r="K4033" s="4">
        <v>50</v>
      </c>
      <c r="L4033" s="4">
        <v>0</v>
      </c>
      <c r="M4033" s="4"/>
      <c r="N4033" s="4"/>
      <c r="O4033" s="4"/>
      <c r="P4033" s="12" t="str">
        <f t="array" ref="P4033">IF(O4033:O8076="","",_xlfn.XLOOKUP(O4033:O8076,'参照_官位'!A:A,'参照_官位'!B:B,""))</f>
      </c>
      <c r="Q4033" s="12" t="str">
        <f t="array" ref="Q4033">IF(A4033:A8076="","",IFERROR(_xlfn.XLOOKUP(A4033:A8076,castles_state!K:K,castles_state!D:D)&amp;"主",IFERROR(_xlfn.XLOOKUP(A4033:A8076,kunishuClan!D:D,kunishuClan!B:B)&amp;"当主","")))</f>
      </c>
    </row>
    <row r="4034" ht="15.75" customHeight="1">
      <c r="A4034" s="4">
        <v>2902001</v>
      </c>
      <c r="B4034" s="12" t="str">
        <f t="array" ref="B4034">IF(A4034:A8077="","",_xlfn.XLOOKUP(A4034:A8077,'参照_武将'!A:A,'参照_武将'!B:B,"見つかりません"))</f>
      </c>
      <c r="C4034" s="4" t="s">
        <v>6060</v>
      </c>
      <c r="D4034" s="4">
        <v>0</v>
      </c>
      <c r="E4034" s="12" t="str">
        <f t="array" ref="E4034">IF(D4034:D8077="","",IFERROR(_xlfn.XLOOKUP(D4034:D8077,'参照_勢力'!A:A,'参照_勢力'!B:B),IFERROR(_xlfn.XLOOKUP(F4034:F8077,kunishuClan!A:A,kunishuClan!B:B),"浪人")))</f>
      </c>
      <c r="F4034" s="4">
        <v>902</v>
      </c>
      <c r="G4034" s="4">
        <v>33</v>
      </c>
      <c r="H4034" s="12" t="str">
        <f t="array" ref="H4034">IF(G4034:G8077="","",_xlfn.XLOOKUP(G4034:G8077,castles_state!A:A,castles_state!D:D,"見つかりません"))</f>
      </c>
      <c r="I4034" s="4"/>
      <c r="J4034" s="12" t="str">
        <f t="array" ref="J4034">IF(I4034:I8077="","",_xlfn.XLOOKUP(I4034:I8077,'参照_姫'!A:A,'参照_姫'!B:B,"見つかりません"))</f>
      </c>
      <c r="K4034" s="4">
        <v>50</v>
      </c>
      <c r="L4034" s="4">
        <v>300</v>
      </c>
      <c r="M4034" s="4"/>
      <c r="N4034" s="4"/>
      <c r="O4034" s="4"/>
      <c r="P4034" s="12" t="str">
        <f t="array" ref="P4034">IF(O4034:O8077="","",_xlfn.XLOOKUP(O4034:O8077,'参照_官位'!A:A,'参照_官位'!B:B,""))</f>
      </c>
      <c r="Q4034" s="12" t="str">
        <f t="array" ref="Q4034">IF(A4034:A8077="","",IFERROR(_xlfn.XLOOKUP(A4034:A8077,castles_state!K:K,castles_state!D:D)&amp;"主",IFERROR(_xlfn.XLOOKUP(A4034:A8077,kunishuClan!D:D,kunishuClan!B:B)&amp;"当主","")))</f>
      </c>
    </row>
    <row r="4035" ht="15.75" customHeight="1">
      <c r="A4035" s="4">
        <v>2902002</v>
      </c>
      <c r="B4035" s="12" t="str">
        <f t="array" ref="B4035">IF(A4035:A8078="","",_xlfn.XLOOKUP(A4035:A8078,'参照_武将'!A:A,'参照_武将'!B:B,"見つかりません"))</f>
      </c>
      <c r="C4035" s="4" t="s">
        <v>6060</v>
      </c>
      <c r="D4035" s="4">
        <v>0</v>
      </c>
      <c r="E4035" s="12" t="str">
        <f t="array" ref="E4035">IF(D4035:D8078="","",IFERROR(_xlfn.XLOOKUP(D4035:D8078,'参照_勢力'!A:A,'参照_勢力'!B:B),IFERROR(_xlfn.XLOOKUP(F4035:F8078,kunishuClan!A:A,kunishuClan!B:B),"浪人")))</f>
      </c>
      <c r="F4035" s="4">
        <v>902</v>
      </c>
      <c r="G4035" s="4">
        <v>33</v>
      </c>
      <c r="H4035" s="12" t="str">
        <f t="array" ref="H4035">IF(G4035:G8078="","",_xlfn.XLOOKUP(G4035:G8078,castles_state!A:A,castles_state!D:D,"見つかりません"))</f>
      </c>
      <c r="I4035" s="4"/>
      <c r="J4035" s="12" t="str">
        <f t="array" ref="J4035">IF(I4035:I8078="","",_xlfn.XLOOKUP(I4035:I8078,'参照_姫'!A:A,'参照_姫'!B:B,"見つかりません"))</f>
      </c>
      <c r="K4035" s="4">
        <v>50</v>
      </c>
      <c r="L4035" s="4">
        <v>0</v>
      </c>
      <c r="M4035" s="4"/>
      <c r="N4035" s="4"/>
      <c r="O4035" s="4"/>
      <c r="P4035" s="12" t="str">
        <f t="array" ref="P4035">IF(O4035:O8078="","",_xlfn.XLOOKUP(O4035:O8078,'参照_官位'!A:A,'参照_官位'!B:B,""))</f>
      </c>
      <c r="Q4035" s="12" t="str">
        <f t="array" ref="Q4035">IF(A4035:A8078="","",IFERROR(_xlfn.XLOOKUP(A4035:A8078,castles_state!K:K,castles_state!D:D)&amp;"主",IFERROR(_xlfn.XLOOKUP(A4035:A8078,kunishuClan!D:D,kunishuClan!B:B)&amp;"当主","")))</f>
      </c>
    </row>
    <row r="4036" ht="15.75" customHeight="1">
      <c r="A4036" s="4">
        <v>2902003</v>
      </c>
      <c r="B4036" s="12" t="str">
        <f t="array" ref="B4036">IF(A4036:A8079="","",_xlfn.XLOOKUP(A4036:A8079,'参照_武将'!A:A,'参照_武将'!B:B,"見つかりません"))</f>
      </c>
      <c r="C4036" s="4" t="s">
        <v>6060</v>
      </c>
      <c r="D4036" s="4">
        <v>0</v>
      </c>
      <c r="E4036" s="12" t="str">
        <f t="array" ref="E4036">IF(D4036:D8079="","",IFERROR(_xlfn.XLOOKUP(D4036:D8079,'参照_勢力'!A:A,'参照_勢力'!B:B),IFERROR(_xlfn.XLOOKUP(F4036:F8079,kunishuClan!A:A,kunishuClan!B:B),"浪人")))</f>
      </c>
      <c r="F4036" s="4">
        <v>902</v>
      </c>
      <c r="G4036" s="4">
        <v>33</v>
      </c>
      <c r="H4036" s="12" t="str">
        <f t="array" ref="H4036">IF(G4036:G8079="","",_xlfn.XLOOKUP(G4036:G8079,castles_state!A:A,castles_state!D:D,"見つかりません"))</f>
      </c>
      <c r="I4036" s="4"/>
      <c r="J4036" s="12" t="str">
        <f t="array" ref="J4036">IF(I4036:I8079="","",_xlfn.XLOOKUP(I4036:I8079,'参照_姫'!A:A,'参照_姫'!B:B,"見つかりません"))</f>
      </c>
      <c r="K4036" s="4">
        <v>50</v>
      </c>
      <c r="L4036" s="4">
        <v>0</v>
      </c>
      <c r="M4036" s="4"/>
      <c r="N4036" s="4"/>
      <c r="O4036" s="4"/>
      <c r="P4036" s="12" t="str">
        <f t="array" ref="P4036">IF(O4036:O8079="","",_xlfn.XLOOKUP(O4036:O8079,'参照_官位'!A:A,'参照_官位'!B:B,""))</f>
      </c>
      <c r="Q4036" s="12" t="str">
        <f t="array" ref="Q4036">IF(A4036:A8079="","",IFERROR(_xlfn.XLOOKUP(A4036:A8079,castles_state!K:K,castles_state!D:D)&amp;"主",IFERROR(_xlfn.XLOOKUP(A4036:A8079,kunishuClan!D:D,kunishuClan!B:B)&amp;"当主","")))</f>
      </c>
    </row>
    <row r="4037" ht="15.75" customHeight="1">
      <c r="A4037" s="4">
        <v>2902004</v>
      </c>
      <c r="B4037" s="12" t="str">
        <f t="array" ref="B4037">IF(A4037:A8080="","",_xlfn.XLOOKUP(A4037:A8080,'参照_武将'!A:A,'参照_武将'!B:B,"見つかりません"))</f>
      </c>
      <c r="C4037" s="4" t="s">
        <v>6060</v>
      </c>
      <c r="D4037" s="4">
        <v>0</v>
      </c>
      <c r="E4037" s="12" t="str">
        <f t="array" ref="E4037">IF(D4037:D8080="","",IFERROR(_xlfn.XLOOKUP(D4037:D8080,'参照_勢力'!A:A,'参照_勢力'!B:B),IFERROR(_xlfn.XLOOKUP(F4037:F8080,kunishuClan!A:A,kunishuClan!B:B),"浪人")))</f>
      </c>
      <c r="F4037" s="4">
        <v>902</v>
      </c>
      <c r="G4037" s="4">
        <v>33</v>
      </c>
      <c r="H4037" s="12" t="str">
        <f t="array" ref="H4037">IF(G4037:G8080="","",_xlfn.XLOOKUP(G4037:G8080,castles_state!A:A,castles_state!D:D,"見つかりません"))</f>
      </c>
      <c r="I4037" s="4"/>
      <c r="J4037" s="12" t="str">
        <f t="array" ref="J4037">IF(I4037:I8080="","",_xlfn.XLOOKUP(I4037:I8080,'参照_姫'!A:A,'参照_姫'!B:B,"見つかりません"))</f>
      </c>
      <c r="K4037" s="4">
        <v>50</v>
      </c>
      <c r="L4037" s="4">
        <v>0</v>
      </c>
      <c r="M4037" s="4"/>
      <c r="N4037" s="4"/>
      <c r="O4037" s="4"/>
      <c r="P4037" s="12" t="str">
        <f t="array" ref="P4037">IF(O4037:O8080="","",_xlfn.XLOOKUP(O4037:O8080,'参照_官位'!A:A,'参照_官位'!B:B,""))</f>
      </c>
      <c r="Q4037" s="12" t="str">
        <f t="array" ref="Q4037">IF(A4037:A8080="","",IFERROR(_xlfn.XLOOKUP(A4037:A8080,castles_state!K:K,castles_state!D:D)&amp;"主",IFERROR(_xlfn.XLOOKUP(A4037:A8080,kunishuClan!D:D,kunishuClan!B:B)&amp;"当主","")))</f>
      </c>
    </row>
    <row r="4038" ht="15.75" customHeight="1">
      <c r="A4038" s="4">
        <v>2903001</v>
      </c>
      <c r="B4038" s="12" t="str">
        <f t="array" ref="B4038">IF(A4038:A8081="","",_xlfn.XLOOKUP(A4038:A8081,'参照_武将'!A:A,'参照_武将'!B:B,"見つかりません"))</f>
      </c>
      <c r="C4038" s="4" t="s">
        <v>6061</v>
      </c>
      <c r="D4038" s="4">
        <v>0</v>
      </c>
      <c r="E4038" s="12" t="str">
        <f t="array" ref="E4038">IF(D4038:D8081="","",IFERROR(_xlfn.XLOOKUP(D4038:D8081,'参照_勢力'!A:A,'参照_勢力'!B:B),IFERROR(_xlfn.XLOOKUP(F4038:F8081,kunishuClan!A:A,kunishuClan!B:B),"浪人")))</f>
      </c>
      <c r="F4038" s="4">
        <v>903</v>
      </c>
      <c r="G4038" s="4">
        <v>148</v>
      </c>
      <c r="H4038" s="12" t="str">
        <f t="array" ref="H4038">IF(G4038:G8081="","",_xlfn.XLOOKUP(G4038:G8081,castles_state!A:A,castles_state!D:D,"見つかりません"))</f>
      </c>
      <c r="I4038" s="4"/>
      <c r="J4038" s="12" t="str">
        <f t="array" ref="J4038">IF(I4038:I8081="","",_xlfn.XLOOKUP(I4038:I8081,'参照_姫'!A:A,'参照_姫'!B:B,"見つかりません"))</f>
      </c>
      <c r="K4038" s="4">
        <v>50</v>
      </c>
      <c r="L4038" s="4">
        <v>300</v>
      </c>
      <c r="M4038" s="4"/>
      <c r="N4038" s="4"/>
      <c r="O4038" s="4"/>
      <c r="P4038" s="12" t="str">
        <f t="array" ref="P4038">IF(O4038:O8081="","",_xlfn.XLOOKUP(O4038:O8081,'参照_官位'!A:A,'参照_官位'!B:B,""))</f>
      </c>
      <c r="Q4038" s="12" t="str">
        <f t="array" ref="Q4038">IF(A4038:A8081="","",IFERROR(_xlfn.XLOOKUP(A4038:A8081,castles_state!K:K,castles_state!D:D)&amp;"主",IFERROR(_xlfn.XLOOKUP(A4038:A8081,kunishuClan!D:D,kunishuClan!B:B)&amp;"当主","")))</f>
      </c>
    </row>
    <row r="4039" ht="15.75" customHeight="1">
      <c r="A4039" s="4">
        <v>2903002</v>
      </c>
      <c r="B4039" s="12" t="str">
        <f t="array" ref="B4039">IF(A4039:A8082="","",_xlfn.XLOOKUP(A4039:A8082,'参照_武将'!A:A,'参照_武将'!B:B,"見つかりません"))</f>
      </c>
      <c r="C4039" s="4" t="s">
        <v>6061</v>
      </c>
      <c r="D4039" s="4">
        <v>0</v>
      </c>
      <c r="E4039" s="12" t="str">
        <f t="array" ref="E4039">IF(D4039:D8082="","",IFERROR(_xlfn.XLOOKUP(D4039:D8082,'参照_勢力'!A:A,'参照_勢力'!B:B),IFERROR(_xlfn.XLOOKUP(F4039:F8082,kunishuClan!A:A,kunishuClan!B:B),"浪人")))</f>
      </c>
      <c r="F4039" s="4">
        <v>903</v>
      </c>
      <c r="G4039" s="4">
        <v>148</v>
      </c>
      <c r="H4039" s="12" t="str">
        <f t="array" ref="H4039">IF(G4039:G8082="","",_xlfn.XLOOKUP(G4039:G8082,castles_state!A:A,castles_state!D:D,"見つかりません"))</f>
      </c>
      <c r="I4039" s="4"/>
      <c r="J4039" s="12" t="str">
        <f t="array" ref="J4039">IF(I4039:I8082="","",_xlfn.XLOOKUP(I4039:I8082,'参照_姫'!A:A,'参照_姫'!B:B,"見つかりません"))</f>
      </c>
      <c r="K4039" s="4">
        <v>50</v>
      </c>
      <c r="L4039" s="4">
        <v>0</v>
      </c>
      <c r="M4039" s="4"/>
      <c r="N4039" s="4"/>
      <c r="O4039" s="4"/>
      <c r="P4039" s="12" t="str">
        <f t="array" ref="P4039">IF(O4039:O8082="","",_xlfn.XLOOKUP(O4039:O8082,'参照_官位'!A:A,'参照_官位'!B:B,""))</f>
      </c>
      <c r="Q4039" s="12" t="str">
        <f t="array" ref="Q4039">IF(A4039:A8082="","",IFERROR(_xlfn.XLOOKUP(A4039:A8082,castles_state!K:K,castles_state!D:D)&amp;"主",IFERROR(_xlfn.XLOOKUP(A4039:A8082,kunishuClan!D:D,kunishuClan!B:B)&amp;"当主","")))</f>
      </c>
    </row>
    <row r="4040" ht="15.75" customHeight="1">
      <c r="A4040" s="4">
        <v>2903003</v>
      </c>
      <c r="B4040" s="12" t="str">
        <f t="array" ref="B4040">IF(A4040:A8083="","",_xlfn.XLOOKUP(A4040:A8083,'参照_武将'!A:A,'参照_武将'!B:B,"見つかりません"))</f>
      </c>
      <c r="C4040" s="4" t="s">
        <v>6061</v>
      </c>
      <c r="D4040" s="4">
        <v>0</v>
      </c>
      <c r="E4040" s="12" t="str">
        <f t="array" ref="E4040">IF(D4040:D8083="","",IFERROR(_xlfn.XLOOKUP(D4040:D8083,'参照_勢力'!A:A,'参照_勢力'!B:B),IFERROR(_xlfn.XLOOKUP(F4040:F8083,kunishuClan!A:A,kunishuClan!B:B),"浪人")))</f>
      </c>
      <c r="F4040" s="4">
        <v>903</v>
      </c>
      <c r="G4040" s="4">
        <v>148</v>
      </c>
      <c r="H4040" s="12" t="str">
        <f t="array" ref="H4040">IF(G4040:G8083="","",_xlfn.XLOOKUP(G4040:G8083,castles_state!A:A,castles_state!D:D,"見つかりません"))</f>
      </c>
      <c r="I4040" s="4"/>
      <c r="J4040" s="12" t="str">
        <f t="array" ref="J4040">IF(I4040:I8083="","",_xlfn.XLOOKUP(I4040:I8083,'参照_姫'!A:A,'参照_姫'!B:B,"見つかりません"))</f>
      </c>
      <c r="K4040" s="4">
        <v>50</v>
      </c>
      <c r="L4040" s="4">
        <v>0</v>
      </c>
      <c r="M4040" s="4"/>
      <c r="N4040" s="4"/>
      <c r="O4040" s="4"/>
      <c r="P4040" s="12" t="str">
        <f t="array" ref="P4040">IF(O4040:O8083="","",_xlfn.XLOOKUP(O4040:O8083,'参照_官位'!A:A,'参照_官位'!B:B,""))</f>
      </c>
      <c r="Q4040" s="12" t="str">
        <f t="array" ref="Q4040">IF(A4040:A8083="","",IFERROR(_xlfn.XLOOKUP(A4040:A8083,castles_state!K:K,castles_state!D:D)&amp;"主",IFERROR(_xlfn.XLOOKUP(A4040:A8083,kunishuClan!D:D,kunishuClan!B:B)&amp;"当主","")))</f>
      </c>
    </row>
    <row r="4041" ht="15.75" customHeight="1">
      <c r="A4041" s="4">
        <v>9000001</v>
      </c>
      <c r="B4041" s="12" t="str">
        <f t="array" ref="B4041">IF(A4041:A8084="","",_xlfn.XLOOKUP(A4041:A8084,'参照_武将'!A:A,'参照_武将'!B:B,"見つかりません"))</f>
      </c>
      <c r="C4041" s="4" t="s">
        <v>6062</v>
      </c>
      <c r="D4041" s="4">
        <v>0</v>
      </c>
      <c r="E4041" s="12" t="str">
        <f t="array" ref="E4041">IF(D4041:D8084="","",IFERROR(_xlfn.XLOOKUP(D4041:D8084,'参照_勢力'!A:A,'参照_勢力'!B:B),IFERROR(_xlfn.XLOOKUP(F4041:F8084,kunishuClan!A:A,kunishuClan!B:B),"浪人")))</f>
      </c>
      <c r="F4041" s="4">
        <v>0</v>
      </c>
      <c r="G4041" s="4">
        <v>0</v>
      </c>
      <c r="H4041" s="12" t="str">
        <f t="array" ref="H4041">IF(G4041:G8084="","",_xlfn.XLOOKUP(G4041:G8084,castles_state!A:A,castles_state!D:D,"見つかりません"))</f>
      </c>
      <c r="I4041" s="4"/>
      <c r="J4041" s="12" t="str">
        <f t="array" ref="J4041">IF(I4041:I8084="","",_xlfn.XLOOKUP(I4041:I8084,'参照_姫'!A:A,'参照_姫'!B:B,"見つかりません"))</f>
      </c>
      <c r="K4041" s="4">
        <v>50</v>
      </c>
      <c r="L4041" s="4">
        <v>0</v>
      </c>
      <c r="M4041" s="4"/>
      <c r="N4041" s="4"/>
      <c r="O4041" s="4"/>
      <c r="P4041" s="12" t="str">
        <f t="array" ref="P4041">IF(O4041:O8084="","",_xlfn.XLOOKUP(O4041:O8084,'参照_官位'!A:A,'参照_官位'!B:B,""))</f>
      </c>
      <c r="Q4041" s="12" t="str">
        <f t="array" ref="Q4041">IF(A4041:A8084="","",IFERROR(_xlfn.XLOOKUP(A4041:A8084,castles_state!K:K,castles_state!D:D)&amp;"主",IFERROR(_xlfn.XLOOKUP(A4041:A8084,kunishuClan!D:D,kunishuClan!B:B)&amp;"当主","")))</f>
      </c>
    </row>
    <row r="4042" ht="15.75" customHeight="1">
      <c r="A4042" s="4">
        <v>9000002</v>
      </c>
      <c r="B4042" s="12" t="str">
        <f t="array" ref="B4042">IF(A4042:A8085="","",_xlfn.XLOOKUP(A4042:A8085,'参照_武将'!A:A,'参照_武将'!B:B,"見つかりません"))</f>
      </c>
      <c r="C4042" s="4" t="s">
        <v>6062</v>
      </c>
      <c r="D4042" s="4">
        <v>0</v>
      </c>
      <c r="E4042" s="12" t="str">
        <f t="array" ref="E4042">IF(D4042:D8085="","",IFERROR(_xlfn.XLOOKUP(D4042:D8085,'参照_勢力'!A:A,'参照_勢力'!B:B),IFERROR(_xlfn.XLOOKUP(F4042:F8085,kunishuClan!A:A,kunishuClan!B:B),"浪人")))</f>
      </c>
      <c r="F4042" s="4">
        <v>0</v>
      </c>
      <c r="G4042" s="4">
        <v>0</v>
      </c>
      <c r="H4042" s="12" t="str">
        <f t="array" ref="H4042">IF(G4042:G8085="","",_xlfn.XLOOKUP(G4042:G8085,castles_state!A:A,castles_state!D:D,"見つかりません"))</f>
      </c>
      <c r="I4042" s="4"/>
      <c r="J4042" s="12" t="str">
        <f t="array" ref="J4042">IF(I4042:I8085="","",_xlfn.XLOOKUP(I4042:I8085,'参照_姫'!A:A,'参照_姫'!B:B,"見つかりません"))</f>
      </c>
      <c r="K4042" s="4">
        <v>50</v>
      </c>
      <c r="L4042" s="4">
        <v>0</v>
      </c>
      <c r="M4042" s="4"/>
      <c r="N4042" s="4"/>
      <c r="O4042" s="4"/>
      <c r="P4042" s="12" t="str">
        <f t="array" ref="P4042">IF(O4042:O8085="","",_xlfn.XLOOKUP(O4042:O8085,'参照_官位'!A:A,'参照_官位'!B:B,""))</f>
      </c>
      <c r="Q4042" s="12" t="str">
        <f t="array" ref="Q4042">IF(A4042:A8085="","",IFERROR(_xlfn.XLOOKUP(A4042:A8085,castles_state!K:K,castles_state!D:D)&amp;"主",IFERROR(_xlfn.XLOOKUP(A4042:A8085,kunishuClan!D:D,kunishuClan!B:B)&amp;"当主","")))</f>
      </c>
    </row>
    <row r="4043" ht="15.75" customHeight="1">
      <c r="A4043" s="4">
        <v>9000003</v>
      </c>
      <c r="B4043" s="12" t="str">
        <f t="array" ref="B4043">IF(A4043:A8086="","",_xlfn.XLOOKUP(A4043:A8086,'参照_武将'!A:A,'参照_武将'!B:B,"見つかりません"))</f>
      </c>
      <c r="C4043" s="4" t="s">
        <v>6062</v>
      </c>
      <c r="D4043" s="4">
        <v>0</v>
      </c>
      <c r="E4043" s="12" t="str">
        <f t="array" ref="E4043">IF(D4043:D8086="","",IFERROR(_xlfn.XLOOKUP(D4043:D8086,'参照_勢力'!A:A,'参照_勢力'!B:B),IFERROR(_xlfn.XLOOKUP(F4043:F8086,kunishuClan!A:A,kunishuClan!B:B),"浪人")))</f>
      </c>
      <c r="F4043" s="4">
        <v>0</v>
      </c>
      <c r="G4043" s="4">
        <v>0</v>
      </c>
      <c r="H4043" s="12" t="str">
        <f t="array" ref="H4043">IF(G4043:G8086="","",_xlfn.XLOOKUP(G4043:G8086,castles_state!A:A,castles_state!D:D,"見つかりません"))</f>
      </c>
      <c r="I4043" s="4"/>
      <c r="J4043" s="12" t="str">
        <f t="array" ref="J4043">IF(I4043:I8086="","",_xlfn.XLOOKUP(I4043:I8086,'参照_姫'!A:A,'参照_姫'!B:B,"見つかりません"))</f>
      </c>
      <c r="K4043" s="4">
        <v>50</v>
      </c>
      <c r="L4043" s="4">
        <v>0</v>
      </c>
      <c r="M4043" s="4"/>
      <c r="N4043" s="4"/>
      <c r="O4043" s="4"/>
      <c r="P4043" s="12" t="str">
        <f t="array" ref="P4043">IF(O4043:O8086="","",_xlfn.XLOOKUP(O4043:O8086,'参照_官位'!A:A,'参照_官位'!B:B,""))</f>
      </c>
      <c r="Q4043" s="12" t="str">
        <f t="array" ref="Q4043">IF(A4043:A8086="","",IFERROR(_xlfn.XLOOKUP(A4043:A8086,castles_state!K:K,castles_state!D:D)&amp;"主",IFERROR(_xlfn.XLOOKUP(A4043:A8086,kunishuClan!D:D,kunishuClan!B:B)&amp;"当主","")))</f>
      </c>
    </row>
  </sheetData>
  <autoFilter ref="$A$1:$Q$4043">
    <sortState ref="A1:Q4043">
      <sortCondition ref="A1:A4043"/>
      <sortCondition ref="N1:N4043"/>
      <sortCondition ref="M1:M4043"/>
      <sortCondition ref="P1:P4043"/>
      <sortCondition ref="O1:O4043"/>
    </sortState>
  </autoFilter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2" max="2" width="18.0"/>
    <col customWidth="1" min="3" max="3" width="10.13"/>
    <col customWidth="1" min="4" max="4" width="14.0"/>
    <col customWidth="1" min="5" max="5" width="10.13"/>
    <col customWidth="1" min="6" max="6" width="18.0"/>
    <col customWidth="1" min="7" max="7" width="14.0"/>
    <col customWidth="1" min="8" max="26" width="8.63"/>
  </cols>
  <sheetData>
    <row r="1">
      <c r="A1" s="2" t="s">
        <v>1</v>
      </c>
      <c r="B1" s="2" t="s">
        <v>2592</v>
      </c>
      <c r="C1" s="2" t="s">
        <v>2594</v>
      </c>
      <c r="D1" s="2" t="s">
        <v>2596</v>
      </c>
      <c r="E1" s="2" t="s">
        <v>2599</v>
      </c>
      <c r="F1" s="2" t="s">
        <v>1117</v>
      </c>
      <c r="G1" s="2" t="s">
        <v>2602</v>
      </c>
    </row>
    <row r="2">
      <c r="A2" s="4">
        <v>1</v>
      </c>
      <c r="B2" s="12" t="str">
        <f t="array" ref="B2">IF(A2:A30="","",_xlfn.XLOOKUP(A2:A30,'参照_姫'!A:A,'参照_姫'!B:B,"見つかりません"))</f>
      </c>
      <c r="C2" s="4">
        <v>1</v>
      </c>
      <c r="D2" s="12" t="str">
        <f t="array" ref="D2">IF(C2:C30="","",_xlfn.XLOOKUP(C2:C30,'参照_勢力'!A:A,'参照_勢力'!B:B,"見つかりません"))</f>
      </c>
      <c r="E2" s="12">
        <f t="array" ref="E2">IF(F2:F30="","",_xlfn.XLOOKUP(F2:F30,'参照_武将'!B:B,'参照_武将'!A:A,"見つかりません"))</f>
        <v>1006006</v>
      </c>
      <c r="F2" s="4" t="inlineStr">
        <is>
          <t>織田信長</t>
        </is>
      </c>
      <c r="G2" s="4" t="inlineStr">
        <is>
          <t>married</t>
        </is>
      </c>
    </row>
    <row r="3">
      <c r="A3" s="4">
        <v>2</v>
      </c>
      <c r="B3" s="12" t="str">
        <f t="array" ref="B3">IF(A3:A31="","",_xlfn.XLOOKUP(A3:A31,'参照_姫'!A:A,'参照_姫'!B:B,"見つかりません"))</f>
      </c>
      <c r="C3" s="4">
        <v>15</v>
      </c>
      <c r="D3" s="12" t="str">
        <f t="array" ref="D3">IF(C3:C31="","",_xlfn.XLOOKUP(C3:C31,'参照_勢力'!A:A,'参照_勢力'!B:B,"見つかりません"))</f>
      </c>
      <c r="E3" s="12">
        <f t="array" ref="E3">IF(F3:F31="","",_xlfn.XLOOKUP(F3:F31,'参照_武将'!B:B,'参照_武将'!A:A,"見つかりません"))</f>
        <v>1015005</v>
      </c>
      <c r="F3" s="4" t="inlineStr">
        <is>
          <t>浅井賢政</t>
        </is>
      </c>
      <c r="G3" s="4" t="inlineStr">
        <is>
          <t>married</t>
        </is>
      </c>
    </row>
    <row r="4">
      <c r="A4" s="4">
        <v>3</v>
      </c>
      <c r="B4" s="12" t="str">
        <f t="array" ref="B4">IF(A4:A32="","",_xlfn.XLOOKUP(A4:A32,'参照_姫'!A:A,'参照_姫'!B:B,"見つかりません"))</f>
      </c>
      <c r="C4" s="4">
        <v>301</v>
      </c>
      <c r="D4" s="12" t="str">
        <f t="array" ref="D4">IF(C4:C32="","",_xlfn.XLOOKUP(C4:C32,'参照_勢力'!A:A,'参照_勢力'!B:B,"見つかりません"))</f>
      </c>
      <c r="E4" s="12">
        <f t="array" ref="E4">IF(F4:F32="","",_xlfn.XLOOKUP(F4:F32,'参照_武将'!B:B,'参照_武将'!A:A,"見つかりません"))</f>
        <v>1301007</v>
      </c>
      <c r="F4" s="4" t="inlineStr">
        <is>
          <t>松平信康</t>
        </is>
      </c>
      <c r="G4" s="4" t="inlineStr">
        <is>
          <t>married</t>
        </is>
      </c>
    </row>
    <row r="5">
      <c r="A5" s="4">
        <v>4</v>
      </c>
      <c r="B5" s="12" t="str">
        <f t="array" ref="B5">IF(A5:A33="","",_xlfn.XLOOKUP(A5:A33,'参照_姫'!A:A,'参照_姫'!B:B,"見つかりません"))</f>
      </c>
      <c r="C5" s="4"/>
      <c r="D5" s="12" t="str">
        <f t="array" ref="D5">IF(C5:C33="","",_xlfn.XLOOKUP(C5:C33,'参照_勢力'!A:A,'参照_勢力'!B:B,"見つかりません"))</f>
      </c>
      <c r="E5" s="12" t="str">
        <f t="array" ref="E5">IF(F5:F33="","",_xlfn.XLOOKUP(F5:F33,'参照_武将'!B:B,'参照_武将'!A:A,"見つかりません"))</f>
      </c>
      <c r="F5" s="4"/>
      <c r="G5" s="4" t="inlineStr">
        <is>
          <t>unmarried</t>
        </is>
      </c>
    </row>
    <row r="6">
      <c r="A6" s="4">
        <v>5</v>
      </c>
      <c r="B6" s="12" t="str">
        <f t="array" ref="B6">IF(A6:A34="","",_xlfn.XLOOKUP(A6:A34,'参照_姫'!A:A,'参照_姫'!B:B,"見つかりません"))</f>
      </c>
      <c r="C6" s="4">
        <v>4</v>
      </c>
      <c r="D6" s="12" t="str">
        <f t="array" ref="D6">IF(C6:C34="","",_xlfn.XLOOKUP(C6:C34,'参照_勢力'!A:A,'参照_勢力'!B:B,"見つかりません"))</f>
      </c>
      <c r="E6" s="12">
        <f t="array" ref="E6">IF(F6:F34="","",_xlfn.XLOOKUP(F6:F34,'参照_武将'!B:B,'参照_武将'!A:A,"見つかりません"))</f>
        <v>1003004</v>
      </c>
      <c r="F6" s="4" t="inlineStr">
        <is>
          <t>北条氏政</t>
        </is>
      </c>
      <c r="G6" s="4" t="inlineStr">
        <is>
          <t>married</t>
        </is>
      </c>
    </row>
    <row r="7">
      <c r="A7" s="4">
        <v>6</v>
      </c>
      <c r="B7" s="12" t="str">
        <f t="array" ref="B7">IF(A7:A35="","",_xlfn.XLOOKUP(A7:A35,'参照_姫'!A:A,'参照_姫'!B:B,"見つかりません"))</f>
      </c>
      <c r="C7" s="4">
        <v>3</v>
      </c>
      <c r="D7" s="12" t="str">
        <f t="array" ref="D7">IF(C7:C35="","",_xlfn.XLOOKUP(C7:C35,'参照_勢力'!A:A,'参照_勢力'!B:B,"見つかりません"))</f>
      </c>
      <c r="E7" s="12">
        <f t="array" ref="E7">IF(F7:F35="","",_xlfn.XLOOKUP(F7:F35,'参照_武将'!B:B,'参照_武将'!A:A,"見つかりません"))</f>
        <v>1002002</v>
      </c>
      <c r="F7" s="4" t="inlineStr">
        <is>
          <t>武田晴信</t>
        </is>
      </c>
      <c r="G7" s="4" t="inlineStr">
        <is>
          <t>married</t>
        </is>
      </c>
    </row>
    <row r="8">
      <c r="A8" s="4">
        <v>7</v>
      </c>
      <c r="B8" s="12" t="str">
        <f t="array" ref="B8">IF(A8:A36="","",_xlfn.XLOOKUP(A8:A36,'参照_姫'!A:A,'参照_姫'!B:B,"見つかりません"))</f>
      </c>
      <c r="C8" s="4">
        <v>2</v>
      </c>
      <c r="D8" s="12" t="str">
        <f t="array" ref="D8">IF(C8:C36="","",_xlfn.XLOOKUP(C8:C36,'参照_勢力'!A:A,'参照_勢力'!B:B,"見つかりません"))</f>
      </c>
      <c r="E8" s="12">
        <f t="array" ref="E8">IF(F8:F36="","",_xlfn.XLOOKUP(F8:F36,'参照_武将'!B:B,'参照_武将'!A:A,"見つかりません"))</f>
        <v>1001004</v>
      </c>
      <c r="F8" s="4" t="inlineStr">
        <is>
          <t>長尾政景</t>
        </is>
      </c>
      <c r="G8" s="4" t="inlineStr">
        <is>
          <t>married</t>
        </is>
      </c>
    </row>
    <row r="9">
      <c r="A9" s="4">
        <v>8</v>
      </c>
      <c r="B9" s="12" t="str">
        <f t="array" ref="B9">IF(A9:A37="","",_xlfn.XLOOKUP(A9:A37,'参照_姫'!A:A,'参照_姫'!B:B,"見つかりません"))</f>
      </c>
      <c r="C9" s="4">
        <v>4</v>
      </c>
      <c r="D9" s="12" t="str">
        <f t="array" ref="D9">IF(C9:C37="","",_xlfn.XLOOKUP(C9:C37,'参照_勢力'!A:A,'参照_勢力'!B:B,"見つかりません"))</f>
      </c>
      <c r="E9" s="12">
        <f t="array" ref="E9">IF(F9:F37="","",_xlfn.XLOOKUP(F9:F37,'参照_武将'!B:B,'参照_武将'!A:A,"見つかりません"))</f>
        <v>1004010</v>
      </c>
      <c r="F9" s="4" t="inlineStr">
        <is>
          <t>今川氏真</t>
        </is>
      </c>
      <c r="G9" s="4" t="inlineStr">
        <is>
          <t>married</t>
        </is>
      </c>
    </row>
    <row r="10">
      <c r="A10" s="4">
        <v>9</v>
      </c>
      <c r="B10" s="12" t="str">
        <f t="array" ref="B10">IF(A10:A38="","",_xlfn.XLOOKUP(A10:A38,'参照_姫'!A:A,'参照_姫'!B:B,"見つかりません"))</f>
      </c>
      <c r="C10" s="4">
        <v>1</v>
      </c>
      <c r="D10" s="12" t="str">
        <f t="array" ref="D10">IF(C10:C38="","",_xlfn.XLOOKUP(C10:C38,'参照_勢力'!A:A,'参照_勢力'!B:B,"見つかりません"))</f>
      </c>
      <c r="E10" s="12">
        <f t="array" ref="E10">IF(F10:F38="","",_xlfn.XLOOKUP(F10:F38,'参照_武将'!B:B,'参照_武将'!A:A,"見つかりません"))</f>
        <v>1006155</v>
      </c>
      <c r="F10" s="4" t="inlineStr">
        <is>
          <t>前田利家</t>
        </is>
      </c>
      <c r="G10" s="4" t="inlineStr">
        <is>
          <t>married</t>
        </is>
      </c>
    </row>
    <row r="11">
      <c r="A11" s="4">
        <v>10</v>
      </c>
      <c r="B11" s="12" t="str">
        <f t="array" ref="B11">IF(A11:A39="","",_xlfn.XLOOKUP(A11:A39,'参照_姫'!A:A,'参照_姫'!B:B,"見つかりません"))</f>
      </c>
      <c r="C11" s="4">
        <v>3</v>
      </c>
      <c r="D11" s="12" t="str">
        <f t="array" ref="D11">IF(C11:C39="","",_xlfn.XLOOKUP(C11:C39,'参照_勢力'!A:A,'参照_勢力'!B:B,"見つかりません"))</f>
      </c>
      <c r="E11" s="12">
        <f t="array" ref="E11">IF(F11:F39="","",_xlfn.XLOOKUP(F11:F39,'参照_武将'!B:B,'参照_武将'!A:A,"見つかりません"))</f>
        <v>1002003</v>
      </c>
      <c r="F11" s="4" t="inlineStr">
        <is>
          <t>武田義信</t>
        </is>
      </c>
      <c r="G11" s="4" t="inlineStr">
        <is>
          <t>married</t>
        </is>
      </c>
    </row>
    <row r="12">
      <c r="A12" s="4">
        <v>11</v>
      </c>
      <c r="B12" s="12" t="str">
        <f t="array" ref="B12">IF(A12:A40="","",_xlfn.XLOOKUP(A12:A40,'参照_姫'!A:A,'参照_姫'!B:B,"見つかりません"))</f>
      </c>
      <c r="C12" s="4">
        <v>301</v>
      </c>
      <c r="D12" s="12" t="str">
        <f t="array" ref="D12">IF(C12:C40="","",_xlfn.XLOOKUP(C12:C40,'参照_勢力'!A:A,'参照_勢力'!B:B,"見つかりません"))</f>
      </c>
      <c r="E12" s="12">
        <f t="array" ref="E12">IF(F12:F40="","",_xlfn.XLOOKUP(F12:F40,'参照_武将'!B:B,'参照_武将'!A:A,"見つかりません"))</f>
        <v>1301006</v>
      </c>
      <c r="F12" s="4" t="inlineStr">
        <is>
          <t>松平元信</t>
        </is>
      </c>
      <c r="G12" s="4" t="inlineStr">
        <is>
          <t>married</t>
        </is>
      </c>
    </row>
    <row r="13">
      <c r="A13" s="4">
        <v>12</v>
      </c>
      <c r="B13" s="12" t="str">
        <f t="array" ref="B13">IF(A13:A41="","",_xlfn.XLOOKUP(A13:A41,'参照_姫'!A:A,'参照_姫'!B:B,"見つかりません"))</f>
      </c>
      <c r="C13" s="4">
        <v>91</v>
      </c>
      <c r="D13" s="12" t="str">
        <f t="array" ref="D13">IF(C13:C41="","",_xlfn.XLOOKUP(C13:C41,'参照_勢力'!A:A,'参照_勢力'!B:B,"見つかりません"))</f>
      </c>
      <c r="E13" s="12">
        <f t="array" ref="E13">IF(F13:F41="","",_xlfn.XLOOKUP(F13:F41,'参照_武将'!B:B,'参照_武将'!A:A,"見つかりません"))</f>
        <v>1091006</v>
      </c>
      <c r="F13" s="4" t="inlineStr">
        <is>
          <t>足利義氏</t>
        </is>
      </c>
      <c r="G13" s="4" t="inlineStr">
        <is>
          <t>married</t>
        </is>
      </c>
    </row>
    <row r="14">
      <c r="A14" s="4">
        <v>13</v>
      </c>
      <c r="B14" s="12" t="str">
        <f t="array" ref="B14">IF(A14:A42="","",_xlfn.XLOOKUP(A14:A42,'参照_姫'!A:A,'参照_姫'!B:B,"見つかりません"))</f>
      </c>
      <c r="C14" s="4">
        <v>5</v>
      </c>
      <c r="D14" s="12" t="str">
        <f t="array" ref="D14">IF(C14:C42="","",_xlfn.XLOOKUP(C14:C42,'参照_勢力'!A:A,'参照_勢力'!B:B,"見つかりません"))</f>
      </c>
      <c r="E14" s="12">
        <f t="array" ref="E14">IF(F14:F42="","",_xlfn.XLOOKUP(F14:F42,'参照_武将'!B:B,'参照_武将'!A:A,"見つかりません"))</f>
        <v>1301025</v>
      </c>
      <c r="F14" s="4" t="inlineStr">
        <is>
          <t>久松俊勝</t>
        </is>
      </c>
      <c r="G14" s="4" t="inlineStr">
        <is>
          <t>married</t>
        </is>
      </c>
    </row>
    <row r="15">
      <c r="A15" s="4">
        <v>14</v>
      </c>
      <c r="B15" s="12" t="str">
        <f t="array" ref="B15">IF(A15:A43="","",_xlfn.XLOOKUP(A15:A43,'参照_姫'!A:A,'参照_姫'!B:B,"見つかりません"))</f>
      </c>
      <c r="C15" s="4">
        <v>60</v>
      </c>
      <c r="D15" s="12" t="str">
        <f t="array" ref="D15">IF(C15:C43="","",_xlfn.XLOOKUP(C15:C43,'参照_勢力'!A:A,'参照_勢力'!B:B,"見つかりません"))</f>
      </c>
      <c r="E15" s="12">
        <f t="array" ref="E15">IF(F15:F43="","",_xlfn.XLOOKUP(F15:F43,'参照_武将'!B:B,'参照_武将'!A:A,"見つかりません"))</f>
        <v>1060011</v>
      </c>
      <c r="F15" s="4" t="inlineStr">
        <is>
          <t>伊東祐青</t>
        </is>
      </c>
      <c r="G15" s="4" t="inlineStr">
        <is>
          <t>married</t>
        </is>
      </c>
    </row>
    <row r="16">
      <c r="A16" s="4">
        <v>15</v>
      </c>
      <c r="B16" s="12" t="str">
        <f t="array" ref="B16">IF(A16:A44="","",_xlfn.XLOOKUP(A16:A44,'参照_姫'!A:A,'参照_姫'!B:B,"見つかりません"))</f>
      </c>
      <c r="C16" s="4">
        <v>1</v>
      </c>
      <c r="D16" s="12" t="str">
        <f t="array" ref="D16">IF(C16:C44="","",_xlfn.XLOOKUP(C16:C44,'参照_勢力'!A:A,'参照_勢力'!B:B,"見つかりません"))</f>
      </c>
      <c r="E16" s="12">
        <f t="array" ref="E16">IF(F16:F44="","",_xlfn.XLOOKUP(F16:F44,'参照_武将'!B:B,'参照_武将'!A:A,"見つかりません"))</f>
        <v>1401016</v>
      </c>
      <c r="F16" s="4" t="inlineStr">
        <is>
          <t>三輪吉房</t>
        </is>
      </c>
      <c r="G16" s="4" t="inlineStr">
        <is>
          <t>married</t>
        </is>
      </c>
    </row>
    <row r="17">
      <c r="A17" s="4">
        <v>16</v>
      </c>
      <c r="B17" s="12" t="str">
        <f t="array" ref="B17">IF(A17:A45="","",_xlfn.XLOOKUP(A17:A45,'参照_姫'!A:A,'参照_姫'!B:B,"見つかりません"))</f>
      </c>
      <c r="C17" s="4"/>
      <c r="D17" s="12" t="str">
        <f t="array" ref="D17">IF(C17:C45="","",_xlfn.XLOOKUP(C17:C45,'参照_勢力'!A:A,'参照_勢力'!B:B,"見つかりません"))</f>
      </c>
      <c r="E17" s="12" t="str">
        <f t="array" ref="E17">IF(F17:F45="","",_xlfn.XLOOKUP(F17:F45,'参照_武将'!B:B,'参照_武将'!A:A,"見つかりません"))</f>
      </c>
      <c r="F17" s="4"/>
      <c r="G17" s="4" t="inlineStr">
        <is>
          <t>unmarried</t>
        </is>
      </c>
    </row>
    <row r="18">
      <c r="A18" s="4">
        <v>17</v>
      </c>
      <c r="B18" s="12" t="str">
        <f t="array" ref="B18">IF(A18:A46="","",_xlfn.XLOOKUP(A18:A46,'参照_姫'!A:A,'参照_姫'!B:B,"見つかりません"))</f>
      </c>
      <c r="C18" s="4">
        <v>1</v>
      </c>
      <c r="D18" s="12" t="str">
        <f t="array" ref="D18">IF(C18:C46="","",_xlfn.XLOOKUP(C18:C46,'参照_勢力'!A:A,'参照_勢力'!B:B,"見つかりません"))</f>
      </c>
      <c r="E18" s="12">
        <f t="array" ref="E18">IF(F18:F46="","",_xlfn.XLOOKUP(F18:F46,'参照_武将'!B:B,'参照_武将'!A:A,"見つかりません"))</f>
        <v>1401002</v>
      </c>
      <c r="F18" s="4" t="inlineStr">
        <is>
          <t>木下秀吉</t>
        </is>
      </c>
      <c r="G18" s="4" t="inlineStr">
        <is>
          <t>married</t>
        </is>
      </c>
    </row>
    <row r="19">
      <c r="A19" s="4">
        <v>18</v>
      </c>
      <c r="B19" s="12" t="str">
        <f t="array" ref="B19">IF(A19:A47="","",_xlfn.XLOOKUP(A19:A47,'参照_姫'!A:A,'参照_姫'!B:B,"見つかりません"))</f>
      </c>
      <c r="C19" s="4">
        <v>20</v>
      </c>
      <c r="D19" s="12" t="str">
        <f t="array" ref="D19">IF(C19:C47="","",_xlfn.XLOOKUP(C19:C47,'参照_勢力'!A:A,'参照_勢力'!B:B,"見つかりません"))</f>
      </c>
      <c r="E19" s="12">
        <f t="array" ref="E19">IF(F19:F47="","",_xlfn.XLOOKUP(F19:F47,'参照_武将'!B:B,'参照_武将'!A:A,"見つかりません"))</f>
        <v>1202008</v>
      </c>
      <c r="F19" s="4" t="inlineStr">
        <is>
          <t>入江盛重</t>
        </is>
      </c>
      <c r="G19" s="4" t="inlineStr">
        <is>
          <t>married</t>
        </is>
      </c>
    </row>
    <row r="20">
      <c r="A20" s="4">
        <v>19</v>
      </c>
      <c r="B20" s="12" t="str">
        <f t="array" ref="B20">IF(A20:A48="","",_xlfn.XLOOKUP(A20:A48,'参照_姫'!A:A,'参照_姫'!B:B,"見つかりません"))</f>
      </c>
      <c r="C20" s="4">
        <v>20</v>
      </c>
      <c r="D20" s="12" t="str">
        <f t="array" ref="D20">IF(C20:C48="","",_xlfn.XLOOKUP(C20:C48,'参照_勢力'!A:A,'参照_勢力'!B:B,"見つかりません"))</f>
      </c>
      <c r="E20" s="12">
        <f t="array" ref="E20">IF(F20:F48="","",_xlfn.XLOOKUP(F20:F48,'参照_武将'!B:B,'参照_武将'!A:A,"見つかりません"))</f>
        <v>1020008</v>
      </c>
      <c r="F20" s="4" t="inlineStr">
        <is>
          <t>三好之虎</t>
        </is>
      </c>
      <c r="G20" s="4" t="inlineStr">
        <is>
          <t>married</t>
        </is>
      </c>
    </row>
    <row r="21" ht="15.75" customHeight="1">
      <c r="A21" s="4">
        <v>20</v>
      </c>
      <c r="B21" s="12" t="str">
        <f t="array" ref="B21">IF(A21:A49="","",_xlfn.XLOOKUP(A21:A49,'参照_姫'!A:A,'参照_姫'!B:B,"見つかりません"))</f>
      </c>
      <c r="C21" s="4">
        <v>3</v>
      </c>
      <c r="D21" s="12" t="str">
        <f t="array" ref="D21">IF(C21:C49="","",_xlfn.XLOOKUP(C21:C49,'参照_勢力'!A:A,'参照_勢力'!B:B,"見つかりません"))</f>
      </c>
      <c r="E21" s="12">
        <f t="array" ref="E21">IF(F21:F49="","",_xlfn.XLOOKUP(F21:F49,'参照_武将'!B:B,'参照_武将'!A:A,"見つかりません"))</f>
        <v>1002002</v>
      </c>
      <c r="F21" s="4" t="inlineStr">
        <is>
          <t>武田晴信</t>
        </is>
      </c>
      <c r="G21" s="4" t="inlineStr">
        <is>
          <t>unmarried</t>
        </is>
      </c>
    </row>
    <row r="22" ht="15.75" customHeight="1">
      <c r="A22" s="4">
        <v>21</v>
      </c>
      <c r="B22" s="12" t="str">
        <f t="array" ref="B22">IF(A22:A50="","",_xlfn.XLOOKUP(A22:A50,'参照_姫'!A:A,'参照_姫'!B:B,"見つかりません"))</f>
      </c>
      <c r="C22" s="4">
        <v>9</v>
      </c>
      <c r="D22" s="12" t="str">
        <f t="array" ref="D22">IF(C22:C50="","",_xlfn.XLOOKUP(C22:C50,'参照_勢力'!A:A,'参照_勢力'!B:B,"見つかりません"))</f>
      </c>
      <c r="E22" s="12">
        <f t="array" ref="E22">IF(F22:F50="","",_xlfn.XLOOKUP(F22:F50,'参照_武将'!B:B,'参照_武将'!A:A,"見つかりません"))</f>
        <v>1009001</v>
      </c>
      <c r="F22" s="4" t="inlineStr">
        <is>
          <t>筒井順興</t>
        </is>
      </c>
      <c r="G22" s="4" t="inlineStr">
        <is>
          <t>married</t>
        </is>
      </c>
    </row>
    <row r="23" ht="15.75" customHeight="1">
      <c r="A23" s="4">
        <v>22</v>
      </c>
      <c r="B23" s="12" t="str">
        <f t="array" ref="B23">IF(A23:A51="","",_xlfn.XLOOKUP(A23:A51,'参照_姫'!A:A,'参照_姫'!B:B,"見つかりません"))</f>
      </c>
      <c r="C23" s="4">
        <v>25</v>
      </c>
      <c r="D23" s="12" t="str">
        <f t="array" ref="D23">IF(C23:C51="","",_xlfn.XLOOKUP(C23:C51,'参照_勢力'!A:A,'参照_勢力'!B:B,"見つかりません"))</f>
      </c>
      <c r="E23" s="12">
        <f t="array" ref="E23">IF(F23:F51="","",_xlfn.XLOOKUP(F23:F51,'参照_武将'!B:B,'参照_武将'!A:A,"見つかりません"))</f>
        <v>1025002</v>
      </c>
      <c r="F23" s="4" t="inlineStr">
        <is>
          <t>毛利元就</t>
        </is>
      </c>
      <c r="G23" s="4" t="inlineStr">
        <is>
          <t>married</t>
        </is>
      </c>
    </row>
    <row r="24" ht="15.75" customHeight="1">
      <c r="A24" s="4">
        <v>23</v>
      </c>
      <c r="B24" s="12" t="str">
        <f t="array" ref="B24">IF(A24:A52="","",_xlfn.XLOOKUP(A24:A52,'参照_姫'!A:A,'参照_姫'!B:B,"見つかりません"))</f>
      </c>
      <c r="C24" s="4">
        <v>54</v>
      </c>
      <c r="D24" s="12" t="str">
        <f t="array" ref="D24">IF(C24:C52="","",_xlfn.XLOOKUP(C24:C52,'参照_勢力'!A:A,'参照_勢力'!B:B,"見つかりません"))</f>
      </c>
      <c r="E24" s="12">
        <f t="array" ref="E24">IF(F24:F52="","",_xlfn.XLOOKUP(F24:F52,'参照_武将'!B:B,'参照_武将'!A:A,"見つかりません"))</f>
        <v>1054504</v>
      </c>
      <c r="F24" s="4" t="inlineStr">
        <is>
          <t>鍋島直茂</t>
        </is>
      </c>
      <c r="G24" s="4" t="inlineStr">
        <is>
          <t>married</t>
        </is>
      </c>
    </row>
    <row r="25" ht="15.75" customHeight="1">
      <c r="A25" s="4">
        <v>24</v>
      </c>
      <c r="B25" s="12" t="str">
        <f t="array" ref="B25">IF(A25:A53="","",_xlfn.XLOOKUP(A25:A53,'参照_姫'!A:A,'参照_姫'!B:B,"見つかりません"))</f>
      </c>
      <c r="C25" s="4">
        <v>5</v>
      </c>
      <c r="D25" s="12" t="str">
        <f t="array" ref="D25">IF(C25:C53="","",_xlfn.XLOOKUP(C25:C53,'参照_勢力'!A:A,'参照_勢力'!B:B,"見つかりません"))</f>
      </c>
      <c r="E25" s="12">
        <f t="array" ref="E25">IF(F25:F53="","",_xlfn.XLOOKUP(F25:F53,'参照_武将'!B:B,'参照_武将'!A:A,"見つかりません"))</f>
        <v>1004009</v>
      </c>
      <c r="F25" s="4" t="inlineStr">
        <is>
          <t>今川義元</t>
        </is>
      </c>
      <c r="G25" s="4" t="inlineStr">
        <is>
          <t>married</t>
        </is>
      </c>
    </row>
    <row r="26" ht="15.75" customHeight="1">
      <c r="A26" s="4">
        <v>25</v>
      </c>
      <c r="B26" s="12" t="str">
        <f t="array" ref="B26">IF(A26:A54="","",_xlfn.XLOOKUP(A26:A54,'参照_姫'!A:A,'参照_姫'!B:B,"見つかりません"))</f>
      </c>
      <c r="C26" s="4"/>
      <c r="D26" s="12" t="str">
        <f t="array" ref="D26">IF(C26:C54="","",_xlfn.XLOOKUP(C26:C54,'参照_勢力'!A:A,'参照_勢力'!B:B,"見つかりません"))</f>
      </c>
      <c r="E26" s="12" t="str">
        <f t="array" ref="E26">IF(F26:F54="","",_xlfn.XLOOKUP(F26:F54,'参照_武将'!B:B,'参照_武将'!A:A,"見つかりません"))</f>
      </c>
      <c r="F26" s="4"/>
      <c r="G26" s="4" t="inlineStr">
        <is>
          <t>unmarried</t>
        </is>
      </c>
    </row>
    <row r="27" ht="15.75" customHeight="1">
      <c r="A27" s="4">
        <v>26</v>
      </c>
      <c r="B27" s="12" t="str">
        <f t="array" ref="B27">IF(A27:A55="","",_xlfn.XLOOKUP(A27:A55,'参照_姫'!A:A,'参照_姫'!B:B,"見つかりません"))</f>
      </c>
      <c r="C27" s="4"/>
      <c r="D27" s="12" t="str">
        <f t="array" ref="D27">IF(C27:C55="","",_xlfn.XLOOKUP(C27:C55,'参照_勢力'!A:A,'参照_勢力'!B:B,"見つかりません"))</f>
      </c>
      <c r="E27" s="12" t="str">
        <f t="array" ref="E27">IF(F27:F55="","",_xlfn.XLOOKUP(F27:F55,'参照_武将'!B:B,'参照_武将'!A:A,"見つかりません"))</f>
      </c>
      <c r="F27" s="4"/>
      <c r="G27" s="4" t="inlineStr">
        <is>
          <t>unmarried</t>
        </is>
      </c>
    </row>
    <row r="28" ht="15.75" customHeight="1">
      <c r="A28" s="4">
        <v>27</v>
      </c>
      <c r="B28" s="12" t="str">
        <f t="array" ref="B28">IF(A28:A56="","",_xlfn.XLOOKUP(A28:A56,'参照_姫'!A:A,'参照_姫'!B:B,"見つかりません"))</f>
      </c>
      <c r="C28" s="4"/>
      <c r="D28" s="12" t="str">
        <f t="array" ref="D28">IF(C28:C56="","",_xlfn.XLOOKUP(C28:C56,'参照_勢力'!A:A,'参照_勢力'!B:B,"見つかりません"))</f>
      </c>
      <c r="E28" s="12" t="str">
        <f t="array" ref="E28">IF(F28:F56="","",_xlfn.XLOOKUP(F28:F56,'参照_武将'!B:B,'参照_武将'!A:A,"見つかりません"))</f>
      </c>
      <c r="F28" s="4"/>
      <c r="G28" s="4" t="inlineStr">
        <is>
          <t>unmarried</t>
        </is>
      </c>
    </row>
    <row r="29" ht="15.75" customHeight="1">
      <c r="A29" s="4">
        <v>28</v>
      </c>
      <c r="B29" s="12" t="str">
        <f t="array" ref="B29">IF(A29:A57="","",_xlfn.XLOOKUP(A29:A57,'参照_姫'!A:A,'参照_姫'!B:B,"見つかりません"))</f>
      </c>
      <c r="C29" s="4">
        <v>77</v>
      </c>
      <c r="D29" s="12" t="str">
        <f t="array" ref="D29">IF(C29:C57="","",_xlfn.XLOOKUP(C29:C57,'参照_勢力'!A:A,'参照_勢力'!B:B,"見つかりません"))</f>
      </c>
      <c r="E29" s="12">
        <f t="array" ref="E29">IF(F29:F57="","",_xlfn.XLOOKUP(F29:F57,'参照_武将'!B:B,'参照_武将'!A:A,"見つかりません"))</f>
        <v>1077002</v>
      </c>
      <c r="F29" s="4" t="inlineStr">
        <is>
          <t>相馬顕胤</t>
        </is>
      </c>
      <c r="G29" s="4" t="inlineStr">
        <is>
          <t>married</t>
        </is>
      </c>
    </row>
    <row r="30" ht="15.75" customHeight="1">
      <c r="A30" s="4">
        <v>29</v>
      </c>
      <c r="B30" s="12" t="str">
        <f t="array" ref="B30">IF(A30:A58="","",_xlfn.XLOOKUP(A30:A58,'参照_姫'!A:A,'参照_姫'!B:B,"見つかりません"))</f>
      </c>
      <c r="C30" s="4">
        <v>31</v>
      </c>
      <c r="D30" s="12" t="str">
        <f t="array" ref="D30">IF(C30:C58="","",_xlfn.XLOOKUP(C30:C58,'参照_勢力'!A:A,'参照_勢力'!B:B,"見つかりません"))</f>
      </c>
      <c r="E30" s="12">
        <f t="array" ref="E30">IF(F30:F58="","",_xlfn.XLOOKUP(F30:F58,'参照_武将'!B:B,'参照_武将'!A:A,"見つかりません"))</f>
        <v>1031025</v>
      </c>
      <c r="F30" s="4" t="inlineStr">
        <is>
          <t>疋田景範</t>
        </is>
      </c>
      <c r="G30" s="4" t="inlineStr">
        <is>
          <t>married</t>
        </is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G$30"/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3" max="3" width="10.13"/>
    <col customWidth="1" min="4" max="4" width="14.0"/>
    <col customWidth="1" min="6" max="9" width="10.13"/>
    <col customWidth="1" min="10" max="26" width="8.63"/>
  </cols>
  <sheetData>
    <row r="1">
      <c r="A1" s="2" t="s">
        <v>1</v>
      </c>
      <c r="B1" s="2" t="s">
        <v>5001</v>
      </c>
      <c r="C1" s="2" t="s">
        <v>806</v>
      </c>
      <c r="D1" s="2" t="s">
        <v>5005</v>
      </c>
      <c r="E1" s="2" t="s">
        <v>5007</v>
      </c>
      <c r="F1" s="2" t="s">
        <v>5009</v>
      </c>
      <c r="G1" s="2" t="s">
        <v>5011</v>
      </c>
      <c r="H1" s="2" t="s">
        <v>5013</v>
      </c>
      <c r="I1" s="2" t="s">
        <v>5015</v>
      </c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>
      <c r="A2" s="4">
        <v>1</v>
      </c>
      <c r="B2" s="12" t="str">
        <f t="array" ref="B2">IF(A2:A122="","",_xlfn.XLOOKUP(A2:A122,'参照_勢力'!A:A,'参照_勢力'!B:B,"見つかりません"))</f>
      </c>
      <c r="C2" s="9" t="b">
        <v>1</v>
      </c>
      <c r="D2" s="4">
        <v>1006006</v>
      </c>
      <c r="E2" s="12" t="str">
        <f t="array" ref="E2">IF(D2:D122="","",_xlfn.XLOOKUP(D2:D122,'参照_武将'!A:A,'参照_武将'!B:B,"見つかりません"))</f>
      </c>
      <c r="F2" s="4"/>
      <c r="G2" s="4"/>
      <c r="H2" s="21"/>
      <c r="I2" s="4"/>
    </row>
    <row r="3">
      <c r="A3" s="4">
        <v>2</v>
      </c>
      <c r="B3" s="12" t="str">
        <f t="array" ref="B3">IF(A3:A123="","",_xlfn.XLOOKUP(A3:A123,'参照_勢力'!A:A,'参照_勢力'!B:B,"見つかりません"))</f>
      </c>
      <c r="C3" s="9" t="b">
        <v>1</v>
      </c>
      <c r="D3" s="4">
        <v>1001015</v>
      </c>
      <c r="E3" s="12" t="str">
        <f t="array" ref="E3">IF(D3:D123="","",_xlfn.XLOOKUP(D3:D123,'参照_武将'!A:A,'参照_武将'!B:B,"見つかりません"))</f>
      </c>
      <c r="F3" s="4"/>
      <c r="G3" s="4"/>
      <c r="H3" s="21"/>
      <c r="I3" s="4"/>
    </row>
    <row r="4">
      <c r="A4" s="4">
        <v>3</v>
      </c>
      <c r="B4" s="12" t="str">
        <f t="array" ref="B4">IF(A4:A124="","",_xlfn.XLOOKUP(A4:A124,'参照_勢力'!A:A,'参照_勢力'!B:B,"見つかりません"))</f>
      </c>
      <c r="C4" s="9" t="b">
        <v>1</v>
      </c>
      <c r="D4" s="4">
        <v>1002002</v>
      </c>
      <c r="E4" s="12" t="str">
        <f t="array" ref="E4">IF(D4:D124="","",_xlfn.XLOOKUP(D4:D124,'参照_武将'!A:A,'参照_武将'!B:B,"見つかりません"))</f>
      </c>
      <c r="F4" s="4"/>
      <c r="G4" s="4"/>
      <c r="H4" s="21">
        <v>4</v>
      </c>
      <c r="I4" s="4"/>
    </row>
    <row r="5">
      <c r="A5" s="4">
        <v>4</v>
      </c>
      <c r="B5" s="12" t="str">
        <f t="array" ref="B5">IF(A5:A125="","",_xlfn.XLOOKUP(A5:A125,'参照_勢力'!A:A,'参照_勢力'!B:B,"見つかりません"))</f>
      </c>
      <c r="C5" s="9" t="b">
        <v>1</v>
      </c>
      <c r="D5" s="4">
        <v>1003004</v>
      </c>
      <c r="E5" s="12" t="str">
        <f t="array" ref="E5">IF(D5:D125="","",_xlfn.XLOOKUP(D5:D125,'参照_武将'!A:A,'参照_武将'!B:B,"見つかりません"))</f>
      </c>
      <c r="F5" s="4"/>
      <c r="G5" s="4"/>
      <c r="H5" s="21"/>
      <c r="I5" s="4"/>
    </row>
    <row r="6">
      <c r="A6" s="4">
        <v>5</v>
      </c>
      <c r="B6" s="12" t="str">
        <f t="array" ref="B6">IF(A6:A126="","",_xlfn.XLOOKUP(A6:A126,'参照_勢力'!A:A,'参照_勢力'!B:B,"見つかりません"))</f>
      </c>
      <c r="C6" s="9" t="b">
        <v>0</v>
      </c>
      <c r="D6" s="4"/>
      <c r="E6" s="12" t="str">
        <f t="array" ref="E6">IF(D6:D126="","",_xlfn.XLOOKUP(D6:D126,'参照_武将'!A:A,'参照_武将'!B:B,"見つかりません"))</f>
      </c>
      <c r="F6" s="4"/>
      <c r="G6" s="4"/>
      <c r="H6" s="21"/>
      <c r="I6" s="4"/>
    </row>
    <row r="7">
      <c r="A7" s="4">
        <v>6</v>
      </c>
      <c r="B7" s="12" t="str">
        <f t="array" ref="B7">IF(A7:A127="","",_xlfn.XLOOKUP(A7:A127,'参照_勢力'!A:A,'参照_勢力'!B:B,"見つかりません"))</f>
      </c>
      <c r="C7" s="9" t="b">
        <v>0</v>
      </c>
      <c r="D7" s="4"/>
      <c r="E7" s="12" t="str">
        <f t="array" ref="E7">IF(D7:D127="","",_xlfn.XLOOKUP(D7:D127,'参照_武将'!A:A,'参照_武将'!B:B,"見つかりません"))</f>
      </c>
      <c r="F7" s="4"/>
      <c r="G7" s="4"/>
      <c r="H7" s="21"/>
      <c r="I7" s="4"/>
    </row>
    <row r="8">
      <c r="A8" s="4">
        <v>7</v>
      </c>
      <c r="B8" s="12" t="str">
        <f t="array" ref="B8">IF(A8:A128="","",_xlfn.XLOOKUP(A8:A128,'参照_勢力'!A:A,'参照_勢力'!B:B,"見つかりません"))</f>
      </c>
      <c r="C8" s="9" t="b">
        <v>1</v>
      </c>
      <c r="D8" s="4">
        <v>1007008</v>
      </c>
      <c r="E8" s="12" t="str">
        <f t="array" ref="E8">IF(D8:D128="","",_xlfn.XLOOKUP(D8:D128,'参照_武将'!A:A,'参照_武将'!B:B,"見つかりません"))</f>
      </c>
      <c r="F8" s="4"/>
      <c r="G8" s="4"/>
      <c r="H8" s="21"/>
      <c r="I8" s="4"/>
    </row>
    <row r="9">
      <c r="A9" s="4">
        <v>8</v>
      </c>
      <c r="B9" s="12" t="str">
        <f t="array" ref="B9">IF(A9:A129="","",_xlfn.XLOOKUP(A9:A129,'参照_勢力'!A:A,'参照_勢力'!B:B,"見つかりません"))</f>
      </c>
      <c r="C9" s="9" t="b">
        <v>1</v>
      </c>
      <c r="D9" s="4">
        <v>1008006</v>
      </c>
      <c r="E9" s="12" t="str">
        <f t="array" ref="E9">IF(D9:D129="","",_xlfn.XLOOKUP(D9:D129,'参照_武将'!A:A,'参照_武将'!B:B,"見つかりません"))</f>
      </c>
      <c r="F9" s="4"/>
      <c r="G9" s="4"/>
      <c r="H9" s="21"/>
      <c r="I9" s="4"/>
    </row>
    <row r="10">
      <c r="A10" s="4">
        <v>9</v>
      </c>
      <c r="B10" s="12" t="str">
        <f t="array" ref="B10">IF(A10:A130="","",_xlfn.XLOOKUP(A10:A130,'参照_勢力'!A:A,'参照_勢力'!B:B,"見つかりません"))</f>
      </c>
      <c r="C10" s="9" t="b">
        <v>0</v>
      </c>
      <c r="D10" s="4"/>
      <c r="E10" s="12" t="str">
        <f t="array" ref="E10">IF(D10:D130="","",_xlfn.XLOOKUP(D10:D130,'参照_武将'!A:A,'参照_武将'!B:B,"見つかりません"))</f>
      </c>
      <c r="F10" s="4"/>
      <c r="G10" s="4"/>
      <c r="H10" s="21"/>
      <c r="I10" s="4"/>
    </row>
    <row r="11">
      <c r="A11" s="4">
        <v>10</v>
      </c>
      <c r="B11" s="12" t="str">
        <f t="array" ref="B11">IF(A11:A131="","",_xlfn.XLOOKUP(A11:A131,'参照_勢力'!A:A,'参照_勢力'!B:B,"見つかりません"))</f>
      </c>
      <c r="C11" s="9" t="b">
        <v>1</v>
      </c>
      <c r="D11" s="4">
        <v>1010002</v>
      </c>
      <c r="E11" s="12" t="str">
        <f t="array" ref="E11">IF(D11:D131="","",_xlfn.XLOOKUP(D11:D131,'参照_武将'!A:A,'参照_武将'!B:B,"見つかりません"))</f>
      </c>
      <c r="F11" s="4"/>
      <c r="G11" s="4"/>
      <c r="H11" s="21"/>
      <c r="I11" s="4"/>
    </row>
    <row r="12">
      <c r="A12" s="4">
        <v>11</v>
      </c>
      <c r="B12" s="12" t="str">
        <f t="array" ref="B12">IF(A12:A132="","",_xlfn.XLOOKUP(A12:A132,'参照_勢力'!A:A,'参照_勢力'!B:B,"見つかりません"))</f>
      </c>
      <c r="C12" s="9" t="b">
        <v>0</v>
      </c>
      <c r="D12" s="4">
        <v>0</v>
      </c>
      <c r="E12" s="12" t="str">
        <f t="array" ref="E12">IF(D12:D132="","",_xlfn.XLOOKUP(D12:D132,'参照_武将'!A:A,'参照_武将'!B:B,"見つかりません"))</f>
      </c>
      <c r="F12" s="4"/>
      <c r="G12" s="4"/>
      <c r="H12" s="21"/>
      <c r="I12" s="4"/>
    </row>
    <row r="13">
      <c r="A13" s="4">
        <v>12</v>
      </c>
      <c r="B13" s="12" t="str">
        <f t="array" ref="B13">IF(A13:A133="","",_xlfn.XLOOKUP(A13:A133,'参照_勢力'!A:A,'参照_勢力'!B:B,"見つかりません"))</f>
      </c>
      <c r="C13" s="9" t="b">
        <v>1</v>
      </c>
      <c r="D13" s="4">
        <v>1012007</v>
      </c>
      <c r="E13" s="12" t="str">
        <f t="array" ref="E13">IF(D13:D133="","",_xlfn.XLOOKUP(D13:D133,'参照_武将'!A:A,'参照_武将'!B:B,"見つかりません"))</f>
      </c>
      <c r="F13" s="4"/>
      <c r="G13" s="4"/>
      <c r="H13" s="21"/>
      <c r="I13" s="4"/>
    </row>
    <row r="14">
      <c r="A14" s="4">
        <v>13</v>
      </c>
      <c r="B14" s="12" t="str">
        <f t="array" ref="B14">IF(A14:A134="","",_xlfn.XLOOKUP(A14:A134,'参照_勢力'!A:A,'参照_勢力'!B:B,"見つかりません"))</f>
      </c>
      <c r="C14" s="9" t="b">
        <v>1</v>
      </c>
      <c r="D14" s="4">
        <v>1013005</v>
      </c>
      <c r="E14" s="12" t="str">
        <f t="array" ref="E14">IF(D14:D134="","",_xlfn.XLOOKUP(D14:D134,'参照_武将'!A:A,'参照_武将'!B:B,"見つかりません"))</f>
      </c>
      <c r="F14" s="4"/>
      <c r="G14" s="4"/>
      <c r="H14" s="21"/>
      <c r="I14" s="4"/>
    </row>
    <row r="15">
      <c r="A15" s="4">
        <v>14</v>
      </c>
      <c r="B15" s="12" t="str">
        <f t="array" ref="B15">IF(A15:A135="","",_xlfn.XLOOKUP(A15:A135,'参照_勢力'!A:A,'参照_勢力'!B:B,"見つかりません"))</f>
      </c>
      <c r="C15" s="9" t="b">
        <v>1</v>
      </c>
      <c r="D15" s="4">
        <v>1014004</v>
      </c>
      <c r="E15" s="12" t="str">
        <f t="array" ref="E15">IF(D15:D135="","",_xlfn.XLOOKUP(D15:D135,'参照_武将'!A:A,'参照_武将'!B:B,"見つかりません"))</f>
      </c>
      <c r="F15" s="4"/>
      <c r="G15" s="4"/>
      <c r="H15" s="21"/>
      <c r="I15" s="4"/>
    </row>
    <row r="16">
      <c r="A16" s="4">
        <v>15</v>
      </c>
      <c r="B16" s="12" t="str">
        <f t="array" ref="B16">IF(A16:A136="","",_xlfn.XLOOKUP(A16:A136,'参照_勢力'!A:A,'参照_勢力'!B:B,"見つかりません"))</f>
      </c>
      <c r="C16" s="9" t="b">
        <v>1</v>
      </c>
      <c r="D16" s="4">
        <v>1015005</v>
      </c>
      <c r="E16" s="12" t="str">
        <f t="array" ref="E16">IF(D16:D136="","",_xlfn.XLOOKUP(D16:D136,'参照_武将'!A:A,'参照_武将'!B:B,"見つかりません"))</f>
      </c>
      <c r="F16" s="4"/>
      <c r="G16" s="4"/>
      <c r="H16" s="21"/>
      <c r="I16" s="4"/>
    </row>
    <row r="17">
      <c r="A17" s="4">
        <v>16</v>
      </c>
      <c r="B17" s="12" t="str">
        <f t="array" ref="B17">IF(A17:A137="","",_xlfn.XLOOKUP(A17:A137,'参照_勢力'!A:A,'参照_勢力'!B:B,"見つかりません"))</f>
      </c>
      <c r="C17" s="9" t="b">
        <v>1</v>
      </c>
      <c r="D17" s="4">
        <v>1016011</v>
      </c>
      <c r="E17" s="12" t="str">
        <f t="array" ref="E17">IF(D17:D137="","",_xlfn.XLOOKUP(D17:D137,'参照_武将'!A:A,'参照_武将'!B:B,"見つかりません"))</f>
      </c>
      <c r="F17" s="4"/>
      <c r="G17" s="4"/>
      <c r="H17" s="21"/>
      <c r="I17" s="4"/>
    </row>
    <row r="18">
      <c r="A18" s="4">
        <v>17</v>
      </c>
      <c r="B18" s="12" t="str">
        <f t="array" ref="B18">IF(A18:A138="","",_xlfn.XLOOKUP(A18:A138,'参照_勢力'!A:A,'参照_勢力'!B:B,"見つかりません"))</f>
      </c>
      <c r="C18" s="9" t="b">
        <v>1</v>
      </c>
      <c r="D18" s="4">
        <v>1017004</v>
      </c>
      <c r="E18" s="12" t="str">
        <f t="array" ref="E18">IF(D18:D138="","",_xlfn.XLOOKUP(D18:D138,'参照_武将'!A:A,'参照_武将'!B:B,"見つかりません"))</f>
      </c>
      <c r="F18" s="4"/>
      <c r="G18" s="4"/>
      <c r="H18" s="21"/>
      <c r="I18" s="4"/>
    </row>
    <row r="19">
      <c r="A19" s="4">
        <v>18</v>
      </c>
      <c r="B19" s="12" t="str">
        <f t="array" ref="B19">IF(A19:A139="","",_xlfn.XLOOKUP(A19:A139,'参照_勢力'!A:A,'参照_勢力'!B:B,"見つかりません"))</f>
      </c>
      <c r="C19" s="9" t="b">
        <v>1</v>
      </c>
      <c r="D19" s="4">
        <v>1018005</v>
      </c>
      <c r="E19" s="12" t="str">
        <f t="array" ref="E19">IF(D19:D139="","",_xlfn.XLOOKUP(D19:D139,'参照_武将'!A:A,'参照_武将'!B:B,"見つかりません"))</f>
      </c>
      <c r="F19" s="4"/>
      <c r="G19" s="4"/>
      <c r="H19" s="21"/>
      <c r="I19" s="4"/>
    </row>
    <row r="20">
      <c r="A20" s="4">
        <v>19</v>
      </c>
      <c r="B20" s="12" t="str">
        <f t="array" ref="B20">IF(A20:A140="","",_xlfn.XLOOKUP(A20:A140,'参照_勢力'!A:A,'参照_勢力'!B:B,"見つかりません"))</f>
      </c>
      <c r="C20" s="9" t="b">
        <v>1</v>
      </c>
      <c r="D20" s="4">
        <v>1019005</v>
      </c>
      <c r="E20" s="12" t="str">
        <f t="array" ref="E20">IF(D20:D140="","",_xlfn.XLOOKUP(D20:D140,'参照_武将'!A:A,'参照_武将'!B:B,"見つかりません"))</f>
      </c>
      <c r="F20" s="4"/>
      <c r="G20" s="4"/>
      <c r="H20" s="21"/>
      <c r="I20" s="4"/>
    </row>
    <row r="21" ht="15.75" customHeight="1">
      <c r="A21" s="4">
        <v>20</v>
      </c>
      <c r="B21" s="12" t="str">
        <f t="array" ref="B21">IF(A21:A141="","",_xlfn.XLOOKUP(A21:A141,'参照_勢力'!A:A,'参照_勢力'!B:B,"見つかりません"))</f>
      </c>
      <c r="C21" s="9" t="b">
        <v>1</v>
      </c>
      <c r="D21" s="4">
        <v>1020021</v>
      </c>
      <c r="E21" s="12" t="str">
        <f t="array" ref="E21">IF(D21:D141="","",_xlfn.XLOOKUP(D21:D141,'参照_武将'!A:A,'参照_武将'!B:B,"見つかりません"))</f>
      </c>
      <c r="F21" s="4"/>
      <c r="G21" s="4"/>
      <c r="H21" s="21"/>
      <c r="I21" s="4"/>
    </row>
    <row r="22" ht="15.75" customHeight="1">
      <c r="A22" s="4">
        <v>21</v>
      </c>
      <c r="B22" s="12" t="str">
        <f t="array" ref="B22">IF(A22:A142="","",_xlfn.XLOOKUP(A22:A142,'参照_勢力'!A:A,'参照_勢力'!B:B,"見つかりません"))</f>
      </c>
      <c r="C22" s="9" t="b">
        <v>1</v>
      </c>
      <c r="D22" s="4">
        <v>1021004</v>
      </c>
      <c r="E22" s="12" t="str">
        <f t="array" ref="E22">IF(D22:D142="","",_xlfn.XLOOKUP(D22:D142,'参照_武将'!A:A,'参照_武将'!B:B,"見つかりません"))</f>
      </c>
      <c r="F22" s="4"/>
      <c r="G22" s="4"/>
      <c r="H22" s="21"/>
      <c r="I22" s="4"/>
    </row>
    <row r="23" ht="15.75" customHeight="1">
      <c r="A23" s="4">
        <v>22</v>
      </c>
      <c r="B23" s="12" t="str">
        <f t="array" ref="B23">IF(A23:A143="","",_xlfn.XLOOKUP(A23:A143,'参照_勢力'!A:A,'参照_勢力'!B:B,"見つかりません"))</f>
      </c>
      <c r="C23" s="9" t="b">
        <v>1</v>
      </c>
      <c r="D23" s="4">
        <v>1022002</v>
      </c>
      <c r="E23" s="12" t="str">
        <f t="array" ref="E23">IF(D23:D143="","",_xlfn.XLOOKUP(D23:D143,'参照_武将'!A:A,'参照_武将'!B:B,"見つかりません"))</f>
      </c>
      <c r="F23" s="4"/>
      <c r="G23" s="4"/>
      <c r="H23" s="21"/>
      <c r="I23" s="4"/>
    </row>
    <row r="24" ht="15.75" customHeight="1">
      <c r="A24" s="4">
        <v>23</v>
      </c>
      <c r="B24" s="12" t="str">
        <f t="array" ref="B24">IF(A24:A144="","",_xlfn.XLOOKUP(A24:A144,'参照_勢力'!A:A,'参照_勢力'!B:B,"見つかりません"))</f>
      </c>
      <c r="C24" s="9" t="b">
        <v>1</v>
      </c>
      <c r="D24" s="4">
        <v>1023004</v>
      </c>
      <c r="E24" s="12" t="str">
        <f t="array" ref="E24">IF(D24:D144="","",_xlfn.XLOOKUP(D24:D144,'参照_武将'!A:A,'参照_武将'!B:B,"見つかりません"))</f>
      </c>
      <c r="F24" s="4"/>
      <c r="G24" s="4"/>
      <c r="H24" s="21"/>
      <c r="I24" s="4"/>
    </row>
    <row r="25" ht="15.75" customHeight="1">
      <c r="A25" s="4">
        <v>24</v>
      </c>
      <c r="B25" s="12" t="str">
        <f t="array" ref="B25">IF(A25:A145="","",_xlfn.XLOOKUP(A25:A145,'参照_勢力'!A:A,'参照_勢力'!B:B,"見つかりません"))</f>
      </c>
      <c r="C25" s="9" t="b">
        <v>0</v>
      </c>
      <c r="D25" s="4"/>
      <c r="E25" s="12" t="str">
        <f t="array" ref="E25">IF(D25:D145="","",_xlfn.XLOOKUP(D25:D145,'参照_武将'!A:A,'参照_武将'!B:B,"見つかりません"))</f>
      </c>
      <c r="F25" s="4"/>
      <c r="G25" s="4"/>
      <c r="H25" s="21"/>
      <c r="I25" s="4"/>
    </row>
    <row r="26" ht="15.75" customHeight="1">
      <c r="A26" s="4">
        <v>25</v>
      </c>
      <c r="B26" s="12" t="str">
        <f t="array" ref="B26">IF(A26:A146="","",_xlfn.XLOOKUP(A26:A146,'参照_勢力'!A:A,'参照_勢力'!B:B,"見つかりません"))</f>
      </c>
      <c r="C26" s="9" t="b">
        <v>1</v>
      </c>
      <c r="D26" s="4">
        <v>1025004</v>
      </c>
      <c r="E26" s="12" t="str">
        <f t="array" ref="E26">IF(D26:D146="","",_xlfn.XLOOKUP(D26:D146,'参照_武将'!A:A,'参照_武将'!B:B,"見つかりません"))</f>
      </c>
      <c r="F26" s="4"/>
      <c r="G26" s="4"/>
      <c r="H26" s="21"/>
      <c r="I26" s="4"/>
    </row>
    <row r="27" ht="15.75" customHeight="1">
      <c r="A27" s="4">
        <v>26</v>
      </c>
      <c r="B27" s="12" t="str">
        <f t="array" ref="B27">IF(A27:A147="","",_xlfn.XLOOKUP(A27:A147,'参照_勢力'!A:A,'参照_勢力'!B:B,"見つかりません"))</f>
      </c>
      <c r="C27" s="9" t="b">
        <v>1</v>
      </c>
      <c r="D27" s="4">
        <v>1026012</v>
      </c>
      <c r="E27" s="12" t="str">
        <f t="array" ref="E27">IF(D27:D147="","",_xlfn.XLOOKUP(D27:D147,'参照_武将'!A:A,'参照_武将'!B:B,"見つかりません"))</f>
      </c>
      <c r="F27" s="4"/>
      <c r="G27" s="4"/>
      <c r="H27" s="21"/>
      <c r="I27" s="4"/>
    </row>
    <row r="28" ht="15.75" customHeight="1">
      <c r="A28" s="4">
        <v>27</v>
      </c>
      <c r="B28" s="12" t="str">
        <f t="array" ref="B28">IF(A28:A148="","",_xlfn.XLOOKUP(A28:A148,'参照_勢力'!A:A,'参照_勢力'!B:B,"見つかりません"))</f>
      </c>
      <c r="C28" s="9" t="b">
        <v>1</v>
      </c>
      <c r="D28" s="4">
        <v>1027002</v>
      </c>
      <c r="E28" s="12" t="str">
        <f t="array" ref="E28">IF(D28:D148="","",_xlfn.XLOOKUP(D28:D148,'参照_武将'!A:A,'参照_武将'!B:B,"見つかりません"))</f>
      </c>
      <c r="F28" s="4"/>
      <c r="G28" s="4"/>
      <c r="H28" s="21"/>
      <c r="I28" s="4"/>
    </row>
    <row r="29" ht="15.75" customHeight="1">
      <c r="A29" s="4">
        <v>28</v>
      </c>
      <c r="B29" s="12" t="str">
        <f t="array" ref="B29">IF(A29:A149="","",_xlfn.XLOOKUP(A29:A149,'参照_勢力'!A:A,'参照_勢力'!B:B,"見つかりません"))</f>
      </c>
      <c r="C29" s="9" t="b">
        <v>1</v>
      </c>
      <c r="D29" s="4">
        <v>1028007</v>
      </c>
      <c r="E29" s="12" t="str">
        <f t="array" ref="E29">IF(D29:D149="","",_xlfn.XLOOKUP(D29:D149,'参照_武将'!A:A,'参照_武将'!B:B,"見つかりません"))</f>
      </c>
      <c r="F29" s="4"/>
      <c r="G29" s="4"/>
      <c r="H29" s="21"/>
      <c r="I29" s="4"/>
    </row>
    <row r="30" ht="15.75" customHeight="1">
      <c r="A30" s="4">
        <v>29</v>
      </c>
      <c r="B30" s="12" t="str">
        <f t="array" ref="B30">IF(A30:A150="","",_xlfn.XLOOKUP(A30:A150,'参照_勢力'!A:A,'参照_勢力'!B:B,"見つかりません"))</f>
      </c>
      <c r="C30" s="9" t="b">
        <v>1</v>
      </c>
      <c r="D30" s="4">
        <v>1029010</v>
      </c>
      <c r="E30" s="12" t="str">
        <f t="array" ref="E30">IF(D30:D150="","",_xlfn.XLOOKUP(D30:D150,'参照_武将'!A:A,'参照_武将'!B:B,"見つかりません"))</f>
      </c>
      <c r="F30" s="4"/>
      <c r="G30" s="4"/>
      <c r="H30" s="21"/>
      <c r="I30" s="4"/>
    </row>
    <row r="31" ht="15.75" customHeight="1">
      <c r="A31" s="4">
        <v>30</v>
      </c>
      <c r="B31" s="12" t="str">
        <f t="array" ref="B31">IF(A31:A151="","",_xlfn.XLOOKUP(A31:A151,'参照_勢力'!A:A,'参照_勢力'!B:B,"見つかりません"))</f>
      </c>
      <c r="C31" s="9" t="b">
        <v>0</v>
      </c>
      <c r="D31" s="4"/>
      <c r="E31" s="12" t="str">
        <f t="array" ref="E31">IF(D31:D151="","",_xlfn.XLOOKUP(D31:D151,'参照_武将'!A:A,'参照_武将'!B:B,"見つかりません"))</f>
      </c>
      <c r="F31" s="4"/>
      <c r="G31" s="4"/>
      <c r="H31" s="21"/>
      <c r="I31" s="4"/>
    </row>
    <row r="32" ht="15.75" customHeight="1">
      <c r="A32" s="4">
        <v>31</v>
      </c>
      <c r="B32" s="12" t="str">
        <f t="array" ref="B32">IF(A32:A152="","",_xlfn.XLOOKUP(A32:A152,'参照_勢力'!A:A,'参照_勢力'!B:B,"見つかりません"))</f>
      </c>
      <c r="C32" s="9" t="b">
        <v>0</v>
      </c>
      <c r="D32" s="4"/>
      <c r="E32" s="12" t="str">
        <f t="array" ref="E32">IF(D32:D152="","",_xlfn.XLOOKUP(D32:D152,'参照_武将'!A:A,'参照_武将'!B:B,"見つかりません"))</f>
      </c>
      <c r="F32" s="4"/>
      <c r="G32" s="4"/>
      <c r="H32" s="21"/>
      <c r="I32" s="4"/>
    </row>
    <row r="33" ht="15.75" customHeight="1">
      <c r="A33" s="4">
        <v>32</v>
      </c>
      <c r="B33" s="12" t="str">
        <f t="array" ref="B33">IF(A33:A153="","",_xlfn.XLOOKUP(A33:A153,'参照_勢力'!A:A,'参照_勢力'!B:B,"見つかりません"))</f>
      </c>
      <c r="C33" s="9" t="b">
        <v>1</v>
      </c>
      <c r="D33" s="4">
        <v>1032005</v>
      </c>
      <c r="E33" s="12" t="str">
        <f t="array" ref="E33">IF(D33:D153="","",_xlfn.XLOOKUP(D33:D153,'参照_武将'!A:A,'参照_武将'!B:B,"見つかりません"))</f>
      </c>
      <c r="F33" s="4"/>
      <c r="G33" s="4"/>
      <c r="H33" s="21"/>
      <c r="I33" s="4"/>
    </row>
    <row r="34" ht="15.75" customHeight="1">
      <c r="A34" s="4">
        <v>33</v>
      </c>
      <c r="B34" s="12" t="str">
        <f t="array" ref="B34">IF(A34:A154="","",_xlfn.XLOOKUP(A34:A154,'参照_勢力'!A:A,'参照_勢力'!B:B,"見つかりません"))</f>
      </c>
      <c r="C34" s="9" t="b">
        <v>1</v>
      </c>
      <c r="D34" s="4">
        <v>1033011</v>
      </c>
      <c r="E34" s="12" t="str">
        <f t="array" ref="E34">IF(D34:D154="","",_xlfn.XLOOKUP(D34:D154,'参照_武将'!A:A,'参照_武将'!B:B,"見つかりません"))</f>
      </c>
      <c r="F34" s="4"/>
      <c r="G34" s="4"/>
      <c r="H34" s="21"/>
      <c r="I34" s="4"/>
    </row>
    <row r="35" ht="15.75" customHeight="1">
      <c r="A35" s="4">
        <v>34</v>
      </c>
      <c r="B35" s="12" t="str">
        <f t="array" ref="B35">IF(A35:A155="","",_xlfn.XLOOKUP(A35:A155,'参照_勢力'!A:A,'参照_勢力'!B:B,"見つかりません"))</f>
      </c>
      <c r="C35" s="9" t="b">
        <v>1</v>
      </c>
      <c r="D35" s="4">
        <v>1034004</v>
      </c>
      <c r="E35" s="12" t="str">
        <f t="array" ref="E35">IF(D35:D155="","",_xlfn.XLOOKUP(D35:D155,'参照_武将'!A:A,'参照_武将'!B:B,"見つかりません"))</f>
      </c>
      <c r="F35" s="4"/>
      <c r="G35" s="4"/>
      <c r="H35" s="21"/>
      <c r="I35" s="4"/>
    </row>
    <row r="36" ht="15.75" customHeight="1">
      <c r="A36" s="4">
        <v>35</v>
      </c>
      <c r="B36" s="12" t="str">
        <f t="array" ref="B36">IF(A36:A156="","",_xlfn.XLOOKUP(A36:A156,'参照_勢力'!A:A,'参照_勢力'!B:B,"見つかりません"))</f>
      </c>
      <c r="C36" s="9" t="b">
        <v>1</v>
      </c>
      <c r="D36" s="4">
        <v>1035010</v>
      </c>
      <c r="E36" s="12" t="str">
        <f t="array" ref="E36">IF(D36:D156="","",_xlfn.XLOOKUP(D36:D156,'参照_武将'!A:A,'参照_武将'!B:B,"見つかりません"))</f>
      </c>
      <c r="F36" s="4"/>
      <c r="G36" s="4"/>
      <c r="H36" s="21"/>
      <c r="I36" s="4"/>
    </row>
    <row r="37" ht="15.75" customHeight="1">
      <c r="A37" s="4">
        <v>36</v>
      </c>
      <c r="B37" s="12" t="str">
        <f t="array" ref="B37">IF(A37:A157="","",_xlfn.XLOOKUP(A37:A157,'参照_勢力'!A:A,'参照_勢力'!B:B,"見つかりません"))</f>
      </c>
      <c r="C37" s="9" t="b">
        <v>1</v>
      </c>
      <c r="D37" s="4">
        <v>1036004</v>
      </c>
      <c r="E37" s="12" t="str">
        <f t="array" ref="E37">IF(D37:D157="","",_xlfn.XLOOKUP(D37:D157,'参照_武将'!A:A,'参照_武将'!B:B,"見つかりません"))</f>
      </c>
      <c r="F37" s="4"/>
      <c r="G37" s="4"/>
      <c r="H37" s="21"/>
      <c r="I37" s="4"/>
    </row>
    <row r="38" ht="15.75" customHeight="1">
      <c r="A38" s="4">
        <v>37</v>
      </c>
      <c r="B38" s="12" t="str">
        <f t="array" ref="B38">IF(A38:A158="","",_xlfn.XLOOKUP(A38:A158,'参照_勢力'!A:A,'参照_勢力'!B:B,"見つかりません"))</f>
      </c>
      <c r="C38" s="9" t="b">
        <v>0</v>
      </c>
      <c r="D38" s="4"/>
      <c r="E38" s="12" t="str">
        <f t="array" ref="E38">IF(D38:D158="","",_xlfn.XLOOKUP(D38:D158,'参照_武将'!A:A,'参照_武将'!B:B,"見つかりません"))</f>
      </c>
      <c r="F38" s="4"/>
      <c r="G38" s="4"/>
      <c r="H38" s="21"/>
      <c r="I38" s="4"/>
    </row>
    <row r="39" ht="15.75" customHeight="1">
      <c r="A39" s="4">
        <v>38</v>
      </c>
      <c r="B39" s="12" t="str">
        <f t="array" ref="B39">IF(A39:A159="","",_xlfn.XLOOKUP(A39:A159,'参照_勢力'!A:A,'参照_勢力'!B:B,"見つかりません"))</f>
      </c>
      <c r="C39" s="9" t="b">
        <v>0</v>
      </c>
      <c r="D39" s="4"/>
      <c r="E39" s="12" t="str">
        <f t="array" ref="E39">IF(D39:D159="","",_xlfn.XLOOKUP(D39:D159,'参照_武将'!A:A,'参照_武将'!B:B,"見つかりません"))</f>
      </c>
      <c r="F39" s="4"/>
      <c r="G39" s="4"/>
      <c r="H39" s="21"/>
      <c r="I39" s="4"/>
    </row>
    <row r="40" ht="15.75" customHeight="1">
      <c r="A40" s="4">
        <v>39</v>
      </c>
      <c r="B40" s="12" t="str">
        <f t="array" ref="B40">IF(A40:A160="","",_xlfn.XLOOKUP(A40:A160,'参照_勢力'!A:A,'参照_勢力'!B:B,"見つかりません"))</f>
      </c>
      <c r="C40" s="9" t="b">
        <v>1</v>
      </c>
      <c r="D40" s="4">
        <v>1039010</v>
      </c>
      <c r="E40" s="12" t="str">
        <f t="array" ref="E40">IF(D40:D160="","",_xlfn.XLOOKUP(D40:D160,'参照_武将'!A:A,'参照_武将'!B:B,"見つかりません"))</f>
      </c>
      <c r="F40" s="4"/>
      <c r="G40" s="4"/>
      <c r="H40" s="21"/>
      <c r="I40" s="4"/>
    </row>
    <row r="41" ht="15.75" customHeight="1">
      <c r="A41" s="4">
        <v>40</v>
      </c>
      <c r="B41" s="12" t="str">
        <f t="array" ref="B41">IF(A41:A161="","",_xlfn.XLOOKUP(A41:A161,'参照_勢力'!A:A,'参照_勢力'!B:B,"見つかりません"))</f>
      </c>
      <c r="C41" s="9" t="b">
        <v>1</v>
      </c>
      <c r="D41" s="4">
        <v>1040003</v>
      </c>
      <c r="E41" s="12" t="str">
        <f t="array" ref="E41">IF(D41:D161="","",_xlfn.XLOOKUP(D41:D161,'参照_武将'!A:A,'参照_武将'!B:B,"見つかりません"))</f>
      </c>
      <c r="F41" s="4"/>
      <c r="G41" s="4"/>
      <c r="H41" s="21"/>
      <c r="I41" s="4"/>
    </row>
    <row r="42" ht="15.75" customHeight="1">
      <c r="A42" s="4">
        <v>41</v>
      </c>
      <c r="B42" s="12" t="str">
        <f t="array" ref="B42">IF(A42:A162="","",_xlfn.XLOOKUP(A42:A162,'参照_勢力'!A:A,'参照_勢力'!B:B,"見つかりません"))</f>
      </c>
      <c r="C42" s="9" t="b">
        <v>1</v>
      </c>
      <c r="D42" s="4">
        <v>1041016</v>
      </c>
      <c r="E42" s="12" t="str">
        <f t="array" ref="E42">IF(D42:D162="","",_xlfn.XLOOKUP(D42:D162,'参照_武将'!A:A,'参照_武将'!B:B,"見つかりません"))</f>
      </c>
      <c r="F42" s="4"/>
      <c r="G42" s="4"/>
      <c r="H42" s="21"/>
      <c r="I42" s="4"/>
    </row>
    <row r="43" ht="15.75" customHeight="1">
      <c r="A43" s="4">
        <v>42</v>
      </c>
      <c r="B43" s="12" t="str">
        <f t="array" ref="B43">IF(A43:A163="","",_xlfn.XLOOKUP(A43:A163,'参照_勢力'!A:A,'参照_勢力'!B:B,"見つかりません"))</f>
      </c>
      <c r="C43" s="9" t="b">
        <v>1</v>
      </c>
      <c r="D43" s="4">
        <v>1042003</v>
      </c>
      <c r="E43" s="12" t="str">
        <f t="array" ref="E43">IF(D43:D163="","",_xlfn.XLOOKUP(D43:D163,'参照_武将'!A:A,'参照_武将'!B:B,"見つかりません"))</f>
      </c>
      <c r="F43" s="4"/>
      <c r="G43" s="4"/>
      <c r="H43" s="21"/>
      <c r="I43" s="4"/>
    </row>
    <row r="44" ht="15.75" customHeight="1">
      <c r="A44" s="4">
        <v>43</v>
      </c>
      <c r="B44" s="12" t="str">
        <f t="array" ref="B44">IF(A44:A164="","",_xlfn.XLOOKUP(A44:A164,'参照_勢力'!A:A,'参照_勢力'!B:B,"見つかりません"))</f>
      </c>
      <c r="C44" s="9" t="b">
        <v>1</v>
      </c>
      <c r="D44" s="4">
        <v>1043011</v>
      </c>
      <c r="E44" s="12" t="str">
        <f t="array" ref="E44">IF(D44:D164="","",_xlfn.XLOOKUP(D44:D164,'参照_武将'!A:A,'参照_武将'!B:B,"見つかりません"))</f>
      </c>
      <c r="F44" s="4"/>
      <c r="G44" s="4"/>
      <c r="H44" s="21"/>
      <c r="I44" s="4"/>
    </row>
    <row r="45" ht="15.75" customHeight="1">
      <c r="A45" s="4">
        <v>44</v>
      </c>
      <c r="B45" s="12" t="str">
        <f t="array" ref="B45">IF(A45:A165="","",_xlfn.XLOOKUP(A45:A165,'参照_勢力'!A:A,'参照_勢力'!B:B,"見つかりません"))</f>
      </c>
      <c r="C45" s="9" t="b">
        <v>1</v>
      </c>
      <c r="D45" s="4">
        <v>1044005</v>
      </c>
      <c r="E45" s="12" t="str">
        <f t="array" ref="E45">IF(D45:D165="","",_xlfn.XLOOKUP(D45:D165,'参照_武将'!A:A,'参照_武将'!B:B,"見つかりません"))</f>
      </c>
      <c r="F45" s="4"/>
      <c r="G45" s="4"/>
      <c r="H45" s="21"/>
      <c r="I45" s="4"/>
    </row>
    <row r="46" ht="15.75" customHeight="1">
      <c r="A46" s="4">
        <v>45</v>
      </c>
      <c r="B46" s="12" t="str">
        <f t="array" ref="B46">IF(A46:A166="","",_xlfn.XLOOKUP(A46:A166,'参照_勢力'!A:A,'参照_勢力'!B:B,"見つかりません"))</f>
      </c>
      <c r="C46" s="9" t="b">
        <v>1</v>
      </c>
      <c r="D46" s="4">
        <v>1045004</v>
      </c>
      <c r="E46" s="12" t="str">
        <f t="array" ref="E46">IF(D46:D166="","",_xlfn.XLOOKUP(D46:D166,'参照_武将'!A:A,'参照_武将'!B:B,"見つかりません"))</f>
      </c>
      <c r="F46" s="4"/>
      <c r="G46" s="4"/>
      <c r="H46" s="21"/>
      <c r="I46" s="4"/>
    </row>
    <row r="47" ht="15.75" customHeight="1">
      <c r="A47" s="4">
        <v>46</v>
      </c>
      <c r="B47" s="12" t="str">
        <f t="array" ref="B47">IF(A47:A167="","",_xlfn.XLOOKUP(A47:A167,'参照_勢力'!A:A,'参照_勢力'!B:B,"見つかりません"))</f>
      </c>
      <c r="C47" s="9" t="b">
        <v>1</v>
      </c>
      <c r="D47" s="4">
        <v>1046005</v>
      </c>
      <c r="E47" s="12" t="str">
        <f t="array" ref="E47">IF(D47:D167="","",_xlfn.XLOOKUP(D47:D167,'参照_武将'!A:A,'参照_武将'!B:B,"見つかりません"))</f>
      </c>
      <c r="F47" s="4"/>
      <c r="G47" s="4"/>
      <c r="H47" s="21"/>
      <c r="I47" s="4"/>
    </row>
    <row r="48" ht="15.75" customHeight="1">
      <c r="A48" s="4">
        <v>47</v>
      </c>
      <c r="B48" s="12" t="str">
        <f t="array" ref="B48">IF(A48:A168="","",_xlfn.XLOOKUP(A48:A168,'参照_勢力'!A:A,'参照_勢力'!B:B,"見つかりません"))</f>
      </c>
      <c r="C48" s="9" t="b">
        <v>0</v>
      </c>
      <c r="D48" s="4"/>
      <c r="E48" s="12" t="str">
        <f t="array" ref="E48">IF(D48:D168="","",_xlfn.XLOOKUP(D48:D168,'参照_武将'!A:A,'参照_武将'!B:B,"見つかりません"))</f>
      </c>
      <c r="F48" s="4"/>
      <c r="G48" s="4"/>
      <c r="H48" s="21"/>
      <c r="I48" s="4"/>
    </row>
    <row r="49" ht="15.75" customHeight="1">
      <c r="A49" s="4">
        <v>48</v>
      </c>
      <c r="B49" s="12" t="str">
        <f t="array" ref="B49">IF(A49:A169="","",_xlfn.XLOOKUP(A49:A169,'参照_勢力'!A:A,'参照_勢力'!B:B,"見つかりません"))</f>
      </c>
      <c r="C49" s="9" t="b">
        <v>1</v>
      </c>
      <c r="D49" s="4">
        <v>1048004</v>
      </c>
      <c r="E49" s="12" t="str">
        <f t="array" ref="E49">IF(D49:D169="","",_xlfn.XLOOKUP(D49:D169,'参照_武将'!A:A,'参照_武将'!B:B,"見つかりません"))</f>
      </c>
      <c r="F49" s="4"/>
      <c r="G49" s="4"/>
      <c r="H49" s="21"/>
      <c r="I49" s="4"/>
    </row>
    <row r="50" ht="15.75" customHeight="1">
      <c r="A50" s="4">
        <v>49</v>
      </c>
      <c r="B50" s="12" t="str">
        <f t="array" ref="B50">IF(A50:A170="","",_xlfn.XLOOKUP(A50:A170,'参照_勢力'!A:A,'参照_勢力'!B:B,"見つかりません"))</f>
      </c>
      <c r="C50" s="9" t="b">
        <v>1</v>
      </c>
      <c r="D50" s="4">
        <v>1049003</v>
      </c>
      <c r="E50" s="12" t="str">
        <f t="array" ref="E50">IF(D50:D170="","",_xlfn.XLOOKUP(D50:D170,'参照_武将'!A:A,'参照_武将'!B:B,"見つかりません"))</f>
      </c>
      <c r="F50" s="4"/>
      <c r="G50" s="4"/>
      <c r="H50" s="21"/>
      <c r="I50" s="4"/>
    </row>
    <row r="51" ht="15.75" customHeight="1">
      <c r="A51" s="4">
        <v>50</v>
      </c>
      <c r="B51" s="12" t="str">
        <f t="array" ref="B51">IF(A51:A171="","",_xlfn.XLOOKUP(A51:A171,'参照_勢力'!A:A,'参照_勢力'!B:B,"見つかりません"))</f>
      </c>
      <c r="C51" s="9" t="b">
        <v>1</v>
      </c>
      <c r="D51" s="4">
        <v>1050005</v>
      </c>
      <c r="E51" s="12" t="str">
        <f t="array" ref="E51">IF(D51:D171="","",_xlfn.XLOOKUP(D51:D171,'参照_武将'!A:A,'参照_武将'!B:B,"見つかりません"))</f>
      </c>
      <c r="F51" s="4"/>
      <c r="G51" s="4"/>
      <c r="H51" s="21"/>
      <c r="I51" s="4"/>
    </row>
    <row r="52" ht="15.75" customHeight="1">
      <c r="A52" s="4">
        <v>51</v>
      </c>
      <c r="B52" s="12" t="str">
        <f t="array" ref="B52">IF(A52:A172="","",_xlfn.XLOOKUP(A52:A172,'参照_勢力'!A:A,'参照_勢力'!B:B,"見つかりません"))</f>
      </c>
      <c r="C52" s="9" t="b">
        <v>1</v>
      </c>
      <c r="D52" s="4">
        <v>1051005</v>
      </c>
      <c r="E52" s="12" t="str">
        <f t="array" ref="E52">IF(D52:D172="","",_xlfn.XLOOKUP(D52:D172,'参照_武将'!A:A,'参照_武将'!B:B,"見つかりません"))</f>
      </c>
      <c r="F52" s="4"/>
      <c r="G52" s="4"/>
      <c r="H52" s="21"/>
      <c r="I52" s="4"/>
    </row>
    <row r="53" ht="15.75" customHeight="1">
      <c r="A53" s="4">
        <v>52</v>
      </c>
      <c r="B53" s="12" t="str">
        <f t="array" ref="B53">IF(A53:A173="","",_xlfn.XLOOKUP(A53:A173,'参照_勢力'!A:A,'参照_勢力'!B:B,"見つかりません"))</f>
      </c>
      <c r="C53" s="9" t="b">
        <v>0</v>
      </c>
      <c r="D53" s="4"/>
      <c r="E53" s="12" t="str">
        <f t="array" ref="E53">IF(D53:D173="","",_xlfn.XLOOKUP(D53:D173,'参照_武将'!A:A,'参照_武将'!B:B,"見つかりません"))</f>
      </c>
      <c r="F53" s="4"/>
      <c r="G53" s="4"/>
      <c r="H53" s="21"/>
      <c r="I53" s="4"/>
    </row>
    <row r="54" ht="15.75" customHeight="1">
      <c r="A54" s="4">
        <v>53</v>
      </c>
      <c r="B54" s="12" t="str">
        <f t="array" ref="B54">IF(A54:A174="","",_xlfn.XLOOKUP(A54:A174,'参照_勢力'!A:A,'参照_勢力'!B:B,"見つかりません"))</f>
      </c>
      <c r="C54" s="9" t="b">
        <v>1</v>
      </c>
      <c r="D54" s="4">
        <v>1053003</v>
      </c>
      <c r="E54" s="12" t="str">
        <f t="array" ref="E54">IF(D54:D174="","",_xlfn.XLOOKUP(D54:D174,'参照_武将'!A:A,'参照_武将'!B:B,"見つかりません"))</f>
      </c>
      <c r="F54" s="4"/>
      <c r="G54" s="4"/>
      <c r="H54" s="21"/>
      <c r="I54" s="4"/>
    </row>
    <row r="55" ht="15.75" customHeight="1">
      <c r="A55" s="4">
        <v>54</v>
      </c>
      <c r="B55" s="12" t="str">
        <f t="array" ref="B55">IF(A55:A175="","",_xlfn.XLOOKUP(A55:A175,'参照_勢力'!A:A,'参照_勢力'!B:B,"見つかりません"))</f>
      </c>
      <c r="C55" s="9" t="b">
        <v>1</v>
      </c>
      <c r="D55" s="4">
        <v>1054010</v>
      </c>
      <c r="E55" s="12" t="str">
        <f t="array" ref="E55">IF(D55:D175="","",_xlfn.XLOOKUP(D55:D175,'参照_武将'!A:A,'参照_武将'!B:B,"見つかりません"))</f>
      </c>
      <c r="F55" s="4"/>
      <c r="G55" s="4"/>
      <c r="H55" s="21"/>
      <c r="I55" s="4"/>
    </row>
    <row r="56" ht="15.75" customHeight="1">
      <c r="A56" s="4">
        <v>55</v>
      </c>
      <c r="B56" s="12" t="str">
        <f t="array" ref="B56">IF(A56:A176="","",_xlfn.XLOOKUP(A56:A176,'参照_勢力'!A:A,'参照_勢力'!B:B,"見つかりません"))</f>
      </c>
      <c r="C56" s="9" t="b">
        <v>1</v>
      </c>
      <c r="D56" s="4">
        <v>1055003</v>
      </c>
      <c r="E56" s="12" t="str">
        <f t="array" ref="E56">IF(D56:D176="","",_xlfn.XLOOKUP(D56:D176,'参照_武将'!A:A,'参照_武将'!B:B,"見つかりません"))</f>
      </c>
      <c r="F56" s="4"/>
      <c r="G56" s="4"/>
      <c r="H56" s="21"/>
      <c r="I56" s="4"/>
    </row>
    <row r="57" ht="15.75" customHeight="1">
      <c r="A57" s="4">
        <v>56</v>
      </c>
      <c r="B57" s="12" t="str">
        <f t="array" ref="B57">IF(A57:A177="","",_xlfn.XLOOKUP(A57:A177,'参照_勢力'!A:A,'参照_勢力'!B:B,"見つかりません"))</f>
      </c>
      <c r="C57" s="9" t="b">
        <v>1</v>
      </c>
      <c r="D57" s="4">
        <v>1056003</v>
      </c>
      <c r="E57" s="12" t="str">
        <f t="array" ref="E57">IF(D57:D177="","",_xlfn.XLOOKUP(D57:D177,'参照_武将'!A:A,'参照_武将'!B:B,"見つかりません"))</f>
      </c>
      <c r="F57" s="4"/>
      <c r="G57" s="4"/>
      <c r="H57" s="21"/>
      <c r="I57" s="4"/>
    </row>
    <row r="58" ht="15.75" customHeight="1">
      <c r="A58" s="4">
        <v>57</v>
      </c>
      <c r="B58" s="12" t="str">
        <f t="array" ref="B58">IF(A58:A178="","",_xlfn.XLOOKUP(A58:A178,'参照_勢力'!A:A,'参照_勢力'!B:B,"見つかりません"))</f>
      </c>
      <c r="C58" s="9" t="b">
        <v>1</v>
      </c>
      <c r="D58" s="4">
        <v>1057003</v>
      </c>
      <c r="E58" s="12" t="str">
        <f t="array" ref="E58">IF(D58:D178="","",_xlfn.XLOOKUP(D58:D178,'参照_武将'!A:A,'参照_武将'!B:B,"見つかりません"))</f>
      </c>
      <c r="F58" s="4"/>
      <c r="G58" s="4"/>
      <c r="H58" s="21"/>
      <c r="I58" s="4"/>
    </row>
    <row r="59" ht="15.75" customHeight="1">
      <c r="A59" s="4">
        <v>58</v>
      </c>
      <c r="B59" s="12" t="str">
        <f t="array" ref="B59">IF(A59:A179="","",_xlfn.XLOOKUP(A59:A179,'参照_勢力'!A:A,'参照_勢力'!B:B,"見つかりません"))</f>
      </c>
      <c r="C59" s="9" t="b">
        <v>1</v>
      </c>
      <c r="D59" s="4">
        <v>1058003</v>
      </c>
      <c r="E59" s="12" t="str">
        <f t="array" ref="E59">IF(D59:D179="","",_xlfn.XLOOKUP(D59:D179,'参照_武将'!A:A,'参照_武将'!B:B,"見つかりません"))</f>
      </c>
      <c r="F59" s="4"/>
      <c r="G59" s="4"/>
      <c r="H59" s="21"/>
      <c r="I59" s="4"/>
    </row>
    <row r="60" ht="15.75" customHeight="1">
      <c r="A60" s="4">
        <v>59</v>
      </c>
      <c r="B60" s="12" t="str">
        <f t="array" ref="B60">IF(A60:A180="","",_xlfn.XLOOKUP(A60:A180,'参照_勢力'!A:A,'参照_勢力'!B:B,"見つかりません"))</f>
      </c>
      <c r="C60" s="9" t="b">
        <v>1</v>
      </c>
      <c r="D60" s="4">
        <v>1059008</v>
      </c>
      <c r="E60" s="12" t="str">
        <f t="array" ref="E60">IF(D60:D180="","",_xlfn.XLOOKUP(D60:D180,'参照_武将'!A:A,'参照_武将'!B:B,"見つかりません"))</f>
      </c>
      <c r="F60" s="4"/>
      <c r="G60" s="4"/>
      <c r="H60" s="21"/>
      <c r="I60" s="4"/>
    </row>
    <row r="61" ht="15.75" customHeight="1">
      <c r="A61" s="4">
        <v>60</v>
      </c>
      <c r="B61" s="12" t="str">
        <f t="array" ref="B61">IF(A61:A181="","",_xlfn.XLOOKUP(A61:A181,'参照_勢力'!A:A,'参照_勢力'!B:B,"見つかりません"))</f>
      </c>
      <c r="C61" s="9" t="b">
        <v>1</v>
      </c>
      <c r="D61" s="4">
        <v>1060003</v>
      </c>
      <c r="E61" s="12" t="str">
        <f t="array" ref="E61">IF(D61:D181="","",_xlfn.XLOOKUP(D61:D181,'参照_武将'!A:A,'参照_武将'!B:B,"見つかりません"))</f>
      </c>
      <c r="F61" s="4"/>
      <c r="G61" s="4"/>
      <c r="H61" s="21"/>
      <c r="I61" s="4"/>
    </row>
    <row r="62" ht="15.75" customHeight="1">
      <c r="A62" s="4">
        <v>61</v>
      </c>
      <c r="B62" s="12" t="str">
        <f t="array" ref="B62">IF(A62:A182="","",_xlfn.XLOOKUP(A62:A182,'参照_勢力'!A:A,'参照_勢力'!B:B,"見つかりません"))</f>
      </c>
      <c r="C62" s="9" t="b">
        <v>1</v>
      </c>
      <c r="D62" s="4">
        <v>1061006</v>
      </c>
      <c r="E62" s="12" t="str">
        <f t="array" ref="E62">IF(D62:D182="","",_xlfn.XLOOKUP(D62:D182,'参照_武将'!A:A,'参照_武将'!B:B,"見つかりません"))</f>
      </c>
      <c r="F62" s="4"/>
      <c r="G62" s="4"/>
      <c r="H62" s="21"/>
      <c r="I62" s="4"/>
    </row>
    <row r="63" ht="15.75" customHeight="1">
      <c r="A63" s="4">
        <v>62</v>
      </c>
      <c r="B63" s="12" t="str">
        <f t="array" ref="B63">IF(A63:A183="","",_xlfn.XLOOKUP(A63:A183,'参照_勢力'!A:A,'参照_勢力'!B:B,"見つかりません"))</f>
      </c>
      <c r="C63" s="9" t="b">
        <v>1</v>
      </c>
      <c r="D63" s="4">
        <v>1062018</v>
      </c>
      <c r="E63" s="12" t="str">
        <f t="array" ref="E63">IF(D63:D183="","",_xlfn.XLOOKUP(D63:D183,'参照_武将'!A:A,'参照_武将'!B:B,"見つかりません"))</f>
      </c>
      <c r="F63" s="4"/>
      <c r="G63" s="4"/>
      <c r="H63" s="21"/>
      <c r="I63" s="4"/>
    </row>
    <row r="64" ht="15.75" customHeight="1">
      <c r="A64" s="4">
        <v>63</v>
      </c>
      <c r="B64" s="12" t="str">
        <f t="array" ref="B64">IF(A64:A184="","",_xlfn.XLOOKUP(A64:A184,'参照_勢力'!A:A,'参照_勢力'!B:B,"見つかりません"))</f>
      </c>
      <c r="C64" s="9" t="b">
        <v>1</v>
      </c>
      <c r="D64" s="4">
        <v>1063007</v>
      </c>
      <c r="E64" s="12" t="str">
        <f t="array" ref="E64">IF(D64:D184="","",_xlfn.XLOOKUP(D64:D184,'参照_武将'!A:A,'参照_武将'!B:B,"見つかりません"))</f>
      </c>
      <c r="F64" s="4"/>
      <c r="G64" s="4"/>
      <c r="H64" s="21"/>
      <c r="I64" s="4"/>
    </row>
    <row r="65" ht="15.75" customHeight="1">
      <c r="A65" s="4">
        <v>64</v>
      </c>
      <c r="B65" s="12" t="str">
        <f t="array" ref="B65">IF(A65:A185="","",_xlfn.XLOOKUP(A65:A185,'参照_勢力'!A:A,'参照_勢力'!B:B,"見つかりません"))</f>
      </c>
      <c r="C65" s="9" t="b">
        <v>1</v>
      </c>
      <c r="D65" s="4">
        <v>1064003</v>
      </c>
      <c r="E65" s="12" t="str">
        <f t="array" ref="E65">IF(D65:D185="","",_xlfn.XLOOKUP(D65:D185,'参照_武将'!A:A,'参照_武将'!B:B,"見つかりません"))</f>
      </c>
      <c r="F65" s="4"/>
      <c r="G65" s="4"/>
      <c r="H65" s="21"/>
      <c r="I65" s="4"/>
    </row>
    <row r="66" ht="15.75" customHeight="1">
      <c r="A66" s="4">
        <v>65</v>
      </c>
      <c r="B66" s="12" t="str">
        <f t="array" ref="B66">IF(A66:A186="","",_xlfn.XLOOKUP(A66:A186,'参照_勢力'!A:A,'参照_勢力'!B:B,"見つかりません"))</f>
      </c>
      <c r="C66" s="9" t="b">
        <v>1</v>
      </c>
      <c r="D66" s="4">
        <v>1065001</v>
      </c>
      <c r="E66" s="12" t="str">
        <f t="array" ref="E66">IF(D66:D186="","",_xlfn.XLOOKUP(D66:D186,'参照_武将'!A:A,'参照_武将'!B:B,"見つかりません"))</f>
      </c>
      <c r="F66" s="4"/>
      <c r="G66" s="4"/>
      <c r="H66" s="21"/>
      <c r="I66" s="4"/>
    </row>
    <row r="67" ht="15.75" customHeight="1">
      <c r="A67" s="4">
        <v>66</v>
      </c>
      <c r="B67" s="12" t="str">
        <f t="array" ref="B67">IF(A67:A187="","",_xlfn.XLOOKUP(A67:A187,'参照_勢力'!A:A,'参照_勢力'!B:B,"見つかりません"))</f>
      </c>
      <c r="C67" s="9" t="b">
        <v>1</v>
      </c>
      <c r="D67" s="4">
        <v>1066004</v>
      </c>
      <c r="E67" s="12" t="str">
        <f t="array" ref="E67">IF(D67:D187="","",_xlfn.XLOOKUP(D67:D187,'参照_武将'!A:A,'参照_武将'!B:B,"見つかりません"))</f>
      </c>
      <c r="F67" s="4"/>
      <c r="G67" s="4"/>
      <c r="H67" s="21"/>
      <c r="I67" s="4"/>
    </row>
    <row r="68" ht="15.75" customHeight="1">
      <c r="A68" s="4">
        <v>67</v>
      </c>
      <c r="B68" s="12" t="str">
        <f t="array" ref="B68">IF(A68:A188="","",_xlfn.XLOOKUP(A68:A188,'参照_勢力'!A:A,'参照_勢力'!B:B,"見つかりません"))</f>
      </c>
      <c r="C68" s="9" t="b">
        <v>1</v>
      </c>
      <c r="D68" s="4">
        <v>1067003</v>
      </c>
      <c r="E68" s="12" t="str">
        <f t="array" ref="E68">IF(D68:D188="","",_xlfn.XLOOKUP(D68:D188,'参照_武将'!A:A,'参照_武将'!B:B,"見つかりません"))</f>
      </c>
      <c r="F68" s="4"/>
      <c r="G68" s="4"/>
      <c r="H68" s="21"/>
      <c r="I68" s="4"/>
    </row>
    <row r="69" ht="15.75" customHeight="1">
      <c r="A69" s="4">
        <v>68</v>
      </c>
      <c r="B69" s="12" t="str">
        <f t="array" ref="B69">IF(A69:A189="","",_xlfn.XLOOKUP(A69:A189,'参照_勢力'!A:A,'参照_勢力'!B:B,"見つかりません"))</f>
      </c>
      <c r="C69" s="9" t="b">
        <v>1</v>
      </c>
      <c r="D69" s="4">
        <v>1068012</v>
      </c>
      <c r="E69" s="12" t="str">
        <f t="array" ref="E69">IF(D69:D189="","",_xlfn.XLOOKUP(D69:D189,'参照_武将'!A:A,'参照_武将'!B:B,"見つかりません"))</f>
      </c>
      <c r="F69" s="4"/>
      <c r="G69" s="4"/>
      <c r="H69" s="21"/>
      <c r="I69" s="4"/>
    </row>
    <row r="70" ht="15.75" customHeight="1">
      <c r="A70" s="4">
        <v>69</v>
      </c>
      <c r="B70" s="12" t="str">
        <f t="array" ref="B70">IF(A70:A190="","",_xlfn.XLOOKUP(A70:A190,'参照_勢力'!A:A,'参照_勢力'!B:B,"見つかりません"))</f>
      </c>
      <c r="C70" s="9" t="b">
        <v>1</v>
      </c>
      <c r="D70" s="4">
        <v>1069010</v>
      </c>
      <c r="E70" s="12" t="str">
        <f t="array" ref="E70">IF(D70:D190="","",_xlfn.XLOOKUP(D70:D190,'参照_武将'!A:A,'参照_武将'!B:B,"見つかりません"))</f>
      </c>
      <c r="F70" s="4"/>
      <c r="G70" s="4"/>
      <c r="H70" s="21"/>
      <c r="I70" s="4"/>
    </row>
    <row r="71" ht="15.75" customHeight="1">
      <c r="A71" s="4">
        <v>70</v>
      </c>
      <c r="B71" s="12" t="str">
        <f t="array" ref="B71">IF(A71:A191="","",_xlfn.XLOOKUP(A71:A191,'参照_勢力'!A:A,'参照_勢力'!B:B,"見つかりません"))</f>
      </c>
      <c r="C71" s="9" t="b">
        <v>1</v>
      </c>
      <c r="D71" s="4">
        <v>1070008</v>
      </c>
      <c r="E71" s="12" t="str">
        <f t="array" ref="E71">IF(D71:D191="","",_xlfn.XLOOKUP(D71:D191,'参照_武将'!A:A,'参照_武将'!B:B,"見つかりません"))</f>
      </c>
      <c r="F71" s="4"/>
      <c r="G71" s="4"/>
      <c r="H71" s="21"/>
      <c r="I71" s="4"/>
    </row>
    <row r="72" ht="15.75" customHeight="1">
      <c r="A72" s="4">
        <v>71</v>
      </c>
      <c r="B72" s="12" t="str">
        <f t="array" ref="B72">IF(A72:A192="","",_xlfn.XLOOKUP(A72:A192,'参照_勢力'!A:A,'参照_勢力'!B:B,"見つかりません"))</f>
      </c>
      <c r="C72" s="9" t="b">
        <v>1</v>
      </c>
      <c r="D72" s="4">
        <v>1071003</v>
      </c>
      <c r="E72" s="12" t="str">
        <f t="array" ref="E72">IF(D72:D192="","",_xlfn.XLOOKUP(D72:D192,'参照_武将'!A:A,'参照_武将'!B:B,"見つかりません"))</f>
      </c>
      <c r="F72" s="4"/>
      <c r="G72" s="4"/>
      <c r="H72" s="21"/>
      <c r="I72" s="4"/>
    </row>
    <row r="73" ht="15.75" customHeight="1">
      <c r="A73" s="4">
        <v>72</v>
      </c>
      <c r="B73" s="12" t="str">
        <f t="array" ref="B73">IF(A73:A193="","",_xlfn.XLOOKUP(A73:A193,'参照_勢力'!A:A,'参照_勢力'!B:B,"見つかりません"))</f>
      </c>
      <c r="C73" s="9" t="b">
        <v>1</v>
      </c>
      <c r="D73" s="4">
        <v>1072002</v>
      </c>
      <c r="E73" s="12" t="str">
        <f t="array" ref="E73">IF(D73:D193="","",_xlfn.XLOOKUP(D73:D193,'参照_武将'!A:A,'参照_武将'!B:B,"見つかりません"))</f>
      </c>
      <c r="F73" s="4"/>
      <c r="G73" s="4"/>
      <c r="H73" s="21"/>
      <c r="I73" s="4"/>
    </row>
    <row r="74" ht="15.75" customHeight="1">
      <c r="A74" s="4">
        <v>73</v>
      </c>
      <c r="B74" s="12" t="str">
        <f t="array" ref="B74">IF(A74:A194="","",_xlfn.XLOOKUP(A74:A194,'参照_勢力'!A:A,'参照_勢力'!B:B,"見つかりません"))</f>
      </c>
      <c r="C74" s="9" t="b">
        <v>1</v>
      </c>
      <c r="D74" s="4">
        <v>1073013</v>
      </c>
      <c r="E74" s="12" t="str">
        <f t="array" ref="E74">IF(D74:D194="","",_xlfn.XLOOKUP(D74:D194,'参照_武将'!A:A,'参照_武将'!B:B,"見つかりません"))</f>
      </c>
      <c r="F74" s="4"/>
      <c r="G74" s="4"/>
      <c r="H74" s="21"/>
      <c r="I74" s="4"/>
    </row>
    <row r="75" ht="15.75" customHeight="1">
      <c r="A75" s="4">
        <v>74</v>
      </c>
      <c r="B75" s="12" t="str">
        <f t="array" ref="B75">IF(A75:A195="","",_xlfn.XLOOKUP(A75:A195,'参照_勢力'!A:A,'参照_勢力'!B:B,"見つかりません"))</f>
      </c>
      <c r="C75" s="9" t="b">
        <v>1</v>
      </c>
      <c r="D75" s="4">
        <v>1074008</v>
      </c>
      <c r="E75" s="12" t="str">
        <f t="array" ref="E75">IF(D75:D195="","",_xlfn.XLOOKUP(D75:D195,'参照_武将'!A:A,'参照_武将'!B:B,"見つかりません"))</f>
      </c>
      <c r="F75" s="4"/>
      <c r="G75" s="4"/>
      <c r="H75" s="21"/>
      <c r="I75" s="4"/>
    </row>
    <row r="76" ht="15.75" customHeight="1">
      <c r="A76" s="4">
        <v>75</v>
      </c>
      <c r="B76" s="12" t="str">
        <f t="array" ref="B76">IF(A76:A196="","",_xlfn.XLOOKUP(A76:A196,'参照_勢力'!A:A,'参照_勢力'!B:B,"見つかりません"))</f>
      </c>
      <c r="C76" s="9" t="b">
        <v>1</v>
      </c>
      <c r="D76" s="4">
        <v>1075004</v>
      </c>
      <c r="E76" s="12" t="str">
        <f t="array" ref="E76">IF(D76:D196="","",_xlfn.XLOOKUP(D76:D196,'参照_武将'!A:A,'参照_武将'!B:B,"見つかりません"))</f>
      </c>
      <c r="F76" s="4"/>
      <c r="G76" s="4"/>
      <c r="H76" s="21"/>
      <c r="I76" s="4"/>
    </row>
    <row r="77" ht="15.75" customHeight="1">
      <c r="A77" s="4">
        <v>76</v>
      </c>
      <c r="B77" s="12" t="str">
        <f t="array" ref="B77">IF(A77:A197="","",_xlfn.XLOOKUP(A77:A197,'参照_勢力'!A:A,'参照_勢力'!B:B,"見つかりません"))</f>
      </c>
      <c r="C77" s="9" t="b">
        <v>1</v>
      </c>
      <c r="D77" s="4">
        <v>1076004</v>
      </c>
      <c r="E77" s="12" t="str">
        <f t="array" ref="E77">IF(D77:D197="","",_xlfn.XLOOKUP(D77:D197,'参照_武将'!A:A,'参照_武将'!B:B,"見つかりません"))</f>
      </c>
      <c r="F77" s="4"/>
      <c r="G77" s="4"/>
      <c r="H77" s="21"/>
      <c r="I77" s="4"/>
    </row>
    <row r="78" ht="15.75" customHeight="1">
      <c r="A78" s="4">
        <v>77</v>
      </c>
      <c r="B78" s="12" t="str">
        <f t="array" ref="B78">IF(A78:A198="","",_xlfn.XLOOKUP(A78:A198,'参照_勢力'!A:A,'参照_勢力'!B:B,"見つかりません"))</f>
      </c>
      <c r="C78" s="9" t="b">
        <v>1</v>
      </c>
      <c r="D78" s="4">
        <v>1077003</v>
      </c>
      <c r="E78" s="12" t="str">
        <f t="array" ref="E78">IF(D78:D198="","",_xlfn.XLOOKUP(D78:D198,'参照_武将'!A:A,'参照_武将'!B:B,"見つかりません"))</f>
      </c>
      <c r="F78" s="4"/>
      <c r="G78" s="4"/>
      <c r="H78" s="21"/>
      <c r="I78" s="4"/>
    </row>
    <row r="79" ht="15.75" customHeight="1">
      <c r="A79" s="4">
        <v>78</v>
      </c>
      <c r="B79" s="12" t="str">
        <f t="array" ref="B79">IF(A79:A199="","",_xlfn.XLOOKUP(A79:A199,'参照_勢力'!A:A,'参照_勢力'!B:B,"見つかりません"))</f>
      </c>
      <c r="C79" s="9" t="b">
        <v>1</v>
      </c>
      <c r="D79" s="4">
        <v>1078004</v>
      </c>
      <c r="E79" s="12" t="str">
        <f t="array" ref="E79">IF(D79:D199="","",_xlfn.XLOOKUP(D79:D199,'参照_武将'!A:A,'参照_武将'!B:B,"見つかりません"))</f>
      </c>
      <c r="F79" s="4"/>
      <c r="G79" s="4"/>
      <c r="H79" s="21"/>
      <c r="I79" s="4"/>
    </row>
    <row r="80" ht="15.75" customHeight="1">
      <c r="A80" s="4">
        <v>79</v>
      </c>
      <c r="B80" s="12" t="str">
        <f t="array" ref="B80">IF(A80:A200="","",_xlfn.XLOOKUP(A80:A200,'参照_勢力'!A:A,'参照_勢力'!B:B,"見つかりません"))</f>
      </c>
      <c r="C80" s="9" t="b">
        <v>1</v>
      </c>
      <c r="D80" s="4">
        <v>1079003</v>
      </c>
      <c r="E80" s="12" t="str">
        <f t="array" ref="E80">IF(D80:D200="","",_xlfn.XLOOKUP(D80:D200,'参照_武将'!A:A,'参照_武将'!B:B,"見つかりません"))</f>
      </c>
      <c r="F80" s="4"/>
      <c r="G80" s="4"/>
      <c r="H80" s="21"/>
      <c r="I80" s="4"/>
    </row>
    <row r="81" ht="15.75" customHeight="1">
      <c r="A81" s="4">
        <v>80</v>
      </c>
      <c r="B81" s="12" t="str">
        <f t="array" ref="B81">IF(A81:A201="","",_xlfn.XLOOKUP(A81:A201,'参照_勢力'!A:A,'参照_勢力'!B:B,"見つかりません"))</f>
      </c>
      <c r="C81" s="9" t="b">
        <v>1</v>
      </c>
      <c r="D81" s="4">
        <v>1080007</v>
      </c>
      <c r="E81" s="12" t="str">
        <f t="array" ref="E81">IF(D81:D201="","",_xlfn.XLOOKUP(D81:D201,'参照_武将'!A:A,'参照_武将'!B:B,"見つかりません"))</f>
      </c>
      <c r="F81" s="4"/>
      <c r="G81" s="4"/>
      <c r="H81" s="21"/>
      <c r="I81" s="4"/>
    </row>
    <row r="82" ht="15.75" customHeight="1">
      <c r="A82" s="4">
        <v>81</v>
      </c>
      <c r="B82" s="12" t="str">
        <f t="array" ref="B82">IF(A82:A202="","",_xlfn.XLOOKUP(A82:A202,'参照_勢力'!A:A,'参照_勢力'!B:B,"見つかりません"))</f>
      </c>
      <c r="C82" s="9" t="b">
        <v>1</v>
      </c>
      <c r="D82" s="4">
        <v>1081004</v>
      </c>
      <c r="E82" s="12" t="str">
        <f t="array" ref="E82">IF(D82:D202="","",_xlfn.XLOOKUP(D82:D202,'参照_武将'!A:A,'参照_武将'!B:B,"見つかりません"))</f>
      </c>
      <c r="F82" s="4"/>
      <c r="G82" s="4"/>
      <c r="H82" s="21"/>
      <c r="I82" s="4"/>
    </row>
    <row r="83" ht="15.75" customHeight="1">
      <c r="A83" s="4">
        <v>82</v>
      </c>
      <c r="B83" s="12" t="str">
        <f t="array" ref="B83">IF(A83:A203="","",_xlfn.XLOOKUP(A83:A203,'参照_勢力'!A:A,'参照_勢力'!B:B,"見つかりません"))</f>
      </c>
      <c r="C83" s="9" t="b">
        <v>1</v>
      </c>
      <c r="D83" s="4">
        <v>1082007</v>
      </c>
      <c r="E83" s="12" t="str">
        <f t="array" ref="E83">IF(D83:D203="","",_xlfn.XLOOKUP(D83:D203,'参照_武将'!A:A,'参照_武将'!B:B,"見つかりません"))</f>
      </c>
      <c r="F83" s="4"/>
      <c r="G83" s="4"/>
      <c r="H83" s="21"/>
      <c r="I83" s="4"/>
    </row>
    <row r="84" ht="15.75" customHeight="1">
      <c r="A84" s="4">
        <v>83</v>
      </c>
      <c r="B84" s="12" t="str">
        <f t="array" ref="B84">IF(A84:A204="","",_xlfn.XLOOKUP(A84:A204,'参照_勢力'!A:A,'参照_勢力'!B:B,"見つかりません"))</f>
      </c>
      <c r="C84" s="9" t="b">
        <v>1</v>
      </c>
      <c r="D84" s="4">
        <v>1083003</v>
      </c>
      <c r="E84" s="12" t="str">
        <f t="array" ref="E84">IF(D84:D204="","",_xlfn.XLOOKUP(D84:D204,'参照_武将'!A:A,'参照_武将'!B:B,"見つかりません"))</f>
      </c>
      <c r="F84" s="4"/>
      <c r="G84" s="4"/>
      <c r="H84" s="21"/>
      <c r="I84" s="4"/>
    </row>
    <row r="85" ht="15.75" customHeight="1">
      <c r="A85" s="4">
        <v>84</v>
      </c>
      <c r="B85" s="12" t="str">
        <f t="array" ref="B85">IF(A85:A205="","",_xlfn.XLOOKUP(A85:A205,'参照_勢力'!A:A,'参照_勢力'!B:B,"見つかりません"))</f>
      </c>
      <c r="C85" s="9" t="b">
        <v>1</v>
      </c>
      <c r="D85" s="4">
        <v>1084004</v>
      </c>
      <c r="E85" s="12" t="str">
        <f t="array" ref="E85">IF(D85:D205="","",_xlfn.XLOOKUP(D85:D205,'参照_武将'!A:A,'参照_武将'!B:B,"見つかりません"))</f>
      </c>
      <c r="F85" s="4"/>
      <c r="G85" s="4"/>
      <c r="H85" s="21"/>
      <c r="I85" s="4"/>
    </row>
    <row r="86" ht="15.75" customHeight="1">
      <c r="A86" s="4">
        <v>85</v>
      </c>
      <c r="B86" s="12" t="str">
        <f t="array" ref="B86">IF(A86:A206="","",_xlfn.XLOOKUP(A86:A206,'参照_勢力'!A:A,'参照_勢力'!B:B,"見つかりません"))</f>
      </c>
      <c r="C86" s="9" t="b">
        <v>1</v>
      </c>
      <c r="D86" s="4">
        <v>1085002</v>
      </c>
      <c r="E86" s="12" t="str">
        <f t="array" ref="E86">IF(D86:D206="","",_xlfn.XLOOKUP(D86:D206,'参照_武将'!A:A,'参照_武将'!B:B,"見つかりません"))</f>
      </c>
      <c r="F86" s="4"/>
      <c r="G86" s="4"/>
      <c r="H86" s="21"/>
      <c r="I86" s="4"/>
    </row>
    <row r="87" ht="15.75" customHeight="1">
      <c r="A87" s="4">
        <v>86</v>
      </c>
      <c r="B87" s="12" t="str">
        <f t="array" ref="B87">IF(A87:A207="","",_xlfn.XLOOKUP(A87:A207,'参照_勢力'!A:A,'参照_勢力'!B:B,"見つかりません"))</f>
      </c>
      <c r="C87" s="9" t="b">
        <v>1</v>
      </c>
      <c r="D87" s="4">
        <v>1086004</v>
      </c>
      <c r="E87" s="12" t="str">
        <f t="array" ref="E87">IF(D87:D207="","",_xlfn.XLOOKUP(D87:D207,'参照_武将'!A:A,'参照_武将'!B:B,"見つかりません"))</f>
      </c>
      <c r="F87" s="4"/>
      <c r="G87" s="4"/>
      <c r="H87" s="21"/>
      <c r="I87" s="4"/>
    </row>
    <row r="88" ht="15.75" customHeight="1">
      <c r="A88" s="4">
        <v>87</v>
      </c>
      <c r="B88" s="12" t="str">
        <f t="array" ref="B88">IF(A88:A208="","",_xlfn.XLOOKUP(A88:A208,'参照_勢力'!A:A,'参照_勢力'!B:B,"見つかりません"))</f>
      </c>
      <c r="C88" s="9" t="b">
        <v>1</v>
      </c>
      <c r="D88" s="4">
        <v>1087007</v>
      </c>
      <c r="E88" s="12" t="str">
        <f t="array" ref="E88">IF(D88:D208="","",_xlfn.XLOOKUP(D88:D208,'参照_武将'!A:A,'参照_武将'!B:B,"見つかりません"))</f>
      </c>
      <c r="F88" s="4"/>
      <c r="G88" s="4"/>
      <c r="H88" s="21"/>
      <c r="I88" s="4"/>
    </row>
    <row r="89" ht="15.75" customHeight="1">
      <c r="A89" s="4">
        <v>88</v>
      </c>
      <c r="B89" s="12" t="str">
        <f t="array" ref="B89">IF(A89:A209="","",_xlfn.XLOOKUP(A89:A209,'参照_勢力'!A:A,'参照_勢力'!B:B,"見つかりません"))</f>
      </c>
      <c r="C89" s="9" t="b">
        <v>1</v>
      </c>
      <c r="D89" s="4">
        <v>1088005</v>
      </c>
      <c r="E89" s="12" t="str">
        <f t="array" ref="E89">IF(D89:D209="","",_xlfn.XLOOKUP(D89:D209,'参照_武将'!A:A,'参照_武将'!B:B,"見つかりません"))</f>
      </c>
      <c r="F89" s="4"/>
      <c r="G89" s="4"/>
      <c r="H89" s="21"/>
      <c r="I89" s="4"/>
    </row>
    <row r="90" ht="15.75" customHeight="1">
      <c r="A90" s="4">
        <v>89</v>
      </c>
      <c r="B90" s="12" t="str">
        <f t="array" ref="B90">IF(A90:A210="","",_xlfn.XLOOKUP(A90:A210,'参照_勢力'!A:A,'参照_勢力'!B:B,"見つかりません"))</f>
      </c>
      <c r="C90" s="9" t="b">
        <v>1</v>
      </c>
      <c r="D90" s="4">
        <v>1089011</v>
      </c>
      <c r="E90" s="12" t="str">
        <f t="array" ref="E90">IF(D90:D210="","",_xlfn.XLOOKUP(D90:D210,'参照_武将'!A:A,'参照_武将'!B:B,"見つかりません"))</f>
      </c>
      <c r="F90" s="4"/>
      <c r="G90" s="4"/>
      <c r="H90" s="21"/>
      <c r="I90" s="4"/>
    </row>
    <row r="91" ht="15.75" customHeight="1">
      <c r="A91" s="4">
        <v>91</v>
      </c>
      <c r="B91" s="12" t="str">
        <f t="array" ref="B91">IF(A91:A211="","",_xlfn.XLOOKUP(A91:A211,'参照_勢力'!A:A,'参照_勢力'!B:B,"見つかりません"))</f>
      </c>
      <c r="C91" s="9" t="b">
        <v>1</v>
      </c>
      <c r="D91" s="4">
        <v>1091006</v>
      </c>
      <c r="E91" s="12" t="str">
        <f t="array" ref="E91">IF(D91:D211="","",_xlfn.XLOOKUP(D91:D211,'参照_武将'!A:A,'参照_武将'!B:B,"見つかりません"))</f>
      </c>
      <c r="F91" s="4"/>
      <c r="G91" s="4"/>
      <c r="H91" s="21"/>
      <c r="I91" s="4"/>
    </row>
    <row r="92" ht="15.75" customHeight="1">
      <c r="A92" s="4">
        <v>92</v>
      </c>
      <c r="B92" s="12" t="str">
        <f t="array" ref="B92">IF(A92:A212="","",_xlfn.XLOOKUP(A92:A212,'参照_勢力'!A:A,'参照_勢力'!B:B,"見つかりません"))</f>
      </c>
      <c r="C92" s="9" t="b">
        <v>1</v>
      </c>
      <c r="D92" s="4">
        <v>1092004</v>
      </c>
      <c r="E92" s="12" t="str">
        <f t="array" ref="E92">IF(D92:D212="","",_xlfn.XLOOKUP(D92:D212,'参照_武将'!A:A,'参照_武将'!B:B,"見つかりません"))</f>
      </c>
      <c r="F92" s="4"/>
      <c r="G92" s="4"/>
      <c r="H92" s="21"/>
      <c r="I92" s="4"/>
    </row>
    <row r="93" ht="15.75" customHeight="1">
      <c r="A93" s="4">
        <v>93</v>
      </c>
      <c r="B93" s="12" t="str">
        <f t="array" ref="B93">IF(A93:A213="","",_xlfn.XLOOKUP(A93:A213,'参照_勢力'!A:A,'参照_勢力'!B:B,"見つかりません"))</f>
      </c>
      <c r="C93" s="9" t="b">
        <v>0</v>
      </c>
      <c r="D93" s="4"/>
      <c r="E93" s="12" t="str">
        <f t="array" ref="E93">IF(D93:D213="","",_xlfn.XLOOKUP(D93:D213,'参照_武将'!A:A,'参照_武将'!B:B,"見つかりません"))</f>
      </c>
      <c r="F93" s="4"/>
      <c r="G93" s="4"/>
      <c r="H93" s="21"/>
      <c r="I93" s="4"/>
    </row>
    <row r="94" ht="15.75" customHeight="1">
      <c r="A94" s="4">
        <v>201</v>
      </c>
      <c r="B94" s="12" t="str">
        <f t="array" ref="B94">IF(A94:A214="","",_xlfn.XLOOKUP(A94:A214,'参照_勢力'!A:A,'参照_勢力'!B:B,"見つかりません"))</f>
      </c>
      <c r="C94" s="9" t="b">
        <v>0</v>
      </c>
      <c r="D94" s="4"/>
      <c r="E94" s="12"/>
      <c r="F94" s="4"/>
      <c r="G94" s="4"/>
      <c r="H94" s="21"/>
      <c r="I94" s="4"/>
    </row>
    <row r="95" ht="15.75" customHeight="1">
      <c r="A95" s="4">
        <v>202</v>
      </c>
      <c r="B95" s="12" t="str">
        <f t="array" ref="B95">IF(A95:A215="","",_xlfn.XLOOKUP(A95:A215,'参照_勢力'!A:A,'参照_勢力'!B:B,"見つかりません"))</f>
      </c>
      <c r="C95" s="9" t="b">
        <v>0</v>
      </c>
      <c r="D95" s="4"/>
      <c r="E95" s="12"/>
      <c r="F95" s="4"/>
      <c r="G95" s="4"/>
      <c r="H95" s="21"/>
      <c r="I95" s="4"/>
    </row>
    <row r="96" ht="15.75" customHeight="1">
      <c r="A96" s="4">
        <v>203</v>
      </c>
      <c r="B96" s="12" t="str">
        <f t="array" ref="B96">IF(A96:A216="","",_xlfn.XLOOKUP(A96:A216,'参照_勢力'!A:A,'参照_勢力'!B:B,"見つかりません"))</f>
      </c>
      <c r="C96" s="9" t="b">
        <v>1</v>
      </c>
      <c r="D96" s="4">
        <v>1203003</v>
      </c>
      <c r="E96" s="12"/>
      <c r="F96" s="4"/>
      <c r="G96" s="4"/>
      <c r="H96" s="21"/>
      <c r="I96" s="4"/>
    </row>
    <row r="97" ht="15.75" customHeight="1">
      <c r="A97" s="4">
        <v>204</v>
      </c>
      <c r="B97" s="12" t="str">
        <f t="array" ref="B97">IF(A97:A217="","",_xlfn.XLOOKUP(A97:A217,'参照_勢力'!A:A,'参照_勢力'!B:B,"見つかりません"))</f>
      </c>
      <c r="C97" s="9" t="b">
        <v>0</v>
      </c>
      <c r="D97" s="4"/>
      <c r="E97" s="12"/>
      <c r="F97" s="4"/>
      <c r="G97" s="4"/>
      <c r="H97" s="21"/>
      <c r="I97" s="4"/>
    </row>
    <row r="98" ht="15.75" customHeight="1">
      <c r="A98" s="4">
        <v>205</v>
      </c>
      <c r="B98" s="12" t="str">
        <f t="array" ref="B98">IF(A98:A218="","",_xlfn.XLOOKUP(A98:A218,'参照_勢力'!A:A,'参照_勢力'!B:B,"見つかりません"))</f>
      </c>
      <c r="C98" s="9" t="b">
        <v>0</v>
      </c>
      <c r="D98" s="4"/>
      <c r="E98" s="12"/>
      <c r="F98" s="4"/>
      <c r="G98" s="4"/>
      <c r="H98" s="21"/>
      <c r="I98" s="4"/>
    </row>
    <row r="99" ht="15.75" customHeight="1">
      <c r="A99" s="4">
        <v>206</v>
      </c>
      <c r="B99" s="12" t="str">
        <f t="array" ref="B99">IF(A99:A219="","",_xlfn.XLOOKUP(A99:A219,'参照_勢力'!A:A,'参照_勢力'!B:B,"見つかりません"))</f>
      </c>
      <c r="C99" s="9" t="b">
        <v>0</v>
      </c>
      <c r="D99" s="4"/>
      <c r="E99" s="12"/>
      <c r="F99" s="4"/>
      <c r="G99" s="4"/>
      <c r="H99" s="21"/>
      <c r="I99" s="4"/>
    </row>
    <row r="100" ht="15.75" customHeight="1">
      <c r="A100" s="4">
        <v>207</v>
      </c>
      <c r="B100" s="12" t="str">
        <f t="array" ref="B100">IF(A100:A220="","",_xlfn.XLOOKUP(A100:A220,'参照_勢力'!A:A,'参照_勢力'!B:B,"見つかりません"))</f>
      </c>
      <c r="C100" s="9" t="b">
        <v>0</v>
      </c>
      <c r="D100" s="4"/>
      <c r="E100" s="12"/>
      <c r="F100" s="4"/>
      <c r="G100" s="4"/>
      <c r="H100" s="21"/>
      <c r="I100" s="4"/>
    </row>
    <row r="101" ht="15.75" customHeight="1">
      <c r="A101" s="4">
        <v>208</v>
      </c>
      <c r="B101" s="12" t="str">
        <f t="array" ref="B101">IF(A101:A221="","",_xlfn.XLOOKUP(A101:A221,'参照_勢力'!A:A,'参照_勢力'!B:B,"見つかりません"))</f>
      </c>
      <c r="C101" s="9" t="b">
        <v>0</v>
      </c>
      <c r="D101" s="4"/>
      <c r="E101" s="12"/>
      <c r="F101" s="4"/>
      <c r="G101" s="4"/>
      <c r="H101" s="21"/>
      <c r="I101" s="4"/>
    </row>
    <row r="102" ht="15.75" customHeight="1">
      <c r="A102" s="4">
        <v>209</v>
      </c>
      <c r="B102" s="12" t="str">
        <f t="array" ref="B102">IF(A102:A222="","",_xlfn.XLOOKUP(A102:A222,'参照_勢力'!A:A,'参照_勢力'!B:B,"見つかりません"))</f>
      </c>
      <c r="C102" s="9" t="b">
        <v>0</v>
      </c>
      <c r="D102" s="4"/>
      <c r="E102" s="12"/>
      <c r="F102" s="4"/>
      <c r="G102" s="4"/>
      <c r="H102" s="21"/>
      <c r="I102" s="4"/>
    </row>
    <row r="103" ht="15.75" customHeight="1">
      <c r="A103" s="4">
        <v>210</v>
      </c>
      <c r="B103" s="12" t="str">
        <f t="array" ref="B103">IF(A103:A223="","",_xlfn.XLOOKUP(A103:A223,'参照_勢力'!A:A,'参照_勢力'!B:B,"見つかりません"))</f>
      </c>
      <c r="C103" s="9" t="b">
        <v>0</v>
      </c>
      <c r="D103" s="4"/>
      <c r="E103" s="12"/>
      <c r="F103" s="4"/>
      <c r="G103" s="4"/>
      <c r="H103" s="21"/>
      <c r="I103" s="4"/>
    </row>
    <row r="104" ht="15.75" customHeight="1">
      <c r="A104" s="4">
        <v>211</v>
      </c>
      <c r="B104" s="12" t="str">
        <f t="array" ref="B104">IF(A104:A224="","",_xlfn.XLOOKUP(A104:A224,'参照_勢力'!A:A,'参照_勢力'!B:B,"見つかりません"))</f>
      </c>
      <c r="C104" s="9" t="b">
        <v>0</v>
      </c>
      <c r="D104" s="4"/>
      <c r="E104" s="12"/>
      <c r="F104" s="4"/>
      <c r="G104" s="4"/>
      <c r="H104" s="21"/>
      <c r="I104" s="4"/>
    </row>
    <row r="105" ht="15.75" customHeight="1">
      <c r="A105" s="4">
        <v>212</v>
      </c>
      <c r="B105" s="12" t="str">
        <f t="array" ref="B105">IF(A105:A225="","",_xlfn.XLOOKUP(A105:A225,'参照_勢力'!A:A,'参照_勢力'!B:B,"見つかりません"))</f>
      </c>
      <c r="C105" s="9" t="b">
        <v>0</v>
      </c>
      <c r="D105" s="4"/>
      <c r="E105" s="12"/>
      <c r="F105" s="4"/>
      <c r="G105" s="4"/>
      <c r="H105" s="21"/>
      <c r="I105" s="4"/>
    </row>
    <row r="106" ht="15.75" customHeight="1">
      <c r="A106" s="4">
        <v>213</v>
      </c>
      <c r="B106" s="12" t="str">
        <f t="array" ref="B106">IF(A106:A226="","",_xlfn.XLOOKUP(A106:A226,'参照_勢力'!A:A,'参照_勢力'!B:B,"見つかりません"))</f>
      </c>
      <c r="C106" s="9" t="b">
        <v>0</v>
      </c>
      <c r="D106" s="4"/>
      <c r="E106" s="12"/>
      <c r="F106" s="4"/>
      <c r="G106" s="4"/>
      <c r="H106" s="21"/>
      <c r="I106" s="4"/>
    </row>
    <row r="107" ht="15.75" customHeight="1">
      <c r="A107" s="4">
        <v>214</v>
      </c>
      <c r="B107" s="12" t="str">
        <f t="array" ref="B107">IF(A107:A227="","",_xlfn.XLOOKUP(A107:A227,'参照_勢力'!A:A,'参照_勢力'!B:B,"見つかりません"))</f>
      </c>
      <c r="C107" s="9" t="b">
        <v>0</v>
      </c>
      <c r="D107" s="4"/>
      <c r="E107" s="12"/>
      <c r="F107" s="4"/>
      <c r="G107" s="4"/>
      <c r="H107" s="21"/>
      <c r="I107" s="4"/>
    </row>
    <row r="108" ht="15.75" customHeight="1">
      <c r="A108" s="4">
        <v>215</v>
      </c>
      <c r="B108" s="12" t="str">
        <f t="array" ref="B108">IF(A108:A228="","",_xlfn.XLOOKUP(A108:A228,'参照_勢力'!A:A,'参照_勢力'!B:B,"見つかりません"))</f>
      </c>
      <c r="C108" s="9" t="b">
        <v>1</v>
      </c>
      <c r="D108" s="4">
        <v>1215004</v>
      </c>
      <c r="E108" s="12"/>
      <c r="F108" s="4"/>
      <c r="G108" s="4"/>
      <c r="H108" s="21"/>
      <c r="I108" s="4"/>
    </row>
    <row r="109" ht="15.75" customHeight="1">
      <c r="A109" s="4">
        <v>216</v>
      </c>
      <c r="B109" s="12" t="str">
        <f t="array" ref="B109">IF(A109:A229="","",_xlfn.XLOOKUP(A109:A229,'参照_勢力'!A:A,'参照_勢力'!B:B,"見つかりません"))</f>
      </c>
      <c r="C109" s="9" t="b">
        <v>0</v>
      </c>
      <c r="D109" s="4"/>
      <c r="E109" s="12"/>
      <c r="F109" s="4"/>
      <c r="G109" s="4"/>
      <c r="H109" s="21"/>
      <c r="I109" s="4"/>
    </row>
    <row r="110" ht="15.75" customHeight="1">
      <c r="A110" s="4">
        <v>217</v>
      </c>
      <c r="B110" s="12" t="str">
        <f t="array" ref="B110">IF(A110:A230="","",_xlfn.XLOOKUP(A110:A230,'参照_勢力'!A:A,'参照_勢力'!B:B,"見つかりません"))</f>
      </c>
      <c r="C110" s="9" t="b">
        <v>0</v>
      </c>
      <c r="D110" s="4"/>
      <c r="E110" s="12"/>
      <c r="F110" s="4"/>
      <c r="G110" s="4"/>
      <c r="H110" s="21"/>
      <c r="I110" s="4"/>
    </row>
    <row r="111" ht="15.75" customHeight="1">
      <c r="A111" s="4">
        <v>218</v>
      </c>
      <c r="B111" s="12" t="str">
        <f t="array" ref="B111">IF(A111:A231="","",_xlfn.XLOOKUP(A111:A231,'参照_勢力'!A:A,'参照_勢力'!B:B,"見つかりません"))</f>
      </c>
      <c r="C111" s="9" t="b">
        <v>0</v>
      </c>
      <c r="D111" s="4"/>
      <c r="E111" s="12"/>
      <c r="F111" s="4"/>
      <c r="G111" s="4"/>
      <c r="H111" s="21"/>
      <c r="I111" s="4"/>
    </row>
    <row r="112" ht="15.75" customHeight="1">
      <c r="A112" s="4">
        <v>219</v>
      </c>
      <c r="B112" s="12" t="str">
        <f t="array" ref="B112">IF(A112:A232="","",_xlfn.XLOOKUP(A112:A232,'参照_勢力'!A:A,'参照_勢力'!B:B,"見つかりません"))</f>
      </c>
      <c r="C112" s="9" t="b">
        <v>0</v>
      </c>
      <c r="D112" s="4"/>
      <c r="E112" s="12"/>
      <c r="F112" s="4"/>
      <c r="G112" s="4"/>
      <c r="H112" s="21"/>
      <c r="I112" s="4"/>
    </row>
    <row r="113" ht="15.75" customHeight="1">
      <c r="A113" s="4">
        <v>220</v>
      </c>
      <c r="B113" s="12" t="str">
        <f t="array" ref="B113">IF(A113:A233="","",_xlfn.XLOOKUP(A113:A233,'参照_勢力'!A:A,'参照_勢力'!B:B,"見つかりません"))</f>
      </c>
      <c r="C113" s="9" t="b">
        <v>0</v>
      </c>
      <c r="D113" s="4"/>
      <c r="E113" s="12"/>
      <c r="F113" s="4"/>
      <c r="G113" s="4"/>
      <c r="H113" s="21"/>
      <c r="I113" s="4"/>
    </row>
    <row r="114" ht="15.75" customHeight="1">
      <c r="A114" s="4">
        <v>221</v>
      </c>
      <c r="B114" s="12" t="str">
        <f t="array" ref="B114">IF(A114:A234="","",_xlfn.XLOOKUP(A114:A234,'参照_勢力'!A:A,'参照_勢力'!B:B,"見つかりません"))</f>
      </c>
      <c r="C114" s="9" t="b">
        <v>0</v>
      </c>
      <c r="D114" s="4"/>
      <c r="E114" s="12"/>
      <c r="F114" s="4"/>
      <c r="G114" s="4"/>
      <c r="H114" s="21"/>
      <c r="I114" s="4"/>
    </row>
    <row r="115" ht="15.75" customHeight="1">
      <c r="A115" s="4">
        <v>222</v>
      </c>
      <c r="B115" s="12" t="str">
        <f t="array" ref="B115">IF(A115:A235="","",_xlfn.XLOOKUP(A115:A235,'参照_勢力'!A:A,'参照_勢力'!B:B,"見つかりません"))</f>
      </c>
      <c r="C115" s="9" t="b">
        <v>0</v>
      </c>
      <c r="D115" s="4"/>
      <c r="E115" s="12"/>
      <c r="F115" s="4"/>
      <c r="G115" s="4"/>
      <c r="H115" s="21"/>
      <c r="I115" s="4"/>
    </row>
    <row r="116" ht="15.75" customHeight="1">
      <c r="A116" s="4">
        <v>223</v>
      </c>
      <c r="B116" s="12" t="str">
        <f t="array" ref="B116">IF(A116:A236="","",_xlfn.XLOOKUP(A116:A236,'参照_勢力'!A:A,'参照_勢力'!B:B,"見つかりません"))</f>
      </c>
      <c r="C116" s="9" t="b">
        <v>0</v>
      </c>
      <c r="D116" s="4"/>
      <c r="E116" s="12"/>
      <c r="F116" s="4"/>
      <c r="G116" s="4"/>
      <c r="H116" s="21"/>
      <c r="I116" s="4"/>
    </row>
    <row r="117" ht="15.75" customHeight="1">
      <c r="A117" s="4">
        <v>224</v>
      </c>
      <c r="B117" s="12" t="str">
        <f t="array" ref="B117">IF(A117:A237="","",_xlfn.XLOOKUP(A117:A237,'参照_勢力'!A:A,'参照_勢力'!B:B,"見つかりません"))</f>
      </c>
      <c r="C117" s="9" t="b">
        <v>0</v>
      </c>
      <c r="D117" s="4"/>
      <c r="E117" s="12"/>
      <c r="F117" s="4"/>
      <c r="G117" s="4"/>
      <c r="H117" s="21"/>
      <c r="I117" s="4"/>
    </row>
    <row r="118" ht="15.75" customHeight="1">
      <c r="A118" s="4">
        <v>225</v>
      </c>
      <c r="B118" s="12" t="str">
        <f t="array" ref="B118">IF(A118:A238="","",_xlfn.XLOOKUP(A118:A238,'参照_勢力'!A:A,'参照_勢力'!B:B,"見つかりません"))</f>
      </c>
      <c r="C118" s="9" t="b">
        <v>0</v>
      </c>
      <c r="D118" s="4"/>
      <c r="E118" s="12"/>
      <c r="F118" s="4"/>
      <c r="G118" s="4"/>
      <c r="H118" s="21"/>
      <c r="I118" s="4"/>
    </row>
    <row r="119" ht="15.75" customHeight="1">
      <c r="A119" s="4">
        <v>226</v>
      </c>
      <c r="B119" s="12" t="str">
        <f t="array" ref="B119">IF(A119:A239="","",_xlfn.XLOOKUP(A119:A239,'参照_勢力'!A:A,'参照_勢力'!B:B,"見つかりません"))</f>
      </c>
      <c r="C119" s="9" t="b">
        <v>1</v>
      </c>
      <c r="D119" s="4">
        <v>1226002</v>
      </c>
      <c r="E119" s="12"/>
      <c r="F119" s="4"/>
      <c r="G119" s="4"/>
      <c r="H119" s="21"/>
      <c r="I119" s="4"/>
    </row>
    <row r="120" ht="15.75" customHeight="1">
      <c r="A120" s="4">
        <v>301</v>
      </c>
      <c r="B120" s="12" t="str">
        <f t="array" ref="B120">IF(A120:A240="","",_xlfn.XLOOKUP(A120:A240,'参照_勢力'!A:A,'参照_勢力'!B:B,"見つかりません"))</f>
      </c>
      <c r="C120" s="9" t="b">
        <v>1</v>
      </c>
      <c r="D120" s="4">
        <v>1301006</v>
      </c>
      <c r="E120" s="12"/>
      <c r="F120" s="4"/>
      <c r="G120" s="4"/>
      <c r="H120" s="21"/>
      <c r="I120" s="4"/>
    </row>
    <row r="121" ht="15.75" customHeight="1">
      <c r="A121" s="4">
        <v>302</v>
      </c>
      <c r="B121" s="12" t="str">
        <f t="array" ref="B121">IF(A121:A241="","",_xlfn.XLOOKUP(A121:A241,'参照_勢力'!A:A,'参照_勢力'!B:B,"見つかりません"))</f>
      </c>
      <c r="C121" s="9" t="b">
        <v>0</v>
      </c>
      <c r="D121" s="4"/>
      <c r="E121" s="12"/>
      <c r="F121" s="4"/>
      <c r="G121" s="4"/>
      <c r="H121" s="21"/>
      <c r="I121" s="4"/>
    </row>
    <row r="122" ht="15.75" customHeight="1">
      <c r="A122" s="4">
        <v>401</v>
      </c>
      <c r="B122" s="12" t="str">
        <f t="array" ref="B122">IF(A122:A242="","",_xlfn.XLOOKUP(A122:A242,'参照_勢力'!A:A,'参照_勢力'!B:B,"見つかりません"))</f>
      </c>
      <c r="C122" s="9" t="b">
        <v>0</v>
      </c>
      <c r="D122" s="4"/>
      <c r="E122" s="12"/>
      <c r="F122" s="4"/>
      <c r="G122" s="4"/>
      <c r="H122" s="21"/>
      <c r="I122" s="4"/>
    </row>
    <row r="123" ht="15.75" customHeight="1">
      <c r="H123" s="22"/>
    </row>
    <row r="124" ht="15.75" customHeight="1">
      <c r="H124" s="22"/>
    </row>
    <row r="125" ht="15.75" customHeight="1">
      <c r="H125" s="22"/>
    </row>
    <row r="126" ht="15.75" customHeight="1">
      <c r="H126" s="22"/>
    </row>
    <row r="127" ht="15.75" customHeight="1">
      <c r="H127" s="22"/>
    </row>
    <row r="128" ht="15.75" customHeight="1">
      <c r="H128" s="22"/>
    </row>
    <row r="129" ht="15.75" customHeight="1">
      <c r="H129" s="22"/>
    </row>
    <row r="130" ht="15.75" customHeight="1">
      <c r="H130" s="22"/>
    </row>
    <row r="131" ht="15.75" customHeight="1">
      <c r="H131" s="22"/>
    </row>
    <row r="132" ht="15.75" customHeight="1">
      <c r="H132" s="22"/>
    </row>
    <row r="133" ht="15.75" customHeight="1">
      <c r="H133" s="22"/>
    </row>
    <row r="134" ht="15.75" customHeight="1">
      <c r="H134" s="22"/>
    </row>
    <row r="135" ht="15.75" customHeight="1">
      <c r="H135" s="22"/>
    </row>
    <row r="136" ht="15.75" customHeight="1">
      <c r="H136" s="22"/>
    </row>
    <row r="137" ht="15.75" customHeight="1">
      <c r="H137" s="22"/>
    </row>
    <row r="138" ht="15.75" customHeight="1">
      <c r="H138" s="22"/>
    </row>
    <row r="139" ht="15.75" customHeight="1">
      <c r="H139" s="22"/>
    </row>
    <row r="140" ht="15.75" customHeight="1">
      <c r="H140" s="22"/>
    </row>
    <row r="141" ht="15.75" customHeight="1">
      <c r="H141" s="22"/>
    </row>
    <row r="142" ht="15.75" customHeight="1">
      <c r="H142" s="22"/>
    </row>
    <row r="143" ht="15.75" customHeight="1">
      <c r="H143" s="22"/>
    </row>
    <row r="144" ht="15.75" customHeight="1">
      <c r="H144" s="22"/>
    </row>
    <row r="145" ht="15.75" customHeight="1">
      <c r="H145" s="22"/>
    </row>
    <row r="146" ht="15.75" customHeight="1">
      <c r="H146" s="22"/>
    </row>
    <row r="147" ht="15.75" customHeight="1">
      <c r="H147" s="22"/>
    </row>
    <row r="148" ht="15.75" customHeight="1">
      <c r="H148" s="22"/>
    </row>
    <row r="149" ht="15.75" customHeight="1">
      <c r="H149" s="22"/>
    </row>
    <row r="150" ht="15.75" customHeight="1">
      <c r="H150" s="22"/>
    </row>
    <row r="151" ht="15.75" customHeight="1">
      <c r="H151" s="22"/>
    </row>
    <row r="152" ht="15.75" customHeight="1">
      <c r="H152" s="22"/>
    </row>
    <row r="153" ht="15.75" customHeight="1">
      <c r="H153" s="22"/>
    </row>
    <row r="154" ht="15.75" customHeight="1">
      <c r="H154" s="22"/>
    </row>
    <row r="155" ht="15.75" customHeight="1">
      <c r="H155" s="22"/>
    </row>
    <row r="156" ht="15.75" customHeight="1">
      <c r="H156" s="22"/>
    </row>
    <row r="157" ht="15.75" customHeight="1">
      <c r="H157" s="22"/>
    </row>
    <row r="158" ht="15.75" customHeight="1">
      <c r="H158" s="22"/>
    </row>
    <row r="159" ht="15.75" customHeight="1">
      <c r="H159" s="22"/>
    </row>
    <row r="160" ht="15.75" customHeight="1">
      <c r="H160" s="22"/>
    </row>
    <row r="161" ht="15.75" customHeight="1">
      <c r="H161" s="22"/>
    </row>
    <row r="162" ht="15.75" customHeight="1">
      <c r="H162" s="22"/>
    </row>
    <row r="163" ht="15.75" customHeight="1">
      <c r="H163" s="22"/>
    </row>
    <row r="164" ht="15.75" customHeight="1">
      <c r="H164" s="22"/>
    </row>
    <row r="165" ht="15.75" customHeight="1">
      <c r="H165" s="22"/>
    </row>
    <row r="166" ht="15.75" customHeight="1">
      <c r="H166" s="22"/>
    </row>
    <row r="167" ht="15.75" customHeight="1">
      <c r="H167" s="22"/>
    </row>
    <row r="168" ht="15.75" customHeight="1">
      <c r="H168" s="22"/>
    </row>
    <row r="169" ht="15.75" customHeight="1">
      <c r="H169" s="22"/>
    </row>
    <row r="170" ht="15.75" customHeight="1">
      <c r="H170" s="22"/>
    </row>
    <row r="171" ht="15.75" customHeight="1">
      <c r="H171" s="22"/>
    </row>
    <row r="172" ht="15.75" customHeight="1">
      <c r="H172" s="22"/>
    </row>
    <row r="173" ht="15.75" customHeight="1">
      <c r="H173" s="22"/>
    </row>
    <row r="174" ht="15.75" customHeight="1">
      <c r="H174" s="22"/>
    </row>
    <row r="175" ht="15.75" customHeight="1">
      <c r="H175" s="22"/>
    </row>
    <row r="176" ht="15.75" customHeight="1">
      <c r="H176" s="22"/>
    </row>
    <row r="177" ht="15.75" customHeight="1">
      <c r="H177" s="22"/>
    </row>
    <row r="178" ht="15.75" customHeight="1">
      <c r="H178" s="22"/>
    </row>
    <row r="179" ht="15.75" customHeight="1">
      <c r="H179" s="22"/>
    </row>
    <row r="180" ht="15.75" customHeight="1">
      <c r="H180" s="22"/>
    </row>
    <row r="181" ht="15.75" customHeight="1">
      <c r="H181" s="22"/>
    </row>
    <row r="182" ht="15.75" customHeight="1">
      <c r="H182" s="22"/>
    </row>
    <row r="183" ht="15.75" customHeight="1">
      <c r="H183" s="22"/>
    </row>
    <row r="184" ht="15.75" customHeight="1">
      <c r="H184" s="22"/>
    </row>
    <row r="185" ht="15.75" customHeight="1">
      <c r="H185" s="22"/>
    </row>
    <row r="186" ht="15.75" customHeight="1">
      <c r="H186" s="22"/>
    </row>
    <row r="187" ht="15.75" customHeight="1">
      <c r="H187" s="22"/>
    </row>
    <row r="188" ht="15.75" customHeight="1">
      <c r="H188" s="22"/>
    </row>
    <row r="189" ht="15.75" customHeight="1">
      <c r="H189" s="22"/>
    </row>
    <row r="190" ht="15.75" customHeight="1">
      <c r="H190" s="22"/>
    </row>
    <row r="191" ht="15.75" customHeight="1">
      <c r="H191" s="22"/>
    </row>
    <row r="192" ht="15.75" customHeight="1">
      <c r="H192" s="22"/>
    </row>
    <row r="193" ht="15.75" customHeight="1">
      <c r="H193" s="22"/>
    </row>
    <row r="194" ht="15.75" customHeight="1">
      <c r="H194" s="22"/>
    </row>
    <row r="195" ht="15.75" customHeight="1">
      <c r="H195" s="22"/>
    </row>
    <row r="196" ht="15.75" customHeight="1">
      <c r="H196" s="22"/>
    </row>
    <row r="197" ht="15.75" customHeight="1">
      <c r="H197" s="22"/>
    </row>
    <row r="198" ht="15.75" customHeight="1">
      <c r="H198" s="22"/>
    </row>
    <row r="199" ht="15.75" customHeight="1">
      <c r="H199" s="22"/>
    </row>
    <row r="200" ht="15.75" customHeight="1">
      <c r="H200" s="22"/>
    </row>
    <row r="201" ht="15.75" customHeight="1">
      <c r="H201" s="22"/>
    </row>
    <row r="202" ht="15.75" customHeight="1">
      <c r="H202" s="22"/>
    </row>
    <row r="203" ht="15.75" customHeight="1">
      <c r="H203" s="22"/>
    </row>
    <row r="204" ht="15.75" customHeight="1">
      <c r="H204" s="22"/>
    </row>
    <row r="205" ht="15.75" customHeight="1">
      <c r="H205" s="22"/>
    </row>
    <row r="206" ht="15.75" customHeight="1">
      <c r="H206" s="22"/>
    </row>
    <row r="207" ht="15.75" customHeight="1">
      <c r="H207" s="22"/>
    </row>
    <row r="208" ht="15.75" customHeight="1">
      <c r="H208" s="22"/>
    </row>
    <row r="209" ht="15.75" customHeight="1">
      <c r="H209" s="22"/>
    </row>
    <row r="210" ht="15.75" customHeight="1">
      <c r="H210" s="22"/>
    </row>
    <row r="211" ht="15.75" customHeight="1">
      <c r="H211" s="22"/>
    </row>
    <row r="212" ht="15.75" customHeight="1">
      <c r="H212" s="22"/>
    </row>
    <row r="213" ht="15.75" customHeight="1">
      <c r="H213" s="22"/>
    </row>
    <row r="214" ht="15.75" customHeight="1">
      <c r="H214" s="22"/>
    </row>
    <row r="215" ht="15.75" customHeight="1">
      <c r="H215" s="22"/>
    </row>
    <row r="216" ht="15.75" customHeight="1">
      <c r="H216" s="22"/>
    </row>
    <row r="217" ht="15.75" customHeight="1">
      <c r="H217" s="22"/>
    </row>
    <row r="218" ht="15.75" customHeight="1">
      <c r="H218" s="22"/>
    </row>
    <row r="219" ht="15.75" customHeight="1">
      <c r="H219" s="22"/>
    </row>
    <row r="220" ht="15.75" customHeight="1">
      <c r="H220" s="22"/>
    </row>
    <row r="221" ht="15.75" customHeight="1">
      <c r="H221" s="22"/>
    </row>
    <row r="222" ht="15.75" customHeight="1">
      <c r="H222" s="22"/>
    </row>
    <row r="223" ht="15.75" customHeight="1">
      <c r="H223" s="22"/>
    </row>
    <row r="224" ht="15.75" customHeight="1">
      <c r="H224" s="22"/>
    </row>
    <row r="225" ht="15.75" customHeight="1">
      <c r="H225" s="22"/>
    </row>
    <row r="226" ht="15.75" customHeight="1">
      <c r="H226" s="22"/>
    </row>
    <row r="227" ht="15.75" customHeight="1">
      <c r="H227" s="22"/>
    </row>
    <row r="228" ht="15.75" customHeight="1">
      <c r="H228" s="22"/>
    </row>
    <row r="229" ht="15.75" customHeight="1">
      <c r="H229" s="22"/>
    </row>
    <row r="230" ht="15.75" customHeight="1">
      <c r="H230" s="22"/>
    </row>
    <row r="231" ht="15.75" customHeight="1">
      <c r="H231" s="22"/>
    </row>
    <row r="232" ht="15.75" customHeight="1">
      <c r="H232" s="22"/>
    </row>
    <row r="233" ht="15.75" customHeight="1">
      <c r="H233" s="22"/>
    </row>
    <row r="234" ht="15.75" customHeight="1">
      <c r="H234" s="22"/>
    </row>
    <row r="235" ht="15.75" customHeight="1">
      <c r="H235" s="22"/>
    </row>
    <row r="236" ht="15.75" customHeight="1">
      <c r="H236" s="22"/>
    </row>
    <row r="237" ht="15.75" customHeight="1">
      <c r="H237" s="22"/>
    </row>
    <row r="238" ht="15.75" customHeight="1">
      <c r="H238" s="22"/>
    </row>
    <row r="239" ht="15.75" customHeight="1">
      <c r="H239" s="22"/>
    </row>
    <row r="240" ht="15.75" customHeight="1">
      <c r="H240" s="22"/>
    </row>
    <row r="241" ht="15.75" customHeight="1">
      <c r="H241" s="22"/>
    </row>
    <row r="242" ht="15.75" customHeight="1">
      <c r="H242" s="22"/>
    </row>
    <row r="243" ht="15.75" customHeight="1">
      <c r="H243" s="22"/>
    </row>
    <row r="244" ht="15.75" customHeight="1">
      <c r="H244" s="22"/>
    </row>
    <row r="245" ht="15.75" customHeight="1">
      <c r="H245" s="22"/>
    </row>
    <row r="246" ht="15.75" customHeight="1">
      <c r="H246" s="22"/>
    </row>
    <row r="247" ht="15.75" customHeight="1">
      <c r="H247" s="22"/>
    </row>
    <row r="248" ht="15.75" customHeight="1">
      <c r="H248" s="22"/>
    </row>
    <row r="249" ht="15.75" customHeight="1">
      <c r="H249" s="22"/>
    </row>
    <row r="250" ht="15.75" customHeight="1">
      <c r="H250" s="22"/>
    </row>
    <row r="251" ht="15.75" customHeight="1">
      <c r="H251" s="22"/>
    </row>
    <row r="252" ht="15.75" customHeight="1">
      <c r="H252" s="22"/>
    </row>
    <row r="253" ht="15.75" customHeight="1">
      <c r="H253" s="22"/>
    </row>
    <row r="254" ht="15.75" customHeight="1">
      <c r="H254" s="22"/>
    </row>
    <row r="255" ht="15.75" customHeight="1">
      <c r="H255" s="22"/>
    </row>
    <row r="256" ht="15.75" customHeight="1">
      <c r="H256" s="22"/>
    </row>
    <row r="257" ht="15.75" customHeight="1">
      <c r="H257" s="22"/>
    </row>
    <row r="258" ht="15.75" customHeight="1">
      <c r="H258" s="22"/>
    </row>
    <row r="259" ht="15.75" customHeight="1">
      <c r="H259" s="22"/>
    </row>
    <row r="260" ht="15.75" customHeight="1">
      <c r="H260" s="22"/>
    </row>
    <row r="261" ht="15.75" customHeight="1">
      <c r="H261" s="22"/>
    </row>
    <row r="262" ht="15.75" customHeight="1">
      <c r="H262" s="22"/>
    </row>
    <row r="263" ht="15.75" customHeight="1">
      <c r="H263" s="22"/>
    </row>
    <row r="264" ht="15.75" customHeight="1">
      <c r="H264" s="22"/>
    </row>
    <row r="265" ht="15.75" customHeight="1">
      <c r="H265" s="22"/>
    </row>
    <row r="266" ht="15.75" customHeight="1">
      <c r="H266" s="22"/>
    </row>
    <row r="267" ht="15.75" customHeight="1">
      <c r="H267" s="22"/>
    </row>
    <row r="268" ht="15.75" customHeight="1">
      <c r="H268" s="22"/>
    </row>
    <row r="269" ht="15.75" customHeight="1">
      <c r="H269" s="22"/>
    </row>
    <row r="270" ht="15.75" customHeight="1">
      <c r="H270" s="22"/>
    </row>
    <row r="271" ht="15.75" customHeight="1">
      <c r="H271" s="22"/>
    </row>
    <row r="272" ht="15.75" customHeight="1">
      <c r="H272" s="22"/>
    </row>
    <row r="273" ht="15.75" customHeight="1">
      <c r="H273" s="22"/>
    </row>
    <row r="274" ht="15.75" customHeight="1">
      <c r="H274" s="22"/>
    </row>
    <row r="275" ht="15.75" customHeight="1">
      <c r="H275" s="22"/>
    </row>
    <row r="276" ht="15.75" customHeight="1">
      <c r="H276" s="22"/>
    </row>
    <row r="277" ht="15.75" customHeight="1">
      <c r="H277" s="22"/>
    </row>
    <row r="278" ht="15.75" customHeight="1">
      <c r="H278" s="22"/>
    </row>
    <row r="279" ht="15.75" customHeight="1">
      <c r="H279" s="22"/>
    </row>
    <row r="280" ht="15.75" customHeight="1">
      <c r="H280" s="22"/>
    </row>
    <row r="281" ht="15.75" customHeight="1">
      <c r="H281" s="22"/>
    </row>
    <row r="282" ht="15.75" customHeight="1">
      <c r="H282" s="22"/>
    </row>
    <row r="283" ht="15.75" customHeight="1">
      <c r="H283" s="22"/>
    </row>
    <row r="284" ht="15.75" customHeight="1">
      <c r="H284" s="22"/>
    </row>
    <row r="285" ht="15.75" customHeight="1">
      <c r="H285" s="22"/>
    </row>
    <row r="286" ht="15.75" customHeight="1">
      <c r="H286" s="22"/>
    </row>
    <row r="287" ht="15.75" customHeight="1">
      <c r="H287" s="22"/>
    </row>
    <row r="288" ht="15.75" customHeight="1">
      <c r="H288" s="22"/>
    </row>
    <row r="289" ht="15.75" customHeight="1">
      <c r="H289" s="22"/>
    </row>
    <row r="290" ht="15.75" customHeight="1">
      <c r="H290" s="22"/>
    </row>
    <row r="291" ht="15.75" customHeight="1">
      <c r="H291" s="22"/>
    </row>
    <row r="292" ht="15.75" customHeight="1">
      <c r="H292" s="22"/>
    </row>
    <row r="293" ht="15.75" customHeight="1">
      <c r="H293" s="22"/>
    </row>
    <row r="294" ht="15.75" customHeight="1">
      <c r="H294" s="22"/>
    </row>
    <row r="295" ht="15.75" customHeight="1">
      <c r="H295" s="22"/>
    </row>
    <row r="296" ht="15.75" customHeight="1">
      <c r="H296" s="22"/>
    </row>
    <row r="297" ht="15.75" customHeight="1">
      <c r="H297" s="22"/>
    </row>
    <row r="298" ht="15.75" customHeight="1">
      <c r="H298" s="22"/>
    </row>
    <row r="299" ht="15.75" customHeight="1">
      <c r="H299" s="22"/>
    </row>
    <row r="300" ht="15.75" customHeight="1">
      <c r="H300" s="22"/>
    </row>
    <row r="301" ht="15.75" customHeight="1">
      <c r="H301" s="22"/>
    </row>
    <row r="302" ht="15.75" customHeight="1">
      <c r="H302" s="22"/>
    </row>
    <row r="303" ht="15.75" customHeight="1">
      <c r="H303" s="22"/>
    </row>
    <row r="304" ht="15.75" customHeight="1">
      <c r="H304" s="22"/>
    </row>
    <row r="305" ht="15.75" customHeight="1">
      <c r="H305" s="22"/>
    </row>
    <row r="306" ht="15.75" customHeight="1">
      <c r="H306" s="22"/>
    </row>
    <row r="307" ht="15.75" customHeight="1">
      <c r="H307" s="22"/>
    </row>
    <row r="308" ht="15.75" customHeight="1">
      <c r="H308" s="22"/>
    </row>
    <row r="309" ht="15.75" customHeight="1">
      <c r="H309" s="22"/>
    </row>
    <row r="310" ht="15.75" customHeight="1">
      <c r="H310" s="22"/>
    </row>
    <row r="311" ht="15.75" customHeight="1">
      <c r="H311" s="22"/>
    </row>
    <row r="312" ht="15.75" customHeight="1">
      <c r="H312" s="22"/>
    </row>
    <row r="313" ht="15.75" customHeight="1">
      <c r="H313" s="22"/>
    </row>
    <row r="314" ht="15.75" customHeight="1">
      <c r="H314" s="22"/>
    </row>
    <row r="315" ht="15.75" customHeight="1">
      <c r="H315" s="22"/>
    </row>
    <row r="316" ht="15.75" customHeight="1">
      <c r="H316" s="22"/>
    </row>
    <row r="317" ht="15.75" customHeight="1">
      <c r="H317" s="22"/>
    </row>
    <row r="318" ht="15.75" customHeight="1">
      <c r="H318" s="22"/>
    </row>
    <row r="319" ht="15.75" customHeight="1">
      <c r="H319" s="22"/>
    </row>
    <row r="320" ht="15.75" customHeight="1">
      <c r="H320" s="22"/>
    </row>
    <row r="321" ht="15.75" customHeight="1">
      <c r="H321" s="22"/>
    </row>
    <row r="322" ht="15.75" customHeight="1">
      <c r="H322" s="22"/>
    </row>
    <row r="323" ht="15.75" customHeight="1">
      <c r="H323" s="22"/>
    </row>
    <row r="324" ht="15.75" customHeight="1">
      <c r="H324" s="22"/>
    </row>
    <row r="325" ht="15.75" customHeight="1">
      <c r="H325" s="22"/>
    </row>
    <row r="326" ht="15.75" customHeight="1">
      <c r="H326" s="22"/>
    </row>
    <row r="327" ht="15.75" customHeight="1">
      <c r="H327" s="22"/>
    </row>
    <row r="328" ht="15.75" customHeight="1">
      <c r="H328" s="22"/>
    </row>
    <row r="329" ht="15.75" customHeight="1">
      <c r="H329" s="22"/>
    </row>
    <row r="330" ht="15.75" customHeight="1">
      <c r="H330" s="22"/>
    </row>
    <row r="331" ht="15.75" customHeight="1">
      <c r="H331" s="22"/>
    </row>
    <row r="332" ht="15.75" customHeight="1">
      <c r="H332" s="22"/>
    </row>
    <row r="333" ht="15.75" customHeight="1">
      <c r="H333" s="22"/>
    </row>
    <row r="334" ht="15.75" customHeight="1">
      <c r="H334" s="22"/>
    </row>
    <row r="335" ht="15.75" customHeight="1">
      <c r="H335" s="22"/>
    </row>
    <row r="336" ht="15.75" customHeight="1">
      <c r="H336" s="22"/>
    </row>
    <row r="337" ht="15.75" customHeight="1">
      <c r="H337" s="22"/>
    </row>
    <row r="338" ht="15.75" customHeight="1">
      <c r="H338" s="22"/>
    </row>
    <row r="339" ht="15.75" customHeight="1">
      <c r="H339" s="22"/>
    </row>
    <row r="340" ht="15.75" customHeight="1">
      <c r="H340" s="22"/>
    </row>
    <row r="341" ht="15.75" customHeight="1">
      <c r="H341" s="22"/>
    </row>
    <row r="342" ht="15.75" customHeight="1">
      <c r="H342" s="22"/>
    </row>
    <row r="343" ht="15.75" customHeight="1">
      <c r="H343" s="22"/>
    </row>
    <row r="344" ht="15.75" customHeight="1">
      <c r="H344" s="22"/>
    </row>
    <row r="345" ht="15.75" customHeight="1">
      <c r="H345" s="22"/>
    </row>
    <row r="346" ht="15.75" customHeight="1">
      <c r="H346" s="22"/>
    </row>
    <row r="347" ht="15.75" customHeight="1">
      <c r="H347" s="22"/>
    </row>
    <row r="348" ht="15.75" customHeight="1">
      <c r="H348" s="22"/>
    </row>
    <row r="349" ht="15.75" customHeight="1">
      <c r="H349" s="22"/>
    </row>
    <row r="350" ht="15.75" customHeight="1">
      <c r="H350" s="22"/>
    </row>
    <row r="351" ht="15.75" customHeight="1">
      <c r="H351" s="22"/>
    </row>
    <row r="352" ht="15.75" customHeight="1">
      <c r="H352" s="22"/>
    </row>
    <row r="353" ht="15.75" customHeight="1">
      <c r="H353" s="22"/>
    </row>
    <row r="354" ht="15.75" customHeight="1">
      <c r="H354" s="22"/>
    </row>
    <row r="355" ht="15.75" customHeight="1">
      <c r="H355" s="22"/>
    </row>
    <row r="356" ht="15.75" customHeight="1">
      <c r="H356" s="22"/>
    </row>
    <row r="357" ht="15.75" customHeight="1">
      <c r="H357" s="22"/>
    </row>
    <row r="358" ht="15.75" customHeight="1">
      <c r="H358" s="22"/>
    </row>
    <row r="359" ht="15.75" customHeight="1">
      <c r="H359" s="22"/>
    </row>
    <row r="360" ht="15.75" customHeight="1">
      <c r="H360" s="22"/>
    </row>
    <row r="361" ht="15.75" customHeight="1">
      <c r="H361" s="22"/>
    </row>
    <row r="362" ht="15.75" customHeight="1">
      <c r="H362" s="22"/>
    </row>
    <row r="363" ht="15.75" customHeight="1">
      <c r="H363" s="22"/>
    </row>
    <row r="364" ht="15.75" customHeight="1">
      <c r="H364" s="22"/>
    </row>
    <row r="365" ht="15.75" customHeight="1">
      <c r="H365" s="22"/>
    </row>
    <row r="366" ht="15.75" customHeight="1">
      <c r="H366" s="22"/>
    </row>
    <row r="367" ht="15.75" customHeight="1">
      <c r="H367" s="22"/>
    </row>
    <row r="368" ht="15.75" customHeight="1">
      <c r="H368" s="22"/>
    </row>
    <row r="369" ht="15.75" customHeight="1">
      <c r="H369" s="22"/>
    </row>
    <row r="370" ht="15.75" customHeight="1">
      <c r="H370" s="22"/>
    </row>
    <row r="371" ht="15.75" customHeight="1">
      <c r="H371" s="22"/>
    </row>
    <row r="372" ht="15.75" customHeight="1">
      <c r="H372" s="22"/>
    </row>
    <row r="373" ht="15.75" customHeight="1">
      <c r="H373" s="22"/>
    </row>
    <row r="374" ht="15.75" customHeight="1">
      <c r="H374" s="22"/>
    </row>
    <row r="375" ht="15.75" customHeight="1">
      <c r="H375" s="22"/>
    </row>
    <row r="376" ht="15.75" customHeight="1">
      <c r="H376" s="22"/>
    </row>
    <row r="377" ht="15.75" customHeight="1">
      <c r="H377" s="22"/>
    </row>
    <row r="378" ht="15.75" customHeight="1">
      <c r="H378" s="22"/>
    </row>
    <row r="379" ht="15.75" customHeight="1">
      <c r="H379" s="22"/>
    </row>
    <row r="380" ht="15.75" customHeight="1">
      <c r="H380" s="22"/>
    </row>
    <row r="381" ht="15.75" customHeight="1">
      <c r="H381" s="22"/>
    </row>
    <row r="382" ht="15.75" customHeight="1">
      <c r="H382" s="22"/>
    </row>
    <row r="383" ht="15.75" customHeight="1">
      <c r="H383" s="22"/>
    </row>
    <row r="384" ht="15.75" customHeight="1">
      <c r="H384" s="22"/>
    </row>
    <row r="385" ht="15.75" customHeight="1">
      <c r="H385" s="22"/>
    </row>
    <row r="386" ht="15.75" customHeight="1">
      <c r="H386" s="22"/>
    </row>
    <row r="387" ht="15.75" customHeight="1">
      <c r="H387" s="22"/>
    </row>
    <row r="388" ht="15.75" customHeight="1">
      <c r="H388" s="22"/>
    </row>
    <row r="389" ht="15.75" customHeight="1">
      <c r="H389" s="22"/>
    </row>
    <row r="390" ht="15.75" customHeight="1">
      <c r="H390" s="22"/>
    </row>
    <row r="391" ht="15.75" customHeight="1">
      <c r="H391" s="22"/>
    </row>
    <row r="392" ht="15.75" customHeight="1">
      <c r="H392" s="22"/>
    </row>
    <row r="393" ht="15.75" customHeight="1">
      <c r="H393" s="22"/>
    </row>
    <row r="394" ht="15.75" customHeight="1">
      <c r="H394" s="22"/>
    </row>
    <row r="395" ht="15.75" customHeight="1">
      <c r="H395" s="22"/>
    </row>
    <row r="396" ht="15.75" customHeight="1">
      <c r="H396" s="22"/>
    </row>
    <row r="397" ht="15.75" customHeight="1">
      <c r="H397" s="22"/>
    </row>
    <row r="398" ht="15.75" customHeight="1">
      <c r="H398" s="22"/>
    </row>
    <row r="399" ht="15.75" customHeight="1">
      <c r="H399" s="22"/>
    </row>
    <row r="400" ht="15.75" customHeight="1">
      <c r="H400" s="22"/>
    </row>
    <row r="401" ht="15.75" customHeight="1">
      <c r="H401" s="22"/>
    </row>
    <row r="402" ht="15.75" customHeight="1">
      <c r="H402" s="22"/>
    </row>
    <row r="403" ht="15.75" customHeight="1">
      <c r="H403" s="22"/>
    </row>
    <row r="404" ht="15.75" customHeight="1">
      <c r="H404" s="22"/>
    </row>
    <row r="405" ht="15.75" customHeight="1">
      <c r="H405" s="22"/>
    </row>
    <row r="406" ht="15.75" customHeight="1">
      <c r="H406" s="22"/>
    </row>
    <row r="407" ht="15.75" customHeight="1">
      <c r="H407" s="22"/>
    </row>
    <row r="408" ht="15.75" customHeight="1">
      <c r="H408" s="22"/>
    </row>
    <row r="409" ht="15.75" customHeight="1">
      <c r="H409" s="22"/>
    </row>
    <row r="410" ht="15.75" customHeight="1">
      <c r="H410" s="22"/>
    </row>
    <row r="411" ht="15.75" customHeight="1">
      <c r="H411" s="22"/>
    </row>
    <row r="412" ht="15.75" customHeight="1">
      <c r="H412" s="22"/>
    </row>
    <row r="413" ht="15.75" customHeight="1">
      <c r="H413" s="22"/>
    </row>
    <row r="414" ht="15.75" customHeight="1">
      <c r="H414" s="22"/>
    </row>
    <row r="415" ht="15.75" customHeight="1">
      <c r="H415" s="22"/>
    </row>
    <row r="416" ht="15.75" customHeight="1">
      <c r="H416" s="22"/>
    </row>
    <row r="417" ht="15.75" customHeight="1">
      <c r="H417" s="22"/>
    </row>
    <row r="418" ht="15.75" customHeight="1">
      <c r="H418" s="22"/>
    </row>
    <row r="419" ht="15.75" customHeight="1">
      <c r="H419" s="22"/>
    </row>
    <row r="420" ht="15.75" customHeight="1">
      <c r="H420" s="22"/>
    </row>
    <row r="421" ht="15.75" customHeight="1">
      <c r="H421" s="22"/>
    </row>
    <row r="422" ht="15.75" customHeight="1">
      <c r="H422" s="22"/>
    </row>
    <row r="423" ht="15.75" customHeight="1">
      <c r="H423" s="22"/>
    </row>
    <row r="424" ht="15.75" customHeight="1">
      <c r="H424" s="22"/>
    </row>
    <row r="425" ht="15.75" customHeight="1">
      <c r="H425" s="22"/>
    </row>
    <row r="426" ht="15.75" customHeight="1">
      <c r="H426" s="22"/>
    </row>
    <row r="427" ht="15.75" customHeight="1">
      <c r="H427" s="22"/>
    </row>
    <row r="428" ht="15.75" customHeight="1">
      <c r="H428" s="22"/>
    </row>
    <row r="429" ht="15.75" customHeight="1">
      <c r="H429" s="22"/>
    </row>
    <row r="430" ht="15.75" customHeight="1">
      <c r="H430" s="22"/>
    </row>
    <row r="431" ht="15.75" customHeight="1">
      <c r="H431" s="22"/>
    </row>
    <row r="432" ht="15.75" customHeight="1">
      <c r="H432" s="22"/>
    </row>
    <row r="433" ht="15.75" customHeight="1">
      <c r="H433" s="22"/>
    </row>
    <row r="434" ht="15.75" customHeight="1">
      <c r="H434" s="22"/>
    </row>
    <row r="435" ht="15.75" customHeight="1">
      <c r="H435" s="22"/>
    </row>
    <row r="436" ht="15.75" customHeight="1">
      <c r="H436" s="22"/>
    </row>
    <row r="437" ht="15.75" customHeight="1">
      <c r="H437" s="22"/>
    </row>
    <row r="438" ht="15.75" customHeight="1">
      <c r="H438" s="22"/>
    </row>
    <row r="439" ht="15.75" customHeight="1">
      <c r="H439" s="22"/>
    </row>
    <row r="440" ht="15.75" customHeight="1">
      <c r="H440" s="22"/>
    </row>
    <row r="441" ht="15.75" customHeight="1">
      <c r="H441" s="22"/>
    </row>
    <row r="442" ht="15.75" customHeight="1">
      <c r="H442" s="22"/>
    </row>
    <row r="443" ht="15.75" customHeight="1">
      <c r="H443" s="22"/>
    </row>
    <row r="444" ht="15.75" customHeight="1">
      <c r="H444" s="22"/>
    </row>
    <row r="445" ht="15.75" customHeight="1">
      <c r="H445" s="22"/>
    </row>
    <row r="446" ht="15.75" customHeight="1">
      <c r="H446" s="22"/>
    </row>
    <row r="447" ht="15.75" customHeight="1">
      <c r="H447" s="22"/>
    </row>
    <row r="448" ht="15.75" customHeight="1">
      <c r="H448" s="22"/>
    </row>
    <row r="449" ht="15.75" customHeight="1">
      <c r="H449" s="22"/>
    </row>
    <row r="450" ht="15.75" customHeight="1">
      <c r="H450" s="22"/>
    </row>
    <row r="451" ht="15.75" customHeight="1">
      <c r="H451" s="22"/>
    </row>
    <row r="452" ht="15.75" customHeight="1">
      <c r="H452" s="22"/>
    </row>
    <row r="453" ht="15.75" customHeight="1">
      <c r="H453" s="22"/>
    </row>
    <row r="454" ht="15.75" customHeight="1">
      <c r="H454" s="22"/>
    </row>
    <row r="455" ht="15.75" customHeight="1">
      <c r="H455" s="22"/>
    </row>
    <row r="456" ht="15.75" customHeight="1">
      <c r="H456" s="22"/>
    </row>
    <row r="457" ht="15.75" customHeight="1">
      <c r="H457" s="22"/>
    </row>
    <row r="458" ht="15.75" customHeight="1">
      <c r="H458" s="22"/>
    </row>
    <row r="459" ht="15.75" customHeight="1">
      <c r="H459" s="22"/>
    </row>
    <row r="460" ht="15.75" customHeight="1">
      <c r="H460" s="22"/>
    </row>
    <row r="461" ht="15.75" customHeight="1">
      <c r="H461" s="22"/>
    </row>
    <row r="462" ht="15.75" customHeight="1">
      <c r="H462" s="22"/>
    </row>
    <row r="463" ht="15.75" customHeight="1">
      <c r="H463" s="22"/>
    </row>
    <row r="464" ht="15.75" customHeight="1">
      <c r="H464" s="22"/>
    </row>
    <row r="465" ht="15.75" customHeight="1">
      <c r="H465" s="22"/>
    </row>
    <row r="466" ht="15.75" customHeight="1">
      <c r="H466" s="22"/>
    </row>
    <row r="467" ht="15.75" customHeight="1">
      <c r="H467" s="22"/>
    </row>
    <row r="468" ht="15.75" customHeight="1">
      <c r="H468" s="22"/>
    </row>
    <row r="469" ht="15.75" customHeight="1">
      <c r="H469" s="22"/>
    </row>
    <row r="470" ht="15.75" customHeight="1">
      <c r="H470" s="22"/>
    </row>
    <row r="471" ht="15.75" customHeight="1">
      <c r="H471" s="22"/>
    </row>
    <row r="472" ht="15.75" customHeight="1">
      <c r="H472" s="22"/>
    </row>
    <row r="473" ht="15.75" customHeight="1">
      <c r="H473" s="22"/>
    </row>
    <row r="474" ht="15.75" customHeight="1">
      <c r="H474" s="22"/>
    </row>
    <row r="475" ht="15.75" customHeight="1">
      <c r="H475" s="22"/>
    </row>
    <row r="476" ht="15.75" customHeight="1">
      <c r="H476" s="22"/>
    </row>
    <row r="477" ht="15.75" customHeight="1">
      <c r="H477" s="22"/>
    </row>
    <row r="478" ht="15.75" customHeight="1">
      <c r="H478" s="22"/>
    </row>
    <row r="479" ht="15.75" customHeight="1">
      <c r="H479" s="22"/>
    </row>
    <row r="480" ht="15.75" customHeight="1">
      <c r="H480" s="22"/>
    </row>
    <row r="481" ht="15.75" customHeight="1">
      <c r="H481" s="22"/>
    </row>
    <row r="482" ht="15.75" customHeight="1">
      <c r="H482" s="22"/>
    </row>
    <row r="483" ht="15.75" customHeight="1">
      <c r="H483" s="22"/>
    </row>
    <row r="484" ht="15.75" customHeight="1">
      <c r="H484" s="22"/>
    </row>
    <row r="485" ht="15.75" customHeight="1">
      <c r="H485" s="22"/>
    </row>
    <row r="486" ht="15.75" customHeight="1">
      <c r="H486" s="22"/>
    </row>
    <row r="487" ht="15.75" customHeight="1">
      <c r="H487" s="22"/>
    </row>
    <row r="488" ht="15.75" customHeight="1">
      <c r="H488" s="22"/>
    </row>
    <row r="489" ht="15.75" customHeight="1">
      <c r="H489" s="22"/>
    </row>
    <row r="490" ht="15.75" customHeight="1">
      <c r="H490" s="22"/>
    </row>
    <row r="491" ht="15.75" customHeight="1">
      <c r="H491" s="22"/>
    </row>
    <row r="492" ht="15.75" customHeight="1">
      <c r="H492" s="22"/>
    </row>
    <row r="493" ht="15.75" customHeight="1">
      <c r="H493" s="22"/>
    </row>
    <row r="494" ht="15.75" customHeight="1">
      <c r="H494" s="22"/>
    </row>
    <row r="495" ht="15.75" customHeight="1">
      <c r="H495" s="22"/>
    </row>
    <row r="496" ht="15.75" customHeight="1">
      <c r="H496" s="22"/>
    </row>
    <row r="497" ht="15.75" customHeight="1">
      <c r="H497" s="22"/>
    </row>
    <row r="498" ht="15.75" customHeight="1">
      <c r="H498" s="22"/>
    </row>
    <row r="499" ht="15.75" customHeight="1">
      <c r="H499" s="22"/>
    </row>
    <row r="500" ht="15.75" customHeight="1">
      <c r="H500" s="22"/>
    </row>
    <row r="501" ht="15.75" customHeight="1">
      <c r="H501" s="22"/>
    </row>
    <row r="502" ht="15.75" customHeight="1">
      <c r="H502" s="22"/>
    </row>
    <row r="503" ht="15.75" customHeight="1">
      <c r="H503" s="22"/>
    </row>
    <row r="504" ht="15.75" customHeight="1">
      <c r="H504" s="22"/>
    </row>
    <row r="505" ht="15.75" customHeight="1">
      <c r="H505" s="22"/>
    </row>
    <row r="506" ht="15.75" customHeight="1">
      <c r="H506" s="22"/>
    </row>
    <row r="507" ht="15.75" customHeight="1">
      <c r="H507" s="22"/>
    </row>
    <row r="508" ht="15.75" customHeight="1">
      <c r="H508" s="22"/>
    </row>
    <row r="509" ht="15.75" customHeight="1">
      <c r="H509" s="22"/>
    </row>
    <row r="510" ht="15.75" customHeight="1">
      <c r="H510" s="22"/>
    </row>
    <row r="511" ht="15.75" customHeight="1">
      <c r="H511" s="22"/>
    </row>
    <row r="512" ht="15.75" customHeight="1">
      <c r="H512" s="22"/>
    </row>
    <row r="513" ht="15.75" customHeight="1">
      <c r="H513" s="22"/>
    </row>
    <row r="514" ht="15.75" customHeight="1">
      <c r="H514" s="22"/>
    </row>
    <row r="515" ht="15.75" customHeight="1">
      <c r="H515" s="22"/>
    </row>
    <row r="516" ht="15.75" customHeight="1">
      <c r="H516" s="22"/>
    </row>
    <row r="517" ht="15.75" customHeight="1">
      <c r="H517" s="22"/>
    </row>
    <row r="518" ht="15.75" customHeight="1">
      <c r="H518" s="22"/>
    </row>
    <row r="519" ht="15.75" customHeight="1">
      <c r="H519" s="22"/>
    </row>
    <row r="520" ht="15.75" customHeight="1">
      <c r="H520" s="22"/>
    </row>
    <row r="521" ht="15.75" customHeight="1">
      <c r="H521" s="22"/>
    </row>
    <row r="522" ht="15.75" customHeight="1">
      <c r="H522" s="22"/>
    </row>
    <row r="523" ht="15.75" customHeight="1">
      <c r="H523" s="22"/>
    </row>
    <row r="524" ht="15.75" customHeight="1">
      <c r="H524" s="22"/>
    </row>
    <row r="525" ht="15.75" customHeight="1">
      <c r="H525" s="22"/>
    </row>
    <row r="526" ht="15.75" customHeight="1">
      <c r="H526" s="22"/>
    </row>
    <row r="527" ht="15.75" customHeight="1">
      <c r="H527" s="22"/>
    </row>
    <row r="528" ht="15.75" customHeight="1">
      <c r="H528" s="22"/>
    </row>
    <row r="529" ht="15.75" customHeight="1">
      <c r="H529" s="22"/>
    </row>
    <row r="530" ht="15.75" customHeight="1">
      <c r="H530" s="22"/>
    </row>
    <row r="531" ht="15.75" customHeight="1">
      <c r="H531" s="22"/>
    </row>
    <row r="532" ht="15.75" customHeight="1">
      <c r="H532" s="22"/>
    </row>
    <row r="533" ht="15.75" customHeight="1">
      <c r="H533" s="22"/>
    </row>
    <row r="534" ht="15.75" customHeight="1">
      <c r="H534" s="22"/>
    </row>
    <row r="535" ht="15.75" customHeight="1">
      <c r="H535" s="22"/>
    </row>
    <row r="536" ht="15.75" customHeight="1">
      <c r="H536" s="22"/>
    </row>
    <row r="537" ht="15.75" customHeight="1">
      <c r="H537" s="22"/>
    </row>
    <row r="538" ht="15.75" customHeight="1">
      <c r="H538" s="22"/>
    </row>
    <row r="539" ht="15.75" customHeight="1">
      <c r="H539" s="22"/>
    </row>
    <row r="540" ht="15.75" customHeight="1">
      <c r="H540" s="22"/>
    </row>
    <row r="541" ht="15.75" customHeight="1">
      <c r="H541" s="22"/>
    </row>
    <row r="542" ht="15.75" customHeight="1">
      <c r="H542" s="22"/>
    </row>
    <row r="543" ht="15.75" customHeight="1">
      <c r="H543" s="22"/>
    </row>
    <row r="544" ht="15.75" customHeight="1">
      <c r="H544" s="22"/>
    </row>
    <row r="545" ht="15.75" customHeight="1">
      <c r="H545" s="22"/>
    </row>
    <row r="546" ht="15.75" customHeight="1">
      <c r="H546" s="22"/>
    </row>
    <row r="547" ht="15.75" customHeight="1">
      <c r="H547" s="22"/>
    </row>
    <row r="548" ht="15.75" customHeight="1">
      <c r="H548" s="22"/>
    </row>
    <row r="549" ht="15.75" customHeight="1">
      <c r="H549" s="22"/>
    </row>
    <row r="550" ht="15.75" customHeight="1">
      <c r="H550" s="22"/>
    </row>
    <row r="551" ht="15.75" customHeight="1">
      <c r="H551" s="22"/>
    </row>
    <row r="552" ht="15.75" customHeight="1">
      <c r="H552" s="22"/>
    </row>
    <row r="553" ht="15.75" customHeight="1">
      <c r="H553" s="22"/>
    </row>
    <row r="554" ht="15.75" customHeight="1">
      <c r="H554" s="22"/>
    </row>
    <row r="555" ht="15.75" customHeight="1">
      <c r="H555" s="22"/>
    </row>
    <row r="556" ht="15.75" customHeight="1">
      <c r="H556" s="22"/>
    </row>
    <row r="557" ht="15.75" customHeight="1">
      <c r="H557" s="22"/>
    </row>
    <row r="558" ht="15.75" customHeight="1">
      <c r="H558" s="22"/>
    </row>
    <row r="559" ht="15.75" customHeight="1">
      <c r="H559" s="22"/>
    </row>
    <row r="560" ht="15.75" customHeight="1">
      <c r="H560" s="22"/>
    </row>
    <row r="561" ht="15.75" customHeight="1">
      <c r="H561" s="22"/>
    </row>
    <row r="562" ht="15.75" customHeight="1">
      <c r="H562" s="22"/>
    </row>
    <row r="563" ht="15.75" customHeight="1">
      <c r="H563" s="22"/>
    </row>
    <row r="564" ht="15.75" customHeight="1">
      <c r="H564" s="22"/>
    </row>
    <row r="565" ht="15.75" customHeight="1">
      <c r="H565" s="22"/>
    </row>
    <row r="566" ht="15.75" customHeight="1">
      <c r="H566" s="22"/>
    </row>
    <row r="567" ht="15.75" customHeight="1">
      <c r="H567" s="22"/>
    </row>
    <row r="568" ht="15.75" customHeight="1">
      <c r="H568" s="22"/>
    </row>
    <row r="569" ht="15.75" customHeight="1">
      <c r="H569" s="22"/>
    </row>
    <row r="570" ht="15.75" customHeight="1">
      <c r="H570" s="22"/>
    </row>
    <row r="571" ht="15.75" customHeight="1">
      <c r="H571" s="22"/>
    </row>
    <row r="572" ht="15.75" customHeight="1">
      <c r="H572" s="22"/>
    </row>
    <row r="573" ht="15.75" customHeight="1">
      <c r="H573" s="22"/>
    </row>
    <row r="574" ht="15.75" customHeight="1">
      <c r="H574" s="22"/>
    </row>
    <row r="575" ht="15.75" customHeight="1">
      <c r="H575" s="22"/>
    </row>
    <row r="576" ht="15.75" customHeight="1">
      <c r="H576" s="22"/>
    </row>
    <row r="577" ht="15.75" customHeight="1">
      <c r="H577" s="22"/>
    </row>
    <row r="578" ht="15.75" customHeight="1">
      <c r="H578" s="22"/>
    </row>
    <row r="579" ht="15.75" customHeight="1">
      <c r="H579" s="22"/>
    </row>
    <row r="580" ht="15.75" customHeight="1">
      <c r="H580" s="22"/>
    </row>
    <row r="581" ht="15.75" customHeight="1">
      <c r="H581" s="22"/>
    </row>
    <row r="582" ht="15.75" customHeight="1">
      <c r="H582" s="22"/>
    </row>
    <row r="583" ht="15.75" customHeight="1">
      <c r="H583" s="22"/>
    </row>
    <row r="584" ht="15.75" customHeight="1">
      <c r="H584" s="22"/>
    </row>
    <row r="585" ht="15.75" customHeight="1">
      <c r="H585" s="22"/>
    </row>
    <row r="586" ht="15.75" customHeight="1">
      <c r="H586" s="22"/>
    </row>
    <row r="587" ht="15.75" customHeight="1">
      <c r="H587" s="22"/>
    </row>
    <row r="588" ht="15.75" customHeight="1">
      <c r="H588" s="22"/>
    </row>
    <row r="589" ht="15.75" customHeight="1">
      <c r="H589" s="22"/>
    </row>
    <row r="590" ht="15.75" customHeight="1">
      <c r="H590" s="22"/>
    </row>
    <row r="591" ht="15.75" customHeight="1">
      <c r="H591" s="22"/>
    </row>
    <row r="592" ht="15.75" customHeight="1">
      <c r="H592" s="22"/>
    </row>
    <row r="593" ht="15.75" customHeight="1">
      <c r="H593" s="22"/>
    </row>
    <row r="594" ht="15.75" customHeight="1">
      <c r="H594" s="22"/>
    </row>
    <row r="595" ht="15.75" customHeight="1">
      <c r="H595" s="22"/>
    </row>
    <row r="596" ht="15.75" customHeight="1">
      <c r="H596" s="22"/>
    </row>
    <row r="597" ht="15.75" customHeight="1">
      <c r="H597" s="22"/>
    </row>
    <row r="598" ht="15.75" customHeight="1">
      <c r="H598" s="22"/>
    </row>
    <row r="599" ht="15.75" customHeight="1">
      <c r="H599" s="22"/>
    </row>
    <row r="600" ht="15.75" customHeight="1">
      <c r="H600" s="22"/>
    </row>
    <row r="601" ht="15.75" customHeight="1">
      <c r="H601" s="22"/>
    </row>
    <row r="602" ht="15.75" customHeight="1">
      <c r="H602" s="22"/>
    </row>
    <row r="603" ht="15.75" customHeight="1">
      <c r="H603" s="22"/>
    </row>
    <row r="604" ht="15.75" customHeight="1">
      <c r="H604" s="22"/>
    </row>
    <row r="605" ht="15.75" customHeight="1">
      <c r="H605" s="22"/>
    </row>
    <row r="606" ht="15.75" customHeight="1">
      <c r="H606" s="22"/>
    </row>
    <row r="607" ht="15.75" customHeight="1">
      <c r="H607" s="22"/>
    </row>
    <row r="608" ht="15.75" customHeight="1">
      <c r="H608" s="22"/>
    </row>
    <row r="609" ht="15.75" customHeight="1">
      <c r="H609" s="22"/>
    </row>
    <row r="610" ht="15.75" customHeight="1">
      <c r="H610" s="22"/>
    </row>
    <row r="611" ht="15.75" customHeight="1">
      <c r="H611" s="22"/>
    </row>
    <row r="612" ht="15.75" customHeight="1">
      <c r="H612" s="22"/>
    </row>
    <row r="613" ht="15.75" customHeight="1">
      <c r="H613" s="22"/>
    </row>
    <row r="614" ht="15.75" customHeight="1">
      <c r="H614" s="22"/>
    </row>
    <row r="615" ht="15.75" customHeight="1">
      <c r="H615" s="22"/>
    </row>
    <row r="616" ht="15.75" customHeight="1">
      <c r="H616" s="22"/>
    </row>
    <row r="617" ht="15.75" customHeight="1">
      <c r="H617" s="22"/>
    </row>
    <row r="618" ht="15.75" customHeight="1">
      <c r="H618" s="22"/>
    </row>
    <row r="619" ht="15.75" customHeight="1">
      <c r="H619" s="22"/>
    </row>
    <row r="620" ht="15.75" customHeight="1">
      <c r="H620" s="22"/>
    </row>
    <row r="621" ht="15.75" customHeight="1">
      <c r="H621" s="22"/>
    </row>
    <row r="622" ht="15.75" customHeight="1">
      <c r="H622" s="22"/>
    </row>
    <row r="623" ht="15.75" customHeight="1">
      <c r="H623" s="22"/>
    </row>
    <row r="624" ht="15.75" customHeight="1">
      <c r="H624" s="22"/>
    </row>
    <row r="625" ht="15.75" customHeight="1">
      <c r="H625" s="22"/>
    </row>
    <row r="626" ht="15.75" customHeight="1">
      <c r="H626" s="22"/>
    </row>
    <row r="627" ht="15.75" customHeight="1">
      <c r="H627" s="22"/>
    </row>
    <row r="628" ht="15.75" customHeight="1">
      <c r="H628" s="22"/>
    </row>
    <row r="629" ht="15.75" customHeight="1">
      <c r="H629" s="22"/>
    </row>
    <row r="630" ht="15.75" customHeight="1">
      <c r="H630" s="22"/>
    </row>
    <row r="631" ht="15.75" customHeight="1">
      <c r="H631" s="22"/>
    </row>
    <row r="632" ht="15.75" customHeight="1">
      <c r="H632" s="22"/>
    </row>
    <row r="633" ht="15.75" customHeight="1">
      <c r="H633" s="22"/>
    </row>
    <row r="634" ht="15.75" customHeight="1">
      <c r="H634" s="22"/>
    </row>
    <row r="635" ht="15.75" customHeight="1">
      <c r="H635" s="22"/>
    </row>
    <row r="636" ht="15.75" customHeight="1">
      <c r="H636" s="22"/>
    </row>
    <row r="637" ht="15.75" customHeight="1">
      <c r="H637" s="22"/>
    </row>
    <row r="638" ht="15.75" customHeight="1">
      <c r="H638" s="22"/>
    </row>
    <row r="639" ht="15.75" customHeight="1">
      <c r="H639" s="22"/>
    </row>
    <row r="640" ht="15.75" customHeight="1">
      <c r="H640" s="22"/>
    </row>
    <row r="641" ht="15.75" customHeight="1">
      <c r="H641" s="22"/>
    </row>
    <row r="642" ht="15.75" customHeight="1">
      <c r="H642" s="22"/>
    </row>
    <row r="643" ht="15.75" customHeight="1">
      <c r="H643" s="22"/>
    </row>
    <row r="644" ht="15.75" customHeight="1">
      <c r="H644" s="22"/>
    </row>
    <row r="645" ht="15.75" customHeight="1">
      <c r="H645" s="22"/>
    </row>
    <row r="646" ht="15.75" customHeight="1">
      <c r="H646" s="22"/>
    </row>
    <row r="647" ht="15.75" customHeight="1">
      <c r="H647" s="22"/>
    </row>
    <row r="648" ht="15.75" customHeight="1">
      <c r="H648" s="22"/>
    </row>
    <row r="649" ht="15.75" customHeight="1">
      <c r="H649" s="22"/>
    </row>
    <row r="650" ht="15.75" customHeight="1">
      <c r="H650" s="22"/>
    </row>
    <row r="651" ht="15.75" customHeight="1">
      <c r="H651" s="22"/>
    </row>
    <row r="652" ht="15.75" customHeight="1">
      <c r="H652" s="22"/>
    </row>
    <row r="653" ht="15.75" customHeight="1">
      <c r="H653" s="22"/>
    </row>
    <row r="654" ht="15.75" customHeight="1">
      <c r="H654" s="22"/>
    </row>
    <row r="655" ht="15.75" customHeight="1">
      <c r="H655" s="22"/>
    </row>
    <row r="656" ht="15.75" customHeight="1">
      <c r="H656" s="22"/>
    </row>
    <row r="657" ht="15.75" customHeight="1">
      <c r="H657" s="22"/>
    </row>
    <row r="658" ht="15.75" customHeight="1">
      <c r="H658" s="22"/>
    </row>
    <row r="659" ht="15.75" customHeight="1">
      <c r="H659" s="22"/>
    </row>
    <row r="660" ht="15.75" customHeight="1">
      <c r="H660" s="22"/>
    </row>
    <row r="661" ht="15.75" customHeight="1">
      <c r="H661" s="22"/>
    </row>
    <row r="662" ht="15.75" customHeight="1">
      <c r="H662" s="22"/>
    </row>
    <row r="663" ht="15.75" customHeight="1">
      <c r="H663" s="22"/>
    </row>
    <row r="664" ht="15.75" customHeight="1">
      <c r="H664" s="22"/>
    </row>
    <row r="665" ht="15.75" customHeight="1">
      <c r="H665" s="22"/>
    </row>
    <row r="666" ht="15.75" customHeight="1">
      <c r="H666" s="22"/>
    </row>
    <row r="667" ht="15.75" customHeight="1">
      <c r="H667" s="22"/>
    </row>
    <row r="668" ht="15.75" customHeight="1">
      <c r="H668" s="22"/>
    </row>
    <row r="669" ht="15.75" customHeight="1">
      <c r="H669" s="22"/>
    </row>
    <row r="670" ht="15.75" customHeight="1">
      <c r="H670" s="22"/>
    </row>
    <row r="671" ht="15.75" customHeight="1">
      <c r="H671" s="22"/>
    </row>
    <row r="672" ht="15.75" customHeight="1">
      <c r="H672" s="22"/>
    </row>
    <row r="673" ht="15.75" customHeight="1">
      <c r="H673" s="22"/>
    </row>
    <row r="674" ht="15.75" customHeight="1">
      <c r="H674" s="22"/>
    </row>
    <row r="675" ht="15.75" customHeight="1">
      <c r="H675" s="22"/>
    </row>
    <row r="676" ht="15.75" customHeight="1">
      <c r="H676" s="22"/>
    </row>
    <row r="677" ht="15.75" customHeight="1">
      <c r="H677" s="22"/>
    </row>
    <row r="678" ht="15.75" customHeight="1">
      <c r="H678" s="22"/>
    </row>
    <row r="679" ht="15.75" customHeight="1">
      <c r="H679" s="22"/>
    </row>
    <row r="680" ht="15.75" customHeight="1">
      <c r="H680" s="22"/>
    </row>
    <row r="681" ht="15.75" customHeight="1">
      <c r="H681" s="22"/>
    </row>
    <row r="682" ht="15.75" customHeight="1">
      <c r="H682" s="22"/>
    </row>
    <row r="683" ht="15.75" customHeight="1">
      <c r="H683" s="22"/>
    </row>
    <row r="684" ht="15.75" customHeight="1">
      <c r="H684" s="22"/>
    </row>
    <row r="685" ht="15.75" customHeight="1">
      <c r="H685" s="22"/>
    </row>
    <row r="686" ht="15.75" customHeight="1">
      <c r="H686" s="22"/>
    </row>
    <row r="687" ht="15.75" customHeight="1">
      <c r="H687" s="22"/>
    </row>
    <row r="688" ht="15.75" customHeight="1">
      <c r="H688" s="22"/>
    </row>
    <row r="689" ht="15.75" customHeight="1">
      <c r="H689" s="22"/>
    </row>
    <row r="690" ht="15.75" customHeight="1">
      <c r="H690" s="22"/>
    </row>
    <row r="691" ht="15.75" customHeight="1">
      <c r="H691" s="22"/>
    </row>
    <row r="692" ht="15.75" customHeight="1">
      <c r="H692" s="22"/>
    </row>
    <row r="693" ht="15.75" customHeight="1">
      <c r="H693" s="22"/>
    </row>
    <row r="694" ht="15.75" customHeight="1">
      <c r="H694" s="22"/>
    </row>
    <row r="695" ht="15.75" customHeight="1">
      <c r="H695" s="22"/>
    </row>
    <row r="696" ht="15.75" customHeight="1">
      <c r="H696" s="22"/>
    </row>
    <row r="697" ht="15.75" customHeight="1">
      <c r="H697" s="22"/>
    </row>
    <row r="698" ht="15.75" customHeight="1">
      <c r="H698" s="22"/>
    </row>
    <row r="699" ht="15.75" customHeight="1">
      <c r="H699" s="22"/>
    </row>
    <row r="700" ht="15.75" customHeight="1">
      <c r="H700" s="22"/>
    </row>
    <row r="701" ht="15.75" customHeight="1">
      <c r="H701" s="22"/>
    </row>
    <row r="702" ht="15.75" customHeight="1">
      <c r="H702" s="22"/>
    </row>
    <row r="703" ht="15.75" customHeight="1">
      <c r="H703" s="22"/>
    </row>
    <row r="704" ht="15.75" customHeight="1">
      <c r="H704" s="22"/>
    </row>
    <row r="705" ht="15.75" customHeight="1">
      <c r="H705" s="22"/>
    </row>
    <row r="706" ht="15.75" customHeight="1">
      <c r="H706" s="22"/>
    </row>
    <row r="707" ht="15.75" customHeight="1">
      <c r="H707" s="22"/>
    </row>
    <row r="708" ht="15.75" customHeight="1">
      <c r="H708" s="22"/>
    </row>
    <row r="709" ht="15.75" customHeight="1">
      <c r="H709" s="22"/>
    </row>
    <row r="710" ht="15.75" customHeight="1">
      <c r="H710" s="22"/>
    </row>
    <row r="711" ht="15.75" customHeight="1">
      <c r="H711" s="22"/>
    </row>
    <row r="712" ht="15.75" customHeight="1">
      <c r="H712" s="22"/>
    </row>
    <row r="713" ht="15.75" customHeight="1">
      <c r="H713" s="22"/>
    </row>
    <row r="714" ht="15.75" customHeight="1">
      <c r="H714" s="22"/>
    </row>
    <row r="715" ht="15.75" customHeight="1">
      <c r="H715" s="22"/>
    </row>
    <row r="716" ht="15.75" customHeight="1">
      <c r="H716" s="22"/>
    </row>
    <row r="717" ht="15.75" customHeight="1">
      <c r="H717" s="22"/>
    </row>
    <row r="718" ht="15.75" customHeight="1">
      <c r="H718" s="22"/>
    </row>
    <row r="719" ht="15.75" customHeight="1">
      <c r="H719" s="22"/>
    </row>
    <row r="720" ht="15.75" customHeight="1">
      <c r="H720" s="22"/>
    </row>
    <row r="721" ht="15.75" customHeight="1">
      <c r="H721" s="22"/>
    </row>
    <row r="722" ht="15.75" customHeight="1">
      <c r="H722" s="22"/>
    </row>
    <row r="723" ht="15.75" customHeight="1">
      <c r="H723" s="22"/>
    </row>
    <row r="724" ht="15.75" customHeight="1">
      <c r="H724" s="22"/>
    </row>
    <row r="725" ht="15.75" customHeight="1">
      <c r="H725" s="22"/>
    </row>
    <row r="726" ht="15.75" customHeight="1">
      <c r="H726" s="22"/>
    </row>
    <row r="727" ht="15.75" customHeight="1">
      <c r="H727" s="22"/>
    </row>
    <row r="728" ht="15.75" customHeight="1">
      <c r="H728" s="22"/>
    </row>
    <row r="729" ht="15.75" customHeight="1">
      <c r="H729" s="22"/>
    </row>
    <row r="730" ht="15.75" customHeight="1">
      <c r="H730" s="22"/>
    </row>
    <row r="731" ht="15.75" customHeight="1">
      <c r="H731" s="22"/>
    </row>
    <row r="732" ht="15.75" customHeight="1">
      <c r="H732" s="22"/>
    </row>
    <row r="733" ht="15.75" customHeight="1">
      <c r="H733" s="22"/>
    </row>
    <row r="734" ht="15.75" customHeight="1">
      <c r="H734" s="22"/>
    </row>
    <row r="735" ht="15.75" customHeight="1">
      <c r="H735" s="22"/>
    </row>
    <row r="736" ht="15.75" customHeight="1">
      <c r="H736" s="22"/>
    </row>
    <row r="737" ht="15.75" customHeight="1">
      <c r="H737" s="22"/>
    </row>
    <row r="738" ht="15.75" customHeight="1">
      <c r="H738" s="22"/>
    </row>
    <row r="739" ht="15.75" customHeight="1">
      <c r="H739" s="22"/>
    </row>
    <row r="740" ht="15.75" customHeight="1">
      <c r="H740" s="22"/>
    </row>
    <row r="741" ht="15.75" customHeight="1">
      <c r="H741" s="22"/>
    </row>
    <row r="742" ht="15.75" customHeight="1">
      <c r="H742" s="22"/>
    </row>
    <row r="743" ht="15.75" customHeight="1">
      <c r="H743" s="22"/>
    </row>
    <row r="744" ht="15.75" customHeight="1">
      <c r="H744" s="22"/>
    </row>
    <row r="745" ht="15.75" customHeight="1">
      <c r="H745" s="22"/>
    </row>
    <row r="746" ht="15.75" customHeight="1">
      <c r="H746" s="22"/>
    </row>
    <row r="747" ht="15.75" customHeight="1">
      <c r="H747" s="22"/>
    </row>
    <row r="748" ht="15.75" customHeight="1">
      <c r="H748" s="22"/>
    </row>
    <row r="749" ht="15.75" customHeight="1">
      <c r="H749" s="22"/>
    </row>
    <row r="750" ht="15.75" customHeight="1">
      <c r="H750" s="22"/>
    </row>
    <row r="751" ht="15.75" customHeight="1">
      <c r="H751" s="22"/>
    </row>
    <row r="752" ht="15.75" customHeight="1">
      <c r="H752" s="22"/>
    </row>
    <row r="753" ht="15.75" customHeight="1">
      <c r="H753" s="22"/>
    </row>
    <row r="754" ht="15.75" customHeight="1">
      <c r="H754" s="22"/>
    </row>
    <row r="755" ht="15.75" customHeight="1">
      <c r="H755" s="22"/>
    </row>
    <row r="756" ht="15.75" customHeight="1">
      <c r="H756" s="22"/>
    </row>
    <row r="757" ht="15.75" customHeight="1">
      <c r="H757" s="22"/>
    </row>
    <row r="758" ht="15.75" customHeight="1">
      <c r="H758" s="22"/>
    </row>
    <row r="759" ht="15.75" customHeight="1">
      <c r="H759" s="22"/>
    </row>
    <row r="760" ht="15.75" customHeight="1">
      <c r="H760" s="22"/>
    </row>
    <row r="761" ht="15.75" customHeight="1">
      <c r="H761" s="22"/>
    </row>
    <row r="762" ht="15.75" customHeight="1">
      <c r="H762" s="22"/>
    </row>
    <row r="763" ht="15.75" customHeight="1">
      <c r="H763" s="22"/>
    </row>
    <row r="764" ht="15.75" customHeight="1">
      <c r="H764" s="22"/>
    </row>
    <row r="765" ht="15.75" customHeight="1">
      <c r="H765" s="22"/>
    </row>
    <row r="766" ht="15.75" customHeight="1">
      <c r="H766" s="22"/>
    </row>
    <row r="767" ht="15.75" customHeight="1">
      <c r="H767" s="22"/>
    </row>
    <row r="768" ht="15.75" customHeight="1">
      <c r="H768" s="22"/>
    </row>
    <row r="769" ht="15.75" customHeight="1">
      <c r="H769" s="22"/>
    </row>
    <row r="770" ht="15.75" customHeight="1">
      <c r="H770" s="22"/>
    </row>
    <row r="771" ht="15.75" customHeight="1">
      <c r="H771" s="22"/>
    </row>
    <row r="772" ht="15.75" customHeight="1">
      <c r="H772" s="22"/>
    </row>
    <row r="773" ht="15.75" customHeight="1">
      <c r="H773" s="22"/>
    </row>
    <row r="774" ht="15.75" customHeight="1">
      <c r="H774" s="22"/>
    </row>
    <row r="775" ht="15.75" customHeight="1">
      <c r="H775" s="22"/>
    </row>
    <row r="776" ht="15.75" customHeight="1">
      <c r="H776" s="22"/>
    </row>
    <row r="777" ht="15.75" customHeight="1">
      <c r="H777" s="22"/>
    </row>
    <row r="778" ht="15.75" customHeight="1">
      <c r="H778" s="22"/>
    </row>
    <row r="779" ht="15.75" customHeight="1">
      <c r="H779" s="22"/>
    </row>
    <row r="780" ht="15.75" customHeight="1">
      <c r="H780" s="22"/>
    </row>
    <row r="781" ht="15.75" customHeight="1">
      <c r="H781" s="22"/>
    </row>
    <row r="782" ht="15.75" customHeight="1">
      <c r="H782" s="22"/>
    </row>
    <row r="783" ht="15.75" customHeight="1">
      <c r="H783" s="22"/>
    </row>
    <row r="784" ht="15.75" customHeight="1">
      <c r="H784" s="22"/>
    </row>
    <row r="785" ht="15.75" customHeight="1">
      <c r="H785" s="22"/>
    </row>
    <row r="786" ht="15.75" customHeight="1">
      <c r="H786" s="22"/>
    </row>
    <row r="787" ht="15.75" customHeight="1">
      <c r="H787" s="22"/>
    </row>
    <row r="788" ht="15.75" customHeight="1">
      <c r="H788" s="22"/>
    </row>
    <row r="789" ht="15.75" customHeight="1">
      <c r="H789" s="22"/>
    </row>
    <row r="790" ht="15.75" customHeight="1">
      <c r="H790" s="22"/>
    </row>
    <row r="791" ht="15.75" customHeight="1">
      <c r="H791" s="22"/>
    </row>
    <row r="792" ht="15.75" customHeight="1">
      <c r="H792" s="22"/>
    </row>
    <row r="793" ht="15.75" customHeight="1">
      <c r="H793" s="22"/>
    </row>
    <row r="794" ht="15.75" customHeight="1">
      <c r="H794" s="22"/>
    </row>
    <row r="795" ht="15.75" customHeight="1">
      <c r="H795" s="22"/>
    </row>
    <row r="796" ht="15.75" customHeight="1">
      <c r="H796" s="22"/>
    </row>
    <row r="797" ht="15.75" customHeight="1">
      <c r="H797" s="22"/>
    </row>
    <row r="798" ht="15.75" customHeight="1">
      <c r="H798" s="22"/>
    </row>
    <row r="799" ht="15.75" customHeight="1">
      <c r="H799" s="22"/>
    </row>
    <row r="800" ht="15.75" customHeight="1">
      <c r="H800" s="22"/>
    </row>
    <row r="801" ht="15.75" customHeight="1">
      <c r="H801" s="22"/>
    </row>
    <row r="802" ht="15.75" customHeight="1">
      <c r="H802" s="22"/>
    </row>
    <row r="803" ht="15.75" customHeight="1">
      <c r="H803" s="22"/>
    </row>
    <row r="804" ht="15.75" customHeight="1">
      <c r="H804" s="22"/>
    </row>
    <row r="805" ht="15.75" customHeight="1">
      <c r="H805" s="22"/>
    </row>
    <row r="806" ht="15.75" customHeight="1">
      <c r="H806" s="22"/>
    </row>
    <row r="807" ht="15.75" customHeight="1">
      <c r="H807" s="22"/>
    </row>
    <row r="808" ht="15.75" customHeight="1">
      <c r="H808" s="22"/>
    </row>
    <row r="809" ht="15.75" customHeight="1">
      <c r="H809" s="22"/>
    </row>
    <row r="810" ht="15.75" customHeight="1">
      <c r="H810" s="22"/>
    </row>
    <row r="811" ht="15.75" customHeight="1">
      <c r="H811" s="22"/>
    </row>
    <row r="812" ht="15.75" customHeight="1">
      <c r="H812" s="22"/>
    </row>
    <row r="813" ht="15.75" customHeight="1">
      <c r="H813" s="22"/>
    </row>
    <row r="814" ht="15.75" customHeight="1">
      <c r="H814" s="22"/>
    </row>
    <row r="815" ht="15.75" customHeight="1">
      <c r="H815" s="22"/>
    </row>
    <row r="816" ht="15.75" customHeight="1">
      <c r="H816" s="22"/>
    </row>
    <row r="817" ht="15.75" customHeight="1">
      <c r="H817" s="22"/>
    </row>
    <row r="818" ht="15.75" customHeight="1">
      <c r="H818" s="22"/>
    </row>
    <row r="819" ht="15.75" customHeight="1">
      <c r="H819" s="22"/>
    </row>
    <row r="820" ht="15.75" customHeight="1">
      <c r="H820" s="22"/>
    </row>
    <row r="821" ht="15.75" customHeight="1">
      <c r="H821" s="22"/>
    </row>
    <row r="822" ht="15.75" customHeight="1">
      <c r="H822" s="22"/>
    </row>
    <row r="823" ht="15.75" customHeight="1">
      <c r="H823" s="22"/>
    </row>
    <row r="824" ht="15.75" customHeight="1">
      <c r="H824" s="22"/>
    </row>
    <row r="825" ht="15.75" customHeight="1">
      <c r="H825" s="22"/>
    </row>
    <row r="826" ht="15.75" customHeight="1">
      <c r="H826" s="22"/>
    </row>
    <row r="827" ht="15.75" customHeight="1">
      <c r="H827" s="22"/>
    </row>
    <row r="828" ht="15.75" customHeight="1">
      <c r="H828" s="22"/>
    </row>
    <row r="829" ht="15.75" customHeight="1">
      <c r="H829" s="22"/>
    </row>
    <row r="830" ht="15.75" customHeight="1">
      <c r="H830" s="22"/>
    </row>
    <row r="831" ht="15.75" customHeight="1">
      <c r="H831" s="22"/>
    </row>
    <row r="832" ht="15.75" customHeight="1">
      <c r="H832" s="22"/>
    </row>
    <row r="833" ht="15.75" customHeight="1">
      <c r="H833" s="22"/>
    </row>
    <row r="834" ht="15.75" customHeight="1">
      <c r="H834" s="22"/>
    </row>
    <row r="835" ht="15.75" customHeight="1">
      <c r="H835" s="22"/>
    </row>
    <row r="836" ht="15.75" customHeight="1">
      <c r="H836" s="22"/>
    </row>
    <row r="837" ht="15.75" customHeight="1">
      <c r="H837" s="22"/>
    </row>
    <row r="838" ht="15.75" customHeight="1">
      <c r="H838" s="22"/>
    </row>
    <row r="839" ht="15.75" customHeight="1">
      <c r="H839" s="22"/>
    </row>
    <row r="840" ht="15.75" customHeight="1">
      <c r="H840" s="22"/>
    </row>
    <row r="841" ht="15.75" customHeight="1">
      <c r="H841" s="22"/>
    </row>
    <row r="842" ht="15.75" customHeight="1">
      <c r="H842" s="22"/>
    </row>
    <row r="843" ht="15.75" customHeight="1">
      <c r="H843" s="22"/>
    </row>
    <row r="844" ht="15.75" customHeight="1">
      <c r="H844" s="22"/>
    </row>
    <row r="845" ht="15.75" customHeight="1">
      <c r="H845" s="22"/>
    </row>
    <row r="846" ht="15.75" customHeight="1">
      <c r="H846" s="22"/>
    </row>
    <row r="847" ht="15.75" customHeight="1">
      <c r="H847" s="22"/>
    </row>
    <row r="848" ht="15.75" customHeight="1">
      <c r="H848" s="22"/>
    </row>
    <row r="849" ht="15.75" customHeight="1">
      <c r="H849" s="22"/>
    </row>
    <row r="850" ht="15.75" customHeight="1">
      <c r="H850" s="22"/>
    </row>
    <row r="851" ht="15.75" customHeight="1">
      <c r="H851" s="22"/>
    </row>
    <row r="852" ht="15.75" customHeight="1">
      <c r="H852" s="22"/>
    </row>
    <row r="853" ht="15.75" customHeight="1">
      <c r="H853" s="22"/>
    </row>
    <row r="854" ht="15.75" customHeight="1">
      <c r="H854" s="22"/>
    </row>
    <row r="855" ht="15.75" customHeight="1">
      <c r="H855" s="22"/>
    </row>
    <row r="856" ht="15.75" customHeight="1">
      <c r="H856" s="22"/>
    </row>
    <row r="857" ht="15.75" customHeight="1">
      <c r="H857" s="22"/>
    </row>
    <row r="858" ht="15.75" customHeight="1">
      <c r="H858" s="22"/>
    </row>
    <row r="859" ht="15.75" customHeight="1">
      <c r="H859" s="22"/>
    </row>
    <row r="860" ht="15.75" customHeight="1">
      <c r="H860" s="22"/>
    </row>
    <row r="861" ht="15.75" customHeight="1">
      <c r="H861" s="22"/>
    </row>
    <row r="862" ht="15.75" customHeight="1">
      <c r="H862" s="22"/>
    </row>
    <row r="863" ht="15.75" customHeight="1">
      <c r="H863" s="22"/>
    </row>
    <row r="864" ht="15.75" customHeight="1">
      <c r="H864" s="22"/>
    </row>
    <row r="865" ht="15.75" customHeight="1">
      <c r="H865" s="22"/>
    </row>
    <row r="866" ht="15.75" customHeight="1">
      <c r="H866" s="22"/>
    </row>
    <row r="867" ht="15.75" customHeight="1">
      <c r="H867" s="22"/>
    </row>
    <row r="868" ht="15.75" customHeight="1">
      <c r="H868" s="22"/>
    </row>
    <row r="869" ht="15.75" customHeight="1">
      <c r="H869" s="22"/>
    </row>
    <row r="870" ht="15.75" customHeight="1">
      <c r="H870" s="22"/>
    </row>
    <row r="871" ht="15.75" customHeight="1">
      <c r="H871" s="22"/>
    </row>
    <row r="872" ht="15.75" customHeight="1">
      <c r="H872" s="22"/>
    </row>
    <row r="873" ht="15.75" customHeight="1">
      <c r="H873" s="22"/>
    </row>
    <row r="874" ht="15.75" customHeight="1">
      <c r="H874" s="22"/>
    </row>
    <row r="875" ht="15.75" customHeight="1">
      <c r="H875" s="22"/>
    </row>
    <row r="876" ht="15.75" customHeight="1">
      <c r="H876" s="22"/>
    </row>
    <row r="877" ht="15.75" customHeight="1">
      <c r="H877" s="22"/>
    </row>
    <row r="878" ht="15.75" customHeight="1">
      <c r="H878" s="22"/>
    </row>
    <row r="879" ht="15.75" customHeight="1">
      <c r="H879" s="22"/>
    </row>
    <row r="880" ht="15.75" customHeight="1">
      <c r="H880" s="22"/>
    </row>
    <row r="881" ht="15.75" customHeight="1">
      <c r="H881" s="22"/>
    </row>
    <row r="882" ht="15.75" customHeight="1">
      <c r="H882" s="22"/>
    </row>
    <row r="883" ht="15.75" customHeight="1">
      <c r="H883" s="22"/>
    </row>
    <row r="884" ht="15.75" customHeight="1">
      <c r="H884" s="22"/>
    </row>
    <row r="885" ht="15.75" customHeight="1">
      <c r="H885" s="22"/>
    </row>
    <row r="886" ht="15.75" customHeight="1">
      <c r="H886" s="22"/>
    </row>
    <row r="887" ht="15.75" customHeight="1">
      <c r="H887" s="22"/>
    </row>
    <row r="888" ht="15.75" customHeight="1">
      <c r="H888" s="22"/>
    </row>
    <row r="889" ht="15.75" customHeight="1">
      <c r="H889" s="22"/>
    </row>
    <row r="890" ht="15.75" customHeight="1">
      <c r="H890" s="22"/>
    </row>
    <row r="891" ht="15.75" customHeight="1">
      <c r="H891" s="22"/>
    </row>
    <row r="892" ht="15.75" customHeight="1">
      <c r="H892" s="22"/>
    </row>
    <row r="893" ht="15.75" customHeight="1">
      <c r="H893" s="22"/>
    </row>
    <row r="894" ht="15.75" customHeight="1">
      <c r="H894" s="22"/>
    </row>
    <row r="895" ht="15.75" customHeight="1">
      <c r="H895" s="22"/>
    </row>
    <row r="896" ht="15.75" customHeight="1">
      <c r="H896" s="22"/>
    </row>
    <row r="897" ht="15.75" customHeight="1">
      <c r="H897" s="22"/>
    </row>
    <row r="898" ht="15.75" customHeight="1">
      <c r="H898" s="22"/>
    </row>
    <row r="899" ht="15.75" customHeight="1">
      <c r="H899" s="22"/>
    </row>
    <row r="900" ht="15.75" customHeight="1">
      <c r="H900" s="22"/>
    </row>
    <row r="901" ht="15.75" customHeight="1">
      <c r="H901" s="22"/>
    </row>
    <row r="902" ht="15.75" customHeight="1">
      <c r="H902" s="22"/>
    </row>
    <row r="903" ht="15.75" customHeight="1">
      <c r="H903" s="22"/>
    </row>
    <row r="904" ht="15.75" customHeight="1">
      <c r="H904" s="22"/>
    </row>
    <row r="905" ht="15.75" customHeight="1">
      <c r="H905" s="22"/>
    </row>
    <row r="906" ht="15.75" customHeight="1">
      <c r="H906" s="22"/>
    </row>
    <row r="907" ht="15.75" customHeight="1">
      <c r="H907" s="22"/>
    </row>
    <row r="908" ht="15.75" customHeight="1">
      <c r="H908" s="22"/>
    </row>
    <row r="909" ht="15.75" customHeight="1">
      <c r="H909" s="22"/>
    </row>
    <row r="910" ht="15.75" customHeight="1">
      <c r="H910" s="22"/>
    </row>
    <row r="911" ht="15.75" customHeight="1">
      <c r="H911" s="22"/>
    </row>
    <row r="912" ht="15.75" customHeight="1">
      <c r="H912" s="22"/>
    </row>
    <row r="913" ht="15.75" customHeight="1">
      <c r="H913" s="22"/>
    </row>
    <row r="914" ht="15.75" customHeight="1">
      <c r="H914" s="22"/>
    </row>
    <row r="915" ht="15.75" customHeight="1">
      <c r="H915" s="22"/>
    </row>
    <row r="916" ht="15.75" customHeight="1">
      <c r="H916" s="22"/>
    </row>
    <row r="917" ht="15.75" customHeight="1">
      <c r="H917" s="22"/>
    </row>
    <row r="918" ht="15.75" customHeight="1">
      <c r="H918" s="22"/>
    </row>
    <row r="919" ht="15.75" customHeight="1">
      <c r="H919" s="22"/>
    </row>
    <row r="920" ht="15.75" customHeight="1">
      <c r="H920" s="22"/>
    </row>
    <row r="921" ht="15.75" customHeight="1">
      <c r="H921" s="22"/>
    </row>
    <row r="922" ht="15.75" customHeight="1">
      <c r="H922" s="22"/>
    </row>
    <row r="923" ht="15.75" customHeight="1">
      <c r="H923" s="22"/>
    </row>
    <row r="924" ht="15.75" customHeight="1">
      <c r="H924" s="22"/>
    </row>
    <row r="925" ht="15.75" customHeight="1">
      <c r="H925" s="22"/>
    </row>
    <row r="926" ht="15.75" customHeight="1">
      <c r="H926" s="22"/>
    </row>
    <row r="927" ht="15.75" customHeight="1">
      <c r="H927" s="22"/>
    </row>
    <row r="928" ht="15.75" customHeight="1">
      <c r="H928" s="22"/>
    </row>
    <row r="929" ht="15.75" customHeight="1">
      <c r="H929" s="22"/>
    </row>
    <row r="930" ht="15.75" customHeight="1">
      <c r="H930" s="22"/>
    </row>
    <row r="931" ht="15.75" customHeight="1">
      <c r="H931" s="22"/>
    </row>
    <row r="932" ht="15.75" customHeight="1">
      <c r="H932" s="22"/>
    </row>
    <row r="933" ht="15.75" customHeight="1">
      <c r="H933" s="22"/>
    </row>
    <row r="934" ht="15.75" customHeight="1">
      <c r="H934" s="22"/>
    </row>
    <row r="935" ht="15.75" customHeight="1">
      <c r="H935" s="22"/>
    </row>
    <row r="936" ht="15.75" customHeight="1">
      <c r="H936" s="22"/>
    </row>
    <row r="937" ht="15.75" customHeight="1">
      <c r="H937" s="22"/>
    </row>
    <row r="938" ht="15.75" customHeight="1">
      <c r="H938" s="22"/>
    </row>
    <row r="939" ht="15.75" customHeight="1">
      <c r="H939" s="22"/>
    </row>
    <row r="940" ht="15.75" customHeight="1">
      <c r="H940" s="22"/>
    </row>
    <row r="941" ht="15.75" customHeight="1">
      <c r="H941" s="22"/>
    </row>
    <row r="942" ht="15.75" customHeight="1">
      <c r="H942" s="22"/>
    </row>
    <row r="943" ht="15.75" customHeight="1">
      <c r="H943" s="22"/>
    </row>
    <row r="944" ht="15.75" customHeight="1">
      <c r="H944" s="22"/>
    </row>
    <row r="945" ht="15.75" customHeight="1">
      <c r="H945" s="22"/>
    </row>
    <row r="946" ht="15.75" customHeight="1">
      <c r="H946" s="22"/>
    </row>
    <row r="947" ht="15.75" customHeight="1">
      <c r="H947" s="22"/>
    </row>
    <row r="948" ht="15.75" customHeight="1">
      <c r="H948" s="22"/>
    </row>
    <row r="949" ht="15.75" customHeight="1">
      <c r="H949" s="22"/>
    </row>
    <row r="950" ht="15.75" customHeight="1">
      <c r="H950" s="22"/>
    </row>
    <row r="951" ht="15.75" customHeight="1">
      <c r="H951" s="22"/>
    </row>
    <row r="952" ht="15.75" customHeight="1">
      <c r="H952" s="22"/>
    </row>
    <row r="953" ht="15.75" customHeight="1">
      <c r="H953" s="22"/>
    </row>
    <row r="954" ht="15.75" customHeight="1">
      <c r="H954" s="22"/>
    </row>
    <row r="955" ht="15.75" customHeight="1">
      <c r="H955" s="22"/>
    </row>
    <row r="956" ht="15.75" customHeight="1">
      <c r="H956" s="22"/>
    </row>
    <row r="957" ht="15.75" customHeight="1">
      <c r="H957" s="22"/>
    </row>
    <row r="958" ht="15.75" customHeight="1">
      <c r="H958" s="22"/>
    </row>
    <row r="959" ht="15.75" customHeight="1">
      <c r="H959" s="22"/>
    </row>
    <row r="960" ht="15.75" customHeight="1">
      <c r="H960" s="22"/>
    </row>
    <row r="961" ht="15.75" customHeight="1">
      <c r="H961" s="22"/>
    </row>
    <row r="962" ht="15.75" customHeight="1">
      <c r="H962" s="22"/>
    </row>
    <row r="963" ht="15.75" customHeight="1">
      <c r="H963" s="22"/>
    </row>
    <row r="964" ht="15.75" customHeight="1">
      <c r="H964" s="22"/>
    </row>
    <row r="965" ht="15.75" customHeight="1">
      <c r="H965" s="22"/>
    </row>
    <row r="966" ht="15.75" customHeight="1">
      <c r="H966" s="22"/>
    </row>
    <row r="967" ht="15.75" customHeight="1">
      <c r="H967" s="22"/>
    </row>
    <row r="968" ht="15.75" customHeight="1">
      <c r="H968" s="22"/>
    </row>
    <row r="969" ht="15.75" customHeight="1">
      <c r="H969" s="22"/>
    </row>
    <row r="970" ht="15.75" customHeight="1">
      <c r="H970" s="22"/>
    </row>
    <row r="971" ht="15.75" customHeight="1">
      <c r="H971" s="22"/>
    </row>
    <row r="972" ht="15.75" customHeight="1">
      <c r="H972" s="22"/>
    </row>
    <row r="973" ht="15.75" customHeight="1">
      <c r="H973" s="22"/>
    </row>
    <row r="974" ht="15.75" customHeight="1">
      <c r="H974" s="22"/>
    </row>
    <row r="975" ht="15.75" customHeight="1">
      <c r="H975" s="22"/>
    </row>
    <row r="976" ht="15.75" customHeight="1">
      <c r="H976" s="22"/>
    </row>
    <row r="977" ht="15.75" customHeight="1">
      <c r="H977" s="22"/>
    </row>
    <row r="978" ht="15.75" customHeight="1">
      <c r="H978" s="22"/>
    </row>
    <row r="979" ht="15.75" customHeight="1">
      <c r="H979" s="22"/>
    </row>
    <row r="980" ht="15.75" customHeight="1">
      <c r="H980" s="22"/>
    </row>
    <row r="981" ht="15.75" customHeight="1">
      <c r="H981" s="22"/>
    </row>
    <row r="982" ht="15.75" customHeight="1">
      <c r="H982" s="22"/>
    </row>
    <row r="983" ht="15.75" customHeight="1">
      <c r="H983" s="22"/>
    </row>
    <row r="984" ht="15.75" customHeight="1">
      <c r="H984" s="22"/>
    </row>
    <row r="985" ht="15.75" customHeight="1">
      <c r="H985" s="22"/>
    </row>
    <row r="986" ht="15.75" customHeight="1">
      <c r="H986" s="22"/>
    </row>
    <row r="987" ht="15.75" customHeight="1">
      <c r="H987" s="22"/>
    </row>
    <row r="988" ht="15.75" customHeight="1">
      <c r="H988" s="22"/>
    </row>
    <row r="989" ht="15.75" customHeight="1">
      <c r="H989" s="22"/>
    </row>
    <row r="990" ht="15.75" customHeight="1">
      <c r="H990" s="22"/>
    </row>
    <row r="991" ht="15.75" customHeight="1">
      <c r="H991" s="22"/>
    </row>
    <row r="992" ht="15.75" customHeight="1">
      <c r="H992" s="22"/>
    </row>
    <row r="993" ht="15.75" customHeight="1">
      <c r="H993" s="22"/>
    </row>
    <row r="994" ht="15.75" customHeight="1">
      <c r="H994" s="22"/>
    </row>
    <row r="995" ht="15.75" customHeight="1">
      <c r="H995" s="22"/>
    </row>
    <row r="996" ht="15.75" customHeight="1">
      <c r="H996" s="22"/>
    </row>
    <row r="997" ht="15.75" customHeight="1">
      <c r="H997" s="22"/>
    </row>
    <row r="998" ht="15.75" customHeight="1">
      <c r="H998" s="22"/>
    </row>
    <row r="999" ht="15.75" customHeight="1">
      <c r="H999" s="22"/>
    </row>
    <row r="1000" ht="15.75" customHeight="1">
      <c r="H1000" s="22"/>
    </row>
  </sheetData>
  <autoFilter ref="$A$1:$I$122"/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3" max="3" width="10.13"/>
    <col customWidth="1" min="5" max="6" width="10.13"/>
    <col customWidth="1" min="7" max="26" width="8.63"/>
  </cols>
  <sheetData>
    <row r="1">
      <c r="A1" s="2" t="s">
        <v>5211</v>
      </c>
      <c r="B1" s="2" t="s">
        <v>5212</v>
      </c>
      <c r="C1" s="2" t="s">
        <v>5213</v>
      </c>
      <c r="D1" s="2" t="s">
        <v>5214</v>
      </c>
      <c r="E1" s="2" t="s">
        <v>5215</v>
      </c>
      <c r="F1" s="2" t="s">
        <v>2</v>
      </c>
    </row>
    <row r="2">
      <c r="A2" s="4">
        <v>1</v>
      </c>
      <c r="B2" s="12" t="str">
        <f t="array" ref="B2">IF(A2:A319="","",_xlfn.XLOOKUP(A2:A319,'参照_勢力'!A:A,'参照_勢力'!B:B,"見つかりません"))</f>
      </c>
      <c r="C2" s="4">
        <v>3</v>
      </c>
      <c r="D2" s="12" t="str">
        <f t="array" ref="D2">IF(C2:C319="","",_xlfn.XLOOKUP(C2:C319,'参照_勢力'!A:A,'参照_勢力'!B:B,"見つかりません"))</f>
      </c>
      <c r="E2" s="4" t="inlineStr">
        <is>
          <t>友好</t>
        </is>
      </c>
      <c r="F2" s="4">
        <v>70</v>
      </c>
    </row>
    <row r="3">
      <c r="A3" s="4">
        <v>1</v>
      </c>
      <c r="B3" s="12" t="str">
        <f t="array" ref="B3">IF(A3:A320="","",_xlfn.XLOOKUP(A3:A320,'参照_勢力'!A:A,'参照_勢力'!B:B,"見つかりません"))</f>
      </c>
      <c r="C3" s="4">
        <v>7</v>
      </c>
      <c r="D3" s="12" t="str">
        <f t="array" ref="D3">IF(C3:C320="","",_xlfn.XLOOKUP(C3:C320,'参照_勢力'!A:A,'参照_勢力'!B:B,"見つかりません"))</f>
      </c>
      <c r="E3" s="4" t="inlineStr">
        <is>
          <t>敵対</t>
        </is>
      </c>
      <c r="F3" s="4">
        <v>0</v>
      </c>
    </row>
    <row r="4">
      <c r="A4" s="4">
        <v>1</v>
      </c>
      <c r="B4" s="12" t="str">
        <f t="array" ref="B4">IF(A4:A321="","",_xlfn.XLOOKUP(A4:A321,'参照_勢力'!A:A,'参照_勢力'!B:B,"見つかりません"))</f>
      </c>
      <c r="C4" s="4">
        <v>12</v>
      </c>
      <c r="D4" s="12" t="str">
        <f t="array" ref="D4">IF(C4:C321="","",_xlfn.XLOOKUP(C4:C321,'参照_勢力'!A:A,'参照_勢力'!B:B,"見つかりません"))</f>
      </c>
      <c r="E4" s="4" t="inlineStr">
        <is>
          <t>支配</t>
        </is>
      </c>
      <c r="F4" s="4">
        <v>80</v>
      </c>
    </row>
    <row r="5">
      <c r="A5" s="4">
        <v>1</v>
      </c>
      <c r="B5" s="12" t="str">
        <f t="array" ref="B5">IF(A5:A322="","",_xlfn.XLOOKUP(A5:A322,'参照_勢力'!A:A,'参照_勢力'!B:B,"見つかりません"))</f>
      </c>
      <c r="C5" s="4">
        <v>15</v>
      </c>
      <c r="D5" s="12" t="str">
        <f t="array" ref="D5">IF(C5:C322="","",_xlfn.XLOOKUP(C5:C322,'参照_勢力'!A:A,'参照_勢力'!B:B,"見つかりません"))</f>
      </c>
      <c r="E5" s="4" t="inlineStr">
        <is>
          <t>敵対</t>
        </is>
      </c>
      <c r="F5" s="4">
        <v>0</v>
      </c>
    </row>
    <row r="6">
      <c r="A6" s="4">
        <v>1</v>
      </c>
      <c r="B6" s="12" t="str">
        <f t="array" ref="B6">IF(A6:A323="","",_xlfn.XLOOKUP(A6:A323,'参照_勢力'!A:A,'参照_勢力'!B:B,"見つかりません"))</f>
      </c>
      <c r="C6" s="4">
        <v>17</v>
      </c>
      <c r="D6" s="12" t="str">
        <f t="array" ref="D6">IF(C6:C323="","",_xlfn.XLOOKUP(C6:C323,'参照_勢力'!A:A,'参照_勢力'!B:B,"見つかりません"))</f>
      </c>
      <c r="E6" s="4" t="inlineStr">
        <is>
          <t>同盟</t>
        </is>
      </c>
      <c r="F6" s="4">
        <v>100</v>
      </c>
    </row>
    <row r="7">
      <c r="A7" s="4">
        <v>1</v>
      </c>
      <c r="B7" s="12" t="str">
        <f t="array" ref="B7">IF(A7:A324="","",_xlfn.XLOOKUP(A7:A324,'参照_勢力'!A:A,'参照_勢力'!B:B,"見つかりません"))</f>
      </c>
      <c r="C7" s="4">
        <v>18</v>
      </c>
      <c r="D7" s="12" t="str">
        <f t="array" ref="D7">IF(C7:C324="","",_xlfn.XLOOKUP(C7:C324,'参照_勢力'!A:A,'参照_勢力'!B:B,"見つかりません"))</f>
      </c>
      <c r="E7" s="4" t="inlineStr">
        <is>
          <t>敵対</t>
        </is>
      </c>
      <c r="F7" s="4">
        <v>0</v>
      </c>
    </row>
    <row r="8">
      <c r="A8" s="4">
        <v>1</v>
      </c>
      <c r="B8" s="12" t="str">
        <f t="array" ref="B8">IF(A8:A325="","",_xlfn.XLOOKUP(A8:A325,'参照_勢力'!A:A,'参照_勢力'!B:B,"見つかりません"))</f>
      </c>
      <c r="C8" s="4">
        <v>19</v>
      </c>
      <c r="D8" s="12" t="str">
        <f t="array" ref="D8">IF(C8:C325="","",_xlfn.XLOOKUP(C8:C325,'参照_勢力'!A:A,'参照_勢力'!B:B,"見つかりません"))</f>
      </c>
      <c r="E8" s="4" t="inlineStr">
        <is>
          <t>敵対</t>
        </is>
      </c>
      <c r="F8" s="4">
        <v>0</v>
      </c>
    </row>
    <row r="9">
      <c r="A9" s="4">
        <v>1</v>
      </c>
      <c r="B9" s="12" t="str">
        <f t="array" ref="B9">IF(A9:A326="","",_xlfn.XLOOKUP(A9:A326,'参照_勢力'!A:A,'参照_勢力'!B:B,"見つかりません"))</f>
      </c>
      <c r="C9" s="4">
        <v>20</v>
      </c>
      <c r="D9" s="12" t="str">
        <f t="array" ref="D9">IF(C9:C326="","",_xlfn.XLOOKUP(C9:C326,'参照_勢力'!A:A,'参照_勢力'!B:B,"見つかりません"))</f>
      </c>
      <c r="E9" s="4" t="inlineStr">
        <is>
          <t>敵対</t>
        </is>
      </c>
      <c r="F9" s="4">
        <v>0</v>
      </c>
    </row>
    <row r="10">
      <c r="A10" s="4">
        <v>1</v>
      </c>
      <c r="B10" s="12" t="str">
        <f t="array" ref="B10">IF(A10:A327="","",_xlfn.XLOOKUP(A10:A327,'参照_勢力'!A:A,'参照_勢力'!B:B,"見つかりません"))</f>
      </c>
      <c r="C10" s="4">
        <v>203</v>
      </c>
      <c r="D10" s="12" t="str">
        <f t="array" ref="D10">IF(C10:C327="","",_xlfn.XLOOKUP(C10:C327,'参照_勢力'!A:A,'参照_勢力'!B:B,"見つかりません"))</f>
      </c>
      <c r="E10" s="4" t="inlineStr">
        <is>
          <t>同盟</t>
        </is>
      </c>
      <c r="F10" s="4">
        <v>100</v>
      </c>
    </row>
    <row r="11">
      <c r="A11" s="4">
        <v>1</v>
      </c>
      <c r="B11" s="12" t="str">
        <f t="array" ref="B11">IF(A11:A328="","",_xlfn.XLOOKUP(A11:A328,'参照_勢力'!A:A,'参照_勢力'!B:B,"見つかりません"))</f>
      </c>
      <c r="C11" s="4">
        <v>301</v>
      </c>
      <c r="D11" s="12" t="str">
        <f t="array" ref="D11">IF(C11:C328="","",_xlfn.XLOOKUP(C11:C328,'参照_勢力'!A:A,'参照_勢力'!B:B,"見つかりません"))</f>
      </c>
      <c r="E11" s="4" t="inlineStr">
        <is>
          <t>同盟</t>
        </is>
      </c>
      <c r="F11" s="4">
        <v>100</v>
      </c>
    </row>
    <row r="12">
      <c r="A12" s="4">
        <v>2</v>
      </c>
      <c r="B12" s="12" t="str">
        <f t="array" ref="B12">IF(A12:A329="","",_xlfn.XLOOKUP(A12:A329,'参照_勢力'!A:A,'参照_勢力'!B:B,"見つかりません"))</f>
      </c>
      <c r="C12" s="4">
        <v>3</v>
      </c>
      <c r="D12" s="12" t="str">
        <f t="array" ref="D12">IF(C12:C329="","",_xlfn.XLOOKUP(C12:C329,'参照_勢力'!A:A,'参照_勢力'!B:B,"見つかりません"))</f>
      </c>
      <c r="E12" s="4" t="inlineStr">
        <is>
          <t>敵対</t>
        </is>
      </c>
      <c r="F12" s="4">
        <v>0</v>
      </c>
    </row>
    <row r="13">
      <c r="A13" s="4">
        <v>2</v>
      </c>
      <c r="B13" s="12" t="str">
        <f t="array" ref="B13">IF(A13:A330="","",_xlfn.XLOOKUP(A13:A330,'参照_勢力'!A:A,'参照_勢力'!B:B,"見つかりません"))</f>
      </c>
      <c r="C13" s="4">
        <v>4</v>
      </c>
      <c r="D13" s="12" t="str">
        <f t="array" ref="D13">IF(C13:C330="","",_xlfn.XLOOKUP(C13:C330,'参照_勢力'!A:A,'参照_勢力'!B:B,"見つかりません"))</f>
      </c>
      <c r="E13" s="4" t="inlineStr">
        <is>
          <t>同盟</t>
        </is>
      </c>
      <c r="F13" s="4">
        <v>80</v>
      </c>
    </row>
    <row r="14">
      <c r="A14" s="4">
        <v>2</v>
      </c>
      <c r="B14" s="12" t="str">
        <f t="array" ref="B14">IF(A14:A331="","",_xlfn.XLOOKUP(A14:A331,'参照_勢力'!A:A,'参照_勢力'!B:B,"見つかりません"))</f>
      </c>
      <c r="C14" s="4">
        <v>7</v>
      </c>
      <c r="D14" s="12" t="str">
        <f t="array" ref="D14">IF(C14:C331="","",_xlfn.XLOOKUP(C14:C331,'参照_勢力'!A:A,'参照_勢力'!B:B,"見つかりません"))</f>
      </c>
      <c r="E14" s="4" t="inlineStr">
        <is>
          <t>友好</t>
        </is>
      </c>
      <c r="F14" s="4">
        <v>70</v>
      </c>
    </row>
    <row r="15">
      <c r="A15" s="4">
        <v>2</v>
      </c>
      <c r="B15" s="12" t="str">
        <f t="array" ref="B15">IF(A15:A332="","",_xlfn.XLOOKUP(A15:A332,'参照_勢力'!A:A,'参照_勢力'!B:B,"見つかりません"))</f>
      </c>
      <c r="C15" s="4">
        <v>8</v>
      </c>
      <c r="D15" s="12" t="str">
        <f t="array" ref="D15">IF(C15:C332="","",_xlfn.XLOOKUP(C15:C332,'参照_勢力'!A:A,'参照_勢力'!B:B,"見つかりません"))</f>
      </c>
      <c r="E15" s="4" t="inlineStr">
        <is>
          <t>友好</t>
        </is>
      </c>
      <c r="F15" s="4">
        <v>70</v>
      </c>
    </row>
    <row r="16">
      <c r="A16" s="4">
        <v>2</v>
      </c>
      <c r="B16" s="12" t="str">
        <f t="array" ref="B16">IF(A16:A333="","",_xlfn.XLOOKUP(A16:A333,'参照_勢力'!A:A,'参照_勢力'!B:B,"見つかりません"))</f>
      </c>
      <c r="C16" s="4">
        <v>10</v>
      </c>
      <c r="D16" s="12" t="str">
        <f t="array" ref="D16">IF(C16:C333="","",_xlfn.XLOOKUP(C16:C333,'参照_勢力'!A:A,'参照_勢力'!B:B,"見つかりません"))</f>
      </c>
      <c r="E16" s="4" t="inlineStr">
        <is>
          <t>同盟</t>
        </is>
      </c>
      <c r="F16" s="4">
        <v>80</v>
      </c>
    </row>
    <row r="17">
      <c r="A17" s="4">
        <v>2</v>
      </c>
      <c r="B17" s="12" t="str">
        <f t="array" ref="B17">IF(A17:A334="","",_xlfn.XLOOKUP(A17:A334,'参照_勢力'!A:A,'参照_勢力'!B:B,"見つかりません"))</f>
      </c>
      <c r="C17" s="4">
        <v>17</v>
      </c>
      <c r="D17" s="12" t="str">
        <f t="array" ref="D17">IF(C17:C334="","",_xlfn.XLOOKUP(C17:C334,'参照_勢力'!A:A,'参照_勢力'!B:B,"見つかりません"))</f>
      </c>
      <c r="E17" s="4" t="inlineStr">
        <is>
          <t>同盟</t>
        </is>
      </c>
      <c r="F17" s="4">
        <v>70</v>
      </c>
    </row>
    <row r="18">
      <c r="A18" s="4">
        <v>2</v>
      </c>
      <c r="B18" s="12" t="str">
        <f t="array" ref="B18">IF(A18:A335="","",_xlfn.XLOOKUP(A18:A335,'参照_勢力'!A:A,'参照_勢力'!B:B,"見つかりません"))</f>
      </c>
      <c r="C18" s="4">
        <v>19</v>
      </c>
      <c r="D18" s="12" t="str">
        <f t="array" ref="D18">IF(C18:C335="","",_xlfn.XLOOKUP(C18:C335,'参照_勢力'!A:A,'参照_勢力'!B:B,"見つかりません"))</f>
      </c>
      <c r="E18" s="4" t="inlineStr">
        <is>
          <t>敵対</t>
        </is>
      </c>
      <c r="F18" s="4">
        <v>0</v>
      </c>
    </row>
    <row r="19">
      <c r="A19" s="4">
        <v>2</v>
      </c>
      <c r="B19" s="12" t="str">
        <f t="array" ref="B19">IF(A19:A336="","",_xlfn.XLOOKUP(A19:A336,'参照_勢力'!A:A,'参照_勢力'!B:B,"見つかりません"))</f>
      </c>
      <c r="C19" s="4">
        <v>23</v>
      </c>
      <c r="D19" s="12" t="str">
        <f t="array" ref="D19">IF(C19:C336="","",_xlfn.XLOOKUP(C19:C336,'参照_勢力'!A:A,'参照_勢力'!B:B,"見つかりません"))</f>
      </c>
      <c r="E19" s="4" t="inlineStr">
        <is>
          <t>普通</t>
        </is>
      </c>
      <c r="F19" s="4">
        <v>40</v>
      </c>
    </row>
    <row r="20">
      <c r="A20" s="4">
        <v>2</v>
      </c>
      <c r="B20" s="12" t="str">
        <f t="array" ref="B20">IF(A20:A337="","",_xlfn.XLOOKUP(A20:A337,'参照_勢力'!A:A,'参照_勢力'!B:B,"見つかりません"))</f>
      </c>
      <c r="C20" s="4">
        <v>27</v>
      </c>
      <c r="D20" s="12" t="str">
        <f t="array" ref="D20">IF(C20:C337="","",_xlfn.XLOOKUP(C20:C337,'参照_勢力'!A:A,'参照_勢力'!B:B,"見つかりません"))</f>
      </c>
      <c r="E20" s="4" t="inlineStr">
        <is>
          <t>同盟</t>
        </is>
      </c>
      <c r="F20" s="4">
        <v>80</v>
      </c>
    </row>
    <row r="21" ht="15.75" customHeight="1">
      <c r="A21" s="4">
        <v>2</v>
      </c>
      <c r="B21" s="12" t="str">
        <f t="array" ref="B21">IF(A21:A338="","",_xlfn.XLOOKUP(A21:A338,'参照_勢力'!A:A,'参照_勢力'!B:B,"見つかりません"))</f>
      </c>
      <c r="C21" s="4">
        <v>28</v>
      </c>
      <c r="D21" s="12" t="str">
        <f t="array" ref="D21">IF(C21:C338="","",_xlfn.XLOOKUP(C21:C338,'参照_勢力'!A:A,'参照_勢力'!B:B,"見つかりません"))</f>
      </c>
      <c r="E21" s="4" t="inlineStr">
        <is>
          <t>友好</t>
        </is>
      </c>
      <c r="F21" s="4">
        <v>70</v>
      </c>
    </row>
    <row r="22" ht="15.75" customHeight="1">
      <c r="A22" s="4">
        <v>2</v>
      </c>
      <c r="B22" s="12" t="str">
        <f t="array" ref="B22">IF(A22:A339="","",_xlfn.XLOOKUP(A22:A339,'参照_勢力'!A:A,'参照_勢力'!B:B,"見つかりません"))</f>
      </c>
      <c r="C22" s="4">
        <v>32</v>
      </c>
      <c r="D22" s="12" t="str">
        <f t="array" ref="D22">IF(C22:C339="","",_xlfn.XLOOKUP(C22:C339,'参照_勢力'!A:A,'参照_勢力'!B:B,"見つかりません"))</f>
      </c>
      <c r="E22" s="4" t="inlineStr">
        <is>
          <t>同盟</t>
        </is>
      </c>
      <c r="F22" s="4">
        <v>80</v>
      </c>
    </row>
    <row r="23" ht="15.75" customHeight="1">
      <c r="A23" s="4">
        <v>2</v>
      </c>
      <c r="B23" s="12" t="str">
        <f t="array" ref="B23">IF(A23:A340="","",_xlfn.XLOOKUP(A23:A340,'参照_勢力'!A:A,'参照_勢力'!B:B,"見つかりません"))</f>
      </c>
      <c r="C23" s="4">
        <v>34</v>
      </c>
      <c r="D23" s="12" t="str">
        <f t="array" ref="D23">IF(C23:C340="","",_xlfn.XLOOKUP(C23:C340,'参照_勢力'!A:A,'参照_勢力'!B:B,"見つかりません"))</f>
      </c>
      <c r="E23" s="4" t="inlineStr">
        <is>
          <t>同盟</t>
        </is>
      </c>
      <c r="F23" s="4">
        <v>65</v>
      </c>
    </row>
    <row r="24" ht="15.75" customHeight="1">
      <c r="A24" s="4">
        <v>2</v>
      </c>
      <c r="B24" s="12" t="str">
        <f t="array" ref="B24">IF(A24:A341="","",_xlfn.XLOOKUP(A24:A341,'参照_勢力'!A:A,'参照_勢力'!B:B,"見つかりません"))</f>
      </c>
      <c r="C24" s="4">
        <v>35</v>
      </c>
      <c r="D24" s="12" t="str">
        <f t="array" ref="D24">IF(C24:C341="","",_xlfn.XLOOKUP(C24:C341,'参照_勢力'!A:A,'参照_勢力'!B:B,"見つかりません"))</f>
      </c>
      <c r="E24" s="4" t="inlineStr">
        <is>
          <t>同盟</t>
        </is>
      </c>
      <c r="F24" s="4">
        <v>80</v>
      </c>
    </row>
    <row r="25" ht="15.75" customHeight="1">
      <c r="A25" s="4">
        <v>2</v>
      </c>
      <c r="B25" s="12" t="str">
        <f t="array" ref="B25">IF(A25:A342="","",_xlfn.XLOOKUP(A25:A342,'参照_勢力'!A:A,'参照_勢力'!B:B,"見つかりません"))</f>
      </c>
      <c r="C25" s="4">
        <v>36</v>
      </c>
      <c r="D25" s="12" t="str">
        <f t="array" ref="D25">IF(C25:C342="","",_xlfn.XLOOKUP(C25:C342,'参照_勢力'!A:A,'参照_勢力'!B:B,"見つかりません"))</f>
      </c>
      <c r="E25" s="4" t="inlineStr">
        <is>
          <t>友好</t>
        </is>
      </c>
      <c r="F25" s="4">
        <v>70</v>
      </c>
    </row>
    <row r="26" ht="15.75" customHeight="1">
      <c r="A26" s="4">
        <v>2</v>
      </c>
      <c r="B26" s="12" t="str">
        <f t="array" ref="B26">IF(A26:A343="","",_xlfn.XLOOKUP(A26:A343,'参照_勢力'!A:A,'参照_勢力'!B:B,"見つかりません"))</f>
      </c>
      <c r="C26" s="4">
        <v>91</v>
      </c>
      <c r="D26" s="12" t="str">
        <f t="array" ref="D26">IF(C26:C343="","",_xlfn.XLOOKUP(C26:C343,'参照_勢力'!A:A,'参照_勢力'!B:B,"見つかりません"))</f>
      </c>
      <c r="E26" s="4" t="inlineStr">
        <is>
          <t>敵対</t>
        </is>
      </c>
      <c r="F26" s="4">
        <v>30</v>
      </c>
    </row>
    <row r="27" ht="15.75" customHeight="1">
      <c r="A27" s="4">
        <v>3</v>
      </c>
      <c r="B27" s="12" t="str">
        <f t="array" ref="B27">IF(A27:A344="","",_xlfn.XLOOKUP(A27:A344,'参照_勢力'!A:A,'参照_勢力'!B:B,"見つかりません"))</f>
      </c>
      <c r="C27" s="4">
        <v>2</v>
      </c>
      <c r="D27" s="12" t="str">
        <f t="array" ref="D27">IF(C27:C344="","",_xlfn.XLOOKUP(C27:C344,'参照_勢力'!A:A,'参照_勢力'!B:B,"見つかりません"))</f>
      </c>
      <c r="E27" s="4" t="inlineStr">
        <is>
          <t>敵対</t>
        </is>
      </c>
      <c r="F27" s="4">
        <v>0</v>
      </c>
    </row>
    <row r="28" ht="15.75" customHeight="1">
      <c r="A28" s="4">
        <v>3</v>
      </c>
      <c r="B28" s="12" t="str">
        <f t="array" ref="B28">IF(A28:A345="","",_xlfn.XLOOKUP(A28:A345,'参照_勢力'!A:A,'参照_勢力'!B:B,"見つかりません"))</f>
      </c>
      <c r="C28" s="4">
        <v>4</v>
      </c>
      <c r="D28" s="12" t="str">
        <f t="array" ref="D28">IF(C28:C345="","",_xlfn.XLOOKUP(C28:C345,'参照_勢力'!A:A,'参照_勢力'!B:B,"見つかりません"))</f>
      </c>
      <c r="E28" s="4" t="inlineStr">
        <is>
          <t>敵対</t>
        </is>
      </c>
      <c r="F28" s="4">
        <v>0</v>
      </c>
    </row>
    <row r="29" ht="15.75" customHeight="1">
      <c r="A29" s="4">
        <v>3</v>
      </c>
      <c r="B29" s="12" t="str">
        <f t="array" ref="B29">IF(A29:A346="","",_xlfn.XLOOKUP(A29:A346,'参照_勢力'!A:A,'参照_勢力'!B:B,"見つかりません"))</f>
      </c>
      <c r="C29" s="4">
        <v>7</v>
      </c>
      <c r="D29" s="12" t="str">
        <f t="array" ref="D29">IF(C29:C346="","",_xlfn.XLOOKUP(C29:C346,'参照_勢力'!A:A,'参照_勢力'!B:B,"見つかりません"))</f>
      </c>
      <c r="E29" s="4" t="inlineStr">
        <is>
          <t>友好</t>
        </is>
      </c>
      <c r="F29" s="4">
        <v>70</v>
      </c>
    </row>
    <row r="30" ht="15.75" customHeight="1">
      <c r="A30" s="4">
        <v>3</v>
      </c>
      <c r="B30" s="12" t="str">
        <f t="array" ref="B30">IF(A30:A347="","",_xlfn.XLOOKUP(A30:A347,'参照_勢力'!A:A,'参照_勢力'!B:B,"見つかりません"))</f>
      </c>
      <c r="C30" s="4">
        <v>12</v>
      </c>
      <c r="D30" s="12" t="str">
        <f t="array" ref="D30">IF(C30:C347="","",_xlfn.XLOOKUP(C30:C347,'参照_勢力'!A:A,'参照_勢力'!B:B,"見つかりません"))</f>
      </c>
      <c r="E30" s="4" t="inlineStr">
        <is>
          <t>支配</t>
        </is>
      </c>
      <c r="F30" s="4">
        <v>80</v>
      </c>
    </row>
    <row r="31" ht="15.75" customHeight="1">
      <c r="A31" s="4">
        <v>3</v>
      </c>
      <c r="B31" s="12" t="str">
        <f t="array" ref="B31">IF(A31:A348="","",_xlfn.XLOOKUP(A31:A348,'参照_勢力'!A:A,'参照_勢力'!B:B,"見つかりません"))</f>
      </c>
      <c r="C31" s="4">
        <v>17</v>
      </c>
      <c r="D31" s="12" t="str">
        <f t="array" ref="D31">IF(C31:C348="","",_xlfn.XLOOKUP(C31:C348,'参照_勢力'!A:A,'参照_勢力'!B:B,"見つかりません"))</f>
      </c>
      <c r="E31" s="4" t="inlineStr">
        <is>
          <t>友好</t>
        </is>
      </c>
      <c r="F31" s="4">
        <v>70</v>
      </c>
    </row>
    <row r="32" ht="15.75" customHeight="1">
      <c r="A32" s="4">
        <v>3</v>
      </c>
      <c r="B32" s="12" t="str">
        <f t="array" ref="B32">IF(A32:A349="","",_xlfn.XLOOKUP(A32:A349,'参照_勢力'!A:A,'参照_勢力'!B:B,"見つかりません"))</f>
      </c>
      <c r="C32" s="4">
        <v>19</v>
      </c>
      <c r="D32" s="12" t="str">
        <f t="array" ref="D32">IF(C32:C349="","",_xlfn.XLOOKUP(C32:C349,'参照_勢力'!A:A,'参照_勢力'!B:B,"見つかりません"))</f>
      </c>
      <c r="E32" s="4" t="inlineStr">
        <is>
          <t>同盟</t>
        </is>
      </c>
      <c r="F32" s="4">
        <v>90</v>
      </c>
    </row>
    <row r="33" ht="15.75" customHeight="1">
      <c r="A33" s="4">
        <v>3</v>
      </c>
      <c r="B33" s="12" t="str">
        <f t="array" ref="B33">IF(A33:A350="","",_xlfn.XLOOKUP(A33:A350,'参照_勢力'!A:A,'参照_勢力'!B:B,"見つかりません"))</f>
      </c>
      <c r="C33" s="4">
        <v>22</v>
      </c>
      <c r="D33" s="12" t="str">
        <f t="array" ref="D33">IF(C33:C350="","",_xlfn.XLOOKUP(C33:C350,'参照_勢力'!A:A,'参照_勢力'!B:B,"見つかりません"))</f>
      </c>
      <c r="E33" s="4" t="inlineStr">
        <is>
          <t>友好</t>
        </is>
      </c>
      <c r="F33" s="4">
        <v>80</v>
      </c>
    </row>
    <row r="34" ht="15.75" customHeight="1">
      <c r="A34" s="4">
        <v>3</v>
      </c>
      <c r="B34" s="12" t="str">
        <f t="array" ref="B34">IF(A34:A351="","",_xlfn.XLOOKUP(A34:A351,'参照_勢力'!A:A,'参照_勢力'!B:B,"見つかりません"))</f>
      </c>
      <c r="C34" s="4">
        <v>33</v>
      </c>
      <c r="D34" s="12" t="str">
        <f t="array" ref="D34">IF(C34:C351="","",_xlfn.XLOOKUP(C34:C351,'参照_勢力'!A:A,'参照_勢力'!B:B,"見つかりません"))</f>
      </c>
      <c r="E34" s="4" t="inlineStr">
        <is>
          <t>同盟</t>
        </is>
      </c>
      <c r="F34" s="4">
        <v>70</v>
      </c>
    </row>
    <row r="35" ht="15.75" customHeight="1">
      <c r="A35" s="4">
        <v>3</v>
      </c>
      <c r="B35" s="12" t="str">
        <f t="array" ref="B35">IF(A35:A352="","",_xlfn.XLOOKUP(A35:A352,'参照_勢力'!A:A,'参照_勢力'!B:B,"見つかりません"))</f>
      </c>
      <c r="C35" s="4">
        <v>301</v>
      </c>
      <c r="D35" s="12" t="str">
        <f t="array" ref="D35">IF(C35:C352="","",_xlfn.XLOOKUP(C35:C352,'参照_勢力'!A:A,'参照_勢力'!B:B,"見つかりません"))</f>
      </c>
      <c r="E35" s="4" t="inlineStr">
        <is>
          <t>友好</t>
        </is>
      </c>
      <c r="F35" s="4">
        <v>60</v>
      </c>
    </row>
    <row r="36" ht="15.75" customHeight="1">
      <c r="A36" s="4">
        <v>4</v>
      </c>
      <c r="B36" s="12" t="str">
        <f t="array" ref="B36">IF(A36:A353="","",_xlfn.XLOOKUP(A36:A353,'参照_勢力'!A:A,'参照_勢力'!B:B,"見つかりません"))</f>
      </c>
      <c r="C36" s="4">
        <v>2</v>
      </c>
      <c r="D36" s="12" t="str">
        <f t="array" ref="D36">IF(C36:C353="","",_xlfn.XLOOKUP(C36:C353,'参照_勢力'!A:A,'参照_勢力'!B:B,"見つかりません"))</f>
      </c>
      <c r="E36" s="4" t="inlineStr">
        <is>
          <t>同盟</t>
        </is>
      </c>
      <c r="F36" s="4">
        <v>80</v>
      </c>
    </row>
    <row r="37" ht="15.75" customHeight="1">
      <c r="A37" s="4">
        <v>4</v>
      </c>
      <c r="B37" s="12" t="str">
        <f t="array" ref="B37">IF(A37:A354="","",_xlfn.XLOOKUP(A37:A354,'参照_勢力'!A:A,'参照_勢力'!B:B,"見つかりません"))</f>
      </c>
      <c r="C37" s="4">
        <v>3</v>
      </c>
      <c r="D37" s="12" t="str">
        <f t="array" ref="D37">IF(C37:C354="","",_xlfn.XLOOKUP(C37:C354,'参照_勢力'!A:A,'参照_勢力'!B:B,"見つかりません"))</f>
      </c>
      <c r="E37" s="4" t="inlineStr">
        <is>
          <t>敵対</t>
        </is>
      </c>
      <c r="F37" s="4">
        <v>0</v>
      </c>
    </row>
    <row r="38" ht="15.75" customHeight="1">
      <c r="A38" s="4">
        <v>4</v>
      </c>
      <c r="B38" s="12" t="str">
        <f t="array" ref="B38">IF(A38:A355="","",_xlfn.XLOOKUP(A38:A355,'参照_勢力'!A:A,'参照_勢力'!B:B,"見つかりません"))</f>
      </c>
      <c r="C38" s="4">
        <v>17</v>
      </c>
      <c r="D38" s="12" t="str">
        <f t="array" ref="D38">IF(C38:C355="","",_xlfn.XLOOKUP(C38:C355,'参照_勢力'!A:A,'参照_勢力'!B:B,"見つかりません"))</f>
      </c>
      <c r="E38" s="4" t="inlineStr">
        <is>
          <t>友好</t>
        </is>
      </c>
      <c r="F38" s="4">
        <v>70</v>
      </c>
    </row>
    <row r="39" ht="15.75" customHeight="1">
      <c r="A39" s="4">
        <v>4</v>
      </c>
      <c r="B39" s="12" t="str">
        <f t="array" ref="B39">IF(A39:A356="","",_xlfn.XLOOKUP(A39:A356,'参照_勢力'!A:A,'参照_勢力'!B:B,"見つかりません"))</f>
      </c>
      <c r="C39" s="4">
        <v>28</v>
      </c>
      <c r="D39" s="12" t="str">
        <f t="array" ref="D39">IF(C39:C356="","",_xlfn.XLOOKUP(C39:C356,'参照_勢力'!A:A,'参照_勢力'!B:B,"見つかりません"))</f>
      </c>
      <c r="E39" s="4" t="inlineStr">
        <is>
          <t>敵対</t>
        </is>
      </c>
      <c r="F39" s="4">
        <v>30</v>
      </c>
    </row>
    <row r="40" ht="15.75" customHeight="1">
      <c r="A40" s="4">
        <v>4</v>
      </c>
      <c r="B40" s="12" t="str">
        <f t="array" ref="B40">IF(A40:A357="","",_xlfn.XLOOKUP(A40:A357,'参照_勢力'!A:A,'参照_勢力'!B:B,"見つかりません"))</f>
      </c>
      <c r="C40" s="4">
        <v>29</v>
      </c>
      <c r="D40" s="12" t="str">
        <f t="array" ref="D40">IF(C40:C357="","",_xlfn.XLOOKUP(C40:C357,'参照_勢力'!A:A,'参照_勢力'!B:B,"見つかりません"))</f>
      </c>
      <c r="E40" s="4" t="inlineStr">
        <is>
          <t>同盟</t>
        </is>
      </c>
      <c r="F40" s="4">
        <v>30</v>
      </c>
    </row>
    <row r="41" ht="15.75" customHeight="1">
      <c r="A41" s="4">
        <v>4</v>
      </c>
      <c r="B41" s="12" t="str">
        <f t="array" ref="B41">IF(A41:A358="","",_xlfn.XLOOKUP(A41:A358,'参照_勢力'!A:A,'参照_勢力'!B:B,"見つかりません"))</f>
      </c>
      <c r="C41" s="4">
        <v>33</v>
      </c>
      <c r="D41" s="12" t="str">
        <f t="array" ref="D41">IF(C41:C358="","",_xlfn.XLOOKUP(C41:C358,'参照_勢力'!A:A,'参照_勢力'!B:B,"見つかりません"))</f>
      </c>
      <c r="E41" s="4" t="inlineStr">
        <is>
          <t>同盟</t>
        </is>
      </c>
      <c r="F41" s="4">
        <v>70</v>
      </c>
    </row>
    <row r="42" ht="15.75" customHeight="1">
      <c r="A42" s="4">
        <v>4</v>
      </c>
      <c r="B42" s="12" t="str">
        <f t="array" ref="B42">IF(A42:A359="","",_xlfn.XLOOKUP(A42:A359,'参照_勢力'!A:A,'参照_勢力'!B:B,"見つかりません"))</f>
      </c>
      <c r="C42" s="4">
        <v>36</v>
      </c>
      <c r="D42" s="12" t="str">
        <f t="array" ref="D42">IF(C42:C359="","",_xlfn.XLOOKUP(C42:C359,'参照_勢力'!A:A,'参照_勢力'!B:B,"見つかりません"))</f>
      </c>
      <c r="E42" s="4" t="inlineStr">
        <is>
          <t>敵対</t>
        </is>
      </c>
      <c r="F42" s="4">
        <v>30</v>
      </c>
    </row>
    <row r="43" ht="15.75" customHeight="1">
      <c r="A43" s="4">
        <v>4</v>
      </c>
      <c r="B43" s="12" t="str">
        <f t="array" ref="B43">IF(A43:A360="","",_xlfn.XLOOKUP(A43:A360,'参照_勢力'!A:A,'参照_勢力'!B:B,"見つかりません"))</f>
      </c>
      <c r="C43" s="4">
        <v>91</v>
      </c>
      <c r="D43" s="12" t="str">
        <f t="array" ref="D43">IF(C43:C360="","",_xlfn.XLOOKUP(C43:C360,'参照_勢力'!A:A,'参照_勢力'!B:B,"見つかりません"))</f>
      </c>
      <c r="E43" s="4" t="inlineStr">
        <is>
          <t>婚姻</t>
        </is>
      </c>
      <c r="F43" s="4">
        <v>100</v>
      </c>
    </row>
    <row r="44" ht="15.75" customHeight="1">
      <c r="A44" s="4">
        <v>4</v>
      </c>
      <c r="B44" s="12" t="str">
        <f t="array" ref="B44">IF(A44:A361="","",_xlfn.XLOOKUP(A44:A361,'参照_勢力'!A:A,'参照_勢力'!B:B,"見つかりません"))</f>
      </c>
      <c r="C44" s="4">
        <v>92</v>
      </c>
      <c r="D44" s="12" t="str">
        <f t="array" ref="D44">IF(C44:C361="","",_xlfn.XLOOKUP(C44:C361,'参照_勢力'!A:A,'参照_勢力'!B:B,"見つかりません"))</f>
      </c>
      <c r="E44" s="4" t="inlineStr">
        <is>
          <t>支配</t>
        </is>
      </c>
      <c r="F44" s="4">
        <v>100</v>
      </c>
    </row>
    <row r="45" ht="15.75" customHeight="1">
      <c r="A45" s="4">
        <v>7</v>
      </c>
      <c r="B45" s="12" t="str">
        <f t="array" ref="B45">IF(A45:A362="","",_xlfn.XLOOKUP(A45:A362,'参照_勢力'!A:A,'参照_勢力'!B:B,"見つかりません"))</f>
      </c>
      <c r="C45" s="4">
        <v>2</v>
      </c>
      <c r="D45" s="12" t="str">
        <f t="array" ref="D45">IF(C45:C362="","",_xlfn.XLOOKUP(C45:C362,'参照_勢力'!A:A,'参照_勢力'!B:B,"見つかりません"))</f>
      </c>
      <c r="E45" s="4" t="inlineStr">
        <is>
          <t>友好</t>
        </is>
      </c>
      <c r="F45" s="4">
        <v>70</v>
      </c>
    </row>
    <row r="46" ht="15.75" customHeight="1">
      <c r="A46" s="4">
        <v>7</v>
      </c>
      <c r="B46" s="12" t="str">
        <f t="array" ref="B46">IF(A46:A363="","",_xlfn.XLOOKUP(A46:A363,'参照_勢力'!A:A,'参照_勢力'!B:B,"見つかりません"))</f>
      </c>
      <c r="C46" s="4">
        <v>3</v>
      </c>
      <c r="D46" s="12" t="str">
        <f t="array" ref="D46">IF(C46:C363="","",_xlfn.XLOOKUP(C46:C363,'参照_勢力'!A:A,'参照_勢力'!B:B,"見つかりません"))</f>
      </c>
      <c r="E46" s="4" t="inlineStr">
        <is>
          <t>友好</t>
        </is>
      </c>
      <c r="F46" s="4">
        <v>70</v>
      </c>
    </row>
    <row r="47" ht="15.75" customHeight="1">
      <c r="A47" s="4">
        <v>7</v>
      </c>
      <c r="B47" s="12" t="str">
        <f t="array" ref="B47">IF(A47:A364="","",_xlfn.XLOOKUP(A47:A364,'参照_勢力'!A:A,'参照_勢力'!B:B,"見つかりません"))</f>
      </c>
      <c r="C47" s="4">
        <v>15</v>
      </c>
      <c r="D47" s="12" t="str">
        <f t="array" ref="D47">IF(C47:C364="","",_xlfn.XLOOKUP(C47:C364,'参照_勢力'!A:A,'参照_勢力'!B:B,"見つかりません"))</f>
      </c>
      <c r="E47" s="4" t="inlineStr">
        <is>
          <t>同盟</t>
        </is>
      </c>
      <c r="F47" s="4">
        <v>100</v>
      </c>
    </row>
    <row r="48" ht="15.75" customHeight="1">
      <c r="A48" s="4">
        <v>7</v>
      </c>
      <c r="B48" s="12" t="str">
        <f t="array" ref="B48">IF(A48:A365="","",_xlfn.XLOOKUP(A48:A365,'参照_勢力'!A:A,'参照_勢力'!B:B,"見つかりません"))</f>
      </c>
      <c r="C48" s="4">
        <v>17</v>
      </c>
      <c r="D48" s="12" t="str">
        <f t="array" ref="D48">IF(C48:C365="","",_xlfn.XLOOKUP(C48:C365,'参照_勢力'!A:A,'参照_勢力'!B:B,"見つかりません"))</f>
      </c>
      <c r="E48" s="4" t="inlineStr">
        <is>
          <t>友好</t>
        </is>
      </c>
      <c r="F48" s="4">
        <v>100</v>
      </c>
    </row>
    <row r="49" ht="15.75" customHeight="1">
      <c r="A49" s="4">
        <v>7</v>
      </c>
      <c r="B49" s="12" t="str">
        <f t="array" ref="B49">IF(A49:A366="","",_xlfn.XLOOKUP(A49:A366,'参照_勢力'!A:A,'参照_勢力'!B:B,"見つかりません"))</f>
      </c>
      <c r="C49" s="4">
        <v>18</v>
      </c>
      <c r="D49" s="12" t="str">
        <f t="array" ref="D49">IF(C49:C366="","",_xlfn.XLOOKUP(C49:C366,'参照_勢力'!A:A,'参照_勢力'!B:B,"見つかりません"))</f>
      </c>
      <c r="E49" s="4" t="inlineStr">
        <is>
          <t>友好</t>
        </is>
      </c>
      <c r="F49" s="4">
        <v>65</v>
      </c>
    </row>
    <row r="50" ht="15.75" customHeight="1">
      <c r="A50" s="4">
        <v>7</v>
      </c>
      <c r="B50" s="12" t="str">
        <f t="array" ref="B50">IF(A50:A367="","",_xlfn.XLOOKUP(A50:A367,'参照_勢力'!A:A,'参照_勢力'!B:B,"見つかりません"))</f>
      </c>
      <c r="C50" s="4">
        <v>19</v>
      </c>
      <c r="D50" s="12" t="str">
        <f t="array" ref="D50">IF(C50:C367="","",_xlfn.XLOOKUP(C50:C367,'参照_勢力'!A:A,'参照_勢力'!B:B,"見つかりません"))</f>
      </c>
      <c r="E50" s="4" t="inlineStr">
        <is>
          <t>同盟</t>
        </is>
      </c>
      <c r="F50" s="4">
        <v>80</v>
      </c>
    </row>
    <row r="51" ht="15.75" customHeight="1">
      <c r="A51" s="4">
        <v>7</v>
      </c>
      <c r="B51" s="12" t="str">
        <f t="array" ref="B51">IF(A51:A368="","",_xlfn.XLOOKUP(A51:A368,'参照_勢力'!A:A,'参照_勢力'!B:B,"見つかりません"))</f>
      </c>
      <c r="C51" s="4">
        <v>26</v>
      </c>
      <c r="D51" s="12" t="str">
        <f t="array" ref="D51">IF(C51:C368="","",_xlfn.XLOOKUP(C51:C368,'参照_勢力'!A:A,'参照_勢力'!B:B,"見つかりません"))</f>
      </c>
      <c r="E51" s="4" t="inlineStr">
        <is>
          <t>友好</t>
        </is>
      </c>
      <c r="F51" s="4">
        <v>100</v>
      </c>
    </row>
    <row r="52" ht="15.75" customHeight="1">
      <c r="A52" s="4">
        <v>7</v>
      </c>
      <c r="B52" s="12" t="str">
        <f t="array" ref="B52">IF(A52:A369="","",_xlfn.XLOOKUP(A52:A369,'参照_勢力'!A:A,'参照_勢力'!B:B,"見つかりません"))</f>
      </c>
      <c r="C52" s="4">
        <v>73</v>
      </c>
      <c r="D52" s="12" t="str">
        <f t="array" ref="D52">IF(C52:C369="","",_xlfn.XLOOKUP(C52:C369,'参照_勢力'!A:A,'参照_勢力'!B:B,"見つかりません"))</f>
      </c>
      <c r="E52" s="4" t="inlineStr">
        <is>
          <t>友好</t>
        </is>
      </c>
      <c r="F52" s="4">
        <v>100</v>
      </c>
    </row>
    <row r="53" ht="15.75" customHeight="1">
      <c r="A53" s="4">
        <v>7</v>
      </c>
      <c r="B53" s="12" t="str">
        <f t="array" ref="B53">IF(A53:A370="","",_xlfn.XLOOKUP(A53:A370,'参照_勢力'!A:A,'参照_勢力'!B:B,"見つかりません"))</f>
      </c>
      <c r="C53" s="4">
        <v>87</v>
      </c>
      <c r="D53" s="12" t="str">
        <f t="array" ref="D53">IF(C53:C370="","",_xlfn.XLOOKUP(C53:C370,'参照_勢力'!A:A,'参照_勢力'!B:B,"見つかりません"))</f>
      </c>
      <c r="E53" s="4" t="inlineStr">
        <is>
          <t>友好</t>
        </is>
      </c>
      <c r="F53" s="4">
        <v>70</v>
      </c>
    </row>
    <row r="54" ht="15.75" customHeight="1">
      <c r="A54" s="4">
        <v>8</v>
      </c>
      <c r="B54" s="12" t="str">
        <f t="array" ref="B54">IF(A54:A371="","",_xlfn.XLOOKUP(A54:A371,'参照_勢力'!A:A,'参照_勢力'!B:B,"見つかりません"))</f>
      </c>
      <c r="C54" s="4">
        <v>2</v>
      </c>
      <c r="D54" s="12" t="str">
        <f t="array" ref="D54">IF(C54:C371="","",_xlfn.XLOOKUP(C54:C371,'参照_勢力'!A:A,'参照_勢力'!B:B,"見つかりません"))</f>
      </c>
      <c r="E54" s="4" t="inlineStr">
        <is>
          <t>友好</t>
        </is>
      </c>
      <c r="F54" s="4">
        <v>70</v>
      </c>
    </row>
    <row r="55" ht="15.75" customHeight="1">
      <c r="A55" s="4">
        <v>8</v>
      </c>
      <c r="B55" s="12" t="str">
        <f t="array" ref="B55">IF(A55:A372="","",_xlfn.XLOOKUP(A55:A372,'参照_勢力'!A:A,'参照_勢力'!B:B,"見つかりません"))</f>
      </c>
      <c r="C55" s="4">
        <v>17</v>
      </c>
      <c r="D55" s="12" t="str">
        <f t="array" ref="D55">IF(C55:C372="","",_xlfn.XLOOKUP(C55:C372,'参照_勢力'!A:A,'参照_勢力'!B:B,"見つかりません"))</f>
      </c>
      <c r="E55" s="4" t="inlineStr">
        <is>
          <t>友好</t>
        </is>
      </c>
      <c r="F55" s="4">
        <v>70</v>
      </c>
    </row>
    <row r="56" ht="15.75" customHeight="1">
      <c r="A56" s="4">
        <v>10</v>
      </c>
      <c r="B56" s="12" t="str">
        <f t="array" ref="B56">IF(A56:A373="","",_xlfn.XLOOKUP(A56:A373,'参照_勢力'!A:A,'参照_勢力'!B:B,"見つかりません"))</f>
      </c>
      <c r="C56" s="4">
        <v>2</v>
      </c>
      <c r="D56" s="12" t="str">
        <f t="array" ref="D56">IF(C56:C373="","",_xlfn.XLOOKUP(C56:C373,'参照_勢力'!A:A,'参照_勢力'!B:B,"見つかりません"))</f>
      </c>
      <c r="E56" s="4" t="inlineStr">
        <is>
          <t>同盟</t>
        </is>
      </c>
      <c r="F56" s="4">
        <v>80</v>
      </c>
    </row>
    <row r="57" ht="15.75" customHeight="1">
      <c r="A57" s="4">
        <v>10</v>
      </c>
      <c r="B57" s="12" t="str">
        <f t="array" ref="B57">IF(A57:A374="","",_xlfn.XLOOKUP(A57:A374,'参照_勢力'!A:A,'参照_勢力'!B:B,"見つかりません"))</f>
      </c>
      <c r="C57" s="4">
        <v>22</v>
      </c>
      <c r="D57" s="12" t="str">
        <f t="array" ref="D57">IF(C57:C374="","",_xlfn.XLOOKUP(C57:C374,'参照_勢力'!A:A,'参照_勢力'!B:B,"見つかりません"))</f>
      </c>
      <c r="E57" s="4" t="inlineStr">
        <is>
          <t>敵対</t>
        </is>
      </c>
      <c r="F57" s="4">
        <v>30</v>
      </c>
    </row>
    <row r="58" ht="15.75" customHeight="1">
      <c r="A58" s="4">
        <v>10</v>
      </c>
      <c r="B58" s="12" t="str">
        <f t="array" ref="B58">IF(A58:A375="","",_xlfn.XLOOKUP(A58:A375,'参照_勢力'!A:A,'参照_勢力'!B:B,"見つかりません"))</f>
      </c>
      <c r="C58" s="4">
        <v>23</v>
      </c>
      <c r="D58" s="12" t="str">
        <f t="array" ref="D58">IF(C58:C375="","",_xlfn.XLOOKUP(C58:C375,'参照_勢力'!A:A,'参照_勢力'!B:B,"見つかりません"))</f>
      </c>
      <c r="E58" s="4" t="inlineStr">
        <is>
          <t>普通</t>
        </is>
      </c>
      <c r="F58" s="4">
        <v>40</v>
      </c>
    </row>
    <row r="59" ht="15.75" customHeight="1">
      <c r="A59" s="4">
        <v>12</v>
      </c>
      <c r="B59" s="12" t="str">
        <f t="array" ref="B59">IF(A59:A376="","",_xlfn.XLOOKUP(A59:A376,'参照_勢力'!A:A,'参照_勢力'!B:B,"見つかりません"))</f>
      </c>
      <c r="C59" s="4">
        <v>1</v>
      </c>
      <c r="D59" s="12" t="str">
        <f t="array" ref="D59">IF(C59:C376="","",_xlfn.XLOOKUP(C59:C376,'参照_勢力'!A:A,'参照_勢力'!B:B,"見つかりません"))</f>
      </c>
      <c r="E59" s="4" t="inlineStr">
        <is>
          <t>従属</t>
        </is>
      </c>
      <c r="F59" s="4">
        <v>80</v>
      </c>
    </row>
    <row r="60" ht="15.75" customHeight="1">
      <c r="A60" s="4">
        <v>12</v>
      </c>
      <c r="B60" s="12" t="str">
        <f t="array" ref="B60">IF(A60:A377="","",_xlfn.XLOOKUP(A60:A377,'参照_勢力'!A:A,'参照_勢力'!B:B,"見つかりません"))</f>
      </c>
      <c r="C60" s="4">
        <v>3</v>
      </c>
      <c r="D60" s="12" t="str">
        <f t="array" ref="D60">IF(C60:C377="","",_xlfn.XLOOKUP(C60:C377,'参照_勢力'!A:A,'参照_勢力'!B:B,"見つかりません"))</f>
      </c>
      <c r="E60" s="4" t="inlineStr">
        <is>
          <t>従属</t>
        </is>
      </c>
      <c r="F60" s="4">
        <v>80</v>
      </c>
    </row>
    <row r="61" ht="15.75" customHeight="1">
      <c r="A61" s="4">
        <v>13</v>
      </c>
      <c r="B61" s="12" t="str">
        <f t="array" ref="B61">IF(A61:A378="","",_xlfn.XLOOKUP(A61:A378,'参照_勢力'!A:A,'参照_勢力'!B:B,"見つかりません"))</f>
      </c>
      <c r="C61" s="4">
        <v>17</v>
      </c>
      <c r="D61" s="12" t="str">
        <f t="array" ref="D61">IF(C61:C378="","",_xlfn.XLOOKUP(C61:C378,'参照_勢力'!A:A,'参照_勢力'!B:B,"見つかりません"))</f>
      </c>
      <c r="E61" s="4" t="inlineStr">
        <is>
          <t>同盟</t>
        </is>
      </c>
      <c r="F61" s="4">
        <v>70</v>
      </c>
    </row>
    <row r="62" ht="15.75" customHeight="1">
      <c r="A62" s="4">
        <v>14</v>
      </c>
      <c r="B62" s="12" t="str">
        <f t="array" ref="B62">IF(A62:A379="","",_xlfn.XLOOKUP(A62:A379,'参照_勢力'!A:A,'参照_勢力'!B:B,"見つかりません"))</f>
      </c>
      <c r="C62" s="4">
        <v>17</v>
      </c>
      <c r="D62" s="12" t="str">
        <f t="array" ref="D62">IF(C62:C379="","",_xlfn.XLOOKUP(C62:C379,'参照_勢力'!A:A,'参照_勢力'!B:B,"見つかりません"))</f>
      </c>
      <c r="E62" s="4" t="inlineStr">
        <is>
          <t>友好</t>
        </is>
      </c>
      <c r="F62" s="4">
        <v>70</v>
      </c>
    </row>
    <row r="63" ht="15.75" customHeight="1">
      <c r="A63" s="4">
        <v>14</v>
      </c>
      <c r="B63" s="12" t="str">
        <f t="array" ref="B63">IF(A63:A380="","",_xlfn.XLOOKUP(A63:A380,'参照_勢力'!A:A,'参照_勢力'!B:B,"見つかりません"))</f>
      </c>
      <c r="C63" s="4">
        <v>20</v>
      </c>
      <c r="D63" s="12" t="str">
        <f t="array" ref="D63">IF(C63:C380="","",_xlfn.XLOOKUP(C63:C380,'参照_勢力'!A:A,'参照_勢力'!B:B,"見つかりません"))</f>
      </c>
      <c r="E63" s="4" t="inlineStr">
        <is>
          <t>敵対</t>
        </is>
      </c>
      <c r="F63" s="4">
        <v>30</v>
      </c>
    </row>
    <row r="64" ht="15.75" customHeight="1">
      <c r="A64" s="4">
        <v>14</v>
      </c>
      <c r="B64" s="12" t="str">
        <f t="array" ref="B64">IF(A64:A381="","",_xlfn.XLOOKUP(A64:A381,'参照_勢力'!A:A,'参照_勢力'!B:B,"見つかりません"))</f>
      </c>
      <c r="C64" s="4">
        <v>66</v>
      </c>
      <c r="D64" s="12" t="str">
        <f t="array" ref="D64">IF(C64:C381="","",_xlfn.XLOOKUP(C64:C381,'参照_勢力'!A:A,'参照_勢力'!B:B,"見つかりません"))</f>
      </c>
      <c r="E64" s="4" t="inlineStr">
        <is>
          <t>同盟</t>
        </is>
      </c>
      <c r="F64" s="4">
        <v>100</v>
      </c>
    </row>
    <row r="65" ht="15.75" customHeight="1">
      <c r="A65" s="4">
        <v>15</v>
      </c>
      <c r="B65" s="12" t="str">
        <f t="array" ref="B65">IF(A65:A382="","",_xlfn.XLOOKUP(A65:A382,'参照_勢力'!A:A,'参照_勢力'!B:B,"見つかりません"))</f>
      </c>
      <c r="C65" s="4">
        <v>7</v>
      </c>
      <c r="D65" s="12" t="str">
        <f t="array" ref="D65">IF(C65:C382="","",_xlfn.XLOOKUP(C65:C382,'参照_勢力'!A:A,'参照_勢力'!B:B,"見つかりません"))</f>
      </c>
      <c r="E65" s="4" t="inlineStr">
        <is>
          <t>同盟</t>
        </is>
      </c>
      <c r="F65" s="4">
        <v>100</v>
      </c>
    </row>
    <row r="66" ht="15.75" customHeight="1">
      <c r="A66" s="4">
        <v>15</v>
      </c>
      <c r="B66" s="12" t="str">
        <f t="array" ref="B66">IF(A66:A383="","",_xlfn.XLOOKUP(A66:A383,'参照_勢力'!A:A,'参照_勢力'!B:B,"見つかりません"))</f>
      </c>
      <c r="C66" s="4">
        <v>17</v>
      </c>
      <c r="D66" s="12" t="str">
        <f t="array" ref="D66">IF(C66:C383="","",_xlfn.XLOOKUP(C66:C383,'参照_勢力'!A:A,'参照_勢力'!B:B,"見つかりません"))</f>
      </c>
      <c r="E66" s="4" t="inlineStr">
        <is>
          <t>普通</t>
        </is>
      </c>
      <c r="F66" s="4">
        <v>50</v>
      </c>
    </row>
    <row r="67" ht="15.75" customHeight="1">
      <c r="A67" s="4">
        <v>15</v>
      </c>
      <c r="B67" s="12" t="str">
        <f t="array" ref="B67">IF(A67:A384="","",_xlfn.XLOOKUP(A67:A384,'参照_勢力'!A:A,'参照_勢力'!B:B,"見つかりません"))</f>
      </c>
      <c r="C67" s="4">
        <v>18</v>
      </c>
      <c r="D67" s="12" t="str">
        <f t="array" ref="D67">IF(C67:C384="","",_xlfn.XLOOKUP(C67:C384,'参照_勢力'!A:A,'参照_勢力'!B:B,"見つかりません"))</f>
      </c>
      <c r="E67" s="4" t="inlineStr">
        <is>
          <t>友好</t>
        </is>
      </c>
      <c r="F67" s="4">
        <v>70</v>
      </c>
    </row>
    <row r="68" ht="15.75" customHeight="1">
      <c r="A68" s="4">
        <v>15</v>
      </c>
      <c r="B68" s="12" t="str">
        <f t="array" ref="B68">IF(A68:A385="","",_xlfn.XLOOKUP(A68:A385,'参照_勢力'!A:A,'参照_勢力'!B:B,"見つかりません"))</f>
      </c>
      <c r="C68" s="4">
        <v>19</v>
      </c>
      <c r="D68" s="12" t="str">
        <f t="array" ref="D68">IF(C68:C385="","",_xlfn.XLOOKUP(C68:C385,'参照_勢力'!A:A,'参照_勢力'!B:B,"見つかりません"))</f>
      </c>
      <c r="E68" s="4" t="inlineStr">
        <is>
          <t>友好</t>
        </is>
      </c>
      <c r="F68" s="4">
        <v>70</v>
      </c>
    </row>
    <row r="69" ht="15.75" customHeight="1">
      <c r="A69" s="4">
        <v>16</v>
      </c>
      <c r="B69" s="12" t="str">
        <f t="array" ref="B69">IF(A69:A386="","",_xlfn.XLOOKUP(A69:A386,'参照_勢力'!A:A,'参照_勢力'!B:B,"見つかりません"))</f>
      </c>
      <c r="C69" s="4">
        <v>20</v>
      </c>
      <c r="D69" s="12" t="str">
        <f t="array" ref="D69">IF(C69:C386="","",_xlfn.XLOOKUP(C69:C386,'参照_勢力'!A:A,'参照_勢力'!B:B,"見つかりません"))</f>
      </c>
      <c r="E69" s="4" t="inlineStr">
        <is>
          <t>敵対</t>
        </is>
      </c>
      <c r="F69" s="4">
        <v>30</v>
      </c>
    </row>
    <row r="70" ht="15.75" customHeight="1">
      <c r="A70" s="4">
        <v>16</v>
      </c>
      <c r="B70" s="12" t="str">
        <f t="array" ref="B70">IF(A70:A387="","",_xlfn.XLOOKUP(A70:A387,'参照_勢力'!A:A,'参照_勢力'!B:B,"見つかりません"))</f>
      </c>
      <c r="C70" s="4">
        <v>40</v>
      </c>
      <c r="D70" s="12" t="str">
        <f t="array" ref="D70">IF(C70:C387="","",_xlfn.XLOOKUP(C70:C387,'参照_勢力'!A:A,'参照_勢力'!B:B,"見つかりません"))</f>
      </c>
      <c r="E70" s="4" t="inlineStr">
        <is>
          <t>敵対</t>
        </is>
      </c>
      <c r="F70" s="4">
        <v>30</v>
      </c>
    </row>
    <row r="71" ht="15.75" customHeight="1">
      <c r="A71" s="4">
        <v>17</v>
      </c>
      <c r="B71" s="12" t="str">
        <f t="array" ref="B71">IF(A71:A388="","",_xlfn.XLOOKUP(A71:A388,'参照_勢力'!A:A,'参照_勢力'!B:B,"見つかりません"))</f>
      </c>
      <c r="C71" s="4">
        <v>1</v>
      </c>
      <c r="D71" s="12" t="str">
        <f t="array" ref="D71">IF(C71:C388="","",_xlfn.XLOOKUP(C71:C388,'参照_勢力'!A:A,'参照_勢力'!B:B,"見つかりません"))</f>
      </c>
      <c r="E71" s="4" t="inlineStr">
        <is>
          <t>同盟</t>
        </is>
      </c>
      <c r="F71" s="4">
        <v>100</v>
      </c>
    </row>
    <row r="72" ht="15.75" customHeight="1">
      <c r="A72" s="4">
        <v>17</v>
      </c>
      <c r="B72" s="12" t="str">
        <f t="array" ref="B72">IF(A72:A389="","",_xlfn.XLOOKUP(A72:A389,'参照_勢力'!A:A,'参照_勢力'!B:B,"見つかりません"))</f>
      </c>
      <c r="C72" s="4">
        <v>2</v>
      </c>
      <c r="D72" s="12" t="str">
        <f t="array" ref="D72">IF(C72:C389="","",_xlfn.XLOOKUP(C72:C389,'参照_勢力'!A:A,'参照_勢力'!B:B,"見つかりません"))</f>
      </c>
      <c r="E72" s="4" t="inlineStr">
        <is>
          <t>同盟</t>
        </is>
      </c>
      <c r="F72" s="4">
        <v>70</v>
      </c>
    </row>
    <row r="73" ht="15.75" customHeight="1">
      <c r="A73" s="4">
        <v>17</v>
      </c>
      <c r="B73" s="12" t="str">
        <f t="array" ref="B73">IF(A73:A390="","",_xlfn.XLOOKUP(A73:A390,'参照_勢力'!A:A,'参照_勢力'!B:B,"見つかりません"))</f>
      </c>
      <c r="C73" s="4">
        <v>3</v>
      </c>
      <c r="D73" s="12" t="str">
        <f t="array" ref="D73">IF(C73:C390="","",_xlfn.XLOOKUP(C73:C390,'参照_勢力'!A:A,'参照_勢力'!B:B,"見つかりません"))</f>
      </c>
      <c r="E73" s="4" t="inlineStr">
        <is>
          <t>友好</t>
        </is>
      </c>
      <c r="F73" s="4">
        <v>70</v>
      </c>
    </row>
    <row r="74" ht="15.75" customHeight="1">
      <c r="A74" s="4">
        <v>17</v>
      </c>
      <c r="B74" s="12" t="str">
        <f t="array" ref="B74">IF(A74:A391="","",_xlfn.XLOOKUP(A74:A391,'参照_勢力'!A:A,'参照_勢力'!B:B,"見つかりません"))</f>
      </c>
      <c r="C74" s="4">
        <v>4</v>
      </c>
      <c r="D74" s="12" t="str">
        <f t="array" ref="D74">IF(C74:C391="","",_xlfn.XLOOKUP(C74:C391,'参照_勢力'!A:A,'参照_勢力'!B:B,"見つかりません"))</f>
      </c>
      <c r="E74" s="4" t="inlineStr">
        <is>
          <t>友好</t>
        </is>
      </c>
      <c r="F74" s="4">
        <v>70</v>
      </c>
    </row>
    <row r="75" ht="15.75" customHeight="1">
      <c r="A75" s="4">
        <v>17</v>
      </c>
      <c r="B75" s="12" t="str">
        <f t="array" ref="B75">IF(A75:A392="","",_xlfn.XLOOKUP(A75:A392,'参照_勢力'!A:A,'参照_勢力'!B:B,"見つかりません"))</f>
      </c>
      <c r="C75" s="4">
        <v>7</v>
      </c>
      <c r="D75" s="12" t="str">
        <f t="array" ref="D75">IF(C75:C392="","",_xlfn.XLOOKUP(C75:C392,'参照_勢力'!A:A,'参照_勢力'!B:B,"見つかりません"))</f>
      </c>
      <c r="E75" s="4" t="inlineStr">
        <is>
          <t>友好</t>
        </is>
      </c>
      <c r="F75" s="4">
        <v>100</v>
      </c>
    </row>
    <row r="76" ht="15.75" customHeight="1">
      <c r="A76" s="4">
        <v>17</v>
      </c>
      <c r="B76" s="12" t="str">
        <f t="array" ref="B76">IF(A76:A393="","",_xlfn.XLOOKUP(A76:A393,'参照_勢力'!A:A,'参照_勢力'!B:B,"見つかりません"))</f>
      </c>
      <c r="C76" s="4">
        <v>8</v>
      </c>
      <c r="D76" s="12" t="str">
        <f t="array" ref="D76">IF(C76:C393="","",_xlfn.XLOOKUP(C76:C393,'参照_勢力'!A:A,'参照_勢力'!B:B,"見つかりません"))</f>
      </c>
      <c r="E76" s="4" t="inlineStr">
        <is>
          <t>友好</t>
        </is>
      </c>
      <c r="F76" s="4">
        <v>70</v>
      </c>
    </row>
    <row r="77" ht="15.75" customHeight="1">
      <c r="A77" s="4">
        <v>17</v>
      </c>
      <c r="B77" s="12" t="str">
        <f t="array" ref="B77">IF(A77:A394="","",_xlfn.XLOOKUP(A77:A394,'参照_勢力'!A:A,'参照_勢力'!B:B,"見つかりません"))</f>
      </c>
      <c r="C77" s="4">
        <v>13</v>
      </c>
      <c r="D77" s="12" t="str">
        <f t="array" ref="D77">IF(C77:C394="","",_xlfn.XLOOKUP(C77:C394,'参照_勢力'!A:A,'参照_勢力'!B:B,"見つかりません"))</f>
      </c>
      <c r="E77" s="4" t="inlineStr">
        <is>
          <t>同盟</t>
        </is>
      </c>
      <c r="F77" s="4">
        <v>70</v>
      </c>
    </row>
    <row r="78" ht="15.75" customHeight="1">
      <c r="A78" s="4">
        <v>17</v>
      </c>
      <c r="B78" s="12" t="str">
        <f t="array" ref="B78">IF(A78:A395="","",_xlfn.XLOOKUP(A78:A395,'参照_勢力'!A:A,'参照_勢力'!B:B,"見つかりません"))</f>
      </c>
      <c r="C78" s="4">
        <v>14</v>
      </c>
      <c r="D78" s="12" t="str">
        <f t="array" ref="D78">IF(C78:C395="","",_xlfn.XLOOKUP(C78:C395,'参照_勢力'!A:A,'参照_勢力'!B:B,"見つかりません"))</f>
      </c>
      <c r="E78" s="4" t="inlineStr">
        <is>
          <t>友好</t>
        </is>
      </c>
      <c r="F78" s="4">
        <v>70</v>
      </c>
    </row>
    <row r="79" ht="15.75" customHeight="1">
      <c r="A79" s="4">
        <v>17</v>
      </c>
      <c r="B79" s="12" t="str">
        <f t="array" ref="B79">IF(A79:A396="","",_xlfn.XLOOKUP(A79:A396,'参照_勢力'!A:A,'参照_勢力'!B:B,"見つかりません"))</f>
      </c>
      <c r="C79" s="4">
        <v>15</v>
      </c>
      <c r="D79" s="12" t="str">
        <f t="array" ref="D79">IF(C79:C396="","",_xlfn.XLOOKUP(C79:C396,'参照_勢力'!A:A,'参照_勢力'!B:B,"見つかりません"))</f>
      </c>
      <c r="E79" s="4" t="inlineStr">
        <is>
          <t>普通</t>
        </is>
      </c>
      <c r="F79" s="4">
        <v>50</v>
      </c>
    </row>
    <row r="80" ht="15.75" customHeight="1">
      <c r="A80" s="4">
        <v>17</v>
      </c>
      <c r="B80" s="12" t="str">
        <f t="array" ref="B80">IF(A80:A397="","",_xlfn.XLOOKUP(A80:A397,'参照_勢力'!A:A,'参照_勢力'!B:B,"見つかりません"))</f>
      </c>
      <c r="C80" s="4">
        <v>19</v>
      </c>
      <c r="D80" s="12" t="str">
        <f t="array" ref="D80">IF(C80:C397="","",_xlfn.XLOOKUP(C80:C397,'参照_勢力'!A:A,'参照_勢力'!B:B,"見つかりません"))</f>
      </c>
      <c r="E80" s="4" t="inlineStr">
        <is>
          <t>友好</t>
        </is>
      </c>
      <c r="F80" s="4">
        <v>70</v>
      </c>
    </row>
    <row r="81" ht="15.75" customHeight="1">
      <c r="A81" s="4">
        <v>17</v>
      </c>
      <c r="B81" s="12" t="str">
        <f t="array" ref="B81">IF(A81:A398="","",_xlfn.XLOOKUP(A81:A398,'参照_勢力'!A:A,'参照_勢力'!B:B,"見つかりません"))</f>
      </c>
      <c r="C81" s="4">
        <v>20</v>
      </c>
      <c r="D81" s="12" t="str">
        <f t="array" ref="D81">IF(C81:C398="","",_xlfn.XLOOKUP(C81:C398,'参照_勢力'!A:A,'参照_勢力'!B:B,"見つかりません"))</f>
      </c>
      <c r="E81" s="4" t="inlineStr">
        <is>
          <t>敵対</t>
        </is>
      </c>
      <c r="F81" s="4">
        <v>0</v>
      </c>
    </row>
    <row r="82" ht="15.75" customHeight="1">
      <c r="A82" s="4">
        <v>17</v>
      </c>
      <c r="B82" s="12" t="str">
        <f t="array" ref="B82">IF(A82:A399="","",_xlfn.XLOOKUP(A82:A399,'参照_勢力'!A:A,'参照_勢力'!B:B,"見つかりません"))</f>
      </c>
      <c r="C82" s="4">
        <v>40</v>
      </c>
      <c r="D82" s="12" t="str">
        <f t="array" ref="D82">IF(C82:C399="","",_xlfn.XLOOKUP(C82:C399,'参照_勢力'!A:A,'参照_勢力'!B:B,"見つかりません"))</f>
      </c>
      <c r="E82" s="4" t="inlineStr">
        <is>
          <t>友好</t>
        </is>
      </c>
      <c r="F82" s="4">
        <v>70</v>
      </c>
    </row>
    <row r="83" ht="15.75" customHeight="1">
      <c r="A83" s="4">
        <v>17</v>
      </c>
      <c r="B83" s="12" t="str">
        <f t="array" ref="B83">IF(A83:A400="","",_xlfn.XLOOKUP(A83:A400,'参照_勢力'!A:A,'参照_勢力'!B:B,"見つかりません"))</f>
      </c>
      <c r="C83" s="4">
        <v>41</v>
      </c>
      <c r="D83" s="12" t="str">
        <f t="array" ref="D83">IF(C83:C400="","",_xlfn.XLOOKUP(C83:C400,'参照_勢力'!A:A,'参照_勢力'!B:B,"見つかりません"))</f>
      </c>
      <c r="E83" s="4" t="inlineStr">
        <is>
          <t>友好</t>
        </is>
      </c>
      <c r="F83" s="4">
        <v>90</v>
      </c>
    </row>
    <row r="84" ht="15.75" customHeight="1">
      <c r="A84" s="4">
        <v>17</v>
      </c>
      <c r="B84" s="12" t="str">
        <f t="array" ref="B84">IF(A84:A401="","",_xlfn.XLOOKUP(A84:A401,'参照_勢力'!A:A,'参照_勢力'!B:B,"見つかりません"))</f>
      </c>
      <c r="C84" s="4">
        <v>49</v>
      </c>
      <c r="D84" s="12" t="str">
        <f t="array" ref="D84">IF(C84:C401="","",_xlfn.XLOOKUP(C84:C401,'参照_勢力'!A:A,'参照_勢力'!B:B,"見つかりません"))</f>
      </c>
      <c r="E84" s="4" t="inlineStr">
        <is>
          <t>友好</t>
        </is>
      </c>
      <c r="F84" s="4">
        <v>70</v>
      </c>
    </row>
    <row r="85" ht="15.75" customHeight="1">
      <c r="A85" s="4">
        <v>17</v>
      </c>
      <c r="B85" s="12" t="str">
        <f t="array" ref="B85">IF(A85:A402="","",_xlfn.XLOOKUP(A85:A402,'参照_勢力'!A:A,'参照_勢力'!B:B,"見つかりません"))</f>
      </c>
      <c r="C85" s="4">
        <v>60</v>
      </c>
      <c r="D85" s="12" t="str">
        <f t="array" ref="D85">IF(C85:C402="","",_xlfn.XLOOKUP(C85:C402,'参照_勢力'!A:A,'参照_勢力'!B:B,"見つかりません"))</f>
      </c>
      <c r="E85" s="4" t="inlineStr">
        <is>
          <t>普通</t>
        </is>
      </c>
      <c r="F85" s="4">
        <v>60</v>
      </c>
    </row>
    <row r="86" ht="15.75" customHeight="1">
      <c r="A86" s="4">
        <v>17</v>
      </c>
      <c r="B86" s="12" t="str">
        <f t="array" ref="B86">IF(A86:A403="","",_xlfn.XLOOKUP(A86:A403,'参照_勢力'!A:A,'参照_勢力'!B:B,"見つかりません"))</f>
      </c>
      <c r="C86" s="4">
        <v>66</v>
      </c>
      <c r="D86" s="12" t="str">
        <f t="array" ref="D86">IF(C86:C403="","",_xlfn.XLOOKUP(C86:C403,'参照_勢力'!A:A,'参照_勢力'!B:B,"見つかりません"))</f>
      </c>
      <c r="E86" s="4" t="inlineStr">
        <is>
          <t>友好</t>
        </is>
      </c>
      <c r="F86" s="4">
        <v>70</v>
      </c>
    </row>
    <row r="87" ht="15.75" customHeight="1">
      <c r="A87" s="4">
        <v>17</v>
      </c>
      <c r="B87" s="12" t="str">
        <f t="array" ref="B87">IF(A87:A404="","",_xlfn.XLOOKUP(A87:A404,'参照_勢力'!A:A,'参照_勢力'!B:B,"見つかりません"))</f>
      </c>
      <c r="C87" s="4">
        <v>203</v>
      </c>
      <c r="D87" s="12" t="str">
        <f t="array" ref="D87">IF(C87:C404="","",_xlfn.XLOOKUP(C87:C404,'参照_勢力'!A:A,'参照_勢力'!B:B,"見つかりません"))</f>
      </c>
      <c r="E87" s="4" t="inlineStr">
        <is>
          <t>同盟</t>
        </is>
      </c>
      <c r="F87" s="4">
        <v>100</v>
      </c>
    </row>
    <row r="88" ht="15.75" customHeight="1">
      <c r="A88" s="4">
        <v>18</v>
      </c>
      <c r="B88" s="12" t="str">
        <f t="array" ref="B88">IF(A88:A405="","",_xlfn.XLOOKUP(A88:A405,'参照_勢力'!A:A,'参照_勢力'!B:B,"見つかりません"))</f>
      </c>
      <c r="C88" s="4">
        <v>1</v>
      </c>
      <c r="D88" s="12" t="str">
        <f t="array" ref="D88">IF(C88:C405="","",_xlfn.XLOOKUP(C88:C405,'参照_勢力'!A:A,'参照_勢力'!B:B,"見つかりません"))</f>
      </c>
      <c r="E88" s="4" t="inlineStr">
        <is>
          <t>敵対</t>
        </is>
      </c>
      <c r="F88" s="4">
        <v>0</v>
      </c>
    </row>
    <row r="89" ht="15.75" customHeight="1">
      <c r="A89" s="4">
        <v>18</v>
      </c>
      <c r="B89" s="12" t="str">
        <f t="array" ref="B89">IF(A89:A406="","",_xlfn.XLOOKUP(A89:A406,'参照_勢力'!A:A,'参照_勢力'!B:B,"見つかりません"))</f>
      </c>
      <c r="C89" s="4">
        <v>7</v>
      </c>
      <c r="D89" s="12" t="str">
        <f t="array" ref="D89">IF(C89:C406="","",_xlfn.XLOOKUP(C89:C406,'参照_勢力'!A:A,'参照_勢力'!B:B,"見つかりません"))</f>
      </c>
      <c r="E89" s="4" t="inlineStr">
        <is>
          <t>友好</t>
        </is>
      </c>
      <c r="F89" s="4">
        <v>65</v>
      </c>
    </row>
    <row r="90" ht="15.75" customHeight="1">
      <c r="A90" s="4">
        <v>18</v>
      </c>
      <c r="B90" s="12" t="str">
        <f t="array" ref="B90">IF(A90:A407="","",_xlfn.XLOOKUP(A90:A407,'参照_勢力'!A:A,'参照_勢力'!B:B,"見つかりません"))</f>
      </c>
      <c r="C90" s="4">
        <v>15</v>
      </c>
      <c r="D90" s="12" t="str">
        <f t="array" ref="D90">IF(C90:C407="","",_xlfn.XLOOKUP(C90:C407,'参照_勢力'!A:A,'参照_勢力'!B:B,"見つかりません"))</f>
      </c>
      <c r="E90" s="4" t="inlineStr">
        <is>
          <t>友好</t>
        </is>
      </c>
      <c r="F90" s="4">
        <v>70</v>
      </c>
    </row>
    <row r="91" ht="15.75" customHeight="1">
      <c r="A91" s="4">
        <v>18</v>
      </c>
      <c r="B91" s="12" t="str">
        <f t="array" ref="B91">IF(A91:A408="","",_xlfn.XLOOKUP(A91:A408,'参照_勢力'!A:A,'参照_勢力'!B:B,"見つかりません"))</f>
      </c>
      <c r="C91" s="4">
        <v>19</v>
      </c>
      <c r="D91" s="12" t="str">
        <f t="array" ref="D91">IF(C91:C408="","",_xlfn.XLOOKUP(C91:C408,'参照_勢力'!A:A,'参照_勢力'!B:B,"見つかりません"))</f>
      </c>
      <c r="E91" s="4" t="inlineStr">
        <is>
          <t>同盟</t>
        </is>
      </c>
      <c r="F91" s="4">
        <v>80</v>
      </c>
    </row>
    <row r="92" ht="15.75" customHeight="1">
      <c r="A92" s="4">
        <v>19</v>
      </c>
      <c r="B92" s="12" t="str">
        <f t="array" ref="B92">IF(A92:A409="","",_xlfn.XLOOKUP(A92:A409,'参照_勢力'!A:A,'参照_勢力'!B:B,"見つかりません"))</f>
      </c>
      <c r="C92" s="4">
        <v>1</v>
      </c>
      <c r="D92" s="12" t="str">
        <f t="array" ref="D92">IF(C92:C409="","",_xlfn.XLOOKUP(C92:C409,'参照_勢力'!A:A,'参照_勢力'!B:B,"見つかりません"))</f>
      </c>
      <c r="E92" s="4" t="inlineStr">
        <is>
          <t>敵対</t>
        </is>
      </c>
      <c r="F92" s="4">
        <v>0</v>
      </c>
    </row>
    <row r="93" ht="15.75" customHeight="1">
      <c r="A93" s="4">
        <v>19</v>
      </c>
      <c r="B93" s="12" t="str">
        <f t="array" ref="B93">IF(A93:A410="","",_xlfn.XLOOKUP(A93:A410,'参照_勢力'!A:A,'参照_勢力'!B:B,"見つかりません"))</f>
      </c>
      <c r="C93" s="4">
        <v>2</v>
      </c>
      <c r="D93" s="12" t="str">
        <f t="array" ref="D93">IF(C93:C410="","",_xlfn.XLOOKUP(C93:C410,'参照_勢力'!A:A,'参照_勢力'!B:B,"見つかりません"))</f>
      </c>
      <c r="E93" s="4" t="inlineStr">
        <is>
          <t>敵対</t>
        </is>
      </c>
      <c r="F93" s="4">
        <v>0</v>
      </c>
    </row>
    <row r="94" ht="15.75" customHeight="1">
      <c r="A94" s="4">
        <v>19</v>
      </c>
      <c r="B94" s="12" t="str">
        <f t="array" ref="B94">IF(A94:A411="","",_xlfn.XLOOKUP(A94:A411,'参照_勢力'!A:A,'参照_勢力'!B:B,"見つかりません"))</f>
      </c>
      <c r="C94" s="4">
        <v>3</v>
      </c>
      <c r="D94" s="12" t="str">
        <f t="array" ref="D94">IF(C94:C411="","",_xlfn.XLOOKUP(C94:C411,'参照_勢力'!A:A,'参照_勢力'!B:B,"見つかりません"))</f>
      </c>
      <c r="E94" s="4" t="inlineStr">
        <is>
          <t>同盟</t>
        </is>
      </c>
      <c r="F94" s="4">
        <v>90</v>
      </c>
    </row>
    <row r="95" ht="15.75" customHeight="1">
      <c r="A95" s="4">
        <v>19</v>
      </c>
      <c r="B95" s="12" t="str">
        <f t="array" ref="B95">IF(A95:A412="","",_xlfn.XLOOKUP(A95:A412,'参照_勢力'!A:A,'参照_勢力'!B:B,"見つかりません"))</f>
      </c>
      <c r="C95" s="4">
        <v>7</v>
      </c>
      <c r="D95" s="12" t="str">
        <f t="array" ref="D95">IF(C95:C412="","",_xlfn.XLOOKUP(C95:C412,'参照_勢力'!A:A,'参照_勢力'!B:B,"見つかりません"))</f>
      </c>
      <c r="E95" s="4" t="inlineStr">
        <is>
          <t>同盟</t>
        </is>
      </c>
      <c r="F95" s="4">
        <v>80</v>
      </c>
    </row>
    <row r="96" ht="15.75" customHeight="1">
      <c r="A96" s="4">
        <v>19</v>
      </c>
      <c r="B96" s="12" t="str">
        <f t="array" ref="B96">IF(A96:A413="","",_xlfn.XLOOKUP(A96:A413,'参照_勢力'!A:A,'参照_勢力'!B:B,"見つかりません"))</f>
      </c>
      <c r="C96" s="4">
        <v>15</v>
      </c>
      <c r="D96" s="12" t="str">
        <f t="array" ref="D96">IF(C96:C413="","",_xlfn.XLOOKUP(C96:C413,'参照_勢力'!A:A,'参照_勢力'!B:B,"見つかりません"))</f>
      </c>
      <c r="E96" s="4" t="inlineStr">
        <is>
          <t>友好</t>
        </is>
      </c>
      <c r="F96" s="4">
        <v>70</v>
      </c>
    </row>
    <row r="97" ht="15.75" customHeight="1">
      <c r="A97" s="4">
        <v>19</v>
      </c>
      <c r="B97" s="12" t="str">
        <f t="array" ref="B97">IF(A97:A414="","",_xlfn.XLOOKUP(A97:A414,'参照_勢力'!A:A,'参照_勢力'!B:B,"見つかりません"))</f>
      </c>
      <c r="C97" s="4">
        <v>17</v>
      </c>
      <c r="D97" s="12" t="str">
        <f t="array" ref="D97">IF(C97:C414="","",_xlfn.XLOOKUP(C97:C414,'参照_勢力'!A:A,'参照_勢力'!B:B,"見つかりません"))</f>
      </c>
      <c r="E97" s="4" t="inlineStr">
        <is>
          <t>友好</t>
        </is>
      </c>
      <c r="F97" s="4">
        <v>70</v>
      </c>
    </row>
    <row r="98" ht="15.75" customHeight="1">
      <c r="A98" s="4">
        <v>19</v>
      </c>
      <c r="B98" s="12" t="str">
        <f t="array" ref="B98">IF(A98:A415="","",_xlfn.XLOOKUP(A98:A415,'参照_勢力'!A:A,'参照_勢力'!B:B,"見つかりません"))</f>
      </c>
      <c r="C98" s="4">
        <v>18</v>
      </c>
      <c r="D98" s="12" t="str">
        <f t="array" ref="D98">IF(C98:C415="","",_xlfn.XLOOKUP(C98:C415,'参照_勢力'!A:A,'参照_勢力'!B:B,"見つかりません"))</f>
      </c>
      <c r="E98" s="4" t="inlineStr">
        <is>
          <t>同盟</t>
        </is>
      </c>
      <c r="F98" s="4">
        <v>80</v>
      </c>
    </row>
    <row r="99" ht="15.75" customHeight="1">
      <c r="A99" s="4">
        <v>19</v>
      </c>
      <c r="B99" s="12" t="str">
        <f t="array" ref="B99">IF(A99:A416="","",_xlfn.XLOOKUP(A99:A416,'参照_勢力'!A:A,'参照_勢力'!B:B,"見つかりません"))</f>
      </c>
      <c r="C99" s="4">
        <v>20</v>
      </c>
      <c r="D99" s="12" t="str">
        <f t="array" ref="D99">IF(C99:C416="","",_xlfn.XLOOKUP(C99:C416,'参照_勢力'!A:A,'参照_勢力'!B:B,"見つかりません"))</f>
      </c>
      <c r="E99" s="4" t="inlineStr">
        <is>
          <t>友好</t>
        </is>
      </c>
      <c r="F99" s="4">
        <v>85</v>
      </c>
    </row>
    <row r="100" ht="15.75" customHeight="1">
      <c r="A100" s="4">
        <v>19</v>
      </c>
      <c r="B100" s="12" t="str">
        <f t="array" ref="B100">IF(A100:A417="","",_xlfn.XLOOKUP(A100:A417,'参照_勢力'!A:A,'参照_勢力'!B:B,"見つかりません"))</f>
      </c>
      <c r="C100" s="4">
        <v>21</v>
      </c>
      <c r="D100" s="12" t="str">
        <f t="array" ref="D100">IF(C100:C417="","",_xlfn.XLOOKUP(C100:C417,'参照_勢力'!A:A,'参照_勢力'!B:B,"見つかりません"))</f>
      </c>
      <c r="E100" s="4" t="inlineStr">
        <is>
          <t>友好</t>
        </is>
      </c>
      <c r="F100" s="4">
        <v>100</v>
      </c>
    </row>
    <row r="101" ht="15.75" customHeight="1">
      <c r="A101" s="4">
        <v>19</v>
      </c>
      <c r="B101" s="12" t="str">
        <f t="array" ref="B101">IF(A101:A418="","",_xlfn.XLOOKUP(A101:A418,'参照_勢力'!A:A,'参照_勢力'!B:B,"見つかりません"))</f>
      </c>
      <c r="C101" s="4">
        <v>25</v>
      </c>
      <c r="D101" s="12" t="str">
        <f t="array" ref="D101">IF(C101:C418="","",_xlfn.XLOOKUP(C101:C418,'参照_勢力'!A:A,'参照_勢力'!B:B,"見つかりません"))</f>
      </c>
      <c r="E101" s="4" t="inlineStr">
        <is>
          <t>友好</t>
        </is>
      </c>
      <c r="F101" s="4">
        <v>80</v>
      </c>
    </row>
    <row r="102" ht="15.75" customHeight="1">
      <c r="A102" s="4">
        <v>20</v>
      </c>
      <c r="B102" s="12" t="str">
        <f t="array" ref="B102">IF(A102:A419="","",_xlfn.XLOOKUP(A102:A419,'参照_勢力'!A:A,'参照_勢力'!B:B,"見つかりません"))</f>
      </c>
      <c r="C102" s="4">
        <v>14</v>
      </c>
      <c r="D102" s="12" t="str">
        <f t="array" ref="D102">IF(C102:C419="","",_xlfn.XLOOKUP(C102:C419,'参照_勢力'!A:A,'参照_勢力'!B:B,"見つかりません"))</f>
      </c>
      <c r="E102" s="4" t="inlineStr">
        <is>
          <t>敵対</t>
        </is>
      </c>
      <c r="F102" s="4">
        <v>30</v>
      </c>
    </row>
    <row r="103" ht="15.75" customHeight="1">
      <c r="A103" s="4">
        <v>20</v>
      </c>
      <c r="B103" s="12" t="str">
        <f t="array" ref="B103">IF(A103:A420="","",_xlfn.XLOOKUP(A103:A420,'参照_勢力'!A:A,'参照_勢力'!B:B,"見つかりません"))</f>
      </c>
      <c r="C103" s="4">
        <v>16</v>
      </c>
      <c r="D103" s="12" t="str">
        <f t="array" ref="D103">IF(C103:C420="","",_xlfn.XLOOKUP(C103:C420,'参照_勢力'!A:A,'参照_勢力'!B:B,"見つかりません"))</f>
      </c>
      <c r="E103" s="4" t="inlineStr">
        <is>
          <t>敵対</t>
        </is>
      </c>
      <c r="F103" s="4">
        <v>30</v>
      </c>
    </row>
    <row r="104" ht="15.75" customHeight="1">
      <c r="A104" s="4">
        <v>20</v>
      </c>
      <c r="B104" s="12" t="str">
        <f t="array" ref="B104">IF(A104:A421="","",_xlfn.XLOOKUP(A104:A421,'参照_勢力'!A:A,'参照_勢力'!B:B,"見つかりません"))</f>
      </c>
      <c r="C104" s="4">
        <v>17</v>
      </c>
      <c r="D104" s="12" t="str">
        <f t="array" ref="D104">IF(C104:C421="","",_xlfn.XLOOKUP(C104:C421,'参照_勢力'!A:A,'参照_勢力'!B:B,"見つかりません"))</f>
      </c>
      <c r="E104" s="4" t="inlineStr">
        <is>
          <t>敵対</t>
        </is>
      </c>
      <c r="F104" s="4">
        <v>0</v>
      </c>
    </row>
    <row r="105" ht="15.75" customHeight="1">
      <c r="A105" s="4">
        <v>20</v>
      </c>
      <c r="B105" s="12" t="str">
        <f t="array" ref="B105">IF(A105:A422="","",_xlfn.XLOOKUP(A105:A422,'参照_勢力'!A:A,'参照_勢力'!B:B,"見つかりません"))</f>
      </c>
      <c r="C105" s="4">
        <v>19</v>
      </c>
      <c r="D105" s="12" t="str">
        <f t="array" ref="D105">IF(C105:C422="","",_xlfn.XLOOKUP(C105:C422,'参照_勢力'!A:A,'参照_勢力'!B:B,"見つかりません"))</f>
      </c>
      <c r="E105" s="4" t="inlineStr">
        <is>
          <t>友好</t>
        </is>
      </c>
      <c r="F105" s="4">
        <v>85</v>
      </c>
    </row>
    <row r="106" ht="15.75" customHeight="1">
      <c r="A106" s="4">
        <v>20</v>
      </c>
      <c r="B106" s="12" t="str">
        <f t="array" ref="B106">IF(A106:A423="","",_xlfn.XLOOKUP(A106:A423,'参照_勢力'!A:A,'参照_勢力'!B:B,"見つかりません"))</f>
      </c>
      <c r="C106" s="4">
        <v>21</v>
      </c>
      <c r="D106" s="12" t="str">
        <f t="array" ref="D106">IF(C106:C423="","",_xlfn.XLOOKUP(C106:C423,'参照_勢力'!A:A,'参照_勢力'!B:B,"見つかりません"))</f>
      </c>
      <c r="E106" s="4" t="inlineStr">
        <is>
          <t>友好</t>
        </is>
      </c>
      <c r="F106" s="4">
        <v>85</v>
      </c>
    </row>
    <row r="107" ht="15.75" customHeight="1">
      <c r="A107" s="4">
        <v>20</v>
      </c>
      <c r="B107" s="12" t="str">
        <f t="array" ref="B107">IF(A107:A424="","",_xlfn.XLOOKUP(A107:A424,'参照_勢力'!A:A,'参照_勢力'!B:B,"見つかりません"))</f>
      </c>
      <c r="C107" s="4">
        <v>40</v>
      </c>
      <c r="D107" s="12" t="str">
        <f t="array" ref="D107">IF(C107:C424="","",_xlfn.XLOOKUP(C107:C424,'参照_勢力'!A:A,'参照_勢力'!B:B,"見つかりません"))</f>
      </c>
      <c r="E107" s="4" t="inlineStr">
        <is>
          <t>友好</t>
        </is>
      </c>
      <c r="F107" s="4">
        <v>70</v>
      </c>
    </row>
    <row r="108" ht="15.75" customHeight="1">
      <c r="A108" s="4">
        <v>20</v>
      </c>
      <c r="B108" s="12" t="str">
        <f t="array" ref="B108">IF(A108:A425="","",_xlfn.XLOOKUP(A108:A425,'参照_勢力'!A:A,'参照_勢力'!B:B,"見つかりません"))</f>
      </c>
      <c r="C108" s="4">
        <v>41</v>
      </c>
      <c r="D108" s="12" t="str">
        <f t="array" ref="D108">IF(C108:C425="","",_xlfn.XLOOKUP(C108:C425,'参照_勢力'!A:A,'参照_勢力'!B:B,"見つかりません"))</f>
      </c>
      <c r="E108" s="4" t="inlineStr">
        <is>
          <t>敵対</t>
        </is>
      </c>
      <c r="F108" s="4">
        <v>0</v>
      </c>
    </row>
    <row r="109" ht="15.75" customHeight="1">
      <c r="A109" s="4">
        <v>20</v>
      </c>
      <c r="B109" s="12" t="str">
        <f t="array" ref="B109">IF(A109:A426="","",_xlfn.XLOOKUP(A109:A426,'参照_勢力'!A:A,'参照_勢力'!B:B,"見つかりません"))</f>
      </c>
      <c r="C109" s="4">
        <v>63</v>
      </c>
      <c r="D109" s="12" t="str">
        <f t="array" ref="D109">IF(C109:C426="","",_xlfn.XLOOKUP(C109:C426,'参照_勢力'!A:A,'参照_勢力'!B:B,"見つかりません"))</f>
      </c>
      <c r="E109" s="4" t="inlineStr">
        <is>
          <t>支配</t>
        </is>
      </c>
      <c r="F109" s="4">
        <v>70</v>
      </c>
    </row>
    <row r="110" ht="15.75" customHeight="1">
      <c r="A110" s="4">
        <v>20</v>
      </c>
      <c r="B110" s="12" t="str">
        <f t="array" ref="B110">IF(A110:A427="","",_xlfn.XLOOKUP(A110:A427,'参照_勢力'!A:A,'参照_勢力'!B:B,"見つかりません"))</f>
      </c>
      <c r="C110" s="4">
        <v>64</v>
      </c>
      <c r="D110" s="12" t="str">
        <f t="array" ref="D110">IF(C110:C427="","",_xlfn.XLOOKUP(C110:C427,'参照_勢力'!A:A,'参照_勢力'!B:B,"見つかりません"))</f>
      </c>
      <c r="E110" s="4" t="inlineStr">
        <is>
          <t>同盟</t>
        </is>
      </c>
      <c r="F110" s="4">
        <v>50</v>
      </c>
    </row>
    <row r="111" ht="15.75" customHeight="1">
      <c r="A111" s="4">
        <v>20</v>
      </c>
      <c r="B111" s="12" t="str">
        <f t="array" ref="B111">IF(A111:A428="","",_xlfn.XLOOKUP(A111:A428,'参照_勢力'!A:A,'参照_勢力'!B:B,"見つかりません"))</f>
      </c>
      <c r="C111" s="4">
        <v>66</v>
      </c>
      <c r="D111" s="12" t="str">
        <f t="array" ref="D111">IF(C111:C428="","",_xlfn.XLOOKUP(C111:C428,'参照_勢力'!A:A,'参照_勢力'!B:B,"見つかりません"))</f>
      </c>
      <c r="E111" s="4" t="inlineStr">
        <is>
          <t>敵対</t>
        </is>
      </c>
      <c r="F111" s="4">
        <v>30</v>
      </c>
    </row>
    <row r="112" ht="15.75" customHeight="1">
      <c r="A112" s="4">
        <v>20</v>
      </c>
      <c r="B112" s="12" t="str">
        <f t="array" ref="B112">IF(A112:A429="","",_xlfn.XLOOKUP(A112:A429,'参照_勢力'!A:A,'参照_勢力'!B:B,"見つかりません"))</f>
      </c>
      <c r="C112" s="4">
        <v>203</v>
      </c>
      <c r="D112" s="12" t="str">
        <f t="array" ref="D112">IF(C112:C429="","",_xlfn.XLOOKUP(C112:C429,'参照_勢力'!A:A,'参照_勢力'!B:B,"見つかりません"))</f>
      </c>
      <c r="E112" s="4" t="inlineStr">
        <is>
          <t>敵対</t>
        </is>
      </c>
      <c r="F112" s="4">
        <v>0</v>
      </c>
    </row>
    <row r="113" ht="15.75" customHeight="1">
      <c r="A113" s="4">
        <v>21</v>
      </c>
      <c r="B113" s="12" t="str">
        <f t="array" ref="B113">IF(A113:A430="","",_xlfn.XLOOKUP(A113:A430,'参照_勢力'!A:A,'参照_勢力'!B:B,"見つかりません"))</f>
      </c>
      <c r="C113" s="4">
        <v>19</v>
      </c>
      <c r="D113" s="12" t="str">
        <f t="array" ref="D113">IF(C113:C430="","",_xlfn.XLOOKUP(C113:C430,'参照_勢力'!A:A,'参照_勢力'!B:B,"見つかりません"))</f>
      </c>
      <c r="E113" s="4" t="inlineStr">
        <is>
          <t>友好</t>
        </is>
      </c>
      <c r="F113" s="4">
        <v>100</v>
      </c>
    </row>
    <row r="114" ht="15.75" customHeight="1">
      <c r="A114" s="4">
        <v>21</v>
      </c>
      <c r="B114" s="12" t="str">
        <f t="array" ref="B114">IF(A114:A431="","",_xlfn.XLOOKUP(A114:A431,'参照_勢力'!A:A,'参照_勢力'!B:B,"見つかりません"))</f>
      </c>
      <c r="C114" s="4">
        <v>20</v>
      </c>
      <c r="D114" s="12" t="str">
        <f t="array" ref="D114">IF(C114:C431="","",_xlfn.XLOOKUP(C114:C431,'参照_勢力'!A:A,'参照_勢力'!B:B,"見つかりません"))</f>
      </c>
      <c r="E114" s="4" t="inlineStr">
        <is>
          <t>友好</t>
        </is>
      </c>
      <c r="F114" s="4">
        <v>85</v>
      </c>
    </row>
    <row r="115" ht="15.75" customHeight="1">
      <c r="A115" s="4">
        <v>21</v>
      </c>
      <c r="B115" s="12" t="str">
        <f t="array" ref="B115">IF(A115:A432="","",_xlfn.XLOOKUP(A115:A432,'参照_勢力'!A:A,'参照_勢力'!B:B,"見つかりません"))</f>
      </c>
      <c r="C115" s="4">
        <v>41</v>
      </c>
      <c r="D115" s="12" t="str">
        <f t="array" ref="D115">IF(C115:C432="","",_xlfn.XLOOKUP(C115:C432,'参照_勢力'!A:A,'参照_勢力'!B:B,"見つかりません"))</f>
      </c>
      <c r="E115" s="4" t="inlineStr">
        <is>
          <t>従属</t>
        </is>
      </c>
      <c r="F115" s="4">
        <v>100</v>
      </c>
    </row>
    <row r="116" ht="15.75" customHeight="1">
      <c r="A116" s="4">
        <v>22</v>
      </c>
      <c r="B116" s="12" t="str">
        <f t="array" ref="B116">IF(A116:A433="","",_xlfn.XLOOKUP(A116:A433,'参照_勢力'!A:A,'参照_勢力'!B:B,"見つかりません"))</f>
      </c>
      <c r="C116" s="4">
        <v>3</v>
      </c>
      <c r="D116" s="12" t="str">
        <f t="array" ref="D116">IF(C116:C433="","",_xlfn.XLOOKUP(C116:C433,'参照_勢力'!A:A,'参照_勢力'!B:B,"見つかりません"))</f>
      </c>
      <c r="E116" s="4" t="inlineStr">
        <is>
          <t>友好</t>
        </is>
      </c>
      <c r="F116" s="4">
        <v>80</v>
      </c>
    </row>
    <row r="117" ht="15.75" customHeight="1">
      <c r="A117" s="4">
        <v>22</v>
      </c>
      <c r="B117" s="12" t="str">
        <f t="array" ref="B117">IF(A117:A434="","",_xlfn.XLOOKUP(A117:A434,'参照_勢力'!A:A,'参照_勢力'!B:B,"見つかりません"))</f>
      </c>
      <c r="C117" s="4">
        <v>10</v>
      </c>
      <c r="D117" s="12" t="str">
        <f t="array" ref="D117">IF(C117:C434="","",_xlfn.XLOOKUP(C117:C434,'参照_勢力'!A:A,'参照_勢力'!B:B,"見つかりません"))</f>
      </c>
      <c r="E117" s="4" t="inlineStr">
        <is>
          <t>敵対</t>
        </is>
      </c>
      <c r="F117" s="4">
        <v>30</v>
      </c>
    </row>
    <row r="118" ht="15.75" customHeight="1">
      <c r="A118" s="4">
        <v>23</v>
      </c>
      <c r="B118" s="12" t="str">
        <f t="array" ref="B118">IF(A118:A435="","",_xlfn.XLOOKUP(A118:A435,'参照_勢力'!A:A,'参照_勢力'!B:B,"見つかりません"))</f>
      </c>
      <c r="C118" s="4">
        <v>2</v>
      </c>
      <c r="D118" s="12" t="str">
        <f t="array" ref="D118">IF(C118:C435="","",_xlfn.XLOOKUP(C118:C435,'参照_勢力'!A:A,'参照_勢力'!B:B,"見つかりません"))</f>
      </c>
      <c r="E118" s="4" t="inlineStr">
        <is>
          <t>普通</t>
        </is>
      </c>
      <c r="F118" s="4">
        <v>40</v>
      </c>
    </row>
    <row r="119" ht="15.75" customHeight="1">
      <c r="A119" s="4">
        <v>23</v>
      </c>
      <c r="B119" s="12" t="str">
        <f t="array" ref="B119">IF(A119:A436="","",_xlfn.XLOOKUP(A119:A436,'参照_勢力'!A:A,'参照_勢力'!B:B,"見つかりません"))</f>
      </c>
      <c r="C119" s="4">
        <v>10</v>
      </c>
      <c r="D119" s="12" t="str">
        <f t="array" ref="D119">IF(C119:C436="","",_xlfn.XLOOKUP(C119:C436,'参照_勢力'!A:A,'参照_勢力'!B:B,"見つかりません"))</f>
      </c>
      <c r="E119" s="4" t="inlineStr">
        <is>
          <t>普通</t>
        </is>
      </c>
      <c r="F119" s="4">
        <v>40</v>
      </c>
    </row>
    <row r="120" ht="15.75" customHeight="1">
      <c r="A120" s="4">
        <v>25</v>
      </c>
      <c r="B120" s="12" t="str">
        <f t="array" ref="B120">IF(A120:A437="","",_xlfn.XLOOKUP(A120:A437,'参照_勢力'!A:A,'参照_勢力'!B:B,"見つかりません"))</f>
      </c>
      <c r="C120" s="4">
        <v>19</v>
      </c>
      <c r="D120" s="12" t="str">
        <f t="array" ref="D120">IF(C120:C437="","",_xlfn.XLOOKUP(C120:C437,'参照_勢力'!A:A,'参照_勢力'!B:B,"見つかりません"))</f>
      </c>
      <c r="E120" s="4" t="inlineStr">
        <is>
          <t>友好</t>
        </is>
      </c>
      <c r="F120" s="4">
        <v>80</v>
      </c>
    </row>
    <row r="121" ht="15.75" customHeight="1">
      <c r="A121" s="4">
        <v>25</v>
      </c>
      <c r="B121" s="12" t="str">
        <f t="array" ref="B121">IF(A121:A438="","",_xlfn.XLOOKUP(A121:A438,'参照_勢力'!A:A,'参照_勢力'!B:B,"見つかりません"))</f>
      </c>
      <c r="C121" s="4">
        <v>43</v>
      </c>
      <c r="D121" s="12" t="str">
        <f t="array" ref="D121">IF(C121:C438="","",_xlfn.XLOOKUP(C121:C438,'参照_勢力'!A:A,'参照_勢力'!B:B,"見つかりません"))</f>
      </c>
      <c r="E121" s="4" t="inlineStr">
        <is>
          <t>敵対</t>
        </is>
      </c>
      <c r="F121" s="4">
        <v>0</v>
      </c>
    </row>
    <row r="122" ht="15.75" customHeight="1">
      <c r="A122" s="4">
        <v>25</v>
      </c>
      <c r="B122" s="12" t="str">
        <f t="array" ref="B122">IF(A122:A439="","",_xlfn.XLOOKUP(A122:A439,'参照_勢力'!A:A,'参照_勢力'!B:B,"見つかりません"))</f>
      </c>
      <c r="C122" s="4">
        <v>44</v>
      </c>
      <c r="D122" s="12" t="str">
        <f t="array" ref="D122">IF(C122:C439="","",_xlfn.XLOOKUP(C122:C439,'参照_勢力'!A:A,'参照_勢力'!B:B,"見つかりません"))</f>
      </c>
      <c r="E122" s="4" t="inlineStr">
        <is>
          <t>敵対</t>
        </is>
      </c>
      <c r="F122" s="4">
        <v>0</v>
      </c>
    </row>
    <row r="123" ht="15.75" customHeight="1">
      <c r="A123" s="4">
        <v>25</v>
      </c>
      <c r="B123" s="12" t="str">
        <f t="array" ref="B123">IF(A123:A440="","",_xlfn.XLOOKUP(A123:A440,'参照_勢力'!A:A,'参照_勢力'!B:B,"見つかりません"))</f>
      </c>
      <c r="C123" s="4">
        <v>45</v>
      </c>
      <c r="D123" s="12" t="str">
        <f t="array" ref="D123">IF(C123:C440="","",_xlfn.XLOOKUP(C123:C440,'参照_勢力'!A:A,'参照_勢力'!B:B,"見つかりません"))</f>
      </c>
      <c r="E123" s="4" t="inlineStr">
        <is>
          <t>支配</t>
        </is>
      </c>
      <c r="F123" s="4">
        <v>100</v>
      </c>
    </row>
    <row r="124" ht="15.75" customHeight="1">
      <c r="A124" s="4">
        <v>25</v>
      </c>
      <c r="B124" s="12" t="str">
        <f t="array" ref="B124">IF(A124:A441="","",_xlfn.XLOOKUP(A124:A441,'参照_勢力'!A:A,'参照_勢力'!B:B,"見つかりません"))</f>
      </c>
      <c r="C124" s="4">
        <v>49</v>
      </c>
      <c r="D124" s="12" t="str">
        <f t="array" ref="D124">IF(C124:C441="","",_xlfn.XLOOKUP(C124:C441,'参照_勢力'!A:A,'参照_勢力'!B:B,"見つかりません"))</f>
      </c>
      <c r="E124" s="4" t="inlineStr">
        <is>
          <t>支配</t>
        </is>
      </c>
      <c r="F124" s="4">
        <v>90</v>
      </c>
    </row>
    <row r="125" ht="15.75" customHeight="1">
      <c r="A125" s="4">
        <v>25</v>
      </c>
      <c r="B125" s="12" t="str">
        <f t="array" ref="B125">IF(A125:A442="","",_xlfn.XLOOKUP(A125:A442,'参照_勢力'!A:A,'参照_勢力'!B:B,"見つかりません"))</f>
      </c>
      <c r="C125" s="4">
        <v>53</v>
      </c>
      <c r="D125" s="12" t="str">
        <f t="array" ref="D125">IF(C125:C442="","",_xlfn.XLOOKUP(C125:C442,'参照_勢力'!A:A,'参照_勢力'!B:B,"見つかりません"))</f>
      </c>
      <c r="E125" s="4" t="inlineStr">
        <is>
          <t>敵対</t>
        </is>
      </c>
      <c r="F125" s="4">
        <v>0</v>
      </c>
    </row>
    <row r="126" ht="15.75" customHeight="1">
      <c r="A126" s="4">
        <v>25</v>
      </c>
      <c r="B126" s="12" t="str">
        <f t="array" ref="B126">IF(A126:A443="","",_xlfn.XLOOKUP(A126:A443,'参照_勢力'!A:A,'参照_勢力'!B:B,"見つかりません"))</f>
      </c>
      <c r="C126" s="4">
        <v>62</v>
      </c>
      <c r="D126" s="12" t="str">
        <f t="array" ref="D126">IF(C126:C443="","",_xlfn.XLOOKUP(C126:C443,'参照_勢力'!A:A,'参照_勢力'!B:B,"見つかりません"))</f>
      </c>
      <c r="E126" s="4" t="inlineStr">
        <is>
          <t>普通</t>
        </is>
      </c>
      <c r="F126" s="4">
        <v>60</v>
      </c>
    </row>
    <row r="127" ht="15.75" customHeight="1">
      <c r="A127" s="4">
        <v>25</v>
      </c>
      <c r="B127" s="12" t="str">
        <f t="array" ref="B127">IF(A127:A444="","",_xlfn.XLOOKUP(A127:A444,'参照_勢力'!A:A,'参照_勢力'!B:B,"見つかりません"))</f>
      </c>
      <c r="C127" s="4">
        <v>63</v>
      </c>
      <c r="D127" s="12" t="str">
        <f t="array" ref="D127">IF(C127:C444="","",_xlfn.XLOOKUP(C127:C444,'参照_勢力'!A:A,'参照_勢力'!B:B,"見つかりません"))</f>
      </c>
      <c r="E127" s="4" t="inlineStr">
        <is>
          <t>友好</t>
        </is>
      </c>
      <c r="F127" s="4">
        <v>90</v>
      </c>
    </row>
    <row r="128" ht="15.75" customHeight="1">
      <c r="A128" s="4">
        <v>25</v>
      </c>
      <c r="B128" s="12" t="str">
        <f t="array" ref="B128">IF(A128:A445="","",_xlfn.XLOOKUP(A128:A445,'参照_勢力'!A:A,'参照_勢力'!B:B,"見つかりません"))</f>
      </c>
      <c r="C128" s="4">
        <v>226</v>
      </c>
      <c r="D128" s="12" t="str">
        <f t="array" ref="D128">IF(C128:C445="","",_xlfn.XLOOKUP(C128:C445,'参照_勢力'!A:A,'参照_勢力'!B:B,"見つかりません"))</f>
      </c>
      <c r="E128" s="4" t="inlineStr">
        <is>
          <t>支配</t>
        </is>
      </c>
      <c r="F128" s="4">
        <v>90</v>
      </c>
    </row>
    <row r="129" ht="15.75" customHeight="1">
      <c r="A129" s="4">
        <v>26</v>
      </c>
      <c r="B129" s="12" t="str">
        <f t="array" ref="B129">IF(A129:A446="","",_xlfn.XLOOKUP(A129:A446,'参照_勢力'!A:A,'参照_勢力'!B:B,"見つかりません"))</f>
      </c>
      <c r="C129" s="4">
        <v>7</v>
      </c>
      <c r="D129" s="12" t="str">
        <f t="array" ref="D129">IF(C129:C446="","",_xlfn.XLOOKUP(C129:C446,'参照_勢力'!A:A,'参照_勢力'!B:B,"見つかりません"))</f>
      </c>
      <c r="E129" s="4" t="inlineStr">
        <is>
          <t>友好</t>
        </is>
      </c>
      <c r="F129" s="4">
        <v>100</v>
      </c>
    </row>
    <row r="130" ht="15.75" customHeight="1">
      <c r="A130" s="4">
        <v>26</v>
      </c>
      <c r="B130" s="12" t="str">
        <f t="array" ref="B130">IF(A130:A447="","",_xlfn.XLOOKUP(A130:A447,'参照_勢力'!A:A,'参照_勢力'!B:B,"見つかりません"))</f>
      </c>
      <c r="C130" s="4">
        <v>58</v>
      </c>
      <c r="D130" s="12" t="str">
        <f t="array" ref="D130">IF(C130:C447="","",_xlfn.XLOOKUP(C130:C447,'参照_勢力'!A:A,'参照_勢力'!B:B,"見つかりません"))</f>
      </c>
      <c r="E130" s="4" t="inlineStr">
        <is>
          <t>敵対</t>
        </is>
      </c>
      <c r="F130" s="4">
        <v>30</v>
      </c>
    </row>
    <row r="131" ht="15.75" customHeight="1">
      <c r="A131" s="4">
        <v>26</v>
      </c>
      <c r="B131" s="12" t="str">
        <f t="array" ref="B131">IF(A131:A448="","",_xlfn.XLOOKUP(A131:A448,'参照_勢力'!A:A,'参照_勢力'!B:B,"見つかりません"))</f>
      </c>
      <c r="C131" s="4">
        <v>59</v>
      </c>
      <c r="D131" s="12" t="str">
        <f t="array" ref="D131">IF(C131:C448="","",_xlfn.XLOOKUP(C131:C448,'参照_勢力'!A:A,'参照_勢力'!B:B,"見つかりません"))</f>
      </c>
      <c r="E131" s="4" t="inlineStr">
        <is>
          <t>友好</t>
        </is>
      </c>
      <c r="F131" s="4">
        <v>70</v>
      </c>
    </row>
    <row r="132" ht="15.75" customHeight="1">
      <c r="A132" s="4">
        <v>26</v>
      </c>
      <c r="B132" s="12" t="str">
        <f t="array" ref="B132">IF(A132:A449="","",_xlfn.XLOOKUP(A132:A449,'参照_勢力'!A:A,'参照_勢力'!B:B,"見つかりません"))</f>
      </c>
      <c r="C132" s="4">
        <v>60</v>
      </c>
      <c r="D132" s="12" t="str">
        <f t="array" ref="D132">IF(C132:C449="","",_xlfn.XLOOKUP(C132:C449,'参照_勢力'!A:A,'参照_勢力'!B:B,"見つかりません"))</f>
      </c>
      <c r="E132" s="4" t="inlineStr">
        <is>
          <t>敵対</t>
        </is>
      </c>
      <c r="F132" s="4">
        <v>0</v>
      </c>
    </row>
    <row r="133" ht="15.75" customHeight="1">
      <c r="A133" s="4">
        <v>26</v>
      </c>
      <c r="B133" s="12" t="str">
        <f t="array" ref="B133">IF(A133:A450="","",_xlfn.XLOOKUP(A133:A450,'参照_勢力'!A:A,'参照_勢力'!B:B,"見つかりません"))</f>
      </c>
      <c r="C133" s="4">
        <v>61</v>
      </c>
      <c r="D133" s="12" t="str">
        <f t="array" ref="D133">IF(C133:C450="","",_xlfn.XLOOKUP(C133:C450,'参照_勢力'!A:A,'参照_勢力'!B:B,"見つかりません"))</f>
      </c>
      <c r="E133" s="4" t="inlineStr">
        <is>
          <t>敵対</t>
        </is>
      </c>
      <c r="F133" s="4">
        <v>0</v>
      </c>
    </row>
    <row r="134" ht="15.75" customHeight="1">
      <c r="A134" s="4">
        <v>27</v>
      </c>
      <c r="B134" s="12" t="str">
        <f t="array" ref="B134">IF(A134:A451="","",_xlfn.XLOOKUP(A134:A451,'参照_勢力'!A:A,'参照_勢力'!B:B,"見つかりません"))</f>
      </c>
      <c r="C134" s="4">
        <v>2</v>
      </c>
      <c r="D134" s="12" t="str">
        <f t="array" ref="D134">IF(C134:C451="","",_xlfn.XLOOKUP(C134:C451,'参照_勢力'!A:A,'参照_勢力'!B:B,"見つかりません"))</f>
      </c>
      <c r="E134" s="4" t="inlineStr">
        <is>
          <t>同盟</t>
        </is>
      </c>
      <c r="F134" s="4">
        <v>80</v>
      </c>
    </row>
    <row r="135" ht="15.75" customHeight="1">
      <c r="A135" s="4">
        <v>27</v>
      </c>
      <c r="B135" s="12" t="str">
        <f t="array" ref="B135">IF(A135:A452="","",_xlfn.XLOOKUP(A135:A452,'参照_勢力'!A:A,'参照_勢力'!B:B,"見つかりません"))</f>
      </c>
      <c r="C135" s="4">
        <v>28</v>
      </c>
      <c r="D135" s="12" t="str">
        <f t="array" ref="D135">IF(C135:C452="","",_xlfn.XLOOKUP(C135:C452,'参照_勢力'!A:A,'参照_勢力'!B:B,"見つかりません"))</f>
      </c>
      <c r="E135" s="4" t="inlineStr">
        <is>
          <t>同盟</t>
        </is>
      </c>
      <c r="F135" s="4">
        <v>70</v>
      </c>
    </row>
    <row r="136" ht="15.75" customHeight="1">
      <c r="A136" s="4">
        <v>27</v>
      </c>
      <c r="B136" s="12" t="str">
        <f t="array" ref="B136">IF(A136:A453="","",_xlfn.XLOOKUP(A136:A453,'参照_勢力'!A:A,'参照_勢力'!B:B,"見つかりません"))</f>
      </c>
      <c r="C136" s="4">
        <v>32</v>
      </c>
      <c r="D136" s="12" t="str">
        <f t="array" ref="D136">IF(C136:C453="","",_xlfn.XLOOKUP(C136:C453,'参照_勢力'!A:A,'参照_勢力'!B:B,"見つかりません"))</f>
      </c>
      <c r="E136" s="4" t="inlineStr">
        <is>
          <t>同盟</t>
        </is>
      </c>
      <c r="F136" s="4">
        <v>70</v>
      </c>
    </row>
    <row r="137" ht="15.75" customHeight="1">
      <c r="A137" s="4">
        <v>28</v>
      </c>
      <c r="B137" s="12" t="str">
        <f t="array" ref="B137">IF(A137:A454="","",_xlfn.XLOOKUP(A137:A454,'参照_勢力'!A:A,'参照_勢力'!B:B,"見つかりません"))</f>
      </c>
      <c r="C137" s="4">
        <v>2</v>
      </c>
      <c r="D137" s="12" t="str">
        <f t="array" ref="D137">IF(C137:C454="","",_xlfn.XLOOKUP(C137:C454,'参照_勢力'!A:A,'参照_勢力'!B:B,"見つかりません"))</f>
      </c>
      <c r="E137" s="4" t="inlineStr">
        <is>
          <t>友好</t>
        </is>
      </c>
      <c r="F137" s="4">
        <v>70</v>
      </c>
    </row>
    <row r="138" ht="15.75" customHeight="1">
      <c r="A138" s="4">
        <v>28</v>
      </c>
      <c r="B138" s="12" t="str">
        <f t="array" ref="B138">IF(A138:A455="","",_xlfn.XLOOKUP(A138:A455,'参照_勢力'!A:A,'参照_勢力'!B:B,"見つかりません"))</f>
      </c>
      <c r="C138" s="4">
        <v>4</v>
      </c>
      <c r="D138" s="12" t="str">
        <f t="array" ref="D138">IF(C138:C455="","",_xlfn.XLOOKUP(C138:C455,'参照_勢力'!A:A,'参照_勢力'!B:B,"見つかりません"))</f>
      </c>
      <c r="E138" s="4" t="inlineStr">
        <is>
          <t>敵対</t>
        </is>
      </c>
      <c r="F138" s="4">
        <v>30</v>
      </c>
    </row>
    <row r="139" ht="15.75" customHeight="1">
      <c r="A139" s="4">
        <v>28</v>
      </c>
      <c r="B139" s="12" t="str">
        <f t="array" ref="B139">IF(A139:A456="","",_xlfn.XLOOKUP(A139:A456,'参照_勢力'!A:A,'参照_勢力'!B:B,"見つかりません"))</f>
      </c>
      <c r="C139" s="4">
        <v>27</v>
      </c>
      <c r="D139" s="12" t="str">
        <f t="array" ref="D139">IF(C139:C456="","",_xlfn.XLOOKUP(C139:C456,'参照_勢力'!A:A,'参照_勢力'!B:B,"見つかりません"))</f>
      </c>
      <c r="E139" s="4" t="inlineStr">
        <is>
          <t>同盟</t>
        </is>
      </c>
      <c r="F139" s="4">
        <v>70</v>
      </c>
    </row>
    <row r="140" ht="15.75" customHeight="1">
      <c r="A140" s="4">
        <v>28</v>
      </c>
      <c r="B140" s="12" t="str">
        <f t="array" ref="B140">IF(A140:A457="","",_xlfn.XLOOKUP(A140:A457,'参照_勢力'!A:A,'参照_勢力'!B:B,"見つかりません"))</f>
      </c>
      <c r="C140" s="4">
        <v>29</v>
      </c>
      <c r="D140" s="12" t="str">
        <f t="array" ref="D140">IF(C140:C457="","",_xlfn.XLOOKUP(C140:C457,'参照_勢力'!A:A,'参照_勢力'!B:B,"見つかりません"))</f>
      </c>
      <c r="E140" s="4" t="inlineStr">
        <is>
          <t>敵対</t>
        </is>
      </c>
      <c r="F140" s="4">
        <v>30</v>
      </c>
    </row>
    <row r="141" ht="15.75" customHeight="1">
      <c r="A141" s="4">
        <v>28</v>
      </c>
      <c r="B141" s="12" t="str">
        <f t="array" ref="B141">IF(A141:A458="","",_xlfn.XLOOKUP(A141:A458,'参照_勢力'!A:A,'参照_勢力'!B:B,"見つかりません"))</f>
      </c>
      <c r="C141" s="4">
        <v>32</v>
      </c>
      <c r="D141" s="12" t="str">
        <f t="array" ref="D141">IF(C141:C458="","",_xlfn.XLOOKUP(C141:C458,'参照_勢力'!A:A,'参照_勢力'!B:B,"見つかりません"))</f>
      </c>
      <c r="E141" s="4" t="inlineStr">
        <is>
          <t>同盟</t>
        </is>
      </c>
      <c r="F141" s="4">
        <v>80</v>
      </c>
    </row>
    <row r="142" ht="15.75" customHeight="1">
      <c r="A142" s="4">
        <v>28</v>
      </c>
      <c r="B142" s="12" t="str">
        <f t="array" ref="B142">IF(A142:A459="","",_xlfn.XLOOKUP(A142:A459,'参照_勢力'!A:A,'参照_勢力'!B:B,"見つかりません"))</f>
      </c>
      <c r="C142" s="4">
        <v>215</v>
      </c>
      <c r="D142" s="12" t="str">
        <f t="array" ref="D142">IF(C142:C459="","",_xlfn.XLOOKUP(C142:C459,'参照_勢力'!A:A,'参照_勢力'!B:B,"見つかりません"))</f>
      </c>
      <c r="E142" s="4" t="inlineStr">
        <is>
          <t>友好</t>
        </is>
      </c>
      <c r="F142" s="4">
        <v>60</v>
      </c>
    </row>
    <row r="143" ht="15.75" customHeight="1">
      <c r="A143" s="4">
        <v>29</v>
      </c>
      <c r="B143" s="12" t="str">
        <f t="array" ref="B143">IF(A143:A460="","",_xlfn.XLOOKUP(A143:A460,'参照_勢力'!A:A,'参照_勢力'!B:B,"見つかりません"))</f>
      </c>
      <c r="C143" s="4">
        <v>4</v>
      </c>
      <c r="D143" s="12" t="str">
        <f t="array" ref="D143">IF(C143:C460="","",_xlfn.XLOOKUP(C143:C460,'参照_勢力'!A:A,'参照_勢力'!B:B,"見つかりません"))</f>
      </c>
      <c r="E143" s="4" t="inlineStr">
        <is>
          <t>同盟</t>
        </is>
      </c>
      <c r="F143" s="4">
        <v>30</v>
      </c>
    </row>
    <row r="144" ht="15.75" customHeight="1">
      <c r="A144" s="4">
        <v>29</v>
      </c>
      <c r="B144" s="12" t="str">
        <f t="array" ref="B144">IF(A144:A461="","",_xlfn.XLOOKUP(A144:A461,'参照_勢力'!A:A,'参照_勢力'!B:B,"見つかりません"))</f>
      </c>
      <c r="C144" s="4">
        <v>28</v>
      </c>
      <c r="D144" s="12" t="str">
        <f t="array" ref="D144">IF(C144:C461="","",_xlfn.XLOOKUP(C144:C461,'参照_勢力'!A:A,'参照_勢力'!B:B,"見つかりません"))</f>
      </c>
      <c r="E144" s="4" t="inlineStr">
        <is>
          <t>敵対</t>
        </is>
      </c>
      <c r="F144" s="4">
        <v>30</v>
      </c>
    </row>
    <row r="145" ht="15.75" customHeight="1">
      <c r="A145" s="4">
        <v>29</v>
      </c>
      <c r="B145" s="12" t="str">
        <f t="array" ref="B145">IF(A145:A462="","",_xlfn.XLOOKUP(A145:A462,'参照_勢力'!A:A,'参照_勢力'!B:B,"見つかりません"))</f>
      </c>
      <c r="C145" s="4">
        <v>32</v>
      </c>
      <c r="D145" s="12" t="str">
        <f t="array" ref="D145">IF(C145:C462="","",_xlfn.XLOOKUP(C145:C462,'参照_勢力'!A:A,'参照_勢力'!B:B,"見つかりません"))</f>
      </c>
      <c r="E145" s="4" t="inlineStr">
        <is>
          <t>敵対</t>
        </is>
      </c>
      <c r="F145" s="4">
        <v>30</v>
      </c>
    </row>
    <row r="146" ht="15.75" customHeight="1">
      <c r="A146" s="4">
        <v>29</v>
      </c>
      <c r="B146" s="12" t="str">
        <f t="array" ref="B146">IF(A146:A463="","",_xlfn.XLOOKUP(A146:A463,'参照_勢力'!A:A,'参照_勢力'!B:B,"見つかりません"))</f>
      </c>
      <c r="C146" s="4">
        <v>35</v>
      </c>
      <c r="D146" s="12" t="str">
        <f t="array" ref="D146">IF(C146:C463="","",_xlfn.XLOOKUP(C146:C463,'参照_勢力'!A:A,'参照_勢力'!B:B,"見つかりません"))</f>
      </c>
      <c r="E146" s="4" t="inlineStr">
        <is>
          <t>敵対</t>
        </is>
      </c>
      <c r="F146" s="4">
        <v>30</v>
      </c>
    </row>
    <row r="147" ht="15.75" customHeight="1">
      <c r="A147" s="4">
        <v>32</v>
      </c>
      <c r="B147" s="12" t="str">
        <f t="array" ref="B147">IF(A147:A464="","",_xlfn.XLOOKUP(A147:A464,'参照_勢力'!A:A,'参照_勢力'!B:B,"見つかりません"))</f>
      </c>
      <c r="C147" s="4">
        <v>2</v>
      </c>
      <c r="D147" s="12" t="str">
        <f t="array" ref="D147">IF(C147:C464="","",_xlfn.XLOOKUP(C147:C464,'参照_勢力'!A:A,'参照_勢力'!B:B,"見つかりません"))</f>
      </c>
      <c r="E147" s="4" t="inlineStr">
        <is>
          <t>同盟</t>
        </is>
      </c>
      <c r="F147" s="4">
        <v>80</v>
      </c>
    </row>
    <row r="148" ht="15.75" customHeight="1">
      <c r="A148" s="4">
        <v>32</v>
      </c>
      <c r="B148" s="12" t="str">
        <f t="array" ref="B148">IF(A148:A465="","",_xlfn.XLOOKUP(A148:A465,'参照_勢力'!A:A,'参照_勢力'!B:B,"見つかりません"))</f>
      </c>
      <c r="C148" s="4">
        <v>27</v>
      </c>
      <c r="D148" s="12" t="str">
        <f t="array" ref="D148">IF(C148:C465="","",_xlfn.XLOOKUP(C148:C465,'参照_勢力'!A:A,'参照_勢力'!B:B,"見つかりません"))</f>
      </c>
      <c r="E148" s="4" t="inlineStr">
        <is>
          <t>同盟</t>
        </is>
      </c>
      <c r="F148" s="4">
        <v>70</v>
      </c>
    </row>
    <row r="149" ht="15.75" customHeight="1">
      <c r="A149" s="4">
        <v>32</v>
      </c>
      <c r="B149" s="12" t="str">
        <f t="array" ref="B149">IF(A149:A466="","",_xlfn.XLOOKUP(A149:A466,'参照_勢力'!A:A,'参照_勢力'!B:B,"見つかりません"))</f>
      </c>
      <c r="C149" s="4">
        <v>28</v>
      </c>
      <c r="D149" s="12" t="str">
        <f t="array" ref="D149">IF(C149:C466="","",_xlfn.XLOOKUP(C149:C466,'参照_勢力'!A:A,'参照_勢力'!B:B,"見つかりません"))</f>
      </c>
      <c r="E149" s="4" t="inlineStr">
        <is>
          <t>同盟</t>
        </is>
      </c>
      <c r="F149" s="4">
        <v>80</v>
      </c>
    </row>
    <row r="150" ht="15.75" customHeight="1">
      <c r="A150" s="4">
        <v>32</v>
      </c>
      <c r="B150" s="12" t="str">
        <f t="array" ref="B150">IF(A150:A467="","",_xlfn.XLOOKUP(A150:A467,'参照_勢力'!A:A,'参照_勢力'!B:B,"見つかりません"))</f>
      </c>
      <c r="C150" s="4">
        <v>29</v>
      </c>
      <c r="D150" s="12" t="str">
        <f t="array" ref="D150">IF(C150:C467="","",_xlfn.XLOOKUP(C150:C467,'参照_勢力'!A:A,'参照_勢力'!B:B,"見つかりません"))</f>
      </c>
      <c r="E150" s="4" t="inlineStr">
        <is>
          <t>敵対</t>
        </is>
      </c>
      <c r="F150" s="4">
        <v>30</v>
      </c>
    </row>
    <row r="151" ht="15.75" customHeight="1">
      <c r="A151" s="4">
        <v>32</v>
      </c>
      <c r="B151" s="12" t="str">
        <f t="array" ref="B151">IF(A151:A468="","",_xlfn.XLOOKUP(A151:A468,'参照_勢力'!A:A,'参照_勢力'!B:B,"見つかりません"))</f>
      </c>
      <c r="C151" s="4">
        <v>34</v>
      </c>
      <c r="D151" s="12" t="str">
        <f t="array" ref="D151">IF(C151:C468="","",_xlfn.XLOOKUP(C151:C468,'参照_勢力'!A:A,'参照_勢力'!B:B,"見つかりません"))</f>
      </c>
      <c r="E151" s="4" t="inlineStr">
        <is>
          <t>敵対</t>
        </is>
      </c>
      <c r="F151" s="4">
        <v>30</v>
      </c>
    </row>
    <row r="152" ht="15.75" customHeight="1">
      <c r="A152" s="4">
        <v>32</v>
      </c>
      <c r="B152" s="12" t="str">
        <f t="array" ref="B152">IF(A152:A469="","",_xlfn.XLOOKUP(A152:A469,'参照_勢力'!A:A,'参照_勢力'!B:B,"見つかりません"))</f>
      </c>
      <c r="C152" s="4">
        <v>35</v>
      </c>
      <c r="D152" s="12" t="str">
        <f t="array" ref="D152">IF(C152:C469="","",_xlfn.XLOOKUP(C152:C469,'参照_勢力'!A:A,'参照_勢力'!B:B,"見つかりません"))</f>
      </c>
      <c r="E152" s="4" t="inlineStr">
        <is>
          <t>敵対</t>
        </is>
      </c>
      <c r="F152" s="4">
        <v>30</v>
      </c>
    </row>
    <row r="153" ht="15.75" customHeight="1">
      <c r="A153" s="4">
        <v>32</v>
      </c>
      <c r="B153" s="12" t="str">
        <f t="array" ref="B153">IF(A153:A470="","",_xlfn.XLOOKUP(A153:A470,'参照_勢力'!A:A,'参照_勢力'!B:B,"見つかりません"))</f>
      </c>
      <c r="C153" s="4">
        <v>36</v>
      </c>
      <c r="D153" s="12" t="str">
        <f t="array" ref="D153">IF(C153:C470="","",_xlfn.XLOOKUP(C153:C470,'参照_勢力'!A:A,'参照_勢力'!B:B,"見つかりません"))</f>
      </c>
      <c r="E153" s="4" t="inlineStr">
        <is>
          <t>同盟</t>
        </is>
      </c>
      <c r="F153" s="4">
        <v>70</v>
      </c>
    </row>
    <row r="154" ht="15.75" customHeight="1">
      <c r="A154" s="4">
        <v>32</v>
      </c>
      <c r="B154" s="12" t="str">
        <f t="array" ref="B154">IF(A154:A471="","",_xlfn.XLOOKUP(A154:A471,'参照_勢力'!A:A,'参照_勢力'!B:B,"見つかりません"))</f>
      </c>
      <c r="C154" s="4">
        <v>80</v>
      </c>
      <c r="D154" s="12" t="str">
        <f t="array" ref="D154">IF(C154:C471="","",_xlfn.XLOOKUP(C154:C471,'参照_勢力'!A:A,'参照_勢力'!B:B,"見つかりません"))</f>
      </c>
      <c r="E154" s="4" t="inlineStr">
        <is>
          <t>支配</t>
        </is>
      </c>
      <c r="F154" s="4">
        <v>100</v>
      </c>
    </row>
    <row r="155" ht="15.75" customHeight="1">
      <c r="A155" s="4">
        <v>33</v>
      </c>
      <c r="B155" s="12" t="str">
        <f t="array" ref="B155">IF(A155:A472="","",_xlfn.XLOOKUP(A155:A472,'参照_勢力'!A:A,'参照_勢力'!B:B,"見つかりません"))</f>
      </c>
      <c r="C155" s="4">
        <v>3</v>
      </c>
      <c r="D155" s="12" t="str">
        <f t="array" ref="D155">IF(C155:C472="","",_xlfn.XLOOKUP(C155:C472,'参照_勢力'!A:A,'参照_勢力'!B:B,"見つかりません"))</f>
      </c>
      <c r="E155" s="4" t="inlineStr">
        <is>
          <t>同盟</t>
        </is>
      </c>
      <c r="F155" s="4">
        <v>70</v>
      </c>
    </row>
    <row r="156" ht="15.75" customHeight="1">
      <c r="A156" s="4">
        <v>33</v>
      </c>
      <c r="B156" s="12" t="str">
        <f t="array" ref="B156">IF(A156:A473="","",_xlfn.XLOOKUP(A156:A473,'参照_勢力'!A:A,'参照_勢力'!B:B,"見つかりません"))</f>
      </c>
      <c r="C156" s="4">
        <v>4</v>
      </c>
      <c r="D156" s="12" t="str">
        <f t="array" ref="D156">IF(C156:C473="","",_xlfn.XLOOKUP(C156:C473,'参照_勢力'!A:A,'参照_勢力'!B:B,"見つかりません"))</f>
      </c>
      <c r="E156" s="4" t="inlineStr">
        <is>
          <t>同盟</t>
        </is>
      </c>
      <c r="F156" s="4">
        <v>70</v>
      </c>
    </row>
    <row r="157" ht="15.75" customHeight="1">
      <c r="A157" s="4">
        <v>33</v>
      </c>
      <c r="B157" s="12" t="str">
        <f t="array" ref="B157">IF(A157:A474="","",_xlfn.XLOOKUP(A157:A474,'参照_勢力'!A:A,'参照_勢力'!B:B,"見つかりません"))</f>
      </c>
      <c r="C157" s="4">
        <v>79</v>
      </c>
      <c r="D157" s="12" t="str">
        <f t="array" ref="D157">IF(C157:C474="","",_xlfn.XLOOKUP(C157:C474,'参照_勢力'!A:A,'参照_勢力'!B:B,"見つかりません"))</f>
      </c>
      <c r="E157" s="4" t="inlineStr">
        <is>
          <t>敵対</t>
        </is>
      </c>
      <c r="F157" s="4">
        <v>30</v>
      </c>
    </row>
    <row r="158" ht="15.75" customHeight="1">
      <c r="A158" s="4">
        <v>34</v>
      </c>
      <c r="B158" s="12" t="str">
        <f t="array" ref="B158">IF(A158:A475="","",_xlfn.XLOOKUP(A158:A475,'参照_勢力'!A:A,'参照_勢力'!B:B,"見つかりません"))</f>
      </c>
      <c r="C158" s="4">
        <v>2</v>
      </c>
      <c r="D158" s="12" t="str">
        <f t="array" ref="D158">IF(C158:C475="","",_xlfn.XLOOKUP(C158:C475,'参照_勢力'!A:A,'参照_勢力'!B:B,"見つかりません"))</f>
      </c>
      <c r="E158" s="4" t="inlineStr">
        <is>
          <t>同盟</t>
        </is>
      </c>
      <c r="F158" s="4">
        <v>65</v>
      </c>
    </row>
    <row r="159" ht="15.75" customHeight="1">
      <c r="A159" s="4">
        <v>34</v>
      </c>
      <c r="B159" s="12" t="str">
        <f t="array" ref="B159">IF(A159:A476="","",_xlfn.XLOOKUP(A159:A476,'参照_勢力'!A:A,'参照_勢力'!B:B,"見つかりません"))</f>
      </c>
      <c r="C159" s="4">
        <v>32</v>
      </c>
      <c r="D159" s="12" t="str">
        <f t="array" ref="D159">IF(C159:C476="","",_xlfn.XLOOKUP(C159:C476,'参照_勢力'!A:A,'参照_勢力'!B:B,"見つかりません"))</f>
      </c>
      <c r="E159" s="4" t="inlineStr">
        <is>
          <t>敵対</t>
        </is>
      </c>
      <c r="F159" s="4">
        <v>30</v>
      </c>
    </row>
    <row r="160" ht="15.75" customHeight="1">
      <c r="A160" s="4">
        <v>35</v>
      </c>
      <c r="B160" s="12" t="str">
        <f t="array" ref="B160">IF(A160:A477="","",_xlfn.XLOOKUP(A160:A477,'参照_勢力'!A:A,'参照_勢力'!B:B,"見つかりません"))</f>
      </c>
      <c r="C160" s="4">
        <v>2</v>
      </c>
      <c r="D160" s="12" t="str">
        <f t="array" ref="D160">IF(C160:C477="","",_xlfn.XLOOKUP(C160:C477,'参照_勢力'!A:A,'参照_勢力'!B:B,"見つかりません"))</f>
      </c>
      <c r="E160" s="4" t="inlineStr">
        <is>
          <t>同盟</t>
        </is>
      </c>
      <c r="F160" s="4">
        <v>80</v>
      </c>
    </row>
    <row r="161" ht="15.75" customHeight="1">
      <c r="A161" s="4">
        <v>35</v>
      </c>
      <c r="B161" s="12" t="str">
        <f t="array" ref="B161">IF(A161:A478="","",_xlfn.XLOOKUP(A161:A478,'参照_勢力'!A:A,'参照_勢力'!B:B,"見つかりません"))</f>
      </c>
      <c r="C161" s="4">
        <v>29</v>
      </c>
      <c r="D161" s="12" t="str">
        <f t="array" ref="D161">IF(C161:C478="","",_xlfn.XLOOKUP(C161:C478,'参照_勢力'!A:A,'参照_勢力'!B:B,"見つかりません"))</f>
      </c>
      <c r="E161" s="4" t="inlineStr">
        <is>
          <t>敵対</t>
        </is>
      </c>
      <c r="F161" s="4">
        <v>30</v>
      </c>
    </row>
    <row r="162" ht="15.75" customHeight="1">
      <c r="A162" s="4">
        <v>35</v>
      </c>
      <c r="B162" s="12" t="str">
        <f t="array" ref="B162">IF(A162:A479="","",_xlfn.XLOOKUP(A162:A479,'参照_勢力'!A:A,'参照_勢力'!B:B,"見つかりません"))</f>
      </c>
      <c r="C162" s="4">
        <v>32</v>
      </c>
      <c r="D162" s="12" t="str">
        <f t="array" ref="D162">IF(C162:C479="","",_xlfn.XLOOKUP(C162:C479,'参照_勢力'!A:A,'参照_勢力'!B:B,"見つかりません"))</f>
      </c>
      <c r="E162" s="4" t="inlineStr">
        <is>
          <t>敵対</t>
        </is>
      </c>
      <c r="F162" s="4">
        <v>30</v>
      </c>
    </row>
    <row r="163" ht="15.75" customHeight="1">
      <c r="A163" s="4">
        <v>36</v>
      </c>
      <c r="B163" s="12" t="str">
        <f t="array" ref="B163">IF(A163:A480="","",_xlfn.XLOOKUP(A163:A480,'参照_勢力'!A:A,'参照_勢力'!B:B,"見つかりません"))</f>
      </c>
      <c r="C163" s="4">
        <v>2</v>
      </c>
      <c r="D163" s="12" t="str">
        <f t="array" ref="D163">IF(C163:C480="","",_xlfn.XLOOKUP(C163:C480,'参照_勢力'!A:A,'参照_勢力'!B:B,"見つかりません"))</f>
      </c>
      <c r="E163" s="4" t="inlineStr">
        <is>
          <t>友好</t>
        </is>
      </c>
      <c r="F163" s="4">
        <v>70</v>
      </c>
    </row>
    <row r="164" ht="15.75" customHeight="1">
      <c r="A164" s="4">
        <v>36</v>
      </c>
      <c r="B164" s="12" t="str">
        <f t="array" ref="B164">IF(A164:A481="","",_xlfn.XLOOKUP(A164:A481,'参照_勢力'!A:A,'参照_勢力'!B:B,"見つかりません"))</f>
      </c>
      <c r="C164" s="4">
        <v>4</v>
      </c>
      <c r="D164" s="12" t="str">
        <f t="array" ref="D164">IF(C164:C481="","",_xlfn.XLOOKUP(C164:C481,'参照_勢力'!A:A,'参照_勢力'!B:B,"見つかりません"))</f>
      </c>
      <c r="E164" s="4" t="inlineStr">
        <is>
          <t>敵対</t>
        </is>
      </c>
      <c r="F164" s="4">
        <v>30</v>
      </c>
    </row>
    <row r="165" ht="15.75" customHeight="1">
      <c r="A165" s="4">
        <v>36</v>
      </c>
      <c r="B165" s="12" t="str">
        <f t="array" ref="B165">IF(A165:A482="","",_xlfn.XLOOKUP(A165:A482,'参照_勢力'!A:A,'参照_勢力'!B:B,"見つかりません"))</f>
      </c>
      <c r="C165" s="4">
        <v>32</v>
      </c>
      <c r="D165" s="12" t="str">
        <f t="array" ref="D165">IF(C165:C482="","",_xlfn.XLOOKUP(C165:C482,'参照_勢力'!A:A,'参照_勢力'!B:B,"見つかりません"))</f>
      </c>
      <c r="E165" s="4" t="inlineStr">
        <is>
          <t>同盟</t>
        </is>
      </c>
      <c r="F165" s="4">
        <v>70</v>
      </c>
    </row>
    <row r="166" ht="15.75" customHeight="1">
      <c r="A166" s="4">
        <v>39</v>
      </c>
      <c r="B166" s="12" t="str">
        <f t="array" ref="B166">IF(A166:A483="","",_xlfn.XLOOKUP(A166:A483,'参照_勢力'!A:A,'参照_勢力'!B:B,"見つかりません"))</f>
      </c>
      <c r="C166" s="4">
        <v>43</v>
      </c>
      <c r="D166" s="12" t="str">
        <f t="array" ref="D166">IF(C166:C483="","",_xlfn.XLOOKUP(C166:C483,'参照_勢力'!A:A,'参照_勢力'!B:B,"見つかりません"))</f>
      </c>
      <c r="E166" s="4" t="inlineStr">
        <is>
          <t>敵対</t>
        </is>
      </c>
      <c r="F166" s="4">
        <v>30</v>
      </c>
    </row>
    <row r="167" ht="15.75" customHeight="1">
      <c r="A167" s="4">
        <v>39</v>
      </c>
      <c r="B167" s="12" t="str">
        <f t="array" ref="B167">IF(A167:A484="","",_xlfn.XLOOKUP(A167:A484,'参照_勢力'!A:A,'参照_勢力'!B:B,"見つかりません"))</f>
      </c>
      <c r="C167" s="4">
        <v>226</v>
      </c>
      <c r="D167" s="12" t="str">
        <f t="array" ref="D167">IF(C167:C484="","",_xlfn.XLOOKUP(C167:C484,'参照_勢力'!A:A,'参照_勢力'!B:B,"見つかりません"))</f>
      </c>
      <c r="E167" s="4" t="inlineStr">
        <is>
          <t>敵対</t>
        </is>
      </c>
      <c r="F167" s="4">
        <v>100</v>
      </c>
    </row>
    <row r="168" ht="15.75" customHeight="1">
      <c r="A168" s="4">
        <v>40</v>
      </c>
      <c r="B168" s="12" t="str">
        <f t="array" ref="B168">IF(A168:A485="","",_xlfn.XLOOKUP(A168:A485,'参照_勢力'!A:A,'参照_勢力'!B:B,"見つかりません"))</f>
      </c>
      <c r="C168" s="4">
        <v>16</v>
      </c>
      <c r="D168" s="12" t="str">
        <f t="array" ref="D168">IF(C168:C485="","",_xlfn.XLOOKUP(C168:C485,'参照_勢力'!A:A,'参照_勢力'!B:B,"見つかりません"))</f>
      </c>
      <c r="E168" s="4" t="inlineStr">
        <is>
          <t>敵対</t>
        </is>
      </c>
      <c r="F168" s="4">
        <v>30</v>
      </c>
    </row>
    <row r="169" ht="15.75" customHeight="1">
      <c r="A169" s="4">
        <v>40</v>
      </c>
      <c r="B169" s="12" t="str">
        <f t="array" ref="B169">IF(A169:A486="","",_xlfn.XLOOKUP(A169:A486,'参照_勢力'!A:A,'参照_勢力'!B:B,"見つかりません"))</f>
      </c>
      <c r="C169" s="4">
        <v>17</v>
      </c>
      <c r="D169" s="12" t="str">
        <f t="array" ref="D169">IF(C169:C486="","",_xlfn.XLOOKUP(C169:C486,'参照_勢力'!A:A,'参照_勢力'!B:B,"見つかりません"))</f>
      </c>
      <c r="E169" s="4" t="inlineStr">
        <is>
          <t>友好</t>
        </is>
      </c>
      <c r="F169" s="4">
        <v>70</v>
      </c>
    </row>
    <row r="170" ht="15.75" customHeight="1">
      <c r="A170" s="4">
        <v>40</v>
      </c>
      <c r="B170" s="12" t="str">
        <f t="array" ref="B170">IF(A170:A487="","",_xlfn.XLOOKUP(A170:A487,'参照_勢力'!A:A,'参照_勢力'!B:B,"見つかりません"))</f>
      </c>
      <c r="C170" s="4">
        <v>20</v>
      </c>
      <c r="D170" s="12" t="str">
        <f t="array" ref="D170">IF(C170:C487="","",_xlfn.XLOOKUP(C170:C487,'参照_勢力'!A:A,'参照_勢力'!B:B,"見つかりません"))</f>
      </c>
      <c r="E170" s="4" t="inlineStr">
        <is>
          <t>友好</t>
        </is>
      </c>
      <c r="F170" s="4">
        <v>70</v>
      </c>
    </row>
    <row r="171" ht="15.75" customHeight="1">
      <c r="A171" s="4">
        <v>40</v>
      </c>
      <c r="B171" s="12" t="str">
        <f t="array" ref="B171">IF(A171:A488="","",_xlfn.XLOOKUP(A171:A488,'参照_勢力'!A:A,'参照_勢力'!B:B,"見つかりません"))</f>
      </c>
      <c r="C171" s="4">
        <v>44</v>
      </c>
      <c r="D171" s="12" t="str">
        <f t="array" ref="D171">IF(C171:C488="","",_xlfn.XLOOKUP(C171:C488,'参照_勢力'!A:A,'参照_勢力'!B:B,"見つかりません"))</f>
      </c>
      <c r="E171" s="4" t="inlineStr">
        <is>
          <t>敵対</t>
        </is>
      </c>
      <c r="F171" s="4">
        <v>0</v>
      </c>
    </row>
    <row r="172" ht="15.75" customHeight="1">
      <c r="A172" s="4">
        <v>41</v>
      </c>
      <c r="B172" s="12" t="str">
        <f t="array" ref="B172">IF(A172:A489="","",_xlfn.XLOOKUP(A172:A489,'参照_勢力'!A:A,'参照_勢力'!B:B,"見つかりません"))</f>
      </c>
      <c r="C172" s="4">
        <v>17</v>
      </c>
      <c r="D172" s="12" t="str">
        <f t="array" ref="D172">IF(C172:C489="","",_xlfn.XLOOKUP(C172:C489,'参照_勢力'!A:A,'参照_勢力'!B:B,"見つかりません"))</f>
      </c>
      <c r="E172" s="4" t="inlineStr">
        <is>
          <t>友好</t>
        </is>
      </c>
      <c r="F172" s="4">
        <v>90</v>
      </c>
    </row>
    <row r="173" ht="15.75" customHeight="1">
      <c r="A173" s="4">
        <v>41</v>
      </c>
      <c r="B173" s="12" t="str">
        <f t="array" ref="B173">IF(A173:A490="","",_xlfn.XLOOKUP(A173:A490,'参照_勢力'!A:A,'参照_勢力'!B:B,"見つかりません"))</f>
      </c>
      <c r="C173" s="4">
        <v>20</v>
      </c>
      <c r="D173" s="12" t="str">
        <f t="array" ref="D173">IF(C173:C490="","",_xlfn.XLOOKUP(C173:C490,'参照_勢力'!A:A,'参照_勢力'!B:B,"見つかりません"))</f>
      </c>
      <c r="E173" s="4" t="inlineStr">
        <is>
          <t>敵対</t>
        </is>
      </c>
      <c r="F173" s="4">
        <v>0</v>
      </c>
    </row>
    <row r="174" ht="15.75" customHeight="1">
      <c r="A174" s="4">
        <v>41</v>
      </c>
      <c r="B174" s="12" t="str">
        <f t="array" ref="B174">IF(A174:A491="","",_xlfn.XLOOKUP(A174:A491,'参照_勢力'!A:A,'参照_勢力'!B:B,"見つかりません"))</f>
      </c>
      <c r="C174" s="4">
        <v>21</v>
      </c>
      <c r="D174" s="12" t="str">
        <f t="array" ref="D174">IF(C174:C491="","",_xlfn.XLOOKUP(C174:C491,'参照_勢力'!A:A,'参照_勢力'!B:B,"見つかりません"))</f>
      </c>
      <c r="E174" s="4" t="inlineStr">
        <is>
          <t>支配</t>
        </is>
      </c>
      <c r="F174" s="4">
        <v>100</v>
      </c>
    </row>
    <row r="175" ht="15.75" customHeight="1">
      <c r="A175" s="4">
        <v>42</v>
      </c>
      <c r="B175" s="12" t="str">
        <f t="array" ref="B175">IF(A175:A492="","",_xlfn.XLOOKUP(A175:A492,'参照_勢力'!A:A,'参照_勢力'!B:B,"見つかりません"))</f>
      </c>
      <c r="C175" s="4">
        <v>48</v>
      </c>
      <c r="D175" s="12" t="str">
        <f t="array" ref="D175">IF(C175:C492="","",_xlfn.XLOOKUP(C175:C492,'参照_勢力'!A:A,'参照_勢力'!B:B,"見つかりません"))</f>
      </c>
      <c r="E175" s="4" t="inlineStr">
        <is>
          <t>敵対</t>
        </is>
      </c>
      <c r="F175" s="4">
        <v>0</v>
      </c>
    </row>
    <row r="176" ht="15.75" customHeight="1">
      <c r="A176" s="4">
        <v>43</v>
      </c>
      <c r="B176" s="12" t="str">
        <f t="array" ref="B176">IF(A176:A493="","",_xlfn.XLOOKUP(A176:A493,'参照_勢力'!A:A,'参照_勢力'!B:B,"見つかりません"))</f>
      </c>
      <c r="C176" s="4">
        <v>25</v>
      </c>
      <c r="D176" s="12" t="str">
        <f t="array" ref="D176">IF(C176:C493="","",_xlfn.XLOOKUP(C176:C493,'参照_勢力'!A:A,'参照_勢力'!B:B,"見つかりません"))</f>
      </c>
      <c r="E176" s="4" t="inlineStr">
        <is>
          <t>敵対</t>
        </is>
      </c>
      <c r="F176" s="4">
        <v>0</v>
      </c>
    </row>
    <row r="177" ht="15.75" customHeight="1">
      <c r="A177" s="4">
        <v>43</v>
      </c>
      <c r="B177" s="12" t="str">
        <f t="array" ref="B177">IF(A177:A494="","",_xlfn.XLOOKUP(A177:A494,'参照_勢力'!A:A,'参照_勢力'!B:B,"見つかりません"))</f>
      </c>
      <c r="C177" s="4">
        <v>39</v>
      </c>
      <c r="D177" s="12" t="str">
        <f t="array" ref="D177">IF(C177:C494="","",_xlfn.XLOOKUP(C177:C494,'参照_勢力'!A:A,'参照_勢力'!B:B,"見つかりません"))</f>
      </c>
      <c r="E177" s="4" t="inlineStr">
        <is>
          <t>敵対</t>
        </is>
      </c>
      <c r="F177" s="4">
        <v>30</v>
      </c>
    </row>
    <row r="178" ht="15.75" customHeight="1">
      <c r="A178" s="4">
        <v>43</v>
      </c>
      <c r="B178" s="12" t="str">
        <f t="array" ref="B178">IF(A178:A495="","",_xlfn.XLOOKUP(A178:A495,'参照_勢力'!A:A,'参照_勢力'!B:B,"見つかりません"))</f>
      </c>
      <c r="C178" s="4">
        <v>44</v>
      </c>
      <c r="D178" s="12" t="str">
        <f t="array" ref="D178">IF(C178:C495="","",_xlfn.XLOOKUP(C178:C495,'参照_勢力'!A:A,'参照_勢力'!B:B,"見つかりません"))</f>
      </c>
      <c r="E178" s="4" t="inlineStr">
        <is>
          <t>同盟</t>
        </is>
      </c>
      <c r="F178" s="4">
        <v>70</v>
      </c>
    </row>
    <row r="179" ht="15.75" customHeight="1">
      <c r="A179" s="4">
        <v>43</v>
      </c>
      <c r="B179" s="12" t="str">
        <f t="array" ref="B179">IF(A179:A496="","",_xlfn.XLOOKUP(A179:A496,'参照_勢力'!A:A,'参照_勢力'!B:B,"見つかりません"))</f>
      </c>
      <c r="C179" s="4">
        <v>45</v>
      </c>
      <c r="D179" s="12" t="str">
        <f t="array" ref="D179">IF(C179:C496="","",_xlfn.XLOOKUP(C179:C496,'参照_勢力'!A:A,'参照_勢力'!B:B,"見つかりません"))</f>
      </c>
      <c r="E179" s="4" t="inlineStr">
        <is>
          <t>敵対</t>
        </is>
      </c>
      <c r="F179" s="4">
        <v>0</v>
      </c>
    </row>
    <row r="180" ht="15.75" customHeight="1">
      <c r="A180" s="4">
        <v>43</v>
      </c>
      <c r="B180" s="12" t="str">
        <f t="array" ref="B180">IF(A180:A497="","",_xlfn.XLOOKUP(A180:A497,'参照_勢力'!A:A,'参照_勢力'!B:B,"見つかりません"))</f>
      </c>
      <c r="C180" s="4">
        <v>226</v>
      </c>
      <c r="D180" s="12" t="str">
        <f t="array" ref="D180">IF(C180:C497="","",_xlfn.XLOOKUP(C180:C497,'参照_勢力'!A:A,'参照_勢力'!B:B,"見つかりません"))</f>
      </c>
      <c r="E180" s="4" t="inlineStr">
        <is>
          <t>敵対</t>
        </is>
      </c>
      <c r="F180" s="4">
        <v>0</v>
      </c>
    </row>
    <row r="181" ht="15.75" customHeight="1">
      <c r="A181" s="4">
        <v>44</v>
      </c>
      <c r="B181" s="12" t="str">
        <f t="array" ref="B181">IF(A181:A498="","",_xlfn.XLOOKUP(A181:A498,'参照_勢力'!A:A,'参照_勢力'!B:B,"見つかりません"))</f>
      </c>
      <c r="C181" s="4">
        <v>25</v>
      </c>
      <c r="D181" s="12" t="str">
        <f t="array" ref="D181">IF(C181:C498="","",_xlfn.XLOOKUP(C181:C498,'参照_勢力'!A:A,'参照_勢力'!B:B,"見つかりません"))</f>
      </c>
      <c r="E181" s="4" t="inlineStr">
        <is>
          <t>敵対</t>
        </is>
      </c>
      <c r="F181" s="4">
        <v>0</v>
      </c>
    </row>
    <row r="182" ht="15.75" customHeight="1">
      <c r="A182" s="4">
        <v>44</v>
      </c>
      <c r="B182" s="12" t="str">
        <f t="array" ref="B182">IF(A182:A499="","",_xlfn.XLOOKUP(A182:A499,'参照_勢力'!A:A,'参照_勢力'!B:B,"見つかりません"))</f>
      </c>
      <c r="C182" s="4">
        <v>40</v>
      </c>
      <c r="D182" s="12" t="str">
        <f t="array" ref="D182">IF(C182:C499="","",_xlfn.XLOOKUP(C182:C499,'参照_勢力'!A:A,'参照_勢力'!B:B,"見つかりません"))</f>
      </c>
      <c r="E182" s="4" t="inlineStr">
        <is>
          <t>敵対</t>
        </is>
      </c>
      <c r="F182" s="4">
        <v>0</v>
      </c>
    </row>
    <row r="183" ht="15.75" customHeight="1">
      <c r="A183" s="4">
        <v>44</v>
      </c>
      <c r="B183" s="12" t="str">
        <f t="array" ref="B183">IF(A183:A500="","",_xlfn.XLOOKUP(A183:A500,'参照_勢力'!A:A,'参照_勢力'!B:B,"見つかりません"))</f>
      </c>
      <c r="C183" s="4">
        <v>43</v>
      </c>
      <c r="D183" s="12" t="str">
        <f t="array" ref="D183">IF(C183:C500="","",_xlfn.XLOOKUP(C183:C500,'参照_勢力'!A:A,'参照_勢力'!B:B,"見つかりません"))</f>
      </c>
      <c r="E183" s="4" t="inlineStr">
        <is>
          <t>同盟</t>
        </is>
      </c>
      <c r="F183" s="4">
        <v>70</v>
      </c>
    </row>
    <row r="184" ht="15.75" customHeight="1">
      <c r="A184" s="4">
        <v>44</v>
      </c>
      <c r="B184" s="12" t="str">
        <f t="array" ref="B184">IF(A184:A501="","",_xlfn.XLOOKUP(A184:A501,'参照_勢力'!A:A,'参照_勢力'!B:B,"見つかりません"))</f>
      </c>
      <c r="C184" s="4">
        <v>46</v>
      </c>
      <c r="D184" s="12" t="str">
        <f t="array" ref="D184">IF(C184:C501="","",_xlfn.XLOOKUP(C184:C501,'参照_勢力'!A:A,'参照_勢力'!B:B,"見つかりません"))</f>
      </c>
      <c r="E184" s="4" t="inlineStr">
        <is>
          <t>同盟</t>
        </is>
      </c>
      <c r="F184" s="4">
        <v>70</v>
      </c>
    </row>
    <row r="185" ht="15.75" customHeight="1">
      <c r="A185" s="4">
        <v>45</v>
      </c>
      <c r="B185" s="12" t="str">
        <f t="array" ref="B185">IF(A185:A502="","",_xlfn.XLOOKUP(A185:A502,'参照_勢力'!A:A,'参照_勢力'!B:B,"見つかりません"))</f>
      </c>
      <c r="C185" s="4">
        <v>25</v>
      </c>
      <c r="D185" s="12" t="str">
        <f t="array" ref="D185">IF(C185:C502="","",_xlfn.XLOOKUP(C185:C502,'参照_勢力'!A:A,'参照_勢力'!B:B,"見つかりません"))</f>
      </c>
      <c r="E185" s="4" t="inlineStr">
        <is>
          <t>従属</t>
        </is>
      </c>
      <c r="F185" s="4">
        <v>100</v>
      </c>
    </row>
    <row r="186" ht="15.75" customHeight="1">
      <c r="A186" s="4">
        <v>45</v>
      </c>
      <c r="B186" s="12" t="str">
        <f t="array" ref="B186">IF(A186:A503="","",_xlfn.XLOOKUP(A186:A503,'参照_勢力'!A:A,'参照_勢力'!B:B,"見つかりません"))</f>
      </c>
      <c r="C186" s="4">
        <v>43</v>
      </c>
      <c r="D186" s="12" t="str">
        <f t="array" ref="D186">IF(C186:C503="","",_xlfn.XLOOKUP(C186:C503,'参照_勢力'!A:A,'参照_勢力'!B:B,"見つかりません"))</f>
      </c>
      <c r="E186" s="4" t="inlineStr">
        <is>
          <t>敵対</t>
        </is>
      </c>
      <c r="F186" s="4">
        <v>0</v>
      </c>
    </row>
    <row r="187" ht="15.75" customHeight="1">
      <c r="A187" s="4">
        <v>45</v>
      </c>
      <c r="B187" s="12" t="str">
        <f t="array" ref="B187">IF(A187:A504="","",_xlfn.XLOOKUP(A187:A504,'参照_勢力'!A:A,'参照_勢力'!B:B,"見つかりません"))</f>
      </c>
      <c r="C187" s="4">
        <v>46</v>
      </c>
      <c r="D187" s="12" t="str">
        <f t="array" ref="D187">IF(C187:C504="","",_xlfn.XLOOKUP(C187:C504,'参照_勢力'!A:A,'参照_勢力'!B:B,"見つかりません"))</f>
      </c>
      <c r="E187" s="4" t="inlineStr">
        <is>
          <t>敵対</t>
        </is>
      </c>
      <c r="F187" s="4">
        <v>30</v>
      </c>
    </row>
    <row r="188" ht="15.75" customHeight="1">
      <c r="A188" s="4">
        <v>46</v>
      </c>
      <c r="B188" s="12" t="str">
        <f t="array" ref="B188">IF(A188:A505="","",_xlfn.XLOOKUP(A188:A505,'参照_勢力'!A:A,'参照_勢力'!B:B,"見つかりません"))</f>
      </c>
      <c r="C188" s="4">
        <v>44</v>
      </c>
      <c r="D188" s="12" t="str">
        <f t="array" ref="D188">IF(C188:C505="","",_xlfn.XLOOKUP(C188:C505,'参照_勢力'!A:A,'参照_勢力'!B:B,"見つかりません"))</f>
      </c>
      <c r="E188" s="4" t="inlineStr">
        <is>
          <t>同盟</t>
        </is>
      </c>
      <c r="F188" s="4">
        <v>70</v>
      </c>
    </row>
    <row r="189" ht="15.75" customHeight="1">
      <c r="A189" s="4">
        <v>46</v>
      </c>
      <c r="B189" s="12" t="str">
        <f t="array" ref="B189">IF(A189:A506="","",_xlfn.XLOOKUP(A189:A506,'参照_勢力'!A:A,'参照_勢力'!B:B,"見つかりません"))</f>
      </c>
      <c r="C189" s="4">
        <v>45</v>
      </c>
      <c r="D189" s="12" t="str">
        <f t="array" ref="D189">IF(C189:C506="","",_xlfn.XLOOKUP(C189:C506,'参照_勢力'!A:A,'参照_勢力'!B:B,"見つかりません"))</f>
      </c>
      <c r="E189" s="4" t="inlineStr">
        <is>
          <t>敵対</t>
        </is>
      </c>
      <c r="F189" s="4">
        <v>30</v>
      </c>
    </row>
    <row r="190" ht="15.75" customHeight="1">
      <c r="A190" s="4">
        <v>48</v>
      </c>
      <c r="B190" s="12" t="str">
        <f t="array" ref="B190">IF(A190:A507="","",_xlfn.XLOOKUP(A190:A507,'参照_勢力'!A:A,'参照_勢力'!B:B,"見つかりません"))</f>
      </c>
      <c r="C190" s="4">
        <v>42</v>
      </c>
      <c r="D190" s="12" t="str">
        <f t="array" ref="D190">IF(C190:C507="","",_xlfn.XLOOKUP(C190:C507,'参照_勢力'!A:A,'参照_勢力'!B:B,"見つかりません"))</f>
      </c>
      <c r="E190" s="4" t="inlineStr">
        <is>
          <t>敵対</t>
        </is>
      </c>
      <c r="F190" s="4">
        <v>0</v>
      </c>
    </row>
    <row r="191" ht="15.75" customHeight="1">
      <c r="A191" s="4">
        <v>48</v>
      </c>
      <c r="B191" s="12" t="str">
        <f t="array" ref="B191">IF(A191:A508="","",_xlfn.XLOOKUP(A191:A508,'参照_勢力'!A:A,'参照_勢力'!B:B,"見つかりません"))</f>
      </c>
      <c r="C191" s="4">
        <v>50</v>
      </c>
      <c r="D191" s="12" t="str">
        <f t="array" ref="D191">IF(C191:C508="","",_xlfn.XLOOKUP(C191:C508,'参照_勢力'!A:A,'参照_勢力'!B:B,"見つかりません"))</f>
      </c>
      <c r="E191" s="4" t="inlineStr">
        <is>
          <t>敵対</t>
        </is>
      </c>
      <c r="F191" s="4">
        <v>20</v>
      </c>
    </row>
    <row r="192" ht="15.75" customHeight="1">
      <c r="A192" s="4">
        <v>49</v>
      </c>
      <c r="B192" s="12" t="str">
        <f t="array" ref="B192">IF(A192:A509="","",_xlfn.XLOOKUP(A192:A509,'参照_勢力'!A:A,'参照_勢力'!B:B,"見つかりません"))</f>
      </c>
      <c r="C192" s="4">
        <v>17</v>
      </c>
      <c r="D192" s="12" t="str">
        <f t="array" ref="D192">IF(C192:C509="","",_xlfn.XLOOKUP(C192:C509,'参照_勢力'!A:A,'参照_勢力'!B:B,"見つかりません"))</f>
      </c>
      <c r="E192" s="4" t="inlineStr">
        <is>
          <t>友好</t>
        </is>
      </c>
      <c r="F192" s="4">
        <v>70</v>
      </c>
    </row>
    <row r="193" ht="15.75" customHeight="1">
      <c r="A193" s="4">
        <v>49</v>
      </c>
      <c r="B193" s="12" t="str">
        <f t="array" ref="B193">IF(A193:A510="","",_xlfn.XLOOKUP(A193:A510,'参照_勢力'!A:A,'参照_勢力'!B:B,"見つかりません"))</f>
      </c>
      <c r="C193" s="4">
        <v>25</v>
      </c>
      <c r="D193" s="12" t="str">
        <f t="array" ref="D193">IF(C193:C510="","",_xlfn.XLOOKUP(C193:C510,'参照_勢力'!A:A,'参照_勢力'!B:B,"見つかりません"))</f>
      </c>
      <c r="E193" s="4" t="inlineStr">
        <is>
          <t>従属</t>
        </is>
      </c>
      <c r="F193" s="4">
        <v>90</v>
      </c>
    </row>
    <row r="194" ht="15.75" customHeight="1">
      <c r="A194" s="4">
        <v>49</v>
      </c>
      <c r="B194" s="12" t="str">
        <f t="array" ref="B194">IF(A194:A511="","",_xlfn.XLOOKUP(A194:A511,'参照_勢力'!A:A,'参照_勢力'!B:B,"見つかりません"))</f>
      </c>
      <c r="C194" s="4">
        <v>50</v>
      </c>
      <c r="D194" s="12" t="str">
        <f t="array" ref="D194">IF(C194:C511="","",_xlfn.XLOOKUP(C194:C511,'参照_勢力'!A:A,'参照_勢力'!B:B,"見つかりません"))</f>
      </c>
      <c r="E194" s="4" t="inlineStr">
        <is>
          <t>敵対</t>
        </is>
      </c>
      <c r="F194" s="4">
        <v>30</v>
      </c>
    </row>
    <row r="195" ht="15.75" customHeight="1">
      <c r="A195" s="4">
        <v>49</v>
      </c>
      <c r="B195" s="12" t="str">
        <f t="array" ref="B195">IF(A195:A512="","",_xlfn.XLOOKUP(A195:A512,'参照_勢力'!A:A,'参照_勢力'!B:B,"見つかりません"))</f>
      </c>
      <c r="C195" s="4">
        <v>53</v>
      </c>
      <c r="D195" s="12" t="str">
        <f t="array" ref="D195">IF(C195:C512="","",_xlfn.XLOOKUP(C195:C512,'参照_勢力'!A:A,'参照_勢力'!B:B,"見つかりません"))</f>
      </c>
      <c r="E195" s="4" t="inlineStr">
        <is>
          <t>敵対</t>
        </is>
      </c>
      <c r="F195" s="4">
        <v>30</v>
      </c>
    </row>
    <row r="196" ht="15.75" customHeight="1">
      <c r="A196" s="4">
        <v>50</v>
      </c>
      <c r="B196" s="12" t="str">
        <f t="array" ref="B196">IF(A196:A513="","",_xlfn.XLOOKUP(A196:A513,'参照_勢力'!A:A,'参照_勢力'!B:B,"見つかりません"))</f>
      </c>
      <c r="C196" s="4">
        <v>48</v>
      </c>
      <c r="D196" s="12" t="str">
        <f t="array" ref="D196">IF(C196:C513="","",_xlfn.XLOOKUP(C196:C513,'参照_勢力'!A:A,'参照_勢力'!B:B,"見つかりません"))</f>
      </c>
      <c r="E196" s="4" t="inlineStr">
        <is>
          <t>敵対</t>
        </is>
      </c>
      <c r="F196" s="4">
        <v>20</v>
      </c>
    </row>
    <row r="197" ht="15.75" customHeight="1">
      <c r="A197" s="4">
        <v>50</v>
      </c>
      <c r="B197" s="12" t="str">
        <f t="array" ref="B197">IF(A197:A514="","",_xlfn.XLOOKUP(A197:A514,'参照_勢力'!A:A,'参照_勢力'!B:B,"見つかりません"))</f>
      </c>
      <c r="C197" s="4">
        <v>49</v>
      </c>
      <c r="D197" s="12" t="str">
        <f t="array" ref="D197">IF(C197:C514="","",_xlfn.XLOOKUP(C197:C514,'参照_勢力'!A:A,'参照_勢力'!B:B,"見つかりません"))</f>
      </c>
      <c r="E197" s="4" t="inlineStr">
        <is>
          <t>敵対</t>
        </is>
      </c>
      <c r="F197" s="4">
        <v>30</v>
      </c>
    </row>
    <row r="198" ht="15.75" customHeight="1">
      <c r="A198" s="4">
        <v>50</v>
      </c>
      <c r="B198" s="12" t="str">
        <f t="array" ref="B198">IF(A198:A515="","",_xlfn.XLOOKUP(A198:A515,'参照_勢力'!A:A,'参照_勢力'!B:B,"見つかりません"))</f>
      </c>
      <c r="C198" s="4">
        <v>51</v>
      </c>
      <c r="D198" s="12" t="str">
        <f t="array" ref="D198">IF(C198:C515="","",_xlfn.XLOOKUP(C198:C515,'参照_勢力'!A:A,'参照_勢力'!B:B,"見つかりません"))</f>
      </c>
      <c r="E198" s="4" t="inlineStr">
        <is>
          <t>敵対</t>
        </is>
      </c>
      <c r="F198" s="4">
        <v>30</v>
      </c>
    </row>
    <row r="199" ht="15.75" customHeight="1">
      <c r="A199" s="4">
        <v>50</v>
      </c>
      <c r="B199" s="12" t="str">
        <f t="array" ref="B199">IF(A199:A516="","",_xlfn.XLOOKUP(A199:A516,'参照_勢力'!A:A,'参照_勢力'!B:B,"見つかりません"))</f>
      </c>
      <c r="C199" s="4">
        <v>53</v>
      </c>
      <c r="D199" s="12" t="str">
        <f t="array" ref="D199">IF(C199:C516="","",_xlfn.XLOOKUP(C199:C516,'参照_勢力'!A:A,'参照_勢力'!B:B,"見つかりません"))</f>
      </c>
      <c r="E199" s="4" t="inlineStr">
        <is>
          <t>婚姻</t>
        </is>
      </c>
      <c r="F199" s="4">
        <v>100</v>
      </c>
    </row>
    <row r="200" ht="15.75" customHeight="1">
      <c r="A200" s="4">
        <v>51</v>
      </c>
      <c r="B200" s="12" t="str">
        <f t="array" ref="B200">IF(A200:A517="","",_xlfn.XLOOKUP(A200:A517,'参照_勢力'!A:A,'参照_勢力'!B:B,"見つかりません"))</f>
      </c>
      <c r="C200" s="4">
        <v>50</v>
      </c>
      <c r="D200" s="12" t="str">
        <f t="array" ref="D200">IF(C200:C517="","",_xlfn.XLOOKUP(C200:C517,'参照_勢力'!A:A,'参照_勢力'!B:B,"見つかりません"))</f>
      </c>
      <c r="E200" s="4" t="inlineStr">
        <is>
          <t>敵対</t>
        </is>
      </c>
      <c r="F200" s="4">
        <v>30</v>
      </c>
    </row>
    <row r="201" ht="15.75" customHeight="1">
      <c r="A201" s="4">
        <v>53</v>
      </c>
      <c r="B201" s="12" t="str">
        <f t="array" ref="B201">IF(A201:A518="","",_xlfn.XLOOKUP(A201:A518,'参照_勢力'!A:A,'参照_勢力'!B:B,"見つかりません"))</f>
      </c>
      <c r="C201" s="4">
        <v>25</v>
      </c>
      <c r="D201" s="12" t="str">
        <f t="array" ref="D201">IF(C201:C518="","",_xlfn.XLOOKUP(C201:C518,'参照_勢力'!A:A,'参照_勢力'!B:B,"見つかりません"))</f>
      </c>
      <c r="E201" s="4" t="inlineStr">
        <is>
          <t>敵対</t>
        </is>
      </c>
      <c r="F201" s="4">
        <v>0</v>
      </c>
    </row>
    <row r="202" ht="15.75" customHeight="1">
      <c r="A202" s="4">
        <v>53</v>
      </c>
      <c r="B202" s="12" t="str">
        <f t="array" ref="B202">IF(A202:A519="","",_xlfn.XLOOKUP(A202:A519,'参照_勢力'!A:A,'参照_勢力'!B:B,"見つかりません"))</f>
      </c>
      <c r="C202" s="4">
        <v>49</v>
      </c>
      <c r="D202" s="12" t="str">
        <f t="array" ref="D202">IF(C202:C519="","",_xlfn.XLOOKUP(C202:C519,'参照_勢力'!A:A,'参照_勢力'!B:B,"見つかりません"))</f>
      </c>
      <c r="E202" s="4" t="inlineStr">
        <is>
          <t>敵対</t>
        </is>
      </c>
      <c r="F202" s="4">
        <v>30</v>
      </c>
    </row>
    <row r="203" ht="15.75" customHeight="1">
      <c r="A203" s="4">
        <v>53</v>
      </c>
      <c r="B203" s="12" t="str">
        <f t="array" ref="B203">IF(A203:A520="","",_xlfn.XLOOKUP(A203:A520,'参照_勢力'!A:A,'参照_勢力'!B:B,"見つかりません"))</f>
      </c>
      <c r="C203" s="4">
        <v>50</v>
      </c>
      <c r="D203" s="12" t="str">
        <f t="array" ref="D203">IF(C203:C520="","",_xlfn.XLOOKUP(C203:C520,'参照_勢力'!A:A,'参照_勢力'!B:B,"見つかりません"))</f>
      </c>
      <c r="E203" s="4" t="inlineStr">
        <is>
          <t>婚姻</t>
        </is>
      </c>
      <c r="F203" s="4">
        <v>100</v>
      </c>
    </row>
    <row r="204" ht="15.75" customHeight="1">
      <c r="A204" s="4">
        <v>53</v>
      </c>
      <c r="B204" s="12" t="str">
        <f t="array" ref="B204">IF(A204:A521="","",_xlfn.XLOOKUP(A204:A521,'参照_勢力'!A:A,'参照_勢力'!B:B,"見つかりません"))</f>
      </c>
      <c r="C204" s="4">
        <v>54</v>
      </c>
      <c r="D204" s="12" t="str">
        <f t="array" ref="D204">IF(C204:C521="","",_xlfn.XLOOKUP(C204:C521,'参照_勢力'!A:A,'参照_勢力'!B:B,"見つかりません"))</f>
      </c>
      <c r="E204" s="4" t="inlineStr">
        <is>
          <t>敵対</t>
        </is>
      </c>
      <c r="F204" s="4">
        <v>0</v>
      </c>
    </row>
    <row r="205" ht="15.75" customHeight="1">
      <c r="A205" s="4">
        <v>53</v>
      </c>
      <c r="B205" s="12" t="str">
        <f t="array" ref="B205">IF(A205:A522="","",_xlfn.XLOOKUP(A205:A522,'参照_勢力'!A:A,'参照_勢力'!B:B,"見つかりません"))</f>
      </c>
      <c r="C205" s="4">
        <v>55</v>
      </c>
      <c r="D205" s="12" t="str">
        <f t="array" ref="D205">IF(C205:C522="","",_xlfn.XLOOKUP(C205:C522,'参照_勢力'!A:A,'参照_勢力'!B:B,"見つかりません"))</f>
      </c>
      <c r="E205" s="4" t="inlineStr">
        <is>
          <t>支配</t>
        </is>
      </c>
      <c r="F205" s="4">
        <v>90</v>
      </c>
    </row>
    <row r="206" ht="15.75" customHeight="1">
      <c r="A206" s="4">
        <v>53</v>
      </c>
      <c r="B206" s="12" t="str">
        <f t="array" ref="B206">IF(A206:A523="","",_xlfn.XLOOKUP(A206:A523,'参照_勢力'!A:A,'参照_勢力'!B:B,"見つかりません"))</f>
      </c>
      <c r="C206" s="4">
        <v>57</v>
      </c>
      <c r="D206" s="12" t="str">
        <f t="array" ref="D206">IF(C206:C523="","",_xlfn.XLOOKUP(C206:C523,'参照_勢力'!A:A,'参照_勢力'!B:B,"見つかりません"))</f>
      </c>
      <c r="E206" s="4" t="inlineStr">
        <is>
          <t>敵対</t>
        </is>
      </c>
      <c r="F206" s="4">
        <v>20</v>
      </c>
    </row>
    <row r="207" ht="15.75" customHeight="1">
      <c r="A207" s="4">
        <v>53</v>
      </c>
      <c r="B207" s="12" t="str">
        <f t="array" ref="B207">IF(A207:A524="","",_xlfn.XLOOKUP(A207:A524,'参照_勢力'!A:A,'参照_勢力'!B:B,"見つかりません"))</f>
      </c>
      <c r="C207" s="4">
        <v>58</v>
      </c>
      <c r="D207" s="12" t="str">
        <f t="array" ref="D207">IF(C207:C524="","",_xlfn.XLOOKUP(C207:C524,'参照_勢力'!A:A,'参照_勢力'!B:B,"見つかりません"))</f>
      </c>
      <c r="E207" s="4" t="inlineStr">
        <is>
          <t>同盟</t>
        </is>
      </c>
      <c r="F207" s="4">
        <v>80</v>
      </c>
    </row>
    <row r="208" ht="15.75" customHeight="1">
      <c r="A208" s="4">
        <v>53</v>
      </c>
      <c r="B208" s="12" t="str">
        <f t="array" ref="B208">IF(A208:A525="","",_xlfn.XLOOKUP(A208:A525,'参照_勢力'!A:A,'参照_勢力'!B:B,"見つかりません"))</f>
      </c>
      <c r="C208" s="4">
        <v>62</v>
      </c>
      <c r="D208" s="12" t="str">
        <f t="array" ref="D208">IF(C208:C525="","",_xlfn.XLOOKUP(C208:C525,'参照_勢力'!A:A,'参照_勢力'!B:B,"見つかりません"))</f>
      </c>
      <c r="E208" s="4" t="inlineStr">
        <is>
          <t>普通</t>
        </is>
      </c>
      <c r="F208" s="4">
        <v>60</v>
      </c>
    </row>
    <row r="209" ht="15.75" customHeight="1">
      <c r="A209" s="4">
        <v>54</v>
      </c>
      <c r="B209" s="12" t="str">
        <f t="array" ref="B209">IF(A209:A526="","",_xlfn.XLOOKUP(A209:A526,'参照_勢力'!A:A,'参照_勢力'!B:B,"見つかりません"))</f>
      </c>
      <c r="C209" s="4">
        <v>53</v>
      </c>
      <c r="D209" s="12" t="str">
        <f t="array" ref="D209">IF(C209:C526="","",_xlfn.XLOOKUP(C209:C526,'参照_勢力'!A:A,'参照_勢力'!B:B,"見つかりません"))</f>
      </c>
      <c r="E209" s="4" t="inlineStr">
        <is>
          <t>敵対</t>
        </is>
      </c>
      <c r="F209" s="4">
        <v>0</v>
      </c>
    </row>
    <row r="210" ht="15.75" customHeight="1">
      <c r="A210" s="4">
        <v>54</v>
      </c>
      <c r="B210" s="12" t="str">
        <f t="array" ref="B210">IF(A210:A527="","",_xlfn.XLOOKUP(A210:A527,'参照_勢力'!A:A,'参照_勢力'!B:B,"見つかりません"))</f>
      </c>
      <c r="C210" s="4">
        <v>56</v>
      </c>
      <c r="D210" s="12" t="str">
        <f t="array" ref="D210">IF(C210:C527="","",_xlfn.XLOOKUP(C210:C527,'参照_勢力'!A:A,'参照_勢力'!B:B,"見つかりません"))</f>
      </c>
      <c r="E210" s="4" t="inlineStr">
        <is>
          <t>敵対</t>
        </is>
      </c>
      <c r="F210" s="4">
        <v>20</v>
      </c>
    </row>
    <row r="211" ht="15.75" customHeight="1">
      <c r="A211" s="4">
        <v>54</v>
      </c>
      <c r="B211" s="12" t="str">
        <f t="array" ref="B211">IF(A211:A528="","",_xlfn.XLOOKUP(A211:A528,'参照_勢力'!A:A,'参照_勢力'!B:B,"見つかりません"))</f>
      </c>
      <c r="C211" s="4">
        <v>57</v>
      </c>
      <c r="D211" s="12" t="str">
        <f t="array" ref="D211">IF(C211:C528="","",_xlfn.XLOOKUP(C211:C528,'参照_勢力'!A:A,'参照_勢力'!B:B,"見つかりません"))</f>
      </c>
      <c r="E211" s="4" t="inlineStr">
        <is>
          <t>敵対</t>
        </is>
      </c>
      <c r="F211" s="4">
        <v>0</v>
      </c>
    </row>
    <row r="212" ht="15.75" customHeight="1">
      <c r="A212" s="4">
        <v>54</v>
      </c>
      <c r="B212" s="12" t="str">
        <f t="array" ref="B212">IF(A212:A529="","",_xlfn.XLOOKUP(A212:A529,'参照_勢力'!A:A,'参照_勢力'!B:B,"見つかりません"))</f>
      </c>
      <c r="C212" s="4">
        <v>58</v>
      </c>
      <c r="D212" s="12" t="str">
        <f t="array" ref="D212">IF(C212:C529="","",_xlfn.XLOOKUP(C212:C529,'参照_勢力'!A:A,'参照_勢力'!B:B,"見つかりません"))</f>
      </c>
      <c r="E212" s="4" t="inlineStr">
        <is>
          <t>敵対</t>
        </is>
      </c>
      <c r="F212" s="4">
        <v>30</v>
      </c>
    </row>
    <row r="213" ht="15.75" customHeight="1">
      <c r="A213" s="4">
        <v>55</v>
      </c>
      <c r="B213" s="12" t="str">
        <f t="array" ref="B213">IF(A213:A530="","",_xlfn.XLOOKUP(A213:A530,'参照_勢力'!A:A,'参照_勢力'!B:B,"見つかりません"))</f>
      </c>
      <c r="C213" s="4">
        <v>53</v>
      </c>
      <c r="D213" s="12" t="str">
        <f t="array" ref="D213">IF(C213:C530="","",_xlfn.XLOOKUP(C213:C530,'参照_勢力'!A:A,'参照_勢力'!B:B,"見つかりません"))</f>
      </c>
      <c r="E213" s="4" t="inlineStr">
        <is>
          <t>従属</t>
        </is>
      </c>
      <c r="F213" s="4">
        <v>90</v>
      </c>
    </row>
    <row r="214" ht="15.75" customHeight="1">
      <c r="A214" s="4">
        <v>56</v>
      </c>
      <c r="B214" s="12" t="str">
        <f t="array" ref="B214">IF(A214:A531="","",_xlfn.XLOOKUP(A214:A531,'参照_勢力'!A:A,'参照_勢力'!B:B,"見つかりません"))</f>
      </c>
      <c r="C214" s="4">
        <v>54</v>
      </c>
      <c r="D214" s="12" t="str">
        <f t="array" ref="D214">IF(C214:C531="","",_xlfn.XLOOKUP(C214:C531,'参照_勢力'!A:A,'参照_勢力'!B:B,"見つかりません"))</f>
      </c>
      <c r="E214" s="4" t="inlineStr">
        <is>
          <t>敵対</t>
        </is>
      </c>
      <c r="F214" s="4">
        <v>20</v>
      </c>
    </row>
    <row r="215" ht="15.75" customHeight="1">
      <c r="A215" s="4">
        <v>56</v>
      </c>
      <c r="B215" s="12" t="str">
        <f t="array" ref="B215">IF(A215:A532="","",_xlfn.XLOOKUP(A215:A532,'参照_勢力'!A:A,'参照_勢力'!B:B,"見つかりません"))</f>
      </c>
      <c r="C215" s="4">
        <v>57</v>
      </c>
      <c r="D215" s="12" t="str">
        <f t="array" ref="D215">IF(C215:C532="","",_xlfn.XLOOKUP(C215:C532,'参照_勢力'!A:A,'参照_勢力'!B:B,"見つかりません"))</f>
      </c>
      <c r="E215" s="4" t="inlineStr">
        <is>
          <t>敵対</t>
        </is>
      </c>
      <c r="F215" s="4">
        <v>20</v>
      </c>
    </row>
    <row r="216" ht="15.75" customHeight="1">
      <c r="A216" s="4">
        <v>56</v>
      </c>
      <c r="B216" s="12" t="str">
        <f t="array" ref="B216">IF(A216:A533="","",_xlfn.XLOOKUP(A216:A533,'参照_勢力'!A:A,'参照_勢力'!B:B,"見つかりません"))</f>
      </c>
      <c r="C216" s="4">
        <v>62</v>
      </c>
      <c r="D216" s="12" t="str">
        <f t="array" ref="D216">IF(C216:C533="","",_xlfn.XLOOKUP(C216:C533,'参照_勢力'!A:A,'参照_勢力'!B:B,"見つかりません"))</f>
      </c>
      <c r="E216" s="4" t="inlineStr">
        <is>
          <t>普通</t>
        </is>
      </c>
      <c r="F216" s="4">
        <v>60</v>
      </c>
    </row>
    <row r="217" ht="15.75" customHeight="1">
      <c r="A217" s="4">
        <v>57</v>
      </c>
      <c r="B217" s="12" t="str">
        <f t="array" ref="B217">IF(A217:A534="","",_xlfn.XLOOKUP(A217:A534,'参照_勢力'!A:A,'参照_勢力'!B:B,"見つかりません"))</f>
      </c>
      <c r="C217" s="4">
        <v>53</v>
      </c>
      <c r="D217" s="12" t="str">
        <f t="array" ref="D217">IF(C217:C534="","",_xlfn.XLOOKUP(C217:C534,'参照_勢力'!A:A,'参照_勢力'!B:B,"見つかりません"))</f>
      </c>
      <c r="E217" s="4" t="inlineStr">
        <is>
          <t>敵対</t>
        </is>
      </c>
      <c r="F217" s="4">
        <v>20</v>
      </c>
    </row>
    <row r="218" ht="15.75" customHeight="1">
      <c r="A218" s="4">
        <v>57</v>
      </c>
      <c r="B218" s="12" t="str">
        <f t="array" ref="B218">IF(A218:A535="","",_xlfn.XLOOKUP(A218:A535,'参照_勢力'!A:A,'参照_勢力'!B:B,"見つかりません"))</f>
      </c>
      <c r="C218" s="4">
        <v>54</v>
      </c>
      <c r="D218" s="12" t="str">
        <f t="array" ref="D218">IF(C218:C535="","",_xlfn.XLOOKUP(C218:C535,'参照_勢力'!A:A,'参照_勢力'!B:B,"見つかりません"))</f>
      </c>
      <c r="E218" s="4" t="inlineStr">
        <is>
          <t>敵対</t>
        </is>
      </c>
      <c r="F218" s="4">
        <v>0</v>
      </c>
    </row>
    <row r="219" ht="15.75" customHeight="1">
      <c r="A219" s="4">
        <v>57</v>
      </c>
      <c r="B219" s="12" t="str">
        <f t="array" ref="B219">IF(A219:A536="","",_xlfn.XLOOKUP(A219:A536,'参照_勢力'!A:A,'参照_勢力'!B:B,"見つかりません"))</f>
      </c>
      <c r="C219" s="4">
        <v>56</v>
      </c>
      <c r="D219" s="12" t="str">
        <f t="array" ref="D219">IF(C219:C536="","",_xlfn.XLOOKUP(C219:C536,'参照_勢力'!A:A,'参照_勢力'!B:B,"見つかりません"))</f>
      </c>
      <c r="E219" s="4" t="inlineStr">
        <is>
          <t>敵対</t>
        </is>
      </c>
      <c r="F219" s="4">
        <v>20</v>
      </c>
    </row>
    <row r="220" ht="15.75" customHeight="1">
      <c r="A220" s="4">
        <v>58</v>
      </c>
      <c r="B220" s="12" t="str">
        <f t="array" ref="B220">IF(A220:A537="","",_xlfn.XLOOKUP(A220:A537,'参照_勢力'!A:A,'参照_勢力'!B:B,"見つかりません"))</f>
      </c>
      <c r="C220" s="4">
        <v>26</v>
      </c>
      <c r="D220" s="12" t="str">
        <f t="array" ref="D220">IF(C220:C537="","",_xlfn.XLOOKUP(C220:C537,'参照_勢力'!A:A,'参照_勢力'!B:B,"見つかりません"))</f>
      </c>
      <c r="E220" s="4" t="inlineStr">
        <is>
          <t>敵対</t>
        </is>
      </c>
      <c r="F220" s="4">
        <v>30</v>
      </c>
    </row>
    <row r="221" ht="15.75" customHeight="1">
      <c r="A221" s="4">
        <v>58</v>
      </c>
      <c r="B221" s="12" t="str">
        <f t="array" ref="B221">IF(A221:A538="","",_xlfn.XLOOKUP(A221:A538,'参照_勢力'!A:A,'参照_勢力'!B:B,"見つかりません"))</f>
      </c>
      <c r="C221" s="4">
        <v>53</v>
      </c>
      <c r="D221" s="12" t="str">
        <f t="array" ref="D221">IF(C221:C538="","",_xlfn.XLOOKUP(C221:C538,'参照_勢力'!A:A,'参照_勢力'!B:B,"見つかりません"))</f>
      </c>
      <c r="E221" s="4" t="inlineStr">
        <is>
          <t>同盟</t>
        </is>
      </c>
      <c r="F221" s="4">
        <v>80</v>
      </c>
    </row>
    <row r="222" ht="15.75" customHeight="1">
      <c r="A222" s="4">
        <v>58</v>
      </c>
      <c r="B222" s="12" t="str">
        <f t="array" ref="B222">IF(A222:A539="","",_xlfn.XLOOKUP(A222:A539,'参照_勢力'!A:A,'参照_勢力'!B:B,"見つかりません"))</f>
      </c>
      <c r="C222" s="4">
        <v>54</v>
      </c>
      <c r="D222" s="12" t="str">
        <f t="array" ref="D222">IF(C222:C539="","",_xlfn.XLOOKUP(C222:C539,'参照_勢力'!A:A,'参照_勢力'!B:B,"見つかりません"))</f>
      </c>
      <c r="E222" s="4" t="inlineStr">
        <is>
          <t>敵対</t>
        </is>
      </c>
      <c r="F222" s="4">
        <v>30</v>
      </c>
    </row>
    <row r="223" ht="15.75" customHeight="1">
      <c r="A223" s="4">
        <v>59</v>
      </c>
      <c r="B223" s="12" t="str">
        <f t="array" ref="B223">IF(A223:A540="","",_xlfn.XLOOKUP(A223:A540,'参照_勢力'!A:A,'参照_勢力'!B:B,"見つかりません"))</f>
      </c>
      <c r="C223" s="4">
        <v>26</v>
      </c>
      <c r="D223" s="12" t="str">
        <f t="array" ref="D223">IF(C223:C540="","",_xlfn.XLOOKUP(C223:C540,'参照_勢力'!A:A,'参照_勢力'!B:B,"見つかりません"))</f>
      </c>
      <c r="E223" s="4" t="inlineStr">
        <is>
          <t>友好</t>
        </is>
      </c>
      <c r="F223" s="4">
        <v>70</v>
      </c>
    </row>
    <row r="224" ht="15.75" customHeight="1">
      <c r="A224" s="4">
        <v>59</v>
      </c>
      <c r="B224" s="12" t="str">
        <f t="array" ref="B224">IF(A224:A541="","",_xlfn.XLOOKUP(A224:A541,'参照_勢力'!A:A,'参照_勢力'!B:B,"見つかりません"))</f>
      </c>
      <c r="C224" s="4">
        <v>60</v>
      </c>
      <c r="D224" s="12" t="str">
        <f t="array" ref="D224">IF(C224:C541="","",_xlfn.XLOOKUP(C224:C541,'参照_勢力'!A:A,'参照_勢力'!B:B,"見つかりません"))</f>
      </c>
      <c r="E224" s="4" t="inlineStr">
        <is>
          <t>敵対</t>
        </is>
      </c>
      <c r="F224" s="4">
        <v>0</v>
      </c>
    </row>
    <row r="225" ht="15.75" customHeight="1">
      <c r="A225" s="4">
        <v>60</v>
      </c>
      <c r="B225" s="12" t="str">
        <f t="array" ref="B225">IF(A225:A542="","",_xlfn.XLOOKUP(A225:A542,'参照_勢力'!A:A,'参照_勢力'!B:B,"見つかりません"))</f>
      </c>
      <c r="C225" s="4">
        <v>17</v>
      </c>
      <c r="D225" s="12" t="str">
        <f t="array" ref="D225">IF(C225:C542="","",_xlfn.XLOOKUP(C225:C542,'参照_勢力'!A:A,'参照_勢力'!B:B,"見つかりません"))</f>
      </c>
      <c r="E225" s="4" t="inlineStr">
        <is>
          <t>普通</t>
        </is>
      </c>
      <c r="F225" s="4">
        <v>60</v>
      </c>
    </row>
    <row r="226" ht="15.75" customHeight="1">
      <c r="A226" s="4">
        <v>60</v>
      </c>
      <c r="B226" s="12" t="str">
        <f t="array" ref="B226">IF(A226:A543="","",_xlfn.XLOOKUP(A226:A543,'参照_勢力'!A:A,'参照_勢力'!B:B,"見つかりません"))</f>
      </c>
      <c r="C226" s="4">
        <v>26</v>
      </c>
      <c r="D226" s="12" t="str">
        <f t="array" ref="D226">IF(C226:C543="","",_xlfn.XLOOKUP(C226:C543,'参照_勢力'!A:A,'参照_勢力'!B:B,"見つかりません"))</f>
      </c>
      <c r="E226" s="4" t="inlineStr">
        <is>
          <t>敵対</t>
        </is>
      </c>
      <c r="F226" s="4">
        <v>0</v>
      </c>
    </row>
    <row r="227" ht="15.75" customHeight="1">
      <c r="A227" s="4">
        <v>60</v>
      </c>
      <c r="B227" s="12" t="str">
        <f t="array" ref="B227">IF(A227:A544="","",_xlfn.XLOOKUP(A227:A544,'参照_勢力'!A:A,'参照_勢力'!B:B,"見つかりません"))</f>
      </c>
      <c r="C227" s="4">
        <v>59</v>
      </c>
      <c r="D227" s="12" t="str">
        <f t="array" ref="D227">IF(C227:C544="","",_xlfn.XLOOKUP(C227:C544,'参照_勢力'!A:A,'参照_勢力'!B:B,"見つかりません"))</f>
      </c>
      <c r="E227" s="4" t="inlineStr">
        <is>
          <t>敵対</t>
        </is>
      </c>
      <c r="F227" s="4">
        <v>0</v>
      </c>
    </row>
    <row r="228" ht="15.75" customHeight="1">
      <c r="A228" s="4">
        <v>60</v>
      </c>
      <c r="B228" s="12" t="str">
        <f t="array" ref="B228">IF(A228:A545="","",_xlfn.XLOOKUP(A228:A545,'参照_勢力'!A:A,'参照_勢力'!B:B,"見つかりません"))</f>
      </c>
      <c r="C228" s="4">
        <v>61</v>
      </c>
      <c r="D228" s="12" t="str">
        <f t="array" ref="D228">IF(C228:C545="","",_xlfn.XLOOKUP(C228:C545,'参照_勢力'!A:A,'参照_勢力'!B:B,"見つかりません"))</f>
      </c>
      <c r="E228" s="4" t="inlineStr">
        <is>
          <t>同盟</t>
        </is>
      </c>
      <c r="F228" s="4">
        <v>80</v>
      </c>
    </row>
    <row r="229" ht="15.75" customHeight="1">
      <c r="A229" s="4">
        <v>61</v>
      </c>
      <c r="B229" s="12" t="str">
        <f t="array" ref="B229">IF(A229:A546="","",_xlfn.XLOOKUP(A229:A546,'参照_勢力'!A:A,'参照_勢力'!B:B,"見つかりません"))</f>
      </c>
      <c r="C229" s="4">
        <v>26</v>
      </c>
      <c r="D229" s="12" t="str">
        <f t="array" ref="D229">IF(C229:C546="","",_xlfn.XLOOKUP(C229:C546,'参照_勢力'!A:A,'参照_勢力'!B:B,"見つかりません"))</f>
      </c>
      <c r="E229" s="4" t="inlineStr">
        <is>
          <t>敵対</t>
        </is>
      </c>
      <c r="F229" s="4">
        <v>0</v>
      </c>
    </row>
    <row r="230" ht="15.75" customHeight="1">
      <c r="A230" s="4">
        <v>61</v>
      </c>
      <c r="B230" s="12" t="str">
        <f t="array" ref="B230">IF(A230:A547="","",_xlfn.XLOOKUP(A230:A547,'参照_勢力'!A:A,'参照_勢力'!B:B,"見つかりません"))</f>
      </c>
      <c r="C230" s="4">
        <v>60</v>
      </c>
      <c r="D230" s="12" t="str">
        <f t="array" ref="D230">IF(C230:C547="","",_xlfn.XLOOKUP(C230:C547,'参照_勢力'!A:A,'参照_勢力'!B:B,"見つかりません"))</f>
      </c>
      <c r="E230" s="4" t="inlineStr">
        <is>
          <t>同盟</t>
        </is>
      </c>
      <c r="F230" s="4">
        <v>80</v>
      </c>
    </row>
    <row r="231" ht="15.75" customHeight="1">
      <c r="A231" s="4">
        <v>62</v>
      </c>
      <c r="B231" s="12" t="str">
        <f t="array" ref="B231">IF(A231:A548="","",_xlfn.XLOOKUP(A231:A548,'参照_勢力'!A:A,'参照_勢力'!B:B,"見つかりません"))</f>
      </c>
      <c r="C231" s="4">
        <v>25</v>
      </c>
      <c r="D231" s="12" t="str">
        <f t="array" ref="D231">IF(C231:C548="","",_xlfn.XLOOKUP(C231:C548,'参照_勢力'!A:A,'参照_勢力'!B:B,"見つかりません"))</f>
      </c>
      <c r="E231" s="4" t="inlineStr">
        <is>
          <t>普通</t>
        </is>
      </c>
      <c r="F231" s="4">
        <v>60</v>
      </c>
    </row>
    <row r="232" ht="15.75" customHeight="1">
      <c r="A232" s="4">
        <v>62</v>
      </c>
      <c r="B232" s="12" t="str">
        <f t="array" ref="B232">IF(A232:A549="","",_xlfn.XLOOKUP(A232:A549,'参照_勢力'!A:A,'参照_勢力'!B:B,"見つかりません"))</f>
      </c>
      <c r="C232" s="4">
        <v>53</v>
      </c>
      <c r="D232" s="12" t="str">
        <f t="array" ref="D232">IF(C232:C549="","",_xlfn.XLOOKUP(C232:C549,'参照_勢力'!A:A,'参照_勢力'!B:B,"見つかりません"))</f>
      </c>
      <c r="E232" s="4" t="inlineStr">
        <is>
          <t>普通</t>
        </is>
      </c>
      <c r="F232" s="4">
        <v>60</v>
      </c>
    </row>
    <row r="233" ht="15.75" customHeight="1">
      <c r="A233" s="4">
        <v>62</v>
      </c>
      <c r="B233" s="12" t="str">
        <f t="array" ref="B233">IF(A233:A550="","",_xlfn.XLOOKUP(A233:A550,'参照_勢力'!A:A,'参照_勢力'!B:B,"見つかりません"))</f>
      </c>
      <c r="C233" s="4">
        <v>56</v>
      </c>
      <c r="D233" s="12" t="str">
        <f t="array" ref="D233">IF(C233:C550="","",_xlfn.XLOOKUP(C233:C550,'参照_勢力'!A:A,'参照_勢力'!B:B,"見つかりません"))</f>
      </c>
      <c r="E233" s="4" t="inlineStr">
        <is>
          <t>普通</t>
        </is>
      </c>
      <c r="F233" s="4">
        <v>60</v>
      </c>
    </row>
    <row r="234" ht="15.75" customHeight="1">
      <c r="A234" s="4">
        <v>63</v>
      </c>
      <c r="B234" s="12" t="str">
        <f t="array" ref="B234">IF(A234:A551="","",_xlfn.XLOOKUP(A234:A551,'参照_勢力'!A:A,'参照_勢力'!B:B,"見つかりません"))</f>
      </c>
      <c r="C234" s="4">
        <v>20</v>
      </c>
      <c r="D234" s="12" t="str">
        <f t="array" ref="D234">IF(C234:C551="","",_xlfn.XLOOKUP(C234:C551,'参照_勢力'!A:A,'参照_勢力'!B:B,"見つかりません"))</f>
      </c>
      <c r="E234" s="4" t="inlineStr">
        <is>
          <t>従属</t>
        </is>
      </c>
      <c r="F234" s="4">
        <v>70</v>
      </c>
    </row>
    <row r="235" ht="15.75" customHeight="1">
      <c r="A235" s="4">
        <v>63</v>
      </c>
      <c r="B235" s="12" t="str">
        <f t="array" ref="B235">IF(A235:A552="","",_xlfn.XLOOKUP(A235:A552,'参照_勢力'!A:A,'参照_勢力'!B:B,"見つかりません"))</f>
      </c>
      <c r="C235" s="4">
        <v>25</v>
      </c>
      <c r="D235" s="12" t="str">
        <f t="array" ref="D235">IF(C235:C552="","",_xlfn.XLOOKUP(C235:C552,'参照_勢力'!A:A,'参照_勢力'!B:B,"見つかりません"))</f>
      </c>
      <c r="E235" s="4" t="inlineStr">
        <is>
          <t>友好</t>
        </is>
      </c>
      <c r="F235" s="4">
        <v>90</v>
      </c>
    </row>
    <row r="236" ht="15.75" customHeight="1">
      <c r="A236" s="4">
        <v>64</v>
      </c>
      <c r="B236" s="12" t="str">
        <f t="array" ref="B236">IF(A236:A553="","",_xlfn.XLOOKUP(A236:A553,'参照_勢力'!A:A,'参照_勢力'!B:B,"見つかりません"))</f>
      </c>
      <c r="C236" s="4">
        <v>20</v>
      </c>
      <c r="D236" s="12" t="str">
        <f t="array" ref="D236">IF(C236:C553="","",_xlfn.XLOOKUP(C236:C553,'参照_勢力'!A:A,'参照_勢力'!B:B,"見つかりません"))</f>
      </c>
      <c r="E236" s="4" t="inlineStr">
        <is>
          <t>同盟</t>
        </is>
      </c>
      <c r="F236" s="4">
        <v>50</v>
      </c>
    </row>
    <row r="237" ht="15.75" customHeight="1">
      <c r="A237" s="4">
        <v>66</v>
      </c>
      <c r="B237" s="12" t="str">
        <f t="array" ref="B237">IF(A237:A554="","",_xlfn.XLOOKUP(A237:A554,'参照_勢力'!A:A,'参照_勢力'!B:B,"見つかりません"))</f>
      </c>
      <c r="C237" s="4">
        <v>14</v>
      </c>
      <c r="D237" s="12" t="str">
        <f t="array" ref="D237">IF(C237:C554="","",_xlfn.XLOOKUP(C237:C554,'参照_勢力'!A:A,'参照_勢力'!B:B,"見つかりません"))</f>
      </c>
      <c r="E237" s="4" t="inlineStr">
        <is>
          <t>同盟</t>
        </is>
      </c>
      <c r="F237" s="4">
        <v>100</v>
      </c>
    </row>
    <row r="238" ht="15.75" customHeight="1">
      <c r="A238" s="4">
        <v>66</v>
      </c>
      <c r="B238" s="12" t="str">
        <f t="array" ref="B238">IF(A238:A555="","",_xlfn.XLOOKUP(A238:A555,'参照_勢力'!A:A,'参照_勢力'!B:B,"見つかりません"))</f>
      </c>
      <c r="C238" s="4">
        <v>17</v>
      </c>
      <c r="D238" s="12" t="str">
        <f t="array" ref="D238">IF(C238:C555="","",_xlfn.XLOOKUP(C238:C555,'参照_勢力'!A:A,'参照_勢力'!B:B,"見つかりません"))</f>
      </c>
      <c r="E238" s="4" t="inlineStr">
        <is>
          <t>友好</t>
        </is>
      </c>
      <c r="F238" s="4">
        <v>70</v>
      </c>
    </row>
    <row r="239" ht="15.75" customHeight="1">
      <c r="A239" s="4">
        <v>66</v>
      </c>
      <c r="B239" s="12" t="str">
        <f t="array" ref="B239">IF(A239:A556="","",_xlfn.XLOOKUP(A239:A556,'参照_勢力'!A:A,'参照_勢力'!B:B,"見つかりません"))</f>
      </c>
      <c r="C239" s="4">
        <v>20</v>
      </c>
      <c r="D239" s="12" t="str">
        <f t="array" ref="D239">IF(C239:C556="","",_xlfn.XLOOKUP(C239:C556,'参照_勢力'!A:A,'参照_勢力'!B:B,"見つかりません"))</f>
      </c>
      <c r="E239" s="4" t="inlineStr">
        <is>
          <t>敵対</t>
        </is>
      </c>
      <c r="F239" s="4">
        <v>30</v>
      </c>
    </row>
    <row r="240" ht="15.75" customHeight="1">
      <c r="A240" s="4">
        <v>67</v>
      </c>
      <c r="B240" s="12" t="str">
        <f t="array" ref="B240">IF(A240:A557="","",_xlfn.XLOOKUP(A240:A557,'参照_勢力'!A:A,'参照_勢力'!B:B,"見つかりません"))</f>
      </c>
      <c r="C240" s="4">
        <v>73</v>
      </c>
      <c r="D240" s="12" t="str">
        <f t="array" ref="D240">IF(C240:C557="","",_xlfn.XLOOKUP(C240:C557,'参照_勢力'!A:A,'参照_勢力'!B:B,"見つかりません"))</f>
      </c>
      <c r="E240" s="4" t="inlineStr">
        <is>
          <t>従属</t>
        </is>
      </c>
      <c r="F240" s="4">
        <v>100</v>
      </c>
    </row>
    <row r="241" ht="15.75" customHeight="1">
      <c r="A241" s="4">
        <v>68</v>
      </c>
      <c r="B241" s="12" t="str">
        <f t="array" ref="B241">IF(A241:A558="","",_xlfn.XLOOKUP(A241:A558,'参照_勢力'!A:A,'参照_勢力'!B:B,"見つかりません"))</f>
      </c>
      <c r="C241" s="4">
        <v>69</v>
      </c>
      <c r="D241" s="12" t="str">
        <f t="array" ref="D241">IF(C241:C558="","",_xlfn.XLOOKUP(C241:C558,'参照_勢力'!A:A,'参照_勢力'!B:B,"見つかりません"))</f>
      </c>
      <c r="E241" s="4" t="inlineStr">
        <is>
          <t>同盟</t>
        </is>
      </c>
      <c r="F241" s="4">
        <v>70</v>
      </c>
    </row>
    <row r="242" ht="15.75" customHeight="1">
      <c r="A242" s="4">
        <v>69</v>
      </c>
      <c r="B242" s="12" t="str">
        <f t="array" ref="B242">IF(A242:A559="","",_xlfn.XLOOKUP(A242:A559,'参照_勢力'!A:A,'参照_勢力'!B:B,"見つかりません"))</f>
      </c>
      <c r="C242" s="4">
        <v>68</v>
      </c>
      <c r="D242" s="12" t="str">
        <f t="array" ref="D242">IF(C242:C559="","",_xlfn.XLOOKUP(C242:C559,'参照_勢力'!A:A,'参照_勢力'!B:B,"見つかりません"))</f>
      </c>
      <c r="E242" s="4" t="inlineStr">
        <is>
          <t>同盟</t>
        </is>
      </c>
      <c r="F242" s="4">
        <v>70</v>
      </c>
    </row>
    <row r="243" ht="15.75" customHeight="1">
      <c r="A243" s="4">
        <v>69</v>
      </c>
      <c r="B243" s="12" t="str">
        <f t="array" ref="B243">IF(A243:A560="","",_xlfn.XLOOKUP(A243:A560,'参照_勢力'!A:A,'参照_勢力'!B:B,"見つかりません"))</f>
      </c>
      <c r="C243" s="4">
        <v>73</v>
      </c>
      <c r="D243" s="12" t="str">
        <f t="array" ref="D243">IF(C243:C560="","",_xlfn.XLOOKUP(C243:C560,'参照_勢力'!A:A,'参照_勢力'!B:B,"見つかりません"))</f>
      </c>
      <c r="E243" s="4" t="inlineStr">
        <is>
          <t>同盟</t>
        </is>
      </c>
      <c r="F243" s="4">
        <v>70</v>
      </c>
    </row>
    <row r="244" ht="15.75" customHeight="1">
      <c r="A244" s="4">
        <v>69</v>
      </c>
      <c r="B244" s="12" t="str">
        <f t="array" ref="B244">IF(A244:A561="","",_xlfn.XLOOKUP(A244:A561,'参照_勢力'!A:A,'参照_勢力'!B:B,"見つかりません"))</f>
      </c>
      <c r="C244" s="4">
        <v>84</v>
      </c>
      <c r="D244" s="12" t="str">
        <f t="array" ref="D244">IF(C244:C561="","",_xlfn.XLOOKUP(C244:C561,'参照_勢力'!A:A,'参照_勢力'!B:B,"見つかりません"))</f>
      </c>
      <c r="E244" s="4" t="inlineStr">
        <is>
          <t>同盟</t>
        </is>
      </c>
      <c r="F244" s="4">
        <v>70</v>
      </c>
    </row>
    <row r="245" ht="15.75" customHeight="1">
      <c r="A245" s="4">
        <v>73</v>
      </c>
      <c r="B245" s="12" t="str">
        <f t="array" ref="B245">IF(A245:A562="","",_xlfn.XLOOKUP(A245:A562,'参照_勢力'!A:A,'参照_勢力'!B:B,"見つかりません"))</f>
      </c>
      <c r="C245" s="4">
        <v>7</v>
      </c>
      <c r="D245" s="12" t="str">
        <f t="array" ref="D245">IF(C245:C562="","",_xlfn.XLOOKUP(C245:C562,'参照_勢力'!A:A,'参照_勢力'!B:B,"見つかりません"))</f>
      </c>
      <c r="E245" s="4" t="inlineStr">
        <is>
          <t>友好</t>
        </is>
      </c>
      <c r="F245" s="4">
        <v>100</v>
      </c>
    </row>
    <row r="246" ht="15.75" customHeight="1">
      <c r="A246" s="4">
        <v>73</v>
      </c>
      <c r="B246" s="12" t="str">
        <f t="array" ref="B246">IF(A246:A563="","",_xlfn.XLOOKUP(A246:A563,'参照_勢力'!A:A,'参照_勢力'!B:B,"見つかりません"))</f>
      </c>
      <c r="C246" s="4">
        <v>67</v>
      </c>
      <c r="D246" s="12" t="str">
        <f t="array" ref="D246">IF(C246:C563="","",_xlfn.XLOOKUP(C246:C563,'参照_勢力'!A:A,'参照_勢力'!B:B,"見つかりません"))</f>
      </c>
      <c r="E246" s="4" t="inlineStr">
        <is>
          <t>支配</t>
        </is>
      </c>
      <c r="F246" s="4">
        <v>100</v>
      </c>
    </row>
    <row r="247" ht="15.75" customHeight="1">
      <c r="A247" s="4">
        <v>73</v>
      </c>
      <c r="B247" s="12" t="str">
        <f t="array" ref="B247">IF(A247:A564="","",_xlfn.XLOOKUP(A247:A564,'参照_勢力'!A:A,'参照_勢力'!B:B,"見つかりません"))</f>
      </c>
      <c r="C247" s="4">
        <v>69</v>
      </c>
      <c r="D247" s="12" t="str">
        <f t="array" ref="D247">IF(C247:C564="","",_xlfn.XLOOKUP(C247:C564,'参照_勢力'!A:A,'参照_勢力'!B:B,"見つかりません"))</f>
      </c>
      <c r="E247" s="4" t="inlineStr">
        <is>
          <t>同盟</t>
        </is>
      </c>
      <c r="F247" s="4">
        <v>70</v>
      </c>
    </row>
    <row r="248" ht="15.75" customHeight="1">
      <c r="A248" s="4">
        <v>74</v>
      </c>
      <c r="B248" s="12" t="str">
        <f t="array" ref="B248">IF(A248:A565="","",_xlfn.XLOOKUP(A248:A565,'参照_勢力'!A:A,'参照_勢力'!B:B,"見つかりません"))</f>
      </c>
      <c r="C248" s="4">
        <v>75</v>
      </c>
      <c r="D248" s="12" t="str">
        <f t="array" ref="D248">IF(C248:C565="","",_xlfn.XLOOKUP(C248:C565,'参照_勢力'!A:A,'参照_勢力'!B:B,"見つかりません"))</f>
      </c>
      <c r="E248" s="4" t="inlineStr">
        <is>
          <t>支配</t>
        </is>
      </c>
      <c r="F248" s="4">
        <v>85</v>
      </c>
    </row>
    <row r="249" ht="15.75" customHeight="1">
      <c r="A249" s="4">
        <v>74</v>
      </c>
      <c r="B249" s="12" t="str">
        <f t="array" ref="B249">IF(A249:A566="","",_xlfn.XLOOKUP(A249:A566,'参照_勢力'!A:A,'参照_勢力'!B:B,"見つかりません"))</f>
      </c>
      <c r="C249" s="4">
        <v>76</v>
      </c>
      <c r="D249" s="12" t="str">
        <f t="array" ref="D249">IF(C249:C566="","",_xlfn.XLOOKUP(C249:C566,'参照_勢力'!A:A,'参照_勢力'!B:B,"見つかりません"))</f>
      </c>
      <c r="E249" s="4" t="inlineStr">
        <is>
          <t>支配</t>
        </is>
      </c>
      <c r="F249" s="4">
        <v>85</v>
      </c>
    </row>
    <row r="250" ht="15.75" customHeight="1">
      <c r="A250" s="4">
        <v>74</v>
      </c>
      <c r="B250" s="12" t="str">
        <f t="array" ref="B250">IF(A250:A567="","",_xlfn.XLOOKUP(A250:A567,'参照_勢力'!A:A,'参照_勢力'!B:B,"見つかりません"))</f>
      </c>
      <c r="C250" s="4">
        <v>81</v>
      </c>
      <c r="D250" s="12" t="str">
        <f t="array" ref="D250">IF(C250:C567="","",_xlfn.XLOOKUP(C250:C567,'参照_勢力'!A:A,'参照_勢力'!B:B,"見つかりません"))</f>
      </c>
      <c r="E250" s="4" t="inlineStr">
        <is>
          <t>支配</t>
        </is>
      </c>
      <c r="F250" s="4">
        <v>100</v>
      </c>
    </row>
    <row r="251" ht="15.75" customHeight="1">
      <c r="A251" s="4">
        <v>74</v>
      </c>
      <c r="B251" s="12" t="str">
        <f t="array" ref="B251">IF(A251:A568="","",_xlfn.XLOOKUP(A251:A568,'参照_勢力'!A:A,'参照_勢力'!B:B,"見つかりません"))</f>
      </c>
      <c r="C251" s="4">
        <v>89</v>
      </c>
      <c r="D251" s="12" t="str">
        <f t="array" ref="D251">IF(C251:C568="","",_xlfn.XLOOKUP(C251:C568,'参照_勢力'!A:A,'参照_勢力'!B:B,"見つかりません"))</f>
      </c>
      <c r="E251" s="4" t="inlineStr">
        <is>
          <t>友好</t>
        </is>
      </c>
      <c r="F251" s="4">
        <v>70</v>
      </c>
    </row>
    <row r="252" ht="15.75" customHeight="1">
      <c r="A252" s="4">
        <v>75</v>
      </c>
      <c r="B252" s="12" t="str">
        <f t="array" ref="B252">IF(A252:A569="","",_xlfn.XLOOKUP(A252:A569,'参照_勢力'!A:A,'参照_勢力'!B:B,"見つかりません"))</f>
      </c>
      <c r="C252" s="4">
        <v>74</v>
      </c>
      <c r="D252" s="12" t="str">
        <f t="array" ref="D252">IF(C252:C569="","",_xlfn.XLOOKUP(C252:C569,'参照_勢力'!A:A,'参照_勢力'!B:B,"見つかりません"))</f>
      </c>
      <c r="E252" s="4" t="inlineStr">
        <is>
          <t>従属</t>
        </is>
      </c>
      <c r="F252" s="4">
        <v>85</v>
      </c>
    </row>
    <row r="253" ht="15.75" customHeight="1">
      <c r="A253" s="4">
        <v>75</v>
      </c>
      <c r="B253" s="12" t="str">
        <f t="array" ref="B253">IF(A253:A570="","",_xlfn.XLOOKUP(A253:A570,'参照_勢力'!A:A,'参照_勢力'!B:B,"見つかりません"))</f>
      </c>
      <c r="C253" s="4">
        <v>76</v>
      </c>
      <c r="D253" s="12" t="str">
        <f t="array" ref="D253">IF(C253:C570="","",_xlfn.XLOOKUP(C253:C570,'参照_勢力'!A:A,'参照_勢力'!B:B,"見つかりません"))</f>
      </c>
      <c r="E253" s="4" t="inlineStr">
        <is>
          <t>同盟</t>
        </is>
      </c>
      <c r="F253" s="4">
        <v>85</v>
      </c>
    </row>
    <row r="254" ht="15.75" customHeight="1">
      <c r="A254" s="4">
        <v>76</v>
      </c>
      <c r="B254" s="12" t="str">
        <f t="array" ref="B254">IF(A254:A571="","",_xlfn.XLOOKUP(A254:A571,'参照_勢力'!A:A,'参照_勢力'!B:B,"見つかりません"))</f>
      </c>
      <c r="C254" s="4">
        <v>74</v>
      </c>
      <c r="D254" s="12" t="str">
        <f t="array" ref="D254">IF(C254:C571="","",_xlfn.XLOOKUP(C254:C571,'参照_勢力'!A:A,'参照_勢力'!B:B,"見つかりません"))</f>
      </c>
      <c r="E254" s="4" t="inlineStr">
        <is>
          <t>従属</t>
        </is>
      </c>
      <c r="F254" s="4">
        <v>85</v>
      </c>
    </row>
    <row r="255" ht="15.75" customHeight="1">
      <c r="A255" s="4">
        <v>76</v>
      </c>
      <c r="B255" s="12" t="str">
        <f t="array" ref="B255">IF(A255:A572="","",_xlfn.XLOOKUP(A255:A572,'参照_勢力'!A:A,'参照_勢力'!B:B,"見つかりません"))</f>
      </c>
      <c r="C255" s="4">
        <v>75</v>
      </c>
      <c r="D255" s="12" t="str">
        <f t="array" ref="D255">IF(C255:C572="","",_xlfn.XLOOKUP(C255:C572,'参照_勢力'!A:A,'参照_勢力'!B:B,"見つかりません"))</f>
      </c>
      <c r="E255" s="4" t="inlineStr">
        <is>
          <t>同盟</t>
        </is>
      </c>
      <c r="F255" s="4">
        <v>85</v>
      </c>
    </row>
    <row r="256" ht="15.75" customHeight="1">
      <c r="A256" s="4">
        <v>78</v>
      </c>
      <c r="B256" s="12" t="str">
        <f t="array" ref="B256">IF(A256:A573="","",_xlfn.XLOOKUP(A256:A573,'参照_勢力'!A:A,'参照_勢力'!B:B,"見つかりません"))</f>
      </c>
      <c r="C256" s="4">
        <v>80</v>
      </c>
      <c r="D256" s="12" t="str">
        <f t="array" ref="D256">IF(C256:C573="","",_xlfn.XLOOKUP(C256:C573,'参照_勢力'!A:A,'参照_勢力'!B:B,"見つかりません"))</f>
      </c>
      <c r="E256" s="4" t="inlineStr">
        <is>
          <t>同盟</t>
        </is>
      </c>
      <c r="F256" s="4">
        <v>100</v>
      </c>
    </row>
    <row r="257" ht="15.75" customHeight="1">
      <c r="A257" s="4">
        <v>79</v>
      </c>
      <c r="B257" s="12" t="str">
        <f t="array" ref="B257">IF(A257:A574="","",_xlfn.XLOOKUP(A257:A574,'参照_勢力'!A:A,'参照_勢力'!B:B,"見つかりません"))</f>
      </c>
      <c r="C257" s="4">
        <v>33</v>
      </c>
      <c r="D257" s="12" t="str">
        <f t="array" ref="D257">IF(C257:C574="","",_xlfn.XLOOKUP(C257:C574,'参照_勢力'!A:A,'参照_勢力'!B:B,"見つかりません"))</f>
      </c>
      <c r="E257" s="4" t="inlineStr">
        <is>
          <t>敵対</t>
        </is>
      </c>
      <c r="F257" s="4">
        <v>30</v>
      </c>
    </row>
    <row r="258" ht="15.75" customHeight="1">
      <c r="A258" s="4">
        <v>79</v>
      </c>
      <c r="B258" s="12" t="str">
        <f t="array" ref="B258">IF(A258:A575="","",_xlfn.XLOOKUP(A258:A575,'参照_勢力'!A:A,'参照_勢力'!B:B,"見つかりません"))</f>
      </c>
      <c r="C258" s="4">
        <v>81</v>
      </c>
      <c r="D258" s="12" t="str">
        <f t="array" ref="D258">IF(C258:C575="","",_xlfn.XLOOKUP(C258:C575,'参照_勢力'!A:A,'参照_勢力'!B:B,"見つかりません"))</f>
      </c>
      <c r="E258" s="4" t="inlineStr">
        <is>
          <t>敵対</t>
        </is>
      </c>
      <c r="F258" s="4">
        <v>30</v>
      </c>
    </row>
    <row r="259" ht="15.75" customHeight="1">
      <c r="A259" s="4">
        <v>80</v>
      </c>
      <c r="B259" s="12" t="str">
        <f t="array" ref="B259">IF(A259:A576="","",_xlfn.XLOOKUP(A259:A576,'参照_勢力'!A:A,'参照_勢力'!B:B,"見つかりません"))</f>
      </c>
      <c r="C259" s="4">
        <v>32</v>
      </c>
      <c r="D259" s="12" t="str">
        <f t="array" ref="D259">IF(C259:C576="","",_xlfn.XLOOKUP(C259:C576,'参照_勢力'!A:A,'参照_勢力'!B:B,"見つかりません"))</f>
      </c>
      <c r="E259" s="4" t="inlineStr">
        <is>
          <t>従属</t>
        </is>
      </c>
      <c r="F259" s="4">
        <v>100</v>
      </c>
    </row>
    <row r="260" ht="15.75" customHeight="1">
      <c r="A260" s="4">
        <v>80</v>
      </c>
      <c r="B260" s="12" t="str">
        <f t="array" ref="B260">IF(A260:A577="","",_xlfn.XLOOKUP(A260:A577,'参照_勢力'!A:A,'参照_勢力'!B:B,"見つかりません"))</f>
      </c>
      <c r="C260" s="4">
        <v>78</v>
      </c>
      <c r="D260" s="12" t="str">
        <f t="array" ref="D260">IF(C260:C577="","",_xlfn.XLOOKUP(C260:C577,'参照_勢力'!A:A,'参照_勢力'!B:B,"見つかりません"))</f>
      </c>
      <c r="E260" s="4" t="inlineStr">
        <is>
          <t>同盟</t>
        </is>
      </c>
      <c r="F260" s="4">
        <v>100</v>
      </c>
    </row>
    <row r="261" ht="15.75" customHeight="1">
      <c r="A261" s="4">
        <v>81</v>
      </c>
      <c r="B261" s="12" t="str">
        <f t="array" ref="B261">IF(A261:A578="","",_xlfn.XLOOKUP(A261:A578,'参照_勢力'!A:A,'参照_勢力'!B:B,"見つかりません"))</f>
      </c>
      <c r="C261" s="4">
        <v>74</v>
      </c>
      <c r="D261" s="12" t="str">
        <f t="array" ref="D261">IF(C261:C578="","",_xlfn.XLOOKUP(C261:C578,'参照_勢力'!A:A,'参照_勢力'!B:B,"見つかりません"))</f>
      </c>
      <c r="E261" s="4" t="inlineStr">
        <is>
          <t>従属</t>
        </is>
      </c>
      <c r="F261" s="4">
        <v>100</v>
      </c>
    </row>
    <row r="262" ht="15.75" customHeight="1">
      <c r="A262" s="4">
        <v>81</v>
      </c>
      <c r="B262" s="12" t="str">
        <f t="array" ref="B262">IF(A262:A579="","",_xlfn.XLOOKUP(A262:A579,'参照_勢力'!A:A,'参照_勢力'!B:B,"見つかりません"))</f>
      </c>
      <c r="C262" s="4">
        <v>79</v>
      </c>
      <c r="D262" s="12" t="str">
        <f t="array" ref="D262">IF(C262:C579="","",_xlfn.XLOOKUP(C262:C579,'参照_勢力'!A:A,'参照_勢力'!B:B,"見つかりません"))</f>
      </c>
      <c r="E262" s="4" t="inlineStr">
        <is>
          <t>敵対</t>
        </is>
      </c>
      <c r="F262" s="4">
        <v>30</v>
      </c>
    </row>
    <row r="263" ht="15.75" customHeight="1">
      <c r="A263" s="4">
        <v>84</v>
      </c>
      <c r="B263" s="12" t="str">
        <f t="array" ref="B263">IF(A263:A580="","",_xlfn.XLOOKUP(A263:A580,'参照_勢力'!A:A,'参照_勢力'!B:B,"見つかりません"))</f>
      </c>
      <c r="C263" s="4">
        <v>69</v>
      </c>
      <c r="D263" s="12" t="str">
        <f t="array" ref="D263">IF(C263:C580="","",_xlfn.XLOOKUP(C263:C580,'参照_勢力'!A:A,'参照_勢力'!B:B,"見つかりません"))</f>
      </c>
      <c r="E263" s="4" t="inlineStr">
        <is>
          <t>同盟</t>
        </is>
      </c>
      <c r="F263" s="4">
        <v>70</v>
      </c>
    </row>
    <row r="264" ht="15.75" customHeight="1">
      <c r="A264" s="4">
        <v>87</v>
      </c>
      <c r="B264" s="12" t="str">
        <f t="array" ref="B264">IF(A264:A581="","",_xlfn.XLOOKUP(A264:A581,'参照_勢力'!A:A,'参照_勢力'!B:B,"見つかりません"))</f>
      </c>
      <c r="C264" s="4">
        <v>7</v>
      </c>
      <c r="D264" s="12" t="str">
        <f t="array" ref="D264">IF(C264:C581="","",_xlfn.XLOOKUP(C264:C581,'参照_勢力'!A:A,'参照_勢力'!B:B,"見つかりません"))</f>
      </c>
      <c r="E264" s="4" t="inlineStr">
        <is>
          <t>友好</t>
        </is>
      </c>
      <c r="F264" s="4">
        <v>70</v>
      </c>
    </row>
    <row r="265" ht="15.75" customHeight="1">
      <c r="A265" s="4">
        <v>88</v>
      </c>
      <c r="B265" s="12" t="str">
        <f t="array" ref="B265">IF(A265:A582="","",_xlfn.XLOOKUP(A265:A582,'参照_勢力'!A:A,'参照_勢力'!B:B,"見つかりません"))</f>
      </c>
      <c r="C265" s="4">
        <v>89</v>
      </c>
      <c r="D265" s="12" t="str">
        <f t="array" ref="D265">IF(C265:C582="","",_xlfn.XLOOKUP(C265:C582,'参照_勢力'!A:A,'参照_勢力'!B:B,"見つかりません"))</f>
      </c>
      <c r="E265" s="4" t="inlineStr">
        <is>
          <t>敵対</t>
        </is>
      </c>
      <c r="F265" s="4">
        <v>30</v>
      </c>
    </row>
    <row r="266" ht="15.75" customHeight="1">
      <c r="A266" s="4">
        <v>89</v>
      </c>
      <c r="B266" s="12" t="str">
        <f t="array" ref="B266">IF(A266:A583="","",_xlfn.XLOOKUP(A266:A583,'参照_勢力'!A:A,'参照_勢力'!B:B,"見つかりません"))</f>
      </c>
      <c r="C266" s="4">
        <v>74</v>
      </c>
      <c r="D266" s="12" t="str">
        <f t="array" ref="D266">IF(C266:C583="","",_xlfn.XLOOKUP(C266:C583,'参照_勢力'!A:A,'参照_勢力'!B:B,"見つかりません"))</f>
      </c>
      <c r="E266" s="4" t="inlineStr">
        <is>
          <t>友好</t>
        </is>
      </c>
      <c r="F266" s="4">
        <v>70</v>
      </c>
    </row>
    <row r="267" ht="15.75" customHeight="1">
      <c r="A267" s="4">
        <v>89</v>
      </c>
      <c r="B267" s="12" t="str">
        <f t="array" ref="B267">IF(A267:A584="","",_xlfn.XLOOKUP(A267:A584,'参照_勢力'!A:A,'参照_勢力'!B:B,"見つかりません"))</f>
      </c>
      <c r="C267" s="4">
        <v>88</v>
      </c>
      <c r="D267" s="12" t="str">
        <f t="array" ref="D267">IF(C267:C584="","",_xlfn.XLOOKUP(C267:C584,'参照_勢力'!A:A,'参照_勢力'!B:B,"見つかりません"))</f>
      </c>
      <c r="E267" s="4" t="inlineStr">
        <is>
          <t>敵対</t>
        </is>
      </c>
      <c r="F267" s="4">
        <v>30</v>
      </c>
    </row>
    <row r="268" ht="15.75" customHeight="1">
      <c r="A268" s="4">
        <v>91</v>
      </c>
      <c r="B268" s="12" t="str">
        <f t="array" ref="B268">IF(A268:A585="","",_xlfn.XLOOKUP(A268:A585,'参照_勢力'!A:A,'参照_勢力'!B:B,"見つかりません"))</f>
      </c>
      <c r="C268" s="4">
        <v>2</v>
      </c>
      <c r="D268" s="12" t="str">
        <f t="array" ref="D268">IF(C268:C585="","",_xlfn.XLOOKUP(C268:C585,'参照_勢力'!A:A,'参照_勢力'!B:B,"見つかりません"))</f>
      </c>
      <c r="E268" s="4" t="inlineStr">
        <is>
          <t>敵対</t>
        </is>
      </c>
      <c r="F268" s="4">
        <v>30</v>
      </c>
    </row>
    <row r="269" ht="15.75" customHeight="1">
      <c r="A269" s="4">
        <v>91</v>
      </c>
      <c r="B269" s="12" t="str">
        <f t="array" ref="B269">IF(A269:A586="","",_xlfn.XLOOKUP(A269:A586,'参照_勢力'!A:A,'参照_勢力'!B:B,"見つかりません"))</f>
      </c>
      <c r="C269" s="4">
        <v>4</v>
      </c>
      <c r="D269" s="12" t="str">
        <f t="array" ref="D269">IF(C269:C586="","",_xlfn.XLOOKUP(C269:C586,'参照_勢力'!A:A,'参照_勢力'!B:B,"見つかりません"))</f>
      </c>
      <c r="E269" s="4" t="inlineStr">
        <is>
          <t>婚姻</t>
        </is>
      </c>
      <c r="F269" s="4">
        <v>100</v>
      </c>
    </row>
    <row r="270" ht="15.75" customHeight="1">
      <c r="A270" s="4">
        <v>92</v>
      </c>
      <c r="B270" s="12" t="str">
        <f t="array" ref="B270">IF(A270:A587="","",_xlfn.XLOOKUP(A270:A587,'参照_勢力'!A:A,'参照_勢力'!B:B,"見つかりません"))</f>
      </c>
      <c r="C270" s="4">
        <v>4</v>
      </c>
      <c r="D270" s="12" t="str">
        <f t="array" ref="D270">IF(C270:C587="","",_xlfn.XLOOKUP(C270:C587,'参照_勢力'!A:A,'参照_勢力'!B:B,"見つかりません"))</f>
      </c>
      <c r="E270" s="4" t="inlineStr">
        <is>
          <t>従属</t>
        </is>
      </c>
      <c r="F270" s="4">
        <v>100</v>
      </c>
    </row>
    <row r="271" ht="15.75" customHeight="1">
      <c r="A271" s="4">
        <v>203</v>
      </c>
      <c r="B271" s="12" t="str">
        <f t="array" ref="B271">IF(A271:A588="","",_xlfn.XLOOKUP(A271:A588,'参照_勢力'!A:A,'参照_勢力'!B:B,"見つかりません"))</f>
      </c>
      <c r="C271" s="4">
        <v>1</v>
      </c>
      <c r="D271" s="12" t="str">
        <f t="array" ref="D271">IF(C271:C588="","",_xlfn.XLOOKUP(C271:C588,'参照_勢力'!A:A,'参照_勢力'!B:B,"見つかりません"))</f>
      </c>
      <c r="E271" s="4" t="inlineStr">
        <is>
          <t>同盟</t>
        </is>
      </c>
      <c r="F271" s="4">
        <v>100</v>
      </c>
    </row>
    <row r="272" ht="15.75" customHeight="1">
      <c r="A272" s="4">
        <v>203</v>
      </c>
      <c r="B272" s="12" t="str">
        <f t="array" ref="B272">IF(A272:A589="","",_xlfn.XLOOKUP(A272:A589,'参照_勢力'!A:A,'参照_勢力'!B:B,"見つかりません"))</f>
      </c>
      <c r="C272" s="4">
        <v>17</v>
      </c>
      <c r="D272" s="12" t="str">
        <f t="array" ref="D272">IF(C272:C589="","",_xlfn.XLOOKUP(C272:C589,'参照_勢力'!A:A,'参照_勢力'!B:B,"見つかりません"))</f>
      </c>
      <c r="E272" s="4" t="inlineStr">
        <is>
          <t>同盟</t>
        </is>
      </c>
      <c r="F272" s="4">
        <v>100</v>
      </c>
    </row>
    <row r="273" ht="15.75" customHeight="1">
      <c r="A273" s="4">
        <v>203</v>
      </c>
      <c r="B273" s="12" t="str">
        <f t="array" ref="B273">IF(A273:A590="","",_xlfn.XLOOKUP(A273:A590,'参照_勢力'!A:A,'参照_勢力'!B:B,"見つかりません"))</f>
      </c>
      <c r="C273" s="4">
        <v>20</v>
      </c>
      <c r="D273" s="12" t="str">
        <f t="array" ref="D273">IF(C273:C590="","",_xlfn.XLOOKUP(C273:C590,'参照_勢力'!A:A,'参照_勢力'!B:B,"見つかりません"))</f>
      </c>
      <c r="E273" s="4" t="inlineStr">
        <is>
          <t>敵対</t>
        </is>
      </c>
      <c r="F273" s="4">
        <v>0</v>
      </c>
    </row>
    <row r="274" ht="15.75" customHeight="1">
      <c r="A274" s="4">
        <v>215</v>
      </c>
      <c r="B274" s="12" t="str">
        <f t="array" ref="B274">IF(A274:A591="","",_xlfn.XLOOKUP(A274:A591,'参照_勢力'!A:A,'参照_勢力'!B:B,"見つかりません"))</f>
      </c>
      <c r="C274" s="4">
        <v>28</v>
      </c>
      <c r="D274" s="12" t="str">
        <f t="array" ref="D274">IF(C274:C591="","",_xlfn.XLOOKUP(C274:C591,'参照_勢力'!A:A,'参照_勢力'!B:B,"見つかりません"))</f>
      </c>
      <c r="E274" s="4" t="inlineStr">
        <is>
          <t>友好</t>
        </is>
      </c>
      <c r="F274" s="4">
        <v>60</v>
      </c>
    </row>
    <row r="275" ht="15.75" customHeight="1">
      <c r="A275" s="4">
        <v>226</v>
      </c>
      <c r="B275" s="12" t="str">
        <f t="array" ref="B275">IF(A275:A592="","",_xlfn.XLOOKUP(A275:A592,'参照_勢力'!A:A,'参照_勢力'!B:B,"見つかりません"))</f>
      </c>
      <c r="C275" s="4">
        <v>25</v>
      </c>
      <c r="D275" s="12" t="str">
        <f t="array" ref="D275">IF(C275:C592="","",_xlfn.XLOOKUP(C275:C592,'参照_勢力'!A:A,'参照_勢力'!B:B,"見つかりません"))</f>
      </c>
      <c r="E275" s="4" t="inlineStr">
        <is>
          <t>従属</t>
        </is>
      </c>
      <c r="F275" s="4">
        <v>90</v>
      </c>
    </row>
    <row r="276" ht="15.75" customHeight="1">
      <c r="A276" s="4">
        <v>226</v>
      </c>
      <c r="B276" s="12" t="str">
        <f t="array" ref="B276">IF(A276:A593="","",_xlfn.XLOOKUP(A276:A593,'参照_勢力'!A:A,'参照_勢力'!B:B,"見つかりません"))</f>
      </c>
      <c r="C276" s="4">
        <v>39</v>
      </c>
      <c r="D276" s="12" t="str">
        <f t="array" ref="D276">IF(C276:C593="","",_xlfn.XLOOKUP(C276:C593,'参照_勢力'!A:A,'参照_勢力'!B:B,"見つかりません"))</f>
      </c>
      <c r="E276" s="4" t="inlineStr">
        <is>
          <t>敵対</t>
        </is>
      </c>
      <c r="F276" s="4">
        <v>100</v>
      </c>
    </row>
    <row r="277" ht="15.75" customHeight="1">
      <c r="A277" s="4">
        <v>226</v>
      </c>
      <c r="B277" s="12" t="str">
        <f t="array" ref="B277">IF(A277:A594="","",_xlfn.XLOOKUP(A277:A594,'参照_勢力'!A:A,'参照_勢力'!B:B,"見つかりません"))</f>
      </c>
      <c r="C277" s="4">
        <v>43</v>
      </c>
      <c r="D277" s="12" t="str">
        <f t="array" ref="D277">IF(C277:C594="","",_xlfn.XLOOKUP(C277:C594,'参照_勢力'!A:A,'参照_勢力'!B:B,"見つかりません"))</f>
      </c>
      <c r="E277" s="4" t="inlineStr">
        <is>
          <t>敵対</t>
        </is>
      </c>
      <c r="F277" s="4">
        <v>0</v>
      </c>
    </row>
    <row r="278" ht="15.75" customHeight="1">
      <c r="A278" s="4">
        <v>301</v>
      </c>
      <c r="B278" s="12" t="str">
        <f t="array" ref="B278">IF(A278:A595="","",_xlfn.XLOOKUP(A278:A595,'参照_勢力'!A:A,'参照_勢力'!B:B,"見つかりません"))</f>
      </c>
      <c r="C278" s="4">
        <v>7</v>
      </c>
      <c r="D278" s="12" t="str">
        <f t="array" ref="D278">IF(C278:C595="","",_xlfn.XLOOKUP(C278:C595,'参照_勢力'!A:A,'参照_勢力'!B:B,"見つかりません"))</f>
      </c>
      <c r="E278" s="4" t="inlineStr">
        <is>
          <t>敵対</t>
        </is>
      </c>
      <c r="F278" s="4">
        <v>0</v>
      </c>
    </row>
    <row r="279" ht="15.75" customHeight="1">
      <c r="A279" s="4">
        <v>301</v>
      </c>
      <c r="B279" s="12" t="str">
        <f t="array" ref="B279">IF(A279:A596="","",_xlfn.XLOOKUP(A279:A596,'参照_勢力'!A:A,'参照_勢力'!B:B,"見つかりません"))</f>
      </c>
      <c r="C279" s="4">
        <v>15</v>
      </c>
      <c r="D279" s="12" t="str">
        <f t="array" ref="D279">IF(C279:C596="","",_xlfn.XLOOKUP(C279:C596,'参照_勢力'!A:A,'参照_勢力'!B:B,"見つかりません"))</f>
      </c>
      <c r="E279" s="4" t="inlineStr">
        <is>
          <t>敵対</t>
        </is>
      </c>
      <c r="F279" s="4">
        <v>0</v>
      </c>
    </row>
    <row r="280" ht="15.75" customHeight="1">
      <c r="A280" s="4"/>
      <c r="B280" s="12" t="str">
        <f t="array" ref="B280">IF(A280:A597="","",_xlfn.XLOOKUP(A280:A597,'参照_勢力'!A:A,'参照_勢力'!B:B,"見つかりません"))</f>
      </c>
      <c r="C280" s="4"/>
      <c r="D280" s="12" t="str">
        <f t="array" ref="D280">IF(C280:C597="","",_xlfn.XLOOKUP(C280:C597,'参照_勢力'!A:A,'参照_勢力'!B:B,"見つかりません"))</f>
      </c>
      <c r="E280" s="4"/>
      <c r="F280" s="4"/>
    </row>
    <row r="281" ht="15.75" customHeight="1">
      <c r="A281" s="4"/>
      <c r="B281" s="12" t="str">
        <f t="array" ref="B281">IF(A281:A598="","",_xlfn.XLOOKUP(A281:A598,'参照_勢力'!A:A,'参照_勢力'!B:B,"見つかりません"))</f>
      </c>
      <c r="C281" s="4"/>
      <c r="D281" s="12" t="str">
        <f t="array" ref="D281">IF(C281:C598="","",_xlfn.XLOOKUP(C281:C598,'参照_勢力'!A:A,'参照_勢力'!B:B,"見つかりません"))</f>
      </c>
      <c r="E281" s="4"/>
      <c r="F281" s="4"/>
    </row>
    <row r="282" ht="15.75" customHeight="1">
      <c r="A282" s="4"/>
      <c r="B282" s="12" t="str">
        <f t="array" ref="B282">IF(A282:A599="","",_xlfn.XLOOKUP(A282:A599,'参照_勢力'!A:A,'参照_勢力'!B:B,"見つかりません"))</f>
      </c>
      <c r="C282" s="4"/>
      <c r="D282" s="12" t="str">
        <f t="array" ref="D282">IF(C282:C599="","",_xlfn.XLOOKUP(C282:C599,'参照_勢力'!A:A,'参照_勢力'!B:B,"見つかりません"))</f>
      </c>
      <c r="E282" s="4"/>
      <c r="F282" s="4"/>
    </row>
    <row r="283" ht="15.75" customHeight="1">
      <c r="A283" s="4"/>
      <c r="B283" s="12" t="str">
        <f t="array" ref="B283">IF(A283:A600="","",_xlfn.XLOOKUP(A283:A600,'参照_勢力'!A:A,'参照_勢力'!B:B,"見つかりません"))</f>
      </c>
      <c r="C283" s="4"/>
      <c r="D283" s="12" t="str">
        <f t="array" ref="D283">IF(C283:C600="","",_xlfn.XLOOKUP(C283:C600,'参照_勢力'!A:A,'参照_勢力'!B:B,"見つかりません"))</f>
      </c>
      <c r="E283" s="4"/>
      <c r="F283" s="4"/>
    </row>
    <row r="284" ht="15.75" customHeight="1">
      <c r="A284" s="4"/>
      <c r="B284" s="12" t="str">
        <f t="array" ref="B284">IF(A284:A601="","",_xlfn.XLOOKUP(A284:A601,'参照_勢力'!A:A,'参照_勢力'!B:B,"見つかりません"))</f>
      </c>
      <c r="C284" s="4"/>
      <c r="D284" s="12" t="str">
        <f t="array" ref="D284">IF(C284:C601="","",_xlfn.XLOOKUP(C284:C601,'参照_勢力'!A:A,'参照_勢力'!B:B,"見つかりません"))</f>
      </c>
      <c r="E284" s="4"/>
      <c r="F284" s="4"/>
    </row>
    <row r="285" ht="15.75" customHeight="1">
      <c r="A285" s="4"/>
      <c r="B285" s="12" t="str">
        <f t="array" ref="B285">IF(A285:A602="","",_xlfn.XLOOKUP(A285:A602,'参照_勢力'!A:A,'参照_勢力'!B:B,"見つかりません"))</f>
      </c>
      <c r="C285" s="4"/>
      <c r="D285" s="12" t="str">
        <f t="array" ref="D285">IF(C285:C602="","",_xlfn.XLOOKUP(C285:C602,'参照_勢力'!A:A,'参照_勢力'!B:B,"見つかりません"))</f>
      </c>
      <c r="E285" s="4"/>
      <c r="F285" s="4"/>
    </row>
    <row r="286" ht="15.75" customHeight="1">
      <c r="A286" s="4"/>
      <c r="B286" s="12" t="str">
        <f t="array" ref="B286">IF(A286:A603="","",_xlfn.XLOOKUP(A286:A603,'参照_勢力'!A:A,'参照_勢力'!B:B,"見つかりません"))</f>
      </c>
      <c r="C286" s="4"/>
      <c r="D286" s="12" t="str">
        <f t="array" ref="D286">IF(C286:C603="","",_xlfn.XLOOKUP(C286:C603,'参照_勢力'!A:A,'参照_勢力'!B:B,"見つかりません"))</f>
      </c>
      <c r="E286" s="4"/>
      <c r="F286" s="4"/>
    </row>
    <row r="287" ht="15.75" customHeight="1">
      <c r="A287" s="4"/>
      <c r="B287" s="12" t="str">
        <f t="array" ref="B287">IF(A287:A604="","",_xlfn.XLOOKUP(A287:A604,'参照_勢力'!A:A,'参照_勢力'!B:B,"見つかりません"))</f>
      </c>
      <c r="C287" s="4"/>
      <c r="D287" s="12" t="str">
        <f t="array" ref="D287">IF(C287:C604="","",_xlfn.XLOOKUP(C287:C604,'参照_勢力'!A:A,'参照_勢力'!B:B,"見つかりません"))</f>
      </c>
      <c r="E287" s="4"/>
      <c r="F287" s="4"/>
    </row>
    <row r="288" ht="15.75" customHeight="1">
      <c r="A288" s="4"/>
      <c r="B288" s="12" t="str">
        <f t="array" ref="B288">IF(A288:A605="","",_xlfn.XLOOKUP(A288:A605,'参照_勢力'!A:A,'参照_勢力'!B:B,"見つかりません"))</f>
      </c>
      <c r="C288" s="4"/>
      <c r="D288" s="12" t="str">
        <f t="array" ref="D288">IF(C288:C605="","",_xlfn.XLOOKUP(C288:C605,'参照_勢力'!A:A,'参照_勢力'!B:B,"見つかりません"))</f>
      </c>
      <c r="E288" s="4"/>
      <c r="F288" s="4"/>
    </row>
    <row r="289" ht="15.75" customHeight="1">
      <c r="A289" s="4"/>
      <c r="B289" s="12" t="str">
        <f t="array" ref="B289">IF(A289:A606="","",_xlfn.XLOOKUP(A289:A606,'参照_勢力'!A:A,'参照_勢力'!B:B,"見つかりません"))</f>
      </c>
      <c r="C289" s="4"/>
      <c r="D289" s="12" t="str">
        <f t="array" ref="D289">IF(C289:C606="","",_xlfn.XLOOKUP(C289:C606,'参照_勢力'!A:A,'参照_勢力'!B:B,"見つかりません"))</f>
      </c>
      <c r="E289" s="4"/>
      <c r="F289" s="4"/>
    </row>
    <row r="290" ht="15.75" customHeight="1">
      <c r="A290" s="4"/>
      <c r="B290" s="12" t="str">
        <f t="array" ref="B290">IF(A290:A607="","",_xlfn.XLOOKUP(A290:A607,'参照_勢力'!A:A,'参照_勢力'!B:B,"見つかりません"))</f>
      </c>
      <c r="C290" s="4"/>
      <c r="D290" s="12" t="str">
        <f t="array" ref="D290">IF(C290:C607="","",_xlfn.XLOOKUP(C290:C607,'参照_勢力'!A:A,'参照_勢力'!B:B,"見つかりません"))</f>
      </c>
      <c r="E290" s="4"/>
      <c r="F290" s="4"/>
    </row>
    <row r="291" ht="15.75" customHeight="1">
      <c r="A291" s="4"/>
      <c r="B291" s="12" t="str">
        <f t="array" ref="B291">IF(A291:A608="","",_xlfn.XLOOKUP(A291:A608,'参照_勢力'!A:A,'参照_勢力'!B:B,"見つかりません"))</f>
      </c>
      <c r="C291" s="4"/>
      <c r="D291" s="12" t="str">
        <f t="array" ref="D291">IF(C291:C608="","",_xlfn.XLOOKUP(C291:C608,'参照_勢力'!A:A,'参照_勢力'!B:B,"見つかりません"))</f>
      </c>
      <c r="E291" s="4"/>
      <c r="F291" s="4"/>
    </row>
    <row r="292" ht="15.75" customHeight="1">
      <c r="A292" s="4"/>
      <c r="B292" s="12" t="str">
        <f t="array" ref="B292">IF(A292:A609="","",_xlfn.XLOOKUP(A292:A609,'参照_勢力'!A:A,'参照_勢力'!B:B,"見つかりません"))</f>
      </c>
      <c r="C292" s="4"/>
      <c r="D292" s="12" t="str">
        <f t="array" ref="D292">IF(C292:C609="","",_xlfn.XLOOKUP(C292:C609,'参照_勢力'!A:A,'参照_勢力'!B:B,"見つかりません"))</f>
      </c>
      <c r="E292" s="4"/>
      <c r="F292" s="4"/>
    </row>
    <row r="293" ht="15.75" customHeight="1">
      <c r="A293" s="4"/>
      <c r="B293" s="12" t="str">
        <f t="array" ref="B293">IF(A293:A610="","",_xlfn.XLOOKUP(A293:A610,'参照_勢力'!A:A,'参照_勢力'!B:B,"見つかりません"))</f>
      </c>
      <c r="C293" s="4"/>
      <c r="D293" s="12" t="str">
        <f t="array" ref="D293">IF(C293:C610="","",_xlfn.XLOOKUP(C293:C610,'参照_勢力'!A:A,'参照_勢力'!B:B,"見つかりません"))</f>
      </c>
      <c r="E293" s="4"/>
      <c r="F293" s="4"/>
    </row>
    <row r="294" ht="15.75" customHeight="1">
      <c r="A294" s="4"/>
      <c r="B294" s="12" t="str">
        <f t="array" ref="B294">IF(A294:A611="","",_xlfn.XLOOKUP(A294:A611,'参照_勢力'!A:A,'参照_勢力'!B:B,"見つかりません"))</f>
      </c>
      <c r="C294" s="4"/>
      <c r="D294" s="12" t="str">
        <f t="array" ref="D294">IF(C294:C611="","",_xlfn.XLOOKUP(C294:C611,'参照_勢力'!A:A,'参照_勢力'!B:B,"見つかりません"))</f>
      </c>
      <c r="E294" s="4"/>
      <c r="F294" s="4"/>
    </row>
    <row r="295" ht="15.75" customHeight="1">
      <c r="A295" s="4"/>
      <c r="B295" s="12" t="str">
        <f t="array" ref="B295">IF(A295:A612="","",_xlfn.XLOOKUP(A295:A612,'参照_勢力'!A:A,'参照_勢力'!B:B,"見つかりません"))</f>
      </c>
      <c r="C295" s="4"/>
      <c r="D295" s="12" t="str">
        <f t="array" ref="D295">IF(C295:C612="","",_xlfn.XLOOKUP(C295:C612,'参照_勢力'!A:A,'参照_勢力'!B:B,"見つかりません"))</f>
      </c>
      <c r="E295" s="4"/>
      <c r="F295" s="4"/>
    </row>
    <row r="296" ht="15.75" customHeight="1">
      <c r="A296" s="4"/>
      <c r="B296" s="12" t="str">
        <f t="array" ref="B296">IF(A296:A613="","",_xlfn.XLOOKUP(A296:A613,'参照_勢力'!A:A,'参照_勢力'!B:B,"見つかりません"))</f>
      </c>
      <c r="C296" s="4"/>
      <c r="D296" s="12" t="str">
        <f t="array" ref="D296">IF(C296:C613="","",_xlfn.XLOOKUP(C296:C613,'参照_勢力'!A:A,'参照_勢力'!B:B,"見つかりません"))</f>
      </c>
      <c r="E296" s="4"/>
      <c r="F296" s="4"/>
    </row>
    <row r="297" ht="15.75" customHeight="1">
      <c r="A297" s="4"/>
      <c r="B297" s="12" t="str">
        <f t="array" ref="B297">IF(A297:A614="","",_xlfn.XLOOKUP(A297:A614,'参照_勢力'!A:A,'参照_勢力'!B:B,"見つかりません"))</f>
      </c>
      <c r="C297" s="4"/>
      <c r="D297" s="12" t="str">
        <f t="array" ref="D297">IF(C297:C614="","",_xlfn.XLOOKUP(C297:C614,'参照_勢力'!A:A,'参照_勢力'!B:B,"見つかりません"))</f>
      </c>
      <c r="E297" s="4"/>
      <c r="F297" s="4"/>
    </row>
    <row r="298" ht="15.75" customHeight="1">
      <c r="A298" s="4"/>
      <c r="B298" s="12" t="str">
        <f t="array" ref="B298">IF(A298:A615="","",_xlfn.XLOOKUP(A298:A615,'参照_勢力'!A:A,'参照_勢力'!B:B,"見つかりません"))</f>
      </c>
      <c r="C298" s="4"/>
      <c r="D298" s="12" t="str">
        <f t="array" ref="D298">IF(C298:C615="","",_xlfn.XLOOKUP(C298:C615,'参照_勢力'!A:A,'参照_勢力'!B:B,"見つかりません"))</f>
      </c>
      <c r="E298" s="4"/>
      <c r="F298" s="4"/>
    </row>
    <row r="299" ht="15.75" customHeight="1">
      <c r="A299" s="4"/>
      <c r="B299" s="12" t="str">
        <f t="array" ref="B299">IF(A299:A616="","",_xlfn.XLOOKUP(A299:A616,'参照_勢力'!A:A,'参照_勢力'!B:B,"見つかりません"))</f>
      </c>
      <c r="C299" s="4"/>
      <c r="D299" s="12" t="str">
        <f t="array" ref="D299">IF(C299:C616="","",_xlfn.XLOOKUP(C299:C616,'参照_勢力'!A:A,'参照_勢力'!B:B,"見つかりません"))</f>
      </c>
      <c r="E299" s="4"/>
      <c r="F299" s="4"/>
    </row>
    <row r="300" ht="15.75" customHeight="1">
      <c r="A300" s="4"/>
      <c r="B300" s="12" t="str">
        <f t="array" ref="B300">IF(A300:A617="","",_xlfn.XLOOKUP(A300:A617,'参照_勢力'!A:A,'参照_勢力'!B:B,"見つかりません"))</f>
      </c>
      <c r="C300" s="4"/>
      <c r="D300" s="12" t="str">
        <f t="array" ref="D300">IF(C300:C617="","",_xlfn.XLOOKUP(C300:C617,'参照_勢力'!A:A,'参照_勢力'!B:B,"見つかりません"))</f>
      </c>
      <c r="E300" s="4"/>
      <c r="F300" s="4"/>
    </row>
    <row r="301" ht="15.75" customHeight="1">
      <c r="A301" s="4"/>
      <c r="B301" s="12" t="str">
        <f t="array" ref="B301">IF(A301:A618="","",_xlfn.XLOOKUP(A301:A618,'参照_勢力'!A:A,'参照_勢力'!B:B,"見つかりません"))</f>
      </c>
      <c r="C301" s="4"/>
      <c r="D301" s="12" t="str">
        <f t="array" ref="D301">IF(C301:C618="","",_xlfn.XLOOKUP(C301:C618,'参照_勢力'!A:A,'参照_勢力'!B:B,"見つかりません"))</f>
      </c>
      <c r="E301" s="4"/>
      <c r="F301" s="4"/>
    </row>
    <row r="302" ht="15.75" customHeight="1">
      <c r="A302" s="4"/>
      <c r="B302" s="12" t="str">
        <f t="array" ref="B302">IF(A302:A619="","",_xlfn.XLOOKUP(A302:A619,'参照_勢力'!A:A,'参照_勢力'!B:B,"見つかりません"))</f>
      </c>
      <c r="C302" s="4"/>
      <c r="D302" s="12" t="str">
        <f t="array" ref="D302">IF(C302:C619="","",_xlfn.XLOOKUP(C302:C619,'参照_勢力'!A:A,'参照_勢力'!B:B,"見つかりません"))</f>
      </c>
      <c r="E302" s="4"/>
      <c r="F302" s="4"/>
    </row>
    <row r="303" ht="15.75" customHeight="1">
      <c r="A303" s="4"/>
      <c r="B303" s="12" t="str">
        <f t="array" ref="B303">IF(A303:A620="","",_xlfn.XLOOKUP(A303:A620,'参照_勢力'!A:A,'参照_勢力'!B:B,"見つかりません"))</f>
      </c>
      <c r="C303" s="4"/>
      <c r="D303" s="12" t="str">
        <f t="array" ref="D303">IF(C303:C620="","",_xlfn.XLOOKUP(C303:C620,'参照_勢力'!A:A,'参照_勢力'!B:B,"見つかりません"))</f>
      </c>
      <c r="E303" s="4"/>
      <c r="F303" s="4"/>
    </row>
    <row r="304" ht="15.75" customHeight="1">
      <c r="A304" s="4"/>
      <c r="B304" s="12" t="str">
        <f t="array" ref="B304">IF(A304:A621="","",_xlfn.XLOOKUP(A304:A621,'参照_勢力'!A:A,'参照_勢力'!B:B,"見つかりません"))</f>
      </c>
      <c r="C304" s="4"/>
      <c r="D304" s="12" t="str">
        <f t="array" ref="D304">IF(C304:C621="","",_xlfn.XLOOKUP(C304:C621,'参照_勢力'!A:A,'参照_勢力'!B:B,"見つかりません"))</f>
      </c>
      <c r="E304" s="4"/>
      <c r="F304" s="4"/>
    </row>
    <row r="305" ht="15.75" customHeight="1">
      <c r="A305" s="4"/>
      <c r="B305" s="12" t="str">
        <f t="array" ref="B305">IF(A305:A622="","",_xlfn.XLOOKUP(A305:A622,'参照_勢力'!A:A,'参照_勢力'!B:B,"見つかりません"))</f>
      </c>
      <c r="C305" s="4"/>
      <c r="D305" s="12" t="str">
        <f t="array" ref="D305">IF(C305:C622="","",_xlfn.XLOOKUP(C305:C622,'参照_勢力'!A:A,'参照_勢力'!B:B,"見つかりません"))</f>
      </c>
      <c r="E305" s="4"/>
      <c r="F305" s="4"/>
    </row>
    <row r="306" ht="15.75" customHeight="1">
      <c r="A306" s="4"/>
      <c r="B306" s="12" t="str">
        <f t="array" ref="B306">IF(A306:A623="","",_xlfn.XLOOKUP(A306:A623,'参照_勢力'!A:A,'参照_勢力'!B:B,"見つかりません"))</f>
      </c>
      <c r="C306" s="4"/>
      <c r="D306" s="12" t="str">
        <f t="array" ref="D306">IF(C306:C623="","",_xlfn.XLOOKUP(C306:C623,'参照_勢力'!A:A,'参照_勢力'!B:B,"見つかりません"))</f>
      </c>
      <c r="E306" s="4"/>
      <c r="F306" s="4"/>
    </row>
    <row r="307" ht="15.75" customHeight="1">
      <c r="A307" s="4"/>
      <c r="B307" s="12" t="str">
        <f t="array" ref="B307">IF(A307:A624="","",_xlfn.XLOOKUP(A307:A624,'参照_勢力'!A:A,'参照_勢力'!B:B,"見つかりません"))</f>
      </c>
      <c r="C307" s="4"/>
      <c r="D307" s="12" t="str">
        <f t="array" ref="D307">IF(C307:C624="","",_xlfn.XLOOKUP(C307:C624,'参照_勢力'!A:A,'参照_勢力'!B:B,"見つかりません"))</f>
      </c>
      <c r="E307" s="4"/>
      <c r="F307" s="4"/>
    </row>
    <row r="308" ht="15.75" customHeight="1">
      <c r="A308" s="4"/>
      <c r="B308" s="12" t="str">
        <f t="array" ref="B308">IF(A308:A625="","",_xlfn.XLOOKUP(A308:A625,'参照_勢力'!A:A,'参照_勢力'!B:B,"見つかりません"))</f>
      </c>
      <c r="C308" s="4"/>
      <c r="D308" s="12" t="str">
        <f t="array" ref="D308">IF(C308:C625="","",_xlfn.XLOOKUP(C308:C625,'参照_勢力'!A:A,'参照_勢力'!B:B,"見つかりません"))</f>
      </c>
      <c r="E308" s="4"/>
      <c r="F308" s="4"/>
    </row>
    <row r="309" ht="15.75" customHeight="1">
      <c r="A309" s="4"/>
      <c r="B309" s="12" t="str">
        <f t="array" ref="B309">IF(A309:A626="","",_xlfn.XLOOKUP(A309:A626,'参照_勢力'!A:A,'参照_勢力'!B:B,"見つかりません"))</f>
      </c>
      <c r="C309" s="4"/>
      <c r="D309" s="12" t="str">
        <f t="array" ref="D309">IF(C309:C626="","",_xlfn.XLOOKUP(C309:C626,'参照_勢力'!A:A,'参照_勢力'!B:B,"見つかりません"))</f>
      </c>
      <c r="E309" s="4"/>
      <c r="F309" s="4"/>
    </row>
    <row r="310" ht="15.75" customHeight="1">
      <c r="A310" s="4"/>
      <c r="B310" s="12" t="str">
        <f t="array" ref="B310">IF(A310:A627="","",_xlfn.XLOOKUP(A310:A627,'参照_勢力'!A:A,'参照_勢力'!B:B,"見つかりません"))</f>
      </c>
      <c r="C310" s="4"/>
      <c r="D310" s="12" t="str">
        <f t="array" ref="D310">IF(C310:C627="","",_xlfn.XLOOKUP(C310:C627,'参照_勢力'!A:A,'参照_勢力'!B:B,"見つかりません"))</f>
      </c>
      <c r="E310" s="4"/>
      <c r="F310" s="4"/>
    </row>
    <row r="311" ht="15.75" customHeight="1">
      <c r="A311" s="4"/>
      <c r="B311" s="12" t="str">
        <f t="array" ref="B311">IF(A311:A628="","",_xlfn.XLOOKUP(A311:A628,'参照_勢力'!A:A,'参照_勢力'!B:B,"見つかりません"))</f>
      </c>
      <c r="C311" s="4"/>
      <c r="D311" s="12" t="str">
        <f t="array" ref="D311">IF(C311:C628="","",_xlfn.XLOOKUP(C311:C628,'参照_勢力'!A:A,'参照_勢力'!B:B,"見つかりません"))</f>
      </c>
      <c r="E311" s="4"/>
      <c r="F311" s="4"/>
    </row>
    <row r="312" ht="15.75" customHeight="1">
      <c r="A312" s="4"/>
      <c r="B312" s="12" t="str">
        <f t="array" ref="B312">IF(A312:A629="","",_xlfn.XLOOKUP(A312:A629,'参照_勢力'!A:A,'参照_勢力'!B:B,"見つかりません"))</f>
      </c>
      <c r="C312" s="4"/>
      <c r="D312" s="12" t="str">
        <f t="array" ref="D312">IF(C312:C629="","",_xlfn.XLOOKUP(C312:C629,'参照_勢力'!A:A,'参照_勢力'!B:B,"見つかりません"))</f>
      </c>
      <c r="E312" s="4"/>
      <c r="F312" s="4"/>
    </row>
    <row r="313" ht="15.75" customHeight="1">
      <c r="A313" s="4"/>
      <c r="B313" s="12" t="str">
        <f t="array" ref="B313">IF(A313:A630="","",_xlfn.XLOOKUP(A313:A630,'参照_勢力'!A:A,'参照_勢力'!B:B,"見つかりません"))</f>
      </c>
      <c r="C313" s="4"/>
      <c r="D313" s="12" t="str">
        <f t="array" ref="D313">IF(C313:C630="","",_xlfn.XLOOKUP(C313:C630,'参照_勢力'!A:A,'参照_勢力'!B:B,"見つかりません"))</f>
      </c>
      <c r="E313" s="4"/>
      <c r="F313" s="4"/>
    </row>
    <row r="314" ht="15.75" customHeight="1">
      <c r="A314" s="4"/>
      <c r="B314" s="12" t="str">
        <f t="array" ref="B314">IF(A314:A631="","",_xlfn.XLOOKUP(A314:A631,'参照_勢力'!A:A,'参照_勢力'!B:B,"見つかりません"))</f>
      </c>
      <c r="C314" s="4"/>
      <c r="D314" s="12" t="str">
        <f t="array" ref="D314">IF(C314:C631="","",_xlfn.XLOOKUP(C314:C631,'参照_勢力'!A:A,'参照_勢力'!B:B,"見つかりません"))</f>
      </c>
      <c r="E314" s="4"/>
      <c r="F314" s="4"/>
    </row>
    <row r="315" ht="15.75" customHeight="1">
      <c r="A315" s="4"/>
      <c r="B315" s="12" t="str">
        <f t="array" ref="B315">IF(A315:A632="","",_xlfn.XLOOKUP(A315:A632,'参照_勢力'!A:A,'参照_勢力'!B:B,"見つかりません"))</f>
      </c>
      <c r="C315" s="4"/>
      <c r="D315" s="12" t="str">
        <f t="array" ref="D315">IF(C315:C632="","",_xlfn.XLOOKUP(C315:C632,'参照_勢力'!A:A,'参照_勢力'!B:B,"見つかりません"))</f>
      </c>
      <c r="E315" s="4"/>
      <c r="F315" s="4"/>
    </row>
    <row r="316" ht="15.75" customHeight="1">
      <c r="A316" s="4"/>
      <c r="B316" s="12" t="str">
        <f t="array" ref="B316">IF(A316:A633="","",_xlfn.XLOOKUP(A316:A633,'参照_勢力'!A:A,'参照_勢力'!B:B,"見つかりません"))</f>
      </c>
      <c r="C316" s="4"/>
      <c r="D316" s="12" t="str">
        <f t="array" ref="D316">IF(C316:C633="","",_xlfn.XLOOKUP(C316:C633,'参照_勢力'!A:A,'参照_勢力'!B:B,"見つかりません"))</f>
      </c>
      <c r="E316" s="4"/>
      <c r="F316" s="4"/>
    </row>
    <row r="317" ht="15.75" customHeight="1">
      <c r="A317" s="4"/>
      <c r="B317" s="12" t="str">
        <f t="array" ref="B317">IF(A317:A634="","",_xlfn.XLOOKUP(A317:A634,'参照_勢力'!A:A,'参照_勢力'!B:B,"見つかりません"))</f>
      </c>
      <c r="C317" s="4"/>
      <c r="D317" s="12" t="str">
        <f t="array" ref="D317">IF(C317:C634="","",_xlfn.XLOOKUP(C317:C634,'参照_勢力'!A:A,'参照_勢力'!B:B,"見つかりません"))</f>
      </c>
      <c r="E317" s="4"/>
      <c r="F317" s="4"/>
    </row>
    <row r="318" ht="15.75" customHeight="1">
      <c r="A318" s="4"/>
      <c r="B318" s="12" t="str">
        <f t="array" ref="B318">IF(A318:A635="","",_xlfn.XLOOKUP(A318:A635,'参照_勢力'!A:A,'参照_勢力'!B:B,"見つかりません"))</f>
      </c>
      <c r="C318" s="4"/>
      <c r="D318" s="12" t="str">
        <f t="array" ref="D318">IF(C318:C635="","",_xlfn.XLOOKUP(C318:C635,'参照_勢力'!A:A,'参照_勢力'!B:B,"見つかりません"))</f>
      </c>
      <c r="E318" s="4"/>
      <c r="F318" s="4"/>
    </row>
    <row r="319" ht="15.75" customHeight="1">
      <c r="A319" s="4"/>
      <c r="B319" s="12" t="str">
        <f t="array" ref="B319">IF(A319:A636="","",_xlfn.XLOOKUP(A319:A636,'参照_勢力'!A:A,'参照_勢力'!B:B,"見つかりません"))</f>
      </c>
      <c r="C319" s="4"/>
      <c r="D319" s="12" t="str">
        <f t="array" ref="D319">IF(C319:C636="","",_xlfn.XLOOKUP(C319:C636,'参照_勢力'!A:A,'参照_勢力'!B:B,"見つかりません"))</f>
      </c>
      <c r="E319" s="4"/>
      <c r="F319" s="4"/>
    </row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F$319"/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4" max="4" width="10.13"/>
    <col customWidth="1" min="6" max="6" width="10.13"/>
    <col customWidth="1" min="8" max="21" width="10.13"/>
    <col customWidth="1" min="23" max="23" width="34.0"/>
    <col customWidth="1" min="24" max="26" width="8.63"/>
  </cols>
  <sheetData>
    <row r="1">
      <c r="A1" s="2" t="s">
        <v>1</v>
      </c>
      <c r="B1" s="2" t="s">
        <v>8</v>
      </c>
      <c r="C1" s="2" t="s">
        <v>814</v>
      </c>
      <c r="D1" s="2" t="s">
        <v>5005</v>
      </c>
      <c r="E1" s="2" t="s">
        <v>5335</v>
      </c>
      <c r="F1" s="2" t="s">
        <v>1111</v>
      </c>
      <c r="G1" s="2" t="s">
        <v>5338</v>
      </c>
      <c r="H1" s="2" t="s">
        <v>5339</v>
      </c>
      <c r="I1" s="2" t="s">
        <v>846</v>
      </c>
      <c r="J1" s="2" t="s">
        <v>849</v>
      </c>
      <c r="K1" s="2" t="s">
        <v>5340</v>
      </c>
      <c r="L1" s="2" t="s">
        <v>853</v>
      </c>
      <c r="M1" s="2" t="s">
        <v>5341</v>
      </c>
      <c r="N1" s="2" t="s">
        <v>866</v>
      </c>
      <c r="O1" s="2" t="s">
        <v>5342</v>
      </c>
      <c r="P1" s="2" t="s">
        <v>870</v>
      </c>
      <c r="Q1" s="2" t="s">
        <v>5343</v>
      </c>
      <c r="R1" s="2" t="s">
        <v>885</v>
      </c>
      <c r="S1" s="2" t="s">
        <v>888</v>
      </c>
      <c r="T1" s="2" t="s">
        <v>5344</v>
      </c>
      <c r="U1" s="2" t="s">
        <v>5345</v>
      </c>
      <c r="V1" s="2" t="s">
        <v>5346</v>
      </c>
      <c r="W1" s="2" t="s">
        <v>3</v>
      </c>
    </row>
    <row r="2">
      <c r="A2" s="4">
        <v>1</v>
      </c>
      <c r="B2" s="4" t="inlineStr">
        <is>
          <t>仁木家</t>
        </is>
      </c>
      <c r="C2" s="4" t="inlineStr">
        <is>
          <t>にっきけ</t>
        </is>
      </c>
      <c r="D2" s="4">
        <v>2001002</v>
      </c>
      <c r="E2" s="12" t="str">
        <f t="array" ref="E2">IF(D2:D93="","",_xlfn.XLOOKUP(D2:D93,'参照_武将'!A:A,'参照_武将'!B:B,"見つかりません"))</f>
      </c>
      <c r="F2" s="4">
        <v>43</v>
      </c>
      <c r="G2" s="12" t="str">
        <f t="array" ref="G2">IF(F2:F93="","",_xlfn.XLOOKUP(F2:F93,castles_state!A:A,castles_state!D:D,"見つかりません"))</f>
      </c>
      <c r="H2" s="4">
        <v>3000</v>
      </c>
      <c r="I2" s="4">
        <v>3000</v>
      </c>
      <c r="J2" s="4">
        <v>70</v>
      </c>
      <c r="K2" s="4">
        <v>70</v>
      </c>
      <c r="L2" s="4">
        <v>70</v>
      </c>
      <c r="M2" s="4">
        <v>70</v>
      </c>
      <c r="N2" s="4">
        <v>0</v>
      </c>
      <c r="O2" s="4">
        <v>1000</v>
      </c>
      <c r="P2" s="4">
        <v>0</v>
      </c>
      <c r="Q2" s="4">
        <v>0</v>
      </c>
      <c r="R2" s="4">
        <v>500</v>
      </c>
      <c r="S2" s="4">
        <v>500</v>
      </c>
      <c r="T2" s="4" t="inlineStr">
        <is>
          <t>地縁</t>
        </is>
      </c>
      <c r="U2" s="4"/>
      <c r="V2" s="4" t="inlineStr">
        <is>
          <t>1:友好:100</t>
        </is>
      </c>
      <c r="W2" s="4"/>
    </row>
    <row r="3">
      <c r="A3" s="4">
        <v>2</v>
      </c>
      <c r="B3" s="4" t="inlineStr">
        <is>
          <t>百地家</t>
        </is>
      </c>
      <c r="C3" s="4" t="inlineStr">
        <is>
          <t>ももちけ</t>
        </is>
      </c>
      <c r="D3" s="4">
        <v>2002001</v>
      </c>
      <c r="E3" s="12" t="str">
        <f t="array" ref="E3">IF(D3:D94="","",_xlfn.XLOOKUP(D3:D94,'参照_武将'!A:A,'参照_武将'!B:B,"見つかりません"))</f>
      </c>
      <c r="F3" s="4">
        <v>80</v>
      </c>
      <c r="G3" s="12" t="str">
        <f t="array" ref="G3">IF(F3:F94="","",_xlfn.XLOOKUP(F3:F94,castles_state!A:A,castles_state!D:D,"見つかりません"))</f>
      </c>
      <c r="H3" s="4">
        <v>3000</v>
      </c>
      <c r="I3" s="4">
        <v>3000</v>
      </c>
      <c r="J3" s="4">
        <v>70</v>
      </c>
      <c r="K3" s="4">
        <v>70</v>
      </c>
      <c r="L3" s="4">
        <v>70</v>
      </c>
      <c r="M3" s="4">
        <v>70</v>
      </c>
      <c r="N3" s="4">
        <v>0</v>
      </c>
      <c r="O3" s="4">
        <v>1000</v>
      </c>
      <c r="P3" s="4">
        <v>0</v>
      </c>
      <c r="Q3" s="4">
        <v>0</v>
      </c>
      <c r="R3" s="4">
        <v>500</v>
      </c>
      <c r="S3" s="4">
        <v>500</v>
      </c>
      <c r="T3" s="4" t="inlineStr">
        <is>
          <t>地縁</t>
        </is>
      </c>
      <c r="U3" s="4"/>
      <c r="V3" s="4"/>
      <c r="W3" s="4"/>
    </row>
    <row r="4">
      <c r="A4" s="4">
        <v>3</v>
      </c>
      <c r="B4" s="4" t="inlineStr">
        <is>
          <t>根来衆</t>
        </is>
      </c>
      <c r="C4" s="4" t="inlineStr">
        <is>
          <t>ねごろしゅう</t>
        </is>
      </c>
      <c r="D4" s="4">
        <v>2003002</v>
      </c>
      <c r="E4" s="12" t="str">
        <f t="array" ref="E4">IF(D4:D95="","",_xlfn.XLOOKUP(D4:D95,'参照_武将'!A:A,'参照_武将'!B:B,"見つかりません"))</f>
      </c>
      <c r="F4" s="4">
        <v>42</v>
      </c>
      <c r="G4" s="12" t="str">
        <f t="array" ref="G4">IF(F4:F95="","",_xlfn.XLOOKUP(F4:F95,castles_state!A:A,castles_state!D:D,"見つかりません"))</f>
      </c>
      <c r="H4" s="4">
        <v>4000</v>
      </c>
      <c r="I4" s="4">
        <v>4000</v>
      </c>
      <c r="J4" s="4">
        <v>90</v>
      </c>
      <c r="K4" s="4">
        <v>90</v>
      </c>
      <c r="L4" s="4">
        <v>80</v>
      </c>
      <c r="M4" s="4">
        <v>80</v>
      </c>
      <c r="N4" s="4">
        <v>0</v>
      </c>
      <c r="O4" s="4">
        <v>0</v>
      </c>
      <c r="P4" s="4">
        <v>0</v>
      </c>
      <c r="Q4" s="4">
        <v>1500</v>
      </c>
      <c r="R4" s="4">
        <v>700</v>
      </c>
      <c r="S4" s="4">
        <v>700</v>
      </c>
      <c r="T4" s="4" t="inlineStr">
        <is>
          <t>傭兵</t>
        </is>
      </c>
      <c r="U4" s="4"/>
      <c r="V4" s="4" t="inlineStr">
        <is>
          <t>1:友好:90|41:友好:90</t>
        </is>
      </c>
      <c r="W4" s="4"/>
    </row>
    <row r="5">
      <c r="A5" s="4">
        <v>5</v>
      </c>
      <c r="B5" s="4" t="inlineStr">
        <is>
          <t>徳田家</t>
        </is>
      </c>
      <c r="C5" s="4" t="inlineStr">
        <is>
          <t>とくだけ</t>
        </is>
      </c>
      <c r="D5" s="4">
        <v>2005001</v>
      </c>
      <c r="E5" s="12" t="str">
        <f t="array" ref="E5">IF(D5:D96="","",_xlfn.XLOOKUP(D5:D96,'参照_武将'!A:A,'参照_武将'!B:B,"見つかりません"))</f>
      </c>
      <c r="F5" s="4">
        <v>19</v>
      </c>
      <c r="G5" s="12" t="str">
        <f t="array" ref="G5">IF(F5:F96="","",_xlfn.XLOOKUP(F5:F96,castles_state!A:A,castles_state!D:D,"見つかりません"))</f>
      </c>
      <c r="H5" s="4">
        <v>4000</v>
      </c>
      <c r="I5" s="4">
        <v>4000</v>
      </c>
      <c r="J5" s="4">
        <v>50</v>
      </c>
      <c r="K5" s="4">
        <v>50</v>
      </c>
      <c r="L5" s="4">
        <v>100</v>
      </c>
      <c r="M5" s="4">
        <v>100</v>
      </c>
      <c r="N5" s="4">
        <v>0</v>
      </c>
      <c r="O5" s="4">
        <v>1000</v>
      </c>
      <c r="P5" s="4">
        <v>0</v>
      </c>
      <c r="Q5" s="4">
        <v>500</v>
      </c>
      <c r="R5" s="4">
        <v>500</v>
      </c>
      <c r="S5" s="4">
        <v>500</v>
      </c>
      <c r="T5" s="4" t="inlineStr">
        <is>
          <t>宗教</t>
        </is>
      </c>
      <c r="U5" s="4"/>
      <c r="V5" s="4" t="inlineStr">
        <is>
          <t>2:敵対:0|7:敵対:0|19:友好:100|21:友好:100</t>
        </is>
      </c>
      <c r="W5" s="4"/>
    </row>
    <row r="6">
      <c r="A6" s="4">
        <v>6</v>
      </c>
      <c r="B6" s="4" t="inlineStr">
        <is>
          <t>水野家</t>
        </is>
      </c>
      <c r="C6" s="4" t="inlineStr">
        <is>
          <t>みずのけ</t>
        </is>
      </c>
      <c r="D6" s="4">
        <v>2006002</v>
      </c>
      <c r="E6" s="12" t="str">
        <f t="array" ref="E6">IF(D6:D97="","",_xlfn.XLOOKUP(D6:D97,'参照_武将'!A:A,'参照_武将'!B:B,"見つかりません"))</f>
      </c>
      <c r="F6" s="4">
        <v>48</v>
      </c>
      <c r="G6" s="12" t="str">
        <f t="array" ref="G6">IF(F6:F97="","",_xlfn.XLOOKUP(F6:F97,castles_state!A:A,castles_state!D:D,"見つかりません"))</f>
      </c>
      <c r="H6" s="4">
        <v>2000</v>
      </c>
      <c r="I6" s="4">
        <v>2000</v>
      </c>
      <c r="J6" s="4">
        <v>70</v>
      </c>
      <c r="K6" s="4">
        <v>70</v>
      </c>
      <c r="L6" s="4">
        <v>70</v>
      </c>
      <c r="M6" s="4">
        <v>70</v>
      </c>
      <c r="N6" s="4">
        <v>0</v>
      </c>
      <c r="O6" s="4">
        <v>1000</v>
      </c>
      <c r="P6" s="4">
        <v>0</v>
      </c>
      <c r="Q6" s="4">
        <v>0</v>
      </c>
      <c r="R6" s="4">
        <v>400</v>
      </c>
      <c r="S6" s="4">
        <v>400</v>
      </c>
      <c r="T6" s="4" t="inlineStr">
        <is>
          <t>地縁</t>
        </is>
      </c>
      <c r="U6" s="4"/>
      <c r="V6" s="4" t="inlineStr">
        <is>
          <t>1:友好:100|301:友好:100</t>
        </is>
      </c>
      <c r="W6" s="4"/>
    </row>
    <row r="7">
      <c r="A7" s="4">
        <v>8</v>
      </c>
      <c r="B7" s="4" t="inlineStr">
        <is>
          <t>甲賀衆</t>
        </is>
      </c>
      <c r="C7" s="4" t="inlineStr">
        <is>
          <t>こうがしゅう</t>
        </is>
      </c>
      <c r="D7" s="4">
        <v>2008001</v>
      </c>
      <c r="E7" s="12" t="str">
        <f t="array" ref="E7">IF(D7:D98="","",_xlfn.XLOOKUP(D7:D98,'参照_武将'!A:A,'参照_武将'!B:B,"見つかりません"))</f>
      </c>
      <c r="F7" s="4">
        <v>40</v>
      </c>
      <c r="G7" s="12" t="str">
        <f t="array" ref="G7">IF(F7:F98="","",_xlfn.XLOOKUP(F7:F98,castles_state!A:A,castles_state!D:D,"見つかりません"))</f>
      </c>
      <c r="H7" s="4">
        <v>4000</v>
      </c>
      <c r="I7" s="4">
        <v>4000</v>
      </c>
      <c r="J7" s="4">
        <v>90</v>
      </c>
      <c r="K7" s="4">
        <v>90</v>
      </c>
      <c r="L7" s="4">
        <v>80</v>
      </c>
      <c r="M7" s="4">
        <v>80</v>
      </c>
      <c r="N7" s="4">
        <v>0</v>
      </c>
      <c r="O7" s="4">
        <v>0</v>
      </c>
      <c r="P7" s="4">
        <v>0</v>
      </c>
      <c r="Q7" s="4">
        <v>1500</v>
      </c>
      <c r="R7" s="4">
        <v>700</v>
      </c>
      <c r="S7" s="4">
        <v>700</v>
      </c>
      <c r="T7" s="4" t="inlineStr">
        <is>
          <t>傭兵</t>
        </is>
      </c>
      <c r="U7" s="4"/>
      <c r="V7" s="4" t="inlineStr">
        <is>
          <t>1:敵対:30|18:友好:90</t>
        </is>
      </c>
      <c r="W7" s="4"/>
    </row>
    <row r="8">
      <c r="A8" s="4">
        <v>9</v>
      </c>
      <c r="B8" s="4" t="inlineStr">
        <is>
          <t>愛洲衆</t>
        </is>
      </c>
      <c r="C8" s="4" t="inlineStr">
        <is>
          <t>あいすしゅう</t>
        </is>
      </c>
      <c r="D8" s="4">
        <v>2009002</v>
      </c>
      <c r="E8" s="12" t="str">
        <f t="array" ref="E8">IF(D8:D99="","",_xlfn.XLOOKUP(D8:D99,'参照_武将'!A:A,'参照_武将'!B:B,"見つかりません"))</f>
      </c>
      <c r="F8" s="4">
        <v>59</v>
      </c>
      <c r="G8" s="12" t="str">
        <f t="array" ref="G8">IF(F8:F99="","",_xlfn.XLOOKUP(F8:F99,castles_state!A:A,castles_state!D:D,"見つかりません"))</f>
      </c>
      <c r="H8" s="4">
        <v>2000</v>
      </c>
      <c r="I8" s="4">
        <v>2000</v>
      </c>
      <c r="J8" s="4">
        <v>70</v>
      </c>
      <c r="K8" s="4">
        <v>70</v>
      </c>
      <c r="L8" s="4">
        <v>70</v>
      </c>
      <c r="M8" s="4">
        <v>70</v>
      </c>
      <c r="N8" s="4">
        <v>0</v>
      </c>
      <c r="O8" s="4">
        <v>1000</v>
      </c>
      <c r="P8" s="4">
        <v>0</v>
      </c>
      <c r="Q8" s="4">
        <v>0</v>
      </c>
      <c r="R8" s="4">
        <v>400</v>
      </c>
      <c r="S8" s="4">
        <v>400</v>
      </c>
      <c r="T8" s="4" t="inlineStr">
        <is>
          <t>地縁</t>
        </is>
      </c>
      <c r="U8" s="4"/>
      <c r="V8" s="4" t="inlineStr">
        <is>
          <t>32:友好:100</t>
        </is>
      </c>
      <c r="W8" s="4"/>
    </row>
    <row r="9">
      <c r="A9" s="4">
        <v>10</v>
      </c>
      <c r="B9" s="4" t="inlineStr">
        <is>
          <t>窪田家</t>
        </is>
      </c>
      <c r="C9" s="4" t="inlineStr">
        <is>
          <t>くぼたけ</t>
        </is>
      </c>
      <c r="D9" s="4">
        <v>2010001</v>
      </c>
      <c r="E9" s="12" t="str">
        <f t="array" ref="E9">IF(D9:D100="","",_xlfn.XLOOKUP(D9:D100,'参照_武将'!A:A,'参照_武将'!B:B,"見つかりません"))</f>
      </c>
      <c r="F9" s="4">
        <v>19</v>
      </c>
      <c r="G9" s="12" t="str">
        <f t="array" ref="G9">IF(F9:F100="","",_xlfn.XLOOKUP(F9:F100,castles_state!A:A,castles_state!D:D,"見つかりません"))</f>
      </c>
      <c r="H9" s="4">
        <v>4000</v>
      </c>
      <c r="I9" s="4">
        <v>4000</v>
      </c>
      <c r="J9" s="4">
        <v>50</v>
      </c>
      <c r="K9" s="4">
        <v>50</v>
      </c>
      <c r="L9" s="4">
        <v>100</v>
      </c>
      <c r="M9" s="4">
        <v>100</v>
      </c>
      <c r="N9" s="4">
        <v>0</v>
      </c>
      <c r="O9" s="4">
        <v>500</v>
      </c>
      <c r="P9" s="4">
        <v>0</v>
      </c>
      <c r="Q9" s="4">
        <v>1000</v>
      </c>
      <c r="R9" s="4">
        <v>400</v>
      </c>
      <c r="S9" s="4">
        <v>400</v>
      </c>
      <c r="T9" s="4" t="inlineStr">
        <is>
          <t>宗教</t>
        </is>
      </c>
      <c r="U9" s="4"/>
      <c r="V9" s="4" t="inlineStr">
        <is>
          <t>2:敵対:0|7:敵対:0|19:友好:100|21:友好:100</t>
        </is>
      </c>
      <c r="W9" s="4"/>
    </row>
    <row r="10">
      <c r="A10" s="4">
        <v>11</v>
      </c>
      <c r="B10" s="4" t="inlineStr">
        <is>
          <t>服部家</t>
        </is>
      </c>
      <c r="C10" s="4" t="inlineStr">
        <is>
          <t>はっとりけ</t>
        </is>
      </c>
      <c r="D10" s="4">
        <v>0</v>
      </c>
      <c r="E10" s="12" t="str">
        <f t="array" ref="E10">IF(D10:D101="","",_xlfn.XLOOKUP(D10:D101,'参照_武将'!A:A,'参照_武将'!B:B,"見つかりません"))</f>
      </c>
      <c r="F10" s="4">
        <v>44</v>
      </c>
      <c r="G10" s="12" t="str">
        <f t="array" ref="G10">IF(F10:F101="","",_xlfn.XLOOKUP(F10:F101,castles_state!A:A,castles_state!D:D,"見つかりません"))</f>
      </c>
      <c r="H10" s="4">
        <v>2000</v>
      </c>
      <c r="I10" s="4">
        <v>2000</v>
      </c>
      <c r="J10" s="4">
        <v>70</v>
      </c>
      <c r="K10" s="4">
        <v>70</v>
      </c>
      <c r="L10" s="4">
        <v>70</v>
      </c>
      <c r="M10" s="4">
        <v>70</v>
      </c>
      <c r="N10" s="4">
        <v>0</v>
      </c>
      <c r="O10" s="4">
        <v>500</v>
      </c>
      <c r="P10" s="4">
        <v>0</v>
      </c>
      <c r="Q10" s="4">
        <v>1000</v>
      </c>
      <c r="R10" s="4">
        <v>400</v>
      </c>
      <c r="S10" s="4">
        <v>400</v>
      </c>
      <c r="T10" s="4" t="inlineStr">
        <is>
          <t>宗教</t>
        </is>
      </c>
      <c r="U10" s="4"/>
      <c r="V10" s="4" t="inlineStr">
        <is>
          <t>19:友好:100|21:友好:100</t>
        </is>
      </c>
      <c r="W10" s="4"/>
    </row>
    <row r="11">
      <c r="A11" s="4">
        <v>12</v>
      </c>
      <c r="B11" s="4" t="inlineStr">
        <is>
          <t>伊賀衆</t>
        </is>
      </c>
      <c r="C11" s="4" t="inlineStr">
        <is>
          <t>いがしゅう</t>
        </is>
      </c>
      <c r="D11" s="4">
        <v>2012001</v>
      </c>
      <c r="E11" s="12" t="str">
        <f t="array" ref="E11">IF(D11:D102="","",_xlfn.XLOOKUP(D11:D102,'参照_武将'!A:A,'参照_武将'!B:B,"見つかりません"))</f>
      </c>
      <c r="F11" s="4">
        <v>80</v>
      </c>
      <c r="G11" s="12" t="str">
        <f t="array" ref="G11">IF(F11:F102="","",_xlfn.XLOOKUP(F11:F102,castles_state!A:A,castles_state!D:D,"見つかりません"))</f>
      </c>
      <c r="H11" s="4">
        <v>4000</v>
      </c>
      <c r="I11" s="4">
        <v>4000</v>
      </c>
      <c r="J11" s="4">
        <v>90</v>
      </c>
      <c r="K11" s="4">
        <v>90</v>
      </c>
      <c r="L11" s="4">
        <v>80</v>
      </c>
      <c r="M11" s="4">
        <v>80</v>
      </c>
      <c r="N11" s="4">
        <v>0</v>
      </c>
      <c r="O11" s="4">
        <v>0</v>
      </c>
      <c r="P11" s="4">
        <v>0</v>
      </c>
      <c r="Q11" s="4">
        <v>1500</v>
      </c>
      <c r="R11" s="4">
        <v>700</v>
      </c>
      <c r="S11" s="4">
        <v>700</v>
      </c>
      <c r="T11" s="4" t="inlineStr">
        <is>
          <t>傭兵</t>
        </is>
      </c>
      <c r="U11" s="4"/>
      <c r="V11" s="4" t="inlineStr">
        <is>
          <t>1:敵対:30|18:友好:85</t>
        </is>
      </c>
      <c r="W11" s="4"/>
    </row>
    <row r="12">
      <c r="A12" s="4">
        <v>13</v>
      </c>
      <c r="B12" s="4" t="inlineStr">
        <is>
          <t>風摩党</t>
        </is>
      </c>
      <c r="C12" s="4" t="inlineStr">
        <is>
          <t>ふうまとう</t>
        </is>
      </c>
      <c r="D12" s="4">
        <v>2013002</v>
      </c>
      <c r="E12" s="12" t="str">
        <f t="array" ref="E12">IF(D12:D103="","",_xlfn.XLOOKUP(D12:D103,'参照_武将'!A:A,'参照_武将'!B:B,"見つかりません"))</f>
      </c>
      <c r="F12" s="4">
        <v>14</v>
      </c>
      <c r="G12" s="12" t="str">
        <f t="array" ref="G12">IF(F12:F103="","",_xlfn.XLOOKUP(F12:F103,castles_state!A:A,castles_state!D:D,"見つかりません"))</f>
      </c>
      <c r="H12" s="4">
        <v>4000</v>
      </c>
      <c r="I12" s="4">
        <v>4000</v>
      </c>
      <c r="J12" s="4">
        <v>90</v>
      </c>
      <c r="K12" s="4">
        <v>90</v>
      </c>
      <c r="L12" s="4">
        <v>80</v>
      </c>
      <c r="M12" s="4">
        <v>80</v>
      </c>
      <c r="N12" s="4">
        <v>0</v>
      </c>
      <c r="O12" s="4">
        <v>0</v>
      </c>
      <c r="P12" s="4">
        <v>0</v>
      </c>
      <c r="Q12" s="4">
        <v>1000</v>
      </c>
      <c r="R12" s="4">
        <v>700</v>
      </c>
      <c r="S12" s="4">
        <v>700</v>
      </c>
      <c r="T12" s="4" t="inlineStr">
        <is>
          <t>傭兵</t>
        </is>
      </c>
      <c r="U12" s="4"/>
      <c r="V12" s="4" t="inlineStr">
        <is>
          <t>4:友好:100</t>
        </is>
      </c>
      <c r="W12" s="4"/>
    </row>
    <row r="13">
      <c r="A13" s="4">
        <v>14</v>
      </c>
      <c r="B13" s="4" t="inlineStr">
        <is>
          <t>羽茂家</t>
        </is>
      </c>
      <c r="C13" s="4" t="inlineStr">
        <is>
          <t>はもちけ</t>
        </is>
      </c>
      <c r="D13" s="4">
        <v>2014003</v>
      </c>
      <c r="E13" s="12" t="str">
        <f t="array" ref="E13">IF(D13:D104="","",_xlfn.XLOOKUP(D13:D104,'参照_武将'!A:A,'参照_武将'!B:B,"見つかりません"))</f>
      </c>
      <c r="F13" s="4">
        <v>94</v>
      </c>
      <c r="G13" s="12" t="str">
        <f t="array" ref="G13">IF(F13:F104="","",_xlfn.XLOOKUP(F13:F104,castles_state!A:A,castles_state!D:D,"見つかりません"))</f>
      </c>
      <c r="H13" s="4">
        <v>2000</v>
      </c>
      <c r="I13" s="4">
        <v>2000</v>
      </c>
      <c r="J13" s="4">
        <v>70</v>
      </c>
      <c r="K13" s="4">
        <v>70</v>
      </c>
      <c r="L13" s="4">
        <v>70</v>
      </c>
      <c r="M13" s="4">
        <v>70</v>
      </c>
      <c r="N13" s="4">
        <v>0</v>
      </c>
      <c r="O13" s="4">
        <v>1000</v>
      </c>
      <c r="P13" s="4">
        <v>0</v>
      </c>
      <c r="Q13" s="4">
        <v>0</v>
      </c>
      <c r="R13" s="4">
        <v>400</v>
      </c>
      <c r="S13" s="4">
        <v>400</v>
      </c>
      <c r="T13" s="4" t="inlineStr">
        <is>
          <t>地縁</t>
        </is>
      </c>
      <c r="U13" s="4"/>
      <c r="V13" s="4" t="inlineStr">
        <is>
          <t>2:友好:90</t>
        </is>
      </c>
      <c r="W13" s="4"/>
    </row>
    <row r="14">
      <c r="A14" s="4">
        <v>15</v>
      </c>
      <c r="B14" s="4" t="inlineStr">
        <is>
          <t>潟上家</t>
        </is>
      </c>
      <c r="C14" s="4" t="inlineStr">
        <is>
          <t>かたがみけ</t>
        </is>
      </c>
      <c r="D14" s="4">
        <v>2015001</v>
      </c>
      <c r="E14" s="12" t="str">
        <f t="array" ref="E14">IF(D14:D105="","",_xlfn.XLOOKUP(D14:D105,'参照_武将'!A:A,'参照_武将'!B:B,"見つかりません"))</f>
      </c>
      <c r="F14" s="4">
        <v>94</v>
      </c>
      <c r="G14" s="12" t="str">
        <f t="array" ref="G14">IF(F14:F105="","",_xlfn.XLOOKUP(F14:F105,castles_state!A:A,castles_state!D:D,"見つかりません"))</f>
      </c>
      <c r="H14" s="4">
        <v>2000</v>
      </c>
      <c r="I14" s="4">
        <v>2000</v>
      </c>
      <c r="J14" s="4">
        <v>70</v>
      </c>
      <c r="K14" s="4">
        <v>70</v>
      </c>
      <c r="L14" s="4">
        <v>70</v>
      </c>
      <c r="M14" s="4">
        <v>70</v>
      </c>
      <c r="N14" s="4">
        <v>0</v>
      </c>
      <c r="O14" s="4">
        <v>1000</v>
      </c>
      <c r="P14" s="4">
        <v>0</v>
      </c>
      <c r="Q14" s="4">
        <v>0</v>
      </c>
      <c r="R14" s="4">
        <v>400</v>
      </c>
      <c r="S14" s="4">
        <v>400</v>
      </c>
      <c r="T14" s="4" t="inlineStr">
        <is>
          <t>地縁</t>
        </is>
      </c>
      <c r="U14" s="4"/>
      <c r="V14" s="4" t="inlineStr">
        <is>
          <t>2:友好:90</t>
        </is>
      </c>
      <c r="W14" s="4"/>
    </row>
    <row r="15">
      <c r="A15" s="4">
        <v>17</v>
      </c>
      <c r="B15" s="4" t="inlineStr">
        <is>
          <t>小笠原家</t>
        </is>
      </c>
      <c r="C15" s="4" t="inlineStr">
        <is>
          <t>おがさわらけ</t>
        </is>
      </c>
      <c r="D15" s="4">
        <v>1208002</v>
      </c>
      <c r="E15" s="12" t="str">
        <f t="array" ref="E15">IF(D15:D106="","",_xlfn.XLOOKUP(D15:D106,'参照_武将'!A:A,'参照_武将'!B:B,"見つかりません"))</f>
      </c>
      <c r="F15" s="4">
        <v>26</v>
      </c>
      <c r="G15" s="12" t="str">
        <f t="array" ref="G15">IF(F15:F106="","",_xlfn.XLOOKUP(F15:F106,castles_state!A:A,castles_state!D:D,"見つかりません"))</f>
      </c>
      <c r="H15" s="4">
        <v>2000</v>
      </c>
      <c r="I15" s="4">
        <v>2000</v>
      </c>
      <c r="J15" s="4">
        <v>70</v>
      </c>
      <c r="K15" s="4">
        <v>70</v>
      </c>
      <c r="L15" s="4">
        <v>70</v>
      </c>
      <c r="M15" s="4">
        <v>70</v>
      </c>
      <c r="N15" s="4">
        <v>0</v>
      </c>
      <c r="O15" s="4">
        <v>1000</v>
      </c>
      <c r="P15" s="4">
        <v>0</v>
      </c>
      <c r="Q15" s="4">
        <v>0</v>
      </c>
      <c r="R15" s="4">
        <v>400</v>
      </c>
      <c r="S15" s="4">
        <v>400</v>
      </c>
      <c r="T15" s="4" t="inlineStr">
        <is>
          <t>地縁</t>
        </is>
      </c>
      <c r="U15" s="4"/>
      <c r="V15" s="4" t="inlineStr">
        <is>
          <t>17:友好:100</t>
        </is>
      </c>
      <c r="W15" s="4"/>
    </row>
    <row r="16">
      <c r="A16" s="4">
        <v>18</v>
      </c>
      <c r="B16" s="4" t="inlineStr">
        <is>
          <t>志摩衆</t>
        </is>
      </c>
      <c r="C16" s="4" t="inlineStr">
        <is>
          <t>しましゅう</t>
        </is>
      </c>
      <c r="D16" s="4">
        <v>2018005</v>
      </c>
      <c r="E16" s="12" t="str">
        <f t="array" ref="E16">IF(D16:D107="","",_xlfn.XLOOKUP(D16:D107,'参照_武将'!A:A,'参照_武将'!B:B,"見つかりません"))</f>
      </c>
      <c r="F16" s="4">
        <v>78</v>
      </c>
      <c r="G16" s="12" t="str">
        <f t="array" ref="G16">IF(F16:F107="","",_xlfn.XLOOKUP(F16:F107,castles_state!A:A,castles_state!D:D,"見つかりません"))</f>
      </c>
      <c r="H16" s="4">
        <v>4000</v>
      </c>
      <c r="I16" s="4">
        <v>4000</v>
      </c>
      <c r="J16" s="4">
        <v>90</v>
      </c>
      <c r="K16" s="4">
        <v>90</v>
      </c>
      <c r="L16" s="4">
        <v>80</v>
      </c>
      <c r="M16" s="4">
        <v>80</v>
      </c>
      <c r="N16" s="4">
        <v>0</v>
      </c>
      <c r="O16" s="4">
        <v>500</v>
      </c>
      <c r="P16" s="4">
        <v>0</v>
      </c>
      <c r="Q16" s="4">
        <v>1500</v>
      </c>
      <c r="R16" s="4">
        <v>700</v>
      </c>
      <c r="S16" s="4">
        <v>700</v>
      </c>
      <c r="T16" s="4" t="inlineStr">
        <is>
          <t>傭兵</t>
        </is>
      </c>
      <c r="U16" s="4"/>
      <c r="V16" s="4" t="inlineStr">
        <is>
          <t>1:友好:100</t>
        </is>
      </c>
      <c r="W16" s="4"/>
    </row>
    <row r="17">
      <c r="A17" s="4">
        <v>19</v>
      </c>
      <c r="B17" s="4" t="inlineStr">
        <is>
          <t>有馬家</t>
        </is>
      </c>
      <c r="C17" s="4" t="inlineStr">
        <is>
          <t>ありまけ</t>
        </is>
      </c>
      <c r="D17" s="4">
        <v>2019002</v>
      </c>
      <c r="E17" s="12" t="str">
        <f t="array" ref="E17">IF(D17:D108="","",_xlfn.XLOOKUP(D17:D108,'参照_武将'!A:A,'参照_武将'!B:B,"見つかりません"))</f>
      </c>
      <c r="F17" s="4">
        <v>25</v>
      </c>
      <c r="G17" s="12" t="str">
        <f t="array" ref="G17">IF(F17:F108="","",_xlfn.XLOOKUP(F17:F108,castles_state!A:A,castles_state!D:D,"見つかりません"))</f>
      </c>
      <c r="H17" s="4">
        <v>2000</v>
      </c>
      <c r="I17" s="4">
        <v>2000</v>
      </c>
      <c r="J17" s="4">
        <v>70</v>
      </c>
      <c r="K17" s="4">
        <v>70</v>
      </c>
      <c r="L17" s="4">
        <v>70</v>
      </c>
      <c r="M17" s="4">
        <v>70</v>
      </c>
      <c r="N17" s="4">
        <v>0</v>
      </c>
      <c r="O17" s="4">
        <v>1000</v>
      </c>
      <c r="P17" s="4">
        <v>0</v>
      </c>
      <c r="Q17" s="4">
        <v>0</v>
      </c>
      <c r="R17" s="4">
        <v>400</v>
      </c>
      <c r="S17" s="4">
        <v>400</v>
      </c>
      <c r="T17" s="4" t="inlineStr">
        <is>
          <t>地縁</t>
        </is>
      </c>
      <c r="U17" s="4"/>
      <c r="V17" s="4" t="inlineStr">
        <is>
          <t>16:友好:90|20:友好:90</t>
        </is>
      </c>
      <c r="W17" s="4"/>
    </row>
    <row r="18">
      <c r="A18" s="4">
        <v>20</v>
      </c>
      <c r="B18" s="4" t="inlineStr">
        <is>
          <t>塩屋家</t>
        </is>
      </c>
      <c r="C18" s="4" t="inlineStr">
        <is>
          <t>しおやけ</t>
        </is>
      </c>
      <c r="D18" s="4">
        <v>2020001</v>
      </c>
      <c r="E18" s="12" t="str">
        <f t="array" ref="E18">IF(D18:D109="","",_xlfn.XLOOKUP(D18:D109,'参照_武将'!A:A,'参照_武将'!B:B,"見つかりません"))</f>
      </c>
      <c r="F18" s="4">
        <v>29</v>
      </c>
      <c r="G18" s="12" t="str">
        <f t="array" ref="G18">IF(F18:F109="","",_xlfn.XLOOKUP(F18:F109,castles_state!A:A,castles_state!D:D,"見つかりません"))</f>
      </c>
      <c r="H18" s="4">
        <v>2000</v>
      </c>
      <c r="I18" s="4">
        <v>2000</v>
      </c>
      <c r="J18" s="4">
        <v>70</v>
      </c>
      <c r="K18" s="4">
        <v>70</v>
      </c>
      <c r="L18" s="4">
        <v>70</v>
      </c>
      <c r="M18" s="4">
        <v>70</v>
      </c>
      <c r="N18" s="4">
        <v>0</v>
      </c>
      <c r="O18" s="4">
        <v>1000</v>
      </c>
      <c r="P18" s="4">
        <v>0</v>
      </c>
      <c r="Q18" s="4">
        <v>0</v>
      </c>
      <c r="R18" s="4">
        <v>400</v>
      </c>
      <c r="S18" s="4">
        <v>400</v>
      </c>
      <c r="T18" s="4" t="inlineStr">
        <is>
          <t>地縁</t>
        </is>
      </c>
      <c r="U18" s="4"/>
      <c r="V18" s="4" t="inlineStr">
        <is>
          <t>2:友好:80|10:友好:90</t>
        </is>
      </c>
      <c r="W18" s="4"/>
    </row>
    <row r="19">
      <c r="A19" s="4">
        <v>21</v>
      </c>
      <c r="B19" s="4" t="inlineStr">
        <is>
          <t>土肥家</t>
        </is>
      </c>
      <c r="C19" s="4" t="inlineStr">
        <is>
          <t>どいけ</t>
        </is>
      </c>
      <c r="D19" s="4">
        <v>2021001</v>
      </c>
      <c r="E19" s="12" t="str">
        <f t="array" ref="E19">IF(D19:D110="","",_xlfn.XLOOKUP(D19:D110,'参照_武将'!A:A,'参照_武将'!B:B,"見つかりません"))</f>
      </c>
      <c r="F19" s="4">
        <v>24</v>
      </c>
      <c r="G19" s="12" t="str">
        <f t="array" ref="G19">IF(F19:F110="","",_xlfn.XLOOKUP(F19:F110,castles_state!A:A,castles_state!D:D,"見つかりません"))</f>
      </c>
      <c r="H19" s="4">
        <v>2000</v>
      </c>
      <c r="I19" s="4">
        <v>2000</v>
      </c>
      <c r="J19" s="4">
        <v>70</v>
      </c>
      <c r="K19" s="4">
        <v>70</v>
      </c>
      <c r="L19" s="4">
        <v>70</v>
      </c>
      <c r="M19" s="4">
        <v>70</v>
      </c>
      <c r="N19" s="4">
        <v>0</v>
      </c>
      <c r="O19" s="4">
        <v>1000</v>
      </c>
      <c r="P19" s="4">
        <v>0</v>
      </c>
      <c r="Q19" s="4">
        <v>0</v>
      </c>
      <c r="R19" s="4">
        <v>400</v>
      </c>
      <c r="S19" s="4">
        <v>400</v>
      </c>
      <c r="T19" s="4" t="inlineStr">
        <is>
          <t>地縁</t>
        </is>
      </c>
      <c r="U19" s="4"/>
      <c r="V19" s="4" t="inlineStr">
        <is>
          <t>2:友好:100</t>
        </is>
      </c>
      <c r="W19" s="4"/>
    </row>
    <row r="20">
      <c r="A20" s="4">
        <v>22</v>
      </c>
      <c r="B20" s="23" t="inlineStr">
        <is>
          <t>川並衆</t>
        </is>
      </c>
      <c r="C20" s="23" t="inlineStr">
        <is>
          <t>かわなみしゅう</t>
        </is>
      </c>
      <c r="D20" s="4">
        <v>2022001</v>
      </c>
      <c r="E20" s="12" t="str">
        <f t="array" ref="E20">IF(D20:D111="","",_xlfn.XLOOKUP(D20:D111,'参照_武将'!A:A,'参照_武将'!B:B,"見つかりません"))</f>
      </c>
      <c r="F20" s="4">
        <v>180</v>
      </c>
      <c r="G20" s="12" t="str">
        <f t="array" ref="G20">IF(F20:F111="","",_xlfn.XLOOKUP(F20:F111,castles_state!A:A,castles_state!D:D,"見つかりません"))</f>
      </c>
      <c r="H20" s="4">
        <v>2000</v>
      </c>
      <c r="I20" s="4">
        <v>2000</v>
      </c>
      <c r="J20" s="4">
        <v>70</v>
      </c>
      <c r="K20" s="4">
        <v>70</v>
      </c>
      <c r="L20" s="4">
        <v>70</v>
      </c>
      <c r="M20" s="4">
        <v>70</v>
      </c>
      <c r="N20" s="4">
        <v>0</v>
      </c>
      <c r="O20" s="4">
        <v>1000</v>
      </c>
      <c r="P20" s="4">
        <v>0</v>
      </c>
      <c r="Q20" s="4">
        <v>0</v>
      </c>
      <c r="R20" s="4">
        <v>400</v>
      </c>
      <c r="S20" s="4">
        <v>400</v>
      </c>
      <c r="T20" s="4" t="inlineStr">
        <is>
          <t>地縁</t>
        </is>
      </c>
      <c r="U20" s="4"/>
      <c r="V20" s="4" t="inlineStr">
        <is>
          <t>1:友好:90</t>
        </is>
      </c>
      <c r="W20" s="4"/>
    </row>
    <row r="21" ht="15.75" customHeight="1">
      <c r="A21" s="4">
        <v>23</v>
      </c>
      <c r="B21" s="4" t="inlineStr">
        <is>
          <t>赤木家</t>
        </is>
      </c>
      <c r="C21" s="4" t="inlineStr">
        <is>
          <t>あかぎけ</t>
        </is>
      </c>
      <c r="D21" s="4">
        <v>2023001</v>
      </c>
      <c r="E21" s="12" t="str">
        <f t="array" ref="E21">IF(D21:D112="","",_xlfn.XLOOKUP(D21:D112,'参照_武将'!A:A,'参照_武将'!B:B,"見つかりません"))</f>
      </c>
      <c r="F21" s="4">
        <v>117</v>
      </c>
      <c r="G21" s="12" t="str">
        <f t="array" ref="G21">IF(F21:F112="","",_xlfn.XLOOKUP(F21:F112,castles_state!A:A,castles_state!D:D,"見つかりません"))</f>
      </c>
      <c r="H21" s="4">
        <v>2000</v>
      </c>
      <c r="I21" s="4">
        <v>2000</v>
      </c>
      <c r="J21" s="4">
        <v>70</v>
      </c>
      <c r="K21" s="4">
        <v>70</v>
      </c>
      <c r="L21" s="4">
        <v>70</v>
      </c>
      <c r="M21" s="4">
        <v>70</v>
      </c>
      <c r="N21" s="4">
        <v>0</v>
      </c>
      <c r="O21" s="4">
        <v>1000</v>
      </c>
      <c r="P21" s="4">
        <v>0</v>
      </c>
      <c r="Q21" s="4">
        <v>0</v>
      </c>
      <c r="R21" s="4">
        <v>400</v>
      </c>
      <c r="S21" s="4">
        <v>400</v>
      </c>
      <c r="T21" s="4" t="inlineStr">
        <is>
          <t>地縁</t>
        </is>
      </c>
      <c r="U21" s="4"/>
      <c r="V21" s="4"/>
      <c r="W21" s="4"/>
    </row>
    <row r="22" ht="15.75" customHeight="1">
      <c r="A22" s="4">
        <v>24</v>
      </c>
      <c r="B22" s="4" t="inlineStr">
        <is>
          <t>高梨家</t>
        </is>
      </c>
      <c r="C22" s="4" t="inlineStr">
        <is>
          <t>たかなしけ</t>
        </is>
      </c>
      <c r="D22" s="4">
        <v>2024001</v>
      </c>
      <c r="E22" s="12" t="str">
        <f t="array" ref="E22">IF(D22:D113="","",_xlfn.XLOOKUP(D22:D113,'参照_武将'!A:A,'参照_武将'!B:B,"見つかりません"))</f>
      </c>
      <c r="F22" s="4">
        <v>70</v>
      </c>
      <c r="G22" s="12" t="str">
        <f t="array" ref="G22">IF(F22:F113="","",_xlfn.XLOOKUP(F22:F113,castles_state!A:A,castles_state!D:D,"見つかりません"))</f>
      </c>
      <c r="H22" s="4">
        <v>2000</v>
      </c>
      <c r="I22" s="4">
        <v>2000</v>
      </c>
      <c r="J22" s="4">
        <v>70</v>
      </c>
      <c r="K22" s="4">
        <v>70</v>
      </c>
      <c r="L22" s="4">
        <v>70</v>
      </c>
      <c r="M22" s="4">
        <v>70</v>
      </c>
      <c r="N22" s="4">
        <v>0</v>
      </c>
      <c r="O22" s="4">
        <v>1000</v>
      </c>
      <c r="P22" s="4">
        <v>0</v>
      </c>
      <c r="Q22" s="4">
        <v>0</v>
      </c>
      <c r="R22" s="4">
        <v>400</v>
      </c>
      <c r="S22" s="4">
        <v>400</v>
      </c>
      <c r="T22" s="4" t="inlineStr">
        <is>
          <t>地縁</t>
        </is>
      </c>
      <c r="U22" s="4"/>
      <c r="V22" s="4" t="inlineStr">
        <is>
          <t>2:友好:90|3:敵対:0</t>
        </is>
      </c>
      <c r="W22" s="4"/>
    </row>
    <row r="23" ht="15.75" customHeight="1">
      <c r="A23" s="4">
        <v>25</v>
      </c>
      <c r="B23" s="4" t="inlineStr">
        <is>
          <t>由良家</t>
        </is>
      </c>
      <c r="C23" s="4" t="inlineStr">
        <is>
          <t>ゆらけ</t>
        </is>
      </c>
      <c r="D23" s="4">
        <v>2025004</v>
      </c>
      <c r="E23" s="12" t="str">
        <f t="array" ref="E23">IF(D23:D114="","",_xlfn.XLOOKUP(D23:D114,'参照_武将'!A:A,'参照_武将'!B:B,"見つかりません"))</f>
      </c>
      <c r="F23" s="4">
        <v>6</v>
      </c>
      <c r="G23" s="12" t="str">
        <f t="array" ref="G23">IF(F23:F114="","",_xlfn.XLOOKUP(F23:F114,castles_state!A:A,castles_state!D:D,"見つかりません"))</f>
      </c>
      <c r="H23" s="4">
        <v>2000</v>
      </c>
      <c r="I23" s="4">
        <v>2000</v>
      </c>
      <c r="J23" s="4">
        <v>70</v>
      </c>
      <c r="K23" s="4">
        <v>70</v>
      </c>
      <c r="L23" s="4">
        <v>70</v>
      </c>
      <c r="M23" s="4">
        <v>70</v>
      </c>
      <c r="N23" s="4">
        <v>0</v>
      </c>
      <c r="O23" s="4">
        <v>1000</v>
      </c>
      <c r="P23" s="4">
        <v>0</v>
      </c>
      <c r="Q23" s="4">
        <v>0</v>
      </c>
      <c r="R23" s="4">
        <v>400</v>
      </c>
      <c r="S23" s="4">
        <v>400</v>
      </c>
      <c r="T23" s="4" t="inlineStr">
        <is>
          <t>地縁</t>
        </is>
      </c>
      <c r="U23" s="4"/>
      <c r="V23" s="4" t="inlineStr">
        <is>
          <t>4:友好:100|2:友好:70|3:敵対:30</t>
        </is>
      </c>
      <c r="W23" s="4"/>
    </row>
    <row r="24" ht="15.75" customHeight="1">
      <c r="A24" s="4">
        <v>27</v>
      </c>
      <c r="B24" s="4" t="inlineStr">
        <is>
          <t>柳生家</t>
        </is>
      </c>
      <c r="C24" s="4" t="inlineStr">
        <is>
          <t>やぎゅうけ</t>
        </is>
      </c>
      <c r="D24" s="4">
        <v>2027001</v>
      </c>
      <c r="E24" s="12" t="str">
        <f t="array" ref="E24">IF(D24:D115="","",_xlfn.XLOOKUP(D24:D115,'参照_武将'!A:A,'参照_武将'!B:B,"見つかりません"))</f>
      </c>
      <c r="F24" s="4">
        <v>53</v>
      </c>
      <c r="G24" s="12" t="str">
        <f t="array" ref="G24">IF(F24:F115="","",_xlfn.XLOOKUP(F24:F115,castles_state!A:A,castles_state!D:D,"見つかりません"))</f>
      </c>
      <c r="H24" s="4">
        <v>2000</v>
      </c>
      <c r="I24" s="4">
        <v>2000</v>
      </c>
      <c r="J24" s="4">
        <v>70</v>
      </c>
      <c r="K24" s="4">
        <v>70</v>
      </c>
      <c r="L24" s="4">
        <v>70</v>
      </c>
      <c r="M24" s="4">
        <v>70</v>
      </c>
      <c r="N24" s="4">
        <v>0</v>
      </c>
      <c r="O24" s="4">
        <v>1000</v>
      </c>
      <c r="P24" s="4">
        <v>0</v>
      </c>
      <c r="Q24" s="4">
        <v>0</v>
      </c>
      <c r="R24" s="4">
        <v>400</v>
      </c>
      <c r="S24" s="4">
        <v>400</v>
      </c>
      <c r="T24" s="4" t="inlineStr">
        <is>
          <t>地縁</t>
        </is>
      </c>
      <c r="U24" s="4"/>
      <c r="V24" s="4" t="inlineStr">
        <is>
          <t>1:友好:90</t>
        </is>
      </c>
      <c r="W24" s="4"/>
    </row>
    <row r="25" ht="15.75" customHeight="1">
      <c r="A25" s="4">
        <v>28</v>
      </c>
      <c r="B25" s="4" t="inlineStr">
        <is>
          <t>望月家</t>
        </is>
      </c>
      <c r="C25" s="4" t="inlineStr">
        <is>
          <t>もちづきけ</t>
        </is>
      </c>
      <c r="D25" s="4">
        <v>2028001</v>
      </c>
      <c r="E25" s="12" t="str">
        <f t="array" ref="E25">IF(D25:D116="","",_xlfn.XLOOKUP(D25:D116,'参照_武将'!A:A,'参照_武将'!B:B,"見つかりません"))</f>
      </c>
      <c r="F25" s="4">
        <v>40</v>
      </c>
      <c r="G25" s="12" t="str">
        <f t="array" ref="G25">IF(F25:F116="","",_xlfn.XLOOKUP(F25:F116,castles_state!A:A,castles_state!D:D,"見つかりません"))</f>
      </c>
      <c r="H25" s="4">
        <v>2000</v>
      </c>
      <c r="I25" s="4">
        <v>2000</v>
      </c>
      <c r="J25" s="4">
        <v>70</v>
      </c>
      <c r="K25" s="4">
        <v>70</v>
      </c>
      <c r="L25" s="4">
        <v>70</v>
      </c>
      <c r="M25" s="4">
        <v>70</v>
      </c>
      <c r="N25" s="4">
        <v>0</v>
      </c>
      <c r="O25" s="4">
        <v>1000</v>
      </c>
      <c r="P25" s="4">
        <v>0</v>
      </c>
      <c r="Q25" s="4">
        <v>0</v>
      </c>
      <c r="R25" s="4">
        <v>400</v>
      </c>
      <c r="S25" s="4">
        <v>400</v>
      </c>
      <c r="T25" s="4" t="inlineStr">
        <is>
          <t>地縁</t>
        </is>
      </c>
      <c r="U25" s="4"/>
      <c r="V25" s="4" t="inlineStr">
        <is>
          <t>1:敵対:0|18:友好:100</t>
        </is>
      </c>
      <c r="W25" s="4"/>
    </row>
    <row r="26" ht="15.75" customHeight="1">
      <c r="A26" s="4">
        <v>29</v>
      </c>
      <c r="B26" s="4" t="inlineStr">
        <is>
          <t>森田家</t>
        </is>
      </c>
      <c r="C26" s="4" t="inlineStr">
        <is>
          <t>もりたけ</t>
        </is>
      </c>
      <c r="D26" s="4">
        <v>2029001</v>
      </c>
      <c r="E26" s="12" t="str">
        <f t="array" ref="E26">IF(D26:D117="","",_xlfn.XLOOKUP(D26:D117,'参照_武将'!A:A,'参照_武将'!B:B,"見つかりません"))</f>
      </c>
      <c r="F26" s="4">
        <v>43</v>
      </c>
      <c r="G26" s="12" t="str">
        <f t="array" ref="G26">IF(F26:F117="","",_xlfn.XLOOKUP(F26:F117,castles_state!A:A,castles_state!D:D,"見つかりません"))</f>
      </c>
      <c r="H26" s="4">
        <v>3000</v>
      </c>
      <c r="I26" s="4">
        <v>3000</v>
      </c>
      <c r="J26" s="4">
        <v>70</v>
      </c>
      <c r="K26" s="4">
        <v>70</v>
      </c>
      <c r="L26" s="4">
        <v>70</v>
      </c>
      <c r="M26" s="4">
        <v>70</v>
      </c>
      <c r="N26" s="4">
        <v>0</v>
      </c>
      <c r="O26" s="4">
        <v>1000</v>
      </c>
      <c r="P26" s="4">
        <v>0</v>
      </c>
      <c r="Q26" s="4">
        <v>0</v>
      </c>
      <c r="R26" s="4">
        <v>400</v>
      </c>
      <c r="S26" s="4">
        <v>400</v>
      </c>
      <c r="T26" s="4" t="inlineStr">
        <is>
          <t>地縁</t>
        </is>
      </c>
      <c r="U26" s="4"/>
      <c r="V26" s="4"/>
      <c r="W26" s="4"/>
    </row>
    <row r="27" ht="15.75" customHeight="1">
      <c r="A27" s="4">
        <v>30</v>
      </c>
      <c r="B27" s="4" t="inlineStr">
        <is>
          <t>越智家</t>
        </is>
      </c>
      <c r="C27" s="4" t="inlineStr">
        <is>
          <t>おちけ</t>
        </is>
      </c>
      <c r="D27" s="4">
        <v>2030001</v>
      </c>
      <c r="E27" s="12" t="str">
        <f t="array" ref="E27">IF(D27:D118="","",_xlfn.XLOOKUP(D27:D118,'参照_武将'!A:A,'参照_武将'!B:B,"見つかりません"))</f>
      </c>
      <c r="F27" s="4">
        <v>39</v>
      </c>
      <c r="G27" s="12" t="str">
        <f t="array" ref="G27">IF(F27:F118="","",_xlfn.XLOOKUP(F27:F118,castles_state!A:A,castles_state!D:D,"見つかりません"))</f>
      </c>
      <c r="H27" s="4">
        <v>2000</v>
      </c>
      <c r="I27" s="4">
        <v>2000</v>
      </c>
      <c r="J27" s="4">
        <v>70</v>
      </c>
      <c r="K27" s="4">
        <v>70</v>
      </c>
      <c r="L27" s="4">
        <v>70</v>
      </c>
      <c r="M27" s="4">
        <v>70</v>
      </c>
      <c r="N27" s="4">
        <v>0</v>
      </c>
      <c r="O27" s="4">
        <v>1000</v>
      </c>
      <c r="P27" s="4">
        <v>0</v>
      </c>
      <c r="Q27" s="4">
        <v>0</v>
      </c>
      <c r="R27" s="4">
        <v>400</v>
      </c>
      <c r="S27" s="4">
        <v>400</v>
      </c>
      <c r="T27" s="4" t="inlineStr">
        <is>
          <t>地縁</t>
        </is>
      </c>
      <c r="U27" s="4"/>
      <c r="V27" s="4" t="inlineStr">
        <is>
          <t>1:敵対:30</t>
        </is>
      </c>
      <c r="W27" s="4"/>
    </row>
    <row r="28" ht="15.75" customHeight="1">
      <c r="A28" s="4">
        <v>31</v>
      </c>
      <c r="B28" s="4" t="inlineStr">
        <is>
          <t>宮郷衆</t>
        </is>
      </c>
      <c r="C28" s="4" t="inlineStr">
        <is>
          <t>みやごうしゅう</t>
        </is>
      </c>
      <c r="D28" s="4">
        <v>2031001</v>
      </c>
      <c r="E28" s="12" t="str">
        <f t="array" ref="E28">IF(D28:D119="","",_xlfn.XLOOKUP(D28:D119,'参照_武将'!A:A,'参照_武将'!B:B,"見つかりません"))</f>
      </c>
      <c r="F28" s="4">
        <v>102</v>
      </c>
      <c r="G28" s="12" t="str">
        <f t="array" ref="G28">IF(F28:F119="","",_xlfn.XLOOKUP(F28:F119,castles_state!A:A,castles_state!D:D,"見つかりません"))</f>
      </c>
      <c r="H28" s="4">
        <v>2000</v>
      </c>
      <c r="I28" s="4">
        <v>2000</v>
      </c>
      <c r="J28" s="4">
        <v>70</v>
      </c>
      <c r="K28" s="4">
        <v>70</v>
      </c>
      <c r="L28" s="4">
        <v>70</v>
      </c>
      <c r="M28" s="4">
        <v>70</v>
      </c>
      <c r="N28" s="4">
        <v>0</v>
      </c>
      <c r="O28" s="4">
        <v>1000</v>
      </c>
      <c r="P28" s="4">
        <v>0</v>
      </c>
      <c r="Q28" s="4">
        <v>0</v>
      </c>
      <c r="R28" s="4">
        <v>400</v>
      </c>
      <c r="S28" s="4">
        <v>400</v>
      </c>
      <c r="T28" s="4" t="inlineStr">
        <is>
          <t>地縁</t>
        </is>
      </c>
      <c r="U28" s="4"/>
      <c r="V28" s="4" t="inlineStr">
        <is>
          <t>20:敵対:30|41:友好:90</t>
        </is>
      </c>
      <c r="W28" s="4"/>
    </row>
    <row r="29" ht="15.75" customHeight="1">
      <c r="A29" s="4">
        <v>32</v>
      </c>
      <c r="B29" s="4" t="inlineStr">
        <is>
          <t>野長瀬家</t>
        </is>
      </c>
      <c r="C29" s="4" t="inlineStr">
        <is>
          <t>のながせけ</t>
        </is>
      </c>
      <c r="D29" s="4">
        <v>2032001</v>
      </c>
      <c r="E29" s="12" t="str">
        <f t="array" ref="E29">IF(D29:D120="","",_xlfn.XLOOKUP(D29:D120,'参照_武将'!A:A,'参照_武将'!B:B,"見つかりません"))</f>
      </c>
      <c r="F29" s="4">
        <v>102</v>
      </c>
      <c r="G29" s="12" t="str">
        <f t="array" ref="G29">IF(F29:F120="","",_xlfn.XLOOKUP(F29:F120,castles_state!A:A,castles_state!D:D,"見つかりません"))</f>
      </c>
      <c r="H29" s="4">
        <v>2000</v>
      </c>
      <c r="I29" s="4">
        <v>2000</v>
      </c>
      <c r="J29" s="4">
        <v>70</v>
      </c>
      <c r="K29" s="4">
        <v>70</v>
      </c>
      <c r="L29" s="4">
        <v>70</v>
      </c>
      <c r="M29" s="4">
        <v>70</v>
      </c>
      <c r="N29" s="4">
        <v>0</v>
      </c>
      <c r="O29" s="4">
        <v>1000</v>
      </c>
      <c r="P29" s="4">
        <v>0</v>
      </c>
      <c r="Q29" s="4">
        <v>0</v>
      </c>
      <c r="R29" s="4">
        <v>400</v>
      </c>
      <c r="S29" s="4">
        <v>400</v>
      </c>
      <c r="T29" s="4" t="inlineStr">
        <is>
          <t>地縁</t>
        </is>
      </c>
      <c r="U29" s="4"/>
      <c r="V29" s="4" t="inlineStr">
        <is>
          <t>20:敵対:30|41:友好:90</t>
        </is>
      </c>
      <c r="W29" s="4"/>
    </row>
    <row r="30" ht="15.75" customHeight="1">
      <c r="A30" s="4">
        <v>33</v>
      </c>
      <c r="B30" s="4" t="inlineStr">
        <is>
          <t>原田家</t>
        </is>
      </c>
      <c r="C30" s="4" t="inlineStr">
        <is>
          <t>はらだけ</t>
        </is>
      </c>
      <c r="D30" s="4">
        <v>2033002</v>
      </c>
      <c r="E30" s="12" t="str">
        <f t="array" ref="E30">IF(D30:D121="","",_xlfn.XLOOKUP(D30:D121,'参照_武将'!A:A,'参照_武将'!B:B,"見つかりません"))</f>
      </c>
      <c r="F30" s="4">
        <v>112</v>
      </c>
      <c r="G30" s="12" t="str">
        <f t="array" ref="G30">IF(F30:F121="","",_xlfn.XLOOKUP(F30:F121,castles_state!A:A,castles_state!D:D,"見つかりません"))</f>
      </c>
      <c r="H30" s="4">
        <v>2000</v>
      </c>
      <c r="I30" s="4">
        <v>2000</v>
      </c>
      <c r="J30" s="4">
        <v>70</v>
      </c>
      <c r="K30" s="4">
        <v>70</v>
      </c>
      <c r="L30" s="4">
        <v>70</v>
      </c>
      <c r="M30" s="4">
        <v>70</v>
      </c>
      <c r="N30" s="4">
        <v>0</v>
      </c>
      <c r="O30" s="4">
        <v>1000</v>
      </c>
      <c r="P30" s="4">
        <v>0</v>
      </c>
      <c r="Q30" s="4">
        <v>0</v>
      </c>
      <c r="R30" s="4">
        <v>400</v>
      </c>
      <c r="S30" s="4">
        <v>400</v>
      </c>
      <c r="T30" s="4" t="inlineStr">
        <is>
          <t>地縁</t>
        </is>
      </c>
      <c r="U30" s="4"/>
      <c r="V30" s="4" t="inlineStr">
        <is>
          <t>44:友好:90</t>
        </is>
      </c>
      <c r="W30" s="4"/>
    </row>
    <row r="31" ht="15.75" customHeight="1">
      <c r="A31" s="4">
        <v>34</v>
      </c>
      <c r="B31" s="4" t="inlineStr">
        <is>
          <t>竹内家</t>
        </is>
      </c>
      <c r="C31" s="4" t="inlineStr">
        <is>
          <t>たけうちけ</t>
        </is>
      </c>
      <c r="D31" s="4">
        <v>2034001</v>
      </c>
      <c r="E31" s="12" t="str">
        <f t="array" ref="E31">IF(D31:D122="","",_xlfn.XLOOKUP(D31:D122,'参照_武将'!A:A,'参照_武将'!B:B,"見つかりません"))</f>
      </c>
      <c r="F31" s="4">
        <v>113</v>
      </c>
      <c r="G31" s="12" t="str">
        <f t="array" ref="G31">IF(F31:F122="","",_xlfn.XLOOKUP(F31:F122,castles_state!A:A,castles_state!D:D,"見つかりません"))</f>
      </c>
      <c r="H31" s="4">
        <v>2000</v>
      </c>
      <c r="I31" s="4">
        <v>2000</v>
      </c>
      <c r="J31" s="4">
        <v>70</v>
      </c>
      <c r="K31" s="4">
        <v>70</v>
      </c>
      <c r="L31" s="4">
        <v>70</v>
      </c>
      <c r="M31" s="4">
        <v>70</v>
      </c>
      <c r="N31" s="4">
        <v>0</v>
      </c>
      <c r="O31" s="4">
        <v>1000</v>
      </c>
      <c r="P31" s="4">
        <v>0</v>
      </c>
      <c r="Q31" s="4">
        <v>0</v>
      </c>
      <c r="R31" s="4">
        <v>400</v>
      </c>
      <c r="S31" s="4">
        <v>400</v>
      </c>
      <c r="T31" s="4" t="inlineStr">
        <is>
          <t>地縁</t>
        </is>
      </c>
      <c r="U31" s="4"/>
      <c r="V31" s="4"/>
      <c r="W31" s="4"/>
    </row>
    <row r="32" ht="15.75" customHeight="1">
      <c r="A32" s="4">
        <v>35</v>
      </c>
      <c r="B32" s="4" t="inlineStr">
        <is>
          <t>志知衆</t>
        </is>
      </c>
      <c r="C32" s="4" t="inlineStr">
        <is>
          <t>しちしゅう</t>
        </is>
      </c>
      <c r="D32" s="4">
        <v>2035001</v>
      </c>
      <c r="E32" s="12" t="str">
        <f t="array" ref="E32">IF(D32:D123="","",_xlfn.XLOOKUP(D32:D123,'参照_武将'!A:A,'参照_武将'!B:B,"見つかりません"))</f>
      </c>
      <c r="F32" s="4">
        <v>87</v>
      </c>
      <c r="G32" s="12" t="str">
        <f t="array" ref="G32">IF(F32:F123="","",_xlfn.XLOOKUP(F32:F123,castles_state!A:A,castles_state!D:D,"見つかりません"))</f>
      </c>
      <c r="H32" s="4">
        <v>4000</v>
      </c>
      <c r="I32" s="4">
        <v>4000</v>
      </c>
      <c r="J32" s="4">
        <v>90</v>
      </c>
      <c r="K32" s="4">
        <v>90</v>
      </c>
      <c r="L32" s="4">
        <v>80</v>
      </c>
      <c r="M32" s="4">
        <v>80</v>
      </c>
      <c r="N32" s="4">
        <v>0</v>
      </c>
      <c r="O32" s="4">
        <v>1500</v>
      </c>
      <c r="P32" s="4">
        <v>0</v>
      </c>
      <c r="Q32" s="4">
        <v>0</v>
      </c>
      <c r="R32" s="4">
        <v>700</v>
      </c>
      <c r="S32" s="4">
        <v>700</v>
      </c>
      <c r="T32" s="4" t="inlineStr">
        <is>
          <t>傭兵</t>
        </is>
      </c>
      <c r="U32" s="4"/>
      <c r="V32" s="4" t="inlineStr">
        <is>
          <t>20:友好:100</t>
        </is>
      </c>
      <c r="W32" s="4"/>
    </row>
    <row r="33" ht="15.75" customHeight="1">
      <c r="A33" s="4">
        <v>36</v>
      </c>
      <c r="B33" s="4" t="inlineStr">
        <is>
          <t>中島家</t>
        </is>
      </c>
      <c r="C33" s="4" t="inlineStr">
        <is>
          <t>なかじまけ</t>
        </is>
      </c>
      <c r="D33" s="4">
        <v>2036002</v>
      </c>
      <c r="E33" s="12" t="str">
        <f t="array" ref="E33">IF(D33:D124="","",_xlfn.XLOOKUP(D33:D124,'参照_武将'!A:A,'参照_武将'!B:B,"見つかりません"))</f>
      </c>
      <c r="F33" s="4">
        <v>118</v>
      </c>
      <c r="G33" s="12" t="str">
        <f t="array" ref="G33">IF(F33:F124="","",_xlfn.XLOOKUP(F33:F124,castles_state!A:A,castles_state!D:D,"見つかりません"))</f>
      </c>
      <c r="H33" s="4">
        <v>2000</v>
      </c>
      <c r="I33" s="4">
        <v>2000</v>
      </c>
      <c r="J33" s="4">
        <v>70</v>
      </c>
      <c r="K33" s="4">
        <v>70</v>
      </c>
      <c r="L33" s="4">
        <v>70</v>
      </c>
      <c r="M33" s="4">
        <v>70</v>
      </c>
      <c r="N33" s="4">
        <v>0</v>
      </c>
      <c r="O33" s="4">
        <v>1000</v>
      </c>
      <c r="P33" s="4">
        <v>0</v>
      </c>
      <c r="Q33" s="4">
        <v>0</v>
      </c>
      <c r="R33" s="4">
        <v>400</v>
      </c>
      <c r="S33" s="4">
        <v>400</v>
      </c>
      <c r="T33" s="4" t="inlineStr">
        <is>
          <t>地縁</t>
        </is>
      </c>
      <c r="U33" s="4"/>
      <c r="V33" s="4" t="inlineStr">
        <is>
          <t>45:友好:90</t>
        </is>
      </c>
      <c r="W33" s="4"/>
    </row>
    <row r="34" ht="15.75" customHeight="1">
      <c r="A34" s="4">
        <v>37</v>
      </c>
      <c r="B34" s="23" t="inlineStr">
        <is>
          <t>植木家</t>
        </is>
      </c>
      <c r="C34" s="23" t="inlineStr">
        <is>
          <t>うえきけ</t>
        </is>
      </c>
      <c r="D34" s="4">
        <v>2037002</v>
      </c>
      <c r="E34" s="12" t="str">
        <f t="array" ref="E34">IF(D34:D125="","",_xlfn.XLOOKUP(D34:D125,'参照_武将'!A:A,'参照_武将'!B:B,"見つかりません"))</f>
      </c>
      <c r="F34" s="4">
        <v>117</v>
      </c>
      <c r="G34" s="12" t="str">
        <f t="array" ref="G34">IF(F34:F125="","",_xlfn.XLOOKUP(F34:F125,castles_state!A:A,castles_state!D:D,"見つかりません"))</f>
      </c>
      <c r="H34" s="4">
        <v>2000</v>
      </c>
      <c r="I34" s="4">
        <v>2000</v>
      </c>
      <c r="J34" s="4">
        <v>70</v>
      </c>
      <c r="K34" s="4">
        <v>70</v>
      </c>
      <c r="L34" s="4">
        <v>70</v>
      </c>
      <c r="M34" s="4">
        <v>70</v>
      </c>
      <c r="N34" s="4">
        <v>0</v>
      </c>
      <c r="O34" s="4">
        <v>1000</v>
      </c>
      <c r="P34" s="4">
        <v>0</v>
      </c>
      <c r="Q34" s="4">
        <v>0</v>
      </c>
      <c r="R34" s="4">
        <v>400</v>
      </c>
      <c r="S34" s="4">
        <v>400</v>
      </c>
      <c r="T34" s="4" t="inlineStr">
        <is>
          <t>地縁</t>
        </is>
      </c>
      <c r="U34" s="4"/>
      <c r="V34" s="4" t="inlineStr">
        <is>
          <t>44:友好:100|45:敵対:0</t>
        </is>
      </c>
      <c r="W34" s="4"/>
    </row>
    <row r="35" ht="15.75" customHeight="1">
      <c r="A35" s="4">
        <v>38</v>
      </c>
      <c r="B35" s="4" t="inlineStr">
        <is>
          <t>益田家</t>
        </is>
      </c>
      <c r="C35" s="4" t="inlineStr">
        <is>
          <t>ますだけ</t>
        </is>
      </c>
      <c r="D35" s="4">
        <v>2038002</v>
      </c>
      <c r="E35" s="12" t="str">
        <f t="array" ref="E35">IF(D35:D126="","",_xlfn.XLOOKUP(D35:D126,'参照_武将'!A:A,'参照_武将'!B:B,"見つかりません"))</f>
      </c>
      <c r="F35" s="4">
        <v>111</v>
      </c>
      <c r="G35" s="12" t="str">
        <f t="array" ref="G35">IF(F35:F126="","",_xlfn.XLOOKUP(F35:F126,castles_state!A:A,castles_state!D:D,"見つかりません"))</f>
      </c>
      <c r="H35" s="4">
        <v>2000</v>
      </c>
      <c r="I35" s="4">
        <v>2000</v>
      </c>
      <c r="J35" s="4">
        <v>70</v>
      </c>
      <c r="K35" s="4">
        <v>70</v>
      </c>
      <c r="L35" s="4">
        <v>70</v>
      </c>
      <c r="M35" s="4">
        <v>70</v>
      </c>
      <c r="N35" s="4">
        <v>0</v>
      </c>
      <c r="O35" s="4">
        <v>1000</v>
      </c>
      <c r="P35" s="4">
        <v>0</v>
      </c>
      <c r="Q35" s="4">
        <v>0</v>
      </c>
      <c r="R35" s="4">
        <v>400</v>
      </c>
      <c r="S35" s="4">
        <v>400</v>
      </c>
      <c r="T35" s="4" t="inlineStr">
        <is>
          <t>地縁</t>
        </is>
      </c>
      <c r="U35" s="4"/>
      <c r="V35" s="4" t="inlineStr">
        <is>
          <t>25:友好:100</t>
        </is>
      </c>
      <c r="W35" s="4"/>
    </row>
    <row r="36" ht="15.75" customHeight="1">
      <c r="A36" s="4">
        <v>39</v>
      </c>
      <c r="B36" s="4" t="inlineStr">
        <is>
          <t>阿曽沼家</t>
        </is>
      </c>
      <c r="C36" s="4" t="inlineStr">
        <is>
          <t>あそぬまけ</t>
        </is>
      </c>
      <c r="D36" s="4">
        <v>2039001</v>
      </c>
      <c r="E36" s="12" t="str">
        <f t="array" ref="E36">IF(D36:D127="","",_xlfn.XLOOKUP(D36:D127,'参照_武将'!A:A,'参照_武将'!B:B,"見つかりません"))</f>
      </c>
      <c r="F36" s="4">
        <v>121</v>
      </c>
      <c r="G36" s="12" t="str">
        <f t="array" ref="G36">IF(F36:F127="","",_xlfn.XLOOKUP(F36:F127,castles_state!A:A,castles_state!D:D,"見つかりません"))</f>
      </c>
      <c r="H36" s="4">
        <v>2000</v>
      </c>
      <c r="I36" s="4">
        <v>2000</v>
      </c>
      <c r="J36" s="4">
        <v>70</v>
      </c>
      <c r="K36" s="4">
        <v>70</v>
      </c>
      <c r="L36" s="4">
        <v>70</v>
      </c>
      <c r="M36" s="4">
        <v>70</v>
      </c>
      <c r="N36" s="4">
        <v>0</v>
      </c>
      <c r="O36" s="4">
        <v>1000</v>
      </c>
      <c r="P36" s="4">
        <v>0</v>
      </c>
      <c r="Q36" s="4">
        <v>0</v>
      </c>
      <c r="R36" s="4">
        <v>400</v>
      </c>
      <c r="S36" s="4">
        <v>400</v>
      </c>
      <c r="T36" s="4" t="inlineStr">
        <is>
          <t>地縁</t>
        </is>
      </c>
      <c r="U36" s="4"/>
      <c r="V36" s="4" t="inlineStr">
        <is>
          <t>25:友好:100</t>
        </is>
      </c>
      <c r="W36" s="4"/>
    </row>
    <row r="37" ht="15.75" customHeight="1">
      <c r="A37" s="4">
        <v>40</v>
      </c>
      <c r="B37" s="4" t="inlineStr">
        <is>
          <t>羽床家</t>
        </is>
      </c>
      <c r="C37" s="4" t="inlineStr">
        <is>
          <t>はゆかけ</t>
        </is>
      </c>
      <c r="D37" s="4">
        <v>2040001</v>
      </c>
      <c r="E37" s="12" t="str">
        <f t="array" ref="E37">IF(D37:D128="","",_xlfn.XLOOKUP(D37:D128,'参照_武将'!A:A,'参照_武将'!B:B,"見つかりません"))</f>
      </c>
      <c r="F37" s="4">
        <v>128</v>
      </c>
      <c r="G37" s="12" t="str">
        <f t="array" ref="G37">IF(F37:F128="","",_xlfn.XLOOKUP(F37:F128,castles_state!A:A,castles_state!D:D,"見つかりません"))</f>
      </c>
      <c r="H37" s="4">
        <v>2000</v>
      </c>
      <c r="I37" s="4">
        <v>2000</v>
      </c>
      <c r="J37" s="4">
        <v>70</v>
      </c>
      <c r="K37" s="4">
        <v>70</v>
      </c>
      <c r="L37" s="4">
        <v>70</v>
      </c>
      <c r="M37" s="4">
        <v>70</v>
      </c>
      <c r="N37" s="4">
        <v>0</v>
      </c>
      <c r="O37" s="4">
        <v>1000</v>
      </c>
      <c r="P37" s="4">
        <v>0</v>
      </c>
      <c r="Q37" s="4">
        <v>0</v>
      </c>
      <c r="R37" s="4">
        <v>400</v>
      </c>
      <c r="S37" s="4">
        <v>400</v>
      </c>
      <c r="T37" s="4" t="inlineStr">
        <is>
          <t>地縁</t>
        </is>
      </c>
      <c r="U37" s="4"/>
      <c r="V37" s="4" t="inlineStr">
        <is>
          <t>63:友好:90</t>
        </is>
      </c>
      <c r="W37" s="4"/>
    </row>
    <row r="38" ht="15.75" customHeight="1">
      <c r="A38" s="4">
        <v>41</v>
      </c>
      <c r="B38" s="4" t="inlineStr">
        <is>
          <t>高原家</t>
        </is>
      </c>
      <c r="C38" s="4" t="inlineStr">
        <is>
          <t>たかはらけ</t>
        </is>
      </c>
      <c r="D38" s="4">
        <v>2041001</v>
      </c>
      <c r="E38" s="12" t="str">
        <f t="array" ref="E38">IF(D38:D129="","",_xlfn.XLOOKUP(D38:D129,'参照_武将'!A:A,'参照_武将'!B:B,"見つかりません"))</f>
      </c>
      <c r="F38" s="4">
        <v>127</v>
      </c>
      <c r="G38" s="12" t="str">
        <f t="array" ref="G38">IF(F38:F129="","",_xlfn.XLOOKUP(F38:F129,castles_state!A:A,castles_state!D:D,"見つかりません"))</f>
      </c>
      <c r="H38" s="4">
        <v>2000</v>
      </c>
      <c r="I38" s="4">
        <v>2000</v>
      </c>
      <c r="J38" s="4">
        <v>70</v>
      </c>
      <c r="K38" s="4">
        <v>70</v>
      </c>
      <c r="L38" s="4">
        <v>70</v>
      </c>
      <c r="M38" s="4">
        <v>70</v>
      </c>
      <c r="N38" s="4">
        <v>0</v>
      </c>
      <c r="O38" s="4">
        <v>1000</v>
      </c>
      <c r="P38" s="4">
        <v>0</v>
      </c>
      <c r="Q38" s="4">
        <v>0</v>
      </c>
      <c r="R38" s="4">
        <v>400</v>
      </c>
      <c r="S38" s="4">
        <v>400</v>
      </c>
      <c r="T38" s="4" t="inlineStr">
        <is>
          <t>地縁</t>
        </is>
      </c>
      <c r="U38" s="4"/>
      <c r="V38" s="4"/>
      <c r="W38" s="4"/>
    </row>
    <row r="39" ht="15.75" customHeight="1">
      <c r="A39" s="4">
        <v>42</v>
      </c>
      <c r="B39" s="4" t="inlineStr">
        <is>
          <t>筑紫家</t>
        </is>
      </c>
      <c r="C39" s="4" t="inlineStr">
        <is>
          <t>つくしけ</t>
        </is>
      </c>
      <c r="D39" s="4">
        <v>2042002</v>
      </c>
      <c r="E39" s="12" t="str">
        <f t="array" ref="E39">IF(D39:D130="","",_xlfn.XLOOKUP(D39:D130,'参照_武将'!A:A,'参照_武将'!B:B,"見つかりません"))</f>
      </c>
      <c r="F39" s="4">
        <v>151</v>
      </c>
      <c r="G39" s="12" t="str">
        <f t="array" ref="G39">IF(F39:F130="","",_xlfn.XLOOKUP(F39:F130,castles_state!A:A,castles_state!D:D,"見つかりません"))</f>
      </c>
      <c r="H39" s="4">
        <v>3000</v>
      </c>
      <c r="I39" s="4">
        <v>3000</v>
      </c>
      <c r="J39" s="4">
        <v>70</v>
      </c>
      <c r="K39" s="4">
        <v>70</v>
      </c>
      <c r="L39" s="4">
        <v>70</v>
      </c>
      <c r="M39" s="4">
        <v>70</v>
      </c>
      <c r="N39" s="4">
        <v>0</v>
      </c>
      <c r="O39" s="4">
        <v>500</v>
      </c>
      <c r="P39" s="4">
        <v>0</v>
      </c>
      <c r="Q39" s="4">
        <v>1500</v>
      </c>
      <c r="R39" s="4">
        <v>400</v>
      </c>
      <c r="S39" s="4">
        <v>400</v>
      </c>
      <c r="T39" s="4" t="inlineStr">
        <is>
          <t>地縁</t>
        </is>
      </c>
      <c r="U39" s="4"/>
      <c r="V39" s="4" t="inlineStr">
        <is>
          <t>53:友好:100|54:敵対:30</t>
        </is>
      </c>
      <c r="W39" s="4"/>
    </row>
    <row r="40" ht="15.75" customHeight="1">
      <c r="A40" s="4">
        <v>43</v>
      </c>
      <c r="B40" s="4" t="inlineStr">
        <is>
          <t>入来院家</t>
        </is>
      </c>
      <c r="C40" s="4" t="inlineStr">
        <is>
          <t>いりきいんけ</t>
        </is>
      </c>
      <c r="D40" s="4">
        <v>2043002</v>
      </c>
      <c r="E40" s="12" t="str">
        <f t="array" ref="E40">IF(D40:D131="","",_xlfn.XLOOKUP(D40:D131,'参照_武将'!A:A,'参照_武将'!B:B,"見つかりません"))</f>
      </c>
      <c r="F40" s="4">
        <v>168</v>
      </c>
      <c r="G40" s="12" t="str">
        <f t="array" ref="G40">IF(F40:F131="","",_xlfn.XLOOKUP(F40:F131,castles_state!A:A,castles_state!D:D,"見つかりません"))</f>
      </c>
      <c r="H40" s="4">
        <v>2000</v>
      </c>
      <c r="I40" s="4">
        <v>2000</v>
      </c>
      <c r="J40" s="4">
        <v>70</v>
      </c>
      <c r="K40" s="4">
        <v>70</v>
      </c>
      <c r="L40" s="4">
        <v>70</v>
      </c>
      <c r="M40" s="4">
        <v>70</v>
      </c>
      <c r="N40" s="4">
        <v>0</v>
      </c>
      <c r="O40" s="4">
        <v>1000</v>
      </c>
      <c r="P40" s="4">
        <v>0</v>
      </c>
      <c r="Q40" s="4">
        <v>0</v>
      </c>
      <c r="R40" s="4">
        <v>400</v>
      </c>
      <c r="S40" s="4">
        <v>400</v>
      </c>
      <c r="T40" s="4" t="inlineStr">
        <is>
          <t>地縁</t>
        </is>
      </c>
      <c r="U40" s="4"/>
      <c r="V40" s="4" t="inlineStr">
        <is>
          <t>26:友好:100</t>
        </is>
      </c>
      <c r="W40" s="4"/>
    </row>
    <row r="41" ht="15.75" customHeight="1">
      <c r="A41" s="4">
        <v>45</v>
      </c>
      <c r="B41" s="4" t="inlineStr">
        <is>
          <t>三田井家</t>
        </is>
      </c>
      <c r="C41" s="4" t="inlineStr">
        <is>
          <t>みたいけ</t>
        </is>
      </c>
      <c r="D41" s="4">
        <v>2045001</v>
      </c>
      <c r="E41" s="12" t="str">
        <f t="array" ref="E41">IF(D41:D132="","",_xlfn.XLOOKUP(D41:D132,'参照_武将'!A:A,'参照_武将'!B:B,"見つかりません"))</f>
      </c>
      <c r="F41" s="4">
        <v>162</v>
      </c>
      <c r="G41" s="12" t="str">
        <f t="array" ref="G41">IF(F41:F132="","",_xlfn.XLOOKUP(F41:F132,castles_state!A:A,castles_state!D:D,"見つかりません"))</f>
      </c>
      <c r="H41" s="4">
        <v>2000</v>
      </c>
      <c r="I41" s="4">
        <v>2000</v>
      </c>
      <c r="J41" s="4">
        <v>70</v>
      </c>
      <c r="K41" s="4">
        <v>70</v>
      </c>
      <c r="L41" s="4">
        <v>70</v>
      </c>
      <c r="M41" s="4">
        <v>70</v>
      </c>
      <c r="N41" s="4">
        <v>0</v>
      </c>
      <c r="O41" s="4">
        <v>1000</v>
      </c>
      <c r="P41" s="4">
        <v>0</v>
      </c>
      <c r="Q41" s="4">
        <v>0</v>
      </c>
      <c r="R41" s="4">
        <v>400</v>
      </c>
      <c r="S41" s="4">
        <v>400</v>
      </c>
      <c r="T41" s="4" t="inlineStr">
        <is>
          <t>地縁</t>
        </is>
      </c>
      <c r="U41" s="4"/>
      <c r="V41" s="4" t="inlineStr">
        <is>
          <t>26:敵対:30|53:友好:70|60:友好:100</t>
        </is>
      </c>
      <c r="W41" s="4"/>
    </row>
    <row r="42" ht="15.75" customHeight="1">
      <c r="A42" s="4">
        <v>46</v>
      </c>
      <c r="B42" s="4" t="inlineStr">
        <is>
          <t>隈部家</t>
        </is>
      </c>
      <c r="C42" s="4" t="inlineStr">
        <is>
          <t>くまべけ</t>
        </is>
      </c>
      <c r="D42" s="4">
        <v>2046001</v>
      </c>
      <c r="E42" s="12" t="str">
        <f t="array" ref="E42">IF(D42:D133="","",_xlfn.XLOOKUP(D42:D133,'参照_武将'!A:A,'参照_武将'!B:B,"見つかりません"))</f>
      </c>
      <c r="F42" s="4">
        <v>158</v>
      </c>
      <c r="G42" s="12" t="str">
        <f t="array" ref="G42">IF(F42:F133="","",_xlfn.XLOOKUP(F42:F133,castles_state!A:A,castles_state!D:D,"見つかりません"))</f>
      </c>
      <c r="H42" s="4">
        <v>2000</v>
      </c>
      <c r="I42" s="4">
        <v>2000</v>
      </c>
      <c r="J42" s="4">
        <v>70</v>
      </c>
      <c r="K42" s="4">
        <v>70</v>
      </c>
      <c r="L42" s="4">
        <v>70</v>
      </c>
      <c r="M42" s="4">
        <v>70</v>
      </c>
      <c r="N42" s="4">
        <v>0</v>
      </c>
      <c r="O42" s="4">
        <v>1000</v>
      </c>
      <c r="P42" s="4">
        <v>0</v>
      </c>
      <c r="Q42" s="4">
        <v>0</v>
      </c>
      <c r="R42" s="4">
        <v>400</v>
      </c>
      <c r="S42" s="4">
        <v>400</v>
      </c>
      <c r="T42" s="4" t="inlineStr">
        <is>
          <t>地縁</t>
        </is>
      </c>
      <c r="U42" s="4"/>
      <c r="V42" s="4" t="inlineStr">
        <is>
          <t>53:友好:90|54:敵対:30</t>
        </is>
      </c>
      <c r="W42" s="4"/>
    </row>
    <row r="43" ht="15.75" customHeight="1">
      <c r="A43" s="4">
        <v>47</v>
      </c>
      <c r="B43" s="4" t="inlineStr">
        <is>
          <t>興福寺</t>
        </is>
      </c>
      <c r="C43" s="4" t="inlineStr">
        <is>
          <t>こうふくじ</t>
        </is>
      </c>
      <c r="D43" s="4">
        <v>2047002</v>
      </c>
      <c r="E43" s="12" t="str">
        <f t="array" ref="E43">IF(D43:D134="","",_xlfn.XLOOKUP(D43:D134,'参照_武将'!A:A,'参照_武将'!B:B,"見つかりません"))</f>
      </c>
      <c r="F43" s="4">
        <v>53</v>
      </c>
      <c r="G43" s="12" t="str">
        <f t="array" ref="G43">IF(F43:F134="","",_xlfn.XLOOKUP(F43:F134,castles_state!A:A,castles_state!D:D,"見つかりません"))</f>
      </c>
      <c r="H43" s="4">
        <v>5000</v>
      </c>
      <c r="I43" s="4">
        <v>5000</v>
      </c>
      <c r="J43" s="4">
        <v>50</v>
      </c>
      <c r="K43" s="4">
        <v>50</v>
      </c>
      <c r="L43" s="4">
        <v>100</v>
      </c>
      <c r="M43" s="4">
        <v>100</v>
      </c>
      <c r="N43" s="4">
        <v>0</v>
      </c>
      <c r="O43" s="4">
        <v>2000</v>
      </c>
      <c r="P43" s="4">
        <v>0</v>
      </c>
      <c r="Q43" s="4">
        <v>0</v>
      </c>
      <c r="R43" s="4">
        <v>500</v>
      </c>
      <c r="S43" s="4">
        <v>500</v>
      </c>
      <c r="T43" s="4" t="inlineStr">
        <is>
          <t>宗教</t>
        </is>
      </c>
      <c r="U43" s="4"/>
      <c r="V43" s="4" t="inlineStr">
        <is>
          <t>1:友好:65|20:敵対:30</t>
        </is>
      </c>
      <c r="W43" s="4"/>
    </row>
    <row r="44" ht="15.75" customHeight="1">
      <c r="A44" s="4">
        <v>48</v>
      </c>
      <c r="B44" s="4" t="inlineStr">
        <is>
          <t>阿波足利家</t>
        </is>
      </c>
      <c r="C44" s="4" t="inlineStr">
        <is>
          <t>あしかがけ</t>
        </is>
      </c>
      <c r="D44" s="4">
        <v>1017005</v>
      </c>
      <c r="E44" s="12" t="str">
        <f t="array" ref="E44">IF(D44:D135="","",_xlfn.XLOOKUP(D44:D135,'参照_武将'!A:A,'参照_武将'!B:B,"見つかりません"))</f>
      </c>
      <c r="F44" s="4">
        <v>129</v>
      </c>
      <c r="G44" s="12" t="str">
        <f t="array" ref="G44">IF(F44:F135="","",_xlfn.XLOOKUP(F44:F135,castles_state!A:A,castles_state!D:D,"見つかりません"))</f>
      </c>
      <c r="H44" s="4">
        <v>2000</v>
      </c>
      <c r="I44" s="4">
        <v>2000</v>
      </c>
      <c r="J44" s="4">
        <v>70</v>
      </c>
      <c r="K44" s="4">
        <v>70</v>
      </c>
      <c r="L44" s="4">
        <v>70</v>
      </c>
      <c r="M44" s="4">
        <v>70</v>
      </c>
      <c r="N44" s="4">
        <v>0</v>
      </c>
      <c r="O44" s="4">
        <v>1000</v>
      </c>
      <c r="P44" s="4">
        <v>0</v>
      </c>
      <c r="Q44" s="4">
        <v>0</v>
      </c>
      <c r="R44" s="4">
        <v>400</v>
      </c>
      <c r="S44" s="4">
        <v>400</v>
      </c>
      <c r="T44" s="4" t="inlineStr">
        <is>
          <t>地縁</t>
        </is>
      </c>
      <c r="U44" s="4"/>
      <c r="V44" s="4" t="inlineStr">
        <is>
          <t>17:敵対:0|20:友好:70</t>
        </is>
      </c>
      <c r="W44" s="4"/>
    </row>
    <row r="45" ht="15.75" customHeight="1">
      <c r="A45" s="4">
        <v>49</v>
      </c>
      <c r="B45" s="4" t="inlineStr">
        <is>
          <t>後藤家</t>
        </is>
      </c>
      <c r="C45" s="4" t="inlineStr">
        <is>
          <t>ごとうけ</t>
        </is>
      </c>
      <c r="D45" s="4">
        <v>1057012</v>
      </c>
      <c r="E45" s="12" t="str">
        <f t="array" ref="E45">IF(D45:D136="","",_xlfn.XLOOKUP(D45:D136,'参照_武将'!A:A,'参照_武将'!B:B,"見つかりません"))</f>
      </c>
      <c r="F45" s="4">
        <v>154</v>
      </c>
      <c r="G45" s="12" t="str">
        <f t="array" ref="G45">IF(F45:F136="","",_xlfn.XLOOKUP(F45:F136,castles_state!A:A,castles_state!D:D,"見つかりません"))</f>
      </c>
      <c r="H45" s="4">
        <v>2000</v>
      </c>
      <c r="I45" s="4">
        <v>2000</v>
      </c>
      <c r="J45" s="4">
        <v>70</v>
      </c>
      <c r="K45" s="4">
        <v>70</v>
      </c>
      <c r="L45" s="4">
        <v>70</v>
      </c>
      <c r="M45" s="4">
        <v>70</v>
      </c>
      <c r="N45" s="4">
        <v>0</v>
      </c>
      <c r="O45" s="4">
        <v>1000</v>
      </c>
      <c r="P45" s="4">
        <v>0</v>
      </c>
      <c r="Q45" s="4">
        <v>0</v>
      </c>
      <c r="R45" s="4">
        <v>400</v>
      </c>
      <c r="S45" s="4">
        <v>400</v>
      </c>
      <c r="T45" s="4" t="inlineStr">
        <is>
          <t>地縁</t>
        </is>
      </c>
      <c r="U45" s="4"/>
      <c r="V45" s="4" t="inlineStr">
        <is>
          <t>54:友好:100|56:友好:70|57:敵対:0</t>
        </is>
      </c>
      <c r="W45" s="4"/>
    </row>
    <row r="46" ht="15.75" customHeight="1">
      <c r="A46" s="4">
        <v>50</v>
      </c>
      <c r="B46" s="4" t="inlineStr">
        <is>
          <t>吉岡家</t>
        </is>
      </c>
      <c r="C46" s="4" t="inlineStr">
        <is>
          <t>よしおかけ</t>
        </is>
      </c>
      <c r="D46" s="4">
        <v>2050001</v>
      </c>
      <c r="E46" s="12" t="str">
        <f t="array" ref="E46">IF(D46:D137="","",_xlfn.XLOOKUP(D46:D137,'参照_武将'!A:A,'参照_武将'!B:B,"見つかりません"))</f>
      </c>
      <c r="F46" s="4">
        <v>26</v>
      </c>
      <c r="G46" s="12" t="str">
        <f t="array" ref="G46">IF(F46:F137="","",_xlfn.XLOOKUP(F46:F137,castles_state!A:A,castles_state!D:D,"見つかりません"))</f>
      </c>
      <c r="H46" s="4">
        <v>2000</v>
      </c>
      <c r="I46" s="4">
        <v>2000</v>
      </c>
      <c r="J46" s="4">
        <v>70</v>
      </c>
      <c r="K46" s="4">
        <v>70</v>
      </c>
      <c r="L46" s="4">
        <v>70</v>
      </c>
      <c r="M46" s="4">
        <v>70</v>
      </c>
      <c r="N46" s="4">
        <v>0</v>
      </c>
      <c r="O46" s="4">
        <v>1000</v>
      </c>
      <c r="P46" s="4">
        <v>0</v>
      </c>
      <c r="Q46" s="4">
        <v>0</v>
      </c>
      <c r="R46" s="4">
        <v>400</v>
      </c>
      <c r="S46" s="4">
        <v>400</v>
      </c>
      <c r="T46" s="4" t="inlineStr">
        <is>
          <t>地縁</t>
        </is>
      </c>
      <c r="U46" s="4"/>
      <c r="V46" s="4" t="inlineStr">
        <is>
          <t>17:友好:70</t>
        </is>
      </c>
      <c r="W46" s="4"/>
    </row>
    <row r="47" ht="15.75" customHeight="1">
      <c r="A47" s="4">
        <v>51</v>
      </c>
      <c r="B47" s="4" t="inlineStr">
        <is>
          <t>鐘捲衆</t>
        </is>
      </c>
      <c r="C47" s="4" t="inlineStr">
        <is>
          <t>かねまきしゅう</t>
        </is>
      </c>
      <c r="D47" s="4">
        <v>2051001</v>
      </c>
      <c r="E47" s="12" t="str">
        <f t="array" ref="E47">IF(D47:D138="","",_xlfn.XLOOKUP(D47:D138,'参照_武将'!A:A,'参照_武将'!B:B,"見つかりません"))</f>
      </c>
      <c r="F47" s="4">
        <v>18</v>
      </c>
      <c r="G47" s="12" t="str">
        <f t="array" ref="G47">IF(F47:F138="","",_xlfn.XLOOKUP(F47:F138,castles_state!A:A,castles_state!D:D,"見つかりません"))</f>
      </c>
      <c r="H47" s="4">
        <v>2000</v>
      </c>
      <c r="I47" s="4">
        <v>2000</v>
      </c>
      <c r="J47" s="4">
        <v>70</v>
      </c>
      <c r="K47" s="4">
        <v>70</v>
      </c>
      <c r="L47" s="4">
        <v>70</v>
      </c>
      <c r="M47" s="4">
        <v>70</v>
      </c>
      <c r="N47" s="4">
        <v>0</v>
      </c>
      <c r="O47" s="4">
        <v>1000</v>
      </c>
      <c r="P47" s="4">
        <v>0</v>
      </c>
      <c r="Q47" s="4">
        <v>0</v>
      </c>
      <c r="R47" s="4">
        <v>400</v>
      </c>
      <c r="S47" s="4">
        <v>400</v>
      </c>
      <c r="T47" s="4" t="inlineStr">
        <is>
          <t>地縁</t>
        </is>
      </c>
      <c r="U47" s="4"/>
      <c r="V47" s="4" t="inlineStr">
        <is>
          <t>7:友好:70</t>
        </is>
      </c>
      <c r="W47" s="4"/>
    </row>
    <row r="48" ht="15.75" customHeight="1">
      <c r="A48" s="4">
        <v>52</v>
      </c>
      <c r="B48" s="4" t="inlineStr">
        <is>
          <t>羽川家</t>
        </is>
      </c>
      <c r="C48" s="4" t="inlineStr">
        <is>
          <t>はねかわけ</t>
        </is>
      </c>
      <c r="D48" s="4">
        <v>2052001</v>
      </c>
      <c r="E48" s="12" t="str">
        <f t="array" ref="E48">IF(D48:D139="","",_xlfn.XLOOKUP(D48:D139,'参照_武将'!A:A,'参照_武将'!B:B,"見つかりません"))</f>
      </c>
      <c r="F48" s="4">
        <v>243</v>
      </c>
      <c r="G48" s="12" t="str">
        <f t="array" ref="G48">IF(F48:F139="","",_xlfn.XLOOKUP(F48:F139,castles_state!A:A,castles_state!D:D,"見つかりません"))</f>
      </c>
      <c r="H48" s="4">
        <v>2000</v>
      </c>
      <c r="I48" s="4">
        <v>2000</v>
      </c>
      <c r="J48" s="4">
        <v>70</v>
      </c>
      <c r="K48" s="4">
        <v>70</v>
      </c>
      <c r="L48" s="4">
        <v>70</v>
      </c>
      <c r="M48" s="4">
        <v>70</v>
      </c>
      <c r="N48" s="4">
        <v>0</v>
      </c>
      <c r="O48" s="4">
        <v>1000</v>
      </c>
      <c r="P48" s="4">
        <v>0</v>
      </c>
      <c r="Q48" s="4">
        <v>0</v>
      </c>
      <c r="R48" s="4">
        <v>400</v>
      </c>
      <c r="S48" s="4">
        <v>400</v>
      </c>
      <c r="T48" s="4" t="inlineStr">
        <is>
          <t>地縁</t>
        </is>
      </c>
      <c r="U48" s="4"/>
      <c r="V48" s="4"/>
      <c r="W48" s="4"/>
    </row>
    <row r="49" ht="15.75" customHeight="1">
      <c r="A49" s="4">
        <v>53</v>
      </c>
      <c r="B49" s="4" t="inlineStr">
        <is>
          <t>矢島家</t>
        </is>
      </c>
      <c r="C49" s="4" t="inlineStr">
        <is>
          <t>やじまけ</t>
        </is>
      </c>
      <c r="D49" s="4">
        <v>2053001</v>
      </c>
      <c r="E49" s="12" t="str">
        <f t="array" ref="E49">IF(D49:D140="","",_xlfn.XLOOKUP(D49:D140,'参照_武将'!A:A,'参照_武将'!B:B,"見つかりません"))</f>
      </c>
      <c r="F49" s="4">
        <v>243</v>
      </c>
      <c r="G49" s="12" t="str">
        <f t="array" ref="G49">IF(F49:F140="","",_xlfn.XLOOKUP(F49:F140,castles_state!A:A,castles_state!D:D,"見つかりません"))</f>
      </c>
      <c r="H49" s="4">
        <v>2000</v>
      </c>
      <c r="I49" s="4">
        <v>2000</v>
      </c>
      <c r="J49" s="4">
        <v>70</v>
      </c>
      <c r="K49" s="4">
        <v>70</v>
      </c>
      <c r="L49" s="4">
        <v>70</v>
      </c>
      <c r="M49" s="4">
        <v>70</v>
      </c>
      <c r="N49" s="4">
        <v>0</v>
      </c>
      <c r="O49" s="4">
        <v>1000</v>
      </c>
      <c r="P49" s="4">
        <v>0</v>
      </c>
      <c r="Q49" s="4">
        <v>0</v>
      </c>
      <c r="R49" s="4">
        <v>400</v>
      </c>
      <c r="S49" s="4">
        <v>400</v>
      </c>
      <c r="T49" s="4" t="inlineStr">
        <is>
          <t>地縁</t>
        </is>
      </c>
      <c r="U49" s="4"/>
      <c r="V49" s="4" t="inlineStr">
        <is>
          <t>86:友好:100</t>
        </is>
      </c>
      <c r="W49" s="4"/>
    </row>
    <row r="50" ht="15.75" customHeight="1">
      <c r="A50" s="4">
        <v>54</v>
      </c>
      <c r="B50" s="4" t="inlineStr">
        <is>
          <t>寒河江家</t>
        </is>
      </c>
      <c r="C50" s="4" t="inlineStr">
        <is>
          <t>さがえけ</t>
        </is>
      </c>
      <c r="D50" s="4">
        <v>2054002</v>
      </c>
      <c r="E50" s="12" t="str">
        <f t="array" ref="E50">IF(D50:D141="","",_xlfn.XLOOKUP(D50:D141,'参照_武将'!A:A,'参照_武将'!B:B,"見つかりません"))</f>
      </c>
      <c r="F50" s="4">
        <v>226</v>
      </c>
      <c r="G50" s="12" t="str">
        <f t="array" ref="G50">IF(F50:F141="","",_xlfn.XLOOKUP(F50:F141,castles_state!A:A,castles_state!D:D,"見つかりません"))</f>
      </c>
      <c r="H50" s="4">
        <v>2000</v>
      </c>
      <c r="I50" s="4">
        <v>2000</v>
      </c>
      <c r="J50" s="4">
        <v>70</v>
      </c>
      <c r="K50" s="4">
        <v>70</v>
      </c>
      <c r="L50" s="4">
        <v>70</v>
      </c>
      <c r="M50" s="4">
        <v>70</v>
      </c>
      <c r="N50" s="4">
        <v>0</v>
      </c>
      <c r="O50" s="4">
        <v>1000</v>
      </c>
      <c r="P50" s="4">
        <v>0</v>
      </c>
      <c r="Q50" s="4">
        <v>0</v>
      </c>
      <c r="R50" s="4">
        <v>400</v>
      </c>
      <c r="S50" s="4">
        <v>400</v>
      </c>
      <c r="T50" s="4" t="inlineStr">
        <is>
          <t>地縁</t>
        </is>
      </c>
      <c r="U50" s="4"/>
      <c r="V50" s="4" t="inlineStr">
        <is>
          <t>89:敵対:30</t>
        </is>
      </c>
      <c r="W50" s="4"/>
    </row>
    <row r="51" ht="15.75" customHeight="1">
      <c r="A51" s="4">
        <v>55</v>
      </c>
      <c r="B51" s="4" t="inlineStr">
        <is>
          <t>和田家</t>
        </is>
      </c>
      <c r="C51" s="4" t="inlineStr">
        <is>
          <t>わだけ</t>
        </is>
      </c>
      <c r="D51" s="4">
        <v>2055001</v>
      </c>
      <c r="E51" s="12" t="str">
        <f t="array" ref="E51">IF(D51:D142="","",_xlfn.XLOOKUP(D51:D142,'参照_武将'!A:A,'参照_武将'!B:B,"見つかりません"))</f>
      </c>
      <c r="F51" s="4">
        <v>31</v>
      </c>
      <c r="G51" s="12" t="str">
        <f t="array" ref="G51">IF(F51:F142="","",_xlfn.XLOOKUP(F51:F142,castles_state!A:A,castles_state!D:D,"見つかりません"))</f>
      </c>
      <c r="H51" s="4">
        <v>2000</v>
      </c>
      <c r="I51" s="4">
        <v>2000</v>
      </c>
      <c r="J51" s="4">
        <v>70</v>
      </c>
      <c r="K51" s="4">
        <v>70</v>
      </c>
      <c r="L51" s="4">
        <v>70</v>
      </c>
      <c r="M51" s="4">
        <v>70</v>
      </c>
      <c r="N51" s="4">
        <v>0</v>
      </c>
      <c r="O51" s="4">
        <v>1000</v>
      </c>
      <c r="P51" s="4">
        <v>0</v>
      </c>
      <c r="Q51" s="4">
        <v>0</v>
      </c>
      <c r="R51" s="4">
        <v>400</v>
      </c>
      <c r="S51" s="4">
        <v>400</v>
      </c>
      <c r="T51" s="4" t="inlineStr">
        <is>
          <t>地縁</t>
        </is>
      </c>
      <c r="U51" s="4"/>
      <c r="V51" s="4" t="inlineStr">
        <is>
          <t>3:友好:100</t>
        </is>
      </c>
      <c r="W51" s="4"/>
    </row>
    <row r="52" ht="15.75" customHeight="1">
      <c r="A52" s="4">
        <v>56</v>
      </c>
      <c r="B52" s="4" t="inlineStr">
        <is>
          <t>山内家</t>
        </is>
      </c>
      <c r="C52" s="4" t="inlineStr">
        <is>
          <t>やまのうちけ</t>
        </is>
      </c>
      <c r="D52" s="4">
        <v>2056001</v>
      </c>
      <c r="E52" s="12" t="str">
        <f t="array" ref="E52">IF(D52:D143="","",_xlfn.XLOOKUP(D52:D143,'参照_武将'!A:A,'参照_武将'!B:B,"見つかりません"))</f>
      </c>
      <c r="F52" s="4">
        <v>61</v>
      </c>
      <c r="G52" s="12" t="str">
        <f t="array" ref="G52">IF(F52:F143="","",_xlfn.XLOOKUP(F52:F143,castles_state!A:A,castles_state!D:D,"見つかりません"))</f>
      </c>
      <c r="H52" s="4">
        <v>2000</v>
      </c>
      <c r="I52" s="4">
        <v>2000</v>
      </c>
      <c r="J52" s="4">
        <v>70</v>
      </c>
      <c r="K52" s="4">
        <v>70</v>
      </c>
      <c r="L52" s="4">
        <v>70</v>
      </c>
      <c r="M52" s="4">
        <v>70</v>
      </c>
      <c r="N52" s="4">
        <v>0</v>
      </c>
      <c r="O52" s="4">
        <v>1000</v>
      </c>
      <c r="P52" s="4">
        <v>0</v>
      </c>
      <c r="Q52" s="4">
        <v>0</v>
      </c>
      <c r="R52" s="4">
        <v>400</v>
      </c>
      <c r="S52" s="4">
        <v>400</v>
      </c>
      <c r="T52" s="4" t="inlineStr">
        <is>
          <t>地縁</t>
        </is>
      </c>
      <c r="U52" s="4"/>
      <c r="V52" s="4" t="inlineStr">
        <is>
          <t>33:友好:100</t>
        </is>
      </c>
      <c r="W52" s="4"/>
    </row>
    <row r="53" ht="15.75" customHeight="1">
      <c r="A53" s="4">
        <v>57</v>
      </c>
      <c r="B53" s="4" t="inlineStr">
        <is>
          <t>温井家</t>
        </is>
      </c>
      <c r="C53" s="4" t="inlineStr">
        <is>
          <t>ぬくいけ</t>
        </is>
      </c>
      <c r="D53" s="4">
        <v>2057006</v>
      </c>
      <c r="E53" s="12" t="str">
        <f t="array" ref="E53">IF(D53:D144="","",_xlfn.XLOOKUP(D53:D144,'参照_武将'!A:A,'参照_武将'!B:B,"見つかりません"))</f>
      </c>
      <c r="F53" s="4">
        <v>19</v>
      </c>
      <c r="G53" s="12" t="str">
        <f t="array" ref="G53">IF(F53:F144="","",_xlfn.XLOOKUP(F53:F144,castles_state!A:A,castles_state!D:D,"見つかりません"))</f>
      </c>
      <c r="H53" s="4">
        <v>4000</v>
      </c>
      <c r="I53" s="4">
        <v>4000</v>
      </c>
      <c r="J53" s="4">
        <v>50</v>
      </c>
      <c r="K53" s="4">
        <v>50</v>
      </c>
      <c r="L53" s="4">
        <v>100</v>
      </c>
      <c r="M53" s="4">
        <v>100</v>
      </c>
      <c r="N53" s="4">
        <v>0</v>
      </c>
      <c r="O53" s="4">
        <v>500</v>
      </c>
      <c r="P53" s="4">
        <v>0</v>
      </c>
      <c r="Q53" s="4">
        <v>1000</v>
      </c>
      <c r="R53" s="4">
        <v>500</v>
      </c>
      <c r="S53" s="4">
        <v>500</v>
      </c>
      <c r="T53" s="4" t="inlineStr">
        <is>
          <t>宗教</t>
        </is>
      </c>
      <c r="U53" s="4"/>
      <c r="V53" s="4" t="inlineStr">
        <is>
          <t>8:友好:100|19:友好:90</t>
        </is>
      </c>
      <c r="W53" s="4"/>
    </row>
    <row r="54" ht="15.75" customHeight="1">
      <c r="A54" s="4">
        <v>58</v>
      </c>
      <c r="B54" s="4" t="inlineStr">
        <is>
          <t>赤星家</t>
        </is>
      </c>
      <c r="C54" s="4" t="inlineStr">
        <is>
          <t>あかほしけ</t>
        </is>
      </c>
      <c r="D54" s="4">
        <v>2058002</v>
      </c>
      <c r="E54" s="12" t="str">
        <f t="array" ref="E54">IF(D54:D145="","",_xlfn.XLOOKUP(D54:D145,'参照_武将'!A:A,'参照_武将'!B:B,"見つかりません"))</f>
      </c>
      <c r="F54" s="4">
        <v>158</v>
      </c>
      <c r="G54" s="12" t="str">
        <f t="array" ref="G54">IF(F54:F145="","",_xlfn.XLOOKUP(F54:F145,castles_state!A:A,castles_state!D:D,"見つかりません"))</f>
      </c>
      <c r="H54" s="4">
        <v>2000</v>
      </c>
      <c r="I54" s="4">
        <v>2000</v>
      </c>
      <c r="J54" s="4">
        <v>70</v>
      </c>
      <c r="K54" s="4">
        <v>70</v>
      </c>
      <c r="L54" s="4">
        <v>70</v>
      </c>
      <c r="M54" s="4">
        <v>70</v>
      </c>
      <c r="N54" s="4">
        <v>0</v>
      </c>
      <c r="O54" s="4">
        <v>1000</v>
      </c>
      <c r="P54" s="4">
        <v>0</v>
      </c>
      <c r="Q54" s="4">
        <v>0</v>
      </c>
      <c r="R54" s="4">
        <v>400</v>
      </c>
      <c r="S54" s="4">
        <v>400</v>
      </c>
      <c r="T54" s="4" t="inlineStr">
        <is>
          <t>地縁</t>
        </is>
      </c>
      <c r="U54" s="4"/>
      <c r="V54" s="4" t="inlineStr">
        <is>
          <t>53:友好:100</t>
        </is>
      </c>
      <c r="W54" s="4"/>
    </row>
    <row r="55" ht="15.75" customHeight="1">
      <c r="A55" s="4">
        <v>59</v>
      </c>
      <c r="B55" s="4" t="inlineStr">
        <is>
          <t>原田家</t>
        </is>
      </c>
      <c r="C55" s="4" t="inlineStr">
        <is>
          <t>はらだけ</t>
        </is>
      </c>
      <c r="D55" s="4">
        <v>2059001</v>
      </c>
      <c r="E55" s="12" t="str">
        <f t="array" ref="E55">IF(D55:D146="","",_xlfn.XLOOKUP(D55:D146,'参照_武将'!A:A,'参照_武将'!B:B,"見つかりません"))</f>
      </c>
      <c r="F55" s="4">
        <v>148</v>
      </c>
      <c r="G55" s="12" t="str">
        <f t="array" ref="G55">IF(F55:F146="","",_xlfn.XLOOKUP(F55:F146,castles_state!A:A,castles_state!D:D,"見つかりません"))</f>
      </c>
      <c r="H55" s="4">
        <v>2000</v>
      </c>
      <c r="I55" s="4">
        <v>2000</v>
      </c>
      <c r="J55" s="4">
        <v>70</v>
      </c>
      <c r="K55" s="4">
        <v>70</v>
      </c>
      <c r="L55" s="4">
        <v>70</v>
      </c>
      <c r="M55" s="4">
        <v>70</v>
      </c>
      <c r="N55" s="4">
        <v>0</v>
      </c>
      <c r="O55" s="4">
        <v>1000</v>
      </c>
      <c r="P55" s="4">
        <v>0</v>
      </c>
      <c r="Q55" s="4">
        <v>0</v>
      </c>
      <c r="R55" s="4">
        <v>400</v>
      </c>
      <c r="S55" s="4">
        <v>400</v>
      </c>
      <c r="T55" s="4" t="inlineStr">
        <is>
          <t>地縁</t>
        </is>
      </c>
      <c r="U55" s="4"/>
      <c r="V55" s="4" t="inlineStr">
        <is>
          <t>53:友好:85</t>
        </is>
      </c>
      <c r="W55" s="4"/>
    </row>
    <row r="56" ht="15.75" customHeight="1">
      <c r="A56" s="4">
        <v>60</v>
      </c>
      <c r="B56" s="4" t="inlineStr">
        <is>
          <t>来島衆</t>
        </is>
      </c>
      <c r="C56" s="4" t="inlineStr">
        <is>
          <t>くるしましゅう</t>
        </is>
      </c>
      <c r="D56" s="4">
        <v>2060005</v>
      </c>
      <c r="E56" s="12" t="str">
        <f t="array" ref="E56">IF(D56:D147="","",_xlfn.XLOOKUP(D56:D147,'参照_武将'!A:A,'参照_武将'!B:B,"見つかりません"))</f>
      </c>
      <c r="F56" s="4">
        <v>175</v>
      </c>
      <c r="G56" s="12" t="str">
        <f t="array" ref="G56">IF(F56:F147="","",_xlfn.XLOOKUP(F56:F147,castles_state!A:A,castles_state!D:D,"見つかりません"))</f>
      </c>
      <c r="H56" s="4">
        <v>4000</v>
      </c>
      <c r="I56" s="4">
        <v>4000</v>
      </c>
      <c r="J56" s="4">
        <v>90</v>
      </c>
      <c r="K56" s="4">
        <v>90</v>
      </c>
      <c r="L56" s="4">
        <v>80</v>
      </c>
      <c r="M56" s="4">
        <v>80</v>
      </c>
      <c r="N56" s="4">
        <v>0</v>
      </c>
      <c r="O56" s="4">
        <v>500</v>
      </c>
      <c r="P56" s="4">
        <v>0</v>
      </c>
      <c r="Q56" s="4">
        <v>1500</v>
      </c>
      <c r="R56" s="4">
        <v>700</v>
      </c>
      <c r="S56" s="4">
        <v>700</v>
      </c>
      <c r="T56" s="4" t="inlineStr">
        <is>
          <t>傭兵</t>
        </is>
      </c>
      <c r="U56" s="4"/>
      <c r="V56" s="4" t="inlineStr">
        <is>
          <t>25:友好:85|49:友好:100</t>
        </is>
      </c>
      <c r="W56" s="4"/>
    </row>
    <row r="57" ht="15.75" customHeight="1">
      <c r="A57" s="4">
        <v>61</v>
      </c>
      <c r="B57" s="4" t="inlineStr">
        <is>
          <t>因島衆</t>
        </is>
      </c>
      <c r="C57" s="4" t="inlineStr">
        <is>
          <t>いんのしましゅう</t>
        </is>
      </c>
      <c r="D57" s="4">
        <v>2061007</v>
      </c>
      <c r="E57" s="12" t="str">
        <f t="array" ref="E57">IF(D57:D148="","",_xlfn.XLOOKUP(D57:D148,'参照_武将'!A:A,'参照_武将'!B:B,"見つかりません"))</f>
      </c>
      <c r="F57" s="4">
        <v>175</v>
      </c>
      <c r="G57" s="12" t="str">
        <f t="array" ref="G57">IF(F57:F148="","",_xlfn.XLOOKUP(F57:F148,castles_state!A:A,castles_state!D:D,"見つかりません"))</f>
      </c>
      <c r="H57" s="4">
        <v>4000</v>
      </c>
      <c r="I57" s="4">
        <v>4000</v>
      </c>
      <c r="J57" s="4">
        <v>90</v>
      </c>
      <c r="K57" s="4">
        <v>90</v>
      </c>
      <c r="L57" s="4">
        <v>80</v>
      </c>
      <c r="M57" s="4">
        <v>80</v>
      </c>
      <c r="N57" s="4">
        <v>0</v>
      </c>
      <c r="O57" s="4">
        <v>500</v>
      </c>
      <c r="P57" s="4">
        <v>0</v>
      </c>
      <c r="Q57" s="4">
        <v>1500</v>
      </c>
      <c r="R57" s="4">
        <v>700</v>
      </c>
      <c r="S57" s="4">
        <v>700</v>
      </c>
      <c r="T57" s="4" t="inlineStr">
        <is>
          <t>傭兵</t>
        </is>
      </c>
      <c r="U57" s="4"/>
      <c r="V57" s="4" t="inlineStr">
        <is>
          <t>25:友好:100|49:友好:85</t>
        </is>
      </c>
      <c r="W57" s="4"/>
    </row>
    <row r="58" ht="15.75" customHeight="1">
      <c r="A58" s="4">
        <v>62</v>
      </c>
      <c r="B58" s="4" t="inlineStr">
        <is>
          <t>滝野家</t>
        </is>
      </c>
      <c r="C58" s="4" t="inlineStr">
        <is>
          <t>たきのけ</t>
        </is>
      </c>
      <c r="D58" s="4">
        <v>2062001</v>
      </c>
      <c r="E58" s="12" t="str">
        <f t="array" ref="E58">IF(D58:D149="","",_xlfn.XLOOKUP(D58:D149,'参照_武将'!A:A,'参照_武将'!B:B,"見つかりません"))</f>
      </c>
      <c r="F58" s="4">
        <v>80</v>
      </c>
      <c r="G58" s="12" t="str">
        <f t="array" ref="G58">IF(F58:F149="","",_xlfn.XLOOKUP(F58:F149,castles_state!A:A,castles_state!D:D,"見つかりません"))</f>
      </c>
      <c r="H58" s="4">
        <v>2000</v>
      </c>
      <c r="I58" s="4">
        <v>2000</v>
      </c>
      <c r="J58" s="4">
        <v>70</v>
      </c>
      <c r="K58" s="4">
        <v>70</v>
      </c>
      <c r="L58" s="4">
        <v>70</v>
      </c>
      <c r="M58" s="4">
        <v>70</v>
      </c>
      <c r="N58" s="4">
        <v>0</v>
      </c>
      <c r="O58" s="4">
        <v>1000</v>
      </c>
      <c r="P58" s="4">
        <v>0</v>
      </c>
      <c r="Q58" s="4">
        <v>0</v>
      </c>
      <c r="R58" s="4">
        <v>400</v>
      </c>
      <c r="S58" s="4">
        <v>400</v>
      </c>
      <c r="T58" s="4" t="inlineStr">
        <is>
          <t>地縁</t>
        </is>
      </c>
      <c r="U58" s="4"/>
      <c r="V58" s="4"/>
      <c r="W58" s="4"/>
    </row>
    <row r="59" ht="15.75" customHeight="1">
      <c r="A59" s="4">
        <v>63</v>
      </c>
      <c r="B59" s="4" t="inlineStr">
        <is>
          <t>寺崎家</t>
        </is>
      </c>
      <c r="C59" s="4" t="inlineStr">
        <is>
          <t>てらさきけ</t>
        </is>
      </c>
      <c r="D59" s="4">
        <v>2063002</v>
      </c>
      <c r="E59" s="12" t="str">
        <f t="array" ref="E59">IF(D59:D150="","",_xlfn.XLOOKUP(D59:D150,'参照_武将'!A:A,'参照_武将'!B:B,"見つかりません"))</f>
      </c>
      <c r="F59" s="4">
        <v>24</v>
      </c>
      <c r="G59" s="12" t="str">
        <f t="array" ref="G59">IF(F59:F150="","",_xlfn.XLOOKUP(F59:F150,castles_state!A:A,castles_state!D:D,"見つかりません"))</f>
      </c>
      <c r="H59" s="4">
        <v>2000</v>
      </c>
      <c r="I59" s="4">
        <v>2000</v>
      </c>
      <c r="J59" s="4">
        <v>70</v>
      </c>
      <c r="K59" s="4">
        <v>70</v>
      </c>
      <c r="L59" s="4">
        <v>70</v>
      </c>
      <c r="M59" s="4">
        <v>70</v>
      </c>
      <c r="N59" s="4">
        <v>0</v>
      </c>
      <c r="O59" s="4">
        <v>1000</v>
      </c>
      <c r="P59" s="4">
        <v>0</v>
      </c>
      <c r="Q59" s="4">
        <v>0</v>
      </c>
      <c r="R59" s="4">
        <v>400</v>
      </c>
      <c r="S59" s="4">
        <v>400</v>
      </c>
      <c r="T59" s="4" t="inlineStr">
        <is>
          <t>地縁</t>
        </is>
      </c>
      <c r="U59" s="4"/>
      <c r="V59" s="4" t="inlineStr">
        <is>
          <t>2:友好:90</t>
        </is>
      </c>
      <c r="W59" s="4"/>
    </row>
    <row r="60" ht="15.75" customHeight="1">
      <c r="A60" s="4">
        <v>64</v>
      </c>
      <c r="B60" s="23" t="inlineStr">
        <is>
          <t>土気酒井家</t>
        </is>
      </c>
      <c r="C60" s="23" t="inlineStr">
        <is>
          <t>とけさかいけ</t>
        </is>
      </c>
      <c r="D60" s="4">
        <v>2064004</v>
      </c>
      <c r="E60" s="12" t="str">
        <f t="array" ref="E60">IF(D60:D151="","",_xlfn.XLOOKUP(D60:D151,'参照_武将'!A:A,'参照_武将'!B:B,"見つかりません"))</f>
      </c>
      <c r="F60" s="4">
        <v>252</v>
      </c>
      <c r="G60" s="12" t="str">
        <f t="array" ref="G60">IF(F60:F151="","",_xlfn.XLOOKUP(F60:F151,castles_state!A:A,castles_state!D:D,"見つかりません"))</f>
      </c>
      <c r="H60" s="4">
        <v>2000</v>
      </c>
      <c r="I60" s="4">
        <v>2000</v>
      </c>
      <c r="J60" s="4">
        <v>70</v>
      </c>
      <c r="K60" s="4">
        <v>70</v>
      </c>
      <c r="L60" s="4">
        <v>70</v>
      </c>
      <c r="M60" s="4">
        <v>70</v>
      </c>
      <c r="N60" s="4">
        <v>0</v>
      </c>
      <c r="O60" s="4">
        <v>1000</v>
      </c>
      <c r="P60" s="4">
        <v>0</v>
      </c>
      <c r="Q60" s="4">
        <v>0</v>
      </c>
      <c r="R60" s="4">
        <v>400</v>
      </c>
      <c r="S60" s="4">
        <v>400</v>
      </c>
      <c r="T60" s="4" t="inlineStr">
        <is>
          <t>地縁</t>
        </is>
      </c>
      <c r="U60" s="4"/>
      <c r="V60" s="4" t="inlineStr">
        <is>
          <t>27:友好:100|4:敵対:0</t>
        </is>
      </c>
      <c r="W60" s="4"/>
    </row>
    <row r="61" ht="15.75" customHeight="1">
      <c r="A61" s="4">
        <v>65</v>
      </c>
      <c r="B61" s="4" t="inlineStr">
        <is>
          <t>東金酒井家</t>
        </is>
      </c>
      <c r="C61" s="4" t="inlineStr">
        <is>
          <t>とうがねさかいけ</t>
        </is>
      </c>
      <c r="D61" s="4">
        <v>2065003</v>
      </c>
      <c r="E61" s="12" t="str">
        <f t="array" ref="E61">IF(D61:D152="","",_xlfn.XLOOKUP(D61:D152,'参照_武将'!A:A,'参照_武将'!B:B,"見つかりません"))</f>
      </c>
      <c r="F61" s="4">
        <v>252</v>
      </c>
      <c r="G61" s="12" t="str">
        <f t="array" ref="G61">IF(F61:F152="","",_xlfn.XLOOKUP(F61:F152,castles_state!A:A,castles_state!D:D,"見つかりません"))</f>
      </c>
      <c r="H61" s="4">
        <v>2000</v>
      </c>
      <c r="I61" s="4">
        <v>2000</v>
      </c>
      <c r="J61" s="4">
        <v>70</v>
      </c>
      <c r="K61" s="4">
        <v>70</v>
      </c>
      <c r="L61" s="4">
        <v>70</v>
      </c>
      <c r="M61" s="4">
        <v>70</v>
      </c>
      <c r="N61" s="4">
        <v>0</v>
      </c>
      <c r="O61" s="4">
        <v>1000</v>
      </c>
      <c r="P61" s="4">
        <v>0</v>
      </c>
      <c r="Q61" s="4">
        <v>0</v>
      </c>
      <c r="R61" s="4">
        <v>400</v>
      </c>
      <c r="S61" s="4">
        <v>400</v>
      </c>
      <c r="T61" s="4" t="inlineStr">
        <is>
          <t>地縁</t>
        </is>
      </c>
      <c r="U61" s="4"/>
      <c r="V61" s="4" t="inlineStr">
        <is>
          <t>27:友好:100|4:敵対:0</t>
        </is>
      </c>
      <c r="W61" s="4"/>
    </row>
    <row r="62" ht="15.75" customHeight="1">
      <c r="A62" s="4">
        <v>66</v>
      </c>
      <c r="B62" s="4" t="inlineStr">
        <is>
          <t>山川家</t>
        </is>
      </c>
      <c r="C62" s="4" t="inlineStr">
        <is>
          <t>やまかわけ</t>
        </is>
      </c>
      <c r="D62" s="4">
        <v>2066001</v>
      </c>
      <c r="E62" s="12" t="str">
        <f t="array" ref="E62">IF(D62:D153="","",_xlfn.XLOOKUP(D62:D153,'参照_武将'!A:A,'参照_武将'!B:B,"見つかりません"))</f>
      </c>
      <c r="F62" s="4">
        <v>131</v>
      </c>
      <c r="G62" s="12" t="str">
        <f t="array" ref="G62">IF(F62:F153="","",_xlfn.XLOOKUP(F62:F153,castles_state!A:A,castles_state!D:D,"見つかりません"))</f>
      </c>
      <c r="H62" s="4">
        <v>2000</v>
      </c>
      <c r="I62" s="4">
        <v>2000</v>
      </c>
      <c r="J62" s="4">
        <v>70</v>
      </c>
      <c r="K62" s="4">
        <v>70</v>
      </c>
      <c r="L62" s="4">
        <v>70</v>
      </c>
      <c r="M62" s="4">
        <v>70</v>
      </c>
      <c r="N62" s="4">
        <v>0</v>
      </c>
      <c r="O62" s="4">
        <v>1000</v>
      </c>
      <c r="P62" s="4">
        <v>0</v>
      </c>
      <c r="Q62" s="4">
        <v>0</v>
      </c>
      <c r="R62" s="4">
        <v>400</v>
      </c>
      <c r="S62" s="4">
        <v>400</v>
      </c>
      <c r="T62" s="4" t="inlineStr">
        <is>
          <t>地縁</t>
        </is>
      </c>
      <c r="U62" s="4"/>
      <c r="V62" s="4" t="inlineStr">
        <is>
          <t>64:友好:100</t>
        </is>
      </c>
      <c r="W62" s="4"/>
    </row>
    <row r="63" ht="15.75" customHeight="1">
      <c r="A63" s="4">
        <v>71</v>
      </c>
      <c r="B63" s="4" t="inlineStr">
        <is>
          <t>筒井家</t>
        </is>
      </c>
      <c r="C63" s="4" t="inlineStr">
        <is>
          <t>つついけ</t>
        </is>
      </c>
      <c r="D63" s="4">
        <v>1009003</v>
      </c>
      <c r="E63" s="12" t="str">
        <f t="array" ref="E63">IF(D63:D154="","",_xlfn.XLOOKUP(D63:D154,'参照_武将'!A:A,'参照_武将'!B:B,"見つかりません"))</f>
      </c>
      <c r="F63" s="4">
        <v>53</v>
      </c>
      <c r="G63" s="12" t="str">
        <f t="array" ref="G63">IF(F63:F154="","",_xlfn.XLOOKUP(F63:F154,castles_state!A:A,castles_state!D:D,"見つかりません"))</f>
      </c>
      <c r="H63" s="4">
        <v>3200</v>
      </c>
      <c r="I63" s="4">
        <v>2800</v>
      </c>
      <c r="J63" s="4">
        <v>72</v>
      </c>
      <c r="K63" s="4">
        <v>72</v>
      </c>
      <c r="L63" s="4">
        <v>72</v>
      </c>
      <c r="M63" s="4">
        <v>72</v>
      </c>
      <c r="N63" s="4">
        <v>250</v>
      </c>
      <c r="O63" s="4">
        <v>700</v>
      </c>
      <c r="P63" s="4">
        <v>120</v>
      </c>
      <c r="Q63" s="4">
        <v>450</v>
      </c>
      <c r="R63" s="4">
        <v>550</v>
      </c>
      <c r="S63" s="4">
        <v>650</v>
      </c>
      <c r="T63" s="4" t="inlineStr">
        <is>
          <t>地縁</t>
        </is>
      </c>
      <c r="U63" s="4" t="inlineStr">
        <is>
          <t>大和</t>
        </is>
      </c>
      <c r="V63" s="4" t="inlineStr">
        <is>
          <t>1:敵対:30|20:友好:60</t>
        </is>
      </c>
      <c r="W63" s="4"/>
    </row>
    <row r="64" ht="15.75" customHeight="1">
      <c r="A64" s="4">
        <v>801</v>
      </c>
      <c r="B64" s="4" t="inlineStr">
        <is>
          <t>小畠家</t>
        </is>
      </c>
      <c r="C64" s="4" t="inlineStr">
        <is>
          <t>こばたけけ</t>
        </is>
      </c>
      <c r="D64" s="4">
        <v>2801001</v>
      </c>
      <c r="E64" s="12" t="str">
        <f t="array" ref="E64">IF(D64:D155="","",_xlfn.XLOOKUP(D64:D155,'参照_武将'!A:A,'参照_武将'!B:B,"見つかりません"))</f>
      </c>
      <c r="F64" s="4">
        <v>179</v>
      </c>
      <c r="G64" s="12" t="str">
        <f t="array" ref="G64">IF(F64:F155="","",_xlfn.XLOOKUP(F64:F155,castles_state!A:A,castles_state!D:D,"見つかりません"))</f>
      </c>
      <c r="H64" s="4">
        <v>3000</v>
      </c>
      <c r="I64" s="4">
        <v>3000</v>
      </c>
      <c r="J64" s="4">
        <v>70</v>
      </c>
      <c r="K64" s="4">
        <v>70</v>
      </c>
      <c r="L64" s="4">
        <v>70</v>
      </c>
      <c r="M64" s="4">
        <v>70</v>
      </c>
      <c r="N64" s="4">
        <v>0</v>
      </c>
      <c r="O64" s="4">
        <v>1500</v>
      </c>
      <c r="P64" s="4">
        <v>0</v>
      </c>
      <c r="Q64" s="4">
        <v>0</v>
      </c>
      <c r="R64" s="4">
        <v>500</v>
      </c>
      <c r="S64" s="4">
        <v>500</v>
      </c>
      <c r="T64" s="4" t="inlineStr">
        <is>
          <t>地縁</t>
        </is>
      </c>
      <c r="U64" s="4"/>
      <c r="V64" s="4"/>
      <c r="W64" s="4"/>
    </row>
    <row r="65" ht="15.75" customHeight="1">
      <c r="A65" s="4">
        <v>802</v>
      </c>
      <c r="B65" s="4" t="inlineStr">
        <is>
          <t>四王天家</t>
        </is>
      </c>
      <c r="C65" s="4" t="inlineStr">
        <is>
          <t>しおうてんけ</t>
        </is>
      </c>
      <c r="D65" s="4">
        <v>2802001</v>
      </c>
      <c r="E65" s="12" t="str">
        <f t="array" ref="E65">IF(D65:D156="","",_xlfn.XLOOKUP(D65:D156,'参照_武将'!A:A,'参照_武将'!B:B,"見つかりません"))</f>
      </c>
      <c r="F65" s="4">
        <v>83</v>
      </c>
      <c r="G65" s="12" t="str">
        <f t="array" ref="G65">IF(F65:F156="","",_xlfn.XLOOKUP(F65:F156,castles_state!A:A,castles_state!D:D,"見つかりません"))</f>
      </c>
      <c r="H65" s="4">
        <v>3000</v>
      </c>
      <c r="I65" s="4">
        <v>3000</v>
      </c>
      <c r="J65" s="4">
        <v>70</v>
      </c>
      <c r="K65" s="4">
        <v>70</v>
      </c>
      <c r="L65" s="4">
        <v>70</v>
      </c>
      <c r="M65" s="4">
        <v>70</v>
      </c>
      <c r="N65" s="4">
        <v>0</v>
      </c>
      <c r="O65" s="4">
        <v>1500</v>
      </c>
      <c r="P65" s="4">
        <v>0</v>
      </c>
      <c r="Q65" s="4">
        <v>0</v>
      </c>
      <c r="R65" s="4">
        <v>500</v>
      </c>
      <c r="S65" s="4">
        <v>500</v>
      </c>
      <c r="T65" s="4" t="inlineStr">
        <is>
          <t>地縁</t>
        </is>
      </c>
      <c r="U65" s="4"/>
      <c r="V65" s="4"/>
      <c r="W65" s="4"/>
    </row>
    <row r="66" ht="15.75" customHeight="1">
      <c r="A66" s="4">
        <v>803</v>
      </c>
      <c r="B66" s="4" t="inlineStr">
        <is>
          <t>並河家</t>
        </is>
      </c>
      <c r="C66" s="4" t="inlineStr">
        <is>
          <t>なみかわけ</t>
        </is>
      </c>
      <c r="D66" s="4">
        <v>2803002</v>
      </c>
      <c r="E66" s="12" t="str">
        <f t="array" ref="E66">IF(D66:D157="","",_xlfn.XLOOKUP(D66:D157,'参照_武将'!A:A,'参照_武将'!B:B,"見つかりません"))</f>
      </c>
      <c r="F66" s="4">
        <v>22</v>
      </c>
      <c r="G66" s="12" t="str">
        <f t="array" ref="G66">IF(F66:F157="","",_xlfn.XLOOKUP(F66:F157,castles_state!A:A,castles_state!D:D,"見つかりません"))</f>
      </c>
      <c r="H66" s="4">
        <v>3000</v>
      </c>
      <c r="I66" s="4">
        <v>3000</v>
      </c>
      <c r="J66" s="4">
        <v>70</v>
      </c>
      <c r="K66" s="4">
        <v>70</v>
      </c>
      <c r="L66" s="4">
        <v>70</v>
      </c>
      <c r="M66" s="4">
        <v>70</v>
      </c>
      <c r="N66" s="4">
        <v>0</v>
      </c>
      <c r="O66" s="4">
        <v>1500</v>
      </c>
      <c r="P66" s="4">
        <v>0</v>
      </c>
      <c r="Q66" s="4">
        <v>0</v>
      </c>
      <c r="R66" s="4">
        <v>500</v>
      </c>
      <c r="S66" s="4">
        <v>500</v>
      </c>
      <c r="T66" s="4" t="inlineStr">
        <is>
          <t>地縁</t>
        </is>
      </c>
      <c r="U66" s="4"/>
      <c r="V66" s="4"/>
      <c r="W66" s="4"/>
    </row>
    <row r="67" ht="15.75" customHeight="1">
      <c r="A67" s="4">
        <v>901</v>
      </c>
      <c r="B67" s="4" t="inlineStr">
        <is>
          <t>京町衆</t>
        </is>
      </c>
      <c r="C67" s="4" t="inlineStr">
        <is>
          <t>きょうまちしゅう</t>
        </is>
      </c>
      <c r="D67" s="4">
        <v>2901001</v>
      </c>
      <c r="E67" s="12" t="str">
        <f t="array" ref="E67">IF(D67:D158="","",_xlfn.XLOOKUP(D67:D158,'参照_武将'!A:A,'参照_武将'!B:B,"見つかりません"))</f>
      </c>
      <c r="F67" s="4">
        <v>26</v>
      </c>
      <c r="G67" s="12" t="str">
        <f t="array" ref="G67">IF(F67:F158="","",_xlfn.XLOOKUP(F67:F158,castles_state!A:A,castles_state!D:D,"見つかりません"))</f>
      </c>
      <c r="H67" s="4">
        <v>10000</v>
      </c>
      <c r="I67" s="4">
        <v>10000</v>
      </c>
      <c r="J67" s="4">
        <v>70</v>
      </c>
      <c r="K67" s="4">
        <v>70</v>
      </c>
      <c r="L67" s="4">
        <v>70</v>
      </c>
      <c r="M67" s="4">
        <v>70</v>
      </c>
      <c r="N67" s="4">
        <v>0</v>
      </c>
      <c r="O67" s="4">
        <v>0</v>
      </c>
      <c r="P67" s="4">
        <v>0</v>
      </c>
      <c r="Q67" s="4">
        <v>0</v>
      </c>
      <c r="R67" s="4">
        <v>1000</v>
      </c>
      <c r="S67" s="4">
        <v>1000</v>
      </c>
      <c r="T67" s="4" t="inlineStr">
        <is>
          <t>商人</t>
        </is>
      </c>
      <c r="U67" s="4"/>
      <c r="V67" s="4"/>
      <c r="W67" s="4"/>
    </row>
    <row r="68" ht="15.75" customHeight="1">
      <c r="A68" s="4">
        <v>902</v>
      </c>
      <c r="B68" s="4" t="inlineStr">
        <is>
          <t>堺町衆</t>
        </is>
      </c>
      <c r="C68" s="4" t="inlineStr">
        <is>
          <t>さかいまちしゅう</t>
        </is>
      </c>
      <c r="D68" s="4">
        <v>2902001</v>
      </c>
      <c r="E68" s="12" t="str">
        <f t="array" ref="E68">IF(D68:D159="","",_xlfn.XLOOKUP(D68:D159,'参照_武将'!A:A,'参照_武将'!B:B,"見つかりません"))</f>
      </c>
      <c r="F68" s="4">
        <v>33</v>
      </c>
      <c r="G68" s="12" t="str">
        <f t="array" ref="G68">IF(F68:F159="","",_xlfn.XLOOKUP(F68:F159,castles_state!A:A,castles_state!D:D,"見つかりません"))</f>
      </c>
      <c r="H68" s="4">
        <v>10000</v>
      </c>
      <c r="I68" s="4">
        <v>10000</v>
      </c>
      <c r="J68" s="4">
        <v>70</v>
      </c>
      <c r="K68" s="4">
        <v>70</v>
      </c>
      <c r="L68" s="4">
        <v>70</v>
      </c>
      <c r="M68" s="4">
        <v>70</v>
      </c>
      <c r="N68" s="4">
        <v>0</v>
      </c>
      <c r="O68" s="4">
        <v>0</v>
      </c>
      <c r="P68" s="4">
        <v>0</v>
      </c>
      <c r="Q68" s="4">
        <v>0</v>
      </c>
      <c r="R68" s="4">
        <v>1000</v>
      </c>
      <c r="S68" s="4">
        <v>1000</v>
      </c>
      <c r="T68" s="4" t="inlineStr">
        <is>
          <t>商人</t>
        </is>
      </c>
      <c r="U68" s="4"/>
      <c r="V68" s="4"/>
      <c r="W68" s="4"/>
    </row>
    <row r="69" ht="15.75" customHeight="1">
      <c r="A69" s="4">
        <v>903</v>
      </c>
      <c r="B69" s="4" t="inlineStr">
        <is>
          <t>博多町衆</t>
        </is>
      </c>
      <c r="C69" s="4" t="inlineStr">
        <is>
          <t>はかたまちしゅう</t>
        </is>
      </c>
      <c r="D69" s="4">
        <v>2903001</v>
      </c>
      <c r="E69" s="12" t="str">
        <f t="array" ref="E69">IF(D69:D160="","",_xlfn.XLOOKUP(D69:D160,'参照_武将'!A:A,'参照_武将'!B:B,"見つかりません"))</f>
      </c>
      <c r="F69" s="4">
        <v>148</v>
      </c>
      <c r="G69" s="12" t="str">
        <f t="array" ref="G69">IF(F69:F160="","",_xlfn.XLOOKUP(F69:F160,castles_state!A:A,castles_state!D:D,"見つかりません"))</f>
      </c>
      <c r="H69" s="4">
        <v>10000</v>
      </c>
      <c r="I69" s="4">
        <v>10000</v>
      </c>
      <c r="J69" s="4">
        <v>70</v>
      </c>
      <c r="K69" s="4">
        <v>70</v>
      </c>
      <c r="L69" s="4">
        <v>70</v>
      </c>
      <c r="M69" s="4">
        <v>70</v>
      </c>
      <c r="N69" s="4">
        <v>0</v>
      </c>
      <c r="O69" s="4">
        <v>0</v>
      </c>
      <c r="P69" s="4">
        <v>0</v>
      </c>
      <c r="Q69" s="4">
        <v>0</v>
      </c>
      <c r="R69" s="4">
        <v>1000</v>
      </c>
      <c r="S69" s="4">
        <v>1000</v>
      </c>
      <c r="T69" s="4" t="inlineStr">
        <is>
          <t>商人</t>
        </is>
      </c>
      <c r="U69" s="4"/>
      <c r="V69" s="4"/>
      <c r="W69" s="4"/>
    </row>
    <row r="70" ht="15.75" customHeight="1">
      <c r="A70" s="4">
        <v>72</v>
      </c>
      <c r="B70" s="4" t="inlineStr">
        <is>
          <t>椎名家</t>
        </is>
      </c>
      <c r="C70" s="4" t="inlineStr">
        <is>
          <t>しいなけ</t>
        </is>
      </c>
      <c r="D70" s="4">
        <v>1001043</v>
      </c>
      <c r="E70" s="12" t="str">
        <f t="array" ref="E70">IF(D70:D161="","",_xlfn.XLOOKUP(D70:D161,'参照_武将'!A:A,'参照_武将'!B:B,"見つかりません"))</f>
      </c>
      <c r="F70" s="4">
        <v>242</v>
      </c>
      <c r="G70" s="12" t="str">
        <f t="array" ref="G70">IF(F70:F161="","",_xlfn.XLOOKUP(F70:F161,castles_state!A:A,castles_state!D:D,"見つかりません"))</f>
      </c>
      <c r="H70" s="4">
        <v>3000</v>
      </c>
      <c r="I70" s="4">
        <v>2500</v>
      </c>
      <c r="J70" s="4">
        <v>75</v>
      </c>
      <c r="K70" s="4">
        <v>75</v>
      </c>
      <c r="L70" s="4">
        <v>75</v>
      </c>
      <c r="M70" s="4">
        <v>75</v>
      </c>
      <c r="N70" s="4">
        <v>200</v>
      </c>
      <c r="O70" s="4">
        <v>700</v>
      </c>
      <c r="P70" s="4">
        <v>0</v>
      </c>
      <c r="Q70" s="4">
        <v>300</v>
      </c>
      <c r="R70" s="4">
        <v>400</v>
      </c>
      <c r="S70" s="4">
        <v>500</v>
      </c>
      <c r="T70" s="4" t="inlineStr">
        <is>
          <t>地縁</t>
        </is>
      </c>
      <c r="U70" s="4"/>
      <c r="V70" s="4" t="inlineStr">
        <is>
          <t>2:敵対:0|3:友好:100|19:友好:100</t>
        </is>
      </c>
      <c r="W70" s="4"/>
    </row>
    <row r="71" ht="15.75" customHeight="1">
      <c r="A71" s="4">
        <v>10001</v>
      </c>
      <c r="B71" s="4" t="inlineStr">
        <is>
          <t>一向一揆</t>
        </is>
      </c>
      <c r="C71" s="4" t="inlineStr">
        <is>
          <t>いっこういっき</t>
        </is>
      </c>
      <c r="D71" s="4">
        <v>0</v>
      </c>
      <c r="E71" s="12" t="str">
        <f t="array" ref="E71">IF(D71:D162="","",_xlfn.XLOOKUP(D71:D162,'参照_武将'!A:A,'参照_武将'!B:B,"見つかりません"))</f>
      </c>
      <c r="F71" s="4">
        <v>44</v>
      </c>
      <c r="G71" s="12" t="str">
        <f t="array" ref="G71">IF(F71:F162="","",_xlfn.XLOOKUP(F71:F162,castles_state!A:A,castles_state!D:D,"見つかりません"))</f>
      </c>
      <c r="H71" s="4">
        <v>3000</v>
      </c>
      <c r="I71" s="4">
        <v>3000</v>
      </c>
      <c r="J71" s="4">
        <v>50</v>
      </c>
      <c r="K71" s="4">
        <v>50</v>
      </c>
      <c r="L71" s="4">
        <v>100</v>
      </c>
      <c r="M71" s="4">
        <v>100</v>
      </c>
      <c r="N71" s="4">
        <v>0</v>
      </c>
      <c r="O71" s="4">
        <v>500</v>
      </c>
      <c r="P71" s="4">
        <v>0</v>
      </c>
      <c r="Q71" s="4">
        <v>1000</v>
      </c>
      <c r="R71" s="4">
        <v>300</v>
      </c>
      <c r="S71" s="4">
        <v>300</v>
      </c>
      <c r="T71" s="4" t="inlineStr">
        <is>
          <t>宗教</t>
        </is>
      </c>
      <c r="U71" s="4" t="inlineStr">
        <is>
          <t>ikko</t>
        </is>
      </c>
      <c r="V71" s="4" t="inlineStr">
        <is>
          <t>19:友好:100|21:友好:100</t>
        </is>
      </c>
      <c r="W71" s="4"/>
    </row>
    <row r="72" ht="15.75" customHeight="1">
      <c r="A72" s="4">
        <v>10002</v>
      </c>
      <c r="B72" s="4" t="inlineStr">
        <is>
          <t>一向一揆</t>
        </is>
      </c>
      <c r="C72" s="4" t="inlineStr">
        <is>
          <t>いっこういっき</t>
        </is>
      </c>
      <c r="D72" s="4">
        <v>0</v>
      </c>
      <c r="E72" s="12" t="str">
        <f t="array" ref="E72">IF(D72:D163="","",_xlfn.XLOOKUP(D72:D163,'参照_武将'!A:A,'参照_武将'!B:B,"見つかりません"))</f>
      </c>
      <c r="F72" s="4">
        <v>44</v>
      </c>
      <c r="G72" s="12" t="str">
        <f t="array" ref="G72">IF(F72:F163="","",_xlfn.XLOOKUP(F72:F163,castles_state!A:A,castles_state!D:D,"見つかりません"))</f>
      </c>
      <c r="H72" s="4">
        <v>3000</v>
      </c>
      <c r="I72" s="4">
        <v>3000</v>
      </c>
      <c r="J72" s="4">
        <v>50</v>
      </c>
      <c r="K72" s="4">
        <v>50</v>
      </c>
      <c r="L72" s="4">
        <v>100</v>
      </c>
      <c r="M72" s="4">
        <v>100</v>
      </c>
      <c r="N72" s="4">
        <v>0</v>
      </c>
      <c r="O72" s="4">
        <v>500</v>
      </c>
      <c r="P72" s="4">
        <v>0</v>
      </c>
      <c r="Q72" s="4">
        <v>1000</v>
      </c>
      <c r="R72" s="4">
        <v>300</v>
      </c>
      <c r="S72" s="4">
        <v>300</v>
      </c>
      <c r="T72" s="4" t="inlineStr">
        <is>
          <t>宗教</t>
        </is>
      </c>
      <c r="U72" s="4" t="inlineStr">
        <is>
          <t>ikko</t>
        </is>
      </c>
      <c r="V72" s="4" t="inlineStr">
        <is>
          <t>19:友好:100|21:友好:100</t>
        </is>
      </c>
      <c r="W72" s="4"/>
    </row>
    <row r="73" ht="15.75" customHeight="1">
      <c r="A73" s="4">
        <v>10003</v>
      </c>
      <c r="B73" s="4" t="inlineStr">
        <is>
          <t>一向一揆</t>
        </is>
      </c>
      <c r="C73" s="4" t="inlineStr">
        <is>
          <t>いっこういっき</t>
        </is>
      </c>
      <c r="D73" s="4">
        <v>0</v>
      </c>
      <c r="E73" s="12" t="str">
        <f t="array" ref="E73">IF(D73:D164="","",_xlfn.XLOOKUP(D73:D164,'参照_武将'!A:A,'参照_武将'!B:B,"見つかりません"))</f>
      </c>
      <c r="F73" s="4">
        <v>19</v>
      </c>
      <c r="G73" s="12" t="str">
        <f t="array" ref="G73">IF(F73:F164="","",_xlfn.XLOOKUP(F73:F164,castles_state!A:A,castles_state!D:D,"見つかりません"))</f>
      </c>
      <c r="H73" s="4">
        <v>3000</v>
      </c>
      <c r="I73" s="4">
        <v>3000</v>
      </c>
      <c r="J73" s="4">
        <v>50</v>
      </c>
      <c r="K73" s="4">
        <v>50</v>
      </c>
      <c r="L73" s="4">
        <v>100</v>
      </c>
      <c r="M73" s="4">
        <v>100</v>
      </c>
      <c r="N73" s="4">
        <v>0</v>
      </c>
      <c r="O73" s="4">
        <v>500</v>
      </c>
      <c r="P73" s="4">
        <v>0</v>
      </c>
      <c r="Q73" s="4">
        <v>1000</v>
      </c>
      <c r="R73" s="4">
        <v>300</v>
      </c>
      <c r="S73" s="4">
        <v>300</v>
      </c>
      <c r="T73" s="4" t="inlineStr">
        <is>
          <t>宗教</t>
        </is>
      </c>
      <c r="U73" s="4" t="inlineStr">
        <is>
          <t>ikko</t>
        </is>
      </c>
      <c r="V73" s="4" t="inlineStr">
        <is>
          <t>2:敵対:0|7:敵対:0|19:友好:100|21:友好:100</t>
        </is>
      </c>
      <c r="W73" s="4"/>
    </row>
    <row r="74" ht="15.75" customHeight="1">
      <c r="A74" s="4">
        <v>10004</v>
      </c>
      <c r="B74" s="4" t="inlineStr">
        <is>
          <t>一向一揆</t>
        </is>
      </c>
      <c r="C74" s="4" t="inlineStr">
        <is>
          <t>いっこういっき</t>
        </is>
      </c>
      <c r="D74" s="4">
        <v>0</v>
      </c>
      <c r="E74" s="12" t="str">
        <f t="array" ref="E74">IF(D74:D165="","",_xlfn.XLOOKUP(D74:D165,'参照_武将'!A:A,'参照_武将'!B:B,"見つかりません"))</f>
      </c>
      <c r="F74" s="4">
        <v>19</v>
      </c>
      <c r="G74" s="12" t="str">
        <f t="array" ref="G74">IF(F74:F165="","",_xlfn.XLOOKUP(F74:F165,castles_state!A:A,castles_state!D:D,"見つかりません"))</f>
      </c>
      <c r="H74" s="4">
        <v>3000</v>
      </c>
      <c r="I74" s="4">
        <v>3000</v>
      </c>
      <c r="J74" s="4">
        <v>50</v>
      </c>
      <c r="K74" s="4">
        <v>50</v>
      </c>
      <c r="L74" s="4">
        <v>100</v>
      </c>
      <c r="M74" s="4">
        <v>100</v>
      </c>
      <c r="N74" s="4">
        <v>0</v>
      </c>
      <c r="O74" s="4">
        <v>500</v>
      </c>
      <c r="P74" s="4">
        <v>0</v>
      </c>
      <c r="Q74" s="4">
        <v>1000</v>
      </c>
      <c r="R74" s="4">
        <v>300</v>
      </c>
      <c r="S74" s="4">
        <v>300</v>
      </c>
      <c r="T74" s="4" t="inlineStr">
        <is>
          <t>宗教</t>
        </is>
      </c>
      <c r="U74" s="4" t="inlineStr">
        <is>
          <t>ikko</t>
        </is>
      </c>
      <c r="V74" s="4" t="inlineStr">
        <is>
          <t>2:敵対:0|7:敵対:0|19:友好:100|21:友好:100</t>
        </is>
      </c>
      <c r="W74" s="4"/>
    </row>
    <row r="75" ht="15.75" customHeight="1">
      <c r="A75" s="4">
        <v>10005</v>
      </c>
      <c r="B75" s="4" t="inlineStr">
        <is>
          <t>一向一揆</t>
        </is>
      </c>
      <c r="C75" s="4" t="inlineStr">
        <is>
          <t>いっこういっき</t>
        </is>
      </c>
      <c r="D75" s="4">
        <v>0</v>
      </c>
      <c r="E75" s="12" t="str">
        <f t="array" ref="E75">IF(D75:D166="","",_xlfn.XLOOKUP(D75:D166,'参照_武将'!A:A,'参照_武将'!B:B,"見つかりません"))</f>
      </c>
      <c r="F75" s="4">
        <v>74</v>
      </c>
      <c r="G75" s="12" t="str">
        <f t="array" ref="G75">IF(F75:F166="","",_xlfn.XLOOKUP(F75:F166,castles_state!A:A,castles_state!D:D,"見つかりません"))</f>
      </c>
      <c r="H75" s="4">
        <v>4000</v>
      </c>
      <c r="I75" s="4">
        <v>4000</v>
      </c>
      <c r="J75" s="4">
        <v>50</v>
      </c>
      <c r="K75" s="4">
        <v>50</v>
      </c>
      <c r="L75" s="4">
        <v>100</v>
      </c>
      <c r="M75" s="4">
        <v>100</v>
      </c>
      <c r="N75" s="4">
        <v>0</v>
      </c>
      <c r="O75" s="4">
        <v>500</v>
      </c>
      <c r="P75" s="4">
        <v>0</v>
      </c>
      <c r="Q75" s="4">
        <v>1000</v>
      </c>
      <c r="R75" s="4">
        <v>300</v>
      </c>
      <c r="S75" s="4">
        <v>300</v>
      </c>
      <c r="T75" s="4" t="inlineStr">
        <is>
          <t>宗教</t>
        </is>
      </c>
      <c r="U75" s="4" t="inlineStr">
        <is>
          <t>ikko</t>
        </is>
      </c>
      <c r="V75" s="4" t="inlineStr">
        <is>
          <t>2:敵対:0|7:敵対:0|19:友好:100|21:友好:100</t>
        </is>
      </c>
      <c r="W75" s="4"/>
    </row>
    <row r="76" ht="15.75" customHeight="1">
      <c r="A76" s="4">
        <v>10006</v>
      </c>
      <c r="B76" s="4" t="inlineStr">
        <is>
          <t>一向一揆</t>
        </is>
      </c>
      <c r="C76" s="4" t="inlineStr">
        <is>
          <t>いっこういっき</t>
        </is>
      </c>
      <c r="D76" s="4">
        <v>0</v>
      </c>
      <c r="E76" s="12" t="str">
        <f t="array" ref="E76">IF(D76:D167="","",_xlfn.XLOOKUP(D76:D167,'参照_武将'!A:A,'参照_武将'!B:B,"見つかりません"))</f>
      </c>
      <c r="F76" s="4">
        <v>74</v>
      </c>
      <c r="G76" s="12" t="str">
        <f t="array" ref="G76">IF(F76:F167="","",_xlfn.XLOOKUP(F76:F167,castles_state!A:A,castles_state!D:D,"見つかりません"))</f>
      </c>
      <c r="H76" s="4">
        <v>4000</v>
      </c>
      <c r="I76" s="4">
        <v>4000</v>
      </c>
      <c r="J76" s="4">
        <v>50</v>
      </c>
      <c r="K76" s="4">
        <v>50</v>
      </c>
      <c r="L76" s="4">
        <v>100</v>
      </c>
      <c r="M76" s="4">
        <v>100</v>
      </c>
      <c r="N76" s="4">
        <v>0</v>
      </c>
      <c r="O76" s="4">
        <v>500</v>
      </c>
      <c r="P76" s="4">
        <v>0</v>
      </c>
      <c r="Q76" s="4">
        <v>1000</v>
      </c>
      <c r="R76" s="4">
        <v>300</v>
      </c>
      <c r="S76" s="4">
        <v>300</v>
      </c>
      <c r="T76" s="4" t="inlineStr">
        <is>
          <t>宗教</t>
        </is>
      </c>
      <c r="U76" s="4" t="inlineStr">
        <is>
          <t>ikko</t>
        </is>
      </c>
      <c r="V76" s="4" t="inlineStr">
        <is>
          <t>2:敵対:0|7:敵対:0|19:友好:100|21:友好:100</t>
        </is>
      </c>
      <c r="W76" s="4"/>
    </row>
    <row r="77" ht="15.75" customHeight="1">
      <c r="A77" s="4">
        <v>10007</v>
      </c>
      <c r="B77" s="4" t="inlineStr">
        <is>
          <t>一向一揆</t>
        </is>
      </c>
      <c r="C77" s="4" t="inlineStr">
        <is>
          <t>いっこういっき</t>
        </is>
      </c>
      <c r="D77" s="4">
        <v>0</v>
      </c>
      <c r="E77" s="12" t="str">
        <f t="array" ref="E77">IF(D77:D168="","",_xlfn.XLOOKUP(D77:D168,'参照_武将'!A:A,'参照_武将'!B:B,"見つかりません"))</f>
      </c>
      <c r="F77" s="4">
        <v>74</v>
      </c>
      <c r="G77" s="12" t="str">
        <f t="array" ref="G77">IF(F77:F168="","",_xlfn.XLOOKUP(F77:F168,castles_state!A:A,castles_state!D:D,"見つかりません"))</f>
      </c>
      <c r="H77" s="4">
        <v>4000</v>
      </c>
      <c r="I77" s="4">
        <v>4000</v>
      </c>
      <c r="J77" s="4">
        <v>50</v>
      </c>
      <c r="K77" s="4">
        <v>50</v>
      </c>
      <c r="L77" s="4">
        <v>100</v>
      </c>
      <c r="M77" s="4">
        <v>100</v>
      </c>
      <c r="N77" s="4">
        <v>0</v>
      </c>
      <c r="O77" s="4">
        <v>500</v>
      </c>
      <c r="P77" s="4">
        <v>0</v>
      </c>
      <c r="Q77" s="4">
        <v>1000</v>
      </c>
      <c r="R77" s="4">
        <v>300</v>
      </c>
      <c r="S77" s="4">
        <v>300</v>
      </c>
      <c r="T77" s="4" t="inlineStr">
        <is>
          <t>宗教</t>
        </is>
      </c>
      <c r="U77" s="4" t="inlineStr">
        <is>
          <t>ikko</t>
        </is>
      </c>
      <c r="V77" s="4" t="inlineStr">
        <is>
          <t>2:敵対:0|7:敵対:0|19:友好:100|21:友好:100</t>
        </is>
      </c>
      <c r="W77" s="4"/>
    </row>
    <row r="78" ht="15.75" customHeight="1">
      <c r="A78" s="4">
        <v>10008</v>
      </c>
      <c r="B78" s="4" t="inlineStr">
        <is>
          <t>一向一揆</t>
        </is>
      </c>
      <c r="C78" s="4" t="inlineStr">
        <is>
          <t>いっこういっき</t>
        </is>
      </c>
      <c r="D78" s="4">
        <v>0</v>
      </c>
      <c r="E78" s="12" t="str">
        <f t="array" ref="E78">IF(D78:D169="","",_xlfn.XLOOKUP(D78:D169,'参照_武将'!A:A,'参照_武将'!B:B,"見つかりません"))</f>
      </c>
      <c r="F78" s="4">
        <v>33</v>
      </c>
      <c r="G78" s="12" t="str">
        <f t="array" ref="G78">IF(F78:F169="","",_xlfn.XLOOKUP(F78:F169,castles_state!A:A,castles_state!D:D,"見つかりません"))</f>
      </c>
      <c r="H78" s="4">
        <v>4000</v>
      </c>
      <c r="I78" s="4">
        <v>4000</v>
      </c>
      <c r="J78" s="4">
        <v>50</v>
      </c>
      <c r="K78" s="4">
        <v>50</v>
      </c>
      <c r="L78" s="4">
        <v>100</v>
      </c>
      <c r="M78" s="4">
        <v>100</v>
      </c>
      <c r="N78" s="4">
        <v>0</v>
      </c>
      <c r="O78" s="4">
        <v>0</v>
      </c>
      <c r="P78" s="4">
        <v>0</v>
      </c>
      <c r="Q78" s="4">
        <v>1500</v>
      </c>
      <c r="R78" s="4">
        <v>300</v>
      </c>
      <c r="S78" s="4">
        <v>300</v>
      </c>
      <c r="T78" s="4" t="inlineStr">
        <is>
          <t>宗教</t>
        </is>
      </c>
      <c r="U78" s="4" t="inlineStr">
        <is>
          <t>ikko</t>
        </is>
      </c>
      <c r="V78" s="4" t="inlineStr">
        <is>
          <t>19:友好:100|21:友好:100</t>
        </is>
      </c>
      <c r="W78" s="4"/>
    </row>
    <row r="79" ht="15.75" customHeight="1">
      <c r="A79" s="4">
        <v>10009</v>
      </c>
      <c r="B79" s="4" t="inlineStr">
        <is>
          <t>一向一揆</t>
        </is>
      </c>
      <c r="C79" s="4" t="inlineStr">
        <is>
          <t>いっこういっき</t>
        </is>
      </c>
      <c r="D79" s="4">
        <v>0</v>
      </c>
      <c r="E79" s="12" t="str">
        <f t="array" ref="E79">IF(D79:D170="","",_xlfn.XLOOKUP(D79:D170,'参照_武将'!A:A,'参照_武将'!B:B,"見つかりません"))</f>
      </c>
      <c r="F79" s="4">
        <v>33</v>
      </c>
      <c r="G79" s="12" t="str">
        <f t="array" ref="G79">IF(F79:F170="","",_xlfn.XLOOKUP(F79:F170,castles_state!A:A,castles_state!D:D,"見つかりません"))</f>
      </c>
      <c r="H79" s="4">
        <v>4000</v>
      </c>
      <c r="I79" s="4">
        <v>4000</v>
      </c>
      <c r="J79" s="4">
        <v>50</v>
      </c>
      <c r="K79" s="4">
        <v>50</v>
      </c>
      <c r="L79" s="4">
        <v>100</v>
      </c>
      <c r="M79" s="4">
        <v>100</v>
      </c>
      <c r="N79" s="4">
        <v>0</v>
      </c>
      <c r="O79" s="4">
        <v>0</v>
      </c>
      <c r="P79" s="4">
        <v>0</v>
      </c>
      <c r="Q79" s="4">
        <v>1500</v>
      </c>
      <c r="R79" s="4">
        <v>300</v>
      </c>
      <c r="S79" s="4">
        <v>300</v>
      </c>
      <c r="T79" s="4" t="inlineStr">
        <is>
          <t>宗教</t>
        </is>
      </c>
      <c r="U79" s="4" t="inlineStr">
        <is>
          <t>ikko</t>
        </is>
      </c>
      <c r="V79" s="4" t="inlineStr">
        <is>
          <t>19:友好:100|21:友好:100</t>
        </is>
      </c>
      <c r="W79" s="4"/>
    </row>
    <row r="80" ht="15.75" customHeight="1">
      <c r="A80" s="4">
        <v>10010</v>
      </c>
      <c r="B80" s="4" t="inlineStr">
        <is>
          <t>一向一揆</t>
        </is>
      </c>
      <c r="C80" s="4" t="inlineStr">
        <is>
          <t>いっこういっき</t>
        </is>
      </c>
      <c r="D80" s="4">
        <v>0</v>
      </c>
      <c r="E80" s="12" t="str">
        <f t="array" ref="E80">IF(D80:D171="","",_xlfn.XLOOKUP(D80:D171,'参照_武将'!A:A,'参照_武将'!B:B,"見つかりません"))</f>
      </c>
      <c r="F80" s="4">
        <v>33</v>
      </c>
      <c r="G80" s="12" t="str">
        <f t="array" ref="G80">IF(F80:F171="","",_xlfn.XLOOKUP(F80:F171,castles_state!A:A,castles_state!D:D,"見つかりません"))</f>
      </c>
      <c r="H80" s="4">
        <v>4000</v>
      </c>
      <c r="I80" s="4">
        <v>4000</v>
      </c>
      <c r="J80" s="4">
        <v>50</v>
      </c>
      <c r="K80" s="4">
        <v>50</v>
      </c>
      <c r="L80" s="4">
        <v>100</v>
      </c>
      <c r="M80" s="4">
        <v>100</v>
      </c>
      <c r="N80" s="4">
        <v>0</v>
      </c>
      <c r="O80" s="4">
        <v>0</v>
      </c>
      <c r="P80" s="4">
        <v>0</v>
      </c>
      <c r="Q80" s="4">
        <v>1500</v>
      </c>
      <c r="R80" s="4">
        <v>300</v>
      </c>
      <c r="S80" s="4">
        <v>300</v>
      </c>
      <c r="T80" s="4" t="inlineStr">
        <is>
          <t>宗教</t>
        </is>
      </c>
      <c r="U80" s="4" t="inlineStr">
        <is>
          <t>ikko</t>
        </is>
      </c>
      <c r="V80" s="4" t="inlineStr">
        <is>
          <t>19:友好:100|21:友好:100</t>
        </is>
      </c>
      <c r="W80" s="4"/>
    </row>
    <row r="81" ht="15.75" customHeight="1">
      <c r="A81" s="4">
        <v>10011</v>
      </c>
      <c r="B81" s="4" t="inlineStr">
        <is>
          <t>一向一揆</t>
        </is>
      </c>
      <c r="C81" s="4" t="inlineStr">
        <is>
          <t>いっこういっき</t>
        </is>
      </c>
      <c r="D81" s="4">
        <v>0</v>
      </c>
      <c r="E81" s="12" t="str">
        <f t="array" ref="E81">IF(D81:D172="","",_xlfn.XLOOKUP(D81:D172,'参照_武将'!A:A,'参照_武将'!B:B,"見つかりません"))</f>
      </c>
      <c r="F81" s="4">
        <v>33</v>
      </c>
      <c r="G81" s="12" t="str">
        <f t="array" ref="G81">IF(F81:F172="","",_xlfn.XLOOKUP(F81:F172,castles_state!A:A,castles_state!D:D,"見つかりません"))</f>
      </c>
      <c r="H81" s="4">
        <v>4000</v>
      </c>
      <c r="I81" s="4">
        <v>4000</v>
      </c>
      <c r="J81" s="4">
        <v>50</v>
      </c>
      <c r="K81" s="4">
        <v>50</v>
      </c>
      <c r="L81" s="4">
        <v>100</v>
      </c>
      <c r="M81" s="4">
        <v>100</v>
      </c>
      <c r="N81" s="4">
        <v>0</v>
      </c>
      <c r="O81" s="4">
        <v>0</v>
      </c>
      <c r="P81" s="4">
        <v>0</v>
      </c>
      <c r="Q81" s="4">
        <v>1500</v>
      </c>
      <c r="R81" s="4">
        <v>300</v>
      </c>
      <c r="S81" s="4">
        <v>300</v>
      </c>
      <c r="T81" s="4" t="inlineStr">
        <is>
          <t>宗教</t>
        </is>
      </c>
      <c r="U81" s="4" t="inlineStr">
        <is>
          <t>ikko</t>
        </is>
      </c>
      <c r="V81" s="4" t="inlineStr">
        <is>
          <t>19:友好:100|21:友好:100</t>
        </is>
      </c>
      <c r="W81" s="4"/>
    </row>
    <row r="82" ht="15.75" customHeight="1">
      <c r="A82" s="4">
        <v>10012</v>
      </c>
      <c r="B82" s="4" t="inlineStr">
        <is>
          <t>一向一揆</t>
        </is>
      </c>
      <c r="C82" s="4" t="inlineStr">
        <is>
          <t>いっこういっき</t>
        </is>
      </c>
      <c r="D82" s="4">
        <v>0</v>
      </c>
      <c r="E82" s="12" t="str">
        <f t="array" ref="E82">IF(D82:D173="","",_xlfn.XLOOKUP(D82:D173,'参照_武将'!A:A,'参照_武将'!B:B,"見つかりません"))</f>
      </c>
      <c r="F82" s="4">
        <v>33</v>
      </c>
      <c r="G82" s="12" t="str">
        <f t="array" ref="G82">IF(F82:F173="","",_xlfn.XLOOKUP(F82:F173,castles_state!A:A,castles_state!D:D,"見つかりません"))</f>
      </c>
      <c r="H82" s="4">
        <v>4000</v>
      </c>
      <c r="I82" s="4">
        <v>4000</v>
      </c>
      <c r="J82" s="4">
        <v>50</v>
      </c>
      <c r="K82" s="4">
        <v>50</v>
      </c>
      <c r="L82" s="4">
        <v>100</v>
      </c>
      <c r="M82" s="4">
        <v>100</v>
      </c>
      <c r="N82" s="4">
        <v>0</v>
      </c>
      <c r="O82" s="4">
        <v>0</v>
      </c>
      <c r="P82" s="4">
        <v>0</v>
      </c>
      <c r="Q82" s="4">
        <v>1500</v>
      </c>
      <c r="R82" s="4">
        <v>300</v>
      </c>
      <c r="S82" s="4">
        <v>300</v>
      </c>
      <c r="T82" s="4" t="inlineStr">
        <is>
          <t>宗教</t>
        </is>
      </c>
      <c r="U82" s="4" t="inlineStr">
        <is>
          <t>ikko</t>
        </is>
      </c>
      <c r="V82" s="4" t="inlineStr">
        <is>
          <t>19:友好:100|21:友好:100</t>
        </is>
      </c>
      <c r="W82" s="4"/>
    </row>
    <row r="83" ht="15.75" customHeight="1">
      <c r="A83" s="4">
        <v>10013</v>
      </c>
      <c r="B83" s="4" t="inlineStr">
        <is>
          <t>一向一揆</t>
        </is>
      </c>
      <c r="C83" s="4" t="inlineStr">
        <is>
          <t>いっこういっき</t>
        </is>
      </c>
      <c r="D83" s="4">
        <v>0</v>
      </c>
      <c r="E83" s="12" t="str">
        <f t="array" ref="E83">IF(D83:D174="","",_xlfn.XLOOKUP(D83:D174,'参照_武将'!A:A,'参照_武将'!B:B,"見つかりません"))</f>
      </c>
      <c r="F83" s="4">
        <v>42</v>
      </c>
      <c r="G83" s="12" t="str">
        <f t="array" ref="G83">IF(F83:F174="","",_xlfn.XLOOKUP(F83:F174,castles_state!A:A,castles_state!D:D,"見つかりません"))</f>
      </c>
      <c r="H83" s="4">
        <v>3000</v>
      </c>
      <c r="I83" s="4">
        <v>3000</v>
      </c>
      <c r="J83" s="4">
        <v>50</v>
      </c>
      <c r="K83" s="4">
        <v>50</v>
      </c>
      <c r="L83" s="4">
        <v>100</v>
      </c>
      <c r="M83" s="4">
        <v>100</v>
      </c>
      <c r="N83" s="4">
        <v>0</v>
      </c>
      <c r="O83" s="4">
        <v>0</v>
      </c>
      <c r="P83" s="4">
        <v>0</v>
      </c>
      <c r="Q83" s="4">
        <v>1000</v>
      </c>
      <c r="R83" s="4">
        <v>300</v>
      </c>
      <c r="S83" s="4">
        <v>300</v>
      </c>
      <c r="T83" s="4" t="inlineStr">
        <is>
          <t>宗教</t>
        </is>
      </c>
      <c r="U83" s="4" t="inlineStr">
        <is>
          <t>ikko</t>
        </is>
      </c>
      <c r="V83" s="4" t="inlineStr">
        <is>
          <t>19:友好:100|21:友好:100</t>
        </is>
      </c>
      <c r="W83" s="4"/>
    </row>
    <row r="84" ht="15.75" customHeight="1">
      <c r="A84" s="4">
        <v>10014</v>
      </c>
      <c r="B84" s="4" t="inlineStr">
        <is>
          <t>一向一揆</t>
        </is>
      </c>
      <c r="C84" s="4" t="inlineStr">
        <is>
          <t>いっこういっき</t>
        </is>
      </c>
      <c r="D84" s="4">
        <v>0</v>
      </c>
      <c r="E84" s="12" t="str">
        <f t="array" ref="E84">IF(D84:D175="","",_xlfn.XLOOKUP(D84:D175,'参照_武将'!A:A,'参照_武将'!B:B,"見つかりません"))</f>
      </c>
      <c r="F84" s="4">
        <v>1</v>
      </c>
      <c r="G84" s="12" t="str">
        <f t="array" ref="G84">IF(F84:F175="","",_xlfn.XLOOKUP(F84:F175,castles_state!A:A,castles_state!D:D,"見つかりません"))</f>
      </c>
      <c r="H84" s="4">
        <v>3000</v>
      </c>
      <c r="I84" s="4">
        <v>3000</v>
      </c>
      <c r="J84" s="4">
        <v>50</v>
      </c>
      <c r="K84" s="4">
        <v>50</v>
      </c>
      <c r="L84" s="4">
        <v>100</v>
      </c>
      <c r="M84" s="4">
        <v>100</v>
      </c>
      <c r="N84" s="4">
        <v>0</v>
      </c>
      <c r="O84" s="4">
        <v>500</v>
      </c>
      <c r="P84" s="4">
        <v>0</v>
      </c>
      <c r="Q84" s="4">
        <v>500</v>
      </c>
      <c r="R84" s="4">
        <v>300</v>
      </c>
      <c r="S84" s="4">
        <v>300</v>
      </c>
      <c r="T84" s="4" t="inlineStr">
        <is>
          <t>宗教</t>
        </is>
      </c>
      <c r="U84" s="4" t="inlineStr">
        <is>
          <t>ikko</t>
        </is>
      </c>
      <c r="V84" s="4" t="inlineStr">
        <is>
          <t>2:敵対:0|7:敵対:0|19:友好:100|21:友好:100</t>
        </is>
      </c>
      <c r="W84" s="4"/>
    </row>
    <row r="85" ht="15.75" customHeight="1">
      <c r="A85" s="4">
        <v>10015</v>
      </c>
      <c r="B85" s="4" t="inlineStr">
        <is>
          <t>一向一揆</t>
        </is>
      </c>
      <c r="C85" s="4" t="inlineStr">
        <is>
          <t>いっこういっき</t>
        </is>
      </c>
      <c r="D85" s="4">
        <v>0</v>
      </c>
      <c r="E85" s="12" t="str">
        <f t="array" ref="E85">IF(D85:D176="","",_xlfn.XLOOKUP(D85:D176,'参照_武将'!A:A,'参照_武将'!B:B,"見つかりません"))</f>
      </c>
      <c r="F85" s="4">
        <v>24</v>
      </c>
      <c r="G85" s="12" t="str">
        <f t="array" ref="G85">IF(F85:F176="","",_xlfn.XLOOKUP(F85:F176,castles_state!A:A,castles_state!D:D,"見つかりません"))</f>
      </c>
      <c r="H85" s="4">
        <v>3000</v>
      </c>
      <c r="I85" s="4">
        <v>3000</v>
      </c>
      <c r="J85" s="4">
        <v>50</v>
      </c>
      <c r="K85" s="4">
        <v>50</v>
      </c>
      <c r="L85" s="4">
        <v>100</v>
      </c>
      <c r="M85" s="4">
        <v>100</v>
      </c>
      <c r="N85" s="4">
        <v>0</v>
      </c>
      <c r="O85" s="4">
        <v>500</v>
      </c>
      <c r="P85" s="4">
        <v>0</v>
      </c>
      <c r="Q85" s="4">
        <v>500</v>
      </c>
      <c r="R85" s="4">
        <v>300</v>
      </c>
      <c r="S85" s="4">
        <v>300</v>
      </c>
      <c r="T85" s="4" t="inlineStr">
        <is>
          <t>宗教</t>
        </is>
      </c>
      <c r="U85" s="4" t="inlineStr">
        <is>
          <t>ikko</t>
        </is>
      </c>
      <c r="V85" s="4" t="inlineStr">
        <is>
          <t>2:敵対:0|7:敵対:0|19:友好:100|21:友好:100</t>
        </is>
      </c>
      <c r="W85" s="4"/>
    </row>
    <row r="86" ht="15.75" customHeight="1">
      <c r="A86" s="4">
        <v>10016</v>
      </c>
      <c r="B86" s="4" t="inlineStr">
        <is>
          <t>一向一揆</t>
        </is>
      </c>
      <c r="C86" s="4" t="inlineStr">
        <is>
          <t>いっこういっき</t>
        </is>
      </c>
      <c r="D86" s="4">
        <v>0</v>
      </c>
      <c r="E86" s="12" t="str">
        <f t="array" ref="E86">IF(D86:D177="","",_xlfn.XLOOKUP(D86:D177,'参照_武将'!A:A,'参照_武将'!B:B,"見つかりません"))</f>
      </c>
      <c r="F86" s="4">
        <v>24</v>
      </c>
      <c r="G86" s="12" t="str">
        <f t="array" ref="G86">IF(F86:F177="","",_xlfn.XLOOKUP(F86:F177,castles_state!A:A,castles_state!D:D,"見つかりません"))</f>
      </c>
      <c r="H86" s="4">
        <v>3000</v>
      </c>
      <c r="I86" s="4">
        <v>3000</v>
      </c>
      <c r="J86" s="4">
        <v>50</v>
      </c>
      <c r="K86" s="4">
        <v>50</v>
      </c>
      <c r="L86" s="4">
        <v>100</v>
      </c>
      <c r="M86" s="4">
        <v>100</v>
      </c>
      <c r="N86" s="4">
        <v>0</v>
      </c>
      <c r="O86" s="4">
        <v>500</v>
      </c>
      <c r="P86" s="4">
        <v>0</v>
      </c>
      <c r="Q86" s="4">
        <v>500</v>
      </c>
      <c r="R86" s="4">
        <v>300</v>
      </c>
      <c r="S86" s="4">
        <v>300</v>
      </c>
      <c r="T86" s="4" t="inlineStr">
        <is>
          <t>宗教</t>
        </is>
      </c>
      <c r="U86" s="4" t="inlineStr">
        <is>
          <t>ikko</t>
        </is>
      </c>
      <c r="V86" s="4" t="inlineStr">
        <is>
          <t>2:敵対:0|7:敵対:0|19:友好:100|21:友好:100</t>
        </is>
      </c>
      <c r="W86" s="4"/>
    </row>
    <row r="87" ht="15.75" customHeight="1">
      <c r="A87" s="4">
        <v>10017</v>
      </c>
      <c r="B87" s="4" t="inlineStr">
        <is>
          <t>一向一揆</t>
        </is>
      </c>
      <c r="C87" s="4" t="inlineStr">
        <is>
          <t>いっこういっき</t>
        </is>
      </c>
      <c r="D87" s="4">
        <v>0</v>
      </c>
      <c r="E87" s="12" t="str">
        <f t="array" ref="E87">IF(D87:D178="","",_xlfn.XLOOKUP(D87:D178,'参照_武将'!A:A,'参照_武将'!B:B,"見つかりません"))</f>
      </c>
      <c r="F87" s="4">
        <v>242</v>
      </c>
      <c r="G87" s="12" t="str">
        <f t="array" ref="G87">IF(F87:F178="","",_xlfn.XLOOKUP(F87:F178,castles_state!A:A,castles_state!D:D,"見つかりません"))</f>
      </c>
      <c r="H87" s="4">
        <v>3000</v>
      </c>
      <c r="I87" s="4">
        <v>3000</v>
      </c>
      <c r="J87" s="4">
        <v>50</v>
      </c>
      <c r="K87" s="4">
        <v>50</v>
      </c>
      <c r="L87" s="4">
        <v>100</v>
      </c>
      <c r="M87" s="4">
        <v>100</v>
      </c>
      <c r="N87" s="4">
        <v>0</v>
      </c>
      <c r="O87" s="4">
        <v>500</v>
      </c>
      <c r="P87" s="4">
        <v>0</v>
      </c>
      <c r="Q87" s="4">
        <v>500</v>
      </c>
      <c r="R87" s="4">
        <v>300</v>
      </c>
      <c r="S87" s="4">
        <v>300</v>
      </c>
      <c r="T87" s="4" t="inlineStr">
        <is>
          <t>宗教</t>
        </is>
      </c>
      <c r="U87" s="4" t="inlineStr">
        <is>
          <t>ikko</t>
        </is>
      </c>
      <c r="V87" s="4" t="inlineStr">
        <is>
          <t>2:敵対:0|7:敵対:0|19:友好:100|21:友好:100</t>
        </is>
      </c>
      <c r="W87" s="4"/>
    </row>
    <row r="88" ht="15.75" customHeight="1">
      <c r="A88" s="4">
        <v>10018</v>
      </c>
      <c r="B88" s="4" t="inlineStr">
        <is>
          <t>一向一揆</t>
        </is>
      </c>
      <c r="C88" s="4" t="inlineStr">
        <is>
          <t>いっこういっき</t>
        </is>
      </c>
      <c r="D88" s="4">
        <v>0</v>
      </c>
      <c r="E88" s="12" t="str">
        <f t="array" ref="E88">IF(D88:D179="","",_xlfn.XLOOKUP(D88:D179,'参照_武将'!A:A,'参照_武将'!B:B,"見つかりません"))</f>
      </c>
      <c r="F88" s="4">
        <v>242</v>
      </c>
      <c r="G88" s="12" t="str">
        <f t="array" ref="G88">IF(F88:F179="","",_xlfn.XLOOKUP(F88:F179,castles_state!A:A,castles_state!D:D,"見つかりません"))</f>
      </c>
      <c r="H88" s="4">
        <v>3000</v>
      </c>
      <c r="I88" s="4">
        <v>3000</v>
      </c>
      <c r="J88" s="4">
        <v>50</v>
      </c>
      <c r="K88" s="4">
        <v>50</v>
      </c>
      <c r="L88" s="4">
        <v>100</v>
      </c>
      <c r="M88" s="4">
        <v>100</v>
      </c>
      <c r="N88" s="4">
        <v>0</v>
      </c>
      <c r="O88" s="4">
        <v>500</v>
      </c>
      <c r="P88" s="4">
        <v>0</v>
      </c>
      <c r="Q88" s="4">
        <v>500</v>
      </c>
      <c r="R88" s="4">
        <v>300</v>
      </c>
      <c r="S88" s="4">
        <v>300</v>
      </c>
      <c r="T88" s="4" t="inlineStr">
        <is>
          <t>宗教</t>
        </is>
      </c>
      <c r="U88" s="4" t="inlineStr">
        <is>
          <t>ikko</t>
        </is>
      </c>
      <c r="V88" s="4" t="inlineStr">
        <is>
          <t>2:敵対:0|7:敵対:0|19:友好:100|21:友好:100</t>
        </is>
      </c>
      <c r="W88" s="4"/>
    </row>
    <row r="89" ht="15.75" customHeight="1">
      <c r="A89" s="4"/>
      <c r="B89" s="4"/>
      <c r="C89" s="4"/>
      <c r="D89" s="4"/>
      <c r="E89" s="12" t="str">
        <f t="array" ref="E89">IF(D89:D180="","",_xlfn.XLOOKUP(D89:D180,'参照_武将'!A:A,'参照_武将'!B:B,"見つかりません"))</f>
      </c>
      <c r="F89" s="4"/>
      <c r="G89" s="12" t="str">
        <f t="array" ref="G89">IF(F89:F180="","",_xlfn.XLOOKUP(F89:F180,castles_state!A:A,castles_state!D:D,"見つかりません"))</f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</row>
    <row r="90" ht="15.75" customHeight="1">
      <c r="A90" s="4"/>
      <c r="B90" s="4"/>
      <c r="C90" s="4"/>
      <c r="D90" s="4"/>
      <c r="E90" s="12" t="str">
        <f t="array" ref="E90">IF(D90:D181="","",_xlfn.XLOOKUP(D90:D181,'参照_武将'!A:A,'参照_武将'!B:B,"見つかりません"))</f>
      </c>
      <c r="F90" s="4"/>
      <c r="G90" s="12" t="str">
        <f t="array" ref="G90">IF(F90:F181="","",_xlfn.XLOOKUP(F90:F181,castles_state!A:A,castles_state!D:D,"見つかりません"))</f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</row>
    <row r="91" ht="15.75" customHeight="1">
      <c r="A91" s="4"/>
      <c r="B91" s="4"/>
      <c r="C91" s="4"/>
      <c r="D91" s="4"/>
      <c r="E91" s="12" t="str">
        <f t="array" ref="E91">IF(D91:D182="","",_xlfn.XLOOKUP(D91:D182,'参照_武将'!A:A,'参照_武将'!B:B,"見つかりません"))</f>
      </c>
      <c r="F91" s="4"/>
      <c r="G91" s="12" t="str">
        <f t="array" ref="G91">IF(F91:F182="","",_xlfn.XLOOKUP(F91:F182,castles_state!A:A,castles_state!D:D,"見つかりません"))</f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</row>
    <row r="92" ht="15.75" customHeight="1">
      <c r="A92" s="4"/>
      <c r="B92" s="4"/>
      <c r="C92" s="4"/>
      <c r="D92" s="4"/>
      <c r="E92" s="12" t="str">
        <f t="array" ref="E92">IF(D92:D183="","",_xlfn.XLOOKUP(D92:D183,'参照_武将'!A:A,'参照_武将'!B:B,"見つかりません"))</f>
      </c>
      <c r="F92" s="4"/>
      <c r="G92" s="12" t="str">
        <f t="array" ref="G92">IF(F92:F183="","",_xlfn.XLOOKUP(F92:F183,castles_state!A:A,castles_state!D:D,"見つかりません"))</f>
      </c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</row>
    <row r="93" ht="15.75" customHeight="1">
      <c r="A93" s="4"/>
      <c r="B93" s="4"/>
      <c r="C93" s="4"/>
      <c r="D93" s="4"/>
      <c r="E93" s="12" t="str">
        <f t="array" ref="E93">IF(D93:D184="","",_xlfn.XLOOKUP(D93:D184,'参照_武将'!A:A,'参照_武将'!B:B,"見つかりません"))</f>
      </c>
      <c r="F93" s="4"/>
      <c r="G93" s="12" t="str">
        <f t="array" ref="G93">IF(F93:F184="","",_xlfn.XLOOKUP(F93:F184,castles_state!A:A,castles_state!D:D,"見つかりません"))</f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</row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W$93"/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2" width="10.13"/>
    <col customWidth="1" min="4" max="4" width="10.13"/>
    <col customWidth="1" min="5" max="5" width="14.0"/>
    <col customWidth="1" min="6" max="6" width="10.13"/>
    <col customWidth="1" min="9" max="26" width="8.63"/>
  </cols>
  <sheetData>
    <row r="1">
      <c r="A1" s="2" t="s">
        <v>1</v>
      </c>
      <c r="B1" s="2" t="s">
        <v>5693</v>
      </c>
      <c r="C1" s="2" t="s">
        <v>5694</v>
      </c>
      <c r="D1" s="2" t="s">
        <v>5695</v>
      </c>
      <c r="E1" s="2" t="s">
        <v>5696</v>
      </c>
      <c r="F1" s="2" t="s">
        <v>5697</v>
      </c>
      <c r="G1" s="2" t="s">
        <v>5698</v>
      </c>
      <c r="H1" s="2" t="s">
        <v>5699</v>
      </c>
    </row>
    <row r="2">
      <c r="A2" s="4">
        <v>37</v>
      </c>
      <c r="B2" s="4">
        <v>1</v>
      </c>
      <c r="C2" s="12" t="str">
        <f t="array" ref="C2">IF(B2:B91="","",_xlfn.XLOOKUP(B2:B91,'参照_勢力'!A:A,'参照_勢力'!B:B,"見つかりません"))</f>
        <v>織田家</v>
      </c>
      <c r="D2" s="4">
        <v>3</v>
      </c>
      <c r="E2" s="12" t="str">
        <f t="shared" ref="E2:E91" si="1">IF(D2:D91="","","第"&amp;D2:D91&amp;"軍団")</f>
      </c>
      <c r="F2" s="4">
        <v>1202004</v>
      </c>
      <c r="G2" s="12" t="str">
        <f t="array" ref="G2">IF(F2:F91="","",_xlfn.XLOOKUP(F2:F91,'参照_武将'!A:A,'参照_武将'!B:B,"見つかりません"))</f>
      </c>
      <c r="H2" s="12" t="str">
        <f t="array" ref="H2">IF(F2:F91="","",IFERROR(IF(_xlfn.XLOOKUP(F2:F91,castles_state!K:K,castles_state!J:J)=D2:D91,"OK","値が違います"),"存在しません"))</f>
      </c>
    </row>
    <row r="3">
      <c r="A3" s="4">
        <v>2</v>
      </c>
      <c r="B3" s="4">
        <v>2</v>
      </c>
      <c r="C3" s="12" t="str">
        <f t="array" ref="C3">IF(B3:B92="","",_xlfn.XLOOKUP(B3:B92,'参照_勢力'!A:A,'参照_勢力'!B:B,"見つかりません"))</f>
        <v>長尾家</v>
      </c>
      <c r="D3" s="4">
        <v>1</v>
      </c>
      <c r="E3" s="12" t="str">
        <f t="shared" si="1"/>
      </c>
      <c r="F3" s="4">
        <v>1001005</v>
      </c>
      <c r="G3" s="12" t="str">
        <f t="array" ref="G3">IF(F3:F92="","",_xlfn.XLOOKUP(F3:F92,'参照_武将'!A:A,'参照_武将'!B:B,"見つかりません"))</f>
      </c>
      <c r="H3" s="12" t="str">
        <f t="array" ref="H3">IF(F3:F92="","",IFERROR(IF(_xlfn.XLOOKUP(F3:F92,castles_state!K:K,castles_state!J:J)=D3:D92,"OK","値が違います"),"存在しません"))</f>
      </c>
    </row>
    <row r="4">
      <c r="A4" s="4">
        <v>3</v>
      </c>
      <c r="B4" s="4">
        <v>2</v>
      </c>
      <c r="C4" s="12" t="str">
        <f t="array" ref="C4">IF(B4:B93="","",_xlfn.XLOOKUP(B4:B93,'参照_勢力'!A:A,'参照_勢力'!B:B,"見つかりません"))</f>
        <v>長尾家</v>
      </c>
      <c r="D4" s="4">
        <v>2</v>
      </c>
      <c r="E4" s="12" t="str">
        <f t="shared" si="1"/>
      </c>
      <c r="F4" s="4">
        <v>1001048</v>
      </c>
      <c r="G4" s="12" t="str">
        <f t="array" ref="G4">IF(F4:F93="","",_xlfn.XLOOKUP(F4:F93,'参照_武将'!A:A,'参照_武将'!B:B,"見つかりません"))</f>
      </c>
      <c r="H4" s="12" t="str">
        <f t="array" ref="H4">IF(F4:F93="","",IFERROR(IF(_xlfn.XLOOKUP(F4:F93,castles_state!K:K,castles_state!J:J)=D4:D93,"OK","値が違います"),"存在しません"))</f>
      </c>
    </row>
    <row r="5">
      <c r="A5" s="4">
        <v>4</v>
      </c>
      <c r="B5" s="4">
        <v>2</v>
      </c>
      <c r="C5" s="12" t="str">
        <f t="array" ref="C5">IF(B5:B94="","",_xlfn.XLOOKUP(B5:B94,'参照_勢力'!A:A,'参照_勢力'!B:B,"見つかりません"))</f>
        <v>長尾家</v>
      </c>
      <c r="D5" s="4">
        <v>3</v>
      </c>
      <c r="E5" s="12" t="str">
        <f t="shared" si="1"/>
      </c>
      <c r="F5" s="4">
        <v>1001084</v>
      </c>
      <c r="G5" s="12" t="str">
        <f t="array" ref="G5">IF(F5:F94="","",_xlfn.XLOOKUP(F5:F94,'参照_武将'!A:A,'参照_武将'!B:B,"見つかりません"))</f>
      </c>
      <c r="H5" s="12" t="str">
        <f t="array" ref="H5">IF(F5:F94="","",IFERROR(IF(_xlfn.XLOOKUP(F5:F94,castles_state!K:K,castles_state!J:J)=D5:D94,"OK","値が違います"),"存在しません"))</f>
      </c>
    </row>
    <row r="6">
      <c r="A6" s="4">
        <v>5</v>
      </c>
      <c r="B6" s="4">
        <v>2</v>
      </c>
      <c r="C6" s="12" t="str">
        <f t="array" ref="C6">IF(B6:B95="","",_xlfn.XLOOKUP(B6:B95,'参照_勢力'!A:A,'参照_勢力'!B:B,"見つかりません"))</f>
        <v>長尾家</v>
      </c>
      <c r="D6" s="4">
        <v>4</v>
      </c>
      <c r="E6" s="12" t="str">
        <f t="shared" si="1"/>
      </c>
      <c r="F6" s="4">
        <v>1001031</v>
      </c>
      <c r="G6" s="12" t="str">
        <f t="array" ref="G6">IF(F6:F95="","",_xlfn.XLOOKUP(F6:F95,'参照_武将'!A:A,'参照_武将'!B:B,"見つかりません"))</f>
      </c>
      <c r="H6" s="12" t="str">
        <f t="array" ref="H6">IF(F6:F95="","",IFERROR(IF(_xlfn.XLOOKUP(F6:F95,castles_state!K:K,castles_state!J:J)=D6:D95,"OK","値が違います"),"存在しません"))</f>
      </c>
    </row>
    <row r="7">
      <c r="A7" s="4">
        <v>6</v>
      </c>
      <c r="B7" s="4">
        <v>2</v>
      </c>
      <c r="C7" s="12" t="str">
        <f t="array" ref="C7">IF(B7:B96="","",_xlfn.XLOOKUP(B7:B96,'参照_勢力'!A:A,'参照_勢力'!B:B,"見つかりません"))</f>
        <v>長尾家</v>
      </c>
      <c r="D7" s="4">
        <v>5</v>
      </c>
      <c r="E7" s="12" t="str">
        <f t="shared" si="1"/>
      </c>
      <c r="F7" s="4">
        <v>1001087</v>
      </c>
      <c r="G7" s="12" t="str">
        <f t="array" ref="G7">IF(F7:F96="","",_xlfn.XLOOKUP(F7:F96,'参照_武将'!A:A,'参照_武将'!B:B,"見つかりません"))</f>
      </c>
      <c r="H7" s="12" t="str">
        <f t="array" ref="H7">IF(F7:F96="","",IFERROR(IF(_xlfn.XLOOKUP(F7:F96,castles_state!K:K,castles_state!J:J)=D7:D96,"OK","値が違います"),"存在しません"))</f>
      </c>
    </row>
    <row r="8">
      <c r="A8" s="4">
        <v>7</v>
      </c>
      <c r="B8" s="4">
        <v>2</v>
      </c>
      <c r="C8" s="12" t="str">
        <f t="array" ref="C8">IF(B8:B97="","",_xlfn.XLOOKUP(B8:B97,'参照_勢力'!A:A,'参照_勢力'!B:B,"見つかりません"))</f>
        <v>長尾家</v>
      </c>
      <c r="D8" s="4">
        <v>6</v>
      </c>
      <c r="E8" s="12" t="str">
        <f t="shared" si="1"/>
      </c>
      <c r="F8" s="4">
        <v>1011001</v>
      </c>
      <c r="G8" s="12" t="str">
        <f t="array" ref="G8">IF(F8:F97="","",_xlfn.XLOOKUP(F8:F97,'参照_武将'!A:A,'参照_武将'!B:B,"見つかりません"))</f>
      </c>
      <c r="H8" s="12" t="str">
        <f t="array" ref="H8">IF(F8:F97="","",IFERROR(IF(_xlfn.XLOOKUP(F8:F97,castles_state!K:K,castles_state!J:J)=D8:D97,"OK","値が違います"),"存在しません"))</f>
      </c>
    </row>
    <row r="9">
      <c r="A9" s="4">
        <v>8</v>
      </c>
      <c r="B9" s="4">
        <v>2</v>
      </c>
      <c r="C9" s="12" t="str">
        <f t="array" ref="C9">IF(B9:B98="","",_xlfn.XLOOKUP(B9:B98,'参照_勢力'!A:A,'参照_勢力'!B:B,"見つかりません"))</f>
        <v>長尾家</v>
      </c>
      <c r="D9" s="4">
        <v>7</v>
      </c>
      <c r="E9" s="12" t="str">
        <f t="shared" si="1"/>
      </c>
      <c r="F9" s="4">
        <v>1091008</v>
      </c>
      <c r="G9" s="12" t="str">
        <f t="array" ref="G9">IF(F9:F98="","",_xlfn.XLOOKUP(F9:F98,'参照_武将'!A:A,'参照_武将'!B:B,"見つかりません"))</f>
      </c>
      <c r="H9" s="12" t="str">
        <f t="array" ref="H9">IF(F9:F98="","",IFERROR(IF(_xlfn.XLOOKUP(F9:F98,castles_state!K:K,castles_state!J:J)=D9:D98,"OK","値が違います"),"存在しません"))</f>
      </c>
    </row>
    <row r="10">
      <c r="A10" s="4">
        <v>9</v>
      </c>
      <c r="B10" s="4">
        <v>3</v>
      </c>
      <c r="C10" s="12" t="str">
        <f t="array" ref="C10">IF(B10:B99="","",_xlfn.XLOOKUP(B10:B99,'参照_勢力'!A:A,'参照_勢力'!B:B,"見つかりません"))</f>
        <v>武田家</v>
      </c>
      <c r="D10" s="4">
        <v>1</v>
      </c>
      <c r="E10" s="12" t="str">
        <f t="shared" si="1"/>
      </c>
      <c r="F10" s="4">
        <v>1002059</v>
      </c>
      <c r="G10" s="12" t="str">
        <f t="array" ref="G10">IF(F10:F99="","",_xlfn.XLOOKUP(F10:F99,'参照_武将'!A:A,'参照_武将'!B:B,"見つかりません"))</f>
      </c>
      <c r="H10" s="12" t="str">
        <f t="array" ref="H10">IF(F10:F99="","",IFERROR(IF(_xlfn.XLOOKUP(F10:F99,castles_state!K:K,castles_state!J:J)=D10:D99,"OK","値が違います"),"存在しません"))</f>
      </c>
    </row>
    <row r="11">
      <c r="A11" s="4">
        <v>10</v>
      </c>
      <c r="B11" s="4">
        <v>3</v>
      </c>
      <c r="C11" s="12" t="str">
        <f t="array" ref="C11">IF(B11:B100="","",_xlfn.XLOOKUP(B11:B100,'参照_勢力'!A:A,'参照_勢力'!B:B,"見つかりません"))</f>
        <v>武田家</v>
      </c>
      <c r="D11" s="4">
        <v>2</v>
      </c>
      <c r="E11" s="12" t="str">
        <f t="shared" si="1"/>
      </c>
      <c r="F11" s="4">
        <v>1002039</v>
      </c>
      <c r="G11" s="12" t="str">
        <f t="array" ref="G11">IF(F11:F100="","",_xlfn.XLOOKUP(F11:F100,'参照_武将'!A:A,'参照_武将'!B:B,"見つかりません"))</f>
      </c>
      <c r="H11" s="12" t="str">
        <f t="array" ref="H11">IF(F11:F100="","",IFERROR(IF(_xlfn.XLOOKUP(F11:F100,castles_state!K:K,castles_state!J:J)=D11:D100,"OK","値が違います"),"存在しません"))</f>
      </c>
    </row>
    <row r="12">
      <c r="A12" s="4">
        <v>11</v>
      </c>
      <c r="B12" s="4">
        <v>3</v>
      </c>
      <c r="C12" s="12" t="str">
        <f t="array" ref="C12">IF(B12:B101="","",_xlfn.XLOOKUP(B12:B101,'参照_勢力'!A:A,'参照_勢力'!B:B,"見つかりません"))</f>
        <v>武田家</v>
      </c>
      <c r="D12" s="4">
        <v>3</v>
      </c>
      <c r="E12" s="12" t="str">
        <f t="shared" si="1"/>
      </c>
      <c r="F12" s="4">
        <v>1002023</v>
      </c>
      <c r="G12" s="12" t="str">
        <f t="array" ref="G12">IF(F12:F101="","",_xlfn.XLOOKUP(F12:F101,'参照_武将'!A:A,'参照_武将'!B:B,"見つかりません"))</f>
      </c>
      <c r="H12" s="12" t="str">
        <f t="array" ref="H12">IF(F12:F101="","",IFERROR(IF(_xlfn.XLOOKUP(F12:F101,castles_state!K:K,castles_state!J:J)=D12:D101,"OK","値が違います"),"存在しません"))</f>
      </c>
    </row>
    <row r="13">
      <c r="A13" s="4">
        <v>12</v>
      </c>
      <c r="B13" s="4">
        <v>3</v>
      </c>
      <c r="C13" s="12" t="str">
        <f t="array" ref="C13">IF(B13:B102="","",_xlfn.XLOOKUP(B13:B102,'参照_勢力'!A:A,'参照_勢力'!B:B,"見つかりません"))</f>
        <v>武田家</v>
      </c>
      <c r="D13" s="4">
        <v>4</v>
      </c>
      <c r="E13" s="12" t="str">
        <f t="shared" si="1"/>
      </c>
      <c r="F13" s="4">
        <v>1209002</v>
      </c>
      <c r="G13" s="12" t="str">
        <f t="array" ref="G13">IF(F13:F102="","",_xlfn.XLOOKUP(F13:F102,'参照_武将'!A:A,'参照_武将'!B:B,"見つかりません"))</f>
      </c>
      <c r="H13" s="12" t="str">
        <f t="array" ref="H13">IF(F13:F102="","",IFERROR(IF(_xlfn.XLOOKUP(F13:F102,castles_state!K:K,castles_state!J:J)=D13:D102,"OK","値が違います"),"存在しません"))</f>
      </c>
    </row>
    <row r="14">
      <c r="A14" s="4">
        <v>13</v>
      </c>
      <c r="B14" s="4">
        <v>3</v>
      </c>
      <c r="C14" s="12" t="str">
        <f t="array" ref="C14">IF(B14:B103="","",_xlfn.XLOOKUP(B14:B103,'参照_勢力'!A:A,'参照_勢力'!B:B,"見つかりません"))</f>
        <v>武田家</v>
      </c>
      <c r="D14" s="4">
        <v>5</v>
      </c>
      <c r="E14" s="12" t="str">
        <f t="shared" si="1"/>
      </c>
      <c r="F14" s="4">
        <v>1002046</v>
      </c>
      <c r="G14" s="12" t="str">
        <f t="array" ref="G14">IF(F14:F103="","",_xlfn.XLOOKUP(F14:F103,'参照_武将'!A:A,'参照_武将'!B:B,"見つかりません"))</f>
      </c>
      <c r="H14" s="12" t="str">
        <f t="array" ref="H14">IF(F14:F103="","",IFERROR(IF(_xlfn.XLOOKUP(F14:F103,castles_state!K:K,castles_state!J:J)=D14:D103,"OK","値が違います"),"存在しません"))</f>
      </c>
    </row>
    <row r="15">
      <c r="A15" s="4">
        <v>14</v>
      </c>
      <c r="B15" s="4">
        <v>4</v>
      </c>
      <c r="C15" s="12" t="str">
        <f t="array" ref="C15">IF(B15:B104="","",_xlfn.XLOOKUP(B15:B104,'参照_勢力'!A:A,'参照_勢力'!B:B,"見つかりません"))</f>
        <v>北条家</v>
      </c>
      <c r="D15" s="4">
        <v>1</v>
      </c>
      <c r="E15" s="12" t="str">
        <f t="shared" si="1"/>
      </c>
      <c r="F15" s="4">
        <v>1003073</v>
      </c>
      <c r="G15" s="12" t="str">
        <f t="array" ref="G15">IF(F15:F104="","",_xlfn.XLOOKUP(F15:F104,'参照_武将'!A:A,'参照_武将'!B:B,"見つかりません"))</f>
      </c>
      <c r="H15" s="12" t="str">
        <f t="array" ref="H15">IF(F15:F104="","",IFERROR(IF(_xlfn.XLOOKUP(F15:F104,castles_state!K:K,castles_state!J:J)=D15:D104,"OK","値が違います"),"存在しません"))</f>
      </c>
    </row>
    <row r="16">
      <c r="A16" s="4">
        <v>15</v>
      </c>
      <c r="B16" s="4">
        <v>4</v>
      </c>
      <c r="C16" s="12" t="str">
        <f t="array" ref="C16">IF(B16:B105="","",_xlfn.XLOOKUP(B16:B105,'参照_勢力'!A:A,'参照_勢力'!B:B,"見つかりません"))</f>
        <v>北条家</v>
      </c>
      <c r="D16" s="4">
        <v>2</v>
      </c>
      <c r="E16" s="12" t="str">
        <f t="shared" si="1"/>
      </c>
      <c r="F16" s="4">
        <v>1003020</v>
      </c>
      <c r="G16" s="12" t="str">
        <f t="array" ref="G16">IF(F16:F105="","",_xlfn.XLOOKUP(F16:F105,'参照_武将'!A:A,'参照_武将'!B:B,"見つかりません"))</f>
      </c>
      <c r="H16" s="12" t="str">
        <f t="array" ref="H16">IF(F16:F105="","",IFERROR(IF(_xlfn.XLOOKUP(F16:F105,castles_state!K:K,castles_state!J:J)=D16:D105,"OK","値が違います"),"存在しません"))</f>
      </c>
    </row>
    <row r="17">
      <c r="A17" s="4">
        <v>16</v>
      </c>
      <c r="B17" s="4">
        <v>4</v>
      </c>
      <c r="C17" s="12" t="str">
        <f t="array" ref="C17">IF(B17:B106="","",_xlfn.XLOOKUP(B17:B106,'参照_勢力'!A:A,'参照_勢力'!B:B,"見つかりません"))</f>
        <v>北条家</v>
      </c>
      <c r="D17" s="4">
        <v>3</v>
      </c>
      <c r="E17" s="12" t="str">
        <f t="shared" si="1"/>
      </c>
      <c r="F17" s="4">
        <v>1003051</v>
      </c>
      <c r="G17" s="12" t="str">
        <f t="array" ref="G17">IF(F17:F106="","",_xlfn.XLOOKUP(F17:F106,'参照_武将'!A:A,'参照_武将'!B:B,"見つかりません"))</f>
      </c>
      <c r="H17" s="12" t="str">
        <f t="array" ref="H17">IF(F17:F106="","",IFERROR(IF(_xlfn.XLOOKUP(F17:F106,castles_state!K:K,castles_state!J:J)=D17:D106,"OK","値が違います"),"存在しません"))</f>
      </c>
    </row>
    <row r="18">
      <c r="A18" s="4">
        <v>25</v>
      </c>
      <c r="B18" s="4">
        <v>7</v>
      </c>
      <c r="C18" s="12" t="str">
        <f t="array" ref="C18">IF(B18:B107="","",_xlfn.XLOOKUP(B18:B107,'参照_勢力'!A:A,'参照_勢力'!B:B,"見つかりません"))</f>
        <v>今川家</v>
      </c>
      <c r="D18" s="4">
        <v>1</v>
      </c>
      <c r="E18" s="12" t="str">
        <f t="shared" si="1"/>
      </c>
      <c r="F18" s="4">
        <v>1007026</v>
      </c>
      <c r="G18" s="12" t="str">
        <f t="array" ref="G18">IF(F18:F107="","",_xlfn.XLOOKUP(F18:F107,'参照_武将'!A:A,'参照_武将'!B:B,"見つかりません"))</f>
      </c>
      <c r="H18" s="12" t="str">
        <f t="array" ref="H18">IF(F18:F107="","",IFERROR(IF(_xlfn.XLOOKUP(F18:F107,castles_state!K:K,castles_state!J:J)=D18:D107,"OK","値が違います"),"存在しません"))</f>
      </c>
    </row>
    <row r="19">
      <c r="A19" s="4">
        <v>26</v>
      </c>
      <c r="B19" s="4">
        <v>7</v>
      </c>
      <c r="C19" s="12" t="str">
        <f t="array" ref="C19">IF(B19:B108="","",_xlfn.XLOOKUP(B19:B108,'参照_勢力'!A:A,'参照_勢力'!B:B,"見つかりません"))</f>
        <v>今川家</v>
      </c>
      <c r="D19" s="4">
        <v>2</v>
      </c>
      <c r="E19" s="12" t="str">
        <f t="shared" si="1"/>
      </c>
      <c r="F19" s="4">
        <v>1007018</v>
      </c>
      <c r="G19" s="12" t="str">
        <f t="array" ref="G19">IF(F19:F108="","",_xlfn.XLOOKUP(F19:F108,'参照_武将'!A:A,'参照_武将'!B:B,"見つかりません"))</f>
      </c>
      <c r="H19" s="12" t="str">
        <f t="array" ref="H19">IF(F19:F108="","",IFERROR(IF(_xlfn.XLOOKUP(F19:F108,castles_state!K:K,castles_state!J:J)=D19:D108,"OK","値が違います"),"存在しません"))</f>
      </c>
    </row>
    <row r="20">
      <c r="A20" s="4">
        <v>27</v>
      </c>
      <c r="B20" s="4">
        <v>7</v>
      </c>
      <c r="C20" s="12" t="str">
        <f t="array" ref="C20">IF(B20:B109="","",_xlfn.XLOOKUP(B20:B109,'参照_勢力'!A:A,'参照_勢力'!B:B,"見つかりません"))</f>
        <v>今川家</v>
      </c>
      <c r="D20" s="4">
        <v>3</v>
      </c>
      <c r="E20" s="12" t="str">
        <f t="shared" si="1"/>
      </c>
      <c r="F20" s="4">
        <v>1007038</v>
      </c>
      <c r="G20" s="12" t="str">
        <f t="array" ref="G20">IF(F20:F109="","",_xlfn.XLOOKUP(F20:F109,'参照_武将'!A:A,'参照_武将'!B:B,"見つかりません"))</f>
      </c>
      <c r="H20" s="12" t="str">
        <f t="array" ref="H20">IF(F20:F109="","",IFERROR(IF(_xlfn.XLOOKUP(F20:F109,castles_state!K:K,castles_state!J:J)=D20:D109,"OK","値が違います"),"存在しません"))</f>
      </c>
    </row>
    <row r="21" ht="15.75" customHeight="1">
      <c r="A21" s="4">
        <v>28</v>
      </c>
      <c r="B21" s="4">
        <v>8</v>
      </c>
      <c r="C21" s="12" t="str">
        <f t="array" ref="C21">IF(B21:B110="","",_xlfn.XLOOKUP(B21:B110,'参照_勢力'!A:A,'参照_勢力'!B:B,"見つかりません"))</f>
        <v>今川家</v>
      </c>
      <c r="D21" s="4">
        <v>1</v>
      </c>
      <c r="E21" s="12" t="str">
        <f t="shared" si="1"/>
      </c>
      <c r="F21" s="4">
        <v>1008022</v>
      </c>
      <c r="G21" s="12" t="str">
        <f t="array" ref="G21">IF(F21:F110="","",_xlfn.XLOOKUP(F21:F110,'参照_武将'!A:A,'参照_武将'!B:B,"見つかりません"))</f>
      </c>
      <c r="H21" s="12" t="str">
        <f t="array" ref="H21">IF(F21:F110="","",IFERROR(IF(_xlfn.XLOOKUP(F21:F110,castles_state!K:K,castles_state!J:J)=D21:D110,"OK","値が違います"),"存在しません"))</f>
      </c>
    </row>
    <row r="22" ht="15.75" customHeight="1">
      <c r="A22" s="4">
        <v>33</v>
      </c>
      <c r="B22" s="4">
        <v>19</v>
      </c>
      <c r="C22" s="12" t="str">
        <f t="array" ref="C22">IF(B22:B111="","",_xlfn.XLOOKUP(B22:B111,'参照_勢力'!A:A,'参照_勢力'!B:B,"見つかりません"))</f>
        <v>一色家</v>
      </c>
      <c r="D22" s="4">
        <v>1</v>
      </c>
      <c r="E22" s="12" t="str">
        <f t="shared" si="1"/>
      </c>
      <c r="F22" s="4">
        <v>1019021</v>
      </c>
      <c r="G22" s="12" t="str">
        <f t="array" ref="G22">IF(F22:F111="","",_xlfn.XLOOKUP(F22:F111,'参照_武将'!A:A,'参照_武将'!B:B,"見つかりません"))</f>
      </c>
      <c r="H22" s="12" t="str">
        <f t="array" ref="H22">IF(F22:F111="","",IFERROR(IF(_xlfn.XLOOKUP(F22:F111,castles_state!K:K,castles_state!J:J)=D22:D111,"OK","値が違います"),"存在しません"))</f>
      </c>
    </row>
    <row r="23" ht="15.75" customHeight="1">
      <c r="A23" s="4">
        <v>34</v>
      </c>
      <c r="B23" s="4">
        <v>20</v>
      </c>
      <c r="C23" s="12" t="str">
        <f t="array" ref="C23">IF(B23:B112="","",_xlfn.XLOOKUP(B23:B112,'参照_勢力'!A:A,'参照_勢力'!B:B,"見つかりません"))</f>
        <v>一色家</v>
      </c>
      <c r="D23" s="4">
        <v>1</v>
      </c>
      <c r="E23" s="12" t="str">
        <f t="shared" si="1"/>
      </c>
      <c r="F23" s="4">
        <v>1020040</v>
      </c>
      <c r="G23" s="12" t="str">
        <f t="array" ref="G23">IF(F23:F112="","",_xlfn.XLOOKUP(F23:F112,'参照_武将'!A:A,'参照_武将'!B:B,"見つかりません"))</f>
      </c>
      <c r="H23" s="12" t="str">
        <f t="array" ref="H23">IF(F23:F112="","",IFERROR(IF(_xlfn.XLOOKUP(F23:F112,castles_state!K:K,castles_state!J:J)=D23:D112,"OK","値が違います"),"存在しません"))</f>
      </c>
    </row>
    <row r="24" ht="15.75" customHeight="1">
      <c r="A24" s="4">
        <v>35</v>
      </c>
      <c r="B24" s="4">
        <v>20</v>
      </c>
      <c r="C24" s="12" t="str">
        <f t="array" ref="C24">IF(B24:B113="","",_xlfn.XLOOKUP(B24:B113,'参照_勢力'!A:A,'参照_勢力'!B:B,"見つかりません"))</f>
        <v>一色家</v>
      </c>
      <c r="D24" s="4">
        <v>2</v>
      </c>
      <c r="E24" s="12" t="str">
        <f t="shared" si="1"/>
      </c>
      <c r="F24" s="4">
        <v>1020015</v>
      </c>
      <c r="G24" s="12" t="str">
        <f t="array" ref="G24">IF(F24:F113="","",_xlfn.XLOOKUP(F24:F113,'参照_武将'!A:A,'参照_武将'!B:B,"見つかりません"))</f>
      </c>
      <c r="H24" s="12" t="str">
        <f t="array" ref="H24">IF(F24:F113="","",IFERROR(IF(_xlfn.XLOOKUP(F24:F113,castles_state!K:K,castles_state!J:J)=D24:D113,"OK","値が違います"),"存在しません"))</f>
      </c>
    </row>
    <row r="25" ht="15.75" customHeight="1">
      <c r="A25" s="4">
        <v>36</v>
      </c>
      <c r="B25" s="4">
        <v>20</v>
      </c>
      <c r="C25" s="12" t="str">
        <f t="array" ref="C25">IF(B25:B114="","",_xlfn.XLOOKUP(B25:B114,'参照_勢力'!A:A,'参照_勢力'!B:B,"見つかりません"))</f>
        <v>一色家</v>
      </c>
      <c r="D25" s="4">
        <v>3</v>
      </c>
      <c r="E25" s="12" t="str">
        <f t="shared" si="1"/>
      </c>
      <c r="F25" s="4">
        <v>1020012</v>
      </c>
      <c r="G25" s="12" t="str">
        <f t="array" ref="G25">IF(F25:F114="","",_xlfn.XLOOKUP(F25:F114,'参照_武将'!A:A,'参照_武将'!B:B,"見つかりません"))</f>
      </c>
      <c r="H25" s="12" t="str">
        <f t="array" ref="H25">IF(F25:F114="","",IFERROR(IF(_xlfn.XLOOKUP(F25:F114,castles_state!K:K,castles_state!J:J)=D25:D114,"OK","値が違います"),"存在しません"))</f>
      </c>
    </row>
    <row r="26" ht="15.75" customHeight="1">
      <c r="A26" s="4">
        <v>77</v>
      </c>
      <c r="B26" s="4">
        <v>70</v>
      </c>
      <c r="C26" s="12" t="str">
        <f t="array" ref="C26">IF(B26:B115="","",_xlfn.XLOOKUP(B26:B115,'参照_勢力'!A:A,'参照_勢力'!B:B,"見つかりません"))</f>
        <v>朝倉家</v>
      </c>
      <c r="D26" s="4">
        <v>1</v>
      </c>
      <c r="E26" s="12" t="str">
        <f t="shared" si="1"/>
      </c>
      <c r="F26" s="4">
        <v>1070021</v>
      </c>
      <c r="G26" s="12" t="str">
        <f t="array" ref="G26">IF(F26:F115="","",_xlfn.XLOOKUP(F26:F115,'参照_武将'!A:A,'参照_武将'!B:B,"見つかりません"))</f>
      </c>
      <c r="H26" s="12" t="str">
        <f t="array" ref="H26">IF(F26:F115="","",IFERROR(IF(_xlfn.XLOOKUP(F26:F115,castles_state!K:K,castles_state!J:J)=D26:D115,"OK","値が違います"),"存在しません"))</f>
      </c>
    </row>
    <row r="27" ht="15.75" customHeight="1">
      <c r="A27" s="4">
        <v>80</v>
      </c>
      <c r="B27" s="4">
        <v>74</v>
      </c>
      <c r="C27" s="12" t="str">
        <f t="array" ref="C27">IF(B27:B116="","",_xlfn.XLOOKUP(B27:B116,'参照_勢力'!A:A,'参照_勢力'!B:B,"見つかりません"))</f>
        <v>朝倉家</v>
      </c>
      <c r="D27" s="4">
        <v>2</v>
      </c>
      <c r="E27" s="12" t="str">
        <f t="shared" si="1"/>
      </c>
      <c r="F27" s="4">
        <v>1074004</v>
      </c>
      <c r="G27" s="12" t="str">
        <f t="array" ref="G27">IF(F27:F116="","",_xlfn.XLOOKUP(F27:F116,'参照_武将'!A:A,'参照_武将'!B:B,"見つかりません"))</f>
      </c>
      <c r="H27" s="12" t="str">
        <f t="array" ref="H27">IF(F27:F116="","",IFERROR(IF(_xlfn.XLOOKUP(F27:F116,castles_state!K:K,castles_state!J:J)=D27:D116,"OK","値が違います"),"存在しません"))</f>
      </c>
    </row>
    <row r="28" ht="15.75" customHeight="1">
      <c r="A28" s="4">
        <v>39</v>
      </c>
      <c r="B28" s="4">
        <v>1</v>
      </c>
      <c r="C28" s="12" t="str">
        <f t="array" ref="C28">IF(B28:B117="","",_xlfn.XLOOKUP(B28:B117,'参照_勢力'!A:A,'参照_勢力'!B:B,"見つかりません"))</f>
        <v>朝倉家</v>
      </c>
      <c r="D28" s="4">
        <v>2</v>
      </c>
      <c r="E28" s="12" t="str">
        <f t="shared" si="1"/>
      </c>
      <c r="F28" s="4">
        <v>1024005</v>
      </c>
      <c r="G28" s="12" t="str">
        <f t="array" ref="G28">IF(F28:F117="","",_xlfn.XLOOKUP(F28:F117,'参照_武将'!A:A,'参照_武将'!B:B,"見つかりません"))</f>
      </c>
      <c r="H28" s="12" t="str">
        <f t="array" ref="H28">IF(F28:F117="","",IFERROR(IF(_xlfn.XLOOKUP(F28:F117,castles_state!K:K,castles_state!J:J)=D28:D117,"OK","値が違います"),"存在しません"))</f>
      </c>
    </row>
    <row r="29" ht="15.75" customHeight="1">
      <c r="A29" s="4">
        <v>40</v>
      </c>
      <c r="B29" s="4">
        <v>25</v>
      </c>
      <c r="C29" s="12" t="str">
        <f t="array" ref="C29">IF(B29:B118="","",_xlfn.XLOOKUP(B29:B118,'参照_勢力'!A:A,'参照_勢力'!B:B,"見つかりません"))</f>
        <v>畠山家</v>
      </c>
      <c r="D29" s="4">
        <v>1</v>
      </c>
      <c r="E29" s="12" t="str">
        <f t="shared" si="1"/>
      </c>
      <c r="F29" s="4">
        <v>1025006</v>
      </c>
      <c r="G29" s="12" t="str">
        <f t="array" ref="G29">IF(F29:F118="","",_xlfn.XLOOKUP(F29:F118,'参照_武将'!A:A,'参照_武将'!B:B,"見つかりません"))</f>
      </c>
      <c r="H29" s="12" t="str">
        <f t="array" ref="H29">IF(F29:F118="","",IFERROR(IF(_xlfn.XLOOKUP(F29:F118,castles_state!K:K,castles_state!J:J)=D29:D118,"OK","値が違います"),"存在しません"))</f>
      </c>
    </row>
    <row r="30" ht="15.75" customHeight="1">
      <c r="A30" s="4">
        <v>41</v>
      </c>
      <c r="B30" s="4">
        <v>25</v>
      </c>
      <c r="C30" s="12" t="str">
        <f t="array" ref="C30">IF(B30:B119="","",_xlfn.XLOOKUP(B30:B119,'参照_勢力'!A:A,'参照_勢力'!B:B,"見つかりません"))</f>
        <v>浅井家</v>
      </c>
      <c r="D30" s="4">
        <v>2</v>
      </c>
      <c r="E30" s="12" t="str">
        <f t="shared" si="1"/>
      </c>
      <c r="F30" s="4">
        <v>1025011</v>
      </c>
      <c r="G30" s="12" t="str">
        <f t="array" ref="G30">IF(F30:F119="","",_xlfn.XLOOKUP(F30:F119,'参照_武将'!A:A,'参照_武将'!B:B,"見つかりません"))</f>
      </c>
      <c r="H30" s="12" t="str">
        <f t="array" ref="H30">IF(F30:F119="","",IFERROR(IF(_xlfn.XLOOKUP(F30:F119,castles_state!K:K,castles_state!J:J)=D30:D119,"OK","値が違います"),"存在しません"))</f>
      </c>
    </row>
    <row r="31" ht="15.75" customHeight="1">
      <c r="A31" s="4">
        <v>42</v>
      </c>
      <c r="B31" s="4">
        <v>25</v>
      </c>
      <c r="C31" s="12" t="str">
        <f t="array" ref="C31">IF(B31:B120="","",_xlfn.XLOOKUP(B31:B120,'参照_勢力'!A:A,'参照_勢力'!B:B,"見つかりません"))</f>
        <v>六角家</v>
      </c>
      <c r="D31" s="4">
        <v>3</v>
      </c>
      <c r="E31" s="12" t="str">
        <f t="shared" si="1"/>
      </c>
      <c r="F31" s="4">
        <v>1212006</v>
      </c>
      <c r="G31" s="12" t="str">
        <f t="array" ref="G31">IF(F31:F120="","",_xlfn.XLOOKUP(F31:F120,'参照_武将'!A:A,'参照_武将'!B:B,"見つかりません"))</f>
      </c>
      <c r="H31" s="12" t="str">
        <f t="array" ref="H31">IF(F31:F120="","",IFERROR(IF(_xlfn.XLOOKUP(F31:F120,castles_state!K:K,castles_state!J:J)=D31:D120,"OK","値が違います"),"存在しません"))</f>
      </c>
    </row>
    <row r="32" ht="15.75" customHeight="1">
      <c r="A32" s="4">
        <v>43</v>
      </c>
      <c r="B32" s="4">
        <v>26</v>
      </c>
      <c r="C32" s="12" t="str">
        <f t="array" ref="C32">IF(B32:B121="","",_xlfn.XLOOKUP(B32:B121,'参照_勢力'!A:A,'参照_勢力'!B:B,"見つかりません"))</f>
        <v>六角家</v>
      </c>
      <c r="D32" s="4">
        <v>1</v>
      </c>
      <c r="E32" s="12" t="str">
        <f t="shared" si="1"/>
      </c>
      <c r="F32" s="4">
        <v>1026026</v>
      </c>
      <c r="G32" s="12" t="str">
        <f t="array" ref="G32">IF(F32:F121="","",_xlfn.XLOOKUP(F32:F121,'参照_武将'!A:A,'参照_武将'!B:B,"見つかりません"))</f>
      </c>
      <c r="H32" s="12" t="str">
        <f t="array" ref="H32">IF(F32:F121="","",IFERROR(IF(_xlfn.XLOOKUP(F32:F121,castles_state!K:K,castles_state!J:J)=D32:D121,"OK","値が違います"),"存在しません"))</f>
      </c>
    </row>
    <row r="33" ht="15.75" customHeight="1">
      <c r="A33" s="4">
        <v>44</v>
      </c>
      <c r="B33" s="4">
        <v>26</v>
      </c>
      <c r="C33" s="12" t="str">
        <f t="array" ref="C33">IF(B33:B122="","",_xlfn.XLOOKUP(B33:B122,'参照_勢力'!A:A,'参照_勢力'!B:B,"見つかりません"))</f>
        <v>六角家</v>
      </c>
      <c r="D33" s="4">
        <v>2</v>
      </c>
      <c r="E33" s="12" t="str">
        <f t="shared" si="1"/>
      </c>
      <c r="F33" s="4">
        <v>1026033</v>
      </c>
      <c r="G33" s="12" t="str">
        <f t="array" ref="G33">IF(F33:F122="","",_xlfn.XLOOKUP(F33:F122,'参照_武将'!A:A,'参照_武将'!B:B,"見つかりません"))</f>
      </c>
      <c r="H33" s="12" t="str">
        <f t="array" ref="H33">IF(F33:F122="","",IFERROR(IF(_xlfn.XLOOKUP(F33:F122,castles_state!K:K,castles_state!J:J)=D33:D122,"OK","値が違います"),"存在しません"))</f>
      </c>
    </row>
    <row r="34" ht="15.75" customHeight="1">
      <c r="A34" s="4">
        <v>45</v>
      </c>
      <c r="B34" s="4">
        <v>26</v>
      </c>
      <c r="C34" s="12" t="str">
        <f t="array" ref="C34">IF(B34:B123="","",_xlfn.XLOOKUP(B34:B123,'参照_勢力'!A:A,'参照_勢力'!B:B,"見つかりません"))</f>
        <v>本願寺家</v>
      </c>
      <c r="D34" s="4">
        <v>3</v>
      </c>
      <c r="E34" s="12" t="str">
        <f t="shared" si="1"/>
      </c>
      <c r="F34" s="4">
        <v>1026048</v>
      </c>
      <c r="G34" s="12" t="str">
        <f t="array" ref="G34">IF(F34:F123="","",_xlfn.XLOOKUP(F34:F123,'参照_武将'!A:A,'参照_武将'!B:B,"見つかりません"))</f>
      </c>
      <c r="H34" s="12" t="str">
        <f t="array" ref="H34">IF(F34:F123="","",IFERROR(IF(_xlfn.XLOOKUP(F34:F123,castles_state!K:K,castles_state!J:J)=D34:D123,"OK","値が違います"),"存在しません"))</f>
      </c>
    </row>
    <row r="35" ht="15.75" customHeight="1">
      <c r="A35" s="4">
        <v>46</v>
      </c>
      <c r="B35" s="4">
        <v>26</v>
      </c>
      <c r="C35" s="12" t="str">
        <f t="array" ref="C35">IF(B35:B124="","",_xlfn.XLOOKUP(B35:B124,'参照_勢力'!A:A,'参照_勢力'!B:B,"見つかりません"))</f>
        <v>三好家</v>
      </c>
      <c r="D35" s="4">
        <v>4</v>
      </c>
      <c r="E35" s="12" t="str">
        <f t="shared" si="1"/>
      </c>
      <c r="F35" s="4">
        <v>1026064</v>
      </c>
      <c r="G35" s="12" t="str">
        <f t="array" ref="G35">IF(F35:F124="","",_xlfn.XLOOKUP(F35:F124,'参照_武将'!A:A,'参照_武将'!B:B,"見つかりません"))</f>
      </c>
      <c r="H35" s="12" t="str">
        <f t="array" ref="H35">IF(F35:F124="","",IFERROR(IF(_xlfn.XLOOKUP(F35:F124,castles_state!K:K,castles_state!J:J)=D35:D124,"OK","値が違います"),"存在しません"))</f>
      </c>
    </row>
    <row r="36" ht="15.75" customHeight="1">
      <c r="A36" s="4">
        <v>48</v>
      </c>
      <c r="B36" s="4">
        <v>27</v>
      </c>
      <c r="C36" s="12" t="str">
        <f t="array" ref="C36">IF(B36:B125="","",_xlfn.XLOOKUP(B36:B125,'参照_勢力'!A:A,'参照_勢力'!B:B,"見つかりません"))</f>
        <v>三好家</v>
      </c>
      <c r="D36" s="4">
        <v>2</v>
      </c>
      <c r="E36" s="12" t="str">
        <f t="shared" si="1"/>
      </c>
      <c r="F36" s="4">
        <v>1091013</v>
      </c>
      <c r="G36" s="12" t="str">
        <f t="array" ref="G36">IF(F36:F125="","",_xlfn.XLOOKUP(F36:F125,'参照_武将'!A:A,'参照_武将'!B:B,"見つかりません"))</f>
      </c>
      <c r="H36" s="12" t="str">
        <f t="array" ref="H36">IF(F36:F125="","",IFERROR(IF(_xlfn.XLOOKUP(F36:F125,castles_state!K:K,castles_state!J:J)=D36:D125,"OK","値が違います"),"存在しません"))</f>
      </c>
    </row>
    <row r="37" ht="15.75" customHeight="1">
      <c r="A37" s="4">
        <v>49</v>
      </c>
      <c r="B37" s="4">
        <v>28</v>
      </c>
      <c r="C37" s="12" t="str">
        <f t="array" ref="C37">IF(B37:B126="","",_xlfn.XLOOKUP(B37:B126,'参照_勢力'!A:A,'参照_勢力'!B:B,"見つかりません"))</f>
        <v>三好家</v>
      </c>
      <c r="D37" s="4">
        <v>1</v>
      </c>
      <c r="E37" s="12" t="str">
        <f t="shared" si="1"/>
      </c>
      <c r="F37" s="4">
        <v>1215007</v>
      </c>
      <c r="G37" s="12" t="str">
        <f t="array" ref="G37">IF(F37:F126="","",_xlfn.XLOOKUP(F37:F126,'参照_武将'!A:A,'参照_武将'!B:B,"見つかりません"))</f>
      </c>
      <c r="H37" s="12" t="str">
        <f t="array" ref="H37">IF(F37:F126="","",IFERROR(IF(_xlfn.XLOOKUP(F37:F126,castles_state!K:K,castles_state!J:J)=D37:D126,"OK","値が違います"),"存在しません"))</f>
      </c>
    </row>
    <row r="38" ht="15.75" customHeight="1">
      <c r="A38" s="4">
        <v>51</v>
      </c>
      <c r="B38" s="4">
        <v>32</v>
      </c>
      <c r="C38" s="12" t="str">
        <f t="array" ref="C38">IF(B38:B127="","",_xlfn.XLOOKUP(B38:B127,'参照_勢力'!A:A,'参照_勢力'!B:B,"見つかりません"))</f>
        <v>三好家</v>
      </c>
      <c r="D38" s="4">
        <v>2</v>
      </c>
      <c r="E38" s="12" t="str">
        <f t="shared" si="1"/>
      </c>
      <c r="F38" s="4">
        <v>1032013</v>
      </c>
      <c r="G38" s="12" t="str">
        <f t="array" ref="G38">IF(F38:F127="","",_xlfn.XLOOKUP(F38:F127,'参照_武将'!A:A,'参照_武将'!B:B,"見つかりません"))</f>
      </c>
      <c r="H38" s="12" t="str">
        <f t="array" ref="H38">IF(F38:F127="","",IFERROR(IF(_xlfn.XLOOKUP(F38:F127,castles_state!K:K,castles_state!J:J)=D38:D127,"OK","値が違います"),"存在しません"))</f>
      </c>
    </row>
    <row r="39" ht="15.75" customHeight="1">
      <c r="A39" s="4">
        <v>53</v>
      </c>
      <c r="B39" s="4">
        <v>39</v>
      </c>
      <c r="C39" s="12" t="str">
        <f t="array" ref="C39">IF(B39:B128="","",_xlfn.XLOOKUP(B39:B128,'参照_勢力'!A:A,'参照_勢力'!B:B,"見つかりません"))</f>
        <v>三好家</v>
      </c>
      <c r="D39" s="4">
        <v>1</v>
      </c>
      <c r="E39" s="12" t="str">
        <f t="shared" si="1"/>
      </c>
      <c r="F39" s="4">
        <v>1039018</v>
      </c>
      <c r="G39" s="12" t="str">
        <f t="array" ref="G39">IF(F39:F128="","",_xlfn.XLOOKUP(F39:F128,'参照_武将'!A:A,'参照_武将'!B:B,"見つかりません"))</f>
      </c>
      <c r="H39" s="12" t="str">
        <f t="array" ref="H39">IF(F39:F128="","",IFERROR(IF(_xlfn.XLOOKUP(F39:F128,castles_state!K:K,castles_state!J:J)=D39:D128,"OK","値が違います"),"存在しません"))</f>
      </c>
    </row>
    <row r="40" ht="15.75" customHeight="1">
      <c r="A40" s="4">
        <v>54</v>
      </c>
      <c r="B40" s="4">
        <v>40</v>
      </c>
      <c r="C40" s="12" t="str">
        <f t="array" ref="C40">IF(B40:B129="","",_xlfn.XLOOKUP(B40:B129,'参照_勢力'!A:A,'参照_勢力'!B:B,"見つかりません"))</f>
        <v>北畠家</v>
      </c>
      <c r="D40" s="4">
        <v>1</v>
      </c>
      <c r="E40" s="12" t="str">
        <f t="shared" si="1"/>
      </c>
      <c r="F40" s="4">
        <v>1040006</v>
      </c>
      <c r="G40" s="12" t="str">
        <f t="array" ref="G40">IF(F40:F129="","",_xlfn.XLOOKUP(F40:F129,'参照_武将'!A:A,'参照_武将'!B:B,"見つかりません"))</f>
      </c>
      <c r="H40" s="12" t="str">
        <f t="array" ref="H40">IF(F40:F129="","",IFERROR(IF(_xlfn.XLOOKUP(F40:F129,castles_state!K:K,castles_state!J:J)=D40:D129,"OK","値が違います"),"存在しません"))</f>
      </c>
    </row>
    <row r="41" ht="15.75" customHeight="1">
      <c r="A41" s="4">
        <v>55</v>
      </c>
      <c r="B41" s="4">
        <v>40</v>
      </c>
      <c r="C41" s="12" t="str">
        <f t="array" ref="C41">IF(B41:B130="","",_xlfn.XLOOKUP(B41:B130,'参照_勢力'!A:A,'参照_勢力'!B:B,"見つかりません"))</f>
        <v>毛利家</v>
      </c>
      <c r="D41" s="4">
        <v>2</v>
      </c>
      <c r="E41" s="12" t="str">
        <f t="shared" si="1"/>
      </c>
      <c r="F41" s="4">
        <v>1040501</v>
      </c>
      <c r="G41" s="12" t="str">
        <f t="array" ref="G41">IF(F41:F130="","",_xlfn.XLOOKUP(F41:F130,'参照_武将'!A:A,'参照_武将'!B:B,"見つかりません"))</f>
      </c>
      <c r="H41" s="12" t="str">
        <f t="array" ref="H41">IF(F41:F130="","",IFERROR(IF(_xlfn.XLOOKUP(F41:F130,castles_state!K:K,castles_state!J:J)=D41:D130,"OK","値が違います"),"存在しません"))</f>
      </c>
    </row>
    <row r="42" ht="15.75" customHeight="1">
      <c r="A42" s="4">
        <v>63</v>
      </c>
      <c r="B42" s="4">
        <v>53</v>
      </c>
      <c r="C42" s="12" t="str">
        <f t="array" ref="C42">IF(B42:B131="","",_xlfn.XLOOKUP(B42:B131,'参照_勢力'!A:A,'参照_勢力'!B:B,"見つかりません"))</f>
        <v>毛利家</v>
      </c>
      <c r="D42" s="4">
        <v>2</v>
      </c>
      <c r="E42" s="12" t="str">
        <f t="shared" si="1"/>
      </c>
      <c r="F42" s="4">
        <v>1053025</v>
      </c>
      <c r="G42" s="12" t="str">
        <f t="array" ref="G42">IF(F42:F131="","",_xlfn.XLOOKUP(F42:F131,'参照_武将'!A:A,'参照_武将'!B:B,"見つかりません"))</f>
      </c>
      <c r="H42" s="12" t="str">
        <f t="array" ref="H42">IF(F42:F131="","",IFERROR(IF(_xlfn.XLOOKUP(F42:F131,castles_state!K:K,castles_state!J:J)=D42:D131,"OK","値が違います"),"存在しません"))</f>
      </c>
    </row>
    <row r="43" ht="15.75" customHeight="1">
      <c r="A43" s="4">
        <v>64</v>
      </c>
      <c r="B43" s="4">
        <v>53</v>
      </c>
      <c r="C43" s="12" t="str">
        <f t="array" ref="C43">IF(B43:B132="","",_xlfn.XLOOKUP(B43:B132,'参照_勢力'!A:A,'参照_勢力'!B:B,"見つかりません"))</f>
        <v>毛利家</v>
      </c>
      <c r="D43" s="4">
        <v>3</v>
      </c>
      <c r="E43" s="12" t="str">
        <f t="shared" si="1"/>
      </c>
      <c r="F43" s="4">
        <v>1053048</v>
      </c>
      <c r="G43" s="12" t="str">
        <f t="array" ref="G43">IF(F43:F132="","",_xlfn.XLOOKUP(F43:F132,'参照_武将'!A:A,'参照_武将'!B:B,"見つかりません"))</f>
      </c>
      <c r="H43" s="12" t="str">
        <f t="array" ref="H43">IF(F43:F132="","",IFERROR(IF(_xlfn.XLOOKUP(F43:F132,castles_state!K:K,castles_state!J:J)=D43:D132,"OK","値が違います"),"存在しません"))</f>
      </c>
    </row>
    <row r="44" ht="15.75" customHeight="1">
      <c r="A44" s="4">
        <v>65</v>
      </c>
      <c r="B44" s="4">
        <v>53</v>
      </c>
      <c r="C44" s="12" t="str">
        <f t="array" ref="C44">IF(B44:B133="","",_xlfn.XLOOKUP(B44:B133,'参照_勢力'!A:A,'参照_勢力'!B:B,"見つかりません"))</f>
        <v>島津家</v>
      </c>
      <c r="D44" s="4">
        <v>4</v>
      </c>
      <c r="E44" s="12" t="str">
        <f t="shared" si="1"/>
      </c>
      <c r="F44" s="4">
        <v>1053023</v>
      </c>
      <c r="G44" s="12" t="str">
        <f t="array" ref="G44">IF(F44:F133="","",_xlfn.XLOOKUP(F44:F133,'参照_武将'!A:A,'参照_武将'!B:B,"見つかりません"))</f>
      </c>
      <c r="H44" s="12" t="str">
        <f t="array" ref="H44">IF(F44:F133="","",IFERROR(IF(_xlfn.XLOOKUP(F44:F133,castles_state!K:K,castles_state!J:J)=D44:D133,"OK","値が違います"),"存在しません"))</f>
      </c>
    </row>
    <row r="45" ht="15.75" customHeight="1">
      <c r="A45" s="4">
        <v>67</v>
      </c>
      <c r="B45" s="4">
        <v>56</v>
      </c>
      <c r="C45" s="12" t="str">
        <f t="array" ref="C45">IF(B45:B134="","",_xlfn.XLOOKUP(B45:B134,'参照_勢力'!A:A,'参照_勢力'!B:B,"見つかりません"))</f>
        <v>島津家</v>
      </c>
      <c r="D45" s="4">
        <v>1</v>
      </c>
      <c r="E45" s="12" t="str">
        <f t="shared" si="1"/>
      </c>
      <c r="F45" s="4">
        <v>1056014</v>
      </c>
      <c r="G45" s="12" t="str">
        <f t="array" ref="G45">IF(F45:F134="","",_xlfn.XLOOKUP(F45:F134,'参照_武将'!A:A,'参照_武将'!B:B,"見つかりません"))</f>
      </c>
      <c r="H45" s="12" t="str">
        <f t="array" ref="H45">IF(F45:F134="","",IFERROR(IF(_xlfn.XLOOKUP(F45:F134,castles_state!K:K,castles_state!J:J)=D45:D134,"OK","値が違います"),"存在しません"))</f>
      </c>
    </row>
    <row r="46" ht="15.75" customHeight="1">
      <c r="A46" s="4">
        <v>68</v>
      </c>
      <c r="B46" s="4">
        <v>56</v>
      </c>
      <c r="C46" s="12" t="str">
        <f t="array" ref="C46">IF(B46:B135="","",_xlfn.XLOOKUP(B46:B135,'参照_勢力'!A:A,'参照_勢力'!B:B,"見つかりません"))</f>
        <v>島津家</v>
      </c>
      <c r="D46" s="4">
        <v>2</v>
      </c>
      <c r="E46" s="12" t="str">
        <f t="shared" si="1"/>
      </c>
      <c r="F46" s="4">
        <v>1057005</v>
      </c>
      <c r="G46" s="12" t="str">
        <f t="array" ref="G46">IF(F46:F135="","",_xlfn.XLOOKUP(F46:F135,'参照_武将'!A:A,'参照_武将'!B:B,"見つかりません"))</f>
      </c>
      <c r="H46" s="12" t="str">
        <f t="array" ref="H46">IF(F46:F135="","",IFERROR(IF(_xlfn.XLOOKUP(F46:F135,castles_state!K:K,castles_state!J:J)=D46:D135,"OK","値が違います"),"存在しません"))</f>
      </c>
    </row>
    <row r="47" ht="15.75" customHeight="1">
      <c r="A47" s="4">
        <v>69</v>
      </c>
      <c r="B47" s="4">
        <v>57</v>
      </c>
      <c r="C47" s="12" t="str">
        <f t="array" ref="C47">IF(B47:B136="","",_xlfn.XLOOKUP(B47:B136,'参照_勢力'!A:A,'参照_勢力'!B:B,"見つかりません"))</f>
        <v>島津家</v>
      </c>
      <c r="D47" s="4">
        <v>1</v>
      </c>
      <c r="E47" s="12" t="str">
        <f t="shared" si="1"/>
      </c>
      <c r="F47" s="4">
        <v>1057007</v>
      </c>
      <c r="G47" s="12" t="str">
        <f t="array" ref="G47">IF(F47:F136="","",_xlfn.XLOOKUP(F47:F136,'参照_武将'!A:A,'参照_武将'!B:B,"見つかりません"))</f>
      </c>
      <c r="H47" s="12" t="str">
        <f t="array" ref="H47">IF(F47:F136="","",IFERROR(IF(_xlfn.XLOOKUP(F47:F136,castles_state!K:K,castles_state!J:J)=D47:D136,"OK","値が違います"),"存在しません"))</f>
      </c>
    </row>
    <row r="48" ht="15.75" customHeight="1">
      <c r="A48" s="4">
        <v>70</v>
      </c>
      <c r="B48" s="4">
        <v>57</v>
      </c>
      <c r="C48" s="12" t="str">
        <f t="array" ref="C48">IF(B48:B137="","",_xlfn.XLOOKUP(B48:B137,'参照_勢力'!A:A,'参照_勢力'!B:B,"見つかりません"))</f>
        <v>里見家</v>
      </c>
      <c r="D48" s="4">
        <v>2</v>
      </c>
      <c r="E48" s="12" t="str">
        <f t="shared" si="1"/>
      </c>
      <c r="F48" s="4">
        <v>1057023</v>
      </c>
      <c r="G48" s="12" t="str">
        <f t="array" ref="G48">IF(F48:F137="","",_xlfn.XLOOKUP(F48:F137,'参照_武将'!A:A,'参照_武将'!B:B,"見つかりません"))</f>
      </c>
      <c r="H48" s="12" t="str">
        <f t="array" ref="H48">IF(F48:F137="","",IFERROR(IF(_xlfn.XLOOKUP(F48:F137,castles_state!K:K,castles_state!J:J)=D48:D137,"OK","値が違います"),"存在しません"))</f>
      </c>
    </row>
    <row r="49" ht="15.75" customHeight="1">
      <c r="A49" s="4">
        <v>71</v>
      </c>
      <c r="B49" s="4">
        <v>68</v>
      </c>
      <c r="C49" s="12" t="str">
        <f t="array" ref="C49">IF(B49:B138="","",_xlfn.XLOOKUP(B49:B138,'参照_勢力'!A:A,'参照_勢力'!B:B,"見つかりません"))</f>
        <v>里見家</v>
      </c>
      <c r="D49" s="4">
        <v>1</v>
      </c>
      <c r="E49" s="12" t="str">
        <f t="shared" si="1"/>
      </c>
      <c r="F49" s="4">
        <v>1068017</v>
      </c>
      <c r="G49" s="12" t="str">
        <f t="array" ref="G49">IF(F49:F138="","",_xlfn.XLOOKUP(F49:F138,'参照_武将'!A:A,'参照_武将'!B:B,"見つかりません"))</f>
      </c>
      <c r="H49" s="12" t="str">
        <f t="array" ref="H49">IF(F49:F138="","",IFERROR(IF(_xlfn.XLOOKUP(F49:F138,castles_state!K:K,castles_state!J:J)=D49:D138,"OK","値が違います"),"存在しません"))</f>
      </c>
    </row>
    <row r="50" ht="15.75" customHeight="1">
      <c r="A50" s="4">
        <v>72</v>
      </c>
      <c r="B50" s="4">
        <v>68</v>
      </c>
      <c r="C50" s="12" t="str">
        <f t="array" ref="C50">IF(B50:B139="","",_xlfn.XLOOKUP(B50:B139,'参照_勢力'!A:A,'参照_勢力'!B:B,"見つかりません"))</f>
        <v>宇都宮家</v>
      </c>
      <c r="D50" s="4">
        <v>2</v>
      </c>
      <c r="E50" s="12" t="str">
        <f t="shared" si="1"/>
      </c>
      <c r="F50" s="4">
        <v>1068038</v>
      </c>
      <c r="G50" s="12" t="str">
        <f t="array" ref="G50">IF(F50:F139="","",_xlfn.XLOOKUP(F50:F139,'参照_武将'!A:A,'参照_武将'!B:B,"見つかりません"))</f>
      </c>
      <c r="H50" s="12" t="str">
        <f t="array" ref="H50">IF(F50:F139="","",IFERROR(IF(_xlfn.XLOOKUP(F50:F139,castles_state!K:K,castles_state!J:J)=D50:D139,"OK","値が違います"),"存在しません"))</f>
      </c>
    </row>
    <row r="51" ht="15.75" customHeight="1">
      <c r="A51" s="4">
        <v>73</v>
      </c>
      <c r="B51" s="4">
        <v>68</v>
      </c>
      <c r="C51" s="12" t="str">
        <f t="array" ref="C51">IF(B51:B140="","",_xlfn.XLOOKUP(B51:B140,'参照_勢力'!A:A,'参照_勢力'!B:B,"見つかりません"))</f>
        <v>佐竹家</v>
      </c>
      <c r="D51" s="4">
        <v>3</v>
      </c>
      <c r="E51" s="12" t="str">
        <f t="shared" si="1"/>
      </c>
      <c r="F51" s="4">
        <v>1068042</v>
      </c>
      <c r="G51" s="12" t="str">
        <f t="array" ref="G51">IF(F51:F140="","",_xlfn.XLOOKUP(F51:F140,'参照_武将'!A:A,'参照_武将'!B:B,"見つかりません"))</f>
      </c>
      <c r="H51" s="12" t="str">
        <f t="array" ref="H51">IF(F51:F140="","",IFERROR(IF(_xlfn.XLOOKUP(F51:F140,castles_state!K:K,castles_state!J:J)=D51:D140,"OK","値が違います"),"存在しません"))</f>
      </c>
    </row>
    <row r="52" ht="15.75" customHeight="1">
      <c r="A52" s="4">
        <v>74</v>
      </c>
      <c r="B52" s="4">
        <v>68</v>
      </c>
      <c r="C52" s="12" t="str">
        <f t="array" ref="C52">IF(B52:B141="","",_xlfn.XLOOKUP(B52:B141,'参照_勢力'!A:A,'参照_勢力'!B:B,"見つかりません"))</f>
        <v>佐竹家</v>
      </c>
      <c r="D52" s="4">
        <v>4</v>
      </c>
      <c r="E52" s="12" t="str">
        <f t="shared" si="1"/>
      </c>
      <c r="F52" s="4">
        <v>1068047</v>
      </c>
      <c r="G52" s="12" t="str">
        <f t="array" ref="G52">IF(F52:F141="","",_xlfn.XLOOKUP(F52:F141,'参照_武将'!A:A,'参照_武将'!B:B,"見つかりません"))</f>
      </c>
      <c r="H52" s="12" t="str">
        <f t="array" ref="H52">IF(F52:F141="","",IFERROR(IF(_xlfn.XLOOKUP(F52:F141,castles_state!K:K,castles_state!J:J)=D52:D141,"OK","値が違います"),"存在しません"))</f>
      </c>
    </row>
    <row r="53" ht="15.75" customHeight="1">
      <c r="A53" s="4">
        <v>75</v>
      </c>
      <c r="B53" s="4">
        <v>68</v>
      </c>
      <c r="C53" s="12" t="str">
        <f t="array" ref="C53">IF(B53:B142="","",_xlfn.XLOOKUP(B53:B142,'参照_勢力'!A:A,'参照_勢力'!B:B,"見つかりません"))</f>
        <v>武田家</v>
      </c>
      <c r="D53" s="4">
        <v>5</v>
      </c>
      <c r="E53" s="12" t="str">
        <f t="shared" si="1"/>
      </c>
      <c r="F53" s="4">
        <v>1068007</v>
      </c>
      <c r="G53" s="12" t="str">
        <f t="array" ref="G53">IF(F53:F142="","",_xlfn.XLOOKUP(F53:F142,'参照_武将'!A:A,'参照_武将'!B:B,"見つかりません"))</f>
      </c>
      <c r="H53" s="12" t="str">
        <f t="array" ref="H53">IF(F53:F142="","",IFERROR(IF(_xlfn.XLOOKUP(F53:F142,castles_state!K:K,castles_state!J:J)=D53:D142,"OK","値が違います"),"存在しません"))</f>
      </c>
    </row>
    <row r="54" ht="15.75" customHeight="1">
      <c r="A54" s="4">
        <v>76</v>
      </c>
      <c r="B54" s="4">
        <v>68</v>
      </c>
      <c r="C54" s="12" t="str">
        <f t="array" ref="C54">IF(B54:B143="","",_xlfn.XLOOKUP(B54:B143,'参照_勢力'!A:A,'参照_勢力'!B:B,"見つかりません"))</f>
        <v>山名家</v>
      </c>
      <c r="D54" s="4">
        <v>6</v>
      </c>
      <c r="E54" s="12" t="str">
        <f t="shared" si="1"/>
      </c>
      <c r="F54" s="4">
        <v>1068035</v>
      </c>
      <c r="G54" s="12" t="str">
        <f t="array" ref="G54">IF(F54:F143="","",_xlfn.XLOOKUP(F54:F143,'参照_武将'!A:A,'参照_武将'!B:B,"見つかりません"))</f>
      </c>
      <c r="H54" s="12" t="str">
        <f t="array" ref="H54">IF(F54:F143="","",IFERROR(IF(_xlfn.XLOOKUP(F54:F143,castles_state!K:K,castles_state!J:J)=D54:D143,"OK","値が違います"),"存在しません"))</f>
      </c>
    </row>
    <row r="55" ht="15.75" customHeight="1">
      <c r="A55" s="4">
        <v>78</v>
      </c>
      <c r="B55" s="4">
        <v>70</v>
      </c>
      <c r="C55" s="12" t="str">
        <f t="array" ref="C55">IF(B55:B144="","",_xlfn.XLOOKUP(B55:B144,'参照_勢力'!A:A,'参照_勢力'!B:B,"見つかりません"))</f>
        <v>赤松家</v>
      </c>
      <c r="D55" s="4">
        <v>2</v>
      </c>
      <c r="E55" s="12" t="str">
        <f t="shared" si="1"/>
      </c>
      <c r="F55" s="4">
        <v>1070029</v>
      </c>
      <c r="G55" s="12" t="str">
        <f t="array" ref="G55">IF(F55:F144="","",_xlfn.XLOOKUP(F55:F144,'参照_武将'!A:A,'参照_武将'!B:B,"見つかりません"))</f>
      </c>
      <c r="H55" s="12" t="str">
        <f t="array" ref="H55">IF(F55:F144="","",IFERROR(IF(_xlfn.XLOOKUP(F55:F144,castles_state!K:K,castles_state!J:J)=D55:D144,"OK","値が違います"),"存在しません"))</f>
      </c>
    </row>
    <row r="56" ht="15.75" customHeight="1">
      <c r="A56" s="4">
        <v>79</v>
      </c>
      <c r="B56" s="4">
        <v>73</v>
      </c>
      <c r="C56" s="12" t="str">
        <f t="array" ref="C56">IF(B56:B145="","",_xlfn.XLOOKUP(B56:B145,'参照_勢力'!A:A,'参照_勢力'!B:B,"見つかりません"))</f>
        <v>赤松家</v>
      </c>
      <c r="D56" s="4">
        <v>1</v>
      </c>
      <c r="E56" s="12" t="str">
        <f t="shared" si="1"/>
      </c>
      <c r="F56" s="4">
        <v>1073018</v>
      </c>
      <c r="G56" s="12" t="str">
        <f t="array" ref="G56">IF(F56:F145="","",_xlfn.XLOOKUP(F56:F145,'参照_武将'!A:A,'参照_武将'!B:B,"見つかりません"))</f>
      </c>
      <c r="H56" s="12" t="str">
        <f t="array" ref="H56">IF(F56:F145="","",IFERROR(IF(_xlfn.XLOOKUP(F56:F145,castles_state!K:K,castles_state!J:J)=D56:D145,"OK","値が違います"),"存在しません"))</f>
      </c>
    </row>
    <row r="57" ht="15.75" customHeight="1">
      <c r="A57" s="4">
        <v>81</v>
      </c>
      <c r="B57" s="4">
        <v>74</v>
      </c>
      <c r="C57" s="12" t="str">
        <f t="array" ref="C57">IF(B57:B146="","",_xlfn.XLOOKUP(B57:B146,'参照_勢力'!A:A,'参照_勢力'!B:B,"見つかりません"))</f>
        <v>畠山家</v>
      </c>
      <c r="D57" s="4">
        <v>1</v>
      </c>
      <c r="E57" s="12" t="str">
        <f t="shared" si="1"/>
      </c>
      <c r="F57" s="4">
        <v>1074064</v>
      </c>
      <c r="G57" s="12" t="str">
        <f t="array" ref="G57">IF(F57:F146="","",_xlfn.XLOOKUP(F57:F146,'参照_武将'!A:A,'参照_武将'!B:B,"見つかりません"))</f>
      </c>
      <c r="H57" s="12" t="str">
        <f t="array" ref="H57">IF(F57:F146="","",IFERROR(IF(_xlfn.XLOOKUP(F57:F146,castles_state!K:K,castles_state!J:J)=D57:D146,"OK","値が違います"),"存在しません"))</f>
      </c>
    </row>
    <row r="58" ht="15.75" customHeight="1">
      <c r="A58" s="4">
        <v>83</v>
      </c>
      <c r="B58" s="4">
        <v>74</v>
      </c>
      <c r="C58" s="12" t="str">
        <f t="array" ref="C58">IF(B58:B147="","",_xlfn.XLOOKUP(B58:B147,'参照_勢力'!A:A,'参照_勢力'!B:B,"見つかりません"))</f>
        <v>尼子家</v>
      </c>
      <c r="D58" s="4">
        <v>3</v>
      </c>
      <c r="E58" s="12" t="str">
        <f t="shared" si="1"/>
      </c>
      <c r="F58" s="4">
        <v>1074047</v>
      </c>
      <c r="G58" s="12" t="str">
        <f t="array" ref="G58">IF(F58:F147="","",_xlfn.XLOOKUP(F58:F147,'参照_武将'!A:A,'参照_武将'!B:B,"見つかりません"))</f>
      </c>
      <c r="H58" s="12" t="str">
        <f t="array" ref="H58">IF(F58:F147="","",IFERROR(IF(_xlfn.XLOOKUP(F58:F147,castles_state!K:K,castles_state!J:J)=D58:D147,"OK","値が違います"),"存在しません"))</f>
      </c>
    </row>
    <row r="59" ht="15.75" customHeight="1">
      <c r="A59" s="4">
        <v>84</v>
      </c>
      <c r="B59" s="4">
        <v>74</v>
      </c>
      <c r="C59" s="12" t="str">
        <f t="array" ref="C59">IF(B59:B148="","",_xlfn.XLOOKUP(B59:B148,'参照_勢力'!A:A,'参照_勢力'!B:B,"見つかりません"))</f>
        <v>尼子家</v>
      </c>
      <c r="D59" s="4">
        <v>4</v>
      </c>
      <c r="E59" s="12" t="str">
        <f t="shared" si="1"/>
      </c>
      <c r="F59" s="4">
        <v>1074019</v>
      </c>
      <c r="G59" s="12" t="str">
        <f t="array" ref="G59">IF(F59:F148="","",_xlfn.XLOOKUP(F59:F148,'参照_武将'!A:A,'参照_武将'!B:B,"見つかりません"))</f>
      </c>
      <c r="H59" s="12" t="str">
        <f t="array" ref="H59">IF(F59:F148="","",IFERROR(IF(_xlfn.XLOOKUP(F59:F148,castles_state!K:K,castles_state!J:J)=D59:D148,"OK","値が違います"),"存在しません"))</f>
      </c>
    </row>
    <row r="60" ht="15.75" customHeight="1">
      <c r="A60" s="4">
        <v>85</v>
      </c>
      <c r="B60" s="4">
        <v>77</v>
      </c>
      <c r="C60" s="12" t="str">
        <f t="array" ref="C60">IF(B60:B149="","",_xlfn.XLOOKUP(B60:B149,'参照_勢力'!A:A,'参照_勢力'!B:B,"見つかりません"))</f>
        <v>尼子家</v>
      </c>
      <c r="D60" s="4">
        <v>1</v>
      </c>
      <c r="E60" s="12" t="str">
        <f t="shared" si="1"/>
      </c>
      <c r="F60" s="4">
        <v>1077019</v>
      </c>
      <c r="G60" s="12" t="str">
        <f t="array" ref="G60">IF(F60:F149="","",_xlfn.XLOOKUP(F60:F149,'参照_武将'!A:A,'参照_武将'!B:B,"見つかりません"))</f>
      </c>
      <c r="H60" s="12" t="str">
        <f t="array" ref="H60">IF(F60:F149="","",IFERROR(IF(_xlfn.XLOOKUP(F60:F149,castles_state!K:K,castles_state!J:J)=D60:D149,"OK","値が違います"),"存在しません"))</f>
      </c>
    </row>
    <row r="61" ht="15.75" customHeight="1">
      <c r="A61" s="4">
        <v>86</v>
      </c>
      <c r="B61" s="4">
        <v>86</v>
      </c>
      <c r="C61" s="12" t="str">
        <f t="array" ref="C61">IF(B61:B150="","",_xlfn.XLOOKUP(B61:B150,'参照_勢力'!A:A,'参照_勢力'!B:B,"見つかりません"))</f>
        <v>尼子家</v>
      </c>
      <c r="D61" s="4">
        <v>1</v>
      </c>
      <c r="E61" s="12" t="str">
        <f t="shared" si="1"/>
      </c>
      <c r="F61" s="4">
        <v>1086009</v>
      </c>
      <c r="G61" s="12" t="str">
        <f t="array" ref="G61">IF(F61:F150="","",_xlfn.XLOOKUP(F61:F150,'参照_武将'!A:A,'参照_武将'!B:B,"見つかりません"))</f>
      </c>
      <c r="H61" s="12" t="str">
        <f t="array" ref="H61">IF(F61:F150="","",IFERROR(IF(_xlfn.XLOOKUP(F61:F150,castles_state!K:K,castles_state!J:J)=D61:D150,"OK","値が違います"),"存在しません"))</f>
      </c>
    </row>
    <row r="62" ht="15.75" customHeight="1">
      <c r="A62" s="4">
        <v>87</v>
      </c>
      <c r="B62" s="4">
        <v>87</v>
      </c>
      <c r="C62" s="12" t="str">
        <f t="array" ref="C62">IF(B62:B151="","",_xlfn.XLOOKUP(B62:B151,'参照_勢力'!A:A,'参照_勢力'!B:B,"見つかりません"))</f>
        <v>浦上家</v>
      </c>
      <c r="D62" s="4">
        <v>1</v>
      </c>
      <c r="E62" s="12" t="str">
        <f t="shared" si="1"/>
      </c>
      <c r="F62" s="4">
        <v>1087020</v>
      </c>
      <c r="G62" s="12" t="str">
        <f t="array" ref="G62">IF(F62:F151="","",_xlfn.XLOOKUP(F62:F151,'参照_武将'!A:A,'参照_武将'!B:B,"見つかりません"))</f>
      </c>
      <c r="H62" s="12" t="str">
        <f t="array" ref="H62">IF(F62:F151="","",IFERROR(IF(_xlfn.XLOOKUP(F62:F151,castles_state!K:K,castles_state!J:J)=D62:D151,"OK","値が違います"),"存在しません"))</f>
      </c>
    </row>
    <row r="63" ht="15.75" customHeight="1">
      <c r="A63" s="4">
        <v>88</v>
      </c>
      <c r="B63" s="4">
        <v>88</v>
      </c>
      <c r="C63" s="12" t="str">
        <f t="array" ref="C63">IF(B63:B152="","",_xlfn.XLOOKUP(B63:B152,'参照_勢力'!A:A,'参照_勢力'!B:B,"見つかりません"))</f>
        <v>大友家</v>
      </c>
      <c r="D63" s="4">
        <v>1</v>
      </c>
      <c r="E63" s="12" t="str">
        <f t="shared" si="1"/>
      </c>
      <c r="F63" s="4">
        <v>1088017</v>
      </c>
      <c r="G63" s="12" t="str">
        <f t="array" ref="G63">IF(F63:F152="","",_xlfn.XLOOKUP(F63:F152,'参照_武将'!A:A,'参照_武将'!B:B,"見つかりません"))</f>
      </c>
      <c r="H63" s="12" t="str">
        <f t="array" ref="H63">IF(F63:F152="","",IFERROR(IF(_xlfn.XLOOKUP(F63:F152,castles_state!K:K,castles_state!J:J)=D63:D152,"OK","値が違います"),"存在しません"))</f>
      </c>
    </row>
    <row r="64" ht="15.75" customHeight="1">
      <c r="A64" s="4">
        <v>89</v>
      </c>
      <c r="B64" s="4">
        <v>92</v>
      </c>
      <c r="C64" s="12" t="str">
        <f t="array" ref="C64">IF(B64:B153="","",_xlfn.XLOOKUP(B64:B153,'参照_勢力'!A:A,'参照_勢力'!B:B,"見つかりません"))</f>
        <v>大友家</v>
      </c>
      <c r="D64" s="4">
        <v>1</v>
      </c>
      <c r="E64" s="12" t="str">
        <f t="shared" si="1"/>
      </c>
      <c r="F64" s="4">
        <v>1092029</v>
      </c>
      <c r="G64" s="12" t="str">
        <f t="array" ref="G64">IF(F64:F153="","",_xlfn.XLOOKUP(F64:F153,'参照_武将'!A:A,'参照_武将'!B:B,"見つかりません"))</f>
      </c>
      <c r="H64" s="12" t="str">
        <f t="array" ref="H64">IF(F64:F153="","",IFERROR(IF(_xlfn.XLOOKUP(F64:F153,castles_state!K:K,castles_state!J:J)=D64:D153,"OK","値が違います"),"存在しません"))</f>
      </c>
    </row>
    <row r="65" ht="15.75" customHeight="1">
      <c r="A65" s="4">
        <v>90</v>
      </c>
      <c r="B65" s="4">
        <v>226</v>
      </c>
      <c r="C65" s="12" t="str">
        <f t="array" ref="C65">IF(B65:B154="","",_xlfn.XLOOKUP(B65:B154,'参照_勢力'!A:A,'参照_勢力'!B:B,"見つかりません"))</f>
        <v>大友家</v>
      </c>
      <c r="D65" s="4">
        <v>1</v>
      </c>
      <c r="E65" s="12" t="str">
        <f t="shared" si="1"/>
      </c>
      <c r="F65" s="4">
        <v>1039015</v>
      </c>
      <c r="G65" s="12" t="str">
        <f t="array" ref="G65">IF(F65:F154="","",_xlfn.XLOOKUP(F65:F154,'参照_武将'!A:A,'参照_武将'!B:B,"見つかりません"))</f>
      </c>
      <c r="H65" s="12" t="str">
        <f t="array" ref="H65">IF(F65:F154="","",IFERROR(IF(_xlfn.XLOOKUP(F65:F154,castles_state!K:K,castles_state!J:J)=D65:D154,"OK","値が違います"),"存在しません"))</f>
      </c>
    </row>
    <row r="66" ht="15.75" customHeight="1">
      <c r="A66" s="4">
        <v>92</v>
      </c>
      <c r="B66" s="4">
        <v>1</v>
      </c>
      <c r="C66" s="12" t="str">
        <f t="array" ref="C66">IF(B66:B155="","",_xlfn.XLOOKUP(B66:B155,'参照_勢力'!A:A,'参照_勢力'!B:B,"見つかりません"))</f>
        <v>大友家</v>
      </c>
      <c r="D66" s="4">
        <v>4</v>
      </c>
      <c r="E66" s="12" t="str">
        <f t="shared" si="1"/>
      </c>
      <c r="F66" s="4">
        <v>1020014</v>
      </c>
      <c r="G66" s="12" t="str">
        <f t="array" ref="G66">IF(F66:F155="","",_xlfn.XLOOKUP(F66:F155,'参照_武将'!A:A,'参照_武将'!B:B,"見つかりません"))</f>
      </c>
      <c r="H66" s="12" t="str">
        <f t="array" ref="H66">IF(F66:F155="","",IFERROR(IF(_xlfn.XLOOKUP(F66:F155,castles_state!K:K,castles_state!J:J)=D66:D155,"OK","値が違います"),"存在しません"))</f>
      </c>
    </row>
    <row r="67" ht="15.75" customHeight="1">
      <c r="A67" s="4">
        <v>93</v>
      </c>
      <c r="B67" s="4">
        <v>44</v>
      </c>
      <c r="C67" s="12" t="str">
        <f t="array" ref="C67">IF(B67:B156="","",_xlfn.XLOOKUP(B67:B156,'参照_勢力'!A:A,'参照_勢力'!B:B,"見つかりません"))</f>
        <v>龍造寺家</v>
      </c>
      <c r="D67" s="4">
        <v>2</v>
      </c>
      <c r="E67" s="12" t="str">
        <f t="shared" si="1"/>
      </c>
      <c r="F67" s="4">
        <v>1210003</v>
      </c>
      <c r="G67" s="12" t="str">
        <f t="array" ref="G67">IF(F67:F156="","",_xlfn.XLOOKUP(F67:F156,'参照_武将'!A:A,'参照_武将'!B:B,"見つかりません"))</f>
      </c>
      <c r="H67" s="12" t="str">
        <f t="array" ref="H67">IF(F67:F156="","",IFERROR(IF(_xlfn.XLOOKUP(F67:F156,castles_state!K:K,castles_state!J:J)=D67:D156,"OK","値が違います"),"存在しません"))</f>
      </c>
    </row>
    <row r="68" ht="15.75" customHeight="1">
      <c r="A68" s="4">
        <v>94</v>
      </c>
      <c r="B68" s="4">
        <v>4</v>
      </c>
      <c r="C68" s="12" t="str">
        <f t="array" ref="C68">IF(B68:B157="","",_xlfn.XLOOKUP(B68:B157,'参照_勢力'!A:A,'参照_勢力'!B:B,"見つかりません"))</f>
        <v>松浦家</v>
      </c>
      <c r="D68" s="4">
        <v>4</v>
      </c>
      <c r="E68" s="12" t="str">
        <f t="shared" si="1"/>
      </c>
      <c r="F68" s="4">
        <v>1030003</v>
      </c>
      <c r="G68" s="12" t="str">
        <f t="array" ref="G68">IF(F68:F157="","",_xlfn.XLOOKUP(F68:F157,'参照_武将'!A:A,'参照_武将'!B:B,"見つかりません"))</f>
      </c>
      <c r="H68" s="12" t="str">
        <f t="array" ref="H68">IF(F68:F157="","",IFERROR(IF(_xlfn.XLOOKUP(F68:F157,castles_state!K:K,castles_state!J:J)=D68:D157,"OK","値が違います"),"存在しません"))</f>
      </c>
    </row>
    <row r="69" ht="15.75" customHeight="1">
      <c r="A69" s="4">
        <v>95</v>
      </c>
      <c r="B69" s="4">
        <v>32</v>
      </c>
      <c r="C69" s="12" t="str">
        <f t="array" ref="C69">IF(B69:B158="","",_xlfn.XLOOKUP(B69:B158,'参照_勢力'!A:A,'参照_勢力'!B:B,"見つかりません"))</f>
        <v>松浦家</v>
      </c>
      <c r="D69" s="4">
        <v>3</v>
      </c>
      <c r="E69" s="12" t="str">
        <f t="shared" si="1"/>
      </c>
      <c r="F69" s="4">
        <v>1037013</v>
      </c>
      <c r="G69" s="12" t="str">
        <f t="array" ref="G69">IF(F69:F158="","",_xlfn.XLOOKUP(F69:F158,'参照_武将'!A:A,'参照_武将'!B:B,"見つかりません"))</f>
      </c>
      <c r="H69" s="12" t="str">
        <f t="array" ref="H69">IF(F69:F158="","",IFERROR(IF(_xlfn.XLOOKUP(F69:F158,castles_state!K:K,castles_state!J:J)=D69:D158,"OK","値が違います"),"存在しません"))</f>
      </c>
    </row>
    <row r="70" ht="15.75" customHeight="1">
      <c r="A70" s="4">
        <v>97</v>
      </c>
      <c r="B70" s="4">
        <v>25</v>
      </c>
      <c r="C70" s="12" t="str">
        <f t="array" ref="C70">IF(B70:B159="","",_xlfn.XLOOKUP(B70:B159,'参照_勢力'!A:A,'参照_勢力'!B:B,"見つかりません"))</f>
        <v>有馬家</v>
      </c>
      <c r="D70" s="4">
        <v>4</v>
      </c>
      <c r="E70" s="12" t="str">
        <f t="shared" si="1"/>
      </c>
      <c r="F70" s="4">
        <v>1053015</v>
      </c>
      <c r="G70" s="12" t="str">
        <f t="array" ref="G70">IF(F70:F159="","",_xlfn.XLOOKUP(F70:F159,'参照_武将'!A:A,'参照_武将'!B:B,"見つかりません"))</f>
      </c>
      <c r="H70" s="12" t="str">
        <f t="array" ref="H70">IF(F70:F159="","",IFERROR(IF(_xlfn.XLOOKUP(F70:F159,castles_state!K:K,castles_state!J:J)=D70:D159,"OK","値が違います"),"存在しません"))</f>
      </c>
    </row>
    <row r="71" ht="15.75" customHeight="1">
      <c r="A71" s="4">
        <v>98</v>
      </c>
      <c r="B71" s="4">
        <v>20</v>
      </c>
      <c r="C71" s="12" t="str">
        <f t="array" ref="C71">IF(B71:B160="","",_xlfn.XLOOKUP(B71:B160,'参照_勢力'!A:A,'参照_勢力'!B:B,"見つかりません"))</f>
        <v>有馬家</v>
      </c>
      <c r="D71" s="4">
        <v>4</v>
      </c>
      <c r="E71" s="12" t="str">
        <f t="shared" si="1"/>
      </c>
      <c r="F71" s="4">
        <v>1020009</v>
      </c>
      <c r="G71" s="12" t="str">
        <f t="array" ref="G71">IF(F71:F160="","",_xlfn.XLOOKUP(F71:F160,'参照_武将'!A:A,'参照_武将'!B:B,"見つかりません"))</f>
      </c>
      <c r="H71" s="12" t="str">
        <f t="array" ref="H71">IF(F71:F160="","",IFERROR(IF(_xlfn.XLOOKUP(F71:F160,castles_state!K:K,castles_state!J:J)=D71:D160,"OK","値が違います"),"存在しません"))</f>
      </c>
    </row>
    <row r="72" ht="15.75" customHeight="1">
      <c r="A72" s="4"/>
      <c r="B72" s="4"/>
      <c r="C72" s="12" t="str">
        <f t="array" ref="C72">IF(B72:B161="","",_xlfn.XLOOKUP(B72:B161,'参照_勢力'!A:A,'参照_勢力'!B:B,"見つかりません"))</f>
        <v>南部家</v>
      </c>
      <c r="D72" s="4"/>
      <c r="E72" s="12" t="str">
        <f t="shared" si="1"/>
      </c>
      <c r="F72" s="4"/>
      <c r="G72" s="12" t="str">
        <f t="array" ref="G72">IF(F72:F161="","",_xlfn.XLOOKUP(F72:F161,'参照_武将'!A:A,'参照_武将'!B:B,"見つかりません"))</f>
      </c>
      <c r="H72" s="12" t="str">
        <f t="array" ref="H72">IF(F72:F161="","",IFERROR(IF(_xlfn.XLOOKUP(F72:F161,castles_state!K:K,castles_state!J:J)=D72:D161,"OK","値が違います"),"存在しません"))</f>
      </c>
    </row>
    <row r="73" ht="15.75" customHeight="1">
      <c r="A73" s="4"/>
      <c r="B73" s="4"/>
      <c r="C73" s="12" t="str">
        <f t="array" ref="C73">IF(B73:B162="","",_xlfn.XLOOKUP(B73:B162,'参照_勢力'!A:A,'参照_勢力'!B:B,"見つかりません"))</f>
        <v>南部家</v>
      </c>
      <c r="D73" s="4"/>
      <c r="E73" s="12" t="str">
        <f t="shared" si="1"/>
      </c>
      <c r="F73" s="4"/>
      <c r="G73" s="12" t="str">
        <f t="array" ref="G73">IF(F73:F162="","",_xlfn.XLOOKUP(F73:F162,'参照_武将'!A:A,'参照_武将'!B:B,"見つかりません"))</f>
      </c>
      <c r="H73" s="12" t="str">
        <f t="array" ref="H73">IF(F73:F162="","",IFERROR(IF(_xlfn.XLOOKUP(F73:F162,castles_state!K:K,castles_state!J:J)=D73:D162,"OK","値が違います"),"存在しません"))</f>
      </c>
    </row>
    <row r="74" ht="15.75" customHeight="1">
      <c r="A74" s="4"/>
      <c r="B74" s="4"/>
      <c r="C74" s="12" t="str">
        <f t="array" ref="C74">IF(B74:B163="","",_xlfn.XLOOKUP(B74:B163,'参照_勢力'!A:A,'参照_勢力'!B:B,"見つかりません"))</f>
        <v>南部家</v>
      </c>
      <c r="D74" s="4"/>
      <c r="E74" s="12" t="str">
        <f t="shared" si="1"/>
      </c>
      <c r="F74" s="4"/>
      <c r="G74" s="12" t="str">
        <f t="array" ref="G74">IF(F74:F163="","",_xlfn.XLOOKUP(F74:F163,'参照_武将'!A:A,'参照_武将'!B:B,"見つかりません"))</f>
      </c>
      <c r="H74" s="12" t="str">
        <f t="array" ref="H74">IF(F74:F163="","",IFERROR(IF(_xlfn.XLOOKUP(F74:F163,castles_state!K:K,castles_state!J:J)=D74:D163,"OK","値が違います"),"存在しません"))</f>
      </c>
    </row>
    <row r="75" ht="15.75" customHeight="1">
      <c r="A75" s="4"/>
      <c r="B75" s="4"/>
      <c r="C75" s="12" t="str">
        <f t="array" ref="C75">IF(B75:B164="","",_xlfn.XLOOKUP(B75:B164,'参照_勢力'!A:A,'参照_勢力'!B:B,"見つかりません"))</f>
        <v>南部家</v>
      </c>
      <c r="D75" s="4"/>
      <c r="E75" s="12" t="str">
        <f t="shared" si="1"/>
      </c>
      <c r="F75" s="4"/>
      <c r="G75" s="12" t="str">
        <f t="array" ref="G75">IF(F75:F164="","",_xlfn.XLOOKUP(F75:F164,'参照_武将'!A:A,'参照_武将'!B:B,"見つかりません"))</f>
      </c>
      <c r="H75" s="12" t="str">
        <f t="array" ref="H75">IF(F75:F164="","",IFERROR(IF(_xlfn.XLOOKUP(F75:F164,castles_state!K:K,castles_state!J:J)=D75:D164,"OK","値が違います"),"存在しません"))</f>
      </c>
    </row>
    <row r="76" ht="15.75" customHeight="1">
      <c r="A76" s="4"/>
      <c r="B76" s="4"/>
      <c r="C76" s="12" t="str">
        <f t="array" ref="C76">IF(B76:B165="","",_xlfn.XLOOKUP(B76:B165,'参照_勢力'!A:A,'参照_勢力'!B:B,"見つかりません"))</f>
        <v>南部家</v>
      </c>
      <c r="D76" s="4"/>
      <c r="E76" s="12" t="str">
        <f t="shared" si="1"/>
      </c>
      <c r="F76" s="4"/>
      <c r="G76" s="12" t="str">
        <f t="array" ref="G76">IF(F76:F165="","",_xlfn.XLOOKUP(F76:F165,'参照_武将'!A:A,'参照_武将'!B:B,"見つかりません"))</f>
      </c>
      <c r="H76" s="12" t="str">
        <f t="array" ref="H76">IF(F76:F165="","",IFERROR(IF(_xlfn.XLOOKUP(F76:F165,castles_state!K:K,castles_state!J:J)=D76:D165,"OK","値が違います"),"存在しません"))</f>
      </c>
    </row>
    <row r="77" ht="15.75" customHeight="1">
      <c r="A77" s="4"/>
      <c r="B77" s="4"/>
      <c r="C77" s="12" t="str">
        <f t="array" ref="C77">IF(B77:B166="","",_xlfn.XLOOKUP(B77:B166,'参照_勢力'!A:A,'参照_勢力'!B:B,"見つかりません"))</f>
        <v>南部家</v>
      </c>
      <c r="D77" s="4"/>
      <c r="E77" s="12" t="str">
        <f t="shared" si="1"/>
      </c>
      <c r="F77" s="4"/>
      <c r="G77" s="12" t="str">
        <f t="array" ref="G77">IF(F77:F166="","",_xlfn.XLOOKUP(F77:F166,'参照_武将'!A:A,'参照_武将'!B:B,"見つかりません"))</f>
      </c>
      <c r="H77" s="12" t="str">
        <f t="array" ref="H77">IF(F77:F166="","",IFERROR(IF(_xlfn.XLOOKUP(F77:F166,castles_state!K:K,castles_state!J:J)=D77:D166,"OK","値が違います"),"存在しません"))</f>
      </c>
    </row>
    <row r="78" ht="15.75" customHeight="1">
      <c r="A78" s="4"/>
      <c r="B78" s="4"/>
      <c r="C78" s="12" t="str">
        <f t="array" ref="C78">IF(B78:B167="","",_xlfn.XLOOKUP(B78:B167,'参照_勢力'!A:A,'参照_勢力'!B:B,"見つかりません"))</f>
        <v>葛西家</v>
      </c>
      <c r="D78" s="4"/>
      <c r="E78" s="12" t="str">
        <f t="shared" si="1"/>
      </c>
      <c r="F78" s="4"/>
      <c r="G78" s="12" t="str">
        <f t="array" ref="G78">IF(F78:F167="","",_xlfn.XLOOKUP(F78:F167,'参照_武将'!A:A,'参照_武将'!B:B,"見つかりません"))</f>
      </c>
      <c r="H78" s="12" t="str">
        <f t="array" ref="H78">IF(F78:F167="","",IFERROR(IF(_xlfn.XLOOKUP(F78:F167,castles_state!K:K,castles_state!J:J)=D78:D167,"OK","値が違います"),"存在しません"))</f>
      </c>
    </row>
    <row r="79" ht="15.75" customHeight="1">
      <c r="A79" s="4"/>
      <c r="B79" s="4"/>
      <c r="C79" s="12" t="str">
        <f t="array" ref="C79">IF(B79:B168="","",_xlfn.XLOOKUP(B79:B168,'参照_勢力'!A:A,'参照_勢力'!B:B,"見つかりません"))</f>
        <v>葛西家</v>
      </c>
      <c r="D79" s="4"/>
      <c r="E79" s="12" t="str">
        <f t="shared" si="1"/>
      </c>
      <c r="F79" s="4"/>
      <c r="G79" s="12" t="str">
        <f t="array" ref="G79">IF(F79:F168="","",_xlfn.XLOOKUP(F79:F168,'参照_武将'!A:A,'参照_武将'!B:B,"見つかりません"))</f>
      </c>
      <c r="H79" s="12" t="str">
        <f t="array" ref="H79">IF(F79:F168="","",IFERROR(IF(_xlfn.XLOOKUP(F79:F168,castles_state!K:K,castles_state!J:J)=D79:D168,"OK","値が違います"),"存在しません"))</f>
      </c>
    </row>
    <row r="80" ht="15.75" customHeight="1">
      <c r="A80" s="4"/>
      <c r="B80" s="4"/>
      <c r="C80" s="12" t="str">
        <f t="array" ref="C80">IF(B80:B169="","",_xlfn.XLOOKUP(B80:B169,'参照_勢力'!A:A,'参照_勢力'!B:B,"見つかりません"))</f>
        <v>安東家</v>
      </c>
      <c r="D80" s="4"/>
      <c r="E80" s="12" t="str">
        <f t="shared" si="1"/>
      </c>
      <c r="F80" s="4"/>
      <c r="G80" s="12" t="str">
        <f t="array" ref="G80">IF(F80:F169="","",_xlfn.XLOOKUP(F80:F169,'参照_武将'!A:A,'参照_武将'!B:B,"見つかりません"))</f>
      </c>
      <c r="H80" s="12" t="str">
        <f t="array" ref="H80">IF(F80:F169="","",IFERROR(IF(_xlfn.XLOOKUP(F80:F169,castles_state!K:K,castles_state!J:J)=D80:D169,"OK","値が違います"),"存在しません"))</f>
      </c>
    </row>
    <row r="81" ht="15.75" customHeight="1">
      <c r="A81" s="4"/>
      <c r="B81" s="4"/>
      <c r="C81" s="12" t="str">
        <f t="array" ref="C81">IF(B81:B170="","",_xlfn.XLOOKUP(B81:B170,'参照_勢力'!A:A,'参照_勢力'!B:B,"見つかりません"))</f>
        <v>安東家</v>
      </c>
      <c r="D81" s="4"/>
      <c r="E81" s="12" t="str">
        <f t="shared" si="1"/>
      </c>
      <c r="F81" s="4"/>
      <c r="G81" s="12" t="str">
        <f t="array" ref="G81">IF(F81:F170="","",_xlfn.XLOOKUP(F81:F170,'参照_武将'!A:A,'参照_武将'!B:B,"見つかりません"))</f>
      </c>
      <c r="H81" s="12" t="str">
        <f t="array" ref="H81">IF(F81:F170="","",IFERROR(IF(_xlfn.XLOOKUP(F81:F170,castles_state!K:K,castles_state!J:J)=D81:D170,"OK","値が違います"),"存在しません"))</f>
      </c>
    </row>
    <row r="82" ht="15.75" customHeight="1">
      <c r="A82" s="4"/>
      <c r="B82" s="4"/>
      <c r="C82" s="12" t="str">
        <f t="array" ref="C82">IF(B82:B171="","",_xlfn.XLOOKUP(B82:B171,'参照_勢力'!A:A,'参照_勢力'!B:B,"見つかりません"))</f>
        <v>伊達家</v>
      </c>
      <c r="D82" s="4"/>
      <c r="E82" s="12" t="str">
        <f t="shared" si="1"/>
      </c>
      <c r="F82" s="4"/>
      <c r="G82" s="12" t="str">
        <f t="array" ref="G82">IF(F82:F171="","",_xlfn.XLOOKUP(F82:F171,'参照_武将'!A:A,'参照_武将'!B:B,"見つかりません"))</f>
      </c>
      <c r="H82" s="12" t="str">
        <f t="array" ref="H82">IF(F82:F171="","",IFERROR(IF(_xlfn.XLOOKUP(F82:F171,castles_state!K:K,castles_state!J:J)=D82:D171,"OK","値が違います"),"存在しません"))</f>
      </c>
    </row>
    <row r="83" ht="15.75" customHeight="1">
      <c r="A83" s="4"/>
      <c r="B83" s="4"/>
      <c r="C83" s="12" t="str">
        <f t="array" ref="C83">IF(B83:B172="","",_xlfn.XLOOKUP(B83:B172,'参照_勢力'!A:A,'参照_勢力'!B:B,"見つかりません"))</f>
        <v>伊達家</v>
      </c>
      <c r="D83" s="4"/>
      <c r="E83" s="12" t="str">
        <f t="shared" si="1"/>
      </c>
      <c r="F83" s="4"/>
      <c r="G83" s="12" t="str">
        <f t="array" ref="G83">IF(F83:F172="","",_xlfn.XLOOKUP(F83:F172,'参照_武将'!A:A,'参照_武将'!B:B,"見つかりません"))</f>
      </c>
      <c r="H83" s="12" t="str">
        <f t="array" ref="H83">IF(F83:F172="","",IFERROR(IF(_xlfn.XLOOKUP(F83:F172,castles_state!K:K,castles_state!J:J)=D83:D172,"OK","値が違います"),"存在しません"))</f>
      </c>
    </row>
    <row r="84" ht="15.75" customHeight="1">
      <c r="A84" s="4"/>
      <c r="B84" s="4"/>
      <c r="C84" s="12" t="str">
        <f t="array" ref="C84">IF(B84:B173="","",_xlfn.XLOOKUP(B84:B173,'参照_勢力'!A:A,'参照_勢力'!B:B,"見つかりません"))</f>
        <v>伊達家</v>
      </c>
      <c r="D84" s="4"/>
      <c r="E84" s="12" t="str">
        <f t="shared" si="1"/>
      </c>
      <c r="F84" s="4"/>
      <c r="G84" s="12" t="str">
        <f t="array" ref="G84">IF(F84:F173="","",_xlfn.XLOOKUP(F84:F173,'参照_武将'!A:A,'参照_武将'!B:B,"見つかりません"))</f>
      </c>
      <c r="H84" s="12" t="str">
        <f t="array" ref="H84">IF(F84:F173="","",IFERROR(IF(_xlfn.XLOOKUP(F84:F173,castles_state!K:K,castles_state!J:J)=D84:D173,"OK","値が違います"),"存在しません"))</f>
      </c>
    </row>
    <row r="85" ht="15.75" customHeight="1">
      <c r="A85" s="4"/>
      <c r="B85" s="4"/>
      <c r="C85" s="12" t="str">
        <f t="array" ref="C85">IF(B85:B174="","",_xlfn.XLOOKUP(B85:B174,'参照_勢力'!A:A,'参照_勢力'!B:B,"見つかりません"))</f>
        <v>伊達家</v>
      </c>
      <c r="D85" s="4"/>
      <c r="E85" s="12" t="str">
        <f t="shared" si="1"/>
      </c>
      <c r="F85" s="4"/>
      <c r="G85" s="12" t="str">
        <f t="array" ref="G85">IF(F85:F174="","",_xlfn.XLOOKUP(F85:F174,'参照_武将'!A:A,'参照_武将'!B:B,"見つかりません"))</f>
      </c>
      <c r="H85" s="12" t="str">
        <f t="array" ref="H85">IF(F85:F174="","",IFERROR(IF(_xlfn.XLOOKUP(F85:F174,castles_state!K:K,castles_state!J:J)=D85:D174,"OK","値が違います"),"存在しません"))</f>
      </c>
    </row>
    <row r="86" ht="15.75" customHeight="1">
      <c r="A86" s="4"/>
      <c r="B86" s="4"/>
      <c r="C86" s="12" t="str">
        <f t="array" ref="C86">IF(B86:B175="","",_xlfn.XLOOKUP(B86:B175,'参照_勢力'!A:A,'参照_勢力'!B:B,"見つかりません"))</f>
        <v>相馬家</v>
      </c>
      <c r="D86" s="4"/>
      <c r="E86" s="12" t="str">
        <f t="shared" si="1"/>
      </c>
      <c r="F86" s="4"/>
      <c r="G86" s="12" t="str">
        <f t="array" ref="G86">IF(F86:F175="","",_xlfn.XLOOKUP(F86:F175,'参照_武将'!A:A,'参照_武将'!B:B,"見つかりません"))</f>
      </c>
      <c r="H86" s="12" t="str">
        <f t="array" ref="H86">IF(F86:F175="","",IFERROR(IF(_xlfn.XLOOKUP(F86:F175,castles_state!K:K,castles_state!J:J)=D86:D175,"OK","値が違います"),"存在しません"))</f>
      </c>
    </row>
    <row r="87" ht="15.75" customHeight="1">
      <c r="A87" s="4"/>
      <c r="B87" s="4"/>
      <c r="C87" s="12" t="str">
        <f t="array" ref="C87">IF(B87:B176="","",_xlfn.XLOOKUP(B87:B176,'参照_勢力'!A:A,'参照_勢力'!B:B,"見つかりません"))</f>
        <v>小野寺家</v>
      </c>
      <c r="D87" s="4"/>
      <c r="E87" s="12" t="str">
        <f t="shared" si="1"/>
      </c>
      <c r="F87" s="4"/>
      <c r="G87" s="12" t="str">
        <f t="array" ref="G87">IF(F87:F176="","",_xlfn.XLOOKUP(F87:F176,'参照_武将'!A:A,'参照_武将'!B:B,"見つかりません"))</f>
      </c>
      <c r="H87" s="12" t="str">
        <f t="array" ref="H87">IF(F87:F176="","",IFERROR(IF(_xlfn.XLOOKUP(F87:F176,castles_state!K:K,castles_state!J:J)=D87:D176,"OK","値が違います"),"存在しません"))</f>
      </c>
    </row>
    <row r="88" ht="15.75" customHeight="1">
      <c r="A88" s="4"/>
      <c r="B88" s="4"/>
      <c r="C88" s="12" t="str">
        <f t="array" ref="C88">IF(B88:B177="","",_xlfn.XLOOKUP(B88:B177,'参照_勢力'!A:A,'参照_勢力'!B:B,"見つかりません"))</f>
        <v>大宝寺家</v>
      </c>
      <c r="D88" s="4"/>
      <c r="E88" s="12" t="str">
        <f t="shared" si="1"/>
      </c>
      <c r="F88" s="4"/>
      <c r="G88" s="12" t="str">
        <f t="array" ref="G88">IF(F88:F177="","",_xlfn.XLOOKUP(F88:F177,'参照_武将'!A:A,'参照_武将'!B:B,"見つかりません"))</f>
      </c>
      <c r="H88" s="12" t="str">
        <f t="array" ref="H88">IF(F88:F177="","",IFERROR(IF(_xlfn.XLOOKUP(F88:F177,castles_state!K:K,castles_state!J:J)=D88:D177,"OK","値が違います"),"存在しません"))</f>
      </c>
    </row>
    <row r="89" ht="15.75" customHeight="1">
      <c r="A89" s="4"/>
      <c r="B89" s="4"/>
      <c r="C89" s="12" t="str">
        <f t="array" ref="C89">IF(B89:B178="","",_xlfn.XLOOKUP(B89:B178,'参照_勢力'!A:A,'参照_勢力'!B:B,"見つかりません"))</f>
        <v>天童家</v>
      </c>
      <c r="D89" s="4"/>
      <c r="E89" s="12" t="str">
        <f t="shared" si="1"/>
      </c>
      <c r="F89" s="4"/>
      <c r="G89" s="12" t="str">
        <f t="array" ref="G89">IF(F89:F178="","",_xlfn.XLOOKUP(F89:F178,'参照_武将'!A:A,'参照_武将'!B:B,"見つかりません"))</f>
      </c>
      <c r="H89" s="12" t="str">
        <f t="array" ref="H89">IF(F89:F178="","",IFERROR(IF(_xlfn.XLOOKUP(F89:F178,castles_state!K:K,castles_state!J:J)=D89:D178,"OK","値が違います"),"存在しません"))</f>
      </c>
    </row>
    <row r="90" ht="15.75" customHeight="1">
      <c r="A90" s="4"/>
      <c r="B90" s="4"/>
      <c r="C90" s="12" t="str">
        <f t="array" ref="C90">IF(B90:B179="","",_xlfn.XLOOKUP(B90:B179,'参照_勢力'!A:A,'参照_勢力'!B:B,"見つかりません"))</f>
        <v>千葉家</v>
      </c>
      <c r="D90" s="4"/>
      <c r="E90" s="12" t="str">
        <f t="shared" si="1"/>
      </c>
      <c r="F90" s="4"/>
      <c r="G90" s="12" t="str">
        <f t="array" ref="G90">IF(F90:F179="","",_xlfn.XLOOKUP(F90:F179,'参照_武将'!A:A,'参照_武将'!B:B,"見つかりません"))</f>
      </c>
      <c r="H90" s="12" t="str">
        <f t="array" ref="H90">IF(F90:F179="","",IFERROR(IF(_xlfn.XLOOKUP(F90:F179,castles_state!K:K,castles_state!J:J)=D90:D179,"OK","値が違います"),"存在しません"))</f>
      </c>
    </row>
    <row r="91" ht="15.75" customHeight="1">
      <c r="A91" s="4"/>
      <c r="B91" s="4"/>
      <c r="C91" s="12" t="str">
        <f t="array" ref="C91">IF(B91:B180="","",_xlfn.XLOOKUP(B91:B180,'参照_勢力'!A:A,'参照_勢力'!B:B,"見つかりません"))</f>
        <v>山名家</v>
      </c>
      <c r="D91" s="4"/>
      <c r="E91" s="12" t="str">
        <f t="shared" si="1"/>
      </c>
      <c r="F91" s="4"/>
      <c r="G91" s="12" t="str">
        <f t="array" ref="G91">IF(F91:F180="","",_xlfn.XLOOKUP(F91:F180,'参照_武将'!A:A,'参照_武将'!B:B,"見つかりません"))</f>
      </c>
      <c r="H91" s="12" t="str">
        <f t="array" ref="H91">IF(F91:F180="","",IFERROR(IF(_xlfn.XLOOKUP(F91:F180,castles_state!K:K,castles_state!J:J)=D91:D180,"OK","値が違います"),"存在しません"))</f>
      </c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H$91"/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8.0"/>
    <col customWidth="1" min="3" max="3" width="75.0"/>
    <col customWidth="1" min="4" max="26" width="8.63"/>
  </cols>
  <sheetData>
    <row r="1">
      <c r="A1" s="25" t="s">
        <v>5704</v>
      </c>
      <c r="B1" s="25" t="s">
        <v>5705</v>
      </c>
      <c r="C1" s="25" t="s">
        <v>5706</v>
      </c>
    </row>
    <row r="2">
      <c r="A2" s="26" t="s">
        <v>5707</v>
      </c>
      <c r="B2" s="26" t="s">
        <v>5708</v>
      </c>
      <c r="C2" s="26" t="s">
        <v>5709</v>
      </c>
    </row>
    <row r="3">
      <c r="A3" s="26" t="s">
        <v>5710</v>
      </c>
      <c r="B3" s="26" t="s">
        <v>5708</v>
      </c>
      <c r="C3" s="26" t="s">
        <v>5711</v>
      </c>
    </row>
    <row r="4">
      <c r="A4" s="26" t="s">
        <v>5712</v>
      </c>
      <c r="B4" s="26" t="s">
        <v>5708</v>
      </c>
      <c r="C4" s="26" t="s">
        <v>5713</v>
      </c>
    </row>
    <row r="5">
      <c r="A5" s="26" t="s">
        <v>5714</v>
      </c>
      <c r="B5" s="26" t="s">
        <v>5708</v>
      </c>
      <c r="C5" s="26" t="s">
        <v>5715</v>
      </c>
    </row>
    <row r="6">
      <c r="A6" s="26" t="s">
        <v>5716</v>
      </c>
      <c r="B6" s="26" t="s">
        <v>5708</v>
      </c>
      <c r="C6" s="26" t="s">
        <v>5717</v>
      </c>
    </row>
    <row r="7">
      <c r="A7" s="26" t="s">
        <v>5718</v>
      </c>
      <c r="B7" s="26" t="s">
        <v>5708</v>
      </c>
      <c r="C7" s="26" t="s">
        <v>5719</v>
      </c>
    </row>
    <row r="8">
      <c r="A8" s="26" t="s">
        <v>5720</v>
      </c>
      <c r="B8" s="26" t="s">
        <v>5708</v>
      </c>
      <c r="C8" s="26" t="s">
        <v>5721</v>
      </c>
    </row>
    <row r="9">
      <c r="A9" s="26" t="s">
        <v>5722</v>
      </c>
      <c r="B9" s="26" t="s">
        <v>5708</v>
      </c>
      <c r="C9" s="26" t="s">
        <v>5723</v>
      </c>
    </row>
    <row r="10">
      <c r="A10" s="26" t="s">
        <v>5724</v>
      </c>
      <c r="B10" s="26" t="s">
        <v>5725</v>
      </c>
      <c r="C10" s="26" t="s">
        <v>5726</v>
      </c>
    </row>
    <row r="11">
      <c r="A11" s="26" t="s">
        <v>5727</v>
      </c>
      <c r="B11" s="26" t="s">
        <v>5728</v>
      </c>
      <c r="C11" s="26" t="s">
        <v>5729</v>
      </c>
    </row>
    <row r="12">
      <c r="A12" s="26"/>
      <c r="B12" s="26"/>
      <c r="C12" s="26"/>
    </row>
    <row r="13">
      <c r="A13" s="26"/>
      <c r="B13" s="26"/>
      <c r="C13" s="26"/>
    </row>
    <row r="14">
      <c r="A14" s="26"/>
      <c r="B14" s="26"/>
      <c r="C14" s="26"/>
    </row>
    <row r="15">
      <c r="A15" s="26"/>
      <c r="B15" s="26"/>
      <c r="C15" s="26"/>
    </row>
    <row r="16">
      <c r="A16" s="26"/>
      <c r="B16" s="26"/>
      <c r="C16" s="26"/>
    </row>
    <row r="17">
      <c r="A17" s="26"/>
      <c r="B17" s="26"/>
      <c r="C17" s="26"/>
    </row>
    <row r="18">
      <c r="A18" s="26"/>
      <c r="B18" s="26"/>
      <c r="C18" s="26"/>
    </row>
    <row r="19">
      <c r="A19" s="26"/>
      <c r="B19" s="26"/>
      <c r="C19" s="26"/>
    </row>
    <row r="20">
      <c r="A20" s="26"/>
      <c r="B20" s="26"/>
      <c r="C20" s="2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